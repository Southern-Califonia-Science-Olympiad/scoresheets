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hidden" r:id="rId7"/>
    <sheet name="Info." sheetId="6" state="visible" r:id="rId8"/>
    <sheet name="Dropdowns" sheetId="7" state="hidden" r:id="rId9"/>
    <sheet name="ExportRaw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<sst xmlns="http://schemas.openxmlformats.org/spreadsheetml/2006/main" count="225" uniqueCount="185">
  <si>
    <t xml:space="preserve">Impound</t>
  </si>
  <si>
    <t xml:space="preserve">Check-In</t>
  </si>
  <si>
    <t xml:space="preserve">Set-Up and ASL</t>
  </si>
  <si>
    <t xml:space="preserve">Actions and Devices</t>
  </si>
  <si>
    <t xml:space="preserve">Sanitised Inputs</t>
  </si>
  <si>
    <t xml:space="preserve">Scoring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</si>
  <si>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</si>
  <si>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</si>
  <si>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</si>
  <si>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</si>
  <si>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</si>
  <si>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</si>
  <si>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</si>
  <si>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</si>
  <si>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</si>
  <si>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</si>
  <si>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r>
      <rPr>
        <sz val="11"/>
        <color rgb="FF181A1B"/>
        <rFont val="Overpass"/>
        <family val="0"/>
        <charset val="1"/>
      </rPr>
      <t xml:space="preserve">1. </t>
    </r>
    <r>
      <rPr>
        <b val="true"/>
        <sz val="11"/>
        <color rgb="FF181A1B"/>
        <rFont val="Overpass"/>
        <family val="0"/>
        <charset val="1"/>
      </rPr>
      <t xml:space="preserve">State/Nats Only</t>
    </r>
    <r>
      <rPr>
        <sz val="11"/>
        <color rgb="FF181A1B"/>
        <rFont val="Overpass"/>
        <family val="0"/>
        <charset val="1"/>
      </rPr>
      <t xml:space="preserve">: Device Impounded (T/F)</t>
    </r>
  </si>
  <si>
    <t xml:space="preserve">2. ASL Impounded (T/F)</t>
  </si>
  <si>
    <t xml:space="preserve">3. Eye Protection (T/F)</t>
  </si>
  <si>
    <t xml:space="preserve">4. Device is safe (T/F)</t>
  </si>
  <si>
    <t xml:space="preserve">5. Dimension 1 (cm)</t>
  </si>
  <si>
    <t xml:space="preserve">6. Dimension 2 (cm)</t>
  </si>
  <si>
    <t xml:space="preserve">7. Dimension 3 (cm)</t>
  </si>
  <si>
    <t xml:space="preserve">8. Top &amp; 2+ vertical walls transparent/open (T/F)</t>
  </si>
  <si>
    <t xml:space="preserve">9. All const params met (T/F)</t>
  </si>
  <si>
    <t xml:space="preserve">10. Not Remote Controlled (T/F)</t>
  </si>
  <si>
    <t xml:space="preserve">11. Team able to answer questions (T/F)</t>
  </si>
  <si>
    <t xml:space="preserve">12. &lt;= 30 min to set up (T/F)</t>
  </si>
  <si>
    <r>
      <rPr>
        <sz val="11"/>
        <color rgb="FF181A1B"/>
        <rFont val="Overpass"/>
        <family val="0"/>
        <charset val="1"/>
      </rPr>
      <t xml:space="preserve">13. </t>
    </r>
    <r>
      <rPr>
        <b val="true"/>
        <sz val="11"/>
        <color rgb="FF181A1B"/>
        <rFont val="Overpass"/>
        <family val="0"/>
        <charset val="1"/>
      </rPr>
      <t xml:space="preserve">State/Nats Only</t>
    </r>
    <r>
      <rPr>
        <sz val="11"/>
        <color rgb="FF181A1B"/>
        <rFont val="Overpass"/>
        <family val="0"/>
        <charset val="1"/>
      </rPr>
      <t xml:space="preserve">: &lt;= 15 min to set up (T/F)</t>
    </r>
  </si>
  <si>
    <t xml:space="preserve">14. ASL proper format (T/F)</t>
  </si>
  <si>
    <t xml:space="preserve">15. All actions included and accurate (T/F)</t>
  </si>
  <si>
    <t xml:space="preserve">16. ASL # properly labelled (T/F)</t>
  </si>
  <si>
    <t xml:space="preserve">17. Start Action (# of coins or Touch)</t>
  </si>
  <si>
    <t xml:space="preserve">18. # of successful actions</t>
  </si>
  <si>
    <t xml:space="preserve">19. Water Timer (sec)</t>
  </si>
  <si>
    <t xml:space="preserve">20. No Touches leading to Final Action (T/F)</t>
  </si>
  <si>
    <t xml:space="preserve">21. Final Action Satisfied (T/F)</t>
  </si>
  <si>
    <t xml:space="preserve">22. Adjustments/Touches</t>
  </si>
  <si>
    <t xml:space="preserve">23. No electricity used after 30 s (T/F)</t>
  </si>
  <si>
    <t xml:space="preserve">24. No Solid/liquid leaving (T/F)</t>
  </si>
  <si>
    <t xml:space="preserve">25. Device Time (s)</t>
  </si>
  <si>
    <t xml:space="preserve">26. Disqualify (T/F)</t>
  </si>
  <si>
    <t xml:space="preserve">Global: Target Time</t>
  </si>
  <si>
    <t xml:space="preserve">Is valid Target Time? (copied as data validation script for D7)</t>
  </si>
  <si>
    <t xml:space="preserve">Set-Up &amp; ASL</t>
  </si>
  <si>
    <t xml:space="preserve">Actions</t>
  </si>
  <si>
    <t xml:space="preserve">Time Score</t>
  </si>
  <si>
    <t xml:space="preserve">Bonus</t>
  </si>
  <si>
    <t xml:space="preserve">Device Size</t>
  </si>
  <si>
    <t xml:space="preserve">Penalties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</si>
  <si>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</si>
  <si>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</si>
  <si>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</si>
  <si>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</si>
  <si>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</si>
  <si>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</si>
  <si>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</si>
  <si>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</si>
  <si>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ERROR: Set Target Time in cell D7</t>
  </si>
  <si>
    <t xml:space="preserve">ERROR: Target Time in cell D7 must be a number</t>
  </si>
  <si>
    <t xml:space="preserve">Target Time (s):</t>
  </si>
  <si>
    <t xml:space="preserve">Awards</t>
  </si>
  <si>
    <t xml:space="preserve">Penalties (points deducted)</t>
  </si>
  <si>
    <t xml:space="preserve">Ranking and Tiebreaks</t>
  </si>
  <si>
    <t xml:space="preserve">Input Checks (Target Time message in row 5/6; other checks flag the red input cell)</t>
  </si>
  <si>
    <t xml:space="preserve">Status</t>
  </si>
  <si>
    <t xml:space="preserve">Touches (box 22)</t>
  </si>
  <si>
    <t xml:space="preserve">Set-Up Score</t>
  </si>
  <si>
    <t xml:space="preserve">ASL Score</t>
  </si>
  <si>
    <t xml:space="preserve">Start Action Score</t>
  </si>
  <si>
    <t xml:space="preserve">Scorable Actions Score</t>
  </si>
  <si>
    <t xml:space="preserve">Final Action Score</t>
  </si>
  <si>
    <t xml:space="preserve">Water Timer Bonus</t>
  </si>
  <si>
    <t xml:space="preserve">No Adjustments Bonus</t>
  </si>
  <si>
    <t xml:space="preserve">Device Size Score</t>
  </si>
  <si>
    <t xml:space="preserve">Overtime</t>
  </si>
  <si>
    <t xml:space="preserve">Dimensions over 80 cm</t>
  </si>
  <si>
    <t xml:space="preserve">Top/Walls not open</t>
  </si>
  <si>
    <t xml:space="preserve">Touches</t>
  </si>
  <si>
    <t xml:space="preserve">Solid/Liquid leaving</t>
  </si>
  <si>
    <t xml:space="preserve">Electricity after 30 s</t>
  </si>
  <si>
    <t xml:space="preserve">Penalty Points (TB1)</t>
  </si>
  <si>
    <t xml:space="preserve">Final Score</t>
  </si>
  <si>
    <t xml:space="preserve">Score Rank</t>
  </si>
  <si>
    <t xml:space="preserve">Rank (Tier, Score)</t>
  </si>
  <si>
    <t xml:space="preserve">TB1 Rank</t>
  </si>
  <si>
    <t xml:space="preserve">Device Size L+W+H (TB2)</t>
  </si>
  <si>
    <t xml:space="preserve">TB2 Rank</t>
  </si>
  <si>
    <t xml:space="preserve">Rank w/ TB</t>
  </si>
  <si>
    <t xml:space="preserve">Rank Diff</t>
  </si>
  <si>
    <t xml:space="preserve">Target Time Error</t>
  </si>
  <si>
    <t xml:space="preserve">Dimension Error</t>
  </si>
  <si>
    <t xml:space="preserve">Start Action Error</t>
  </si>
  <si>
    <t xml:space="preserve">Scorable Actions Error</t>
  </si>
  <si>
    <t xml:space="preserve">Water Timer Error</t>
  </si>
  <si>
    <t xml:space="preserve">Touches Error</t>
  </si>
  <si>
    <t xml:space="preserve">Device Time Error</t>
  </si>
  <si>
    <t xml:space="preserve">Errors</t>
  </si>
  <si>
    <t xml:space="preserve">Name Desc</t>
  </si>
  <si>
    <t xml:space="preserve">Value</t>
  </si>
  <si>
    <t xml:space="preserve">True</t>
  </si>
  <si>
    <t xml:space="preserve">T</t>
  </si>
  <si>
    <t xml:space="preserve">False</t>
  </si>
  <si>
    <t xml:space="preserve">F</t>
  </si>
  <si>
    <t xml:space="preserve">Competed</t>
  </si>
  <si>
    <t xml:space="preserve">C</t>
  </si>
  <si>
    <t xml:space="preserve">Participated</t>
  </si>
  <si>
    <t xml:space="preserve">P</t>
  </si>
  <si>
    <t xml:space="preserve">No-Show</t>
  </si>
  <si>
    <t xml:space="preserve">NS</t>
  </si>
  <si>
    <t xml:space="preserve">Disqualified</t>
  </si>
  <si>
    <t xml:space="preserve">DQ</t>
  </si>
  <si>
    <t xml:space="preserve">Error</t>
  </si>
  <si>
    <t xml:space="preserve">ERR</t>
  </si>
  <si>
    <t xml:space="preserve">Tier 1</t>
  </si>
  <si>
    <t xml:space="preserve">Tier 2</t>
  </si>
  <si>
    <t xml:space="preserve">Tier 3</t>
  </si>
  <si>
    <t xml:space="preserve">Start Action: touched to start</t>
  </si>
  <si>
    <t xml:space="preserve">Touch</t>
  </si>
  <si>
    <t xml:space="preserve">Start Action: 1st coin (pt)</t>
  </si>
  <si>
    <t xml:space="preserve">Start Action: 2nd coin (pt)</t>
  </si>
  <si>
    <t xml:space="preserve">Start Action: quarter (pt)</t>
  </si>
  <si>
    <t xml:space="preserve">Start Action: team-dropped quarter (pt)</t>
  </si>
  <si>
    <t xml:space="preserve">Set-Up &lt;= 30 min (pt)</t>
  </si>
  <si>
    <t xml:space="preserve">State/Nats Set-Up &lt;= 15 min (pt)</t>
  </si>
  <si>
    <t xml:space="preserve">ASL item (pt)</t>
  </si>
  <si>
    <t xml:space="preserve">Scorable Action (pt)</t>
  </si>
  <si>
    <t xml:space="preserve">Max Scorable Actions</t>
  </si>
  <si>
    <t xml:space="preserve">Final Action (pt)</t>
  </si>
  <si>
    <t xml:space="preserve">Time Score (pt/s)</t>
  </si>
  <si>
    <t xml:space="preserve">Water Timer Bonus (pt/s)</t>
  </si>
  <si>
    <t xml:space="preserve">No Adjustments Bonus (pt)</t>
  </si>
  <si>
    <t xml:space="preserve">Device Dimension Limit (cm)</t>
  </si>
  <si>
    <t xml:space="preserve">Device Size Score (pt/cm)</t>
  </si>
  <si>
    <t xml:space="preserve">Device Size Score Step (cm)</t>
  </si>
  <si>
    <t xml:space="preserve">Device Size Score Max per Dimension (pt)</t>
  </si>
  <si>
    <t xml:space="preserve">Tier 2 Dimension Limit (cm)</t>
  </si>
  <si>
    <t xml:space="preserve">Overtime Penalty (pt/s)</t>
  </si>
  <si>
    <t xml:space="preserve">Dimension Penalty (pt per dimension)</t>
  </si>
  <si>
    <t xml:space="preserve">Top/Walls Not Open Penalty (pt)</t>
  </si>
  <si>
    <t xml:space="preserve">Touch Penalty (pt per touch)</t>
  </si>
  <si>
    <t xml:space="preserve">Max Penalised Touches</t>
  </si>
  <si>
    <t xml:space="preserve">Solid/Liquid Leaving Penalty (pt)</t>
  </si>
  <si>
    <t xml:space="preserve">Electricity After 30 s Penalty (pt)</t>
  </si>
  <si>
    <t xml:space="preserve">Target Time Min (s)</t>
  </si>
  <si>
    <t xml:space="preserve">Target Time Max (s)</t>
  </si>
  <si>
    <t xml:space="preserve">Target Time Interval (s)</t>
  </si>
  <si>
    <t xml:space="preserve">Date</t>
  </si>
  <si>
    <t xml:space="preserve">Version #</t>
  </si>
  <si>
    <t xml:space="preserve">Change</t>
  </si>
  <si>
    <t xml:space="preserve">0.0.0</t>
  </si>
  <si>
    <t xml:space="preserve">First draft of scoresheet completed</t>
  </si>
  <si>
    <t xml:space="preserve">0.0.1</t>
  </si>
  <si>
    <t xml:space="preserve">Fixed Tiebreaker to show status (P, NS, DQ) if team is not Completed status </t>
  </si>
  <si>
    <t xml:space="preserve">0.1.0</t>
  </si>
  <si>
    <t xml:space="preserve">Fixed to include solid/liquid leaving penalty to score. Fixed dimension bonus from going negative. Fixed awarding of points for # of marbles sorted correctly. Added coloring for invalid number of items sorted incorrectly.</t>
  </si>
  <si>
    <t xml:space="preserve">0.2.0</t>
  </si>
  <si>
    <t xml:space="preserve">Fixed tiering to correctly group rankings by tier.</t>
  </si>
  <si>
    <t xml:space="preserve">0.3.0</t>
  </si>
  <si>
    <t xml:space="preserve">Make final action touches void points awarded for final scoring bell and sorting. Remove target time column in favor of global cell. Fix box numbering to align with checklist</t>
  </si>
  <si>
    <t xml:space="preserve">0.4.0</t>
  </si>
  <si>
    <t xml:space="preserve">Fixed #REF! errors related to time score</t>
  </si>
  <si>
    <t xml:space="preserve">0.5.0</t>
  </si>
  <si>
    <t xml:space="preserve">Removed box 17 to align with checklist</t>
  </si>
  <si>
    <t xml:space="preserve">0.5.1</t>
  </si>
  <si>
    <t xml:space="preserve">Add coloring for abnormal (red) and bonuses (green) where applicable</t>
  </si>
  <si>
    <t xml:space="preserve">Event</t>
  </si>
  <si>
    <t xml:space="preserve">Mission Possible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</si>
  <si>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</si>
  <si>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</si>
  <si>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</si>
  <si>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</si>
  <si>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</si>
  <si>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</si>
  <si>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</si>
  <si>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Division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</si>
  <si>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</si>
  <si>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</si>
  <si>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</si>
  <si>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</si>
  <si>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</si>
  <si>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Complete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</si>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</sst>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"/>
    <numFmt numFmtId="167" formatCode="0.00"/>
    <numFmt numFmtId="168" formatCode="#,##0"/>
    <numFmt numFmtId="169" formatCode="@"/>
    <numFmt numFmtId="170" formatCode="m/d/yyyy"/>
    <numFmt numFmtId="171" formatCode="mm/dd/yyyy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b val="true"/>
      <sz val="11"/>
      <name val="Overpass"/>
      <family val="0"/>
      <charset val="1"/>
    </font>
    <font>
      <sz val="11"/>
      <name val="Cambria"/>
      <family val="0"/>
      <charset val="1"/>
    </font>
    <font>
      <sz val="11"/>
      <color rgb="FF181A1B"/>
      <name val="Overpass"/>
      <family val="0"/>
      <charset val="1"/>
    </font>
    <font>
      <b val="true"/>
      <sz val="11"/>
      <color rgb="FF181A1B"/>
      <name val="Overpass"/>
      <family val="0"/>
      <charset val="1"/>
    </font>
    <font>
      <sz val="13"/>
      <color theme="1"/>
      <name val="Overpass"/>
      <family val="0"/>
      <charset val="1"/>
    </font>
    <font>
      <sz val="18"/>
      <color theme="1"/>
      <name val="Overpass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B7E1CD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B7E1CD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6" fontId="6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6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7" fontId="6" fillId="0" borderId="8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7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6" fontId="8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000000"/>
      </font>
      <fill>
        <patternFill>
          <bgColor rgb="FFFFB3B3"/>
        </patternFill>
      </fill>
    </dxf>
    <dxf>
      <fill>
        <patternFill>
          <bgColor rgb="FFF4C7C3"/>
        </patternFill>
      </fill>
    </dxf>
    <dxf>
      <fill>
        <patternFill>
          <bgColor rgb="FFFF0000"/>
        </patternFill>
      </fill>
    </dxf>
    <dxf>
      <font>
        <b val="1"/>
        <color rgb="FFFFFFFF"/>
      </font>
      <fill>
        <patternFill>
          <bgColor rgb="FFCC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B7E1CD"/>
      <rgbColor rgb="FFFFB3B3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U508"/>
  <sheetViews>
    <sheetView showFormulas="false" showGridLines="true" showRowColHeaders="true" showZeros="true" rightToLeft="false" tabSelected="true" showOutlineSymbols="true" defaultGridColor="true" view="normal" topLeftCell="CI1" colorId="64" zoomScale="100" zoomScaleNormal="100" zoomScalePageLayoutView="100" workbookViewId="0">
      <pane xSplit="0" ySplit="8" topLeftCell="A9" activePane="bottomLeft" state="frozen"/>
      <selection pane="topLeft" activeCell="CI1" activeCellId="0" sqref="CI1"/>
      <selection pane="bottomLeft" activeCell="CR1" activeCellId="0" sqref="CR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5" min="5" style="1" width="6.96"/>
    <col collapsed="false" customWidth="true" hidden="false" outlineLevel="0" max="6" min="6" style="1" width="5.71"/>
    <col collapsed="false" customWidth="true" hidden="false" outlineLevel="0" max="7" min="7" style="1" width="5.56"/>
    <col collapsed="false" customWidth="true" hidden="false" outlineLevel="0" max="8" min="8" style="1" width="5.42"/>
    <col collapsed="false" customWidth="true" hidden="false" outlineLevel="0" max="11" min="9" style="1" width="7.5"/>
    <col collapsed="false" customWidth="true" hidden="false" outlineLevel="0" max="12" min="12" style="1" width="5.84"/>
    <col collapsed="false" customWidth="true" hidden="false" outlineLevel="0" max="15" min="13" style="1" width="6.39"/>
    <col collapsed="false" customWidth="true" hidden="false" outlineLevel="0" max="16" min="16" style="1" width="4.5"/>
    <col collapsed="false" customWidth="true" hidden="false" outlineLevel="0" max="17" min="17" style="1" width="6.53"/>
    <col collapsed="false" customWidth="true" hidden="false" outlineLevel="0" max="18" min="18" style="1" width="6.68"/>
    <col collapsed="false" customWidth="true" hidden="false" outlineLevel="0" max="20" min="19" style="1" width="6.39"/>
    <col collapsed="false" customWidth="true" hidden="false" outlineLevel="0" max="21" min="21" style="1" width="6.53"/>
    <col collapsed="false" customWidth="true" hidden="false" outlineLevel="0" max="22" min="22" style="1" width="5"/>
    <col collapsed="false" customWidth="true" hidden="false" outlineLevel="0" max="23" min="23" style="1" width="7.5"/>
    <col collapsed="false" customWidth="true" hidden="false" outlineLevel="0" max="24" min="24" style="1" width="7.65"/>
    <col collapsed="false" customWidth="true" hidden="false" outlineLevel="0" max="25" min="25" style="1" width="7.37"/>
    <col collapsed="false" customWidth="true" hidden="false" outlineLevel="0" max="28" min="26" style="1" width="5.98"/>
    <col collapsed="false" customWidth="true" hidden="false" outlineLevel="0" max="29" min="29" style="1" width="6"/>
    <col collapsed="false" customWidth="true" hidden="false" outlineLevel="0" max="30" min="30" style="1" width="4"/>
    <col collapsed="false" customWidth="true" hidden="true" outlineLevel="0" max="31" min="31" style="1" width="4.63"/>
    <col collapsed="false" customWidth="true" hidden="true" outlineLevel="0" max="32" min="32" style="1" width="4.07"/>
    <col collapsed="false" customWidth="true" hidden="true" outlineLevel="0" max="33" min="33" style="1" width="6.58"/>
    <col collapsed="false" customWidth="true" hidden="true" outlineLevel="0" max="37" min="34" style="1" width="7.42"/>
    <col collapsed="false" customWidth="true" hidden="true" outlineLevel="0" max="40" min="38" style="1" width="7.5"/>
    <col collapsed="false" customWidth="true" hidden="true" outlineLevel="0" max="50" min="41" style="1" width="7.42"/>
    <col collapsed="false" customWidth="true" hidden="true" outlineLevel="0" max="51" min="51" style="1" width="5"/>
    <col collapsed="false" customWidth="true" hidden="true" outlineLevel="0" max="52" min="52" style="1" width="7.5"/>
    <col collapsed="false" customWidth="true" hidden="true" outlineLevel="0" max="53" min="53" style="1" width="7.65"/>
    <col collapsed="false" customWidth="true" hidden="true" outlineLevel="0" max="54" min="54" style="1" width="7.42"/>
    <col collapsed="false" customWidth="true" hidden="true" outlineLevel="0" max="55" min="55" style="1" width="5.98"/>
    <col collapsed="false" customWidth="true" hidden="true" outlineLevel="0" max="57" min="56" style="1" width="7.42"/>
    <col collapsed="false" customWidth="true" hidden="true" outlineLevel="0" max="58" min="58" style="1" width="6"/>
    <col collapsed="false" customWidth="true" hidden="true" outlineLevel="0" max="60" min="59" style="1" width="7.42"/>
    <col collapsed="false" customWidth="true" hidden="true" outlineLevel="0" max="61" min="61" style="1" width="5.19"/>
    <col collapsed="false" customWidth="true" hidden="true" outlineLevel="0" max="62" min="62" style="1" width="31.21"/>
    <col collapsed="false" customWidth="true" hidden="true" outlineLevel="0" max="63" min="63" style="1" width="13.81"/>
    <col collapsed="false" customWidth="true" hidden="true" outlineLevel="0" max="64" min="64" style="1" width="11.03"/>
    <col collapsed="false" customWidth="true" hidden="true" outlineLevel="0" max="65" min="65" style="1" width="18.54"/>
    <col collapsed="false" customWidth="true" hidden="true" outlineLevel="0" max="66" min="66" style="1" width="23.27"/>
    <col collapsed="false" customWidth="true" hidden="true" outlineLevel="0" max="67" min="67" style="1" width="18.68"/>
    <col collapsed="false" customWidth="true" hidden="true" outlineLevel="0" max="68" min="68" style="1" width="12.15"/>
    <col collapsed="false" customWidth="true" hidden="true" outlineLevel="0" max="69" min="69" style="1" width="20.07"/>
    <col collapsed="false" customWidth="true" hidden="true" outlineLevel="0" max="70" min="70" style="1" width="23.69"/>
    <col collapsed="false" customWidth="true" hidden="true" outlineLevel="0" max="71" min="71" style="1" width="18.13"/>
    <col collapsed="false" customWidth="true" hidden="true" outlineLevel="0" max="72" min="72" style="1" width="10.61"/>
    <col collapsed="false" customWidth="true" hidden="true" outlineLevel="0" max="73" min="73" style="1" width="24.39"/>
    <col collapsed="false" customWidth="true" hidden="true" outlineLevel="0" max="74" min="74" style="1" width="20.35"/>
    <col collapsed="false" customWidth="true" hidden="true" outlineLevel="0" max="75" min="75" style="1" width="9.52"/>
    <col collapsed="false" customWidth="true" hidden="true" outlineLevel="0" max="76" min="76" style="1" width="20.63"/>
    <col collapsed="false" customWidth="true" hidden="true" outlineLevel="0" max="77" min="77" style="1" width="20.35"/>
    <col collapsed="false" customWidth="true" hidden="true" outlineLevel="0" max="78" min="78" style="1" width="20.91"/>
    <col collapsed="false" customWidth="true" hidden="true" outlineLevel="0" max="79" min="79" style="1" width="12.01"/>
    <col collapsed="false" customWidth="true" hidden="true" outlineLevel="0" max="80" min="80" style="1" width="12.15"/>
    <col collapsed="false" customWidth="true" hidden="true" outlineLevel="0" max="81" min="81" style="1" width="18.26"/>
    <col collapsed="false" customWidth="true" hidden="true" outlineLevel="0" max="82" min="82" style="1" width="10.61"/>
    <col collapsed="false" customWidth="true" hidden="true" outlineLevel="0" max="83" min="83" style="1" width="25.64"/>
    <col collapsed="false" customWidth="true" hidden="true" outlineLevel="0" max="84" min="84" style="1" width="10.61"/>
    <col collapsed="false" customWidth="true" hidden="true" outlineLevel="0" max="85" min="85" style="1" width="12.42"/>
    <col collapsed="false" customWidth="true" hidden="true" outlineLevel="0" max="86" min="86" style="1" width="10.33"/>
    <col collapsed="false" customWidth="true" hidden="true" outlineLevel="0" max="87" min="87" style="1" width="52.07"/>
    <col collapsed="false" customWidth="true" hidden="true" outlineLevel="0" max="88" min="88" style="1" width="17.43"/>
    <col collapsed="false" customWidth="true" hidden="true" outlineLevel="0" max="89" min="89" style="1" width="18.13"/>
    <col collapsed="false" customWidth="true" hidden="true" outlineLevel="0" max="90" min="90" style="1" width="22.86"/>
    <col collapsed="false" customWidth="true" hidden="true" outlineLevel="0" max="91" min="91" style="1" width="18.82"/>
    <col collapsed="false" customWidth="true" hidden="true" outlineLevel="0" max="92" min="92" style="1" width="14.93"/>
    <col collapsed="false" customWidth="true" hidden="true" outlineLevel="0" max="93" min="93" style="1" width="18.68"/>
    <col collapsed="false" customWidth="true" hidden="true" outlineLevel="0" max="95" min="94" style="1" width="4.63"/>
    <col collapsed="false" customWidth="true" hidden="false" outlineLevel="0" max="96" min="96" style="1" width="52.07"/>
    <col collapsed="false" customWidth="true" hidden="false" outlineLevel="0" max="97" min="97" style="1" width="5.32"/>
    <col collapsed="false" customWidth="true" hidden="false" outlineLevel="0" max="98" min="98" style="1" width="6.58"/>
    <col collapsed="false" customWidth="true" hidden="false" outlineLevel="0" max="100" min="99" style="1" width="5.32"/>
    <col collapsed="false" customWidth="true" hidden="false" outlineLevel="0" max="101" min="101" style="1" width="5.88"/>
    <col collapsed="false" customWidth="true" hidden="false" outlineLevel="0" max="102" min="102" style="1" width="6.02"/>
    <col collapsed="false" customWidth="true" hidden="false" outlineLevel="0" max="103" min="103" style="1" width="8.63"/>
    <col collapsed="false" customWidth="true" hidden="false" outlineLevel="0" max="107" min="104" style="1" width="4"/>
    <col collapsed="false" customWidth="true" hidden="false" outlineLevel="0" max="108" min="108" style="1" width="2"/>
    <col collapsed="false" customWidth="true" hidden="true" outlineLevel="0" max="118" min="109" style="1" width="4.63"/>
    <col collapsed="false" customWidth="true" hidden="false" outlineLevel="0" max="119" min="119" style="1" width="4.63"/>
    <col collapsed="false" customWidth="true" hidden="false" outlineLevel="0" max="120" min="120" style="1" width="6.88"/>
    <col collapsed="false" customWidth="true" hidden="false" outlineLevel="0" max="121" min="121" style="1" width="30.75"/>
    <col collapsed="false" customWidth="true" hidden="false" outlineLevel="0" max="122" min="122" style="1" width="15.63"/>
    <col collapsed="false" customWidth="true" hidden="false" outlineLevel="0" max="123" min="123" style="1" width="4.63"/>
    <col collapsed="false" customWidth="true" hidden="false" outlineLevel="0" max="124" min="124" style="1" width="8.63"/>
    <col collapsed="false" customWidth="true" hidden="true" outlineLevel="0" max="125" min="125" style="1" width="6.6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4"/>
      <c r="W1" s="2"/>
      <c r="X1" s="2"/>
      <c r="Y1" s="4"/>
      <c r="Z1" s="4"/>
      <c r="AA1" s="4"/>
      <c r="AB1" s="2"/>
      <c r="AC1" s="5"/>
      <c r="AD1" s="2"/>
      <c r="AE1" s="2"/>
      <c r="CP1" s="2"/>
      <c r="CQ1" s="2"/>
      <c r="CR1" s="2"/>
      <c r="CY1" s="2"/>
      <c r="CZ1" s="6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customFormat="false" ht="15.75" hidden="false" customHeight="false" outlineLevel="0" collapsed="false">
      <c r="A2" s="7"/>
      <c r="B2" s="8" t="str">
        <f aca="false">'Info.'!B1&amp;" "&amp;'Info.'!B4</f>
        <v>Mission Possible C</v>
      </c>
      <c r="C2" s="8"/>
      <c r="D2" s="8"/>
      <c r="E2" s="9" t="s">
        <v>0</v>
      </c>
      <c r="F2" s="9"/>
      <c r="G2" s="10" t="s">
        <v>1</v>
      </c>
      <c r="H2" s="10"/>
      <c r="I2" s="10"/>
      <c r="J2" s="10"/>
      <c r="K2" s="10"/>
      <c r="L2" s="10"/>
      <c r="M2" s="10"/>
      <c r="N2" s="10"/>
      <c r="O2" s="10"/>
      <c r="P2" s="11" t="s">
        <v>2</v>
      </c>
      <c r="Q2" s="11"/>
      <c r="R2" s="11"/>
      <c r="S2" s="11"/>
      <c r="T2" s="11"/>
      <c r="U2" s="12" t="s">
        <v>3</v>
      </c>
      <c r="V2" s="12"/>
      <c r="W2" s="12"/>
      <c r="X2" s="12"/>
      <c r="Y2" s="12"/>
      <c r="Z2" s="12"/>
      <c r="AA2" s="12"/>
      <c r="AB2" s="12"/>
      <c r="AC2" s="12"/>
      <c r="AD2" s="13"/>
      <c r="AE2" s="14"/>
      <c r="AH2" s="15" t="s">
        <v>4</v>
      </c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 t="s">
        <v>5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P2" s="16"/>
      <c r="CQ2" s="17"/>
      <c r="CR2" s="18"/>
      <c r="CS2" s="19" t="s">
        <v>6</v>
      </c>
      <c r="CT2" s="19"/>
      <c r="CU2" s="19"/>
      <c r="CV2" s="19"/>
      <c r="CW2" s="19"/>
      <c r="CX2" s="19"/>
      <c r="CY2" s="20"/>
      <c r="CZ2" s="20"/>
      <c r="DA2" s="20"/>
      <c r="DB2" s="20"/>
      <c r="DC2" s="19"/>
      <c r="DD2" s="21"/>
      <c r="DE2" s="22"/>
      <c r="DF2" s="22"/>
      <c r="DG2" s="23" t="s">
        <v>7</v>
      </c>
      <c r="DH2" s="24" t="s">
        <v>8</v>
      </c>
      <c r="DI2" s="24" t="s">
        <v>9</v>
      </c>
      <c r="DJ2" s="24" t="s">
        <v>10</v>
      </c>
      <c r="DK2" s="24" t="s">
        <v>11</v>
      </c>
      <c r="DL2" s="24" t="s">
        <v>12</v>
      </c>
      <c r="DM2" s="24" t="s">
        <v>13</v>
      </c>
      <c r="DN2" s="25" t="s">
        <v>14</v>
      </c>
      <c r="DO2" s="26" t="s">
        <v>15</v>
      </c>
      <c r="DP2" s="26"/>
      <c r="DQ2" s="26"/>
      <c r="DR2" s="26"/>
      <c r="DS2" s="26"/>
      <c r="DT2" s="26"/>
      <c r="DU2" s="22"/>
    </row>
    <row r="3" customFormat="false" ht="15.75" hidden="false" customHeight="true" outlineLevel="0" collapsed="false">
      <c r="A3" s="7"/>
      <c r="B3" s="8"/>
      <c r="C3" s="8"/>
      <c r="D3" s="8"/>
      <c r="E3" s="27" t="s">
        <v>16</v>
      </c>
      <c r="F3" s="28" t="s">
        <v>17</v>
      </c>
      <c r="G3" s="27" t="s">
        <v>18</v>
      </c>
      <c r="H3" s="29" t="s">
        <v>19</v>
      </c>
      <c r="I3" s="30" t="s">
        <v>20</v>
      </c>
      <c r="J3" s="30" t="s">
        <v>21</v>
      </c>
      <c r="K3" s="30" t="s">
        <v>22</v>
      </c>
      <c r="L3" s="31" t="s">
        <v>23</v>
      </c>
      <c r="M3" s="31" t="s">
        <v>24</v>
      </c>
      <c r="N3" s="31" t="s">
        <v>25</v>
      </c>
      <c r="O3" s="28" t="s">
        <v>26</v>
      </c>
      <c r="P3" s="27" t="s">
        <v>27</v>
      </c>
      <c r="Q3" s="27" t="s">
        <v>28</v>
      </c>
      <c r="R3" s="27" t="s">
        <v>29</v>
      </c>
      <c r="S3" s="27" t="s">
        <v>30</v>
      </c>
      <c r="T3" s="28" t="s">
        <v>31</v>
      </c>
      <c r="U3" s="27" t="s">
        <v>32</v>
      </c>
      <c r="V3" s="32" t="s">
        <v>33</v>
      </c>
      <c r="W3" s="27" t="s">
        <v>34</v>
      </c>
      <c r="X3" s="31" t="s">
        <v>35</v>
      </c>
      <c r="Y3" s="32" t="s">
        <v>36</v>
      </c>
      <c r="Z3" s="32" t="s">
        <v>37</v>
      </c>
      <c r="AA3" s="27" t="s">
        <v>38</v>
      </c>
      <c r="AB3" s="27" t="s">
        <v>39</v>
      </c>
      <c r="AC3" s="33" t="s">
        <v>40</v>
      </c>
      <c r="AD3" s="31" t="s">
        <v>41</v>
      </c>
      <c r="AE3" s="14"/>
      <c r="AF3" s="34" t="s">
        <v>42</v>
      </c>
      <c r="AG3" s="34" t="s">
        <v>43</v>
      </c>
      <c r="AH3" s="35" t="str">
        <f aca="false">E3</f>
        <v>1. State/Nats Only: Device Impounded (T/F)</v>
      </c>
      <c r="AI3" s="36" t="str">
        <f aca="false">F3</f>
        <v>2. ASL Impounded (T/F)</v>
      </c>
      <c r="AJ3" s="35" t="str">
        <f aca="false">G3</f>
        <v>3. Eye Protection (T/F)</v>
      </c>
      <c r="AK3" s="37" t="str">
        <f aca="false">H3</f>
        <v>4. Device is safe (T/F)</v>
      </c>
      <c r="AL3" s="38" t="str">
        <f aca="false">I3</f>
        <v>5. Dimension 1 (cm)</v>
      </c>
      <c r="AM3" s="38" t="str">
        <f aca="false">J3</f>
        <v>6. Dimension 2 (cm)</v>
      </c>
      <c r="AN3" s="38" t="str">
        <f aca="false">K3</f>
        <v>7. Dimension 3 (cm)</v>
      </c>
      <c r="AO3" s="39" t="str">
        <f aca="false">L3</f>
        <v>8. Top &amp; 2+ vertical walls transparent/open (T/F)</v>
      </c>
      <c r="AP3" s="39" t="str">
        <f aca="false">M3</f>
        <v>9. All const params met (T/F)</v>
      </c>
      <c r="AQ3" s="39" t="str">
        <f aca="false">N3</f>
        <v>10. Not Remote Controlled (T/F)</v>
      </c>
      <c r="AR3" s="36" t="str">
        <f aca="false">O3</f>
        <v>11. Team able to answer questions (T/F)</v>
      </c>
      <c r="AS3" s="35" t="str">
        <f aca="false">P3</f>
        <v>12. &lt;= 30 min to set up (T/F)</v>
      </c>
      <c r="AT3" s="35" t="str">
        <f aca="false">Q3</f>
        <v>13. State/Nats Only: &lt;= 15 min to set up (T/F)</v>
      </c>
      <c r="AU3" s="35" t="str">
        <f aca="false">R3</f>
        <v>14. ASL proper format (T/F)</v>
      </c>
      <c r="AV3" s="35" t="str">
        <f aca="false">S3</f>
        <v>15. All actions included and accurate (T/F)</v>
      </c>
      <c r="AW3" s="36" t="str">
        <f aca="false">T3</f>
        <v>16. ASL # properly labelled (T/F)</v>
      </c>
      <c r="AX3" s="35" t="str">
        <f aca="false">U3</f>
        <v>17. Start Action (# of coins or Touch)</v>
      </c>
      <c r="AY3" s="40" t="str">
        <f aca="false">V3</f>
        <v>18. # of successful actions</v>
      </c>
      <c r="AZ3" s="35" t="str">
        <f aca="false">W3</f>
        <v>19. Water Timer (sec)</v>
      </c>
      <c r="BA3" s="39" t="str">
        <f aca="false">X3</f>
        <v>20. No Touches leading to Final Action (T/F)</v>
      </c>
      <c r="BB3" s="40" t="str">
        <f aca="false">Y3</f>
        <v>21. Final Action Satisfied (T/F)</v>
      </c>
      <c r="BC3" s="40" t="str">
        <f aca="false">Z3</f>
        <v>22. Adjustments/Touches</v>
      </c>
      <c r="BD3" s="35" t="str">
        <f aca="false">AA3</f>
        <v>23. No electricity used after 30 s (T/F)</v>
      </c>
      <c r="BE3" s="35" t="str">
        <f aca="false">AB3</f>
        <v>24. No Solid/liquid leaving (T/F)</v>
      </c>
      <c r="BF3" s="41" t="str">
        <f aca="false">AC3</f>
        <v>25. Device Time (s)</v>
      </c>
      <c r="BG3" s="39" t="str">
        <f aca="false">AD3</f>
        <v>26. Disqualify (T/F)</v>
      </c>
      <c r="CP3" s="16"/>
      <c r="CQ3" s="42"/>
      <c r="CR3" s="43"/>
      <c r="CS3" s="44" t="s">
        <v>44</v>
      </c>
      <c r="CT3" s="44" t="s">
        <v>45</v>
      </c>
      <c r="CU3" s="44" t="s">
        <v>46</v>
      </c>
      <c r="CV3" s="44" t="s">
        <v>47</v>
      </c>
      <c r="CW3" s="44" t="s">
        <v>48</v>
      </c>
      <c r="CX3" s="45" t="s">
        <v>49</v>
      </c>
      <c r="CY3" s="46" t="s">
        <v>50</v>
      </c>
      <c r="CZ3" s="44" t="s">
        <v>51</v>
      </c>
      <c r="DA3" s="47" t="s">
        <v>52</v>
      </c>
      <c r="DB3" s="44" t="s">
        <v>53</v>
      </c>
      <c r="DC3" s="45" t="s">
        <v>54</v>
      </c>
      <c r="DD3" s="48"/>
      <c r="DE3" s="22"/>
      <c r="DF3" s="22"/>
      <c r="DG3" s="23"/>
      <c r="DH3" s="24"/>
      <c r="DI3" s="24"/>
      <c r="DJ3" s="24"/>
      <c r="DK3" s="24"/>
      <c r="DL3" s="24"/>
      <c r="DM3" s="24"/>
      <c r="DN3" s="25"/>
      <c r="DO3" s="49" t="s">
        <v>53</v>
      </c>
      <c r="DP3" s="50" t="s">
        <v>55</v>
      </c>
      <c r="DQ3" s="50" t="s">
        <v>56</v>
      </c>
      <c r="DR3" s="50" t="s">
        <v>57</v>
      </c>
      <c r="DS3" s="50" t="s">
        <v>51</v>
      </c>
      <c r="DT3" s="51" t="s">
        <v>50</v>
      </c>
      <c r="DU3" s="22"/>
    </row>
    <row r="4" customFormat="false" ht="18.65" hidden="false" customHeight="false" outlineLevel="0" collapsed="false">
      <c r="A4" s="7"/>
      <c r="B4" s="52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52"/>
      <c r="D4" s="52"/>
      <c r="E4" s="27"/>
      <c r="F4" s="28"/>
      <c r="G4" s="27"/>
      <c r="H4" s="29"/>
      <c r="I4" s="30"/>
      <c r="J4" s="30"/>
      <c r="K4" s="30"/>
      <c r="L4" s="30"/>
      <c r="M4" s="31"/>
      <c r="N4" s="31"/>
      <c r="O4" s="28"/>
      <c r="P4" s="27"/>
      <c r="Q4" s="27"/>
      <c r="R4" s="27"/>
      <c r="S4" s="27"/>
      <c r="T4" s="28"/>
      <c r="U4" s="27"/>
      <c r="V4" s="27"/>
      <c r="W4" s="27"/>
      <c r="X4" s="27"/>
      <c r="Y4" s="27"/>
      <c r="Z4" s="27"/>
      <c r="AA4" s="27"/>
      <c r="AB4" s="27"/>
      <c r="AC4" s="33"/>
      <c r="AD4" s="31"/>
      <c r="AE4" s="1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CP4" s="16"/>
      <c r="CQ4" s="42"/>
      <c r="CR4" s="43"/>
      <c r="CS4" s="44"/>
      <c r="CT4" s="44"/>
      <c r="CU4" s="44"/>
      <c r="CV4" s="44"/>
      <c r="CW4" s="44"/>
      <c r="CX4" s="45"/>
      <c r="CY4" s="46"/>
      <c r="CZ4" s="44"/>
      <c r="DA4" s="44"/>
      <c r="DB4" s="44"/>
      <c r="DC4" s="45"/>
      <c r="DD4" s="48"/>
      <c r="DE4" s="22"/>
      <c r="DF4" s="22"/>
      <c r="DG4" s="23"/>
      <c r="DH4" s="24"/>
      <c r="DI4" s="24"/>
      <c r="DJ4" s="24"/>
      <c r="DK4" s="24"/>
      <c r="DL4" s="24"/>
      <c r="DM4" s="24"/>
      <c r="DN4" s="25"/>
      <c r="DO4" s="49"/>
      <c r="DP4" s="50"/>
      <c r="DQ4" s="50"/>
      <c r="DR4" s="50"/>
      <c r="DS4" s="50"/>
      <c r="DT4" s="51"/>
      <c r="DU4" s="22"/>
    </row>
    <row r="5" customFormat="false" ht="118.5" hidden="true" customHeight="true" outlineLevel="0" collapsed="false">
      <c r="A5" s="7"/>
      <c r="B5" s="53"/>
      <c r="C5" s="53"/>
      <c r="D5" s="53"/>
      <c r="E5" s="27"/>
      <c r="F5" s="28"/>
      <c r="G5" s="27"/>
      <c r="H5" s="29"/>
      <c r="I5" s="30"/>
      <c r="J5" s="30"/>
      <c r="K5" s="30"/>
      <c r="L5" s="30"/>
      <c r="M5" s="31"/>
      <c r="N5" s="31"/>
      <c r="O5" s="28"/>
      <c r="P5" s="27"/>
      <c r="Q5" s="27"/>
      <c r="R5" s="27"/>
      <c r="S5" s="27"/>
      <c r="T5" s="28"/>
      <c r="U5" s="27"/>
      <c r="V5" s="27"/>
      <c r="W5" s="27"/>
      <c r="X5" s="27"/>
      <c r="Y5" s="27"/>
      <c r="Z5" s="27"/>
      <c r="AA5" s="27"/>
      <c r="AB5" s="27"/>
      <c r="AC5" s="33"/>
      <c r="AD5" s="31"/>
      <c r="AE5" s="1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CI5" s="15" t="s">
        <v>58</v>
      </c>
      <c r="CP5" s="16"/>
      <c r="CQ5" s="42"/>
      <c r="CR5" s="43"/>
      <c r="CS5" s="44"/>
      <c r="CT5" s="44"/>
      <c r="CU5" s="44"/>
      <c r="CV5" s="44"/>
      <c r="CW5" s="44"/>
      <c r="CX5" s="45"/>
      <c r="CY5" s="46"/>
      <c r="CZ5" s="44"/>
      <c r="DA5" s="44"/>
      <c r="DB5" s="44"/>
      <c r="DC5" s="45"/>
      <c r="DD5" s="48"/>
      <c r="DE5" s="22"/>
      <c r="DF5" s="22"/>
      <c r="DG5" s="23"/>
      <c r="DH5" s="24"/>
      <c r="DI5" s="24"/>
      <c r="DJ5" s="24"/>
      <c r="DK5" s="24"/>
      <c r="DL5" s="24"/>
      <c r="DM5" s="24"/>
      <c r="DN5" s="25"/>
      <c r="DO5" s="49"/>
      <c r="DP5" s="50"/>
      <c r="DQ5" s="50"/>
      <c r="DR5" s="50"/>
      <c r="DS5" s="50"/>
      <c r="DT5" s="51"/>
      <c r="DU5" s="22"/>
    </row>
    <row r="6" customFormat="false" ht="76.5" hidden="false" customHeight="true" outlineLevel="0" collapsed="false">
      <c r="A6" s="7"/>
      <c r="B6" s="54" t="str">
        <f aca="false">"Last Updated: "&amp;TEXT('Info.'!B2, "mm/dd/yyyy")&amp;" (v"&amp;'Info.'!B3&amp;")
Direct all questions to scoresheets@soinc.org."</f>
        <v>Last Updated: 09/27/2026 (v0.1.0)
Direct all questions to scoresheets@soinc.org.</v>
      </c>
      <c r="C6" s="54"/>
      <c r="D6" s="54"/>
      <c r="E6" s="27"/>
      <c r="F6" s="28"/>
      <c r="G6" s="27"/>
      <c r="H6" s="29"/>
      <c r="I6" s="30"/>
      <c r="J6" s="30"/>
      <c r="K6" s="30"/>
      <c r="L6" s="30"/>
      <c r="M6" s="31"/>
      <c r="N6" s="31"/>
      <c r="O6" s="28"/>
      <c r="P6" s="27"/>
      <c r="Q6" s="27"/>
      <c r="R6" s="27"/>
      <c r="S6" s="27"/>
      <c r="T6" s="28"/>
      <c r="U6" s="27"/>
      <c r="V6" s="27"/>
      <c r="W6" s="27"/>
      <c r="X6" s="27"/>
      <c r="Y6" s="27"/>
      <c r="Z6" s="27"/>
      <c r="AA6" s="27"/>
      <c r="AB6" s="27"/>
      <c r="AC6" s="33"/>
      <c r="AD6" s="31"/>
      <c r="AE6" s="1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CI6" s="15" t="s">
        <v>59</v>
      </c>
      <c r="CP6" s="16"/>
      <c r="CQ6" s="42"/>
      <c r="CR6" s="43"/>
      <c r="CS6" s="44"/>
      <c r="CT6" s="44"/>
      <c r="CU6" s="44"/>
      <c r="CV6" s="44"/>
      <c r="CW6" s="44"/>
      <c r="CX6" s="45"/>
      <c r="CY6" s="46"/>
      <c r="CZ6" s="44"/>
      <c r="DA6" s="44"/>
      <c r="DB6" s="44"/>
      <c r="DC6" s="45"/>
      <c r="DD6" s="48"/>
      <c r="DE6" s="22"/>
      <c r="DF6" s="22"/>
      <c r="DG6" s="23"/>
      <c r="DH6" s="24"/>
      <c r="DI6" s="24"/>
      <c r="DJ6" s="24"/>
      <c r="DK6" s="24"/>
      <c r="DL6" s="24"/>
      <c r="DM6" s="24"/>
      <c r="DN6" s="25"/>
      <c r="DO6" s="49"/>
      <c r="DP6" s="50"/>
      <c r="DQ6" s="50"/>
      <c r="DR6" s="50"/>
      <c r="DS6" s="50"/>
      <c r="DT6" s="51"/>
      <c r="DU6" s="22"/>
    </row>
    <row r="7" customFormat="false" ht="22.05" hidden="false" customHeight="false" outlineLevel="0" collapsed="false">
      <c r="A7" s="7"/>
      <c r="B7" s="55" t="s">
        <v>60</v>
      </c>
      <c r="C7" s="55"/>
      <c r="D7" s="56"/>
      <c r="E7" s="27"/>
      <c r="F7" s="28"/>
      <c r="G7" s="27"/>
      <c r="H7" s="29"/>
      <c r="I7" s="30"/>
      <c r="J7" s="30"/>
      <c r="K7" s="30"/>
      <c r="L7" s="30"/>
      <c r="M7" s="31"/>
      <c r="N7" s="31"/>
      <c r="O7" s="28"/>
      <c r="P7" s="27"/>
      <c r="Q7" s="27"/>
      <c r="R7" s="27"/>
      <c r="S7" s="27"/>
      <c r="T7" s="28"/>
      <c r="U7" s="27"/>
      <c r="V7" s="27"/>
      <c r="W7" s="27"/>
      <c r="X7" s="27"/>
      <c r="Y7" s="27"/>
      <c r="Z7" s="27"/>
      <c r="AA7" s="27"/>
      <c r="AB7" s="27"/>
      <c r="AC7" s="33"/>
      <c r="AD7" s="31"/>
      <c r="AE7" s="1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K7" s="15" t="s">
        <v>61</v>
      </c>
      <c r="BL7" s="15"/>
      <c r="BM7" s="15"/>
      <c r="BN7" s="15"/>
      <c r="BO7" s="15"/>
      <c r="BP7" s="15"/>
      <c r="BQ7" s="15"/>
      <c r="BR7" s="15"/>
      <c r="BS7" s="15"/>
      <c r="BT7" s="15" t="s">
        <v>62</v>
      </c>
      <c r="BU7" s="15"/>
      <c r="BV7" s="15"/>
      <c r="BW7" s="15"/>
      <c r="BX7" s="15"/>
      <c r="BY7" s="15"/>
      <c r="CB7" s="15" t="s">
        <v>63</v>
      </c>
      <c r="CC7" s="15"/>
      <c r="CD7" s="15"/>
      <c r="CE7" s="15"/>
      <c r="CF7" s="15"/>
      <c r="CG7" s="15"/>
      <c r="CH7" s="15"/>
      <c r="CI7" s="15" t="s">
        <v>64</v>
      </c>
      <c r="CJ7" s="15"/>
      <c r="CK7" s="15"/>
      <c r="CL7" s="15"/>
      <c r="CM7" s="15"/>
      <c r="CN7" s="15"/>
      <c r="CO7" s="15"/>
      <c r="CP7" s="22"/>
      <c r="CQ7" s="42"/>
      <c r="CR7" s="43"/>
      <c r="CS7" s="44"/>
      <c r="CT7" s="44"/>
      <c r="CU7" s="44"/>
      <c r="CV7" s="44"/>
      <c r="CW7" s="44"/>
      <c r="CX7" s="45"/>
      <c r="CY7" s="46"/>
      <c r="CZ7" s="44"/>
      <c r="DA7" s="44"/>
      <c r="DB7" s="44"/>
      <c r="DC7" s="45"/>
      <c r="DD7" s="48"/>
      <c r="DE7" s="22"/>
      <c r="DF7" s="22"/>
      <c r="DG7" s="23"/>
      <c r="DH7" s="24"/>
      <c r="DI7" s="24"/>
      <c r="DJ7" s="24"/>
      <c r="DK7" s="24"/>
      <c r="DL7" s="24"/>
      <c r="DM7" s="24"/>
      <c r="DN7" s="25"/>
      <c r="DO7" s="49"/>
      <c r="DP7" s="50"/>
      <c r="DQ7" s="50"/>
      <c r="DR7" s="50"/>
      <c r="DS7" s="50"/>
      <c r="DT7" s="51"/>
      <c r="DU7" s="22"/>
    </row>
    <row r="8" customFormat="false" ht="15.75" hidden="false" customHeight="false" outlineLevel="0" collapsed="false">
      <c r="A8" s="7"/>
      <c r="B8" s="57" t="s">
        <v>55</v>
      </c>
      <c r="C8" s="58" t="s">
        <v>56</v>
      </c>
      <c r="D8" s="59" t="s">
        <v>57</v>
      </c>
      <c r="E8" s="27"/>
      <c r="F8" s="28"/>
      <c r="G8" s="27"/>
      <c r="H8" s="29"/>
      <c r="I8" s="30"/>
      <c r="J8" s="30"/>
      <c r="K8" s="30"/>
      <c r="L8" s="30"/>
      <c r="M8" s="31"/>
      <c r="N8" s="31"/>
      <c r="O8" s="28"/>
      <c r="P8" s="27"/>
      <c r="Q8" s="27"/>
      <c r="R8" s="27"/>
      <c r="S8" s="27"/>
      <c r="T8" s="28"/>
      <c r="U8" s="27"/>
      <c r="V8" s="27"/>
      <c r="W8" s="27"/>
      <c r="X8" s="27"/>
      <c r="Y8" s="27"/>
      <c r="Z8" s="27"/>
      <c r="AA8" s="27"/>
      <c r="AB8" s="27"/>
      <c r="AC8" s="33"/>
      <c r="AD8" s="31"/>
      <c r="AE8" s="60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61" t="s">
        <v>65</v>
      </c>
      <c r="BI8" s="61" t="s">
        <v>51</v>
      </c>
      <c r="BJ8" s="61" t="s">
        <v>66</v>
      </c>
      <c r="BK8" s="61" t="s">
        <v>67</v>
      </c>
      <c r="BL8" s="61" t="s">
        <v>68</v>
      </c>
      <c r="BM8" s="61" t="s">
        <v>69</v>
      </c>
      <c r="BN8" s="61" t="s">
        <v>70</v>
      </c>
      <c r="BO8" s="61" t="s">
        <v>71</v>
      </c>
      <c r="BP8" s="61" t="s">
        <v>46</v>
      </c>
      <c r="BQ8" s="61" t="s">
        <v>72</v>
      </c>
      <c r="BR8" s="61" t="s">
        <v>73</v>
      </c>
      <c r="BS8" s="61" t="s">
        <v>74</v>
      </c>
      <c r="BT8" s="61" t="s">
        <v>75</v>
      </c>
      <c r="BU8" s="61" t="s">
        <v>76</v>
      </c>
      <c r="BV8" s="61" t="s">
        <v>77</v>
      </c>
      <c r="BW8" s="61" t="s">
        <v>78</v>
      </c>
      <c r="BX8" s="61" t="s">
        <v>79</v>
      </c>
      <c r="BY8" s="61" t="s">
        <v>80</v>
      </c>
      <c r="BZ8" s="61" t="s">
        <v>81</v>
      </c>
      <c r="CA8" s="61" t="s">
        <v>82</v>
      </c>
      <c r="CB8" s="61" t="s">
        <v>83</v>
      </c>
      <c r="CC8" s="61" t="s">
        <v>84</v>
      </c>
      <c r="CD8" s="61" t="s">
        <v>85</v>
      </c>
      <c r="CE8" s="61" t="s">
        <v>86</v>
      </c>
      <c r="CF8" s="61" t="s">
        <v>87</v>
      </c>
      <c r="CG8" s="61" t="s">
        <v>88</v>
      </c>
      <c r="CH8" s="61" t="s">
        <v>89</v>
      </c>
      <c r="CI8" s="61" t="s">
        <v>90</v>
      </c>
      <c r="CJ8" s="61" t="s">
        <v>91</v>
      </c>
      <c r="CK8" s="61" t="s">
        <v>92</v>
      </c>
      <c r="CL8" s="61" t="s">
        <v>93</v>
      </c>
      <c r="CM8" s="61" t="s">
        <v>94</v>
      </c>
      <c r="CN8" s="61" t="s">
        <v>95</v>
      </c>
      <c r="CO8" s="61" t="s">
        <v>96</v>
      </c>
      <c r="CP8" s="62"/>
      <c r="CQ8" s="42"/>
      <c r="CR8" s="63" t="s">
        <v>97</v>
      </c>
      <c r="CS8" s="44"/>
      <c r="CT8" s="44"/>
      <c r="CU8" s="44"/>
      <c r="CV8" s="44"/>
      <c r="CW8" s="44"/>
      <c r="CX8" s="45"/>
      <c r="CY8" s="46"/>
      <c r="CZ8" s="44"/>
      <c r="DA8" s="44"/>
      <c r="DB8" s="44"/>
      <c r="DC8" s="45"/>
      <c r="DD8" s="48"/>
      <c r="DE8" s="22" t="n">
        <f aca="false">SUM($DE$9:$DE$508)</f>
        <v>0</v>
      </c>
      <c r="DF8" s="22"/>
      <c r="DG8" s="23"/>
      <c r="DH8" s="24"/>
      <c r="DI8" s="24"/>
      <c r="DJ8" s="24"/>
      <c r="DK8" s="24"/>
      <c r="DL8" s="24"/>
      <c r="DM8" s="24"/>
      <c r="DN8" s="25"/>
      <c r="DO8" s="49"/>
      <c r="DP8" s="50"/>
      <c r="DQ8" s="50"/>
      <c r="DR8" s="50"/>
      <c r="DS8" s="50"/>
      <c r="DT8" s="51"/>
      <c r="DU8" s="22"/>
    </row>
    <row r="9" customFormat="false" ht="15.75" hidden="false" customHeight="false" outlineLevel="0" collapsed="false">
      <c r="A9" s="7"/>
      <c r="B9" s="64"/>
      <c r="C9" s="65"/>
      <c r="D9" s="66"/>
      <c r="E9" s="67"/>
      <c r="F9" s="68"/>
      <c r="G9" s="67"/>
      <c r="H9" s="68"/>
      <c r="I9" s="69"/>
      <c r="J9" s="69"/>
      <c r="K9" s="69"/>
      <c r="L9" s="67"/>
      <c r="M9" s="67"/>
      <c r="N9" s="67"/>
      <c r="O9" s="68"/>
      <c r="P9" s="67"/>
      <c r="Q9" s="67"/>
      <c r="R9" s="67"/>
      <c r="S9" s="67"/>
      <c r="T9" s="68"/>
      <c r="U9" s="67"/>
      <c r="V9" s="70"/>
      <c r="W9" s="67"/>
      <c r="X9" s="67"/>
      <c r="Y9" s="70"/>
      <c r="Z9" s="70"/>
      <c r="AA9" s="67"/>
      <c r="AB9" s="67"/>
      <c r="AC9" s="71"/>
      <c r="AD9" s="72"/>
      <c r="AE9" s="73"/>
      <c r="AF9" s="73" t="str">
        <f aca="false">IF(ISNUMBER($D$7),$D$7,"")</f>
        <v/>
      </c>
      <c r="AG9" s="74" t="str">
        <f aca="false">IF(ISBLANK($D$7),"",IF(NOT(ISNUMBER($D$7)),FALSE(),IF($D$7&lt;Constants!$B$38,FALSE(),IF($D$7&gt;Constants!$B$39,FALSE(),MOD($D$7,Constants!$B$40)=0))))</f>
        <v/>
      </c>
      <c r="AH9" s="74" t="str">
        <f aca="false">IF(ISBLANK($C9),"",IF($E9=Constants!$B$2,TRUE(),IF($E9=Constants!$B$3,FALSE(),TRUE())))</f>
        <v/>
      </c>
      <c r="AI9" s="74" t="str">
        <f aca="false">IF(ISBLANK($C9),"",IF($F9=Constants!$B$2,TRUE(),IF($F9=Constants!$B$3,FALSE(),FALSE())))</f>
        <v/>
      </c>
      <c r="AJ9" s="74" t="str">
        <f aca="false">IF(ISBLANK($C9),"",IF($G9=Constants!$B$2,TRUE(),IF($G9=Constants!$B$3,FALSE(),TRUE())))</f>
        <v/>
      </c>
      <c r="AK9" s="74" t="str">
        <f aca="false">IF(ISBLANK($C9),"",IF($H9=Constants!$B$2,TRUE(),IF($H9=Constants!$B$3,FALSE(),TRUE())))</f>
        <v/>
      </c>
      <c r="AL9" s="74" t="str">
        <f aca="false">IF(ISBLANK($C9),"",IF(ISNUMBER($I9),IF($I9&gt;=0,$I9,""),""))</f>
        <v/>
      </c>
      <c r="AM9" s="74" t="str">
        <f aca="false">IF(ISBLANK($C9),"",IF(ISNUMBER($J9),IF($J9&gt;=0,$J9,""),""))</f>
        <v/>
      </c>
      <c r="AN9" s="74" t="str">
        <f aca="false">IF(ISBLANK($C9),"",IF(ISNUMBER($K9),IF($K9&gt;=0,$K9,""),""))</f>
        <v/>
      </c>
      <c r="AO9" s="74" t="str">
        <f aca="false">IF(ISBLANK($C9),"",IF($L9=Constants!$B$2,TRUE(),IF($L9=Constants!$B$3,FALSE(),TRUE())))</f>
        <v/>
      </c>
      <c r="AP9" s="74" t="str">
        <f aca="false">IF(ISBLANK($C9),"",IF($M9=Constants!$B$2,TRUE(),IF($M9=Constants!$B$3,FALSE(),TRUE())))</f>
        <v/>
      </c>
      <c r="AQ9" s="74" t="str">
        <f aca="false">IF(ISBLANK($C9),"",IF($N9=Constants!$B$2,TRUE(),IF($N9=Constants!$B$3,FALSE(),FALSE())))</f>
        <v/>
      </c>
      <c r="AR9" s="74" t="str">
        <f aca="false">IF(ISBLANK($C9),"",IF($O9=Constants!$B$2,TRUE(),IF($O9=Constants!$B$3,FALSE(),TRUE())))</f>
        <v/>
      </c>
      <c r="AS9" s="74" t="str">
        <f aca="false">IF(ISBLANK($C9),"",IF($P9=Constants!$B$2,TRUE(),IF($P9=Constants!$B$3,FALSE(),FALSE())))</f>
        <v/>
      </c>
      <c r="AT9" s="74" t="str">
        <f aca="false">IF(ISBLANK($C9),"",IF($Q9=Constants!$B$2,TRUE(),IF($Q9=Constants!$B$3,FALSE(),FALSE())))</f>
        <v/>
      </c>
      <c r="AU9" s="74" t="str">
        <f aca="false">IF(ISBLANK($C9),"",IF($R9=Constants!$B$2,TRUE(),IF($R9=Constants!$B$3,FALSE(),FALSE())))</f>
        <v/>
      </c>
      <c r="AV9" s="74" t="str">
        <f aca="false">IF(ISBLANK($C9),"",IF($S9=Constants!$B$2,TRUE(),IF($S9=Constants!$B$3,FALSE(),FALSE())))</f>
        <v/>
      </c>
      <c r="AW9" s="74" t="str">
        <f aca="false">IF(ISBLANK($C9),"",IF($T9=Constants!$B$2,TRUE(),IF($T9=Constants!$B$3,FALSE(),FALSE())))</f>
        <v/>
      </c>
      <c r="AX9" s="74" t="str">
        <f aca="false">IF(ISBLANK($C9),"",IF(OR($U9&amp;""="1",$U9&amp;""="2",$U9&amp;""="3",$U9&amp;""="4"),VALUE($U9&amp;""),IF($U9=Constants!$B$12,Constants!$B$12,"")))</f>
        <v/>
      </c>
      <c r="AY9" s="74" t="str">
        <f aca="false">IF(ISBLANK($C9),"",IF(ISBLANK($V9),0,IF(ISNUMBER($V9),IF(AND($V9&gt;=0,$V9&lt;=Constants!$B$21,$V9=INT($V9)),$V9,""),"")))</f>
        <v/>
      </c>
      <c r="AZ9" s="74" t="str">
        <f aca="false">IF(ISBLANK($C9),"",IF(ISBLANK($W9),0,IF(ISNUMBER($W9),IF($W9&gt;=0,$W9,""),"")))</f>
        <v/>
      </c>
      <c r="BA9" s="74" t="str">
        <f aca="false">IF(ISBLANK($C9),"",IF($X9=Constants!$B$2,TRUE(),IF($X9=Constants!$B$3,FALSE(),TRUE())))</f>
        <v/>
      </c>
      <c r="BB9" s="74" t="str">
        <f aca="false">IF(ISBLANK($C9),"",IF($Y9=Constants!$B$2,TRUE(),IF($Y9=Constants!$B$3,FALSE(),FALSE())))</f>
        <v/>
      </c>
      <c r="BC9" s="74" t="str">
        <f aca="false">IF(ISBLANK($C9),"",IF(ISBLANK($Z9),0,IF(ISNUMBER($Z9),IF(AND($Z9&gt;=0,$Z9&lt;=Constants!$B$35,$Z9=INT($Z9)),$Z9,""),"")))</f>
        <v/>
      </c>
      <c r="BD9" s="74" t="str">
        <f aca="false">IF(ISBLANK($C9),"",IF($AA9=Constants!$B$2,TRUE(),IF($AA9=Constants!$B$3,FALSE(),TRUE())))</f>
        <v/>
      </c>
      <c r="BE9" s="74" t="str">
        <f aca="false">IF(ISBLANK($C9),"",IF($AB9=Constants!$B$2,TRUE(),IF($AB9=Constants!$B$3,FALSE(),TRUE())))</f>
        <v/>
      </c>
      <c r="BF9" s="74" t="str">
        <f aca="false">IF(ISBLANK($C9),"",IF(ISNUMBER($AC9),IF($AC9&gt;=0,$AC9,""),""))</f>
        <v/>
      </c>
      <c r="BG9" s="74" t="str">
        <f aca="false">IF(ISBLANK($C9),"",IF($AD9=Constants!$B$2,TRUE(),IF($AD9=Constants!$B$3,FALSE(),FALSE())))</f>
        <v/>
      </c>
      <c r="BH9" s="73" t="str">
        <f aca="false">IF(ISBLANK($C9),"",IF($BG9,Constants!$B$7,IF(COUNTA($E9:$AC9)=0,Constants!$B$6,IF(OR(COUNTA($G9:$AC9)=0,NOT($AK9),$AQ9),Constants!$B$5,IF(OR($CI9&lt;&gt;"",$CJ9,$CK9,$CL9,$CM9,$CN9,$CO9),Constants!$B$8,Constants!$B$4)))))</f>
        <v/>
      </c>
      <c r="BI9" s="74" t="str">
        <f aca="false">IF(ISBLANK($C9),"",IF($BH9&lt;&gt;Constants!$B$4,$BH9,IF(OR(NOT($AH9),NOT($AJ9),NOT($AR9)),Constants!$B$11,IF(OR(NOT($AP9),MAX($AL9,$AM9,$AN9)&gt;Constants!$B$30),Constants!$B$10,Constants!$B$9))))</f>
        <v/>
      </c>
      <c r="BJ9" s="74" t="str">
        <f aca="false">IF($BH9&lt;&gt;Constants!$B$4,"",IF(NOT($AJ9),0,MIN(Constants!$B$35,$BC9)))</f>
        <v/>
      </c>
      <c r="BK9" s="74" t="str">
        <f aca="false">IF($BH9&lt;&gt;Constants!$B$4,"",IF(NOT($AJ9),0,IF($AT9,Constants!$B$18,IF($AS9,Constants!$B$17,0))))</f>
        <v/>
      </c>
      <c r="BL9" s="74" t="str">
        <f aca="false">IF($BH9&lt;&gt;Constants!$B$4,"",IF(NOT($AJ9),0,Constants!$B$19*($AI9+$AU9+$AV9+$AW9)))</f>
        <v/>
      </c>
      <c r="BM9" s="74" t="str">
        <f aca="false">IF($BH9&lt;&gt;Constants!$B$4,"",IF(OR(NOT($AJ9),NOT(ISNUMBER($AX9))),0,CHOOSE($AX9,Constants!$B$13,Constants!$B$14,Constants!$B$15,Constants!$B$16)))</f>
        <v/>
      </c>
      <c r="BN9" s="74" t="str">
        <f aca="false">IF($BH9&lt;&gt;Constants!$B$4,"",IF(NOT($AJ9),0,Constants!$B$20*$AY9))</f>
        <v/>
      </c>
      <c r="BO9" s="74" t="str">
        <f aca="false">IF($BH9&lt;&gt;Constants!$B$4,"",IF(AND($AJ9,$BA9,$BB9),Constants!$B$22,0))</f>
        <v/>
      </c>
      <c r="BP9" s="74" t="str">
        <f aca="false">IF($BH9&lt;&gt;Constants!$B$4,"",IF(OR(NOT($AJ9),NOT($BA9)),0,IF($BF9&gt;=2*$AF$9,0,Constants!$B$23*INT(ROUND(MIN($BF9,$AF$9),6)))))</f>
        <v/>
      </c>
      <c r="BQ9" s="74" t="str">
        <f aca="false">IF($BH9&lt;&gt;Constants!$B$4,"",IF(NOT($AJ9),0,Constants!$B$24*INT(ROUND(MIN($AZ9,$AF$9),6))))</f>
        <v/>
      </c>
      <c r="BR9" s="74" t="str">
        <f aca="false">IF($BH9&lt;&gt;Constants!$B$4,"",IF(AND($AJ9,$BJ9=0),Constants!$B$25,0))</f>
        <v/>
      </c>
      <c r="BS9" s="74" t="str">
        <f aca="false">IF($BH9&lt;&gt;Constants!$B$4,"",MIN(Constants!$B$29,MAX(0,Constants!$B$27*Constants!$B$28*INT(ROUND((Constants!$B$26-$AL9)/Constants!$B$28,6))))+MIN(Constants!$B$29,MAX(0,Constants!$B$27*Constants!$B$28*INT(ROUND((Constants!$B$26-$AM9)/Constants!$B$28,6))))+MIN(Constants!$B$29,MAX(0,Constants!$B$27*Constants!$B$28*INT(ROUND((Constants!$B$26-$AN9)/Constants!$B$28,6)))))</f>
        <v/>
      </c>
      <c r="BT9" s="74" t="str">
        <f aca="false">IF($BH9&lt;&gt;Constants!$B$4,"",IF(NOT($AJ9),0,Constants!$B$31*INT(ROUND(MAX(0,MIN($BF9,2*$AF$9)-$AF$9),6))))</f>
        <v/>
      </c>
      <c r="BU9" s="74" t="str">
        <f aca="false">IF($BH9&lt;&gt;Constants!$B$4,"",Constants!$B$32*(($AL9&gt;Constants!$B$26)+($AM9&gt;Constants!$B$26)+($AN9&gt;Constants!$B$26)))</f>
        <v/>
      </c>
      <c r="BV9" s="74" t="str">
        <f aca="false">IF($BH9&lt;&gt;Constants!$B$4,"",IF(OR(NOT($AJ9),$AO9),0,Constants!$B$33))</f>
        <v/>
      </c>
      <c r="BW9" s="74" t="str">
        <f aca="false">IF($BH9&lt;&gt;Constants!$B$4,"",Constants!$B$34*$BJ9)</f>
        <v/>
      </c>
      <c r="BX9" s="74" t="str">
        <f aca="false">IF($BH9&lt;&gt;Constants!$B$4,"",IF(OR(NOT($AJ9),$BE9),0,Constants!$B$36))</f>
        <v/>
      </c>
      <c r="BY9" s="74" t="str">
        <f aca="false">IF($BH9&lt;&gt;Constants!$B$4,"",IF(OR(NOT($AJ9),$BD9),0,Constants!$B$37))</f>
        <v/>
      </c>
      <c r="BZ9" s="74" t="str">
        <f aca="false">IF($BH9&lt;&gt;Constants!$B$4,"",SUM($BT9:$BY9))</f>
        <v/>
      </c>
      <c r="CA9" s="74" t="str">
        <f aca="false">IF(ISBLANK($C9),"",IF($BH9&lt;&gt;Constants!$B$4,$BH9,SUM($BK9:$BS9)-$BZ9))</f>
        <v/>
      </c>
      <c r="CB9" s="74" t="str">
        <f aca="false">IF(ISBLANK($C9),"",IF($BH9&lt;&gt;Constants!$B$4,$BH9,RANK($CA9,$CA$9:$CA$508)))</f>
        <v/>
      </c>
      <c r="CC9" s="74" t="str">
        <f aca="false">IF(ISBLANK($C9),"",IF($BH9&lt;&gt;Constants!$B$4,$BH9,COUNTIFS($BI$9:$BI$508,"&lt;"&amp;$BI9)+COUNTIFS($BI$9:$BI$508,$BI9,$CB$9:$CB$508,"&lt;"&amp;$CB9)+1))</f>
        <v/>
      </c>
      <c r="CD9" s="74" t="str">
        <f aca="false">IF(ISBLANK($C9),"",IF($BH9&lt;&gt;Constants!$B$4,$BH9,RANK($BZ9,$BZ$9:$BZ$508,1)))</f>
        <v/>
      </c>
      <c r="CE9" s="74" t="str">
        <f aca="false">IF($BH9&lt;&gt;Constants!$B$4,"",$AL9+$AM9+$AN9)</f>
        <v/>
      </c>
      <c r="CF9" s="74" t="str">
        <f aca="false">IF(ISBLANK($C9),"",IF($BH9&lt;&gt;Constants!$B$4,$BH9,RANK($CE9,$CE$9:$CE$508,1)))</f>
        <v/>
      </c>
      <c r="CG9" s="74" t="str">
        <f aca="false">IF(ISBLANK($C9),"",IF($BH9&lt;&gt;Constants!$B$4,$BH9,COUNTIFS($BI$9:$BI$508,"&lt;"&amp;$BI9)+COUNTIFS($BI$9:$BI$508,$BI9,$CB$9:$CB$508,"&lt;"&amp;$CB9)+COUNTIFS($BI$9:$BI$508,$BI9,$CB$9:$CB$508,$CB9,$CD$9:$CD$508,"&lt;"&amp;$CD9)+COUNTIFS($BI$9:$BI$508,$BI9,$CB$9:$CB$508,$CB9,$CD$9:$CD$508,$CD9,$CF$9:$CF$508,"&lt;"&amp;$CF9)+1))</f>
        <v/>
      </c>
      <c r="CH9" s="74" t="str">
        <f aca="false">IF(ISBLANK($C9),"",IF($BH9&lt;&gt;Constants!$B$4,$BH9,$CC9-$CG9))</f>
        <v/>
      </c>
      <c r="CI9" s="74" t="str">
        <f aca="false">IF(ISBLANK($C9),"",IF(NOT($AJ9),"",IF(ISBLANK($D$7),$CI$5,IF(NOT(ISNUMBER($D$7)),$CI$6,""))))</f>
        <v/>
      </c>
      <c r="CJ9" s="74" t="str">
        <f aca="false">IF(ISBLANK($C9),"",OR($AL9="",$AM9="",$AN9=""))</f>
        <v/>
      </c>
      <c r="CK9" s="74" t="str">
        <f aca="false">IF(ISBLANK($C9),"",AND($AJ9,$AX9=""))</f>
        <v/>
      </c>
      <c r="CL9" s="74" t="str">
        <f aca="false">IF(ISBLANK($C9),"",AND($AJ9,$AY9=""))</f>
        <v/>
      </c>
      <c r="CM9" s="74" t="str">
        <f aca="false">IF(ISBLANK($C9),"",AND($AJ9,$AZ9=""))</f>
        <v/>
      </c>
      <c r="CN9" s="74" t="str">
        <f aca="false">IF(ISBLANK($C9),"",AND($AJ9,$BC9=""))</f>
        <v/>
      </c>
      <c r="CO9" s="74" t="str">
        <f aca="false">IF(ISBLANK($C9),"",AND($AJ9,$BF9=""))</f>
        <v/>
      </c>
      <c r="CP9" s="75"/>
      <c r="CQ9" s="76"/>
      <c r="CR9" s="77" t="str">
        <f aca="false">IF(ISBLANK($C9),"",IF($BH9=Constants!$B$8,$CI9,""))</f>
        <v/>
      </c>
      <c r="CS9" s="76" t="str">
        <f aca="false">IF(ISBLANK($C9),"",IF($BH9&lt;&gt;Constants!$B$4,"",$BK9+$BL9))</f>
        <v/>
      </c>
      <c r="CT9" s="78" t="str">
        <f aca="false">IF(ISBLANK($C9),"",IF($BH9&lt;&gt;Constants!$B$4,"",$BM9+$BN9+$BO9))</f>
        <v/>
      </c>
      <c r="CU9" s="78" t="str">
        <f aca="false">IF(ISBLANK($C9),"",IF($BH9&lt;&gt;Constants!$B$4,"",$BP9))</f>
        <v/>
      </c>
      <c r="CV9" s="78" t="str">
        <f aca="false">IF(ISBLANK($C9),"",IF($BH9&lt;&gt;Constants!$B$4,"",$BQ9+$BR9))</f>
        <v/>
      </c>
      <c r="CW9" s="78" t="str">
        <f aca="false">IF(ISBLANK($C9),"",IF($BH9&lt;&gt;Constants!$B$4,"",$BS9))</f>
        <v/>
      </c>
      <c r="CX9" s="78" t="str">
        <f aca="false">IF(ISBLANK($C9),"",IF($BH9&lt;&gt;Constants!$B$4,"",-$BZ9))</f>
        <v/>
      </c>
      <c r="CY9" s="79" t="str">
        <f aca="false">IF(ISBLANK($C9),"",$CA9)</f>
        <v/>
      </c>
      <c r="CZ9" s="80" t="str">
        <f aca="false">IF(ISBLANK($C9),"",$BI9)</f>
        <v/>
      </c>
      <c r="DA9" s="78" t="str">
        <f aca="false">IF(ISBLANK($C9),"",$CH9)</f>
        <v/>
      </c>
      <c r="DB9" s="78" t="str">
        <f aca="false">IF(ISBLANK($C9),"",$CG9)</f>
        <v/>
      </c>
      <c r="DC9" s="81" t="str">
        <f aca="false">IF(ISBLANK($C9),"",IFERROR(_xlfn.SWITCH($DB9,Constants!$B$7,COUNTA($C$9:$C$508)+2,Constants!$B$6,COUNTA($C$9:$C$508)+1,Constants!$B$5,COUNTA($C$9:$C$508)),$DB9))</f>
        <v/>
      </c>
      <c r="DD9" s="7"/>
      <c r="DE9" s="82" t="n">
        <f aca="false">IF(OR(ISNUMBER($DB9),$DB9=Constants!$B$7,$DB9=Constants!$B$5,$DB9=Constants!$B$6),1,0)</f>
        <v>0</v>
      </c>
      <c r="DF9" s="82" t="n">
        <v>1</v>
      </c>
      <c r="DG9" s="82" t="str">
        <f aca="false">IF(ISBLANK($C9),"",IF(ISNUMBER($DC9),$DC9+ROW($B9)/1000,""))</f>
        <v/>
      </c>
      <c r="DH9" s="82" t="str">
        <f aca="false">IF(ISNUMBER($DG9),RANK($DG9,$DG$9:$DG$508,1),"")</f>
        <v/>
      </c>
      <c r="DI9" s="82" t="str">
        <f aca="false">IF(ISBLANK($C9),"",$B9)</f>
        <v/>
      </c>
      <c r="DJ9" s="82" t="str">
        <f aca="false">IF(ISBLANK($C9),"",$C9)</f>
        <v/>
      </c>
      <c r="DK9" s="82" t="str">
        <f aca="false">IF(ISBLANK($C9),"",$D9)</f>
        <v/>
      </c>
      <c r="DL9" s="83" t="str">
        <f aca="false">$CZ9</f>
        <v/>
      </c>
      <c r="DM9" s="84" t="str">
        <f aca="false">$CY9</f>
        <v/>
      </c>
      <c r="DN9" s="82" t="str">
        <f aca="false">IF(ISBLANK($C9),"",$DB9)</f>
        <v/>
      </c>
      <c r="DO9" s="85" t="str">
        <f aca="false">IF($DF9&gt;$DE$8,"",VLOOKUP($DF9,$DH$9:$DN$508,7,FALSE()))</f>
        <v/>
      </c>
      <c r="DP9" s="86" t="str">
        <f aca="false">IF($DF9&gt;$DE$8,"",VLOOKUP($DF9,$DH$9:$DN$508,2,FALSE()))</f>
        <v/>
      </c>
      <c r="DQ9" s="86" t="str">
        <f aca="false">IF($DF9&gt;$DE$8,"",VLOOKUP($DF9,$DH$9:$DN$508,3,FALSE()))</f>
        <v/>
      </c>
      <c r="DR9" s="86" t="str">
        <f aca="false">IF($DF9&gt;$DE$8,"",VLOOKUP($DF9,$DH$9:$DN$508,4,FALSE()))</f>
        <v/>
      </c>
      <c r="DS9" s="86" t="str">
        <f aca="false">IF($DF9&gt;$DE$8,"",VLOOKUP($DF9,$DH$9:$DN$508,5,FALSE()))</f>
        <v/>
      </c>
      <c r="DT9" s="87" t="str">
        <f aca="false">IF($DF9&gt;$DE$8,"",VLOOKUP($DF9,$DH$9:$DN$508,6,FALSE()))</f>
        <v/>
      </c>
      <c r="DU9" s="62"/>
    </row>
    <row r="10" customFormat="false" ht="15.75" hidden="false" customHeight="false" outlineLevel="0" collapsed="false">
      <c r="A10" s="7"/>
      <c r="B10" s="64"/>
      <c r="C10" s="65"/>
      <c r="D10" s="66"/>
      <c r="E10" s="67"/>
      <c r="F10" s="68"/>
      <c r="G10" s="67"/>
      <c r="H10" s="68"/>
      <c r="I10" s="69"/>
      <c r="J10" s="69"/>
      <c r="K10" s="69"/>
      <c r="L10" s="67"/>
      <c r="M10" s="67"/>
      <c r="N10" s="67"/>
      <c r="O10" s="68"/>
      <c r="P10" s="67"/>
      <c r="Q10" s="67"/>
      <c r="R10" s="67"/>
      <c r="S10" s="67"/>
      <c r="T10" s="68"/>
      <c r="U10" s="67"/>
      <c r="V10" s="70"/>
      <c r="W10" s="67"/>
      <c r="X10" s="67"/>
      <c r="Y10" s="70"/>
      <c r="Z10" s="70"/>
      <c r="AA10" s="67"/>
      <c r="AB10" s="67"/>
      <c r="AC10" s="71"/>
      <c r="AD10" s="88"/>
      <c r="AE10" s="73"/>
      <c r="AF10" s="74"/>
      <c r="AG10" s="74"/>
      <c r="AH10" s="74" t="str">
        <f aca="false">IF(ISBLANK($C10),"",IF($E10=Constants!$B$2,TRUE(),IF($E10=Constants!$B$3,FALSE(),TRUE())))</f>
        <v/>
      </c>
      <c r="AI10" s="74" t="str">
        <f aca="false">IF(ISBLANK($C10),"",IF($F10=Constants!$B$2,TRUE(),IF($F10=Constants!$B$3,FALSE(),FALSE())))</f>
        <v/>
      </c>
      <c r="AJ10" s="74" t="str">
        <f aca="false">IF(ISBLANK($C10),"",IF($G10=Constants!$B$2,TRUE(),IF($G10=Constants!$B$3,FALSE(),TRUE())))</f>
        <v/>
      </c>
      <c r="AK10" s="74" t="str">
        <f aca="false">IF(ISBLANK($C10),"",IF($H10=Constants!$B$2,TRUE(),IF($H10=Constants!$B$3,FALSE(),TRUE())))</f>
        <v/>
      </c>
      <c r="AL10" s="74" t="str">
        <f aca="false">IF(ISBLANK($C10),"",IF(ISNUMBER($I10),IF($I10&gt;=0,$I10,""),""))</f>
        <v/>
      </c>
      <c r="AM10" s="74" t="str">
        <f aca="false">IF(ISBLANK($C10),"",IF(ISNUMBER($J10),IF($J10&gt;=0,$J10,""),""))</f>
        <v/>
      </c>
      <c r="AN10" s="74" t="str">
        <f aca="false">IF(ISBLANK($C10),"",IF(ISNUMBER($K10),IF($K10&gt;=0,$K10,""),""))</f>
        <v/>
      </c>
      <c r="AO10" s="74" t="str">
        <f aca="false">IF(ISBLANK($C10),"",IF($L10=Constants!$B$2,TRUE(),IF($L10=Constants!$B$3,FALSE(),TRUE())))</f>
        <v/>
      </c>
      <c r="AP10" s="74" t="str">
        <f aca="false">IF(ISBLANK($C10),"",IF($M10=Constants!$B$2,TRUE(),IF($M10=Constants!$B$3,FALSE(),TRUE())))</f>
        <v/>
      </c>
      <c r="AQ10" s="74" t="str">
        <f aca="false">IF(ISBLANK($C10),"",IF($N10=Constants!$B$2,TRUE(),IF($N10=Constants!$B$3,FALSE(),FALSE())))</f>
        <v/>
      </c>
      <c r="AR10" s="74" t="str">
        <f aca="false">IF(ISBLANK($C10),"",IF($O10=Constants!$B$2,TRUE(),IF($O10=Constants!$B$3,FALSE(),TRUE())))</f>
        <v/>
      </c>
      <c r="AS10" s="74" t="str">
        <f aca="false">IF(ISBLANK($C10),"",IF($P10=Constants!$B$2,TRUE(),IF($P10=Constants!$B$3,FALSE(),FALSE())))</f>
        <v/>
      </c>
      <c r="AT10" s="74" t="str">
        <f aca="false">IF(ISBLANK($C10),"",IF($Q10=Constants!$B$2,TRUE(),IF($Q10=Constants!$B$3,FALSE(),FALSE())))</f>
        <v/>
      </c>
      <c r="AU10" s="74" t="str">
        <f aca="false">IF(ISBLANK($C10),"",IF($R10=Constants!$B$2,TRUE(),IF($R10=Constants!$B$3,FALSE(),FALSE())))</f>
        <v/>
      </c>
      <c r="AV10" s="74" t="str">
        <f aca="false">IF(ISBLANK($C10),"",IF($S10=Constants!$B$2,TRUE(),IF($S10=Constants!$B$3,FALSE(),FALSE())))</f>
        <v/>
      </c>
      <c r="AW10" s="74" t="str">
        <f aca="false">IF(ISBLANK($C10),"",IF($T10=Constants!$B$2,TRUE(),IF($T10=Constants!$B$3,FALSE(),FALSE())))</f>
        <v/>
      </c>
      <c r="AX10" s="74" t="str">
        <f aca="false">IF(ISBLANK($C10),"",IF(OR($U10&amp;""="1",$U10&amp;""="2",$U10&amp;""="3",$U10&amp;""="4"),VALUE($U10&amp;""),IF($U10=Constants!$B$12,Constants!$B$12,"")))</f>
        <v/>
      </c>
      <c r="AY10" s="74" t="str">
        <f aca="false">IF(ISBLANK($C10),"",IF(ISBLANK($V10),0,IF(ISNUMBER($V10),IF(AND($V10&gt;=0,$V10&lt;=Constants!$B$21,$V10=INT($V10)),$V10,""),"")))</f>
        <v/>
      </c>
      <c r="AZ10" s="74" t="str">
        <f aca="false">IF(ISBLANK($C10),"",IF(ISBLANK($W10),0,IF(ISNUMBER($W10),IF($W10&gt;=0,$W10,""),"")))</f>
        <v/>
      </c>
      <c r="BA10" s="74" t="str">
        <f aca="false">IF(ISBLANK($C10),"",IF($X10=Constants!$B$2,TRUE(),IF($X10=Constants!$B$3,FALSE(),TRUE())))</f>
        <v/>
      </c>
      <c r="BB10" s="74" t="str">
        <f aca="false">IF(ISBLANK($C10),"",IF($Y10=Constants!$B$2,TRUE(),IF($Y10=Constants!$B$3,FALSE(),FALSE())))</f>
        <v/>
      </c>
      <c r="BC10" s="74" t="str">
        <f aca="false">IF(ISBLANK($C10),"",IF(ISBLANK($Z10),0,IF(ISNUMBER($Z10),IF(AND($Z10&gt;=0,$Z10&lt;=Constants!$B$35,$Z10=INT($Z10)),$Z10,""),"")))</f>
        <v/>
      </c>
      <c r="BD10" s="74" t="str">
        <f aca="false">IF(ISBLANK($C10),"",IF($AA10=Constants!$B$2,TRUE(),IF($AA10=Constants!$B$3,FALSE(),TRUE())))</f>
        <v/>
      </c>
      <c r="BE10" s="74" t="str">
        <f aca="false">IF(ISBLANK($C10),"",IF($AB10=Constants!$B$2,TRUE(),IF($AB10=Constants!$B$3,FALSE(),TRUE())))</f>
        <v/>
      </c>
      <c r="BF10" s="74" t="str">
        <f aca="false">IF(ISBLANK($C10),"",IF(ISNUMBER($AC10),IF($AC10&gt;=0,$AC10,""),""))</f>
        <v/>
      </c>
      <c r="BG10" s="74" t="str">
        <f aca="false">IF(ISBLANK($C10),"",IF($AD10=Constants!$B$2,TRUE(),IF($AD10=Constants!$B$3,FALSE(),FALSE())))</f>
        <v/>
      </c>
      <c r="BH10" s="73" t="str">
        <f aca="false">IF(ISBLANK($C10),"",IF($BG10,Constants!$B$7,IF(COUNTA($E10:$AC10)=0,Constants!$B$6,IF(OR(COUNTA($G10:$AC10)=0,NOT($AK10),$AQ10),Constants!$B$5,IF(OR($CI10&lt;&gt;"",$CJ10,$CK10,$CL10,$CM10,$CN10,$CO10),Constants!$B$8,Constants!$B$4)))))</f>
        <v/>
      </c>
      <c r="BI10" s="74" t="str">
        <f aca="false">IF(ISBLANK($C10),"",IF($BH10&lt;&gt;Constants!$B$4,$BH10,IF(OR(NOT($AH10),NOT($AJ10),NOT($AR10)),Constants!$B$11,IF(OR(NOT($AP10),MAX($AL10,$AM10,$AN10)&gt;Constants!$B$30),Constants!$B$10,Constants!$B$9))))</f>
        <v/>
      </c>
      <c r="BJ10" s="74" t="str">
        <f aca="false">IF($BH10&lt;&gt;Constants!$B$4,"",IF(NOT($AJ10),0,MIN(Constants!$B$35,$BC10)))</f>
        <v/>
      </c>
      <c r="BK10" s="74" t="str">
        <f aca="false">IF($BH10&lt;&gt;Constants!$B$4,"",IF(NOT($AJ10),0,IF($AT10,Constants!$B$18,IF($AS10,Constants!$B$17,0))))</f>
        <v/>
      </c>
      <c r="BL10" s="74" t="str">
        <f aca="false">IF($BH10&lt;&gt;Constants!$B$4,"",IF(NOT($AJ10),0,Constants!$B$19*($AI10+$AU10+$AV10+$AW10)))</f>
        <v/>
      </c>
      <c r="BM10" s="74" t="str">
        <f aca="false">IF($BH10&lt;&gt;Constants!$B$4,"",IF(OR(NOT($AJ10),NOT(ISNUMBER($AX10))),0,CHOOSE($AX10,Constants!$B$13,Constants!$B$14,Constants!$B$15,Constants!$B$16)))</f>
        <v/>
      </c>
      <c r="BN10" s="74" t="str">
        <f aca="false">IF($BH10&lt;&gt;Constants!$B$4,"",IF(NOT($AJ10),0,Constants!$B$20*$AY10))</f>
        <v/>
      </c>
      <c r="BO10" s="74" t="str">
        <f aca="false">IF($BH10&lt;&gt;Constants!$B$4,"",IF(AND($AJ10,$BA10,$BB10),Constants!$B$22,0))</f>
        <v/>
      </c>
      <c r="BP10" s="74" t="str">
        <f aca="false">IF($BH10&lt;&gt;Constants!$B$4,"",IF(OR(NOT($AJ10),NOT($BA10)),0,IF($BF10&gt;=2*$AF$9,0,Constants!$B$23*INT(ROUND(MIN($BF10,$AF$9),6)))))</f>
        <v/>
      </c>
      <c r="BQ10" s="74" t="str">
        <f aca="false">IF($BH10&lt;&gt;Constants!$B$4,"",IF(NOT($AJ10),0,Constants!$B$24*INT(ROUND(MIN($AZ10,$AF$9),6))))</f>
        <v/>
      </c>
      <c r="BR10" s="74" t="str">
        <f aca="false">IF($BH10&lt;&gt;Constants!$B$4,"",IF(AND($AJ10,$BJ10=0),Constants!$B$25,0))</f>
        <v/>
      </c>
      <c r="BS10" s="74" t="str">
        <f aca="false">IF($BH10&lt;&gt;Constants!$B$4,"",MIN(Constants!$B$29,MAX(0,Constants!$B$27*Constants!$B$28*INT(ROUND((Constants!$B$26-$AL10)/Constants!$B$28,6))))+MIN(Constants!$B$29,MAX(0,Constants!$B$27*Constants!$B$28*INT(ROUND((Constants!$B$26-$AM10)/Constants!$B$28,6))))+MIN(Constants!$B$29,MAX(0,Constants!$B$27*Constants!$B$28*INT(ROUND((Constants!$B$26-$AN10)/Constants!$B$28,6)))))</f>
        <v/>
      </c>
      <c r="BT10" s="74" t="str">
        <f aca="false">IF($BH10&lt;&gt;Constants!$B$4,"",IF(NOT($AJ10),0,Constants!$B$31*INT(ROUND(MAX(0,MIN($BF10,2*$AF$9)-$AF$9),6))))</f>
        <v/>
      </c>
      <c r="BU10" s="74" t="str">
        <f aca="false">IF($BH10&lt;&gt;Constants!$B$4,"",Constants!$B$32*(($AL10&gt;Constants!$B$26)+($AM10&gt;Constants!$B$26)+($AN10&gt;Constants!$B$26)))</f>
        <v/>
      </c>
      <c r="BV10" s="74" t="str">
        <f aca="false">IF($BH10&lt;&gt;Constants!$B$4,"",IF(OR(NOT($AJ10),$AO10),0,Constants!$B$33))</f>
        <v/>
      </c>
      <c r="BW10" s="74" t="str">
        <f aca="false">IF($BH10&lt;&gt;Constants!$B$4,"",Constants!$B$34*$BJ10)</f>
        <v/>
      </c>
      <c r="BX10" s="74" t="str">
        <f aca="false">IF($BH10&lt;&gt;Constants!$B$4,"",IF(OR(NOT($AJ10),$BE10),0,Constants!$B$36))</f>
        <v/>
      </c>
      <c r="BY10" s="74" t="str">
        <f aca="false">IF($BH10&lt;&gt;Constants!$B$4,"",IF(OR(NOT($AJ10),$BD10),0,Constants!$B$37))</f>
        <v/>
      </c>
      <c r="BZ10" s="74" t="str">
        <f aca="false">IF($BH10&lt;&gt;Constants!$B$4,"",SUM($BT10:$BY10))</f>
        <v/>
      </c>
      <c r="CA10" s="74" t="str">
        <f aca="false">IF(ISBLANK($C10),"",IF($BH10&lt;&gt;Constants!$B$4,$BH10,SUM($BK10:$BS10)-$BZ10))</f>
        <v/>
      </c>
      <c r="CB10" s="74" t="str">
        <f aca="false">IF(ISBLANK($C10),"",IF($BH10&lt;&gt;Constants!$B$4,$BH10,RANK($CA10,$CA$9:$CA$508)))</f>
        <v/>
      </c>
      <c r="CC10" s="74" t="str">
        <f aca="false">IF(ISBLANK($C10),"",IF($BH10&lt;&gt;Constants!$B$4,$BH10,COUNTIFS($BI$9:$BI$508,"&lt;"&amp;$BI10)+COUNTIFS($BI$9:$BI$508,$BI10,$CB$9:$CB$508,"&lt;"&amp;$CB10)+1))</f>
        <v/>
      </c>
      <c r="CD10" s="74" t="str">
        <f aca="false">IF(ISBLANK($C10),"",IF($BH10&lt;&gt;Constants!$B$4,$BH10,RANK($BZ10,$BZ$9:$BZ$508,1)))</f>
        <v/>
      </c>
      <c r="CE10" s="74" t="str">
        <f aca="false">IF($BH10&lt;&gt;Constants!$B$4,"",$AL10+$AM10+$AN10)</f>
        <v/>
      </c>
      <c r="CF10" s="74" t="str">
        <f aca="false">IF(ISBLANK($C10),"",IF($BH10&lt;&gt;Constants!$B$4,$BH10,RANK($CE10,$CE$9:$CE$508,1)))</f>
        <v/>
      </c>
      <c r="CG10" s="74" t="str">
        <f aca="false">IF(ISBLANK($C10),"",IF($BH10&lt;&gt;Constants!$B$4,$BH10,COUNTIFS($BI$9:$BI$508,"&lt;"&amp;$BI10)+COUNTIFS($BI$9:$BI$508,$BI10,$CB$9:$CB$508,"&lt;"&amp;$CB10)+COUNTIFS($BI$9:$BI$508,$BI10,$CB$9:$CB$508,$CB10,$CD$9:$CD$508,"&lt;"&amp;$CD10)+COUNTIFS($BI$9:$BI$508,$BI10,$CB$9:$CB$508,$CB10,$CD$9:$CD$508,$CD10,$CF$9:$CF$508,"&lt;"&amp;$CF10)+1))</f>
        <v/>
      </c>
      <c r="CH10" s="74" t="str">
        <f aca="false">IF(ISBLANK($C10),"",IF($BH10&lt;&gt;Constants!$B$4,$BH10,$CC10-$CG10))</f>
        <v/>
      </c>
      <c r="CI10" s="74" t="str">
        <f aca="false">IF(ISBLANK($C10),"",IF(NOT($AJ10),"",IF(ISBLANK($D$7),$CI$5,IF(NOT(ISNUMBER($D$7)),$CI$6,""))))</f>
        <v/>
      </c>
      <c r="CJ10" s="74" t="str">
        <f aca="false">IF(ISBLANK($C10),"",OR($AL10="",$AM10="",$AN10=""))</f>
        <v/>
      </c>
      <c r="CK10" s="74" t="str">
        <f aca="false">IF(ISBLANK($C10),"",AND($AJ10,$AX10=""))</f>
        <v/>
      </c>
      <c r="CL10" s="74" t="str">
        <f aca="false">IF(ISBLANK($C10),"",AND($AJ10,$AY10=""))</f>
        <v/>
      </c>
      <c r="CM10" s="74" t="str">
        <f aca="false">IF(ISBLANK($C10),"",AND($AJ10,$AZ10=""))</f>
        <v/>
      </c>
      <c r="CN10" s="74" t="str">
        <f aca="false">IF(ISBLANK($C10),"",AND($AJ10,$BC10=""))</f>
        <v/>
      </c>
      <c r="CO10" s="74" t="str">
        <f aca="false">IF(ISBLANK($C10),"",AND($AJ10,$BF10=""))</f>
        <v/>
      </c>
      <c r="CP10" s="75"/>
      <c r="CQ10" s="76"/>
      <c r="CR10" s="79" t="str">
        <f aca="false">IF(ISBLANK($C10),"",IF($BH10=Constants!$B$8,$CI10,""))</f>
        <v/>
      </c>
      <c r="CS10" s="76" t="str">
        <f aca="false">IF(ISBLANK($C10),"",IF($BH10&lt;&gt;Constants!$B$4,"",$BK10+$BL10))</f>
        <v/>
      </c>
      <c r="CT10" s="78" t="str">
        <f aca="false">IF(ISBLANK($C10),"",IF($BH10&lt;&gt;Constants!$B$4,"",$BM10+$BN10+$BO10))</f>
        <v/>
      </c>
      <c r="CU10" s="78" t="str">
        <f aca="false">IF(ISBLANK($C10),"",IF($BH10&lt;&gt;Constants!$B$4,"",$BP10))</f>
        <v/>
      </c>
      <c r="CV10" s="78" t="str">
        <f aca="false">IF(ISBLANK($C10),"",IF($BH10&lt;&gt;Constants!$B$4,"",$BQ10+$BR10))</f>
        <v/>
      </c>
      <c r="CW10" s="78" t="str">
        <f aca="false">IF(ISBLANK($C10),"",IF($BH10&lt;&gt;Constants!$B$4,"",$BS10))</f>
        <v/>
      </c>
      <c r="CX10" s="78" t="str">
        <f aca="false">IF(ISBLANK($C10),"",IF($BH10&lt;&gt;Constants!$B$4,"",-$BZ10))</f>
        <v/>
      </c>
      <c r="CY10" s="79" t="str">
        <f aca="false">IF(ISBLANK($C10),"",$CA10)</f>
        <v/>
      </c>
      <c r="CZ10" s="80" t="str">
        <f aca="false">IF(ISBLANK($C10),"",$BI10)</f>
        <v/>
      </c>
      <c r="DA10" s="78" t="str">
        <f aca="false">IF(ISBLANK($C10),"",$CH10)</f>
        <v/>
      </c>
      <c r="DB10" s="78" t="str">
        <f aca="false">IF(ISBLANK($C10),"",$CG10)</f>
        <v/>
      </c>
      <c r="DC10" s="81" t="str">
        <f aca="false">IF(ISBLANK($C10),"",IFERROR(_xlfn.SWITCH($DB10,Constants!$B$7,COUNTA($C$9:$C$508)+2,Constants!$B$6,COUNTA($C$9:$C$508)+1,Constants!$B$5,COUNTA($C$9:$C$508)),$DB10))</f>
        <v/>
      </c>
      <c r="DD10" s="7"/>
      <c r="DE10" s="82" t="n">
        <f aca="false">IF(OR(ISNUMBER($DB10),$DB10=Constants!$B$7,$DB10=Constants!$B$5,$DB10=Constants!$B$6),1,0)</f>
        <v>0</v>
      </c>
      <c r="DF10" s="82" t="n">
        <v>2</v>
      </c>
      <c r="DG10" s="82" t="str">
        <f aca="false">IF(ISBLANK($C10),"",IF(ISNUMBER($DC10),$DC10+ROW($B10)/1000,""))</f>
        <v/>
      </c>
      <c r="DH10" s="82" t="str">
        <f aca="false">IF(ISNUMBER($DG10),RANK($DG10,$DG$9:$DG$508,1),"")</f>
        <v/>
      </c>
      <c r="DI10" s="82" t="str">
        <f aca="false">IF(ISBLANK($C10),"",$B10)</f>
        <v/>
      </c>
      <c r="DJ10" s="82" t="str">
        <f aca="false">IF(ISBLANK($C10),"",$C10)</f>
        <v/>
      </c>
      <c r="DK10" s="82" t="str">
        <f aca="false">IF(ISBLANK($C10),"",$D10)</f>
        <v/>
      </c>
      <c r="DL10" s="83" t="str">
        <f aca="false">$CZ10</f>
        <v/>
      </c>
      <c r="DM10" s="84" t="str">
        <f aca="false">$CY10</f>
        <v/>
      </c>
      <c r="DN10" s="82" t="str">
        <f aca="false">IF(ISBLANK($C10),"",$DB10)</f>
        <v/>
      </c>
      <c r="DO10" s="85" t="str">
        <f aca="false">IF($DF10&gt;$DE$8,"",VLOOKUP($DF10,$DH$9:$DN$508,7,FALSE()))</f>
        <v/>
      </c>
      <c r="DP10" s="86" t="str">
        <f aca="false">IF($DF10&gt;$DE$8,"",VLOOKUP($DF10,$DH$9:$DN$508,2,FALSE()))</f>
        <v/>
      </c>
      <c r="DQ10" s="86" t="str">
        <f aca="false">IF($DF10&gt;$DE$8,"",VLOOKUP($DF10,$DH$9:$DN$508,3,FALSE()))</f>
        <v/>
      </c>
      <c r="DR10" s="86" t="str">
        <f aca="false">IF($DF10&gt;$DE$8,"",VLOOKUP($DF10,$DH$9:$DN$508,4,FALSE()))</f>
        <v/>
      </c>
      <c r="DS10" s="86" t="str">
        <f aca="false">IF($DF10&gt;$DE$8,"",VLOOKUP($DF10,$DH$9:$DN$508,5,FALSE()))</f>
        <v/>
      </c>
      <c r="DT10" s="87" t="str">
        <f aca="false">IF($DF10&gt;$DE$8,"",VLOOKUP($DF10,$DH$9:$DN$508,6,FALSE()))</f>
        <v/>
      </c>
      <c r="DU10" s="62"/>
    </row>
    <row r="11" customFormat="false" ht="15.75" hidden="false" customHeight="false" outlineLevel="0" collapsed="false">
      <c r="A11" s="7"/>
      <c r="B11" s="64"/>
      <c r="C11" s="65"/>
      <c r="D11" s="89"/>
      <c r="E11" s="67"/>
      <c r="F11" s="68"/>
      <c r="G11" s="67"/>
      <c r="H11" s="68"/>
      <c r="I11" s="69"/>
      <c r="J11" s="69"/>
      <c r="K11" s="69"/>
      <c r="L11" s="67"/>
      <c r="M11" s="67"/>
      <c r="N11" s="67"/>
      <c r="O11" s="68"/>
      <c r="P11" s="67"/>
      <c r="Q11" s="67"/>
      <c r="R11" s="67"/>
      <c r="S11" s="67"/>
      <c r="T11" s="68"/>
      <c r="U11" s="67"/>
      <c r="V11" s="70"/>
      <c r="W11" s="67"/>
      <c r="X11" s="67"/>
      <c r="Y11" s="70"/>
      <c r="Z11" s="70"/>
      <c r="AA11" s="67"/>
      <c r="AB11" s="67"/>
      <c r="AC11" s="71"/>
      <c r="AD11" s="72"/>
      <c r="AE11" s="73"/>
      <c r="AF11" s="74"/>
      <c r="AG11" s="74"/>
      <c r="AH11" s="74" t="str">
        <f aca="false">IF(ISBLANK($C11),"",IF($E11=Constants!$B$2,TRUE(),IF($E11=Constants!$B$3,FALSE(),TRUE())))</f>
        <v/>
      </c>
      <c r="AI11" s="74" t="str">
        <f aca="false">IF(ISBLANK($C11),"",IF($F11=Constants!$B$2,TRUE(),IF($F11=Constants!$B$3,FALSE(),FALSE())))</f>
        <v/>
      </c>
      <c r="AJ11" s="74" t="str">
        <f aca="false">IF(ISBLANK($C11),"",IF($G11=Constants!$B$2,TRUE(),IF($G11=Constants!$B$3,FALSE(),TRUE())))</f>
        <v/>
      </c>
      <c r="AK11" s="74" t="str">
        <f aca="false">IF(ISBLANK($C11),"",IF($H11=Constants!$B$2,TRUE(),IF($H11=Constants!$B$3,FALSE(),TRUE())))</f>
        <v/>
      </c>
      <c r="AL11" s="74" t="str">
        <f aca="false">IF(ISBLANK($C11),"",IF(ISNUMBER($I11),IF($I11&gt;=0,$I11,""),""))</f>
        <v/>
      </c>
      <c r="AM11" s="74" t="str">
        <f aca="false">IF(ISBLANK($C11),"",IF(ISNUMBER($J11),IF($J11&gt;=0,$J11,""),""))</f>
        <v/>
      </c>
      <c r="AN11" s="74" t="str">
        <f aca="false">IF(ISBLANK($C11),"",IF(ISNUMBER($K11),IF($K11&gt;=0,$K11,""),""))</f>
        <v/>
      </c>
      <c r="AO11" s="74" t="str">
        <f aca="false">IF(ISBLANK($C11),"",IF($L11=Constants!$B$2,TRUE(),IF($L11=Constants!$B$3,FALSE(),TRUE())))</f>
        <v/>
      </c>
      <c r="AP11" s="74" t="str">
        <f aca="false">IF(ISBLANK($C11),"",IF($M11=Constants!$B$2,TRUE(),IF($M11=Constants!$B$3,FALSE(),TRUE())))</f>
        <v/>
      </c>
      <c r="AQ11" s="74" t="str">
        <f aca="false">IF(ISBLANK($C11),"",IF($N11=Constants!$B$2,TRUE(),IF($N11=Constants!$B$3,FALSE(),FALSE())))</f>
        <v/>
      </c>
      <c r="AR11" s="74" t="str">
        <f aca="false">IF(ISBLANK($C11),"",IF($O11=Constants!$B$2,TRUE(),IF($O11=Constants!$B$3,FALSE(),TRUE())))</f>
        <v/>
      </c>
      <c r="AS11" s="74" t="str">
        <f aca="false">IF(ISBLANK($C11),"",IF($P11=Constants!$B$2,TRUE(),IF($P11=Constants!$B$3,FALSE(),FALSE())))</f>
        <v/>
      </c>
      <c r="AT11" s="74" t="str">
        <f aca="false">IF(ISBLANK($C11),"",IF($Q11=Constants!$B$2,TRUE(),IF($Q11=Constants!$B$3,FALSE(),FALSE())))</f>
        <v/>
      </c>
      <c r="AU11" s="74" t="str">
        <f aca="false">IF(ISBLANK($C11),"",IF($R11=Constants!$B$2,TRUE(),IF($R11=Constants!$B$3,FALSE(),FALSE())))</f>
        <v/>
      </c>
      <c r="AV11" s="74" t="str">
        <f aca="false">IF(ISBLANK($C11),"",IF($S11=Constants!$B$2,TRUE(),IF($S11=Constants!$B$3,FALSE(),FALSE())))</f>
        <v/>
      </c>
      <c r="AW11" s="74" t="str">
        <f aca="false">IF(ISBLANK($C11),"",IF($T11=Constants!$B$2,TRUE(),IF($T11=Constants!$B$3,FALSE(),FALSE())))</f>
        <v/>
      </c>
      <c r="AX11" s="74" t="str">
        <f aca="false">IF(ISBLANK($C11),"",IF(OR($U11&amp;""="1",$U11&amp;""="2",$U11&amp;""="3",$U11&amp;""="4"),VALUE($U11&amp;""),IF($U11=Constants!$B$12,Constants!$B$12,"")))</f>
        <v/>
      </c>
      <c r="AY11" s="74" t="str">
        <f aca="false">IF(ISBLANK($C11),"",IF(ISBLANK($V11),0,IF(ISNUMBER($V11),IF(AND($V11&gt;=0,$V11&lt;=Constants!$B$21,$V11=INT($V11)),$V11,""),"")))</f>
        <v/>
      </c>
      <c r="AZ11" s="74" t="str">
        <f aca="false">IF(ISBLANK($C11),"",IF(ISBLANK($W11),0,IF(ISNUMBER($W11),IF($W11&gt;=0,$W11,""),"")))</f>
        <v/>
      </c>
      <c r="BA11" s="74" t="str">
        <f aca="false">IF(ISBLANK($C11),"",IF($X11=Constants!$B$2,TRUE(),IF($X11=Constants!$B$3,FALSE(),TRUE())))</f>
        <v/>
      </c>
      <c r="BB11" s="74" t="str">
        <f aca="false">IF(ISBLANK($C11),"",IF($Y11=Constants!$B$2,TRUE(),IF($Y11=Constants!$B$3,FALSE(),FALSE())))</f>
        <v/>
      </c>
      <c r="BC11" s="74" t="str">
        <f aca="false">IF(ISBLANK($C11),"",IF(ISBLANK($Z11),0,IF(ISNUMBER($Z11),IF(AND($Z11&gt;=0,$Z11&lt;=Constants!$B$35,$Z11=INT($Z11)),$Z11,""),"")))</f>
        <v/>
      </c>
      <c r="BD11" s="74" t="str">
        <f aca="false">IF(ISBLANK($C11),"",IF($AA11=Constants!$B$2,TRUE(),IF($AA11=Constants!$B$3,FALSE(),TRUE())))</f>
        <v/>
      </c>
      <c r="BE11" s="74" t="str">
        <f aca="false">IF(ISBLANK($C11),"",IF($AB11=Constants!$B$2,TRUE(),IF($AB11=Constants!$B$3,FALSE(),TRUE())))</f>
        <v/>
      </c>
      <c r="BF11" s="74" t="str">
        <f aca="false">IF(ISBLANK($C11),"",IF(ISNUMBER($AC11),IF($AC11&gt;=0,$AC11,""),""))</f>
        <v/>
      </c>
      <c r="BG11" s="74" t="str">
        <f aca="false">IF(ISBLANK($C11),"",IF($AD11=Constants!$B$2,TRUE(),IF($AD11=Constants!$B$3,FALSE(),FALSE())))</f>
        <v/>
      </c>
      <c r="BH11" s="73" t="str">
        <f aca="false">IF(ISBLANK($C11),"",IF($BG11,Constants!$B$7,IF(COUNTA($E11:$AC11)=0,Constants!$B$6,IF(OR(COUNTA($G11:$AC11)=0,NOT($AK11),$AQ11),Constants!$B$5,IF(OR($CI11&lt;&gt;"",$CJ11,$CK11,$CL11,$CM11,$CN11,$CO11),Constants!$B$8,Constants!$B$4)))))</f>
        <v/>
      </c>
      <c r="BI11" s="74" t="str">
        <f aca="false">IF(ISBLANK($C11),"",IF($BH11&lt;&gt;Constants!$B$4,$BH11,IF(OR(NOT($AH11),NOT($AJ11),NOT($AR11)),Constants!$B$11,IF(OR(NOT($AP11),MAX($AL11,$AM11,$AN11)&gt;Constants!$B$30),Constants!$B$10,Constants!$B$9))))</f>
        <v/>
      </c>
      <c r="BJ11" s="74" t="str">
        <f aca="false">IF($BH11&lt;&gt;Constants!$B$4,"",IF(NOT($AJ11),0,MIN(Constants!$B$35,$BC11)))</f>
        <v/>
      </c>
      <c r="BK11" s="74" t="str">
        <f aca="false">IF($BH11&lt;&gt;Constants!$B$4,"",IF(NOT($AJ11),0,IF($AT11,Constants!$B$18,IF($AS11,Constants!$B$17,0))))</f>
        <v/>
      </c>
      <c r="BL11" s="74" t="str">
        <f aca="false">IF($BH11&lt;&gt;Constants!$B$4,"",IF(NOT($AJ11),0,Constants!$B$19*($AI11+$AU11+$AV11+$AW11)))</f>
        <v/>
      </c>
      <c r="BM11" s="74" t="str">
        <f aca="false">IF($BH11&lt;&gt;Constants!$B$4,"",IF(OR(NOT($AJ11),NOT(ISNUMBER($AX11))),0,CHOOSE($AX11,Constants!$B$13,Constants!$B$14,Constants!$B$15,Constants!$B$16)))</f>
        <v/>
      </c>
      <c r="BN11" s="74" t="str">
        <f aca="false">IF($BH11&lt;&gt;Constants!$B$4,"",IF(NOT($AJ11),0,Constants!$B$20*$AY11))</f>
        <v/>
      </c>
      <c r="BO11" s="74" t="str">
        <f aca="false">IF($BH11&lt;&gt;Constants!$B$4,"",IF(AND($AJ11,$BA11,$BB11),Constants!$B$22,0))</f>
        <v/>
      </c>
      <c r="BP11" s="74" t="str">
        <f aca="false">IF($BH11&lt;&gt;Constants!$B$4,"",IF(OR(NOT($AJ11),NOT($BA11)),0,IF($BF11&gt;=2*$AF$9,0,Constants!$B$23*INT(ROUND(MIN($BF11,$AF$9),6)))))</f>
        <v/>
      </c>
      <c r="BQ11" s="74" t="str">
        <f aca="false">IF($BH11&lt;&gt;Constants!$B$4,"",IF(NOT($AJ11),0,Constants!$B$24*INT(ROUND(MIN($AZ11,$AF$9),6))))</f>
        <v/>
      </c>
      <c r="BR11" s="74" t="str">
        <f aca="false">IF($BH11&lt;&gt;Constants!$B$4,"",IF(AND($AJ11,$BJ11=0),Constants!$B$25,0))</f>
        <v/>
      </c>
      <c r="BS11" s="74" t="str">
        <f aca="false">IF($BH11&lt;&gt;Constants!$B$4,"",MIN(Constants!$B$29,MAX(0,Constants!$B$27*Constants!$B$28*INT(ROUND((Constants!$B$26-$AL11)/Constants!$B$28,6))))+MIN(Constants!$B$29,MAX(0,Constants!$B$27*Constants!$B$28*INT(ROUND((Constants!$B$26-$AM11)/Constants!$B$28,6))))+MIN(Constants!$B$29,MAX(0,Constants!$B$27*Constants!$B$28*INT(ROUND((Constants!$B$26-$AN11)/Constants!$B$28,6)))))</f>
        <v/>
      </c>
      <c r="BT11" s="74" t="str">
        <f aca="false">IF($BH11&lt;&gt;Constants!$B$4,"",IF(NOT($AJ11),0,Constants!$B$31*INT(ROUND(MAX(0,MIN($BF11,2*$AF$9)-$AF$9),6))))</f>
        <v/>
      </c>
      <c r="BU11" s="74" t="str">
        <f aca="false">IF($BH11&lt;&gt;Constants!$B$4,"",Constants!$B$32*(($AL11&gt;Constants!$B$26)+($AM11&gt;Constants!$B$26)+($AN11&gt;Constants!$B$26)))</f>
        <v/>
      </c>
      <c r="BV11" s="74" t="str">
        <f aca="false">IF($BH11&lt;&gt;Constants!$B$4,"",IF(OR(NOT($AJ11),$AO11),0,Constants!$B$33))</f>
        <v/>
      </c>
      <c r="BW11" s="74" t="str">
        <f aca="false">IF($BH11&lt;&gt;Constants!$B$4,"",Constants!$B$34*$BJ11)</f>
        <v/>
      </c>
      <c r="BX11" s="74" t="str">
        <f aca="false">IF($BH11&lt;&gt;Constants!$B$4,"",IF(OR(NOT($AJ11),$BE11),0,Constants!$B$36))</f>
        <v/>
      </c>
      <c r="BY11" s="74" t="str">
        <f aca="false">IF($BH11&lt;&gt;Constants!$B$4,"",IF(OR(NOT($AJ11),$BD11),0,Constants!$B$37))</f>
        <v/>
      </c>
      <c r="BZ11" s="74" t="str">
        <f aca="false">IF($BH11&lt;&gt;Constants!$B$4,"",SUM($BT11:$BY11))</f>
        <v/>
      </c>
      <c r="CA11" s="74" t="str">
        <f aca="false">IF(ISBLANK($C11),"",IF($BH11&lt;&gt;Constants!$B$4,$BH11,SUM($BK11:$BS11)-$BZ11))</f>
        <v/>
      </c>
      <c r="CB11" s="74" t="str">
        <f aca="false">IF(ISBLANK($C11),"",IF($BH11&lt;&gt;Constants!$B$4,$BH11,RANK($CA11,$CA$9:$CA$508)))</f>
        <v/>
      </c>
      <c r="CC11" s="74" t="str">
        <f aca="false">IF(ISBLANK($C11),"",IF($BH11&lt;&gt;Constants!$B$4,$BH11,COUNTIFS($BI$9:$BI$508,"&lt;"&amp;$BI11)+COUNTIFS($BI$9:$BI$508,$BI11,$CB$9:$CB$508,"&lt;"&amp;$CB11)+1))</f>
        <v/>
      </c>
      <c r="CD11" s="74" t="str">
        <f aca="false">IF(ISBLANK($C11),"",IF($BH11&lt;&gt;Constants!$B$4,$BH11,RANK($BZ11,$BZ$9:$BZ$508,1)))</f>
        <v/>
      </c>
      <c r="CE11" s="74" t="str">
        <f aca="false">IF($BH11&lt;&gt;Constants!$B$4,"",$AL11+$AM11+$AN11)</f>
        <v/>
      </c>
      <c r="CF11" s="74" t="str">
        <f aca="false">IF(ISBLANK($C11),"",IF($BH11&lt;&gt;Constants!$B$4,$BH11,RANK($CE11,$CE$9:$CE$508,1)))</f>
        <v/>
      </c>
      <c r="CG11" s="74" t="str">
        <f aca="false">IF(ISBLANK($C11),"",IF($BH11&lt;&gt;Constants!$B$4,$BH11,COUNTIFS($BI$9:$BI$508,"&lt;"&amp;$BI11)+COUNTIFS($BI$9:$BI$508,$BI11,$CB$9:$CB$508,"&lt;"&amp;$CB11)+COUNTIFS($BI$9:$BI$508,$BI11,$CB$9:$CB$508,$CB11,$CD$9:$CD$508,"&lt;"&amp;$CD11)+COUNTIFS($BI$9:$BI$508,$BI11,$CB$9:$CB$508,$CB11,$CD$9:$CD$508,$CD11,$CF$9:$CF$508,"&lt;"&amp;$CF11)+1))</f>
        <v/>
      </c>
      <c r="CH11" s="74" t="str">
        <f aca="false">IF(ISBLANK($C11),"",IF($BH11&lt;&gt;Constants!$B$4,$BH11,$CC11-$CG11))</f>
        <v/>
      </c>
      <c r="CI11" s="74" t="str">
        <f aca="false">IF(ISBLANK($C11),"",IF(NOT($AJ11),"",IF(ISBLANK($D$7),$CI$5,IF(NOT(ISNUMBER($D$7)),$CI$6,""))))</f>
        <v/>
      </c>
      <c r="CJ11" s="74" t="str">
        <f aca="false">IF(ISBLANK($C11),"",OR($AL11="",$AM11="",$AN11=""))</f>
        <v/>
      </c>
      <c r="CK11" s="74" t="str">
        <f aca="false">IF(ISBLANK($C11),"",AND($AJ11,$AX11=""))</f>
        <v/>
      </c>
      <c r="CL11" s="74" t="str">
        <f aca="false">IF(ISBLANK($C11),"",AND($AJ11,$AY11=""))</f>
        <v/>
      </c>
      <c r="CM11" s="74" t="str">
        <f aca="false">IF(ISBLANK($C11),"",AND($AJ11,$AZ11=""))</f>
        <v/>
      </c>
      <c r="CN11" s="74" t="str">
        <f aca="false">IF(ISBLANK($C11),"",AND($AJ11,$BC11=""))</f>
        <v/>
      </c>
      <c r="CO11" s="74" t="str">
        <f aca="false">IF(ISBLANK($C11),"",AND($AJ11,$BF11=""))</f>
        <v/>
      </c>
      <c r="CP11" s="75"/>
      <c r="CQ11" s="76"/>
      <c r="CR11" s="79" t="str">
        <f aca="false">IF(ISBLANK($C11),"",IF($BH11=Constants!$B$8,$CI11,""))</f>
        <v/>
      </c>
      <c r="CS11" s="76" t="str">
        <f aca="false">IF(ISBLANK($C11),"",IF($BH11&lt;&gt;Constants!$B$4,"",$BK11+$BL11))</f>
        <v/>
      </c>
      <c r="CT11" s="78" t="str">
        <f aca="false">IF(ISBLANK($C11),"",IF($BH11&lt;&gt;Constants!$B$4,"",$BM11+$BN11+$BO11))</f>
        <v/>
      </c>
      <c r="CU11" s="78" t="str">
        <f aca="false">IF(ISBLANK($C11),"",IF($BH11&lt;&gt;Constants!$B$4,"",$BP11))</f>
        <v/>
      </c>
      <c r="CV11" s="78" t="str">
        <f aca="false">IF(ISBLANK($C11),"",IF($BH11&lt;&gt;Constants!$B$4,"",$BQ11+$BR11))</f>
        <v/>
      </c>
      <c r="CW11" s="78" t="str">
        <f aca="false">IF(ISBLANK($C11),"",IF($BH11&lt;&gt;Constants!$B$4,"",$BS11))</f>
        <v/>
      </c>
      <c r="CX11" s="78" t="str">
        <f aca="false">IF(ISBLANK($C11),"",IF($BH11&lt;&gt;Constants!$B$4,"",-$BZ11))</f>
        <v/>
      </c>
      <c r="CY11" s="79" t="str">
        <f aca="false">IF(ISBLANK($C11),"",$CA11)</f>
        <v/>
      </c>
      <c r="CZ11" s="80" t="str">
        <f aca="false">IF(ISBLANK($C11),"",$BI11)</f>
        <v/>
      </c>
      <c r="DA11" s="78" t="str">
        <f aca="false">IF(ISBLANK($C11),"",$CH11)</f>
        <v/>
      </c>
      <c r="DB11" s="78" t="str">
        <f aca="false">IF(ISBLANK($C11),"",$CG11)</f>
        <v/>
      </c>
      <c r="DC11" s="81" t="str">
        <f aca="false">IF(ISBLANK($C11),"",IFERROR(_xlfn.SWITCH($DB11,Constants!$B$7,COUNTA($C$9:$C$508)+2,Constants!$B$6,COUNTA($C$9:$C$508)+1,Constants!$B$5,COUNTA($C$9:$C$508)),$DB11))</f>
        <v/>
      </c>
      <c r="DD11" s="7"/>
      <c r="DE11" s="82" t="n">
        <f aca="false">IF(OR(ISNUMBER($DB11),$DB11=Constants!$B$7,$DB11=Constants!$B$5,$DB11=Constants!$B$6),1,0)</f>
        <v>0</v>
      </c>
      <c r="DF11" s="82" t="n">
        <v>3</v>
      </c>
      <c r="DG11" s="82" t="str">
        <f aca="false">IF(ISBLANK($C11),"",IF(ISNUMBER($DC11),$DC11+ROW($B11)/1000,""))</f>
        <v/>
      </c>
      <c r="DH11" s="82" t="str">
        <f aca="false">IF(ISNUMBER($DG11),RANK($DG11,$DG$9:$DG$508,1),"")</f>
        <v/>
      </c>
      <c r="DI11" s="82" t="str">
        <f aca="false">IF(ISBLANK($C11),"",$B11)</f>
        <v/>
      </c>
      <c r="DJ11" s="82" t="str">
        <f aca="false">IF(ISBLANK($C11),"",$C11)</f>
        <v/>
      </c>
      <c r="DK11" s="82" t="str">
        <f aca="false">IF(ISBLANK($C11),"",$D11)</f>
        <v/>
      </c>
      <c r="DL11" s="83" t="str">
        <f aca="false">$CZ11</f>
        <v/>
      </c>
      <c r="DM11" s="84" t="str">
        <f aca="false">$CY11</f>
        <v/>
      </c>
      <c r="DN11" s="82" t="str">
        <f aca="false">IF(ISBLANK($C11),"",$DB11)</f>
        <v/>
      </c>
      <c r="DO11" s="85" t="str">
        <f aca="false">IF($DF11&gt;$DE$8,"",VLOOKUP($DF11,$DH$9:$DN$508,7,FALSE()))</f>
        <v/>
      </c>
      <c r="DP11" s="86" t="str">
        <f aca="false">IF($DF11&gt;$DE$8,"",VLOOKUP($DF11,$DH$9:$DN$508,2,FALSE()))</f>
        <v/>
      </c>
      <c r="DQ11" s="86" t="str">
        <f aca="false">IF($DF11&gt;$DE$8,"",VLOOKUP($DF11,$DH$9:$DN$508,3,FALSE()))</f>
        <v/>
      </c>
      <c r="DR11" s="86" t="str">
        <f aca="false">IF($DF11&gt;$DE$8,"",VLOOKUP($DF11,$DH$9:$DN$508,4,FALSE()))</f>
        <v/>
      </c>
      <c r="DS11" s="86" t="str">
        <f aca="false">IF($DF11&gt;$DE$8,"",VLOOKUP($DF11,$DH$9:$DN$508,5,FALSE()))</f>
        <v/>
      </c>
      <c r="DT11" s="87" t="str">
        <f aca="false">IF($DF11&gt;$DE$8,"",VLOOKUP($DF11,$DH$9:$DN$508,6,FALSE()))</f>
        <v/>
      </c>
      <c r="DU11" s="62"/>
    </row>
    <row r="12" customFormat="false" ht="15.75" hidden="false" customHeight="false" outlineLevel="0" collapsed="false">
      <c r="A12" s="7"/>
      <c r="B12" s="90"/>
      <c r="C12" s="91"/>
      <c r="D12" s="92"/>
      <c r="E12" s="93"/>
      <c r="F12" s="94"/>
      <c r="G12" s="93"/>
      <c r="H12" s="94"/>
      <c r="I12" s="95"/>
      <c r="J12" s="95"/>
      <c r="K12" s="95"/>
      <c r="L12" s="93"/>
      <c r="M12" s="93"/>
      <c r="N12" s="93"/>
      <c r="O12" s="94"/>
      <c r="P12" s="93"/>
      <c r="Q12" s="93"/>
      <c r="R12" s="93"/>
      <c r="S12" s="93"/>
      <c r="T12" s="94"/>
      <c r="U12" s="93"/>
      <c r="V12" s="96"/>
      <c r="W12" s="93"/>
      <c r="X12" s="93"/>
      <c r="Y12" s="96"/>
      <c r="Z12" s="96"/>
      <c r="AA12" s="93"/>
      <c r="AB12" s="93"/>
      <c r="AC12" s="97"/>
      <c r="AD12" s="98"/>
      <c r="AE12" s="99"/>
      <c r="AF12" s="100"/>
      <c r="AG12" s="100"/>
      <c r="AH12" s="100" t="str">
        <f aca="false">IF(ISBLANK($C12),"",IF($E12=Constants!$B$2,TRUE(),IF($E12=Constants!$B$3,FALSE(),TRUE())))</f>
        <v/>
      </c>
      <c r="AI12" s="100" t="str">
        <f aca="false">IF(ISBLANK($C12),"",IF($F12=Constants!$B$2,TRUE(),IF($F12=Constants!$B$3,FALSE(),FALSE())))</f>
        <v/>
      </c>
      <c r="AJ12" s="100" t="str">
        <f aca="false">IF(ISBLANK($C12),"",IF($G12=Constants!$B$2,TRUE(),IF($G12=Constants!$B$3,FALSE(),TRUE())))</f>
        <v/>
      </c>
      <c r="AK12" s="100" t="str">
        <f aca="false">IF(ISBLANK($C12),"",IF($H12=Constants!$B$2,TRUE(),IF($H12=Constants!$B$3,FALSE(),TRUE())))</f>
        <v/>
      </c>
      <c r="AL12" s="100" t="str">
        <f aca="false">IF(ISBLANK($C12),"",IF(ISNUMBER($I12),IF($I12&gt;=0,$I12,""),""))</f>
        <v/>
      </c>
      <c r="AM12" s="100" t="str">
        <f aca="false">IF(ISBLANK($C12),"",IF(ISNUMBER($J12),IF($J12&gt;=0,$J12,""),""))</f>
        <v/>
      </c>
      <c r="AN12" s="100" t="str">
        <f aca="false">IF(ISBLANK($C12),"",IF(ISNUMBER($K12),IF($K12&gt;=0,$K12,""),""))</f>
        <v/>
      </c>
      <c r="AO12" s="100" t="str">
        <f aca="false">IF(ISBLANK($C12),"",IF($L12=Constants!$B$2,TRUE(),IF($L12=Constants!$B$3,FALSE(),TRUE())))</f>
        <v/>
      </c>
      <c r="AP12" s="100" t="str">
        <f aca="false">IF(ISBLANK($C12),"",IF($M12=Constants!$B$2,TRUE(),IF($M12=Constants!$B$3,FALSE(),TRUE())))</f>
        <v/>
      </c>
      <c r="AQ12" s="100" t="str">
        <f aca="false">IF(ISBLANK($C12),"",IF($N12=Constants!$B$2,TRUE(),IF($N12=Constants!$B$3,FALSE(),FALSE())))</f>
        <v/>
      </c>
      <c r="AR12" s="100" t="str">
        <f aca="false">IF(ISBLANK($C12),"",IF($O12=Constants!$B$2,TRUE(),IF($O12=Constants!$B$3,FALSE(),TRUE())))</f>
        <v/>
      </c>
      <c r="AS12" s="100" t="str">
        <f aca="false">IF(ISBLANK($C12),"",IF($P12=Constants!$B$2,TRUE(),IF($P12=Constants!$B$3,FALSE(),FALSE())))</f>
        <v/>
      </c>
      <c r="AT12" s="100" t="str">
        <f aca="false">IF(ISBLANK($C12),"",IF($Q12=Constants!$B$2,TRUE(),IF($Q12=Constants!$B$3,FALSE(),FALSE())))</f>
        <v/>
      </c>
      <c r="AU12" s="100" t="str">
        <f aca="false">IF(ISBLANK($C12),"",IF($R12=Constants!$B$2,TRUE(),IF($R12=Constants!$B$3,FALSE(),FALSE())))</f>
        <v/>
      </c>
      <c r="AV12" s="100" t="str">
        <f aca="false">IF(ISBLANK($C12),"",IF($S12=Constants!$B$2,TRUE(),IF($S12=Constants!$B$3,FALSE(),FALSE())))</f>
        <v/>
      </c>
      <c r="AW12" s="100" t="str">
        <f aca="false">IF(ISBLANK($C12),"",IF($T12=Constants!$B$2,TRUE(),IF($T12=Constants!$B$3,FALSE(),FALSE())))</f>
        <v/>
      </c>
      <c r="AX12" s="100" t="str">
        <f aca="false">IF(ISBLANK($C12),"",IF(OR($U12&amp;""="1",$U12&amp;""="2",$U12&amp;""="3",$U12&amp;""="4"),VALUE($U12&amp;""),IF($U12=Constants!$B$12,Constants!$B$12,"")))</f>
        <v/>
      </c>
      <c r="AY12" s="100" t="str">
        <f aca="false">IF(ISBLANK($C12),"",IF(ISBLANK($V12),0,IF(ISNUMBER($V12),IF(AND($V12&gt;=0,$V12&lt;=Constants!$B$21,$V12=INT($V12)),$V12,""),"")))</f>
        <v/>
      </c>
      <c r="AZ12" s="100" t="str">
        <f aca="false">IF(ISBLANK($C12),"",IF(ISBLANK($W12),0,IF(ISNUMBER($W12),IF($W12&gt;=0,$W12,""),"")))</f>
        <v/>
      </c>
      <c r="BA12" s="100" t="str">
        <f aca="false">IF(ISBLANK($C12),"",IF($X12=Constants!$B$2,TRUE(),IF($X12=Constants!$B$3,FALSE(),TRUE())))</f>
        <v/>
      </c>
      <c r="BB12" s="100" t="str">
        <f aca="false">IF(ISBLANK($C12),"",IF($Y12=Constants!$B$2,TRUE(),IF($Y12=Constants!$B$3,FALSE(),FALSE())))</f>
        <v/>
      </c>
      <c r="BC12" s="100" t="str">
        <f aca="false">IF(ISBLANK($C12),"",IF(ISBLANK($Z12),0,IF(ISNUMBER($Z12),IF(AND($Z12&gt;=0,$Z12&lt;=Constants!$B$35,$Z12=INT($Z12)),$Z12,""),"")))</f>
        <v/>
      </c>
      <c r="BD12" s="100" t="str">
        <f aca="false">IF(ISBLANK($C12),"",IF($AA12=Constants!$B$2,TRUE(),IF($AA12=Constants!$B$3,FALSE(),TRUE())))</f>
        <v/>
      </c>
      <c r="BE12" s="100" t="str">
        <f aca="false">IF(ISBLANK($C12),"",IF($AB12=Constants!$B$2,TRUE(),IF($AB12=Constants!$B$3,FALSE(),TRUE())))</f>
        <v/>
      </c>
      <c r="BF12" s="100" t="str">
        <f aca="false">IF(ISBLANK($C12),"",IF(ISNUMBER($AC12),IF($AC12&gt;=0,$AC12,""),""))</f>
        <v/>
      </c>
      <c r="BG12" s="100" t="str">
        <f aca="false">IF(ISBLANK($C12),"",IF($AD12=Constants!$B$2,TRUE(),IF($AD12=Constants!$B$3,FALSE(),FALSE())))</f>
        <v/>
      </c>
      <c r="BH12" s="99" t="str">
        <f aca="false">IF(ISBLANK($C12),"",IF($BG12,Constants!$B$7,IF(COUNTA($E12:$AC12)=0,Constants!$B$6,IF(OR(COUNTA($G12:$AC12)=0,NOT($AK12),$AQ12),Constants!$B$5,IF(OR($CI12&lt;&gt;"",$CJ12,$CK12,$CL12,$CM12,$CN12,$CO12),Constants!$B$8,Constants!$B$4)))))</f>
        <v/>
      </c>
      <c r="BI12" s="100" t="str">
        <f aca="false">IF(ISBLANK($C12),"",IF($BH12&lt;&gt;Constants!$B$4,$BH12,IF(OR(NOT($AH12),NOT($AJ12),NOT($AR12)),Constants!$B$11,IF(OR(NOT($AP12),MAX($AL12,$AM12,$AN12)&gt;Constants!$B$30),Constants!$B$10,Constants!$B$9))))</f>
        <v/>
      </c>
      <c r="BJ12" s="100" t="str">
        <f aca="false">IF($BH12&lt;&gt;Constants!$B$4,"",IF(NOT($AJ12),0,MIN(Constants!$B$35,$BC12)))</f>
        <v/>
      </c>
      <c r="BK12" s="100" t="str">
        <f aca="false">IF($BH12&lt;&gt;Constants!$B$4,"",IF(NOT($AJ12),0,IF($AT12,Constants!$B$18,IF($AS12,Constants!$B$17,0))))</f>
        <v/>
      </c>
      <c r="BL12" s="100" t="str">
        <f aca="false">IF($BH12&lt;&gt;Constants!$B$4,"",IF(NOT($AJ12),0,Constants!$B$19*($AI12+$AU12+$AV12+$AW12)))</f>
        <v/>
      </c>
      <c r="BM12" s="100" t="str">
        <f aca="false">IF($BH12&lt;&gt;Constants!$B$4,"",IF(OR(NOT($AJ12),NOT(ISNUMBER($AX12))),0,CHOOSE($AX12,Constants!$B$13,Constants!$B$14,Constants!$B$15,Constants!$B$16)))</f>
        <v/>
      </c>
      <c r="BN12" s="100" t="str">
        <f aca="false">IF($BH12&lt;&gt;Constants!$B$4,"",IF(NOT($AJ12),0,Constants!$B$20*$AY12))</f>
        <v/>
      </c>
      <c r="BO12" s="100" t="str">
        <f aca="false">IF($BH12&lt;&gt;Constants!$B$4,"",IF(AND($AJ12,$BA12,$BB12),Constants!$B$22,0))</f>
        <v/>
      </c>
      <c r="BP12" s="100" t="str">
        <f aca="false">IF($BH12&lt;&gt;Constants!$B$4,"",IF(OR(NOT($AJ12),NOT($BA12)),0,IF($BF12&gt;=2*$AF$9,0,Constants!$B$23*INT(ROUND(MIN($BF12,$AF$9),6)))))</f>
        <v/>
      </c>
      <c r="BQ12" s="100" t="str">
        <f aca="false">IF($BH12&lt;&gt;Constants!$B$4,"",IF(NOT($AJ12),0,Constants!$B$24*INT(ROUND(MIN($AZ12,$AF$9),6))))</f>
        <v/>
      </c>
      <c r="BR12" s="100" t="str">
        <f aca="false">IF($BH12&lt;&gt;Constants!$B$4,"",IF(AND($AJ12,$BJ12=0),Constants!$B$25,0))</f>
        <v/>
      </c>
      <c r="BS12" s="100" t="str">
        <f aca="false">IF($BH12&lt;&gt;Constants!$B$4,"",MIN(Constants!$B$29,MAX(0,Constants!$B$27*Constants!$B$28*INT(ROUND((Constants!$B$26-$AL12)/Constants!$B$28,6))))+MIN(Constants!$B$29,MAX(0,Constants!$B$27*Constants!$B$28*INT(ROUND((Constants!$B$26-$AM12)/Constants!$B$28,6))))+MIN(Constants!$B$29,MAX(0,Constants!$B$27*Constants!$B$28*INT(ROUND((Constants!$B$26-$AN12)/Constants!$B$28,6)))))</f>
        <v/>
      </c>
      <c r="BT12" s="100" t="str">
        <f aca="false">IF($BH12&lt;&gt;Constants!$B$4,"",IF(NOT($AJ12),0,Constants!$B$31*INT(ROUND(MAX(0,MIN($BF12,2*$AF$9)-$AF$9),6))))</f>
        <v/>
      </c>
      <c r="BU12" s="100" t="str">
        <f aca="false">IF($BH12&lt;&gt;Constants!$B$4,"",Constants!$B$32*(($AL12&gt;Constants!$B$26)+($AM12&gt;Constants!$B$26)+($AN12&gt;Constants!$B$26)))</f>
        <v/>
      </c>
      <c r="BV12" s="100" t="str">
        <f aca="false">IF($BH12&lt;&gt;Constants!$B$4,"",IF(OR(NOT($AJ12),$AO12),0,Constants!$B$33))</f>
        <v/>
      </c>
      <c r="BW12" s="100" t="str">
        <f aca="false">IF($BH12&lt;&gt;Constants!$B$4,"",Constants!$B$34*$BJ12)</f>
        <v/>
      </c>
      <c r="BX12" s="100" t="str">
        <f aca="false">IF($BH12&lt;&gt;Constants!$B$4,"",IF(OR(NOT($AJ12),$BE12),0,Constants!$B$36))</f>
        <v/>
      </c>
      <c r="BY12" s="100" t="str">
        <f aca="false">IF($BH12&lt;&gt;Constants!$B$4,"",IF(OR(NOT($AJ12),$BD12),0,Constants!$B$37))</f>
        <v/>
      </c>
      <c r="BZ12" s="100" t="str">
        <f aca="false">IF($BH12&lt;&gt;Constants!$B$4,"",SUM($BT12:$BY12))</f>
        <v/>
      </c>
      <c r="CA12" s="100" t="str">
        <f aca="false">IF(ISBLANK($C12),"",IF($BH12&lt;&gt;Constants!$B$4,$BH12,SUM($BK12:$BS12)-$BZ12))</f>
        <v/>
      </c>
      <c r="CB12" s="100" t="str">
        <f aca="false">IF(ISBLANK($C12),"",IF($BH12&lt;&gt;Constants!$B$4,$BH12,RANK($CA12,$CA$9:$CA$508)))</f>
        <v/>
      </c>
      <c r="CC12" s="100" t="str">
        <f aca="false">IF(ISBLANK($C12),"",IF($BH12&lt;&gt;Constants!$B$4,$BH12,COUNTIFS($BI$9:$BI$508,"&lt;"&amp;$BI12)+COUNTIFS($BI$9:$BI$508,$BI12,$CB$9:$CB$508,"&lt;"&amp;$CB12)+1))</f>
        <v/>
      </c>
      <c r="CD12" s="100" t="str">
        <f aca="false">IF(ISBLANK($C12),"",IF($BH12&lt;&gt;Constants!$B$4,$BH12,RANK($BZ12,$BZ$9:$BZ$508,1)))</f>
        <v/>
      </c>
      <c r="CE12" s="100" t="str">
        <f aca="false">IF($BH12&lt;&gt;Constants!$B$4,"",$AL12+$AM12+$AN12)</f>
        <v/>
      </c>
      <c r="CF12" s="100" t="str">
        <f aca="false">IF(ISBLANK($C12),"",IF($BH12&lt;&gt;Constants!$B$4,$BH12,RANK($CE12,$CE$9:$CE$508,1)))</f>
        <v/>
      </c>
      <c r="CG12" s="100" t="str">
        <f aca="false">IF(ISBLANK($C12),"",IF($BH12&lt;&gt;Constants!$B$4,$BH12,COUNTIFS($BI$9:$BI$508,"&lt;"&amp;$BI12)+COUNTIFS($BI$9:$BI$508,$BI12,$CB$9:$CB$508,"&lt;"&amp;$CB12)+COUNTIFS($BI$9:$BI$508,$BI12,$CB$9:$CB$508,$CB12,$CD$9:$CD$508,"&lt;"&amp;$CD12)+COUNTIFS($BI$9:$BI$508,$BI12,$CB$9:$CB$508,$CB12,$CD$9:$CD$508,$CD12,$CF$9:$CF$508,"&lt;"&amp;$CF12)+1))</f>
        <v/>
      </c>
      <c r="CH12" s="100" t="str">
        <f aca="false">IF(ISBLANK($C12),"",IF($BH12&lt;&gt;Constants!$B$4,$BH12,$CC12-$CG12))</f>
        <v/>
      </c>
      <c r="CI12" s="100" t="str">
        <f aca="false">IF(ISBLANK($C12),"",IF(NOT($AJ12),"",IF(ISBLANK($D$7),$CI$5,IF(NOT(ISNUMBER($D$7)),$CI$6,""))))</f>
        <v/>
      </c>
      <c r="CJ12" s="100" t="str">
        <f aca="false">IF(ISBLANK($C12),"",OR($AL12="",$AM12="",$AN12=""))</f>
        <v/>
      </c>
      <c r="CK12" s="100" t="str">
        <f aca="false">IF(ISBLANK($C12),"",AND($AJ12,$AX12=""))</f>
        <v/>
      </c>
      <c r="CL12" s="100" t="str">
        <f aca="false">IF(ISBLANK($C12),"",AND($AJ12,$AY12=""))</f>
        <v/>
      </c>
      <c r="CM12" s="100" t="str">
        <f aca="false">IF(ISBLANK($C12),"",AND($AJ12,$AZ12=""))</f>
        <v/>
      </c>
      <c r="CN12" s="100" t="str">
        <f aca="false">IF(ISBLANK($C12),"",AND($AJ12,$BC12=""))</f>
        <v/>
      </c>
      <c r="CO12" s="100" t="str">
        <f aca="false">IF(ISBLANK($C12),"",AND($AJ12,$BF12=""))</f>
        <v/>
      </c>
      <c r="CP12" s="101"/>
      <c r="CQ12" s="102"/>
      <c r="CR12" s="103" t="str">
        <f aca="false">IF(ISBLANK($C12),"",IF($BH12=Constants!$B$8,$CI12,""))</f>
        <v/>
      </c>
      <c r="CS12" s="102" t="str">
        <f aca="false">IF(ISBLANK($C12),"",IF($BH12&lt;&gt;Constants!$B$4,"",$BK12+$BL12))</f>
        <v/>
      </c>
      <c r="CT12" s="104" t="str">
        <f aca="false">IF(ISBLANK($C12),"",IF($BH12&lt;&gt;Constants!$B$4,"",$BM12+$BN12+$BO12))</f>
        <v/>
      </c>
      <c r="CU12" s="104" t="str">
        <f aca="false">IF(ISBLANK($C12),"",IF($BH12&lt;&gt;Constants!$B$4,"",$BP12))</f>
        <v/>
      </c>
      <c r="CV12" s="104" t="str">
        <f aca="false">IF(ISBLANK($C12),"",IF($BH12&lt;&gt;Constants!$B$4,"",$BQ12+$BR12))</f>
        <v/>
      </c>
      <c r="CW12" s="104" t="str">
        <f aca="false">IF(ISBLANK($C12),"",IF($BH12&lt;&gt;Constants!$B$4,"",$BS12))</f>
        <v/>
      </c>
      <c r="CX12" s="104" t="str">
        <f aca="false">IF(ISBLANK($C12),"",IF($BH12&lt;&gt;Constants!$B$4,"",-$BZ12))</f>
        <v/>
      </c>
      <c r="CY12" s="103" t="str">
        <f aca="false">IF(ISBLANK($C12),"",$CA12)</f>
        <v/>
      </c>
      <c r="CZ12" s="105" t="str">
        <f aca="false">IF(ISBLANK($C12),"",$BI12)</f>
        <v/>
      </c>
      <c r="DA12" s="104" t="str">
        <f aca="false">IF(ISBLANK($C12),"",$CH12)</f>
        <v/>
      </c>
      <c r="DB12" s="104" t="str">
        <f aca="false">IF(ISBLANK($C12),"",$CG12)</f>
        <v/>
      </c>
      <c r="DC12" s="106" t="str">
        <f aca="false">IF(ISBLANK($C12),"",IFERROR(_xlfn.SWITCH($DB12,Constants!$B$7,COUNTA($C$9:$C$508)+2,Constants!$B$6,COUNTA($C$9:$C$508)+1,Constants!$B$5,COUNTA($C$9:$C$508)),$DB12))</f>
        <v/>
      </c>
      <c r="DD12" s="7"/>
      <c r="DE12" s="107" t="n">
        <f aca="false">IF(OR(ISNUMBER($DB12),$DB12=Constants!$B$7,$DB12=Constants!$B$5,$DB12=Constants!$B$6),1,0)</f>
        <v>0</v>
      </c>
      <c r="DF12" s="107" t="n">
        <v>4</v>
      </c>
      <c r="DG12" s="107" t="str">
        <f aca="false">IF(ISBLANK($C12),"",IF(ISNUMBER($DC12),$DC12+ROW($B12)/1000,""))</f>
        <v/>
      </c>
      <c r="DH12" s="107" t="str">
        <f aca="false">IF(ISNUMBER($DG12),RANK($DG12,$DG$9:$DG$508,1),"")</f>
        <v/>
      </c>
      <c r="DI12" s="107" t="str">
        <f aca="false">IF(ISBLANK($C12),"",$B12)</f>
        <v/>
      </c>
      <c r="DJ12" s="107" t="str">
        <f aca="false">IF(ISBLANK($C12),"",$C12)</f>
        <v/>
      </c>
      <c r="DK12" s="107" t="str">
        <f aca="false">IF(ISBLANK($C12),"",$D12)</f>
        <v/>
      </c>
      <c r="DL12" s="108" t="str">
        <f aca="false">$CZ12</f>
        <v/>
      </c>
      <c r="DM12" s="109" t="str">
        <f aca="false">$CY12</f>
        <v/>
      </c>
      <c r="DN12" s="107" t="str">
        <f aca="false">IF(ISBLANK($C12),"",$DB12)</f>
        <v/>
      </c>
      <c r="DO12" s="110" t="str">
        <f aca="false">IF($DF12&gt;$DE$8,"",VLOOKUP($DF12,$DH$9:$DN$508,7,FALSE()))</f>
        <v/>
      </c>
      <c r="DP12" s="111" t="str">
        <f aca="false">IF($DF12&gt;$DE$8,"",VLOOKUP($DF12,$DH$9:$DN$508,2,FALSE()))</f>
        <v/>
      </c>
      <c r="DQ12" s="111" t="str">
        <f aca="false">IF($DF12&gt;$DE$8,"",VLOOKUP($DF12,$DH$9:$DN$508,3,FALSE()))</f>
        <v/>
      </c>
      <c r="DR12" s="111" t="str">
        <f aca="false">IF($DF12&gt;$DE$8,"",VLOOKUP($DF12,$DH$9:$DN$508,4,FALSE()))</f>
        <v/>
      </c>
      <c r="DS12" s="111" t="str">
        <f aca="false">IF($DF12&gt;$DE$8,"",VLOOKUP($DF12,$DH$9:$DN$508,5,FALSE()))</f>
        <v/>
      </c>
      <c r="DT12" s="112" t="str">
        <f aca="false">IF($DF12&gt;$DE$8,"",VLOOKUP($DF12,$DH$9:$DN$508,6,FALSE()))</f>
        <v/>
      </c>
      <c r="DU12" s="62"/>
    </row>
    <row r="13" customFormat="false" ht="15.75" hidden="false" customHeight="false" outlineLevel="0" collapsed="false">
      <c r="A13" s="7"/>
      <c r="B13" s="90"/>
      <c r="C13" s="91"/>
      <c r="D13" s="113"/>
      <c r="E13" s="93"/>
      <c r="F13" s="94"/>
      <c r="G13" s="93"/>
      <c r="H13" s="94"/>
      <c r="I13" s="95"/>
      <c r="J13" s="95"/>
      <c r="K13" s="95"/>
      <c r="L13" s="93"/>
      <c r="M13" s="93"/>
      <c r="N13" s="93"/>
      <c r="O13" s="94"/>
      <c r="P13" s="93"/>
      <c r="Q13" s="93"/>
      <c r="R13" s="93"/>
      <c r="S13" s="93"/>
      <c r="T13" s="94"/>
      <c r="U13" s="93"/>
      <c r="V13" s="96"/>
      <c r="W13" s="93"/>
      <c r="X13" s="93"/>
      <c r="Y13" s="96"/>
      <c r="Z13" s="96"/>
      <c r="AA13" s="93"/>
      <c r="AB13" s="93"/>
      <c r="AC13" s="97"/>
      <c r="AD13" s="98"/>
      <c r="AE13" s="99"/>
      <c r="AF13" s="100"/>
      <c r="AG13" s="100"/>
      <c r="AH13" s="100" t="str">
        <f aca="false">IF(ISBLANK($C13),"",IF($E13=Constants!$B$2,TRUE(),IF($E13=Constants!$B$3,FALSE(),TRUE())))</f>
        <v/>
      </c>
      <c r="AI13" s="100" t="str">
        <f aca="false">IF(ISBLANK($C13),"",IF($F13=Constants!$B$2,TRUE(),IF($F13=Constants!$B$3,FALSE(),FALSE())))</f>
        <v/>
      </c>
      <c r="AJ13" s="100" t="str">
        <f aca="false">IF(ISBLANK($C13),"",IF($G13=Constants!$B$2,TRUE(),IF($G13=Constants!$B$3,FALSE(),TRUE())))</f>
        <v/>
      </c>
      <c r="AK13" s="100" t="str">
        <f aca="false">IF(ISBLANK($C13),"",IF($H13=Constants!$B$2,TRUE(),IF($H13=Constants!$B$3,FALSE(),TRUE())))</f>
        <v/>
      </c>
      <c r="AL13" s="100" t="str">
        <f aca="false">IF(ISBLANK($C13),"",IF(ISNUMBER($I13),IF($I13&gt;=0,$I13,""),""))</f>
        <v/>
      </c>
      <c r="AM13" s="100" t="str">
        <f aca="false">IF(ISBLANK($C13),"",IF(ISNUMBER($J13),IF($J13&gt;=0,$J13,""),""))</f>
        <v/>
      </c>
      <c r="AN13" s="100" t="str">
        <f aca="false">IF(ISBLANK($C13),"",IF(ISNUMBER($K13),IF($K13&gt;=0,$K13,""),""))</f>
        <v/>
      </c>
      <c r="AO13" s="100" t="str">
        <f aca="false">IF(ISBLANK($C13),"",IF($L13=Constants!$B$2,TRUE(),IF($L13=Constants!$B$3,FALSE(),TRUE())))</f>
        <v/>
      </c>
      <c r="AP13" s="100" t="str">
        <f aca="false">IF(ISBLANK($C13),"",IF($M13=Constants!$B$2,TRUE(),IF($M13=Constants!$B$3,FALSE(),TRUE())))</f>
        <v/>
      </c>
      <c r="AQ13" s="100" t="str">
        <f aca="false">IF(ISBLANK($C13),"",IF($N13=Constants!$B$2,TRUE(),IF($N13=Constants!$B$3,FALSE(),FALSE())))</f>
        <v/>
      </c>
      <c r="AR13" s="100" t="str">
        <f aca="false">IF(ISBLANK($C13),"",IF($O13=Constants!$B$2,TRUE(),IF($O13=Constants!$B$3,FALSE(),TRUE())))</f>
        <v/>
      </c>
      <c r="AS13" s="100" t="str">
        <f aca="false">IF(ISBLANK($C13),"",IF($P13=Constants!$B$2,TRUE(),IF($P13=Constants!$B$3,FALSE(),FALSE())))</f>
        <v/>
      </c>
      <c r="AT13" s="100" t="str">
        <f aca="false">IF(ISBLANK($C13),"",IF($Q13=Constants!$B$2,TRUE(),IF($Q13=Constants!$B$3,FALSE(),FALSE())))</f>
        <v/>
      </c>
      <c r="AU13" s="100" t="str">
        <f aca="false">IF(ISBLANK($C13),"",IF($R13=Constants!$B$2,TRUE(),IF($R13=Constants!$B$3,FALSE(),FALSE())))</f>
        <v/>
      </c>
      <c r="AV13" s="100" t="str">
        <f aca="false">IF(ISBLANK($C13),"",IF($S13=Constants!$B$2,TRUE(),IF($S13=Constants!$B$3,FALSE(),FALSE())))</f>
        <v/>
      </c>
      <c r="AW13" s="100" t="str">
        <f aca="false">IF(ISBLANK($C13),"",IF($T13=Constants!$B$2,TRUE(),IF($T13=Constants!$B$3,FALSE(),FALSE())))</f>
        <v/>
      </c>
      <c r="AX13" s="100" t="str">
        <f aca="false">IF(ISBLANK($C13),"",IF(OR($U13&amp;""="1",$U13&amp;""="2",$U13&amp;""="3",$U13&amp;""="4"),VALUE($U13&amp;""),IF($U13=Constants!$B$12,Constants!$B$12,"")))</f>
        <v/>
      </c>
      <c r="AY13" s="100" t="str">
        <f aca="false">IF(ISBLANK($C13),"",IF(ISBLANK($V13),0,IF(ISNUMBER($V13),IF(AND($V13&gt;=0,$V13&lt;=Constants!$B$21,$V13=INT($V13)),$V13,""),"")))</f>
        <v/>
      </c>
      <c r="AZ13" s="100" t="str">
        <f aca="false">IF(ISBLANK($C13),"",IF(ISBLANK($W13),0,IF(ISNUMBER($W13),IF($W13&gt;=0,$W13,""),"")))</f>
        <v/>
      </c>
      <c r="BA13" s="100" t="str">
        <f aca="false">IF(ISBLANK($C13),"",IF($X13=Constants!$B$2,TRUE(),IF($X13=Constants!$B$3,FALSE(),TRUE())))</f>
        <v/>
      </c>
      <c r="BB13" s="100" t="str">
        <f aca="false">IF(ISBLANK($C13),"",IF($Y13=Constants!$B$2,TRUE(),IF($Y13=Constants!$B$3,FALSE(),FALSE())))</f>
        <v/>
      </c>
      <c r="BC13" s="100" t="str">
        <f aca="false">IF(ISBLANK($C13),"",IF(ISBLANK($Z13),0,IF(ISNUMBER($Z13),IF(AND($Z13&gt;=0,$Z13&lt;=Constants!$B$35,$Z13=INT($Z13)),$Z13,""),"")))</f>
        <v/>
      </c>
      <c r="BD13" s="100" t="str">
        <f aca="false">IF(ISBLANK($C13),"",IF($AA13=Constants!$B$2,TRUE(),IF($AA13=Constants!$B$3,FALSE(),TRUE())))</f>
        <v/>
      </c>
      <c r="BE13" s="100" t="str">
        <f aca="false">IF(ISBLANK($C13),"",IF($AB13=Constants!$B$2,TRUE(),IF($AB13=Constants!$B$3,FALSE(),TRUE())))</f>
        <v/>
      </c>
      <c r="BF13" s="100" t="str">
        <f aca="false">IF(ISBLANK($C13),"",IF(ISNUMBER($AC13),IF($AC13&gt;=0,$AC13,""),""))</f>
        <v/>
      </c>
      <c r="BG13" s="100" t="str">
        <f aca="false">IF(ISBLANK($C13),"",IF($AD13=Constants!$B$2,TRUE(),IF($AD13=Constants!$B$3,FALSE(),FALSE())))</f>
        <v/>
      </c>
      <c r="BH13" s="99" t="str">
        <f aca="false">IF(ISBLANK($C13),"",IF($BG13,Constants!$B$7,IF(COUNTA($E13:$AC13)=0,Constants!$B$6,IF(OR(COUNTA($G13:$AC13)=0,NOT($AK13),$AQ13),Constants!$B$5,IF(OR($CI13&lt;&gt;"",$CJ13,$CK13,$CL13,$CM13,$CN13,$CO13),Constants!$B$8,Constants!$B$4)))))</f>
        <v/>
      </c>
      <c r="BI13" s="100" t="str">
        <f aca="false">IF(ISBLANK($C13),"",IF($BH13&lt;&gt;Constants!$B$4,$BH13,IF(OR(NOT($AH13),NOT($AJ13),NOT($AR13)),Constants!$B$11,IF(OR(NOT($AP13),MAX($AL13,$AM13,$AN13)&gt;Constants!$B$30),Constants!$B$10,Constants!$B$9))))</f>
        <v/>
      </c>
      <c r="BJ13" s="100" t="str">
        <f aca="false">IF($BH13&lt;&gt;Constants!$B$4,"",IF(NOT($AJ13),0,MIN(Constants!$B$35,$BC13)))</f>
        <v/>
      </c>
      <c r="BK13" s="100" t="str">
        <f aca="false">IF($BH13&lt;&gt;Constants!$B$4,"",IF(NOT($AJ13),0,IF($AT13,Constants!$B$18,IF($AS13,Constants!$B$17,0))))</f>
        <v/>
      </c>
      <c r="BL13" s="100" t="str">
        <f aca="false">IF($BH13&lt;&gt;Constants!$B$4,"",IF(NOT($AJ13),0,Constants!$B$19*($AI13+$AU13+$AV13+$AW13)))</f>
        <v/>
      </c>
      <c r="BM13" s="100" t="str">
        <f aca="false">IF($BH13&lt;&gt;Constants!$B$4,"",IF(OR(NOT($AJ13),NOT(ISNUMBER($AX13))),0,CHOOSE($AX13,Constants!$B$13,Constants!$B$14,Constants!$B$15,Constants!$B$16)))</f>
        <v/>
      </c>
      <c r="BN13" s="100" t="str">
        <f aca="false">IF($BH13&lt;&gt;Constants!$B$4,"",IF(NOT($AJ13),0,Constants!$B$20*$AY13))</f>
        <v/>
      </c>
      <c r="BO13" s="100" t="str">
        <f aca="false">IF($BH13&lt;&gt;Constants!$B$4,"",IF(AND($AJ13,$BA13,$BB13),Constants!$B$22,0))</f>
        <v/>
      </c>
      <c r="BP13" s="100" t="str">
        <f aca="false">IF($BH13&lt;&gt;Constants!$B$4,"",IF(OR(NOT($AJ13),NOT($BA13)),0,IF($BF13&gt;=2*$AF$9,0,Constants!$B$23*INT(ROUND(MIN($BF13,$AF$9),6)))))</f>
        <v/>
      </c>
      <c r="BQ13" s="100" t="str">
        <f aca="false">IF($BH13&lt;&gt;Constants!$B$4,"",IF(NOT($AJ13),0,Constants!$B$24*INT(ROUND(MIN($AZ13,$AF$9),6))))</f>
        <v/>
      </c>
      <c r="BR13" s="100" t="str">
        <f aca="false">IF($BH13&lt;&gt;Constants!$B$4,"",IF(AND($AJ13,$BJ13=0),Constants!$B$25,0))</f>
        <v/>
      </c>
      <c r="BS13" s="100" t="str">
        <f aca="false">IF($BH13&lt;&gt;Constants!$B$4,"",MIN(Constants!$B$29,MAX(0,Constants!$B$27*Constants!$B$28*INT(ROUND((Constants!$B$26-$AL13)/Constants!$B$28,6))))+MIN(Constants!$B$29,MAX(0,Constants!$B$27*Constants!$B$28*INT(ROUND((Constants!$B$26-$AM13)/Constants!$B$28,6))))+MIN(Constants!$B$29,MAX(0,Constants!$B$27*Constants!$B$28*INT(ROUND((Constants!$B$26-$AN13)/Constants!$B$28,6)))))</f>
        <v/>
      </c>
      <c r="BT13" s="100" t="str">
        <f aca="false">IF($BH13&lt;&gt;Constants!$B$4,"",IF(NOT($AJ13),0,Constants!$B$31*INT(ROUND(MAX(0,MIN($BF13,2*$AF$9)-$AF$9),6))))</f>
        <v/>
      </c>
      <c r="BU13" s="100" t="str">
        <f aca="false">IF($BH13&lt;&gt;Constants!$B$4,"",Constants!$B$32*(($AL13&gt;Constants!$B$26)+($AM13&gt;Constants!$B$26)+($AN13&gt;Constants!$B$26)))</f>
        <v/>
      </c>
      <c r="BV13" s="100" t="str">
        <f aca="false">IF($BH13&lt;&gt;Constants!$B$4,"",IF(OR(NOT($AJ13),$AO13),0,Constants!$B$33))</f>
        <v/>
      </c>
      <c r="BW13" s="100" t="str">
        <f aca="false">IF($BH13&lt;&gt;Constants!$B$4,"",Constants!$B$34*$BJ13)</f>
        <v/>
      </c>
      <c r="BX13" s="100" t="str">
        <f aca="false">IF($BH13&lt;&gt;Constants!$B$4,"",IF(OR(NOT($AJ13),$BE13),0,Constants!$B$36))</f>
        <v/>
      </c>
      <c r="BY13" s="100" t="str">
        <f aca="false">IF($BH13&lt;&gt;Constants!$B$4,"",IF(OR(NOT($AJ13),$BD13),0,Constants!$B$37))</f>
        <v/>
      </c>
      <c r="BZ13" s="100" t="str">
        <f aca="false">IF($BH13&lt;&gt;Constants!$B$4,"",SUM($BT13:$BY13))</f>
        <v/>
      </c>
      <c r="CA13" s="100" t="str">
        <f aca="false">IF(ISBLANK($C13),"",IF($BH13&lt;&gt;Constants!$B$4,$BH13,SUM($BK13:$BS13)-$BZ13))</f>
        <v/>
      </c>
      <c r="CB13" s="100" t="str">
        <f aca="false">IF(ISBLANK($C13),"",IF($BH13&lt;&gt;Constants!$B$4,$BH13,RANK($CA13,$CA$9:$CA$508)))</f>
        <v/>
      </c>
      <c r="CC13" s="100" t="str">
        <f aca="false">IF(ISBLANK($C13),"",IF($BH13&lt;&gt;Constants!$B$4,$BH13,COUNTIFS($BI$9:$BI$508,"&lt;"&amp;$BI13)+COUNTIFS($BI$9:$BI$508,$BI13,$CB$9:$CB$508,"&lt;"&amp;$CB13)+1))</f>
        <v/>
      </c>
      <c r="CD13" s="100" t="str">
        <f aca="false">IF(ISBLANK($C13),"",IF($BH13&lt;&gt;Constants!$B$4,$BH13,RANK($BZ13,$BZ$9:$BZ$508,1)))</f>
        <v/>
      </c>
      <c r="CE13" s="100" t="str">
        <f aca="false">IF($BH13&lt;&gt;Constants!$B$4,"",$AL13+$AM13+$AN13)</f>
        <v/>
      </c>
      <c r="CF13" s="100" t="str">
        <f aca="false">IF(ISBLANK($C13),"",IF($BH13&lt;&gt;Constants!$B$4,$BH13,RANK($CE13,$CE$9:$CE$508,1)))</f>
        <v/>
      </c>
      <c r="CG13" s="100" t="str">
        <f aca="false">IF(ISBLANK($C13),"",IF($BH13&lt;&gt;Constants!$B$4,$BH13,COUNTIFS($BI$9:$BI$508,"&lt;"&amp;$BI13)+COUNTIFS($BI$9:$BI$508,$BI13,$CB$9:$CB$508,"&lt;"&amp;$CB13)+COUNTIFS($BI$9:$BI$508,$BI13,$CB$9:$CB$508,$CB13,$CD$9:$CD$508,"&lt;"&amp;$CD13)+COUNTIFS($BI$9:$BI$508,$BI13,$CB$9:$CB$508,$CB13,$CD$9:$CD$508,$CD13,$CF$9:$CF$508,"&lt;"&amp;$CF13)+1))</f>
        <v/>
      </c>
      <c r="CH13" s="100" t="str">
        <f aca="false">IF(ISBLANK($C13),"",IF($BH13&lt;&gt;Constants!$B$4,$BH13,$CC13-$CG13))</f>
        <v/>
      </c>
      <c r="CI13" s="100" t="str">
        <f aca="false">IF(ISBLANK($C13),"",IF(NOT($AJ13),"",IF(ISBLANK($D$7),$CI$5,IF(NOT(ISNUMBER($D$7)),$CI$6,""))))</f>
        <v/>
      </c>
      <c r="CJ13" s="100" t="str">
        <f aca="false">IF(ISBLANK($C13),"",OR($AL13="",$AM13="",$AN13=""))</f>
        <v/>
      </c>
      <c r="CK13" s="100" t="str">
        <f aca="false">IF(ISBLANK($C13),"",AND($AJ13,$AX13=""))</f>
        <v/>
      </c>
      <c r="CL13" s="100" t="str">
        <f aca="false">IF(ISBLANK($C13),"",AND($AJ13,$AY13=""))</f>
        <v/>
      </c>
      <c r="CM13" s="100" t="str">
        <f aca="false">IF(ISBLANK($C13),"",AND($AJ13,$AZ13=""))</f>
        <v/>
      </c>
      <c r="CN13" s="100" t="str">
        <f aca="false">IF(ISBLANK($C13),"",AND($AJ13,$BC13=""))</f>
        <v/>
      </c>
      <c r="CO13" s="100" t="str">
        <f aca="false">IF(ISBLANK($C13),"",AND($AJ13,$BF13=""))</f>
        <v/>
      </c>
      <c r="CP13" s="101"/>
      <c r="CQ13" s="102"/>
      <c r="CR13" s="103" t="str">
        <f aca="false">IF(ISBLANK($C13),"",IF($BH13=Constants!$B$8,$CI13,""))</f>
        <v/>
      </c>
      <c r="CS13" s="102" t="str">
        <f aca="false">IF(ISBLANK($C13),"",IF($BH13&lt;&gt;Constants!$B$4,"",$BK13+$BL13))</f>
        <v/>
      </c>
      <c r="CT13" s="104" t="str">
        <f aca="false">IF(ISBLANK($C13),"",IF($BH13&lt;&gt;Constants!$B$4,"",$BM13+$BN13+$BO13))</f>
        <v/>
      </c>
      <c r="CU13" s="104" t="str">
        <f aca="false">IF(ISBLANK($C13),"",IF($BH13&lt;&gt;Constants!$B$4,"",$BP13))</f>
        <v/>
      </c>
      <c r="CV13" s="104" t="str">
        <f aca="false">IF(ISBLANK($C13),"",IF($BH13&lt;&gt;Constants!$B$4,"",$BQ13+$BR13))</f>
        <v/>
      </c>
      <c r="CW13" s="104" t="str">
        <f aca="false">IF(ISBLANK($C13),"",IF($BH13&lt;&gt;Constants!$B$4,"",$BS13))</f>
        <v/>
      </c>
      <c r="CX13" s="104" t="str">
        <f aca="false">IF(ISBLANK($C13),"",IF($BH13&lt;&gt;Constants!$B$4,"",-$BZ13))</f>
        <v/>
      </c>
      <c r="CY13" s="103" t="str">
        <f aca="false">IF(ISBLANK($C13),"",$CA13)</f>
        <v/>
      </c>
      <c r="CZ13" s="105" t="str">
        <f aca="false">IF(ISBLANK($C13),"",$BI13)</f>
        <v/>
      </c>
      <c r="DA13" s="104" t="str">
        <f aca="false">IF(ISBLANK($C13),"",$CH13)</f>
        <v/>
      </c>
      <c r="DB13" s="104" t="str">
        <f aca="false">IF(ISBLANK($C13),"",$CG13)</f>
        <v/>
      </c>
      <c r="DC13" s="106" t="str">
        <f aca="false">IF(ISBLANK($C13),"",IFERROR(_xlfn.SWITCH($DB13,Constants!$B$7,COUNTA($C$9:$C$508)+2,Constants!$B$6,COUNTA($C$9:$C$508)+1,Constants!$B$5,COUNTA($C$9:$C$508)),$DB13))</f>
        <v/>
      </c>
      <c r="DD13" s="7"/>
      <c r="DE13" s="107" t="n">
        <f aca="false">IF(OR(ISNUMBER($DB13),$DB13=Constants!$B$7,$DB13=Constants!$B$5,$DB13=Constants!$B$6),1,0)</f>
        <v>0</v>
      </c>
      <c r="DF13" s="107" t="n">
        <v>5</v>
      </c>
      <c r="DG13" s="107" t="str">
        <f aca="false">IF(ISBLANK($C13),"",IF(ISNUMBER($DC13),$DC13+ROW($B13)/1000,""))</f>
        <v/>
      </c>
      <c r="DH13" s="107" t="str">
        <f aca="false">IF(ISNUMBER($DG13),RANK($DG13,$DG$9:$DG$508,1),"")</f>
        <v/>
      </c>
      <c r="DI13" s="107" t="str">
        <f aca="false">IF(ISBLANK($C13),"",$B13)</f>
        <v/>
      </c>
      <c r="DJ13" s="107" t="str">
        <f aca="false">IF(ISBLANK($C13),"",$C13)</f>
        <v/>
      </c>
      <c r="DK13" s="107" t="str">
        <f aca="false">IF(ISBLANK($C13),"",$D13)</f>
        <v/>
      </c>
      <c r="DL13" s="108" t="str">
        <f aca="false">$CZ13</f>
        <v/>
      </c>
      <c r="DM13" s="109" t="str">
        <f aca="false">$CY13</f>
        <v/>
      </c>
      <c r="DN13" s="107" t="str">
        <f aca="false">IF(ISBLANK($C13),"",$DB13)</f>
        <v/>
      </c>
      <c r="DO13" s="110" t="str">
        <f aca="false">IF($DF13&gt;$DE$8,"",VLOOKUP($DF13,$DH$9:$DN$508,7,FALSE()))</f>
        <v/>
      </c>
      <c r="DP13" s="111" t="str">
        <f aca="false">IF($DF13&gt;$DE$8,"",VLOOKUP($DF13,$DH$9:$DN$508,2,FALSE()))</f>
        <v/>
      </c>
      <c r="DQ13" s="111" t="str">
        <f aca="false">IF($DF13&gt;$DE$8,"",VLOOKUP($DF13,$DH$9:$DN$508,3,FALSE()))</f>
        <v/>
      </c>
      <c r="DR13" s="111" t="str">
        <f aca="false">IF($DF13&gt;$DE$8,"",VLOOKUP($DF13,$DH$9:$DN$508,4,FALSE()))</f>
        <v/>
      </c>
      <c r="DS13" s="111" t="str">
        <f aca="false">IF($DF13&gt;$DE$8,"",VLOOKUP($DF13,$DH$9:$DN$508,5,FALSE()))</f>
        <v/>
      </c>
      <c r="DT13" s="112" t="str">
        <f aca="false">IF($DF13&gt;$DE$8,"",VLOOKUP($DF13,$DH$9:$DN$508,6,FALSE()))</f>
        <v/>
      </c>
      <c r="DU13" s="62"/>
    </row>
    <row r="14" customFormat="false" ht="15.75" hidden="false" customHeight="false" outlineLevel="0" collapsed="false">
      <c r="A14" s="7"/>
      <c r="B14" s="90"/>
      <c r="C14" s="91"/>
      <c r="D14" s="113"/>
      <c r="E14" s="114"/>
      <c r="F14" s="115"/>
      <c r="G14" s="114"/>
      <c r="H14" s="115"/>
      <c r="I14" s="95"/>
      <c r="J14" s="95"/>
      <c r="K14" s="95"/>
      <c r="L14" s="114"/>
      <c r="M14" s="114"/>
      <c r="N14" s="114"/>
      <c r="O14" s="115"/>
      <c r="P14" s="114"/>
      <c r="Q14" s="114"/>
      <c r="R14" s="114"/>
      <c r="S14" s="114"/>
      <c r="T14" s="115"/>
      <c r="U14" s="114"/>
      <c r="V14" s="96"/>
      <c r="W14" s="114"/>
      <c r="X14" s="114"/>
      <c r="Y14" s="96"/>
      <c r="Z14" s="96"/>
      <c r="AA14" s="114"/>
      <c r="AB14" s="114"/>
      <c r="AC14" s="97"/>
      <c r="AD14" s="116"/>
      <c r="AE14" s="99"/>
      <c r="AF14" s="100"/>
      <c r="AG14" s="100"/>
      <c r="AH14" s="100" t="str">
        <f aca="false">IF(ISBLANK($C14),"",IF($E14=Constants!$B$2,TRUE(),IF($E14=Constants!$B$3,FALSE(),TRUE())))</f>
        <v/>
      </c>
      <c r="AI14" s="100" t="str">
        <f aca="false">IF(ISBLANK($C14),"",IF($F14=Constants!$B$2,TRUE(),IF($F14=Constants!$B$3,FALSE(),FALSE())))</f>
        <v/>
      </c>
      <c r="AJ14" s="100" t="str">
        <f aca="false">IF(ISBLANK($C14),"",IF($G14=Constants!$B$2,TRUE(),IF($G14=Constants!$B$3,FALSE(),TRUE())))</f>
        <v/>
      </c>
      <c r="AK14" s="100" t="str">
        <f aca="false">IF(ISBLANK($C14),"",IF($H14=Constants!$B$2,TRUE(),IF($H14=Constants!$B$3,FALSE(),TRUE())))</f>
        <v/>
      </c>
      <c r="AL14" s="100" t="str">
        <f aca="false">IF(ISBLANK($C14),"",IF(ISNUMBER($I14),IF($I14&gt;=0,$I14,""),""))</f>
        <v/>
      </c>
      <c r="AM14" s="100" t="str">
        <f aca="false">IF(ISBLANK($C14),"",IF(ISNUMBER($J14),IF($J14&gt;=0,$J14,""),""))</f>
        <v/>
      </c>
      <c r="AN14" s="100" t="str">
        <f aca="false">IF(ISBLANK($C14),"",IF(ISNUMBER($K14),IF($K14&gt;=0,$K14,""),""))</f>
        <v/>
      </c>
      <c r="AO14" s="100" t="str">
        <f aca="false">IF(ISBLANK($C14),"",IF($L14=Constants!$B$2,TRUE(),IF($L14=Constants!$B$3,FALSE(),TRUE())))</f>
        <v/>
      </c>
      <c r="AP14" s="100" t="str">
        <f aca="false">IF(ISBLANK($C14),"",IF($M14=Constants!$B$2,TRUE(),IF($M14=Constants!$B$3,FALSE(),TRUE())))</f>
        <v/>
      </c>
      <c r="AQ14" s="100" t="str">
        <f aca="false">IF(ISBLANK($C14),"",IF($N14=Constants!$B$2,TRUE(),IF($N14=Constants!$B$3,FALSE(),FALSE())))</f>
        <v/>
      </c>
      <c r="AR14" s="100" t="str">
        <f aca="false">IF(ISBLANK($C14),"",IF($O14=Constants!$B$2,TRUE(),IF($O14=Constants!$B$3,FALSE(),TRUE())))</f>
        <v/>
      </c>
      <c r="AS14" s="100" t="str">
        <f aca="false">IF(ISBLANK($C14),"",IF($P14=Constants!$B$2,TRUE(),IF($P14=Constants!$B$3,FALSE(),FALSE())))</f>
        <v/>
      </c>
      <c r="AT14" s="100" t="str">
        <f aca="false">IF(ISBLANK($C14),"",IF($Q14=Constants!$B$2,TRUE(),IF($Q14=Constants!$B$3,FALSE(),FALSE())))</f>
        <v/>
      </c>
      <c r="AU14" s="100" t="str">
        <f aca="false">IF(ISBLANK($C14),"",IF($R14=Constants!$B$2,TRUE(),IF($R14=Constants!$B$3,FALSE(),FALSE())))</f>
        <v/>
      </c>
      <c r="AV14" s="100" t="str">
        <f aca="false">IF(ISBLANK($C14),"",IF($S14=Constants!$B$2,TRUE(),IF($S14=Constants!$B$3,FALSE(),FALSE())))</f>
        <v/>
      </c>
      <c r="AW14" s="100" t="str">
        <f aca="false">IF(ISBLANK($C14),"",IF($T14=Constants!$B$2,TRUE(),IF($T14=Constants!$B$3,FALSE(),FALSE())))</f>
        <v/>
      </c>
      <c r="AX14" s="100" t="str">
        <f aca="false">IF(ISBLANK($C14),"",IF(OR($U14&amp;""="1",$U14&amp;""="2",$U14&amp;""="3",$U14&amp;""="4"),VALUE($U14&amp;""),IF($U14=Constants!$B$12,Constants!$B$12,"")))</f>
        <v/>
      </c>
      <c r="AY14" s="100" t="str">
        <f aca="false">IF(ISBLANK($C14),"",IF(ISBLANK($V14),0,IF(ISNUMBER($V14),IF(AND($V14&gt;=0,$V14&lt;=Constants!$B$21,$V14=INT($V14)),$V14,""),"")))</f>
        <v/>
      </c>
      <c r="AZ14" s="100" t="str">
        <f aca="false">IF(ISBLANK($C14),"",IF(ISBLANK($W14),0,IF(ISNUMBER($W14),IF($W14&gt;=0,$W14,""),"")))</f>
        <v/>
      </c>
      <c r="BA14" s="100" t="str">
        <f aca="false">IF(ISBLANK($C14),"",IF($X14=Constants!$B$2,TRUE(),IF($X14=Constants!$B$3,FALSE(),TRUE())))</f>
        <v/>
      </c>
      <c r="BB14" s="100" t="str">
        <f aca="false">IF(ISBLANK($C14),"",IF($Y14=Constants!$B$2,TRUE(),IF($Y14=Constants!$B$3,FALSE(),FALSE())))</f>
        <v/>
      </c>
      <c r="BC14" s="100" t="str">
        <f aca="false">IF(ISBLANK($C14),"",IF(ISBLANK($Z14),0,IF(ISNUMBER($Z14),IF(AND($Z14&gt;=0,$Z14&lt;=Constants!$B$35,$Z14=INT($Z14)),$Z14,""),"")))</f>
        <v/>
      </c>
      <c r="BD14" s="100" t="str">
        <f aca="false">IF(ISBLANK($C14),"",IF($AA14=Constants!$B$2,TRUE(),IF($AA14=Constants!$B$3,FALSE(),TRUE())))</f>
        <v/>
      </c>
      <c r="BE14" s="100" t="str">
        <f aca="false">IF(ISBLANK($C14),"",IF($AB14=Constants!$B$2,TRUE(),IF($AB14=Constants!$B$3,FALSE(),TRUE())))</f>
        <v/>
      </c>
      <c r="BF14" s="100" t="str">
        <f aca="false">IF(ISBLANK($C14),"",IF(ISNUMBER($AC14),IF($AC14&gt;=0,$AC14,""),""))</f>
        <v/>
      </c>
      <c r="BG14" s="100" t="str">
        <f aca="false">IF(ISBLANK($C14),"",IF($AD14=Constants!$B$2,TRUE(),IF($AD14=Constants!$B$3,FALSE(),FALSE())))</f>
        <v/>
      </c>
      <c r="BH14" s="99" t="str">
        <f aca="false">IF(ISBLANK($C14),"",IF($BG14,Constants!$B$7,IF(COUNTA($E14:$AC14)=0,Constants!$B$6,IF(OR(COUNTA($G14:$AC14)=0,NOT($AK14),$AQ14),Constants!$B$5,IF(OR($CI14&lt;&gt;"",$CJ14,$CK14,$CL14,$CM14,$CN14,$CO14),Constants!$B$8,Constants!$B$4)))))</f>
        <v/>
      </c>
      <c r="BI14" s="100" t="str">
        <f aca="false">IF(ISBLANK($C14),"",IF($BH14&lt;&gt;Constants!$B$4,$BH14,IF(OR(NOT($AH14),NOT($AJ14),NOT($AR14)),Constants!$B$11,IF(OR(NOT($AP14),MAX($AL14,$AM14,$AN14)&gt;Constants!$B$30),Constants!$B$10,Constants!$B$9))))</f>
        <v/>
      </c>
      <c r="BJ14" s="100" t="str">
        <f aca="false">IF($BH14&lt;&gt;Constants!$B$4,"",IF(NOT($AJ14),0,MIN(Constants!$B$35,$BC14)))</f>
        <v/>
      </c>
      <c r="BK14" s="100" t="str">
        <f aca="false">IF($BH14&lt;&gt;Constants!$B$4,"",IF(NOT($AJ14),0,IF($AT14,Constants!$B$18,IF($AS14,Constants!$B$17,0))))</f>
        <v/>
      </c>
      <c r="BL14" s="100" t="str">
        <f aca="false">IF($BH14&lt;&gt;Constants!$B$4,"",IF(NOT($AJ14),0,Constants!$B$19*($AI14+$AU14+$AV14+$AW14)))</f>
        <v/>
      </c>
      <c r="BM14" s="100" t="str">
        <f aca="false">IF($BH14&lt;&gt;Constants!$B$4,"",IF(OR(NOT($AJ14),NOT(ISNUMBER($AX14))),0,CHOOSE($AX14,Constants!$B$13,Constants!$B$14,Constants!$B$15,Constants!$B$16)))</f>
        <v/>
      </c>
      <c r="BN14" s="100" t="str">
        <f aca="false">IF($BH14&lt;&gt;Constants!$B$4,"",IF(NOT($AJ14),0,Constants!$B$20*$AY14))</f>
        <v/>
      </c>
      <c r="BO14" s="100" t="str">
        <f aca="false">IF($BH14&lt;&gt;Constants!$B$4,"",IF(AND($AJ14,$BA14,$BB14),Constants!$B$22,0))</f>
        <v/>
      </c>
      <c r="BP14" s="100" t="str">
        <f aca="false">IF($BH14&lt;&gt;Constants!$B$4,"",IF(OR(NOT($AJ14),NOT($BA14)),0,IF($BF14&gt;=2*$AF$9,0,Constants!$B$23*INT(ROUND(MIN($BF14,$AF$9),6)))))</f>
        <v/>
      </c>
      <c r="BQ14" s="100" t="str">
        <f aca="false">IF($BH14&lt;&gt;Constants!$B$4,"",IF(NOT($AJ14),0,Constants!$B$24*INT(ROUND(MIN($AZ14,$AF$9),6))))</f>
        <v/>
      </c>
      <c r="BR14" s="100" t="str">
        <f aca="false">IF($BH14&lt;&gt;Constants!$B$4,"",IF(AND($AJ14,$BJ14=0),Constants!$B$25,0))</f>
        <v/>
      </c>
      <c r="BS14" s="100" t="str">
        <f aca="false">IF($BH14&lt;&gt;Constants!$B$4,"",MIN(Constants!$B$29,MAX(0,Constants!$B$27*Constants!$B$28*INT(ROUND((Constants!$B$26-$AL14)/Constants!$B$28,6))))+MIN(Constants!$B$29,MAX(0,Constants!$B$27*Constants!$B$28*INT(ROUND((Constants!$B$26-$AM14)/Constants!$B$28,6))))+MIN(Constants!$B$29,MAX(0,Constants!$B$27*Constants!$B$28*INT(ROUND((Constants!$B$26-$AN14)/Constants!$B$28,6)))))</f>
        <v/>
      </c>
      <c r="BT14" s="100" t="str">
        <f aca="false">IF($BH14&lt;&gt;Constants!$B$4,"",IF(NOT($AJ14),0,Constants!$B$31*INT(ROUND(MAX(0,MIN($BF14,2*$AF$9)-$AF$9),6))))</f>
        <v/>
      </c>
      <c r="BU14" s="100" t="str">
        <f aca="false">IF($BH14&lt;&gt;Constants!$B$4,"",Constants!$B$32*(($AL14&gt;Constants!$B$26)+($AM14&gt;Constants!$B$26)+($AN14&gt;Constants!$B$26)))</f>
        <v/>
      </c>
      <c r="BV14" s="100" t="str">
        <f aca="false">IF($BH14&lt;&gt;Constants!$B$4,"",IF(OR(NOT($AJ14),$AO14),0,Constants!$B$33))</f>
        <v/>
      </c>
      <c r="BW14" s="100" t="str">
        <f aca="false">IF($BH14&lt;&gt;Constants!$B$4,"",Constants!$B$34*$BJ14)</f>
        <v/>
      </c>
      <c r="BX14" s="100" t="str">
        <f aca="false">IF($BH14&lt;&gt;Constants!$B$4,"",IF(OR(NOT($AJ14),$BE14),0,Constants!$B$36))</f>
        <v/>
      </c>
      <c r="BY14" s="100" t="str">
        <f aca="false">IF($BH14&lt;&gt;Constants!$B$4,"",IF(OR(NOT($AJ14),$BD14),0,Constants!$B$37))</f>
        <v/>
      </c>
      <c r="BZ14" s="100" t="str">
        <f aca="false">IF($BH14&lt;&gt;Constants!$B$4,"",SUM($BT14:$BY14))</f>
        <v/>
      </c>
      <c r="CA14" s="100" t="str">
        <f aca="false">IF(ISBLANK($C14),"",IF($BH14&lt;&gt;Constants!$B$4,$BH14,SUM($BK14:$BS14)-$BZ14))</f>
        <v/>
      </c>
      <c r="CB14" s="100" t="str">
        <f aca="false">IF(ISBLANK($C14),"",IF($BH14&lt;&gt;Constants!$B$4,$BH14,RANK($CA14,$CA$9:$CA$508)))</f>
        <v/>
      </c>
      <c r="CC14" s="100" t="str">
        <f aca="false">IF(ISBLANK($C14),"",IF($BH14&lt;&gt;Constants!$B$4,$BH14,COUNTIFS($BI$9:$BI$508,"&lt;"&amp;$BI14)+COUNTIFS($BI$9:$BI$508,$BI14,$CB$9:$CB$508,"&lt;"&amp;$CB14)+1))</f>
        <v/>
      </c>
      <c r="CD14" s="100" t="str">
        <f aca="false">IF(ISBLANK($C14),"",IF($BH14&lt;&gt;Constants!$B$4,$BH14,RANK($BZ14,$BZ$9:$BZ$508,1)))</f>
        <v/>
      </c>
      <c r="CE14" s="100" t="str">
        <f aca="false">IF($BH14&lt;&gt;Constants!$B$4,"",$AL14+$AM14+$AN14)</f>
        <v/>
      </c>
      <c r="CF14" s="100" t="str">
        <f aca="false">IF(ISBLANK($C14),"",IF($BH14&lt;&gt;Constants!$B$4,$BH14,RANK($CE14,$CE$9:$CE$508,1)))</f>
        <v/>
      </c>
      <c r="CG14" s="100" t="str">
        <f aca="false">IF(ISBLANK($C14),"",IF($BH14&lt;&gt;Constants!$B$4,$BH14,COUNTIFS($BI$9:$BI$508,"&lt;"&amp;$BI14)+COUNTIFS($BI$9:$BI$508,$BI14,$CB$9:$CB$508,"&lt;"&amp;$CB14)+COUNTIFS($BI$9:$BI$508,$BI14,$CB$9:$CB$508,$CB14,$CD$9:$CD$508,"&lt;"&amp;$CD14)+COUNTIFS($BI$9:$BI$508,$BI14,$CB$9:$CB$508,$CB14,$CD$9:$CD$508,$CD14,$CF$9:$CF$508,"&lt;"&amp;$CF14)+1))</f>
        <v/>
      </c>
      <c r="CH14" s="100" t="str">
        <f aca="false">IF(ISBLANK($C14),"",IF($BH14&lt;&gt;Constants!$B$4,$BH14,$CC14-$CG14))</f>
        <v/>
      </c>
      <c r="CI14" s="100" t="str">
        <f aca="false">IF(ISBLANK($C14),"",IF(NOT($AJ14),"",IF(ISBLANK($D$7),$CI$5,IF(NOT(ISNUMBER($D$7)),$CI$6,""))))</f>
        <v/>
      </c>
      <c r="CJ14" s="100" t="str">
        <f aca="false">IF(ISBLANK($C14),"",OR($AL14="",$AM14="",$AN14=""))</f>
        <v/>
      </c>
      <c r="CK14" s="100" t="str">
        <f aca="false">IF(ISBLANK($C14),"",AND($AJ14,$AX14=""))</f>
        <v/>
      </c>
      <c r="CL14" s="100" t="str">
        <f aca="false">IF(ISBLANK($C14),"",AND($AJ14,$AY14=""))</f>
        <v/>
      </c>
      <c r="CM14" s="100" t="str">
        <f aca="false">IF(ISBLANK($C14),"",AND($AJ14,$AZ14=""))</f>
        <v/>
      </c>
      <c r="CN14" s="100" t="str">
        <f aca="false">IF(ISBLANK($C14),"",AND($AJ14,$BC14=""))</f>
        <v/>
      </c>
      <c r="CO14" s="100" t="str">
        <f aca="false">IF(ISBLANK($C14),"",AND($AJ14,$BF14=""))</f>
        <v/>
      </c>
      <c r="CP14" s="101"/>
      <c r="CQ14" s="102"/>
      <c r="CR14" s="103" t="str">
        <f aca="false">IF(ISBLANK($C14),"",IF($BH14=Constants!$B$8,$CI14,""))</f>
        <v/>
      </c>
      <c r="CS14" s="102" t="str">
        <f aca="false">IF(ISBLANK($C14),"",IF($BH14&lt;&gt;Constants!$B$4,"",$BK14+$BL14))</f>
        <v/>
      </c>
      <c r="CT14" s="104" t="str">
        <f aca="false">IF(ISBLANK($C14),"",IF($BH14&lt;&gt;Constants!$B$4,"",$BM14+$BN14+$BO14))</f>
        <v/>
      </c>
      <c r="CU14" s="104" t="str">
        <f aca="false">IF(ISBLANK($C14),"",IF($BH14&lt;&gt;Constants!$B$4,"",$BP14))</f>
        <v/>
      </c>
      <c r="CV14" s="104" t="str">
        <f aca="false">IF(ISBLANK($C14),"",IF($BH14&lt;&gt;Constants!$B$4,"",$BQ14+$BR14))</f>
        <v/>
      </c>
      <c r="CW14" s="104" t="str">
        <f aca="false">IF(ISBLANK($C14),"",IF($BH14&lt;&gt;Constants!$B$4,"",$BS14))</f>
        <v/>
      </c>
      <c r="CX14" s="104" t="str">
        <f aca="false">IF(ISBLANK($C14),"",IF($BH14&lt;&gt;Constants!$B$4,"",-$BZ14))</f>
        <v/>
      </c>
      <c r="CY14" s="103" t="str">
        <f aca="false">IF(ISBLANK($C14),"",$CA14)</f>
        <v/>
      </c>
      <c r="CZ14" s="105" t="str">
        <f aca="false">IF(ISBLANK($C14),"",$BI14)</f>
        <v/>
      </c>
      <c r="DA14" s="104" t="str">
        <f aca="false">IF(ISBLANK($C14),"",$CH14)</f>
        <v/>
      </c>
      <c r="DB14" s="104" t="str">
        <f aca="false">IF(ISBLANK($C14),"",$CG14)</f>
        <v/>
      </c>
      <c r="DC14" s="106" t="str">
        <f aca="false">IF(ISBLANK($C14),"",IFERROR(_xlfn.SWITCH($DB14,Constants!$B$7,COUNTA($C$9:$C$508)+2,Constants!$B$6,COUNTA($C$9:$C$508)+1,Constants!$B$5,COUNTA($C$9:$C$508)),$DB14))</f>
        <v/>
      </c>
      <c r="DD14" s="7"/>
      <c r="DE14" s="107" t="n">
        <f aca="false">IF(OR(ISNUMBER($DB14),$DB14=Constants!$B$7,$DB14=Constants!$B$5,$DB14=Constants!$B$6),1,0)</f>
        <v>0</v>
      </c>
      <c r="DF14" s="107" t="n">
        <v>6</v>
      </c>
      <c r="DG14" s="107" t="str">
        <f aca="false">IF(ISBLANK($C14),"",IF(ISNUMBER($DC14),$DC14+ROW($B14)/1000,""))</f>
        <v/>
      </c>
      <c r="DH14" s="107" t="str">
        <f aca="false">IF(ISNUMBER($DG14),RANK($DG14,$DG$9:$DG$508,1),"")</f>
        <v/>
      </c>
      <c r="DI14" s="107" t="str">
        <f aca="false">IF(ISBLANK($C14),"",$B14)</f>
        <v/>
      </c>
      <c r="DJ14" s="107" t="str">
        <f aca="false">IF(ISBLANK($C14),"",$C14)</f>
        <v/>
      </c>
      <c r="DK14" s="107" t="str">
        <f aca="false">IF(ISBLANK($C14),"",$D14)</f>
        <v/>
      </c>
      <c r="DL14" s="108" t="str">
        <f aca="false">$CZ14</f>
        <v/>
      </c>
      <c r="DM14" s="109" t="str">
        <f aca="false">$CY14</f>
        <v/>
      </c>
      <c r="DN14" s="107" t="str">
        <f aca="false">IF(ISBLANK($C14),"",$DB14)</f>
        <v/>
      </c>
      <c r="DO14" s="110" t="str">
        <f aca="false">IF($DF14&gt;$DE$8,"",VLOOKUP($DF14,$DH$9:$DN$508,7,FALSE()))</f>
        <v/>
      </c>
      <c r="DP14" s="111" t="str">
        <f aca="false">IF($DF14&gt;$DE$8,"",VLOOKUP($DF14,$DH$9:$DN$508,2,FALSE()))</f>
        <v/>
      </c>
      <c r="DQ14" s="111" t="str">
        <f aca="false">IF($DF14&gt;$DE$8,"",VLOOKUP($DF14,$DH$9:$DN$508,3,FALSE()))</f>
        <v/>
      </c>
      <c r="DR14" s="111" t="str">
        <f aca="false">IF($DF14&gt;$DE$8,"",VLOOKUP($DF14,$DH$9:$DN$508,4,FALSE()))</f>
        <v/>
      </c>
      <c r="DS14" s="111" t="str">
        <f aca="false">IF($DF14&gt;$DE$8,"",VLOOKUP($DF14,$DH$9:$DN$508,5,FALSE()))</f>
        <v/>
      </c>
      <c r="DT14" s="112" t="str">
        <f aca="false">IF($DF14&gt;$DE$8,"",VLOOKUP($DF14,$DH$9:$DN$508,6,FALSE()))</f>
        <v/>
      </c>
      <c r="DU14" s="62"/>
    </row>
    <row r="15" customFormat="false" ht="15.75" hidden="false" customHeight="false" outlineLevel="0" collapsed="false">
      <c r="A15" s="7"/>
      <c r="B15" s="64"/>
      <c r="C15" s="65"/>
      <c r="D15" s="89"/>
      <c r="E15" s="117"/>
      <c r="F15" s="118"/>
      <c r="G15" s="117"/>
      <c r="H15" s="118"/>
      <c r="I15" s="119"/>
      <c r="J15" s="119"/>
      <c r="K15" s="119"/>
      <c r="L15" s="117"/>
      <c r="M15" s="117"/>
      <c r="N15" s="117"/>
      <c r="O15" s="118"/>
      <c r="P15" s="117"/>
      <c r="Q15" s="117"/>
      <c r="R15" s="117"/>
      <c r="S15" s="117"/>
      <c r="T15" s="118"/>
      <c r="U15" s="117"/>
      <c r="V15" s="120"/>
      <c r="W15" s="117"/>
      <c r="X15" s="117"/>
      <c r="Y15" s="120"/>
      <c r="Z15" s="120"/>
      <c r="AA15" s="117"/>
      <c r="AB15" s="117"/>
      <c r="AC15" s="121"/>
      <c r="AD15" s="122"/>
      <c r="AE15" s="73"/>
      <c r="AF15" s="74"/>
      <c r="AG15" s="74"/>
      <c r="AH15" s="74" t="str">
        <f aca="false">IF(ISBLANK($C15),"",IF($E15=Constants!$B$2,TRUE(),IF($E15=Constants!$B$3,FALSE(),TRUE())))</f>
        <v/>
      </c>
      <c r="AI15" s="74" t="str">
        <f aca="false">IF(ISBLANK($C15),"",IF($F15=Constants!$B$2,TRUE(),IF($F15=Constants!$B$3,FALSE(),FALSE())))</f>
        <v/>
      </c>
      <c r="AJ15" s="74" t="str">
        <f aca="false">IF(ISBLANK($C15),"",IF($G15=Constants!$B$2,TRUE(),IF($G15=Constants!$B$3,FALSE(),TRUE())))</f>
        <v/>
      </c>
      <c r="AK15" s="74" t="str">
        <f aca="false">IF(ISBLANK($C15),"",IF($H15=Constants!$B$2,TRUE(),IF($H15=Constants!$B$3,FALSE(),TRUE())))</f>
        <v/>
      </c>
      <c r="AL15" s="74" t="str">
        <f aca="false">IF(ISBLANK($C15),"",IF(ISNUMBER($I15),IF($I15&gt;=0,$I15,""),""))</f>
        <v/>
      </c>
      <c r="AM15" s="74" t="str">
        <f aca="false">IF(ISBLANK($C15),"",IF(ISNUMBER($J15),IF($J15&gt;=0,$J15,""),""))</f>
        <v/>
      </c>
      <c r="AN15" s="74" t="str">
        <f aca="false">IF(ISBLANK($C15),"",IF(ISNUMBER($K15),IF($K15&gt;=0,$K15,""),""))</f>
        <v/>
      </c>
      <c r="AO15" s="74" t="str">
        <f aca="false">IF(ISBLANK($C15),"",IF($L15=Constants!$B$2,TRUE(),IF($L15=Constants!$B$3,FALSE(),TRUE())))</f>
        <v/>
      </c>
      <c r="AP15" s="74" t="str">
        <f aca="false">IF(ISBLANK($C15),"",IF($M15=Constants!$B$2,TRUE(),IF($M15=Constants!$B$3,FALSE(),TRUE())))</f>
        <v/>
      </c>
      <c r="AQ15" s="74" t="str">
        <f aca="false">IF(ISBLANK($C15),"",IF($N15=Constants!$B$2,TRUE(),IF($N15=Constants!$B$3,FALSE(),FALSE())))</f>
        <v/>
      </c>
      <c r="AR15" s="74" t="str">
        <f aca="false">IF(ISBLANK($C15),"",IF($O15=Constants!$B$2,TRUE(),IF($O15=Constants!$B$3,FALSE(),TRUE())))</f>
        <v/>
      </c>
      <c r="AS15" s="74" t="str">
        <f aca="false">IF(ISBLANK($C15),"",IF($P15=Constants!$B$2,TRUE(),IF($P15=Constants!$B$3,FALSE(),FALSE())))</f>
        <v/>
      </c>
      <c r="AT15" s="74" t="str">
        <f aca="false">IF(ISBLANK($C15),"",IF($Q15=Constants!$B$2,TRUE(),IF($Q15=Constants!$B$3,FALSE(),FALSE())))</f>
        <v/>
      </c>
      <c r="AU15" s="74" t="str">
        <f aca="false">IF(ISBLANK($C15),"",IF($R15=Constants!$B$2,TRUE(),IF($R15=Constants!$B$3,FALSE(),FALSE())))</f>
        <v/>
      </c>
      <c r="AV15" s="74" t="str">
        <f aca="false">IF(ISBLANK($C15),"",IF($S15=Constants!$B$2,TRUE(),IF($S15=Constants!$B$3,FALSE(),FALSE())))</f>
        <v/>
      </c>
      <c r="AW15" s="74" t="str">
        <f aca="false">IF(ISBLANK($C15),"",IF($T15=Constants!$B$2,TRUE(),IF($T15=Constants!$B$3,FALSE(),FALSE())))</f>
        <v/>
      </c>
      <c r="AX15" s="74" t="str">
        <f aca="false">IF(ISBLANK($C15),"",IF(OR($U15&amp;""="1",$U15&amp;""="2",$U15&amp;""="3",$U15&amp;""="4"),VALUE($U15&amp;""),IF($U15=Constants!$B$12,Constants!$B$12,"")))</f>
        <v/>
      </c>
      <c r="AY15" s="74" t="str">
        <f aca="false">IF(ISBLANK($C15),"",IF(ISBLANK($V15),0,IF(ISNUMBER($V15),IF(AND($V15&gt;=0,$V15&lt;=Constants!$B$21,$V15=INT($V15)),$V15,""),"")))</f>
        <v/>
      </c>
      <c r="AZ15" s="74" t="str">
        <f aca="false">IF(ISBLANK($C15),"",IF(ISBLANK($W15),0,IF(ISNUMBER($W15),IF($W15&gt;=0,$W15,""),"")))</f>
        <v/>
      </c>
      <c r="BA15" s="74" t="str">
        <f aca="false">IF(ISBLANK($C15),"",IF($X15=Constants!$B$2,TRUE(),IF($X15=Constants!$B$3,FALSE(),TRUE())))</f>
        <v/>
      </c>
      <c r="BB15" s="74" t="str">
        <f aca="false">IF(ISBLANK($C15),"",IF($Y15=Constants!$B$2,TRUE(),IF($Y15=Constants!$B$3,FALSE(),FALSE())))</f>
        <v/>
      </c>
      <c r="BC15" s="74" t="str">
        <f aca="false">IF(ISBLANK($C15),"",IF(ISBLANK($Z15),0,IF(ISNUMBER($Z15),IF(AND($Z15&gt;=0,$Z15&lt;=Constants!$B$35,$Z15=INT($Z15)),$Z15,""),"")))</f>
        <v/>
      </c>
      <c r="BD15" s="74" t="str">
        <f aca="false">IF(ISBLANK($C15),"",IF($AA15=Constants!$B$2,TRUE(),IF($AA15=Constants!$B$3,FALSE(),TRUE())))</f>
        <v/>
      </c>
      <c r="BE15" s="74" t="str">
        <f aca="false">IF(ISBLANK($C15),"",IF($AB15=Constants!$B$2,TRUE(),IF($AB15=Constants!$B$3,FALSE(),TRUE())))</f>
        <v/>
      </c>
      <c r="BF15" s="74" t="str">
        <f aca="false">IF(ISBLANK($C15),"",IF(ISNUMBER($AC15),IF($AC15&gt;=0,$AC15,""),""))</f>
        <v/>
      </c>
      <c r="BG15" s="74" t="str">
        <f aca="false">IF(ISBLANK($C15),"",IF($AD15=Constants!$B$2,TRUE(),IF($AD15=Constants!$B$3,FALSE(),FALSE())))</f>
        <v/>
      </c>
      <c r="BH15" s="73" t="str">
        <f aca="false">IF(ISBLANK($C15),"",IF($BG15,Constants!$B$7,IF(COUNTA($E15:$AC15)=0,Constants!$B$6,IF(OR(COUNTA($G15:$AC15)=0,NOT($AK15),$AQ15),Constants!$B$5,IF(OR($CI15&lt;&gt;"",$CJ15,$CK15,$CL15,$CM15,$CN15,$CO15),Constants!$B$8,Constants!$B$4)))))</f>
        <v/>
      </c>
      <c r="BI15" s="74" t="str">
        <f aca="false">IF(ISBLANK($C15),"",IF($BH15&lt;&gt;Constants!$B$4,$BH15,IF(OR(NOT($AH15),NOT($AJ15),NOT($AR15)),Constants!$B$11,IF(OR(NOT($AP15),MAX($AL15,$AM15,$AN15)&gt;Constants!$B$30),Constants!$B$10,Constants!$B$9))))</f>
        <v/>
      </c>
      <c r="BJ15" s="74" t="str">
        <f aca="false">IF($BH15&lt;&gt;Constants!$B$4,"",IF(NOT($AJ15),0,MIN(Constants!$B$35,$BC15)))</f>
        <v/>
      </c>
      <c r="BK15" s="74" t="str">
        <f aca="false">IF($BH15&lt;&gt;Constants!$B$4,"",IF(NOT($AJ15),0,IF($AT15,Constants!$B$18,IF($AS15,Constants!$B$17,0))))</f>
        <v/>
      </c>
      <c r="BL15" s="74" t="str">
        <f aca="false">IF($BH15&lt;&gt;Constants!$B$4,"",IF(NOT($AJ15),0,Constants!$B$19*($AI15+$AU15+$AV15+$AW15)))</f>
        <v/>
      </c>
      <c r="BM15" s="74" t="str">
        <f aca="false">IF($BH15&lt;&gt;Constants!$B$4,"",IF(OR(NOT($AJ15),NOT(ISNUMBER($AX15))),0,CHOOSE($AX15,Constants!$B$13,Constants!$B$14,Constants!$B$15,Constants!$B$16)))</f>
        <v/>
      </c>
      <c r="BN15" s="74" t="str">
        <f aca="false">IF($BH15&lt;&gt;Constants!$B$4,"",IF(NOT($AJ15),0,Constants!$B$20*$AY15))</f>
        <v/>
      </c>
      <c r="BO15" s="74" t="str">
        <f aca="false">IF($BH15&lt;&gt;Constants!$B$4,"",IF(AND($AJ15,$BA15,$BB15),Constants!$B$22,0))</f>
        <v/>
      </c>
      <c r="BP15" s="74" t="str">
        <f aca="false">IF($BH15&lt;&gt;Constants!$B$4,"",IF(OR(NOT($AJ15),NOT($BA15)),0,IF($BF15&gt;=2*$AF$9,0,Constants!$B$23*INT(ROUND(MIN($BF15,$AF$9),6)))))</f>
        <v/>
      </c>
      <c r="BQ15" s="74" t="str">
        <f aca="false">IF($BH15&lt;&gt;Constants!$B$4,"",IF(NOT($AJ15),0,Constants!$B$24*INT(ROUND(MIN($AZ15,$AF$9),6))))</f>
        <v/>
      </c>
      <c r="BR15" s="74" t="str">
        <f aca="false">IF($BH15&lt;&gt;Constants!$B$4,"",IF(AND($AJ15,$BJ15=0),Constants!$B$25,0))</f>
        <v/>
      </c>
      <c r="BS15" s="74" t="str">
        <f aca="false">IF($BH15&lt;&gt;Constants!$B$4,"",MIN(Constants!$B$29,MAX(0,Constants!$B$27*Constants!$B$28*INT(ROUND((Constants!$B$26-$AL15)/Constants!$B$28,6))))+MIN(Constants!$B$29,MAX(0,Constants!$B$27*Constants!$B$28*INT(ROUND((Constants!$B$26-$AM15)/Constants!$B$28,6))))+MIN(Constants!$B$29,MAX(0,Constants!$B$27*Constants!$B$28*INT(ROUND((Constants!$B$26-$AN15)/Constants!$B$28,6)))))</f>
        <v/>
      </c>
      <c r="BT15" s="74" t="str">
        <f aca="false">IF($BH15&lt;&gt;Constants!$B$4,"",IF(NOT($AJ15),0,Constants!$B$31*INT(ROUND(MAX(0,MIN($BF15,2*$AF$9)-$AF$9),6))))</f>
        <v/>
      </c>
      <c r="BU15" s="74" t="str">
        <f aca="false">IF($BH15&lt;&gt;Constants!$B$4,"",Constants!$B$32*(($AL15&gt;Constants!$B$26)+($AM15&gt;Constants!$B$26)+($AN15&gt;Constants!$B$26)))</f>
        <v/>
      </c>
      <c r="BV15" s="74" t="str">
        <f aca="false">IF($BH15&lt;&gt;Constants!$B$4,"",IF(OR(NOT($AJ15),$AO15),0,Constants!$B$33))</f>
        <v/>
      </c>
      <c r="BW15" s="74" t="str">
        <f aca="false">IF($BH15&lt;&gt;Constants!$B$4,"",Constants!$B$34*$BJ15)</f>
        <v/>
      </c>
      <c r="BX15" s="74" t="str">
        <f aca="false">IF($BH15&lt;&gt;Constants!$B$4,"",IF(OR(NOT($AJ15),$BE15),0,Constants!$B$36))</f>
        <v/>
      </c>
      <c r="BY15" s="74" t="str">
        <f aca="false">IF($BH15&lt;&gt;Constants!$B$4,"",IF(OR(NOT($AJ15),$BD15),0,Constants!$B$37))</f>
        <v/>
      </c>
      <c r="BZ15" s="74" t="str">
        <f aca="false">IF($BH15&lt;&gt;Constants!$B$4,"",SUM($BT15:$BY15))</f>
        <v/>
      </c>
      <c r="CA15" s="74" t="str">
        <f aca="false">IF(ISBLANK($C15),"",IF($BH15&lt;&gt;Constants!$B$4,$BH15,SUM($BK15:$BS15)-$BZ15))</f>
        <v/>
      </c>
      <c r="CB15" s="74" t="str">
        <f aca="false">IF(ISBLANK($C15),"",IF($BH15&lt;&gt;Constants!$B$4,$BH15,RANK($CA15,$CA$9:$CA$508)))</f>
        <v/>
      </c>
      <c r="CC15" s="74" t="str">
        <f aca="false">IF(ISBLANK($C15),"",IF($BH15&lt;&gt;Constants!$B$4,$BH15,COUNTIFS($BI$9:$BI$508,"&lt;"&amp;$BI15)+COUNTIFS($BI$9:$BI$508,$BI15,$CB$9:$CB$508,"&lt;"&amp;$CB15)+1))</f>
        <v/>
      </c>
      <c r="CD15" s="74" t="str">
        <f aca="false">IF(ISBLANK($C15),"",IF($BH15&lt;&gt;Constants!$B$4,$BH15,RANK($BZ15,$BZ$9:$BZ$508,1)))</f>
        <v/>
      </c>
      <c r="CE15" s="74" t="str">
        <f aca="false">IF($BH15&lt;&gt;Constants!$B$4,"",$AL15+$AM15+$AN15)</f>
        <v/>
      </c>
      <c r="CF15" s="74" t="str">
        <f aca="false">IF(ISBLANK($C15),"",IF($BH15&lt;&gt;Constants!$B$4,$BH15,RANK($CE15,$CE$9:$CE$508,1)))</f>
        <v/>
      </c>
      <c r="CG15" s="74" t="str">
        <f aca="false">IF(ISBLANK($C15),"",IF($BH15&lt;&gt;Constants!$B$4,$BH15,COUNTIFS($BI$9:$BI$508,"&lt;"&amp;$BI15)+COUNTIFS($BI$9:$BI$508,$BI15,$CB$9:$CB$508,"&lt;"&amp;$CB15)+COUNTIFS($BI$9:$BI$508,$BI15,$CB$9:$CB$508,$CB15,$CD$9:$CD$508,"&lt;"&amp;$CD15)+COUNTIFS($BI$9:$BI$508,$BI15,$CB$9:$CB$508,$CB15,$CD$9:$CD$508,$CD15,$CF$9:$CF$508,"&lt;"&amp;$CF15)+1))</f>
        <v/>
      </c>
      <c r="CH15" s="74" t="str">
        <f aca="false">IF(ISBLANK($C15),"",IF($BH15&lt;&gt;Constants!$B$4,$BH15,$CC15-$CG15))</f>
        <v/>
      </c>
      <c r="CI15" s="74" t="str">
        <f aca="false">IF(ISBLANK($C15),"",IF(NOT($AJ15),"",IF(ISBLANK($D$7),$CI$5,IF(NOT(ISNUMBER($D$7)),$CI$6,""))))</f>
        <v/>
      </c>
      <c r="CJ15" s="74" t="str">
        <f aca="false">IF(ISBLANK($C15),"",OR($AL15="",$AM15="",$AN15=""))</f>
        <v/>
      </c>
      <c r="CK15" s="74" t="str">
        <f aca="false">IF(ISBLANK($C15),"",AND($AJ15,$AX15=""))</f>
        <v/>
      </c>
      <c r="CL15" s="74" t="str">
        <f aca="false">IF(ISBLANK($C15),"",AND($AJ15,$AY15=""))</f>
        <v/>
      </c>
      <c r="CM15" s="74" t="str">
        <f aca="false">IF(ISBLANK($C15),"",AND($AJ15,$AZ15=""))</f>
        <v/>
      </c>
      <c r="CN15" s="74" t="str">
        <f aca="false">IF(ISBLANK($C15),"",AND($AJ15,$BC15=""))</f>
        <v/>
      </c>
      <c r="CO15" s="74" t="str">
        <f aca="false">IF(ISBLANK($C15),"",AND($AJ15,$BF15=""))</f>
        <v/>
      </c>
      <c r="CP15" s="75"/>
      <c r="CQ15" s="76"/>
      <c r="CR15" s="79" t="str">
        <f aca="false">IF(ISBLANK($C15),"",IF($BH15=Constants!$B$8,$CI15,""))</f>
        <v/>
      </c>
      <c r="CS15" s="76" t="str">
        <f aca="false">IF(ISBLANK($C15),"",IF($BH15&lt;&gt;Constants!$B$4,"",$BK15+$BL15))</f>
        <v/>
      </c>
      <c r="CT15" s="78" t="str">
        <f aca="false">IF(ISBLANK($C15),"",IF($BH15&lt;&gt;Constants!$B$4,"",$BM15+$BN15+$BO15))</f>
        <v/>
      </c>
      <c r="CU15" s="78" t="str">
        <f aca="false">IF(ISBLANK($C15),"",IF($BH15&lt;&gt;Constants!$B$4,"",$BP15))</f>
        <v/>
      </c>
      <c r="CV15" s="78" t="str">
        <f aca="false">IF(ISBLANK($C15),"",IF($BH15&lt;&gt;Constants!$B$4,"",$BQ15+$BR15))</f>
        <v/>
      </c>
      <c r="CW15" s="78" t="str">
        <f aca="false">IF(ISBLANK($C15),"",IF($BH15&lt;&gt;Constants!$B$4,"",$BS15))</f>
        <v/>
      </c>
      <c r="CX15" s="78" t="str">
        <f aca="false">IF(ISBLANK($C15),"",IF($BH15&lt;&gt;Constants!$B$4,"",-$BZ15))</f>
        <v/>
      </c>
      <c r="CY15" s="79" t="str">
        <f aca="false">IF(ISBLANK($C15),"",$CA15)</f>
        <v/>
      </c>
      <c r="CZ15" s="80" t="str">
        <f aca="false">IF(ISBLANK($C15),"",$BI15)</f>
        <v/>
      </c>
      <c r="DA15" s="78" t="str">
        <f aca="false">IF(ISBLANK($C15),"",$CH15)</f>
        <v/>
      </c>
      <c r="DB15" s="78" t="str">
        <f aca="false">IF(ISBLANK($C15),"",$CG15)</f>
        <v/>
      </c>
      <c r="DC15" s="81" t="str">
        <f aca="false">IF(ISBLANK($C15),"",IFERROR(_xlfn.SWITCH($DB15,Constants!$B$7,COUNTA($C$9:$C$508)+2,Constants!$B$6,COUNTA($C$9:$C$508)+1,Constants!$B$5,COUNTA($C$9:$C$508)),$DB15))</f>
        <v/>
      </c>
      <c r="DD15" s="7"/>
      <c r="DE15" s="82" t="n">
        <f aca="false">IF(OR(ISNUMBER($DB15),$DB15=Constants!$B$7,$DB15=Constants!$B$5,$DB15=Constants!$B$6),1,0)</f>
        <v>0</v>
      </c>
      <c r="DF15" s="82" t="n">
        <v>7</v>
      </c>
      <c r="DG15" s="82" t="str">
        <f aca="false">IF(ISBLANK($C15),"",IF(ISNUMBER($DC15),$DC15+ROW($B15)/1000,""))</f>
        <v/>
      </c>
      <c r="DH15" s="82" t="str">
        <f aca="false">IF(ISNUMBER($DG15),RANK($DG15,$DG$9:$DG$508,1),"")</f>
        <v/>
      </c>
      <c r="DI15" s="82" t="str">
        <f aca="false">IF(ISBLANK($C15),"",$B15)</f>
        <v/>
      </c>
      <c r="DJ15" s="82" t="str">
        <f aca="false">IF(ISBLANK($C15),"",$C15)</f>
        <v/>
      </c>
      <c r="DK15" s="82" t="str">
        <f aca="false">IF(ISBLANK($C15),"",$D15)</f>
        <v/>
      </c>
      <c r="DL15" s="83" t="str">
        <f aca="false">$CZ15</f>
        <v/>
      </c>
      <c r="DM15" s="84" t="str">
        <f aca="false">$CY15</f>
        <v/>
      </c>
      <c r="DN15" s="82" t="str">
        <f aca="false">IF(ISBLANK($C15),"",$DB15)</f>
        <v/>
      </c>
      <c r="DO15" s="85" t="str">
        <f aca="false">IF($DF15&gt;$DE$8,"",VLOOKUP($DF15,$DH$9:$DN$508,7,FALSE()))</f>
        <v/>
      </c>
      <c r="DP15" s="86" t="str">
        <f aca="false">IF($DF15&gt;$DE$8,"",VLOOKUP($DF15,$DH$9:$DN$508,2,FALSE()))</f>
        <v/>
      </c>
      <c r="DQ15" s="86" t="str">
        <f aca="false">IF($DF15&gt;$DE$8,"",VLOOKUP($DF15,$DH$9:$DN$508,3,FALSE()))</f>
        <v/>
      </c>
      <c r="DR15" s="86" t="str">
        <f aca="false">IF($DF15&gt;$DE$8,"",VLOOKUP($DF15,$DH$9:$DN$508,4,FALSE()))</f>
        <v/>
      </c>
      <c r="DS15" s="86" t="str">
        <f aca="false">IF($DF15&gt;$DE$8,"",VLOOKUP($DF15,$DH$9:$DN$508,5,FALSE()))</f>
        <v/>
      </c>
      <c r="DT15" s="87" t="str">
        <f aca="false">IF($DF15&gt;$DE$8,"",VLOOKUP($DF15,$DH$9:$DN$508,6,FALSE()))</f>
        <v/>
      </c>
      <c r="DU15" s="62"/>
    </row>
    <row r="16" customFormat="false" ht="15.75" hidden="false" customHeight="false" outlineLevel="0" collapsed="false">
      <c r="A16" s="7"/>
      <c r="B16" s="64"/>
      <c r="C16" s="65"/>
      <c r="D16" s="123"/>
      <c r="E16" s="124"/>
      <c r="F16" s="125"/>
      <c r="G16" s="124"/>
      <c r="H16" s="125"/>
      <c r="I16" s="69"/>
      <c r="J16" s="69"/>
      <c r="K16" s="69"/>
      <c r="L16" s="124"/>
      <c r="M16" s="124"/>
      <c r="N16" s="124"/>
      <c r="O16" s="125"/>
      <c r="P16" s="124"/>
      <c r="Q16" s="124"/>
      <c r="R16" s="124"/>
      <c r="S16" s="124"/>
      <c r="T16" s="125"/>
      <c r="U16" s="124"/>
      <c r="V16" s="70"/>
      <c r="W16" s="124"/>
      <c r="X16" s="124"/>
      <c r="Y16" s="70"/>
      <c r="Z16" s="70"/>
      <c r="AA16" s="124"/>
      <c r="AB16" s="124"/>
      <c r="AC16" s="71"/>
      <c r="AD16" s="72"/>
      <c r="AE16" s="73"/>
      <c r="AF16" s="74"/>
      <c r="AG16" s="74"/>
      <c r="AH16" s="74" t="str">
        <f aca="false">IF(ISBLANK($C16),"",IF($E16=Constants!$B$2,TRUE(),IF($E16=Constants!$B$3,FALSE(),TRUE())))</f>
        <v/>
      </c>
      <c r="AI16" s="74" t="str">
        <f aca="false">IF(ISBLANK($C16),"",IF($F16=Constants!$B$2,TRUE(),IF($F16=Constants!$B$3,FALSE(),FALSE())))</f>
        <v/>
      </c>
      <c r="AJ16" s="74" t="str">
        <f aca="false">IF(ISBLANK($C16),"",IF($G16=Constants!$B$2,TRUE(),IF($G16=Constants!$B$3,FALSE(),TRUE())))</f>
        <v/>
      </c>
      <c r="AK16" s="74" t="str">
        <f aca="false">IF(ISBLANK($C16),"",IF($H16=Constants!$B$2,TRUE(),IF($H16=Constants!$B$3,FALSE(),TRUE())))</f>
        <v/>
      </c>
      <c r="AL16" s="74" t="str">
        <f aca="false">IF(ISBLANK($C16),"",IF(ISNUMBER($I16),IF($I16&gt;=0,$I16,""),""))</f>
        <v/>
      </c>
      <c r="AM16" s="74" t="str">
        <f aca="false">IF(ISBLANK($C16),"",IF(ISNUMBER($J16),IF($J16&gt;=0,$J16,""),""))</f>
        <v/>
      </c>
      <c r="AN16" s="74" t="str">
        <f aca="false">IF(ISBLANK($C16),"",IF(ISNUMBER($K16),IF($K16&gt;=0,$K16,""),""))</f>
        <v/>
      </c>
      <c r="AO16" s="74" t="str">
        <f aca="false">IF(ISBLANK($C16),"",IF($L16=Constants!$B$2,TRUE(),IF($L16=Constants!$B$3,FALSE(),TRUE())))</f>
        <v/>
      </c>
      <c r="AP16" s="74" t="str">
        <f aca="false">IF(ISBLANK($C16),"",IF($M16=Constants!$B$2,TRUE(),IF($M16=Constants!$B$3,FALSE(),TRUE())))</f>
        <v/>
      </c>
      <c r="AQ16" s="74" t="str">
        <f aca="false">IF(ISBLANK($C16),"",IF($N16=Constants!$B$2,TRUE(),IF($N16=Constants!$B$3,FALSE(),FALSE())))</f>
        <v/>
      </c>
      <c r="AR16" s="74" t="str">
        <f aca="false">IF(ISBLANK($C16),"",IF($O16=Constants!$B$2,TRUE(),IF($O16=Constants!$B$3,FALSE(),TRUE())))</f>
        <v/>
      </c>
      <c r="AS16" s="74" t="str">
        <f aca="false">IF(ISBLANK($C16),"",IF($P16=Constants!$B$2,TRUE(),IF($P16=Constants!$B$3,FALSE(),FALSE())))</f>
        <v/>
      </c>
      <c r="AT16" s="74" t="str">
        <f aca="false">IF(ISBLANK($C16),"",IF($Q16=Constants!$B$2,TRUE(),IF($Q16=Constants!$B$3,FALSE(),FALSE())))</f>
        <v/>
      </c>
      <c r="AU16" s="74" t="str">
        <f aca="false">IF(ISBLANK($C16),"",IF($R16=Constants!$B$2,TRUE(),IF($R16=Constants!$B$3,FALSE(),FALSE())))</f>
        <v/>
      </c>
      <c r="AV16" s="74" t="str">
        <f aca="false">IF(ISBLANK($C16),"",IF($S16=Constants!$B$2,TRUE(),IF($S16=Constants!$B$3,FALSE(),FALSE())))</f>
        <v/>
      </c>
      <c r="AW16" s="74" t="str">
        <f aca="false">IF(ISBLANK($C16),"",IF($T16=Constants!$B$2,TRUE(),IF($T16=Constants!$B$3,FALSE(),FALSE())))</f>
        <v/>
      </c>
      <c r="AX16" s="74" t="str">
        <f aca="false">IF(ISBLANK($C16),"",IF(OR($U16&amp;""="1",$U16&amp;""="2",$U16&amp;""="3",$U16&amp;""="4"),VALUE($U16&amp;""),IF($U16=Constants!$B$12,Constants!$B$12,"")))</f>
        <v/>
      </c>
      <c r="AY16" s="74" t="str">
        <f aca="false">IF(ISBLANK($C16),"",IF(ISBLANK($V16),0,IF(ISNUMBER($V16),IF(AND($V16&gt;=0,$V16&lt;=Constants!$B$21,$V16=INT($V16)),$V16,""),"")))</f>
        <v/>
      </c>
      <c r="AZ16" s="74" t="str">
        <f aca="false">IF(ISBLANK($C16),"",IF(ISBLANK($W16),0,IF(ISNUMBER($W16),IF($W16&gt;=0,$W16,""),"")))</f>
        <v/>
      </c>
      <c r="BA16" s="74" t="str">
        <f aca="false">IF(ISBLANK($C16),"",IF($X16=Constants!$B$2,TRUE(),IF($X16=Constants!$B$3,FALSE(),TRUE())))</f>
        <v/>
      </c>
      <c r="BB16" s="74" t="str">
        <f aca="false">IF(ISBLANK($C16),"",IF($Y16=Constants!$B$2,TRUE(),IF($Y16=Constants!$B$3,FALSE(),FALSE())))</f>
        <v/>
      </c>
      <c r="BC16" s="74" t="str">
        <f aca="false">IF(ISBLANK($C16),"",IF(ISBLANK($Z16),0,IF(ISNUMBER($Z16),IF(AND($Z16&gt;=0,$Z16&lt;=Constants!$B$35,$Z16=INT($Z16)),$Z16,""),"")))</f>
        <v/>
      </c>
      <c r="BD16" s="74" t="str">
        <f aca="false">IF(ISBLANK($C16),"",IF($AA16=Constants!$B$2,TRUE(),IF($AA16=Constants!$B$3,FALSE(),TRUE())))</f>
        <v/>
      </c>
      <c r="BE16" s="74" t="str">
        <f aca="false">IF(ISBLANK($C16),"",IF($AB16=Constants!$B$2,TRUE(),IF($AB16=Constants!$B$3,FALSE(),TRUE())))</f>
        <v/>
      </c>
      <c r="BF16" s="74" t="str">
        <f aca="false">IF(ISBLANK($C16),"",IF(ISNUMBER($AC16),IF($AC16&gt;=0,$AC16,""),""))</f>
        <v/>
      </c>
      <c r="BG16" s="74" t="str">
        <f aca="false">IF(ISBLANK($C16),"",IF($AD16=Constants!$B$2,TRUE(),IF($AD16=Constants!$B$3,FALSE(),FALSE())))</f>
        <v/>
      </c>
      <c r="BH16" s="73" t="str">
        <f aca="false">IF(ISBLANK($C16),"",IF($BG16,Constants!$B$7,IF(COUNTA($E16:$AC16)=0,Constants!$B$6,IF(OR(COUNTA($G16:$AC16)=0,NOT($AK16),$AQ16),Constants!$B$5,IF(OR($CI16&lt;&gt;"",$CJ16,$CK16,$CL16,$CM16,$CN16,$CO16),Constants!$B$8,Constants!$B$4)))))</f>
        <v/>
      </c>
      <c r="BI16" s="74" t="str">
        <f aca="false">IF(ISBLANK($C16),"",IF($BH16&lt;&gt;Constants!$B$4,$BH16,IF(OR(NOT($AH16),NOT($AJ16),NOT($AR16)),Constants!$B$11,IF(OR(NOT($AP16),MAX($AL16,$AM16,$AN16)&gt;Constants!$B$30),Constants!$B$10,Constants!$B$9))))</f>
        <v/>
      </c>
      <c r="BJ16" s="74" t="str">
        <f aca="false">IF($BH16&lt;&gt;Constants!$B$4,"",IF(NOT($AJ16),0,MIN(Constants!$B$35,$BC16)))</f>
        <v/>
      </c>
      <c r="BK16" s="74" t="str">
        <f aca="false">IF($BH16&lt;&gt;Constants!$B$4,"",IF(NOT($AJ16),0,IF($AT16,Constants!$B$18,IF($AS16,Constants!$B$17,0))))</f>
        <v/>
      </c>
      <c r="BL16" s="74" t="str">
        <f aca="false">IF($BH16&lt;&gt;Constants!$B$4,"",IF(NOT($AJ16),0,Constants!$B$19*($AI16+$AU16+$AV16+$AW16)))</f>
        <v/>
      </c>
      <c r="BM16" s="74" t="str">
        <f aca="false">IF($BH16&lt;&gt;Constants!$B$4,"",IF(OR(NOT($AJ16),NOT(ISNUMBER($AX16))),0,CHOOSE($AX16,Constants!$B$13,Constants!$B$14,Constants!$B$15,Constants!$B$16)))</f>
        <v/>
      </c>
      <c r="BN16" s="74" t="str">
        <f aca="false">IF($BH16&lt;&gt;Constants!$B$4,"",IF(NOT($AJ16),0,Constants!$B$20*$AY16))</f>
        <v/>
      </c>
      <c r="BO16" s="74" t="str">
        <f aca="false">IF($BH16&lt;&gt;Constants!$B$4,"",IF(AND($AJ16,$BA16,$BB16),Constants!$B$22,0))</f>
        <v/>
      </c>
      <c r="BP16" s="74" t="str">
        <f aca="false">IF($BH16&lt;&gt;Constants!$B$4,"",IF(OR(NOT($AJ16),NOT($BA16)),0,IF($BF16&gt;=2*$AF$9,0,Constants!$B$23*INT(ROUND(MIN($BF16,$AF$9),6)))))</f>
        <v/>
      </c>
      <c r="BQ16" s="74" t="str">
        <f aca="false">IF($BH16&lt;&gt;Constants!$B$4,"",IF(NOT($AJ16),0,Constants!$B$24*INT(ROUND(MIN($AZ16,$AF$9),6))))</f>
        <v/>
      </c>
      <c r="BR16" s="74" t="str">
        <f aca="false">IF($BH16&lt;&gt;Constants!$B$4,"",IF(AND($AJ16,$BJ16=0),Constants!$B$25,0))</f>
        <v/>
      </c>
      <c r="BS16" s="74" t="str">
        <f aca="false">IF($BH16&lt;&gt;Constants!$B$4,"",MIN(Constants!$B$29,MAX(0,Constants!$B$27*Constants!$B$28*INT(ROUND((Constants!$B$26-$AL16)/Constants!$B$28,6))))+MIN(Constants!$B$29,MAX(0,Constants!$B$27*Constants!$B$28*INT(ROUND((Constants!$B$26-$AM16)/Constants!$B$28,6))))+MIN(Constants!$B$29,MAX(0,Constants!$B$27*Constants!$B$28*INT(ROUND((Constants!$B$26-$AN16)/Constants!$B$28,6)))))</f>
        <v/>
      </c>
      <c r="BT16" s="74" t="str">
        <f aca="false">IF($BH16&lt;&gt;Constants!$B$4,"",IF(NOT($AJ16),0,Constants!$B$31*INT(ROUND(MAX(0,MIN($BF16,2*$AF$9)-$AF$9),6))))</f>
        <v/>
      </c>
      <c r="BU16" s="74" t="str">
        <f aca="false">IF($BH16&lt;&gt;Constants!$B$4,"",Constants!$B$32*(($AL16&gt;Constants!$B$26)+($AM16&gt;Constants!$B$26)+($AN16&gt;Constants!$B$26)))</f>
        <v/>
      </c>
      <c r="BV16" s="74" t="str">
        <f aca="false">IF($BH16&lt;&gt;Constants!$B$4,"",IF(OR(NOT($AJ16),$AO16),0,Constants!$B$33))</f>
        <v/>
      </c>
      <c r="BW16" s="74" t="str">
        <f aca="false">IF($BH16&lt;&gt;Constants!$B$4,"",Constants!$B$34*$BJ16)</f>
        <v/>
      </c>
      <c r="BX16" s="74" t="str">
        <f aca="false">IF($BH16&lt;&gt;Constants!$B$4,"",IF(OR(NOT($AJ16),$BE16),0,Constants!$B$36))</f>
        <v/>
      </c>
      <c r="BY16" s="74" t="str">
        <f aca="false">IF($BH16&lt;&gt;Constants!$B$4,"",IF(OR(NOT($AJ16),$BD16),0,Constants!$B$37))</f>
        <v/>
      </c>
      <c r="BZ16" s="74" t="str">
        <f aca="false">IF($BH16&lt;&gt;Constants!$B$4,"",SUM($BT16:$BY16))</f>
        <v/>
      </c>
      <c r="CA16" s="74" t="str">
        <f aca="false">IF(ISBLANK($C16),"",IF($BH16&lt;&gt;Constants!$B$4,$BH16,SUM($BK16:$BS16)-$BZ16))</f>
        <v/>
      </c>
      <c r="CB16" s="74" t="str">
        <f aca="false">IF(ISBLANK($C16),"",IF($BH16&lt;&gt;Constants!$B$4,$BH16,RANK($CA16,$CA$9:$CA$508)))</f>
        <v/>
      </c>
      <c r="CC16" s="74" t="str">
        <f aca="false">IF(ISBLANK($C16),"",IF($BH16&lt;&gt;Constants!$B$4,$BH16,COUNTIFS($BI$9:$BI$508,"&lt;"&amp;$BI16)+COUNTIFS($BI$9:$BI$508,$BI16,$CB$9:$CB$508,"&lt;"&amp;$CB16)+1))</f>
        <v/>
      </c>
      <c r="CD16" s="74" t="str">
        <f aca="false">IF(ISBLANK($C16),"",IF($BH16&lt;&gt;Constants!$B$4,$BH16,RANK($BZ16,$BZ$9:$BZ$508,1)))</f>
        <v/>
      </c>
      <c r="CE16" s="74" t="str">
        <f aca="false">IF($BH16&lt;&gt;Constants!$B$4,"",$AL16+$AM16+$AN16)</f>
        <v/>
      </c>
      <c r="CF16" s="74" t="str">
        <f aca="false">IF(ISBLANK($C16),"",IF($BH16&lt;&gt;Constants!$B$4,$BH16,RANK($CE16,$CE$9:$CE$508,1)))</f>
        <v/>
      </c>
      <c r="CG16" s="74" t="str">
        <f aca="false">IF(ISBLANK($C16),"",IF($BH16&lt;&gt;Constants!$B$4,$BH16,COUNTIFS($BI$9:$BI$508,"&lt;"&amp;$BI16)+COUNTIFS($BI$9:$BI$508,$BI16,$CB$9:$CB$508,"&lt;"&amp;$CB16)+COUNTIFS($BI$9:$BI$508,$BI16,$CB$9:$CB$508,$CB16,$CD$9:$CD$508,"&lt;"&amp;$CD16)+COUNTIFS($BI$9:$BI$508,$BI16,$CB$9:$CB$508,$CB16,$CD$9:$CD$508,$CD16,$CF$9:$CF$508,"&lt;"&amp;$CF16)+1))</f>
        <v/>
      </c>
      <c r="CH16" s="74" t="str">
        <f aca="false">IF(ISBLANK($C16),"",IF($BH16&lt;&gt;Constants!$B$4,$BH16,$CC16-$CG16))</f>
        <v/>
      </c>
      <c r="CI16" s="74" t="str">
        <f aca="false">IF(ISBLANK($C16),"",IF(NOT($AJ16),"",IF(ISBLANK($D$7),$CI$5,IF(NOT(ISNUMBER($D$7)),$CI$6,""))))</f>
        <v/>
      </c>
      <c r="CJ16" s="74" t="str">
        <f aca="false">IF(ISBLANK($C16),"",OR($AL16="",$AM16="",$AN16=""))</f>
        <v/>
      </c>
      <c r="CK16" s="74" t="str">
        <f aca="false">IF(ISBLANK($C16),"",AND($AJ16,$AX16=""))</f>
        <v/>
      </c>
      <c r="CL16" s="74" t="str">
        <f aca="false">IF(ISBLANK($C16),"",AND($AJ16,$AY16=""))</f>
        <v/>
      </c>
      <c r="CM16" s="74" t="str">
        <f aca="false">IF(ISBLANK($C16),"",AND($AJ16,$AZ16=""))</f>
        <v/>
      </c>
      <c r="CN16" s="74" t="str">
        <f aca="false">IF(ISBLANK($C16),"",AND($AJ16,$BC16=""))</f>
        <v/>
      </c>
      <c r="CO16" s="74" t="str">
        <f aca="false">IF(ISBLANK($C16),"",AND($AJ16,$BF16=""))</f>
        <v/>
      </c>
      <c r="CP16" s="75"/>
      <c r="CQ16" s="76"/>
      <c r="CR16" s="79" t="str">
        <f aca="false">IF(ISBLANK($C16),"",IF($BH16=Constants!$B$8,$CI16,""))</f>
        <v/>
      </c>
      <c r="CS16" s="76" t="str">
        <f aca="false">IF(ISBLANK($C16),"",IF($BH16&lt;&gt;Constants!$B$4,"",$BK16+$BL16))</f>
        <v/>
      </c>
      <c r="CT16" s="78" t="str">
        <f aca="false">IF(ISBLANK($C16),"",IF($BH16&lt;&gt;Constants!$B$4,"",$BM16+$BN16+$BO16))</f>
        <v/>
      </c>
      <c r="CU16" s="78" t="str">
        <f aca="false">IF(ISBLANK($C16),"",IF($BH16&lt;&gt;Constants!$B$4,"",$BP16))</f>
        <v/>
      </c>
      <c r="CV16" s="78" t="str">
        <f aca="false">IF(ISBLANK($C16),"",IF($BH16&lt;&gt;Constants!$B$4,"",$BQ16+$BR16))</f>
        <v/>
      </c>
      <c r="CW16" s="78" t="str">
        <f aca="false">IF(ISBLANK($C16),"",IF($BH16&lt;&gt;Constants!$B$4,"",$BS16))</f>
        <v/>
      </c>
      <c r="CX16" s="78" t="str">
        <f aca="false">IF(ISBLANK($C16),"",IF($BH16&lt;&gt;Constants!$B$4,"",-$BZ16))</f>
        <v/>
      </c>
      <c r="CY16" s="79" t="str">
        <f aca="false">IF(ISBLANK($C16),"",$CA16)</f>
        <v/>
      </c>
      <c r="CZ16" s="80" t="str">
        <f aca="false">IF(ISBLANK($C16),"",$BI16)</f>
        <v/>
      </c>
      <c r="DA16" s="78" t="str">
        <f aca="false">IF(ISBLANK($C16),"",$CH16)</f>
        <v/>
      </c>
      <c r="DB16" s="78" t="str">
        <f aca="false">IF(ISBLANK($C16),"",$CG16)</f>
        <v/>
      </c>
      <c r="DC16" s="81" t="str">
        <f aca="false">IF(ISBLANK($C16),"",IFERROR(_xlfn.SWITCH($DB16,Constants!$B$7,COUNTA($C$9:$C$508)+2,Constants!$B$6,COUNTA($C$9:$C$508)+1,Constants!$B$5,COUNTA($C$9:$C$508)),$DB16))</f>
        <v/>
      </c>
      <c r="DD16" s="7"/>
      <c r="DE16" s="82" t="n">
        <f aca="false">IF(OR(ISNUMBER($DB16),$DB16=Constants!$B$7,$DB16=Constants!$B$5,$DB16=Constants!$B$6),1,0)</f>
        <v>0</v>
      </c>
      <c r="DF16" s="82" t="n">
        <v>8</v>
      </c>
      <c r="DG16" s="82" t="str">
        <f aca="false">IF(ISBLANK($C16),"",IF(ISNUMBER($DC16),$DC16+ROW($B16)/1000,""))</f>
        <v/>
      </c>
      <c r="DH16" s="82" t="str">
        <f aca="false">IF(ISNUMBER($DG16),RANK($DG16,$DG$9:$DG$508,1),"")</f>
        <v/>
      </c>
      <c r="DI16" s="82" t="str">
        <f aca="false">IF(ISBLANK($C16),"",$B16)</f>
        <v/>
      </c>
      <c r="DJ16" s="82" t="str">
        <f aca="false">IF(ISBLANK($C16),"",$C16)</f>
        <v/>
      </c>
      <c r="DK16" s="82" t="str">
        <f aca="false">IF(ISBLANK($C16),"",$D16)</f>
        <v/>
      </c>
      <c r="DL16" s="83" t="str">
        <f aca="false">$CZ16</f>
        <v/>
      </c>
      <c r="DM16" s="84" t="str">
        <f aca="false">$CY16</f>
        <v/>
      </c>
      <c r="DN16" s="82" t="str">
        <f aca="false">IF(ISBLANK($C16),"",$DB16)</f>
        <v/>
      </c>
      <c r="DO16" s="85" t="str">
        <f aca="false">IF($DF16&gt;$DE$8,"",VLOOKUP($DF16,$DH$9:$DN$508,7,FALSE()))</f>
        <v/>
      </c>
      <c r="DP16" s="86" t="str">
        <f aca="false">IF($DF16&gt;$DE$8,"",VLOOKUP($DF16,$DH$9:$DN$508,2,FALSE()))</f>
        <v/>
      </c>
      <c r="DQ16" s="86" t="str">
        <f aca="false">IF($DF16&gt;$DE$8,"",VLOOKUP($DF16,$DH$9:$DN$508,3,FALSE()))</f>
        <v/>
      </c>
      <c r="DR16" s="86" t="str">
        <f aca="false">IF($DF16&gt;$DE$8,"",VLOOKUP($DF16,$DH$9:$DN$508,4,FALSE()))</f>
        <v/>
      </c>
      <c r="DS16" s="86" t="str">
        <f aca="false">IF($DF16&gt;$DE$8,"",VLOOKUP($DF16,$DH$9:$DN$508,5,FALSE()))</f>
        <v/>
      </c>
      <c r="DT16" s="87" t="str">
        <f aca="false">IF($DF16&gt;$DE$8,"",VLOOKUP($DF16,$DH$9:$DN$508,6,FALSE()))</f>
        <v/>
      </c>
      <c r="DU16" s="62"/>
    </row>
    <row r="17" customFormat="false" ht="15.75" hidden="false" customHeight="false" outlineLevel="0" collapsed="false">
      <c r="A17" s="7"/>
      <c r="B17" s="64"/>
      <c r="C17" s="65"/>
      <c r="D17" s="123"/>
      <c r="E17" s="67"/>
      <c r="F17" s="68"/>
      <c r="G17" s="67"/>
      <c r="H17" s="68"/>
      <c r="I17" s="69"/>
      <c r="J17" s="69"/>
      <c r="K17" s="69"/>
      <c r="L17" s="67"/>
      <c r="M17" s="67"/>
      <c r="N17" s="67"/>
      <c r="O17" s="68"/>
      <c r="P17" s="67"/>
      <c r="Q17" s="67"/>
      <c r="R17" s="67"/>
      <c r="S17" s="67"/>
      <c r="T17" s="68"/>
      <c r="U17" s="67"/>
      <c r="V17" s="70"/>
      <c r="W17" s="67"/>
      <c r="X17" s="67"/>
      <c r="Y17" s="70"/>
      <c r="Z17" s="70"/>
      <c r="AA17" s="67"/>
      <c r="AB17" s="67"/>
      <c r="AC17" s="71"/>
      <c r="AD17" s="72"/>
      <c r="AE17" s="73"/>
      <c r="AF17" s="74"/>
      <c r="AG17" s="74"/>
      <c r="AH17" s="74" t="str">
        <f aca="false">IF(ISBLANK($C17),"",IF($E17=Constants!$B$2,TRUE(),IF($E17=Constants!$B$3,FALSE(),TRUE())))</f>
        <v/>
      </c>
      <c r="AI17" s="74" t="str">
        <f aca="false">IF(ISBLANK($C17),"",IF($F17=Constants!$B$2,TRUE(),IF($F17=Constants!$B$3,FALSE(),FALSE())))</f>
        <v/>
      </c>
      <c r="AJ17" s="74" t="str">
        <f aca="false">IF(ISBLANK($C17),"",IF($G17=Constants!$B$2,TRUE(),IF($G17=Constants!$B$3,FALSE(),TRUE())))</f>
        <v/>
      </c>
      <c r="AK17" s="74" t="str">
        <f aca="false">IF(ISBLANK($C17),"",IF($H17=Constants!$B$2,TRUE(),IF($H17=Constants!$B$3,FALSE(),TRUE())))</f>
        <v/>
      </c>
      <c r="AL17" s="74" t="str">
        <f aca="false">IF(ISBLANK($C17),"",IF(ISNUMBER($I17),IF($I17&gt;=0,$I17,""),""))</f>
        <v/>
      </c>
      <c r="AM17" s="74" t="str">
        <f aca="false">IF(ISBLANK($C17),"",IF(ISNUMBER($J17),IF($J17&gt;=0,$J17,""),""))</f>
        <v/>
      </c>
      <c r="AN17" s="74" t="str">
        <f aca="false">IF(ISBLANK($C17),"",IF(ISNUMBER($K17),IF($K17&gt;=0,$K17,""),""))</f>
        <v/>
      </c>
      <c r="AO17" s="74" t="str">
        <f aca="false">IF(ISBLANK($C17),"",IF($L17=Constants!$B$2,TRUE(),IF($L17=Constants!$B$3,FALSE(),TRUE())))</f>
        <v/>
      </c>
      <c r="AP17" s="74" t="str">
        <f aca="false">IF(ISBLANK($C17),"",IF($M17=Constants!$B$2,TRUE(),IF($M17=Constants!$B$3,FALSE(),TRUE())))</f>
        <v/>
      </c>
      <c r="AQ17" s="74" t="str">
        <f aca="false">IF(ISBLANK($C17),"",IF($N17=Constants!$B$2,TRUE(),IF($N17=Constants!$B$3,FALSE(),FALSE())))</f>
        <v/>
      </c>
      <c r="AR17" s="74" t="str">
        <f aca="false">IF(ISBLANK($C17),"",IF($O17=Constants!$B$2,TRUE(),IF($O17=Constants!$B$3,FALSE(),TRUE())))</f>
        <v/>
      </c>
      <c r="AS17" s="74" t="str">
        <f aca="false">IF(ISBLANK($C17),"",IF($P17=Constants!$B$2,TRUE(),IF($P17=Constants!$B$3,FALSE(),FALSE())))</f>
        <v/>
      </c>
      <c r="AT17" s="74" t="str">
        <f aca="false">IF(ISBLANK($C17),"",IF($Q17=Constants!$B$2,TRUE(),IF($Q17=Constants!$B$3,FALSE(),FALSE())))</f>
        <v/>
      </c>
      <c r="AU17" s="74" t="str">
        <f aca="false">IF(ISBLANK($C17),"",IF($R17=Constants!$B$2,TRUE(),IF($R17=Constants!$B$3,FALSE(),FALSE())))</f>
        <v/>
      </c>
      <c r="AV17" s="74" t="str">
        <f aca="false">IF(ISBLANK($C17),"",IF($S17=Constants!$B$2,TRUE(),IF($S17=Constants!$B$3,FALSE(),FALSE())))</f>
        <v/>
      </c>
      <c r="AW17" s="74" t="str">
        <f aca="false">IF(ISBLANK($C17),"",IF($T17=Constants!$B$2,TRUE(),IF($T17=Constants!$B$3,FALSE(),FALSE())))</f>
        <v/>
      </c>
      <c r="AX17" s="74" t="str">
        <f aca="false">IF(ISBLANK($C17),"",IF(OR($U17&amp;""="1",$U17&amp;""="2",$U17&amp;""="3",$U17&amp;""="4"),VALUE($U17&amp;""),IF($U17=Constants!$B$12,Constants!$B$12,"")))</f>
        <v/>
      </c>
      <c r="AY17" s="74" t="str">
        <f aca="false">IF(ISBLANK($C17),"",IF(ISBLANK($V17),0,IF(ISNUMBER($V17),IF(AND($V17&gt;=0,$V17&lt;=Constants!$B$21,$V17=INT($V17)),$V17,""),"")))</f>
        <v/>
      </c>
      <c r="AZ17" s="74" t="str">
        <f aca="false">IF(ISBLANK($C17),"",IF(ISBLANK($W17),0,IF(ISNUMBER($W17),IF($W17&gt;=0,$W17,""),"")))</f>
        <v/>
      </c>
      <c r="BA17" s="74" t="str">
        <f aca="false">IF(ISBLANK($C17),"",IF($X17=Constants!$B$2,TRUE(),IF($X17=Constants!$B$3,FALSE(),TRUE())))</f>
        <v/>
      </c>
      <c r="BB17" s="74" t="str">
        <f aca="false">IF(ISBLANK($C17),"",IF($Y17=Constants!$B$2,TRUE(),IF($Y17=Constants!$B$3,FALSE(),FALSE())))</f>
        <v/>
      </c>
      <c r="BC17" s="74" t="str">
        <f aca="false">IF(ISBLANK($C17),"",IF(ISBLANK($Z17),0,IF(ISNUMBER($Z17),IF(AND($Z17&gt;=0,$Z17&lt;=Constants!$B$35,$Z17=INT($Z17)),$Z17,""),"")))</f>
        <v/>
      </c>
      <c r="BD17" s="74" t="str">
        <f aca="false">IF(ISBLANK($C17),"",IF($AA17=Constants!$B$2,TRUE(),IF($AA17=Constants!$B$3,FALSE(),TRUE())))</f>
        <v/>
      </c>
      <c r="BE17" s="74" t="str">
        <f aca="false">IF(ISBLANK($C17),"",IF($AB17=Constants!$B$2,TRUE(),IF($AB17=Constants!$B$3,FALSE(),TRUE())))</f>
        <v/>
      </c>
      <c r="BF17" s="74" t="str">
        <f aca="false">IF(ISBLANK($C17),"",IF(ISNUMBER($AC17),IF($AC17&gt;=0,$AC17,""),""))</f>
        <v/>
      </c>
      <c r="BG17" s="74" t="str">
        <f aca="false">IF(ISBLANK($C17),"",IF($AD17=Constants!$B$2,TRUE(),IF($AD17=Constants!$B$3,FALSE(),FALSE())))</f>
        <v/>
      </c>
      <c r="BH17" s="73" t="str">
        <f aca="false">IF(ISBLANK($C17),"",IF($BG17,Constants!$B$7,IF(COUNTA($E17:$AC17)=0,Constants!$B$6,IF(OR(COUNTA($G17:$AC17)=0,NOT($AK17),$AQ17),Constants!$B$5,IF(OR($CI17&lt;&gt;"",$CJ17,$CK17,$CL17,$CM17,$CN17,$CO17),Constants!$B$8,Constants!$B$4)))))</f>
        <v/>
      </c>
      <c r="BI17" s="74" t="str">
        <f aca="false">IF(ISBLANK($C17),"",IF($BH17&lt;&gt;Constants!$B$4,$BH17,IF(OR(NOT($AH17),NOT($AJ17),NOT($AR17)),Constants!$B$11,IF(OR(NOT($AP17),MAX($AL17,$AM17,$AN17)&gt;Constants!$B$30),Constants!$B$10,Constants!$B$9))))</f>
        <v/>
      </c>
      <c r="BJ17" s="74" t="str">
        <f aca="false">IF($BH17&lt;&gt;Constants!$B$4,"",IF(NOT($AJ17),0,MIN(Constants!$B$35,$BC17)))</f>
        <v/>
      </c>
      <c r="BK17" s="74" t="str">
        <f aca="false">IF($BH17&lt;&gt;Constants!$B$4,"",IF(NOT($AJ17),0,IF($AT17,Constants!$B$18,IF($AS17,Constants!$B$17,0))))</f>
        <v/>
      </c>
      <c r="BL17" s="74" t="str">
        <f aca="false">IF($BH17&lt;&gt;Constants!$B$4,"",IF(NOT($AJ17),0,Constants!$B$19*($AI17+$AU17+$AV17+$AW17)))</f>
        <v/>
      </c>
      <c r="BM17" s="74" t="str">
        <f aca="false">IF($BH17&lt;&gt;Constants!$B$4,"",IF(OR(NOT($AJ17),NOT(ISNUMBER($AX17))),0,CHOOSE($AX17,Constants!$B$13,Constants!$B$14,Constants!$B$15,Constants!$B$16)))</f>
        <v/>
      </c>
      <c r="BN17" s="74" t="str">
        <f aca="false">IF($BH17&lt;&gt;Constants!$B$4,"",IF(NOT($AJ17),0,Constants!$B$20*$AY17))</f>
        <v/>
      </c>
      <c r="BO17" s="74" t="str">
        <f aca="false">IF($BH17&lt;&gt;Constants!$B$4,"",IF(AND($AJ17,$BA17,$BB17),Constants!$B$22,0))</f>
        <v/>
      </c>
      <c r="BP17" s="74" t="str">
        <f aca="false">IF($BH17&lt;&gt;Constants!$B$4,"",IF(OR(NOT($AJ17),NOT($BA17)),0,IF($BF17&gt;=2*$AF$9,0,Constants!$B$23*INT(ROUND(MIN($BF17,$AF$9),6)))))</f>
        <v/>
      </c>
      <c r="BQ17" s="74" t="str">
        <f aca="false">IF($BH17&lt;&gt;Constants!$B$4,"",IF(NOT($AJ17),0,Constants!$B$24*INT(ROUND(MIN($AZ17,$AF$9),6))))</f>
        <v/>
      </c>
      <c r="BR17" s="74" t="str">
        <f aca="false">IF($BH17&lt;&gt;Constants!$B$4,"",IF(AND($AJ17,$BJ17=0),Constants!$B$25,0))</f>
        <v/>
      </c>
      <c r="BS17" s="74" t="str">
        <f aca="false">IF($BH17&lt;&gt;Constants!$B$4,"",MIN(Constants!$B$29,MAX(0,Constants!$B$27*Constants!$B$28*INT(ROUND((Constants!$B$26-$AL17)/Constants!$B$28,6))))+MIN(Constants!$B$29,MAX(0,Constants!$B$27*Constants!$B$28*INT(ROUND((Constants!$B$26-$AM17)/Constants!$B$28,6))))+MIN(Constants!$B$29,MAX(0,Constants!$B$27*Constants!$B$28*INT(ROUND((Constants!$B$26-$AN17)/Constants!$B$28,6)))))</f>
        <v/>
      </c>
      <c r="BT17" s="74" t="str">
        <f aca="false">IF($BH17&lt;&gt;Constants!$B$4,"",IF(NOT($AJ17),0,Constants!$B$31*INT(ROUND(MAX(0,MIN($BF17,2*$AF$9)-$AF$9),6))))</f>
        <v/>
      </c>
      <c r="BU17" s="74" t="str">
        <f aca="false">IF($BH17&lt;&gt;Constants!$B$4,"",Constants!$B$32*(($AL17&gt;Constants!$B$26)+($AM17&gt;Constants!$B$26)+($AN17&gt;Constants!$B$26)))</f>
        <v/>
      </c>
      <c r="BV17" s="74" t="str">
        <f aca="false">IF($BH17&lt;&gt;Constants!$B$4,"",IF(OR(NOT($AJ17),$AO17),0,Constants!$B$33))</f>
        <v/>
      </c>
      <c r="BW17" s="74" t="str">
        <f aca="false">IF($BH17&lt;&gt;Constants!$B$4,"",Constants!$B$34*$BJ17)</f>
        <v/>
      </c>
      <c r="BX17" s="74" t="str">
        <f aca="false">IF($BH17&lt;&gt;Constants!$B$4,"",IF(OR(NOT($AJ17),$BE17),0,Constants!$B$36))</f>
        <v/>
      </c>
      <c r="BY17" s="74" t="str">
        <f aca="false">IF($BH17&lt;&gt;Constants!$B$4,"",IF(OR(NOT($AJ17),$BD17),0,Constants!$B$37))</f>
        <v/>
      </c>
      <c r="BZ17" s="74" t="str">
        <f aca="false">IF($BH17&lt;&gt;Constants!$B$4,"",SUM($BT17:$BY17))</f>
        <v/>
      </c>
      <c r="CA17" s="74" t="str">
        <f aca="false">IF(ISBLANK($C17),"",IF($BH17&lt;&gt;Constants!$B$4,$BH17,SUM($BK17:$BS17)-$BZ17))</f>
        <v/>
      </c>
      <c r="CB17" s="74" t="str">
        <f aca="false">IF(ISBLANK($C17),"",IF($BH17&lt;&gt;Constants!$B$4,$BH17,RANK($CA17,$CA$9:$CA$508)))</f>
        <v/>
      </c>
      <c r="CC17" s="74" t="str">
        <f aca="false">IF(ISBLANK($C17),"",IF($BH17&lt;&gt;Constants!$B$4,$BH17,COUNTIFS($BI$9:$BI$508,"&lt;"&amp;$BI17)+COUNTIFS($BI$9:$BI$508,$BI17,$CB$9:$CB$508,"&lt;"&amp;$CB17)+1))</f>
        <v/>
      </c>
      <c r="CD17" s="74" t="str">
        <f aca="false">IF(ISBLANK($C17),"",IF($BH17&lt;&gt;Constants!$B$4,$BH17,RANK($BZ17,$BZ$9:$BZ$508,1)))</f>
        <v/>
      </c>
      <c r="CE17" s="74" t="str">
        <f aca="false">IF($BH17&lt;&gt;Constants!$B$4,"",$AL17+$AM17+$AN17)</f>
        <v/>
      </c>
      <c r="CF17" s="74" t="str">
        <f aca="false">IF(ISBLANK($C17),"",IF($BH17&lt;&gt;Constants!$B$4,$BH17,RANK($CE17,$CE$9:$CE$508,1)))</f>
        <v/>
      </c>
      <c r="CG17" s="74" t="str">
        <f aca="false">IF(ISBLANK($C17),"",IF($BH17&lt;&gt;Constants!$B$4,$BH17,COUNTIFS($BI$9:$BI$508,"&lt;"&amp;$BI17)+COUNTIFS($BI$9:$BI$508,$BI17,$CB$9:$CB$508,"&lt;"&amp;$CB17)+COUNTIFS($BI$9:$BI$508,$BI17,$CB$9:$CB$508,$CB17,$CD$9:$CD$508,"&lt;"&amp;$CD17)+COUNTIFS($BI$9:$BI$508,$BI17,$CB$9:$CB$508,$CB17,$CD$9:$CD$508,$CD17,$CF$9:$CF$508,"&lt;"&amp;$CF17)+1))</f>
        <v/>
      </c>
      <c r="CH17" s="74" t="str">
        <f aca="false">IF(ISBLANK($C17),"",IF($BH17&lt;&gt;Constants!$B$4,$BH17,$CC17-$CG17))</f>
        <v/>
      </c>
      <c r="CI17" s="74" t="str">
        <f aca="false">IF(ISBLANK($C17),"",IF(NOT($AJ17),"",IF(ISBLANK($D$7),$CI$5,IF(NOT(ISNUMBER($D$7)),$CI$6,""))))</f>
        <v/>
      </c>
      <c r="CJ17" s="74" t="str">
        <f aca="false">IF(ISBLANK($C17),"",OR($AL17="",$AM17="",$AN17=""))</f>
        <v/>
      </c>
      <c r="CK17" s="74" t="str">
        <f aca="false">IF(ISBLANK($C17),"",AND($AJ17,$AX17=""))</f>
        <v/>
      </c>
      <c r="CL17" s="74" t="str">
        <f aca="false">IF(ISBLANK($C17),"",AND($AJ17,$AY17=""))</f>
        <v/>
      </c>
      <c r="CM17" s="74" t="str">
        <f aca="false">IF(ISBLANK($C17),"",AND($AJ17,$AZ17=""))</f>
        <v/>
      </c>
      <c r="CN17" s="74" t="str">
        <f aca="false">IF(ISBLANK($C17),"",AND($AJ17,$BC17=""))</f>
        <v/>
      </c>
      <c r="CO17" s="74" t="str">
        <f aca="false">IF(ISBLANK($C17),"",AND($AJ17,$BF17=""))</f>
        <v/>
      </c>
      <c r="CP17" s="75"/>
      <c r="CQ17" s="76"/>
      <c r="CR17" s="79" t="str">
        <f aca="false">IF(ISBLANK($C17),"",IF($BH17=Constants!$B$8,$CI17,""))</f>
        <v/>
      </c>
      <c r="CS17" s="76" t="str">
        <f aca="false">IF(ISBLANK($C17),"",IF($BH17&lt;&gt;Constants!$B$4,"",$BK17+$BL17))</f>
        <v/>
      </c>
      <c r="CT17" s="78" t="str">
        <f aca="false">IF(ISBLANK($C17),"",IF($BH17&lt;&gt;Constants!$B$4,"",$BM17+$BN17+$BO17))</f>
        <v/>
      </c>
      <c r="CU17" s="78" t="str">
        <f aca="false">IF(ISBLANK($C17),"",IF($BH17&lt;&gt;Constants!$B$4,"",$BP17))</f>
        <v/>
      </c>
      <c r="CV17" s="78" t="str">
        <f aca="false">IF(ISBLANK($C17),"",IF($BH17&lt;&gt;Constants!$B$4,"",$BQ17+$BR17))</f>
        <v/>
      </c>
      <c r="CW17" s="78" t="str">
        <f aca="false">IF(ISBLANK($C17),"",IF($BH17&lt;&gt;Constants!$B$4,"",$BS17))</f>
        <v/>
      </c>
      <c r="CX17" s="78" t="str">
        <f aca="false">IF(ISBLANK($C17),"",IF($BH17&lt;&gt;Constants!$B$4,"",-$BZ17))</f>
        <v/>
      </c>
      <c r="CY17" s="79" t="str">
        <f aca="false">IF(ISBLANK($C17),"",$CA17)</f>
        <v/>
      </c>
      <c r="CZ17" s="80" t="str">
        <f aca="false">IF(ISBLANK($C17),"",$BI17)</f>
        <v/>
      </c>
      <c r="DA17" s="78" t="str">
        <f aca="false">IF(ISBLANK($C17),"",$CH17)</f>
        <v/>
      </c>
      <c r="DB17" s="78" t="str">
        <f aca="false">IF(ISBLANK($C17),"",$CG17)</f>
        <v/>
      </c>
      <c r="DC17" s="81" t="str">
        <f aca="false">IF(ISBLANK($C17),"",IFERROR(_xlfn.SWITCH($DB17,Constants!$B$7,COUNTA($C$9:$C$508)+2,Constants!$B$6,COUNTA($C$9:$C$508)+1,Constants!$B$5,COUNTA($C$9:$C$508)),$DB17))</f>
        <v/>
      </c>
      <c r="DD17" s="7"/>
      <c r="DE17" s="82" t="n">
        <f aca="false">IF(OR(ISNUMBER($DB17),$DB17=Constants!$B$7,$DB17=Constants!$B$5,$DB17=Constants!$B$6),1,0)</f>
        <v>0</v>
      </c>
      <c r="DF17" s="82" t="n">
        <v>9</v>
      </c>
      <c r="DG17" s="82" t="str">
        <f aca="false">IF(ISBLANK($C17),"",IF(ISNUMBER($DC17),$DC17+ROW($B17)/1000,""))</f>
        <v/>
      </c>
      <c r="DH17" s="82" t="str">
        <f aca="false">IF(ISNUMBER($DG17),RANK($DG17,$DG$9:$DG$508,1),"")</f>
        <v/>
      </c>
      <c r="DI17" s="82" t="str">
        <f aca="false">IF(ISBLANK($C17),"",$B17)</f>
        <v/>
      </c>
      <c r="DJ17" s="82" t="str">
        <f aca="false">IF(ISBLANK($C17),"",$C17)</f>
        <v/>
      </c>
      <c r="DK17" s="82" t="str">
        <f aca="false">IF(ISBLANK($C17),"",$D17)</f>
        <v/>
      </c>
      <c r="DL17" s="83" t="str">
        <f aca="false">$CZ17</f>
        <v/>
      </c>
      <c r="DM17" s="84" t="str">
        <f aca="false">$CY17</f>
        <v/>
      </c>
      <c r="DN17" s="82" t="str">
        <f aca="false">IF(ISBLANK($C17),"",$DB17)</f>
        <v/>
      </c>
      <c r="DO17" s="85" t="str">
        <f aca="false">IF($DF17&gt;$DE$8,"",VLOOKUP($DF17,$DH$9:$DN$508,7,FALSE()))</f>
        <v/>
      </c>
      <c r="DP17" s="86" t="str">
        <f aca="false">IF($DF17&gt;$DE$8,"",VLOOKUP($DF17,$DH$9:$DN$508,2,FALSE()))</f>
        <v/>
      </c>
      <c r="DQ17" s="86" t="str">
        <f aca="false">IF($DF17&gt;$DE$8,"",VLOOKUP($DF17,$DH$9:$DN$508,3,FALSE()))</f>
        <v/>
      </c>
      <c r="DR17" s="86" t="str">
        <f aca="false">IF($DF17&gt;$DE$8,"",VLOOKUP($DF17,$DH$9:$DN$508,4,FALSE()))</f>
        <v/>
      </c>
      <c r="DS17" s="86" t="str">
        <f aca="false">IF($DF17&gt;$DE$8,"",VLOOKUP($DF17,$DH$9:$DN$508,5,FALSE()))</f>
        <v/>
      </c>
      <c r="DT17" s="87" t="str">
        <f aca="false">IF($DF17&gt;$DE$8,"",VLOOKUP($DF17,$DH$9:$DN$508,6,FALSE()))</f>
        <v/>
      </c>
      <c r="DU17" s="62"/>
    </row>
    <row r="18" customFormat="false" ht="15.75" hidden="false" customHeight="false" outlineLevel="0" collapsed="false">
      <c r="A18" s="7"/>
      <c r="B18" s="90"/>
      <c r="C18" s="91"/>
      <c r="D18" s="126"/>
      <c r="E18" s="127"/>
      <c r="F18" s="128"/>
      <c r="G18" s="127"/>
      <c r="H18" s="128"/>
      <c r="I18" s="95"/>
      <c r="J18" s="95"/>
      <c r="K18" s="95"/>
      <c r="L18" s="127"/>
      <c r="M18" s="127"/>
      <c r="N18" s="127"/>
      <c r="O18" s="128"/>
      <c r="P18" s="127"/>
      <c r="Q18" s="127"/>
      <c r="R18" s="127"/>
      <c r="S18" s="127"/>
      <c r="T18" s="128"/>
      <c r="U18" s="129"/>
      <c r="V18" s="96"/>
      <c r="W18" s="127"/>
      <c r="X18" s="127"/>
      <c r="Y18" s="96"/>
      <c r="Z18" s="96"/>
      <c r="AA18" s="127"/>
      <c r="AB18" s="127"/>
      <c r="AC18" s="97"/>
      <c r="AD18" s="130"/>
      <c r="AE18" s="99"/>
      <c r="AF18" s="100"/>
      <c r="AG18" s="100"/>
      <c r="AH18" s="100" t="str">
        <f aca="false">IF(ISBLANK($C18),"",IF($E18=Constants!$B$2,TRUE(),IF($E18=Constants!$B$3,FALSE(),TRUE())))</f>
        <v/>
      </c>
      <c r="AI18" s="100" t="str">
        <f aca="false">IF(ISBLANK($C18),"",IF($F18=Constants!$B$2,TRUE(),IF($F18=Constants!$B$3,FALSE(),FALSE())))</f>
        <v/>
      </c>
      <c r="AJ18" s="100" t="str">
        <f aca="false">IF(ISBLANK($C18),"",IF($G18=Constants!$B$2,TRUE(),IF($G18=Constants!$B$3,FALSE(),TRUE())))</f>
        <v/>
      </c>
      <c r="AK18" s="100" t="str">
        <f aca="false">IF(ISBLANK($C18),"",IF($H18=Constants!$B$2,TRUE(),IF($H18=Constants!$B$3,FALSE(),TRUE())))</f>
        <v/>
      </c>
      <c r="AL18" s="100" t="str">
        <f aca="false">IF(ISBLANK($C18),"",IF(ISNUMBER($I18),IF($I18&gt;=0,$I18,""),""))</f>
        <v/>
      </c>
      <c r="AM18" s="100" t="str">
        <f aca="false">IF(ISBLANK($C18),"",IF(ISNUMBER($J18),IF($J18&gt;=0,$J18,""),""))</f>
        <v/>
      </c>
      <c r="AN18" s="100" t="str">
        <f aca="false">IF(ISBLANK($C18),"",IF(ISNUMBER($K18),IF($K18&gt;=0,$K18,""),""))</f>
        <v/>
      </c>
      <c r="AO18" s="100" t="str">
        <f aca="false">IF(ISBLANK($C18),"",IF($L18=Constants!$B$2,TRUE(),IF($L18=Constants!$B$3,FALSE(),TRUE())))</f>
        <v/>
      </c>
      <c r="AP18" s="100" t="str">
        <f aca="false">IF(ISBLANK($C18),"",IF($M18=Constants!$B$2,TRUE(),IF($M18=Constants!$B$3,FALSE(),TRUE())))</f>
        <v/>
      </c>
      <c r="AQ18" s="100" t="str">
        <f aca="false">IF(ISBLANK($C18),"",IF($N18=Constants!$B$2,TRUE(),IF($N18=Constants!$B$3,FALSE(),FALSE())))</f>
        <v/>
      </c>
      <c r="AR18" s="100" t="str">
        <f aca="false">IF(ISBLANK($C18),"",IF($O18=Constants!$B$2,TRUE(),IF($O18=Constants!$B$3,FALSE(),TRUE())))</f>
        <v/>
      </c>
      <c r="AS18" s="100" t="str">
        <f aca="false">IF(ISBLANK($C18),"",IF($P18=Constants!$B$2,TRUE(),IF($P18=Constants!$B$3,FALSE(),FALSE())))</f>
        <v/>
      </c>
      <c r="AT18" s="100" t="str">
        <f aca="false">IF(ISBLANK($C18),"",IF($Q18=Constants!$B$2,TRUE(),IF($Q18=Constants!$B$3,FALSE(),FALSE())))</f>
        <v/>
      </c>
      <c r="AU18" s="100" t="str">
        <f aca="false">IF(ISBLANK($C18),"",IF($R18=Constants!$B$2,TRUE(),IF($R18=Constants!$B$3,FALSE(),FALSE())))</f>
        <v/>
      </c>
      <c r="AV18" s="100" t="str">
        <f aca="false">IF(ISBLANK($C18),"",IF($S18=Constants!$B$2,TRUE(),IF($S18=Constants!$B$3,FALSE(),FALSE())))</f>
        <v/>
      </c>
      <c r="AW18" s="100" t="str">
        <f aca="false">IF(ISBLANK($C18),"",IF($T18=Constants!$B$2,TRUE(),IF($T18=Constants!$B$3,FALSE(),FALSE())))</f>
        <v/>
      </c>
      <c r="AX18" s="100" t="str">
        <f aca="false">IF(ISBLANK($C18),"",IF(OR($U18&amp;""="1",$U18&amp;""="2",$U18&amp;""="3",$U18&amp;""="4"),VALUE($U18&amp;""),IF($U18=Constants!$B$12,Constants!$B$12,"")))</f>
        <v/>
      </c>
      <c r="AY18" s="100" t="str">
        <f aca="false">IF(ISBLANK($C18),"",IF(ISBLANK($V18),0,IF(ISNUMBER($V18),IF(AND($V18&gt;=0,$V18&lt;=Constants!$B$21,$V18=INT($V18)),$V18,""),"")))</f>
        <v/>
      </c>
      <c r="AZ18" s="100" t="str">
        <f aca="false">IF(ISBLANK($C18),"",IF(ISBLANK($W18),0,IF(ISNUMBER($W18),IF($W18&gt;=0,$W18,""),"")))</f>
        <v/>
      </c>
      <c r="BA18" s="100" t="str">
        <f aca="false">IF(ISBLANK($C18),"",IF($X18=Constants!$B$2,TRUE(),IF($X18=Constants!$B$3,FALSE(),TRUE())))</f>
        <v/>
      </c>
      <c r="BB18" s="100" t="str">
        <f aca="false">IF(ISBLANK($C18),"",IF($Y18=Constants!$B$2,TRUE(),IF($Y18=Constants!$B$3,FALSE(),FALSE())))</f>
        <v/>
      </c>
      <c r="BC18" s="100" t="str">
        <f aca="false">IF(ISBLANK($C18),"",IF(ISBLANK($Z18),0,IF(ISNUMBER($Z18),IF(AND($Z18&gt;=0,$Z18&lt;=Constants!$B$35,$Z18=INT($Z18)),$Z18,""),"")))</f>
        <v/>
      </c>
      <c r="BD18" s="100" t="str">
        <f aca="false">IF(ISBLANK($C18),"",IF($AA18=Constants!$B$2,TRUE(),IF($AA18=Constants!$B$3,FALSE(),TRUE())))</f>
        <v/>
      </c>
      <c r="BE18" s="100" t="str">
        <f aca="false">IF(ISBLANK($C18),"",IF($AB18=Constants!$B$2,TRUE(),IF($AB18=Constants!$B$3,FALSE(),TRUE())))</f>
        <v/>
      </c>
      <c r="BF18" s="100" t="str">
        <f aca="false">IF(ISBLANK($C18),"",IF(ISNUMBER($AC18),IF($AC18&gt;=0,$AC18,""),""))</f>
        <v/>
      </c>
      <c r="BG18" s="100" t="str">
        <f aca="false">IF(ISBLANK($C18),"",IF($AD18=Constants!$B$2,TRUE(),IF($AD18=Constants!$B$3,FALSE(),FALSE())))</f>
        <v/>
      </c>
      <c r="BH18" s="99" t="str">
        <f aca="false">IF(ISBLANK($C18),"",IF($BG18,Constants!$B$7,IF(COUNTA($E18:$AC18)=0,Constants!$B$6,IF(OR(COUNTA($G18:$AC18)=0,NOT($AK18),$AQ18),Constants!$B$5,IF(OR($CI18&lt;&gt;"",$CJ18,$CK18,$CL18,$CM18,$CN18,$CO18),Constants!$B$8,Constants!$B$4)))))</f>
        <v/>
      </c>
      <c r="BI18" s="100" t="str">
        <f aca="false">IF(ISBLANK($C18),"",IF($BH18&lt;&gt;Constants!$B$4,$BH18,IF(OR(NOT($AH18),NOT($AJ18),NOT($AR18)),Constants!$B$11,IF(OR(NOT($AP18),MAX($AL18,$AM18,$AN18)&gt;Constants!$B$30),Constants!$B$10,Constants!$B$9))))</f>
        <v/>
      </c>
      <c r="BJ18" s="100" t="str">
        <f aca="false">IF($BH18&lt;&gt;Constants!$B$4,"",IF(NOT($AJ18),0,MIN(Constants!$B$35,$BC18)))</f>
        <v/>
      </c>
      <c r="BK18" s="100" t="str">
        <f aca="false">IF($BH18&lt;&gt;Constants!$B$4,"",IF(NOT($AJ18),0,IF($AT18,Constants!$B$18,IF($AS18,Constants!$B$17,0))))</f>
        <v/>
      </c>
      <c r="BL18" s="100" t="str">
        <f aca="false">IF($BH18&lt;&gt;Constants!$B$4,"",IF(NOT($AJ18),0,Constants!$B$19*($AI18+$AU18+$AV18+$AW18)))</f>
        <v/>
      </c>
      <c r="BM18" s="100" t="str">
        <f aca="false">IF($BH18&lt;&gt;Constants!$B$4,"",IF(OR(NOT($AJ18),NOT(ISNUMBER($AX18))),0,CHOOSE($AX18,Constants!$B$13,Constants!$B$14,Constants!$B$15,Constants!$B$16)))</f>
        <v/>
      </c>
      <c r="BN18" s="100" t="str">
        <f aca="false">IF($BH18&lt;&gt;Constants!$B$4,"",IF(NOT($AJ18),0,Constants!$B$20*$AY18))</f>
        <v/>
      </c>
      <c r="BO18" s="100" t="str">
        <f aca="false">IF($BH18&lt;&gt;Constants!$B$4,"",IF(AND($AJ18,$BA18,$BB18),Constants!$B$22,0))</f>
        <v/>
      </c>
      <c r="BP18" s="100" t="str">
        <f aca="false">IF($BH18&lt;&gt;Constants!$B$4,"",IF(OR(NOT($AJ18),NOT($BA18)),0,IF($BF18&gt;=2*$AF$9,0,Constants!$B$23*INT(ROUND(MIN($BF18,$AF$9),6)))))</f>
        <v/>
      </c>
      <c r="BQ18" s="100" t="str">
        <f aca="false">IF($BH18&lt;&gt;Constants!$B$4,"",IF(NOT($AJ18),0,Constants!$B$24*INT(ROUND(MIN($AZ18,$AF$9),6))))</f>
        <v/>
      </c>
      <c r="BR18" s="100" t="str">
        <f aca="false">IF($BH18&lt;&gt;Constants!$B$4,"",IF(AND($AJ18,$BJ18=0),Constants!$B$25,0))</f>
        <v/>
      </c>
      <c r="BS18" s="100" t="str">
        <f aca="false">IF($BH18&lt;&gt;Constants!$B$4,"",MIN(Constants!$B$29,MAX(0,Constants!$B$27*Constants!$B$28*INT(ROUND((Constants!$B$26-$AL18)/Constants!$B$28,6))))+MIN(Constants!$B$29,MAX(0,Constants!$B$27*Constants!$B$28*INT(ROUND((Constants!$B$26-$AM18)/Constants!$B$28,6))))+MIN(Constants!$B$29,MAX(0,Constants!$B$27*Constants!$B$28*INT(ROUND((Constants!$B$26-$AN18)/Constants!$B$28,6)))))</f>
        <v/>
      </c>
      <c r="BT18" s="100" t="str">
        <f aca="false">IF($BH18&lt;&gt;Constants!$B$4,"",IF(NOT($AJ18),0,Constants!$B$31*INT(ROUND(MAX(0,MIN($BF18,2*$AF$9)-$AF$9),6))))</f>
        <v/>
      </c>
      <c r="BU18" s="100" t="str">
        <f aca="false">IF($BH18&lt;&gt;Constants!$B$4,"",Constants!$B$32*(($AL18&gt;Constants!$B$26)+($AM18&gt;Constants!$B$26)+($AN18&gt;Constants!$B$26)))</f>
        <v/>
      </c>
      <c r="BV18" s="100" t="str">
        <f aca="false">IF($BH18&lt;&gt;Constants!$B$4,"",IF(OR(NOT($AJ18),$AO18),0,Constants!$B$33))</f>
        <v/>
      </c>
      <c r="BW18" s="100" t="str">
        <f aca="false">IF($BH18&lt;&gt;Constants!$B$4,"",Constants!$B$34*$BJ18)</f>
        <v/>
      </c>
      <c r="BX18" s="100" t="str">
        <f aca="false">IF($BH18&lt;&gt;Constants!$B$4,"",IF(OR(NOT($AJ18),$BE18),0,Constants!$B$36))</f>
        <v/>
      </c>
      <c r="BY18" s="100" t="str">
        <f aca="false">IF($BH18&lt;&gt;Constants!$B$4,"",IF(OR(NOT($AJ18),$BD18),0,Constants!$B$37))</f>
        <v/>
      </c>
      <c r="BZ18" s="100" t="str">
        <f aca="false">IF($BH18&lt;&gt;Constants!$B$4,"",SUM($BT18:$BY18))</f>
        <v/>
      </c>
      <c r="CA18" s="100" t="str">
        <f aca="false">IF(ISBLANK($C18),"",IF($BH18&lt;&gt;Constants!$B$4,$BH18,SUM($BK18:$BS18)-$BZ18))</f>
        <v/>
      </c>
      <c r="CB18" s="100" t="str">
        <f aca="false">IF(ISBLANK($C18),"",IF($BH18&lt;&gt;Constants!$B$4,$BH18,RANK($CA18,$CA$9:$CA$508)))</f>
        <v/>
      </c>
      <c r="CC18" s="100" t="str">
        <f aca="false">IF(ISBLANK($C18),"",IF($BH18&lt;&gt;Constants!$B$4,$BH18,COUNTIFS($BI$9:$BI$508,"&lt;"&amp;$BI18)+COUNTIFS($BI$9:$BI$508,$BI18,$CB$9:$CB$508,"&lt;"&amp;$CB18)+1))</f>
        <v/>
      </c>
      <c r="CD18" s="100" t="str">
        <f aca="false">IF(ISBLANK($C18),"",IF($BH18&lt;&gt;Constants!$B$4,$BH18,RANK($BZ18,$BZ$9:$BZ$508,1)))</f>
        <v/>
      </c>
      <c r="CE18" s="100" t="str">
        <f aca="false">IF($BH18&lt;&gt;Constants!$B$4,"",$AL18+$AM18+$AN18)</f>
        <v/>
      </c>
      <c r="CF18" s="100" t="str">
        <f aca="false">IF(ISBLANK($C18),"",IF($BH18&lt;&gt;Constants!$B$4,$BH18,RANK($CE18,$CE$9:$CE$508,1)))</f>
        <v/>
      </c>
      <c r="CG18" s="100" t="str">
        <f aca="false">IF(ISBLANK($C18),"",IF($BH18&lt;&gt;Constants!$B$4,$BH18,COUNTIFS($BI$9:$BI$508,"&lt;"&amp;$BI18)+COUNTIFS($BI$9:$BI$508,$BI18,$CB$9:$CB$508,"&lt;"&amp;$CB18)+COUNTIFS($BI$9:$BI$508,$BI18,$CB$9:$CB$508,$CB18,$CD$9:$CD$508,"&lt;"&amp;$CD18)+COUNTIFS($BI$9:$BI$508,$BI18,$CB$9:$CB$508,$CB18,$CD$9:$CD$508,$CD18,$CF$9:$CF$508,"&lt;"&amp;$CF18)+1))</f>
        <v/>
      </c>
      <c r="CH18" s="100" t="str">
        <f aca="false">IF(ISBLANK($C18),"",IF($BH18&lt;&gt;Constants!$B$4,$BH18,$CC18-$CG18))</f>
        <v/>
      </c>
      <c r="CI18" s="100" t="str">
        <f aca="false">IF(ISBLANK($C18),"",IF(NOT($AJ18),"",IF(ISBLANK($D$7),$CI$5,IF(NOT(ISNUMBER($D$7)),$CI$6,""))))</f>
        <v/>
      </c>
      <c r="CJ18" s="100" t="str">
        <f aca="false">IF(ISBLANK($C18),"",OR($AL18="",$AM18="",$AN18=""))</f>
        <v/>
      </c>
      <c r="CK18" s="100" t="str">
        <f aca="false">IF(ISBLANK($C18),"",AND($AJ18,$AX18=""))</f>
        <v/>
      </c>
      <c r="CL18" s="100" t="str">
        <f aca="false">IF(ISBLANK($C18),"",AND($AJ18,$AY18=""))</f>
        <v/>
      </c>
      <c r="CM18" s="100" t="str">
        <f aca="false">IF(ISBLANK($C18),"",AND($AJ18,$AZ18=""))</f>
        <v/>
      </c>
      <c r="CN18" s="100" t="str">
        <f aca="false">IF(ISBLANK($C18),"",AND($AJ18,$BC18=""))</f>
        <v/>
      </c>
      <c r="CO18" s="100" t="str">
        <f aca="false">IF(ISBLANK($C18),"",AND($AJ18,$BF18=""))</f>
        <v/>
      </c>
      <c r="CP18" s="101"/>
      <c r="CQ18" s="102"/>
      <c r="CR18" s="103" t="str">
        <f aca="false">IF(ISBLANK($C18),"",IF($BH18=Constants!$B$8,$CI18,""))</f>
        <v/>
      </c>
      <c r="CS18" s="102" t="str">
        <f aca="false">IF(ISBLANK($C18),"",IF($BH18&lt;&gt;Constants!$B$4,"",$BK18+$BL18))</f>
        <v/>
      </c>
      <c r="CT18" s="104" t="str">
        <f aca="false">IF(ISBLANK($C18),"",IF($BH18&lt;&gt;Constants!$B$4,"",$BM18+$BN18+$BO18))</f>
        <v/>
      </c>
      <c r="CU18" s="104" t="str">
        <f aca="false">IF(ISBLANK($C18),"",IF($BH18&lt;&gt;Constants!$B$4,"",$BP18))</f>
        <v/>
      </c>
      <c r="CV18" s="104" t="str">
        <f aca="false">IF(ISBLANK($C18),"",IF($BH18&lt;&gt;Constants!$B$4,"",$BQ18+$BR18))</f>
        <v/>
      </c>
      <c r="CW18" s="104" t="str">
        <f aca="false">IF(ISBLANK($C18),"",IF($BH18&lt;&gt;Constants!$B$4,"",$BS18))</f>
        <v/>
      </c>
      <c r="CX18" s="104" t="str">
        <f aca="false">IF(ISBLANK($C18),"",IF($BH18&lt;&gt;Constants!$B$4,"",-$BZ18))</f>
        <v/>
      </c>
      <c r="CY18" s="103" t="str">
        <f aca="false">IF(ISBLANK($C18),"",$CA18)</f>
        <v/>
      </c>
      <c r="CZ18" s="105" t="str">
        <f aca="false">IF(ISBLANK($C18),"",$BI18)</f>
        <v/>
      </c>
      <c r="DA18" s="104" t="str">
        <f aca="false">IF(ISBLANK($C18),"",$CH18)</f>
        <v/>
      </c>
      <c r="DB18" s="104" t="str">
        <f aca="false">IF(ISBLANK($C18),"",$CG18)</f>
        <v/>
      </c>
      <c r="DC18" s="106" t="str">
        <f aca="false">IF(ISBLANK($C18),"",IFERROR(_xlfn.SWITCH($DB18,Constants!$B$7,COUNTA($C$9:$C$508)+2,Constants!$B$6,COUNTA($C$9:$C$508)+1,Constants!$B$5,COUNTA($C$9:$C$508)),$DB18))</f>
        <v/>
      </c>
      <c r="DD18" s="7"/>
      <c r="DE18" s="107" t="n">
        <f aca="false">IF(OR(ISNUMBER($DB18),$DB18=Constants!$B$7,$DB18=Constants!$B$5,$DB18=Constants!$B$6),1,0)</f>
        <v>0</v>
      </c>
      <c r="DF18" s="107" t="n">
        <v>10</v>
      </c>
      <c r="DG18" s="107" t="str">
        <f aca="false">IF(ISBLANK($C18),"",IF(ISNUMBER($DC18),$DC18+ROW($B18)/1000,""))</f>
        <v/>
      </c>
      <c r="DH18" s="107" t="str">
        <f aca="false">IF(ISNUMBER($DG18),RANK($DG18,$DG$9:$DG$508,1),"")</f>
        <v/>
      </c>
      <c r="DI18" s="107" t="str">
        <f aca="false">IF(ISBLANK($C18),"",$B18)</f>
        <v/>
      </c>
      <c r="DJ18" s="107" t="str">
        <f aca="false">IF(ISBLANK($C18),"",$C18)</f>
        <v/>
      </c>
      <c r="DK18" s="107" t="str">
        <f aca="false">IF(ISBLANK($C18),"",$D18)</f>
        <v/>
      </c>
      <c r="DL18" s="108" t="str">
        <f aca="false">$CZ18</f>
        <v/>
      </c>
      <c r="DM18" s="109" t="str">
        <f aca="false">$CY18</f>
        <v/>
      </c>
      <c r="DN18" s="107" t="str">
        <f aca="false">IF(ISBLANK($C18),"",$DB18)</f>
        <v/>
      </c>
      <c r="DO18" s="110" t="str">
        <f aca="false">IF($DF18&gt;$DE$8,"",VLOOKUP($DF18,$DH$9:$DN$508,7,FALSE()))</f>
        <v/>
      </c>
      <c r="DP18" s="111" t="str">
        <f aca="false">IF($DF18&gt;$DE$8,"",VLOOKUP($DF18,$DH$9:$DN$508,2,FALSE()))</f>
        <v/>
      </c>
      <c r="DQ18" s="111" t="str">
        <f aca="false">IF($DF18&gt;$DE$8,"",VLOOKUP($DF18,$DH$9:$DN$508,3,FALSE()))</f>
        <v/>
      </c>
      <c r="DR18" s="111" t="str">
        <f aca="false">IF($DF18&gt;$DE$8,"",VLOOKUP($DF18,$DH$9:$DN$508,4,FALSE()))</f>
        <v/>
      </c>
      <c r="DS18" s="111" t="str">
        <f aca="false">IF($DF18&gt;$DE$8,"",VLOOKUP($DF18,$DH$9:$DN$508,5,FALSE()))</f>
        <v/>
      </c>
      <c r="DT18" s="112" t="str">
        <f aca="false">IF($DF18&gt;$DE$8,"",VLOOKUP($DF18,$DH$9:$DN$508,6,FALSE()))</f>
        <v/>
      </c>
      <c r="DU18" s="62"/>
    </row>
    <row r="19" customFormat="false" ht="15.75" hidden="false" customHeight="false" outlineLevel="0" collapsed="false">
      <c r="A19" s="7"/>
      <c r="B19" s="90"/>
      <c r="C19" s="91"/>
      <c r="D19" s="126"/>
      <c r="E19" s="127"/>
      <c r="F19" s="128"/>
      <c r="G19" s="127"/>
      <c r="H19" s="128"/>
      <c r="I19" s="95"/>
      <c r="J19" s="95"/>
      <c r="K19" s="95"/>
      <c r="L19" s="127"/>
      <c r="M19" s="127"/>
      <c r="N19" s="127"/>
      <c r="O19" s="128"/>
      <c r="P19" s="127"/>
      <c r="Q19" s="127"/>
      <c r="R19" s="127"/>
      <c r="S19" s="127"/>
      <c r="T19" s="128"/>
      <c r="U19" s="127"/>
      <c r="V19" s="96"/>
      <c r="W19" s="127"/>
      <c r="X19" s="127"/>
      <c r="Y19" s="96"/>
      <c r="Z19" s="96"/>
      <c r="AA19" s="127"/>
      <c r="AB19" s="127"/>
      <c r="AC19" s="97"/>
      <c r="AD19" s="130"/>
      <c r="AE19" s="99"/>
      <c r="AF19" s="100"/>
      <c r="AG19" s="100"/>
      <c r="AH19" s="100" t="str">
        <f aca="false">IF(ISBLANK($C19),"",IF($E19=Constants!$B$2,TRUE(),IF($E19=Constants!$B$3,FALSE(),TRUE())))</f>
        <v/>
      </c>
      <c r="AI19" s="100" t="str">
        <f aca="false">IF(ISBLANK($C19),"",IF($F19=Constants!$B$2,TRUE(),IF($F19=Constants!$B$3,FALSE(),FALSE())))</f>
        <v/>
      </c>
      <c r="AJ19" s="100" t="str">
        <f aca="false">IF(ISBLANK($C19),"",IF($G19=Constants!$B$2,TRUE(),IF($G19=Constants!$B$3,FALSE(),TRUE())))</f>
        <v/>
      </c>
      <c r="AK19" s="100" t="str">
        <f aca="false">IF(ISBLANK($C19),"",IF($H19=Constants!$B$2,TRUE(),IF($H19=Constants!$B$3,FALSE(),TRUE())))</f>
        <v/>
      </c>
      <c r="AL19" s="100" t="str">
        <f aca="false">IF(ISBLANK($C19),"",IF(ISNUMBER($I19),IF($I19&gt;=0,$I19,""),""))</f>
        <v/>
      </c>
      <c r="AM19" s="100" t="str">
        <f aca="false">IF(ISBLANK($C19),"",IF(ISNUMBER($J19),IF($J19&gt;=0,$J19,""),""))</f>
        <v/>
      </c>
      <c r="AN19" s="100" t="str">
        <f aca="false">IF(ISBLANK($C19),"",IF(ISNUMBER($K19),IF($K19&gt;=0,$K19,""),""))</f>
        <v/>
      </c>
      <c r="AO19" s="100" t="str">
        <f aca="false">IF(ISBLANK($C19),"",IF($L19=Constants!$B$2,TRUE(),IF($L19=Constants!$B$3,FALSE(),TRUE())))</f>
        <v/>
      </c>
      <c r="AP19" s="100" t="str">
        <f aca="false">IF(ISBLANK($C19),"",IF($M19=Constants!$B$2,TRUE(),IF($M19=Constants!$B$3,FALSE(),TRUE())))</f>
        <v/>
      </c>
      <c r="AQ19" s="100" t="str">
        <f aca="false">IF(ISBLANK($C19),"",IF($N19=Constants!$B$2,TRUE(),IF($N19=Constants!$B$3,FALSE(),FALSE())))</f>
        <v/>
      </c>
      <c r="AR19" s="100" t="str">
        <f aca="false">IF(ISBLANK($C19),"",IF($O19=Constants!$B$2,TRUE(),IF($O19=Constants!$B$3,FALSE(),TRUE())))</f>
        <v/>
      </c>
      <c r="AS19" s="100" t="str">
        <f aca="false">IF(ISBLANK($C19),"",IF($P19=Constants!$B$2,TRUE(),IF($P19=Constants!$B$3,FALSE(),FALSE())))</f>
        <v/>
      </c>
      <c r="AT19" s="100" t="str">
        <f aca="false">IF(ISBLANK($C19),"",IF($Q19=Constants!$B$2,TRUE(),IF($Q19=Constants!$B$3,FALSE(),FALSE())))</f>
        <v/>
      </c>
      <c r="AU19" s="100" t="str">
        <f aca="false">IF(ISBLANK($C19),"",IF($R19=Constants!$B$2,TRUE(),IF($R19=Constants!$B$3,FALSE(),FALSE())))</f>
        <v/>
      </c>
      <c r="AV19" s="100" t="str">
        <f aca="false">IF(ISBLANK($C19),"",IF($S19=Constants!$B$2,TRUE(),IF($S19=Constants!$B$3,FALSE(),FALSE())))</f>
        <v/>
      </c>
      <c r="AW19" s="100" t="str">
        <f aca="false">IF(ISBLANK($C19),"",IF($T19=Constants!$B$2,TRUE(),IF($T19=Constants!$B$3,FALSE(),FALSE())))</f>
        <v/>
      </c>
      <c r="AX19" s="100" t="str">
        <f aca="false">IF(ISBLANK($C19),"",IF(OR($U19&amp;""="1",$U19&amp;""="2",$U19&amp;""="3",$U19&amp;""="4"),VALUE($U19&amp;""),IF($U19=Constants!$B$12,Constants!$B$12,"")))</f>
        <v/>
      </c>
      <c r="AY19" s="100" t="str">
        <f aca="false">IF(ISBLANK($C19),"",IF(ISBLANK($V19),0,IF(ISNUMBER($V19),IF(AND($V19&gt;=0,$V19&lt;=Constants!$B$21,$V19=INT($V19)),$V19,""),"")))</f>
        <v/>
      </c>
      <c r="AZ19" s="100" t="str">
        <f aca="false">IF(ISBLANK($C19),"",IF(ISBLANK($W19),0,IF(ISNUMBER($W19),IF($W19&gt;=0,$W19,""),"")))</f>
        <v/>
      </c>
      <c r="BA19" s="100" t="str">
        <f aca="false">IF(ISBLANK($C19),"",IF($X19=Constants!$B$2,TRUE(),IF($X19=Constants!$B$3,FALSE(),TRUE())))</f>
        <v/>
      </c>
      <c r="BB19" s="100" t="str">
        <f aca="false">IF(ISBLANK($C19),"",IF($Y19=Constants!$B$2,TRUE(),IF($Y19=Constants!$B$3,FALSE(),FALSE())))</f>
        <v/>
      </c>
      <c r="BC19" s="100" t="str">
        <f aca="false">IF(ISBLANK($C19),"",IF(ISBLANK($Z19),0,IF(ISNUMBER($Z19),IF(AND($Z19&gt;=0,$Z19&lt;=Constants!$B$35,$Z19=INT($Z19)),$Z19,""),"")))</f>
        <v/>
      </c>
      <c r="BD19" s="100" t="str">
        <f aca="false">IF(ISBLANK($C19),"",IF($AA19=Constants!$B$2,TRUE(),IF($AA19=Constants!$B$3,FALSE(),TRUE())))</f>
        <v/>
      </c>
      <c r="BE19" s="100" t="str">
        <f aca="false">IF(ISBLANK($C19),"",IF($AB19=Constants!$B$2,TRUE(),IF($AB19=Constants!$B$3,FALSE(),TRUE())))</f>
        <v/>
      </c>
      <c r="BF19" s="100" t="str">
        <f aca="false">IF(ISBLANK($C19),"",IF(ISNUMBER($AC19),IF($AC19&gt;=0,$AC19,""),""))</f>
        <v/>
      </c>
      <c r="BG19" s="100" t="str">
        <f aca="false">IF(ISBLANK($C19),"",IF($AD19=Constants!$B$2,TRUE(),IF($AD19=Constants!$B$3,FALSE(),FALSE())))</f>
        <v/>
      </c>
      <c r="BH19" s="99" t="str">
        <f aca="false">IF(ISBLANK($C19),"",IF($BG19,Constants!$B$7,IF(COUNTA($E19:$AC19)=0,Constants!$B$6,IF(OR(COUNTA($G19:$AC19)=0,NOT($AK19),$AQ19),Constants!$B$5,IF(OR($CI19&lt;&gt;"",$CJ19,$CK19,$CL19,$CM19,$CN19,$CO19),Constants!$B$8,Constants!$B$4)))))</f>
        <v/>
      </c>
      <c r="BI19" s="100" t="str">
        <f aca="false">IF(ISBLANK($C19),"",IF($BH19&lt;&gt;Constants!$B$4,$BH19,IF(OR(NOT($AH19),NOT($AJ19),NOT($AR19)),Constants!$B$11,IF(OR(NOT($AP19),MAX($AL19,$AM19,$AN19)&gt;Constants!$B$30),Constants!$B$10,Constants!$B$9))))</f>
        <v/>
      </c>
      <c r="BJ19" s="100" t="str">
        <f aca="false">IF($BH19&lt;&gt;Constants!$B$4,"",IF(NOT($AJ19),0,MIN(Constants!$B$35,$BC19)))</f>
        <v/>
      </c>
      <c r="BK19" s="100" t="str">
        <f aca="false">IF($BH19&lt;&gt;Constants!$B$4,"",IF(NOT($AJ19),0,IF($AT19,Constants!$B$18,IF($AS19,Constants!$B$17,0))))</f>
        <v/>
      </c>
      <c r="BL19" s="100" t="str">
        <f aca="false">IF($BH19&lt;&gt;Constants!$B$4,"",IF(NOT($AJ19),0,Constants!$B$19*($AI19+$AU19+$AV19+$AW19)))</f>
        <v/>
      </c>
      <c r="BM19" s="100" t="str">
        <f aca="false">IF($BH19&lt;&gt;Constants!$B$4,"",IF(OR(NOT($AJ19),NOT(ISNUMBER($AX19))),0,CHOOSE($AX19,Constants!$B$13,Constants!$B$14,Constants!$B$15,Constants!$B$16)))</f>
        <v/>
      </c>
      <c r="BN19" s="100" t="str">
        <f aca="false">IF($BH19&lt;&gt;Constants!$B$4,"",IF(NOT($AJ19),0,Constants!$B$20*$AY19))</f>
        <v/>
      </c>
      <c r="BO19" s="100" t="str">
        <f aca="false">IF($BH19&lt;&gt;Constants!$B$4,"",IF(AND($AJ19,$BA19,$BB19),Constants!$B$22,0))</f>
        <v/>
      </c>
      <c r="BP19" s="100" t="str">
        <f aca="false">IF($BH19&lt;&gt;Constants!$B$4,"",IF(OR(NOT($AJ19),NOT($BA19)),0,IF($BF19&gt;=2*$AF$9,0,Constants!$B$23*INT(ROUND(MIN($BF19,$AF$9),6)))))</f>
        <v/>
      </c>
      <c r="BQ19" s="100" t="str">
        <f aca="false">IF($BH19&lt;&gt;Constants!$B$4,"",IF(NOT($AJ19),0,Constants!$B$24*INT(ROUND(MIN($AZ19,$AF$9),6))))</f>
        <v/>
      </c>
      <c r="BR19" s="100" t="str">
        <f aca="false">IF($BH19&lt;&gt;Constants!$B$4,"",IF(AND($AJ19,$BJ19=0),Constants!$B$25,0))</f>
        <v/>
      </c>
      <c r="BS19" s="100" t="str">
        <f aca="false">IF($BH19&lt;&gt;Constants!$B$4,"",MIN(Constants!$B$29,MAX(0,Constants!$B$27*Constants!$B$28*INT(ROUND((Constants!$B$26-$AL19)/Constants!$B$28,6))))+MIN(Constants!$B$29,MAX(0,Constants!$B$27*Constants!$B$28*INT(ROUND((Constants!$B$26-$AM19)/Constants!$B$28,6))))+MIN(Constants!$B$29,MAX(0,Constants!$B$27*Constants!$B$28*INT(ROUND((Constants!$B$26-$AN19)/Constants!$B$28,6)))))</f>
        <v/>
      </c>
      <c r="BT19" s="100" t="str">
        <f aca="false">IF($BH19&lt;&gt;Constants!$B$4,"",IF(NOT($AJ19),0,Constants!$B$31*INT(ROUND(MAX(0,MIN($BF19,2*$AF$9)-$AF$9),6))))</f>
        <v/>
      </c>
      <c r="BU19" s="100" t="str">
        <f aca="false">IF($BH19&lt;&gt;Constants!$B$4,"",Constants!$B$32*(($AL19&gt;Constants!$B$26)+($AM19&gt;Constants!$B$26)+($AN19&gt;Constants!$B$26)))</f>
        <v/>
      </c>
      <c r="BV19" s="100" t="str">
        <f aca="false">IF($BH19&lt;&gt;Constants!$B$4,"",IF(OR(NOT($AJ19),$AO19),0,Constants!$B$33))</f>
        <v/>
      </c>
      <c r="BW19" s="100" t="str">
        <f aca="false">IF($BH19&lt;&gt;Constants!$B$4,"",Constants!$B$34*$BJ19)</f>
        <v/>
      </c>
      <c r="BX19" s="100" t="str">
        <f aca="false">IF($BH19&lt;&gt;Constants!$B$4,"",IF(OR(NOT($AJ19),$BE19),0,Constants!$B$36))</f>
        <v/>
      </c>
      <c r="BY19" s="100" t="str">
        <f aca="false">IF($BH19&lt;&gt;Constants!$B$4,"",IF(OR(NOT($AJ19),$BD19),0,Constants!$B$37))</f>
        <v/>
      </c>
      <c r="BZ19" s="100" t="str">
        <f aca="false">IF($BH19&lt;&gt;Constants!$B$4,"",SUM($BT19:$BY19))</f>
        <v/>
      </c>
      <c r="CA19" s="100" t="str">
        <f aca="false">IF(ISBLANK($C19),"",IF($BH19&lt;&gt;Constants!$B$4,$BH19,SUM($BK19:$BS19)-$BZ19))</f>
        <v/>
      </c>
      <c r="CB19" s="100" t="str">
        <f aca="false">IF(ISBLANK($C19),"",IF($BH19&lt;&gt;Constants!$B$4,$BH19,RANK($CA19,$CA$9:$CA$508)))</f>
        <v/>
      </c>
      <c r="CC19" s="100" t="str">
        <f aca="false">IF(ISBLANK($C19),"",IF($BH19&lt;&gt;Constants!$B$4,$BH19,COUNTIFS($BI$9:$BI$508,"&lt;"&amp;$BI19)+COUNTIFS($BI$9:$BI$508,$BI19,$CB$9:$CB$508,"&lt;"&amp;$CB19)+1))</f>
        <v/>
      </c>
      <c r="CD19" s="100" t="str">
        <f aca="false">IF(ISBLANK($C19),"",IF($BH19&lt;&gt;Constants!$B$4,$BH19,RANK($BZ19,$BZ$9:$BZ$508,1)))</f>
        <v/>
      </c>
      <c r="CE19" s="100" t="str">
        <f aca="false">IF($BH19&lt;&gt;Constants!$B$4,"",$AL19+$AM19+$AN19)</f>
        <v/>
      </c>
      <c r="CF19" s="100" t="str">
        <f aca="false">IF(ISBLANK($C19),"",IF($BH19&lt;&gt;Constants!$B$4,$BH19,RANK($CE19,$CE$9:$CE$508,1)))</f>
        <v/>
      </c>
      <c r="CG19" s="100" t="str">
        <f aca="false">IF(ISBLANK($C19),"",IF($BH19&lt;&gt;Constants!$B$4,$BH19,COUNTIFS($BI$9:$BI$508,"&lt;"&amp;$BI19)+COUNTIFS($BI$9:$BI$508,$BI19,$CB$9:$CB$508,"&lt;"&amp;$CB19)+COUNTIFS($BI$9:$BI$508,$BI19,$CB$9:$CB$508,$CB19,$CD$9:$CD$508,"&lt;"&amp;$CD19)+COUNTIFS($BI$9:$BI$508,$BI19,$CB$9:$CB$508,$CB19,$CD$9:$CD$508,$CD19,$CF$9:$CF$508,"&lt;"&amp;$CF19)+1))</f>
        <v/>
      </c>
      <c r="CH19" s="100" t="str">
        <f aca="false">IF(ISBLANK($C19),"",IF($BH19&lt;&gt;Constants!$B$4,$BH19,$CC19-$CG19))</f>
        <v/>
      </c>
      <c r="CI19" s="100" t="str">
        <f aca="false">IF(ISBLANK($C19),"",IF(NOT($AJ19),"",IF(ISBLANK($D$7),$CI$5,IF(NOT(ISNUMBER($D$7)),$CI$6,""))))</f>
        <v/>
      </c>
      <c r="CJ19" s="100" t="str">
        <f aca="false">IF(ISBLANK($C19),"",OR($AL19="",$AM19="",$AN19=""))</f>
        <v/>
      </c>
      <c r="CK19" s="100" t="str">
        <f aca="false">IF(ISBLANK($C19),"",AND($AJ19,$AX19=""))</f>
        <v/>
      </c>
      <c r="CL19" s="100" t="str">
        <f aca="false">IF(ISBLANK($C19),"",AND($AJ19,$AY19=""))</f>
        <v/>
      </c>
      <c r="CM19" s="100" t="str">
        <f aca="false">IF(ISBLANK($C19),"",AND($AJ19,$AZ19=""))</f>
        <v/>
      </c>
      <c r="CN19" s="100" t="str">
        <f aca="false">IF(ISBLANK($C19),"",AND($AJ19,$BC19=""))</f>
        <v/>
      </c>
      <c r="CO19" s="100" t="str">
        <f aca="false">IF(ISBLANK($C19),"",AND($AJ19,$BF19=""))</f>
        <v/>
      </c>
      <c r="CP19" s="101"/>
      <c r="CQ19" s="102"/>
      <c r="CR19" s="103" t="str">
        <f aca="false">IF(ISBLANK($C19),"",IF($BH19=Constants!$B$8,$CI19,""))</f>
        <v/>
      </c>
      <c r="CS19" s="102" t="str">
        <f aca="false">IF(ISBLANK($C19),"",IF($BH19&lt;&gt;Constants!$B$4,"",$BK19+$BL19))</f>
        <v/>
      </c>
      <c r="CT19" s="104" t="str">
        <f aca="false">IF(ISBLANK($C19),"",IF($BH19&lt;&gt;Constants!$B$4,"",$BM19+$BN19+$BO19))</f>
        <v/>
      </c>
      <c r="CU19" s="104" t="str">
        <f aca="false">IF(ISBLANK($C19),"",IF($BH19&lt;&gt;Constants!$B$4,"",$BP19))</f>
        <v/>
      </c>
      <c r="CV19" s="104" t="str">
        <f aca="false">IF(ISBLANK($C19),"",IF($BH19&lt;&gt;Constants!$B$4,"",$BQ19+$BR19))</f>
        <v/>
      </c>
      <c r="CW19" s="104" t="str">
        <f aca="false">IF(ISBLANK($C19),"",IF($BH19&lt;&gt;Constants!$B$4,"",$BS19))</f>
        <v/>
      </c>
      <c r="CX19" s="104" t="str">
        <f aca="false">IF(ISBLANK($C19),"",IF($BH19&lt;&gt;Constants!$B$4,"",-$BZ19))</f>
        <v/>
      </c>
      <c r="CY19" s="103" t="str">
        <f aca="false">IF(ISBLANK($C19),"",$CA19)</f>
        <v/>
      </c>
      <c r="CZ19" s="105" t="str">
        <f aca="false">IF(ISBLANK($C19),"",$BI19)</f>
        <v/>
      </c>
      <c r="DA19" s="104" t="str">
        <f aca="false">IF(ISBLANK($C19),"",$CH19)</f>
        <v/>
      </c>
      <c r="DB19" s="104" t="str">
        <f aca="false">IF(ISBLANK($C19),"",$CG19)</f>
        <v/>
      </c>
      <c r="DC19" s="106" t="str">
        <f aca="false">IF(ISBLANK($C19),"",IFERROR(_xlfn.SWITCH($DB19,Constants!$B$7,COUNTA($C$9:$C$508)+2,Constants!$B$6,COUNTA($C$9:$C$508)+1,Constants!$B$5,COUNTA($C$9:$C$508)),$DB19))</f>
        <v/>
      </c>
      <c r="DD19" s="7"/>
      <c r="DE19" s="107" t="n">
        <f aca="false">IF(OR(ISNUMBER($DB19),$DB19=Constants!$B$7,$DB19=Constants!$B$5,$DB19=Constants!$B$6),1,0)</f>
        <v>0</v>
      </c>
      <c r="DF19" s="107" t="n">
        <v>11</v>
      </c>
      <c r="DG19" s="107" t="str">
        <f aca="false">IF(ISBLANK($C19),"",IF(ISNUMBER($DC19),$DC19+ROW($B19)/1000,""))</f>
        <v/>
      </c>
      <c r="DH19" s="107" t="str">
        <f aca="false">IF(ISNUMBER($DG19),RANK($DG19,$DG$9:$DG$508,1),"")</f>
        <v/>
      </c>
      <c r="DI19" s="107" t="str">
        <f aca="false">IF(ISBLANK($C19),"",$B19)</f>
        <v/>
      </c>
      <c r="DJ19" s="107" t="str">
        <f aca="false">IF(ISBLANK($C19),"",$C19)</f>
        <v/>
      </c>
      <c r="DK19" s="107" t="str">
        <f aca="false">IF(ISBLANK($C19),"",$D19)</f>
        <v/>
      </c>
      <c r="DL19" s="108" t="str">
        <f aca="false">$CZ19</f>
        <v/>
      </c>
      <c r="DM19" s="109" t="str">
        <f aca="false">$CY19</f>
        <v/>
      </c>
      <c r="DN19" s="107" t="str">
        <f aca="false">IF(ISBLANK($C19),"",$DB19)</f>
        <v/>
      </c>
      <c r="DO19" s="110" t="str">
        <f aca="false">IF($DF19&gt;$DE$8,"",VLOOKUP($DF19,$DH$9:$DN$508,7,FALSE()))</f>
        <v/>
      </c>
      <c r="DP19" s="111" t="str">
        <f aca="false">IF($DF19&gt;$DE$8,"",VLOOKUP($DF19,$DH$9:$DN$508,2,FALSE()))</f>
        <v/>
      </c>
      <c r="DQ19" s="111" t="str">
        <f aca="false">IF($DF19&gt;$DE$8,"",VLOOKUP($DF19,$DH$9:$DN$508,3,FALSE()))</f>
        <v/>
      </c>
      <c r="DR19" s="111" t="str">
        <f aca="false">IF($DF19&gt;$DE$8,"",VLOOKUP($DF19,$DH$9:$DN$508,4,FALSE()))</f>
        <v/>
      </c>
      <c r="DS19" s="111" t="str">
        <f aca="false">IF($DF19&gt;$DE$8,"",VLOOKUP($DF19,$DH$9:$DN$508,5,FALSE()))</f>
        <v/>
      </c>
      <c r="DT19" s="112" t="str">
        <f aca="false">IF($DF19&gt;$DE$8,"",VLOOKUP($DF19,$DH$9:$DN$508,6,FALSE()))</f>
        <v/>
      </c>
      <c r="DU19" s="62"/>
    </row>
    <row r="20" customFormat="false" ht="15.75" hidden="false" customHeight="false" outlineLevel="0" collapsed="false">
      <c r="A20" s="7"/>
      <c r="B20" s="90"/>
      <c r="C20" s="91"/>
      <c r="D20" s="126"/>
      <c r="E20" s="127"/>
      <c r="F20" s="128"/>
      <c r="G20" s="127"/>
      <c r="H20" s="128"/>
      <c r="I20" s="95"/>
      <c r="J20" s="95"/>
      <c r="K20" s="95"/>
      <c r="L20" s="127"/>
      <c r="M20" s="127"/>
      <c r="N20" s="127"/>
      <c r="O20" s="128"/>
      <c r="P20" s="127"/>
      <c r="Q20" s="127"/>
      <c r="R20" s="127"/>
      <c r="S20" s="127"/>
      <c r="T20" s="128"/>
      <c r="U20" s="127"/>
      <c r="V20" s="96"/>
      <c r="W20" s="127"/>
      <c r="X20" s="127"/>
      <c r="Y20" s="96"/>
      <c r="Z20" s="96"/>
      <c r="AA20" s="127"/>
      <c r="AB20" s="127"/>
      <c r="AC20" s="97"/>
      <c r="AD20" s="130"/>
      <c r="AE20" s="99"/>
      <c r="AF20" s="100"/>
      <c r="AG20" s="100"/>
      <c r="AH20" s="100" t="str">
        <f aca="false">IF(ISBLANK($C20),"",IF($E20=Constants!$B$2,TRUE(),IF($E20=Constants!$B$3,FALSE(),TRUE())))</f>
        <v/>
      </c>
      <c r="AI20" s="100" t="str">
        <f aca="false">IF(ISBLANK($C20),"",IF($F20=Constants!$B$2,TRUE(),IF($F20=Constants!$B$3,FALSE(),FALSE())))</f>
        <v/>
      </c>
      <c r="AJ20" s="100" t="str">
        <f aca="false">IF(ISBLANK($C20),"",IF($G20=Constants!$B$2,TRUE(),IF($G20=Constants!$B$3,FALSE(),TRUE())))</f>
        <v/>
      </c>
      <c r="AK20" s="100" t="str">
        <f aca="false">IF(ISBLANK($C20),"",IF($H20=Constants!$B$2,TRUE(),IF($H20=Constants!$B$3,FALSE(),TRUE())))</f>
        <v/>
      </c>
      <c r="AL20" s="100" t="str">
        <f aca="false">IF(ISBLANK($C20),"",IF(ISNUMBER($I20),IF($I20&gt;=0,$I20,""),""))</f>
        <v/>
      </c>
      <c r="AM20" s="100" t="str">
        <f aca="false">IF(ISBLANK($C20),"",IF(ISNUMBER($J20),IF($J20&gt;=0,$J20,""),""))</f>
        <v/>
      </c>
      <c r="AN20" s="100" t="str">
        <f aca="false">IF(ISBLANK($C20),"",IF(ISNUMBER($K20),IF($K20&gt;=0,$K20,""),""))</f>
        <v/>
      </c>
      <c r="AO20" s="100" t="str">
        <f aca="false">IF(ISBLANK($C20),"",IF($L20=Constants!$B$2,TRUE(),IF($L20=Constants!$B$3,FALSE(),TRUE())))</f>
        <v/>
      </c>
      <c r="AP20" s="100" t="str">
        <f aca="false">IF(ISBLANK($C20),"",IF($M20=Constants!$B$2,TRUE(),IF($M20=Constants!$B$3,FALSE(),TRUE())))</f>
        <v/>
      </c>
      <c r="AQ20" s="100" t="str">
        <f aca="false">IF(ISBLANK($C20),"",IF($N20=Constants!$B$2,TRUE(),IF($N20=Constants!$B$3,FALSE(),FALSE())))</f>
        <v/>
      </c>
      <c r="AR20" s="100" t="str">
        <f aca="false">IF(ISBLANK($C20),"",IF($O20=Constants!$B$2,TRUE(),IF($O20=Constants!$B$3,FALSE(),TRUE())))</f>
        <v/>
      </c>
      <c r="AS20" s="100" t="str">
        <f aca="false">IF(ISBLANK($C20),"",IF($P20=Constants!$B$2,TRUE(),IF($P20=Constants!$B$3,FALSE(),FALSE())))</f>
        <v/>
      </c>
      <c r="AT20" s="100" t="str">
        <f aca="false">IF(ISBLANK($C20),"",IF($Q20=Constants!$B$2,TRUE(),IF($Q20=Constants!$B$3,FALSE(),FALSE())))</f>
        <v/>
      </c>
      <c r="AU20" s="100" t="str">
        <f aca="false">IF(ISBLANK($C20),"",IF($R20=Constants!$B$2,TRUE(),IF($R20=Constants!$B$3,FALSE(),FALSE())))</f>
        <v/>
      </c>
      <c r="AV20" s="100" t="str">
        <f aca="false">IF(ISBLANK($C20),"",IF($S20=Constants!$B$2,TRUE(),IF($S20=Constants!$B$3,FALSE(),FALSE())))</f>
        <v/>
      </c>
      <c r="AW20" s="100" t="str">
        <f aca="false">IF(ISBLANK($C20),"",IF($T20=Constants!$B$2,TRUE(),IF($T20=Constants!$B$3,FALSE(),FALSE())))</f>
        <v/>
      </c>
      <c r="AX20" s="100" t="str">
        <f aca="false">IF(ISBLANK($C20),"",IF(OR($U20&amp;""="1",$U20&amp;""="2",$U20&amp;""="3",$U20&amp;""="4"),VALUE($U20&amp;""),IF($U20=Constants!$B$12,Constants!$B$12,"")))</f>
        <v/>
      </c>
      <c r="AY20" s="100" t="str">
        <f aca="false">IF(ISBLANK($C20),"",IF(ISBLANK($V20),0,IF(ISNUMBER($V20),IF(AND($V20&gt;=0,$V20&lt;=Constants!$B$21,$V20=INT($V20)),$V20,""),"")))</f>
        <v/>
      </c>
      <c r="AZ20" s="100" t="str">
        <f aca="false">IF(ISBLANK($C20),"",IF(ISBLANK($W20),0,IF(ISNUMBER($W20),IF($W20&gt;=0,$W20,""),"")))</f>
        <v/>
      </c>
      <c r="BA20" s="100" t="str">
        <f aca="false">IF(ISBLANK($C20),"",IF($X20=Constants!$B$2,TRUE(),IF($X20=Constants!$B$3,FALSE(),TRUE())))</f>
        <v/>
      </c>
      <c r="BB20" s="100" t="str">
        <f aca="false">IF(ISBLANK($C20),"",IF($Y20=Constants!$B$2,TRUE(),IF($Y20=Constants!$B$3,FALSE(),FALSE())))</f>
        <v/>
      </c>
      <c r="BC20" s="100" t="str">
        <f aca="false">IF(ISBLANK($C20),"",IF(ISBLANK($Z20),0,IF(ISNUMBER($Z20),IF(AND($Z20&gt;=0,$Z20&lt;=Constants!$B$35,$Z20=INT($Z20)),$Z20,""),"")))</f>
        <v/>
      </c>
      <c r="BD20" s="100" t="str">
        <f aca="false">IF(ISBLANK($C20),"",IF($AA20=Constants!$B$2,TRUE(),IF($AA20=Constants!$B$3,FALSE(),TRUE())))</f>
        <v/>
      </c>
      <c r="BE20" s="100" t="str">
        <f aca="false">IF(ISBLANK($C20),"",IF($AB20=Constants!$B$2,TRUE(),IF($AB20=Constants!$B$3,FALSE(),TRUE())))</f>
        <v/>
      </c>
      <c r="BF20" s="100" t="str">
        <f aca="false">IF(ISBLANK($C20),"",IF(ISNUMBER($AC20),IF($AC20&gt;=0,$AC20,""),""))</f>
        <v/>
      </c>
      <c r="BG20" s="100" t="str">
        <f aca="false">IF(ISBLANK($C20),"",IF($AD20=Constants!$B$2,TRUE(),IF($AD20=Constants!$B$3,FALSE(),FALSE())))</f>
        <v/>
      </c>
      <c r="BH20" s="99" t="str">
        <f aca="false">IF(ISBLANK($C20),"",IF($BG20,Constants!$B$7,IF(COUNTA($E20:$AC20)=0,Constants!$B$6,IF(OR(COUNTA($G20:$AC20)=0,NOT($AK20),$AQ20),Constants!$B$5,IF(OR($CI20&lt;&gt;"",$CJ20,$CK20,$CL20,$CM20,$CN20,$CO20),Constants!$B$8,Constants!$B$4)))))</f>
        <v/>
      </c>
      <c r="BI20" s="100" t="str">
        <f aca="false">IF(ISBLANK($C20),"",IF($BH20&lt;&gt;Constants!$B$4,$BH20,IF(OR(NOT($AH20),NOT($AJ20),NOT($AR20)),Constants!$B$11,IF(OR(NOT($AP20),MAX($AL20,$AM20,$AN20)&gt;Constants!$B$30),Constants!$B$10,Constants!$B$9))))</f>
        <v/>
      </c>
      <c r="BJ20" s="100" t="str">
        <f aca="false">IF($BH20&lt;&gt;Constants!$B$4,"",IF(NOT($AJ20),0,MIN(Constants!$B$35,$BC20)))</f>
        <v/>
      </c>
      <c r="BK20" s="100" t="str">
        <f aca="false">IF($BH20&lt;&gt;Constants!$B$4,"",IF(NOT($AJ20),0,IF($AT20,Constants!$B$18,IF($AS20,Constants!$B$17,0))))</f>
        <v/>
      </c>
      <c r="BL20" s="100" t="str">
        <f aca="false">IF($BH20&lt;&gt;Constants!$B$4,"",IF(NOT($AJ20),0,Constants!$B$19*($AI20+$AU20+$AV20+$AW20)))</f>
        <v/>
      </c>
      <c r="BM20" s="100" t="str">
        <f aca="false">IF($BH20&lt;&gt;Constants!$B$4,"",IF(OR(NOT($AJ20),NOT(ISNUMBER($AX20))),0,CHOOSE($AX20,Constants!$B$13,Constants!$B$14,Constants!$B$15,Constants!$B$16)))</f>
        <v/>
      </c>
      <c r="BN20" s="100" t="str">
        <f aca="false">IF($BH20&lt;&gt;Constants!$B$4,"",IF(NOT($AJ20),0,Constants!$B$20*$AY20))</f>
        <v/>
      </c>
      <c r="BO20" s="100" t="str">
        <f aca="false">IF($BH20&lt;&gt;Constants!$B$4,"",IF(AND($AJ20,$BA20,$BB20),Constants!$B$22,0))</f>
        <v/>
      </c>
      <c r="BP20" s="100" t="str">
        <f aca="false">IF($BH20&lt;&gt;Constants!$B$4,"",IF(OR(NOT($AJ20),NOT($BA20)),0,IF($BF20&gt;=2*$AF$9,0,Constants!$B$23*INT(ROUND(MIN($BF20,$AF$9),6)))))</f>
        <v/>
      </c>
      <c r="BQ20" s="100" t="str">
        <f aca="false">IF($BH20&lt;&gt;Constants!$B$4,"",IF(NOT($AJ20),0,Constants!$B$24*INT(ROUND(MIN($AZ20,$AF$9),6))))</f>
        <v/>
      </c>
      <c r="BR20" s="100" t="str">
        <f aca="false">IF($BH20&lt;&gt;Constants!$B$4,"",IF(AND($AJ20,$BJ20=0),Constants!$B$25,0))</f>
        <v/>
      </c>
      <c r="BS20" s="100" t="str">
        <f aca="false">IF($BH20&lt;&gt;Constants!$B$4,"",MIN(Constants!$B$29,MAX(0,Constants!$B$27*Constants!$B$28*INT(ROUND((Constants!$B$26-$AL20)/Constants!$B$28,6))))+MIN(Constants!$B$29,MAX(0,Constants!$B$27*Constants!$B$28*INT(ROUND((Constants!$B$26-$AM20)/Constants!$B$28,6))))+MIN(Constants!$B$29,MAX(0,Constants!$B$27*Constants!$B$28*INT(ROUND((Constants!$B$26-$AN20)/Constants!$B$28,6)))))</f>
        <v/>
      </c>
      <c r="BT20" s="100" t="str">
        <f aca="false">IF($BH20&lt;&gt;Constants!$B$4,"",IF(NOT($AJ20),0,Constants!$B$31*INT(ROUND(MAX(0,MIN($BF20,2*$AF$9)-$AF$9),6))))</f>
        <v/>
      </c>
      <c r="BU20" s="100" t="str">
        <f aca="false">IF($BH20&lt;&gt;Constants!$B$4,"",Constants!$B$32*(($AL20&gt;Constants!$B$26)+($AM20&gt;Constants!$B$26)+($AN20&gt;Constants!$B$26)))</f>
        <v/>
      </c>
      <c r="BV20" s="100" t="str">
        <f aca="false">IF($BH20&lt;&gt;Constants!$B$4,"",IF(OR(NOT($AJ20),$AO20),0,Constants!$B$33))</f>
        <v/>
      </c>
      <c r="BW20" s="100" t="str">
        <f aca="false">IF($BH20&lt;&gt;Constants!$B$4,"",Constants!$B$34*$BJ20)</f>
        <v/>
      </c>
      <c r="BX20" s="100" t="str">
        <f aca="false">IF($BH20&lt;&gt;Constants!$B$4,"",IF(OR(NOT($AJ20),$BE20),0,Constants!$B$36))</f>
        <v/>
      </c>
      <c r="BY20" s="100" t="str">
        <f aca="false">IF($BH20&lt;&gt;Constants!$B$4,"",IF(OR(NOT($AJ20),$BD20),0,Constants!$B$37))</f>
        <v/>
      </c>
      <c r="BZ20" s="100" t="str">
        <f aca="false">IF($BH20&lt;&gt;Constants!$B$4,"",SUM($BT20:$BY20))</f>
        <v/>
      </c>
      <c r="CA20" s="100" t="str">
        <f aca="false">IF(ISBLANK($C20),"",IF($BH20&lt;&gt;Constants!$B$4,$BH20,SUM($BK20:$BS20)-$BZ20))</f>
        <v/>
      </c>
      <c r="CB20" s="100" t="str">
        <f aca="false">IF(ISBLANK($C20),"",IF($BH20&lt;&gt;Constants!$B$4,$BH20,RANK($CA20,$CA$9:$CA$508)))</f>
        <v/>
      </c>
      <c r="CC20" s="100" t="str">
        <f aca="false">IF(ISBLANK($C20),"",IF($BH20&lt;&gt;Constants!$B$4,$BH20,COUNTIFS($BI$9:$BI$508,"&lt;"&amp;$BI20)+COUNTIFS($BI$9:$BI$508,$BI20,$CB$9:$CB$508,"&lt;"&amp;$CB20)+1))</f>
        <v/>
      </c>
      <c r="CD20" s="100" t="str">
        <f aca="false">IF(ISBLANK($C20),"",IF($BH20&lt;&gt;Constants!$B$4,$BH20,RANK($BZ20,$BZ$9:$BZ$508,1)))</f>
        <v/>
      </c>
      <c r="CE20" s="100" t="str">
        <f aca="false">IF($BH20&lt;&gt;Constants!$B$4,"",$AL20+$AM20+$AN20)</f>
        <v/>
      </c>
      <c r="CF20" s="100" t="str">
        <f aca="false">IF(ISBLANK($C20),"",IF($BH20&lt;&gt;Constants!$B$4,$BH20,RANK($CE20,$CE$9:$CE$508,1)))</f>
        <v/>
      </c>
      <c r="CG20" s="100" t="str">
        <f aca="false">IF(ISBLANK($C20),"",IF($BH20&lt;&gt;Constants!$B$4,$BH20,COUNTIFS($BI$9:$BI$508,"&lt;"&amp;$BI20)+COUNTIFS($BI$9:$BI$508,$BI20,$CB$9:$CB$508,"&lt;"&amp;$CB20)+COUNTIFS($BI$9:$BI$508,$BI20,$CB$9:$CB$508,$CB20,$CD$9:$CD$508,"&lt;"&amp;$CD20)+COUNTIFS($BI$9:$BI$508,$BI20,$CB$9:$CB$508,$CB20,$CD$9:$CD$508,$CD20,$CF$9:$CF$508,"&lt;"&amp;$CF20)+1))</f>
        <v/>
      </c>
      <c r="CH20" s="100" t="str">
        <f aca="false">IF(ISBLANK($C20),"",IF($BH20&lt;&gt;Constants!$B$4,$BH20,$CC20-$CG20))</f>
        <v/>
      </c>
      <c r="CI20" s="100" t="str">
        <f aca="false">IF(ISBLANK($C20),"",IF(NOT($AJ20),"",IF(ISBLANK($D$7),$CI$5,IF(NOT(ISNUMBER($D$7)),$CI$6,""))))</f>
        <v/>
      </c>
      <c r="CJ20" s="100" t="str">
        <f aca="false">IF(ISBLANK($C20),"",OR($AL20="",$AM20="",$AN20=""))</f>
        <v/>
      </c>
      <c r="CK20" s="100" t="str">
        <f aca="false">IF(ISBLANK($C20),"",AND($AJ20,$AX20=""))</f>
        <v/>
      </c>
      <c r="CL20" s="100" t="str">
        <f aca="false">IF(ISBLANK($C20),"",AND($AJ20,$AY20=""))</f>
        <v/>
      </c>
      <c r="CM20" s="100" t="str">
        <f aca="false">IF(ISBLANK($C20),"",AND($AJ20,$AZ20=""))</f>
        <v/>
      </c>
      <c r="CN20" s="100" t="str">
        <f aca="false">IF(ISBLANK($C20),"",AND($AJ20,$BC20=""))</f>
        <v/>
      </c>
      <c r="CO20" s="100" t="str">
        <f aca="false">IF(ISBLANK($C20),"",AND($AJ20,$BF20=""))</f>
        <v/>
      </c>
      <c r="CP20" s="101"/>
      <c r="CQ20" s="102"/>
      <c r="CR20" s="103" t="str">
        <f aca="false">IF(ISBLANK($C20),"",IF($BH20=Constants!$B$8,$CI20,""))</f>
        <v/>
      </c>
      <c r="CS20" s="102" t="str">
        <f aca="false">IF(ISBLANK($C20),"",IF($BH20&lt;&gt;Constants!$B$4,"",$BK20+$BL20))</f>
        <v/>
      </c>
      <c r="CT20" s="104" t="str">
        <f aca="false">IF(ISBLANK($C20),"",IF($BH20&lt;&gt;Constants!$B$4,"",$BM20+$BN20+$BO20))</f>
        <v/>
      </c>
      <c r="CU20" s="104" t="str">
        <f aca="false">IF(ISBLANK($C20),"",IF($BH20&lt;&gt;Constants!$B$4,"",$BP20))</f>
        <v/>
      </c>
      <c r="CV20" s="104" t="str">
        <f aca="false">IF(ISBLANK($C20),"",IF($BH20&lt;&gt;Constants!$B$4,"",$BQ20+$BR20))</f>
        <v/>
      </c>
      <c r="CW20" s="104" t="str">
        <f aca="false">IF(ISBLANK($C20),"",IF($BH20&lt;&gt;Constants!$B$4,"",$BS20))</f>
        <v/>
      </c>
      <c r="CX20" s="104" t="str">
        <f aca="false">IF(ISBLANK($C20),"",IF($BH20&lt;&gt;Constants!$B$4,"",-$BZ20))</f>
        <v/>
      </c>
      <c r="CY20" s="103" t="str">
        <f aca="false">IF(ISBLANK($C20),"",$CA20)</f>
        <v/>
      </c>
      <c r="CZ20" s="105" t="str">
        <f aca="false">IF(ISBLANK($C20),"",$BI20)</f>
        <v/>
      </c>
      <c r="DA20" s="104" t="str">
        <f aca="false">IF(ISBLANK($C20),"",$CH20)</f>
        <v/>
      </c>
      <c r="DB20" s="104" t="str">
        <f aca="false">IF(ISBLANK($C20),"",$CG20)</f>
        <v/>
      </c>
      <c r="DC20" s="106" t="str">
        <f aca="false">IF(ISBLANK($C20),"",IFERROR(_xlfn.SWITCH($DB20,Constants!$B$7,COUNTA($C$9:$C$508)+2,Constants!$B$6,COUNTA($C$9:$C$508)+1,Constants!$B$5,COUNTA($C$9:$C$508)),$DB20))</f>
        <v/>
      </c>
      <c r="DD20" s="7"/>
      <c r="DE20" s="107" t="n">
        <f aca="false">IF(OR(ISNUMBER($DB20),$DB20=Constants!$B$7,$DB20=Constants!$B$5,$DB20=Constants!$B$6),1,0)</f>
        <v>0</v>
      </c>
      <c r="DF20" s="107" t="n">
        <v>12</v>
      </c>
      <c r="DG20" s="107" t="str">
        <f aca="false">IF(ISBLANK($C20),"",IF(ISNUMBER($DC20),$DC20+ROW($B20)/1000,""))</f>
        <v/>
      </c>
      <c r="DH20" s="107" t="str">
        <f aca="false">IF(ISNUMBER($DG20),RANK($DG20,$DG$9:$DG$508,1),"")</f>
        <v/>
      </c>
      <c r="DI20" s="107" t="str">
        <f aca="false">IF(ISBLANK($C20),"",$B20)</f>
        <v/>
      </c>
      <c r="DJ20" s="107" t="str">
        <f aca="false">IF(ISBLANK($C20),"",$C20)</f>
        <v/>
      </c>
      <c r="DK20" s="107" t="str">
        <f aca="false">IF(ISBLANK($C20),"",$D20)</f>
        <v/>
      </c>
      <c r="DL20" s="108" t="str">
        <f aca="false">$CZ20</f>
        <v/>
      </c>
      <c r="DM20" s="109" t="str">
        <f aca="false">$CY20</f>
        <v/>
      </c>
      <c r="DN20" s="107" t="str">
        <f aca="false">IF(ISBLANK($C20),"",$DB20)</f>
        <v/>
      </c>
      <c r="DO20" s="110" t="str">
        <f aca="false">IF($DF20&gt;$DE$8,"",VLOOKUP($DF20,$DH$9:$DN$508,7,FALSE()))</f>
        <v/>
      </c>
      <c r="DP20" s="111" t="str">
        <f aca="false">IF($DF20&gt;$DE$8,"",VLOOKUP($DF20,$DH$9:$DN$508,2,FALSE()))</f>
        <v/>
      </c>
      <c r="DQ20" s="111" t="str">
        <f aca="false">IF($DF20&gt;$DE$8,"",VLOOKUP($DF20,$DH$9:$DN$508,3,FALSE()))</f>
        <v/>
      </c>
      <c r="DR20" s="111" t="str">
        <f aca="false">IF($DF20&gt;$DE$8,"",VLOOKUP($DF20,$DH$9:$DN$508,4,FALSE()))</f>
        <v/>
      </c>
      <c r="DS20" s="111" t="str">
        <f aca="false">IF($DF20&gt;$DE$8,"",VLOOKUP($DF20,$DH$9:$DN$508,5,FALSE()))</f>
        <v/>
      </c>
      <c r="DT20" s="112" t="str">
        <f aca="false">IF($DF20&gt;$DE$8,"",VLOOKUP($DF20,$DH$9:$DN$508,6,FALSE()))</f>
        <v/>
      </c>
      <c r="DU20" s="62"/>
    </row>
    <row r="21" customFormat="false" ht="15.75" hidden="false" customHeight="false" outlineLevel="0" collapsed="false">
      <c r="A21" s="7"/>
      <c r="B21" s="64"/>
      <c r="C21" s="65"/>
      <c r="D21" s="123"/>
      <c r="E21" s="124"/>
      <c r="F21" s="125"/>
      <c r="G21" s="124"/>
      <c r="H21" s="125"/>
      <c r="I21" s="69"/>
      <c r="J21" s="69"/>
      <c r="K21" s="69"/>
      <c r="L21" s="124"/>
      <c r="M21" s="124"/>
      <c r="N21" s="124"/>
      <c r="O21" s="125"/>
      <c r="P21" s="124"/>
      <c r="Q21" s="124"/>
      <c r="R21" s="124"/>
      <c r="S21" s="124"/>
      <c r="T21" s="125"/>
      <c r="U21" s="124"/>
      <c r="V21" s="70"/>
      <c r="W21" s="124"/>
      <c r="X21" s="124"/>
      <c r="Y21" s="70"/>
      <c r="Z21" s="70"/>
      <c r="AA21" s="124"/>
      <c r="AB21" s="124"/>
      <c r="AC21" s="71"/>
      <c r="AD21" s="88"/>
      <c r="AE21" s="73"/>
      <c r="AF21" s="74"/>
      <c r="AG21" s="74"/>
      <c r="AH21" s="74" t="str">
        <f aca="false">IF(ISBLANK($C21),"",IF($E21=Constants!$B$2,TRUE(),IF($E21=Constants!$B$3,FALSE(),TRUE())))</f>
        <v/>
      </c>
      <c r="AI21" s="74" t="str">
        <f aca="false">IF(ISBLANK($C21),"",IF($F21=Constants!$B$2,TRUE(),IF($F21=Constants!$B$3,FALSE(),FALSE())))</f>
        <v/>
      </c>
      <c r="AJ21" s="74" t="str">
        <f aca="false">IF(ISBLANK($C21),"",IF($G21=Constants!$B$2,TRUE(),IF($G21=Constants!$B$3,FALSE(),TRUE())))</f>
        <v/>
      </c>
      <c r="AK21" s="74" t="str">
        <f aca="false">IF(ISBLANK($C21),"",IF($H21=Constants!$B$2,TRUE(),IF($H21=Constants!$B$3,FALSE(),TRUE())))</f>
        <v/>
      </c>
      <c r="AL21" s="74" t="str">
        <f aca="false">IF(ISBLANK($C21),"",IF(ISNUMBER($I21),IF($I21&gt;=0,$I21,""),""))</f>
        <v/>
      </c>
      <c r="AM21" s="74" t="str">
        <f aca="false">IF(ISBLANK($C21),"",IF(ISNUMBER($J21),IF($J21&gt;=0,$J21,""),""))</f>
        <v/>
      </c>
      <c r="AN21" s="74" t="str">
        <f aca="false">IF(ISBLANK($C21),"",IF(ISNUMBER($K21),IF($K21&gt;=0,$K21,""),""))</f>
        <v/>
      </c>
      <c r="AO21" s="74" t="str">
        <f aca="false">IF(ISBLANK($C21),"",IF($L21=Constants!$B$2,TRUE(),IF($L21=Constants!$B$3,FALSE(),TRUE())))</f>
        <v/>
      </c>
      <c r="AP21" s="74" t="str">
        <f aca="false">IF(ISBLANK($C21),"",IF($M21=Constants!$B$2,TRUE(),IF($M21=Constants!$B$3,FALSE(),TRUE())))</f>
        <v/>
      </c>
      <c r="AQ21" s="74" t="str">
        <f aca="false">IF(ISBLANK($C21),"",IF($N21=Constants!$B$2,TRUE(),IF($N21=Constants!$B$3,FALSE(),FALSE())))</f>
        <v/>
      </c>
      <c r="AR21" s="74" t="str">
        <f aca="false">IF(ISBLANK($C21),"",IF($O21=Constants!$B$2,TRUE(),IF($O21=Constants!$B$3,FALSE(),TRUE())))</f>
        <v/>
      </c>
      <c r="AS21" s="74" t="str">
        <f aca="false">IF(ISBLANK($C21),"",IF($P21=Constants!$B$2,TRUE(),IF($P21=Constants!$B$3,FALSE(),FALSE())))</f>
        <v/>
      </c>
      <c r="AT21" s="74" t="str">
        <f aca="false">IF(ISBLANK($C21),"",IF($Q21=Constants!$B$2,TRUE(),IF($Q21=Constants!$B$3,FALSE(),FALSE())))</f>
        <v/>
      </c>
      <c r="AU21" s="74" t="str">
        <f aca="false">IF(ISBLANK($C21),"",IF($R21=Constants!$B$2,TRUE(),IF($R21=Constants!$B$3,FALSE(),FALSE())))</f>
        <v/>
      </c>
      <c r="AV21" s="74" t="str">
        <f aca="false">IF(ISBLANK($C21),"",IF($S21=Constants!$B$2,TRUE(),IF($S21=Constants!$B$3,FALSE(),FALSE())))</f>
        <v/>
      </c>
      <c r="AW21" s="74" t="str">
        <f aca="false">IF(ISBLANK($C21),"",IF($T21=Constants!$B$2,TRUE(),IF($T21=Constants!$B$3,FALSE(),FALSE())))</f>
        <v/>
      </c>
      <c r="AX21" s="74" t="str">
        <f aca="false">IF(ISBLANK($C21),"",IF(OR($U21&amp;""="1",$U21&amp;""="2",$U21&amp;""="3",$U21&amp;""="4"),VALUE($U21&amp;""),IF($U21=Constants!$B$12,Constants!$B$12,"")))</f>
        <v/>
      </c>
      <c r="AY21" s="74" t="str">
        <f aca="false">IF(ISBLANK($C21),"",IF(ISBLANK($V21),0,IF(ISNUMBER($V21),IF(AND($V21&gt;=0,$V21&lt;=Constants!$B$21,$V21=INT($V21)),$V21,""),"")))</f>
        <v/>
      </c>
      <c r="AZ21" s="74" t="str">
        <f aca="false">IF(ISBLANK($C21),"",IF(ISBLANK($W21),0,IF(ISNUMBER($W21),IF($W21&gt;=0,$W21,""),"")))</f>
        <v/>
      </c>
      <c r="BA21" s="74" t="str">
        <f aca="false">IF(ISBLANK($C21),"",IF($X21=Constants!$B$2,TRUE(),IF($X21=Constants!$B$3,FALSE(),TRUE())))</f>
        <v/>
      </c>
      <c r="BB21" s="74" t="str">
        <f aca="false">IF(ISBLANK($C21),"",IF($Y21=Constants!$B$2,TRUE(),IF($Y21=Constants!$B$3,FALSE(),FALSE())))</f>
        <v/>
      </c>
      <c r="BC21" s="74" t="str">
        <f aca="false">IF(ISBLANK($C21),"",IF(ISBLANK($Z21),0,IF(ISNUMBER($Z21),IF(AND($Z21&gt;=0,$Z21&lt;=Constants!$B$35,$Z21=INT($Z21)),$Z21,""),"")))</f>
        <v/>
      </c>
      <c r="BD21" s="74" t="str">
        <f aca="false">IF(ISBLANK($C21),"",IF($AA21=Constants!$B$2,TRUE(),IF($AA21=Constants!$B$3,FALSE(),TRUE())))</f>
        <v/>
      </c>
      <c r="BE21" s="74" t="str">
        <f aca="false">IF(ISBLANK($C21),"",IF($AB21=Constants!$B$2,TRUE(),IF($AB21=Constants!$B$3,FALSE(),TRUE())))</f>
        <v/>
      </c>
      <c r="BF21" s="74" t="str">
        <f aca="false">IF(ISBLANK($C21),"",IF(ISNUMBER($AC21),IF($AC21&gt;=0,$AC21,""),""))</f>
        <v/>
      </c>
      <c r="BG21" s="74" t="str">
        <f aca="false">IF(ISBLANK($C21),"",IF($AD21=Constants!$B$2,TRUE(),IF($AD21=Constants!$B$3,FALSE(),FALSE())))</f>
        <v/>
      </c>
      <c r="BH21" s="73" t="str">
        <f aca="false">IF(ISBLANK($C21),"",IF($BG21,Constants!$B$7,IF(COUNTA($E21:$AC21)=0,Constants!$B$6,IF(OR(COUNTA($G21:$AC21)=0,NOT($AK21),$AQ21),Constants!$B$5,IF(OR($CI21&lt;&gt;"",$CJ21,$CK21,$CL21,$CM21,$CN21,$CO21),Constants!$B$8,Constants!$B$4)))))</f>
        <v/>
      </c>
      <c r="BI21" s="74" t="str">
        <f aca="false">IF(ISBLANK($C21),"",IF($BH21&lt;&gt;Constants!$B$4,$BH21,IF(OR(NOT($AH21),NOT($AJ21),NOT($AR21)),Constants!$B$11,IF(OR(NOT($AP21),MAX($AL21,$AM21,$AN21)&gt;Constants!$B$30),Constants!$B$10,Constants!$B$9))))</f>
        <v/>
      </c>
      <c r="BJ21" s="74" t="str">
        <f aca="false">IF($BH21&lt;&gt;Constants!$B$4,"",IF(NOT($AJ21),0,MIN(Constants!$B$35,$BC21)))</f>
        <v/>
      </c>
      <c r="BK21" s="74" t="str">
        <f aca="false">IF($BH21&lt;&gt;Constants!$B$4,"",IF(NOT($AJ21),0,IF($AT21,Constants!$B$18,IF($AS21,Constants!$B$17,0))))</f>
        <v/>
      </c>
      <c r="BL21" s="74" t="str">
        <f aca="false">IF($BH21&lt;&gt;Constants!$B$4,"",IF(NOT($AJ21),0,Constants!$B$19*($AI21+$AU21+$AV21+$AW21)))</f>
        <v/>
      </c>
      <c r="BM21" s="74" t="str">
        <f aca="false">IF($BH21&lt;&gt;Constants!$B$4,"",IF(OR(NOT($AJ21),NOT(ISNUMBER($AX21))),0,CHOOSE($AX21,Constants!$B$13,Constants!$B$14,Constants!$B$15,Constants!$B$16)))</f>
        <v/>
      </c>
      <c r="BN21" s="74" t="str">
        <f aca="false">IF($BH21&lt;&gt;Constants!$B$4,"",IF(NOT($AJ21),0,Constants!$B$20*$AY21))</f>
        <v/>
      </c>
      <c r="BO21" s="74" t="str">
        <f aca="false">IF($BH21&lt;&gt;Constants!$B$4,"",IF(AND($AJ21,$BA21,$BB21),Constants!$B$22,0))</f>
        <v/>
      </c>
      <c r="BP21" s="74" t="str">
        <f aca="false">IF($BH21&lt;&gt;Constants!$B$4,"",IF(OR(NOT($AJ21),NOT($BA21)),0,IF($BF21&gt;=2*$AF$9,0,Constants!$B$23*INT(ROUND(MIN($BF21,$AF$9),6)))))</f>
        <v/>
      </c>
      <c r="BQ21" s="74" t="str">
        <f aca="false">IF($BH21&lt;&gt;Constants!$B$4,"",IF(NOT($AJ21),0,Constants!$B$24*INT(ROUND(MIN($AZ21,$AF$9),6))))</f>
        <v/>
      </c>
      <c r="BR21" s="74" t="str">
        <f aca="false">IF($BH21&lt;&gt;Constants!$B$4,"",IF(AND($AJ21,$BJ21=0),Constants!$B$25,0))</f>
        <v/>
      </c>
      <c r="BS21" s="74" t="str">
        <f aca="false">IF($BH21&lt;&gt;Constants!$B$4,"",MIN(Constants!$B$29,MAX(0,Constants!$B$27*Constants!$B$28*INT(ROUND((Constants!$B$26-$AL21)/Constants!$B$28,6))))+MIN(Constants!$B$29,MAX(0,Constants!$B$27*Constants!$B$28*INT(ROUND((Constants!$B$26-$AM21)/Constants!$B$28,6))))+MIN(Constants!$B$29,MAX(0,Constants!$B$27*Constants!$B$28*INT(ROUND((Constants!$B$26-$AN21)/Constants!$B$28,6)))))</f>
        <v/>
      </c>
      <c r="BT21" s="74" t="str">
        <f aca="false">IF($BH21&lt;&gt;Constants!$B$4,"",IF(NOT($AJ21),0,Constants!$B$31*INT(ROUND(MAX(0,MIN($BF21,2*$AF$9)-$AF$9),6))))</f>
        <v/>
      </c>
      <c r="BU21" s="74" t="str">
        <f aca="false">IF($BH21&lt;&gt;Constants!$B$4,"",Constants!$B$32*(($AL21&gt;Constants!$B$26)+($AM21&gt;Constants!$B$26)+($AN21&gt;Constants!$B$26)))</f>
        <v/>
      </c>
      <c r="BV21" s="74" t="str">
        <f aca="false">IF($BH21&lt;&gt;Constants!$B$4,"",IF(OR(NOT($AJ21),$AO21),0,Constants!$B$33))</f>
        <v/>
      </c>
      <c r="BW21" s="74" t="str">
        <f aca="false">IF($BH21&lt;&gt;Constants!$B$4,"",Constants!$B$34*$BJ21)</f>
        <v/>
      </c>
      <c r="BX21" s="74" t="str">
        <f aca="false">IF($BH21&lt;&gt;Constants!$B$4,"",IF(OR(NOT($AJ21),$BE21),0,Constants!$B$36))</f>
        <v/>
      </c>
      <c r="BY21" s="74" t="str">
        <f aca="false">IF($BH21&lt;&gt;Constants!$B$4,"",IF(OR(NOT($AJ21),$BD21),0,Constants!$B$37))</f>
        <v/>
      </c>
      <c r="BZ21" s="74" t="str">
        <f aca="false">IF($BH21&lt;&gt;Constants!$B$4,"",SUM($BT21:$BY21))</f>
        <v/>
      </c>
      <c r="CA21" s="74" t="str">
        <f aca="false">IF(ISBLANK($C21),"",IF($BH21&lt;&gt;Constants!$B$4,$BH21,SUM($BK21:$BS21)-$BZ21))</f>
        <v/>
      </c>
      <c r="CB21" s="74" t="str">
        <f aca="false">IF(ISBLANK($C21),"",IF($BH21&lt;&gt;Constants!$B$4,$BH21,RANK($CA21,$CA$9:$CA$508)))</f>
        <v/>
      </c>
      <c r="CC21" s="74" t="str">
        <f aca="false">IF(ISBLANK($C21),"",IF($BH21&lt;&gt;Constants!$B$4,$BH21,COUNTIFS($BI$9:$BI$508,"&lt;"&amp;$BI21)+COUNTIFS($BI$9:$BI$508,$BI21,$CB$9:$CB$508,"&lt;"&amp;$CB21)+1))</f>
        <v/>
      </c>
      <c r="CD21" s="74" t="str">
        <f aca="false">IF(ISBLANK($C21),"",IF($BH21&lt;&gt;Constants!$B$4,$BH21,RANK($BZ21,$BZ$9:$BZ$508,1)))</f>
        <v/>
      </c>
      <c r="CE21" s="74" t="str">
        <f aca="false">IF($BH21&lt;&gt;Constants!$B$4,"",$AL21+$AM21+$AN21)</f>
        <v/>
      </c>
      <c r="CF21" s="74" t="str">
        <f aca="false">IF(ISBLANK($C21),"",IF($BH21&lt;&gt;Constants!$B$4,$BH21,RANK($CE21,$CE$9:$CE$508,1)))</f>
        <v/>
      </c>
      <c r="CG21" s="74" t="str">
        <f aca="false">IF(ISBLANK($C21),"",IF($BH21&lt;&gt;Constants!$B$4,$BH21,COUNTIFS($BI$9:$BI$508,"&lt;"&amp;$BI21)+COUNTIFS($BI$9:$BI$508,$BI21,$CB$9:$CB$508,"&lt;"&amp;$CB21)+COUNTIFS($BI$9:$BI$508,$BI21,$CB$9:$CB$508,$CB21,$CD$9:$CD$508,"&lt;"&amp;$CD21)+COUNTIFS($BI$9:$BI$508,$BI21,$CB$9:$CB$508,$CB21,$CD$9:$CD$508,$CD21,$CF$9:$CF$508,"&lt;"&amp;$CF21)+1))</f>
        <v/>
      </c>
      <c r="CH21" s="74" t="str">
        <f aca="false">IF(ISBLANK($C21),"",IF($BH21&lt;&gt;Constants!$B$4,$BH21,$CC21-$CG21))</f>
        <v/>
      </c>
      <c r="CI21" s="74" t="str">
        <f aca="false">IF(ISBLANK($C21),"",IF(NOT($AJ21),"",IF(ISBLANK($D$7),$CI$5,IF(NOT(ISNUMBER($D$7)),$CI$6,""))))</f>
        <v/>
      </c>
      <c r="CJ21" s="74" t="str">
        <f aca="false">IF(ISBLANK($C21),"",OR($AL21="",$AM21="",$AN21=""))</f>
        <v/>
      </c>
      <c r="CK21" s="74" t="str">
        <f aca="false">IF(ISBLANK($C21),"",AND($AJ21,$AX21=""))</f>
        <v/>
      </c>
      <c r="CL21" s="74" t="str">
        <f aca="false">IF(ISBLANK($C21),"",AND($AJ21,$AY21=""))</f>
        <v/>
      </c>
      <c r="CM21" s="74" t="str">
        <f aca="false">IF(ISBLANK($C21),"",AND($AJ21,$AZ21=""))</f>
        <v/>
      </c>
      <c r="CN21" s="74" t="str">
        <f aca="false">IF(ISBLANK($C21),"",AND($AJ21,$BC21=""))</f>
        <v/>
      </c>
      <c r="CO21" s="74" t="str">
        <f aca="false">IF(ISBLANK($C21),"",AND($AJ21,$BF21=""))</f>
        <v/>
      </c>
      <c r="CP21" s="75"/>
      <c r="CQ21" s="76"/>
      <c r="CR21" s="79" t="str">
        <f aca="false">IF(ISBLANK($C21),"",IF($BH21=Constants!$B$8,$CI21,""))</f>
        <v/>
      </c>
      <c r="CS21" s="76" t="str">
        <f aca="false">IF(ISBLANK($C21),"",IF($BH21&lt;&gt;Constants!$B$4,"",$BK21+$BL21))</f>
        <v/>
      </c>
      <c r="CT21" s="78" t="str">
        <f aca="false">IF(ISBLANK($C21),"",IF($BH21&lt;&gt;Constants!$B$4,"",$BM21+$BN21+$BO21))</f>
        <v/>
      </c>
      <c r="CU21" s="78" t="str">
        <f aca="false">IF(ISBLANK($C21),"",IF($BH21&lt;&gt;Constants!$B$4,"",$BP21))</f>
        <v/>
      </c>
      <c r="CV21" s="78" t="str">
        <f aca="false">IF(ISBLANK($C21),"",IF($BH21&lt;&gt;Constants!$B$4,"",$BQ21+$BR21))</f>
        <v/>
      </c>
      <c r="CW21" s="78" t="str">
        <f aca="false">IF(ISBLANK($C21),"",IF($BH21&lt;&gt;Constants!$B$4,"",$BS21))</f>
        <v/>
      </c>
      <c r="CX21" s="78" t="str">
        <f aca="false">IF(ISBLANK($C21),"",IF($BH21&lt;&gt;Constants!$B$4,"",-$BZ21))</f>
        <v/>
      </c>
      <c r="CY21" s="79" t="str">
        <f aca="false">IF(ISBLANK($C21),"",$CA21)</f>
        <v/>
      </c>
      <c r="CZ21" s="80" t="str">
        <f aca="false">IF(ISBLANK($C21),"",$BI21)</f>
        <v/>
      </c>
      <c r="DA21" s="78" t="str">
        <f aca="false">IF(ISBLANK($C21),"",$CH21)</f>
        <v/>
      </c>
      <c r="DB21" s="78" t="str">
        <f aca="false">IF(ISBLANK($C21),"",$CG21)</f>
        <v/>
      </c>
      <c r="DC21" s="81" t="str">
        <f aca="false">IF(ISBLANK($C21),"",IFERROR(_xlfn.SWITCH($DB21,Constants!$B$7,COUNTA($C$9:$C$508)+2,Constants!$B$6,COUNTA($C$9:$C$508)+1,Constants!$B$5,COUNTA($C$9:$C$508)),$DB21))</f>
        <v/>
      </c>
      <c r="DD21" s="7"/>
      <c r="DE21" s="82" t="n">
        <f aca="false">IF(OR(ISNUMBER($DB21),$DB21=Constants!$B$7,$DB21=Constants!$B$5,$DB21=Constants!$B$6),1,0)</f>
        <v>0</v>
      </c>
      <c r="DF21" s="82" t="n">
        <v>13</v>
      </c>
      <c r="DG21" s="82" t="str">
        <f aca="false">IF(ISBLANK($C21),"",IF(ISNUMBER($DC21),$DC21+ROW($B21)/1000,""))</f>
        <v/>
      </c>
      <c r="DH21" s="82" t="str">
        <f aca="false">IF(ISNUMBER($DG21),RANK($DG21,$DG$9:$DG$508,1),"")</f>
        <v/>
      </c>
      <c r="DI21" s="82" t="str">
        <f aca="false">IF(ISBLANK($C21),"",$B21)</f>
        <v/>
      </c>
      <c r="DJ21" s="82" t="str">
        <f aca="false">IF(ISBLANK($C21),"",$C21)</f>
        <v/>
      </c>
      <c r="DK21" s="82" t="str">
        <f aca="false">IF(ISBLANK($C21),"",$D21)</f>
        <v/>
      </c>
      <c r="DL21" s="83" t="str">
        <f aca="false">$CZ21</f>
        <v/>
      </c>
      <c r="DM21" s="84" t="str">
        <f aca="false">$CY21</f>
        <v/>
      </c>
      <c r="DN21" s="82" t="str">
        <f aca="false">IF(ISBLANK($C21),"",$DB21)</f>
        <v/>
      </c>
      <c r="DO21" s="85" t="str">
        <f aca="false">IF($DF21&gt;$DE$8,"",VLOOKUP($DF21,$DH$9:$DN$508,7,FALSE()))</f>
        <v/>
      </c>
      <c r="DP21" s="86" t="str">
        <f aca="false">IF($DF21&gt;$DE$8,"",VLOOKUP($DF21,$DH$9:$DN$508,2,FALSE()))</f>
        <v/>
      </c>
      <c r="DQ21" s="86" t="str">
        <f aca="false">IF($DF21&gt;$DE$8,"",VLOOKUP($DF21,$DH$9:$DN$508,3,FALSE()))</f>
        <v/>
      </c>
      <c r="DR21" s="86" t="str">
        <f aca="false">IF($DF21&gt;$DE$8,"",VLOOKUP($DF21,$DH$9:$DN$508,4,FALSE()))</f>
        <v/>
      </c>
      <c r="DS21" s="86" t="str">
        <f aca="false">IF($DF21&gt;$DE$8,"",VLOOKUP($DF21,$DH$9:$DN$508,5,FALSE()))</f>
        <v/>
      </c>
      <c r="DT21" s="87" t="str">
        <f aca="false">IF($DF21&gt;$DE$8,"",VLOOKUP($DF21,$DH$9:$DN$508,6,FALSE()))</f>
        <v/>
      </c>
      <c r="DU21" s="62"/>
    </row>
    <row r="22" customFormat="false" ht="15.75" hidden="false" customHeight="false" outlineLevel="0" collapsed="false">
      <c r="A22" s="7"/>
      <c r="B22" s="64"/>
      <c r="C22" s="65"/>
      <c r="D22" s="123"/>
      <c r="E22" s="117"/>
      <c r="F22" s="118"/>
      <c r="G22" s="117"/>
      <c r="H22" s="118"/>
      <c r="I22" s="119"/>
      <c r="J22" s="119"/>
      <c r="K22" s="119"/>
      <c r="L22" s="117"/>
      <c r="M22" s="117"/>
      <c r="N22" s="117"/>
      <c r="O22" s="118"/>
      <c r="P22" s="117"/>
      <c r="Q22" s="117"/>
      <c r="R22" s="117"/>
      <c r="S22" s="117"/>
      <c r="T22" s="118"/>
      <c r="U22" s="117"/>
      <c r="V22" s="120"/>
      <c r="W22" s="117"/>
      <c r="X22" s="117"/>
      <c r="Y22" s="120"/>
      <c r="Z22" s="120"/>
      <c r="AA22" s="117"/>
      <c r="AB22" s="117"/>
      <c r="AC22" s="121"/>
      <c r="AD22" s="122"/>
      <c r="AE22" s="73"/>
      <c r="AF22" s="74"/>
      <c r="AG22" s="74"/>
      <c r="AH22" s="74" t="str">
        <f aca="false">IF(ISBLANK($C22),"",IF($E22=Constants!$B$2,TRUE(),IF($E22=Constants!$B$3,FALSE(),TRUE())))</f>
        <v/>
      </c>
      <c r="AI22" s="74" t="str">
        <f aca="false">IF(ISBLANK($C22),"",IF($F22=Constants!$B$2,TRUE(),IF($F22=Constants!$B$3,FALSE(),FALSE())))</f>
        <v/>
      </c>
      <c r="AJ22" s="74" t="str">
        <f aca="false">IF(ISBLANK($C22),"",IF($G22=Constants!$B$2,TRUE(),IF($G22=Constants!$B$3,FALSE(),TRUE())))</f>
        <v/>
      </c>
      <c r="AK22" s="74" t="str">
        <f aca="false">IF(ISBLANK($C22),"",IF($H22=Constants!$B$2,TRUE(),IF($H22=Constants!$B$3,FALSE(),TRUE())))</f>
        <v/>
      </c>
      <c r="AL22" s="74" t="str">
        <f aca="false">IF(ISBLANK($C22),"",IF(ISNUMBER($I22),IF($I22&gt;=0,$I22,""),""))</f>
        <v/>
      </c>
      <c r="AM22" s="74" t="str">
        <f aca="false">IF(ISBLANK($C22),"",IF(ISNUMBER($J22),IF($J22&gt;=0,$J22,""),""))</f>
        <v/>
      </c>
      <c r="AN22" s="74" t="str">
        <f aca="false">IF(ISBLANK($C22),"",IF(ISNUMBER($K22),IF($K22&gt;=0,$K22,""),""))</f>
        <v/>
      </c>
      <c r="AO22" s="74" t="str">
        <f aca="false">IF(ISBLANK($C22),"",IF($L22=Constants!$B$2,TRUE(),IF($L22=Constants!$B$3,FALSE(),TRUE())))</f>
        <v/>
      </c>
      <c r="AP22" s="74" t="str">
        <f aca="false">IF(ISBLANK($C22),"",IF($M22=Constants!$B$2,TRUE(),IF($M22=Constants!$B$3,FALSE(),TRUE())))</f>
        <v/>
      </c>
      <c r="AQ22" s="74" t="str">
        <f aca="false">IF(ISBLANK($C22),"",IF($N22=Constants!$B$2,TRUE(),IF($N22=Constants!$B$3,FALSE(),FALSE())))</f>
        <v/>
      </c>
      <c r="AR22" s="74" t="str">
        <f aca="false">IF(ISBLANK($C22),"",IF($O22=Constants!$B$2,TRUE(),IF($O22=Constants!$B$3,FALSE(),TRUE())))</f>
        <v/>
      </c>
      <c r="AS22" s="74" t="str">
        <f aca="false">IF(ISBLANK($C22),"",IF($P22=Constants!$B$2,TRUE(),IF($P22=Constants!$B$3,FALSE(),FALSE())))</f>
        <v/>
      </c>
      <c r="AT22" s="74" t="str">
        <f aca="false">IF(ISBLANK($C22),"",IF($Q22=Constants!$B$2,TRUE(),IF($Q22=Constants!$B$3,FALSE(),FALSE())))</f>
        <v/>
      </c>
      <c r="AU22" s="74" t="str">
        <f aca="false">IF(ISBLANK($C22),"",IF($R22=Constants!$B$2,TRUE(),IF($R22=Constants!$B$3,FALSE(),FALSE())))</f>
        <v/>
      </c>
      <c r="AV22" s="74" t="str">
        <f aca="false">IF(ISBLANK($C22),"",IF($S22=Constants!$B$2,TRUE(),IF($S22=Constants!$B$3,FALSE(),FALSE())))</f>
        <v/>
      </c>
      <c r="AW22" s="74" t="str">
        <f aca="false">IF(ISBLANK($C22),"",IF($T22=Constants!$B$2,TRUE(),IF($T22=Constants!$B$3,FALSE(),FALSE())))</f>
        <v/>
      </c>
      <c r="AX22" s="74" t="str">
        <f aca="false">IF(ISBLANK($C22),"",IF(OR($U22&amp;""="1",$U22&amp;""="2",$U22&amp;""="3",$U22&amp;""="4"),VALUE($U22&amp;""),IF($U22=Constants!$B$12,Constants!$B$12,"")))</f>
        <v/>
      </c>
      <c r="AY22" s="74" t="str">
        <f aca="false">IF(ISBLANK($C22),"",IF(ISBLANK($V22),0,IF(ISNUMBER($V22),IF(AND($V22&gt;=0,$V22&lt;=Constants!$B$21,$V22=INT($V22)),$V22,""),"")))</f>
        <v/>
      </c>
      <c r="AZ22" s="74" t="str">
        <f aca="false">IF(ISBLANK($C22),"",IF(ISBLANK($W22),0,IF(ISNUMBER($W22),IF($W22&gt;=0,$W22,""),"")))</f>
        <v/>
      </c>
      <c r="BA22" s="74" t="str">
        <f aca="false">IF(ISBLANK($C22),"",IF($X22=Constants!$B$2,TRUE(),IF($X22=Constants!$B$3,FALSE(),TRUE())))</f>
        <v/>
      </c>
      <c r="BB22" s="74" t="str">
        <f aca="false">IF(ISBLANK($C22),"",IF($Y22=Constants!$B$2,TRUE(),IF($Y22=Constants!$B$3,FALSE(),FALSE())))</f>
        <v/>
      </c>
      <c r="BC22" s="74" t="str">
        <f aca="false">IF(ISBLANK($C22),"",IF(ISBLANK($Z22),0,IF(ISNUMBER($Z22),IF(AND($Z22&gt;=0,$Z22&lt;=Constants!$B$35,$Z22=INT($Z22)),$Z22,""),"")))</f>
        <v/>
      </c>
      <c r="BD22" s="74" t="str">
        <f aca="false">IF(ISBLANK($C22),"",IF($AA22=Constants!$B$2,TRUE(),IF($AA22=Constants!$B$3,FALSE(),TRUE())))</f>
        <v/>
      </c>
      <c r="BE22" s="74" t="str">
        <f aca="false">IF(ISBLANK($C22),"",IF($AB22=Constants!$B$2,TRUE(),IF($AB22=Constants!$B$3,FALSE(),TRUE())))</f>
        <v/>
      </c>
      <c r="BF22" s="74" t="str">
        <f aca="false">IF(ISBLANK($C22),"",IF(ISNUMBER($AC22),IF($AC22&gt;=0,$AC22,""),""))</f>
        <v/>
      </c>
      <c r="BG22" s="74" t="str">
        <f aca="false">IF(ISBLANK($C22),"",IF($AD22=Constants!$B$2,TRUE(),IF($AD22=Constants!$B$3,FALSE(),FALSE())))</f>
        <v/>
      </c>
      <c r="BH22" s="73" t="str">
        <f aca="false">IF(ISBLANK($C22),"",IF($BG22,Constants!$B$7,IF(COUNTA($E22:$AC22)=0,Constants!$B$6,IF(OR(COUNTA($G22:$AC22)=0,NOT($AK22),$AQ22),Constants!$B$5,IF(OR($CI22&lt;&gt;"",$CJ22,$CK22,$CL22,$CM22,$CN22,$CO22),Constants!$B$8,Constants!$B$4)))))</f>
        <v/>
      </c>
      <c r="BI22" s="74" t="str">
        <f aca="false">IF(ISBLANK($C22),"",IF($BH22&lt;&gt;Constants!$B$4,$BH22,IF(OR(NOT($AH22),NOT($AJ22),NOT($AR22)),Constants!$B$11,IF(OR(NOT($AP22),MAX($AL22,$AM22,$AN22)&gt;Constants!$B$30),Constants!$B$10,Constants!$B$9))))</f>
        <v/>
      </c>
      <c r="BJ22" s="74" t="str">
        <f aca="false">IF($BH22&lt;&gt;Constants!$B$4,"",IF(NOT($AJ22),0,MIN(Constants!$B$35,$BC22)))</f>
        <v/>
      </c>
      <c r="BK22" s="74" t="str">
        <f aca="false">IF($BH22&lt;&gt;Constants!$B$4,"",IF(NOT($AJ22),0,IF($AT22,Constants!$B$18,IF($AS22,Constants!$B$17,0))))</f>
        <v/>
      </c>
      <c r="BL22" s="74" t="str">
        <f aca="false">IF($BH22&lt;&gt;Constants!$B$4,"",IF(NOT($AJ22),0,Constants!$B$19*($AI22+$AU22+$AV22+$AW22)))</f>
        <v/>
      </c>
      <c r="BM22" s="74" t="str">
        <f aca="false">IF($BH22&lt;&gt;Constants!$B$4,"",IF(OR(NOT($AJ22),NOT(ISNUMBER($AX22))),0,CHOOSE($AX22,Constants!$B$13,Constants!$B$14,Constants!$B$15,Constants!$B$16)))</f>
        <v/>
      </c>
      <c r="BN22" s="74" t="str">
        <f aca="false">IF($BH22&lt;&gt;Constants!$B$4,"",IF(NOT($AJ22),0,Constants!$B$20*$AY22))</f>
        <v/>
      </c>
      <c r="BO22" s="74" t="str">
        <f aca="false">IF($BH22&lt;&gt;Constants!$B$4,"",IF(AND($AJ22,$BA22,$BB22),Constants!$B$22,0))</f>
        <v/>
      </c>
      <c r="BP22" s="74" t="str">
        <f aca="false">IF($BH22&lt;&gt;Constants!$B$4,"",IF(OR(NOT($AJ22),NOT($BA22)),0,IF($BF22&gt;=2*$AF$9,0,Constants!$B$23*INT(ROUND(MIN($BF22,$AF$9),6)))))</f>
        <v/>
      </c>
      <c r="BQ22" s="74" t="str">
        <f aca="false">IF($BH22&lt;&gt;Constants!$B$4,"",IF(NOT($AJ22),0,Constants!$B$24*INT(ROUND(MIN($AZ22,$AF$9),6))))</f>
        <v/>
      </c>
      <c r="BR22" s="74" t="str">
        <f aca="false">IF($BH22&lt;&gt;Constants!$B$4,"",IF(AND($AJ22,$BJ22=0),Constants!$B$25,0))</f>
        <v/>
      </c>
      <c r="BS22" s="74" t="str">
        <f aca="false">IF($BH22&lt;&gt;Constants!$B$4,"",MIN(Constants!$B$29,MAX(0,Constants!$B$27*Constants!$B$28*INT(ROUND((Constants!$B$26-$AL22)/Constants!$B$28,6))))+MIN(Constants!$B$29,MAX(0,Constants!$B$27*Constants!$B$28*INT(ROUND((Constants!$B$26-$AM22)/Constants!$B$28,6))))+MIN(Constants!$B$29,MAX(0,Constants!$B$27*Constants!$B$28*INT(ROUND((Constants!$B$26-$AN22)/Constants!$B$28,6)))))</f>
        <v/>
      </c>
      <c r="BT22" s="74" t="str">
        <f aca="false">IF($BH22&lt;&gt;Constants!$B$4,"",IF(NOT($AJ22),0,Constants!$B$31*INT(ROUND(MAX(0,MIN($BF22,2*$AF$9)-$AF$9),6))))</f>
        <v/>
      </c>
      <c r="BU22" s="74" t="str">
        <f aca="false">IF($BH22&lt;&gt;Constants!$B$4,"",Constants!$B$32*(($AL22&gt;Constants!$B$26)+($AM22&gt;Constants!$B$26)+($AN22&gt;Constants!$B$26)))</f>
        <v/>
      </c>
      <c r="BV22" s="74" t="str">
        <f aca="false">IF($BH22&lt;&gt;Constants!$B$4,"",IF(OR(NOT($AJ22),$AO22),0,Constants!$B$33))</f>
        <v/>
      </c>
      <c r="BW22" s="74" t="str">
        <f aca="false">IF($BH22&lt;&gt;Constants!$B$4,"",Constants!$B$34*$BJ22)</f>
        <v/>
      </c>
      <c r="BX22" s="74" t="str">
        <f aca="false">IF($BH22&lt;&gt;Constants!$B$4,"",IF(OR(NOT($AJ22),$BE22),0,Constants!$B$36))</f>
        <v/>
      </c>
      <c r="BY22" s="74" t="str">
        <f aca="false">IF($BH22&lt;&gt;Constants!$B$4,"",IF(OR(NOT($AJ22),$BD22),0,Constants!$B$37))</f>
        <v/>
      </c>
      <c r="BZ22" s="74" t="str">
        <f aca="false">IF($BH22&lt;&gt;Constants!$B$4,"",SUM($BT22:$BY22))</f>
        <v/>
      </c>
      <c r="CA22" s="74" t="str">
        <f aca="false">IF(ISBLANK($C22),"",IF($BH22&lt;&gt;Constants!$B$4,$BH22,SUM($BK22:$BS22)-$BZ22))</f>
        <v/>
      </c>
      <c r="CB22" s="74" t="str">
        <f aca="false">IF(ISBLANK($C22),"",IF($BH22&lt;&gt;Constants!$B$4,$BH22,RANK($CA22,$CA$9:$CA$508)))</f>
        <v/>
      </c>
      <c r="CC22" s="74" t="str">
        <f aca="false">IF(ISBLANK($C22),"",IF($BH22&lt;&gt;Constants!$B$4,$BH22,COUNTIFS($BI$9:$BI$508,"&lt;"&amp;$BI22)+COUNTIFS($BI$9:$BI$508,$BI22,$CB$9:$CB$508,"&lt;"&amp;$CB22)+1))</f>
        <v/>
      </c>
      <c r="CD22" s="74" t="str">
        <f aca="false">IF(ISBLANK($C22),"",IF($BH22&lt;&gt;Constants!$B$4,$BH22,RANK($BZ22,$BZ$9:$BZ$508,1)))</f>
        <v/>
      </c>
      <c r="CE22" s="74" t="str">
        <f aca="false">IF($BH22&lt;&gt;Constants!$B$4,"",$AL22+$AM22+$AN22)</f>
        <v/>
      </c>
      <c r="CF22" s="74" t="str">
        <f aca="false">IF(ISBLANK($C22),"",IF($BH22&lt;&gt;Constants!$B$4,$BH22,RANK($CE22,$CE$9:$CE$508,1)))</f>
        <v/>
      </c>
      <c r="CG22" s="74" t="str">
        <f aca="false">IF(ISBLANK($C22),"",IF($BH22&lt;&gt;Constants!$B$4,$BH22,COUNTIFS($BI$9:$BI$508,"&lt;"&amp;$BI22)+COUNTIFS($BI$9:$BI$508,$BI22,$CB$9:$CB$508,"&lt;"&amp;$CB22)+COUNTIFS($BI$9:$BI$508,$BI22,$CB$9:$CB$508,$CB22,$CD$9:$CD$508,"&lt;"&amp;$CD22)+COUNTIFS($BI$9:$BI$508,$BI22,$CB$9:$CB$508,$CB22,$CD$9:$CD$508,$CD22,$CF$9:$CF$508,"&lt;"&amp;$CF22)+1))</f>
        <v/>
      </c>
      <c r="CH22" s="74" t="str">
        <f aca="false">IF(ISBLANK($C22),"",IF($BH22&lt;&gt;Constants!$B$4,$BH22,$CC22-$CG22))</f>
        <v/>
      </c>
      <c r="CI22" s="74" t="str">
        <f aca="false">IF(ISBLANK($C22),"",IF(NOT($AJ22),"",IF(ISBLANK($D$7),$CI$5,IF(NOT(ISNUMBER($D$7)),$CI$6,""))))</f>
        <v/>
      </c>
      <c r="CJ22" s="74" t="str">
        <f aca="false">IF(ISBLANK($C22),"",OR($AL22="",$AM22="",$AN22=""))</f>
        <v/>
      </c>
      <c r="CK22" s="74" t="str">
        <f aca="false">IF(ISBLANK($C22),"",AND($AJ22,$AX22=""))</f>
        <v/>
      </c>
      <c r="CL22" s="74" t="str">
        <f aca="false">IF(ISBLANK($C22),"",AND($AJ22,$AY22=""))</f>
        <v/>
      </c>
      <c r="CM22" s="74" t="str">
        <f aca="false">IF(ISBLANK($C22),"",AND($AJ22,$AZ22=""))</f>
        <v/>
      </c>
      <c r="CN22" s="74" t="str">
        <f aca="false">IF(ISBLANK($C22),"",AND($AJ22,$BC22=""))</f>
        <v/>
      </c>
      <c r="CO22" s="74" t="str">
        <f aca="false">IF(ISBLANK($C22),"",AND($AJ22,$BF22=""))</f>
        <v/>
      </c>
      <c r="CP22" s="75"/>
      <c r="CQ22" s="76"/>
      <c r="CR22" s="79" t="str">
        <f aca="false">IF(ISBLANK($C22),"",IF($BH22=Constants!$B$8,$CI22,""))</f>
        <v/>
      </c>
      <c r="CS22" s="76" t="str">
        <f aca="false">IF(ISBLANK($C22),"",IF($BH22&lt;&gt;Constants!$B$4,"",$BK22+$BL22))</f>
        <v/>
      </c>
      <c r="CT22" s="78" t="str">
        <f aca="false">IF(ISBLANK($C22),"",IF($BH22&lt;&gt;Constants!$B$4,"",$BM22+$BN22+$BO22))</f>
        <v/>
      </c>
      <c r="CU22" s="78" t="str">
        <f aca="false">IF(ISBLANK($C22),"",IF($BH22&lt;&gt;Constants!$B$4,"",$BP22))</f>
        <v/>
      </c>
      <c r="CV22" s="78" t="str">
        <f aca="false">IF(ISBLANK($C22),"",IF($BH22&lt;&gt;Constants!$B$4,"",$BQ22+$BR22))</f>
        <v/>
      </c>
      <c r="CW22" s="78" t="str">
        <f aca="false">IF(ISBLANK($C22),"",IF($BH22&lt;&gt;Constants!$B$4,"",$BS22))</f>
        <v/>
      </c>
      <c r="CX22" s="78" t="str">
        <f aca="false">IF(ISBLANK($C22),"",IF($BH22&lt;&gt;Constants!$B$4,"",-$BZ22))</f>
        <v/>
      </c>
      <c r="CY22" s="79" t="str">
        <f aca="false">IF(ISBLANK($C22),"",$CA22)</f>
        <v/>
      </c>
      <c r="CZ22" s="80" t="str">
        <f aca="false">IF(ISBLANK($C22),"",$BI22)</f>
        <v/>
      </c>
      <c r="DA22" s="78" t="str">
        <f aca="false">IF(ISBLANK($C22),"",$CH22)</f>
        <v/>
      </c>
      <c r="DB22" s="78" t="str">
        <f aca="false">IF(ISBLANK($C22),"",$CG22)</f>
        <v/>
      </c>
      <c r="DC22" s="81" t="str">
        <f aca="false">IF(ISBLANK($C22),"",IFERROR(_xlfn.SWITCH($DB22,Constants!$B$7,COUNTA($C$9:$C$508)+2,Constants!$B$6,COUNTA($C$9:$C$508)+1,Constants!$B$5,COUNTA($C$9:$C$508)),$DB22))</f>
        <v/>
      </c>
      <c r="DD22" s="7"/>
      <c r="DE22" s="82" t="n">
        <f aca="false">IF(OR(ISNUMBER($DB22),$DB22=Constants!$B$7,$DB22=Constants!$B$5,$DB22=Constants!$B$6),1,0)</f>
        <v>0</v>
      </c>
      <c r="DF22" s="82" t="n">
        <v>14</v>
      </c>
      <c r="DG22" s="82" t="str">
        <f aca="false">IF(ISBLANK($C22),"",IF(ISNUMBER($DC22),$DC22+ROW($B22)/1000,""))</f>
        <v/>
      </c>
      <c r="DH22" s="82" t="str">
        <f aca="false">IF(ISNUMBER($DG22),RANK($DG22,$DG$9:$DG$508,1),"")</f>
        <v/>
      </c>
      <c r="DI22" s="82" t="str">
        <f aca="false">IF(ISBLANK($C22),"",$B22)</f>
        <v/>
      </c>
      <c r="DJ22" s="82" t="str">
        <f aca="false">IF(ISBLANK($C22),"",$C22)</f>
        <v/>
      </c>
      <c r="DK22" s="82" t="str">
        <f aca="false">IF(ISBLANK($C22),"",$D22)</f>
        <v/>
      </c>
      <c r="DL22" s="83" t="str">
        <f aca="false">$CZ22</f>
        <v/>
      </c>
      <c r="DM22" s="84" t="str">
        <f aca="false">$CY22</f>
        <v/>
      </c>
      <c r="DN22" s="82" t="str">
        <f aca="false">IF(ISBLANK($C22),"",$DB22)</f>
        <v/>
      </c>
      <c r="DO22" s="85" t="str">
        <f aca="false">IF($DF22&gt;$DE$8,"",VLOOKUP($DF22,$DH$9:$DN$508,7,FALSE()))</f>
        <v/>
      </c>
      <c r="DP22" s="86" t="str">
        <f aca="false">IF($DF22&gt;$DE$8,"",VLOOKUP($DF22,$DH$9:$DN$508,2,FALSE()))</f>
        <v/>
      </c>
      <c r="DQ22" s="86" t="str">
        <f aca="false">IF($DF22&gt;$DE$8,"",VLOOKUP($DF22,$DH$9:$DN$508,3,FALSE()))</f>
        <v/>
      </c>
      <c r="DR22" s="86" t="str">
        <f aca="false">IF($DF22&gt;$DE$8,"",VLOOKUP($DF22,$DH$9:$DN$508,4,FALSE()))</f>
        <v/>
      </c>
      <c r="DS22" s="86" t="str">
        <f aca="false">IF($DF22&gt;$DE$8,"",VLOOKUP($DF22,$DH$9:$DN$508,5,FALSE()))</f>
        <v/>
      </c>
      <c r="DT22" s="87" t="str">
        <f aca="false">IF($DF22&gt;$DE$8,"",VLOOKUP($DF22,$DH$9:$DN$508,6,FALSE()))</f>
        <v/>
      </c>
      <c r="DU22" s="62"/>
    </row>
    <row r="23" customFormat="false" ht="15.75" hidden="false" customHeight="false" outlineLevel="0" collapsed="false">
      <c r="A23" s="7"/>
      <c r="B23" s="64"/>
      <c r="C23" s="65"/>
      <c r="D23" s="66"/>
      <c r="E23" s="117"/>
      <c r="F23" s="118"/>
      <c r="G23" s="117"/>
      <c r="H23" s="118"/>
      <c r="I23" s="119"/>
      <c r="J23" s="119"/>
      <c r="K23" s="119"/>
      <c r="L23" s="117"/>
      <c r="M23" s="117"/>
      <c r="N23" s="117"/>
      <c r="O23" s="118"/>
      <c r="P23" s="117"/>
      <c r="Q23" s="117"/>
      <c r="R23" s="117"/>
      <c r="S23" s="117"/>
      <c r="T23" s="118"/>
      <c r="U23" s="117"/>
      <c r="V23" s="120"/>
      <c r="W23" s="117"/>
      <c r="X23" s="117"/>
      <c r="Y23" s="120"/>
      <c r="Z23" s="120"/>
      <c r="AA23" s="117"/>
      <c r="AB23" s="117"/>
      <c r="AC23" s="121"/>
      <c r="AD23" s="122"/>
      <c r="AE23" s="73"/>
      <c r="AF23" s="74"/>
      <c r="AG23" s="74"/>
      <c r="AH23" s="74" t="str">
        <f aca="false">IF(ISBLANK($C23),"",IF($E23=Constants!$B$2,TRUE(),IF($E23=Constants!$B$3,FALSE(),TRUE())))</f>
        <v/>
      </c>
      <c r="AI23" s="74" t="str">
        <f aca="false">IF(ISBLANK($C23),"",IF($F23=Constants!$B$2,TRUE(),IF($F23=Constants!$B$3,FALSE(),FALSE())))</f>
        <v/>
      </c>
      <c r="AJ23" s="74" t="str">
        <f aca="false">IF(ISBLANK($C23),"",IF($G23=Constants!$B$2,TRUE(),IF($G23=Constants!$B$3,FALSE(),TRUE())))</f>
        <v/>
      </c>
      <c r="AK23" s="74" t="str">
        <f aca="false">IF(ISBLANK($C23),"",IF($H23=Constants!$B$2,TRUE(),IF($H23=Constants!$B$3,FALSE(),TRUE())))</f>
        <v/>
      </c>
      <c r="AL23" s="74" t="str">
        <f aca="false">IF(ISBLANK($C23),"",IF(ISNUMBER($I23),IF($I23&gt;=0,$I23,""),""))</f>
        <v/>
      </c>
      <c r="AM23" s="74" t="str">
        <f aca="false">IF(ISBLANK($C23),"",IF(ISNUMBER($J23),IF($J23&gt;=0,$J23,""),""))</f>
        <v/>
      </c>
      <c r="AN23" s="74" t="str">
        <f aca="false">IF(ISBLANK($C23),"",IF(ISNUMBER($K23),IF($K23&gt;=0,$K23,""),""))</f>
        <v/>
      </c>
      <c r="AO23" s="74" t="str">
        <f aca="false">IF(ISBLANK($C23),"",IF($L23=Constants!$B$2,TRUE(),IF($L23=Constants!$B$3,FALSE(),TRUE())))</f>
        <v/>
      </c>
      <c r="AP23" s="74" t="str">
        <f aca="false">IF(ISBLANK($C23),"",IF($M23=Constants!$B$2,TRUE(),IF($M23=Constants!$B$3,FALSE(),TRUE())))</f>
        <v/>
      </c>
      <c r="AQ23" s="74" t="str">
        <f aca="false">IF(ISBLANK($C23),"",IF($N23=Constants!$B$2,TRUE(),IF($N23=Constants!$B$3,FALSE(),FALSE())))</f>
        <v/>
      </c>
      <c r="AR23" s="74" t="str">
        <f aca="false">IF(ISBLANK($C23),"",IF($O23=Constants!$B$2,TRUE(),IF($O23=Constants!$B$3,FALSE(),TRUE())))</f>
        <v/>
      </c>
      <c r="AS23" s="74" t="str">
        <f aca="false">IF(ISBLANK($C23),"",IF($P23=Constants!$B$2,TRUE(),IF($P23=Constants!$B$3,FALSE(),FALSE())))</f>
        <v/>
      </c>
      <c r="AT23" s="74" t="str">
        <f aca="false">IF(ISBLANK($C23),"",IF($Q23=Constants!$B$2,TRUE(),IF($Q23=Constants!$B$3,FALSE(),FALSE())))</f>
        <v/>
      </c>
      <c r="AU23" s="74" t="str">
        <f aca="false">IF(ISBLANK($C23),"",IF($R23=Constants!$B$2,TRUE(),IF($R23=Constants!$B$3,FALSE(),FALSE())))</f>
        <v/>
      </c>
      <c r="AV23" s="74" t="str">
        <f aca="false">IF(ISBLANK($C23),"",IF($S23=Constants!$B$2,TRUE(),IF($S23=Constants!$B$3,FALSE(),FALSE())))</f>
        <v/>
      </c>
      <c r="AW23" s="74" t="str">
        <f aca="false">IF(ISBLANK($C23),"",IF($T23=Constants!$B$2,TRUE(),IF($T23=Constants!$B$3,FALSE(),FALSE())))</f>
        <v/>
      </c>
      <c r="AX23" s="74" t="str">
        <f aca="false">IF(ISBLANK($C23),"",IF(OR($U23&amp;""="1",$U23&amp;""="2",$U23&amp;""="3",$U23&amp;""="4"),VALUE($U23&amp;""),IF($U23=Constants!$B$12,Constants!$B$12,"")))</f>
        <v/>
      </c>
      <c r="AY23" s="74" t="str">
        <f aca="false">IF(ISBLANK($C23),"",IF(ISBLANK($V23),0,IF(ISNUMBER($V23),IF(AND($V23&gt;=0,$V23&lt;=Constants!$B$21,$V23=INT($V23)),$V23,""),"")))</f>
        <v/>
      </c>
      <c r="AZ23" s="74" t="str">
        <f aca="false">IF(ISBLANK($C23),"",IF(ISBLANK($W23),0,IF(ISNUMBER($W23),IF($W23&gt;=0,$W23,""),"")))</f>
        <v/>
      </c>
      <c r="BA23" s="74" t="str">
        <f aca="false">IF(ISBLANK($C23),"",IF($X23=Constants!$B$2,TRUE(),IF($X23=Constants!$B$3,FALSE(),TRUE())))</f>
        <v/>
      </c>
      <c r="BB23" s="74" t="str">
        <f aca="false">IF(ISBLANK($C23),"",IF($Y23=Constants!$B$2,TRUE(),IF($Y23=Constants!$B$3,FALSE(),FALSE())))</f>
        <v/>
      </c>
      <c r="BC23" s="74" t="str">
        <f aca="false">IF(ISBLANK($C23),"",IF(ISBLANK($Z23),0,IF(ISNUMBER($Z23),IF(AND($Z23&gt;=0,$Z23&lt;=Constants!$B$35,$Z23=INT($Z23)),$Z23,""),"")))</f>
        <v/>
      </c>
      <c r="BD23" s="74" t="str">
        <f aca="false">IF(ISBLANK($C23),"",IF($AA23=Constants!$B$2,TRUE(),IF($AA23=Constants!$B$3,FALSE(),TRUE())))</f>
        <v/>
      </c>
      <c r="BE23" s="74" t="str">
        <f aca="false">IF(ISBLANK($C23),"",IF($AB23=Constants!$B$2,TRUE(),IF($AB23=Constants!$B$3,FALSE(),TRUE())))</f>
        <v/>
      </c>
      <c r="BF23" s="74" t="str">
        <f aca="false">IF(ISBLANK($C23),"",IF(ISNUMBER($AC23),IF($AC23&gt;=0,$AC23,""),""))</f>
        <v/>
      </c>
      <c r="BG23" s="74" t="str">
        <f aca="false">IF(ISBLANK($C23),"",IF($AD23=Constants!$B$2,TRUE(),IF($AD23=Constants!$B$3,FALSE(),FALSE())))</f>
        <v/>
      </c>
      <c r="BH23" s="73" t="str">
        <f aca="false">IF(ISBLANK($C23),"",IF($BG23,Constants!$B$7,IF(COUNTA($E23:$AC23)=0,Constants!$B$6,IF(OR(COUNTA($G23:$AC23)=0,NOT($AK23),$AQ23),Constants!$B$5,IF(OR($CI23&lt;&gt;"",$CJ23,$CK23,$CL23,$CM23,$CN23,$CO23),Constants!$B$8,Constants!$B$4)))))</f>
        <v/>
      </c>
      <c r="BI23" s="74" t="str">
        <f aca="false">IF(ISBLANK($C23),"",IF($BH23&lt;&gt;Constants!$B$4,$BH23,IF(OR(NOT($AH23),NOT($AJ23),NOT($AR23)),Constants!$B$11,IF(OR(NOT($AP23),MAX($AL23,$AM23,$AN23)&gt;Constants!$B$30),Constants!$B$10,Constants!$B$9))))</f>
        <v/>
      </c>
      <c r="BJ23" s="74" t="str">
        <f aca="false">IF($BH23&lt;&gt;Constants!$B$4,"",IF(NOT($AJ23),0,MIN(Constants!$B$35,$BC23)))</f>
        <v/>
      </c>
      <c r="BK23" s="74" t="str">
        <f aca="false">IF($BH23&lt;&gt;Constants!$B$4,"",IF(NOT($AJ23),0,IF($AT23,Constants!$B$18,IF($AS23,Constants!$B$17,0))))</f>
        <v/>
      </c>
      <c r="BL23" s="74" t="str">
        <f aca="false">IF($BH23&lt;&gt;Constants!$B$4,"",IF(NOT($AJ23),0,Constants!$B$19*($AI23+$AU23+$AV23+$AW23)))</f>
        <v/>
      </c>
      <c r="BM23" s="74" t="str">
        <f aca="false">IF($BH23&lt;&gt;Constants!$B$4,"",IF(OR(NOT($AJ23),NOT(ISNUMBER($AX23))),0,CHOOSE($AX23,Constants!$B$13,Constants!$B$14,Constants!$B$15,Constants!$B$16)))</f>
        <v/>
      </c>
      <c r="BN23" s="74" t="str">
        <f aca="false">IF($BH23&lt;&gt;Constants!$B$4,"",IF(NOT($AJ23),0,Constants!$B$20*$AY23))</f>
        <v/>
      </c>
      <c r="BO23" s="74" t="str">
        <f aca="false">IF($BH23&lt;&gt;Constants!$B$4,"",IF(AND($AJ23,$BA23,$BB23),Constants!$B$22,0))</f>
        <v/>
      </c>
      <c r="BP23" s="74" t="str">
        <f aca="false">IF($BH23&lt;&gt;Constants!$B$4,"",IF(OR(NOT($AJ23),NOT($BA23)),0,IF($BF23&gt;=2*$AF$9,0,Constants!$B$23*INT(ROUND(MIN($BF23,$AF$9),6)))))</f>
        <v/>
      </c>
      <c r="BQ23" s="74" t="str">
        <f aca="false">IF($BH23&lt;&gt;Constants!$B$4,"",IF(NOT($AJ23),0,Constants!$B$24*INT(ROUND(MIN($AZ23,$AF$9),6))))</f>
        <v/>
      </c>
      <c r="BR23" s="74" t="str">
        <f aca="false">IF($BH23&lt;&gt;Constants!$B$4,"",IF(AND($AJ23,$BJ23=0),Constants!$B$25,0))</f>
        <v/>
      </c>
      <c r="BS23" s="74" t="str">
        <f aca="false">IF($BH23&lt;&gt;Constants!$B$4,"",MIN(Constants!$B$29,MAX(0,Constants!$B$27*Constants!$B$28*INT(ROUND((Constants!$B$26-$AL23)/Constants!$B$28,6))))+MIN(Constants!$B$29,MAX(0,Constants!$B$27*Constants!$B$28*INT(ROUND((Constants!$B$26-$AM23)/Constants!$B$28,6))))+MIN(Constants!$B$29,MAX(0,Constants!$B$27*Constants!$B$28*INT(ROUND((Constants!$B$26-$AN23)/Constants!$B$28,6)))))</f>
        <v/>
      </c>
      <c r="BT23" s="74" t="str">
        <f aca="false">IF($BH23&lt;&gt;Constants!$B$4,"",IF(NOT($AJ23),0,Constants!$B$31*INT(ROUND(MAX(0,MIN($BF23,2*$AF$9)-$AF$9),6))))</f>
        <v/>
      </c>
      <c r="BU23" s="74" t="str">
        <f aca="false">IF($BH23&lt;&gt;Constants!$B$4,"",Constants!$B$32*(($AL23&gt;Constants!$B$26)+($AM23&gt;Constants!$B$26)+($AN23&gt;Constants!$B$26)))</f>
        <v/>
      </c>
      <c r="BV23" s="74" t="str">
        <f aca="false">IF($BH23&lt;&gt;Constants!$B$4,"",IF(OR(NOT($AJ23),$AO23),0,Constants!$B$33))</f>
        <v/>
      </c>
      <c r="BW23" s="74" t="str">
        <f aca="false">IF($BH23&lt;&gt;Constants!$B$4,"",Constants!$B$34*$BJ23)</f>
        <v/>
      </c>
      <c r="BX23" s="74" t="str">
        <f aca="false">IF($BH23&lt;&gt;Constants!$B$4,"",IF(OR(NOT($AJ23),$BE23),0,Constants!$B$36))</f>
        <v/>
      </c>
      <c r="BY23" s="74" t="str">
        <f aca="false">IF($BH23&lt;&gt;Constants!$B$4,"",IF(OR(NOT($AJ23),$BD23),0,Constants!$B$37))</f>
        <v/>
      </c>
      <c r="BZ23" s="74" t="str">
        <f aca="false">IF($BH23&lt;&gt;Constants!$B$4,"",SUM($BT23:$BY23))</f>
        <v/>
      </c>
      <c r="CA23" s="74" t="str">
        <f aca="false">IF(ISBLANK($C23),"",IF($BH23&lt;&gt;Constants!$B$4,$BH23,SUM($BK23:$BS23)-$BZ23))</f>
        <v/>
      </c>
      <c r="CB23" s="74" t="str">
        <f aca="false">IF(ISBLANK($C23),"",IF($BH23&lt;&gt;Constants!$B$4,$BH23,RANK($CA23,$CA$9:$CA$508)))</f>
        <v/>
      </c>
      <c r="CC23" s="74" t="str">
        <f aca="false">IF(ISBLANK($C23),"",IF($BH23&lt;&gt;Constants!$B$4,$BH23,COUNTIFS($BI$9:$BI$508,"&lt;"&amp;$BI23)+COUNTIFS($BI$9:$BI$508,$BI23,$CB$9:$CB$508,"&lt;"&amp;$CB23)+1))</f>
        <v/>
      </c>
      <c r="CD23" s="74" t="str">
        <f aca="false">IF(ISBLANK($C23),"",IF($BH23&lt;&gt;Constants!$B$4,$BH23,RANK($BZ23,$BZ$9:$BZ$508,1)))</f>
        <v/>
      </c>
      <c r="CE23" s="74" t="str">
        <f aca="false">IF($BH23&lt;&gt;Constants!$B$4,"",$AL23+$AM23+$AN23)</f>
        <v/>
      </c>
      <c r="CF23" s="74" t="str">
        <f aca="false">IF(ISBLANK($C23),"",IF($BH23&lt;&gt;Constants!$B$4,$BH23,RANK($CE23,$CE$9:$CE$508,1)))</f>
        <v/>
      </c>
      <c r="CG23" s="74" t="str">
        <f aca="false">IF(ISBLANK($C23),"",IF($BH23&lt;&gt;Constants!$B$4,$BH23,COUNTIFS($BI$9:$BI$508,"&lt;"&amp;$BI23)+COUNTIFS($BI$9:$BI$508,$BI23,$CB$9:$CB$508,"&lt;"&amp;$CB23)+COUNTIFS($BI$9:$BI$508,$BI23,$CB$9:$CB$508,$CB23,$CD$9:$CD$508,"&lt;"&amp;$CD23)+COUNTIFS($BI$9:$BI$508,$BI23,$CB$9:$CB$508,$CB23,$CD$9:$CD$508,$CD23,$CF$9:$CF$508,"&lt;"&amp;$CF23)+1))</f>
        <v/>
      </c>
      <c r="CH23" s="74" t="str">
        <f aca="false">IF(ISBLANK($C23),"",IF($BH23&lt;&gt;Constants!$B$4,$BH23,$CC23-$CG23))</f>
        <v/>
      </c>
      <c r="CI23" s="74" t="str">
        <f aca="false">IF(ISBLANK($C23),"",IF(NOT($AJ23),"",IF(ISBLANK($D$7),$CI$5,IF(NOT(ISNUMBER($D$7)),$CI$6,""))))</f>
        <v/>
      </c>
      <c r="CJ23" s="74" t="str">
        <f aca="false">IF(ISBLANK($C23),"",OR($AL23="",$AM23="",$AN23=""))</f>
        <v/>
      </c>
      <c r="CK23" s="74" t="str">
        <f aca="false">IF(ISBLANK($C23),"",AND($AJ23,$AX23=""))</f>
        <v/>
      </c>
      <c r="CL23" s="74" t="str">
        <f aca="false">IF(ISBLANK($C23),"",AND($AJ23,$AY23=""))</f>
        <v/>
      </c>
      <c r="CM23" s="74" t="str">
        <f aca="false">IF(ISBLANK($C23),"",AND($AJ23,$AZ23=""))</f>
        <v/>
      </c>
      <c r="CN23" s="74" t="str">
        <f aca="false">IF(ISBLANK($C23),"",AND($AJ23,$BC23=""))</f>
        <v/>
      </c>
      <c r="CO23" s="74" t="str">
        <f aca="false">IF(ISBLANK($C23),"",AND($AJ23,$BF23=""))</f>
        <v/>
      </c>
      <c r="CP23" s="75"/>
      <c r="CQ23" s="76"/>
      <c r="CR23" s="79" t="str">
        <f aca="false">IF(ISBLANK($C23),"",IF($BH23=Constants!$B$8,$CI23,""))</f>
        <v/>
      </c>
      <c r="CS23" s="76" t="str">
        <f aca="false">IF(ISBLANK($C23),"",IF($BH23&lt;&gt;Constants!$B$4,"",$BK23+$BL23))</f>
        <v/>
      </c>
      <c r="CT23" s="78" t="str">
        <f aca="false">IF(ISBLANK($C23),"",IF($BH23&lt;&gt;Constants!$B$4,"",$BM23+$BN23+$BO23))</f>
        <v/>
      </c>
      <c r="CU23" s="78" t="str">
        <f aca="false">IF(ISBLANK($C23),"",IF($BH23&lt;&gt;Constants!$B$4,"",$BP23))</f>
        <v/>
      </c>
      <c r="CV23" s="78" t="str">
        <f aca="false">IF(ISBLANK($C23),"",IF($BH23&lt;&gt;Constants!$B$4,"",$BQ23+$BR23))</f>
        <v/>
      </c>
      <c r="CW23" s="78" t="str">
        <f aca="false">IF(ISBLANK($C23),"",IF($BH23&lt;&gt;Constants!$B$4,"",$BS23))</f>
        <v/>
      </c>
      <c r="CX23" s="78" t="str">
        <f aca="false">IF(ISBLANK($C23),"",IF($BH23&lt;&gt;Constants!$B$4,"",-$BZ23))</f>
        <v/>
      </c>
      <c r="CY23" s="79" t="str">
        <f aca="false">IF(ISBLANK($C23),"",$CA23)</f>
        <v/>
      </c>
      <c r="CZ23" s="80" t="str">
        <f aca="false">IF(ISBLANK($C23),"",$BI23)</f>
        <v/>
      </c>
      <c r="DA23" s="78" t="str">
        <f aca="false">IF(ISBLANK($C23),"",$CH23)</f>
        <v/>
      </c>
      <c r="DB23" s="78" t="str">
        <f aca="false">IF(ISBLANK($C23),"",$CG23)</f>
        <v/>
      </c>
      <c r="DC23" s="81" t="str">
        <f aca="false">IF(ISBLANK($C23),"",IFERROR(_xlfn.SWITCH($DB23,Constants!$B$7,COUNTA($C$9:$C$508)+2,Constants!$B$6,COUNTA($C$9:$C$508)+1,Constants!$B$5,COUNTA($C$9:$C$508)),$DB23))</f>
        <v/>
      </c>
      <c r="DD23" s="7"/>
      <c r="DE23" s="82" t="n">
        <f aca="false">IF(OR(ISNUMBER($DB23),$DB23=Constants!$B$7,$DB23=Constants!$B$5,$DB23=Constants!$B$6),1,0)</f>
        <v>0</v>
      </c>
      <c r="DF23" s="82" t="n">
        <v>15</v>
      </c>
      <c r="DG23" s="82" t="str">
        <f aca="false">IF(ISBLANK($C23),"",IF(ISNUMBER($DC23),$DC23+ROW($B23)/1000,""))</f>
        <v/>
      </c>
      <c r="DH23" s="82" t="str">
        <f aca="false">IF(ISNUMBER($DG23),RANK($DG23,$DG$9:$DG$508,1),"")</f>
        <v/>
      </c>
      <c r="DI23" s="82" t="str">
        <f aca="false">IF(ISBLANK($C23),"",$B23)</f>
        <v/>
      </c>
      <c r="DJ23" s="82" t="str">
        <f aca="false">IF(ISBLANK($C23),"",$C23)</f>
        <v/>
      </c>
      <c r="DK23" s="82" t="str">
        <f aca="false">IF(ISBLANK($C23),"",$D23)</f>
        <v/>
      </c>
      <c r="DL23" s="83" t="str">
        <f aca="false">$CZ23</f>
        <v/>
      </c>
      <c r="DM23" s="84" t="str">
        <f aca="false">$CY23</f>
        <v/>
      </c>
      <c r="DN23" s="82" t="str">
        <f aca="false">IF(ISBLANK($C23),"",$DB23)</f>
        <v/>
      </c>
      <c r="DO23" s="85" t="str">
        <f aca="false">IF($DF23&gt;$DE$8,"",VLOOKUP($DF23,$DH$9:$DN$508,7,FALSE()))</f>
        <v/>
      </c>
      <c r="DP23" s="86" t="str">
        <f aca="false">IF($DF23&gt;$DE$8,"",VLOOKUP($DF23,$DH$9:$DN$508,2,FALSE()))</f>
        <v/>
      </c>
      <c r="DQ23" s="86" t="str">
        <f aca="false">IF($DF23&gt;$DE$8,"",VLOOKUP($DF23,$DH$9:$DN$508,3,FALSE()))</f>
        <v/>
      </c>
      <c r="DR23" s="86" t="str">
        <f aca="false">IF($DF23&gt;$DE$8,"",VLOOKUP($DF23,$DH$9:$DN$508,4,FALSE()))</f>
        <v/>
      </c>
      <c r="DS23" s="86" t="str">
        <f aca="false">IF($DF23&gt;$DE$8,"",VLOOKUP($DF23,$DH$9:$DN$508,5,FALSE()))</f>
        <v/>
      </c>
      <c r="DT23" s="87" t="str">
        <f aca="false">IF($DF23&gt;$DE$8,"",VLOOKUP($DF23,$DH$9:$DN$508,6,FALSE()))</f>
        <v/>
      </c>
      <c r="DU23" s="62"/>
    </row>
    <row r="24" customFormat="false" ht="15.75" hidden="false" customHeight="false" outlineLevel="0" collapsed="false">
      <c r="A24" s="7"/>
      <c r="B24" s="90"/>
      <c r="C24" s="91"/>
      <c r="D24" s="126"/>
      <c r="E24" s="127"/>
      <c r="F24" s="128"/>
      <c r="G24" s="127"/>
      <c r="H24" s="128"/>
      <c r="I24" s="95"/>
      <c r="J24" s="95"/>
      <c r="K24" s="95"/>
      <c r="L24" s="127"/>
      <c r="M24" s="127"/>
      <c r="N24" s="127"/>
      <c r="O24" s="128"/>
      <c r="P24" s="127"/>
      <c r="Q24" s="127"/>
      <c r="R24" s="127"/>
      <c r="S24" s="127"/>
      <c r="T24" s="128"/>
      <c r="U24" s="127"/>
      <c r="V24" s="96"/>
      <c r="W24" s="127"/>
      <c r="X24" s="127"/>
      <c r="Y24" s="96"/>
      <c r="Z24" s="96"/>
      <c r="AA24" s="127"/>
      <c r="AB24" s="127"/>
      <c r="AC24" s="97"/>
      <c r="AD24" s="130"/>
      <c r="AE24" s="99"/>
      <c r="AF24" s="100"/>
      <c r="AG24" s="100"/>
      <c r="AH24" s="100" t="str">
        <f aca="false">IF(ISBLANK($C24),"",IF($E24=Constants!$B$2,TRUE(),IF($E24=Constants!$B$3,FALSE(),TRUE())))</f>
        <v/>
      </c>
      <c r="AI24" s="100" t="str">
        <f aca="false">IF(ISBLANK($C24),"",IF($F24=Constants!$B$2,TRUE(),IF($F24=Constants!$B$3,FALSE(),FALSE())))</f>
        <v/>
      </c>
      <c r="AJ24" s="100" t="str">
        <f aca="false">IF(ISBLANK($C24),"",IF($G24=Constants!$B$2,TRUE(),IF($G24=Constants!$B$3,FALSE(),TRUE())))</f>
        <v/>
      </c>
      <c r="AK24" s="100" t="str">
        <f aca="false">IF(ISBLANK($C24),"",IF($H24=Constants!$B$2,TRUE(),IF($H24=Constants!$B$3,FALSE(),TRUE())))</f>
        <v/>
      </c>
      <c r="AL24" s="100" t="str">
        <f aca="false">IF(ISBLANK($C24),"",IF(ISNUMBER($I24),IF($I24&gt;=0,$I24,""),""))</f>
        <v/>
      </c>
      <c r="AM24" s="100" t="str">
        <f aca="false">IF(ISBLANK($C24),"",IF(ISNUMBER($J24),IF($J24&gt;=0,$J24,""),""))</f>
        <v/>
      </c>
      <c r="AN24" s="100" t="str">
        <f aca="false">IF(ISBLANK($C24),"",IF(ISNUMBER($K24),IF($K24&gt;=0,$K24,""),""))</f>
        <v/>
      </c>
      <c r="AO24" s="100" t="str">
        <f aca="false">IF(ISBLANK($C24),"",IF($L24=Constants!$B$2,TRUE(),IF($L24=Constants!$B$3,FALSE(),TRUE())))</f>
        <v/>
      </c>
      <c r="AP24" s="100" t="str">
        <f aca="false">IF(ISBLANK($C24),"",IF($M24=Constants!$B$2,TRUE(),IF($M24=Constants!$B$3,FALSE(),TRUE())))</f>
        <v/>
      </c>
      <c r="AQ24" s="100" t="str">
        <f aca="false">IF(ISBLANK($C24),"",IF($N24=Constants!$B$2,TRUE(),IF($N24=Constants!$B$3,FALSE(),FALSE())))</f>
        <v/>
      </c>
      <c r="AR24" s="100" t="str">
        <f aca="false">IF(ISBLANK($C24),"",IF($O24=Constants!$B$2,TRUE(),IF($O24=Constants!$B$3,FALSE(),TRUE())))</f>
        <v/>
      </c>
      <c r="AS24" s="100" t="str">
        <f aca="false">IF(ISBLANK($C24),"",IF($P24=Constants!$B$2,TRUE(),IF($P24=Constants!$B$3,FALSE(),FALSE())))</f>
        <v/>
      </c>
      <c r="AT24" s="100" t="str">
        <f aca="false">IF(ISBLANK($C24),"",IF($Q24=Constants!$B$2,TRUE(),IF($Q24=Constants!$B$3,FALSE(),FALSE())))</f>
        <v/>
      </c>
      <c r="AU24" s="100" t="str">
        <f aca="false">IF(ISBLANK($C24),"",IF($R24=Constants!$B$2,TRUE(),IF($R24=Constants!$B$3,FALSE(),FALSE())))</f>
        <v/>
      </c>
      <c r="AV24" s="100" t="str">
        <f aca="false">IF(ISBLANK($C24),"",IF($S24=Constants!$B$2,TRUE(),IF($S24=Constants!$B$3,FALSE(),FALSE())))</f>
        <v/>
      </c>
      <c r="AW24" s="100" t="str">
        <f aca="false">IF(ISBLANK($C24),"",IF($T24=Constants!$B$2,TRUE(),IF($T24=Constants!$B$3,FALSE(),FALSE())))</f>
        <v/>
      </c>
      <c r="AX24" s="100" t="str">
        <f aca="false">IF(ISBLANK($C24),"",IF(OR($U24&amp;""="1",$U24&amp;""="2",$U24&amp;""="3",$U24&amp;""="4"),VALUE($U24&amp;""),IF($U24=Constants!$B$12,Constants!$B$12,"")))</f>
        <v/>
      </c>
      <c r="AY24" s="100" t="str">
        <f aca="false">IF(ISBLANK($C24),"",IF(ISBLANK($V24),0,IF(ISNUMBER($V24),IF(AND($V24&gt;=0,$V24&lt;=Constants!$B$21,$V24=INT($V24)),$V24,""),"")))</f>
        <v/>
      </c>
      <c r="AZ24" s="100" t="str">
        <f aca="false">IF(ISBLANK($C24),"",IF(ISBLANK($W24),0,IF(ISNUMBER($W24),IF($W24&gt;=0,$W24,""),"")))</f>
        <v/>
      </c>
      <c r="BA24" s="100" t="str">
        <f aca="false">IF(ISBLANK($C24),"",IF($X24=Constants!$B$2,TRUE(),IF($X24=Constants!$B$3,FALSE(),TRUE())))</f>
        <v/>
      </c>
      <c r="BB24" s="100" t="str">
        <f aca="false">IF(ISBLANK($C24),"",IF($Y24=Constants!$B$2,TRUE(),IF($Y24=Constants!$B$3,FALSE(),FALSE())))</f>
        <v/>
      </c>
      <c r="BC24" s="100" t="str">
        <f aca="false">IF(ISBLANK($C24),"",IF(ISBLANK($Z24),0,IF(ISNUMBER($Z24),IF(AND($Z24&gt;=0,$Z24&lt;=Constants!$B$35,$Z24=INT($Z24)),$Z24,""),"")))</f>
        <v/>
      </c>
      <c r="BD24" s="100" t="str">
        <f aca="false">IF(ISBLANK($C24),"",IF($AA24=Constants!$B$2,TRUE(),IF($AA24=Constants!$B$3,FALSE(),TRUE())))</f>
        <v/>
      </c>
      <c r="BE24" s="100" t="str">
        <f aca="false">IF(ISBLANK($C24),"",IF($AB24=Constants!$B$2,TRUE(),IF($AB24=Constants!$B$3,FALSE(),TRUE())))</f>
        <v/>
      </c>
      <c r="BF24" s="100" t="str">
        <f aca="false">IF(ISBLANK($C24),"",IF(ISNUMBER($AC24),IF($AC24&gt;=0,$AC24,""),""))</f>
        <v/>
      </c>
      <c r="BG24" s="100" t="str">
        <f aca="false">IF(ISBLANK($C24),"",IF($AD24=Constants!$B$2,TRUE(),IF($AD24=Constants!$B$3,FALSE(),FALSE())))</f>
        <v/>
      </c>
      <c r="BH24" s="99" t="str">
        <f aca="false">IF(ISBLANK($C24),"",IF($BG24,Constants!$B$7,IF(COUNTA($E24:$AC24)=0,Constants!$B$6,IF(OR(COUNTA($G24:$AC24)=0,NOT($AK24),$AQ24),Constants!$B$5,IF(OR($CI24&lt;&gt;"",$CJ24,$CK24,$CL24,$CM24,$CN24,$CO24),Constants!$B$8,Constants!$B$4)))))</f>
        <v/>
      </c>
      <c r="BI24" s="100" t="str">
        <f aca="false">IF(ISBLANK($C24),"",IF($BH24&lt;&gt;Constants!$B$4,$BH24,IF(OR(NOT($AH24),NOT($AJ24),NOT($AR24)),Constants!$B$11,IF(OR(NOT($AP24),MAX($AL24,$AM24,$AN24)&gt;Constants!$B$30),Constants!$B$10,Constants!$B$9))))</f>
        <v/>
      </c>
      <c r="BJ24" s="100" t="str">
        <f aca="false">IF($BH24&lt;&gt;Constants!$B$4,"",IF(NOT($AJ24),0,MIN(Constants!$B$35,$BC24)))</f>
        <v/>
      </c>
      <c r="BK24" s="100" t="str">
        <f aca="false">IF($BH24&lt;&gt;Constants!$B$4,"",IF(NOT($AJ24),0,IF($AT24,Constants!$B$18,IF($AS24,Constants!$B$17,0))))</f>
        <v/>
      </c>
      <c r="BL24" s="100" t="str">
        <f aca="false">IF($BH24&lt;&gt;Constants!$B$4,"",IF(NOT($AJ24),0,Constants!$B$19*($AI24+$AU24+$AV24+$AW24)))</f>
        <v/>
      </c>
      <c r="BM24" s="100" t="str">
        <f aca="false">IF($BH24&lt;&gt;Constants!$B$4,"",IF(OR(NOT($AJ24),NOT(ISNUMBER($AX24))),0,CHOOSE($AX24,Constants!$B$13,Constants!$B$14,Constants!$B$15,Constants!$B$16)))</f>
        <v/>
      </c>
      <c r="BN24" s="100" t="str">
        <f aca="false">IF($BH24&lt;&gt;Constants!$B$4,"",IF(NOT($AJ24),0,Constants!$B$20*$AY24))</f>
        <v/>
      </c>
      <c r="BO24" s="100" t="str">
        <f aca="false">IF($BH24&lt;&gt;Constants!$B$4,"",IF(AND($AJ24,$BA24,$BB24),Constants!$B$22,0))</f>
        <v/>
      </c>
      <c r="BP24" s="100" t="str">
        <f aca="false">IF($BH24&lt;&gt;Constants!$B$4,"",IF(OR(NOT($AJ24),NOT($BA24)),0,IF($BF24&gt;=2*$AF$9,0,Constants!$B$23*INT(ROUND(MIN($BF24,$AF$9),6)))))</f>
        <v/>
      </c>
      <c r="BQ24" s="100" t="str">
        <f aca="false">IF($BH24&lt;&gt;Constants!$B$4,"",IF(NOT($AJ24),0,Constants!$B$24*INT(ROUND(MIN($AZ24,$AF$9),6))))</f>
        <v/>
      </c>
      <c r="BR24" s="100" t="str">
        <f aca="false">IF($BH24&lt;&gt;Constants!$B$4,"",IF(AND($AJ24,$BJ24=0),Constants!$B$25,0))</f>
        <v/>
      </c>
      <c r="BS24" s="100" t="str">
        <f aca="false">IF($BH24&lt;&gt;Constants!$B$4,"",MIN(Constants!$B$29,MAX(0,Constants!$B$27*Constants!$B$28*INT(ROUND((Constants!$B$26-$AL24)/Constants!$B$28,6))))+MIN(Constants!$B$29,MAX(0,Constants!$B$27*Constants!$B$28*INT(ROUND((Constants!$B$26-$AM24)/Constants!$B$28,6))))+MIN(Constants!$B$29,MAX(0,Constants!$B$27*Constants!$B$28*INT(ROUND((Constants!$B$26-$AN24)/Constants!$B$28,6)))))</f>
        <v/>
      </c>
      <c r="BT24" s="100" t="str">
        <f aca="false">IF($BH24&lt;&gt;Constants!$B$4,"",IF(NOT($AJ24),0,Constants!$B$31*INT(ROUND(MAX(0,MIN($BF24,2*$AF$9)-$AF$9),6))))</f>
        <v/>
      </c>
      <c r="BU24" s="100" t="str">
        <f aca="false">IF($BH24&lt;&gt;Constants!$B$4,"",Constants!$B$32*(($AL24&gt;Constants!$B$26)+($AM24&gt;Constants!$B$26)+($AN24&gt;Constants!$B$26)))</f>
        <v/>
      </c>
      <c r="BV24" s="100" t="str">
        <f aca="false">IF($BH24&lt;&gt;Constants!$B$4,"",IF(OR(NOT($AJ24),$AO24),0,Constants!$B$33))</f>
        <v/>
      </c>
      <c r="BW24" s="100" t="str">
        <f aca="false">IF($BH24&lt;&gt;Constants!$B$4,"",Constants!$B$34*$BJ24)</f>
        <v/>
      </c>
      <c r="BX24" s="100" t="str">
        <f aca="false">IF($BH24&lt;&gt;Constants!$B$4,"",IF(OR(NOT($AJ24),$BE24),0,Constants!$B$36))</f>
        <v/>
      </c>
      <c r="BY24" s="100" t="str">
        <f aca="false">IF($BH24&lt;&gt;Constants!$B$4,"",IF(OR(NOT($AJ24),$BD24),0,Constants!$B$37))</f>
        <v/>
      </c>
      <c r="BZ24" s="100" t="str">
        <f aca="false">IF($BH24&lt;&gt;Constants!$B$4,"",SUM($BT24:$BY24))</f>
        <v/>
      </c>
      <c r="CA24" s="100" t="str">
        <f aca="false">IF(ISBLANK($C24),"",IF($BH24&lt;&gt;Constants!$B$4,$BH24,SUM($BK24:$BS24)-$BZ24))</f>
        <v/>
      </c>
      <c r="CB24" s="100" t="str">
        <f aca="false">IF(ISBLANK($C24),"",IF($BH24&lt;&gt;Constants!$B$4,$BH24,RANK($CA24,$CA$9:$CA$508)))</f>
        <v/>
      </c>
      <c r="CC24" s="100" t="str">
        <f aca="false">IF(ISBLANK($C24),"",IF($BH24&lt;&gt;Constants!$B$4,$BH24,COUNTIFS($BI$9:$BI$508,"&lt;"&amp;$BI24)+COUNTIFS($BI$9:$BI$508,$BI24,$CB$9:$CB$508,"&lt;"&amp;$CB24)+1))</f>
        <v/>
      </c>
      <c r="CD24" s="100" t="str">
        <f aca="false">IF(ISBLANK($C24),"",IF($BH24&lt;&gt;Constants!$B$4,$BH24,RANK($BZ24,$BZ$9:$BZ$508,1)))</f>
        <v/>
      </c>
      <c r="CE24" s="100" t="str">
        <f aca="false">IF($BH24&lt;&gt;Constants!$B$4,"",$AL24+$AM24+$AN24)</f>
        <v/>
      </c>
      <c r="CF24" s="100" t="str">
        <f aca="false">IF(ISBLANK($C24),"",IF($BH24&lt;&gt;Constants!$B$4,$BH24,RANK($CE24,$CE$9:$CE$508,1)))</f>
        <v/>
      </c>
      <c r="CG24" s="100" t="str">
        <f aca="false">IF(ISBLANK($C24),"",IF($BH24&lt;&gt;Constants!$B$4,$BH24,COUNTIFS($BI$9:$BI$508,"&lt;"&amp;$BI24)+COUNTIFS($BI$9:$BI$508,$BI24,$CB$9:$CB$508,"&lt;"&amp;$CB24)+COUNTIFS($BI$9:$BI$508,$BI24,$CB$9:$CB$508,$CB24,$CD$9:$CD$508,"&lt;"&amp;$CD24)+COUNTIFS($BI$9:$BI$508,$BI24,$CB$9:$CB$508,$CB24,$CD$9:$CD$508,$CD24,$CF$9:$CF$508,"&lt;"&amp;$CF24)+1))</f>
        <v/>
      </c>
      <c r="CH24" s="100" t="str">
        <f aca="false">IF(ISBLANK($C24),"",IF($BH24&lt;&gt;Constants!$B$4,$BH24,$CC24-$CG24))</f>
        <v/>
      </c>
      <c r="CI24" s="100" t="str">
        <f aca="false">IF(ISBLANK($C24),"",IF(NOT($AJ24),"",IF(ISBLANK($D$7),$CI$5,IF(NOT(ISNUMBER($D$7)),$CI$6,""))))</f>
        <v/>
      </c>
      <c r="CJ24" s="100" t="str">
        <f aca="false">IF(ISBLANK($C24),"",OR($AL24="",$AM24="",$AN24=""))</f>
        <v/>
      </c>
      <c r="CK24" s="100" t="str">
        <f aca="false">IF(ISBLANK($C24),"",AND($AJ24,$AX24=""))</f>
        <v/>
      </c>
      <c r="CL24" s="100" t="str">
        <f aca="false">IF(ISBLANK($C24),"",AND($AJ24,$AY24=""))</f>
        <v/>
      </c>
      <c r="CM24" s="100" t="str">
        <f aca="false">IF(ISBLANK($C24),"",AND($AJ24,$AZ24=""))</f>
        <v/>
      </c>
      <c r="CN24" s="100" t="str">
        <f aca="false">IF(ISBLANK($C24),"",AND($AJ24,$BC24=""))</f>
        <v/>
      </c>
      <c r="CO24" s="100" t="str">
        <f aca="false">IF(ISBLANK($C24),"",AND($AJ24,$BF24=""))</f>
        <v/>
      </c>
      <c r="CP24" s="101"/>
      <c r="CQ24" s="102"/>
      <c r="CR24" s="103" t="str">
        <f aca="false">IF(ISBLANK($C24),"",IF($BH24=Constants!$B$8,$CI24,""))</f>
        <v/>
      </c>
      <c r="CS24" s="102" t="str">
        <f aca="false">IF(ISBLANK($C24),"",IF($BH24&lt;&gt;Constants!$B$4,"",$BK24+$BL24))</f>
        <v/>
      </c>
      <c r="CT24" s="104" t="str">
        <f aca="false">IF(ISBLANK($C24),"",IF($BH24&lt;&gt;Constants!$B$4,"",$BM24+$BN24+$BO24))</f>
        <v/>
      </c>
      <c r="CU24" s="104" t="str">
        <f aca="false">IF(ISBLANK($C24),"",IF($BH24&lt;&gt;Constants!$B$4,"",$BP24))</f>
        <v/>
      </c>
      <c r="CV24" s="104" t="str">
        <f aca="false">IF(ISBLANK($C24),"",IF($BH24&lt;&gt;Constants!$B$4,"",$BQ24+$BR24))</f>
        <v/>
      </c>
      <c r="CW24" s="104" t="str">
        <f aca="false">IF(ISBLANK($C24),"",IF($BH24&lt;&gt;Constants!$B$4,"",$BS24))</f>
        <v/>
      </c>
      <c r="CX24" s="104" t="str">
        <f aca="false">IF(ISBLANK($C24),"",IF($BH24&lt;&gt;Constants!$B$4,"",-$BZ24))</f>
        <v/>
      </c>
      <c r="CY24" s="103" t="str">
        <f aca="false">IF(ISBLANK($C24),"",$CA24)</f>
        <v/>
      </c>
      <c r="CZ24" s="105" t="str">
        <f aca="false">IF(ISBLANK($C24),"",$BI24)</f>
        <v/>
      </c>
      <c r="DA24" s="104" t="str">
        <f aca="false">IF(ISBLANK($C24),"",$CH24)</f>
        <v/>
      </c>
      <c r="DB24" s="104" t="str">
        <f aca="false">IF(ISBLANK($C24),"",$CG24)</f>
        <v/>
      </c>
      <c r="DC24" s="106" t="str">
        <f aca="false">IF(ISBLANK($C24),"",IFERROR(_xlfn.SWITCH($DB24,Constants!$B$7,COUNTA($C$9:$C$508)+2,Constants!$B$6,COUNTA($C$9:$C$508)+1,Constants!$B$5,COUNTA($C$9:$C$508)),$DB24))</f>
        <v/>
      </c>
      <c r="DD24" s="7"/>
      <c r="DE24" s="107" t="n">
        <f aca="false">IF(OR(ISNUMBER($DB24),$DB24=Constants!$B$7,$DB24=Constants!$B$5,$DB24=Constants!$B$6),1,0)</f>
        <v>0</v>
      </c>
      <c r="DF24" s="107" t="n">
        <v>16</v>
      </c>
      <c r="DG24" s="107" t="str">
        <f aca="false">IF(ISBLANK($C24),"",IF(ISNUMBER($DC24),$DC24+ROW($B24)/1000,""))</f>
        <v/>
      </c>
      <c r="DH24" s="107" t="str">
        <f aca="false">IF(ISNUMBER($DG24),RANK($DG24,$DG$9:$DG$508,1),"")</f>
        <v/>
      </c>
      <c r="DI24" s="107" t="str">
        <f aca="false">IF(ISBLANK($C24),"",$B24)</f>
        <v/>
      </c>
      <c r="DJ24" s="107" t="str">
        <f aca="false">IF(ISBLANK($C24),"",$C24)</f>
        <v/>
      </c>
      <c r="DK24" s="107" t="str">
        <f aca="false">IF(ISBLANK($C24),"",$D24)</f>
        <v/>
      </c>
      <c r="DL24" s="108" t="str">
        <f aca="false">$CZ24</f>
        <v/>
      </c>
      <c r="DM24" s="109" t="str">
        <f aca="false">$CY24</f>
        <v/>
      </c>
      <c r="DN24" s="107" t="str">
        <f aca="false">IF(ISBLANK($C24),"",$DB24)</f>
        <v/>
      </c>
      <c r="DO24" s="110" t="str">
        <f aca="false">IF($DF24&gt;$DE$8,"",VLOOKUP($DF24,$DH$9:$DN$508,7,FALSE()))</f>
        <v/>
      </c>
      <c r="DP24" s="111" t="str">
        <f aca="false">IF($DF24&gt;$DE$8,"",VLOOKUP($DF24,$DH$9:$DN$508,2,FALSE()))</f>
        <v/>
      </c>
      <c r="DQ24" s="111" t="str">
        <f aca="false">IF($DF24&gt;$DE$8,"",VLOOKUP($DF24,$DH$9:$DN$508,3,FALSE()))</f>
        <v/>
      </c>
      <c r="DR24" s="111" t="str">
        <f aca="false">IF($DF24&gt;$DE$8,"",VLOOKUP($DF24,$DH$9:$DN$508,4,FALSE()))</f>
        <v/>
      </c>
      <c r="DS24" s="111" t="str">
        <f aca="false">IF($DF24&gt;$DE$8,"",VLOOKUP($DF24,$DH$9:$DN$508,5,FALSE()))</f>
        <v/>
      </c>
      <c r="DT24" s="112" t="str">
        <f aca="false">IF($DF24&gt;$DE$8,"",VLOOKUP($DF24,$DH$9:$DN$508,6,FALSE()))</f>
        <v/>
      </c>
      <c r="DU24" s="62"/>
    </row>
    <row r="25" customFormat="false" ht="15.75" hidden="false" customHeight="false" outlineLevel="0" collapsed="false">
      <c r="A25" s="7"/>
      <c r="B25" s="90"/>
      <c r="C25" s="91"/>
      <c r="D25" s="126"/>
      <c r="E25" s="127"/>
      <c r="F25" s="128"/>
      <c r="G25" s="127"/>
      <c r="H25" s="128"/>
      <c r="I25" s="95"/>
      <c r="J25" s="95"/>
      <c r="K25" s="95"/>
      <c r="L25" s="127"/>
      <c r="M25" s="127"/>
      <c r="N25" s="127"/>
      <c r="O25" s="128"/>
      <c r="P25" s="127"/>
      <c r="Q25" s="127"/>
      <c r="R25" s="127"/>
      <c r="S25" s="127"/>
      <c r="T25" s="128"/>
      <c r="U25" s="127"/>
      <c r="V25" s="96"/>
      <c r="W25" s="127"/>
      <c r="X25" s="127"/>
      <c r="Y25" s="96"/>
      <c r="Z25" s="96"/>
      <c r="AA25" s="127"/>
      <c r="AB25" s="127"/>
      <c r="AC25" s="97"/>
      <c r="AD25" s="130"/>
      <c r="AE25" s="99"/>
      <c r="AF25" s="100"/>
      <c r="AG25" s="100"/>
      <c r="AH25" s="100" t="str">
        <f aca="false">IF(ISBLANK($C25),"",IF($E25=Constants!$B$2,TRUE(),IF($E25=Constants!$B$3,FALSE(),TRUE())))</f>
        <v/>
      </c>
      <c r="AI25" s="100" t="str">
        <f aca="false">IF(ISBLANK($C25),"",IF($F25=Constants!$B$2,TRUE(),IF($F25=Constants!$B$3,FALSE(),FALSE())))</f>
        <v/>
      </c>
      <c r="AJ25" s="100" t="str">
        <f aca="false">IF(ISBLANK($C25),"",IF($G25=Constants!$B$2,TRUE(),IF($G25=Constants!$B$3,FALSE(),TRUE())))</f>
        <v/>
      </c>
      <c r="AK25" s="100" t="str">
        <f aca="false">IF(ISBLANK($C25),"",IF($H25=Constants!$B$2,TRUE(),IF($H25=Constants!$B$3,FALSE(),TRUE())))</f>
        <v/>
      </c>
      <c r="AL25" s="100" t="str">
        <f aca="false">IF(ISBLANK($C25),"",IF(ISNUMBER($I25),IF($I25&gt;=0,$I25,""),""))</f>
        <v/>
      </c>
      <c r="AM25" s="100" t="str">
        <f aca="false">IF(ISBLANK($C25),"",IF(ISNUMBER($J25),IF($J25&gt;=0,$J25,""),""))</f>
        <v/>
      </c>
      <c r="AN25" s="100" t="str">
        <f aca="false">IF(ISBLANK($C25),"",IF(ISNUMBER($K25),IF($K25&gt;=0,$K25,""),""))</f>
        <v/>
      </c>
      <c r="AO25" s="100" t="str">
        <f aca="false">IF(ISBLANK($C25),"",IF($L25=Constants!$B$2,TRUE(),IF($L25=Constants!$B$3,FALSE(),TRUE())))</f>
        <v/>
      </c>
      <c r="AP25" s="100" t="str">
        <f aca="false">IF(ISBLANK($C25),"",IF($M25=Constants!$B$2,TRUE(),IF($M25=Constants!$B$3,FALSE(),TRUE())))</f>
        <v/>
      </c>
      <c r="AQ25" s="100" t="str">
        <f aca="false">IF(ISBLANK($C25),"",IF($N25=Constants!$B$2,TRUE(),IF($N25=Constants!$B$3,FALSE(),FALSE())))</f>
        <v/>
      </c>
      <c r="AR25" s="100" t="str">
        <f aca="false">IF(ISBLANK($C25),"",IF($O25=Constants!$B$2,TRUE(),IF($O25=Constants!$B$3,FALSE(),TRUE())))</f>
        <v/>
      </c>
      <c r="AS25" s="100" t="str">
        <f aca="false">IF(ISBLANK($C25),"",IF($P25=Constants!$B$2,TRUE(),IF($P25=Constants!$B$3,FALSE(),FALSE())))</f>
        <v/>
      </c>
      <c r="AT25" s="100" t="str">
        <f aca="false">IF(ISBLANK($C25),"",IF($Q25=Constants!$B$2,TRUE(),IF($Q25=Constants!$B$3,FALSE(),FALSE())))</f>
        <v/>
      </c>
      <c r="AU25" s="100" t="str">
        <f aca="false">IF(ISBLANK($C25),"",IF($R25=Constants!$B$2,TRUE(),IF($R25=Constants!$B$3,FALSE(),FALSE())))</f>
        <v/>
      </c>
      <c r="AV25" s="100" t="str">
        <f aca="false">IF(ISBLANK($C25),"",IF($S25=Constants!$B$2,TRUE(),IF($S25=Constants!$B$3,FALSE(),FALSE())))</f>
        <v/>
      </c>
      <c r="AW25" s="100" t="str">
        <f aca="false">IF(ISBLANK($C25),"",IF($T25=Constants!$B$2,TRUE(),IF($T25=Constants!$B$3,FALSE(),FALSE())))</f>
        <v/>
      </c>
      <c r="AX25" s="100" t="str">
        <f aca="false">IF(ISBLANK($C25),"",IF(OR($U25&amp;""="1",$U25&amp;""="2",$U25&amp;""="3",$U25&amp;""="4"),VALUE($U25&amp;""),IF($U25=Constants!$B$12,Constants!$B$12,"")))</f>
        <v/>
      </c>
      <c r="AY25" s="100" t="str">
        <f aca="false">IF(ISBLANK($C25),"",IF(ISBLANK($V25),0,IF(ISNUMBER($V25),IF(AND($V25&gt;=0,$V25&lt;=Constants!$B$21,$V25=INT($V25)),$V25,""),"")))</f>
        <v/>
      </c>
      <c r="AZ25" s="100" t="str">
        <f aca="false">IF(ISBLANK($C25),"",IF(ISBLANK($W25),0,IF(ISNUMBER($W25),IF($W25&gt;=0,$W25,""),"")))</f>
        <v/>
      </c>
      <c r="BA25" s="100" t="str">
        <f aca="false">IF(ISBLANK($C25),"",IF($X25=Constants!$B$2,TRUE(),IF($X25=Constants!$B$3,FALSE(),TRUE())))</f>
        <v/>
      </c>
      <c r="BB25" s="100" t="str">
        <f aca="false">IF(ISBLANK($C25),"",IF($Y25=Constants!$B$2,TRUE(),IF($Y25=Constants!$B$3,FALSE(),FALSE())))</f>
        <v/>
      </c>
      <c r="BC25" s="100" t="str">
        <f aca="false">IF(ISBLANK($C25),"",IF(ISBLANK($Z25),0,IF(ISNUMBER($Z25),IF(AND($Z25&gt;=0,$Z25&lt;=Constants!$B$35,$Z25=INT($Z25)),$Z25,""),"")))</f>
        <v/>
      </c>
      <c r="BD25" s="100" t="str">
        <f aca="false">IF(ISBLANK($C25),"",IF($AA25=Constants!$B$2,TRUE(),IF($AA25=Constants!$B$3,FALSE(),TRUE())))</f>
        <v/>
      </c>
      <c r="BE25" s="100" t="str">
        <f aca="false">IF(ISBLANK($C25),"",IF($AB25=Constants!$B$2,TRUE(),IF($AB25=Constants!$B$3,FALSE(),TRUE())))</f>
        <v/>
      </c>
      <c r="BF25" s="100" t="str">
        <f aca="false">IF(ISBLANK($C25),"",IF(ISNUMBER($AC25),IF($AC25&gt;=0,$AC25,""),""))</f>
        <v/>
      </c>
      <c r="BG25" s="100" t="str">
        <f aca="false">IF(ISBLANK($C25),"",IF($AD25=Constants!$B$2,TRUE(),IF($AD25=Constants!$B$3,FALSE(),FALSE())))</f>
        <v/>
      </c>
      <c r="BH25" s="99" t="str">
        <f aca="false">IF(ISBLANK($C25),"",IF($BG25,Constants!$B$7,IF(COUNTA($E25:$AC25)=0,Constants!$B$6,IF(OR(COUNTA($G25:$AC25)=0,NOT($AK25),$AQ25),Constants!$B$5,IF(OR($CI25&lt;&gt;"",$CJ25,$CK25,$CL25,$CM25,$CN25,$CO25),Constants!$B$8,Constants!$B$4)))))</f>
        <v/>
      </c>
      <c r="BI25" s="100" t="str">
        <f aca="false">IF(ISBLANK($C25),"",IF($BH25&lt;&gt;Constants!$B$4,$BH25,IF(OR(NOT($AH25),NOT($AJ25),NOT($AR25)),Constants!$B$11,IF(OR(NOT($AP25),MAX($AL25,$AM25,$AN25)&gt;Constants!$B$30),Constants!$B$10,Constants!$B$9))))</f>
        <v/>
      </c>
      <c r="BJ25" s="100" t="str">
        <f aca="false">IF($BH25&lt;&gt;Constants!$B$4,"",IF(NOT($AJ25),0,MIN(Constants!$B$35,$BC25)))</f>
        <v/>
      </c>
      <c r="BK25" s="100" t="str">
        <f aca="false">IF($BH25&lt;&gt;Constants!$B$4,"",IF(NOT($AJ25),0,IF($AT25,Constants!$B$18,IF($AS25,Constants!$B$17,0))))</f>
        <v/>
      </c>
      <c r="BL25" s="100" t="str">
        <f aca="false">IF($BH25&lt;&gt;Constants!$B$4,"",IF(NOT($AJ25),0,Constants!$B$19*($AI25+$AU25+$AV25+$AW25)))</f>
        <v/>
      </c>
      <c r="BM25" s="100" t="str">
        <f aca="false">IF($BH25&lt;&gt;Constants!$B$4,"",IF(OR(NOT($AJ25),NOT(ISNUMBER($AX25))),0,CHOOSE($AX25,Constants!$B$13,Constants!$B$14,Constants!$B$15,Constants!$B$16)))</f>
        <v/>
      </c>
      <c r="BN25" s="100" t="str">
        <f aca="false">IF($BH25&lt;&gt;Constants!$B$4,"",IF(NOT($AJ25),0,Constants!$B$20*$AY25))</f>
        <v/>
      </c>
      <c r="BO25" s="100" t="str">
        <f aca="false">IF($BH25&lt;&gt;Constants!$B$4,"",IF(AND($AJ25,$BA25,$BB25),Constants!$B$22,0))</f>
        <v/>
      </c>
      <c r="BP25" s="100" t="str">
        <f aca="false">IF($BH25&lt;&gt;Constants!$B$4,"",IF(OR(NOT($AJ25),NOT($BA25)),0,IF($BF25&gt;=2*$AF$9,0,Constants!$B$23*INT(ROUND(MIN($BF25,$AF$9),6)))))</f>
        <v/>
      </c>
      <c r="BQ25" s="100" t="str">
        <f aca="false">IF($BH25&lt;&gt;Constants!$B$4,"",IF(NOT($AJ25),0,Constants!$B$24*INT(ROUND(MIN($AZ25,$AF$9),6))))</f>
        <v/>
      </c>
      <c r="BR25" s="100" t="str">
        <f aca="false">IF($BH25&lt;&gt;Constants!$B$4,"",IF(AND($AJ25,$BJ25=0),Constants!$B$25,0))</f>
        <v/>
      </c>
      <c r="BS25" s="100" t="str">
        <f aca="false">IF($BH25&lt;&gt;Constants!$B$4,"",MIN(Constants!$B$29,MAX(0,Constants!$B$27*Constants!$B$28*INT(ROUND((Constants!$B$26-$AL25)/Constants!$B$28,6))))+MIN(Constants!$B$29,MAX(0,Constants!$B$27*Constants!$B$28*INT(ROUND((Constants!$B$26-$AM25)/Constants!$B$28,6))))+MIN(Constants!$B$29,MAX(0,Constants!$B$27*Constants!$B$28*INT(ROUND((Constants!$B$26-$AN25)/Constants!$B$28,6)))))</f>
        <v/>
      </c>
      <c r="BT25" s="100" t="str">
        <f aca="false">IF($BH25&lt;&gt;Constants!$B$4,"",IF(NOT($AJ25),0,Constants!$B$31*INT(ROUND(MAX(0,MIN($BF25,2*$AF$9)-$AF$9),6))))</f>
        <v/>
      </c>
      <c r="BU25" s="100" t="str">
        <f aca="false">IF($BH25&lt;&gt;Constants!$B$4,"",Constants!$B$32*(($AL25&gt;Constants!$B$26)+($AM25&gt;Constants!$B$26)+($AN25&gt;Constants!$B$26)))</f>
        <v/>
      </c>
      <c r="BV25" s="100" t="str">
        <f aca="false">IF($BH25&lt;&gt;Constants!$B$4,"",IF(OR(NOT($AJ25),$AO25),0,Constants!$B$33))</f>
        <v/>
      </c>
      <c r="BW25" s="100" t="str">
        <f aca="false">IF($BH25&lt;&gt;Constants!$B$4,"",Constants!$B$34*$BJ25)</f>
        <v/>
      </c>
      <c r="BX25" s="100" t="str">
        <f aca="false">IF($BH25&lt;&gt;Constants!$B$4,"",IF(OR(NOT($AJ25),$BE25),0,Constants!$B$36))</f>
        <v/>
      </c>
      <c r="BY25" s="100" t="str">
        <f aca="false">IF($BH25&lt;&gt;Constants!$B$4,"",IF(OR(NOT($AJ25),$BD25),0,Constants!$B$37))</f>
        <v/>
      </c>
      <c r="BZ25" s="100" t="str">
        <f aca="false">IF($BH25&lt;&gt;Constants!$B$4,"",SUM($BT25:$BY25))</f>
        <v/>
      </c>
      <c r="CA25" s="100" t="str">
        <f aca="false">IF(ISBLANK($C25),"",IF($BH25&lt;&gt;Constants!$B$4,$BH25,SUM($BK25:$BS25)-$BZ25))</f>
        <v/>
      </c>
      <c r="CB25" s="100" t="str">
        <f aca="false">IF(ISBLANK($C25),"",IF($BH25&lt;&gt;Constants!$B$4,$BH25,RANK($CA25,$CA$9:$CA$508)))</f>
        <v/>
      </c>
      <c r="CC25" s="100" t="str">
        <f aca="false">IF(ISBLANK($C25),"",IF($BH25&lt;&gt;Constants!$B$4,$BH25,COUNTIFS($BI$9:$BI$508,"&lt;"&amp;$BI25)+COUNTIFS($BI$9:$BI$508,$BI25,$CB$9:$CB$508,"&lt;"&amp;$CB25)+1))</f>
        <v/>
      </c>
      <c r="CD25" s="100" t="str">
        <f aca="false">IF(ISBLANK($C25),"",IF($BH25&lt;&gt;Constants!$B$4,$BH25,RANK($BZ25,$BZ$9:$BZ$508,1)))</f>
        <v/>
      </c>
      <c r="CE25" s="100" t="str">
        <f aca="false">IF($BH25&lt;&gt;Constants!$B$4,"",$AL25+$AM25+$AN25)</f>
        <v/>
      </c>
      <c r="CF25" s="100" t="str">
        <f aca="false">IF(ISBLANK($C25),"",IF($BH25&lt;&gt;Constants!$B$4,$BH25,RANK($CE25,$CE$9:$CE$508,1)))</f>
        <v/>
      </c>
      <c r="CG25" s="100" t="str">
        <f aca="false">IF(ISBLANK($C25),"",IF($BH25&lt;&gt;Constants!$B$4,$BH25,COUNTIFS($BI$9:$BI$508,"&lt;"&amp;$BI25)+COUNTIFS($BI$9:$BI$508,$BI25,$CB$9:$CB$508,"&lt;"&amp;$CB25)+COUNTIFS($BI$9:$BI$508,$BI25,$CB$9:$CB$508,$CB25,$CD$9:$CD$508,"&lt;"&amp;$CD25)+COUNTIFS($BI$9:$BI$508,$BI25,$CB$9:$CB$508,$CB25,$CD$9:$CD$508,$CD25,$CF$9:$CF$508,"&lt;"&amp;$CF25)+1))</f>
        <v/>
      </c>
      <c r="CH25" s="100" t="str">
        <f aca="false">IF(ISBLANK($C25),"",IF($BH25&lt;&gt;Constants!$B$4,$BH25,$CC25-$CG25))</f>
        <v/>
      </c>
      <c r="CI25" s="100" t="str">
        <f aca="false">IF(ISBLANK($C25),"",IF(NOT($AJ25),"",IF(ISBLANK($D$7),$CI$5,IF(NOT(ISNUMBER($D$7)),$CI$6,""))))</f>
        <v/>
      </c>
      <c r="CJ25" s="100" t="str">
        <f aca="false">IF(ISBLANK($C25),"",OR($AL25="",$AM25="",$AN25=""))</f>
        <v/>
      </c>
      <c r="CK25" s="100" t="str">
        <f aca="false">IF(ISBLANK($C25),"",AND($AJ25,$AX25=""))</f>
        <v/>
      </c>
      <c r="CL25" s="100" t="str">
        <f aca="false">IF(ISBLANK($C25),"",AND($AJ25,$AY25=""))</f>
        <v/>
      </c>
      <c r="CM25" s="100" t="str">
        <f aca="false">IF(ISBLANK($C25),"",AND($AJ25,$AZ25=""))</f>
        <v/>
      </c>
      <c r="CN25" s="100" t="str">
        <f aca="false">IF(ISBLANK($C25),"",AND($AJ25,$BC25=""))</f>
        <v/>
      </c>
      <c r="CO25" s="100" t="str">
        <f aca="false">IF(ISBLANK($C25),"",AND($AJ25,$BF25=""))</f>
        <v/>
      </c>
      <c r="CP25" s="101"/>
      <c r="CQ25" s="102"/>
      <c r="CR25" s="103" t="str">
        <f aca="false">IF(ISBLANK($C25),"",IF($BH25=Constants!$B$8,$CI25,""))</f>
        <v/>
      </c>
      <c r="CS25" s="102" t="str">
        <f aca="false">IF(ISBLANK($C25),"",IF($BH25&lt;&gt;Constants!$B$4,"",$BK25+$BL25))</f>
        <v/>
      </c>
      <c r="CT25" s="104" t="str">
        <f aca="false">IF(ISBLANK($C25),"",IF($BH25&lt;&gt;Constants!$B$4,"",$BM25+$BN25+$BO25))</f>
        <v/>
      </c>
      <c r="CU25" s="104" t="str">
        <f aca="false">IF(ISBLANK($C25),"",IF($BH25&lt;&gt;Constants!$B$4,"",$BP25))</f>
        <v/>
      </c>
      <c r="CV25" s="104" t="str">
        <f aca="false">IF(ISBLANK($C25),"",IF($BH25&lt;&gt;Constants!$B$4,"",$BQ25+$BR25))</f>
        <v/>
      </c>
      <c r="CW25" s="104" t="str">
        <f aca="false">IF(ISBLANK($C25),"",IF($BH25&lt;&gt;Constants!$B$4,"",$BS25))</f>
        <v/>
      </c>
      <c r="CX25" s="104" t="str">
        <f aca="false">IF(ISBLANK($C25),"",IF($BH25&lt;&gt;Constants!$B$4,"",-$BZ25))</f>
        <v/>
      </c>
      <c r="CY25" s="103" t="str">
        <f aca="false">IF(ISBLANK($C25),"",$CA25)</f>
        <v/>
      </c>
      <c r="CZ25" s="105" t="str">
        <f aca="false">IF(ISBLANK($C25),"",$BI25)</f>
        <v/>
      </c>
      <c r="DA25" s="104" t="str">
        <f aca="false">IF(ISBLANK($C25),"",$CH25)</f>
        <v/>
      </c>
      <c r="DB25" s="104" t="str">
        <f aca="false">IF(ISBLANK($C25),"",$CG25)</f>
        <v/>
      </c>
      <c r="DC25" s="106" t="str">
        <f aca="false">IF(ISBLANK($C25),"",IFERROR(_xlfn.SWITCH($DB25,Constants!$B$7,COUNTA($C$9:$C$508)+2,Constants!$B$6,COUNTA($C$9:$C$508)+1,Constants!$B$5,COUNTA($C$9:$C$508)),$DB25))</f>
        <v/>
      </c>
      <c r="DD25" s="7"/>
      <c r="DE25" s="107" t="n">
        <f aca="false">IF(OR(ISNUMBER($DB25),$DB25=Constants!$B$7,$DB25=Constants!$B$5,$DB25=Constants!$B$6),1,0)</f>
        <v>0</v>
      </c>
      <c r="DF25" s="107" t="n">
        <v>17</v>
      </c>
      <c r="DG25" s="107" t="str">
        <f aca="false">IF(ISBLANK($C25),"",IF(ISNUMBER($DC25),$DC25+ROW($B25)/1000,""))</f>
        <v/>
      </c>
      <c r="DH25" s="107" t="str">
        <f aca="false">IF(ISNUMBER($DG25),RANK($DG25,$DG$9:$DG$508,1),"")</f>
        <v/>
      </c>
      <c r="DI25" s="107" t="str">
        <f aca="false">IF(ISBLANK($C25),"",$B25)</f>
        <v/>
      </c>
      <c r="DJ25" s="107" t="str">
        <f aca="false">IF(ISBLANK($C25),"",$C25)</f>
        <v/>
      </c>
      <c r="DK25" s="107" t="str">
        <f aca="false">IF(ISBLANK($C25),"",$D25)</f>
        <v/>
      </c>
      <c r="DL25" s="108" t="str">
        <f aca="false">$CZ25</f>
        <v/>
      </c>
      <c r="DM25" s="109" t="str">
        <f aca="false">$CY25</f>
        <v/>
      </c>
      <c r="DN25" s="107" t="str">
        <f aca="false">IF(ISBLANK($C25),"",$DB25)</f>
        <v/>
      </c>
      <c r="DO25" s="110" t="str">
        <f aca="false">IF($DF25&gt;$DE$8,"",VLOOKUP($DF25,$DH$9:$DN$508,7,FALSE()))</f>
        <v/>
      </c>
      <c r="DP25" s="111" t="str">
        <f aca="false">IF($DF25&gt;$DE$8,"",VLOOKUP($DF25,$DH$9:$DN$508,2,FALSE()))</f>
        <v/>
      </c>
      <c r="DQ25" s="111" t="str">
        <f aca="false">IF($DF25&gt;$DE$8,"",VLOOKUP($DF25,$DH$9:$DN$508,3,FALSE()))</f>
        <v/>
      </c>
      <c r="DR25" s="111" t="str">
        <f aca="false">IF($DF25&gt;$DE$8,"",VLOOKUP($DF25,$DH$9:$DN$508,4,FALSE()))</f>
        <v/>
      </c>
      <c r="DS25" s="111" t="str">
        <f aca="false">IF($DF25&gt;$DE$8,"",VLOOKUP($DF25,$DH$9:$DN$508,5,FALSE()))</f>
        <v/>
      </c>
      <c r="DT25" s="112" t="str">
        <f aca="false">IF($DF25&gt;$DE$8,"",VLOOKUP($DF25,$DH$9:$DN$508,6,FALSE()))</f>
        <v/>
      </c>
      <c r="DU25" s="62"/>
    </row>
    <row r="26" customFormat="false" ht="15.75" hidden="false" customHeight="false" outlineLevel="0" collapsed="false">
      <c r="A26" s="7"/>
      <c r="B26" s="90"/>
      <c r="C26" s="91"/>
      <c r="D26" s="126"/>
      <c r="E26" s="127"/>
      <c r="F26" s="128"/>
      <c r="G26" s="127"/>
      <c r="H26" s="128"/>
      <c r="I26" s="95"/>
      <c r="J26" s="95"/>
      <c r="K26" s="95"/>
      <c r="L26" s="127"/>
      <c r="M26" s="127"/>
      <c r="N26" s="127"/>
      <c r="O26" s="128"/>
      <c r="P26" s="127"/>
      <c r="Q26" s="127"/>
      <c r="R26" s="127"/>
      <c r="S26" s="127"/>
      <c r="T26" s="128"/>
      <c r="U26" s="127"/>
      <c r="V26" s="96"/>
      <c r="W26" s="127"/>
      <c r="X26" s="127"/>
      <c r="Y26" s="96"/>
      <c r="Z26" s="96"/>
      <c r="AA26" s="127"/>
      <c r="AB26" s="127"/>
      <c r="AC26" s="97"/>
      <c r="AD26" s="130"/>
      <c r="AE26" s="99"/>
      <c r="AF26" s="100"/>
      <c r="AG26" s="100"/>
      <c r="AH26" s="100" t="str">
        <f aca="false">IF(ISBLANK($C26),"",IF($E26=Constants!$B$2,TRUE(),IF($E26=Constants!$B$3,FALSE(),TRUE())))</f>
        <v/>
      </c>
      <c r="AI26" s="100" t="str">
        <f aca="false">IF(ISBLANK($C26),"",IF($F26=Constants!$B$2,TRUE(),IF($F26=Constants!$B$3,FALSE(),FALSE())))</f>
        <v/>
      </c>
      <c r="AJ26" s="100" t="str">
        <f aca="false">IF(ISBLANK($C26),"",IF($G26=Constants!$B$2,TRUE(),IF($G26=Constants!$B$3,FALSE(),TRUE())))</f>
        <v/>
      </c>
      <c r="AK26" s="100" t="str">
        <f aca="false">IF(ISBLANK($C26),"",IF($H26=Constants!$B$2,TRUE(),IF($H26=Constants!$B$3,FALSE(),TRUE())))</f>
        <v/>
      </c>
      <c r="AL26" s="100" t="str">
        <f aca="false">IF(ISBLANK($C26),"",IF(ISNUMBER($I26),IF($I26&gt;=0,$I26,""),""))</f>
        <v/>
      </c>
      <c r="AM26" s="100" t="str">
        <f aca="false">IF(ISBLANK($C26),"",IF(ISNUMBER($J26),IF($J26&gt;=0,$J26,""),""))</f>
        <v/>
      </c>
      <c r="AN26" s="100" t="str">
        <f aca="false">IF(ISBLANK($C26),"",IF(ISNUMBER($K26),IF($K26&gt;=0,$K26,""),""))</f>
        <v/>
      </c>
      <c r="AO26" s="100" t="str">
        <f aca="false">IF(ISBLANK($C26),"",IF($L26=Constants!$B$2,TRUE(),IF($L26=Constants!$B$3,FALSE(),TRUE())))</f>
        <v/>
      </c>
      <c r="AP26" s="100" t="str">
        <f aca="false">IF(ISBLANK($C26),"",IF($M26=Constants!$B$2,TRUE(),IF($M26=Constants!$B$3,FALSE(),TRUE())))</f>
        <v/>
      </c>
      <c r="AQ26" s="100" t="str">
        <f aca="false">IF(ISBLANK($C26),"",IF($N26=Constants!$B$2,TRUE(),IF($N26=Constants!$B$3,FALSE(),FALSE())))</f>
        <v/>
      </c>
      <c r="AR26" s="100" t="str">
        <f aca="false">IF(ISBLANK($C26),"",IF($O26=Constants!$B$2,TRUE(),IF($O26=Constants!$B$3,FALSE(),TRUE())))</f>
        <v/>
      </c>
      <c r="AS26" s="100" t="str">
        <f aca="false">IF(ISBLANK($C26),"",IF($P26=Constants!$B$2,TRUE(),IF($P26=Constants!$B$3,FALSE(),FALSE())))</f>
        <v/>
      </c>
      <c r="AT26" s="100" t="str">
        <f aca="false">IF(ISBLANK($C26),"",IF($Q26=Constants!$B$2,TRUE(),IF($Q26=Constants!$B$3,FALSE(),FALSE())))</f>
        <v/>
      </c>
      <c r="AU26" s="100" t="str">
        <f aca="false">IF(ISBLANK($C26),"",IF($R26=Constants!$B$2,TRUE(),IF($R26=Constants!$B$3,FALSE(),FALSE())))</f>
        <v/>
      </c>
      <c r="AV26" s="100" t="str">
        <f aca="false">IF(ISBLANK($C26),"",IF($S26=Constants!$B$2,TRUE(),IF($S26=Constants!$B$3,FALSE(),FALSE())))</f>
        <v/>
      </c>
      <c r="AW26" s="100" t="str">
        <f aca="false">IF(ISBLANK($C26),"",IF($T26=Constants!$B$2,TRUE(),IF($T26=Constants!$B$3,FALSE(),FALSE())))</f>
        <v/>
      </c>
      <c r="AX26" s="100" t="str">
        <f aca="false">IF(ISBLANK($C26),"",IF(OR($U26&amp;""="1",$U26&amp;""="2",$U26&amp;""="3",$U26&amp;""="4"),VALUE($U26&amp;""),IF($U26=Constants!$B$12,Constants!$B$12,"")))</f>
        <v/>
      </c>
      <c r="AY26" s="100" t="str">
        <f aca="false">IF(ISBLANK($C26),"",IF(ISBLANK($V26),0,IF(ISNUMBER($V26),IF(AND($V26&gt;=0,$V26&lt;=Constants!$B$21,$V26=INT($V26)),$V26,""),"")))</f>
        <v/>
      </c>
      <c r="AZ26" s="100" t="str">
        <f aca="false">IF(ISBLANK($C26),"",IF(ISBLANK($W26),0,IF(ISNUMBER($W26),IF($W26&gt;=0,$W26,""),"")))</f>
        <v/>
      </c>
      <c r="BA26" s="100" t="str">
        <f aca="false">IF(ISBLANK($C26),"",IF($X26=Constants!$B$2,TRUE(),IF($X26=Constants!$B$3,FALSE(),TRUE())))</f>
        <v/>
      </c>
      <c r="BB26" s="100" t="str">
        <f aca="false">IF(ISBLANK($C26),"",IF($Y26=Constants!$B$2,TRUE(),IF($Y26=Constants!$B$3,FALSE(),FALSE())))</f>
        <v/>
      </c>
      <c r="BC26" s="100" t="str">
        <f aca="false">IF(ISBLANK($C26),"",IF(ISBLANK($Z26),0,IF(ISNUMBER($Z26),IF(AND($Z26&gt;=0,$Z26&lt;=Constants!$B$35,$Z26=INT($Z26)),$Z26,""),"")))</f>
        <v/>
      </c>
      <c r="BD26" s="100" t="str">
        <f aca="false">IF(ISBLANK($C26),"",IF($AA26=Constants!$B$2,TRUE(),IF($AA26=Constants!$B$3,FALSE(),TRUE())))</f>
        <v/>
      </c>
      <c r="BE26" s="100" t="str">
        <f aca="false">IF(ISBLANK($C26),"",IF($AB26=Constants!$B$2,TRUE(),IF($AB26=Constants!$B$3,FALSE(),TRUE())))</f>
        <v/>
      </c>
      <c r="BF26" s="100" t="str">
        <f aca="false">IF(ISBLANK($C26),"",IF(ISNUMBER($AC26),IF($AC26&gt;=0,$AC26,""),""))</f>
        <v/>
      </c>
      <c r="BG26" s="100" t="str">
        <f aca="false">IF(ISBLANK($C26),"",IF($AD26=Constants!$B$2,TRUE(),IF($AD26=Constants!$B$3,FALSE(),FALSE())))</f>
        <v/>
      </c>
      <c r="BH26" s="99" t="str">
        <f aca="false">IF(ISBLANK($C26),"",IF($BG26,Constants!$B$7,IF(COUNTA($E26:$AC26)=0,Constants!$B$6,IF(OR(COUNTA($G26:$AC26)=0,NOT($AK26),$AQ26),Constants!$B$5,IF(OR($CI26&lt;&gt;"",$CJ26,$CK26,$CL26,$CM26,$CN26,$CO26),Constants!$B$8,Constants!$B$4)))))</f>
        <v/>
      </c>
      <c r="BI26" s="100" t="str">
        <f aca="false">IF(ISBLANK($C26),"",IF($BH26&lt;&gt;Constants!$B$4,$BH26,IF(OR(NOT($AH26),NOT($AJ26),NOT($AR26)),Constants!$B$11,IF(OR(NOT($AP26),MAX($AL26,$AM26,$AN26)&gt;Constants!$B$30),Constants!$B$10,Constants!$B$9))))</f>
        <v/>
      </c>
      <c r="BJ26" s="100" t="str">
        <f aca="false">IF($BH26&lt;&gt;Constants!$B$4,"",IF(NOT($AJ26),0,MIN(Constants!$B$35,$BC26)))</f>
        <v/>
      </c>
      <c r="BK26" s="100" t="str">
        <f aca="false">IF($BH26&lt;&gt;Constants!$B$4,"",IF(NOT($AJ26),0,IF($AT26,Constants!$B$18,IF($AS26,Constants!$B$17,0))))</f>
        <v/>
      </c>
      <c r="BL26" s="100" t="str">
        <f aca="false">IF($BH26&lt;&gt;Constants!$B$4,"",IF(NOT($AJ26),0,Constants!$B$19*($AI26+$AU26+$AV26+$AW26)))</f>
        <v/>
      </c>
      <c r="BM26" s="100" t="str">
        <f aca="false">IF($BH26&lt;&gt;Constants!$B$4,"",IF(OR(NOT($AJ26),NOT(ISNUMBER($AX26))),0,CHOOSE($AX26,Constants!$B$13,Constants!$B$14,Constants!$B$15,Constants!$B$16)))</f>
        <v/>
      </c>
      <c r="BN26" s="100" t="str">
        <f aca="false">IF($BH26&lt;&gt;Constants!$B$4,"",IF(NOT($AJ26),0,Constants!$B$20*$AY26))</f>
        <v/>
      </c>
      <c r="BO26" s="100" t="str">
        <f aca="false">IF($BH26&lt;&gt;Constants!$B$4,"",IF(AND($AJ26,$BA26,$BB26),Constants!$B$22,0))</f>
        <v/>
      </c>
      <c r="BP26" s="100" t="str">
        <f aca="false">IF($BH26&lt;&gt;Constants!$B$4,"",IF(OR(NOT($AJ26),NOT($BA26)),0,IF($BF26&gt;=2*$AF$9,0,Constants!$B$23*INT(ROUND(MIN($BF26,$AF$9),6)))))</f>
        <v/>
      </c>
      <c r="BQ26" s="100" t="str">
        <f aca="false">IF($BH26&lt;&gt;Constants!$B$4,"",IF(NOT($AJ26),0,Constants!$B$24*INT(ROUND(MIN($AZ26,$AF$9),6))))</f>
        <v/>
      </c>
      <c r="BR26" s="100" t="str">
        <f aca="false">IF($BH26&lt;&gt;Constants!$B$4,"",IF(AND($AJ26,$BJ26=0),Constants!$B$25,0))</f>
        <v/>
      </c>
      <c r="BS26" s="100" t="str">
        <f aca="false">IF($BH26&lt;&gt;Constants!$B$4,"",MIN(Constants!$B$29,MAX(0,Constants!$B$27*Constants!$B$28*INT(ROUND((Constants!$B$26-$AL26)/Constants!$B$28,6))))+MIN(Constants!$B$29,MAX(0,Constants!$B$27*Constants!$B$28*INT(ROUND((Constants!$B$26-$AM26)/Constants!$B$28,6))))+MIN(Constants!$B$29,MAX(0,Constants!$B$27*Constants!$B$28*INT(ROUND((Constants!$B$26-$AN26)/Constants!$B$28,6)))))</f>
        <v/>
      </c>
      <c r="BT26" s="100" t="str">
        <f aca="false">IF($BH26&lt;&gt;Constants!$B$4,"",IF(NOT($AJ26),0,Constants!$B$31*INT(ROUND(MAX(0,MIN($BF26,2*$AF$9)-$AF$9),6))))</f>
        <v/>
      </c>
      <c r="BU26" s="100" t="str">
        <f aca="false">IF($BH26&lt;&gt;Constants!$B$4,"",Constants!$B$32*(($AL26&gt;Constants!$B$26)+($AM26&gt;Constants!$B$26)+($AN26&gt;Constants!$B$26)))</f>
        <v/>
      </c>
      <c r="BV26" s="100" t="str">
        <f aca="false">IF($BH26&lt;&gt;Constants!$B$4,"",IF(OR(NOT($AJ26),$AO26),0,Constants!$B$33))</f>
        <v/>
      </c>
      <c r="BW26" s="100" t="str">
        <f aca="false">IF($BH26&lt;&gt;Constants!$B$4,"",Constants!$B$34*$BJ26)</f>
        <v/>
      </c>
      <c r="BX26" s="100" t="str">
        <f aca="false">IF($BH26&lt;&gt;Constants!$B$4,"",IF(OR(NOT($AJ26),$BE26),0,Constants!$B$36))</f>
        <v/>
      </c>
      <c r="BY26" s="100" t="str">
        <f aca="false">IF($BH26&lt;&gt;Constants!$B$4,"",IF(OR(NOT($AJ26),$BD26),0,Constants!$B$37))</f>
        <v/>
      </c>
      <c r="BZ26" s="100" t="str">
        <f aca="false">IF($BH26&lt;&gt;Constants!$B$4,"",SUM($BT26:$BY26))</f>
        <v/>
      </c>
      <c r="CA26" s="100" t="str">
        <f aca="false">IF(ISBLANK($C26),"",IF($BH26&lt;&gt;Constants!$B$4,$BH26,SUM($BK26:$BS26)-$BZ26))</f>
        <v/>
      </c>
      <c r="CB26" s="100" t="str">
        <f aca="false">IF(ISBLANK($C26),"",IF($BH26&lt;&gt;Constants!$B$4,$BH26,RANK($CA26,$CA$9:$CA$508)))</f>
        <v/>
      </c>
      <c r="CC26" s="100" t="str">
        <f aca="false">IF(ISBLANK($C26),"",IF($BH26&lt;&gt;Constants!$B$4,$BH26,COUNTIFS($BI$9:$BI$508,"&lt;"&amp;$BI26)+COUNTIFS($BI$9:$BI$508,$BI26,$CB$9:$CB$508,"&lt;"&amp;$CB26)+1))</f>
        <v/>
      </c>
      <c r="CD26" s="100" t="str">
        <f aca="false">IF(ISBLANK($C26),"",IF($BH26&lt;&gt;Constants!$B$4,$BH26,RANK($BZ26,$BZ$9:$BZ$508,1)))</f>
        <v/>
      </c>
      <c r="CE26" s="100" t="str">
        <f aca="false">IF($BH26&lt;&gt;Constants!$B$4,"",$AL26+$AM26+$AN26)</f>
        <v/>
      </c>
      <c r="CF26" s="100" t="str">
        <f aca="false">IF(ISBLANK($C26),"",IF($BH26&lt;&gt;Constants!$B$4,$BH26,RANK($CE26,$CE$9:$CE$508,1)))</f>
        <v/>
      </c>
      <c r="CG26" s="100" t="str">
        <f aca="false">IF(ISBLANK($C26),"",IF($BH26&lt;&gt;Constants!$B$4,$BH26,COUNTIFS($BI$9:$BI$508,"&lt;"&amp;$BI26)+COUNTIFS($BI$9:$BI$508,$BI26,$CB$9:$CB$508,"&lt;"&amp;$CB26)+COUNTIFS($BI$9:$BI$508,$BI26,$CB$9:$CB$508,$CB26,$CD$9:$CD$508,"&lt;"&amp;$CD26)+COUNTIFS($BI$9:$BI$508,$BI26,$CB$9:$CB$508,$CB26,$CD$9:$CD$508,$CD26,$CF$9:$CF$508,"&lt;"&amp;$CF26)+1))</f>
        <v/>
      </c>
      <c r="CH26" s="100" t="str">
        <f aca="false">IF(ISBLANK($C26),"",IF($BH26&lt;&gt;Constants!$B$4,$BH26,$CC26-$CG26))</f>
        <v/>
      </c>
      <c r="CI26" s="100" t="str">
        <f aca="false">IF(ISBLANK($C26),"",IF(NOT($AJ26),"",IF(ISBLANK($D$7),$CI$5,IF(NOT(ISNUMBER($D$7)),$CI$6,""))))</f>
        <v/>
      </c>
      <c r="CJ26" s="100" t="str">
        <f aca="false">IF(ISBLANK($C26),"",OR($AL26="",$AM26="",$AN26=""))</f>
        <v/>
      </c>
      <c r="CK26" s="100" t="str">
        <f aca="false">IF(ISBLANK($C26),"",AND($AJ26,$AX26=""))</f>
        <v/>
      </c>
      <c r="CL26" s="100" t="str">
        <f aca="false">IF(ISBLANK($C26),"",AND($AJ26,$AY26=""))</f>
        <v/>
      </c>
      <c r="CM26" s="100" t="str">
        <f aca="false">IF(ISBLANK($C26),"",AND($AJ26,$AZ26=""))</f>
        <v/>
      </c>
      <c r="CN26" s="100" t="str">
        <f aca="false">IF(ISBLANK($C26),"",AND($AJ26,$BC26=""))</f>
        <v/>
      </c>
      <c r="CO26" s="100" t="str">
        <f aca="false">IF(ISBLANK($C26),"",AND($AJ26,$BF26=""))</f>
        <v/>
      </c>
      <c r="CP26" s="101"/>
      <c r="CQ26" s="102"/>
      <c r="CR26" s="103" t="str">
        <f aca="false">IF(ISBLANK($C26),"",IF($BH26=Constants!$B$8,$CI26,""))</f>
        <v/>
      </c>
      <c r="CS26" s="102" t="str">
        <f aca="false">IF(ISBLANK($C26),"",IF($BH26&lt;&gt;Constants!$B$4,"",$BK26+$BL26))</f>
        <v/>
      </c>
      <c r="CT26" s="104" t="str">
        <f aca="false">IF(ISBLANK($C26),"",IF($BH26&lt;&gt;Constants!$B$4,"",$BM26+$BN26+$BO26))</f>
        <v/>
      </c>
      <c r="CU26" s="104" t="str">
        <f aca="false">IF(ISBLANK($C26),"",IF($BH26&lt;&gt;Constants!$B$4,"",$BP26))</f>
        <v/>
      </c>
      <c r="CV26" s="104" t="str">
        <f aca="false">IF(ISBLANK($C26),"",IF($BH26&lt;&gt;Constants!$B$4,"",$BQ26+$BR26))</f>
        <v/>
      </c>
      <c r="CW26" s="104" t="str">
        <f aca="false">IF(ISBLANK($C26),"",IF($BH26&lt;&gt;Constants!$B$4,"",$BS26))</f>
        <v/>
      </c>
      <c r="CX26" s="104" t="str">
        <f aca="false">IF(ISBLANK($C26),"",IF($BH26&lt;&gt;Constants!$B$4,"",-$BZ26))</f>
        <v/>
      </c>
      <c r="CY26" s="103" t="str">
        <f aca="false">IF(ISBLANK($C26),"",$CA26)</f>
        <v/>
      </c>
      <c r="CZ26" s="105" t="str">
        <f aca="false">IF(ISBLANK($C26),"",$BI26)</f>
        <v/>
      </c>
      <c r="DA26" s="104" t="str">
        <f aca="false">IF(ISBLANK($C26),"",$CH26)</f>
        <v/>
      </c>
      <c r="DB26" s="104" t="str">
        <f aca="false">IF(ISBLANK($C26),"",$CG26)</f>
        <v/>
      </c>
      <c r="DC26" s="106" t="str">
        <f aca="false">IF(ISBLANK($C26),"",IFERROR(_xlfn.SWITCH($DB26,Constants!$B$7,COUNTA($C$9:$C$508)+2,Constants!$B$6,COUNTA($C$9:$C$508)+1,Constants!$B$5,COUNTA($C$9:$C$508)),$DB26))</f>
        <v/>
      </c>
      <c r="DD26" s="7"/>
      <c r="DE26" s="107" t="n">
        <f aca="false">IF(OR(ISNUMBER($DB26),$DB26=Constants!$B$7,$DB26=Constants!$B$5,$DB26=Constants!$B$6),1,0)</f>
        <v>0</v>
      </c>
      <c r="DF26" s="107" t="n">
        <v>18</v>
      </c>
      <c r="DG26" s="107" t="str">
        <f aca="false">IF(ISBLANK($C26),"",IF(ISNUMBER($DC26),$DC26+ROW($B26)/1000,""))</f>
        <v/>
      </c>
      <c r="DH26" s="107" t="str">
        <f aca="false">IF(ISNUMBER($DG26),RANK($DG26,$DG$9:$DG$508,1),"")</f>
        <v/>
      </c>
      <c r="DI26" s="107" t="str">
        <f aca="false">IF(ISBLANK($C26),"",$B26)</f>
        <v/>
      </c>
      <c r="DJ26" s="107" t="str">
        <f aca="false">IF(ISBLANK($C26),"",$C26)</f>
        <v/>
      </c>
      <c r="DK26" s="107" t="str">
        <f aca="false">IF(ISBLANK($C26),"",$D26)</f>
        <v/>
      </c>
      <c r="DL26" s="108" t="str">
        <f aca="false">$CZ26</f>
        <v/>
      </c>
      <c r="DM26" s="109" t="str">
        <f aca="false">$CY26</f>
        <v/>
      </c>
      <c r="DN26" s="107" t="str">
        <f aca="false">IF(ISBLANK($C26),"",$DB26)</f>
        <v/>
      </c>
      <c r="DO26" s="110" t="str">
        <f aca="false">IF($DF26&gt;$DE$8,"",VLOOKUP($DF26,$DH$9:$DN$508,7,FALSE()))</f>
        <v/>
      </c>
      <c r="DP26" s="111" t="str">
        <f aca="false">IF($DF26&gt;$DE$8,"",VLOOKUP($DF26,$DH$9:$DN$508,2,FALSE()))</f>
        <v/>
      </c>
      <c r="DQ26" s="111" t="str">
        <f aca="false">IF($DF26&gt;$DE$8,"",VLOOKUP($DF26,$DH$9:$DN$508,3,FALSE()))</f>
        <v/>
      </c>
      <c r="DR26" s="111" t="str">
        <f aca="false">IF($DF26&gt;$DE$8,"",VLOOKUP($DF26,$DH$9:$DN$508,4,FALSE()))</f>
        <v/>
      </c>
      <c r="DS26" s="111" t="str">
        <f aca="false">IF($DF26&gt;$DE$8,"",VLOOKUP($DF26,$DH$9:$DN$508,5,FALSE()))</f>
        <v/>
      </c>
      <c r="DT26" s="112" t="str">
        <f aca="false">IF($DF26&gt;$DE$8,"",VLOOKUP($DF26,$DH$9:$DN$508,6,FALSE()))</f>
        <v/>
      </c>
      <c r="DU26" s="62"/>
    </row>
    <row r="27" customFormat="false" ht="15.75" hidden="false" customHeight="false" outlineLevel="0" collapsed="false">
      <c r="A27" s="7"/>
      <c r="B27" s="64"/>
      <c r="C27" s="65"/>
      <c r="D27" s="123"/>
      <c r="E27" s="124"/>
      <c r="F27" s="125"/>
      <c r="G27" s="124"/>
      <c r="H27" s="125"/>
      <c r="I27" s="69"/>
      <c r="J27" s="69"/>
      <c r="K27" s="69"/>
      <c r="L27" s="124"/>
      <c r="M27" s="124"/>
      <c r="N27" s="124"/>
      <c r="O27" s="125"/>
      <c r="P27" s="124"/>
      <c r="Q27" s="124"/>
      <c r="R27" s="124"/>
      <c r="S27" s="124"/>
      <c r="T27" s="125"/>
      <c r="U27" s="124"/>
      <c r="V27" s="70"/>
      <c r="W27" s="124"/>
      <c r="X27" s="124"/>
      <c r="Y27" s="70"/>
      <c r="Z27" s="70"/>
      <c r="AA27" s="124"/>
      <c r="AB27" s="124"/>
      <c r="AC27" s="71"/>
      <c r="AD27" s="88"/>
      <c r="AE27" s="73"/>
      <c r="AF27" s="74"/>
      <c r="AG27" s="74"/>
      <c r="AH27" s="74" t="str">
        <f aca="false">IF(ISBLANK($C27),"",IF($E27=Constants!$B$2,TRUE(),IF($E27=Constants!$B$3,FALSE(),TRUE())))</f>
        <v/>
      </c>
      <c r="AI27" s="74" t="str">
        <f aca="false">IF(ISBLANK($C27),"",IF($F27=Constants!$B$2,TRUE(),IF($F27=Constants!$B$3,FALSE(),FALSE())))</f>
        <v/>
      </c>
      <c r="AJ27" s="74" t="str">
        <f aca="false">IF(ISBLANK($C27),"",IF($G27=Constants!$B$2,TRUE(),IF($G27=Constants!$B$3,FALSE(),TRUE())))</f>
        <v/>
      </c>
      <c r="AK27" s="74" t="str">
        <f aca="false">IF(ISBLANK($C27),"",IF($H27=Constants!$B$2,TRUE(),IF($H27=Constants!$B$3,FALSE(),TRUE())))</f>
        <v/>
      </c>
      <c r="AL27" s="74" t="str">
        <f aca="false">IF(ISBLANK($C27),"",IF(ISNUMBER($I27),IF($I27&gt;=0,$I27,""),""))</f>
        <v/>
      </c>
      <c r="AM27" s="74" t="str">
        <f aca="false">IF(ISBLANK($C27),"",IF(ISNUMBER($J27),IF($J27&gt;=0,$J27,""),""))</f>
        <v/>
      </c>
      <c r="AN27" s="74" t="str">
        <f aca="false">IF(ISBLANK($C27),"",IF(ISNUMBER($K27),IF($K27&gt;=0,$K27,""),""))</f>
        <v/>
      </c>
      <c r="AO27" s="74" t="str">
        <f aca="false">IF(ISBLANK($C27),"",IF($L27=Constants!$B$2,TRUE(),IF($L27=Constants!$B$3,FALSE(),TRUE())))</f>
        <v/>
      </c>
      <c r="AP27" s="74" t="str">
        <f aca="false">IF(ISBLANK($C27),"",IF($M27=Constants!$B$2,TRUE(),IF($M27=Constants!$B$3,FALSE(),TRUE())))</f>
        <v/>
      </c>
      <c r="AQ27" s="74" t="str">
        <f aca="false">IF(ISBLANK($C27),"",IF($N27=Constants!$B$2,TRUE(),IF($N27=Constants!$B$3,FALSE(),FALSE())))</f>
        <v/>
      </c>
      <c r="AR27" s="74" t="str">
        <f aca="false">IF(ISBLANK($C27),"",IF($O27=Constants!$B$2,TRUE(),IF($O27=Constants!$B$3,FALSE(),TRUE())))</f>
        <v/>
      </c>
      <c r="AS27" s="74" t="str">
        <f aca="false">IF(ISBLANK($C27),"",IF($P27=Constants!$B$2,TRUE(),IF($P27=Constants!$B$3,FALSE(),FALSE())))</f>
        <v/>
      </c>
      <c r="AT27" s="74" t="str">
        <f aca="false">IF(ISBLANK($C27),"",IF($Q27=Constants!$B$2,TRUE(),IF($Q27=Constants!$B$3,FALSE(),FALSE())))</f>
        <v/>
      </c>
      <c r="AU27" s="74" t="str">
        <f aca="false">IF(ISBLANK($C27),"",IF($R27=Constants!$B$2,TRUE(),IF($R27=Constants!$B$3,FALSE(),FALSE())))</f>
        <v/>
      </c>
      <c r="AV27" s="74" t="str">
        <f aca="false">IF(ISBLANK($C27),"",IF($S27=Constants!$B$2,TRUE(),IF($S27=Constants!$B$3,FALSE(),FALSE())))</f>
        <v/>
      </c>
      <c r="AW27" s="74" t="str">
        <f aca="false">IF(ISBLANK($C27),"",IF($T27=Constants!$B$2,TRUE(),IF($T27=Constants!$B$3,FALSE(),FALSE())))</f>
        <v/>
      </c>
      <c r="AX27" s="74" t="str">
        <f aca="false">IF(ISBLANK($C27),"",IF(OR($U27&amp;""="1",$U27&amp;""="2",$U27&amp;""="3",$U27&amp;""="4"),VALUE($U27&amp;""),IF($U27=Constants!$B$12,Constants!$B$12,"")))</f>
        <v/>
      </c>
      <c r="AY27" s="74" t="str">
        <f aca="false">IF(ISBLANK($C27),"",IF(ISBLANK($V27),0,IF(ISNUMBER($V27),IF(AND($V27&gt;=0,$V27&lt;=Constants!$B$21,$V27=INT($V27)),$V27,""),"")))</f>
        <v/>
      </c>
      <c r="AZ27" s="74" t="str">
        <f aca="false">IF(ISBLANK($C27),"",IF(ISBLANK($W27),0,IF(ISNUMBER($W27),IF($W27&gt;=0,$W27,""),"")))</f>
        <v/>
      </c>
      <c r="BA27" s="74" t="str">
        <f aca="false">IF(ISBLANK($C27),"",IF($X27=Constants!$B$2,TRUE(),IF($X27=Constants!$B$3,FALSE(),TRUE())))</f>
        <v/>
      </c>
      <c r="BB27" s="74" t="str">
        <f aca="false">IF(ISBLANK($C27),"",IF($Y27=Constants!$B$2,TRUE(),IF($Y27=Constants!$B$3,FALSE(),FALSE())))</f>
        <v/>
      </c>
      <c r="BC27" s="74" t="str">
        <f aca="false">IF(ISBLANK($C27),"",IF(ISBLANK($Z27),0,IF(ISNUMBER($Z27),IF(AND($Z27&gt;=0,$Z27&lt;=Constants!$B$35,$Z27=INT($Z27)),$Z27,""),"")))</f>
        <v/>
      </c>
      <c r="BD27" s="74" t="str">
        <f aca="false">IF(ISBLANK($C27),"",IF($AA27=Constants!$B$2,TRUE(),IF($AA27=Constants!$B$3,FALSE(),TRUE())))</f>
        <v/>
      </c>
      <c r="BE27" s="74" t="str">
        <f aca="false">IF(ISBLANK($C27),"",IF($AB27=Constants!$B$2,TRUE(),IF($AB27=Constants!$B$3,FALSE(),TRUE())))</f>
        <v/>
      </c>
      <c r="BF27" s="74" t="str">
        <f aca="false">IF(ISBLANK($C27),"",IF(ISNUMBER($AC27),IF($AC27&gt;=0,$AC27,""),""))</f>
        <v/>
      </c>
      <c r="BG27" s="74" t="str">
        <f aca="false">IF(ISBLANK($C27),"",IF($AD27=Constants!$B$2,TRUE(),IF($AD27=Constants!$B$3,FALSE(),FALSE())))</f>
        <v/>
      </c>
      <c r="BH27" s="73" t="str">
        <f aca="false">IF(ISBLANK($C27),"",IF($BG27,Constants!$B$7,IF(COUNTA($E27:$AC27)=0,Constants!$B$6,IF(OR(COUNTA($G27:$AC27)=0,NOT($AK27),$AQ27),Constants!$B$5,IF(OR($CI27&lt;&gt;"",$CJ27,$CK27,$CL27,$CM27,$CN27,$CO27),Constants!$B$8,Constants!$B$4)))))</f>
        <v/>
      </c>
      <c r="BI27" s="74" t="str">
        <f aca="false">IF(ISBLANK($C27),"",IF($BH27&lt;&gt;Constants!$B$4,$BH27,IF(OR(NOT($AH27),NOT($AJ27),NOT($AR27)),Constants!$B$11,IF(OR(NOT($AP27),MAX($AL27,$AM27,$AN27)&gt;Constants!$B$30),Constants!$B$10,Constants!$B$9))))</f>
        <v/>
      </c>
      <c r="BJ27" s="74" t="str">
        <f aca="false">IF($BH27&lt;&gt;Constants!$B$4,"",IF(NOT($AJ27),0,MIN(Constants!$B$35,$BC27)))</f>
        <v/>
      </c>
      <c r="BK27" s="74" t="str">
        <f aca="false">IF($BH27&lt;&gt;Constants!$B$4,"",IF(NOT($AJ27),0,IF($AT27,Constants!$B$18,IF($AS27,Constants!$B$17,0))))</f>
        <v/>
      </c>
      <c r="BL27" s="74" t="str">
        <f aca="false">IF($BH27&lt;&gt;Constants!$B$4,"",IF(NOT($AJ27),0,Constants!$B$19*($AI27+$AU27+$AV27+$AW27)))</f>
        <v/>
      </c>
      <c r="BM27" s="74" t="str">
        <f aca="false">IF($BH27&lt;&gt;Constants!$B$4,"",IF(OR(NOT($AJ27),NOT(ISNUMBER($AX27))),0,CHOOSE($AX27,Constants!$B$13,Constants!$B$14,Constants!$B$15,Constants!$B$16)))</f>
        <v/>
      </c>
      <c r="BN27" s="74" t="str">
        <f aca="false">IF($BH27&lt;&gt;Constants!$B$4,"",IF(NOT($AJ27),0,Constants!$B$20*$AY27))</f>
        <v/>
      </c>
      <c r="BO27" s="74" t="str">
        <f aca="false">IF($BH27&lt;&gt;Constants!$B$4,"",IF(AND($AJ27,$BA27,$BB27),Constants!$B$22,0))</f>
        <v/>
      </c>
      <c r="BP27" s="74" t="str">
        <f aca="false">IF($BH27&lt;&gt;Constants!$B$4,"",IF(OR(NOT($AJ27),NOT($BA27)),0,IF($BF27&gt;=2*$AF$9,0,Constants!$B$23*INT(ROUND(MIN($BF27,$AF$9),6)))))</f>
        <v/>
      </c>
      <c r="BQ27" s="74" t="str">
        <f aca="false">IF($BH27&lt;&gt;Constants!$B$4,"",IF(NOT($AJ27),0,Constants!$B$24*INT(ROUND(MIN($AZ27,$AF$9),6))))</f>
        <v/>
      </c>
      <c r="BR27" s="74" t="str">
        <f aca="false">IF($BH27&lt;&gt;Constants!$B$4,"",IF(AND($AJ27,$BJ27=0),Constants!$B$25,0))</f>
        <v/>
      </c>
      <c r="BS27" s="74" t="str">
        <f aca="false">IF($BH27&lt;&gt;Constants!$B$4,"",MIN(Constants!$B$29,MAX(0,Constants!$B$27*Constants!$B$28*INT(ROUND((Constants!$B$26-$AL27)/Constants!$B$28,6))))+MIN(Constants!$B$29,MAX(0,Constants!$B$27*Constants!$B$28*INT(ROUND((Constants!$B$26-$AM27)/Constants!$B$28,6))))+MIN(Constants!$B$29,MAX(0,Constants!$B$27*Constants!$B$28*INT(ROUND((Constants!$B$26-$AN27)/Constants!$B$28,6)))))</f>
        <v/>
      </c>
      <c r="BT27" s="74" t="str">
        <f aca="false">IF($BH27&lt;&gt;Constants!$B$4,"",IF(NOT($AJ27),0,Constants!$B$31*INT(ROUND(MAX(0,MIN($BF27,2*$AF$9)-$AF$9),6))))</f>
        <v/>
      </c>
      <c r="BU27" s="74" t="str">
        <f aca="false">IF($BH27&lt;&gt;Constants!$B$4,"",Constants!$B$32*(($AL27&gt;Constants!$B$26)+($AM27&gt;Constants!$B$26)+($AN27&gt;Constants!$B$26)))</f>
        <v/>
      </c>
      <c r="BV27" s="74" t="str">
        <f aca="false">IF($BH27&lt;&gt;Constants!$B$4,"",IF(OR(NOT($AJ27),$AO27),0,Constants!$B$33))</f>
        <v/>
      </c>
      <c r="BW27" s="74" t="str">
        <f aca="false">IF($BH27&lt;&gt;Constants!$B$4,"",Constants!$B$34*$BJ27)</f>
        <v/>
      </c>
      <c r="BX27" s="74" t="str">
        <f aca="false">IF($BH27&lt;&gt;Constants!$B$4,"",IF(OR(NOT($AJ27),$BE27),0,Constants!$B$36))</f>
        <v/>
      </c>
      <c r="BY27" s="74" t="str">
        <f aca="false">IF($BH27&lt;&gt;Constants!$B$4,"",IF(OR(NOT($AJ27),$BD27),0,Constants!$B$37))</f>
        <v/>
      </c>
      <c r="BZ27" s="74" t="str">
        <f aca="false">IF($BH27&lt;&gt;Constants!$B$4,"",SUM($BT27:$BY27))</f>
        <v/>
      </c>
      <c r="CA27" s="74" t="str">
        <f aca="false">IF(ISBLANK($C27),"",IF($BH27&lt;&gt;Constants!$B$4,$BH27,SUM($BK27:$BS27)-$BZ27))</f>
        <v/>
      </c>
      <c r="CB27" s="74" t="str">
        <f aca="false">IF(ISBLANK($C27),"",IF($BH27&lt;&gt;Constants!$B$4,$BH27,RANK($CA27,$CA$9:$CA$508)))</f>
        <v/>
      </c>
      <c r="CC27" s="74" t="str">
        <f aca="false">IF(ISBLANK($C27),"",IF($BH27&lt;&gt;Constants!$B$4,$BH27,COUNTIFS($BI$9:$BI$508,"&lt;"&amp;$BI27)+COUNTIFS($BI$9:$BI$508,$BI27,$CB$9:$CB$508,"&lt;"&amp;$CB27)+1))</f>
        <v/>
      </c>
      <c r="CD27" s="74" t="str">
        <f aca="false">IF(ISBLANK($C27),"",IF($BH27&lt;&gt;Constants!$B$4,$BH27,RANK($BZ27,$BZ$9:$BZ$508,1)))</f>
        <v/>
      </c>
      <c r="CE27" s="74" t="str">
        <f aca="false">IF($BH27&lt;&gt;Constants!$B$4,"",$AL27+$AM27+$AN27)</f>
        <v/>
      </c>
      <c r="CF27" s="74" t="str">
        <f aca="false">IF(ISBLANK($C27),"",IF($BH27&lt;&gt;Constants!$B$4,$BH27,RANK($CE27,$CE$9:$CE$508,1)))</f>
        <v/>
      </c>
      <c r="CG27" s="74" t="str">
        <f aca="false">IF(ISBLANK($C27),"",IF($BH27&lt;&gt;Constants!$B$4,$BH27,COUNTIFS($BI$9:$BI$508,"&lt;"&amp;$BI27)+COUNTIFS($BI$9:$BI$508,$BI27,$CB$9:$CB$508,"&lt;"&amp;$CB27)+COUNTIFS($BI$9:$BI$508,$BI27,$CB$9:$CB$508,$CB27,$CD$9:$CD$508,"&lt;"&amp;$CD27)+COUNTIFS($BI$9:$BI$508,$BI27,$CB$9:$CB$508,$CB27,$CD$9:$CD$508,$CD27,$CF$9:$CF$508,"&lt;"&amp;$CF27)+1))</f>
        <v/>
      </c>
      <c r="CH27" s="74" t="str">
        <f aca="false">IF(ISBLANK($C27),"",IF($BH27&lt;&gt;Constants!$B$4,$BH27,$CC27-$CG27))</f>
        <v/>
      </c>
      <c r="CI27" s="74" t="str">
        <f aca="false">IF(ISBLANK($C27),"",IF(NOT($AJ27),"",IF(ISBLANK($D$7),$CI$5,IF(NOT(ISNUMBER($D$7)),$CI$6,""))))</f>
        <v/>
      </c>
      <c r="CJ27" s="74" t="str">
        <f aca="false">IF(ISBLANK($C27),"",OR($AL27="",$AM27="",$AN27=""))</f>
        <v/>
      </c>
      <c r="CK27" s="74" t="str">
        <f aca="false">IF(ISBLANK($C27),"",AND($AJ27,$AX27=""))</f>
        <v/>
      </c>
      <c r="CL27" s="74" t="str">
        <f aca="false">IF(ISBLANK($C27),"",AND($AJ27,$AY27=""))</f>
        <v/>
      </c>
      <c r="CM27" s="74" t="str">
        <f aca="false">IF(ISBLANK($C27),"",AND($AJ27,$AZ27=""))</f>
        <v/>
      </c>
      <c r="CN27" s="74" t="str">
        <f aca="false">IF(ISBLANK($C27),"",AND($AJ27,$BC27=""))</f>
        <v/>
      </c>
      <c r="CO27" s="74" t="str">
        <f aca="false">IF(ISBLANK($C27),"",AND($AJ27,$BF27=""))</f>
        <v/>
      </c>
      <c r="CP27" s="75"/>
      <c r="CQ27" s="76"/>
      <c r="CR27" s="79" t="str">
        <f aca="false">IF(ISBLANK($C27),"",IF($BH27=Constants!$B$8,$CI27,""))</f>
        <v/>
      </c>
      <c r="CS27" s="76" t="str">
        <f aca="false">IF(ISBLANK($C27),"",IF($BH27&lt;&gt;Constants!$B$4,"",$BK27+$BL27))</f>
        <v/>
      </c>
      <c r="CT27" s="78" t="str">
        <f aca="false">IF(ISBLANK($C27),"",IF($BH27&lt;&gt;Constants!$B$4,"",$BM27+$BN27+$BO27))</f>
        <v/>
      </c>
      <c r="CU27" s="78" t="str">
        <f aca="false">IF(ISBLANK($C27),"",IF($BH27&lt;&gt;Constants!$B$4,"",$BP27))</f>
        <v/>
      </c>
      <c r="CV27" s="78" t="str">
        <f aca="false">IF(ISBLANK($C27),"",IF($BH27&lt;&gt;Constants!$B$4,"",$BQ27+$BR27))</f>
        <v/>
      </c>
      <c r="CW27" s="78" t="str">
        <f aca="false">IF(ISBLANK($C27),"",IF($BH27&lt;&gt;Constants!$B$4,"",$BS27))</f>
        <v/>
      </c>
      <c r="CX27" s="78" t="str">
        <f aca="false">IF(ISBLANK($C27),"",IF($BH27&lt;&gt;Constants!$B$4,"",-$BZ27))</f>
        <v/>
      </c>
      <c r="CY27" s="79" t="str">
        <f aca="false">IF(ISBLANK($C27),"",$CA27)</f>
        <v/>
      </c>
      <c r="CZ27" s="80" t="str">
        <f aca="false">IF(ISBLANK($C27),"",$BI27)</f>
        <v/>
      </c>
      <c r="DA27" s="78" t="str">
        <f aca="false">IF(ISBLANK($C27),"",$CH27)</f>
        <v/>
      </c>
      <c r="DB27" s="78" t="str">
        <f aca="false">IF(ISBLANK($C27),"",$CG27)</f>
        <v/>
      </c>
      <c r="DC27" s="81" t="str">
        <f aca="false">IF(ISBLANK($C27),"",IFERROR(_xlfn.SWITCH($DB27,Constants!$B$7,COUNTA($C$9:$C$508)+2,Constants!$B$6,COUNTA($C$9:$C$508)+1,Constants!$B$5,COUNTA($C$9:$C$508)),$DB27))</f>
        <v/>
      </c>
      <c r="DD27" s="7"/>
      <c r="DE27" s="82" t="n">
        <f aca="false">IF(OR(ISNUMBER($DB27),$DB27=Constants!$B$7,$DB27=Constants!$B$5,$DB27=Constants!$B$6),1,0)</f>
        <v>0</v>
      </c>
      <c r="DF27" s="82" t="n">
        <v>19</v>
      </c>
      <c r="DG27" s="82" t="str">
        <f aca="false">IF(ISBLANK($C27),"",IF(ISNUMBER($DC27),$DC27+ROW($B27)/1000,""))</f>
        <v/>
      </c>
      <c r="DH27" s="82" t="str">
        <f aca="false">IF(ISNUMBER($DG27),RANK($DG27,$DG$9:$DG$508,1),"")</f>
        <v/>
      </c>
      <c r="DI27" s="82" t="str">
        <f aca="false">IF(ISBLANK($C27),"",$B27)</f>
        <v/>
      </c>
      <c r="DJ27" s="82" t="str">
        <f aca="false">IF(ISBLANK($C27),"",$C27)</f>
        <v/>
      </c>
      <c r="DK27" s="82" t="str">
        <f aca="false">IF(ISBLANK($C27),"",$D27)</f>
        <v/>
      </c>
      <c r="DL27" s="83" t="str">
        <f aca="false">$CZ27</f>
        <v/>
      </c>
      <c r="DM27" s="84" t="str">
        <f aca="false">$CY27</f>
        <v/>
      </c>
      <c r="DN27" s="82" t="str">
        <f aca="false">IF(ISBLANK($C27),"",$DB27)</f>
        <v/>
      </c>
      <c r="DO27" s="85" t="str">
        <f aca="false">IF($DF27&gt;$DE$8,"",VLOOKUP($DF27,$DH$9:$DN$508,7,FALSE()))</f>
        <v/>
      </c>
      <c r="DP27" s="86" t="str">
        <f aca="false">IF($DF27&gt;$DE$8,"",VLOOKUP($DF27,$DH$9:$DN$508,2,FALSE()))</f>
        <v/>
      </c>
      <c r="DQ27" s="86" t="str">
        <f aca="false">IF($DF27&gt;$DE$8,"",VLOOKUP($DF27,$DH$9:$DN$508,3,FALSE()))</f>
        <v/>
      </c>
      <c r="DR27" s="86" t="str">
        <f aca="false">IF($DF27&gt;$DE$8,"",VLOOKUP($DF27,$DH$9:$DN$508,4,FALSE()))</f>
        <v/>
      </c>
      <c r="DS27" s="86" t="str">
        <f aca="false">IF($DF27&gt;$DE$8,"",VLOOKUP($DF27,$DH$9:$DN$508,5,FALSE()))</f>
        <v/>
      </c>
      <c r="DT27" s="87" t="str">
        <f aca="false">IF($DF27&gt;$DE$8,"",VLOOKUP($DF27,$DH$9:$DN$508,6,FALSE()))</f>
        <v/>
      </c>
      <c r="DU27" s="62"/>
    </row>
    <row r="28" customFormat="false" ht="15.75" hidden="false" customHeight="false" outlineLevel="0" collapsed="false">
      <c r="A28" s="7"/>
      <c r="B28" s="64"/>
      <c r="C28" s="65"/>
      <c r="D28" s="123"/>
      <c r="E28" s="124"/>
      <c r="F28" s="125"/>
      <c r="G28" s="124"/>
      <c r="H28" s="125"/>
      <c r="I28" s="69"/>
      <c r="J28" s="69"/>
      <c r="K28" s="69"/>
      <c r="L28" s="124"/>
      <c r="M28" s="124"/>
      <c r="N28" s="124"/>
      <c r="O28" s="125"/>
      <c r="P28" s="124"/>
      <c r="Q28" s="124"/>
      <c r="R28" s="124"/>
      <c r="S28" s="124"/>
      <c r="T28" s="125"/>
      <c r="U28" s="124"/>
      <c r="V28" s="70"/>
      <c r="W28" s="124"/>
      <c r="X28" s="124"/>
      <c r="Y28" s="70"/>
      <c r="Z28" s="70"/>
      <c r="AA28" s="124"/>
      <c r="AB28" s="124"/>
      <c r="AC28" s="71"/>
      <c r="AD28" s="88"/>
      <c r="AE28" s="73"/>
      <c r="AF28" s="74"/>
      <c r="AG28" s="74"/>
      <c r="AH28" s="74" t="str">
        <f aca="false">IF(ISBLANK($C28),"",IF($E28=Constants!$B$2,TRUE(),IF($E28=Constants!$B$3,FALSE(),TRUE())))</f>
        <v/>
      </c>
      <c r="AI28" s="74" t="str">
        <f aca="false">IF(ISBLANK($C28),"",IF($F28=Constants!$B$2,TRUE(),IF($F28=Constants!$B$3,FALSE(),FALSE())))</f>
        <v/>
      </c>
      <c r="AJ28" s="74" t="str">
        <f aca="false">IF(ISBLANK($C28),"",IF($G28=Constants!$B$2,TRUE(),IF($G28=Constants!$B$3,FALSE(),TRUE())))</f>
        <v/>
      </c>
      <c r="AK28" s="74" t="str">
        <f aca="false">IF(ISBLANK($C28),"",IF($H28=Constants!$B$2,TRUE(),IF($H28=Constants!$B$3,FALSE(),TRUE())))</f>
        <v/>
      </c>
      <c r="AL28" s="74" t="str">
        <f aca="false">IF(ISBLANK($C28),"",IF(ISNUMBER($I28),IF($I28&gt;=0,$I28,""),""))</f>
        <v/>
      </c>
      <c r="AM28" s="74" t="str">
        <f aca="false">IF(ISBLANK($C28),"",IF(ISNUMBER($J28),IF($J28&gt;=0,$J28,""),""))</f>
        <v/>
      </c>
      <c r="AN28" s="74" t="str">
        <f aca="false">IF(ISBLANK($C28),"",IF(ISNUMBER($K28),IF($K28&gt;=0,$K28,""),""))</f>
        <v/>
      </c>
      <c r="AO28" s="74" t="str">
        <f aca="false">IF(ISBLANK($C28),"",IF($L28=Constants!$B$2,TRUE(),IF($L28=Constants!$B$3,FALSE(),TRUE())))</f>
        <v/>
      </c>
      <c r="AP28" s="74" t="str">
        <f aca="false">IF(ISBLANK($C28),"",IF($M28=Constants!$B$2,TRUE(),IF($M28=Constants!$B$3,FALSE(),TRUE())))</f>
        <v/>
      </c>
      <c r="AQ28" s="74" t="str">
        <f aca="false">IF(ISBLANK($C28),"",IF($N28=Constants!$B$2,TRUE(),IF($N28=Constants!$B$3,FALSE(),FALSE())))</f>
        <v/>
      </c>
      <c r="AR28" s="74" t="str">
        <f aca="false">IF(ISBLANK($C28),"",IF($O28=Constants!$B$2,TRUE(),IF($O28=Constants!$B$3,FALSE(),TRUE())))</f>
        <v/>
      </c>
      <c r="AS28" s="74" t="str">
        <f aca="false">IF(ISBLANK($C28),"",IF($P28=Constants!$B$2,TRUE(),IF($P28=Constants!$B$3,FALSE(),FALSE())))</f>
        <v/>
      </c>
      <c r="AT28" s="74" t="str">
        <f aca="false">IF(ISBLANK($C28),"",IF($Q28=Constants!$B$2,TRUE(),IF($Q28=Constants!$B$3,FALSE(),FALSE())))</f>
        <v/>
      </c>
      <c r="AU28" s="74" t="str">
        <f aca="false">IF(ISBLANK($C28),"",IF($R28=Constants!$B$2,TRUE(),IF($R28=Constants!$B$3,FALSE(),FALSE())))</f>
        <v/>
      </c>
      <c r="AV28" s="74" t="str">
        <f aca="false">IF(ISBLANK($C28),"",IF($S28=Constants!$B$2,TRUE(),IF($S28=Constants!$B$3,FALSE(),FALSE())))</f>
        <v/>
      </c>
      <c r="AW28" s="74" t="str">
        <f aca="false">IF(ISBLANK($C28),"",IF($T28=Constants!$B$2,TRUE(),IF($T28=Constants!$B$3,FALSE(),FALSE())))</f>
        <v/>
      </c>
      <c r="AX28" s="74" t="str">
        <f aca="false">IF(ISBLANK($C28),"",IF(OR($U28&amp;""="1",$U28&amp;""="2",$U28&amp;""="3",$U28&amp;""="4"),VALUE($U28&amp;""),IF($U28=Constants!$B$12,Constants!$B$12,"")))</f>
        <v/>
      </c>
      <c r="AY28" s="74" t="str">
        <f aca="false">IF(ISBLANK($C28),"",IF(ISBLANK($V28),0,IF(ISNUMBER($V28),IF(AND($V28&gt;=0,$V28&lt;=Constants!$B$21,$V28=INT($V28)),$V28,""),"")))</f>
        <v/>
      </c>
      <c r="AZ28" s="74" t="str">
        <f aca="false">IF(ISBLANK($C28),"",IF(ISBLANK($W28),0,IF(ISNUMBER($W28),IF($W28&gt;=0,$W28,""),"")))</f>
        <v/>
      </c>
      <c r="BA28" s="74" t="str">
        <f aca="false">IF(ISBLANK($C28),"",IF($X28=Constants!$B$2,TRUE(),IF($X28=Constants!$B$3,FALSE(),TRUE())))</f>
        <v/>
      </c>
      <c r="BB28" s="74" t="str">
        <f aca="false">IF(ISBLANK($C28),"",IF($Y28=Constants!$B$2,TRUE(),IF($Y28=Constants!$B$3,FALSE(),FALSE())))</f>
        <v/>
      </c>
      <c r="BC28" s="74" t="str">
        <f aca="false">IF(ISBLANK($C28),"",IF(ISBLANK($Z28),0,IF(ISNUMBER($Z28),IF(AND($Z28&gt;=0,$Z28&lt;=Constants!$B$35,$Z28=INT($Z28)),$Z28,""),"")))</f>
        <v/>
      </c>
      <c r="BD28" s="74" t="str">
        <f aca="false">IF(ISBLANK($C28),"",IF($AA28=Constants!$B$2,TRUE(),IF($AA28=Constants!$B$3,FALSE(),TRUE())))</f>
        <v/>
      </c>
      <c r="BE28" s="74" t="str">
        <f aca="false">IF(ISBLANK($C28),"",IF($AB28=Constants!$B$2,TRUE(),IF($AB28=Constants!$B$3,FALSE(),TRUE())))</f>
        <v/>
      </c>
      <c r="BF28" s="74" t="str">
        <f aca="false">IF(ISBLANK($C28),"",IF(ISNUMBER($AC28),IF($AC28&gt;=0,$AC28,""),""))</f>
        <v/>
      </c>
      <c r="BG28" s="74" t="str">
        <f aca="false">IF(ISBLANK($C28),"",IF($AD28=Constants!$B$2,TRUE(),IF($AD28=Constants!$B$3,FALSE(),FALSE())))</f>
        <v/>
      </c>
      <c r="BH28" s="73" t="str">
        <f aca="false">IF(ISBLANK($C28),"",IF($BG28,Constants!$B$7,IF(COUNTA($E28:$AC28)=0,Constants!$B$6,IF(OR(COUNTA($G28:$AC28)=0,NOT($AK28),$AQ28),Constants!$B$5,IF(OR($CI28&lt;&gt;"",$CJ28,$CK28,$CL28,$CM28,$CN28,$CO28),Constants!$B$8,Constants!$B$4)))))</f>
        <v/>
      </c>
      <c r="BI28" s="74" t="str">
        <f aca="false">IF(ISBLANK($C28),"",IF($BH28&lt;&gt;Constants!$B$4,$BH28,IF(OR(NOT($AH28),NOT($AJ28),NOT($AR28)),Constants!$B$11,IF(OR(NOT($AP28),MAX($AL28,$AM28,$AN28)&gt;Constants!$B$30),Constants!$B$10,Constants!$B$9))))</f>
        <v/>
      </c>
      <c r="BJ28" s="74" t="str">
        <f aca="false">IF($BH28&lt;&gt;Constants!$B$4,"",IF(NOT($AJ28),0,MIN(Constants!$B$35,$BC28)))</f>
        <v/>
      </c>
      <c r="BK28" s="74" t="str">
        <f aca="false">IF($BH28&lt;&gt;Constants!$B$4,"",IF(NOT($AJ28),0,IF($AT28,Constants!$B$18,IF($AS28,Constants!$B$17,0))))</f>
        <v/>
      </c>
      <c r="BL28" s="74" t="str">
        <f aca="false">IF($BH28&lt;&gt;Constants!$B$4,"",IF(NOT($AJ28),0,Constants!$B$19*($AI28+$AU28+$AV28+$AW28)))</f>
        <v/>
      </c>
      <c r="BM28" s="74" t="str">
        <f aca="false">IF($BH28&lt;&gt;Constants!$B$4,"",IF(OR(NOT($AJ28),NOT(ISNUMBER($AX28))),0,CHOOSE($AX28,Constants!$B$13,Constants!$B$14,Constants!$B$15,Constants!$B$16)))</f>
        <v/>
      </c>
      <c r="BN28" s="74" t="str">
        <f aca="false">IF($BH28&lt;&gt;Constants!$B$4,"",IF(NOT($AJ28),0,Constants!$B$20*$AY28))</f>
        <v/>
      </c>
      <c r="BO28" s="74" t="str">
        <f aca="false">IF($BH28&lt;&gt;Constants!$B$4,"",IF(AND($AJ28,$BA28,$BB28),Constants!$B$22,0))</f>
        <v/>
      </c>
      <c r="BP28" s="74" t="str">
        <f aca="false">IF($BH28&lt;&gt;Constants!$B$4,"",IF(OR(NOT($AJ28),NOT($BA28)),0,IF($BF28&gt;=2*$AF$9,0,Constants!$B$23*INT(ROUND(MIN($BF28,$AF$9),6)))))</f>
        <v/>
      </c>
      <c r="BQ28" s="74" t="str">
        <f aca="false">IF($BH28&lt;&gt;Constants!$B$4,"",IF(NOT($AJ28),0,Constants!$B$24*INT(ROUND(MIN($AZ28,$AF$9),6))))</f>
        <v/>
      </c>
      <c r="BR28" s="74" t="str">
        <f aca="false">IF($BH28&lt;&gt;Constants!$B$4,"",IF(AND($AJ28,$BJ28=0),Constants!$B$25,0))</f>
        <v/>
      </c>
      <c r="BS28" s="74" t="str">
        <f aca="false">IF($BH28&lt;&gt;Constants!$B$4,"",MIN(Constants!$B$29,MAX(0,Constants!$B$27*Constants!$B$28*INT(ROUND((Constants!$B$26-$AL28)/Constants!$B$28,6))))+MIN(Constants!$B$29,MAX(0,Constants!$B$27*Constants!$B$28*INT(ROUND((Constants!$B$26-$AM28)/Constants!$B$28,6))))+MIN(Constants!$B$29,MAX(0,Constants!$B$27*Constants!$B$28*INT(ROUND((Constants!$B$26-$AN28)/Constants!$B$28,6)))))</f>
        <v/>
      </c>
      <c r="BT28" s="74" t="str">
        <f aca="false">IF($BH28&lt;&gt;Constants!$B$4,"",IF(NOT($AJ28),0,Constants!$B$31*INT(ROUND(MAX(0,MIN($BF28,2*$AF$9)-$AF$9),6))))</f>
        <v/>
      </c>
      <c r="BU28" s="74" t="str">
        <f aca="false">IF($BH28&lt;&gt;Constants!$B$4,"",Constants!$B$32*(($AL28&gt;Constants!$B$26)+($AM28&gt;Constants!$B$26)+($AN28&gt;Constants!$B$26)))</f>
        <v/>
      </c>
      <c r="BV28" s="74" t="str">
        <f aca="false">IF($BH28&lt;&gt;Constants!$B$4,"",IF(OR(NOT($AJ28),$AO28),0,Constants!$B$33))</f>
        <v/>
      </c>
      <c r="BW28" s="74" t="str">
        <f aca="false">IF($BH28&lt;&gt;Constants!$B$4,"",Constants!$B$34*$BJ28)</f>
        <v/>
      </c>
      <c r="BX28" s="74" t="str">
        <f aca="false">IF($BH28&lt;&gt;Constants!$B$4,"",IF(OR(NOT($AJ28),$BE28),0,Constants!$B$36))</f>
        <v/>
      </c>
      <c r="BY28" s="74" t="str">
        <f aca="false">IF($BH28&lt;&gt;Constants!$B$4,"",IF(OR(NOT($AJ28),$BD28),0,Constants!$B$37))</f>
        <v/>
      </c>
      <c r="BZ28" s="74" t="str">
        <f aca="false">IF($BH28&lt;&gt;Constants!$B$4,"",SUM($BT28:$BY28))</f>
        <v/>
      </c>
      <c r="CA28" s="74" t="str">
        <f aca="false">IF(ISBLANK($C28),"",IF($BH28&lt;&gt;Constants!$B$4,$BH28,SUM($BK28:$BS28)-$BZ28))</f>
        <v/>
      </c>
      <c r="CB28" s="74" t="str">
        <f aca="false">IF(ISBLANK($C28),"",IF($BH28&lt;&gt;Constants!$B$4,$BH28,RANK($CA28,$CA$9:$CA$508)))</f>
        <v/>
      </c>
      <c r="CC28" s="74" t="str">
        <f aca="false">IF(ISBLANK($C28),"",IF($BH28&lt;&gt;Constants!$B$4,$BH28,COUNTIFS($BI$9:$BI$508,"&lt;"&amp;$BI28)+COUNTIFS($BI$9:$BI$508,$BI28,$CB$9:$CB$508,"&lt;"&amp;$CB28)+1))</f>
        <v/>
      </c>
      <c r="CD28" s="74" t="str">
        <f aca="false">IF(ISBLANK($C28),"",IF($BH28&lt;&gt;Constants!$B$4,$BH28,RANK($BZ28,$BZ$9:$BZ$508,1)))</f>
        <v/>
      </c>
      <c r="CE28" s="74" t="str">
        <f aca="false">IF($BH28&lt;&gt;Constants!$B$4,"",$AL28+$AM28+$AN28)</f>
        <v/>
      </c>
      <c r="CF28" s="74" t="str">
        <f aca="false">IF(ISBLANK($C28),"",IF($BH28&lt;&gt;Constants!$B$4,$BH28,RANK($CE28,$CE$9:$CE$508,1)))</f>
        <v/>
      </c>
      <c r="CG28" s="74" t="str">
        <f aca="false">IF(ISBLANK($C28),"",IF($BH28&lt;&gt;Constants!$B$4,$BH28,COUNTIFS($BI$9:$BI$508,"&lt;"&amp;$BI28)+COUNTIFS($BI$9:$BI$508,$BI28,$CB$9:$CB$508,"&lt;"&amp;$CB28)+COUNTIFS($BI$9:$BI$508,$BI28,$CB$9:$CB$508,$CB28,$CD$9:$CD$508,"&lt;"&amp;$CD28)+COUNTIFS($BI$9:$BI$508,$BI28,$CB$9:$CB$508,$CB28,$CD$9:$CD$508,$CD28,$CF$9:$CF$508,"&lt;"&amp;$CF28)+1))</f>
        <v/>
      </c>
      <c r="CH28" s="74" t="str">
        <f aca="false">IF(ISBLANK($C28),"",IF($BH28&lt;&gt;Constants!$B$4,$BH28,$CC28-$CG28))</f>
        <v/>
      </c>
      <c r="CI28" s="74" t="str">
        <f aca="false">IF(ISBLANK($C28),"",IF(NOT($AJ28),"",IF(ISBLANK($D$7),$CI$5,IF(NOT(ISNUMBER($D$7)),$CI$6,""))))</f>
        <v/>
      </c>
      <c r="CJ28" s="74" t="str">
        <f aca="false">IF(ISBLANK($C28),"",OR($AL28="",$AM28="",$AN28=""))</f>
        <v/>
      </c>
      <c r="CK28" s="74" t="str">
        <f aca="false">IF(ISBLANK($C28),"",AND($AJ28,$AX28=""))</f>
        <v/>
      </c>
      <c r="CL28" s="74" t="str">
        <f aca="false">IF(ISBLANK($C28),"",AND($AJ28,$AY28=""))</f>
        <v/>
      </c>
      <c r="CM28" s="74" t="str">
        <f aca="false">IF(ISBLANK($C28),"",AND($AJ28,$AZ28=""))</f>
        <v/>
      </c>
      <c r="CN28" s="74" t="str">
        <f aca="false">IF(ISBLANK($C28),"",AND($AJ28,$BC28=""))</f>
        <v/>
      </c>
      <c r="CO28" s="74" t="str">
        <f aca="false">IF(ISBLANK($C28),"",AND($AJ28,$BF28=""))</f>
        <v/>
      </c>
      <c r="CP28" s="75"/>
      <c r="CQ28" s="76"/>
      <c r="CR28" s="79" t="str">
        <f aca="false">IF(ISBLANK($C28),"",IF($BH28=Constants!$B$8,$CI28,""))</f>
        <v/>
      </c>
      <c r="CS28" s="76" t="str">
        <f aca="false">IF(ISBLANK($C28),"",IF($BH28&lt;&gt;Constants!$B$4,"",$BK28+$BL28))</f>
        <v/>
      </c>
      <c r="CT28" s="78" t="str">
        <f aca="false">IF(ISBLANK($C28),"",IF($BH28&lt;&gt;Constants!$B$4,"",$BM28+$BN28+$BO28))</f>
        <v/>
      </c>
      <c r="CU28" s="78" t="str">
        <f aca="false">IF(ISBLANK($C28),"",IF($BH28&lt;&gt;Constants!$B$4,"",$BP28))</f>
        <v/>
      </c>
      <c r="CV28" s="78" t="str">
        <f aca="false">IF(ISBLANK($C28),"",IF($BH28&lt;&gt;Constants!$B$4,"",$BQ28+$BR28))</f>
        <v/>
      </c>
      <c r="CW28" s="78" t="str">
        <f aca="false">IF(ISBLANK($C28),"",IF($BH28&lt;&gt;Constants!$B$4,"",$BS28))</f>
        <v/>
      </c>
      <c r="CX28" s="78" t="str">
        <f aca="false">IF(ISBLANK($C28),"",IF($BH28&lt;&gt;Constants!$B$4,"",-$BZ28))</f>
        <v/>
      </c>
      <c r="CY28" s="79" t="str">
        <f aca="false">IF(ISBLANK($C28),"",$CA28)</f>
        <v/>
      </c>
      <c r="CZ28" s="80" t="str">
        <f aca="false">IF(ISBLANK($C28),"",$BI28)</f>
        <v/>
      </c>
      <c r="DA28" s="78" t="str">
        <f aca="false">IF(ISBLANK($C28),"",$CH28)</f>
        <v/>
      </c>
      <c r="DB28" s="78" t="str">
        <f aca="false">IF(ISBLANK($C28),"",$CG28)</f>
        <v/>
      </c>
      <c r="DC28" s="81" t="str">
        <f aca="false">IF(ISBLANK($C28),"",IFERROR(_xlfn.SWITCH($DB28,Constants!$B$7,COUNTA($C$9:$C$508)+2,Constants!$B$6,COUNTA($C$9:$C$508)+1,Constants!$B$5,COUNTA($C$9:$C$508)),$DB28))</f>
        <v/>
      </c>
      <c r="DD28" s="7"/>
      <c r="DE28" s="82" t="n">
        <f aca="false">IF(OR(ISNUMBER($DB28),$DB28=Constants!$B$7,$DB28=Constants!$B$5,$DB28=Constants!$B$6),1,0)</f>
        <v>0</v>
      </c>
      <c r="DF28" s="82" t="n">
        <v>20</v>
      </c>
      <c r="DG28" s="82" t="str">
        <f aca="false">IF(ISBLANK($C28),"",IF(ISNUMBER($DC28),$DC28+ROW($B28)/1000,""))</f>
        <v/>
      </c>
      <c r="DH28" s="82" t="str">
        <f aca="false">IF(ISNUMBER($DG28),RANK($DG28,$DG$9:$DG$508,1),"")</f>
        <v/>
      </c>
      <c r="DI28" s="82" t="str">
        <f aca="false">IF(ISBLANK($C28),"",$B28)</f>
        <v/>
      </c>
      <c r="DJ28" s="82" t="str">
        <f aca="false">IF(ISBLANK($C28),"",$C28)</f>
        <v/>
      </c>
      <c r="DK28" s="82" t="str">
        <f aca="false">IF(ISBLANK($C28),"",$D28)</f>
        <v/>
      </c>
      <c r="DL28" s="83" t="str">
        <f aca="false">$CZ28</f>
        <v/>
      </c>
      <c r="DM28" s="84" t="str">
        <f aca="false">$CY28</f>
        <v/>
      </c>
      <c r="DN28" s="82" t="str">
        <f aca="false">IF(ISBLANK($C28),"",$DB28)</f>
        <v/>
      </c>
      <c r="DO28" s="85" t="str">
        <f aca="false">IF($DF28&gt;$DE$8,"",VLOOKUP($DF28,$DH$9:$DN$508,7,FALSE()))</f>
        <v/>
      </c>
      <c r="DP28" s="86" t="str">
        <f aca="false">IF($DF28&gt;$DE$8,"",VLOOKUP($DF28,$DH$9:$DN$508,2,FALSE()))</f>
        <v/>
      </c>
      <c r="DQ28" s="86" t="str">
        <f aca="false">IF($DF28&gt;$DE$8,"",VLOOKUP($DF28,$DH$9:$DN$508,3,FALSE()))</f>
        <v/>
      </c>
      <c r="DR28" s="86" t="str">
        <f aca="false">IF($DF28&gt;$DE$8,"",VLOOKUP($DF28,$DH$9:$DN$508,4,FALSE()))</f>
        <v/>
      </c>
      <c r="DS28" s="86" t="str">
        <f aca="false">IF($DF28&gt;$DE$8,"",VLOOKUP($DF28,$DH$9:$DN$508,5,FALSE()))</f>
        <v/>
      </c>
      <c r="DT28" s="87" t="str">
        <f aca="false">IF($DF28&gt;$DE$8,"",VLOOKUP($DF28,$DH$9:$DN$508,6,FALSE()))</f>
        <v/>
      </c>
      <c r="DU28" s="62"/>
    </row>
    <row r="29" customFormat="false" ht="15.75" hidden="false" customHeight="false" outlineLevel="0" collapsed="false">
      <c r="A29" s="7"/>
      <c r="B29" s="64"/>
      <c r="C29" s="65"/>
      <c r="D29" s="123"/>
      <c r="E29" s="117"/>
      <c r="F29" s="118"/>
      <c r="G29" s="117"/>
      <c r="H29" s="118"/>
      <c r="I29" s="119"/>
      <c r="J29" s="119"/>
      <c r="K29" s="119"/>
      <c r="L29" s="117"/>
      <c r="M29" s="117"/>
      <c r="N29" s="117"/>
      <c r="O29" s="118"/>
      <c r="P29" s="117"/>
      <c r="Q29" s="117"/>
      <c r="R29" s="117"/>
      <c r="S29" s="117"/>
      <c r="T29" s="118"/>
      <c r="U29" s="117"/>
      <c r="V29" s="120"/>
      <c r="W29" s="117"/>
      <c r="X29" s="117"/>
      <c r="Y29" s="120"/>
      <c r="Z29" s="120"/>
      <c r="AA29" s="117"/>
      <c r="AB29" s="117"/>
      <c r="AC29" s="121"/>
      <c r="AD29" s="122"/>
      <c r="AE29" s="73"/>
      <c r="AF29" s="74"/>
      <c r="AG29" s="74"/>
      <c r="AH29" s="74" t="str">
        <f aca="false">IF(ISBLANK($C29),"",IF($E29=Constants!$B$2,TRUE(),IF($E29=Constants!$B$3,FALSE(),TRUE())))</f>
        <v/>
      </c>
      <c r="AI29" s="74" t="str">
        <f aca="false">IF(ISBLANK($C29),"",IF($F29=Constants!$B$2,TRUE(),IF($F29=Constants!$B$3,FALSE(),FALSE())))</f>
        <v/>
      </c>
      <c r="AJ29" s="74" t="str">
        <f aca="false">IF(ISBLANK($C29),"",IF($G29=Constants!$B$2,TRUE(),IF($G29=Constants!$B$3,FALSE(),TRUE())))</f>
        <v/>
      </c>
      <c r="AK29" s="74" t="str">
        <f aca="false">IF(ISBLANK($C29),"",IF($H29=Constants!$B$2,TRUE(),IF($H29=Constants!$B$3,FALSE(),TRUE())))</f>
        <v/>
      </c>
      <c r="AL29" s="74" t="str">
        <f aca="false">IF(ISBLANK($C29),"",IF(ISNUMBER($I29),IF($I29&gt;=0,$I29,""),""))</f>
        <v/>
      </c>
      <c r="AM29" s="74" t="str">
        <f aca="false">IF(ISBLANK($C29),"",IF(ISNUMBER($J29),IF($J29&gt;=0,$J29,""),""))</f>
        <v/>
      </c>
      <c r="AN29" s="74" t="str">
        <f aca="false">IF(ISBLANK($C29),"",IF(ISNUMBER($K29),IF($K29&gt;=0,$K29,""),""))</f>
        <v/>
      </c>
      <c r="AO29" s="74" t="str">
        <f aca="false">IF(ISBLANK($C29),"",IF($L29=Constants!$B$2,TRUE(),IF($L29=Constants!$B$3,FALSE(),TRUE())))</f>
        <v/>
      </c>
      <c r="AP29" s="74" t="str">
        <f aca="false">IF(ISBLANK($C29),"",IF($M29=Constants!$B$2,TRUE(),IF($M29=Constants!$B$3,FALSE(),TRUE())))</f>
        <v/>
      </c>
      <c r="AQ29" s="74" t="str">
        <f aca="false">IF(ISBLANK($C29),"",IF($N29=Constants!$B$2,TRUE(),IF($N29=Constants!$B$3,FALSE(),FALSE())))</f>
        <v/>
      </c>
      <c r="AR29" s="74" t="str">
        <f aca="false">IF(ISBLANK($C29),"",IF($O29=Constants!$B$2,TRUE(),IF($O29=Constants!$B$3,FALSE(),TRUE())))</f>
        <v/>
      </c>
      <c r="AS29" s="74" t="str">
        <f aca="false">IF(ISBLANK($C29),"",IF($P29=Constants!$B$2,TRUE(),IF($P29=Constants!$B$3,FALSE(),FALSE())))</f>
        <v/>
      </c>
      <c r="AT29" s="74" t="str">
        <f aca="false">IF(ISBLANK($C29),"",IF($Q29=Constants!$B$2,TRUE(),IF($Q29=Constants!$B$3,FALSE(),FALSE())))</f>
        <v/>
      </c>
      <c r="AU29" s="74" t="str">
        <f aca="false">IF(ISBLANK($C29),"",IF($R29=Constants!$B$2,TRUE(),IF($R29=Constants!$B$3,FALSE(),FALSE())))</f>
        <v/>
      </c>
      <c r="AV29" s="74" t="str">
        <f aca="false">IF(ISBLANK($C29),"",IF($S29=Constants!$B$2,TRUE(),IF($S29=Constants!$B$3,FALSE(),FALSE())))</f>
        <v/>
      </c>
      <c r="AW29" s="74" t="str">
        <f aca="false">IF(ISBLANK($C29),"",IF($T29=Constants!$B$2,TRUE(),IF($T29=Constants!$B$3,FALSE(),FALSE())))</f>
        <v/>
      </c>
      <c r="AX29" s="74" t="str">
        <f aca="false">IF(ISBLANK($C29),"",IF(OR($U29&amp;""="1",$U29&amp;""="2",$U29&amp;""="3",$U29&amp;""="4"),VALUE($U29&amp;""),IF($U29=Constants!$B$12,Constants!$B$12,"")))</f>
        <v/>
      </c>
      <c r="AY29" s="74" t="str">
        <f aca="false">IF(ISBLANK($C29),"",IF(ISBLANK($V29),0,IF(ISNUMBER($V29),IF(AND($V29&gt;=0,$V29&lt;=Constants!$B$21,$V29=INT($V29)),$V29,""),"")))</f>
        <v/>
      </c>
      <c r="AZ29" s="74" t="str">
        <f aca="false">IF(ISBLANK($C29),"",IF(ISBLANK($W29),0,IF(ISNUMBER($W29),IF($W29&gt;=0,$W29,""),"")))</f>
        <v/>
      </c>
      <c r="BA29" s="74" t="str">
        <f aca="false">IF(ISBLANK($C29),"",IF($X29=Constants!$B$2,TRUE(),IF($X29=Constants!$B$3,FALSE(),TRUE())))</f>
        <v/>
      </c>
      <c r="BB29" s="74" t="str">
        <f aca="false">IF(ISBLANK($C29),"",IF($Y29=Constants!$B$2,TRUE(),IF($Y29=Constants!$B$3,FALSE(),FALSE())))</f>
        <v/>
      </c>
      <c r="BC29" s="74" t="str">
        <f aca="false">IF(ISBLANK($C29),"",IF(ISBLANK($Z29),0,IF(ISNUMBER($Z29),IF(AND($Z29&gt;=0,$Z29&lt;=Constants!$B$35,$Z29=INT($Z29)),$Z29,""),"")))</f>
        <v/>
      </c>
      <c r="BD29" s="74" t="str">
        <f aca="false">IF(ISBLANK($C29),"",IF($AA29=Constants!$B$2,TRUE(),IF($AA29=Constants!$B$3,FALSE(),TRUE())))</f>
        <v/>
      </c>
      <c r="BE29" s="74" t="str">
        <f aca="false">IF(ISBLANK($C29),"",IF($AB29=Constants!$B$2,TRUE(),IF($AB29=Constants!$B$3,FALSE(),TRUE())))</f>
        <v/>
      </c>
      <c r="BF29" s="74" t="str">
        <f aca="false">IF(ISBLANK($C29),"",IF(ISNUMBER($AC29),IF($AC29&gt;=0,$AC29,""),""))</f>
        <v/>
      </c>
      <c r="BG29" s="74" t="str">
        <f aca="false">IF(ISBLANK($C29),"",IF($AD29=Constants!$B$2,TRUE(),IF($AD29=Constants!$B$3,FALSE(),FALSE())))</f>
        <v/>
      </c>
      <c r="BH29" s="73" t="str">
        <f aca="false">IF(ISBLANK($C29),"",IF($BG29,Constants!$B$7,IF(COUNTA($E29:$AC29)=0,Constants!$B$6,IF(OR(COUNTA($G29:$AC29)=0,NOT($AK29),$AQ29),Constants!$B$5,IF(OR($CI29&lt;&gt;"",$CJ29,$CK29,$CL29,$CM29,$CN29,$CO29),Constants!$B$8,Constants!$B$4)))))</f>
        <v/>
      </c>
      <c r="BI29" s="74" t="str">
        <f aca="false">IF(ISBLANK($C29),"",IF($BH29&lt;&gt;Constants!$B$4,$BH29,IF(OR(NOT($AH29),NOT($AJ29),NOT($AR29)),Constants!$B$11,IF(OR(NOT($AP29),MAX($AL29,$AM29,$AN29)&gt;Constants!$B$30),Constants!$B$10,Constants!$B$9))))</f>
        <v/>
      </c>
      <c r="BJ29" s="74" t="str">
        <f aca="false">IF($BH29&lt;&gt;Constants!$B$4,"",IF(NOT($AJ29),0,MIN(Constants!$B$35,$BC29)))</f>
        <v/>
      </c>
      <c r="BK29" s="74" t="str">
        <f aca="false">IF($BH29&lt;&gt;Constants!$B$4,"",IF(NOT($AJ29),0,IF($AT29,Constants!$B$18,IF($AS29,Constants!$B$17,0))))</f>
        <v/>
      </c>
      <c r="BL29" s="74" t="str">
        <f aca="false">IF($BH29&lt;&gt;Constants!$B$4,"",IF(NOT($AJ29),0,Constants!$B$19*($AI29+$AU29+$AV29+$AW29)))</f>
        <v/>
      </c>
      <c r="BM29" s="74" t="str">
        <f aca="false">IF($BH29&lt;&gt;Constants!$B$4,"",IF(OR(NOT($AJ29),NOT(ISNUMBER($AX29))),0,CHOOSE($AX29,Constants!$B$13,Constants!$B$14,Constants!$B$15,Constants!$B$16)))</f>
        <v/>
      </c>
      <c r="BN29" s="74" t="str">
        <f aca="false">IF($BH29&lt;&gt;Constants!$B$4,"",IF(NOT($AJ29),0,Constants!$B$20*$AY29))</f>
        <v/>
      </c>
      <c r="BO29" s="74" t="str">
        <f aca="false">IF($BH29&lt;&gt;Constants!$B$4,"",IF(AND($AJ29,$BA29,$BB29),Constants!$B$22,0))</f>
        <v/>
      </c>
      <c r="BP29" s="74" t="str">
        <f aca="false">IF($BH29&lt;&gt;Constants!$B$4,"",IF(OR(NOT($AJ29),NOT($BA29)),0,IF($BF29&gt;=2*$AF$9,0,Constants!$B$23*INT(ROUND(MIN($BF29,$AF$9),6)))))</f>
        <v/>
      </c>
      <c r="BQ29" s="74" t="str">
        <f aca="false">IF($BH29&lt;&gt;Constants!$B$4,"",IF(NOT($AJ29),0,Constants!$B$24*INT(ROUND(MIN($AZ29,$AF$9),6))))</f>
        <v/>
      </c>
      <c r="BR29" s="74" t="str">
        <f aca="false">IF($BH29&lt;&gt;Constants!$B$4,"",IF(AND($AJ29,$BJ29=0),Constants!$B$25,0))</f>
        <v/>
      </c>
      <c r="BS29" s="74" t="str">
        <f aca="false">IF($BH29&lt;&gt;Constants!$B$4,"",MIN(Constants!$B$29,MAX(0,Constants!$B$27*Constants!$B$28*INT(ROUND((Constants!$B$26-$AL29)/Constants!$B$28,6))))+MIN(Constants!$B$29,MAX(0,Constants!$B$27*Constants!$B$28*INT(ROUND((Constants!$B$26-$AM29)/Constants!$B$28,6))))+MIN(Constants!$B$29,MAX(0,Constants!$B$27*Constants!$B$28*INT(ROUND((Constants!$B$26-$AN29)/Constants!$B$28,6)))))</f>
        <v/>
      </c>
      <c r="BT29" s="74" t="str">
        <f aca="false">IF($BH29&lt;&gt;Constants!$B$4,"",IF(NOT($AJ29),0,Constants!$B$31*INT(ROUND(MAX(0,MIN($BF29,2*$AF$9)-$AF$9),6))))</f>
        <v/>
      </c>
      <c r="BU29" s="74" t="str">
        <f aca="false">IF($BH29&lt;&gt;Constants!$B$4,"",Constants!$B$32*(($AL29&gt;Constants!$B$26)+($AM29&gt;Constants!$B$26)+($AN29&gt;Constants!$B$26)))</f>
        <v/>
      </c>
      <c r="BV29" s="74" t="str">
        <f aca="false">IF($BH29&lt;&gt;Constants!$B$4,"",IF(OR(NOT($AJ29),$AO29),0,Constants!$B$33))</f>
        <v/>
      </c>
      <c r="BW29" s="74" t="str">
        <f aca="false">IF($BH29&lt;&gt;Constants!$B$4,"",Constants!$B$34*$BJ29)</f>
        <v/>
      </c>
      <c r="BX29" s="74" t="str">
        <f aca="false">IF($BH29&lt;&gt;Constants!$B$4,"",IF(OR(NOT($AJ29),$BE29),0,Constants!$B$36))</f>
        <v/>
      </c>
      <c r="BY29" s="74" t="str">
        <f aca="false">IF($BH29&lt;&gt;Constants!$B$4,"",IF(OR(NOT($AJ29),$BD29),0,Constants!$B$37))</f>
        <v/>
      </c>
      <c r="BZ29" s="74" t="str">
        <f aca="false">IF($BH29&lt;&gt;Constants!$B$4,"",SUM($BT29:$BY29))</f>
        <v/>
      </c>
      <c r="CA29" s="74" t="str">
        <f aca="false">IF(ISBLANK($C29),"",IF($BH29&lt;&gt;Constants!$B$4,$BH29,SUM($BK29:$BS29)-$BZ29))</f>
        <v/>
      </c>
      <c r="CB29" s="74" t="str">
        <f aca="false">IF(ISBLANK($C29),"",IF($BH29&lt;&gt;Constants!$B$4,$BH29,RANK($CA29,$CA$9:$CA$508)))</f>
        <v/>
      </c>
      <c r="CC29" s="74" t="str">
        <f aca="false">IF(ISBLANK($C29),"",IF($BH29&lt;&gt;Constants!$B$4,$BH29,COUNTIFS($BI$9:$BI$508,"&lt;"&amp;$BI29)+COUNTIFS($BI$9:$BI$508,$BI29,$CB$9:$CB$508,"&lt;"&amp;$CB29)+1))</f>
        <v/>
      </c>
      <c r="CD29" s="74" t="str">
        <f aca="false">IF(ISBLANK($C29),"",IF($BH29&lt;&gt;Constants!$B$4,$BH29,RANK($BZ29,$BZ$9:$BZ$508,1)))</f>
        <v/>
      </c>
      <c r="CE29" s="74" t="str">
        <f aca="false">IF($BH29&lt;&gt;Constants!$B$4,"",$AL29+$AM29+$AN29)</f>
        <v/>
      </c>
      <c r="CF29" s="74" t="str">
        <f aca="false">IF(ISBLANK($C29),"",IF($BH29&lt;&gt;Constants!$B$4,$BH29,RANK($CE29,$CE$9:$CE$508,1)))</f>
        <v/>
      </c>
      <c r="CG29" s="74" t="str">
        <f aca="false">IF(ISBLANK($C29),"",IF($BH29&lt;&gt;Constants!$B$4,$BH29,COUNTIFS($BI$9:$BI$508,"&lt;"&amp;$BI29)+COUNTIFS($BI$9:$BI$508,$BI29,$CB$9:$CB$508,"&lt;"&amp;$CB29)+COUNTIFS($BI$9:$BI$508,$BI29,$CB$9:$CB$508,$CB29,$CD$9:$CD$508,"&lt;"&amp;$CD29)+COUNTIFS($BI$9:$BI$508,$BI29,$CB$9:$CB$508,$CB29,$CD$9:$CD$508,$CD29,$CF$9:$CF$508,"&lt;"&amp;$CF29)+1))</f>
        <v/>
      </c>
      <c r="CH29" s="74" t="str">
        <f aca="false">IF(ISBLANK($C29),"",IF($BH29&lt;&gt;Constants!$B$4,$BH29,$CC29-$CG29))</f>
        <v/>
      </c>
      <c r="CI29" s="74" t="str">
        <f aca="false">IF(ISBLANK($C29),"",IF(NOT($AJ29),"",IF(ISBLANK($D$7),$CI$5,IF(NOT(ISNUMBER($D$7)),$CI$6,""))))</f>
        <v/>
      </c>
      <c r="CJ29" s="74" t="str">
        <f aca="false">IF(ISBLANK($C29),"",OR($AL29="",$AM29="",$AN29=""))</f>
        <v/>
      </c>
      <c r="CK29" s="74" t="str">
        <f aca="false">IF(ISBLANK($C29),"",AND($AJ29,$AX29=""))</f>
        <v/>
      </c>
      <c r="CL29" s="74" t="str">
        <f aca="false">IF(ISBLANK($C29),"",AND($AJ29,$AY29=""))</f>
        <v/>
      </c>
      <c r="CM29" s="74" t="str">
        <f aca="false">IF(ISBLANK($C29),"",AND($AJ29,$AZ29=""))</f>
        <v/>
      </c>
      <c r="CN29" s="74" t="str">
        <f aca="false">IF(ISBLANK($C29),"",AND($AJ29,$BC29=""))</f>
        <v/>
      </c>
      <c r="CO29" s="74" t="str">
        <f aca="false">IF(ISBLANK($C29),"",AND($AJ29,$BF29=""))</f>
        <v/>
      </c>
      <c r="CP29" s="75"/>
      <c r="CQ29" s="76"/>
      <c r="CR29" s="79" t="str">
        <f aca="false">IF(ISBLANK($C29),"",IF($BH29=Constants!$B$8,$CI29,""))</f>
        <v/>
      </c>
      <c r="CS29" s="76" t="str">
        <f aca="false">IF(ISBLANK($C29),"",IF($BH29&lt;&gt;Constants!$B$4,"",$BK29+$BL29))</f>
        <v/>
      </c>
      <c r="CT29" s="78" t="str">
        <f aca="false">IF(ISBLANK($C29),"",IF($BH29&lt;&gt;Constants!$B$4,"",$BM29+$BN29+$BO29))</f>
        <v/>
      </c>
      <c r="CU29" s="78" t="str">
        <f aca="false">IF(ISBLANK($C29),"",IF($BH29&lt;&gt;Constants!$B$4,"",$BP29))</f>
        <v/>
      </c>
      <c r="CV29" s="78" t="str">
        <f aca="false">IF(ISBLANK($C29),"",IF($BH29&lt;&gt;Constants!$B$4,"",$BQ29+$BR29))</f>
        <v/>
      </c>
      <c r="CW29" s="78" t="str">
        <f aca="false">IF(ISBLANK($C29),"",IF($BH29&lt;&gt;Constants!$B$4,"",$BS29))</f>
        <v/>
      </c>
      <c r="CX29" s="78" t="str">
        <f aca="false">IF(ISBLANK($C29),"",IF($BH29&lt;&gt;Constants!$B$4,"",-$BZ29))</f>
        <v/>
      </c>
      <c r="CY29" s="79" t="str">
        <f aca="false">IF(ISBLANK($C29),"",$CA29)</f>
        <v/>
      </c>
      <c r="CZ29" s="80" t="str">
        <f aca="false">IF(ISBLANK($C29),"",$BI29)</f>
        <v/>
      </c>
      <c r="DA29" s="78" t="str">
        <f aca="false">IF(ISBLANK($C29),"",$CH29)</f>
        <v/>
      </c>
      <c r="DB29" s="78" t="str">
        <f aca="false">IF(ISBLANK($C29),"",$CG29)</f>
        <v/>
      </c>
      <c r="DC29" s="81" t="str">
        <f aca="false">IF(ISBLANK($C29),"",IFERROR(_xlfn.SWITCH($DB29,Constants!$B$7,COUNTA($C$9:$C$508)+2,Constants!$B$6,COUNTA($C$9:$C$508)+1,Constants!$B$5,COUNTA($C$9:$C$508)),$DB29))</f>
        <v/>
      </c>
      <c r="DD29" s="7"/>
      <c r="DE29" s="82" t="n">
        <f aca="false">IF(OR(ISNUMBER($DB29),$DB29=Constants!$B$7,$DB29=Constants!$B$5,$DB29=Constants!$B$6),1,0)</f>
        <v>0</v>
      </c>
      <c r="DF29" s="82" t="n">
        <v>21</v>
      </c>
      <c r="DG29" s="82" t="str">
        <f aca="false">IF(ISBLANK($C29),"",IF(ISNUMBER($DC29),$DC29+ROW($B29)/1000,""))</f>
        <v/>
      </c>
      <c r="DH29" s="82" t="str">
        <f aca="false">IF(ISNUMBER($DG29),RANK($DG29,$DG$9:$DG$508,1),"")</f>
        <v/>
      </c>
      <c r="DI29" s="82" t="str">
        <f aca="false">IF(ISBLANK($C29),"",$B29)</f>
        <v/>
      </c>
      <c r="DJ29" s="82" t="str">
        <f aca="false">IF(ISBLANK($C29),"",$C29)</f>
        <v/>
      </c>
      <c r="DK29" s="82" t="str">
        <f aca="false">IF(ISBLANK($C29),"",$D29)</f>
        <v/>
      </c>
      <c r="DL29" s="83" t="str">
        <f aca="false">$CZ29</f>
        <v/>
      </c>
      <c r="DM29" s="84" t="str">
        <f aca="false">$CY29</f>
        <v/>
      </c>
      <c r="DN29" s="82" t="str">
        <f aca="false">IF(ISBLANK($C29),"",$DB29)</f>
        <v/>
      </c>
      <c r="DO29" s="85" t="str">
        <f aca="false">IF($DF29&gt;$DE$8,"",VLOOKUP($DF29,$DH$9:$DN$508,7,FALSE()))</f>
        <v/>
      </c>
      <c r="DP29" s="86" t="str">
        <f aca="false">IF($DF29&gt;$DE$8,"",VLOOKUP($DF29,$DH$9:$DN$508,2,FALSE()))</f>
        <v/>
      </c>
      <c r="DQ29" s="86" t="str">
        <f aca="false">IF($DF29&gt;$DE$8,"",VLOOKUP($DF29,$DH$9:$DN$508,3,FALSE()))</f>
        <v/>
      </c>
      <c r="DR29" s="86" t="str">
        <f aca="false">IF($DF29&gt;$DE$8,"",VLOOKUP($DF29,$DH$9:$DN$508,4,FALSE()))</f>
        <v/>
      </c>
      <c r="DS29" s="86" t="str">
        <f aca="false">IF($DF29&gt;$DE$8,"",VLOOKUP($DF29,$DH$9:$DN$508,5,FALSE()))</f>
        <v/>
      </c>
      <c r="DT29" s="87" t="str">
        <f aca="false">IF($DF29&gt;$DE$8,"",VLOOKUP($DF29,$DH$9:$DN$508,6,FALSE()))</f>
        <v/>
      </c>
      <c r="DU29" s="62"/>
    </row>
    <row r="30" customFormat="false" ht="15.75" hidden="false" customHeight="false" outlineLevel="0" collapsed="false">
      <c r="A30" s="7"/>
      <c r="B30" s="90"/>
      <c r="C30" s="91"/>
      <c r="D30" s="126"/>
      <c r="E30" s="127"/>
      <c r="F30" s="128"/>
      <c r="G30" s="127"/>
      <c r="H30" s="128"/>
      <c r="I30" s="95"/>
      <c r="J30" s="95"/>
      <c r="K30" s="95"/>
      <c r="L30" s="127"/>
      <c r="M30" s="127"/>
      <c r="N30" s="127"/>
      <c r="O30" s="128"/>
      <c r="P30" s="127"/>
      <c r="Q30" s="127"/>
      <c r="R30" s="127"/>
      <c r="S30" s="127"/>
      <c r="T30" s="128"/>
      <c r="U30" s="127"/>
      <c r="V30" s="96"/>
      <c r="W30" s="127"/>
      <c r="X30" s="127"/>
      <c r="Y30" s="96"/>
      <c r="Z30" s="96"/>
      <c r="AA30" s="127"/>
      <c r="AB30" s="127"/>
      <c r="AC30" s="97"/>
      <c r="AD30" s="130"/>
      <c r="AE30" s="99"/>
      <c r="AF30" s="100"/>
      <c r="AG30" s="100"/>
      <c r="AH30" s="100" t="str">
        <f aca="false">IF(ISBLANK($C30),"",IF($E30=Constants!$B$2,TRUE(),IF($E30=Constants!$B$3,FALSE(),TRUE())))</f>
        <v/>
      </c>
      <c r="AI30" s="100" t="str">
        <f aca="false">IF(ISBLANK($C30),"",IF($F30=Constants!$B$2,TRUE(),IF($F30=Constants!$B$3,FALSE(),FALSE())))</f>
        <v/>
      </c>
      <c r="AJ30" s="100" t="str">
        <f aca="false">IF(ISBLANK($C30),"",IF($G30=Constants!$B$2,TRUE(),IF($G30=Constants!$B$3,FALSE(),TRUE())))</f>
        <v/>
      </c>
      <c r="AK30" s="100" t="str">
        <f aca="false">IF(ISBLANK($C30),"",IF($H30=Constants!$B$2,TRUE(),IF($H30=Constants!$B$3,FALSE(),TRUE())))</f>
        <v/>
      </c>
      <c r="AL30" s="100" t="str">
        <f aca="false">IF(ISBLANK($C30),"",IF(ISNUMBER($I30),IF($I30&gt;=0,$I30,""),""))</f>
        <v/>
      </c>
      <c r="AM30" s="100" t="str">
        <f aca="false">IF(ISBLANK($C30),"",IF(ISNUMBER($J30),IF($J30&gt;=0,$J30,""),""))</f>
        <v/>
      </c>
      <c r="AN30" s="100" t="str">
        <f aca="false">IF(ISBLANK($C30),"",IF(ISNUMBER($K30),IF($K30&gt;=0,$K30,""),""))</f>
        <v/>
      </c>
      <c r="AO30" s="100" t="str">
        <f aca="false">IF(ISBLANK($C30),"",IF($L30=Constants!$B$2,TRUE(),IF($L30=Constants!$B$3,FALSE(),TRUE())))</f>
        <v/>
      </c>
      <c r="AP30" s="100" t="str">
        <f aca="false">IF(ISBLANK($C30),"",IF($M30=Constants!$B$2,TRUE(),IF($M30=Constants!$B$3,FALSE(),TRUE())))</f>
        <v/>
      </c>
      <c r="AQ30" s="100" t="str">
        <f aca="false">IF(ISBLANK($C30),"",IF($N30=Constants!$B$2,TRUE(),IF($N30=Constants!$B$3,FALSE(),FALSE())))</f>
        <v/>
      </c>
      <c r="AR30" s="100" t="str">
        <f aca="false">IF(ISBLANK($C30),"",IF($O30=Constants!$B$2,TRUE(),IF($O30=Constants!$B$3,FALSE(),TRUE())))</f>
        <v/>
      </c>
      <c r="AS30" s="100" t="str">
        <f aca="false">IF(ISBLANK($C30),"",IF($P30=Constants!$B$2,TRUE(),IF($P30=Constants!$B$3,FALSE(),FALSE())))</f>
        <v/>
      </c>
      <c r="AT30" s="100" t="str">
        <f aca="false">IF(ISBLANK($C30),"",IF($Q30=Constants!$B$2,TRUE(),IF($Q30=Constants!$B$3,FALSE(),FALSE())))</f>
        <v/>
      </c>
      <c r="AU30" s="100" t="str">
        <f aca="false">IF(ISBLANK($C30),"",IF($R30=Constants!$B$2,TRUE(),IF($R30=Constants!$B$3,FALSE(),FALSE())))</f>
        <v/>
      </c>
      <c r="AV30" s="100" t="str">
        <f aca="false">IF(ISBLANK($C30),"",IF($S30=Constants!$B$2,TRUE(),IF($S30=Constants!$B$3,FALSE(),FALSE())))</f>
        <v/>
      </c>
      <c r="AW30" s="100" t="str">
        <f aca="false">IF(ISBLANK($C30),"",IF($T30=Constants!$B$2,TRUE(),IF($T30=Constants!$B$3,FALSE(),FALSE())))</f>
        <v/>
      </c>
      <c r="AX30" s="100" t="str">
        <f aca="false">IF(ISBLANK($C30),"",IF(OR($U30&amp;""="1",$U30&amp;""="2",$U30&amp;""="3",$U30&amp;""="4"),VALUE($U30&amp;""),IF($U30=Constants!$B$12,Constants!$B$12,"")))</f>
        <v/>
      </c>
      <c r="AY30" s="100" t="str">
        <f aca="false">IF(ISBLANK($C30),"",IF(ISBLANK($V30),0,IF(ISNUMBER($V30),IF(AND($V30&gt;=0,$V30&lt;=Constants!$B$21,$V30=INT($V30)),$V30,""),"")))</f>
        <v/>
      </c>
      <c r="AZ30" s="100" t="str">
        <f aca="false">IF(ISBLANK($C30),"",IF(ISBLANK($W30),0,IF(ISNUMBER($W30),IF($W30&gt;=0,$W30,""),"")))</f>
        <v/>
      </c>
      <c r="BA30" s="100" t="str">
        <f aca="false">IF(ISBLANK($C30),"",IF($X30=Constants!$B$2,TRUE(),IF($X30=Constants!$B$3,FALSE(),TRUE())))</f>
        <v/>
      </c>
      <c r="BB30" s="100" t="str">
        <f aca="false">IF(ISBLANK($C30),"",IF($Y30=Constants!$B$2,TRUE(),IF($Y30=Constants!$B$3,FALSE(),FALSE())))</f>
        <v/>
      </c>
      <c r="BC30" s="100" t="str">
        <f aca="false">IF(ISBLANK($C30),"",IF(ISBLANK($Z30),0,IF(ISNUMBER($Z30),IF(AND($Z30&gt;=0,$Z30&lt;=Constants!$B$35,$Z30=INT($Z30)),$Z30,""),"")))</f>
        <v/>
      </c>
      <c r="BD30" s="100" t="str">
        <f aca="false">IF(ISBLANK($C30),"",IF($AA30=Constants!$B$2,TRUE(),IF($AA30=Constants!$B$3,FALSE(),TRUE())))</f>
        <v/>
      </c>
      <c r="BE30" s="100" t="str">
        <f aca="false">IF(ISBLANK($C30),"",IF($AB30=Constants!$B$2,TRUE(),IF($AB30=Constants!$B$3,FALSE(),TRUE())))</f>
        <v/>
      </c>
      <c r="BF30" s="100" t="str">
        <f aca="false">IF(ISBLANK($C30),"",IF(ISNUMBER($AC30),IF($AC30&gt;=0,$AC30,""),""))</f>
        <v/>
      </c>
      <c r="BG30" s="100" t="str">
        <f aca="false">IF(ISBLANK($C30),"",IF($AD30=Constants!$B$2,TRUE(),IF($AD30=Constants!$B$3,FALSE(),FALSE())))</f>
        <v/>
      </c>
      <c r="BH30" s="99" t="str">
        <f aca="false">IF(ISBLANK($C30),"",IF($BG30,Constants!$B$7,IF(COUNTA($E30:$AC30)=0,Constants!$B$6,IF(OR(COUNTA($G30:$AC30)=0,NOT($AK30),$AQ30),Constants!$B$5,IF(OR($CI30&lt;&gt;"",$CJ30,$CK30,$CL30,$CM30,$CN30,$CO30),Constants!$B$8,Constants!$B$4)))))</f>
        <v/>
      </c>
      <c r="BI30" s="100" t="str">
        <f aca="false">IF(ISBLANK($C30),"",IF($BH30&lt;&gt;Constants!$B$4,$BH30,IF(OR(NOT($AH30),NOT($AJ30),NOT($AR30)),Constants!$B$11,IF(OR(NOT($AP30),MAX($AL30,$AM30,$AN30)&gt;Constants!$B$30),Constants!$B$10,Constants!$B$9))))</f>
        <v/>
      </c>
      <c r="BJ30" s="100" t="str">
        <f aca="false">IF($BH30&lt;&gt;Constants!$B$4,"",IF(NOT($AJ30),0,MIN(Constants!$B$35,$BC30)))</f>
        <v/>
      </c>
      <c r="BK30" s="100" t="str">
        <f aca="false">IF($BH30&lt;&gt;Constants!$B$4,"",IF(NOT($AJ30),0,IF($AT30,Constants!$B$18,IF($AS30,Constants!$B$17,0))))</f>
        <v/>
      </c>
      <c r="BL30" s="100" t="str">
        <f aca="false">IF($BH30&lt;&gt;Constants!$B$4,"",IF(NOT($AJ30),0,Constants!$B$19*($AI30+$AU30+$AV30+$AW30)))</f>
        <v/>
      </c>
      <c r="BM30" s="100" t="str">
        <f aca="false">IF($BH30&lt;&gt;Constants!$B$4,"",IF(OR(NOT($AJ30),NOT(ISNUMBER($AX30))),0,CHOOSE($AX30,Constants!$B$13,Constants!$B$14,Constants!$B$15,Constants!$B$16)))</f>
        <v/>
      </c>
      <c r="BN30" s="100" t="str">
        <f aca="false">IF($BH30&lt;&gt;Constants!$B$4,"",IF(NOT($AJ30),0,Constants!$B$20*$AY30))</f>
        <v/>
      </c>
      <c r="BO30" s="100" t="str">
        <f aca="false">IF($BH30&lt;&gt;Constants!$B$4,"",IF(AND($AJ30,$BA30,$BB30),Constants!$B$22,0))</f>
        <v/>
      </c>
      <c r="BP30" s="100" t="str">
        <f aca="false">IF($BH30&lt;&gt;Constants!$B$4,"",IF(OR(NOT($AJ30),NOT($BA30)),0,IF($BF30&gt;=2*$AF$9,0,Constants!$B$23*INT(ROUND(MIN($BF30,$AF$9),6)))))</f>
        <v/>
      </c>
      <c r="BQ30" s="100" t="str">
        <f aca="false">IF($BH30&lt;&gt;Constants!$B$4,"",IF(NOT($AJ30),0,Constants!$B$24*INT(ROUND(MIN($AZ30,$AF$9),6))))</f>
        <v/>
      </c>
      <c r="BR30" s="100" t="str">
        <f aca="false">IF($BH30&lt;&gt;Constants!$B$4,"",IF(AND($AJ30,$BJ30=0),Constants!$B$25,0))</f>
        <v/>
      </c>
      <c r="BS30" s="100" t="str">
        <f aca="false">IF($BH30&lt;&gt;Constants!$B$4,"",MIN(Constants!$B$29,MAX(0,Constants!$B$27*Constants!$B$28*INT(ROUND((Constants!$B$26-$AL30)/Constants!$B$28,6))))+MIN(Constants!$B$29,MAX(0,Constants!$B$27*Constants!$B$28*INT(ROUND((Constants!$B$26-$AM30)/Constants!$B$28,6))))+MIN(Constants!$B$29,MAX(0,Constants!$B$27*Constants!$B$28*INT(ROUND((Constants!$B$26-$AN30)/Constants!$B$28,6)))))</f>
        <v/>
      </c>
      <c r="BT30" s="100" t="str">
        <f aca="false">IF($BH30&lt;&gt;Constants!$B$4,"",IF(NOT($AJ30),0,Constants!$B$31*INT(ROUND(MAX(0,MIN($BF30,2*$AF$9)-$AF$9),6))))</f>
        <v/>
      </c>
      <c r="BU30" s="100" t="str">
        <f aca="false">IF($BH30&lt;&gt;Constants!$B$4,"",Constants!$B$32*(($AL30&gt;Constants!$B$26)+($AM30&gt;Constants!$B$26)+($AN30&gt;Constants!$B$26)))</f>
        <v/>
      </c>
      <c r="BV30" s="100" t="str">
        <f aca="false">IF($BH30&lt;&gt;Constants!$B$4,"",IF(OR(NOT($AJ30),$AO30),0,Constants!$B$33))</f>
        <v/>
      </c>
      <c r="BW30" s="100" t="str">
        <f aca="false">IF($BH30&lt;&gt;Constants!$B$4,"",Constants!$B$34*$BJ30)</f>
        <v/>
      </c>
      <c r="BX30" s="100" t="str">
        <f aca="false">IF($BH30&lt;&gt;Constants!$B$4,"",IF(OR(NOT($AJ30),$BE30),0,Constants!$B$36))</f>
        <v/>
      </c>
      <c r="BY30" s="100" t="str">
        <f aca="false">IF($BH30&lt;&gt;Constants!$B$4,"",IF(OR(NOT($AJ30),$BD30),0,Constants!$B$37))</f>
        <v/>
      </c>
      <c r="BZ30" s="100" t="str">
        <f aca="false">IF($BH30&lt;&gt;Constants!$B$4,"",SUM($BT30:$BY30))</f>
        <v/>
      </c>
      <c r="CA30" s="100" t="str">
        <f aca="false">IF(ISBLANK($C30),"",IF($BH30&lt;&gt;Constants!$B$4,$BH30,SUM($BK30:$BS30)-$BZ30))</f>
        <v/>
      </c>
      <c r="CB30" s="100" t="str">
        <f aca="false">IF(ISBLANK($C30),"",IF($BH30&lt;&gt;Constants!$B$4,$BH30,RANK($CA30,$CA$9:$CA$508)))</f>
        <v/>
      </c>
      <c r="CC30" s="100" t="str">
        <f aca="false">IF(ISBLANK($C30),"",IF($BH30&lt;&gt;Constants!$B$4,$BH30,COUNTIFS($BI$9:$BI$508,"&lt;"&amp;$BI30)+COUNTIFS($BI$9:$BI$508,$BI30,$CB$9:$CB$508,"&lt;"&amp;$CB30)+1))</f>
        <v/>
      </c>
      <c r="CD30" s="100" t="str">
        <f aca="false">IF(ISBLANK($C30),"",IF($BH30&lt;&gt;Constants!$B$4,$BH30,RANK($BZ30,$BZ$9:$BZ$508,1)))</f>
        <v/>
      </c>
      <c r="CE30" s="100" t="str">
        <f aca="false">IF($BH30&lt;&gt;Constants!$B$4,"",$AL30+$AM30+$AN30)</f>
        <v/>
      </c>
      <c r="CF30" s="100" t="str">
        <f aca="false">IF(ISBLANK($C30),"",IF($BH30&lt;&gt;Constants!$B$4,$BH30,RANK($CE30,$CE$9:$CE$508,1)))</f>
        <v/>
      </c>
      <c r="CG30" s="100" t="str">
        <f aca="false">IF(ISBLANK($C30),"",IF($BH30&lt;&gt;Constants!$B$4,$BH30,COUNTIFS($BI$9:$BI$508,"&lt;"&amp;$BI30)+COUNTIFS($BI$9:$BI$508,$BI30,$CB$9:$CB$508,"&lt;"&amp;$CB30)+COUNTIFS($BI$9:$BI$508,$BI30,$CB$9:$CB$508,$CB30,$CD$9:$CD$508,"&lt;"&amp;$CD30)+COUNTIFS($BI$9:$BI$508,$BI30,$CB$9:$CB$508,$CB30,$CD$9:$CD$508,$CD30,$CF$9:$CF$508,"&lt;"&amp;$CF30)+1))</f>
        <v/>
      </c>
      <c r="CH30" s="100" t="str">
        <f aca="false">IF(ISBLANK($C30),"",IF($BH30&lt;&gt;Constants!$B$4,$BH30,$CC30-$CG30))</f>
        <v/>
      </c>
      <c r="CI30" s="100" t="str">
        <f aca="false">IF(ISBLANK($C30),"",IF(NOT($AJ30),"",IF(ISBLANK($D$7),$CI$5,IF(NOT(ISNUMBER($D$7)),$CI$6,""))))</f>
        <v/>
      </c>
      <c r="CJ30" s="100" t="str">
        <f aca="false">IF(ISBLANK($C30),"",OR($AL30="",$AM30="",$AN30=""))</f>
        <v/>
      </c>
      <c r="CK30" s="100" t="str">
        <f aca="false">IF(ISBLANK($C30),"",AND($AJ30,$AX30=""))</f>
        <v/>
      </c>
      <c r="CL30" s="100" t="str">
        <f aca="false">IF(ISBLANK($C30),"",AND($AJ30,$AY30=""))</f>
        <v/>
      </c>
      <c r="CM30" s="100" t="str">
        <f aca="false">IF(ISBLANK($C30),"",AND($AJ30,$AZ30=""))</f>
        <v/>
      </c>
      <c r="CN30" s="100" t="str">
        <f aca="false">IF(ISBLANK($C30),"",AND($AJ30,$BC30=""))</f>
        <v/>
      </c>
      <c r="CO30" s="100" t="str">
        <f aca="false">IF(ISBLANK($C30),"",AND($AJ30,$BF30=""))</f>
        <v/>
      </c>
      <c r="CP30" s="101"/>
      <c r="CQ30" s="102"/>
      <c r="CR30" s="103" t="str">
        <f aca="false">IF(ISBLANK($C30),"",IF($BH30=Constants!$B$8,$CI30,""))</f>
        <v/>
      </c>
      <c r="CS30" s="102" t="str">
        <f aca="false">IF(ISBLANK($C30),"",IF($BH30&lt;&gt;Constants!$B$4,"",$BK30+$BL30))</f>
        <v/>
      </c>
      <c r="CT30" s="104" t="str">
        <f aca="false">IF(ISBLANK($C30),"",IF($BH30&lt;&gt;Constants!$B$4,"",$BM30+$BN30+$BO30))</f>
        <v/>
      </c>
      <c r="CU30" s="104" t="str">
        <f aca="false">IF(ISBLANK($C30),"",IF($BH30&lt;&gt;Constants!$B$4,"",$BP30))</f>
        <v/>
      </c>
      <c r="CV30" s="104" t="str">
        <f aca="false">IF(ISBLANK($C30),"",IF($BH30&lt;&gt;Constants!$B$4,"",$BQ30+$BR30))</f>
        <v/>
      </c>
      <c r="CW30" s="104" t="str">
        <f aca="false">IF(ISBLANK($C30),"",IF($BH30&lt;&gt;Constants!$B$4,"",$BS30))</f>
        <v/>
      </c>
      <c r="CX30" s="104" t="str">
        <f aca="false">IF(ISBLANK($C30),"",IF($BH30&lt;&gt;Constants!$B$4,"",-$BZ30))</f>
        <v/>
      </c>
      <c r="CY30" s="103" t="str">
        <f aca="false">IF(ISBLANK($C30),"",$CA30)</f>
        <v/>
      </c>
      <c r="CZ30" s="105" t="str">
        <f aca="false">IF(ISBLANK($C30),"",$BI30)</f>
        <v/>
      </c>
      <c r="DA30" s="104" t="str">
        <f aca="false">IF(ISBLANK($C30),"",$CH30)</f>
        <v/>
      </c>
      <c r="DB30" s="104" t="str">
        <f aca="false">IF(ISBLANK($C30),"",$CG30)</f>
        <v/>
      </c>
      <c r="DC30" s="106" t="str">
        <f aca="false">IF(ISBLANK($C30),"",IFERROR(_xlfn.SWITCH($DB30,Constants!$B$7,COUNTA($C$9:$C$508)+2,Constants!$B$6,COUNTA($C$9:$C$508)+1,Constants!$B$5,COUNTA($C$9:$C$508)),$DB30))</f>
        <v/>
      </c>
      <c r="DD30" s="7"/>
      <c r="DE30" s="107" t="n">
        <f aca="false">IF(OR(ISNUMBER($DB30),$DB30=Constants!$B$7,$DB30=Constants!$B$5,$DB30=Constants!$B$6),1,0)</f>
        <v>0</v>
      </c>
      <c r="DF30" s="107" t="n">
        <v>22</v>
      </c>
      <c r="DG30" s="107" t="str">
        <f aca="false">IF(ISBLANK($C30),"",IF(ISNUMBER($DC30),$DC30+ROW($B30)/1000,""))</f>
        <v/>
      </c>
      <c r="DH30" s="107" t="str">
        <f aca="false">IF(ISNUMBER($DG30),RANK($DG30,$DG$9:$DG$508,1),"")</f>
        <v/>
      </c>
      <c r="DI30" s="107" t="str">
        <f aca="false">IF(ISBLANK($C30),"",$B30)</f>
        <v/>
      </c>
      <c r="DJ30" s="107" t="str">
        <f aca="false">IF(ISBLANK($C30),"",$C30)</f>
        <v/>
      </c>
      <c r="DK30" s="107" t="str">
        <f aca="false">IF(ISBLANK($C30),"",$D30)</f>
        <v/>
      </c>
      <c r="DL30" s="108" t="str">
        <f aca="false">$CZ30</f>
        <v/>
      </c>
      <c r="DM30" s="109" t="str">
        <f aca="false">$CY30</f>
        <v/>
      </c>
      <c r="DN30" s="107" t="str">
        <f aca="false">IF(ISBLANK($C30),"",$DB30)</f>
        <v/>
      </c>
      <c r="DO30" s="110" t="str">
        <f aca="false">IF($DF30&gt;$DE$8,"",VLOOKUP($DF30,$DH$9:$DN$508,7,FALSE()))</f>
        <v/>
      </c>
      <c r="DP30" s="111" t="str">
        <f aca="false">IF($DF30&gt;$DE$8,"",VLOOKUP($DF30,$DH$9:$DN$508,2,FALSE()))</f>
        <v/>
      </c>
      <c r="DQ30" s="111" t="str">
        <f aca="false">IF($DF30&gt;$DE$8,"",VLOOKUP($DF30,$DH$9:$DN$508,3,FALSE()))</f>
        <v/>
      </c>
      <c r="DR30" s="111" t="str">
        <f aca="false">IF($DF30&gt;$DE$8,"",VLOOKUP($DF30,$DH$9:$DN$508,4,FALSE()))</f>
        <v/>
      </c>
      <c r="DS30" s="111" t="str">
        <f aca="false">IF($DF30&gt;$DE$8,"",VLOOKUP($DF30,$DH$9:$DN$508,5,FALSE()))</f>
        <v/>
      </c>
      <c r="DT30" s="112" t="str">
        <f aca="false">IF($DF30&gt;$DE$8,"",VLOOKUP($DF30,$DH$9:$DN$508,6,FALSE()))</f>
        <v/>
      </c>
      <c r="DU30" s="62"/>
    </row>
    <row r="31" customFormat="false" ht="15.75" hidden="false" customHeight="false" outlineLevel="0" collapsed="false">
      <c r="A31" s="7"/>
      <c r="B31" s="90"/>
      <c r="C31" s="91"/>
      <c r="D31" s="126"/>
      <c r="E31" s="127"/>
      <c r="F31" s="128"/>
      <c r="G31" s="127"/>
      <c r="H31" s="128"/>
      <c r="I31" s="95"/>
      <c r="J31" s="95"/>
      <c r="K31" s="95"/>
      <c r="L31" s="127"/>
      <c r="M31" s="127"/>
      <c r="N31" s="127"/>
      <c r="O31" s="128"/>
      <c r="P31" s="127"/>
      <c r="Q31" s="127"/>
      <c r="R31" s="127"/>
      <c r="S31" s="127"/>
      <c r="T31" s="128"/>
      <c r="U31" s="127"/>
      <c r="V31" s="96"/>
      <c r="W31" s="127"/>
      <c r="X31" s="127"/>
      <c r="Y31" s="96"/>
      <c r="Z31" s="96"/>
      <c r="AA31" s="127"/>
      <c r="AB31" s="127"/>
      <c r="AC31" s="97"/>
      <c r="AD31" s="130"/>
      <c r="AE31" s="99"/>
      <c r="AF31" s="100"/>
      <c r="AG31" s="100"/>
      <c r="AH31" s="100" t="str">
        <f aca="false">IF(ISBLANK($C31),"",IF($E31=Constants!$B$2,TRUE(),IF($E31=Constants!$B$3,FALSE(),TRUE())))</f>
        <v/>
      </c>
      <c r="AI31" s="100" t="str">
        <f aca="false">IF(ISBLANK($C31),"",IF($F31=Constants!$B$2,TRUE(),IF($F31=Constants!$B$3,FALSE(),FALSE())))</f>
        <v/>
      </c>
      <c r="AJ31" s="100" t="str">
        <f aca="false">IF(ISBLANK($C31),"",IF($G31=Constants!$B$2,TRUE(),IF($G31=Constants!$B$3,FALSE(),TRUE())))</f>
        <v/>
      </c>
      <c r="AK31" s="100" t="str">
        <f aca="false">IF(ISBLANK($C31),"",IF($H31=Constants!$B$2,TRUE(),IF($H31=Constants!$B$3,FALSE(),TRUE())))</f>
        <v/>
      </c>
      <c r="AL31" s="100" t="str">
        <f aca="false">IF(ISBLANK($C31),"",IF(ISNUMBER($I31),IF($I31&gt;=0,$I31,""),""))</f>
        <v/>
      </c>
      <c r="AM31" s="100" t="str">
        <f aca="false">IF(ISBLANK($C31),"",IF(ISNUMBER($J31),IF($J31&gt;=0,$J31,""),""))</f>
        <v/>
      </c>
      <c r="AN31" s="100" t="str">
        <f aca="false">IF(ISBLANK($C31),"",IF(ISNUMBER($K31),IF($K31&gt;=0,$K31,""),""))</f>
        <v/>
      </c>
      <c r="AO31" s="100" t="str">
        <f aca="false">IF(ISBLANK($C31),"",IF($L31=Constants!$B$2,TRUE(),IF($L31=Constants!$B$3,FALSE(),TRUE())))</f>
        <v/>
      </c>
      <c r="AP31" s="100" t="str">
        <f aca="false">IF(ISBLANK($C31),"",IF($M31=Constants!$B$2,TRUE(),IF($M31=Constants!$B$3,FALSE(),TRUE())))</f>
        <v/>
      </c>
      <c r="AQ31" s="100" t="str">
        <f aca="false">IF(ISBLANK($C31),"",IF($N31=Constants!$B$2,TRUE(),IF($N31=Constants!$B$3,FALSE(),FALSE())))</f>
        <v/>
      </c>
      <c r="AR31" s="100" t="str">
        <f aca="false">IF(ISBLANK($C31),"",IF($O31=Constants!$B$2,TRUE(),IF($O31=Constants!$B$3,FALSE(),TRUE())))</f>
        <v/>
      </c>
      <c r="AS31" s="100" t="str">
        <f aca="false">IF(ISBLANK($C31),"",IF($P31=Constants!$B$2,TRUE(),IF($P31=Constants!$B$3,FALSE(),FALSE())))</f>
        <v/>
      </c>
      <c r="AT31" s="100" t="str">
        <f aca="false">IF(ISBLANK($C31),"",IF($Q31=Constants!$B$2,TRUE(),IF($Q31=Constants!$B$3,FALSE(),FALSE())))</f>
        <v/>
      </c>
      <c r="AU31" s="100" t="str">
        <f aca="false">IF(ISBLANK($C31),"",IF($R31=Constants!$B$2,TRUE(),IF($R31=Constants!$B$3,FALSE(),FALSE())))</f>
        <v/>
      </c>
      <c r="AV31" s="100" t="str">
        <f aca="false">IF(ISBLANK($C31),"",IF($S31=Constants!$B$2,TRUE(),IF($S31=Constants!$B$3,FALSE(),FALSE())))</f>
        <v/>
      </c>
      <c r="AW31" s="100" t="str">
        <f aca="false">IF(ISBLANK($C31),"",IF($T31=Constants!$B$2,TRUE(),IF($T31=Constants!$B$3,FALSE(),FALSE())))</f>
        <v/>
      </c>
      <c r="AX31" s="100" t="str">
        <f aca="false">IF(ISBLANK($C31),"",IF(OR($U31&amp;""="1",$U31&amp;""="2",$U31&amp;""="3",$U31&amp;""="4"),VALUE($U31&amp;""),IF($U31=Constants!$B$12,Constants!$B$12,"")))</f>
        <v/>
      </c>
      <c r="AY31" s="100" t="str">
        <f aca="false">IF(ISBLANK($C31),"",IF(ISBLANK($V31),0,IF(ISNUMBER($V31),IF(AND($V31&gt;=0,$V31&lt;=Constants!$B$21,$V31=INT($V31)),$V31,""),"")))</f>
        <v/>
      </c>
      <c r="AZ31" s="100" t="str">
        <f aca="false">IF(ISBLANK($C31),"",IF(ISBLANK($W31),0,IF(ISNUMBER($W31),IF($W31&gt;=0,$W31,""),"")))</f>
        <v/>
      </c>
      <c r="BA31" s="100" t="str">
        <f aca="false">IF(ISBLANK($C31),"",IF($X31=Constants!$B$2,TRUE(),IF($X31=Constants!$B$3,FALSE(),TRUE())))</f>
        <v/>
      </c>
      <c r="BB31" s="100" t="str">
        <f aca="false">IF(ISBLANK($C31),"",IF($Y31=Constants!$B$2,TRUE(),IF($Y31=Constants!$B$3,FALSE(),FALSE())))</f>
        <v/>
      </c>
      <c r="BC31" s="100" t="str">
        <f aca="false">IF(ISBLANK($C31),"",IF(ISBLANK($Z31),0,IF(ISNUMBER($Z31),IF(AND($Z31&gt;=0,$Z31&lt;=Constants!$B$35,$Z31=INT($Z31)),$Z31,""),"")))</f>
        <v/>
      </c>
      <c r="BD31" s="100" t="str">
        <f aca="false">IF(ISBLANK($C31),"",IF($AA31=Constants!$B$2,TRUE(),IF($AA31=Constants!$B$3,FALSE(),TRUE())))</f>
        <v/>
      </c>
      <c r="BE31" s="100" t="str">
        <f aca="false">IF(ISBLANK($C31),"",IF($AB31=Constants!$B$2,TRUE(),IF($AB31=Constants!$B$3,FALSE(),TRUE())))</f>
        <v/>
      </c>
      <c r="BF31" s="100" t="str">
        <f aca="false">IF(ISBLANK($C31),"",IF(ISNUMBER($AC31),IF($AC31&gt;=0,$AC31,""),""))</f>
        <v/>
      </c>
      <c r="BG31" s="100" t="str">
        <f aca="false">IF(ISBLANK($C31),"",IF($AD31=Constants!$B$2,TRUE(),IF($AD31=Constants!$B$3,FALSE(),FALSE())))</f>
        <v/>
      </c>
      <c r="BH31" s="99" t="str">
        <f aca="false">IF(ISBLANK($C31),"",IF($BG31,Constants!$B$7,IF(COUNTA($E31:$AC31)=0,Constants!$B$6,IF(OR(COUNTA($G31:$AC31)=0,NOT($AK31),$AQ31),Constants!$B$5,IF(OR($CI31&lt;&gt;"",$CJ31,$CK31,$CL31,$CM31,$CN31,$CO31),Constants!$B$8,Constants!$B$4)))))</f>
        <v/>
      </c>
      <c r="BI31" s="100" t="str">
        <f aca="false">IF(ISBLANK($C31),"",IF($BH31&lt;&gt;Constants!$B$4,$BH31,IF(OR(NOT($AH31),NOT($AJ31),NOT($AR31)),Constants!$B$11,IF(OR(NOT($AP31),MAX($AL31,$AM31,$AN31)&gt;Constants!$B$30),Constants!$B$10,Constants!$B$9))))</f>
        <v/>
      </c>
      <c r="BJ31" s="100" t="str">
        <f aca="false">IF($BH31&lt;&gt;Constants!$B$4,"",IF(NOT($AJ31),0,MIN(Constants!$B$35,$BC31)))</f>
        <v/>
      </c>
      <c r="BK31" s="100" t="str">
        <f aca="false">IF($BH31&lt;&gt;Constants!$B$4,"",IF(NOT($AJ31),0,IF($AT31,Constants!$B$18,IF($AS31,Constants!$B$17,0))))</f>
        <v/>
      </c>
      <c r="BL31" s="100" t="str">
        <f aca="false">IF($BH31&lt;&gt;Constants!$B$4,"",IF(NOT($AJ31),0,Constants!$B$19*($AI31+$AU31+$AV31+$AW31)))</f>
        <v/>
      </c>
      <c r="BM31" s="100" t="str">
        <f aca="false">IF($BH31&lt;&gt;Constants!$B$4,"",IF(OR(NOT($AJ31),NOT(ISNUMBER($AX31))),0,CHOOSE($AX31,Constants!$B$13,Constants!$B$14,Constants!$B$15,Constants!$B$16)))</f>
        <v/>
      </c>
      <c r="BN31" s="100" t="str">
        <f aca="false">IF($BH31&lt;&gt;Constants!$B$4,"",IF(NOT($AJ31),0,Constants!$B$20*$AY31))</f>
        <v/>
      </c>
      <c r="BO31" s="100" t="str">
        <f aca="false">IF($BH31&lt;&gt;Constants!$B$4,"",IF(AND($AJ31,$BA31,$BB31),Constants!$B$22,0))</f>
        <v/>
      </c>
      <c r="BP31" s="100" t="str">
        <f aca="false">IF($BH31&lt;&gt;Constants!$B$4,"",IF(OR(NOT($AJ31),NOT($BA31)),0,IF($BF31&gt;=2*$AF$9,0,Constants!$B$23*INT(ROUND(MIN($BF31,$AF$9),6)))))</f>
        <v/>
      </c>
      <c r="BQ31" s="100" t="str">
        <f aca="false">IF($BH31&lt;&gt;Constants!$B$4,"",IF(NOT($AJ31),0,Constants!$B$24*INT(ROUND(MIN($AZ31,$AF$9),6))))</f>
        <v/>
      </c>
      <c r="BR31" s="100" t="str">
        <f aca="false">IF($BH31&lt;&gt;Constants!$B$4,"",IF(AND($AJ31,$BJ31=0),Constants!$B$25,0))</f>
        <v/>
      </c>
      <c r="BS31" s="100" t="str">
        <f aca="false">IF($BH31&lt;&gt;Constants!$B$4,"",MIN(Constants!$B$29,MAX(0,Constants!$B$27*Constants!$B$28*INT(ROUND((Constants!$B$26-$AL31)/Constants!$B$28,6))))+MIN(Constants!$B$29,MAX(0,Constants!$B$27*Constants!$B$28*INT(ROUND((Constants!$B$26-$AM31)/Constants!$B$28,6))))+MIN(Constants!$B$29,MAX(0,Constants!$B$27*Constants!$B$28*INT(ROUND((Constants!$B$26-$AN31)/Constants!$B$28,6)))))</f>
        <v/>
      </c>
      <c r="BT31" s="100" t="str">
        <f aca="false">IF($BH31&lt;&gt;Constants!$B$4,"",IF(NOT($AJ31),0,Constants!$B$31*INT(ROUND(MAX(0,MIN($BF31,2*$AF$9)-$AF$9),6))))</f>
        <v/>
      </c>
      <c r="BU31" s="100" t="str">
        <f aca="false">IF($BH31&lt;&gt;Constants!$B$4,"",Constants!$B$32*(($AL31&gt;Constants!$B$26)+($AM31&gt;Constants!$B$26)+($AN31&gt;Constants!$B$26)))</f>
        <v/>
      </c>
      <c r="BV31" s="100" t="str">
        <f aca="false">IF($BH31&lt;&gt;Constants!$B$4,"",IF(OR(NOT($AJ31),$AO31),0,Constants!$B$33))</f>
        <v/>
      </c>
      <c r="BW31" s="100" t="str">
        <f aca="false">IF($BH31&lt;&gt;Constants!$B$4,"",Constants!$B$34*$BJ31)</f>
        <v/>
      </c>
      <c r="BX31" s="100" t="str">
        <f aca="false">IF($BH31&lt;&gt;Constants!$B$4,"",IF(OR(NOT($AJ31),$BE31),0,Constants!$B$36))</f>
        <v/>
      </c>
      <c r="BY31" s="100" t="str">
        <f aca="false">IF($BH31&lt;&gt;Constants!$B$4,"",IF(OR(NOT($AJ31),$BD31),0,Constants!$B$37))</f>
        <v/>
      </c>
      <c r="BZ31" s="100" t="str">
        <f aca="false">IF($BH31&lt;&gt;Constants!$B$4,"",SUM($BT31:$BY31))</f>
        <v/>
      </c>
      <c r="CA31" s="100" t="str">
        <f aca="false">IF(ISBLANK($C31),"",IF($BH31&lt;&gt;Constants!$B$4,$BH31,SUM($BK31:$BS31)-$BZ31))</f>
        <v/>
      </c>
      <c r="CB31" s="100" t="str">
        <f aca="false">IF(ISBLANK($C31),"",IF($BH31&lt;&gt;Constants!$B$4,$BH31,RANK($CA31,$CA$9:$CA$508)))</f>
        <v/>
      </c>
      <c r="CC31" s="100" t="str">
        <f aca="false">IF(ISBLANK($C31),"",IF($BH31&lt;&gt;Constants!$B$4,$BH31,COUNTIFS($BI$9:$BI$508,"&lt;"&amp;$BI31)+COUNTIFS($BI$9:$BI$508,$BI31,$CB$9:$CB$508,"&lt;"&amp;$CB31)+1))</f>
        <v/>
      </c>
      <c r="CD31" s="100" t="str">
        <f aca="false">IF(ISBLANK($C31),"",IF($BH31&lt;&gt;Constants!$B$4,$BH31,RANK($BZ31,$BZ$9:$BZ$508,1)))</f>
        <v/>
      </c>
      <c r="CE31" s="100" t="str">
        <f aca="false">IF($BH31&lt;&gt;Constants!$B$4,"",$AL31+$AM31+$AN31)</f>
        <v/>
      </c>
      <c r="CF31" s="100" t="str">
        <f aca="false">IF(ISBLANK($C31),"",IF($BH31&lt;&gt;Constants!$B$4,$BH31,RANK($CE31,$CE$9:$CE$508,1)))</f>
        <v/>
      </c>
      <c r="CG31" s="100" t="str">
        <f aca="false">IF(ISBLANK($C31),"",IF($BH31&lt;&gt;Constants!$B$4,$BH31,COUNTIFS($BI$9:$BI$508,"&lt;"&amp;$BI31)+COUNTIFS($BI$9:$BI$508,$BI31,$CB$9:$CB$508,"&lt;"&amp;$CB31)+COUNTIFS($BI$9:$BI$508,$BI31,$CB$9:$CB$508,$CB31,$CD$9:$CD$508,"&lt;"&amp;$CD31)+COUNTIFS($BI$9:$BI$508,$BI31,$CB$9:$CB$508,$CB31,$CD$9:$CD$508,$CD31,$CF$9:$CF$508,"&lt;"&amp;$CF31)+1))</f>
        <v/>
      </c>
      <c r="CH31" s="100" t="str">
        <f aca="false">IF(ISBLANK($C31),"",IF($BH31&lt;&gt;Constants!$B$4,$BH31,$CC31-$CG31))</f>
        <v/>
      </c>
      <c r="CI31" s="100" t="str">
        <f aca="false">IF(ISBLANK($C31),"",IF(NOT($AJ31),"",IF(ISBLANK($D$7),$CI$5,IF(NOT(ISNUMBER($D$7)),$CI$6,""))))</f>
        <v/>
      </c>
      <c r="CJ31" s="100" t="str">
        <f aca="false">IF(ISBLANK($C31),"",OR($AL31="",$AM31="",$AN31=""))</f>
        <v/>
      </c>
      <c r="CK31" s="100" t="str">
        <f aca="false">IF(ISBLANK($C31),"",AND($AJ31,$AX31=""))</f>
        <v/>
      </c>
      <c r="CL31" s="100" t="str">
        <f aca="false">IF(ISBLANK($C31),"",AND($AJ31,$AY31=""))</f>
        <v/>
      </c>
      <c r="CM31" s="100" t="str">
        <f aca="false">IF(ISBLANK($C31),"",AND($AJ31,$AZ31=""))</f>
        <v/>
      </c>
      <c r="CN31" s="100" t="str">
        <f aca="false">IF(ISBLANK($C31),"",AND($AJ31,$BC31=""))</f>
        <v/>
      </c>
      <c r="CO31" s="100" t="str">
        <f aca="false">IF(ISBLANK($C31),"",AND($AJ31,$BF31=""))</f>
        <v/>
      </c>
      <c r="CP31" s="101"/>
      <c r="CQ31" s="102"/>
      <c r="CR31" s="103" t="str">
        <f aca="false">IF(ISBLANK($C31),"",IF($BH31=Constants!$B$8,$CI31,""))</f>
        <v/>
      </c>
      <c r="CS31" s="102" t="str">
        <f aca="false">IF(ISBLANK($C31),"",IF($BH31&lt;&gt;Constants!$B$4,"",$BK31+$BL31))</f>
        <v/>
      </c>
      <c r="CT31" s="104" t="str">
        <f aca="false">IF(ISBLANK($C31),"",IF($BH31&lt;&gt;Constants!$B$4,"",$BM31+$BN31+$BO31))</f>
        <v/>
      </c>
      <c r="CU31" s="104" t="str">
        <f aca="false">IF(ISBLANK($C31),"",IF($BH31&lt;&gt;Constants!$B$4,"",$BP31))</f>
        <v/>
      </c>
      <c r="CV31" s="104" t="str">
        <f aca="false">IF(ISBLANK($C31),"",IF($BH31&lt;&gt;Constants!$B$4,"",$BQ31+$BR31))</f>
        <v/>
      </c>
      <c r="CW31" s="104" t="str">
        <f aca="false">IF(ISBLANK($C31),"",IF($BH31&lt;&gt;Constants!$B$4,"",$BS31))</f>
        <v/>
      </c>
      <c r="CX31" s="104" t="str">
        <f aca="false">IF(ISBLANK($C31),"",IF($BH31&lt;&gt;Constants!$B$4,"",-$BZ31))</f>
        <v/>
      </c>
      <c r="CY31" s="103" t="str">
        <f aca="false">IF(ISBLANK($C31),"",$CA31)</f>
        <v/>
      </c>
      <c r="CZ31" s="105" t="str">
        <f aca="false">IF(ISBLANK($C31),"",$BI31)</f>
        <v/>
      </c>
      <c r="DA31" s="104" t="str">
        <f aca="false">IF(ISBLANK($C31),"",$CH31)</f>
        <v/>
      </c>
      <c r="DB31" s="104" t="str">
        <f aca="false">IF(ISBLANK($C31),"",$CG31)</f>
        <v/>
      </c>
      <c r="DC31" s="106" t="str">
        <f aca="false">IF(ISBLANK($C31),"",IFERROR(_xlfn.SWITCH($DB31,Constants!$B$7,COUNTA($C$9:$C$508)+2,Constants!$B$6,COUNTA($C$9:$C$508)+1,Constants!$B$5,COUNTA($C$9:$C$508)),$DB31))</f>
        <v/>
      </c>
      <c r="DD31" s="7"/>
      <c r="DE31" s="107" t="n">
        <f aca="false">IF(OR(ISNUMBER($DB31),$DB31=Constants!$B$7,$DB31=Constants!$B$5,$DB31=Constants!$B$6),1,0)</f>
        <v>0</v>
      </c>
      <c r="DF31" s="107" t="n">
        <v>23</v>
      </c>
      <c r="DG31" s="107" t="str">
        <f aca="false">IF(ISBLANK($C31),"",IF(ISNUMBER($DC31),$DC31+ROW($B31)/1000,""))</f>
        <v/>
      </c>
      <c r="DH31" s="107" t="str">
        <f aca="false">IF(ISNUMBER($DG31),RANK($DG31,$DG$9:$DG$508,1),"")</f>
        <v/>
      </c>
      <c r="DI31" s="107" t="str">
        <f aca="false">IF(ISBLANK($C31),"",$B31)</f>
        <v/>
      </c>
      <c r="DJ31" s="107" t="str">
        <f aca="false">IF(ISBLANK($C31),"",$C31)</f>
        <v/>
      </c>
      <c r="DK31" s="107" t="str">
        <f aca="false">IF(ISBLANK($C31),"",$D31)</f>
        <v/>
      </c>
      <c r="DL31" s="108" t="str">
        <f aca="false">$CZ31</f>
        <v/>
      </c>
      <c r="DM31" s="109" t="str">
        <f aca="false">$CY31</f>
        <v/>
      </c>
      <c r="DN31" s="107" t="str">
        <f aca="false">IF(ISBLANK($C31),"",$DB31)</f>
        <v/>
      </c>
      <c r="DO31" s="110" t="str">
        <f aca="false">IF($DF31&gt;$DE$8,"",VLOOKUP($DF31,$DH$9:$DN$508,7,FALSE()))</f>
        <v/>
      </c>
      <c r="DP31" s="111" t="str">
        <f aca="false">IF($DF31&gt;$DE$8,"",VLOOKUP($DF31,$DH$9:$DN$508,2,FALSE()))</f>
        <v/>
      </c>
      <c r="DQ31" s="111" t="str">
        <f aca="false">IF($DF31&gt;$DE$8,"",VLOOKUP($DF31,$DH$9:$DN$508,3,FALSE()))</f>
        <v/>
      </c>
      <c r="DR31" s="111" t="str">
        <f aca="false">IF($DF31&gt;$DE$8,"",VLOOKUP($DF31,$DH$9:$DN$508,4,FALSE()))</f>
        <v/>
      </c>
      <c r="DS31" s="111" t="str">
        <f aca="false">IF($DF31&gt;$DE$8,"",VLOOKUP($DF31,$DH$9:$DN$508,5,FALSE()))</f>
        <v/>
      </c>
      <c r="DT31" s="112" t="str">
        <f aca="false">IF($DF31&gt;$DE$8,"",VLOOKUP($DF31,$DH$9:$DN$508,6,FALSE()))</f>
        <v/>
      </c>
      <c r="DU31" s="62"/>
    </row>
    <row r="32" customFormat="false" ht="15.75" hidden="false" customHeight="false" outlineLevel="0" collapsed="false">
      <c r="A32" s="7"/>
      <c r="B32" s="90"/>
      <c r="C32" s="91"/>
      <c r="D32" s="126"/>
      <c r="E32" s="127"/>
      <c r="F32" s="128"/>
      <c r="G32" s="127"/>
      <c r="H32" s="128"/>
      <c r="I32" s="95"/>
      <c r="J32" s="95"/>
      <c r="K32" s="95"/>
      <c r="L32" s="127"/>
      <c r="M32" s="127"/>
      <c r="N32" s="127"/>
      <c r="O32" s="128"/>
      <c r="P32" s="127"/>
      <c r="Q32" s="127"/>
      <c r="R32" s="127"/>
      <c r="S32" s="127"/>
      <c r="T32" s="128"/>
      <c r="U32" s="127"/>
      <c r="V32" s="96"/>
      <c r="W32" s="127"/>
      <c r="X32" s="127"/>
      <c r="Y32" s="96"/>
      <c r="Z32" s="96"/>
      <c r="AA32" s="127"/>
      <c r="AB32" s="127"/>
      <c r="AC32" s="97"/>
      <c r="AD32" s="130"/>
      <c r="AE32" s="99"/>
      <c r="AF32" s="100"/>
      <c r="AG32" s="100"/>
      <c r="AH32" s="100" t="str">
        <f aca="false">IF(ISBLANK($C32),"",IF($E32=Constants!$B$2,TRUE(),IF($E32=Constants!$B$3,FALSE(),TRUE())))</f>
        <v/>
      </c>
      <c r="AI32" s="100" t="str">
        <f aca="false">IF(ISBLANK($C32),"",IF($F32=Constants!$B$2,TRUE(),IF($F32=Constants!$B$3,FALSE(),FALSE())))</f>
        <v/>
      </c>
      <c r="AJ32" s="100" t="str">
        <f aca="false">IF(ISBLANK($C32),"",IF($G32=Constants!$B$2,TRUE(),IF($G32=Constants!$B$3,FALSE(),TRUE())))</f>
        <v/>
      </c>
      <c r="AK32" s="100" t="str">
        <f aca="false">IF(ISBLANK($C32),"",IF($H32=Constants!$B$2,TRUE(),IF($H32=Constants!$B$3,FALSE(),TRUE())))</f>
        <v/>
      </c>
      <c r="AL32" s="100" t="str">
        <f aca="false">IF(ISBLANK($C32),"",IF(ISNUMBER($I32),IF($I32&gt;=0,$I32,""),""))</f>
        <v/>
      </c>
      <c r="AM32" s="100" t="str">
        <f aca="false">IF(ISBLANK($C32),"",IF(ISNUMBER($J32),IF($J32&gt;=0,$J32,""),""))</f>
        <v/>
      </c>
      <c r="AN32" s="100" t="str">
        <f aca="false">IF(ISBLANK($C32),"",IF(ISNUMBER($K32),IF($K32&gt;=0,$K32,""),""))</f>
        <v/>
      </c>
      <c r="AO32" s="100" t="str">
        <f aca="false">IF(ISBLANK($C32),"",IF($L32=Constants!$B$2,TRUE(),IF($L32=Constants!$B$3,FALSE(),TRUE())))</f>
        <v/>
      </c>
      <c r="AP32" s="100" t="str">
        <f aca="false">IF(ISBLANK($C32),"",IF($M32=Constants!$B$2,TRUE(),IF($M32=Constants!$B$3,FALSE(),TRUE())))</f>
        <v/>
      </c>
      <c r="AQ32" s="100" t="str">
        <f aca="false">IF(ISBLANK($C32),"",IF($N32=Constants!$B$2,TRUE(),IF($N32=Constants!$B$3,FALSE(),FALSE())))</f>
        <v/>
      </c>
      <c r="AR32" s="100" t="str">
        <f aca="false">IF(ISBLANK($C32),"",IF($O32=Constants!$B$2,TRUE(),IF($O32=Constants!$B$3,FALSE(),TRUE())))</f>
        <v/>
      </c>
      <c r="AS32" s="100" t="str">
        <f aca="false">IF(ISBLANK($C32),"",IF($P32=Constants!$B$2,TRUE(),IF($P32=Constants!$B$3,FALSE(),FALSE())))</f>
        <v/>
      </c>
      <c r="AT32" s="100" t="str">
        <f aca="false">IF(ISBLANK($C32),"",IF($Q32=Constants!$B$2,TRUE(),IF($Q32=Constants!$B$3,FALSE(),FALSE())))</f>
        <v/>
      </c>
      <c r="AU32" s="100" t="str">
        <f aca="false">IF(ISBLANK($C32),"",IF($R32=Constants!$B$2,TRUE(),IF($R32=Constants!$B$3,FALSE(),FALSE())))</f>
        <v/>
      </c>
      <c r="AV32" s="100" t="str">
        <f aca="false">IF(ISBLANK($C32),"",IF($S32=Constants!$B$2,TRUE(),IF($S32=Constants!$B$3,FALSE(),FALSE())))</f>
        <v/>
      </c>
      <c r="AW32" s="100" t="str">
        <f aca="false">IF(ISBLANK($C32),"",IF($T32=Constants!$B$2,TRUE(),IF($T32=Constants!$B$3,FALSE(),FALSE())))</f>
        <v/>
      </c>
      <c r="AX32" s="100" t="str">
        <f aca="false">IF(ISBLANK($C32),"",IF(OR($U32&amp;""="1",$U32&amp;""="2",$U32&amp;""="3",$U32&amp;""="4"),VALUE($U32&amp;""),IF($U32=Constants!$B$12,Constants!$B$12,"")))</f>
        <v/>
      </c>
      <c r="AY32" s="100" t="str">
        <f aca="false">IF(ISBLANK($C32),"",IF(ISBLANK($V32),0,IF(ISNUMBER($V32),IF(AND($V32&gt;=0,$V32&lt;=Constants!$B$21,$V32=INT($V32)),$V32,""),"")))</f>
        <v/>
      </c>
      <c r="AZ32" s="100" t="str">
        <f aca="false">IF(ISBLANK($C32),"",IF(ISBLANK($W32),0,IF(ISNUMBER($W32),IF($W32&gt;=0,$W32,""),"")))</f>
        <v/>
      </c>
      <c r="BA32" s="100" t="str">
        <f aca="false">IF(ISBLANK($C32),"",IF($X32=Constants!$B$2,TRUE(),IF($X32=Constants!$B$3,FALSE(),TRUE())))</f>
        <v/>
      </c>
      <c r="BB32" s="100" t="str">
        <f aca="false">IF(ISBLANK($C32),"",IF($Y32=Constants!$B$2,TRUE(),IF($Y32=Constants!$B$3,FALSE(),FALSE())))</f>
        <v/>
      </c>
      <c r="BC32" s="100" t="str">
        <f aca="false">IF(ISBLANK($C32),"",IF(ISBLANK($Z32),0,IF(ISNUMBER($Z32),IF(AND($Z32&gt;=0,$Z32&lt;=Constants!$B$35,$Z32=INT($Z32)),$Z32,""),"")))</f>
        <v/>
      </c>
      <c r="BD32" s="100" t="str">
        <f aca="false">IF(ISBLANK($C32),"",IF($AA32=Constants!$B$2,TRUE(),IF($AA32=Constants!$B$3,FALSE(),TRUE())))</f>
        <v/>
      </c>
      <c r="BE32" s="100" t="str">
        <f aca="false">IF(ISBLANK($C32),"",IF($AB32=Constants!$B$2,TRUE(),IF($AB32=Constants!$B$3,FALSE(),TRUE())))</f>
        <v/>
      </c>
      <c r="BF32" s="100" t="str">
        <f aca="false">IF(ISBLANK($C32),"",IF(ISNUMBER($AC32),IF($AC32&gt;=0,$AC32,""),""))</f>
        <v/>
      </c>
      <c r="BG32" s="100" t="str">
        <f aca="false">IF(ISBLANK($C32),"",IF($AD32=Constants!$B$2,TRUE(),IF($AD32=Constants!$B$3,FALSE(),FALSE())))</f>
        <v/>
      </c>
      <c r="BH32" s="99" t="str">
        <f aca="false">IF(ISBLANK($C32),"",IF($BG32,Constants!$B$7,IF(COUNTA($E32:$AC32)=0,Constants!$B$6,IF(OR(COUNTA($G32:$AC32)=0,NOT($AK32),$AQ32),Constants!$B$5,IF(OR($CI32&lt;&gt;"",$CJ32,$CK32,$CL32,$CM32,$CN32,$CO32),Constants!$B$8,Constants!$B$4)))))</f>
        <v/>
      </c>
      <c r="BI32" s="100" t="str">
        <f aca="false">IF(ISBLANK($C32),"",IF($BH32&lt;&gt;Constants!$B$4,$BH32,IF(OR(NOT($AH32),NOT($AJ32),NOT($AR32)),Constants!$B$11,IF(OR(NOT($AP32),MAX($AL32,$AM32,$AN32)&gt;Constants!$B$30),Constants!$B$10,Constants!$B$9))))</f>
        <v/>
      </c>
      <c r="BJ32" s="100" t="str">
        <f aca="false">IF($BH32&lt;&gt;Constants!$B$4,"",IF(NOT($AJ32),0,MIN(Constants!$B$35,$BC32)))</f>
        <v/>
      </c>
      <c r="BK32" s="100" t="str">
        <f aca="false">IF($BH32&lt;&gt;Constants!$B$4,"",IF(NOT($AJ32),0,IF($AT32,Constants!$B$18,IF($AS32,Constants!$B$17,0))))</f>
        <v/>
      </c>
      <c r="BL32" s="100" t="str">
        <f aca="false">IF($BH32&lt;&gt;Constants!$B$4,"",IF(NOT($AJ32),0,Constants!$B$19*($AI32+$AU32+$AV32+$AW32)))</f>
        <v/>
      </c>
      <c r="BM32" s="100" t="str">
        <f aca="false">IF($BH32&lt;&gt;Constants!$B$4,"",IF(OR(NOT($AJ32),NOT(ISNUMBER($AX32))),0,CHOOSE($AX32,Constants!$B$13,Constants!$B$14,Constants!$B$15,Constants!$B$16)))</f>
        <v/>
      </c>
      <c r="BN32" s="100" t="str">
        <f aca="false">IF($BH32&lt;&gt;Constants!$B$4,"",IF(NOT($AJ32),0,Constants!$B$20*$AY32))</f>
        <v/>
      </c>
      <c r="BO32" s="100" t="str">
        <f aca="false">IF($BH32&lt;&gt;Constants!$B$4,"",IF(AND($AJ32,$BA32,$BB32),Constants!$B$22,0))</f>
        <v/>
      </c>
      <c r="BP32" s="100" t="str">
        <f aca="false">IF($BH32&lt;&gt;Constants!$B$4,"",IF(OR(NOT($AJ32),NOT($BA32)),0,IF($BF32&gt;=2*$AF$9,0,Constants!$B$23*INT(ROUND(MIN($BF32,$AF$9),6)))))</f>
        <v/>
      </c>
      <c r="BQ32" s="100" t="str">
        <f aca="false">IF($BH32&lt;&gt;Constants!$B$4,"",IF(NOT($AJ32),0,Constants!$B$24*INT(ROUND(MIN($AZ32,$AF$9),6))))</f>
        <v/>
      </c>
      <c r="BR32" s="100" t="str">
        <f aca="false">IF($BH32&lt;&gt;Constants!$B$4,"",IF(AND($AJ32,$BJ32=0),Constants!$B$25,0))</f>
        <v/>
      </c>
      <c r="BS32" s="100" t="str">
        <f aca="false">IF($BH32&lt;&gt;Constants!$B$4,"",MIN(Constants!$B$29,MAX(0,Constants!$B$27*Constants!$B$28*INT(ROUND((Constants!$B$26-$AL32)/Constants!$B$28,6))))+MIN(Constants!$B$29,MAX(0,Constants!$B$27*Constants!$B$28*INT(ROUND((Constants!$B$26-$AM32)/Constants!$B$28,6))))+MIN(Constants!$B$29,MAX(0,Constants!$B$27*Constants!$B$28*INT(ROUND((Constants!$B$26-$AN32)/Constants!$B$28,6)))))</f>
        <v/>
      </c>
      <c r="BT32" s="100" t="str">
        <f aca="false">IF($BH32&lt;&gt;Constants!$B$4,"",IF(NOT($AJ32),0,Constants!$B$31*INT(ROUND(MAX(0,MIN($BF32,2*$AF$9)-$AF$9),6))))</f>
        <v/>
      </c>
      <c r="BU32" s="100" t="str">
        <f aca="false">IF($BH32&lt;&gt;Constants!$B$4,"",Constants!$B$32*(($AL32&gt;Constants!$B$26)+($AM32&gt;Constants!$B$26)+($AN32&gt;Constants!$B$26)))</f>
        <v/>
      </c>
      <c r="BV32" s="100" t="str">
        <f aca="false">IF($BH32&lt;&gt;Constants!$B$4,"",IF(OR(NOT($AJ32),$AO32),0,Constants!$B$33))</f>
        <v/>
      </c>
      <c r="BW32" s="100" t="str">
        <f aca="false">IF($BH32&lt;&gt;Constants!$B$4,"",Constants!$B$34*$BJ32)</f>
        <v/>
      </c>
      <c r="BX32" s="100" t="str">
        <f aca="false">IF($BH32&lt;&gt;Constants!$B$4,"",IF(OR(NOT($AJ32),$BE32),0,Constants!$B$36))</f>
        <v/>
      </c>
      <c r="BY32" s="100" t="str">
        <f aca="false">IF($BH32&lt;&gt;Constants!$B$4,"",IF(OR(NOT($AJ32),$BD32),0,Constants!$B$37))</f>
        <v/>
      </c>
      <c r="BZ32" s="100" t="str">
        <f aca="false">IF($BH32&lt;&gt;Constants!$B$4,"",SUM($BT32:$BY32))</f>
        <v/>
      </c>
      <c r="CA32" s="100" t="str">
        <f aca="false">IF(ISBLANK($C32),"",IF($BH32&lt;&gt;Constants!$B$4,$BH32,SUM($BK32:$BS32)-$BZ32))</f>
        <v/>
      </c>
      <c r="CB32" s="100" t="str">
        <f aca="false">IF(ISBLANK($C32),"",IF($BH32&lt;&gt;Constants!$B$4,$BH32,RANK($CA32,$CA$9:$CA$508)))</f>
        <v/>
      </c>
      <c r="CC32" s="100" t="str">
        <f aca="false">IF(ISBLANK($C32),"",IF($BH32&lt;&gt;Constants!$B$4,$BH32,COUNTIFS($BI$9:$BI$508,"&lt;"&amp;$BI32)+COUNTIFS($BI$9:$BI$508,$BI32,$CB$9:$CB$508,"&lt;"&amp;$CB32)+1))</f>
        <v/>
      </c>
      <c r="CD32" s="100" t="str">
        <f aca="false">IF(ISBLANK($C32),"",IF($BH32&lt;&gt;Constants!$B$4,$BH32,RANK($BZ32,$BZ$9:$BZ$508,1)))</f>
        <v/>
      </c>
      <c r="CE32" s="100" t="str">
        <f aca="false">IF($BH32&lt;&gt;Constants!$B$4,"",$AL32+$AM32+$AN32)</f>
        <v/>
      </c>
      <c r="CF32" s="100" t="str">
        <f aca="false">IF(ISBLANK($C32),"",IF($BH32&lt;&gt;Constants!$B$4,$BH32,RANK($CE32,$CE$9:$CE$508,1)))</f>
        <v/>
      </c>
      <c r="CG32" s="100" t="str">
        <f aca="false">IF(ISBLANK($C32),"",IF($BH32&lt;&gt;Constants!$B$4,$BH32,COUNTIFS($BI$9:$BI$508,"&lt;"&amp;$BI32)+COUNTIFS($BI$9:$BI$508,$BI32,$CB$9:$CB$508,"&lt;"&amp;$CB32)+COUNTIFS($BI$9:$BI$508,$BI32,$CB$9:$CB$508,$CB32,$CD$9:$CD$508,"&lt;"&amp;$CD32)+COUNTIFS($BI$9:$BI$508,$BI32,$CB$9:$CB$508,$CB32,$CD$9:$CD$508,$CD32,$CF$9:$CF$508,"&lt;"&amp;$CF32)+1))</f>
        <v/>
      </c>
      <c r="CH32" s="100" t="str">
        <f aca="false">IF(ISBLANK($C32),"",IF($BH32&lt;&gt;Constants!$B$4,$BH32,$CC32-$CG32))</f>
        <v/>
      </c>
      <c r="CI32" s="100" t="str">
        <f aca="false">IF(ISBLANK($C32),"",IF(NOT($AJ32),"",IF(ISBLANK($D$7),$CI$5,IF(NOT(ISNUMBER($D$7)),$CI$6,""))))</f>
        <v/>
      </c>
      <c r="CJ32" s="100" t="str">
        <f aca="false">IF(ISBLANK($C32),"",OR($AL32="",$AM32="",$AN32=""))</f>
        <v/>
      </c>
      <c r="CK32" s="100" t="str">
        <f aca="false">IF(ISBLANK($C32),"",AND($AJ32,$AX32=""))</f>
        <v/>
      </c>
      <c r="CL32" s="100" t="str">
        <f aca="false">IF(ISBLANK($C32),"",AND($AJ32,$AY32=""))</f>
        <v/>
      </c>
      <c r="CM32" s="100" t="str">
        <f aca="false">IF(ISBLANK($C32),"",AND($AJ32,$AZ32=""))</f>
        <v/>
      </c>
      <c r="CN32" s="100" t="str">
        <f aca="false">IF(ISBLANK($C32),"",AND($AJ32,$BC32=""))</f>
        <v/>
      </c>
      <c r="CO32" s="100" t="str">
        <f aca="false">IF(ISBLANK($C32),"",AND($AJ32,$BF32=""))</f>
        <v/>
      </c>
      <c r="CP32" s="101"/>
      <c r="CQ32" s="102"/>
      <c r="CR32" s="103" t="str">
        <f aca="false">IF(ISBLANK($C32),"",IF($BH32=Constants!$B$8,$CI32,""))</f>
        <v/>
      </c>
      <c r="CS32" s="102" t="str">
        <f aca="false">IF(ISBLANK($C32),"",IF($BH32&lt;&gt;Constants!$B$4,"",$BK32+$BL32))</f>
        <v/>
      </c>
      <c r="CT32" s="104" t="str">
        <f aca="false">IF(ISBLANK($C32),"",IF($BH32&lt;&gt;Constants!$B$4,"",$BM32+$BN32+$BO32))</f>
        <v/>
      </c>
      <c r="CU32" s="104" t="str">
        <f aca="false">IF(ISBLANK($C32),"",IF($BH32&lt;&gt;Constants!$B$4,"",$BP32))</f>
        <v/>
      </c>
      <c r="CV32" s="104" t="str">
        <f aca="false">IF(ISBLANK($C32),"",IF($BH32&lt;&gt;Constants!$B$4,"",$BQ32+$BR32))</f>
        <v/>
      </c>
      <c r="CW32" s="104" t="str">
        <f aca="false">IF(ISBLANK($C32),"",IF($BH32&lt;&gt;Constants!$B$4,"",$BS32))</f>
        <v/>
      </c>
      <c r="CX32" s="104" t="str">
        <f aca="false">IF(ISBLANK($C32),"",IF($BH32&lt;&gt;Constants!$B$4,"",-$BZ32))</f>
        <v/>
      </c>
      <c r="CY32" s="103" t="str">
        <f aca="false">IF(ISBLANK($C32),"",$CA32)</f>
        <v/>
      </c>
      <c r="CZ32" s="105" t="str">
        <f aca="false">IF(ISBLANK($C32),"",$BI32)</f>
        <v/>
      </c>
      <c r="DA32" s="104" t="str">
        <f aca="false">IF(ISBLANK($C32),"",$CH32)</f>
        <v/>
      </c>
      <c r="DB32" s="104" t="str">
        <f aca="false">IF(ISBLANK($C32),"",$CG32)</f>
        <v/>
      </c>
      <c r="DC32" s="106" t="str">
        <f aca="false">IF(ISBLANK($C32),"",IFERROR(_xlfn.SWITCH($DB32,Constants!$B$7,COUNTA($C$9:$C$508)+2,Constants!$B$6,COUNTA($C$9:$C$508)+1,Constants!$B$5,COUNTA($C$9:$C$508)),$DB32))</f>
        <v/>
      </c>
      <c r="DD32" s="7"/>
      <c r="DE32" s="107" t="n">
        <f aca="false">IF(OR(ISNUMBER($DB32),$DB32=Constants!$B$7,$DB32=Constants!$B$5,$DB32=Constants!$B$6),1,0)</f>
        <v>0</v>
      </c>
      <c r="DF32" s="107" t="n">
        <v>24</v>
      </c>
      <c r="DG32" s="107" t="str">
        <f aca="false">IF(ISBLANK($C32),"",IF(ISNUMBER($DC32),$DC32+ROW($B32)/1000,""))</f>
        <v/>
      </c>
      <c r="DH32" s="107" t="str">
        <f aca="false">IF(ISNUMBER($DG32),RANK($DG32,$DG$9:$DG$508,1),"")</f>
        <v/>
      </c>
      <c r="DI32" s="107" t="str">
        <f aca="false">IF(ISBLANK($C32),"",$B32)</f>
        <v/>
      </c>
      <c r="DJ32" s="107" t="str">
        <f aca="false">IF(ISBLANK($C32),"",$C32)</f>
        <v/>
      </c>
      <c r="DK32" s="107" t="str">
        <f aca="false">IF(ISBLANK($C32),"",$D32)</f>
        <v/>
      </c>
      <c r="DL32" s="108" t="str">
        <f aca="false">$CZ32</f>
        <v/>
      </c>
      <c r="DM32" s="109" t="str">
        <f aca="false">$CY32</f>
        <v/>
      </c>
      <c r="DN32" s="107" t="str">
        <f aca="false">IF(ISBLANK($C32),"",$DB32)</f>
        <v/>
      </c>
      <c r="DO32" s="110" t="str">
        <f aca="false">IF($DF32&gt;$DE$8,"",VLOOKUP($DF32,$DH$9:$DN$508,7,FALSE()))</f>
        <v/>
      </c>
      <c r="DP32" s="111" t="str">
        <f aca="false">IF($DF32&gt;$DE$8,"",VLOOKUP($DF32,$DH$9:$DN$508,2,FALSE()))</f>
        <v/>
      </c>
      <c r="DQ32" s="111" t="str">
        <f aca="false">IF($DF32&gt;$DE$8,"",VLOOKUP($DF32,$DH$9:$DN$508,3,FALSE()))</f>
        <v/>
      </c>
      <c r="DR32" s="111" t="str">
        <f aca="false">IF($DF32&gt;$DE$8,"",VLOOKUP($DF32,$DH$9:$DN$508,4,FALSE()))</f>
        <v/>
      </c>
      <c r="DS32" s="111" t="str">
        <f aca="false">IF($DF32&gt;$DE$8,"",VLOOKUP($DF32,$DH$9:$DN$508,5,FALSE()))</f>
        <v/>
      </c>
      <c r="DT32" s="112" t="str">
        <f aca="false">IF($DF32&gt;$DE$8,"",VLOOKUP($DF32,$DH$9:$DN$508,6,FALSE()))</f>
        <v/>
      </c>
      <c r="DU32" s="62"/>
    </row>
    <row r="33" customFormat="false" ht="15.75" hidden="false" customHeight="false" outlineLevel="0" collapsed="false">
      <c r="A33" s="7"/>
      <c r="B33" s="64"/>
      <c r="C33" s="65"/>
      <c r="D33" s="123"/>
      <c r="E33" s="124"/>
      <c r="F33" s="125"/>
      <c r="G33" s="124"/>
      <c r="H33" s="125"/>
      <c r="I33" s="69"/>
      <c r="J33" s="69"/>
      <c r="K33" s="69"/>
      <c r="L33" s="124"/>
      <c r="M33" s="124"/>
      <c r="N33" s="124"/>
      <c r="O33" s="125"/>
      <c r="P33" s="124"/>
      <c r="Q33" s="124"/>
      <c r="R33" s="124"/>
      <c r="S33" s="124"/>
      <c r="T33" s="125"/>
      <c r="U33" s="124"/>
      <c r="V33" s="70"/>
      <c r="W33" s="124"/>
      <c r="X33" s="124"/>
      <c r="Y33" s="70"/>
      <c r="Z33" s="70"/>
      <c r="AA33" s="124"/>
      <c r="AB33" s="124"/>
      <c r="AC33" s="71"/>
      <c r="AD33" s="88"/>
      <c r="AE33" s="73"/>
      <c r="AF33" s="74"/>
      <c r="AG33" s="74"/>
      <c r="AH33" s="74" t="str">
        <f aca="false">IF(ISBLANK($C33),"",IF($E33=Constants!$B$2,TRUE(),IF($E33=Constants!$B$3,FALSE(),TRUE())))</f>
        <v/>
      </c>
      <c r="AI33" s="74" t="str">
        <f aca="false">IF(ISBLANK($C33),"",IF($F33=Constants!$B$2,TRUE(),IF($F33=Constants!$B$3,FALSE(),FALSE())))</f>
        <v/>
      </c>
      <c r="AJ33" s="74" t="str">
        <f aca="false">IF(ISBLANK($C33),"",IF($G33=Constants!$B$2,TRUE(),IF($G33=Constants!$B$3,FALSE(),TRUE())))</f>
        <v/>
      </c>
      <c r="AK33" s="74" t="str">
        <f aca="false">IF(ISBLANK($C33),"",IF($H33=Constants!$B$2,TRUE(),IF($H33=Constants!$B$3,FALSE(),TRUE())))</f>
        <v/>
      </c>
      <c r="AL33" s="74" t="str">
        <f aca="false">IF(ISBLANK($C33),"",IF(ISNUMBER($I33),IF($I33&gt;=0,$I33,""),""))</f>
        <v/>
      </c>
      <c r="AM33" s="74" t="str">
        <f aca="false">IF(ISBLANK($C33),"",IF(ISNUMBER($J33),IF($J33&gt;=0,$J33,""),""))</f>
        <v/>
      </c>
      <c r="AN33" s="74" t="str">
        <f aca="false">IF(ISBLANK($C33),"",IF(ISNUMBER($K33),IF($K33&gt;=0,$K33,""),""))</f>
        <v/>
      </c>
      <c r="AO33" s="74" t="str">
        <f aca="false">IF(ISBLANK($C33),"",IF($L33=Constants!$B$2,TRUE(),IF($L33=Constants!$B$3,FALSE(),TRUE())))</f>
        <v/>
      </c>
      <c r="AP33" s="74" t="str">
        <f aca="false">IF(ISBLANK($C33),"",IF($M33=Constants!$B$2,TRUE(),IF($M33=Constants!$B$3,FALSE(),TRUE())))</f>
        <v/>
      </c>
      <c r="AQ33" s="74" t="str">
        <f aca="false">IF(ISBLANK($C33),"",IF($N33=Constants!$B$2,TRUE(),IF($N33=Constants!$B$3,FALSE(),FALSE())))</f>
        <v/>
      </c>
      <c r="AR33" s="74" t="str">
        <f aca="false">IF(ISBLANK($C33),"",IF($O33=Constants!$B$2,TRUE(),IF($O33=Constants!$B$3,FALSE(),TRUE())))</f>
        <v/>
      </c>
      <c r="AS33" s="74" t="str">
        <f aca="false">IF(ISBLANK($C33),"",IF($P33=Constants!$B$2,TRUE(),IF($P33=Constants!$B$3,FALSE(),FALSE())))</f>
        <v/>
      </c>
      <c r="AT33" s="74" t="str">
        <f aca="false">IF(ISBLANK($C33),"",IF($Q33=Constants!$B$2,TRUE(),IF($Q33=Constants!$B$3,FALSE(),FALSE())))</f>
        <v/>
      </c>
      <c r="AU33" s="74" t="str">
        <f aca="false">IF(ISBLANK($C33),"",IF($R33=Constants!$B$2,TRUE(),IF($R33=Constants!$B$3,FALSE(),FALSE())))</f>
        <v/>
      </c>
      <c r="AV33" s="74" t="str">
        <f aca="false">IF(ISBLANK($C33),"",IF($S33=Constants!$B$2,TRUE(),IF($S33=Constants!$B$3,FALSE(),FALSE())))</f>
        <v/>
      </c>
      <c r="AW33" s="74" t="str">
        <f aca="false">IF(ISBLANK($C33),"",IF($T33=Constants!$B$2,TRUE(),IF($T33=Constants!$B$3,FALSE(),FALSE())))</f>
        <v/>
      </c>
      <c r="AX33" s="74" t="str">
        <f aca="false">IF(ISBLANK($C33),"",IF(OR($U33&amp;""="1",$U33&amp;""="2",$U33&amp;""="3",$U33&amp;""="4"),VALUE($U33&amp;""),IF($U33=Constants!$B$12,Constants!$B$12,"")))</f>
        <v/>
      </c>
      <c r="AY33" s="74" t="str">
        <f aca="false">IF(ISBLANK($C33),"",IF(ISBLANK($V33),0,IF(ISNUMBER($V33),IF(AND($V33&gt;=0,$V33&lt;=Constants!$B$21,$V33=INT($V33)),$V33,""),"")))</f>
        <v/>
      </c>
      <c r="AZ33" s="74" t="str">
        <f aca="false">IF(ISBLANK($C33),"",IF(ISBLANK($W33),0,IF(ISNUMBER($W33),IF($W33&gt;=0,$W33,""),"")))</f>
        <v/>
      </c>
      <c r="BA33" s="74" t="str">
        <f aca="false">IF(ISBLANK($C33),"",IF($X33=Constants!$B$2,TRUE(),IF($X33=Constants!$B$3,FALSE(),TRUE())))</f>
        <v/>
      </c>
      <c r="BB33" s="74" t="str">
        <f aca="false">IF(ISBLANK($C33),"",IF($Y33=Constants!$B$2,TRUE(),IF($Y33=Constants!$B$3,FALSE(),FALSE())))</f>
        <v/>
      </c>
      <c r="BC33" s="74" t="str">
        <f aca="false">IF(ISBLANK($C33),"",IF(ISBLANK($Z33),0,IF(ISNUMBER($Z33),IF(AND($Z33&gt;=0,$Z33&lt;=Constants!$B$35,$Z33=INT($Z33)),$Z33,""),"")))</f>
        <v/>
      </c>
      <c r="BD33" s="74" t="str">
        <f aca="false">IF(ISBLANK($C33),"",IF($AA33=Constants!$B$2,TRUE(),IF($AA33=Constants!$B$3,FALSE(),TRUE())))</f>
        <v/>
      </c>
      <c r="BE33" s="74" t="str">
        <f aca="false">IF(ISBLANK($C33),"",IF($AB33=Constants!$B$2,TRUE(),IF($AB33=Constants!$B$3,FALSE(),TRUE())))</f>
        <v/>
      </c>
      <c r="BF33" s="74" t="str">
        <f aca="false">IF(ISBLANK($C33),"",IF(ISNUMBER($AC33),IF($AC33&gt;=0,$AC33,""),""))</f>
        <v/>
      </c>
      <c r="BG33" s="74" t="str">
        <f aca="false">IF(ISBLANK($C33),"",IF($AD33=Constants!$B$2,TRUE(),IF($AD33=Constants!$B$3,FALSE(),FALSE())))</f>
        <v/>
      </c>
      <c r="BH33" s="73" t="str">
        <f aca="false">IF(ISBLANK($C33),"",IF($BG33,Constants!$B$7,IF(COUNTA($E33:$AC33)=0,Constants!$B$6,IF(OR(COUNTA($G33:$AC33)=0,NOT($AK33),$AQ33),Constants!$B$5,IF(OR($CI33&lt;&gt;"",$CJ33,$CK33,$CL33,$CM33,$CN33,$CO33),Constants!$B$8,Constants!$B$4)))))</f>
        <v/>
      </c>
      <c r="BI33" s="74" t="str">
        <f aca="false">IF(ISBLANK($C33),"",IF($BH33&lt;&gt;Constants!$B$4,$BH33,IF(OR(NOT($AH33),NOT($AJ33),NOT($AR33)),Constants!$B$11,IF(OR(NOT($AP33),MAX($AL33,$AM33,$AN33)&gt;Constants!$B$30),Constants!$B$10,Constants!$B$9))))</f>
        <v/>
      </c>
      <c r="BJ33" s="74" t="str">
        <f aca="false">IF($BH33&lt;&gt;Constants!$B$4,"",IF(NOT($AJ33),0,MIN(Constants!$B$35,$BC33)))</f>
        <v/>
      </c>
      <c r="BK33" s="74" t="str">
        <f aca="false">IF($BH33&lt;&gt;Constants!$B$4,"",IF(NOT($AJ33),0,IF($AT33,Constants!$B$18,IF($AS33,Constants!$B$17,0))))</f>
        <v/>
      </c>
      <c r="BL33" s="74" t="str">
        <f aca="false">IF($BH33&lt;&gt;Constants!$B$4,"",IF(NOT($AJ33),0,Constants!$B$19*($AI33+$AU33+$AV33+$AW33)))</f>
        <v/>
      </c>
      <c r="BM33" s="74" t="str">
        <f aca="false">IF($BH33&lt;&gt;Constants!$B$4,"",IF(OR(NOT($AJ33),NOT(ISNUMBER($AX33))),0,CHOOSE($AX33,Constants!$B$13,Constants!$B$14,Constants!$B$15,Constants!$B$16)))</f>
        <v/>
      </c>
      <c r="BN33" s="74" t="str">
        <f aca="false">IF($BH33&lt;&gt;Constants!$B$4,"",IF(NOT($AJ33),0,Constants!$B$20*$AY33))</f>
        <v/>
      </c>
      <c r="BO33" s="74" t="str">
        <f aca="false">IF($BH33&lt;&gt;Constants!$B$4,"",IF(AND($AJ33,$BA33,$BB33),Constants!$B$22,0))</f>
        <v/>
      </c>
      <c r="BP33" s="74" t="str">
        <f aca="false">IF($BH33&lt;&gt;Constants!$B$4,"",IF(OR(NOT($AJ33),NOT($BA33)),0,IF($BF33&gt;=2*$AF$9,0,Constants!$B$23*INT(ROUND(MIN($BF33,$AF$9),6)))))</f>
        <v/>
      </c>
      <c r="BQ33" s="74" t="str">
        <f aca="false">IF($BH33&lt;&gt;Constants!$B$4,"",IF(NOT($AJ33),0,Constants!$B$24*INT(ROUND(MIN($AZ33,$AF$9),6))))</f>
        <v/>
      </c>
      <c r="BR33" s="74" t="str">
        <f aca="false">IF($BH33&lt;&gt;Constants!$B$4,"",IF(AND($AJ33,$BJ33=0),Constants!$B$25,0))</f>
        <v/>
      </c>
      <c r="BS33" s="74" t="str">
        <f aca="false">IF($BH33&lt;&gt;Constants!$B$4,"",MIN(Constants!$B$29,MAX(0,Constants!$B$27*Constants!$B$28*INT(ROUND((Constants!$B$26-$AL33)/Constants!$B$28,6))))+MIN(Constants!$B$29,MAX(0,Constants!$B$27*Constants!$B$28*INT(ROUND((Constants!$B$26-$AM33)/Constants!$B$28,6))))+MIN(Constants!$B$29,MAX(0,Constants!$B$27*Constants!$B$28*INT(ROUND((Constants!$B$26-$AN33)/Constants!$B$28,6)))))</f>
        <v/>
      </c>
      <c r="BT33" s="74" t="str">
        <f aca="false">IF($BH33&lt;&gt;Constants!$B$4,"",IF(NOT($AJ33),0,Constants!$B$31*INT(ROUND(MAX(0,MIN($BF33,2*$AF$9)-$AF$9),6))))</f>
        <v/>
      </c>
      <c r="BU33" s="74" t="str">
        <f aca="false">IF($BH33&lt;&gt;Constants!$B$4,"",Constants!$B$32*(($AL33&gt;Constants!$B$26)+($AM33&gt;Constants!$B$26)+($AN33&gt;Constants!$B$26)))</f>
        <v/>
      </c>
      <c r="BV33" s="74" t="str">
        <f aca="false">IF($BH33&lt;&gt;Constants!$B$4,"",IF(OR(NOT($AJ33),$AO33),0,Constants!$B$33))</f>
        <v/>
      </c>
      <c r="BW33" s="74" t="str">
        <f aca="false">IF($BH33&lt;&gt;Constants!$B$4,"",Constants!$B$34*$BJ33)</f>
        <v/>
      </c>
      <c r="BX33" s="74" t="str">
        <f aca="false">IF($BH33&lt;&gt;Constants!$B$4,"",IF(OR(NOT($AJ33),$BE33),0,Constants!$B$36))</f>
        <v/>
      </c>
      <c r="BY33" s="74" t="str">
        <f aca="false">IF($BH33&lt;&gt;Constants!$B$4,"",IF(OR(NOT($AJ33),$BD33),0,Constants!$B$37))</f>
        <v/>
      </c>
      <c r="BZ33" s="74" t="str">
        <f aca="false">IF($BH33&lt;&gt;Constants!$B$4,"",SUM($BT33:$BY33))</f>
        <v/>
      </c>
      <c r="CA33" s="74" t="str">
        <f aca="false">IF(ISBLANK($C33),"",IF($BH33&lt;&gt;Constants!$B$4,$BH33,SUM($BK33:$BS33)-$BZ33))</f>
        <v/>
      </c>
      <c r="CB33" s="74" t="str">
        <f aca="false">IF(ISBLANK($C33),"",IF($BH33&lt;&gt;Constants!$B$4,$BH33,RANK($CA33,$CA$9:$CA$508)))</f>
        <v/>
      </c>
      <c r="CC33" s="74" t="str">
        <f aca="false">IF(ISBLANK($C33),"",IF($BH33&lt;&gt;Constants!$B$4,$BH33,COUNTIFS($BI$9:$BI$508,"&lt;"&amp;$BI33)+COUNTIFS($BI$9:$BI$508,$BI33,$CB$9:$CB$508,"&lt;"&amp;$CB33)+1))</f>
        <v/>
      </c>
      <c r="CD33" s="74" t="str">
        <f aca="false">IF(ISBLANK($C33),"",IF($BH33&lt;&gt;Constants!$B$4,$BH33,RANK($BZ33,$BZ$9:$BZ$508,1)))</f>
        <v/>
      </c>
      <c r="CE33" s="74" t="str">
        <f aca="false">IF($BH33&lt;&gt;Constants!$B$4,"",$AL33+$AM33+$AN33)</f>
        <v/>
      </c>
      <c r="CF33" s="74" t="str">
        <f aca="false">IF(ISBLANK($C33),"",IF($BH33&lt;&gt;Constants!$B$4,$BH33,RANK($CE33,$CE$9:$CE$508,1)))</f>
        <v/>
      </c>
      <c r="CG33" s="74" t="str">
        <f aca="false">IF(ISBLANK($C33),"",IF($BH33&lt;&gt;Constants!$B$4,$BH33,COUNTIFS($BI$9:$BI$508,"&lt;"&amp;$BI33)+COUNTIFS($BI$9:$BI$508,$BI33,$CB$9:$CB$508,"&lt;"&amp;$CB33)+COUNTIFS($BI$9:$BI$508,$BI33,$CB$9:$CB$508,$CB33,$CD$9:$CD$508,"&lt;"&amp;$CD33)+COUNTIFS($BI$9:$BI$508,$BI33,$CB$9:$CB$508,$CB33,$CD$9:$CD$508,$CD33,$CF$9:$CF$508,"&lt;"&amp;$CF33)+1))</f>
        <v/>
      </c>
      <c r="CH33" s="74" t="str">
        <f aca="false">IF(ISBLANK($C33),"",IF($BH33&lt;&gt;Constants!$B$4,$BH33,$CC33-$CG33))</f>
        <v/>
      </c>
      <c r="CI33" s="74" t="str">
        <f aca="false">IF(ISBLANK($C33),"",IF(NOT($AJ33),"",IF(ISBLANK($D$7),$CI$5,IF(NOT(ISNUMBER($D$7)),$CI$6,""))))</f>
        <v/>
      </c>
      <c r="CJ33" s="74" t="str">
        <f aca="false">IF(ISBLANK($C33),"",OR($AL33="",$AM33="",$AN33=""))</f>
        <v/>
      </c>
      <c r="CK33" s="74" t="str">
        <f aca="false">IF(ISBLANK($C33),"",AND($AJ33,$AX33=""))</f>
        <v/>
      </c>
      <c r="CL33" s="74" t="str">
        <f aca="false">IF(ISBLANK($C33),"",AND($AJ33,$AY33=""))</f>
        <v/>
      </c>
      <c r="CM33" s="74" t="str">
        <f aca="false">IF(ISBLANK($C33),"",AND($AJ33,$AZ33=""))</f>
        <v/>
      </c>
      <c r="CN33" s="74" t="str">
        <f aca="false">IF(ISBLANK($C33),"",AND($AJ33,$BC33=""))</f>
        <v/>
      </c>
      <c r="CO33" s="74" t="str">
        <f aca="false">IF(ISBLANK($C33),"",AND($AJ33,$BF33=""))</f>
        <v/>
      </c>
      <c r="CP33" s="75"/>
      <c r="CQ33" s="76"/>
      <c r="CR33" s="79" t="str">
        <f aca="false">IF(ISBLANK($C33),"",IF($BH33=Constants!$B$8,$CI33,""))</f>
        <v/>
      </c>
      <c r="CS33" s="76" t="str">
        <f aca="false">IF(ISBLANK($C33),"",IF($BH33&lt;&gt;Constants!$B$4,"",$BK33+$BL33))</f>
        <v/>
      </c>
      <c r="CT33" s="78" t="str">
        <f aca="false">IF(ISBLANK($C33),"",IF($BH33&lt;&gt;Constants!$B$4,"",$BM33+$BN33+$BO33))</f>
        <v/>
      </c>
      <c r="CU33" s="78" t="str">
        <f aca="false">IF(ISBLANK($C33),"",IF($BH33&lt;&gt;Constants!$B$4,"",$BP33))</f>
        <v/>
      </c>
      <c r="CV33" s="78" t="str">
        <f aca="false">IF(ISBLANK($C33),"",IF($BH33&lt;&gt;Constants!$B$4,"",$BQ33+$BR33))</f>
        <v/>
      </c>
      <c r="CW33" s="78" t="str">
        <f aca="false">IF(ISBLANK($C33),"",IF($BH33&lt;&gt;Constants!$B$4,"",$BS33))</f>
        <v/>
      </c>
      <c r="CX33" s="78" t="str">
        <f aca="false">IF(ISBLANK($C33),"",IF($BH33&lt;&gt;Constants!$B$4,"",-$BZ33))</f>
        <v/>
      </c>
      <c r="CY33" s="79" t="str">
        <f aca="false">IF(ISBLANK($C33),"",$CA33)</f>
        <v/>
      </c>
      <c r="CZ33" s="80" t="str">
        <f aca="false">IF(ISBLANK($C33),"",$BI33)</f>
        <v/>
      </c>
      <c r="DA33" s="78" t="str">
        <f aca="false">IF(ISBLANK($C33),"",$CH33)</f>
        <v/>
      </c>
      <c r="DB33" s="78" t="str">
        <f aca="false">IF(ISBLANK($C33),"",$CG33)</f>
        <v/>
      </c>
      <c r="DC33" s="81" t="str">
        <f aca="false">IF(ISBLANK($C33),"",IFERROR(_xlfn.SWITCH($DB33,Constants!$B$7,COUNTA($C$9:$C$508)+2,Constants!$B$6,COUNTA($C$9:$C$508)+1,Constants!$B$5,COUNTA($C$9:$C$508)),$DB33))</f>
        <v/>
      </c>
      <c r="DD33" s="7"/>
      <c r="DE33" s="82" t="n">
        <f aca="false">IF(OR(ISNUMBER($DB33),$DB33=Constants!$B$7,$DB33=Constants!$B$5,$DB33=Constants!$B$6),1,0)</f>
        <v>0</v>
      </c>
      <c r="DF33" s="82" t="n">
        <v>25</v>
      </c>
      <c r="DG33" s="82" t="str">
        <f aca="false">IF(ISBLANK($C33),"",IF(ISNUMBER($DC33),$DC33+ROW($B33)/1000,""))</f>
        <v/>
      </c>
      <c r="DH33" s="82" t="str">
        <f aca="false">IF(ISNUMBER($DG33),RANK($DG33,$DG$9:$DG$508,1),"")</f>
        <v/>
      </c>
      <c r="DI33" s="82" t="str">
        <f aca="false">IF(ISBLANK($C33),"",$B33)</f>
        <v/>
      </c>
      <c r="DJ33" s="82" t="str">
        <f aca="false">IF(ISBLANK($C33),"",$C33)</f>
        <v/>
      </c>
      <c r="DK33" s="82" t="str">
        <f aca="false">IF(ISBLANK($C33),"",$D33)</f>
        <v/>
      </c>
      <c r="DL33" s="83" t="str">
        <f aca="false">$CZ33</f>
        <v/>
      </c>
      <c r="DM33" s="84" t="str">
        <f aca="false">$CY33</f>
        <v/>
      </c>
      <c r="DN33" s="82" t="str">
        <f aca="false">IF(ISBLANK($C33),"",$DB33)</f>
        <v/>
      </c>
      <c r="DO33" s="85" t="str">
        <f aca="false">IF($DF33&gt;$DE$8,"",VLOOKUP($DF33,$DH$9:$DN$508,7,FALSE()))</f>
        <v/>
      </c>
      <c r="DP33" s="86" t="str">
        <f aca="false">IF($DF33&gt;$DE$8,"",VLOOKUP($DF33,$DH$9:$DN$508,2,FALSE()))</f>
        <v/>
      </c>
      <c r="DQ33" s="86" t="str">
        <f aca="false">IF($DF33&gt;$DE$8,"",VLOOKUP($DF33,$DH$9:$DN$508,3,FALSE()))</f>
        <v/>
      </c>
      <c r="DR33" s="86" t="str">
        <f aca="false">IF($DF33&gt;$DE$8,"",VLOOKUP($DF33,$DH$9:$DN$508,4,FALSE()))</f>
        <v/>
      </c>
      <c r="DS33" s="86" t="str">
        <f aca="false">IF($DF33&gt;$DE$8,"",VLOOKUP($DF33,$DH$9:$DN$508,5,FALSE()))</f>
        <v/>
      </c>
      <c r="DT33" s="87" t="str">
        <f aca="false">IF($DF33&gt;$DE$8,"",VLOOKUP($DF33,$DH$9:$DN$508,6,FALSE()))</f>
        <v/>
      </c>
      <c r="DU33" s="62"/>
    </row>
    <row r="34" customFormat="false" ht="15.75" hidden="false" customHeight="false" outlineLevel="0" collapsed="false">
      <c r="A34" s="7"/>
      <c r="B34" s="64"/>
      <c r="C34" s="65"/>
      <c r="D34" s="123"/>
      <c r="E34" s="124"/>
      <c r="F34" s="125"/>
      <c r="G34" s="124"/>
      <c r="H34" s="125"/>
      <c r="I34" s="69"/>
      <c r="J34" s="69"/>
      <c r="K34" s="69"/>
      <c r="L34" s="124"/>
      <c r="M34" s="124"/>
      <c r="N34" s="124"/>
      <c r="O34" s="125"/>
      <c r="P34" s="124"/>
      <c r="Q34" s="124"/>
      <c r="R34" s="124"/>
      <c r="S34" s="124"/>
      <c r="T34" s="125"/>
      <c r="U34" s="124"/>
      <c r="V34" s="70"/>
      <c r="W34" s="124"/>
      <c r="X34" s="124"/>
      <c r="Y34" s="70"/>
      <c r="Z34" s="70"/>
      <c r="AA34" s="124"/>
      <c r="AB34" s="124"/>
      <c r="AC34" s="71"/>
      <c r="AD34" s="88"/>
      <c r="AE34" s="73"/>
      <c r="AF34" s="74"/>
      <c r="AG34" s="74"/>
      <c r="AH34" s="74" t="str">
        <f aca="false">IF(ISBLANK($C34),"",IF($E34=Constants!$B$2,TRUE(),IF($E34=Constants!$B$3,FALSE(),TRUE())))</f>
        <v/>
      </c>
      <c r="AI34" s="74" t="str">
        <f aca="false">IF(ISBLANK($C34),"",IF($F34=Constants!$B$2,TRUE(),IF($F34=Constants!$B$3,FALSE(),FALSE())))</f>
        <v/>
      </c>
      <c r="AJ34" s="74" t="str">
        <f aca="false">IF(ISBLANK($C34),"",IF($G34=Constants!$B$2,TRUE(),IF($G34=Constants!$B$3,FALSE(),TRUE())))</f>
        <v/>
      </c>
      <c r="AK34" s="74" t="str">
        <f aca="false">IF(ISBLANK($C34),"",IF($H34=Constants!$B$2,TRUE(),IF($H34=Constants!$B$3,FALSE(),TRUE())))</f>
        <v/>
      </c>
      <c r="AL34" s="74" t="str">
        <f aca="false">IF(ISBLANK($C34),"",IF(ISNUMBER($I34),IF($I34&gt;=0,$I34,""),""))</f>
        <v/>
      </c>
      <c r="AM34" s="74" t="str">
        <f aca="false">IF(ISBLANK($C34),"",IF(ISNUMBER($J34),IF($J34&gt;=0,$J34,""),""))</f>
        <v/>
      </c>
      <c r="AN34" s="74" t="str">
        <f aca="false">IF(ISBLANK($C34),"",IF(ISNUMBER($K34),IF($K34&gt;=0,$K34,""),""))</f>
        <v/>
      </c>
      <c r="AO34" s="74" t="str">
        <f aca="false">IF(ISBLANK($C34),"",IF($L34=Constants!$B$2,TRUE(),IF($L34=Constants!$B$3,FALSE(),TRUE())))</f>
        <v/>
      </c>
      <c r="AP34" s="74" t="str">
        <f aca="false">IF(ISBLANK($C34),"",IF($M34=Constants!$B$2,TRUE(),IF($M34=Constants!$B$3,FALSE(),TRUE())))</f>
        <v/>
      </c>
      <c r="AQ34" s="74" t="str">
        <f aca="false">IF(ISBLANK($C34),"",IF($N34=Constants!$B$2,TRUE(),IF($N34=Constants!$B$3,FALSE(),FALSE())))</f>
        <v/>
      </c>
      <c r="AR34" s="74" t="str">
        <f aca="false">IF(ISBLANK($C34),"",IF($O34=Constants!$B$2,TRUE(),IF($O34=Constants!$B$3,FALSE(),TRUE())))</f>
        <v/>
      </c>
      <c r="AS34" s="74" t="str">
        <f aca="false">IF(ISBLANK($C34),"",IF($P34=Constants!$B$2,TRUE(),IF($P34=Constants!$B$3,FALSE(),FALSE())))</f>
        <v/>
      </c>
      <c r="AT34" s="74" t="str">
        <f aca="false">IF(ISBLANK($C34),"",IF($Q34=Constants!$B$2,TRUE(),IF($Q34=Constants!$B$3,FALSE(),FALSE())))</f>
        <v/>
      </c>
      <c r="AU34" s="74" t="str">
        <f aca="false">IF(ISBLANK($C34),"",IF($R34=Constants!$B$2,TRUE(),IF($R34=Constants!$B$3,FALSE(),FALSE())))</f>
        <v/>
      </c>
      <c r="AV34" s="74" t="str">
        <f aca="false">IF(ISBLANK($C34),"",IF($S34=Constants!$B$2,TRUE(),IF($S34=Constants!$B$3,FALSE(),FALSE())))</f>
        <v/>
      </c>
      <c r="AW34" s="74" t="str">
        <f aca="false">IF(ISBLANK($C34),"",IF($T34=Constants!$B$2,TRUE(),IF($T34=Constants!$B$3,FALSE(),FALSE())))</f>
        <v/>
      </c>
      <c r="AX34" s="74" t="str">
        <f aca="false">IF(ISBLANK($C34),"",IF(OR($U34&amp;""="1",$U34&amp;""="2",$U34&amp;""="3",$U34&amp;""="4"),VALUE($U34&amp;""),IF($U34=Constants!$B$12,Constants!$B$12,"")))</f>
        <v/>
      </c>
      <c r="AY34" s="74" t="str">
        <f aca="false">IF(ISBLANK($C34),"",IF(ISBLANK($V34),0,IF(ISNUMBER($V34),IF(AND($V34&gt;=0,$V34&lt;=Constants!$B$21,$V34=INT($V34)),$V34,""),"")))</f>
        <v/>
      </c>
      <c r="AZ34" s="74" t="str">
        <f aca="false">IF(ISBLANK($C34),"",IF(ISBLANK($W34),0,IF(ISNUMBER($W34),IF($W34&gt;=0,$W34,""),"")))</f>
        <v/>
      </c>
      <c r="BA34" s="74" t="str">
        <f aca="false">IF(ISBLANK($C34),"",IF($X34=Constants!$B$2,TRUE(),IF($X34=Constants!$B$3,FALSE(),TRUE())))</f>
        <v/>
      </c>
      <c r="BB34" s="74" t="str">
        <f aca="false">IF(ISBLANK($C34),"",IF($Y34=Constants!$B$2,TRUE(),IF($Y34=Constants!$B$3,FALSE(),FALSE())))</f>
        <v/>
      </c>
      <c r="BC34" s="74" t="str">
        <f aca="false">IF(ISBLANK($C34),"",IF(ISBLANK($Z34),0,IF(ISNUMBER($Z34),IF(AND($Z34&gt;=0,$Z34&lt;=Constants!$B$35,$Z34=INT($Z34)),$Z34,""),"")))</f>
        <v/>
      </c>
      <c r="BD34" s="74" t="str">
        <f aca="false">IF(ISBLANK($C34),"",IF($AA34=Constants!$B$2,TRUE(),IF($AA34=Constants!$B$3,FALSE(),TRUE())))</f>
        <v/>
      </c>
      <c r="BE34" s="74" t="str">
        <f aca="false">IF(ISBLANK($C34),"",IF($AB34=Constants!$B$2,TRUE(),IF($AB34=Constants!$B$3,FALSE(),TRUE())))</f>
        <v/>
      </c>
      <c r="BF34" s="74" t="str">
        <f aca="false">IF(ISBLANK($C34),"",IF(ISNUMBER($AC34),IF($AC34&gt;=0,$AC34,""),""))</f>
        <v/>
      </c>
      <c r="BG34" s="74" t="str">
        <f aca="false">IF(ISBLANK($C34),"",IF($AD34=Constants!$B$2,TRUE(),IF($AD34=Constants!$B$3,FALSE(),FALSE())))</f>
        <v/>
      </c>
      <c r="BH34" s="73" t="str">
        <f aca="false">IF(ISBLANK($C34),"",IF($BG34,Constants!$B$7,IF(COUNTA($E34:$AC34)=0,Constants!$B$6,IF(OR(COUNTA($G34:$AC34)=0,NOT($AK34),$AQ34),Constants!$B$5,IF(OR($CI34&lt;&gt;"",$CJ34,$CK34,$CL34,$CM34,$CN34,$CO34),Constants!$B$8,Constants!$B$4)))))</f>
        <v/>
      </c>
      <c r="BI34" s="74" t="str">
        <f aca="false">IF(ISBLANK($C34),"",IF($BH34&lt;&gt;Constants!$B$4,$BH34,IF(OR(NOT($AH34),NOT($AJ34),NOT($AR34)),Constants!$B$11,IF(OR(NOT($AP34),MAX($AL34,$AM34,$AN34)&gt;Constants!$B$30),Constants!$B$10,Constants!$B$9))))</f>
        <v/>
      </c>
      <c r="BJ34" s="74" t="str">
        <f aca="false">IF($BH34&lt;&gt;Constants!$B$4,"",IF(NOT($AJ34),0,MIN(Constants!$B$35,$BC34)))</f>
        <v/>
      </c>
      <c r="BK34" s="74" t="str">
        <f aca="false">IF($BH34&lt;&gt;Constants!$B$4,"",IF(NOT($AJ34),0,IF($AT34,Constants!$B$18,IF($AS34,Constants!$B$17,0))))</f>
        <v/>
      </c>
      <c r="BL34" s="74" t="str">
        <f aca="false">IF($BH34&lt;&gt;Constants!$B$4,"",IF(NOT($AJ34),0,Constants!$B$19*($AI34+$AU34+$AV34+$AW34)))</f>
        <v/>
      </c>
      <c r="BM34" s="74" t="str">
        <f aca="false">IF($BH34&lt;&gt;Constants!$B$4,"",IF(OR(NOT($AJ34),NOT(ISNUMBER($AX34))),0,CHOOSE($AX34,Constants!$B$13,Constants!$B$14,Constants!$B$15,Constants!$B$16)))</f>
        <v/>
      </c>
      <c r="BN34" s="74" t="str">
        <f aca="false">IF($BH34&lt;&gt;Constants!$B$4,"",IF(NOT($AJ34),0,Constants!$B$20*$AY34))</f>
        <v/>
      </c>
      <c r="BO34" s="74" t="str">
        <f aca="false">IF($BH34&lt;&gt;Constants!$B$4,"",IF(AND($AJ34,$BA34,$BB34),Constants!$B$22,0))</f>
        <v/>
      </c>
      <c r="BP34" s="74" t="str">
        <f aca="false">IF($BH34&lt;&gt;Constants!$B$4,"",IF(OR(NOT($AJ34),NOT($BA34)),0,IF($BF34&gt;=2*$AF$9,0,Constants!$B$23*INT(ROUND(MIN($BF34,$AF$9),6)))))</f>
        <v/>
      </c>
      <c r="BQ34" s="74" t="str">
        <f aca="false">IF($BH34&lt;&gt;Constants!$B$4,"",IF(NOT($AJ34),0,Constants!$B$24*INT(ROUND(MIN($AZ34,$AF$9),6))))</f>
        <v/>
      </c>
      <c r="BR34" s="74" t="str">
        <f aca="false">IF($BH34&lt;&gt;Constants!$B$4,"",IF(AND($AJ34,$BJ34=0),Constants!$B$25,0))</f>
        <v/>
      </c>
      <c r="BS34" s="74" t="str">
        <f aca="false">IF($BH34&lt;&gt;Constants!$B$4,"",MIN(Constants!$B$29,MAX(0,Constants!$B$27*Constants!$B$28*INT(ROUND((Constants!$B$26-$AL34)/Constants!$B$28,6))))+MIN(Constants!$B$29,MAX(0,Constants!$B$27*Constants!$B$28*INT(ROUND((Constants!$B$26-$AM34)/Constants!$B$28,6))))+MIN(Constants!$B$29,MAX(0,Constants!$B$27*Constants!$B$28*INT(ROUND((Constants!$B$26-$AN34)/Constants!$B$28,6)))))</f>
        <v/>
      </c>
      <c r="BT34" s="74" t="str">
        <f aca="false">IF($BH34&lt;&gt;Constants!$B$4,"",IF(NOT($AJ34),0,Constants!$B$31*INT(ROUND(MAX(0,MIN($BF34,2*$AF$9)-$AF$9),6))))</f>
        <v/>
      </c>
      <c r="BU34" s="74" t="str">
        <f aca="false">IF($BH34&lt;&gt;Constants!$B$4,"",Constants!$B$32*(($AL34&gt;Constants!$B$26)+($AM34&gt;Constants!$B$26)+($AN34&gt;Constants!$B$26)))</f>
        <v/>
      </c>
      <c r="BV34" s="74" t="str">
        <f aca="false">IF($BH34&lt;&gt;Constants!$B$4,"",IF(OR(NOT($AJ34),$AO34),0,Constants!$B$33))</f>
        <v/>
      </c>
      <c r="BW34" s="74" t="str">
        <f aca="false">IF($BH34&lt;&gt;Constants!$B$4,"",Constants!$B$34*$BJ34)</f>
        <v/>
      </c>
      <c r="BX34" s="74" t="str">
        <f aca="false">IF($BH34&lt;&gt;Constants!$B$4,"",IF(OR(NOT($AJ34),$BE34),0,Constants!$B$36))</f>
        <v/>
      </c>
      <c r="BY34" s="74" t="str">
        <f aca="false">IF($BH34&lt;&gt;Constants!$B$4,"",IF(OR(NOT($AJ34),$BD34),0,Constants!$B$37))</f>
        <v/>
      </c>
      <c r="BZ34" s="74" t="str">
        <f aca="false">IF($BH34&lt;&gt;Constants!$B$4,"",SUM($BT34:$BY34))</f>
        <v/>
      </c>
      <c r="CA34" s="74" t="str">
        <f aca="false">IF(ISBLANK($C34),"",IF($BH34&lt;&gt;Constants!$B$4,$BH34,SUM($BK34:$BS34)-$BZ34))</f>
        <v/>
      </c>
      <c r="CB34" s="74" t="str">
        <f aca="false">IF(ISBLANK($C34),"",IF($BH34&lt;&gt;Constants!$B$4,$BH34,RANK($CA34,$CA$9:$CA$508)))</f>
        <v/>
      </c>
      <c r="CC34" s="74" t="str">
        <f aca="false">IF(ISBLANK($C34),"",IF($BH34&lt;&gt;Constants!$B$4,$BH34,COUNTIFS($BI$9:$BI$508,"&lt;"&amp;$BI34)+COUNTIFS($BI$9:$BI$508,$BI34,$CB$9:$CB$508,"&lt;"&amp;$CB34)+1))</f>
        <v/>
      </c>
      <c r="CD34" s="74" t="str">
        <f aca="false">IF(ISBLANK($C34),"",IF($BH34&lt;&gt;Constants!$B$4,$BH34,RANK($BZ34,$BZ$9:$BZ$508,1)))</f>
        <v/>
      </c>
      <c r="CE34" s="74" t="str">
        <f aca="false">IF($BH34&lt;&gt;Constants!$B$4,"",$AL34+$AM34+$AN34)</f>
        <v/>
      </c>
      <c r="CF34" s="74" t="str">
        <f aca="false">IF(ISBLANK($C34),"",IF($BH34&lt;&gt;Constants!$B$4,$BH34,RANK($CE34,$CE$9:$CE$508,1)))</f>
        <v/>
      </c>
      <c r="CG34" s="74" t="str">
        <f aca="false">IF(ISBLANK($C34),"",IF($BH34&lt;&gt;Constants!$B$4,$BH34,COUNTIFS($BI$9:$BI$508,"&lt;"&amp;$BI34)+COUNTIFS($BI$9:$BI$508,$BI34,$CB$9:$CB$508,"&lt;"&amp;$CB34)+COUNTIFS($BI$9:$BI$508,$BI34,$CB$9:$CB$508,$CB34,$CD$9:$CD$508,"&lt;"&amp;$CD34)+COUNTIFS($BI$9:$BI$508,$BI34,$CB$9:$CB$508,$CB34,$CD$9:$CD$508,$CD34,$CF$9:$CF$508,"&lt;"&amp;$CF34)+1))</f>
        <v/>
      </c>
      <c r="CH34" s="74" t="str">
        <f aca="false">IF(ISBLANK($C34),"",IF($BH34&lt;&gt;Constants!$B$4,$BH34,$CC34-$CG34))</f>
        <v/>
      </c>
      <c r="CI34" s="74" t="str">
        <f aca="false">IF(ISBLANK($C34),"",IF(NOT($AJ34),"",IF(ISBLANK($D$7),$CI$5,IF(NOT(ISNUMBER($D$7)),$CI$6,""))))</f>
        <v/>
      </c>
      <c r="CJ34" s="74" t="str">
        <f aca="false">IF(ISBLANK($C34),"",OR($AL34="",$AM34="",$AN34=""))</f>
        <v/>
      </c>
      <c r="CK34" s="74" t="str">
        <f aca="false">IF(ISBLANK($C34),"",AND($AJ34,$AX34=""))</f>
        <v/>
      </c>
      <c r="CL34" s="74" t="str">
        <f aca="false">IF(ISBLANK($C34),"",AND($AJ34,$AY34=""))</f>
        <v/>
      </c>
      <c r="CM34" s="74" t="str">
        <f aca="false">IF(ISBLANK($C34),"",AND($AJ34,$AZ34=""))</f>
        <v/>
      </c>
      <c r="CN34" s="74" t="str">
        <f aca="false">IF(ISBLANK($C34),"",AND($AJ34,$BC34=""))</f>
        <v/>
      </c>
      <c r="CO34" s="74" t="str">
        <f aca="false">IF(ISBLANK($C34),"",AND($AJ34,$BF34=""))</f>
        <v/>
      </c>
      <c r="CP34" s="75"/>
      <c r="CQ34" s="76"/>
      <c r="CR34" s="79" t="str">
        <f aca="false">IF(ISBLANK($C34),"",IF($BH34=Constants!$B$8,$CI34,""))</f>
        <v/>
      </c>
      <c r="CS34" s="76" t="str">
        <f aca="false">IF(ISBLANK($C34),"",IF($BH34&lt;&gt;Constants!$B$4,"",$BK34+$BL34))</f>
        <v/>
      </c>
      <c r="CT34" s="78" t="str">
        <f aca="false">IF(ISBLANK($C34),"",IF($BH34&lt;&gt;Constants!$B$4,"",$BM34+$BN34+$BO34))</f>
        <v/>
      </c>
      <c r="CU34" s="78" t="str">
        <f aca="false">IF(ISBLANK($C34),"",IF($BH34&lt;&gt;Constants!$B$4,"",$BP34))</f>
        <v/>
      </c>
      <c r="CV34" s="78" t="str">
        <f aca="false">IF(ISBLANK($C34),"",IF($BH34&lt;&gt;Constants!$B$4,"",$BQ34+$BR34))</f>
        <v/>
      </c>
      <c r="CW34" s="78" t="str">
        <f aca="false">IF(ISBLANK($C34),"",IF($BH34&lt;&gt;Constants!$B$4,"",$BS34))</f>
        <v/>
      </c>
      <c r="CX34" s="78" t="str">
        <f aca="false">IF(ISBLANK($C34),"",IF($BH34&lt;&gt;Constants!$B$4,"",-$BZ34))</f>
        <v/>
      </c>
      <c r="CY34" s="79" t="str">
        <f aca="false">IF(ISBLANK($C34),"",$CA34)</f>
        <v/>
      </c>
      <c r="CZ34" s="80" t="str">
        <f aca="false">IF(ISBLANK($C34),"",$BI34)</f>
        <v/>
      </c>
      <c r="DA34" s="78" t="str">
        <f aca="false">IF(ISBLANK($C34),"",$CH34)</f>
        <v/>
      </c>
      <c r="DB34" s="78" t="str">
        <f aca="false">IF(ISBLANK($C34),"",$CG34)</f>
        <v/>
      </c>
      <c r="DC34" s="81" t="str">
        <f aca="false">IF(ISBLANK($C34),"",IFERROR(_xlfn.SWITCH($DB34,Constants!$B$7,COUNTA($C$9:$C$508)+2,Constants!$B$6,COUNTA($C$9:$C$508)+1,Constants!$B$5,COUNTA($C$9:$C$508)),$DB34))</f>
        <v/>
      </c>
      <c r="DD34" s="7"/>
      <c r="DE34" s="82" t="n">
        <f aca="false">IF(OR(ISNUMBER($DB34),$DB34=Constants!$B$7,$DB34=Constants!$B$5,$DB34=Constants!$B$6),1,0)</f>
        <v>0</v>
      </c>
      <c r="DF34" s="82" t="n">
        <v>26</v>
      </c>
      <c r="DG34" s="82" t="str">
        <f aca="false">IF(ISBLANK($C34),"",IF(ISNUMBER($DC34),$DC34+ROW($B34)/1000,""))</f>
        <v/>
      </c>
      <c r="DH34" s="82" t="str">
        <f aca="false">IF(ISNUMBER($DG34),RANK($DG34,$DG$9:$DG$508,1),"")</f>
        <v/>
      </c>
      <c r="DI34" s="82" t="str">
        <f aca="false">IF(ISBLANK($C34),"",$B34)</f>
        <v/>
      </c>
      <c r="DJ34" s="82" t="str">
        <f aca="false">IF(ISBLANK($C34),"",$C34)</f>
        <v/>
      </c>
      <c r="DK34" s="82" t="str">
        <f aca="false">IF(ISBLANK($C34),"",$D34)</f>
        <v/>
      </c>
      <c r="DL34" s="83" t="str">
        <f aca="false">$CZ34</f>
        <v/>
      </c>
      <c r="DM34" s="84" t="str">
        <f aca="false">$CY34</f>
        <v/>
      </c>
      <c r="DN34" s="82" t="str">
        <f aca="false">IF(ISBLANK($C34),"",$DB34)</f>
        <v/>
      </c>
      <c r="DO34" s="85" t="str">
        <f aca="false">IF($DF34&gt;$DE$8,"",VLOOKUP($DF34,$DH$9:$DN$508,7,FALSE()))</f>
        <v/>
      </c>
      <c r="DP34" s="86" t="str">
        <f aca="false">IF($DF34&gt;$DE$8,"",VLOOKUP($DF34,$DH$9:$DN$508,2,FALSE()))</f>
        <v/>
      </c>
      <c r="DQ34" s="86" t="str">
        <f aca="false">IF($DF34&gt;$DE$8,"",VLOOKUP($DF34,$DH$9:$DN$508,3,FALSE()))</f>
        <v/>
      </c>
      <c r="DR34" s="86" t="str">
        <f aca="false">IF($DF34&gt;$DE$8,"",VLOOKUP($DF34,$DH$9:$DN$508,4,FALSE()))</f>
        <v/>
      </c>
      <c r="DS34" s="86" t="str">
        <f aca="false">IF($DF34&gt;$DE$8,"",VLOOKUP($DF34,$DH$9:$DN$508,5,FALSE()))</f>
        <v/>
      </c>
      <c r="DT34" s="87" t="str">
        <f aca="false">IF($DF34&gt;$DE$8,"",VLOOKUP($DF34,$DH$9:$DN$508,6,FALSE()))</f>
        <v/>
      </c>
      <c r="DU34" s="62"/>
    </row>
    <row r="35" customFormat="false" ht="15.75" hidden="false" customHeight="false" outlineLevel="0" collapsed="false">
      <c r="A35" s="7"/>
      <c r="B35" s="64"/>
      <c r="C35" s="65"/>
      <c r="D35" s="123"/>
      <c r="E35" s="124"/>
      <c r="F35" s="125"/>
      <c r="G35" s="124"/>
      <c r="H35" s="125"/>
      <c r="I35" s="69"/>
      <c r="J35" s="69"/>
      <c r="K35" s="69"/>
      <c r="L35" s="124"/>
      <c r="M35" s="124"/>
      <c r="N35" s="124"/>
      <c r="O35" s="125"/>
      <c r="P35" s="124"/>
      <c r="Q35" s="124"/>
      <c r="R35" s="124"/>
      <c r="S35" s="124"/>
      <c r="T35" s="125"/>
      <c r="U35" s="124"/>
      <c r="V35" s="70"/>
      <c r="W35" s="124"/>
      <c r="X35" s="124"/>
      <c r="Y35" s="70"/>
      <c r="Z35" s="70"/>
      <c r="AA35" s="124"/>
      <c r="AB35" s="124"/>
      <c r="AC35" s="71"/>
      <c r="AD35" s="88"/>
      <c r="AE35" s="73"/>
      <c r="AF35" s="74"/>
      <c r="AG35" s="74"/>
      <c r="AH35" s="74" t="str">
        <f aca="false">IF(ISBLANK($C35),"",IF($E35=Constants!$B$2,TRUE(),IF($E35=Constants!$B$3,FALSE(),TRUE())))</f>
        <v/>
      </c>
      <c r="AI35" s="74" t="str">
        <f aca="false">IF(ISBLANK($C35),"",IF($F35=Constants!$B$2,TRUE(),IF($F35=Constants!$B$3,FALSE(),FALSE())))</f>
        <v/>
      </c>
      <c r="AJ35" s="74" t="str">
        <f aca="false">IF(ISBLANK($C35),"",IF($G35=Constants!$B$2,TRUE(),IF($G35=Constants!$B$3,FALSE(),TRUE())))</f>
        <v/>
      </c>
      <c r="AK35" s="74" t="str">
        <f aca="false">IF(ISBLANK($C35),"",IF($H35=Constants!$B$2,TRUE(),IF($H35=Constants!$B$3,FALSE(),TRUE())))</f>
        <v/>
      </c>
      <c r="AL35" s="74" t="str">
        <f aca="false">IF(ISBLANK($C35),"",IF(ISNUMBER($I35),IF($I35&gt;=0,$I35,""),""))</f>
        <v/>
      </c>
      <c r="AM35" s="74" t="str">
        <f aca="false">IF(ISBLANK($C35),"",IF(ISNUMBER($J35),IF($J35&gt;=0,$J35,""),""))</f>
        <v/>
      </c>
      <c r="AN35" s="74" t="str">
        <f aca="false">IF(ISBLANK($C35),"",IF(ISNUMBER($K35),IF($K35&gt;=0,$K35,""),""))</f>
        <v/>
      </c>
      <c r="AO35" s="74" t="str">
        <f aca="false">IF(ISBLANK($C35),"",IF($L35=Constants!$B$2,TRUE(),IF($L35=Constants!$B$3,FALSE(),TRUE())))</f>
        <v/>
      </c>
      <c r="AP35" s="74" t="str">
        <f aca="false">IF(ISBLANK($C35),"",IF($M35=Constants!$B$2,TRUE(),IF($M35=Constants!$B$3,FALSE(),TRUE())))</f>
        <v/>
      </c>
      <c r="AQ35" s="74" t="str">
        <f aca="false">IF(ISBLANK($C35),"",IF($N35=Constants!$B$2,TRUE(),IF($N35=Constants!$B$3,FALSE(),FALSE())))</f>
        <v/>
      </c>
      <c r="AR35" s="74" t="str">
        <f aca="false">IF(ISBLANK($C35),"",IF($O35=Constants!$B$2,TRUE(),IF($O35=Constants!$B$3,FALSE(),TRUE())))</f>
        <v/>
      </c>
      <c r="AS35" s="74" t="str">
        <f aca="false">IF(ISBLANK($C35),"",IF($P35=Constants!$B$2,TRUE(),IF($P35=Constants!$B$3,FALSE(),FALSE())))</f>
        <v/>
      </c>
      <c r="AT35" s="74" t="str">
        <f aca="false">IF(ISBLANK($C35),"",IF($Q35=Constants!$B$2,TRUE(),IF($Q35=Constants!$B$3,FALSE(),FALSE())))</f>
        <v/>
      </c>
      <c r="AU35" s="74" t="str">
        <f aca="false">IF(ISBLANK($C35),"",IF($R35=Constants!$B$2,TRUE(),IF($R35=Constants!$B$3,FALSE(),FALSE())))</f>
        <v/>
      </c>
      <c r="AV35" s="74" t="str">
        <f aca="false">IF(ISBLANK($C35),"",IF($S35=Constants!$B$2,TRUE(),IF($S35=Constants!$B$3,FALSE(),FALSE())))</f>
        <v/>
      </c>
      <c r="AW35" s="74" t="str">
        <f aca="false">IF(ISBLANK($C35),"",IF($T35=Constants!$B$2,TRUE(),IF($T35=Constants!$B$3,FALSE(),FALSE())))</f>
        <v/>
      </c>
      <c r="AX35" s="74" t="str">
        <f aca="false">IF(ISBLANK($C35),"",IF(OR($U35&amp;""="1",$U35&amp;""="2",$U35&amp;""="3",$U35&amp;""="4"),VALUE($U35&amp;""),IF($U35=Constants!$B$12,Constants!$B$12,"")))</f>
        <v/>
      </c>
      <c r="AY35" s="74" t="str">
        <f aca="false">IF(ISBLANK($C35),"",IF(ISBLANK($V35),0,IF(ISNUMBER($V35),IF(AND($V35&gt;=0,$V35&lt;=Constants!$B$21,$V35=INT($V35)),$V35,""),"")))</f>
        <v/>
      </c>
      <c r="AZ35" s="74" t="str">
        <f aca="false">IF(ISBLANK($C35),"",IF(ISBLANK($W35),0,IF(ISNUMBER($W35),IF($W35&gt;=0,$W35,""),"")))</f>
        <v/>
      </c>
      <c r="BA35" s="74" t="str">
        <f aca="false">IF(ISBLANK($C35),"",IF($X35=Constants!$B$2,TRUE(),IF($X35=Constants!$B$3,FALSE(),TRUE())))</f>
        <v/>
      </c>
      <c r="BB35" s="74" t="str">
        <f aca="false">IF(ISBLANK($C35),"",IF($Y35=Constants!$B$2,TRUE(),IF($Y35=Constants!$B$3,FALSE(),FALSE())))</f>
        <v/>
      </c>
      <c r="BC35" s="74" t="str">
        <f aca="false">IF(ISBLANK($C35),"",IF(ISBLANK($Z35),0,IF(ISNUMBER($Z35),IF(AND($Z35&gt;=0,$Z35&lt;=Constants!$B$35,$Z35=INT($Z35)),$Z35,""),"")))</f>
        <v/>
      </c>
      <c r="BD35" s="74" t="str">
        <f aca="false">IF(ISBLANK($C35),"",IF($AA35=Constants!$B$2,TRUE(),IF($AA35=Constants!$B$3,FALSE(),TRUE())))</f>
        <v/>
      </c>
      <c r="BE35" s="74" t="str">
        <f aca="false">IF(ISBLANK($C35),"",IF($AB35=Constants!$B$2,TRUE(),IF($AB35=Constants!$B$3,FALSE(),TRUE())))</f>
        <v/>
      </c>
      <c r="BF35" s="74" t="str">
        <f aca="false">IF(ISBLANK($C35),"",IF(ISNUMBER($AC35),IF($AC35&gt;=0,$AC35,""),""))</f>
        <v/>
      </c>
      <c r="BG35" s="74" t="str">
        <f aca="false">IF(ISBLANK($C35),"",IF($AD35=Constants!$B$2,TRUE(),IF($AD35=Constants!$B$3,FALSE(),FALSE())))</f>
        <v/>
      </c>
      <c r="BH35" s="73" t="str">
        <f aca="false">IF(ISBLANK($C35),"",IF($BG35,Constants!$B$7,IF(COUNTA($E35:$AC35)=0,Constants!$B$6,IF(OR(COUNTA($G35:$AC35)=0,NOT($AK35),$AQ35),Constants!$B$5,IF(OR($CI35&lt;&gt;"",$CJ35,$CK35,$CL35,$CM35,$CN35,$CO35),Constants!$B$8,Constants!$B$4)))))</f>
        <v/>
      </c>
      <c r="BI35" s="74" t="str">
        <f aca="false">IF(ISBLANK($C35),"",IF($BH35&lt;&gt;Constants!$B$4,$BH35,IF(OR(NOT($AH35),NOT($AJ35),NOT($AR35)),Constants!$B$11,IF(OR(NOT($AP35),MAX($AL35,$AM35,$AN35)&gt;Constants!$B$30),Constants!$B$10,Constants!$B$9))))</f>
        <v/>
      </c>
      <c r="BJ35" s="74" t="str">
        <f aca="false">IF($BH35&lt;&gt;Constants!$B$4,"",IF(NOT($AJ35),0,MIN(Constants!$B$35,$BC35)))</f>
        <v/>
      </c>
      <c r="BK35" s="74" t="str">
        <f aca="false">IF($BH35&lt;&gt;Constants!$B$4,"",IF(NOT($AJ35),0,IF($AT35,Constants!$B$18,IF($AS35,Constants!$B$17,0))))</f>
        <v/>
      </c>
      <c r="BL35" s="74" t="str">
        <f aca="false">IF($BH35&lt;&gt;Constants!$B$4,"",IF(NOT($AJ35),0,Constants!$B$19*($AI35+$AU35+$AV35+$AW35)))</f>
        <v/>
      </c>
      <c r="BM35" s="74" t="str">
        <f aca="false">IF($BH35&lt;&gt;Constants!$B$4,"",IF(OR(NOT($AJ35),NOT(ISNUMBER($AX35))),0,CHOOSE($AX35,Constants!$B$13,Constants!$B$14,Constants!$B$15,Constants!$B$16)))</f>
        <v/>
      </c>
      <c r="BN35" s="74" t="str">
        <f aca="false">IF($BH35&lt;&gt;Constants!$B$4,"",IF(NOT($AJ35),0,Constants!$B$20*$AY35))</f>
        <v/>
      </c>
      <c r="BO35" s="74" t="str">
        <f aca="false">IF($BH35&lt;&gt;Constants!$B$4,"",IF(AND($AJ35,$BA35,$BB35),Constants!$B$22,0))</f>
        <v/>
      </c>
      <c r="BP35" s="74" t="str">
        <f aca="false">IF($BH35&lt;&gt;Constants!$B$4,"",IF(OR(NOT($AJ35),NOT($BA35)),0,IF($BF35&gt;=2*$AF$9,0,Constants!$B$23*INT(ROUND(MIN($BF35,$AF$9),6)))))</f>
        <v/>
      </c>
      <c r="BQ35" s="74" t="str">
        <f aca="false">IF($BH35&lt;&gt;Constants!$B$4,"",IF(NOT($AJ35),0,Constants!$B$24*INT(ROUND(MIN($AZ35,$AF$9),6))))</f>
        <v/>
      </c>
      <c r="BR35" s="74" t="str">
        <f aca="false">IF($BH35&lt;&gt;Constants!$B$4,"",IF(AND($AJ35,$BJ35=0),Constants!$B$25,0))</f>
        <v/>
      </c>
      <c r="BS35" s="74" t="str">
        <f aca="false">IF($BH35&lt;&gt;Constants!$B$4,"",MIN(Constants!$B$29,MAX(0,Constants!$B$27*Constants!$B$28*INT(ROUND((Constants!$B$26-$AL35)/Constants!$B$28,6))))+MIN(Constants!$B$29,MAX(0,Constants!$B$27*Constants!$B$28*INT(ROUND((Constants!$B$26-$AM35)/Constants!$B$28,6))))+MIN(Constants!$B$29,MAX(0,Constants!$B$27*Constants!$B$28*INT(ROUND((Constants!$B$26-$AN35)/Constants!$B$28,6)))))</f>
        <v/>
      </c>
      <c r="BT35" s="74" t="str">
        <f aca="false">IF($BH35&lt;&gt;Constants!$B$4,"",IF(NOT($AJ35),0,Constants!$B$31*INT(ROUND(MAX(0,MIN($BF35,2*$AF$9)-$AF$9),6))))</f>
        <v/>
      </c>
      <c r="BU35" s="74" t="str">
        <f aca="false">IF($BH35&lt;&gt;Constants!$B$4,"",Constants!$B$32*(($AL35&gt;Constants!$B$26)+($AM35&gt;Constants!$B$26)+($AN35&gt;Constants!$B$26)))</f>
        <v/>
      </c>
      <c r="BV35" s="74" t="str">
        <f aca="false">IF($BH35&lt;&gt;Constants!$B$4,"",IF(OR(NOT($AJ35),$AO35),0,Constants!$B$33))</f>
        <v/>
      </c>
      <c r="BW35" s="74" t="str">
        <f aca="false">IF($BH35&lt;&gt;Constants!$B$4,"",Constants!$B$34*$BJ35)</f>
        <v/>
      </c>
      <c r="BX35" s="74" t="str">
        <f aca="false">IF($BH35&lt;&gt;Constants!$B$4,"",IF(OR(NOT($AJ35),$BE35),0,Constants!$B$36))</f>
        <v/>
      </c>
      <c r="BY35" s="74" t="str">
        <f aca="false">IF($BH35&lt;&gt;Constants!$B$4,"",IF(OR(NOT($AJ35),$BD35),0,Constants!$B$37))</f>
        <v/>
      </c>
      <c r="BZ35" s="74" t="str">
        <f aca="false">IF($BH35&lt;&gt;Constants!$B$4,"",SUM($BT35:$BY35))</f>
        <v/>
      </c>
      <c r="CA35" s="74" t="str">
        <f aca="false">IF(ISBLANK($C35),"",IF($BH35&lt;&gt;Constants!$B$4,$BH35,SUM($BK35:$BS35)-$BZ35))</f>
        <v/>
      </c>
      <c r="CB35" s="74" t="str">
        <f aca="false">IF(ISBLANK($C35),"",IF($BH35&lt;&gt;Constants!$B$4,$BH35,RANK($CA35,$CA$9:$CA$508)))</f>
        <v/>
      </c>
      <c r="CC35" s="74" t="str">
        <f aca="false">IF(ISBLANK($C35),"",IF($BH35&lt;&gt;Constants!$B$4,$BH35,COUNTIFS($BI$9:$BI$508,"&lt;"&amp;$BI35)+COUNTIFS($BI$9:$BI$508,$BI35,$CB$9:$CB$508,"&lt;"&amp;$CB35)+1))</f>
        <v/>
      </c>
      <c r="CD35" s="74" t="str">
        <f aca="false">IF(ISBLANK($C35),"",IF($BH35&lt;&gt;Constants!$B$4,$BH35,RANK($BZ35,$BZ$9:$BZ$508,1)))</f>
        <v/>
      </c>
      <c r="CE35" s="74" t="str">
        <f aca="false">IF($BH35&lt;&gt;Constants!$B$4,"",$AL35+$AM35+$AN35)</f>
        <v/>
      </c>
      <c r="CF35" s="74" t="str">
        <f aca="false">IF(ISBLANK($C35),"",IF($BH35&lt;&gt;Constants!$B$4,$BH35,RANK($CE35,$CE$9:$CE$508,1)))</f>
        <v/>
      </c>
      <c r="CG35" s="74" t="str">
        <f aca="false">IF(ISBLANK($C35),"",IF($BH35&lt;&gt;Constants!$B$4,$BH35,COUNTIFS($BI$9:$BI$508,"&lt;"&amp;$BI35)+COUNTIFS($BI$9:$BI$508,$BI35,$CB$9:$CB$508,"&lt;"&amp;$CB35)+COUNTIFS($BI$9:$BI$508,$BI35,$CB$9:$CB$508,$CB35,$CD$9:$CD$508,"&lt;"&amp;$CD35)+COUNTIFS($BI$9:$BI$508,$BI35,$CB$9:$CB$508,$CB35,$CD$9:$CD$508,$CD35,$CF$9:$CF$508,"&lt;"&amp;$CF35)+1))</f>
        <v/>
      </c>
      <c r="CH35" s="74" t="str">
        <f aca="false">IF(ISBLANK($C35),"",IF($BH35&lt;&gt;Constants!$B$4,$BH35,$CC35-$CG35))</f>
        <v/>
      </c>
      <c r="CI35" s="74" t="str">
        <f aca="false">IF(ISBLANK($C35),"",IF(NOT($AJ35),"",IF(ISBLANK($D$7),$CI$5,IF(NOT(ISNUMBER($D$7)),$CI$6,""))))</f>
        <v/>
      </c>
      <c r="CJ35" s="74" t="str">
        <f aca="false">IF(ISBLANK($C35),"",OR($AL35="",$AM35="",$AN35=""))</f>
        <v/>
      </c>
      <c r="CK35" s="74" t="str">
        <f aca="false">IF(ISBLANK($C35),"",AND($AJ35,$AX35=""))</f>
        <v/>
      </c>
      <c r="CL35" s="74" t="str">
        <f aca="false">IF(ISBLANK($C35),"",AND($AJ35,$AY35=""))</f>
        <v/>
      </c>
      <c r="CM35" s="74" t="str">
        <f aca="false">IF(ISBLANK($C35),"",AND($AJ35,$AZ35=""))</f>
        <v/>
      </c>
      <c r="CN35" s="74" t="str">
        <f aca="false">IF(ISBLANK($C35),"",AND($AJ35,$BC35=""))</f>
        <v/>
      </c>
      <c r="CO35" s="74" t="str">
        <f aca="false">IF(ISBLANK($C35),"",AND($AJ35,$BF35=""))</f>
        <v/>
      </c>
      <c r="CP35" s="75"/>
      <c r="CQ35" s="76"/>
      <c r="CR35" s="79" t="str">
        <f aca="false">IF(ISBLANK($C35),"",IF($BH35=Constants!$B$8,$CI35,""))</f>
        <v/>
      </c>
      <c r="CS35" s="76" t="str">
        <f aca="false">IF(ISBLANK($C35),"",IF($BH35&lt;&gt;Constants!$B$4,"",$BK35+$BL35))</f>
        <v/>
      </c>
      <c r="CT35" s="78" t="str">
        <f aca="false">IF(ISBLANK($C35),"",IF($BH35&lt;&gt;Constants!$B$4,"",$BM35+$BN35+$BO35))</f>
        <v/>
      </c>
      <c r="CU35" s="78" t="str">
        <f aca="false">IF(ISBLANK($C35),"",IF($BH35&lt;&gt;Constants!$B$4,"",$BP35))</f>
        <v/>
      </c>
      <c r="CV35" s="78" t="str">
        <f aca="false">IF(ISBLANK($C35),"",IF($BH35&lt;&gt;Constants!$B$4,"",$BQ35+$BR35))</f>
        <v/>
      </c>
      <c r="CW35" s="78" t="str">
        <f aca="false">IF(ISBLANK($C35),"",IF($BH35&lt;&gt;Constants!$B$4,"",$BS35))</f>
        <v/>
      </c>
      <c r="CX35" s="78" t="str">
        <f aca="false">IF(ISBLANK($C35),"",IF($BH35&lt;&gt;Constants!$B$4,"",-$BZ35))</f>
        <v/>
      </c>
      <c r="CY35" s="79" t="str">
        <f aca="false">IF(ISBLANK($C35),"",$CA35)</f>
        <v/>
      </c>
      <c r="CZ35" s="80" t="str">
        <f aca="false">IF(ISBLANK($C35),"",$BI35)</f>
        <v/>
      </c>
      <c r="DA35" s="78" t="str">
        <f aca="false">IF(ISBLANK($C35),"",$CH35)</f>
        <v/>
      </c>
      <c r="DB35" s="78" t="str">
        <f aca="false">IF(ISBLANK($C35),"",$CG35)</f>
        <v/>
      </c>
      <c r="DC35" s="81" t="str">
        <f aca="false">IF(ISBLANK($C35),"",IFERROR(_xlfn.SWITCH($DB35,Constants!$B$7,COUNTA($C$9:$C$508)+2,Constants!$B$6,COUNTA($C$9:$C$508)+1,Constants!$B$5,COUNTA($C$9:$C$508)),$DB35))</f>
        <v/>
      </c>
      <c r="DD35" s="7"/>
      <c r="DE35" s="82" t="n">
        <f aca="false">IF(OR(ISNUMBER($DB35),$DB35=Constants!$B$7,$DB35=Constants!$B$5,$DB35=Constants!$B$6),1,0)</f>
        <v>0</v>
      </c>
      <c r="DF35" s="82" t="n">
        <v>27</v>
      </c>
      <c r="DG35" s="82" t="str">
        <f aca="false">IF(ISBLANK($C35),"",IF(ISNUMBER($DC35),$DC35+ROW($B35)/1000,""))</f>
        <v/>
      </c>
      <c r="DH35" s="82" t="str">
        <f aca="false">IF(ISNUMBER($DG35),RANK($DG35,$DG$9:$DG$508,1),"")</f>
        <v/>
      </c>
      <c r="DI35" s="82" t="str">
        <f aca="false">IF(ISBLANK($C35),"",$B35)</f>
        <v/>
      </c>
      <c r="DJ35" s="82" t="str">
        <f aca="false">IF(ISBLANK($C35),"",$C35)</f>
        <v/>
      </c>
      <c r="DK35" s="82" t="str">
        <f aca="false">IF(ISBLANK($C35),"",$D35)</f>
        <v/>
      </c>
      <c r="DL35" s="83" t="str">
        <f aca="false">$CZ35</f>
        <v/>
      </c>
      <c r="DM35" s="84" t="str">
        <f aca="false">$CY35</f>
        <v/>
      </c>
      <c r="DN35" s="82" t="str">
        <f aca="false">IF(ISBLANK($C35),"",$DB35)</f>
        <v/>
      </c>
      <c r="DO35" s="85" t="str">
        <f aca="false">IF($DF35&gt;$DE$8,"",VLOOKUP($DF35,$DH$9:$DN$508,7,FALSE()))</f>
        <v/>
      </c>
      <c r="DP35" s="86" t="str">
        <f aca="false">IF($DF35&gt;$DE$8,"",VLOOKUP($DF35,$DH$9:$DN$508,2,FALSE()))</f>
        <v/>
      </c>
      <c r="DQ35" s="86" t="str">
        <f aca="false">IF($DF35&gt;$DE$8,"",VLOOKUP($DF35,$DH$9:$DN$508,3,FALSE()))</f>
        <v/>
      </c>
      <c r="DR35" s="86" t="str">
        <f aca="false">IF($DF35&gt;$DE$8,"",VLOOKUP($DF35,$DH$9:$DN$508,4,FALSE()))</f>
        <v/>
      </c>
      <c r="DS35" s="86" t="str">
        <f aca="false">IF($DF35&gt;$DE$8,"",VLOOKUP($DF35,$DH$9:$DN$508,5,FALSE()))</f>
        <v/>
      </c>
      <c r="DT35" s="87" t="str">
        <f aca="false">IF($DF35&gt;$DE$8,"",VLOOKUP($DF35,$DH$9:$DN$508,6,FALSE()))</f>
        <v/>
      </c>
      <c r="DU35" s="62"/>
    </row>
    <row r="36" customFormat="false" ht="15.75" hidden="false" customHeight="false" outlineLevel="0" collapsed="false">
      <c r="A36" s="7"/>
      <c r="B36" s="90"/>
      <c r="C36" s="91"/>
      <c r="D36" s="126"/>
      <c r="E36" s="127"/>
      <c r="F36" s="128"/>
      <c r="G36" s="127"/>
      <c r="H36" s="128"/>
      <c r="I36" s="95"/>
      <c r="J36" s="95"/>
      <c r="K36" s="95"/>
      <c r="L36" s="127"/>
      <c r="M36" s="127"/>
      <c r="N36" s="127"/>
      <c r="O36" s="128"/>
      <c r="P36" s="127"/>
      <c r="Q36" s="127"/>
      <c r="R36" s="127"/>
      <c r="S36" s="127"/>
      <c r="T36" s="128"/>
      <c r="U36" s="127"/>
      <c r="V36" s="96"/>
      <c r="W36" s="127"/>
      <c r="X36" s="127"/>
      <c r="Y36" s="96"/>
      <c r="Z36" s="96"/>
      <c r="AA36" s="127"/>
      <c r="AB36" s="127"/>
      <c r="AC36" s="97"/>
      <c r="AD36" s="130"/>
      <c r="AE36" s="99"/>
      <c r="AF36" s="100"/>
      <c r="AG36" s="100"/>
      <c r="AH36" s="100" t="str">
        <f aca="false">IF(ISBLANK($C36),"",IF($E36=Constants!$B$2,TRUE(),IF($E36=Constants!$B$3,FALSE(),TRUE())))</f>
        <v/>
      </c>
      <c r="AI36" s="100" t="str">
        <f aca="false">IF(ISBLANK($C36),"",IF($F36=Constants!$B$2,TRUE(),IF($F36=Constants!$B$3,FALSE(),FALSE())))</f>
        <v/>
      </c>
      <c r="AJ36" s="100" t="str">
        <f aca="false">IF(ISBLANK($C36),"",IF($G36=Constants!$B$2,TRUE(),IF($G36=Constants!$B$3,FALSE(),TRUE())))</f>
        <v/>
      </c>
      <c r="AK36" s="100" t="str">
        <f aca="false">IF(ISBLANK($C36),"",IF($H36=Constants!$B$2,TRUE(),IF($H36=Constants!$B$3,FALSE(),TRUE())))</f>
        <v/>
      </c>
      <c r="AL36" s="100" t="str">
        <f aca="false">IF(ISBLANK($C36),"",IF(ISNUMBER($I36),IF($I36&gt;=0,$I36,""),""))</f>
        <v/>
      </c>
      <c r="AM36" s="100" t="str">
        <f aca="false">IF(ISBLANK($C36),"",IF(ISNUMBER($J36),IF($J36&gt;=0,$J36,""),""))</f>
        <v/>
      </c>
      <c r="AN36" s="100" t="str">
        <f aca="false">IF(ISBLANK($C36),"",IF(ISNUMBER($K36),IF($K36&gt;=0,$K36,""),""))</f>
        <v/>
      </c>
      <c r="AO36" s="100" t="str">
        <f aca="false">IF(ISBLANK($C36),"",IF($L36=Constants!$B$2,TRUE(),IF($L36=Constants!$B$3,FALSE(),TRUE())))</f>
        <v/>
      </c>
      <c r="AP36" s="100" t="str">
        <f aca="false">IF(ISBLANK($C36),"",IF($M36=Constants!$B$2,TRUE(),IF($M36=Constants!$B$3,FALSE(),TRUE())))</f>
        <v/>
      </c>
      <c r="AQ36" s="100" t="str">
        <f aca="false">IF(ISBLANK($C36),"",IF($N36=Constants!$B$2,TRUE(),IF($N36=Constants!$B$3,FALSE(),FALSE())))</f>
        <v/>
      </c>
      <c r="AR36" s="100" t="str">
        <f aca="false">IF(ISBLANK($C36),"",IF($O36=Constants!$B$2,TRUE(),IF($O36=Constants!$B$3,FALSE(),TRUE())))</f>
        <v/>
      </c>
      <c r="AS36" s="100" t="str">
        <f aca="false">IF(ISBLANK($C36),"",IF($P36=Constants!$B$2,TRUE(),IF($P36=Constants!$B$3,FALSE(),FALSE())))</f>
        <v/>
      </c>
      <c r="AT36" s="100" t="str">
        <f aca="false">IF(ISBLANK($C36),"",IF($Q36=Constants!$B$2,TRUE(),IF($Q36=Constants!$B$3,FALSE(),FALSE())))</f>
        <v/>
      </c>
      <c r="AU36" s="100" t="str">
        <f aca="false">IF(ISBLANK($C36),"",IF($R36=Constants!$B$2,TRUE(),IF($R36=Constants!$B$3,FALSE(),FALSE())))</f>
        <v/>
      </c>
      <c r="AV36" s="100" t="str">
        <f aca="false">IF(ISBLANK($C36),"",IF($S36=Constants!$B$2,TRUE(),IF($S36=Constants!$B$3,FALSE(),FALSE())))</f>
        <v/>
      </c>
      <c r="AW36" s="100" t="str">
        <f aca="false">IF(ISBLANK($C36),"",IF($T36=Constants!$B$2,TRUE(),IF($T36=Constants!$B$3,FALSE(),FALSE())))</f>
        <v/>
      </c>
      <c r="AX36" s="100" t="str">
        <f aca="false">IF(ISBLANK($C36),"",IF(OR($U36&amp;""="1",$U36&amp;""="2",$U36&amp;""="3",$U36&amp;""="4"),VALUE($U36&amp;""),IF($U36=Constants!$B$12,Constants!$B$12,"")))</f>
        <v/>
      </c>
      <c r="AY36" s="100" t="str">
        <f aca="false">IF(ISBLANK($C36),"",IF(ISBLANK($V36),0,IF(ISNUMBER($V36),IF(AND($V36&gt;=0,$V36&lt;=Constants!$B$21,$V36=INT($V36)),$V36,""),"")))</f>
        <v/>
      </c>
      <c r="AZ36" s="100" t="str">
        <f aca="false">IF(ISBLANK($C36),"",IF(ISBLANK($W36),0,IF(ISNUMBER($W36),IF($W36&gt;=0,$W36,""),"")))</f>
        <v/>
      </c>
      <c r="BA36" s="100" t="str">
        <f aca="false">IF(ISBLANK($C36),"",IF($X36=Constants!$B$2,TRUE(),IF($X36=Constants!$B$3,FALSE(),TRUE())))</f>
        <v/>
      </c>
      <c r="BB36" s="100" t="str">
        <f aca="false">IF(ISBLANK($C36),"",IF($Y36=Constants!$B$2,TRUE(),IF($Y36=Constants!$B$3,FALSE(),FALSE())))</f>
        <v/>
      </c>
      <c r="BC36" s="100" t="str">
        <f aca="false">IF(ISBLANK($C36),"",IF(ISBLANK($Z36),0,IF(ISNUMBER($Z36),IF(AND($Z36&gt;=0,$Z36&lt;=Constants!$B$35,$Z36=INT($Z36)),$Z36,""),"")))</f>
        <v/>
      </c>
      <c r="BD36" s="100" t="str">
        <f aca="false">IF(ISBLANK($C36),"",IF($AA36=Constants!$B$2,TRUE(),IF($AA36=Constants!$B$3,FALSE(),TRUE())))</f>
        <v/>
      </c>
      <c r="BE36" s="100" t="str">
        <f aca="false">IF(ISBLANK($C36),"",IF($AB36=Constants!$B$2,TRUE(),IF($AB36=Constants!$B$3,FALSE(),TRUE())))</f>
        <v/>
      </c>
      <c r="BF36" s="100" t="str">
        <f aca="false">IF(ISBLANK($C36),"",IF(ISNUMBER($AC36),IF($AC36&gt;=0,$AC36,""),""))</f>
        <v/>
      </c>
      <c r="BG36" s="100" t="str">
        <f aca="false">IF(ISBLANK($C36),"",IF($AD36=Constants!$B$2,TRUE(),IF($AD36=Constants!$B$3,FALSE(),FALSE())))</f>
        <v/>
      </c>
      <c r="BH36" s="99" t="str">
        <f aca="false">IF(ISBLANK($C36),"",IF($BG36,Constants!$B$7,IF(COUNTA($E36:$AC36)=0,Constants!$B$6,IF(OR(COUNTA($G36:$AC36)=0,NOT($AK36),$AQ36),Constants!$B$5,IF(OR($CI36&lt;&gt;"",$CJ36,$CK36,$CL36,$CM36,$CN36,$CO36),Constants!$B$8,Constants!$B$4)))))</f>
        <v/>
      </c>
      <c r="BI36" s="100" t="str">
        <f aca="false">IF(ISBLANK($C36),"",IF($BH36&lt;&gt;Constants!$B$4,$BH36,IF(OR(NOT($AH36),NOT($AJ36),NOT($AR36)),Constants!$B$11,IF(OR(NOT($AP36),MAX($AL36,$AM36,$AN36)&gt;Constants!$B$30),Constants!$B$10,Constants!$B$9))))</f>
        <v/>
      </c>
      <c r="BJ36" s="100" t="str">
        <f aca="false">IF($BH36&lt;&gt;Constants!$B$4,"",IF(NOT($AJ36),0,MIN(Constants!$B$35,$BC36)))</f>
        <v/>
      </c>
      <c r="BK36" s="100" t="str">
        <f aca="false">IF($BH36&lt;&gt;Constants!$B$4,"",IF(NOT($AJ36),0,IF($AT36,Constants!$B$18,IF($AS36,Constants!$B$17,0))))</f>
        <v/>
      </c>
      <c r="BL36" s="100" t="str">
        <f aca="false">IF($BH36&lt;&gt;Constants!$B$4,"",IF(NOT($AJ36),0,Constants!$B$19*($AI36+$AU36+$AV36+$AW36)))</f>
        <v/>
      </c>
      <c r="BM36" s="100" t="str">
        <f aca="false">IF($BH36&lt;&gt;Constants!$B$4,"",IF(OR(NOT($AJ36),NOT(ISNUMBER($AX36))),0,CHOOSE($AX36,Constants!$B$13,Constants!$B$14,Constants!$B$15,Constants!$B$16)))</f>
        <v/>
      </c>
      <c r="BN36" s="100" t="str">
        <f aca="false">IF($BH36&lt;&gt;Constants!$B$4,"",IF(NOT($AJ36),0,Constants!$B$20*$AY36))</f>
        <v/>
      </c>
      <c r="BO36" s="100" t="str">
        <f aca="false">IF($BH36&lt;&gt;Constants!$B$4,"",IF(AND($AJ36,$BA36,$BB36),Constants!$B$22,0))</f>
        <v/>
      </c>
      <c r="BP36" s="100" t="str">
        <f aca="false">IF($BH36&lt;&gt;Constants!$B$4,"",IF(OR(NOT($AJ36),NOT($BA36)),0,IF($BF36&gt;=2*$AF$9,0,Constants!$B$23*INT(ROUND(MIN($BF36,$AF$9),6)))))</f>
        <v/>
      </c>
      <c r="BQ36" s="100" t="str">
        <f aca="false">IF($BH36&lt;&gt;Constants!$B$4,"",IF(NOT($AJ36),0,Constants!$B$24*INT(ROUND(MIN($AZ36,$AF$9),6))))</f>
        <v/>
      </c>
      <c r="BR36" s="100" t="str">
        <f aca="false">IF($BH36&lt;&gt;Constants!$B$4,"",IF(AND($AJ36,$BJ36=0),Constants!$B$25,0))</f>
        <v/>
      </c>
      <c r="BS36" s="100" t="str">
        <f aca="false">IF($BH36&lt;&gt;Constants!$B$4,"",MIN(Constants!$B$29,MAX(0,Constants!$B$27*Constants!$B$28*INT(ROUND((Constants!$B$26-$AL36)/Constants!$B$28,6))))+MIN(Constants!$B$29,MAX(0,Constants!$B$27*Constants!$B$28*INT(ROUND((Constants!$B$26-$AM36)/Constants!$B$28,6))))+MIN(Constants!$B$29,MAX(0,Constants!$B$27*Constants!$B$28*INT(ROUND((Constants!$B$26-$AN36)/Constants!$B$28,6)))))</f>
        <v/>
      </c>
      <c r="BT36" s="100" t="str">
        <f aca="false">IF($BH36&lt;&gt;Constants!$B$4,"",IF(NOT($AJ36),0,Constants!$B$31*INT(ROUND(MAX(0,MIN($BF36,2*$AF$9)-$AF$9),6))))</f>
        <v/>
      </c>
      <c r="BU36" s="100" t="str">
        <f aca="false">IF($BH36&lt;&gt;Constants!$B$4,"",Constants!$B$32*(($AL36&gt;Constants!$B$26)+($AM36&gt;Constants!$B$26)+($AN36&gt;Constants!$B$26)))</f>
        <v/>
      </c>
      <c r="BV36" s="100" t="str">
        <f aca="false">IF($BH36&lt;&gt;Constants!$B$4,"",IF(OR(NOT($AJ36),$AO36),0,Constants!$B$33))</f>
        <v/>
      </c>
      <c r="BW36" s="100" t="str">
        <f aca="false">IF($BH36&lt;&gt;Constants!$B$4,"",Constants!$B$34*$BJ36)</f>
        <v/>
      </c>
      <c r="BX36" s="100" t="str">
        <f aca="false">IF($BH36&lt;&gt;Constants!$B$4,"",IF(OR(NOT($AJ36),$BE36),0,Constants!$B$36))</f>
        <v/>
      </c>
      <c r="BY36" s="100" t="str">
        <f aca="false">IF($BH36&lt;&gt;Constants!$B$4,"",IF(OR(NOT($AJ36),$BD36),0,Constants!$B$37))</f>
        <v/>
      </c>
      <c r="BZ36" s="100" t="str">
        <f aca="false">IF($BH36&lt;&gt;Constants!$B$4,"",SUM($BT36:$BY36))</f>
        <v/>
      </c>
      <c r="CA36" s="100" t="str">
        <f aca="false">IF(ISBLANK($C36),"",IF($BH36&lt;&gt;Constants!$B$4,$BH36,SUM($BK36:$BS36)-$BZ36))</f>
        <v/>
      </c>
      <c r="CB36" s="100" t="str">
        <f aca="false">IF(ISBLANK($C36),"",IF($BH36&lt;&gt;Constants!$B$4,$BH36,RANK($CA36,$CA$9:$CA$508)))</f>
        <v/>
      </c>
      <c r="CC36" s="100" t="str">
        <f aca="false">IF(ISBLANK($C36),"",IF($BH36&lt;&gt;Constants!$B$4,$BH36,COUNTIFS($BI$9:$BI$508,"&lt;"&amp;$BI36)+COUNTIFS($BI$9:$BI$508,$BI36,$CB$9:$CB$508,"&lt;"&amp;$CB36)+1))</f>
        <v/>
      </c>
      <c r="CD36" s="100" t="str">
        <f aca="false">IF(ISBLANK($C36),"",IF($BH36&lt;&gt;Constants!$B$4,$BH36,RANK($BZ36,$BZ$9:$BZ$508,1)))</f>
        <v/>
      </c>
      <c r="CE36" s="100" t="str">
        <f aca="false">IF($BH36&lt;&gt;Constants!$B$4,"",$AL36+$AM36+$AN36)</f>
        <v/>
      </c>
      <c r="CF36" s="100" t="str">
        <f aca="false">IF(ISBLANK($C36),"",IF($BH36&lt;&gt;Constants!$B$4,$BH36,RANK($CE36,$CE$9:$CE$508,1)))</f>
        <v/>
      </c>
      <c r="CG36" s="100" t="str">
        <f aca="false">IF(ISBLANK($C36),"",IF($BH36&lt;&gt;Constants!$B$4,$BH36,COUNTIFS($BI$9:$BI$508,"&lt;"&amp;$BI36)+COUNTIFS($BI$9:$BI$508,$BI36,$CB$9:$CB$508,"&lt;"&amp;$CB36)+COUNTIFS($BI$9:$BI$508,$BI36,$CB$9:$CB$508,$CB36,$CD$9:$CD$508,"&lt;"&amp;$CD36)+COUNTIFS($BI$9:$BI$508,$BI36,$CB$9:$CB$508,$CB36,$CD$9:$CD$508,$CD36,$CF$9:$CF$508,"&lt;"&amp;$CF36)+1))</f>
        <v/>
      </c>
      <c r="CH36" s="100" t="str">
        <f aca="false">IF(ISBLANK($C36),"",IF($BH36&lt;&gt;Constants!$B$4,$BH36,$CC36-$CG36))</f>
        <v/>
      </c>
      <c r="CI36" s="100" t="str">
        <f aca="false">IF(ISBLANK($C36),"",IF(NOT($AJ36),"",IF(ISBLANK($D$7),$CI$5,IF(NOT(ISNUMBER($D$7)),$CI$6,""))))</f>
        <v/>
      </c>
      <c r="CJ36" s="100" t="str">
        <f aca="false">IF(ISBLANK($C36),"",OR($AL36="",$AM36="",$AN36=""))</f>
        <v/>
      </c>
      <c r="CK36" s="100" t="str">
        <f aca="false">IF(ISBLANK($C36),"",AND($AJ36,$AX36=""))</f>
        <v/>
      </c>
      <c r="CL36" s="100" t="str">
        <f aca="false">IF(ISBLANK($C36),"",AND($AJ36,$AY36=""))</f>
        <v/>
      </c>
      <c r="CM36" s="100" t="str">
        <f aca="false">IF(ISBLANK($C36),"",AND($AJ36,$AZ36=""))</f>
        <v/>
      </c>
      <c r="CN36" s="100" t="str">
        <f aca="false">IF(ISBLANK($C36),"",AND($AJ36,$BC36=""))</f>
        <v/>
      </c>
      <c r="CO36" s="100" t="str">
        <f aca="false">IF(ISBLANK($C36),"",AND($AJ36,$BF36=""))</f>
        <v/>
      </c>
      <c r="CP36" s="101"/>
      <c r="CQ36" s="102"/>
      <c r="CR36" s="103" t="str">
        <f aca="false">IF(ISBLANK($C36),"",IF($BH36=Constants!$B$8,$CI36,""))</f>
        <v/>
      </c>
      <c r="CS36" s="102" t="str">
        <f aca="false">IF(ISBLANK($C36),"",IF($BH36&lt;&gt;Constants!$B$4,"",$BK36+$BL36))</f>
        <v/>
      </c>
      <c r="CT36" s="104" t="str">
        <f aca="false">IF(ISBLANK($C36),"",IF($BH36&lt;&gt;Constants!$B$4,"",$BM36+$BN36+$BO36))</f>
        <v/>
      </c>
      <c r="CU36" s="104" t="str">
        <f aca="false">IF(ISBLANK($C36),"",IF($BH36&lt;&gt;Constants!$B$4,"",$BP36))</f>
        <v/>
      </c>
      <c r="CV36" s="104" t="str">
        <f aca="false">IF(ISBLANK($C36),"",IF($BH36&lt;&gt;Constants!$B$4,"",$BQ36+$BR36))</f>
        <v/>
      </c>
      <c r="CW36" s="104" t="str">
        <f aca="false">IF(ISBLANK($C36),"",IF($BH36&lt;&gt;Constants!$B$4,"",$BS36))</f>
        <v/>
      </c>
      <c r="CX36" s="104" t="str">
        <f aca="false">IF(ISBLANK($C36),"",IF($BH36&lt;&gt;Constants!$B$4,"",-$BZ36))</f>
        <v/>
      </c>
      <c r="CY36" s="103" t="str">
        <f aca="false">IF(ISBLANK($C36),"",$CA36)</f>
        <v/>
      </c>
      <c r="CZ36" s="105" t="str">
        <f aca="false">IF(ISBLANK($C36),"",$BI36)</f>
        <v/>
      </c>
      <c r="DA36" s="104" t="str">
        <f aca="false">IF(ISBLANK($C36),"",$CH36)</f>
        <v/>
      </c>
      <c r="DB36" s="104" t="str">
        <f aca="false">IF(ISBLANK($C36),"",$CG36)</f>
        <v/>
      </c>
      <c r="DC36" s="106" t="str">
        <f aca="false">IF(ISBLANK($C36),"",IFERROR(_xlfn.SWITCH($DB36,Constants!$B$7,COUNTA($C$9:$C$508)+2,Constants!$B$6,COUNTA($C$9:$C$508)+1,Constants!$B$5,COUNTA($C$9:$C$508)),$DB36))</f>
        <v/>
      </c>
      <c r="DD36" s="7"/>
      <c r="DE36" s="107" t="n">
        <f aca="false">IF(OR(ISNUMBER($DB36),$DB36=Constants!$B$7,$DB36=Constants!$B$5,$DB36=Constants!$B$6),1,0)</f>
        <v>0</v>
      </c>
      <c r="DF36" s="107" t="n">
        <v>28</v>
      </c>
      <c r="DG36" s="107" t="str">
        <f aca="false">IF(ISBLANK($C36),"",IF(ISNUMBER($DC36),$DC36+ROW($B36)/1000,""))</f>
        <v/>
      </c>
      <c r="DH36" s="107" t="str">
        <f aca="false">IF(ISNUMBER($DG36),RANK($DG36,$DG$9:$DG$508,1),"")</f>
        <v/>
      </c>
      <c r="DI36" s="107" t="str">
        <f aca="false">IF(ISBLANK($C36),"",$B36)</f>
        <v/>
      </c>
      <c r="DJ36" s="107" t="str">
        <f aca="false">IF(ISBLANK($C36),"",$C36)</f>
        <v/>
      </c>
      <c r="DK36" s="107" t="str">
        <f aca="false">IF(ISBLANK($C36),"",$D36)</f>
        <v/>
      </c>
      <c r="DL36" s="108" t="str">
        <f aca="false">$CZ36</f>
        <v/>
      </c>
      <c r="DM36" s="109" t="str">
        <f aca="false">$CY36</f>
        <v/>
      </c>
      <c r="DN36" s="107" t="str">
        <f aca="false">IF(ISBLANK($C36),"",$DB36)</f>
        <v/>
      </c>
      <c r="DO36" s="110" t="str">
        <f aca="false">IF($DF36&gt;$DE$8,"",VLOOKUP($DF36,$DH$9:$DN$508,7,FALSE()))</f>
        <v/>
      </c>
      <c r="DP36" s="111" t="str">
        <f aca="false">IF($DF36&gt;$DE$8,"",VLOOKUP($DF36,$DH$9:$DN$508,2,FALSE()))</f>
        <v/>
      </c>
      <c r="DQ36" s="111" t="str">
        <f aca="false">IF($DF36&gt;$DE$8,"",VLOOKUP($DF36,$DH$9:$DN$508,3,FALSE()))</f>
        <v/>
      </c>
      <c r="DR36" s="111" t="str">
        <f aca="false">IF($DF36&gt;$DE$8,"",VLOOKUP($DF36,$DH$9:$DN$508,4,FALSE()))</f>
        <v/>
      </c>
      <c r="DS36" s="111" t="str">
        <f aca="false">IF($DF36&gt;$DE$8,"",VLOOKUP($DF36,$DH$9:$DN$508,5,FALSE()))</f>
        <v/>
      </c>
      <c r="DT36" s="112" t="str">
        <f aca="false">IF($DF36&gt;$DE$8,"",VLOOKUP($DF36,$DH$9:$DN$508,6,FALSE()))</f>
        <v/>
      </c>
      <c r="DU36" s="62"/>
    </row>
    <row r="37" customFormat="false" ht="15.75" hidden="false" customHeight="false" outlineLevel="0" collapsed="false">
      <c r="A37" s="7"/>
      <c r="B37" s="90"/>
      <c r="C37" s="91"/>
      <c r="D37" s="126"/>
      <c r="E37" s="114"/>
      <c r="F37" s="115"/>
      <c r="G37" s="114"/>
      <c r="H37" s="115"/>
      <c r="I37" s="131"/>
      <c r="J37" s="131"/>
      <c r="K37" s="131"/>
      <c r="L37" s="114"/>
      <c r="M37" s="114"/>
      <c r="N37" s="114"/>
      <c r="O37" s="115"/>
      <c r="P37" s="114"/>
      <c r="Q37" s="114"/>
      <c r="R37" s="114"/>
      <c r="S37" s="114"/>
      <c r="T37" s="115"/>
      <c r="U37" s="114"/>
      <c r="V37" s="132"/>
      <c r="W37" s="114"/>
      <c r="X37" s="114"/>
      <c r="Y37" s="132"/>
      <c r="Z37" s="132"/>
      <c r="AA37" s="114"/>
      <c r="AB37" s="114"/>
      <c r="AC37" s="133"/>
      <c r="AD37" s="116"/>
      <c r="AE37" s="99"/>
      <c r="AF37" s="100"/>
      <c r="AG37" s="100"/>
      <c r="AH37" s="100" t="str">
        <f aca="false">IF(ISBLANK($C37),"",IF($E37=Constants!$B$2,TRUE(),IF($E37=Constants!$B$3,FALSE(),TRUE())))</f>
        <v/>
      </c>
      <c r="AI37" s="100" t="str">
        <f aca="false">IF(ISBLANK($C37),"",IF($F37=Constants!$B$2,TRUE(),IF($F37=Constants!$B$3,FALSE(),FALSE())))</f>
        <v/>
      </c>
      <c r="AJ37" s="100" t="str">
        <f aca="false">IF(ISBLANK($C37),"",IF($G37=Constants!$B$2,TRUE(),IF($G37=Constants!$B$3,FALSE(),TRUE())))</f>
        <v/>
      </c>
      <c r="AK37" s="100" t="str">
        <f aca="false">IF(ISBLANK($C37),"",IF($H37=Constants!$B$2,TRUE(),IF($H37=Constants!$B$3,FALSE(),TRUE())))</f>
        <v/>
      </c>
      <c r="AL37" s="100" t="str">
        <f aca="false">IF(ISBLANK($C37),"",IF(ISNUMBER($I37),IF($I37&gt;=0,$I37,""),""))</f>
        <v/>
      </c>
      <c r="AM37" s="100" t="str">
        <f aca="false">IF(ISBLANK($C37),"",IF(ISNUMBER($J37),IF($J37&gt;=0,$J37,""),""))</f>
        <v/>
      </c>
      <c r="AN37" s="100" t="str">
        <f aca="false">IF(ISBLANK($C37),"",IF(ISNUMBER($K37),IF($K37&gt;=0,$K37,""),""))</f>
        <v/>
      </c>
      <c r="AO37" s="100" t="str">
        <f aca="false">IF(ISBLANK($C37),"",IF($L37=Constants!$B$2,TRUE(),IF($L37=Constants!$B$3,FALSE(),TRUE())))</f>
        <v/>
      </c>
      <c r="AP37" s="100" t="str">
        <f aca="false">IF(ISBLANK($C37),"",IF($M37=Constants!$B$2,TRUE(),IF($M37=Constants!$B$3,FALSE(),TRUE())))</f>
        <v/>
      </c>
      <c r="AQ37" s="100" t="str">
        <f aca="false">IF(ISBLANK($C37),"",IF($N37=Constants!$B$2,TRUE(),IF($N37=Constants!$B$3,FALSE(),FALSE())))</f>
        <v/>
      </c>
      <c r="AR37" s="100" t="str">
        <f aca="false">IF(ISBLANK($C37),"",IF($O37=Constants!$B$2,TRUE(),IF($O37=Constants!$B$3,FALSE(),TRUE())))</f>
        <v/>
      </c>
      <c r="AS37" s="100" t="str">
        <f aca="false">IF(ISBLANK($C37),"",IF($P37=Constants!$B$2,TRUE(),IF($P37=Constants!$B$3,FALSE(),FALSE())))</f>
        <v/>
      </c>
      <c r="AT37" s="100" t="str">
        <f aca="false">IF(ISBLANK($C37),"",IF($Q37=Constants!$B$2,TRUE(),IF($Q37=Constants!$B$3,FALSE(),FALSE())))</f>
        <v/>
      </c>
      <c r="AU37" s="100" t="str">
        <f aca="false">IF(ISBLANK($C37),"",IF($R37=Constants!$B$2,TRUE(),IF($R37=Constants!$B$3,FALSE(),FALSE())))</f>
        <v/>
      </c>
      <c r="AV37" s="100" t="str">
        <f aca="false">IF(ISBLANK($C37),"",IF($S37=Constants!$B$2,TRUE(),IF($S37=Constants!$B$3,FALSE(),FALSE())))</f>
        <v/>
      </c>
      <c r="AW37" s="100" t="str">
        <f aca="false">IF(ISBLANK($C37),"",IF($T37=Constants!$B$2,TRUE(),IF($T37=Constants!$B$3,FALSE(),FALSE())))</f>
        <v/>
      </c>
      <c r="AX37" s="100" t="str">
        <f aca="false">IF(ISBLANK($C37),"",IF(OR($U37&amp;""="1",$U37&amp;""="2",$U37&amp;""="3",$U37&amp;""="4"),VALUE($U37&amp;""),IF($U37=Constants!$B$12,Constants!$B$12,"")))</f>
        <v/>
      </c>
      <c r="AY37" s="100" t="str">
        <f aca="false">IF(ISBLANK($C37),"",IF(ISBLANK($V37),0,IF(ISNUMBER($V37),IF(AND($V37&gt;=0,$V37&lt;=Constants!$B$21,$V37=INT($V37)),$V37,""),"")))</f>
        <v/>
      </c>
      <c r="AZ37" s="100" t="str">
        <f aca="false">IF(ISBLANK($C37),"",IF(ISBLANK($W37),0,IF(ISNUMBER($W37),IF($W37&gt;=0,$W37,""),"")))</f>
        <v/>
      </c>
      <c r="BA37" s="100" t="str">
        <f aca="false">IF(ISBLANK($C37),"",IF($X37=Constants!$B$2,TRUE(),IF($X37=Constants!$B$3,FALSE(),TRUE())))</f>
        <v/>
      </c>
      <c r="BB37" s="100" t="str">
        <f aca="false">IF(ISBLANK($C37),"",IF($Y37=Constants!$B$2,TRUE(),IF($Y37=Constants!$B$3,FALSE(),FALSE())))</f>
        <v/>
      </c>
      <c r="BC37" s="100" t="str">
        <f aca="false">IF(ISBLANK($C37),"",IF(ISBLANK($Z37),0,IF(ISNUMBER($Z37),IF(AND($Z37&gt;=0,$Z37&lt;=Constants!$B$35,$Z37=INT($Z37)),$Z37,""),"")))</f>
        <v/>
      </c>
      <c r="BD37" s="100" t="str">
        <f aca="false">IF(ISBLANK($C37),"",IF($AA37=Constants!$B$2,TRUE(),IF($AA37=Constants!$B$3,FALSE(),TRUE())))</f>
        <v/>
      </c>
      <c r="BE37" s="100" t="str">
        <f aca="false">IF(ISBLANK($C37),"",IF($AB37=Constants!$B$2,TRUE(),IF($AB37=Constants!$B$3,FALSE(),TRUE())))</f>
        <v/>
      </c>
      <c r="BF37" s="100" t="str">
        <f aca="false">IF(ISBLANK($C37),"",IF(ISNUMBER($AC37),IF($AC37&gt;=0,$AC37,""),""))</f>
        <v/>
      </c>
      <c r="BG37" s="100" t="str">
        <f aca="false">IF(ISBLANK($C37),"",IF($AD37=Constants!$B$2,TRUE(),IF($AD37=Constants!$B$3,FALSE(),FALSE())))</f>
        <v/>
      </c>
      <c r="BH37" s="99" t="str">
        <f aca="false">IF(ISBLANK($C37),"",IF($BG37,Constants!$B$7,IF(COUNTA($E37:$AC37)=0,Constants!$B$6,IF(OR(COUNTA($G37:$AC37)=0,NOT($AK37),$AQ37),Constants!$B$5,IF(OR($CI37&lt;&gt;"",$CJ37,$CK37,$CL37,$CM37,$CN37,$CO37),Constants!$B$8,Constants!$B$4)))))</f>
        <v/>
      </c>
      <c r="BI37" s="100" t="str">
        <f aca="false">IF(ISBLANK($C37),"",IF($BH37&lt;&gt;Constants!$B$4,$BH37,IF(OR(NOT($AH37),NOT($AJ37),NOT($AR37)),Constants!$B$11,IF(OR(NOT($AP37),MAX($AL37,$AM37,$AN37)&gt;Constants!$B$30),Constants!$B$10,Constants!$B$9))))</f>
        <v/>
      </c>
      <c r="BJ37" s="100" t="str">
        <f aca="false">IF($BH37&lt;&gt;Constants!$B$4,"",IF(NOT($AJ37),0,MIN(Constants!$B$35,$BC37)))</f>
        <v/>
      </c>
      <c r="BK37" s="100" t="str">
        <f aca="false">IF($BH37&lt;&gt;Constants!$B$4,"",IF(NOT($AJ37),0,IF($AT37,Constants!$B$18,IF($AS37,Constants!$B$17,0))))</f>
        <v/>
      </c>
      <c r="BL37" s="100" t="str">
        <f aca="false">IF($BH37&lt;&gt;Constants!$B$4,"",IF(NOT($AJ37),0,Constants!$B$19*($AI37+$AU37+$AV37+$AW37)))</f>
        <v/>
      </c>
      <c r="BM37" s="100" t="str">
        <f aca="false">IF($BH37&lt;&gt;Constants!$B$4,"",IF(OR(NOT($AJ37),NOT(ISNUMBER($AX37))),0,CHOOSE($AX37,Constants!$B$13,Constants!$B$14,Constants!$B$15,Constants!$B$16)))</f>
        <v/>
      </c>
      <c r="BN37" s="100" t="str">
        <f aca="false">IF($BH37&lt;&gt;Constants!$B$4,"",IF(NOT($AJ37),0,Constants!$B$20*$AY37))</f>
        <v/>
      </c>
      <c r="BO37" s="100" t="str">
        <f aca="false">IF($BH37&lt;&gt;Constants!$B$4,"",IF(AND($AJ37,$BA37,$BB37),Constants!$B$22,0))</f>
        <v/>
      </c>
      <c r="BP37" s="100" t="str">
        <f aca="false">IF($BH37&lt;&gt;Constants!$B$4,"",IF(OR(NOT($AJ37),NOT($BA37)),0,IF($BF37&gt;=2*$AF$9,0,Constants!$B$23*INT(ROUND(MIN($BF37,$AF$9),6)))))</f>
        <v/>
      </c>
      <c r="BQ37" s="100" t="str">
        <f aca="false">IF($BH37&lt;&gt;Constants!$B$4,"",IF(NOT($AJ37),0,Constants!$B$24*INT(ROUND(MIN($AZ37,$AF$9),6))))</f>
        <v/>
      </c>
      <c r="BR37" s="100" t="str">
        <f aca="false">IF($BH37&lt;&gt;Constants!$B$4,"",IF(AND($AJ37,$BJ37=0),Constants!$B$25,0))</f>
        <v/>
      </c>
      <c r="BS37" s="100" t="str">
        <f aca="false">IF($BH37&lt;&gt;Constants!$B$4,"",MIN(Constants!$B$29,MAX(0,Constants!$B$27*Constants!$B$28*INT(ROUND((Constants!$B$26-$AL37)/Constants!$B$28,6))))+MIN(Constants!$B$29,MAX(0,Constants!$B$27*Constants!$B$28*INT(ROUND((Constants!$B$26-$AM37)/Constants!$B$28,6))))+MIN(Constants!$B$29,MAX(0,Constants!$B$27*Constants!$B$28*INT(ROUND((Constants!$B$26-$AN37)/Constants!$B$28,6)))))</f>
        <v/>
      </c>
      <c r="BT37" s="100" t="str">
        <f aca="false">IF($BH37&lt;&gt;Constants!$B$4,"",IF(NOT($AJ37),0,Constants!$B$31*INT(ROUND(MAX(0,MIN($BF37,2*$AF$9)-$AF$9),6))))</f>
        <v/>
      </c>
      <c r="BU37" s="100" t="str">
        <f aca="false">IF($BH37&lt;&gt;Constants!$B$4,"",Constants!$B$32*(($AL37&gt;Constants!$B$26)+($AM37&gt;Constants!$B$26)+($AN37&gt;Constants!$B$26)))</f>
        <v/>
      </c>
      <c r="BV37" s="100" t="str">
        <f aca="false">IF($BH37&lt;&gt;Constants!$B$4,"",IF(OR(NOT($AJ37),$AO37),0,Constants!$B$33))</f>
        <v/>
      </c>
      <c r="BW37" s="100" t="str">
        <f aca="false">IF($BH37&lt;&gt;Constants!$B$4,"",Constants!$B$34*$BJ37)</f>
        <v/>
      </c>
      <c r="BX37" s="100" t="str">
        <f aca="false">IF($BH37&lt;&gt;Constants!$B$4,"",IF(OR(NOT($AJ37),$BE37),0,Constants!$B$36))</f>
        <v/>
      </c>
      <c r="BY37" s="100" t="str">
        <f aca="false">IF($BH37&lt;&gt;Constants!$B$4,"",IF(OR(NOT($AJ37),$BD37),0,Constants!$B$37))</f>
        <v/>
      </c>
      <c r="BZ37" s="100" t="str">
        <f aca="false">IF($BH37&lt;&gt;Constants!$B$4,"",SUM($BT37:$BY37))</f>
        <v/>
      </c>
      <c r="CA37" s="100" t="str">
        <f aca="false">IF(ISBLANK($C37),"",IF($BH37&lt;&gt;Constants!$B$4,$BH37,SUM($BK37:$BS37)-$BZ37))</f>
        <v/>
      </c>
      <c r="CB37" s="100" t="str">
        <f aca="false">IF(ISBLANK($C37),"",IF($BH37&lt;&gt;Constants!$B$4,$BH37,RANK($CA37,$CA$9:$CA$508)))</f>
        <v/>
      </c>
      <c r="CC37" s="100" t="str">
        <f aca="false">IF(ISBLANK($C37),"",IF($BH37&lt;&gt;Constants!$B$4,$BH37,COUNTIFS($BI$9:$BI$508,"&lt;"&amp;$BI37)+COUNTIFS($BI$9:$BI$508,$BI37,$CB$9:$CB$508,"&lt;"&amp;$CB37)+1))</f>
        <v/>
      </c>
      <c r="CD37" s="100" t="str">
        <f aca="false">IF(ISBLANK($C37),"",IF($BH37&lt;&gt;Constants!$B$4,$BH37,RANK($BZ37,$BZ$9:$BZ$508,1)))</f>
        <v/>
      </c>
      <c r="CE37" s="100" t="str">
        <f aca="false">IF($BH37&lt;&gt;Constants!$B$4,"",$AL37+$AM37+$AN37)</f>
        <v/>
      </c>
      <c r="CF37" s="100" t="str">
        <f aca="false">IF(ISBLANK($C37),"",IF($BH37&lt;&gt;Constants!$B$4,$BH37,RANK($CE37,$CE$9:$CE$508,1)))</f>
        <v/>
      </c>
      <c r="CG37" s="100" t="str">
        <f aca="false">IF(ISBLANK($C37),"",IF($BH37&lt;&gt;Constants!$B$4,$BH37,COUNTIFS($BI$9:$BI$508,"&lt;"&amp;$BI37)+COUNTIFS($BI$9:$BI$508,$BI37,$CB$9:$CB$508,"&lt;"&amp;$CB37)+COUNTIFS($BI$9:$BI$508,$BI37,$CB$9:$CB$508,$CB37,$CD$9:$CD$508,"&lt;"&amp;$CD37)+COUNTIFS($BI$9:$BI$508,$BI37,$CB$9:$CB$508,$CB37,$CD$9:$CD$508,$CD37,$CF$9:$CF$508,"&lt;"&amp;$CF37)+1))</f>
        <v/>
      </c>
      <c r="CH37" s="100" t="str">
        <f aca="false">IF(ISBLANK($C37),"",IF($BH37&lt;&gt;Constants!$B$4,$BH37,$CC37-$CG37))</f>
        <v/>
      </c>
      <c r="CI37" s="100" t="str">
        <f aca="false">IF(ISBLANK($C37),"",IF(NOT($AJ37),"",IF(ISBLANK($D$7),$CI$5,IF(NOT(ISNUMBER($D$7)),$CI$6,""))))</f>
        <v/>
      </c>
      <c r="CJ37" s="100" t="str">
        <f aca="false">IF(ISBLANK($C37),"",OR($AL37="",$AM37="",$AN37=""))</f>
        <v/>
      </c>
      <c r="CK37" s="100" t="str">
        <f aca="false">IF(ISBLANK($C37),"",AND($AJ37,$AX37=""))</f>
        <v/>
      </c>
      <c r="CL37" s="100" t="str">
        <f aca="false">IF(ISBLANK($C37),"",AND($AJ37,$AY37=""))</f>
        <v/>
      </c>
      <c r="CM37" s="100" t="str">
        <f aca="false">IF(ISBLANK($C37),"",AND($AJ37,$AZ37=""))</f>
        <v/>
      </c>
      <c r="CN37" s="100" t="str">
        <f aca="false">IF(ISBLANK($C37),"",AND($AJ37,$BC37=""))</f>
        <v/>
      </c>
      <c r="CO37" s="100" t="str">
        <f aca="false">IF(ISBLANK($C37),"",AND($AJ37,$BF37=""))</f>
        <v/>
      </c>
      <c r="CP37" s="101"/>
      <c r="CQ37" s="102"/>
      <c r="CR37" s="103" t="str">
        <f aca="false">IF(ISBLANK($C37),"",IF($BH37=Constants!$B$8,$CI37,""))</f>
        <v/>
      </c>
      <c r="CS37" s="102" t="str">
        <f aca="false">IF(ISBLANK($C37),"",IF($BH37&lt;&gt;Constants!$B$4,"",$BK37+$BL37))</f>
        <v/>
      </c>
      <c r="CT37" s="104" t="str">
        <f aca="false">IF(ISBLANK($C37),"",IF($BH37&lt;&gt;Constants!$B$4,"",$BM37+$BN37+$BO37))</f>
        <v/>
      </c>
      <c r="CU37" s="104" t="str">
        <f aca="false">IF(ISBLANK($C37),"",IF($BH37&lt;&gt;Constants!$B$4,"",$BP37))</f>
        <v/>
      </c>
      <c r="CV37" s="104" t="str">
        <f aca="false">IF(ISBLANK($C37),"",IF($BH37&lt;&gt;Constants!$B$4,"",$BQ37+$BR37))</f>
        <v/>
      </c>
      <c r="CW37" s="104" t="str">
        <f aca="false">IF(ISBLANK($C37),"",IF($BH37&lt;&gt;Constants!$B$4,"",$BS37))</f>
        <v/>
      </c>
      <c r="CX37" s="104" t="str">
        <f aca="false">IF(ISBLANK($C37),"",IF($BH37&lt;&gt;Constants!$B$4,"",-$BZ37))</f>
        <v/>
      </c>
      <c r="CY37" s="103" t="str">
        <f aca="false">IF(ISBLANK($C37),"",$CA37)</f>
        <v/>
      </c>
      <c r="CZ37" s="105" t="str">
        <f aca="false">IF(ISBLANK($C37),"",$BI37)</f>
        <v/>
      </c>
      <c r="DA37" s="104" t="str">
        <f aca="false">IF(ISBLANK($C37),"",$CH37)</f>
        <v/>
      </c>
      <c r="DB37" s="104" t="str">
        <f aca="false">IF(ISBLANK($C37),"",$CG37)</f>
        <v/>
      </c>
      <c r="DC37" s="106" t="str">
        <f aca="false">IF(ISBLANK($C37),"",IFERROR(_xlfn.SWITCH($DB37,Constants!$B$7,COUNTA($C$9:$C$508)+2,Constants!$B$6,COUNTA($C$9:$C$508)+1,Constants!$B$5,COUNTA($C$9:$C$508)),$DB37))</f>
        <v/>
      </c>
      <c r="DD37" s="7"/>
      <c r="DE37" s="107" t="n">
        <f aca="false">IF(OR(ISNUMBER($DB37),$DB37=Constants!$B$7,$DB37=Constants!$B$5,$DB37=Constants!$B$6),1,0)</f>
        <v>0</v>
      </c>
      <c r="DF37" s="107" t="n">
        <v>29</v>
      </c>
      <c r="DG37" s="107" t="str">
        <f aca="false">IF(ISBLANK($C37),"",IF(ISNUMBER($DC37),$DC37+ROW($B37)/1000,""))</f>
        <v/>
      </c>
      <c r="DH37" s="107" t="str">
        <f aca="false">IF(ISNUMBER($DG37),RANK($DG37,$DG$9:$DG$508,1),"")</f>
        <v/>
      </c>
      <c r="DI37" s="107" t="str">
        <f aca="false">IF(ISBLANK($C37),"",$B37)</f>
        <v/>
      </c>
      <c r="DJ37" s="107" t="str">
        <f aca="false">IF(ISBLANK($C37),"",$C37)</f>
        <v/>
      </c>
      <c r="DK37" s="107" t="str">
        <f aca="false">IF(ISBLANK($C37),"",$D37)</f>
        <v/>
      </c>
      <c r="DL37" s="108" t="str">
        <f aca="false">$CZ37</f>
        <v/>
      </c>
      <c r="DM37" s="109" t="str">
        <f aca="false">$CY37</f>
        <v/>
      </c>
      <c r="DN37" s="107" t="str">
        <f aca="false">IF(ISBLANK($C37),"",$DB37)</f>
        <v/>
      </c>
      <c r="DO37" s="110" t="str">
        <f aca="false">IF($DF37&gt;$DE$8,"",VLOOKUP($DF37,$DH$9:$DN$508,7,FALSE()))</f>
        <v/>
      </c>
      <c r="DP37" s="111" t="str">
        <f aca="false">IF($DF37&gt;$DE$8,"",VLOOKUP($DF37,$DH$9:$DN$508,2,FALSE()))</f>
        <v/>
      </c>
      <c r="DQ37" s="111" t="str">
        <f aca="false">IF($DF37&gt;$DE$8,"",VLOOKUP($DF37,$DH$9:$DN$508,3,FALSE()))</f>
        <v/>
      </c>
      <c r="DR37" s="111" t="str">
        <f aca="false">IF($DF37&gt;$DE$8,"",VLOOKUP($DF37,$DH$9:$DN$508,4,FALSE()))</f>
        <v/>
      </c>
      <c r="DS37" s="111" t="str">
        <f aca="false">IF($DF37&gt;$DE$8,"",VLOOKUP($DF37,$DH$9:$DN$508,5,FALSE()))</f>
        <v/>
      </c>
      <c r="DT37" s="112" t="str">
        <f aca="false">IF($DF37&gt;$DE$8,"",VLOOKUP($DF37,$DH$9:$DN$508,6,FALSE()))</f>
        <v/>
      </c>
      <c r="DU37" s="62"/>
    </row>
    <row r="38" customFormat="false" ht="15.75" hidden="false" customHeight="false" outlineLevel="0" collapsed="false">
      <c r="A38" s="7"/>
      <c r="B38" s="90"/>
      <c r="C38" s="91"/>
      <c r="D38" s="113"/>
      <c r="E38" s="127"/>
      <c r="F38" s="128"/>
      <c r="G38" s="127"/>
      <c r="H38" s="128"/>
      <c r="I38" s="95"/>
      <c r="J38" s="95"/>
      <c r="K38" s="95"/>
      <c r="L38" s="127"/>
      <c r="M38" s="127"/>
      <c r="N38" s="127"/>
      <c r="O38" s="128"/>
      <c r="P38" s="127"/>
      <c r="Q38" s="127"/>
      <c r="R38" s="127"/>
      <c r="S38" s="127"/>
      <c r="T38" s="128"/>
      <c r="U38" s="127"/>
      <c r="V38" s="96"/>
      <c r="W38" s="127"/>
      <c r="X38" s="127"/>
      <c r="Y38" s="96"/>
      <c r="Z38" s="96"/>
      <c r="AA38" s="127"/>
      <c r="AB38" s="127"/>
      <c r="AC38" s="97"/>
      <c r="AD38" s="130"/>
      <c r="AE38" s="99"/>
      <c r="AF38" s="100"/>
      <c r="AG38" s="100"/>
      <c r="AH38" s="100" t="str">
        <f aca="false">IF(ISBLANK($C38),"",IF($E38=Constants!$B$2,TRUE(),IF($E38=Constants!$B$3,FALSE(),TRUE())))</f>
        <v/>
      </c>
      <c r="AI38" s="100" t="str">
        <f aca="false">IF(ISBLANK($C38),"",IF($F38=Constants!$B$2,TRUE(),IF($F38=Constants!$B$3,FALSE(),FALSE())))</f>
        <v/>
      </c>
      <c r="AJ38" s="100" t="str">
        <f aca="false">IF(ISBLANK($C38),"",IF($G38=Constants!$B$2,TRUE(),IF($G38=Constants!$B$3,FALSE(),TRUE())))</f>
        <v/>
      </c>
      <c r="AK38" s="100" t="str">
        <f aca="false">IF(ISBLANK($C38),"",IF($H38=Constants!$B$2,TRUE(),IF($H38=Constants!$B$3,FALSE(),TRUE())))</f>
        <v/>
      </c>
      <c r="AL38" s="100" t="str">
        <f aca="false">IF(ISBLANK($C38),"",IF(ISNUMBER($I38),IF($I38&gt;=0,$I38,""),""))</f>
        <v/>
      </c>
      <c r="AM38" s="100" t="str">
        <f aca="false">IF(ISBLANK($C38),"",IF(ISNUMBER($J38),IF($J38&gt;=0,$J38,""),""))</f>
        <v/>
      </c>
      <c r="AN38" s="100" t="str">
        <f aca="false">IF(ISBLANK($C38),"",IF(ISNUMBER($K38),IF($K38&gt;=0,$K38,""),""))</f>
        <v/>
      </c>
      <c r="AO38" s="100" t="str">
        <f aca="false">IF(ISBLANK($C38),"",IF($L38=Constants!$B$2,TRUE(),IF($L38=Constants!$B$3,FALSE(),TRUE())))</f>
        <v/>
      </c>
      <c r="AP38" s="100" t="str">
        <f aca="false">IF(ISBLANK($C38),"",IF($M38=Constants!$B$2,TRUE(),IF($M38=Constants!$B$3,FALSE(),TRUE())))</f>
        <v/>
      </c>
      <c r="AQ38" s="100" t="str">
        <f aca="false">IF(ISBLANK($C38),"",IF($N38=Constants!$B$2,TRUE(),IF($N38=Constants!$B$3,FALSE(),FALSE())))</f>
        <v/>
      </c>
      <c r="AR38" s="100" t="str">
        <f aca="false">IF(ISBLANK($C38),"",IF($O38=Constants!$B$2,TRUE(),IF($O38=Constants!$B$3,FALSE(),TRUE())))</f>
        <v/>
      </c>
      <c r="AS38" s="100" t="str">
        <f aca="false">IF(ISBLANK($C38),"",IF($P38=Constants!$B$2,TRUE(),IF($P38=Constants!$B$3,FALSE(),FALSE())))</f>
        <v/>
      </c>
      <c r="AT38" s="100" t="str">
        <f aca="false">IF(ISBLANK($C38),"",IF($Q38=Constants!$B$2,TRUE(),IF($Q38=Constants!$B$3,FALSE(),FALSE())))</f>
        <v/>
      </c>
      <c r="AU38" s="100" t="str">
        <f aca="false">IF(ISBLANK($C38),"",IF($R38=Constants!$B$2,TRUE(),IF($R38=Constants!$B$3,FALSE(),FALSE())))</f>
        <v/>
      </c>
      <c r="AV38" s="100" t="str">
        <f aca="false">IF(ISBLANK($C38),"",IF($S38=Constants!$B$2,TRUE(),IF($S38=Constants!$B$3,FALSE(),FALSE())))</f>
        <v/>
      </c>
      <c r="AW38" s="100" t="str">
        <f aca="false">IF(ISBLANK($C38),"",IF($T38=Constants!$B$2,TRUE(),IF($T38=Constants!$B$3,FALSE(),FALSE())))</f>
        <v/>
      </c>
      <c r="AX38" s="100" t="str">
        <f aca="false">IF(ISBLANK($C38),"",IF(OR($U38&amp;""="1",$U38&amp;""="2",$U38&amp;""="3",$U38&amp;""="4"),VALUE($U38&amp;""),IF($U38=Constants!$B$12,Constants!$B$12,"")))</f>
        <v/>
      </c>
      <c r="AY38" s="100" t="str">
        <f aca="false">IF(ISBLANK($C38),"",IF(ISBLANK($V38),0,IF(ISNUMBER($V38),IF(AND($V38&gt;=0,$V38&lt;=Constants!$B$21,$V38=INT($V38)),$V38,""),"")))</f>
        <v/>
      </c>
      <c r="AZ38" s="100" t="str">
        <f aca="false">IF(ISBLANK($C38),"",IF(ISBLANK($W38),0,IF(ISNUMBER($W38),IF($W38&gt;=0,$W38,""),"")))</f>
        <v/>
      </c>
      <c r="BA38" s="100" t="str">
        <f aca="false">IF(ISBLANK($C38),"",IF($X38=Constants!$B$2,TRUE(),IF($X38=Constants!$B$3,FALSE(),TRUE())))</f>
        <v/>
      </c>
      <c r="BB38" s="100" t="str">
        <f aca="false">IF(ISBLANK($C38),"",IF($Y38=Constants!$B$2,TRUE(),IF($Y38=Constants!$B$3,FALSE(),FALSE())))</f>
        <v/>
      </c>
      <c r="BC38" s="100" t="str">
        <f aca="false">IF(ISBLANK($C38),"",IF(ISBLANK($Z38),0,IF(ISNUMBER($Z38),IF(AND($Z38&gt;=0,$Z38&lt;=Constants!$B$35,$Z38=INT($Z38)),$Z38,""),"")))</f>
        <v/>
      </c>
      <c r="BD38" s="100" t="str">
        <f aca="false">IF(ISBLANK($C38),"",IF($AA38=Constants!$B$2,TRUE(),IF($AA38=Constants!$B$3,FALSE(),TRUE())))</f>
        <v/>
      </c>
      <c r="BE38" s="100" t="str">
        <f aca="false">IF(ISBLANK($C38),"",IF($AB38=Constants!$B$2,TRUE(),IF($AB38=Constants!$B$3,FALSE(),TRUE())))</f>
        <v/>
      </c>
      <c r="BF38" s="100" t="str">
        <f aca="false">IF(ISBLANK($C38),"",IF(ISNUMBER($AC38),IF($AC38&gt;=0,$AC38,""),""))</f>
        <v/>
      </c>
      <c r="BG38" s="100" t="str">
        <f aca="false">IF(ISBLANK($C38),"",IF($AD38=Constants!$B$2,TRUE(),IF($AD38=Constants!$B$3,FALSE(),FALSE())))</f>
        <v/>
      </c>
      <c r="BH38" s="99" t="str">
        <f aca="false">IF(ISBLANK($C38),"",IF($BG38,Constants!$B$7,IF(COUNTA($E38:$AC38)=0,Constants!$B$6,IF(OR(COUNTA($G38:$AC38)=0,NOT($AK38),$AQ38),Constants!$B$5,IF(OR($CI38&lt;&gt;"",$CJ38,$CK38,$CL38,$CM38,$CN38,$CO38),Constants!$B$8,Constants!$B$4)))))</f>
        <v/>
      </c>
      <c r="BI38" s="100" t="str">
        <f aca="false">IF(ISBLANK($C38),"",IF($BH38&lt;&gt;Constants!$B$4,$BH38,IF(OR(NOT($AH38),NOT($AJ38),NOT($AR38)),Constants!$B$11,IF(OR(NOT($AP38),MAX($AL38,$AM38,$AN38)&gt;Constants!$B$30),Constants!$B$10,Constants!$B$9))))</f>
        <v/>
      </c>
      <c r="BJ38" s="100" t="str">
        <f aca="false">IF($BH38&lt;&gt;Constants!$B$4,"",IF(NOT($AJ38),0,MIN(Constants!$B$35,$BC38)))</f>
        <v/>
      </c>
      <c r="BK38" s="100" t="str">
        <f aca="false">IF($BH38&lt;&gt;Constants!$B$4,"",IF(NOT($AJ38),0,IF($AT38,Constants!$B$18,IF($AS38,Constants!$B$17,0))))</f>
        <v/>
      </c>
      <c r="BL38" s="100" t="str">
        <f aca="false">IF($BH38&lt;&gt;Constants!$B$4,"",IF(NOT($AJ38),0,Constants!$B$19*($AI38+$AU38+$AV38+$AW38)))</f>
        <v/>
      </c>
      <c r="BM38" s="100" t="str">
        <f aca="false">IF($BH38&lt;&gt;Constants!$B$4,"",IF(OR(NOT($AJ38),NOT(ISNUMBER($AX38))),0,CHOOSE($AX38,Constants!$B$13,Constants!$B$14,Constants!$B$15,Constants!$B$16)))</f>
        <v/>
      </c>
      <c r="BN38" s="100" t="str">
        <f aca="false">IF($BH38&lt;&gt;Constants!$B$4,"",IF(NOT($AJ38),0,Constants!$B$20*$AY38))</f>
        <v/>
      </c>
      <c r="BO38" s="100" t="str">
        <f aca="false">IF($BH38&lt;&gt;Constants!$B$4,"",IF(AND($AJ38,$BA38,$BB38),Constants!$B$22,0))</f>
        <v/>
      </c>
      <c r="BP38" s="100" t="str">
        <f aca="false">IF($BH38&lt;&gt;Constants!$B$4,"",IF(OR(NOT($AJ38),NOT($BA38)),0,IF($BF38&gt;=2*$AF$9,0,Constants!$B$23*INT(ROUND(MIN($BF38,$AF$9),6)))))</f>
        <v/>
      </c>
      <c r="BQ38" s="100" t="str">
        <f aca="false">IF($BH38&lt;&gt;Constants!$B$4,"",IF(NOT($AJ38),0,Constants!$B$24*INT(ROUND(MIN($AZ38,$AF$9),6))))</f>
        <v/>
      </c>
      <c r="BR38" s="100" t="str">
        <f aca="false">IF($BH38&lt;&gt;Constants!$B$4,"",IF(AND($AJ38,$BJ38=0),Constants!$B$25,0))</f>
        <v/>
      </c>
      <c r="BS38" s="100" t="str">
        <f aca="false">IF($BH38&lt;&gt;Constants!$B$4,"",MIN(Constants!$B$29,MAX(0,Constants!$B$27*Constants!$B$28*INT(ROUND((Constants!$B$26-$AL38)/Constants!$B$28,6))))+MIN(Constants!$B$29,MAX(0,Constants!$B$27*Constants!$B$28*INT(ROUND((Constants!$B$26-$AM38)/Constants!$B$28,6))))+MIN(Constants!$B$29,MAX(0,Constants!$B$27*Constants!$B$28*INT(ROUND((Constants!$B$26-$AN38)/Constants!$B$28,6)))))</f>
        <v/>
      </c>
      <c r="BT38" s="100" t="str">
        <f aca="false">IF($BH38&lt;&gt;Constants!$B$4,"",IF(NOT($AJ38),0,Constants!$B$31*INT(ROUND(MAX(0,MIN($BF38,2*$AF$9)-$AF$9),6))))</f>
        <v/>
      </c>
      <c r="BU38" s="100" t="str">
        <f aca="false">IF($BH38&lt;&gt;Constants!$B$4,"",Constants!$B$32*(($AL38&gt;Constants!$B$26)+($AM38&gt;Constants!$B$26)+($AN38&gt;Constants!$B$26)))</f>
        <v/>
      </c>
      <c r="BV38" s="100" t="str">
        <f aca="false">IF($BH38&lt;&gt;Constants!$B$4,"",IF(OR(NOT($AJ38),$AO38),0,Constants!$B$33))</f>
        <v/>
      </c>
      <c r="BW38" s="100" t="str">
        <f aca="false">IF($BH38&lt;&gt;Constants!$B$4,"",Constants!$B$34*$BJ38)</f>
        <v/>
      </c>
      <c r="BX38" s="100" t="str">
        <f aca="false">IF($BH38&lt;&gt;Constants!$B$4,"",IF(OR(NOT($AJ38),$BE38),0,Constants!$B$36))</f>
        <v/>
      </c>
      <c r="BY38" s="100" t="str">
        <f aca="false">IF($BH38&lt;&gt;Constants!$B$4,"",IF(OR(NOT($AJ38),$BD38),0,Constants!$B$37))</f>
        <v/>
      </c>
      <c r="BZ38" s="100" t="str">
        <f aca="false">IF($BH38&lt;&gt;Constants!$B$4,"",SUM($BT38:$BY38))</f>
        <v/>
      </c>
      <c r="CA38" s="100" t="str">
        <f aca="false">IF(ISBLANK($C38),"",IF($BH38&lt;&gt;Constants!$B$4,$BH38,SUM($BK38:$BS38)-$BZ38))</f>
        <v/>
      </c>
      <c r="CB38" s="100" t="str">
        <f aca="false">IF(ISBLANK($C38),"",IF($BH38&lt;&gt;Constants!$B$4,$BH38,RANK($CA38,$CA$9:$CA$508)))</f>
        <v/>
      </c>
      <c r="CC38" s="100" t="str">
        <f aca="false">IF(ISBLANK($C38),"",IF($BH38&lt;&gt;Constants!$B$4,$BH38,COUNTIFS($BI$9:$BI$508,"&lt;"&amp;$BI38)+COUNTIFS($BI$9:$BI$508,$BI38,$CB$9:$CB$508,"&lt;"&amp;$CB38)+1))</f>
        <v/>
      </c>
      <c r="CD38" s="100" t="str">
        <f aca="false">IF(ISBLANK($C38),"",IF($BH38&lt;&gt;Constants!$B$4,$BH38,RANK($BZ38,$BZ$9:$BZ$508,1)))</f>
        <v/>
      </c>
      <c r="CE38" s="100" t="str">
        <f aca="false">IF($BH38&lt;&gt;Constants!$B$4,"",$AL38+$AM38+$AN38)</f>
        <v/>
      </c>
      <c r="CF38" s="100" t="str">
        <f aca="false">IF(ISBLANK($C38),"",IF($BH38&lt;&gt;Constants!$B$4,$BH38,RANK($CE38,$CE$9:$CE$508,1)))</f>
        <v/>
      </c>
      <c r="CG38" s="100" t="str">
        <f aca="false">IF(ISBLANK($C38),"",IF($BH38&lt;&gt;Constants!$B$4,$BH38,COUNTIFS($BI$9:$BI$508,"&lt;"&amp;$BI38)+COUNTIFS($BI$9:$BI$508,$BI38,$CB$9:$CB$508,"&lt;"&amp;$CB38)+COUNTIFS($BI$9:$BI$508,$BI38,$CB$9:$CB$508,$CB38,$CD$9:$CD$508,"&lt;"&amp;$CD38)+COUNTIFS($BI$9:$BI$508,$BI38,$CB$9:$CB$508,$CB38,$CD$9:$CD$508,$CD38,$CF$9:$CF$508,"&lt;"&amp;$CF38)+1))</f>
        <v/>
      </c>
      <c r="CH38" s="100" t="str">
        <f aca="false">IF(ISBLANK($C38),"",IF($BH38&lt;&gt;Constants!$B$4,$BH38,$CC38-$CG38))</f>
        <v/>
      </c>
      <c r="CI38" s="100" t="str">
        <f aca="false">IF(ISBLANK($C38),"",IF(NOT($AJ38),"",IF(ISBLANK($D$7),$CI$5,IF(NOT(ISNUMBER($D$7)),$CI$6,""))))</f>
        <v/>
      </c>
      <c r="CJ38" s="100" t="str">
        <f aca="false">IF(ISBLANK($C38),"",OR($AL38="",$AM38="",$AN38=""))</f>
        <v/>
      </c>
      <c r="CK38" s="100" t="str">
        <f aca="false">IF(ISBLANK($C38),"",AND($AJ38,$AX38=""))</f>
        <v/>
      </c>
      <c r="CL38" s="100" t="str">
        <f aca="false">IF(ISBLANK($C38),"",AND($AJ38,$AY38=""))</f>
        <v/>
      </c>
      <c r="CM38" s="100" t="str">
        <f aca="false">IF(ISBLANK($C38),"",AND($AJ38,$AZ38=""))</f>
        <v/>
      </c>
      <c r="CN38" s="100" t="str">
        <f aca="false">IF(ISBLANK($C38),"",AND($AJ38,$BC38=""))</f>
        <v/>
      </c>
      <c r="CO38" s="100" t="str">
        <f aca="false">IF(ISBLANK($C38),"",AND($AJ38,$BF38=""))</f>
        <v/>
      </c>
      <c r="CP38" s="101"/>
      <c r="CQ38" s="102"/>
      <c r="CR38" s="103" t="str">
        <f aca="false">IF(ISBLANK($C38),"",IF($BH38=Constants!$B$8,$CI38,""))</f>
        <v/>
      </c>
      <c r="CS38" s="102" t="str">
        <f aca="false">IF(ISBLANK($C38),"",IF($BH38&lt;&gt;Constants!$B$4,"",$BK38+$BL38))</f>
        <v/>
      </c>
      <c r="CT38" s="104" t="str">
        <f aca="false">IF(ISBLANK($C38),"",IF($BH38&lt;&gt;Constants!$B$4,"",$BM38+$BN38+$BO38))</f>
        <v/>
      </c>
      <c r="CU38" s="104" t="str">
        <f aca="false">IF(ISBLANK($C38),"",IF($BH38&lt;&gt;Constants!$B$4,"",$BP38))</f>
        <v/>
      </c>
      <c r="CV38" s="104" t="str">
        <f aca="false">IF(ISBLANK($C38),"",IF($BH38&lt;&gt;Constants!$B$4,"",$BQ38+$BR38))</f>
        <v/>
      </c>
      <c r="CW38" s="104" t="str">
        <f aca="false">IF(ISBLANK($C38),"",IF($BH38&lt;&gt;Constants!$B$4,"",$BS38))</f>
        <v/>
      </c>
      <c r="CX38" s="104" t="str">
        <f aca="false">IF(ISBLANK($C38),"",IF($BH38&lt;&gt;Constants!$B$4,"",-$BZ38))</f>
        <v/>
      </c>
      <c r="CY38" s="103" t="str">
        <f aca="false">IF(ISBLANK($C38),"",$CA38)</f>
        <v/>
      </c>
      <c r="CZ38" s="105" t="str">
        <f aca="false">IF(ISBLANK($C38),"",$BI38)</f>
        <v/>
      </c>
      <c r="DA38" s="104" t="str">
        <f aca="false">IF(ISBLANK($C38),"",$CH38)</f>
        <v/>
      </c>
      <c r="DB38" s="104" t="str">
        <f aca="false">IF(ISBLANK($C38),"",$CG38)</f>
        <v/>
      </c>
      <c r="DC38" s="106" t="str">
        <f aca="false">IF(ISBLANK($C38),"",IFERROR(_xlfn.SWITCH($DB38,Constants!$B$7,COUNTA($C$9:$C$508)+2,Constants!$B$6,COUNTA($C$9:$C$508)+1,Constants!$B$5,COUNTA($C$9:$C$508)),$DB38))</f>
        <v/>
      </c>
      <c r="DD38" s="7"/>
      <c r="DE38" s="107" t="n">
        <f aca="false">IF(OR(ISNUMBER($DB38),$DB38=Constants!$B$7,$DB38=Constants!$B$5,$DB38=Constants!$B$6),1,0)</f>
        <v>0</v>
      </c>
      <c r="DF38" s="107" t="n">
        <v>30</v>
      </c>
      <c r="DG38" s="107" t="str">
        <f aca="false">IF(ISBLANK($C38),"",IF(ISNUMBER($DC38),$DC38+ROW($B38)/1000,""))</f>
        <v/>
      </c>
      <c r="DH38" s="107" t="str">
        <f aca="false">IF(ISNUMBER($DG38),RANK($DG38,$DG$9:$DG$508,1),"")</f>
        <v/>
      </c>
      <c r="DI38" s="107" t="str">
        <f aca="false">IF(ISBLANK($C38),"",$B38)</f>
        <v/>
      </c>
      <c r="DJ38" s="107" t="str">
        <f aca="false">IF(ISBLANK($C38),"",$C38)</f>
        <v/>
      </c>
      <c r="DK38" s="107" t="str">
        <f aca="false">IF(ISBLANK($C38),"",$D38)</f>
        <v/>
      </c>
      <c r="DL38" s="108" t="str">
        <f aca="false">$CZ38</f>
        <v/>
      </c>
      <c r="DM38" s="109" t="str">
        <f aca="false">$CY38</f>
        <v/>
      </c>
      <c r="DN38" s="107" t="str">
        <f aca="false">IF(ISBLANK($C38),"",$DB38)</f>
        <v/>
      </c>
      <c r="DO38" s="110" t="str">
        <f aca="false">IF($DF38&gt;$DE$8,"",VLOOKUP($DF38,$DH$9:$DN$508,7,FALSE()))</f>
        <v/>
      </c>
      <c r="DP38" s="111" t="str">
        <f aca="false">IF($DF38&gt;$DE$8,"",VLOOKUP($DF38,$DH$9:$DN$508,2,FALSE()))</f>
        <v/>
      </c>
      <c r="DQ38" s="111" t="str">
        <f aca="false">IF($DF38&gt;$DE$8,"",VLOOKUP($DF38,$DH$9:$DN$508,3,FALSE()))</f>
        <v/>
      </c>
      <c r="DR38" s="111" t="str">
        <f aca="false">IF($DF38&gt;$DE$8,"",VLOOKUP($DF38,$DH$9:$DN$508,4,FALSE()))</f>
        <v/>
      </c>
      <c r="DS38" s="111" t="str">
        <f aca="false">IF($DF38&gt;$DE$8,"",VLOOKUP($DF38,$DH$9:$DN$508,5,FALSE()))</f>
        <v/>
      </c>
      <c r="DT38" s="112" t="str">
        <f aca="false">IF($DF38&gt;$DE$8,"",VLOOKUP($DF38,$DH$9:$DN$508,6,FALSE()))</f>
        <v/>
      </c>
      <c r="DU38" s="62"/>
    </row>
    <row r="39" customFormat="false" ht="15.75" hidden="false" customHeight="false" outlineLevel="0" collapsed="false">
      <c r="A39" s="7"/>
      <c r="B39" s="64"/>
      <c r="C39" s="65"/>
      <c r="D39" s="123"/>
      <c r="E39" s="124"/>
      <c r="F39" s="125"/>
      <c r="G39" s="124"/>
      <c r="H39" s="125"/>
      <c r="I39" s="69"/>
      <c r="J39" s="69"/>
      <c r="K39" s="69"/>
      <c r="L39" s="124"/>
      <c r="M39" s="124"/>
      <c r="N39" s="124"/>
      <c r="O39" s="125"/>
      <c r="P39" s="124"/>
      <c r="Q39" s="124"/>
      <c r="R39" s="124"/>
      <c r="S39" s="124"/>
      <c r="T39" s="125"/>
      <c r="U39" s="124"/>
      <c r="V39" s="70"/>
      <c r="W39" s="124"/>
      <c r="X39" s="124"/>
      <c r="Y39" s="70"/>
      <c r="Z39" s="70"/>
      <c r="AA39" s="124"/>
      <c r="AB39" s="124"/>
      <c r="AC39" s="71"/>
      <c r="AD39" s="88"/>
      <c r="AE39" s="73"/>
      <c r="AF39" s="74"/>
      <c r="AG39" s="74"/>
      <c r="AH39" s="74" t="str">
        <f aca="false">IF(ISBLANK($C39),"",IF($E39=Constants!$B$2,TRUE(),IF($E39=Constants!$B$3,FALSE(),TRUE())))</f>
        <v/>
      </c>
      <c r="AI39" s="74" t="str">
        <f aca="false">IF(ISBLANK($C39),"",IF($F39=Constants!$B$2,TRUE(),IF($F39=Constants!$B$3,FALSE(),FALSE())))</f>
        <v/>
      </c>
      <c r="AJ39" s="74" t="str">
        <f aca="false">IF(ISBLANK($C39),"",IF($G39=Constants!$B$2,TRUE(),IF($G39=Constants!$B$3,FALSE(),TRUE())))</f>
        <v/>
      </c>
      <c r="AK39" s="74" t="str">
        <f aca="false">IF(ISBLANK($C39),"",IF($H39=Constants!$B$2,TRUE(),IF($H39=Constants!$B$3,FALSE(),TRUE())))</f>
        <v/>
      </c>
      <c r="AL39" s="74" t="str">
        <f aca="false">IF(ISBLANK($C39),"",IF(ISNUMBER($I39),IF($I39&gt;=0,$I39,""),""))</f>
        <v/>
      </c>
      <c r="AM39" s="74" t="str">
        <f aca="false">IF(ISBLANK($C39),"",IF(ISNUMBER($J39),IF($J39&gt;=0,$J39,""),""))</f>
        <v/>
      </c>
      <c r="AN39" s="74" t="str">
        <f aca="false">IF(ISBLANK($C39),"",IF(ISNUMBER($K39),IF($K39&gt;=0,$K39,""),""))</f>
        <v/>
      </c>
      <c r="AO39" s="74" t="str">
        <f aca="false">IF(ISBLANK($C39),"",IF($L39=Constants!$B$2,TRUE(),IF($L39=Constants!$B$3,FALSE(),TRUE())))</f>
        <v/>
      </c>
      <c r="AP39" s="74" t="str">
        <f aca="false">IF(ISBLANK($C39),"",IF($M39=Constants!$B$2,TRUE(),IF($M39=Constants!$B$3,FALSE(),TRUE())))</f>
        <v/>
      </c>
      <c r="AQ39" s="74" t="str">
        <f aca="false">IF(ISBLANK($C39),"",IF($N39=Constants!$B$2,TRUE(),IF($N39=Constants!$B$3,FALSE(),FALSE())))</f>
        <v/>
      </c>
      <c r="AR39" s="74" t="str">
        <f aca="false">IF(ISBLANK($C39),"",IF($O39=Constants!$B$2,TRUE(),IF($O39=Constants!$B$3,FALSE(),TRUE())))</f>
        <v/>
      </c>
      <c r="AS39" s="74" t="str">
        <f aca="false">IF(ISBLANK($C39),"",IF($P39=Constants!$B$2,TRUE(),IF($P39=Constants!$B$3,FALSE(),FALSE())))</f>
        <v/>
      </c>
      <c r="AT39" s="74" t="str">
        <f aca="false">IF(ISBLANK($C39),"",IF($Q39=Constants!$B$2,TRUE(),IF($Q39=Constants!$B$3,FALSE(),FALSE())))</f>
        <v/>
      </c>
      <c r="AU39" s="74" t="str">
        <f aca="false">IF(ISBLANK($C39),"",IF($R39=Constants!$B$2,TRUE(),IF($R39=Constants!$B$3,FALSE(),FALSE())))</f>
        <v/>
      </c>
      <c r="AV39" s="74" t="str">
        <f aca="false">IF(ISBLANK($C39),"",IF($S39=Constants!$B$2,TRUE(),IF($S39=Constants!$B$3,FALSE(),FALSE())))</f>
        <v/>
      </c>
      <c r="AW39" s="74" t="str">
        <f aca="false">IF(ISBLANK($C39),"",IF($T39=Constants!$B$2,TRUE(),IF($T39=Constants!$B$3,FALSE(),FALSE())))</f>
        <v/>
      </c>
      <c r="AX39" s="74" t="str">
        <f aca="false">IF(ISBLANK($C39),"",IF(OR($U39&amp;""="1",$U39&amp;""="2",$U39&amp;""="3",$U39&amp;""="4"),VALUE($U39&amp;""),IF($U39=Constants!$B$12,Constants!$B$12,"")))</f>
        <v/>
      </c>
      <c r="AY39" s="74" t="str">
        <f aca="false">IF(ISBLANK($C39),"",IF(ISBLANK($V39),0,IF(ISNUMBER($V39),IF(AND($V39&gt;=0,$V39&lt;=Constants!$B$21,$V39=INT($V39)),$V39,""),"")))</f>
        <v/>
      </c>
      <c r="AZ39" s="74" t="str">
        <f aca="false">IF(ISBLANK($C39),"",IF(ISBLANK($W39),0,IF(ISNUMBER($W39),IF($W39&gt;=0,$W39,""),"")))</f>
        <v/>
      </c>
      <c r="BA39" s="74" t="str">
        <f aca="false">IF(ISBLANK($C39),"",IF($X39=Constants!$B$2,TRUE(),IF($X39=Constants!$B$3,FALSE(),TRUE())))</f>
        <v/>
      </c>
      <c r="BB39" s="74" t="str">
        <f aca="false">IF(ISBLANK($C39),"",IF($Y39=Constants!$B$2,TRUE(),IF($Y39=Constants!$B$3,FALSE(),FALSE())))</f>
        <v/>
      </c>
      <c r="BC39" s="74" t="str">
        <f aca="false">IF(ISBLANK($C39),"",IF(ISBLANK($Z39),0,IF(ISNUMBER($Z39),IF(AND($Z39&gt;=0,$Z39&lt;=Constants!$B$35,$Z39=INT($Z39)),$Z39,""),"")))</f>
        <v/>
      </c>
      <c r="BD39" s="74" t="str">
        <f aca="false">IF(ISBLANK($C39),"",IF($AA39=Constants!$B$2,TRUE(),IF($AA39=Constants!$B$3,FALSE(),TRUE())))</f>
        <v/>
      </c>
      <c r="BE39" s="74" t="str">
        <f aca="false">IF(ISBLANK($C39),"",IF($AB39=Constants!$B$2,TRUE(),IF($AB39=Constants!$B$3,FALSE(),TRUE())))</f>
        <v/>
      </c>
      <c r="BF39" s="74" t="str">
        <f aca="false">IF(ISBLANK($C39),"",IF(ISNUMBER($AC39),IF($AC39&gt;=0,$AC39,""),""))</f>
        <v/>
      </c>
      <c r="BG39" s="74" t="str">
        <f aca="false">IF(ISBLANK($C39),"",IF($AD39=Constants!$B$2,TRUE(),IF($AD39=Constants!$B$3,FALSE(),FALSE())))</f>
        <v/>
      </c>
      <c r="BH39" s="73" t="str">
        <f aca="false">IF(ISBLANK($C39),"",IF($BG39,Constants!$B$7,IF(COUNTA($E39:$AC39)=0,Constants!$B$6,IF(OR(COUNTA($G39:$AC39)=0,NOT($AK39),$AQ39),Constants!$B$5,IF(OR($CI39&lt;&gt;"",$CJ39,$CK39,$CL39,$CM39,$CN39,$CO39),Constants!$B$8,Constants!$B$4)))))</f>
        <v/>
      </c>
      <c r="BI39" s="74" t="str">
        <f aca="false">IF(ISBLANK($C39),"",IF($BH39&lt;&gt;Constants!$B$4,$BH39,IF(OR(NOT($AH39),NOT($AJ39),NOT($AR39)),Constants!$B$11,IF(OR(NOT($AP39),MAX($AL39,$AM39,$AN39)&gt;Constants!$B$30),Constants!$B$10,Constants!$B$9))))</f>
        <v/>
      </c>
      <c r="BJ39" s="74" t="str">
        <f aca="false">IF($BH39&lt;&gt;Constants!$B$4,"",IF(NOT($AJ39),0,MIN(Constants!$B$35,$BC39)))</f>
        <v/>
      </c>
      <c r="BK39" s="74" t="str">
        <f aca="false">IF($BH39&lt;&gt;Constants!$B$4,"",IF(NOT($AJ39),0,IF($AT39,Constants!$B$18,IF($AS39,Constants!$B$17,0))))</f>
        <v/>
      </c>
      <c r="BL39" s="74" t="str">
        <f aca="false">IF($BH39&lt;&gt;Constants!$B$4,"",IF(NOT($AJ39),0,Constants!$B$19*($AI39+$AU39+$AV39+$AW39)))</f>
        <v/>
      </c>
      <c r="BM39" s="74" t="str">
        <f aca="false">IF($BH39&lt;&gt;Constants!$B$4,"",IF(OR(NOT($AJ39),NOT(ISNUMBER($AX39))),0,CHOOSE($AX39,Constants!$B$13,Constants!$B$14,Constants!$B$15,Constants!$B$16)))</f>
        <v/>
      </c>
      <c r="BN39" s="74" t="str">
        <f aca="false">IF($BH39&lt;&gt;Constants!$B$4,"",IF(NOT($AJ39),0,Constants!$B$20*$AY39))</f>
        <v/>
      </c>
      <c r="BO39" s="74" t="str">
        <f aca="false">IF($BH39&lt;&gt;Constants!$B$4,"",IF(AND($AJ39,$BA39,$BB39),Constants!$B$22,0))</f>
        <v/>
      </c>
      <c r="BP39" s="74" t="str">
        <f aca="false">IF($BH39&lt;&gt;Constants!$B$4,"",IF(OR(NOT($AJ39),NOT($BA39)),0,IF($BF39&gt;=2*$AF$9,0,Constants!$B$23*INT(ROUND(MIN($BF39,$AF$9),6)))))</f>
        <v/>
      </c>
      <c r="BQ39" s="74" t="str">
        <f aca="false">IF($BH39&lt;&gt;Constants!$B$4,"",IF(NOT($AJ39),0,Constants!$B$24*INT(ROUND(MIN($AZ39,$AF$9),6))))</f>
        <v/>
      </c>
      <c r="BR39" s="74" t="str">
        <f aca="false">IF($BH39&lt;&gt;Constants!$B$4,"",IF(AND($AJ39,$BJ39=0),Constants!$B$25,0))</f>
        <v/>
      </c>
      <c r="BS39" s="74" t="str">
        <f aca="false">IF($BH39&lt;&gt;Constants!$B$4,"",MIN(Constants!$B$29,MAX(0,Constants!$B$27*Constants!$B$28*INT(ROUND((Constants!$B$26-$AL39)/Constants!$B$28,6))))+MIN(Constants!$B$29,MAX(0,Constants!$B$27*Constants!$B$28*INT(ROUND((Constants!$B$26-$AM39)/Constants!$B$28,6))))+MIN(Constants!$B$29,MAX(0,Constants!$B$27*Constants!$B$28*INT(ROUND((Constants!$B$26-$AN39)/Constants!$B$28,6)))))</f>
        <v/>
      </c>
      <c r="BT39" s="74" t="str">
        <f aca="false">IF($BH39&lt;&gt;Constants!$B$4,"",IF(NOT($AJ39),0,Constants!$B$31*INT(ROUND(MAX(0,MIN($BF39,2*$AF$9)-$AF$9),6))))</f>
        <v/>
      </c>
      <c r="BU39" s="74" t="str">
        <f aca="false">IF($BH39&lt;&gt;Constants!$B$4,"",Constants!$B$32*(($AL39&gt;Constants!$B$26)+($AM39&gt;Constants!$B$26)+($AN39&gt;Constants!$B$26)))</f>
        <v/>
      </c>
      <c r="BV39" s="74" t="str">
        <f aca="false">IF($BH39&lt;&gt;Constants!$B$4,"",IF(OR(NOT($AJ39),$AO39),0,Constants!$B$33))</f>
        <v/>
      </c>
      <c r="BW39" s="74" t="str">
        <f aca="false">IF($BH39&lt;&gt;Constants!$B$4,"",Constants!$B$34*$BJ39)</f>
        <v/>
      </c>
      <c r="BX39" s="74" t="str">
        <f aca="false">IF($BH39&lt;&gt;Constants!$B$4,"",IF(OR(NOT($AJ39),$BE39),0,Constants!$B$36))</f>
        <v/>
      </c>
      <c r="BY39" s="74" t="str">
        <f aca="false">IF($BH39&lt;&gt;Constants!$B$4,"",IF(OR(NOT($AJ39),$BD39),0,Constants!$B$37))</f>
        <v/>
      </c>
      <c r="BZ39" s="74" t="str">
        <f aca="false">IF($BH39&lt;&gt;Constants!$B$4,"",SUM($BT39:$BY39))</f>
        <v/>
      </c>
      <c r="CA39" s="74" t="str">
        <f aca="false">IF(ISBLANK($C39),"",IF($BH39&lt;&gt;Constants!$B$4,$BH39,SUM($BK39:$BS39)-$BZ39))</f>
        <v/>
      </c>
      <c r="CB39" s="74" t="str">
        <f aca="false">IF(ISBLANK($C39),"",IF($BH39&lt;&gt;Constants!$B$4,$BH39,RANK($CA39,$CA$9:$CA$508)))</f>
        <v/>
      </c>
      <c r="CC39" s="74" t="str">
        <f aca="false">IF(ISBLANK($C39),"",IF($BH39&lt;&gt;Constants!$B$4,$BH39,COUNTIFS($BI$9:$BI$508,"&lt;"&amp;$BI39)+COUNTIFS($BI$9:$BI$508,$BI39,$CB$9:$CB$508,"&lt;"&amp;$CB39)+1))</f>
        <v/>
      </c>
      <c r="CD39" s="74" t="str">
        <f aca="false">IF(ISBLANK($C39),"",IF($BH39&lt;&gt;Constants!$B$4,$BH39,RANK($BZ39,$BZ$9:$BZ$508,1)))</f>
        <v/>
      </c>
      <c r="CE39" s="74" t="str">
        <f aca="false">IF($BH39&lt;&gt;Constants!$B$4,"",$AL39+$AM39+$AN39)</f>
        <v/>
      </c>
      <c r="CF39" s="74" t="str">
        <f aca="false">IF(ISBLANK($C39),"",IF($BH39&lt;&gt;Constants!$B$4,$BH39,RANK($CE39,$CE$9:$CE$508,1)))</f>
        <v/>
      </c>
      <c r="CG39" s="74" t="str">
        <f aca="false">IF(ISBLANK($C39),"",IF($BH39&lt;&gt;Constants!$B$4,$BH39,COUNTIFS($BI$9:$BI$508,"&lt;"&amp;$BI39)+COUNTIFS($BI$9:$BI$508,$BI39,$CB$9:$CB$508,"&lt;"&amp;$CB39)+COUNTIFS($BI$9:$BI$508,$BI39,$CB$9:$CB$508,$CB39,$CD$9:$CD$508,"&lt;"&amp;$CD39)+COUNTIFS($BI$9:$BI$508,$BI39,$CB$9:$CB$508,$CB39,$CD$9:$CD$508,$CD39,$CF$9:$CF$508,"&lt;"&amp;$CF39)+1))</f>
        <v/>
      </c>
      <c r="CH39" s="74" t="str">
        <f aca="false">IF(ISBLANK($C39),"",IF($BH39&lt;&gt;Constants!$B$4,$BH39,$CC39-$CG39))</f>
        <v/>
      </c>
      <c r="CI39" s="74" t="str">
        <f aca="false">IF(ISBLANK($C39),"",IF(NOT($AJ39),"",IF(ISBLANK($D$7),$CI$5,IF(NOT(ISNUMBER($D$7)),$CI$6,""))))</f>
        <v/>
      </c>
      <c r="CJ39" s="74" t="str">
        <f aca="false">IF(ISBLANK($C39),"",OR($AL39="",$AM39="",$AN39=""))</f>
        <v/>
      </c>
      <c r="CK39" s="74" t="str">
        <f aca="false">IF(ISBLANK($C39),"",AND($AJ39,$AX39=""))</f>
        <v/>
      </c>
      <c r="CL39" s="74" t="str">
        <f aca="false">IF(ISBLANK($C39),"",AND($AJ39,$AY39=""))</f>
        <v/>
      </c>
      <c r="CM39" s="74" t="str">
        <f aca="false">IF(ISBLANK($C39),"",AND($AJ39,$AZ39=""))</f>
        <v/>
      </c>
      <c r="CN39" s="74" t="str">
        <f aca="false">IF(ISBLANK($C39),"",AND($AJ39,$BC39=""))</f>
        <v/>
      </c>
      <c r="CO39" s="74" t="str">
        <f aca="false">IF(ISBLANK($C39),"",AND($AJ39,$BF39=""))</f>
        <v/>
      </c>
      <c r="CP39" s="75"/>
      <c r="CQ39" s="76"/>
      <c r="CR39" s="79" t="str">
        <f aca="false">IF(ISBLANK($C39),"",IF($BH39=Constants!$B$8,$CI39,""))</f>
        <v/>
      </c>
      <c r="CS39" s="76" t="str">
        <f aca="false">IF(ISBLANK($C39),"",IF($BH39&lt;&gt;Constants!$B$4,"",$BK39+$BL39))</f>
        <v/>
      </c>
      <c r="CT39" s="78" t="str">
        <f aca="false">IF(ISBLANK($C39),"",IF($BH39&lt;&gt;Constants!$B$4,"",$BM39+$BN39+$BO39))</f>
        <v/>
      </c>
      <c r="CU39" s="78" t="str">
        <f aca="false">IF(ISBLANK($C39),"",IF($BH39&lt;&gt;Constants!$B$4,"",$BP39))</f>
        <v/>
      </c>
      <c r="CV39" s="78" t="str">
        <f aca="false">IF(ISBLANK($C39),"",IF($BH39&lt;&gt;Constants!$B$4,"",$BQ39+$BR39))</f>
        <v/>
      </c>
      <c r="CW39" s="78" t="str">
        <f aca="false">IF(ISBLANK($C39),"",IF($BH39&lt;&gt;Constants!$B$4,"",$BS39))</f>
        <v/>
      </c>
      <c r="CX39" s="78" t="str">
        <f aca="false">IF(ISBLANK($C39),"",IF($BH39&lt;&gt;Constants!$B$4,"",-$BZ39))</f>
        <v/>
      </c>
      <c r="CY39" s="79" t="str">
        <f aca="false">IF(ISBLANK($C39),"",$CA39)</f>
        <v/>
      </c>
      <c r="CZ39" s="80" t="str">
        <f aca="false">IF(ISBLANK($C39),"",$BI39)</f>
        <v/>
      </c>
      <c r="DA39" s="78" t="str">
        <f aca="false">IF(ISBLANK($C39),"",$CH39)</f>
        <v/>
      </c>
      <c r="DB39" s="78" t="str">
        <f aca="false">IF(ISBLANK($C39),"",$CG39)</f>
        <v/>
      </c>
      <c r="DC39" s="81" t="str">
        <f aca="false">IF(ISBLANK($C39),"",IFERROR(_xlfn.SWITCH($DB39,Constants!$B$7,COUNTA($C$9:$C$508)+2,Constants!$B$6,COUNTA($C$9:$C$508)+1,Constants!$B$5,COUNTA($C$9:$C$508)),$DB39))</f>
        <v/>
      </c>
      <c r="DD39" s="7"/>
      <c r="DE39" s="82" t="n">
        <f aca="false">IF(OR(ISNUMBER($DB39),$DB39=Constants!$B$7,$DB39=Constants!$B$5,$DB39=Constants!$B$6),1,0)</f>
        <v>0</v>
      </c>
      <c r="DF39" s="82" t="n">
        <v>31</v>
      </c>
      <c r="DG39" s="82" t="str">
        <f aca="false">IF(ISBLANK($C39),"",IF(ISNUMBER($DC39),$DC39+ROW($B39)/1000,""))</f>
        <v/>
      </c>
      <c r="DH39" s="82" t="str">
        <f aca="false">IF(ISNUMBER($DG39),RANK($DG39,$DG$9:$DG$508,1),"")</f>
        <v/>
      </c>
      <c r="DI39" s="82" t="str">
        <f aca="false">IF(ISBLANK($C39),"",$B39)</f>
        <v/>
      </c>
      <c r="DJ39" s="82" t="str">
        <f aca="false">IF(ISBLANK($C39),"",$C39)</f>
        <v/>
      </c>
      <c r="DK39" s="82" t="str">
        <f aca="false">IF(ISBLANK($C39),"",$D39)</f>
        <v/>
      </c>
      <c r="DL39" s="83" t="str">
        <f aca="false">$CZ39</f>
        <v/>
      </c>
      <c r="DM39" s="84" t="str">
        <f aca="false">$CY39</f>
        <v/>
      </c>
      <c r="DN39" s="82" t="str">
        <f aca="false">IF(ISBLANK($C39),"",$DB39)</f>
        <v/>
      </c>
      <c r="DO39" s="85" t="str">
        <f aca="false">IF($DF39&gt;$DE$8,"",VLOOKUP($DF39,$DH$9:$DN$508,7,FALSE()))</f>
        <v/>
      </c>
      <c r="DP39" s="86" t="str">
        <f aca="false">IF($DF39&gt;$DE$8,"",VLOOKUP($DF39,$DH$9:$DN$508,2,FALSE()))</f>
        <v/>
      </c>
      <c r="DQ39" s="86" t="str">
        <f aca="false">IF($DF39&gt;$DE$8,"",VLOOKUP($DF39,$DH$9:$DN$508,3,FALSE()))</f>
        <v/>
      </c>
      <c r="DR39" s="86" t="str">
        <f aca="false">IF($DF39&gt;$DE$8,"",VLOOKUP($DF39,$DH$9:$DN$508,4,FALSE()))</f>
        <v/>
      </c>
      <c r="DS39" s="86" t="str">
        <f aca="false">IF($DF39&gt;$DE$8,"",VLOOKUP($DF39,$DH$9:$DN$508,5,FALSE()))</f>
        <v/>
      </c>
      <c r="DT39" s="87" t="str">
        <f aca="false">IF($DF39&gt;$DE$8,"",VLOOKUP($DF39,$DH$9:$DN$508,6,FALSE()))</f>
        <v/>
      </c>
      <c r="DU39" s="62"/>
    </row>
    <row r="40" customFormat="false" ht="15.75" hidden="false" customHeight="false" outlineLevel="0" collapsed="false">
      <c r="A40" s="7"/>
      <c r="B40" s="64"/>
      <c r="C40" s="65"/>
      <c r="D40" s="123"/>
      <c r="E40" s="88"/>
      <c r="F40" s="134"/>
      <c r="G40" s="88"/>
      <c r="H40" s="134"/>
      <c r="I40" s="69"/>
      <c r="J40" s="69"/>
      <c r="K40" s="69"/>
      <c r="L40" s="88"/>
      <c r="M40" s="88"/>
      <c r="N40" s="88"/>
      <c r="O40" s="134"/>
      <c r="P40" s="88"/>
      <c r="Q40" s="88"/>
      <c r="R40" s="88"/>
      <c r="S40" s="88"/>
      <c r="T40" s="134"/>
      <c r="U40" s="88"/>
      <c r="V40" s="70"/>
      <c r="W40" s="88"/>
      <c r="X40" s="88"/>
      <c r="Y40" s="70"/>
      <c r="Z40" s="70"/>
      <c r="AA40" s="88"/>
      <c r="AB40" s="88"/>
      <c r="AC40" s="71"/>
      <c r="AD40" s="88"/>
      <c r="AE40" s="73"/>
      <c r="AF40" s="74"/>
      <c r="AG40" s="74"/>
      <c r="AH40" s="74" t="str">
        <f aca="false">IF(ISBLANK($C40),"",IF($E40=Constants!$B$2,TRUE(),IF($E40=Constants!$B$3,FALSE(),TRUE())))</f>
        <v/>
      </c>
      <c r="AI40" s="74" t="str">
        <f aca="false">IF(ISBLANK($C40),"",IF($F40=Constants!$B$2,TRUE(),IF($F40=Constants!$B$3,FALSE(),FALSE())))</f>
        <v/>
      </c>
      <c r="AJ40" s="74" t="str">
        <f aca="false">IF(ISBLANK($C40),"",IF($G40=Constants!$B$2,TRUE(),IF($G40=Constants!$B$3,FALSE(),TRUE())))</f>
        <v/>
      </c>
      <c r="AK40" s="74" t="str">
        <f aca="false">IF(ISBLANK($C40),"",IF($H40=Constants!$B$2,TRUE(),IF($H40=Constants!$B$3,FALSE(),TRUE())))</f>
        <v/>
      </c>
      <c r="AL40" s="74" t="str">
        <f aca="false">IF(ISBLANK($C40),"",IF(ISNUMBER($I40),IF($I40&gt;=0,$I40,""),""))</f>
        <v/>
      </c>
      <c r="AM40" s="74" t="str">
        <f aca="false">IF(ISBLANK($C40),"",IF(ISNUMBER($J40),IF($J40&gt;=0,$J40,""),""))</f>
        <v/>
      </c>
      <c r="AN40" s="74" t="str">
        <f aca="false">IF(ISBLANK($C40),"",IF(ISNUMBER($K40),IF($K40&gt;=0,$K40,""),""))</f>
        <v/>
      </c>
      <c r="AO40" s="74" t="str">
        <f aca="false">IF(ISBLANK($C40),"",IF($L40=Constants!$B$2,TRUE(),IF($L40=Constants!$B$3,FALSE(),TRUE())))</f>
        <v/>
      </c>
      <c r="AP40" s="74" t="str">
        <f aca="false">IF(ISBLANK($C40),"",IF($M40=Constants!$B$2,TRUE(),IF($M40=Constants!$B$3,FALSE(),TRUE())))</f>
        <v/>
      </c>
      <c r="AQ40" s="74" t="str">
        <f aca="false">IF(ISBLANK($C40),"",IF($N40=Constants!$B$2,TRUE(),IF($N40=Constants!$B$3,FALSE(),FALSE())))</f>
        <v/>
      </c>
      <c r="AR40" s="74" t="str">
        <f aca="false">IF(ISBLANK($C40),"",IF($O40=Constants!$B$2,TRUE(),IF($O40=Constants!$B$3,FALSE(),TRUE())))</f>
        <v/>
      </c>
      <c r="AS40" s="74" t="str">
        <f aca="false">IF(ISBLANK($C40),"",IF($P40=Constants!$B$2,TRUE(),IF($P40=Constants!$B$3,FALSE(),FALSE())))</f>
        <v/>
      </c>
      <c r="AT40" s="74" t="str">
        <f aca="false">IF(ISBLANK($C40),"",IF($Q40=Constants!$B$2,TRUE(),IF($Q40=Constants!$B$3,FALSE(),FALSE())))</f>
        <v/>
      </c>
      <c r="AU40" s="74" t="str">
        <f aca="false">IF(ISBLANK($C40),"",IF($R40=Constants!$B$2,TRUE(),IF($R40=Constants!$B$3,FALSE(),FALSE())))</f>
        <v/>
      </c>
      <c r="AV40" s="74" t="str">
        <f aca="false">IF(ISBLANK($C40),"",IF($S40=Constants!$B$2,TRUE(),IF($S40=Constants!$B$3,FALSE(),FALSE())))</f>
        <v/>
      </c>
      <c r="AW40" s="74" t="str">
        <f aca="false">IF(ISBLANK($C40),"",IF($T40=Constants!$B$2,TRUE(),IF($T40=Constants!$B$3,FALSE(),FALSE())))</f>
        <v/>
      </c>
      <c r="AX40" s="74" t="str">
        <f aca="false">IF(ISBLANK($C40),"",IF(OR($U40&amp;""="1",$U40&amp;""="2",$U40&amp;""="3",$U40&amp;""="4"),VALUE($U40&amp;""),IF($U40=Constants!$B$12,Constants!$B$12,"")))</f>
        <v/>
      </c>
      <c r="AY40" s="74" t="str">
        <f aca="false">IF(ISBLANK($C40),"",IF(ISBLANK($V40),0,IF(ISNUMBER($V40),IF(AND($V40&gt;=0,$V40&lt;=Constants!$B$21,$V40=INT($V40)),$V40,""),"")))</f>
        <v/>
      </c>
      <c r="AZ40" s="74" t="str">
        <f aca="false">IF(ISBLANK($C40),"",IF(ISBLANK($W40),0,IF(ISNUMBER($W40),IF($W40&gt;=0,$W40,""),"")))</f>
        <v/>
      </c>
      <c r="BA40" s="74" t="str">
        <f aca="false">IF(ISBLANK($C40),"",IF($X40=Constants!$B$2,TRUE(),IF($X40=Constants!$B$3,FALSE(),TRUE())))</f>
        <v/>
      </c>
      <c r="BB40" s="74" t="str">
        <f aca="false">IF(ISBLANK($C40),"",IF($Y40=Constants!$B$2,TRUE(),IF($Y40=Constants!$B$3,FALSE(),FALSE())))</f>
        <v/>
      </c>
      <c r="BC40" s="74" t="str">
        <f aca="false">IF(ISBLANK($C40),"",IF(ISBLANK($Z40),0,IF(ISNUMBER($Z40),IF(AND($Z40&gt;=0,$Z40&lt;=Constants!$B$35,$Z40=INT($Z40)),$Z40,""),"")))</f>
        <v/>
      </c>
      <c r="BD40" s="74" t="str">
        <f aca="false">IF(ISBLANK($C40),"",IF($AA40=Constants!$B$2,TRUE(),IF($AA40=Constants!$B$3,FALSE(),TRUE())))</f>
        <v/>
      </c>
      <c r="BE40" s="74" t="str">
        <f aca="false">IF(ISBLANK($C40),"",IF($AB40=Constants!$B$2,TRUE(),IF($AB40=Constants!$B$3,FALSE(),TRUE())))</f>
        <v/>
      </c>
      <c r="BF40" s="74" t="str">
        <f aca="false">IF(ISBLANK($C40),"",IF(ISNUMBER($AC40),IF($AC40&gt;=0,$AC40,""),""))</f>
        <v/>
      </c>
      <c r="BG40" s="74" t="str">
        <f aca="false">IF(ISBLANK($C40),"",IF($AD40=Constants!$B$2,TRUE(),IF($AD40=Constants!$B$3,FALSE(),FALSE())))</f>
        <v/>
      </c>
      <c r="BH40" s="73" t="str">
        <f aca="false">IF(ISBLANK($C40),"",IF($BG40,Constants!$B$7,IF(COUNTA($E40:$AC40)=0,Constants!$B$6,IF(OR(COUNTA($G40:$AC40)=0,NOT($AK40),$AQ40),Constants!$B$5,IF(OR($CI40&lt;&gt;"",$CJ40,$CK40,$CL40,$CM40,$CN40,$CO40),Constants!$B$8,Constants!$B$4)))))</f>
        <v/>
      </c>
      <c r="BI40" s="74" t="str">
        <f aca="false">IF(ISBLANK($C40),"",IF($BH40&lt;&gt;Constants!$B$4,$BH40,IF(OR(NOT($AH40),NOT($AJ40),NOT($AR40)),Constants!$B$11,IF(OR(NOT($AP40),MAX($AL40,$AM40,$AN40)&gt;Constants!$B$30),Constants!$B$10,Constants!$B$9))))</f>
        <v/>
      </c>
      <c r="BJ40" s="74" t="str">
        <f aca="false">IF($BH40&lt;&gt;Constants!$B$4,"",IF(NOT($AJ40),0,MIN(Constants!$B$35,$BC40)))</f>
        <v/>
      </c>
      <c r="BK40" s="74" t="str">
        <f aca="false">IF($BH40&lt;&gt;Constants!$B$4,"",IF(NOT($AJ40),0,IF($AT40,Constants!$B$18,IF($AS40,Constants!$B$17,0))))</f>
        <v/>
      </c>
      <c r="BL40" s="74" t="str">
        <f aca="false">IF($BH40&lt;&gt;Constants!$B$4,"",IF(NOT($AJ40),0,Constants!$B$19*($AI40+$AU40+$AV40+$AW40)))</f>
        <v/>
      </c>
      <c r="BM40" s="74" t="str">
        <f aca="false">IF($BH40&lt;&gt;Constants!$B$4,"",IF(OR(NOT($AJ40),NOT(ISNUMBER($AX40))),0,CHOOSE($AX40,Constants!$B$13,Constants!$B$14,Constants!$B$15,Constants!$B$16)))</f>
        <v/>
      </c>
      <c r="BN40" s="74" t="str">
        <f aca="false">IF($BH40&lt;&gt;Constants!$B$4,"",IF(NOT($AJ40),0,Constants!$B$20*$AY40))</f>
        <v/>
      </c>
      <c r="BO40" s="74" t="str">
        <f aca="false">IF($BH40&lt;&gt;Constants!$B$4,"",IF(AND($AJ40,$BA40,$BB40),Constants!$B$22,0))</f>
        <v/>
      </c>
      <c r="BP40" s="74" t="str">
        <f aca="false">IF($BH40&lt;&gt;Constants!$B$4,"",IF(OR(NOT($AJ40),NOT($BA40)),0,IF($BF40&gt;=2*$AF$9,0,Constants!$B$23*INT(ROUND(MIN($BF40,$AF$9),6)))))</f>
        <v/>
      </c>
      <c r="BQ40" s="74" t="str">
        <f aca="false">IF($BH40&lt;&gt;Constants!$B$4,"",IF(NOT($AJ40),0,Constants!$B$24*INT(ROUND(MIN($AZ40,$AF$9),6))))</f>
        <v/>
      </c>
      <c r="BR40" s="74" t="str">
        <f aca="false">IF($BH40&lt;&gt;Constants!$B$4,"",IF(AND($AJ40,$BJ40=0),Constants!$B$25,0))</f>
        <v/>
      </c>
      <c r="BS40" s="74" t="str">
        <f aca="false">IF($BH40&lt;&gt;Constants!$B$4,"",MIN(Constants!$B$29,MAX(0,Constants!$B$27*Constants!$B$28*INT(ROUND((Constants!$B$26-$AL40)/Constants!$B$28,6))))+MIN(Constants!$B$29,MAX(0,Constants!$B$27*Constants!$B$28*INT(ROUND((Constants!$B$26-$AM40)/Constants!$B$28,6))))+MIN(Constants!$B$29,MAX(0,Constants!$B$27*Constants!$B$28*INT(ROUND((Constants!$B$26-$AN40)/Constants!$B$28,6)))))</f>
        <v/>
      </c>
      <c r="BT40" s="74" t="str">
        <f aca="false">IF($BH40&lt;&gt;Constants!$B$4,"",IF(NOT($AJ40),0,Constants!$B$31*INT(ROUND(MAX(0,MIN($BF40,2*$AF$9)-$AF$9),6))))</f>
        <v/>
      </c>
      <c r="BU40" s="74" t="str">
        <f aca="false">IF($BH40&lt;&gt;Constants!$B$4,"",Constants!$B$32*(($AL40&gt;Constants!$B$26)+($AM40&gt;Constants!$B$26)+($AN40&gt;Constants!$B$26)))</f>
        <v/>
      </c>
      <c r="BV40" s="74" t="str">
        <f aca="false">IF($BH40&lt;&gt;Constants!$B$4,"",IF(OR(NOT($AJ40),$AO40),0,Constants!$B$33))</f>
        <v/>
      </c>
      <c r="BW40" s="74" t="str">
        <f aca="false">IF($BH40&lt;&gt;Constants!$B$4,"",Constants!$B$34*$BJ40)</f>
        <v/>
      </c>
      <c r="BX40" s="74" t="str">
        <f aca="false">IF($BH40&lt;&gt;Constants!$B$4,"",IF(OR(NOT($AJ40),$BE40),0,Constants!$B$36))</f>
        <v/>
      </c>
      <c r="BY40" s="74" t="str">
        <f aca="false">IF($BH40&lt;&gt;Constants!$B$4,"",IF(OR(NOT($AJ40),$BD40),0,Constants!$B$37))</f>
        <v/>
      </c>
      <c r="BZ40" s="74" t="str">
        <f aca="false">IF($BH40&lt;&gt;Constants!$B$4,"",SUM($BT40:$BY40))</f>
        <v/>
      </c>
      <c r="CA40" s="74" t="str">
        <f aca="false">IF(ISBLANK($C40),"",IF($BH40&lt;&gt;Constants!$B$4,$BH40,SUM($BK40:$BS40)-$BZ40))</f>
        <v/>
      </c>
      <c r="CB40" s="74" t="str">
        <f aca="false">IF(ISBLANK($C40),"",IF($BH40&lt;&gt;Constants!$B$4,$BH40,RANK($CA40,$CA$9:$CA$508)))</f>
        <v/>
      </c>
      <c r="CC40" s="74" t="str">
        <f aca="false">IF(ISBLANK($C40),"",IF($BH40&lt;&gt;Constants!$B$4,$BH40,COUNTIFS($BI$9:$BI$508,"&lt;"&amp;$BI40)+COUNTIFS($BI$9:$BI$508,$BI40,$CB$9:$CB$508,"&lt;"&amp;$CB40)+1))</f>
        <v/>
      </c>
      <c r="CD40" s="74" t="str">
        <f aca="false">IF(ISBLANK($C40),"",IF($BH40&lt;&gt;Constants!$B$4,$BH40,RANK($BZ40,$BZ$9:$BZ$508,1)))</f>
        <v/>
      </c>
      <c r="CE40" s="74" t="str">
        <f aca="false">IF($BH40&lt;&gt;Constants!$B$4,"",$AL40+$AM40+$AN40)</f>
        <v/>
      </c>
      <c r="CF40" s="74" t="str">
        <f aca="false">IF(ISBLANK($C40),"",IF($BH40&lt;&gt;Constants!$B$4,$BH40,RANK($CE40,$CE$9:$CE$508,1)))</f>
        <v/>
      </c>
      <c r="CG40" s="74" t="str">
        <f aca="false">IF(ISBLANK($C40),"",IF($BH40&lt;&gt;Constants!$B$4,$BH40,COUNTIFS($BI$9:$BI$508,"&lt;"&amp;$BI40)+COUNTIFS($BI$9:$BI$508,$BI40,$CB$9:$CB$508,"&lt;"&amp;$CB40)+COUNTIFS($BI$9:$BI$508,$BI40,$CB$9:$CB$508,$CB40,$CD$9:$CD$508,"&lt;"&amp;$CD40)+COUNTIFS($BI$9:$BI$508,$BI40,$CB$9:$CB$508,$CB40,$CD$9:$CD$508,$CD40,$CF$9:$CF$508,"&lt;"&amp;$CF40)+1))</f>
        <v/>
      </c>
      <c r="CH40" s="74" t="str">
        <f aca="false">IF(ISBLANK($C40),"",IF($BH40&lt;&gt;Constants!$B$4,$BH40,$CC40-$CG40))</f>
        <v/>
      </c>
      <c r="CI40" s="74" t="str">
        <f aca="false">IF(ISBLANK($C40),"",IF(NOT($AJ40),"",IF(ISBLANK($D$7),$CI$5,IF(NOT(ISNUMBER($D$7)),$CI$6,""))))</f>
        <v/>
      </c>
      <c r="CJ40" s="74" t="str">
        <f aca="false">IF(ISBLANK($C40),"",OR($AL40="",$AM40="",$AN40=""))</f>
        <v/>
      </c>
      <c r="CK40" s="74" t="str">
        <f aca="false">IF(ISBLANK($C40),"",AND($AJ40,$AX40=""))</f>
        <v/>
      </c>
      <c r="CL40" s="74" t="str">
        <f aca="false">IF(ISBLANK($C40),"",AND($AJ40,$AY40=""))</f>
        <v/>
      </c>
      <c r="CM40" s="74" t="str">
        <f aca="false">IF(ISBLANK($C40),"",AND($AJ40,$AZ40=""))</f>
        <v/>
      </c>
      <c r="CN40" s="74" t="str">
        <f aca="false">IF(ISBLANK($C40),"",AND($AJ40,$BC40=""))</f>
        <v/>
      </c>
      <c r="CO40" s="74" t="str">
        <f aca="false">IF(ISBLANK($C40),"",AND($AJ40,$BF40=""))</f>
        <v/>
      </c>
      <c r="CP40" s="75"/>
      <c r="CQ40" s="76"/>
      <c r="CR40" s="79" t="str">
        <f aca="false">IF(ISBLANK($C40),"",IF($BH40=Constants!$B$8,$CI40,""))</f>
        <v/>
      </c>
      <c r="CS40" s="76" t="str">
        <f aca="false">IF(ISBLANK($C40),"",IF($BH40&lt;&gt;Constants!$B$4,"",$BK40+$BL40))</f>
        <v/>
      </c>
      <c r="CT40" s="78" t="str">
        <f aca="false">IF(ISBLANK($C40),"",IF($BH40&lt;&gt;Constants!$B$4,"",$BM40+$BN40+$BO40))</f>
        <v/>
      </c>
      <c r="CU40" s="78" t="str">
        <f aca="false">IF(ISBLANK($C40),"",IF($BH40&lt;&gt;Constants!$B$4,"",$BP40))</f>
        <v/>
      </c>
      <c r="CV40" s="78" t="str">
        <f aca="false">IF(ISBLANK($C40),"",IF($BH40&lt;&gt;Constants!$B$4,"",$BQ40+$BR40))</f>
        <v/>
      </c>
      <c r="CW40" s="78" t="str">
        <f aca="false">IF(ISBLANK($C40),"",IF($BH40&lt;&gt;Constants!$B$4,"",$BS40))</f>
        <v/>
      </c>
      <c r="CX40" s="78" t="str">
        <f aca="false">IF(ISBLANK($C40),"",IF($BH40&lt;&gt;Constants!$B$4,"",-$BZ40))</f>
        <v/>
      </c>
      <c r="CY40" s="79" t="str">
        <f aca="false">IF(ISBLANK($C40),"",$CA40)</f>
        <v/>
      </c>
      <c r="CZ40" s="80" t="str">
        <f aca="false">IF(ISBLANK($C40),"",$BI40)</f>
        <v/>
      </c>
      <c r="DA40" s="78" t="str">
        <f aca="false">IF(ISBLANK($C40),"",$CH40)</f>
        <v/>
      </c>
      <c r="DB40" s="78" t="str">
        <f aca="false">IF(ISBLANK($C40),"",$CG40)</f>
        <v/>
      </c>
      <c r="DC40" s="81" t="str">
        <f aca="false">IF(ISBLANK($C40),"",IFERROR(_xlfn.SWITCH($DB40,Constants!$B$7,COUNTA($C$9:$C$508)+2,Constants!$B$6,COUNTA($C$9:$C$508)+1,Constants!$B$5,COUNTA($C$9:$C$508)),$DB40))</f>
        <v/>
      </c>
      <c r="DD40" s="7"/>
      <c r="DE40" s="82" t="n">
        <f aca="false">IF(OR(ISNUMBER($DB40),$DB40=Constants!$B$7,$DB40=Constants!$B$5,$DB40=Constants!$B$6),1,0)</f>
        <v>0</v>
      </c>
      <c r="DF40" s="82" t="n">
        <v>32</v>
      </c>
      <c r="DG40" s="82" t="str">
        <f aca="false">IF(ISBLANK($C40),"",IF(ISNUMBER($DC40),$DC40+ROW($B40)/1000,""))</f>
        <v/>
      </c>
      <c r="DH40" s="82" t="str">
        <f aca="false">IF(ISNUMBER($DG40),RANK($DG40,$DG$9:$DG$508,1),"")</f>
        <v/>
      </c>
      <c r="DI40" s="82" t="str">
        <f aca="false">IF(ISBLANK($C40),"",$B40)</f>
        <v/>
      </c>
      <c r="DJ40" s="82" t="str">
        <f aca="false">IF(ISBLANK($C40),"",$C40)</f>
        <v/>
      </c>
      <c r="DK40" s="82" t="str">
        <f aca="false">IF(ISBLANK($C40),"",$D40)</f>
        <v/>
      </c>
      <c r="DL40" s="83" t="str">
        <f aca="false">$CZ40</f>
        <v/>
      </c>
      <c r="DM40" s="84" t="str">
        <f aca="false">$CY40</f>
        <v/>
      </c>
      <c r="DN40" s="82" t="str">
        <f aca="false">IF(ISBLANK($C40),"",$DB40)</f>
        <v/>
      </c>
      <c r="DO40" s="85" t="str">
        <f aca="false">IF($DF40&gt;$DE$8,"",VLOOKUP($DF40,$DH$9:$DN$508,7,FALSE()))</f>
        <v/>
      </c>
      <c r="DP40" s="86" t="str">
        <f aca="false">IF($DF40&gt;$DE$8,"",VLOOKUP($DF40,$DH$9:$DN$508,2,FALSE()))</f>
        <v/>
      </c>
      <c r="DQ40" s="86" t="str">
        <f aca="false">IF($DF40&gt;$DE$8,"",VLOOKUP($DF40,$DH$9:$DN$508,3,FALSE()))</f>
        <v/>
      </c>
      <c r="DR40" s="86" t="str">
        <f aca="false">IF($DF40&gt;$DE$8,"",VLOOKUP($DF40,$DH$9:$DN$508,4,FALSE()))</f>
        <v/>
      </c>
      <c r="DS40" s="86" t="str">
        <f aca="false">IF($DF40&gt;$DE$8,"",VLOOKUP($DF40,$DH$9:$DN$508,5,FALSE()))</f>
        <v/>
      </c>
      <c r="DT40" s="87" t="str">
        <f aca="false">IF($DF40&gt;$DE$8,"",VLOOKUP($DF40,$DH$9:$DN$508,6,FALSE()))</f>
        <v/>
      </c>
      <c r="DU40" s="62"/>
    </row>
    <row r="41" customFormat="false" ht="15.75" hidden="false" customHeight="false" outlineLevel="0" collapsed="false">
      <c r="A41" s="7"/>
      <c r="B41" s="64"/>
      <c r="C41" s="65"/>
      <c r="D41" s="123"/>
      <c r="E41" s="88"/>
      <c r="F41" s="134"/>
      <c r="G41" s="88"/>
      <c r="H41" s="134"/>
      <c r="I41" s="69"/>
      <c r="J41" s="69"/>
      <c r="K41" s="69"/>
      <c r="L41" s="88"/>
      <c r="M41" s="88"/>
      <c r="N41" s="88"/>
      <c r="O41" s="134"/>
      <c r="P41" s="88"/>
      <c r="Q41" s="88"/>
      <c r="R41" s="88"/>
      <c r="S41" s="88"/>
      <c r="T41" s="134"/>
      <c r="U41" s="88"/>
      <c r="V41" s="70"/>
      <c r="W41" s="88"/>
      <c r="X41" s="88"/>
      <c r="Y41" s="70"/>
      <c r="Z41" s="70"/>
      <c r="AA41" s="88"/>
      <c r="AB41" s="88"/>
      <c r="AC41" s="71"/>
      <c r="AD41" s="88"/>
      <c r="AE41" s="73"/>
      <c r="AF41" s="74"/>
      <c r="AG41" s="74"/>
      <c r="AH41" s="74" t="str">
        <f aca="false">IF(ISBLANK($C41),"",IF($E41=Constants!$B$2,TRUE(),IF($E41=Constants!$B$3,FALSE(),TRUE())))</f>
        <v/>
      </c>
      <c r="AI41" s="74" t="str">
        <f aca="false">IF(ISBLANK($C41),"",IF($F41=Constants!$B$2,TRUE(),IF($F41=Constants!$B$3,FALSE(),FALSE())))</f>
        <v/>
      </c>
      <c r="AJ41" s="74" t="str">
        <f aca="false">IF(ISBLANK($C41),"",IF($G41=Constants!$B$2,TRUE(),IF($G41=Constants!$B$3,FALSE(),TRUE())))</f>
        <v/>
      </c>
      <c r="AK41" s="74" t="str">
        <f aca="false">IF(ISBLANK($C41),"",IF($H41=Constants!$B$2,TRUE(),IF($H41=Constants!$B$3,FALSE(),TRUE())))</f>
        <v/>
      </c>
      <c r="AL41" s="74" t="str">
        <f aca="false">IF(ISBLANK($C41),"",IF(ISNUMBER($I41),IF($I41&gt;=0,$I41,""),""))</f>
        <v/>
      </c>
      <c r="AM41" s="74" t="str">
        <f aca="false">IF(ISBLANK($C41),"",IF(ISNUMBER($J41),IF($J41&gt;=0,$J41,""),""))</f>
        <v/>
      </c>
      <c r="AN41" s="74" t="str">
        <f aca="false">IF(ISBLANK($C41),"",IF(ISNUMBER($K41),IF($K41&gt;=0,$K41,""),""))</f>
        <v/>
      </c>
      <c r="AO41" s="74" t="str">
        <f aca="false">IF(ISBLANK($C41),"",IF($L41=Constants!$B$2,TRUE(),IF($L41=Constants!$B$3,FALSE(),TRUE())))</f>
        <v/>
      </c>
      <c r="AP41" s="74" t="str">
        <f aca="false">IF(ISBLANK($C41),"",IF($M41=Constants!$B$2,TRUE(),IF($M41=Constants!$B$3,FALSE(),TRUE())))</f>
        <v/>
      </c>
      <c r="AQ41" s="74" t="str">
        <f aca="false">IF(ISBLANK($C41),"",IF($N41=Constants!$B$2,TRUE(),IF($N41=Constants!$B$3,FALSE(),FALSE())))</f>
        <v/>
      </c>
      <c r="AR41" s="74" t="str">
        <f aca="false">IF(ISBLANK($C41),"",IF($O41=Constants!$B$2,TRUE(),IF($O41=Constants!$B$3,FALSE(),TRUE())))</f>
        <v/>
      </c>
      <c r="AS41" s="74" t="str">
        <f aca="false">IF(ISBLANK($C41),"",IF($P41=Constants!$B$2,TRUE(),IF($P41=Constants!$B$3,FALSE(),FALSE())))</f>
        <v/>
      </c>
      <c r="AT41" s="74" t="str">
        <f aca="false">IF(ISBLANK($C41),"",IF($Q41=Constants!$B$2,TRUE(),IF($Q41=Constants!$B$3,FALSE(),FALSE())))</f>
        <v/>
      </c>
      <c r="AU41" s="74" t="str">
        <f aca="false">IF(ISBLANK($C41),"",IF($R41=Constants!$B$2,TRUE(),IF($R41=Constants!$B$3,FALSE(),FALSE())))</f>
        <v/>
      </c>
      <c r="AV41" s="74" t="str">
        <f aca="false">IF(ISBLANK($C41),"",IF($S41=Constants!$B$2,TRUE(),IF($S41=Constants!$B$3,FALSE(),FALSE())))</f>
        <v/>
      </c>
      <c r="AW41" s="74" t="str">
        <f aca="false">IF(ISBLANK($C41),"",IF($T41=Constants!$B$2,TRUE(),IF($T41=Constants!$B$3,FALSE(),FALSE())))</f>
        <v/>
      </c>
      <c r="AX41" s="74" t="str">
        <f aca="false">IF(ISBLANK($C41),"",IF(OR($U41&amp;""="1",$U41&amp;""="2",$U41&amp;""="3",$U41&amp;""="4"),VALUE($U41&amp;""),IF($U41=Constants!$B$12,Constants!$B$12,"")))</f>
        <v/>
      </c>
      <c r="AY41" s="74" t="str">
        <f aca="false">IF(ISBLANK($C41),"",IF(ISBLANK($V41),0,IF(ISNUMBER($V41),IF(AND($V41&gt;=0,$V41&lt;=Constants!$B$21,$V41=INT($V41)),$V41,""),"")))</f>
        <v/>
      </c>
      <c r="AZ41" s="74" t="str">
        <f aca="false">IF(ISBLANK($C41),"",IF(ISBLANK($W41),0,IF(ISNUMBER($W41),IF($W41&gt;=0,$W41,""),"")))</f>
        <v/>
      </c>
      <c r="BA41" s="74" t="str">
        <f aca="false">IF(ISBLANK($C41),"",IF($X41=Constants!$B$2,TRUE(),IF($X41=Constants!$B$3,FALSE(),TRUE())))</f>
        <v/>
      </c>
      <c r="BB41" s="74" t="str">
        <f aca="false">IF(ISBLANK($C41),"",IF($Y41=Constants!$B$2,TRUE(),IF($Y41=Constants!$B$3,FALSE(),FALSE())))</f>
        <v/>
      </c>
      <c r="BC41" s="74" t="str">
        <f aca="false">IF(ISBLANK($C41),"",IF(ISBLANK($Z41),0,IF(ISNUMBER($Z41),IF(AND($Z41&gt;=0,$Z41&lt;=Constants!$B$35,$Z41=INT($Z41)),$Z41,""),"")))</f>
        <v/>
      </c>
      <c r="BD41" s="74" t="str">
        <f aca="false">IF(ISBLANK($C41),"",IF($AA41=Constants!$B$2,TRUE(),IF($AA41=Constants!$B$3,FALSE(),TRUE())))</f>
        <v/>
      </c>
      <c r="BE41" s="74" t="str">
        <f aca="false">IF(ISBLANK($C41),"",IF($AB41=Constants!$B$2,TRUE(),IF($AB41=Constants!$B$3,FALSE(),TRUE())))</f>
        <v/>
      </c>
      <c r="BF41" s="74" t="str">
        <f aca="false">IF(ISBLANK($C41),"",IF(ISNUMBER($AC41),IF($AC41&gt;=0,$AC41,""),""))</f>
        <v/>
      </c>
      <c r="BG41" s="74" t="str">
        <f aca="false">IF(ISBLANK($C41),"",IF($AD41=Constants!$B$2,TRUE(),IF($AD41=Constants!$B$3,FALSE(),FALSE())))</f>
        <v/>
      </c>
      <c r="BH41" s="73" t="str">
        <f aca="false">IF(ISBLANK($C41),"",IF($BG41,Constants!$B$7,IF(COUNTA($E41:$AC41)=0,Constants!$B$6,IF(OR(COUNTA($G41:$AC41)=0,NOT($AK41),$AQ41),Constants!$B$5,IF(OR($CI41&lt;&gt;"",$CJ41,$CK41,$CL41,$CM41,$CN41,$CO41),Constants!$B$8,Constants!$B$4)))))</f>
        <v/>
      </c>
      <c r="BI41" s="74" t="str">
        <f aca="false">IF(ISBLANK($C41),"",IF($BH41&lt;&gt;Constants!$B$4,$BH41,IF(OR(NOT($AH41),NOT($AJ41),NOT($AR41)),Constants!$B$11,IF(OR(NOT($AP41),MAX($AL41,$AM41,$AN41)&gt;Constants!$B$30),Constants!$B$10,Constants!$B$9))))</f>
        <v/>
      </c>
      <c r="BJ41" s="74" t="str">
        <f aca="false">IF($BH41&lt;&gt;Constants!$B$4,"",IF(NOT($AJ41),0,MIN(Constants!$B$35,$BC41)))</f>
        <v/>
      </c>
      <c r="BK41" s="74" t="str">
        <f aca="false">IF($BH41&lt;&gt;Constants!$B$4,"",IF(NOT($AJ41),0,IF($AT41,Constants!$B$18,IF($AS41,Constants!$B$17,0))))</f>
        <v/>
      </c>
      <c r="BL41" s="74" t="str">
        <f aca="false">IF($BH41&lt;&gt;Constants!$B$4,"",IF(NOT($AJ41),0,Constants!$B$19*($AI41+$AU41+$AV41+$AW41)))</f>
        <v/>
      </c>
      <c r="BM41" s="74" t="str">
        <f aca="false">IF($BH41&lt;&gt;Constants!$B$4,"",IF(OR(NOT($AJ41),NOT(ISNUMBER($AX41))),0,CHOOSE($AX41,Constants!$B$13,Constants!$B$14,Constants!$B$15,Constants!$B$16)))</f>
        <v/>
      </c>
      <c r="BN41" s="74" t="str">
        <f aca="false">IF($BH41&lt;&gt;Constants!$B$4,"",IF(NOT($AJ41),0,Constants!$B$20*$AY41))</f>
        <v/>
      </c>
      <c r="BO41" s="74" t="str">
        <f aca="false">IF($BH41&lt;&gt;Constants!$B$4,"",IF(AND($AJ41,$BA41,$BB41),Constants!$B$22,0))</f>
        <v/>
      </c>
      <c r="BP41" s="74" t="str">
        <f aca="false">IF($BH41&lt;&gt;Constants!$B$4,"",IF(OR(NOT($AJ41),NOT($BA41)),0,IF($BF41&gt;=2*$AF$9,0,Constants!$B$23*INT(ROUND(MIN($BF41,$AF$9),6)))))</f>
        <v/>
      </c>
      <c r="BQ41" s="74" t="str">
        <f aca="false">IF($BH41&lt;&gt;Constants!$B$4,"",IF(NOT($AJ41),0,Constants!$B$24*INT(ROUND(MIN($AZ41,$AF$9),6))))</f>
        <v/>
      </c>
      <c r="BR41" s="74" t="str">
        <f aca="false">IF($BH41&lt;&gt;Constants!$B$4,"",IF(AND($AJ41,$BJ41=0),Constants!$B$25,0))</f>
        <v/>
      </c>
      <c r="BS41" s="74" t="str">
        <f aca="false">IF($BH41&lt;&gt;Constants!$B$4,"",MIN(Constants!$B$29,MAX(0,Constants!$B$27*Constants!$B$28*INT(ROUND((Constants!$B$26-$AL41)/Constants!$B$28,6))))+MIN(Constants!$B$29,MAX(0,Constants!$B$27*Constants!$B$28*INT(ROUND((Constants!$B$26-$AM41)/Constants!$B$28,6))))+MIN(Constants!$B$29,MAX(0,Constants!$B$27*Constants!$B$28*INT(ROUND((Constants!$B$26-$AN41)/Constants!$B$28,6)))))</f>
        <v/>
      </c>
      <c r="BT41" s="74" t="str">
        <f aca="false">IF($BH41&lt;&gt;Constants!$B$4,"",IF(NOT($AJ41),0,Constants!$B$31*INT(ROUND(MAX(0,MIN($BF41,2*$AF$9)-$AF$9),6))))</f>
        <v/>
      </c>
      <c r="BU41" s="74" t="str">
        <f aca="false">IF($BH41&lt;&gt;Constants!$B$4,"",Constants!$B$32*(($AL41&gt;Constants!$B$26)+($AM41&gt;Constants!$B$26)+($AN41&gt;Constants!$B$26)))</f>
        <v/>
      </c>
      <c r="BV41" s="74" t="str">
        <f aca="false">IF($BH41&lt;&gt;Constants!$B$4,"",IF(OR(NOT($AJ41),$AO41),0,Constants!$B$33))</f>
        <v/>
      </c>
      <c r="BW41" s="74" t="str">
        <f aca="false">IF($BH41&lt;&gt;Constants!$B$4,"",Constants!$B$34*$BJ41)</f>
        <v/>
      </c>
      <c r="BX41" s="74" t="str">
        <f aca="false">IF($BH41&lt;&gt;Constants!$B$4,"",IF(OR(NOT($AJ41),$BE41),0,Constants!$B$36))</f>
        <v/>
      </c>
      <c r="BY41" s="74" t="str">
        <f aca="false">IF($BH41&lt;&gt;Constants!$B$4,"",IF(OR(NOT($AJ41),$BD41),0,Constants!$B$37))</f>
        <v/>
      </c>
      <c r="BZ41" s="74" t="str">
        <f aca="false">IF($BH41&lt;&gt;Constants!$B$4,"",SUM($BT41:$BY41))</f>
        <v/>
      </c>
      <c r="CA41" s="74" t="str">
        <f aca="false">IF(ISBLANK($C41),"",IF($BH41&lt;&gt;Constants!$B$4,$BH41,SUM($BK41:$BS41)-$BZ41))</f>
        <v/>
      </c>
      <c r="CB41" s="74" t="str">
        <f aca="false">IF(ISBLANK($C41),"",IF($BH41&lt;&gt;Constants!$B$4,$BH41,RANK($CA41,$CA$9:$CA$508)))</f>
        <v/>
      </c>
      <c r="CC41" s="74" t="str">
        <f aca="false">IF(ISBLANK($C41),"",IF($BH41&lt;&gt;Constants!$B$4,$BH41,COUNTIFS($BI$9:$BI$508,"&lt;"&amp;$BI41)+COUNTIFS($BI$9:$BI$508,$BI41,$CB$9:$CB$508,"&lt;"&amp;$CB41)+1))</f>
        <v/>
      </c>
      <c r="CD41" s="74" t="str">
        <f aca="false">IF(ISBLANK($C41),"",IF($BH41&lt;&gt;Constants!$B$4,$BH41,RANK($BZ41,$BZ$9:$BZ$508,1)))</f>
        <v/>
      </c>
      <c r="CE41" s="74" t="str">
        <f aca="false">IF($BH41&lt;&gt;Constants!$B$4,"",$AL41+$AM41+$AN41)</f>
        <v/>
      </c>
      <c r="CF41" s="74" t="str">
        <f aca="false">IF(ISBLANK($C41),"",IF($BH41&lt;&gt;Constants!$B$4,$BH41,RANK($CE41,$CE$9:$CE$508,1)))</f>
        <v/>
      </c>
      <c r="CG41" s="74" t="str">
        <f aca="false">IF(ISBLANK($C41),"",IF($BH41&lt;&gt;Constants!$B$4,$BH41,COUNTIFS($BI$9:$BI$508,"&lt;"&amp;$BI41)+COUNTIFS($BI$9:$BI$508,$BI41,$CB$9:$CB$508,"&lt;"&amp;$CB41)+COUNTIFS($BI$9:$BI$508,$BI41,$CB$9:$CB$508,$CB41,$CD$9:$CD$508,"&lt;"&amp;$CD41)+COUNTIFS($BI$9:$BI$508,$BI41,$CB$9:$CB$508,$CB41,$CD$9:$CD$508,$CD41,$CF$9:$CF$508,"&lt;"&amp;$CF41)+1))</f>
        <v/>
      </c>
      <c r="CH41" s="74" t="str">
        <f aca="false">IF(ISBLANK($C41),"",IF($BH41&lt;&gt;Constants!$B$4,$BH41,$CC41-$CG41))</f>
        <v/>
      </c>
      <c r="CI41" s="74" t="str">
        <f aca="false">IF(ISBLANK($C41),"",IF(NOT($AJ41),"",IF(ISBLANK($D$7),$CI$5,IF(NOT(ISNUMBER($D$7)),$CI$6,""))))</f>
        <v/>
      </c>
      <c r="CJ41" s="74" t="str">
        <f aca="false">IF(ISBLANK($C41),"",OR($AL41="",$AM41="",$AN41=""))</f>
        <v/>
      </c>
      <c r="CK41" s="74" t="str">
        <f aca="false">IF(ISBLANK($C41),"",AND($AJ41,$AX41=""))</f>
        <v/>
      </c>
      <c r="CL41" s="74" t="str">
        <f aca="false">IF(ISBLANK($C41),"",AND($AJ41,$AY41=""))</f>
        <v/>
      </c>
      <c r="CM41" s="74" t="str">
        <f aca="false">IF(ISBLANK($C41),"",AND($AJ41,$AZ41=""))</f>
        <v/>
      </c>
      <c r="CN41" s="74" t="str">
        <f aca="false">IF(ISBLANK($C41),"",AND($AJ41,$BC41=""))</f>
        <v/>
      </c>
      <c r="CO41" s="74" t="str">
        <f aca="false">IF(ISBLANK($C41),"",AND($AJ41,$BF41=""))</f>
        <v/>
      </c>
      <c r="CP41" s="75"/>
      <c r="CQ41" s="76"/>
      <c r="CR41" s="79" t="str">
        <f aca="false">IF(ISBLANK($C41),"",IF($BH41=Constants!$B$8,$CI41,""))</f>
        <v/>
      </c>
      <c r="CS41" s="76" t="str">
        <f aca="false">IF(ISBLANK($C41),"",IF($BH41&lt;&gt;Constants!$B$4,"",$BK41+$BL41))</f>
        <v/>
      </c>
      <c r="CT41" s="78" t="str">
        <f aca="false">IF(ISBLANK($C41),"",IF($BH41&lt;&gt;Constants!$B$4,"",$BM41+$BN41+$BO41))</f>
        <v/>
      </c>
      <c r="CU41" s="78" t="str">
        <f aca="false">IF(ISBLANK($C41),"",IF($BH41&lt;&gt;Constants!$B$4,"",$BP41))</f>
        <v/>
      </c>
      <c r="CV41" s="78" t="str">
        <f aca="false">IF(ISBLANK($C41),"",IF($BH41&lt;&gt;Constants!$B$4,"",$BQ41+$BR41))</f>
        <v/>
      </c>
      <c r="CW41" s="78" t="str">
        <f aca="false">IF(ISBLANK($C41),"",IF($BH41&lt;&gt;Constants!$B$4,"",$BS41))</f>
        <v/>
      </c>
      <c r="CX41" s="78" t="str">
        <f aca="false">IF(ISBLANK($C41),"",IF($BH41&lt;&gt;Constants!$B$4,"",-$BZ41))</f>
        <v/>
      </c>
      <c r="CY41" s="79" t="str">
        <f aca="false">IF(ISBLANK($C41),"",$CA41)</f>
        <v/>
      </c>
      <c r="CZ41" s="80" t="str">
        <f aca="false">IF(ISBLANK($C41),"",$BI41)</f>
        <v/>
      </c>
      <c r="DA41" s="78" t="str">
        <f aca="false">IF(ISBLANK($C41),"",$CH41)</f>
        <v/>
      </c>
      <c r="DB41" s="78" t="str">
        <f aca="false">IF(ISBLANK($C41),"",$CG41)</f>
        <v/>
      </c>
      <c r="DC41" s="81" t="str">
        <f aca="false">IF(ISBLANK($C41),"",IFERROR(_xlfn.SWITCH($DB41,Constants!$B$7,COUNTA($C$9:$C$508)+2,Constants!$B$6,COUNTA($C$9:$C$508)+1,Constants!$B$5,COUNTA($C$9:$C$508)),$DB41))</f>
        <v/>
      </c>
      <c r="DD41" s="7"/>
      <c r="DE41" s="82" t="n">
        <f aca="false">IF(OR(ISNUMBER($DB41),$DB41=Constants!$B$7,$DB41=Constants!$B$5,$DB41=Constants!$B$6),1,0)</f>
        <v>0</v>
      </c>
      <c r="DF41" s="82" t="n">
        <v>33</v>
      </c>
      <c r="DG41" s="82" t="str">
        <f aca="false">IF(ISBLANK($C41),"",IF(ISNUMBER($DC41),$DC41+ROW($B41)/1000,""))</f>
        <v/>
      </c>
      <c r="DH41" s="82" t="str">
        <f aca="false">IF(ISNUMBER($DG41),RANK($DG41,$DG$9:$DG$508,1),"")</f>
        <v/>
      </c>
      <c r="DI41" s="82" t="str">
        <f aca="false">IF(ISBLANK($C41),"",$B41)</f>
        <v/>
      </c>
      <c r="DJ41" s="82" t="str">
        <f aca="false">IF(ISBLANK($C41),"",$C41)</f>
        <v/>
      </c>
      <c r="DK41" s="82" t="str">
        <f aca="false">IF(ISBLANK($C41),"",$D41)</f>
        <v/>
      </c>
      <c r="DL41" s="83" t="str">
        <f aca="false">$CZ41</f>
        <v/>
      </c>
      <c r="DM41" s="84" t="str">
        <f aca="false">$CY41</f>
        <v/>
      </c>
      <c r="DN41" s="82" t="str">
        <f aca="false">IF(ISBLANK($C41),"",$DB41)</f>
        <v/>
      </c>
      <c r="DO41" s="85" t="str">
        <f aca="false">IF($DF41&gt;$DE$8,"",VLOOKUP($DF41,$DH$9:$DN$508,7,FALSE()))</f>
        <v/>
      </c>
      <c r="DP41" s="86" t="str">
        <f aca="false">IF($DF41&gt;$DE$8,"",VLOOKUP($DF41,$DH$9:$DN$508,2,FALSE()))</f>
        <v/>
      </c>
      <c r="DQ41" s="86" t="str">
        <f aca="false">IF($DF41&gt;$DE$8,"",VLOOKUP($DF41,$DH$9:$DN$508,3,FALSE()))</f>
        <v/>
      </c>
      <c r="DR41" s="86" t="str">
        <f aca="false">IF($DF41&gt;$DE$8,"",VLOOKUP($DF41,$DH$9:$DN$508,4,FALSE()))</f>
        <v/>
      </c>
      <c r="DS41" s="86" t="str">
        <f aca="false">IF($DF41&gt;$DE$8,"",VLOOKUP($DF41,$DH$9:$DN$508,5,FALSE()))</f>
        <v/>
      </c>
      <c r="DT41" s="87" t="str">
        <f aca="false">IF($DF41&gt;$DE$8,"",VLOOKUP($DF41,$DH$9:$DN$508,6,FALSE()))</f>
        <v/>
      </c>
      <c r="DU41" s="62"/>
    </row>
    <row r="42" customFormat="false" ht="15.75" hidden="false" customHeight="false" outlineLevel="0" collapsed="false">
      <c r="A42" s="7"/>
      <c r="B42" s="90"/>
      <c r="C42" s="91"/>
      <c r="D42" s="126"/>
      <c r="E42" s="130"/>
      <c r="F42" s="135"/>
      <c r="G42" s="130"/>
      <c r="H42" s="135"/>
      <c r="I42" s="95"/>
      <c r="J42" s="95"/>
      <c r="K42" s="95"/>
      <c r="L42" s="130"/>
      <c r="M42" s="130"/>
      <c r="N42" s="130"/>
      <c r="O42" s="135"/>
      <c r="P42" s="130"/>
      <c r="Q42" s="130"/>
      <c r="R42" s="130"/>
      <c r="S42" s="130"/>
      <c r="T42" s="135"/>
      <c r="U42" s="130"/>
      <c r="V42" s="96"/>
      <c r="W42" s="130"/>
      <c r="X42" s="130"/>
      <c r="Y42" s="96"/>
      <c r="Z42" s="96"/>
      <c r="AA42" s="130"/>
      <c r="AB42" s="130"/>
      <c r="AC42" s="97"/>
      <c r="AD42" s="130"/>
      <c r="AE42" s="99"/>
      <c r="AF42" s="100"/>
      <c r="AG42" s="100"/>
      <c r="AH42" s="100" t="str">
        <f aca="false">IF(ISBLANK($C42),"",IF($E42=Constants!$B$2,TRUE(),IF($E42=Constants!$B$3,FALSE(),TRUE())))</f>
        <v/>
      </c>
      <c r="AI42" s="100" t="str">
        <f aca="false">IF(ISBLANK($C42),"",IF($F42=Constants!$B$2,TRUE(),IF($F42=Constants!$B$3,FALSE(),FALSE())))</f>
        <v/>
      </c>
      <c r="AJ42" s="100" t="str">
        <f aca="false">IF(ISBLANK($C42),"",IF($G42=Constants!$B$2,TRUE(),IF($G42=Constants!$B$3,FALSE(),TRUE())))</f>
        <v/>
      </c>
      <c r="AK42" s="100" t="str">
        <f aca="false">IF(ISBLANK($C42),"",IF($H42=Constants!$B$2,TRUE(),IF($H42=Constants!$B$3,FALSE(),TRUE())))</f>
        <v/>
      </c>
      <c r="AL42" s="100" t="str">
        <f aca="false">IF(ISBLANK($C42),"",IF(ISNUMBER($I42),IF($I42&gt;=0,$I42,""),""))</f>
        <v/>
      </c>
      <c r="AM42" s="100" t="str">
        <f aca="false">IF(ISBLANK($C42),"",IF(ISNUMBER($J42),IF($J42&gt;=0,$J42,""),""))</f>
        <v/>
      </c>
      <c r="AN42" s="100" t="str">
        <f aca="false">IF(ISBLANK($C42),"",IF(ISNUMBER($K42),IF($K42&gt;=0,$K42,""),""))</f>
        <v/>
      </c>
      <c r="AO42" s="100" t="str">
        <f aca="false">IF(ISBLANK($C42),"",IF($L42=Constants!$B$2,TRUE(),IF($L42=Constants!$B$3,FALSE(),TRUE())))</f>
        <v/>
      </c>
      <c r="AP42" s="100" t="str">
        <f aca="false">IF(ISBLANK($C42),"",IF($M42=Constants!$B$2,TRUE(),IF($M42=Constants!$B$3,FALSE(),TRUE())))</f>
        <v/>
      </c>
      <c r="AQ42" s="100" t="str">
        <f aca="false">IF(ISBLANK($C42),"",IF($N42=Constants!$B$2,TRUE(),IF($N42=Constants!$B$3,FALSE(),FALSE())))</f>
        <v/>
      </c>
      <c r="AR42" s="100" t="str">
        <f aca="false">IF(ISBLANK($C42),"",IF($O42=Constants!$B$2,TRUE(),IF($O42=Constants!$B$3,FALSE(),TRUE())))</f>
        <v/>
      </c>
      <c r="AS42" s="100" t="str">
        <f aca="false">IF(ISBLANK($C42),"",IF($P42=Constants!$B$2,TRUE(),IF($P42=Constants!$B$3,FALSE(),FALSE())))</f>
        <v/>
      </c>
      <c r="AT42" s="100" t="str">
        <f aca="false">IF(ISBLANK($C42),"",IF($Q42=Constants!$B$2,TRUE(),IF($Q42=Constants!$B$3,FALSE(),FALSE())))</f>
        <v/>
      </c>
      <c r="AU42" s="100" t="str">
        <f aca="false">IF(ISBLANK($C42),"",IF($R42=Constants!$B$2,TRUE(),IF($R42=Constants!$B$3,FALSE(),FALSE())))</f>
        <v/>
      </c>
      <c r="AV42" s="100" t="str">
        <f aca="false">IF(ISBLANK($C42),"",IF($S42=Constants!$B$2,TRUE(),IF($S42=Constants!$B$3,FALSE(),FALSE())))</f>
        <v/>
      </c>
      <c r="AW42" s="100" t="str">
        <f aca="false">IF(ISBLANK($C42),"",IF($T42=Constants!$B$2,TRUE(),IF($T42=Constants!$B$3,FALSE(),FALSE())))</f>
        <v/>
      </c>
      <c r="AX42" s="100" t="str">
        <f aca="false">IF(ISBLANK($C42),"",IF(OR($U42&amp;""="1",$U42&amp;""="2",$U42&amp;""="3",$U42&amp;""="4"),VALUE($U42&amp;""),IF($U42=Constants!$B$12,Constants!$B$12,"")))</f>
        <v/>
      </c>
      <c r="AY42" s="100" t="str">
        <f aca="false">IF(ISBLANK($C42),"",IF(ISBLANK($V42),0,IF(ISNUMBER($V42),IF(AND($V42&gt;=0,$V42&lt;=Constants!$B$21,$V42=INT($V42)),$V42,""),"")))</f>
        <v/>
      </c>
      <c r="AZ42" s="100" t="str">
        <f aca="false">IF(ISBLANK($C42),"",IF(ISBLANK($W42),0,IF(ISNUMBER($W42),IF($W42&gt;=0,$W42,""),"")))</f>
        <v/>
      </c>
      <c r="BA42" s="100" t="str">
        <f aca="false">IF(ISBLANK($C42),"",IF($X42=Constants!$B$2,TRUE(),IF($X42=Constants!$B$3,FALSE(),TRUE())))</f>
        <v/>
      </c>
      <c r="BB42" s="100" t="str">
        <f aca="false">IF(ISBLANK($C42),"",IF($Y42=Constants!$B$2,TRUE(),IF($Y42=Constants!$B$3,FALSE(),FALSE())))</f>
        <v/>
      </c>
      <c r="BC42" s="100" t="str">
        <f aca="false">IF(ISBLANK($C42),"",IF(ISBLANK($Z42),0,IF(ISNUMBER($Z42),IF(AND($Z42&gt;=0,$Z42&lt;=Constants!$B$35,$Z42=INT($Z42)),$Z42,""),"")))</f>
        <v/>
      </c>
      <c r="BD42" s="100" t="str">
        <f aca="false">IF(ISBLANK($C42),"",IF($AA42=Constants!$B$2,TRUE(),IF($AA42=Constants!$B$3,FALSE(),TRUE())))</f>
        <v/>
      </c>
      <c r="BE42" s="100" t="str">
        <f aca="false">IF(ISBLANK($C42),"",IF($AB42=Constants!$B$2,TRUE(),IF($AB42=Constants!$B$3,FALSE(),TRUE())))</f>
        <v/>
      </c>
      <c r="BF42" s="100" t="str">
        <f aca="false">IF(ISBLANK($C42),"",IF(ISNUMBER($AC42),IF($AC42&gt;=0,$AC42,""),""))</f>
        <v/>
      </c>
      <c r="BG42" s="100" t="str">
        <f aca="false">IF(ISBLANK($C42),"",IF($AD42=Constants!$B$2,TRUE(),IF($AD42=Constants!$B$3,FALSE(),FALSE())))</f>
        <v/>
      </c>
      <c r="BH42" s="99" t="str">
        <f aca="false">IF(ISBLANK($C42),"",IF($BG42,Constants!$B$7,IF(COUNTA($E42:$AC42)=0,Constants!$B$6,IF(OR(COUNTA($G42:$AC42)=0,NOT($AK42),$AQ42),Constants!$B$5,IF(OR($CI42&lt;&gt;"",$CJ42,$CK42,$CL42,$CM42,$CN42,$CO42),Constants!$B$8,Constants!$B$4)))))</f>
        <v/>
      </c>
      <c r="BI42" s="100" t="str">
        <f aca="false">IF(ISBLANK($C42),"",IF($BH42&lt;&gt;Constants!$B$4,$BH42,IF(OR(NOT($AH42),NOT($AJ42),NOT($AR42)),Constants!$B$11,IF(OR(NOT($AP42),MAX($AL42,$AM42,$AN42)&gt;Constants!$B$30),Constants!$B$10,Constants!$B$9))))</f>
        <v/>
      </c>
      <c r="BJ42" s="100" t="str">
        <f aca="false">IF($BH42&lt;&gt;Constants!$B$4,"",IF(NOT($AJ42),0,MIN(Constants!$B$35,$BC42)))</f>
        <v/>
      </c>
      <c r="BK42" s="100" t="str">
        <f aca="false">IF($BH42&lt;&gt;Constants!$B$4,"",IF(NOT($AJ42),0,IF($AT42,Constants!$B$18,IF($AS42,Constants!$B$17,0))))</f>
        <v/>
      </c>
      <c r="BL42" s="100" t="str">
        <f aca="false">IF($BH42&lt;&gt;Constants!$B$4,"",IF(NOT($AJ42),0,Constants!$B$19*($AI42+$AU42+$AV42+$AW42)))</f>
        <v/>
      </c>
      <c r="BM42" s="100" t="str">
        <f aca="false">IF($BH42&lt;&gt;Constants!$B$4,"",IF(OR(NOT($AJ42),NOT(ISNUMBER($AX42))),0,CHOOSE($AX42,Constants!$B$13,Constants!$B$14,Constants!$B$15,Constants!$B$16)))</f>
        <v/>
      </c>
      <c r="BN42" s="100" t="str">
        <f aca="false">IF($BH42&lt;&gt;Constants!$B$4,"",IF(NOT($AJ42),0,Constants!$B$20*$AY42))</f>
        <v/>
      </c>
      <c r="BO42" s="100" t="str">
        <f aca="false">IF($BH42&lt;&gt;Constants!$B$4,"",IF(AND($AJ42,$BA42,$BB42),Constants!$B$22,0))</f>
        <v/>
      </c>
      <c r="BP42" s="100" t="str">
        <f aca="false">IF($BH42&lt;&gt;Constants!$B$4,"",IF(OR(NOT($AJ42),NOT($BA42)),0,IF($BF42&gt;=2*$AF$9,0,Constants!$B$23*INT(ROUND(MIN($BF42,$AF$9),6)))))</f>
        <v/>
      </c>
      <c r="BQ42" s="100" t="str">
        <f aca="false">IF($BH42&lt;&gt;Constants!$B$4,"",IF(NOT($AJ42),0,Constants!$B$24*INT(ROUND(MIN($AZ42,$AF$9),6))))</f>
        <v/>
      </c>
      <c r="BR42" s="100" t="str">
        <f aca="false">IF($BH42&lt;&gt;Constants!$B$4,"",IF(AND($AJ42,$BJ42=0),Constants!$B$25,0))</f>
        <v/>
      </c>
      <c r="BS42" s="100" t="str">
        <f aca="false">IF($BH42&lt;&gt;Constants!$B$4,"",MIN(Constants!$B$29,MAX(0,Constants!$B$27*Constants!$B$28*INT(ROUND((Constants!$B$26-$AL42)/Constants!$B$28,6))))+MIN(Constants!$B$29,MAX(0,Constants!$B$27*Constants!$B$28*INT(ROUND((Constants!$B$26-$AM42)/Constants!$B$28,6))))+MIN(Constants!$B$29,MAX(0,Constants!$B$27*Constants!$B$28*INT(ROUND((Constants!$B$26-$AN42)/Constants!$B$28,6)))))</f>
        <v/>
      </c>
      <c r="BT42" s="100" t="str">
        <f aca="false">IF($BH42&lt;&gt;Constants!$B$4,"",IF(NOT($AJ42),0,Constants!$B$31*INT(ROUND(MAX(0,MIN($BF42,2*$AF$9)-$AF$9),6))))</f>
        <v/>
      </c>
      <c r="BU42" s="100" t="str">
        <f aca="false">IF($BH42&lt;&gt;Constants!$B$4,"",Constants!$B$32*(($AL42&gt;Constants!$B$26)+($AM42&gt;Constants!$B$26)+($AN42&gt;Constants!$B$26)))</f>
        <v/>
      </c>
      <c r="BV42" s="100" t="str">
        <f aca="false">IF($BH42&lt;&gt;Constants!$B$4,"",IF(OR(NOT($AJ42),$AO42),0,Constants!$B$33))</f>
        <v/>
      </c>
      <c r="BW42" s="100" t="str">
        <f aca="false">IF($BH42&lt;&gt;Constants!$B$4,"",Constants!$B$34*$BJ42)</f>
        <v/>
      </c>
      <c r="BX42" s="100" t="str">
        <f aca="false">IF($BH42&lt;&gt;Constants!$B$4,"",IF(OR(NOT($AJ42),$BE42),0,Constants!$B$36))</f>
        <v/>
      </c>
      <c r="BY42" s="100" t="str">
        <f aca="false">IF($BH42&lt;&gt;Constants!$B$4,"",IF(OR(NOT($AJ42),$BD42),0,Constants!$B$37))</f>
        <v/>
      </c>
      <c r="BZ42" s="100" t="str">
        <f aca="false">IF($BH42&lt;&gt;Constants!$B$4,"",SUM($BT42:$BY42))</f>
        <v/>
      </c>
      <c r="CA42" s="100" t="str">
        <f aca="false">IF(ISBLANK($C42),"",IF($BH42&lt;&gt;Constants!$B$4,$BH42,SUM($BK42:$BS42)-$BZ42))</f>
        <v/>
      </c>
      <c r="CB42" s="100" t="str">
        <f aca="false">IF(ISBLANK($C42),"",IF($BH42&lt;&gt;Constants!$B$4,$BH42,RANK($CA42,$CA$9:$CA$508)))</f>
        <v/>
      </c>
      <c r="CC42" s="100" t="str">
        <f aca="false">IF(ISBLANK($C42),"",IF($BH42&lt;&gt;Constants!$B$4,$BH42,COUNTIFS($BI$9:$BI$508,"&lt;"&amp;$BI42)+COUNTIFS($BI$9:$BI$508,$BI42,$CB$9:$CB$508,"&lt;"&amp;$CB42)+1))</f>
        <v/>
      </c>
      <c r="CD42" s="100" t="str">
        <f aca="false">IF(ISBLANK($C42),"",IF($BH42&lt;&gt;Constants!$B$4,$BH42,RANK($BZ42,$BZ$9:$BZ$508,1)))</f>
        <v/>
      </c>
      <c r="CE42" s="100" t="str">
        <f aca="false">IF($BH42&lt;&gt;Constants!$B$4,"",$AL42+$AM42+$AN42)</f>
        <v/>
      </c>
      <c r="CF42" s="100" t="str">
        <f aca="false">IF(ISBLANK($C42),"",IF($BH42&lt;&gt;Constants!$B$4,$BH42,RANK($CE42,$CE$9:$CE$508,1)))</f>
        <v/>
      </c>
      <c r="CG42" s="100" t="str">
        <f aca="false">IF(ISBLANK($C42),"",IF($BH42&lt;&gt;Constants!$B$4,$BH42,COUNTIFS($BI$9:$BI$508,"&lt;"&amp;$BI42)+COUNTIFS($BI$9:$BI$508,$BI42,$CB$9:$CB$508,"&lt;"&amp;$CB42)+COUNTIFS($BI$9:$BI$508,$BI42,$CB$9:$CB$508,$CB42,$CD$9:$CD$508,"&lt;"&amp;$CD42)+COUNTIFS($BI$9:$BI$508,$BI42,$CB$9:$CB$508,$CB42,$CD$9:$CD$508,$CD42,$CF$9:$CF$508,"&lt;"&amp;$CF42)+1))</f>
        <v/>
      </c>
      <c r="CH42" s="100" t="str">
        <f aca="false">IF(ISBLANK($C42),"",IF($BH42&lt;&gt;Constants!$B$4,$BH42,$CC42-$CG42))</f>
        <v/>
      </c>
      <c r="CI42" s="100" t="str">
        <f aca="false">IF(ISBLANK($C42),"",IF(NOT($AJ42),"",IF(ISBLANK($D$7),$CI$5,IF(NOT(ISNUMBER($D$7)),$CI$6,""))))</f>
        <v/>
      </c>
      <c r="CJ42" s="100" t="str">
        <f aca="false">IF(ISBLANK($C42),"",OR($AL42="",$AM42="",$AN42=""))</f>
        <v/>
      </c>
      <c r="CK42" s="100" t="str">
        <f aca="false">IF(ISBLANK($C42),"",AND($AJ42,$AX42=""))</f>
        <v/>
      </c>
      <c r="CL42" s="100" t="str">
        <f aca="false">IF(ISBLANK($C42),"",AND($AJ42,$AY42=""))</f>
        <v/>
      </c>
      <c r="CM42" s="100" t="str">
        <f aca="false">IF(ISBLANK($C42),"",AND($AJ42,$AZ42=""))</f>
        <v/>
      </c>
      <c r="CN42" s="100" t="str">
        <f aca="false">IF(ISBLANK($C42),"",AND($AJ42,$BC42=""))</f>
        <v/>
      </c>
      <c r="CO42" s="100" t="str">
        <f aca="false">IF(ISBLANK($C42),"",AND($AJ42,$BF42=""))</f>
        <v/>
      </c>
      <c r="CP42" s="101"/>
      <c r="CQ42" s="102"/>
      <c r="CR42" s="103" t="str">
        <f aca="false">IF(ISBLANK($C42),"",IF($BH42=Constants!$B$8,$CI42,""))</f>
        <v/>
      </c>
      <c r="CS42" s="102" t="str">
        <f aca="false">IF(ISBLANK($C42),"",IF($BH42&lt;&gt;Constants!$B$4,"",$BK42+$BL42))</f>
        <v/>
      </c>
      <c r="CT42" s="104" t="str">
        <f aca="false">IF(ISBLANK($C42),"",IF($BH42&lt;&gt;Constants!$B$4,"",$BM42+$BN42+$BO42))</f>
        <v/>
      </c>
      <c r="CU42" s="104" t="str">
        <f aca="false">IF(ISBLANK($C42),"",IF($BH42&lt;&gt;Constants!$B$4,"",$BP42))</f>
        <v/>
      </c>
      <c r="CV42" s="104" t="str">
        <f aca="false">IF(ISBLANK($C42),"",IF($BH42&lt;&gt;Constants!$B$4,"",$BQ42+$BR42))</f>
        <v/>
      </c>
      <c r="CW42" s="104" t="str">
        <f aca="false">IF(ISBLANK($C42),"",IF($BH42&lt;&gt;Constants!$B$4,"",$BS42))</f>
        <v/>
      </c>
      <c r="CX42" s="104" t="str">
        <f aca="false">IF(ISBLANK($C42),"",IF($BH42&lt;&gt;Constants!$B$4,"",-$BZ42))</f>
        <v/>
      </c>
      <c r="CY42" s="103" t="str">
        <f aca="false">IF(ISBLANK($C42),"",$CA42)</f>
        <v/>
      </c>
      <c r="CZ42" s="105" t="str">
        <f aca="false">IF(ISBLANK($C42),"",$BI42)</f>
        <v/>
      </c>
      <c r="DA42" s="104" t="str">
        <f aca="false">IF(ISBLANK($C42),"",$CH42)</f>
        <v/>
      </c>
      <c r="DB42" s="104" t="str">
        <f aca="false">IF(ISBLANK($C42),"",$CG42)</f>
        <v/>
      </c>
      <c r="DC42" s="106" t="str">
        <f aca="false">IF(ISBLANK($C42),"",IFERROR(_xlfn.SWITCH($DB42,Constants!$B$7,COUNTA($C$9:$C$508)+2,Constants!$B$6,COUNTA($C$9:$C$508)+1,Constants!$B$5,COUNTA($C$9:$C$508)),$DB42))</f>
        <v/>
      </c>
      <c r="DD42" s="7"/>
      <c r="DE42" s="107" t="n">
        <f aca="false">IF(OR(ISNUMBER($DB42),$DB42=Constants!$B$7,$DB42=Constants!$B$5,$DB42=Constants!$B$6),1,0)</f>
        <v>0</v>
      </c>
      <c r="DF42" s="107" t="n">
        <v>34</v>
      </c>
      <c r="DG42" s="107" t="str">
        <f aca="false">IF(ISBLANK($C42),"",IF(ISNUMBER($DC42),$DC42+ROW($B42)/1000,""))</f>
        <v/>
      </c>
      <c r="DH42" s="107" t="str">
        <f aca="false">IF(ISNUMBER($DG42),RANK($DG42,$DG$9:$DG$508,1),"")</f>
        <v/>
      </c>
      <c r="DI42" s="107" t="str">
        <f aca="false">IF(ISBLANK($C42),"",$B42)</f>
        <v/>
      </c>
      <c r="DJ42" s="107" t="str">
        <f aca="false">IF(ISBLANK($C42),"",$C42)</f>
        <v/>
      </c>
      <c r="DK42" s="107" t="str">
        <f aca="false">IF(ISBLANK($C42),"",$D42)</f>
        <v/>
      </c>
      <c r="DL42" s="108" t="str">
        <f aca="false">$CZ42</f>
        <v/>
      </c>
      <c r="DM42" s="109" t="str">
        <f aca="false">$CY42</f>
        <v/>
      </c>
      <c r="DN42" s="107" t="str">
        <f aca="false">IF(ISBLANK($C42),"",$DB42)</f>
        <v/>
      </c>
      <c r="DO42" s="110" t="str">
        <f aca="false">IF($DF42&gt;$DE$8,"",VLOOKUP($DF42,$DH$9:$DN$508,7,FALSE()))</f>
        <v/>
      </c>
      <c r="DP42" s="111" t="str">
        <f aca="false">IF($DF42&gt;$DE$8,"",VLOOKUP($DF42,$DH$9:$DN$508,2,FALSE()))</f>
        <v/>
      </c>
      <c r="DQ42" s="111" t="str">
        <f aca="false">IF($DF42&gt;$DE$8,"",VLOOKUP($DF42,$DH$9:$DN$508,3,FALSE()))</f>
        <v/>
      </c>
      <c r="DR42" s="111" t="str">
        <f aca="false">IF($DF42&gt;$DE$8,"",VLOOKUP($DF42,$DH$9:$DN$508,4,FALSE()))</f>
        <v/>
      </c>
      <c r="DS42" s="111" t="str">
        <f aca="false">IF($DF42&gt;$DE$8,"",VLOOKUP($DF42,$DH$9:$DN$508,5,FALSE()))</f>
        <v/>
      </c>
      <c r="DT42" s="112" t="str">
        <f aca="false">IF($DF42&gt;$DE$8,"",VLOOKUP($DF42,$DH$9:$DN$508,6,FALSE()))</f>
        <v/>
      </c>
      <c r="DU42" s="62"/>
    </row>
    <row r="43" customFormat="false" ht="15.75" hidden="false" customHeight="false" outlineLevel="0" collapsed="false">
      <c r="A43" s="7"/>
      <c r="B43" s="90"/>
      <c r="C43" s="91"/>
      <c r="D43" s="126"/>
      <c r="E43" s="130"/>
      <c r="F43" s="135"/>
      <c r="G43" s="130"/>
      <c r="H43" s="135"/>
      <c r="I43" s="95"/>
      <c r="J43" s="95"/>
      <c r="K43" s="95"/>
      <c r="L43" s="130"/>
      <c r="M43" s="130"/>
      <c r="N43" s="130"/>
      <c r="O43" s="135"/>
      <c r="P43" s="130"/>
      <c r="Q43" s="130"/>
      <c r="R43" s="130"/>
      <c r="S43" s="130"/>
      <c r="T43" s="135"/>
      <c r="U43" s="130"/>
      <c r="V43" s="96"/>
      <c r="W43" s="130"/>
      <c r="X43" s="130"/>
      <c r="Y43" s="96"/>
      <c r="Z43" s="96"/>
      <c r="AA43" s="130"/>
      <c r="AB43" s="130"/>
      <c r="AC43" s="97"/>
      <c r="AD43" s="130"/>
      <c r="AE43" s="99"/>
      <c r="AF43" s="100"/>
      <c r="AG43" s="100"/>
      <c r="AH43" s="100" t="str">
        <f aca="false">IF(ISBLANK($C43),"",IF($E43=Constants!$B$2,TRUE(),IF($E43=Constants!$B$3,FALSE(),TRUE())))</f>
        <v/>
      </c>
      <c r="AI43" s="100" t="str">
        <f aca="false">IF(ISBLANK($C43),"",IF($F43=Constants!$B$2,TRUE(),IF($F43=Constants!$B$3,FALSE(),FALSE())))</f>
        <v/>
      </c>
      <c r="AJ43" s="100" t="str">
        <f aca="false">IF(ISBLANK($C43),"",IF($G43=Constants!$B$2,TRUE(),IF($G43=Constants!$B$3,FALSE(),TRUE())))</f>
        <v/>
      </c>
      <c r="AK43" s="100" t="str">
        <f aca="false">IF(ISBLANK($C43),"",IF($H43=Constants!$B$2,TRUE(),IF($H43=Constants!$B$3,FALSE(),TRUE())))</f>
        <v/>
      </c>
      <c r="AL43" s="100" t="str">
        <f aca="false">IF(ISBLANK($C43),"",IF(ISNUMBER($I43),IF($I43&gt;=0,$I43,""),""))</f>
        <v/>
      </c>
      <c r="AM43" s="100" t="str">
        <f aca="false">IF(ISBLANK($C43),"",IF(ISNUMBER($J43),IF($J43&gt;=0,$J43,""),""))</f>
        <v/>
      </c>
      <c r="AN43" s="100" t="str">
        <f aca="false">IF(ISBLANK($C43),"",IF(ISNUMBER($K43),IF($K43&gt;=0,$K43,""),""))</f>
        <v/>
      </c>
      <c r="AO43" s="100" t="str">
        <f aca="false">IF(ISBLANK($C43),"",IF($L43=Constants!$B$2,TRUE(),IF($L43=Constants!$B$3,FALSE(),TRUE())))</f>
        <v/>
      </c>
      <c r="AP43" s="100" t="str">
        <f aca="false">IF(ISBLANK($C43),"",IF($M43=Constants!$B$2,TRUE(),IF($M43=Constants!$B$3,FALSE(),TRUE())))</f>
        <v/>
      </c>
      <c r="AQ43" s="100" t="str">
        <f aca="false">IF(ISBLANK($C43),"",IF($N43=Constants!$B$2,TRUE(),IF($N43=Constants!$B$3,FALSE(),FALSE())))</f>
        <v/>
      </c>
      <c r="AR43" s="100" t="str">
        <f aca="false">IF(ISBLANK($C43),"",IF($O43=Constants!$B$2,TRUE(),IF($O43=Constants!$B$3,FALSE(),TRUE())))</f>
        <v/>
      </c>
      <c r="AS43" s="100" t="str">
        <f aca="false">IF(ISBLANK($C43),"",IF($P43=Constants!$B$2,TRUE(),IF($P43=Constants!$B$3,FALSE(),FALSE())))</f>
        <v/>
      </c>
      <c r="AT43" s="100" t="str">
        <f aca="false">IF(ISBLANK($C43),"",IF($Q43=Constants!$B$2,TRUE(),IF($Q43=Constants!$B$3,FALSE(),FALSE())))</f>
        <v/>
      </c>
      <c r="AU43" s="100" t="str">
        <f aca="false">IF(ISBLANK($C43),"",IF($R43=Constants!$B$2,TRUE(),IF($R43=Constants!$B$3,FALSE(),FALSE())))</f>
        <v/>
      </c>
      <c r="AV43" s="100" t="str">
        <f aca="false">IF(ISBLANK($C43),"",IF($S43=Constants!$B$2,TRUE(),IF($S43=Constants!$B$3,FALSE(),FALSE())))</f>
        <v/>
      </c>
      <c r="AW43" s="100" t="str">
        <f aca="false">IF(ISBLANK($C43),"",IF($T43=Constants!$B$2,TRUE(),IF($T43=Constants!$B$3,FALSE(),FALSE())))</f>
        <v/>
      </c>
      <c r="AX43" s="100" t="str">
        <f aca="false">IF(ISBLANK($C43),"",IF(OR($U43&amp;""="1",$U43&amp;""="2",$U43&amp;""="3",$U43&amp;""="4"),VALUE($U43&amp;""),IF($U43=Constants!$B$12,Constants!$B$12,"")))</f>
        <v/>
      </c>
      <c r="AY43" s="100" t="str">
        <f aca="false">IF(ISBLANK($C43),"",IF(ISBLANK($V43),0,IF(ISNUMBER($V43),IF(AND($V43&gt;=0,$V43&lt;=Constants!$B$21,$V43=INT($V43)),$V43,""),"")))</f>
        <v/>
      </c>
      <c r="AZ43" s="100" t="str">
        <f aca="false">IF(ISBLANK($C43),"",IF(ISBLANK($W43),0,IF(ISNUMBER($W43),IF($W43&gt;=0,$W43,""),"")))</f>
        <v/>
      </c>
      <c r="BA43" s="100" t="str">
        <f aca="false">IF(ISBLANK($C43),"",IF($X43=Constants!$B$2,TRUE(),IF($X43=Constants!$B$3,FALSE(),TRUE())))</f>
        <v/>
      </c>
      <c r="BB43" s="100" t="str">
        <f aca="false">IF(ISBLANK($C43),"",IF($Y43=Constants!$B$2,TRUE(),IF($Y43=Constants!$B$3,FALSE(),FALSE())))</f>
        <v/>
      </c>
      <c r="BC43" s="100" t="str">
        <f aca="false">IF(ISBLANK($C43),"",IF(ISBLANK($Z43),0,IF(ISNUMBER($Z43),IF(AND($Z43&gt;=0,$Z43&lt;=Constants!$B$35,$Z43=INT($Z43)),$Z43,""),"")))</f>
        <v/>
      </c>
      <c r="BD43" s="100" t="str">
        <f aca="false">IF(ISBLANK($C43),"",IF($AA43=Constants!$B$2,TRUE(),IF($AA43=Constants!$B$3,FALSE(),TRUE())))</f>
        <v/>
      </c>
      <c r="BE43" s="100" t="str">
        <f aca="false">IF(ISBLANK($C43),"",IF($AB43=Constants!$B$2,TRUE(),IF($AB43=Constants!$B$3,FALSE(),TRUE())))</f>
        <v/>
      </c>
      <c r="BF43" s="100" t="str">
        <f aca="false">IF(ISBLANK($C43),"",IF(ISNUMBER($AC43),IF($AC43&gt;=0,$AC43,""),""))</f>
        <v/>
      </c>
      <c r="BG43" s="100" t="str">
        <f aca="false">IF(ISBLANK($C43),"",IF($AD43=Constants!$B$2,TRUE(),IF($AD43=Constants!$B$3,FALSE(),FALSE())))</f>
        <v/>
      </c>
      <c r="BH43" s="99" t="str">
        <f aca="false">IF(ISBLANK($C43),"",IF($BG43,Constants!$B$7,IF(COUNTA($E43:$AC43)=0,Constants!$B$6,IF(OR(COUNTA($G43:$AC43)=0,NOT($AK43),$AQ43),Constants!$B$5,IF(OR($CI43&lt;&gt;"",$CJ43,$CK43,$CL43,$CM43,$CN43,$CO43),Constants!$B$8,Constants!$B$4)))))</f>
        <v/>
      </c>
      <c r="BI43" s="100" t="str">
        <f aca="false">IF(ISBLANK($C43),"",IF($BH43&lt;&gt;Constants!$B$4,$BH43,IF(OR(NOT($AH43),NOT($AJ43),NOT($AR43)),Constants!$B$11,IF(OR(NOT($AP43),MAX($AL43,$AM43,$AN43)&gt;Constants!$B$30),Constants!$B$10,Constants!$B$9))))</f>
        <v/>
      </c>
      <c r="BJ43" s="100" t="str">
        <f aca="false">IF($BH43&lt;&gt;Constants!$B$4,"",IF(NOT($AJ43),0,MIN(Constants!$B$35,$BC43)))</f>
        <v/>
      </c>
      <c r="BK43" s="100" t="str">
        <f aca="false">IF($BH43&lt;&gt;Constants!$B$4,"",IF(NOT($AJ43),0,IF($AT43,Constants!$B$18,IF($AS43,Constants!$B$17,0))))</f>
        <v/>
      </c>
      <c r="BL43" s="100" t="str">
        <f aca="false">IF($BH43&lt;&gt;Constants!$B$4,"",IF(NOT($AJ43),0,Constants!$B$19*($AI43+$AU43+$AV43+$AW43)))</f>
        <v/>
      </c>
      <c r="BM43" s="100" t="str">
        <f aca="false">IF($BH43&lt;&gt;Constants!$B$4,"",IF(OR(NOT($AJ43),NOT(ISNUMBER($AX43))),0,CHOOSE($AX43,Constants!$B$13,Constants!$B$14,Constants!$B$15,Constants!$B$16)))</f>
        <v/>
      </c>
      <c r="BN43" s="100" t="str">
        <f aca="false">IF($BH43&lt;&gt;Constants!$B$4,"",IF(NOT($AJ43),0,Constants!$B$20*$AY43))</f>
        <v/>
      </c>
      <c r="BO43" s="100" t="str">
        <f aca="false">IF($BH43&lt;&gt;Constants!$B$4,"",IF(AND($AJ43,$BA43,$BB43),Constants!$B$22,0))</f>
        <v/>
      </c>
      <c r="BP43" s="100" t="str">
        <f aca="false">IF($BH43&lt;&gt;Constants!$B$4,"",IF(OR(NOT($AJ43),NOT($BA43)),0,IF($BF43&gt;=2*$AF$9,0,Constants!$B$23*INT(ROUND(MIN($BF43,$AF$9),6)))))</f>
        <v/>
      </c>
      <c r="BQ43" s="100" t="str">
        <f aca="false">IF($BH43&lt;&gt;Constants!$B$4,"",IF(NOT($AJ43),0,Constants!$B$24*INT(ROUND(MIN($AZ43,$AF$9),6))))</f>
        <v/>
      </c>
      <c r="BR43" s="100" t="str">
        <f aca="false">IF($BH43&lt;&gt;Constants!$B$4,"",IF(AND($AJ43,$BJ43=0),Constants!$B$25,0))</f>
        <v/>
      </c>
      <c r="BS43" s="100" t="str">
        <f aca="false">IF($BH43&lt;&gt;Constants!$B$4,"",MIN(Constants!$B$29,MAX(0,Constants!$B$27*Constants!$B$28*INT(ROUND((Constants!$B$26-$AL43)/Constants!$B$28,6))))+MIN(Constants!$B$29,MAX(0,Constants!$B$27*Constants!$B$28*INT(ROUND((Constants!$B$26-$AM43)/Constants!$B$28,6))))+MIN(Constants!$B$29,MAX(0,Constants!$B$27*Constants!$B$28*INT(ROUND((Constants!$B$26-$AN43)/Constants!$B$28,6)))))</f>
        <v/>
      </c>
      <c r="BT43" s="100" t="str">
        <f aca="false">IF($BH43&lt;&gt;Constants!$B$4,"",IF(NOT($AJ43),0,Constants!$B$31*INT(ROUND(MAX(0,MIN($BF43,2*$AF$9)-$AF$9),6))))</f>
        <v/>
      </c>
      <c r="BU43" s="100" t="str">
        <f aca="false">IF($BH43&lt;&gt;Constants!$B$4,"",Constants!$B$32*(($AL43&gt;Constants!$B$26)+($AM43&gt;Constants!$B$26)+($AN43&gt;Constants!$B$26)))</f>
        <v/>
      </c>
      <c r="BV43" s="100" t="str">
        <f aca="false">IF($BH43&lt;&gt;Constants!$B$4,"",IF(OR(NOT($AJ43),$AO43),0,Constants!$B$33))</f>
        <v/>
      </c>
      <c r="BW43" s="100" t="str">
        <f aca="false">IF($BH43&lt;&gt;Constants!$B$4,"",Constants!$B$34*$BJ43)</f>
        <v/>
      </c>
      <c r="BX43" s="100" t="str">
        <f aca="false">IF($BH43&lt;&gt;Constants!$B$4,"",IF(OR(NOT($AJ43),$BE43),0,Constants!$B$36))</f>
        <v/>
      </c>
      <c r="BY43" s="100" t="str">
        <f aca="false">IF($BH43&lt;&gt;Constants!$B$4,"",IF(OR(NOT($AJ43),$BD43),0,Constants!$B$37))</f>
        <v/>
      </c>
      <c r="BZ43" s="100" t="str">
        <f aca="false">IF($BH43&lt;&gt;Constants!$B$4,"",SUM($BT43:$BY43))</f>
        <v/>
      </c>
      <c r="CA43" s="100" t="str">
        <f aca="false">IF(ISBLANK($C43),"",IF($BH43&lt;&gt;Constants!$B$4,$BH43,SUM($BK43:$BS43)-$BZ43))</f>
        <v/>
      </c>
      <c r="CB43" s="100" t="str">
        <f aca="false">IF(ISBLANK($C43),"",IF($BH43&lt;&gt;Constants!$B$4,$BH43,RANK($CA43,$CA$9:$CA$508)))</f>
        <v/>
      </c>
      <c r="CC43" s="100" t="str">
        <f aca="false">IF(ISBLANK($C43),"",IF($BH43&lt;&gt;Constants!$B$4,$BH43,COUNTIFS($BI$9:$BI$508,"&lt;"&amp;$BI43)+COUNTIFS($BI$9:$BI$508,$BI43,$CB$9:$CB$508,"&lt;"&amp;$CB43)+1))</f>
        <v/>
      </c>
      <c r="CD43" s="100" t="str">
        <f aca="false">IF(ISBLANK($C43),"",IF($BH43&lt;&gt;Constants!$B$4,$BH43,RANK($BZ43,$BZ$9:$BZ$508,1)))</f>
        <v/>
      </c>
      <c r="CE43" s="100" t="str">
        <f aca="false">IF($BH43&lt;&gt;Constants!$B$4,"",$AL43+$AM43+$AN43)</f>
        <v/>
      </c>
      <c r="CF43" s="100" t="str">
        <f aca="false">IF(ISBLANK($C43),"",IF($BH43&lt;&gt;Constants!$B$4,$BH43,RANK($CE43,$CE$9:$CE$508,1)))</f>
        <v/>
      </c>
      <c r="CG43" s="100" t="str">
        <f aca="false">IF(ISBLANK($C43),"",IF($BH43&lt;&gt;Constants!$B$4,$BH43,COUNTIFS($BI$9:$BI$508,"&lt;"&amp;$BI43)+COUNTIFS($BI$9:$BI$508,$BI43,$CB$9:$CB$508,"&lt;"&amp;$CB43)+COUNTIFS($BI$9:$BI$508,$BI43,$CB$9:$CB$508,$CB43,$CD$9:$CD$508,"&lt;"&amp;$CD43)+COUNTIFS($BI$9:$BI$508,$BI43,$CB$9:$CB$508,$CB43,$CD$9:$CD$508,$CD43,$CF$9:$CF$508,"&lt;"&amp;$CF43)+1))</f>
        <v/>
      </c>
      <c r="CH43" s="100" t="str">
        <f aca="false">IF(ISBLANK($C43),"",IF($BH43&lt;&gt;Constants!$B$4,$BH43,$CC43-$CG43))</f>
        <v/>
      </c>
      <c r="CI43" s="100" t="str">
        <f aca="false">IF(ISBLANK($C43),"",IF(NOT($AJ43),"",IF(ISBLANK($D$7),$CI$5,IF(NOT(ISNUMBER($D$7)),$CI$6,""))))</f>
        <v/>
      </c>
      <c r="CJ43" s="100" t="str">
        <f aca="false">IF(ISBLANK($C43),"",OR($AL43="",$AM43="",$AN43=""))</f>
        <v/>
      </c>
      <c r="CK43" s="100" t="str">
        <f aca="false">IF(ISBLANK($C43),"",AND($AJ43,$AX43=""))</f>
        <v/>
      </c>
      <c r="CL43" s="100" t="str">
        <f aca="false">IF(ISBLANK($C43),"",AND($AJ43,$AY43=""))</f>
        <v/>
      </c>
      <c r="CM43" s="100" t="str">
        <f aca="false">IF(ISBLANK($C43),"",AND($AJ43,$AZ43=""))</f>
        <v/>
      </c>
      <c r="CN43" s="100" t="str">
        <f aca="false">IF(ISBLANK($C43),"",AND($AJ43,$BC43=""))</f>
        <v/>
      </c>
      <c r="CO43" s="100" t="str">
        <f aca="false">IF(ISBLANK($C43),"",AND($AJ43,$BF43=""))</f>
        <v/>
      </c>
      <c r="CP43" s="101"/>
      <c r="CQ43" s="102"/>
      <c r="CR43" s="103" t="str">
        <f aca="false">IF(ISBLANK($C43),"",IF($BH43=Constants!$B$8,$CI43,""))</f>
        <v/>
      </c>
      <c r="CS43" s="102" t="str">
        <f aca="false">IF(ISBLANK($C43),"",IF($BH43&lt;&gt;Constants!$B$4,"",$BK43+$BL43))</f>
        <v/>
      </c>
      <c r="CT43" s="104" t="str">
        <f aca="false">IF(ISBLANK($C43),"",IF($BH43&lt;&gt;Constants!$B$4,"",$BM43+$BN43+$BO43))</f>
        <v/>
      </c>
      <c r="CU43" s="104" t="str">
        <f aca="false">IF(ISBLANK($C43),"",IF($BH43&lt;&gt;Constants!$B$4,"",$BP43))</f>
        <v/>
      </c>
      <c r="CV43" s="104" t="str">
        <f aca="false">IF(ISBLANK($C43),"",IF($BH43&lt;&gt;Constants!$B$4,"",$BQ43+$BR43))</f>
        <v/>
      </c>
      <c r="CW43" s="104" t="str">
        <f aca="false">IF(ISBLANK($C43),"",IF($BH43&lt;&gt;Constants!$B$4,"",$BS43))</f>
        <v/>
      </c>
      <c r="CX43" s="104" t="str">
        <f aca="false">IF(ISBLANK($C43),"",IF($BH43&lt;&gt;Constants!$B$4,"",-$BZ43))</f>
        <v/>
      </c>
      <c r="CY43" s="103" t="str">
        <f aca="false">IF(ISBLANK($C43),"",$CA43)</f>
        <v/>
      </c>
      <c r="CZ43" s="105" t="str">
        <f aca="false">IF(ISBLANK($C43),"",$BI43)</f>
        <v/>
      </c>
      <c r="DA43" s="104" t="str">
        <f aca="false">IF(ISBLANK($C43),"",$CH43)</f>
        <v/>
      </c>
      <c r="DB43" s="104" t="str">
        <f aca="false">IF(ISBLANK($C43),"",$CG43)</f>
        <v/>
      </c>
      <c r="DC43" s="106" t="str">
        <f aca="false">IF(ISBLANK($C43),"",IFERROR(_xlfn.SWITCH($DB43,Constants!$B$7,COUNTA($C$9:$C$508)+2,Constants!$B$6,COUNTA($C$9:$C$508)+1,Constants!$B$5,COUNTA($C$9:$C$508)),$DB43))</f>
        <v/>
      </c>
      <c r="DD43" s="7"/>
      <c r="DE43" s="107" t="n">
        <f aca="false">IF(OR(ISNUMBER($DB43),$DB43=Constants!$B$7,$DB43=Constants!$B$5,$DB43=Constants!$B$6),1,0)</f>
        <v>0</v>
      </c>
      <c r="DF43" s="107" t="n">
        <v>35</v>
      </c>
      <c r="DG43" s="107" t="str">
        <f aca="false">IF(ISBLANK($C43),"",IF(ISNUMBER($DC43),$DC43+ROW($B43)/1000,""))</f>
        <v/>
      </c>
      <c r="DH43" s="107" t="str">
        <f aca="false">IF(ISNUMBER($DG43),RANK($DG43,$DG$9:$DG$508,1),"")</f>
        <v/>
      </c>
      <c r="DI43" s="107" t="str">
        <f aca="false">IF(ISBLANK($C43),"",$B43)</f>
        <v/>
      </c>
      <c r="DJ43" s="107" t="str">
        <f aca="false">IF(ISBLANK($C43),"",$C43)</f>
        <v/>
      </c>
      <c r="DK43" s="107" t="str">
        <f aca="false">IF(ISBLANK($C43),"",$D43)</f>
        <v/>
      </c>
      <c r="DL43" s="108" t="str">
        <f aca="false">$CZ43</f>
        <v/>
      </c>
      <c r="DM43" s="109" t="str">
        <f aca="false">$CY43</f>
        <v/>
      </c>
      <c r="DN43" s="107" t="str">
        <f aca="false">IF(ISBLANK($C43),"",$DB43)</f>
        <v/>
      </c>
      <c r="DO43" s="110" t="str">
        <f aca="false">IF($DF43&gt;$DE$8,"",VLOOKUP($DF43,$DH$9:$DN$508,7,FALSE()))</f>
        <v/>
      </c>
      <c r="DP43" s="111" t="str">
        <f aca="false">IF($DF43&gt;$DE$8,"",VLOOKUP($DF43,$DH$9:$DN$508,2,FALSE()))</f>
        <v/>
      </c>
      <c r="DQ43" s="111" t="str">
        <f aca="false">IF($DF43&gt;$DE$8,"",VLOOKUP($DF43,$DH$9:$DN$508,3,FALSE()))</f>
        <v/>
      </c>
      <c r="DR43" s="111" t="str">
        <f aca="false">IF($DF43&gt;$DE$8,"",VLOOKUP($DF43,$DH$9:$DN$508,4,FALSE()))</f>
        <v/>
      </c>
      <c r="DS43" s="111" t="str">
        <f aca="false">IF($DF43&gt;$DE$8,"",VLOOKUP($DF43,$DH$9:$DN$508,5,FALSE()))</f>
        <v/>
      </c>
      <c r="DT43" s="112" t="str">
        <f aca="false">IF($DF43&gt;$DE$8,"",VLOOKUP($DF43,$DH$9:$DN$508,6,FALSE()))</f>
        <v/>
      </c>
      <c r="DU43" s="62"/>
    </row>
    <row r="44" customFormat="false" ht="15.75" hidden="false" customHeight="false" outlineLevel="0" collapsed="false">
      <c r="A44" s="7"/>
      <c r="B44" s="90"/>
      <c r="C44" s="91"/>
      <c r="D44" s="126"/>
      <c r="E44" s="130"/>
      <c r="F44" s="135"/>
      <c r="G44" s="130"/>
      <c r="H44" s="135"/>
      <c r="I44" s="95"/>
      <c r="J44" s="95"/>
      <c r="K44" s="95"/>
      <c r="L44" s="130"/>
      <c r="M44" s="130"/>
      <c r="N44" s="130"/>
      <c r="O44" s="135"/>
      <c r="P44" s="130"/>
      <c r="Q44" s="130"/>
      <c r="R44" s="130"/>
      <c r="S44" s="130"/>
      <c r="T44" s="135"/>
      <c r="U44" s="130"/>
      <c r="V44" s="96"/>
      <c r="W44" s="130"/>
      <c r="X44" s="130"/>
      <c r="Y44" s="96"/>
      <c r="Z44" s="96"/>
      <c r="AA44" s="130"/>
      <c r="AB44" s="130"/>
      <c r="AC44" s="97"/>
      <c r="AD44" s="130"/>
      <c r="AE44" s="99"/>
      <c r="AF44" s="100"/>
      <c r="AG44" s="100"/>
      <c r="AH44" s="100" t="str">
        <f aca="false">IF(ISBLANK($C44),"",IF($E44=Constants!$B$2,TRUE(),IF($E44=Constants!$B$3,FALSE(),TRUE())))</f>
        <v/>
      </c>
      <c r="AI44" s="100" t="str">
        <f aca="false">IF(ISBLANK($C44),"",IF($F44=Constants!$B$2,TRUE(),IF($F44=Constants!$B$3,FALSE(),FALSE())))</f>
        <v/>
      </c>
      <c r="AJ44" s="100" t="str">
        <f aca="false">IF(ISBLANK($C44),"",IF($G44=Constants!$B$2,TRUE(),IF($G44=Constants!$B$3,FALSE(),TRUE())))</f>
        <v/>
      </c>
      <c r="AK44" s="100" t="str">
        <f aca="false">IF(ISBLANK($C44),"",IF($H44=Constants!$B$2,TRUE(),IF($H44=Constants!$B$3,FALSE(),TRUE())))</f>
        <v/>
      </c>
      <c r="AL44" s="100" t="str">
        <f aca="false">IF(ISBLANK($C44),"",IF(ISNUMBER($I44),IF($I44&gt;=0,$I44,""),""))</f>
        <v/>
      </c>
      <c r="AM44" s="100" t="str">
        <f aca="false">IF(ISBLANK($C44),"",IF(ISNUMBER($J44),IF($J44&gt;=0,$J44,""),""))</f>
        <v/>
      </c>
      <c r="AN44" s="100" t="str">
        <f aca="false">IF(ISBLANK($C44),"",IF(ISNUMBER($K44),IF($K44&gt;=0,$K44,""),""))</f>
        <v/>
      </c>
      <c r="AO44" s="100" t="str">
        <f aca="false">IF(ISBLANK($C44),"",IF($L44=Constants!$B$2,TRUE(),IF($L44=Constants!$B$3,FALSE(),TRUE())))</f>
        <v/>
      </c>
      <c r="AP44" s="100" t="str">
        <f aca="false">IF(ISBLANK($C44),"",IF($M44=Constants!$B$2,TRUE(),IF($M44=Constants!$B$3,FALSE(),TRUE())))</f>
        <v/>
      </c>
      <c r="AQ44" s="100" t="str">
        <f aca="false">IF(ISBLANK($C44),"",IF($N44=Constants!$B$2,TRUE(),IF($N44=Constants!$B$3,FALSE(),FALSE())))</f>
        <v/>
      </c>
      <c r="AR44" s="100" t="str">
        <f aca="false">IF(ISBLANK($C44),"",IF($O44=Constants!$B$2,TRUE(),IF($O44=Constants!$B$3,FALSE(),TRUE())))</f>
        <v/>
      </c>
      <c r="AS44" s="100" t="str">
        <f aca="false">IF(ISBLANK($C44),"",IF($P44=Constants!$B$2,TRUE(),IF($P44=Constants!$B$3,FALSE(),FALSE())))</f>
        <v/>
      </c>
      <c r="AT44" s="100" t="str">
        <f aca="false">IF(ISBLANK($C44),"",IF($Q44=Constants!$B$2,TRUE(),IF($Q44=Constants!$B$3,FALSE(),FALSE())))</f>
        <v/>
      </c>
      <c r="AU44" s="100" t="str">
        <f aca="false">IF(ISBLANK($C44),"",IF($R44=Constants!$B$2,TRUE(),IF($R44=Constants!$B$3,FALSE(),FALSE())))</f>
        <v/>
      </c>
      <c r="AV44" s="100" t="str">
        <f aca="false">IF(ISBLANK($C44),"",IF($S44=Constants!$B$2,TRUE(),IF($S44=Constants!$B$3,FALSE(),FALSE())))</f>
        <v/>
      </c>
      <c r="AW44" s="100" t="str">
        <f aca="false">IF(ISBLANK($C44),"",IF($T44=Constants!$B$2,TRUE(),IF($T44=Constants!$B$3,FALSE(),FALSE())))</f>
        <v/>
      </c>
      <c r="AX44" s="100" t="str">
        <f aca="false">IF(ISBLANK($C44),"",IF(OR($U44&amp;""="1",$U44&amp;""="2",$U44&amp;""="3",$U44&amp;""="4"),VALUE($U44&amp;""),IF($U44=Constants!$B$12,Constants!$B$12,"")))</f>
        <v/>
      </c>
      <c r="AY44" s="100" t="str">
        <f aca="false">IF(ISBLANK($C44),"",IF(ISBLANK($V44),0,IF(ISNUMBER($V44),IF(AND($V44&gt;=0,$V44&lt;=Constants!$B$21,$V44=INT($V44)),$V44,""),"")))</f>
        <v/>
      </c>
      <c r="AZ44" s="100" t="str">
        <f aca="false">IF(ISBLANK($C44),"",IF(ISBLANK($W44),0,IF(ISNUMBER($W44),IF($W44&gt;=0,$W44,""),"")))</f>
        <v/>
      </c>
      <c r="BA44" s="100" t="str">
        <f aca="false">IF(ISBLANK($C44),"",IF($X44=Constants!$B$2,TRUE(),IF($X44=Constants!$B$3,FALSE(),TRUE())))</f>
        <v/>
      </c>
      <c r="BB44" s="100" t="str">
        <f aca="false">IF(ISBLANK($C44),"",IF($Y44=Constants!$B$2,TRUE(),IF($Y44=Constants!$B$3,FALSE(),FALSE())))</f>
        <v/>
      </c>
      <c r="BC44" s="100" t="str">
        <f aca="false">IF(ISBLANK($C44),"",IF(ISBLANK($Z44),0,IF(ISNUMBER($Z44),IF(AND($Z44&gt;=0,$Z44&lt;=Constants!$B$35,$Z44=INT($Z44)),$Z44,""),"")))</f>
        <v/>
      </c>
      <c r="BD44" s="100" t="str">
        <f aca="false">IF(ISBLANK($C44),"",IF($AA44=Constants!$B$2,TRUE(),IF($AA44=Constants!$B$3,FALSE(),TRUE())))</f>
        <v/>
      </c>
      <c r="BE44" s="100" t="str">
        <f aca="false">IF(ISBLANK($C44),"",IF($AB44=Constants!$B$2,TRUE(),IF($AB44=Constants!$B$3,FALSE(),TRUE())))</f>
        <v/>
      </c>
      <c r="BF44" s="100" t="str">
        <f aca="false">IF(ISBLANK($C44),"",IF(ISNUMBER($AC44),IF($AC44&gt;=0,$AC44,""),""))</f>
        <v/>
      </c>
      <c r="BG44" s="100" t="str">
        <f aca="false">IF(ISBLANK($C44),"",IF($AD44=Constants!$B$2,TRUE(),IF($AD44=Constants!$B$3,FALSE(),FALSE())))</f>
        <v/>
      </c>
      <c r="BH44" s="99" t="str">
        <f aca="false">IF(ISBLANK($C44),"",IF($BG44,Constants!$B$7,IF(COUNTA($E44:$AC44)=0,Constants!$B$6,IF(OR(COUNTA($G44:$AC44)=0,NOT($AK44),$AQ44),Constants!$B$5,IF(OR($CI44&lt;&gt;"",$CJ44,$CK44,$CL44,$CM44,$CN44,$CO44),Constants!$B$8,Constants!$B$4)))))</f>
        <v/>
      </c>
      <c r="BI44" s="100" t="str">
        <f aca="false">IF(ISBLANK($C44),"",IF($BH44&lt;&gt;Constants!$B$4,$BH44,IF(OR(NOT($AH44),NOT($AJ44),NOT($AR44)),Constants!$B$11,IF(OR(NOT($AP44),MAX($AL44,$AM44,$AN44)&gt;Constants!$B$30),Constants!$B$10,Constants!$B$9))))</f>
        <v/>
      </c>
      <c r="BJ44" s="100" t="str">
        <f aca="false">IF($BH44&lt;&gt;Constants!$B$4,"",IF(NOT($AJ44),0,MIN(Constants!$B$35,$BC44)))</f>
        <v/>
      </c>
      <c r="BK44" s="100" t="str">
        <f aca="false">IF($BH44&lt;&gt;Constants!$B$4,"",IF(NOT($AJ44),0,IF($AT44,Constants!$B$18,IF($AS44,Constants!$B$17,0))))</f>
        <v/>
      </c>
      <c r="BL44" s="100" t="str">
        <f aca="false">IF($BH44&lt;&gt;Constants!$B$4,"",IF(NOT($AJ44),0,Constants!$B$19*($AI44+$AU44+$AV44+$AW44)))</f>
        <v/>
      </c>
      <c r="BM44" s="100" t="str">
        <f aca="false">IF($BH44&lt;&gt;Constants!$B$4,"",IF(OR(NOT($AJ44),NOT(ISNUMBER($AX44))),0,CHOOSE($AX44,Constants!$B$13,Constants!$B$14,Constants!$B$15,Constants!$B$16)))</f>
        <v/>
      </c>
      <c r="BN44" s="100" t="str">
        <f aca="false">IF($BH44&lt;&gt;Constants!$B$4,"",IF(NOT($AJ44),0,Constants!$B$20*$AY44))</f>
        <v/>
      </c>
      <c r="BO44" s="100" t="str">
        <f aca="false">IF($BH44&lt;&gt;Constants!$B$4,"",IF(AND($AJ44,$BA44,$BB44),Constants!$B$22,0))</f>
        <v/>
      </c>
      <c r="BP44" s="100" t="str">
        <f aca="false">IF($BH44&lt;&gt;Constants!$B$4,"",IF(OR(NOT($AJ44),NOT($BA44)),0,IF($BF44&gt;=2*$AF$9,0,Constants!$B$23*INT(ROUND(MIN($BF44,$AF$9),6)))))</f>
        <v/>
      </c>
      <c r="BQ44" s="100" t="str">
        <f aca="false">IF($BH44&lt;&gt;Constants!$B$4,"",IF(NOT($AJ44),0,Constants!$B$24*INT(ROUND(MIN($AZ44,$AF$9),6))))</f>
        <v/>
      </c>
      <c r="BR44" s="100" t="str">
        <f aca="false">IF($BH44&lt;&gt;Constants!$B$4,"",IF(AND($AJ44,$BJ44=0),Constants!$B$25,0))</f>
        <v/>
      </c>
      <c r="BS44" s="100" t="str">
        <f aca="false">IF($BH44&lt;&gt;Constants!$B$4,"",MIN(Constants!$B$29,MAX(0,Constants!$B$27*Constants!$B$28*INT(ROUND((Constants!$B$26-$AL44)/Constants!$B$28,6))))+MIN(Constants!$B$29,MAX(0,Constants!$B$27*Constants!$B$28*INT(ROUND((Constants!$B$26-$AM44)/Constants!$B$28,6))))+MIN(Constants!$B$29,MAX(0,Constants!$B$27*Constants!$B$28*INT(ROUND((Constants!$B$26-$AN44)/Constants!$B$28,6)))))</f>
        <v/>
      </c>
      <c r="BT44" s="100" t="str">
        <f aca="false">IF($BH44&lt;&gt;Constants!$B$4,"",IF(NOT($AJ44),0,Constants!$B$31*INT(ROUND(MAX(0,MIN($BF44,2*$AF$9)-$AF$9),6))))</f>
        <v/>
      </c>
      <c r="BU44" s="100" t="str">
        <f aca="false">IF($BH44&lt;&gt;Constants!$B$4,"",Constants!$B$32*(($AL44&gt;Constants!$B$26)+($AM44&gt;Constants!$B$26)+($AN44&gt;Constants!$B$26)))</f>
        <v/>
      </c>
      <c r="BV44" s="100" t="str">
        <f aca="false">IF($BH44&lt;&gt;Constants!$B$4,"",IF(OR(NOT($AJ44),$AO44),0,Constants!$B$33))</f>
        <v/>
      </c>
      <c r="BW44" s="100" t="str">
        <f aca="false">IF($BH44&lt;&gt;Constants!$B$4,"",Constants!$B$34*$BJ44)</f>
        <v/>
      </c>
      <c r="BX44" s="100" t="str">
        <f aca="false">IF($BH44&lt;&gt;Constants!$B$4,"",IF(OR(NOT($AJ44),$BE44),0,Constants!$B$36))</f>
        <v/>
      </c>
      <c r="BY44" s="100" t="str">
        <f aca="false">IF($BH44&lt;&gt;Constants!$B$4,"",IF(OR(NOT($AJ44),$BD44),0,Constants!$B$37))</f>
        <v/>
      </c>
      <c r="BZ44" s="100" t="str">
        <f aca="false">IF($BH44&lt;&gt;Constants!$B$4,"",SUM($BT44:$BY44))</f>
        <v/>
      </c>
      <c r="CA44" s="100" t="str">
        <f aca="false">IF(ISBLANK($C44),"",IF($BH44&lt;&gt;Constants!$B$4,$BH44,SUM($BK44:$BS44)-$BZ44))</f>
        <v/>
      </c>
      <c r="CB44" s="100" t="str">
        <f aca="false">IF(ISBLANK($C44),"",IF($BH44&lt;&gt;Constants!$B$4,$BH44,RANK($CA44,$CA$9:$CA$508)))</f>
        <v/>
      </c>
      <c r="CC44" s="100" t="str">
        <f aca="false">IF(ISBLANK($C44),"",IF($BH44&lt;&gt;Constants!$B$4,$BH44,COUNTIFS($BI$9:$BI$508,"&lt;"&amp;$BI44)+COUNTIFS($BI$9:$BI$508,$BI44,$CB$9:$CB$508,"&lt;"&amp;$CB44)+1))</f>
        <v/>
      </c>
      <c r="CD44" s="100" t="str">
        <f aca="false">IF(ISBLANK($C44),"",IF($BH44&lt;&gt;Constants!$B$4,$BH44,RANK($BZ44,$BZ$9:$BZ$508,1)))</f>
        <v/>
      </c>
      <c r="CE44" s="100" t="str">
        <f aca="false">IF($BH44&lt;&gt;Constants!$B$4,"",$AL44+$AM44+$AN44)</f>
        <v/>
      </c>
      <c r="CF44" s="100" t="str">
        <f aca="false">IF(ISBLANK($C44),"",IF($BH44&lt;&gt;Constants!$B$4,$BH44,RANK($CE44,$CE$9:$CE$508,1)))</f>
        <v/>
      </c>
      <c r="CG44" s="100" t="str">
        <f aca="false">IF(ISBLANK($C44),"",IF($BH44&lt;&gt;Constants!$B$4,$BH44,COUNTIFS($BI$9:$BI$508,"&lt;"&amp;$BI44)+COUNTIFS($BI$9:$BI$508,$BI44,$CB$9:$CB$508,"&lt;"&amp;$CB44)+COUNTIFS($BI$9:$BI$508,$BI44,$CB$9:$CB$508,$CB44,$CD$9:$CD$508,"&lt;"&amp;$CD44)+COUNTIFS($BI$9:$BI$508,$BI44,$CB$9:$CB$508,$CB44,$CD$9:$CD$508,$CD44,$CF$9:$CF$508,"&lt;"&amp;$CF44)+1))</f>
        <v/>
      </c>
      <c r="CH44" s="100" t="str">
        <f aca="false">IF(ISBLANK($C44),"",IF($BH44&lt;&gt;Constants!$B$4,$BH44,$CC44-$CG44))</f>
        <v/>
      </c>
      <c r="CI44" s="100" t="str">
        <f aca="false">IF(ISBLANK($C44),"",IF(NOT($AJ44),"",IF(ISBLANK($D$7),$CI$5,IF(NOT(ISNUMBER($D$7)),$CI$6,""))))</f>
        <v/>
      </c>
      <c r="CJ44" s="100" t="str">
        <f aca="false">IF(ISBLANK($C44),"",OR($AL44="",$AM44="",$AN44=""))</f>
        <v/>
      </c>
      <c r="CK44" s="100" t="str">
        <f aca="false">IF(ISBLANK($C44),"",AND($AJ44,$AX44=""))</f>
        <v/>
      </c>
      <c r="CL44" s="100" t="str">
        <f aca="false">IF(ISBLANK($C44),"",AND($AJ44,$AY44=""))</f>
        <v/>
      </c>
      <c r="CM44" s="100" t="str">
        <f aca="false">IF(ISBLANK($C44),"",AND($AJ44,$AZ44=""))</f>
        <v/>
      </c>
      <c r="CN44" s="100" t="str">
        <f aca="false">IF(ISBLANK($C44),"",AND($AJ44,$BC44=""))</f>
        <v/>
      </c>
      <c r="CO44" s="100" t="str">
        <f aca="false">IF(ISBLANK($C44),"",AND($AJ44,$BF44=""))</f>
        <v/>
      </c>
      <c r="CP44" s="101"/>
      <c r="CQ44" s="102"/>
      <c r="CR44" s="103" t="str">
        <f aca="false">IF(ISBLANK($C44),"",IF($BH44=Constants!$B$8,$CI44,""))</f>
        <v/>
      </c>
      <c r="CS44" s="102" t="str">
        <f aca="false">IF(ISBLANK($C44),"",IF($BH44&lt;&gt;Constants!$B$4,"",$BK44+$BL44))</f>
        <v/>
      </c>
      <c r="CT44" s="104" t="str">
        <f aca="false">IF(ISBLANK($C44),"",IF($BH44&lt;&gt;Constants!$B$4,"",$BM44+$BN44+$BO44))</f>
        <v/>
      </c>
      <c r="CU44" s="104" t="str">
        <f aca="false">IF(ISBLANK($C44),"",IF($BH44&lt;&gt;Constants!$B$4,"",$BP44))</f>
        <v/>
      </c>
      <c r="CV44" s="104" t="str">
        <f aca="false">IF(ISBLANK($C44),"",IF($BH44&lt;&gt;Constants!$B$4,"",$BQ44+$BR44))</f>
        <v/>
      </c>
      <c r="CW44" s="104" t="str">
        <f aca="false">IF(ISBLANK($C44),"",IF($BH44&lt;&gt;Constants!$B$4,"",$BS44))</f>
        <v/>
      </c>
      <c r="CX44" s="104" t="str">
        <f aca="false">IF(ISBLANK($C44),"",IF($BH44&lt;&gt;Constants!$B$4,"",-$BZ44))</f>
        <v/>
      </c>
      <c r="CY44" s="103" t="str">
        <f aca="false">IF(ISBLANK($C44),"",$CA44)</f>
        <v/>
      </c>
      <c r="CZ44" s="105" t="str">
        <f aca="false">IF(ISBLANK($C44),"",$BI44)</f>
        <v/>
      </c>
      <c r="DA44" s="104" t="str">
        <f aca="false">IF(ISBLANK($C44),"",$CH44)</f>
        <v/>
      </c>
      <c r="DB44" s="104" t="str">
        <f aca="false">IF(ISBLANK($C44),"",$CG44)</f>
        <v/>
      </c>
      <c r="DC44" s="106" t="str">
        <f aca="false">IF(ISBLANK($C44),"",IFERROR(_xlfn.SWITCH($DB44,Constants!$B$7,COUNTA($C$9:$C$508)+2,Constants!$B$6,COUNTA($C$9:$C$508)+1,Constants!$B$5,COUNTA($C$9:$C$508)),$DB44))</f>
        <v/>
      </c>
      <c r="DD44" s="7"/>
      <c r="DE44" s="107" t="n">
        <f aca="false">IF(OR(ISNUMBER($DB44),$DB44=Constants!$B$7,$DB44=Constants!$B$5,$DB44=Constants!$B$6),1,0)</f>
        <v>0</v>
      </c>
      <c r="DF44" s="107" t="n">
        <v>36</v>
      </c>
      <c r="DG44" s="107" t="str">
        <f aca="false">IF(ISBLANK($C44),"",IF(ISNUMBER($DC44),$DC44+ROW($B44)/1000,""))</f>
        <v/>
      </c>
      <c r="DH44" s="107" t="str">
        <f aca="false">IF(ISNUMBER($DG44),RANK($DG44,$DG$9:$DG$508,1),"")</f>
        <v/>
      </c>
      <c r="DI44" s="107" t="str">
        <f aca="false">IF(ISBLANK($C44),"",$B44)</f>
        <v/>
      </c>
      <c r="DJ44" s="107" t="str">
        <f aca="false">IF(ISBLANK($C44),"",$C44)</f>
        <v/>
      </c>
      <c r="DK44" s="107" t="str">
        <f aca="false">IF(ISBLANK($C44),"",$D44)</f>
        <v/>
      </c>
      <c r="DL44" s="108" t="str">
        <f aca="false">$CZ44</f>
        <v/>
      </c>
      <c r="DM44" s="109" t="str">
        <f aca="false">$CY44</f>
        <v/>
      </c>
      <c r="DN44" s="107" t="str">
        <f aca="false">IF(ISBLANK($C44),"",$DB44)</f>
        <v/>
      </c>
      <c r="DO44" s="110" t="str">
        <f aca="false">IF($DF44&gt;$DE$8,"",VLOOKUP($DF44,$DH$9:$DN$508,7,FALSE()))</f>
        <v/>
      </c>
      <c r="DP44" s="111" t="str">
        <f aca="false">IF($DF44&gt;$DE$8,"",VLOOKUP($DF44,$DH$9:$DN$508,2,FALSE()))</f>
        <v/>
      </c>
      <c r="DQ44" s="111" t="str">
        <f aca="false">IF($DF44&gt;$DE$8,"",VLOOKUP($DF44,$DH$9:$DN$508,3,FALSE()))</f>
        <v/>
      </c>
      <c r="DR44" s="111" t="str">
        <f aca="false">IF($DF44&gt;$DE$8,"",VLOOKUP($DF44,$DH$9:$DN$508,4,FALSE()))</f>
        <v/>
      </c>
      <c r="DS44" s="111" t="str">
        <f aca="false">IF($DF44&gt;$DE$8,"",VLOOKUP($DF44,$DH$9:$DN$508,5,FALSE()))</f>
        <v/>
      </c>
      <c r="DT44" s="112" t="str">
        <f aca="false">IF($DF44&gt;$DE$8,"",VLOOKUP($DF44,$DH$9:$DN$508,6,FALSE()))</f>
        <v/>
      </c>
      <c r="DU44" s="62"/>
    </row>
    <row r="45" customFormat="false" ht="15.75" hidden="false" customHeight="false" outlineLevel="0" collapsed="false">
      <c r="A45" s="7"/>
      <c r="B45" s="64"/>
      <c r="C45" s="65"/>
      <c r="D45" s="123"/>
      <c r="E45" s="88"/>
      <c r="F45" s="134"/>
      <c r="G45" s="88"/>
      <c r="H45" s="134"/>
      <c r="I45" s="69"/>
      <c r="J45" s="69"/>
      <c r="K45" s="69"/>
      <c r="L45" s="88"/>
      <c r="M45" s="88"/>
      <c r="N45" s="88"/>
      <c r="O45" s="134"/>
      <c r="P45" s="88"/>
      <c r="Q45" s="88"/>
      <c r="R45" s="88"/>
      <c r="S45" s="88"/>
      <c r="T45" s="134"/>
      <c r="U45" s="88"/>
      <c r="V45" s="70"/>
      <c r="W45" s="88"/>
      <c r="X45" s="88"/>
      <c r="Y45" s="70"/>
      <c r="Z45" s="70"/>
      <c r="AA45" s="88"/>
      <c r="AB45" s="88"/>
      <c r="AC45" s="71"/>
      <c r="AD45" s="88"/>
      <c r="AE45" s="73"/>
      <c r="AF45" s="74"/>
      <c r="AG45" s="74"/>
      <c r="AH45" s="74" t="str">
        <f aca="false">IF(ISBLANK($C45),"",IF($E45=Constants!$B$2,TRUE(),IF($E45=Constants!$B$3,FALSE(),TRUE())))</f>
        <v/>
      </c>
      <c r="AI45" s="74" t="str">
        <f aca="false">IF(ISBLANK($C45),"",IF($F45=Constants!$B$2,TRUE(),IF($F45=Constants!$B$3,FALSE(),FALSE())))</f>
        <v/>
      </c>
      <c r="AJ45" s="74" t="str">
        <f aca="false">IF(ISBLANK($C45),"",IF($G45=Constants!$B$2,TRUE(),IF($G45=Constants!$B$3,FALSE(),TRUE())))</f>
        <v/>
      </c>
      <c r="AK45" s="74" t="str">
        <f aca="false">IF(ISBLANK($C45),"",IF($H45=Constants!$B$2,TRUE(),IF($H45=Constants!$B$3,FALSE(),TRUE())))</f>
        <v/>
      </c>
      <c r="AL45" s="74" t="str">
        <f aca="false">IF(ISBLANK($C45),"",IF(ISNUMBER($I45),IF($I45&gt;=0,$I45,""),""))</f>
        <v/>
      </c>
      <c r="AM45" s="74" t="str">
        <f aca="false">IF(ISBLANK($C45),"",IF(ISNUMBER($J45),IF($J45&gt;=0,$J45,""),""))</f>
        <v/>
      </c>
      <c r="AN45" s="74" t="str">
        <f aca="false">IF(ISBLANK($C45),"",IF(ISNUMBER($K45),IF($K45&gt;=0,$K45,""),""))</f>
        <v/>
      </c>
      <c r="AO45" s="74" t="str">
        <f aca="false">IF(ISBLANK($C45),"",IF($L45=Constants!$B$2,TRUE(),IF($L45=Constants!$B$3,FALSE(),TRUE())))</f>
        <v/>
      </c>
      <c r="AP45" s="74" t="str">
        <f aca="false">IF(ISBLANK($C45),"",IF($M45=Constants!$B$2,TRUE(),IF($M45=Constants!$B$3,FALSE(),TRUE())))</f>
        <v/>
      </c>
      <c r="AQ45" s="74" t="str">
        <f aca="false">IF(ISBLANK($C45),"",IF($N45=Constants!$B$2,TRUE(),IF($N45=Constants!$B$3,FALSE(),FALSE())))</f>
        <v/>
      </c>
      <c r="AR45" s="74" t="str">
        <f aca="false">IF(ISBLANK($C45),"",IF($O45=Constants!$B$2,TRUE(),IF($O45=Constants!$B$3,FALSE(),TRUE())))</f>
        <v/>
      </c>
      <c r="AS45" s="74" t="str">
        <f aca="false">IF(ISBLANK($C45),"",IF($P45=Constants!$B$2,TRUE(),IF($P45=Constants!$B$3,FALSE(),FALSE())))</f>
        <v/>
      </c>
      <c r="AT45" s="74" t="str">
        <f aca="false">IF(ISBLANK($C45),"",IF($Q45=Constants!$B$2,TRUE(),IF($Q45=Constants!$B$3,FALSE(),FALSE())))</f>
        <v/>
      </c>
      <c r="AU45" s="74" t="str">
        <f aca="false">IF(ISBLANK($C45),"",IF($R45=Constants!$B$2,TRUE(),IF($R45=Constants!$B$3,FALSE(),FALSE())))</f>
        <v/>
      </c>
      <c r="AV45" s="74" t="str">
        <f aca="false">IF(ISBLANK($C45),"",IF($S45=Constants!$B$2,TRUE(),IF($S45=Constants!$B$3,FALSE(),FALSE())))</f>
        <v/>
      </c>
      <c r="AW45" s="74" t="str">
        <f aca="false">IF(ISBLANK($C45),"",IF($T45=Constants!$B$2,TRUE(),IF($T45=Constants!$B$3,FALSE(),FALSE())))</f>
        <v/>
      </c>
      <c r="AX45" s="74" t="str">
        <f aca="false">IF(ISBLANK($C45),"",IF(OR($U45&amp;""="1",$U45&amp;""="2",$U45&amp;""="3",$U45&amp;""="4"),VALUE($U45&amp;""),IF($U45=Constants!$B$12,Constants!$B$12,"")))</f>
        <v/>
      </c>
      <c r="AY45" s="74" t="str">
        <f aca="false">IF(ISBLANK($C45),"",IF(ISBLANK($V45),0,IF(ISNUMBER($V45),IF(AND($V45&gt;=0,$V45&lt;=Constants!$B$21,$V45=INT($V45)),$V45,""),"")))</f>
        <v/>
      </c>
      <c r="AZ45" s="74" t="str">
        <f aca="false">IF(ISBLANK($C45),"",IF(ISBLANK($W45),0,IF(ISNUMBER($W45),IF($W45&gt;=0,$W45,""),"")))</f>
        <v/>
      </c>
      <c r="BA45" s="74" t="str">
        <f aca="false">IF(ISBLANK($C45),"",IF($X45=Constants!$B$2,TRUE(),IF($X45=Constants!$B$3,FALSE(),TRUE())))</f>
        <v/>
      </c>
      <c r="BB45" s="74" t="str">
        <f aca="false">IF(ISBLANK($C45),"",IF($Y45=Constants!$B$2,TRUE(),IF($Y45=Constants!$B$3,FALSE(),FALSE())))</f>
        <v/>
      </c>
      <c r="BC45" s="74" t="str">
        <f aca="false">IF(ISBLANK($C45),"",IF(ISBLANK($Z45),0,IF(ISNUMBER($Z45),IF(AND($Z45&gt;=0,$Z45&lt;=Constants!$B$35,$Z45=INT($Z45)),$Z45,""),"")))</f>
        <v/>
      </c>
      <c r="BD45" s="74" t="str">
        <f aca="false">IF(ISBLANK($C45),"",IF($AA45=Constants!$B$2,TRUE(),IF($AA45=Constants!$B$3,FALSE(),TRUE())))</f>
        <v/>
      </c>
      <c r="BE45" s="74" t="str">
        <f aca="false">IF(ISBLANK($C45),"",IF($AB45=Constants!$B$2,TRUE(),IF($AB45=Constants!$B$3,FALSE(),TRUE())))</f>
        <v/>
      </c>
      <c r="BF45" s="74" t="str">
        <f aca="false">IF(ISBLANK($C45),"",IF(ISNUMBER($AC45),IF($AC45&gt;=0,$AC45,""),""))</f>
        <v/>
      </c>
      <c r="BG45" s="74" t="str">
        <f aca="false">IF(ISBLANK($C45),"",IF($AD45=Constants!$B$2,TRUE(),IF($AD45=Constants!$B$3,FALSE(),FALSE())))</f>
        <v/>
      </c>
      <c r="BH45" s="73" t="str">
        <f aca="false">IF(ISBLANK($C45),"",IF($BG45,Constants!$B$7,IF(COUNTA($E45:$AC45)=0,Constants!$B$6,IF(OR(COUNTA($G45:$AC45)=0,NOT($AK45),$AQ45),Constants!$B$5,IF(OR($CI45&lt;&gt;"",$CJ45,$CK45,$CL45,$CM45,$CN45,$CO45),Constants!$B$8,Constants!$B$4)))))</f>
        <v/>
      </c>
      <c r="BI45" s="74" t="str">
        <f aca="false">IF(ISBLANK($C45),"",IF($BH45&lt;&gt;Constants!$B$4,$BH45,IF(OR(NOT($AH45),NOT($AJ45),NOT($AR45)),Constants!$B$11,IF(OR(NOT($AP45),MAX($AL45,$AM45,$AN45)&gt;Constants!$B$30),Constants!$B$10,Constants!$B$9))))</f>
        <v/>
      </c>
      <c r="BJ45" s="74" t="str">
        <f aca="false">IF($BH45&lt;&gt;Constants!$B$4,"",IF(NOT($AJ45),0,MIN(Constants!$B$35,$BC45)))</f>
        <v/>
      </c>
      <c r="BK45" s="74" t="str">
        <f aca="false">IF($BH45&lt;&gt;Constants!$B$4,"",IF(NOT($AJ45),0,IF($AT45,Constants!$B$18,IF($AS45,Constants!$B$17,0))))</f>
        <v/>
      </c>
      <c r="BL45" s="74" t="str">
        <f aca="false">IF($BH45&lt;&gt;Constants!$B$4,"",IF(NOT($AJ45),0,Constants!$B$19*($AI45+$AU45+$AV45+$AW45)))</f>
        <v/>
      </c>
      <c r="BM45" s="74" t="str">
        <f aca="false">IF($BH45&lt;&gt;Constants!$B$4,"",IF(OR(NOT($AJ45),NOT(ISNUMBER($AX45))),0,CHOOSE($AX45,Constants!$B$13,Constants!$B$14,Constants!$B$15,Constants!$B$16)))</f>
        <v/>
      </c>
      <c r="BN45" s="74" t="str">
        <f aca="false">IF($BH45&lt;&gt;Constants!$B$4,"",IF(NOT($AJ45),0,Constants!$B$20*$AY45))</f>
        <v/>
      </c>
      <c r="BO45" s="74" t="str">
        <f aca="false">IF($BH45&lt;&gt;Constants!$B$4,"",IF(AND($AJ45,$BA45,$BB45),Constants!$B$22,0))</f>
        <v/>
      </c>
      <c r="BP45" s="74" t="str">
        <f aca="false">IF($BH45&lt;&gt;Constants!$B$4,"",IF(OR(NOT($AJ45),NOT($BA45)),0,IF($BF45&gt;=2*$AF$9,0,Constants!$B$23*INT(ROUND(MIN($BF45,$AF$9),6)))))</f>
        <v/>
      </c>
      <c r="BQ45" s="74" t="str">
        <f aca="false">IF($BH45&lt;&gt;Constants!$B$4,"",IF(NOT($AJ45),0,Constants!$B$24*INT(ROUND(MIN($AZ45,$AF$9),6))))</f>
        <v/>
      </c>
      <c r="BR45" s="74" t="str">
        <f aca="false">IF($BH45&lt;&gt;Constants!$B$4,"",IF(AND($AJ45,$BJ45=0),Constants!$B$25,0))</f>
        <v/>
      </c>
      <c r="BS45" s="74" t="str">
        <f aca="false">IF($BH45&lt;&gt;Constants!$B$4,"",MIN(Constants!$B$29,MAX(0,Constants!$B$27*Constants!$B$28*INT(ROUND((Constants!$B$26-$AL45)/Constants!$B$28,6))))+MIN(Constants!$B$29,MAX(0,Constants!$B$27*Constants!$B$28*INT(ROUND((Constants!$B$26-$AM45)/Constants!$B$28,6))))+MIN(Constants!$B$29,MAX(0,Constants!$B$27*Constants!$B$28*INT(ROUND((Constants!$B$26-$AN45)/Constants!$B$28,6)))))</f>
        <v/>
      </c>
      <c r="BT45" s="74" t="str">
        <f aca="false">IF($BH45&lt;&gt;Constants!$B$4,"",IF(NOT($AJ45),0,Constants!$B$31*INT(ROUND(MAX(0,MIN($BF45,2*$AF$9)-$AF$9),6))))</f>
        <v/>
      </c>
      <c r="BU45" s="74" t="str">
        <f aca="false">IF($BH45&lt;&gt;Constants!$B$4,"",Constants!$B$32*(($AL45&gt;Constants!$B$26)+($AM45&gt;Constants!$B$26)+($AN45&gt;Constants!$B$26)))</f>
        <v/>
      </c>
      <c r="BV45" s="74" t="str">
        <f aca="false">IF($BH45&lt;&gt;Constants!$B$4,"",IF(OR(NOT($AJ45),$AO45),0,Constants!$B$33))</f>
        <v/>
      </c>
      <c r="BW45" s="74" t="str">
        <f aca="false">IF($BH45&lt;&gt;Constants!$B$4,"",Constants!$B$34*$BJ45)</f>
        <v/>
      </c>
      <c r="BX45" s="74" t="str">
        <f aca="false">IF($BH45&lt;&gt;Constants!$B$4,"",IF(OR(NOT($AJ45),$BE45),0,Constants!$B$36))</f>
        <v/>
      </c>
      <c r="BY45" s="74" t="str">
        <f aca="false">IF($BH45&lt;&gt;Constants!$B$4,"",IF(OR(NOT($AJ45),$BD45),0,Constants!$B$37))</f>
        <v/>
      </c>
      <c r="BZ45" s="74" t="str">
        <f aca="false">IF($BH45&lt;&gt;Constants!$B$4,"",SUM($BT45:$BY45))</f>
        <v/>
      </c>
      <c r="CA45" s="74" t="str">
        <f aca="false">IF(ISBLANK($C45),"",IF($BH45&lt;&gt;Constants!$B$4,$BH45,SUM($BK45:$BS45)-$BZ45))</f>
        <v/>
      </c>
      <c r="CB45" s="74" t="str">
        <f aca="false">IF(ISBLANK($C45),"",IF($BH45&lt;&gt;Constants!$B$4,$BH45,RANK($CA45,$CA$9:$CA$508)))</f>
        <v/>
      </c>
      <c r="CC45" s="74" t="str">
        <f aca="false">IF(ISBLANK($C45),"",IF($BH45&lt;&gt;Constants!$B$4,$BH45,COUNTIFS($BI$9:$BI$508,"&lt;"&amp;$BI45)+COUNTIFS($BI$9:$BI$508,$BI45,$CB$9:$CB$508,"&lt;"&amp;$CB45)+1))</f>
        <v/>
      </c>
      <c r="CD45" s="74" t="str">
        <f aca="false">IF(ISBLANK($C45),"",IF($BH45&lt;&gt;Constants!$B$4,$BH45,RANK($BZ45,$BZ$9:$BZ$508,1)))</f>
        <v/>
      </c>
      <c r="CE45" s="74" t="str">
        <f aca="false">IF($BH45&lt;&gt;Constants!$B$4,"",$AL45+$AM45+$AN45)</f>
        <v/>
      </c>
      <c r="CF45" s="74" t="str">
        <f aca="false">IF(ISBLANK($C45),"",IF($BH45&lt;&gt;Constants!$B$4,$BH45,RANK($CE45,$CE$9:$CE$508,1)))</f>
        <v/>
      </c>
      <c r="CG45" s="74" t="str">
        <f aca="false">IF(ISBLANK($C45),"",IF($BH45&lt;&gt;Constants!$B$4,$BH45,COUNTIFS($BI$9:$BI$508,"&lt;"&amp;$BI45)+COUNTIFS($BI$9:$BI$508,$BI45,$CB$9:$CB$508,"&lt;"&amp;$CB45)+COUNTIFS($BI$9:$BI$508,$BI45,$CB$9:$CB$508,$CB45,$CD$9:$CD$508,"&lt;"&amp;$CD45)+COUNTIFS($BI$9:$BI$508,$BI45,$CB$9:$CB$508,$CB45,$CD$9:$CD$508,$CD45,$CF$9:$CF$508,"&lt;"&amp;$CF45)+1))</f>
        <v/>
      </c>
      <c r="CH45" s="74" t="str">
        <f aca="false">IF(ISBLANK($C45),"",IF($BH45&lt;&gt;Constants!$B$4,$BH45,$CC45-$CG45))</f>
        <v/>
      </c>
      <c r="CI45" s="74" t="str">
        <f aca="false">IF(ISBLANK($C45),"",IF(NOT($AJ45),"",IF(ISBLANK($D$7),$CI$5,IF(NOT(ISNUMBER($D$7)),$CI$6,""))))</f>
        <v/>
      </c>
      <c r="CJ45" s="74" t="str">
        <f aca="false">IF(ISBLANK($C45),"",OR($AL45="",$AM45="",$AN45=""))</f>
        <v/>
      </c>
      <c r="CK45" s="74" t="str">
        <f aca="false">IF(ISBLANK($C45),"",AND($AJ45,$AX45=""))</f>
        <v/>
      </c>
      <c r="CL45" s="74" t="str">
        <f aca="false">IF(ISBLANK($C45),"",AND($AJ45,$AY45=""))</f>
        <v/>
      </c>
      <c r="CM45" s="74" t="str">
        <f aca="false">IF(ISBLANK($C45),"",AND($AJ45,$AZ45=""))</f>
        <v/>
      </c>
      <c r="CN45" s="74" t="str">
        <f aca="false">IF(ISBLANK($C45),"",AND($AJ45,$BC45=""))</f>
        <v/>
      </c>
      <c r="CO45" s="74" t="str">
        <f aca="false">IF(ISBLANK($C45),"",AND($AJ45,$BF45=""))</f>
        <v/>
      </c>
      <c r="CP45" s="75"/>
      <c r="CQ45" s="76"/>
      <c r="CR45" s="79" t="str">
        <f aca="false">IF(ISBLANK($C45),"",IF($BH45=Constants!$B$8,$CI45,""))</f>
        <v/>
      </c>
      <c r="CS45" s="76" t="str">
        <f aca="false">IF(ISBLANK($C45),"",IF($BH45&lt;&gt;Constants!$B$4,"",$BK45+$BL45))</f>
        <v/>
      </c>
      <c r="CT45" s="78" t="str">
        <f aca="false">IF(ISBLANK($C45),"",IF($BH45&lt;&gt;Constants!$B$4,"",$BM45+$BN45+$BO45))</f>
        <v/>
      </c>
      <c r="CU45" s="78" t="str">
        <f aca="false">IF(ISBLANK($C45),"",IF($BH45&lt;&gt;Constants!$B$4,"",$BP45))</f>
        <v/>
      </c>
      <c r="CV45" s="78" t="str">
        <f aca="false">IF(ISBLANK($C45),"",IF($BH45&lt;&gt;Constants!$B$4,"",$BQ45+$BR45))</f>
        <v/>
      </c>
      <c r="CW45" s="78" t="str">
        <f aca="false">IF(ISBLANK($C45),"",IF($BH45&lt;&gt;Constants!$B$4,"",$BS45))</f>
        <v/>
      </c>
      <c r="CX45" s="78" t="str">
        <f aca="false">IF(ISBLANK($C45),"",IF($BH45&lt;&gt;Constants!$B$4,"",-$BZ45))</f>
        <v/>
      </c>
      <c r="CY45" s="79" t="str">
        <f aca="false">IF(ISBLANK($C45),"",$CA45)</f>
        <v/>
      </c>
      <c r="CZ45" s="80" t="str">
        <f aca="false">IF(ISBLANK($C45),"",$BI45)</f>
        <v/>
      </c>
      <c r="DA45" s="78" t="str">
        <f aca="false">IF(ISBLANK($C45),"",$CH45)</f>
        <v/>
      </c>
      <c r="DB45" s="78" t="str">
        <f aca="false">IF(ISBLANK($C45),"",$CG45)</f>
        <v/>
      </c>
      <c r="DC45" s="81" t="str">
        <f aca="false">IF(ISBLANK($C45),"",IFERROR(_xlfn.SWITCH($DB45,Constants!$B$7,COUNTA($C$9:$C$508)+2,Constants!$B$6,COUNTA($C$9:$C$508)+1,Constants!$B$5,COUNTA($C$9:$C$508)),$DB45))</f>
        <v/>
      </c>
      <c r="DD45" s="7"/>
      <c r="DE45" s="82" t="n">
        <f aca="false">IF(OR(ISNUMBER($DB45),$DB45=Constants!$B$7,$DB45=Constants!$B$5,$DB45=Constants!$B$6),1,0)</f>
        <v>0</v>
      </c>
      <c r="DF45" s="82" t="n">
        <v>37</v>
      </c>
      <c r="DG45" s="82" t="str">
        <f aca="false">IF(ISBLANK($C45),"",IF(ISNUMBER($DC45),$DC45+ROW($B45)/1000,""))</f>
        <v/>
      </c>
      <c r="DH45" s="82" t="str">
        <f aca="false">IF(ISNUMBER($DG45),RANK($DG45,$DG$9:$DG$508,1),"")</f>
        <v/>
      </c>
      <c r="DI45" s="82" t="str">
        <f aca="false">IF(ISBLANK($C45),"",$B45)</f>
        <v/>
      </c>
      <c r="DJ45" s="82" t="str">
        <f aca="false">IF(ISBLANK($C45),"",$C45)</f>
        <v/>
      </c>
      <c r="DK45" s="82" t="str">
        <f aca="false">IF(ISBLANK($C45),"",$D45)</f>
        <v/>
      </c>
      <c r="DL45" s="83" t="str">
        <f aca="false">$CZ45</f>
        <v/>
      </c>
      <c r="DM45" s="84" t="str">
        <f aca="false">$CY45</f>
        <v/>
      </c>
      <c r="DN45" s="82" t="str">
        <f aca="false">IF(ISBLANK($C45),"",$DB45)</f>
        <v/>
      </c>
      <c r="DO45" s="85" t="str">
        <f aca="false">IF($DF45&gt;$DE$8,"",VLOOKUP($DF45,$DH$9:$DN$508,7,FALSE()))</f>
        <v/>
      </c>
      <c r="DP45" s="86" t="str">
        <f aca="false">IF($DF45&gt;$DE$8,"",VLOOKUP($DF45,$DH$9:$DN$508,2,FALSE()))</f>
        <v/>
      </c>
      <c r="DQ45" s="86" t="str">
        <f aca="false">IF($DF45&gt;$DE$8,"",VLOOKUP($DF45,$DH$9:$DN$508,3,FALSE()))</f>
        <v/>
      </c>
      <c r="DR45" s="86" t="str">
        <f aca="false">IF($DF45&gt;$DE$8,"",VLOOKUP($DF45,$DH$9:$DN$508,4,FALSE()))</f>
        <v/>
      </c>
      <c r="DS45" s="86" t="str">
        <f aca="false">IF($DF45&gt;$DE$8,"",VLOOKUP($DF45,$DH$9:$DN$508,5,FALSE()))</f>
        <v/>
      </c>
      <c r="DT45" s="87" t="str">
        <f aca="false">IF($DF45&gt;$DE$8,"",VLOOKUP($DF45,$DH$9:$DN$508,6,FALSE()))</f>
        <v/>
      </c>
      <c r="DU45" s="62"/>
    </row>
    <row r="46" customFormat="false" ht="15.75" hidden="false" customHeight="false" outlineLevel="0" collapsed="false">
      <c r="A46" s="7"/>
      <c r="B46" s="64"/>
      <c r="C46" s="65"/>
      <c r="D46" s="123"/>
      <c r="E46" s="88"/>
      <c r="F46" s="134"/>
      <c r="G46" s="88"/>
      <c r="H46" s="134"/>
      <c r="I46" s="69"/>
      <c r="J46" s="69"/>
      <c r="K46" s="69"/>
      <c r="L46" s="88"/>
      <c r="M46" s="88"/>
      <c r="N46" s="88"/>
      <c r="O46" s="134"/>
      <c r="P46" s="88"/>
      <c r="Q46" s="88"/>
      <c r="R46" s="88"/>
      <c r="S46" s="88"/>
      <c r="T46" s="134"/>
      <c r="U46" s="88"/>
      <c r="V46" s="70"/>
      <c r="W46" s="88"/>
      <c r="X46" s="88"/>
      <c r="Y46" s="70"/>
      <c r="Z46" s="70"/>
      <c r="AA46" s="88"/>
      <c r="AB46" s="88"/>
      <c r="AC46" s="71"/>
      <c r="AD46" s="88"/>
      <c r="AE46" s="73"/>
      <c r="AF46" s="74"/>
      <c r="AG46" s="74"/>
      <c r="AH46" s="74" t="str">
        <f aca="false">IF(ISBLANK($C46),"",IF($E46=Constants!$B$2,TRUE(),IF($E46=Constants!$B$3,FALSE(),TRUE())))</f>
        <v/>
      </c>
      <c r="AI46" s="74" t="str">
        <f aca="false">IF(ISBLANK($C46),"",IF($F46=Constants!$B$2,TRUE(),IF($F46=Constants!$B$3,FALSE(),FALSE())))</f>
        <v/>
      </c>
      <c r="AJ46" s="74" t="str">
        <f aca="false">IF(ISBLANK($C46),"",IF($G46=Constants!$B$2,TRUE(),IF($G46=Constants!$B$3,FALSE(),TRUE())))</f>
        <v/>
      </c>
      <c r="AK46" s="74" t="str">
        <f aca="false">IF(ISBLANK($C46),"",IF($H46=Constants!$B$2,TRUE(),IF($H46=Constants!$B$3,FALSE(),TRUE())))</f>
        <v/>
      </c>
      <c r="AL46" s="74" t="str">
        <f aca="false">IF(ISBLANK($C46),"",IF(ISNUMBER($I46),IF($I46&gt;=0,$I46,""),""))</f>
        <v/>
      </c>
      <c r="AM46" s="74" t="str">
        <f aca="false">IF(ISBLANK($C46),"",IF(ISNUMBER($J46),IF($J46&gt;=0,$J46,""),""))</f>
        <v/>
      </c>
      <c r="AN46" s="74" t="str">
        <f aca="false">IF(ISBLANK($C46),"",IF(ISNUMBER($K46),IF($K46&gt;=0,$K46,""),""))</f>
        <v/>
      </c>
      <c r="AO46" s="74" t="str">
        <f aca="false">IF(ISBLANK($C46),"",IF($L46=Constants!$B$2,TRUE(),IF($L46=Constants!$B$3,FALSE(),TRUE())))</f>
        <v/>
      </c>
      <c r="AP46" s="74" t="str">
        <f aca="false">IF(ISBLANK($C46),"",IF($M46=Constants!$B$2,TRUE(),IF($M46=Constants!$B$3,FALSE(),TRUE())))</f>
        <v/>
      </c>
      <c r="AQ46" s="74" t="str">
        <f aca="false">IF(ISBLANK($C46),"",IF($N46=Constants!$B$2,TRUE(),IF($N46=Constants!$B$3,FALSE(),FALSE())))</f>
        <v/>
      </c>
      <c r="AR46" s="74" t="str">
        <f aca="false">IF(ISBLANK($C46),"",IF($O46=Constants!$B$2,TRUE(),IF($O46=Constants!$B$3,FALSE(),TRUE())))</f>
        <v/>
      </c>
      <c r="AS46" s="74" t="str">
        <f aca="false">IF(ISBLANK($C46),"",IF($P46=Constants!$B$2,TRUE(),IF($P46=Constants!$B$3,FALSE(),FALSE())))</f>
        <v/>
      </c>
      <c r="AT46" s="74" t="str">
        <f aca="false">IF(ISBLANK($C46),"",IF($Q46=Constants!$B$2,TRUE(),IF($Q46=Constants!$B$3,FALSE(),FALSE())))</f>
        <v/>
      </c>
      <c r="AU46" s="74" t="str">
        <f aca="false">IF(ISBLANK($C46),"",IF($R46=Constants!$B$2,TRUE(),IF($R46=Constants!$B$3,FALSE(),FALSE())))</f>
        <v/>
      </c>
      <c r="AV46" s="74" t="str">
        <f aca="false">IF(ISBLANK($C46),"",IF($S46=Constants!$B$2,TRUE(),IF($S46=Constants!$B$3,FALSE(),FALSE())))</f>
        <v/>
      </c>
      <c r="AW46" s="74" t="str">
        <f aca="false">IF(ISBLANK($C46),"",IF($T46=Constants!$B$2,TRUE(),IF($T46=Constants!$B$3,FALSE(),FALSE())))</f>
        <v/>
      </c>
      <c r="AX46" s="74" t="str">
        <f aca="false">IF(ISBLANK($C46),"",IF(OR($U46&amp;""="1",$U46&amp;""="2",$U46&amp;""="3",$U46&amp;""="4"),VALUE($U46&amp;""),IF($U46=Constants!$B$12,Constants!$B$12,"")))</f>
        <v/>
      </c>
      <c r="AY46" s="74" t="str">
        <f aca="false">IF(ISBLANK($C46),"",IF(ISBLANK($V46),0,IF(ISNUMBER($V46),IF(AND($V46&gt;=0,$V46&lt;=Constants!$B$21,$V46=INT($V46)),$V46,""),"")))</f>
        <v/>
      </c>
      <c r="AZ46" s="74" t="str">
        <f aca="false">IF(ISBLANK($C46),"",IF(ISBLANK($W46),0,IF(ISNUMBER($W46),IF($W46&gt;=0,$W46,""),"")))</f>
        <v/>
      </c>
      <c r="BA46" s="74" t="str">
        <f aca="false">IF(ISBLANK($C46),"",IF($X46=Constants!$B$2,TRUE(),IF($X46=Constants!$B$3,FALSE(),TRUE())))</f>
        <v/>
      </c>
      <c r="BB46" s="74" t="str">
        <f aca="false">IF(ISBLANK($C46),"",IF($Y46=Constants!$B$2,TRUE(),IF($Y46=Constants!$B$3,FALSE(),FALSE())))</f>
        <v/>
      </c>
      <c r="BC46" s="74" t="str">
        <f aca="false">IF(ISBLANK($C46),"",IF(ISBLANK($Z46),0,IF(ISNUMBER($Z46),IF(AND($Z46&gt;=0,$Z46&lt;=Constants!$B$35,$Z46=INT($Z46)),$Z46,""),"")))</f>
        <v/>
      </c>
      <c r="BD46" s="74" t="str">
        <f aca="false">IF(ISBLANK($C46),"",IF($AA46=Constants!$B$2,TRUE(),IF($AA46=Constants!$B$3,FALSE(),TRUE())))</f>
        <v/>
      </c>
      <c r="BE46" s="74" t="str">
        <f aca="false">IF(ISBLANK($C46),"",IF($AB46=Constants!$B$2,TRUE(),IF($AB46=Constants!$B$3,FALSE(),TRUE())))</f>
        <v/>
      </c>
      <c r="BF46" s="74" t="str">
        <f aca="false">IF(ISBLANK($C46),"",IF(ISNUMBER($AC46),IF($AC46&gt;=0,$AC46,""),""))</f>
        <v/>
      </c>
      <c r="BG46" s="74" t="str">
        <f aca="false">IF(ISBLANK($C46),"",IF($AD46=Constants!$B$2,TRUE(),IF($AD46=Constants!$B$3,FALSE(),FALSE())))</f>
        <v/>
      </c>
      <c r="BH46" s="73" t="str">
        <f aca="false">IF(ISBLANK($C46),"",IF($BG46,Constants!$B$7,IF(COUNTA($E46:$AC46)=0,Constants!$B$6,IF(OR(COUNTA($G46:$AC46)=0,NOT($AK46),$AQ46),Constants!$B$5,IF(OR($CI46&lt;&gt;"",$CJ46,$CK46,$CL46,$CM46,$CN46,$CO46),Constants!$B$8,Constants!$B$4)))))</f>
        <v/>
      </c>
      <c r="BI46" s="74" t="str">
        <f aca="false">IF(ISBLANK($C46),"",IF($BH46&lt;&gt;Constants!$B$4,$BH46,IF(OR(NOT($AH46),NOT($AJ46),NOT($AR46)),Constants!$B$11,IF(OR(NOT($AP46),MAX($AL46,$AM46,$AN46)&gt;Constants!$B$30),Constants!$B$10,Constants!$B$9))))</f>
        <v/>
      </c>
      <c r="BJ46" s="74" t="str">
        <f aca="false">IF($BH46&lt;&gt;Constants!$B$4,"",IF(NOT($AJ46),0,MIN(Constants!$B$35,$BC46)))</f>
        <v/>
      </c>
      <c r="BK46" s="74" t="str">
        <f aca="false">IF($BH46&lt;&gt;Constants!$B$4,"",IF(NOT($AJ46),0,IF($AT46,Constants!$B$18,IF($AS46,Constants!$B$17,0))))</f>
        <v/>
      </c>
      <c r="BL46" s="74" t="str">
        <f aca="false">IF($BH46&lt;&gt;Constants!$B$4,"",IF(NOT($AJ46),0,Constants!$B$19*($AI46+$AU46+$AV46+$AW46)))</f>
        <v/>
      </c>
      <c r="BM46" s="74" t="str">
        <f aca="false">IF($BH46&lt;&gt;Constants!$B$4,"",IF(OR(NOT($AJ46),NOT(ISNUMBER($AX46))),0,CHOOSE($AX46,Constants!$B$13,Constants!$B$14,Constants!$B$15,Constants!$B$16)))</f>
        <v/>
      </c>
      <c r="BN46" s="74" t="str">
        <f aca="false">IF($BH46&lt;&gt;Constants!$B$4,"",IF(NOT($AJ46),0,Constants!$B$20*$AY46))</f>
        <v/>
      </c>
      <c r="BO46" s="74" t="str">
        <f aca="false">IF($BH46&lt;&gt;Constants!$B$4,"",IF(AND($AJ46,$BA46,$BB46),Constants!$B$22,0))</f>
        <v/>
      </c>
      <c r="BP46" s="74" t="str">
        <f aca="false">IF($BH46&lt;&gt;Constants!$B$4,"",IF(OR(NOT($AJ46),NOT($BA46)),0,IF($BF46&gt;=2*$AF$9,0,Constants!$B$23*INT(ROUND(MIN($BF46,$AF$9),6)))))</f>
        <v/>
      </c>
      <c r="BQ46" s="74" t="str">
        <f aca="false">IF($BH46&lt;&gt;Constants!$B$4,"",IF(NOT($AJ46),0,Constants!$B$24*INT(ROUND(MIN($AZ46,$AF$9),6))))</f>
        <v/>
      </c>
      <c r="BR46" s="74" t="str">
        <f aca="false">IF($BH46&lt;&gt;Constants!$B$4,"",IF(AND($AJ46,$BJ46=0),Constants!$B$25,0))</f>
        <v/>
      </c>
      <c r="BS46" s="74" t="str">
        <f aca="false">IF($BH46&lt;&gt;Constants!$B$4,"",MIN(Constants!$B$29,MAX(0,Constants!$B$27*Constants!$B$28*INT(ROUND((Constants!$B$26-$AL46)/Constants!$B$28,6))))+MIN(Constants!$B$29,MAX(0,Constants!$B$27*Constants!$B$28*INT(ROUND((Constants!$B$26-$AM46)/Constants!$B$28,6))))+MIN(Constants!$B$29,MAX(0,Constants!$B$27*Constants!$B$28*INT(ROUND((Constants!$B$26-$AN46)/Constants!$B$28,6)))))</f>
        <v/>
      </c>
      <c r="BT46" s="74" t="str">
        <f aca="false">IF($BH46&lt;&gt;Constants!$B$4,"",IF(NOT($AJ46),0,Constants!$B$31*INT(ROUND(MAX(0,MIN($BF46,2*$AF$9)-$AF$9),6))))</f>
        <v/>
      </c>
      <c r="BU46" s="74" t="str">
        <f aca="false">IF($BH46&lt;&gt;Constants!$B$4,"",Constants!$B$32*(($AL46&gt;Constants!$B$26)+($AM46&gt;Constants!$B$26)+($AN46&gt;Constants!$B$26)))</f>
        <v/>
      </c>
      <c r="BV46" s="74" t="str">
        <f aca="false">IF($BH46&lt;&gt;Constants!$B$4,"",IF(OR(NOT($AJ46),$AO46),0,Constants!$B$33))</f>
        <v/>
      </c>
      <c r="BW46" s="74" t="str">
        <f aca="false">IF($BH46&lt;&gt;Constants!$B$4,"",Constants!$B$34*$BJ46)</f>
        <v/>
      </c>
      <c r="BX46" s="74" t="str">
        <f aca="false">IF($BH46&lt;&gt;Constants!$B$4,"",IF(OR(NOT($AJ46),$BE46),0,Constants!$B$36))</f>
        <v/>
      </c>
      <c r="BY46" s="74" t="str">
        <f aca="false">IF($BH46&lt;&gt;Constants!$B$4,"",IF(OR(NOT($AJ46),$BD46),0,Constants!$B$37))</f>
        <v/>
      </c>
      <c r="BZ46" s="74" t="str">
        <f aca="false">IF($BH46&lt;&gt;Constants!$B$4,"",SUM($BT46:$BY46))</f>
        <v/>
      </c>
      <c r="CA46" s="74" t="str">
        <f aca="false">IF(ISBLANK($C46),"",IF($BH46&lt;&gt;Constants!$B$4,$BH46,SUM($BK46:$BS46)-$BZ46))</f>
        <v/>
      </c>
      <c r="CB46" s="74" t="str">
        <f aca="false">IF(ISBLANK($C46),"",IF($BH46&lt;&gt;Constants!$B$4,$BH46,RANK($CA46,$CA$9:$CA$508)))</f>
        <v/>
      </c>
      <c r="CC46" s="74" t="str">
        <f aca="false">IF(ISBLANK($C46),"",IF($BH46&lt;&gt;Constants!$B$4,$BH46,COUNTIFS($BI$9:$BI$508,"&lt;"&amp;$BI46)+COUNTIFS($BI$9:$BI$508,$BI46,$CB$9:$CB$508,"&lt;"&amp;$CB46)+1))</f>
        <v/>
      </c>
      <c r="CD46" s="74" t="str">
        <f aca="false">IF(ISBLANK($C46),"",IF($BH46&lt;&gt;Constants!$B$4,$BH46,RANK($BZ46,$BZ$9:$BZ$508,1)))</f>
        <v/>
      </c>
      <c r="CE46" s="74" t="str">
        <f aca="false">IF($BH46&lt;&gt;Constants!$B$4,"",$AL46+$AM46+$AN46)</f>
        <v/>
      </c>
      <c r="CF46" s="74" t="str">
        <f aca="false">IF(ISBLANK($C46),"",IF($BH46&lt;&gt;Constants!$B$4,$BH46,RANK($CE46,$CE$9:$CE$508,1)))</f>
        <v/>
      </c>
      <c r="CG46" s="74" t="str">
        <f aca="false">IF(ISBLANK($C46),"",IF($BH46&lt;&gt;Constants!$B$4,$BH46,COUNTIFS($BI$9:$BI$508,"&lt;"&amp;$BI46)+COUNTIFS($BI$9:$BI$508,$BI46,$CB$9:$CB$508,"&lt;"&amp;$CB46)+COUNTIFS($BI$9:$BI$508,$BI46,$CB$9:$CB$508,$CB46,$CD$9:$CD$508,"&lt;"&amp;$CD46)+COUNTIFS($BI$9:$BI$508,$BI46,$CB$9:$CB$508,$CB46,$CD$9:$CD$508,$CD46,$CF$9:$CF$508,"&lt;"&amp;$CF46)+1))</f>
        <v/>
      </c>
      <c r="CH46" s="74" t="str">
        <f aca="false">IF(ISBLANK($C46),"",IF($BH46&lt;&gt;Constants!$B$4,$BH46,$CC46-$CG46))</f>
        <v/>
      </c>
      <c r="CI46" s="74" t="str">
        <f aca="false">IF(ISBLANK($C46),"",IF(NOT($AJ46),"",IF(ISBLANK($D$7),$CI$5,IF(NOT(ISNUMBER($D$7)),$CI$6,""))))</f>
        <v/>
      </c>
      <c r="CJ46" s="74" t="str">
        <f aca="false">IF(ISBLANK($C46),"",OR($AL46="",$AM46="",$AN46=""))</f>
        <v/>
      </c>
      <c r="CK46" s="74" t="str">
        <f aca="false">IF(ISBLANK($C46),"",AND($AJ46,$AX46=""))</f>
        <v/>
      </c>
      <c r="CL46" s="74" t="str">
        <f aca="false">IF(ISBLANK($C46),"",AND($AJ46,$AY46=""))</f>
        <v/>
      </c>
      <c r="CM46" s="74" t="str">
        <f aca="false">IF(ISBLANK($C46),"",AND($AJ46,$AZ46=""))</f>
        <v/>
      </c>
      <c r="CN46" s="74" t="str">
        <f aca="false">IF(ISBLANK($C46),"",AND($AJ46,$BC46=""))</f>
        <v/>
      </c>
      <c r="CO46" s="74" t="str">
        <f aca="false">IF(ISBLANK($C46),"",AND($AJ46,$BF46=""))</f>
        <v/>
      </c>
      <c r="CP46" s="75"/>
      <c r="CQ46" s="76"/>
      <c r="CR46" s="79" t="str">
        <f aca="false">IF(ISBLANK($C46),"",IF($BH46=Constants!$B$8,$CI46,""))</f>
        <v/>
      </c>
      <c r="CS46" s="76" t="str">
        <f aca="false">IF(ISBLANK($C46),"",IF($BH46&lt;&gt;Constants!$B$4,"",$BK46+$BL46))</f>
        <v/>
      </c>
      <c r="CT46" s="78" t="str">
        <f aca="false">IF(ISBLANK($C46),"",IF($BH46&lt;&gt;Constants!$B$4,"",$BM46+$BN46+$BO46))</f>
        <v/>
      </c>
      <c r="CU46" s="78" t="str">
        <f aca="false">IF(ISBLANK($C46),"",IF($BH46&lt;&gt;Constants!$B$4,"",$BP46))</f>
        <v/>
      </c>
      <c r="CV46" s="78" t="str">
        <f aca="false">IF(ISBLANK($C46),"",IF($BH46&lt;&gt;Constants!$B$4,"",$BQ46+$BR46))</f>
        <v/>
      </c>
      <c r="CW46" s="78" t="str">
        <f aca="false">IF(ISBLANK($C46),"",IF($BH46&lt;&gt;Constants!$B$4,"",$BS46))</f>
        <v/>
      </c>
      <c r="CX46" s="78" t="str">
        <f aca="false">IF(ISBLANK($C46),"",IF($BH46&lt;&gt;Constants!$B$4,"",-$BZ46))</f>
        <v/>
      </c>
      <c r="CY46" s="79" t="str">
        <f aca="false">IF(ISBLANK($C46),"",$CA46)</f>
        <v/>
      </c>
      <c r="CZ46" s="80" t="str">
        <f aca="false">IF(ISBLANK($C46),"",$BI46)</f>
        <v/>
      </c>
      <c r="DA46" s="78" t="str">
        <f aca="false">IF(ISBLANK($C46),"",$CH46)</f>
        <v/>
      </c>
      <c r="DB46" s="78" t="str">
        <f aca="false">IF(ISBLANK($C46),"",$CG46)</f>
        <v/>
      </c>
      <c r="DC46" s="81" t="str">
        <f aca="false">IF(ISBLANK($C46),"",IFERROR(_xlfn.SWITCH($DB46,Constants!$B$7,COUNTA($C$9:$C$508)+2,Constants!$B$6,COUNTA($C$9:$C$508)+1,Constants!$B$5,COUNTA($C$9:$C$508)),$DB46))</f>
        <v/>
      </c>
      <c r="DD46" s="7"/>
      <c r="DE46" s="82" t="n">
        <f aca="false">IF(OR(ISNUMBER($DB46),$DB46=Constants!$B$7,$DB46=Constants!$B$5,$DB46=Constants!$B$6),1,0)</f>
        <v>0</v>
      </c>
      <c r="DF46" s="82" t="n">
        <v>38</v>
      </c>
      <c r="DG46" s="82" t="str">
        <f aca="false">IF(ISBLANK($C46),"",IF(ISNUMBER($DC46),$DC46+ROW($B46)/1000,""))</f>
        <v/>
      </c>
      <c r="DH46" s="82" t="str">
        <f aca="false">IF(ISNUMBER($DG46),RANK($DG46,$DG$9:$DG$508,1),"")</f>
        <v/>
      </c>
      <c r="DI46" s="82" t="str">
        <f aca="false">IF(ISBLANK($C46),"",$B46)</f>
        <v/>
      </c>
      <c r="DJ46" s="82" t="str">
        <f aca="false">IF(ISBLANK($C46),"",$C46)</f>
        <v/>
      </c>
      <c r="DK46" s="82" t="str">
        <f aca="false">IF(ISBLANK($C46),"",$D46)</f>
        <v/>
      </c>
      <c r="DL46" s="83" t="str">
        <f aca="false">$CZ46</f>
        <v/>
      </c>
      <c r="DM46" s="84" t="str">
        <f aca="false">$CY46</f>
        <v/>
      </c>
      <c r="DN46" s="82" t="str">
        <f aca="false">IF(ISBLANK($C46),"",$DB46)</f>
        <v/>
      </c>
      <c r="DO46" s="85" t="str">
        <f aca="false">IF($DF46&gt;$DE$8,"",VLOOKUP($DF46,$DH$9:$DN$508,7,FALSE()))</f>
        <v/>
      </c>
      <c r="DP46" s="86" t="str">
        <f aca="false">IF($DF46&gt;$DE$8,"",VLOOKUP($DF46,$DH$9:$DN$508,2,FALSE()))</f>
        <v/>
      </c>
      <c r="DQ46" s="86" t="str">
        <f aca="false">IF($DF46&gt;$DE$8,"",VLOOKUP($DF46,$DH$9:$DN$508,3,FALSE()))</f>
        <v/>
      </c>
      <c r="DR46" s="86" t="str">
        <f aca="false">IF($DF46&gt;$DE$8,"",VLOOKUP($DF46,$DH$9:$DN$508,4,FALSE()))</f>
        <v/>
      </c>
      <c r="DS46" s="86" t="str">
        <f aca="false">IF($DF46&gt;$DE$8,"",VLOOKUP($DF46,$DH$9:$DN$508,5,FALSE()))</f>
        <v/>
      </c>
      <c r="DT46" s="87" t="str">
        <f aca="false">IF($DF46&gt;$DE$8,"",VLOOKUP($DF46,$DH$9:$DN$508,6,FALSE()))</f>
        <v/>
      </c>
      <c r="DU46" s="62"/>
    </row>
    <row r="47" customFormat="false" ht="15.75" hidden="false" customHeight="false" outlineLevel="0" collapsed="false">
      <c r="A47" s="7"/>
      <c r="B47" s="64"/>
      <c r="C47" s="65"/>
      <c r="D47" s="123"/>
      <c r="E47" s="88"/>
      <c r="F47" s="134"/>
      <c r="G47" s="88"/>
      <c r="H47" s="134"/>
      <c r="I47" s="69"/>
      <c r="J47" s="69"/>
      <c r="K47" s="69"/>
      <c r="L47" s="88"/>
      <c r="M47" s="88"/>
      <c r="N47" s="88"/>
      <c r="O47" s="134"/>
      <c r="P47" s="88"/>
      <c r="Q47" s="88"/>
      <c r="R47" s="88"/>
      <c r="S47" s="88"/>
      <c r="T47" s="134"/>
      <c r="U47" s="88"/>
      <c r="V47" s="70"/>
      <c r="W47" s="88"/>
      <c r="X47" s="88"/>
      <c r="Y47" s="70"/>
      <c r="Z47" s="70"/>
      <c r="AA47" s="88"/>
      <c r="AB47" s="88"/>
      <c r="AC47" s="71"/>
      <c r="AD47" s="88"/>
      <c r="AE47" s="73"/>
      <c r="AF47" s="74"/>
      <c r="AG47" s="74"/>
      <c r="AH47" s="74" t="str">
        <f aca="false">IF(ISBLANK($C47),"",IF($E47=Constants!$B$2,TRUE(),IF($E47=Constants!$B$3,FALSE(),TRUE())))</f>
        <v/>
      </c>
      <c r="AI47" s="74" t="str">
        <f aca="false">IF(ISBLANK($C47),"",IF($F47=Constants!$B$2,TRUE(),IF($F47=Constants!$B$3,FALSE(),FALSE())))</f>
        <v/>
      </c>
      <c r="AJ47" s="74" t="str">
        <f aca="false">IF(ISBLANK($C47),"",IF($G47=Constants!$B$2,TRUE(),IF($G47=Constants!$B$3,FALSE(),TRUE())))</f>
        <v/>
      </c>
      <c r="AK47" s="74" t="str">
        <f aca="false">IF(ISBLANK($C47),"",IF($H47=Constants!$B$2,TRUE(),IF($H47=Constants!$B$3,FALSE(),TRUE())))</f>
        <v/>
      </c>
      <c r="AL47" s="74" t="str">
        <f aca="false">IF(ISBLANK($C47),"",IF(ISNUMBER($I47),IF($I47&gt;=0,$I47,""),""))</f>
        <v/>
      </c>
      <c r="AM47" s="74" t="str">
        <f aca="false">IF(ISBLANK($C47),"",IF(ISNUMBER($J47),IF($J47&gt;=0,$J47,""),""))</f>
        <v/>
      </c>
      <c r="AN47" s="74" t="str">
        <f aca="false">IF(ISBLANK($C47),"",IF(ISNUMBER($K47),IF($K47&gt;=0,$K47,""),""))</f>
        <v/>
      </c>
      <c r="AO47" s="74" t="str">
        <f aca="false">IF(ISBLANK($C47),"",IF($L47=Constants!$B$2,TRUE(),IF($L47=Constants!$B$3,FALSE(),TRUE())))</f>
        <v/>
      </c>
      <c r="AP47" s="74" t="str">
        <f aca="false">IF(ISBLANK($C47),"",IF($M47=Constants!$B$2,TRUE(),IF($M47=Constants!$B$3,FALSE(),TRUE())))</f>
        <v/>
      </c>
      <c r="AQ47" s="74" t="str">
        <f aca="false">IF(ISBLANK($C47),"",IF($N47=Constants!$B$2,TRUE(),IF($N47=Constants!$B$3,FALSE(),FALSE())))</f>
        <v/>
      </c>
      <c r="AR47" s="74" t="str">
        <f aca="false">IF(ISBLANK($C47),"",IF($O47=Constants!$B$2,TRUE(),IF($O47=Constants!$B$3,FALSE(),TRUE())))</f>
        <v/>
      </c>
      <c r="AS47" s="74" t="str">
        <f aca="false">IF(ISBLANK($C47),"",IF($P47=Constants!$B$2,TRUE(),IF($P47=Constants!$B$3,FALSE(),FALSE())))</f>
        <v/>
      </c>
      <c r="AT47" s="74" t="str">
        <f aca="false">IF(ISBLANK($C47),"",IF($Q47=Constants!$B$2,TRUE(),IF($Q47=Constants!$B$3,FALSE(),FALSE())))</f>
        <v/>
      </c>
      <c r="AU47" s="74" t="str">
        <f aca="false">IF(ISBLANK($C47),"",IF($R47=Constants!$B$2,TRUE(),IF($R47=Constants!$B$3,FALSE(),FALSE())))</f>
        <v/>
      </c>
      <c r="AV47" s="74" t="str">
        <f aca="false">IF(ISBLANK($C47),"",IF($S47=Constants!$B$2,TRUE(),IF($S47=Constants!$B$3,FALSE(),FALSE())))</f>
        <v/>
      </c>
      <c r="AW47" s="74" t="str">
        <f aca="false">IF(ISBLANK($C47),"",IF($T47=Constants!$B$2,TRUE(),IF($T47=Constants!$B$3,FALSE(),FALSE())))</f>
        <v/>
      </c>
      <c r="AX47" s="74" t="str">
        <f aca="false">IF(ISBLANK($C47),"",IF(OR($U47&amp;""="1",$U47&amp;""="2",$U47&amp;""="3",$U47&amp;""="4"),VALUE($U47&amp;""),IF($U47=Constants!$B$12,Constants!$B$12,"")))</f>
        <v/>
      </c>
      <c r="AY47" s="74" t="str">
        <f aca="false">IF(ISBLANK($C47),"",IF(ISBLANK($V47),0,IF(ISNUMBER($V47),IF(AND($V47&gt;=0,$V47&lt;=Constants!$B$21,$V47=INT($V47)),$V47,""),"")))</f>
        <v/>
      </c>
      <c r="AZ47" s="74" t="str">
        <f aca="false">IF(ISBLANK($C47),"",IF(ISBLANK($W47),0,IF(ISNUMBER($W47),IF($W47&gt;=0,$W47,""),"")))</f>
        <v/>
      </c>
      <c r="BA47" s="74" t="str">
        <f aca="false">IF(ISBLANK($C47),"",IF($X47=Constants!$B$2,TRUE(),IF($X47=Constants!$B$3,FALSE(),TRUE())))</f>
        <v/>
      </c>
      <c r="BB47" s="74" t="str">
        <f aca="false">IF(ISBLANK($C47),"",IF($Y47=Constants!$B$2,TRUE(),IF($Y47=Constants!$B$3,FALSE(),FALSE())))</f>
        <v/>
      </c>
      <c r="BC47" s="74" t="str">
        <f aca="false">IF(ISBLANK($C47),"",IF(ISBLANK($Z47),0,IF(ISNUMBER($Z47),IF(AND($Z47&gt;=0,$Z47&lt;=Constants!$B$35,$Z47=INT($Z47)),$Z47,""),"")))</f>
        <v/>
      </c>
      <c r="BD47" s="74" t="str">
        <f aca="false">IF(ISBLANK($C47),"",IF($AA47=Constants!$B$2,TRUE(),IF($AA47=Constants!$B$3,FALSE(),TRUE())))</f>
        <v/>
      </c>
      <c r="BE47" s="74" t="str">
        <f aca="false">IF(ISBLANK($C47),"",IF($AB47=Constants!$B$2,TRUE(),IF($AB47=Constants!$B$3,FALSE(),TRUE())))</f>
        <v/>
      </c>
      <c r="BF47" s="74" t="str">
        <f aca="false">IF(ISBLANK($C47),"",IF(ISNUMBER($AC47),IF($AC47&gt;=0,$AC47,""),""))</f>
        <v/>
      </c>
      <c r="BG47" s="74" t="str">
        <f aca="false">IF(ISBLANK($C47),"",IF($AD47=Constants!$B$2,TRUE(),IF($AD47=Constants!$B$3,FALSE(),FALSE())))</f>
        <v/>
      </c>
      <c r="BH47" s="73" t="str">
        <f aca="false">IF(ISBLANK($C47),"",IF($BG47,Constants!$B$7,IF(COUNTA($E47:$AC47)=0,Constants!$B$6,IF(OR(COUNTA($G47:$AC47)=0,NOT($AK47),$AQ47),Constants!$B$5,IF(OR($CI47&lt;&gt;"",$CJ47,$CK47,$CL47,$CM47,$CN47,$CO47),Constants!$B$8,Constants!$B$4)))))</f>
        <v/>
      </c>
      <c r="BI47" s="74" t="str">
        <f aca="false">IF(ISBLANK($C47),"",IF($BH47&lt;&gt;Constants!$B$4,$BH47,IF(OR(NOT($AH47),NOT($AJ47),NOT($AR47)),Constants!$B$11,IF(OR(NOT($AP47),MAX($AL47,$AM47,$AN47)&gt;Constants!$B$30),Constants!$B$10,Constants!$B$9))))</f>
        <v/>
      </c>
      <c r="BJ47" s="74" t="str">
        <f aca="false">IF($BH47&lt;&gt;Constants!$B$4,"",IF(NOT($AJ47),0,MIN(Constants!$B$35,$BC47)))</f>
        <v/>
      </c>
      <c r="BK47" s="74" t="str">
        <f aca="false">IF($BH47&lt;&gt;Constants!$B$4,"",IF(NOT($AJ47),0,IF($AT47,Constants!$B$18,IF($AS47,Constants!$B$17,0))))</f>
        <v/>
      </c>
      <c r="BL47" s="74" t="str">
        <f aca="false">IF($BH47&lt;&gt;Constants!$B$4,"",IF(NOT($AJ47),0,Constants!$B$19*($AI47+$AU47+$AV47+$AW47)))</f>
        <v/>
      </c>
      <c r="BM47" s="74" t="str">
        <f aca="false">IF($BH47&lt;&gt;Constants!$B$4,"",IF(OR(NOT($AJ47),NOT(ISNUMBER($AX47))),0,CHOOSE($AX47,Constants!$B$13,Constants!$B$14,Constants!$B$15,Constants!$B$16)))</f>
        <v/>
      </c>
      <c r="BN47" s="74" t="str">
        <f aca="false">IF($BH47&lt;&gt;Constants!$B$4,"",IF(NOT($AJ47),0,Constants!$B$20*$AY47))</f>
        <v/>
      </c>
      <c r="BO47" s="74" t="str">
        <f aca="false">IF($BH47&lt;&gt;Constants!$B$4,"",IF(AND($AJ47,$BA47,$BB47),Constants!$B$22,0))</f>
        <v/>
      </c>
      <c r="BP47" s="74" t="str">
        <f aca="false">IF($BH47&lt;&gt;Constants!$B$4,"",IF(OR(NOT($AJ47),NOT($BA47)),0,IF($BF47&gt;=2*$AF$9,0,Constants!$B$23*INT(ROUND(MIN($BF47,$AF$9),6)))))</f>
        <v/>
      </c>
      <c r="BQ47" s="74" t="str">
        <f aca="false">IF($BH47&lt;&gt;Constants!$B$4,"",IF(NOT($AJ47),0,Constants!$B$24*INT(ROUND(MIN($AZ47,$AF$9),6))))</f>
        <v/>
      </c>
      <c r="BR47" s="74" t="str">
        <f aca="false">IF($BH47&lt;&gt;Constants!$B$4,"",IF(AND($AJ47,$BJ47=0),Constants!$B$25,0))</f>
        <v/>
      </c>
      <c r="BS47" s="74" t="str">
        <f aca="false">IF($BH47&lt;&gt;Constants!$B$4,"",MIN(Constants!$B$29,MAX(0,Constants!$B$27*Constants!$B$28*INT(ROUND((Constants!$B$26-$AL47)/Constants!$B$28,6))))+MIN(Constants!$B$29,MAX(0,Constants!$B$27*Constants!$B$28*INT(ROUND((Constants!$B$26-$AM47)/Constants!$B$28,6))))+MIN(Constants!$B$29,MAX(0,Constants!$B$27*Constants!$B$28*INT(ROUND((Constants!$B$26-$AN47)/Constants!$B$28,6)))))</f>
        <v/>
      </c>
      <c r="BT47" s="74" t="str">
        <f aca="false">IF($BH47&lt;&gt;Constants!$B$4,"",IF(NOT($AJ47),0,Constants!$B$31*INT(ROUND(MAX(0,MIN($BF47,2*$AF$9)-$AF$9),6))))</f>
        <v/>
      </c>
      <c r="BU47" s="74" t="str">
        <f aca="false">IF($BH47&lt;&gt;Constants!$B$4,"",Constants!$B$32*(($AL47&gt;Constants!$B$26)+($AM47&gt;Constants!$B$26)+($AN47&gt;Constants!$B$26)))</f>
        <v/>
      </c>
      <c r="BV47" s="74" t="str">
        <f aca="false">IF($BH47&lt;&gt;Constants!$B$4,"",IF(OR(NOT($AJ47),$AO47),0,Constants!$B$33))</f>
        <v/>
      </c>
      <c r="BW47" s="74" t="str">
        <f aca="false">IF($BH47&lt;&gt;Constants!$B$4,"",Constants!$B$34*$BJ47)</f>
        <v/>
      </c>
      <c r="BX47" s="74" t="str">
        <f aca="false">IF($BH47&lt;&gt;Constants!$B$4,"",IF(OR(NOT($AJ47),$BE47),0,Constants!$B$36))</f>
        <v/>
      </c>
      <c r="BY47" s="74" t="str">
        <f aca="false">IF($BH47&lt;&gt;Constants!$B$4,"",IF(OR(NOT($AJ47),$BD47),0,Constants!$B$37))</f>
        <v/>
      </c>
      <c r="BZ47" s="74" t="str">
        <f aca="false">IF($BH47&lt;&gt;Constants!$B$4,"",SUM($BT47:$BY47))</f>
        <v/>
      </c>
      <c r="CA47" s="74" t="str">
        <f aca="false">IF(ISBLANK($C47),"",IF($BH47&lt;&gt;Constants!$B$4,$BH47,SUM($BK47:$BS47)-$BZ47))</f>
        <v/>
      </c>
      <c r="CB47" s="74" t="str">
        <f aca="false">IF(ISBLANK($C47),"",IF($BH47&lt;&gt;Constants!$B$4,$BH47,RANK($CA47,$CA$9:$CA$508)))</f>
        <v/>
      </c>
      <c r="CC47" s="74" t="str">
        <f aca="false">IF(ISBLANK($C47),"",IF($BH47&lt;&gt;Constants!$B$4,$BH47,COUNTIFS($BI$9:$BI$508,"&lt;"&amp;$BI47)+COUNTIFS($BI$9:$BI$508,$BI47,$CB$9:$CB$508,"&lt;"&amp;$CB47)+1))</f>
        <v/>
      </c>
      <c r="CD47" s="74" t="str">
        <f aca="false">IF(ISBLANK($C47),"",IF($BH47&lt;&gt;Constants!$B$4,$BH47,RANK($BZ47,$BZ$9:$BZ$508,1)))</f>
        <v/>
      </c>
      <c r="CE47" s="74" t="str">
        <f aca="false">IF($BH47&lt;&gt;Constants!$B$4,"",$AL47+$AM47+$AN47)</f>
        <v/>
      </c>
      <c r="CF47" s="74" t="str">
        <f aca="false">IF(ISBLANK($C47),"",IF($BH47&lt;&gt;Constants!$B$4,$BH47,RANK($CE47,$CE$9:$CE$508,1)))</f>
        <v/>
      </c>
      <c r="CG47" s="74" t="str">
        <f aca="false">IF(ISBLANK($C47),"",IF($BH47&lt;&gt;Constants!$B$4,$BH47,COUNTIFS($BI$9:$BI$508,"&lt;"&amp;$BI47)+COUNTIFS($BI$9:$BI$508,$BI47,$CB$9:$CB$508,"&lt;"&amp;$CB47)+COUNTIFS($BI$9:$BI$508,$BI47,$CB$9:$CB$508,$CB47,$CD$9:$CD$508,"&lt;"&amp;$CD47)+COUNTIFS($BI$9:$BI$508,$BI47,$CB$9:$CB$508,$CB47,$CD$9:$CD$508,$CD47,$CF$9:$CF$508,"&lt;"&amp;$CF47)+1))</f>
        <v/>
      </c>
      <c r="CH47" s="74" t="str">
        <f aca="false">IF(ISBLANK($C47),"",IF($BH47&lt;&gt;Constants!$B$4,$BH47,$CC47-$CG47))</f>
        <v/>
      </c>
      <c r="CI47" s="74" t="str">
        <f aca="false">IF(ISBLANK($C47),"",IF(NOT($AJ47),"",IF(ISBLANK($D$7),$CI$5,IF(NOT(ISNUMBER($D$7)),$CI$6,""))))</f>
        <v/>
      </c>
      <c r="CJ47" s="74" t="str">
        <f aca="false">IF(ISBLANK($C47),"",OR($AL47="",$AM47="",$AN47=""))</f>
        <v/>
      </c>
      <c r="CK47" s="74" t="str">
        <f aca="false">IF(ISBLANK($C47),"",AND($AJ47,$AX47=""))</f>
        <v/>
      </c>
      <c r="CL47" s="74" t="str">
        <f aca="false">IF(ISBLANK($C47),"",AND($AJ47,$AY47=""))</f>
        <v/>
      </c>
      <c r="CM47" s="74" t="str">
        <f aca="false">IF(ISBLANK($C47),"",AND($AJ47,$AZ47=""))</f>
        <v/>
      </c>
      <c r="CN47" s="74" t="str">
        <f aca="false">IF(ISBLANK($C47),"",AND($AJ47,$BC47=""))</f>
        <v/>
      </c>
      <c r="CO47" s="74" t="str">
        <f aca="false">IF(ISBLANK($C47),"",AND($AJ47,$BF47=""))</f>
        <v/>
      </c>
      <c r="CP47" s="75"/>
      <c r="CQ47" s="76"/>
      <c r="CR47" s="79" t="str">
        <f aca="false">IF(ISBLANK($C47),"",IF($BH47=Constants!$B$8,$CI47,""))</f>
        <v/>
      </c>
      <c r="CS47" s="76" t="str">
        <f aca="false">IF(ISBLANK($C47),"",IF($BH47&lt;&gt;Constants!$B$4,"",$BK47+$BL47))</f>
        <v/>
      </c>
      <c r="CT47" s="78" t="str">
        <f aca="false">IF(ISBLANK($C47),"",IF($BH47&lt;&gt;Constants!$B$4,"",$BM47+$BN47+$BO47))</f>
        <v/>
      </c>
      <c r="CU47" s="78" t="str">
        <f aca="false">IF(ISBLANK($C47),"",IF($BH47&lt;&gt;Constants!$B$4,"",$BP47))</f>
        <v/>
      </c>
      <c r="CV47" s="78" t="str">
        <f aca="false">IF(ISBLANK($C47),"",IF($BH47&lt;&gt;Constants!$B$4,"",$BQ47+$BR47))</f>
        <v/>
      </c>
      <c r="CW47" s="78" t="str">
        <f aca="false">IF(ISBLANK($C47),"",IF($BH47&lt;&gt;Constants!$B$4,"",$BS47))</f>
        <v/>
      </c>
      <c r="CX47" s="78" t="str">
        <f aca="false">IF(ISBLANK($C47),"",IF($BH47&lt;&gt;Constants!$B$4,"",-$BZ47))</f>
        <v/>
      </c>
      <c r="CY47" s="79" t="str">
        <f aca="false">IF(ISBLANK($C47),"",$CA47)</f>
        <v/>
      </c>
      <c r="CZ47" s="80" t="str">
        <f aca="false">IF(ISBLANK($C47),"",$BI47)</f>
        <v/>
      </c>
      <c r="DA47" s="78" t="str">
        <f aca="false">IF(ISBLANK($C47),"",$CH47)</f>
        <v/>
      </c>
      <c r="DB47" s="78" t="str">
        <f aca="false">IF(ISBLANK($C47),"",$CG47)</f>
        <v/>
      </c>
      <c r="DC47" s="81" t="str">
        <f aca="false">IF(ISBLANK($C47),"",IFERROR(_xlfn.SWITCH($DB47,Constants!$B$7,COUNTA($C$9:$C$508)+2,Constants!$B$6,COUNTA($C$9:$C$508)+1,Constants!$B$5,COUNTA($C$9:$C$508)),$DB47))</f>
        <v/>
      </c>
      <c r="DD47" s="7"/>
      <c r="DE47" s="82" t="n">
        <f aca="false">IF(OR(ISNUMBER($DB47),$DB47=Constants!$B$7,$DB47=Constants!$B$5,$DB47=Constants!$B$6),1,0)</f>
        <v>0</v>
      </c>
      <c r="DF47" s="82" t="n">
        <v>39</v>
      </c>
      <c r="DG47" s="82" t="str">
        <f aca="false">IF(ISBLANK($C47),"",IF(ISNUMBER($DC47),$DC47+ROW($B47)/1000,""))</f>
        <v/>
      </c>
      <c r="DH47" s="82" t="str">
        <f aca="false">IF(ISNUMBER($DG47),RANK($DG47,$DG$9:$DG$508,1),"")</f>
        <v/>
      </c>
      <c r="DI47" s="82" t="str">
        <f aca="false">IF(ISBLANK($C47),"",$B47)</f>
        <v/>
      </c>
      <c r="DJ47" s="82" t="str">
        <f aca="false">IF(ISBLANK($C47),"",$C47)</f>
        <v/>
      </c>
      <c r="DK47" s="82" t="str">
        <f aca="false">IF(ISBLANK($C47),"",$D47)</f>
        <v/>
      </c>
      <c r="DL47" s="83" t="str">
        <f aca="false">$CZ47</f>
        <v/>
      </c>
      <c r="DM47" s="84" t="str">
        <f aca="false">$CY47</f>
        <v/>
      </c>
      <c r="DN47" s="82" t="str">
        <f aca="false">IF(ISBLANK($C47),"",$DB47)</f>
        <v/>
      </c>
      <c r="DO47" s="85" t="str">
        <f aca="false">IF($DF47&gt;$DE$8,"",VLOOKUP($DF47,$DH$9:$DN$508,7,FALSE()))</f>
        <v/>
      </c>
      <c r="DP47" s="86" t="str">
        <f aca="false">IF($DF47&gt;$DE$8,"",VLOOKUP($DF47,$DH$9:$DN$508,2,FALSE()))</f>
        <v/>
      </c>
      <c r="DQ47" s="86" t="str">
        <f aca="false">IF($DF47&gt;$DE$8,"",VLOOKUP($DF47,$DH$9:$DN$508,3,FALSE()))</f>
        <v/>
      </c>
      <c r="DR47" s="86" t="str">
        <f aca="false">IF($DF47&gt;$DE$8,"",VLOOKUP($DF47,$DH$9:$DN$508,4,FALSE()))</f>
        <v/>
      </c>
      <c r="DS47" s="86" t="str">
        <f aca="false">IF($DF47&gt;$DE$8,"",VLOOKUP($DF47,$DH$9:$DN$508,5,FALSE()))</f>
        <v/>
      </c>
      <c r="DT47" s="87" t="str">
        <f aca="false">IF($DF47&gt;$DE$8,"",VLOOKUP($DF47,$DH$9:$DN$508,6,FALSE()))</f>
        <v/>
      </c>
      <c r="DU47" s="62"/>
    </row>
    <row r="48" customFormat="false" ht="15.75" hidden="false" customHeight="false" outlineLevel="0" collapsed="false">
      <c r="A48" s="7"/>
      <c r="B48" s="90"/>
      <c r="C48" s="91"/>
      <c r="D48" s="126"/>
      <c r="E48" s="130"/>
      <c r="F48" s="135"/>
      <c r="G48" s="130"/>
      <c r="H48" s="135"/>
      <c r="I48" s="95"/>
      <c r="J48" s="95"/>
      <c r="K48" s="95"/>
      <c r="L48" s="130"/>
      <c r="M48" s="130"/>
      <c r="N48" s="130"/>
      <c r="O48" s="135"/>
      <c r="P48" s="130"/>
      <c r="Q48" s="130"/>
      <c r="R48" s="130"/>
      <c r="S48" s="130"/>
      <c r="T48" s="135"/>
      <c r="U48" s="130"/>
      <c r="V48" s="96"/>
      <c r="W48" s="130"/>
      <c r="X48" s="130"/>
      <c r="Y48" s="96"/>
      <c r="Z48" s="96"/>
      <c r="AA48" s="130"/>
      <c r="AB48" s="130"/>
      <c r="AC48" s="97"/>
      <c r="AD48" s="130"/>
      <c r="AE48" s="99"/>
      <c r="AF48" s="100"/>
      <c r="AG48" s="100"/>
      <c r="AH48" s="100" t="str">
        <f aca="false">IF(ISBLANK($C48),"",IF($E48=Constants!$B$2,TRUE(),IF($E48=Constants!$B$3,FALSE(),TRUE())))</f>
        <v/>
      </c>
      <c r="AI48" s="100" t="str">
        <f aca="false">IF(ISBLANK($C48),"",IF($F48=Constants!$B$2,TRUE(),IF($F48=Constants!$B$3,FALSE(),FALSE())))</f>
        <v/>
      </c>
      <c r="AJ48" s="100" t="str">
        <f aca="false">IF(ISBLANK($C48),"",IF($G48=Constants!$B$2,TRUE(),IF($G48=Constants!$B$3,FALSE(),TRUE())))</f>
        <v/>
      </c>
      <c r="AK48" s="100" t="str">
        <f aca="false">IF(ISBLANK($C48),"",IF($H48=Constants!$B$2,TRUE(),IF($H48=Constants!$B$3,FALSE(),TRUE())))</f>
        <v/>
      </c>
      <c r="AL48" s="100" t="str">
        <f aca="false">IF(ISBLANK($C48),"",IF(ISNUMBER($I48),IF($I48&gt;=0,$I48,""),""))</f>
        <v/>
      </c>
      <c r="AM48" s="100" t="str">
        <f aca="false">IF(ISBLANK($C48),"",IF(ISNUMBER($J48),IF($J48&gt;=0,$J48,""),""))</f>
        <v/>
      </c>
      <c r="AN48" s="100" t="str">
        <f aca="false">IF(ISBLANK($C48),"",IF(ISNUMBER($K48),IF($K48&gt;=0,$K48,""),""))</f>
        <v/>
      </c>
      <c r="AO48" s="100" t="str">
        <f aca="false">IF(ISBLANK($C48),"",IF($L48=Constants!$B$2,TRUE(),IF($L48=Constants!$B$3,FALSE(),TRUE())))</f>
        <v/>
      </c>
      <c r="AP48" s="100" t="str">
        <f aca="false">IF(ISBLANK($C48),"",IF($M48=Constants!$B$2,TRUE(),IF($M48=Constants!$B$3,FALSE(),TRUE())))</f>
        <v/>
      </c>
      <c r="AQ48" s="100" t="str">
        <f aca="false">IF(ISBLANK($C48),"",IF($N48=Constants!$B$2,TRUE(),IF($N48=Constants!$B$3,FALSE(),FALSE())))</f>
        <v/>
      </c>
      <c r="AR48" s="100" t="str">
        <f aca="false">IF(ISBLANK($C48),"",IF($O48=Constants!$B$2,TRUE(),IF($O48=Constants!$B$3,FALSE(),TRUE())))</f>
        <v/>
      </c>
      <c r="AS48" s="100" t="str">
        <f aca="false">IF(ISBLANK($C48),"",IF($P48=Constants!$B$2,TRUE(),IF($P48=Constants!$B$3,FALSE(),FALSE())))</f>
        <v/>
      </c>
      <c r="AT48" s="100" t="str">
        <f aca="false">IF(ISBLANK($C48),"",IF($Q48=Constants!$B$2,TRUE(),IF($Q48=Constants!$B$3,FALSE(),FALSE())))</f>
        <v/>
      </c>
      <c r="AU48" s="100" t="str">
        <f aca="false">IF(ISBLANK($C48),"",IF($R48=Constants!$B$2,TRUE(),IF($R48=Constants!$B$3,FALSE(),FALSE())))</f>
        <v/>
      </c>
      <c r="AV48" s="100" t="str">
        <f aca="false">IF(ISBLANK($C48),"",IF($S48=Constants!$B$2,TRUE(),IF($S48=Constants!$B$3,FALSE(),FALSE())))</f>
        <v/>
      </c>
      <c r="AW48" s="100" t="str">
        <f aca="false">IF(ISBLANK($C48),"",IF($T48=Constants!$B$2,TRUE(),IF($T48=Constants!$B$3,FALSE(),FALSE())))</f>
        <v/>
      </c>
      <c r="AX48" s="100" t="str">
        <f aca="false">IF(ISBLANK($C48),"",IF(OR($U48&amp;""="1",$U48&amp;""="2",$U48&amp;""="3",$U48&amp;""="4"),VALUE($U48&amp;""),IF($U48=Constants!$B$12,Constants!$B$12,"")))</f>
        <v/>
      </c>
      <c r="AY48" s="100" t="str">
        <f aca="false">IF(ISBLANK($C48),"",IF(ISBLANK($V48),0,IF(ISNUMBER($V48),IF(AND($V48&gt;=0,$V48&lt;=Constants!$B$21,$V48=INT($V48)),$V48,""),"")))</f>
        <v/>
      </c>
      <c r="AZ48" s="100" t="str">
        <f aca="false">IF(ISBLANK($C48),"",IF(ISBLANK($W48),0,IF(ISNUMBER($W48),IF($W48&gt;=0,$W48,""),"")))</f>
        <v/>
      </c>
      <c r="BA48" s="100" t="str">
        <f aca="false">IF(ISBLANK($C48),"",IF($X48=Constants!$B$2,TRUE(),IF($X48=Constants!$B$3,FALSE(),TRUE())))</f>
        <v/>
      </c>
      <c r="BB48" s="100" t="str">
        <f aca="false">IF(ISBLANK($C48),"",IF($Y48=Constants!$B$2,TRUE(),IF($Y48=Constants!$B$3,FALSE(),FALSE())))</f>
        <v/>
      </c>
      <c r="BC48" s="100" t="str">
        <f aca="false">IF(ISBLANK($C48),"",IF(ISBLANK($Z48),0,IF(ISNUMBER($Z48),IF(AND($Z48&gt;=0,$Z48&lt;=Constants!$B$35,$Z48=INT($Z48)),$Z48,""),"")))</f>
        <v/>
      </c>
      <c r="BD48" s="100" t="str">
        <f aca="false">IF(ISBLANK($C48),"",IF($AA48=Constants!$B$2,TRUE(),IF($AA48=Constants!$B$3,FALSE(),TRUE())))</f>
        <v/>
      </c>
      <c r="BE48" s="100" t="str">
        <f aca="false">IF(ISBLANK($C48),"",IF($AB48=Constants!$B$2,TRUE(),IF($AB48=Constants!$B$3,FALSE(),TRUE())))</f>
        <v/>
      </c>
      <c r="BF48" s="100" t="str">
        <f aca="false">IF(ISBLANK($C48),"",IF(ISNUMBER($AC48),IF($AC48&gt;=0,$AC48,""),""))</f>
        <v/>
      </c>
      <c r="BG48" s="100" t="str">
        <f aca="false">IF(ISBLANK($C48),"",IF($AD48=Constants!$B$2,TRUE(),IF($AD48=Constants!$B$3,FALSE(),FALSE())))</f>
        <v/>
      </c>
      <c r="BH48" s="99" t="str">
        <f aca="false">IF(ISBLANK($C48),"",IF($BG48,Constants!$B$7,IF(COUNTA($E48:$AC48)=0,Constants!$B$6,IF(OR(COUNTA($G48:$AC48)=0,NOT($AK48),$AQ48),Constants!$B$5,IF(OR($CI48&lt;&gt;"",$CJ48,$CK48,$CL48,$CM48,$CN48,$CO48),Constants!$B$8,Constants!$B$4)))))</f>
        <v/>
      </c>
      <c r="BI48" s="100" t="str">
        <f aca="false">IF(ISBLANK($C48),"",IF($BH48&lt;&gt;Constants!$B$4,$BH48,IF(OR(NOT($AH48),NOT($AJ48),NOT($AR48)),Constants!$B$11,IF(OR(NOT($AP48),MAX($AL48,$AM48,$AN48)&gt;Constants!$B$30),Constants!$B$10,Constants!$B$9))))</f>
        <v/>
      </c>
      <c r="BJ48" s="100" t="str">
        <f aca="false">IF($BH48&lt;&gt;Constants!$B$4,"",IF(NOT($AJ48),0,MIN(Constants!$B$35,$BC48)))</f>
        <v/>
      </c>
      <c r="BK48" s="100" t="str">
        <f aca="false">IF($BH48&lt;&gt;Constants!$B$4,"",IF(NOT($AJ48),0,IF($AT48,Constants!$B$18,IF($AS48,Constants!$B$17,0))))</f>
        <v/>
      </c>
      <c r="BL48" s="100" t="str">
        <f aca="false">IF($BH48&lt;&gt;Constants!$B$4,"",IF(NOT($AJ48),0,Constants!$B$19*($AI48+$AU48+$AV48+$AW48)))</f>
        <v/>
      </c>
      <c r="BM48" s="100" t="str">
        <f aca="false">IF($BH48&lt;&gt;Constants!$B$4,"",IF(OR(NOT($AJ48),NOT(ISNUMBER($AX48))),0,CHOOSE($AX48,Constants!$B$13,Constants!$B$14,Constants!$B$15,Constants!$B$16)))</f>
        <v/>
      </c>
      <c r="BN48" s="100" t="str">
        <f aca="false">IF($BH48&lt;&gt;Constants!$B$4,"",IF(NOT($AJ48),0,Constants!$B$20*$AY48))</f>
        <v/>
      </c>
      <c r="BO48" s="100" t="str">
        <f aca="false">IF($BH48&lt;&gt;Constants!$B$4,"",IF(AND($AJ48,$BA48,$BB48),Constants!$B$22,0))</f>
        <v/>
      </c>
      <c r="BP48" s="100" t="str">
        <f aca="false">IF($BH48&lt;&gt;Constants!$B$4,"",IF(OR(NOT($AJ48),NOT($BA48)),0,IF($BF48&gt;=2*$AF$9,0,Constants!$B$23*INT(ROUND(MIN($BF48,$AF$9),6)))))</f>
        <v/>
      </c>
      <c r="BQ48" s="100" t="str">
        <f aca="false">IF($BH48&lt;&gt;Constants!$B$4,"",IF(NOT($AJ48),0,Constants!$B$24*INT(ROUND(MIN($AZ48,$AF$9),6))))</f>
        <v/>
      </c>
      <c r="BR48" s="100" t="str">
        <f aca="false">IF($BH48&lt;&gt;Constants!$B$4,"",IF(AND($AJ48,$BJ48=0),Constants!$B$25,0))</f>
        <v/>
      </c>
      <c r="BS48" s="100" t="str">
        <f aca="false">IF($BH48&lt;&gt;Constants!$B$4,"",MIN(Constants!$B$29,MAX(0,Constants!$B$27*Constants!$B$28*INT(ROUND((Constants!$B$26-$AL48)/Constants!$B$28,6))))+MIN(Constants!$B$29,MAX(0,Constants!$B$27*Constants!$B$28*INT(ROUND((Constants!$B$26-$AM48)/Constants!$B$28,6))))+MIN(Constants!$B$29,MAX(0,Constants!$B$27*Constants!$B$28*INT(ROUND((Constants!$B$26-$AN48)/Constants!$B$28,6)))))</f>
        <v/>
      </c>
      <c r="BT48" s="100" t="str">
        <f aca="false">IF($BH48&lt;&gt;Constants!$B$4,"",IF(NOT($AJ48),0,Constants!$B$31*INT(ROUND(MAX(0,MIN($BF48,2*$AF$9)-$AF$9),6))))</f>
        <v/>
      </c>
      <c r="BU48" s="100" t="str">
        <f aca="false">IF($BH48&lt;&gt;Constants!$B$4,"",Constants!$B$32*(($AL48&gt;Constants!$B$26)+($AM48&gt;Constants!$B$26)+($AN48&gt;Constants!$B$26)))</f>
        <v/>
      </c>
      <c r="BV48" s="100" t="str">
        <f aca="false">IF($BH48&lt;&gt;Constants!$B$4,"",IF(OR(NOT($AJ48),$AO48),0,Constants!$B$33))</f>
        <v/>
      </c>
      <c r="BW48" s="100" t="str">
        <f aca="false">IF($BH48&lt;&gt;Constants!$B$4,"",Constants!$B$34*$BJ48)</f>
        <v/>
      </c>
      <c r="BX48" s="100" t="str">
        <f aca="false">IF($BH48&lt;&gt;Constants!$B$4,"",IF(OR(NOT($AJ48),$BE48),0,Constants!$B$36))</f>
        <v/>
      </c>
      <c r="BY48" s="100" t="str">
        <f aca="false">IF($BH48&lt;&gt;Constants!$B$4,"",IF(OR(NOT($AJ48),$BD48),0,Constants!$B$37))</f>
        <v/>
      </c>
      <c r="BZ48" s="100" t="str">
        <f aca="false">IF($BH48&lt;&gt;Constants!$B$4,"",SUM($BT48:$BY48))</f>
        <v/>
      </c>
      <c r="CA48" s="100" t="str">
        <f aca="false">IF(ISBLANK($C48),"",IF($BH48&lt;&gt;Constants!$B$4,$BH48,SUM($BK48:$BS48)-$BZ48))</f>
        <v/>
      </c>
      <c r="CB48" s="100" t="str">
        <f aca="false">IF(ISBLANK($C48),"",IF($BH48&lt;&gt;Constants!$B$4,$BH48,RANK($CA48,$CA$9:$CA$508)))</f>
        <v/>
      </c>
      <c r="CC48" s="100" t="str">
        <f aca="false">IF(ISBLANK($C48),"",IF($BH48&lt;&gt;Constants!$B$4,$BH48,COUNTIFS($BI$9:$BI$508,"&lt;"&amp;$BI48)+COUNTIFS($BI$9:$BI$508,$BI48,$CB$9:$CB$508,"&lt;"&amp;$CB48)+1))</f>
        <v/>
      </c>
      <c r="CD48" s="100" t="str">
        <f aca="false">IF(ISBLANK($C48),"",IF($BH48&lt;&gt;Constants!$B$4,$BH48,RANK($BZ48,$BZ$9:$BZ$508,1)))</f>
        <v/>
      </c>
      <c r="CE48" s="100" t="str">
        <f aca="false">IF($BH48&lt;&gt;Constants!$B$4,"",$AL48+$AM48+$AN48)</f>
        <v/>
      </c>
      <c r="CF48" s="100" t="str">
        <f aca="false">IF(ISBLANK($C48),"",IF($BH48&lt;&gt;Constants!$B$4,$BH48,RANK($CE48,$CE$9:$CE$508,1)))</f>
        <v/>
      </c>
      <c r="CG48" s="100" t="str">
        <f aca="false">IF(ISBLANK($C48),"",IF($BH48&lt;&gt;Constants!$B$4,$BH48,COUNTIFS($BI$9:$BI$508,"&lt;"&amp;$BI48)+COUNTIFS($BI$9:$BI$508,$BI48,$CB$9:$CB$508,"&lt;"&amp;$CB48)+COUNTIFS($BI$9:$BI$508,$BI48,$CB$9:$CB$508,$CB48,$CD$9:$CD$508,"&lt;"&amp;$CD48)+COUNTIFS($BI$9:$BI$508,$BI48,$CB$9:$CB$508,$CB48,$CD$9:$CD$508,$CD48,$CF$9:$CF$508,"&lt;"&amp;$CF48)+1))</f>
        <v/>
      </c>
      <c r="CH48" s="100" t="str">
        <f aca="false">IF(ISBLANK($C48),"",IF($BH48&lt;&gt;Constants!$B$4,$BH48,$CC48-$CG48))</f>
        <v/>
      </c>
      <c r="CI48" s="100" t="str">
        <f aca="false">IF(ISBLANK($C48),"",IF(NOT($AJ48),"",IF(ISBLANK($D$7),$CI$5,IF(NOT(ISNUMBER($D$7)),$CI$6,""))))</f>
        <v/>
      </c>
      <c r="CJ48" s="100" t="str">
        <f aca="false">IF(ISBLANK($C48),"",OR($AL48="",$AM48="",$AN48=""))</f>
        <v/>
      </c>
      <c r="CK48" s="100" t="str">
        <f aca="false">IF(ISBLANK($C48),"",AND($AJ48,$AX48=""))</f>
        <v/>
      </c>
      <c r="CL48" s="100" t="str">
        <f aca="false">IF(ISBLANK($C48),"",AND($AJ48,$AY48=""))</f>
        <v/>
      </c>
      <c r="CM48" s="100" t="str">
        <f aca="false">IF(ISBLANK($C48),"",AND($AJ48,$AZ48=""))</f>
        <v/>
      </c>
      <c r="CN48" s="100" t="str">
        <f aca="false">IF(ISBLANK($C48),"",AND($AJ48,$BC48=""))</f>
        <v/>
      </c>
      <c r="CO48" s="100" t="str">
        <f aca="false">IF(ISBLANK($C48),"",AND($AJ48,$BF48=""))</f>
        <v/>
      </c>
      <c r="CP48" s="101"/>
      <c r="CQ48" s="102"/>
      <c r="CR48" s="103" t="str">
        <f aca="false">IF(ISBLANK($C48),"",IF($BH48=Constants!$B$8,$CI48,""))</f>
        <v/>
      </c>
      <c r="CS48" s="102" t="str">
        <f aca="false">IF(ISBLANK($C48),"",IF($BH48&lt;&gt;Constants!$B$4,"",$BK48+$BL48))</f>
        <v/>
      </c>
      <c r="CT48" s="104" t="str">
        <f aca="false">IF(ISBLANK($C48),"",IF($BH48&lt;&gt;Constants!$B$4,"",$BM48+$BN48+$BO48))</f>
        <v/>
      </c>
      <c r="CU48" s="104" t="str">
        <f aca="false">IF(ISBLANK($C48),"",IF($BH48&lt;&gt;Constants!$B$4,"",$BP48))</f>
        <v/>
      </c>
      <c r="CV48" s="104" t="str">
        <f aca="false">IF(ISBLANK($C48),"",IF($BH48&lt;&gt;Constants!$B$4,"",$BQ48+$BR48))</f>
        <v/>
      </c>
      <c r="CW48" s="104" t="str">
        <f aca="false">IF(ISBLANK($C48),"",IF($BH48&lt;&gt;Constants!$B$4,"",$BS48))</f>
        <v/>
      </c>
      <c r="CX48" s="104" t="str">
        <f aca="false">IF(ISBLANK($C48),"",IF($BH48&lt;&gt;Constants!$B$4,"",-$BZ48))</f>
        <v/>
      </c>
      <c r="CY48" s="103" t="str">
        <f aca="false">IF(ISBLANK($C48),"",$CA48)</f>
        <v/>
      </c>
      <c r="CZ48" s="105" t="str">
        <f aca="false">IF(ISBLANK($C48),"",$BI48)</f>
        <v/>
      </c>
      <c r="DA48" s="104" t="str">
        <f aca="false">IF(ISBLANK($C48),"",$CH48)</f>
        <v/>
      </c>
      <c r="DB48" s="104" t="str">
        <f aca="false">IF(ISBLANK($C48),"",$CG48)</f>
        <v/>
      </c>
      <c r="DC48" s="106" t="str">
        <f aca="false">IF(ISBLANK($C48),"",IFERROR(_xlfn.SWITCH($DB48,Constants!$B$7,COUNTA($C$9:$C$508)+2,Constants!$B$6,COUNTA($C$9:$C$508)+1,Constants!$B$5,COUNTA($C$9:$C$508)),$DB48))</f>
        <v/>
      </c>
      <c r="DD48" s="7"/>
      <c r="DE48" s="107" t="n">
        <f aca="false">IF(OR(ISNUMBER($DB48),$DB48=Constants!$B$7,$DB48=Constants!$B$5,$DB48=Constants!$B$6),1,0)</f>
        <v>0</v>
      </c>
      <c r="DF48" s="107" t="n">
        <v>40</v>
      </c>
      <c r="DG48" s="107" t="str">
        <f aca="false">IF(ISBLANK($C48),"",IF(ISNUMBER($DC48),$DC48+ROW($B48)/1000,""))</f>
        <v/>
      </c>
      <c r="DH48" s="107" t="str">
        <f aca="false">IF(ISNUMBER($DG48),RANK($DG48,$DG$9:$DG$508,1),"")</f>
        <v/>
      </c>
      <c r="DI48" s="107" t="str">
        <f aca="false">IF(ISBLANK($C48),"",$B48)</f>
        <v/>
      </c>
      <c r="DJ48" s="107" t="str">
        <f aca="false">IF(ISBLANK($C48),"",$C48)</f>
        <v/>
      </c>
      <c r="DK48" s="107" t="str">
        <f aca="false">IF(ISBLANK($C48),"",$D48)</f>
        <v/>
      </c>
      <c r="DL48" s="108" t="str">
        <f aca="false">$CZ48</f>
        <v/>
      </c>
      <c r="DM48" s="109" t="str">
        <f aca="false">$CY48</f>
        <v/>
      </c>
      <c r="DN48" s="107" t="str">
        <f aca="false">IF(ISBLANK($C48),"",$DB48)</f>
        <v/>
      </c>
      <c r="DO48" s="110" t="str">
        <f aca="false">IF($DF48&gt;$DE$8,"",VLOOKUP($DF48,$DH$9:$DN$508,7,FALSE()))</f>
        <v/>
      </c>
      <c r="DP48" s="111" t="str">
        <f aca="false">IF($DF48&gt;$DE$8,"",VLOOKUP($DF48,$DH$9:$DN$508,2,FALSE()))</f>
        <v/>
      </c>
      <c r="DQ48" s="111" t="str">
        <f aca="false">IF($DF48&gt;$DE$8,"",VLOOKUP($DF48,$DH$9:$DN$508,3,FALSE()))</f>
        <v/>
      </c>
      <c r="DR48" s="111" t="str">
        <f aca="false">IF($DF48&gt;$DE$8,"",VLOOKUP($DF48,$DH$9:$DN$508,4,FALSE()))</f>
        <v/>
      </c>
      <c r="DS48" s="111" t="str">
        <f aca="false">IF($DF48&gt;$DE$8,"",VLOOKUP($DF48,$DH$9:$DN$508,5,FALSE()))</f>
        <v/>
      </c>
      <c r="DT48" s="112" t="str">
        <f aca="false">IF($DF48&gt;$DE$8,"",VLOOKUP($DF48,$DH$9:$DN$508,6,FALSE()))</f>
        <v/>
      </c>
      <c r="DU48" s="62"/>
    </row>
    <row r="49" customFormat="false" ht="15.75" hidden="false" customHeight="false" outlineLevel="0" collapsed="false">
      <c r="A49" s="7"/>
      <c r="B49" s="90"/>
      <c r="C49" s="91"/>
      <c r="D49" s="113"/>
      <c r="E49" s="130"/>
      <c r="F49" s="135"/>
      <c r="G49" s="130"/>
      <c r="H49" s="135"/>
      <c r="I49" s="95"/>
      <c r="J49" s="95"/>
      <c r="K49" s="95"/>
      <c r="L49" s="130"/>
      <c r="M49" s="130"/>
      <c r="N49" s="130"/>
      <c r="O49" s="135"/>
      <c r="P49" s="130"/>
      <c r="Q49" s="130"/>
      <c r="R49" s="130"/>
      <c r="S49" s="130"/>
      <c r="T49" s="135"/>
      <c r="U49" s="130"/>
      <c r="V49" s="96"/>
      <c r="W49" s="130"/>
      <c r="X49" s="130"/>
      <c r="Y49" s="96"/>
      <c r="Z49" s="96"/>
      <c r="AA49" s="130"/>
      <c r="AB49" s="130"/>
      <c r="AC49" s="97"/>
      <c r="AD49" s="130"/>
      <c r="AE49" s="99"/>
      <c r="AF49" s="100"/>
      <c r="AG49" s="100"/>
      <c r="AH49" s="100" t="str">
        <f aca="false">IF(ISBLANK($C49),"",IF($E49=Constants!$B$2,TRUE(),IF($E49=Constants!$B$3,FALSE(),TRUE())))</f>
        <v/>
      </c>
      <c r="AI49" s="100" t="str">
        <f aca="false">IF(ISBLANK($C49),"",IF($F49=Constants!$B$2,TRUE(),IF($F49=Constants!$B$3,FALSE(),FALSE())))</f>
        <v/>
      </c>
      <c r="AJ49" s="100" t="str">
        <f aca="false">IF(ISBLANK($C49),"",IF($G49=Constants!$B$2,TRUE(),IF($G49=Constants!$B$3,FALSE(),TRUE())))</f>
        <v/>
      </c>
      <c r="AK49" s="100" t="str">
        <f aca="false">IF(ISBLANK($C49),"",IF($H49=Constants!$B$2,TRUE(),IF($H49=Constants!$B$3,FALSE(),TRUE())))</f>
        <v/>
      </c>
      <c r="AL49" s="100" t="str">
        <f aca="false">IF(ISBLANK($C49),"",IF(ISNUMBER($I49),IF($I49&gt;=0,$I49,""),""))</f>
        <v/>
      </c>
      <c r="AM49" s="100" t="str">
        <f aca="false">IF(ISBLANK($C49),"",IF(ISNUMBER($J49),IF($J49&gt;=0,$J49,""),""))</f>
        <v/>
      </c>
      <c r="AN49" s="100" t="str">
        <f aca="false">IF(ISBLANK($C49),"",IF(ISNUMBER($K49),IF($K49&gt;=0,$K49,""),""))</f>
        <v/>
      </c>
      <c r="AO49" s="100" t="str">
        <f aca="false">IF(ISBLANK($C49),"",IF($L49=Constants!$B$2,TRUE(),IF($L49=Constants!$B$3,FALSE(),TRUE())))</f>
        <v/>
      </c>
      <c r="AP49" s="100" t="str">
        <f aca="false">IF(ISBLANK($C49),"",IF($M49=Constants!$B$2,TRUE(),IF($M49=Constants!$B$3,FALSE(),TRUE())))</f>
        <v/>
      </c>
      <c r="AQ49" s="100" t="str">
        <f aca="false">IF(ISBLANK($C49),"",IF($N49=Constants!$B$2,TRUE(),IF($N49=Constants!$B$3,FALSE(),FALSE())))</f>
        <v/>
      </c>
      <c r="AR49" s="100" t="str">
        <f aca="false">IF(ISBLANK($C49),"",IF($O49=Constants!$B$2,TRUE(),IF($O49=Constants!$B$3,FALSE(),TRUE())))</f>
        <v/>
      </c>
      <c r="AS49" s="100" t="str">
        <f aca="false">IF(ISBLANK($C49),"",IF($P49=Constants!$B$2,TRUE(),IF($P49=Constants!$B$3,FALSE(),FALSE())))</f>
        <v/>
      </c>
      <c r="AT49" s="100" t="str">
        <f aca="false">IF(ISBLANK($C49),"",IF($Q49=Constants!$B$2,TRUE(),IF($Q49=Constants!$B$3,FALSE(),FALSE())))</f>
        <v/>
      </c>
      <c r="AU49" s="100" t="str">
        <f aca="false">IF(ISBLANK($C49),"",IF($R49=Constants!$B$2,TRUE(),IF($R49=Constants!$B$3,FALSE(),FALSE())))</f>
        <v/>
      </c>
      <c r="AV49" s="100" t="str">
        <f aca="false">IF(ISBLANK($C49),"",IF($S49=Constants!$B$2,TRUE(),IF($S49=Constants!$B$3,FALSE(),FALSE())))</f>
        <v/>
      </c>
      <c r="AW49" s="100" t="str">
        <f aca="false">IF(ISBLANK($C49),"",IF($T49=Constants!$B$2,TRUE(),IF($T49=Constants!$B$3,FALSE(),FALSE())))</f>
        <v/>
      </c>
      <c r="AX49" s="100" t="str">
        <f aca="false">IF(ISBLANK($C49),"",IF(OR($U49&amp;""="1",$U49&amp;""="2",$U49&amp;""="3",$U49&amp;""="4"),VALUE($U49&amp;""),IF($U49=Constants!$B$12,Constants!$B$12,"")))</f>
        <v/>
      </c>
      <c r="AY49" s="100" t="str">
        <f aca="false">IF(ISBLANK($C49),"",IF(ISBLANK($V49),0,IF(ISNUMBER($V49),IF(AND($V49&gt;=0,$V49&lt;=Constants!$B$21,$V49=INT($V49)),$V49,""),"")))</f>
        <v/>
      </c>
      <c r="AZ49" s="100" t="str">
        <f aca="false">IF(ISBLANK($C49),"",IF(ISBLANK($W49),0,IF(ISNUMBER($W49),IF($W49&gt;=0,$W49,""),"")))</f>
        <v/>
      </c>
      <c r="BA49" s="100" t="str">
        <f aca="false">IF(ISBLANK($C49),"",IF($X49=Constants!$B$2,TRUE(),IF($X49=Constants!$B$3,FALSE(),TRUE())))</f>
        <v/>
      </c>
      <c r="BB49" s="100" t="str">
        <f aca="false">IF(ISBLANK($C49),"",IF($Y49=Constants!$B$2,TRUE(),IF($Y49=Constants!$B$3,FALSE(),FALSE())))</f>
        <v/>
      </c>
      <c r="BC49" s="100" t="str">
        <f aca="false">IF(ISBLANK($C49),"",IF(ISBLANK($Z49),0,IF(ISNUMBER($Z49),IF(AND($Z49&gt;=0,$Z49&lt;=Constants!$B$35,$Z49=INT($Z49)),$Z49,""),"")))</f>
        <v/>
      </c>
      <c r="BD49" s="100" t="str">
        <f aca="false">IF(ISBLANK($C49),"",IF($AA49=Constants!$B$2,TRUE(),IF($AA49=Constants!$B$3,FALSE(),TRUE())))</f>
        <v/>
      </c>
      <c r="BE49" s="100" t="str">
        <f aca="false">IF(ISBLANK($C49),"",IF($AB49=Constants!$B$2,TRUE(),IF($AB49=Constants!$B$3,FALSE(),TRUE())))</f>
        <v/>
      </c>
      <c r="BF49" s="100" t="str">
        <f aca="false">IF(ISBLANK($C49),"",IF(ISNUMBER($AC49),IF($AC49&gt;=0,$AC49,""),""))</f>
        <v/>
      </c>
      <c r="BG49" s="100" t="str">
        <f aca="false">IF(ISBLANK($C49),"",IF($AD49=Constants!$B$2,TRUE(),IF($AD49=Constants!$B$3,FALSE(),FALSE())))</f>
        <v/>
      </c>
      <c r="BH49" s="99" t="str">
        <f aca="false">IF(ISBLANK($C49),"",IF($BG49,Constants!$B$7,IF(COUNTA($E49:$AC49)=0,Constants!$B$6,IF(OR(COUNTA($G49:$AC49)=0,NOT($AK49),$AQ49),Constants!$B$5,IF(OR($CI49&lt;&gt;"",$CJ49,$CK49,$CL49,$CM49,$CN49,$CO49),Constants!$B$8,Constants!$B$4)))))</f>
        <v/>
      </c>
      <c r="BI49" s="100" t="str">
        <f aca="false">IF(ISBLANK($C49),"",IF($BH49&lt;&gt;Constants!$B$4,$BH49,IF(OR(NOT($AH49),NOT($AJ49),NOT($AR49)),Constants!$B$11,IF(OR(NOT($AP49),MAX($AL49,$AM49,$AN49)&gt;Constants!$B$30),Constants!$B$10,Constants!$B$9))))</f>
        <v/>
      </c>
      <c r="BJ49" s="100" t="str">
        <f aca="false">IF($BH49&lt;&gt;Constants!$B$4,"",IF(NOT($AJ49),0,MIN(Constants!$B$35,$BC49)))</f>
        <v/>
      </c>
      <c r="BK49" s="100" t="str">
        <f aca="false">IF($BH49&lt;&gt;Constants!$B$4,"",IF(NOT($AJ49),0,IF($AT49,Constants!$B$18,IF($AS49,Constants!$B$17,0))))</f>
        <v/>
      </c>
      <c r="BL49" s="100" t="str">
        <f aca="false">IF($BH49&lt;&gt;Constants!$B$4,"",IF(NOT($AJ49),0,Constants!$B$19*($AI49+$AU49+$AV49+$AW49)))</f>
        <v/>
      </c>
      <c r="BM49" s="100" t="str">
        <f aca="false">IF($BH49&lt;&gt;Constants!$B$4,"",IF(OR(NOT($AJ49),NOT(ISNUMBER($AX49))),0,CHOOSE($AX49,Constants!$B$13,Constants!$B$14,Constants!$B$15,Constants!$B$16)))</f>
        <v/>
      </c>
      <c r="BN49" s="100" t="str">
        <f aca="false">IF($BH49&lt;&gt;Constants!$B$4,"",IF(NOT($AJ49),0,Constants!$B$20*$AY49))</f>
        <v/>
      </c>
      <c r="BO49" s="100" t="str">
        <f aca="false">IF($BH49&lt;&gt;Constants!$B$4,"",IF(AND($AJ49,$BA49,$BB49),Constants!$B$22,0))</f>
        <v/>
      </c>
      <c r="BP49" s="100" t="str">
        <f aca="false">IF($BH49&lt;&gt;Constants!$B$4,"",IF(OR(NOT($AJ49),NOT($BA49)),0,IF($BF49&gt;=2*$AF$9,0,Constants!$B$23*INT(ROUND(MIN($BF49,$AF$9),6)))))</f>
        <v/>
      </c>
      <c r="BQ49" s="100" t="str">
        <f aca="false">IF($BH49&lt;&gt;Constants!$B$4,"",IF(NOT($AJ49),0,Constants!$B$24*INT(ROUND(MIN($AZ49,$AF$9),6))))</f>
        <v/>
      </c>
      <c r="BR49" s="100" t="str">
        <f aca="false">IF($BH49&lt;&gt;Constants!$B$4,"",IF(AND($AJ49,$BJ49=0),Constants!$B$25,0))</f>
        <v/>
      </c>
      <c r="BS49" s="100" t="str">
        <f aca="false">IF($BH49&lt;&gt;Constants!$B$4,"",MIN(Constants!$B$29,MAX(0,Constants!$B$27*Constants!$B$28*INT(ROUND((Constants!$B$26-$AL49)/Constants!$B$28,6))))+MIN(Constants!$B$29,MAX(0,Constants!$B$27*Constants!$B$28*INT(ROUND((Constants!$B$26-$AM49)/Constants!$B$28,6))))+MIN(Constants!$B$29,MAX(0,Constants!$B$27*Constants!$B$28*INT(ROUND((Constants!$B$26-$AN49)/Constants!$B$28,6)))))</f>
        <v/>
      </c>
      <c r="BT49" s="100" t="str">
        <f aca="false">IF($BH49&lt;&gt;Constants!$B$4,"",IF(NOT($AJ49),0,Constants!$B$31*INT(ROUND(MAX(0,MIN($BF49,2*$AF$9)-$AF$9),6))))</f>
        <v/>
      </c>
      <c r="BU49" s="100" t="str">
        <f aca="false">IF($BH49&lt;&gt;Constants!$B$4,"",Constants!$B$32*(($AL49&gt;Constants!$B$26)+($AM49&gt;Constants!$B$26)+($AN49&gt;Constants!$B$26)))</f>
        <v/>
      </c>
      <c r="BV49" s="100" t="str">
        <f aca="false">IF($BH49&lt;&gt;Constants!$B$4,"",IF(OR(NOT($AJ49),$AO49),0,Constants!$B$33))</f>
        <v/>
      </c>
      <c r="BW49" s="100" t="str">
        <f aca="false">IF($BH49&lt;&gt;Constants!$B$4,"",Constants!$B$34*$BJ49)</f>
        <v/>
      </c>
      <c r="BX49" s="100" t="str">
        <f aca="false">IF($BH49&lt;&gt;Constants!$B$4,"",IF(OR(NOT($AJ49),$BE49),0,Constants!$B$36))</f>
        <v/>
      </c>
      <c r="BY49" s="100" t="str">
        <f aca="false">IF($BH49&lt;&gt;Constants!$B$4,"",IF(OR(NOT($AJ49),$BD49),0,Constants!$B$37))</f>
        <v/>
      </c>
      <c r="BZ49" s="100" t="str">
        <f aca="false">IF($BH49&lt;&gt;Constants!$B$4,"",SUM($BT49:$BY49))</f>
        <v/>
      </c>
      <c r="CA49" s="100" t="str">
        <f aca="false">IF(ISBLANK($C49),"",IF($BH49&lt;&gt;Constants!$B$4,$BH49,SUM($BK49:$BS49)-$BZ49))</f>
        <v/>
      </c>
      <c r="CB49" s="100" t="str">
        <f aca="false">IF(ISBLANK($C49),"",IF($BH49&lt;&gt;Constants!$B$4,$BH49,RANK($CA49,$CA$9:$CA$508)))</f>
        <v/>
      </c>
      <c r="CC49" s="100" t="str">
        <f aca="false">IF(ISBLANK($C49),"",IF($BH49&lt;&gt;Constants!$B$4,$BH49,COUNTIFS($BI$9:$BI$508,"&lt;"&amp;$BI49)+COUNTIFS($BI$9:$BI$508,$BI49,$CB$9:$CB$508,"&lt;"&amp;$CB49)+1))</f>
        <v/>
      </c>
      <c r="CD49" s="100" t="str">
        <f aca="false">IF(ISBLANK($C49),"",IF($BH49&lt;&gt;Constants!$B$4,$BH49,RANK($BZ49,$BZ$9:$BZ$508,1)))</f>
        <v/>
      </c>
      <c r="CE49" s="100" t="str">
        <f aca="false">IF($BH49&lt;&gt;Constants!$B$4,"",$AL49+$AM49+$AN49)</f>
        <v/>
      </c>
      <c r="CF49" s="100" t="str">
        <f aca="false">IF(ISBLANK($C49),"",IF($BH49&lt;&gt;Constants!$B$4,$BH49,RANK($CE49,$CE$9:$CE$508,1)))</f>
        <v/>
      </c>
      <c r="CG49" s="100" t="str">
        <f aca="false">IF(ISBLANK($C49),"",IF($BH49&lt;&gt;Constants!$B$4,$BH49,COUNTIFS($BI$9:$BI$508,"&lt;"&amp;$BI49)+COUNTIFS($BI$9:$BI$508,$BI49,$CB$9:$CB$508,"&lt;"&amp;$CB49)+COUNTIFS($BI$9:$BI$508,$BI49,$CB$9:$CB$508,$CB49,$CD$9:$CD$508,"&lt;"&amp;$CD49)+COUNTIFS($BI$9:$BI$508,$BI49,$CB$9:$CB$508,$CB49,$CD$9:$CD$508,$CD49,$CF$9:$CF$508,"&lt;"&amp;$CF49)+1))</f>
        <v/>
      </c>
      <c r="CH49" s="100" t="str">
        <f aca="false">IF(ISBLANK($C49),"",IF($BH49&lt;&gt;Constants!$B$4,$BH49,$CC49-$CG49))</f>
        <v/>
      </c>
      <c r="CI49" s="100" t="str">
        <f aca="false">IF(ISBLANK($C49),"",IF(NOT($AJ49),"",IF(ISBLANK($D$7),$CI$5,IF(NOT(ISNUMBER($D$7)),$CI$6,""))))</f>
        <v/>
      </c>
      <c r="CJ49" s="100" t="str">
        <f aca="false">IF(ISBLANK($C49),"",OR($AL49="",$AM49="",$AN49=""))</f>
        <v/>
      </c>
      <c r="CK49" s="100" t="str">
        <f aca="false">IF(ISBLANK($C49),"",AND($AJ49,$AX49=""))</f>
        <v/>
      </c>
      <c r="CL49" s="100" t="str">
        <f aca="false">IF(ISBLANK($C49),"",AND($AJ49,$AY49=""))</f>
        <v/>
      </c>
      <c r="CM49" s="100" t="str">
        <f aca="false">IF(ISBLANK($C49),"",AND($AJ49,$AZ49=""))</f>
        <v/>
      </c>
      <c r="CN49" s="100" t="str">
        <f aca="false">IF(ISBLANK($C49),"",AND($AJ49,$BC49=""))</f>
        <v/>
      </c>
      <c r="CO49" s="100" t="str">
        <f aca="false">IF(ISBLANK($C49),"",AND($AJ49,$BF49=""))</f>
        <v/>
      </c>
      <c r="CP49" s="101"/>
      <c r="CQ49" s="102"/>
      <c r="CR49" s="103" t="str">
        <f aca="false">IF(ISBLANK($C49),"",IF($BH49=Constants!$B$8,$CI49,""))</f>
        <v/>
      </c>
      <c r="CS49" s="102" t="str">
        <f aca="false">IF(ISBLANK($C49),"",IF($BH49&lt;&gt;Constants!$B$4,"",$BK49+$BL49))</f>
        <v/>
      </c>
      <c r="CT49" s="104" t="str">
        <f aca="false">IF(ISBLANK($C49),"",IF($BH49&lt;&gt;Constants!$B$4,"",$BM49+$BN49+$BO49))</f>
        <v/>
      </c>
      <c r="CU49" s="104" t="str">
        <f aca="false">IF(ISBLANK($C49),"",IF($BH49&lt;&gt;Constants!$B$4,"",$BP49))</f>
        <v/>
      </c>
      <c r="CV49" s="104" t="str">
        <f aca="false">IF(ISBLANK($C49),"",IF($BH49&lt;&gt;Constants!$B$4,"",$BQ49+$BR49))</f>
        <v/>
      </c>
      <c r="CW49" s="104" t="str">
        <f aca="false">IF(ISBLANK($C49),"",IF($BH49&lt;&gt;Constants!$B$4,"",$BS49))</f>
        <v/>
      </c>
      <c r="CX49" s="104" t="str">
        <f aca="false">IF(ISBLANK($C49),"",IF($BH49&lt;&gt;Constants!$B$4,"",-$BZ49))</f>
        <v/>
      </c>
      <c r="CY49" s="103" t="str">
        <f aca="false">IF(ISBLANK($C49),"",$CA49)</f>
        <v/>
      </c>
      <c r="CZ49" s="105" t="str">
        <f aca="false">IF(ISBLANK($C49),"",$BI49)</f>
        <v/>
      </c>
      <c r="DA49" s="104" t="str">
        <f aca="false">IF(ISBLANK($C49),"",$CH49)</f>
        <v/>
      </c>
      <c r="DB49" s="104" t="str">
        <f aca="false">IF(ISBLANK($C49),"",$CG49)</f>
        <v/>
      </c>
      <c r="DC49" s="106" t="str">
        <f aca="false">IF(ISBLANK($C49),"",IFERROR(_xlfn.SWITCH($DB49,Constants!$B$7,COUNTA($C$9:$C$508)+2,Constants!$B$6,COUNTA($C$9:$C$508)+1,Constants!$B$5,COUNTA($C$9:$C$508)),$DB49))</f>
        <v/>
      </c>
      <c r="DD49" s="7"/>
      <c r="DE49" s="107" t="n">
        <f aca="false">IF(OR(ISNUMBER($DB49),$DB49=Constants!$B$7,$DB49=Constants!$B$5,$DB49=Constants!$B$6),1,0)</f>
        <v>0</v>
      </c>
      <c r="DF49" s="107" t="n">
        <v>41</v>
      </c>
      <c r="DG49" s="107" t="str">
        <f aca="false">IF(ISBLANK($C49),"",IF(ISNUMBER($DC49),$DC49+ROW($B49)/1000,""))</f>
        <v/>
      </c>
      <c r="DH49" s="107" t="str">
        <f aca="false">IF(ISNUMBER($DG49),RANK($DG49,$DG$9:$DG$508,1),"")</f>
        <v/>
      </c>
      <c r="DI49" s="107" t="str">
        <f aca="false">IF(ISBLANK($C49),"",$B49)</f>
        <v/>
      </c>
      <c r="DJ49" s="107" t="str">
        <f aca="false">IF(ISBLANK($C49),"",$C49)</f>
        <v/>
      </c>
      <c r="DK49" s="107" t="str">
        <f aca="false">IF(ISBLANK($C49),"",$D49)</f>
        <v/>
      </c>
      <c r="DL49" s="108" t="str">
        <f aca="false">$CZ49</f>
        <v/>
      </c>
      <c r="DM49" s="109" t="str">
        <f aca="false">$CY49</f>
        <v/>
      </c>
      <c r="DN49" s="107" t="str">
        <f aca="false">IF(ISBLANK($C49),"",$DB49)</f>
        <v/>
      </c>
      <c r="DO49" s="110" t="str">
        <f aca="false">IF($DF49&gt;$DE$8,"",VLOOKUP($DF49,$DH$9:$DN$508,7,FALSE()))</f>
        <v/>
      </c>
      <c r="DP49" s="111" t="str">
        <f aca="false">IF($DF49&gt;$DE$8,"",VLOOKUP($DF49,$DH$9:$DN$508,2,FALSE()))</f>
        <v/>
      </c>
      <c r="DQ49" s="111" t="str">
        <f aca="false">IF($DF49&gt;$DE$8,"",VLOOKUP($DF49,$DH$9:$DN$508,3,FALSE()))</f>
        <v/>
      </c>
      <c r="DR49" s="111" t="str">
        <f aca="false">IF($DF49&gt;$DE$8,"",VLOOKUP($DF49,$DH$9:$DN$508,4,FALSE()))</f>
        <v/>
      </c>
      <c r="DS49" s="111" t="str">
        <f aca="false">IF($DF49&gt;$DE$8,"",VLOOKUP($DF49,$DH$9:$DN$508,5,FALSE()))</f>
        <v/>
      </c>
      <c r="DT49" s="112" t="str">
        <f aca="false">IF($DF49&gt;$DE$8,"",VLOOKUP($DF49,$DH$9:$DN$508,6,FALSE()))</f>
        <v/>
      </c>
      <c r="DU49" s="62"/>
    </row>
    <row r="50" customFormat="false" ht="15.75" hidden="false" customHeight="false" outlineLevel="0" collapsed="false">
      <c r="A50" s="7"/>
      <c r="B50" s="90"/>
      <c r="C50" s="91"/>
      <c r="D50" s="113"/>
      <c r="E50" s="130"/>
      <c r="F50" s="135"/>
      <c r="G50" s="130"/>
      <c r="H50" s="135"/>
      <c r="I50" s="95"/>
      <c r="J50" s="95"/>
      <c r="K50" s="95"/>
      <c r="L50" s="130"/>
      <c r="M50" s="130"/>
      <c r="N50" s="130"/>
      <c r="O50" s="135"/>
      <c r="P50" s="130"/>
      <c r="Q50" s="130"/>
      <c r="R50" s="130"/>
      <c r="S50" s="130"/>
      <c r="T50" s="135"/>
      <c r="U50" s="130"/>
      <c r="V50" s="96"/>
      <c r="W50" s="130"/>
      <c r="X50" s="130"/>
      <c r="Y50" s="96"/>
      <c r="Z50" s="96"/>
      <c r="AA50" s="130"/>
      <c r="AB50" s="130"/>
      <c r="AC50" s="97"/>
      <c r="AD50" s="130"/>
      <c r="AE50" s="99"/>
      <c r="AF50" s="100"/>
      <c r="AG50" s="100"/>
      <c r="AH50" s="100" t="str">
        <f aca="false">IF(ISBLANK($C50),"",IF($E50=Constants!$B$2,TRUE(),IF($E50=Constants!$B$3,FALSE(),TRUE())))</f>
        <v/>
      </c>
      <c r="AI50" s="100" t="str">
        <f aca="false">IF(ISBLANK($C50),"",IF($F50=Constants!$B$2,TRUE(),IF($F50=Constants!$B$3,FALSE(),FALSE())))</f>
        <v/>
      </c>
      <c r="AJ50" s="100" t="str">
        <f aca="false">IF(ISBLANK($C50),"",IF($G50=Constants!$B$2,TRUE(),IF($G50=Constants!$B$3,FALSE(),TRUE())))</f>
        <v/>
      </c>
      <c r="AK50" s="100" t="str">
        <f aca="false">IF(ISBLANK($C50),"",IF($H50=Constants!$B$2,TRUE(),IF($H50=Constants!$B$3,FALSE(),TRUE())))</f>
        <v/>
      </c>
      <c r="AL50" s="100" t="str">
        <f aca="false">IF(ISBLANK($C50),"",IF(ISNUMBER($I50),IF($I50&gt;=0,$I50,""),""))</f>
        <v/>
      </c>
      <c r="AM50" s="100" t="str">
        <f aca="false">IF(ISBLANK($C50),"",IF(ISNUMBER($J50),IF($J50&gt;=0,$J50,""),""))</f>
        <v/>
      </c>
      <c r="AN50" s="100" t="str">
        <f aca="false">IF(ISBLANK($C50),"",IF(ISNUMBER($K50),IF($K50&gt;=0,$K50,""),""))</f>
        <v/>
      </c>
      <c r="AO50" s="100" t="str">
        <f aca="false">IF(ISBLANK($C50),"",IF($L50=Constants!$B$2,TRUE(),IF($L50=Constants!$B$3,FALSE(),TRUE())))</f>
        <v/>
      </c>
      <c r="AP50" s="100" t="str">
        <f aca="false">IF(ISBLANK($C50),"",IF($M50=Constants!$B$2,TRUE(),IF($M50=Constants!$B$3,FALSE(),TRUE())))</f>
        <v/>
      </c>
      <c r="AQ50" s="100" t="str">
        <f aca="false">IF(ISBLANK($C50),"",IF($N50=Constants!$B$2,TRUE(),IF($N50=Constants!$B$3,FALSE(),FALSE())))</f>
        <v/>
      </c>
      <c r="AR50" s="100" t="str">
        <f aca="false">IF(ISBLANK($C50),"",IF($O50=Constants!$B$2,TRUE(),IF($O50=Constants!$B$3,FALSE(),TRUE())))</f>
        <v/>
      </c>
      <c r="AS50" s="100" t="str">
        <f aca="false">IF(ISBLANK($C50),"",IF($P50=Constants!$B$2,TRUE(),IF($P50=Constants!$B$3,FALSE(),FALSE())))</f>
        <v/>
      </c>
      <c r="AT50" s="100" t="str">
        <f aca="false">IF(ISBLANK($C50),"",IF($Q50=Constants!$B$2,TRUE(),IF($Q50=Constants!$B$3,FALSE(),FALSE())))</f>
        <v/>
      </c>
      <c r="AU50" s="100" t="str">
        <f aca="false">IF(ISBLANK($C50),"",IF($R50=Constants!$B$2,TRUE(),IF($R50=Constants!$B$3,FALSE(),FALSE())))</f>
        <v/>
      </c>
      <c r="AV50" s="100" t="str">
        <f aca="false">IF(ISBLANK($C50),"",IF($S50=Constants!$B$2,TRUE(),IF($S50=Constants!$B$3,FALSE(),FALSE())))</f>
        <v/>
      </c>
      <c r="AW50" s="100" t="str">
        <f aca="false">IF(ISBLANK($C50),"",IF($T50=Constants!$B$2,TRUE(),IF($T50=Constants!$B$3,FALSE(),FALSE())))</f>
        <v/>
      </c>
      <c r="AX50" s="100" t="str">
        <f aca="false">IF(ISBLANK($C50),"",IF(OR($U50&amp;""="1",$U50&amp;""="2",$U50&amp;""="3",$U50&amp;""="4"),VALUE($U50&amp;""),IF($U50=Constants!$B$12,Constants!$B$12,"")))</f>
        <v/>
      </c>
      <c r="AY50" s="100" t="str">
        <f aca="false">IF(ISBLANK($C50),"",IF(ISBLANK($V50),0,IF(ISNUMBER($V50),IF(AND($V50&gt;=0,$V50&lt;=Constants!$B$21,$V50=INT($V50)),$V50,""),"")))</f>
        <v/>
      </c>
      <c r="AZ50" s="100" t="str">
        <f aca="false">IF(ISBLANK($C50),"",IF(ISBLANK($W50),0,IF(ISNUMBER($W50),IF($W50&gt;=0,$W50,""),"")))</f>
        <v/>
      </c>
      <c r="BA50" s="100" t="str">
        <f aca="false">IF(ISBLANK($C50),"",IF($X50=Constants!$B$2,TRUE(),IF($X50=Constants!$B$3,FALSE(),TRUE())))</f>
        <v/>
      </c>
      <c r="BB50" s="100" t="str">
        <f aca="false">IF(ISBLANK($C50),"",IF($Y50=Constants!$B$2,TRUE(),IF($Y50=Constants!$B$3,FALSE(),FALSE())))</f>
        <v/>
      </c>
      <c r="BC50" s="100" t="str">
        <f aca="false">IF(ISBLANK($C50),"",IF(ISBLANK($Z50),0,IF(ISNUMBER($Z50),IF(AND($Z50&gt;=0,$Z50&lt;=Constants!$B$35,$Z50=INT($Z50)),$Z50,""),"")))</f>
        <v/>
      </c>
      <c r="BD50" s="100" t="str">
        <f aca="false">IF(ISBLANK($C50),"",IF($AA50=Constants!$B$2,TRUE(),IF($AA50=Constants!$B$3,FALSE(),TRUE())))</f>
        <v/>
      </c>
      <c r="BE50" s="100" t="str">
        <f aca="false">IF(ISBLANK($C50),"",IF($AB50=Constants!$B$2,TRUE(),IF($AB50=Constants!$B$3,FALSE(),TRUE())))</f>
        <v/>
      </c>
      <c r="BF50" s="100" t="str">
        <f aca="false">IF(ISBLANK($C50),"",IF(ISNUMBER($AC50),IF($AC50&gt;=0,$AC50,""),""))</f>
        <v/>
      </c>
      <c r="BG50" s="100" t="str">
        <f aca="false">IF(ISBLANK($C50),"",IF($AD50=Constants!$B$2,TRUE(),IF($AD50=Constants!$B$3,FALSE(),FALSE())))</f>
        <v/>
      </c>
      <c r="BH50" s="99" t="str">
        <f aca="false">IF(ISBLANK($C50),"",IF($BG50,Constants!$B$7,IF(COUNTA($E50:$AC50)=0,Constants!$B$6,IF(OR(COUNTA($G50:$AC50)=0,NOT($AK50),$AQ50),Constants!$B$5,IF(OR($CI50&lt;&gt;"",$CJ50,$CK50,$CL50,$CM50,$CN50,$CO50),Constants!$B$8,Constants!$B$4)))))</f>
        <v/>
      </c>
      <c r="BI50" s="100" t="str">
        <f aca="false">IF(ISBLANK($C50),"",IF($BH50&lt;&gt;Constants!$B$4,$BH50,IF(OR(NOT($AH50),NOT($AJ50),NOT($AR50)),Constants!$B$11,IF(OR(NOT($AP50),MAX($AL50,$AM50,$AN50)&gt;Constants!$B$30),Constants!$B$10,Constants!$B$9))))</f>
        <v/>
      </c>
      <c r="BJ50" s="100" t="str">
        <f aca="false">IF($BH50&lt;&gt;Constants!$B$4,"",IF(NOT($AJ50),0,MIN(Constants!$B$35,$BC50)))</f>
        <v/>
      </c>
      <c r="BK50" s="100" t="str">
        <f aca="false">IF($BH50&lt;&gt;Constants!$B$4,"",IF(NOT($AJ50),0,IF($AT50,Constants!$B$18,IF($AS50,Constants!$B$17,0))))</f>
        <v/>
      </c>
      <c r="BL50" s="100" t="str">
        <f aca="false">IF($BH50&lt;&gt;Constants!$B$4,"",IF(NOT($AJ50),0,Constants!$B$19*($AI50+$AU50+$AV50+$AW50)))</f>
        <v/>
      </c>
      <c r="BM50" s="100" t="str">
        <f aca="false">IF($BH50&lt;&gt;Constants!$B$4,"",IF(OR(NOT($AJ50),NOT(ISNUMBER($AX50))),0,CHOOSE($AX50,Constants!$B$13,Constants!$B$14,Constants!$B$15,Constants!$B$16)))</f>
        <v/>
      </c>
      <c r="BN50" s="100" t="str">
        <f aca="false">IF($BH50&lt;&gt;Constants!$B$4,"",IF(NOT($AJ50),0,Constants!$B$20*$AY50))</f>
        <v/>
      </c>
      <c r="BO50" s="100" t="str">
        <f aca="false">IF($BH50&lt;&gt;Constants!$B$4,"",IF(AND($AJ50,$BA50,$BB50),Constants!$B$22,0))</f>
        <v/>
      </c>
      <c r="BP50" s="100" t="str">
        <f aca="false">IF($BH50&lt;&gt;Constants!$B$4,"",IF(OR(NOT($AJ50),NOT($BA50)),0,IF($BF50&gt;=2*$AF$9,0,Constants!$B$23*INT(ROUND(MIN($BF50,$AF$9),6)))))</f>
        <v/>
      </c>
      <c r="BQ50" s="100" t="str">
        <f aca="false">IF($BH50&lt;&gt;Constants!$B$4,"",IF(NOT($AJ50),0,Constants!$B$24*INT(ROUND(MIN($AZ50,$AF$9),6))))</f>
        <v/>
      </c>
      <c r="BR50" s="100" t="str">
        <f aca="false">IF($BH50&lt;&gt;Constants!$B$4,"",IF(AND($AJ50,$BJ50=0),Constants!$B$25,0))</f>
        <v/>
      </c>
      <c r="BS50" s="100" t="str">
        <f aca="false">IF($BH50&lt;&gt;Constants!$B$4,"",MIN(Constants!$B$29,MAX(0,Constants!$B$27*Constants!$B$28*INT(ROUND((Constants!$B$26-$AL50)/Constants!$B$28,6))))+MIN(Constants!$B$29,MAX(0,Constants!$B$27*Constants!$B$28*INT(ROUND((Constants!$B$26-$AM50)/Constants!$B$28,6))))+MIN(Constants!$B$29,MAX(0,Constants!$B$27*Constants!$B$28*INT(ROUND((Constants!$B$26-$AN50)/Constants!$B$28,6)))))</f>
        <v/>
      </c>
      <c r="BT50" s="100" t="str">
        <f aca="false">IF($BH50&lt;&gt;Constants!$B$4,"",IF(NOT($AJ50),0,Constants!$B$31*INT(ROUND(MAX(0,MIN($BF50,2*$AF$9)-$AF$9),6))))</f>
        <v/>
      </c>
      <c r="BU50" s="100" t="str">
        <f aca="false">IF($BH50&lt;&gt;Constants!$B$4,"",Constants!$B$32*(($AL50&gt;Constants!$B$26)+($AM50&gt;Constants!$B$26)+($AN50&gt;Constants!$B$26)))</f>
        <v/>
      </c>
      <c r="BV50" s="100" t="str">
        <f aca="false">IF($BH50&lt;&gt;Constants!$B$4,"",IF(OR(NOT($AJ50),$AO50),0,Constants!$B$33))</f>
        <v/>
      </c>
      <c r="BW50" s="100" t="str">
        <f aca="false">IF($BH50&lt;&gt;Constants!$B$4,"",Constants!$B$34*$BJ50)</f>
        <v/>
      </c>
      <c r="BX50" s="100" t="str">
        <f aca="false">IF($BH50&lt;&gt;Constants!$B$4,"",IF(OR(NOT($AJ50),$BE50),0,Constants!$B$36))</f>
        <v/>
      </c>
      <c r="BY50" s="100" t="str">
        <f aca="false">IF($BH50&lt;&gt;Constants!$B$4,"",IF(OR(NOT($AJ50),$BD50),0,Constants!$B$37))</f>
        <v/>
      </c>
      <c r="BZ50" s="100" t="str">
        <f aca="false">IF($BH50&lt;&gt;Constants!$B$4,"",SUM($BT50:$BY50))</f>
        <v/>
      </c>
      <c r="CA50" s="100" t="str">
        <f aca="false">IF(ISBLANK($C50),"",IF($BH50&lt;&gt;Constants!$B$4,$BH50,SUM($BK50:$BS50)-$BZ50))</f>
        <v/>
      </c>
      <c r="CB50" s="100" t="str">
        <f aca="false">IF(ISBLANK($C50),"",IF($BH50&lt;&gt;Constants!$B$4,$BH50,RANK($CA50,$CA$9:$CA$508)))</f>
        <v/>
      </c>
      <c r="CC50" s="100" t="str">
        <f aca="false">IF(ISBLANK($C50),"",IF($BH50&lt;&gt;Constants!$B$4,$BH50,COUNTIFS($BI$9:$BI$508,"&lt;"&amp;$BI50)+COUNTIFS($BI$9:$BI$508,$BI50,$CB$9:$CB$508,"&lt;"&amp;$CB50)+1))</f>
        <v/>
      </c>
      <c r="CD50" s="100" t="str">
        <f aca="false">IF(ISBLANK($C50),"",IF($BH50&lt;&gt;Constants!$B$4,$BH50,RANK($BZ50,$BZ$9:$BZ$508,1)))</f>
        <v/>
      </c>
      <c r="CE50" s="100" t="str">
        <f aca="false">IF($BH50&lt;&gt;Constants!$B$4,"",$AL50+$AM50+$AN50)</f>
        <v/>
      </c>
      <c r="CF50" s="100" t="str">
        <f aca="false">IF(ISBLANK($C50),"",IF($BH50&lt;&gt;Constants!$B$4,$BH50,RANK($CE50,$CE$9:$CE$508,1)))</f>
        <v/>
      </c>
      <c r="CG50" s="100" t="str">
        <f aca="false">IF(ISBLANK($C50),"",IF($BH50&lt;&gt;Constants!$B$4,$BH50,COUNTIFS($BI$9:$BI$508,"&lt;"&amp;$BI50)+COUNTIFS($BI$9:$BI$508,$BI50,$CB$9:$CB$508,"&lt;"&amp;$CB50)+COUNTIFS($BI$9:$BI$508,$BI50,$CB$9:$CB$508,$CB50,$CD$9:$CD$508,"&lt;"&amp;$CD50)+COUNTIFS($BI$9:$BI$508,$BI50,$CB$9:$CB$508,$CB50,$CD$9:$CD$508,$CD50,$CF$9:$CF$508,"&lt;"&amp;$CF50)+1))</f>
        <v/>
      </c>
      <c r="CH50" s="100" t="str">
        <f aca="false">IF(ISBLANK($C50),"",IF($BH50&lt;&gt;Constants!$B$4,$BH50,$CC50-$CG50))</f>
        <v/>
      </c>
      <c r="CI50" s="100" t="str">
        <f aca="false">IF(ISBLANK($C50),"",IF(NOT($AJ50),"",IF(ISBLANK($D$7),$CI$5,IF(NOT(ISNUMBER($D$7)),$CI$6,""))))</f>
        <v/>
      </c>
      <c r="CJ50" s="100" t="str">
        <f aca="false">IF(ISBLANK($C50),"",OR($AL50="",$AM50="",$AN50=""))</f>
        <v/>
      </c>
      <c r="CK50" s="100" t="str">
        <f aca="false">IF(ISBLANK($C50),"",AND($AJ50,$AX50=""))</f>
        <v/>
      </c>
      <c r="CL50" s="100" t="str">
        <f aca="false">IF(ISBLANK($C50),"",AND($AJ50,$AY50=""))</f>
        <v/>
      </c>
      <c r="CM50" s="100" t="str">
        <f aca="false">IF(ISBLANK($C50),"",AND($AJ50,$AZ50=""))</f>
        <v/>
      </c>
      <c r="CN50" s="100" t="str">
        <f aca="false">IF(ISBLANK($C50),"",AND($AJ50,$BC50=""))</f>
        <v/>
      </c>
      <c r="CO50" s="100" t="str">
        <f aca="false">IF(ISBLANK($C50),"",AND($AJ50,$BF50=""))</f>
        <v/>
      </c>
      <c r="CP50" s="101"/>
      <c r="CQ50" s="102"/>
      <c r="CR50" s="103" t="str">
        <f aca="false">IF(ISBLANK($C50),"",IF($BH50=Constants!$B$8,$CI50,""))</f>
        <v/>
      </c>
      <c r="CS50" s="102" t="str">
        <f aca="false">IF(ISBLANK($C50),"",IF($BH50&lt;&gt;Constants!$B$4,"",$BK50+$BL50))</f>
        <v/>
      </c>
      <c r="CT50" s="104" t="str">
        <f aca="false">IF(ISBLANK($C50),"",IF($BH50&lt;&gt;Constants!$B$4,"",$BM50+$BN50+$BO50))</f>
        <v/>
      </c>
      <c r="CU50" s="104" t="str">
        <f aca="false">IF(ISBLANK($C50),"",IF($BH50&lt;&gt;Constants!$B$4,"",$BP50))</f>
        <v/>
      </c>
      <c r="CV50" s="104" t="str">
        <f aca="false">IF(ISBLANK($C50),"",IF($BH50&lt;&gt;Constants!$B$4,"",$BQ50+$BR50))</f>
        <v/>
      </c>
      <c r="CW50" s="104" t="str">
        <f aca="false">IF(ISBLANK($C50),"",IF($BH50&lt;&gt;Constants!$B$4,"",$BS50))</f>
        <v/>
      </c>
      <c r="CX50" s="104" t="str">
        <f aca="false">IF(ISBLANK($C50),"",IF($BH50&lt;&gt;Constants!$B$4,"",-$BZ50))</f>
        <v/>
      </c>
      <c r="CY50" s="103" t="str">
        <f aca="false">IF(ISBLANK($C50),"",$CA50)</f>
        <v/>
      </c>
      <c r="CZ50" s="105" t="str">
        <f aca="false">IF(ISBLANK($C50),"",$BI50)</f>
        <v/>
      </c>
      <c r="DA50" s="104" t="str">
        <f aca="false">IF(ISBLANK($C50),"",$CH50)</f>
        <v/>
      </c>
      <c r="DB50" s="104" t="str">
        <f aca="false">IF(ISBLANK($C50),"",$CG50)</f>
        <v/>
      </c>
      <c r="DC50" s="106" t="str">
        <f aca="false">IF(ISBLANK($C50),"",IFERROR(_xlfn.SWITCH($DB50,Constants!$B$7,COUNTA($C$9:$C$508)+2,Constants!$B$6,COUNTA($C$9:$C$508)+1,Constants!$B$5,COUNTA($C$9:$C$508)),$DB50))</f>
        <v/>
      </c>
      <c r="DD50" s="7"/>
      <c r="DE50" s="107" t="n">
        <f aca="false">IF(OR(ISNUMBER($DB50),$DB50=Constants!$B$7,$DB50=Constants!$B$5,$DB50=Constants!$B$6),1,0)</f>
        <v>0</v>
      </c>
      <c r="DF50" s="107" t="n">
        <v>42</v>
      </c>
      <c r="DG50" s="107" t="str">
        <f aca="false">IF(ISBLANK($C50),"",IF(ISNUMBER($DC50),$DC50+ROW($B50)/1000,""))</f>
        <v/>
      </c>
      <c r="DH50" s="107" t="str">
        <f aca="false">IF(ISNUMBER($DG50),RANK($DG50,$DG$9:$DG$508,1),"")</f>
        <v/>
      </c>
      <c r="DI50" s="107" t="str">
        <f aca="false">IF(ISBLANK($C50),"",$B50)</f>
        <v/>
      </c>
      <c r="DJ50" s="107" t="str">
        <f aca="false">IF(ISBLANK($C50),"",$C50)</f>
        <v/>
      </c>
      <c r="DK50" s="107" t="str">
        <f aca="false">IF(ISBLANK($C50),"",$D50)</f>
        <v/>
      </c>
      <c r="DL50" s="108" t="str">
        <f aca="false">$CZ50</f>
        <v/>
      </c>
      <c r="DM50" s="109" t="str">
        <f aca="false">$CY50</f>
        <v/>
      </c>
      <c r="DN50" s="107" t="str">
        <f aca="false">IF(ISBLANK($C50),"",$DB50)</f>
        <v/>
      </c>
      <c r="DO50" s="110" t="str">
        <f aca="false">IF($DF50&gt;$DE$8,"",VLOOKUP($DF50,$DH$9:$DN$508,7,FALSE()))</f>
        <v/>
      </c>
      <c r="DP50" s="111" t="str">
        <f aca="false">IF($DF50&gt;$DE$8,"",VLOOKUP($DF50,$DH$9:$DN$508,2,FALSE()))</f>
        <v/>
      </c>
      <c r="DQ50" s="111" t="str">
        <f aca="false">IF($DF50&gt;$DE$8,"",VLOOKUP($DF50,$DH$9:$DN$508,3,FALSE()))</f>
        <v/>
      </c>
      <c r="DR50" s="111" t="str">
        <f aca="false">IF($DF50&gt;$DE$8,"",VLOOKUP($DF50,$DH$9:$DN$508,4,FALSE()))</f>
        <v/>
      </c>
      <c r="DS50" s="111" t="str">
        <f aca="false">IF($DF50&gt;$DE$8,"",VLOOKUP($DF50,$DH$9:$DN$508,5,FALSE()))</f>
        <v/>
      </c>
      <c r="DT50" s="112" t="str">
        <f aca="false">IF($DF50&gt;$DE$8,"",VLOOKUP($DF50,$DH$9:$DN$508,6,FALSE()))</f>
        <v/>
      </c>
      <c r="DU50" s="62"/>
    </row>
    <row r="51" customFormat="false" ht="15.75" hidden="false" customHeight="false" outlineLevel="0" collapsed="false">
      <c r="A51" s="7"/>
      <c r="B51" s="64"/>
      <c r="C51" s="65"/>
      <c r="D51" s="123"/>
      <c r="E51" s="122"/>
      <c r="F51" s="66"/>
      <c r="G51" s="122"/>
      <c r="H51" s="66"/>
      <c r="I51" s="119"/>
      <c r="J51" s="119"/>
      <c r="K51" s="119"/>
      <c r="L51" s="122"/>
      <c r="M51" s="122"/>
      <c r="N51" s="122"/>
      <c r="O51" s="66"/>
      <c r="P51" s="122"/>
      <c r="Q51" s="122"/>
      <c r="R51" s="122"/>
      <c r="S51" s="122"/>
      <c r="T51" s="66"/>
      <c r="U51" s="122"/>
      <c r="V51" s="120"/>
      <c r="W51" s="122"/>
      <c r="X51" s="122"/>
      <c r="Y51" s="120"/>
      <c r="Z51" s="120"/>
      <c r="AA51" s="122"/>
      <c r="AB51" s="122"/>
      <c r="AC51" s="121"/>
      <c r="AD51" s="122"/>
      <c r="AE51" s="73"/>
      <c r="AF51" s="74"/>
      <c r="AG51" s="74"/>
      <c r="AH51" s="74" t="str">
        <f aca="false">IF(ISBLANK($C51),"",IF($E51=Constants!$B$2,TRUE(),IF($E51=Constants!$B$3,FALSE(),TRUE())))</f>
        <v/>
      </c>
      <c r="AI51" s="74" t="str">
        <f aca="false">IF(ISBLANK($C51),"",IF($F51=Constants!$B$2,TRUE(),IF($F51=Constants!$B$3,FALSE(),FALSE())))</f>
        <v/>
      </c>
      <c r="AJ51" s="74" t="str">
        <f aca="false">IF(ISBLANK($C51),"",IF($G51=Constants!$B$2,TRUE(),IF($G51=Constants!$B$3,FALSE(),TRUE())))</f>
        <v/>
      </c>
      <c r="AK51" s="74" t="str">
        <f aca="false">IF(ISBLANK($C51),"",IF($H51=Constants!$B$2,TRUE(),IF($H51=Constants!$B$3,FALSE(),TRUE())))</f>
        <v/>
      </c>
      <c r="AL51" s="74" t="str">
        <f aca="false">IF(ISBLANK($C51),"",IF(ISNUMBER($I51),IF($I51&gt;=0,$I51,""),""))</f>
        <v/>
      </c>
      <c r="AM51" s="74" t="str">
        <f aca="false">IF(ISBLANK($C51),"",IF(ISNUMBER($J51),IF($J51&gt;=0,$J51,""),""))</f>
        <v/>
      </c>
      <c r="AN51" s="74" t="str">
        <f aca="false">IF(ISBLANK($C51),"",IF(ISNUMBER($K51),IF($K51&gt;=0,$K51,""),""))</f>
        <v/>
      </c>
      <c r="AO51" s="74" t="str">
        <f aca="false">IF(ISBLANK($C51),"",IF($L51=Constants!$B$2,TRUE(),IF($L51=Constants!$B$3,FALSE(),TRUE())))</f>
        <v/>
      </c>
      <c r="AP51" s="74" t="str">
        <f aca="false">IF(ISBLANK($C51),"",IF($M51=Constants!$B$2,TRUE(),IF($M51=Constants!$B$3,FALSE(),TRUE())))</f>
        <v/>
      </c>
      <c r="AQ51" s="74" t="str">
        <f aca="false">IF(ISBLANK($C51),"",IF($N51=Constants!$B$2,TRUE(),IF($N51=Constants!$B$3,FALSE(),FALSE())))</f>
        <v/>
      </c>
      <c r="AR51" s="74" t="str">
        <f aca="false">IF(ISBLANK($C51),"",IF($O51=Constants!$B$2,TRUE(),IF($O51=Constants!$B$3,FALSE(),TRUE())))</f>
        <v/>
      </c>
      <c r="AS51" s="74" t="str">
        <f aca="false">IF(ISBLANK($C51),"",IF($P51=Constants!$B$2,TRUE(),IF($P51=Constants!$B$3,FALSE(),FALSE())))</f>
        <v/>
      </c>
      <c r="AT51" s="74" t="str">
        <f aca="false">IF(ISBLANK($C51),"",IF($Q51=Constants!$B$2,TRUE(),IF($Q51=Constants!$B$3,FALSE(),FALSE())))</f>
        <v/>
      </c>
      <c r="AU51" s="74" t="str">
        <f aca="false">IF(ISBLANK($C51),"",IF($R51=Constants!$B$2,TRUE(),IF($R51=Constants!$B$3,FALSE(),FALSE())))</f>
        <v/>
      </c>
      <c r="AV51" s="74" t="str">
        <f aca="false">IF(ISBLANK($C51),"",IF($S51=Constants!$B$2,TRUE(),IF($S51=Constants!$B$3,FALSE(),FALSE())))</f>
        <v/>
      </c>
      <c r="AW51" s="74" t="str">
        <f aca="false">IF(ISBLANK($C51),"",IF($T51=Constants!$B$2,TRUE(),IF($T51=Constants!$B$3,FALSE(),FALSE())))</f>
        <v/>
      </c>
      <c r="AX51" s="74" t="str">
        <f aca="false">IF(ISBLANK($C51),"",IF(OR($U51&amp;""="1",$U51&amp;""="2",$U51&amp;""="3",$U51&amp;""="4"),VALUE($U51&amp;""),IF($U51=Constants!$B$12,Constants!$B$12,"")))</f>
        <v/>
      </c>
      <c r="AY51" s="74" t="str">
        <f aca="false">IF(ISBLANK($C51),"",IF(ISBLANK($V51),0,IF(ISNUMBER($V51),IF(AND($V51&gt;=0,$V51&lt;=Constants!$B$21,$V51=INT($V51)),$V51,""),"")))</f>
        <v/>
      </c>
      <c r="AZ51" s="74" t="str">
        <f aca="false">IF(ISBLANK($C51),"",IF(ISBLANK($W51),0,IF(ISNUMBER($W51),IF($W51&gt;=0,$W51,""),"")))</f>
        <v/>
      </c>
      <c r="BA51" s="74" t="str">
        <f aca="false">IF(ISBLANK($C51),"",IF($X51=Constants!$B$2,TRUE(),IF($X51=Constants!$B$3,FALSE(),TRUE())))</f>
        <v/>
      </c>
      <c r="BB51" s="74" t="str">
        <f aca="false">IF(ISBLANK($C51),"",IF($Y51=Constants!$B$2,TRUE(),IF($Y51=Constants!$B$3,FALSE(),FALSE())))</f>
        <v/>
      </c>
      <c r="BC51" s="74" t="str">
        <f aca="false">IF(ISBLANK($C51),"",IF(ISBLANK($Z51),0,IF(ISNUMBER($Z51),IF(AND($Z51&gt;=0,$Z51&lt;=Constants!$B$35,$Z51=INT($Z51)),$Z51,""),"")))</f>
        <v/>
      </c>
      <c r="BD51" s="74" t="str">
        <f aca="false">IF(ISBLANK($C51),"",IF($AA51=Constants!$B$2,TRUE(),IF($AA51=Constants!$B$3,FALSE(),TRUE())))</f>
        <v/>
      </c>
      <c r="BE51" s="74" t="str">
        <f aca="false">IF(ISBLANK($C51),"",IF($AB51=Constants!$B$2,TRUE(),IF($AB51=Constants!$B$3,FALSE(),TRUE())))</f>
        <v/>
      </c>
      <c r="BF51" s="74" t="str">
        <f aca="false">IF(ISBLANK($C51),"",IF(ISNUMBER($AC51),IF($AC51&gt;=0,$AC51,""),""))</f>
        <v/>
      </c>
      <c r="BG51" s="74" t="str">
        <f aca="false">IF(ISBLANK($C51),"",IF($AD51=Constants!$B$2,TRUE(),IF($AD51=Constants!$B$3,FALSE(),FALSE())))</f>
        <v/>
      </c>
      <c r="BH51" s="73" t="str">
        <f aca="false">IF(ISBLANK($C51),"",IF($BG51,Constants!$B$7,IF(COUNTA($E51:$AC51)=0,Constants!$B$6,IF(OR(COUNTA($G51:$AC51)=0,NOT($AK51),$AQ51),Constants!$B$5,IF(OR($CI51&lt;&gt;"",$CJ51,$CK51,$CL51,$CM51,$CN51,$CO51),Constants!$B$8,Constants!$B$4)))))</f>
        <v/>
      </c>
      <c r="BI51" s="74" t="str">
        <f aca="false">IF(ISBLANK($C51),"",IF($BH51&lt;&gt;Constants!$B$4,$BH51,IF(OR(NOT($AH51),NOT($AJ51),NOT($AR51)),Constants!$B$11,IF(OR(NOT($AP51),MAX($AL51,$AM51,$AN51)&gt;Constants!$B$30),Constants!$B$10,Constants!$B$9))))</f>
        <v/>
      </c>
      <c r="BJ51" s="74" t="str">
        <f aca="false">IF($BH51&lt;&gt;Constants!$B$4,"",IF(NOT($AJ51),0,MIN(Constants!$B$35,$BC51)))</f>
        <v/>
      </c>
      <c r="BK51" s="74" t="str">
        <f aca="false">IF($BH51&lt;&gt;Constants!$B$4,"",IF(NOT($AJ51),0,IF($AT51,Constants!$B$18,IF($AS51,Constants!$B$17,0))))</f>
        <v/>
      </c>
      <c r="BL51" s="74" t="str">
        <f aca="false">IF($BH51&lt;&gt;Constants!$B$4,"",IF(NOT($AJ51),0,Constants!$B$19*($AI51+$AU51+$AV51+$AW51)))</f>
        <v/>
      </c>
      <c r="BM51" s="74" t="str">
        <f aca="false">IF($BH51&lt;&gt;Constants!$B$4,"",IF(OR(NOT($AJ51),NOT(ISNUMBER($AX51))),0,CHOOSE($AX51,Constants!$B$13,Constants!$B$14,Constants!$B$15,Constants!$B$16)))</f>
        <v/>
      </c>
      <c r="BN51" s="74" t="str">
        <f aca="false">IF($BH51&lt;&gt;Constants!$B$4,"",IF(NOT($AJ51),0,Constants!$B$20*$AY51))</f>
        <v/>
      </c>
      <c r="BO51" s="74" t="str">
        <f aca="false">IF($BH51&lt;&gt;Constants!$B$4,"",IF(AND($AJ51,$BA51,$BB51),Constants!$B$22,0))</f>
        <v/>
      </c>
      <c r="BP51" s="74" t="str">
        <f aca="false">IF($BH51&lt;&gt;Constants!$B$4,"",IF(OR(NOT($AJ51),NOT($BA51)),0,IF($BF51&gt;=2*$AF$9,0,Constants!$B$23*INT(ROUND(MIN($BF51,$AF$9),6)))))</f>
        <v/>
      </c>
      <c r="BQ51" s="74" t="str">
        <f aca="false">IF($BH51&lt;&gt;Constants!$B$4,"",IF(NOT($AJ51),0,Constants!$B$24*INT(ROUND(MIN($AZ51,$AF$9),6))))</f>
        <v/>
      </c>
      <c r="BR51" s="74" t="str">
        <f aca="false">IF($BH51&lt;&gt;Constants!$B$4,"",IF(AND($AJ51,$BJ51=0),Constants!$B$25,0))</f>
        <v/>
      </c>
      <c r="BS51" s="74" t="str">
        <f aca="false">IF($BH51&lt;&gt;Constants!$B$4,"",MIN(Constants!$B$29,MAX(0,Constants!$B$27*Constants!$B$28*INT(ROUND((Constants!$B$26-$AL51)/Constants!$B$28,6))))+MIN(Constants!$B$29,MAX(0,Constants!$B$27*Constants!$B$28*INT(ROUND((Constants!$B$26-$AM51)/Constants!$B$28,6))))+MIN(Constants!$B$29,MAX(0,Constants!$B$27*Constants!$B$28*INT(ROUND((Constants!$B$26-$AN51)/Constants!$B$28,6)))))</f>
        <v/>
      </c>
      <c r="BT51" s="74" t="str">
        <f aca="false">IF($BH51&lt;&gt;Constants!$B$4,"",IF(NOT($AJ51),0,Constants!$B$31*INT(ROUND(MAX(0,MIN($BF51,2*$AF$9)-$AF$9),6))))</f>
        <v/>
      </c>
      <c r="BU51" s="74" t="str">
        <f aca="false">IF($BH51&lt;&gt;Constants!$B$4,"",Constants!$B$32*(($AL51&gt;Constants!$B$26)+($AM51&gt;Constants!$B$26)+($AN51&gt;Constants!$B$26)))</f>
        <v/>
      </c>
      <c r="BV51" s="74" t="str">
        <f aca="false">IF($BH51&lt;&gt;Constants!$B$4,"",IF(OR(NOT($AJ51),$AO51),0,Constants!$B$33))</f>
        <v/>
      </c>
      <c r="BW51" s="74" t="str">
        <f aca="false">IF($BH51&lt;&gt;Constants!$B$4,"",Constants!$B$34*$BJ51)</f>
        <v/>
      </c>
      <c r="BX51" s="74" t="str">
        <f aca="false">IF($BH51&lt;&gt;Constants!$B$4,"",IF(OR(NOT($AJ51),$BE51),0,Constants!$B$36))</f>
        <v/>
      </c>
      <c r="BY51" s="74" t="str">
        <f aca="false">IF($BH51&lt;&gt;Constants!$B$4,"",IF(OR(NOT($AJ51),$BD51),0,Constants!$B$37))</f>
        <v/>
      </c>
      <c r="BZ51" s="74" t="str">
        <f aca="false">IF($BH51&lt;&gt;Constants!$B$4,"",SUM($BT51:$BY51))</f>
        <v/>
      </c>
      <c r="CA51" s="74" t="str">
        <f aca="false">IF(ISBLANK($C51),"",IF($BH51&lt;&gt;Constants!$B$4,$BH51,SUM($BK51:$BS51)-$BZ51))</f>
        <v/>
      </c>
      <c r="CB51" s="74" t="str">
        <f aca="false">IF(ISBLANK($C51),"",IF($BH51&lt;&gt;Constants!$B$4,$BH51,RANK($CA51,$CA$9:$CA$508)))</f>
        <v/>
      </c>
      <c r="CC51" s="74" t="str">
        <f aca="false">IF(ISBLANK($C51),"",IF($BH51&lt;&gt;Constants!$B$4,$BH51,COUNTIFS($BI$9:$BI$508,"&lt;"&amp;$BI51)+COUNTIFS($BI$9:$BI$508,$BI51,$CB$9:$CB$508,"&lt;"&amp;$CB51)+1))</f>
        <v/>
      </c>
      <c r="CD51" s="74" t="str">
        <f aca="false">IF(ISBLANK($C51),"",IF($BH51&lt;&gt;Constants!$B$4,$BH51,RANK($BZ51,$BZ$9:$BZ$508,1)))</f>
        <v/>
      </c>
      <c r="CE51" s="74" t="str">
        <f aca="false">IF($BH51&lt;&gt;Constants!$B$4,"",$AL51+$AM51+$AN51)</f>
        <v/>
      </c>
      <c r="CF51" s="74" t="str">
        <f aca="false">IF(ISBLANK($C51),"",IF($BH51&lt;&gt;Constants!$B$4,$BH51,RANK($CE51,$CE$9:$CE$508,1)))</f>
        <v/>
      </c>
      <c r="CG51" s="74" t="str">
        <f aca="false">IF(ISBLANK($C51),"",IF($BH51&lt;&gt;Constants!$B$4,$BH51,COUNTIFS($BI$9:$BI$508,"&lt;"&amp;$BI51)+COUNTIFS($BI$9:$BI$508,$BI51,$CB$9:$CB$508,"&lt;"&amp;$CB51)+COUNTIFS($BI$9:$BI$508,$BI51,$CB$9:$CB$508,$CB51,$CD$9:$CD$508,"&lt;"&amp;$CD51)+COUNTIFS($BI$9:$BI$508,$BI51,$CB$9:$CB$508,$CB51,$CD$9:$CD$508,$CD51,$CF$9:$CF$508,"&lt;"&amp;$CF51)+1))</f>
        <v/>
      </c>
      <c r="CH51" s="74" t="str">
        <f aca="false">IF(ISBLANK($C51),"",IF($BH51&lt;&gt;Constants!$B$4,$BH51,$CC51-$CG51))</f>
        <v/>
      </c>
      <c r="CI51" s="74" t="str">
        <f aca="false">IF(ISBLANK($C51),"",IF(NOT($AJ51),"",IF(ISBLANK($D$7),$CI$5,IF(NOT(ISNUMBER($D$7)),$CI$6,""))))</f>
        <v/>
      </c>
      <c r="CJ51" s="74" t="str">
        <f aca="false">IF(ISBLANK($C51),"",OR($AL51="",$AM51="",$AN51=""))</f>
        <v/>
      </c>
      <c r="CK51" s="74" t="str">
        <f aca="false">IF(ISBLANK($C51),"",AND($AJ51,$AX51=""))</f>
        <v/>
      </c>
      <c r="CL51" s="74" t="str">
        <f aca="false">IF(ISBLANK($C51),"",AND($AJ51,$AY51=""))</f>
        <v/>
      </c>
      <c r="CM51" s="74" t="str">
        <f aca="false">IF(ISBLANK($C51),"",AND($AJ51,$AZ51=""))</f>
        <v/>
      </c>
      <c r="CN51" s="74" t="str">
        <f aca="false">IF(ISBLANK($C51),"",AND($AJ51,$BC51=""))</f>
        <v/>
      </c>
      <c r="CO51" s="74" t="str">
        <f aca="false">IF(ISBLANK($C51),"",AND($AJ51,$BF51=""))</f>
        <v/>
      </c>
      <c r="CP51" s="75"/>
      <c r="CQ51" s="76"/>
      <c r="CR51" s="79" t="str">
        <f aca="false">IF(ISBLANK($C51),"",IF($BH51=Constants!$B$8,$CI51,""))</f>
        <v/>
      </c>
      <c r="CS51" s="76" t="str">
        <f aca="false">IF(ISBLANK($C51),"",IF($BH51&lt;&gt;Constants!$B$4,"",$BK51+$BL51))</f>
        <v/>
      </c>
      <c r="CT51" s="78" t="str">
        <f aca="false">IF(ISBLANK($C51),"",IF($BH51&lt;&gt;Constants!$B$4,"",$BM51+$BN51+$BO51))</f>
        <v/>
      </c>
      <c r="CU51" s="78" t="str">
        <f aca="false">IF(ISBLANK($C51),"",IF($BH51&lt;&gt;Constants!$B$4,"",$BP51))</f>
        <v/>
      </c>
      <c r="CV51" s="78" t="str">
        <f aca="false">IF(ISBLANK($C51),"",IF($BH51&lt;&gt;Constants!$B$4,"",$BQ51+$BR51))</f>
        <v/>
      </c>
      <c r="CW51" s="78" t="str">
        <f aca="false">IF(ISBLANK($C51),"",IF($BH51&lt;&gt;Constants!$B$4,"",$BS51))</f>
        <v/>
      </c>
      <c r="CX51" s="78" t="str">
        <f aca="false">IF(ISBLANK($C51),"",IF($BH51&lt;&gt;Constants!$B$4,"",-$BZ51))</f>
        <v/>
      </c>
      <c r="CY51" s="79" t="str">
        <f aca="false">IF(ISBLANK($C51),"",$CA51)</f>
        <v/>
      </c>
      <c r="CZ51" s="80" t="str">
        <f aca="false">IF(ISBLANK($C51),"",$BI51)</f>
        <v/>
      </c>
      <c r="DA51" s="78" t="str">
        <f aca="false">IF(ISBLANK($C51),"",$CH51)</f>
        <v/>
      </c>
      <c r="DB51" s="78" t="str">
        <f aca="false">IF(ISBLANK($C51),"",$CG51)</f>
        <v/>
      </c>
      <c r="DC51" s="81" t="str">
        <f aca="false">IF(ISBLANK($C51),"",IFERROR(_xlfn.SWITCH($DB51,Constants!$B$7,COUNTA($C$9:$C$508)+2,Constants!$B$6,COUNTA($C$9:$C$508)+1,Constants!$B$5,COUNTA($C$9:$C$508)),$DB51))</f>
        <v/>
      </c>
      <c r="DD51" s="7"/>
      <c r="DE51" s="82" t="n">
        <f aca="false">IF(OR(ISNUMBER($DB51),$DB51=Constants!$B$7,$DB51=Constants!$B$5,$DB51=Constants!$B$6),1,0)</f>
        <v>0</v>
      </c>
      <c r="DF51" s="82" t="n">
        <v>43</v>
      </c>
      <c r="DG51" s="82" t="str">
        <f aca="false">IF(ISBLANK($C51),"",IF(ISNUMBER($DC51),$DC51+ROW($B51)/1000,""))</f>
        <v/>
      </c>
      <c r="DH51" s="82" t="str">
        <f aca="false">IF(ISNUMBER($DG51),RANK($DG51,$DG$9:$DG$508,1),"")</f>
        <v/>
      </c>
      <c r="DI51" s="82" t="str">
        <f aca="false">IF(ISBLANK($C51),"",$B51)</f>
        <v/>
      </c>
      <c r="DJ51" s="82" t="str">
        <f aca="false">IF(ISBLANK($C51),"",$C51)</f>
        <v/>
      </c>
      <c r="DK51" s="82" t="str">
        <f aca="false">IF(ISBLANK($C51),"",$D51)</f>
        <v/>
      </c>
      <c r="DL51" s="83" t="str">
        <f aca="false">$CZ51</f>
        <v/>
      </c>
      <c r="DM51" s="84" t="str">
        <f aca="false">$CY51</f>
        <v/>
      </c>
      <c r="DN51" s="82" t="str">
        <f aca="false">IF(ISBLANK($C51),"",$DB51)</f>
        <v/>
      </c>
      <c r="DO51" s="85" t="str">
        <f aca="false">IF($DF51&gt;$DE$8,"",VLOOKUP($DF51,$DH$9:$DN$508,7,FALSE()))</f>
        <v/>
      </c>
      <c r="DP51" s="86" t="str">
        <f aca="false">IF($DF51&gt;$DE$8,"",VLOOKUP($DF51,$DH$9:$DN$508,2,FALSE()))</f>
        <v/>
      </c>
      <c r="DQ51" s="86" t="str">
        <f aca="false">IF($DF51&gt;$DE$8,"",VLOOKUP($DF51,$DH$9:$DN$508,3,FALSE()))</f>
        <v/>
      </c>
      <c r="DR51" s="86" t="str">
        <f aca="false">IF($DF51&gt;$DE$8,"",VLOOKUP($DF51,$DH$9:$DN$508,4,FALSE()))</f>
        <v/>
      </c>
      <c r="DS51" s="86" t="str">
        <f aca="false">IF($DF51&gt;$DE$8,"",VLOOKUP($DF51,$DH$9:$DN$508,5,FALSE()))</f>
        <v/>
      </c>
      <c r="DT51" s="87" t="str">
        <f aca="false">IF($DF51&gt;$DE$8,"",VLOOKUP($DF51,$DH$9:$DN$508,6,FALSE()))</f>
        <v/>
      </c>
      <c r="DU51" s="62"/>
    </row>
    <row r="52" customFormat="false" ht="15.75" hidden="false" customHeight="false" outlineLevel="0" collapsed="false">
      <c r="A52" s="7"/>
      <c r="B52" s="64"/>
      <c r="C52" s="65"/>
      <c r="D52" s="123"/>
      <c r="E52" s="88"/>
      <c r="F52" s="134"/>
      <c r="G52" s="88"/>
      <c r="H52" s="134"/>
      <c r="I52" s="69"/>
      <c r="J52" s="69"/>
      <c r="K52" s="69"/>
      <c r="L52" s="88"/>
      <c r="M52" s="88"/>
      <c r="N52" s="88"/>
      <c r="O52" s="134"/>
      <c r="P52" s="88"/>
      <c r="Q52" s="88"/>
      <c r="R52" s="88"/>
      <c r="S52" s="88"/>
      <c r="T52" s="134"/>
      <c r="U52" s="88"/>
      <c r="V52" s="70"/>
      <c r="W52" s="88"/>
      <c r="X52" s="88"/>
      <c r="Y52" s="70"/>
      <c r="Z52" s="70"/>
      <c r="AA52" s="88"/>
      <c r="AB52" s="88"/>
      <c r="AC52" s="71"/>
      <c r="AD52" s="88"/>
      <c r="AE52" s="73"/>
      <c r="AF52" s="74"/>
      <c r="AG52" s="74"/>
      <c r="AH52" s="74" t="str">
        <f aca="false">IF(ISBLANK($C52),"",IF($E52=Constants!$B$2,TRUE(),IF($E52=Constants!$B$3,FALSE(),TRUE())))</f>
        <v/>
      </c>
      <c r="AI52" s="74" t="str">
        <f aca="false">IF(ISBLANK($C52),"",IF($F52=Constants!$B$2,TRUE(),IF($F52=Constants!$B$3,FALSE(),FALSE())))</f>
        <v/>
      </c>
      <c r="AJ52" s="74" t="str">
        <f aca="false">IF(ISBLANK($C52),"",IF($G52=Constants!$B$2,TRUE(),IF($G52=Constants!$B$3,FALSE(),TRUE())))</f>
        <v/>
      </c>
      <c r="AK52" s="74" t="str">
        <f aca="false">IF(ISBLANK($C52),"",IF($H52=Constants!$B$2,TRUE(),IF($H52=Constants!$B$3,FALSE(),TRUE())))</f>
        <v/>
      </c>
      <c r="AL52" s="74" t="str">
        <f aca="false">IF(ISBLANK($C52),"",IF(ISNUMBER($I52),IF($I52&gt;=0,$I52,""),""))</f>
        <v/>
      </c>
      <c r="AM52" s="74" t="str">
        <f aca="false">IF(ISBLANK($C52),"",IF(ISNUMBER($J52),IF($J52&gt;=0,$J52,""),""))</f>
        <v/>
      </c>
      <c r="AN52" s="74" t="str">
        <f aca="false">IF(ISBLANK($C52),"",IF(ISNUMBER($K52),IF($K52&gt;=0,$K52,""),""))</f>
        <v/>
      </c>
      <c r="AO52" s="74" t="str">
        <f aca="false">IF(ISBLANK($C52),"",IF($L52=Constants!$B$2,TRUE(),IF($L52=Constants!$B$3,FALSE(),TRUE())))</f>
        <v/>
      </c>
      <c r="AP52" s="74" t="str">
        <f aca="false">IF(ISBLANK($C52),"",IF($M52=Constants!$B$2,TRUE(),IF($M52=Constants!$B$3,FALSE(),TRUE())))</f>
        <v/>
      </c>
      <c r="AQ52" s="74" t="str">
        <f aca="false">IF(ISBLANK($C52),"",IF($N52=Constants!$B$2,TRUE(),IF($N52=Constants!$B$3,FALSE(),FALSE())))</f>
        <v/>
      </c>
      <c r="AR52" s="74" t="str">
        <f aca="false">IF(ISBLANK($C52),"",IF($O52=Constants!$B$2,TRUE(),IF($O52=Constants!$B$3,FALSE(),TRUE())))</f>
        <v/>
      </c>
      <c r="AS52" s="74" t="str">
        <f aca="false">IF(ISBLANK($C52),"",IF($P52=Constants!$B$2,TRUE(),IF($P52=Constants!$B$3,FALSE(),FALSE())))</f>
        <v/>
      </c>
      <c r="AT52" s="74" t="str">
        <f aca="false">IF(ISBLANK($C52),"",IF($Q52=Constants!$B$2,TRUE(),IF($Q52=Constants!$B$3,FALSE(),FALSE())))</f>
        <v/>
      </c>
      <c r="AU52" s="74" t="str">
        <f aca="false">IF(ISBLANK($C52),"",IF($R52=Constants!$B$2,TRUE(),IF($R52=Constants!$B$3,FALSE(),FALSE())))</f>
        <v/>
      </c>
      <c r="AV52" s="74" t="str">
        <f aca="false">IF(ISBLANK($C52),"",IF($S52=Constants!$B$2,TRUE(),IF($S52=Constants!$B$3,FALSE(),FALSE())))</f>
        <v/>
      </c>
      <c r="AW52" s="74" t="str">
        <f aca="false">IF(ISBLANK($C52),"",IF($T52=Constants!$B$2,TRUE(),IF($T52=Constants!$B$3,FALSE(),FALSE())))</f>
        <v/>
      </c>
      <c r="AX52" s="74" t="str">
        <f aca="false">IF(ISBLANK($C52),"",IF(OR($U52&amp;""="1",$U52&amp;""="2",$U52&amp;""="3",$U52&amp;""="4"),VALUE($U52&amp;""),IF($U52=Constants!$B$12,Constants!$B$12,"")))</f>
        <v/>
      </c>
      <c r="AY52" s="74" t="str">
        <f aca="false">IF(ISBLANK($C52),"",IF(ISBLANK($V52),0,IF(ISNUMBER($V52),IF(AND($V52&gt;=0,$V52&lt;=Constants!$B$21,$V52=INT($V52)),$V52,""),"")))</f>
        <v/>
      </c>
      <c r="AZ52" s="74" t="str">
        <f aca="false">IF(ISBLANK($C52),"",IF(ISBLANK($W52),0,IF(ISNUMBER($W52),IF($W52&gt;=0,$W52,""),"")))</f>
        <v/>
      </c>
      <c r="BA52" s="74" t="str">
        <f aca="false">IF(ISBLANK($C52),"",IF($X52=Constants!$B$2,TRUE(),IF($X52=Constants!$B$3,FALSE(),TRUE())))</f>
        <v/>
      </c>
      <c r="BB52" s="74" t="str">
        <f aca="false">IF(ISBLANK($C52),"",IF($Y52=Constants!$B$2,TRUE(),IF($Y52=Constants!$B$3,FALSE(),FALSE())))</f>
        <v/>
      </c>
      <c r="BC52" s="74" t="str">
        <f aca="false">IF(ISBLANK($C52),"",IF(ISBLANK($Z52),0,IF(ISNUMBER($Z52),IF(AND($Z52&gt;=0,$Z52&lt;=Constants!$B$35,$Z52=INT($Z52)),$Z52,""),"")))</f>
        <v/>
      </c>
      <c r="BD52" s="74" t="str">
        <f aca="false">IF(ISBLANK($C52),"",IF($AA52=Constants!$B$2,TRUE(),IF($AA52=Constants!$B$3,FALSE(),TRUE())))</f>
        <v/>
      </c>
      <c r="BE52" s="74" t="str">
        <f aca="false">IF(ISBLANK($C52),"",IF($AB52=Constants!$B$2,TRUE(),IF($AB52=Constants!$B$3,FALSE(),TRUE())))</f>
        <v/>
      </c>
      <c r="BF52" s="74" t="str">
        <f aca="false">IF(ISBLANK($C52),"",IF(ISNUMBER($AC52),IF($AC52&gt;=0,$AC52,""),""))</f>
        <v/>
      </c>
      <c r="BG52" s="74" t="str">
        <f aca="false">IF(ISBLANK($C52),"",IF($AD52=Constants!$B$2,TRUE(),IF($AD52=Constants!$B$3,FALSE(),FALSE())))</f>
        <v/>
      </c>
      <c r="BH52" s="73" t="str">
        <f aca="false">IF(ISBLANK($C52),"",IF($BG52,Constants!$B$7,IF(COUNTA($E52:$AC52)=0,Constants!$B$6,IF(OR(COUNTA($G52:$AC52)=0,NOT($AK52),$AQ52),Constants!$B$5,IF(OR($CI52&lt;&gt;"",$CJ52,$CK52,$CL52,$CM52,$CN52,$CO52),Constants!$B$8,Constants!$B$4)))))</f>
        <v/>
      </c>
      <c r="BI52" s="74" t="str">
        <f aca="false">IF(ISBLANK($C52),"",IF($BH52&lt;&gt;Constants!$B$4,$BH52,IF(OR(NOT($AH52),NOT($AJ52),NOT($AR52)),Constants!$B$11,IF(OR(NOT($AP52),MAX($AL52,$AM52,$AN52)&gt;Constants!$B$30),Constants!$B$10,Constants!$B$9))))</f>
        <v/>
      </c>
      <c r="BJ52" s="74" t="str">
        <f aca="false">IF($BH52&lt;&gt;Constants!$B$4,"",IF(NOT($AJ52),0,MIN(Constants!$B$35,$BC52)))</f>
        <v/>
      </c>
      <c r="BK52" s="74" t="str">
        <f aca="false">IF($BH52&lt;&gt;Constants!$B$4,"",IF(NOT($AJ52),0,IF($AT52,Constants!$B$18,IF($AS52,Constants!$B$17,0))))</f>
        <v/>
      </c>
      <c r="BL52" s="74" t="str">
        <f aca="false">IF($BH52&lt;&gt;Constants!$B$4,"",IF(NOT($AJ52),0,Constants!$B$19*($AI52+$AU52+$AV52+$AW52)))</f>
        <v/>
      </c>
      <c r="BM52" s="74" t="str">
        <f aca="false">IF($BH52&lt;&gt;Constants!$B$4,"",IF(OR(NOT($AJ52),NOT(ISNUMBER($AX52))),0,CHOOSE($AX52,Constants!$B$13,Constants!$B$14,Constants!$B$15,Constants!$B$16)))</f>
        <v/>
      </c>
      <c r="BN52" s="74" t="str">
        <f aca="false">IF($BH52&lt;&gt;Constants!$B$4,"",IF(NOT($AJ52),0,Constants!$B$20*$AY52))</f>
        <v/>
      </c>
      <c r="BO52" s="74" t="str">
        <f aca="false">IF($BH52&lt;&gt;Constants!$B$4,"",IF(AND($AJ52,$BA52,$BB52),Constants!$B$22,0))</f>
        <v/>
      </c>
      <c r="BP52" s="74" t="str">
        <f aca="false">IF($BH52&lt;&gt;Constants!$B$4,"",IF(OR(NOT($AJ52),NOT($BA52)),0,IF($BF52&gt;=2*$AF$9,0,Constants!$B$23*INT(ROUND(MIN($BF52,$AF$9),6)))))</f>
        <v/>
      </c>
      <c r="BQ52" s="74" t="str">
        <f aca="false">IF($BH52&lt;&gt;Constants!$B$4,"",IF(NOT($AJ52),0,Constants!$B$24*INT(ROUND(MIN($AZ52,$AF$9),6))))</f>
        <v/>
      </c>
      <c r="BR52" s="74" t="str">
        <f aca="false">IF($BH52&lt;&gt;Constants!$B$4,"",IF(AND($AJ52,$BJ52=0),Constants!$B$25,0))</f>
        <v/>
      </c>
      <c r="BS52" s="74" t="str">
        <f aca="false">IF($BH52&lt;&gt;Constants!$B$4,"",MIN(Constants!$B$29,MAX(0,Constants!$B$27*Constants!$B$28*INT(ROUND((Constants!$B$26-$AL52)/Constants!$B$28,6))))+MIN(Constants!$B$29,MAX(0,Constants!$B$27*Constants!$B$28*INT(ROUND((Constants!$B$26-$AM52)/Constants!$B$28,6))))+MIN(Constants!$B$29,MAX(0,Constants!$B$27*Constants!$B$28*INT(ROUND((Constants!$B$26-$AN52)/Constants!$B$28,6)))))</f>
        <v/>
      </c>
      <c r="BT52" s="74" t="str">
        <f aca="false">IF($BH52&lt;&gt;Constants!$B$4,"",IF(NOT($AJ52),0,Constants!$B$31*INT(ROUND(MAX(0,MIN($BF52,2*$AF$9)-$AF$9),6))))</f>
        <v/>
      </c>
      <c r="BU52" s="74" t="str">
        <f aca="false">IF($BH52&lt;&gt;Constants!$B$4,"",Constants!$B$32*(($AL52&gt;Constants!$B$26)+($AM52&gt;Constants!$B$26)+($AN52&gt;Constants!$B$26)))</f>
        <v/>
      </c>
      <c r="BV52" s="74" t="str">
        <f aca="false">IF($BH52&lt;&gt;Constants!$B$4,"",IF(OR(NOT($AJ52),$AO52),0,Constants!$B$33))</f>
        <v/>
      </c>
      <c r="BW52" s="74" t="str">
        <f aca="false">IF($BH52&lt;&gt;Constants!$B$4,"",Constants!$B$34*$BJ52)</f>
        <v/>
      </c>
      <c r="BX52" s="74" t="str">
        <f aca="false">IF($BH52&lt;&gt;Constants!$B$4,"",IF(OR(NOT($AJ52),$BE52),0,Constants!$B$36))</f>
        <v/>
      </c>
      <c r="BY52" s="74" t="str">
        <f aca="false">IF($BH52&lt;&gt;Constants!$B$4,"",IF(OR(NOT($AJ52),$BD52),0,Constants!$B$37))</f>
        <v/>
      </c>
      <c r="BZ52" s="74" t="str">
        <f aca="false">IF($BH52&lt;&gt;Constants!$B$4,"",SUM($BT52:$BY52))</f>
        <v/>
      </c>
      <c r="CA52" s="74" t="str">
        <f aca="false">IF(ISBLANK($C52),"",IF($BH52&lt;&gt;Constants!$B$4,$BH52,SUM($BK52:$BS52)-$BZ52))</f>
        <v/>
      </c>
      <c r="CB52" s="74" t="str">
        <f aca="false">IF(ISBLANK($C52),"",IF($BH52&lt;&gt;Constants!$B$4,$BH52,RANK($CA52,$CA$9:$CA$508)))</f>
        <v/>
      </c>
      <c r="CC52" s="74" t="str">
        <f aca="false">IF(ISBLANK($C52),"",IF($BH52&lt;&gt;Constants!$B$4,$BH52,COUNTIFS($BI$9:$BI$508,"&lt;"&amp;$BI52)+COUNTIFS($BI$9:$BI$508,$BI52,$CB$9:$CB$508,"&lt;"&amp;$CB52)+1))</f>
        <v/>
      </c>
      <c r="CD52" s="74" t="str">
        <f aca="false">IF(ISBLANK($C52),"",IF($BH52&lt;&gt;Constants!$B$4,$BH52,RANK($BZ52,$BZ$9:$BZ$508,1)))</f>
        <v/>
      </c>
      <c r="CE52" s="74" t="str">
        <f aca="false">IF($BH52&lt;&gt;Constants!$B$4,"",$AL52+$AM52+$AN52)</f>
        <v/>
      </c>
      <c r="CF52" s="74" t="str">
        <f aca="false">IF(ISBLANK($C52),"",IF($BH52&lt;&gt;Constants!$B$4,$BH52,RANK($CE52,$CE$9:$CE$508,1)))</f>
        <v/>
      </c>
      <c r="CG52" s="74" t="str">
        <f aca="false">IF(ISBLANK($C52),"",IF($BH52&lt;&gt;Constants!$B$4,$BH52,COUNTIFS($BI$9:$BI$508,"&lt;"&amp;$BI52)+COUNTIFS($BI$9:$BI$508,$BI52,$CB$9:$CB$508,"&lt;"&amp;$CB52)+COUNTIFS($BI$9:$BI$508,$BI52,$CB$9:$CB$508,$CB52,$CD$9:$CD$508,"&lt;"&amp;$CD52)+COUNTIFS($BI$9:$BI$508,$BI52,$CB$9:$CB$508,$CB52,$CD$9:$CD$508,$CD52,$CF$9:$CF$508,"&lt;"&amp;$CF52)+1))</f>
        <v/>
      </c>
      <c r="CH52" s="74" t="str">
        <f aca="false">IF(ISBLANK($C52),"",IF($BH52&lt;&gt;Constants!$B$4,$BH52,$CC52-$CG52))</f>
        <v/>
      </c>
      <c r="CI52" s="74" t="str">
        <f aca="false">IF(ISBLANK($C52),"",IF(NOT($AJ52),"",IF(ISBLANK($D$7),$CI$5,IF(NOT(ISNUMBER($D$7)),$CI$6,""))))</f>
        <v/>
      </c>
      <c r="CJ52" s="74" t="str">
        <f aca="false">IF(ISBLANK($C52),"",OR($AL52="",$AM52="",$AN52=""))</f>
        <v/>
      </c>
      <c r="CK52" s="74" t="str">
        <f aca="false">IF(ISBLANK($C52),"",AND($AJ52,$AX52=""))</f>
        <v/>
      </c>
      <c r="CL52" s="74" t="str">
        <f aca="false">IF(ISBLANK($C52),"",AND($AJ52,$AY52=""))</f>
        <v/>
      </c>
      <c r="CM52" s="74" t="str">
        <f aca="false">IF(ISBLANK($C52),"",AND($AJ52,$AZ52=""))</f>
        <v/>
      </c>
      <c r="CN52" s="74" t="str">
        <f aca="false">IF(ISBLANK($C52),"",AND($AJ52,$BC52=""))</f>
        <v/>
      </c>
      <c r="CO52" s="74" t="str">
        <f aca="false">IF(ISBLANK($C52),"",AND($AJ52,$BF52=""))</f>
        <v/>
      </c>
      <c r="CP52" s="75"/>
      <c r="CQ52" s="76"/>
      <c r="CR52" s="79" t="str">
        <f aca="false">IF(ISBLANK($C52),"",IF($BH52=Constants!$B$8,$CI52,""))</f>
        <v/>
      </c>
      <c r="CS52" s="76" t="str">
        <f aca="false">IF(ISBLANK($C52),"",IF($BH52&lt;&gt;Constants!$B$4,"",$BK52+$BL52))</f>
        <v/>
      </c>
      <c r="CT52" s="78" t="str">
        <f aca="false">IF(ISBLANK($C52),"",IF($BH52&lt;&gt;Constants!$B$4,"",$BM52+$BN52+$BO52))</f>
        <v/>
      </c>
      <c r="CU52" s="78" t="str">
        <f aca="false">IF(ISBLANK($C52),"",IF($BH52&lt;&gt;Constants!$B$4,"",$BP52))</f>
        <v/>
      </c>
      <c r="CV52" s="78" t="str">
        <f aca="false">IF(ISBLANK($C52),"",IF($BH52&lt;&gt;Constants!$B$4,"",$BQ52+$BR52))</f>
        <v/>
      </c>
      <c r="CW52" s="78" t="str">
        <f aca="false">IF(ISBLANK($C52),"",IF($BH52&lt;&gt;Constants!$B$4,"",$BS52))</f>
        <v/>
      </c>
      <c r="CX52" s="78" t="str">
        <f aca="false">IF(ISBLANK($C52),"",IF($BH52&lt;&gt;Constants!$B$4,"",-$BZ52))</f>
        <v/>
      </c>
      <c r="CY52" s="79" t="str">
        <f aca="false">IF(ISBLANK($C52),"",$CA52)</f>
        <v/>
      </c>
      <c r="CZ52" s="80" t="str">
        <f aca="false">IF(ISBLANK($C52),"",$BI52)</f>
        <v/>
      </c>
      <c r="DA52" s="78" t="str">
        <f aca="false">IF(ISBLANK($C52),"",$CH52)</f>
        <v/>
      </c>
      <c r="DB52" s="78" t="str">
        <f aca="false">IF(ISBLANK($C52),"",$CG52)</f>
        <v/>
      </c>
      <c r="DC52" s="81" t="str">
        <f aca="false">IF(ISBLANK($C52),"",IFERROR(_xlfn.SWITCH($DB52,Constants!$B$7,COUNTA($C$9:$C$508)+2,Constants!$B$6,COUNTA($C$9:$C$508)+1,Constants!$B$5,COUNTA($C$9:$C$508)),$DB52))</f>
        <v/>
      </c>
      <c r="DD52" s="7"/>
      <c r="DE52" s="82" t="n">
        <f aca="false">IF(OR(ISNUMBER($DB52),$DB52=Constants!$B$7,$DB52=Constants!$B$5,$DB52=Constants!$B$6),1,0)</f>
        <v>0</v>
      </c>
      <c r="DF52" s="82" t="n">
        <v>44</v>
      </c>
      <c r="DG52" s="82" t="str">
        <f aca="false">IF(ISBLANK($C52),"",IF(ISNUMBER($DC52),$DC52+ROW($B52)/1000,""))</f>
        <v/>
      </c>
      <c r="DH52" s="82" t="str">
        <f aca="false">IF(ISNUMBER($DG52),RANK($DG52,$DG$9:$DG$508,1),"")</f>
        <v/>
      </c>
      <c r="DI52" s="82" t="str">
        <f aca="false">IF(ISBLANK($C52),"",$B52)</f>
        <v/>
      </c>
      <c r="DJ52" s="82" t="str">
        <f aca="false">IF(ISBLANK($C52),"",$C52)</f>
        <v/>
      </c>
      <c r="DK52" s="82" t="str">
        <f aca="false">IF(ISBLANK($C52),"",$D52)</f>
        <v/>
      </c>
      <c r="DL52" s="83" t="str">
        <f aca="false">$CZ52</f>
        <v/>
      </c>
      <c r="DM52" s="84" t="str">
        <f aca="false">$CY52</f>
        <v/>
      </c>
      <c r="DN52" s="82" t="str">
        <f aca="false">IF(ISBLANK($C52),"",$DB52)</f>
        <v/>
      </c>
      <c r="DO52" s="85" t="str">
        <f aca="false">IF($DF52&gt;$DE$8,"",VLOOKUP($DF52,$DH$9:$DN$508,7,FALSE()))</f>
        <v/>
      </c>
      <c r="DP52" s="86" t="str">
        <f aca="false">IF($DF52&gt;$DE$8,"",VLOOKUP($DF52,$DH$9:$DN$508,2,FALSE()))</f>
        <v/>
      </c>
      <c r="DQ52" s="86" t="str">
        <f aca="false">IF($DF52&gt;$DE$8,"",VLOOKUP($DF52,$DH$9:$DN$508,3,FALSE()))</f>
        <v/>
      </c>
      <c r="DR52" s="86" t="str">
        <f aca="false">IF($DF52&gt;$DE$8,"",VLOOKUP($DF52,$DH$9:$DN$508,4,FALSE()))</f>
        <v/>
      </c>
      <c r="DS52" s="86" t="str">
        <f aca="false">IF($DF52&gt;$DE$8,"",VLOOKUP($DF52,$DH$9:$DN$508,5,FALSE()))</f>
        <v/>
      </c>
      <c r="DT52" s="87" t="str">
        <f aca="false">IF($DF52&gt;$DE$8,"",VLOOKUP($DF52,$DH$9:$DN$508,6,FALSE()))</f>
        <v/>
      </c>
      <c r="DU52" s="62"/>
    </row>
    <row r="53" customFormat="false" ht="15.75" hidden="false" customHeight="false" outlineLevel="0" collapsed="false">
      <c r="A53" s="7"/>
      <c r="B53" s="64"/>
      <c r="C53" s="65"/>
      <c r="D53" s="123"/>
      <c r="E53" s="88"/>
      <c r="F53" s="134"/>
      <c r="G53" s="88"/>
      <c r="H53" s="134"/>
      <c r="I53" s="69"/>
      <c r="J53" s="69"/>
      <c r="K53" s="69"/>
      <c r="L53" s="88"/>
      <c r="M53" s="88"/>
      <c r="N53" s="88"/>
      <c r="O53" s="134"/>
      <c r="P53" s="88"/>
      <c r="Q53" s="88"/>
      <c r="R53" s="88"/>
      <c r="S53" s="88"/>
      <c r="T53" s="134"/>
      <c r="U53" s="88"/>
      <c r="V53" s="70"/>
      <c r="W53" s="88"/>
      <c r="X53" s="88"/>
      <c r="Y53" s="70"/>
      <c r="Z53" s="70"/>
      <c r="AA53" s="88"/>
      <c r="AB53" s="88"/>
      <c r="AC53" s="71"/>
      <c r="AD53" s="88"/>
      <c r="AE53" s="73"/>
      <c r="AF53" s="74"/>
      <c r="AG53" s="74"/>
      <c r="AH53" s="74" t="str">
        <f aca="false">IF(ISBLANK($C53),"",IF($E53=Constants!$B$2,TRUE(),IF($E53=Constants!$B$3,FALSE(),TRUE())))</f>
        <v/>
      </c>
      <c r="AI53" s="74" t="str">
        <f aca="false">IF(ISBLANK($C53),"",IF($F53=Constants!$B$2,TRUE(),IF($F53=Constants!$B$3,FALSE(),FALSE())))</f>
        <v/>
      </c>
      <c r="AJ53" s="74" t="str">
        <f aca="false">IF(ISBLANK($C53),"",IF($G53=Constants!$B$2,TRUE(),IF($G53=Constants!$B$3,FALSE(),TRUE())))</f>
        <v/>
      </c>
      <c r="AK53" s="74" t="str">
        <f aca="false">IF(ISBLANK($C53),"",IF($H53=Constants!$B$2,TRUE(),IF($H53=Constants!$B$3,FALSE(),TRUE())))</f>
        <v/>
      </c>
      <c r="AL53" s="74" t="str">
        <f aca="false">IF(ISBLANK($C53),"",IF(ISNUMBER($I53),IF($I53&gt;=0,$I53,""),""))</f>
        <v/>
      </c>
      <c r="AM53" s="74" t="str">
        <f aca="false">IF(ISBLANK($C53),"",IF(ISNUMBER($J53),IF($J53&gt;=0,$J53,""),""))</f>
        <v/>
      </c>
      <c r="AN53" s="74" t="str">
        <f aca="false">IF(ISBLANK($C53),"",IF(ISNUMBER($K53),IF($K53&gt;=0,$K53,""),""))</f>
        <v/>
      </c>
      <c r="AO53" s="74" t="str">
        <f aca="false">IF(ISBLANK($C53),"",IF($L53=Constants!$B$2,TRUE(),IF($L53=Constants!$B$3,FALSE(),TRUE())))</f>
        <v/>
      </c>
      <c r="AP53" s="74" t="str">
        <f aca="false">IF(ISBLANK($C53),"",IF($M53=Constants!$B$2,TRUE(),IF($M53=Constants!$B$3,FALSE(),TRUE())))</f>
        <v/>
      </c>
      <c r="AQ53" s="74" t="str">
        <f aca="false">IF(ISBLANK($C53),"",IF($N53=Constants!$B$2,TRUE(),IF($N53=Constants!$B$3,FALSE(),FALSE())))</f>
        <v/>
      </c>
      <c r="AR53" s="74" t="str">
        <f aca="false">IF(ISBLANK($C53),"",IF($O53=Constants!$B$2,TRUE(),IF($O53=Constants!$B$3,FALSE(),TRUE())))</f>
        <v/>
      </c>
      <c r="AS53" s="74" t="str">
        <f aca="false">IF(ISBLANK($C53),"",IF($P53=Constants!$B$2,TRUE(),IF($P53=Constants!$B$3,FALSE(),FALSE())))</f>
        <v/>
      </c>
      <c r="AT53" s="74" t="str">
        <f aca="false">IF(ISBLANK($C53),"",IF($Q53=Constants!$B$2,TRUE(),IF($Q53=Constants!$B$3,FALSE(),FALSE())))</f>
        <v/>
      </c>
      <c r="AU53" s="74" t="str">
        <f aca="false">IF(ISBLANK($C53),"",IF($R53=Constants!$B$2,TRUE(),IF($R53=Constants!$B$3,FALSE(),FALSE())))</f>
        <v/>
      </c>
      <c r="AV53" s="74" t="str">
        <f aca="false">IF(ISBLANK($C53),"",IF($S53=Constants!$B$2,TRUE(),IF($S53=Constants!$B$3,FALSE(),FALSE())))</f>
        <v/>
      </c>
      <c r="AW53" s="74" t="str">
        <f aca="false">IF(ISBLANK($C53),"",IF($T53=Constants!$B$2,TRUE(),IF($T53=Constants!$B$3,FALSE(),FALSE())))</f>
        <v/>
      </c>
      <c r="AX53" s="74" t="str">
        <f aca="false">IF(ISBLANK($C53),"",IF(OR($U53&amp;""="1",$U53&amp;""="2",$U53&amp;""="3",$U53&amp;""="4"),VALUE($U53&amp;""),IF($U53=Constants!$B$12,Constants!$B$12,"")))</f>
        <v/>
      </c>
      <c r="AY53" s="74" t="str">
        <f aca="false">IF(ISBLANK($C53),"",IF(ISBLANK($V53),0,IF(ISNUMBER($V53),IF(AND($V53&gt;=0,$V53&lt;=Constants!$B$21,$V53=INT($V53)),$V53,""),"")))</f>
        <v/>
      </c>
      <c r="AZ53" s="74" t="str">
        <f aca="false">IF(ISBLANK($C53),"",IF(ISBLANK($W53),0,IF(ISNUMBER($W53),IF($W53&gt;=0,$W53,""),"")))</f>
        <v/>
      </c>
      <c r="BA53" s="74" t="str">
        <f aca="false">IF(ISBLANK($C53),"",IF($X53=Constants!$B$2,TRUE(),IF($X53=Constants!$B$3,FALSE(),TRUE())))</f>
        <v/>
      </c>
      <c r="BB53" s="74" t="str">
        <f aca="false">IF(ISBLANK($C53),"",IF($Y53=Constants!$B$2,TRUE(),IF($Y53=Constants!$B$3,FALSE(),FALSE())))</f>
        <v/>
      </c>
      <c r="BC53" s="74" t="str">
        <f aca="false">IF(ISBLANK($C53),"",IF(ISBLANK($Z53),0,IF(ISNUMBER($Z53),IF(AND($Z53&gt;=0,$Z53&lt;=Constants!$B$35,$Z53=INT($Z53)),$Z53,""),"")))</f>
        <v/>
      </c>
      <c r="BD53" s="74" t="str">
        <f aca="false">IF(ISBLANK($C53),"",IF($AA53=Constants!$B$2,TRUE(),IF($AA53=Constants!$B$3,FALSE(),TRUE())))</f>
        <v/>
      </c>
      <c r="BE53" s="74" t="str">
        <f aca="false">IF(ISBLANK($C53),"",IF($AB53=Constants!$B$2,TRUE(),IF($AB53=Constants!$B$3,FALSE(),TRUE())))</f>
        <v/>
      </c>
      <c r="BF53" s="74" t="str">
        <f aca="false">IF(ISBLANK($C53),"",IF(ISNUMBER($AC53),IF($AC53&gt;=0,$AC53,""),""))</f>
        <v/>
      </c>
      <c r="BG53" s="74" t="str">
        <f aca="false">IF(ISBLANK($C53),"",IF($AD53=Constants!$B$2,TRUE(),IF($AD53=Constants!$B$3,FALSE(),FALSE())))</f>
        <v/>
      </c>
      <c r="BH53" s="73" t="str">
        <f aca="false">IF(ISBLANK($C53),"",IF($BG53,Constants!$B$7,IF(COUNTA($E53:$AC53)=0,Constants!$B$6,IF(OR(COUNTA($G53:$AC53)=0,NOT($AK53),$AQ53),Constants!$B$5,IF(OR($CI53&lt;&gt;"",$CJ53,$CK53,$CL53,$CM53,$CN53,$CO53),Constants!$B$8,Constants!$B$4)))))</f>
        <v/>
      </c>
      <c r="BI53" s="74" t="str">
        <f aca="false">IF(ISBLANK($C53),"",IF($BH53&lt;&gt;Constants!$B$4,$BH53,IF(OR(NOT($AH53),NOT($AJ53),NOT($AR53)),Constants!$B$11,IF(OR(NOT($AP53),MAX($AL53,$AM53,$AN53)&gt;Constants!$B$30),Constants!$B$10,Constants!$B$9))))</f>
        <v/>
      </c>
      <c r="BJ53" s="74" t="str">
        <f aca="false">IF($BH53&lt;&gt;Constants!$B$4,"",IF(NOT($AJ53),0,MIN(Constants!$B$35,$BC53)))</f>
        <v/>
      </c>
      <c r="BK53" s="74" t="str">
        <f aca="false">IF($BH53&lt;&gt;Constants!$B$4,"",IF(NOT($AJ53),0,IF($AT53,Constants!$B$18,IF($AS53,Constants!$B$17,0))))</f>
        <v/>
      </c>
      <c r="BL53" s="74" t="str">
        <f aca="false">IF($BH53&lt;&gt;Constants!$B$4,"",IF(NOT($AJ53),0,Constants!$B$19*($AI53+$AU53+$AV53+$AW53)))</f>
        <v/>
      </c>
      <c r="BM53" s="74" t="str">
        <f aca="false">IF($BH53&lt;&gt;Constants!$B$4,"",IF(OR(NOT($AJ53),NOT(ISNUMBER($AX53))),0,CHOOSE($AX53,Constants!$B$13,Constants!$B$14,Constants!$B$15,Constants!$B$16)))</f>
        <v/>
      </c>
      <c r="BN53" s="74" t="str">
        <f aca="false">IF($BH53&lt;&gt;Constants!$B$4,"",IF(NOT($AJ53),0,Constants!$B$20*$AY53))</f>
        <v/>
      </c>
      <c r="BO53" s="74" t="str">
        <f aca="false">IF($BH53&lt;&gt;Constants!$B$4,"",IF(AND($AJ53,$BA53,$BB53),Constants!$B$22,0))</f>
        <v/>
      </c>
      <c r="BP53" s="74" t="str">
        <f aca="false">IF($BH53&lt;&gt;Constants!$B$4,"",IF(OR(NOT($AJ53),NOT($BA53)),0,IF($BF53&gt;=2*$AF$9,0,Constants!$B$23*INT(ROUND(MIN($BF53,$AF$9),6)))))</f>
        <v/>
      </c>
      <c r="BQ53" s="74" t="str">
        <f aca="false">IF($BH53&lt;&gt;Constants!$B$4,"",IF(NOT($AJ53),0,Constants!$B$24*INT(ROUND(MIN($AZ53,$AF$9),6))))</f>
        <v/>
      </c>
      <c r="BR53" s="74" t="str">
        <f aca="false">IF($BH53&lt;&gt;Constants!$B$4,"",IF(AND($AJ53,$BJ53=0),Constants!$B$25,0))</f>
        <v/>
      </c>
      <c r="BS53" s="74" t="str">
        <f aca="false">IF($BH53&lt;&gt;Constants!$B$4,"",MIN(Constants!$B$29,MAX(0,Constants!$B$27*Constants!$B$28*INT(ROUND((Constants!$B$26-$AL53)/Constants!$B$28,6))))+MIN(Constants!$B$29,MAX(0,Constants!$B$27*Constants!$B$28*INT(ROUND((Constants!$B$26-$AM53)/Constants!$B$28,6))))+MIN(Constants!$B$29,MAX(0,Constants!$B$27*Constants!$B$28*INT(ROUND((Constants!$B$26-$AN53)/Constants!$B$28,6)))))</f>
        <v/>
      </c>
      <c r="BT53" s="74" t="str">
        <f aca="false">IF($BH53&lt;&gt;Constants!$B$4,"",IF(NOT($AJ53),0,Constants!$B$31*INT(ROUND(MAX(0,MIN($BF53,2*$AF$9)-$AF$9),6))))</f>
        <v/>
      </c>
      <c r="BU53" s="74" t="str">
        <f aca="false">IF($BH53&lt;&gt;Constants!$B$4,"",Constants!$B$32*(($AL53&gt;Constants!$B$26)+($AM53&gt;Constants!$B$26)+($AN53&gt;Constants!$B$26)))</f>
        <v/>
      </c>
      <c r="BV53" s="74" t="str">
        <f aca="false">IF($BH53&lt;&gt;Constants!$B$4,"",IF(OR(NOT($AJ53),$AO53),0,Constants!$B$33))</f>
        <v/>
      </c>
      <c r="BW53" s="74" t="str">
        <f aca="false">IF($BH53&lt;&gt;Constants!$B$4,"",Constants!$B$34*$BJ53)</f>
        <v/>
      </c>
      <c r="BX53" s="74" t="str">
        <f aca="false">IF($BH53&lt;&gt;Constants!$B$4,"",IF(OR(NOT($AJ53),$BE53),0,Constants!$B$36))</f>
        <v/>
      </c>
      <c r="BY53" s="74" t="str">
        <f aca="false">IF($BH53&lt;&gt;Constants!$B$4,"",IF(OR(NOT($AJ53),$BD53),0,Constants!$B$37))</f>
        <v/>
      </c>
      <c r="BZ53" s="74" t="str">
        <f aca="false">IF($BH53&lt;&gt;Constants!$B$4,"",SUM($BT53:$BY53))</f>
        <v/>
      </c>
      <c r="CA53" s="74" t="str">
        <f aca="false">IF(ISBLANK($C53),"",IF($BH53&lt;&gt;Constants!$B$4,$BH53,SUM($BK53:$BS53)-$BZ53))</f>
        <v/>
      </c>
      <c r="CB53" s="74" t="str">
        <f aca="false">IF(ISBLANK($C53),"",IF($BH53&lt;&gt;Constants!$B$4,$BH53,RANK($CA53,$CA$9:$CA$508)))</f>
        <v/>
      </c>
      <c r="CC53" s="74" t="str">
        <f aca="false">IF(ISBLANK($C53),"",IF($BH53&lt;&gt;Constants!$B$4,$BH53,COUNTIFS($BI$9:$BI$508,"&lt;"&amp;$BI53)+COUNTIFS($BI$9:$BI$508,$BI53,$CB$9:$CB$508,"&lt;"&amp;$CB53)+1))</f>
        <v/>
      </c>
      <c r="CD53" s="74" t="str">
        <f aca="false">IF(ISBLANK($C53),"",IF($BH53&lt;&gt;Constants!$B$4,$BH53,RANK($BZ53,$BZ$9:$BZ$508,1)))</f>
        <v/>
      </c>
      <c r="CE53" s="74" t="str">
        <f aca="false">IF($BH53&lt;&gt;Constants!$B$4,"",$AL53+$AM53+$AN53)</f>
        <v/>
      </c>
      <c r="CF53" s="74" t="str">
        <f aca="false">IF(ISBLANK($C53),"",IF($BH53&lt;&gt;Constants!$B$4,$BH53,RANK($CE53,$CE$9:$CE$508,1)))</f>
        <v/>
      </c>
      <c r="CG53" s="74" t="str">
        <f aca="false">IF(ISBLANK($C53),"",IF($BH53&lt;&gt;Constants!$B$4,$BH53,COUNTIFS($BI$9:$BI$508,"&lt;"&amp;$BI53)+COUNTIFS($BI$9:$BI$508,$BI53,$CB$9:$CB$508,"&lt;"&amp;$CB53)+COUNTIFS($BI$9:$BI$508,$BI53,$CB$9:$CB$508,$CB53,$CD$9:$CD$508,"&lt;"&amp;$CD53)+COUNTIFS($BI$9:$BI$508,$BI53,$CB$9:$CB$508,$CB53,$CD$9:$CD$508,$CD53,$CF$9:$CF$508,"&lt;"&amp;$CF53)+1))</f>
        <v/>
      </c>
      <c r="CH53" s="74" t="str">
        <f aca="false">IF(ISBLANK($C53),"",IF($BH53&lt;&gt;Constants!$B$4,$BH53,$CC53-$CG53))</f>
        <v/>
      </c>
      <c r="CI53" s="74" t="str">
        <f aca="false">IF(ISBLANK($C53),"",IF(NOT($AJ53),"",IF(ISBLANK($D$7),$CI$5,IF(NOT(ISNUMBER($D$7)),$CI$6,""))))</f>
        <v/>
      </c>
      <c r="CJ53" s="74" t="str">
        <f aca="false">IF(ISBLANK($C53),"",OR($AL53="",$AM53="",$AN53=""))</f>
        <v/>
      </c>
      <c r="CK53" s="74" t="str">
        <f aca="false">IF(ISBLANK($C53),"",AND($AJ53,$AX53=""))</f>
        <v/>
      </c>
      <c r="CL53" s="74" t="str">
        <f aca="false">IF(ISBLANK($C53),"",AND($AJ53,$AY53=""))</f>
        <v/>
      </c>
      <c r="CM53" s="74" t="str">
        <f aca="false">IF(ISBLANK($C53),"",AND($AJ53,$AZ53=""))</f>
        <v/>
      </c>
      <c r="CN53" s="74" t="str">
        <f aca="false">IF(ISBLANK($C53),"",AND($AJ53,$BC53=""))</f>
        <v/>
      </c>
      <c r="CO53" s="74" t="str">
        <f aca="false">IF(ISBLANK($C53),"",AND($AJ53,$BF53=""))</f>
        <v/>
      </c>
      <c r="CP53" s="75"/>
      <c r="CQ53" s="76"/>
      <c r="CR53" s="79" t="str">
        <f aca="false">IF(ISBLANK($C53),"",IF($BH53=Constants!$B$8,$CI53,""))</f>
        <v/>
      </c>
      <c r="CS53" s="76" t="str">
        <f aca="false">IF(ISBLANK($C53),"",IF($BH53&lt;&gt;Constants!$B$4,"",$BK53+$BL53))</f>
        <v/>
      </c>
      <c r="CT53" s="78" t="str">
        <f aca="false">IF(ISBLANK($C53),"",IF($BH53&lt;&gt;Constants!$B$4,"",$BM53+$BN53+$BO53))</f>
        <v/>
      </c>
      <c r="CU53" s="78" t="str">
        <f aca="false">IF(ISBLANK($C53),"",IF($BH53&lt;&gt;Constants!$B$4,"",$BP53))</f>
        <v/>
      </c>
      <c r="CV53" s="78" t="str">
        <f aca="false">IF(ISBLANK($C53),"",IF($BH53&lt;&gt;Constants!$B$4,"",$BQ53+$BR53))</f>
        <v/>
      </c>
      <c r="CW53" s="78" t="str">
        <f aca="false">IF(ISBLANK($C53),"",IF($BH53&lt;&gt;Constants!$B$4,"",$BS53))</f>
        <v/>
      </c>
      <c r="CX53" s="78" t="str">
        <f aca="false">IF(ISBLANK($C53),"",IF($BH53&lt;&gt;Constants!$B$4,"",-$BZ53))</f>
        <v/>
      </c>
      <c r="CY53" s="79" t="str">
        <f aca="false">IF(ISBLANK($C53),"",$CA53)</f>
        <v/>
      </c>
      <c r="CZ53" s="80" t="str">
        <f aca="false">IF(ISBLANK($C53),"",$BI53)</f>
        <v/>
      </c>
      <c r="DA53" s="78" t="str">
        <f aca="false">IF(ISBLANK($C53),"",$CH53)</f>
        <v/>
      </c>
      <c r="DB53" s="78" t="str">
        <f aca="false">IF(ISBLANK($C53),"",$CG53)</f>
        <v/>
      </c>
      <c r="DC53" s="81" t="str">
        <f aca="false">IF(ISBLANK($C53),"",IFERROR(_xlfn.SWITCH($DB53,Constants!$B$7,COUNTA($C$9:$C$508)+2,Constants!$B$6,COUNTA($C$9:$C$508)+1,Constants!$B$5,COUNTA($C$9:$C$508)),$DB53))</f>
        <v/>
      </c>
      <c r="DD53" s="7"/>
      <c r="DE53" s="82" t="n">
        <f aca="false">IF(OR(ISNUMBER($DB53),$DB53=Constants!$B$7,$DB53=Constants!$B$5,$DB53=Constants!$B$6),1,0)</f>
        <v>0</v>
      </c>
      <c r="DF53" s="82" t="n">
        <v>45</v>
      </c>
      <c r="DG53" s="82" t="str">
        <f aca="false">IF(ISBLANK($C53),"",IF(ISNUMBER($DC53),$DC53+ROW($B53)/1000,""))</f>
        <v/>
      </c>
      <c r="DH53" s="82" t="str">
        <f aca="false">IF(ISNUMBER($DG53),RANK($DG53,$DG$9:$DG$508,1),"")</f>
        <v/>
      </c>
      <c r="DI53" s="82" t="str">
        <f aca="false">IF(ISBLANK($C53),"",$B53)</f>
        <v/>
      </c>
      <c r="DJ53" s="82" t="str">
        <f aca="false">IF(ISBLANK($C53),"",$C53)</f>
        <v/>
      </c>
      <c r="DK53" s="82" t="str">
        <f aca="false">IF(ISBLANK($C53),"",$D53)</f>
        <v/>
      </c>
      <c r="DL53" s="83" t="str">
        <f aca="false">$CZ53</f>
        <v/>
      </c>
      <c r="DM53" s="84" t="str">
        <f aca="false">$CY53</f>
        <v/>
      </c>
      <c r="DN53" s="82" t="str">
        <f aca="false">IF(ISBLANK($C53),"",$DB53)</f>
        <v/>
      </c>
      <c r="DO53" s="85" t="str">
        <f aca="false">IF($DF53&gt;$DE$8,"",VLOOKUP($DF53,$DH$9:$DN$508,7,FALSE()))</f>
        <v/>
      </c>
      <c r="DP53" s="86" t="str">
        <f aca="false">IF($DF53&gt;$DE$8,"",VLOOKUP($DF53,$DH$9:$DN$508,2,FALSE()))</f>
        <v/>
      </c>
      <c r="DQ53" s="86" t="str">
        <f aca="false">IF($DF53&gt;$DE$8,"",VLOOKUP($DF53,$DH$9:$DN$508,3,FALSE()))</f>
        <v/>
      </c>
      <c r="DR53" s="86" t="str">
        <f aca="false">IF($DF53&gt;$DE$8,"",VLOOKUP($DF53,$DH$9:$DN$508,4,FALSE()))</f>
        <v/>
      </c>
      <c r="DS53" s="86" t="str">
        <f aca="false">IF($DF53&gt;$DE$8,"",VLOOKUP($DF53,$DH$9:$DN$508,5,FALSE()))</f>
        <v/>
      </c>
      <c r="DT53" s="87" t="str">
        <f aca="false">IF($DF53&gt;$DE$8,"",VLOOKUP($DF53,$DH$9:$DN$508,6,FALSE()))</f>
        <v/>
      </c>
      <c r="DU53" s="62"/>
    </row>
    <row r="54" customFormat="false" ht="15.75" hidden="false" customHeight="false" outlineLevel="0" collapsed="false">
      <c r="A54" s="7"/>
      <c r="B54" s="90"/>
      <c r="C54" s="91"/>
      <c r="D54" s="126"/>
      <c r="E54" s="130"/>
      <c r="F54" s="135"/>
      <c r="G54" s="130"/>
      <c r="H54" s="135"/>
      <c r="I54" s="95"/>
      <c r="J54" s="95"/>
      <c r="K54" s="95"/>
      <c r="L54" s="130"/>
      <c r="M54" s="130"/>
      <c r="N54" s="130"/>
      <c r="O54" s="135"/>
      <c r="P54" s="130"/>
      <c r="Q54" s="130"/>
      <c r="R54" s="130"/>
      <c r="S54" s="130"/>
      <c r="T54" s="135"/>
      <c r="U54" s="130"/>
      <c r="V54" s="96"/>
      <c r="W54" s="130"/>
      <c r="X54" s="130"/>
      <c r="Y54" s="96"/>
      <c r="Z54" s="96"/>
      <c r="AA54" s="130"/>
      <c r="AB54" s="130"/>
      <c r="AC54" s="97"/>
      <c r="AD54" s="130"/>
      <c r="AE54" s="99"/>
      <c r="AF54" s="100"/>
      <c r="AG54" s="100"/>
      <c r="AH54" s="100" t="str">
        <f aca="false">IF(ISBLANK($C54),"",IF($E54=Constants!$B$2,TRUE(),IF($E54=Constants!$B$3,FALSE(),TRUE())))</f>
        <v/>
      </c>
      <c r="AI54" s="100" t="str">
        <f aca="false">IF(ISBLANK($C54),"",IF($F54=Constants!$B$2,TRUE(),IF($F54=Constants!$B$3,FALSE(),FALSE())))</f>
        <v/>
      </c>
      <c r="AJ54" s="100" t="str">
        <f aca="false">IF(ISBLANK($C54),"",IF($G54=Constants!$B$2,TRUE(),IF($G54=Constants!$B$3,FALSE(),TRUE())))</f>
        <v/>
      </c>
      <c r="AK54" s="100" t="str">
        <f aca="false">IF(ISBLANK($C54),"",IF($H54=Constants!$B$2,TRUE(),IF($H54=Constants!$B$3,FALSE(),TRUE())))</f>
        <v/>
      </c>
      <c r="AL54" s="100" t="str">
        <f aca="false">IF(ISBLANK($C54),"",IF(ISNUMBER($I54),IF($I54&gt;=0,$I54,""),""))</f>
        <v/>
      </c>
      <c r="AM54" s="100" t="str">
        <f aca="false">IF(ISBLANK($C54),"",IF(ISNUMBER($J54),IF($J54&gt;=0,$J54,""),""))</f>
        <v/>
      </c>
      <c r="AN54" s="100" t="str">
        <f aca="false">IF(ISBLANK($C54),"",IF(ISNUMBER($K54),IF($K54&gt;=0,$K54,""),""))</f>
        <v/>
      </c>
      <c r="AO54" s="100" t="str">
        <f aca="false">IF(ISBLANK($C54),"",IF($L54=Constants!$B$2,TRUE(),IF($L54=Constants!$B$3,FALSE(),TRUE())))</f>
        <v/>
      </c>
      <c r="AP54" s="100" t="str">
        <f aca="false">IF(ISBLANK($C54),"",IF($M54=Constants!$B$2,TRUE(),IF($M54=Constants!$B$3,FALSE(),TRUE())))</f>
        <v/>
      </c>
      <c r="AQ54" s="100" t="str">
        <f aca="false">IF(ISBLANK($C54),"",IF($N54=Constants!$B$2,TRUE(),IF($N54=Constants!$B$3,FALSE(),FALSE())))</f>
        <v/>
      </c>
      <c r="AR54" s="100" t="str">
        <f aca="false">IF(ISBLANK($C54),"",IF($O54=Constants!$B$2,TRUE(),IF($O54=Constants!$B$3,FALSE(),TRUE())))</f>
        <v/>
      </c>
      <c r="AS54" s="100" t="str">
        <f aca="false">IF(ISBLANK($C54),"",IF($P54=Constants!$B$2,TRUE(),IF($P54=Constants!$B$3,FALSE(),FALSE())))</f>
        <v/>
      </c>
      <c r="AT54" s="100" t="str">
        <f aca="false">IF(ISBLANK($C54),"",IF($Q54=Constants!$B$2,TRUE(),IF($Q54=Constants!$B$3,FALSE(),FALSE())))</f>
        <v/>
      </c>
      <c r="AU54" s="100" t="str">
        <f aca="false">IF(ISBLANK($C54),"",IF($R54=Constants!$B$2,TRUE(),IF($R54=Constants!$B$3,FALSE(),FALSE())))</f>
        <v/>
      </c>
      <c r="AV54" s="100" t="str">
        <f aca="false">IF(ISBLANK($C54),"",IF($S54=Constants!$B$2,TRUE(),IF($S54=Constants!$B$3,FALSE(),FALSE())))</f>
        <v/>
      </c>
      <c r="AW54" s="100" t="str">
        <f aca="false">IF(ISBLANK($C54),"",IF($T54=Constants!$B$2,TRUE(),IF($T54=Constants!$B$3,FALSE(),FALSE())))</f>
        <v/>
      </c>
      <c r="AX54" s="100" t="str">
        <f aca="false">IF(ISBLANK($C54),"",IF(OR($U54&amp;""="1",$U54&amp;""="2",$U54&amp;""="3",$U54&amp;""="4"),VALUE($U54&amp;""),IF($U54=Constants!$B$12,Constants!$B$12,"")))</f>
        <v/>
      </c>
      <c r="AY54" s="100" t="str">
        <f aca="false">IF(ISBLANK($C54),"",IF(ISBLANK($V54),0,IF(ISNUMBER($V54),IF(AND($V54&gt;=0,$V54&lt;=Constants!$B$21,$V54=INT($V54)),$V54,""),"")))</f>
        <v/>
      </c>
      <c r="AZ54" s="100" t="str">
        <f aca="false">IF(ISBLANK($C54),"",IF(ISBLANK($W54),0,IF(ISNUMBER($W54),IF($W54&gt;=0,$W54,""),"")))</f>
        <v/>
      </c>
      <c r="BA54" s="100" t="str">
        <f aca="false">IF(ISBLANK($C54),"",IF($X54=Constants!$B$2,TRUE(),IF($X54=Constants!$B$3,FALSE(),TRUE())))</f>
        <v/>
      </c>
      <c r="BB54" s="100" t="str">
        <f aca="false">IF(ISBLANK($C54),"",IF($Y54=Constants!$B$2,TRUE(),IF($Y54=Constants!$B$3,FALSE(),FALSE())))</f>
        <v/>
      </c>
      <c r="BC54" s="100" t="str">
        <f aca="false">IF(ISBLANK($C54),"",IF(ISBLANK($Z54),0,IF(ISNUMBER($Z54),IF(AND($Z54&gt;=0,$Z54&lt;=Constants!$B$35,$Z54=INT($Z54)),$Z54,""),"")))</f>
        <v/>
      </c>
      <c r="BD54" s="100" t="str">
        <f aca="false">IF(ISBLANK($C54),"",IF($AA54=Constants!$B$2,TRUE(),IF($AA54=Constants!$B$3,FALSE(),TRUE())))</f>
        <v/>
      </c>
      <c r="BE54" s="100" t="str">
        <f aca="false">IF(ISBLANK($C54),"",IF($AB54=Constants!$B$2,TRUE(),IF($AB54=Constants!$B$3,FALSE(),TRUE())))</f>
        <v/>
      </c>
      <c r="BF54" s="100" t="str">
        <f aca="false">IF(ISBLANK($C54),"",IF(ISNUMBER($AC54),IF($AC54&gt;=0,$AC54,""),""))</f>
        <v/>
      </c>
      <c r="BG54" s="100" t="str">
        <f aca="false">IF(ISBLANK($C54),"",IF($AD54=Constants!$B$2,TRUE(),IF($AD54=Constants!$B$3,FALSE(),FALSE())))</f>
        <v/>
      </c>
      <c r="BH54" s="99" t="str">
        <f aca="false">IF(ISBLANK($C54),"",IF($BG54,Constants!$B$7,IF(COUNTA($E54:$AC54)=0,Constants!$B$6,IF(OR(COUNTA($G54:$AC54)=0,NOT($AK54),$AQ54),Constants!$B$5,IF(OR($CI54&lt;&gt;"",$CJ54,$CK54,$CL54,$CM54,$CN54,$CO54),Constants!$B$8,Constants!$B$4)))))</f>
        <v/>
      </c>
      <c r="BI54" s="100" t="str">
        <f aca="false">IF(ISBLANK($C54),"",IF($BH54&lt;&gt;Constants!$B$4,$BH54,IF(OR(NOT($AH54),NOT($AJ54),NOT($AR54)),Constants!$B$11,IF(OR(NOT($AP54),MAX($AL54,$AM54,$AN54)&gt;Constants!$B$30),Constants!$B$10,Constants!$B$9))))</f>
        <v/>
      </c>
      <c r="BJ54" s="100" t="str">
        <f aca="false">IF($BH54&lt;&gt;Constants!$B$4,"",IF(NOT($AJ54),0,MIN(Constants!$B$35,$BC54)))</f>
        <v/>
      </c>
      <c r="BK54" s="100" t="str">
        <f aca="false">IF($BH54&lt;&gt;Constants!$B$4,"",IF(NOT($AJ54),0,IF($AT54,Constants!$B$18,IF($AS54,Constants!$B$17,0))))</f>
        <v/>
      </c>
      <c r="BL54" s="100" t="str">
        <f aca="false">IF($BH54&lt;&gt;Constants!$B$4,"",IF(NOT($AJ54),0,Constants!$B$19*($AI54+$AU54+$AV54+$AW54)))</f>
        <v/>
      </c>
      <c r="BM54" s="100" t="str">
        <f aca="false">IF($BH54&lt;&gt;Constants!$B$4,"",IF(OR(NOT($AJ54),NOT(ISNUMBER($AX54))),0,CHOOSE($AX54,Constants!$B$13,Constants!$B$14,Constants!$B$15,Constants!$B$16)))</f>
        <v/>
      </c>
      <c r="BN54" s="100" t="str">
        <f aca="false">IF($BH54&lt;&gt;Constants!$B$4,"",IF(NOT($AJ54),0,Constants!$B$20*$AY54))</f>
        <v/>
      </c>
      <c r="BO54" s="100" t="str">
        <f aca="false">IF($BH54&lt;&gt;Constants!$B$4,"",IF(AND($AJ54,$BA54,$BB54),Constants!$B$22,0))</f>
        <v/>
      </c>
      <c r="BP54" s="100" t="str">
        <f aca="false">IF($BH54&lt;&gt;Constants!$B$4,"",IF(OR(NOT($AJ54),NOT($BA54)),0,IF($BF54&gt;=2*$AF$9,0,Constants!$B$23*INT(ROUND(MIN($BF54,$AF$9),6)))))</f>
        <v/>
      </c>
      <c r="BQ54" s="100" t="str">
        <f aca="false">IF($BH54&lt;&gt;Constants!$B$4,"",IF(NOT($AJ54),0,Constants!$B$24*INT(ROUND(MIN($AZ54,$AF$9),6))))</f>
        <v/>
      </c>
      <c r="BR54" s="100" t="str">
        <f aca="false">IF($BH54&lt;&gt;Constants!$B$4,"",IF(AND($AJ54,$BJ54=0),Constants!$B$25,0))</f>
        <v/>
      </c>
      <c r="BS54" s="100" t="str">
        <f aca="false">IF($BH54&lt;&gt;Constants!$B$4,"",MIN(Constants!$B$29,MAX(0,Constants!$B$27*Constants!$B$28*INT(ROUND((Constants!$B$26-$AL54)/Constants!$B$28,6))))+MIN(Constants!$B$29,MAX(0,Constants!$B$27*Constants!$B$28*INT(ROUND((Constants!$B$26-$AM54)/Constants!$B$28,6))))+MIN(Constants!$B$29,MAX(0,Constants!$B$27*Constants!$B$28*INT(ROUND((Constants!$B$26-$AN54)/Constants!$B$28,6)))))</f>
        <v/>
      </c>
      <c r="BT54" s="100" t="str">
        <f aca="false">IF($BH54&lt;&gt;Constants!$B$4,"",IF(NOT($AJ54),0,Constants!$B$31*INT(ROUND(MAX(0,MIN($BF54,2*$AF$9)-$AF$9),6))))</f>
        <v/>
      </c>
      <c r="BU54" s="100" t="str">
        <f aca="false">IF($BH54&lt;&gt;Constants!$B$4,"",Constants!$B$32*(($AL54&gt;Constants!$B$26)+($AM54&gt;Constants!$B$26)+($AN54&gt;Constants!$B$26)))</f>
        <v/>
      </c>
      <c r="BV54" s="100" t="str">
        <f aca="false">IF($BH54&lt;&gt;Constants!$B$4,"",IF(OR(NOT($AJ54),$AO54),0,Constants!$B$33))</f>
        <v/>
      </c>
      <c r="BW54" s="100" t="str">
        <f aca="false">IF($BH54&lt;&gt;Constants!$B$4,"",Constants!$B$34*$BJ54)</f>
        <v/>
      </c>
      <c r="BX54" s="100" t="str">
        <f aca="false">IF($BH54&lt;&gt;Constants!$B$4,"",IF(OR(NOT($AJ54),$BE54),0,Constants!$B$36))</f>
        <v/>
      </c>
      <c r="BY54" s="100" t="str">
        <f aca="false">IF($BH54&lt;&gt;Constants!$B$4,"",IF(OR(NOT($AJ54),$BD54),0,Constants!$B$37))</f>
        <v/>
      </c>
      <c r="BZ54" s="100" t="str">
        <f aca="false">IF($BH54&lt;&gt;Constants!$B$4,"",SUM($BT54:$BY54))</f>
        <v/>
      </c>
      <c r="CA54" s="100" t="str">
        <f aca="false">IF(ISBLANK($C54),"",IF($BH54&lt;&gt;Constants!$B$4,$BH54,SUM($BK54:$BS54)-$BZ54))</f>
        <v/>
      </c>
      <c r="CB54" s="100" t="str">
        <f aca="false">IF(ISBLANK($C54),"",IF($BH54&lt;&gt;Constants!$B$4,$BH54,RANK($CA54,$CA$9:$CA$508)))</f>
        <v/>
      </c>
      <c r="CC54" s="100" t="str">
        <f aca="false">IF(ISBLANK($C54),"",IF($BH54&lt;&gt;Constants!$B$4,$BH54,COUNTIFS($BI$9:$BI$508,"&lt;"&amp;$BI54)+COUNTIFS($BI$9:$BI$508,$BI54,$CB$9:$CB$508,"&lt;"&amp;$CB54)+1))</f>
        <v/>
      </c>
      <c r="CD54" s="100" t="str">
        <f aca="false">IF(ISBLANK($C54),"",IF($BH54&lt;&gt;Constants!$B$4,$BH54,RANK($BZ54,$BZ$9:$BZ$508,1)))</f>
        <v/>
      </c>
      <c r="CE54" s="100" t="str">
        <f aca="false">IF($BH54&lt;&gt;Constants!$B$4,"",$AL54+$AM54+$AN54)</f>
        <v/>
      </c>
      <c r="CF54" s="100" t="str">
        <f aca="false">IF(ISBLANK($C54),"",IF($BH54&lt;&gt;Constants!$B$4,$BH54,RANK($CE54,$CE$9:$CE$508,1)))</f>
        <v/>
      </c>
      <c r="CG54" s="100" t="str">
        <f aca="false">IF(ISBLANK($C54),"",IF($BH54&lt;&gt;Constants!$B$4,$BH54,COUNTIFS($BI$9:$BI$508,"&lt;"&amp;$BI54)+COUNTIFS($BI$9:$BI$508,$BI54,$CB$9:$CB$508,"&lt;"&amp;$CB54)+COUNTIFS($BI$9:$BI$508,$BI54,$CB$9:$CB$508,$CB54,$CD$9:$CD$508,"&lt;"&amp;$CD54)+COUNTIFS($BI$9:$BI$508,$BI54,$CB$9:$CB$508,$CB54,$CD$9:$CD$508,$CD54,$CF$9:$CF$508,"&lt;"&amp;$CF54)+1))</f>
        <v/>
      </c>
      <c r="CH54" s="100" t="str">
        <f aca="false">IF(ISBLANK($C54),"",IF($BH54&lt;&gt;Constants!$B$4,$BH54,$CC54-$CG54))</f>
        <v/>
      </c>
      <c r="CI54" s="100" t="str">
        <f aca="false">IF(ISBLANK($C54),"",IF(NOT($AJ54),"",IF(ISBLANK($D$7),$CI$5,IF(NOT(ISNUMBER($D$7)),$CI$6,""))))</f>
        <v/>
      </c>
      <c r="CJ54" s="100" t="str">
        <f aca="false">IF(ISBLANK($C54),"",OR($AL54="",$AM54="",$AN54=""))</f>
        <v/>
      </c>
      <c r="CK54" s="100" t="str">
        <f aca="false">IF(ISBLANK($C54),"",AND($AJ54,$AX54=""))</f>
        <v/>
      </c>
      <c r="CL54" s="100" t="str">
        <f aca="false">IF(ISBLANK($C54),"",AND($AJ54,$AY54=""))</f>
        <v/>
      </c>
      <c r="CM54" s="100" t="str">
        <f aca="false">IF(ISBLANK($C54),"",AND($AJ54,$AZ54=""))</f>
        <v/>
      </c>
      <c r="CN54" s="100" t="str">
        <f aca="false">IF(ISBLANK($C54),"",AND($AJ54,$BC54=""))</f>
        <v/>
      </c>
      <c r="CO54" s="100" t="str">
        <f aca="false">IF(ISBLANK($C54),"",AND($AJ54,$BF54=""))</f>
        <v/>
      </c>
      <c r="CP54" s="101"/>
      <c r="CQ54" s="102"/>
      <c r="CR54" s="103" t="str">
        <f aca="false">IF(ISBLANK($C54),"",IF($BH54=Constants!$B$8,$CI54,""))</f>
        <v/>
      </c>
      <c r="CS54" s="102" t="str">
        <f aca="false">IF(ISBLANK($C54),"",IF($BH54&lt;&gt;Constants!$B$4,"",$BK54+$BL54))</f>
        <v/>
      </c>
      <c r="CT54" s="104" t="str">
        <f aca="false">IF(ISBLANK($C54),"",IF($BH54&lt;&gt;Constants!$B$4,"",$BM54+$BN54+$BO54))</f>
        <v/>
      </c>
      <c r="CU54" s="104" t="str">
        <f aca="false">IF(ISBLANK($C54),"",IF($BH54&lt;&gt;Constants!$B$4,"",$BP54))</f>
        <v/>
      </c>
      <c r="CV54" s="104" t="str">
        <f aca="false">IF(ISBLANK($C54),"",IF($BH54&lt;&gt;Constants!$B$4,"",$BQ54+$BR54))</f>
        <v/>
      </c>
      <c r="CW54" s="104" t="str">
        <f aca="false">IF(ISBLANK($C54),"",IF($BH54&lt;&gt;Constants!$B$4,"",$BS54))</f>
        <v/>
      </c>
      <c r="CX54" s="104" t="str">
        <f aca="false">IF(ISBLANK($C54),"",IF($BH54&lt;&gt;Constants!$B$4,"",-$BZ54))</f>
        <v/>
      </c>
      <c r="CY54" s="103" t="str">
        <f aca="false">IF(ISBLANK($C54),"",$CA54)</f>
        <v/>
      </c>
      <c r="CZ54" s="105" t="str">
        <f aca="false">IF(ISBLANK($C54),"",$BI54)</f>
        <v/>
      </c>
      <c r="DA54" s="104" t="str">
        <f aca="false">IF(ISBLANK($C54),"",$CH54)</f>
        <v/>
      </c>
      <c r="DB54" s="104" t="str">
        <f aca="false">IF(ISBLANK($C54),"",$CG54)</f>
        <v/>
      </c>
      <c r="DC54" s="106" t="str">
        <f aca="false">IF(ISBLANK($C54),"",IFERROR(_xlfn.SWITCH($DB54,Constants!$B$7,COUNTA($C$9:$C$508)+2,Constants!$B$6,COUNTA($C$9:$C$508)+1,Constants!$B$5,COUNTA($C$9:$C$508)),$DB54))</f>
        <v/>
      </c>
      <c r="DD54" s="7"/>
      <c r="DE54" s="107" t="n">
        <f aca="false">IF(OR(ISNUMBER($DB54),$DB54=Constants!$B$7,$DB54=Constants!$B$5,$DB54=Constants!$B$6),1,0)</f>
        <v>0</v>
      </c>
      <c r="DF54" s="107" t="n">
        <v>46</v>
      </c>
      <c r="DG54" s="107" t="str">
        <f aca="false">IF(ISBLANK($C54),"",IF(ISNUMBER($DC54),$DC54+ROW($B54)/1000,""))</f>
        <v/>
      </c>
      <c r="DH54" s="107" t="str">
        <f aca="false">IF(ISNUMBER($DG54),RANK($DG54,$DG$9:$DG$508,1),"")</f>
        <v/>
      </c>
      <c r="DI54" s="107" t="str">
        <f aca="false">IF(ISBLANK($C54),"",$B54)</f>
        <v/>
      </c>
      <c r="DJ54" s="107" t="str">
        <f aca="false">IF(ISBLANK($C54),"",$C54)</f>
        <v/>
      </c>
      <c r="DK54" s="107" t="str">
        <f aca="false">IF(ISBLANK($C54),"",$D54)</f>
        <v/>
      </c>
      <c r="DL54" s="108" t="str">
        <f aca="false">$CZ54</f>
        <v/>
      </c>
      <c r="DM54" s="109" t="str">
        <f aca="false">$CY54</f>
        <v/>
      </c>
      <c r="DN54" s="107" t="str">
        <f aca="false">IF(ISBLANK($C54),"",$DB54)</f>
        <v/>
      </c>
      <c r="DO54" s="110" t="str">
        <f aca="false">IF($DF54&gt;$DE$8,"",VLOOKUP($DF54,$DH$9:$DN$508,7,FALSE()))</f>
        <v/>
      </c>
      <c r="DP54" s="111" t="str">
        <f aca="false">IF($DF54&gt;$DE$8,"",VLOOKUP($DF54,$DH$9:$DN$508,2,FALSE()))</f>
        <v/>
      </c>
      <c r="DQ54" s="111" t="str">
        <f aca="false">IF($DF54&gt;$DE$8,"",VLOOKUP($DF54,$DH$9:$DN$508,3,FALSE()))</f>
        <v/>
      </c>
      <c r="DR54" s="111" t="str">
        <f aca="false">IF($DF54&gt;$DE$8,"",VLOOKUP($DF54,$DH$9:$DN$508,4,FALSE()))</f>
        <v/>
      </c>
      <c r="DS54" s="111" t="str">
        <f aca="false">IF($DF54&gt;$DE$8,"",VLOOKUP($DF54,$DH$9:$DN$508,5,FALSE()))</f>
        <v/>
      </c>
      <c r="DT54" s="112" t="str">
        <f aca="false">IF($DF54&gt;$DE$8,"",VLOOKUP($DF54,$DH$9:$DN$508,6,FALSE()))</f>
        <v/>
      </c>
      <c r="DU54" s="62"/>
    </row>
    <row r="55" customFormat="false" ht="15.75" hidden="false" customHeight="false" outlineLevel="0" collapsed="false">
      <c r="A55" s="7"/>
      <c r="B55" s="90"/>
      <c r="C55" s="91"/>
      <c r="D55" s="126"/>
      <c r="E55" s="116"/>
      <c r="F55" s="113"/>
      <c r="G55" s="116"/>
      <c r="H55" s="113"/>
      <c r="I55" s="131"/>
      <c r="J55" s="131"/>
      <c r="K55" s="131"/>
      <c r="L55" s="116"/>
      <c r="M55" s="116"/>
      <c r="N55" s="116"/>
      <c r="O55" s="113"/>
      <c r="P55" s="116"/>
      <c r="Q55" s="116"/>
      <c r="R55" s="116"/>
      <c r="S55" s="116"/>
      <c r="T55" s="113"/>
      <c r="U55" s="116"/>
      <c r="V55" s="132"/>
      <c r="W55" s="116"/>
      <c r="X55" s="116"/>
      <c r="Y55" s="132"/>
      <c r="Z55" s="132"/>
      <c r="AA55" s="116"/>
      <c r="AB55" s="116"/>
      <c r="AC55" s="133"/>
      <c r="AD55" s="116"/>
      <c r="AE55" s="99"/>
      <c r="AF55" s="100"/>
      <c r="AG55" s="100"/>
      <c r="AH55" s="100" t="str">
        <f aca="false">IF(ISBLANK($C55),"",IF($E55=Constants!$B$2,TRUE(),IF($E55=Constants!$B$3,FALSE(),TRUE())))</f>
        <v/>
      </c>
      <c r="AI55" s="100" t="str">
        <f aca="false">IF(ISBLANK($C55),"",IF($F55=Constants!$B$2,TRUE(),IF($F55=Constants!$B$3,FALSE(),FALSE())))</f>
        <v/>
      </c>
      <c r="AJ55" s="100" t="str">
        <f aca="false">IF(ISBLANK($C55),"",IF($G55=Constants!$B$2,TRUE(),IF($G55=Constants!$B$3,FALSE(),TRUE())))</f>
        <v/>
      </c>
      <c r="AK55" s="100" t="str">
        <f aca="false">IF(ISBLANK($C55),"",IF($H55=Constants!$B$2,TRUE(),IF($H55=Constants!$B$3,FALSE(),TRUE())))</f>
        <v/>
      </c>
      <c r="AL55" s="100" t="str">
        <f aca="false">IF(ISBLANK($C55),"",IF(ISNUMBER($I55),IF($I55&gt;=0,$I55,""),""))</f>
        <v/>
      </c>
      <c r="AM55" s="100" t="str">
        <f aca="false">IF(ISBLANK($C55),"",IF(ISNUMBER($J55),IF($J55&gt;=0,$J55,""),""))</f>
        <v/>
      </c>
      <c r="AN55" s="100" t="str">
        <f aca="false">IF(ISBLANK($C55),"",IF(ISNUMBER($K55),IF($K55&gt;=0,$K55,""),""))</f>
        <v/>
      </c>
      <c r="AO55" s="100" t="str">
        <f aca="false">IF(ISBLANK($C55),"",IF($L55=Constants!$B$2,TRUE(),IF($L55=Constants!$B$3,FALSE(),TRUE())))</f>
        <v/>
      </c>
      <c r="AP55" s="100" t="str">
        <f aca="false">IF(ISBLANK($C55),"",IF($M55=Constants!$B$2,TRUE(),IF($M55=Constants!$B$3,FALSE(),TRUE())))</f>
        <v/>
      </c>
      <c r="AQ55" s="100" t="str">
        <f aca="false">IF(ISBLANK($C55),"",IF($N55=Constants!$B$2,TRUE(),IF($N55=Constants!$B$3,FALSE(),FALSE())))</f>
        <v/>
      </c>
      <c r="AR55" s="100" t="str">
        <f aca="false">IF(ISBLANK($C55),"",IF($O55=Constants!$B$2,TRUE(),IF($O55=Constants!$B$3,FALSE(),TRUE())))</f>
        <v/>
      </c>
      <c r="AS55" s="100" t="str">
        <f aca="false">IF(ISBLANK($C55),"",IF($P55=Constants!$B$2,TRUE(),IF($P55=Constants!$B$3,FALSE(),FALSE())))</f>
        <v/>
      </c>
      <c r="AT55" s="100" t="str">
        <f aca="false">IF(ISBLANK($C55),"",IF($Q55=Constants!$B$2,TRUE(),IF($Q55=Constants!$B$3,FALSE(),FALSE())))</f>
        <v/>
      </c>
      <c r="AU55" s="100" t="str">
        <f aca="false">IF(ISBLANK($C55),"",IF($R55=Constants!$B$2,TRUE(),IF($R55=Constants!$B$3,FALSE(),FALSE())))</f>
        <v/>
      </c>
      <c r="AV55" s="100" t="str">
        <f aca="false">IF(ISBLANK($C55),"",IF($S55=Constants!$B$2,TRUE(),IF($S55=Constants!$B$3,FALSE(),FALSE())))</f>
        <v/>
      </c>
      <c r="AW55" s="100" t="str">
        <f aca="false">IF(ISBLANK($C55),"",IF($T55=Constants!$B$2,TRUE(),IF($T55=Constants!$B$3,FALSE(),FALSE())))</f>
        <v/>
      </c>
      <c r="AX55" s="100" t="str">
        <f aca="false">IF(ISBLANK($C55),"",IF(OR($U55&amp;""="1",$U55&amp;""="2",$U55&amp;""="3",$U55&amp;""="4"),VALUE($U55&amp;""),IF($U55=Constants!$B$12,Constants!$B$12,"")))</f>
        <v/>
      </c>
      <c r="AY55" s="100" t="str">
        <f aca="false">IF(ISBLANK($C55),"",IF(ISBLANK($V55),0,IF(ISNUMBER($V55),IF(AND($V55&gt;=0,$V55&lt;=Constants!$B$21,$V55=INT($V55)),$V55,""),"")))</f>
        <v/>
      </c>
      <c r="AZ55" s="100" t="str">
        <f aca="false">IF(ISBLANK($C55),"",IF(ISBLANK($W55),0,IF(ISNUMBER($W55),IF($W55&gt;=0,$W55,""),"")))</f>
        <v/>
      </c>
      <c r="BA55" s="100" t="str">
        <f aca="false">IF(ISBLANK($C55),"",IF($X55=Constants!$B$2,TRUE(),IF($X55=Constants!$B$3,FALSE(),TRUE())))</f>
        <v/>
      </c>
      <c r="BB55" s="100" t="str">
        <f aca="false">IF(ISBLANK($C55),"",IF($Y55=Constants!$B$2,TRUE(),IF($Y55=Constants!$B$3,FALSE(),FALSE())))</f>
        <v/>
      </c>
      <c r="BC55" s="100" t="str">
        <f aca="false">IF(ISBLANK($C55),"",IF(ISBLANK($Z55),0,IF(ISNUMBER($Z55),IF(AND($Z55&gt;=0,$Z55&lt;=Constants!$B$35,$Z55=INT($Z55)),$Z55,""),"")))</f>
        <v/>
      </c>
      <c r="BD55" s="100" t="str">
        <f aca="false">IF(ISBLANK($C55),"",IF($AA55=Constants!$B$2,TRUE(),IF($AA55=Constants!$B$3,FALSE(),TRUE())))</f>
        <v/>
      </c>
      <c r="BE55" s="100" t="str">
        <f aca="false">IF(ISBLANK($C55),"",IF($AB55=Constants!$B$2,TRUE(),IF($AB55=Constants!$B$3,FALSE(),TRUE())))</f>
        <v/>
      </c>
      <c r="BF55" s="100" t="str">
        <f aca="false">IF(ISBLANK($C55),"",IF(ISNUMBER($AC55),IF($AC55&gt;=0,$AC55,""),""))</f>
        <v/>
      </c>
      <c r="BG55" s="100" t="str">
        <f aca="false">IF(ISBLANK($C55),"",IF($AD55=Constants!$B$2,TRUE(),IF($AD55=Constants!$B$3,FALSE(),FALSE())))</f>
        <v/>
      </c>
      <c r="BH55" s="99" t="str">
        <f aca="false">IF(ISBLANK($C55),"",IF($BG55,Constants!$B$7,IF(COUNTA($E55:$AC55)=0,Constants!$B$6,IF(OR(COUNTA($G55:$AC55)=0,NOT($AK55),$AQ55),Constants!$B$5,IF(OR($CI55&lt;&gt;"",$CJ55,$CK55,$CL55,$CM55,$CN55,$CO55),Constants!$B$8,Constants!$B$4)))))</f>
        <v/>
      </c>
      <c r="BI55" s="100" t="str">
        <f aca="false">IF(ISBLANK($C55),"",IF($BH55&lt;&gt;Constants!$B$4,$BH55,IF(OR(NOT($AH55),NOT($AJ55),NOT($AR55)),Constants!$B$11,IF(OR(NOT($AP55),MAX($AL55,$AM55,$AN55)&gt;Constants!$B$30),Constants!$B$10,Constants!$B$9))))</f>
        <v/>
      </c>
      <c r="BJ55" s="100" t="str">
        <f aca="false">IF($BH55&lt;&gt;Constants!$B$4,"",IF(NOT($AJ55),0,MIN(Constants!$B$35,$BC55)))</f>
        <v/>
      </c>
      <c r="BK55" s="100" t="str">
        <f aca="false">IF($BH55&lt;&gt;Constants!$B$4,"",IF(NOT($AJ55),0,IF($AT55,Constants!$B$18,IF($AS55,Constants!$B$17,0))))</f>
        <v/>
      </c>
      <c r="BL55" s="100" t="str">
        <f aca="false">IF($BH55&lt;&gt;Constants!$B$4,"",IF(NOT($AJ55),0,Constants!$B$19*($AI55+$AU55+$AV55+$AW55)))</f>
        <v/>
      </c>
      <c r="BM55" s="100" t="str">
        <f aca="false">IF($BH55&lt;&gt;Constants!$B$4,"",IF(OR(NOT($AJ55),NOT(ISNUMBER($AX55))),0,CHOOSE($AX55,Constants!$B$13,Constants!$B$14,Constants!$B$15,Constants!$B$16)))</f>
        <v/>
      </c>
      <c r="BN55" s="100" t="str">
        <f aca="false">IF($BH55&lt;&gt;Constants!$B$4,"",IF(NOT($AJ55),0,Constants!$B$20*$AY55))</f>
        <v/>
      </c>
      <c r="BO55" s="100" t="str">
        <f aca="false">IF($BH55&lt;&gt;Constants!$B$4,"",IF(AND($AJ55,$BA55,$BB55),Constants!$B$22,0))</f>
        <v/>
      </c>
      <c r="BP55" s="100" t="str">
        <f aca="false">IF($BH55&lt;&gt;Constants!$B$4,"",IF(OR(NOT($AJ55),NOT($BA55)),0,IF($BF55&gt;=2*$AF$9,0,Constants!$B$23*INT(ROUND(MIN($BF55,$AF$9),6)))))</f>
        <v/>
      </c>
      <c r="BQ55" s="100" t="str">
        <f aca="false">IF($BH55&lt;&gt;Constants!$B$4,"",IF(NOT($AJ55),0,Constants!$B$24*INT(ROUND(MIN($AZ55,$AF$9),6))))</f>
        <v/>
      </c>
      <c r="BR55" s="100" t="str">
        <f aca="false">IF($BH55&lt;&gt;Constants!$B$4,"",IF(AND($AJ55,$BJ55=0),Constants!$B$25,0))</f>
        <v/>
      </c>
      <c r="BS55" s="100" t="str">
        <f aca="false">IF($BH55&lt;&gt;Constants!$B$4,"",MIN(Constants!$B$29,MAX(0,Constants!$B$27*Constants!$B$28*INT(ROUND((Constants!$B$26-$AL55)/Constants!$B$28,6))))+MIN(Constants!$B$29,MAX(0,Constants!$B$27*Constants!$B$28*INT(ROUND((Constants!$B$26-$AM55)/Constants!$B$28,6))))+MIN(Constants!$B$29,MAX(0,Constants!$B$27*Constants!$B$28*INT(ROUND((Constants!$B$26-$AN55)/Constants!$B$28,6)))))</f>
        <v/>
      </c>
      <c r="BT55" s="100" t="str">
        <f aca="false">IF($BH55&lt;&gt;Constants!$B$4,"",IF(NOT($AJ55),0,Constants!$B$31*INT(ROUND(MAX(0,MIN($BF55,2*$AF$9)-$AF$9),6))))</f>
        <v/>
      </c>
      <c r="BU55" s="100" t="str">
        <f aca="false">IF($BH55&lt;&gt;Constants!$B$4,"",Constants!$B$32*(($AL55&gt;Constants!$B$26)+($AM55&gt;Constants!$B$26)+($AN55&gt;Constants!$B$26)))</f>
        <v/>
      </c>
      <c r="BV55" s="100" t="str">
        <f aca="false">IF($BH55&lt;&gt;Constants!$B$4,"",IF(OR(NOT($AJ55),$AO55),0,Constants!$B$33))</f>
        <v/>
      </c>
      <c r="BW55" s="100" t="str">
        <f aca="false">IF($BH55&lt;&gt;Constants!$B$4,"",Constants!$B$34*$BJ55)</f>
        <v/>
      </c>
      <c r="BX55" s="100" t="str">
        <f aca="false">IF($BH55&lt;&gt;Constants!$B$4,"",IF(OR(NOT($AJ55),$BE55),0,Constants!$B$36))</f>
        <v/>
      </c>
      <c r="BY55" s="100" t="str">
        <f aca="false">IF($BH55&lt;&gt;Constants!$B$4,"",IF(OR(NOT($AJ55),$BD55),0,Constants!$B$37))</f>
        <v/>
      </c>
      <c r="BZ55" s="100" t="str">
        <f aca="false">IF($BH55&lt;&gt;Constants!$B$4,"",SUM($BT55:$BY55))</f>
        <v/>
      </c>
      <c r="CA55" s="100" t="str">
        <f aca="false">IF(ISBLANK($C55),"",IF($BH55&lt;&gt;Constants!$B$4,$BH55,SUM($BK55:$BS55)-$BZ55))</f>
        <v/>
      </c>
      <c r="CB55" s="100" t="str">
        <f aca="false">IF(ISBLANK($C55),"",IF($BH55&lt;&gt;Constants!$B$4,$BH55,RANK($CA55,$CA$9:$CA$508)))</f>
        <v/>
      </c>
      <c r="CC55" s="100" t="str">
        <f aca="false">IF(ISBLANK($C55),"",IF($BH55&lt;&gt;Constants!$B$4,$BH55,COUNTIFS($BI$9:$BI$508,"&lt;"&amp;$BI55)+COUNTIFS($BI$9:$BI$508,$BI55,$CB$9:$CB$508,"&lt;"&amp;$CB55)+1))</f>
        <v/>
      </c>
      <c r="CD55" s="100" t="str">
        <f aca="false">IF(ISBLANK($C55),"",IF($BH55&lt;&gt;Constants!$B$4,$BH55,RANK($BZ55,$BZ$9:$BZ$508,1)))</f>
        <v/>
      </c>
      <c r="CE55" s="100" t="str">
        <f aca="false">IF($BH55&lt;&gt;Constants!$B$4,"",$AL55+$AM55+$AN55)</f>
        <v/>
      </c>
      <c r="CF55" s="100" t="str">
        <f aca="false">IF(ISBLANK($C55),"",IF($BH55&lt;&gt;Constants!$B$4,$BH55,RANK($CE55,$CE$9:$CE$508,1)))</f>
        <v/>
      </c>
      <c r="CG55" s="100" t="str">
        <f aca="false">IF(ISBLANK($C55),"",IF($BH55&lt;&gt;Constants!$B$4,$BH55,COUNTIFS($BI$9:$BI$508,"&lt;"&amp;$BI55)+COUNTIFS($BI$9:$BI$508,$BI55,$CB$9:$CB$508,"&lt;"&amp;$CB55)+COUNTIFS($BI$9:$BI$508,$BI55,$CB$9:$CB$508,$CB55,$CD$9:$CD$508,"&lt;"&amp;$CD55)+COUNTIFS($BI$9:$BI$508,$BI55,$CB$9:$CB$508,$CB55,$CD$9:$CD$508,$CD55,$CF$9:$CF$508,"&lt;"&amp;$CF55)+1))</f>
        <v/>
      </c>
      <c r="CH55" s="100" t="str">
        <f aca="false">IF(ISBLANK($C55),"",IF($BH55&lt;&gt;Constants!$B$4,$BH55,$CC55-$CG55))</f>
        <v/>
      </c>
      <c r="CI55" s="100" t="str">
        <f aca="false">IF(ISBLANK($C55),"",IF(NOT($AJ55),"",IF(ISBLANK($D$7),$CI$5,IF(NOT(ISNUMBER($D$7)),$CI$6,""))))</f>
        <v/>
      </c>
      <c r="CJ55" s="100" t="str">
        <f aca="false">IF(ISBLANK($C55),"",OR($AL55="",$AM55="",$AN55=""))</f>
        <v/>
      </c>
      <c r="CK55" s="100" t="str">
        <f aca="false">IF(ISBLANK($C55),"",AND($AJ55,$AX55=""))</f>
        <v/>
      </c>
      <c r="CL55" s="100" t="str">
        <f aca="false">IF(ISBLANK($C55),"",AND($AJ55,$AY55=""))</f>
        <v/>
      </c>
      <c r="CM55" s="100" t="str">
        <f aca="false">IF(ISBLANK($C55),"",AND($AJ55,$AZ55=""))</f>
        <v/>
      </c>
      <c r="CN55" s="100" t="str">
        <f aca="false">IF(ISBLANK($C55),"",AND($AJ55,$BC55=""))</f>
        <v/>
      </c>
      <c r="CO55" s="100" t="str">
        <f aca="false">IF(ISBLANK($C55),"",AND($AJ55,$BF55=""))</f>
        <v/>
      </c>
      <c r="CP55" s="101"/>
      <c r="CQ55" s="102"/>
      <c r="CR55" s="103" t="str">
        <f aca="false">IF(ISBLANK($C55),"",IF($BH55=Constants!$B$8,$CI55,""))</f>
        <v/>
      </c>
      <c r="CS55" s="102" t="str">
        <f aca="false">IF(ISBLANK($C55),"",IF($BH55&lt;&gt;Constants!$B$4,"",$BK55+$BL55))</f>
        <v/>
      </c>
      <c r="CT55" s="104" t="str">
        <f aca="false">IF(ISBLANK($C55),"",IF($BH55&lt;&gt;Constants!$B$4,"",$BM55+$BN55+$BO55))</f>
        <v/>
      </c>
      <c r="CU55" s="104" t="str">
        <f aca="false">IF(ISBLANK($C55),"",IF($BH55&lt;&gt;Constants!$B$4,"",$BP55))</f>
        <v/>
      </c>
      <c r="CV55" s="104" t="str">
        <f aca="false">IF(ISBLANK($C55),"",IF($BH55&lt;&gt;Constants!$B$4,"",$BQ55+$BR55))</f>
        <v/>
      </c>
      <c r="CW55" s="104" t="str">
        <f aca="false">IF(ISBLANK($C55),"",IF($BH55&lt;&gt;Constants!$B$4,"",$BS55))</f>
        <v/>
      </c>
      <c r="CX55" s="104" t="str">
        <f aca="false">IF(ISBLANK($C55),"",IF($BH55&lt;&gt;Constants!$B$4,"",-$BZ55))</f>
        <v/>
      </c>
      <c r="CY55" s="103" t="str">
        <f aca="false">IF(ISBLANK($C55),"",$CA55)</f>
        <v/>
      </c>
      <c r="CZ55" s="105" t="str">
        <f aca="false">IF(ISBLANK($C55),"",$BI55)</f>
        <v/>
      </c>
      <c r="DA55" s="104" t="str">
        <f aca="false">IF(ISBLANK($C55),"",$CH55)</f>
        <v/>
      </c>
      <c r="DB55" s="104" t="str">
        <f aca="false">IF(ISBLANK($C55),"",$CG55)</f>
        <v/>
      </c>
      <c r="DC55" s="106" t="str">
        <f aca="false">IF(ISBLANK($C55),"",IFERROR(_xlfn.SWITCH($DB55,Constants!$B$7,COUNTA($C$9:$C$508)+2,Constants!$B$6,COUNTA($C$9:$C$508)+1,Constants!$B$5,COUNTA($C$9:$C$508)),$DB55))</f>
        <v/>
      </c>
      <c r="DD55" s="7"/>
      <c r="DE55" s="107" t="n">
        <f aca="false">IF(OR(ISNUMBER($DB55),$DB55=Constants!$B$7,$DB55=Constants!$B$5,$DB55=Constants!$B$6),1,0)</f>
        <v>0</v>
      </c>
      <c r="DF55" s="107" t="n">
        <v>47</v>
      </c>
      <c r="DG55" s="107" t="str">
        <f aca="false">IF(ISBLANK($C55),"",IF(ISNUMBER($DC55),$DC55+ROW($B55)/1000,""))</f>
        <v/>
      </c>
      <c r="DH55" s="107" t="str">
        <f aca="false">IF(ISNUMBER($DG55),RANK($DG55,$DG$9:$DG$508,1),"")</f>
        <v/>
      </c>
      <c r="DI55" s="107" t="str">
        <f aca="false">IF(ISBLANK($C55),"",$B55)</f>
        <v/>
      </c>
      <c r="DJ55" s="107" t="str">
        <f aca="false">IF(ISBLANK($C55),"",$C55)</f>
        <v/>
      </c>
      <c r="DK55" s="107" t="str">
        <f aca="false">IF(ISBLANK($C55),"",$D55)</f>
        <v/>
      </c>
      <c r="DL55" s="108" t="str">
        <f aca="false">$CZ55</f>
        <v/>
      </c>
      <c r="DM55" s="109" t="str">
        <f aca="false">$CY55</f>
        <v/>
      </c>
      <c r="DN55" s="107" t="str">
        <f aca="false">IF(ISBLANK($C55),"",$DB55)</f>
        <v/>
      </c>
      <c r="DO55" s="110" t="str">
        <f aca="false">IF($DF55&gt;$DE$8,"",VLOOKUP($DF55,$DH$9:$DN$508,7,FALSE()))</f>
        <v/>
      </c>
      <c r="DP55" s="111" t="str">
        <f aca="false">IF($DF55&gt;$DE$8,"",VLOOKUP($DF55,$DH$9:$DN$508,2,FALSE()))</f>
        <v/>
      </c>
      <c r="DQ55" s="111" t="str">
        <f aca="false">IF($DF55&gt;$DE$8,"",VLOOKUP($DF55,$DH$9:$DN$508,3,FALSE()))</f>
        <v/>
      </c>
      <c r="DR55" s="111" t="str">
        <f aca="false">IF($DF55&gt;$DE$8,"",VLOOKUP($DF55,$DH$9:$DN$508,4,FALSE()))</f>
        <v/>
      </c>
      <c r="DS55" s="111" t="str">
        <f aca="false">IF($DF55&gt;$DE$8,"",VLOOKUP($DF55,$DH$9:$DN$508,5,FALSE()))</f>
        <v/>
      </c>
      <c r="DT55" s="112" t="str">
        <f aca="false">IF($DF55&gt;$DE$8,"",VLOOKUP($DF55,$DH$9:$DN$508,6,FALSE()))</f>
        <v/>
      </c>
      <c r="DU55" s="62"/>
    </row>
    <row r="56" customFormat="false" ht="15.75" hidden="false" customHeight="false" outlineLevel="0" collapsed="false">
      <c r="A56" s="7"/>
      <c r="B56" s="90"/>
      <c r="C56" s="91"/>
      <c r="D56" s="126"/>
      <c r="E56" s="130"/>
      <c r="F56" s="135"/>
      <c r="G56" s="130"/>
      <c r="H56" s="135"/>
      <c r="I56" s="95"/>
      <c r="J56" s="95"/>
      <c r="K56" s="95"/>
      <c r="L56" s="130"/>
      <c r="M56" s="130"/>
      <c r="N56" s="130"/>
      <c r="O56" s="135"/>
      <c r="P56" s="130"/>
      <c r="Q56" s="130"/>
      <c r="R56" s="130"/>
      <c r="S56" s="130"/>
      <c r="T56" s="135"/>
      <c r="U56" s="130"/>
      <c r="V56" s="96"/>
      <c r="W56" s="130"/>
      <c r="X56" s="130"/>
      <c r="Y56" s="96"/>
      <c r="Z56" s="96"/>
      <c r="AA56" s="130"/>
      <c r="AB56" s="130"/>
      <c r="AC56" s="97"/>
      <c r="AD56" s="130"/>
      <c r="AE56" s="99"/>
      <c r="AF56" s="100"/>
      <c r="AG56" s="100"/>
      <c r="AH56" s="100" t="str">
        <f aca="false">IF(ISBLANK($C56),"",IF($E56=Constants!$B$2,TRUE(),IF($E56=Constants!$B$3,FALSE(),TRUE())))</f>
        <v/>
      </c>
      <c r="AI56" s="100" t="str">
        <f aca="false">IF(ISBLANK($C56),"",IF($F56=Constants!$B$2,TRUE(),IF($F56=Constants!$B$3,FALSE(),FALSE())))</f>
        <v/>
      </c>
      <c r="AJ56" s="100" t="str">
        <f aca="false">IF(ISBLANK($C56),"",IF($G56=Constants!$B$2,TRUE(),IF($G56=Constants!$B$3,FALSE(),TRUE())))</f>
        <v/>
      </c>
      <c r="AK56" s="100" t="str">
        <f aca="false">IF(ISBLANK($C56),"",IF($H56=Constants!$B$2,TRUE(),IF($H56=Constants!$B$3,FALSE(),TRUE())))</f>
        <v/>
      </c>
      <c r="AL56" s="100" t="str">
        <f aca="false">IF(ISBLANK($C56),"",IF(ISNUMBER($I56),IF($I56&gt;=0,$I56,""),""))</f>
        <v/>
      </c>
      <c r="AM56" s="100" t="str">
        <f aca="false">IF(ISBLANK($C56),"",IF(ISNUMBER($J56),IF($J56&gt;=0,$J56,""),""))</f>
        <v/>
      </c>
      <c r="AN56" s="100" t="str">
        <f aca="false">IF(ISBLANK($C56),"",IF(ISNUMBER($K56),IF($K56&gt;=0,$K56,""),""))</f>
        <v/>
      </c>
      <c r="AO56" s="100" t="str">
        <f aca="false">IF(ISBLANK($C56),"",IF($L56=Constants!$B$2,TRUE(),IF($L56=Constants!$B$3,FALSE(),TRUE())))</f>
        <v/>
      </c>
      <c r="AP56" s="100" t="str">
        <f aca="false">IF(ISBLANK($C56),"",IF($M56=Constants!$B$2,TRUE(),IF($M56=Constants!$B$3,FALSE(),TRUE())))</f>
        <v/>
      </c>
      <c r="AQ56" s="100" t="str">
        <f aca="false">IF(ISBLANK($C56),"",IF($N56=Constants!$B$2,TRUE(),IF($N56=Constants!$B$3,FALSE(),FALSE())))</f>
        <v/>
      </c>
      <c r="AR56" s="100" t="str">
        <f aca="false">IF(ISBLANK($C56),"",IF($O56=Constants!$B$2,TRUE(),IF($O56=Constants!$B$3,FALSE(),TRUE())))</f>
        <v/>
      </c>
      <c r="AS56" s="100" t="str">
        <f aca="false">IF(ISBLANK($C56),"",IF($P56=Constants!$B$2,TRUE(),IF($P56=Constants!$B$3,FALSE(),FALSE())))</f>
        <v/>
      </c>
      <c r="AT56" s="100" t="str">
        <f aca="false">IF(ISBLANK($C56),"",IF($Q56=Constants!$B$2,TRUE(),IF($Q56=Constants!$B$3,FALSE(),FALSE())))</f>
        <v/>
      </c>
      <c r="AU56" s="100" t="str">
        <f aca="false">IF(ISBLANK($C56),"",IF($R56=Constants!$B$2,TRUE(),IF($R56=Constants!$B$3,FALSE(),FALSE())))</f>
        <v/>
      </c>
      <c r="AV56" s="100" t="str">
        <f aca="false">IF(ISBLANK($C56),"",IF($S56=Constants!$B$2,TRUE(),IF($S56=Constants!$B$3,FALSE(),FALSE())))</f>
        <v/>
      </c>
      <c r="AW56" s="100" t="str">
        <f aca="false">IF(ISBLANK($C56),"",IF($T56=Constants!$B$2,TRUE(),IF($T56=Constants!$B$3,FALSE(),FALSE())))</f>
        <v/>
      </c>
      <c r="AX56" s="100" t="str">
        <f aca="false">IF(ISBLANK($C56),"",IF(OR($U56&amp;""="1",$U56&amp;""="2",$U56&amp;""="3",$U56&amp;""="4"),VALUE($U56&amp;""),IF($U56=Constants!$B$12,Constants!$B$12,"")))</f>
        <v/>
      </c>
      <c r="AY56" s="100" t="str">
        <f aca="false">IF(ISBLANK($C56),"",IF(ISBLANK($V56),0,IF(ISNUMBER($V56),IF(AND($V56&gt;=0,$V56&lt;=Constants!$B$21,$V56=INT($V56)),$V56,""),"")))</f>
        <v/>
      </c>
      <c r="AZ56" s="100" t="str">
        <f aca="false">IF(ISBLANK($C56),"",IF(ISBLANK($W56),0,IF(ISNUMBER($W56),IF($W56&gt;=0,$W56,""),"")))</f>
        <v/>
      </c>
      <c r="BA56" s="100" t="str">
        <f aca="false">IF(ISBLANK($C56),"",IF($X56=Constants!$B$2,TRUE(),IF($X56=Constants!$B$3,FALSE(),TRUE())))</f>
        <v/>
      </c>
      <c r="BB56" s="100" t="str">
        <f aca="false">IF(ISBLANK($C56),"",IF($Y56=Constants!$B$2,TRUE(),IF($Y56=Constants!$B$3,FALSE(),FALSE())))</f>
        <v/>
      </c>
      <c r="BC56" s="100" t="str">
        <f aca="false">IF(ISBLANK($C56),"",IF(ISBLANK($Z56),0,IF(ISNUMBER($Z56),IF(AND($Z56&gt;=0,$Z56&lt;=Constants!$B$35,$Z56=INT($Z56)),$Z56,""),"")))</f>
        <v/>
      </c>
      <c r="BD56" s="100" t="str">
        <f aca="false">IF(ISBLANK($C56),"",IF($AA56=Constants!$B$2,TRUE(),IF($AA56=Constants!$B$3,FALSE(),TRUE())))</f>
        <v/>
      </c>
      <c r="BE56" s="100" t="str">
        <f aca="false">IF(ISBLANK($C56),"",IF($AB56=Constants!$B$2,TRUE(),IF($AB56=Constants!$B$3,FALSE(),TRUE())))</f>
        <v/>
      </c>
      <c r="BF56" s="100" t="str">
        <f aca="false">IF(ISBLANK($C56),"",IF(ISNUMBER($AC56),IF($AC56&gt;=0,$AC56,""),""))</f>
        <v/>
      </c>
      <c r="BG56" s="100" t="str">
        <f aca="false">IF(ISBLANK($C56),"",IF($AD56=Constants!$B$2,TRUE(),IF($AD56=Constants!$B$3,FALSE(),FALSE())))</f>
        <v/>
      </c>
      <c r="BH56" s="99" t="str">
        <f aca="false">IF(ISBLANK($C56),"",IF($BG56,Constants!$B$7,IF(COUNTA($E56:$AC56)=0,Constants!$B$6,IF(OR(COUNTA($G56:$AC56)=0,NOT($AK56),$AQ56),Constants!$B$5,IF(OR($CI56&lt;&gt;"",$CJ56,$CK56,$CL56,$CM56,$CN56,$CO56),Constants!$B$8,Constants!$B$4)))))</f>
        <v/>
      </c>
      <c r="BI56" s="100" t="str">
        <f aca="false">IF(ISBLANK($C56),"",IF($BH56&lt;&gt;Constants!$B$4,$BH56,IF(OR(NOT($AH56),NOT($AJ56),NOT($AR56)),Constants!$B$11,IF(OR(NOT($AP56),MAX($AL56,$AM56,$AN56)&gt;Constants!$B$30),Constants!$B$10,Constants!$B$9))))</f>
        <v/>
      </c>
      <c r="BJ56" s="100" t="str">
        <f aca="false">IF($BH56&lt;&gt;Constants!$B$4,"",IF(NOT($AJ56),0,MIN(Constants!$B$35,$BC56)))</f>
        <v/>
      </c>
      <c r="BK56" s="100" t="str">
        <f aca="false">IF($BH56&lt;&gt;Constants!$B$4,"",IF(NOT($AJ56),0,IF($AT56,Constants!$B$18,IF($AS56,Constants!$B$17,0))))</f>
        <v/>
      </c>
      <c r="BL56" s="100" t="str">
        <f aca="false">IF($BH56&lt;&gt;Constants!$B$4,"",IF(NOT($AJ56),0,Constants!$B$19*($AI56+$AU56+$AV56+$AW56)))</f>
        <v/>
      </c>
      <c r="BM56" s="100" t="str">
        <f aca="false">IF($BH56&lt;&gt;Constants!$B$4,"",IF(OR(NOT($AJ56),NOT(ISNUMBER($AX56))),0,CHOOSE($AX56,Constants!$B$13,Constants!$B$14,Constants!$B$15,Constants!$B$16)))</f>
        <v/>
      </c>
      <c r="BN56" s="100" t="str">
        <f aca="false">IF($BH56&lt;&gt;Constants!$B$4,"",IF(NOT($AJ56),0,Constants!$B$20*$AY56))</f>
        <v/>
      </c>
      <c r="BO56" s="100" t="str">
        <f aca="false">IF($BH56&lt;&gt;Constants!$B$4,"",IF(AND($AJ56,$BA56,$BB56),Constants!$B$22,0))</f>
        <v/>
      </c>
      <c r="BP56" s="100" t="str">
        <f aca="false">IF($BH56&lt;&gt;Constants!$B$4,"",IF(OR(NOT($AJ56),NOT($BA56)),0,IF($BF56&gt;=2*$AF$9,0,Constants!$B$23*INT(ROUND(MIN($BF56,$AF$9),6)))))</f>
        <v/>
      </c>
      <c r="BQ56" s="100" t="str">
        <f aca="false">IF($BH56&lt;&gt;Constants!$B$4,"",IF(NOT($AJ56),0,Constants!$B$24*INT(ROUND(MIN($AZ56,$AF$9),6))))</f>
        <v/>
      </c>
      <c r="BR56" s="100" t="str">
        <f aca="false">IF($BH56&lt;&gt;Constants!$B$4,"",IF(AND($AJ56,$BJ56=0),Constants!$B$25,0))</f>
        <v/>
      </c>
      <c r="BS56" s="100" t="str">
        <f aca="false">IF($BH56&lt;&gt;Constants!$B$4,"",MIN(Constants!$B$29,MAX(0,Constants!$B$27*Constants!$B$28*INT(ROUND((Constants!$B$26-$AL56)/Constants!$B$28,6))))+MIN(Constants!$B$29,MAX(0,Constants!$B$27*Constants!$B$28*INT(ROUND((Constants!$B$26-$AM56)/Constants!$B$28,6))))+MIN(Constants!$B$29,MAX(0,Constants!$B$27*Constants!$B$28*INT(ROUND((Constants!$B$26-$AN56)/Constants!$B$28,6)))))</f>
        <v/>
      </c>
      <c r="BT56" s="100" t="str">
        <f aca="false">IF($BH56&lt;&gt;Constants!$B$4,"",IF(NOT($AJ56),0,Constants!$B$31*INT(ROUND(MAX(0,MIN($BF56,2*$AF$9)-$AF$9),6))))</f>
        <v/>
      </c>
      <c r="BU56" s="100" t="str">
        <f aca="false">IF($BH56&lt;&gt;Constants!$B$4,"",Constants!$B$32*(($AL56&gt;Constants!$B$26)+($AM56&gt;Constants!$B$26)+($AN56&gt;Constants!$B$26)))</f>
        <v/>
      </c>
      <c r="BV56" s="100" t="str">
        <f aca="false">IF($BH56&lt;&gt;Constants!$B$4,"",IF(OR(NOT($AJ56),$AO56),0,Constants!$B$33))</f>
        <v/>
      </c>
      <c r="BW56" s="100" t="str">
        <f aca="false">IF($BH56&lt;&gt;Constants!$B$4,"",Constants!$B$34*$BJ56)</f>
        <v/>
      </c>
      <c r="BX56" s="100" t="str">
        <f aca="false">IF($BH56&lt;&gt;Constants!$B$4,"",IF(OR(NOT($AJ56),$BE56),0,Constants!$B$36))</f>
        <v/>
      </c>
      <c r="BY56" s="100" t="str">
        <f aca="false">IF($BH56&lt;&gt;Constants!$B$4,"",IF(OR(NOT($AJ56),$BD56),0,Constants!$B$37))</f>
        <v/>
      </c>
      <c r="BZ56" s="100" t="str">
        <f aca="false">IF($BH56&lt;&gt;Constants!$B$4,"",SUM($BT56:$BY56))</f>
        <v/>
      </c>
      <c r="CA56" s="100" t="str">
        <f aca="false">IF(ISBLANK($C56),"",IF($BH56&lt;&gt;Constants!$B$4,$BH56,SUM($BK56:$BS56)-$BZ56))</f>
        <v/>
      </c>
      <c r="CB56" s="100" t="str">
        <f aca="false">IF(ISBLANK($C56),"",IF($BH56&lt;&gt;Constants!$B$4,$BH56,RANK($CA56,$CA$9:$CA$508)))</f>
        <v/>
      </c>
      <c r="CC56" s="100" t="str">
        <f aca="false">IF(ISBLANK($C56),"",IF($BH56&lt;&gt;Constants!$B$4,$BH56,COUNTIFS($BI$9:$BI$508,"&lt;"&amp;$BI56)+COUNTIFS($BI$9:$BI$508,$BI56,$CB$9:$CB$508,"&lt;"&amp;$CB56)+1))</f>
        <v/>
      </c>
      <c r="CD56" s="100" t="str">
        <f aca="false">IF(ISBLANK($C56),"",IF($BH56&lt;&gt;Constants!$B$4,$BH56,RANK($BZ56,$BZ$9:$BZ$508,1)))</f>
        <v/>
      </c>
      <c r="CE56" s="100" t="str">
        <f aca="false">IF($BH56&lt;&gt;Constants!$B$4,"",$AL56+$AM56+$AN56)</f>
        <v/>
      </c>
      <c r="CF56" s="100" t="str">
        <f aca="false">IF(ISBLANK($C56),"",IF($BH56&lt;&gt;Constants!$B$4,$BH56,RANK($CE56,$CE$9:$CE$508,1)))</f>
        <v/>
      </c>
      <c r="CG56" s="100" t="str">
        <f aca="false">IF(ISBLANK($C56),"",IF($BH56&lt;&gt;Constants!$B$4,$BH56,COUNTIFS($BI$9:$BI$508,"&lt;"&amp;$BI56)+COUNTIFS($BI$9:$BI$508,$BI56,$CB$9:$CB$508,"&lt;"&amp;$CB56)+COUNTIFS($BI$9:$BI$508,$BI56,$CB$9:$CB$508,$CB56,$CD$9:$CD$508,"&lt;"&amp;$CD56)+COUNTIFS($BI$9:$BI$508,$BI56,$CB$9:$CB$508,$CB56,$CD$9:$CD$508,$CD56,$CF$9:$CF$508,"&lt;"&amp;$CF56)+1))</f>
        <v/>
      </c>
      <c r="CH56" s="100" t="str">
        <f aca="false">IF(ISBLANK($C56),"",IF($BH56&lt;&gt;Constants!$B$4,$BH56,$CC56-$CG56))</f>
        <v/>
      </c>
      <c r="CI56" s="100" t="str">
        <f aca="false">IF(ISBLANK($C56),"",IF(NOT($AJ56),"",IF(ISBLANK($D$7),$CI$5,IF(NOT(ISNUMBER($D$7)),$CI$6,""))))</f>
        <v/>
      </c>
      <c r="CJ56" s="100" t="str">
        <f aca="false">IF(ISBLANK($C56),"",OR($AL56="",$AM56="",$AN56=""))</f>
        <v/>
      </c>
      <c r="CK56" s="100" t="str">
        <f aca="false">IF(ISBLANK($C56),"",AND($AJ56,$AX56=""))</f>
        <v/>
      </c>
      <c r="CL56" s="100" t="str">
        <f aca="false">IF(ISBLANK($C56),"",AND($AJ56,$AY56=""))</f>
        <v/>
      </c>
      <c r="CM56" s="100" t="str">
        <f aca="false">IF(ISBLANK($C56),"",AND($AJ56,$AZ56=""))</f>
        <v/>
      </c>
      <c r="CN56" s="100" t="str">
        <f aca="false">IF(ISBLANK($C56),"",AND($AJ56,$BC56=""))</f>
        <v/>
      </c>
      <c r="CO56" s="100" t="str">
        <f aca="false">IF(ISBLANK($C56),"",AND($AJ56,$BF56=""))</f>
        <v/>
      </c>
      <c r="CP56" s="101"/>
      <c r="CQ56" s="102"/>
      <c r="CR56" s="103" t="str">
        <f aca="false">IF(ISBLANK($C56),"",IF($BH56=Constants!$B$8,$CI56,""))</f>
        <v/>
      </c>
      <c r="CS56" s="102" t="str">
        <f aca="false">IF(ISBLANK($C56),"",IF($BH56&lt;&gt;Constants!$B$4,"",$BK56+$BL56))</f>
        <v/>
      </c>
      <c r="CT56" s="104" t="str">
        <f aca="false">IF(ISBLANK($C56),"",IF($BH56&lt;&gt;Constants!$B$4,"",$BM56+$BN56+$BO56))</f>
        <v/>
      </c>
      <c r="CU56" s="104" t="str">
        <f aca="false">IF(ISBLANK($C56),"",IF($BH56&lt;&gt;Constants!$B$4,"",$BP56))</f>
        <v/>
      </c>
      <c r="CV56" s="104" t="str">
        <f aca="false">IF(ISBLANK($C56),"",IF($BH56&lt;&gt;Constants!$B$4,"",$BQ56+$BR56))</f>
        <v/>
      </c>
      <c r="CW56" s="104" t="str">
        <f aca="false">IF(ISBLANK($C56),"",IF($BH56&lt;&gt;Constants!$B$4,"",$BS56))</f>
        <v/>
      </c>
      <c r="CX56" s="104" t="str">
        <f aca="false">IF(ISBLANK($C56),"",IF($BH56&lt;&gt;Constants!$B$4,"",-$BZ56))</f>
        <v/>
      </c>
      <c r="CY56" s="103" t="str">
        <f aca="false">IF(ISBLANK($C56),"",$CA56)</f>
        <v/>
      </c>
      <c r="CZ56" s="105" t="str">
        <f aca="false">IF(ISBLANK($C56),"",$BI56)</f>
        <v/>
      </c>
      <c r="DA56" s="104" t="str">
        <f aca="false">IF(ISBLANK($C56),"",$CH56)</f>
        <v/>
      </c>
      <c r="DB56" s="104" t="str">
        <f aca="false">IF(ISBLANK($C56),"",$CG56)</f>
        <v/>
      </c>
      <c r="DC56" s="106" t="str">
        <f aca="false">IF(ISBLANK($C56),"",IFERROR(_xlfn.SWITCH($DB56,Constants!$B$7,COUNTA($C$9:$C$508)+2,Constants!$B$6,COUNTA($C$9:$C$508)+1,Constants!$B$5,COUNTA($C$9:$C$508)),$DB56))</f>
        <v/>
      </c>
      <c r="DD56" s="7"/>
      <c r="DE56" s="107" t="n">
        <f aca="false">IF(OR(ISNUMBER($DB56),$DB56=Constants!$B$7,$DB56=Constants!$B$5,$DB56=Constants!$B$6),1,0)</f>
        <v>0</v>
      </c>
      <c r="DF56" s="107" t="n">
        <v>48</v>
      </c>
      <c r="DG56" s="107" t="str">
        <f aca="false">IF(ISBLANK($C56),"",IF(ISNUMBER($DC56),$DC56+ROW($B56)/1000,""))</f>
        <v/>
      </c>
      <c r="DH56" s="107" t="str">
        <f aca="false">IF(ISNUMBER($DG56),RANK($DG56,$DG$9:$DG$508,1),"")</f>
        <v/>
      </c>
      <c r="DI56" s="107" t="str">
        <f aca="false">IF(ISBLANK($C56),"",$B56)</f>
        <v/>
      </c>
      <c r="DJ56" s="107" t="str">
        <f aca="false">IF(ISBLANK($C56),"",$C56)</f>
        <v/>
      </c>
      <c r="DK56" s="107" t="str">
        <f aca="false">IF(ISBLANK($C56),"",$D56)</f>
        <v/>
      </c>
      <c r="DL56" s="108" t="str">
        <f aca="false">$CZ56</f>
        <v/>
      </c>
      <c r="DM56" s="109" t="str">
        <f aca="false">$CY56</f>
        <v/>
      </c>
      <c r="DN56" s="107" t="str">
        <f aca="false">IF(ISBLANK($C56),"",$DB56)</f>
        <v/>
      </c>
      <c r="DO56" s="110" t="str">
        <f aca="false">IF($DF56&gt;$DE$8,"",VLOOKUP($DF56,$DH$9:$DN$508,7,FALSE()))</f>
        <v/>
      </c>
      <c r="DP56" s="111" t="str">
        <f aca="false">IF($DF56&gt;$DE$8,"",VLOOKUP($DF56,$DH$9:$DN$508,2,FALSE()))</f>
        <v/>
      </c>
      <c r="DQ56" s="111" t="str">
        <f aca="false">IF($DF56&gt;$DE$8,"",VLOOKUP($DF56,$DH$9:$DN$508,3,FALSE()))</f>
        <v/>
      </c>
      <c r="DR56" s="111" t="str">
        <f aca="false">IF($DF56&gt;$DE$8,"",VLOOKUP($DF56,$DH$9:$DN$508,4,FALSE()))</f>
        <v/>
      </c>
      <c r="DS56" s="111" t="str">
        <f aca="false">IF($DF56&gt;$DE$8,"",VLOOKUP($DF56,$DH$9:$DN$508,5,FALSE()))</f>
        <v/>
      </c>
      <c r="DT56" s="112" t="str">
        <f aca="false">IF($DF56&gt;$DE$8,"",VLOOKUP($DF56,$DH$9:$DN$508,6,FALSE()))</f>
        <v/>
      </c>
      <c r="DU56" s="62"/>
    </row>
    <row r="57" customFormat="false" ht="15.75" hidden="false" customHeight="false" outlineLevel="0" collapsed="false">
      <c r="A57" s="7"/>
      <c r="B57" s="64"/>
      <c r="C57" s="65"/>
      <c r="D57" s="123"/>
      <c r="E57" s="88"/>
      <c r="F57" s="134"/>
      <c r="G57" s="88"/>
      <c r="H57" s="134"/>
      <c r="I57" s="69"/>
      <c r="J57" s="69"/>
      <c r="K57" s="69"/>
      <c r="L57" s="88"/>
      <c r="M57" s="88"/>
      <c r="N57" s="88"/>
      <c r="O57" s="134"/>
      <c r="P57" s="88"/>
      <c r="Q57" s="88"/>
      <c r="R57" s="88"/>
      <c r="S57" s="88"/>
      <c r="T57" s="134"/>
      <c r="U57" s="88"/>
      <c r="V57" s="70"/>
      <c r="W57" s="88"/>
      <c r="X57" s="88"/>
      <c r="Y57" s="70"/>
      <c r="Z57" s="70"/>
      <c r="AA57" s="88"/>
      <c r="AB57" s="88"/>
      <c r="AC57" s="71"/>
      <c r="AD57" s="88"/>
      <c r="AE57" s="73"/>
      <c r="AF57" s="74"/>
      <c r="AG57" s="74"/>
      <c r="AH57" s="74" t="str">
        <f aca="false">IF(ISBLANK($C57),"",IF($E57=Constants!$B$2,TRUE(),IF($E57=Constants!$B$3,FALSE(),TRUE())))</f>
        <v/>
      </c>
      <c r="AI57" s="74" t="str">
        <f aca="false">IF(ISBLANK($C57),"",IF($F57=Constants!$B$2,TRUE(),IF($F57=Constants!$B$3,FALSE(),FALSE())))</f>
        <v/>
      </c>
      <c r="AJ57" s="74" t="str">
        <f aca="false">IF(ISBLANK($C57),"",IF($G57=Constants!$B$2,TRUE(),IF($G57=Constants!$B$3,FALSE(),TRUE())))</f>
        <v/>
      </c>
      <c r="AK57" s="74" t="str">
        <f aca="false">IF(ISBLANK($C57),"",IF($H57=Constants!$B$2,TRUE(),IF($H57=Constants!$B$3,FALSE(),TRUE())))</f>
        <v/>
      </c>
      <c r="AL57" s="74" t="str">
        <f aca="false">IF(ISBLANK($C57),"",IF(ISNUMBER($I57),IF($I57&gt;=0,$I57,""),""))</f>
        <v/>
      </c>
      <c r="AM57" s="74" t="str">
        <f aca="false">IF(ISBLANK($C57),"",IF(ISNUMBER($J57),IF($J57&gt;=0,$J57,""),""))</f>
        <v/>
      </c>
      <c r="AN57" s="74" t="str">
        <f aca="false">IF(ISBLANK($C57),"",IF(ISNUMBER($K57),IF($K57&gt;=0,$K57,""),""))</f>
        <v/>
      </c>
      <c r="AO57" s="74" t="str">
        <f aca="false">IF(ISBLANK($C57),"",IF($L57=Constants!$B$2,TRUE(),IF($L57=Constants!$B$3,FALSE(),TRUE())))</f>
        <v/>
      </c>
      <c r="AP57" s="74" t="str">
        <f aca="false">IF(ISBLANK($C57),"",IF($M57=Constants!$B$2,TRUE(),IF($M57=Constants!$B$3,FALSE(),TRUE())))</f>
        <v/>
      </c>
      <c r="AQ57" s="74" t="str">
        <f aca="false">IF(ISBLANK($C57),"",IF($N57=Constants!$B$2,TRUE(),IF($N57=Constants!$B$3,FALSE(),FALSE())))</f>
        <v/>
      </c>
      <c r="AR57" s="74" t="str">
        <f aca="false">IF(ISBLANK($C57),"",IF($O57=Constants!$B$2,TRUE(),IF($O57=Constants!$B$3,FALSE(),TRUE())))</f>
        <v/>
      </c>
      <c r="AS57" s="74" t="str">
        <f aca="false">IF(ISBLANK($C57),"",IF($P57=Constants!$B$2,TRUE(),IF($P57=Constants!$B$3,FALSE(),FALSE())))</f>
        <v/>
      </c>
      <c r="AT57" s="74" t="str">
        <f aca="false">IF(ISBLANK($C57),"",IF($Q57=Constants!$B$2,TRUE(),IF($Q57=Constants!$B$3,FALSE(),FALSE())))</f>
        <v/>
      </c>
      <c r="AU57" s="74" t="str">
        <f aca="false">IF(ISBLANK($C57),"",IF($R57=Constants!$B$2,TRUE(),IF($R57=Constants!$B$3,FALSE(),FALSE())))</f>
        <v/>
      </c>
      <c r="AV57" s="74" t="str">
        <f aca="false">IF(ISBLANK($C57),"",IF($S57=Constants!$B$2,TRUE(),IF($S57=Constants!$B$3,FALSE(),FALSE())))</f>
        <v/>
      </c>
      <c r="AW57" s="74" t="str">
        <f aca="false">IF(ISBLANK($C57),"",IF($T57=Constants!$B$2,TRUE(),IF($T57=Constants!$B$3,FALSE(),FALSE())))</f>
        <v/>
      </c>
      <c r="AX57" s="74" t="str">
        <f aca="false">IF(ISBLANK($C57),"",IF(OR($U57&amp;""="1",$U57&amp;""="2",$U57&amp;""="3",$U57&amp;""="4"),VALUE($U57&amp;""),IF($U57=Constants!$B$12,Constants!$B$12,"")))</f>
        <v/>
      </c>
      <c r="AY57" s="74" t="str">
        <f aca="false">IF(ISBLANK($C57),"",IF(ISBLANK($V57),0,IF(ISNUMBER($V57),IF(AND($V57&gt;=0,$V57&lt;=Constants!$B$21,$V57=INT($V57)),$V57,""),"")))</f>
        <v/>
      </c>
      <c r="AZ57" s="74" t="str">
        <f aca="false">IF(ISBLANK($C57),"",IF(ISBLANK($W57),0,IF(ISNUMBER($W57),IF($W57&gt;=0,$W57,""),"")))</f>
        <v/>
      </c>
      <c r="BA57" s="74" t="str">
        <f aca="false">IF(ISBLANK($C57),"",IF($X57=Constants!$B$2,TRUE(),IF($X57=Constants!$B$3,FALSE(),TRUE())))</f>
        <v/>
      </c>
      <c r="BB57" s="74" t="str">
        <f aca="false">IF(ISBLANK($C57),"",IF($Y57=Constants!$B$2,TRUE(),IF($Y57=Constants!$B$3,FALSE(),FALSE())))</f>
        <v/>
      </c>
      <c r="BC57" s="74" t="str">
        <f aca="false">IF(ISBLANK($C57),"",IF(ISBLANK($Z57),0,IF(ISNUMBER($Z57),IF(AND($Z57&gt;=0,$Z57&lt;=Constants!$B$35,$Z57=INT($Z57)),$Z57,""),"")))</f>
        <v/>
      </c>
      <c r="BD57" s="74" t="str">
        <f aca="false">IF(ISBLANK($C57),"",IF($AA57=Constants!$B$2,TRUE(),IF($AA57=Constants!$B$3,FALSE(),TRUE())))</f>
        <v/>
      </c>
      <c r="BE57" s="74" t="str">
        <f aca="false">IF(ISBLANK($C57),"",IF($AB57=Constants!$B$2,TRUE(),IF($AB57=Constants!$B$3,FALSE(),TRUE())))</f>
        <v/>
      </c>
      <c r="BF57" s="74" t="str">
        <f aca="false">IF(ISBLANK($C57),"",IF(ISNUMBER($AC57),IF($AC57&gt;=0,$AC57,""),""))</f>
        <v/>
      </c>
      <c r="BG57" s="74" t="str">
        <f aca="false">IF(ISBLANK($C57),"",IF($AD57=Constants!$B$2,TRUE(),IF($AD57=Constants!$B$3,FALSE(),FALSE())))</f>
        <v/>
      </c>
      <c r="BH57" s="73" t="str">
        <f aca="false">IF(ISBLANK($C57),"",IF($BG57,Constants!$B$7,IF(COUNTA($E57:$AC57)=0,Constants!$B$6,IF(OR(COUNTA($G57:$AC57)=0,NOT($AK57),$AQ57),Constants!$B$5,IF(OR($CI57&lt;&gt;"",$CJ57,$CK57,$CL57,$CM57,$CN57,$CO57),Constants!$B$8,Constants!$B$4)))))</f>
        <v/>
      </c>
      <c r="BI57" s="74" t="str">
        <f aca="false">IF(ISBLANK($C57),"",IF($BH57&lt;&gt;Constants!$B$4,$BH57,IF(OR(NOT($AH57),NOT($AJ57),NOT($AR57)),Constants!$B$11,IF(OR(NOT($AP57),MAX($AL57,$AM57,$AN57)&gt;Constants!$B$30),Constants!$B$10,Constants!$B$9))))</f>
        <v/>
      </c>
      <c r="BJ57" s="74" t="str">
        <f aca="false">IF($BH57&lt;&gt;Constants!$B$4,"",IF(NOT($AJ57),0,MIN(Constants!$B$35,$BC57)))</f>
        <v/>
      </c>
      <c r="BK57" s="74" t="str">
        <f aca="false">IF($BH57&lt;&gt;Constants!$B$4,"",IF(NOT($AJ57),0,IF($AT57,Constants!$B$18,IF($AS57,Constants!$B$17,0))))</f>
        <v/>
      </c>
      <c r="BL57" s="74" t="str">
        <f aca="false">IF($BH57&lt;&gt;Constants!$B$4,"",IF(NOT($AJ57),0,Constants!$B$19*($AI57+$AU57+$AV57+$AW57)))</f>
        <v/>
      </c>
      <c r="BM57" s="74" t="str">
        <f aca="false">IF($BH57&lt;&gt;Constants!$B$4,"",IF(OR(NOT($AJ57),NOT(ISNUMBER($AX57))),0,CHOOSE($AX57,Constants!$B$13,Constants!$B$14,Constants!$B$15,Constants!$B$16)))</f>
        <v/>
      </c>
      <c r="BN57" s="74" t="str">
        <f aca="false">IF($BH57&lt;&gt;Constants!$B$4,"",IF(NOT($AJ57),0,Constants!$B$20*$AY57))</f>
        <v/>
      </c>
      <c r="BO57" s="74" t="str">
        <f aca="false">IF($BH57&lt;&gt;Constants!$B$4,"",IF(AND($AJ57,$BA57,$BB57),Constants!$B$22,0))</f>
        <v/>
      </c>
      <c r="BP57" s="74" t="str">
        <f aca="false">IF($BH57&lt;&gt;Constants!$B$4,"",IF(OR(NOT($AJ57),NOT($BA57)),0,IF($BF57&gt;=2*$AF$9,0,Constants!$B$23*INT(ROUND(MIN($BF57,$AF$9),6)))))</f>
        <v/>
      </c>
      <c r="BQ57" s="74" t="str">
        <f aca="false">IF($BH57&lt;&gt;Constants!$B$4,"",IF(NOT($AJ57),0,Constants!$B$24*INT(ROUND(MIN($AZ57,$AF$9),6))))</f>
        <v/>
      </c>
      <c r="BR57" s="74" t="str">
        <f aca="false">IF($BH57&lt;&gt;Constants!$B$4,"",IF(AND($AJ57,$BJ57=0),Constants!$B$25,0))</f>
        <v/>
      </c>
      <c r="BS57" s="74" t="str">
        <f aca="false">IF($BH57&lt;&gt;Constants!$B$4,"",MIN(Constants!$B$29,MAX(0,Constants!$B$27*Constants!$B$28*INT(ROUND((Constants!$B$26-$AL57)/Constants!$B$28,6))))+MIN(Constants!$B$29,MAX(0,Constants!$B$27*Constants!$B$28*INT(ROUND((Constants!$B$26-$AM57)/Constants!$B$28,6))))+MIN(Constants!$B$29,MAX(0,Constants!$B$27*Constants!$B$28*INT(ROUND((Constants!$B$26-$AN57)/Constants!$B$28,6)))))</f>
        <v/>
      </c>
      <c r="BT57" s="74" t="str">
        <f aca="false">IF($BH57&lt;&gt;Constants!$B$4,"",IF(NOT($AJ57),0,Constants!$B$31*INT(ROUND(MAX(0,MIN($BF57,2*$AF$9)-$AF$9),6))))</f>
        <v/>
      </c>
      <c r="BU57" s="74" t="str">
        <f aca="false">IF($BH57&lt;&gt;Constants!$B$4,"",Constants!$B$32*(($AL57&gt;Constants!$B$26)+($AM57&gt;Constants!$B$26)+($AN57&gt;Constants!$B$26)))</f>
        <v/>
      </c>
      <c r="BV57" s="74" t="str">
        <f aca="false">IF($BH57&lt;&gt;Constants!$B$4,"",IF(OR(NOT($AJ57),$AO57),0,Constants!$B$33))</f>
        <v/>
      </c>
      <c r="BW57" s="74" t="str">
        <f aca="false">IF($BH57&lt;&gt;Constants!$B$4,"",Constants!$B$34*$BJ57)</f>
        <v/>
      </c>
      <c r="BX57" s="74" t="str">
        <f aca="false">IF($BH57&lt;&gt;Constants!$B$4,"",IF(OR(NOT($AJ57),$BE57),0,Constants!$B$36))</f>
        <v/>
      </c>
      <c r="BY57" s="74" t="str">
        <f aca="false">IF($BH57&lt;&gt;Constants!$B$4,"",IF(OR(NOT($AJ57),$BD57),0,Constants!$B$37))</f>
        <v/>
      </c>
      <c r="BZ57" s="74" t="str">
        <f aca="false">IF($BH57&lt;&gt;Constants!$B$4,"",SUM($BT57:$BY57))</f>
        <v/>
      </c>
      <c r="CA57" s="74" t="str">
        <f aca="false">IF(ISBLANK($C57),"",IF($BH57&lt;&gt;Constants!$B$4,$BH57,SUM($BK57:$BS57)-$BZ57))</f>
        <v/>
      </c>
      <c r="CB57" s="74" t="str">
        <f aca="false">IF(ISBLANK($C57),"",IF($BH57&lt;&gt;Constants!$B$4,$BH57,RANK($CA57,$CA$9:$CA$508)))</f>
        <v/>
      </c>
      <c r="CC57" s="74" t="str">
        <f aca="false">IF(ISBLANK($C57),"",IF($BH57&lt;&gt;Constants!$B$4,$BH57,COUNTIFS($BI$9:$BI$508,"&lt;"&amp;$BI57)+COUNTIFS($BI$9:$BI$508,$BI57,$CB$9:$CB$508,"&lt;"&amp;$CB57)+1))</f>
        <v/>
      </c>
      <c r="CD57" s="74" t="str">
        <f aca="false">IF(ISBLANK($C57),"",IF($BH57&lt;&gt;Constants!$B$4,$BH57,RANK($BZ57,$BZ$9:$BZ$508,1)))</f>
        <v/>
      </c>
      <c r="CE57" s="74" t="str">
        <f aca="false">IF($BH57&lt;&gt;Constants!$B$4,"",$AL57+$AM57+$AN57)</f>
        <v/>
      </c>
      <c r="CF57" s="74" t="str">
        <f aca="false">IF(ISBLANK($C57),"",IF($BH57&lt;&gt;Constants!$B$4,$BH57,RANK($CE57,$CE$9:$CE$508,1)))</f>
        <v/>
      </c>
      <c r="CG57" s="74" t="str">
        <f aca="false">IF(ISBLANK($C57),"",IF($BH57&lt;&gt;Constants!$B$4,$BH57,COUNTIFS($BI$9:$BI$508,"&lt;"&amp;$BI57)+COUNTIFS($BI$9:$BI$508,$BI57,$CB$9:$CB$508,"&lt;"&amp;$CB57)+COUNTIFS($BI$9:$BI$508,$BI57,$CB$9:$CB$508,$CB57,$CD$9:$CD$508,"&lt;"&amp;$CD57)+COUNTIFS($BI$9:$BI$508,$BI57,$CB$9:$CB$508,$CB57,$CD$9:$CD$508,$CD57,$CF$9:$CF$508,"&lt;"&amp;$CF57)+1))</f>
        <v/>
      </c>
      <c r="CH57" s="74" t="str">
        <f aca="false">IF(ISBLANK($C57),"",IF($BH57&lt;&gt;Constants!$B$4,$BH57,$CC57-$CG57))</f>
        <v/>
      </c>
      <c r="CI57" s="74" t="str">
        <f aca="false">IF(ISBLANK($C57),"",IF(NOT($AJ57),"",IF(ISBLANK($D$7),$CI$5,IF(NOT(ISNUMBER($D$7)),$CI$6,""))))</f>
        <v/>
      </c>
      <c r="CJ57" s="74" t="str">
        <f aca="false">IF(ISBLANK($C57),"",OR($AL57="",$AM57="",$AN57=""))</f>
        <v/>
      </c>
      <c r="CK57" s="74" t="str">
        <f aca="false">IF(ISBLANK($C57),"",AND($AJ57,$AX57=""))</f>
        <v/>
      </c>
      <c r="CL57" s="74" t="str">
        <f aca="false">IF(ISBLANK($C57),"",AND($AJ57,$AY57=""))</f>
        <v/>
      </c>
      <c r="CM57" s="74" t="str">
        <f aca="false">IF(ISBLANK($C57),"",AND($AJ57,$AZ57=""))</f>
        <v/>
      </c>
      <c r="CN57" s="74" t="str">
        <f aca="false">IF(ISBLANK($C57),"",AND($AJ57,$BC57=""))</f>
        <v/>
      </c>
      <c r="CO57" s="74" t="str">
        <f aca="false">IF(ISBLANK($C57),"",AND($AJ57,$BF57=""))</f>
        <v/>
      </c>
      <c r="CP57" s="75"/>
      <c r="CQ57" s="76"/>
      <c r="CR57" s="79" t="str">
        <f aca="false">IF(ISBLANK($C57),"",IF($BH57=Constants!$B$8,$CI57,""))</f>
        <v/>
      </c>
      <c r="CS57" s="76" t="str">
        <f aca="false">IF(ISBLANK($C57),"",IF($BH57&lt;&gt;Constants!$B$4,"",$BK57+$BL57))</f>
        <v/>
      </c>
      <c r="CT57" s="78" t="str">
        <f aca="false">IF(ISBLANK($C57),"",IF($BH57&lt;&gt;Constants!$B$4,"",$BM57+$BN57+$BO57))</f>
        <v/>
      </c>
      <c r="CU57" s="78" t="str">
        <f aca="false">IF(ISBLANK($C57),"",IF($BH57&lt;&gt;Constants!$B$4,"",$BP57))</f>
        <v/>
      </c>
      <c r="CV57" s="78" t="str">
        <f aca="false">IF(ISBLANK($C57),"",IF($BH57&lt;&gt;Constants!$B$4,"",$BQ57+$BR57))</f>
        <v/>
      </c>
      <c r="CW57" s="78" t="str">
        <f aca="false">IF(ISBLANK($C57),"",IF($BH57&lt;&gt;Constants!$B$4,"",$BS57))</f>
        <v/>
      </c>
      <c r="CX57" s="78" t="str">
        <f aca="false">IF(ISBLANK($C57),"",IF($BH57&lt;&gt;Constants!$B$4,"",-$BZ57))</f>
        <v/>
      </c>
      <c r="CY57" s="79" t="str">
        <f aca="false">IF(ISBLANK($C57),"",$CA57)</f>
        <v/>
      </c>
      <c r="CZ57" s="80" t="str">
        <f aca="false">IF(ISBLANK($C57),"",$BI57)</f>
        <v/>
      </c>
      <c r="DA57" s="78" t="str">
        <f aca="false">IF(ISBLANK($C57),"",$CH57)</f>
        <v/>
      </c>
      <c r="DB57" s="78" t="str">
        <f aca="false">IF(ISBLANK($C57),"",$CG57)</f>
        <v/>
      </c>
      <c r="DC57" s="81" t="str">
        <f aca="false">IF(ISBLANK($C57),"",IFERROR(_xlfn.SWITCH($DB57,Constants!$B$7,COUNTA($C$9:$C$508)+2,Constants!$B$6,COUNTA($C$9:$C$508)+1,Constants!$B$5,COUNTA($C$9:$C$508)),$DB57))</f>
        <v/>
      </c>
      <c r="DD57" s="7"/>
      <c r="DE57" s="82" t="n">
        <f aca="false">IF(OR(ISNUMBER($DB57),$DB57=Constants!$B$7,$DB57=Constants!$B$5,$DB57=Constants!$B$6),1,0)</f>
        <v>0</v>
      </c>
      <c r="DF57" s="82" t="n">
        <v>49</v>
      </c>
      <c r="DG57" s="82" t="str">
        <f aca="false">IF(ISBLANK($C57),"",IF(ISNUMBER($DC57),$DC57+ROW($B57)/1000,""))</f>
        <v/>
      </c>
      <c r="DH57" s="82" t="str">
        <f aca="false">IF(ISNUMBER($DG57),RANK($DG57,$DG$9:$DG$508,1),"")</f>
        <v/>
      </c>
      <c r="DI57" s="82" t="str">
        <f aca="false">IF(ISBLANK($C57),"",$B57)</f>
        <v/>
      </c>
      <c r="DJ57" s="82" t="str">
        <f aca="false">IF(ISBLANK($C57),"",$C57)</f>
        <v/>
      </c>
      <c r="DK57" s="82" t="str">
        <f aca="false">IF(ISBLANK($C57),"",$D57)</f>
        <v/>
      </c>
      <c r="DL57" s="83" t="str">
        <f aca="false">$CZ57</f>
        <v/>
      </c>
      <c r="DM57" s="84" t="str">
        <f aca="false">$CY57</f>
        <v/>
      </c>
      <c r="DN57" s="82" t="str">
        <f aca="false">IF(ISBLANK($C57),"",$DB57)</f>
        <v/>
      </c>
      <c r="DO57" s="85" t="str">
        <f aca="false">IF($DF57&gt;$DE$8,"",VLOOKUP($DF57,$DH$9:$DN$508,7,FALSE()))</f>
        <v/>
      </c>
      <c r="DP57" s="86" t="str">
        <f aca="false">IF($DF57&gt;$DE$8,"",VLOOKUP($DF57,$DH$9:$DN$508,2,FALSE()))</f>
        <v/>
      </c>
      <c r="DQ57" s="86" t="str">
        <f aca="false">IF($DF57&gt;$DE$8,"",VLOOKUP($DF57,$DH$9:$DN$508,3,FALSE()))</f>
        <v/>
      </c>
      <c r="DR57" s="86" t="str">
        <f aca="false">IF($DF57&gt;$DE$8,"",VLOOKUP($DF57,$DH$9:$DN$508,4,FALSE()))</f>
        <v/>
      </c>
      <c r="DS57" s="86" t="str">
        <f aca="false">IF($DF57&gt;$DE$8,"",VLOOKUP($DF57,$DH$9:$DN$508,5,FALSE()))</f>
        <v/>
      </c>
      <c r="DT57" s="87" t="str">
        <f aca="false">IF($DF57&gt;$DE$8,"",VLOOKUP($DF57,$DH$9:$DN$508,6,FALSE()))</f>
        <v/>
      </c>
      <c r="DU57" s="62"/>
    </row>
    <row r="58" customFormat="false" ht="15.75" hidden="false" customHeight="false" outlineLevel="0" collapsed="false">
      <c r="A58" s="7"/>
      <c r="B58" s="64"/>
      <c r="C58" s="65"/>
      <c r="D58" s="123"/>
      <c r="E58" s="88"/>
      <c r="F58" s="134"/>
      <c r="G58" s="88"/>
      <c r="H58" s="134"/>
      <c r="I58" s="69"/>
      <c r="J58" s="69"/>
      <c r="K58" s="69"/>
      <c r="L58" s="88"/>
      <c r="M58" s="88"/>
      <c r="N58" s="88"/>
      <c r="O58" s="134"/>
      <c r="P58" s="88"/>
      <c r="Q58" s="88"/>
      <c r="R58" s="88"/>
      <c r="S58" s="88"/>
      <c r="T58" s="134"/>
      <c r="U58" s="88"/>
      <c r="V58" s="70"/>
      <c r="W58" s="88"/>
      <c r="X58" s="88"/>
      <c r="Y58" s="70"/>
      <c r="Z58" s="70"/>
      <c r="AA58" s="88"/>
      <c r="AB58" s="88"/>
      <c r="AC58" s="71"/>
      <c r="AD58" s="88"/>
      <c r="AE58" s="73"/>
      <c r="AF58" s="74"/>
      <c r="AG58" s="74"/>
      <c r="AH58" s="74" t="str">
        <f aca="false">IF(ISBLANK($C58),"",IF($E58=Constants!$B$2,TRUE(),IF($E58=Constants!$B$3,FALSE(),TRUE())))</f>
        <v/>
      </c>
      <c r="AI58" s="74" t="str">
        <f aca="false">IF(ISBLANK($C58),"",IF($F58=Constants!$B$2,TRUE(),IF($F58=Constants!$B$3,FALSE(),FALSE())))</f>
        <v/>
      </c>
      <c r="AJ58" s="74" t="str">
        <f aca="false">IF(ISBLANK($C58),"",IF($G58=Constants!$B$2,TRUE(),IF($G58=Constants!$B$3,FALSE(),TRUE())))</f>
        <v/>
      </c>
      <c r="AK58" s="74" t="str">
        <f aca="false">IF(ISBLANK($C58),"",IF($H58=Constants!$B$2,TRUE(),IF($H58=Constants!$B$3,FALSE(),TRUE())))</f>
        <v/>
      </c>
      <c r="AL58" s="74" t="str">
        <f aca="false">IF(ISBLANK($C58),"",IF(ISNUMBER($I58),IF($I58&gt;=0,$I58,""),""))</f>
        <v/>
      </c>
      <c r="AM58" s="74" t="str">
        <f aca="false">IF(ISBLANK($C58),"",IF(ISNUMBER($J58),IF($J58&gt;=0,$J58,""),""))</f>
        <v/>
      </c>
      <c r="AN58" s="74" t="str">
        <f aca="false">IF(ISBLANK($C58),"",IF(ISNUMBER($K58),IF($K58&gt;=0,$K58,""),""))</f>
        <v/>
      </c>
      <c r="AO58" s="74" t="str">
        <f aca="false">IF(ISBLANK($C58),"",IF($L58=Constants!$B$2,TRUE(),IF($L58=Constants!$B$3,FALSE(),TRUE())))</f>
        <v/>
      </c>
      <c r="AP58" s="74" t="str">
        <f aca="false">IF(ISBLANK($C58),"",IF($M58=Constants!$B$2,TRUE(),IF($M58=Constants!$B$3,FALSE(),TRUE())))</f>
        <v/>
      </c>
      <c r="AQ58" s="74" t="str">
        <f aca="false">IF(ISBLANK($C58),"",IF($N58=Constants!$B$2,TRUE(),IF($N58=Constants!$B$3,FALSE(),FALSE())))</f>
        <v/>
      </c>
      <c r="AR58" s="74" t="str">
        <f aca="false">IF(ISBLANK($C58),"",IF($O58=Constants!$B$2,TRUE(),IF($O58=Constants!$B$3,FALSE(),TRUE())))</f>
        <v/>
      </c>
      <c r="AS58" s="74" t="str">
        <f aca="false">IF(ISBLANK($C58),"",IF($P58=Constants!$B$2,TRUE(),IF($P58=Constants!$B$3,FALSE(),FALSE())))</f>
        <v/>
      </c>
      <c r="AT58" s="74" t="str">
        <f aca="false">IF(ISBLANK($C58),"",IF($Q58=Constants!$B$2,TRUE(),IF($Q58=Constants!$B$3,FALSE(),FALSE())))</f>
        <v/>
      </c>
      <c r="AU58" s="74" t="str">
        <f aca="false">IF(ISBLANK($C58),"",IF($R58=Constants!$B$2,TRUE(),IF($R58=Constants!$B$3,FALSE(),FALSE())))</f>
        <v/>
      </c>
      <c r="AV58" s="74" t="str">
        <f aca="false">IF(ISBLANK($C58),"",IF($S58=Constants!$B$2,TRUE(),IF($S58=Constants!$B$3,FALSE(),FALSE())))</f>
        <v/>
      </c>
      <c r="AW58" s="74" t="str">
        <f aca="false">IF(ISBLANK($C58),"",IF($T58=Constants!$B$2,TRUE(),IF($T58=Constants!$B$3,FALSE(),FALSE())))</f>
        <v/>
      </c>
      <c r="AX58" s="74" t="str">
        <f aca="false">IF(ISBLANK($C58),"",IF(OR($U58&amp;""="1",$U58&amp;""="2",$U58&amp;""="3",$U58&amp;""="4"),VALUE($U58&amp;""),IF($U58=Constants!$B$12,Constants!$B$12,"")))</f>
        <v/>
      </c>
      <c r="AY58" s="74" t="str">
        <f aca="false">IF(ISBLANK($C58),"",IF(ISBLANK($V58),0,IF(ISNUMBER($V58),IF(AND($V58&gt;=0,$V58&lt;=Constants!$B$21,$V58=INT($V58)),$V58,""),"")))</f>
        <v/>
      </c>
      <c r="AZ58" s="74" t="str">
        <f aca="false">IF(ISBLANK($C58),"",IF(ISBLANK($W58),0,IF(ISNUMBER($W58),IF($W58&gt;=0,$W58,""),"")))</f>
        <v/>
      </c>
      <c r="BA58" s="74" t="str">
        <f aca="false">IF(ISBLANK($C58),"",IF($X58=Constants!$B$2,TRUE(),IF($X58=Constants!$B$3,FALSE(),TRUE())))</f>
        <v/>
      </c>
      <c r="BB58" s="74" t="str">
        <f aca="false">IF(ISBLANK($C58),"",IF($Y58=Constants!$B$2,TRUE(),IF($Y58=Constants!$B$3,FALSE(),FALSE())))</f>
        <v/>
      </c>
      <c r="BC58" s="74" t="str">
        <f aca="false">IF(ISBLANK($C58),"",IF(ISBLANK($Z58),0,IF(ISNUMBER($Z58),IF(AND($Z58&gt;=0,$Z58&lt;=Constants!$B$35,$Z58=INT($Z58)),$Z58,""),"")))</f>
        <v/>
      </c>
      <c r="BD58" s="74" t="str">
        <f aca="false">IF(ISBLANK($C58),"",IF($AA58=Constants!$B$2,TRUE(),IF($AA58=Constants!$B$3,FALSE(),TRUE())))</f>
        <v/>
      </c>
      <c r="BE58" s="74" t="str">
        <f aca="false">IF(ISBLANK($C58),"",IF($AB58=Constants!$B$2,TRUE(),IF($AB58=Constants!$B$3,FALSE(),TRUE())))</f>
        <v/>
      </c>
      <c r="BF58" s="74" t="str">
        <f aca="false">IF(ISBLANK($C58),"",IF(ISNUMBER($AC58),IF($AC58&gt;=0,$AC58,""),""))</f>
        <v/>
      </c>
      <c r="BG58" s="74" t="str">
        <f aca="false">IF(ISBLANK($C58),"",IF($AD58=Constants!$B$2,TRUE(),IF($AD58=Constants!$B$3,FALSE(),FALSE())))</f>
        <v/>
      </c>
      <c r="BH58" s="73" t="str">
        <f aca="false">IF(ISBLANK($C58),"",IF($BG58,Constants!$B$7,IF(COUNTA($E58:$AC58)=0,Constants!$B$6,IF(OR(COUNTA($G58:$AC58)=0,NOT($AK58),$AQ58),Constants!$B$5,IF(OR($CI58&lt;&gt;"",$CJ58,$CK58,$CL58,$CM58,$CN58,$CO58),Constants!$B$8,Constants!$B$4)))))</f>
        <v/>
      </c>
      <c r="BI58" s="74" t="str">
        <f aca="false">IF(ISBLANK($C58),"",IF($BH58&lt;&gt;Constants!$B$4,$BH58,IF(OR(NOT($AH58),NOT($AJ58),NOT($AR58)),Constants!$B$11,IF(OR(NOT($AP58),MAX($AL58,$AM58,$AN58)&gt;Constants!$B$30),Constants!$B$10,Constants!$B$9))))</f>
        <v/>
      </c>
      <c r="BJ58" s="74" t="str">
        <f aca="false">IF($BH58&lt;&gt;Constants!$B$4,"",IF(NOT($AJ58),0,MIN(Constants!$B$35,$BC58)))</f>
        <v/>
      </c>
      <c r="BK58" s="74" t="str">
        <f aca="false">IF($BH58&lt;&gt;Constants!$B$4,"",IF(NOT($AJ58),0,IF($AT58,Constants!$B$18,IF($AS58,Constants!$B$17,0))))</f>
        <v/>
      </c>
      <c r="BL58" s="74" t="str">
        <f aca="false">IF($BH58&lt;&gt;Constants!$B$4,"",IF(NOT($AJ58),0,Constants!$B$19*($AI58+$AU58+$AV58+$AW58)))</f>
        <v/>
      </c>
      <c r="BM58" s="74" t="str">
        <f aca="false">IF($BH58&lt;&gt;Constants!$B$4,"",IF(OR(NOT($AJ58),NOT(ISNUMBER($AX58))),0,CHOOSE($AX58,Constants!$B$13,Constants!$B$14,Constants!$B$15,Constants!$B$16)))</f>
        <v/>
      </c>
      <c r="BN58" s="74" t="str">
        <f aca="false">IF($BH58&lt;&gt;Constants!$B$4,"",IF(NOT($AJ58),0,Constants!$B$20*$AY58))</f>
        <v/>
      </c>
      <c r="BO58" s="74" t="str">
        <f aca="false">IF($BH58&lt;&gt;Constants!$B$4,"",IF(AND($AJ58,$BA58,$BB58),Constants!$B$22,0))</f>
        <v/>
      </c>
      <c r="BP58" s="74" t="str">
        <f aca="false">IF($BH58&lt;&gt;Constants!$B$4,"",IF(OR(NOT($AJ58),NOT($BA58)),0,IF($BF58&gt;=2*$AF$9,0,Constants!$B$23*INT(ROUND(MIN($BF58,$AF$9),6)))))</f>
        <v/>
      </c>
      <c r="BQ58" s="74" t="str">
        <f aca="false">IF($BH58&lt;&gt;Constants!$B$4,"",IF(NOT($AJ58),0,Constants!$B$24*INT(ROUND(MIN($AZ58,$AF$9),6))))</f>
        <v/>
      </c>
      <c r="BR58" s="74" t="str">
        <f aca="false">IF($BH58&lt;&gt;Constants!$B$4,"",IF(AND($AJ58,$BJ58=0),Constants!$B$25,0))</f>
        <v/>
      </c>
      <c r="BS58" s="74" t="str">
        <f aca="false">IF($BH58&lt;&gt;Constants!$B$4,"",MIN(Constants!$B$29,MAX(0,Constants!$B$27*Constants!$B$28*INT(ROUND((Constants!$B$26-$AL58)/Constants!$B$28,6))))+MIN(Constants!$B$29,MAX(0,Constants!$B$27*Constants!$B$28*INT(ROUND((Constants!$B$26-$AM58)/Constants!$B$28,6))))+MIN(Constants!$B$29,MAX(0,Constants!$B$27*Constants!$B$28*INT(ROUND((Constants!$B$26-$AN58)/Constants!$B$28,6)))))</f>
        <v/>
      </c>
      <c r="BT58" s="74" t="str">
        <f aca="false">IF($BH58&lt;&gt;Constants!$B$4,"",IF(NOT($AJ58),0,Constants!$B$31*INT(ROUND(MAX(0,MIN($BF58,2*$AF$9)-$AF$9),6))))</f>
        <v/>
      </c>
      <c r="BU58" s="74" t="str">
        <f aca="false">IF($BH58&lt;&gt;Constants!$B$4,"",Constants!$B$32*(($AL58&gt;Constants!$B$26)+($AM58&gt;Constants!$B$26)+($AN58&gt;Constants!$B$26)))</f>
        <v/>
      </c>
      <c r="BV58" s="74" t="str">
        <f aca="false">IF($BH58&lt;&gt;Constants!$B$4,"",IF(OR(NOT($AJ58),$AO58),0,Constants!$B$33))</f>
        <v/>
      </c>
      <c r="BW58" s="74" t="str">
        <f aca="false">IF($BH58&lt;&gt;Constants!$B$4,"",Constants!$B$34*$BJ58)</f>
        <v/>
      </c>
      <c r="BX58" s="74" t="str">
        <f aca="false">IF($BH58&lt;&gt;Constants!$B$4,"",IF(OR(NOT($AJ58),$BE58),0,Constants!$B$36))</f>
        <v/>
      </c>
      <c r="BY58" s="74" t="str">
        <f aca="false">IF($BH58&lt;&gt;Constants!$B$4,"",IF(OR(NOT($AJ58),$BD58),0,Constants!$B$37))</f>
        <v/>
      </c>
      <c r="BZ58" s="74" t="str">
        <f aca="false">IF($BH58&lt;&gt;Constants!$B$4,"",SUM($BT58:$BY58))</f>
        <v/>
      </c>
      <c r="CA58" s="74" t="str">
        <f aca="false">IF(ISBLANK($C58),"",IF($BH58&lt;&gt;Constants!$B$4,$BH58,SUM($BK58:$BS58)-$BZ58))</f>
        <v/>
      </c>
      <c r="CB58" s="74" t="str">
        <f aca="false">IF(ISBLANK($C58),"",IF($BH58&lt;&gt;Constants!$B$4,$BH58,RANK($CA58,$CA$9:$CA$508)))</f>
        <v/>
      </c>
      <c r="CC58" s="74" t="str">
        <f aca="false">IF(ISBLANK($C58),"",IF($BH58&lt;&gt;Constants!$B$4,$BH58,COUNTIFS($BI$9:$BI$508,"&lt;"&amp;$BI58)+COUNTIFS($BI$9:$BI$508,$BI58,$CB$9:$CB$508,"&lt;"&amp;$CB58)+1))</f>
        <v/>
      </c>
      <c r="CD58" s="74" t="str">
        <f aca="false">IF(ISBLANK($C58),"",IF($BH58&lt;&gt;Constants!$B$4,$BH58,RANK($BZ58,$BZ$9:$BZ$508,1)))</f>
        <v/>
      </c>
      <c r="CE58" s="74" t="str">
        <f aca="false">IF($BH58&lt;&gt;Constants!$B$4,"",$AL58+$AM58+$AN58)</f>
        <v/>
      </c>
      <c r="CF58" s="74" t="str">
        <f aca="false">IF(ISBLANK($C58),"",IF($BH58&lt;&gt;Constants!$B$4,$BH58,RANK($CE58,$CE$9:$CE$508,1)))</f>
        <v/>
      </c>
      <c r="CG58" s="74" t="str">
        <f aca="false">IF(ISBLANK($C58),"",IF($BH58&lt;&gt;Constants!$B$4,$BH58,COUNTIFS($BI$9:$BI$508,"&lt;"&amp;$BI58)+COUNTIFS($BI$9:$BI$508,$BI58,$CB$9:$CB$508,"&lt;"&amp;$CB58)+COUNTIFS($BI$9:$BI$508,$BI58,$CB$9:$CB$508,$CB58,$CD$9:$CD$508,"&lt;"&amp;$CD58)+COUNTIFS($BI$9:$BI$508,$BI58,$CB$9:$CB$508,$CB58,$CD$9:$CD$508,$CD58,$CF$9:$CF$508,"&lt;"&amp;$CF58)+1))</f>
        <v/>
      </c>
      <c r="CH58" s="74" t="str">
        <f aca="false">IF(ISBLANK($C58),"",IF($BH58&lt;&gt;Constants!$B$4,$BH58,$CC58-$CG58))</f>
        <v/>
      </c>
      <c r="CI58" s="74" t="str">
        <f aca="false">IF(ISBLANK($C58),"",IF(NOT($AJ58),"",IF(ISBLANK($D$7),$CI$5,IF(NOT(ISNUMBER($D$7)),$CI$6,""))))</f>
        <v/>
      </c>
      <c r="CJ58" s="74" t="str">
        <f aca="false">IF(ISBLANK($C58),"",OR($AL58="",$AM58="",$AN58=""))</f>
        <v/>
      </c>
      <c r="CK58" s="74" t="str">
        <f aca="false">IF(ISBLANK($C58),"",AND($AJ58,$AX58=""))</f>
        <v/>
      </c>
      <c r="CL58" s="74" t="str">
        <f aca="false">IF(ISBLANK($C58),"",AND($AJ58,$AY58=""))</f>
        <v/>
      </c>
      <c r="CM58" s="74" t="str">
        <f aca="false">IF(ISBLANK($C58),"",AND($AJ58,$AZ58=""))</f>
        <v/>
      </c>
      <c r="CN58" s="74" t="str">
        <f aca="false">IF(ISBLANK($C58),"",AND($AJ58,$BC58=""))</f>
        <v/>
      </c>
      <c r="CO58" s="74" t="str">
        <f aca="false">IF(ISBLANK($C58),"",AND($AJ58,$BF58=""))</f>
        <v/>
      </c>
      <c r="CP58" s="75"/>
      <c r="CQ58" s="76"/>
      <c r="CR58" s="79" t="str">
        <f aca="false">IF(ISBLANK($C58),"",IF($BH58=Constants!$B$8,$CI58,""))</f>
        <v/>
      </c>
      <c r="CS58" s="76" t="str">
        <f aca="false">IF(ISBLANK($C58),"",IF($BH58&lt;&gt;Constants!$B$4,"",$BK58+$BL58))</f>
        <v/>
      </c>
      <c r="CT58" s="78" t="str">
        <f aca="false">IF(ISBLANK($C58),"",IF($BH58&lt;&gt;Constants!$B$4,"",$BM58+$BN58+$BO58))</f>
        <v/>
      </c>
      <c r="CU58" s="78" t="str">
        <f aca="false">IF(ISBLANK($C58),"",IF($BH58&lt;&gt;Constants!$B$4,"",$BP58))</f>
        <v/>
      </c>
      <c r="CV58" s="78" t="str">
        <f aca="false">IF(ISBLANK($C58),"",IF($BH58&lt;&gt;Constants!$B$4,"",$BQ58+$BR58))</f>
        <v/>
      </c>
      <c r="CW58" s="78" t="str">
        <f aca="false">IF(ISBLANK($C58),"",IF($BH58&lt;&gt;Constants!$B$4,"",$BS58))</f>
        <v/>
      </c>
      <c r="CX58" s="78" t="str">
        <f aca="false">IF(ISBLANK($C58),"",IF($BH58&lt;&gt;Constants!$B$4,"",-$BZ58))</f>
        <v/>
      </c>
      <c r="CY58" s="79" t="str">
        <f aca="false">IF(ISBLANK($C58),"",$CA58)</f>
        <v/>
      </c>
      <c r="CZ58" s="80" t="str">
        <f aca="false">IF(ISBLANK($C58),"",$BI58)</f>
        <v/>
      </c>
      <c r="DA58" s="78" t="str">
        <f aca="false">IF(ISBLANK($C58),"",$CH58)</f>
        <v/>
      </c>
      <c r="DB58" s="78" t="str">
        <f aca="false">IF(ISBLANK($C58),"",$CG58)</f>
        <v/>
      </c>
      <c r="DC58" s="81" t="str">
        <f aca="false">IF(ISBLANK($C58),"",IFERROR(_xlfn.SWITCH($DB58,Constants!$B$7,COUNTA($C$9:$C$508)+2,Constants!$B$6,COUNTA($C$9:$C$508)+1,Constants!$B$5,COUNTA($C$9:$C$508)),$DB58))</f>
        <v/>
      </c>
      <c r="DD58" s="7"/>
      <c r="DE58" s="82" t="n">
        <f aca="false">IF(OR(ISNUMBER($DB58),$DB58=Constants!$B$7,$DB58=Constants!$B$5,$DB58=Constants!$B$6),1,0)</f>
        <v>0</v>
      </c>
      <c r="DF58" s="82" t="n">
        <v>50</v>
      </c>
      <c r="DG58" s="82" t="str">
        <f aca="false">IF(ISBLANK($C58),"",IF(ISNUMBER($DC58),$DC58+ROW($B58)/1000,""))</f>
        <v/>
      </c>
      <c r="DH58" s="82" t="str">
        <f aca="false">IF(ISNUMBER($DG58),RANK($DG58,$DG$9:$DG$508,1),"")</f>
        <v/>
      </c>
      <c r="DI58" s="82" t="str">
        <f aca="false">IF(ISBLANK($C58),"",$B58)</f>
        <v/>
      </c>
      <c r="DJ58" s="82" t="str">
        <f aca="false">IF(ISBLANK($C58),"",$C58)</f>
        <v/>
      </c>
      <c r="DK58" s="82" t="str">
        <f aca="false">IF(ISBLANK($C58),"",$D58)</f>
        <v/>
      </c>
      <c r="DL58" s="83" t="str">
        <f aca="false">$CZ58</f>
        <v/>
      </c>
      <c r="DM58" s="84" t="str">
        <f aca="false">$CY58</f>
        <v/>
      </c>
      <c r="DN58" s="82" t="str">
        <f aca="false">IF(ISBLANK($C58),"",$DB58)</f>
        <v/>
      </c>
      <c r="DO58" s="85" t="str">
        <f aca="false">IF($DF58&gt;$DE$8,"",VLOOKUP($DF58,$DH$9:$DN$508,7,FALSE()))</f>
        <v/>
      </c>
      <c r="DP58" s="86" t="str">
        <f aca="false">IF($DF58&gt;$DE$8,"",VLOOKUP($DF58,$DH$9:$DN$508,2,FALSE()))</f>
        <v/>
      </c>
      <c r="DQ58" s="86" t="str">
        <f aca="false">IF($DF58&gt;$DE$8,"",VLOOKUP($DF58,$DH$9:$DN$508,3,FALSE()))</f>
        <v/>
      </c>
      <c r="DR58" s="86" t="str">
        <f aca="false">IF($DF58&gt;$DE$8,"",VLOOKUP($DF58,$DH$9:$DN$508,4,FALSE()))</f>
        <v/>
      </c>
      <c r="DS58" s="86" t="str">
        <f aca="false">IF($DF58&gt;$DE$8,"",VLOOKUP($DF58,$DH$9:$DN$508,5,FALSE()))</f>
        <v/>
      </c>
      <c r="DT58" s="87" t="str">
        <f aca="false">IF($DF58&gt;$DE$8,"",VLOOKUP($DF58,$DH$9:$DN$508,6,FALSE()))</f>
        <v/>
      </c>
      <c r="DU58" s="62"/>
    </row>
    <row r="59" customFormat="false" ht="15.75" hidden="false" customHeight="false" outlineLevel="0" collapsed="false">
      <c r="A59" s="7"/>
      <c r="B59" s="64"/>
      <c r="C59" s="65"/>
      <c r="D59" s="123"/>
      <c r="E59" s="122"/>
      <c r="F59" s="66"/>
      <c r="G59" s="122"/>
      <c r="H59" s="66"/>
      <c r="I59" s="119"/>
      <c r="J59" s="119"/>
      <c r="K59" s="119"/>
      <c r="L59" s="122"/>
      <c r="M59" s="122"/>
      <c r="N59" s="122"/>
      <c r="O59" s="66"/>
      <c r="P59" s="122"/>
      <c r="Q59" s="122"/>
      <c r="R59" s="122"/>
      <c r="S59" s="122"/>
      <c r="T59" s="66"/>
      <c r="U59" s="122"/>
      <c r="V59" s="120"/>
      <c r="W59" s="122"/>
      <c r="X59" s="122"/>
      <c r="Y59" s="120"/>
      <c r="Z59" s="120"/>
      <c r="AA59" s="122"/>
      <c r="AB59" s="122"/>
      <c r="AC59" s="121"/>
      <c r="AD59" s="122"/>
      <c r="AE59" s="73"/>
      <c r="AF59" s="74"/>
      <c r="AG59" s="74"/>
      <c r="AH59" s="74" t="str">
        <f aca="false">IF(ISBLANK($C59),"",IF($E59=Constants!$B$2,TRUE(),IF($E59=Constants!$B$3,FALSE(),TRUE())))</f>
        <v/>
      </c>
      <c r="AI59" s="74" t="str">
        <f aca="false">IF(ISBLANK($C59),"",IF($F59=Constants!$B$2,TRUE(),IF($F59=Constants!$B$3,FALSE(),FALSE())))</f>
        <v/>
      </c>
      <c r="AJ59" s="74" t="str">
        <f aca="false">IF(ISBLANK($C59),"",IF($G59=Constants!$B$2,TRUE(),IF($G59=Constants!$B$3,FALSE(),TRUE())))</f>
        <v/>
      </c>
      <c r="AK59" s="74" t="str">
        <f aca="false">IF(ISBLANK($C59),"",IF($H59=Constants!$B$2,TRUE(),IF($H59=Constants!$B$3,FALSE(),TRUE())))</f>
        <v/>
      </c>
      <c r="AL59" s="74" t="str">
        <f aca="false">IF(ISBLANK($C59),"",IF(ISNUMBER($I59),IF($I59&gt;=0,$I59,""),""))</f>
        <v/>
      </c>
      <c r="AM59" s="74" t="str">
        <f aca="false">IF(ISBLANK($C59),"",IF(ISNUMBER($J59),IF($J59&gt;=0,$J59,""),""))</f>
        <v/>
      </c>
      <c r="AN59" s="74" t="str">
        <f aca="false">IF(ISBLANK($C59),"",IF(ISNUMBER($K59),IF($K59&gt;=0,$K59,""),""))</f>
        <v/>
      </c>
      <c r="AO59" s="74" t="str">
        <f aca="false">IF(ISBLANK($C59),"",IF($L59=Constants!$B$2,TRUE(),IF($L59=Constants!$B$3,FALSE(),TRUE())))</f>
        <v/>
      </c>
      <c r="AP59" s="74" t="str">
        <f aca="false">IF(ISBLANK($C59),"",IF($M59=Constants!$B$2,TRUE(),IF($M59=Constants!$B$3,FALSE(),TRUE())))</f>
        <v/>
      </c>
      <c r="AQ59" s="74" t="str">
        <f aca="false">IF(ISBLANK($C59),"",IF($N59=Constants!$B$2,TRUE(),IF($N59=Constants!$B$3,FALSE(),FALSE())))</f>
        <v/>
      </c>
      <c r="AR59" s="74" t="str">
        <f aca="false">IF(ISBLANK($C59),"",IF($O59=Constants!$B$2,TRUE(),IF($O59=Constants!$B$3,FALSE(),TRUE())))</f>
        <v/>
      </c>
      <c r="AS59" s="74" t="str">
        <f aca="false">IF(ISBLANK($C59),"",IF($P59=Constants!$B$2,TRUE(),IF($P59=Constants!$B$3,FALSE(),FALSE())))</f>
        <v/>
      </c>
      <c r="AT59" s="74" t="str">
        <f aca="false">IF(ISBLANK($C59),"",IF($Q59=Constants!$B$2,TRUE(),IF($Q59=Constants!$B$3,FALSE(),FALSE())))</f>
        <v/>
      </c>
      <c r="AU59" s="74" t="str">
        <f aca="false">IF(ISBLANK($C59),"",IF($R59=Constants!$B$2,TRUE(),IF($R59=Constants!$B$3,FALSE(),FALSE())))</f>
        <v/>
      </c>
      <c r="AV59" s="74" t="str">
        <f aca="false">IF(ISBLANK($C59),"",IF($S59=Constants!$B$2,TRUE(),IF($S59=Constants!$B$3,FALSE(),FALSE())))</f>
        <v/>
      </c>
      <c r="AW59" s="74" t="str">
        <f aca="false">IF(ISBLANK($C59),"",IF($T59=Constants!$B$2,TRUE(),IF($T59=Constants!$B$3,FALSE(),FALSE())))</f>
        <v/>
      </c>
      <c r="AX59" s="74" t="str">
        <f aca="false">IF(ISBLANK($C59),"",IF(OR($U59&amp;""="1",$U59&amp;""="2",$U59&amp;""="3",$U59&amp;""="4"),VALUE($U59&amp;""),IF($U59=Constants!$B$12,Constants!$B$12,"")))</f>
        <v/>
      </c>
      <c r="AY59" s="74" t="str">
        <f aca="false">IF(ISBLANK($C59),"",IF(ISBLANK($V59),0,IF(ISNUMBER($V59),IF(AND($V59&gt;=0,$V59&lt;=Constants!$B$21,$V59=INT($V59)),$V59,""),"")))</f>
        <v/>
      </c>
      <c r="AZ59" s="74" t="str">
        <f aca="false">IF(ISBLANK($C59),"",IF(ISBLANK($W59),0,IF(ISNUMBER($W59),IF($W59&gt;=0,$W59,""),"")))</f>
        <v/>
      </c>
      <c r="BA59" s="74" t="str">
        <f aca="false">IF(ISBLANK($C59),"",IF($X59=Constants!$B$2,TRUE(),IF($X59=Constants!$B$3,FALSE(),TRUE())))</f>
        <v/>
      </c>
      <c r="BB59" s="74" t="str">
        <f aca="false">IF(ISBLANK($C59),"",IF($Y59=Constants!$B$2,TRUE(),IF($Y59=Constants!$B$3,FALSE(),FALSE())))</f>
        <v/>
      </c>
      <c r="BC59" s="74" t="str">
        <f aca="false">IF(ISBLANK($C59),"",IF(ISBLANK($Z59),0,IF(ISNUMBER($Z59),IF(AND($Z59&gt;=0,$Z59&lt;=Constants!$B$35,$Z59=INT($Z59)),$Z59,""),"")))</f>
        <v/>
      </c>
      <c r="BD59" s="74" t="str">
        <f aca="false">IF(ISBLANK($C59),"",IF($AA59=Constants!$B$2,TRUE(),IF($AA59=Constants!$B$3,FALSE(),TRUE())))</f>
        <v/>
      </c>
      <c r="BE59" s="74" t="str">
        <f aca="false">IF(ISBLANK($C59),"",IF($AB59=Constants!$B$2,TRUE(),IF($AB59=Constants!$B$3,FALSE(),TRUE())))</f>
        <v/>
      </c>
      <c r="BF59" s="74" t="str">
        <f aca="false">IF(ISBLANK($C59),"",IF(ISNUMBER($AC59),IF($AC59&gt;=0,$AC59,""),""))</f>
        <v/>
      </c>
      <c r="BG59" s="74" t="str">
        <f aca="false">IF(ISBLANK($C59),"",IF($AD59=Constants!$B$2,TRUE(),IF($AD59=Constants!$B$3,FALSE(),FALSE())))</f>
        <v/>
      </c>
      <c r="BH59" s="73" t="str">
        <f aca="false">IF(ISBLANK($C59),"",IF($BG59,Constants!$B$7,IF(COUNTA($E59:$AC59)=0,Constants!$B$6,IF(OR(COUNTA($G59:$AC59)=0,NOT($AK59),$AQ59),Constants!$B$5,IF(OR($CI59&lt;&gt;"",$CJ59,$CK59,$CL59,$CM59,$CN59,$CO59),Constants!$B$8,Constants!$B$4)))))</f>
        <v/>
      </c>
      <c r="BI59" s="74" t="str">
        <f aca="false">IF(ISBLANK($C59),"",IF($BH59&lt;&gt;Constants!$B$4,$BH59,IF(OR(NOT($AH59),NOT($AJ59),NOT($AR59)),Constants!$B$11,IF(OR(NOT($AP59),MAX($AL59,$AM59,$AN59)&gt;Constants!$B$30),Constants!$B$10,Constants!$B$9))))</f>
        <v/>
      </c>
      <c r="BJ59" s="74" t="str">
        <f aca="false">IF($BH59&lt;&gt;Constants!$B$4,"",IF(NOT($AJ59),0,MIN(Constants!$B$35,$BC59)))</f>
        <v/>
      </c>
      <c r="BK59" s="74" t="str">
        <f aca="false">IF($BH59&lt;&gt;Constants!$B$4,"",IF(NOT($AJ59),0,IF($AT59,Constants!$B$18,IF($AS59,Constants!$B$17,0))))</f>
        <v/>
      </c>
      <c r="BL59" s="74" t="str">
        <f aca="false">IF($BH59&lt;&gt;Constants!$B$4,"",IF(NOT($AJ59),0,Constants!$B$19*($AI59+$AU59+$AV59+$AW59)))</f>
        <v/>
      </c>
      <c r="BM59" s="74" t="str">
        <f aca="false">IF($BH59&lt;&gt;Constants!$B$4,"",IF(OR(NOT($AJ59),NOT(ISNUMBER($AX59))),0,CHOOSE($AX59,Constants!$B$13,Constants!$B$14,Constants!$B$15,Constants!$B$16)))</f>
        <v/>
      </c>
      <c r="BN59" s="74" t="str">
        <f aca="false">IF($BH59&lt;&gt;Constants!$B$4,"",IF(NOT($AJ59),0,Constants!$B$20*$AY59))</f>
        <v/>
      </c>
      <c r="BO59" s="74" t="str">
        <f aca="false">IF($BH59&lt;&gt;Constants!$B$4,"",IF(AND($AJ59,$BA59,$BB59),Constants!$B$22,0))</f>
        <v/>
      </c>
      <c r="BP59" s="74" t="str">
        <f aca="false">IF($BH59&lt;&gt;Constants!$B$4,"",IF(OR(NOT($AJ59),NOT($BA59)),0,IF($BF59&gt;=2*$AF$9,0,Constants!$B$23*INT(ROUND(MIN($BF59,$AF$9),6)))))</f>
        <v/>
      </c>
      <c r="BQ59" s="74" t="str">
        <f aca="false">IF($BH59&lt;&gt;Constants!$B$4,"",IF(NOT($AJ59),0,Constants!$B$24*INT(ROUND(MIN($AZ59,$AF$9),6))))</f>
        <v/>
      </c>
      <c r="BR59" s="74" t="str">
        <f aca="false">IF($BH59&lt;&gt;Constants!$B$4,"",IF(AND($AJ59,$BJ59=0),Constants!$B$25,0))</f>
        <v/>
      </c>
      <c r="BS59" s="74" t="str">
        <f aca="false">IF($BH59&lt;&gt;Constants!$B$4,"",MIN(Constants!$B$29,MAX(0,Constants!$B$27*Constants!$B$28*INT(ROUND((Constants!$B$26-$AL59)/Constants!$B$28,6))))+MIN(Constants!$B$29,MAX(0,Constants!$B$27*Constants!$B$28*INT(ROUND((Constants!$B$26-$AM59)/Constants!$B$28,6))))+MIN(Constants!$B$29,MAX(0,Constants!$B$27*Constants!$B$28*INT(ROUND((Constants!$B$26-$AN59)/Constants!$B$28,6)))))</f>
        <v/>
      </c>
      <c r="BT59" s="74" t="str">
        <f aca="false">IF($BH59&lt;&gt;Constants!$B$4,"",IF(NOT($AJ59),0,Constants!$B$31*INT(ROUND(MAX(0,MIN($BF59,2*$AF$9)-$AF$9),6))))</f>
        <v/>
      </c>
      <c r="BU59" s="74" t="str">
        <f aca="false">IF($BH59&lt;&gt;Constants!$B$4,"",Constants!$B$32*(($AL59&gt;Constants!$B$26)+($AM59&gt;Constants!$B$26)+($AN59&gt;Constants!$B$26)))</f>
        <v/>
      </c>
      <c r="BV59" s="74" t="str">
        <f aca="false">IF($BH59&lt;&gt;Constants!$B$4,"",IF(OR(NOT($AJ59),$AO59),0,Constants!$B$33))</f>
        <v/>
      </c>
      <c r="BW59" s="74" t="str">
        <f aca="false">IF($BH59&lt;&gt;Constants!$B$4,"",Constants!$B$34*$BJ59)</f>
        <v/>
      </c>
      <c r="BX59" s="74" t="str">
        <f aca="false">IF($BH59&lt;&gt;Constants!$B$4,"",IF(OR(NOT($AJ59),$BE59),0,Constants!$B$36))</f>
        <v/>
      </c>
      <c r="BY59" s="74" t="str">
        <f aca="false">IF($BH59&lt;&gt;Constants!$B$4,"",IF(OR(NOT($AJ59),$BD59),0,Constants!$B$37))</f>
        <v/>
      </c>
      <c r="BZ59" s="74" t="str">
        <f aca="false">IF($BH59&lt;&gt;Constants!$B$4,"",SUM($BT59:$BY59))</f>
        <v/>
      </c>
      <c r="CA59" s="74" t="str">
        <f aca="false">IF(ISBLANK($C59),"",IF($BH59&lt;&gt;Constants!$B$4,$BH59,SUM($BK59:$BS59)-$BZ59))</f>
        <v/>
      </c>
      <c r="CB59" s="74" t="str">
        <f aca="false">IF(ISBLANK($C59),"",IF($BH59&lt;&gt;Constants!$B$4,$BH59,RANK($CA59,$CA$9:$CA$508)))</f>
        <v/>
      </c>
      <c r="CC59" s="74" t="str">
        <f aca="false">IF(ISBLANK($C59),"",IF($BH59&lt;&gt;Constants!$B$4,$BH59,COUNTIFS($BI$9:$BI$508,"&lt;"&amp;$BI59)+COUNTIFS($BI$9:$BI$508,$BI59,$CB$9:$CB$508,"&lt;"&amp;$CB59)+1))</f>
        <v/>
      </c>
      <c r="CD59" s="74" t="str">
        <f aca="false">IF(ISBLANK($C59),"",IF($BH59&lt;&gt;Constants!$B$4,$BH59,RANK($BZ59,$BZ$9:$BZ$508,1)))</f>
        <v/>
      </c>
      <c r="CE59" s="74" t="str">
        <f aca="false">IF($BH59&lt;&gt;Constants!$B$4,"",$AL59+$AM59+$AN59)</f>
        <v/>
      </c>
      <c r="CF59" s="74" t="str">
        <f aca="false">IF(ISBLANK($C59),"",IF($BH59&lt;&gt;Constants!$B$4,$BH59,RANK($CE59,$CE$9:$CE$508,1)))</f>
        <v/>
      </c>
      <c r="CG59" s="74" t="str">
        <f aca="false">IF(ISBLANK($C59),"",IF($BH59&lt;&gt;Constants!$B$4,$BH59,COUNTIFS($BI$9:$BI$508,"&lt;"&amp;$BI59)+COUNTIFS($BI$9:$BI$508,$BI59,$CB$9:$CB$508,"&lt;"&amp;$CB59)+COUNTIFS($BI$9:$BI$508,$BI59,$CB$9:$CB$508,$CB59,$CD$9:$CD$508,"&lt;"&amp;$CD59)+COUNTIFS($BI$9:$BI$508,$BI59,$CB$9:$CB$508,$CB59,$CD$9:$CD$508,$CD59,$CF$9:$CF$508,"&lt;"&amp;$CF59)+1))</f>
        <v/>
      </c>
      <c r="CH59" s="74" t="str">
        <f aca="false">IF(ISBLANK($C59),"",IF($BH59&lt;&gt;Constants!$B$4,$BH59,$CC59-$CG59))</f>
        <v/>
      </c>
      <c r="CI59" s="74" t="str">
        <f aca="false">IF(ISBLANK($C59),"",IF(NOT($AJ59),"",IF(ISBLANK($D$7),$CI$5,IF(NOT(ISNUMBER($D$7)),$CI$6,""))))</f>
        <v/>
      </c>
      <c r="CJ59" s="74" t="str">
        <f aca="false">IF(ISBLANK($C59),"",OR($AL59="",$AM59="",$AN59=""))</f>
        <v/>
      </c>
      <c r="CK59" s="74" t="str">
        <f aca="false">IF(ISBLANK($C59),"",AND($AJ59,$AX59=""))</f>
        <v/>
      </c>
      <c r="CL59" s="74" t="str">
        <f aca="false">IF(ISBLANK($C59),"",AND($AJ59,$AY59=""))</f>
        <v/>
      </c>
      <c r="CM59" s="74" t="str">
        <f aca="false">IF(ISBLANK($C59),"",AND($AJ59,$AZ59=""))</f>
        <v/>
      </c>
      <c r="CN59" s="74" t="str">
        <f aca="false">IF(ISBLANK($C59),"",AND($AJ59,$BC59=""))</f>
        <v/>
      </c>
      <c r="CO59" s="74" t="str">
        <f aca="false">IF(ISBLANK($C59),"",AND($AJ59,$BF59=""))</f>
        <v/>
      </c>
      <c r="CP59" s="75"/>
      <c r="CQ59" s="76"/>
      <c r="CR59" s="79" t="str">
        <f aca="false">IF(ISBLANK($C59),"",IF($BH59=Constants!$B$8,$CI59,""))</f>
        <v/>
      </c>
      <c r="CS59" s="76" t="str">
        <f aca="false">IF(ISBLANK($C59),"",IF($BH59&lt;&gt;Constants!$B$4,"",$BK59+$BL59))</f>
        <v/>
      </c>
      <c r="CT59" s="78" t="str">
        <f aca="false">IF(ISBLANK($C59),"",IF($BH59&lt;&gt;Constants!$B$4,"",$BM59+$BN59+$BO59))</f>
        <v/>
      </c>
      <c r="CU59" s="78" t="str">
        <f aca="false">IF(ISBLANK($C59),"",IF($BH59&lt;&gt;Constants!$B$4,"",$BP59))</f>
        <v/>
      </c>
      <c r="CV59" s="78" t="str">
        <f aca="false">IF(ISBLANK($C59),"",IF($BH59&lt;&gt;Constants!$B$4,"",$BQ59+$BR59))</f>
        <v/>
      </c>
      <c r="CW59" s="78" t="str">
        <f aca="false">IF(ISBLANK($C59),"",IF($BH59&lt;&gt;Constants!$B$4,"",$BS59))</f>
        <v/>
      </c>
      <c r="CX59" s="78" t="str">
        <f aca="false">IF(ISBLANK($C59),"",IF($BH59&lt;&gt;Constants!$B$4,"",-$BZ59))</f>
        <v/>
      </c>
      <c r="CY59" s="79" t="str">
        <f aca="false">IF(ISBLANK($C59),"",$CA59)</f>
        <v/>
      </c>
      <c r="CZ59" s="80" t="str">
        <f aca="false">IF(ISBLANK($C59),"",$BI59)</f>
        <v/>
      </c>
      <c r="DA59" s="78" t="str">
        <f aca="false">IF(ISBLANK($C59),"",$CH59)</f>
        <v/>
      </c>
      <c r="DB59" s="78" t="str">
        <f aca="false">IF(ISBLANK($C59),"",$CG59)</f>
        <v/>
      </c>
      <c r="DC59" s="81" t="str">
        <f aca="false">IF(ISBLANK($C59),"",IFERROR(_xlfn.SWITCH($DB59,Constants!$B$7,COUNTA($C$9:$C$508)+2,Constants!$B$6,COUNTA($C$9:$C$508)+1,Constants!$B$5,COUNTA($C$9:$C$508)),$DB59))</f>
        <v/>
      </c>
      <c r="DD59" s="7"/>
      <c r="DE59" s="82" t="n">
        <f aca="false">IF(OR(ISNUMBER($DB59),$DB59=Constants!$B$7,$DB59=Constants!$B$5,$DB59=Constants!$B$6),1,0)</f>
        <v>0</v>
      </c>
      <c r="DF59" s="82" t="n">
        <v>51</v>
      </c>
      <c r="DG59" s="82" t="str">
        <f aca="false">IF(ISBLANK($C59),"",IF(ISNUMBER($DC59),$DC59+ROW($B59)/1000,""))</f>
        <v/>
      </c>
      <c r="DH59" s="82" t="str">
        <f aca="false">IF(ISNUMBER($DG59),RANK($DG59,$DG$9:$DG$508,1),"")</f>
        <v/>
      </c>
      <c r="DI59" s="82" t="str">
        <f aca="false">IF(ISBLANK($C59),"",$B59)</f>
        <v/>
      </c>
      <c r="DJ59" s="82" t="str">
        <f aca="false">IF(ISBLANK($C59),"",$C59)</f>
        <v/>
      </c>
      <c r="DK59" s="82" t="str">
        <f aca="false">IF(ISBLANK($C59),"",$D59)</f>
        <v/>
      </c>
      <c r="DL59" s="83" t="str">
        <f aca="false">$CZ59</f>
        <v/>
      </c>
      <c r="DM59" s="84" t="str">
        <f aca="false">$CY59</f>
        <v/>
      </c>
      <c r="DN59" s="82" t="str">
        <f aca="false">IF(ISBLANK($C59),"",$DB59)</f>
        <v/>
      </c>
      <c r="DO59" s="85" t="str">
        <f aca="false">IF($DF59&gt;$DE$8,"",VLOOKUP($DF59,$DH$9:$DN$508,7,FALSE()))</f>
        <v/>
      </c>
      <c r="DP59" s="86" t="str">
        <f aca="false">IF($DF59&gt;$DE$8,"",VLOOKUP($DF59,$DH$9:$DN$508,2,FALSE()))</f>
        <v/>
      </c>
      <c r="DQ59" s="86" t="str">
        <f aca="false">IF($DF59&gt;$DE$8,"",VLOOKUP($DF59,$DH$9:$DN$508,3,FALSE()))</f>
        <v/>
      </c>
      <c r="DR59" s="86" t="str">
        <f aca="false">IF($DF59&gt;$DE$8,"",VLOOKUP($DF59,$DH$9:$DN$508,4,FALSE()))</f>
        <v/>
      </c>
      <c r="DS59" s="86" t="str">
        <f aca="false">IF($DF59&gt;$DE$8,"",VLOOKUP($DF59,$DH$9:$DN$508,5,FALSE()))</f>
        <v/>
      </c>
      <c r="DT59" s="87" t="str">
        <f aca="false">IF($DF59&gt;$DE$8,"",VLOOKUP($DF59,$DH$9:$DN$508,6,FALSE()))</f>
        <v/>
      </c>
      <c r="DU59" s="62"/>
    </row>
    <row r="60" customFormat="false" ht="15.75" hidden="false" customHeight="false" outlineLevel="0" collapsed="false">
      <c r="A60" s="7"/>
      <c r="B60" s="90"/>
      <c r="C60" s="91"/>
      <c r="D60" s="126"/>
      <c r="E60" s="130"/>
      <c r="F60" s="135"/>
      <c r="G60" s="130"/>
      <c r="H60" s="135"/>
      <c r="I60" s="95"/>
      <c r="J60" s="95"/>
      <c r="K60" s="95"/>
      <c r="L60" s="130"/>
      <c r="M60" s="130"/>
      <c r="N60" s="130"/>
      <c r="O60" s="135"/>
      <c r="P60" s="130"/>
      <c r="Q60" s="130"/>
      <c r="R60" s="130"/>
      <c r="S60" s="130"/>
      <c r="T60" s="135"/>
      <c r="U60" s="130"/>
      <c r="V60" s="96"/>
      <c r="W60" s="130"/>
      <c r="X60" s="130"/>
      <c r="Y60" s="96"/>
      <c r="Z60" s="96"/>
      <c r="AA60" s="130"/>
      <c r="AB60" s="130"/>
      <c r="AC60" s="97"/>
      <c r="AD60" s="130"/>
      <c r="AE60" s="99"/>
      <c r="AF60" s="100"/>
      <c r="AG60" s="100"/>
      <c r="AH60" s="100" t="str">
        <f aca="false">IF(ISBLANK($C60),"",IF($E60=Constants!$B$2,TRUE(),IF($E60=Constants!$B$3,FALSE(),TRUE())))</f>
        <v/>
      </c>
      <c r="AI60" s="100" t="str">
        <f aca="false">IF(ISBLANK($C60),"",IF($F60=Constants!$B$2,TRUE(),IF($F60=Constants!$B$3,FALSE(),FALSE())))</f>
        <v/>
      </c>
      <c r="AJ60" s="100" t="str">
        <f aca="false">IF(ISBLANK($C60),"",IF($G60=Constants!$B$2,TRUE(),IF($G60=Constants!$B$3,FALSE(),TRUE())))</f>
        <v/>
      </c>
      <c r="AK60" s="100" t="str">
        <f aca="false">IF(ISBLANK($C60),"",IF($H60=Constants!$B$2,TRUE(),IF($H60=Constants!$B$3,FALSE(),TRUE())))</f>
        <v/>
      </c>
      <c r="AL60" s="100" t="str">
        <f aca="false">IF(ISBLANK($C60),"",IF(ISNUMBER($I60),IF($I60&gt;=0,$I60,""),""))</f>
        <v/>
      </c>
      <c r="AM60" s="100" t="str">
        <f aca="false">IF(ISBLANK($C60),"",IF(ISNUMBER($J60),IF($J60&gt;=0,$J60,""),""))</f>
        <v/>
      </c>
      <c r="AN60" s="100" t="str">
        <f aca="false">IF(ISBLANK($C60),"",IF(ISNUMBER($K60),IF($K60&gt;=0,$K60,""),""))</f>
        <v/>
      </c>
      <c r="AO60" s="100" t="str">
        <f aca="false">IF(ISBLANK($C60),"",IF($L60=Constants!$B$2,TRUE(),IF($L60=Constants!$B$3,FALSE(),TRUE())))</f>
        <v/>
      </c>
      <c r="AP60" s="100" t="str">
        <f aca="false">IF(ISBLANK($C60),"",IF($M60=Constants!$B$2,TRUE(),IF($M60=Constants!$B$3,FALSE(),TRUE())))</f>
        <v/>
      </c>
      <c r="AQ60" s="100" t="str">
        <f aca="false">IF(ISBLANK($C60),"",IF($N60=Constants!$B$2,TRUE(),IF($N60=Constants!$B$3,FALSE(),FALSE())))</f>
        <v/>
      </c>
      <c r="AR60" s="100" t="str">
        <f aca="false">IF(ISBLANK($C60),"",IF($O60=Constants!$B$2,TRUE(),IF($O60=Constants!$B$3,FALSE(),TRUE())))</f>
        <v/>
      </c>
      <c r="AS60" s="100" t="str">
        <f aca="false">IF(ISBLANK($C60),"",IF($P60=Constants!$B$2,TRUE(),IF($P60=Constants!$B$3,FALSE(),FALSE())))</f>
        <v/>
      </c>
      <c r="AT60" s="100" t="str">
        <f aca="false">IF(ISBLANK($C60),"",IF($Q60=Constants!$B$2,TRUE(),IF($Q60=Constants!$B$3,FALSE(),FALSE())))</f>
        <v/>
      </c>
      <c r="AU60" s="100" t="str">
        <f aca="false">IF(ISBLANK($C60),"",IF($R60=Constants!$B$2,TRUE(),IF($R60=Constants!$B$3,FALSE(),FALSE())))</f>
        <v/>
      </c>
      <c r="AV60" s="100" t="str">
        <f aca="false">IF(ISBLANK($C60),"",IF($S60=Constants!$B$2,TRUE(),IF($S60=Constants!$B$3,FALSE(),FALSE())))</f>
        <v/>
      </c>
      <c r="AW60" s="100" t="str">
        <f aca="false">IF(ISBLANK($C60),"",IF($T60=Constants!$B$2,TRUE(),IF($T60=Constants!$B$3,FALSE(),FALSE())))</f>
        <v/>
      </c>
      <c r="AX60" s="100" t="str">
        <f aca="false">IF(ISBLANK($C60),"",IF(OR($U60&amp;""="1",$U60&amp;""="2",$U60&amp;""="3",$U60&amp;""="4"),VALUE($U60&amp;""),IF($U60=Constants!$B$12,Constants!$B$12,"")))</f>
        <v/>
      </c>
      <c r="AY60" s="100" t="str">
        <f aca="false">IF(ISBLANK($C60),"",IF(ISBLANK($V60),0,IF(ISNUMBER($V60),IF(AND($V60&gt;=0,$V60&lt;=Constants!$B$21,$V60=INT($V60)),$V60,""),"")))</f>
        <v/>
      </c>
      <c r="AZ60" s="100" t="str">
        <f aca="false">IF(ISBLANK($C60),"",IF(ISBLANK($W60),0,IF(ISNUMBER($W60),IF($W60&gt;=0,$W60,""),"")))</f>
        <v/>
      </c>
      <c r="BA60" s="100" t="str">
        <f aca="false">IF(ISBLANK($C60),"",IF($X60=Constants!$B$2,TRUE(),IF($X60=Constants!$B$3,FALSE(),TRUE())))</f>
        <v/>
      </c>
      <c r="BB60" s="100" t="str">
        <f aca="false">IF(ISBLANK($C60),"",IF($Y60=Constants!$B$2,TRUE(),IF($Y60=Constants!$B$3,FALSE(),FALSE())))</f>
        <v/>
      </c>
      <c r="BC60" s="100" t="str">
        <f aca="false">IF(ISBLANK($C60),"",IF(ISBLANK($Z60),0,IF(ISNUMBER($Z60),IF(AND($Z60&gt;=0,$Z60&lt;=Constants!$B$35,$Z60=INT($Z60)),$Z60,""),"")))</f>
        <v/>
      </c>
      <c r="BD60" s="100" t="str">
        <f aca="false">IF(ISBLANK($C60),"",IF($AA60=Constants!$B$2,TRUE(),IF($AA60=Constants!$B$3,FALSE(),TRUE())))</f>
        <v/>
      </c>
      <c r="BE60" s="100" t="str">
        <f aca="false">IF(ISBLANK($C60),"",IF($AB60=Constants!$B$2,TRUE(),IF($AB60=Constants!$B$3,FALSE(),TRUE())))</f>
        <v/>
      </c>
      <c r="BF60" s="100" t="str">
        <f aca="false">IF(ISBLANK($C60),"",IF(ISNUMBER($AC60),IF($AC60&gt;=0,$AC60,""),""))</f>
        <v/>
      </c>
      <c r="BG60" s="100" t="str">
        <f aca="false">IF(ISBLANK($C60),"",IF($AD60=Constants!$B$2,TRUE(),IF($AD60=Constants!$B$3,FALSE(),FALSE())))</f>
        <v/>
      </c>
      <c r="BH60" s="99" t="str">
        <f aca="false">IF(ISBLANK($C60),"",IF($BG60,Constants!$B$7,IF(COUNTA($E60:$AC60)=0,Constants!$B$6,IF(OR(COUNTA($G60:$AC60)=0,NOT($AK60),$AQ60),Constants!$B$5,IF(OR($CI60&lt;&gt;"",$CJ60,$CK60,$CL60,$CM60,$CN60,$CO60),Constants!$B$8,Constants!$B$4)))))</f>
        <v/>
      </c>
      <c r="BI60" s="100" t="str">
        <f aca="false">IF(ISBLANK($C60),"",IF($BH60&lt;&gt;Constants!$B$4,$BH60,IF(OR(NOT($AH60),NOT($AJ60),NOT($AR60)),Constants!$B$11,IF(OR(NOT($AP60),MAX($AL60,$AM60,$AN60)&gt;Constants!$B$30),Constants!$B$10,Constants!$B$9))))</f>
        <v/>
      </c>
      <c r="BJ60" s="100" t="str">
        <f aca="false">IF($BH60&lt;&gt;Constants!$B$4,"",IF(NOT($AJ60),0,MIN(Constants!$B$35,$BC60)))</f>
        <v/>
      </c>
      <c r="BK60" s="100" t="str">
        <f aca="false">IF($BH60&lt;&gt;Constants!$B$4,"",IF(NOT($AJ60),0,IF($AT60,Constants!$B$18,IF($AS60,Constants!$B$17,0))))</f>
        <v/>
      </c>
      <c r="BL60" s="100" t="str">
        <f aca="false">IF($BH60&lt;&gt;Constants!$B$4,"",IF(NOT($AJ60),0,Constants!$B$19*($AI60+$AU60+$AV60+$AW60)))</f>
        <v/>
      </c>
      <c r="BM60" s="100" t="str">
        <f aca="false">IF($BH60&lt;&gt;Constants!$B$4,"",IF(OR(NOT($AJ60),NOT(ISNUMBER($AX60))),0,CHOOSE($AX60,Constants!$B$13,Constants!$B$14,Constants!$B$15,Constants!$B$16)))</f>
        <v/>
      </c>
      <c r="BN60" s="100" t="str">
        <f aca="false">IF($BH60&lt;&gt;Constants!$B$4,"",IF(NOT($AJ60),0,Constants!$B$20*$AY60))</f>
        <v/>
      </c>
      <c r="BO60" s="100" t="str">
        <f aca="false">IF($BH60&lt;&gt;Constants!$B$4,"",IF(AND($AJ60,$BA60,$BB60),Constants!$B$22,0))</f>
        <v/>
      </c>
      <c r="BP60" s="100" t="str">
        <f aca="false">IF($BH60&lt;&gt;Constants!$B$4,"",IF(OR(NOT($AJ60),NOT($BA60)),0,IF($BF60&gt;=2*$AF$9,0,Constants!$B$23*INT(ROUND(MIN($BF60,$AF$9),6)))))</f>
        <v/>
      </c>
      <c r="BQ60" s="100" t="str">
        <f aca="false">IF($BH60&lt;&gt;Constants!$B$4,"",IF(NOT($AJ60),0,Constants!$B$24*INT(ROUND(MIN($AZ60,$AF$9),6))))</f>
        <v/>
      </c>
      <c r="BR60" s="100" t="str">
        <f aca="false">IF($BH60&lt;&gt;Constants!$B$4,"",IF(AND($AJ60,$BJ60=0),Constants!$B$25,0))</f>
        <v/>
      </c>
      <c r="BS60" s="100" t="str">
        <f aca="false">IF($BH60&lt;&gt;Constants!$B$4,"",MIN(Constants!$B$29,MAX(0,Constants!$B$27*Constants!$B$28*INT(ROUND((Constants!$B$26-$AL60)/Constants!$B$28,6))))+MIN(Constants!$B$29,MAX(0,Constants!$B$27*Constants!$B$28*INT(ROUND((Constants!$B$26-$AM60)/Constants!$B$28,6))))+MIN(Constants!$B$29,MAX(0,Constants!$B$27*Constants!$B$28*INT(ROUND((Constants!$B$26-$AN60)/Constants!$B$28,6)))))</f>
        <v/>
      </c>
      <c r="BT60" s="100" t="str">
        <f aca="false">IF($BH60&lt;&gt;Constants!$B$4,"",IF(NOT($AJ60),0,Constants!$B$31*INT(ROUND(MAX(0,MIN($BF60,2*$AF$9)-$AF$9),6))))</f>
        <v/>
      </c>
      <c r="BU60" s="100" t="str">
        <f aca="false">IF($BH60&lt;&gt;Constants!$B$4,"",Constants!$B$32*(($AL60&gt;Constants!$B$26)+($AM60&gt;Constants!$B$26)+($AN60&gt;Constants!$B$26)))</f>
        <v/>
      </c>
      <c r="BV60" s="100" t="str">
        <f aca="false">IF($BH60&lt;&gt;Constants!$B$4,"",IF(OR(NOT($AJ60),$AO60),0,Constants!$B$33))</f>
        <v/>
      </c>
      <c r="BW60" s="100" t="str">
        <f aca="false">IF($BH60&lt;&gt;Constants!$B$4,"",Constants!$B$34*$BJ60)</f>
        <v/>
      </c>
      <c r="BX60" s="100" t="str">
        <f aca="false">IF($BH60&lt;&gt;Constants!$B$4,"",IF(OR(NOT($AJ60),$BE60),0,Constants!$B$36))</f>
        <v/>
      </c>
      <c r="BY60" s="100" t="str">
        <f aca="false">IF($BH60&lt;&gt;Constants!$B$4,"",IF(OR(NOT($AJ60),$BD60),0,Constants!$B$37))</f>
        <v/>
      </c>
      <c r="BZ60" s="100" t="str">
        <f aca="false">IF($BH60&lt;&gt;Constants!$B$4,"",SUM($BT60:$BY60))</f>
        <v/>
      </c>
      <c r="CA60" s="100" t="str">
        <f aca="false">IF(ISBLANK($C60),"",IF($BH60&lt;&gt;Constants!$B$4,$BH60,SUM($BK60:$BS60)-$BZ60))</f>
        <v/>
      </c>
      <c r="CB60" s="100" t="str">
        <f aca="false">IF(ISBLANK($C60),"",IF($BH60&lt;&gt;Constants!$B$4,$BH60,RANK($CA60,$CA$9:$CA$508)))</f>
        <v/>
      </c>
      <c r="CC60" s="100" t="str">
        <f aca="false">IF(ISBLANK($C60),"",IF($BH60&lt;&gt;Constants!$B$4,$BH60,COUNTIFS($BI$9:$BI$508,"&lt;"&amp;$BI60)+COUNTIFS($BI$9:$BI$508,$BI60,$CB$9:$CB$508,"&lt;"&amp;$CB60)+1))</f>
        <v/>
      </c>
      <c r="CD60" s="100" t="str">
        <f aca="false">IF(ISBLANK($C60),"",IF($BH60&lt;&gt;Constants!$B$4,$BH60,RANK($BZ60,$BZ$9:$BZ$508,1)))</f>
        <v/>
      </c>
      <c r="CE60" s="100" t="str">
        <f aca="false">IF($BH60&lt;&gt;Constants!$B$4,"",$AL60+$AM60+$AN60)</f>
        <v/>
      </c>
      <c r="CF60" s="100" t="str">
        <f aca="false">IF(ISBLANK($C60),"",IF($BH60&lt;&gt;Constants!$B$4,$BH60,RANK($CE60,$CE$9:$CE$508,1)))</f>
        <v/>
      </c>
      <c r="CG60" s="100" t="str">
        <f aca="false">IF(ISBLANK($C60),"",IF($BH60&lt;&gt;Constants!$B$4,$BH60,COUNTIFS($BI$9:$BI$508,"&lt;"&amp;$BI60)+COUNTIFS($BI$9:$BI$508,$BI60,$CB$9:$CB$508,"&lt;"&amp;$CB60)+COUNTIFS($BI$9:$BI$508,$BI60,$CB$9:$CB$508,$CB60,$CD$9:$CD$508,"&lt;"&amp;$CD60)+COUNTIFS($BI$9:$BI$508,$BI60,$CB$9:$CB$508,$CB60,$CD$9:$CD$508,$CD60,$CF$9:$CF$508,"&lt;"&amp;$CF60)+1))</f>
        <v/>
      </c>
      <c r="CH60" s="100" t="str">
        <f aca="false">IF(ISBLANK($C60),"",IF($BH60&lt;&gt;Constants!$B$4,$BH60,$CC60-$CG60))</f>
        <v/>
      </c>
      <c r="CI60" s="100" t="str">
        <f aca="false">IF(ISBLANK($C60),"",IF(NOT($AJ60),"",IF(ISBLANK($D$7),$CI$5,IF(NOT(ISNUMBER($D$7)),$CI$6,""))))</f>
        <v/>
      </c>
      <c r="CJ60" s="100" t="str">
        <f aca="false">IF(ISBLANK($C60),"",OR($AL60="",$AM60="",$AN60=""))</f>
        <v/>
      </c>
      <c r="CK60" s="100" t="str">
        <f aca="false">IF(ISBLANK($C60),"",AND($AJ60,$AX60=""))</f>
        <v/>
      </c>
      <c r="CL60" s="100" t="str">
        <f aca="false">IF(ISBLANK($C60),"",AND($AJ60,$AY60=""))</f>
        <v/>
      </c>
      <c r="CM60" s="100" t="str">
        <f aca="false">IF(ISBLANK($C60),"",AND($AJ60,$AZ60=""))</f>
        <v/>
      </c>
      <c r="CN60" s="100" t="str">
        <f aca="false">IF(ISBLANK($C60),"",AND($AJ60,$BC60=""))</f>
        <v/>
      </c>
      <c r="CO60" s="100" t="str">
        <f aca="false">IF(ISBLANK($C60),"",AND($AJ60,$BF60=""))</f>
        <v/>
      </c>
      <c r="CP60" s="101"/>
      <c r="CQ60" s="102"/>
      <c r="CR60" s="103" t="str">
        <f aca="false">IF(ISBLANK($C60),"",IF($BH60=Constants!$B$8,$CI60,""))</f>
        <v/>
      </c>
      <c r="CS60" s="102" t="str">
        <f aca="false">IF(ISBLANK($C60),"",IF($BH60&lt;&gt;Constants!$B$4,"",$BK60+$BL60))</f>
        <v/>
      </c>
      <c r="CT60" s="104" t="str">
        <f aca="false">IF(ISBLANK($C60),"",IF($BH60&lt;&gt;Constants!$B$4,"",$BM60+$BN60+$BO60))</f>
        <v/>
      </c>
      <c r="CU60" s="104" t="str">
        <f aca="false">IF(ISBLANK($C60),"",IF($BH60&lt;&gt;Constants!$B$4,"",$BP60))</f>
        <v/>
      </c>
      <c r="CV60" s="104" t="str">
        <f aca="false">IF(ISBLANK($C60),"",IF($BH60&lt;&gt;Constants!$B$4,"",$BQ60+$BR60))</f>
        <v/>
      </c>
      <c r="CW60" s="104" t="str">
        <f aca="false">IF(ISBLANK($C60),"",IF($BH60&lt;&gt;Constants!$B$4,"",$BS60))</f>
        <v/>
      </c>
      <c r="CX60" s="104" t="str">
        <f aca="false">IF(ISBLANK($C60),"",IF($BH60&lt;&gt;Constants!$B$4,"",-$BZ60))</f>
        <v/>
      </c>
      <c r="CY60" s="103" t="str">
        <f aca="false">IF(ISBLANK($C60),"",$CA60)</f>
        <v/>
      </c>
      <c r="CZ60" s="105" t="str">
        <f aca="false">IF(ISBLANK($C60),"",$BI60)</f>
        <v/>
      </c>
      <c r="DA60" s="104" t="str">
        <f aca="false">IF(ISBLANK($C60),"",$CH60)</f>
        <v/>
      </c>
      <c r="DB60" s="104" t="str">
        <f aca="false">IF(ISBLANK($C60),"",$CG60)</f>
        <v/>
      </c>
      <c r="DC60" s="106" t="str">
        <f aca="false">IF(ISBLANK($C60),"",IFERROR(_xlfn.SWITCH($DB60,Constants!$B$7,COUNTA($C$9:$C$508)+2,Constants!$B$6,COUNTA($C$9:$C$508)+1,Constants!$B$5,COUNTA($C$9:$C$508)),$DB60))</f>
        <v/>
      </c>
      <c r="DD60" s="7"/>
      <c r="DE60" s="107" t="n">
        <f aca="false">IF(OR(ISNUMBER($DB60),$DB60=Constants!$B$7,$DB60=Constants!$B$5,$DB60=Constants!$B$6),1,0)</f>
        <v>0</v>
      </c>
      <c r="DF60" s="107" t="n">
        <v>52</v>
      </c>
      <c r="DG60" s="107" t="str">
        <f aca="false">IF(ISBLANK($C60),"",IF(ISNUMBER($DC60),$DC60+ROW($B60)/1000,""))</f>
        <v/>
      </c>
      <c r="DH60" s="107" t="str">
        <f aca="false">IF(ISNUMBER($DG60),RANK($DG60,$DG$9:$DG$508,1),"")</f>
        <v/>
      </c>
      <c r="DI60" s="107" t="str">
        <f aca="false">IF(ISBLANK($C60),"",$B60)</f>
        <v/>
      </c>
      <c r="DJ60" s="107" t="str">
        <f aca="false">IF(ISBLANK($C60),"",$C60)</f>
        <v/>
      </c>
      <c r="DK60" s="107" t="str">
        <f aca="false">IF(ISBLANK($C60),"",$D60)</f>
        <v/>
      </c>
      <c r="DL60" s="108" t="str">
        <f aca="false">$CZ60</f>
        <v/>
      </c>
      <c r="DM60" s="109" t="str">
        <f aca="false">$CY60</f>
        <v/>
      </c>
      <c r="DN60" s="107" t="str">
        <f aca="false">IF(ISBLANK($C60),"",$DB60)</f>
        <v/>
      </c>
      <c r="DO60" s="110" t="str">
        <f aca="false">IF($DF60&gt;$DE$8,"",VLOOKUP($DF60,$DH$9:$DN$508,7,FALSE()))</f>
        <v/>
      </c>
      <c r="DP60" s="111" t="str">
        <f aca="false">IF($DF60&gt;$DE$8,"",VLOOKUP($DF60,$DH$9:$DN$508,2,FALSE()))</f>
        <v/>
      </c>
      <c r="DQ60" s="111" t="str">
        <f aca="false">IF($DF60&gt;$DE$8,"",VLOOKUP($DF60,$DH$9:$DN$508,3,FALSE()))</f>
        <v/>
      </c>
      <c r="DR60" s="111" t="str">
        <f aca="false">IF($DF60&gt;$DE$8,"",VLOOKUP($DF60,$DH$9:$DN$508,4,FALSE()))</f>
        <v/>
      </c>
      <c r="DS60" s="111" t="str">
        <f aca="false">IF($DF60&gt;$DE$8,"",VLOOKUP($DF60,$DH$9:$DN$508,5,FALSE()))</f>
        <v/>
      </c>
      <c r="DT60" s="112" t="str">
        <f aca="false">IF($DF60&gt;$DE$8,"",VLOOKUP($DF60,$DH$9:$DN$508,6,FALSE()))</f>
        <v/>
      </c>
      <c r="DU60" s="62"/>
    </row>
    <row r="61" customFormat="false" ht="15.75" hidden="false" customHeight="false" outlineLevel="0" collapsed="false">
      <c r="A61" s="7"/>
      <c r="B61" s="90"/>
      <c r="C61" s="91"/>
      <c r="D61" s="126"/>
      <c r="E61" s="130"/>
      <c r="F61" s="135"/>
      <c r="G61" s="130"/>
      <c r="H61" s="135"/>
      <c r="I61" s="95"/>
      <c r="J61" s="95"/>
      <c r="K61" s="95"/>
      <c r="L61" s="130"/>
      <c r="M61" s="130"/>
      <c r="N61" s="130"/>
      <c r="O61" s="135"/>
      <c r="P61" s="130"/>
      <c r="Q61" s="130"/>
      <c r="R61" s="130"/>
      <c r="S61" s="130"/>
      <c r="T61" s="135"/>
      <c r="U61" s="130"/>
      <c r="V61" s="96"/>
      <c r="W61" s="130"/>
      <c r="X61" s="130"/>
      <c r="Y61" s="96"/>
      <c r="Z61" s="96"/>
      <c r="AA61" s="130"/>
      <c r="AB61" s="130"/>
      <c r="AC61" s="97"/>
      <c r="AD61" s="130"/>
      <c r="AE61" s="99"/>
      <c r="AF61" s="100"/>
      <c r="AG61" s="100"/>
      <c r="AH61" s="100" t="str">
        <f aca="false">IF(ISBLANK($C61),"",IF($E61=Constants!$B$2,TRUE(),IF($E61=Constants!$B$3,FALSE(),TRUE())))</f>
        <v/>
      </c>
      <c r="AI61" s="100" t="str">
        <f aca="false">IF(ISBLANK($C61),"",IF($F61=Constants!$B$2,TRUE(),IF($F61=Constants!$B$3,FALSE(),FALSE())))</f>
        <v/>
      </c>
      <c r="AJ61" s="100" t="str">
        <f aca="false">IF(ISBLANK($C61),"",IF($G61=Constants!$B$2,TRUE(),IF($G61=Constants!$B$3,FALSE(),TRUE())))</f>
        <v/>
      </c>
      <c r="AK61" s="100" t="str">
        <f aca="false">IF(ISBLANK($C61),"",IF($H61=Constants!$B$2,TRUE(),IF($H61=Constants!$B$3,FALSE(),TRUE())))</f>
        <v/>
      </c>
      <c r="AL61" s="100" t="str">
        <f aca="false">IF(ISBLANK($C61),"",IF(ISNUMBER($I61),IF($I61&gt;=0,$I61,""),""))</f>
        <v/>
      </c>
      <c r="AM61" s="100" t="str">
        <f aca="false">IF(ISBLANK($C61),"",IF(ISNUMBER($J61),IF($J61&gt;=0,$J61,""),""))</f>
        <v/>
      </c>
      <c r="AN61" s="100" t="str">
        <f aca="false">IF(ISBLANK($C61),"",IF(ISNUMBER($K61),IF($K61&gt;=0,$K61,""),""))</f>
        <v/>
      </c>
      <c r="AO61" s="100" t="str">
        <f aca="false">IF(ISBLANK($C61),"",IF($L61=Constants!$B$2,TRUE(),IF($L61=Constants!$B$3,FALSE(),TRUE())))</f>
        <v/>
      </c>
      <c r="AP61" s="100" t="str">
        <f aca="false">IF(ISBLANK($C61),"",IF($M61=Constants!$B$2,TRUE(),IF($M61=Constants!$B$3,FALSE(),TRUE())))</f>
        <v/>
      </c>
      <c r="AQ61" s="100" t="str">
        <f aca="false">IF(ISBLANK($C61),"",IF($N61=Constants!$B$2,TRUE(),IF($N61=Constants!$B$3,FALSE(),FALSE())))</f>
        <v/>
      </c>
      <c r="AR61" s="100" t="str">
        <f aca="false">IF(ISBLANK($C61),"",IF($O61=Constants!$B$2,TRUE(),IF($O61=Constants!$B$3,FALSE(),TRUE())))</f>
        <v/>
      </c>
      <c r="AS61" s="100" t="str">
        <f aca="false">IF(ISBLANK($C61),"",IF($P61=Constants!$B$2,TRUE(),IF($P61=Constants!$B$3,FALSE(),FALSE())))</f>
        <v/>
      </c>
      <c r="AT61" s="100" t="str">
        <f aca="false">IF(ISBLANK($C61),"",IF($Q61=Constants!$B$2,TRUE(),IF($Q61=Constants!$B$3,FALSE(),FALSE())))</f>
        <v/>
      </c>
      <c r="AU61" s="100" t="str">
        <f aca="false">IF(ISBLANK($C61),"",IF($R61=Constants!$B$2,TRUE(),IF($R61=Constants!$B$3,FALSE(),FALSE())))</f>
        <v/>
      </c>
      <c r="AV61" s="100" t="str">
        <f aca="false">IF(ISBLANK($C61),"",IF($S61=Constants!$B$2,TRUE(),IF($S61=Constants!$B$3,FALSE(),FALSE())))</f>
        <v/>
      </c>
      <c r="AW61" s="100" t="str">
        <f aca="false">IF(ISBLANK($C61),"",IF($T61=Constants!$B$2,TRUE(),IF($T61=Constants!$B$3,FALSE(),FALSE())))</f>
        <v/>
      </c>
      <c r="AX61" s="100" t="str">
        <f aca="false">IF(ISBLANK($C61),"",IF(OR($U61&amp;""="1",$U61&amp;""="2",$U61&amp;""="3",$U61&amp;""="4"),VALUE($U61&amp;""),IF($U61=Constants!$B$12,Constants!$B$12,"")))</f>
        <v/>
      </c>
      <c r="AY61" s="100" t="str">
        <f aca="false">IF(ISBLANK($C61),"",IF(ISBLANK($V61),0,IF(ISNUMBER($V61),IF(AND($V61&gt;=0,$V61&lt;=Constants!$B$21,$V61=INT($V61)),$V61,""),"")))</f>
        <v/>
      </c>
      <c r="AZ61" s="100" t="str">
        <f aca="false">IF(ISBLANK($C61),"",IF(ISBLANK($W61),0,IF(ISNUMBER($W61),IF($W61&gt;=0,$W61,""),"")))</f>
        <v/>
      </c>
      <c r="BA61" s="100" t="str">
        <f aca="false">IF(ISBLANK($C61),"",IF($X61=Constants!$B$2,TRUE(),IF($X61=Constants!$B$3,FALSE(),TRUE())))</f>
        <v/>
      </c>
      <c r="BB61" s="100" t="str">
        <f aca="false">IF(ISBLANK($C61),"",IF($Y61=Constants!$B$2,TRUE(),IF($Y61=Constants!$B$3,FALSE(),FALSE())))</f>
        <v/>
      </c>
      <c r="BC61" s="100" t="str">
        <f aca="false">IF(ISBLANK($C61),"",IF(ISBLANK($Z61),0,IF(ISNUMBER($Z61),IF(AND($Z61&gt;=0,$Z61&lt;=Constants!$B$35,$Z61=INT($Z61)),$Z61,""),"")))</f>
        <v/>
      </c>
      <c r="BD61" s="100" t="str">
        <f aca="false">IF(ISBLANK($C61),"",IF($AA61=Constants!$B$2,TRUE(),IF($AA61=Constants!$B$3,FALSE(),TRUE())))</f>
        <v/>
      </c>
      <c r="BE61" s="100" t="str">
        <f aca="false">IF(ISBLANK($C61),"",IF($AB61=Constants!$B$2,TRUE(),IF($AB61=Constants!$B$3,FALSE(),TRUE())))</f>
        <v/>
      </c>
      <c r="BF61" s="100" t="str">
        <f aca="false">IF(ISBLANK($C61),"",IF(ISNUMBER($AC61),IF($AC61&gt;=0,$AC61,""),""))</f>
        <v/>
      </c>
      <c r="BG61" s="100" t="str">
        <f aca="false">IF(ISBLANK($C61),"",IF($AD61=Constants!$B$2,TRUE(),IF($AD61=Constants!$B$3,FALSE(),FALSE())))</f>
        <v/>
      </c>
      <c r="BH61" s="99" t="str">
        <f aca="false">IF(ISBLANK($C61),"",IF($BG61,Constants!$B$7,IF(COUNTA($E61:$AC61)=0,Constants!$B$6,IF(OR(COUNTA($G61:$AC61)=0,NOT($AK61),$AQ61),Constants!$B$5,IF(OR($CI61&lt;&gt;"",$CJ61,$CK61,$CL61,$CM61,$CN61,$CO61),Constants!$B$8,Constants!$B$4)))))</f>
        <v/>
      </c>
      <c r="BI61" s="100" t="str">
        <f aca="false">IF(ISBLANK($C61),"",IF($BH61&lt;&gt;Constants!$B$4,$BH61,IF(OR(NOT($AH61),NOT($AJ61),NOT($AR61)),Constants!$B$11,IF(OR(NOT($AP61),MAX($AL61,$AM61,$AN61)&gt;Constants!$B$30),Constants!$B$10,Constants!$B$9))))</f>
        <v/>
      </c>
      <c r="BJ61" s="100" t="str">
        <f aca="false">IF($BH61&lt;&gt;Constants!$B$4,"",IF(NOT($AJ61),0,MIN(Constants!$B$35,$BC61)))</f>
        <v/>
      </c>
      <c r="BK61" s="100" t="str">
        <f aca="false">IF($BH61&lt;&gt;Constants!$B$4,"",IF(NOT($AJ61),0,IF($AT61,Constants!$B$18,IF($AS61,Constants!$B$17,0))))</f>
        <v/>
      </c>
      <c r="BL61" s="100" t="str">
        <f aca="false">IF($BH61&lt;&gt;Constants!$B$4,"",IF(NOT($AJ61),0,Constants!$B$19*($AI61+$AU61+$AV61+$AW61)))</f>
        <v/>
      </c>
      <c r="BM61" s="100" t="str">
        <f aca="false">IF($BH61&lt;&gt;Constants!$B$4,"",IF(OR(NOT($AJ61),NOT(ISNUMBER($AX61))),0,CHOOSE($AX61,Constants!$B$13,Constants!$B$14,Constants!$B$15,Constants!$B$16)))</f>
        <v/>
      </c>
      <c r="BN61" s="100" t="str">
        <f aca="false">IF($BH61&lt;&gt;Constants!$B$4,"",IF(NOT($AJ61),0,Constants!$B$20*$AY61))</f>
        <v/>
      </c>
      <c r="BO61" s="100" t="str">
        <f aca="false">IF($BH61&lt;&gt;Constants!$B$4,"",IF(AND($AJ61,$BA61,$BB61),Constants!$B$22,0))</f>
        <v/>
      </c>
      <c r="BP61" s="100" t="str">
        <f aca="false">IF($BH61&lt;&gt;Constants!$B$4,"",IF(OR(NOT($AJ61),NOT($BA61)),0,IF($BF61&gt;=2*$AF$9,0,Constants!$B$23*INT(ROUND(MIN($BF61,$AF$9),6)))))</f>
        <v/>
      </c>
      <c r="BQ61" s="100" t="str">
        <f aca="false">IF($BH61&lt;&gt;Constants!$B$4,"",IF(NOT($AJ61),0,Constants!$B$24*INT(ROUND(MIN($AZ61,$AF$9),6))))</f>
        <v/>
      </c>
      <c r="BR61" s="100" t="str">
        <f aca="false">IF($BH61&lt;&gt;Constants!$B$4,"",IF(AND($AJ61,$BJ61=0),Constants!$B$25,0))</f>
        <v/>
      </c>
      <c r="BS61" s="100" t="str">
        <f aca="false">IF($BH61&lt;&gt;Constants!$B$4,"",MIN(Constants!$B$29,MAX(0,Constants!$B$27*Constants!$B$28*INT(ROUND((Constants!$B$26-$AL61)/Constants!$B$28,6))))+MIN(Constants!$B$29,MAX(0,Constants!$B$27*Constants!$B$28*INT(ROUND((Constants!$B$26-$AM61)/Constants!$B$28,6))))+MIN(Constants!$B$29,MAX(0,Constants!$B$27*Constants!$B$28*INT(ROUND((Constants!$B$26-$AN61)/Constants!$B$28,6)))))</f>
        <v/>
      </c>
      <c r="BT61" s="100" t="str">
        <f aca="false">IF($BH61&lt;&gt;Constants!$B$4,"",IF(NOT($AJ61),0,Constants!$B$31*INT(ROUND(MAX(0,MIN($BF61,2*$AF$9)-$AF$9),6))))</f>
        <v/>
      </c>
      <c r="BU61" s="100" t="str">
        <f aca="false">IF($BH61&lt;&gt;Constants!$B$4,"",Constants!$B$32*(($AL61&gt;Constants!$B$26)+($AM61&gt;Constants!$B$26)+($AN61&gt;Constants!$B$26)))</f>
        <v/>
      </c>
      <c r="BV61" s="100" t="str">
        <f aca="false">IF($BH61&lt;&gt;Constants!$B$4,"",IF(OR(NOT($AJ61),$AO61),0,Constants!$B$33))</f>
        <v/>
      </c>
      <c r="BW61" s="100" t="str">
        <f aca="false">IF($BH61&lt;&gt;Constants!$B$4,"",Constants!$B$34*$BJ61)</f>
        <v/>
      </c>
      <c r="BX61" s="100" t="str">
        <f aca="false">IF($BH61&lt;&gt;Constants!$B$4,"",IF(OR(NOT($AJ61),$BE61),0,Constants!$B$36))</f>
        <v/>
      </c>
      <c r="BY61" s="100" t="str">
        <f aca="false">IF($BH61&lt;&gt;Constants!$B$4,"",IF(OR(NOT($AJ61),$BD61),0,Constants!$B$37))</f>
        <v/>
      </c>
      <c r="BZ61" s="100" t="str">
        <f aca="false">IF($BH61&lt;&gt;Constants!$B$4,"",SUM($BT61:$BY61))</f>
        <v/>
      </c>
      <c r="CA61" s="100" t="str">
        <f aca="false">IF(ISBLANK($C61),"",IF($BH61&lt;&gt;Constants!$B$4,$BH61,SUM($BK61:$BS61)-$BZ61))</f>
        <v/>
      </c>
      <c r="CB61" s="100" t="str">
        <f aca="false">IF(ISBLANK($C61),"",IF($BH61&lt;&gt;Constants!$B$4,$BH61,RANK($CA61,$CA$9:$CA$508)))</f>
        <v/>
      </c>
      <c r="CC61" s="100" t="str">
        <f aca="false">IF(ISBLANK($C61),"",IF($BH61&lt;&gt;Constants!$B$4,$BH61,COUNTIFS($BI$9:$BI$508,"&lt;"&amp;$BI61)+COUNTIFS($BI$9:$BI$508,$BI61,$CB$9:$CB$508,"&lt;"&amp;$CB61)+1))</f>
        <v/>
      </c>
      <c r="CD61" s="100" t="str">
        <f aca="false">IF(ISBLANK($C61),"",IF($BH61&lt;&gt;Constants!$B$4,$BH61,RANK($BZ61,$BZ$9:$BZ$508,1)))</f>
        <v/>
      </c>
      <c r="CE61" s="100" t="str">
        <f aca="false">IF($BH61&lt;&gt;Constants!$B$4,"",$AL61+$AM61+$AN61)</f>
        <v/>
      </c>
      <c r="CF61" s="100" t="str">
        <f aca="false">IF(ISBLANK($C61),"",IF($BH61&lt;&gt;Constants!$B$4,$BH61,RANK($CE61,$CE$9:$CE$508,1)))</f>
        <v/>
      </c>
      <c r="CG61" s="100" t="str">
        <f aca="false">IF(ISBLANK($C61),"",IF($BH61&lt;&gt;Constants!$B$4,$BH61,COUNTIFS($BI$9:$BI$508,"&lt;"&amp;$BI61)+COUNTIFS($BI$9:$BI$508,$BI61,$CB$9:$CB$508,"&lt;"&amp;$CB61)+COUNTIFS($BI$9:$BI$508,$BI61,$CB$9:$CB$508,$CB61,$CD$9:$CD$508,"&lt;"&amp;$CD61)+COUNTIFS($BI$9:$BI$508,$BI61,$CB$9:$CB$508,$CB61,$CD$9:$CD$508,$CD61,$CF$9:$CF$508,"&lt;"&amp;$CF61)+1))</f>
        <v/>
      </c>
      <c r="CH61" s="100" t="str">
        <f aca="false">IF(ISBLANK($C61),"",IF($BH61&lt;&gt;Constants!$B$4,$BH61,$CC61-$CG61))</f>
        <v/>
      </c>
      <c r="CI61" s="100" t="str">
        <f aca="false">IF(ISBLANK($C61),"",IF(NOT($AJ61),"",IF(ISBLANK($D$7),$CI$5,IF(NOT(ISNUMBER($D$7)),$CI$6,""))))</f>
        <v/>
      </c>
      <c r="CJ61" s="100" t="str">
        <f aca="false">IF(ISBLANK($C61),"",OR($AL61="",$AM61="",$AN61=""))</f>
        <v/>
      </c>
      <c r="CK61" s="100" t="str">
        <f aca="false">IF(ISBLANK($C61),"",AND($AJ61,$AX61=""))</f>
        <v/>
      </c>
      <c r="CL61" s="100" t="str">
        <f aca="false">IF(ISBLANK($C61),"",AND($AJ61,$AY61=""))</f>
        <v/>
      </c>
      <c r="CM61" s="100" t="str">
        <f aca="false">IF(ISBLANK($C61),"",AND($AJ61,$AZ61=""))</f>
        <v/>
      </c>
      <c r="CN61" s="100" t="str">
        <f aca="false">IF(ISBLANK($C61),"",AND($AJ61,$BC61=""))</f>
        <v/>
      </c>
      <c r="CO61" s="100" t="str">
        <f aca="false">IF(ISBLANK($C61),"",AND($AJ61,$BF61=""))</f>
        <v/>
      </c>
      <c r="CP61" s="101"/>
      <c r="CQ61" s="102"/>
      <c r="CR61" s="103" t="str">
        <f aca="false">IF(ISBLANK($C61),"",IF($BH61=Constants!$B$8,$CI61,""))</f>
        <v/>
      </c>
      <c r="CS61" s="102" t="str">
        <f aca="false">IF(ISBLANK($C61),"",IF($BH61&lt;&gt;Constants!$B$4,"",$BK61+$BL61))</f>
        <v/>
      </c>
      <c r="CT61" s="104" t="str">
        <f aca="false">IF(ISBLANK($C61),"",IF($BH61&lt;&gt;Constants!$B$4,"",$BM61+$BN61+$BO61))</f>
        <v/>
      </c>
      <c r="CU61" s="104" t="str">
        <f aca="false">IF(ISBLANK($C61),"",IF($BH61&lt;&gt;Constants!$B$4,"",$BP61))</f>
        <v/>
      </c>
      <c r="CV61" s="104" t="str">
        <f aca="false">IF(ISBLANK($C61),"",IF($BH61&lt;&gt;Constants!$B$4,"",$BQ61+$BR61))</f>
        <v/>
      </c>
      <c r="CW61" s="104" t="str">
        <f aca="false">IF(ISBLANK($C61),"",IF($BH61&lt;&gt;Constants!$B$4,"",$BS61))</f>
        <v/>
      </c>
      <c r="CX61" s="104" t="str">
        <f aca="false">IF(ISBLANK($C61),"",IF($BH61&lt;&gt;Constants!$B$4,"",-$BZ61))</f>
        <v/>
      </c>
      <c r="CY61" s="103" t="str">
        <f aca="false">IF(ISBLANK($C61),"",$CA61)</f>
        <v/>
      </c>
      <c r="CZ61" s="105" t="str">
        <f aca="false">IF(ISBLANK($C61),"",$BI61)</f>
        <v/>
      </c>
      <c r="DA61" s="104" t="str">
        <f aca="false">IF(ISBLANK($C61),"",$CH61)</f>
        <v/>
      </c>
      <c r="DB61" s="104" t="str">
        <f aca="false">IF(ISBLANK($C61),"",$CG61)</f>
        <v/>
      </c>
      <c r="DC61" s="106" t="str">
        <f aca="false">IF(ISBLANK($C61),"",IFERROR(_xlfn.SWITCH($DB61,Constants!$B$7,COUNTA($C$9:$C$508)+2,Constants!$B$6,COUNTA($C$9:$C$508)+1,Constants!$B$5,COUNTA($C$9:$C$508)),$DB61))</f>
        <v/>
      </c>
      <c r="DD61" s="7"/>
      <c r="DE61" s="107" t="n">
        <f aca="false">IF(OR(ISNUMBER($DB61),$DB61=Constants!$B$7,$DB61=Constants!$B$5,$DB61=Constants!$B$6),1,0)</f>
        <v>0</v>
      </c>
      <c r="DF61" s="107" t="n">
        <v>53</v>
      </c>
      <c r="DG61" s="107" t="str">
        <f aca="false">IF(ISBLANK($C61),"",IF(ISNUMBER($DC61),$DC61+ROW($B61)/1000,""))</f>
        <v/>
      </c>
      <c r="DH61" s="107" t="str">
        <f aca="false">IF(ISNUMBER($DG61),RANK($DG61,$DG$9:$DG$508,1),"")</f>
        <v/>
      </c>
      <c r="DI61" s="107" t="str">
        <f aca="false">IF(ISBLANK($C61),"",$B61)</f>
        <v/>
      </c>
      <c r="DJ61" s="107" t="str">
        <f aca="false">IF(ISBLANK($C61),"",$C61)</f>
        <v/>
      </c>
      <c r="DK61" s="107" t="str">
        <f aca="false">IF(ISBLANK($C61),"",$D61)</f>
        <v/>
      </c>
      <c r="DL61" s="108" t="str">
        <f aca="false">$CZ61</f>
        <v/>
      </c>
      <c r="DM61" s="109" t="str">
        <f aca="false">$CY61</f>
        <v/>
      </c>
      <c r="DN61" s="107" t="str">
        <f aca="false">IF(ISBLANK($C61),"",$DB61)</f>
        <v/>
      </c>
      <c r="DO61" s="110" t="str">
        <f aca="false">IF($DF61&gt;$DE$8,"",VLOOKUP($DF61,$DH$9:$DN$508,7,FALSE()))</f>
        <v/>
      </c>
      <c r="DP61" s="111" t="str">
        <f aca="false">IF($DF61&gt;$DE$8,"",VLOOKUP($DF61,$DH$9:$DN$508,2,FALSE()))</f>
        <v/>
      </c>
      <c r="DQ61" s="111" t="str">
        <f aca="false">IF($DF61&gt;$DE$8,"",VLOOKUP($DF61,$DH$9:$DN$508,3,FALSE()))</f>
        <v/>
      </c>
      <c r="DR61" s="111" t="str">
        <f aca="false">IF($DF61&gt;$DE$8,"",VLOOKUP($DF61,$DH$9:$DN$508,4,FALSE()))</f>
        <v/>
      </c>
      <c r="DS61" s="111" t="str">
        <f aca="false">IF($DF61&gt;$DE$8,"",VLOOKUP($DF61,$DH$9:$DN$508,5,FALSE()))</f>
        <v/>
      </c>
      <c r="DT61" s="112" t="str">
        <f aca="false">IF($DF61&gt;$DE$8,"",VLOOKUP($DF61,$DH$9:$DN$508,6,FALSE()))</f>
        <v/>
      </c>
      <c r="DU61" s="62"/>
    </row>
    <row r="62" customFormat="false" ht="15.75" hidden="false" customHeight="false" outlineLevel="0" collapsed="false">
      <c r="A62" s="7"/>
      <c r="B62" s="90"/>
      <c r="C62" s="91"/>
      <c r="D62" s="126"/>
      <c r="E62" s="130"/>
      <c r="F62" s="135"/>
      <c r="G62" s="130"/>
      <c r="H62" s="135"/>
      <c r="I62" s="95"/>
      <c r="J62" s="95"/>
      <c r="K62" s="95"/>
      <c r="L62" s="130"/>
      <c r="M62" s="130"/>
      <c r="N62" s="130"/>
      <c r="O62" s="135"/>
      <c r="P62" s="130"/>
      <c r="Q62" s="130"/>
      <c r="R62" s="130"/>
      <c r="S62" s="130"/>
      <c r="T62" s="135"/>
      <c r="U62" s="130"/>
      <c r="V62" s="96"/>
      <c r="W62" s="130"/>
      <c r="X62" s="130"/>
      <c r="Y62" s="96"/>
      <c r="Z62" s="96"/>
      <c r="AA62" s="130"/>
      <c r="AB62" s="130"/>
      <c r="AC62" s="97"/>
      <c r="AD62" s="130"/>
      <c r="AE62" s="99"/>
      <c r="AF62" s="100"/>
      <c r="AG62" s="100"/>
      <c r="AH62" s="100" t="str">
        <f aca="false">IF(ISBLANK($C62),"",IF($E62=Constants!$B$2,TRUE(),IF($E62=Constants!$B$3,FALSE(),TRUE())))</f>
        <v/>
      </c>
      <c r="AI62" s="100" t="str">
        <f aca="false">IF(ISBLANK($C62),"",IF($F62=Constants!$B$2,TRUE(),IF($F62=Constants!$B$3,FALSE(),FALSE())))</f>
        <v/>
      </c>
      <c r="AJ62" s="100" t="str">
        <f aca="false">IF(ISBLANK($C62),"",IF($G62=Constants!$B$2,TRUE(),IF($G62=Constants!$B$3,FALSE(),TRUE())))</f>
        <v/>
      </c>
      <c r="AK62" s="100" t="str">
        <f aca="false">IF(ISBLANK($C62),"",IF($H62=Constants!$B$2,TRUE(),IF($H62=Constants!$B$3,FALSE(),TRUE())))</f>
        <v/>
      </c>
      <c r="AL62" s="100" t="str">
        <f aca="false">IF(ISBLANK($C62),"",IF(ISNUMBER($I62),IF($I62&gt;=0,$I62,""),""))</f>
        <v/>
      </c>
      <c r="AM62" s="100" t="str">
        <f aca="false">IF(ISBLANK($C62),"",IF(ISNUMBER($J62),IF($J62&gt;=0,$J62,""),""))</f>
        <v/>
      </c>
      <c r="AN62" s="100" t="str">
        <f aca="false">IF(ISBLANK($C62),"",IF(ISNUMBER($K62),IF($K62&gt;=0,$K62,""),""))</f>
        <v/>
      </c>
      <c r="AO62" s="100" t="str">
        <f aca="false">IF(ISBLANK($C62),"",IF($L62=Constants!$B$2,TRUE(),IF($L62=Constants!$B$3,FALSE(),TRUE())))</f>
        <v/>
      </c>
      <c r="AP62" s="100" t="str">
        <f aca="false">IF(ISBLANK($C62),"",IF($M62=Constants!$B$2,TRUE(),IF($M62=Constants!$B$3,FALSE(),TRUE())))</f>
        <v/>
      </c>
      <c r="AQ62" s="100" t="str">
        <f aca="false">IF(ISBLANK($C62),"",IF($N62=Constants!$B$2,TRUE(),IF($N62=Constants!$B$3,FALSE(),FALSE())))</f>
        <v/>
      </c>
      <c r="AR62" s="100" t="str">
        <f aca="false">IF(ISBLANK($C62),"",IF($O62=Constants!$B$2,TRUE(),IF($O62=Constants!$B$3,FALSE(),TRUE())))</f>
        <v/>
      </c>
      <c r="AS62" s="100" t="str">
        <f aca="false">IF(ISBLANK($C62),"",IF($P62=Constants!$B$2,TRUE(),IF($P62=Constants!$B$3,FALSE(),FALSE())))</f>
        <v/>
      </c>
      <c r="AT62" s="100" t="str">
        <f aca="false">IF(ISBLANK($C62),"",IF($Q62=Constants!$B$2,TRUE(),IF($Q62=Constants!$B$3,FALSE(),FALSE())))</f>
        <v/>
      </c>
      <c r="AU62" s="100" t="str">
        <f aca="false">IF(ISBLANK($C62),"",IF($R62=Constants!$B$2,TRUE(),IF($R62=Constants!$B$3,FALSE(),FALSE())))</f>
        <v/>
      </c>
      <c r="AV62" s="100" t="str">
        <f aca="false">IF(ISBLANK($C62),"",IF($S62=Constants!$B$2,TRUE(),IF($S62=Constants!$B$3,FALSE(),FALSE())))</f>
        <v/>
      </c>
      <c r="AW62" s="100" t="str">
        <f aca="false">IF(ISBLANK($C62),"",IF($T62=Constants!$B$2,TRUE(),IF($T62=Constants!$B$3,FALSE(),FALSE())))</f>
        <v/>
      </c>
      <c r="AX62" s="100" t="str">
        <f aca="false">IF(ISBLANK($C62),"",IF(OR($U62&amp;""="1",$U62&amp;""="2",$U62&amp;""="3",$U62&amp;""="4"),VALUE($U62&amp;""),IF($U62=Constants!$B$12,Constants!$B$12,"")))</f>
        <v/>
      </c>
      <c r="AY62" s="100" t="str">
        <f aca="false">IF(ISBLANK($C62),"",IF(ISBLANK($V62),0,IF(ISNUMBER($V62),IF(AND($V62&gt;=0,$V62&lt;=Constants!$B$21,$V62=INT($V62)),$V62,""),"")))</f>
        <v/>
      </c>
      <c r="AZ62" s="100" t="str">
        <f aca="false">IF(ISBLANK($C62),"",IF(ISBLANK($W62),0,IF(ISNUMBER($W62),IF($W62&gt;=0,$W62,""),"")))</f>
        <v/>
      </c>
      <c r="BA62" s="100" t="str">
        <f aca="false">IF(ISBLANK($C62),"",IF($X62=Constants!$B$2,TRUE(),IF($X62=Constants!$B$3,FALSE(),TRUE())))</f>
        <v/>
      </c>
      <c r="BB62" s="100" t="str">
        <f aca="false">IF(ISBLANK($C62),"",IF($Y62=Constants!$B$2,TRUE(),IF($Y62=Constants!$B$3,FALSE(),FALSE())))</f>
        <v/>
      </c>
      <c r="BC62" s="100" t="str">
        <f aca="false">IF(ISBLANK($C62),"",IF(ISBLANK($Z62),0,IF(ISNUMBER($Z62),IF(AND($Z62&gt;=0,$Z62&lt;=Constants!$B$35,$Z62=INT($Z62)),$Z62,""),"")))</f>
        <v/>
      </c>
      <c r="BD62" s="100" t="str">
        <f aca="false">IF(ISBLANK($C62),"",IF($AA62=Constants!$B$2,TRUE(),IF($AA62=Constants!$B$3,FALSE(),TRUE())))</f>
        <v/>
      </c>
      <c r="BE62" s="100" t="str">
        <f aca="false">IF(ISBLANK($C62),"",IF($AB62=Constants!$B$2,TRUE(),IF($AB62=Constants!$B$3,FALSE(),TRUE())))</f>
        <v/>
      </c>
      <c r="BF62" s="100" t="str">
        <f aca="false">IF(ISBLANK($C62),"",IF(ISNUMBER($AC62),IF($AC62&gt;=0,$AC62,""),""))</f>
        <v/>
      </c>
      <c r="BG62" s="100" t="str">
        <f aca="false">IF(ISBLANK($C62),"",IF($AD62=Constants!$B$2,TRUE(),IF($AD62=Constants!$B$3,FALSE(),FALSE())))</f>
        <v/>
      </c>
      <c r="BH62" s="99" t="str">
        <f aca="false">IF(ISBLANK($C62),"",IF($BG62,Constants!$B$7,IF(COUNTA($E62:$AC62)=0,Constants!$B$6,IF(OR(COUNTA($G62:$AC62)=0,NOT($AK62),$AQ62),Constants!$B$5,IF(OR($CI62&lt;&gt;"",$CJ62,$CK62,$CL62,$CM62,$CN62,$CO62),Constants!$B$8,Constants!$B$4)))))</f>
        <v/>
      </c>
      <c r="BI62" s="100" t="str">
        <f aca="false">IF(ISBLANK($C62),"",IF($BH62&lt;&gt;Constants!$B$4,$BH62,IF(OR(NOT($AH62),NOT($AJ62),NOT($AR62)),Constants!$B$11,IF(OR(NOT($AP62),MAX($AL62,$AM62,$AN62)&gt;Constants!$B$30),Constants!$B$10,Constants!$B$9))))</f>
        <v/>
      </c>
      <c r="BJ62" s="100" t="str">
        <f aca="false">IF($BH62&lt;&gt;Constants!$B$4,"",IF(NOT($AJ62),0,MIN(Constants!$B$35,$BC62)))</f>
        <v/>
      </c>
      <c r="BK62" s="100" t="str">
        <f aca="false">IF($BH62&lt;&gt;Constants!$B$4,"",IF(NOT($AJ62),0,IF($AT62,Constants!$B$18,IF($AS62,Constants!$B$17,0))))</f>
        <v/>
      </c>
      <c r="BL62" s="100" t="str">
        <f aca="false">IF($BH62&lt;&gt;Constants!$B$4,"",IF(NOT($AJ62),0,Constants!$B$19*($AI62+$AU62+$AV62+$AW62)))</f>
        <v/>
      </c>
      <c r="BM62" s="100" t="str">
        <f aca="false">IF($BH62&lt;&gt;Constants!$B$4,"",IF(OR(NOT($AJ62),NOT(ISNUMBER($AX62))),0,CHOOSE($AX62,Constants!$B$13,Constants!$B$14,Constants!$B$15,Constants!$B$16)))</f>
        <v/>
      </c>
      <c r="BN62" s="100" t="str">
        <f aca="false">IF($BH62&lt;&gt;Constants!$B$4,"",IF(NOT($AJ62),0,Constants!$B$20*$AY62))</f>
        <v/>
      </c>
      <c r="BO62" s="100" t="str">
        <f aca="false">IF($BH62&lt;&gt;Constants!$B$4,"",IF(AND($AJ62,$BA62,$BB62),Constants!$B$22,0))</f>
        <v/>
      </c>
      <c r="BP62" s="100" t="str">
        <f aca="false">IF($BH62&lt;&gt;Constants!$B$4,"",IF(OR(NOT($AJ62),NOT($BA62)),0,IF($BF62&gt;=2*$AF$9,0,Constants!$B$23*INT(ROUND(MIN($BF62,$AF$9),6)))))</f>
        <v/>
      </c>
      <c r="BQ62" s="100" t="str">
        <f aca="false">IF($BH62&lt;&gt;Constants!$B$4,"",IF(NOT($AJ62),0,Constants!$B$24*INT(ROUND(MIN($AZ62,$AF$9),6))))</f>
        <v/>
      </c>
      <c r="BR62" s="100" t="str">
        <f aca="false">IF($BH62&lt;&gt;Constants!$B$4,"",IF(AND($AJ62,$BJ62=0),Constants!$B$25,0))</f>
        <v/>
      </c>
      <c r="BS62" s="100" t="str">
        <f aca="false">IF($BH62&lt;&gt;Constants!$B$4,"",MIN(Constants!$B$29,MAX(0,Constants!$B$27*Constants!$B$28*INT(ROUND((Constants!$B$26-$AL62)/Constants!$B$28,6))))+MIN(Constants!$B$29,MAX(0,Constants!$B$27*Constants!$B$28*INT(ROUND((Constants!$B$26-$AM62)/Constants!$B$28,6))))+MIN(Constants!$B$29,MAX(0,Constants!$B$27*Constants!$B$28*INT(ROUND((Constants!$B$26-$AN62)/Constants!$B$28,6)))))</f>
        <v/>
      </c>
      <c r="BT62" s="100" t="str">
        <f aca="false">IF($BH62&lt;&gt;Constants!$B$4,"",IF(NOT($AJ62),0,Constants!$B$31*INT(ROUND(MAX(0,MIN($BF62,2*$AF$9)-$AF$9),6))))</f>
        <v/>
      </c>
      <c r="BU62" s="100" t="str">
        <f aca="false">IF($BH62&lt;&gt;Constants!$B$4,"",Constants!$B$32*(($AL62&gt;Constants!$B$26)+($AM62&gt;Constants!$B$26)+($AN62&gt;Constants!$B$26)))</f>
        <v/>
      </c>
      <c r="BV62" s="100" t="str">
        <f aca="false">IF($BH62&lt;&gt;Constants!$B$4,"",IF(OR(NOT($AJ62),$AO62),0,Constants!$B$33))</f>
        <v/>
      </c>
      <c r="BW62" s="100" t="str">
        <f aca="false">IF($BH62&lt;&gt;Constants!$B$4,"",Constants!$B$34*$BJ62)</f>
        <v/>
      </c>
      <c r="BX62" s="100" t="str">
        <f aca="false">IF($BH62&lt;&gt;Constants!$B$4,"",IF(OR(NOT($AJ62),$BE62),0,Constants!$B$36))</f>
        <v/>
      </c>
      <c r="BY62" s="100" t="str">
        <f aca="false">IF($BH62&lt;&gt;Constants!$B$4,"",IF(OR(NOT($AJ62),$BD62),0,Constants!$B$37))</f>
        <v/>
      </c>
      <c r="BZ62" s="100" t="str">
        <f aca="false">IF($BH62&lt;&gt;Constants!$B$4,"",SUM($BT62:$BY62))</f>
        <v/>
      </c>
      <c r="CA62" s="100" t="str">
        <f aca="false">IF(ISBLANK($C62),"",IF($BH62&lt;&gt;Constants!$B$4,$BH62,SUM($BK62:$BS62)-$BZ62))</f>
        <v/>
      </c>
      <c r="CB62" s="100" t="str">
        <f aca="false">IF(ISBLANK($C62),"",IF($BH62&lt;&gt;Constants!$B$4,$BH62,RANK($CA62,$CA$9:$CA$508)))</f>
        <v/>
      </c>
      <c r="CC62" s="100" t="str">
        <f aca="false">IF(ISBLANK($C62),"",IF($BH62&lt;&gt;Constants!$B$4,$BH62,COUNTIFS($BI$9:$BI$508,"&lt;"&amp;$BI62)+COUNTIFS($BI$9:$BI$508,$BI62,$CB$9:$CB$508,"&lt;"&amp;$CB62)+1))</f>
        <v/>
      </c>
      <c r="CD62" s="100" t="str">
        <f aca="false">IF(ISBLANK($C62),"",IF($BH62&lt;&gt;Constants!$B$4,$BH62,RANK($BZ62,$BZ$9:$BZ$508,1)))</f>
        <v/>
      </c>
      <c r="CE62" s="100" t="str">
        <f aca="false">IF($BH62&lt;&gt;Constants!$B$4,"",$AL62+$AM62+$AN62)</f>
        <v/>
      </c>
      <c r="CF62" s="100" t="str">
        <f aca="false">IF(ISBLANK($C62),"",IF($BH62&lt;&gt;Constants!$B$4,$BH62,RANK($CE62,$CE$9:$CE$508,1)))</f>
        <v/>
      </c>
      <c r="CG62" s="100" t="str">
        <f aca="false">IF(ISBLANK($C62),"",IF($BH62&lt;&gt;Constants!$B$4,$BH62,COUNTIFS($BI$9:$BI$508,"&lt;"&amp;$BI62)+COUNTIFS($BI$9:$BI$508,$BI62,$CB$9:$CB$508,"&lt;"&amp;$CB62)+COUNTIFS($BI$9:$BI$508,$BI62,$CB$9:$CB$508,$CB62,$CD$9:$CD$508,"&lt;"&amp;$CD62)+COUNTIFS($BI$9:$BI$508,$BI62,$CB$9:$CB$508,$CB62,$CD$9:$CD$508,$CD62,$CF$9:$CF$508,"&lt;"&amp;$CF62)+1))</f>
        <v/>
      </c>
      <c r="CH62" s="100" t="str">
        <f aca="false">IF(ISBLANK($C62),"",IF($BH62&lt;&gt;Constants!$B$4,$BH62,$CC62-$CG62))</f>
        <v/>
      </c>
      <c r="CI62" s="100" t="str">
        <f aca="false">IF(ISBLANK($C62),"",IF(NOT($AJ62),"",IF(ISBLANK($D$7),$CI$5,IF(NOT(ISNUMBER($D$7)),$CI$6,""))))</f>
        <v/>
      </c>
      <c r="CJ62" s="100" t="str">
        <f aca="false">IF(ISBLANK($C62),"",OR($AL62="",$AM62="",$AN62=""))</f>
        <v/>
      </c>
      <c r="CK62" s="100" t="str">
        <f aca="false">IF(ISBLANK($C62),"",AND($AJ62,$AX62=""))</f>
        <v/>
      </c>
      <c r="CL62" s="100" t="str">
        <f aca="false">IF(ISBLANK($C62),"",AND($AJ62,$AY62=""))</f>
        <v/>
      </c>
      <c r="CM62" s="100" t="str">
        <f aca="false">IF(ISBLANK($C62),"",AND($AJ62,$AZ62=""))</f>
        <v/>
      </c>
      <c r="CN62" s="100" t="str">
        <f aca="false">IF(ISBLANK($C62),"",AND($AJ62,$BC62=""))</f>
        <v/>
      </c>
      <c r="CO62" s="100" t="str">
        <f aca="false">IF(ISBLANK($C62),"",AND($AJ62,$BF62=""))</f>
        <v/>
      </c>
      <c r="CP62" s="101"/>
      <c r="CQ62" s="102"/>
      <c r="CR62" s="103" t="str">
        <f aca="false">IF(ISBLANK($C62),"",IF($BH62=Constants!$B$8,$CI62,""))</f>
        <v/>
      </c>
      <c r="CS62" s="102" t="str">
        <f aca="false">IF(ISBLANK($C62),"",IF($BH62&lt;&gt;Constants!$B$4,"",$BK62+$BL62))</f>
        <v/>
      </c>
      <c r="CT62" s="104" t="str">
        <f aca="false">IF(ISBLANK($C62),"",IF($BH62&lt;&gt;Constants!$B$4,"",$BM62+$BN62+$BO62))</f>
        <v/>
      </c>
      <c r="CU62" s="104" t="str">
        <f aca="false">IF(ISBLANK($C62),"",IF($BH62&lt;&gt;Constants!$B$4,"",$BP62))</f>
        <v/>
      </c>
      <c r="CV62" s="104" t="str">
        <f aca="false">IF(ISBLANK($C62),"",IF($BH62&lt;&gt;Constants!$B$4,"",$BQ62+$BR62))</f>
        <v/>
      </c>
      <c r="CW62" s="104" t="str">
        <f aca="false">IF(ISBLANK($C62),"",IF($BH62&lt;&gt;Constants!$B$4,"",$BS62))</f>
        <v/>
      </c>
      <c r="CX62" s="104" t="str">
        <f aca="false">IF(ISBLANK($C62),"",IF($BH62&lt;&gt;Constants!$B$4,"",-$BZ62))</f>
        <v/>
      </c>
      <c r="CY62" s="103" t="str">
        <f aca="false">IF(ISBLANK($C62),"",$CA62)</f>
        <v/>
      </c>
      <c r="CZ62" s="105" t="str">
        <f aca="false">IF(ISBLANK($C62),"",$BI62)</f>
        <v/>
      </c>
      <c r="DA62" s="104" t="str">
        <f aca="false">IF(ISBLANK($C62),"",$CH62)</f>
        <v/>
      </c>
      <c r="DB62" s="104" t="str">
        <f aca="false">IF(ISBLANK($C62),"",$CG62)</f>
        <v/>
      </c>
      <c r="DC62" s="106" t="str">
        <f aca="false">IF(ISBLANK($C62),"",IFERROR(_xlfn.SWITCH($DB62,Constants!$B$7,COUNTA($C$9:$C$508)+2,Constants!$B$6,COUNTA($C$9:$C$508)+1,Constants!$B$5,COUNTA($C$9:$C$508)),$DB62))</f>
        <v/>
      </c>
      <c r="DD62" s="7"/>
      <c r="DE62" s="107" t="n">
        <f aca="false">IF(OR(ISNUMBER($DB62),$DB62=Constants!$B$7,$DB62=Constants!$B$5,$DB62=Constants!$B$6),1,0)</f>
        <v>0</v>
      </c>
      <c r="DF62" s="107" t="n">
        <v>54</v>
      </c>
      <c r="DG62" s="107" t="str">
        <f aca="false">IF(ISBLANK($C62),"",IF(ISNUMBER($DC62),$DC62+ROW($B62)/1000,""))</f>
        <v/>
      </c>
      <c r="DH62" s="107" t="str">
        <f aca="false">IF(ISNUMBER($DG62),RANK($DG62,$DG$9:$DG$508,1),"")</f>
        <v/>
      </c>
      <c r="DI62" s="107" t="str">
        <f aca="false">IF(ISBLANK($C62),"",$B62)</f>
        <v/>
      </c>
      <c r="DJ62" s="107" t="str">
        <f aca="false">IF(ISBLANK($C62),"",$C62)</f>
        <v/>
      </c>
      <c r="DK62" s="107" t="str">
        <f aca="false">IF(ISBLANK($C62),"",$D62)</f>
        <v/>
      </c>
      <c r="DL62" s="108" t="str">
        <f aca="false">$CZ62</f>
        <v/>
      </c>
      <c r="DM62" s="109" t="str">
        <f aca="false">$CY62</f>
        <v/>
      </c>
      <c r="DN62" s="107" t="str">
        <f aca="false">IF(ISBLANK($C62),"",$DB62)</f>
        <v/>
      </c>
      <c r="DO62" s="110" t="str">
        <f aca="false">IF($DF62&gt;$DE$8,"",VLOOKUP($DF62,$DH$9:$DN$508,7,FALSE()))</f>
        <v/>
      </c>
      <c r="DP62" s="111" t="str">
        <f aca="false">IF($DF62&gt;$DE$8,"",VLOOKUP($DF62,$DH$9:$DN$508,2,FALSE()))</f>
        <v/>
      </c>
      <c r="DQ62" s="111" t="str">
        <f aca="false">IF($DF62&gt;$DE$8,"",VLOOKUP($DF62,$DH$9:$DN$508,3,FALSE()))</f>
        <v/>
      </c>
      <c r="DR62" s="111" t="str">
        <f aca="false">IF($DF62&gt;$DE$8,"",VLOOKUP($DF62,$DH$9:$DN$508,4,FALSE()))</f>
        <v/>
      </c>
      <c r="DS62" s="111" t="str">
        <f aca="false">IF($DF62&gt;$DE$8,"",VLOOKUP($DF62,$DH$9:$DN$508,5,FALSE()))</f>
        <v/>
      </c>
      <c r="DT62" s="112" t="str">
        <f aca="false">IF($DF62&gt;$DE$8,"",VLOOKUP($DF62,$DH$9:$DN$508,6,FALSE()))</f>
        <v/>
      </c>
      <c r="DU62" s="62"/>
    </row>
    <row r="63" customFormat="false" ht="15.75" hidden="false" customHeight="false" outlineLevel="0" collapsed="false">
      <c r="A63" s="7"/>
      <c r="B63" s="64"/>
      <c r="C63" s="65"/>
      <c r="D63" s="123"/>
      <c r="E63" s="88"/>
      <c r="F63" s="134"/>
      <c r="G63" s="88"/>
      <c r="H63" s="134"/>
      <c r="I63" s="69"/>
      <c r="J63" s="69"/>
      <c r="K63" s="69"/>
      <c r="L63" s="88"/>
      <c r="M63" s="88"/>
      <c r="N63" s="88"/>
      <c r="O63" s="134"/>
      <c r="P63" s="88"/>
      <c r="Q63" s="88"/>
      <c r="R63" s="88"/>
      <c r="S63" s="88"/>
      <c r="T63" s="134"/>
      <c r="U63" s="88"/>
      <c r="V63" s="70"/>
      <c r="W63" s="88"/>
      <c r="X63" s="88"/>
      <c r="Y63" s="70"/>
      <c r="Z63" s="70"/>
      <c r="AA63" s="88"/>
      <c r="AB63" s="88"/>
      <c r="AC63" s="71"/>
      <c r="AD63" s="88"/>
      <c r="AE63" s="73"/>
      <c r="AF63" s="74"/>
      <c r="AG63" s="74"/>
      <c r="AH63" s="74" t="str">
        <f aca="false">IF(ISBLANK($C63),"",IF($E63=Constants!$B$2,TRUE(),IF($E63=Constants!$B$3,FALSE(),TRUE())))</f>
        <v/>
      </c>
      <c r="AI63" s="74" t="str">
        <f aca="false">IF(ISBLANK($C63),"",IF($F63=Constants!$B$2,TRUE(),IF($F63=Constants!$B$3,FALSE(),FALSE())))</f>
        <v/>
      </c>
      <c r="AJ63" s="74" t="str">
        <f aca="false">IF(ISBLANK($C63),"",IF($G63=Constants!$B$2,TRUE(),IF($G63=Constants!$B$3,FALSE(),TRUE())))</f>
        <v/>
      </c>
      <c r="AK63" s="74" t="str">
        <f aca="false">IF(ISBLANK($C63),"",IF($H63=Constants!$B$2,TRUE(),IF($H63=Constants!$B$3,FALSE(),TRUE())))</f>
        <v/>
      </c>
      <c r="AL63" s="74" t="str">
        <f aca="false">IF(ISBLANK($C63),"",IF(ISNUMBER($I63),IF($I63&gt;=0,$I63,""),""))</f>
        <v/>
      </c>
      <c r="AM63" s="74" t="str">
        <f aca="false">IF(ISBLANK($C63),"",IF(ISNUMBER($J63),IF($J63&gt;=0,$J63,""),""))</f>
        <v/>
      </c>
      <c r="AN63" s="74" t="str">
        <f aca="false">IF(ISBLANK($C63),"",IF(ISNUMBER($K63),IF($K63&gt;=0,$K63,""),""))</f>
        <v/>
      </c>
      <c r="AO63" s="74" t="str">
        <f aca="false">IF(ISBLANK($C63),"",IF($L63=Constants!$B$2,TRUE(),IF($L63=Constants!$B$3,FALSE(),TRUE())))</f>
        <v/>
      </c>
      <c r="AP63" s="74" t="str">
        <f aca="false">IF(ISBLANK($C63),"",IF($M63=Constants!$B$2,TRUE(),IF($M63=Constants!$B$3,FALSE(),TRUE())))</f>
        <v/>
      </c>
      <c r="AQ63" s="74" t="str">
        <f aca="false">IF(ISBLANK($C63),"",IF($N63=Constants!$B$2,TRUE(),IF($N63=Constants!$B$3,FALSE(),FALSE())))</f>
        <v/>
      </c>
      <c r="AR63" s="74" t="str">
        <f aca="false">IF(ISBLANK($C63),"",IF($O63=Constants!$B$2,TRUE(),IF($O63=Constants!$B$3,FALSE(),TRUE())))</f>
        <v/>
      </c>
      <c r="AS63" s="74" t="str">
        <f aca="false">IF(ISBLANK($C63),"",IF($P63=Constants!$B$2,TRUE(),IF($P63=Constants!$B$3,FALSE(),FALSE())))</f>
        <v/>
      </c>
      <c r="AT63" s="74" t="str">
        <f aca="false">IF(ISBLANK($C63),"",IF($Q63=Constants!$B$2,TRUE(),IF($Q63=Constants!$B$3,FALSE(),FALSE())))</f>
        <v/>
      </c>
      <c r="AU63" s="74" t="str">
        <f aca="false">IF(ISBLANK($C63),"",IF($R63=Constants!$B$2,TRUE(),IF($R63=Constants!$B$3,FALSE(),FALSE())))</f>
        <v/>
      </c>
      <c r="AV63" s="74" t="str">
        <f aca="false">IF(ISBLANK($C63),"",IF($S63=Constants!$B$2,TRUE(),IF($S63=Constants!$B$3,FALSE(),FALSE())))</f>
        <v/>
      </c>
      <c r="AW63" s="74" t="str">
        <f aca="false">IF(ISBLANK($C63),"",IF($T63=Constants!$B$2,TRUE(),IF($T63=Constants!$B$3,FALSE(),FALSE())))</f>
        <v/>
      </c>
      <c r="AX63" s="74" t="str">
        <f aca="false">IF(ISBLANK($C63),"",IF(OR($U63&amp;""="1",$U63&amp;""="2",$U63&amp;""="3",$U63&amp;""="4"),VALUE($U63&amp;""),IF($U63=Constants!$B$12,Constants!$B$12,"")))</f>
        <v/>
      </c>
      <c r="AY63" s="74" t="str">
        <f aca="false">IF(ISBLANK($C63),"",IF(ISBLANK($V63),0,IF(ISNUMBER($V63),IF(AND($V63&gt;=0,$V63&lt;=Constants!$B$21,$V63=INT($V63)),$V63,""),"")))</f>
        <v/>
      </c>
      <c r="AZ63" s="74" t="str">
        <f aca="false">IF(ISBLANK($C63),"",IF(ISBLANK($W63),0,IF(ISNUMBER($W63),IF($W63&gt;=0,$W63,""),"")))</f>
        <v/>
      </c>
      <c r="BA63" s="74" t="str">
        <f aca="false">IF(ISBLANK($C63),"",IF($X63=Constants!$B$2,TRUE(),IF($X63=Constants!$B$3,FALSE(),TRUE())))</f>
        <v/>
      </c>
      <c r="BB63" s="74" t="str">
        <f aca="false">IF(ISBLANK($C63),"",IF($Y63=Constants!$B$2,TRUE(),IF($Y63=Constants!$B$3,FALSE(),FALSE())))</f>
        <v/>
      </c>
      <c r="BC63" s="74" t="str">
        <f aca="false">IF(ISBLANK($C63),"",IF(ISBLANK($Z63),0,IF(ISNUMBER($Z63),IF(AND($Z63&gt;=0,$Z63&lt;=Constants!$B$35,$Z63=INT($Z63)),$Z63,""),"")))</f>
        <v/>
      </c>
      <c r="BD63" s="74" t="str">
        <f aca="false">IF(ISBLANK($C63),"",IF($AA63=Constants!$B$2,TRUE(),IF($AA63=Constants!$B$3,FALSE(),TRUE())))</f>
        <v/>
      </c>
      <c r="BE63" s="74" t="str">
        <f aca="false">IF(ISBLANK($C63),"",IF($AB63=Constants!$B$2,TRUE(),IF($AB63=Constants!$B$3,FALSE(),TRUE())))</f>
        <v/>
      </c>
      <c r="BF63" s="74" t="str">
        <f aca="false">IF(ISBLANK($C63),"",IF(ISNUMBER($AC63),IF($AC63&gt;=0,$AC63,""),""))</f>
        <v/>
      </c>
      <c r="BG63" s="74" t="str">
        <f aca="false">IF(ISBLANK($C63),"",IF($AD63=Constants!$B$2,TRUE(),IF($AD63=Constants!$B$3,FALSE(),FALSE())))</f>
        <v/>
      </c>
      <c r="BH63" s="73" t="str">
        <f aca="false">IF(ISBLANK($C63),"",IF($BG63,Constants!$B$7,IF(COUNTA($E63:$AC63)=0,Constants!$B$6,IF(OR(COUNTA($G63:$AC63)=0,NOT($AK63),$AQ63),Constants!$B$5,IF(OR($CI63&lt;&gt;"",$CJ63,$CK63,$CL63,$CM63,$CN63,$CO63),Constants!$B$8,Constants!$B$4)))))</f>
        <v/>
      </c>
      <c r="BI63" s="74" t="str">
        <f aca="false">IF(ISBLANK($C63),"",IF($BH63&lt;&gt;Constants!$B$4,$BH63,IF(OR(NOT($AH63),NOT($AJ63),NOT($AR63)),Constants!$B$11,IF(OR(NOT($AP63),MAX($AL63,$AM63,$AN63)&gt;Constants!$B$30),Constants!$B$10,Constants!$B$9))))</f>
        <v/>
      </c>
      <c r="BJ63" s="74" t="str">
        <f aca="false">IF($BH63&lt;&gt;Constants!$B$4,"",IF(NOT($AJ63),0,MIN(Constants!$B$35,$BC63)))</f>
        <v/>
      </c>
      <c r="BK63" s="74" t="str">
        <f aca="false">IF($BH63&lt;&gt;Constants!$B$4,"",IF(NOT($AJ63),0,IF($AT63,Constants!$B$18,IF($AS63,Constants!$B$17,0))))</f>
        <v/>
      </c>
      <c r="BL63" s="74" t="str">
        <f aca="false">IF($BH63&lt;&gt;Constants!$B$4,"",IF(NOT($AJ63),0,Constants!$B$19*($AI63+$AU63+$AV63+$AW63)))</f>
        <v/>
      </c>
      <c r="BM63" s="74" t="str">
        <f aca="false">IF($BH63&lt;&gt;Constants!$B$4,"",IF(OR(NOT($AJ63),NOT(ISNUMBER($AX63))),0,CHOOSE($AX63,Constants!$B$13,Constants!$B$14,Constants!$B$15,Constants!$B$16)))</f>
        <v/>
      </c>
      <c r="BN63" s="74" t="str">
        <f aca="false">IF($BH63&lt;&gt;Constants!$B$4,"",IF(NOT($AJ63),0,Constants!$B$20*$AY63))</f>
        <v/>
      </c>
      <c r="BO63" s="74" t="str">
        <f aca="false">IF($BH63&lt;&gt;Constants!$B$4,"",IF(AND($AJ63,$BA63,$BB63),Constants!$B$22,0))</f>
        <v/>
      </c>
      <c r="BP63" s="74" t="str">
        <f aca="false">IF($BH63&lt;&gt;Constants!$B$4,"",IF(OR(NOT($AJ63),NOT($BA63)),0,IF($BF63&gt;=2*$AF$9,0,Constants!$B$23*INT(ROUND(MIN($BF63,$AF$9),6)))))</f>
        <v/>
      </c>
      <c r="BQ63" s="74" t="str">
        <f aca="false">IF($BH63&lt;&gt;Constants!$B$4,"",IF(NOT($AJ63),0,Constants!$B$24*INT(ROUND(MIN($AZ63,$AF$9),6))))</f>
        <v/>
      </c>
      <c r="BR63" s="74" t="str">
        <f aca="false">IF($BH63&lt;&gt;Constants!$B$4,"",IF(AND($AJ63,$BJ63=0),Constants!$B$25,0))</f>
        <v/>
      </c>
      <c r="BS63" s="74" t="str">
        <f aca="false">IF($BH63&lt;&gt;Constants!$B$4,"",MIN(Constants!$B$29,MAX(0,Constants!$B$27*Constants!$B$28*INT(ROUND((Constants!$B$26-$AL63)/Constants!$B$28,6))))+MIN(Constants!$B$29,MAX(0,Constants!$B$27*Constants!$B$28*INT(ROUND((Constants!$B$26-$AM63)/Constants!$B$28,6))))+MIN(Constants!$B$29,MAX(0,Constants!$B$27*Constants!$B$28*INT(ROUND((Constants!$B$26-$AN63)/Constants!$B$28,6)))))</f>
        <v/>
      </c>
      <c r="BT63" s="74" t="str">
        <f aca="false">IF($BH63&lt;&gt;Constants!$B$4,"",IF(NOT($AJ63),0,Constants!$B$31*INT(ROUND(MAX(0,MIN($BF63,2*$AF$9)-$AF$9),6))))</f>
        <v/>
      </c>
      <c r="BU63" s="74" t="str">
        <f aca="false">IF($BH63&lt;&gt;Constants!$B$4,"",Constants!$B$32*(($AL63&gt;Constants!$B$26)+($AM63&gt;Constants!$B$26)+($AN63&gt;Constants!$B$26)))</f>
        <v/>
      </c>
      <c r="BV63" s="74" t="str">
        <f aca="false">IF($BH63&lt;&gt;Constants!$B$4,"",IF(OR(NOT($AJ63),$AO63),0,Constants!$B$33))</f>
        <v/>
      </c>
      <c r="BW63" s="74" t="str">
        <f aca="false">IF($BH63&lt;&gt;Constants!$B$4,"",Constants!$B$34*$BJ63)</f>
        <v/>
      </c>
      <c r="BX63" s="74" t="str">
        <f aca="false">IF($BH63&lt;&gt;Constants!$B$4,"",IF(OR(NOT($AJ63),$BE63),0,Constants!$B$36))</f>
        <v/>
      </c>
      <c r="BY63" s="74" t="str">
        <f aca="false">IF($BH63&lt;&gt;Constants!$B$4,"",IF(OR(NOT($AJ63),$BD63),0,Constants!$B$37))</f>
        <v/>
      </c>
      <c r="BZ63" s="74" t="str">
        <f aca="false">IF($BH63&lt;&gt;Constants!$B$4,"",SUM($BT63:$BY63))</f>
        <v/>
      </c>
      <c r="CA63" s="74" t="str">
        <f aca="false">IF(ISBLANK($C63),"",IF($BH63&lt;&gt;Constants!$B$4,$BH63,SUM($BK63:$BS63)-$BZ63))</f>
        <v/>
      </c>
      <c r="CB63" s="74" t="str">
        <f aca="false">IF(ISBLANK($C63),"",IF($BH63&lt;&gt;Constants!$B$4,$BH63,RANK($CA63,$CA$9:$CA$508)))</f>
        <v/>
      </c>
      <c r="CC63" s="74" t="str">
        <f aca="false">IF(ISBLANK($C63),"",IF($BH63&lt;&gt;Constants!$B$4,$BH63,COUNTIFS($BI$9:$BI$508,"&lt;"&amp;$BI63)+COUNTIFS($BI$9:$BI$508,$BI63,$CB$9:$CB$508,"&lt;"&amp;$CB63)+1))</f>
        <v/>
      </c>
      <c r="CD63" s="74" t="str">
        <f aca="false">IF(ISBLANK($C63),"",IF($BH63&lt;&gt;Constants!$B$4,$BH63,RANK($BZ63,$BZ$9:$BZ$508,1)))</f>
        <v/>
      </c>
      <c r="CE63" s="74" t="str">
        <f aca="false">IF($BH63&lt;&gt;Constants!$B$4,"",$AL63+$AM63+$AN63)</f>
        <v/>
      </c>
      <c r="CF63" s="74" t="str">
        <f aca="false">IF(ISBLANK($C63),"",IF($BH63&lt;&gt;Constants!$B$4,$BH63,RANK($CE63,$CE$9:$CE$508,1)))</f>
        <v/>
      </c>
      <c r="CG63" s="74" t="str">
        <f aca="false">IF(ISBLANK($C63),"",IF($BH63&lt;&gt;Constants!$B$4,$BH63,COUNTIFS($BI$9:$BI$508,"&lt;"&amp;$BI63)+COUNTIFS($BI$9:$BI$508,$BI63,$CB$9:$CB$508,"&lt;"&amp;$CB63)+COUNTIFS($BI$9:$BI$508,$BI63,$CB$9:$CB$508,$CB63,$CD$9:$CD$508,"&lt;"&amp;$CD63)+COUNTIFS($BI$9:$BI$508,$BI63,$CB$9:$CB$508,$CB63,$CD$9:$CD$508,$CD63,$CF$9:$CF$508,"&lt;"&amp;$CF63)+1))</f>
        <v/>
      </c>
      <c r="CH63" s="74" t="str">
        <f aca="false">IF(ISBLANK($C63),"",IF($BH63&lt;&gt;Constants!$B$4,$BH63,$CC63-$CG63))</f>
        <v/>
      </c>
      <c r="CI63" s="74" t="str">
        <f aca="false">IF(ISBLANK($C63),"",IF(NOT($AJ63),"",IF(ISBLANK($D$7),$CI$5,IF(NOT(ISNUMBER($D$7)),$CI$6,""))))</f>
        <v/>
      </c>
      <c r="CJ63" s="74" t="str">
        <f aca="false">IF(ISBLANK($C63),"",OR($AL63="",$AM63="",$AN63=""))</f>
        <v/>
      </c>
      <c r="CK63" s="74" t="str">
        <f aca="false">IF(ISBLANK($C63),"",AND($AJ63,$AX63=""))</f>
        <v/>
      </c>
      <c r="CL63" s="74" t="str">
        <f aca="false">IF(ISBLANK($C63),"",AND($AJ63,$AY63=""))</f>
        <v/>
      </c>
      <c r="CM63" s="74" t="str">
        <f aca="false">IF(ISBLANK($C63),"",AND($AJ63,$AZ63=""))</f>
        <v/>
      </c>
      <c r="CN63" s="74" t="str">
        <f aca="false">IF(ISBLANK($C63),"",AND($AJ63,$BC63=""))</f>
        <v/>
      </c>
      <c r="CO63" s="74" t="str">
        <f aca="false">IF(ISBLANK($C63),"",AND($AJ63,$BF63=""))</f>
        <v/>
      </c>
      <c r="CP63" s="75"/>
      <c r="CQ63" s="76"/>
      <c r="CR63" s="79" t="str">
        <f aca="false">IF(ISBLANK($C63),"",IF($BH63=Constants!$B$8,$CI63,""))</f>
        <v/>
      </c>
      <c r="CS63" s="76" t="str">
        <f aca="false">IF(ISBLANK($C63),"",IF($BH63&lt;&gt;Constants!$B$4,"",$BK63+$BL63))</f>
        <v/>
      </c>
      <c r="CT63" s="78" t="str">
        <f aca="false">IF(ISBLANK($C63),"",IF($BH63&lt;&gt;Constants!$B$4,"",$BM63+$BN63+$BO63))</f>
        <v/>
      </c>
      <c r="CU63" s="78" t="str">
        <f aca="false">IF(ISBLANK($C63),"",IF($BH63&lt;&gt;Constants!$B$4,"",$BP63))</f>
        <v/>
      </c>
      <c r="CV63" s="78" t="str">
        <f aca="false">IF(ISBLANK($C63),"",IF($BH63&lt;&gt;Constants!$B$4,"",$BQ63+$BR63))</f>
        <v/>
      </c>
      <c r="CW63" s="78" t="str">
        <f aca="false">IF(ISBLANK($C63),"",IF($BH63&lt;&gt;Constants!$B$4,"",$BS63))</f>
        <v/>
      </c>
      <c r="CX63" s="78" t="str">
        <f aca="false">IF(ISBLANK($C63),"",IF($BH63&lt;&gt;Constants!$B$4,"",-$BZ63))</f>
        <v/>
      </c>
      <c r="CY63" s="79" t="str">
        <f aca="false">IF(ISBLANK($C63),"",$CA63)</f>
        <v/>
      </c>
      <c r="CZ63" s="80" t="str">
        <f aca="false">IF(ISBLANK($C63),"",$BI63)</f>
        <v/>
      </c>
      <c r="DA63" s="78" t="str">
        <f aca="false">IF(ISBLANK($C63),"",$CH63)</f>
        <v/>
      </c>
      <c r="DB63" s="78" t="str">
        <f aca="false">IF(ISBLANK($C63),"",$CG63)</f>
        <v/>
      </c>
      <c r="DC63" s="81" t="str">
        <f aca="false">IF(ISBLANK($C63),"",IFERROR(_xlfn.SWITCH($DB63,Constants!$B$7,COUNTA($C$9:$C$508)+2,Constants!$B$6,COUNTA($C$9:$C$508)+1,Constants!$B$5,COUNTA($C$9:$C$508)),$DB63))</f>
        <v/>
      </c>
      <c r="DD63" s="7"/>
      <c r="DE63" s="82" t="n">
        <f aca="false">IF(OR(ISNUMBER($DB63),$DB63=Constants!$B$7,$DB63=Constants!$B$5,$DB63=Constants!$B$6),1,0)</f>
        <v>0</v>
      </c>
      <c r="DF63" s="82" t="n">
        <v>55</v>
      </c>
      <c r="DG63" s="82" t="str">
        <f aca="false">IF(ISBLANK($C63),"",IF(ISNUMBER($DC63),$DC63+ROW($B63)/1000,""))</f>
        <v/>
      </c>
      <c r="DH63" s="82" t="str">
        <f aca="false">IF(ISNUMBER($DG63),RANK($DG63,$DG$9:$DG$508,1),"")</f>
        <v/>
      </c>
      <c r="DI63" s="82" t="str">
        <f aca="false">IF(ISBLANK($C63),"",$B63)</f>
        <v/>
      </c>
      <c r="DJ63" s="82" t="str">
        <f aca="false">IF(ISBLANK($C63),"",$C63)</f>
        <v/>
      </c>
      <c r="DK63" s="82" t="str">
        <f aca="false">IF(ISBLANK($C63),"",$D63)</f>
        <v/>
      </c>
      <c r="DL63" s="83" t="str">
        <f aca="false">$CZ63</f>
        <v/>
      </c>
      <c r="DM63" s="84" t="str">
        <f aca="false">$CY63</f>
        <v/>
      </c>
      <c r="DN63" s="82" t="str">
        <f aca="false">IF(ISBLANK($C63),"",$DB63)</f>
        <v/>
      </c>
      <c r="DO63" s="85" t="str">
        <f aca="false">IF($DF63&gt;$DE$8,"",VLOOKUP($DF63,$DH$9:$DN$508,7,FALSE()))</f>
        <v/>
      </c>
      <c r="DP63" s="86" t="str">
        <f aca="false">IF($DF63&gt;$DE$8,"",VLOOKUP($DF63,$DH$9:$DN$508,2,FALSE()))</f>
        <v/>
      </c>
      <c r="DQ63" s="86" t="str">
        <f aca="false">IF($DF63&gt;$DE$8,"",VLOOKUP($DF63,$DH$9:$DN$508,3,FALSE()))</f>
        <v/>
      </c>
      <c r="DR63" s="86" t="str">
        <f aca="false">IF($DF63&gt;$DE$8,"",VLOOKUP($DF63,$DH$9:$DN$508,4,FALSE()))</f>
        <v/>
      </c>
      <c r="DS63" s="86" t="str">
        <f aca="false">IF($DF63&gt;$DE$8,"",VLOOKUP($DF63,$DH$9:$DN$508,5,FALSE()))</f>
        <v/>
      </c>
      <c r="DT63" s="87" t="str">
        <f aca="false">IF($DF63&gt;$DE$8,"",VLOOKUP($DF63,$DH$9:$DN$508,6,FALSE()))</f>
        <v/>
      </c>
      <c r="DU63" s="62"/>
    </row>
    <row r="64" customFormat="false" ht="15.75" hidden="false" customHeight="false" outlineLevel="0" collapsed="false">
      <c r="A64" s="7"/>
      <c r="B64" s="64"/>
      <c r="C64" s="65"/>
      <c r="D64" s="66"/>
      <c r="E64" s="88"/>
      <c r="F64" s="134"/>
      <c r="G64" s="88"/>
      <c r="H64" s="134"/>
      <c r="I64" s="69"/>
      <c r="J64" s="69"/>
      <c r="K64" s="69"/>
      <c r="L64" s="88"/>
      <c r="M64" s="88"/>
      <c r="N64" s="88"/>
      <c r="O64" s="134"/>
      <c r="P64" s="88"/>
      <c r="Q64" s="88"/>
      <c r="R64" s="88"/>
      <c r="S64" s="88"/>
      <c r="T64" s="134"/>
      <c r="U64" s="88"/>
      <c r="V64" s="70"/>
      <c r="W64" s="88"/>
      <c r="X64" s="88"/>
      <c r="Y64" s="70"/>
      <c r="Z64" s="70"/>
      <c r="AA64" s="88"/>
      <c r="AB64" s="88"/>
      <c r="AC64" s="71"/>
      <c r="AD64" s="88"/>
      <c r="AE64" s="73"/>
      <c r="AF64" s="74"/>
      <c r="AG64" s="74"/>
      <c r="AH64" s="74" t="str">
        <f aca="false">IF(ISBLANK($C64),"",IF($E64=Constants!$B$2,TRUE(),IF($E64=Constants!$B$3,FALSE(),TRUE())))</f>
        <v/>
      </c>
      <c r="AI64" s="74" t="str">
        <f aca="false">IF(ISBLANK($C64),"",IF($F64=Constants!$B$2,TRUE(),IF($F64=Constants!$B$3,FALSE(),FALSE())))</f>
        <v/>
      </c>
      <c r="AJ64" s="74" t="str">
        <f aca="false">IF(ISBLANK($C64),"",IF($G64=Constants!$B$2,TRUE(),IF($G64=Constants!$B$3,FALSE(),TRUE())))</f>
        <v/>
      </c>
      <c r="AK64" s="74" t="str">
        <f aca="false">IF(ISBLANK($C64),"",IF($H64=Constants!$B$2,TRUE(),IF($H64=Constants!$B$3,FALSE(),TRUE())))</f>
        <v/>
      </c>
      <c r="AL64" s="74" t="str">
        <f aca="false">IF(ISBLANK($C64),"",IF(ISNUMBER($I64),IF($I64&gt;=0,$I64,""),""))</f>
        <v/>
      </c>
      <c r="AM64" s="74" t="str">
        <f aca="false">IF(ISBLANK($C64),"",IF(ISNUMBER($J64),IF($J64&gt;=0,$J64,""),""))</f>
        <v/>
      </c>
      <c r="AN64" s="74" t="str">
        <f aca="false">IF(ISBLANK($C64),"",IF(ISNUMBER($K64),IF($K64&gt;=0,$K64,""),""))</f>
        <v/>
      </c>
      <c r="AO64" s="74" t="str">
        <f aca="false">IF(ISBLANK($C64),"",IF($L64=Constants!$B$2,TRUE(),IF($L64=Constants!$B$3,FALSE(),TRUE())))</f>
        <v/>
      </c>
      <c r="AP64" s="74" t="str">
        <f aca="false">IF(ISBLANK($C64),"",IF($M64=Constants!$B$2,TRUE(),IF($M64=Constants!$B$3,FALSE(),TRUE())))</f>
        <v/>
      </c>
      <c r="AQ64" s="74" t="str">
        <f aca="false">IF(ISBLANK($C64),"",IF($N64=Constants!$B$2,TRUE(),IF($N64=Constants!$B$3,FALSE(),FALSE())))</f>
        <v/>
      </c>
      <c r="AR64" s="74" t="str">
        <f aca="false">IF(ISBLANK($C64),"",IF($O64=Constants!$B$2,TRUE(),IF($O64=Constants!$B$3,FALSE(),TRUE())))</f>
        <v/>
      </c>
      <c r="AS64" s="74" t="str">
        <f aca="false">IF(ISBLANK($C64),"",IF($P64=Constants!$B$2,TRUE(),IF($P64=Constants!$B$3,FALSE(),FALSE())))</f>
        <v/>
      </c>
      <c r="AT64" s="74" t="str">
        <f aca="false">IF(ISBLANK($C64),"",IF($Q64=Constants!$B$2,TRUE(),IF($Q64=Constants!$B$3,FALSE(),FALSE())))</f>
        <v/>
      </c>
      <c r="AU64" s="74" t="str">
        <f aca="false">IF(ISBLANK($C64),"",IF($R64=Constants!$B$2,TRUE(),IF($R64=Constants!$B$3,FALSE(),FALSE())))</f>
        <v/>
      </c>
      <c r="AV64" s="74" t="str">
        <f aca="false">IF(ISBLANK($C64),"",IF($S64=Constants!$B$2,TRUE(),IF($S64=Constants!$B$3,FALSE(),FALSE())))</f>
        <v/>
      </c>
      <c r="AW64" s="74" t="str">
        <f aca="false">IF(ISBLANK($C64),"",IF($T64=Constants!$B$2,TRUE(),IF($T64=Constants!$B$3,FALSE(),FALSE())))</f>
        <v/>
      </c>
      <c r="AX64" s="74" t="str">
        <f aca="false">IF(ISBLANK($C64),"",IF(OR($U64&amp;""="1",$U64&amp;""="2",$U64&amp;""="3",$U64&amp;""="4"),VALUE($U64&amp;""),IF($U64=Constants!$B$12,Constants!$B$12,"")))</f>
        <v/>
      </c>
      <c r="AY64" s="74" t="str">
        <f aca="false">IF(ISBLANK($C64),"",IF(ISBLANK($V64),0,IF(ISNUMBER($V64),IF(AND($V64&gt;=0,$V64&lt;=Constants!$B$21,$V64=INT($V64)),$V64,""),"")))</f>
        <v/>
      </c>
      <c r="AZ64" s="74" t="str">
        <f aca="false">IF(ISBLANK($C64),"",IF(ISBLANK($W64),0,IF(ISNUMBER($W64),IF($W64&gt;=0,$W64,""),"")))</f>
        <v/>
      </c>
      <c r="BA64" s="74" t="str">
        <f aca="false">IF(ISBLANK($C64),"",IF($X64=Constants!$B$2,TRUE(),IF($X64=Constants!$B$3,FALSE(),TRUE())))</f>
        <v/>
      </c>
      <c r="BB64" s="74" t="str">
        <f aca="false">IF(ISBLANK($C64),"",IF($Y64=Constants!$B$2,TRUE(),IF($Y64=Constants!$B$3,FALSE(),FALSE())))</f>
        <v/>
      </c>
      <c r="BC64" s="74" t="str">
        <f aca="false">IF(ISBLANK($C64),"",IF(ISBLANK($Z64),0,IF(ISNUMBER($Z64),IF(AND($Z64&gt;=0,$Z64&lt;=Constants!$B$35,$Z64=INT($Z64)),$Z64,""),"")))</f>
        <v/>
      </c>
      <c r="BD64" s="74" t="str">
        <f aca="false">IF(ISBLANK($C64),"",IF($AA64=Constants!$B$2,TRUE(),IF($AA64=Constants!$B$3,FALSE(),TRUE())))</f>
        <v/>
      </c>
      <c r="BE64" s="74" t="str">
        <f aca="false">IF(ISBLANK($C64),"",IF($AB64=Constants!$B$2,TRUE(),IF($AB64=Constants!$B$3,FALSE(),TRUE())))</f>
        <v/>
      </c>
      <c r="BF64" s="74" t="str">
        <f aca="false">IF(ISBLANK($C64),"",IF(ISNUMBER($AC64),IF($AC64&gt;=0,$AC64,""),""))</f>
        <v/>
      </c>
      <c r="BG64" s="74" t="str">
        <f aca="false">IF(ISBLANK($C64),"",IF($AD64=Constants!$B$2,TRUE(),IF($AD64=Constants!$B$3,FALSE(),FALSE())))</f>
        <v/>
      </c>
      <c r="BH64" s="73" t="str">
        <f aca="false">IF(ISBLANK($C64),"",IF($BG64,Constants!$B$7,IF(COUNTA($E64:$AC64)=0,Constants!$B$6,IF(OR(COUNTA($G64:$AC64)=0,NOT($AK64),$AQ64),Constants!$B$5,IF(OR($CI64&lt;&gt;"",$CJ64,$CK64,$CL64,$CM64,$CN64,$CO64),Constants!$B$8,Constants!$B$4)))))</f>
        <v/>
      </c>
      <c r="BI64" s="74" t="str">
        <f aca="false">IF(ISBLANK($C64),"",IF($BH64&lt;&gt;Constants!$B$4,$BH64,IF(OR(NOT($AH64),NOT($AJ64),NOT($AR64)),Constants!$B$11,IF(OR(NOT($AP64),MAX($AL64,$AM64,$AN64)&gt;Constants!$B$30),Constants!$B$10,Constants!$B$9))))</f>
        <v/>
      </c>
      <c r="BJ64" s="74" t="str">
        <f aca="false">IF($BH64&lt;&gt;Constants!$B$4,"",IF(NOT($AJ64),0,MIN(Constants!$B$35,$BC64)))</f>
        <v/>
      </c>
      <c r="BK64" s="74" t="str">
        <f aca="false">IF($BH64&lt;&gt;Constants!$B$4,"",IF(NOT($AJ64),0,IF($AT64,Constants!$B$18,IF($AS64,Constants!$B$17,0))))</f>
        <v/>
      </c>
      <c r="BL64" s="74" t="str">
        <f aca="false">IF($BH64&lt;&gt;Constants!$B$4,"",IF(NOT($AJ64),0,Constants!$B$19*($AI64+$AU64+$AV64+$AW64)))</f>
        <v/>
      </c>
      <c r="BM64" s="74" t="str">
        <f aca="false">IF($BH64&lt;&gt;Constants!$B$4,"",IF(OR(NOT($AJ64),NOT(ISNUMBER($AX64))),0,CHOOSE($AX64,Constants!$B$13,Constants!$B$14,Constants!$B$15,Constants!$B$16)))</f>
        <v/>
      </c>
      <c r="BN64" s="74" t="str">
        <f aca="false">IF($BH64&lt;&gt;Constants!$B$4,"",IF(NOT($AJ64),0,Constants!$B$20*$AY64))</f>
        <v/>
      </c>
      <c r="BO64" s="74" t="str">
        <f aca="false">IF($BH64&lt;&gt;Constants!$B$4,"",IF(AND($AJ64,$BA64,$BB64),Constants!$B$22,0))</f>
        <v/>
      </c>
      <c r="BP64" s="74" t="str">
        <f aca="false">IF($BH64&lt;&gt;Constants!$B$4,"",IF(OR(NOT($AJ64),NOT($BA64)),0,IF($BF64&gt;=2*$AF$9,0,Constants!$B$23*INT(ROUND(MIN($BF64,$AF$9),6)))))</f>
        <v/>
      </c>
      <c r="BQ64" s="74" t="str">
        <f aca="false">IF($BH64&lt;&gt;Constants!$B$4,"",IF(NOT($AJ64),0,Constants!$B$24*INT(ROUND(MIN($AZ64,$AF$9),6))))</f>
        <v/>
      </c>
      <c r="BR64" s="74" t="str">
        <f aca="false">IF($BH64&lt;&gt;Constants!$B$4,"",IF(AND($AJ64,$BJ64=0),Constants!$B$25,0))</f>
        <v/>
      </c>
      <c r="BS64" s="74" t="str">
        <f aca="false">IF($BH64&lt;&gt;Constants!$B$4,"",MIN(Constants!$B$29,MAX(0,Constants!$B$27*Constants!$B$28*INT(ROUND((Constants!$B$26-$AL64)/Constants!$B$28,6))))+MIN(Constants!$B$29,MAX(0,Constants!$B$27*Constants!$B$28*INT(ROUND((Constants!$B$26-$AM64)/Constants!$B$28,6))))+MIN(Constants!$B$29,MAX(0,Constants!$B$27*Constants!$B$28*INT(ROUND((Constants!$B$26-$AN64)/Constants!$B$28,6)))))</f>
        <v/>
      </c>
      <c r="BT64" s="74" t="str">
        <f aca="false">IF($BH64&lt;&gt;Constants!$B$4,"",IF(NOT($AJ64),0,Constants!$B$31*INT(ROUND(MAX(0,MIN($BF64,2*$AF$9)-$AF$9),6))))</f>
        <v/>
      </c>
      <c r="BU64" s="74" t="str">
        <f aca="false">IF($BH64&lt;&gt;Constants!$B$4,"",Constants!$B$32*(($AL64&gt;Constants!$B$26)+($AM64&gt;Constants!$B$26)+($AN64&gt;Constants!$B$26)))</f>
        <v/>
      </c>
      <c r="BV64" s="74" t="str">
        <f aca="false">IF($BH64&lt;&gt;Constants!$B$4,"",IF(OR(NOT($AJ64),$AO64),0,Constants!$B$33))</f>
        <v/>
      </c>
      <c r="BW64" s="74" t="str">
        <f aca="false">IF($BH64&lt;&gt;Constants!$B$4,"",Constants!$B$34*$BJ64)</f>
        <v/>
      </c>
      <c r="BX64" s="74" t="str">
        <f aca="false">IF($BH64&lt;&gt;Constants!$B$4,"",IF(OR(NOT($AJ64),$BE64),0,Constants!$B$36))</f>
        <v/>
      </c>
      <c r="BY64" s="74" t="str">
        <f aca="false">IF($BH64&lt;&gt;Constants!$B$4,"",IF(OR(NOT($AJ64),$BD64),0,Constants!$B$37))</f>
        <v/>
      </c>
      <c r="BZ64" s="74" t="str">
        <f aca="false">IF($BH64&lt;&gt;Constants!$B$4,"",SUM($BT64:$BY64))</f>
        <v/>
      </c>
      <c r="CA64" s="74" t="str">
        <f aca="false">IF(ISBLANK($C64),"",IF($BH64&lt;&gt;Constants!$B$4,$BH64,SUM($BK64:$BS64)-$BZ64))</f>
        <v/>
      </c>
      <c r="CB64" s="74" t="str">
        <f aca="false">IF(ISBLANK($C64),"",IF($BH64&lt;&gt;Constants!$B$4,$BH64,RANK($CA64,$CA$9:$CA$508)))</f>
        <v/>
      </c>
      <c r="CC64" s="74" t="str">
        <f aca="false">IF(ISBLANK($C64),"",IF($BH64&lt;&gt;Constants!$B$4,$BH64,COUNTIFS($BI$9:$BI$508,"&lt;"&amp;$BI64)+COUNTIFS($BI$9:$BI$508,$BI64,$CB$9:$CB$508,"&lt;"&amp;$CB64)+1))</f>
        <v/>
      </c>
      <c r="CD64" s="74" t="str">
        <f aca="false">IF(ISBLANK($C64),"",IF($BH64&lt;&gt;Constants!$B$4,$BH64,RANK($BZ64,$BZ$9:$BZ$508,1)))</f>
        <v/>
      </c>
      <c r="CE64" s="74" t="str">
        <f aca="false">IF($BH64&lt;&gt;Constants!$B$4,"",$AL64+$AM64+$AN64)</f>
        <v/>
      </c>
      <c r="CF64" s="74" t="str">
        <f aca="false">IF(ISBLANK($C64),"",IF($BH64&lt;&gt;Constants!$B$4,$BH64,RANK($CE64,$CE$9:$CE$508,1)))</f>
        <v/>
      </c>
      <c r="CG64" s="74" t="str">
        <f aca="false">IF(ISBLANK($C64),"",IF($BH64&lt;&gt;Constants!$B$4,$BH64,COUNTIFS($BI$9:$BI$508,"&lt;"&amp;$BI64)+COUNTIFS($BI$9:$BI$508,$BI64,$CB$9:$CB$508,"&lt;"&amp;$CB64)+COUNTIFS($BI$9:$BI$508,$BI64,$CB$9:$CB$508,$CB64,$CD$9:$CD$508,"&lt;"&amp;$CD64)+COUNTIFS($BI$9:$BI$508,$BI64,$CB$9:$CB$508,$CB64,$CD$9:$CD$508,$CD64,$CF$9:$CF$508,"&lt;"&amp;$CF64)+1))</f>
        <v/>
      </c>
      <c r="CH64" s="74" t="str">
        <f aca="false">IF(ISBLANK($C64),"",IF($BH64&lt;&gt;Constants!$B$4,$BH64,$CC64-$CG64))</f>
        <v/>
      </c>
      <c r="CI64" s="74" t="str">
        <f aca="false">IF(ISBLANK($C64),"",IF(NOT($AJ64),"",IF(ISBLANK($D$7),$CI$5,IF(NOT(ISNUMBER($D$7)),$CI$6,""))))</f>
        <v/>
      </c>
      <c r="CJ64" s="74" t="str">
        <f aca="false">IF(ISBLANK($C64),"",OR($AL64="",$AM64="",$AN64=""))</f>
        <v/>
      </c>
      <c r="CK64" s="74" t="str">
        <f aca="false">IF(ISBLANK($C64),"",AND($AJ64,$AX64=""))</f>
        <v/>
      </c>
      <c r="CL64" s="74" t="str">
        <f aca="false">IF(ISBLANK($C64),"",AND($AJ64,$AY64=""))</f>
        <v/>
      </c>
      <c r="CM64" s="74" t="str">
        <f aca="false">IF(ISBLANK($C64),"",AND($AJ64,$AZ64=""))</f>
        <v/>
      </c>
      <c r="CN64" s="74" t="str">
        <f aca="false">IF(ISBLANK($C64),"",AND($AJ64,$BC64=""))</f>
        <v/>
      </c>
      <c r="CO64" s="74" t="str">
        <f aca="false">IF(ISBLANK($C64),"",AND($AJ64,$BF64=""))</f>
        <v/>
      </c>
      <c r="CP64" s="75"/>
      <c r="CQ64" s="76"/>
      <c r="CR64" s="79" t="str">
        <f aca="false">IF(ISBLANK($C64),"",IF($BH64=Constants!$B$8,$CI64,""))</f>
        <v/>
      </c>
      <c r="CS64" s="76" t="str">
        <f aca="false">IF(ISBLANK($C64),"",IF($BH64&lt;&gt;Constants!$B$4,"",$BK64+$BL64))</f>
        <v/>
      </c>
      <c r="CT64" s="78" t="str">
        <f aca="false">IF(ISBLANK($C64),"",IF($BH64&lt;&gt;Constants!$B$4,"",$BM64+$BN64+$BO64))</f>
        <v/>
      </c>
      <c r="CU64" s="78" t="str">
        <f aca="false">IF(ISBLANK($C64),"",IF($BH64&lt;&gt;Constants!$B$4,"",$BP64))</f>
        <v/>
      </c>
      <c r="CV64" s="78" t="str">
        <f aca="false">IF(ISBLANK($C64),"",IF($BH64&lt;&gt;Constants!$B$4,"",$BQ64+$BR64))</f>
        <v/>
      </c>
      <c r="CW64" s="78" t="str">
        <f aca="false">IF(ISBLANK($C64),"",IF($BH64&lt;&gt;Constants!$B$4,"",$BS64))</f>
        <v/>
      </c>
      <c r="CX64" s="78" t="str">
        <f aca="false">IF(ISBLANK($C64),"",IF($BH64&lt;&gt;Constants!$B$4,"",-$BZ64))</f>
        <v/>
      </c>
      <c r="CY64" s="79" t="str">
        <f aca="false">IF(ISBLANK($C64),"",$CA64)</f>
        <v/>
      </c>
      <c r="CZ64" s="80" t="str">
        <f aca="false">IF(ISBLANK($C64),"",$BI64)</f>
        <v/>
      </c>
      <c r="DA64" s="78" t="str">
        <f aca="false">IF(ISBLANK($C64),"",$CH64)</f>
        <v/>
      </c>
      <c r="DB64" s="78" t="str">
        <f aca="false">IF(ISBLANK($C64),"",$CG64)</f>
        <v/>
      </c>
      <c r="DC64" s="81" t="str">
        <f aca="false">IF(ISBLANK($C64),"",IFERROR(_xlfn.SWITCH($DB64,Constants!$B$7,COUNTA($C$9:$C$508)+2,Constants!$B$6,COUNTA($C$9:$C$508)+1,Constants!$B$5,COUNTA($C$9:$C$508)),$DB64))</f>
        <v/>
      </c>
      <c r="DD64" s="7"/>
      <c r="DE64" s="82" t="n">
        <f aca="false">IF(OR(ISNUMBER($DB64),$DB64=Constants!$B$7,$DB64=Constants!$B$5,$DB64=Constants!$B$6),1,0)</f>
        <v>0</v>
      </c>
      <c r="DF64" s="82" t="n">
        <v>56</v>
      </c>
      <c r="DG64" s="82" t="str">
        <f aca="false">IF(ISBLANK($C64),"",IF(ISNUMBER($DC64),$DC64+ROW($B64)/1000,""))</f>
        <v/>
      </c>
      <c r="DH64" s="82" t="str">
        <f aca="false">IF(ISNUMBER($DG64),RANK($DG64,$DG$9:$DG$508,1),"")</f>
        <v/>
      </c>
      <c r="DI64" s="82" t="str">
        <f aca="false">IF(ISBLANK($C64),"",$B64)</f>
        <v/>
      </c>
      <c r="DJ64" s="82" t="str">
        <f aca="false">IF(ISBLANK($C64),"",$C64)</f>
        <v/>
      </c>
      <c r="DK64" s="82" t="str">
        <f aca="false">IF(ISBLANK($C64),"",$D64)</f>
        <v/>
      </c>
      <c r="DL64" s="83" t="str">
        <f aca="false">$CZ64</f>
        <v/>
      </c>
      <c r="DM64" s="84" t="str">
        <f aca="false">$CY64</f>
        <v/>
      </c>
      <c r="DN64" s="82" t="str">
        <f aca="false">IF(ISBLANK($C64),"",$DB64)</f>
        <v/>
      </c>
      <c r="DO64" s="85" t="str">
        <f aca="false">IF($DF64&gt;$DE$8,"",VLOOKUP($DF64,$DH$9:$DN$508,7,FALSE()))</f>
        <v/>
      </c>
      <c r="DP64" s="86" t="str">
        <f aca="false">IF($DF64&gt;$DE$8,"",VLOOKUP($DF64,$DH$9:$DN$508,2,FALSE()))</f>
        <v/>
      </c>
      <c r="DQ64" s="86" t="str">
        <f aca="false">IF($DF64&gt;$DE$8,"",VLOOKUP($DF64,$DH$9:$DN$508,3,FALSE()))</f>
        <v/>
      </c>
      <c r="DR64" s="86" t="str">
        <f aca="false">IF($DF64&gt;$DE$8,"",VLOOKUP($DF64,$DH$9:$DN$508,4,FALSE()))</f>
        <v/>
      </c>
      <c r="DS64" s="86" t="str">
        <f aca="false">IF($DF64&gt;$DE$8,"",VLOOKUP($DF64,$DH$9:$DN$508,5,FALSE()))</f>
        <v/>
      </c>
      <c r="DT64" s="87" t="str">
        <f aca="false">IF($DF64&gt;$DE$8,"",VLOOKUP($DF64,$DH$9:$DN$508,6,FALSE()))</f>
        <v/>
      </c>
      <c r="DU64" s="62"/>
    </row>
    <row r="65" customFormat="false" ht="15.75" hidden="false" customHeight="false" outlineLevel="0" collapsed="false">
      <c r="A65" s="7"/>
      <c r="B65" s="64"/>
      <c r="C65" s="65"/>
      <c r="D65" s="123"/>
      <c r="E65" s="88"/>
      <c r="F65" s="134"/>
      <c r="G65" s="88"/>
      <c r="H65" s="134"/>
      <c r="I65" s="69"/>
      <c r="J65" s="69"/>
      <c r="K65" s="69"/>
      <c r="L65" s="88"/>
      <c r="M65" s="88"/>
      <c r="N65" s="88"/>
      <c r="O65" s="134"/>
      <c r="P65" s="88"/>
      <c r="Q65" s="88"/>
      <c r="R65" s="88"/>
      <c r="S65" s="88"/>
      <c r="T65" s="134"/>
      <c r="U65" s="88"/>
      <c r="V65" s="70"/>
      <c r="W65" s="88"/>
      <c r="X65" s="88"/>
      <c r="Y65" s="70"/>
      <c r="Z65" s="70"/>
      <c r="AA65" s="88"/>
      <c r="AB65" s="88"/>
      <c r="AC65" s="71"/>
      <c r="AD65" s="88"/>
      <c r="AE65" s="73"/>
      <c r="AF65" s="74"/>
      <c r="AG65" s="74"/>
      <c r="AH65" s="74" t="str">
        <f aca="false">IF(ISBLANK($C65),"",IF($E65=Constants!$B$2,TRUE(),IF($E65=Constants!$B$3,FALSE(),TRUE())))</f>
        <v/>
      </c>
      <c r="AI65" s="74" t="str">
        <f aca="false">IF(ISBLANK($C65),"",IF($F65=Constants!$B$2,TRUE(),IF($F65=Constants!$B$3,FALSE(),FALSE())))</f>
        <v/>
      </c>
      <c r="AJ65" s="74" t="str">
        <f aca="false">IF(ISBLANK($C65),"",IF($G65=Constants!$B$2,TRUE(),IF($G65=Constants!$B$3,FALSE(),TRUE())))</f>
        <v/>
      </c>
      <c r="AK65" s="74" t="str">
        <f aca="false">IF(ISBLANK($C65),"",IF($H65=Constants!$B$2,TRUE(),IF($H65=Constants!$B$3,FALSE(),TRUE())))</f>
        <v/>
      </c>
      <c r="AL65" s="74" t="str">
        <f aca="false">IF(ISBLANK($C65),"",IF(ISNUMBER($I65),IF($I65&gt;=0,$I65,""),""))</f>
        <v/>
      </c>
      <c r="AM65" s="74" t="str">
        <f aca="false">IF(ISBLANK($C65),"",IF(ISNUMBER($J65),IF($J65&gt;=0,$J65,""),""))</f>
        <v/>
      </c>
      <c r="AN65" s="74" t="str">
        <f aca="false">IF(ISBLANK($C65),"",IF(ISNUMBER($K65),IF($K65&gt;=0,$K65,""),""))</f>
        <v/>
      </c>
      <c r="AO65" s="74" t="str">
        <f aca="false">IF(ISBLANK($C65),"",IF($L65=Constants!$B$2,TRUE(),IF($L65=Constants!$B$3,FALSE(),TRUE())))</f>
        <v/>
      </c>
      <c r="AP65" s="74" t="str">
        <f aca="false">IF(ISBLANK($C65),"",IF($M65=Constants!$B$2,TRUE(),IF($M65=Constants!$B$3,FALSE(),TRUE())))</f>
        <v/>
      </c>
      <c r="AQ65" s="74" t="str">
        <f aca="false">IF(ISBLANK($C65),"",IF($N65=Constants!$B$2,TRUE(),IF($N65=Constants!$B$3,FALSE(),FALSE())))</f>
        <v/>
      </c>
      <c r="AR65" s="74" t="str">
        <f aca="false">IF(ISBLANK($C65),"",IF($O65=Constants!$B$2,TRUE(),IF($O65=Constants!$B$3,FALSE(),TRUE())))</f>
        <v/>
      </c>
      <c r="AS65" s="74" t="str">
        <f aca="false">IF(ISBLANK($C65),"",IF($P65=Constants!$B$2,TRUE(),IF($P65=Constants!$B$3,FALSE(),FALSE())))</f>
        <v/>
      </c>
      <c r="AT65" s="74" t="str">
        <f aca="false">IF(ISBLANK($C65),"",IF($Q65=Constants!$B$2,TRUE(),IF($Q65=Constants!$B$3,FALSE(),FALSE())))</f>
        <v/>
      </c>
      <c r="AU65" s="74" t="str">
        <f aca="false">IF(ISBLANK($C65),"",IF($R65=Constants!$B$2,TRUE(),IF($R65=Constants!$B$3,FALSE(),FALSE())))</f>
        <v/>
      </c>
      <c r="AV65" s="74" t="str">
        <f aca="false">IF(ISBLANK($C65),"",IF($S65=Constants!$B$2,TRUE(),IF($S65=Constants!$B$3,FALSE(),FALSE())))</f>
        <v/>
      </c>
      <c r="AW65" s="74" t="str">
        <f aca="false">IF(ISBLANK($C65),"",IF($T65=Constants!$B$2,TRUE(),IF($T65=Constants!$B$3,FALSE(),FALSE())))</f>
        <v/>
      </c>
      <c r="AX65" s="74" t="str">
        <f aca="false">IF(ISBLANK($C65),"",IF(OR($U65&amp;""="1",$U65&amp;""="2",$U65&amp;""="3",$U65&amp;""="4"),VALUE($U65&amp;""),IF($U65=Constants!$B$12,Constants!$B$12,"")))</f>
        <v/>
      </c>
      <c r="AY65" s="74" t="str">
        <f aca="false">IF(ISBLANK($C65),"",IF(ISBLANK($V65),0,IF(ISNUMBER($V65),IF(AND($V65&gt;=0,$V65&lt;=Constants!$B$21,$V65=INT($V65)),$V65,""),"")))</f>
        <v/>
      </c>
      <c r="AZ65" s="74" t="str">
        <f aca="false">IF(ISBLANK($C65),"",IF(ISBLANK($W65),0,IF(ISNUMBER($W65),IF($W65&gt;=0,$W65,""),"")))</f>
        <v/>
      </c>
      <c r="BA65" s="74" t="str">
        <f aca="false">IF(ISBLANK($C65),"",IF($X65=Constants!$B$2,TRUE(),IF($X65=Constants!$B$3,FALSE(),TRUE())))</f>
        <v/>
      </c>
      <c r="BB65" s="74" t="str">
        <f aca="false">IF(ISBLANK($C65),"",IF($Y65=Constants!$B$2,TRUE(),IF($Y65=Constants!$B$3,FALSE(),FALSE())))</f>
        <v/>
      </c>
      <c r="BC65" s="74" t="str">
        <f aca="false">IF(ISBLANK($C65),"",IF(ISBLANK($Z65),0,IF(ISNUMBER($Z65),IF(AND($Z65&gt;=0,$Z65&lt;=Constants!$B$35,$Z65=INT($Z65)),$Z65,""),"")))</f>
        <v/>
      </c>
      <c r="BD65" s="74" t="str">
        <f aca="false">IF(ISBLANK($C65),"",IF($AA65=Constants!$B$2,TRUE(),IF($AA65=Constants!$B$3,FALSE(),TRUE())))</f>
        <v/>
      </c>
      <c r="BE65" s="74" t="str">
        <f aca="false">IF(ISBLANK($C65),"",IF($AB65=Constants!$B$2,TRUE(),IF($AB65=Constants!$B$3,FALSE(),TRUE())))</f>
        <v/>
      </c>
      <c r="BF65" s="74" t="str">
        <f aca="false">IF(ISBLANK($C65),"",IF(ISNUMBER($AC65),IF($AC65&gt;=0,$AC65,""),""))</f>
        <v/>
      </c>
      <c r="BG65" s="74" t="str">
        <f aca="false">IF(ISBLANK($C65),"",IF($AD65=Constants!$B$2,TRUE(),IF($AD65=Constants!$B$3,FALSE(),FALSE())))</f>
        <v/>
      </c>
      <c r="BH65" s="73" t="str">
        <f aca="false">IF(ISBLANK($C65),"",IF($BG65,Constants!$B$7,IF(COUNTA($E65:$AC65)=0,Constants!$B$6,IF(OR(COUNTA($G65:$AC65)=0,NOT($AK65),$AQ65),Constants!$B$5,IF(OR($CI65&lt;&gt;"",$CJ65,$CK65,$CL65,$CM65,$CN65,$CO65),Constants!$B$8,Constants!$B$4)))))</f>
        <v/>
      </c>
      <c r="BI65" s="74" t="str">
        <f aca="false">IF(ISBLANK($C65),"",IF($BH65&lt;&gt;Constants!$B$4,$BH65,IF(OR(NOT($AH65),NOT($AJ65),NOT($AR65)),Constants!$B$11,IF(OR(NOT($AP65),MAX($AL65,$AM65,$AN65)&gt;Constants!$B$30),Constants!$B$10,Constants!$B$9))))</f>
        <v/>
      </c>
      <c r="BJ65" s="74" t="str">
        <f aca="false">IF($BH65&lt;&gt;Constants!$B$4,"",IF(NOT($AJ65),0,MIN(Constants!$B$35,$BC65)))</f>
        <v/>
      </c>
      <c r="BK65" s="74" t="str">
        <f aca="false">IF($BH65&lt;&gt;Constants!$B$4,"",IF(NOT($AJ65),0,IF($AT65,Constants!$B$18,IF($AS65,Constants!$B$17,0))))</f>
        <v/>
      </c>
      <c r="BL65" s="74" t="str">
        <f aca="false">IF($BH65&lt;&gt;Constants!$B$4,"",IF(NOT($AJ65),0,Constants!$B$19*($AI65+$AU65+$AV65+$AW65)))</f>
        <v/>
      </c>
      <c r="BM65" s="74" t="str">
        <f aca="false">IF($BH65&lt;&gt;Constants!$B$4,"",IF(OR(NOT($AJ65),NOT(ISNUMBER($AX65))),0,CHOOSE($AX65,Constants!$B$13,Constants!$B$14,Constants!$B$15,Constants!$B$16)))</f>
        <v/>
      </c>
      <c r="BN65" s="74" t="str">
        <f aca="false">IF($BH65&lt;&gt;Constants!$B$4,"",IF(NOT($AJ65),0,Constants!$B$20*$AY65))</f>
        <v/>
      </c>
      <c r="BO65" s="74" t="str">
        <f aca="false">IF($BH65&lt;&gt;Constants!$B$4,"",IF(AND($AJ65,$BA65,$BB65),Constants!$B$22,0))</f>
        <v/>
      </c>
      <c r="BP65" s="74" t="str">
        <f aca="false">IF($BH65&lt;&gt;Constants!$B$4,"",IF(OR(NOT($AJ65),NOT($BA65)),0,IF($BF65&gt;=2*$AF$9,0,Constants!$B$23*INT(ROUND(MIN($BF65,$AF$9),6)))))</f>
        <v/>
      </c>
      <c r="BQ65" s="74" t="str">
        <f aca="false">IF($BH65&lt;&gt;Constants!$B$4,"",IF(NOT($AJ65),0,Constants!$B$24*INT(ROUND(MIN($AZ65,$AF$9),6))))</f>
        <v/>
      </c>
      <c r="BR65" s="74" t="str">
        <f aca="false">IF($BH65&lt;&gt;Constants!$B$4,"",IF(AND($AJ65,$BJ65=0),Constants!$B$25,0))</f>
        <v/>
      </c>
      <c r="BS65" s="74" t="str">
        <f aca="false">IF($BH65&lt;&gt;Constants!$B$4,"",MIN(Constants!$B$29,MAX(0,Constants!$B$27*Constants!$B$28*INT(ROUND((Constants!$B$26-$AL65)/Constants!$B$28,6))))+MIN(Constants!$B$29,MAX(0,Constants!$B$27*Constants!$B$28*INT(ROUND((Constants!$B$26-$AM65)/Constants!$B$28,6))))+MIN(Constants!$B$29,MAX(0,Constants!$B$27*Constants!$B$28*INT(ROUND((Constants!$B$26-$AN65)/Constants!$B$28,6)))))</f>
        <v/>
      </c>
      <c r="BT65" s="74" t="str">
        <f aca="false">IF($BH65&lt;&gt;Constants!$B$4,"",IF(NOT($AJ65),0,Constants!$B$31*INT(ROUND(MAX(0,MIN($BF65,2*$AF$9)-$AF$9),6))))</f>
        <v/>
      </c>
      <c r="BU65" s="74" t="str">
        <f aca="false">IF($BH65&lt;&gt;Constants!$B$4,"",Constants!$B$32*(($AL65&gt;Constants!$B$26)+($AM65&gt;Constants!$B$26)+($AN65&gt;Constants!$B$26)))</f>
        <v/>
      </c>
      <c r="BV65" s="74" t="str">
        <f aca="false">IF($BH65&lt;&gt;Constants!$B$4,"",IF(OR(NOT($AJ65),$AO65),0,Constants!$B$33))</f>
        <v/>
      </c>
      <c r="BW65" s="74" t="str">
        <f aca="false">IF($BH65&lt;&gt;Constants!$B$4,"",Constants!$B$34*$BJ65)</f>
        <v/>
      </c>
      <c r="BX65" s="74" t="str">
        <f aca="false">IF($BH65&lt;&gt;Constants!$B$4,"",IF(OR(NOT($AJ65),$BE65),0,Constants!$B$36))</f>
        <v/>
      </c>
      <c r="BY65" s="74" t="str">
        <f aca="false">IF($BH65&lt;&gt;Constants!$B$4,"",IF(OR(NOT($AJ65),$BD65),0,Constants!$B$37))</f>
        <v/>
      </c>
      <c r="BZ65" s="74" t="str">
        <f aca="false">IF($BH65&lt;&gt;Constants!$B$4,"",SUM($BT65:$BY65))</f>
        <v/>
      </c>
      <c r="CA65" s="74" t="str">
        <f aca="false">IF(ISBLANK($C65),"",IF($BH65&lt;&gt;Constants!$B$4,$BH65,SUM($BK65:$BS65)-$BZ65))</f>
        <v/>
      </c>
      <c r="CB65" s="74" t="str">
        <f aca="false">IF(ISBLANK($C65),"",IF($BH65&lt;&gt;Constants!$B$4,$BH65,RANK($CA65,$CA$9:$CA$508)))</f>
        <v/>
      </c>
      <c r="CC65" s="74" t="str">
        <f aca="false">IF(ISBLANK($C65),"",IF($BH65&lt;&gt;Constants!$B$4,$BH65,COUNTIFS($BI$9:$BI$508,"&lt;"&amp;$BI65)+COUNTIFS($BI$9:$BI$508,$BI65,$CB$9:$CB$508,"&lt;"&amp;$CB65)+1))</f>
        <v/>
      </c>
      <c r="CD65" s="74" t="str">
        <f aca="false">IF(ISBLANK($C65),"",IF($BH65&lt;&gt;Constants!$B$4,$BH65,RANK($BZ65,$BZ$9:$BZ$508,1)))</f>
        <v/>
      </c>
      <c r="CE65" s="74" t="str">
        <f aca="false">IF($BH65&lt;&gt;Constants!$B$4,"",$AL65+$AM65+$AN65)</f>
        <v/>
      </c>
      <c r="CF65" s="74" t="str">
        <f aca="false">IF(ISBLANK($C65),"",IF($BH65&lt;&gt;Constants!$B$4,$BH65,RANK($CE65,$CE$9:$CE$508,1)))</f>
        <v/>
      </c>
      <c r="CG65" s="74" t="str">
        <f aca="false">IF(ISBLANK($C65),"",IF($BH65&lt;&gt;Constants!$B$4,$BH65,COUNTIFS($BI$9:$BI$508,"&lt;"&amp;$BI65)+COUNTIFS($BI$9:$BI$508,$BI65,$CB$9:$CB$508,"&lt;"&amp;$CB65)+COUNTIFS($BI$9:$BI$508,$BI65,$CB$9:$CB$508,$CB65,$CD$9:$CD$508,"&lt;"&amp;$CD65)+COUNTIFS($BI$9:$BI$508,$BI65,$CB$9:$CB$508,$CB65,$CD$9:$CD$508,$CD65,$CF$9:$CF$508,"&lt;"&amp;$CF65)+1))</f>
        <v/>
      </c>
      <c r="CH65" s="74" t="str">
        <f aca="false">IF(ISBLANK($C65),"",IF($BH65&lt;&gt;Constants!$B$4,$BH65,$CC65-$CG65))</f>
        <v/>
      </c>
      <c r="CI65" s="74" t="str">
        <f aca="false">IF(ISBLANK($C65),"",IF(NOT($AJ65),"",IF(ISBLANK($D$7),$CI$5,IF(NOT(ISNUMBER($D$7)),$CI$6,""))))</f>
        <v/>
      </c>
      <c r="CJ65" s="74" t="str">
        <f aca="false">IF(ISBLANK($C65),"",OR($AL65="",$AM65="",$AN65=""))</f>
        <v/>
      </c>
      <c r="CK65" s="74" t="str">
        <f aca="false">IF(ISBLANK($C65),"",AND($AJ65,$AX65=""))</f>
        <v/>
      </c>
      <c r="CL65" s="74" t="str">
        <f aca="false">IF(ISBLANK($C65),"",AND($AJ65,$AY65=""))</f>
        <v/>
      </c>
      <c r="CM65" s="74" t="str">
        <f aca="false">IF(ISBLANK($C65),"",AND($AJ65,$AZ65=""))</f>
        <v/>
      </c>
      <c r="CN65" s="74" t="str">
        <f aca="false">IF(ISBLANK($C65),"",AND($AJ65,$BC65=""))</f>
        <v/>
      </c>
      <c r="CO65" s="74" t="str">
        <f aca="false">IF(ISBLANK($C65),"",AND($AJ65,$BF65=""))</f>
        <v/>
      </c>
      <c r="CP65" s="75"/>
      <c r="CQ65" s="76"/>
      <c r="CR65" s="79" t="str">
        <f aca="false">IF(ISBLANK($C65),"",IF($BH65=Constants!$B$8,$CI65,""))</f>
        <v/>
      </c>
      <c r="CS65" s="76" t="str">
        <f aca="false">IF(ISBLANK($C65),"",IF($BH65&lt;&gt;Constants!$B$4,"",$BK65+$BL65))</f>
        <v/>
      </c>
      <c r="CT65" s="78" t="str">
        <f aca="false">IF(ISBLANK($C65),"",IF($BH65&lt;&gt;Constants!$B$4,"",$BM65+$BN65+$BO65))</f>
        <v/>
      </c>
      <c r="CU65" s="78" t="str">
        <f aca="false">IF(ISBLANK($C65),"",IF($BH65&lt;&gt;Constants!$B$4,"",$BP65))</f>
        <v/>
      </c>
      <c r="CV65" s="78" t="str">
        <f aca="false">IF(ISBLANK($C65),"",IF($BH65&lt;&gt;Constants!$B$4,"",$BQ65+$BR65))</f>
        <v/>
      </c>
      <c r="CW65" s="78" t="str">
        <f aca="false">IF(ISBLANK($C65),"",IF($BH65&lt;&gt;Constants!$B$4,"",$BS65))</f>
        <v/>
      </c>
      <c r="CX65" s="78" t="str">
        <f aca="false">IF(ISBLANK($C65),"",IF($BH65&lt;&gt;Constants!$B$4,"",-$BZ65))</f>
        <v/>
      </c>
      <c r="CY65" s="79" t="str">
        <f aca="false">IF(ISBLANK($C65),"",$CA65)</f>
        <v/>
      </c>
      <c r="CZ65" s="80" t="str">
        <f aca="false">IF(ISBLANK($C65),"",$BI65)</f>
        <v/>
      </c>
      <c r="DA65" s="78" t="str">
        <f aca="false">IF(ISBLANK($C65),"",$CH65)</f>
        <v/>
      </c>
      <c r="DB65" s="78" t="str">
        <f aca="false">IF(ISBLANK($C65),"",$CG65)</f>
        <v/>
      </c>
      <c r="DC65" s="81" t="str">
        <f aca="false">IF(ISBLANK($C65),"",IFERROR(_xlfn.SWITCH($DB65,Constants!$B$7,COUNTA($C$9:$C$508)+2,Constants!$B$6,COUNTA($C$9:$C$508)+1,Constants!$B$5,COUNTA($C$9:$C$508)),$DB65))</f>
        <v/>
      </c>
      <c r="DD65" s="7"/>
      <c r="DE65" s="82" t="n">
        <f aca="false">IF(OR(ISNUMBER($DB65),$DB65=Constants!$B$7,$DB65=Constants!$B$5,$DB65=Constants!$B$6),1,0)</f>
        <v>0</v>
      </c>
      <c r="DF65" s="82" t="n">
        <v>57</v>
      </c>
      <c r="DG65" s="82" t="str">
        <f aca="false">IF(ISBLANK($C65),"",IF(ISNUMBER($DC65),$DC65+ROW($B65)/1000,""))</f>
        <v/>
      </c>
      <c r="DH65" s="82" t="str">
        <f aca="false">IF(ISNUMBER($DG65),RANK($DG65,$DG$9:$DG$508,1),"")</f>
        <v/>
      </c>
      <c r="DI65" s="82" t="str">
        <f aca="false">IF(ISBLANK($C65),"",$B65)</f>
        <v/>
      </c>
      <c r="DJ65" s="82" t="str">
        <f aca="false">IF(ISBLANK($C65),"",$C65)</f>
        <v/>
      </c>
      <c r="DK65" s="82" t="str">
        <f aca="false">IF(ISBLANK($C65),"",$D65)</f>
        <v/>
      </c>
      <c r="DL65" s="83" t="str">
        <f aca="false">$CZ65</f>
        <v/>
      </c>
      <c r="DM65" s="84" t="str">
        <f aca="false">$CY65</f>
        <v/>
      </c>
      <c r="DN65" s="82" t="str">
        <f aca="false">IF(ISBLANK($C65),"",$DB65)</f>
        <v/>
      </c>
      <c r="DO65" s="85" t="str">
        <f aca="false">IF($DF65&gt;$DE$8,"",VLOOKUP($DF65,$DH$9:$DN$508,7,FALSE()))</f>
        <v/>
      </c>
      <c r="DP65" s="86" t="str">
        <f aca="false">IF($DF65&gt;$DE$8,"",VLOOKUP($DF65,$DH$9:$DN$508,2,FALSE()))</f>
        <v/>
      </c>
      <c r="DQ65" s="86" t="str">
        <f aca="false">IF($DF65&gt;$DE$8,"",VLOOKUP($DF65,$DH$9:$DN$508,3,FALSE()))</f>
        <v/>
      </c>
      <c r="DR65" s="86" t="str">
        <f aca="false">IF($DF65&gt;$DE$8,"",VLOOKUP($DF65,$DH$9:$DN$508,4,FALSE()))</f>
        <v/>
      </c>
      <c r="DS65" s="86" t="str">
        <f aca="false">IF($DF65&gt;$DE$8,"",VLOOKUP($DF65,$DH$9:$DN$508,5,FALSE()))</f>
        <v/>
      </c>
      <c r="DT65" s="87" t="str">
        <f aca="false">IF($DF65&gt;$DE$8,"",VLOOKUP($DF65,$DH$9:$DN$508,6,FALSE()))</f>
        <v/>
      </c>
      <c r="DU65" s="62"/>
    </row>
    <row r="66" customFormat="false" ht="15.75" hidden="false" customHeight="false" outlineLevel="0" collapsed="false">
      <c r="A66" s="7"/>
      <c r="B66" s="90"/>
      <c r="C66" s="91"/>
      <c r="D66" s="126"/>
      <c r="E66" s="116"/>
      <c r="F66" s="113"/>
      <c r="G66" s="116"/>
      <c r="H66" s="113"/>
      <c r="I66" s="131"/>
      <c r="J66" s="131"/>
      <c r="K66" s="131"/>
      <c r="L66" s="116"/>
      <c r="M66" s="116"/>
      <c r="N66" s="116"/>
      <c r="O66" s="113"/>
      <c r="P66" s="116"/>
      <c r="Q66" s="116"/>
      <c r="R66" s="116"/>
      <c r="S66" s="116"/>
      <c r="T66" s="113"/>
      <c r="U66" s="116"/>
      <c r="V66" s="132"/>
      <c r="W66" s="116"/>
      <c r="X66" s="116"/>
      <c r="Y66" s="132"/>
      <c r="Z66" s="132"/>
      <c r="AA66" s="116"/>
      <c r="AB66" s="116"/>
      <c r="AC66" s="133"/>
      <c r="AD66" s="116"/>
      <c r="AE66" s="99"/>
      <c r="AF66" s="100"/>
      <c r="AG66" s="100"/>
      <c r="AH66" s="100" t="str">
        <f aca="false">IF(ISBLANK($C66),"",IF($E66=Constants!$B$2,TRUE(),IF($E66=Constants!$B$3,FALSE(),TRUE())))</f>
        <v/>
      </c>
      <c r="AI66" s="100" t="str">
        <f aca="false">IF(ISBLANK($C66),"",IF($F66=Constants!$B$2,TRUE(),IF($F66=Constants!$B$3,FALSE(),FALSE())))</f>
        <v/>
      </c>
      <c r="AJ66" s="100" t="str">
        <f aca="false">IF(ISBLANK($C66),"",IF($G66=Constants!$B$2,TRUE(),IF($G66=Constants!$B$3,FALSE(),TRUE())))</f>
        <v/>
      </c>
      <c r="AK66" s="100" t="str">
        <f aca="false">IF(ISBLANK($C66),"",IF($H66=Constants!$B$2,TRUE(),IF($H66=Constants!$B$3,FALSE(),TRUE())))</f>
        <v/>
      </c>
      <c r="AL66" s="100" t="str">
        <f aca="false">IF(ISBLANK($C66),"",IF(ISNUMBER($I66),IF($I66&gt;=0,$I66,""),""))</f>
        <v/>
      </c>
      <c r="AM66" s="100" t="str">
        <f aca="false">IF(ISBLANK($C66),"",IF(ISNUMBER($J66),IF($J66&gt;=0,$J66,""),""))</f>
        <v/>
      </c>
      <c r="AN66" s="100" t="str">
        <f aca="false">IF(ISBLANK($C66),"",IF(ISNUMBER($K66),IF($K66&gt;=0,$K66,""),""))</f>
        <v/>
      </c>
      <c r="AO66" s="100" t="str">
        <f aca="false">IF(ISBLANK($C66),"",IF($L66=Constants!$B$2,TRUE(),IF($L66=Constants!$B$3,FALSE(),TRUE())))</f>
        <v/>
      </c>
      <c r="AP66" s="100" t="str">
        <f aca="false">IF(ISBLANK($C66),"",IF($M66=Constants!$B$2,TRUE(),IF($M66=Constants!$B$3,FALSE(),TRUE())))</f>
        <v/>
      </c>
      <c r="AQ66" s="100" t="str">
        <f aca="false">IF(ISBLANK($C66),"",IF($N66=Constants!$B$2,TRUE(),IF($N66=Constants!$B$3,FALSE(),FALSE())))</f>
        <v/>
      </c>
      <c r="AR66" s="100" t="str">
        <f aca="false">IF(ISBLANK($C66),"",IF($O66=Constants!$B$2,TRUE(),IF($O66=Constants!$B$3,FALSE(),TRUE())))</f>
        <v/>
      </c>
      <c r="AS66" s="100" t="str">
        <f aca="false">IF(ISBLANK($C66),"",IF($P66=Constants!$B$2,TRUE(),IF($P66=Constants!$B$3,FALSE(),FALSE())))</f>
        <v/>
      </c>
      <c r="AT66" s="100" t="str">
        <f aca="false">IF(ISBLANK($C66),"",IF($Q66=Constants!$B$2,TRUE(),IF($Q66=Constants!$B$3,FALSE(),FALSE())))</f>
        <v/>
      </c>
      <c r="AU66" s="100" t="str">
        <f aca="false">IF(ISBLANK($C66),"",IF($R66=Constants!$B$2,TRUE(),IF($R66=Constants!$B$3,FALSE(),FALSE())))</f>
        <v/>
      </c>
      <c r="AV66" s="100" t="str">
        <f aca="false">IF(ISBLANK($C66),"",IF($S66=Constants!$B$2,TRUE(),IF($S66=Constants!$B$3,FALSE(),FALSE())))</f>
        <v/>
      </c>
      <c r="AW66" s="100" t="str">
        <f aca="false">IF(ISBLANK($C66),"",IF($T66=Constants!$B$2,TRUE(),IF($T66=Constants!$B$3,FALSE(),FALSE())))</f>
        <v/>
      </c>
      <c r="AX66" s="100" t="str">
        <f aca="false">IF(ISBLANK($C66),"",IF(OR($U66&amp;""="1",$U66&amp;""="2",$U66&amp;""="3",$U66&amp;""="4"),VALUE($U66&amp;""),IF($U66=Constants!$B$12,Constants!$B$12,"")))</f>
        <v/>
      </c>
      <c r="AY66" s="100" t="str">
        <f aca="false">IF(ISBLANK($C66),"",IF(ISBLANK($V66),0,IF(ISNUMBER($V66),IF(AND($V66&gt;=0,$V66&lt;=Constants!$B$21,$V66=INT($V66)),$V66,""),"")))</f>
        <v/>
      </c>
      <c r="AZ66" s="100" t="str">
        <f aca="false">IF(ISBLANK($C66),"",IF(ISBLANK($W66),0,IF(ISNUMBER($W66),IF($W66&gt;=0,$W66,""),"")))</f>
        <v/>
      </c>
      <c r="BA66" s="100" t="str">
        <f aca="false">IF(ISBLANK($C66),"",IF($X66=Constants!$B$2,TRUE(),IF($X66=Constants!$B$3,FALSE(),TRUE())))</f>
        <v/>
      </c>
      <c r="BB66" s="100" t="str">
        <f aca="false">IF(ISBLANK($C66),"",IF($Y66=Constants!$B$2,TRUE(),IF($Y66=Constants!$B$3,FALSE(),FALSE())))</f>
        <v/>
      </c>
      <c r="BC66" s="100" t="str">
        <f aca="false">IF(ISBLANK($C66),"",IF(ISBLANK($Z66),0,IF(ISNUMBER($Z66),IF(AND($Z66&gt;=0,$Z66&lt;=Constants!$B$35,$Z66=INT($Z66)),$Z66,""),"")))</f>
        <v/>
      </c>
      <c r="BD66" s="100" t="str">
        <f aca="false">IF(ISBLANK($C66),"",IF($AA66=Constants!$B$2,TRUE(),IF($AA66=Constants!$B$3,FALSE(),TRUE())))</f>
        <v/>
      </c>
      <c r="BE66" s="100" t="str">
        <f aca="false">IF(ISBLANK($C66),"",IF($AB66=Constants!$B$2,TRUE(),IF($AB66=Constants!$B$3,FALSE(),TRUE())))</f>
        <v/>
      </c>
      <c r="BF66" s="100" t="str">
        <f aca="false">IF(ISBLANK($C66),"",IF(ISNUMBER($AC66),IF($AC66&gt;=0,$AC66,""),""))</f>
        <v/>
      </c>
      <c r="BG66" s="100" t="str">
        <f aca="false">IF(ISBLANK($C66),"",IF($AD66=Constants!$B$2,TRUE(),IF($AD66=Constants!$B$3,FALSE(),FALSE())))</f>
        <v/>
      </c>
      <c r="BH66" s="99" t="str">
        <f aca="false">IF(ISBLANK($C66),"",IF($BG66,Constants!$B$7,IF(COUNTA($E66:$AC66)=0,Constants!$B$6,IF(OR(COUNTA($G66:$AC66)=0,NOT($AK66),$AQ66),Constants!$B$5,IF(OR($CI66&lt;&gt;"",$CJ66,$CK66,$CL66,$CM66,$CN66,$CO66),Constants!$B$8,Constants!$B$4)))))</f>
        <v/>
      </c>
      <c r="BI66" s="100" t="str">
        <f aca="false">IF(ISBLANK($C66),"",IF($BH66&lt;&gt;Constants!$B$4,$BH66,IF(OR(NOT($AH66),NOT($AJ66),NOT($AR66)),Constants!$B$11,IF(OR(NOT($AP66),MAX($AL66,$AM66,$AN66)&gt;Constants!$B$30),Constants!$B$10,Constants!$B$9))))</f>
        <v/>
      </c>
      <c r="BJ66" s="100" t="str">
        <f aca="false">IF($BH66&lt;&gt;Constants!$B$4,"",IF(NOT($AJ66),0,MIN(Constants!$B$35,$BC66)))</f>
        <v/>
      </c>
      <c r="BK66" s="100" t="str">
        <f aca="false">IF($BH66&lt;&gt;Constants!$B$4,"",IF(NOT($AJ66),0,IF($AT66,Constants!$B$18,IF($AS66,Constants!$B$17,0))))</f>
        <v/>
      </c>
      <c r="BL66" s="100" t="str">
        <f aca="false">IF($BH66&lt;&gt;Constants!$B$4,"",IF(NOT($AJ66),0,Constants!$B$19*($AI66+$AU66+$AV66+$AW66)))</f>
        <v/>
      </c>
      <c r="BM66" s="100" t="str">
        <f aca="false">IF($BH66&lt;&gt;Constants!$B$4,"",IF(OR(NOT($AJ66),NOT(ISNUMBER($AX66))),0,CHOOSE($AX66,Constants!$B$13,Constants!$B$14,Constants!$B$15,Constants!$B$16)))</f>
        <v/>
      </c>
      <c r="BN66" s="100" t="str">
        <f aca="false">IF($BH66&lt;&gt;Constants!$B$4,"",IF(NOT($AJ66),0,Constants!$B$20*$AY66))</f>
        <v/>
      </c>
      <c r="BO66" s="100" t="str">
        <f aca="false">IF($BH66&lt;&gt;Constants!$B$4,"",IF(AND($AJ66,$BA66,$BB66),Constants!$B$22,0))</f>
        <v/>
      </c>
      <c r="BP66" s="100" t="str">
        <f aca="false">IF($BH66&lt;&gt;Constants!$B$4,"",IF(OR(NOT($AJ66),NOT($BA66)),0,IF($BF66&gt;=2*$AF$9,0,Constants!$B$23*INT(ROUND(MIN($BF66,$AF$9),6)))))</f>
        <v/>
      </c>
      <c r="BQ66" s="100" t="str">
        <f aca="false">IF($BH66&lt;&gt;Constants!$B$4,"",IF(NOT($AJ66),0,Constants!$B$24*INT(ROUND(MIN($AZ66,$AF$9),6))))</f>
        <v/>
      </c>
      <c r="BR66" s="100" t="str">
        <f aca="false">IF($BH66&lt;&gt;Constants!$B$4,"",IF(AND($AJ66,$BJ66=0),Constants!$B$25,0))</f>
        <v/>
      </c>
      <c r="BS66" s="100" t="str">
        <f aca="false">IF($BH66&lt;&gt;Constants!$B$4,"",MIN(Constants!$B$29,MAX(0,Constants!$B$27*Constants!$B$28*INT(ROUND((Constants!$B$26-$AL66)/Constants!$B$28,6))))+MIN(Constants!$B$29,MAX(0,Constants!$B$27*Constants!$B$28*INT(ROUND((Constants!$B$26-$AM66)/Constants!$B$28,6))))+MIN(Constants!$B$29,MAX(0,Constants!$B$27*Constants!$B$28*INT(ROUND((Constants!$B$26-$AN66)/Constants!$B$28,6)))))</f>
        <v/>
      </c>
      <c r="BT66" s="100" t="str">
        <f aca="false">IF($BH66&lt;&gt;Constants!$B$4,"",IF(NOT($AJ66),0,Constants!$B$31*INT(ROUND(MAX(0,MIN($BF66,2*$AF$9)-$AF$9),6))))</f>
        <v/>
      </c>
      <c r="BU66" s="100" t="str">
        <f aca="false">IF($BH66&lt;&gt;Constants!$B$4,"",Constants!$B$32*(($AL66&gt;Constants!$B$26)+($AM66&gt;Constants!$B$26)+($AN66&gt;Constants!$B$26)))</f>
        <v/>
      </c>
      <c r="BV66" s="100" t="str">
        <f aca="false">IF($BH66&lt;&gt;Constants!$B$4,"",IF(OR(NOT($AJ66),$AO66),0,Constants!$B$33))</f>
        <v/>
      </c>
      <c r="BW66" s="100" t="str">
        <f aca="false">IF($BH66&lt;&gt;Constants!$B$4,"",Constants!$B$34*$BJ66)</f>
        <v/>
      </c>
      <c r="BX66" s="100" t="str">
        <f aca="false">IF($BH66&lt;&gt;Constants!$B$4,"",IF(OR(NOT($AJ66),$BE66),0,Constants!$B$36))</f>
        <v/>
      </c>
      <c r="BY66" s="100" t="str">
        <f aca="false">IF($BH66&lt;&gt;Constants!$B$4,"",IF(OR(NOT($AJ66),$BD66),0,Constants!$B$37))</f>
        <v/>
      </c>
      <c r="BZ66" s="100" t="str">
        <f aca="false">IF($BH66&lt;&gt;Constants!$B$4,"",SUM($BT66:$BY66))</f>
        <v/>
      </c>
      <c r="CA66" s="100" t="str">
        <f aca="false">IF(ISBLANK($C66),"",IF($BH66&lt;&gt;Constants!$B$4,$BH66,SUM($BK66:$BS66)-$BZ66))</f>
        <v/>
      </c>
      <c r="CB66" s="100" t="str">
        <f aca="false">IF(ISBLANK($C66),"",IF($BH66&lt;&gt;Constants!$B$4,$BH66,RANK($CA66,$CA$9:$CA$508)))</f>
        <v/>
      </c>
      <c r="CC66" s="100" t="str">
        <f aca="false">IF(ISBLANK($C66),"",IF($BH66&lt;&gt;Constants!$B$4,$BH66,COUNTIFS($BI$9:$BI$508,"&lt;"&amp;$BI66)+COUNTIFS($BI$9:$BI$508,$BI66,$CB$9:$CB$508,"&lt;"&amp;$CB66)+1))</f>
        <v/>
      </c>
      <c r="CD66" s="100" t="str">
        <f aca="false">IF(ISBLANK($C66),"",IF($BH66&lt;&gt;Constants!$B$4,$BH66,RANK($BZ66,$BZ$9:$BZ$508,1)))</f>
        <v/>
      </c>
      <c r="CE66" s="100" t="str">
        <f aca="false">IF($BH66&lt;&gt;Constants!$B$4,"",$AL66+$AM66+$AN66)</f>
        <v/>
      </c>
      <c r="CF66" s="100" t="str">
        <f aca="false">IF(ISBLANK($C66),"",IF($BH66&lt;&gt;Constants!$B$4,$BH66,RANK($CE66,$CE$9:$CE$508,1)))</f>
        <v/>
      </c>
      <c r="CG66" s="100" t="str">
        <f aca="false">IF(ISBLANK($C66),"",IF($BH66&lt;&gt;Constants!$B$4,$BH66,COUNTIFS($BI$9:$BI$508,"&lt;"&amp;$BI66)+COUNTIFS($BI$9:$BI$508,$BI66,$CB$9:$CB$508,"&lt;"&amp;$CB66)+COUNTIFS($BI$9:$BI$508,$BI66,$CB$9:$CB$508,$CB66,$CD$9:$CD$508,"&lt;"&amp;$CD66)+COUNTIFS($BI$9:$BI$508,$BI66,$CB$9:$CB$508,$CB66,$CD$9:$CD$508,$CD66,$CF$9:$CF$508,"&lt;"&amp;$CF66)+1))</f>
        <v/>
      </c>
      <c r="CH66" s="100" t="str">
        <f aca="false">IF(ISBLANK($C66),"",IF($BH66&lt;&gt;Constants!$B$4,$BH66,$CC66-$CG66))</f>
        <v/>
      </c>
      <c r="CI66" s="100" t="str">
        <f aca="false">IF(ISBLANK($C66),"",IF(NOT($AJ66),"",IF(ISBLANK($D$7),$CI$5,IF(NOT(ISNUMBER($D$7)),$CI$6,""))))</f>
        <v/>
      </c>
      <c r="CJ66" s="100" t="str">
        <f aca="false">IF(ISBLANK($C66),"",OR($AL66="",$AM66="",$AN66=""))</f>
        <v/>
      </c>
      <c r="CK66" s="100" t="str">
        <f aca="false">IF(ISBLANK($C66),"",AND($AJ66,$AX66=""))</f>
        <v/>
      </c>
      <c r="CL66" s="100" t="str">
        <f aca="false">IF(ISBLANK($C66),"",AND($AJ66,$AY66=""))</f>
        <v/>
      </c>
      <c r="CM66" s="100" t="str">
        <f aca="false">IF(ISBLANK($C66),"",AND($AJ66,$AZ66=""))</f>
        <v/>
      </c>
      <c r="CN66" s="100" t="str">
        <f aca="false">IF(ISBLANK($C66),"",AND($AJ66,$BC66=""))</f>
        <v/>
      </c>
      <c r="CO66" s="100" t="str">
        <f aca="false">IF(ISBLANK($C66),"",AND($AJ66,$BF66=""))</f>
        <v/>
      </c>
      <c r="CP66" s="101"/>
      <c r="CQ66" s="102"/>
      <c r="CR66" s="103" t="str">
        <f aca="false">IF(ISBLANK($C66),"",IF($BH66=Constants!$B$8,$CI66,""))</f>
        <v/>
      </c>
      <c r="CS66" s="102" t="str">
        <f aca="false">IF(ISBLANK($C66),"",IF($BH66&lt;&gt;Constants!$B$4,"",$BK66+$BL66))</f>
        <v/>
      </c>
      <c r="CT66" s="104" t="str">
        <f aca="false">IF(ISBLANK($C66),"",IF($BH66&lt;&gt;Constants!$B$4,"",$BM66+$BN66+$BO66))</f>
        <v/>
      </c>
      <c r="CU66" s="104" t="str">
        <f aca="false">IF(ISBLANK($C66),"",IF($BH66&lt;&gt;Constants!$B$4,"",$BP66))</f>
        <v/>
      </c>
      <c r="CV66" s="104" t="str">
        <f aca="false">IF(ISBLANK($C66),"",IF($BH66&lt;&gt;Constants!$B$4,"",$BQ66+$BR66))</f>
        <v/>
      </c>
      <c r="CW66" s="104" t="str">
        <f aca="false">IF(ISBLANK($C66),"",IF($BH66&lt;&gt;Constants!$B$4,"",$BS66))</f>
        <v/>
      </c>
      <c r="CX66" s="104" t="str">
        <f aca="false">IF(ISBLANK($C66),"",IF($BH66&lt;&gt;Constants!$B$4,"",-$BZ66))</f>
        <v/>
      </c>
      <c r="CY66" s="103" t="str">
        <f aca="false">IF(ISBLANK($C66),"",$CA66)</f>
        <v/>
      </c>
      <c r="CZ66" s="105" t="str">
        <f aca="false">IF(ISBLANK($C66),"",$BI66)</f>
        <v/>
      </c>
      <c r="DA66" s="104" t="str">
        <f aca="false">IF(ISBLANK($C66),"",$CH66)</f>
        <v/>
      </c>
      <c r="DB66" s="104" t="str">
        <f aca="false">IF(ISBLANK($C66),"",$CG66)</f>
        <v/>
      </c>
      <c r="DC66" s="106" t="str">
        <f aca="false">IF(ISBLANK($C66),"",IFERROR(_xlfn.SWITCH($DB66,Constants!$B$7,COUNTA($C$9:$C$508)+2,Constants!$B$6,COUNTA($C$9:$C$508)+1,Constants!$B$5,COUNTA($C$9:$C$508)),$DB66))</f>
        <v/>
      </c>
      <c r="DD66" s="7"/>
      <c r="DE66" s="107" t="n">
        <f aca="false">IF(OR(ISNUMBER($DB66),$DB66=Constants!$B$7,$DB66=Constants!$B$5,$DB66=Constants!$B$6),1,0)</f>
        <v>0</v>
      </c>
      <c r="DF66" s="107" t="n">
        <v>58</v>
      </c>
      <c r="DG66" s="107" t="str">
        <f aca="false">IF(ISBLANK($C66),"",IF(ISNUMBER($DC66),$DC66+ROW($B66)/1000,""))</f>
        <v/>
      </c>
      <c r="DH66" s="107" t="str">
        <f aca="false">IF(ISNUMBER($DG66),RANK($DG66,$DG$9:$DG$508,1),"")</f>
        <v/>
      </c>
      <c r="DI66" s="107" t="str">
        <f aca="false">IF(ISBLANK($C66),"",$B66)</f>
        <v/>
      </c>
      <c r="DJ66" s="107" t="str">
        <f aca="false">IF(ISBLANK($C66),"",$C66)</f>
        <v/>
      </c>
      <c r="DK66" s="107" t="str">
        <f aca="false">IF(ISBLANK($C66),"",$D66)</f>
        <v/>
      </c>
      <c r="DL66" s="108" t="str">
        <f aca="false">$CZ66</f>
        <v/>
      </c>
      <c r="DM66" s="109" t="str">
        <f aca="false">$CY66</f>
        <v/>
      </c>
      <c r="DN66" s="107" t="str">
        <f aca="false">IF(ISBLANK($C66),"",$DB66)</f>
        <v/>
      </c>
      <c r="DO66" s="110" t="str">
        <f aca="false">IF($DF66&gt;$DE$8,"",VLOOKUP($DF66,$DH$9:$DN$508,7,FALSE()))</f>
        <v/>
      </c>
      <c r="DP66" s="111" t="str">
        <f aca="false">IF($DF66&gt;$DE$8,"",VLOOKUP($DF66,$DH$9:$DN$508,2,FALSE()))</f>
        <v/>
      </c>
      <c r="DQ66" s="111" t="str">
        <f aca="false">IF($DF66&gt;$DE$8,"",VLOOKUP($DF66,$DH$9:$DN$508,3,FALSE()))</f>
        <v/>
      </c>
      <c r="DR66" s="111" t="str">
        <f aca="false">IF($DF66&gt;$DE$8,"",VLOOKUP($DF66,$DH$9:$DN$508,4,FALSE()))</f>
        <v/>
      </c>
      <c r="DS66" s="111" t="str">
        <f aca="false">IF($DF66&gt;$DE$8,"",VLOOKUP($DF66,$DH$9:$DN$508,5,FALSE()))</f>
        <v/>
      </c>
      <c r="DT66" s="112" t="str">
        <f aca="false">IF($DF66&gt;$DE$8,"",VLOOKUP($DF66,$DH$9:$DN$508,6,FALSE()))</f>
        <v/>
      </c>
      <c r="DU66" s="62"/>
    </row>
    <row r="67" customFormat="false" ht="15.75" hidden="false" customHeight="false" outlineLevel="0" collapsed="false">
      <c r="A67" s="7"/>
      <c r="B67" s="90"/>
      <c r="C67" s="91"/>
      <c r="D67" s="126"/>
      <c r="E67" s="130"/>
      <c r="F67" s="135"/>
      <c r="G67" s="130"/>
      <c r="H67" s="135"/>
      <c r="I67" s="95"/>
      <c r="J67" s="95"/>
      <c r="K67" s="95"/>
      <c r="L67" s="130"/>
      <c r="M67" s="130"/>
      <c r="N67" s="130"/>
      <c r="O67" s="135"/>
      <c r="P67" s="130"/>
      <c r="Q67" s="130"/>
      <c r="R67" s="130"/>
      <c r="S67" s="130"/>
      <c r="T67" s="135"/>
      <c r="U67" s="130"/>
      <c r="V67" s="96"/>
      <c r="W67" s="130"/>
      <c r="X67" s="130"/>
      <c r="Y67" s="96"/>
      <c r="Z67" s="96"/>
      <c r="AA67" s="130"/>
      <c r="AB67" s="130"/>
      <c r="AC67" s="97"/>
      <c r="AD67" s="130"/>
      <c r="AE67" s="99"/>
      <c r="AF67" s="100"/>
      <c r="AG67" s="100"/>
      <c r="AH67" s="100" t="str">
        <f aca="false">IF(ISBLANK($C67),"",IF($E67=Constants!$B$2,TRUE(),IF($E67=Constants!$B$3,FALSE(),TRUE())))</f>
        <v/>
      </c>
      <c r="AI67" s="100" t="str">
        <f aca="false">IF(ISBLANK($C67),"",IF($F67=Constants!$B$2,TRUE(),IF($F67=Constants!$B$3,FALSE(),FALSE())))</f>
        <v/>
      </c>
      <c r="AJ67" s="100" t="str">
        <f aca="false">IF(ISBLANK($C67),"",IF($G67=Constants!$B$2,TRUE(),IF($G67=Constants!$B$3,FALSE(),TRUE())))</f>
        <v/>
      </c>
      <c r="AK67" s="100" t="str">
        <f aca="false">IF(ISBLANK($C67),"",IF($H67=Constants!$B$2,TRUE(),IF($H67=Constants!$B$3,FALSE(),TRUE())))</f>
        <v/>
      </c>
      <c r="AL67" s="100" t="str">
        <f aca="false">IF(ISBLANK($C67),"",IF(ISNUMBER($I67),IF($I67&gt;=0,$I67,""),""))</f>
        <v/>
      </c>
      <c r="AM67" s="100" t="str">
        <f aca="false">IF(ISBLANK($C67),"",IF(ISNUMBER($J67),IF($J67&gt;=0,$J67,""),""))</f>
        <v/>
      </c>
      <c r="AN67" s="100" t="str">
        <f aca="false">IF(ISBLANK($C67),"",IF(ISNUMBER($K67),IF($K67&gt;=0,$K67,""),""))</f>
        <v/>
      </c>
      <c r="AO67" s="100" t="str">
        <f aca="false">IF(ISBLANK($C67),"",IF($L67=Constants!$B$2,TRUE(),IF($L67=Constants!$B$3,FALSE(),TRUE())))</f>
        <v/>
      </c>
      <c r="AP67" s="100" t="str">
        <f aca="false">IF(ISBLANK($C67),"",IF($M67=Constants!$B$2,TRUE(),IF($M67=Constants!$B$3,FALSE(),TRUE())))</f>
        <v/>
      </c>
      <c r="AQ67" s="100" t="str">
        <f aca="false">IF(ISBLANK($C67),"",IF($N67=Constants!$B$2,TRUE(),IF($N67=Constants!$B$3,FALSE(),FALSE())))</f>
        <v/>
      </c>
      <c r="AR67" s="100" t="str">
        <f aca="false">IF(ISBLANK($C67),"",IF($O67=Constants!$B$2,TRUE(),IF($O67=Constants!$B$3,FALSE(),TRUE())))</f>
        <v/>
      </c>
      <c r="AS67" s="100" t="str">
        <f aca="false">IF(ISBLANK($C67),"",IF($P67=Constants!$B$2,TRUE(),IF($P67=Constants!$B$3,FALSE(),FALSE())))</f>
        <v/>
      </c>
      <c r="AT67" s="100" t="str">
        <f aca="false">IF(ISBLANK($C67),"",IF($Q67=Constants!$B$2,TRUE(),IF($Q67=Constants!$B$3,FALSE(),FALSE())))</f>
        <v/>
      </c>
      <c r="AU67" s="100" t="str">
        <f aca="false">IF(ISBLANK($C67),"",IF($R67=Constants!$B$2,TRUE(),IF($R67=Constants!$B$3,FALSE(),FALSE())))</f>
        <v/>
      </c>
      <c r="AV67" s="100" t="str">
        <f aca="false">IF(ISBLANK($C67),"",IF($S67=Constants!$B$2,TRUE(),IF($S67=Constants!$B$3,FALSE(),FALSE())))</f>
        <v/>
      </c>
      <c r="AW67" s="100" t="str">
        <f aca="false">IF(ISBLANK($C67),"",IF($T67=Constants!$B$2,TRUE(),IF($T67=Constants!$B$3,FALSE(),FALSE())))</f>
        <v/>
      </c>
      <c r="AX67" s="100" t="str">
        <f aca="false">IF(ISBLANK($C67),"",IF(OR($U67&amp;""="1",$U67&amp;""="2",$U67&amp;""="3",$U67&amp;""="4"),VALUE($U67&amp;""),IF($U67=Constants!$B$12,Constants!$B$12,"")))</f>
        <v/>
      </c>
      <c r="AY67" s="100" t="str">
        <f aca="false">IF(ISBLANK($C67),"",IF(ISBLANK($V67),0,IF(ISNUMBER($V67),IF(AND($V67&gt;=0,$V67&lt;=Constants!$B$21,$V67=INT($V67)),$V67,""),"")))</f>
        <v/>
      </c>
      <c r="AZ67" s="100" t="str">
        <f aca="false">IF(ISBLANK($C67),"",IF(ISBLANK($W67),0,IF(ISNUMBER($W67),IF($W67&gt;=0,$W67,""),"")))</f>
        <v/>
      </c>
      <c r="BA67" s="100" t="str">
        <f aca="false">IF(ISBLANK($C67),"",IF($X67=Constants!$B$2,TRUE(),IF($X67=Constants!$B$3,FALSE(),TRUE())))</f>
        <v/>
      </c>
      <c r="BB67" s="100" t="str">
        <f aca="false">IF(ISBLANK($C67),"",IF($Y67=Constants!$B$2,TRUE(),IF($Y67=Constants!$B$3,FALSE(),FALSE())))</f>
        <v/>
      </c>
      <c r="BC67" s="100" t="str">
        <f aca="false">IF(ISBLANK($C67),"",IF(ISBLANK($Z67),0,IF(ISNUMBER($Z67),IF(AND($Z67&gt;=0,$Z67&lt;=Constants!$B$35,$Z67=INT($Z67)),$Z67,""),"")))</f>
        <v/>
      </c>
      <c r="BD67" s="100" t="str">
        <f aca="false">IF(ISBLANK($C67),"",IF($AA67=Constants!$B$2,TRUE(),IF($AA67=Constants!$B$3,FALSE(),TRUE())))</f>
        <v/>
      </c>
      <c r="BE67" s="100" t="str">
        <f aca="false">IF(ISBLANK($C67),"",IF($AB67=Constants!$B$2,TRUE(),IF($AB67=Constants!$B$3,FALSE(),TRUE())))</f>
        <v/>
      </c>
      <c r="BF67" s="100" t="str">
        <f aca="false">IF(ISBLANK($C67),"",IF(ISNUMBER($AC67),IF($AC67&gt;=0,$AC67,""),""))</f>
        <v/>
      </c>
      <c r="BG67" s="100" t="str">
        <f aca="false">IF(ISBLANK($C67),"",IF($AD67=Constants!$B$2,TRUE(),IF($AD67=Constants!$B$3,FALSE(),FALSE())))</f>
        <v/>
      </c>
      <c r="BH67" s="99" t="str">
        <f aca="false">IF(ISBLANK($C67),"",IF($BG67,Constants!$B$7,IF(COUNTA($E67:$AC67)=0,Constants!$B$6,IF(OR(COUNTA($G67:$AC67)=0,NOT($AK67),$AQ67),Constants!$B$5,IF(OR($CI67&lt;&gt;"",$CJ67,$CK67,$CL67,$CM67,$CN67,$CO67),Constants!$B$8,Constants!$B$4)))))</f>
        <v/>
      </c>
      <c r="BI67" s="100" t="str">
        <f aca="false">IF(ISBLANK($C67),"",IF($BH67&lt;&gt;Constants!$B$4,$BH67,IF(OR(NOT($AH67),NOT($AJ67),NOT($AR67)),Constants!$B$11,IF(OR(NOT($AP67),MAX($AL67,$AM67,$AN67)&gt;Constants!$B$30),Constants!$B$10,Constants!$B$9))))</f>
        <v/>
      </c>
      <c r="BJ67" s="100" t="str">
        <f aca="false">IF($BH67&lt;&gt;Constants!$B$4,"",IF(NOT($AJ67),0,MIN(Constants!$B$35,$BC67)))</f>
        <v/>
      </c>
      <c r="BK67" s="100" t="str">
        <f aca="false">IF($BH67&lt;&gt;Constants!$B$4,"",IF(NOT($AJ67),0,IF($AT67,Constants!$B$18,IF($AS67,Constants!$B$17,0))))</f>
        <v/>
      </c>
      <c r="BL67" s="100" t="str">
        <f aca="false">IF($BH67&lt;&gt;Constants!$B$4,"",IF(NOT($AJ67),0,Constants!$B$19*($AI67+$AU67+$AV67+$AW67)))</f>
        <v/>
      </c>
      <c r="BM67" s="100" t="str">
        <f aca="false">IF($BH67&lt;&gt;Constants!$B$4,"",IF(OR(NOT($AJ67),NOT(ISNUMBER($AX67))),0,CHOOSE($AX67,Constants!$B$13,Constants!$B$14,Constants!$B$15,Constants!$B$16)))</f>
        <v/>
      </c>
      <c r="BN67" s="100" t="str">
        <f aca="false">IF($BH67&lt;&gt;Constants!$B$4,"",IF(NOT($AJ67),0,Constants!$B$20*$AY67))</f>
        <v/>
      </c>
      <c r="BO67" s="100" t="str">
        <f aca="false">IF($BH67&lt;&gt;Constants!$B$4,"",IF(AND($AJ67,$BA67,$BB67),Constants!$B$22,0))</f>
        <v/>
      </c>
      <c r="BP67" s="100" t="str">
        <f aca="false">IF($BH67&lt;&gt;Constants!$B$4,"",IF(OR(NOT($AJ67),NOT($BA67)),0,IF($BF67&gt;=2*$AF$9,0,Constants!$B$23*INT(ROUND(MIN($BF67,$AF$9),6)))))</f>
        <v/>
      </c>
      <c r="BQ67" s="100" t="str">
        <f aca="false">IF($BH67&lt;&gt;Constants!$B$4,"",IF(NOT($AJ67),0,Constants!$B$24*INT(ROUND(MIN($AZ67,$AF$9),6))))</f>
        <v/>
      </c>
      <c r="BR67" s="100" t="str">
        <f aca="false">IF($BH67&lt;&gt;Constants!$B$4,"",IF(AND($AJ67,$BJ67=0),Constants!$B$25,0))</f>
        <v/>
      </c>
      <c r="BS67" s="100" t="str">
        <f aca="false">IF($BH67&lt;&gt;Constants!$B$4,"",MIN(Constants!$B$29,MAX(0,Constants!$B$27*Constants!$B$28*INT(ROUND((Constants!$B$26-$AL67)/Constants!$B$28,6))))+MIN(Constants!$B$29,MAX(0,Constants!$B$27*Constants!$B$28*INT(ROUND((Constants!$B$26-$AM67)/Constants!$B$28,6))))+MIN(Constants!$B$29,MAX(0,Constants!$B$27*Constants!$B$28*INT(ROUND((Constants!$B$26-$AN67)/Constants!$B$28,6)))))</f>
        <v/>
      </c>
      <c r="BT67" s="100" t="str">
        <f aca="false">IF($BH67&lt;&gt;Constants!$B$4,"",IF(NOT($AJ67),0,Constants!$B$31*INT(ROUND(MAX(0,MIN($BF67,2*$AF$9)-$AF$9),6))))</f>
        <v/>
      </c>
      <c r="BU67" s="100" t="str">
        <f aca="false">IF($BH67&lt;&gt;Constants!$B$4,"",Constants!$B$32*(($AL67&gt;Constants!$B$26)+($AM67&gt;Constants!$B$26)+($AN67&gt;Constants!$B$26)))</f>
        <v/>
      </c>
      <c r="BV67" s="100" t="str">
        <f aca="false">IF($BH67&lt;&gt;Constants!$B$4,"",IF(OR(NOT($AJ67),$AO67),0,Constants!$B$33))</f>
        <v/>
      </c>
      <c r="BW67" s="100" t="str">
        <f aca="false">IF($BH67&lt;&gt;Constants!$B$4,"",Constants!$B$34*$BJ67)</f>
        <v/>
      </c>
      <c r="BX67" s="100" t="str">
        <f aca="false">IF($BH67&lt;&gt;Constants!$B$4,"",IF(OR(NOT($AJ67),$BE67),0,Constants!$B$36))</f>
        <v/>
      </c>
      <c r="BY67" s="100" t="str">
        <f aca="false">IF($BH67&lt;&gt;Constants!$B$4,"",IF(OR(NOT($AJ67),$BD67),0,Constants!$B$37))</f>
        <v/>
      </c>
      <c r="BZ67" s="100" t="str">
        <f aca="false">IF($BH67&lt;&gt;Constants!$B$4,"",SUM($BT67:$BY67))</f>
        <v/>
      </c>
      <c r="CA67" s="100" t="str">
        <f aca="false">IF(ISBLANK($C67),"",IF($BH67&lt;&gt;Constants!$B$4,$BH67,SUM($BK67:$BS67)-$BZ67))</f>
        <v/>
      </c>
      <c r="CB67" s="100" t="str">
        <f aca="false">IF(ISBLANK($C67),"",IF($BH67&lt;&gt;Constants!$B$4,$BH67,RANK($CA67,$CA$9:$CA$508)))</f>
        <v/>
      </c>
      <c r="CC67" s="100" t="str">
        <f aca="false">IF(ISBLANK($C67),"",IF($BH67&lt;&gt;Constants!$B$4,$BH67,COUNTIFS($BI$9:$BI$508,"&lt;"&amp;$BI67)+COUNTIFS($BI$9:$BI$508,$BI67,$CB$9:$CB$508,"&lt;"&amp;$CB67)+1))</f>
        <v/>
      </c>
      <c r="CD67" s="100" t="str">
        <f aca="false">IF(ISBLANK($C67),"",IF($BH67&lt;&gt;Constants!$B$4,$BH67,RANK($BZ67,$BZ$9:$BZ$508,1)))</f>
        <v/>
      </c>
      <c r="CE67" s="100" t="str">
        <f aca="false">IF($BH67&lt;&gt;Constants!$B$4,"",$AL67+$AM67+$AN67)</f>
        <v/>
      </c>
      <c r="CF67" s="100" t="str">
        <f aca="false">IF(ISBLANK($C67),"",IF($BH67&lt;&gt;Constants!$B$4,$BH67,RANK($CE67,$CE$9:$CE$508,1)))</f>
        <v/>
      </c>
      <c r="CG67" s="100" t="str">
        <f aca="false">IF(ISBLANK($C67),"",IF($BH67&lt;&gt;Constants!$B$4,$BH67,COUNTIFS($BI$9:$BI$508,"&lt;"&amp;$BI67)+COUNTIFS($BI$9:$BI$508,$BI67,$CB$9:$CB$508,"&lt;"&amp;$CB67)+COUNTIFS($BI$9:$BI$508,$BI67,$CB$9:$CB$508,$CB67,$CD$9:$CD$508,"&lt;"&amp;$CD67)+COUNTIFS($BI$9:$BI$508,$BI67,$CB$9:$CB$508,$CB67,$CD$9:$CD$508,$CD67,$CF$9:$CF$508,"&lt;"&amp;$CF67)+1))</f>
        <v/>
      </c>
      <c r="CH67" s="100" t="str">
        <f aca="false">IF(ISBLANK($C67),"",IF($BH67&lt;&gt;Constants!$B$4,$BH67,$CC67-$CG67))</f>
        <v/>
      </c>
      <c r="CI67" s="100" t="str">
        <f aca="false">IF(ISBLANK($C67),"",IF(NOT($AJ67),"",IF(ISBLANK($D$7),$CI$5,IF(NOT(ISNUMBER($D$7)),$CI$6,""))))</f>
        <v/>
      </c>
      <c r="CJ67" s="100" t="str">
        <f aca="false">IF(ISBLANK($C67),"",OR($AL67="",$AM67="",$AN67=""))</f>
        <v/>
      </c>
      <c r="CK67" s="100" t="str">
        <f aca="false">IF(ISBLANK($C67),"",AND($AJ67,$AX67=""))</f>
        <v/>
      </c>
      <c r="CL67" s="100" t="str">
        <f aca="false">IF(ISBLANK($C67),"",AND($AJ67,$AY67=""))</f>
        <v/>
      </c>
      <c r="CM67" s="100" t="str">
        <f aca="false">IF(ISBLANK($C67),"",AND($AJ67,$AZ67=""))</f>
        <v/>
      </c>
      <c r="CN67" s="100" t="str">
        <f aca="false">IF(ISBLANK($C67),"",AND($AJ67,$BC67=""))</f>
        <v/>
      </c>
      <c r="CO67" s="100" t="str">
        <f aca="false">IF(ISBLANK($C67),"",AND($AJ67,$BF67=""))</f>
        <v/>
      </c>
      <c r="CP67" s="101"/>
      <c r="CQ67" s="102"/>
      <c r="CR67" s="103" t="str">
        <f aca="false">IF(ISBLANK($C67),"",IF($BH67=Constants!$B$8,$CI67,""))</f>
        <v/>
      </c>
      <c r="CS67" s="102" t="str">
        <f aca="false">IF(ISBLANK($C67),"",IF($BH67&lt;&gt;Constants!$B$4,"",$BK67+$BL67))</f>
        <v/>
      </c>
      <c r="CT67" s="104" t="str">
        <f aca="false">IF(ISBLANK($C67),"",IF($BH67&lt;&gt;Constants!$B$4,"",$BM67+$BN67+$BO67))</f>
        <v/>
      </c>
      <c r="CU67" s="104" t="str">
        <f aca="false">IF(ISBLANK($C67),"",IF($BH67&lt;&gt;Constants!$B$4,"",$BP67))</f>
        <v/>
      </c>
      <c r="CV67" s="104" t="str">
        <f aca="false">IF(ISBLANK($C67),"",IF($BH67&lt;&gt;Constants!$B$4,"",$BQ67+$BR67))</f>
        <v/>
      </c>
      <c r="CW67" s="104" t="str">
        <f aca="false">IF(ISBLANK($C67),"",IF($BH67&lt;&gt;Constants!$B$4,"",$BS67))</f>
        <v/>
      </c>
      <c r="CX67" s="104" t="str">
        <f aca="false">IF(ISBLANK($C67),"",IF($BH67&lt;&gt;Constants!$B$4,"",-$BZ67))</f>
        <v/>
      </c>
      <c r="CY67" s="103" t="str">
        <f aca="false">IF(ISBLANK($C67),"",$CA67)</f>
        <v/>
      </c>
      <c r="CZ67" s="105" t="str">
        <f aca="false">IF(ISBLANK($C67),"",$BI67)</f>
        <v/>
      </c>
      <c r="DA67" s="104" t="str">
        <f aca="false">IF(ISBLANK($C67),"",$CH67)</f>
        <v/>
      </c>
      <c r="DB67" s="104" t="str">
        <f aca="false">IF(ISBLANK($C67),"",$CG67)</f>
        <v/>
      </c>
      <c r="DC67" s="106" t="str">
        <f aca="false">IF(ISBLANK($C67),"",IFERROR(_xlfn.SWITCH($DB67,Constants!$B$7,COUNTA($C$9:$C$508)+2,Constants!$B$6,COUNTA($C$9:$C$508)+1,Constants!$B$5,COUNTA($C$9:$C$508)),$DB67))</f>
        <v/>
      </c>
      <c r="DD67" s="7"/>
      <c r="DE67" s="107" t="n">
        <f aca="false">IF(OR(ISNUMBER($DB67),$DB67=Constants!$B$7,$DB67=Constants!$B$5,$DB67=Constants!$B$6),1,0)</f>
        <v>0</v>
      </c>
      <c r="DF67" s="107" t="n">
        <v>59</v>
      </c>
      <c r="DG67" s="107" t="str">
        <f aca="false">IF(ISBLANK($C67),"",IF(ISNUMBER($DC67),$DC67+ROW($B67)/1000,""))</f>
        <v/>
      </c>
      <c r="DH67" s="107" t="str">
        <f aca="false">IF(ISNUMBER($DG67),RANK($DG67,$DG$9:$DG$508,1),"")</f>
        <v/>
      </c>
      <c r="DI67" s="107" t="str">
        <f aca="false">IF(ISBLANK($C67),"",$B67)</f>
        <v/>
      </c>
      <c r="DJ67" s="107" t="str">
        <f aca="false">IF(ISBLANK($C67),"",$C67)</f>
        <v/>
      </c>
      <c r="DK67" s="107" t="str">
        <f aca="false">IF(ISBLANK($C67),"",$D67)</f>
        <v/>
      </c>
      <c r="DL67" s="108" t="str">
        <f aca="false">$CZ67</f>
        <v/>
      </c>
      <c r="DM67" s="109" t="str">
        <f aca="false">$CY67</f>
        <v/>
      </c>
      <c r="DN67" s="107" t="str">
        <f aca="false">IF(ISBLANK($C67),"",$DB67)</f>
        <v/>
      </c>
      <c r="DO67" s="110" t="str">
        <f aca="false">IF($DF67&gt;$DE$8,"",VLOOKUP($DF67,$DH$9:$DN$508,7,FALSE()))</f>
        <v/>
      </c>
      <c r="DP67" s="111" t="str">
        <f aca="false">IF($DF67&gt;$DE$8,"",VLOOKUP($DF67,$DH$9:$DN$508,2,FALSE()))</f>
        <v/>
      </c>
      <c r="DQ67" s="111" t="str">
        <f aca="false">IF($DF67&gt;$DE$8,"",VLOOKUP($DF67,$DH$9:$DN$508,3,FALSE()))</f>
        <v/>
      </c>
      <c r="DR67" s="111" t="str">
        <f aca="false">IF($DF67&gt;$DE$8,"",VLOOKUP($DF67,$DH$9:$DN$508,4,FALSE()))</f>
        <v/>
      </c>
      <c r="DS67" s="111" t="str">
        <f aca="false">IF($DF67&gt;$DE$8,"",VLOOKUP($DF67,$DH$9:$DN$508,5,FALSE()))</f>
        <v/>
      </c>
      <c r="DT67" s="112" t="str">
        <f aca="false">IF($DF67&gt;$DE$8,"",VLOOKUP($DF67,$DH$9:$DN$508,6,FALSE()))</f>
        <v/>
      </c>
      <c r="DU67" s="62"/>
    </row>
    <row r="68" customFormat="false" ht="15.75" hidden="false" customHeight="false" outlineLevel="0" collapsed="false">
      <c r="A68" s="7"/>
      <c r="B68" s="90"/>
      <c r="C68" s="91"/>
      <c r="D68" s="126"/>
      <c r="E68" s="130"/>
      <c r="F68" s="135"/>
      <c r="G68" s="130"/>
      <c r="H68" s="135"/>
      <c r="I68" s="95"/>
      <c r="J68" s="95"/>
      <c r="K68" s="95"/>
      <c r="L68" s="130"/>
      <c r="M68" s="130"/>
      <c r="N68" s="130"/>
      <c r="O68" s="135"/>
      <c r="P68" s="130"/>
      <c r="Q68" s="130"/>
      <c r="R68" s="130"/>
      <c r="S68" s="130"/>
      <c r="T68" s="135"/>
      <c r="U68" s="130"/>
      <c r="V68" s="96"/>
      <c r="W68" s="130"/>
      <c r="X68" s="130"/>
      <c r="Y68" s="96"/>
      <c r="Z68" s="96"/>
      <c r="AA68" s="130"/>
      <c r="AB68" s="130"/>
      <c r="AC68" s="97"/>
      <c r="AD68" s="130"/>
      <c r="AE68" s="99"/>
      <c r="AF68" s="100"/>
      <c r="AG68" s="100"/>
      <c r="AH68" s="100" t="str">
        <f aca="false">IF(ISBLANK($C68),"",IF($E68=Constants!$B$2,TRUE(),IF($E68=Constants!$B$3,FALSE(),TRUE())))</f>
        <v/>
      </c>
      <c r="AI68" s="100" t="str">
        <f aca="false">IF(ISBLANK($C68),"",IF($F68=Constants!$B$2,TRUE(),IF($F68=Constants!$B$3,FALSE(),FALSE())))</f>
        <v/>
      </c>
      <c r="AJ68" s="100" t="str">
        <f aca="false">IF(ISBLANK($C68),"",IF($G68=Constants!$B$2,TRUE(),IF($G68=Constants!$B$3,FALSE(),TRUE())))</f>
        <v/>
      </c>
      <c r="AK68" s="100" t="str">
        <f aca="false">IF(ISBLANK($C68),"",IF($H68=Constants!$B$2,TRUE(),IF($H68=Constants!$B$3,FALSE(),TRUE())))</f>
        <v/>
      </c>
      <c r="AL68" s="100" t="str">
        <f aca="false">IF(ISBLANK($C68),"",IF(ISNUMBER($I68),IF($I68&gt;=0,$I68,""),""))</f>
        <v/>
      </c>
      <c r="AM68" s="100" t="str">
        <f aca="false">IF(ISBLANK($C68),"",IF(ISNUMBER($J68),IF($J68&gt;=0,$J68,""),""))</f>
        <v/>
      </c>
      <c r="AN68" s="100" t="str">
        <f aca="false">IF(ISBLANK($C68),"",IF(ISNUMBER($K68),IF($K68&gt;=0,$K68,""),""))</f>
        <v/>
      </c>
      <c r="AO68" s="100" t="str">
        <f aca="false">IF(ISBLANK($C68),"",IF($L68=Constants!$B$2,TRUE(),IF($L68=Constants!$B$3,FALSE(),TRUE())))</f>
        <v/>
      </c>
      <c r="AP68" s="100" t="str">
        <f aca="false">IF(ISBLANK($C68),"",IF($M68=Constants!$B$2,TRUE(),IF($M68=Constants!$B$3,FALSE(),TRUE())))</f>
        <v/>
      </c>
      <c r="AQ68" s="100" t="str">
        <f aca="false">IF(ISBLANK($C68),"",IF($N68=Constants!$B$2,TRUE(),IF($N68=Constants!$B$3,FALSE(),FALSE())))</f>
        <v/>
      </c>
      <c r="AR68" s="100" t="str">
        <f aca="false">IF(ISBLANK($C68),"",IF($O68=Constants!$B$2,TRUE(),IF($O68=Constants!$B$3,FALSE(),TRUE())))</f>
        <v/>
      </c>
      <c r="AS68" s="100" t="str">
        <f aca="false">IF(ISBLANK($C68),"",IF($P68=Constants!$B$2,TRUE(),IF($P68=Constants!$B$3,FALSE(),FALSE())))</f>
        <v/>
      </c>
      <c r="AT68" s="100" t="str">
        <f aca="false">IF(ISBLANK($C68),"",IF($Q68=Constants!$B$2,TRUE(),IF($Q68=Constants!$B$3,FALSE(),FALSE())))</f>
        <v/>
      </c>
      <c r="AU68" s="100" t="str">
        <f aca="false">IF(ISBLANK($C68),"",IF($R68=Constants!$B$2,TRUE(),IF($R68=Constants!$B$3,FALSE(),FALSE())))</f>
        <v/>
      </c>
      <c r="AV68" s="100" t="str">
        <f aca="false">IF(ISBLANK($C68),"",IF($S68=Constants!$B$2,TRUE(),IF($S68=Constants!$B$3,FALSE(),FALSE())))</f>
        <v/>
      </c>
      <c r="AW68" s="100" t="str">
        <f aca="false">IF(ISBLANK($C68),"",IF($T68=Constants!$B$2,TRUE(),IF($T68=Constants!$B$3,FALSE(),FALSE())))</f>
        <v/>
      </c>
      <c r="AX68" s="100" t="str">
        <f aca="false">IF(ISBLANK($C68),"",IF(OR($U68&amp;""="1",$U68&amp;""="2",$U68&amp;""="3",$U68&amp;""="4"),VALUE($U68&amp;""),IF($U68=Constants!$B$12,Constants!$B$12,"")))</f>
        <v/>
      </c>
      <c r="AY68" s="100" t="str">
        <f aca="false">IF(ISBLANK($C68),"",IF(ISBLANK($V68),0,IF(ISNUMBER($V68),IF(AND($V68&gt;=0,$V68&lt;=Constants!$B$21,$V68=INT($V68)),$V68,""),"")))</f>
        <v/>
      </c>
      <c r="AZ68" s="100" t="str">
        <f aca="false">IF(ISBLANK($C68),"",IF(ISBLANK($W68),0,IF(ISNUMBER($W68),IF($W68&gt;=0,$W68,""),"")))</f>
        <v/>
      </c>
      <c r="BA68" s="100" t="str">
        <f aca="false">IF(ISBLANK($C68),"",IF($X68=Constants!$B$2,TRUE(),IF($X68=Constants!$B$3,FALSE(),TRUE())))</f>
        <v/>
      </c>
      <c r="BB68" s="100" t="str">
        <f aca="false">IF(ISBLANK($C68),"",IF($Y68=Constants!$B$2,TRUE(),IF($Y68=Constants!$B$3,FALSE(),FALSE())))</f>
        <v/>
      </c>
      <c r="BC68" s="100" t="str">
        <f aca="false">IF(ISBLANK($C68),"",IF(ISBLANK($Z68),0,IF(ISNUMBER($Z68),IF(AND($Z68&gt;=0,$Z68&lt;=Constants!$B$35,$Z68=INT($Z68)),$Z68,""),"")))</f>
        <v/>
      </c>
      <c r="BD68" s="100" t="str">
        <f aca="false">IF(ISBLANK($C68),"",IF($AA68=Constants!$B$2,TRUE(),IF($AA68=Constants!$B$3,FALSE(),TRUE())))</f>
        <v/>
      </c>
      <c r="BE68" s="100" t="str">
        <f aca="false">IF(ISBLANK($C68),"",IF($AB68=Constants!$B$2,TRUE(),IF($AB68=Constants!$B$3,FALSE(),TRUE())))</f>
        <v/>
      </c>
      <c r="BF68" s="100" t="str">
        <f aca="false">IF(ISBLANK($C68),"",IF(ISNUMBER($AC68),IF($AC68&gt;=0,$AC68,""),""))</f>
        <v/>
      </c>
      <c r="BG68" s="100" t="str">
        <f aca="false">IF(ISBLANK($C68),"",IF($AD68=Constants!$B$2,TRUE(),IF($AD68=Constants!$B$3,FALSE(),FALSE())))</f>
        <v/>
      </c>
      <c r="BH68" s="99" t="str">
        <f aca="false">IF(ISBLANK($C68),"",IF($BG68,Constants!$B$7,IF(COUNTA($E68:$AC68)=0,Constants!$B$6,IF(OR(COUNTA($G68:$AC68)=0,NOT($AK68),$AQ68),Constants!$B$5,IF(OR($CI68&lt;&gt;"",$CJ68,$CK68,$CL68,$CM68,$CN68,$CO68),Constants!$B$8,Constants!$B$4)))))</f>
        <v/>
      </c>
      <c r="BI68" s="100" t="str">
        <f aca="false">IF(ISBLANK($C68),"",IF($BH68&lt;&gt;Constants!$B$4,$BH68,IF(OR(NOT($AH68),NOT($AJ68),NOT($AR68)),Constants!$B$11,IF(OR(NOT($AP68),MAX($AL68,$AM68,$AN68)&gt;Constants!$B$30),Constants!$B$10,Constants!$B$9))))</f>
        <v/>
      </c>
      <c r="BJ68" s="100" t="str">
        <f aca="false">IF($BH68&lt;&gt;Constants!$B$4,"",IF(NOT($AJ68),0,MIN(Constants!$B$35,$BC68)))</f>
        <v/>
      </c>
      <c r="BK68" s="100" t="str">
        <f aca="false">IF($BH68&lt;&gt;Constants!$B$4,"",IF(NOT($AJ68),0,IF($AT68,Constants!$B$18,IF($AS68,Constants!$B$17,0))))</f>
        <v/>
      </c>
      <c r="BL68" s="100" t="str">
        <f aca="false">IF($BH68&lt;&gt;Constants!$B$4,"",IF(NOT($AJ68),0,Constants!$B$19*($AI68+$AU68+$AV68+$AW68)))</f>
        <v/>
      </c>
      <c r="BM68" s="100" t="str">
        <f aca="false">IF($BH68&lt;&gt;Constants!$B$4,"",IF(OR(NOT($AJ68),NOT(ISNUMBER($AX68))),0,CHOOSE($AX68,Constants!$B$13,Constants!$B$14,Constants!$B$15,Constants!$B$16)))</f>
        <v/>
      </c>
      <c r="BN68" s="100" t="str">
        <f aca="false">IF($BH68&lt;&gt;Constants!$B$4,"",IF(NOT($AJ68),0,Constants!$B$20*$AY68))</f>
        <v/>
      </c>
      <c r="BO68" s="100" t="str">
        <f aca="false">IF($BH68&lt;&gt;Constants!$B$4,"",IF(AND($AJ68,$BA68,$BB68),Constants!$B$22,0))</f>
        <v/>
      </c>
      <c r="BP68" s="100" t="str">
        <f aca="false">IF($BH68&lt;&gt;Constants!$B$4,"",IF(OR(NOT($AJ68),NOT($BA68)),0,IF($BF68&gt;=2*$AF$9,0,Constants!$B$23*INT(ROUND(MIN($BF68,$AF$9),6)))))</f>
        <v/>
      </c>
      <c r="BQ68" s="100" t="str">
        <f aca="false">IF($BH68&lt;&gt;Constants!$B$4,"",IF(NOT($AJ68),0,Constants!$B$24*INT(ROUND(MIN($AZ68,$AF$9),6))))</f>
        <v/>
      </c>
      <c r="BR68" s="100" t="str">
        <f aca="false">IF($BH68&lt;&gt;Constants!$B$4,"",IF(AND($AJ68,$BJ68=0),Constants!$B$25,0))</f>
        <v/>
      </c>
      <c r="BS68" s="100" t="str">
        <f aca="false">IF($BH68&lt;&gt;Constants!$B$4,"",MIN(Constants!$B$29,MAX(0,Constants!$B$27*Constants!$B$28*INT(ROUND((Constants!$B$26-$AL68)/Constants!$B$28,6))))+MIN(Constants!$B$29,MAX(0,Constants!$B$27*Constants!$B$28*INT(ROUND((Constants!$B$26-$AM68)/Constants!$B$28,6))))+MIN(Constants!$B$29,MAX(0,Constants!$B$27*Constants!$B$28*INT(ROUND((Constants!$B$26-$AN68)/Constants!$B$28,6)))))</f>
        <v/>
      </c>
      <c r="BT68" s="100" t="str">
        <f aca="false">IF($BH68&lt;&gt;Constants!$B$4,"",IF(NOT($AJ68),0,Constants!$B$31*INT(ROUND(MAX(0,MIN($BF68,2*$AF$9)-$AF$9),6))))</f>
        <v/>
      </c>
      <c r="BU68" s="100" t="str">
        <f aca="false">IF($BH68&lt;&gt;Constants!$B$4,"",Constants!$B$32*(($AL68&gt;Constants!$B$26)+($AM68&gt;Constants!$B$26)+($AN68&gt;Constants!$B$26)))</f>
        <v/>
      </c>
      <c r="BV68" s="100" t="str">
        <f aca="false">IF($BH68&lt;&gt;Constants!$B$4,"",IF(OR(NOT($AJ68),$AO68),0,Constants!$B$33))</f>
        <v/>
      </c>
      <c r="BW68" s="100" t="str">
        <f aca="false">IF($BH68&lt;&gt;Constants!$B$4,"",Constants!$B$34*$BJ68)</f>
        <v/>
      </c>
      <c r="BX68" s="100" t="str">
        <f aca="false">IF($BH68&lt;&gt;Constants!$B$4,"",IF(OR(NOT($AJ68),$BE68),0,Constants!$B$36))</f>
        <v/>
      </c>
      <c r="BY68" s="100" t="str">
        <f aca="false">IF($BH68&lt;&gt;Constants!$B$4,"",IF(OR(NOT($AJ68),$BD68),0,Constants!$B$37))</f>
        <v/>
      </c>
      <c r="BZ68" s="100" t="str">
        <f aca="false">IF($BH68&lt;&gt;Constants!$B$4,"",SUM($BT68:$BY68))</f>
        <v/>
      </c>
      <c r="CA68" s="100" t="str">
        <f aca="false">IF(ISBLANK($C68),"",IF($BH68&lt;&gt;Constants!$B$4,$BH68,SUM($BK68:$BS68)-$BZ68))</f>
        <v/>
      </c>
      <c r="CB68" s="100" t="str">
        <f aca="false">IF(ISBLANK($C68),"",IF($BH68&lt;&gt;Constants!$B$4,$BH68,RANK($CA68,$CA$9:$CA$508)))</f>
        <v/>
      </c>
      <c r="CC68" s="100" t="str">
        <f aca="false">IF(ISBLANK($C68),"",IF($BH68&lt;&gt;Constants!$B$4,$BH68,COUNTIFS($BI$9:$BI$508,"&lt;"&amp;$BI68)+COUNTIFS($BI$9:$BI$508,$BI68,$CB$9:$CB$508,"&lt;"&amp;$CB68)+1))</f>
        <v/>
      </c>
      <c r="CD68" s="100" t="str">
        <f aca="false">IF(ISBLANK($C68),"",IF($BH68&lt;&gt;Constants!$B$4,$BH68,RANK($BZ68,$BZ$9:$BZ$508,1)))</f>
        <v/>
      </c>
      <c r="CE68" s="100" t="str">
        <f aca="false">IF($BH68&lt;&gt;Constants!$B$4,"",$AL68+$AM68+$AN68)</f>
        <v/>
      </c>
      <c r="CF68" s="100" t="str">
        <f aca="false">IF(ISBLANK($C68),"",IF($BH68&lt;&gt;Constants!$B$4,$BH68,RANK($CE68,$CE$9:$CE$508,1)))</f>
        <v/>
      </c>
      <c r="CG68" s="100" t="str">
        <f aca="false">IF(ISBLANK($C68),"",IF($BH68&lt;&gt;Constants!$B$4,$BH68,COUNTIFS($BI$9:$BI$508,"&lt;"&amp;$BI68)+COUNTIFS($BI$9:$BI$508,$BI68,$CB$9:$CB$508,"&lt;"&amp;$CB68)+COUNTIFS($BI$9:$BI$508,$BI68,$CB$9:$CB$508,$CB68,$CD$9:$CD$508,"&lt;"&amp;$CD68)+COUNTIFS($BI$9:$BI$508,$BI68,$CB$9:$CB$508,$CB68,$CD$9:$CD$508,$CD68,$CF$9:$CF$508,"&lt;"&amp;$CF68)+1))</f>
        <v/>
      </c>
      <c r="CH68" s="100" t="str">
        <f aca="false">IF(ISBLANK($C68),"",IF($BH68&lt;&gt;Constants!$B$4,$BH68,$CC68-$CG68))</f>
        <v/>
      </c>
      <c r="CI68" s="100" t="str">
        <f aca="false">IF(ISBLANK($C68),"",IF(NOT($AJ68),"",IF(ISBLANK($D$7),$CI$5,IF(NOT(ISNUMBER($D$7)),$CI$6,""))))</f>
        <v/>
      </c>
      <c r="CJ68" s="100" t="str">
        <f aca="false">IF(ISBLANK($C68),"",OR($AL68="",$AM68="",$AN68=""))</f>
        <v/>
      </c>
      <c r="CK68" s="100" t="str">
        <f aca="false">IF(ISBLANK($C68),"",AND($AJ68,$AX68=""))</f>
        <v/>
      </c>
      <c r="CL68" s="100" t="str">
        <f aca="false">IF(ISBLANK($C68),"",AND($AJ68,$AY68=""))</f>
        <v/>
      </c>
      <c r="CM68" s="100" t="str">
        <f aca="false">IF(ISBLANK($C68),"",AND($AJ68,$AZ68=""))</f>
        <v/>
      </c>
      <c r="CN68" s="100" t="str">
        <f aca="false">IF(ISBLANK($C68),"",AND($AJ68,$BC68=""))</f>
        <v/>
      </c>
      <c r="CO68" s="100" t="str">
        <f aca="false">IF(ISBLANK($C68),"",AND($AJ68,$BF68=""))</f>
        <v/>
      </c>
      <c r="CP68" s="101"/>
      <c r="CQ68" s="102"/>
      <c r="CR68" s="103" t="str">
        <f aca="false">IF(ISBLANK($C68),"",IF($BH68=Constants!$B$8,$CI68,""))</f>
        <v/>
      </c>
      <c r="CS68" s="102" t="str">
        <f aca="false">IF(ISBLANK($C68),"",IF($BH68&lt;&gt;Constants!$B$4,"",$BK68+$BL68))</f>
        <v/>
      </c>
      <c r="CT68" s="104" t="str">
        <f aca="false">IF(ISBLANK($C68),"",IF($BH68&lt;&gt;Constants!$B$4,"",$BM68+$BN68+$BO68))</f>
        <v/>
      </c>
      <c r="CU68" s="104" t="str">
        <f aca="false">IF(ISBLANK($C68),"",IF($BH68&lt;&gt;Constants!$B$4,"",$BP68))</f>
        <v/>
      </c>
      <c r="CV68" s="104" t="str">
        <f aca="false">IF(ISBLANK($C68),"",IF($BH68&lt;&gt;Constants!$B$4,"",$BQ68+$BR68))</f>
        <v/>
      </c>
      <c r="CW68" s="104" t="str">
        <f aca="false">IF(ISBLANK($C68),"",IF($BH68&lt;&gt;Constants!$B$4,"",$BS68))</f>
        <v/>
      </c>
      <c r="CX68" s="104" t="str">
        <f aca="false">IF(ISBLANK($C68),"",IF($BH68&lt;&gt;Constants!$B$4,"",-$BZ68))</f>
        <v/>
      </c>
      <c r="CY68" s="103" t="str">
        <f aca="false">IF(ISBLANK($C68),"",$CA68)</f>
        <v/>
      </c>
      <c r="CZ68" s="105" t="str">
        <f aca="false">IF(ISBLANK($C68),"",$BI68)</f>
        <v/>
      </c>
      <c r="DA68" s="104" t="str">
        <f aca="false">IF(ISBLANK($C68),"",$CH68)</f>
        <v/>
      </c>
      <c r="DB68" s="104" t="str">
        <f aca="false">IF(ISBLANK($C68),"",$CG68)</f>
        <v/>
      </c>
      <c r="DC68" s="106" t="str">
        <f aca="false">IF(ISBLANK($C68),"",IFERROR(_xlfn.SWITCH($DB68,Constants!$B$7,COUNTA($C$9:$C$508)+2,Constants!$B$6,COUNTA($C$9:$C$508)+1,Constants!$B$5,COUNTA($C$9:$C$508)),$DB68))</f>
        <v/>
      </c>
      <c r="DD68" s="7"/>
      <c r="DE68" s="107" t="n">
        <f aca="false">IF(OR(ISNUMBER($DB68),$DB68=Constants!$B$7,$DB68=Constants!$B$5,$DB68=Constants!$B$6),1,0)</f>
        <v>0</v>
      </c>
      <c r="DF68" s="107" t="n">
        <v>60</v>
      </c>
      <c r="DG68" s="107" t="str">
        <f aca="false">IF(ISBLANK($C68),"",IF(ISNUMBER($DC68),$DC68+ROW($B68)/1000,""))</f>
        <v/>
      </c>
      <c r="DH68" s="107" t="str">
        <f aca="false">IF(ISNUMBER($DG68),RANK($DG68,$DG$9:$DG$508,1),"")</f>
        <v/>
      </c>
      <c r="DI68" s="107" t="str">
        <f aca="false">IF(ISBLANK($C68),"",$B68)</f>
        <v/>
      </c>
      <c r="DJ68" s="107" t="str">
        <f aca="false">IF(ISBLANK($C68),"",$C68)</f>
        <v/>
      </c>
      <c r="DK68" s="107" t="str">
        <f aca="false">IF(ISBLANK($C68),"",$D68)</f>
        <v/>
      </c>
      <c r="DL68" s="108" t="str">
        <f aca="false">$CZ68</f>
        <v/>
      </c>
      <c r="DM68" s="109" t="str">
        <f aca="false">$CY68</f>
        <v/>
      </c>
      <c r="DN68" s="107" t="str">
        <f aca="false">IF(ISBLANK($C68),"",$DB68)</f>
        <v/>
      </c>
      <c r="DO68" s="110" t="str">
        <f aca="false">IF($DF68&gt;$DE$8,"",VLOOKUP($DF68,$DH$9:$DN$508,7,FALSE()))</f>
        <v/>
      </c>
      <c r="DP68" s="111" t="str">
        <f aca="false">IF($DF68&gt;$DE$8,"",VLOOKUP($DF68,$DH$9:$DN$508,2,FALSE()))</f>
        <v/>
      </c>
      <c r="DQ68" s="111" t="str">
        <f aca="false">IF($DF68&gt;$DE$8,"",VLOOKUP($DF68,$DH$9:$DN$508,3,FALSE()))</f>
        <v/>
      </c>
      <c r="DR68" s="111" t="str">
        <f aca="false">IF($DF68&gt;$DE$8,"",VLOOKUP($DF68,$DH$9:$DN$508,4,FALSE()))</f>
        <v/>
      </c>
      <c r="DS68" s="111" t="str">
        <f aca="false">IF($DF68&gt;$DE$8,"",VLOOKUP($DF68,$DH$9:$DN$508,5,FALSE()))</f>
        <v/>
      </c>
      <c r="DT68" s="112" t="str">
        <f aca="false">IF($DF68&gt;$DE$8,"",VLOOKUP($DF68,$DH$9:$DN$508,6,FALSE()))</f>
        <v/>
      </c>
      <c r="DU68" s="62"/>
    </row>
    <row r="69" customFormat="false" ht="15.75" hidden="false" customHeight="false" outlineLevel="0" collapsed="false">
      <c r="A69" s="7"/>
      <c r="B69" s="64"/>
      <c r="C69" s="65"/>
      <c r="D69" s="123"/>
      <c r="E69" s="122"/>
      <c r="F69" s="66"/>
      <c r="G69" s="122"/>
      <c r="H69" s="66"/>
      <c r="I69" s="119"/>
      <c r="J69" s="119"/>
      <c r="K69" s="119"/>
      <c r="L69" s="122"/>
      <c r="M69" s="122"/>
      <c r="N69" s="122"/>
      <c r="O69" s="66"/>
      <c r="P69" s="122"/>
      <c r="Q69" s="122"/>
      <c r="R69" s="122"/>
      <c r="S69" s="122"/>
      <c r="T69" s="66"/>
      <c r="U69" s="122"/>
      <c r="V69" s="120"/>
      <c r="W69" s="122"/>
      <c r="X69" s="122"/>
      <c r="Y69" s="120"/>
      <c r="Z69" s="120"/>
      <c r="AA69" s="122"/>
      <c r="AB69" s="122"/>
      <c r="AC69" s="121"/>
      <c r="AD69" s="122"/>
      <c r="AE69" s="73"/>
      <c r="AF69" s="74"/>
      <c r="AG69" s="74"/>
      <c r="AH69" s="74" t="str">
        <f aca="false">IF(ISBLANK($C69),"",IF($E69=Constants!$B$2,TRUE(),IF($E69=Constants!$B$3,FALSE(),TRUE())))</f>
        <v/>
      </c>
      <c r="AI69" s="74" t="str">
        <f aca="false">IF(ISBLANK($C69),"",IF($F69=Constants!$B$2,TRUE(),IF($F69=Constants!$B$3,FALSE(),FALSE())))</f>
        <v/>
      </c>
      <c r="AJ69" s="74" t="str">
        <f aca="false">IF(ISBLANK($C69),"",IF($G69=Constants!$B$2,TRUE(),IF($G69=Constants!$B$3,FALSE(),TRUE())))</f>
        <v/>
      </c>
      <c r="AK69" s="74" t="str">
        <f aca="false">IF(ISBLANK($C69),"",IF($H69=Constants!$B$2,TRUE(),IF($H69=Constants!$B$3,FALSE(),TRUE())))</f>
        <v/>
      </c>
      <c r="AL69" s="74" t="str">
        <f aca="false">IF(ISBLANK($C69),"",IF(ISNUMBER($I69),IF($I69&gt;=0,$I69,""),""))</f>
        <v/>
      </c>
      <c r="AM69" s="74" t="str">
        <f aca="false">IF(ISBLANK($C69),"",IF(ISNUMBER($J69),IF($J69&gt;=0,$J69,""),""))</f>
        <v/>
      </c>
      <c r="AN69" s="74" t="str">
        <f aca="false">IF(ISBLANK($C69),"",IF(ISNUMBER($K69),IF($K69&gt;=0,$K69,""),""))</f>
        <v/>
      </c>
      <c r="AO69" s="74" t="str">
        <f aca="false">IF(ISBLANK($C69),"",IF($L69=Constants!$B$2,TRUE(),IF($L69=Constants!$B$3,FALSE(),TRUE())))</f>
        <v/>
      </c>
      <c r="AP69" s="74" t="str">
        <f aca="false">IF(ISBLANK($C69),"",IF($M69=Constants!$B$2,TRUE(),IF($M69=Constants!$B$3,FALSE(),TRUE())))</f>
        <v/>
      </c>
      <c r="AQ69" s="74" t="str">
        <f aca="false">IF(ISBLANK($C69),"",IF($N69=Constants!$B$2,TRUE(),IF($N69=Constants!$B$3,FALSE(),FALSE())))</f>
        <v/>
      </c>
      <c r="AR69" s="74" t="str">
        <f aca="false">IF(ISBLANK($C69),"",IF($O69=Constants!$B$2,TRUE(),IF($O69=Constants!$B$3,FALSE(),TRUE())))</f>
        <v/>
      </c>
      <c r="AS69" s="74" t="str">
        <f aca="false">IF(ISBLANK($C69),"",IF($P69=Constants!$B$2,TRUE(),IF($P69=Constants!$B$3,FALSE(),FALSE())))</f>
        <v/>
      </c>
      <c r="AT69" s="74" t="str">
        <f aca="false">IF(ISBLANK($C69),"",IF($Q69=Constants!$B$2,TRUE(),IF($Q69=Constants!$B$3,FALSE(),FALSE())))</f>
        <v/>
      </c>
      <c r="AU69" s="74" t="str">
        <f aca="false">IF(ISBLANK($C69),"",IF($R69=Constants!$B$2,TRUE(),IF($R69=Constants!$B$3,FALSE(),FALSE())))</f>
        <v/>
      </c>
      <c r="AV69" s="74" t="str">
        <f aca="false">IF(ISBLANK($C69),"",IF($S69=Constants!$B$2,TRUE(),IF($S69=Constants!$B$3,FALSE(),FALSE())))</f>
        <v/>
      </c>
      <c r="AW69" s="74" t="str">
        <f aca="false">IF(ISBLANK($C69),"",IF($T69=Constants!$B$2,TRUE(),IF($T69=Constants!$B$3,FALSE(),FALSE())))</f>
        <v/>
      </c>
      <c r="AX69" s="74" t="str">
        <f aca="false">IF(ISBLANK($C69),"",IF(OR($U69&amp;""="1",$U69&amp;""="2",$U69&amp;""="3",$U69&amp;""="4"),VALUE($U69&amp;""),IF($U69=Constants!$B$12,Constants!$B$12,"")))</f>
        <v/>
      </c>
      <c r="AY69" s="74" t="str">
        <f aca="false">IF(ISBLANK($C69),"",IF(ISBLANK($V69),0,IF(ISNUMBER($V69),IF(AND($V69&gt;=0,$V69&lt;=Constants!$B$21,$V69=INT($V69)),$V69,""),"")))</f>
        <v/>
      </c>
      <c r="AZ69" s="74" t="str">
        <f aca="false">IF(ISBLANK($C69),"",IF(ISBLANK($W69),0,IF(ISNUMBER($W69),IF($W69&gt;=0,$W69,""),"")))</f>
        <v/>
      </c>
      <c r="BA69" s="74" t="str">
        <f aca="false">IF(ISBLANK($C69),"",IF($X69=Constants!$B$2,TRUE(),IF($X69=Constants!$B$3,FALSE(),TRUE())))</f>
        <v/>
      </c>
      <c r="BB69" s="74" t="str">
        <f aca="false">IF(ISBLANK($C69),"",IF($Y69=Constants!$B$2,TRUE(),IF($Y69=Constants!$B$3,FALSE(),FALSE())))</f>
        <v/>
      </c>
      <c r="BC69" s="74" t="str">
        <f aca="false">IF(ISBLANK($C69),"",IF(ISBLANK($Z69),0,IF(ISNUMBER($Z69),IF(AND($Z69&gt;=0,$Z69&lt;=Constants!$B$35,$Z69=INT($Z69)),$Z69,""),"")))</f>
        <v/>
      </c>
      <c r="BD69" s="74" t="str">
        <f aca="false">IF(ISBLANK($C69),"",IF($AA69=Constants!$B$2,TRUE(),IF($AA69=Constants!$B$3,FALSE(),TRUE())))</f>
        <v/>
      </c>
      <c r="BE69" s="74" t="str">
        <f aca="false">IF(ISBLANK($C69),"",IF($AB69=Constants!$B$2,TRUE(),IF($AB69=Constants!$B$3,FALSE(),TRUE())))</f>
        <v/>
      </c>
      <c r="BF69" s="74" t="str">
        <f aca="false">IF(ISBLANK($C69),"",IF(ISNUMBER($AC69),IF($AC69&gt;=0,$AC69,""),""))</f>
        <v/>
      </c>
      <c r="BG69" s="74" t="str">
        <f aca="false">IF(ISBLANK($C69),"",IF($AD69=Constants!$B$2,TRUE(),IF($AD69=Constants!$B$3,FALSE(),FALSE())))</f>
        <v/>
      </c>
      <c r="BH69" s="73" t="str">
        <f aca="false">IF(ISBLANK($C69),"",IF($BG69,Constants!$B$7,IF(COUNTA($E69:$AC69)=0,Constants!$B$6,IF(OR(COUNTA($G69:$AC69)=0,NOT($AK69),$AQ69),Constants!$B$5,IF(OR($CI69&lt;&gt;"",$CJ69,$CK69,$CL69,$CM69,$CN69,$CO69),Constants!$B$8,Constants!$B$4)))))</f>
        <v/>
      </c>
      <c r="BI69" s="74" t="str">
        <f aca="false">IF(ISBLANK($C69),"",IF($BH69&lt;&gt;Constants!$B$4,$BH69,IF(OR(NOT($AH69),NOT($AJ69),NOT($AR69)),Constants!$B$11,IF(OR(NOT($AP69),MAX($AL69,$AM69,$AN69)&gt;Constants!$B$30),Constants!$B$10,Constants!$B$9))))</f>
        <v/>
      </c>
      <c r="BJ69" s="74" t="str">
        <f aca="false">IF($BH69&lt;&gt;Constants!$B$4,"",IF(NOT($AJ69),0,MIN(Constants!$B$35,$BC69)))</f>
        <v/>
      </c>
      <c r="BK69" s="74" t="str">
        <f aca="false">IF($BH69&lt;&gt;Constants!$B$4,"",IF(NOT($AJ69),0,IF($AT69,Constants!$B$18,IF($AS69,Constants!$B$17,0))))</f>
        <v/>
      </c>
      <c r="BL69" s="74" t="str">
        <f aca="false">IF($BH69&lt;&gt;Constants!$B$4,"",IF(NOT($AJ69),0,Constants!$B$19*($AI69+$AU69+$AV69+$AW69)))</f>
        <v/>
      </c>
      <c r="BM69" s="74" t="str">
        <f aca="false">IF($BH69&lt;&gt;Constants!$B$4,"",IF(OR(NOT($AJ69),NOT(ISNUMBER($AX69))),0,CHOOSE($AX69,Constants!$B$13,Constants!$B$14,Constants!$B$15,Constants!$B$16)))</f>
        <v/>
      </c>
      <c r="BN69" s="74" t="str">
        <f aca="false">IF($BH69&lt;&gt;Constants!$B$4,"",IF(NOT($AJ69),0,Constants!$B$20*$AY69))</f>
        <v/>
      </c>
      <c r="BO69" s="74" t="str">
        <f aca="false">IF($BH69&lt;&gt;Constants!$B$4,"",IF(AND($AJ69,$BA69,$BB69),Constants!$B$22,0))</f>
        <v/>
      </c>
      <c r="BP69" s="74" t="str">
        <f aca="false">IF($BH69&lt;&gt;Constants!$B$4,"",IF(OR(NOT($AJ69),NOT($BA69)),0,IF($BF69&gt;=2*$AF$9,0,Constants!$B$23*INT(ROUND(MIN($BF69,$AF$9),6)))))</f>
        <v/>
      </c>
      <c r="BQ69" s="74" t="str">
        <f aca="false">IF($BH69&lt;&gt;Constants!$B$4,"",IF(NOT($AJ69),0,Constants!$B$24*INT(ROUND(MIN($AZ69,$AF$9),6))))</f>
        <v/>
      </c>
      <c r="BR69" s="74" t="str">
        <f aca="false">IF($BH69&lt;&gt;Constants!$B$4,"",IF(AND($AJ69,$BJ69=0),Constants!$B$25,0))</f>
        <v/>
      </c>
      <c r="BS69" s="74" t="str">
        <f aca="false">IF($BH69&lt;&gt;Constants!$B$4,"",MIN(Constants!$B$29,MAX(0,Constants!$B$27*Constants!$B$28*INT(ROUND((Constants!$B$26-$AL69)/Constants!$B$28,6))))+MIN(Constants!$B$29,MAX(0,Constants!$B$27*Constants!$B$28*INT(ROUND((Constants!$B$26-$AM69)/Constants!$B$28,6))))+MIN(Constants!$B$29,MAX(0,Constants!$B$27*Constants!$B$28*INT(ROUND((Constants!$B$26-$AN69)/Constants!$B$28,6)))))</f>
        <v/>
      </c>
      <c r="BT69" s="74" t="str">
        <f aca="false">IF($BH69&lt;&gt;Constants!$B$4,"",IF(NOT($AJ69),0,Constants!$B$31*INT(ROUND(MAX(0,MIN($BF69,2*$AF$9)-$AF$9),6))))</f>
        <v/>
      </c>
      <c r="BU69" s="74" t="str">
        <f aca="false">IF($BH69&lt;&gt;Constants!$B$4,"",Constants!$B$32*(($AL69&gt;Constants!$B$26)+($AM69&gt;Constants!$B$26)+($AN69&gt;Constants!$B$26)))</f>
        <v/>
      </c>
      <c r="BV69" s="74" t="str">
        <f aca="false">IF($BH69&lt;&gt;Constants!$B$4,"",IF(OR(NOT($AJ69),$AO69),0,Constants!$B$33))</f>
        <v/>
      </c>
      <c r="BW69" s="74" t="str">
        <f aca="false">IF($BH69&lt;&gt;Constants!$B$4,"",Constants!$B$34*$BJ69)</f>
        <v/>
      </c>
      <c r="BX69" s="74" t="str">
        <f aca="false">IF($BH69&lt;&gt;Constants!$B$4,"",IF(OR(NOT($AJ69),$BE69),0,Constants!$B$36))</f>
        <v/>
      </c>
      <c r="BY69" s="74" t="str">
        <f aca="false">IF($BH69&lt;&gt;Constants!$B$4,"",IF(OR(NOT($AJ69),$BD69),0,Constants!$B$37))</f>
        <v/>
      </c>
      <c r="BZ69" s="74" t="str">
        <f aca="false">IF($BH69&lt;&gt;Constants!$B$4,"",SUM($BT69:$BY69))</f>
        <v/>
      </c>
      <c r="CA69" s="74" t="str">
        <f aca="false">IF(ISBLANK($C69),"",IF($BH69&lt;&gt;Constants!$B$4,$BH69,SUM($BK69:$BS69)-$BZ69))</f>
        <v/>
      </c>
      <c r="CB69" s="74" t="str">
        <f aca="false">IF(ISBLANK($C69),"",IF($BH69&lt;&gt;Constants!$B$4,$BH69,RANK($CA69,$CA$9:$CA$508)))</f>
        <v/>
      </c>
      <c r="CC69" s="74" t="str">
        <f aca="false">IF(ISBLANK($C69),"",IF($BH69&lt;&gt;Constants!$B$4,$BH69,COUNTIFS($BI$9:$BI$508,"&lt;"&amp;$BI69)+COUNTIFS($BI$9:$BI$508,$BI69,$CB$9:$CB$508,"&lt;"&amp;$CB69)+1))</f>
        <v/>
      </c>
      <c r="CD69" s="74" t="str">
        <f aca="false">IF(ISBLANK($C69),"",IF($BH69&lt;&gt;Constants!$B$4,$BH69,RANK($BZ69,$BZ$9:$BZ$508,1)))</f>
        <v/>
      </c>
      <c r="CE69" s="74" t="str">
        <f aca="false">IF($BH69&lt;&gt;Constants!$B$4,"",$AL69+$AM69+$AN69)</f>
        <v/>
      </c>
      <c r="CF69" s="74" t="str">
        <f aca="false">IF(ISBLANK($C69),"",IF($BH69&lt;&gt;Constants!$B$4,$BH69,RANK($CE69,$CE$9:$CE$508,1)))</f>
        <v/>
      </c>
      <c r="CG69" s="74" t="str">
        <f aca="false">IF(ISBLANK($C69),"",IF($BH69&lt;&gt;Constants!$B$4,$BH69,COUNTIFS($BI$9:$BI$508,"&lt;"&amp;$BI69)+COUNTIFS($BI$9:$BI$508,$BI69,$CB$9:$CB$508,"&lt;"&amp;$CB69)+COUNTIFS($BI$9:$BI$508,$BI69,$CB$9:$CB$508,$CB69,$CD$9:$CD$508,"&lt;"&amp;$CD69)+COUNTIFS($BI$9:$BI$508,$BI69,$CB$9:$CB$508,$CB69,$CD$9:$CD$508,$CD69,$CF$9:$CF$508,"&lt;"&amp;$CF69)+1))</f>
        <v/>
      </c>
      <c r="CH69" s="74" t="str">
        <f aca="false">IF(ISBLANK($C69),"",IF($BH69&lt;&gt;Constants!$B$4,$BH69,$CC69-$CG69))</f>
        <v/>
      </c>
      <c r="CI69" s="74" t="str">
        <f aca="false">IF(ISBLANK($C69),"",IF(NOT($AJ69),"",IF(ISBLANK($D$7),$CI$5,IF(NOT(ISNUMBER($D$7)),$CI$6,""))))</f>
        <v/>
      </c>
      <c r="CJ69" s="74" t="str">
        <f aca="false">IF(ISBLANK($C69),"",OR($AL69="",$AM69="",$AN69=""))</f>
        <v/>
      </c>
      <c r="CK69" s="74" t="str">
        <f aca="false">IF(ISBLANK($C69),"",AND($AJ69,$AX69=""))</f>
        <v/>
      </c>
      <c r="CL69" s="74" t="str">
        <f aca="false">IF(ISBLANK($C69),"",AND($AJ69,$AY69=""))</f>
        <v/>
      </c>
      <c r="CM69" s="74" t="str">
        <f aca="false">IF(ISBLANK($C69),"",AND($AJ69,$AZ69=""))</f>
        <v/>
      </c>
      <c r="CN69" s="74" t="str">
        <f aca="false">IF(ISBLANK($C69),"",AND($AJ69,$BC69=""))</f>
        <v/>
      </c>
      <c r="CO69" s="74" t="str">
        <f aca="false">IF(ISBLANK($C69),"",AND($AJ69,$BF69=""))</f>
        <v/>
      </c>
      <c r="CP69" s="75"/>
      <c r="CQ69" s="76"/>
      <c r="CR69" s="79" t="str">
        <f aca="false">IF(ISBLANK($C69),"",IF($BH69=Constants!$B$8,$CI69,""))</f>
        <v/>
      </c>
      <c r="CS69" s="76" t="str">
        <f aca="false">IF(ISBLANK($C69),"",IF($BH69&lt;&gt;Constants!$B$4,"",$BK69+$BL69))</f>
        <v/>
      </c>
      <c r="CT69" s="78" t="str">
        <f aca="false">IF(ISBLANK($C69),"",IF($BH69&lt;&gt;Constants!$B$4,"",$BM69+$BN69+$BO69))</f>
        <v/>
      </c>
      <c r="CU69" s="78" t="str">
        <f aca="false">IF(ISBLANK($C69),"",IF($BH69&lt;&gt;Constants!$B$4,"",$BP69))</f>
        <v/>
      </c>
      <c r="CV69" s="78" t="str">
        <f aca="false">IF(ISBLANK($C69),"",IF($BH69&lt;&gt;Constants!$B$4,"",$BQ69+$BR69))</f>
        <v/>
      </c>
      <c r="CW69" s="78" t="str">
        <f aca="false">IF(ISBLANK($C69),"",IF($BH69&lt;&gt;Constants!$B$4,"",$BS69))</f>
        <v/>
      </c>
      <c r="CX69" s="78" t="str">
        <f aca="false">IF(ISBLANK($C69),"",IF($BH69&lt;&gt;Constants!$B$4,"",-$BZ69))</f>
        <v/>
      </c>
      <c r="CY69" s="79" t="str">
        <f aca="false">IF(ISBLANK($C69),"",$CA69)</f>
        <v/>
      </c>
      <c r="CZ69" s="80" t="str">
        <f aca="false">IF(ISBLANK($C69),"",$BI69)</f>
        <v/>
      </c>
      <c r="DA69" s="78" t="str">
        <f aca="false">IF(ISBLANK($C69),"",$CH69)</f>
        <v/>
      </c>
      <c r="DB69" s="78" t="str">
        <f aca="false">IF(ISBLANK($C69),"",$CG69)</f>
        <v/>
      </c>
      <c r="DC69" s="81" t="str">
        <f aca="false">IF(ISBLANK($C69),"",IFERROR(_xlfn.SWITCH($DB69,Constants!$B$7,COUNTA($C$9:$C$508)+2,Constants!$B$6,COUNTA($C$9:$C$508)+1,Constants!$B$5,COUNTA($C$9:$C$508)),$DB69))</f>
        <v/>
      </c>
      <c r="DD69" s="7"/>
      <c r="DE69" s="82" t="n">
        <f aca="false">IF(OR(ISNUMBER($DB69),$DB69=Constants!$B$7,$DB69=Constants!$B$5,$DB69=Constants!$B$6),1,0)</f>
        <v>0</v>
      </c>
      <c r="DF69" s="82" t="n">
        <v>61</v>
      </c>
      <c r="DG69" s="82" t="str">
        <f aca="false">IF(ISBLANK($C69),"",IF(ISNUMBER($DC69),$DC69+ROW($B69)/1000,""))</f>
        <v/>
      </c>
      <c r="DH69" s="82" t="str">
        <f aca="false">IF(ISNUMBER($DG69),RANK($DG69,$DG$9:$DG$508,1),"")</f>
        <v/>
      </c>
      <c r="DI69" s="82" t="str">
        <f aca="false">IF(ISBLANK($C69),"",$B69)</f>
        <v/>
      </c>
      <c r="DJ69" s="82" t="str">
        <f aca="false">IF(ISBLANK($C69),"",$C69)</f>
        <v/>
      </c>
      <c r="DK69" s="82" t="str">
        <f aca="false">IF(ISBLANK($C69),"",$D69)</f>
        <v/>
      </c>
      <c r="DL69" s="83" t="str">
        <f aca="false">$CZ69</f>
        <v/>
      </c>
      <c r="DM69" s="84" t="str">
        <f aca="false">$CY69</f>
        <v/>
      </c>
      <c r="DN69" s="82" t="str">
        <f aca="false">IF(ISBLANK($C69),"",$DB69)</f>
        <v/>
      </c>
      <c r="DO69" s="85" t="str">
        <f aca="false">IF($DF69&gt;$DE$8,"",VLOOKUP($DF69,$DH$9:$DN$508,7,FALSE()))</f>
        <v/>
      </c>
      <c r="DP69" s="86" t="str">
        <f aca="false">IF($DF69&gt;$DE$8,"",VLOOKUP($DF69,$DH$9:$DN$508,2,FALSE()))</f>
        <v/>
      </c>
      <c r="DQ69" s="86" t="str">
        <f aca="false">IF($DF69&gt;$DE$8,"",VLOOKUP($DF69,$DH$9:$DN$508,3,FALSE()))</f>
        <v/>
      </c>
      <c r="DR69" s="86" t="str">
        <f aca="false">IF($DF69&gt;$DE$8,"",VLOOKUP($DF69,$DH$9:$DN$508,4,FALSE()))</f>
        <v/>
      </c>
      <c r="DS69" s="86" t="str">
        <f aca="false">IF($DF69&gt;$DE$8,"",VLOOKUP($DF69,$DH$9:$DN$508,5,FALSE()))</f>
        <v/>
      </c>
      <c r="DT69" s="87" t="str">
        <f aca="false">IF($DF69&gt;$DE$8,"",VLOOKUP($DF69,$DH$9:$DN$508,6,FALSE()))</f>
        <v/>
      </c>
      <c r="DU69" s="62"/>
    </row>
    <row r="70" customFormat="false" ht="15.75" hidden="false" customHeight="false" outlineLevel="0" collapsed="false">
      <c r="A70" s="7"/>
      <c r="B70" s="64"/>
      <c r="C70" s="65"/>
      <c r="D70" s="123"/>
      <c r="E70" s="122"/>
      <c r="F70" s="66"/>
      <c r="G70" s="122"/>
      <c r="H70" s="66"/>
      <c r="I70" s="119"/>
      <c r="J70" s="119"/>
      <c r="K70" s="119"/>
      <c r="L70" s="122"/>
      <c r="M70" s="122"/>
      <c r="N70" s="122"/>
      <c r="O70" s="66"/>
      <c r="P70" s="122"/>
      <c r="Q70" s="122"/>
      <c r="R70" s="122"/>
      <c r="S70" s="122"/>
      <c r="T70" s="66"/>
      <c r="U70" s="122"/>
      <c r="V70" s="120"/>
      <c r="W70" s="122"/>
      <c r="X70" s="122"/>
      <c r="Y70" s="120"/>
      <c r="Z70" s="120"/>
      <c r="AA70" s="122"/>
      <c r="AB70" s="122"/>
      <c r="AC70" s="121"/>
      <c r="AD70" s="122"/>
      <c r="AE70" s="73"/>
      <c r="AF70" s="74"/>
      <c r="AG70" s="74"/>
      <c r="AH70" s="74" t="str">
        <f aca="false">IF(ISBLANK($C70),"",IF($E70=Constants!$B$2,TRUE(),IF($E70=Constants!$B$3,FALSE(),TRUE())))</f>
        <v/>
      </c>
      <c r="AI70" s="74" t="str">
        <f aca="false">IF(ISBLANK($C70),"",IF($F70=Constants!$B$2,TRUE(),IF($F70=Constants!$B$3,FALSE(),FALSE())))</f>
        <v/>
      </c>
      <c r="AJ70" s="74" t="str">
        <f aca="false">IF(ISBLANK($C70),"",IF($G70=Constants!$B$2,TRUE(),IF($G70=Constants!$B$3,FALSE(),TRUE())))</f>
        <v/>
      </c>
      <c r="AK70" s="74" t="str">
        <f aca="false">IF(ISBLANK($C70),"",IF($H70=Constants!$B$2,TRUE(),IF($H70=Constants!$B$3,FALSE(),TRUE())))</f>
        <v/>
      </c>
      <c r="AL70" s="74" t="str">
        <f aca="false">IF(ISBLANK($C70),"",IF(ISNUMBER($I70),IF($I70&gt;=0,$I70,""),""))</f>
        <v/>
      </c>
      <c r="AM70" s="74" t="str">
        <f aca="false">IF(ISBLANK($C70),"",IF(ISNUMBER($J70),IF($J70&gt;=0,$J70,""),""))</f>
        <v/>
      </c>
      <c r="AN70" s="74" t="str">
        <f aca="false">IF(ISBLANK($C70),"",IF(ISNUMBER($K70),IF($K70&gt;=0,$K70,""),""))</f>
        <v/>
      </c>
      <c r="AO70" s="74" t="str">
        <f aca="false">IF(ISBLANK($C70),"",IF($L70=Constants!$B$2,TRUE(),IF($L70=Constants!$B$3,FALSE(),TRUE())))</f>
        <v/>
      </c>
      <c r="AP70" s="74" t="str">
        <f aca="false">IF(ISBLANK($C70),"",IF($M70=Constants!$B$2,TRUE(),IF($M70=Constants!$B$3,FALSE(),TRUE())))</f>
        <v/>
      </c>
      <c r="AQ70" s="74" t="str">
        <f aca="false">IF(ISBLANK($C70),"",IF($N70=Constants!$B$2,TRUE(),IF($N70=Constants!$B$3,FALSE(),FALSE())))</f>
        <v/>
      </c>
      <c r="AR70" s="74" t="str">
        <f aca="false">IF(ISBLANK($C70),"",IF($O70=Constants!$B$2,TRUE(),IF($O70=Constants!$B$3,FALSE(),TRUE())))</f>
        <v/>
      </c>
      <c r="AS70" s="74" t="str">
        <f aca="false">IF(ISBLANK($C70),"",IF($P70=Constants!$B$2,TRUE(),IF($P70=Constants!$B$3,FALSE(),FALSE())))</f>
        <v/>
      </c>
      <c r="AT70" s="74" t="str">
        <f aca="false">IF(ISBLANK($C70),"",IF($Q70=Constants!$B$2,TRUE(),IF($Q70=Constants!$B$3,FALSE(),FALSE())))</f>
        <v/>
      </c>
      <c r="AU70" s="74" t="str">
        <f aca="false">IF(ISBLANK($C70),"",IF($R70=Constants!$B$2,TRUE(),IF($R70=Constants!$B$3,FALSE(),FALSE())))</f>
        <v/>
      </c>
      <c r="AV70" s="74" t="str">
        <f aca="false">IF(ISBLANK($C70),"",IF($S70=Constants!$B$2,TRUE(),IF($S70=Constants!$B$3,FALSE(),FALSE())))</f>
        <v/>
      </c>
      <c r="AW70" s="74" t="str">
        <f aca="false">IF(ISBLANK($C70),"",IF($T70=Constants!$B$2,TRUE(),IF($T70=Constants!$B$3,FALSE(),FALSE())))</f>
        <v/>
      </c>
      <c r="AX70" s="74" t="str">
        <f aca="false">IF(ISBLANK($C70),"",IF(OR($U70&amp;""="1",$U70&amp;""="2",$U70&amp;""="3",$U70&amp;""="4"),VALUE($U70&amp;""),IF($U70=Constants!$B$12,Constants!$B$12,"")))</f>
        <v/>
      </c>
      <c r="AY70" s="74" t="str">
        <f aca="false">IF(ISBLANK($C70),"",IF(ISBLANK($V70),0,IF(ISNUMBER($V70),IF(AND($V70&gt;=0,$V70&lt;=Constants!$B$21,$V70=INT($V70)),$V70,""),"")))</f>
        <v/>
      </c>
      <c r="AZ70" s="74" t="str">
        <f aca="false">IF(ISBLANK($C70),"",IF(ISBLANK($W70),0,IF(ISNUMBER($W70),IF($W70&gt;=0,$W70,""),"")))</f>
        <v/>
      </c>
      <c r="BA70" s="74" t="str">
        <f aca="false">IF(ISBLANK($C70),"",IF($X70=Constants!$B$2,TRUE(),IF($X70=Constants!$B$3,FALSE(),TRUE())))</f>
        <v/>
      </c>
      <c r="BB70" s="74" t="str">
        <f aca="false">IF(ISBLANK($C70),"",IF($Y70=Constants!$B$2,TRUE(),IF($Y70=Constants!$B$3,FALSE(),FALSE())))</f>
        <v/>
      </c>
      <c r="BC70" s="74" t="str">
        <f aca="false">IF(ISBLANK($C70),"",IF(ISBLANK($Z70),0,IF(ISNUMBER($Z70),IF(AND($Z70&gt;=0,$Z70&lt;=Constants!$B$35,$Z70=INT($Z70)),$Z70,""),"")))</f>
        <v/>
      </c>
      <c r="BD70" s="74" t="str">
        <f aca="false">IF(ISBLANK($C70),"",IF($AA70=Constants!$B$2,TRUE(),IF($AA70=Constants!$B$3,FALSE(),TRUE())))</f>
        <v/>
      </c>
      <c r="BE70" s="74" t="str">
        <f aca="false">IF(ISBLANK($C70),"",IF($AB70=Constants!$B$2,TRUE(),IF($AB70=Constants!$B$3,FALSE(),TRUE())))</f>
        <v/>
      </c>
      <c r="BF70" s="74" t="str">
        <f aca="false">IF(ISBLANK($C70),"",IF(ISNUMBER($AC70),IF($AC70&gt;=0,$AC70,""),""))</f>
        <v/>
      </c>
      <c r="BG70" s="74" t="str">
        <f aca="false">IF(ISBLANK($C70),"",IF($AD70=Constants!$B$2,TRUE(),IF($AD70=Constants!$B$3,FALSE(),FALSE())))</f>
        <v/>
      </c>
      <c r="BH70" s="73" t="str">
        <f aca="false">IF(ISBLANK($C70),"",IF($BG70,Constants!$B$7,IF(COUNTA($E70:$AC70)=0,Constants!$B$6,IF(OR(COUNTA($G70:$AC70)=0,NOT($AK70),$AQ70),Constants!$B$5,IF(OR($CI70&lt;&gt;"",$CJ70,$CK70,$CL70,$CM70,$CN70,$CO70),Constants!$B$8,Constants!$B$4)))))</f>
        <v/>
      </c>
      <c r="BI70" s="74" t="str">
        <f aca="false">IF(ISBLANK($C70),"",IF($BH70&lt;&gt;Constants!$B$4,$BH70,IF(OR(NOT($AH70),NOT($AJ70),NOT($AR70)),Constants!$B$11,IF(OR(NOT($AP70),MAX($AL70,$AM70,$AN70)&gt;Constants!$B$30),Constants!$B$10,Constants!$B$9))))</f>
        <v/>
      </c>
      <c r="BJ70" s="74" t="str">
        <f aca="false">IF($BH70&lt;&gt;Constants!$B$4,"",IF(NOT($AJ70),0,MIN(Constants!$B$35,$BC70)))</f>
        <v/>
      </c>
      <c r="BK70" s="74" t="str">
        <f aca="false">IF($BH70&lt;&gt;Constants!$B$4,"",IF(NOT($AJ70),0,IF($AT70,Constants!$B$18,IF($AS70,Constants!$B$17,0))))</f>
        <v/>
      </c>
      <c r="BL70" s="74" t="str">
        <f aca="false">IF($BH70&lt;&gt;Constants!$B$4,"",IF(NOT($AJ70),0,Constants!$B$19*($AI70+$AU70+$AV70+$AW70)))</f>
        <v/>
      </c>
      <c r="BM70" s="74" t="str">
        <f aca="false">IF($BH70&lt;&gt;Constants!$B$4,"",IF(OR(NOT($AJ70),NOT(ISNUMBER($AX70))),0,CHOOSE($AX70,Constants!$B$13,Constants!$B$14,Constants!$B$15,Constants!$B$16)))</f>
        <v/>
      </c>
      <c r="BN70" s="74" t="str">
        <f aca="false">IF($BH70&lt;&gt;Constants!$B$4,"",IF(NOT($AJ70),0,Constants!$B$20*$AY70))</f>
        <v/>
      </c>
      <c r="BO70" s="74" t="str">
        <f aca="false">IF($BH70&lt;&gt;Constants!$B$4,"",IF(AND($AJ70,$BA70,$BB70),Constants!$B$22,0))</f>
        <v/>
      </c>
      <c r="BP70" s="74" t="str">
        <f aca="false">IF($BH70&lt;&gt;Constants!$B$4,"",IF(OR(NOT($AJ70),NOT($BA70)),0,IF($BF70&gt;=2*$AF$9,0,Constants!$B$23*INT(ROUND(MIN($BF70,$AF$9),6)))))</f>
        <v/>
      </c>
      <c r="BQ70" s="74" t="str">
        <f aca="false">IF($BH70&lt;&gt;Constants!$B$4,"",IF(NOT($AJ70),0,Constants!$B$24*INT(ROUND(MIN($AZ70,$AF$9),6))))</f>
        <v/>
      </c>
      <c r="BR70" s="74" t="str">
        <f aca="false">IF($BH70&lt;&gt;Constants!$B$4,"",IF(AND($AJ70,$BJ70=0),Constants!$B$25,0))</f>
        <v/>
      </c>
      <c r="BS70" s="74" t="str">
        <f aca="false">IF($BH70&lt;&gt;Constants!$B$4,"",MIN(Constants!$B$29,MAX(0,Constants!$B$27*Constants!$B$28*INT(ROUND((Constants!$B$26-$AL70)/Constants!$B$28,6))))+MIN(Constants!$B$29,MAX(0,Constants!$B$27*Constants!$B$28*INT(ROUND((Constants!$B$26-$AM70)/Constants!$B$28,6))))+MIN(Constants!$B$29,MAX(0,Constants!$B$27*Constants!$B$28*INT(ROUND((Constants!$B$26-$AN70)/Constants!$B$28,6)))))</f>
        <v/>
      </c>
      <c r="BT70" s="74" t="str">
        <f aca="false">IF($BH70&lt;&gt;Constants!$B$4,"",IF(NOT($AJ70),0,Constants!$B$31*INT(ROUND(MAX(0,MIN($BF70,2*$AF$9)-$AF$9),6))))</f>
        <v/>
      </c>
      <c r="BU70" s="74" t="str">
        <f aca="false">IF($BH70&lt;&gt;Constants!$B$4,"",Constants!$B$32*(($AL70&gt;Constants!$B$26)+($AM70&gt;Constants!$B$26)+($AN70&gt;Constants!$B$26)))</f>
        <v/>
      </c>
      <c r="BV70" s="74" t="str">
        <f aca="false">IF($BH70&lt;&gt;Constants!$B$4,"",IF(OR(NOT($AJ70),$AO70),0,Constants!$B$33))</f>
        <v/>
      </c>
      <c r="BW70" s="74" t="str">
        <f aca="false">IF($BH70&lt;&gt;Constants!$B$4,"",Constants!$B$34*$BJ70)</f>
        <v/>
      </c>
      <c r="BX70" s="74" t="str">
        <f aca="false">IF($BH70&lt;&gt;Constants!$B$4,"",IF(OR(NOT($AJ70),$BE70),0,Constants!$B$36))</f>
        <v/>
      </c>
      <c r="BY70" s="74" t="str">
        <f aca="false">IF($BH70&lt;&gt;Constants!$B$4,"",IF(OR(NOT($AJ70),$BD70),0,Constants!$B$37))</f>
        <v/>
      </c>
      <c r="BZ70" s="74" t="str">
        <f aca="false">IF($BH70&lt;&gt;Constants!$B$4,"",SUM($BT70:$BY70))</f>
        <v/>
      </c>
      <c r="CA70" s="74" t="str">
        <f aca="false">IF(ISBLANK($C70),"",IF($BH70&lt;&gt;Constants!$B$4,$BH70,SUM($BK70:$BS70)-$BZ70))</f>
        <v/>
      </c>
      <c r="CB70" s="74" t="str">
        <f aca="false">IF(ISBLANK($C70),"",IF($BH70&lt;&gt;Constants!$B$4,$BH70,RANK($CA70,$CA$9:$CA$508)))</f>
        <v/>
      </c>
      <c r="CC70" s="74" t="str">
        <f aca="false">IF(ISBLANK($C70),"",IF($BH70&lt;&gt;Constants!$B$4,$BH70,COUNTIFS($BI$9:$BI$508,"&lt;"&amp;$BI70)+COUNTIFS($BI$9:$BI$508,$BI70,$CB$9:$CB$508,"&lt;"&amp;$CB70)+1))</f>
        <v/>
      </c>
      <c r="CD70" s="74" t="str">
        <f aca="false">IF(ISBLANK($C70),"",IF($BH70&lt;&gt;Constants!$B$4,$BH70,RANK($BZ70,$BZ$9:$BZ$508,1)))</f>
        <v/>
      </c>
      <c r="CE70" s="74" t="str">
        <f aca="false">IF($BH70&lt;&gt;Constants!$B$4,"",$AL70+$AM70+$AN70)</f>
        <v/>
      </c>
      <c r="CF70" s="74" t="str">
        <f aca="false">IF(ISBLANK($C70),"",IF($BH70&lt;&gt;Constants!$B$4,$BH70,RANK($CE70,$CE$9:$CE$508,1)))</f>
        <v/>
      </c>
      <c r="CG70" s="74" t="str">
        <f aca="false">IF(ISBLANK($C70),"",IF($BH70&lt;&gt;Constants!$B$4,$BH70,COUNTIFS($BI$9:$BI$508,"&lt;"&amp;$BI70)+COUNTIFS($BI$9:$BI$508,$BI70,$CB$9:$CB$508,"&lt;"&amp;$CB70)+COUNTIFS($BI$9:$BI$508,$BI70,$CB$9:$CB$508,$CB70,$CD$9:$CD$508,"&lt;"&amp;$CD70)+COUNTIFS($BI$9:$BI$508,$BI70,$CB$9:$CB$508,$CB70,$CD$9:$CD$508,$CD70,$CF$9:$CF$508,"&lt;"&amp;$CF70)+1))</f>
        <v/>
      </c>
      <c r="CH70" s="74" t="str">
        <f aca="false">IF(ISBLANK($C70),"",IF($BH70&lt;&gt;Constants!$B$4,$BH70,$CC70-$CG70))</f>
        <v/>
      </c>
      <c r="CI70" s="74" t="str">
        <f aca="false">IF(ISBLANK($C70),"",IF(NOT($AJ70),"",IF(ISBLANK($D$7),$CI$5,IF(NOT(ISNUMBER($D$7)),$CI$6,""))))</f>
        <v/>
      </c>
      <c r="CJ70" s="74" t="str">
        <f aca="false">IF(ISBLANK($C70),"",OR($AL70="",$AM70="",$AN70=""))</f>
        <v/>
      </c>
      <c r="CK70" s="74" t="str">
        <f aca="false">IF(ISBLANK($C70),"",AND($AJ70,$AX70=""))</f>
        <v/>
      </c>
      <c r="CL70" s="74" t="str">
        <f aca="false">IF(ISBLANK($C70),"",AND($AJ70,$AY70=""))</f>
        <v/>
      </c>
      <c r="CM70" s="74" t="str">
        <f aca="false">IF(ISBLANK($C70),"",AND($AJ70,$AZ70=""))</f>
        <v/>
      </c>
      <c r="CN70" s="74" t="str">
        <f aca="false">IF(ISBLANK($C70),"",AND($AJ70,$BC70=""))</f>
        <v/>
      </c>
      <c r="CO70" s="74" t="str">
        <f aca="false">IF(ISBLANK($C70),"",AND($AJ70,$BF70=""))</f>
        <v/>
      </c>
      <c r="CP70" s="75"/>
      <c r="CQ70" s="76"/>
      <c r="CR70" s="79" t="str">
        <f aca="false">IF(ISBLANK($C70),"",IF($BH70=Constants!$B$8,$CI70,""))</f>
        <v/>
      </c>
      <c r="CS70" s="76" t="str">
        <f aca="false">IF(ISBLANK($C70),"",IF($BH70&lt;&gt;Constants!$B$4,"",$BK70+$BL70))</f>
        <v/>
      </c>
      <c r="CT70" s="78" t="str">
        <f aca="false">IF(ISBLANK($C70),"",IF($BH70&lt;&gt;Constants!$B$4,"",$BM70+$BN70+$BO70))</f>
        <v/>
      </c>
      <c r="CU70" s="78" t="str">
        <f aca="false">IF(ISBLANK($C70),"",IF($BH70&lt;&gt;Constants!$B$4,"",$BP70))</f>
        <v/>
      </c>
      <c r="CV70" s="78" t="str">
        <f aca="false">IF(ISBLANK($C70),"",IF($BH70&lt;&gt;Constants!$B$4,"",$BQ70+$BR70))</f>
        <v/>
      </c>
      <c r="CW70" s="78" t="str">
        <f aca="false">IF(ISBLANK($C70),"",IF($BH70&lt;&gt;Constants!$B$4,"",$BS70))</f>
        <v/>
      </c>
      <c r="CX70" s="78" t="str">
        <f aca="false">IF(ISBLANK($C70),"",IF($BH70&lt;&gt;Constants!$B$4,"",-$BZ70))</f>
        <v/>
      </c>
      <c r="CY70" s="79" t="str">
        <f aca="false">IF(ISBLANK($C70),"",$CA70)</f>
        <v/>
      </c>
      <c r="CZ70" s="80" t="str">
        <f aca="false">IF(ISBLANK($C70),"",$BI70)</f>
        <v/>
      </c>
      <c r="DA70" s="78" t="str">
        <f aca="false">IF(ISBLANK($C70),"",$CH70)</f>
        <v/>
      </c>
      <c r="DB70" s="78" t="str">
        <f aca="false">IF(ISBLANK($C70),"",$CG70)</f>
        <v/>
      </c>
      <c r="DC70" s="81" t="str">
        <f aca="false">IF(ISBLANK($C70),"",IFERROR(_xlfn.SWITCH($DB70,Constants!$B$7,COUNTA($C$9:$C$508)+2,Constants!$B$6,COUNTA($C$9:$C$508)+1,Constants!$B$5,COUNTA($C$9:$C$508)),$DB70))</f>
        <v/>
      </c>
      <c r="DD70" s="7"/>
      <c r="DE70" s="82" t="n">
        <f aca="false">IF(OR(ISNUMBER($DB70),$DB70=Constants!$B$7,$DB70=Constants!$B$5,$DB70=Constants!$B$6),1,0)</f>
        <v>0</v>
      </c>
      <c r="DF70" s="82" t="n">
        <v>62</v>
      </c>
      <c r="DG70" s="82" t="str">
        <f aca="false">IF(ISBLANK($C70),"",IF(ISNUMBER($DC70),$DC70+ROW($B70)/1000,""))</f>
        <v/>
      </c>
      <c r="DH70" s="82" t="str">
        <f aca="false">IF(ISNUMBER($DG70),RANK($DG70,$DG$9:$DG$508,1),"")</f>
        <v/>
      </c>
      <c r="DI70" s="82" t="str">
        <f aca="false">IF(ISBLANK($C70),"",$B70)</f>
        <v/>
      </c>
      <c r="DJ70" s="82" t="str">
        <f aca="false">IF(ISBLANK($C70),"",$C70)</f>
        <v/>
      </c>
      <c r="DK70" s="82" t="str">
        <f aca="false">IF(ISBLANK($C70),"",$D70)</f>
        <v/>
      </c>
      <c r="DL70" s="83" t="str">
        <f aca="false">$CZ70</f>
        <v/>
      </c>
      <c r="DM70" s="84" t="str">
        <f aca="false">$CY70</f>
        <v/>
      </c>
      <c r="DN70" s="82" t="str">
        <f aca="false">IF(ISBLANK($C70),"",$DB70)</f>
        <v/>
      </c>
      <c r="DO70" s="85" t="str">
        <f aca="false">IF($DF70&gt;$DE$8,"",VLOOKUP($DF70,$DH$9:$DN$508,7,FALSE()))</f>
        <v/>
      </c>
      <c r="DP70" s="86" t="str">
        <f aca="false">IF($DF70&gt;$DE$8,"",VLOOKUP($DF70,$DH$9:$DN$508,2,FALSE()))</f>
        <v/>
      </c>
      <c r="DQ70" s="86" t="str">
        <f aca="false">IF($DF70&gt;$DE$8,"",VLOOKUP($DF70,$DH$9:$DN$508,3,FALSE()))</f>
        <v/>
      </c>
      <c r="DR70" s="86" t="str">
        <f aca="false">IF($DF70&gt;$DE$8,"",VLOOKUP($DF70,$DH$9:$DN$508,4,FALSE()))</f>
        <v/>
      </c>
      <c r="DS70" s="86" t="str">
        <f aca="false">IF($DF70&gt;$DE$8,"",VLOOKUP($DF70,$DH$9:$DN$508,5,FALSE()))</f>
        <v/>
      </c>
      <c r="DT70" s="87" t="str">
        <f aca="false">IF($DF70&gt;$DE$8,"",VLOOKUP($DF70,$DH$9:$DN$508,6,FALSE()))</f>
        <v/>
      </c>
      <c r="DU70" s="62"/>
    </row>
    <row r="71" customFormat="false" ht="15.75" hidden="false" customHeight="false" outlineLevel="0" collapsed="false">
      <c r="A71" s="7"/>
      <c r="B71" s="64"/>
      <c r="C71" s="65"/>
      <c r="D71" s="123"/>
      <c r="E71" s="122"/>
      <c r="F71" s="66"/>
      <c r="G71" s="122"/>
      <c r="H71" s="66"/>
      <c r="I71" s="119"/>
      <c r="J71" s="119"/>
      <c r="K71" s="119"/>
      <c r="L71" s="122"/>
      <c r="M71" s="122"/>
      <c r="N71" s="122"/>
      <c r="O71" s="66"/>
      <c r="P71" s="122"/>
      <c r="Q71" s="122"/>
      <c r="R71" s="122"/>
      <c r="S71" s="122"/>
      <c r="T71" s="66"/>
      <c r="U71" s="122"/>
      <c r="V71" s="120"/>
      <c r="W71" s="122"/>
      <c r="X71" s="122"/>
      <c r="Y71" s="120"/>
      <c r="Z71" s="120"/>
      <c r="AA71" s="122"/>
      <c r="AB71" s="122"/>
      <c r="AC71" s="121"/>
      <c r="AD71" s="122"/>
      <c r="AE71" s="73"/>
      <c r="AF71" s="74"/>
      <c r="AG71" s="74"/>
      <c r="AH71" s="74" t="str">
        <f aca="false">IF(ISBLANK($C71),"",IF($E71=Constants!$B$2,TRUE(),IF($E71=Constants!$B$3,FALSE(),TRUE())))</f>
        <v/>
      </c>
      <c r="AI71" s="74" t="str">
        <f aca="false">IF(ISBLANK($C71),"",IF($F71=Constants!$B$2,TRUE(),IF($F71=Constants!$B$3,FALSE(),FALSE())))</f>
        <v/>
      </c>
      <c r="AJ71" s="74" t="str">
        <f aca="false">IF(ISBLANK($C71),"",IF($G71=Constants!$B$2,TRUE(),IF($G71=Constants!$B$3,FALSE(),TRUE())))</f>
        <v/>
      </c>
      <c r="AK71" s="74" t="str">
        <f aca="false">IF(ISBLANK($C71),"",IF($H71=Constants!$B$2,TRUE(),IF($H71=Constants!$B$3,FALSE(),TRUE())))</f>
        <v/>
      </c>
      <c r="AL71" s="74" t="str">
        <f aca="false">IF(ISBLANK($C71),"",IF(ISNUMBER($I71),IF($I71&gt;=0,$I71,""),""))</f>
        <v/>
      </c>
      <c r="AM71" s="74" t="str">
        <f aca="false">IF(ISBLANK($C71),"",IF(ISNUMBER($J71),IF($J71&gt;=0,$J71,""),""))</f>
        <v/>
      </c>
      <c r="AN71" s="74" t="str">
        <f aca="false">IF(ISBLANK($C71),"",IF(ISNUMBER($K71),IF($K71&gt;=0,$K71,""),""))</f>
        <v/>
      </c>
      <c r="AO71" s="74" t="str">
        <f aca="false">IF(ISBLANK($C71),"",IF($L71=Constants!$B$2,TRUE(),IF($L71=Constants!$B$3,FALSE(),TRUE())))</f>
        <v/>
      </c>
      <c r="AP71" s="74" t="str">
        <f aca="false">IF(ISBLANK($C71),"",IF($M71=Constants!$B$2,TRUE(),IF($M71=Constants!$B$3,FALSE(),TRUE())))</f>
        <v/>
      </c>
      <c r="AQ71" s="74" t="str">
        <f aca="false">IF(ISBLANK($C71),"",IF($N71=Constants!$B$2,TRUE(),IF($N71=Constants!$B$3,FALSE(),FALSE())))</f>
        <v/>
      </c>
      <c r="AR71" s="74" t="str">
        <f aca="false">IF(ISBLANK($C71),"",IF($O71=Constants!$B$2,TRUE(),IF($O71=Constants!$B$3,FALSE(),TRUE())))</f>
        <v/>
      </c>
      <c r="AS71" s="74" t="str">
        <f aca="false">IF(ISBLANK($C71),"",IF($P71=Constants!$B$2,TRUE(),IF($P71=Constants!$B$3,FALSE(),FALSE())))</f>
        <v/>
      </c>
      <c r="AT71" s="74" t="str">
        <f aca="false">IF(ISBLANK($C71),"",IF($Q71=Constants!$B$2,TRUE(),IF($Q71=Constants!$B$3,FALSE(),FALSE())))</f>
        <v/>
      </c>
      <c r="AU71" s="74" t="str">
        <f aca="false">IF(ISBLANK($C71),"",IF($R71=Constants!$B$2,TRUE(),IF($R71=Constants!$B$3,FALSE(),FALSE())))</f>
        <v/>
      </c>
      <c r="AV71" s="74" t="str">
        <f aca="false">IF(ISBLANK($C71),"",IF($S71=Constants!$B$2,TRUE(),IF($S71=Constants!$B$3,FALSE(),FALSE())))</f>
        <v/>
      </c>
      <c r="AW71" s="74" t="str">
        <f aca="false">IF(ISBLANK($C71),"",IF($T71=Constants!$B$2,TRUE(),IF($T71=Constants!$B$3,FALSE(),FALSE())))</f>
        <v/>
      </c>
      <c r="AX71" s="74" t="str">
        <f aca="false">IF(ISBLANK($C71),"",IF(OR($U71&amp;""="1",$U71&amp;""="2",$U71&amp;""="3",$U71&amp;""="4"),VALUE($U71&amp;""),IF($U71=Constants!$B$12,Constants!$B$12,"")))</f>
        <v/>
      </c>
      <c r="AY71" s="74" t="str">
        <f aca="false">IF(ISBLANK($C71),"",IF(ISBLANK($V71),0,IF(ISNUMBER($V71),IF(AND($V71&gt;=0,$V71&lt;=Constants!$B$21,$V71=INT($V71)),$V71,""),"")))</f>
        <v/>
      </c>
      <c r="AZ71" s="74" t="str">
        <f aca="false">IF(ISBLANK($C71),"",IF(ISBLANK($W71),0,IF(ISNUMBER($W71),IF($W71&gt;=0,$W71,""),"")))</f>
        <v/>
      </c>
      <c r="BA71" s="74" t="str">
        <f aca="false">IF(ISBLANK($C71),"",IF($X71=Constants!$B$2,TRUE(),IF($X71=Constants!$B$3,FALSE(),TRUE())))</f>
        <v/>
      </c>
      <c r="BB71" s="74" t="str">
        <f aca="false">IF(ISBLANK($C71),"",IF($Y71=Constants!$B$2,TRUE(),IF($Y71=Constants!$B$3,FALSE(),FALSE())))</f>
        <v/>
      </c>
      <c r="BC71" s="74" t="str">
        <f aca="false">IF(ISBLANK($C71),"",IF(ISBLANK($Z71),0,IF(ISNUMBER($Z71),IF(AND($Z71&gt;=0,$Z71&lt;=Constants!$B$35,$Z71=INT($Z71)),$Z71,""),"")))</f>
        <v/>
      </c>
      <c r="BD71" s="74" t="str">
        <f aca="false">IF(ISBLANK($C71),"",IF($AA71=Constants!$B$2,TRUE(),IF($AA71=Constants!$B$3,FALSE(),TRUE())))</f>
        <v/>
      </c>
      <c r="BE71" s="74" t="str">
        <f aca="false">IF(ISBLANK($C71),"",IF($AB71=Constants!$B$2,TRUE(),IF($AB71=Constants!$B$3,FALSE(),TRUE())))</f>
        <v/>
      </c>
      <c r="BF71" s="74" t="str">
        <f aca="false">IF(ISBLANK($C71),"",IF(ISNUMBER($AC71),IF($AC71&gt;=0,$AC71,""),""))</f>
        <v/>
      </c>
      <c r="BG71" s="74" t="str">
        <f aca="false">IF(ISBLANK($C71),"",IF($AD71=Constants!$B$2,TRUE(),IF($AD71=Constants!$B$3,FALSE(),FALSE())))</f>
        <v/>
      </c>
      <c r="BH71" s="73" t="str">
        <f aca="false">IF(ISBLANK($C71),"",IF($BG71,Constants!$B$7,IF(COUNTA($E71:$AC71)=0,Constants!$B$6,IF(OR(COUNTA($G71:$AC71)=0,NOT($AK71),$AQ71),Constants!$B$5,IF(OR($CI71&lt;&gt;"",$CJ71,$CK71,$CL71,$CM71,$CN71,$CO71),Constants!$B$8,Constants!$B$4)))))</f>
        <v/>
      </c>
      <c r="BI71" s="74" t="str">
        <f aca="false">IF(ISBLANK($C71),"",IF($BH71&lt;&gt;Constants!$B$4,$BH71,IF(OR(NOT($AH71),NOT($AJ71),NOT($AR71)),Constants!$B$11,IF(OR(NOT($AP71),MAX($AL71,$AM71,$AN71)&gt;Constants!$B$30),Constants!$B$10,Constants!$B$9))))</f>
        <v/>
      </c>
      <c r="BJ71" s="74" t="str">
        <f aca="false">IF($BH71&lt;&gt;Constants!$B$4,"",IF(NOT($AJ71),0,MIN(Constants!$B$35,$BC71)))</f>
        <v/>
      </c>
      <c r="BK71" s="74" t="str">
        <f aca="false">IF($BH71&lt;&gt;Constants!$B$4,"",IF(NOT($AJ71),0,IF($AT71,Constants!$B$18,IF($AS71,Constants!$B$17,0))))</f>
        <v/>
      </c>
      <c r="BL71" s="74" t="str">
        <f aca="false">IF($BH71&lt;&gt;Constants!$B$4,"",IF(NOT($AJ71),0,Constants!$B$19*($AI71+$AU71+$AV71+$AW71)))</f>
        <v/>
      </c>
      <c r="BM71" s="74" t="str">
        <f aca="false">IF($BH71&lt;&gt;Constants!$B$4,"",IF(OR(NOT($AJ71),NOT(ISNUMBER($AX71))),0,CHOOSE($AX71,Constants!$B$13,Constants!$B$14,Constants!$B$15,Constants!$B$16)))</f>
        <v/>
      </c>
      <c r="BN71" s="74" t="str">
        <f aca="false">IF($BH71&lt;&gt;Constants!$B$4,"",IF(NOT($AJ71),0,Constants!$B$20*$AY71))</f>
        <v/>
      </c>
      <c r="BO71" s="74" t="str">
        <f aca="false">IF($BH71&lt;&gt;Constants!$B$4,"",IF(AND($AJ71,$BA71,$BB71),Constants!$B$22,0))</f>
        <v/>
      </c>
      <c r="BP71" s="74" t="str">
        <f aca="false">IF($BH71&lt;&gt;Constants!$B$4,"",IF(OR(NOT($AJ71),NOT($BA71)),0,IF($BF71&gt;=2*$AF$9,0,Constants!$B$23*INT(ROUND(MIN($BF71,$AF$9),6)))))</f>
        <v/>
      </c>
      <c r="BQ71" s="74" t="str">
        <f aca="false">IF($BH71&lt;&gt;Constants!$B$4,"",IF(NOT($AJ71),0,Constants!$B$24*INT(ROUND(MIN($AZ71,$AF$9),6))))</f>
        <v/>
      </c>
      <c r="BR71" s="74" t="str">
        <f aca="false">IF($BH71&lt;&gt;Constants!$B$4,"",IF(AND($AJ71,$BJ71=0),Constants!$B$25,0))</f>
        <v/>
      </c>
      <c r="BS71" s="74" t="str">
        <f aca="false">IF($BH71&lt;&gt;Constants!$B$4,"",MIN(Constants!$B$29,MAX(0,Constants!$B$27*Constants!$B$28*INT(ROUND((Constants!$B$26-$AL71)/Constants!$B$28,6))))+MIN(Constants!$B$29,MAX(0,Constants!$B$27*Constants!$B$28*INT(ROUND((Constants!$B$26-$AM71)/Constants!$B$28,6))))+MIN(Constants!$B$29,MAX(0,Constants!$B$27*Constants!$B$28*INT(ROUND((Constants!$B$26-$AN71)/Constants!$B$28,6)))))</f>
        <v/>
      </c>
      <c r="BT71" s="74" t="str">
        <f aca="false">IF($BH71&lt;&gt;Constants!$B$4,"",IF(NOT($AJ71),0,Constants!$B$31*INT(ROUND(MAX(0,MIN($BF71,2*$AF$9)-$AF$9),6))))</f>
        <v/>
      </c>
      <c r="BU71" s="74" t="str">
        <f aca="false">IF($BH71&lt;&gt;Constants!$B$4,"",Constants!$B$32*(($AL71&gt;Constants!$B$26)+($AM71&gt;Constants!$B$26)+($AN71&gt;Constants!$B$26)))</f>
        <v/>
      </c>
      <c r="BV71" s="74" t="str">
        <f aca="false">IF($BH71&lt;&gt;Constants!$B$4,"",IF(OR(NOT($AJ71),$AO71),0,Constants!$B$33))</f>
        <v/>
      </c>
      <c r="BW71" s="74" t="str">
        <f aca="false">IF($BH71&lt;&gt;Constants!$B$4,"",Constants!$B$34*$BJ71)</f>
        <v/>
      </c>
      <c r="BX71" s="74" t="str">
        <f aca="false">IF($BH71&lt;&gt;Constants!$B$4,"",IF(OR(NOT($AJ71),$BE71),0,Constants!$B$36))</f>
        <v/>
      </c>
      <c r="BY71" s="74" t="str">
        <f aca="false">IF($BH71&lt;&gt;Constants!$B$4,"",IF(OR(NOT($AJ71),$BD71),0,Constants!$B$37))</f>
        <v/>
      </c>
      <c r="BZ71" s="74" t="str">
        <f aca="false">IF($BH71&lt;&gt;Constants!$B$4,"",SUM($BT71:$BY71))</f>
        <v/>
      </c>
      <c r="CA71" s="74" t="str">
        <f aca="false">IF(ISBLANK($C71),"",IF($BH71&lt;&gt;Constants!$B$4,$BH71,SUM($BK71:$BS71)-$BZ71))</f>
        <v/>
      </c>
      <c r="CB71" s="74" t="str">
        <f aca="false">IF(ISBLANK($C71),"",IF($BH71&lt;&gt;Constants!$B$4,$BH71,RANK($CA71,$CA$9:$CA$508)))</f>
        <v/>
      </c>
      <c r="CC71" s="74" t="str">
        <f aca="false">IF(ISBLANK($C71),"",IF($BH71&lt;&gt;Constants!$B$4,$BH71,COUNTIFS($BI$9:$BI$508,"&lt;"&amp;$BI71)+COUNTIFS($BI$9:$BI$508,$BI71,$CB$9:$CB$508,"&lt;"&amp;$CB71)+1))</f>
        <v/>
      </c>
      <c r="CD71" s="74" t="str">
        <f aca="false">IF(ISBLANK($C71),"",IF($BH71&lt;&gt;Constants!$B$4,$BH71,RANK($BZ71,$BZ$9:$BZ$508,1)))</f>
        <v/>
      </c>
      <c r="CE71" s="74" t="str">
        <f aca="false">IF($BH71&lt;&gt;Constants!$B$4,"",$AL71+$AM71+$AN71)</f>
        <v/>
      </c>
      <c r="CF71" s="74" t="str">
        <f aca="false">IF(ISBLANK($C71),"",IF($BH71&lt;&gt;Constants!$B$4,$BH71,RANK($CE71,$CE$9:$CE$508,1)))</f>
        <v/>
      </c>
      <c r="CG71" s="74" t="str">
        <f aca="false">IF(ISBLANK($C71),"",IF($BH71&lt;&gt;Constants!$B$4,$BH71,COUNTIFS($BI$9:$BI$508,"&lt;"&amp;$BI71)+COUNTIFS($BI$9:$BI$508,$BI71,$CB$9:$CB$508,"&lt;"&amp;$CB71)+COUNTIFS($BI$9:$BI$508,$BI71,$CB$9:$CB$508,$CB71,$CD$9:$CD$508,"&lt;"&amp;$CD71)+COUNTIFS($BI$9:$BI$508,$BI71,$CB$9:$CB$508,$CB71,$CD$9:$CD$508,$CD71,$CF$9:$CF$508,"&lt;"&amp;$CF71)+1))</f>
        <v/>
      </c>
      <c r="CH71" s="74" t="str">
        <f aca="false">IF(ISBLANK($C71),"",IF($BH71&lt;&gt;Constants!$B$4,$BH71,$CC71-$CG71))</f>
        <v/>
      </c>
      <c r="CI71" s="74" t="str">
        <f aca="false">IF(ISBLANK($C71),"",IF(NOT($AJ71),"",IF(ISBLANK($D$7),$CI$5,IF(NOT(ISNUMBER($D$7)),$CI$6,""))))</f>
        <v/>
      </c>
      <c r="CJ71" s="74" t="str">
        <f aca="false">IF(ISBLANK($C71),"",OR($AL71="",$AM71="",$AN71=""))</f>
        <v/>
      </c>
      <c r="CK71" s="74" t="str">
        <f aca="false">IF(ISBLANK($C71),"",AND($AJ71,$AX71=""))</f>
        <v/>
      </c>
      <c r="CL71" s="74" t="str">
        <f aca="false">IF(ISBLANK($C71),"",AND($AJ71,$AY71=""))</f>
        <v/>
      </c>
      <c r="CM71" s="74" t="str">
        <f aca="false">IF(ISBLANK($C71),"",AND($AJ71,$AZ71=""))</f>
        <v/>
      </c>
      <c r="CN71" s="74" t="str">
        <f aca="false">IF(ISBLANK($C71),"",AND($AJ71,$BC71=""))</f>
        <v/>
      </c>
      <c r="CO71" s="74" t="str">
        <f aca="false">IF(ISBLANK($C71),"",AND($AJ71,$BF71=""))</f>
        <v/>
      </c>
      <c r="CP71" s="75"/>
      <c r="CQ71" s="76"/>
      <c r="CR71" s="79" t="str">
        <f aca="false">IF(ISBLANK($C71),"",IF($BH71=Constants!$B$8,$CI71,""))</f>
        <v/>
      </c>
      <c r="CS71" s="76" t="str">
        <f aca="false">IF(ISBLANK($C71),"",IF($BH71&lt;&gt;Constants!$B$4,"",$BK71+$BL71))</f>
        <v/>
      </c>
      <c r="CT71" s="78" t="str">
        <f aca="false">IF(ISBLANK($C71),"",IF($BH71&lt;&gt;Constants!$B$4,"",$BM71+$BN71+$BO71))</f>
        <v/>
      </c>
      <c r="CU71" s="78" t="str">
        <f aca="false">IF(ISBLANK($C71),"",IF($BH71&lt;&gt;Constants!$B$4,"",$BP71))</f>
        <v/>
      </c>
      <c r="CV71" s="78" t="str">
        <f aca="false">IF(ISBLANK($C71),"",IF($BH71&lt;&gt;Constants!$B$4,"",$BQ71+$BR71))</f>
        <v/>
      </c>
      <c r="CW71" s="78" t="str">
        <f aca="false">IF(ISBLANK($C71),"",IF($BH71&lt;&gt;Constants!$B$4,"",$BS71))</f>
        <v/>
      </c>
      <c r="CX71" s="78" t="str">
        <f aca="false">IF(ISBLANK($C71),"",IF($BH71&lt;&gt;Constants!$B$4,"",-$BZ71))</f>
        <v/>
      </c>
      <c r="CY71" s="79" t="str">
        <f aca="false">IF(ISBLANK($C71),"",$CA71)</f>
        <v/>
      </c>
      <c r="CZ71" s="80" t="str">
        <f aca="false">IF(ISBLANK($C71),"",$BI71)</f>
        <v/>
      </c>
      <c r="DA71" s="78" t="str">
        <f aca="false">IF(ISBLANK($C71),"",$CH71)</f>
        <v/>
      </c>
      <c r="DB71" s="78" t="str">
        <f aca="false">IF(ISBLANK($C71),"",$CG71)</f>
        <v/>
      </c>
      <c r="DC71" s="81" t="str">
        <f aca="false">IF(ISBLANK($C71),"",IFERROR(_xlfn.SWITCH($DB71,Constants!$B$7,COUNTA($C$9:$C$508)+2,Constants!$B$6,COUNTA($C$9:$C$508)+1,Constants!$B$5,COUNTA($C$9:$C$508)),$DB71))</f>
        <v/>
      </c>
      <c r="DD71" s="7"/>
      <c r="DE71" s="82" t="n">
        <f aca="false">IF(OR(ISNUMBER($DB71),$DB71=Constants!$B$7,$DB71=Constants!$B$5,$DB71=Constants!$B$6),1,0)</f>
        <v>0</v>
      </c>
      <c r="DF71" s="82" t="n">
        <v>63</v>
      </c>
      <c r="DG71" s="82" t="str">
        <f aca="false">IF(ISBLANK($C71),"",IF(ISNUMBER($DC71),$DC71+ROW($B71)/1000,""))</f>
        <v/>
      </c>
      <c r="DH71" s="82" t="str">
        <f aca="false">IF(ISNUMBER($DG71),RANK($DG71,$DG$9:$DG$508,1),"")</f>
        <v/>
      </c>
      <c r="DI71" s="82" t="str">
        <f aca="false">IF(ISBLANK($C71),"",$B71)</f>
        <v/>
      </c>
      <c r="DJ71" s="82" t="str">
        <f aca="false">IF(ISBLANK($C71),"",$C71)</f>
        <v/>
      </c>
      <c r="DK71" s="82" t="str">
        <f aca="false">IF(ISBLANK($C71),"",$D71)</f>
        <v/>
      </c>
      <c r="DL71" s="83" t="str">
        <f aca="false">$CZ71</f>
        <v/>
      </c>
      <c r="DM71" s="84" t="str">
        <f aca="false">$CY71</f>
        <v/>
      </c>
      <c r="DN71" s="82" t="str">
        <f aca="false">IF(ISBLANK($C71),"",$DB71)</f>
        <v/>
      </c>
      <c r="DO71" s="85" t="str">
        <f aca="false">IF($DF71&gt;$DE$8,"",VLOOKUP($DF71,$DH$9:$DN$508,7,FALSE()))</f>
        <v/>
      </c>
      <c r="DP71" s="86" t="str">
        <f aca="false">IF($DF71&gt;$DE$8,"",VLOOKUP($DF71,$DH$9:$DN$508,2,FALSE()))</f>
        <v/>
      </c>
      <c r="DQ71" s="86" t="str">
        <f aca="false">IF($DF71&gt;$DE$8,"",VLOOKUP($DF71,$DH$9:$DN$508,3,FALSE()))</f>
        <v/>
      </c>
      <c r="DR71" s="86" t="str">
        <f aca="false">IF($DF71&gt;$DE$8,"",VLOOKUP($DF71,$DH$9:$DN$508,4,FALSE()))</f>
        <v/>
      </c>
      <c r="DS71" s="86" t="str">
        <f aca="false">IF($DF71&gt;$DE$8,"",VLOOKUP($DF71,$DH$9:$DN$508,5,FALSE()))</f>
        <v/>
      </c>
      <c r="DT71" s="87" t="str">
        <f aca="false">IF($DF71&gt;$DE$8,"",VLOOKUP($DF71,$DH$9:$DN$508,6,FALSE()))</f>
        <v/>
      </c>
      <c r="DU71" s="62"/>
    </row>
    <row r="72" customFormat="false" ht="15.75" hidden="false" customHeight="false" outlineLevel="0" collapsed="false">
      <c r="A72" s="7"/>
      <c r="B72" s="90"/>
      <c r="C72" s="91"/>
      <c r="D72" s="126"/>
      <c r="E72" s="130"/>
      <c r="F72" s="135"/>
      <c r="G72" s="130"/>
      <c r="H72" s="135"/>
      <c r="I72" s="95"/>
      <c r="J72" s="95"/>
      <c r="K72" s="95"/>
      <c r="L72" s="130"/>
      <c r="M72" s="130"/>
      <c r="N72" s="130"/>
      <c r="O72" s="135"/>
      <c r="P72" s="130"/>
      <c r="Q72" s="130"/>
      <c r="R72" s="130"/>
      <c r="S72" s="130"/>
      <c r="T72" s="135"/>
      <c r="U72" s="130"/>
      <c r="V72" s="96"/>
      <c r="W72" s="130"/>
      <c r="X72" s="130"/>
      <c r="Y72" s="96"/>
      <c r="Z72" s="96"/>
      <c r="AA72" s="130"/>
      <c r="AB72" s="130"/>
      <c r="AC72" s="97"/>
      <c r="AD72" s="130"/>
      <c r="AE72" s="99"/>
      <c r="AF72" s="100"/>
      <c r="AG72" s="100"/>
      <c r="AH72" s="100" t="str">
        <f aca="false">IF(ISBLANK($C72),"",IF($E72=Constants!$B$2,TRUE(),IF($E72=Constants!$B$3,FALSE(),TRUE())))</f>
        <v/>
      </c>
      <c r="AI72" s="100" t="str">
        <f aca="false">IF(ISBLANK($C72),"",IF($F72=Constants!$B$2,TRUE(),IF($F72=Constants!$B$3,FALSE(),FALSE())))</f>
        <v/>
      </c>
      <c r="AJ72" s="100" t="str">
        <f aca="false">IF(ISBLANK($C72),"",IF($G72=Constants!$B$2,TRUE(),IF($G72=Constants!$B$3,FALSE(),TRUE())))</f>
        <v/>
      </c>
      <c r="AK72" s="100" t="str">
        <f aca="false">IF(ISBLANK($C72),"",IF($H72=Constants!$B$2,TRUE(),IF($H72=Constants!$B$3,FALSE(),TRUE())))</f>
        <v/>
      </c>
      <c r="AL72" s="100" t="str">
        <f aca="false">IF(ISBLANK($C72),"",IF(ISNUMBER($I72),IF($I72&gt;=0,$I72,""),""))</f>
        <v/>
      </c>
      <c r="AM72" s="100" t="str">
        <f aca="false">IF(ISBLANK($C72),"",IF(ISNUMBER($J72),IF($J72&gt;=0,$J72,""),""))</f>
        <v/>
      </c>
      <c r="AN72" s="100" t="str">
        <f aca="false">IF(ISBLANK($C72),"",IF(ISNUMBER($K72),IF($K72&gt;=0,$K72,""),""))</f>
        <v/>
      </c>
      <c r="AO72" s="100" t="str">
        <f aca="false">IF(ISBLANK($C72),"",IF($L72=Constants!$B$2,TRUE(),IF($L72=Constants!$B$3,FALSE(),TRUE())))</f>
        <v/>
      </c>
      <c r="AP72" s="100" t="str">
        <f aca="false">IF(ISBLANK($C72),"",IF($M72=Constants!$B$2,TRUE(),IF($M72=Constants!$B$3,FALSE(),TRUE())))</f>
        <v/>
      </c>
      <c r="AQ72" s="100" t="str">
        <f aca="false">IF(ISBLANK($C72),"",IF($N72=Constants!$B$2,TRUE(),IF($N72=Constants!$B$3,FALSE(),FALSE())))</f>
        <v/>
      </c>
      <c r="AR72" s="100" t="str">
        <f aca="false">IF(ISBLANK($C72),"",IF($O72=Constants!$B$2,TRUE(),IF($O72=Constants!$B$3,FALSE(),TRUE())))</f>
        <v/>
      </c>
      <c r="AS72" s="100" t="str">
        <f aca="false">IF(ISBLANK($C72),"",IF($P72=Constants!$B$2,TRUE(),IF($P72=Constants!$B$3,FALSE(),FALSE())))</f>
        <v/>
      </c>
      <c r="AT72" s="100" t="str">
        <f aca="false">IF(ISBLANK($C72),"",IF($Q72=Constants!$B$2,TRUE(),IF($Q72=Constants!$B$3,FALSE(),FALSE())))</f>
        <v/>
      </c>
      <c r="AU72" s="100" t="str">
        <f aca="false">IF(ISBLANK($C72),"",IF($R72=Constants!$B$2,TRUE(),IF($R72=Constants!$B$3,FALSE(),FALSE())))</f>
        <v/>
      </c>
      <c r="AV72" s="100" t="str">
        <f aca="false">IF(ISBLANK($C72),"",IF($S72=Constants!$B$2,TRUE(),IF($S72=Constants!$B$3,FALSE(),FALSE())))</f>
        <v/>
      </c>
      <c r="AW72" s="100" t="str">
        <f aca="false">IF(ISBLANK($C72),"",IF($T72=Constants!$B$2,TRUE(),IF($T72=Constants!$B$3,FALSE(),FALSE())))</f>
        <v/>
      </c>
      <c r="AX72" s="100" t="str">
        <f aca="false">IF(ISBLANK($C72),"",IF(OR($U72&amp;""="1",$U72&amp;""="2",$U72&amp;""="3",$U72&amp;""="4"),VALUE($U72&amp;""),IF($U72=Constants!$B$12,Constants!$B$12,"")))</f>
        <v/>
      </c>
      <c r="AY72" s="100" t="str">
        <f aca="false">IF(ISBLANK($C72),"",IF(ISBLANK($V72),0,IF(ISNUMBER($V72),IF(AND($V72&gt;=0,$V72&lt;=Constants!$B$21,$V72=INT($V72)),$V72,""),"")))</f>
        <v/>
      </c>
      <c r="AZ72" s="100" t="str">
        <f aca="false">IF(ISBLANK($C72),"",IF(ISBLANK($W72),0,IF(ISNUMBER($W72),IF($W72&gt;=0,$W72,""),"")))</f>
        <v/>
      </c>
      <c r="BA72" s="100" t="str">
        <f aca="false">IF(ISBLANK($C72),"",IF($X72=Constants!$B$2,TRUE(),IF($X72=Constants!$B$3,FALSE(),TRUE())))</f>
        <v/>
      </c>
      <c r="BB72" s="100" t="str">
        <f aca="false">IF(ISBLANK($C72),"",IF($Y72=Constants!$B$2,TRUE(),IF($Y72=Constants!$B$3,FALSE(),FALSE())))</f>
        <v/>
      </c>
      <c r="BC72" s="100" t="str">
        <f aca="false">IF(ISBLANK($C72),"",IF(ISBLANK($Z72),0,IF(ISNUMBER($Z72),IF(AND($Z72&gt;=0,$Z72&lt;=Constants!$B$35,$Z72=INT($Z72)),$Z72,""),"")))</f>
        <v/>
      </c>
      <c r="BD72" s="100" t="str">
        <f aca="false">IF(ISBLANK($C72),"",IF($AA72=Constants!$B$2,TRUE(),IF($AA72=Constants!$B$3,FALSE(),TRUE())))</f>
        <v/>
      </c>
      <c r="BE72" s="100" t="str">
        <f aca="false">IF(ISBLANK($C72),"",IF($AB72=Constants!$B$2,TRUE(),IF($AB72=Constants!$B$3,FALSE(),TRUE())))</f>
        <v/>
      </c>
      <c r="BF72" s="100" t="str">
        <f aca="false">IF(ISBLANK($C72),"",IF(ISNUMBER($AC72),IF($AC72&gt;=0,$AC72,""),""))</f>
        <v/>
      </c>
      <c r="BG72" s="100" t="str">
        <f aca="false">IF(ISBLANK($C72),"",IF($AD72=Constants!$B$2,TRUE(),IF($AD72=Constants!$B$3,FALSE(),FALSE())))</f>
        <v/>
      </c>
      <c r="BH72" s="99" t="str">
        <f aca="false">IF(ISBLANK($C72),"",IF($BG72,Constants!$B$7,IF(COUNTA($E72:$AC72)=0,Constants!$B$6,IF(OR(COUNTA($G72:$AC72)=0,NOT($AK72),$AQ72),Constants!$B$5,IF(OR($CI72&lt;&gt;"",$CJ72,$CK72,$CL72,$CM72,$CN72,$CO72),Constants!$B$8,Constants!$B$4)))))</f>
        <v/>
      </c>
      <c r="BI72" s="100" t="str">
        <f aca="false">IF(ISBLANK($C72),"",IF($BH72&lt;&gt;Constants!$B$4,$BH72,IF(OR(NOT($AH72),NOT($AJ72),NOT($AR72)),Constants!$B$11,IF(OR(NOT($AP72),MAX($AL72,$AM72,$AN72)&gt;Constants!$B$30),Constants!$B$10,Constants!$B$9))))</f>
        <v/>
      </c>
      <c r="BJ72" s="100" t="str">
        <f aca="false">IF($BH72&lt;&gt;Constants!$B$4,"",IF(NOT($AJ72),0,MIN(Constants!$B$35,$BC72)))</f>
        <v/>
      </c>
      <c r="BK72" s="100" t="str">
        <f aca="false">IF($BH72&lt;&gt;Constants!$B$4,"",IF(NOT($AJ72),0,IF($AT72,Constants!$B$18,IF($AS72,Constants!$B$17,0))))</f>
        <v/>
      </c>
      <c r="BL72" s="100" t="str">
        <f aca="false">IF($BH72&lt;&gt;Constants!$B$4,"",IF(NOT($AJ72),0,Constants!$B$19*($AI72+$AU72+$AV72+$AW72)))</f>
        <v/>
      </c>
      <c r="BM72" s="100" t="str">
        <f aca="false">IF($BH72&lt;&gt;Constants!$B$4,"",IF(OR(NOT($AJ72),NOT(ISNUMBER($AX72))),0,CHOOSE($AX72,Constants!$B$13,Constants!$B$14,Constants!$B$15,Constants!$B$16)))</f>
        <v/>
      </c>
      <c r="BN72" s="100" t="str">
        <f aca="false">IF($BH72&lt;&gt;Constants!$B$4,"",IF(NOT($AJ72),0,Constants!$B$20*$AY72))</f>
        <v/>
      </c>
      <c r="BO72" s="100" t="str">
        <f aca="false">IF($BH72&lt;&gt;Constants!$B$4,"",IF(AND($AJ72,$BA72,$BB72),Constants!$B$22,0))</f>
        <v/>
      </c>
      <c r="BP72" s="100" t="str">
        <f aca="false">IF($BH72&lt;&gt;Constants!$B$4,"",IF(OR(NOT($AJ72),NOT($BA72)),0,IF($BF72&gt;=2*$AF$9,0,Constants!$B$23*INT(ROUND(MIN($BF72,$AF$9),6)))))</f>
        <v/>
      </c>
      <c r="BQ72" s="100" t="str">
        <f aca="false">IF($BH72&lt;&gt;Constants!$B$4,"",IF(NOT($AJ72),0,Constants!$B$24*INT(ROUND(MIN($AZ72,$AF$9),6))))</f>
        <v/>
      </c>
      <c r="BR72" s="100" t="str">
        <f aca="false">IF($BH72&lt;&gt;Constants!$B$4,"",IF(AND($AJ72,$BJ72=0),Constants!$B$25,0))</f>
        <v/>
      </c>
      <c r="BS72" s="100" t="str">
        <f aca="false">IF($BH72&lt;&gt;Constants!$B$4,"",MIN(Constants!$B$29,MAX(0,Constants!$B$27*Constants!$B$28*INT(ROUND((Constants!$B$26-$AL72)/Constants!$B$28,6))))+MIN(Constants!$B$29,MAX(0,Constants!$B$27*Constants!$B$28*INT(ROUND((Constants!$B$26-$AM72)/Constants!$B$28,6))))+MIN(Constants!$B$29,MAX(0,Constants!$B$27*Constants!$B$28*INT(ROUND((Constants!$B$26-$AN72)/Constants!$B$28,6)))))</f>
        <v/>
      </c>
      <c r="BT72" s="100" t="str">
        <f aca="false">IF($BH72&lt;&gt;Constants!$B$4,"",IF(NOT($AJ72),0,Constants!$B$31*INT(ROUND(MAX(0,MIN($BF72,2*$AF$9)-$AF$9),6))))</f>
        <v/>
      </c>
      <c r="BU72" s="100" t="str">
        <f aca="false">IF($BH72&lt;&gt;Constants!$B$4,"",Constants!$B$32*(($AL72&gt;Constants!$B$26)+($AM72&gt;Constants!$B$26)+($AN72&gt;Constants!$B$26)))</f>
        <v/>
      </c>
      <c r="BV72" s="100" t="str">
        <f aca="false">IF($BH72&lt;&gt;Constants!$B$4,"",IF(OR(NOT($AJ72),$AO72),0,Constants!$B$33))</f>
        <v/>
      </c>
      <c r="BW72" s="100" t="str">
        <f aca="false">IF($BH72&lt;&gt;Constants!$B$4,"",Constants!$B$34*$BJ72)</f>
        <v/>
      </c>
      <c r="BX72" s="100" t="str">
        <f aca="false">IF($BH72&lt;&gt;Constants!$B$4,"",IF(OR(NOT($AJ72),$BE72),0,Constants!$B$36))</f>
        <v/>
      </c>
      <c r="BY72" s="100" t="str">
        <f aca="false">IF($BH72&lt;&gt;Constants!$B$4,"",IF(OR(NOT($AJ72),$BD72),0,Constants!$B$37))</f>
        <v/>
      </c>
      <c r="BZ72" s="100" t="str">
        <f aca="false">IF($BH72&lt;&gt;Constants!$B$4,"",SUM($BT72:$BY72))</f>
        <v/>
      </c>
      <c r="CA72" s="100" t="str">
        <f aca="false">IF(ISBLANK($C72),"",IF($BH72&lt;&gt;Constants!$B$4,$BH72,SUM($BK72:$BS72)-$BZ72))</f>
        <v/>
      </c>
      <c r="CB72" s="100" t="str">
        <f aca="false">IF(ISBLANK($C72),"",IF($BH72&lt;&gt;Constants!$B$4,$BH72,RANK($CA72,$CA$9:$CA$508)))</f>
        <v/>
      </c>
      <c r="CC72" s="100" t="str">
        <f aca="false">IF(ISBLANK($C72),"",IF($BH72&lt;&gt;Constants!$B$4,$BH72,COUNTIFS($BI$9:$BI$508,"&lt;"&amp;$BI72)+COUNTIFS($BI$9:$BI$508,$BI72,$CB$9:$CB$508,"&lt;"&amp;$CB72)+1))</f>
        <v/>
      </c>
      <c r="CD72" s="100" t="str">
        <f aca="false">IF(ISBLANK($C72),"",IF($BH72&lt;&gt;Constants!$B$4,$BH72,RANK($BZ72,$BZ$9:$BZ$508,1)))</f>
        <v/>
      </c>
      <c r="CE72" s="100" t="str">
        <f aca="false">IF($BH72&lt;&gt;Constants!$B$4,"",$AL72+$AM72+$AN72)</f>
        <v/>
      </c>
      <c r="CF72" s="100" t="str">
        <f aca="false">IF(ISBLANK($C72),"",IF($BH72&lt;&gt;Constants!$B$4,$BH72,RANK($CE72,$CE$9:$CE$508,1)))</f>
        <v/>
      </c>
      <c r="CG72" s="100" t="str">
        <f aca="false">IF(ISBLANK($C72),"",IF($BH72&lt;&gt;Constants!$B$4,$BH72,COUNTIFS($BI$9:$BI$508,"&lt;"&amp;$BI72)+COUNTIFS($BI$9:$BI$508,$BI72,$CB$9:$CB$508,"&lt;"&amp;$CB72)+COUNTIFS($BI$9:$BI$508,$BI72,$CB$9:$CB$508,$CB72,$CD$9:$CD$508,"&lt;"&amp;$CD72)+COUNTIFS($BI$9:$BI$508,$BI72,$CB$9:$CB$508,$CB72,$CD$9:$CD$508,$CD72,$CF$9:$CF$508,"&lt;"&amp;$CF72)+1))</f>
        <v/>
      </c>
      <c r="CH72" s="100" t="str">
        <f aca="false">IF(ISBLANK($C72),"",IF($BH72&lt;&gt;Constants!$B$4,$BH72,$CC72-$CG72))</f>
        <v/>
      </c>
      <c r="CI72" s="100" t="str">
        <f aca="false">IF(ISBLANK($C72),"",IF(NOT($AJ72),"",IF(ISBLANK($D$7),$CI$5,IF(NOT(ISNUMBER($D$7)),$CI$6,""))))</f>
        <v/>
      </c>
      <c r="CJ72" s="100" t="str">
        <f aca="false">IF(ISBLANK($C72),"",OR($AL72="",$AM72="",$AN72=""))</f>
        <v/>
      </c>
      <c r="CK72" s="100" t="str">
        <f aca="false">IF(ISBLANK($C72),"",AND($AJ72,$AX72=""))</f>
        <v/>
      </c>
      <c r="CL72" s="100" t="str">
        <f aca="false">IF(ISBLANK($C72),"",AND($AJ72,$AY72=""))</f>
        <v/>
      </c>
      <c r="CM72" s="100" t="str">
        <f aca="false">IF(ISBLANK($C72),"",AND($AJ72,$AZ72=""))</f>
        <v/>
      </c>
      <c r="CN72" s="100" t="str">
        <f aca="false">IF(ISBLANK($C72),"",AND($AJ72,$BC72=""))</f>
        <v/>
      </c>
      <c r="CO72" s="100" t="str">
        <f aca="false">IF(ISBLANK($C72),"",AND($AJ72,$BF72=""))</f>
        <v/>
      </c>
      <c r="CP72" s="101"/>
      <c r="CQ72" s="102"/>
      <c r="CR72" s="103" t="str">
        <f aca="false">IF(ISBLANK($C72),"",IF($BH72=Constants!$B$8,$CI72,""))</f>
        <v/>
      </c>
      <c r="CS72" s="102" t="str">
        <f aca="false">IF(ISBLANK($C72),"",IF($BH72&lt;&gt;Constants!$B$4,"",$BK72+$BL72))</f>
        <v/>
      </c>
      <c r="CT72" s="104" t="str">
        <f aca="false">IF(ISBLANK($C72),"",IF($BH72&lt;&gt;Constants!$B$4,"",$BM72+$BN72+$BO72))</f>
        <v/>
      </c>
      <c r="CU72" s="104" t="str">
        <f aca="false">IF(ISBLANK($C72),"",IF($BH72&lt;&gt;Constants!$B$4,"",$BP72))</f>
        <v/>
      </c>
      <c r="CV72" s="104" t="str">
        <f aca="false">IF(ISBLANK($C72),"",IF($BH72&lt;&gt;Constants!$B$4,"",$BQ72+$BR72))</f>
        <v/>
      </c>
      <c r="CW72" s="104" t="str">
        <f aca="false">IF(ISBLANK($C72),"",IF($BH72&lt;&gt;Constants!$B$4,"",$BS72))</f>
        <v/>
      </c>
      <c r="CX72" s="104" t="str">
        <f aca="false">IF(ISBLANK($C72),"",IF($BH72&lt;&gt;Constants!$B$4,"",-$BZ72))</f>
        <v/>
      </c>
      <c r="CY72" s="103" t="str">
        <f aca="false">IF(ISBLANK($C72),"",$CA72)</f>
        <v/>
      </c>
      <c r="CZ72" s="105" t="str">
        <f aca="false">IF(ISBLANK($C72),"",$BI72)</f>
        <v/>
      </c>
      <c r="DA72" s="104" t="str">
        <f aca="false">IF(ISBLANK($C72),"",$CH72)</f>
        <v/>
      </c>
      <c r="DB72" s="104" t="str">
        <f aca="false">IF(ISBLANK($C72),"",$CG72)</f>
        <v/>
      </c>
      <c r="DC72" s="106" t="str">
        <f aca="false">IF(ISBLANK($C72),"",IFERROR(_xlfn.SWITCH($DB72,Constants!$B$7,COUNTA($C$9:$C$508)+2,Constants!$B$6,COUNTA($C$9:$C$508)+1,Constants!$B$5,COUNTA($C$9:$C$508)),$DB72))</f>
        <v/>
      </c>
      <c r="DD72" s="7"/>
      <c r="DE72" s="107" t="n">
        <f aca="false">IF(OR(ISNUMBER($DB72),$DB72=Constants!$B$7,$DB72=Constants!$B$5,$DB72=Constants!$B$6),1,0)</f>
        <v>0</v>
      </c>
      <c r="DF72" s="107" t="n">
        <v>64</v>
      </c>
      <c r="DG72" s="107" t="str">
        <f aca="false">IF(ISBLANK($C72),"",IF(ISNUMBER($DC72),$DC72+ROW($B72)/1000,""))</f>
        <v/>
      </c>
      <c r="DH72" s="107" t="str">
        <f aca="false">IF(ISNUMBER($DG72),RANK($DG72,$DG$9:$DG$508,1),"")</f>
        <v/>
      </c>
      <c r="DI72" s="107" t="str">
        <f aca="false">IF(ISBLANK($C72),"",$B72)</f>
        <v/>
      </c>
      <c r="DJ72" s="107" t="str">
        <f aca="false">IF(ISBLANK($C72),"",$C72)</f>
        <v/>
      </c>
      <c r="DK72" s="107" t="str">
        <f aca="false">IF(ISBLANK($C72),"",$D72)</f>
        <v/>
      </c>
      <c r="DL72" s="108" t="str">
        <f aca="false">$CZ72</f>
        <v/>
      </c>
      <c r="DM72" s="109" t="str">
        <f aca="false">$CY72</f>
        <v/>
      </c>
      <c r="DN72" s="107" t="str">
        <f aca="false">IF(ISBLANK($C72),"",$DB72)</f>
        <v/>
      </c>
      <c r="DO72" s="110" t="str">
        <f aca="false">IF($DF72&gt;$DE$8,"",VLOOKUP($DF72,$DH$9:$DN$508,7,FALSE()))</f>
        <v/>
      </c>
      <c r="DP72" s="111" t="str">
        <f aca="false">IF($DF72&gt;$DE$8,"",VLOOKUP($DF72,$DH$9:$DN$508,2,FALSE()))</f>
        <v/>
      </c>
      <c r="DQ72" s="111" t="str">
        <f aca="false">IF($DF72&gt;$DE$8,"",VLOOKUP($DF72,$DH$9:$DN$508,3,FALSE()))</f>
        <v/>
      </c>
      <c r="DR72" s="111" t="str">
        <f aca="false">IF($DF72&gt;$DE$8,"",VLOOKUP($DF72,$DH$9:$DN$508,4,FALSE()))</f>
        <v/>
      </c>
      <c r="DS72" s="111" t="str">
        <f aca="false">IF($DF72&gt;$DE$8,"",VLOOKUP($DF72,$DH$9:$DN$508,5,FALSE()))</f>
        <v/>
      </c>
      <c r="DT72" s="112" t="str">
        <f aca="false">IF($DF72&gt;$DE$8,"",VLOOKUP($DF72,$DH$9:$DN$508,6,FALSE()))</f>
        <v/>
      </c>
      <c r="DU72" s="62"/>
    </row>
    <row r="73" customFormat="false" ht="15.75" hidden="false" customHeight="false" outlineLevel="0" collapsed="false">
      <c r="A73" s="7"/>
      <c r="B73" s="90"/>
      <c r="C73" s="91"/>
      <c r="D73" s="126"/>
      <c r="E73" s="130"/>
      <c r="F73" s="135"/>
      <c r="G73" s="130"/>
      <c r="H73" s="135"/>
      <c r="I73" s="95"/>
      <c r="J73" s="95"/>
      <c r="K73" s="95"/>
      <c r="L73" s="130"/>
      <c r="M73" s="130"/>
      <c r="N73" s="130"/>
      <c r="O73" s="135"/>
      <c r="P73" s="130"/>
      <c r="Q73" s="130"/>
      <c r="R73" s="130"/>
      <c r="S73" s="130"/>
      <c r="T73" s="135"/>
      <c r="U73" s="130"/>
      <c r="V73" s="96"/>
      <c r="W73" s="130"/>
      <c r="X73" s="130"/>
      <c r="Y73" s="96"/>
      <c r="Z73" s="96"/>
      <c r="AA73" s="130"/>
      <c r="AB73" s="130"/>
      <c r="AC73" s="97"/>
      <c r="AD73" s="130"/>
      <c r="AE73" s="99"/>
      <c r="AF73" s="100"/>
      <c r="AG73" s="100"/>
      <c r="AH73" s="100" t="str">
        <f aca="false">IF(ISBLANK($C73),"",IF($E73=Constants!$B$2,TRUE(),IF($E73=Constants!$B$3,FALSE(),TRUE())))</f>
        <v/>
      </c>
      <c r="AI73" s="100" t="str">
        <f aca="false">IF(ISBLANK($C73),"",IF($F73=Constants!$B$2,TRUE(),IF($F73=Constants!$B$3,FALSE(),FALSE())))</f>
        <v/>
      </c>
      <c r="AJ73" s="100" t="str">
        <f aca="false">IF(ISBLANK($C73),"",IF($G73=Constants!$B$2,TRUE(),IF($G73=Constants!$B$3,FALSE(),TRUE())))</f>
        <v/>
      </c>
      <c r="AK73" s="100" t="str">
        <f aca="false">IF(ISBLANK($C73),"",IF($H73=Constants!$B$2,TRUE(),IF($H73=Constants!$B$3,FALSE(),TRUE())))</f>
        <v/>
      </c>
      <c r="AL73" s="100" t="str">
        <f aca="false">IF(ISBLANK($C73),"",IF(ISNUMBER($I73),IF($I73&gt;=0,$I73,""),""))</f>
        <v/>
      </c>
      <c r="AM73" s="100" t="str">
        <f aca="false">IF(ISBLANK($C73),"",IF(ISNUMBER($J73),IF($J73&gt;=0,$J73,""),""))</f>
        <v/>
      </c>
      <c r="AN73" s="100" t="str">
        <f aca="false">IF(ISBLANK($C73),"",IF(ISNUMBER($K73),IF($K73&gt;=0,$K73,""),""))</f>
        <v/>
      </c>
      <c r="AO73" s="100" t="str">
        <f aca="false">IF(ISBLANK($C73),"",IF($L73=Constants!$B$2,TRUE(),IF($L73=Constants!$B$3,FALSE(),TRUE())))</f>
        <v/>
      </c>
      <c r="AP73" s="100" t="str">
        <f aca="false">IF(ISBLANK($C73),"",IF($M73=Constants!$B$2,TRUE(),IF($M73=Constants!$B$3,FALSE(),TRUE())))</f>
        <v/>
      </c>
      <c r="AQ73" s="100" t="str">
        <f aca="false">IF(ISBLANK($C73),"",IF($N73=Constants!$B$2,TRUE(),IF($N73=Constants!$B$3,FALSE(),FALSE())))</f>
        <v/>
      </c>
      <c r="AR73" s="100" t="str">
        <f aca="false">IF(ISBLANK($C73),"",IF($O73=Constants!$B$2,TRUE(),IF($O73=Constants!$B$3,FALSE(),TRUE())))</f>
        <v/>
      </c>
      <c r="AS73" s="100" t="str">
        <f aca="false">IF(ISBLANK($C73),"",IF($P73=Constants!$B$2,TRUE(),IF($P73=Constants!$B$3,FALSE(),FALSE())))</f>
        <v/>
      </c>
      <c r="AT73" s="100" t="str">
        <f aca="false">IF(ISBLANK($C73),"",IF($Q73=Constants!$B$2,TRUE(),IF($Q73=Constants!$B$3,FALSE(),FALSE())))</f>
        <v/>
      </c>
      <c r="AU73" s="100" t="str">
        <f aca="false">IF(ISBLANK($C73),"",IF($R73=Constants!$B$2,TRUE(),IF($R73=Constants!$B$3,FALSE(),FALSE())))</f>
        <v/>
      </c>
      <c r="AV73" s="100" t="str">
        <f aca="false">IF(ISBLANK($C73),"",IF($S73=Constants!$B$2,TRUE(),IF($S73=Constants!$B$3,FALSE(),FALSE())))</f>
        <v/>
      </c>
      <c r="AW73" s="100" t="str">
        <f aca="false">IF(ISBLANK($C73),"",IF($T73=Constants!$B$2,TRUE(),IF($T73=Constants!$B$3,FALSE(),FALSE())))</f>
        <v/>
      </c>
      <c r="AX73" s="100" t="str">
        <f aca="false">IF(ISBLANK($C73),"",IF(OR($U73&amp;""="1",$U73&amp;""="2",$U73&amp;""="3",$U73&amp;""="4"),VALUE($U73&amp;""),IF($U73=Constants!$B$12,Constants!$B$12,"")))</f>
        <v/>
      </c>
      <c r="AY73" s="100" t="str">
        <f aca="false">IF(ISBLANK($C73),"",IF(ISBLANK($V73),0,IF(ISNUMBER($V73),IF(AND($V73&gt;=0,$V73&lt;=Constants!$B$21,$V73=INT($V73)),$V73,""),"")))</f>
        <v/>
      </c>
      <c r="AZ73" s="100" t="str">
        <f aca="false">IF(ISBLANK($C73),"",IF(ISBLANK($W73),0,IF(ISNUMBER($W73),IF($W73&gt;=0,$W73,""),"")))</f>
        <v/>
      </c>
      <c r="BA73" s="100" t="str">
        <f aca="false">IF(ISBLANK($C73),"",IF($X73=Constants!$B$2,TRUE(),IF($X73=Constants!$B$3,FALSE(),TRUE())))</f>
        <v/>
      </c>
      <c r="BB73" s="100" t="str">
        <f aca="false">IF(ISBLANK($C73),"",IF($Y73=Constants!$B$2,TRUE(),IF($Y73=Constants!$B$3,FALSE(),FALSE())))</f>
        <v/>
      </c>
      <c r="BC73" s="100" t="str">
        <f aca="false">IF(ISBLANK($C73),"",IF(ISBLANK($Z73),0,IF(ISNUMBER($Z73),IF(AND($Z73&gt;=0,$Z73&lt;=Constants!$B$35,$Z73=INT($Z73)),$Z73,""),"")))</f>
        <v/>
      </c>
      <c r="BD73" s="100" t="str">
        <f aca="false">IF(ISBLANK($C73),"",IF($AA73=Constants!$B$2,TRUE(),IF($AA73=Constants!$B$3,FALSE(),TRUE())))</f>
        <v/>
      </c>
      <c r="BE73" s="100" t="str">
        <f aca="false">IF(ISBLANK($C73),"",IF($AB73=Constants!$B$2,TRUE(),IF($AB73=Constants!$B$3,FALSE(),TRUE())))</f>
        <v/>
      </c>
      <c r="BF73" s="100" t="str">
        <f aca="false">IF(ISBLANK($C73),"",IF(ISNUMBER($AC73),IF($AC73&gt;=0,$AC73,""),""))</f>
        <v/>
      </c>
      <c r="BG73" s="100" t="str">
        <f aca="false">IF(ISBLANK($C73),"",IF($AD73=Constants!$B$2,TRUE(),IF($AD73=Constants!$B$3,FALSE(),FALSE())))</f>
        <v/>
      </c>
      <c r="BH73" s="99" t="str">
        <f aca="false">IF(ISBLANK($C73),"",IF($BG73,Constants!$B$7,IF(COUNTA($E73:$AC73)=0,Constants!$B$6,IF(OR(COUNTA($G73:$AC73)=0,NOT($AK73),$AQ73),Constants!$B$5,IF(OR($CI73&lt;&gt;"",$CJ73,$CK73,$CL73,$CM73,$CN73,$CO73),Constants!$B$8,Constants!$B$4)))))</f>
        <v/>
      </c>
      <c r="BI73" s="100" t="str">
        <f aca="false">IF(ISBLANK($C73),"",IF($BH73&lt;&gt;Constants!$B$4,$BH73,IF(OR(NOT($AH73),NOT($AJ73),NOT($AR73)),Constants!$B$11,IF(OR(NOT($AP73),MAX($AL73,$AM73,$AN73)&gt;Constants!$B$30),Constants!$B$10,Constants!$B$9))))</f>
        <v/>
      </c>
      <c r="BJ73" s="100" t="str">
        <f aca="false">IF($BH73&lt;&gt;Constants!$B$4,"",IF(NOT($AJ73),0,MIN(Constants!$B$35,$BC73)))</f>
        <v/>
      </c>
      <c r="BK73" s="100" t="str">
        <f aca="false">IF($BH73&lt;&gt;Constants!$B$4,"",IF(NOT($AJ73),0,IF($AT73,Constants!$B$18,IF($AS73,Constants!$B$17,0))))</f>
        <v/>
      </c>
      <c r="BL73" s="100" t="str">
        <f aca="false">IF($BH73&lt;&gt;Constants!$B$4,"",IF(NOT($AJ73),0,Constants!$B$19*($AI73+$AU73+$AV73+$AW73)))</f>
        <v/>
      </c>
      <c r="BM73" s="100" t="str">
        <f aca="false">IF($BH73&lt;&gt;Constants!$B$4,"",IF(OR(NOT($AJ73),NOT(ISNUMBER($AX73))),0,CHOOSE($AX73,Constants!$B$13,Constants!$B$14,Constants!$B$15,Constants!$B$16)))</f>
        <v/>
      </c>
      <c r="BN73" s="100" t="str">
        <f aca="false">IF($BH73&lt;&gt;Constants!$B$4,"",IF(NOT($AJ73),0,Constants!$B$20*$AY73))</f>
        <v/>
      </c>
      <c r="BO73" s="100" t="str">
        <f aca="false">IF($BH73&lt;&gt;Constants!$B$4,"",IF(AND($AJ73,$BA73,$BB73),Constants!$B$22,0))</f>
        <v/>
      </c>
      <c r="BP73" s="100" t="str">
        <f aca="false">IF($BH73&lt;&gt;Constants!$B$4,"",IF(OR(NOT($AJ73),NOT($BA73)),0,IF($BF73&gt;=2*$AF$9,0,Constants!$B$23*INT(ROUND(MIN($BF73,$AF$9),6)))))</f>
        <v/>
      </c>
      <c r="BQ73" s="100" t="str">
        <f aca="false">IF($BH73&lt;&gt;Constants!$B$4,"",IF(NOT($AJ73),0,Constants!$B$24*INT(ROUND(MIN($AZ73,$AF$9),6))))</f>
        <v/>
      </c>
      <c r="BR73" s="100" t="str">
        <f aca="false">IF($BH73&lt;&gt;Constants!$B$4,"",IF(AND($AJ73,$BJ73=0),Constants!$B$25,0))</f>
        <v/>
      </c>
      <c r="BS73" s="100" t="str">
        <f aca="false">IF($BH73&lt;&gt;Constants!$B$4,"",MIN(Constants!$B$29,MAX(0,Constants!$B$27*Constants!$B$28*INT(ROUND((Constants!$B$26-$AL73)/Constants!$B$28,6))))+MIN(Constants!$B$29,MAX(0,Constants!$B$27*Constants!$B$28*INT(ROUND((Constants!$B$26-$AM73)/Constants!$B$28,6))))+MIN(Constants!$B$29,MAX(0,Constants!$B$27*Constants!$B$28*INT(ROUND((Constants!$B$26-$AN73)/Constants!$B$28,6)))))</f>
        <v/>
      </c>
      <c r="BT73" s="100" t="str">
        <f aca="false">IF($BH73&lt;&gt;Constants!$B$4,"",IF(NOT($AJ73),0,Constants!$B$31*INT(ROUND(MAX(0,MIN($BF73,2*$AF$9)-$AF$9),6))))</f>
        <v/>
      </c>
      <c r="BU73" s="100" t="str">
        <f aca="false">IF($BH73&lt;&gt;Constants!$B$4,"",Constants!$B$32*(($AL73&gt;Constants!$B$26)+($AM73&gt;Constants!$B$26)+($AN73&gt;Constants!$B$26)))</f>
        <v/>
      </c>
      <c r="BV73" s="100" t="str">
        <f aca="false">IF($BH73&lt;&gt;Constants!$B$4,"",IF(OR(NOT($AJ73),$AO73),0,Constants!$B$33))</f>
        <v/>
      </c>
      <c r="BW73" s="100" t="str">
        <f aca="false">IF($BH73&lt;&gt;Constants!$B$4,"",Constants!$B$34*$BJ73)</f>
        <v/>
      </c>
      <c r="BX73" s="100" t="str">
        <f aca="false">IF($BH73&lt;&gt;Constants!$B$4,"",IF(OR(NOT($AJ73),$BE73),0,Constants!$B$36))</f>
        <v/>
      </c>
      <c r="BY73" s="100" t="str">
        <f aca="false">IF($BH73&lt;&gt;Constants!$B$4,"",IF(OR(NOT($AJ73),$BD73),0,Constants!$B$37))</f>
        <v/>
      </c>
      <c r="BZ73" s="100" t="str">
        <f aca="false">IF($BH73&lt;&gt;Constants!$B$4,"",SUM($BT73:$BY73))</f>
        <v/>
      </c>
      <c r="CA73" s="100" t="str">
        <f aca="false">IF(ISBLANK($C73),"",IF($BH73&lt;&gt;Constants!$B$4,$BH73,SUM($BK73:$BS73)-$BZ73))</f>
        <v/>
      </c>
      <c r="CB73" s="100" t="str">
        <f aca="false">IF(ISBLANK($C73),"",IF($BH73&lt;&gt;Constants!$B$4,$BH73,RANK($CA73,$CA$9:$CA$508)))</f>
        <v/>
      </c>
      <c r="CC73" s="100" t="str">
        <f aca="false">IF(ISBLANK($C73),"",IF($BH73&lt;&gt;Constants!$B$4,$BH73,COUNTIFS($BI$9:$BI$508,"&lt;"&amp;$BI73)+COUNTIFS($BI$9:$BI$508,$BI73,$CB$9:$CB$508,"&lt;"&amp;$CB73)+1))</f>
        <v/>
      </c>
      <c r="CD73" s="100" t="str">
        <f aca="false">IF(ISBLANK($C73),"",IF($BH73&lt;&gt;Constants!$B$4,$BH73,RANK($BZ73,$BZ$9:$BZ$508,1)))</f>
        <v/>
      </c>
      <c r="CE73" s="100" t="str">
        <f aca="false">IF($BH73&lt;&gt;Constants!$B$4,"",$AL73+$AM73+$AN73)</f>
        <v/>
      </c>
      <c r="CF73" s="100" t="str">
        <f aca="false">IF(ISBLANK($C73),"",IF($BH73&lt;&gt;Constants!$B$4,$BH73,RANK($CE73,$CE$9:$CE$508,1)))</f>
        <v/>
      </c>
      <c r="CG73" s="100" t="str">
        <f aca="false">IF(ISBLANK($C73),"",IF($BH73&lt;&gt;Constants!$B$4,$BH73,COUNTIFS($BI$9:$BI$508,"&lt;"&amp;$BI73)+COUNTIFS($BI$9:$BI$508,$BI73,$CB$9:$CB$508,"&lt;"&amp;$CB73)+COUNTIFS($BI$9:$BI$508,$BI73,$CB$9:$CB$508,$CB73,$CD$9:$CD$508,"&lt;"&amp;$CD73)+COUNTIFS($BI$9:$BI$508,$BI73,$CB$9:$CB$508,$CB73,$CD$9:$CD$508,$CD73,$CF$9:$CF$508,"&lt;"&amp;$CF73)+1))</f>
        <v/>
      </c>
      <c r="CH73" s="100" t="str">
        <f aca="false">IF(ISBLANK($C73),"",IF($BH73&lt;&gt;Constants!$B$4,$BH73,$CC73-$CG73))</f>
        <v/>
      </c>
      <c r="CI73" s="100" t="str">
        <f aca="false">IF(ISBLANK($C73),"",IF(NOT($AJ73),"",IF(ISBLANK($D$7),$CI$5,IF(NOT(ISNUMBER($D$7)),$CI$6,""))))</f>
        <v/>
      </c>
      <c r="CJ73" s="100" t="str">
        <f aca="false">IF(ISBLANK($C73),"",OR($AL73="",$AM73="",$AN73=""))</f>
        <v/>
      </c>
      <c r="CK73" s="100" t="str">
        <f aca="false">IF(ISBLANK($C73),"",AND($AJ73,$AX73=""))</f>
        <v/>
      </c>
      <c r="CL73" s="100" t="str">
        <f aca="false">IF(ISBLANK($C73),"",AND($AJ73,$AY73=""))</f>
        <v/>
      </c>
      <c r="CM73" s="100" t="str">
        <f aca="false">IF(ISBLANK($C73),"",AND($AJ73,$AZ73=""))</f>
        <v/>
      </c>
      <c r="CN73" s="100" t="str">
        <f aca="false">IF(ISBLANK($C73),"",AND($AJ73,$BC73=""))</f>
        <v/>
      </c>
      <c r="CO73" s="100" t="str">
        <f aca="false">IF(ISBLANK($C73),"",AND($AJ73,$BF73=""))</f>
        <v/>
      </c>
      <c r="CP73" s="101"/>
      <c r="CQ73" s="102"/>
      <c r="CR73" s="103" t="str">
        <f aca="false">IF(ISBLANK($C73),"",IF($BH73=Constants!$B$8,$CI73,""))</f>
        <v/>
      </c>
      <c r="CS73" s="102" t="str">
        <f aca="false">IF(ISBLANK($C73),"",IF($BH73&lt;&gt;Constants!$B$4,"",$BK73+$BL73))</f>
        <v/>
      </c>
      <c r="CT73" s="104" t="str">
        <f aca="false">IF(ISBLANK($C73),"",IF($BH73&lt;&gt;Constants!$B$4,"",$BM73+$BN73+$BO73))</f>
        <v/>
      </c>
      <c r="CU73" s="104" t="str">
        <f aca="false">IF(ISBLANK($C73),"",IF($BH73&lt;&gt;Constants!$B$4,"",$BP73))</f>
        <v/>
      </c>
      <c r="CV73" s="104" t="str">
        <f aca="false">IF(ISBLANK($C73),"",IF($BH73&lt;&gt;Constants!$B$4,"",$BQ73+$BR73))</f>
        <v/>
      </c>
      <c r="CW73" s="104" t="str">
        <f aca="false">IF(ISBLANK($C73),"",IF($BH73&lt;&gt;Constants!$B$4,"",$BS73))</f>
        <v/>
      </c>
      <c r="CX73" s="104" t="str">
        <f aca="false">IF(ISBLANK($C73),"",IF($BH73&lt;&gt;Constants!$B$4,"",-$BZ73))</f>
        <v/>
      </c>
      <c r="CY73" s="103" t="str">
        <f aca="false">IF(ISBLANK($C73),"",$CA73)</f>
        <v/>
      </c>
      <c r="CZ73" s="105" t="str">
        <f aca="false">IF(ISBLANK($C73),"",$BI73)</f>
        <v/>
      </c>
      <c r="DA73" s="104" t="str">
        <f aca="false">IF(ISBLANK($C73),"",$CH73)</f>
        <v/>
      </c>
      <c r="DB73" s="104" t="str">
        <f aca="false">IF(ISBLANK($C73),"",$CG73)</f>
        <v/>
      </c>
      <c r="DC73" s="106" t="str">
        <f aca="false">IF(ISBLANK($C73),"",IFERROR(_xlfn.SWITCH($DB73,Constants!$B$7,COUNTA($C$9:$C$508)+2,Constants!$B$6,COUNTA($C$9:$C$508)+1,Constants!$B$5,COUNTA($C$9:$C$508)),$DB73))</f>
        <v/>
      </c>
      <c r="DD73" s="7"/>
      <c r="DE73" s="107" t="n">
        <f aca="false">IF(OR(ISNUMBER($DB73),$DB73=Constants!$B$7,$DB73=Constants!$B$5,$DB73=Constants!$B$6),1,0)</f>
        <v>0</v>
      </c>
      <c r="DF73" s="107" t="n">
        <v>65</v>
      </c>
      <c r="DG73" s="107" t="str">
        <f aca="false">IF(ISBLANK($C73),"",IF(ISNUMBER($DC73),$DC73+ROW($B73)/1000,""))</f>
        <v/>
      </c>
      <c r="DH73" s="107" t="str">
        <f aca="false">IF(ISNUMBER($DG73),RANK($DG73,$DG$9:$DG$508,1),"")</f>
        <v/>
      </c>
      <c r="DI73" s="107" t="str">
        <f aca="false">IF(ISBLANK($C73),"",$B73)</f>
        <v/>
      </c>
      <c r="DJ73" s="107" t="str">
        <f aca="false">IF(ISBLANK($C73),"",$C73)</f>
        <v/>
      </c>
      <c r="DK73" s="107" t="str">
        <f aca="false">IF(ISBLANK($C73),"",$D73)</f>
        <v/>
      </c>
      <c r="DL73" s="108" t="str">
        <f aca="false">$CZ73</f>
        <v/>
      </c>
      <c r="DM73" s="109" t="str">
        <f aca="false">$CY73</f>
        <v/>
      </c>
      <c r="DN73" s="107" t="str">
        <f aca="false">IF(ISBLANK($C73),"",$DB73)</f>
        <v/>
      </c>
      <c r="DO73" s="110" t="str">
        <f aca="false">IF($DF73&gt;$DE$8,"",VLOOKUP($DF73,$DH$9:$DN$508,7,FALSE()))</f>
        <v/>
      </c>
      <c r="DP73" s="111" t="str">
        <f aca="false">IF($DF73&gt;$DE$8,"",VLOOKUP($DF73,$DH$9:$DN$508,2,FALSE()))</f>
        <v/>
      </c>
      <c r="DQ73" s="111" t="str">
        <f aca="false">IF($DF73&gt;$DE$8,"",VLOOKUP($DF73,$DH$9:$DN$508,3,FALSE()))</f>
        <v/>
      </c>
      <c r="DR73" s="111" t="str">
        <f aca="false">IF($DF73&gt;$DE$8,"",VLOOKUP($DF73,$DH$9:$DN$508,4,FALSE()))</f>
        <v/>
      </c>
      <c r="DS73" s="111" t="str">
        <f aca="false">IF($DF73&gt;$DE$8,"",VLOOKUP($DF73,$DH$9:$DN$508,5,FALSE()))</f>
        <v/>
      </c>
      <c r="DT73" s="112" t="str">
        <f aca="false">IF($DF73&gt;$DE$8,"",VLOOKUP($DF73,$DH$9:$DN$508,6,FALSE()))</f>
        <v/>
      </c>
      <c r="DU73" s="62"/>
    </row>
    <row r="74" customFormat="false" ht="15.75" hidden="false" customHeight="false" outlineLevel="0" collapsed="false">
      <c r="A74" s="7"/>
      <c r="B74" s="90"/>
      <c r="C74" s="91"/>
      <c r="D74" s="126"/>
      <c r="E74" s="130"/>
      <c r="F74" s="135"/>
      <c r="G74" s="130"/>
      <c r="H74" s="135"/>
      <c r="I74" s="95"/>
      <c r="J74" s="95"/>
      <c r="K74" s="95"/>
      <c r="L74" s="130"/>
      <c r="M74" s="130"/>
      <c r="N74" s="130"/>
      <c r="O74" s="135"/>
      <c r="P74" s="130"/>
      <c r="Q74" s="130"/>
      <c r="R74" s="130"/>
      <c r="S74" s="130"/>
      <c r="T74" s="135"/>
      <c r="U74" s="130"/>
      <c r="V74" s="96"/>
      <c r="W74" s="130"/>
      <c r="X74" s="130"/>
      <c r="Y74" s="96"/>
      <c r="Z74" s="96"/>
      <c r="AA74" s="130"/>
      <c r="AB74" s="130"/>
      <c r="AC74" s="97"/>
      <c r="AD74" s="130"/>
      <c r="AE74" s="99"/>
      <c r="AF74" s="100"/>
      <c r="AG74" s="100"/>
      <c r="AH74" s="100" t="str">
        <f aca="false">IF(ISBLANK($C74),"",IF($E74=Constants!$B$2,TRUE(),IF($E74=Constants!$B$3,FALSE(),TRUE())))</f>
        <v/>
      </c>
      <c r="AI74" s="100" t="str">
        <f aca="false">IF(ISBLANK($C74),"",IF($F74=Constants!$B$2,TRUE(),IF($F74=Constants!$B$3,FALSE(),FALSE())))</f>
        <v/>
      </c>
      <c r="AJ74" s="100" t="str">
        <f aca="false">IF(ISBLANK($C74),"",IF($G74=Constants!$B$2,TRUE(),IF($G74=Constants!$B$3,FALSE(),TRUE())))</f>
        <v/>
      </c>
      <c r="AK74" s="100" t="str">
        <f aca="false">IF(ISBLANK($C74),"",IF($H74=Constants!$B$2,TRUE(),IF($H74=Constants!$B$3,FALSE(),TRUE())))</f>
        <v/>
      </c>
      <c r="AL74" s="100" t="str">
        <f aca="false">IF(ISBLANK($C74),"",IF(ISNUMBER($I74),IF($I74&gt;=0,$I74,""),""))</f>
        <v/>
      </c>
      <c r="AM74" s="100" t="str">
        <f aca="false">IF(ISBLANK($C74),"",IF(ISNUMBER($J74),IF($J74&gt;=0,$J74,""),""))</f>
        <v/>
      </c>
      <c r="AN74" s="100" t="str">
        <f aca="false">IF(ISBLANK($C74),"",IF(ISNUMBER($K74),IF($K74&gt;=0,$K74,""),""))</f>
        <v/>
      </c>
      <c r="AO74" s="100" t="str">
        <f aca="false">IF(ISBLANK($C74),"",IF($L74=Constants!$B$2,TRUE(),IF($L74=Constants!$B$3,FALSE(),TRUE())))</f>
        <v/>
      </c>
      <c r="AP74" s="100" t="str">
        <f aca="false">IF(ISBLANK($C74),"",IF($M74=Constants!$B$2,TRUE(),IF($M74=Constants!$B$3,FALSE(),TRUE())))</f>
        <v/>
      </c>
      <c r="AQ74" s="100" t="str">
        <f aca="false">IF(ISBLANK($C74),"",IF($N74=Constants!$B$2,TRUE(),IF($N74=Constants!$B$3,FALSE(),FALSE())))</f>
        <v/>
      </c>
      <c r="AR74" s="100" t="str">
        <f aca="false">IF(ISBLANK($C74),"",IF($O74=Constants!$B$2,TRUE(),IF($O74=Constants!$B$3,FALSE(),TRUE())))</f>
        <v/>
      </c>
      <c r="AS74" s="100" t="str">
        <f aca="false">IF(ISBLANK($C74),"",IF($P74=Constants!$B$2,TRUE(),IF($P74=Constants!$B$3,FALSE(),FALSE())))</f>
        <v/>
      </c>
      <c r="AT74" s="100" t="str">
        <f aca="false">IF(ISBLANK($C74),"",IF($Q74=Constants!$B$2,TRUE(),IF($Q74=Constants!$B$3,FALSE(),FALSE())))</f>
        <v/>
      </c>
      <c r="AU74" s="100" t="str">
        <f aca="false">IF(ISBLANK($C74),"",IF($R74=Constants!$B$2,TRUE(),IF($R74=Constants!$B$3,FALSE(),FALSE())))</f>
        <v/>
      </c>
      <c r="AV74" s="100" t="str">
        <f aca="false">IF(ISBLANK($C74),"",IF($S74=Constants!$B$2,TRUE(),IF($S74=Constants!$B$3,FALSE(),FALSE())))</f>
        <v/>
      </c>
      <c r="AW74" s="100" t="str">
        <f aca="false">IF(ISBLANK($C74),"",IF($T74=Constants!$B$2,TRUE(),IF($T74=Constants!$B$3,FALSE(),FALSE())))</f>
        <v/>
      </c>
      <c r="AX74" s="100" t="str">
        <f aca="false">IF(ISBLANK($C74),"",IF(OR($U74&amp;""="1",$U74&amp;""="2",$U74&amp;""="3",$U74&amp;""="4"),VALUE($U74&amp;""),IF($U74=Constants!$B$12,Constants!$B$12,"")))</f>
        <v/>
      </c>
      <c r="AY74" s="100" t="str">
        <f aca="false">IF(ISBLANK($C74),"",IF(ISBLANK($V74),0,IF(ISNUMBER($V74),IF(AND($V74&gt;=0,$V74&lt;=Constants!$B$21,$V74=INT($V74)),$V74,""),"")))</f>
        <v/>
      </c>
      <c r="AZ74" s="100" t="str">
        <f aca="false">IF(ISBLANK($C74),"",IF(ISBLANK($W74),0,IF(ISNUMBER($W74),IF($W74&gt;=0,$W74,""),"")))</f>
        <v/>
      </c>
      <c r="BA74" s="100" t="str">
        <f aca="false">IF(ISBLANK($C74),"",IF($X74=Constants!$B$2,TRUE(),IF($X74=Constants!$B$3,FALSE(),TRUE())))</f>
        <v/>
      </c>
      <c r="BB74" s="100" t="str">
        <f aca="false">IF(ISBLANK($C74),"",IF($Y74=Constants!$B$2,TRUE(),IF($Y74=Constants!$B$3,FALSE(),FALSE())))</f>
        <v/>
      </c>
      <c r="BC74" s="100" t="str">
        <f aca="false">IF(ISBLANK($C74),"",IF(ISBLANK($Z74),0,IF(ISNUMBER($Z74),IF(AND($Z74&gt;=0,$Z74&lt;=Constants!$B$35,$Z74=INT($Z74)),$Z74,""),"")))</f>
        <v/>
      </c>
      <c r="BD74" s="100" t="str">
        <f aca="false">IF(ISBLANK($C74),"",IF($AA74=Constants!$B$2,TRUE(),IF($AA74=Constants!$B$3,FALSE(),TRUE())))</f>
        <v/>
      </c>
      <c r="BE74" s="100" t="str">
        <f aca="false">IF(ISBLANK($C74),"",IF($AB74=Constants!$B$2,TRUE(),IF($AB74=Constants!$B$3,FALSE(),TRUE())))</f>
        <v/>
      </c>
      <c r="BF74" s="100" t="str">
        <f aca="false">IF(ISBLANK($C74),"",IF(ISNUMBER($AC74),IF($AC74&gt;=0,$AC74,""),""))</f>
        <v/>
      </c>
      <c r="BG74" s="100" t="str">
        <f aca="false">IF(ISBLANK($C74),"",IF($AD74=Constants!$B$2,TRUE(),IF($AD74=Constants!$B$3,FALSE(),FALSE())))</f>
        <v/>
      </c>
      <c r="BH74" s="99" t="str">
        <f aca="false">IF(ISBLANK($C74),"",IF($BG74,Constants!$B$7,IF(COUNTA($E74:$AC74)=0,Constants!$B$6,IF(OR(COUNTA($G74:$AC74)=0,NOT($AK74),$AQ74),Constants!$B$5,IF(OR($CI74&lt;&gt;"",$CJ74,$CK74,$CL74,$CM74,$CN74,$CO74),Constants!$B$8,Constants!$B$4)))))</f>
        <v/>
      </c>
      <c r="BI74" s="100" t="str">
        <f aca="false">IF(ISBLANK($C74),"",IF($BH74&lt;&gt;Constants!$B$4,$BH74,IF(OR(NOT($AH74),NOT($AJ74),NOT($AR74)),Constants!$B$11,IF(OR(NOT($AP74),MAX($AL74,$AM74,$AN74)&gt;Constants!$B$30),Constants!$B$10,Constants!$B$9))))</f>
        <v/>
      </c>
      <c r="BJ74" s="100" t="str">
        <f aca="false">IF($BH74&lt;&gt;Constants!$B$4,"",IF(NOT($AJ74),0,MIN(Constants!$B$35,$BC74)))</f>
        <v/>
      </c>
      <c r="BK74" s="100" t="str">
        <f aca="false">IF($BH74&lt;&gt;Constants!$B$4,"",IF(NOT($AJ74),0,IF($AT74,Constants!$B$18,IF($AS74,Constants!$B$17,0))))</f>
        <v/>
      </c>
      <c r="BL74" s="100" t="str">
        <f aca="false">IF($BH74&lt;&gt;Constants!$B$4,"",IF(NOT($AJ74),0,Constants!$B$19*($AI74+$AU74+$AV74+$AW74)))</f>
        <v/>
      </c>
      <c r="BM74" s="100" t="str">
        <f aca="false">IF($BH74&lt;&gt;Constants!$B$4,"",IF(OR(NOT($AJ74),NOT(ISNUMBER($AX74))),0,CHOOSE($AX74,Constants!$B$13,Constants!$B$14,Constants!$B$15,Constants!$B$16)))</f>
        <v/>
      </c>
      <c r="BN74" s="100" t="str">
        <f aca="false">IF($BH74&lt;&gt;Constants!$B$4,"",IF(NOT($AJ74),0,Constants!$B$20*$AY74))</f>
        <v/>
      </c>
      <c r="BO74" s="100" t="str">
        <f aca="false">IF($BH74&lt;&gt;Constants!$B$4,"",IF(AND($AJ74,$BA74,$BB74),Constants!$B$22,0))</f>
        <v/>
      </c>
      <c r="BP74" s="100" t="str">
        <f aca="false">IF($BH74&lt;&gt;Constants!$B$4,"",IF(OR(NOT($AJ74),NOT($BA74)),0,IF($BF74&gt;=2*$AF$9,0,Constants!$B$23*INT(ROUND(MIN($BF74,$AF$9),6)))))</f>
        <v/>
      </c>
      <c r="BQ74" s="100" t="str">
        <f aca="false">IF($BH74&lt;&gt;Constants!$B$4,"",IF(NOT($AJ74),0,Constants!$B$24*INT(ROUND(MIN($AZ74,$AF$9),6))))</f>
        <v/>
      </c>
      <c r="BR74" s="100" t="str">
        <f aca="false">IF($BH74&lt;&gt;Constants!$B$4,"",IF(AND($AJ74,$BJ74=0),Constants!$B$25,0))</f>
        <v/>
      </c>
      <c r="BS74" s="100" t="str">
        <f aca="false">IF($BH74&lt;&gt;Constants!$B$4,"",MIN(Constants!$B$29,MAX(0,Constants!$B$27*Constants!$B$28*INT(ROUND((Constants!$B$26-$AL74)/Constants!$B$28,6))))+MIN(Constants!$B$29,MAX(0,Constants!$B$27*Constants!$B$28*INT(ROUND((Constants!$B$26-$AM74)/Constants!$B$28,6))))+MIN(Constants!$B$29,MAX(0,Constants!$B$27*Constants!$B$28*INT(ROUND((Constants!$B$26-$AN74)/Constants!$B$28,6)))))</f>
        <v/>
      </c>
      <c r="BT74" s="100" t="str">
        <f aca="false">IF($BH74&lt;&gt;Constants!$B$4,"",IF(NOT($AJ74),0,Constants!$B$31*INT(ROUND(MAX(0,MIN($BF74,2*$AF$9)-$AF$9),6))))</f>
        <v/>
      </c>
      <c r="BU74" s="100" t="str">
        <f aca="false">IF($BH74&lt;&gt;Constants!$B$4,"",Constants!$B$32*(($AL74&gt;Constants!$B$26)+($AM74&gt;Constants!$B$26)+($AN74&gt;Constants!$B$26)))</f>
        <v/>
      </c>
      <c r="BV74" s="100" t="str">
        <f aca="false">IF($BH74&lt;&gt;Constants!$B$4,"",IF(OR(NOT($AJ74),$AO74),0,Constants!$B$33))</f>
        <v/>
      </c>
      <c r="BW74" s="100" t="str">
        <f aca="false">IF($BH74&lt;&gt;Constants!$B$4,"",Constants!$B$34*$BJ74)</f>
        <v/>
      </c>
      <c r="BX74" s="100" t="str">
        <f aca="false">IF($BH74&lt;&gt;Constants!$B$4,"",IF(OR(NOT($AJ74),$BE74),0,Constants!$B$36))</f>
        <v/>
      </c>
      <c r="BY74" s="100" t="str">
        <f aca="false">IF($BH74&lt;&gt;Constants!$B$4,"",IF(OR(NOT($AJ74),$BD74),0,Constants!$B$37))</f>
        <v/>
      </c>
      <c r="BZ74" s="100" t="str">
        <f aca="false">IF($BH74&lt;&gt;Constants!$B$4,"",SUM($BT74:$BY74))</f>
        <v/>
      </c>
      <c r="CA74" s="100" t="str">
        <f aca="false">IF(ISBLANK($C74),"",IF($BH74&lt;&gt;Constants!$B$4,$BH74,SUM($BK74:$BS74)-$BZ74))</f>
        <v/>
      </c>
      <c r="CB74" s="100" t="str">
        <f aca="false">IF(ISBLANK($C74),"",IF($BH74&lt;&gt;Constants!$B$4,$BH74,RANK($CA74,$CA$9:$CA$508)))</f>
        <v/>
      </c>
      <c r="CC74" s="100" t="str">
        <f aca="false">IF(ISBLANK($C74),"",IF($BH74&lt;&gt;Constants!$B$4,$BH74,COUNTIFS($BI$9:$BI$508,"&lt;"&amp;$BI74)+COUNTIFS($BI$9:$BI$508,$BI74,$CB$9:$CB$508,"&lt;"&amp;$CB74)+1))</f>
        <v/>
      </c>
      <c r="CD74" s="100" t="str">
        <f aca="false">IF(ISBLANK($C74),"",IF($BH74&lt;&gt;Constants!$B$4,$BH74,RANK($BZ74,$BZ$9:$BZ$508,1)))</f>
        <v/>
      </c>
      <c r="CE74" s="100" t="str">
        <f aca="false">IF($BH74&lt;&gt;Constants!$B$4,"",$AL74+$AM74+$AN74)</f>
        <v/>
      </c>
      <c r="CF74" s="100" t="str">
        <f aca="false">IF(ISBLANK($C74),"",IF($BH74&lt;&gt;Constants!$B$4,$BH74,RANK($CE74,$CE$9:$CE$508,1)))</f>
        <v/>
      </c>
      <c r="CG74" s="100" t="str">
        <f aca="false">IF(ISBLANK($C74),"",IF($BH74&lt;&gt;Constants!$B$4,$BH74,COUNTIFS($BI$9:$BI$508,"&lt;"&amp;$BI74)+COUNTIFS($BI$9:$BI$508,$BI74,$CB$9:$CB$508,"&lt;"&amp;$CB74)+COUNTIFS($BI$9:$BI$508,$BI74,$CB$9:$CB$508,$CB74,$CD$9:$CD$508,"&lt;"&amp;$CD74)+COUNTIFS($BI$9:$BI$508,$BI74,$CB$9:$CB$508,$CB74,$CD$9:$CD$508,$CD74,$CF$9:$CF$508,"&lt;"&amp;$CF74)+1))</f>
        <v/>
      </c>
      <c r="CH74" s="100" t="str">
        <f aca="false">IF(ISBLANK($C74),"",IF($BH74&lt;&gt;Constants!$B$4,$BH74,$CC74-$CG74))</f>
        <v/>
      </c>
      <c r="CI74" s="100" t="str">
        <f aca="false">IF(ISBLANK($C74),"",IF(NOT($AJ74),"",IF(ISBLANK($D$7),$CI$5,IF(NOT(ISNUMBER($D$7)),$CI$6,""))))</f>
        <v/>
      </c>
      <c r="CJ74" s="100" t="str">
        <f aca="false">IF(ISBLANK($C74),"",OR($AL74="",$AM74="",$AN74=""))</f>
        <v/>
      </c>
      <c r="CK74" s="100" t="str">
        <f aca="false">IF(ISBLANK($C74),"",AND($AJ74,$AX74=""))</f>
        <v/>
      </c>
      <c r="CL74" s="100" t="str">
        <f aca="false">IF(ISBLANK($C74),"",AND($AJ74,$AY74=""))</f>
        <v/>
      </c>
      <c r="CM74" s="100" t="str">
        <f aca="false">IF(ISBLANK($C74),"",AND($AJ74,$AZ74=""))</f>
        <v/>
      </c>
      <c r="CN74" s="100" t="str">
        <f aca="false">IF(ISBLANK($C74),"",AND($AJ74,$BC74=""))</f>
        <v/>
      </c>
      <c r="CO74" s="100" t="str">
        <f aca="false">IF(ISBLANK($C74),"",AND($AJ74,$BF74=""))</f>
        <v/>
      </c>
      <c r="CP74" s="101"/>
      <c r="CQ74" s="102"/>
      <c r="CR74" s="103" t="str">
        <f aca="false">IF(ISBLANK($C74),"",IF($BH74=Constants!$B$8,$CI74,""))</f>
        <v/>
      </c>
      <c r="CS74" s="102" t="str">
        <f aca="false">IF(ISBLANK($C74),"",IF($BH74&lt;&gt;Constants!$B$4,"",$BK74+$BL74))</f>
        <v/>
      </c>
      <c r="CT74" s="104" t="str">
        <f aca="false">IF(ISBLANK($C74),"",IF($BH74&lt;&gt;Constants!$B$4,"",$BM74+$BN74+$BO74))</f>
        <v/>
      </c>
      <c r="CU74" s="104" t="str">
        <f aca="false">IF(ISBLANK($C74),"",IF($BH74&lt;&gt;Constants!$B$4,"",$BP74))</f>
        <v/>
      </c>
      <c r="CV74" s="104" t="str">
        <f aca="false">IF(ISBLANK($C74),"",IF($BH74&lt;&gt;Constants!$B$4,"",$BQ74+$BR74))</f>
        <v/>
      </c>
      <c r="CW74" s="104" t="str">
        <f aca="false">IF(ISBLANK($C74),"",IF($BH74&lt;&gt;Constants!$B$4,"",$BS74))</f>
        <v/>
      </c>
      <c r="CX74" s="104" t="str">
        <f aca="false">IF(ISBLANK($C74),"",IF($BH74&lt;&gt;Constants!$B$4,"",-$BZ74))</f>
        <v/>
      </c>
      <c r="CY74" s="103" t="str">
        <f aca="false">IF(ISBLANK($C74),"",$CA74)</f>
        <v/>
      </c>
      <c r="CZ74" s="105" t="str">
        <f aca="false">IF(ISBLANK($C74),"",$BI74)</f>
        <v/>
      </c>
      <c r="DA74" s="104" t="str">
        <f aca="false">IF(ISBLANK($C74),"",$CH74)</f>
        <v/>
      </c>
      <c r="DB74" s="104" t="str">
        <f aca="false">IF(ISBLANK($C74),"",$CG74)</f>
        <v/>
      </c>
      <c r="DC74" s="106" t="str">
        <f aca="false">IF(ISBLANK($C74),"",IFERROR(_xlfn.SWITCH($DB74,Constants!$B$7,COUNTA($C$9:$C$508)+2,Constants!$B$6,COUNTA($C$9:$C$508)+1,Constants!$B$5,COUNTA($C$9:$C$508)),$DB74))</f>
        <v/>
      </c>
      <c r="DD74" s="7"/>
      <c r="DE74" s="107" t="n">
        <f aca="false">IF(OR(ISNUMBER($DB74),$DB74=Constants!$B$7,$DB74=Constants!$B$5,$DB74=Constants!$B$6),1,0)</f>
        <v>0</v>
      </c>
      <c r="DF74" s="107" t="n">
        <v>66</v>
      </c>
      <c r="DG74" s="107" t="str">
        <f aca="false">IF(ISBLANK($C74),"",IF(ISNUMBER($DC74),$DC74+ROW($B74)/1000,""))</f>
        <v/>
      </c>
      <c r="DH74" s="107" t="str">
        <f aca="false">IF(ISNUMBER($DG74),RANK($DG74,$DG$9:$DG$508,1),"")</f>
        <v/>
      </c>
      <c r="DI74" s="107" t="str">
        <f aca="false">IF(ISBLANK($C74),"",$B74)</f>
        <v/>
      </c>
      <c r="DJ74" s="107" t="str">
        <f aca="false">IF(ISBLANK($C74),"",$C74)</f>
        <v/>
      </c>
      <c r="DK74" s="107" t="str">
        <f aca="false">IF(ISBLANK($C74),"",$D74)</f>
        <v/>
      </c>
      <c r="DL74" s="108" t="str">
        <f aca="false">$CZ74</f>
        <v/>
      </c>
      <c r="DM74" s="109" t="str">
        <f aca="false">$CY74</f>
        <v/>
      </c>
      <c r="DN74" s="107" t="str">
        <f aca="false">IF(ISBLANK($C74),"",$DB74)</f>
        <v/>
      </c>
      <c r="DO74" s="110" t="str">
        <f aca="false">IF($DF74&gt;$DE$8,"",VLOOKUP($DF74,$DH$9:$DN$508,7,FALSE()))</f>
        <v/>
      </c>
      <c r="DP74" s="111" t="str">
        <f aca="false">IF($DF74&gt;$DE$8,"",VLOOKUP($DF74,$DH$9:$DN$508,2,FALSE()))</f>
        <v/>
      </c>
      <c r="DQ74" s="111" t="str">
        <f aca="false">IF($DF74&gt;$DE$8,"",VLOOKUP($DF74,$DH$9:$DN$508,3,FALSE()))</f>
        <v/>
      </c>
      <c r="DR74" s="111" t="str">
        <f aca="false">IF($DF74&gt;$DE$8,"",VLOOKUP($DF74,$DH$9:$DN$508,4,FALSE()))</f>
        <v/>
      </c>
      <c r="DS74" s="111" t="str">
        <f aca="false">IF($DF74&gt;$DE$8,"",VLOOKUP($DF74,$DH$9:$DN$508,5,FALSE()))</f>
        <v/>
      </c>
      <c r="DT74" s="112" t="str">
        <f aca="false">IF($DF74&gt;$DE$8,"",VLOOKUP($DF74,$DH$9:$DN$508,6,FALSE()))</f>
        <v/>
      </c>
      <c r="DU74" s="62"/>
    </row>
    <row r="75" customFormat="false" ht="15.75" hidden="false" customHeight="false" outlineLevel="0" collapsed="false">
      <c r="A75" s="7"/>
      <c r="B75" s="64"/>
      <c r="C75" s="65"/>
      <c r="D75" s="66"/>
      <c r="E75" s="122"/>
      <c r="F75" s="66"/>
      <c r="G75" s="122"/>
      <c r="H75" s="66"/>
      <c r="I75" s="119"/>
      <c r="J75" s="119"/>
      <c r="K75" s="119"/>
      <c r="L75" s="122"/>
      <c r="M75" s="122"/>
      <c r="N75" s="122"/>
      <c r="O75" s="66"/>
      <c r="P75" s="122"/>
      <c r="Q75" s="122"/>
      <c r="R75" s="122"/>
      <c r="S75" s="122"/>
      <c r="T75" s="66"/>
      <c r="U75" s="122"/>
      <c r="V75" s="120"/>
      <c r="W75" s="122"/>
      <c r="X75" s="122"/>
      <c r="Y75" s="120"/>
      <c r="Z75" s="120"/>
      <c r="AA75" s="122"/>
      <c r="AB75" s="122"/>
      <c r="AC75" s="121"/>
      <c r="AD75" s="122"/>
      <c r="AE75" s="73"/>
      <c r="AF75" s="74"/>
      <c r="AG75" s="74"/>
      <c r="AH75" s="74" t="str">
        <f aca="false">IF(ISBLANK($C75),"",IF($E75=Constants!$B$2,TRUE(),IF($E75=Constants!$B$3,FALSE(),TRUE())))</f>
        <v/>
      </c>
      <c r="AI75" s="74" t="str">
        <f aca="false">IF(ISBLANK($C75),"",IF($F75=Constants!$B$2,TRUE(),IF($F75=Constants!$B$3,FALSE(),FALSE())))</f>
        <v/>
      </c>
      <c r="AJ75" s="74" t="str">
        <f aca="false">IF(ISBLANK($C75),"",IF($G75=Constants!$B$2,TRUE(),IF($G75=Constants!$B$3,FALSE(),TRUE())))</f>
        <v/>
      </c>
      <c r="AK75" s="74" t="str">
        <f aca="false">IF(ISBLANK($C75),"",IF($H75=Constants!$B$2,TRUE(),IF($H75=Constants!$B$3,FALSE(),TRUE())))</f>
        <v/>
      </c>
      <c r="AL75" s="74" t="str">
        <f aca="false">IF(ISBLANK($C75),"",IF(ISNUMBER($I75),IF($I75&gt;=0,$I75,""),""))</f>
        <v/>
      </c>
      <c r="AM75" s="74" t="str">
        <f aca="false">IF(ISBLANK($C75),"",IF(ISNUMBER($J75),IF($J75&gt;=0,$J75,""),""))</f>
        <v/>
      </c>
      <c r="AN75" s="74" t="str">
        <f aca="false">IF(ISBLANK($C75),"",IF(ISNUMBER($K75),IF($K75&gt;=0,$K75,""),""))</f>
        <v/>
      </c>
      <c r="AO75" s="74" t="str">
        <f aca="false">IF(ISBLANK($C75),"",IF($L75=Constants!$B$2,TRUE(),IF($L75=Constants!$B$3,FALSE(),TRUE())))</f>
        <v/>
      </c>
      <c r="AP75" s="74" t="str">
        <f aca="false">IF(ISBLANK($C75),"",IF($M75=Constants!$B$2,TRUE(),IF($M75=Constants!$B$3,FALSE(),TRUE())))</f>
        <v/>
      </c>
      <c r="AQ75" s="74" t="str">
        <f aca="false">IF(ISBLANK($C75),"",IF($N75=Constants!$B$2,TRUE(),IF($N75=Constants!$B$3,FALSE(),FALSE())))</f>
        <v/>
      </c>
      <c r="AR75" s="74" t="str">
        <f aca="false">IF(ISBLANK($C75),"",IF($O75=Constants!$B$2,TRUE(),IF($O75=Constants!$B$3,FALSE(),TRUE())))</f>
        <v/>
      </c>
      <c r="AS75" s="74" t="str">
        <f aca="false">IF(ISBLANK($C75),"",IF($P75=Constants!$B$2,TRUE(),IF($P75=Constants!$B$3,FALSE(),FALSE())))</f>
        <v/>
      </c>
      <c r="AT75" s="74" t="str">
        <f aca="false">IF(ISBLANK($C75),"",IF($Q75=Constants!$B$2,TRUE(),IF($Q75=Constants!$B$3,FALSE(),FALSE())))</f>
        <v/>
      </c>
      <c r="AU75" s="74" t="str">
        <f aca="false">IF(ISBLANK($C75),"",IF($R75=Constants!$B$2,TRUE(),IF($R75=Constants!$B$3,FALSE(),FALSE())))</f>
        <v/>
      </c>
      <c r="AV75" s="74" t="str">
        <f aca="false">IF(ISBLANK($C75),"",IF($S75=Constants!$B$2,TRUE(),IF($S75=Constants!$B$3,FALSE(),FALSE())))</f>
        <v/>
      </c>
      <c r="AW75" s="74" t="str">
        <f aca="false">IF(ISBLANK($C75),"",IF($T75=Constants!$B$2,TRUE(),IF($T75=Constants!$B$3,FALSE(),FALSE())))</f>
        <v/>
      </c>
      <c r="AX75" s="74" t="str">
        <f aca="false">IF(ISBLANK($C75),"",IF(OR($U75&amp;""="1",$U75&amp;""="2",$U75&amp;""="3",$U75&amp;""="4"),VALUE($U75&amp;""),IF($U75=Constants!$B$12,Constants!$B$12,"")))</f>
        <v/>
      </c>
      <c r="AY75" s="74" t="str">
        <f aca="false">IF(ISBLANK($C75),"",IF(ISBLANK($V75),0,IF(ISNUMBER($V75),IF(AND($V75&gt;=0,$V75&lt;=Constants!$B$21,$V75=INT($V75)),$V75,""),"")))</f>
        <v/>
      </c>
      <c r="AZ75" s="74" t="str">
        <f aca="false">IF(ISBLANK($C75),"",IF(ISBLANK($W75),0,IF(ISNUMBER($W75),IF($W75&gt;=0,$W75,""),"")))</f>
        <v/>
      </c>
      <c r="BA75" s="74" t="str">
        <f aca="false">IF(ISBLANK($C75),"",IF($X75=Constants!$B$2,TRUE(),IF($X75=Constants!$B$3,FALSE(),TRUE())))</f>
        <v/>
      </c>
      <c r="BB75" s="74" t="str">
        <f aca="false">IF(ISBLANK($C75),"",IF($Y75=Constants!$B$2,TRUE(),IF($Y75=Constants!$B$3,FALSE(),FALSE())))</f>
        <v/>
      </c>
      <c r="BC75" s="74" t="str">
        <f aca="false">IF(ISBLANK($C75),"",IF(ISBLANK($Z75),0,IF(ISNUMBER($Z75),IF(AND($Z75&gt;=0,$Z75&lt;=Constants!$B$35,$Z75=INT($Z75)),$Z75,""),"")))</f>
        <v/>
      </c>
      <c r="BD75" s="74" t="str">
        <f aca="false">IF(ISBLANK($C75),"",IF($AA75=Constants!$B$2,TRUE(),IF($AA75=Constants!$B$3,FALSE(),TRUE())))</f>
        <v/>
      </c>
      <c r="BE75" s="74" t="str">
        <f aca="false">IF(ISBLANK($C75),"",IF($AB75=Constants!$B$2,TRUE(),IF($AB75=Constants!$B$3,FALSE(),TRUE())))</f>
        <v/>
      </c>
      <c r="BF75" s="74" t="str">
        <f aca="false">IF(ISBLANK($C75),"",IF(ISNUMBER($AC75),IF($AC75&gt;=0,$AC75,""),""))</f>
        <v/>
      </c>
      <c r="BG75" s="74" t="str">
        <f aca="false">IF(ISBLANK($C75),"",IF($AD75=Constants!$B$2,TRUE(),IF($AD75=Constants!$B$3,FALSE(),FALSE())))</f>
        <v/>
      </c>
      <c r="BH75" s="73" t="str">
        <f aca="false">IF(ISBLANK($C75),"",IF($BG75,Constants!$B$7,IF(COUNTA($E75:$AC75)=0,Constants!$B$6,IF(OR(COUNTA($G75:$AC75)=0,NOT($AK75),$AQ75),Constants!$B$5,IF(OR($CI75&lt;&gt;"",$CJ75,$CK75,$CL75,$CM75,$CN75,$CO75),Constants!$B$8,Constants!$B$4)))))</f>
        <v/>
      </c>
      <c r="BI75" s="74" t="str">
        <f aca="false">IF(ISBLANK($C75),"",IF($BH75&lt;&gt;Constants!$B$4,$BH75,IF(OR(NOT($AH75),NOT($AJ75),NOT($AR75)),Constants!$B$11,IF(OR(NOT($AP75),MAX($AL75,$AM75,$AN75)&gt;Constants!$B$30),Constants!$B$10,Constants!$B$9))))</f>
        <v/>
      </c>
      <c r="BJ75" s="74" t="str">
        <f aca="false">IF($BH75&lt;&gt;Constants!$B$4,"",IF(NOT($AJ75),0,MIN(Constants!$B$35,$BC75)))</f>
        <v/>
      </c>
      <c r="BK75" s="74" t="str">
        <f aca="false">IF($BH75&lt;&gt;Constants!$B$4,"",IF(NOT($AJ75),0,IF($AT75,Constants!$B$18,IF($AS75,Constants!$B$17,0))))</f>
        <v/>
      </c>
      <c r="BL75" s="74" t="str">
        <f aca="false">IF($BH75&lt;&gt;Constants!$B$4,"",IF(NOT($AJ75),0,Constants!$B$19*($AI75+$AU75+$AV75+$AW75)))</f>
        <v/>
      </c>
      <c r="BM75" s="74" t="str">
        <f aca="false">IF($BH75&lt;&gt;Constants!$B$4,"",IF(OR(NOT($AJ75),NOT(ISNUMBER($AX75))),0,CHOOSE($AX75,Constants!$B$13,Constants!$B$14,Constants!$B$15,Constants!$B$16)))</f>
        <v/>
      </c>
      <c r="BN75" s="74" t="str">
        <f aca="false">IF($BH75&lt;&gt;Constants!$B$4,"",IF(NOT($AJ75),0,Constants!$B$20*$AY75))</f>
        <v/>
      </c>
      <c r="BO75" s="74" t="str">
        <f aca="false">IF($BH75&lt;&gt;Constants!$B$4,"",IF(AND($AJ75,$BA75,$BB75),Constants!$B$22,0))</f>
        <v/>
      </c>
      <c r="BP75" s="74" t="str">
        <f aca="false">IF($BH75&lt;&gt;Constants!$B$4,"",IF(OR(NOT($AJ75),NOT($BA75)),0,IF($BF75&gt;=2*$AF$9,0,Constants!$B$23*INT(ROUND(MIN($BF75,$AF$9),6)))))</f>
        <v/>
      </c>
      <c r="BQ75" s="74" t="str">
        <f aca="false">IF($BH75&lt;&gt;Constants!$B$4,"",IF(NOT($AJ75),0,Constants!$B$24*INT(ROUND(MIN($AZ75,$AF$9),6))))</f>
        <v/>
      </c>
      <c r="BR75" s="74" t="str">
        <f aca="false">IF($BH75&lt;&gt;Constants!$B$4,"",IF(AND($AJ75,$BJ75=0),Constants!$B$25,0))</f>
        <v/>
      </c>
      <c r="BS75" s="74" t="str">
        <f aca="false">IF($BH75&lt;&gt;Constants!$B$4,"",MIN(Constants!$B$29,MAX(0,Constants!$B$27*Constants!$B$28*INT(ROUND((Constants!$B$26-$AL75)/Constants!$B$28,6))))+MIN(Constants!$B$29,MAX(0,Constants!$B$27*Constants!$B$28*INT(ROUND((Constants!$B$26-$AM75)/Constants!$B$28,6))))+MIN(Constants!$B$29,MAX(0,Constants!$B$27*Constants!$B$28*INT(ROUND((Constants!$B$26-$AN75)/Constants!$B$28,6)))))</f>
        <v/>
      </c>
      <c r="BT75" s="74" t="str">
        <f aca="false">IF($BH75&lt;&gt;Constants!$B$4,"",IF(NOT($AJ75),0,Constants!$B$31*INT(ROUND(MAX(0,MIN($BF75,2*$AF$9)-$AF$9),6))))</f>
        <v/>
      </c>
      <c r="BU75" s="74" t="str">
        <f aca="false">IF($BH75&lt;&gt;Constants!$B$4,"",Constants!$B$32*(($AL75&gt;Constants!$B$26)+($AM75&gt;Constants!$B$26)+($AN75&gt;Constants!$B$26)))</f>
        <v/>
      </c>
      <c r="BV75" s="74" t="str">
        <f aca="false">IF($BH75&lt;&gt;Constants!$B$4,"",IF(OR(NOT($AJ75),$AO75),0,Constants!$B$33))</f>
        <v/>
      </c>
      <c r="BW75" s="74" t="str">
        <f aca="false">IF($BH75&lt;&gt;Constants!$B$4,"",Constants!$B$34*$BJ75)</f>
        <v/>
      </c>
      <c r="BX75" s="74" t="str">
        <f aca="false">IF($BH75&lt;&gt;Constants!$B$4,"",IF(OR(NOT($AJ75),$BE75),0,Constants!$B$36))</f>
        <v/>
      </c>
      <c r="BY75" s="74" t="str">
        <f aca="false">IF($BH75&lt;&gt;Constants!$B$4,"",IF(OR(NOT($AJ75),$BD75),0,Constants!$B$37))</f>
        <v/>
      </c>
      <c r="BZ75" s="74" t="str">
        <f aca="false">IF($BH75&lt;&gt;Constants!$B$4,"",SUM($BT75:$BY75))</f>
        <v/>
      </c>
      <c r="CA75" s="74" t="str">
        <f aca="false">IF(ISBLANK($C75),"",IF($BH75&lt;&gt;Constants!$B$4,$BH75,SUM($BK75:$BS75)-$BZ75))</f>
        <v/>
      </c>
      <c r="CB75" s="74" t="str">
        <f aca="false">IF(ISBLANK($C75),"",IF($BH75&lt;&gt;Constants!$B$4,$BH75,RANK($CA75,$CA$9:$CA$508)))</f>
        <v/>
      </c>
      <c r="CC75" s="74" t="str">
        <f aca="false">IF(ISBLANK($C75),"",IF($BH75&lt;&gt;Constants!$B$4,$BH75,COUNTIFS($BI$9:$BI$508,"&lt;"&amp;$BI75)+COUNTIFS($BI$9:$BI$508,$BI75,$CB$9:$CB$508,"&lt;"&amp;$CB75)+1))</f>
        <v/>
      </c>
      <c r="CD75" s="74" t="str">
        <f aca="false">IF(ISBLANK($C75),"",IF($BH75&lt;&gt;Constants!$B$4,$BH75,RANK($BZ75,$BZ$9:$BZ$508,1)))</f>
        <v/>
      </c>
      <c r="CE75" s="74" t="str">
        <f aca="false">IF($BH75&lt;&gt;Constants!$B$4,"",$AL75+$AM75+$AN75)</f>
        <v/>
      </c>
      <c r="CF75" s="74" t="str">
        <f aca="false">IF(ISBLANK($C75),"",IF($BH75&lt;&gt;Constants!$B$4,$BH75,RANK($CE75,$CE$9:$CE$508,1)))</f>
        <v/>
      </c>
      <c r="CG75" s="74" t="str">
        <f aca="false">IF(ISBLANK($C75),"",IF($BH75&lt;&gt;Constants!$B$4,$BH75,COUNTIFS($BI$9:$BI$508,"&lt;"&amp;$BI75)+COUNTIFS($BI$9:$BI$508,$BI75,$CB$9:$CB$508,"&lt;"&amp;$CB75)+COUNTIFS($BI$9:$BI$508,$BI75,$CB$9:$CB$508,$CB75,$CD$9:$CD$508,"&lt;"&amp;$CD75)+COUNTIFS($BI$9:$BI$508,$BI75,$CB$9:$CB$508,$CB75,$CD$9:$CD$508,$CD75,$CF$9:$CF$508,"&lt;"&amp;$CF75)+1))</f>
        <v/>
      </c>
      <c r="CH75" s="74" t="str">
        <f aca="false">IF(ISBLANK($C75),"",IF($BH75&lt;&gt;Constants!$B$4,$BH75,$CC75-$CG75))</f>
        <v/>
      </c>
      <c r="CI75" s="74" t="str">
        <f aca="false">IF(ISBLANK($C75),"",IF(NOT($AJ75),"",IF(ISBLANK($D$7),$CI$5,IF(NOT(ISNUMBER($D$7)),$CI$6,""))))</f>
        <v/>
      </c>
      <c r="CJ75" s="74" t="str">
        <f aca="false">IF(ISBLANK($C75),"",OR($AL75="",$AM75="",$AN75=""))</f>
        <v/>
      </c>
      <c r="CK75" s="74" t="str">
        <f aca="false">IF(ISBLANK($C75),"",AND($AJ75,$AX75=""))</f>
        <v/>
      </c>
      <c r="CL75" s="74" t="str">
        <f aca="false">IF(ISBLANK($C75),"",AND($AJ75,$AY75=""))</f>
        <v/>
      </c>
      <c r="CM75" s="74" t="str">
        <f aca="false">IF(ISBLANK($C75),"",AND($AJ75,$AZ75=""))</f>
        <v/>
      </c>
      <c r="CN75" s="74" t="str">
        <f aca="false">IF(ISBLANK($C75),"",AND($AJ75,$BC75=""))</f>
        <v/>
      </c>
      <c r="CO75" s="74" t="str">
        <f aca="false">IF(ISBLANK($C75),"",AND($AJ75,$BF75=""))</f>
        <v/>
      </c>
      <c r="CP75" s="75"/>
      <c r="CQ75" s="76"/>
      <c r="CR75" s="79" t="str">
        <f aca="false">IF(ISBLANK($C75),"",IF($BH75=Constants!$B$8,$CI75,""))</f>
        <v/>
      </c>
      <c r="CS75" s="76" t="str">
        <f aca="false">IF(ISBLANK($C75),"",IF($BH75&lt;&gt;Constants!$B$4,"",$BK75+$BL75))</f>
        <v/>
      </c>
      <c r="CT75" s="78" t="str">
        <f aca="false">IF(ISBLANK($C75),"",IF($BH75&lt;&gt;Constants!$B$4,"",$BM75+$BN75+$BO75))</f>
        <v/>
      </c>
      <c r="CU75" s="78" t="str">
        <f aca="false">IF(ISBLANK($C75),"",IF($BH75&lt;&gt;Constants!$B$4,"",$BP75))</f>
        <v/>
      </c>
      <c r="CV75" s="78" t="str">
        <f aca="false">IF(ISBLANK($C75),"",IF($BH75&lt;&gt;Constants!$B$4,"",$BQ75+$BR75))</f>
        <v/>
      </c>
      <c r="CW75" s="78" t="str">
        <f aca="false">IF(ISBLANK($C75),"",IF($BH75&lt;&gt;Constants!$B$4,"",$BS75))</f>
        <v/>
      </c>
      <c r="CX75" s="78" t="str">
        <f aca="false">IF(ISBLANK($C75),"",IF($BH75&lt;&gt;Constants!$B$4,"",-$BZ75))</f>
        <v/>
      </c>
      <c r="CY75" s="79" t="str">
        <f aca="false">IF(ISBLANK($C75),"",$CA75)</f>
        <v/>
      </c>
      <c r="CZ75" s="80" t="str">
        <f aca="false">IF(ISBLANK($C75),"",$BI75)</f>
        <v/>
      </c>
      <c r="DA75" s="78" t="str">
        <f aca="false">IF(ISBLANK($C75),"",$CH75)</f>
        <v/>
      </c>
      <c r="DB75" s="78" t="str">
        <f aca="false">IF(ISBLANK($C75),"",$CG75)</f>
        <v/>
      </c>
      <c r="DC75" s="81" t="str">
        <f aca="false">IF(ISBLANK($C75),"",IFERROR(_xlfn.SWITCH($DB75,Constants!$B$7,COUNTA($C$9:$C$508)+2,Constants!$B$6,COUNTA($C$9:$C$508)+1,Constants!$B$5,COUNTA($C$9:$C$508)),$DB75))</f>
        <v/>
      </c>
      <c r="DD75" s="7"/>
      <c r="DE75" s="82" t="n">
        <f aca="false">IF(OR(ISNUMBER($DB75),$DB75=Constants!$B$7,$DB75=Constants!$B$5,$DB75=Constants!$B$6),1,0)</f>
        <v>0</v>
      </c>
      <c r="DF75" s="82" t="n">
        <v>67</v>
      </c>
      <c r="DG75" s="82" t="str">
        <f aca="false">IF(ISBLANK($C75),"",IF(ISNUMBER($DC75),$DC75+ROW($B75)/1000,""))</f>
        <v/>
      </c>
      <c r="DH75" s="82" t="str">
        <f aca="false">IF(ISNUMBER($DG75),RANK($DG75,$DG$9:$DG$508,1),"")</f>
        <v/>
      </c>
      <c r="DI75" s="82" t="str">
        <f aca="false">IF(ISBLANK($C75),"",$B75)</f>
        <v/>
      </c>
      <c r="DJ75" s="82" t="str">
        <f aca="false">IF(ISBLANK($C75),"",$C75)</f>
        <v/>
      </c>
      <c r="DK75" s="82" t="str">
        <f aca="false">IF(ISBLANK($C75),"",$D75)</f>
        <v/>
      </c>
      <c r="DL75" s="83" t="str">
        <f aca="false">$CZ75</f>
        <v/>
      </c>
      <c r="DM75" s="84" t="str">
        <f aca="false">$CY75</f>
        <v/>
      </c>
      <c r="DN75" s="82" t="str">
        <f aca="false">IF(ISBLANK($C75),"",$DB75)</f>
        <v/>
      </c>
      <c r="DO75" s="85" t="str">
        <f aca="false">IF($DF75&gt;$DE$8,"",VLOOKUP($DF75,$DH$9:$DN$508,7,FALSE()))</f>
        <v/>
      </c>
      <c r="DP75" s="86" t="str">
        <f aca="false">IF($DF75&gt;$DE$8,"",VLOOKUP($DF75,$DH$9:$DN$508,2,FALSE()))</f>
        <v/>
      </c>
      <c r="DQ75" s="86" t="str">
        <f aca="false">IF($DF75&gt;$DE$8,"",VLOOKUP($DF75,$DH$9:$DN$508,3,FALSE()))</f>
        <v/>
      </c>
      <c r="DR75" s="86" t="str">
        <f aca="false">IF($DF75&gt;$DE$8,"",VLOOKUP($DF75,$DH$9:$DN$508,4,FALSE()))</f>
        <v/>
      </c>
      <c r="DS75" s="86" t="str">
        <f aca="false">IF($DF75&gt;$DE$8,"",VLOOKUP($DF75,$DH$9:$DN$508,5,FALSE()))</f>
        <v/>
      </c>
      <c r="DT75" s="87" t="str">
        <f aca="false">IF($DF75&gt;$DE$8,"",VLOOKUP($DF75,$DH$9:$DN$508,6,FALSE()))</f>
        <v/>
      </c>
      <c r="DU75" s="62"/>
    </row>
    <row r="76" customFormat="false" ht="15.75" hidden="false" customHeight="false" outlineLevel="0" collapsed="false">
      <c r="A76" s="7"/>
      <c r="B76" s="64"/>
      <c r="C76" s="65"/>
      <c r="D76" s="123"/>
      <c r="E76" s="88"/>
      <c r="F76" s="134"/>
      <c r="G76" s="88"/>
      <c r="H76" s="134"/>
      <c r="I76" s="69"/>
      <c r="J76" s="69"/>
      <c r="K76" s="69"/>
      <c r="L76" s="88"/>
      <c r="M76" s="88"/>
      <c r="N76" s="88"/>
      <c r="O76" s="134"/>
      <c r="P76" s="88"/>
      <c r="Q76" s="88"/>
      <c r="R76" s="88"/>
      <c r="S76" s="88"/>
      <c r="T76" s="134"/>
      <c r="U76" s="88"/>
      <c r="V76" s="70"/>
      <c r="W76" s="88"/>
      <c r="X76" s="88"/>
      <c r="Y76" s="70"/>
      <c r="Z76" s="70"/>
      <c r="AA76" s="88"/>
      <c r="AB76" s="88"/>
      <c r="AC76" s="71"/>
      <c r="AD76" s="88"/>
      <c r="AE76" s="73"/>
      <c r="AF76" s="74"/>
      <c r="AG76" s="74"/>
      <c r="AH76" s="74" t="str">
        <f aca="false">IF(ISBLANK($C76),"",IF($E76=Constants!$B$2,TRUE(),IF($E76=Constants!$B$3,FALSE(),TRUE())))</f>
        <v/>
      </c>
      <c r="AI76" s="74" t="str">
        <f aca="false">IF(ISBLANK($C76),"",IF($F76=Constants!$B$2,TRUE(),IF($F76=Constants!$B$3,FALSE(),FALSE())))</f>
        <v/>
      </c>
      <c r="AJ76" s="74" t="str">
        <f aca="false">IF(ISBLANK($C76),"",IF($G76=Constants!$B$2,TRUE(),IF($G76=Constants!$B$3,FALSE(),TRUE())))</f>
        <v/>
      </c>
      <c r="AK76" s="74" t="str">
        <f aca="false">IF(ISBLANK($C76),"",IF($H76=Constants!$B$2,TRUE(),IF($H76=Constants!$B$3,FALSE(),TRUE())))</f>
        <v/>
      </c>
      <c r="AL76" s="74" t="str">
        <f aca="false">IF(ISBLANK($C76),"",IF(ISNUMBER($I76),IF($I76&gt;=0,$I76,""),""))</f>
        <v/>
      </c>
      <c r="AM76" s="74" t="str">
        <f aca="false">IF(ISBLANK($C76),"",IF(ISNUMBER($J76),IF($J76&gt;=0,$J76,""),""))</f>
        <v/>
      </c>
      <c r="AN76" s="74" t="str">
        <f aca="false">IF(ISBLANK($C76),"",IF(ISNUMBER($K76),IF($K76&gt;=0,$K76,""),""))</f>
        <v/>
      </c>
      <c r="AO76" s="74" t="str">
        <f aca="false">IF(ISBLANK($C76),"",IF($L76=Constants!$B$2,TRUE(),IF($L76=Constants!$B$3,FALSE(),TRUE())))</f>
        <v/>
      </c>
      <c r="AP76" s="74" t="str">
        <f aca="false">IF(ISBLANK($C76),"",IF($M76=Constants!$B$2,TRUE(),IF($M76=Constants!$B$3,FALSE(),TRUE())))</f>
        <v/>
      </c>
      <c r="AQ76" s="74" t="str">
        <f aca="false">IF(ISBLANK($C76),"",IF($N76=Constants!$B$2,TRUE(),IF($N76=Constants!$B$3,FALSE(),FALSE())))</f>
        <v/>
      </c>
      <c r="AR76" s="74" t="str">
        <f aca="false">IF(ISBLANK($C76),"",IF($O76=Constants!$B$2,TRUE(),IF($O76=Constants!$B$3,FALSE(),TRUE())))</f>
        <v/>
      </c>
      <c r="AS76" s="74" t="str">
        <f aca="false">IF(ISBLANK($C76),"",IF($P76=Constants!$B$2,TRUE(),IF($P76=Constants!$B$3,FALSE(),FALSE())))</f>
        <v/>
      </c>
      <c r="AT76" s="74" t="str">
        <f aca="false">IF(ISBLANK($C76),"",IF($Q76=Constants!$B$2,TRUE(),IF($Q76=Constants!$B$3,FALSE(),FALSE())))</f>
        <v/>
      </c>
      <c r="AU76" s="74" t="str">
        <f aca="false">IF(ISBLANK($C76),"",IF($R76=Constants!$B$2,TRUE(),IF($R76=Constants!$B$3,FALSE(),FALSE())))</f>
        <v/>
      </c>
      <c r="AV76" s="74" t="str">
        <f aca="false">IF(ISBLANK($C76),"",IF($S76=Constants!$B$2,TRUE(),IF($S76=Constants!$B$3,FALSE(),FALSE())))</f>
        <v/>
      </c>
      <c r="AW76" s="74" t="str">
        <f aca="false">IF(ISBLANK($C76),"",IF($T76=Constants!$B$2,TRUE(),IF($T76=Constants!$B$3,FALSE(),FALSE())))</f>
        <v/>
      </c>
      <c r="AX76" s="74" t="str">
        <f aca="false">IF(ISBLANK($C76),"",IF(OR($U76&amp;""="1",$U76&amp;""="2",$U76&amp;""="3",$U76&amp;""="4"),VALUE($U76&amp;""),IF($U76=Constants!$B$12,Constants!$B$12,"")))</f>
        <v/>
      </c>
      <c r="AY76" s="74" t="str">
        <f aca="false">IF(ISBLANK($C76),"",IF(ISBLANK($V76),0,IF(ISNUMBER($V76),IF(AND($V76&gt;=0,$V76&lt;=Constants!$B$21,$V76=INT($V76)),$V76,""),"")))</f>
        <v/>
      </c>
      <c r="AZ76" s="74" t="str">
        <f aca="false">IF(ISBLANK($C76),"",IF(ISBLANK($W76),0,IF(ISNUMBER($W76),IF($W76&gt;=0,$W76,""),"")))</f>
        <v/>
      </c>
      <c r="BA76" s="74" t="str">
        <f aca="false">IF(ISBLANK($C76),"",IF($X76=Constants!$B$2,TRUE(),IF($X76=Constants!$B$3,FALSE(),TRUE())))</f>
        <v/>
      </c>
      <c r="BB76" s="74" t="str">
        <f aca="false">IF(ISBLANK($C76),"",IF($Y76=Constants!$B$2,TRUE(),IF($Y76=Constants!$B$3,FALSE(),FALSE())))</f>
        <v/>
      </c>
      <c r="BC76" s="74" t="str">
        <f aca="false">IF(ISBLANK($C76),"",IF(ISBLANK($Z76),0,IF(ISNUMBER($Z76),IF(AND($Z76&gt;=0,$Z76&lt;=Constants!$B$35,$Z76=INT($Z76)),$Z76,""),"")))</f>
        <v/>
      </c>
      <c r="BD76" s="74" t="str">
        <f aca="false">IF(ISBLANK($C76),"",IF($AA76=Constants!$B$2,TRUE(),IF($AA76=Constants!$B$3,FALSE(),TRUE())))</f>
        <v/>
      </c>
      <c r="BE76" s="74" t="str">
        <f aca="false">IF(ISBLANK($C76),"",IF($AB76=Constants!$B$2,TRUE(),IF($AB76=Constants!$B$3,FALSE(),TRUE())))</f>
        <v/>
      </c>
      <c r="BF76" s="74" t="str">
        <f aca="false">IF(ISBLANK($C76),"",IF(ISNUMBER($AC76),IF($AC76&gt;=0,$AC76,""),""))</f>
        <v/>
      </c>
      <c r="BG76" s="74" t="str">
        <f aca="false">IF(ISBLANK($C76),"",IF($AD76=Constants!$B$2,TRUE(),IF($AD76=Constants!$B$3,FALSE(),FALSE())))</f>
        <v/>
      </c>
      <c r="BH76" s="73" t="str">
        <f aca="false">IF(ISBLANK($C76),"",IF($BG76,Constants!$B$7,IF(COUNTA($E76:$AC76)=0,Constants!$B$6,IF(OR(COUNTA($G76:$AC76)=0,NOT($AK76),$AQ76),Constants!$B$5,IF(OR($CI76&lt;&gt;"",$CJ76,$CK76,$CL76,$CM76,$CN76,$CO76),Constants!$B$8,Constants!$B$4)))))</f>
        <v/>
      </c>
      <c r="BI76" s="74" t="str">
        <f aca="false">IF(ISBLANK($C76),"",IF($BH76&lt;&gt;Constants!$B$4,$BH76,IF(OR(NOT($AH76),NOT($AJ76),NOT($AR76)),Constants!$B$11,IF(OR(NOT($AP76),MAX($AL76,$AM76,$AN76)&gt;Constants!$B$30),Constants!$B$10,Constants!$B$9))))</f>
        <v/>
      </c>
      <c r="BJ76" s="74" t="str">
        <f aca="false">IF($BH76&lt;&gt;Constants!$B$4,"",IF(NOT($AJ76),0,MIN(Constants!$B$35,$BC76)))</f>
        <v/>
      </c>
      <c r="BK76" s="74" t="str">
        <f aca="false">IF($BH76&lt;&gt;Constants!$B$4,"",IF(NOT($AJ76),0,IF($AT76,Constants!$B$18,IF($AS76,Constants!$B$17,0))))</f>
        <v/>
      </c>
      <c r="BL76" s="74" t="str">
        <f aca="false">IF($BH76&lt;&gt;Constants!$B$4,"",IF(NOT($AJ76),0,Constants!$B$19*($AI76+$AU76+$AV76+$AW76)))</f>
        <v/>
      </c>
      <c r="BM76" s="74" t="str">
        <f aca="false">IF($BH76&lt;&gt;Constants!$B$4,"",IF(OR(NOT($AJ76),NOT(ISNUMBER($AX76))),0,CHOOSE($AX76,Constants!$B$13,Constants!$B$14,Constants!$B$15,Constants!$B$16)))</f>
        <v/>
      </c>
      <c r="BN76" s="74" t="str">
        <f aca="false">IF($BH76&lt;&gt;Constants!$B$4,"",IF(NOT($AJ76),0,Constants!$B$20*$AY76))</f>
        <v/>
      </c>
      <c r="BO76" s="74" t="str">
        <f aca="false">IF($BH76&lt;&gt;Constants!$B$4,"",IF(AND($AJ76,$BA76,$BB76),Constants!$B$22,0))</f>
        <v/>
      </c>
      <c r="BP76" s="74" t="str">
        <f aca="false">IF($BH76&lt;&gt;Constants!$B$4,"",IF(OR(NOT($AJ76),NOT($BA76)),0,IF($BF76&gt;=2*$AF$9,0,Constants!$B$23*INT(ROUND(MIN($BF76,$AF$9),6)))))</f>
        <v/>
      </c>
      <c r="BQ76" s="74" t="str">
        <f aca="false">IF($BH76&lt;&gt;Constants!$B$4,"",IF(NOT($AJ76),0,Constants!$B$24*INT(ROUND(MIN($AZ76,$AF$9),6))))</f>
        <v/>
      </c>
      <c r="BR76" s="74" t="str">
        <f aca="false">IF($BH76&lt;&gt;Constants!$B$4,"",IF(AND($AJ76,$BJ76=0),Constants!$B$25,0))</f>
        <v/>
      </c>
      <c r="BS76" s="74" t="str">
        <f aca="false">IF($BH76&lt;&gt;Constants!$B$4,"",MIN(Constants!$B$29,MAX(0,Constants!$B$27*Constants!$B$28*INT(ROUND((Constants!$B$26-$AL76)/Constants!$B$28,6))))+MIN(Constants!$B$29,MAX(0,Constants!$B$27*Constants!$B$28*INT(ROUND((Constants!$B$26-$AM76)/Constants!$B$28,6))))+MIN(Constants!$B$29,MAX(0,Constants!$B$27*Constants!$B$28*INT(ROUND((Constants!$B$26-$AN76)/Constants!$B$28,6)))))</f>
        <v/>
      </c>
      <c r="BT76" s="74" t="str">
        <f aca="false">IF($BH76&lt;&gt;Constants!$B$4,"",IF(NOT($AJ76),0,Constants!$B$31*INT(ROUND(MAX(0,MIN($BF76,2*$AF$9)-$AF$9),6))))</f>
        <v/>
      </c>
      <c r="BU76" s="74" t="str">
        <f aca="false">IF($BH76&lt;&gt;Constants!$B$4,"",Constants!$B$32*(($AL76&gt;Constants!$B$26)+($AM76&gt;Constants!$B$26)+($AN76&gt;Constants!$B$26)))</f>
        <v/>
      </c>
      <c r="BV76" s="74" t="str">
        <f aca="false">IF($BH76&lt;&gt;Constants!$B$4,"",IF(OR(NOT($AJ76),$AO76),0,Constants!$B$33))</f>
        <v/>
      </c>
      <c r="BW76" s="74" t="str">
        <f aca="false">IF($BH76&lt;&gt;Constants!$B$4,"",Constants!$B$34*$BJ76)</f>
        <v/>
      </c>
      <c r="BX76" s="74" t="str">
        <f aca="false">IF($BH76&lt;&gt;Constants!$B$4,"",IF(OR(NOT($AJ76),$BE76),0,Constants!$B$36))</f>
        <v/>
      </c>
      <c r="BY76" s="74" t="str">
        <f aca="false">IF($BH76&lt;&gt;Constants!$B$4,"",IF(OR(NOT($AJ76),$BD76),0,Constants!$B$37))</f>
        <v/>
      </c>
      <c r="BZ76" s="74" t="str">
        <f aca="false">IF($BH76&lt;&gt;Constants!$B$4,"",SUM($BT76:$BY76))</f>
        <v/>
      </c>
      <c r="CA76" s="74" t="str">
        <f aca="false">IF(ISBLANK($C76),"",IF($BH76&lt;&gt;Constants!$B$4,$BH76,SUM($BK76:$BS76)-$BZ76))</f>
        <v/>
      </c>
      <c r="CB76" s="74" t="str">
        <f aca="false">IF(ISBLANK($C76),"",IF($BH76&lt;&gt;Constants!$B$4,$BH76,RANK($CA76,$CA$9:$CA$508)))</f>
        <v/>
      </c>
      <c r="CC76" s="74" t="str">
        <f aca="false">IF(ISBLANK($C76),"",IF($BH76&lt;&gt;Constants!$B$4,$BH76,COUNTIFS($BI$9:$BI$508,"&lt;"&amp;$BI76)+COUNTIFS($BI$9:$BI$508,$BI76,$CB$9:$CB$508,"&lt;"&amp;$CB76)+1))</f>
        <v/>
      </c>
      <c r="CD76" s="74" t="str">
        <f aca="false">IF(ISBLANK($C76),"",IF($BH76&lt;&gt;Constants!$B$4,$BH76,RANK($BZ76,$BZ$9:$BZ$508,1)))</f>
        <v/>
      </c>
      <c r="CE76" s="74" t="str">
        <f aca="false">IF($BH76&lt;&gt;Constants!$B$4,"",$AL76+$AM76+$AN76)</f>
        <v/>
      </c>
      <c r="CF76" s="74" t="str">
        <f aca="false">IF(ISBLANK($C76),"",IF($BH76&lt;&gt;Constants!$B$4,$BH76,RANK($CE76,$CE$9:$CE$508,1)))</f>
        <v/>
      </c>
      <c r="CG76" s="74" t="str">
        <f aca="false">IF(ISBLANK($C76),"",IF($BH76&lt;&gt;Constants!$B$4,$BH76,COUNTIFS($BI$9:$BI$508,"&lt;"&amp;$BI76)+COUNTIFS($BI$9:$BI$508,$BI76,$CB$9:$CB$508,"&lt;"&amp;$CB76)+COUNTIFS($BI$9:$BI$508,$BI76,$CB$9:$CB$508,$CB76,$CD$9:$CD$508,"&lt;"&amp;$CD76)+COUNTIFS($BI$9:$BI$508,$BI76,$CB$9:$CB$508,$CB76,$CD$9:$CD$508,$CD76,$CF$9:$CF$508,"&lt;"&amp;$CF76)+1))</f>
        <v/>
      </c>
      <c r="CH76" s="74" t="str">
        <f aca="false">IF(ISBLANK($C76),"",IF($BH76&lt;&gt;Constants!$B$4,$BH76,$CC76-$CG76))</f>
        <v/>
      </c>
      <c r="CI76" s="74" t="str">
        <f aca="false">IF(ISBLANK($C76),"",IF(NOT($AJ76),"",IF(ISBLANK($D$7),$CI$5,IF(NOT(ISNUMBER($D$7)),$CI$6,""))))</f>
        <v/>
      </c>
      <c r="CJ76" s="74" t="str">
        <f aca="false">IF(ISBLANK($C76),"",OR($AL76="",$AM76="",$AN76=""))</f>
        <v/>
      </c>
      <c r="CK76" s="74" t="str">
        <f aca="false">IF(ISBLANK($C76),"",AND($AJ76,$AX76=""))</f>
        <v/>
      </c>
      <c r="CL76" s="74" t="str">
        <f aca="false">IF(ISBLANK($C76),"",AND($AJ76,$AY76=""))</f>
        <v/>
      </c>
      <c r="CM76" s="74" t="str">
        <f aca="false">IF(ISBLANK($C76),"",AND($AJ76,$AZ76=""))</f>
        <v/>
      </c>
      <c r="CN76" s="74" t="str">
        <f aca="false">IF(ISBLANK($C76),"",AND($AJ76,$BC76=""))</f>
        <v/>
      </c>
      <c r="CO76" s="74" t="str">
        <f aca="false">IF(ISBLANK($C76),"",AND($AJ76,$BF76=""))</f>
        <v/>
      </c>
      <c r="CP76" s="75"/>
      <c r="CQ76" s="76"/>
      <c r="CR76" s="79" t="str">
        <f aca="false">IF(ISBLANK($C76),"",IF($BH76=Constants!$B$8,$CI76,""))</f>
        <v/>
      </c>
      <c r="CS76" s="76" t="str">
        <f aca="false">IF(ISBLANK($C76),"",IF($BH76&lt;&gt;Constants!$B$4,"",$BK76+$BL76))</f>
        <v/>
      </c>
      <c r="CT76" s="78" t="str">
        <f aca="false">IF(ISBLANK($C76),"",IF($BH76&lt;&gt;Constants!$B$4,"",$BM76+$BN76+$BO76))</f>
        <v/>
      </c>
      <c r="CU76" s="78" t="str">
        <f aca="false">IF(ISBLANK($C76),"",IF($BH76&lt;&gt;Constants!$B$4,"",$BP76))</f>
        <v/>
      </c>
      <c r="CV76" s="78" t="str">
        <f aca="false">IF(ISBLANK($C76),"",IF($BH76&lt;&gt;Constants!$B$4,"",$BQ76+$BR76))</f>
        <v/>
      </c>
      <c r="CW76" s="78" t="str">
        <f aca="false">IF(ISBLANK($C76),"",IF($BH76&lt;&gt;Constants!$B$4,"",$BS76))</f>
        <v/>
      </c>
      <c r="CX76" s="78" t="str">
        <f aca="false">IF(ISBLANK($C76),"",IF($BH76&lt;&gt;Constants!$B$4,"",-$BZ76))</f>
        <v/>
      </c>
      <c r="CY76" s="79" t="str">
        <f aca="false">IF(ISBLANK($C76),"",$CA76)</f>
        <v/>
      </c>
      <c r="CZ76" s="80" t="str">
        <f aca="false">IF(ISBLANK($C76),"",$BI76)</f>
        <v/>
      </c>
      <c r="DA76" s="78" t="str">
        <f aca="false">IF(ISBLANK($C76),"",$CH76)</f>
        <v/>
      </c>
      <c r="DB76" s="78" t="str">
        <f aca="false">IF(ISBLANK($C76),"",$CG76)</f>
        <v/>
      </c>
      <c r="DC76" s="81" t="str">
        <f aca="false">IF(ISBLANK($C76),"",IFERROR(_xlfn.SWITCH($DB76,Constants!$B$7,COUNTA($C$9:$C$508)+2,Constants!$B$6,COUNTA($C$9:$C$508)+1,Constants!$B$5,COUNTA($C$9:$C$508)),$DB76))</f>
        <v/>
      </c>
      <c r="DD76" s="7"/>
      <c r="DE76" s="82" t="n">
        <f aca="false">IF(OR(ISNUMBER($DB76),$DB76=Constants!$B$7,$DB76=Constants!$B$5,$DB76=Constants!$B$6),1,0)</f>
        <v>0</v>
      </c>
      <c r="DF76" s="82" t="n">
        <v>68</v>
      </c>
      <c r="DG76" s="82" t="str">
        <f aca="false">IF(ISBLANK($C76),"",IF(ISNUMBER($DC76),$DC76+ROW($B76)/1000,""))</f>
        <v/>
      </c>
      <c r="DH76" s="82" t="str">
        <f aca="false">IF(ISNUMBER($DG76),RANK($DG76,$DG$9:$DG$508,1),"")</f>
        <v/>
      </c>
      <c r="DI76" s="82" t="str">
        <f aca="false">IF(ISBLANK($C76),"",$B76)</f>
        <v/>
      </c>
      <c r="DJ76" s="82" t="str">
        <f aca="false">IF(ISBLANK($C76),"",$C76)</f>
        <v/>
      </c>
      <c r="DK76" s="82" t="str">
        <f aca="false">IF(ISBLANK($C76),"",$D76)</f>
        <v/>
      </c>
      <c r="DL76" s="83" t="str">
        <f aca="false">$CZ76</f>
        <v/>
      </c>
      <c r="DM76" s="84" t="str">
        <f aca="false">$CY76</f>
        <v/>
      </c>
      <c r="DN76" s="82" t="str">
        <f aca="false">IF(ISBLANK($C76),"",$DB76)</f>
        <v/>
      </c>
      <c r="DO76" s="85" t="str">
        <f aca="false">IF($DF76&gt;$DE$8,"",VLOOKUP($DF76,$DH$9:$DN$508,7,FALSE()))</f>
        <v/>
      </c>
      <c r="DP76" s="86" t="str">
        <f aca="false">IF($DF76&gt;$DE$8,"",VLOOKUP($DF76,$DH$9:$DN$508,2,FALSE()))</f>
        <v/>
      </c>
      <c r="DQ76" s="86" t="str">
        <f aca="false">IF($DF76&gt;$DE$8,"",VLOOKUP($DF76,$DH$9:$DN$508,3,FALSE()))</f>
        <v/>
      </c>
      <c r="DR76" s="86" t="str">
        <f aca="false">IF($DF76&gt;$DE$8,"",VLOOKUP($DF76,$DH$9:$DN$508,4,FALSE()))</f>
        <v/>
      </c>
      <c r="DS76" s="86" t="str">
        <f aca="false">IF($DF76&gt;$DE$8,"",VLOOKUP($DF76,$DH$9:$DN$508,5,FALSE()))</f>
        <v/>
      </c>
      <c r="DT76" s="87" t="str">
        <f aca="false">IF($DF76&gt;$DE$8,"",VLOOKUP($DF76,$DH$9:$DN$508,6,FALSE()))</f>
        <v/>
      </c>
      <c r="DU76" s="62"/>
    </row>
    <row r="77" customFormat="false" ht="15.75" hidden="false" customHeight="false" outlineLevel="0" collapsed="false">
      <c r="A77" s="7"/>
      <c r="B77" s="64"/>
      <c r="C77" s="65"/>
      <c r="D77" s="123"/>
      <c r="E77" s="122"/>
      <c r="F77" s="66"/>
      <c r="G77" s="122"/>
      <c r="H77" s="66"/>
      <c r="I77" s="119"/>
      <c r="J77" s="119"/>
      <c r="K77" s="119"/>
      <c r="L77" s="122"/>
      <c r="M77" s="122"/>
      <c r="N77" s="122"/>
      <c r="O77" s="66"/>
      <c r="P77" s="122"/>
      <c r="Q77" s="122"/>
      <c r="R77" s="122"/>
      <c r="S77" s="122"/>
      <c r="T77" s="66"/>
      <c r="U77" s="122"/>
      <c r="V77" s="120"/>
      <c r="W77" s="122"/>
      <c r="X77" s="122"/>
      <c r="Y77" s="120"/>
      <c r="Z77" s="120"/>
      <c r="AA77" s="122"/>
      <c r="AB77" s="122"/>
      <c r="AC77" s="121"/>
      <c r="AD77" s="122"/>
      <c r="AE77" s="73"/>
      <c r="AF77" s="74"/>
      <c r="AG77" s="74"/>
      <c r="AH77" s="74" t="str">
        <f aca="false">IF(ISBLANK($C77),"",IF($E77=Constants!$B$2,TRUE(),IF($E77=Constants!$B$3,FALSE(),TRUE())))</f>
        <v/>
      </c>
      <c r="AI77" s="74" t="str">
        <f aca="false">IF(ISBLANK($C77),"",IF($F77=Constants!$B$2,TRUE(),IF($F77=Constants!$B$3,FALSE(),FALSE())))</f>
        <v/>
      </c>
      <c r="AJ77" s="74" t="str">
        <f aca="false">IF(ISBLANK($C77),"",IF($G77=Constants!$B$2,TRUE(),IF($G77=Constants!$B$3,FALSE(),TRUE())))</f>
        <v/>
      </c>
      <c r="AK77" s="74" t="str">
        <f aca="false">IF(ISBLANK($C77),"",IF($H77=Constants!$B$2,TRUE(),IF($H77=Constants!$B$3,FALSE(),TRUE())))</f>
        <v/>
      </c>
      <c r="AL77" s="74" t="str">
        <f aca="false">IF(ISBLANK($C77),"",IF(ISNUMBER($I77),IF($I77&gt;=0,$I77,""),""))</f>
        <v/>
      </c>
      <c r="AM77" s="74" t="str">
        <f aca="false">IF(ISBLANK($C77),"",IF(ISNUMBER($J77),IF($J77&gt;=0,$J77,""),""))</f>
        <v/>
      </c>
      <c r="AN77" s="74" t="str">
        <f aca="false">IF(ISBLANK($C77),"",IF(ISNUMBER($K77),IF($K77&gt;=0,$K77,""),""))</f>
        <v/>
      </c>
      <c r="AO77" s="74" t="str">
        <f aca="false">IF(ISBLANK($C77),"",IF($L77=Constants!$B$2,TRUE(),IF($L77=Constants!$B$3,FALSE(),TRUE())))</f>
        <v/>
      </c>
      <c r="AP77" s="74" t="str">
        <f aca="false">IF(ISBLANK($C77),"",IF($M77=Constants!$B$2,TRUE(),IF($M77=Constants!$B$3,FALSE(),TRUE())))</f>
        <v/>
      </c>
      <c r="AQ77" s="74" t="str">
        <f aca="false">IF(ISBLANK($C77),"",IF($N77=Constants!$B$2,TRUE(),IF($N77=Constants!$B$3,FALSE(),FALSE())))</f>
        <v/>
      </c>
      <c r="AR77" s="74" t="str">
        <f aca="false">IF(ISBLANK($C77),"",IF($O77=Constants!$B$2,TRUE(),IF($O77=Constants!$B$3,FALSE(),TRUE())))</f>
        <v/>
      </c>
      <c r="AS77" s="74" t="str">
        <f aca="false">IF(ISBLANK($C77),"",IF($P77=Constants!$B$2,TRUE(),IF($P77=Constants!$B$3,FALSE(),FALSE())))</f>
        <v/>
      </c>
      <c r="AT77" s="74" t="str">
        <f aca="false">IF(ISBLANK($C77),"",IF($Q77=Constants!$B$2,TRUE(),IF($Q77=Constants!$B$3,FALSE(),FALSE())))</f>
        <v/>
      </c>
      <c r="AU77" s="74" t="str">
        <f aca="false">IF(ISBLANK($C77),"",IF($R77=Constants!$B$2,TRUE(),IF($R77=Constants!$B$3,FALSE(),FALSE())))</f>
        <v/>
      </c>
      <c r="AV77" s="74" t="str">
        <f aca="false">IF(ISBLANK($C77),"",IF($S77=Constants!$B$2,TRUE(),IF($S77=Constants!$B$3,FALSE(),FALSE())))</f>
        <v/>
      </c>
      <c r="AW77" s="74" t="str">
        <f aca="false">IF(ISBLANK($C77),"",IF($T77=Constants!$B$2,TRUE(),IF($T77=Constants!$B$3,FALSE(),FALSE())))</f>
        <v/>
      </c>
      <c r="AX77" s="74" t="str">
        <f aca="false">IF(ISBLANK($C77),"",IF(OR($U77&amp;""="1",$U77&amp;""="2",$U77&amp;""="3",$U77&amp;""="4"),VALUE($U77&amp;""),IF($U77=Constants!$B$12,Constants!$B$12,"")))</f>
        <v/>
      </c>
      <c r="AY77" s="74" t="str">
        <f aca="false">IF(ISBLANK($C77),"",IF(ISBLANK($V77),0,IF(ISNUMBER($V77),IF(AND($V77&gt;=0,$V77&lt;=Constants!$B$21,$V77=INT($V77)),$V77,""),"")))</f>
        <v/>
      </c>
      <c r="AZ77" s="74" t="str">
        <f aca="false">IF(ISBLANK($C77),"",IF(ISBLANK($W77),0,IF(ISNUMBER($W77),IF($W77&gt;=0,$W77,""),"")))</f>
        <v/>
      </c>
      <c r="BA77" s="74" t="str">
        <f aca="false">IF(ISBLANK($C77),"",IF($X77=Constants!$B$2,TRUE(),IF($X77=Constants!$B$3,FALSE(),TRUE())))</f>
        <v/>
      </c>
      <c r="BB77" s="74" t="str">
        <f aca="false">IF(ISBLANK($C77),"",IF($Y77=Constants!$B$2,TRUE(),IF($Y77=Constants!$B$3,FALSE(),FALSE())))</f>
        <v/>
      </c>
      <c r="BC77" s="74" t="str">
        <f aca="false">IF(ISBLANK($C77),"",IF(ISBLANK($Z77),0,IF(ISNUMBER($Z77),IF(AND($Z77&gt;=0,$Z77&lt;=Constants!$B$35,$Z77=INT($Z77)),$Z77,""),"")))</f>
        <v/>
      </c>
      <c r="BD77" s="74" t="str">
        <f aca="false">IF(ISBLANK($C77),"",IF($AA77=Constants!$B$2,TRUE(),IF($AA77=Constants!$B$3,FALSE(),TRUE())))</f>
        <v/>
      </c>
      <c r="BE77" s="74" t="str">
        <f aca="false">IF(ISBLANK($C77),"",IF($AB77=Constants!$B$2,TRUE(),IF($AB77=Constants!$B$3,FALSE(),TRUE())))</f>
        <v/>
      </c>
      <c r="BF77" s="74" t="str">
        <f aca="false">IF(ISBLANK($C77),"",IF(ISNUMBER($AC77),IF($AC77&gt;=0,$AC77,""),""))</f>
        <v/>
      </c>
      <c r="BG77" s="74" t="str">
        <f aca="false">IF(ISBLANK($C77),"",IF($AD77=Constants!$B$2,TRUE(),IF($AD77=Constants!$B$3,FALSE(),FALSE())))</f>
        <v/>
      </c>
      <c r="BH77" s="73" t="str">
        <f aca="false">IF(ISBLANK($C77),"",IF($BG77,Constants!$B$7,IF(COUNTA($E77:$AC77)=0,Constants!$B$6,IF(OR(COUNTA($G77:$AC77)=0,NOT($AK77),$AQ77),Constants!$B$5,IF(OR($CI77&lt;&gt;"",$CJ77,$CK77,$CL77,$CM77,$CN77,$CO77),Constants!$B$8,Constants!$B$4)))))</f>
        <v/>
      </c>
      <c r="BI77" s="74" t="str">
        <f aca="false">IF(ISBLANK($C77),"",IF($BH77&lt;&gt;Constants!$B$4,$BH77,IF(OR(NOT($AH77),NOT($AJ77),NOT($AR77)),Constants!$B$11,IF(OR(NOT($AP77),MAX($AL77,$AM77,$AN77)&gt;Constants!$B$30),Constants!$B$10,Constants!$B$9))))</f>
        <v/>
      </c>
      <c r="BJ77" s="74" t="str">
        <f aca="false">IF($BH77&lt;&gt;Constants!$B$4,"",IF(NOT($AJ77),0,MIN(Constants!$B$35,$BC77)))</f>
        <v/>
      </c>
      <c r="BK77" s="74" t="str">
        <f aca="false">IF($BH77&lt;&gt;Constants!$B$4,"",IF(NOT($AJ77),0,IF($AT77,Constants!$B$18,IF($AS77,Constants!$B$17,0))))</f>
        <v/>
      </c>
      <c r="BL77" s="74" t="str">
        <f aca="false">IF($BH77&lt;&gt;Constants!$B$4,"",IF(NOT($AJ77),0,Constants!$B$19*($AI77+$AU77+$AV77+$AW77)))</f>
        <v/>
      </c>
      <c r="BM77" s="74" t="str">
        <f aca="false">IF($BH77&lt;&gt;Constants!$B$4,"",IF(OR(NOT($AJ77),NOT(ISNUMBER($AX77))),0,CHOOSE($AX77,Constants!$B$13,Constants!$B$14,Constants!$B$15,Constants!$B$16)))</f>
        <v/>
      </c>
      <c r="BN77" s="74" t="str">
        <f aca="false">IF($BH77&lt;&gt;Constants!$B$4,"",IF(NOT($AJ77),0,Constants!$B$20*$AY77))</f>
        <v/>
      </c>
      <c r="BO77" s="74" t="str">
        <f aca="false">IF($BH77&lt;&gt;Constants!$B$4,"",IF(AND($AJ77,$BA77,$BB77),Constants!$B$22,0))</f>
        <v/>
      </c>
      <c r="BP77" s="74" t="str">
        <f aca="false">IF($BH77&lt;&gt;Constants!$B$4,"",IF(OR(NOT($AJ77),NOT($BA77)),0,IF($BF77&gt;=2*$AF$9,0,Constants!$B$23*INT(ROUND(MIN($BF77,$AF$9),6)))))</f>
        <v/>
      </c>
      <c r="BQ77" s="74" t="str">
        <f aca="false">IF($BH77&lt;&gt;Constants!$B$4,"",IF(NOT($AJ77),0,Constants!$B$24*INT(ROUND(MIN($AZ77,$AF$9),6))))</f>
        <v/>
      </c>
      <c r="BR77" s="74" t="str">
        <f aca="false">IF($BH77&lt;&gt;Constants!$B$4,"",IF(AND($AJ77,$BJ77=0),Constants!$B$25,0))</f>
        <v/>
      </c>
      <c r="BS77" s="74" t="str">
        <f aca="false">IF($BH77&lt;&gt;Constants!$B$4,"",MIN(Constants!$B$29,MAX(0,Constants!$B$27*Constants!$B$28*INT(ROUND((Constants!$B$26-$AL77)/Constants!$B$28,6))))+MIN(Constants!$B$29,MAX(0,Constants!$B$27*Constants!$B$28*INT(ROUND((Constants!$B$26-$AM77)/Constants!$B$28,6))))+MIN(Constants!$B$29,MAX(0,Constants!$B$27*Constants!$B$28*INT(ROUND((Constants!$B$26-$AN77)/Constants!$B$28,6)))))</f>
        <v/>
      </c>
      <c r="BT77" s="74" t="str">
        <f aca="false">IF($BH77&lt;&gt;Constants!$B$4,"",IF(NOT($AJ77),0,Constants!$B$31*INT(ROUND(MAX(0,MIN($BF77,2*$AF$9)-$AF$9),6))))</f>
        <v/>
      </c>
      <c r="BU77" s="74" t="str">
        <f aca="false">IF($BH77&lt;&gt;Constants!$B$4,"",Constants!$B$32*(($AL77&gt;Constants!$B$26)+($AM77&gt;Constants!$B$26)+($AN77&gt;Constants!$B$26)))</f>
        <v/>
      </c>
      <c r="BV77" s="74" t="str">
        <f aca="false">IF($BH77&lt;&gt;Constants!$B$4,"",IF(OR(NOT($AJ77),$AO77),0,Constants!$B$33))</f>
        <v/>
      </c>
      <c r="BW77" s="74" t="str">
        <f aca="false">IF($BH77&lt;&gt;Constants!$B$4,"",Constants!$B$34*$BJ77)</f>
        <v/>
      </c>
      <c r="BX77" s="74" t="str">
        <f aca="false">IF($BH77&lt;&gt;Constants!$B$4,"",IF(OR(NOT($AJ77),$BE77),0,Constants!$B$36))</f>
        <v/>
      </c>
      <c r="BY77" s="74" t="str">
        <f aca="false">IF($BH77&lt;&gt;Constants!$B$4,"",IF(OR(NOT($AJ77),$BD77),0,Constants!$B$37))</f>
        <v/>
      </c>
      <c r="BZ77" s="74" t="str">
        <f aca="false">IF($BH77&lt;&gt;Constants!$B$4,"",SUM($BT77:$BY77))</f>
        <v/>
      </c>
      <c r="CA77" s="74" t="str">
        <f aca="false">IF(ISBLANK($C77),"",IF($BH77&lt;&gt;Constants!$B$4,$BH77,SUM($BK77:$BS77)-$BZ77))</f>
        <v/>
      </c>
      <c r="CB77" s="74" t="str">
        <f aca="false">IF(ISBLANK($C77),"",IF($BH77&lt;&gt;Constants!$B$4,$BH77,RANK($CA77,$CA$9:$CA$508)))</f>
        <v/>
      </c>
      <c r="CC77" s="74" t="str">
        <f aca="false">IF(ISBLANK($C77),"",IF($BH77&lt;&gt;Constants!$B$4,$BH77,COUNTIFS($BI$9:$BI$508,"&lt;"&amp;$BI77)+COUNTIFS($BI$9:$BI$508,$BI77,$CB$9:$CB$508,"&lt;"&amp;$CB77)+1))</f>
        <v/>
      </c>
      <c r="CD77" s="74" t="str">
        <f aca="false">IF(ISBLANK($C77),"",IF($BH77&lt;&gt;Constants!$B$4,$BH77,RANK($BZ77,$BZ$9:$BZ$508,1)))</f>
        <v/>
      </c>
      <c r="CE77" s="74" t="str">
        <f aca="false">IF($BH77&lt;&gt;Constants!$B$4,"",$AL77+$AM77+$AN77)</f>
        <v/>
      </c>
      <c r="CF77" s="74" t="str">
        <f aca="false">IF(ISBLANK($C77),"",IF($BH77&lt;&gt;Constants!$B$4,$BH77,RANK($CE77,$CE$9:$CE$508,1)))</f>
        <v/>
      </c>
      <c r="CG77" s="74" t="str">
        <f aca="false">IF(ISBLANK($C77),"",IF($BH77&lt;&gt;Constants!$B$4,$BH77,COUNTIFS($BI$9:$BI$508,"&lt;"&amp;$BI77)+COUNTIFS($BI$9:$BI$508,$BI77,$CB$9:$CB$508,"&lt;"&amp;$CB77)+COUNTIFS($BI$9:$BI$508,$BI77,$CB$9:$CB$508,$CB77,$CD$9:$CD$508,"&lt;"&amp;$CD77)+COUNTIFS($BI$9:$BI$508,$BI77,$CB$9:$CB$508,$CB77,$CD$9:$CD$508,$CD77,$CF$9:$CF$508,"&lt;"&amp;$CF77)+1))</f>
        <v/>
      </c>
      <c r="CH77" s="74" t="str">
        <f aca="false">IF(ISBLANK($C77),"",IF($BH77&lt;&gt;Constants!$B$4,$BH77,$CC77-$CG77))</f>
        <v/>
      </c>
      <c r="CI77" s="74" t="str">
        <f aca="false">IF(ISBLANK($C77),"",IF(NOT($AJ77),"",IF(ISBLANK($D$7),$CI$5,IF(NOT(ISNUMBER($D$7)),$CI$6,""))))</f>
        <v/>
      </c>
      <c r="CJ77" s="74" t="str">
        <f aca="false">IF(ISBLANK($C77),"",OR($AL77="",$AM77="",$AN77=""))</f>
        <v/>
      </c>
      <c r="CK77" s="74" t="str">
        <f aca="false">IF(ISBLANK($C77),"",AND($AJ77,$AX77=""))</f>
        <v/>
      </c>
      <c r="CL77" s="74" t="str">
        <f aca="false">IF(ISBLANK($C77),"",AND($AJ77,$AY77=""))</f>
        <v/>
      </c>
      <c r="CM77" s="74" t="str">
        <f aca="false">IF(ISBLANK($C77),"",AND($AJ77,$AZ77=""))</f>
        <v/>
      </c>
      <c r="CN77" s="74" t="str">
        <f aca="false">IF(ISBLANK($C77),"",AND($AJ77,$BC77=""))</f>
        <v/>
      </c>
      <c r="CO77" s="74" t="str">
        <f aca="false">IF(ISBLANK($C77),"",AND($AJ77,$BF77=""))</f>
        <v/>
      </c>
      <c r="CP77" s="75"/>
      <c r="CQ77" s="76"/>
      <c r="CR77" s="79" t="str">
        <f aca="false">IF(ISBLANK($C77),"",IF($BH77=Constants!$B$8,$CI77,""))</f>
        <v/>
      </c>
      <c r="CS77" s="76" t="str">
        <f aca="false">IF(ISBLANK($C77),"",IF($BH77&lt;&gt;Constants!$B$4,"",$BK77+$BL77))</f>
        <v/>
      </c>
      <c r="CT77" s="78" t="str">
        <f aca="false">IF(ISBLANK($C77),"",IF($BH77&lt;&gt;Constants!$B$4,"",$BM77+$BN77+$BO77))</f>
        <v/>
      </c>
      <c r="CU77" s="78" t="str">
        <f aca="false">IF(ISBLANK($C77),"",IF($BH77&lt;&gt;Constants!$B$4,"",$BP77))</f>
        <v/>
      </c>
      <c r="CV77" s="78" t="str">
        <f aca="false">IF(ISBLANK($C77),"",IF($BH77&lt;&gt;Constants!$B$4,"",$BQ77+$BR77))</f>
        <v/>
      </c>
      <c r="CW77" s="78" t="str">
        <f aca="false">IF(ISBLANK($C77),"",IF($BH77&lt;&gt;Constants!$B$4,"",$BS77))</f>
        <v/>
      </c>
      <c r="CX77" s="78" t="str">
        <f aca="false">IF(ISBLANK($C77),"",IF($BH77&lt;&gt;Constants!$B$4,"",-$BZ77))</f>
        <v/>
      </c>
      <c r="CY77" s="79" t="str">
        <f aca="false">IF(ISBLANK($C77),"",$CA77)</f>
        <v/>
      </c>
      <c r="CZ77" s="80" t="str">
        <f aca="false">IF(ISBLANK($C77),"",$BI77)</f>
        <v/>
      </c>
      <c r="DA77" s="78" t="str">
        <f aca="false">IF(ISBLANK($C77),"",$CH77)</f>
        <v/>
      </c>
      <c r="DB77" s="78" t="str">
        <f aca="false">IF(ISBLANK($C77),"",$CG77)</f>
        <v/>
      </c>
      <c r="DC77" s="81" t="str">
        <f aca="false">IF(ISBLANK($C77),"",IFERROR(_xlfn.SWITCH($DB77,Constants!$B$7,COUNTA($C$9:$C$508)+2,Constants!$B$6,COUNTA($C$9:$C$508)+1,Constants!$B$5,COUNTA($C$9:$C$508)),$DB77))</f>
        <v/>
      </c>
      <c r="DD77" s="7"/>
      <c r="DE77" s="82" t="n">
        <f aca="false">IF(OR(ISNUMBER($DB77),$DB77=Constants!$B$7,$DB77=Constants!$B$5,$DB77=Constants!$B$6),1,0)</f>
        <v>0</v>
      </c>
      <c r="DF77" s="82" t="n">
        <v>69</v>
      </c>
      <c r="DG77" s="82" t="str">
        <f aca="false">IF(ISBLANK($C77),"",IF(ISNUMBER($DC77),$DC77+ROW($B77)/1000,""))</f>
        <v/>
      </c>
      <c r="DH77" s="82" t="str">
        <f aca="false">IF(ISNUMBER($DG77),RANK($DG77,$DG$9:$DG$508,1),"")</f>
        <v/>
      </c>
      <c r="DI77" s="82" t="str">
        <f aca="false">IF(ISBLANK($C77),"",$B77)</f>
        <v/>
      </c>
      <c r="DJ77" s="82" t="str">
        <f aca="false">IF(ISBLANK($C77),"",$C77)</f>
        <v/>
      </c>
      <c r="DK77" s="82" t="str">
        <f aca="false">IF(ISBLANK($C77),"",$D77)</f>
        <v/>
      </c>
      <c r="DL77" s="83" t="str">
        <f aca="false">$CZ77</f>
        <v/>
      </c>
      <c r="DM77" s="84" t="str">
        <f aca="false">$CY77</f>
        <v/>
      </c>
      <c r="DN77" s="82" t="str">
        <f aca="false">IF(ISBLANK($C77),"",$DB77)</f>
        <v/>
      </c>
      <c r="DO77" s="85" t="str">
        <f aca="false">IF($DF77&gt;$DE$8,"",VLOOKUP($DF77,$DH$9:$DN$508,7,FALSE()))</f>
        <v/>
      </c>
      <c r="DP77" s="86" t="str">
        <f aca="false">IF($DF77&gt;$DE$8,"",VLOOKUP($DF77,$DH$9:$DN$508,2,FALSE()))</f>
        <v/>
      </c>
      <c r="DQ77" s="86" t="str">
        <f aca="false">IF($DF77&gt;$DE$8,"",VLOOKUP($DF77,$DH$9:$DN$508,3,FALSE()))</f>
        <v/>
      </c>
      <c r="DR77" s="86" t="str">
        <f aca="false">IF($DF77&gt;$DE$8,"",VLOOKUP($DF77,$DH$9:$DN$508,4,FALSE()))</f>
        <v/>
      </c>
      <c r="DS77" s="86" t="str">
        <f aca="false">IF($DF77&gt;$DE$8,"",VLOOKUP($DF77,$DH$9:$DN$508,5,FALSE()))</f>
        <v/>
      </c>
      <c r="DT77" s="87" t="str">
        <f aca="false">IF($DF77&gt;$DE$8,"",VLOOKUP($DF77,$DH$9:$DN$508,6,FALSE()))</f>
        <v/>
      </c>
      <c r="DU77" s="62"/>
    </row>
    <row r="78" customFormat="false" ht="15.75" hidden="false" customHeight="false" outlineLevel="0" collapsed="false">
      <c r="A78" s="7"/>
      <c r="B78" s="90"/>
      <c r="C78" s="91"/>
      <c r="D78" s="126"/>
      <c r="E78" s="130"/>
      <c r="F78" s="135"/>
      <c r="G78" s="130"/>
      <c r="H78" s="135"/>
      <c r="I78" s="95"/>
      <c r="J78" s="95"/>
      <c r="K78" s="95"/>
      <c r="L78" s="130"/>
      <c r="M78" s="130"/>
      <c r="N78" s="130"/>
      <c r="O78" s="135"/>
      <c r="P78" s="130"/>
      <c r="Q78" s="130"/>
      <c r="R78" s="130"/>
      <c r="S78" s="130"/>
      <c r="T78" s="135"/>
      <c r="U78" s="130"/>
      <c r="V78" s="96"/>
      <c r="W78" s="130"/>
      <c r="X78" s="130"/>
      <c r="Y78" s="96"/>
      <c r="Z78" s="96"/>
      <c r="AA78" s="130"/>
      <c r="AB78" s="130"/>
      <c r="AC78" s="97"/>
      <c r="AD78" s="130"/>
      <c r="AE78" s="99"/>
      <c r="AF78" s="100"/>
      <c r="AG78" s="100"/>
      <c r="AH78" s="100" t="str">
        <f aca="false">IF(ISBLANK($C78),"",IF($E78=Constants!$B$2,TRUE(),IF($E78=Constants!$B$3,FALSE(),TRUE())))</f>
        <v/>
      </c>
      <c r="AI78" s="100" t="str">
        <f aca="false">IF(ISBLANK($C78),"",IF($F78=Constants!$B$2,TRUE(),IF($F78=Constants!$B$3,FALSE(),FALSE())))</f>
        <v/>
      </c>
      <c r="AJ78" s="100" t="str">
        <f aca="false">IF(ISBLANK($C78),"",IF($G78=Constants!$B$2,TRUE(),IF($G78=Constants!$B$3,FALSE(),TRUE())))</f>
        <v/>
      </c>
      <c r="AK78" s="100" t="str">
        <f aca="false">IF(ISBLANK($C78),"",IF($H78=Constants!$B$2,TRUE(),IF($H78=Constants!$B$3,FALSE(),TRUE())))</f>
        <v/>
      </c>
      <c r="AL78" s="100" t="str">
        <f aca="false">IF(ISBLANK($C78),"",IF(ISNUMBER($I78),IF($I78&gt;=0,$I78,""),""))</f>
        <v/>
      </c>
      <c r="AM78" s="100" t="str">
        <f aca="false">IF(ISBLANK($C78),"",IF(ISNUMBER($J78),IF($J78&gt;=0,$J78,""),""))</f>
        <v/>
      </c>
      <c r="AN78" s="100" t="str">
        <f aca="false">IF(ISBLANK($C78),"",IF(ISNUMBER($K78),IF($K78&gt;=0,$K78,""),""))</f>
        <v/>
      </c>
      <c r="AO78" s="100" t="str">
        <f aca="false">IF(ISBLANK($C78),"",IF($L78=Constants!$B$2,TRUE(),IF($L78=Constants!$B$3,FALSE(),TRUE())))</f>
        <v/>
      </c>
      <c r="AP78" s="100" t="str">
        <f aca="false">IF(ISBLANK($C78),"",IF($M78=Constants!$B$2,TRUE(),IF($M78=Constants!$B$3,FALSE(),TRUE())))</f>
        <v/>
      </c>
      <c r="AQ78" s="100" t="str">
        <f aca="false">IF(ISBLANK($C78),"",IF($N78=Constants!$B$2,TRUE(),IF($N78=Constants!$B$3,FALSE(),FALSE())))</f>
        <v/>
      </c>
      <c r="AR78" s="100" t="str">
        <f aca="false">IF(ISBLANK($C78),"",IF($O78=Constants!$B$2,TRUE(),IF($O78=Constants!$B$3,FALSE(),TRUE())))</f>
        <v/>
      </c>
      <c r="AS78" s="100" t="str">
        <f aca="false">IF(ISBLANK($C78),"",IF($P78=Constants!$B$2,TRUE(),IF($P78=Constants!$B$3,FALSE(),FALSE())))</f>
        <v/>
      </c>
      <c r="AT78" s="100" t="str">
        <f aca="false">IF(ISBLANK($C78),"",IF($Q78=Constants!$B$2,TRUE(),IF($Q78=Constants!$B$3,FALSE(),FALSE())))</f>
        <v/>
      </c>
      <c r="AU78" s="100" t="str">
        <f aca="false">IF(ISBLANK($C78),"",IF($R78=Constants!$B$2,TRUE(),IF($R78=Constants!$B$3,FALSE(),FALSE())))</f>
        <v/>
      </c>
      <c r="AV78" s="100" t="str">
        <f aca="false">IF(ISBLANK($C78),"",IF($S78=Constants!$B$2,TRUE(),IF($S78=Constants!$B$3,FALSE(),FALSE())))</f>
        <v/>
      </c>
      <c r="AW78" s="100" t="str">
        <f aca="false">IF(ISBLANK($C78),"",IF($T78=Constants!$B$2,TRUE(),IF($T78=Constants!$B$3,FALSE(),FALSE())))</f>
        <v/>
      </c>
      <c r="AX78" s="100" t="str">
        <f aca="false">IF(ISBLANK($C78),"",IF(OR($U78&amp;""="1",$U78&amp;""="2",$U78&amp;""="3",$U78&amp;""="4"),VALUE($U78&amp;""),IF($U78=Constants!$B$12,Constants!$B$12,"")))</f>
        <v/>
      </c>
      <c r="AY78" s="100" t="str">
        <f aca="false">IF(ISBLANK($C78),"",IF(ISBLANK($V78),0,IF(ISNUMBER($V78),IF(AND($V78&gt;=0,$V78&lt;=Constants!$B$21,$V78=INT($V78)),$V78,""),"")))</f>
        <v/>
      </c>
      <c r="AZ78" s="100" t="str">
        <f aca="false">IF(ISBLANK($C78),"",IF(ISBLANK($W78),0,IF(ISNUMBER($W78),IF($W78&gt;=0,$W78,""),"")))</f>
        <v/>
      </c>
      <c r="BA78" s="100" t="str">
        <f aca="false">IF(ISBLANK($C78),"",IF($X78=Constants!$B$2,TRUE(),IF($X78=Constants!$B$3,FALSE(),TRUE())))</f>
        <v/>
      </c>
      <c r="BB78" s="100" t="str">
        <f aca="false">IF(ISBLANK($C78),"",IF($Y78=Constants!$B$2,TRUE(),IF($Y78=Constants!$B$3,FALSE(),FALSE())))</f>
        <v/>
      </c>
      <c r="BC78" s="100" t="str">
        <f aca="false">IF(ISBLANK($C78),"",IF(ISBLANK($Z78),0,IF(ISNUMBER($Z78),IF(AND($Z78&gt;=0,$Z78&lt;=Constants!$B$35,$Z78=INT($Z78)),$Z78,""),"")))</f>
        <v/>
      </c>
      <c r="BD78" s="100" t="str">
        <f aca="false">IF(ISBLANK($C78),"",IF($AA78=Constants!$B$2,TRUE(),IF($AA78=Constants!$B$3,FALSE(),TRUE())))</f>
        <v/>
      </c>
      <c r="BE78" s="100" t="str">
        <f aca="false">IF(ISBLANK($C78),"",IF($AB78=Constants!$B$2,TRUE(),IF($AB78=Constants!$B$3,FALSE(),TRUE())))</f>
        <v/>
      </c>
      <c r="BF78" s="100" t="str">
        <f aca="false">IF(ISBLANK($C78),"",IF(ISNUMBER($AC78),IF($AC78&gt;=0,$AC78,""),""))</f>
        <v/>
      </c>
      <c r="BG78" s="100" t="str">
        <f aca="false">IF(ISBLANK($C78),"",IF($AD78=Constants!$B$2,TRUE(),IF($AD78=Constants!$B$3,FALSE(),FALSE())))</f>
        <v/>
      </c>
      <c r="BH78" s="99" t="str">
        <f aca="false">IF(ISBLANK($C78),"",IF($BG78,Constants!$B$7,IF(COUNTA($E78:$AC78)=0,Constants!$B$6,IF(OR(COUNTA($G78:$AC78)=0,NOT($AK78),$AQ78),Constants!$B$5,IF(OR($CI78&lt;&gt;"",$CJ78,$CK78,$CL78,$CM78,$CN78,$CO78),Constants!$B$8,Constants!$B$4)))))</f>
        <v/>
      </c>
      <c r="BI78" s="100" t="str">
        <f aca="false">IF(ISBLANK($C78),"",IF($BH78&lt;&gt;Constants!$B$4,$BH78,IF(OR(NOT($AH78),NOT($AJ78),NOT($AR78)),Constants!$B$11,IF(OR(NOT($AP78),MAX($AL78,$AM78,$AN78)&gt;Constants!$B$30),Constants!$B$10,Constants!$B$9))))</f>
        <v/>
      </c>
      <c r="BJ78" s="100" t="str">
        <f aca="false">IF($BH78&lt;&gt;Constants!$B$4,"",IF(NOT($AJ78),0,MIN(Constants!$B$35,$BC78)))</f>
        <v/>
      </c>
      <c r="BK78" s="100" t="str">
        <f aca="false">IF($BH78&lt;&gt;Constants!$B$4,"",IF(NOT($AJ78),0,IF($AT78,Constants!$B$18,IF($AS78,Constants!$B$17,0))))</f>
        <v/>
      </c>
      <c r="BL78" s="100" t="str">
        <f aca="false">IF($BH78&lt;&gt;Constants!$B$4,"",IF(NOT($AJ78),0,Constants!$B$19*($AI78+$AU78+$AV78+$AW78)))</f>
        <v/>
      </c>
      <c r="BM78" s="100" t="str">
        <f aca="false">IF($BH78&lt;&gt;Constants!$B$4,"",IF(OR(NOT($AJ78),NOT(ISNUMBER($AX78))),0,CHOOSE($AX78,Constants!$B$13,Constants!$B$14,Constants!$B$15,Constants!$B$16)))</f>
        <v/>
      </c>
      <c r="BN78" s="100" t="str">
        <f aca="false">IF($BH78&lt;&gt;Constants!$B$4,"",IF(NOT($AJ78),0,Constants!$B$20*$AY78))</f>
        <v/>
      </c>
      <c r="BO78" s="100" t="str">
        <f aca="false">IF($BH78&lt;&gt;Constants!$B$4,"",IF(AND($AJ78,$BA78,$BB78),Constants!$B$22,0))</f>
        <v/>
      </c>
      <c r="BP78" s="100" t="str">
        <f aca="false">IF($BH78&lt;&gt;Constants!$B$4,"",IF(OR(NOT($AJ78),NOT($BA78)),0,IF($BF78&gt;=2*$AF$9,0,Constants!$B$23*INT(ROUND(MIN($BF78,$AF$9),6)))))</f>
        <v/>
      </c>
      <c r="BQ78" s="100" t="str">
        <f aca="false">IF($BH78&lt;&gt;Constants!$B$4,"",IF(NOT($AJ78),0,Constants!$B$24*INT(ROUND(MIN($AZ78,$AF$9),6))))</f>
        <v/>
      </c>
      <c r="BR78" s="100" t="str">
        <f aca="false">IF($BH78&lt;&gt;Constants!$B$4,"",IF(AND($AJ78,$BJ78=0),Constants!$B$25,0))</f>
        <v/>
      </c>
      <c r="BS78" s="100" t="str">
        <f aca="false">IF($BH78&lt;&gt;Constants!$B$4,"",MIN(Constants!$B$29,MAX(0,Constants!$B$27*Constants!$B$28*INT(ROUND((Constants!$B$26-$AL78)/Constants!$B$28,6))))+MIN(Constants!$B$29,MAX(0,Constants!$B$27*Constants!$B$28*INT(ROUND((Constants!$B$26-$AM78)/Constants!$B$28,6))))+MIN(Constants!$B$29,MAX(0,Constants!$B$27*Constants!$B$28*INT(ROUND((Constants!$B$26-$AN78)/Constants!$B$28,6)))))</f>
        <v/>
      </c>
      <c r="BT78" s="100" t="str">
        <f aca="false">IF($BH78&lt;&gt;Constants!$B$4,"",IF(NOT($AJ78),0,Constants!$B$31*INT(ROUND(MAX(0,MIN($BF78,2*$AF$9)-$AF$9),6))))</f>
        <v/>
      </c>
      <c r="BU78" s="100" t="str">
        <f aca="false">IF($BH78&lt;&gt;Constants!$B$4,"",Constants!$B$32*(($AL78&gt;Constants!$B$26)+($AM78&gt;Constants!$B$26)+($AN78&gt;Constants!$B$26)))</f>
        <v/>
      </c>
      <c r="BV78" s="100" t="str">
        <f aca="false">IF($BH78&lt;&gt;Constants!$B$4,"",IF(OR(NOT($AJ78),$AO78),0,Constants!$B$33))</f>
        <v/>
      </c>
      <c r="BW78" s="100" t="str">
        <f aca="false">IF($BH78&lt;&gt;Constants!$B$4,"",Constants!$B$34*$BJ78)</f>
        <v/>
      </c>
      <c r="BX78" s="100" t="str">
        <f aca="false">IF($BH78&lt;&gt;Constants!$B$4,"",IF(OR(NOT($AJ78),$BE78),0,Constants!$B$36))</f>
        <v/>
      </c>
      <c r="BY78" s="100" t="str">
        <f aca="false">IF($BH78&lt;&gt;Constants!$B$4,"",IF(OR(NOT($AJ78),$BD78),0,Constants!$B$37))</f>
        <v/>
      </c>
      <c r="BZ78" s="100" t="str">
        <f aca="false">IF($BH78&lt;&gt;Constants!$B$4,"",SUM($BT78:$BY78))</f>
        <v/>
      </c>
      <c r="CA78" s="100" t="str">
        <f aca="false">IF(ISBLANK($C78),"",IF($BH78&lt;&gt;Constants!$B$4,$BH78,SUM($BK78:$BS78)-$BZ78))</f>
        <v/>
      </c>
      <c r="CB78" s="100" t="str">
        <f aca="false">IF(ISBLANK($C78),"",IF($BH78&lt;&gt;Constants!$B$4,$BH78,RANK($CA78,$CA$9:$CA$508)))</f>
        <v/>
      </c>
      <c r="CC78" s="100" t="str">
        <f aca="false">IF(ISBLANK($C78),"",IF($BH78&lt;&gt;Constants!$B$4,$BH78,COUNTIFS($BI$9:$BI$508,"&lt;"&amp;$BI78)+COUNTIFS($BI$9:$BI$508,$BI78,$CB$9:$CB$508,"&lt;"&amp;$CB78)+1))</f>
        <v/>
      </c>
      <c r="CD78" s="100" t="str">
        <f aca="false">IF(ISBLANK($C78),"",IF($BH78&lt;&gt;Constants!$B$4,$BH78,RANK($BZ78,$BZ$9:$BZ$508,1)))</f>
        <v/>
      </c>
      <c r="CE78" s="100" t="str">
        <f aca="false">IF($BH78&lt;&gt;Constants!$B$4,"",$AL78+$AM78+$AN78)</f>
        <v/>
      </c>
      <c r="CF78" s="100" t="str">
        <f aca="false">IF(ISBLANK($C78),"",IF($BH78&lt;&gt;Constants!$B$4,$BH78,RANK($CE78,$CE$9:$CE$508,1)))</f>
        <v/>
      </c>
      <c r="CG78" s="100" t="str">
        <f aca="false">IF(ISBLANK($C78),"",IF($BH78&lt;&gt;Constants!$B$4,$BH78,COUNTIFS($BI$9:$BI$508,"&lt;"&amp;$BI78)+COUNTIFS($BI$9:$BI$508,$BI78,$CB$9:$CB$508,"&lt;"&amp;$CB78)+COUNTIFS($BI$9:$BI$508,$BI78,$CB$9:$CB$508,$CB78,$CD$9:$CD$508,"&lt;"&amp;$CD78)+COUNTIFS($BI$9:$BI$508,$BI78,$CB$9:$CB$508,$CB78,$CD$9:$CD$508,$CD78,$CF$9:$CF$508,"&lt;"&amp;$CF78)+1))</f>
        <v/>
      </c>
      <c r="CH78" s="100" t="str">
        <f aca="false">IF(ISBLANK($C78),"",IF($BH78&lt;&gt;Constants!$B$4,$BH78,$CC78-$CG78))</f>
        <v/>
      </c>
      <c r="CI78" s="100" t="str">
        <f aca="false">IF(ISBLANK($C78),"",IF(NOT($AJ78),"",IF(ISBLANK($D$7),$CI$5,IF(NOT(ISNUMBER($D$7)),$CI$6,""))))</f>
        <v/>
      </c>
      <c r="CJ78" s="100" t="str">
        <f aca="false">IF(ISBLANK($C78),"",OR($AL78="",$AM78="",$AN78=""))</f>
        <v/>
      </c>
      <c r="CK78" s="100" t="str">
        <f aca="false">IF(ISBLANK($C78),"",AND($AJ78,$AX78=""))</f>
        <v/>
      </c>
      <c r="CL78" s="100" t="str">
        <f aca="false">IF(ISBLANK($C78),"",AND($AJ78,$AY78=""))</f>
        <v/>
      </c>
      <c r="CM78" s="100" t="str">
        <f aca="false">IF(ISBLANK($C78),"",AND($AJ78,$AZ78=""))</f>
        <v/>
      </c>
      <c r="CN78" s="100" t="str">
        <f aca="false">IF(ISBLANK($C78),"",AND($AJ78,$BC78=""))</f>
        <v/>
      </c>
      <c r="CO78" s="100" t="str">
        <f aca="false">IF(ISBLANK($C78),"",AND($AJ78,$BF78=""))</f>
        <v/>
      </c>
      <c r="CP78" s="101"/>
      <c r="CQ78" s="102"/>
      <c r="CR78" s="103" t="str">
        <f aca="false">IF(ISBLANK($C78),"",IF($BH78=Constants!$B$8,$CI78,""))</f>
        <v/>
      </c>
      <c r="CS78" s="102" t="str">
        <f aca="false">IF(ISBLANK($C78),"",IF($BH78&lt;&gt;Constants!$B$4,"",$BK78+$BL78))</f>
        <v/>
      </c>
      <c r="CT78" s="104" t="str">
        <f aca="false">IF(ISBLANK($C78),"",IF($BH78&lt;&gt;Constants!$B$4,"",$BM78+$BN78+$BO78))</f>
        <v/>
      </c>
      <c r="CU78" s="104" t="str">
        <f aca="false">IF(ISBLANK($C78),"",IF($BH78&lt;&gt;Constants!$B$4,"",$BP78))</f>
        <v/>
      </c>
      <c r="CV78" s="104" t="str">
        <f aca="false">IF(ISBLANK($C78),"",IF($BH78&lt;&gt;Constants!$B$4,"",$BQ78+$BR78))</f>
        <v/>
      </c>
      <c r="CW78" s="104" t="str">
        <f aca="false">IF(ISBLANK($C78),"",IF($BH78&lt;&gt;Constants!$B$4,"",$BS78))</f>
        <v/>
      </c>
      <c r="CX78" s="104" t="str">
        <f aca="false">IF(ISBLANK($C78),"",IF($BH78&lt;&gt;Constants!$B$4,"",-$BZ78))</f>
        <v/>
      </c>
      <c r="CY78" s="103" t="str">
        <f aca="false">IF(ISBLANK($C78),"",$CA78)</f>
        <v/>
      </c>
      <c r="CZ78" s="105" t="str">
        <f aca="false">IF(ISBLANK($C78),"",$BI78)</f>
        <v/>
      </c>
      <c r="DA78" s="104" t="str">
        <f aca="false">IF(ISBLANK($C78),"",$CH78)</f>
        <v/>
      </c>
      <c r="DB78" s="104" t="str">
        <f aca="false">IF(ISBLANK($C78),"",$CG78)</f>
        <v/>
      </c>
      <c r="DC78" s="106" t="str">
        <f aca="false">IF(ISBLANK($C78),"",IFERROR(_xlfn.SWITCH($DB78,Constants!$B$7,COUNTA($C$9:$C$508)+2,Constants!$B$6,COUNTA($C$9:$C$508)+1,Constants!$B$5,COUNTA($C$9:$C$508)),$DB78))</f>
        <v/>
      </c>
      <c r="DD78" s="7"/>
      <c r="DE78" s="107" t="n">
        <f aca="false">IF(OR(ISNUMBER($DB78),$DB78=Constants!$B$7,$DB78=Constants!$B$5,$DB78=Constants!$B$6),1,0)</f>
        <v>0</v>
      </c>
      <c r="DF78" s="107" t="n">
        <v>70</v>
      </c>
      <c r="DG78" s="107" t="str">
        <f aca="false">IF(ISBLANK($C78),"",IF(ISNUMBER($DC78),$DC78+ROW($B78)/1000,""))</f>
        <v/>
      </c>
      <c r="DH78" s="107" t="str">
        <f aca="false">IF(ISNUMBER($DG78),RANK($DG78,$DG$9:$DG$508,1),"")</f>
        <v/>
      </c>
      <c r="DI78" s="107" t="str">
        <f aca="false">IF(ISBLANK($C78),"",$B78)</f>
        <v/>
      </c>
      <c r="DJ78" s="107" t="str">
        <f aca="false">IF(ISBLANK($C78),"",$C78)</f>
        <v/>
      </c>
      <c r="DK78" s="107" t="str">
        <f aca="false">IF(ISBLANK($C78),"",$D78)</f>
        <v/>
      </c>
      <c r="DL78" s="108" t="str">
        <f aca="false">$CZ78</f>
        <v/>
      </c>
      <c r="DM78" s="109" t="str">
        <f aca="false">$CY78</f>
        <v/>
      </c>
      <c r="DN78" s="107" t="str">
        <f aca="false">IF(ISBLANK($C78),"",$DB78)</f>
        <v/>
      </c>
      <c r="DO78" s="110" t="str">
        <f aca="false">IF($DF78&gt;$DE$8,"",VLOOKUP($DF78,$DH$9:$DN$508,7,FALSE()))</f>
        <v/>
      </c>
      <c r="DP78" s="111" t="str">
        <f aca="false">IF($DF78&gt;$DE$8,"",VLOOKUP($DF78,$DH$9:$DN$508,2,FALSE()))</f>
        <v/>
      </c>
      <c r="DQ78" s="111" t="str">
        <f aca="false">IF($DF78&gt;$DE$8,"",VLOOKUP($DF78,$DH$9:$DN$508,3,FALSE()))</f>
        <v/>
      </c>
      <c r="DR78" s="111" t="str">
        <f aca="false">IF($DF78&gt;$DE$8,"",VLOOKUP($DF78,$DH$9:$DN$508,4,FALSE()))</f>
        <v/>
      </c>
      <c r="DS78" s="111" t="str">
        <f aca="false">IF($DF78&gt;$DE$8,"",VLOOKUP($DF78,$DH$9:$DN$508,5,FALSE()))</f>
        <v/>
      </c>
      <c r="DT78" s="112" t="str">
        <f aca="false">IF($DF78&gt;$DE$8,"",VLOOKUP($DF78,$DH$9:$DN$508,6,FALSE()))</f>
        <v/>
      </c>
      <c r="DU78" s="62"/>
    </row>
    <row r="79" customFormat="false" ht="15.75" hidden="false" customHeight="false" outlineLevel="0" collapsed="false">
      <c r="A79" s="7"/>
      <c r="B79" s="90"/>
      <c r="C79" s="91"/>
      <c r="D79" s="126"/>
      <c r="E79" s="116"/>
      <c r="F79" s="113"/>
      <c r="G79" s="116"/>
      <c r="H79" s="113"/>
      <c r="I79" s="131"/>
      <c r="J79" s="131"/>
      <c r="K79" s="131"/>
      <c r="L79" s="116"/>
      <c r="M79" s="116"/>
      <c r="N79" s="116"/>
      <c r="O79" s="113"/>
      <c r="P79" s="116"/>
      <c r="Q79" s="116"/>
      <c r="R79" s="116"/>
      <c r="S79" s="116"/>
      <c r="T79" s="113"/>
      <c r="U79" s="116"/>
      <c r="V79" s="132"/>
      <c r="W79" s="116"/>
      <c r="X79" s="116"/>
      <c r="Y79" s="132"/>
      <c r="Z79" s="132"/>
      <c r="AA79" s="116"/>
      <c r="AB79" s="116"/>
      <c r="AC79" s="133"/>
      <c r="AD79" s="116"/>
      <c r="AE79" s="99"/>
      <c r="AF79" s="100"/>
      <c r="AG79" s="100"/>
      <c r="AH79" s="100" t="str">
        <f aca="false">IF(ISBLANK($C79),"",IF($E79=Constants!$B$2,TRUE(),IF($E79=Constants!$B$3,FALSE(),TRUE())))</f>
        <v/>
      </c>
      <c r="AI79" s="100" t="str">
        <f aca="false">IF(ISBLANK($C79),"",IF($F79=Constants!$B$2,TRUE(),IF($F79=Constants!$B$3,FALSE(),FALSE())))</f>
        <v/>
      </c>
      <c r="AJ79" s="100" t="str">
        <f aca="false">IF(ISBLANK($C79),"",IF($G79=Constants!$B$2,TRUE(),IF($G79=Constants!$B$3,FALSE(),TRUE())))</f>
        <v/>
      </c>
      <c r="AK79" s="100" t="str">
        <f aca="false">IF(ISBLANK($C79),"",IF($H79=Constants!$B$2,TRUE(),IF($H79=Constants!$B$3,FALSE(),TRUE())))</f>
        <v/>
      </c>
      <c r="AL79" s="100" t="str">
        <f aca="false">IF(ISBLANK($C79),"",IF(ISNUMBER($I79),IF($I79&gt;=0,$I79,""),""))</f>
        <v/>
      </c>
      <c r="AM79" s="100" t="str">
        <f aca="false">IF(ISBLANK($C79),"",IF(ISNUMBER($J79),IF($J79&gt;=0,$J79,""),""))</f>
        <v/>
      </c>
      <c r="AN79" s="100" t="str">
        <f aca="false">IF(ISBLANK($C79),"",IF(ISNUMBER($K79),IF($K79&gt;=0,$K79,""),""))</f>
        <v/>
      </c>
      <c r="AO79" s="100" t="str">
        <f aca="false">IF(ISBLANK($C79),"",IF($L79=Constants!$B$2,TRUE(),IF($L79=Constants!$B$3,FALSE(),TRUE())))</f>
        <v/>
      </c>
      <c r="AP79" s="100" t="str">
        <f aca="false">IF(ISBLANK($C79),"",IF($M79=Constants!$B$2,TRUE(),IF($M79=Constants!$B$3,FALSE(),TRUE())))</f>
        <v/>
      </c>
      <c r="AQ79" s="100" t="str">
        <f aca="false">IF(ISBLANK($C79),"",IF($N79=Constants!$B$2,TRUE(),IF($N79=Constants!$B$3,FALSE(),FALSE())))</f>
        <v/>
      </c>
      <c r="AR79" s="100" t="str">
        <f aca="false">IF(ISBLANK($C79),"",IF($O79=Constants!$B$2,TRUE(),IF($O79=Constants!$B$3,FALSE(),TRUE())))</f>
        <v/>
      </c>
      <c r="AS79" s="100" t="str">
        <f aca="false">IF(ISBLANK($C79),"",IF($P79=Constants!$B$2,TRUE(),IF($P79=Constants!$B$3,FALSE(),FALSE())))</f>
        <v/>
      </c>
      <c r="AT79" s="100" t="str">
        <f aca="false">IF(ISBLANK($C79),"",IF($Q79=Constants!$B$2,TRUE(),IF($Q79=Constants!$B$3,FALSE(),FALSE())))</f>
        <v/>
      </c>
      <c r="AU79" s="100" t="str">
        <f aca="false">IF(ISBLANK($C79),"",IF($R79=Constants!$B$2,TRUE(),IF($R79=Constants!$B$3,FALSE(),FALSE())))</f>
        <v/>
      </c>
      <c r="AV79" s="100" t="str">
        <f aca="false">IF(ISBLANK($C79),"",IF($S79=Constants!$B$2,TRUE(),IF($S79=Constants!$B$3,FALSE(),FALSE())))</f>
        <v/>
      </c>
      <c r="AW79" s="100" t="str">
        <f aca="false">IF(ISBLANK($C79),"",IF($T79=Constants!$B$2,TRUE(),IF($T79=Constants!$B$3,FALSE(),FALSE())))</f>
        <v/>
      </c>
      <c r="AX79" s="100" t="str">
        <f aca="false">IF(ISBLANK($C79),"",IF(OR($U79&amp;""="1",$U79&amp;""="2",$U79&amp;""="3",$U79&amp;""="4"),VALUE($U79&amp;""),IF($U79=Constants!$B$12,Constants!$B$12,"")))</f>
        <v/>
      </c>
      <c r="AY79" s="100" t="str">
        <f aca="false">IF(ISBLANK($C79),"",IF(ISBLANK($V79),0,IF(ISNUMBER($V79),IF(AND($V79&gt;=0,$V79&lt;=Constants!$B$21,$V79=INT($V79)),$V79,""),"")))</f>
        <v/>
      </c>
      <c r="AZ79" s="100" t="str">
        <f aca="false">IF(ISBLANK($C79),"",IF(ISBLANK($W79),0,IF(ISNUMBER($W79),IF($W79&gt;=0,$W79,""),"")))</f>
        <v/>
      </c>
      <c r="BA79" s="100" t="str">
        <f aca="false">IF(ISBLANK($C79),"",IF($X79=Constants!$B$2,TRUE(),IF($X79=Constants!$B$3,FALSE(),TRUE())))</f>
        <v/>
      </c>
      <c r="BB79" s="100" t="str">
        <f aca="false">IF(ISBLANK($C79),"",IF($Y79=Constants!$B$2,TRUE(),IF($Y79=Constants!$B$3,FALSE(),FALSE())))</f>
        <v/>
      </c>
      <c r="BC79" s="100" t="str">
        <f aca="false">IF(ISBLANK($C79),"",IF(ISBLANK($Z79),0,IF(ISNUMBER($Z79),IF(AND($Z79&gt;=0,$Z79&lt;=Constants!$B$35,$Z79=INT($Z79)),$Z79,""),"")))</f>
        <v/>
      </c>
      <c r="BD79" s="100" t="str">
        <f aca="false">IF(ISBLANK($C79),"",IF($AA79=Constants!$B$2,TRUE(),IF($AA79=Constants!$B$3,FALSE(),TRUE())))</f>
        <v/>
      </c>
      <c r="BE79" s="100" t="str">
        <f aca="false">IF(ISBLANK($C79),"",IF($AB79=Constants!$B$2,TRUE(),IF($AB79=Constants!$B$3,FALSE(),TRUE())))</f>
        <v/>
      </c>
      <c r="BF79" s="100" t="str">
        <f aca="false">IF(ISBLANK($C79),"",IF(ISNUMBER($AC79),IF($AC79&gt;=0,$AC79,""),""))</f>
        <v/>
      </c>
      <c r="BG79" s="100" t="str">
        <f aca="false">IF(ISBLANK($C79),"",IF($AD79=Constants!$B$2,TRUE(),IF($AD79=Constants!$B$3,FALSE(),FALSE())))</f>
        <v/>
      </c>
      <c r="BH79" s="99" t="str">
        <f aca="false">IF(ISBLANK($C79),"",IF($BG79,Constants!$B$7,IF(COUNTA($E79:$AC79)=0,Constants!$B$6,IF(OR(COUNTA($G79:$AC79)=0,NOT($AK79),$AQ79),Constants!$B$5,IF(OR($CI79&lt;&gt;"",$CJ79,$CK79,$CL79,$CM79,$CN79,$CO79),Constants!$B$8,Constants!$B$4)))))</f>
        <v/>
      </c>
      <c r="BI79" s="100" t="str">
        <f aca="false">IF(ISBLANK($C79),"",IF($BH79&lt;&gt;Constants!$B$4,$BH79,IF(OR(NOT($AH79),NOT($AJ79),NOT($AR79)),Constants!$B$11,IF(OR(NOT($AP79),MAX($AL79,$AM79,$AN79)&gt;Constants!$B$30),Constants!$B$10,Constants!$B$9))))</f>
        <v/>
      </c>
      <c r="BJ79" s="100" t="str">
        <f aca="false">IF($BH79&lt;&gt;Constants!$B$4,"",IF(NOT($AJ79),0,MIN(Constants!$B$35,$BC79)))</f>
        <v/>
      </c>
      <c r="BK79" s="100" t="str">
        <f aca="false">IF($BH79&lt;&gt;Constants!$B$4,"",IF(NOT($AJ79),0,IF($AT79,Constants!$B$18,IF($AS79,Constants!$B$17,0))))</f>
        <v/>
      </c>
      <c r="BL79" s="100" t="str">
        <f aca="false">IF($BH79&lt;&gt;Constants!$B$4,"",IF(NOT($AJ79),0,Constants!$B$19*($AI79+$AU79+$AV79+$AW79)))</f>
        <v/>
      </c>
      <c r="BM79" s="100" t="str">
        <f aca="false">IF($BH79&lt;&gt;Constants!$B$4,"",IF(OR(NOT($AJ79),NOT(ISNUMBER($AX79))),0,CHOOSE($AX79,Constants!$B$13,Constants!$B$14,Constants!$B$15,Constants!$B$16)))</f>
        <v/>
      </c>
      <c r="BN79" s="100" t="str">
        <f aca="false">IF($BH79&lt;&gt;Constants!$B$4,"",IF(NOT($AJ79),0,Constants!$B$20*$AY79))</f>
        <v/>
      </c>
      <c r="BO79" s="100" t="str">
        <f aca="false">IF($BH79&lt;&gt;Constants!$B$4,"",IF(AND($AJ79,$BA79,$BB79),Constants!$B$22,0))</f>
        <v/>
      </c>
      <c r="BP79" s="100" t="str">
        <f aca="false">IF($BH79&lt;&gt;Constants!$B$4,"",IF(OR(NOT($AJ79),NOT($BA79)),0,IF($BF79&gt;=2*$AF$9,0,Constants!$B$23*INT(ROUND(MIN($BF79,$AF$9),6)))))</f>
        <v/>
      </c>
      <c r="BQ79" s="100" t="str">
        <f aca="false">IF($BH79&lt;&gt;Constants!$B$4,"",IF(NOT($AJ79),0,Constants!$B$24*INT(ROUND(MIN($AZ79,$AF$9),6))))</f>
        <v/>
      </c>
      <c r="BR79" s="100" t="str">
        <f aca="false">IF($BH79&lt;&gt;Constants!$B$4,"",IF(AND($AJ79,$BJ79=0),Constants!$B$25,0))</f>
        <v/>
      </c>
      <c r="BS79" s="100" t="str">
        <f aca="false">IF($BH79&lt;&gt;Constants!$B$4,"",MIN(Constants!$B$29,MAX(0,Constants!$B$27*Constants!$B$28*INT(ROUND((Constants!$B$26-$AL79)/Constants!$B$28,6))))+MIN(Constants!$B$29,MAX(0,Constants!$B$27*Constants!$B$28*INT(ROUND((Constants!$B$26-$AM79)/Constants!$B$28,6))))+MIN(Constants!$B$29,MAX(0,Constants!$B$27*Constants!$B$28*INT(ROUND((Constants!$B$26-$AN79)/Constants!$B$28,6)))))</f>
        <v/>
      </c>
      <c r="BT79" s="100" t="str">
        <f aca="false">IF($BH79&lt;&gt;Constants!$B$4,"",IF(NOT($AJ79),0,Constants!$B$31*INT(ROUND(MAX(0,MIN($BF79,2*$AF$9)-$AF$9),6))))</f>
        <v/>
      </c>
      <c r="BU79" s="100" t="str">
        <f aca="false">IF($BH79&lt;&gt;Constants!$B$4,"",Constants!$B$32*(($AL79&gt;Constants!$B$26)+($AM79&gt;Constants!$B$26)+($AN79&gt;Constants!$B$26)))</f>
        <v/>
      </c>
      <c r="BV79" s="100" t="str">
        <f aca="false">IF($BH79&lt;&gt;Constants!$B$4,"",IF(OR(NOT($AJ79),$AO79),0,Constants!$B$33))</f>
        <v/>
      </c>
      <c r="BW79" s="100" t="str">
        <f aca="false">IF($BH79&lt;&gt;Constants!$B$4,"",Constants!$B$34*$BJ79)</f>
        <v/>
      </c>
      <c r="BX79" s="100" t="str">
        <f aca="false">IF($BH79&lt;&gt;Constants!$B$4,"",IF(OR(NOT($AJ79),$BE79),0,Constants!$B$36))</f>
        <v/>
      </c>
      <c r="BY79" s="100" t="str">
        <f aca="false">IF($BH79&lt;&gt;Constants!$B$4,"",IF(OR(NOT($AJ79),$BD79),0,Constants!$B$37))</f>
        <v/>
      </c>
      <c r="BZ79" s="100" t="str">
        <f aca="false">IF($BH79&lt;&gt;Constants!$B$4,"",SUM($BT79:$BY79))</f>
        <v/>
      </c>
      <c r="CA79" s="100" t="str">
        <f aca="false">IF(ISBLANK($C79),"",IF($BH79&lt;&gt;Constants!$B$4,$BH79,SUM($BK79:$BS79)-$BZ79))</f>
        <v/>
      </c>
      <c r="CB79" s="100" t="str">
        <f aca="false">IF(ISBLANK($C79),"",IF($BH79&lt;&gt;Constants!$B$4,$BH79,RANK($CA79,$CA$9:$CA$508)))</f>
        <v/>
      </c>
      <c r="CC79" s="100" t="str">
        <f aca="false">IF(ISBLANK($C79),"",IF($BH79&lt;&gt;Constants!$B$4,$BH79,COUNTIFS($BI$9:$BI$508,"&lt;"&amp;$BI79)+COUNTIFS($BI$9:$BI$508,$BI79,$CB$9:$CB$508,"&lt;"&amp;$CB79)+1))</f>
        <v/>
      </c>
      <c r="CD79" s="100" t="str">
        <f aca="false">IF(ISBLANK($C79),"",IF($BH79&lt;&gt;Constants!$B$4,$BH79,RANK($BZ79,$BZ$9:$BZ$508,1)))</f>
        <v/>
      </c>
      <c r="CE79" s="100" t="str">
        <f aca="false">IF($BH79&lt;&gt;Constants!$B$4,"",$AL79+$AM79+$AN79)</f>
        <v/>
      </c>
      <c r="CF79" s="100" t="str">
        <f aca="false">IF(ISBLANK($C79),"",IF($BH79&lt;&gt;Constants!$B$4,$BH79,RANK($CE79,$CE$9:$CE$508,1)))</f>
        <v/>
      </c>
      <c r="CG79" s="100" t="str">
        <f aca="false">IF(ISBLANK($C79),"",IF($BH79&lt;&gt;Constants!$B$4,$BH79,COUNTIFS($BI$9:$BI$508,"&lt;"&amp;$BI79)+COUNTIFS($BI$9:$BI$508,$BI79,$CB$9:$CB$508,"&lt;"&amp;$CB79)+COUNTIFS($BI$9:$BI$508,$BI79,$CB$9:$CB$508,$CB79,$CD$9:$CD$508,"&lt;"&amp;$CD79)+COUNTIFS($BI$9:$BI$508,$BI79,$CB$9:$CB$508,$CB79,$CD$9:$CD$508,$CD79,$CF$9:$CF$508,"&lt;"&amp;$CF79)+1))</f>
        <v/>
      </c>
      <c r="CH79" s="100" t="str">
        <f aca="false">IF(ISBLANK($C79),"",IF($BH79&lt;&gt;Constants!$B$4,$BH79,$CC79-$CG79))</f>
        <v/>
      </c>
      <c r="CI79" s="100" t="str">
        <f aca="false">IF(ISBLANK($C79),"",IF(NOT($AJ79),"",IF(ISBLANK($D$7),$CI$5,IF(NOT(ISNUMBER($D$7)),$CI$6,""))))</f>
        <v/>
      </c>
      <c r="CJ79" s="100" t="str">
        <f aca="false">IF(ISBLANK($C79),"",OR($AL79="",$AM79="",$AN79=""))</f>
        <v/>
      </c>
      <c r="CK79" s="100" t="str">
        <f aca="false">IF(ISBLANK($C79),"",AND($AJ79,$AX79=""))</f>
        <v/>
      </c>
      <c r="CL79" s="100" t="str">
        <f aca="false">IF(ISBLANK($C79),"",AND($AJ79,$AY79=""))</f>
        <v/>
      </c>
      <c r="CM79" s="100" t="str">
        <f aca="false">IF(ISBLANK($C79),"",AND($AJ79,$AZ79=""))</f>
        <v/>
      </c>
      <c r="CN79" s="100" t="str">
        <f aca="false">IF(ISBLANK($C79),"",AND($AJ79,$BC79=""))</f>
        <v/>
      </c>
      <c r="CO79" s="100" t="str">
        <f aca="false">IF(ISBLANK($C79),"",AND($AJ79,$BF79=""))</f>
        <v/>
      </c>
      <c r="CP79" s="101"/>
      <c r="CQ79" s="102"/>
      <c r="CR79" s="103" t="str">
        <f aca="false">IF(ISBLANK($C79),"",IF($BH79=Constants!$B$8,$CI79,""))</f>
        <v/>
      </c>
      <c r="CS79" s="102" t="str">
        <f aca="false">IF(ISBLANK($C79),"",IF($BH79&lt;&gt;Constants!$B$4,"",$BK79+$BL79))</f>
        <v/>
      </c>
      <c r="CT79" s="104" t="str">
        <f aca="false">IF(ISBLANK($C79),"",IF($BH79&lt;&gt;Constants!$B$4,"",$BM79+$BN79+$BO79))</f>
        <v/>
      </c>
      <c r="CU79" s="104" t="str">
        <f aca="false">IF(ISBLANK($C79),"",IF($BH79&lt;&gt;Constants!$B$4,"",$BP79))</f>
        <v/>
      </c>
      <c r="CV79" s="104" t="str">
        <f aca="false">IF(ISBLANK($C79),"",IF($BH79&lt;&gt;Constants!$B$4,"",$BQ79+$BR79))</f>
        <v/>
      </c>
      <c r="CW79" s="104" t="str">
        <f aca="false">IF(ISBLANK($C79),"",IF($BH79&lt;&gt;Constants!$B$4,"",$BS79))</f>
        <v/>
      </c>
      <c r="CX79" s="104" t="str">
        <f aca="false">IF(ISBLANK($C79),"",IF($BH79&lt;&gt;Constants!$B$4,"",-$BZ79))</f>
        <v/>
      </c>
      <c r="CY79" s="103" t="str">
        <f aca="false">IF(ISBLANK($C79),"",$CA79)</f>
        <v/>
      </c>
      <c r="CZ79" s="105" t="str">
        <f aca="false">IF(ISBLANK($C79),"",$BI79)</f>
        <v/>
      </c>
      <c r="DA79" s="104" t="str">
        <f aca="false">IF(ISBLANK($C79),"",$CH79)</f>
        <v/>
      </c>
      <c r="DB79" s="104" t="str">
        <f aca="false">IF(ISBLANK($C79),"",$CG79)</f>
        <v/>
      </c>
      <c r="DC79" s="106" t="str">
        <f aca="false">IF(ISBLANK($C79),"",IFERROR(_xlfn.SWITCH($DB79,Constants!$B$7,COUNTA($C$9:$C$508)+2,Constants!$B$6,COUNTA($C$9:$C$508)+1,Constants!$B$5,COUNTA($C$9:$C$508)),$DB79))</f>
        <v/>
      </c>
      <c r="DD79" s="7"/>
      <c r="DE79" s="107" t="n">
        <f aca="false">IF(OR(ISNUMBER($DB79),$DB79=Constants!$B$7,$DB79=Constants!$B$5,$DB79=Constants!$B$6),1,0)</f>
        <v>0</v>
      </c>
      <c r="DF79" s="107" t="n">
        <v>71</v>
      </c>
      <c r="DG79" s="107" t="str">
        <f aca="false">IF(ISBLANK($C79),"",IF(ISNUMBER($DC79),$DC79+ROW($B79)/1000,""))</f>
        <v/>
      </c>
      <c r="DH79" s="107" t="str">
        <f aca="false">IF(ISNUMBER($DG79),RANK($DG79,$DG$9:$DG$508,1),"")</f>
        <v/>
      </c>
      <c r="DI79" s="107" t="str">
        <f aca="false">IF(ISBLANK($C79),"",$B79)</f>
        <v/>
      </c>
      <c r="DJ79" s="107" t="str">
        <f aca="false">IF(ISBLANK($C79),"",$C79)</f>
        <v/>
      </c>
      <c r="DK79" s="107" t="str">
        <f aca="false">IF(ISBLANK($C79),"",$D79)</f>
        <v/>
      </c>
      <c r="DL79" s="108" t="str">
        <f aca="false">$CZ79</f>
        <v/>
      </c>
      <c r="DM79" s="109" t="str">
        <f aca="false">$CY79</f>
        <v/>
      </c>
      <c r="DN79" s="107" t="str">
        <f aca="false">IF(ISBLANK($C79),"",$DB79)</f>
        <v/>
      </c>
      <c r="DO79" s="110" t="str">
        <f aca="false">IF($DF79&gt;$DE$8,"",VLOOKUP($DF79,$DH$9:$DN$508,7,FALSE()))</f>
        <v/>
      </c>
      <c r="DP79" s="111" t="str">
        <f aca="false">IF($DF79&gt;$DE$8,"",VLOOKUP($DF79,$DH$9:$DN$508,2,FALSE()))</f>
        <v/>
      </c>
      <c r="DQ79" s="111" t="str">
        <f aca="false">IF($DF79&gt;$DE$8,"",VLOOKUP($DF79,$DH$9:$DN$508,3,FALSE()))</f>
        <v/>
      </c>
      <c r="DR79" s="111" t="str">
        <f aca="false">IF($DF79&gt;$DE$8,"",VLOOKUP($DF79,$DH$9:$DN$508,4,FALSE()))</f>
        <v/>
      </c>
      <c r="DS79" s="111" t="str">
        <f aca="false">IF($DF79&gt;$DE$8,"",VLOOKUP($DF79,$DH$9:$DN$508,5,FALSE()))</f>
        <v/>
      </c>
      <c r="DT79" s="112" t="str">
        <f aca="false">IF($DF79&gt;$DE$8,"",VLOOKUP($DF79,$DH$9:$DN$508,6,FALSE()))</f>
        <v/>
      </c>
      <c r="DU79" s="62"/>
    </row>
    <row r="80" customFormat="false" ht="15.75" hidden="false" customHeight="false" outlineLevel="0" collapsed="false">
      <c r="A80" s="7"/>
      <c r="B80" s="90"/>
      <c r="C80" s="91"/>
      <c r="D80" s="126"/>
      <c r="E80" s="130"/>
      <c r="F80" s="135"/>
      <c r="G80" s="130"/>
      <c r="H80" s="135"/>
      <c r="I80" s="95"/>
      <c r="J80" s="95"/>
      <c r="K80" s="95"/>
      <c r="L80" s="130"/>
      <c r="M80" s="130"/>
      <c r="N80" s="130"/>
      <c r="O80" s="135"/>
      <c r="P80" s="130"/>
      <c r="Q80" s="130"/>
      <c r="R80" s="130"/>
      <c r="S80" s="130"/>
      <c r="T80" s="135"/>
      <c r="U80" s="130"/>
      <c r="V80" s="96"/>
      <c r="W80" s="130"/>
      <c r="X80" s="130"/>
      <c r="Y80" s="96"/>
      <c r="Z80" s="96"/>
      <c r="AA80" s="130"/>
      <c r="AB80" s="130"/>
      <c r="AC80" s="97"/>
      <c r="AD80" s="130"/>
      <c r="AE80" s="99"/>
      <c r="AF80" s="100"/>
      <c r="AG80" s="100"/>
      <c r="AH80" s="100" t="str">
        <f aca="false">IF(ISBLANK($C80),"",IF($E80=Constants!$B$2,TRUE(),IF($E80=Constants!$B$3,FALSE(),TRUE())))</f>
        <v/>
      </c>
      <c r="AI80" s="100" t="str">
        <f aca="false">IF(ISBLANK($C80),"",IF($F80=Constants!$B$2,TRUE(),IF($F80=Constants!$B$3,FALSE(),FALSE())))</f>
        <v/>
      </c>
      <c r="AJ80" s="100" t="str">
        <f aca="false">IF(ISBLANK($C80),"",IF($G80=Constants!$B$2,TRUE(),IF($G80=Constants!$B$3,FALSE(),TRUE())))</f>
        <v/>
      </c>
      <c r="AK80" s="100" t="str">
        <f aca="false">IF(ISBLANK($C80),"",IF($H80=Constants!$B$2,TRUE(),IF($H80=Constants!$B$3,FALSE(),TRUE())))</f>
        <v/>
      </c>
      <c r="AL80" s="100" t="str">
        <f aca="false">IF(ISBLANK($C80),"",IF(ISNUMBER($I80),IF($I80&gt;=0,$I80,""),""))</f>
        <v/>
      </c>
      <c r="AM80" s="100" t="str">
        <f aca="false">IF(ISBLANK($C80),"",IF(ISNUMBER($J80),IF($J80&gt;=0,$J80,""),""))</f>
        <v/>
      </c>
      <c r="AN80" s="100" t="str">
        <f aca="false">IF(ISBLANK($C80),"",IF(ISNUMBER($K80),IF($K80&gt;=0,$K80,""),""))</f>
        <v/>
      </c>
      <c r="AO80" s="100" t="str">
        <f aca="false">IF(ISBLANK($C80),"",IF($L80=Constants!$B$2,TRUE(),IF($L80=Constants!$B$3,FALSE(),TRUE())))</f>
        <v/>
      </c>
      <c r="AP80" s="100" t="str">
        <f aca="false">IF(ISBLANK($C80),"",IF($M80=Constants!$B$2,TRUE(),IF($M80=Constants!$B$3,FALSE(),TRUE())))</f>
        <v/>
      </c>
      <c r="AQ80" s="100" t="str">
        <f aca="false">IF(ISBLANK($C80),"",IF($N80=Constants!$B$2,TRUE(),IF($N80=Constants!$B$3,FALSE(),FALSE())))</f>
        <v/>
      </c>
      <c r="AR80" s="100" t="str">
        <f aca="false">IF(ISBLANK($C80),"",IF($O80=Constants!$B$2,TRUE(),IF($O80=Constants!$B$3,FALSE(),TRUE())))</f>
        <v/>
      </c>
      <c r="AS80" s="100" t="str">
        <f aca="false">IF(ISBLANK($C80),"",IF($P80=Constants!$B$2,TRUE(),IF($P80=Constants!$B$3,FALSE(),FALSE())))</f>
        <v/>
      </c>
      <c r="AT80" s="100" t="str">
        <f aca="false">IF(ISBLANK($C80),"",IF($Q80=Constants!$B$2,TRUE(),IF($Q80=Constants!$B$3,FALSE(),FALSE())))</f>
        <v/>
      </c>
      <c r="AU80" s="100" t="str">
        <f aca="false">IF(ISBLANK($C80),"",IF($R80=Constants!$B$2,TRUE(),IF($R80=Constants!$B$3,FALSE(),FALSE())))</f>
        <v/>
      </c>
      <c r="AV80" s="100" t="str">
        <f aca="false">IF(ISBLANK($C80),"",IF($S80=Constants!$B$2,TRUE(),IF($S80=Constants!$B$3,FALSE(),FALSE())))</f>
        <v/>
      </c>
      <c r="AW80" s="100" t="str">
        <f aca="false">IF(ISBLANK($C80),"",IF($T80=Constants!$B$2,TRUE(),IF($T80=Constants!$B$3,FALSE(),FALSE())))</f>
        <v/>
      </c>
      <c r="AX80" s="100" t="str">
        <f aca="false">IF(ISBLANK($C80),"",IF(OR($U80&amp;""="1",$U80&amp;""="2",$U80&amp;""="3",$U80&amp;""="4"),VALUE($U80&amp;""),IF($U80=Constants!$B$12,Constants!$B$12,"")))</f>
        <v/>
      </c>
      <c r="AY80" s="100" t="str">
        <f aca="false">IF(ISBLANK($C80),"",IF(ISBLANK($V80),0,IF(ISNUMBER($V80),IF(AND($V80&gt;=0,$V80&lt;=Constants!$B$21,$V80=INT($V80)),$V80,""),"")))</f>
        <v/>
      </c>
      <c r="AZ80" s="100" t="str">
        <f aca="false">IF(ISBLANK($C80),"",IF(ISBLANK($W80),0,IF(ISNUMBER($W80),IF($W80&gt;=0,$W80,""),"")))</f>
        <v/>
      </c>
      <c r="BA80" s="100" t="str">
        <f aca="false">IF(ISBLANK($C80),"",IF($X80=Constants!$B$2,TRUE(),IF($X80=Constants!$B$3,FALSE(),TRUE())))</f>
        <v/>
      </c>
      <c r="BB80" s="100" t="str">
        <f aca="false">IF(ISBLANK($C80),"",IF($Y80=Constants!$B$2,TRUE(),IF($Y80=Constants!$B$3,FALSE(),FALSE())))</f>
        <v/>
      </c>
      <c r="BC80" s="100" t="str">
        <f aca="false">IF(ISBLANK($C80),"",IF(ISBLANK($Z80),0,IF(ISNUMBER($Z80),IF(AND($Z80&gt;=0,$Z80&lt;=Constants!$B$35,$Z80=INT($Z80)),$Z80,""),"")))</f>
        <v/>
      </c>
      <c r="BD80" s="100" t="str">
        <f aca="false">IF(ISBLANK($C80),"",IF($AA80=Constants!$B$2,TRUE(),IF($AA80=Constants!$B$3,FALSE(),TRUE())))</f>
        <v/>
      </c>
      <c r="BE80" s="100" t="str">
        <f aca="false">IF(ISBLANK($C80),"",IF($AB80=Constants!$B$2,TRUE(),IF($AB80=Constants!$B$3,FALSE(),TRUE())))</f>
        <v/>
      </c>
      <c r="BF80" s="100" t="str">
        <f aca="false">IF(ISBLANK($C80),"",IF(ISNUMBER($AC80),IF($AC80&gt;=0,$AC80,""),""))</f>
        <v/>
      </c>
      <c r="BG80" s="100" t="str">
        <f aca="false">IF(ISBLANK($C80),"",IF($AD80=Constants!$B$2,TRUE(),IF($AD80=Constants!$B$3,FALSE(),FALSE())))</f>
        <v/>
      </c>
      <c r="BH80" s="99" t="str">
        <f aca="false">IF(ISBLANK($C80),"",IF($BG80,Constants!$B$7,IF(COUNTA($E80:$AC80)=0,Constants!$B$6,IF(OR(COUNTA($G80:$AC80)=0,NOT($AK80),$AQ80),Constants!$B$5,IF(OR($CI80&lt;&gt;"",$CJ80,$CK80,$CL80,$CM80,$CN80,$CO80),Constants!$B$8,Constants!$B$4)))))</f>
        <v/>
      </c>
      <c r="BI80" s="100" t="str">
        <f aca="false">IF(ISBLANK($C80),"",IF($BH80&lt;&gt;Constants!$B$4,$BH80,IF(OR(NOT($AH80),NOT($AJ80),NOT($AR80)),Constants!$B$11,IF(OR(NOT($AP80),MAX($AL80,$AM80,$AN80)&gt;Constants!$B$30),Constants!$B$10,Constants!$B$9))))</f>
        <v/>
      </c>
      <c r="BJ80" s="100" t="str">
        <f aca="false">IF($BH80&lt;&gt;Constants!$B$4,"",IF(NOT($AJ80),0,MIN(Constants!$B$35,$BC80)))</f>
        <v/>
      </c>
      <c r="BK80" s="100" t="str">
        <f aca="false">IF($BH80&lt;&gt;Constants!$B$4,"",IF(NOT($AJ80),0,IF($AT80,Constants!$B$18,IF($AS80,Constants!$B$17,0))))</f>
        <v/>
      </c>
      <c r="BL80" s="100" t="str">
        <f aca="false">IF($BH80&lt;&gt;Constants!$B$4,"",IF(NOT($AJ80),0,Constants!$B$19*($AI80+$AU80+$AV80+$AW80)))</f>
        <v/>
      </c>
      <c r="BM80" s="100" t="str">
        <f aca="false">IF($BH80&lt;&gt;Constants!$B$4,"",IF(OR(NOT($AJ80),NOT(ISNUMBER($AX80))),0,CHOOSE($AX80,Constants!$B$13,Constants!$B$14,Constants!$B$15,Constants!$B$16)))</f>
        <v/>
      </c>
      <c r="BN80" s="100" t="str">
        <f aca="false">IF($BH80&lt;&gt;Constants!$B$4,"",IF(NOT($AJ80),0,Constants!$B$20*$AY80))</f>
        <v/>
      </c>
      <c r="BO80" s="100" t="str">
        <f aca="false">IF($BH80&lt;&gt;Constants!$B$4,"",IF(AND($AJ80,$BA80,$BB80),Constants!$B$22,0))</f>
        <v/>
      </c>
      <c r="BP80" s="100" t="str">
        <f aca="false">IF($BH80&lt;&gt;Constants!$B$4,"",IF(OR(NOT($AJ80),NOT($BA80)),0,IF($BF80&gt;=2*$AF$9,0,Constants!$B$23*INT(ROUND(MIN($BF80,$AF$9),6)))))</f>
        <v/>
      </c>
      <c r="BQ80" s="100" t="str">
        <f aca="false">IF($BH80&lt;&gt;Constants!$B$4,"",IF(NOT($AJ80),0,Constants!$B$24*INT(ROUND(MIN($AZ80,$AF$9),6))))</f>
        <v/>
      </c>
      <c r="BR80" s="100" t="str">
        <f aca="false">IF($BH80&lt;&gt;Constants!$B$4,"",IF(AND($AJ80,$BJ80=0),Constants!$B$25,0))</f>
        <v/>
      </c>
      <c r="BS80" s="100" t="str">
        <f aca="false">IF($BH80&lt;&gt;Constants!$B$4,"",MIN(Constants!$B$29,MAX(0,Constants!$B$27*Constants!$B$28*INT(ROUND((Constants!$B$26-$AL80)/Constants!$B$28,6))))+MIN(Constants!$B$29,MAX(0,Constants!$B$27*Constants!$B$28*INT(ROUND((Constants!$B$26-$AM80)/Constants!$B$28,6))))+MIN(Constants!$B$29,MAX(0,Constants!$B$27*Constants!$B$28*INT(ROUND((Constants!$B$26-$AN80)/Constants!$B$28,6)))))</f>
        <v/>
      </c>
      <c r="BT80" s="100" t="str">
        <f aca="false">IF($BH80&lt;&gt;Constants!$B$4,"",IF(NOT($AJ80),0,Constants!$B$31*INT(ROUND(MAX(0,MIN($BF80,2*$AF$9)-$AF$9),6))))</f>
        <v/>
      </c>
      <c r="BU80" s="100" t="str">
        <f aca="false">IF($BH80&lt;&gt;Constants!$B$4,"",Constants!$B$32*(($AL80&gt;Constants!$B$26)+($AM80&gt;Constants!$B$26)+($AN80&gt;Constants!$B$26)))</f>
        <v/>
      </c>
      <c r="BV80" s="100" t="str">
        <f aca="false">IF($BH80&lt;&gt;Constants!$B$4,"",IF(OR(NOT($AJ80),$AO80),0,Constants!$B$33))</f>
        <v/>
      </c>
      <c r="BW80" s="100" t="str">
        <f aca="false">IF($BH80&lt;&gt;Constants!$B$4,"",Constants!$B$34*$BJ80)</f>
        <v/>
      </c>
      <c r="BX80" s="100" t="str">
        <f aca="false">IF($BH80&lt;&gt;Constants!$B$4,"",IF(OR(NOT($AJ80),$BE80),0,Constants!$B$36))</f>
        <v/>
      </c>
      <c r="BY80" s="100" t="str">
        <f aca="false">IF($BH80&lt;&gt;Constants!$B$4,"",IF(OR(NOT($AJ80),$BD80),0,Constants!$B$37))</f>
        <v/>
      </c>
      <c r="BZ80" s="100" t="str">
        <f aca="false">IF($BH80&lt;&gt;Constants!$B$4,"",SUM($BT80:$BY80))</f>
        <v/>
      </c>
      <c r="CA80" s="100" t="str">
        <f aca="false">IF(ISBLANK($C80),"",IF($BH80&lt;&gt;Constants!$B$4,$BH80,SUM($BK80:$BS80)-$BZ80))</f>
        <v/>
      </c>
      <c r="CB80" s="100" t="str">
        <f aca="false">IF(ISBLANK($C80),"",IF($BH80&lt;&gt;Constants!$B$4,$BH80,RANK($CA80,$CA$9:$CA$508)))</f>
        <v/>
      </c>
      <c r="CC80" s="100" t="str">
        <f aca="false">IF(ISBLANK($C80),"",IF($BH80&lt;&gt;Constants!$B$4,$BH80,COUNTIFS($BI$9:$BI$508,"&lt;"&amp;$BI80)+COUNTIFS($BI$9:$BI$508,$BI80,$CB$9:$CB$508,"&lt;"&amp;$CB80)+1))</f>
        <v/>
      </c>
      <c r="CD80" s="100" t="str">
        <f aca="false">IF(ISBLANK($C80),"",IF($BH80&lt;&gt;Constants!$B$4,$BH80,RANK($BZ80,$BZ$9:$BZ$508,1)))</f>
        <v/>
      </c>
      <c r="CE80" s="100" t="str">
        <f aca="false">IF($BH80&lt;&gt;Constants!$B$4,"",$AL80+$AM80+$AN80)</f>
        <v/>
      </c>
      <c r="CF80" s="100" t="str">
        <f aca="false">IF(ISBLANK($C80),"",IF($BH80&lt;&gt;Constants!$B$4,$BH80,RANK($CE80,$CE$9:$CE$508,1)))</f>
        <v/>
      </c>
      <c r="CG80" s="100" t="str">
        <f aca="false">IF(ISBLANK($C80),"",IF($BH80&lt;&gt;Constants!$B$4,$BH80,COUNTIFS($BI$9:$BI$508,"&lt;"&amp;$BI80)+COUNTIFS($BI$9:$BI$508,$BI80,$CB$9:$CB$508,"&lt;"&amp;$CB80)+COUNTIFS($BI$9:$BI$508,$BI80,$CB$9:$CB$508,$CB80,$CD$9:$CD$508,"&lt;"&amp;$CD80)+COUNTIFS($BI$9:$BI$508,$BI80,$CB$9:$CB$508,$CB80,$CD$9:$CD$508,$CD80,$CF$9:$CF$508,"&lt;"&amp;$CF80)+1))</f>
        <v/>
      </c>
      <c r="CH80" s="100" t="str">
        <f aca="false">IF(ISBLANK($C80),"",IF($BH80&lt;&gt;Constants!$B$4,$BH80,$CC80-$CG80))</f>
        <v/>
      </c>
      <c r="CI80" s="100" t="str">
        <f aca="false">IF(ISBLANK($C80),"",IF(NOT($AJ80),"",IF(ISBLANK($D$7),$CI$5,IF(NOT(ISNUMBER($D$7)),$CI$6,""))))</f>
        <v/>
      </c>
      <c r="CJ80" s="100" t="str">
        <f aca="false">IF(ISBLANK($C80),"",OR($AL80="",$AM80="",$AN80=""))</f>
        <v/>
      </c>
      <c r="CK80" s="100" t="str">
        <f aca="false">IF(ISBLANK($C80),"",AND($AJ80,$AX80=""))</f>
        <v/>
      </c>
      <c r="CL80" s="100" t="str">
        <f aca="false">IF(ISBLANK($C80),"",AND($AJ80,$AY80=""))</f>
        <v/>
      </c>
      <c r="CM80" s="100" t="str">
        <f aca="false">IF(ISBLANK($C80),"",AND($AJ80,$AZ80=""))</f>
        <v/>
      </c>
      <c r="CN80" s="100" t="str">
        <f aca="false">IF(ISBLANK($C80),"",AND($AJ80,$BC80=""))</f>
        <v/>
      </c>
      <c r="CO80" s="100" t="str">
        <f aca="false">IF(ISBLANK($C80),"",AND($AJ80,$BF80=""))</f>
        <v/>
      </c>
      <c r="CP80" s="101"/>
      <c r="CQ80" s="102"/>
      <c r="CR80" s="103" t="str">
        <f aca="false">IF(ISBLANK($C80),"",IF($BH80=Constants!$B$8,$CI80,""))</f>
        <v/>
      </c>
      <c r="CS80" s="102" t="str">
        <f aca="false">IF(ISBLANK($C80),"",IF($BH80&lt;&gt;Constants!$B$4,"",$BK80+$BL80))</f>
        <v/>
      </c>
      <c r="CT80" s="104" t="str">
        <f aca="false">IF(ISBLANK($C80),"",IF($BH80&lt;&gt;Constants!$B$4,"",$BM80+$BN80+$BO80))</f>
        <v/>
      </c>
      <c r="CU80" s="104" t="str">
        <f aca="false">IF(ISBLANK($C80),"",IF($BH80&lt;&gt;Constants!$B$4,"",$BP80))</f>
        <v/>
      </c>
      <c r="CV80" s="104" t="str">
        <f aca="false">IF(ISBLANK($C80),"",IF($BH80&lt;&gt;Constants!$B$4,"",$BQ80+$BR80))</f>
        <v/>
      </c>
      <c r="CW80" s="104" t="str">
        <f aca="false">IF(ISBLANK($C80),"",IF($BH80&lt;&gt;Constants!$B$4,"",$BS80))</f>
        <v/>
      </c>
      <c r="CX80" s="104" t="str">
        <f aca="false">IF(ISBLANK($C80),"",IF($BH80&lt;&gt;Constants!$B$4,"",-$BZ80))</f>
        <v/>
      </c>
      <c r="CY80" s="103" t="str">
        <f aca="false">IF(ISBLANK($C80),"",$CA80)</f>
        <v/>
      </c>
      <c r="CZ80" s="105" t="str">
        <f aca="false">IF(ISBLANK($C80),"",$BI80)</f>
        <v/>
      </c>
      <c r="DA80" s="104" t="str">
        <f aca="false">IF(ISBLANK($C80),"",$CH80)</f>
        <v/>
      </c>
      <c r="DB80" s="104" t="str">
        <f aca="false">IF(ISBLANK($C80),"",$CG80)</f>
        <v/>
      </c>
      <c r="DC80" s="106" t="str">
        <f aca="false">IF(ISBLANK($C80),"",IFERROR(_xlfn.SWITCH($DB80,Constants!$B$7,COUNTA($C$9:$C$508)+2,Constants!$B$6,COUNTA($C$9:$C$508)+1,Constants!$B$5,COUNTA($C$9:$C$508)),$DB80))</f>
        <v/>
      </c>
      <c r="DD80" s="7"/>
      <c r="DE80" s="107" t="n">
        <f aca="false">IF(OR(ISNUMBER($DB80),$DB80=Constants!$B$7,$DB80=Constants!$B$5,$DB80=Constants!$B$6),1,0)</f>
        <v>0</v>
      </c>
      <c r="DF80" s="107" t="n">
        <v>72</v>
      </c>
      <c r="DG80" s="107" t="str">
        <f aca="false">IF(ISBLANK($C80),"",IF(ISNUMBER($DC80),$DC80+ROW($B80)/1000,""))</f>
        <v/>
      </c>
      <c r="DH80" s="107" t="str">
        <f aca="false">IF(ISNUMBER($DG80),RANK($DG80,$DG$9:$DG$508,1),"")</f>
        <v/>
      </c>
      <c r="DI80" s="107" t="str">
        <f aca="false">IF(ISBLANK($C80),"",$B80)</f>
        <v/>
      </c>
      <c r="DJ80" s="107" t="str">
        <f aca="false">IF(ISBLANK($C80),"",$C80)</f>
        <v/>
      </c>
      <c r="DK80" s="107" t="str">
        <f aca="false">IF(ISBLANK($C80),"",$D80)</f>
        <v/>
      </c>
      <c r="DL80" s="108" t="str">
        <f aca="false">$CZ80</f>
        <v/>
      </c>
      <c r="DM80" s="109" t="str">
        <f aca="false">$CY80</f>
        <v/>
      </c>
      <c r="DN80" s="107" t="str">
        <f aca="false">IF(ISBLANK($C80),"",$DB80)</f>
        <v/>
      </c>
      <c r="DO80" s="110" t="str">
        <f aca="false">IF($DF80&gt;$DE$8,"",VLOOKUP($DF80,$DH$9:$DN$508,7,FALSE()))</f>
        <v/>
      </c>
      <c r="DP80" s="111" t="str">
        <f aca="false">IF($DF80&gt;$DE$8,"",VLOOKUP($DF80,$DH$9:$DN$508,2,FALSE()))</f>
        <v/>
      </c>
      <c r="DQ80" s="111" t="str">
        <f aca="false">IF($DF80&gt;$DE$8,"",VLOOKUP($DF80,$DH$9:$DN$508,3,FALSE()))</f>
        <v/>
      </c>
      <c r="DR80" s="111" t="str">
        <f aca="false">IF($DF80&gt;$DE$8,"",VLOOKUP($DF80,$DH$9:$DN$508,4,FALSE()))</f>
        <v/>
      </c>
      <c r="DS80" s="111" t="str">
        <f aca="false">IF($DF80&gt;$DE$8,"",VLOOKUP($DF80,$DH$9:$DN$508,5,FALSE()))</f>
        <v/>
      </c>
      <c r="DT80" s="112" t="str">
        <f aca="false">IF($DF80&gt;$DE$8,"",VLOOKUP($DF80,$DH$9:$DN$508,6,FALSE()))</f>
        <v/>
      </c>
      <c r="DU80" s="62"/>
    </row>
    <row r="81" customFormat="false" ht="15.75" hidden="false" customHeight="false" outlineLevel="0" collapsed="false">
      <c r="A81" s="7"/>
      <c r="B81" s="64"/>
      <c r="C81" s="65"/>
      <c r="D81" s="123"/>
      <c r="E81" s="88"/>
      <c r="F81" s="134"/>
      <c r="G81" s="88"/>
      <c r="H81" s="134"/>
      <c r="I81" s="69"/>
      <c r="J81" s="69"/>
      <c r="K81" s="69"/>
      <c r="L81" s="88"/>
      <c r="M81" s="88"/>
      <c r="N81" s="88"/>
      <c r="O81" s="134"/>
      <c r="P81" s="88"/>
      <c r="Q81" s="88"/>
      <c r="R81" s="88"/>
      <c r="S81" s="88"/>
      <c r="T81" s="134"/>
      <c r="U81" s="88"/>
      <c r="V81" s="70"/>
      <c r="W81" s="88"/>
      <c r="X81" s="88"/>
      <c r="Y81" s="70"/>
      <c r="Z81" s="70"/>
      <c r="AA81" s="88"/>
      <c r="AB81" s="88"/>
      <c r="AC81" s="71"/>
      <c r="AD81" s="88"/>
      <c r="AE81" s="73"/>
      <c r="AF81" s="74"/>
      <c r="AG81" s="74"/>
      <c r="AH81" s="74" t="str">
        <f aca="false">IF(ISBLANK($C81),"",IF($E81=Constants!$B$2,TRUE(),IF($E81=Constants!$B$3,FALSE(),TRUE())))</f>
        <v/>
      </c>
      <c r="AI81" s="74" t="str">
        <f aca="false">IF(ISBLANK($C81),"",IF($F81=Constants!$B$2,TRUE(),IF($F81=Constants!$B$3,FALSE(),FALSE())))</f>
        <v/>
      </c>
      <c r="AJ81" s="74" t="str">
        <f aca="false">IF(ISBLANK($C81),"",IF($G81=Constants!$B$2,TRUE(),IF($G81=Constants!$B$3,FALSE(),TRUE())))</f>
        <v/>
      </c>
      <c r="AK81" s="74" t="str">
        <f aca="false">IF(ISBLANK($C81),"",IF($H81=Constants!$B$2,TRUE(),IF($H81=Constants!$B$3,FALSE(),TRUE())))</f>
        <v/>
      </c>
      <c r="AL81" s="74" t="str">
        <f aca="false">IF(ISBLANK($C81),"",IF(ISNUMBER($I81),IF($I81&gt;=0,$I81,""),""))</f>
        <v/>
      </c>
      <c r="AM81" s="74" t="str">
        <f aca="false">IF(ISBLANK($C81),"",IF(ISNUMBER($J81),IF($J81&gt;=0,$J81,""),""))</f>
        <v/>
      </c>
      <c r="AN81" s="74" t="str">
        <f aca="false">IF(ISBLANK($C81),"",IF(ISNUMBER($K81),IF($K81&gt;=0,$K81,""),""))</f>
        <v/>
      </c>
      <c r="AO81" s="74" t="str">
        <f aca="false">IF(ISBLANK($C81),"",IF($L81=Constants!$B$2,TRUE(),IF($L81=Constants!$B$3,FALSE(),TRUE())))</f>
        <v/>
      </c>
      <c r="AP81" s="74" t="str">
        <f aca="false">IF(ISBLANK($C81),"",IF($M81=Constants!$B$2,TRUE(),IF($M81=Constants!$B$3,FALSE(),TRUE())))</f>
        <v/>
      </c>
      <c r="AQ81" s="74" t="str">
        <f aca="false">IF(ISBLANK($C81),"",IF($N81=Constants!$B$2,TRUE(),IF($N81=Constants!$B$3,FALSE(),FALSE())))</f>
        <v/>
      </c>
      <c r="AR81" s="74" t="str">
        <f aca="false">IF(ISBLANK($C81),"",IF($O81=Constants!$B$2,TRUE(),IF($O81=Constants!$B$3,FALSE(),TRUE())))</f>
        <v/>
      </c>
      <c r="AS81" s="74" t="str">
        <f aca="false">IF(ISBLANK($C81),"",IF($P81=Constants!$B$2,TRUE(),IF($P81=Constants!$B$3,FALSE(),FALSE())))</f>
        <v/>
      </c>
      <c r="AT81" s="74" t="str">
        <f aca="false">IF(ISBLANK($C81),"",IF($Q81=Constants!$B$2,TRUE(),IF($Q81=Constants!$B$3,FALSE(),FALSE())))</f>
        <v/>
      </c>
      <c r="AU81" s="74" t="str">
        <f aca="false">IF(ISBLANK($C81),"",IF($R81=Constants!$B$2,TRUE(),IF($R81=Constants!$B$3,FALSE(),FALSE())))</f>
        <v/>
      </c>
      <c r="AV81" s="74" t="str">
        <f aca="false">IF(ISBLANK($C81),"",IF($S81=Constants!$B$2,TRUE(),IF($S81=Constants!$B$3,FALSE(),FALSE())))</f>
        <v/>
      </c>
      <c r="AW81" s="74" t="str">
        <f aca="false">IF(ISBLANK($C81),"",IF($T81=Constants!$B$2,TRUE(),IF($T81=Constants!$B$3,FALSE(),FALSE())))</f>
        <v/>
      </c>
      <c r="AX81" s="74" t="str">
        <f aca="false">IF(ISBLANK($C81),"",IF(OR($U81&amp;""="1",$U81&amp;""="2",$U81&amp;""="3",$U81&amp;""="4"),VALUE($U81&amp;""),IF($U81=Constants!$B$12,Constants!$B$12,"")))</f>
        <v/>
      </c>
      <c r="AY81" s="74" t="str">
        <f aca="false">IF(ISBLANK($C81),"",IF(ISBLANK($V81),0,IF(ISNUMBER($V81),IF(AND($V81&gt;=0,$V81&lt;=Constants!$B$21,$V81=INT($V81)),$V81,""),"")))</f>
        <v/>
      </c>
      <c r="AZ81" s="74" t="str">
        <f aca="false">IF(ISBLANK($C81),"",IF(ISBLANK($W81),0,IF(ISNUMBER($W81),IF($W81&gt;=0,$W81,""),"")))</f>
        <v/>
      </c>
      <c r="BA81" s="74" t="str">
        <f aca="false">IF(ISBLANK($C81),"",IF($X81=Constants!$B$2,TRUE(),IF($X81=Constants!$B$3,FALSE(),TRUE())))</f>
        <v/>
      </c>
      <c r="BB81" s="74" t="str">
        <f aca="false">IF(ISBLANK($C81),"",IF($Y81=Constants!$B$2,TRUE(),IF($Y81=Constants!$B$3,FALSE(),FALSE())))</f>
        <v/>
      </c>
      <c r="BC81" s="74" t="str">
        <f aca="false">IF(ISBLANK($C81),"",IF(ISBLANK($Z81),0,IF(ISNUMBER($Z81),IF(AND($Z81&gt;=0,$Z81&lt;=Constants!$B$35,$Z81=INT($Z81)),$Z81,""),"")))</f>
        <v/>
      </c>
      <c r="BD81" s="74" t="str">
        <f aca="false">IF(ISBLANK($C81),"",IF($AA81=Constants!$B$2,TRUE(),IF($AA81=Constants!$B$3,FALSE(),TRUE())))</f>
        <v/>
      </c>
      <c r="BE81" s="74" t="str">
        <f aca="false">IF(ISBLANK($C81),"",IF($AB81=Constants!$B$2,TRUE(),IF($AB81=Constants!$B$3,FALSE(),TRUE())))</f>
        <v/>
      </c>
      <c r="BF81" s="74" t="str">
        <f aca="false">IF(ISBLANK($C81),"",IF(ISNUMBER($AC81),IF($AC81&gt;=0,$AC81,""),""))</f>
        <v/>
      </c>
      <c r="BG81" s="74" t="str">
        <f aca="false">IF(ISBLANK($C81),"",IF($AD81=Constants!$B$2,TRUE(),IF($AD81=Constants!$B$3,FALSE(),FALSE())))</f>
        <v/>
      </c>
      <c r="BH81" s="73" t="str">
        <f aca="false">IF(ISBLANK($C81),"",IF($BG81,Constants!$B$7,IF(COUNTA($E81:$AC81)=0,Constants!$B$6,IF(OR(COUNTA($G81:$AC81)=0,NOT($AK81),$AQ81),Constants!$B$5,IF(OR($CI81&lt;&gt;"",$CJ81,$CK81,$CL81,$CM81,$CN81,$CO81),Constants!$B$8,Constants!$B$4)))))</f>
        <v/>
      </c>
      <c r="BI81" s="74" t="str">
        <f aca="false">IF(ISBLANK($C81),"",IF($BH81&lt;&gt;Constants!$B$4,$BH81,IF(OR(NOT($AH81),NOT($AJ81),NOT($AR81)),Constants!$B$11,IF(OR(NOT($AP81),MAX($AL81,$AM81,$AN81)&gt;Constants!$B$30),Constants!$B$10,Constants!$B$9))))</f>
        <v/>
      </c>
      <c r="BJ81" s="74" t="str">
        <f aca="false">IF($BH81&lt;&gt;Constants!$B$4,"",IF(NOT($AJ81),0,MIN(Constants!$B$35,$BC81)))</f>
        <v/>
      </c>
      <c r="BK81" s="74" t="str">
        <f aca="false">IF($BH81&lt;&gt;Constants!$B$4,"",IF(NOT($AJ81),0,IF($AT81,Constants!$B$18,IF($AS81,Constants!$B$17,0))))</f>
        <v/>
      </c>
      <c r="BL81" s="74" t="str">
        <f aca="false">IF($BH81&lt;&gt;Constants!$B$4,"",IF(NOT($AJ81),0,Constants!$B$19*($AI81+$AU81+$AV81+$AW81)))</f>
        <v/>
      </c>
      <c r="BM81" s="74" t="str">
        <f aca="false">IF($BH81&lt;&gt;Constants!$B$4,"",IF(OR(NOT($AJ81),NOT(ISNUMBER($AX81))),0,CHOOSE($AX81,Constants!$B$13,Constants!$B$14,Constants!$B$15,Constants!$B$16)))</f>
        <v/>
      </c>
      <c r="BN81" s="74" t="str">
        <f aca="false">IF($BH81&lt;&gt;Constants!$B$4,"",IF(NOT($AJ81),0,Constants!$B$20*$AY81))</f>
        <v/>
      </c>
      <c r="BO81" s="74" t="str">
        <f aca="false">IF($BH81&lt;&gt;Constants!$B$4,"",IF(AND($AJ81,$BA81,$BB81),Constants!$B$22,0))</f>
        <v/>
      </c>
      <c r="BP81" s="74" t="str">
        <f aca="false">IF($BH81&lt;&gt;Constants!$B$4,"",IF(OR(NOT($AJ81),NOT($BA81)),0,IF($BF81&gt;=2*$AF$9,0,Constants!$B$23*INT(ROUND(MIN($BF81,$AF$9),6)))))</f>
        <v/>
      </c>
      <c r="BQ81" s="74" t="str">
        <f aca="false">IF($BH81&lt;&gt;Constants!$B$4,"",IF(NOT($AJ81),0,Constants!$B$24*INT(ROUND(MIN($AZ81,$AF$9),6))))</f>
        <v/>
      </c>
      <c r="BR81" s="74" t="str">
        <f aca="false">IF($BH81&lt;&gt;Constants!$B$4,"",IF(AND($AJ81,$BJ81=0),Constants!$B$25,0))</f>
        <v/>
      </c>
      <c r="BS81" s="74" t="str">
        <f aca="false">IF($BH81&lt;&gt;Constants!$B$4,"",MIN(Constants!$B$29,MAX(0,Constants!$B$27*Constants!$B$28*INT(ROUND((Constants!$B$26-$AL81)/Constants!$B$28,6))))+MIN(Constants!$B$29,MAX(0,Constants!$B$27*Constants!$B$28*INT(ROUND((Constants!$B$26-$AM81)/Constants!$B$28,6))))+MIN(Constants!$B$29,MAX(0,Constants!$B$27*Constants!$B$28*INT(ROUND((Constants!$B$26-$AN81)/Constants!$B$28,6)))))</f>
        <v/>
      </c>
      <c r="BT81" s="74" t="str">
        <f aca="false">IF($BH81&lt;&gt;Constants!$B$4,"",IF(NOT($AJ81),0,Constants!$B$31*INT(ROUND(MAX(0,MIN($BF81,2*$AF$9)-$AF$9),6))))</f>
        <v/>
      </c>
      <c r="BU81" s="74" t="str">
        <f aca="false">IF($BH81&lt;&gt;Constants!$B$4,"",Constants!$B$32*(($AL81&gt;Constants!$B$26)+($AM81&gt;Constants!$B$26)+($AN81&gt;Constants!$B$26)))</f>
        <v/>
      </c>
      <c r="BV81" s="74" t="str">
        <f aca="false">IF($BH81&lt;&gt;Constants!$B$4,"",IF(OR(NOT($AJ81),$AO81),0,Constants!$B$33))</f>
        <v/>
      </c>
      <c r="BW81" s="74" t="str">
        <f aca="false">IF($BH81&lt;&gt;Constants!$B$4,"",Constants!$B$34*$BJ81)</f>
        <v/>
      </c>
      <c r="BX81" s="74" t="str">
        <f aca="false">IF($BH81&lt;&gt;Constants!$B$4,"",IF(OR(NOT($AJ81),$BE81),0,Constants!$B$36))</f>
        <v/>
      </c>
      <c r="BY81" s="74" t="str">
        <f aca="false">IF($BH81&lt;&gt;Constants!$B$4,"",IF(OR(NOT($AJ81),$BD81),0,Constants!$B$37))</f>
        <v/>
      </c>
      <c r="BZ81" s="74" t="str">
        <f aca="false">IF($BH81&lt;&gt;Constants!$B$4,"",SUM($BT81:$BY81))</f>
        <v/>
      </c>
      <c r="CA81" s="74" t="str">
        <f aca="false">IF(ISBLANK($C81),"",IF($BH81&lt;&gt;Constants!$B$4,$BH81,SUM($BK81:$BS81)-$BZ81))</f>
        <v/>
      </c>
      <c r="CB81" s="74" t="str">
        <f aca="false">IF(ISBLANK($C81),"",IF($BH81&lt;&gt;Constants!$B$4,$BH81,RANK($CA81,$CA$9:$CA$508)))</f>
        <v/>
      </c>
      <c r="CC81" s="74" t="str">
        <f aca="false">IF(ISBLANK($C81),"",IF($BH81&lt;&gt;Constants!$B$4,$BH81,COUNTIFS($BI$9:$BI$508,"&lt;"&amp;$BI81)+COUNTIFS($BI$9:$BI$508,$BI81,$CB$9:$CB$508,"&lt;"&amp;$CB81)+1))</f>
        <v/>
      </c>
      <c r="CD81" s="74" t="str">
        <f aca="false">IF(ISBLANK($C81),"",IF($BH81&lt;&gt;Constants!$B$4,$BH81,RANK($BZ81,$BZ$9:$BZ$508,1)))</f>
        <v/>
      </c>
      <c r="CE81" s="74" t="str">
        <f aca="false">IF($BH81&lt;&gt;Constants!$B$4,"",$AL81+$AM81+$AN81)</f>
        <v/>
      </c>
      <c r="CF81" s="74" t="str">
        <f aca="false">IF(ISBLANK($C81),"",IF($BH81&lt;&gt;Constants!$B$4,$BH81,RANK($CE81,$CE$9:$CE$508,1)))</f>
        <v/>
      </c>
      <c r="CG81" s="74" t="str">
        <f aca="false">IF(ISBLANK($C81),"",IF($BH81&lt;&gt;Constants!$B$4,$BH81,COUNTIFS($BI$9:$BI$508,"&lt;"&amp;$BI81)+COUNTIFS($BI$9:$BI$508,$BI81,$CB$9:$CB$508,"&lt;"&amp;$CB81)+COUNTIFS($BI$9:$BI$508,$BI81,$CB$9:$CB$508,$CB81,$CD$9:$CD$508,"&lt;"&amp;$CD81)+COUNTIFS($BI$9:$BI$508,$BI81,$CB$9:$CB$508,$CB81,$CD$9:$CD$508,$CD81,$CF$9:$CF$508,"&lt;"&amp;$CF81)+1))</f>
        <v/>
      </c>
      <c r="CH81" s="74" t="str">
        <f aca="false">IF(ISBLANK($C81),"",IF($BH81&lt;&gt;Constants!$B$4,$BH81,$CC81-$CG81))</f>
        <v/>
      </c>
      <c r="CI81" s="74" t="str">
        <f aca="false">IF(ISBLANK($C81),"",IF(NOT($AJ81),"",IF(ISBLANK($D$7),$CI$5,IF(NOT(ISNUMBER($D$7)),$CI$6,""))))</f>
        <v/>
      </c>
      <c r="CJ81" s="74" t="str">
        <f aca="false">IF(ISBLANK($C81),"",OR($AL81="",$AM81="",$AN81=""))</f>
        <v/>
      </c>
      <c r="CK81" s="74" t="str">
        <f aca="false">IF(ISBLANK($C81),"",AND($AJ81,$AX81=""))</f>
        <v/>
      </c>
      <c r="CL81" s="74" t="str">
        <f aca="false">IF(ISBLANK($C81),"",AND($AJ81,$AY81=""))</f>
        <v/>
      </c>
      <c r="CM81" s="74" t="str">
        <f aca="false">IF(ISBLANK($C81),"",AND($AJ81,$AZ81=""))</f>
        <v/>
      </c>
      <c r="CN81" s="74" t="str">
        <f aca="false">IF(ISBLANK($C81),"",AND($AJ81,$BC81=""))</f>
        <v/>
      </c>
      <c r="CO81" s="74" t="str">
        <f aca="false">IF(ISBLANK($C81),"",AND($AJ81,$BF81=""))</f>
        <v/>
      </c>
      <c r="CP81" s="75"/>
      <c r="CQ81" s="76"/>
      <c r="CR81" s="79" t="str">
        <f aca="false">IF(ISBLANK($C81),"",IF($BH81=Constants!$B$8,$CI81,""))</f>
        <v/>
      </c>
      <c r="CS81" s="76" t="str">
        <f aca="false">IF(ISBLANK($C81),"",IF($BH81&lt;&gt;Constants!$B$4,"",$BK81+$BL81))</f>
        <v/>
      </c>
      <c r="CT81" s="78" t="str">
        <f aca="false">IF(ISBLANK($C81),"",IF($BH81&lt;&gt;Constants!$B$4,"",$BM81+$BN81+$BO81))</f>
        <v/>
      </c>
      <c r="CU81" s="78" t="str">
        <f aca="false">IF(ISBLANK($C81),"",IF($BH81&lt;&gt;Constants!$B$4,"",$BP81))</f>
        <v/>
      </c>
      <c r="CV81" s="78" t="str">
        <f aca="false">IF(ISBLANK($C81),"",IF($BH81&lt;&gt;Constants!$B$4,"",$BQ81+$BR81))</f>
        <v/>
      </c>
      <c r="CW81" s="78" t="str">
        <f aca="false">IF(ISBLANK($C81),"",IF($BH81&lt;&gt;Constants!$B$4,"",$BS81))</f>
        <v/>
      </c>
      <c r="CX81" s="78" t="str">
        <f aca="false">IF(ISBLANK($C81),"",IF($BH81&lt;&gt;Constants!$B$4,"",-$BZ81))</f>
        <v/>
      </c>
      <c r="CY81" s="79" t="str">
        <f aca="false">IF(ISBLANK($C81),"",$CA81)</f>
        <v/>
      </c>
      <c r="CZ81" s="80" t="str">
        <f aca="false">IF(ISBLANK($C81),"",$BI81)</f>
        <v/>
      </c>
      <c r="DA81" s="78" t="str">
        <f aca="false">IF(ISBLANK($C81),"",$CH81)</f>
        <v/>
      </c>
      <c r="DB81" s="78" t="str">
        <f aca="false">IF(ISBLANK($C81),"",$CG81)</f>
        <v/>
      </c>
      <c r="DC81" s="81" t="str">
        <f aca="false">IF(ISBLANK($C81),"",IFERROR(_xlfn.SWITCH($DB81,Constants!$B$7,COUNTA($C$9:$C$508)+2,Constants!$B$6,COUNTA($C$9:$C$508)+1,Constants!$B$5,COUNTA($C$9:$C$508)),$DB81))</f>
        <v/>
      </c>
      <c r="DD81" s="7"/>
      <c r="DE81" s="82" t="n">
        <f aca="false">IF(OR(ISNUMBER($DB81),$DB81=Constants!$B$7,$DB81=Constants!$B$5,$DB81=Constants!$B$6),1,0)</f>
        <v>0</v>
      </c>
      <c r="DF81" s="82" t="n">
        <v>73</v>
      </c>
      <c r="DG81" s="82" t="str">
        <f aca="false">IF(ISBLANK($C81),"",IF(ISNUMBER($DC81),$DC81+ROW($B81)/1000,""))</f>
        <v/>
      </c>
      <c r="DH81" s="82" t="str">
        <f aca="false">IF(ISNUMBER($DG81),RANK($DG81,$DG$9:$DG$508,1),"")</f>
        <v/>
      </c>
      <c r="DI81" s="82" t="str">
        <f aca="false">IF(ISBLANK($C81),"",$B81)</f>
        <v/>
      </c>
      <c r="DJ81" s="82" t="str">
        <f aca="false">IF(ISBLANK($C81),"",$C81)</f>
        <v/>
      </c>
      <c r="DK81" s="82" t="str">
        <f aca="false">IF(ISBLANK($C81),"",$D81)</f>
        <v/>
      </c>
      <c r="DL81" s="83" t="str">
        <f aca="false">$CZ81</f>
        <v/>
      </c>
      <c r="DM81" s="84" t="str">
        <f aca="false">$CY81</f>
        <v/>
      </c>
      <c r="DN81" s="82" t="str">
        <f aca="false">IF(ISBLANK($C81),"",$DB81)</f>
        <v/>
      </c>
      <c r="DO81" s="85" t="str">
        <f aca="false">IF($DF81&gt;$DE$8,"",VLOOKUP($DF81,$DH$9:$DN$508,7,FALSE()))</f>
        <v/>
      </c>
      <c r="DP81" s="86" t="str">
        <f aca="false">IF($DF81&gt;$DE$8,"",VLOOKUP($DF81,$DH$9:$DN$508,2,FALSE()))</f>
        <v/>
      </c>
      <c r="DQ81" s="86" t="str">
        <f aca="false">IF($DF81&gt;$DE$8,"",VLOOKUP($DF81,$DH$9:$DN$508,3,FALSE()))</f>
        <v/>
      </c>
      <c r="DR81" s="86" t="str">
        <f aca="false">IF($DF81&gt;$DE$8,"",VLOOKUP($DF81,$DH$9:$DN$508,4,FALSE()))</f>
        <v/>
      </c>
      <c r="DS81" s="86" t="str">
        <f aca="false">IF($DF81&gt;$DE$8,"",VLOOKUP($DF81,$DH$9:$DN$508,5,FALSE()))</f>
        <v/>
      </c>
      <c r="DT81" s="87" t="str">
        <f aca="false">IF($DF81&gt;$DE$8,"",VLOOKUP($DF81,$DH$9:$DN$508,6,FALSE()))</f>
        <v/>
      </c>
      <c r="DU81" s="62"/>
    </row>
    <row r="82" customFormat="false" ht="15.75" hidden="false" customHeight="false" outlineLevel="0" collapsed="false">
      <c r="A82" s="7"/>
      <c r="B82" s="64"/>
      <c r="C82" s="65"/>
      <c r="D82" s="66"/>
      <c r="E82" s="88"/>
      <c r="F82" s="134"/>
      <c r="G82" s="88"/>
      <c r="H82" s="134"/>
      <c r="I82" s="69"/>
      <c r="J82" s="69"/>
      <c r="K82" s="69"/>
      <c r="L82" s="88"/>
      <c r="M82" s="88"/>
      <c r="N82" s="88"/>
      <c r="O82" s="134"/>
      <c r="P82" s="88"/>
      <c r="Q82" s="88"/>
      <c r="R82" s="88"/>
      <c r="S82" s="88"/>
      <c r="T82" s="134"/>
      <c r="U82" s="88"/>
      <c r="V82" s="70"/>
      <c r="W82" s="88"/>
      <c r="X82" s="88"/>
      <c r="Y82" s="70"/>
      <c r="Z82" s="70"/>
      <c r="AA82" s="88"/>
      <c r="AB82" s="88"/>
      <c r="AC82" s="71"/>
      <c r="AD82" s="88"/>
      <c r="AE82" s="73"/>
      <c r="AF82" s="74"/>
      <c r="AG82" s="74"/>
      <c r="AH82" s="74" t="str">
        <f aca="false">IF(ISBLANK($C82),"",IF($E82=Constants!$B$2,TRUE(),IF($E82=Constants!$B$3,FALSE(),TRUE())))</f>
        <v/>
      </c>
      <c r="AI82" s="74" t="str">
        <f aca="false">IF(ISBLANK($C82),"",IF($F82=Constants!$B$2,TRUE(),IF($F82=Constants!$B$3,FALSE(),FALSE())))</f>
        <v/>
      </c>
      <c r="AJ82" s="74" t="str">
        <f aca="false">IF(ISBLANK($C82),"",IF($G82=Constants!$B$2,TRUE(),IF($G82=Constants!$B$3,FALSE(),TRUE())))</f>
        <v/>
      </c>
      <c r="AK82" s="74" t="str">
        <f aca="false">IF(ISBLANK($C82),"",IF($H82=Constants!$B$2,TRUE(),IF($H82=Constants!$B$3,FALSE(),TRUE())))</f>
        <v/>
      </c>
      <c r="AL82" s="74" t="str">
        <f aca="false">IF(ISBLANK($C82),"",IF(ISNUMBER($I82),IF($I82&gt;=0,$I82,""),""))</f>
        <v/>
      </c>
      <c r="AM82" s="74" t="str">
        <f aca="false">IF(ISBLANK($C82),"",IF(ISNUMBER($J82),IF($J82&gt;=0,$J82,""),""))</f>
        <v/>
      </c>
      <c r="AN82" s="74" t="str">
        <f aca="false">IF(ISBLANK($C82),"",IF(ISNUMBER($K82),IF($K82&gt;=0,$K82,""),""))</f>
        <v/>
      </c>
      <c r="AO82" s="74" t="str">
        <f aca="false">IF(ISBLANK($C82),"",IF($L82=Constants!$B$2,TRUE(),IF($L82=Constants!$B$3,FALSE(),TRUE())))</f>
        <v/>
      </c>
      <c r="AP82" s="74" t="str">
        <f aca="false">IF(ISBLANK($C82),"",IF($M82=Constants!$B$2,TRUE(),IF($M82=Constants!$B$3,FALSE(),TRUE())))</f>
        <v/>
      </c>
      <c r="AQ82" s="74" t="str">
        <f aca="false">IF(ISBLANK($C82),"",IF($N82=Constants!$B$2,TRUE(),IF($N82=Constants!$B$3,FALSE(),FALSE())))</f>
        <v/>
      </c>
      <c r="AR82" s="74" t="str">
        <f aca="false">IF(ISBLANK($C82),"",IF($O82=Constants!$B$2,TRUE(),IF($O82=Constants!$B$3,FALSE(),TRUE())))</f>
        <v/>
      </c>
      <c r="AS82" s="74" t="str">
        <f aca="false">IF(ISBLANK($C82),"",IF($P82=Constants!$B$2,TRUE(),IF($P82=Constants!$B$3,FALSE(),FALSE())))</f>
        <v/>
      </c>
      <c r="AT82" s="74" t="str">
        <f aca="false">IF(ISBLANK($C82),"",IF($Q82=Constants!$B$2,TRUE(),IF($Q82=Constants!$B$3,FALSE(),FALSE())))</f>
        <v/>
      </c>
      <c r="AU82" s="74" t="str">
        <f aca="false">IF(ISBLANK($C82),"",IF($R82=Constants!$B$2,TRUE(),IF($R82=Constants!$B$3,FALSE(),FALSE())))</f>
        <v/>
      </c>
      <c r="AV82" s="74" t="str">
        <f aca="false">IF(ISBLANK($C82),"",IF($S82=Constants!$B$2,TRUE(),IF($S82=Constants!$B$3,FALSE(),FALSE())))</f>
        <v/>
      </c>
      <c r="AW82" s="74" t="str">
        <f aca="false">IF(ISBLANK($C82),"",IF($T82=Constants!$B$2,TRUE(),IF($T82=Constants!$B$3,FALSE(),FALSE())))</f>
        <v/>
      </c>
      <c r="AX82" s="74" t="str">
        <f aca="false">IF(ISBLANK($C82),"",IF(OR($U82&amp;""="1",$U82&amp;""="2",$U82&amp;""="3",$U82&amp;""="4"),VALUE($U82&amp;""),IF($U82=Constants!$B$12,Constants!$B$12,"")))</f>
        <v/>
      </c>
      <c r="AY82" s="74" t="str">
        <f aca="false">IF(ISBLANK($C82),"",IF(ISBLANK($V82),0,IF(ISNUMBER($V82),IF(AND($V82&gt;=0,$V82&lt;=Constants!$B$21,$V82=INT($V82)),$V82,""),"")))</f>
        <v/>
      </c>
      <c r="AZ82" s="74" t="str">
        <f aca="false">IF(ISBLANK($C82),"",IF(ISBLANK($W82),0,IF(ISNUMBER($W82),IF($W82&gt;=0,$W82,""),"")))</f>
        <v/>
      </c>
      <c r="BA82" s="74" t="str">
        <f aca="false">IF(ISBLANK($C82),"",IF($X82=Constants!$B$2,TRUE(),IF($X82=Constants!$B$3,FALSE(),TRUE())))</f>
        <v/>
      </c>
      <c r="BB82" s="74" t="str">
        <f aca="false">IF(ISBLANK($C82),"",IF($Y82=Constants!$B$2,TRUE(),IF($Y82=Constants!$B$3,FALSE(),FALSE())))</f>
        <v/>
      </c>
      <c r="BC82" s="74" t="str">
        <f aca="false">IF(ISBLANK($C82),"",IF(ISBLANK($Z82),0,IF(ISNUMBER($Z82),IF(AND($Z82&gt;=0,$Z82&lt;=Constants!$B$35,$Z82=INT($Z82)),$Z82,""),"")))</f>
        <v/>
      </c>
      <c r="BD82" s="74" t="str">
        <f aca="false">IF(ISBLANK($C82),"",IF($AA82=Constants!$B$2,TRUE(),IF($AA82=Constants!$B$3,FALSE(),TRUE())))</f>
        <v/>
      </c>
      <c r="BE82" s="74" t="str">
        <f aca="false">IF(ISBLANK($C82),"",IF($AB82=Constants!$B$2,TRUE(),IF($AB82=Constants!$B$3,FALSE(),TRUE())))</f>
        <v/>
      </c>
      <c r="BF82" s="74" t="str">
        <f aca="false">IF(ISBLANK($C82),"",IF(ISNUMBER($AC82),IF($AC82&gt;=0,$AC82,""),""))</f>
        <v/>
      </c>
      <c r="BG82" s="74" t="str">
        <f aca="false">IF(ISBLANK($C82),"",IF($AD82=Constants!$B$2,TRUE(),IF($AD82=Constants!$B$3,FALSE(),FALSE())))</f>
        <v/>
      </c>
      <c r="BH82" s="73" t="str">
        <f aca="false">IF(ISBLANK($C82),"",IF($BG82,Constants!$B$7,IF(COUNTA($E82:$AC82)=0,Constants!$B$6,IF(OR(COUNTA($G82:$AC82)=0,NOT($AK82),$AQ82),Constants!$B$5,IF(OR($CI82&lt;&gt;"",$CJ82,$CK82,$CL82,$CM82,$CN82,$CO82),Constants!$B$8,Constants!$B$4)))))</f>
        <v/>
      </c>
      <c r="BI82" s="74" t="str">
        <f aca="false">IF(ISBLANK($C82),"",IF($BH82&lt;&gt;Constants!$B$4,$BH82,IF(OR(NOT($AH82),NOT($AJ82),NOT($AR82)),Constants!$B$11,IF(OR(NOT($AP82),MAX($AL82,$AM82,$AN82)&gt;Constants!$B$30),Constants!$B$10,Constants!$B$9))))</f>
        <v/>
      </c>
      <c r="BJ82" s="74" t="str">
        <f aca="false">IF($BH82&lt;&gt;Constants!$B$4,"",IF(NOT($AJ82),0,MIN(Constants!$B$35,$BC82)))</f>
        <v/>
      </c>
      <c r="BK82" s="74" t="str">
        <f aca="false">IF($BH82&lt;&gt;Constants!$B$4,"",IF(NOT($AJ82),0,IF($AT82,Constants!$B$18,IF($AS82,Constants!$B$17,0))))</f>
        <v/>
      </c>
      <c r="BL82" s="74" t="str">
        <f aca="false">IF($BH82&lt;&gt;Constants!$B$4,"",IF(NOT($AJ82),0,Constants!$B$19*($AI82+$AU82+$AV82+$AW82)))</f>
        <v/>
      </c>
      <c r="BM82" s="74" t="str">
        <f aca="false">IF($BH82&lt;&gt;Constants!$B$4,"",IF(OR(NOT($AJ82),NOT(ISNUMBER($AX82))),0,CHOOSE($AX82,Constants!$B$13,Constants!$B$14,Constants!$B$15,Constants!$B$16)))</f>
        <v/>
      </c>
      <c r="BN82" s="74" t="str">
        <f aca="false">IF($BH82&lt;&gt;Constants!$B$4,"",IF(NOT($AJ82),0,Constants!$B$20*$AY82))</f>
        <v/>
      </c>
      <c r="BO82" s="74" t="str">
        <f aca="false">IF($BH82&lt;&gt;Constants!$B$4,"",IF(AND($AJ82,$BA82,$BB82),Constants!$B$22,0))</f>
        <v/>
      </c>
      <c r="BP82" s="74" t="str">
        <f aca="false">IF($BH82&lt;&gt;Constants!$B$4,"",IF(OR(NOT($AJ82),NOT($BA82)),0,IF($BF82&gt;=2*$AF$9,0,Constants!$B$23*INT(ROUND(MIN($BF82,$AF$9),6)))))</f>
        <v/>
      </c>
      <c r="BQ82" s="74" t="str">
        <f aca="false">IF($BH82&lt;&gt;Constants!$B$4,"",IF(NOT($AJ82),0,Constants!$B$24*INT(ROUND(MIN($AZ82,$AF$9),6))))</f>
        <v/>
      </c>
      <c r="BR82" s="74" t="str">
        <f aca="false">IF($BH82&lt;&gt;Constants!$B$4,"",IF(AND($AJ82,$BJ82=0),Constants!$B$25,0))</f>
        <v/>
      </c>
      <c r="BS82" s="74" t="str">
        <f aca="false">IF($BH82&lt;&gt;Constants!$B$4,"",MIN(Constants!$B$29,MAX(0,Constants!$B$27*Constants!$B$28*INT(ROUND((Constants!$B$26-$AL82)/Constants!$B$28,6))))+MIN(Constants!$B$29,MAX(0,Constants!$B$27*Constants!$B$28*INT(ROUND((Constants!$B$26-$AM82)/Constants!$B$28,6))))+MIN(Constants!$B$29,MAX(0,Constants!$B$27*Constants!$B$28*INT(ROUND((Constants!$B$26-$AN82)/Constants!$B$28,6)))))</f>
        <v/>
      </c>
      <c r="BT82" s="74" t="str">
        <f aca="false">IF($BH82&lt;&gt;Constants!$B$4,"",IF(NOT($AJ82),0,Constants!$B$31*INT(ROUND(MAX(0,MIN($BF82,2*$AF$9)-$AF$9),6))))</f>
        <v/>
      </c>
      <c r="BU82" s="74" t="str">
        <f aca="false">IF($BH82&lt;&gt;Constants!$B$4,"",Constants!$B$32*(($AL82&gt;Constants!$B$26)+($AM82&gt;Constants!$B$26)+($AN82&gt;Constants!$B$26)))</f>
        <v/>
      </c>
      <c r="BV82" s="74" t="str">
        <f aca="false">IF($BH82&lt;&gt;Constants!$B$4,"",IF(OR(NOT($AJ82),$AO82),0,Constants!$B$33))</f>
        <v/>
      </c>
      <c r="BW82" s="74" t="str">
        <f aca="false">IF($BH82&lt;&gt;Constants!$B$4,"",Constants!$B$34*$BJ82)</f>
        <v/>
      </c>
      <c r="BX82" s="74" t="str">
        <f aca="false">IF($BH82&lt;&gt;Constants!$B$4,"",IF(OR(NOT($AJ82),$BE82),0,Constants!$B$36))</f>
        <v/>
      </c>
      <c r="BY82" s="74" t="str">
        <f aca="false">IF($BH82&lt;&gt;Constants!$B$4,"",IF(OR(NOT($AJ82),$BD82),0,Constants!$B$37))</f>
        <v/>
      </c>
      <c r="BZ82" s="74" t="str">
        <f aca="false">IF($BH82&lt;&gt;Constants!$B$4,"",SUM($BT82:$BY82))</f>
        <v/>
      </c>
      <c r="CA82" s="74" t="str">
        <f aca="false">IF(ISBLANK($C82),"",IF($BH82&lt;&gt;Constants!$B$4,$BH82,SUM($BK82:$BS82)-$BZ82))</f>
        <v/>
      </c>
      <c r="CB82" s="74" t="str">
        <f aca="false">IF(ISBLANK($C82),"",IF($BH82&lt;&gt;Constants!$B$4,$BH82,RANK($CA82,$CA$9:$CA$508)))</f>
        <v/>
      </c>
      <c r="CC82" s="74" t="str">
        <f aca="false">IF(ISBLANK($C82),"",IF($BH82&lt;&gt;Constants!$B$4,$BH82,COUNTIFS($BI$9:$BI$508,"&lt;"&amp;$BI82)+COUNTIFS($BI$9:$BI$508,$BI82,$CB$9:$CB$508,"&lt;"&amp;$CB82)+1))</f>
        <v/>
      </c>
      <c r="CD82" s="74" t="str">
        <f aca="false">IF(ISBLANK($C82),"",IF($BH82&lt;&gt;Constants!$B$4,$BH82,RANK($BZ82,$BZ$9:$BZ$508,1)))</f>
        <v/>
      </c>
      <c r="CE82" s="74" t="str">
        <f aca="false">IF($BH82&lt;&gt;Constants!$B$4,"",$AL82+$AM82+$AN82)</f>
        <v/>
      </c>
      <c r="CF82" s="74" t="str">
        <f aca="false">IF(ISBLANK($C82),"",IF($BH82&lt;&gt;Constants!$B$4,$BH82,RANK($CE82,$CE$9:$CE$508,1)))</f>
        <v/>
      </c>
      <c r="CG82" s="74" t="str">
        <f aca="false">IF(ISBLANK($C82),"",IF($BH82&lt;&gt;Constants!$B$4,$BH82,COUNTIFS($BI$9:$BI$508,"&lt;"&amp;$BI82)+COUNTIFS($BI$9:$BI$508,$BI82,$CB$9:$CB$508,"&lt;"&amp;$CB82)+COUNTIFS($BI$9:$BI$508,$BI82,$CB$9:$CB$508,$CB82,$CD$9:$CD$508,"&lt;"&amp;$CD82)+COUNTIFS($BI$9:$BI$508,$BI82,$CB$9:$CB$508,$CB82,$CD$9:$CD$508,$CD82,$CF$9:$CF$508,"&lt;"&amp;$CF82)+1))</f>
        <v/>
      </c>
      <c r="CH82" s="74" t="str">
        <f aca="false">IF(ISBLANK($C82),"",IF($BH82&lt;&gt;Constants!$B$4,$BH82,$CC82-$CG82))</f>
        <v/>
      </c>
      <c r="CI82" s="74" t="str">
        <f aca="false">IF(ISBLANK($C82),"",IF(NOT($AJ82),"",IF(ISBLANK($D$7),$CI$5,IF(NOT(ISNUMBER($D$7)),$CI$6,""))))</f>
        <v/>
      </c>
      <c r="CJ82" s="74" t="str">
        <f aca="false">IF(ISBLANK($C82),"",OR($AL82="",$AM82="",$AN82=""))</f>
        <v/>
      </c>
      <c r="CK82" s="74" t="str">
        <f aca="false">IF(ISBLANK($C82),"",AND($AJ82,$AX82=""))</f>
        <v/>
      </c>
      <c r="CL82" s="74" t="str">
        <f aca="false">IF(ISBLANK($C82),"",AND($AJ82,$AY82=""))</f>
        <v/>
      </c>
      <c r="CM82" s="74" t="str">
        <f aca="false">IF(ISBLANK($C82),"",AND($AJ82,$AZ82=""))</f>
        <v/>
      </c>
      <c r="CN82" s="74" t="str">
        <f aca="false">IF(ISBLANK($C82),"",AND($AJ82,$BC82=""))</f>
        <v/>
      </c>
      <c r="CO82" s="74" t="str">
        <f aca="false">IF(ISBLANK($C82),"",AND($AJ82,$BF82=""))</f>
        <v/>
      </c>
      <c r="CP82" s="75"/>
      <c r="CQ82" s="76"/>
      <c r="CR82" s="79" t="str">
        <f aca="false">IF(ISBLANK($C82),"",IF($BH82=Constants!$B$8,$CI82,""))</f>
        <v/>
      </c>
      <c r="CS82" s="76" t="str">
        <f aca="false">IF(ISBLANK($C82),"",IF($BH82&lt;&gt;Constants!$B$4,"",$BK82+$BL82))</f>
        <v/>
      </c>
      <c r="CT82" s="78" t="str">
        <f aca="false">IF(ISBLANK($C82),"",IF($BH82&lt;&gt;Constants!$B$4,"",$BM82+$BN82+$BO82))</f>
        <v/>
      </c>
      <c r="CU82" s="78" t="str">
        <f aca="false">IF(ISBLANK($C82),"",IF($BH82&lt;&gt;Constants!$B$4,"",$BP82))</f>
        <v/>
      </c>
      <c r="CV82" s="78" t="str">
        <f aca="false">IF(ISBLANK($C82),"",IF($BH82&lt;&gt;Constants!$B$4,"",$BQ82+$BR82))</f>
        <v/>
      </c>
      <c r="CW82" s="78" t="str">
        <f aca="false">IF(ISBLANK($C82),"",IF($BH82&lt;&gt;Constants!$B$4,"",$BS82))</f>
        <v/>
      </c>
      <c r="CX82" s="78" t="str">
        <f aca="false">IF(ISBLANK($C82),"",IF($BH82&lt;&gt;Constants!$B$4,"",-$BZ82))</f>
        <v/>
      </c>
      <c r="CY82" s="79" t="str">
        <f aca="false">IF(ISBLANK($C82),"",$CA82)</f>
        <v/>
      </c>
      <c r="CZ82" s="80" t="str">
        <f aca="false">IF(ISBLANK($C82),"",$BI82)</f>
        <v/>
      </c>
      <c r="DA82" s="78" t="str">
        <f aca="false">IF(ISBLANK($C82),"",$CH82)</f>
        <v/>
      </c>
      <c r="DB82" s="78" t="str">
        <f aca="false">IF(ISBLANK($C82),"",$CG82)</f>
        <v/>
      </c>
      <c r="DC82" s="81" t="str">
        <f aca="false">IF(ISBLANK($C82),"",IFERROR(_xlfn.SWITCH($DB82,Constants!$B$7,COUNTA($C$9:$C$508)+2,Constants!$B$6,COUNTA($C$9:$C$508)+1,Constants!$B$5,COUNTA($C$9:$C$508)),$DB82))</f>
        <v/>
      </c>
      <c r="DD82" s="7"/>
      <c r="DE82" s="82" t="n">
        <f aca="false">IF(OR(ISNUMBER($DB82),$DB82=Constants!$B$7,$DB82=Constants!$B$5,$DB82=Constants!$B$6),1,0)</f>
        <v>0</v>
      </c>
      <c r="DF82" s="82" t="n">
        <v>74</v>
      </c>
      <c r="DG82" s="82" t="str">
        <f aca="false">IF(ISBLANK($C82),"",IF(ISNUMBER($DC82),$DC82+ROW($B82)/1000,""))</f>
        <v/>
      </c>
      <c r="DH82" s="82" t="str">
        <f aca="false">IF(ISNUMBER($DG82),RANK($DG82,$DG$9:$DG$508,1),"")</f>
        <v/>
      </c>
      <c r="DI82" s="82" t="str">
        <f aca="false">IF(ISBLANK($C82),"",$B82)</f>
        <v/>
      </c>
      <c r="DJ82" s="82" t="str">
        <f aca="false">IF(ISBLANK($C82),"",$C82)</f>
        <v/>
      </c>
      <c r="DK82" s="82" t="str">
        <f aca="false">IF(ISBLANK($C82),"",$D82)</f>
        <v/>
      </c>
      <c r="DL82" s="83" t="str">
        <f aca="false">$CZ82</f>
        <v/>
      </c>
      <c r="DM82" s="84" t="str">
        <f aca="false">$CY82</f>
        <v/>
      </c>
      <c r="DN82" s="82" t="str">
        <f aca="false">IF(ISBLANK($C82),"",$DB82)</f>
        <v/>
      </c>
      <c r="DO82" s="85" t="str">
        <f aca="false">IF($DF82&gt;$DE$8,"",VLOOKUP($DF82,$DH$9:$DN$508,7,FALSE()))</f>
        <v/>
      </c>
      <c r="DP82" s="86" t="str">
        <f aca="false">IF($DF82&gt;$DE$8,"",VLOOKUP($DF82,$DH$9:$DN$508,2,FALSE()))</f>
        <v/>
      </c>
      <c r="DQ82" s="86" t="str">
        <f aca="false">IF($DF82&gt;$DE$8,"",VLOOKUP($DF82,$DH$9:$DN$508,3,FALSE()))</f>
        <v/>
      </c>
      <c r="DR82" s="86" t="str">
        <f aca="false">IF($DF82&gt;$DE$8,"",VLOOKUP($DF82,$DH$9:$DN$508,4,FALSE()))</f>
        <v/>
      </c>
      <c r="DS82" s="86" t="str">
        <f aca="false">IF($DF82&gt;$DE$8,"",VLOOKUP($DF82,$DH$9:$DN$508,5,FALSE()))</f>
        <v/>
      </c>
      <c r="DT82" s="87" t="str">
        <f aca="false">IF($DF82&gt;$DE$8,"",VLOOKUP($DF82,$DH$9:$DN$508,6,FALSE()))</f>
        <v/>
      </c>
      <c r="DU82" s="62"/>
    </row>
    <row r="83" customFormat="false" ht="15.75" hidden="false" customHeight="false" outlineLevel="0" collapsed="false">
      <c r="A83" s="7"/>
      <c r="B83" s="64"/>
      <c r="C83" s="65"/>
      <c r="D83" s="66"/>
      <c r="E83" s="88"/>
      <c r="F83" s="134"/>
      <c r="G83" s="88"/>
      <c r="H83" s="134"/>
      <c r="I83" s="69"/>
      <c r="J83" s="69"/>
      <c r="K83" s="69"/>
      <c r="L83" s="88"/>
      <c r="M83" s="88"/>
      <c r="N83" s="88"/>
      <c r="O83" s="134"/>
      <c r="P83" s="88"/>
      <c r="Q83" s="88"/>
      <c r="R83" s="88"/>
      <c r="S83" s="88"/>
      <c r="T83" s="134"/>
      <c r="U83" s="88"/>
      <c r="V83" s="70"/>
      <c r="W83" s="88"/>
      <c r="X83" s="88"/>
      <c r="Y83" s="70"/>
      <c r="Z83" s="70"/>
      <c r="AA83" s="88"/>
      <c r="AB83" s="88"/>
      <c r="AC83" s="71"/>
      <c r="AD83" s="88"/>
      <c r="AE83" s="73"/>
      <c r="AF83" s="74"/>
      <c r="AG83" s="74"/>
      <c r="AH83" s="74" t="str">
        <f aca="false">IF(ISBLANK($C83),"",IF($E83=Constants!$B$2,TRUE(),IF($E83=Constants!$B$3,FALSE(),TRUE())))</f>
        <v/>
      </c>
      <c r="AI83" s="74" t="str">
        <f aca="false">IF(ISBLANK($C83),"",IF($F83=Constants!$B$2,TRUE(),IF($F83=Constants!$B$3,FALSE(),FALSE())))</f>
        <v/>
      </c>
      <c r="AJ83" s="74" t="str">
        <f aca="false">IF(ISBLANK($C83),"",IF($G83=Constants!$B$2,TRUE(),IF($G83=Constants!$B$3,FALSE(),TRUE())))</f>
        <v/>
      </c>
      <c r="AK83" s="74" t="str">
        <f aca="false">IF(ISBLANK($C83),"",IF($H83=Constants!$B$2,TRUE(),IF($H83=Constants!$B$3,FALSE(),TRUE())))</f>
        <v/>
      </c>
      <c r="AL83" s="74" t="str">
        <f aca="false">IF(ISBLANK($C83),"",IF(ISNUMBER($I83),IF($I83&gt;=0,$I83,""),""))</f>
        <v/>
      </c>
      <c r="AM83" s="74" t="str">
        <f aca="false">IF(ISBLANK($C83),"",IF(ISNUMBER($J83),IF($J83&gt;=0,$J83,""),""))</f>
        <v/>
      </c>
      <c r="AN83" s="74" t="str">
        <f aca="false">IF(ISBLANK($C83),"",IF(ISNUMBER($K83),IF($K83&gt;=0,$K83,""),""))</f>
        <v/>
      </c>
      <c r="AO83" s="74" t="str">
        <f aca="false">IF(ISBLANK($C83),"",IF($L83=Constants!$B$2,TRUE(),IF($L83=Constants!$B$3,FALSE(),TRUE())))</f>
        <v/>
      </c>
      <c r="AP83" s="74" t="str">
        <f aca="false">IF(ISBLANK($C83),"",IF($M83=Constants!$B$2,TRUE(),IF($M83=Constants!$B$3,FALSE(),TRUE())))</f>
        <v/>
      </c>
      <c r="AQ83" s="74" t="str">
        <f aca="false">IF(ISBLANK($C83),"",IF($N83=Constants!$B$2,TRUE(),IF($N83=Constants!$B$3,FALSE(),FALSE())))</f>
        <v/>
      </c>
      <c r="AR83" s="74" t="str">
        <f aca="false">IF(ISBLANK($C83),"",IF($O83=Constants!$B$2,TRUE(),IF($O83=Constants!$B$3,FALSE(),TRUE())))</f>
        <v/>
      </c>
      <c r="AS83" s="74" t="str">
        <f aca="false">IF(ISBLANK($C83),"",IF($P83=Constants!$B$2,TRUE(),IF($P83=Constants!$B$3,FALSE(),FALSE())))</f>
        <v/>
      </c>
      <c r="AT83" s="74" t="str">
        <f aca="false">IF(ISBLANK($C83),"",IF($Q83=Constants!$B$2,TRUE(),IF($Q83=Constants!$B$3,FALSE(),FALSE())))</f>
        <v/>
      </c>
      <c r="AU83" s="74" t="str">
        <f aca="false">IF(ISBLANK($C83),"",IF($R83=Constants!$B$2,TRUE(),IF($R83=Constants!$B$3,FALSE(),FALSE())))</f>
        <v/>
      </c>
      <c r="AV83" s="74" t="str">
        <f aca="false">IF(ISBLANK($C83),"",IF($S83=Constants!$B$2,TRUE(),IF($S83=Constants!$B$3,FALSE(),FALSE())))</f>
        <v/>
      </c>
      <c r="AW83" s="74" t="str">
        <f aca="false">IF(ISBLANK($C83),"",IF($T83=Constants!$B$2,TRUE(),IF($T83=Constants!$B$3,FALSE(),FALSE())))</f>
        <v/>
      </c>
      <c r="AX83" s="74" t="str">
        <f aca="false">IF(ISBLANK($C83),"",IF(OR($U83&amp;""="1",$U83&amp;""="2",$U83&amp;""="3",$U83&amp;""="4"),VALUE($U83&amp;""),IF($U83=Constants!$B$12,Constants!$B$12,"")))</f>
        <v/>
      </c>
      <c r="AY83" s="74" t="str">
        <f aca="false">IF(ISBLANK($C83),"",IF(ISBLANK($V83),0,IF(ISNUMBER($V83),IF(AND($V83&gt;=0,$V83&lt;=Constants!$B$21,$V83=INT($V83)),$V83,""),"")))</f>
        <v/>
      </c>
      <c r="AZ83" s="74" t="str">
        <f aca="false">IF(ISBLANK($C83),"",IF(ISBLANK($W83),0,IF(ISNUMBER($W83),IF($W83&gt;=0,$W83,""),"")))</f>
        <v/>
      </c>
      <c r="BA83" s="74" t="str">
        <f aca="false">IF(ISBLANK($C83),"",IF($X83=Constants!$B$2,TRUE(),IF($X83=Constants!$B$3,FALSE(),TRUE())))</f>
        <v/>
      </c>
      <c r="BB83" s="74" t="str">
        <f aca="false">IF(ISBLANK($C83),"",IF($Y83=Constants!$B$2,TRUE(),IF($Y83=Constants!$B$3,FALSE(),FALSE())))</f>
        <v/>
      </c>
      <c r="BC83" s="74" t="str">
        <f aca="false">IF(ISBLANK($C83),"",IF(ISBLANK($Z83),0,IF(ISNUMBER($Z83),IF(AND($Z83&gt;=0,$Z83&lt;=Constants!$B$35,$Z83=INT($Z83)),$Z83,""),"")))</f>
        <v/>
      </c>
      <c r="BD83" s="74" t="str">
        <f aca="false">IF(ISBLANK($C83),"",IF($AA83=Constants!$B$2,TRUE(),IF($AA83=Constants!$B$3,FALSE(),TRUE())))</f>
        <v/>
      </c>
      <c r="BE83" s="74" t="str">
        <f aca="false">IF(ISBLANK($C83),"",IF($AB83=Constants!$B$2,TRUE(),IF($AB83=Constants!$B$3,FALSE(),TRUE())))</f>
        <v/>
      </c>
      <c r="BF83" s="74" t="str">
        <f aca="false">IF(ISBLANK($C83),"",IF(ISNUMBER($AC83),IF($AC83&gt;=0,$AC83,""),""))</f>
        <v/>
      </c>
      <c r="BG83" s="74" t="str">
        <f aca="false">IF(ISBLANK($C83),"",IF($AD83=Constants!$B$2,TRUE(),IF($AD83=Constants!$B$3,FALSE(),FALSE())))</f>
        <v/>
      </c>
      <c r="BH83" s="73" t="str">
        <f aca="false">IF(ISBLANK($C83),"",IF($BG83,Constants!$B$7,IF(COUNTA($E83:$AC83)=0,Constants!$B$6,IF(OR(COUNTA($G83:$AC83)=0,NOT($AK83),$AQ83),Constants!$B$5,IF(OR($CI83&lt;&gt;"",$CJ83,$CK83,$CL83,$CM83,$CN83,$CO83),Constants!$B$8,Constants!$B$4)))))</f>
        <v/>
      </c>
      <c r="BI83" s="74" t="str">
        <f aca="false">IF(ISBLANK($C83),"",IF($BH83&lt;&gt;Constants!$B$4,$BH83,IF(OR(NOT($AH83),NOT($AJ83),NOT($AR83)),Constants!$B$11,IF(OR(NOT($AP83),MAX($AL83,$AM83,$AN83)&gt;Constants!$B$30),Constants!$B$10,Constants!$B$9))))</f>
        <v/>
      </c>
      <c r="BJ83" s="74" t="str">
        <f aca="false">IF($BH83&lt;&gt;Constants!$B$4,"",IF(NOT($AJ83),0,MIN(Constants!$B$35,$BC83)))</f>
        <v/>
      </c>
      <c r="BK83" s="74" t="str">
        <f aca="false">IF($BH83&lt;&gt;Constants!$B$4,"",IF(NOT($AJ83),0,IF($AT83,Constants!$B$18,IF($AS83,Constants!$B$17,0))))</f>
        <v/>
      </c>
      <c r="BL83" s="74" t="str">
        <f aca="false">IF($BH83&lt;&gt;Constants!$B$4,"",IF(NOT($AJ83),0,Constants!$B$19*($AI83+$AU83+$AV83+$AW83)))</f>
        <v/>
      </c>
      <c r="BM83" s="74" t="str">
        <f aca="false">IF($BH83&lt;&gt;Constants!$B$4,"",IF(OR(NOT($AJ83),NOT(ISNUMBER($AX83))),0,CHOOSE($AX83,Constants!$B$13,Constants!$B$14,Constants!$B$15,Constants!$B$16)))</f>
        <v/>
      </c>
      <c r="BN83" s="74" t="str">
        <f aca="false">IF($BH83&lt;&gt;Constants!$B$4,"",IF(NOT($AJ83),0,Constants!$B$20*$AY83))</f>
        <v/>
      </c>
      <c r="BO83" s="74" t="str">
        <f aca="false">IF($BH83&lt;&gt;Constants!$B$4,"",IF(AND($AJ83,$BA83,$BB83),Constants!$B$22,0))</f>
        <v/>
      </c>
      <c r="BP83" s="74" t="str">
        <f aca="false">IF($BH83&lt;&gt;Constants!$B$4,"",IF(OR(NOT($AJ83),NOT($BA83)),0,IF($BF83&gt;=2*$AF$9,0,Constants!$B$23*INT(ROUND(MIN($BF83,$AF$9),6)))))</f>
        <v/>
      </c>
      <c r="BQ83" s="74" t="str">
        <f aca="false">IF($BH83&lt;&gt;Constants!$B$4,"",IF(NOT($AJ83),0,Constants!$B$24*INT(ROUND(MIN($AZ83,$AF$9),6))))</f>
        <v/>
      </c>
      <c r="BR83" s="74" t="str">
        <f aca="false">IF($BH83&lt;&gt;Constants!$B$4,"",IF(AND($AJ83,$BJ83=0),Constants!$B$25,0))</f>
        <v/>
      </c>
      <c r="BS83" s="74" t="str">
        <f aca="false">IF($BH83&lt;&gt;Constants!$B$4,"",MIN(Constants!$B$29,MAX(0,Constants!$B$27*Constants!$B$28*INT(ROUND((Constants!$B$26-$AL83)/Constants!$B$28,6))))+MIN(Constants!$B$29,MAX(0,Constants!$B$27*Constants!$B$28*INT(ROUND((Constants!$B$26-$AM83)/Constants!$B$28,6))))+MIN(Constants!$B$29,MAX(0,Constants!$B$27*Constants!$B$28*INT(ROUND((Constants!$B$26-$AN83)/Constants!$B$28,6)))))</f>
        <v/>
      </c>
      <c r="BT83" s="74" t="str">
        <f aca="false">IF($BH83&lt;&gt;Constants!$B$4,"",IF(NOT($AJ83),0,Constants!$B$31*INT(ROUND(MAX(0,MIN($BF83,2*$AF$9)-$AF$9),6))))</f>
        <v/>
      </c>
      <c r="BU83" s="74" t="str">
        <f aca="false">IF($BH83&lt;&gt;Constants!$B$4,"",Constants!$B$32*(($AL83&gt;Constants!$B$26)+($AM83&gt;Constants!$B$26)+($AN83&gt;Constants!$B$26)))</f>
        <v/>
      </c>
      <c r="BV83" s="74" t="str">
        <f aca="false">IF($BH83&lt;&gt;Constants!$B$4,"",IF(OR(NOT($AJ83),$AO83),0,Constants!$B$33))</f>
        <v/>
      </c>
      <c r="BW83" s="74" t="str">
        <f aca="false">IF($BH83&lt;&gt;Constants!$B$4,"",Constants!$B$34*$BJ83)</f>
        <v/>
      </c>
      <c r="BX83" s="74" t="str">
        <f aca="false">IF($BH83&lt;&gt;Constants!$B$4,"",IF(OR(NOT($AJ83),$BE83),0,Constants!$B$36))</f>
        <v/>
      </c>
      <c r="BY83" s="74" t="str">
        <f aca="false">IF($BH83&lt;&gt;Constants!$B$4,"",IF(OR(NOT($AJ83),$BD83),0,Constants!$B$37))</f>
        <v/>
      </c>
      <c r="BZ83" s="74" t="str">
        <f aca="false">IF($BH83&lt;&gt;Constants!$B$4,"",SUM($BT83:$BY83))</f>
        <v/>
      </c>
      <c r="CA83" s="74" t="str">
        <f aca="false">IF(ISBLANK($C83),"",IF($BH83&lt;&gt;Constants!$B$4,$BH83,SUM($BK83:$BS83)-$BZ83))</f>
        <v/>
      </c>
      <c r="CB83" s="74" t="str">
        <f aca="false">IF(ISBLANK($C83),"",IF($BH83&lt;&gt;Constants!$B$4,$BH83,RANK($CA83,$CA$9:$CA$508)))</f>
        <v/>
      </c>
      <c r="CC83" s="74" t="str">
        <f aca="false">IF(ISBLANK($C83),"",IF($BH83&lt;&gt;Constants!$B$4,$BH83,COUNTIFS($BI$9:$BI$508,"&lt;"&amp;$BI83)+COUNTIFS($BI$9:$BI$508,$BI83,$CB$9:$CB$508,"&lt;"&amp;$CB83)+1))</f>
        <v/>
      </c>
      <c r="CD83" s="74" t="str">
        <f aca="false">IF(ISBLANK($C83),"",IF($BH83&lt;&gt;Constants!$B$4,$BH83,RANK($BZ83,$BZ$9:$BZ$508,1)))</f>
        <v/>
      </c>
      <c r="CE83" s="74" t="str">
        <f aca="false">IF($BH83&lt;&gt;Constants!$B$4,"",$AL83+$AM83+$AN83)</f>
        <v/>
      </c>
      <c r="CF83" s="74" t="str">
        <f aca="false">IF(ISBLANK($C83),"",IF($BH83&lt;&gt;Constants!$B$4,$BH83,RANK($CE83,$CE$9:$CE$508,1)))</f>
        <v/>
      </c>
      <c r="CG83" s="74" t="str">
        <f aca="false">IF(ISBLANK($C83),"",IF($BH83&lt;&gt;Constants!$B$4,$BH83,COUNTIFS($BI$9:$BI$508,"&lt;"&amp;$BI83)+COUNTIFS($BI$9:$BI$508,$BI83,$CB$9:$CB$508,"&lt;"&amp;$CB83)+COUNTIFS($BI$9:$BI$508,$BI83,$CB$9:$CB$508,$CB83,$CD$9:$CD$508,"&lt;"&amp;$CD83)+COUNTIFS($BI$9:$BI$508,$BI83,$CB$9:$CB$508,$CB83,$CD$9:$CD$508,$CD83,$CF$9:$CF$508,"&lt;"&amp;$CF83)+1))</f>
        <v/>
      </c>
      <c r="CH83" s="74" t="str">
        <f aca="false">IF(ISBLANK($C83),"",IF($BH83&lt;&gt;Constants!$B$4,$BH83,$CC83-$CG83))</f>
        <v/>
      </c>
      <c r="CI83" s="74" t="str">
        <f aca="false">IF(ISBLANK($C83),"",IF(NOT($AJ83),"",IF(ISBLANK($D$7),$CI$5,IF(NOT(ISNUMBER($D$7)),$CI$6,""))))</f>
        <v/>
      </c>
      <c r="CJ83" s="74" t="str">
        <f aca="false">IF(ISBLANK($C83),"",OR($AL83="",$AM83="",$AN83=""))</f>
        <v/>
      </c>
      <c r="CK83" s="74" t="str">
        <f aca="false">IF(ISBLANK($C83),"",AND($AJ83,$AX83=""))</f>
        <v/>
      </c>
      <c r="CL83" s="74" t="str">
        <f aca="false">IF(ISBLANK($C83),"",AND($AJ83,$AY83=""))</f>
        <v/>
      </c>
      <c r="CM83" s="74" t="str">
        <f aca="false">IF(ISBLANK($C83),"",AND($AJ83,$AZ83=""))</f>
        <v/>
      </c>
      <c r="CN83" s="74" t="str">
        <f aca="false">IF(ISBLANK($C83),"",AND($AJ83,$BC83=""))</f>
        <v/>
      </c>
      <c r="CO83" s="74" t="str">
        <f aca="false">IF(ISBLANK($C83),"",AND($AJ83,$BF83=""))</f>
        <v/>
      </c>
      <c r="CP83" s="75"/>
      <c r="CQ83" s="76"/>
      <c r="CR83" s="79" t="str">
        <f aca="false">IF(ISBLANK($C83),"",IF($BH83=Constants!$B$8,$CI83,""))</f>
        <v/>
      </c>
      <c r="CS83" s="76" t="str">
        <f aca="false">IF(ISBLANK($C83),"",IF($BH83&lt;&gt;Constants!$B$4,"",$BK83+$BL83))</f>
        <v/>
      </c>
      <c r="CT83" s="78" t="str">
        <f aca="false">IF(ISBLANK($C83),"",IF($BH83&lt;&gt;Constants!$B$4,"",$BM83+$BN83+$BO83))</f>
        <v/>
      </c>
      <c r="CU83" s="78" t="str">
        <f aca="false">IF(ISBLANK($C83),"",IF($BH83&lt;&gt;Constants!$B$4,"",$BP83))</f>
        <v/>
      </c>
      <c r="CV83" s="78" t="str">
        <f aca="false">IF(ISBLANK($C83),"",IF($BH83&lt;&gt;Constants!$B$4,"",$BQ83+$BR83))</f>
        <v/>
      </c>
      <c r="CW83" s="78" t="str">
        <f aca="false">IF(ISBLANK($C83),"",IF($BH83&lt;&gt;Constants!$B$4,"",$BS83))</f>
        <v/>
      </c>
      <c r="CX83" s="78" t="str">
        <f aca="false">IF(ISBLANK($C83),"",IF($BH83&lt;&gt;Constants!$B$4,"",-$BZ83))</f>
        <v/>
      </c>
      <c r="CY83" s="79" t="str">
        <f aca="false">IF(ISBLANK($C83),"",$CA83)</f>
        <v/>
      </c>
      <c r="CZ83" s="80" t="str">
        <f aca="false">IF(ISBLANK($C83),"",$BI83)</f>
        <v/>
      </c>
      <c r="DA83" s="78" t="str">
        <f aca="false">IF(ISBLANK($C83),"",$CH83)</f>
        <v/>
      </c>
      <c r="DB83" s="78" t="str">
        <f aca="false">IF(ISBLANK($C83),"",$CG83)</f>
        <v/>
      </c>
      <c r="DC83" s="81" t="str">
        <f aca="false">IF(ISBLANK($C83),"",IFERROR(_xlfn.SWITCH($DB83,Constants!$B$7,COUNTA($C$9:$C$508)+2,Constants!$B$6,COUNTA($C$9:$C$508)+1,Constants!$B$5,COUNTA($C$9:$C$508)),$DB83))</f>
        <v/>
      </c>
      <c r="DD83" s="7"/>
      <c r="DE83" s="82" t="n">
        <f aca="false">IF(OR(ISNUMBER($DB83),$DB83=Constants!$B$7,$DB83=Constants!$B$5,$DB83=Constants!$B$6),1,0)</f>
        <v>0</v>
      </c>
      <c r="DF83" s="82" t="n">
        <v>75</v>
      </c>
      <c r="DG83" s="82" t="str">
        <f aca="false">IF(ISBLANK($C83),"",IF(ISNUMBER($DC83),$DC83+ROW($B83)/1000,""))</f>
        <v/>
      </c>
      <c r="DH83" s="82" t="str">
        <f aca="false">IF(ISNUMBER($DG83),RANK($DG83,$DG$9:$DG$508,1),"")</f>
        <v/>
      </c>
      <c r="DI83" s="82" t="str">
        <f aca="false">IF(ISBLANK($C83),"",$B83)</f>
        <v/>
      </c>
      <c r="DJ83" s="82" t="str">
        <f aca="false">IF(ISBLANK($C83),"",$C83)</f>
        <v/>
      </c>
      <c r="DK83" s="82" t="str">
        <f aca="false">IF(ISBLANK($C83),"",$D83)</f>
        <v/>
      </c>
      <c r="DL83" s="83" t="str">
        <f aca="false">$CZ83</f>
        <v/>
      </c>
      <c r="DM83" s="84" t="str">
        <f aca="false">$CY83</f>
        <v/>
      </c>
      <c r="DN83" s="82" t="str">
        <f aca="false">IF(ISBLANK($C83),"",$DB83)</f>
        <v/>
      </c>
      <c r="DO83" s="85" t="str">
        <f aca="false">IF($DF83&gt;$DE$8,"",VLOOKUP($DF83,$DH$9:$DN$508,7,FALSE()))</f>
        <v/>
      </c>
      <c r="DP83" s="86" t="str">
        <f aca="false">IF($DF83&gt;$DE$8,"",VLOOKUP($DF83,$DH$9:$DN$508,2,FALSE()))</f>
        <v/>
      </c>
      <c r="DQ83" s="86" t="str">
        <f aca="false">IF($DF83&gt;$DE$8,"",VLOOKUP($DF83,$DH$9:$DN$508,3,FALSE()))</f>
        <v/>
      </c>
      <c r="DR83" s="86" t="str">
        <f aca="false">IF($DF83&gt;$DE$8,"",VLOOKUP($DF83,$DH$9:$DN$508,4,FALSE()))</f>
        <v/>
      </c>
      <c r="DS83" s="86" t="str">
        <f aca="false">IF($DF83&gt;$DE$8,"",VLOOKUP($DF83,$DH$9:$DN$508,5,FALSE()))</f>
        <v/>
      </c>
      <c r="DT83" s="87" t="str">
        <f aca="false">IF($DF83&gt;$DE$8,"",VLOOKUP($DF83,$DH$9:$DN$508,6,FALSE()))</f>
        <v/>
      </c>
      <c r="DU83" s="62"/>
    </row>
    <row r="84" customFormat="false" ht="15.75" hidden="false" customHeight="false" outlineLevel="0" collapsed="false">
      <c r="A84" s="7"/>
      <c r="B84" s="90"/>
      <c r="C84" s="91"/>
      <c r="D84" s="126"/>
      <c r="E84" s="116"/>
      <c r="F84" s="113"/>
      <c r="G84" s="116"/>
      <c r="H84" s="113"/>
      <c r="I84" s="131"/>
      <c r="J84" s="131"/>
      <c r="K84" s="131"/>
      <c r="L84" s="116"/>
      <c r="M84" s="116"/>
      <c r="N84" s="116"/>
      <c r="O84" s="113"/>
      <c r="P84" s="116"/>
      <c r="Q84" s="116"/>
      <c r="R84" s="116"/>
      <c r="S84" s="116"/>
      <c r="T84" s="113"/>
      <c r="U84" s="116"/>
      <c r="V84" s="132"/>
      <c r="W84" s="116"/>
      <c r="X84" s="116"/>
      <c r="Y84" s="132"/>
      <c r="Z84" s="132"/>
      <c r="AA84" s="116"/>
      <c r="AB84" s="116"/>
      <c r="AC84" s="133"/>
      <c r="AD84" s="116"/>
      <c r="AE84" s="99"/>
      <c r="AF84" s="100"/>
      <c r="AG84" s="100"/>
      <c r="AH84" s="100" t="str">
        <f aca="false">IF(ISBLANK($C84),"",IF($E84=Constants!$B$2,TRUE(),IF($E84=Constants!$B$3,FALSE(),TRUE())))</f>
        <v/>
      </c>
      <c r="AI84" s="100" t="str">
        <f aca="false">IF(ISBLANK($C84),"",IF($F84=Constants!$B$2,TRUE(),IF($F84=Constants!$B$3,FALSE(),FALSE())))</f>
        <v/>
      </c>
      <c r="AJ84" s="100" t="str">
        <f aca="false">IF(ISBLANK($C84),"",IF($G84=Constants!$B$2,TRUE(),IF($G84=Constants!$B$3,FALSE(),TRUE())))</f>
        <v/>
      </c>
      <c r="AK84" s="100" t="str">
        <f aca="false">IF(ISBLANK($C84),"",IF($H84=Constants!$B$2,TRUE(),IF($H84=Constants!$B$3,FALSE(),TRUE())))</f>
        <v/>
      </c>
      <c r="AL84" s="100" t="str">
        <f aca="false">IF(ISBLANK($C84),"",IF(ISNUMBER($I84),IF($I84&gt;=0,$I84,""),""))</f>
        <v/>
      </c>
      <c r="AM84" s="100" t="str">
        <f aca="false">IF(ISBLANK($C84),"",IF(ISNUMBER($J84),IF($J84&gt;=0,$J84,""),""))</f>
        <v/>
      </c>
      <c r="AN84" s="100" t="str">
        <f aca="false">IF(ISBLANK($C84),"",IF(ISNUMBER($K84),IF($K84&gt;=0,$K84,""),""))</f>
        <v/>
      </c>
      <c r="AO84" s="100" t="str">
        <f aca="false">IF(ISBLANK($C84),"",IF($L84=Constants!$B$2,TRUE(),IF($L84=Constants!$B$3,FALSE(),TRUE())))</f>
        <v/>
      </c>
      <c r="AP84" s="100" t="str">
        <f aca="false">IF(ISBLANK($C84),"",IF($M84=Constants!$B$2,TRUE(),IF($M84=Constants!$B$3,FALSE(),TRUE())))</f>
        <v/>
      </c>
      <c r="AQ84" s="100" t="str">
        <f aca="false">IF(ISBLANK($C84),"",IF($N84=Constants!$B$2,TRUE(),IF($N84=Constants!$B$3,FALSE(),FALSE())))</f>
        <v/>
      </c>
      <c r="AR84" s="100" t="str">
        <f aca="false">IF(ISBLANK($C84),"",IF($O84=Constants!$B$2,TRUE(),IF($O84=Constants!$B$3,FALSE(),TRUE())))</f>
        <v/>
      </c>
      <c r="AS84" s="100" t="str">
        <f aca="false">IF(ISBLANK($C84),"",IF($P84=Constants!$B$2,TRUE(),IF($P84=Constants!$B$3,FALSE(),FALSE())))</f>
        <v/>
      </c>
      <c r="AT84" s="100" t="str">
        <f aca="false">IF(ISBLANK($C84),"",IF($Q84=Constants!$B$2,TRUE(),IF($Q84=Constants!$B$3,FALSE(),FALSE())))</f>
        <v/>
      </c>
      <c r="AU84" s="100" t="str">
        <f aca="false">IF(ISBLANK($C84),"",IF($R84=Constants!$B$2,TRUE(),IF($R84=Constants!$B$3,FALSE(),FALSE())))</f>
        <v/>
      </c>
      <c r="AV84" s="100" t="str">
        <f aca="false">IF(ISBLANK($C84),"",IF($S84=Constants!$B$2,TRUE(),IF($S84=Constants!$B$3,FALSE(),FALSE())))</f>
        <v/>
      </c>
      <c r="AW84" s="100" t="str">
        <f aca="false">IF(ISBLANK($C84),"",IF($T84=Constants!$B$2,TRUE(),IF($T84=Constants!$B$3,FALSE(),FALSE())))</f>
        <v/>
      </c>
      <c r="AX84" s="100" t="str">
        <f aca="false">IF(ISBLANK($C84),"",IF(OR($U84&amp;""="1",$U84&amp;""="2",$U84&amp;""="3",$U84&amp;""="4"),VALUE($U84&amp;""),IF($U84=Constants!$B$12,Constants!$B$12,"")))</f>
        <v/>
      </c>
      <c r="AY84" s="100" t="str">
        <f aca="false">IF(ISBLANK($C84),"",IF(ISBLANK($V84),0,IF(ISNUMBER($V84),IF(AND($V84&gt;=0,$V84&lt;=Constants!$B$21,$V84=INT($V84)),$V84,""),"")))</f>
        <v/>
      </c>
      <c r="AZ84" s="100" t="str">
        <f aca="false">IF(ISBLANK($C84),"",IF(ISBLANK($W84),0,IF(ISNUMBER($W84),IF($W84&gt;=0,$W84,""),"")))</f>
        <v/>
      </c>
      <c r="BA84" s="100" t="str">
        <f aca="false">IF(ISBLANK($C84),"",IF($X84=Constants!$B$2,TRUE(),IF($X84=Constants!$B$3,FALSE(),TRUE())))</f>
        <v/>
      </c>
      <c r="BB84" s="100" t="str">
        <f aca="false">IF(ISBLANK($C84),"",IF($Y84=Constants!$B$2,TRUE(),IF($Y84=Constants!$B$3,FALSE(),FALSE())))</f>
        <v/>
      </c>
      <c r="BC84" s="100" t="str">
        <f aca="false">IF(ISBLANK($C84),"",IF(ISBLANK($Z84),0,IF(ISNUMBER($Z84),IF(AND($Z84&gt;=0,$Z84&lt;=Constants!$B$35,$Z84=INT($Z84)),$Z84,""),"")))</f>
        <v/>
      </c>
      <c r="BD84" s="100" t="str">
        <f aca="false">IF(ISBLANK($C84),"",IF($AA84=Constants!$B$2,TRUE(),IF($AA84=Constants!$B$3,FALSE(),TRUE())))</f>
        <v/>
      </c>
      <c r="BE84" s="100" t="str">
        <f aca="false">IF(ISBLANK($C84),"",IF($AB84=Constants!$B$2,TRUE(),IF($AB84=Constants!$B$3,FALSE(),TRUE())))</f>
        <v/>
      </c>
      <c r="BF84" s="100" t="str">
        <f aca="false">IF(ISBLANK($C84),"",IF(ISNUMBER($AC84),IF($AC84&gt;=0,$AC84,""),""))</f>
        <v/>
      </c>
      <c r="BG84" s="100" t="str">
        <f aca="false">IF(ISBLANK($C84),"",IF($AD84=Constants!$B$2,TRUE(),IF($AD84=Constants!$B$3,FALSE(),FALSE())))</f>
        <v/>
      </c>
      <c r="BH84" s="99" t="str">
        <f aca="false">IF(ISBLANK($C84),"",IF($BG84,Constants!$B$7,IF(COUNTA($E84:$AC84)=0,Constants!$B$6,IF(OR(COUNTA($G84:$AC84)=0,NOT($AK84),$AQ84),Constants!$B$5,IF(OR($CI84&lt;&gt;"",$CJ84,$CK84,$CL84,$CM84,$CN84,$CO84),Constants!$B$8,Constants!$B$4)))))</f>
        <v/>
      </c>
      <c r="BI84" s="100" t="str">
        <f aca="false">IF(ISBLANK($C84),"",IF($BH84&lt;&gt;Constants!$B$4,$BH84,IF(OR(NOT($AH84),NOT($AJ84),NOT($AR84)),Constants!$B$11,IF(OR(NOT($AP84),MAX($AL84,$AM84,$AN84)&gt;Constants!$B$30),Constants!$B$10,Constants!$B$9))))</f>
        <v/>
      </c>
      <c r="BJ84" s="100" t="str">
        <f aca="false">IF($BH84&lt;&gt;Constants!$B$4,"",IF(NOT($AJ84),0,MIN(Constants!$B$35,$BC84)))</f>
        <v/>
      </c>
      <c r="BK84" s="100" t="str">
        <f aca="false">IF($BH84&lt;&gt;Constants!$B$4,"",IF(NOT($AJ84),0,IF($AT84,Constants!$B$18,IF($AS84,Constants!$B$17,0))))</f>
        <v/>
      </c>
      <c r="BL84" s="100" t="str">
        <f aca="false">IF($BH84&lt;&gt;Constants!$B$4,"",IF(NOT($AJ84),0,Constants!$B$19*($AI84+$AU84+$AV84+$AW84)))</f>
        <v/>
      </c>
      <c r="BM84" s="100" t="str">
        <f aca="false">IF($BH84&lt;&gt;Constants!$B$4,"",IF(OR(NOT($AJ84),NOT(ISNUMBER($AX84))),0,CHOOSE($AX84,Constants!$B$13,Constants!$B$14,Constants!$B$15,Constants!$B$16)))</f>
        <v/>
      </c>
      <c r="BN84" s="100" t="str">
        <f aca="false">IF($BH84&lt;&gt;Constants!$B$4,"",IF(NOT($AJ84),0,Constants!$B$20*$AY84))</f>
        <v/>
      </c>
      <c r="BO84" s="100" t="str">
        <f aca="false">IF($BH84&lt;&gt;Constants!$B$4,"",IF(AND($AJ84,$BA84,$BB84),Constants!$B$22,0))</f>
        <v/>
      </c>
      <c r="BP84" s="100" t="str">
        <f aca="false">IF($BH84&lt;&gt;Constants!$B$4,"",IF(OR(NOT($AJ84),NOT($BA84)),0,IF($BF84&gt;=2*$AF$9,0,Constants!$B$23*INT(ROUND(MIN($BF84,$AF$9),6)))))</f>
        <v/>
      </c>
      <c r="BQ84" s="100" t="str">
        <f aca="false">IF($BH84&lt;&gt;Constants!$B$4,"",IF(NOT($AJ84),0,Constants!$B$24*INT(ROUND(MIN($AZ84,$AF$9),6))))</f>
        <v/>
      </c>
      <c r="BR84" s="100" t="str">
        <f aca="false">IF($BH84&lt;&gt;Constants!$B$4,"",IF(AND($AJ84,$BJ84=0),Constants!$B$25,0))</f>
        <v/>
      </c>
      <c r="BS84" s="100" t="str">
        <f aca="false">IF($BH84&lt;&gt;Constants!$B$4,"",MIN(Constants!$B$29,MAX(0,Constants!$B$27*Constants!$B$28*INT(ROUND((Constants!$B$26-$AL84)/Constants!$B$28,6))))+MIN(Constants!$B$29,MAX(0,Constants!$B$27*Constants!$B$28*INT(ROUND((Constants!$B$26-$AM84)/Constants!$B$28,6))))+MIN(Constants!$B$29,MAX(0,Constants!$B$27*Constants!$B$28*INT(ROUND((Constants!$B$26-$AN84)/Constants!$B$28,6)))))</f>
        <v/>
      </c>
      <c r="BT84" s="100" t="str">
        <f aca="false">IF($BH84&lt;&gt;Constants!$B$4,"",IF(NOT($AJ84),0,Constants!$B$31*INT(ROUND(MAX(0,MIN($BF84,2*$AF$9)-$AF$9),6))))</f>
        <v/>
      </c>
      <c r="BU84" s="100" t="str">
        <f aca="false">IF($BH84&lt;&gt;Constants!$B$4,"",Constants!$B$32*(($AL84&gt;Constants!$B$26)+($AM84&gt;Constants!$B$26)+($AN84&gt;Constants!$B$26)))</f>
        <v/>
      </c>
      <c r="BV84" s="100" t="str">
        <f aca="false">IF($BH84&lt;&gt;Constants!$B$4,"",IF(OR(NOT($AJ84),$AO84),0,Constants!$B$33))</f>
        <v/>
      </c>
      <c r="BW84" s="100" t="str">
        <f aca="false">IF($BH84&lt;&gt;Constants!$B$4,"",Constants!$B$34*$BJ84)</f>
        <v/>
      </c>
      <c r="BX84" s="100" t="str">
        <f aca="false">IF($BH84&lt;&gt;Constants!$B$4,"",IF(OR(NOT($AJ84),$BE84),0,Constants!$B$36))</f>
        <v/>
      </c>
      <c r="BY84" s="100" t="str">
        <f aca="false">IF($BH84&lt;&gt;Constants!$B$4,"",IF(OR(NOT($AJ84),$BD84),0,Constants!$B$37))</f>
        <v/>
      </c>
      <c r="BZ84" s="100" t="str">
        <f aca="false">IF($BH84&lt;&gt;Constants!$B$4,"",SUM($BT84:$BY84))</f>
        <v/>
      </c>
      <c r="CA84" s="100" t="str">
        <f aca="false">IF(ISBLANK($C84),"",IF($BH84&lt;&gt;Constants!$B$4,$BH84,SUM($BK84:$BS84)-$BZ84))</f>
        <v/>
      </c>
      <c r="CB84" s="100" t="str">
        <f aca="false">IF(ISBLANK($C84),"",IF($BH84&lt;&gt;Constants!$B$4,$BH84,RANK($CA84,$CA$9:$CA$508)))</f>
        <v/>
      </c>
      <c r="CC84" s="100" t="str">
        <f aca="false">IF(ISBLANK($C84),"",IF($BH84&lt;&gt;Constants!$B$4,$BH84,COUNTIFS($BI$9:$BI$508,"&lt;"&amp;$BI84)+COUNTIFS($BI$9:$BI$508,$BI84,$CB$9:$CB$508,"&lt;"&amp;$CB84)+1))</f>
        <v/>
      </c>
      <c r="CD84" s="100" t="str">
        <f aca="false">IF(ISBLANK($C84),"",IF($BH84&lt;&gt;Constants!$B$4,$BH84,RANK($BZ84,$BZ$9:$BZ$508,1)))</f>
        <v/>
      </c>
      <c r="CE84" s="100" t="str">
        <f aca="false">IF($BH84&lt;&gt;Constants!$B$4,"",$AL84+$AM84+$AN84)</f>
        <v/>
      </c>
      <c r="CF84" s="100" t="str">
        <f aca="false">IF(ISBLANK($C84),"",IF($BH84&lt;&gt;Constants!$B$4,$BH84,RANK($CE84,$CE$9:$CE$508,1)))</f>
        <v/>
      </c>
      <c r="CG84" s="100" t="str">
        <f aca="false">IF(ISBLANK($C84),"",IF($BH84&lt;&gt;Constants!$B$4,$BH84,COUNTIFS($BI$9:$BI$508,"&lt;"&amp;$BI84)+COUNTIFS($BI$9:$BI$508,$BI84,$CB$9:$CB$508,"&lt;"&amp;$CB84)+COUNTIFS($BI$9:$BI$508,$BI84,$CB$9:$CB$508,$CB84,$CD$9:$CD$508,"&lt;"&amp;$CD84)+COUNTIFS($BI$9:$BI$508,$BI84,$CB$9:$CB$508,$CB84,$CD$9:$CD$508,$CD84,$CF$9:$CF$508,"&lt;"&amp;$CF84)+1))</f>
        <v/>
      </c>
      <c r="CH84" s="100" t="str">
        <f aca="false">IF(ISBLANK($C84),"",IF($BH84&lt;&gt;Constants!$B$4,$BH84,$CC84-$CG84))</f>
        <v/>
      </c>
      <c r="CI84" s="100" t="str">
        <f aca="false">IF(ISBLANK($C84),"",IF(NOT($AJ84),"",IF(ISBLANK($D$7),$CI$5,IF(NOT(ISNUMBER($D$7)),$CI$6,""))))</f>
        <v/>
      </c>
      <c r="CJ84" s="100" t="str">
        <f aca="false">IF(ISBLANK($C84),"",OR($AL84="",$AM84="",$AN84=""))</f>
        <v/>
      </c>
      <c r="CK84" s="100" t="str">
        <f aca="false">IF(ISBLANK($C84),"",AND($AJ84,$AX84=""))</f>
        <v/>
      </c>
      <c r="CL84" s="100" t="str">
        <f aca="false">IF(ISBLANK($C84),"",AND($AJ84,$AY84=""))</f>
        <v/>
      </c>
      <c r="CM84" s="100" t="str">
        <f aca="false">IF(ISBLANK($C84),"",AND($AJ84,$AZ84=""))</f>
        <v/>
      </c>
      <c r="CN84" s="100" t="str">
        <f aca="false">IF(ISBLANK($C84),"",AND($AJ84,$BC84=""))</f>
        <v/>
      </c>
      <c r="CO84" s="100" t="str">
        <f aca="false">IF(ISBLANK($C84),"",AND($AJ84,$BF84=""))</f>
        <v/>
      </c>
      <c r="CP84" s="101"/>
      <c r="CQ84" s="102"/>
      <c r="CR84" s="103" t="str">
        <f aca="false">IF(ISBLANK($C84),"",IF($BH84=Constants!$B$8,$CI84,""))</f>
        <v/>
      </c>
      <c r="CS84" s="102" t="str">
        <f aca="false">IF(ISBLANK($C84),"",IF($BH84&lt;&gt;Constants!$B$4,"",$BK84+$BL84))</f>
        <v/>
      </c>
      <c r="CT84" s="104" t="str">
        <f aca="false">IF(ISBLANK($C84),"",IF($BH84&lt;&gt;Constants!$B$4,"",$BM84+$BN84+$BO84))</f>
        <v/>
      </c>
      <c r="CU84" s="104" t="str">
        <f aca="false">IF(ISBLANK($C84),"",IF($BH84&lt;&gt;Constants!$B$4,"",$BP84))</f>
        <v/>
      </c>
      <c r="CV84" s="104" t="str">
        <f aca="false">IF(ISBLANK($C84),"",IF($BH84&lt;&gt;Constants!$B$4,"",$BQ84+$BR84))</f>
        <v/>
      </c>
      <c r="CW84" s="104" t="str">
        <f aca="false">IF(ISBLANK($C84),"",IF($BH84&lt;&gt;Constants!$B$4,"",$BS84))</f>
        <v/>
      </c>
      <c r="CX84" s="104" t="str">
        <f aca="false">IF(ISBLANK($C84),"",IF($BH84&lt;&gt;Constants!$B$4,"",-$BZ84))</f>
        <v/>
      </c>
      <c r="CY84" s="103" t="str">
        <f aca="false">IF(ISBLANK($C84),"",$CA84)</f>
        <v/>
      </c>
      <c r="CZ84" s="105" t="str">
        <f aca="false">IF(ISBLANK($C84),"",$BI84)</f>
        <v/>
      </c>
      <c r="DA84" s="104" t="str">
        <f aca="false">IF(ISBLANK($C84),"",$CH84)</f>
        <v/>
      </c>
      <c r="DB84" s="104" t="str">
        <f aca="false">IF(ISBLANK($C84),"",$CG84)</f>
        <v/>
      </c>
      <c r="DC84" s="106" t="str">
        <f aca="false">IF(ISBLANK($C84),"",IFERROR(_xlfn.SWITCH($DB84,Constants!$B$7,COUNTA($C$9:$C$508)+2,Constants!$B$6,COUNTA($C$9:$C$508)+1,Constants!$B$5,COUNTA($C$9:$C$508)),$DB84))</f>
        <v/>
      </c>
      <c r="DD84" s="7"/>
      <c r="DE84" s="107" t="n">
        <f aca="false">IF(OR(ISNUMBER($DB84),$DB84=Constants!$B$7,$DB84=Constants!$B$5,$DB84=Constants!$B$6),1,0)</f>
        <v>0</v>
      </c>
      <c r="DF84" s="107" t="n">
        <v>76</v>
      </c>
      <c r="DG84" s="107" t="str">
        <f aca="false">IF(ISBLANK($C84),"",IF(ISNUMBER($DC84),$DC84+ROW($B84)/1000,""))</f>
        <v/>
      </c>
      <c r="DH84" s="107" t="str">
        <f aca="false">IF(ISNUMBER($DG84),RANK($DG84,$DG$9:$DG$508,1),"")</f>
        <v/>
      </c>
      <c r="DI84" s="107" t="str">
        <f aca="false">IF(ISBLANK($C84),"",$B84)</f>
        <v/>
      </c>
      <c r="DJ84" s="107" t="str">
        <f aca="false">IF(ISBLANK($C84),"",$C84)</f>
        <v/>
      </c>
      <c r="DK84" s="107" t="str">
        <f aca="false">IF(ISBLANK($C84),"",$D84)</f>
        <v/>
      </c>
      <c r="DL84" s="108" t="str">
        <f aca="false">$CZ84</f>
        <v/>
      </c>
      <c r="DM84" s="109" t="str">
        <f aca="false">$CY84</f>
        <v/>
      </c>
      <c r="DN84" s="107" t="str">
        <f aca="false">IF(ISBLANK($C84),"",$DB84)</f>
        <v/>
      </c>
      <c r="DO84" s="110" t="str">
        <f aca="false">IF($DF84&gt;$DE$8,"",VLOOKUP($DF84,$DH$9:$DN$508,7,FALSE()))</f>
        <v/>
      </c>
      <c r="DP84" s="111" t="str">
        <f aca="false">IF($DF84&gt;$DE$8,"",VLOOKUP($DF84,$DH$9:$DN$508,2,FALSE()))</f>
        <v/>
      </c>
      <c r="DQ84" s="111" t="str">
        <f aca="false">IF($DF84&gt;$DE$8,"",VLOOKUP($DF84,$DH$9:$DN$508,3,FALSE()))</f>
        <v/>
      </c>
      <c r="DR84" s="111" t="str">
        <f aca="false">IF($DF84&gt;$DE$8,"",VLOOKUP($DF84,$DH$9:$DN$508,4,FALSE()))</f>
        <v/>
      </c>
      <c r="DS84" s="111" t="str">
        <f aca="false">IF($DF84&gt;$DE$8,"",VLOOKUP($DF84,$DH$9:$DN$508,5,FALSE()))</f>
        <v/>
      </c>
      <c r="DT84" s="112" t="str">
        <f aca="false">IF($DF84&gt;$DE$8,"",VLOOKUP($DF84,$DH$9:$DN$508,6,FALSE()))</f>
        <v/>
      </c>
      <c r="DU84" s="62"/>
    </row>
    <row r="85" customFormat="false" ht="15.75" hidden="false" customHeight="false" outlineLevel="0" collapsed="false">
      <c r="A85" s="7"/>
      <c r="B85" s="90"/>
      <c r="C85" s="91"/>
      <c r="D85" s="126"/>
      <c r="E85" s="130"/>
      <c r="F85" s="135"/>
      <c r="G85" s="130"/>
      <c r="H85" s="135"/>
      <c r="I85" s="95"/>
      <c r="J85" s="95"/>
      <c r="K85" s="95"/>
      <c r="L85" s="130"/>
      <c r="M85" s="130"/>
      <c r="N85" s="130"/>
      <c r="O85" s="135"/>
      <c r="P85" s="130"/>
      <c r="Q85" s="130"/>
      <c r="R85" s="130"/>
      <c r="S85" s="130"/>
      <c r="T85" s="135"/>
      <c r="U85" s="130"/>
      <c r="V85" s="96"/>
      <c r="W85" s="130"/>
      <c r="X85" s="130"/>
      <c r="Y85" s="96"/>
      <c r="Z85" s="96"/>
      <c r="AA85" s="130"/>
      <c r="AB85" s="130"/>
      <c r="AC85" s="97"/>
      <c r="AD85" s="130"/>
      <c r="AE85" s="99"/>
      <c r="AF85" s="100"/>
      <c r="AG85" s="100"/>
      <c r="AH85" s="100" t="str">
        <f aca="false">IF(ISBLANK($C85),"",IF($E85=Constants!$B$2,TRUE(),IF($E85=Constants!$B$3,FALSE(),TRUE())))</f>
        <v/>
      </c>
      <c r="AI85" s="100" t="str">
        <f aca="false">IF(ISBLANK($C85),"",IF($F85=Constants!$B$2,TRUE(),IF($F85=Constants!$B$3,FALSE(),FALSE())))</f>
        <v/>
      </c>
      <c r="AJ85" s="100" t="str">
        <f aca="false">IF(ISBLANK($C85),"",IF($G85=Constants!$B$2,TRUE(),IF($G85=Constants!$B$3,FALSE(),TRUE())))</f>
        <v/>
      </c>
      <c r="AK85" s="100" t="str">
        <f aca="false">IF(ISBLANK($C85),"",IF($H85=Constants!$B$2,TRUE(),IF($H85=Constants!$B$3,FALSE(),TRUE())))</f>
        <v/>
      </c>
      <c r="AL85" s="100" t="str">
        <f aca="false">IF(ISBLANK($C85),"",IF(ISNUMBER($I85),IF($I85&gt;=0,$I85,""),""))</f>
        <v/>
      </c>
      <c r="AM85" s="100" t="str">
        <f aca="false">IF(ISBLANK($C85),"",IF(ISNUMBER($J85),IF($J85&gt;=0,$J85,""),""))</f>
        <v/>
      </c>
      <c r="AN85" s="100" t="str">
        <f aca="false">IF(ISBLANK($C85),"",IF(ISNUMBER($K85),IF($K85&gt;=0,$K85,""),""))</f>
        <v/>
      </c>
      <c r="AO85" s="100" t="str">
        <f aca="false">IF(ISBLANK($C85),"",IF($L85=Constants!$B$2,TRUE(),IF($L85=Constants!$B$3,FALSE(),TRUE())))</f>
        <v/>
      </c>
      <c r="AP85" s="100" t="str">
        <f aca="false">IF(ISBLANK($C85),"",IF($M85=Constants!$B$2,TRUE(),IF($M85=Constants!$B$3,FALSE(),TRUE())))</f>
        <v/>
      </c>
      <c r="AQ85" s="100" t="str">
        <f aca="false">IF(ISBLANK($C85),"",IF($N85=Constants!$B$2,TRUE(),IF($N85=Constants!$B$3,FALSE(),FALSE())))</f>
        <v/>
      </c>
      <c r="AR85" s="100" t="str">
        <f aca="false">IF(ISBLANK($C85),"",IF($O85=Constants!$B$2,TRUE(),IF($O85=Constants!$B$3,FALSE(),TRUE())))</f>
        <v/>
      </c>
      <c r="AS85" s="100" t="str">
        <f aca="false">IF(ISBLANK($C85),"",IF($P85=Constants!$B$2,TRUE(),IF($P85=Constants!$B$3,FALSE(),FALSE())))</f>
        <v/>
      </c>
      <c r="AT85" s="100" t="str">
        <f aca="false">IF(ISBLANK($C85),"",IF($Q85=Constants!$B$2,TRUE(),IF($Q85=Constants!$B$3,FALSE(),FALSE())))</f>
        <v/>
      </c>
      <c r="AU85" s="100" t="str">
        <f aca="false">IF(ISBLANK($C85),"",IF($R85=Constants!$B$2,TRUE(),IF($R85=Constants!$B$3,FALSE(),FALSE())))</f>
        <v/>
      </c>
      <c r="AV85" s="100" t="str">
        <f aca="false">IF(ISBLANK($C85),"",IF($S85=Constants!$B$2,TRUE(),IF($S85=Constants!$B$3,FALSE(),FALSE())))</f>
        <v/>
      </c>
      <c r="AW85" s="100" t="str">
        <f aca="false">IF(ISBLANK($C85),"",IF($T85=Constants!$B$2,TRUE(),IF($T85=Constants!$B$3,FALSE(),FALSE())))</f>
        <v/>
      </c>
      <c r="AX85" s="100" t="str">
        <f aca="false">IF(ISBLANK($C85),"",IF(OR($U85&amp;""="1",$U85&amp;""="2",$U85&amp;""="3",$U85&amp;""="4"),VALUE($U85&amp;""),IF($U85=Constants!$B$12,Constants!$B$12,"")))</f>
        <v/>
      </c>
      <c r="AY85" s="100" t="str">
        <f aca="false">IF(ISBLANK($C85),"",IF(ISBLANK($V85),0,IF(ISNUMBER($V85),IF(AND($V85&gt;=0,$V85&lt;=Constants!$B$21,$V85=INT($V85)),$V85,""),"")))</f>
        <v/>
      </c>
      <c r="AZ85" s="100" t="str">
        <f aca="false">IF(ISBLANK($C85),"",IF(ISBLANK($W85),0,IF(ISNUMBER($W85),IF($W85&gt;=0,$W85,""),"")))</f>
        <v/>
      </c>
      <c r="BA85" s="100" t="str">
        <f aca="false">IF(ISBLANK($C85),"",IF($X85=Constants!$B$2,TRUE(),IF($X85=Constants!$B$3,FALSE(),TRUE())))</f>
        <v/>
      </c>
      <c r="BB85" s="100" t="str">
        <f aca="false">IF(ISBLANK($C85),"",IF($Y85=Constants!$B$2,TRUE(),IF($Y85=Constants!$B$3,FALSE(),FALSE())))</f>
        <v/>
      </c>
      <c r="BC85" s="100" t="str">
        <f aca="false">IF(ISBLANK($C85),"",IF(ISBLANK($Z85),0,IF(ISNUMBER($Z85),IF(AND($Z85&gt;=0,$Z85&lt;=Constants!$B$35,$Z85=INT($Z85)),$Z85,""),"")))</f>
        <v/>
      </c>
      <c r="BD85" s="100" t="str">
        <f aca="false">IF(ISBLANK($C85),"",IF($AA85=Constants!$B$2,TRUE(),IF($AA85=Constants!$B$3,FALSE(),TRUE())))</f>
        <v/>
      </c>
      <c r="BE85" s="100" t="str">
        <f aca="false">IF(ISBLANK($C85),"",IF($AB85=Constants!$B$2,TRUE(),IF($AB85=Constants!$B$3,FALSE(),TRUE())))</f>
        <v/>
      </c>
      <c r="BF85" s="100" t="str">
        <f aca="false">IF(ISBLANK($C85),"",IF(ISNUMBER($AC85),IF($AC85&gt;=0,$AC85,""),""))</f>
        <v/>
      </c>
      <c r="BG85" s="100" t="str">
        <f aca="false">IF(ISBLANK($C85),"",IF($AD85=Constants!$B$2,TRUE(),IF($AD85=Constants!$B$3,FALSE(),FALSE())))</f>
        <v/>
      </c>
      <c r="BH85" s="99" t="str">
        <f aca="false">IF(ISBLANK($C85),"",IF($BG85,Constants!$B$7,IF(COUNTA($E85:$AC85)=0,Constants!$B$6,IF(OR(COUNTA($G85:$AC85)=0,NOT($AK85),$AQ85),Constants!$B$5,IF(OR($CI85&lt;&gt;"",$CJ85,$CK85,$CL85,$CM85,$CN85,$CO85),Constants!$B$8,Constants!$B$4)))))</f>
        <v/>
      </c>
      <c r="BI85" s="100" t="str">
        <f aca="false">IF(ISBLANK($C85),"",IF($BH85&lt;&gt;Constants!$B$4,$BH85,IF(OR(NOT($AH85),NOT($AJ85),NOT($AR85)),Constants!$B$11,IF(OR(NOT($AP85),MAX($AL85,$AM85,$AN85)&gt;Constants!$B$30),Constants!$B$10,Constants!$B$9))))</f>
        <v/>
      </c>
      <c r="BJ85" s="100" t="str">
        <f aca="false">IF($BH85&lt;&gt;Constants!$B$4,"",IF(NOT($AJ85),0,MIN(Constants!$B$35,$BC85)))</f>
        <v/>
      </c>
      <c r="BK85" s="100" t="str">
        <f aca="false">IF($BH85&lt;&gt;Constants!$B$4,"",IF(NOT($AJ85),0,IF($AT85,Constants!$B$18,IF($AS85,Constants!$B$17,0))))</f>
        <v/>
      </c>
      <c r="BL85" s="100" t="str">
        <f aca="false">IF($BH85&lt;&gt;Constants!$B$4,"",IF(NOT($AJ85),0,Constants!$B$19*($AI85+$AU85+$AV85+$AW85)))</f>
        <v/>
      </c>
      <c r="BM85" s="100" t="str">
        <f aca="false">IF($BH85&lt;&gt;Constants!$B$4,"",IF(OR(NOT($AJ85),NOT(ISNUMBER($AX85))),0,CHOOSE($AX85,Constants!$B$13,Constants!$B$14,Constants!$B$15,Constants!$B$16)))</f>
        <v/>
      </c>
      <c r="BN85" s="100" t="str">
        <f aca="false">IF($BH85&lt;&gt;Constants!$B$4,"",IF(NOT($AJ85),0,Constants!$B$20*$AY85))</f>
        <v/>
      </c>
      <c r="BO85" s="100" t="str">
        <f aca="false">IF($BH85&lt;&gt;Constants!$B$4,"",IF(AND($AJ85,$BA85,$BB85),Constants!$B$22,0))</f>
        <v/>
      </c>
      <c r="BP85" s="100" t="str">
        <f aca="false">IF($BH85&lt;&gt;Constants!$B$4,"",IF(OR(NOT($AJ85),NOT($BA85)),0,IF($BF85&gt;=2*$AF$9,0,Constants!$B$23*INT(ROUND(MIN($BF85,$AF$9),6)))))</f>
        <v/>
      </c>
      <c r="BQ85" s="100" t="str">
        <f aca="false">IF($BH85&lt;&gt;Constants!$B$4,"",IF(NOT($AJ85),0,Constants!$B$24*INT(ROUND(MIN($AZ85,$AF$9),6))))</f>
        <v/>
      </c>
      <c r="BR85" s="100" t="str">
        <f aca="false">IF($BH85&lt;&gt;Constants!$B$4,"",IF(AND($AJ85,$BJ85=0),Constants!$B$25,0))</f>
        <v/>
      </c>
      <c r="BS85" s="100" t="str">
        <f aca="false">IF($BH85&lt;&gt;Constants!$B$4,"",MIN(Constants!$B$29,MAX(0,Constants!$B$27*Constants!$B$28*INT(ROUND((Constants!$B$26-$AL85)/Constants!$B$28,6))))+MIN(Constants!$B$29,MAX(0,Constants!$B$27*Constants!$B$28*INT(ROUND((Constants!$B$26-$AM85)/Constants!$B$28,6))))+MIN(Constants!$B$29,MAX(0,Constants!$B$27*Constants!$B$28*INT(ROUND((Constants!$B$26-$AN85)/Constants!$B$28,6)))))</f>
        <v/>
      </c>
      <c r="BT85" s="100" t="str">
        <f aca="false">IF($BH85&lt;&gt;Constants!$B$4,"",IF(NOT($AJ85),0,Constants!$B$31*INT(ROUND(MAX(0,MIN($BF85,2*$AF$9)-$AF$9),6))))</f>
        <v/>
      </c>
      <c r="BU85" s="100" t="str">
        <f aca="false">IF($BH85&lt;&gt;Constants!$B$4,"",Constants!$B$32*(($AL85&gt;Constants!$B$26)+($AM85&gt;Constants!$B$26)+($AN85&gt;Constants!$B$26)))</f>
        <v/>
      </c>
      <c r="BV85" s="100" t="str">
        <f aca="false">IF($BH85&lt;&gt;Constants!$B$4,"",IF(OR(NOT($AJ85),$AO85),0,Constants!$B$33))</f>
        <v/>
      </c>
      <c r="BW85" s="100" t="str">
        <f aca="false">IF($BH85&lt;&gt;Constants!$B$4,"",Constants!$B$34*$BJ85)</f>
        <v/>
      </c>
      <c r="BX85" s="100" t="str">
        <f aca="false">IF($BH85&lt;&gt;Constants!$B$4,"",IF(OR(NOT($AJ85),$BE85),0,Constants!$B$36))</f>
        <v/>
      </c>
      <c r="BY85" s="100" t="str">
        <f aca="false">IF($BH85&lt;&gt;Constants!$B$4,"",IF(OR(NOT($AJ85),$BD85),0,Constants!$B$37))</f>
        <v/>
      </c>
      <c r="BZ85" s="100" t="str">
        <f aca="false">IF($BH85&lt;&gt;Constants!$B$4,"",SUM($BT85:$BY85))</f>
        <v/>
      </c>
      <c r="CA85" s="100" t="str">
        <f aca="false">IF(ISBLANK($C85),"",IF($BH85&lt;&gt;Constants!$B$4,$BH85,SUM($BK85:$BS85)-$BZ85))</f>
        <v/>
      </c>
      <c r="CB85" s="100" t="str">
        <f aca="false">IF(ISBLANK($C85),"",IF($BH85&lt;&gt;Constants!$B$4,$BH85,RANK($CA85,$CA$9:$CA$508)))</f>
        <v/>
      </c>
      <c r="CC85" s="100" t="str">
        <f aca="false">IF(ISBLANK($C85),"",IF($BH85&lt;&gt;Constants!$B$4,$BH85,COUNTIFS($BI$9:$BI$508,"&lt;"&amp;$BI85)+COUNTIFS($BI$9:$BI$508,$BI85,$CB$9:$CB$508,"&lt;"&amp;$CB85)+1))</f>
        <v/>
      </c>
      <c r="CD85" s="100" t="str">
        <f aca="false">IF(ISBLANK($C85),"",IF($BH85&lt;&gt;Constants!$B$4,$BH85,RANK($BZ85,$BZ$9:$BZ$508,1)))</f>
        <v/>
      </c>
      <c r="CE85" s="100" t="str">
        <f aca="false">IF($BH85&lt;&gt;Constants!$B$4,"",$AL85+$AM85+$AN85)</f>
        <v/>
      </c>
      <c r="CF85" s="100" t="str">
        <f aca="false">IF(ISBLANK($C85),"",IF($BH85&lt;&gt;Constants!$B$4,$BH85,RANK($CE85,$CE$9:$CE$508,1)))</f>
        <v/>
      </c>
      <c r="CG85" s="100" t="str">
        <f aca="false">IF(ISBLANK($C85),"",IF($BH85&lt;&gt;Constants!$B$4,$BH85,COUNTIFS($BI$9:$BI$508,"&lt;"&amp;$BI85)+COUNTIFS($BI$9:$BI$508,$BI85,$CB$9:$CB$508,"&lt;"&amp;$CB85)+COUNTIFS($BI$9:$BI$508,$BI85,$CB$9:$CB$508,$CB85,$CD$9:$CD$508,"&lt;"&amp;$CD85)+COUNTIFS($BI$9:$BI$508,$BI85,$CB$9:$CB$508,$CB85,$CD$9:$CD$508,$CD85,$CF$9:$CF$508,"&lt;"&amp;$CF85)+1))</f>
        <v/>
      </c>
      <c r="CH85" s="100" t="str">
        <f aca="false">IF(ISBLANK($C85),"",IF($BH85&lt;&gt;Constants!$B$4,$BH85,$CC85-$CG85))</f>
        <v/>
      </c>
      <c r="CI85" s="100" t="str">
        <f aca="false">IF(ISBLANK($C85),"",IF(NOT($AJ85),"",IF(ISBLANK($D$7),$CI$5,IF(NOT(ISNUMBER($D$7)),$CI$6,""))))</f>
        <v/>
      </c>
      <c r="CJ85" s="100" t="str">
        <f aca="false">IF(ISBLANK($C85),"",OR($AL85="",$AM85="",$AN85=""))</f>
        <v/>
      </c>
      <c r="CK85" s="100" t="str">
        <f aca="false">IF(ISBLANK($C85),"",AND($AJ85,$AX85=""))</f>
        <v/>
      </c>
      <c r="CL85" s="100" t="str">
        <f aca="false">IF(ISBLANK($C85),"",AND($AJ85,$AY85=""))</f>
        <v/>
      </c>
      <c r="CM85" s="100" t="str">
        <f aca="false">IF(ISBLANK($C85),"",AND($AJ85,$AZ85=""))</f>
        <v/>
      </c>
      <c r="CN85" s="100" t="str">
        <f aca="false">IF(ISBLANK($C85),"",AND($AJ85,$BC85=""))</f>
        <v/>
      </c>
      <c r="CO85" s="100" t="str">
        <f aca="false">IF(ISBLANK($C85),"",AND($AJ85,$BF85=""))</f>
        <v/>
      </c>
      <c r="CP85" s="101"/>
      <c r="CQ85" s="102"/>
      <c r="CR85" s="103" t="str">
        <f aca="false">IF(ISBLANK($C85),"",IF($BH85=Constants!$B$8,$CI85,""))</f>
        <v/>
      </c>
      <c r="CS85" s="102" t="str">
        <f aca="false">IF(ISBLANK($C85),"",IF($BH85&lt;&gt;Constants!$B$4,"",$BK85+$BL85))</f>
        <v/>
      </c>
      <c r="CT85" s="104" t="str">
        <f aca="false">IF(ISBLANK($C85),"",IF($BH85&lt;&gt;Constants!$B$4,"",$BM85+$BN85+$BO85))</f>
        <v/>
      </c>
      <c r="CU85" s="104" t="str">
        <f aca="false">IF(ISBLANK($C85),"",IF($BH85&lt;&gt;Constants!$B$4,"",$BP85))</f>
        <v/>
      </c>
      <c r="CV85" s="104" t="str">
        <f aca="false">IF(ISBLANK($C85),"",IF($BH85&lt;&gt;Constants!$B$4,"",$BQ85+$BR85))</f>
        <v/>
      </c>
      <c r="CW85" s="104" t="str">
        <f aca="false">IF(ISBLANK($C85),"",IF($BH85&lt;&gt;Constants!$B$4,"",$BS85))</f>
        <v/>
      </c>
      <c r="CX85" s="104" t="str">
        <f aca="false">IF(ISBLANK($C85),"",IF($BH85&lt;&gt;Constants!$B$4,"",-$BZ85))</f>
        <v/>
      </c>
      <c r="CY85" s="103" t="str">
        <f aca="false">IF(ISBLANK($C85),"",$CA85)</f>
        <v/>
      </c>
      <c r="CZ85" s="105" t="str">
        <f aca="false">IF(ISBLANK($C85),"",$BI85)</f>
        <v/>
      </c>
      <c r="DA85" s="104" t="str">
        <f aca="false">IF(ISBLANK($C85),"",$CH85)</f>
        <v/>
      </c>
      <c r="DB85" s="104" t="str">
        <f aca="false">IF(ISBLANK($C85),"",$CG85)</f>
        <v/>
      </c>
      <c r="DC85" s="106" t="str">
        <f aca="false">IF(ISBLANK($C85),"",IFERROR(_xlfn.SWITCH($DB85,Constants!$B$7,COUNTA($C$9:$C$508)+2,Constants!$B$6,COUNTA($C$9:$C$508)+1,Constants!$B$5,COUNTA($C$9:$C$508)),$DB85))</f>
        <v/>
      </c>
      <c r="DD85" s="7"/>
      <c r="DE85" s="107" t="n">
        <f aca="false">IF(OR(ISNUMBER($DB85),$DB85=Constants!$B$7,$DB85=Constants!$B$5,$DB85=Constants!$B$6),1,0)</f>
        <v>0</v>
      </c>
      <c r="DF85" s="107" t="n">
        <v>77</v>
      </c>
      <c r="DG85" s="107" t="str">
        <f aca="false">IF(ISBLANK($C85),"",IF(ISNUMBER($DC85),$DC85+ROW($B85)/1000,""))</f>
        <v/>
      </c>
      <c r="DH85" s="107" t="str">
        <f aca="false">IF(ISNUMBER($DG85),RANK($DG85,$DG$9:$DG$508,1),"")</f>
        <v/>
      </c>
      <c r="DI85" s="107" t="str">
        <f aca="false">IF(ISBLANK($C85),"",$B85)</f>
        <v/>
      </c>
      <c r="DJ85" s="107" t="str">
        <f aca="false">IF(ISBLANK($C85),"",$C85)</f>
        <v/>
      </c>
      <c r="DK85" s="107" t="str">
        <f aca="false">IF(ISBLANK($C85),"",$D85)</f>
        <v/>
      </c>
      <c r="DL85" s="108" t="str">
        <f aca="false">$CZ85</f>
        <v/>
      </c>
      <c r="DM85" s="109" t="str">
        <f aca="false">$CY85</f>
        <v/>
      </c>
      <c r="DN85" s="107" t="str">
        <f aca="false">IF(ISBLANK($C85),"",$DB85)</f>
        <v/>
      </c>
      <c r="DO85" s="110" t="str">
        <f aca="false">IF($DF85&gt;$DE$8,"",VLOOKUP($DF85,$DH$9:$DN$508,7,FALSE()))</f>
        <v/>
      </c>
      <c r="DP85" s="111" t="str">
        <f aca="false">IF($DF85&gt;$DE$8,"",VLOOKUP($DF85,$DH$9:$DN$508,2,FALSE()))</f>
        <v/>
      </c>
      <c r="DQ85" s="111" t="str">
        <f aca="false">IF($DF85&gt;$DE$8,"",VLOOKUP($DF85,$DH$9:$DN$508,3,FALSE()))</f>
        <v/>
      </c>
      <c r="DR85" s="111" t="str">
        <f aca="false">IF($DF85&gt;$DE$8,"",VLOOKUP($DF85,$DH$9:$DN$508,4,FALSE()))</f>
        <v/>
      </c>
      <c r="DS85" s="111" t="str">
        <f aca="false">IF($DF85&gt;$DE$8,"",VLOOKUP($DF85,$DH$9:$DN$508,5,FALSE()))</f>
        <v/>
      </c>
      <c r="DT85" s="112" t="str">
        <f aca="false">IF($DF85&gt;$DE$8,"",VLOOKUP($DF85,$DH$9:$DN$508,6,FALSE()))</f>
        <v/>
      </c>
      <c r="DU85" s="62"/>
    </row>
    <row r="86" customFormat="false" ht="15.75" hidden="false" customHeight="false" outlineLevel="0" collapsed="false">
      <c r="A86" s="7"/>
      <c r="B86" s="90"/>
      <c r="C86" s="91"/>
      <c r="D86" s="126"/>
      <c r="E86" s="116"/>
      <c r="F86" s="113"/>
      <c r="G86" s="116"/>
      <c r="H86" s="113"/>
      <c r="I86" s="131"/>
      <c r="J86" s="131"/>
      <c r="K86" s="131"/>
      <c r="L86" s="116"/>
      <c r="M86" s="116"/>
      <c r="N86" s="116"/>
      <c r="O86" s="113"/>
      <c r="P86" s="116"/>
      <c r="Q86" s="116"/>
      <c r="R86" s="116"/>
      <c r="S86" s="116"/>
      <c r="T86" s="113"/>
      <c r="U86" s="116"/>
      <c r="V86" s="132"/>
      <c r="W86" s="116"/>
      <c r="X86" s="116"/>
      <c r="Y86" s="132"/>
      <c r="Z86" s="132"/>
      <c r="AA86" s="116"/>
      <c r="AB86" s="116"/>
      <c r="AC86" s="133"/>
      <c r="AD86" s="116"/>
      <c r="AE86" s="99"/>
      <c r="AF86" s="100"/>
      <c r="AG86" s="100"/>
      <c r="AH86" s="100" t="str">
        <f aca="false">IF(ISBLANK($C86),"",IF($E86=Constants!$B$2,TRUE(),IF($E86=Constants!$B$3,FALSE(),TRUE())))</f>
        <v/>
      </c>
      <c r="AI86" s="100" t="str">
        <f aca="false">IF(ISBLANK($C86),"",IF($F86=Constants!$B$2,TRUE(),IF($F86=Constants!$B$3,FALSE(),FALSE())))</f>
        <v/>
      </c>
      <c r="AJ86" s="100" t="str">
        <f aca="false">IF(ISBLANK($C86),"",IF($G86=Constants!$B$2,TRUE(),IF($G86=Constants!$B$3,FALSE(),TRUE())))</f>
        <v/>
      </c>
      <c r="AK86" s="100" t="str">
        <f aca="false">IF(ISBLANK($C86),"",IF($H86=Constants!$B$2,TRUE(),IF($H86=Constants!$B$3,FALSE(),TRUE())))</f>
        <v/>
      </c>
      <c r="AL86" s="100" t="str">
        <f aca="false">IF(ISBLANK($C86),"",IF(ISNUMBER($I86),IF($I86&gt;=0,$I86,""),""))</f>
        <v/>
      </c>
      <c r="AM86" s="100" t="str">
        <f aca="false">IF(ISBLANK($C86),"",IF(ISNUMBER($J86),IF($J86&gt;=0,$J86,""),""))</f>
        <v/>
      </c>
      <c r="AN86" s="100" t="str">
        <f aca="false">IF(ISBLANK($C86),"",IF(ISNUMBER($K86),IF($K86&gt;=0,$K86,""),""))</f>
        <v/>
      </c>
      <c r="AO86" s="100" t="str">
        <f aca="false">IF(ISBLANK($C86),"",IF($L86=Constants!$B$2,TRUE(),IF($L86=Constants!$B$3,FALSE(),TRUE())))</f>
        <v/>
      </c>
      <c r="AP86" s="100" t="str">
        <f aca="false">IF(ISBLANK($C86),"",IF($M86=Constants!$B$2,TRUE(),IF($M86=Constants!$B$3,FALSE(),TRUE())))</f>
        <v/>
      </c>
      <c r="AQ86" s="100" t="str">
        <f aca="false">IF(ISBLANK($C86),"",IF($N86=Constants!$B$2,TRUE(),IF($N86=Constants!$B$3,FALSE(),FALSE())))</f>
        <v/>
      </c>
      <c r="AR86" s="100" t="str">
        <f aca="false">IF(ISBLANK($C86),"",IF($O86=Constants!$B$2,TRUE(),IF($O86=Constants!$B$3,FALSE(),TRUE())))</f>
        <v/>
      </c>
      <c r="AS86" s="100" t="str">
        <f aca="false">IF(ISBLANK($C86),"",IF($P86=Constants!$B$2,TRUE(),IF($P86=Constants!$B$3,FALSE(),FALSE())))</f>
        <v/>
      </c>
      <c r="AT86" s="100" t="str">
        <f aca="false">IF(ISBLANK($C86),"",IF($Q86=Constants!$B$2,TRUE(),IF($Q86=Constants!$B$3,FALSE(),FALSE())))</f>
        <v/>
      </c>
      <c r="AU86" s="100" t="str">
        <f aca="false">IF(ISBLANK($C86),"",IF($R86=Constants!$B$2,TRUE(),IF($R86=Constants!$B$3,FALSE(),FALSE())))</f>
        <v/>
      </c>
      <c r="AV86" s="100" t="str">
        <f aca="false">IF(ISBLANK($C86),"",IF($S86=Constants!$B$2,TRUE(),IF($S86=Constants!$B$3,FALSE(),FALSE())))</f>
        <v/>
      </c>
      <c r="AW86" s="100" t="str">
        <f aca="false">IF(ISBLANK($C86),"",IF($T86=Constants!$B$2,TRUE(),IF($T86=Constants!$B$3,FALSE(),FALSE())))</f>
        <v/>
      </c>
      <c r="AX86" s="100" t="str">
        <f aca="false">IF(ISBLANK($C86),"",IF(OR($U86&amp;""="1",$U86&amp;""="2",$U86&amp;""="3",$U86&amp;""="4"),VALUE($U86&amp;""),IF($U86=Constants!$B$12,Constants!$B$12,"")))</f>
        <v/>
      </c>
      <c r="AY86" s="100" t="str">
        <f aca="false">IF(ISBLANK($C86),"",IF(ISBLANK($V86),0,IF(ISNUMBER($V86),IF(AND($V86&gt;=0,$V86&lt;=Constants!$B$21,$V86=INT($V86)),$V86,""),"")))</f>
        <v/>
      </c>
      <c r="AZ86" s="100" t="str">
        <f aca="false">IF(ISBLANK($C86),"",IF(ISBLANK($W86),0,IF(ISNUMBER($W86),IF($W86&gt;=0,$W86,""),"")))</f>
        <v/>
      </c>
      <c r="BA86" s="100" t="str">
        <f aca="false">IF(ISBLANK($C86),"",IF($X86=Constants!$B$2,TRUE(),IF($X86=Constants!$B$3,FALSE(),TRUE())))</f>
        <v/>
      </c>
      <c r="BB86" s="100" t="str">
        <f aca="false">IF(ISBLANK($C86),"",IF($Y86=Constants!$B$2,TRUE(),IF($Y86=Constants!$B$3,FALSE(),FALSE())))</f>
        <v/>
      </c>
      <c r="BC86" s="100" t="str">
        <f aca="false">IF(ISBLANK($C86),"",IF(ISBLANK($Z86),0,IF(ISNUMBER($Z86),IF(AND($Z86&gt;=0,$Z86&lt;=Constants!$B$35,$Z86=INT($Z86)),$Z86,""),"")))</f>
        <v/>
      </c>
      <c r="BD86" s="100" t="str">
        <f aca="false">IF(ISBLANK($C86),"",IF($AA86=Constants!$B$2,TRUE(),IF($AA86=Constants!$B$3,FALSE(),TRUE())))</f>
        <v/>
      </c>
      <c r="BE86" s="100" t="str">
        <f aca="false">IF(ISBLANK($C86),"",IF($AB86=Constants!$B$2,TRUE(),IF($AB86=Constants!$B$3,FALSE(),TRUE())))</f>
        <v/>
      </c>
      <c r="BF86" s="100" t="str">
        <f aca="false">IF(ISBLANK($C86),"",IF(ISNUMBER($AC86),IF($AC86&gt;=0,$AC86,""),""))</f>
        <v/>
      </c>
      <c r="BG86" s="100" t="str">
        <f aca="false">IF(ISBLANK($C86),"",IF($AD86=Constants!$B$2,TRUE(),IF($AD86=Constants!$B$3,FALSE(),FALSE())))</f>
        <v/>
      </c>
      <c r="BH86" s="99" t="str">
        <f aca="false">IF(ISBLANK($C86),"",IF($BG86,Constants!$B$7,IF(COUNTA($E86:$AC86)=0,Constants!$B$6,IF(OR(COUNTA($G86:$AC86)=0,NOT($AK86),$AQ86),Constants!$B$5,IF(OR($CI86&lt;&gt;"",$CJ86,$CK86,$CL86,$CM86,$CN86,$CO86),Constants!$B$8,Constants!$B$4)))))</f>
        <v/>
      </c>
      <c r="BI86" s="100" t="str">
        <f aca="false">IF(ISBLANK($C86),"",IF($BH86&lt;&gt;Constants!$B$4,$BH86,IF(OR(NOT($AH86),NOT($AJ86),NOT($AR86)),Constants!$B$11,IF(OR(NOT($AP86),MAX($AL86,$AM86,$AN86)&gt;Constants!$B$30),Constants!$B$10,Constants!$B$9))))</f>
        <v/>
      </c>
      <c r="BJ86" s="100" t="str">
        <f aca="false">IF($BH86&lt;&gt;Constants!$B$4,"",IF(NOT($AJ86),0,MIN(Constants!$B$35,$BC86)))</f>
        <v/>
      </c>
      <c r="BK86" s="100" t="str">
        <f aca="false">IF($BH86&lt;&gt;Constants!$B$4,"",IF(NOT($AJ86),0,IF($AT86,Constants!$B$18,IF($AS86,Constants!$B$17,0))))</f>
        <v/>
      </c>
      <c r="BL86" s="100" t="str">
        <f aca="false">IF($BH86&lt;&gt;Constants!$B$4,"",IF(NOT($AJ86),0,Constants!$B$19*($AI86+$AU86+$AV86+$AW86)))</f>
        <v/>
      </c>
      <c r="BM86" s="100" t="str">
        <f aca="false">IF($BH86&lt;&gt;Constants!$B$4,"",IF(OR(NOT($AJ86),NOT(ISNUMBER($AX86))),0,CHOOSE($AX86,Constants!$B$13,Constants!$B$14,Constants!$B$15,Constants!$B$16)))</f>
        <v/>
      </c>
      <c r="BN86" s="100" t="str">
        <f aca="false">IF($BH86&lt;&gt;Constants!$B$4,"",IF(NOT($AJ86),0,Constants!$B$20*$AY86))</f>
        <v/>
      </c>
      <c r="BO86" s="100" t="str">
        <f aca="false">IF($BH86&lt;&gt;Constants!$B$4,"",IF(AND($AJ86,$BA86,$BB86),Constants!$B$22,0))</f>
        <v/>
      </c>
      <c r="BP86" s="100" t="str">
        <f aca="false">IF($BH86&lt;&gt;Constants!$B$4,"",IF(OR(NOT($AJ86),NOT($BA86)),0,IF($BF86&gt;=2*$AF$9,0,Constants!$B$23*INT(ROUND(MIN($BF86,$AF$9),6)))))</f>
        <v/>
      </c>
      <c r="BQ86" s="100" t="str">
        <f aca="false">IF($BH86&lt;&gt;Constants!$B$4,"",IF(NOT($AJ86),0,Constants!$B$24*INT(ROUND(MIN($AZ86,$AF$9),6))))</f>
        <v/>
      </c>
      <c r="BR86" s="100" t="str">
        <f aca="false">IF($BH86&lt;&gt;Constants!$B$4,"",IF(AND($AJ86,$BJ86=0),Constants!$B$25,0))</f>
        <v/>
      </c>
      <c r="BS86" s="100" t="str">
        <f aca="false">IF($BH86&lt;&gt;Constants!$B$4,"",MIN(Constants!$B$29,MAX(0,Constants!$B$27*Constants!$B$28*INT(ROUND((Constants!$B$26-$AL86)/Constants!$B$28,6))))+MIN(Constants!$B$29,MAX(0,Constants!$B$27*Constants!$B$28*INT(ROUND((Constants!$B$26-$AM86)/Constants!$B$28,6))))+MIN(Constants!$B$29,MAX(0,Constants!$B$27*Constants!$B$28*INT(ROUND((Constants!$B$26-$AN86)/Constants!$B$28,6)))))</f>
        <v/>
      </c>
      <c r="BT86" s="100" t="str">
        <f aca="false">IF($BH86&lt;&gt;Constants!$B$4,"",IF(NOT($AJ86),0,Constants!$B$31*INT(ROUND(MAX(0,MIN($BF86,2*$AF$9)-$AF$9),6))))</f>
        <v/>
      </c>
      <c r="BU86" s="100" t="str">
        <f aca="false">IF($BH86&lt;&gt;Constants!$B$4,"",Constants!$B$32*(($AL86&gt;Constants!$B$26)+($AM86&gt;Constants!$B$26)+($AN86&gt;Constants!$B$26)))</f>
        <v/>
      </c>
      <c r="BV86" s="100" t="str">
        <f aca="false">IF($BH86&lt;&gt;Constants!$B$4,"",IF(OR(NOT($AJ86),$AO86),0,Constants!$B$33))</f>
        <v/>
      </c>
      <c r="BW86" s="100" t="str">
        <f aca="false">IF($BH86&lt;&gt;Constants!$B$4,"",Constants!$B$34*$BJ86)</f>
        <v/>
      </c>
      <c r="BX86" s="100" t="str">
        <f aca="false">IF($BH86&lt;&gt;Constants!$B$4,"",IF(OR(NOT($AJ86),$BE86),0,Constants!$B$36))</f>
        <v/>
      </c>
      <c r="BY86" s="100" t="str">
        <f aca="false">IF($BH86&lt;&gt;Constants!$B$4,"",IF(OR(NOT($AJ86),$BD86),0,Constants!$B$37))</f>
        <v/>
      </c>
      <c r="BZ86" s="100" t="str">
        <f aca="false">IF($BH86&lt;&gt;Constants!$B$4,"",SUM($BT86:$BY86))</f>
        <v/>
      </c>
      <c r="CA86" s="100" t="str">
        <f aca="false">IF(ISBLANK($C86),"",IF($BH86&lt;&gt;Constants!$B$4,$BH86,SUM($BK86:$BS86)-$BZ86))</f>
        <v/>
      </c>
      <c r="CB86" s="100" t="str">
        <f aca="false">IF(ISBLANK($C86),"",IF($BH86&lt;&gt;Constants!$B$4,$BH86,RANK($CA86,$CA$9:$CA$508)))</f>
        <v/>
      </c>
      <c r="CC86" s="100" t="str">
        <f aca="false">IF(ISBLANK($C86),"",IF($BH86&lt;&gt;Constants!$B$4,$BH86,COUNTIFS($BI$9:$BI$508,"&lt;"&amp;$BI86)+COUNTIFS($BI$9:$BI$508,$BI86,$CB$9:$CB$508,"&lt;"&amp;$CB86)+1))</f>
        <v/>
      </c>
      <c r="CD86" s="100" t="str">
        <f aca="false">IF(ISBLANK($C86),"",IF($BH86&lt;&gt;Constants!$B$4,$BH86,RANK($BZ86,$BZ$9:$BZ$508,1)))</f>
        <v/>
      </c>
      <c r="CE86" s="100" t="str">
        <f aca="false">IF($BH86&lt;&gt;Constants!$B$4,"",$AL86+$AM86+$AN86)</f>
        <v/>
      </c>
      <c r="CF86" s="100" t="str">
        <f aca="false">IF(ISBLANK($C86),"",IF($BH86&lt;&gt;Constants!$B$4,$BH86,RANK($CE86,$CE$9:$CE$508,1)))</f>
        <v/>
      </c>
      <c r="CG86" s="100" t="str">
        <f aca="false">IF(ISBLANK($C86),"",IF($BH86&lt;&gt;Constants!$B$4,$BH86,COUNTIFS($BI$9:$BI$508,"&lt;"&amp;$BI86)+COUNTIFS($BI$9:$BI$508,$BI86,$CB$9:$CB$508,"&lt;"&amp;$CB86)+COUNTIFS($BI$9:$BI$508,$BI86,$CB$9:$CB$508,$CB86,$CD$9:$CD$508,"&lt;"&amp;$CD86)+COUNTIFS($BI$9:$BI$508,$BI86,$CB$9:$CB$508,$CB86,$CD$9:$CD$508,$CD86,$CF$9:$CF$508,"&lt;"&amp;$CF86)+1))</f>
        <v/>
      </c>
      <c r="CH86" s="100" t="str">
        <f aca="false">IF(ISBLANK($C86),"",IF($BH86&lt;&gt;Constants!$B$4,$BH86,$CC86-$CG86))</f>
        <v/>
      </c>
      <c r="CI86" s="100" t="str">
        <f aca="false">IF(ISBLANK($C86),"",IF(NOT($AJ86),"",IF(ISBLANK($D$7),$CI$5,IF(NOT(ISNUMBER($D$7)),$CI$6,""))))</f>
        <v/>
      </c>
      <c r="CJ86" s="100" t="str">
        <f aca="false">IF(ISBLANK($C86),"",OR($AL86="",$AM86="",$AN86=""))</f>
        <v/>
      </c>
      <c r="CK86" s="100" t="str">
        <f aca="false">IF(ISBLANK($C86),"",AND($AJ86,$AX86=""))</f>
        <v/>
      </c>
      <c r="CL86" s="100" t="str">
        <f aca="false">IF(ISBLANK($C86),"",AND($AJ86,$AY86=""))</f>
        <v/>
      </c>
      <c r="CM86" s="100" t="str">
        <f aca="false">IF(ISBLANK($C86),"",AND($AJ86,$AZ86=""))</f>
        <v/>
      </c>
      <c r="CN86" s="100" t="str">
        <f aca="false">IF(ISBLANK($C86),"",AND($AJ86,$BC86=""))</f>
        <v/>
      </c>
      <c r="CO86" s="100" t="str">
        <f aca="false">IF(ISBLANK($C86),"",AND($AJ86,$BF86=""))</f>
        <v/>
      </c>
      <c r="CP86" s="101"/>
      <c r="CQ86" s="102"/>
      <c r="CR86" s="103" t="str">
        <f aca="false">IF(ISBLANK($C86),"",IF($BH86=Constants!$B$8,$CI86,""))</f>
        <v/>
      </c>
      <c r="CS86" s="102" t="str">
        <f aca="false">IF(ISBLANK($C86),"",IF($BH86&lt;&gt;Constants!$B$4,"",$BK86+$BL86))</f>
        <v/>
      </c>
      <c r="CT86" s="104" t="str">
        <f aca="false">IF(ISBLANK($C86),"",IF($BH86&lt;&gt;Constants!$B$4,"",$BM86+$BN86+$BO86))</f>
        <v/>
      </c>
      <c r="CU86" s="104" t="str">
        <f aca="false">IF(ISBLANK($C86),"",IF($BH86&lt;&gt;Constants!$B$4,"",$BP86))</f>
        <v/>
      </c>
      <c r="CV86" s="104" t="str">
        <f aca="false">IF(ISBLANK($C86),"",IF($BH86&lt;&gt;Constants!$B$4,"",$BQ86+$BR86))</f>
        <v/>
      </c>
      <c r="CW86" s="104" t="str">
        <f aca="false">IF(ISBLANK($C86),"",IF($BH86&lt;&gt;Constants!$B$4,"",$BS86))</f>
        <v/>
      </c>
      <c r="CX86" s="104" t="str">
        <f aca="false">IF(ISBLANK($C86),"",IF($BH86&lt;&gt;Constants!$B$4,"",-$BZ86))</f>
        <v/>
      </c>
      <c r="CY86" s="103" t="str">
        <f aca="false">IF(ISBLANK($C86),"",$CA86)</f>
        <v/>
      </c>
      <c r="CZ86" s="105" t="str">
        <f aca="false">IF(ISBLANK($C86),"",$BI86)</f>
        <v/>
      </c>
      <c r="DA86" s="104" t="str">
        <f aca="false">IF(ISBLANK($C86),"",$CH86)</f>
        <v/>
      </c>
      <c r="DB86" s="104" t="str">
        <f aca="false">IF(ISBLANK($C86),"",$CG86)</f>
        <v/>
      </c>
      <c r="DC86" s="106" t="str">
        <f aca="false">IF(ISBLANK($C86),"",IFERROR(_xlfn.SWITCH($DB86,Constants!$B$7,COUNTA($C$9:$C$508)+2,Constants!$B$6,COUNTA($C$9:$C$508)+1,Constants!$B$5,COUNTA($C$9:$C$508)),$DB86))</f>
        <v/>
      </c>
      <c r="DD86" s="7"/>
      <c r="DE86" s="107" t="n">
        <f aca="false">IF(OR(ISNUMBER($DB86),$DB86=Constants!$B$7,$DB86=Constants!$B$5,$DB86=Constants!$B$6),1,0)</f>
        <v>0</v>
      </c>
      <c r="DF86" s="107" t="n">
        <v>78</v>
      </c>
      <c r="DG86" s="107" t="str">
        <f aca="false">IF(ISBLANK($C86),"",IF(ISNUMBER($DC86),$DC86+ROW($B86)/1000,""))</f>
        <v/>
      </c>
      <c r="DH86" s="107" t="str">
        <f aca="false">IF(ISNUMBER($DG86),RANK($DG86,$DG$9:$DG$508,1),"")</f>
        <v/>
      </c>
      <c r="DI86" s="107" t="str">
        <f aca="false">IF(ISBLANK($C86),"",$B86)</f>
        <v/>
      </c>
      <c r="DJ86" s="107" t="str">
        <f aca="false">IF(ISBLANK($C86),"",$C86)</f>
        <v/>
      </c>
      <c r="DK86" s="107" t="str">
        <f aca="false">IF(ISBLANK($C86),"",$D86)</f>
        <v/>
      </c>
      <c r="DL86" s="108" t="str">
        <f aca="false">$CZ86</f>
        <v/>
      </c>
      <c r="DM86" s="109" t="str">
        <f aca="false">$CY86</f>
        <v/>
      </c>
      <c r="DN86" s="107" t="str">
        <f aca="false">IF(ISBLANK($C86),"",$DB86)</f>
        <v/>
      </c>
      <c r="DO86" s="110" t="str">
        <f aca="false">IF($DF86&gt;$DE$8,"",VLOOKUP($DF86,$DH$9:$DN$508,7,FALSE()))</f>
        <v/>
      </c>
      <c r="DP86" s="111" t="str">
        <f aca="false">IF($DF86&gt;$DE$8,"",VLOOKUP($DF86,$DH$9:$DN$508,2,FALSE()))</f>
        <v/>
      </c>
      <c r="DQ86" s="111" t="str">
        <f aca="false">IF($DF86&gt;$DE$8,"",VLOOKUP($DF86,$DH$9:$DN$508,3,FALSE()))</f>
        <v/>
      </c>
      <c r="DR86" s="111" t="str">
        <f aca="false">IF($DF86&gt;$DE$8,"",VLOOKUP($DF86,$DH$9:$DN$508,4,FALSE()))</f>
        <v/>
      </c>
      <c r="DS86" s="111" t="str">
        <f aca="false">IF($DF86&gt;$DE$8,"",VLOOKUP($DF86,$DH$9:$DN$508,5,FALSE()))</f>
        <v/>
      </c>
      <c r="DT86" s="112" t="str">
        <f aca="false">IF($DF86&gt;$DE$8,"",VLOOKUP($DF86,$DH$9:$DN$508,6,FALSE()))</f>
        <v/>
      </c>
      <c r="DU86" s="62"/>
    </row>
    <row r="87" customFormat="false" ht="15.75" hidden="false" customHeight="false" outlineLevel="0" collapsed="false">
      <c r="A87" s="7"/>
      <c r="B87" s="64"/>
      <c r="C87" s="65"/>
      <c r="D87" s="123"/>
      <c r="E87" s="88"/>
      <c r="F87" s="134"/>
      <c r="G87" s="88"/>
      <c r="H87" s="134"/>
      <c r="I87" s="69"/>
      <c r="J87" s="69"/>
      <c r="K87" s="69"/>
      <c r="L87" s="88"/>
      <c r="M87" s="88"/>
      <c r="N87" s="88"/>
      <c r="O87" s="134"/>
      <c r="P87" s="88"/>
      <c r="Q87" s="88"/>
      <c r="R87" s="88"/>
      <c r="S87" s="88"/>
      <c r="T87" s="134"/>
      <c r="U87" s="88"/>
      <c r="V87" s="70"/>
      <c r="W87" s="88"/>
      <c r="X87" s="88"/>
      <c r="Y87" s="70"/>
      <c r="Z87" s="70"/>
      <c r="AA87" s="88"/>
      <c r="AB87" s="88"/>
      <c r="AC87" s="71"/>
      <c r="AD87" s="88"/>
      <c r="AE87" s="73"/>
      <c r="AF87" s="74"/>
      <c r="AG87" s="74"/>
      <c r="AH87" s="74" t="str">
        <f aca="false">IF(ISBLANK($C87),"",IF($E87=Constants!$B$2,TRUE(),IF($E87=Constants!$B$3,FALSE(),TRUE())))</f>
        <v/>
      </c>
      <c r="AI87" s="74" t="str">
        <f aca="false">IF(ISBLANK($C87),"",IF($F87=Constants!$B$2,TRUE(),IF($F87=Constants!$B$3,FALSE(),FALSE())))</f>
        <v/>
      </c>
      <c r="AJ87" s="74" t="str">
        <f aca="false">IF(ISBLANK($C87),"",IF($G87=Constants!$B$2,TRUE(),IF($G87=Constants!$B$3,FALSE(),TRUE())))</f>
        <v/>
      </c>
      <c r="AK87" s="74" t="str">
        <f aca="false">IF(ISBLANK($C87),"",IF($H87=Constants!$B$2,TRUE(),IF($H87=Constants!$B$3,FALSE(),TRUE())))</f>
        <v/>
      </c>
      <c r="AL87" s="74" t="str">
        <f aca="false">IF(ISBLANK($C87),"",IF(ISNUMBER($I87),IF($I87&gt;=0,$I87,""),""))</f>
        <v/>
      </c>
      <c r="AM87" s="74" t="str">
        <f aca="false">IF(ISBLANK($C87),"",IF(ISNUMBER($J87),IF($J87&gt;=0,$J87,""),""))</f>
        <v/>
      </c>
      <c r="AN87" s="74" t="str">
        <f aca="false">IF(ISBLANK($C87),"",IF(ISNUMBER($K87),IF($K87&gt;=0,$K87,""),""))</f>
        <v/>
      </c>
      <c r="AO87" s="74" t="str">
        <f aca="false">IF(ISBLANK($C87),"",IF($L87=Constants!$B$2,TRUE(),IF($L87=Constants!$B$3,FALSE(),TRUE())))</f>
        <v/>
      </c>
      <c r="AP87" s="74" t="str">
        <f aca="false">IF(ISBLANK($C87),"",IF($M87=Constants!$B$2,TRUE(),IF($M87=Constants!$B$3,FALSE(),TRUE())))</f>
        <v/>
      </c>
      <c r="AQ87" s="74" t="str">
        <f aca="false">IF(ISBLANK($C87),"",IF($N87=Constants!$B$2,TRUE(),IF($N87=Constants!$B$3,FALSE(),FALSE())))</f>
        <v/>
      </c>
      <c r="AR87" s="74" t="str">
        <f aca="false">IF(ISBLANK($C87),"",IF($O87=Constants!$B$2,TRUE(),IF($O87=Constants!$B$3,FALSE(),TRUE())))</f>
        <v/>
      </c>
      <c r="AS87" s="74" t="str">
        <f aca="false">IF(ISBLANK($C87),"",IF($P87=Constants!$B$2,TRUE(),IF($P87=Constants!$B$3,FALSE(),FALSE())))</f>
        <v/>
      </c>
      <c r="AT87" s="74" t="str">
        <f aca="false">IF(ISBLANK($C87),"",IF($Q87=Constants!$B$2,TRUE(),IF($Q87=Constants!$B$3,FALSE(),FALSE())))</f>
        <v/>
      </c>
      <c r="AU87" s="74" t="str">
        <f aca="false">IF(ISBLANK($C87),"",IF($R87=Constants!$B$2,TRUE(),IF($R87=Constants!$B$3,FALSE(),FALSE())))</f>
        <v/>
      </c>
      <c r="AV87" s="74" t="str">
        <f aca="false">IF(ISBLANK($C87),"",IF($S87=Constants!$B$2,TRUE(),IF($S87=Constants!$B$3,FALSE(),FALSE())))</f>
        <v/>
      </c>
      <c r="AW87" s="74" t="str">
        <f aca="false">IF(ISBLANK($C87),"",IF($T87=Constants!$B$2,TRUE(),IF($T87=Constants!$B$3,FALSE(),FALSE())))</f>
        <v/>
      </c>
      <c r="AX87" s="74" t="str">
        <f aca="false">IF(ISBLANK($C87),"",IF(OR($U87&amp;""="1",$U87&amp;""="2",$U87&amp;""="3",$U87&amp;""="4"),VALUE($U87&amp;""),IF($U87=Constants!$B$12,Constants!$B$12,"")))</f>
        <v/>
      </c>
      <c r="AY87" s="74" t="str">
        <f aca="false">IF(ISBLANK($C87),"",IF(ISBLANK($V87),0,IF(ISNUMBER($V87),IF(AND($V87&gt;=0,$V87&lt;=Constants!$B$21,$V87=INT($V87)),$V87,""),"")))</f>
        <v/>
      </c>
      <c r="AZ87" s="74" t="str">
        <f aca="false">IF(ISBLANK($C87),"",IF(ISBLANK($W87),0,IF(ISNUMBER($W87),IF($W87&gt;=0,$W87,""),"")))</f>
        <v/>
      </c>
      <c r="BA87" s="74" t="str">
        <f aca="false">IF(ISBLANK($C87),"",IF($X87=Constants!$B$2,TRUE(),IF($X87=Constants!$B$3,FALSE(),TRUE())))</f>
        <v/>
      </c>
      <c r="BB87" s="74" t="str">
        <f aca="false">IF(ISBLANK($C87),"",IF($Y87=Constants!$B$2,TRUE(),IF($Y87=Constants!$B$3,FALSE(),FALSE())))</f>
        <v/>
      </c>
      <c r="BC87" s="74" t="str">
        <f aca="false">IF(ISBLANK($C87),"",IF(ISBLANK($Z87),0,IF(ISNUMBER($Z87),IF(AND($Z87&gt;=0,$Z87&lt;=Constants!$B$35,$Z87=INT($Z87)),$Z87,""),"")))</f>
        <v/>
      </c>
      <c r="BD87" s="74" t="str">
        <f aca="false">IF(ISBLANK($C87),"",IF($AA87=Constants!$B$2,TRUE(),IF($AA87=Constants!$B$3,FALSE(),TRUE())))</f>
        <v/>
      </c>
      <c r="BE87" s="74" t="str">
        <f aca="false">IF(ISBLANK($C87),"",IF($AB87=Constants!$B$2,TRUE(),IF($AB87=Constants!$B$3,FALSE(),TRUE())))</f>
        <v/>
      </c>
      <c r="BF87" s="74" t="str">
        <f aca="false">IF(ISBLANK($C87),"",IF(ISNUMBER($AC87),IF($AC87&gt;=0,$AC87,""),""))</f>
        <v/>
      </c>
      <c r="BG87" s="74" t="str">
        <f aca="false">IF(ISBLANK($C87),"",IF($AD87=Constants!$B$2,TRUE(),IF($AD87=Constants!$B$3,FALSE(),FALSE())))</f>
        <v/>
      </c>
      <c r="BH87" s="73" t="str">
        <f aca="false">IF(ISBLANK($C87),"",IF($BG87,Constants!$B$7,IF(COUNTA($E87:$AC87)=0,Constants!$B$6,IF(OR(COUNTA($G87:$AC87)=0,NOT($AK87),$AQ87),Constants!$B$5,IF(OR($CI87&lt;&gt;"",$CJ87,$CK87,$CL87,$CM87,$CN87,$CO87),Constants!$B$8,Constants!$B$4)))))</f>
        <v/>
      </c>
      <c r="BI87" s="74" t="str">
        <f aca="false">IF(ISBLANK($C87),"",IF($BH87&lt;&gt;Constants!$B$4,$BH87,IF(OR(NOT($AH87),NOT($AJ87),NOT($AR87)),Constants!$B$11,IF(OR(NOT($AP87),MAX($AL87,$AM87,$AN87)&gt;Constants!$B$30),Constants!$B$10,Constants!$B$9))))</f>
        <v/>
      </c>
      <c r="BJ87" s="74" t="str">
        <f aca="false">IF($BH87&lt;&gt;Constants!$B$4,"",IF(NOT($AJ87),0,MIN(Constants!$B$35,$BC87)))</f>
        <v/>
      </c>
      <c r="BK87" s="74" t="str">
        <f aca="false">IF($BH87&lt;&gt;Constants!$B$4,"",IF(NOT($AJ87),0,IF($AT87,Constants!$B$18,IF($AS87,Constants!$B$17,0))))</f>
        <v/>
      </c>
      <c r="BL87" s="74" t="str">
        <f aca="false">IF($BH87&lt;&gt;Constants!$B$4,"",IF(NOT($AJ87),0,Constants!$B$19*($AI87+$AU87+$AV87+$AW87)))</f>
        <v/>
      </c>
      <c r="BM87" s="74" t="str">
        <f aca="false">IF($BH87&lt;&gt;Constants!$B$4,"",IF(OR(NOT($AJ87),NOT(ISNUMBER($AX87))),0,CHOOSE($AX87,Constants!$B$13,Constants!$B$14,Constants!$B$15,Constants!$B$16)))</f>
        <v/>
      </c>
      <c r="BN87" s="74" t="str">
        <f aca="false">IF($BH87&lt;&gt;Constants!$B$4,"",IF(NOT($AJ87),0,Constants!$B$20*$AY87))</f>
        <v/>
      </c>
      <c r="BO87" s="74" t="str">
        <f aca="false">IF($BH87&lt;&gt;Constants!$B$4,"",IF(AND($AJ87,$BA87,$BB87),Constants!$B$22,0))</f>
        <v/>
      </c>
      <c r="BP87" s="74" t="str">
        <f aca="false">IF($BH87&lt;&gt;Constants!$B$4,"",IF(OR(NOT($AJ87),NOT($BA87)),0,IF($BF87&gt;=2*$AF$9,0,Constants!$B$23*INT(ROUND(MIN($BF87,$AF$9),6)))))</f>
        <v/>
      </c>
      <c r="BQ87" s="74" t="str">
        <f aca="false">IF($BH87&lt;&gt;Constants!$B$4,"",IF(NOT($AJ87),0,Constants!$B$24*INT(ROUND(MIN($AZ87,$AF$9),6))))</f>
        <v/>
      </c>
      <c r="BR87" s="74" t="str">
        <f aca="false">IF($BH87&lt;&gt;Constants!$B$4,"",IF(AND($AJ87,$BJ87=0),Constants!$B$25,0))</f>
        <v/>
      </c>
      <c r="BS87" s="74" t="str">
        <f aca="false">IF($BH87&lt;&gt;Constants!$B$4,"",MIN(Constants!$B$29,MAX(0,Constants!$B$27*Constants!$B$28*INT(ROUND((Constants!$B$26-$AL87)/Constants!$B$28,6))))+MIN(Constants!$B$29,MAX(0,Constants!$B$27*Constants!$B$28*INT(ROUND((Constants!$B$26-$AM87)/Constants!$B$28,6))))+MIN(Constants!$B$29,MAX(0,Constants!$B$27*Constants!$B$28*INT(ROUND((Constants!$B$26-$AN87)/Constants!$B$28,6)))))</f>
        <v/>
      </c>
      <c r="BT87" s="74" t="str">
        <f aca="false">IF($BH87&lt;&gt;Constants!$B$4,"",IF(NOT($AJ87),0,Constants!$B$31*INT(ROUND(MAX(0,MIN($BF87,2*$AF$9)-$AF$9),6))))</f>
        <v/>
      </c>
      <c r="BU87" s="74" t="str">
        <f aca="false">IF($BH87&lt;&gt;Constants!$B$4,"",Constants!$B$32*(($AL87&gt;Constants!$B$26)+($AM87&gt;Constants!$B$26)+($AN87&gt;Constants!$B$26)))</f>
        <v/>
      </c>
      <c r="BV87" s="74" t="str">
        <f aca="false">IF($BH87&lt;&gt;Constants!$B$4,"",IF(OR(NOT($AJ87),$AO87),0,Constants!$B$33))</f>
        <v/>
      </c>
      <c r="BW87" s="74" t="str">
        <f aca="false">IF($BH87&lt;&gt;Constants!$B$4,"",Constants!$B$34*$BJ87)</f>
        <v/>
      </c>
      <c r="BX87" s="74" t="str">
        <f aca="false">IF($BH87&lt;&gt;Constants!$B$4,"",IF(OR(NOT($AJ87),$BE87),0,Constants!$B$36))</f>
        <v/>
      </c>
      <c r="BY87" s="74" t="str">
        <f aca="false">IF($BH87&lt;&gt;Constants!$B$4,"",IF(OR(NOT($AJ87),$BD87),0,Constants!$B$37))</f>
        <v/>
      </c>
      <c r="BZ87" s="74" t="str">
        <f aca="false">IF($BH87&lt;&gt;Constants!$B$4,"",SUM($BT87:$BY87))</f>
        <v/>
      </c>
      <c r="CA87" s="74" t="str">
        <f aca="false">IF(ISBLANK($C87),"",IF($BH87&lt;&gt;Constants!$B$4,$BH87,SUM($BK87:$BS87)-$BZ87))</f>
        <v/>
      </c>
      <c r="CB87" s="74" t="str">
        <f aca="false">IF(ISBLANK($C87),"",IF($BH87&lt;&gt;Constants!$B$4,$BH87,RANK($CA87,$CA$9:$CA$508)))</f>
        <v/>
      </c>
      <c r="CC87" s="74" t="str">
        <f aca="false">IF(ISBLANK($C87),"",IF($BH87&lt;&gt;Constants!$B$4,$BH87,COUNTIFS($BI$9:$BI$508,"&lt;"&amp;$BI87)+COUNTIFS($BI$9:$BI$508,$BI87,$CB$9:$CB$508,"&lt;"&amp;$CB87)+1))</f>
        <v/>
      </c>
      <c r="CD87" s="74" t="str">
        <f aca="false">IF(ISBLANK($C87),"",IF($BH87&lt;&gt;Constants!$B$4,$BH87,RANK($BZ87,$BZ$9:$BZ$508,1)))</f>
        <v/>
      </c>
      <c r="CE87" s="74" t="str">
        <f aca="false">IF($BH87&lt;&gt;Constants!$B$4,"",$AL87+$AM87+$AN87)</f>
        <v/>
      </c>
      <c r="CF87" s="74" t="str">
        <f aca="false">IF(ISBLANK($C87),"",IF($BH87&lt;&gt;Constants!$B$4,$BH87,RANK($CE87,$CE$9:$CE$508,1)))</f>
        <v/>
      </c>
      <c r="CG87" s="74" t="str">
        <f aca="false">IF(ISBLANK($C87),"",IF($BH87&lt;&gt;Constants!$B$4,$BH87,COUNTIFS($BI$9:$BI$508,"&lt;"&amp;$BI87)+COUNTIFS($BI$9:$BI$508,$BI87,$CB$9:$CB$508,"&lt;"&amp;$CB87)+COUNTIFS($BI$9:$BI$508,$BI87,$CB$9:$CB$508,$CB87,$CD$9:$CD$508,"&lt;"&amp;$CD87)+COUNTIFS($BI$9:$BI$508,$BI87,$CB$9:$CB$508,$CB87,$CD$9:$CD$508,$CD87,$CF$9:$CF$508,"&lt;"&amp;$CF87)+1))</f>
        <v/>
      </c>
      <c r="CH87" s="74" t="str">
        <f aca="false">IF(ISBLANK($C87),"",IF($BH87&lt;&gt;Constants!$B$4,$BH87,$CC87-$CG87))</f>
        <v/>
      </c>
      <c r="CI87" s="74" t="str">
        <f aca="false">IF(ISBLANK($C87),"",IF(NOT($AJ87),"",IF(ISBLANK($D$7),$CI$5,IF(NOT(ISNUMBER($D$7)),$CI$6,""))))</f>
        <v/>
      </c>
      <c r="CJ87" s="74" t="str">
        <f aca="false">IF(ISBLANK($C87),"",OR($AL87="",$AM87="",$AN87=""))</f>
        <v/>
      </c>
      <c r="CK87" s="74" t="str">
        <f aca="false">IF(ISBLANK($C87),"",AND($AJ87,$AX87=""))</f>
        <v/>
      </c>
      <c r="CL87" s="74" t="str">
        <f aca="false">IF(ISBLANK($C87),"",AND($AJ87,$AY87=""))</f>
        <v/>
      </c>
      <c r="CM87" s="74" t="str">
        <f aca="false">IF(ISBLANK($C87),"",AND($AJ87,$AZ87=""))</f>
        <v/>
      </c>
      <c r="CN87" s="74" t="str">
        <f aca="false">IF(ISBLANK($C87),"",AND($AJ87,$BC87=""))</f>
        <v/>
      </c>
      <c r="CO87" s="74" t="str">
        <f aca="false">IF(ISBLANK($C87),"",AND($AJ87,$BF87=""))</f>
        <v/>
      </c>
      <c r="CP87" s="75"/>
      <c r="CQ87" s="76"/>
      <c r="CR87" s="79" t="str">
        <f aca="false">IF(ISBLANK($C87),"",IF($BH87=Constants!$B$8,$CI87,""))</f>
        <v/>
      </c>
      <c r="CS87" s="76" t="str">
        <f aca="false">IF(ISBLANK($C87),"",IF($BH87&lt;&gt;Constants!$B$4,"",$BK87+$BL87))</f>
        <v/>
      </c>
      <c r="CT87" s="78" t="str">
        <f aca="false">IF(ISBLANK($C87),"",IF($BH87&lt;&gt;Constants!$B$4,"",$BM87+$BN87+$BO87))</f>
        <v/>
      </c>
      <c r="CU87" s="78" t="str">
        <f aca="false">IF(ISBLANK($C87),"",IF($BH87&lt;&gt;Constants!$B$4,"",$BP87))</f>
        <v/>
      </c>
      <c r="CV87" s="78" t="str">
        <f aca="false">IF(ISBLANK($C87),"",IF($BH87&lt;&gt;Constants!$B$4,"",$BQ87+$BR87))</f>
        <v/>
      </c>
      <c r="CW87" s="78" t="str">
        <f aca="false">IF(ISBLANK($C87),"",IF($BH87&lt;&gt;Constants!$B$4,"",$BS87))</f>
        <v/>
      </c>
      <c r="CX87" s="78" t="str">
        <f aca="false">IF(ISBLANK($C87),"",IF($BH87&lt;&gt;Constants!$B$4,"",-$BZ87))</f>
        <v/>
      </c>
      <c r="CY87" s="79" t="str">
        <f aca="false">IF(ISBLANK($C87),"",$CA87)</f>
        <v/>
      </c>
      <c r="CZ87" s="80" t="str">
        <f aca="false">IF(ISBLANK($C87),"",$BI87)</f>
        <v/>
      </c>
      <c r="DA87" s="78" t="str">
        <f aca="false">IF(ISBLANK($C87),"",$CH87)</f>
        <v/>
      </c>
      <c r="DB87" s="78" t="str">
        <f aca="false">IF(ISBLANK($C87),"",$CG87)</f>
        <v/>
      </c>
      <c r="DC87" s="81" t="str">
        <f aca="false">IF(ISBLANK($C87),"",IFERROR(_xlfn.SWITCH($DB87,Constants!$B$7,COUNTA($C$9:$C$508)+2,Constants!$B$6,COUNTA($C$9:$C$508)+1,Constants!$B$5,COUNTA($C$9:$C$508)),$DB87))</f>
        <v/>
      </c>
      <c r="DD87" s="7"/>
      <c r="DE87" s="82" t="n">
        <f aca="false">IF(OR(ISNUMBER($DB87),$DB87=Constants!$B$7,$DB87=Constants!$B$5,$DB87=Constants!$B$6),1,0)</f>
        <v>0</v>
      </c>
      <c r="DF87" s="82" t="n">
        <v>79</v>
      </c>
      <c r="DG87" s="82" t="str">
        <f aca="false">IF(ISBLANK($C87),"",IF(ISNUMBER($DC87),$DC87+ROW($B87)/1000,""))</f>
        <v/>
      </c>
      <c r="DH87" s="82" t="str">
        <f aca="false">IF(ISNUMBER($DG87),RANK($DG87,$DG$9:$DG$508,1),"")</f>
        <v/>
      </c>
      <c r="DI87" s="82" t="str">
        <f aca="false">IF(ISBLANK($C87),"",$B87)</f>
        <v/>
      </c>
      <c r="DJ87" s="82" t="str">
        <f aca="false">IF(ISBLANK($C87),"",$C87)</f>
        <v/>
      </c>
      <c r="DK87" s="82" t="str">
        <f aca="false">IF(ISBLANK($C87),"",$D87)</f>
        <v/>
      </c>
      <c r="DL87" s="83" t="str">
        <f aca="false">$CZ87</f>
        <v/>
      </c>
      <c r="DM87" s="84" t="str">
        <f aca="false">$CY87</f>
        <v/>
      </c>
      <c r="DN87" s="82" t="str">
        <f aca="false">IF(ISBLANK($C87),"",$DB87)</f>
        <v/>
      </c>
      <c r="DO87" s="85" t="str">
        <f aca="false">IF($DF87&gt;$DE$8,"",VLOOKUP($DF87,$DH$9:$DN$508,7,FALSE()))</f>
        <v/>
      </c>
      <c r="DP87" s="86" t="str">
        <f aca="false">IF($DF87&gt;$DE$8,"",VLOOKUP($DF87,$DH$9:$DN$508,2,FALSE()))</f>
        <v/>
      </c>
      <c r="DQ87" s="86" t="str">
        <f aca="false">IF($DF87&gt;$DE$8,"",VLOOKUP($DF87,$DH$9:$DN$508,3,FALSE()))</f>
        <v/>
      </c>
      <c r="DR87" s="86" t="str">
        <f aca="false">IF($DF87&gt;$DE$8,"",VLOOKUP($DF87,$DH$9:$DN$508,4,FALSE()))</f>
        <v/>
      </c>
      <c r="DS87" s="86" t="str">
        <f aca="false">IF($DF87&gt;$DE$8,"",VLOOKUP($DF87,$DH$9:$DN$508,5,FALSE()))</f>
        <v/>
      </c>
      <c r="DT87" s="87" t="str">
        <f aca="false">IF($DF87&gt;$DE$8,"",VLOOKUP($DF87,$DH$9:$DN$508,6,FALSE()))</f>
        <v/>
      </c>
      <c r="DU87" s="62"/>
    </row>
    <row r="88" customFormat="false" ht="15.75" hidden="false" customHeight="false" outlineLevel="0" collapsed="false">
      <c r="A88" s="7"/>
      <c r="B88" s="64"/>
      <c r="C88" s="65"/>
      <c r="D88" s="123"/>
      <c r="E88" s="122"/>
      <c r="F88" s="66"/>
      <c r="G88" s="122"/>
      <c r="H88" s="66"/>
      <c r="I88" s="119"/>
      <c r="J88" s="119"/>
      <c r="K88" s="119"/>
      <c r="L88" s="122"/>
      <c r="M88" s="122"/>
      <c r="N88" s="122"/>
      <c r="O88" s="66"/>
      <c r="P88" s="122"/>
      <c r="Q88" s="122"/>
      <c r="R88" s="122"/>
      <c r="S88" s="122"/>
      <c r="T88" s="66"/>
      <c r="U88" s="122"/>
      <c r="V88" s="120"/>
      <c r="W88" s="122"/>
      <c r="X88" s="122"/>
      <c r="Y88" s="120"/>
      <c r="Z88" s="120"/>
      <c r="AA88" s="122"/>
      <c r="AB88" s="122"/>
      <c r="AC88" s="121"/>
      <c r="AD88" s="122"/>
      <c r="AE88" s="73"/>
      <c r="AF88" s="74"/>
      <c r="AG88" s="74"/>
      <c r="AH88" s="74" t="str">
        <f aca="false">IF(ISBLANK($C88),"",IF($E88=Constants!$B$2,TRUE(),IF($E88=Constants!$B$3,FALSE(),TRUE())))</f>
        <v/>
      </c>
      <c r="AI88" s="74" t="str">
        <f aca="false">IF(ISBLANK($C88),"",IF($F88=Constants!$B$2,TRUE(),IF($F88=Constants!$B$3,FALSE(),FALSE())))</f>
        <v/>
      </c>
      <c r="AJ88" s="74" t="str">
        <f aca="false">IF(ISBLANK($C88),"",IF($G88=Constants!$B$2,TRUE(),IF($G88=Constants!$B$3,FALSE(),TRUE())))</f>
        <v/>
      </c>
      <c r="AK88" s="74" t="str">
        <f aca="false">IF(ISBLANK($C88),"",IF($H88=Constants!$B$2,TRUE(),IF($H88=Constants!$B$3,FALSE(),TRUE())))</f>
        <v/>
      </c>
      <c r="AL88" s="74" t="str">
        <f aca="false">IF(ISBLANK($C88),"",IF(ISNUMBER($I88),IF($I88&gt;=0,$I88,""),""))</f>
        <v/>
      </c>
      <c r="AM88" s="74" t="str">
        <f aca="false">IF(ISBLANK($C88),"",IF(ISNUMBER($J88),IF($J88&gt;=0,$J88,""),""))</f>
        <v/>
      </c>
      <c r="AN88" s="74" t="str">
        <f aca="false">IF(ISBLANK($C88),"",IF(ISNUMBER($K88),IF($K88&gt;=0,$K88,""),""))</f>
        <v/>
      </c>
      <c r="AO88" s="74" t="str">
        <f aca="false">IF(ISBLANK($C88),"",IF($L88=Constants!$B$2,TRUE(),IF($L88=Constants!$B$3,FALSE(),TRUE())))</f>
        <v/>
      </c>
      <c r="AP88" s="74" t="str">
        <f aca="false">IF(ISBLANK($C88),"",IF($M88=Constants!$B$2,TRUE(),IF($M88=Constants!$B$3,FALSE(),TRUE())))</f>
        <v/>
      </c>
      <c r="AQ88" s="74" t="str">
        <f aca="false">IF(ISBLANK($C88),"",IF($N88=Constants!$B$2,TRUE(),IF($N88=Constants!$B$3,FALSE(),FALSE())))</f>
        <v/>
      </c>
      <c r="AR88" s="74" t="str">
        <f aca="false">IF(ISBLANK($C88),"",IF($O88=Constants!$B$2,TRUE(),IF($O88=Constants!$B$3,FALSE(),TRUE())))</f>
        <v/>
      </c>
      <c r="AS88" s="74" t="str">
        <f aca="false">IF(ISBLANK($C88),"",IF($P88=Constants!$B$2,TRUE(),IF($P88=Constants!$B$3,FALSE(),FALSE())))</f>
        <v/>
      </c>
      <c r="AT88" s="74" t="str">
        <f aca="false">IF(ISBLANK($C88),"",IF($Q88=Constants!$B$2,TRUE(),IF($Q88=Constants!$B$3,FALSE(),FALSE())))</f>
        <v/>
      </c>
      <c r="AU88" s="74" t="str">
        <f aca="false">IF(ISBLANK($C88),"",IF($R88=Constants!$B$2,TRUE(),IF($R88=Constants!$B$3,FALSE(),FALSE())))</f>
        <v/>
      </c>
      <c r="AV88" s="74" t="str">
        <f aca="false">IF(ISBLANK($C88),"",IF($S88=Constants!$B$2,TRUE(),IF($S88=Constants!$B$3,FALSE(),FALSE())))</f>
        <v/>
      </c>
      <c r="AW88" s="74" t="str">
        <f aca="false">IF(ISBLANK($C88),"",IF($T88=Constants!$B$2,TRUE(),IF($T88=Constants!$B$3,FALSE(),FALSE())))</f>
        <v/>
      </c>
      <c r="AX88" s="74" t="str">
        <f aca="false">IF(ISBLANK($C88),"",IF(OR($U88&amp;""="1",$U88&amp;""="2",$U88&amp;""="3",$U88&amp;""="4"),VALUE($U88&amp;""),IF($U88=Constants!$B$12,Constants!$B$12,"")))</f>
        <v/>
      </c>
      <c r="AY88" s="74" t="str">
        <f aca="false">IF(ISBLANK($C88),"",IF(ISBLANK($V88),0,IF(ISNUMBER($V88),IF(AND($V88&gt;=0,$V88&lt;=Constants!$B$21,$V88=INT($V88)),$V88,""),"")))</f>
        <v/>
      </c>
      <c r="AZ88" s="74" t="str">
        <f aca="false">IF(ISBLANK($C88),"",IF(ISBLANK($W88),0,IF(ISNUMBER($W88),IF($W88&gt;=0,$W88,""),"")))</f>
        <v/>
      </c>
      <c r="BA88" s="74" t="str">
        <f aca="false">IF(ISBLANK($C88),"",IF($X88=Constants!$B$2,TRUE(),IF($X88=Constants!$B$3,FALSE(),TRUE())))</f>
        <v/>
      </c>
      <c r="BB88" s="74" t="str">
        <f aca="false">IF(ISBLANK($C88),"",IF($Y88=Constants!$B$2,TRUE(),IF($Y88=Constants!$B$3,FALSE(),FALSE())))</f>
        <v/>
      </c>
      <c r="BC88" s="74" t="str">
        <f aca="false">IF(ISBLANK($C88),"",IF(ISBLANK($Z88),0,IF(ISNUMBER($Z88),IF(AND($Z88&gt;=0,$Z88&lt;=Constants!$B$35,$Z88=INT($Z88)),$Z88,""),"")))</f>
        <v/>
      </c>
      <c r="BD88" s="74" t="str">
        <f aca="false">IF(ISBLANK($C88),"",IF($AA88=Constants!$B$2,TRUE(),IF($AA88=Constants!$B$3,FALSE(),TRUE())))</f>
        <v/>
      </c>
      <c r="BE88" s="74" t="str">
        <f aca="false">IF(ISBLANK($C88),"",IF($AB88=Constants!$B$2,TRUE(),IF($AB88=Constants!$B$3,FALSE(),TRUE())))</f>
        <v/>
      </c>
      <c r="BF88" s="74" t="str">
        <f aca="false">IF(ISBLANK($C88),"",IF(ISNUMBER($AC88),IF($AC88&gt;=0,$AC88,""),""))</f>
        <v/>
      </c>
      <c r="BG88" s="74" t="str">
        <f aca="false">IF(ISBLANK($C88),"",IF($AD88=Constants!$B$2,TRUE(),IF($AD88=Constants!$B$3,FALSE(),FALSE())))</f>
        <v/>
      </c>
      <c r="BH88" s="73" t="str">
        <f aca="false">IF(ISBLANK($C88),"",IF($BG88,Constants!$B$7,IF(COUNTA($E88:$AC88)=0,Constants!$B$6,IF(OR(COUNTA($G88:$AC88)=0,NOT($AK88),$AQ88),Constants!$B$5,IF(OR($CI88&lt;&gt;"",$CJ88,$CK88,$CL88,$CM88,$CN88,$CO88),Constants!$B$8,Constants!$B$4)))))</f>
        <v/>
      </c>
      <c r="BI88" s="74" t="str">
        <f aca="false">IF(ISBLANK($C88),"",IF($BH88&lt;&gt;Constants!$B$4,$BH88,IF(OR(NOT($AH88),NOT($AJ88),NOT($AR88)),Constants!$B$11,IF(OR(NOT($AP88),MAX($AL88,$AM88,$AN88)&gt;Constants!$B$30),Constants!$B$10,Constants!$B$9))))</f>
        <v/>
      </c>
      <c r="BJ88" s="74" t="str">
        <f aca="false">IF($BH88&lt;&gt;Constants!$B$4,"",IF(NOT($AJ88),0,MIN(Constants!$B$35,$BC88)))</f>
        <v/>
      </c>
      <c r="BK88" s="74" t="str">
        <f aca="false">IF($BH88&lt;&gt;Constants!$B$4,"",IF(NOT($AJ88),0,IF($AT88,Constants!$B$18,IF($AS88,Constants!$B$17,0))))</f>
        <v/>
      </c>
      <c r="BL88" s="74" t="str">
        <f aca="false">IF($BH88&lt;&gt;Constants!$B$4,"",IF(NOT($AJ88),0,Constants!$B$19*($AI88+$AU88+$AV88+$AW88)))</f>
        <v/>
      </c>
      <c r="BM88" s="74" t="str">
        <f aca="false">IF($BH88&lt;&gt;Constants!$B$4,"",IF(OR(NOT($AJ88),NOT(ISNUMBER($AX88))),0,CHOOSE($AX88,Constants!$B$13,Constants!$B$14,Constants!$B$15,Constants!$B$16)))</f>
        <v/>
      </c>
      <c r="BN88" s="74" t="str">
        <f aca="false">IF($BH88&lt;&gt;Constants!$B$4,"",IF(NOT($AJ88),0,Constants!$B$20*$AY88))</f>
        <v/>
      </c>
      <c r="BO88" s="74" t="str">
        <f aca="false">IF($BH88&lt;&gt;Constants!$B$4,"",IF(AND($AJ88,$BA88,$BB88),Constants!$B$22,0))</f>
        <v/>
      </c>
      <c r="BP88" s="74" t="str">
        <f aca="false">IF($BH88&lt;&gt;Constants!$B$4,"",IF(OR(NOT($AJ88),NOT($BA88)),0,IF($BF88&gt;=2*$AF$9,0,Constants!$B$23*INT(ROUND(MIN($BF88,$AF$9),6)))))</f>
        <v/>
      </c>
      <c r="BQ88" s="74" t="str">
        <f aca="false">IF($BH88&lt;&gt;Constants!$B$4,"",IF(NOT($AJ88),0,Constants!$B$24*INT(ROUND(MIN($AZ88,$AF$9),6))))</f>
        <v/>
      </c>
      <c r="BR88" s="74" t="str">
        <f aca="false">IF($BH88&lt;&gt;Constants!$B$4,"",IF(AND($AJ88,$BJ88=0),Constants!$B$25,0))</f>
        <v/>
      </c>
      <c r="BS88" s="74" t="str">
        <f aca="false">IF($BH88&lt;&gt;Constants!$B$4,"",MIN(Constants!$B$29,MAX(0,Constants!$B$27*Constants!$B$28*INT(ROUND((Constants!$B$26-$AL88)/Constants!$B$28,6))))+MIN(Constants!$B$29,MAX(0,Constants!$B$27*Constants!$B$28*INT(ROUND((Constants!$B$26-$AM88)/Constants!$B$28,6))))+MIN(Constants!$B$29,MAX(0,Constants!$B$27*Constants!$B$28*INT(ROUND((Constants!$B$26-$AN88)/Constants!$B$28,6)))))</f>
        <v/>
      </c>
      <c r="BT88" s="74" t="str">
        <f aca="false">IF($BH88&lt;&gt;Constants!$B$4,"",IF(NOT($AJ88),0,Constants!$B$31*INT(ROUND(MAX(0,MIN($BF88,2*$AF$9)-$AF$9),6))))</f>
        <v/>
      </c>
      <c r="BU88" s="74" t="str">
        <f aca="false">IF($BH88&lt;&gt;Constants!$B$4,"",Constants!$B$32*(($AL88&gt;Constants!$B$26)+($AM88&gt;Constants!$B$26)+($AN88&gt;Constants!$B$26)))</f>
        <v/>
      </c>
      <c r="BV88" s="74" t="str">
        <f aca="false">IF($BH88&lt;&gt;Constants!$B$4,"",IF(OR(NOT($AJ88),$AO88),0,Constants!$B$33))</f>
        <v/>
      </c>
      <c r="BW88" s="74" t="str">
        <f aca="false">IF($BH88&lt;&gt;Constants!$B$4,"",Constants!$B$34*$BJ88)</f>
        <v/>
      </c>
      <c r="BX88" s="74" t="str">
        <f aca="false">IF($BH88&lt;&gt;Constants!$B$4,"",IF(OR(NOT($AJ88),$BE88),0,Constants!$B$36))</f>
        <v/>
      </c>
      <c r="BY88" s="74" t="str">
        <f aca="false">IF($BH88&lt;&gt;Constants!$B$4,"",IF(OR(NOT($AJ88),$BD88),0,Constants!$B$37))</f>
        <v/>
      </c>
      <c r="BZ88" s="74" t="str">
        <f aca="false">IF($BH88&lt;&gt;Constants!$B$4,"",SUM($BT88:$BY88))</f>
        <v/>
      </c>
      <c r="CA88" s="74" t="str">
        <f aca="false">IF(ISBLANK($C88),"",IF($BH88&lt;&gt;Constants!$B$4,$BH88,SUM($BK88:$BS88)-$BZ88))</f>
        <v/>
      </c>
      <c r="CB88" s="74" t="str">
        <f aca="false">IF(ISBLANK($C88),"",IF($BH88&lt;&gt;Constants!$B$4,$BH88,RANK($CA88,$CA$9:$CA$508)))</f>
        <v/>
      </c>
      <c r="CC88" s="74" t="str">
        <f aca="false">IF(ISBLANK($C88),"",IF($BH88&lt;&gt;Constants!$B$4,$BH88,COUNTIFS($BI$9:$BI$508,"&lt;"&amp;$BI88)+COUNTIFS($BI$9:$BI$508,$BI88,$CB$9:$CB$508,"&lt;"&amp;$CB88)+1))</f>
        <v/>
      </c>
      <c r="CD88" s="74" t="str">
        <f aca="false">IF(ISBLANK($C88),"",IF($BH88&lt;&gt;Constants!$B$4,$BH88,RANK($BZ88,$BZ$9:$BZ$508,1)))</f>
        <v/>
      </c>
      <c r="CE88" s="74" t="str">
        <f aca="false">IF($BH88&lt;&gt;Constants!$B$4,"",$AL88+$AM88+$AN88)</f>
        <v/>
      </c>
      <c r="CF88" s="74" t="str">
        <f aca="false">IF(ISBLANK($C88),"",IF($BH88&lt;&gt;Constants!$B$4,$BH88,RANK($CE88,$CE$9:$CE$508,1)))</f>
        <v/>
      </c>
      <c r="CG88" s="74" t="str">
        <f aca="false">IF(ISBLANK($C88),"",IF($BH88&lt;&gt;Constants!$B$4,$BH88,COUNTIFS($BI$9:$BI$508,"&lt;"&amp;$BI88)+COUNTIFS($BI$9:$BI$508,$BI88,$CB$9:$CB$508,"&lt;"&amp;$CB88)+COUNTIFS($BI$9:$BI$508,$BI88,$CB$9:$CB$508,$CB88,$CD$9:$CD$508,"&lt;"&amp;$CD88)+COUNTIFS($BI$9:$BI$508,$BI88,$CB$9:$CB$508,$CB88,$CD$9:$CD$508,$CD88,$CF$9:$CF$508,"&lt;"&amp;$CF88)+1))</f>
        <v/>
      </c>
      <c r="CH88" s="74" t="str">
        <f aca="false">IF(ISBLANK($C88),"",IF($BH88&lt;&gt;Constants!$B$4,$BH88,$CC88-$CG88))</f>
        <v/>
      </c>
      <c r="CI88" s="74" t="str">
        <f aca="false">IF(ISBLANK($C88),"",IF(NOT($AJ88),"",IF(ISBLANK($D$7),$CI$5,IF(NOT(ISNUMBER($D$7)),$CI$6,""))))</f>
        <v/>
      </c>
      <c r="CJ88" s="74" t="str">
        <f aca="false">IF(ISBLANK($C88),"",OR($AL88="",$AM88="",$AN88=""))</f>
        <v/>
      </c>
      <c r="CK88" s="74" t="str">
        <f aca="false">IF(ISBLANK($C88),"",AND($AJ88,$AX88=""))</f>
        <v/>
      </c>
      <c r="CL88" s="74" t="str">
        <f aca="false">IF(ISBLANK($C88),"",AND($AJ88,$AY88=""))</f>
        <v/>
      </c>
      <c r="CM88" s="74" t="str">
        <f aca="false">IF(ISBLANK($C88),"",AND($AJ88,$AZ88=""))</f>
        <v/>
      </c>
      <c r="CN88" s="74" t="str">
        <f aca="false">IF(ISBLANK($C88),"",AND($AJ88,$BC88=""))</f>
        <v/>
      </c>
      <c r="CO88" s="74" t="str">
        <f aca="false">IF(ISBLANK($C88),"",AND($AJ88,$BF88=""))</f>
        <v/>
      </c>
      <c r="CP88" s="75"/>
      <c r="CQ88" s="76"/>
      <c r="CR88" s="79" t="str">
        <f aca="false">IF(ISBLANK($C88),"",IF($BH88=Constants!$B$8,$CI88,""))</f>
        <v/>
      </c>
      <c r="CS88" s="76" t="str">
        <f aca="false">IF(ISBLANK($C88),"",IF($BH88&lt;&gt;Constants!$B$4,"",$BK88+$BL88))</f>
        <v/>
      </c>
      <c r="CT88" s="78" t="str">
        <f aca="false">IF(ISBLANK($C88),"",IF($BH88&lt;&gt;Constants!$B$4,"",$BM88+$BN88+$BO88))</f>
        <v/>
      </c>
      <c r="CU88" s="78" t="str">
        <f aca="false">IF(ISBLANK($C88),"",IF($BH88&lt;&gt;Constants!$B$4,"",$BP88))</f>
        <v/>
      </c>
      <c r="CV88" s="78" t="str">
        <f aca="false">IF(ISBLANK($C88),"",IF($BH88&lt;&gt;Constants!$B$4,"",$BQ88+$BR88))</f>
        <v/>
      </c>
      <c r="CW88" s="78" t="str">
        <f aca="false">IF(ISBLANK($C88),"",IF($BH88&lt;&gt;Constants!$B$4,"",$BS88))</f>
        <v/>
      </c>
      <c r="CX88" s="78" t="str">
        <f aca="false">IF(ISBLANK($C88),"",IF($BH88&lt;&gt;Constants!$B$4,"",-$BZ88))</f>
        <v/>
      </c>
      <c r="CY88" s="79" t="str">
        <f aca="false">IF(ISBLANK($C88),"",$CA88)</f>
        <v/>
      </c>
      <c r="CZ88" s="80" t="str">
        <f aca="false">IF(ISBLANK($C88),"",$BI88)</f>
        <v/>
      </c>
      <c r="DA88" s="78" t="str">
        <f aca="false">IF(ISBLANK($C88),"",$CH88)</f>
        <v/>
      </c>
      <c r="DB88" s="78" t="str">
        <f aca="false">IF(ISBLANK($C88),"",$CG88)</f>
        <v/>
      </c>
      <c r="DC88" s="81" t="str">
        <f aca="false">IF(ISBLANK($C88),"",IFERROR(_xlfn.SWITCH($DB88,Constants!$B$7,COUNTA($C$9:$C$508)+2,Constants!$B$6,COUNTA($C$9:$C$508)+1,Constants!$B$5,COUNTA($C$9:$C$508)),$DB88))</f>
        <v/>
      </c>
      <c r="DD88" s="7"/>
      <c r="DE88" s="82" t="n">
        <f aca="false">IF(OR(ISNUMBER($DB88),$DB88=Constants!$B$7,$DB88=Constants!$B$5,$DB88=Constants!$B$6),1,0)</f>
        <v>0</v>
      </c>
      <c r="DF88" s="82" t="n">
        <v>80</v>
      </c>
      <c r="DG88" s="82" t="str">
        <f aca="false">IF(ISBLANK($C88),"",IF(ISNUMBER($DC88),$DC88+ROW($B88)/1000,""))</f>
        <v/>
      </c>
      <c r="DH88" s="82" t="str">
        <f aca="false">IF(ISNUMBER($DG88),RANK($DG88,$DG$9:$DG$508,1),"")</f>
        <v/>
      </c>
      <c r="DI88" s="82" t="str">
        <f aca="false">IF(ISBLANK($C88),"",$B88)</f>
        <v/>
      </c>
      <c r="DJ88" s="82" t="str">
        <f aca="false">IF(ISBLANK($C88),"",$C88)</f>
        <v/>
      </c>
      <c r="DK88" s="82" t="str">
        <f aca="false">IF(ISBLANK($C88),"",$D88)</f>
        <v/>
      </c>
      <c r="DL88" s="83" t="str">
        <f aca="false">$CZ88</f>
        <v/>
      </c>
      <c r="DM88" s="84" t="str">
        <f aca="false">$CY88</f>
        <v/>
      </c>
      <c r="DN88" s="82" t="str">
        <f aca="false">IF(ISBLANK($C88),"",$DB88)</f>
        <v/>
      </c>
      <c r="DO88" s="85" t="str">
        <f aca="false">IF($DF88&gt;$DE$8,"",VLOOKUP($DF88,$DH$9:$DN$508,7,FALSE()))</f>
        <v/>
      </c>
      <c r="DP88" s="86" t="str">
        <f aca="false">IF($DF88&gt;$DE$8,"",VLOOKUP($DF88,$DH$9:$DN$508,2,FALSE()))</f>
        <v/>
      </c>
      <c r="DQ88" s="86" t="str">
        <f aca="false">IF($DF88&gt;$DE$8,"",VLOOKUP($DF88,$DH$9:$DN$508,3,FALSE()))</f>
        <v/>
      </c>
      <c r="DR88" s="86" t="str">
        <f aca="false">IF($DF88&gt;$DE$8,"",VLOOKUP($DF88,$DH$9:$DN$508,4,FALSE()))</f>
        <v/>
      </c>
      <c r="DS88" s="86" t="str">
        <f aca="false">IF($DF88&gt;$DE$8,"",VLOOKUP($DF88,$DH$9:$DN$508,5,FALSE()))</f>
        <v/>
      </c>
      <c r="DT88" s="87" t="str">
        <f aca="false">IF($DF88&gt;$DE$8,"",VLOOKUP($DF88,$DH$9:$DN$508,6,FALSE()))</f>
        <v/>
      </c>
      <c r="DU88" s="62"/>
    </row>
    <row r="89" customFormat="false" ht="15.75" hidden="false" customHeight="false" outlineLevel="0" collapsed="false">
      <c r="A89" s="7"/>
      <c r="B89" s="64"/>
      <c r="C89" s="65"/>
      <c r="D89" s="66"/>
      <c r="E89" s="122"/>
      <c r="F89" s="66"/>
      <c r="G89" s="122"/>
      <c r="H89" s="66"/>
      <c r="I89" s="119"/>
      <c r="J89" s="119"/>
      <c r="K89" s="119"/>
      <c r="L89" s="122"/>
      <c r="M89" s="122"/>
      <c r="N89" s="122"/>
      <c r="O89" s="66"/>
      <c r="P89" s="122"/>
      <c r="Q89" s="122"/>
      <c r="R89" s="122"/>
      <c r="S89" s="122"/>
      <c r="T89" s="66"/>
      <c r="U89" s="122"/>
      <c r="V89" s="120"/>
      <c r="W89" s="122"/>
      <c r="X89" s="122"/>
      <c r="Y89" s="120"/>
      <c r="Z89" s="120"/>
      <c r="AA89" s="122"/>
      <c r="AB89" s="122"/>
      <c r="AC89" s="121"/>
      <c r="AD89" s="122"/>
      <c r="AE89" s="73"/>
      <c r="AF89" s="74"/>
      <c r="AG89" s="74"/>
      <c r="AH89" s="74" t="str">
        <f aca="false">IF(ISBLANK($C89),"",IF($E89=Constants!$B$2,TRUE(),IF($E89=Constants!$B$3,FALSE(),TRUE())))</f>
        <v/>
      </c>
      <c r="AI89" s="74" t="str">
        <f aca="false">IF(ISBLANK($C89),"",IF($F89=Constants!$B$2,TRUE(),IF($F89=Constants!$B$3,FALSE(),FALSE())))</f>
        <v/>
      </c>
      <c r="AJ89" s="74" t="str">
        <f aca="false">IF(ISBLANK($C89),"",IF($G89=Constants!$B$2,TRUE(),IF($G89=Constants!$B$3,FALSE(),TRUE())))</f>
        <v/>
      </c>
      <c r="AK89" s="74" t="str">
        <f aca="false">IF(ISBLANK($C89),"",IF($H89=Constants!$B$2,TRUE(),IF($H89=Constants!$B$3,FALSE(),TRUE())))</f>
        <v/>
      </c>
      <c r="AL89" s="74" t="str">
        <f aca="false">IF(ISBLANK($C89),"",IF(ISNUMBER($I89),IF($I89&gt;=0,$I89,""),""))</f>
        <v/>
      </c>
      <c r="AM89" s="74" t="str">
        <f aca="false">IF(ISBLANK($C89),"",IF(ISNUMBER($J89),IF($J89&gt;=0,$J89,""),""))</f>
        <v/>
      </c>
      <c r="AN89" s="74" t="str">
        <f aca="false">IF(ISBLANK($C89),"",IF(ISNUMBER($K89),IF($K89&gt;=0,$K89,""),""))</f>
        <v/>
      </c>
      <c r="AO89" s="74" t="str">
        <f aca="false">IF(ISBLANK($C89),"",IF($L89=Constants!$B$2,TRUE(),IF($L89=Constants!$B$3,FALSE(),TRUE())))</f>
        <v/>
      </c>
      <c r="AP89" s="74" t="str">
        <f aca="false">IF(ISBLANK($C89),"",IF($M89=Constants!$B$2,TRUE(),IF($M89=Constants!$B$3,FALSE(),TRUE())))</f>
        <v/>
      </c>
      <c r="AQ89" s="74" t="str">
        <f aca="false">IF(ISBLANK($C89),"",IF($N89=Constants!$B$2,TRUE(),IF($N89=Constants!$B$3,FALSE(),FALSE())))</f>
        <v/>
      </c>
      <c r="AR89" s="74" t="str">
        <f aca="false">IF(ISBLANK($C89),"",IF($O89=Constants!$B$2,TRUE(),IF($O89=Constants!$B$3,FALSE(),TRUE())))</f>
        <v/>
      </c>
      <c r="AS89" s="74" t="str">
        <f aca="false">IF(ISBLANK($C89),"",IF($P89=Constants!$B$2,TRUE(),IF($P89=Constants!$B$3,FALSE(),FALSE())))</f>
        <v/>
      </c>
      <c r="AT89" s="74" t="str">
        <f aca="false">IF(ISBLANK($C89),"",IF($Q89=Constants!$B$2,TRUE(),IF($Q89=Constants!$B$3,FALSE(),FALSE())))</f>
        <v/>
      </c>
      <c r="AU89" s="74" t="str">
        <f aca="false">IF(ISBLANK($C89),"",IF($R89=Constants!$B$2,TRUE(),IF($R89=Constants!$B$3,FALSE(),FALSE())))</f>
        <v/>
      </c>
      <c r="AV89" s="74" t="str">
        <f aca="false">IF(ISBLANK($C89),"",IF($S89=Constants!$B$2,TRUE(),IF($S89=Constants!$B$3,FALSE(),FALSE())))</f>
        <v/>
      </c>
      <c r="AW89" s="74" t="str">
        <f aca="false">IF(ISBLANK($C89),"",IF($T89=Constants!$B$2,TRUE(),IF($T89=Constants!$B$3,FALSE(),FALSE())))</f>
        <v/>
      </c>
      <c r="AX89" s="74" t="str">
        <f aca="false">IF(ISBLANK($C89),"",IF(OR($U89&amp;""="1",$U89&amp;""="2",$U89&amp;""="3",$U89&amp;""="4"),VALUE($U89&amp;""),IF($U89=Constants!$B$12,Constants!$B$12,"")))</f>
        <v/>
      </c>
      <c r="AY89" s="74" t="str">
        <f aca="false">IF(ISBLANK($C89),"",IF(ISBLANK($V89),0,IF(ISNUMBER($V89),IF(AND($V89&gt;=0,$V89&lt;=Constants!$B$21,$V89=INT($V89)),$V89,""),"")))</f>
        <v/>
      </c>
      <c r="AZ89" s="74" t="str">
        <f aca="false">IF(ISBLANK($C89),"",IF(ISBLANK($W89),0,IF(ISNUMBER($W89),IF($W89&gt;=0,$W89,""),"")))</f>
        <v/>
      </c>
      <c r="BA89" s="74" t="str">
        <f aca="false">IF(ISBLANK($C89),"",IF($X89=Constants!$B$2,TRUE(),IF($X89=Constants!$B$3,FALSE(),TRUE())))</f>
        <v/>
      </c>
      <c r="BB89" s="74" t="str">
        <f aca="false">IF(ISBLANK($C89),"",IF($Y89=Constants!$B$2,TRUE(),IF($Y89=Constants!$B$3,FALSE(),FALSE())))</f>
        <v/>
      </c>
      <c r="BC89" s="74" t="str">
        <f aca="false">IF(ISBLANK($C89),"",IF(ISBLANK($Z89),0,IF(ISNUMBER($Z89),IF(AND($Z89&gt;=0,$Z89&lt;=Constants!$B$35,$Z89=INT($Z89)),$Z89,""),"")))</f>
        <v/>
      </c>
      <c r="BD89" s="74" t="str">
        <f aca="false">IF(ISBLANK($C89),"",IF($AA89=Constants!$B$2,TRUE(),IF($AA89=Constants!$B$3,FALSE(),TRUE())))</f>
        <v/>
      </c>
      <c r="BE89" s="74" t="str">
        <f aca="false">IF(ISBLANK($C89),"",IF($AB89=Constants!$B$2,TRUE(),IF($AB89=Constants!$B$3,FALSE(),TRUE())))</f>
        <v/>
      </c>
      <c r="BF89" s="74" t="str">
        <f aca="false">IF(ISBLANK($C89),"",IF(ISNUMBER($AC89),IF($AC89&gt;=0,$AC89,""),""))</f>
        <v/>
      </c>
      <c r="BG89" s="74" t="str">
        <f aca="false">IF(ISBLANK($C89),"",IF($AD89=Constants!$B$2,TRUE(),IF($AD89=Constants!$B$3,FALSE(),FALSE())))</f>
        <v/>
      </c>
      <c r="BH89" s="73" t="str">
        <f aca="false">IF(ISBLANK($C89),"",IF($BG89,Constants!$B$7,IF(COUNTA($E89:$AC89)=0,Constants!$B$6,IF(OR(COUNTA($G89:$AC89)=0,NOT($AK89),$AQ89),Constants!$B$5,IF(OR($CI89&lt;&gt;"",$CJ89,$CK89,$CL89,$CM89,$CN89,$CO89),Constants!$B$8,Constants!$B$4)))))</f>
        <v/>
      </c>
      <c r="BI89" s="74" t="str">
        <f aca="false">IF(ISBLANK($C89),"",IF($BH89&lt;&gt;Constants!$B$4,$BH89,IF(OR(NOT($AH89),NOT($AJ89),NOT($AR89)),Constants!$B$11,IF(OR(NOT($AP89),MAX($AL89,$AM89,$AN89)&gt;Constants!$B$30),Constants!$B$10,Constants!$B$9))))</f>
        <v/>
      </c>
      <c r="BJ89" s="74" t="str">
        <f aca="false">IF($BH89&lt;&gt;Constants!$B$4,"",IF(NOT($AJ89),0,MIN(Constants!$B$35,$BC89)))</f>
        <v/>
      </c>
      <c r="BK89" s="74" t="str">
        <f aca="false">IF($BH89&lt;&gt;Constants!$B$4,"",IF(NOT($AJ89),0,IF($AT89,Constants!$B$18,IF($AS89,Constants!$B$17,0))))</f>
        <v/>
      </c>
      <c r="BL89" s="74" t="str">
        <f aca="false">IF($BH89&lt;&gt;Constants!$B$4,"",IF(NOT($AJ89),0,Constants!$B$19*($AI89+$AU89+$AV89+$AW89)))</f>
        <v/>
      </c>
      <c r="BM89" s="74" t="str">
        <f aca="false">IF($BH89&lt;&gt;Constants!$B$4,"",IF(OR(NOT($AJ89),NOT(ISNUMBER($AX89))),0,CHOOSE($AX89,Constants!$B$13,Constants!$B$14,Constants!$B$15,Constants!$B$16)))</f>
        <v/>
      </c>
      <c r="BN89" s="74" t="str">
        <f aca="false">IF($BH89&lt;&gt;Constants!$B$4,"",IF(NOT($AJ89),0,Constants!$B$20*$AY89))</f>
        <v/>
      </c>
      <c r="BO89" s="74" t="str">
        <f aca="false">IF($BH89&lt;&gt;Constants!$B$4,"",IF(AND($AJ89,$BA89,$BB89),Constants!$B$22,0))</f>
        <v/>
      </c>
      <c r="BP89" s="74" t="str">
        <f aca="false">IF($BH89&lt;&gt;Constants!$B$4,"",IF(OR(NOT($AJ89),NOT($BA89)),0,IF($BF89&gt;=2*$AF$9,0,Constants!$B$23*INT(ROUND(MIN($BF89,$AF$9),6)))))</f>
        <v/>
      </c>
      <c r="BQ89" s="74" t="str">
        <f aca="false">IF($BH89&lt;&gt;Constants!$B$4,"",IF(NOT($AJ89),0,Constants!$B$24*INT(ROUND(MIN($AZ89,$AF$9),6))))</f>
        <v/>
      </c>
      <c r="BR89" s="74" t="str">
        <f aca="false">IF($BH89&lt;&gt;Constants!$B$4,"",IF(AND($AJ89,$BJ89=0),Constants!$B$25,0))</f>
        <v/>
      </c>
      <c r="BS89" s="74" t="str">
        <f aca="false">IF($BH89&lt;&gt;Constants!$B$4,"",MIN(Constants!$B$29,MAX(0,Constants!$B$27*Constants!$B$28*INT(ROUND((Constants!$B$26-$AL89)/Constants!$B$28,6))))+MIN(Constants!$B$29,MAX(0,Constants!$B$27*Constants!$B$28*INT(ROUND((Constants!$B$26-$AM89)/Constants!$B$28,6))))+MIN(Constants!$B$29,MAX(0,Constants!$B$27*Constants!$B$28*INT(ROUND((Constants!$B$26-$AN89)/Constants!$B$28,6)))))</f>
        <v/>
      </c>
      <c r="BT89" s="74" t="str">
        <f aca="false">IF($BH89&lt;&gt;Constants!$B$4,"",IF(NOT($AJ89),0,Constants!$B$31*INT(ROUND(MAX(0,MIN($BF89,2*$AF$9)-$AF$9),6))))</f>
        <v/>
      </c>
      <c r="BU89" s="74" t="str">
        <f aca="false">IF($BH89&lt;&gt;Constants!$B$4,"",Constants!$B$32*(($AL89&gt;Constants!$B$26)+($AM89&gt;Constants!$B$26)+($AN89&gt;Constants!$B$26)))</f>
        <v/>
      </c>
      <c r="BV89" s="74" t="str">
        <f aca="false">IF($BH89&lt;&gt;Constants!$B$4,"",IF(OR(NOT($AJ89),$AO89),0,Constants!$B$33))</f>
        <v/>
      </c>
      <c r="BW89" s="74" t="str">
        <f aca="false">IF($BH89&lt;&gt;Constants!$B$4,"",Constants!$B$34*$BJ89)</f>
        <v/>
      </c>
      <c r="BX89" s="74" t="str">
        <f aca="false">IF($BH89&lt;&gt;Constants!$B$4,"",IF(OR(NOT($AJ89),$BE89),0,Constants!$B$36))</f>
        <v/>
      </c>
      <c r="BY89" s="74" t="str">
        <f aca="false">IF($BH89&lt;&gt;Constants!$B$4,"",IF(OR(NOT($AJ89),$BD89),0,Constants!$B$37))</f>
        <v/>
      </c>
      <c r="BZ89" s="74" t="str">
        <f aca="false">IF($BH89&lt;&gt;Constants!$B$4,"",SUM($BT89:$BY89))</f>
        <v/>
      </c>
      <c r="CA89" s="74" t="str">
        <f aca="false">IF(ISBLANK($C89),"",IF($BH89&lt;&gt;Constants!$B$4,$BH89,SUM($BK89:$BS89)-$BZ89))</f>
        <v/>
      </c>
      <c r="CB89" s="74" t="str">
        <f aca="false">IF(ISBLANK($C89),"",IF($BH89&lt;&gt;Constants!$B$4,$BH89,RANK($CA89,$CA$9:$CA$508)))</f>
        <v/>
      </c>
      <c r="CC89" s="74" t="str">
        <f aca="false">IF(ISBLANK($C89),"",IF($BH89&lt;&gt;Constants!$B$4,$BH89,COUNTIFS($BI$9:$BI$508,"&lt;"&amp;$BI89)+COUNTIFS($BI$9:$BI$508,$BI89,$CB$9:$CB$508,"&lt;"&amp;$CB89)+1))</f>
        <v/>
      </c>
      <c r="CD89" s="74" t="str">
        <f aca="false">IF(ISBLANK($C89),"",IF($BH89&lt;&gt;Constants!$B$4,$BH89,RANK($BZ89,$BZ$9:$BZ$508,1)))</f>
        <v/>
      </c>
      <c r="CE89" s="74" t="str">
        <f aca="false">IF($BH89&lt;&gt;Constants!$B$4,"",$AL89+$AM89+$AN89)</f>
        <v/>
      </c>
      <c r="CF89" s="74" t="str">
        <f aca="false">IF(ISBLANK($C89),"",IF($BH89&lt;&gt;Constants!$B$4,$BH89,RANK($CE89,$CE$9:$CE$508,1)))</f>
        <v/>
      </c>
      <c r="CG89" s="74" t="str">
        <f aca="false">IF(ISBLANK($C89),"",IF($BH89&lt;&gt;Constants!$B$4,$BH89,COUNTIFS($BI$9:$BI$508,"&lt;"&amp;$BI89)+COUNTIFS($BI$9:$BI$508,$BI89,$CB$9:$CB$508,"&lt;"&amp;$CB89)+COUNTIFS($BI$9:$BI$508,$BI89,$CB$9:$CB$508,$CB89,$CD$9:$CD$508,"&lt;"&amp;$CD89)+COUNTIFS($BI$9:$BI$508,$BI89,$CB$9:$CB$508,$CB89,$CD$9:$CD$508,$CD89,$CF$9:$CF$508,"&lt;"&amp;$CF89)+1))</f>
        <v/>
      </c>
      <c r="CH89" s="74" t="str">
        <f aca="false">IF(ISBLANK($C89),"",IF($BH89&lt;&gt;Constants!$B$4,$BH89,$CC89-$CG89))</f>
        <v/>
      </c>
      <c r="CI89" s="74" t="str">
        <f aca="false">IF(ISBLANK($C89),"",IF(NOT($AJ89),"",IF(ISBLANK($D$7),$CI$5,IF(NOT(ISNUMBER($D$7)),$CI$6,""))))</f>
        <v/>
      </c>
      <c r="CJ89" s="74" t="str">
        <f aca="false">IF(ISBLANK($C89),"",OR($AL89="",$AM89="",$AN89=""))</f>
        <v/>
      </c>
      <c r="CK89" s="74" t="str">
        <f aca="false">IF(ISBLANK($C89),"",AND($AJ89,$AX89=""))</f>
        <v/>
      </c>
      <c r="CL89" s="74" t="str">
        <f aca="false">IF(ISBLANK($C89),"",AND($AJ89,$AY89=""))</f>
        <v/>
      </c>
      <c r="CM89" s="74" t="str">
        <f aca="false">IF(ISBLANK($C89),"",AND($AJ89,$AZ89=""))</f>
        <v/>
      </c>
      <c r="CN89" s="74" t="str">
        <f aca="false">IF(ISBLANK($C89),"",AND($AJ89,$BC89=""))</f>
        <v/>
      </c>
      <c r="CO89" s="74" t="str">
        <f aca="false">IF(ISBLANK($C89),"",AND($AJ89,$BF89=""))</f>
        <v/>
      </c>
      <c r="CP89" s="75"/>
      <c r="CQ89" s="76"/>
      <c r="CR89" s="79" t="str">
        <f aca="false">IF(ISBLANK($C89),"",IF($BH89=Constants!$B$8,$CI89,""))</f>
        <v/>
      </c>
      <c r="CS89" s="76" t="str">
        <f aca="false">IF(ISBLANK($C89),"",IF($BH89&lt;&gt;Constants!$B$4,"",$BK89+$BL89))</f>
        <v/>
      </c>
      <c r="CT89" s="78" t="str">
        <f aca="false">IF(ISBLANK($C89),"",IF($BH89&lt;&gt;Constants!$B$4,"",$BM89+$BN89+$BO89))</f>
        <v/>
      </c>
      <c r="CU89" s="78" t="str">
        <f aca="false">IF(ISBLANK($C89),"",IF($BH89&lt;&gt;Constants!$B$4,"",$BP89))</f>
        <v/>
      </c>
      <c r="CV89" s="78" t="str">
        <f aca="false">IF(ISBLANK($C89),"",IF($BH89&lt;&gt;Constants!$B$4,"",$BQ89+$BR89))</f>
        <v/>
      </c>
      <c r="CW89" s="78" t="str">
        <f aca="false">IF(ISBLANK($C89),"",IF($BH89&lt;&gt;Constants!$B$4,"",$BS89))</f>
        <v/>
      </c>
      <c r="CX89" s="78" t="str">
        <f aca="false">IF(ISBLANK($C89),"",IF($BH89&lt;&gt;Constants!$B$4,"",-$BZ89))</f>
        <v/>
      </c>
      <c r="CY89" s="79" t="str">
        <f aca="false">IF(ISBLANK($C89),"",$CA89)</f>
        <v/>
      </c>
      <c r="CZ89" s="80" t="str">
        <f aca="false">IF(ISBLANK($C89),"",$BI89)</f>
        <v/>
      </c>
      <c r="DA89" s="78" t="str">
        <f aca="false">IF(ISBLANK($C89),"",$CH89)</f>
        <v/>
      </c>
      <c r="DB89" s="78" t="str">
        <f aca="false">IF(ISBLANK($C89),"",$CG89)</f>
        <v/>
      </c>
      <c r="DC89" s="81" t="str">
        <f aca="false">IF(ISBLANK($C89),"",IFERROR(_xlfn.SWITCH($DB89,Constants!$B$7,COUNTA($C$9:$C$508)+2,Constants!$B$6,COUNTA($C$9:$C$508)+1,Constants!$B$5,COUNTA($C$9:$C$508)),$DB89))</f>
        <v/>
      </c>
      <c r="DD89" s="7"/>
      <c r="DE89" s="82" t="n">
        <f aca="false">IF(OR(ISNUMBER($DB89),$DB89=Constants!$B$7,$DB89=Constants!$B$5,$DB89=Constants!$B$6),1,0)</f>
        <v>0</v>
      </c>
      <c r="DF89" s="82" t="n">
        <v>81</v>
      </c>
      <c r="DG89" s="82" t="str">
        <f aca="false">IF(ISBLANK($C89),"",IF(ISNUMBER($DC89),$DC89+ROW($B89)/1000,""))</f>
        <v/>
      </c>
      <c r="DH89" s="82" t="str">
        <f aca="false">IF(ISNUMBER($DG89),RANK($DG89,$DG$9:$DG$508,1),"")</f>
        <v/>
      </c>
      <c r="DI89" s="82" t="str">
        <f aca="false">IF(ISBLANK($C89),"",$B89)</f>
        <v/>
      </c>
      <c r="DJ89" s="82" t="str">
        <f aca="false">IF(ISBLANK($C89),"",$C89)</f>
        <v/>
      </c>
      <c r="DK89" s="82" t="str">
        <f aca="false">IF(ISBLANK($C89),"",$D89)</f>
        <v/>
      </c>
      <c r="DL89" s="83" t="str">
        <f aca="false">$CZ89</f>
        <v/>
      </c>
      <c r="DM89" s="84" t="str">
        <f aca="false">$CY89</f>
        <v/>
      </c>
      <c r="DN89" s="82" t="str">
        <f aca="false">IF(ISBLANK($C89),"",$DB89)</f>
        <v/>
      </c>
      <c r="DO89" s="85" t="str">
        <f aca="false">IF($DF89&gt;$DE$8,"",VLOOKUP($DF89,$DH$9:$DN$508,7,FALSE()))</f>
        <v/>
      </c>
      <c r="DP89" s="86" t="str">
        <f aca="false">IF($DF89&gt;$DE$8,"",VLOOKUP($DF89,$DH$9:$DN$508,2,FALSE()))</f>
        <v/>
      </c>
      <c r="DQ89" s="86" t="str">
        <f aca="false">IF($DF89&gt;$DE$8,"",VLOOKUP($DF89,$DH$9:$DN$508,3,FALSE()))</f>
        <v/>
      </c>
      <c r="DR89" s="86" t="str">
        <f aca="false">IF($DF89&gt;$DE$8,"",VLOOKUP($DF89,$DH$9:$DN$508,4,FALSE()))</f>
        <v/>
      </c>
      <c r="DS89" s="86" t="str">
        <f aca="false">IF($DF89&gt;$DE$8,"",VLOOKUP($DF89,$DH$9:$DN$508,5,FALSE()))</f>
        <v/>
      </c>
      <c r="DT89" s="87" t="str">
        <f aca="false">IF($DF89&gt;$DE$8,"",VLOOKUP($DF89,$DH$9:$DN$508,6,FALSE()))</f>
        <v/>
      </c>
      <c r="DU89" s="62"/>
    </row>
    <row r="90" customFormat="false" ht="15.75" hidden="false" customHeight="false" outlineLevel="0" collapsed="false">
      <c r="A90" s="7"/>
      <c r="B90" s="90"/>
      <c r="C90" s="91"/>
      <c r="D90" s="113"/>
      <c r="E90" s="116"/>
      <c r="F90" s="113"/>
      <c r="G90" s="116"/>
      <c r="H90" s="113"/>
      <c r="I90" s="131"/>
      <c r="J90" s="131"/>
      <c r="K90" s="131"/>
      <c r="L90" s="116"/>
      <c r="M90" s="116"/>
      <c r="N90" s="116"/>
      <c r="O90" s="113"/>
      <c r="P90" s="116"/>
      <c r="Q90" s="116"/>
      <c r="R90" s="116"/>
      <c r="S90" s="116"/>
      <c r="T90" s="113"/>
      <c r="U90" s="116"/>
      <c r="V90" s="132"/>
      <c r="W90" s="116"/>
      <c r="X90" s="116"/>
      <c r="Y90" s="132"/>
      <c r="Z90" s="132"/>
      <c r="AA90" s="116"/>
      <c r="AB90" s="116"/>
      <c r="AC90" s="133"/>
      <c r="AD90" s="116"/>
      <c r="AE90" s="99"/>
      <c r="AF90" s="100"/>
      <c r="AG90" s="100"/>
      <c r="AH90" s="100" t="str">
        <f aca="false">IF(ISBLANK($C90),"",IF($E90=Constants!$B$2,TRUE(),IF($E90=Constants!$B$3,FALSE(),TRUE())))</f>
        <v/>
      </c>
      <c r="AI90" s="100" t="str">
        <f aca="false">IF(ISBLANK($C90),"",IF($F90=Constants!$B$2,TRUE(),IF($F90=Constants!$B$3,FALSE(),FALSE())))</f>
        <v/>
      </c>
      <c r="AJ90" s="100" t="str">
        <f aca="false">IF(ISBLANK($C90),"",IF($G90=Constants!$B$2,TRUE(),IF($G90=Constants!$B$3,FALSE(),TRUE())))</f>
        <v/>
      </c>
      <c r="AK90" s="100" t="str">
        <f aca="false">IF(ISBLANK($C90),"",IF($H90=Constants!$B$2,TRUE(),IF($H90=Constants!$B$3,FALSE(),TRUE())))</f>
        <v/>
      </c>
      <c r="AL90" s="100" t="str">
        <f aca="false">IF(ISBLANK($C90),"",IF(ISNUMBER($I90),IF($I90&gt;=0,$I90,""),""))</f>
        <v/>
      </c>
      <c r="AM90" s="100" t="str">
        <f aca="false">IF(ISBLANK($C90),"",IF(ISNUMBER($J90),IF($J90&gt;=0,$J90,""),""))</f>
        <v/>
      </c>
      <c r="AN90" s="100" t="str">
        <f aca="false">IF(ISBLANK($C90),"",IF(ISNUMBER($K90),IF($K90&gt;=0,$K90,""),""))</f>
        <v/>
      </c>
      <c r="AO90" s="100" t="str">
        <f aca="false">IF(ISBLANK($C90),"",IF($L90=Constants!$B$2,TRUE(),IF($L90=Constants!$B$3,FALSE(),TRUE())))</f>
        <v/>
      </c>
      <c r="AP90" s="100" t="str">
        <f aca="false">IF(ISBLANK($C90),"",IF($M90=Constants!$B$2,TRUE(),IF($M90=Constants!$B$3,FALSE(),TRUE())))</f>
        <v/>
      </c>
      <c r="AQ90" s="100" t="str">
        <f aca="false">IF(ISBLANK($C90),"",IF($N90=Constants!$B$2,TRUE(),IF($N90=Constants!$B$3,FALSE(),FALSE())))</f>
        <v/>
      </c>
      <c r="AR90" s="100" t="str">
        <f aca="false">IF(ISBLANK($C90),"",IF($O90=Constants!$B$2,TRUE(),IF($O90=Constants!$B$3,FALSE(),TRUE())))</f>
        <v/>
      </c>
      <c r="AS90" s="100" t="str">
        <f aca="false">IF(ISBLANK($C90),"",IF($P90=Constants!$B$2,TRUE(),IF($P90=Constants!$B$3,FALSE(),FALSE())))</f>
        <v/>
      </c>
      <c r="AT90" s="100" t="str">
        <f aca="false">IF(ISBLANK($C90),"",IF($Q90=Constants!$B$2,TRUE(),IF($Q90=Constants!$B$3,FALSE(),FALSE())))</f>
        <v/>
      </c>
      <c r="AU90" s="100" t="str">
        <f aca="false">IF(ISBLANK($C90),"",IF($R90=Constants!$B$2,TRUE(),IF($R90=Constants!$B$3,FALSE(),FALSE())))</f>
        <v/>
      </c>
      <c r="AV90" s="100" t="str">
        <f aca="false">IF(ISBLANK($C90),"",IF($S90=Constants!$B$2,TRUE(),IF($S90=Constants!$B$3,FALSE(),FALSE())))</f>
        <v/>
      </c>
      <c r="AW90" s="100" t="str">
        <f aca="false">IF(ISBLANK($C90),"",IF($T90=Constants!$B$2,TRUE(),IF($T90=Constants!$B$3,FALSE(),FALSE())))</f>
        <v/>
      </c>
      <c r="AX90" s="100" t="str">
        <f aca="false">IF(ISBLANK($C90),"",IF(OR($U90&amp;""="1",$U90&amp;""="2",$U90&amp;""="3",$U90&amp;""="4"),VALUE($U90&amp;""),IF($U90=Constants!$B$12,Constants!$B$12,"")))</f>
        <v/>
      </c>
      <c r="AY90" s="100" t="str">
        <f aca="false">IF(ISBLANK($C90),"",IF(ISBLANK($V90),0,IF(ISNUMBER($V90),IF(AND($V90&gt;=0,$V90&lt;=Constants!$B$21,$V90=INT($V90)),$V90,""),"")))</f>
        <v/>
      </c>
      <c r="AZ90" s="100" t="str">
        <f aca="false">IF(ISBLANK($C90),"",IF(ISBLANK($W90),0,IF(ISNUMBER($W90),IF($W90&gt;=0,$W90,""),"")))</f>
        <v/>
      </c>
      <c r="BA90" s="100" t="str">
        <f aca="false">IF(ISBLANK($C90),"",IF($X90=Constants!$B$2,TRUE(),IF($X90=Constants!$B$3,FALSE(),TRUE())))</f>
        <v/>
      </c>
      <c r="BB90" s="100" t="str">
        <f aca="false">IF(ISBLANK($C90),"",IF($Y90=Constants!$B$2,TRUE(),IF($Y90=Constants!$B$3,FALSE(),FALSE())))</f>
        <v/>
      </c>
      <c r="BC90" s="100" t="str">
        <f aca="false">IF(ISBLANK($C90),"",IF(ISBLANK($Z90),0,IF(ISNUMBER($Z90),IF(AND($Z90&gt;=0,$Z90&lt;=Constants!$B$35,$Z90=INT($Z90)),$Z90,""),"")))</f>
        <v/>
      </c>
      <c r="BD90" s="100" t="str">
        <f aca="false">IF(ISBLANK($C90),"",IF($AA90=Constants!$B$2,TRUE(),IF($AA90=Constants!$B$3,FALSE(),TRUE())))</f>
        <v/>
      </c>
      <c r="BE90" s="100" t="str">
        <f aca="false">IF(ISBLANK($C90),"",IF($AB90=Constants!$B$2,TRUE(),IF($AB90=Constants!$B$3,FALSE(),TRUE())))</f>
        <v/>
      </c>
      <c r="BF90" s="100" t="str">
        <f aca="false">IF(ISBLANK($C90),"",IF(ISNUMBER($AC90),IF($AC90&gt;=0,$AC90,""),""))</f>
        <v/>
      </c>
      <c r="BG90" s="100" t="str">
        <f aca="false">IF(ISBLANK($C90),"",IF($AD90=Constants!$B$2,TRUE(),IF($AD90=Constants!$B$3,FALSE(),FALSE())))</f>
        <v/>
      </c>
      <c r="BH90" s="99" t="str">
        <f aca="false">IF(ISBLANK($C90),"",IF($BG90,Constants!$B$7,IF(COUNTA($E90:$AC90)=0,Constants!$B$6,IF(OR(COUNTA($G90:$AC90)=0,NOT($AK90),$AQ90),Constants!$B$5,IF(OR($CI90&lt;&gt;"",$CJ90,$CK90,$CL90,$CM90,$CN90,$CO90),Constants!$B$8,Constants!$B$4)))))</f>
        <v/>
      </c>
      <c r="BI90" s="100" t="str">
        <f aca="false">IF(ISBLANK($C90),"",IF($BH90&lt;&gt;Constants!$B$4,$BH90,IF(OR(NOT($AH90),NOT($AJ90),NOT($AR90)),Constants!$B$11,IF(OR(NOT($AP90),MAX($AL90,$AM90,$AN90)&gt;Constants!$B$30),Constants!$B$10,Constants!$B$9))))</f>
        <v/>
      </c>
      <c r="BJ90" s="100" t="str">
        <f aca="false">IF($BH90&lt;&gt;Constants!$B$4,"",IF(NOT($AJ90),0,MIN(Constants!$B$35,$BC90)))</f>
        <v/>
      </c>
      <c r="BK90" s="100" t="str">
        <f aca="false">IF($BH90&lt;&gt;Constants!$B$4,"",IF(NOT($AJ90),0,IF($AT90,Constants!$B$18,IF($AS90,Constants!$B$17,0))))</f>
        <v/>
      </c>
      <c r="BL90" s="100" t="str">
        <f aca="false">IF($BH90&lt;&gt;Constants!$B$4,"",IF(NOT($AJ90),0,Constants!$B$19*($AI90+$AU90+$AV90+$AW90)))</f>
        <v/>
      </c>
      <c r="BM90" s="100" t="str">
        <f aca="false">IF($BH90&lt;&gt;Constants!$B$4,"",IF(OR(NOT($AJ90),NOT(ISNUMBER($AX90))),0,CHOOSE($AX90,Constants!$B$13,Constants!$B$14,Constants!$B$15,Constants!$B$16)))</f>
        <v/>
      </c>
      <c r="BN90" s="100" t="str">
        <f aca="false">IF($BH90&lt;&gt;Constants!$B$4,"",IF(NOT($AJ90),0,Constants!$B$20*$AY90))</f>
        <v/>
      </c>
      <c r="BO90" s="100" t="str">
        <f aca="false">IF($BH90&lt;&gt;Constants!$B$4,"",IF(AND($AJ90,$BA90,$BB90),Constants!$B$22,0))</f>
        <v/>
      </c>
      <c r="BP90" s="100" t="str">
        <f aca="false">IF($BH90&lt;&gt;Constants!$B$4,"",IF(OR(NOT($AJ90),NOT($BA90)),0,IF($BF90&gt;=2*$AF$9,0,Constants!$B$23*INT(ROUND(MIN($BF90,$AF$9),6)))))</f>
        <v/>
      </c>
      <c r="BQ90" s="100" t="str">
        <f aca="false">IF($BH90&lt;&gt;Constants!$B$4,"",IF(NOT($AJ90),0,Constants!$B$24*INT(ROUND(MIN($AZ90,$AF$9),6))))</f>
        <v/>
      </c>
      <c r="BR90" s="100" t="str">
        <f aca="false">IF($BH90&lt;&gt;Constants!$B$4,"",IF(AND($AJ90,$BJ90=0),Constants!$B$25,0))</f>
        <v/>
      </c>
      <c r="BS90" s="100" t="str">
        <f aca="false">IF($BH90&lt;&gt;Constants!$B$4,"",MIN(Constants!$B$29,MAX(0,Constants!$B$27*Constants!$B$28*INT(ROUND((Constants!$B$26-$AL90)/Constants!$B$28,6))))+MIN(Constants!$B$29,MAX(0,Constants!$B$27*Constants!$B$28*INT(ROUND((Constants!$B$26-$AM90)/Constants!$B$28,6))))+MIN(Constants!$B$29,MAX(0,Constants!$B$27*Constants!$B$28*INT(ROUND((Constants!$B$26-$AN90)/Constants!$B$28,6)))))</f>
        <v/>
      </c>
      <c r="BT90" s="100" t="str">
        <f aca="false">IF($BH90&lt;&gt;Constants!$B$4,"",IF(NOT($AJ90),0,Constants!$B$31*INT(ROUND(MAX(0,MIN($BF90,2*$AF$9)-$AF$9),6))))</f>
        <v/>
      </c>
      <c r="BU90" s="100" t="str">
        <f aca="false">IF($BH90&lt;&gt;Constants!$B$4,"",Constants!$B$32*(($AL90&gt;Constants!$B$26)+($AM90&gt;Constants!$B$26)+($AN90&gt;Constants!$B$26)))</f>
        <v/>
      </c>
      <c r="BV90" s="100" t="str">
        <f aca="false">IF($BH90&lt;&gt;Constants!$B$4,"",IF(OR(NOT($AJ90),$AO90),0,Constants!$B$33))</f>
        <v/>
      </c>
      <c r="BW90" s="100" t="str">
        <f aca="false">IF($BH90&lt;&gt;Constants!$B$4,"",Constants!$B$34*$BJ90)</f>
        <v/>
      </c>
      <c r="BX90" s="100" t="str">
        <f aca="false">IF($BH90&lt;&gt;Constants!$B$4,"",IF(OR(NOT($AJ90),$BE90),0,Constants!$B$36))</f>
        <v/>
      </c>
      <c r="BY90" s="100" t="str">
        <f aca="false">IF($BH90&lt;&gt;Constants!$B$4,"",IF(OR(NOT($AJ90),$BD90),0,Constants!$B$37))</f>
        <v/>
      </c>
      <c r="BZ90" s="100" t="str">
        <f aca="false">IF($BH90&lt;&gt;Constants!$B$4,"",SUM($BT90:$BY90))</f>
        <v/>
      </c>
      <c r="CA90" s="100" t="str">
        <f aca="false">IF(ISBLANK($C90),"",IF($BH90&lt;&gt;Constants!$B$4,$BH90,SUM($BK90:$BS90)-$BZ90))</f>
        <v/>
      </c>
      <c r="CB90" s="100" t="str">
        <f aca="false">IF(ISBLANK($C90),"",IF($BH90&lt;&gt;Constants!$B$4,$BH90,RANK($CA90,$CA$9:$CA$508)))</f>
        <v/>
      </c>
      <c r="CC90" s="100" t="str">
        <f aca="false">IF(ISBLANK($C90),"",IF($BH90&lt;&gt;Constants!$B$4,$BH90,COUNTIFS($BI$9:$BI$508,"&lt;"&amp;$BI90)+COUNTIFS($BI$9:$BI$508,$BI90,$CB$9:$CB$508,"&lt;"&amp;$CB90)+1))</f>
        <v/>
      </c>
      <c r="CD90" s="100" t="str">
        <f aca="false">IF(ISBLANK($C90),"",IF($BH90&lt;&gt;Constants!$B$4,$BH90,RANK($BZ90,$BZ$9:$BZ$508,1)))</f>
        <v/>
      </c>
      <c r="CE90" s="100" t="str">
        <f aca="false">IF($BH90&lt;&gt;Constants!$B$4,"",$AL90+$AM90+$AN90)</f>
        <v/>
      </c>
      <c r="CF90" s="100" t="str">
        <f aca="false">IF(ISBLANK($C90),"",IF($BH90&lt;&gt;Constants!$B$4,$BH90,RANK($CE90,$CE$9:$CE$508,1)))</f>
        <v/>
      </c>
      <c r="CG90" s="100" t="str">
        <f aca="false">IF(ISBLANK($C90),"",IF($BH90&lt;&gt;Constants!$B$4,$BH90,COUNTIFS($BI$9:$BI$508,"&lt;"&amp;$BI90)+COUNTIFS($BI$9:$BI$508,$BI90,$CB$9:$CB$508,"&lt;"&amp;$CB90)+COUNTIFS($BI$9:$BI$508,$BI90,$CB$9:$CB$508,$CB90,$CD$9:$CD$508,"&lt;"&amp;$CD90)+COUNTIFS($BI$9:$BI$508,$BI90,$CB$9:$CB$508,$CB90,$CD$9:$CD$508,$CD90,$CF$9:$CF$508,"&lt;"&amp;$CF90)+1))</f>
        <v/>
      </c>
      <c r="CH90" s="100" t="str">
        <f aca="false">IF(ISBLANK($C90),"",IF($BH90&lt;&gt;Constants!$B$4,$BH90,$CC90-$CG90))</f>
        <v/>
      </c>
      <c r="CI90" s="100" t="str">
        <f aca="false">IF(ISBLANK($C90),"",IF(NOT($AJ90),"",IF(ISBLANK($D$7),$CI$5,IF(NOT(ISNUMBER($D$7)),$CI$6,""))))</f>
        <v/>
      </c>
      <c r="CJ90" s="100" t="str">
        <f aca="false">IF(ISBLANK($C90),"",OR($AL90="",$AM90="",$AN90=""))</f>
        <v/>
      </c>
      <c r="CK90" s="100" t="str">
        <f aca="false">IF(ISBLANK($C90),"",AND($AJ90,$AX90=""))</f>
        <v/>
      </c>
      <c r="CL90" s="100" t="str">
        <f aca="false">IF(ISBLANK($C90),"",AND($AJ90,$AY90=""))</f>
        <v/>
      </c>
      <c r="CM90" s="100" t="str">
        <f aca="false">IF(ISBLANK($C90),"",AND($AJ90,$AZ90=""))</f>
        <v/>
      </c>
      <c r="CN90" s="100" t="str">
        <f aca="false">IF(ISBLANK($C90),"",AND($AJ90,$BC90=""))</f>
        <v/>
      </c>
      <c r="CO90" s="100" t="str">
        <f aca="false">IF(ISBLANK($C90),"",AND($AJ90,$BF90=""))</f>
        <v/>
      </c>
      <c r="CP90" s="101"/>
      <c r="CQ90" s="102"/>
      <c r="CR90" s="103" t="str">
        <f aca="false">IF(ISBLANK($C90),"",IF($BH90=Constants!$B$8,$CI90,""))</f>
        <v/>
      </c>
      <c r="CS90" s="102" t="str">
        <f aca="false">IF(ISBLANK($C90),"",IF($BH90&lt;&gt;Constants!$B$4,"",$BK90+$BL90))</f>
        <v/>
      </c>
      <c r="CT90" s="104" t="str">
        <f aca="false">IF(ISBLANK($C90),"",IF($BH90&lt;&gt;Constants!$B$4,"",$BM90+$BN90+$BO90))</f>
        <v/>
      </c>
      <c r="CU90" s="104" t="str">
        <f aca="false">IF(ISBLANK($C90),"",IF($BH90&lt;&gt;Constants!$B$4,"",$BP90))</f>
        <v/>
      </c>
      <c r="CV90" s="104" t="str">
        <f aca="false">IF(ISBLANK($C90),"",IF($BH90&lt;&gt;Constants!$B$4,"",$BQ90+$BR90))</f>
        <v/>
      </c>
      <c r="CW90" s="104" t="str">
        <f aca="false">IF(ISBLANK($C90),"",IF($BH90&lt;&gt;Constants!$B$4,"",$BS90))</f>
        <v/>
      </c>
      <c r="CX90" s="104" t="str">
        <f aca="false">IF(ISBLANK($C90),"",IF($BH90&lt;&gt;Constants!$B$4,"",-$BZ90))</f>
        <v/>
      </c>
      <c r="CY90" s="103" t="str">
        <f aca="false">IF(ISBLANK($C90),"",$CA90)</f>
        <v/>
      </c>
      <c r="CZ90" s="105" t="str">
        <f aca="false">IF(ISBLANK($C90),"",$BI90)</f>
        <v/>
      </c>
      <c r="DA90" s="104" t="str">
        <f aca="false">IF(ISBLANK($C90),"",$CH90)</f>
        <v/>
      </c>
      <c r="DB90" s="104" t="str">
        <f aca="false">IF(ISBLANK($C90),"",$CG90)</f>
        <v/>
      </c>
      <c r="DC90" s="106" t="str">
        <f aca="false">IF(ISBLANK($C90),"",IFERROR(_xlfn.SWITCH($DB90,Constants!$B$7,COUNTA($C$9:$C$508)+2,Constants!$B$6,COUNTA($C$9:$C$508)+1,Constants!$B$5,COUNTA($C$9:$C$508)),$DB90))</f>
        <v/>
      </c>
      <c r="DD90" s="7"/>
      <c r="DE90" s="107" t="n">
        <f aca="false">IF(OR(ISNUMBER($DB90),$DB90=Constants!$B$7,$DB90=Constants!$B$5,$DB90=Constants!$B$6),1,0)</f>
        <v>0</v>
      </c>
      <c r="DF90" s="107" t="n">
        <v>82</v>
      </c>
      <c r="DG90" s="107" t="str">
        <f aca="false">IF(ISBLANK($C90),"",IF(ISNUMBER($DC90),$DC90+ROW($B90)/1000,""))</f>
        <v/>
      </c>
      <c r="DH90" s="107" t="str">
        <f aca="false">IF(ISNUMBER($DG90),RANK($DG90,$DG$9:$DG$508,1),"")</f>
        <v/>
      </c>
      <c r="DI90" s="107" t="str">
        <f aca="false">IF(ISBLANK($C90),"",$B90)</f>
        <v/>
      </c>
      <c r="DJ90" s="107" t="str">
        <f aca="false">IF(ISBLANK($C90),"",$C90)</f>
        <v/>
      </c>
      <c r="DK90" s="107" t="str">
        <f aca="false">IF(ISBLANK($C90),"",$D90)</f>
        <v/>
      </c>
      <c r="DL90" s="108" t="str">
        <f aca="false">$CZ90</f>
        <v/>
      </c>
      <c r="DM90" s="109" t="str">
        <f aca="false">$CY90</f>
        <v/>
      </c>
      <c r="DN90" s="107" t="str">
        <f aca="false">IF(ISBLANK($C90),"",$DB90)</f>
        <v/>
      </c>
      <c r="DO90" s="110" t="str">
        <f aca="false">IF($DF90&gt;$DE$8,"",VLOOKUP($DF90,$DH$9:$DN$508,7,FALSE()))</f>
        <v/>
      </c>
      <c r="DP90" s="111" t="str">
        <f aca="false">IF($DF90&gt;$DE$8,"",VLOOKUP($DF90,$DH$9:$DN$508,2,FALSE()))</f>
        <v/>
      </c>
      <c r="DQ90" s="111" t="str">
        <f aca="false">IF($DF90&gt;$DE$8,"",VLOOKUP($DF90,$DH$9:$DN$508,3,FALSE()))</f>
        <v/>
      </c>
      <c r="DR90" s="111" t="str">
        <f aca="false">IF($DF90&gt;$DE$8,"",VLOOKUP($DF90,$DH$9:$DN$508,4,FALSE()))</f>
        <v/>
      </c>
      <c r="DS90" s="111" t="str">
        <f aca="false">IF($DF90&gt;$DE$8,"",VLOOKUP($DF90,$DH$9:$DN$508,5,FALSE()))</f>
        <v/>
      </c>
      <c r="DT90" s="112" t="str">
        <f aca="false">IF($DF90&gt;$DE$8,"",VLOOKUP($DF90,$DH$9:$DN$508,6,FALSE()))</f>
        <v/>
      </c>
      <c r="DU90" s="62"/>
    </row>
    <row r="91" customFormat="false" ht="15.75" hidden="false" customHeight="false" outlineLevel="0" collapsed="false">
      <c r="A91" s="7"/>
      <c r="B91" s="90"/>
      <c r="C91" s="91"/>
      <c r="D91" s="126"/>
      <c r="E91" s="116"/>
      <c r="F91" s="113"/>
      <c r="G91" s="116"/>
      <c r="H91" s="113"/>
      <c r="I91" s="131"/>
      <c r="J91" s="131"/>
      <c r="K91" s="131"/>
      <c r="L91" s="116"/>
      <c r="M91" s="116"/>
      <c r="N91" s="116"/>
      <c r="O91" s="113"/>
      <c r="P91" s="116"/>
      <c r="Q91" s="116"/>
      <c r="R91" s="116"/>
      <c r="S91" s="116"/>
      <c r="T91" s="113"/>
      <c r="U91" s="116"/>
      <c r="V91" s="132"/>
      <c r="W91" s="116"/>
      <c r="X91" s="116"/>
      <c r="Y91" s="132"/>
      <c r="Z91" s="132"/>
      <c r="AA91" s="116"/>
      <c r="AB91" s="116"/>
      <c r="AC91" s="133"/>
      <c r="AD91" s="116"/>
      <c r="AE91" s="99"/>
      <c r="AF91" s="100"/>
      <c r="AG91" s="100"/>
      <c r="AH91" s="100" t="str">
        <f aca="false">IF(ISBLANK($C91),"",IF($E91=Constants!$B$2,TRUE(),IF($E91=Constants!$B$3,FALSE(),TRUE())))</f>
        <v/>
      </c>
      <c r="AI91" s="100" t="str">
        <f aca="false">IF(ISBLANK($C91),"",IF($F91=Constants!$B$2,TRUE(),IF($F91=Constants!$B$3,FALSE(),FALSE())))</f>
        <v/>
      </c>
      <c r="AJ91" s="100" t="str">
        <f aca="false">IF(ISBLANK($C91),"",IF($G91=Constants!$B$2,TRUE(),IF($G91=Constants!$B$3,FALSE(),TRUE())))</f>
        <v/>
      </c>
      <c r="AK91" s="100" t="str">
        <f aca="false">IF(ISBLANK($C91),"",IF($H91=Constants!$B$2,TRUE(),IF($H91=Constants!$B$3,FALSE(),TRUE())))</f>
        <v/>
      </c>
      <c r="AL91" s="100" t="str">
        <f aca="false">IF(ISBLANK($C91),"",IF(ISNUMBER($I91),IF($I91&gt;=0,$I91,""),""))</f>
        <v/>
      </c>
      <c r="AM91" s="100" t="str">
        <f aca="false">IF(ISBLANK($C91),"",IF(ISNUMBER($J91),IF($J91&gt;=0,$J91,""),""))</f>
        <v/>
      </c>
      <c r="AN91" s="100" t="str">
        <f aca="false">IF(ISBLANK($C91),"",IF(ISNUMBER($K91),IF($K91&gt;=0,$K91,""),""))</f>
        <v/>
      </c>
      <c r="AO91" s="100" t="str">
        <f aca="false">IF(ISBLANK($C91),"",IF($L91=Constants!$B$2,TRUE(),IF($L91=Constants!$B$3,FALSE(),TRUE())))</f>
        <v/>
      </c>
      <c r="AP91" s="100" t="str">
        <f aca="false">IF(ISBLANK($C91),"",IF($M91=Constants!$B$2,TRUE(),IF($M91=Constants!$B$3,FALSE(),TRUE())))</f>
        <v/>
      </c>
      <c r="AQ91" s="100" t="str">
        <f aca="false">IF(ISBLANK($C91),"",IF($N91=Constants!$B$2,TRUE(),IF($N91=Constants!$B$3,FALSE(),FALSE())))</f>
        <v/>
      </c>
      <c r="AR91" s="100" t="str">
        <f aca="false">IF(ISBLANK($C91),"",IF($O91=Constants!$B$2,TRUE(),IF($O91=Constants!$B$3,FALSE(),TRUE())))</f>
        <v/>
      </c>
      <c r="AS91" s="100" t="str">
        <f aca="false">IF(ISBLANK($C91),"",IF($P91=Constants!$B$2,TRUE(),IF($P91=Constants!$B$3,FALSE(),FALSE())))</f>
        <v/>
      </c>
      <c r="AT91" s="100" t="str">
        <f aca="false">IF(ISBLANK($C91),"",IF($Q91=Constants!$B$2,TRUE(),IF($Q91=Constants!$B$3,FALSE(),FALSE())))</f>
        <v/>
      </c>
      <c r="AU91" s="100" t="str">
        <f aca="false">IF(ISBLANK($C91),"",IF($R91=Constants!$B$2,TRUE(),IF($R91=Constants!$B$3,FALSE(),FALSE())))</f>
        <v/>
      </c>
      <c r="AV91" s="100" t="str">
        <f aca="false">IF(ISBLANK($C91),"",IF($S91=Constants!$B$2,TRUE(),IF($S91=Constants!$B$3,FALSE(),FALSE())))</f>
        <v/>
      </c>
      <c r="AW91" s="100" t="str">
        <f aca="false">IF(ISBLANK($C91),"",IF($T91=Constants!$B$2,TRUE(),IF($T91=Constants!$B$3,FALSE(),FALSE())))</f>
        <v/>
      </c>
      <c r="AX91" s="100" t="str">
        <f aca="false">IF(ISBLANK($C91),"",IF(OR($U91&amp;""="1",$U91&amp;""="2",$U91&amp;""="3",$U91&amp;""="4"),VALUE($U91&amp;""),IF($U91=Constants!$B$12,Constants!$B$12,"")))</f>
        <v/>
      </c>
      <c r="AY91" s="100" t="str">
        <f aca="false">IF(ISBLANK($C91),"",IF(ISBLANK($V91),0,IF(ISNUMBER($V91),IF(AND($V91&gt;=0,$V91&lt;=Constants!$B$21,$V91=INT($V91)),$V91,""),"")))</f>
        <v/>
      </c>
      <c r="AZ91" s="100" t="str">
        <f aca="false">IF(ISBLANK($C91),"",IF(ISBLANK($W91),0,IF(ISNUMBER($W91),IF($W91&gt;=0,$W91,""),"")))</f>
        <v/>
      </c>
      <c r="BA91" s="100" t="str">
        <f aca="false">IF(ISBLANK($C91),"",IF($X91=Constants!$B$2,TRUE(),IF($X91=Constants!$B$3,FALSE(),TRUE())))</f>
        <v/>
      </c>
      <c r="BB91" s="100" t="str">
        <f aca="false">IF(ISBLANK($C91),"",IF($Y91=Constants!$B$2,TRUE(),IF($Y91=Constants!$B$3,FALSE(),FALSE())))</f>
        <v/>
      </c>
      <c r="BC91" s="100" t="str">
        <f aca="false">IF(ISBLANK($C91),"",IF(ISBLANK($Z91),0,IF(ISNUMBER($Z91),IF(AND($Z91&gt;=0,$Z91&lt;=Constants!$B$35,$Z91=INT($Z91)),$Z91,""),"")))</f>
        <v/>
      </c>
      <c r="BD91" s="100" t="str">
        <f aca="false">IF(ISBLANK($C91),"",IF($AA91=Constants!$B$2,TRUE(),IF($AA91=Constants!$B$3,FALSE(),TRUE())))</f>
        <v/>
      </c>
      <c r="BE91" s="100" t="str">
        <f aca="false">IF(ISBLANK($C91),"",IF($AB91=Constants!$B$2,TRUE(),IF($AB91=Constants!$B$3,FALSE(),TRUE())))</f>
        <v/>
      </c>
      <c r="BF91" s="100" t="str">
        <f aca="false">IF(ISBLANK($C91),"",IF(ISNUMBER($AC91),IF($AC91&gt;=0,$AC91,""),""))</f>
        <v/>
      </c>
      <c r="BG91" s="100" t="str">
        <f aca="false">IF(ISBLANK($C91),"",IF($AD91=Constants!$B$2,TRUE(),IF($AD91=Constants!$B$3,FALSE(),FALSE())))</f>
        <v/>
      </c>
      <c r="BH91" s="99" t="str">
        <f aca="false">IF(ISBLANK($C91),"",IF($BG91,Constants!$B$7,IF(COUNTA($E91:$AC91)=0,Constants!$B$6,IF(OR(COUNTA($G91:$AC91)=0,NOT($AK91),$AQ91),Constants!$B$5,IF(OR($CI91&lt;&gt;"",$CJ91,$CK91,$CL91,$CM91,$CN91,$CO91),Constants!$B$8,Constants!$B$4)))))</f>
        <v/>
      </c>
      <c r="BI91" s="100" t="str">
        <f aca="false">IF(ISBLANK($C91),"",IF($BH91&lt;&gt;Constants!$B$4,$BH91,IF(OR(NOT($AH91),NOT($AJ91),NOT($AR91)),Constants!$B$11,IF(OR(NOT($AP91),MAX($AL91,$AM91,$AN91)&gt;Constants!$B$30),Constants!$B$10,Constants!$B$9))))</f>
        <v/>
      </c>
      <c r="BJ91" s="100" t="str">
        <f aca="false">IF($BH91&lt;&gt;Constants!$B$4,"",IF(NOT($AJ91),0,MIN(Constants!$B$35,$BC91)))</f>
        <v/>
      </c>
      <c r="BK91" s="100" t="str">
        <f aca="false">IF($BH91&lt;&gt;Constants!$B$4,"",IF(NOT($AJ91),0,IF($AT91,Constants!$B$18,IF($AS91,Constants!$B$17,0))))</f>
        <v/>
      </c>
      <c r="BL91" s="100" t="str">
        <f aca="false">IF($BH91&lt;&gt;Constants!$B$4,"",IF(NOT($AJ91),0,Constants!$B$19*($AI91+$AU91+$AV91+$AW91)))</f>
        <v/>
      </c>
      <c r="BM91" s="100" t="str">
        <f aca="false">IF($BH91&lt;&gt;Constants!$B$4,"",IF(OR(NOT($AJ91),NOT(ISNUMBER($AX91))),0,CHOOSE($AX91,Constants!$B$13,Constants!$B$14,Constants!$B$15,Constants!$B$16)))</f>
        <v/>
      </c>
      <c r="BN91" s="100" t="str">
        <f aca="false">IF($BH91&lt;&gt;Constants!$B$4,"",IF(NOT($AJ91),0,Constants!$B$20*$AY91))</f>
        <v/>
      </c>
      <c r="BO91" s="100" t="str">
        <f aca="false">IF($BH91&lt;&gt;Constants!$B$4,"",IF(AND($AJ91,$BA91,$BB91),Constants!$B$22,0))</f>
        <v/>
      </c>
      <c r="BP91" s="100" t="str">
        <f aca="false">IF($BH91&lt;&gt;Constants!$B$4,"",IF(OR(NOT($AJ91),NOT($BA91)),0,IF($BF91&gt;=2*$AF$9,0,Constants!$B$23*INT(ROUND(MIN($BF91,$AF$9),6)))))</f>
        <v/>
      </c>
      <c r="BQ91" s="100" t="str">
        <f aca="false">IF($BH91&lt;&gt;Constants!$B$4,"",IF(NOT($AJ91),0,Constants!$B$24*INT(ROUND(MIN($AZ91,$AF$9),6))))</f>
        <v/>
      </c>
      <c r="BR91" s="100" t="str">
        <f aca="false">IF($BH91&lt;&gt;Constants!$B$4,"",IF(AND($AJ91,$BJ91=0),Constants!$B$25,0))</f>
        <v/>
      </c>
      <c r="BS91" s="100" t="str">
        <f aca="false">IF($BH91&lt;&gt;Constants!$B$4,"",MIN(Constants!$B$29,MAX(0,Constants!$B$27*Constants!$B$28*INT(ROUND((Constants!$B$26-$AL91)/Constants!$B$28,6))))+MIN(Constants!$B$29,MAX(0,Constants!$B$27*Constants!$B$28*INT(ROUND((Constants!$B$26-$AM91)/Constants!$B$28,6))))+MIN(Constants!$B$29,MAX(0,Constants!$B$27*Constants!$B$28*INT(ROUND((Constants!$B$26-$AN91)/Constants!$B$28,6)))))</f>
        <v/>
      </c>
      <c r="BT91" s="100" t="str">
        <f aca="false">IF($BH91&lt;&gt;Constants!$B$4,"",IF(NOT($AJ91),0,Constants!$B$31*INT(ROUND(MAX(0,MIN($BF91,2*$AF$9)-$AF$9),6))))</f>
        <v/>
      </c>
      <c r="BU91" s="100" t="str">
        <f aca="false">IF($BH91&lt;&gt;Constants!$B$4,"",Constants!$B$32*(($AL91&gt;Constants!$B$26)+($AM91&gt;Constants!$B$26)+($AN91&gt;Constants!$B$26)))</f>
        <v/>
      </c>
      <c r="BV91" s="100" t="str">
        <f aca="false">IF($BH91&lt;&gt;Constants!$B$4,"",IF(OR(NOT($AJ91),$AO91),0,Constants!$B$33))</f>
        <v/>
      </c>
      <c r="BW91" s="100" t="str">
        <f aca="false">IF($BH91&lt;&gt;Constants!$B$4,"",Constants!$B$34*$BJ91)</f>
        <v/>
      </c>
      <c r="BX91" s="100" t="str">
        <f aca="false">IF($BH91&lt;&gt;Constants!$B$4,"",IF(OR(NOT($AJ91),$BE91),0,Constants!$B$36))</f>
        <v/>
      </c>
      <c r="BY91" s="100" t="str">
        <f aca="false">IF($BH91&lt;&gt;Constants!$B$4,"",IF(OR(NOT($AJ91),$BD91),0,Constants!$B$37))</f>
        <v/>
      </c>
      <c r="BZ91" s="100" t="str">
        <f aca="false">IF($BH91&lt;&gt;Constants!$B$4,"",SUM($BT91:$BY91))</f>
        <v/>
      </c>
      <c r="CA91" s="100" t="str">
        <f aca="false">IF(ISBLANK($C91),"",IF($BH91&lt;&gt;Constants!$B$4,$BH91,SUM($BK91:$BS91)-$BZ91))</f>
        <v/>
      </c>
      <c r="CB91" s="100" t="str">
        <f aca="false">IF(ISBLANK($C91),"",IF($BH91&lt;&gt;Constants!$B$4,$BH91,RANK($CA91,$CA$9:$CA$508)))</f>
        <v/>
      </c>
      <c r="CC91" s="100" t="str">
        <f aca="false">IF(ISBLANK($C91),"",IF($BH91&lt;&gt;Constants!$B$4,$BH91,COUNTIFS($BI$9:$BI$508,"&lt;"&amp;$BI91)+COUNTIFS($BI$9:$BI$508,$BI91,$CB$9:$CB$508,"&lt;"&amp;$CB91)+1))</f>
        <v/>
      </c>
      <c r="CD91" s="100" t="str">
        <f aca="false">IF(ISBLANK($C91),"",IF($BH91&lt;&gt;Constants!$B$4,$BH91,RANK($BZ91,$BZ$9:$BZ$508,1)))</f>
        <v/>
      </c>
      <c r="CE91" s="100" t="str">
        <f aca="false">IF($BH91&lt;&gt;Constants!$B$4,"",$AL91+$AM91+$AN91)</f>
        <v/>
      </c>
      <c r="CF91" s="100" t="str">
        <f aca="false">IF(ISBLANK($C91),"",IF($BH91&lt;&gt;Constants!$B$4,$BH91,RANK($CE91,$CE$9:$CE$508,1)))</f>
        <v/>
      </c>
      <c r="CG91" s="100" t="str">
        <f aca="false">IF(ISBLANK($C91),"",IF($BH91&lt;&gt;Constants!$B$4,$BH91,COUNTIFS($BI$9:$BI$508,"&lt;"&amp;$BI91)+COUNTIFS($BI$9:$BI$508,$BI91,$CB$9:$CB$508,"&lt;"&amp;$CB91)+COUNTIFS($BI$9:$BI$508,$BI91,$CB$9:$CB$508,$CB91,$CD$9:$CD$508,"&lt;"&amp;$CD91)+COUNTIFS($BI$9:$BI$508,$BI91,$CB$9:$CB$508,$CB91,$CD$9:$CD$508,$CD91,$CF$9:$CF$508,"&lt;"&amp;$CF91)+1))</f>
        <v/>
      </c>
      <c r="CH91" s="100" t="str">
        <f aca="false">IF(ISBLANK($C91),"",IF($BH91&lt;&gt;Constants!$B$4,$BH91,$CC91-$CG91))</f>
        <v/>
      </c>
      <c r="CI91" s="100" t="str">
        <f aca="false">IF(ISBLANK($C91),"",IF(NOT($AJ91),"",IF(ISBLANK($D$7),$CI$5,IF(NOT(ISNUMBER($D$7)),$CI$6,""))))</f>
        <v/>
      </c>
      <c r="CJ91" s="100" t="str">
        <f aca="false">IF(ISBLANK($C91),"",OR($AL91="",$AM91="",$AN91=""))</f>
        <v/>
      </c>
      <c r="CK91" s="100" t="str">
        <f aca="false">IF(ISBLANK($C91),"",AND($AJ91,$AX91=""))</f>
        <v/>
      </c>
      <c r="CL91" s="100" t="str">
        <f aca="false">IF(ISBLANK($C91),"",AND($AJ91,$AY91=""))</f>
        <v/>
      </c>
      <c r="CM91" s="100" t="str">
        <f aca="false">IF(ISBLANK($C91),"",AND($AJ91,$AZ91=""))</f>
        <v/>
      </c>
      <c r="CN91" s="100" t="str">
        <f aca="false">IF(ISBLANK($C91),"",AND($AJ91,$BC91=""))</f>
        <v/>
      </c>
      <c r="CO91" s="100" t="str">
        <f aca="false">IF(ISBLANK($C91),"",AND($AJ91,$BF91=""))</f>
        <v/>
      </c>
      <c r="CP91" s="101"/>
      <c r="CQ91" s="102"/>
      <c r="CR91" s="103" t="str">
        <f aca="false">IF(ISBLANK($C91),"",IF($BH91=Constants!$B$8,$CI91,""))</f>
        <v/>
      </c>
      <c r="CS91" s="102" t="str">
        <f aca="false">IF(ISBLANK($C91),"",IF($BH91&lt;&gt;Constants!$B$4,"",$BK91+$BL91))</f>
        <v/>
      </c>
      <c r="CT91" s="104" t="str">
        <f aca="false">IF(ISBLANK($C91),"",IF($BH91&lt;&gt;Constants!$B$4,"",$BM91+$BN91+$BO91))</f>
        <v/>
      </c>
      <c r="CU91" s="104" t="str">
        <f aca="false">IF(ISBLANK($C91),"",IF($BH91&lt;&gt;Constants!$B$4,"",$BP91))</f>
        <v/>
      </c>
      <c r="CV91" s="104" t="str">
        <f aca="false">IF(ISBLANK($C91),"",IF($BH91&lt;&gt;Constants!$B$4,"",$BQ91+$BR91))</f>
        <v/>
      </c>
      <c r="CW91" s="104" t="str">
        <f aca="false">IF(ISBLANK($C91),"",IF($BH91&lt;&gt;Constants!$B$4,"",$BS91))</f>
        <v/>
      </c>
      <c r="CX91" s="104" t="str">
        <f aca="false">IF(ISBLANK($C91),"",IF($BH91&lt;&gt;Constants!$B$4,"",-$BZ91))</f>
        <v/>
      </c>
      <c r="CY91" s="103" t="str">
        <f aca="false">IF(ISBLANK($C91),"",$CA91)</f>
        <v/>
      </c>
      <c r="CZ91" s="105" t="str">
        <f aca="false">IF(ISBLANK($C91),"",$BI91)</f>
        <v/>
      </c>
      <c r="DA91" s="104" t="str">
        <f aca="false">IF(ISBLANK($C91),"",$CH91)</f>
        <v/>
      </c>
      <c r="DB91" s="104" t="str">
        <f aca="false">IF(ISBLANK($C91),"",$CG91)</f>
        <v/>
      </c>
      <c r="DC91" s="106" t="str">
        <f aca="false">IF(ISBLANK($C91),"",IFERROR(_xlfn.SWITCH($DB91,Constants!$B$7,COUNTA($C$9:$C$508)+2,Constants!$B$6,COUNTA($C$9:$C$508)+1,Constants!$B$5,COUNTA($C$9:$C$508)),$DB91))</f>
        <v/>
      </c>
      <c r="DD91" s="7"/>
      <c r="DE91" s="107" t="n">
        <f aca="false">IF(OR(ISNUMBER($DB91),$DB91=Constants!$B$7,$DB91=Constants!$B$5,$DB91=Constants!$B$6),1,0)</f>
        <v>0</v>
      </c>
      <c r="DF91" s="107" t="n">
        <v>83</v>
      </c>
      <c r="DG91" s="107" t="str">
        <f aca="false">IF(ISBLANK($C91),"",IF(ISNUMBER($DC91),$DC91+ROW($B91)/1000,""))</f>
        <v/>
      </c>
      <c r="DH91" s="107" t="str">
        <f aca="false">IF(ISNUMBER($DG91),RANK($DG91,$DG$9:$DG$508,1),"")</f>
        <v/>
      </c>
      <c r="DI91" s="107" t="str">
        <f aca="false">IF(ISBLANK($C91),"",$B91)</f>
        <v/>
      </c>
      <c r="DJ91" s="107" t="str">
        <f aca="false">IF(ISBLANK($C91),"",$C91)</f>
        <v/>
      </c>
      <c r="DK91" s="107" t="str">
        <f aca="false">IF(ISBLANK($C91),"",$D91)</f>
        <v/>
      </c>
      <c r="DL91" s="108" t="str">
        <f aca="false">$CZ91</f>
        <v/>
      </c>
      <c r="DM91" s="109" t="str">
        <f aca="false">$CY91</f>
        <v/>
      </c>
      <c r="DN91" s="107" t="str">
        <f aca="false">IF(ISBLANK($C91),"",$DB91)</f>
        <v/>
      </c>
      <c r="DO91" s="110" t="str">
        <f aca="false">IF($DF91&gt;$DE$8,"",VLOOKUP($DF91,$DH$9:$DN$508,7,FALSE()))</f>
        <v/>
      </c>
      <c r="DP91" s="111" t="str">
        <f aca="false">IF($DF91&gt;$DE$8,"",VLOOKUP($DF91,$DH$9:$DN$508,2,FALSE()))</f>
        <v/>
      </c>
      <c r="DQ91" s="111" t="str">
        <f aca="false">IF($DF91&gt;$DE$8,"",VLOOKUP($DF91,$DH$9:$DN$508,3,FALSE()))</f>
        <v/>
      </c>
      <c r="DR91" s="111" t="str">
        <f aca="false">IF($DF91&gt;$DE$8,"",VLOOKUP($DF91,$DH$9:$DN$508,4,FALSE()))</f>
        <v/>
      </c>
      <c r="DS91" s="111" t="str">
        <f aca="false">IF($DF91&gt;$DE$8,"",VLOOKUP($DF91,$DH$9:$DN$508,5,FALSE()))</f>
        <v/>
      </c>
      <c r="DT91" s="112" t="str">
        <f aca="false">IF($DF91&gt;$DE$8,"",VLOOKUP($DF91,$DH$9:$DN$508,6,FALSE()))</f>
        <v/>
      </c>
      <c r="DU91" s="62"/>
    </row>
    <row r="92" customFormat="false" ht="15.75" hidden="false" customHeight="false" outlineLevel="0" collapsed="false">
      <c r="A92" s="7"/>
      <c r="B92" s="90"/>
      <c r="C92" s="91"/>
      <c r="D92" s="126"/>
      <c r="E92" s="130"/>
      <c r="F92" s="135"/>
      <c r="G92" s="130"/>
      <c r="H92" s="135"/>
      <c r="I92" s="95"/>
      <c r="J92" s="95"/>
      <c r="K92" s="95"/>
      <c r="L92" s="130"/>
      <c r="M92" s="130"/>
      <c r="N92" s="130"/>
      <c r="O92" s="135"/>
      <c r="P92" s="130"/>
      <c r="Q92" s="130"/>
      <c r="R92" s="130"/>
      <c r="S92" s="130"/>
      <c r="T92" s="135"/>
      <c r="U92" s="130"/>
      <c r="V92" s="96"/>
      <c r="W92" s="130"/>
      <c r="X92" s="130"/>
      <c r="Y92" s="96"/>
      <c r="Z92" s="96"/>
      <c r="AA92" s="130"/>
      <c r="AB92" s="130"/>
      <c r="AC92" s="97"/>
      <c r="AD92" s="130"/>
      <c r="AE92" s="99"/>
      <c r="AF92" s="100"/>
      <c r="AG92" s="100"/>
      <c r="AH92" s="100" t="str">
        <f aca="false">IF(ISBLANK($C92),"",IF($E92=Constants!$B$2,TRUE(),IF($E92=Constants!$B$3,FALSE(),TRUE())))</f>
        <v/>
      </c>
      <c r="AI92" s="100" t="str">
        <f aca="false">IF(ISBLANK($C92),"",IF($F92=Constants!$B$2,TRUE(),IF($F92=Constants!$B$3,FALSE(),FALSE())))</f>
        <v/>
      </c>
      <c r="AJ92" s="100" t="str">
        <f aca="false">IF(ISBLANK($C92),"",IF($G92=Constants!$B$2,TRUE(),IF($G92=Constants!$B$3,FALSE(),TRUE())))</f>
        <v/>
      </c>
      <c r="AK92" s="100" t="str">
        <f aca="false">IF(ISBLANK($C92),"",IF($H92=Constants!$B$2,TRUE(),IF($H92=Constants!$B$3,FALSE(),TRUE())))</f>
        <v/>
      </c>
      <c r="AL92" s="100" t="str">
        <f aca="false">IF(ISBLANK($C92),"",IF(ISNUMBER($I92),IF($I92&gt;=0,$I92,""),""))</f>
        <v/>
      </c>
      <c r="AM92" s="100" t="str">
        <f aca="false">IF(ISBLANK($C92),"",IF(ISNUMBER($J92),IF($J92&gt;=0,$J92,""),""))</f>
        <v/>
      </c>
      <c r="AN92" s="100" t="str">
        <f aca="false">IF(ISBLANK($C92),"",IF(ISNUMBER($K92),IF($K92&gt;=0,$K92,""),""))</f>
        <v/>
      </c>
      <c r="AO92" s="100" t="str">
        <f aca="false">IF(ISBLANK($C92),"",IF($L92=Constants!$B$2,TRUE(),IF($L92=Constants!$B$3,FALSE(),TRUE())))</f>
        <v/>
      </c>
      <c r="AP92" s="100" t="str">
        <f aca="false">IF(ISBLANK($C92),"",IF($M92=Constants!$B$2,TRUE(),IF($M92=Constants!$B$3,FALSE(),TRUE())))</f>
        <v/>
      </c>
      <c r="AQ92" s="100" t="str">
        <f aca="false">IF(ISBLANK($C92),"",IF($N92=Constants!$B$2,TRUE(),IF($N92=Constants!$B$3,FALSE(),FALSE())))</f>
        <v/>
      </c>
      <c r="AR92" s="100" t="str">
        <f aca="false">IF(ISBLANK($C92),"",IF($O92=Constants!$B$2,TRUE(),IF($O92=Constants!$B$3,FALSE(),TRUE())))</f>
        <v/>
      </c>
      <c r="AS92" s="100" t="str">
        <f aca="false">IF(ISBLANK($C92),"",IF($P92=Constants!$B$2,TRUE(),IF($P92=Constants!$B$3,FALSE(),FALSE())))</f>
        <v/>
      </c>
      <c r="AT92" s="100" t="str">
        <f aca="false">IF(ISBLANK($C92),"",IF($Q92=Constants!$B$2,TRUE(),IF($Q92=Constants!$B$3,FALSE(),FALSE())))</f>
        <v/>
      </c>
      <c r="AU92" s="100" t="str">
        <f aca="false">IF(ISBLANK($C92),"",IF($R92=Constants!$B$2,TRUE(),IF($R92=Constants!$B$3,FALSE(),FALSE())))</f>
        <v/>
      </c>
      <c r="AV92" s="100" t="str">
        <f aca="false">IF(ISBLANK($C92),"",IF($S92=Constants!$B$2,TRUE(),IF($S92=Constants!$B$3,FALSE(),FALSE())))</f>
        <v/>
      </c>
      <c r="AW92" s="100" t="str">
        <f aca="false">IF(ISBLANK($C92),"",IF($T92=Constants!$B$2,TRUE(),IF($T92=Constants!$B$3,FALSE(),FALSE())))</f>
        <v/>
      </c>
      <c r="AX92" s="100" t="str">
        <f aca="false">IF(ISBLANK($C92),"",IF(OR($U92&amp;""="1",$U92&amp;""="2",$U92&amp;""="3",$U92&amp;""="4"),VALUE($U92&amp;""),IF($U92=Constants!$B$12,Constants!$B$12,"")))</f>
        <v/>
      </c>
      <c r="AY92" s="100" t="str">
        <f aca="false">IF(ISBLANK($C92),"",IF(ISBLANK($V92),0,IF(ISNUMBER($V92),IF(AND($V92&gt;=0,$V92&lt;=Constants!$B$21,$V92=INT($V92)),$V92,""),"")))</f>
        <v/>
      </c>
      <c r="AZ92" s="100" t="str">
        <f aca="false">IF(ISBLANK($C92),"",IF(ISBLANK($W92),0,IF(ISNUMBER($W92),IF($W92&gt;=0,$W92,""),"")))</f>
        <v/>
      </c>
      <c r="BA92" s="100" t="str">
        <f aca="false">IF(ISBLANK($C92),"",IF($X92=Constants!$B$2,TRUE(),IF($X92=Constants!$B$3,FALSE(),TRUE())))</f>
        <v/>
      </c>
      <c r="BB92" s="100" t="str">
        <f aca="false">IF(ISBLANK($C92),"",IF($Y92=Constants!$B$2,TRUE(),IF($Y92=Constants!$B$3,FALSE(),FALSE())))</f>
        <v/>
      </c>
      <c r="BC92" s="100" t="str">
        <f aca="false">IF(ISBLANK($C92),"",IF(ISBLANK($Z92),0,IF(ISNUMBER($Z92),IF(AND($Z92&gt;=0,$Z92&lt;=Constants!$B$35,$Z92=INT($Z92)),$Z92,""),"")))</f>
        <v/>
      </c>
      <c r="BD92" s="100" t="str">
        <f aca="false">IF(ISBLANK($C92),"",IF($AA92=Constants!$B$2,TRUE(),IF($AA92=Constants!$B$3,FALSE(),TRUE())))</f>
        <v/>
      </c>
      <c r="BE92" s="100" t="str">
        <f aca="false">IF(ISBLANK($C92),"",IF($AB92=Constants!$B$2,TRUE(),IF($AB92=Constants!$B$3,FALSE(),TRUE())))</f>
        <v/>
      </c>
      <c r="BF92" s="100" t="str">
        <f aca="false">IF(ISBLANK($C92),"",IF(ISNUMBER($AC92),IF($AC92&gt;=0,$AC92,""),""))</f>
        <v/>
      </c>
      <c r="BG92" s="100" t="str">
        <f aca="false">IF(ISBLANK($C92),"",IF($AD92=Constants!$B$2,TRUE(),IF($AD92=Constants!$B$3,FALSE(),FALSE())))</f>
        <v/>
      </c>
      <c r="BH92" s="99" t="str">
        <f aca="false">IF(ISBLANK($C92),"",IF($BG92,Constants!$B$7,IF(COUNTA($E92:$AC92)=0,Constants!$B$6,IF(OR(COUNTA($G92:$AC92)=0,NOT($AK92),$AQ92),Constants!$B$5,IF(OR($CI92&lt;&gt;"",$CJ92,$CK92,$CL92,$CM92,$CN92,$CO92),Constants!$B$8,Constants!$B$4)))))</f>
        <v/>
      </c>
      <c r="BI92" s="100" t="str">
        <f aca="false">IF(ISBLANK($C92),"",IF($BH92&lt;&gt;Constants!$B$4,$BH92,IF(OR(NOT($AH92),NOT($AJ92),NOT($AR92)),Constants!$B$11,IF(OR(NOT($AP92),MAX($AL92,$AM92,$AN92)&gt;Constants!$B$30),Constants!$B$10,Constants!$B$9))))</f>
        <v/>
      </c>
      <c r="BJ92" s="100" t="str">
        <f aca="false">IF($BH92&lt;&gt;Constants!$B$4,"",IF(NOT($AJ92),0,MIN(Constants!$B$35,$BC92)))</f>
        <v/>
      </c>
      <c r="BK92" s="100" t="str">
        <f aca="false">IF($BH92&lt;&gt;Constants!$B$4,"",IF(NOT($AJ92),0,IF($AT92,Constants!$B$18,IF($AS92,Constants!$B$17,0))))</f>
        <v/>
      </c>
      <c r="BL92" s="100" t="str">
        <f aca="false">IF($BH92&lt;&gt;Constants!$B$4,"",IF(NOT($AJ92),0,Constants!$B$19*($AI92+$AU92+$AV92+$AW92)))</f>
        <v/>
      </c>
      <c r="BM92" s="100" t="str">
        <f aca="false">IF($BH92&lt;&gt;Constants!$B$4,"",IF(OR(NOT($AJ92),NOT(ISNUMBER($AX92))),0,CHOOSE($AX92,Constants!$B$13,Constants!$B$14,Constants!$B$15,Constants!$B$16)))</f>
        <v/>
      </c>
      <c r="BN92" s="100" t="str">
        <f aca="false">IF($BH92&lt;&gt;Constants!$B$4,"",IF(NOT($AJ92),0,Constants!$B$20*$AY92))</f>
        <v/>
      </c>
      <c r="BO92" s="100" t="str">
        <f aca="false">IF($BH92&lt;&gt;Constants!$B$4,"",IF(AND($AJ92,$BA92,$BB92),Constants!$B$22,0))</f>
        <v/>
      </c>
      <c r="BP92" s="100" t="str">
        <f aca="false">IF($BH92&lt;&gt;Constants!$B$4,"",IF(OR(NOT($AJ92),NOT($BA92)),0,IF($BF92&gt;=2*$AF$9,0,Constants!$B$23*INT(ROUND(MIN($BF92,$AF$9),6)))))</f>
        <v/>
      </c>
      <c r="BQ92" s="100" t="str">
        <f aca="false">IF($BH92&lt;&gt;Constants!$B$4,"",IF(NOT($AJ92),0,Constants!$B$24*INT(ROUND(MIN($AZ92,$AF$9),6))))</f>
        <v/>
      </c>
      <c r="BR92" s="100" t="str">
        <f aca="false">IF($BH92&lt;&gt;Constants!$B$4,"",IF(AND($AJ92,$BJ92=0),Constants!$B$25,0))</f>
        <v/>
      </c>
      <c r="BS92" s="100" t="str">
        <f aca="false">IF($BH92&lt;&gt;Constants!$B$4,"",MIN(Constants!$B$29,MAX(0,Constants!$B$27*Constants!$B$28*INT(ROUND((Constants!$B$26-$AL92)/Constants!$B$28,6))))+MIN(Constants!$B$29,MAX(0,Constants!$B$27*Constants!$B$28*INT(ROUND((Constants!$B$26-$AM92)/Constants!$B$28,6))))+MIN(Constants!$B$29,MAX(0,Constants!$B$27*Constants!$B$28*INT(ROUND((Constants!$B$26-$AN92)/Constants!$B$28,6)))))</f>
        <v/>
      </c>
      <c r="BT92" s="100" t="str">
        <f aca="false">IF($BH92&lt;&gt;Constants!$B$4,"",IF(NOT($AJ92),0,Constants!$B$31*INT(ROUND(MAX(0,MIN($BF92,2*$AF$9)-$AF$9),6))))</f>
        <v/>
      </c>
      <c r="BU92" s="100" t="str">
        <f aca="false">IF($BH92&lt;&gt;Constants!$B$4,"",Constants!$B$32*(($AL92&gt;Constants!$B$26)+($AM92&gt;Constants!$B$26)+($AN92&gt;Constants!$B$26)))</f>
        <v/>
      </c>
      <c r="BV92" s="100" t="str">
        <f aca="false">IF($BH92&lt;&gt;Constants!$B$4,"",IF(OR(NOT($AJ92),$AO92),0,Constants!$B$33))</f>
        <v/>
      </c>
      <c r="BW92" s="100" t="str">
        <f aca="false">IF($BH92&lt;&gt;Constants!$B$4,"",Constants!$B$34*$BJ92)</f>
        <v/>
      </c>
      <c r="BX92" s="100" t="str">
        <f aca="false">IF($BH92&lt;&gt;Constants!$B$4,"",IF(OR(NOT($AJ92),$BE92),0,Constants!$B$36))</f>
        <v/>
      </c>
      <c r="BY92" s="100" t="str">
        <f aca="false">IF($BH92&lt;&gt;Constants!$B$4,"",IF(OR(NOT($AJ92),$BD92),0,Constants!$B$37))</f>
        <v/>
      </c>
      <c r="BZ92" s="100" t="str">
        <f aca="false">IF($BH92&lt;&gt;Constants!$B$4,"",SUM($BT92:$BY92))</f>
        <v/>
      </c>
      <c r="CA92" s="100" t="str">
        <f aca="false">IF(ISBLANK($C92),"",IF($BH92&lt;&gt;Constants!$B$4,$BH92,SUM($BK92:$BS92)-$BZ92))</f>
        <v/>
      </c>
      <c r="CB92" s="100" t="str">
        <f aca="false">IF(ISBLANK($C92),"",IF($BH92&lt;&gt;Constants!$B$4,$BH92,RANK($CA92,$CA$9:$CA$508)))</f>
        <v/>
      </c>
      <c r="CC92" s="100" t="str">
        <f aca="false">IF(ISBLANK($C92),"",IF($BH92&lt;&gt;Constants!$B$4,$BH92,COUNTIFS($BI$9:$BI$508,"&lt;"&amp;$BI92)+COUNTIFS($BI$9:$BI$508,$BI92,$CB$9:$CB$508,"&lt;"&amp;$CB92)+1))</f>
        <v/>
      </c>
      <c r="CD92" s="100" t="str">
        <f aca="false">IF(ISBLANK($C92),"",IF($BH92&lt;&gt;Constants!$B$4,$BH92,RANK($BZ92,$BZ$9:$BZ$508,1)))</f>
        <v/>
      </c>
      <c r="CE92" s="100" t="str">
        <f aca="false">IF($BH92&lt;&gt;Constants!$B$4,"",$AL92+$AM92+$AN92)</f>
        <v/>
      </c>
      <c r="CF92" s="100" t="str">
        <f aca="false">IF(ISBLANK($C92),"",IF($BH92&lt;&gt;Constants!$B$4,$BH92,RANK($CE92,$CE$9:$CE$508,1)))</f>
        <v/>
      </c>
      <c r="CG92" s="100" t="str">
        <f aca="false">IF(ISBLANK($C92),"",IF($BH92&lt;&gt;Constants!$B$4,$BH92,COUNTIFS($BI$9:$BI$508,"&lt;"&amp;$BI92)+COUNTIFS($BI$9:$BI$508,$BI92,$CB$9:$CB$508,"&lt;"&amp;$CB92)+COUNTIFS($BI$9:$BI$508,$BI92,$CB$9:$CB$508,$CB92,$CD$9:$CD$508,"&lt;"&amp;$CD92)+COUNTIFS($BI$9:$BI$508,$BI92,$CB$9:$CB$508,$CB92,$CD$9:$CD$508,$CD92,$CF$9:$CF$508,"&lt;"&amp;$CF92)+1))</f>
        <v/>
      </c>
      <c r="CH92" s="100" t="str">
        <f aca="false">IF(ISBLANK($C92),"",IF($BH92&lt;&gt;Constants!$B$4,$BH92,$CC92-$CG92))</f>
        <v/>
      </c>
      <c r="CI92" s="100" t="str">
        <f aca="false">IF(ISBLANK($C92),"",IF(NOT($AJ92),"",IF(ISBLANK($D$7),$CI$5,IF(NOT(ISNUMBER($D$7)),$CI$6,""))))</f>
        <v/>
      </c>
      <c r="CJ92" s="100" t="str">
        <f aca="false">IF(ISBLANK($C92),"",OR($AL92="",$AM92="",$AN92=""))</f>
        <v/>
      </c>
      <c r="CK92" s="100" t="str">
        <f aca="false">IF(ISBLANK($C92),"",AND($AJ92,$AX92=""))</f>
        <v/>
      </c>
      <c r="CL92" s="100" t="str">
        <f aca="false">IF(ISBLANK($C92),"",AND($AJ92,$AY92=""))</f>
        <v/>
      </c>
      <c r="CM92" s="100" t="str">
        <f aca="false">IF(ISBLANK($C92),"",AND($AJ92,$AZ92=""))</f>
        <v/>
      </c>
      <c r="CN92" s="100" t="str">
        <f aca="false">IF(ISBLANK($C92),"",AND($AJ92,$BC92=""))</f>
        <v/>
      </c>
      <c r="CO92" s="100" t="str">
        <f aca="false">IF(ISBLANK($C92),"",AND($AJ92,$BF92=""))</f>
        <v/>
      </c>
      <c r="CP92" s="101"/>
      <c r="CQ92" s="102"/>
      <c r="CR92" s="103" t="str">
        <f aca="false">IF(ISBLANK($C92),"",IF($BH92=Constants!$B$8,$CI92,""))</f>
        <v/>
      </c>
      <c r="CS92" s="102" t="str">
        <f aca="false">IF(ISBLANK($C92),"",IF($BH92&lt;&gt;Constants!$B$4,"",$BK92+$BL92))</f>
        <v/>
      </c>
      <c r="CT92" s="104" t="str">
        <f aca="false">IF(ISBLANK($C92),"",IF($BH92&lt;&gt;Constants!$B$4,"",$BM92+$BN92+$BO92))</f>
        <v/>
      </c>
      <c r="CU92" s="104" t="str">
        <f aca="false">IF(ISBLANK($C92),"",IF($BH92&lt;&gt;Constants!$B$4,"",$BP92))</f>
        <v/>
      </c>
      <c r="CV92" s="104" t="str">
        <f aca="false">IF(ISBLANK($C92),"",IF($BH92&lt;&gt;Constants!$B$4,"",$BQ92+$BR92))</f>
        <v/>
      </c>
      <c r="CW92" s="104" t="str">
        <f aca="false">IF(ISBLANK($C92),"",IF($BH92&lt;&gt;Constants!$B$4,"",$BS92))</f>
        <v/>
      </c>
      <c r="CX92" s="104" t="str">
        <f aca="false">IF(ISBLANK($C92),"",IF($BH92&lt;&gt;Constants!$B$4,"",-$BZ92))</f>
        <v/>
      </c>
      <c r="CY92" s="103" t="str">
        <f aca="false">IF(ISBLANK($C92),"",$CA92)</f>
        <v/>
      </c>
      <c r="CZ92" s="105" t="str">
        <f aca="false">IF(ISBLANK($C92),"",$BI92)</f>
        <v/>
      </c>
      <c r="DA92" s="104" t="str">
        <f aca="false">IF(ISBLANK($C92),"",$CH92)</f>
        <v/>
      </c>
      <c r="DB92" s="104" t="str">
        <f aca="false">IF(ISBLANK($C92),"",$CG92)</f>
        <v/>
      </c>
      <c r="DC92" s="106" t="str">
        <f aca="false">IF(ISBLANK($C92),"",IFERROR(_xlfn.SWITCH($DB92,Constants!$B$7,COUNTA($C$9:$C$508)+2,Constants!$B$6,COUNTA($C$9:$C$508)+1,Constants!$B$5,COUNTA($C$9:$C$508)),$DB92))</f>
        <v/>
      </c>
      <c r="DD92" s="7"/>
      <c r="DE92" s="107" t="n">
        <f aca="false">IF(OR(ISNUMBER($DB92),$DB92=Constants!$B$7,$DB92=Constants!$B$5,$DB92=Constants!$B$6),1,0)</f>
        <v>0</v>
      </c>
      <c r="DF92" s="107" t="n">
        <v>84</v>
      </c>
      <c r="DG92" s="107" t="str">
        <f aca="false">IF(ISBLANK($C92),"",IF(ISNUMBER($DC92),$DC92+ROW($B92)/1000,""))</f>
        <v/>
      </c>
      <c r="DH92" s="107" t="str">
        <f aca="false">IF(ISNUMBER($DG92),RANK($DG92,$DG$9:$DG$508,1),"")</f>
        <v/>
      </c>
      <c r="DI92" s="107" t="str">
        <f aca="false">IF(ISBLANK($C92),"",$B92)</f>
        <v/>
      </c>
      <c r="DJ92" s="107" t="str">
        <f aca="false">IF(ISBLANK($C92),"",$C92)</f>
        <v/>
      </c>
      <c r="DK92" s="107" t="str">
        <f aca="false">IF(ISBLANK($C92),"",$D92)</f>
        <v/>
      </c>
      <c r="DL92" s="108" t="str">
        <f aca="false">$CZ92</f>
        <v/>
      </c>
      <c r="DM92" s="109" t="str">
        <f aca="false">$CY92</f>
        <v/>
      </c>
      <c r="DN92" s="107" t="str">
        <f aca="false">IF(ISBLANK($C92),"",$DB92)</f>
        <v/>
      </c>
      <c r="DO92" s="110" t="str">
        <f aca="false">IF($DF92&gt;$DE$8,"",VLOOKUP($DF92,$DH$9:$DN$508,7,FALSE()))</f>
        <v/>
      </c>
      <c r="DP92" s="111" t="str">
        <f aca="false">IF($DF92&gt;$DE$8,"",VLOOKUP($DF92,$DH$9:$DN$508,2,FALSE()))</f>
        <v/>
      </c>
      <c r="DQ92" s="111" t="str">
        <f aca="false">IF($DF92&gt;$DE$8,"",VLOOKUP($DF92,$DH$9:$DN$508,3,FALSE()))</f>
        <v/>
      </c>
      <c r="DR92" s="111" t="str">
        <f aca="false">IF($DF92&gt;$DE$8,"",VLOOKUP($DF92,$DH$9:$DN$508,4,FALSE()))</f>
        <v/>
      </c>
      <c r="DS92" s="111" t="str">
        <f aca="false">IF($DF92&gt;$DE$8,"",VLOOKUP($DF92,$DH$9:$DN$508,5,FALSE()))</f>
        <v/>
      </c>
      <c r="DT92" s="112" t="str">
        <f aca="false">IF($DF92&gt;$DE$8,"",VLOOKUP($DF92,$DH$9:$DN$508,6,FALSE()))</f>
        <v/>
      </c>
      <c r="DU92" s="62"/>
    </row>
    <row r="93" customFormat="false" ht="15.75" hidden="false" customHeight="false" outlineLevel="0" collapsed="false">
      <c r="A93" s="7"/>
      <c r="B93" s="64"/>
      <c r="C93" s="65"/>
      <c r="D93" s="66"/>
      <c r="E93" s="122"/>
      <c r="F93" s="66"/>
      <c r="G93" s="122"/>
      <c r="H93" s="66"/>
      <c r="I93" s="119"/>
      <c r="J93" s="119"/>
      <c r="K93" s="119"/>
      <c r="L93" s="122"/>
      <c r="M93" s="122"/>
      <c r="N93" s="122"/>
      <c r="O93" s="66"/>
      <c r="P93" s="122"/>
      <c r="Q93" s="122"/>
      <c r="R93" s="122"/>
      <c r="S93" s="122"/>
      <c r="T93" s="66"/>
      <c r="U93" s="122"/>
      <c r="V93" s="120"/>
      <c r="W93" s="122"/>
      <c r="X93" s="122"/>
      <c r="Y93" s="120"/>
      <c r="Z93" s="120"/>
      <c r="AA93" s="122"/>
      <c r="AB93" s="122"/>
      <c r="AC93" s="121"/>
      <c r="AD93" s="122"/>
      <c r="AE93" s="73"/>
      <c r="AF93" s="74"/>
      <c r="AG93" s="74"/>
      <c r="AH93" s="74" t="str">
        <f aca="false">IF(ISBLANK($C93),"",IF($E93=Constants!$B$2,TRUE(),IF($E93=Constants!$B$3,FALSE(),TRUE())))</f>
        <v/>
      </c>
      <c r="AI93" s="74" t="str">
        <f aca="false">IF(ISBLANK($C93),"",IF($F93=Constants!$B$2,TRUE(),IF($F93=Constants!$B$3,FALSE(),FALSE())))</f>
        <v/>
      </c>
      <c r="AJ93" s="74" t="str">
        <f aca="false">IF(ISBLANK($C93),"",IF($G93=Constants!$B$2,TRUE(),IF($G93=Constants!$B$3,FALSE(),TRUE())))</f>
        <v/>
      </c>
      <c r="AK93" s="74" t="str">
        <f aca="false">IF(ISBLANK($C93),"",IF($H93=Constants!$B$2,TRUE(),IF($H93=Constants!$B$3,FALSE(),TRUE())))</f>
        <v/>
      </c>
      <c r="AL93" s="74" t="str">
        <f aca="false">IF(ISBLANK($C93),"",IF(ISNUMBER($I93),IF($I93&gt;=0,$I93,""),""))</f>
        <v/>
      </c>
      <c r="AM93" s="74" t="str">
        <f aca="false">IF(ISBLANK($C93),"",IF(ISNUMBER($J93),IF($J93&gt;=0,$J93,""),""))</f>
        <v/>
      </c>
      <c r="AN93" s="74" t="str">
        <f aca="false">IF(ISBLANK($C93),"",IF(ISNUMBER($K93),IF($K93&gt;=0,$K93,""),""))</f>
        <v/>
      </c>
      <c r="AO93" s="74" t="str">
        <f aca="false">IF(ISBLANK($C93),"",IF($L93=Constants!$B$2,TRUE(),IF($L93=Constants!$B$3,FALSE(),TRUE())))</f>
        <v/>
      </c>
      <c r="AP93" s="74" t="str">
        <f aca="false">IF(ISBLANK($C93),"",IF($M93=Constants!$B$2,TRUE(),IF($M93=Constants!$B$3,FALSE(),TRUE())))</f>
        <v/>
      </c>
      <c r="AQ93" s="74" t="str">
        <f aca="false">IF(ISBLANK($C93),"",IF($N93=Constants!$B$2,TRUE(),IF($N93=Constants!$B$3,FALSE(),FALSE())))</f>
        <v/>
      </c>
      <c r="AR93" s="74" t="str">
        <f aca="false">IF(ISBLANK($C93),"",IF($O93=Constants!$B$2,TRUE(),IF($O93=Constants!$B$3,FALSE(),TRUE())))</f>
        <v/>
      </c>
      <c r="AS93" s="74" t="str">
        <f aca="false">IF(ISBLANK($C93),"",IF($P93=Constants!$B$2,TRUE(),IF($P93=Constants!$B$3,FALSE(),FALSE())))</f>
        <v/>
      </c>
      <c r="AT93" s="74" t="str">
        <f aca="false">IF(ISBLANK($C93),"",IF($Q93=Constants!$B$2,TRUE(),IF($Q93=Constants!$B$3,FALSE(),FALSE())))</f>
        <v/>
      </c>
      <c r="AU93" s="74" t="str">
        <f aca="false">IF(ISBLANK($C93),"",IF($R93=Constants!$B$2,TRUE(),IF($R93=Constants!$B$3,FALSE(),FALSE())))</f>
        <v/>
      </c>
      <c r="AV93" s="74" t="str">
        <f aca="false">IF(ISBLANK($C93),"",IF($S93=Constants!$B$2,TRUE(),IF($S93=Constants!$B$3,FALSE(),FALSE())))</f>
        <v/>
      </c>
      <c r="AW93" s="74" t="str">
        <f aca="false">IF(ISBLANK($C93),"",IF($T93=Constants!$B$2,TRUE(),IF($T93=Constants!$B$3,FALSE(),FALSE())))</f>
        <v/>
      </c>
      <c r="AX93" s="74" t="str">
        <f aca="false">IF(ISBLANK($C93),"",IF(OR($U93&amp;""="1",$U93&amp;""="2",$U93&amp;""="3",$U93&amp;""="4"),VALUE($U93&amp;""),IF($U93=Constants!$B$12,Constants!$B$12,"")))</f>
        <v/>
      </c>
      <c r="AY93" s="74" t="str">
        <f aca="false">IF(ISBLANK($C93),"",IF(ISBLANK($V93),0,IF(ISNUMBER($V93),IF(AND($V93&gt;=0,$V93&lt;=Constants!$B$21,$V93=INT($V93)),$V93,""),"")))</f>
        <v/>
      </c>
      <c r="AZ93" s="74" t="str">
        <f aca="false">IF(ISBLANK($C93),"",IF(ISBLANK($W93),0,IF(ISNUMBER($W93),IF($W93&gt;=0,$W93,""),"")))</f>
        <v/>
      </c>
      <c r="BA93" s="74" t="str">
        <f aca="false">IF(ISBLANK($C93),"",IF($X93=Constants!$B$2,TRUE(),IF($X93=Constants!$B$3,FALSE(),TRUE())))</f>
        <v/>
      </c>
      <c r="BB93" s="74" t="str">
        <f aca="false">IF(ISBLANK($C93),"",IF($Y93=Constants!$B$2,TRUE(),IF($Y93=Constants!$B$3,FALSE(),FALSE())))</f>
        <v/>
      </c>
      <c r="BC93" s="74" t="str">
        <f aca="false">IF(ISBLANK($C93),"",IF(ISBLANK($Z93),0,IF(ISNUMBER($Z93),IF(AND($Z93&gt;=0,$Z93&lt;=Constants!$B$35,$Z93=INT($Z93)),$Z93,""),"")))</f>
        <v/>
      </c>
      <c r="BD93" s="74" t="str">
        <f aca="false">IF(ISBLANK($C93),"",IF($AA93=Constants!$B$2,TRUE(),IF($AA93=Constants!$B$3,FALSE(),TRUE())))</f>
        <v/>
      </c>
      <c r="BE93" s="74" t="str">
        <f aca="false">IF(ISBLANK($C93),"",IF($AB93=Constants!$B$2,TRUE(),IF($AB93=Constants!$B$3,FALSE(),TRUE())))</f>
        <v/>
      </c>
      <c r="BF93" s="74" t="str">
        <f aca="false">IF(ISBLANK($C93),"",IF(ISNUMBER($AC93),IF($AC93&gt;=0,$AC93,""),""))</f>
        <v/>
      </c>
      <c r="BG93" s="74" t="str">
        <f aca="false">IF(ISBLANK($C93),"",IF($AD93=Constants!$B$2,TRUE(),IF($AD93=Constants!$B$3,FALSE(),FALSE())))</f>
        <v/>
      </c>
      <c r="BH93" s="73" t="str">
        <f aca="false">IF(ISBLANK($C93),"",IF($BG93,Constants!$B$7,IF(COUNTA($E93:$AC93)=0,Constants!$B$6,IF(OR(COUNTA($G93:$AC93)=0,NOT($AK93),$AQ93),Constants!$B$5,IF(OR($CI93&lt;&gt;"",$CJ93,$CK93,$CL93,$CM93,$CN93,$CO93),Constants!$B$8,Constants!$B$4)))))</f>
        <v/>
      </c>
      <c r="BI93" s="74" t="str">
        <f aca="false">IF(ISBLANK($C93),"",IF($BH93&lt;&gt;Constants!$B$4,$BH93,IF(OR(NOT($AH93),NOT($AJ93),NOT($AR93)),Constants!$B$11,IF(OR(NOT($AP93),MAX($AL93,$AM93,$AN93)&gt;Constants!$B$30),Constants!$B$10,Constants!$B$9))))</f>
        <v/>
      </c>
      <c r="BJ93" s="74" t="str">
        <f aca="false">IF($BH93&lt;&gt;Constants!$B$4,"",IF(NOT($AJ93),0,MIN(Constants!$B$35,$BC93)))</f>
        <v/>
      </c>
      <c r="BK93" s="74" t="str">
        <f aca="false">IF($BH93&lt;&gt;Constants!$B$4,"",IF(NOT($AJ93),0,IF($AT93,Constants!$B$18,IF($AS93,Constants!$B$17,0))))</f>
        <v/>
      </c>
      <c r="BL93" s="74" t="str">
        <f aca="false">IF($BH93&lt;&gt;Constants!$B$4,"",IF(NOT($AJ93),0,Constants!$B$19*($AI93+$AU93+$AV93+$AW93)))</f>
        <v/>
      </c>
      <c r="BM93" s="74" t="str">
        <f aca="false">IF($BH93&lt;&gt;Constants!$B$4,"",IF(OR(NOT($AJ93),NOT(ISNUMBER($AX93))),0,CHOOSE($AX93,Constants!$B$13,Constants!$B$14,Constants!$B$15,Constants!$B$16)))</f>
        <v/>
      </c>
      <c r="BN93" s="74" t="str">
        <f aca="false">IF($BH93&lt;&gt;Constants!$B$4,"",IF(NOT($AJ93),0,Constants!$B$20*$AY93))</f>
        <v/>
      </c>
      <c r="BO93" s="74" t="str">
        <f aca="false">IF($BH93&lt;&gt;Constants!$B$4,"",IF(AND($AJ93,$BA93,$BB93),Constants!$B$22,0))</f>
        <v/>
      </c>
      <c r="BP93" s="74" t="str">
        <f aca="false">IF($BH93&lt;&gt;Constants!$B$4,"",IF(OR(NOT($AJ93),NOT($BA93)),0,IF($BF93&gt;=2*$AF$9,0,Constants!$B$23*INT(ROUND(MIN($BF93,$AF$9),6)))))</f>
        <v/>
      </c>
      <c r="BQ93" s="74" t="str">
        <f aca="false">IF($BH93&lt;&gt;Constants!$B$4,"",IF(NOT($AJ93),0,Constants!$B$24*INT(ROUND(MIN($AZ93,$AF$9),6))))</f>
        <v/>
      </c>
      <c r="BR93" s="74" t="str">
        <f aca="false">IF($BH93&lt;&gt;Constants!$B$4,"",IF(AND($AJ93,$BJ93=0),Constants!$B$25,0))</f>
        <v/>
      </c>
      <c r="BS93" s="74" t="str">
        <f aca="false">IF($BH93&lt;&gt;Constants!$B$4,"",MIN(Constants!$B$29,MAX(0,Constants!$B$27*Constants!$B$28*INT(ROUND((Constants!$B$26-$AL93)/Constants!$B$28,6))))+MIN(Constants!$B$29,MAX(0,Constants!$B$27*Constants!$B$28*INT(ROUND((Constants!$B$26-$AM93)/Constants!$B$28,6))))+MIN(Constants!$B$29,MAX(0,Constants!$B$27*Constants!$B$28*INT(ROUND((Constants!$B$26-$AN93)/Constants!$B$28,6)))))</f>
        <v/>
      </c>
      <c r="BT93" s="74" t="str">
        <f aca="false">IF($BH93&lt;&gt;Constants!$B$4,"",IF(NOT($AJ93),0,Constants!$B$31*INT(ROUND(MAX(0,MIN($BF93,2*$AF$9)-$AF$9),6))))</f>
        <v/>
      </c>
      <c r="BU93" s="74" t="str">
        <f aca="false">IF($BH93&lt;&gt;Constants!$B$4,"",Constants!$B$32*(($AL93&gt;Constants!$B$26)+($AM93&gt;Constants!$B$26)+($AN93&gt;Constants!$B$26)))</f>
        <v/>
      </c>
      <c r="BV93" s="74" t="str">
        <f aca="false">IF($BH93&lt;&gt;Constants!$B$4,"",IF(OR(NOT($AJ93),$AO93),0,Constants!$B$33))</f>
        <v/>
      </c>
      <c r="BW93" s="74" t="str">
        <f aca="false">IF($BH93&lt;&gt;Constants!$B$4,"",Constants!$B$34*$BJ93)</f>
        <v/>
      </c>
      <c r="BX93" s="74" t="str">
        <f aca="false">IF($BH93&lt;&gt;Constants!$B$4,"",IF(OR(NOT($AJ93),$BE93),0,Constants!$B$36))</f>
        <v/>
      </c>
      <c r="BY93" s="74" t="str">
        <f aca="false">IF($BH93&lt;&gt;Constants!$B$4,"",IF(OR(NOT($AJ93),$BD93),0,Constants!$B$37))</f>
        <v/>
      </c>
      <c r="BZ93" s="74" t="str">
        <f aca="false">IF($BH93&lt;&gt;Constants!$B$4,"",SUM($BT93:$BY93))</f>
        <v/>
      </c>
      <c r="CA93" s="74" t="str">
        <f aca="false">IF(ISBLANK($C93),"",IF($BH93&lt;&gt;Constants!$B$4,$BH93,SUM($BK93:$BS93)-$BZ93))</f>
        <v/>
      </c>
      <c r="CB93" s="74" t="str">
        <f aca="false">IF(ISBLANK($C93),"",IF($BH93&lt;&gt;Constants!$B$4,$BH93,RANK($CA93,$CA$9:$CA$508)))</f>
        <v/>
      </c>
      <c r="CC93" s="74" t="str">
        <f aca="false">IF(ISBLANK($C93),"",IF($BH93&lt;&gt;Constants!$B$4,$BH93,COUNTIFS($BI$9:$BI$508,"&lt;"&amp;$BI93)+COUNTIFS($BI$9:$BI$508,$BI93,$CB$9:$CB$508,"&lt;"&amp;$CB93)+1))</f>
        <v/>
      </c>
      <c r="CD93" s="74" t="str">
        <f aca="false">IF(ISBLANK($C93),"",IF($BH93&lt;&gt;Constants!$B$4,$BH93,RANK($BZ93,$BZ$9:$BZ$508,1)))</f>
        <v/>
      </c>
      <c r="CE93" s="74" t="str">
        <f aca="false">IF($BH93&lt;&gt;Constants!$B$4,"",$AL93+$AM93+$AN93)</f>
        <v/>
      </c>
      <c r="CF93" s="74" t="str">
        <f aca="false">IF(ISBLANK($C93),"",IF($BH93&lt;&gt;Constants!$B$4,$BH93,RANK($CE93,$CE$9:$CE$508,1)))</f>
        <v/>
      </c>
      <c r="CG93" s="74" t="str">
        <f aca="false">IF(ISBLANK($C93),"",IF($BH93&lt;&gt;Constants!$B$4,$BH93,COUNTIFS($BI$9:$BI$508,"&lt;"&amp;$BI93)+COUNTIFS($BI$9:$BI$508,$BI93,$CB$9:$CB$508,"&lt;"&amp;$CB93)+COUNTIFS($BI$9:$BI$508,$BI93,$CB$9:$CB$508,$CB93,$CD$9:$CD$508,"&lt;"&amp;$CD93)+COUNTIFS($BI$9:$BI$508,$BI93,$CB$9:$CB$508,$CB93,$CD$9:$CD$508,$CD93,$CF$9:$CF$508,"&lt;"&amp;$CF93)+1))</f>
        <v/>
      </c>
      <c r="CH93" s="74" t="str">
        <f aca="false">IF(ISBLANK($C93),"",IF($BH93&lt;&gt;Constants!$B$4,$BH93,$CC93-$CG93))</f>
        <v/>
      </c>
      <c r="CI93" s="74" t="str">
        <f aca="false">IF(ISBLANK($C93),"",IF(NOT($AJ93),"",IF(ISBLANK($D$7),$CI$5,IF(NOT(ISNUMBER($D$7)),$CI$6,""))))</f>
        <v/>
      </c>
      <c r="CJ93" s="74" t="str">
        <f aca="false">IF(ISBLANK($C93),"",OR($AL93="",$AM93="",$AN93=""))</f>
        <v/>
      </c>
      <c r="CK93" s="74" t="str">
        <f aca="false">IF(ISBLANK($C93),"",AND($AJ93,$AX93=""))</f>
        <v/>
      </c>
      <c r="CL93" s="74" t="str">
        <f aca="false">IF(ISBLANK($C93),"",AND($AJ93,$AY93=""))</f>
        <v/>
      </c>
      <c r="CM93" s="74" t="str">
        <f aca="false">IF(ISBLANK($C93),"",AND($AJ93,$AZ93=""))</f>
        <v/>
      </c>
      <c r="CN93" s="74" t="str">
        <f aca="false">IF(ISBLANK($C93),"",AND($AJ93,$BC93=""))</f>
        <v/>
      </c>
      <c r="CO93" s="74" t="str">
        <f aca="false">IF(ISBLANK($C93),"",AND($AJ93,$BF93=""))</f>
        <v/>
      </c>
      <c r="CP93" s="75"/>
      <c r="CQ93" s="76"/>
      <c r="CR93" s="79" t="str">
        <f aca="false">IF(ISBLANK($C93),"",IF($BH93=Constants!$B$8,$CI93,""))</f>
        <v/>
      </c>
      <c r="CS93" s="76" t="str">
        <f aca="false">IF(ISBLANK($C93),"",IF($BH93&lt;&gt;Constants!$B$4,"",$BK93+$BL93))</f>
        <v/>
      </c>
      <c r="CT93" s="78" t="str">
        <f aca="false">IF(ISBLANK($C93),"",IF($BH93&lt;&gt;Constants!$B$4,"",$BM93+$BN93+$BO93))</f>
        <v/>
      </c>
      <c r="CU93" s="78" t="str">
        <f aca="false">IF(ISBLANK($C93),"",IF($BH93&lt;&gt;Constants!$B$4,"",$BP93))</f>
        <v/>
      </c>
      <c r="CV93" s="78" t="str">
        <f aca="false">IF(ISBLANK($C93),"",IF($BH93&lt;&gt;Constants!$B$4,"",$BQ93+$BR93))</f>
        <v/>
      </c>
      <c r="CW93" s="78" t="str">
        <f aca="false">IF(ISBLANK($C93),"",IF($BH93&lt;&gt;Constants!$B$4,"",$BS93))</f>
        <v/>
      </c>
      <c r="CX93" s="78" t="str">
        <f aca="false">IF(ISBLANK($C93),"",IF($BH93&lt;&gt;Constants!$B$4,"",-$BZ93))</f>
        <v/>
      </c>
      <c r="CY93" s="79" t="str">
        <f aca="false">IF(ISBLANK($C93),"",$CA93)</f>
        <v/>
      </c>
      <c r="CZ93" s="80" t="str">
        <f aca="false">IF(ISBLANK($C93),"",$BI93)</f>
        <v/>
      </c>
      <c r="DA93" s="78" t="str">
        <f aca="false">IF(ISBLANK($C93),"",$CH93)</f>
        <v/>
      </c>
      <c r="DB93" s="78" t="str">
        <f aca="false">IF(ISBLANK($C93),"",$CG93)</f>
        <v/>
      </c>
      <c r="DC93" s="81" t="str">
        <f aca="false">IF(ISBLANK($C93),"",IFERROR(_xlfn.SWITCH($DB93,Constants!$B$7,COUNTA($C$9:$C$508)+2,Constants!$B$6,COUNTA($C$9:$C$508)+1,Constants!$B$5,COUNTA($C$9:$C$508)),$DB93))</f>
        <v/>
      </c>
      <c r="DD93" s="7"/>
      <c r="DE93" s="82" t="n">
        <f aca="false">IF(OR(ISNUMBER($DB93),$DB93=Constants!$B$7,$DB93=Constants!$B$5,$DB93=Constants!$B$6),1,0)</f>
        <v>0</v>
      </c>
      <c r="DF93" s="82" t="n">
        <v>85</v>
      </c>
      <c r="DG93" s="82" t="str">
        <f aca="false">IF(ISBLANK($C93),"",IF(ISNUMBER($DC93),$DC93+ROW($B93)/1000,""))</f>
        <v/>
      </c>
      <c r="DH93" s="82" t="str">
        <f aca="false">IF(ISNUMBER($DG93),RANK($DG93,$DG$9:$DG$508,1),"")</f>
        <v/>
      </c>
      <c r="DI93" s="82" t="str">
        <f aca="false">IF(ISBLANK($C93),"",$B93)</f>
        <v/>
      </c>
      <c r="DJ93" s="82" t="str">
        <f aca="false">IF(ISBLANK($C93),"",$C93)</f>
        <v/>
      </c>
      <c r="DK93" s="82" t="str">
        <f aca="false">IF(ISBLANK($C93),"",$D93)</f>
        <v/>
      </c>
      <c r="DL93" s="83" t="str">
        <f aca="false">$CZ93</f>
        <v/>
      </c>
      <c r="DM93" s="84" t="str">
        <f aca="false">$CY93</f>
        <v/>
      </c>
      <c r="DN93" s="82" t="str">
        <f aca="false">IF(ISBLANK($C93),"",$DB93)</f>
        <v/>
      </c>
      <c r="DO93" s="85" t="str">
        <f aca="false">IF($DF93&gt;$DE$8,"",VLOOKUP($DF93,$DH$9:$DN$508,7,FALSE()))</f>
        <v/>
      </c>
      <c r="DP93" s="86" t="str">
        <f aca="false">IF($DF93&gt;$DE$8,"",VLOOKUP($DF93,$DH$9:$DN$508,2,FALSE()))</f>
        <v/>
      </c>
      <c r="DQ93" s="86" t="str">
        <f aca="false">IF($DF93&gt;$DE$8,"",VLOOKUP($DF93,$DH$9:$DN$508,3,FALSE()))</f>
        <v/>
      </c>
      <c r="DR93" s="86" t="str">
        <f aca="false">IF($DF93&gt;$DE$8,"",VLOOKUP($DF93,$DH$9:$DN$508,4,FALSE()))</f>
        <v/>
      </c>
      <c r="DS93" s="86" t="str">
        <f aca="false">IF($DF93&gt;$DE$8,"",VLOOKUP($DF93,$DH$9:$DN$508,5,FALSE()))</f>
        <v/>
      </c>
      <c r="DT93" s="87" t="str">
        <f aca="false">IF($DF93&gt;$DE$8,"",VLOOKUP($DF93,$DH$9:$DN$508,6,FALSE()))</f>
        <v/>
      </c>
      <c r="DU93" s="62"/>
    </row>
    <row r="94" customFormat="false" ht="15.75" hidden="false" customHeight="false" outlineLevel="0" collapsed="false">
      <c r="A94" s="7"/>
      <c r="B94" s="64"/>
      <c r="C94" s="65"/>
      <c r="D94" s="123"/>
      <c r="E94" s="122"/>
      <c r="F94" s="66"/>
      <c r="G94" s="122"/>
      <c r="H94" s="66"/>
      <c r="I94" s="119"/>
      <c r="J94" s="119"/>
      <c r="K94" s="119"/>
      <c r="L94" s="122"/>
      <c r="M94" s="122"/>
      <c r="N94" s="122"/>
      <c r="O94" s="66"/>
      <c r="P94" s="122"/>
      <c r="Q94" s="122"/>
      <c r="R94" s="122"/>
      <c r="S94" s="122"/>
      <c r="T94" s="66"/>
      <c r="U94" s="122"/>
      <c r="V94" s="120"/>
      <c r="W94" s="122"/>
      <c r="X94" s="122"/>
      <c r="Y94" s="120"/>
      <c r="Z94" s="120"/>
      <c r="AA94" s="122"/>
      <c r="AB94" s="122"/>
      <c r="AC94" s="121"/>
      <c r="AD94" s="122"/>
      <c r="AE94" s="73"/>
      <c r="AF94" s="74"/>
      <c r="AG94" s="74"/>
      <c r="AH94" s="74" t="str">
        <f aca="false">IF(ISBLANK($C94),"",IF($E94=Constants!$B$2,TRUE(),IF($E94=Constants!$B$3,FALSE(),TRUE())))</f>
        <v/>
      </c>
      <c r="AI94" s="74" t="str">
        <f aca="false">IF(ISBLANK($C94),"",IF($F94=Constants!$B$2,TRUE(),IF($F94=Constants!$B$3,FALSE(),FALSE())))</f>
        <v/>
      </c>
      <c r="AJ94" s="74" t="str">
        <f aca="false">IF(ISBLANK($C94),"",IF($G94=Constants!$B$2,TRUE(),IF($G94=Constants!$B$3,FALSE(),TRUE())))</f>
        <v/>
      </c>
      <c r="AK94" s="74" t="str">
        <f aca="false">IF(ISBLANK($C94),"",IF($H94=Constants!$B$2,TRUE(),IF($H94=Constants!$B$3,FALSE(),TRUE())))</f>
        <v/>
      </c>
      <c r="AL94" s="74" t="str">
        <f aca="false">IF(ISBLANK($C94),"",IF(ISNUMBER($I94),IF($I94&gt;=0,$I94,""),""))</f>
        <v/>
      </c>
      <c r="AM94" s="74" t="str">
        <f aca="false">IF(ISBLANK($C94),"",IF(ISNUMBER($J94),IF($J94&gt;=0,$J94,""),""))</f>
        <v/>
      </c>
      <c r="AN94" s="74" t="str">
        <f aca="false">IF(ISBLANK($C94),"",IF(ISNUMBER($K94),IF($K94&gt;=0,$K94,""),""))</f>
        <v/>
      </c>
      <c r="AO94" s="74" t="str">
        <f aca="false">IF(ISBLANK($C94),"",IF($L94=Constants!$B$2,TRUE(),IF($L94=Constants!$B$3,FALSE(),TRUE())))</f>
        <v/>
      </c>
      <c r="AP94" s="74" t="str">
        <f aca="false">IF(ISBLANK($C94),"",IF($M94=Constants!$B$2,TRUE(),IF($M94=Constants!$B$3,FALSE(),TRUE())))</f>
        <v/>
      </c>
      <c r="AQ94" s="74" t="str">
        <f aca="false">IF(ISBLANK($C94),"",IF($N94=Constants!$B$2,TRUE(),IF($N94=Constants!$B$3,FALSE(),FALSE())))</f>
        <v/>
      </c>
      <c r="AR94" s="74" t="str">
        <f aca="false">IF(ISBLANK($C94),"",IF($O94=Constants!$B$2,TRUE(),IF($O94=Constants!$B$3,FALSE(),TRUE())))</f>
        <v/>
      </c>
      <c r="AS94" s="74" t="str">
        <f aca="false">IF(ISBLANK($C94),"",IF($P94=Constants!$B$2,TRUE(),IF($P94=Constants!$B$3,FALSE(),FALSE())))</f>
        <v/>
      </c>
      <c r="AT94" s="74" t="str">
        <f aca="false">IF(ISBLANK($C94),"",IF($Q94=Constants!$B$2,TRUE(),IF($Q94=Constants!$B$3,FALSE(),FALSE())))</f>
        <v/>
      </c>
      <c r="AU94" s="74" t="str">
        <f aca="false">IF(ISBLANK($C94),"",IF($R94=Constants!$B$2,TRUE(),IF($R94=Constants!$B$3,FALSE(),FALSE())))</f>
        <v/>
      </c>
      <c r="AV94" s="74" t="str">
        <f aca="false">IF(ISBLANK($C94),"",IF($S94=Constants!$B$2,TRUE(),IF($S94=Constants!$B$3,FALSE(),FALSE())))</f>
        <v/>
      </c>
      <c r="AW94" s="74" t="str">
        <f aca="false">IF(ISBLANK($C94),"",IF($T94=Constants!$B$2,TRUE(),IF($T94=Constants!$B$3,FALSE(),FALSE())))</f>
        <v/>
      </c>
      <c r="AX94" s="74" t="str">
        <f aca="false">IF(ISBLANK($C94),"",IF(OR($U94&amp;""="1",$U94&amp;""="2",$U94&amp;""="3",$U94&amp;""="4"),VALUE($U94&amp;""),IF($U94=Constants!$B$12,Constants!$B$12,"")))</f>
        <v/>
      </c>
      <c r="AY94" s="74" t="str">
        <f aca="false">IF(ISBLANK($C94),"",IF(ISBLANK($V94),0,IF(ISNUMBER($V94),IF(AND($V94&gt;=0,$V94&lt;=Constants!$B$21,$V94=INT($V94)),$V94,""),"")))</f>
        <v/>
      </c>
      <c r="AZ94" s="74" t="str">
        <f aca="false">IF(ISBLANK($C94),"",IF(ISBLANK($W94),0,IF(ISNUMBER($W94),IF($W94&gt;=0,$W94,""),"")))</f>
        <v/>
      </c>
      <c r="BA94" s="74" t="str">
        <f aca="false">IF(ISBLANK($C94),"",IF($X94=Constants!$B$2,TRUE(),IF($X94=Constants!$B$3,FALSE(),TRUE())))</f>
        <v/>
      </c>
      <c r="BB94" s="74" t="str">
        <f aca="false">IF(ISBLANK($C94),"",IF($Y94=Constants!$B$2,TRUE(),IF($Y94=Constants!$B$3,FALSE(),FALSE())))</f>
        <v/>
      </c>
      <c r="BC94" s="74" t="str">
        <f aca="false">IF(ISBLANK($C94),"",IF(ISBLANK($Z94),0,IF(ISNUMBER($Z94),IF(AND($Z94&gt;=0,$Z94&lt;=Constants!$B$35,$Z94=INT($Z94)),$Z94,""),"")))</f>
        <v/>
      </c>
      <c r="BD94" s="74" t="str">
        <f aca="false">IF(ISBLANK($C94),"",IF($AA94=Constants!$B$2,TRUE(),IF($AA94=Constants!$B$3,FALSE(),TRUE())))</f>
        <v/>
      </c>
      <c r="BE94" s="74" t="str">
        <f aca="false">IF(ISBLANK($C94),"",IF($AB94=Constants!$B$2,TRUE(),IF($AB94=Constants!$B$3,FALSE(),TRUE())))</f>
        <v/>
      </c>
      <c r="BF94" s="74" t="str">
        <f aca="false">IF(ISBLANK($C94),"",IF(ISNUMBER($AC94),IF($AC94&gt;=0,$AC94,""),""))</f>
        <v/>
      </c>
      <c r="BG94" s="74" t="str">
        <f aca="false">IF(ISBLANK($C94),"",IF($AD94=Constants!$B$2,TRUE(),IF($AD94=Constants!$B$3,FALSE(),FALSE())))</f>
        <v/>
      </c>
      <c r="BH94" s="73" t="str">
        <f aca="false">IF(ISBLANK($C94),"",IF($BG94,Constants!$B$7,IF(COUNTA($E94:$AC94)=0,Constants!$B$6,IF(OR(COUNTA($G94:$AC94)=0,NOT($AK94),$AQ94),Constants!$B$5,IF(OR($CI94&lt;&gt;"",$CJ94,$CK94,$CL94,$CM94,$CN94,$CO94),Constants!$B$8,Constants!$B$4)))))</f>
        <v/>
      </c>
      <c r="BI94" s="74" t="str">
        <f aca="false">IF(ISBLANK($C94),"",IF($BH94&lt;&gt;Constants!$B$4,$BH94,IF(OR(NOT($AH94),NOT($AJ94),NOT($AR94)),Constants!$B$11,IF(OR(NOT($AP94),MAX($AL94,$AM94,$AN94)&gt;Constants!$B$30),Constants!$B$10,Constants!$B$9))))</f>
        <v/>
      </c>
      <c r="BJ94" s="74" t="str">
        <f aca="false">IF($BH94&lt;&gt;Constants!$B$4,"",IF(NOT($AJ94),0,MIN(Constants!$B$35,$BC94)))</f>
        <v/>
      </c>
      <c r="BK94" s="74" t="str">
        <f aca="false">IF($BH94&lt;&gt;Constants!$B$4,"",IF(NOT($AJ94),0,IF($AT94,Constants!$B$18,IF($AS94,Constants!$B$17,0))))</f>
        <v/>
      </c>
      <c r="BL94" s="74" t="str">
        <f aca="false">IF($BH94&lt;&gt;Constants!$B$4,"",IF(NOT($AJ94),0,Constants!$B$19*($AI94+$AU94+$AV94+$AW94)))</f>
        <v/>
      </c>
      <c r="BM94" s="74" t="str">
        <f aca="false">IF($BH94&lt;&gt;Constants!$B$4,"",IF(OR(NOT($AJ94),NOT(ISNUMBER($AX94))),0,CHOOSE($AX94,Constants!$B$13,Constants!$B$14,Constants!$B$15,Constants!$B$16)))</f>
        <v/>
      </c>
      <c r="BN94" s="74" t="str">
        <f aca="false">IF($BH94&lt;&gt;Constants!$B$4,"",IF(NOT($AJ94),0,Constants!$B$20*$AY94))</f>
        <v/>
      </c>
      <c r="BO94" s="74" t="str">
        <f aca="false">IF($BH94&lt;&gt;Constants!$B$4,"",IF(AND($AJ94,$BA94,$BB94),Constants!$B$22,0))</f>
        <v/>
      </c>
      <c r="BP94" s="74" t="str">
        <f aca="false">IF($BH94&lt;&gt;Constants!$B$4,"",IF(OR(NOT($AJ94),NOT($BA94)),0,IF($BF94&gt;=2*$AF$9,0,Constants!$B$23*INT(ROUND(MIN($BF94,$AF$9),6)))))</f>
        <v/>
      </c>
      <c r="BQ94" s="74" t="str">
        <f aca="false">IF($BH94&lt;&gt;Constants!$B$4,"",IF(NOT($AJ94),0,Constants!$B$24*INT(ROUND(MIN($AZ94,$AF$9),6))))</f>
        <v/>
      </c>
      <c r="BR94" s="74" t="str">
        <f aca="false">IF($BH94&lt;&gt;Constants!$B$4,"",IF(AND($AJ94,$BJ94=0),Constants!$B$25,0))</f>
        <v/>
      </c>
      <c r="BS94" s="74" t="str">
        <f aca="false">IF($BH94&lt;&gt;Constants!$B$4,"",MIN(Constants!$B$29,MAX(0,Constants!$B$27*Constants!$B$28*INT(ROUND((Constants!$B$26-$AL94)/Constants!$B$28,6))))+MIN(Constants!$B$29,MAX(0,Constants!$B$27*Constants!$B$28*INT(ROUND((Constants!$B$26-$AM94)/Constants!$B$28,6))))+MIN(Constants!$B$29,MAX(0,Constants!$B$27*Constants!$B$28*INT(ROUND((Constants!$B$26-$AN94)/Constants!$B$28,6)))))</f>
        <v/>
      </c>
      <c r="BT94" s="74" t="str">
        <f aca="false">IF($BH94&lt;&gt;Constants!$B$4,"",IF(NOT($AJ94),0,Constants!$B$31*INT(ROUND(MAX(0,MIN($BF94,2*$AF$9)-$AF$9),6))))</f>
        <v/>
      </c>
      <c r="BU94" s="74" t="str">
        <f aca="false">IF($BH94&lt;&gt;Constants!$B$4,"",Constants!$B$32*(($AL94&gt;Constants!$B$26)+($AM94&gt;Constants!$B$26)+($AN94&gt;Constants!$B$26)))</f>
        <v/>
      </c>
      <c r="BV94" s="74" t="str">
        <f aca="false">IF($BH94&lt;&gt;Constants!$B$4,"",IF(OR(NOT($AJ94),$AO94),0,Constants!$B$33))</f>
        <v/>
      </c>
      <c r="BW94" s="74" t="str">
        <f aca="false">IF($BH94&lt;&gt;Constants!$B$4,"",Constants!$B$34*$BJ94)</f>
        <v/>
      </c>
      <c r="BX94" s="74" t="str">
        <f aca="false">IF($BH94&lt;&gt;Constants!$B$4,"",IF(OR(NOT($AJ94),$BE94),0,Constants!$B$36))</f>
        <v/>
      </c>
      <c r="BY94" s="74" t="str">
        <f aca="false">IF($BH94&lt;&gt;Constants!$B$4,"",IF(OR(NOT($AJ94),$BD94),0,Constants!$B$37))</f>
        <v/>
      </c>
      <c r="BZ94" s="74" t="str">
        <f aca="false">IF($BH94&lt;&gt;Constants!$B$4,"",SUM($BT94:$BY94))</f>
        <v/>
      </c>
      <c r="CA94" s="74" t="str">
        <f aca="false">IF(ISBLANK($C94),"",IF($BH94&lt;&gt;Constants!$B$4,$BH94,SUM($BK94:$BS94)-$BZ94))</f>
        <v/>
      </c>
      <c r="CB94" s="74" t="str">
        <f aca="false">IF(ISBLANK($C94),"",IF($BH94&lt;&gt;Constants!$B$4,$BH94,RANK($CA94,$CA$9:$CA$508)))</f>
        <v/>
      </c>
      <c r="CC94" s="74" t="str">
        <f aca="false">IF(ISBLANK($C94),"",IF($BH94&lt;&gt;Constants!$B$4,$BH94,COUNTIFS($BI$9:$BI$508,"&lt;"&amp;$BI94)+COUNTIFS($BI$9:$BI$508,$BI94,$CB$9:$CB$508,"&lt;"&amp;$CB94)+1))</f>
        <v/>
      </c>
      <c r="CD94" s="74" t="str">
        <f aca="false">IF(ISBLANK($C94),"",IF($BH94&lt;&gt;Constants!$B$4,$BH94,RANK($BZ94,$BZ$9:$BZ$508,1)))</f>
        <v/>
      </c>
      <c r="CE94" s="74" t="str">
        <f aca="false">IF($BH94&lt;&gt;Constants!$B$4,"",$AL94+$AM94+$AN94)</f>
        <v/>
      </c>
      <c r="CF94" s="74" t="str">
        <f aca="false">IF(ISBLANK($C94),"",IF($BH94&lt;&gt;Constants!$B$4,$BH94,RANK($CE94,$CE$9:$CE$508,1)))</f>
        <v/>
      </c>
      <c r="CG94" s="74" t="str">
        <f aca="false">IF(ISBLANK($C94),"",IF($BH94&lt;&gt;Constants!$B$4,$BH94,COUNTIFS($BI$9:$BI$508,"&lt;"&amp;$BI94)+COUNTIFS($BI$9:$BI$508,$BI94,$CB$9:$CB$508,"&lt;"&amp;$CB94)+COUNTIFS($BI$9:$BI$508,$BI94,$CB$9:$CB$508,$CB94,$CD$9:$CD$508,"&lt;"&amp;$CD94)+COUNTIFS($BI$9:$BI$508,$BI94,$CB$9:$CB$508,$CB94,$CD$9:$CD$508,$CD94,$CF$9:$CF$508,"&lt;"&amp;$CF94)+1))</f>
        <v/>
      </c>
      <c r="CH94" s="74" t="str">
        <f aca="false">IF(ISBLANK($C94),"",IF($BH94&lt;&gt;Constants!$B$4,$BH94,$CC94-$CG94))</f>
        <v/>
      </c>
      <c r="CI94" s="74" t="str">
        <f aca="false">IF(ISBLANK($C94),"",IF(NOT($AJ94),"",IF(ISBLANK($D$7),$CI$5,IF(NOT(ISNUMBER($D$7)),$CI$6,""))))</f>
        <v/>
      </c>
      <c r="CJ94" s="74" t="str">
        <f aca="false">IF(ISBLANK($C94),"",OR($AL94="",$AM94="",$AN94=""))</f>
        <v/>
      </c>
      <c r="CK94" s="74" t="str">
        <f aca="false">IF(ISBLANK($C94),"",AND($AJ94,$AX94=""))</f>
        <v/>
      </c>
      <c r="CL94" s="74" t="str">
        <f aca="false">IF(ISBLANK($C94),"",AND($AJ94,$AY94=""))</f>
        <v/>
      </c>
      <c r="CM94" s="74" t="str">
        <f aca="false">IF(ISBLANK($C94),"",AND($AJ94,$AZ94=""))</f>
        <v/>
      </c>
      <c r="CN94" s="74" t="str">
        <f aca="false">IF(ISBLANK($C94),"",AND($AJ94,$BC94=""))</f>
        <v/>
      </c>
      <c r="CO94" s="74" t="str">
        <f aca="false">IF(ISBLANK($C94),"",AND($AJ94,$BF94=""))</f>
        <v/>
      </c>
      <c r="CP94" s="75"/>
      <c r="CQ94" s="76"/>
      <c r="CR94" s="79" t="str">
        <f aca="false">IF(ISBLANK($C94),"",IF($BH94=Constants!$B$8,$CI94,""))</f>
        <v/>
      </c>
      <c r="CS94" s="76" t="str">
        <f aca="false">IF(ISBLANK($C94),"",IF($BH94&lt;&gt;Constants!$B$4,"",$BK94+$BL94))</f>
        <v/>
      </c>
      <c r="CT94" s="78" t="str">
        <f aca="false">IF(ISBLANK($C94),"",IF($BH94&lt;&gt;Constants!$B$4,"",$BM94+$BN94+$BO94))</f>
        <v/>
      </c>
      <c r="CU94" s="78" t="str">
        <f aca="false">IF(ISBLANK($C94),"",IF($BH94&lt;&gt;Constants!$B$4,"",$BP94))</f>
        <v/>
      </c>
      <c r="CV94" s="78" t="str">
        <f aca="false">IF(ISBLANK($C94),"",IF($BH94&lt;&gt;Constants!$B$4,"",$BQ94+$BR94))</f>
        <v/>
      </c>
      <c r="CW94" s="78" t="str">
        <f aca="false">IF(ISBLANK($C94),"",IF($BH94&lt;&gt;Constants!$B$4,"",$BS94))</f>
        <v/>
      </c>
      <c r="CX94" s="78" t="str">
        <f aca="false">IF(ISBLANK($C94),"",IF($BH94&lt;&gt;Constants!$B$4,"",-$BZ94))</f>
        <v/>
      </c>
      <c r="CY94" s="79" t="str">
        <f aca="false">IF(ISBLANK($C94),"",$CA94)</f>
        <v/>
      </c>
      <c r="CZ94" s="80" t="str">
        <f aca="false">IF(ISBLANK($C94),"",$BI94)</f>
        <v/>
      </c>
      <c r="DA94" s="78" t="str">
        <f aca="false">IF(ISBLANK($C94),"",$CH94)</f>
        <v/>
      </c>
      <c r="DB94" s="78" t="str">
        <f aca="false">IF(ISBLANK($C94),"",$CG94)</f>
        <v/>
      </c>
      <c r="DC94" s="81" t="str">
        <f aca="false">IF(ISBLANK($C94),"",IFERROR(_xlfn.SWITCH($DB94,Constants!$B$7,COUNTA($C$9:$C$508)+2,Constants!$B$6,COUNTA($C$9:$C$508)+1,Constants!$B$5,COUNTA($C$9:$C$508)),$DB94))</f>
        <v/>
      </c>
      <c r="DD94" s="7"/>
      <c r="DE94" s="82" t="n">
        <f aca="false">IF(OR(ISNUMBER($DB94),$DB94=Constants!$B$7,$DB94=Constants!$B$5,$DB94=Constants!$B$6),1,0)</f>
        <v>0</v>
      </c>
      <c r="DF94" s="82" t="n">
        <v>86</v>
      </c>
      <c r="DG94" s="82" t="str">
        <f aca="false">IF(ISBLANK($C94),"",IF(ISNUMBER($DC94),$DC94+ROW($B94)/1000,""))</f>
        <v/>
      </c>
      <c r="DH94" s="82" t="str">
        <f aca="false">IF(ISNUMBER($DG94),RANK($DG94,$DG$9:$DG$508,1),"")</f>
        <v/>
      </c>
      <c r="DI94" s="82" t="str">
        <f aca="false">IF(ISBLANK($C94),"",$B94)</f>
        <v/>
      </c>
      <c r="DJ94" s="82" t="str">
        <f aca="false">IF(ISBLANK($C94),"",$C94)</f>
        <v/>
      </c>
      <c r="DK94" s="82" t="str">
        <f aca="false">IF(ISBLANK($C94),"",$D94)</f>
        <v/>
      </c>
      <c r="DL94" s="83" t="str">
        <f aca="false">$CZ94</f>
        <v/>
      </c>
      <c r="DM94" s="84" t="str">
        <f aca="false">$CY94</f>
        <v/>
      </c>
      <c r="DN94" s="82" t="str">
        <f aca="false">IF(ISBLANK($C94),"",$DB94)</f>
        <v/>
      </c>
      <c r="DO94" s="85" t="str">
        <f aca="false">IF($DF94&gt;$DE$8,"",VLOOKUP($DF94,$DH$9:$DN$508,7,FALSE()))</f>
        <v/>
      </c>
      <c r="DP94" s="86" t="str">
        <f aca="false">IF($DF94&gt;$DE$8,"",VLOOKUP($DF94,$DH$9:$DN$508,2,FALSE()))</f>
        <v/>
      </c>
      <c r="DQ94" s="86" t="str">
        <f aca="false">IF($DF94&gt;$DE$8,"",VLOOKUP($DF94,$DH$9:$DN$508,3,FALSE()))</f>
        <v/>
      </c>
      <c r="DR94" s="86" t="str">
        <f aca="false">IF($DF94&gt;$DE$8,"",VLOOKUP($DF94,$DH$9:$DN$508,4,FALSE()))</f>
        <v/>
      </c>
      <c r="DS94" s="86" t="str">
        <f aca="false">IF($DF94&gt;$DE$8,"",VLOOKUP($DF94,$DH$9:$DN$508,5,FALSE()))</f>
        <v/>
      </c>
      <c r="DT94" s="87" t="str">
        <f aca="false">IF($DF94&gt;$DE$8,"",VLOOKUP($DF94,$DH$9:$DN$508,6,FALSE()))</f>
        <v/>
      </c>
      <c r="DU94" s="62"/>
    </row>
    <row r="95" customFormat="false" ht="15.75" hidden="false" customHeight="false" outlineLevel="0" collapsed="false">
      <c r="A95" s="7"/>
      <c r="B95" s="64"/>
      <c r="C95" s="65"/>
      <c r="D95" s="123"/>
      <c r="E95" s="122"/>
      <c r="F95" s="66"/>
      <c r="G95" s="122"/>
      <c r="H95" s="66"/>
      <c r="I95" s="119"/>
      <c r="J95" s="119"/>
      <c r="K95" s="119"/>
      <c r="L95" s="122"/>
      <c r="M95" s="122"/>
      <c r="N95" s="122"/>
      <c r="O95" s="66"/>
      <c r="P95" s="122"/>
      <c r="Q95" s="122"/>
      <c r="R95" s="122"/>
      <c r="S95" s="122"/>
      <c r="T95" s="66"/>
      <c r="U95" s="122"/>
      <c r="V95" s="120"/>
      <c r="W95" s="122"/>
      <c r="X95" s="122"/>
      <c r="Y95" s="120"/>
      <c r="Z95" s="120"/>
      <c r="AA95" s="122"/>
      <c r="AB95" s="122"/>
      <c r="AC95" s="121"/>
      <c r="AD95" s="122"/>
      <c r="AE95" s="73"/>
      <c r="AF95" s="74"/>
      <c r="AG95" s="74"/>
      <c r="AH95" s="74" t="str">
        <f aca="false">IF(ISBLANK($C95),"",IF($E95=Constants!$B$2,TRUE(),IF($E95=Constants!$B$3,FALSE(),TRUE())))</f>
        <v/>
      </c>
      <c r="AI95" s="74" t="str">
        <f aca="false">IF(ISBLANK($C95),"",IF($F95=Constants!$B$2,TRUE(),IF($F95=Constants!$B$3,FALSE(),FALSE())))</f>
        <v/>
      </c>
      <c r="AJ95" s="74" t="str">
        <f aca="false">IF(ISBLANK($C95),"",IF($G95=Constants!$B$2,TRUE(),IF($G95=Constants!$B$3,FALSE(),TRUE())))</f>
        <v/>
      </c>
      <c r="AK95" s="74" t="str">
        <f aca="false">IF(ISBLANK($C95),"",IF($H95=Constants!$B$2,TRUE(),IF($H95=Constants!$B$3,FALSE(),TRUE())))</f>
        <v/>
      </c>
      <c r="AL95" s="74" t="str">
        <f aca="false">IF(ISBLANK($C95),"",IF(ISNUMBER($I95),IF($I95&gt;=0,$I95,""),""))</f>
        <v/>
      </c>
      <c r="AM95" s="74" t="str">
        <f aca="false">IF(ISBLANK($C95),"",IF(ISNUMBER($J95),IF($J95&gt;=0,$J95,""),""))</f>
        <v/>
      </c>
      <c r="AN95" s="74" t="str">
        <f aca="false">IF(ISBLANK($C95),"",IF(ISNUMBER($K95),IF($K95&gt;=0,$K95,""),""))</f>
        <v/>
      </c>
      <c r="AO95" s="74" t="str">
        <f aca="false">IF(ISBLANK($C95),"",IF($L95=Constants!$B$2,TRUE(),IF($L95=Constants!$B$3,FALSE(),TRUE())))</f>
        <v/>
      </c>
      <c r="AP95" s="74" t="str">
        <f aca="false">IF(ISBLANK($C95),"",IF($M95=Constants!$B$2,TRUE(),IF($M95=Constants!$B$3,FALSE(),TRUE())))</f>
        <v/>
      </c>
      <c r="AQ95" s="74" t="str">
        <f aca="false">IF(ISBLANK($C95),"",IF($N95=Constants!$B$2,TRUE(),IF($N95=Constants!$B$3,FALSE(),FALSE())))</f>
        <v/>
      </c>
      <c r="AR95" s="74" t="str">
        <f aca="false">IF(ISBLANK($C95),"",IF($O95=Constants!$B$2,TRUE(),IF($O95=Constants!$B$3,FALSE(),TRUE())))</f>
        <v/>
      </c>
      <c r="AS95" s="74" t="str">
        <f aca="false">IF(ISBLANK($C95),"",IF($P95=Constants!$B$2,TRUE(),IF($P95=Constants!$B$3,FALSE(),FALSE())))</f>
        <v/>
      </c>
      <c r="AT95" s="74" t="str">
        <f aca="false">IF(ISBLANK($C95),"",IF($Q95=Constants!$B$2,TRUE(),IF($Q95=Constants!$B$3,FALSE(),FALSE())))</f>
        <v/>
      </c>
      <c r="AU95" s="74" t="str">
        <f aca="false">IF(ISBLANK($C95),"",IF($R95=Constants!$B$2,TRUE(),IF($R95=Constants!$B$3,FALSE(),FALSE())))</f>
        <v/>
      </c>
      <c r="AV95" s="74" t="str">
        <f aca="false">IF(ISBLANK($C95),"",IF($S95=Constants!$B$2,TRUE(),IF($S95=Constants!$B$3,FALSE(),FALSE())))</f>
        <v/>
      </c>
      <c r="AW95" s="74" t="str">
        <f aca="false">IF(ISBLANK($C95),"",IF($T95=Constants!$B$2,TRUE(),IF($T95=Constants!$B$3,FALSE(),FALSE())))</f>
        <v/>
      </c>
      <c r="AX95" s="74" t="str">
        <f aca="false">IF(ISBLANK($C95),"",IF(OR($U95&amp;""="1",$U95&amp;""="2",$U95&amp;""="3",$U95&amp;""="4"),VALUE($U95&amp;""),IF($U95=Constants!$B$12,Constants!$B$12,"")))</f>
        <v/>
      </c>
      <c r="AY95" s="74" t="str">
        <f aca="false">IF(ISBLANK($C95),"",IF(ISBLANK($V95),0,IF(ISNUMBER($V95),IF(AND($V95&gt;=0,$V95&lt;=Constants!$B$21,$V95=INT($V95)),$V95,""),"")))</f>
        <v/>
      </c>
      <c r="AZ95" s="74" t="str">
        <f aca="false">IF(ISBLANK($C95),"",IF(ISBLANK($W95),0,IF(ISNUMBER($W95),IF($W95&gt;=0,$W95,""),"")))</f>
        <v/>
      </c>
      <c r="BA95" s="74" t="str">
        <f aca="false">IF(ISBLANK($C95),"",IF($X95=Constants!$B$2,TRUE(),IF($X95=Constants!$B$3,FALSE(),TRUE())))</f>
        <v/>
      </c>
      <c r="BB95" s="74" t="str">
        <f aca="false">IF(ISBLANK($C95),"",IF($Y95=Constants!$B$2,TRUE(),IF($Y95=Constants!$B$3,FALSE(),FALSE())))</f>
        <v/>
      </c>
      <c r="BC95" s="74" t="str">
        <f aca="false">IF(ISBLANK($C95),"",IF(ISBLANK($Z95),0,IF(ISNUMBER($Z95),IF(AND($Z95&gt;=0,$Z95&lt;=Constants!$B$35,$Z95=INT($Z95)),$Z95,""),"")))</f>
        <v/>
      </c>
      <c r="BD95" s="74" t="str">
        <f aca="false">IF(ISBLANK($C95),"",IF($AA95=Constants!$B$2,TRUE(),IF($AA95=Constants!$B$3,FALSE(),TRUE())))</f>
        <v/>
      </c>
      <c r="BE95" s="74" t="str">
        <f aca="false">IF(ISBLANK($C95),"",IF($AB95=Constants!$B$2,TRUE(),IF($AB95=Constants!$B$3,FALSE(),TRUE())))</f>
        <v/>
      </c>
      <c r="BF95" s="74" t="str">
        <f aca="false">IF(ISBLANK($C95),"",IF(ISNUMBER($AC95),IF($AC95&gt;=0,$AC95,""),""))</f>
        <v/>
      </c>
      <c r="BG95" s="74" t="str">
        <f aca="false">IF(ISBLANK($C95),"",IF($AD95=Constants!$B$2,TRUE(),IF($AD95=Constants!$B$3,FALSE(),FALSE())))</f>
        <v/>
      </c>
      <c r="BH95" s="73" t="str">
        <f aca="false">IF(ISBLANK($C95),"",IF($BG95,Constants!$B$7,IF(COUNTA($E95:$AC95)=0,Constants!$B$6,IF(OR(COUNTA($G95:$AC95)=0,NOT($AK95),$AQ95),Constants!$B$5,IF(OR($CI95&lt;&gt;"",$CJ95,$CK95,$CL95,$CM95,$CN95,$CO95),Constants!$B$8,Constants!$B$4)))))</f>
        <v/>
      </c>
      <c r="BI95" s="74" t="str">
        <f aca="false">IF(ISBLANK($C95),"",IF($BH95&lt;&gt;Constants!$B$4,$BH95,IF(OR(NOT($AH95),NOT($AJ95),NOT($AR95)),Constants!$B$11,IF(OR(NOT($AP95),MAX($AL95,$AM95,$AN95)&gt;Constants!$B$30),Constants!$B$10,Constants!$B$9))))</f>
        <v/>
      </c>
      <c r="BJ95" s="74" t="str">
        <f aca="false">IF($BH95&lt;&gt;Constants!$B$4,"",IF(NOT($AJ95),0,MIN(Constants!$B$35,$BC95)))</f>
        <v/>
      </c>
      <c r="BK95" s="74" t="str">
        <f aca="false">IF($BH95&lt;&gt;Constants!$B$4,"",IF(NOT($AJ95),0,IF($AT95,Constants!$B$18,IF($AS95,Constants!$B$17,0))))</f>
        <v/>
      </c>
      <c r="BL95" s="74" t="str">
        <f aca="false">IF($BH95&lt;&gt;Constants!$B$4,"",IF(NOT($AJ95),0,Constants!$B$19*($AI95+$AU95+$AV95+$AW95)))</f>
        <v/>
      </c>
      <c r="BM95" s="74" t="str">
        <f aca="false">IF($BH95&lt;&gt;Constants!$B$4,"",IF(OR(NOT($AJ95),NOT(ISNUMBER($AX95))),0,CHOOSE($AX95,Constants!$B$13,Constants!$B$14,Constants!$B$15,Constants!$B$16)))</f>
        <v/>
      </c>
      <c r="BN95" s="74" t="str">
        <f aca="false">IF($BH95&lt;&gt;Constants!$B$4,"",IF(NOT($AJ95),0,Constants!$B$20*$AY95))</f>
        <v/>
      </c>
      <c r="BO95" s="74" t="str">
        <f aca="false">IF($BH95&lt;&gt;Constants!$B$4,"",IF(AND($AJ95,$BA95,$BB95),Constants!$B$22,0))</f>
        <v/>
      </c>
      <c r="BP95" s="74" t="str">
        <f aca="false">IF($BH95&lt;&gt;Constants!$B$4,"",IF(OR(NOT($AJ95),NOT($BA95)),0,IF($BF95&gt;=2*$AF$9,0,Constants!$B$23*INT(ROUND(MIN($BF95,$AF$9),6)))))</f>
        <v/>
      </c>
      <c r="BQ95" s="74" t="str">
        <f aca="false">IF($BH95&lt;&gt;Constants!$B$4,"",IF(NOT($AJ95),0,Constants!$B$24*INT(ROUND(MIN($AZ95,$AF$9),6))))</f>
        <v/>
      </c>
      <c r="BR95" s="74" t="str">
        <f aca="false">IF($BH95&lt;&gt;Constants!$B$4,"",IF(AND($AJ95,$BJ95=0),Constants!$B$25,0))</f>
        <v/>
      </c>
      <c r="BS95" s="74" t="str">
        <f aca="false">IF($BH95&lt;&gt;Constants!$B$4,"",MIN(Constants!$B$29,MAX(0,Constants!$B$27*Constants!$B$28*INT(ROUND((Constants!$B$26-$AL95)/Constants!$B$28,6))))+MIN(Constants!$B$29,MAX(0,Constants!$B$27*Constants!$B$28*INT(ROUND((Constants!$B$26-$AM95)/Constants!$B$28,6))))+MIN(Constants!$B$29,MAX(0,Constants!$B$27*Constants!$B$28*INT(ROUND((Constants!$B$26-$AN95)/Constants!$B$28,6)))))</f>
        <v/>
      </c>
      <c r="BT95" s="74" t="str">
        <f aca="false">IF($BH95&lt;&gt;Constants!$B$4,"",IF(NOT($AJ95),0,Constants!$B$31*INT(ROUND(MAX(0,MIN($BF95,2*$AF$9)-$AF$9),6))))</f>
        <v/>
      </c>
      <c r="BU95" s="74" t="str">
        <f aca="false">IF($BH95&lt;&gt;Constants!$B$4,"",Constants!$B$32*(($AL95&gt;Constants!$B$26)+($AM95&gt;Constants!$B$26)+($AN95&gt;Constants!$B$26)))</f>
        <v/>
      </c>
      <c r="BV95" s="74" t="str">
        <f aca="false">IF($BH95&lt;&gt;Constants!$B$4,"",IF(OR(NOT($AJ95),$AO95),0,Constants!$B$33))</f>
        <v/>
      </c>
      <c r="BW95" s="74" t="str">
        <f aca="false">IF($BH95&lt;&gt;Constants!$B$4,"",Constants!$B$34*$BJ95)</f>
        <v/>
      </c>
      <c r="BX95" s="74" t="str">
        <f aca="false">IF($BH95&lt;&gt;Constants!$B$4,"",IF(OR(NOT($AJ95),$BE95),0,Constants!$B$36))</f>
        <v/>
      </c>
      <c r="BY95" s="74" t="str">
        <f aca="false">IF($BH95&lt;&gt;Constants!$B$4,"",IF(OR(NOT($AJ95),$BD95),0,Constants!$B$37))</f>
        <v/>
      </c>
      <c r="BZ95" s="74" t="str">
        <f aca="false">IF($BH95&lt;&gt;Constants!$B$4,"",SUM($BT95:$BY95))</f>
        <v/>
      </c>
      <c r="CA95" s="74" t="str">
        <f aca="false">IF(ISBLANK($C95),"",IF($BH95&lt;&gt;Constants!$B$4,$BH95,SUM($BK95:$BS95)-$BZ95))</f>
        <v/>
      </c>
      <c r="CB95" s="74" t="str">
        <f aca="false">IF(ISBLANK($C95),"",IF($BH95&lt;&gt;Constants!$B$4,$BH95,RANK($CA95,$CA$9:$CA$508)))</f>
        <v/>
      </c>
      <c r="CC95" s="74" t="str">
        <f aca="false">IF(ISBLANK($C95),"",IF($BH95&lt;&gt;Constants!$B$4,$BH95,COUNTIFS($BI$9:$BI$508,"&lt;"&amp;$BI95)+COUNTIFS($BI$9:$BI$508,$BI95,$CB$9:$CB$508,"&lt;"&amp;$CB95)+1))</f>
        <v/>
      </c>
      <c r="CD95" s="74" t="str">
        <f aca="false">IF(ISBLANK($C95),"",IF($BH95&lt;&gt;Constants!$B$4,$BH95,RANK($BZ95,$BZ$9:$BZ$508,1)))</f>
        <v/>
      </c>
      <c r="CE95" s="74" t="str">
        <f aca="false">IF($BH95&lt;&gt;Constants!$B$4,"",$AL95+$AM95+$AN95)</f>
        <v/>
      </c>
      <c r="CF95" s="74" t="str">
        <f aca="false">IF(ISBLANK($C95),"",IF($BH95&lt;&gt;Constants!$B$4,$BH95,RANK($CE95,$CE$9:$CE$508,1)))</f>
        <v/>
      </c>
      <c r="CG95" s="74" t="str">
        <f aca="false">IF(ISBLANK($C95),"",IF($BH95&lt;&gt;Constants!$B$4,$BH95,COUNTIFS($BI$9:$BI$508,"&lt;"&amp;$BI95)+COUNTIFS($BI$9:$BI$508,$BI95,$CB$9:$CB$508,"&lt;"&amp;$CB95)+COUNTIFS($BI$9:$BI$508,$BI95,$CB$9:$CB$508,$CB95,$CD$9:$CD$508,"&lt;"&amp;$CD95)+COUNTIFS($BI$9:$BI$508,$BI95,$CB$9:$CB$508,$CB95,$CD$9:$CD$508,$CD95,$CF$9:$CF$508,"&lt;"&amp;$CF95)+1))</f>
        <v/>
      </c>
      <c r="CH95" s="74" t="str">
        <f aca="false">IF(ISBLANK($C95),"",IF($BH95&lt;&gt;Constants!$B$4,$BH95,$CC95-$CG95))</f>
        <v/>
      </c>
      <c r="CI95" s="74" t="str">
        <f aca="false">IF(ISBLANK($C95),"",IF(NOT($AJ95),"",IF(ISBLANK($D$7),$CI$5,IF(NOT(ISNUMBER($D$7)),$CI$6,""))))</f>
        <v/>
      </c>
      <c r="CJ95" s="74" t="str">
        <f aca="false">IF(ISBLANK($C95),"",OR($AL95="",$AM95="",$AN95=""))</f>
        <v/>
      </c>
      <c r="CK95" s="74" t="str">
        <f aca="false">IF(ISBLANK($C95),"",AND($AJ95,$AX95=""))</f>
        <v/>
      </c>
      <c r="CL95" s="74" t="str">
        <f aca="false">IF(ISBLANK($C95),"",AND($AJ95,$AY95=""))</f>
        <v/>
      </c>
      <c r="CM95" s="74" t="str">
        <f aca="false">IF(ISBLANK($C95),"",AND($AJ95,$AZ95=""))</f>
        <v/>
      </c>
      <c r="CN95" s="74" t="str">
        <f aca="false">IF(ISBLANK($C95),"",AND($AJ95,$BC95=""))</f>
        <v/>
      </c>
      <c r="CO95" s="74" t="str">
        <f aca="false">IF(ISBLANK($C95),"",AND($AJ95,$BF95=""))</f>
        <v/>
      </c>
      <c r="CP95" s="75"/>
      <c r="CQ95" s="76"/>
      <c r="CR95" s="79" t="str">
        <f aca="false">IF(ISBLANK($C95),"",IF($BH95=Constants!$B$8,$CI95,""))</f>
        <v/>
      </c>
      <c r="CS95" s="76" t="str">
        <f aca="false">IF(ISBLANK($C95),"",IF($BH95&lt;&gt;Constants!$B$4,"",$BK95+$BL95))</f>
        <v/>
      </c>
      <c r="CT95" s="78" t="str">
        <f aca="false">IF(ISBLANK($C95),"",IF($BH95&lt;&gt;Constants!$B$4,"",$BM95+$BN95+$BO95))</f>
        <v/>
      </c>
      <c r="CU95" s="78" t="str">
        <f aca="false">IF(ISBLANK($C95),"",IF($BH95&lt;&gt;Constants!$B$4,"",$BP95))</f>
        <v/>
      </c>
      <c r="CV95" s="78" t="str">
        <f aca="false">IF(ISBLANK($C95),"",IF($BH95&lt;&gt;Constants!$B$4,"",$BQ95+$BR95))</f>
        <v/>
      </c>
      <c r="CW95" s="78" t="str">
        <f aca="false">IF(ISBLANK($C95),"",IF($BH95&lt;&gt;Constants!$B$4,"",$BS95))</f>
        <v/>
      </c>
      <c r="CX95" s="78" t="str">
        <f aca="false">IF(ISBLANK($C95),"",IF($BH95&lt;&gt;Constants!$B$4,"",-$BZ95))</f>
        <v/>
      </c>
      <c r="CY95" s="79" t="str">
        <f aca="false">IF(ISBLANK($C95),"",$CA95)</f>
        <v/>
      </c>
      <c r="CZ95" s="80" t="str">
        <f aca="false">IF(ISBLANK($C95),"",$BI95)</f>
        <v/>
      </c>
      <c r="DA95" s="78" t="str">
        <f aca="false">IF(ISBLANK($C95),"",$CH95)</f>
        <v/>
      </c>
      <c r="DB95" s="78" t="str">
        <f aca="false">IF(ISBLANK($C95),"",$CG95)</f>
        <v/>
      </c>
      <c r="DC95" s="81" t="str">
        <f aca="false">IF(ISBLANK($C95),"",IFERROR(_xlfn.SWITCH($DB95,Constants!$B$7,COUNTA($C$9:$C$508)+2,Constants!$B$6,COUNTA($C$9:$C$508)+1,Constants!$B$5,COUNTA($C$9:$C$508)),$DB95))</f>
        <v/>
      </c>
      <c r="DD95" s="7"/>
      <c r="DE95" s="82" t="n">
        <f aca="false">IF(OR(ISNUMBER($DB95),$DB95=Constants!$B$7,$DB95=Constants!$B$5,$DB95=Constants!$B$6),1,0)</f>
        <v>0</v>
      </c>
      <c r="DF95" s="82" t="n">
        <v>87</v>
      </c>
      <c r="DG95" s="82" t="str">
        <f aca="false">IF(ISBLANK($C95),"",IF(ISNUMBER($DC95),$DC95+ROW($B95)/1000,""))</f>
        <v/>
      </c>
      <c r="DH95" s="82" t="str">
        <f aca="false">IF(ISNUMBER($DG95),RANK($DG95,$DG$9:$DG$508,1),"")</f>
        <v/>
      </c>
      <c r="DI95" s="82" t="str">
        <f aca="false">IF(ISBLANK($C95),"",$B95)</f>
        <v/>
      </c>
      <c r="DJ95" s="82" t="str">
        <f aca="false">IF(ISBLANK($C95),"",$C95)</f>
        <v/>
      </c>
      <c r="DK95" s="82" t="str">
        <f aca="false">IF(ISBLANK($C95),"",$D95)</f>
        <v/>
      </c>
      <c r="DL95" s="83" t="str">
        <f aca="false">$CZ95</f>
        <v/>
      </c>
      <c r="DM95" s="84" t="str">
        <f aca="false">$CY95</f>
        <v/>
      </c>
      <c r="DN95" s="82" t="str">
        <f aca="false">IF(ISBLANK($C95),"",$DB95)</f>
        <v/>
      </c>
      <c r="DO95" s="85" t="str">
        <f aca="false">IF($DF95&gt;$DE$8,"",VLOOKUP($DF95,$DH$9:$DN$508,7,FALSE()))</f>
        <v/>
      </c>
      <c r="DP95" s="86" t="str">
        <f aca="false">IF($DF95&gt;$DE$8,"",VLOOKUP($DF95,$DH$9:$DN$508,2,FALSE()))</f>
        <v/>
      </c>
      <c r="DQ95" s="86" t="str">
        <f aca="false">IF($DF95&gt;$DE$8,"",VLOOKUP($DF95,$DH$9:$DN$508,3,FALSE()))</f>
        <v/>
      </c>
      <c r="DR95" s="86" t="str">
        <f aca="false">IF($DF95&gt;$DE$8,"",VLOOKUP($DF95,$DH$9:$DN$508,4,FALSE()))</f>
        <v/>
      </c>
      <c r="DS95" s="86" t="str">
        <f aca="false">IF($DF95&gt;$DE$8,"",VLOOKUP($DF95,$DH$9:$DN$508,5,FALSE()))</f>
        <v/>
      </c>
      <c r="DT95" s="87" t="str">
        <f aca="false">IF($DF95&gt;$DE$8,"",VLOOKUP($DF95,$DH$9:$DN$508,6,FALSE()))</f>
        <v/>
      </c>
      <c r="DU95" s="62"/>
    </row>
    <row r="96" customFormat="false" ht="15.75" hidden="false" customHeight="false" outlineLevel="0" collapsed="false">
      <c r="A96" s="7"/>
      <c r="B96" s="90"/>
      <c r="C96" s="91"/>
      <c r="D96" s="126"/>
      <c r="E96" s="116"/>
      <c r="F96" s="113"/>
      <c r="G96" s="116"/>
      <c r="H96" s="113"/>
      <c r="I96" s="131"/>
      <c r="J96" s="131"/>
      <c r="K96" s="131"/>
      <c r="L96" s="116"/>
      <c r="M96" s="116"/>
      <c r="N96" s="116"/>
      <c r="O96" s="113"/>
      <c r="P96" s="116"/>
      <c r="Q96" s="116"/>
      <c r="R96" s="116"/>
      <c r="S96" s="116"/>
      <c r="T96" s="113"/>
      <c r="U96" s="116"/>
      <c r="V96" s="132"/>
      <c r="W96" s="116"/>
      <c r="X96" s="116"/>
      <c r="Y96" s="132"/>
      <c r="Z96" s="132"/>
      <c r="AA96" s="116"/>
      <c r="AB96" s="116"/>
      <c r="AC96" s="133"/>
      <c r="AD96" s="116"/>
      <c r="AE96" s="99"/>
      <c r="AF96" s="100"/>
      <c r="AG96" s="100"/>
      <c r="AH96" s="100" t="str">
        <f aca="false">IF(ISBLANK($C96),"",IF($E96=Constants!$B$2,TRUE(),IF($E96=Constants!$B$3,FALSE(),TRUE())))</f>
        <v/>
      </c>
      <c r="AI96" s="100" t="str">
        <f aca="false">IF(ISBLANK($C96),"",IF($F96=Constants!$B$2,TRUE(),IF($F96=Constants!$B$3,FALSE(),FALSE())))</f>
        <v/>
      </c>
      <c r="AJ96" s="100" t="str">
        <f aca="false">IF(ISBLANK($C96),"",IF($G96=Constants!$B$2,TRUE(),IF($G96=Constants!$B$3,FALSE(),TRUE())))</f>
        <v/>
      </c>
      <c r="AK96" s="100" t="str">
        <f aca="false">IF(ISBLANK($C96),"",IF($H96=Constants!$B$2,TRUE(),IF($H96=Constants!$B$3,FALSE(),TRUE())))</f>
        <v/>
      </c>
      <c r="AL96" s="100" t="str">
        <f aca="false">IF(ISBLANK($C96),"",IF(ISNUMBER($I96),IF($I96&gt;=0,$I96,""),""))</f>
        <v/>
      </c>
      <c r="AM96" s="100" t="str">
        <f aca="false">IF(ISBLANK($C96),"",IF(ISNUMBER($J96),IF($J96&gt;=0,$J96,""),""))</f>
        <v/>
      </c>
      <c r="AN96" s="100" t="str">
        <f aca="false">IF(ISBLANK($C96),"",IF(ISNUMBER($K96),IF($K96&gt;=0,$K96,""),""))</f>
        <v/>
      </c>
      <c r="AO96" s="100" t="str">
        <f aca="false">IF(ISBLANK($C96),"",IF($L96=Constants!$B$2,TRUE(),IF($L96=Constants!$B$3,FALSE(),TRUE())))</f>
        <v/>
      </c>
      <c r="AP96" s="100" t="str">
        <f aca="false">IF(ISBLANK($C96),"",IF($M96=Constants!$B$2,TRUE(),IF($M96=Constants!$B$3,FALSE(),TRUE())))</f>
        <v/>
      </c>
      <c r="AQ96" s="100" t="str">
        <f aca="false">IF(ISBLANK($C96),"",IF($N96=Constants!$B$2,TRUE(),IF($N96=Constants!$B$3,FALSE(),FALSE())))</f>
        <v/>
      </c>
      <c r="AR96" s="100" t="str">
        <f aca="false">IF(ISBLANK($C96),"",IF($O96=Constants!$B$2,TRUE(),IF($O96=Constants!$B$3,FALSE(),TRUE())))</f>
        <v/>
      </c>
      <c r="AS96" s="100" t="str">
        <f aca="false">IF(ISBLANK($C96),"",IF($P96=Constants!$B$2,TRUE(),IF($P96=Constants!$B$3,FALSE(),FALSE())))</f>
        <v/>
      </c>
      <c r="AT96" s="100" t="str">
        <f aca="false">IF(ISBLANK($C96),"",IF($Q96=Constants!$B$2,TRUE(),IF($Q96=Constants!$B$3,FALSE(),FALSE())))</f>
        <v/>
      </c>
      <c r="AU96" s="100" t="str">
        <f aca="false">IF(ISBLANK($C96),"",IF($R96=Constants!$B$2,TRUE(),IF($R96=Constants!$B$3,FALSE(),FALSE())))</f>
        <v/>
      </c>
      <c r="AV96" s="100" t="str">
        <f aca="false">IF(ISBLANK($C96),"",IF($S96=Constants!$B$2,TRUE(),IF($S96=Constants!$B$3,FALSE(),FALSE())))</f>
        <v/>
      </c>
      <c r="AW96" s="100" t="str">
        <f aca="false">IF(ISBLANK($C96),"",IF($T96=Constants!$B$2,TRUE(),IF($T96=Constants!$B$3,FALSE(),FALSE())))</f>
        <v/>
      </c>
      <c r="AX96" s="100" t="str">
        <f aca="false">IF(ISBLANK($C96),"",IF(OR($U96&amp;""="1",$U96&amp;""="2",$U96&amp;""="3",$U96&amp;""="4"),VALUE($U96&amp;""),IF($U96=Constants!$B$12,Constants!$B$12,"")))</f>
        <v/>
      </c>
      <c r="AY96" s="100" t="str">
        <f aca="false">IF(ISBLANK($C96),"",IF(ISBLANK($V96),0,IF(ISNUMBER($V96),IF(AND($V96&gt;=0,$V96&lt;=Constants!$B$21,$V96=INT($V96)),$V96,""),"")))</f>
        <v/>
      </c>
      <c r="AZ96" s="100" t="str">
        <f aca="false">IF(ISBLANK($C96),"",IF(ISBLANK($W96),0,IF(ISNUMBER($W96),IF($W96&gt;=0,$W96,""),"")))</f>
        <v/>
      </c>
      <c r="BA96" s="100" t="str">
        <f aca="false">IF(ISBLANK($C96),"",IF($X96=Constants!$B$2,TRUE(),IF($X96=Constants!$B$3,FALSE(),TRUE())))</f>
        <v/>
      </c>
      <c r="BB96" s="100" t="str">
        <f aca="false">IF(ISBLANK($C96),"",IF($Y96=Constants!$B$2,TRUE(),IF($Y96=Constants!$B$3,FALSE(),FALSE())))</f>
        <v/>
      </c>
      <c r="BC96" s="100" t="str">
        <f aca="false">IF(ISBLANK($C96),"",IF(ISBLANK($Z96),0,IF(ISNUMBER($Z96),IF(AND($Z96&gt;=0,$Z96&lt;=Constants!$B$35,$Z96=INT($Z96)),$Z96,""),"")))</f>
        <v/>
      </c>
      <c r="BD96" s="100" t="str">
        <f aca="false">IF(ISBLANK($C96),"",IF($AA96=Constants!$B$2,TRUE(),IF($AA96=Constants!$B$3,FALSE(),TRUE())))</f>
        <v/>
      </c>
      <c r="BE96" s="100" t="str">
        <f aca="false">IF(ISBLANK($C96),"",IF($AB96=Constants!$B$2,TRUE(),IF($AB96=Constants!$B$3,FALSE(),TRUE())))</f>
        <v/>
      </c>
      <c r="BF96" s="100" t="str">
        <f aca="false">IF(ISBLANK($C96),"",IF(ISNUMBER($AC96),IF($AC96&gt;=0,$AC96,""),""))</f>
        <v/>
      </c>
      <c r="BG96" s="100" t="str">
        <f aca="false">IF(ISBLANK($C96),"",IF($AD96=Constants!$B$2,TRUE(),IF($AD96=Constants!$B$3,FALSE(),FALSE())))</f>
        <v/>
      </c>
      <c r="BH96" s="99" t="str">
        <f aca="false">IF(ISBLANK($C96),"",IF($BG96,Constants!$B$7,IF(COUNTA($E96:$AC96)=0,Constants!$B$6,IF(OR(COUNTA($G96:$AC96)=0,NOT($AK96),$AQ96),Constants!$B$5,IF(OR($CI96&lt;&gt;"",$CJ96,$CK96,$CL96,$CM96,$CN96,$CO96),Constants!$B$8,Constants!$B$4)))))</f>
        <v/>
      </c>
      <c r="BI96" s="100" t="str">
        <f aca="false">IF(ISBLANK($C96),"",IF($BH96&lt;&gt;Constants!$B$4,$BH96,IF(OR(NOT($AH96),NOT($AJ96),NOT($AR96)),Constants!$B$11,IF(OR(NOT($AP96),MAX($AL96,$AM96,$AN96)&gt;Constants!$B$30),Constants!$B$10,Constants!$B$9))))</f>
        <v/>
      </c>
      <c r="BJ96" s="100" t="str">
        <f aca="false">IF($BH96&lt;&gt;Constants!$B$4,"",IF(NOT($AJ96),0,MIN(Constants!$B$35,$BC96)))</f>
        <v/>
      </c>
      <c r="BK96" s="100" t="str">
        <f aca="false">IF($BH96&lt;&gt;Constants!$B$4,"",IF(NOT($AJ96),0,IF($AT96,Constants!$B$18,IF($AS96,Constants!$B$17,0))))</f>
        <v/>
      </c>
      <c r="BL96" s="100" t="str">
        <f aca="false">IF($BH96&lt;&gt;Constants!$B$4,"",IF(NOT($AJ96),0,Constants!$B$19*($AI96+$AU96+$AV96+$AW96)))</f>
        <v/>
      </c>
      <c r="BM96" s="100" t="str">
        <f aca="false">IF($BH96&lt;&gt;Constants!$B$4,"",IF(OR(NOT($AJ96),NOT(ISNUMBER($AX96))),0,CHOOSE($AX96,Constants!$B$13,Constants!$B$14,Constants!$B$15,Constants!$B$16)))</f>
        <v/>
      </c>
      <c r="BN96" s="100" t="str">
        <f aca="false">IF($BH96&lt;&gt;Constants!$B$4,"",IF(NOT($AJ96),0,Constants!$B$20*$AY96))</f>
        <v/>
      </c>
      <c r="BO96" s="100" t="str">
        <f aca="false">IF($BH96&lt;&gt;Constants!$B$4,"",IF(AND($AJ96,$BA96,$BB96),Constants!$B$22,0))</f>
        <v/>
      </c>
      <c r="BP96" s="100" t="str">
        <f aca="false">IF($BH96&lt;&gt;Constants!$B$4,"",IF(OR(NOT($AJ96),NOT($BA96)),0,IF($BF96&gt;=2*$AF$9,0,Constants!$B$23*INT(ROUND(MIN($BF96,$AF$9),6)))))</f>
        <v/>
      </c>
      <c r="BQ96" s="100" t="str">
        <f aca="false">IF($BH96&lt;&gt;Constants!$B$4,"",IF(NOT($AJ96),0,Constants!$B$24*INT(ROUND(MIN($AZ96,$AF$9),6))))</f>
        <v/>
      </c>
      <c r="BR96" s="100" t="str">
        <f aca="false">IF($BH96&lt;&gt;Constants!$B$4,"",IF(AND($AJ96,$BJ96=0),Constants!$B$25,0))</f>
        <v/>
      </c>
      <c r="BS96" s="100" t="str">
        <f aca="false">IF($BH96&lt;&gt;Constants!$B$4,"",MIN(Constants!$B$29,MAX(0,Constants!$B$27*Constants!$B$28*INT(ROUND((Constants!$B$26-$AL96)/Constants!$B$28,6))))+MIN(Constants!$B$29,MAX(0,Constants!$B$27*Constants!$B$28*INT(ROUND((Constants!$B$26-$AM96)/Constants!$B$28,6))))+MIN(Constants!$B$29,MAX(0,Constants!$B$27*Constants!$B$28*INT(ROUND((Constants!$B$26-$AN96)/Constants!$B$28,6)))))</f>
        <v/>
      </c>
      <c r="BT96" s="100" t="str">
        <f aca="false">IF($BH96&lt;&gt;Constants!$B$4,"",IF(NOT($AJ96),0,Constants!$B$31*INT(ROUND(MAX(0,MIN($BF96,2*$AF$9)-$AF$9),6))))</f>
        <v/>
      </c>
      <c r="BU96" s="100" t="str">
        <f aca="false">IF($BH96&lt;&gt;Constants!$B$4,"",Constants!$B$32*(($AL96&gt;Constants!$B$26)+($AM96&gt;Constants!$B$26)+($AN96&gt;Constants!$B$26)))</f>
        <v/>
      </c>
      <c r="BV96" s="100" t="str">
        <f aca="false">IF($BH96&lt;&gt;Constants!$B$4,"",IF(OR(NOT($AJ96),$AO96),0,Constants!$B$33))</f>
        <v/>
      </c>
      <c r="BW96" s="100" t="str">
        <f aca="false">IF($BH96&lt;&gt;Constants!$B$4,"",Constants!$B$34*$BJ96)</f>
        <v/>
      </c>
      <c r="BX96" s="100" t="str">
        <f aca="false">IF($BH96&lt;&gt;Constants!$B$4,"",IF(OR(NOT($AJ96),$BE96),0,Constants!$B$36))</f>
        <v/>
      </c>
      <c r="BY96" s="100" t="str">
        <f aca="false">IF($BH96&lt;&gt;Constants!$B$4,"",IF(OR(NOT($AJ96),$BD96),0,Constants!$B$37))</f>
        <v/>
      </c>
      <c r="BZ96" s="100" t="str">
        <f aca="false">IF($BH96&lt;&gt;Constants!$B$4,"",SUM($BT96:$BY96))</f>
        <v/>
      </c>
      <c r="CA96" s="100" t="str">
        <f aca="false">IF(ISBLANK($C96),"",IF($BH96&lt;&gt;Constants!$B$4,$BH96,SUM($BK96:$BS96)-$BZ96))</f>
        <v/>
      </c>
      <c r="CB96" s="100" t="str">
        <f aca="false">IF(ISBLANK($C96),"",IF($BH96&lt;&gt;Constants!$B$4,$BH96,RANK($CA96,$CA$9:$CA$508)))</f>
        <v/>
      </c>
      <c r="CC96" s="100" t="str">
        <f aca="false">IF(ISBLANK($C96),"",IF($BH96&lt;&gt;Constants!$B$4,$BH96,COUNTIFS($BI$9:$BI$508,"&lt;"&amp;$BI96)+COUNTIFS($BI$9:$BI$508,$BI96,$CB$9:$CB$508,"&lt;"&amp;$CB96)+1))</f>
        <v/>
      </c>
      <c r="CD96" s="100" t="str">
        <f aca="false">IF(ISBLANK($C96),"",IF($BH96&lt;&gt;Constants!$B$4,$BH96,RANK($BZ96,$BZ$9:$BZ$508,1)))</f>
        <v/>
      </c>
      <c r="CE96" s="100" t="str">
        <f aca="false">IF($BH96&lt;&gt;Constants!$B$4,"",$AL96+$AM96+$AN96)</f>
        <v/>
      </c>
      <c r="CF96" s="100" t="str">
        <f aca="false">IF(ISBLANK($C96),"",IF($BH96&lt;&gt;Constants!$B$4,$BH96,RANK($CE96,$CE$9:$CE$508,1)))</f>
        <v/>
      </c>
      <c r="CG96" s="100" t="str">
        <f aca="false">IF(ISBLANK($C96),"",IF($BH96&lt;&gt;Constants!$B$4,$BH96,COUNTIFS($BI$9:$BI$508,"&lt;"&amp;$BI96)+COUNTIFS($BI$9:$BI$508,$BI96,$CB$9:$CB$508,"&lt;"&amp;$CB96)+COUNTIFS($BI$9:$BI$508,$BI96,$CB$9:$CB$508,$CB96,$CD$9:$CD$508,"&lt;"&amp;$CD96)+COUNTIFS($BI$9:$BI$508,$BI96,$CB$9:$CB$508,$CB96,$CD$9:$CD$508,$CD96,$CF$9:$CF$508,"&lt;"&amp;$CF96)+1))</f>
        <v/>
      </c>
      <c r="CH96" s="100" t="str">
        <f aca="false">IF(ISBLANK($C96),"",IF($BH96&lt;&gt;Constants!$B$4,$BH96,$CC96-$CG96))</f>
        <v/>
      </c>
      <c r="CI96" s="100" t="str">
        <f aca="false">IF(ISBLANK($C96),"",IF(NOT($AJ96),"",IF(ISBLANK($D$7),$CI$5,IF(NOT(ISNUMBER($D$7)),$CI$6,""))))</f>
        <v/>
      </c>
      <c r="CJ96" s="100" t="str">
        <f aca="false">IF(ISBLANK($C96),"",OR($AL96="",$AM96="",$AN96=""))</f>
        <v/>
      </c>
      <c r="CK96" s="100" t="str">
        <f aca="false">IF(ISBLANK($C96),"",AND($AJ96,$AX96=""))</f>
        <v/>
      </c>
      <c r="CL96" s="100" t="str">
        <f aca="false">IF(ISBLANK($C96),"",AND($AJ96,$AY96=""))</f>
        <v/>
      </c>
      <c r="CM96" s="100" t="str">
        <f aca="false">IF(ISBLANK($C96),"",AND($AJ96,$AZ96=""))</f>
        <v/>
      </c>
      <c r="CN96" s="100" t="str">
        <f aca="false">IF(ISBLANK($C96),"",AND($AJ96,$BC96=""))</f>
        <v/>
      </c>
      <c r="CO96" s="100" t="str">
        <f aca="false">IF(ISBLANK($C96),"",AND($AJ96,$BF96=""))</f>
        <v/>
      </c>
      <c r="CP96" s="101"/>
      <c r="CQ96" s="102"/>
      <c r="CR96" s="103" t="str">
        <f aca="false">IF(ISBLANK($C96),"",IF($BH96=Constants!$B$8,$CI96,""))</f>
        <v/>
      </c>
      <c r="CS96" s="102" t="str">
        <f aca="false">IF(ISBLANK($C96),"",IF($BH96&lt;&gt;Constants!$B$4,"",$BK96+$BL96))</f>
        <v/>
      </c>
      <c r="CT96" s="104" t="str">
        <f aca="false">IF(ISBLANK($C96),"",IF($BH96&lt;&gt;Constants!$B$4,"",$BM96+$BN96+$BO96))</f>
        <v/>
      </c>
      <c r="CU96" s="104" t="str">
        <f aca="false">IF(ISBLANK($C96),"",IF($BH96&lt;&gt;Constants!$B$4,"",$BP96))</f>
        <v/>
      </c>
      <c r="CV96" s="104" t="str">
        <f aca="false">IF(ISBLANK($C96),"",IF($BH96&lt;&gt;Constants!$B$4,"",$BQ96+$BR96))</f>
        <v/>
      </c>
      <c r="CW96" s="104" t="str">
        <f aca="false">IF(ISBLANK($C96),"",IF($BH96&lt;&gt;Constants!$B$4,"",$BS96))</f>
        <v/>
      </c>
      <c r="CX96" s="104" t="str">
        <f aca="false">IF(ISBLANK($C96),"",IF($BH96&lt;&gt;Constants!$B$4,"",-$BZ96))</f>
        <v/>
      </c>
      <c r="CY96" s="103" t="str">
        <f aca="false">IF(ISBLANK($C96),"",$CA96)</f>
        <v/>
      </c>
      <c r="CZ96" s="105" t="str">
        <f aca="false">IF(ISBLANK($C96),"",$BI96)</f>
        <v/>
      </c>
      <c r="DA96" s="104" t="str">
        <f aca="false">IF(ISBLANK($C96),"",$CH96)</f>
        <v/>
      </c>
      <c r="DB96" s="104" t="str">
        <f aca="false">IF(ISBLANK($C96),"",$CG96)</f>
        <v/>
      </c>
      <c r="DC96" s="106" t="str">
        <f aca="false">IF(ISBLANK($C96),"",IFERROR(_xlfn.SWITCH($DB96,Constants!$B$7,COUNTA($C$9:$C$508)+2,Constants!$B$6,COUNTA($C$9:$C$508)+1,Constants!$B$5,COUNTA($C$9:$C$508)),$DB96))</f>
        <v/>
      </c>
      <c r="DD96" s="7"/>
      <c r="DE96" s="107" t="n">
        <f aca="false">IF(OR(ISNUMBER($DB96),$DB96=Constants!$B$7,$DB96=Constants!$B$5,$DB96=Constants!$B$6),1,0)</f>
        <v>0</v>
      </c>
      <c r="DF96" s="107" t="n">
        <v>88</v>
      </c>
      <c r="DG96" s="107" t="str">
        <f aca="false">IF(ISBLANK($C96),"",IF(ISNUMBER($DC96),$DC96+ROW($B96)/1000,""))</f>
        <v/>
      </c>
      <c r="DH96" s="107" t="str">
        <f aca="false">IF(ISNUMBER($DG96),RANK($DG96,$DG$9:$DG$508,1),"")</f>
        <v/>
      </c>
      <c r="DI96" s="107" t="str">
        <f aca="false">IF(ISBLANK($C96),"",$B96)</f>
        <v/>
      </c>
      <c r="DJ96" s="107" t="str">
        <f aca="false">IF(ISBLANK($C96),"",$C96)</f>
        <v/>
      </c>
      <c r="DK96" s="107" t="str">
        <f aca="false">IF(ISBLANK($C96),"",$D96)</f>
        <v/>
      </c>
      <c r="DL96" s="108" t="str">
        <f aca="false">$CZ96</f>
        <v/>
      </c>
      <c r="DM96" s="109" t="str">
        <f aca="false">$CY96</f>
        <v/>
      </c>
      <c r="DN96" s="107" t="str">
        <f aca="false">IF(ISBLANK($C96),"",$DB96)</f>
        <v/>
      </c>
      <c r="DO96" s="110" t="str">
        <f aca="false">IF($DF96&gt;$DE$8,"",VLOOKUP($DF96,$DH$9:$DN$508,7,FALSE()))</f>
        <v/>
      </c>
      <c r="DP96" s="111" t="str">
        <f aca="false">IF($DF96&gt;$DE$8,"",VLOOKUP($DF96,$DH$9:$DN$508,2,FALSE()))</f>
        <v/>
      </c>
      <c r="DQ96" s="111" t="str">
        <f aca="false">IF($DF96&gt;$DE$8,"",VLOOKUP($DF96,$DH$9:$DN$508,3,FALSE()))</f>
        <v/>
      </c>
      <c r="DR96" s="111" t="str">
        <f aca="false">IF($DF96&gt;$DE$8,"",VLOOKUP($DF96,$DH$9:$DN$508,4,FALSE()))</f>
        <v/>
      </c>
      <c r="DS96" s="111" t="str">
        <f aca="false">IF($DF96&gt;$DE$8,"",VLOOKUP($DF96,$DH$9:$DN$508,5,FALSE()))</f>
        <v/>
      </c>
      <c r="DT96" s="112" t="str">
        <f aca="false">IF($DF96&gt;$DE$8,"",VLOOKUP($DF96,$DH$9:$DN$508,6,FALSE()))</f>
        <v/>
      </c>
      <c r="DU96" s="62"/>
    </row>
    <row r="97" customFormat="false" ht="15.75" hidden="false" customHeight="false" outlineLevel="0" collapsed="false">
      <c r="A97" s="7"/>
      <c r="B97" s="90"/>
      <c r="C97" s="91"/>
      <c r="D97" s="126"/>
      <c r="E97" s="130"/>
      <c r="F97" s="135"/>
      <c r="G97" s="130"/>
      <c r="H97" s="135"/>
      <c r="I97" s="95"/>
      <c r="J97" s="95"/>
      <c r="K97" s="95"/>
      <c r="L97" s="130"/>
      <c r="M97" s="130"/>
      <c r="N97" s="130"/>
      <c r="O97" s="135"/>
      <c r="P97" s="130"/>
      <c r="Q97" s="130"/>
      <c r="R97" s="130"/>
      <c r="S97" s="130"/>
      <c r="T97" s="135"/>
      <c r="U97" s="130"/>
      <c r="V97" s="96"/>
      <c r="W97" s="130"/>
      <c r="X97" s="130"/>
      <c r="Y97" s="96"/>
      <c r="Z97" s="96"/>
      <c r="AA97" s="130"/>
      <c r="AB97" s="130"/>
      <c r="AC97" s="97"/>
      <c r="AD97" s="130"/>
      <c r="AE97" s="99"/>
      <c r="AF97" s="100"/>
      <c r="AG97" s="100"/>
      <c r="AH97" s="100" t="str">
        <f aca="false">IF(ISBLANK($C97),"",IF($E97=Constants!$B$2,TRUE(),IF($E97=Constants!$B$3,FALSE(),TRUE())))</f>
        <v/>
      </c>
      <c r="AI97" s="100" t="str">
        <f aca="false">IF(ISBLANK($C97),"",IF($F97=Constants!$B$2,TRUE(),IF($F97=Constants!$B$3,FALSE(),FALSE())))</f>
        <v/>
      </c>
      <c r="AJ97" s="100" t="str">
        <f aca="false">IF(ISBLANK($C97),"",IF($G97=Constants!$B$2,TRUE(),IF($G97=Constants!$B$3,FALSE(),TRUE())))</f>
        <v/>
      </c>
      <c r="AK97" s="100" t="str">
        <f aca="false">IF(ISBLANK($C97),"",IF($H97=Constants!$B$2,TRUE(),IF($H97=Constants!$B$3,FALSE(),TRUE())))</f>
        <v/>
      </c>
      <c r="AL97" s="100" t="str">
        <f aca="false">IF(ISBLANK($C97),"",IF(ISNUMBER($I97),IF($I97&gt;=0,$I97,""),""))</f>
        <v/>
      </c>
      <c r="AM97" s="100" t="str">
        <f aca="false">IF(ISBLANK($C97),"",IF(ISNUMBER($J97),IF($J97&gt;=0,$J97,""),""))</f>
        <v/>
      </c>
      <c r="AN97" s="100" t="str">
        <f aca="false">IF(ISBLANK($C97),"",IF(ISNUMBER($K97),IF($K97&gt;=0,$K97,""),""))</f>
        <v/>
      </c>
      <c r="AO97" s="100" t="str">
        <f aca="false">IF(ISBLANK($C97),"",IF($L97=Constants!$B$2,TRUE(),IF($L97=Constants!$B$3,FALSE(),TRUE())))</f>
        <v/>
      </c>
      <c r="AP97" s="100" t="str">
        <f aca="false">IF(ISBLANK($C97),"",IF($M97=Constants!$B$2,TRUE(),IF($M97=Constants!$B$3,FALSE(),TRUE())))</f>
        <v/>
      </c>
      <c r="AQ97" s="100" t="str">
        <f aca="false">IF(ISBLANK($C97),"",IF($N97=Constants!$B$2,TRUE(),IF($N97=Constants!$B$3,FALSE(),FALSE())))</f>
        <v/>
      </c>
      <c r="AR97" s="100" t="str">
        <f aca="false">IF(ISBLANK($C97),"",IF($O97=Constants!$B$2,TRUE(),IF($O97=Constants!$B$3,FALSE(),TRUE())))</f>
        <v/>
      </c>
      <c r="AS97" s="100" t="str">
        <f aca="false">IF(ISBLANK($C97),"",IF($P97=Constants!$B$2,TRUE(),IF($P97=Constants!$B$3,FALSE(),FALSE())))</f>
        <v/>
      </c>
      <c r="AT97" s="100" t="str">
        <f aca="false">IF(ISBLANK($C97),"",IF($Q97=Constants!$B$2,TRUE(),IF($Q97=Constants!$B$3,FALSE(),FALSE())))</f>
        <v/>
      </c>
      <c r="AU97" s="100" t="str">
        <f aca="false">IF(ISBLANK($C97),"",IF($R97=Constants!$B$2,TRUE(),IF($R97=Constants!$B$3,FALSE(),FALSE())))</f>
        <v/>
      </c>
      <c r="AV97" s="100" t="str">
        <f aca="false">IF(ISBLANK($C97),"",IF($S97=Constants!$B$2,TRUE(),IF($S97=Constants!$B$3,FALSE(),FALSE())))</f>
        <v/>
      </c>
      <c r="AW97" s="100" t="str">
        <f aca="false">IF(ISBLANK($C97),"",IF($T97=Constants!$B$2,TRUE(),IF($T97=Constants!$B$3,FALSE(),FALSE())))</f>
        <v/>
      </c>
      <c r="AX97" s="100" t="str">
        <f aca="false">IF(ISBLANK($C97),"",IF(OR($U97&amp;""="1",$U97&amp;""="2",$U97&amp;""="3",$U97&amp;""="4"),VALUE($U97&amp;""),IF($U97=Constants!$B$12,Constants!$B$12,"")))</f>
        <v/>
      </c>
      <c r="AY97" s="100" t="str">
        <f aca="false">IF(ISBLANK($C97),"",IF(ISBLANK($V97),0,IF(ISNUMBER($V97),IF(AND($V97&gt;=0,$V97&lt;=Constants!$B$21,$V97=INT($V97)),$V97,""),"")))</f>
        <v/>
      </c>
      <c r="AZ97" s="100" t="str">
        <f aca="false">IF(ISBLANK($C97),"",IF(ISBLANK($W97),0,IF(ISNUMBER($W97),IF($W97&gt;=0,$W97,""),"")))</f>
        <v/>
      </c>
      <c r="BA97" s="100" t="str">
        <f aca="false">IF(ISBLANK($C97),"",IF($X97=Constants!$B$2,TRUE(),IF($X97=Constants!$B$3,FALSE(),TRUE())))</f>
        <v/>
      </c>
      <c r="BB97" s="100" t="str">
        <f aca="false">IF(ISBLANK($C97),"",IF($Y97=Constants!$B$2,TRUE(),IF($Y97=Constants!$B$3,FALSE(),FALSE())))</f>
        <v/>
      </c>
      <c r="BC97" s="100" t="str">
        <f aca="false">IF(ISBLANK($C97),"",IF(ISBLANK($Z97),0,IF(ISNUMBER($Z97),IF(AND($Z97&gt;=0,$Z97&lt;=Constants!$B$35,$Z97=INT($Z97)),$Z97,""),"")))</f>
        <v/>
      </c>
      <c r="BD97" s="100" t="str">
        <f aca="false">IF(ISBLANK($C97),"",IF($AA97=Constants!$B$2,TRUE(),IF($AA97=Constants!$B$3,FALSE(),TRUE())))</f>
        <v/>
      </c>
      <c r="BE97" s="100" t="str">
        <f aca="false">IF(ISBLANK($C97),"",IF($AB97=Constants!$B$2,TRUE(),IF($AB97=Constants!$B$3,FALSE(),TRUE())))</f>
        <v/>
      </c>
      <c r="BF97" s="100" t="str">
        <f aca="false">IF(ISBLANK($C97),"",IF(ISNUMBER($AC97),IF($AC97&gt;=0,$AC97,""),""))</f>
        <v/>
      </c>
      <c r="BG97" s="100" t="str">
        <f aca="false">IF(ISBLANK($C97),"",IF($AD97=Constants!$B$2,TRUE(),IF($AD97=Constants!$B$3,FALSE(),FALSE())))</f>
        <v/>
      </c>
      <c r="BH97" s="99" t="str">
        <f aca="false">IF(ISBLANK($C97),"",IF($BG97,Constants!$B$7,IF(COUNTA($E97:$AC97)=0,Constants!$B$6,IF(OR(COUNTA($G97:$AC97)=0,NOT($AK97),$AQ97),Constants!$B$5,IF(OR($CI97&lt;&gt;"",$CJ97,$CK97,$CL97,$CM97,$CN97,$CO97),Constants!$B$8,Constants!$B$4)))))</f>
        <v/>
      </c>
      <c r="BI97" s="100" t="str">
        <f aca="false">IF(ISBLANK($C97),"",IF($BH97&lt;&gt;Constants!$B$4,$BH97,IF(OR(NOT($AH97),NOT($AJ97),NOT($AR97)),Constants!$B$11,IF(OR(NOT($AP97),MAX($AL97,$AM97,$AN97)&gt;Constants!$B$30),Constants!$B$10,Constants!$B$9))))</f>
        <v/>
      </c>
      <c r="BJ97" s="100" t="str">
        <f aca="false">IF($BH97&lt;&gt;Constants!$B$4,"",IF(NOT($AJ97),0,MIN(Constants!$B$35,$BC97)))</f>
        <v/>
      </c>
      <c r="BK97" s="100" t="str">
        <f aca="false">IF($BH97&lt;&gt;Constants!$B$4,"",IF(NOT($AJ97),0,IF($AT97,Constants!$B$18,IF($AS97,Constants!$B$17,0))))</f>
        <v/>
      </c>
      <c r="BL97" s="100" t="str">
        <f aca="false">IF($BH97&lt;&gt;Constants!$B$4,"",IF(NOT($AJ97),0,Constants!$B$19*($AI97+$AU97+$AV97+$AW97)))</f>
        <v/>
      </c>
      <c r="BM97" s="100" t="str">
        <f aca="false">IF($BH97&lt;&gt;Constants!$B$4,"",IF(OR(NOT($AJ97),NOT(ISNUMBER($AX97))),0,CHOOSE($AX97,Constants!$B$13,Constants!$B$14,Constants!$B$15,Constants!$B$16)))</f>
        <v/>
      </c>
      <c r="BN97" s="100" t="str">
        <f aca="false">IF($BH97&lt;&gt;Constants!$B$4,"",IF(NOT($AJ97),0,Constants!$B$20*$AY97))</f>
        <v/>
      </c>
      <c r="BO97" s="100" t="str">
        <f aca="false">IF($BH97&lt;&gt;Constants!$B$4,"",IF(AND($AJ97,$BA97,$BB97),Constants!$B$22,0))</f>
        <v/>
      </c>
      <c r="BP97" s="100" t="str">
        <f aca="false">IF($BH97&lt;&gt;Constants!$B$4,"",IF(OR(NOT($AJ97),NOT($BA97)),0,IF($BF97&gt;=2*$AF$9,0,Constants!$B$23*INT(ROUND(MIN($BF97,$AF$9),6)))))</f>
        <v/>
      </c>
      <c r="BQ97" s="100" t="str">
        <f aca="false">IF($BH97&lt;&gt;Constants!$B$4,"",IF(NOT($AJ97),0,Constants!$B$24*INT(ROUND(MIN($AZ97,$AF$9),6))))</f>
        <v/>
      </c>
      <c r="BR97" s="100" t="str">
        <f aca="false">IF($BH97&lt;&gt;Constants!$B$4,"",IF(AND($AJ97,$BJ97=0),Constants!$B$25,0))</f>
        <v/>
      </c>
      <c r="BS97" s="100" t="str">
        <f aca="false">IF($BH97&lt;&gt;Constants!$B$4,"",MIN(Constants!$B$29,MAX(0,Constants!$B$27*Constants!$B$28*INT(ROUND((Constants!$B$26-$AL97)/Constants!$B$28,6))))+MIN(Constants!$B$29,MAX(0,Constants!$B$27*Constants!$B$28*INT(ROUND((Constants!$B$26-$AM97)/Constants!$B$28,6))))+MIN(Constants!$B$29,MAX(0,Constants!$B$27*Constants!$B$28*INT(ROUND((Constants!$B$26-$AN97)/Constants!$B$28,6)))))</f>
        <v/>
      </c>
      <c r="BT97" s="100" t="str">
        <f aca="false">IF($BH97&lt;&gt;Constants!$B$4,"",IF(NOT($AJ97),0,Constants!$B$31*INT(ROUND(MAX(0,MIN($BF97,2*$AF$9)-$AF$9),6))))</f>
        <v/>
      </c>
      <c r="BU97" s="100" t="str">
        <f aca="false">IF($BH97&lt;&gt;Constants!$B$4,"",Constants!$B$32*(($AL97&gt;Constants!$B$26)+($AM97&gt;Constants!$B$26)+($AN97&gt;Constants!$B$26)))</f>
        <v/>
      </c>
      <c r="BV97" s="100" t="str">
        <f aca="false">IF($BH97&lt;&gt;Constants!$B$4,"",IF(OR(NOT($AJ97),$AO97),0,Constants!$B$33))</f>
        <v/>
      </c>
      <c r="BW97" s="100" t="str">
        <f aca="false">IF($BH97&lt;&gt;Constants!$B$4,"",Constants!$B$34*$BJ97)</f>
        <v/>
      </c>
      <c r="BX97" s="100" t="str">
        <f aca="false">IF($BH97&lt;&gt;Constants!$B$4,"",IF(OR(NOT($AJ97),$BE97),0,Constants!$B$36))</f>
        <v/>
      </c>
      <c r="BY97" s="100" t="str">
        <f aca="false">IF($BH97&lt;&gt;Constants!$B$4,"",IF(OR(NOT($AJ97),$BD97),0,Constants!$B$37))</f>
        <v/>
      </c>
      <c r="BZ97" s="100" t="str">
        <f aca="false">IF($BH97&lt;&gt;Constants!$B$4,"",SUM($BT97:$BY97))</f>
        <v/>
      </c>
      <c r="CA97" s="100" t="str">
        <f aca="false">IF(ISBLANK($C97),"",IF($BH97&lt;&gt;Constants!$B$4,$BH97,SUM($BK97:$BS97)-$BZ97))</f>
        <v/>
      </c>
      <c r="CB97" s="100" t="str">
        <f aca="false">IF(ISBLANK($C97),"",IF($BH97&lt;&gt;Constants!$B$4,$BH97,RANK($CA97,$CA$9:$CA$508)))</f>
        <v/>
      </c>
      <c r="CC97" s="100" t="str">
        <f aca="false">IF(ISBLANK($C97),"",IF($BH97&lt;&gt;Constants!$B$4,$BH97,COUNTIFS($BI$9:$BI$508,"&lt;"&amp;$BI97)+COUNTIFS($BI$9:$BI$508,$BI97,$CB$9:$CB$508,"&lt;"&amp;$CB97)+1))</f>
        <v/>
      </c>
      <c r="CD97" s="100" t="str">
        <f aca="false">IF(ISBLANK($C97),"",IF($BH97&lt;&gt;Constants!$B$4,$BH97,RANK($BZ97,$BZ$9:$BZ$508,1)))</f>
        <v/>
      </c>
      <c r="CE97" s="100" t="str">
        <f aca="false">IF($BH97&lt;&gt;Constants!$B$4,"",$AL97+$AM97+$AN97)</f>
        <v/>
      </c>
      <c r="CF97" s="100" t="str">
        <f aca="false">IF(ISBLANK($C97),"",IF($BH97&lt;&gt;Constants!$B$4,$BH97,RANK($CE97,$CE$9:$CE$508,1)))</f>
        <v/>
      </c>
      <c r="CG97" s="100" t="str">
        <f aca="false">IF(ISBLANK($C97),"",IF($BH97&lt;&gt;Constants!$B$4,$BH97,COUNTIFS($BI$9:$BI$508,"&lt;"&amp;$BI97)+COUNTIFS($BI$9:$BI$508,$BI97,$CB$9:$CB$508,"&lt;"&amp;$CB97)+COUNTIFS($BI$9:$BI$508,$BI97,$CB$9:$CB$508,$CB97,$CD$9:$CD$508,"&lt;"&amp;$CD97)+COUNTIFS($BI$9:$BI$508,$BI97,$CB$9:$CB$508,$CB97,$CD$9:$CD$508,$CD97,$CF$9:$CF$508,"&lt;"&amp;$CF97)+1))</f>
        <v/>
      </c>
      <c r="CH97" s="100" t="str">
        <f aca="false">IF(ISBLANK($C97),"",IF($BH97&lt;&gt;Constants!$B$4,$BH97,$CC97-$CG97))</f>
        <v/>
      </c>
      <c r="CI97" s="100" t="str">
        <f aca="false">IF(ISBLANK($C97),"",IF(NOT($AJ97),"",IF(ISBLANK($D$7),$CI$5,IF(NOT(ISNUMBER($D$7)),$CI$6,""))))</f>
        <v/>
      </c>
      <c r="CJ97" s="100" t="str">
        <f aca="false">IF(ISBLANK($C97),"",OR($AL97="",$AM97="",$AN97=""))</f>
        <v/>
      </c>
      <c r="CK97" s="100" t="str">
        <f aca="false">IF(ISBLANK($C97),"",AND($AJ97,$AX97=""))</f>
        <v/>
      </c>
      <c r="CL97" s="100" t="str">
        <f aca="false">IF(ISBLANK($C97),"",AND($AJ97,$AY97=""))</f>
        <v/>
      </c>
      <c r="CM97" s="100" t="str">
        <f aca="false">IF(ISBLANK($C97),"",AND($AJ97,$AZ97=""))</f>
        <v/>
      </c>
      <c r="CN97" s="100" t="str">
        <f aca="false">IF(ISBLANK($C97),"",AND($AJ97,$BC97=""))</f>
        <v/>
      </c>
      <c r="CO97" s="100" t="str">
        <f aca="false">IF(ISBLANK($C97),"",AND($AJ97,$BF97=""))</f>
        <v/>
      </c>
      <c r="CP97" s="101"/>
      <c r="CQ97" s="102"/>
      <c r="CR97" s="103" t="str">
        <f aca="false">IF(ISBLANK($C97),"",IF($BH97=Constants!$B$8,$CI97,""))</f>
        <v/>
      </c>
      <c r="CS97" s="102" t="str">
        <f aca="false">IF(ISBLANK($C97),"",IF($BH97&lt;&gt;Constants!$B$4,"",$BK97+$BL97))</f>
        <v/>
      </c>
      <c r="CT97" s="104" t="str">
        <f aca="false">IF(ISBLANK($C97),"",IF($BH97&lt;&gt;Constants!$B$4,"",$BM97+$BN97+$BO97))</f>
        <v/>
      </c>
      <c r="CU97" s="104" t="str">
        <f aca="false">IF(ISBLANK($C97),"",IF($BH97&lt;&gt;Constants!$B$4,"",$BP97))</f>
        <v/>
      </c>
      <c r="CV97" s="104" t="str">
        <f aca="false">IF(ISBLANK($C97),"",IF($BH97&lt;&gt;Constants!$B$4,"",$BQ97+$BR97))</f>
        <v/>
      </c>
      <c r="CW97" s="104" t="str">
        <f aca="false">IF(ISBLANK($C97),"",IF($BH97&lt;&gt;Constants!$B$4,"",$BS97))</f>
        <v/>
      </c>
      <c r="CX97" s="104" t="str">
        <f aca="false">IF(ISBLANK($C97),"",IF($BH97&lt;&gt;Constants!$B$4,"",-$BZ97))</f>
        <v/>
      </c>
      <c r="CY97" s="103" t="str">
        <f aca="false">IF(ISBLANK($C97),"",$CA97)</f>
        <v/>
      </c>
      <c r="CZ97" s="105" t="str">
        <f aca="false">IF(ISBLANK($C97),"",$BI97)</f>
        <v/>
      </c>
      <c r="DA97" s="104" t="str">
        <f aca="false">IF(ISBLANK($C97),"",$CH97)</f>
        <v/>
      </c>
      <c r="DB97" s="104" t="str">
        <f aca="false">IF(ISBLANK($C97),"",$CG97)</f>
        <v/>
      </c>
      <c r="DC97" s="106" t="str">
        <f aca="false">IF(ISBLANK($C97),"",IFERROR(_xlfn.SWITCH($DB97,Constants!$B$7,COUNTA($C$9:$C$508)+2,Constants!$B$6,COUNTA($C$9:$C$508)+1,Constants!$B$5,COUNTA($C$9:$C$508)),$DB97))</f>
        <v/>
      </c>
      <c r="DD97" s="7"/>
      <c r="DE97" s="107" t="n">
        <f aca="false">IF(OR(ISNUMBER($DB97),$DB97=Constants!$B$7,$DB97=Constants!$B$5,$DB97=Constants!$B$6),1,0)</f>
        <v>0</v>
      </c>
      <c r="DF97" s="107" t="n">
        <v>89</v>
      </c>
      <c r="DG97" s="107" t="str">
        <f aca="false">IF(ISBLANK($C97),"",IF(ISNUMBER($DC97),$DC97+ROW($B97)/1000,""))</f>
        <v/>
      </c>
      <c r="DH97" s="107" t="str">
        <f aca="false">IF(ISNUMBER($DG97),RANK($DG97,$DG$9:$DG$508,1),"")</f>
        <v/>
      </c>
      <c r="DI97" s="107" t="str">
        <f aca="false">IF(ISBLANK($C97),"",$B97)</f>
        <v/>
      </c>
      <c r="DJ97" s="107" t="str">
        <f aca="false">IF(ISBLANK($C97),"",$C97)</f>
        <v/>
      </c>
      <c r="DK97" s="107" t="str">
        <f aca="false">IF(ISBLANK($C97),"",$D97)</f>
        <v/>
      </c>
      <c r="DL97" s="108" t="str">
        <f aca="false">$CZ97</f>
        <v/>
      </c>
      <c r="DM97" s="109" t="str">
        <f aca="false">$CY97</f>
        <v/>
      </c>
      <c r="DN97" s="107" t="str">
        <f aca="false">IF(ISBLANK($C97),"",$DB97)</f>
        <v/>
      </c>
      <c r="DO97" s="110" t="str">
        <f aca="false">IF($DF97&gt;$DE$8,"",VLOOKUP($DF97,$DH$9:$DN$508,7,FALSE()))</f>
        <v/>
      </c>
      <c r="DP97" s="111" t="str">
        <f aca="false">IF($DF97&gt;$DE$8,"",VLOOKUP($DF97,$DH$9:$DN$508,2,FALSE()))</f>
        <v/>
      </c>
      <c r="DQ97" s="111" t="str">
        <f aca="false">IF($DF97&gt;$DE$8,"",VLOOKUP($DF97,$DH$9:$DN$508,3,FALSE()))</f>
        <v/>
      </c>
      <c r="DR97" s="111" t="str">
        <f aca="false">IF($DF97&gt;$DE$8,"",VLOOKUP($DF97,$DH$9:$DN$508,4,FALSE()))</f>
        <v/>
      </c>
      <c r="DS97" s="111" t="str">
        <f aca="false">IF($DF97&gt;$DE$8,"",VLOOKUP($DF97,$DH$9:$DN$508,5,FALSE()))</f>
        <v/>
      </c>
      <c r="DT97" s="112" t="str">
        <f aca="false">IF($DF97&gt;$DE$8,"",VLOOKUP($DF97,$DH$9:$DN$508,6,FALSE()))</f>
        <v/>
      </c>
      <c r="DU97" s="62"/>
    </row>
    <row r="98" customFormat="false" ht="15.75" hidden="false" customHeight="false" outlineLevel="0" collapsed="false">
      <c r="A98" s="7"/>
      <c r="B98" s="90"/>
      <c r="C98" s="91"/>
      <c r="D98" s="126"/>
      <c r="E98" s="116"/>
      <c r="F98" s="113"/>
      <c r="G98" s="116"/>
      <c r="H98" s="113"/>
      <c r="I98" s="131"/>
      <c r="J98" s="131"/>
      <c r="K98" s="131"/>
      <c r="L98" s="116"/>
      <c r="M98" s="116"/>
      <c r="N98" s="116"/>
      <c r="O98" s="113"/>
      <c r="P98" s="116"/>
      <c r="Q98" s="116"/>
      <c r="R98" s="116"/>
      <c r="S98" s="116"/>
      <c r="T98" s="113"/>
      <c r="U98" s="116"/>
      <c r="V98" s="132"/>
      <c r="W98" s="116"/>
      <c r="X98" s="116"/>
      <c r="Y98" s="132"/>
      <c r="Z98" s="132"/>
      <c r="AA98" s="116"/>
      <c r="AB98" s="116"/>
      <c r="AC98" s="133"/>
      <c r="AD98" s="116"/>
      <c r="AE98" s="99"/>
      <c r="AF98" s="100"/>
      <c r="AG98" s="100"/>
      <c r="AH98" s="100" t="str">
        <f aca="false">IF(ISBLANK($C98),"",IF($E98=Constants!$B$2,TRUE(),IF($E98=Constants!$B$3,FALSE(),TRUE())))</f>
        <v/>
      </c>
      <c r="AI98" s="100" t="str">
        <f aca="false">IF(ISBLANK($C98),"",IF($F98=Constants!$B$2,TRUE(),IF($F98=Constants!$B$3,FALSE(),FALSE())))</f>
        <v/>
      </c>
      <c r="AJ98" s="100" t="str">
        <f aca="false">IF(ISBLANK($C98),"",IF($G98=Constants!$B$2,TRUE(),IF($G98=Constants!$B$3,FALSE(),TRUE())))</f>
        <v/>
      </c>
      <c r="AK98" s="100" t="str">
        <f aca="false">IF(ISBLANK($C98),"",IF($H98=Constants!$B$2,TRUE(),IF($H98=Constants!$B$3,FALSE(),TRUE())))</f>
        <v/>
      </c>
      <c r="AL98" s="100" t="str">
        <f aca="false">IF(ISBLANK($C98),"",IF(ISNUMBER($I98),IF($I98&gt;=0,$I98,""),""))</f>
        <v/>
      </c>
      <c r="AM98" s="100" t="str">
        <f aca="false">IF(ISBLANK($C98),"",IF(ISNUMBER($J98),IF($J98&gt;=0,$J98,""),""))</f>
        <v/>
      </c>
      <c r="AN98" s="100" t="str">
        <f aca="false">IF(ISBLANK($C98),"",IF(ISNUMBER($K98),IF($K98&gt;=0,$K98,""),""))</f>
        <v/>
      </c>
      <c r="AO98" s="100" t="str">
        <f aca="false">IF(ISBLANK($C98),"",IF($L98=Constants!$B$2,TRUE(),IF($L98=Constants!$B$3,FALSE(),TRUE())))</f>
        <v/>
      </c>
      <c r="AP98" s="100" t="str">
        <f aca="false">IF(ISBLANK($C98),"",IF($M98=Constants!$B$2,TRUE(),IF($M98=Constants!$B$3,FALSE(),TRUE())))</f>
        <v/>
      </c>
      <c r="AQ98" s="100" t="str">
        <f aca="false">IF(ISBLANK($C98),"",IF($N98=Constants!$B$2,TRUE(),IF($N98=Constants!$B$3,FALSE(),FALSE())))</f>
        <v/>
      </c>
      <c r="AR98" s="100" t="str">
        <f aca="false">IF(ISBLANK($C98),"",IF($O98=Constants!$B$2,TRUE(),IF($O98=Constants!$B$3,FALSE(),TRUE())))</f>
        <v/>
      </c>
      <c r="AS98" s="100" t="str">
        <f aca="false">IF(ISBLANK($C98),"",IF($P98=Constants!$B$2,TRUE(),IF($P98=Constants!$B$3,FALSE(),FALSE())))</f>
        <v/>
      </c>
      <c r="AT98" s="100" t="str">
        <f aca="false">IF(ISBLANK($C98),"",IF($Q98=Constants!$B$2,TRUE(),IF($Q98=Constants!$B$3,FALSE(),FALSE())))</f>
        <v/>
      </c>
      <c r="AU98" s="100" t="str">
        <f aca="false">IF(ISBLANK($C98),"",IF($R98=Constants!$B$2,TRUE(),IF($R98=Constants!$B$3,FALSE(),FALSE())))</f>
        <v/>
      </c>
      <c r="AV98" s="100" t="str">
        <f aca="false">IF(ISBLANK($C98),"",IF($S98=Constants!$B$2,TRUE(),IF($S98=Constants!$B$3,FALSE(),FALSE())))</f>
        <v/>
      </c>
      <c r="AW98" s="100" t="str">
        <f aca="false">IF(ISBLANK($C98),"",IF($T98=Constants!$B$2,TRUE(),IF($T98=Constants!$B$3,FALSE(),FALSE())))</f>
        <v/>
      </c>
      <c r="AX98" s="100" t="str">
        <f aca="false">IF(ISBLANK($C98),"",IF(OR($U98&amp;""="1",$U98&amp;""="2",$U98&amp;""="3",$U98&amp;""="4"),VALUE($U98&amp;""),IF($U98=Constants!$B$12,Constants!$B$12,"")))</f>
        <v/>
      </c>
      <c r="AY98" s="100" t="str">
        <f aca="false">IF(ISBLANK($C98),"",IF(ISBLANK($V98),0,IF(ISNUMBER($V98),IF(AND($V98&gt;=0,$V98&lt;=Constants!$B$21,$V98=INT($V98)),$V98,""),"")))</f>
        <v/>
      </c>
      <c r="AZ98" s="100" t="str">
        <f aca="false">IF(ISBLANK($C98),"",IF(ISBLANK($W98),0,IF(ISNUMBER($W98),IF($W98&gt;=0,$W98,""),"")))</f>
        <v/>
      </c>
      <c r="BA98" s="100" t="str">
        <f aca="false">IF(ISBLANK($C98),"",IF($X98=Constants!$B$2,TRUE(),IF($X98=Constants!$B$3,FALSE(),TRUE())))</f>
        <v/>
      </c>
      <c r="BB98" s="100" t="str">
        <f aca="false">IF(ISBLANK($C98),"",IF($Y98=Constants!$B$2,TRUE(),IF($Y98=Constants!$B$3,FALSE(),FALSE())))</f>
        <v/>
      </c>
      <c r="BC98" s="100" t="str">
        <f aca="false">IF(ISBLANK($C98),"",IF(ISBLANK($Z98),0,IF(ISNUMBER($Z98),IF(AND($Z98&gt;=0,$Z98&lt;=Constants!$B$35,$Z98=INT($Z98)),$Z98,""),"")))</f>
        <v/>
      </c>
      <c r="BD98" s="100" t="str">
        <f aca="false">IF(ISBLANK($C98),"",IF($AA98=Constants!$B$2,TRUE(),IF($AA98=Constants!$B$3,FALSE(),TRUE())))</f>
        <v/>
      </c>
      <c r="BE98" s="100" t="str">
        <f aca="false">IF(ISBLANK($C98),"",IF($AB98=Constants!$B$2,TRUE(),IF($AB98=Constants!$B$3,FALSE(),TRUE())))</f>
        <v/>
      </c>
      <c r="BF98" s="100" t="str">
        <f aca="false">IF(ISBLANK($C98),"",IF(ISNUMBER($AC98),IF($AC98&gt;=0,$AC98,""),""))</f>
        <v/>
      </c>
      <c r="BG98" s="100" t="str">
        <f aca="false">IF(ISBLANK($C98),"",IF($AD98=Constants!$B$2,TRUE(),IF($AD98=Constants!$B$3,FALSE(),FALSE())))</f>
        <v/>
      </c>
      <c r="BH98" s="99" t="str">
        <f aca="false">IF(ISBLANK($C98),"",IF($BG98,Constants!$B$7,IF(COUNTA($E98:$AC98)=0,Constants!$B$6,IF(OR(COUNTA($G98:$AC98)=0,NOT($AK98),$AQ98),Constants!$B$5,IF(OR($CI98&lt;&gt;"",$CJ98,$CK98,$CL98,$CM98,$CN98,$CO98),Constants!$B$8,Constants!$B$4)))))</f>
        <v/>
      </c>
      <c r="BI98" s="100" t="str">
        <f aca="false">IF(ISBLANK($C98),"",IF($BH98&lt;&gt;Constants!$B$4,$BH98,IF(OR(NOT($AH98),NOT($AJ98),NOT($AR98)),Constants!$B$11,IF(OR(NOT($AP98),MAX($AL98,$AM98,$AN98)&gt;Constants!$B$30),Constants!$B$10,Constants!$B$9))))</f>
        <v/>
      </c>
      <c r="BJ98" s="100" t="str">
        <f aca="false">IF($BH98&lt;&gt;Constants!$B$4,"",IF(NOT($AJ98),0,MIN(Constants!$B$35,$BC98)))</f>
        <v/>
      </c>
      <c r="BK98" s="100" t="str">
        <f aca="false">IF($BH98&lt;&gt;Constants!$B$4,"",IF(NOT($AJ98),0,IF($AT98,Constants!$B$18,IF($AS98,Constants!$B$17,0))))</f>
        <v/>
      </c>
      <c r="BL98" s="100" t="str">
        <f aca="false">IF($BH98&lt;&gt;Constants!$B$4,"",IF(NOT($AJ98),0,Constants!$B$19*($AI98+$AU98+$AV98+$AW98)))</f>
        <v/>
      </c>
      <c r="BM98" s="100" t="str">
        <f aca="false">IF($BH98&lt;&gt;Constants!$B$4,"",IF(OR(NOT($AJ98),NOT(ISNUMBER($AX98))),0,CHOOSE($AX98,Constants!$B$13,Constants!$B$14,Constants!$B$15,Constants!$B$16)))</f>
        <v/>
      </c>
      <c r="BN98" s="100" t="str">
        <f aca="false">IF($BH98&lt;&gt;Constants!$B$4,"",IF(NOT($AJ98),0,Constants!$B$20*$AY98))</f>
        <v/>
      </c>
      <c r="BO98" s="100" t="str">
        <f aca="false">IF($BH98&lt;&gt;Constants!$B$4,"",IF(AND($AJ98,$BA98,$BB98),Constants!$B$22,0))</f>
        <v/>
      </c>
      <c r="BP98" s="100" t="str">
        <f aca="false">IF($BH98&lt;&gt;Constants!$B$4,"",IF(OR(NOT($AJ98),NOT($BA98)),0,IF($BF98&gt;=2*$AF$9,0,Constants!$B$23*INT(ROUND(MIN($BF98,$AF$9),6)))))</f>
        <v/>
      </c>
      <c r="BQ98" s="100" t="str">
        <f aca="false">IF($BH98&lt;&gt;Constants!$B$4,"",IF(NOT($AJ98),0,Constants!$B$24*INT(ROUND(MIN($AZ98,$AF$9),6))))</f>
        <v/>
      </c>
      <c r="BR98" s="100" t="str">
        <f aca="false">IF($BH98&lt;&gt;Constants!$B$4,"",IF(AND($AJ98,$BJ98=0),Constants!$B$25,0))</f>
        <v/>
      </c>
      <c r="BS98" s="100" t="str">
        <f aca="false">IF($BH98&lt;&gt;Constants!$B$4,"",MIN(Constants!$B$29,MAX(0,Constants!$B$27*Constants!$B$28*INT(ROUND((Constants!$B$26-$AL98)/Constants!$B$28,6))))+MIN(Constants!$B$29,MAX(0,Constants!$B$27*Constants!$B$28*INT(ROUND((Constants!$B$26-$AM98)/Constants!$B$28,6))))+MIN(Constants!$B$29,MAX(0,Constants!$B$27*Constants!$B$28*INT(ROUND((Constants!$B$26-$AN98)/Constants!$B$28,6)))))</f>
        <v/>
      </c>
      <c r="BT98" s="100" t="str">
        <f aca="false">IF($BH98&lt;&gt;Constants!$B$4,"",IF(NOT($AJ98),0,Constants!$B$31*INT(ROUND(MAX(0,MIN($BF98,2*$AF$9)-$AF$9),6))))</f>
        <v/>
      </c>
      <c r="BU98" s="100" t="str">
        <f aca="false">IF($BH98&lt;&gt;Constants!$B$4,"",Constants!$B$32*(($AL98&gt;Constants!$B$26)+($AM98&gt;Constants!$B$26)+($AN98&gt;Constants!$B$26)))</f>
        <v/>
      </c>
      <c r="BV98" s="100" t="str">
        <f aca="false">IF($BH98&lt;&gt;Constants!$B$4,"",IF(OR(NOT($AJ98),$AO98),0,Constants!$B$33))</f>
        <v/>
      </c>
      <c r="BW98" s="100" t="str">
        <f aca="false">IF($BH98&lt;&gt;Constants!$B$4,"",Constants!$B$34*$BJ98)</f>
        <v/>
      </c>
      <c r="BX98" s="100" t="str">
        <f aca="false">IF($BH98&lt;&gt;Constants!$B$4,"",IF(OR(NOT($AJ98),$BE98),0,Constants!$B$36))</f>
        <v/>
      </c>
      <c r="BY98" s="100" t="str">
        <f aca="false">IF($BH98&lt;&gt;Constants!$B$4,"",IF(OR(NOT($AJ98),$BD98),0,Constants!$B$37))</f>
        <v/>
      </c>
      <c r="BZ98" s="100" t="str">
        <f aca="false">IF($BH98&lt;&gt;Constants!$B$4,"",SUM($BT98:$BY98))</f>
        <v/>
      </c>
      <c r="CA98" s="100" t="str">
        <f aca="false">IF(ISBLANK($C98),"",IF($BH98&lt;&gt;Constants!$B$4,$BH98,SUM($BK98:$BS98)-$BZ98))</f>
        <v/>
      </c>
      <c r="CB98" s="100" t="str">
        <f aca="false">IF(ISBLANK($C98),"",IF($BH98&lt;&gt;Constants!$B$4,$BH98,RANK($CA98,$CA$9:$CA$508)))</f>
        <v/>
      </c>
      <c r="CC98" s="100" t="str">
        <f aca="false">IF(ISBLANK($C98),"",IF($BH98&lt;&gt;Constants!$B$4,$BH98,COUNTIFS($BI$9:$BI$508,"&lt;"&amp;$BI98)+COUNTIFS($BI$9:$BI$508,$BI98,$CB$9:$CB$508,"&lt;"&amp;$CB98)+1))</f>
        <v/>
      </c>
      <c r="CD98" s="100" t="str">
        <f aca="false">IF(ISBLANK($C98),"",IF($BH98&lt;&gt;Constants!$B$4,$BH98,RANK($BZ98,$BZ$9:$BZ$508,1)))</f>
        <v/>
      </c>
      <c r="CE98" s="100" t="str">
        <f aca="false">IF($BH98&lt;&gt;Constants!$B$4,"",$AL98+$AM98+$AN98)</f>
        <v/>
      </c>
      <c r="CF98" s="100" t="str">
        <f aca="false">IF(ISBLANK($C98),"",IF($BH98&lt;&gt;Constants!$B$4,$BH98,RANK($CE98,$CE$9:$CE$508,1)))</f>
        <v/>
      </c>
      <c r="CG98" s="100" t="str">
        <f aca="false">IF(ISBLANK($C98),"",IF($BH98&lt;&gt;Constants!$B$4,$BH98,COUNTIFS($BI$9:$BI$508,"&lt;"&amp;$BI98)+COUNTIFS($BI$9:$BI$508,$BI98,$CB$9:$CB$508,"&lt;"&amp;$CB98)+COUNTIFS($BI$9:$BI$508,$BI98,$CB$9:$CB$508,$CB98,$CD$9:$CD$508,"&lt;"&amp;$CD98)+COUNTIFS($BI$9:$BI$508,$BI98,$CB$9:$CB$508,$CB98,$CD$9:$CD$508,$CD98,$CF$9:$CF$508,"&lt;"&amp;$CF98)+1))</f>
        <v/>
      </c>
      <c r="CH98" s="100" t="str">
        <f aca="false">IF(ISBLANK($C98),"",IF($BH98&lt;&gt;Constants!$B$4,$BH98,$CC98-$CG98))</f>
        <v/>
      </c>
      <c r="CI98" s="100" t="str">
        <f aca="false">IF(ISBLANK($C98),"",IF(NOT($AJ98),"",IF(ISBLANK($D$7),$CI$5,IF(NOT(ISNUMBER($D$7)),$CI$6,""))))</f>
        <v/>
      </c>
      <c r="CJ98" s="100" t="str">
        <f aca="false">IF(ISBLANK($C98),"",OR($AL98="",$AM98="",$AN98=""))</f>
        <v/>
      </c>
      <c r="CK98" s="100" t="str">
        <f aca="false">IF(ISBLANK($C98),"",AND($AJ98,$AX98=""))</f>
        <v/>
      </c>
      <c r="CL98" s="100" t="str">
        <f aca="false">IF(ISBLANK($C98),"",AND($AJ98,$AY98=""))</f>
        <v/>
      </c>
      <c r="CM98" s="100" t="str">
        <f aca="false">IF(ISBLANK($C98),"",AND($AJ98,$AZ98=""))</f>
        <v/>
      </c>
      <c r="CN98" s="100" t="str">
        <f aca="false">IF(ISBLANK($C98),"",AND($AJ98,$BC98=""))</f>
        <v/>
      </c>
      <c r="CO98" s="100" t="str">
        <f aca="false">IF(ISBLANK($C98),"",AND($AJ98,$BF98=""))</f>
        <v/>
      </c>
      <c r="CP98" s="101"/>
      <c r="CQ98" s="102"/>
      <c r="CR98" s="103" t="str">
        <f aca="false">IF(ISBLANK($C98),"",IF($BH98=Constants!$B$8,$CI98,""))</f>
        <v/>
      </c>
      <c r="CS98" s="102" t="str">
        <f aca="false">IF(ISBLANK($C98),"",IF($BH98&lt;&gt;Constants!$B$4,"",$BK98+$BL98))</f>
        <v/>
      </c>
      <c r="CT98" s="104" t="str">
        <f aca="false">IF(ISBLANK($C98),"",IF($BH98&lt;&gt;Constants!$B$4,"",$BM98+$BN98+$BO98))</f>
        <v/>
      </c>
      <c r="CU98" s="104" t="str">
        <f aca="false">IF(ISBLANK($C98),"",IF($BH98&lt;&gt;Constants!$B$4,"",$BP98))</f>
        <v/>
      </c>
      <c r="CV98" s="104" t="str">
        <f aca="false">IF(ISBLANK($C98),"",IF($BH98&lt;&gt;Constants!$B$4,"",$BQ98+$BR98))</f>
        <v/>
      </c>
      <c r="CW98" s="104" t="str">
        <f aca="false">IF(ISBLANK($C98),"",IF($BH98&lt;&gt;Constants!$B$4,"",$BS98))</f>
        <v/>
      </c>
      <c r="CX98" s="104" t="str">
        <f aca="false">IF(ISBLANK($C98),"",IF($BH98&lt;&gt;Constants!$B$4,"",-$BZ98))</f>
        <v/>
      </c>
      <c r="CY98" s="103" t="str">
        <f aca="false">IF(ISBLANK($C98),"",$CA98)</f>
        <v/>
      </c>
      <c r="CZ98" s="105" t="str">
        <f aca="false">IF(ISBLANK($C98),"",$BI98)</f>
        <v/>
      </c>
      <c r="DA98" s="104" t="str">
        <f aca="false">IF(ISBLANK($C98),"",$CH98)</f>
        <v/>
      </c>
      <c r="DB98" s="104" t="str">
        <f aca="false">IF(ISBLANK($C98),"",$CG98)</f>
        <v/>
      </c>
      <c r="DC98" s="106" t="str">
        <f aca="false">IF(ISBLANK($C98),"",IFERROR(_xlfn.SWITCH($DB98,Constants!$B$7,COUNTA($C$9:$C$508)+2,Constants!$B$6,COUNTA($C$9:$C$508)+1,Constants!$B$5,COUNTA($C$9:$C$508)),$DB98))</f>
        <v/>
      </c>
      <c r="DD98" s="7"/>
      <c r="DE98" s="107" t="n">
        <f aca="false">IF(OR(ISNUMBER($DB98),$DB98=Constants!$B$7,$DB98=Constants!$B$5,$DB98=Constants!$B$6),1,0)</f>
        <v>0</v>
      </c>
      <c r="DF98" s="107" t="n">
        <v>90</v>
      </c>
      <c r="DG98" s="107" t="str">
        <f aca="false">IF(ISBLANK($C98),"",IF(ISNUMBER($DC98),$DC98+ROW($B98)/1000,""))</f>
        <v/>
      </c>
      <c r="DH98" s="107" t="str">
        <f aca="false">IF(ISNUMBER($DG98),RANK($DG98,$DG$9:$DG$508,1),"")</f>
        <v/>
      </c>
      <c r="DI98" s="107" t="str">
        <f aca="false">IF(ISBLANK($C98),"",$B98)</f>
        <v/>
      </c>
      <c r="DJ98" s="107" t="str">
        <f aca="false">IF(ISBLANK($C98),"",$C98)</f>
        <v/>
      </c>
      <c r="DK98" s="107" t="str">
        <f aca="false">IF(ISBLANK($C98),"",$D98)</f>
        <v/>
      </c>
      <c r="DL98" s="108" t="str">
        <f aca="false">$CZ98</f>
        <v/>
      </c>
      <c r="DM98" s="109" t="str">
        <f aca="false">$CY98</f>
        <v/>
      </c>
      <c r="DN98" s="107" t="str">
        <f aca="false">IF(ISBLANK($C98),"",$DB98)</f>
        <v/>
      </c>
      <c r="DO98" s="110" t="str">
        <f aca="false">IF($DF98&gt;$DE$8,"",VLOOKUP($DF98,$DH$9:$DN$508,7,FALSE()))</f>
        <v/>
      </c>
      <c r="DP98" s="111" t="str">
        <f aca="false">IF($DF98&gt;$DE$8,"",VLOOKUP($DF98,$DH$9:$DN$508,2,FALSE()))</f>
        <v/>
      </c>
      <c r="DQ98" s="111" t="str">
        <f aca="false">IF($DF98&gt;$DE$8,"",VLOOKUP($DF98,$DH$9:$DN$508,3,FALSE()))</f>
        <v/>
      </c>
      <c r="DR98" s="111" t="str">
        <f aca="false">IF($DF98&gt;$DE$8,"",VLOOKUP($DF98,$DH$9:$DN$508,4,FALSE()))</f>
        <v/>
      </c>
      <c r="DS98" s="111" t="str">
        <f aca="false">IF($DF98&gt;$DE$8,"",VLOOKUP($DF98,$DH$9:$DN$508,5,FALSE()))</f>
        <v/>
      </c>
      <c r="DT98" s="112" t="str">
        <f aca="false">IF($DF98&gt;$DE$8,"",VLOOKUP($DF98,$DH$9:$DN$508,6,FALSE()))</f>
        <v/>
      </c>
      <c r="DU98" s="62"/>
    </row>
    <row r="99" customFormat="false" ht="15.75" hidden="false" customHeight="false" outlineLevel="0" collapsed="false">
      <c r="A99" s="7"/>
      <c r="B99" s="64"/>
      <c r="C99" s="65"/>
      <c r="D99" s="123"/>
      <c r="E99" s="88"/>
      <c r="F99" s="134"/>
      <c r="G99" s="88"/>
      <c r="H99" s="134"/>
      <c r="I99" s="119"/>
      <c r="J99" s="119"/>
      <c r="K99" s="119"/>
      <c r="L99" s="88"/>
      <c r="M99" s="88"/>
      <c r="N99" s="88"/>
      <c r="O99" s="134"/>
      <c r="P99" s="88"/>
      <c r="Q99" s="88"/>
      <c r="R99" s="88"/>
      <c r="S99" s="88"/>
      <c r="T99" s="134"/>
      <c r="U99" s="88"/>
      <c r="V99" s="70"/>
      <c r="W99" s="88"/>
      <c r="X99" s="88"/>
      <c r="Y99" s="70"/>
      <c r="Z99" s="70"/>
      <c r="AA99" s="88"/>
      <c r="AB99" s="88"/>
      <c r="AC99" s="71"/>
      <c r="AD99" s="88"/>
      <c r="AE99" s="73"/>
      <c r="AF99" s="74"/>
      <c r="AG99" s="74"/>
      <c r="AH99" s="74" t="str">
        <f aca="false">IF(ISBLANK($C99),"",IF($E99=Constants!$B$2,TRUE(),IF($E99=Constants!$B$3,FALSE(),TRUE())))</f>
        <v/>
      </c>
      <c r="AI99" s="74" t="str">
        <f aca="false">IF(ISBLANK($C99),"",IF($F99=Constants!$B$2,TRUE(),IF($F99=Constants!$B$3,FALSE(),FALSE())))</f>
        <v/>
      </c>
      <c r="AJ99" s="74" t="str">
        <f aca="false">IF(ISBLANK($C99),"",IF($G99=Constants!$B$2,TRUE(),IF($G99=Constants!$B$3,FALSE(),TRUE())))</f>
        <v/>
      </c>
      <c r="AK99" s="74" t="str">
        <f aca="false">IF(ISBLANK($C99),"",IF($H99=Constants!$B$2,TRUE(),IF($H99=Constants!$B$3,FALSE(),TRUE())))</f>
        <v/>
      </c>
      <c r="AL99" s="74" t="str">
        <f aca="false">IF(ISBLANK($C99),"",IF(ISNUMBER($I99),IF($I99&gt;=0,$I99,""),""))</f>
        <v/>
      </c>
      <c r="AM99" s="74" t="str">
        <f aca="false">IF(ISBLANK($C99),"",IF(ISNUMBER($J99),IF($J99&gt;=0,$J99,""),""))</f>
        <v/>
      </c>
      <c r="AN99" s="74" t="str">
        <f aca="false">IF(ISBLANK($C99),"",IF(ISNUMBER($K99),IF($K99&gt;=0,$K99,""),""))</f>
        <v/>
      </c>
      <c r="AO99" s="74" t="str">
        <f aca="false">IF(ISBLANK($C99),"",IF($L99=Constants!$B$2,TRUE(),IF($L99=Constants!$B$3,FALSE(),TRUE())))</f>
        <v/>
      </c>
      <c r="AP99" s="74" t="str">
        <f aca="false">IF(ISBLANK($C99),"",IF($M99=Constants!$B$2,TRUE(),IF($M99=Constants!$B$3,FALSE(),TRUE())))</f>
        <v/>
      </c>
      <c r="AQ99" s="74" t="str">
        <f aca="false">IF(ISBLANK($C99),"",IF($N99=Constants!$B$2,TRUE(),IF($N99=Constants!$B$3,FALSE(),FALSE())))</f>
        <v/>
      </c>
      <c r="AR99" s="74" t="str">
        <f aca="false">IF(ISBLANK($C99),"",IF($O99=Constants!$B$2,TRUE(),IF($O99=Constants!$B$3,FALSE(),TRUE())))</f>
        <v/>
      </c>
      <c r="AS99" s="74" t="str">
        <f aca="false">IF(ISBLANK($C99),"",IF($P99=Constants!$B$2,TRUE(),IF($P99=Constants!$B$3,FALSE(),FALSE())))</f>
        <v/>
      </c>
      <c r="AT99" s="74" t="str">
        <f aca="false">IF(ISBLANK($C99),"",IF($Q99=Constants!$B$2,TRUE(),IF($Q99=Constants!$B$3,FALSE(),FALSE())))</f>
        <v/>
      </c>
      <c r="AU99" s="74" t="str">
        <f aca="false">IF(ISBLANK($C99),"",IF($R99=Constants!$B$2,TRUE(),IF($R99=Constants!$B$3,FALSE(),FALSE())))</f>
        <v/>
      </c>
      <c r="AV99" s="74" t="str">
        <f aca="false">IF(ISBLANK($C99),"",IF($S99=Constants!$B$2,TRUE(),IF($S99=Constants!$B$3,FALSE(),FALSE())))</f>
        <v/>
      </c>
      <c r="AW99" s="74" t="str">
        <f aca="false">IF(ISBLANK($C99),"",IF($T99=Constants!$B$2,TRUE(),IF($T99=Constants!$B$3,FALSE(),FALSE())))</f>
        <v/>
      </c>
      <c r="AX99" s="74" t="str">
        <f aca="false">IF(ISBLANK($C99),"",IF(OR($U99&amp;""="1",$U99&amp;""="2",$U99&amp;""="3",$U99&amp;""="4"),VALUE($U99&amp;""),IF($U99=Constants!$B$12,Constants!$B$12,"")))</f>
        <v/>
      </c>
      <c r="AY99" s="74" t="str">
        <f aca="false">IF(ISBLANK($C99),"",IF(ISBLANK($V99),0,IF(ISNUMBER($V99),IF(AND($V99&gt;=0,$V99&lt;=Constants!$B$21,$V99=INT($V99)),$V99,""),"")))</f>
        <v/>
      </c>
      <c r="AZ99" s="74" t="str">
        <f aca="false">IF(ISBLANK($C99),"",IF(ISBLANK($W99),0,IF(ISNUMBER($W99),IF($W99&gt;=0,$W99,""),"")))</f>
        <v/>
      </c>
      <c r="BA99" s="74" t="str">
        <f aca="false">IF(ISBLANK($C99),"",IF($X99=Constants!$B$2,TRUE(),IF($X99=Constants!$B$3,FALSE(),TRUE())))</f>
        <v/>
      </c>
      <c r="BB99" s="74" t="str">
        <f aca="false">IF(ISBLANK($C99),"",IF($Y99=Constants!$B$2,TRUE(),IF($Y99=Constants!$B$3,FALSE(),FALSE())))</f>
        <v/>
      </c>
      <c r="BC99" s="74" t="str">
        <f aca="false">IF(ISBLANK($C99),"",IF(ISBLANK($Z99),0,IF(ISNUMBER($Z99),IF(AND($Z99&gt;=0,$Z99&lt;=Constants!$B$35,$Z99=INT($Z99)),$Z99,""),"")))</f>
        <v/>
      </c>
      <c r="BD99" s="74" t="str">
        <f aca="false">IF(ISBLANK($C99),"",IF($AA99=Constants!$B$2,TRUE(),IF($AA99=Constants!$B$3,FALSE(),TRUE())))</f>
        <v/>
      </c>
      <c r="BE99" s="74" t="str">
        <f aca="false">IF(ISBLANK($C99),"",IF($AB99=Constants!$B$2,TRUE(),IF($AB99=Constants!$B$3,FALSE(),TRUE())))</f>
        <v/>
      </c>
      <c r="BF99" s="74" t="str">
        <f aca="false">IF(ISBLANK($C99),"",IF(ISNUMBER($AC99),IF($AC99&gt;=0,$AC99,""),""))</f>
        <v/>
      </c>
      <c r="BG99" s="74" t="str">
        <f aca="false">IF(ISBLANK($C99),"",IF($AD99=Constants!$B$2,TRUE(),IF($AD99=Constants!$B$3,FALSE(),FALSE())))</f>
        <v/>
      </c>
      <c r="BH99" s="73" t="str">
        <f aca="false">IF(ISBLANK($C99),"",IF($BG99,Constants!$B$7,IF(COUNTA($E99:$AC99)=0,Constants!$B$6,IF(OR(COUNTA($G99:$AC99)=0,NOT($AK99),$AQ99),Constants!$B$5,IF(OR($CI99&lt;&gt;"",$CJ99,$CK99,$CL99,$CM99,$CN99,$CO99),Constants!$B$8,Constants!$B$4)))))</f>
        <v/>
      </c>
      <c r="BI99" s="74" t="str">
        <f aca="false">IF(ISBLANK($C99),"",IF($BH99&lt;&gt;Constants!$B$4,$BH99,IF(OR(NOT($AH99),NOT($AJ99),NOT($AR99)),Constants!$B$11,IF(OR(NOT($AP99),MAX($AL99,$AM99,$AN99)&gt;Constants!$B$30),Constants!$B$10,Constants!$B$9))))</f>
        <v/>
      </c>
      <c r="BJ99" s="74" t="str">
        <f aca="false">IF($BH99&lt;&gt;Constants!$B$4,"",IF(NOT($AJ99),0,MIN(Constants!$B$35,$BC99)))</f>
        <v/>
      </c>
      <c r="BK99" s="74" t="str">
        <f aca="false">IF($BH99&lt;&gt;Constants!$B$4,"",IF(NOT($AJ99),0,IF($AT99,Constants!$B$18,IF($AS99,Constants!$B$17,0))))</f>
        <v/>
      </c>
      <c r="BL99" s="74" t="str">
        <f aca="false">IF($BH99&lt;&gt;Constants!$B$4,"",IF(NOT($AJ99),0,Constants!$B$19*($AI99+$AU99+$AV99+$AW99)))</f>
        <v/>
      </c>
      <c r="BM99" s="74" t="str">
        <f aca="false">IF($BH99&lt;&gt;Constants!$B$4,"",IF(OR(NOT($AJ99),NOT(ISNUMBER($AX99))),0,CHOOSE($AX99,Constants!$B$13,Constants!$B$14,Constants!$B$15,Constants!$B$16)))</f>
        <v/>
      </c>
      <c r="BN99" s="74" t="str">
        <f aca="false">IF($BH99&lt;&gt;Constants!$B$4,"",IF(NOT($AJ99),0,Constants!$B$20*$AY99))</f>
        <v/>
      </c>
      <c r="BO99" s="74" t="str">
        <f aca="false">IF($BH99&lt;&gt;Constants!$B$4,"",IF(AND($AJ99,$BA99,$BB99),Constants!$B$22,0))</f>
        <v/>
      </c>
      <c r="BP99" s="74" t="str">
        <f aca="false">IF($BH99&lt;&gt;Constants!$B$4,"",IF(OR(NOT($AJ99),NOT($BA99)),0,IF($BF99&gt;=2*$AF$9,0,Constants!$B$23*INT(ROUND(MIN($BF99,$AF$9),6)))))</f>
        <v/>
      </c>
      <c r="BQ99" s="74" t="str">
        <f aca="false">IF($BH99&lt;&gt;Constants!$B$4,"",IF(NOT($AJ99),0,Constants!$B$24*INT(ROUND(MIN($AZ99,$AF$9),6))))</f>
        <v/>
      </c>
      <c r="BR99" s="74" t="str">
        <f aca="false">IF($BH99&lt;&gt;Constants!$B$4,"",IF(AND($AJ99,$BJ99=0),Constants!$B$25,0))</f>
        <v/>
      </c>
      <c r="BS99" s="74" t="str">
        <f aca="false">IF($BH99&lt;&gt;Constants!$B$4,"",MIN(Constants!$B$29,MAX(0,Constants!$B$27*Constants!$B$28*INT(ROUND((Constants!$B$26-$AL99)/Constants!$B$28,6))))+MIN(Constants!$B$29,MAX(0,Constants!$B$27*Constants!$B$28*INT(ROUND((Constants!$B$26-$AM99)/Constants!$B$28,6))))+MIN(Constants!$B$29,MAX(0,Constants!$B$27*Constants!$B$28*INT(ROUND((Constants!$B$26-$AN99)/Constants!$B$28,6)))))</f>
        <v/>
      </c>
      <c r="BT99" s="74" t="str">
        <f aca="false">IF($BH99&lt;&gt;Constants!$B$4,"",IF(NOT($AJ99),0,Constants!$B$31*INT(ROUND(MAX(0,MIN($BF99,2*$AF$9)-$AF$9),6))))</f>
        <v/>
      </c>
      <c r="BU99" s="74" t="str">
        <f aca="false">IF($BH99&lt;&gt;Constants!$B$4,"",Constants!$B$32*(($AL99&gt;Constants!$B$26)+($AM99&gt;Constants!$B$26)+($AN99&gt;Constants!$B$26)))</f>
        <v/>
      </c>
      <c r="BV99" s="74" t="str">
        <f aca="false">IF($BH99&lt;&gt;Constants!$B$4,"",IF(OR(NOT($AJ99),$AO99),0,Constants!$B$33))</f>
        <v/>
      </c>
      <c r="BW99" s="74" t="str">
        <f aca="false">IF($BH99&lt;&gt;Constants!$B$4,"",Constants!$B$34*$BJ99)</f>
        <v/>
      </c>
      <c r="BX99" s="74" t="str">
        <f aca="false">IF($BH99&lt;&gt;Constants!$B$4,"",IF(OR(NOT($AJ99),$BE99),0,Constants!$B$36))</f>
        <v/>
      </c>
      <c r="BY99" s="74" t="str">
        <f aca="false">IF($BH99&lt;&gt;Constants!$B$4,"",IF(OR(NOT($AJ99),$BD99),0,Constants!$B$37))</f>
        <v/>
      </c>
      <c r="BZ99" s="74" t="str">
        <f aca="false">IF($BH99&lt;&gt;Constants!$B$4,"",SUM($BT99:$BY99))</f>
        <v/>
      </c>
      <c r="CA99" s="74" t="str">
        <f aca="false">IF(ISBLANK($C99),"",IF($BH99&lt;&gt;Constants!$B$4,$BH99,SUM($BK99:$BS99)-$BZ99))</f>
        <v/>
      </c>
      <c r="CB99" s="74" t="str">
        <f aca="false">IF(ISBLANK($C99),"",IF($BH99&lt;&gt;Constants!$B$4,$BH99,RANK($CA99,$CA$9:$CA$508)))</f>
        <v/>
      </c>
      <c r="CC99" s="74" t="str">
        <f aca="false">IF(ISBLANK($C99),"",IF($BH99&lt;&gt;Constants!$B$4,$BH99,COUNTIFS($BI$9:$BI$508,"&lt;"&amp;$BI99)+COUNTIFS($BI$9:$BI$508,$BI99,$CB$9:$CB$508,"&lt;"&amp;$CB99)+1))</f>
        <v/>
      </c>
      <c r="CD99" s="74" t="str">
        <f aca="false">IF(ISBLANK($C99),"",IF($BH99&lt;&gt;Constants!$B$4,$BH99,RANK($BZ99,$BZ$9:$BZ$508,1)))</f>
        <v/>
      </c>
      <c r="CE99" s="74" t="str">
        <f aca="false">IF($BH99&lt;&gt;Constants!$B$4,"",$AL99+$AM99+$AN99)</f>
        <v/>
      </c>
      <c r="CF99" s="74" t="str">
        <f aca="false">IF(ISBLANK($C99),"",IF($BH99&lt;&gt;Constants!$B$4,$BH99,RANK($CE99,$CE$9:$CE$508,1)))</f>
        <v/>
      </c>
      <c r="CG99" s="74" t="str">
        <f aca="false">IF(ISBLANK($C99),"",IF($BH99&lt;&gt;Constants!$B$4,$BH99,COUNTIFS($BI$9:$BI$508,"&lt;"&amp;$BI99)+COUNTIFS($BI$9:$BI$508,$BI99,$CB$9:$CB$508,"&lt;"&amp;$CB99)+COUNTIFS($BI$9:$BI$508,$BI99,$CB$9:$CB$508,$CB99,$CD$9:$CD$508,"&lt;"&amp;$CD99)+COUNTIFS($BI$9:$BI$508,$BI99,$CB$9:$CB$508,$CB99,$CD$9:$CD$508,$CD99,$CF$9:$CF$508,"&lt;"&amp;$CF99)+1))</f>
        <v/>
      </c>
      <c r="CH99" s="74" t="str">
        <f aca="false">IF(ISBLANK($C99),"",IF($BH99&lt;&gt;Constants!$B$4,$BH99,$CC99-$CG99))</f>
        <v/>
      </c>
      <c r="CI99" s="74" t="str">
        <f aca="false">IF(ISBLANK($C99),"",IF(NOT($AJ99),"",IF(ISBLANK($D$7),$CI$5,IF(NOT(ISNUMBER($D$7)),$CI$6,""))))</f>
        <v/>
      </c>
      <c r="CJ99" s="74" t="str">
        <f aca="false">IF(ISBLANK($C99),"",OR($AL99="",$AM99="",$AN99=""))</f>
        <v/>
      </c>
      <c r="CK99" s="74" t="str">
        <f aca="false">IF(ISBLANK($C99),"",AND($AJ99,$AX99=""))</f>
        <v/>
      </c>
      <c r="CL99" s="74" t="str">
        <f aca="false">IF(ISBLANK($C99),"",AND($AJ99,$AY99=""))</f>
        <v/>
      </c>
      <c r="CM99" s="74" t="str">
        <f aca="false">IF(ISBLANK($C99),"",AND($AJ99,$AZ99=""))</f>
        <v/>
      </c>
      <c r="CN99" s="74" t="str">
        <f aca="false">IF(ISBLANK($C99),"",AND($AJ99,$BC99=""))</f>
        <v/>
      </c>
      <c r="CO99" s="74" t="str">
        <f aca="false">IF(ISBLANK($C99),"",AND($AJ99,$BF99=""))</f>
        <v/>
      </c>
      <c r="CP99" s="75"/>
      <c r="CQ99" s="76"/>
      <c r="CR99" s="79" t="str">
        <f aca="false">IF(ISBLANK($C99),"",IF($BH99=Constants!$B$8,$CI99,""))</f>
        <v/>
      </c>
      <c r="CS99" s="76" t="str">
        <f aca="false">IF(ISBLANK($C99),"",IF($BH99&lt;&gt;Constants!$B$4,"",$BK99+$BL99))</f>
        <v/>
      </c>
      <c r="CT99" s="78" t="str">
        <f aca="false">IF(ISBLANK($C99),"",IF($BH99&lt;&gt;Constants!$B$4,"",$BM99+$BN99+$BO99))</f>
        <v/>
      </c>
      <c r="CU99" s="78" t="str">
        <f aca="false">IF(ISBLANK($C99),"",IF($BH99&lt;&gt;Constants!$B$4,"",$BP99))</f>
        <v/>
      </c>
      <c r="CV99" s="78" t="str">
        <f aca="false">IF(ISBLANK($C99),"",IF($BH99&lt;&gt;Constants!$B$4,"",$BQ99+$BR99))</f>
        <v/>
      </c>
      <c r="CW99" s="78" t="str">
        <f aca="false">IF(ISBLANK($C99),"",IF($BH99&lt;&gt;Constants!$B$4,"",$BS99))</f>
        <v/>
      </c>
      <c r="CX99" s="78" t="str">
        <f aca="false">IF(ISBLANK($C99),"",IF($BH99&lt;&gt;Constants!$B$4,"",-$BZ99))</f>
        <v/>
      </c>
      <c r="CY99" s="79" t="str">
        <f aca="false">IF(ISBLANK($C99),"",$CA99)</f>
        <v/>
      </c>
      <c r="CZ99" s="80" t="str">
        <f aca="false">IF(ISBLANK($C99),"",$BI99)</f>
        <v/>
      </c>
      <c r="DA99" s="78" t="str">
        <f aca="false">IF(ISBLANK($C99),"",$CH99)</f>
        <v/>
      </c>
      <c r="DB99" s="78" t="str">
        <f aca="false">IF(ISBLANK($C99),"",$CG99)</f>
        <v/>
      </c>
      <c r="DC99" s="81" t="str">
        <f aca="false">IF(ISBLANK($C99),"",IFERROR(_xlfn.SWITCH($DB99,Constants!$B$7,COUNTA($C$9:$C$508)+2,Constants!$B$6,COUNTA($C$9:$C$508)+1,Constants!$B$5,COUNTA($C$9:$C$508)),$DB99))</f>
        <v/>
      </c>
      <c r="DD99" s="7"/>
      <c r="DE99" s="82" t="n">
        <f aca="false">IF(OR(ISNUMBER($DB99),$DB99=Constants!$B$7,$DB99=Constants!$B$5,$DB99=Constants!$B$6),1,0)</f>
        <v>0</v>
      </c>
      <c r="DF99" s="82" t="n">
        <v>91</v>
      </c>
      <c r="DG99" s="82" t="str">
        <f aca="false">IF(ISBLANK($C99),"",IF(ISNUMBER($DC99),$DC99+ROW($B99)/1000,""))</f>
        <v/>
      </c>
      <c r="DH99" s="82" t="str">
        <f aca="false">IF(ISNUMBER($DG99),RANK($DG99,$DG$9:$DG$508,1),"")</f>
        <v/>
      </c>
      <c r="DI99" s="82" t="str">
        <f aca="false">IF(ISBLANK($C99),"",$B99)</f>
        <v/>
      </c>
      <c r="DJ99" s="82" t="str">
        <f aca="false">IF(ISBLANK($C99),"",$C99)</f>
        <v/>
      </c>
      <c r="DK99" s="82" t="str">
        <f aca="false">IF(ISBLANK($C99),"",$D99)</f>
        <v/>
      </c>
      <c r="DL99" s="83" t="str">
        <f aca="false">$CZ99</f>
        <v/>
      </c>
      <c r="DM99" s="84" t="str">
        <f aca="false">$CY99</f>
        <v/>
      </c>
      <c r="DN99" s="82" t="str">
        <f aca="false">IF(ISBLANK($C99),"",$DB99)</f>
        <v/>
      </c>
      <c r="DO99" s="85" t="str">
        <f aca="false">IF($DF99&gt;$DE$8,"",VLOOKUP($DF99,$DH$9:$DN$508,7,FALSE()))</f>
        <v/>
      </c>
      <c r="DP99" s="86" t="str">
        <f aca="false">IF($DF99&gt;$DE$8,"",VLOOKUP($DF99,$DH$9:$DN$508,2,FALSE()))</f>
        <v/>
      </c>
      <c r="DQ99" s="86" t="str">
        <f aca="false">IF($DF99&gt;$DE$8,"",VLOOKUP($DF99,$DH$9:$DN$508,3,FALSE()))</f>
        <v/>
      </c>
      <c r="DR99" s="86" t="str">
        <f aca="false">IF($DF99&gt;$DE$8,"",VLOOKUP($DF99,$DH$9:$DN$508,4,FALSE()))</f>
        <v/>
      </c>
      <c r="DS99" s="86" t="str">
        <f aca="false">IF($DF99&gt;$DE$8,"",VLOOKUP($DF99,$DH$9:$DN$508,5,FALSE()))</f>
        <v/>
      </c>
      <c r="DT99" s="87" t="str">
        <f aca="false">IF($DF99&gt;$DE$8,"",VLOOKUP($DF99,$DH$9:$DN$508,6,FALSE()))</f>
        <v/>
      </c>
      <c r="DU99" s="62"/>
    </row>
    <row r="100" customFormat="false" ht="15.75" hidden="false" customHeight="false" outlineLevel="0" collapsed="false">
      <c r="A100" s="7"/>
      <c r="B100" s="64"/>
      <c r="C100" s="65"/>
      <c r="D100" s="123"/>
      <c r="E100" s="88"/>
      <c r="F100" s="134"/>
      <c r="G100" s="88"/>
      <c r="H100" s="134"/>
      <c r="I100" s="119"/>
      <c r="J100" s="119"/>
      <c r="K100" s="119"/>
      <c r="L100" s="88"/>
      <c r="M100" s="88"/>
      <c r="N100" s="88"/>
      <c r="O100" s="134"/>
      <c r="P100" s="88"/>
      <c r="Q100" s="88"/>
      <c r="R100" s="88"/>
      <c r="S100" s="88"/>
      <c r="T100" s="134"/>
      <c r="U100" s="88"/>
      <c r="V100" s="70"/>
      <c r="W100" s="88"/>
      <c r="X100" s="88"/>
      <c r="Y100" s="70"/>
      <c r="Z100" s="70"/>
      <c r="AA100" s="88"/>
      <c r="AB100" s="88"/>
      <c r="AC100" s="71"/>
      <c r="AD100" s="88"/>
      <c r="AE100" s="73"/>
      <c r="AF100" s="74"/>
      <c r="AG100" s="74"/>
      <c r="AH100" s="74" t="str">
        <f aca="false">IF(ISBLANK($C100),"",IF($E100=Constants!$B$2,TRUE(),IF($E100=Constants!$B$3,FALSE(),TRUE())))</f>
        <v/>
      </c>
      <c r="AI100" s="74" t="str">
        <f aca="false">IF(ISBLANK($C100),"",IF($F100=Constants!$B$2,TRUE(),IF($F100=Constants!$B$3,FALSE(),FALSE())))</f>
        <v/>
      </c>
      <c r="AJ100" s="74" t="str">
        <f aca="false">IF(ISBLANK($C100),"",IF($G100=Constants!$B$2,TRUE(),IF($G100=Constants!$B$3,FALSE(),TRUE())))</f>
        <v/>
      </c>
      <c r="AK100" s="74" t="str">
        <f aca="false">IF(ISBLANK($C100),"",IF($H100=Constants!$B$2,TRUE(),IF($H100=Constants!$B$3,FALSE(),TRUE())))</f>
        <v/>
      </c>
      <c r="AL100" s="74" t="str">
        <f aca="false">IF(ISBLANK($C100),"",IF(ISNUMBER($I100),IF($I100&gt;=0,$I100,""),""))</f>
        <v/>
      </c>
      <c r="AM100" s="74" t="str">
        <f aca="false">IF(ISBLANK($C100),"",IF(ISNUMBER($J100),IF($J100&gt;=0,$J100,""),""))</f>
        <v/>
      </c>
      <c r="AN100" s="74" t="str">
        <f aca="false">IF(ISBLANK($C100),"",IF(ISNUMBER($K100),IF($K100&gt;=0,$K100,""),""))</f>
        <v/>
      </c>
      <c r="AO100" s="74" t="str">
        <f aca="false">IF(ISBLANK($C100),"",IF($L100=Constants!$B$2,TRUE(),IF($L100=Constants!$B$3,FALSE(),TRUE())))</f>
        <v/>
      </c>
      <c r="AP100" s="74" t="str">
        <f aca="false">IF(ISBLANK($C100),"",IF($M100=Constants!$B$2,TRUE(),IF($M100=Constants!$B$3,FALSE(),TRUE())))</f>
        <v/>
      </c>
      <c r="AQ100" s="74" t="str">
        <f aca="false">IF(ISBLANK($C100),"",IF($N100=Constants!$B$2,TRUE(),IF($N100=Constants!$B$3,FALSE(),FALSE())))</f>
        <v/>
      </c>
      <c r="AR100" s="74" t="str">
        <f aca="false">IF(ISBLANK($C100),"",IF($O100=Constants!$B$2,TRUE(),IF($O100=Constants!$B$3,FALSE(),TRUE())))</f>
        <v/>
      </c>
      <c r="AS100" s="74" t="str">
        <f aca="false">IF(ISBLANK($C100),"",IF($P100=Constants!$B$2,TRUE(),IF($P100=Constants!$B$3,FALSE(),FALSE())))</f>
        <v/>
      </c>
      <c r="AT100" s="74" t="str">
        <f aca="false">IF(ISBLANK($C100),"",IF($Q100=Constants!$B$2,TRUE(),IF($Q100=Constants!$B$3,FALSE(),FALSE())))</f>
        <v/>
      </c>
      <c r="AU100" s="74" t="str">
        <f aca="false">IF(ISBLANK($C100),"",IF($R100=Constants!$B$2,TRUE(),IF($R100=Constants!$B$3,FALSE(),FALSE())))</f>
        <v/>
      </c>
      <c r="AV100" s="74" t="str">
        <f aca="false">IF(ISBLANK($C100),"",IF($S100=Constants!$B$2,TRUE(),IF($S100=Constants!$B$3,FALSE(),FALSE())))</f>
        <v/>
      </c>
      <c r="AW100" s="74" t="str">
        <f aca="false">IF(ISBLANK($C100),"",IF($T100=Constants!$B$2,TRUE(),IF($T100=Constants!$B$3,FALSE(),FALSE())))</f>
        <v/>
      </c>
      <c r="AX100" s="74" t="str">
        <f aca="false">IF(ISBLANK($C100),"",IF(OR($U100&amp;""="1",$U100&amp;""="2",$U100&amp;""="3",$U100&amp;""="4"),VALUE($U100&amp;""),IF($U100=Constants!$B$12,Constants!$B$12,"")))</f>
        <v/>
      </c>
      <c r="AY100" s="74" t="str">
        <f aca="false">IF(ISBLANK($C100),"",IF(ISBLANK($V100),0,IF(ISNUMBER($V100),IF(AND($V100&gt;=0,$V100&lt;=Constants!$B$21,$V100=INT($V100)),$V100,""),"")))</f>
        <v/>
      </c>
      <c r="AZ100" s="74" t="str">
        <f aca="false">IF(ISBLANK($C100),"",IF(ISBLANK($W100),0,IF(ISNUMBER($W100),IF($W100&gt;=0,$W100,""),"")))</f>
        <v/>
      </c>
      <c r="BA100" s="74" t="str">
        <f aca="false">IF(ISBLANK($C100),"",IF($X100=Constants!$B$2,TRUE(),IF($X100=Constants!$B$3,FALSE(),TRUE())))</f>
        <v/>
      </c>
      <c r="BB100" s="74" t="str">
        <f aca="false">IF(ISBLANK($C100),"",IF($Y100=Constants!$B$2,TRUE(),IF($Y100=Constants!$B$3,FALSE(),FALSE())))</f>
        <v/>
      </c>
      <c r="BC100" s="74" t="str">
        <f aca="false">IF(ISBLANK($C100),"",IF(ISBLANK($Z100),0,IF(ISNUMBER($Z100),IF(AND($Z100&gt;=0,$Z100&lt;=Constants!$B$35,$Z100=INT($Z100)),$Z100,""),"")))</f>
        <v/>
      </c>
      <c r="BD100" s="74" t="str">
        <f aca="false">IF(ISBLANK($C100),"",IF($AA100=Constants!$B$2,TRUE(),IF($AA100=Constants!$B$3,FALSE(),TRUE())))</f>
        <v/>
      </c>
      <c r="BE100" s="74" t="str">
        <f aca="false">IF(ISBLANK($C100),"",IF($AB100=Constants!$B$2,TRUE(),IF($AB100=Constants!$B$3,FALSE(),TRUE())))</f>
        <v/>
      </c>
      <c r="BF100" s="74" t="str">
        <f aca="false">IF(ISBLANK($C100),"",IF(ISNUMBER($AC100),IF($AC100&gt;=0,$AC100,""),""))</f>
        <v/>
      </c>
      <c r="BG100" s="74" t="str">
        <f aca="false">IF(ISBLANK($C100),"",IF($AD100=Constants!$B$2,TRUE(),IF($AD100=Constants!$B$3,FALSE(),FALSE())))</f>
        <v/>
      </c>
      <c r="BH100" s="73" t="str">
        <f aca="false">IF(ISBLANK($C100),"",IF($BG100,Constants!$B$7,IF(COUNTA($E100:$AC100)=0,Constants!$B$6,IF(OR(COUNTA($G100:$AC100)=0,NOT($AK100),$AQ100),Constants!$B$5,IF(OR($CI100&lt;&gt;"",$CJ100,$CK100,$CL100,$CM100,$CN100,$CO100),Constants!$B$8,Constants!$B$4)))))</f>
        <v/>
      </c>
      <c r="BI100" s="74" t="str">
        <f aca="false">IF(ISBLANK($C100),"",IF($BH100&lt;&gt;Constants!$B$4,$BH100,IF(OR(NOT($AH100),NOT($AJ100),NOT($AR100)),Constants!$B$11,IF(OR(NOT($AP100),MAX($AL100,$AM100,$AN100)&gt;Constants!$B$30),Constants!$B$10,Constants!$B$9))))</f>
        <v/>
      </c>
      <c r="BJ100" s="74" t="str">
        <f aca="false">IF($BH100&lt;&gt;Constants!$B$4,"",IF(NOT($AJ100),0,MIN(Constants!$B$35,$BC100)))</f>
        <v/>
      </c>
      <c r="BK100" s="74" t="str">
        <f aca="false">IF($BH100&lt;&gt;Constants!$B$4,"",IF(NOT($AJ100),0,IF($AT100,Constants!$B$18,IF($AS100,Constants!$B$17,0))))</f>
        <v/>
      </c>
      <c r="BL100" s="74" t="str">
        <f aca="false">IF($BH100&lt;&gt;Constants!$B$4,"",IF(NOT($AJ100),0,Constants!$B$19*($AI100+$AU100+$AV100+$AW100)))</f>
        <v/>
      </c>
      <c r="BM100" s="74" t="str">
        <f aca="false">IF($BH100&lt;&gt;Constants!$B$4,"",IF(OR(NOT($AJ100),NOT(ISNUMBER($AX100))),0,CHOOSE($AX100,Constants!$B$13,Constants!$B$14,Constants!$B$15,Constants!$B$16)))</f>
        <v/>
      </c>
      <c r="BN100" s="74" t="str">
        <f aca="false">IF($BH100&lt;&gt;Constants!$B$4,"",IF(NOT($AJ100),0,Constants!$B$20*$AY100))</f>
        <v/>
      </c>
      <c r="BO100" s="74" t="str">
        <f aca="false">IF($BH100&lt;&gt;Constants!$B$4,"",IF(AND($AJ100,$BA100,$BB100),Constants!$B$22,0))</f>
        <v/>
      </c>
      <c r="BP100" s="74" t="str">
        <f aca="false">IF($BH100&lt;&gt;Constants!$B$4,"",IF(OR(NOT($AJ100),NOT($BA100)),0,IF($BF100&gt;=2*$AF$9,0,Constants!$B$23*INT(ROUND(MIN($BF100,$AF$9),6)))))</f>
        <v/>
      </c>
      <c r="BQ100" s="74" t="str">
        <f aca="false">IF($BH100&lt;&gt;Constants!$B$4,"",IF(NOT($AJ100),0,Constants!$B$24*INT(ROUND(MIN($AZ100,$AF$9),6))))</f>
        <v/>
      </c>
      <c r="BR100" s="74" t="str">
        <f aca="false">IF($BH100&lt;&gt;Constants!$B$4,"",IF(AND($AJ100,$BJ100=0),Constants!$B$25,0))</f>
        <v/>
      </c>
      <c r="BS100" s="74" t="str">
        <f aca="false">IF($BH100&lt;&gt;Constants!$B$4,"",MIN(Constants!$B$29,MAX(0,Constants!$B$27*Constants!$B$28*INT(ROUND((Constants!$B$26-$AL100)/Constants!$B$28,6))))+MIN(Constants!$B$29,MAX(0,Constants!$B$27*Constants!$B$28*INT(ROUND((Constants!$B$26-$AM100)/Constants!$B$28,6))))+MIN(Constants!$B$29,MAX(0,Constants!$B$27*Constants!$B$28*INT(ROUND((Constants!$B$26-$AN100)/Constants!$B$28,6)))))</f>
        <v/>
      </c>
      <c r="BT100" s="74" t="str">
        <f aca="false">IF($BH100&lt;&gt;Constants!$B$4,"",IF(NOT($AJ100),0,Constants!$B$31*INT(ROUND(MAX(0,MIN($BF100,2*$AF$9)-$AF$9),6))))</f>
        <v/>
      </c>
      <c r="BU100" s="74" t="str">
        <f aca="false">IF($BH100&lt;&gt;Constants!$B$4,"",Constants!$B$32*(($AL100&gt;Constants!$B$26)+($AM100&gt;Constants!$B$26)+($AN100&gt;Constants!$B$26)))</f>
        <v/>
      </c>
      <c r="BV100" s="74" t="str">
        <f aca="false">IF($BH100&lt;&gt;Constants!$B$4,"",IF(OR(NOT($AJ100),$AO100),0,Constants!$B$33))</f>
        <v/>
      </c>
      <c r="BW100" s="74" t="str">
        <f aca="false">IF($BH100&lt;&gt;Constants!$B$4,"",Constants!$B$34*$BJ100)</f>
        <v/>
      </c>
      <c r="BX100" s="74" t="str">
        <f aca="false">IF($BH100&lt;&gt;Constants!$B$4,"",IF(OR(NOT($AJ100),$BE100),0,Constants!$B$36))</f>
        <v/>
      </c>
      <c r="BY100" s="74" t="str">
        <f aca="false">IF($BH100&lt;&gt;Constants!$B$4,"",IF(OR(NOT($AJ100),$BD100),0,Constants!$B$37))</f>
        <v/>
      </c>
      <c r="BZ100" s="74" t="str">
        <f aca="false">IF($BH100&lt;&gt;Constants!$B$4,"",SUM($BT100:$BY100))</f>
        <v/>
      </c>
      <c r="CA100" s="74" t="str">
        <f aca="false">IF(ISBLANK($C100),"",IF($BH100&lt;&gt;Constants!$B$4,$BH100,SUM($BK100:$BS100)-$BZ100))</f>
        <v/>
      </c>
      <c r="CB100" s="74" t="str">
        <f aca="false">IF(ISBLANK($C100),"",IF($BH100&lt;&gt;Constants!$B$4,$BH100,RANK($CA100,$CA$9:$CA$508)))</f>
        <v/>
      </c>
      <c r="CC100" s="74" t="str">
        <f aca="false">IF(ISBLANK($C100),"",IF($BH100&lt;&gt;Constants!$B$4,$BH100,COUNTIFS($BI$9:$BI$508,"&lt;"&amp;$BI100)+COUNTIFS($BI$9:$BI$508,$BI100,$CB$9:$CB$508,"&lt;"&amp;$CB100)+1))</f>
        <v/>
      </c>
      <c r="CD100" s="74" t="str">
        <f aca="false">IF(ISBLANK($C100),"",IF($BH100&lt;&gt;Constants!$B$4,$BH100,RANK($BZ100,$BZ$9:$BZ$508,1)))</f>
        <v/>
      </c>
      <c r="CE100" s="74" t="str">
        <f aca="false">IF($BH100&lt;&gt;Constants!$B$4,"",$AL100+$AM100+$AN100)</f>
        <v/>
      </c>
      <c r="CF100" s="74" t="str">
        <f aca="false">IF(ISBLANK($C100),"",IF($BH100&lt;&gt;Constants!$B$4,$BH100,RANK($CE100,$CE$9:$CE$508,1)))</f>
        <v/>
      </c>
      <c r="CG100" s="74" t="str">
        <f aca="false">IF(ISBLANK($C100),"",IF($BH100&lt;&gt;Constants!$B$4,$BH100,COUNTIFS($BI$9:$BI$508,"&lt;"&amp;$BI100)+COUNTIFS($BI$9:$BI$508,$BI100,$CB$9:$CB$508,"&lt;"&amp;$CB100)+COUNTIFS($BI$9:$BI$508,$BI100,$CB$9:$CB$508,$CB100,$CD$9:$CD$508,"&lt;"&amp;$CD100)+COUNTIFS($BI$9:$BI$508,$BI100,$CB$9:$CB$508,$CB100,$CD$9:$CD$508,$CD100,$CF$9:$CF$508,"&lt;"&amp;$CF100)+1))</f>
        <v/>
      </c>
      <c r="CH100" s="74" t="str">
        <f aca="false">IF(ISBLANK($C100),"",IF($BH100&lt;&gt;Constants!$B$4,$BH100,$CC100-$CG100))</f>
        <v/>
      </c>
      <c r="CI100" s="74" t="str">
        <f aca="false">IF(ISBLANK($C100),"",IF(NOT($AJ100),"",IF(ISBLANK($D$7),$CI$5,IF(NOT(ISNUMBER($D$7)),$CI$6,""))))</f>
        <v/>
      </c>
      <c r="CJ100" s="74" t="str">
        <f aca="false">IF(ISBLANK($C100),"",OR($AL100="",$AM100="",$AN100=""))</f>
        <v/>
      </c>
      <c r="CK100" s="74" t="str">
        <f aca="false">IF(ISBLANK($C100),"",AND($AJ100,$AX100=""))</f>
        <v/>
      </c>
      <c r="CL100" s="74" t="str">
        <f aca="false">IF(ISBLANK($C100),"",AND($AJ100,$AY100=""))</f>
        <v/>
      </c>
      <c r="CM100" s="74" t="str">
        <f aca="false">IF(ISBLANK($C100),"",AND($AJ100,$AZ100=""))</f>
        <v/>
      </c>
      <c r="CN100" s="74" t="str">
        <f aca="false">IF(ISBLANK($C100),"",AND($AJ100,$BC100=""))</f>
        <v/>
      </c>
      <c r="CO100" s="74" t="str">
        <f aca="false">IF(ISBLANK($C100),"",AND($AJ100,$BF100=""))</f>
        <v/>
      </c>
      <c r="CP100" s="75"/>
      <c r="CQ100" s="76"/>
      <c r="CR100" s="79" t="str">
        <f aca="false">IF(ISBLANK($C100),"",IF($BH100=Constants!$B$8,$CI100,""))</f>
        <v/>
      </c>
      <c r="CS100" s="76" t="str">
        <f aca="false">IF(ISBLANK($C100),"",IF($BH100&lt;&gt;Constants!$B$4,"",$BK100+$BL100))</f>
        <v/>
      </c>
      <c r="CT100" s="78" t="str">
        <f aca="false">IF(ISBLANK($C100),"",IF($BH100&lt;&gt;Constants!$B$4,"",$BM100+$BN100+$BO100))</f>
        <v/>
      </c>
      <c r="CU100" s="78" t="str">
        <f aca="false">IF(ISBLANK($C100),"",IF($BH100&lt;&gt;Constants!$B$4,"",$BP100))</f>
        <v/>
      </c>
      <c r="CV100" s="78" t="str">
        <f aca="false">IF(ISBLANK($C100),"",IF($BH100&lt;&gt;Constants!$B$4,"",$BQ100+$BR100))</f>
        <v/>
      </c>
      <c r="CW100" s="78" t="str">
        <f aca="false">IF(ISBLANK($C100),"",IF($BH100&lt;&gt;Constants!$B$4,"",$BS100))</f>
        <v/>
      </c>
      <c r="CX100" s="78" t="str">
        <f aca="false">IF(ISBLANK($C100),"",IF($BH100&lt;&gt;Constants!$B$4,"",-$BZ100))</f>
        <v/>
      </c>
      <c r="CY100" s="79" t="str">
        <f aca="false">IF(ISBLANK($C100),"",$CA100)</f>
        <v/>
      </c>
      <c r="CZ100" s="80" t="str">
        <f aca="false">IF(ISBLANK($C100),"",$BI100)</f>
        <v/>
      </c>
      <c r="DA100" s="78" t="str">
        <f aca="false">IF(ISBLANK($C100),"",$CH100)</f>
        <v/>
      </c>
      <c r="DB100" s="78" t="str">
        <f aca="false">IF(ISBLANK($C100),"",$CG100)</f>
        <v/>
      </c>
      <c r="DC100" s="81" t="str">
        <f aca="false">IF(ISBLANK($C100),"",IFERROR(_xlfn.SWITCH($DB100,Constants!$B$7,COUNTA($C$9:$C$508)+2,Constants!$B$6,COUNTA($C$9:$C$508)+1,Constants!$B$5,COUNTA($C$9:$C$508)),$DB100))</f>
        <v/>
      </c>
      <c r="DD100" s="7"/>
      <c r="DE100" s="82" t="n">
        <f aca="false">IF(OR(ISNUMBER($DB100),$DB100=Constants!$B$7,$DB100=Constants!$B$5,$DB100=Constants!$B$6),1,0)</f>
        <v>0</v>
      </c>
      <c r="DF100" s="82" t="n">
        <v>92</v>
      </c>
      <c r="DG100" s="82" t="str">
        <f aca="false">IF(ISBLANK($C100),"",IF(ISNUMBER($DC100),$DC100+ROW($B100)/1000,""))</f>
        <v/>
      </c>
      <c r="DH100" s="82" t="str">
        <f aca="false">IF(ISNUMBER($DG100),RANK($DG100,$DG$9:$DG$508,1),"")</f>
        <v/>
      </c>
      <c r="DI100" s="82" t="str">
        <f aca="false">IF(ISBLANK($C100),"",$B100)</f>
        <v/>
      </c>
      <c r="DJ100" s="82" t="str">
        <f aca="false">IF(ISBLANK($C100),"",$C100)</f>
        <v/>
      </c>
      <c r="DK100" s="82" t="str">
        <f aca="false">IF(ISBLANK($C100),"",$D100)</f>
        <v/>
      </c>
      <c r="DL100" s="83" t="str">
        <f aca="false">$CZ100</f>
        <v/>
      </c>
      <c r="DM100" s="84" t="str">
        <f aca="false">$CY100</f>
        <v/>
      </c>
      <c r="DN100" s="82" t="str">
        <f aca="false">IF(ISBLANK($C100),"",$DB100)</f>
        <v/>
      </c>
      <c r="DO100" s="85" t="str">
        <f aca="false">IF($DF100&gt;$DE$8,"",VLOOKUP($DF100,$DH$9:$DN$508,7,FALSE()))</f>
        <v/>
      </c>
      <c r="DP100" s="86" t="str">
        <f aca="false">IF($DF100&gt;$DE$8,"",VLOOKUP($DF100,$DH$9:$DN$508,2,FALSE()))</f>
        <v/>
      </c>
      <c r="DQ100" s="86" t="str">
        <f aca="false">IF($DF100&gt;$DE$8,"",VLOOKUP($DF100,$DH$9:$DN$508,3,FALSE()))</f>
        <v/>
      </c>
      <c r="DR100" s="86" t="str">
        <f aca="false">IF($DF100&gt;$DE$8,"",VLOOKUP($DF100,$DH$9:$DN$508,4,FALSE()))</f>
        <v/>
      </c>
      <c r="DS100" s="86" t="str">
        <f aca="false">IF($DF100&gt;$DE$8,"",VLOOKUP($DF100,$DH$9:$DN$508,5,FALSE()))</f>
        <v/>
      </c>
      <c r="DT100" s="87" t="str">
        <f aca="false">IF($DF100&gt;$DE$8,"",VLOOKUP($DF100,$DH$9:$DN$508,6,FALSE()))</f>
        <v/>
      </c>
      <c r="DU100" s="62"/>
    </row>
    <row r="101" customFormat="false" ht="15.75" hidden="false" customHeight="false" outlineLevel="0" collapsed="false">
      <c r="A101" s="7"/>
      <c r="B101" s="64"/>
      <c r="C101" s="65"/>
      <c r="D101" s="123"/>
      <c r="E101" s="88"/>
      <c r="F101" s="134"/>
      <c r="G101" s="88"/>
      <c r="H101" s="134"/>
      <c r="I101" s="119"/>
      <c r="J101" s="119"/>
      <c r="K101" s="119"/>
      <c r="L101" s="88"/>
      <c r="M101" s="88"/>
      <c r="N101" s="88"/>
      <c r="O101" s="134"/>
      <c r="P101" s="88"/>
      <c r="Q101" s="88"/>
      <c r="R101" s="88"/>
      <c r="S101" s="88"/>
      <c r="T101" s="134"/>
      <c r="U101" s="88"/>
      <c r="V101" s="70"/>
      <c r="W101" s="88"/>
      <c r="X101" s="88"/>
      <c r="Y101" s="70"/>
      <c r="Z101" s="70"/>
      <c r="AA101" s="88"/>
      <c r="AB101" s="88"/>
      <c r="AC101" s="71"/>
      <c r="AD101" s="88"/>
      <c r="AE101" s="73"/>
      <c r="AF101" s="74"/>
      <c r="AG101" s="74"/>
      <c r="AH101" s="74" t="str">
        <f aca="false">IF(ISBLANK($C101),"",IF($E101=Constants!$B$2,TRUE(),IF($E101=Constants!$B$3,FALSE(),TRUE())))</f>
        <v/>
      </c>
      <c r="AI101" s="74" t="str">
        <f aca="false">IF(ISBLANK($C101),"",IF($F101=Constants!$B$2,TRUE(),IF($F101=Constants!$B$3,FALSE(),FALSE())))</f>
        <v/>
      </c>
      <c r="AJ101" s="74" t="str">
        <f aca="false">IF(ISBLANK($C101),"",IF($G101=Constants!$B$2,TRUE(),IF($G101=Constants!$B$3,FALSE(),TRUE())))</f>
        <v/>
      </c>
      <c r="AK101" s="74" t="str">
        <f aca="false">IF(ISBLANK($C101),"",IF($H101=Constants!$B$2,TRUE(),IF($H101=Constants!$B$3,FALSE(),TRUE())))</f>
        <v/>
      </c>
      <c r="AL101" s="74" t="str">
        <f aca="false">IF(ISBLANK($C101),"",IF(ISNUMBER($I101),IF($I101&gt;=0,$I101,""),""))</f>
        <v/>
      </c>
      <c r="AM101" s="74" t="str">
        <f aca="false">IF(ISBLANK($C101),"",IF(ISNUMBER($J101),IF($J101&gt;=0,$J101,""),""))</f>
        <v/>
      </c>
      <c r="AN101" s="74" t="str">
        <f aca="false">IF(ISBLANK($C101),"",IF(ISNUMBER($K101),IF($K101&gt;=0,$K101,""),""))</f>
        <v/>
      </c>
      <c r="AO101" s="74" t="str">
        <f aca="false">IF(ISBLANK($C101),"",IF($L101=Constants!$B$2,TRUE(),IF($L101=Constants!$B$3,FALSE(),TRUE())))</f>
        <v/>
      </c>
      <c r="AP101" s="74" t="str">
        <f aca="false">IF(ISBLANK($C101),"",IF($M101=Constants!$B$2,TRUE(),IF($M101=Constants!$B$3,FALSE(),TRUE())))</f>
        <v/>
      </c>
      <c r="AQ101" s="74" t="str">
        <f aca="false">IF(ISBLANK($C101),"",IF($N101=Constants!$B$2,TRUE(),IF($N101=Constants!$B$3,FALSE(),FALSE())))</f>
        <v/>
      </c>
      <c r="AR101" s="74" t="str">
        <f aca="false">IF(ISBLANK($C101),"",IF($O101=Constants!$B$2,TRUE(),IF($O101=Constants!$B$3,FALSE(),TRUE())))</f>
        <v/>
      </c>
      <c r="AS101" s="74" t="str">
        <f aca="false">IF(ISBLANK($C101),"",IF($P101=Constants!$B$2,TRUE(),IF($P101=Constants!$B$3,FALSE(),FALSE())))</f>
        <v/>
      </c>
      <c r="AT101" s="74" t="str">
        <f aca="false">IF(ISBLANK($C101),"",IF($Q101=Constants!$B$2,TRUE(),IF($Q101=Constants!$B$3,FALSE(),FALSE())))</f>
        <v/>
      </c>
      <c r="AU101" s="74" t="str">
        <f aca="false">IF(ISBLANK($C101),"",IF($R101=Constants!$B$2,TRUE(),IF($R101=Constants!$B$3,FALSE(),FALSE())))</f>
        <v/>
      </c>
      <c r="AV101" s="74" t="str">
        <f aca="false">IF(ISBLANK($C101),"",IF($S101=Constants!$B$2,TRUE(),IF($S101=Constants!$B$3,FALSE(),FALSE())))</f>
        <v/>
      </c>
      <c r="AW101" s="74" t="str">
        <f aca="false">IF(ISBLANK($C101),"",IF($T101=Constants!$B$2,TRUE(),IF($T101=Constants!$B$3,FALSE(),FALSE())))</f>
        <v/>
      </c>
      <c r="AX101" s="74" t="str">
        <f aca="false">IF(ISBLANK($C101),"",IF(OR($U101&amp;""="1",$U101&amp;""="2",$U101&amp;""="3",$U101&amp;""="4"),VALUE($U101&amp;""),IF($U101=Constants!$B$12,Constants!$B$12,"")))</f>
        <v/>
      </c>
      <c r="AY101" s="74" t="str">
        <f aca="false">IF(ISBLANK($C101),"",IF(ISBLANK($V101),0,IF(ISNUMBER($V101),IF(AND($V101&gt;=0,$V101&lt;=Constants!$B$21,$V101=INT($V101)),$V101,""),"")))</f>
        <v/>
      </c>
      <c r="AZ101" s="74" t="str">
        <f aca="false">IF(ISBLANK($C101),"",IF(ISBLANK($W101),0,IF(ISNUMBER($W101),IF($W101&gt;=0,$W101,""),"")))</f>
        <v/>
      </c>
      <c r="BA101" s="74" t="str">
        <f aca="false">IF(ISBLANK($C101),"",IF($X101=Constants!$B$2,TRUE(),IF($X101=Constants!$B$3,FALSE(),TRUE())))</f>
        <v/>
      </c>
      <c r="BB101" s="74" t="str">
        <f aca="false">IF(ISBLANK($C101),"",IF($Y101=Constants!$B$2,TRUE(),IF($Y101=Constants!$B$3,FALSE(),FALSE())))</f>
        <v/>
      </c>
      <c r="BC101" s="74" t="str">
        <f aca="false">IF(ISBLANK($C101),"",IF(ISBLANK($Z101),0,IF(ISNUMBER($Z101),IF(AND($Z101&gt;=0,$Z101&lt;=Constants!$B$35,$Z101=INT($Z101)),$Z101,""),"")))</f>
        <v/>
      </c>
      <c r="BD101" s="74" t="str">
        <f aca="false">IF(ISBLANK($C101),"",IF($AA101=Constants!$B$2,TRUE(),IF($AA101=Constants!$B$3,FALSE(),TRUE())))</f>
        <v/>
      </c>
      <c r="BE101" s="74" t="str">
        <f aca="false">IF(ISBLANK($C101),"",IF($AB101=Constants!$B$2,TRUE(),IF($AB101=Constants!$B$3,FALSE(),TRUE())))</f>
        <v/>
      </c>
      <c r="BF101" s="74" t="str">
        <f aca="false">IF(ISBLANK($C101),"",IF(ISNUMBER($AC101),IF($AC101&gt;=0,$AC101,""),""))</f>
        <v/>
      </c>
      <c r="BG101" s="74" t="str">
        <f aca="false">IF(ISBLANK($C101),"",IF($AD101=Constants!$B$2,TRUE(),IF($AD101=Constants!$B$3,FALSE(),FALSE())))</f>
        <v/>
      </c>
      <c r="BH101" s="73" t="str">
        <f aca="false">IF(ISBLANK($C101),"",IF($BG101,Constants!$B$7,IF(COUNTA($E101:$AC101)=0,Constants!$B$6,IF(OR(COUNTA($G101:$AC101)=0,NOT($AK101),$AQ101),Constants!$B$5,IF(OR($CI101&lt;&gt;"",$CJ101,$CK101,$CL101,$CM101,$CN101,$CO101),Constants!$B$8,Constants!$B$4)))))</f>
        <v/>
      </c>
      <c r="BI101" s="74" t="str">
        <f aca="false">IF(ISBLANK($C101),"",IF($BH101&lt;&gt;Constants!$B$4,$BH101,IF(OR(NOT($AH101),NOT($AJ101),NOT($AR101)),Constants!$B$11,IF(OR(NOT($AP101),MAX($AL101,$AM101,$AN101)&gt;Constants!$B$30),Constants!$B$10,Constants!$B$9))))</f>
        <v/>
      </c>
      <c r="BJ101" s="74" t="str">
        <f aca="false">IF($BH101&lt;&gt;Constants!$B$4,"",IF(NOT($AJ101),0,MIN(Constants!$B$35,$BC101)))</f>
        <v/>
      </c>
      <c r="BK101" s="74" t="str">
        <f aca="false">IF($BH101&lt;&gt;Constants!$B$4,"",IF(NOT($AJ101),0,IF($AT101,Constants!$B$18,IF($AS101,Constants!$B$17,0))))</f>
        <v/>
      </c>
      <c r="BL101" s="74" t="str">
        <f aca="false">IF($BH101&lt;&gt;Constants!$B$4,"",IF(NOT($AJ101),0,Constants!$B$19*($AI101+$AU101+$AV101+$AW101)))</f>
        <v/>
      </c>
      <c r="BM101" s="74" t="str">
        <f aca="false">IF($BH101&lt;&gt;Constants!$B$4,"",IF(OR(NOT($AJ101),NOT(ISNUMBER($AX101))),0,CHOOSE($AX101,Constants!$B$13,Constants!$B$14,Constants!$B$15,Constants!$B$16)))</f>
        <v/>
      </c>
      <c r="BN101" s="74" t="str">
        <f aca="false">IF($BH101&lt;&gt;Constants!$B$4,"",IF(NOT($AJ101),0,Constants!$B$20*$AY101))</f>
        <v/>
      </c>
      <c r="BO101" s="74" t="str">
        <f aca="false">IF($BH101&lt;&gt;Constants!$B$4,"",IF(AND($AJ101,$BA101,$BB101),Constants!$B$22,0))</f>
        <v/>
      </c>
      <c r="BP101" s="74" t="str">
        <f aca="false">IF($BH101&lt;&gt;Constants!$B$4,"",IF(OR(NOT($AJ101),NOT($BA101)),0,IF($BF101&gt;=2*$AF$9,0,Constants!$B$23*INT(ROUND(MIN($BF101,$AF$9),6)))))</f>
        <v/>
      </c>
      <c r="BQ101" s="74" t="str">
        <f aca="false">IF($BH101&lt;&gt;Constants!$B$4,"",IF(NOT($AJ101),0,Constants!$B$24*INT(ROUND(MIN($AZ101,$AF$9),6))))</f>
        <v/>
      </c>
      <c r="BR101" s="74" t="str">
        <f aca="false">IF($BH101&lt;&gt;Constants!$B$4,"",IF(AND($AJ101,$BJ101=0),Constants!$B$25,0))</f>
        <v/>
      </c>
      <c r="BS101" s="74" t="str">
        <f aca="false">IF($BH101&lt;&gt;Constants!$B$4,"",MIN(Constants!$B$29,MAX(0,Constants!$B$27*Constants!$B$28*INT(ROUND((Constants!$B$26-$AL101)/Constants!$B$28,6))))+MIN(Constants!$B$29,MAX(0,Constants!$B$27*Constants!$B$28*INT(ROUND((Constants!$B$26-$AM101)/Constants!$B$28,6))))+MIN(Constants!$B$29,MAX(0,Constants!$B$27*Constants!$B$28*INT(ROUND((Constants!$B$26-$AN101)/Constants!$B$28,6)))))</f>
        <v/>
      </c>
      <c r="BT101" s="74" t="str">
        <f aca="false">IF($BH101&lt;&gt;Constants!$B$4,"",IF(NOT($AJ101),0,Constants!$B$31*INT(ROUND(MAX(0,MIN($BF101,2*$AF$9)-$AF$9),6))))</f>
        <v/>
      </c>
      <c r="BU101" s="74" t="str">
        <f aca="false">IF($BH101&lt;&gt;Constants!$B$4,"",Constants!$B$32*(($AL101&gt;Constants!$B$26)+($AM101&gt;Constants!$B$26)+($AN101&gt;Constants!$B$26)))</f>
        <v/>
      </c>
      <c r="BV101" s="74" t="str">
        <f aca="false">IF($BH101&lt;&gt;Constants!$B$4,"",IF(OR(NOT($AJ101),$AO101),0,Constants!$B$33))</f>
        <v/>
      </c>
      <c r="BW101" s="74" t="str">
        <f aca="false">IF($BH101&lt;&gt;Constants!$B$4,"",Constants!$B$34*$BJ101)</f>
        <v/>
      </c>
      <c r="BX101" s="74" t="str">
        <f aca="false">IF($BH101&lt;&gt;Constants!$B$4,"",IF(OR(NOT($AJ101),$BE101),0,Constants!$B$36))</f>
        <v/>
      </c>
      <c r="BY101" s="74" t="str">
        <f aca="false">IF($BH101&lt;&gt;Constants!$B$4,"",IF(OR(NOT($AJ101),$BD101),0,Constants!$B$37))</f>
        <v/>
      </c>
      <c r="BZ101" s="74" t="str">
        <f aca="false">IF($BH101&lt;&gt;Constants!$B$4,"",SUM($BT101:$BY101))</f>
        <v/>
      </c>
      <c r="CA101" s="74" t="str">
        <f aca="false">IF(ISBLANK($C101),"",IF($BH101&lt;&gt;Constants!$B$4,$BH101,SUM($BK101:$BS101)-$BZ101))</f>
        <v/>
      </c>
      <c r="CB101" s="74" t="str">
        <f aca="false">IF(ISBLANK($C101),"",IF($BH101&lt;&gt;Constants!$B$4,$BH101,RANK($CA101,$CA$9:$CA$508)))</f>
        <v/>
      </c>
      <c r="CC101" s="74" t="str">
        <f aca="false">IF(ISBLANK($C101),"",IF($BH101&lt;&gt;Constants!$B$4,$BH101,COUNTIFS($BI$9:$BI$508,"&lt;"&amp;$BI101)+COUNTIFS($BI$9:$BI$508,$BI101,$CB$9:$CB$508,"&lt;"&amp;$CB101)+1))</f>
        <v/>
      </c>
      <c r="CD101" s="74" t="str">
        <f aca="false">IF(ISBLANK($C101),"",IF($BH101&lt;&gt;Constants!$B$4,$BH101,RANK($BZ101,$BZ$9:$BZ$508,1)))</f>
        <v/>
      </c>
      <c r="CE101" s="74" t="str">
        <f aca="false">IF($BH101&lt;&gt;Constants!$B$4,"",$AL101+$AM101+$AN101)</f>
        <v/>
      </c>
      <c r="CF101" s="74" t="str">
        <f aca="false">IF(ISBLANK($C101),"",IF($BH101&lt;&gt;Constants!$B$4,$BH101,RANK($CE101,$CE$9:$CE$508,1)))</f>
        <v/>
      </c>
      <c r="CG101" s="74" t="str">
        <f aca="false">IF(ISBLANK($C101),"",IF($BH101&lt;&gt;Constants!$B$4,$BH101,COUNTIFS($BI$9:$BI$508,"&lt;"&amp;$BI101)+COUNTIFS($BI$9:$BI$508,$BI101,$CB$9:$CB$508,"&lt;"&amp;$CB101)+COUNTIFS($BI$9:$BI$508,$BI101,$CB$9:$CB$508,$CB101,$CD$9:$CD$508,"&lt;"&amp;$CD101)+COUNTIFS($BI$9:$BI$508,$BI101,$CB$9:$CB$508,$CB101,$CD$9:$CD$508,$CD101,$CF$9:$CF$508,"&lt;"&amp;$CF101)+1))</f>
        <v/>
      </c>
      <c r="CH101" s="74" t="str">
        <f aca="false">IF(ISBLANK($C101),"",IF($BH101&lt;&gt;Constants!$B$4,$BH101,$CC101-$CG101))</f>
        <v/>
      </c>
      <c r="CI101" s="74" t="str">
        <f aca="false">IF(ISBLANK($C101),"",IF(NOT($AJ101),"",IF(ISBLANK($D$7),$CI$5,IF(NOT(ISNUMBER($D$7)),$CI$6,""))))</f>
        <v/>
      </c>
      <c r="CJ101" s="74" t="str">
        <f aca="false">IF(ISBLANK($C101),"",OR($AL101="",$AM101="",$AN101=""))</f>
        <v/>
      </c>
      <c r="CK101" s="74" t="str">
        <f aca="false">IF(ISBLANK($C101),"",AND($AJ101,$AX101=""))</f>
        <v/>
      </c>
      <c r="CL101" s="74" t="str">
        <f aca="false">IF(ISBLANK($C101),"",AND($AJ101,$AY101=""))</f>
        <v/>
      </c>
      <c r="CM101" s="74" t="str">
        <f aca="false">IF(ISBLANK($C101),"",AND($AJ101,$AZ101=""))</f>
        <v/>
      </c>
      <c r="CN101" s="74" t="str">
        <f aca="false">IF(ISBLANK($C101),"",AND($AJ101,$BC101=""))</f>
        <v/>
      </c>
      <c r="CO101" s="74" t="str">
        <f aca="false">IF(ISBLANK($C101),"",AND($AJ101,$BF101=""))</f>
        <v/>
      </c>
      <c r="CP101" s="75"/>
      <c r="CQ101" s="76"/>
      <c r="CR101" s="79" t="str">
        <f aca="false">IF(ISBLANK($C101),"",IF($BH101=Constants!$B$8,$CI101,""))</f>
        <v/>
      </c>
      <c r="CS101" s="76" t="str">
        <f aca="false">IF(ISBLANK($C101),"",IF($BH101&lt;&gt;Constants!$B$4,"",$BK101+$BL101))</f>
        <v/>
      </c>
      <c r="CT101" s="78" t="str">
        <f aca="false">IF(ISBLANK($C101),"",IF($BH101&lt;&gt;Constants!$B$4,"",$BM101+$BN101+$BO101))</f>
        <v/>
      </c>
      <c r="CU101" s="78" t="str">
        <f aca="false">IF(ISBLANK($C101),"",IF($BH101&lt;&gt;Constants!$B$4,"",$BP101))</f>
        <v/>
      </c>
      <c r="CV101" s="78" t="str">
        <f aca="false">IF(ISBLANK($C101),"",IF($BH101&lt;&gt;Constants!$B$4,"",$BQ101+$BR101))</f>
        <v/>
      </c>
      <c r="CW101" s="78" t="str">
        <f aca="false">IF(ISBLANK($C101),"",IF($BH101&lt;&gt;Constants!$B$4,"",$BS101))</f>
        <v/>
      </c>
      <c r="CX101" s="78" t="str">
        <f aca="false">IF(ISBLANK($C101),"",IF($BH101&lt;&gt;Constants!$B$4,"",-$BZ101))</f>
        <v/>
      </c>
      <c r="CY101" s="79" t="str">
        <f aca="false">IF(ISBLANK($C101),"",$CA101)</f>
        <v/>
      </c>
      <c r="CZ101" s="80" t="str">
        <f aca="false">IF(ISBLANK($C101),"",$BI101)</f>
        <v/>
      </c>
      <c r="DA101" s="78" t="str">
        <f aca="false">IF(ISBLANK($C101),"",$CH101)</f>
        <v/>
      </c>
      <c r="DB101" s="78" t="str">
        <f aca="false">IF(ISBLANK($C101),"",$CG101)</f>
        <v/>
      </c>
      <c r="DC101" s="81" t="str">
        <f aca="false">IF(ISBLANK($C101),"",IFERROR(_xlfn.SWITCH($DB101,Constants!$B$7,COUNTA($C$9:$C$508)+2,Constants!$B$6,COUNTA($C$9:$C$508)+1,Constants!$B$5,COUNTA($C$9:$C$508)),$DB101))</f>
        <v/>
      </c>
      <c r="DD101" s="7"/>
      <c r="DE101" s="82" t="n">
        <f aca="false">IF(OR(ISNUMBER($DB101),$DB101=Constants!$B$7,$DB101=Constants!$B$5,$DB101=Constants!$B$6),1,0)</f>
        <v>0</v>
      </c>
      <c r="DF101" s="82" t="n">
        <v>93</v>
      </c>
      <c r="DG101" s="82" t="str">
        <f aca="false">IF(ISBLANK($C101),"",IF(ISNUMBER($DC101),$DC101+ROW($B101)/1000,""))</f>
        <v/>
      </c>
      <c r="DH101" s="82" t="str">
        <f aca="false">IF(ISNUMBER($DG101),RANK($DG101,$DG$9:$DG$508,1),"")</f>
        <v/>
      </c>
      <c r="DI101" s="82" t="str">
        <f aca="false">IF(ISBLANK($C101),"",$B101)</f>
        <v/>
      </c>
      <c r="DJ101" s="82" t="str">
        <f aca="false">IF(ISBLANK($C101),"",$C101)</f>
        <v/>
      </c>
      <c r="DK101" s="82" t="str">
        <f aca="false">IF(ISBLANK($C101),"",$D101)</f>
        <v/>
      </c>
      <c r="DL101" s="83" t="str">
        <f aca="false">$CZ101</f>
        <v/>
      </c>
      <c r="DM101" s="84" t="str">
        <f aca="false">$CY101</f>
        <v/>
      </c>
      <c r="DN101" s="82" t="str">
        <f aca="false">IF(ISBLANK($C101),"",$DB101)</f>
        <v/>
      </c>
      <c r="DO101" s="85" t="str">
        <f aca="false">IF($DF101&gt;$DE$8,"",VLOOKUP($DF101,$DH$9:$DN$508,7,FALSE()))</f>
        <v/>
      </c>
      <c r="DP101" s="86" t="str">
        <f aca="false">IF($DF101&gt;$DE$8,"",VLOOKUP($DF101,$DH$9:$DN$508,2,FALSE()))</f>
        <v/>
      </c>
      <c r="DQ101" s="86" t="str">
        <f aca="false">IF($DF101&gt;$DE$8,"",VLOOKUP($DF101,$DH$9:$DN$508,3,FALSE()))</f>
        <v/>
      </c>
      <c r="DR101" s="86" t="str">
        <f aca="false">IF($DF101&gt;$DE$8,"",VLOOKUP($DF101,$DH$9:$DN$508,4,FALSE()))</f>
        <v/>
      </c>
      <c r="DS101" s="86" t="str">
        <f aca="false">IF($DF101&gt;$DE$8,"",VLOOKUP($DF101,$DH$9:$DN$508,5,FALSE()))</f>
        <v/>
      </c>
      <c r="DT101" s="87" t="str">
        <f aca="false">IF($DF101&gt;$DE$8,"",VLOOKUP($DF101,$DH$9:$DN$508,6,FALSE()))</f>
        <v/>
      </c>
      <c r="DU101" s="62"/>
    </row>
    <row r="102" customFormat="false" ht="15.75" hidden="false" customHeight="false" outlineLevel="0" collapsed="false">
      <c r="A102" s="7"/>
      <c r="B102" s="90"/>
      <c r="C102" s="91"/>
      <c r="D102" s="126"/>
      <c r="E102" s="130"/>
      <c r="F102" s="135"/>
      <c r="G102" s="130"/>
      <c r="H102" s="135"/>
      <c r="I102" s="131"/>
      <c r="J102" s="131"/>
      <c r="K102" s="131"/>
      <c r="L102" s="130"/>
      <c r="M102" s="130"/>
      <c r="N102" s="130"/>
      <c r="O102" s="135"/>
      <c r="P102" s="130"/>
      <c r="Q102" s="130"/>
      <c r="R102" s="130"/>
      <c r="S102" s="130"/>
      <c r="T102" s="135"/>
      <c r="U102" s="130"/>
      <c r="V102" s="96"/>
      <c r="W102" s="130"/>
      <c r="X102" s="130"/>
      <c r="Y102" s="96"/>
      <c r="Z102" s="96"/>
      <c r="AA102" s="130"/>
      <c r="AB102" s="130"/>
      <c r="AC102" s="97"/>
      <c r="AD102" s="130"/>
      <c r="AE102" s="99"/>
      <c r="AF102" s="100"/>
      <c r="AG102" s="100"/>
      <c r="AH102" s="100" t="str">
        <f aca="false">IF(ISBLANK($C102),"",IF($E102=Constants!$B$2,TRUE(),IF($E102=Constants!$B$3,FALSE(),TRUE())))</f>
        <v/>
      </c>
      <c r="AI102" s="100" t="str">
        <f aca="false">IF(ISBLANK($C102),"",IF($F102=Constants!$B$2,TRUE(),IF($F102=Constants!$B$3,FALSE(),FALSE())))</f>
        <v/>
      </c>
      <c r="AJ102" s="100" t="str">
        <f aca="false">IF(ISBLANK($C102),"",IF($G102=Constants!$B$2,TRUE(),IF($G102=Constants!$B$3,FALSE(),TRUE())))</f>
        <v/>
      </c>
      <c r="AK102" s="100" t="str">
        <f aca="false">IF(ISBLANK($C102),"",IF($H102=Constants!$B$2,TRUE(),IF($H102=Constants!$B$3,FALSE(),TRUE())))</f>
        <v/>
      </c>
      <c r="AL102" s="100" t="str">
        <f aca="false">IF(ISBLANK($C102),"",IF(ISNUMBER($I102),IF($I102&gt;=0,$I102,""),""))</f>
        <v/>
      </c>
      <c r="AM102" s="100" t="str">
        <f aca="false">IF(ISBLANK($C102),"",IF(ISNUMBER($J102),IF($J102&gt;=0,$J102,""),""))</f>
        <v/>
      </c>
      <c r="AN102" s="100" t="str">
        <f aca="false">IF(ISBLANK($C102),"",IF(ISNUMBER($K102),IF($K102&gt;=0,$K102,""),""))</f>
        <v/>
      </c>
      <c r="AO102" s="100" t="str">
        <f aca="false">IF(ISBLANK($C102),"",IF($L102=Constants!$B$2,TRUE(),IF($L102=Constants!$B$3,FALSE(),TRUE())))</f>
        <v/>
      </c>
      <c r="AP102" s="100" t="str">
        <f aca="false">IF(ISBLANK($C102),"",IF($M102=Constants!$B$2,TRUE(),IF($M102=Constants!$B$3,FALSE(),TRUE())))</f>
        <v/>
      </c>
      <c r="AQ102" s="100" t="str">
        <f aca="false">IF(ISBLANK($C102),"",IF($N102=Constants!$B$2,TRUE(),IF($N102=Constants!$B$3,FALSE(),FALSE())))</f>
        <v/>
      </c>
      <c r="AR102" s="100" t="str">
        <f aca="false">IF(ISBLANK($C102),"",IF($O102=Constants!$B$2,TRUE(),IF($O102=Constants!$B$3,FALSE(),TRUE())))</f>
        <v/>
      </c>
      <c r="AS102" s="100" t="str">
        <f aca="false">IF(ISBLANK($C102),"",IF($P102=Constants!$B$2,TRUE(),IF($P102=Constants!$B$3,FALSE(),FALSE())))</f>
        <v/>
      </c>
      <c r="AT102" s="100" t="str">
        <f aca="false">IF(ISBLANK($C102),"",IF($Q102=Constants!$B$2,TRUE(),IF($Q102=Constants!$B$3,FALSE(),FALSE())))</f>
        <v/>
      </c>
      <c r="AU102" s="100" t="str">
        <f aca="false">IF(ISBLANK($C102),"",IF($R102=Constants!$B$2,TRUE(),IF($R102=Constants!$B$3,FALSE(),FALSE())))</f>
        <v/>
      </c>
      <c r="AV102" s="100" t="str">
        <f aca="false">IF(ISBLANK($C102),"",IF($S102=Constants!$B$2,TRUE(),IF($S102=Constants!$B$3,FALSE(),FALSE())))</f>
        <v/>
      </c>
      <c r="AW102" s="100" t="str">
        <f aca="false">IF(ISBLANK($C102),"",IF($T102=Constants!$B$2,TRUE(),IF($T102=Constants!$B$3,FALSE(),FALSE())))</f>
        <v/>
      </c>
      <c r="AX102" s="100" t="str">
        <f aca="false">IF(ISBLANK($C102),"",IF(OR($U102&amp;""="1",$U102&amp;""="2",$U102&amp;""="3",$U102&amp;""="4"),VALUE($U102&amp;""),IF($U102=Constants!$B$12,Constants!$B$12,"")))</f>
        <v/>
      </c>
      <c r="AY102" s="100" t="str">
        <f aca="false">IF(ISBLANK($C102),"",IF(ISBLANK($V102),0,IF(ISNUMBER($V102),IF(AND($V102&gt;=0,$V102&lt;=Constants!$B$21,$V102=INT($V102)),$V102,""),"")))</f>
        <v/>
      </c>
      <c r="AZ102" s="100" t="str">
        <f aca="false">IF(ISBLANK($C102),"",IF(ISBLANK($W102),0,IF(ISNUMBER($W102),IF($W102&gt;=0,$W102,""),"")))</f>
        <v/>
      </c>
      <c r="BA102" s="100" t="str">
        <f aca="false">IF(ISBLANK($C102),"",IF($X102=Constants!$B$2,TRUE(),IF($X102=Constants!$B$3,FALSE(),TRUE())))</f>
        <v/>
      </c>
      <c r="BB102" s="100" t="str">
        <f aca="false">IF(ISBLANK($C102),"",IF($Y102=Constants!$B$2,TRUE(),IF($Y102=Constants!$B$3,FALSE(),FALSE())))</f>
        <v/>
      </c>
      <c r="BC102" s="100" t="str">
        <f aca="false">IF(ISBLANK($C102),"",IF(ISBLANK($Z102),0,IF(ISNUMBER($Z102),IF(AND($Z102&gt;=0,$Z102&lt;=Constants!$B$35,$Z102=INT($Z102)),$Z102,""),"")))</f>
        <v/>
      </c>
      <c r="BD102" s="100" t="str">
        <f aca="false">IF(ISBLANK($C102),"",IF($AA102=Constants!$B$2,TRUE(),IF($AA102=Constants!$B$3,FALSE(),TRUE())))</f>
        <v/>
      </c>
      <c r="BE102" s="100" t="str">
        <f aca="false">IF(ISBLANK($C102),"",IF($AB102=Constants!$B$2,TRUE(),IF($AB102=Constants!$B$3,FALSE(),TRUE())))</f>
        <v/>
      </c>
      <c r="BF102" s="100" t="str">
        <f aca="false">IF(ISBLANK($C102),"",IF(ISNUMBER($AC102),IF($AC102&gt;=0,$AC102,""),""))</f>
        <v/>
      </c>
      <c r="BG102" s="100" t="str">
        <f aca="false">IF(ISBLANK($C102),"",IF($AD102=Constants!$B$2,TRUE(),IF($AD102=Constants!$B$3,FALSE(),FALSE())))</f>
        <v/>
      </c>
      <c r="BH102" s="99" t="str">
        <f aca="false">IF(ISBLANK($C102),"",IF($BG102,Constants!$B$7,IF(COUNTA($E102:$AC102)=0,Constants!$B$6,IF(OR(COUNTA($G102:$AC102)=0,NOT($AK102),$AQ102),Constants!$B$5,IF(OR($CI102&lt;&gt;"",$CJ102,$CK102,$CL102,$CM102,$CN102,$CO102),Constants!$B$8,Constants!$B$4)))))</f>
        <v/>
      </c>
      <c r="BI102" s="100" t="str">
        <f aca="false">IF(ISBLANK($C102),"",IF($BH102&lt;&gt;Constants!$B$4,$BH102,IF(OR(NOT($AH102),NOT($AJ102),NOT($AR102)),Constants!$B$11,IF(OR(NOT($AP102),MAX($AL102,$AM102,$AN102)&gt;Constants!$B$30),Constants!$B$10,Constants!$B$9))))</f>
        <v/>
      </c>
      <c r="BJ102" s="100" t="str">
        <f aca="false">IF($BH102&lt;&gt;Constants!$B$4,"",IF(NOT($AJ102),0,MIN(Constants!$B$35,$BC102)))</f>
        <v/>
      </c>
      <c r="BK102" s="100" t="str">
        <f aca="false">IF($BH102&lt;&gt;Constants!$B$4,"",IF(NOT($AJ102),0,IF($AT102,Constants!$B$18,IF($AS102,Constants!$B$17,0))))</f>
        <v/>
      </c>
      <c r="BL102" s="100" t="str">
        <f aca="false">IF($BH102&lt;&gt;Constants!$B$4,"",IF(NOT($AJ102),0,Constants!$B$19*($AI102+$AU102+$AV102+$AW102)))</f>
        <v/>
      </c>
      <c r="BM102" s="100" t="str">
        <f aca="false">IF($BH102&lt;&gt;Constants!$B$4,"",IF(OR(NOT($AJ102),NOT(ISNUMBER($AX102))),0,CHOOSE($AX102,Constants!$B$13,Constants!$B$14,Constants!$B$15,Constants!$B$16)))</f>
        <v/>
      </c>
      <c r="BN102" s="100" t="str">
        <f aca="false">IF($BH102&lt;&gt;Constants!$B$4,"",IF(NOT($AJ102),0,Constants!$B$20*$AY102))</f>
        <v/>
      </c>
      <c r="BO102" s="100" t="str">
        <f aca="false">IF($BH102&lt;&gt;Constants!$B$4,"",IF(AND($AJ102,$BA102,$BB102),Constants!$B$22,0))</f>
        <v/>
      </c>
      <c r="BP102" s="100" t="str">
        <f aca="false">IF($BH102&lt;&gt;Constants!$B$4,"",IF(OR(NOT($AJ102),NOT($BA102)),0,IF($BF102&gt;=2*$AF$9,0,Constants!$B$23*INT(ROUND(MIN($BF102,$AF$9),6)))))</f>
        <v/>
      </c>
      <c r="BQ102" s="100" t="str">
        <f aca="false">IF($BH102&lt;&gt;Constants!$B$4,"",IF(NOT($AJ102),0,Constants!$B$24*INT(ROUND(MIN($AZ102,$AF$9),6))))</f>
        <v/>
      </c>
      <c r="BR102" s="100" t="str">
        <f aca="false">IF($BH102&lt;&gt;Constants!$B$4,"",IF(AND($AJ102,$BJ102=0),Constants!$B$25,0))</f>
        <v/>
      </c>
      <c r="BS102" s="100" t="str">
        <f aca="false">IF($BH102&lt;&gt;Constants!$B$4,"",MIN(Constants!$B$29,MAX(0,Constants!$B$27*Constants!$B$28*INT(ROUND((Constants!$B$26-$AL102)/Constants!$B$28,6))))+MIN(Constants!$B$29,MAX(0,Constants!$B$27*Constants!$B$28*INT(ROUND((Constants!$B$26-$AM102)/Constants!$B$28,6))))+MIN(Constants!$B$29,MAX(0,Constants!$B$27*Constants!$B$28*INT(ROUND((Constants!$B$26-$AN102)/Constants!$B$28,6)))))</f>
        <v/>
      </c>
      <c r="BT102" s="100" t="str">
        <f aca="false">IF($BH102&lt;&gt;Constants!$B$4,"",IF(NOT($AJ102),0,Constants!$B$31*INT(ROUND(MAX(0,MIN($BF102,2*$AF$9)-$AF$9),6))))</f>
        <v/>
      </c>
      <c r="BU102" s="100" t="str">
        <f aca="false">IF($BH102&lt;&gt;Constants!$B$4,"",Constants!$B$32*(($AL102&gt;Constants!$B$26)+($AM102&gt;Constants!$B$26)+($AN102&gt;Constants!$B$26)))</f>
        <v/>
      </c>
      <c r="BV102" s="100" t="str">
        <f aca="false">IF($BH102&lt;&gt;Constants!$B$4,"",IF(OR(NOT($AJ102),$AO102),0,Constants!$B$33))</f>
        <v/>
      </c>
      <c r="BW102" s="100" t="str">
        <f aca="false">IF($BH102&lt;&gt;Constants!$B$4,"",Constants!$B$34*$BJ102)</f>
        <v/>
      </c>
      <c r="BX102" s="100" t="str">
        <f aca="false">IF($BH102&lt;&gt;Constants!$B$4,"",IF(OR(NOT($AJ102),$BE102),0,Constants!$B$36))</f>
        <v/>
      </c>
      <c r="BY102" s="100" t="str">
        <f aca="false">IF($BH102&lt;&gt;Constants!$B$4,"",IF(OR(NOT($AJ102),$BD102),0,Constants!$B$37))</f>
        <v/>
      </c>
      <c r="BZ102" s="100" t="str">
        <f aca="false">IF($BH102&lt;&gt;Constants!$B$4,"",SUM($BT102:$BY102))</f>
        <v/>
      </c>
      <c r="CA102" s="100" t="str">
        <f aca="false">IF(ISBLANK($C102),"",IF($BH102&lt;&gt;Constants!$B$4,$BH102,SUM($BK102:$BS102)-$BZ102))</f>
        <v/>
      </c>
      <c r="CB102" s="100" t="str">
        <f aca="false">IF(ISBLANK($C102),"",IF($BH102&lt;&gt;Constants!$B$4,$BH102,RANK($CA102,$CA$9:$CA$508)))</f>
        <v/>
      </c>
      <c r="CC102" s="100" t="str">
        <f aca="false">IF(ISBLANK($C102),"",IF($BH102&lt;&gt;Constants!$B$4,$BH102,COUNTIFS($BI$9:$BI$508,"&lt;"&amp;$BI102)+COUNTIFS($BI$9:$BI$508,$BI102,$CB$9:$CB$508,"&lt;"&amp;$CB102)+1))</f>
        <v/>
      </c>
      <c r="CD102" s="100" t="str">
        <f aca="false">IF(ISBLANK($C102),"",IF($BH102&lt;&gt;Constants!$B$4,$BH102,RANK($BZ102,$BZ$9:$BZ$508,1)))</f>
        <v/>
      </c>
      <c r="CE102" s="100" t="str">
        <f aca="false">IF($BH102&lt;&gt;Constants!$B$4,"",$AL102+$AM102+$AN102)</f>
        <v/>
      </c>
      <c r="CF102" s="100" t="str">
        <f aca="false">IF(ISBLANK($C102),"",IF($BH102&lt;&gt;Constants!$B$4,$BH102,RANK($CE102,$CE$9:$CE$508,1)))</f>
        <v/>
      </c>
      <c r="CG102" s="100" t="str">
        <f aca="false">IF(ISBLANK($C102),"",IF($BH102&lt;&gt;Constants!$B$4,$BH102,COUNTIFS($BI$9:$BI$508,"&lt;"&amp;$BI102)+COUNTIFS($BI$9:$BI$508,$BI102,$CB$9:$CB$508,"&lt;"&amp;$CB102)+COUNTIFS($BI$9:$BI$508,$BI102,$CB$9:$CB$508,$CB102,$CD$9:$CD$508,"&lt;"&amp;$CD102)+COUNTIFS($BI$9:$BI$508,$BI102,$CB$9:$CB$508,$CB102,$CD$9:$CD$508,$CD102,$CF$9:$CF$508,"&lt;"&amp;$CF102)+1))</f>
        <v/>
      </c>
      <c r="CH102" s="100" t="str">
        <f aca="false">IF(ISBLANK($C102),"",IF($BH102&lt;&gt;Constants!$B$4,$BH102,$CC102-$CG102))</f>
        <v/>
      </c>
      <c r="CI102" s="100" t="str">
        <f aca="false">IF(ISBLANK($C102),"",IF(NOT($AJ102),"",IF(ISBLANK($D$7),$CI$5,IF(NOT(ISNUMBER($D$7)),$CI$6,""))))</f>
        <v/>
      </c>
      <c r="CJ102" s="100" t="str">
        <f aca="false">IF(ISBLANK($C102),"",OR($AL102="",$AM102="",$AN102=""))</f>
        <v/>
      </c>
      <c r="CK102" s="100" t="str">
        <f aca="false">IF(ISBLANK($C102),"",AND($AJ102,$AX102=""))</f>
        <v/>
      </c>
      <c r="CL102" s="100" t="str">
        <f aca="false">IF(ISBLANK($C102),"",AND($AJ102,$AY102=""))</f>
        <v/>
      </c>
      <c r="CM102" s="100" t="str">
        <f aca="false">IF(ISBLANK($C102),"",AND($AJ102,$AZ102=""))</f>
        <v/>
      </c>
      <c r="CN102" s="100" t="str">
        <f aca="false">IF(ISBLANK($C102),"",AND($AJ102,$BC102=""))</f>
        <v/>
      </c>
      <c r="CO102" s="100" t="str">
        <f aca="false">IF(ISBLANK($C102),"",AND($AJ102,$BF102=""))</f>
        <v/>
      </c>
      <c r="CP102" s="101"/>
      <c r="CQ102" s="102"/>
      <c r="CR102" s="103" t="str">
        <f aca="false">IF(ISBLANK($C102),"",IF($BH102=Constants!$B$8,$CI102,""))</f>
        <v/>
      </c>
      <c r="CS102" s="102" t="str">
        <f aca="false">IF(ISBLANK($C102),"",IF($BH102&lt;&gt;Constants!$B$4,"",$BK102+$BL102))</f>
        <v/>
      </c>
      <c r="CT102" s="104" t="str">
        <f aca="false">IF(ISBLANK($C102),"",IF($BH102&lt;&gt;Constants!$B$4,"",$BM102+$BN102+$BO102))</f>
        <v/>
      </c>
      <c r="CU102" s="104" t="str">
        <f aca="false">IF(ISBLANK($C102),"",IF($BH102&lt;&gt;Constants!$B$4,"",$BP102))</f>
        <v/>
      </c>
      <c r="CV102" s="104" t="str">
        <f aca="false">IF(ISBLANK($C102),"",IF($BH102&lt;&gt;Constants!$B$4,"",$BQ102+$BR102))</f>
        <v/>
      </c>
      <c r="CW102" s="104" t="str">
        <f aca="false">IF(ISBLANK($C102),"",IF($BH102&lt;&gt;Constants!$B$4,"",$BS102))</f>
        <v/>
      </c>
      <c r="CX102" s="104" t="str">
        <f aca="false">IF(ISBLANK($C102),"",IF($BH102&lt;&gt;Constants!$B$4,"",-$BZ102))</f>
        <v/>
      </c>
      <c r="CY102" s="103" t="str">
        <f aca="false">IF(ISBLANK($C102),"",$CA102)</f>
        <v/>
      </c>
      <c r="CZ102" s="105" t="str">
        <f aca="false">IF(ISBLANK($C102),"",$BI102)</f>
        <v/>
      </c>
      <c r="DA102" s="104" t="str">
        <f aca="false">IF(ISBLANK($C102),"",$CH102)</f>
        <v/>
      </c>
      <c r="DB102" s="104" t="str">
        <f aca="false">IF(ISBLANK($C102),"",$CG102)</f>
        <v/>
      </c>
      <c r="DC102" s="106" t="str">
        <f aca="false">IF(ISBLANK($C102),"",IFERROR(_xlfn.SWITCH($DB102,Constants!$B$7,COUNTA($C$9:$C$508)+2,Constants!$B$6,COUNTA($C$9:$C$508)+1,Constants!$B$5,COUNTA($C$9:$C$508)),$DB102))</f>
        <v/>
      </c>
      <c r="DD102" s="7"/>
      <c r="DE102" s="107" t="n">
        <f aca="false">IF(OR(ISNUMBER($DB102),$DB102=Constants!$B$7,$DB102=Constants!$B$5,$DB102=Constants!$B$6),1,0)</f>
        <v>0</v>
      </c>
      <c r="DF102" s="107" t="n">
        <v>94</v>
      </c>
      <c r="DG102" s="107" t="str">
        <f aca="false">IF(ISBLANK($C102),"",IF(ISNUMBER($DC102),$DC102+ROW($B102)/1000,""))</f>
        <v/>
      </c>
      <c r="DH102" s="107" t="str">
        <f aca="false">IF(ISNUMBER($DG102),RANK($DG102,$DG$9:$DG$508,1),"")</f>
        <v/>
      </c>
      <c r="DI102" s="107" t="str">
        <f aca="false">IF(ISBLANK($C102),"",$B102)</f>
        <v/>
      </c>
      <c r="DJ102" s="107" t="str">
        <f aca="false">IF(ISBLANK($C102),"",$C102)</f>
        <v/>
      </c>
      <c r="DK102" s="107" t="str">
        <f aca="false">IF(ISBLANK($C102),"",$D102)</f>
        <v/>
      </c>
      <c r="DL102" s="108" t="str">
        <f aca="false">$CZ102</f>
        <v/>
      </c>
      <c r="DM102" s="109" t="str">
        <f aca="false">$CY102</f>
        <v/>
      </c>
      <c r="DN102" s="107" t="str">
        <f aca="false">IF(ISBLANK($C102),"",$DB102)</f>
        <v/>
      </c>
      <c r="DO102" s="110" t="str">
        <f aca="false">IF($DF102&gt;$DE$8,"",VLOOKUP($DF102,$DH$9:$DN$508,7,FALSE()))</f>
        <v/>
      </c>
      <c r="DP102" s="111" t="str">
        <f aca="false">IF($DF102&gt;$DE$8,"",VLOOKUP($DF102,$DH$9:$DN$508,2,FALSE()))</f>
        <v/>
      </c>
      <c r="DQ102" s="111" t="str">
        <f aca="false">IF($DF102&gt;$DE$8,"",VLOOKUP($DF102,$DH$9:$DN$508,3,FALSE()))</f>
        <v/>
      </c>
      <c r="DR102" s="111" t="str">
        <f aca="false">IF($DF102&gt;$DE$8,"",VLOOKUP($DF102,$DH$9:$DN$508,4,FALSE()))</f>
        <v/>
      </c>
      <c r="DS102" s="111" t="str">
        <f aca="false">IF($DF102&gt;$DE$8,"",VLOOKUP($DF102,$DH$9:$DN$508,5,FALSE()))</f>
        <v/>
      </c>
      <c r="DT102" s="112" t="str">
        <f aca="false">IF($DF102&gt;$DE$8,"",VLOOKUP($DF102,$DH$9:$DN$508,6,FALSE()))</f>
        <v/>
      </c>
      <c r="DU102" s="62"/>
    </row>
    <row r="103" customFormat="false" ht="15.75" hidden="false" customHeight="false" outlineLevel="0" collapsed="false">
      <c r="A103" s="7"/>
      <c r="B103" s="90"/>
      <c r="C103" s="91"/>
      <c r="D103" s="126"/>
      <c r="E103" s="130"/>
      <c r="F103" s="135"/>
      <c r="G103" s="130"/>
      <c r="H103" s="135"/>
      <c r="I103" s="131"/>
      <c r="J103" s="131"/>
      <c r="K103" s="131"/>
      <c r="L103" s="130"/>
      <c r="M103" s="130"/>
      <c r="N103" s="130"/>
      <c r="O103" s="135"/>
      <c r="P103" s="130"/>
      <c r="Q103" s="130"/>
      <c r="R103" s="130"/>
      <c r="S103" s="130"/>
      <c r="T103" s="135"/>
      <c r="U103" s="130"/>
      <c r="V103" s="96"/>
      <c r="W103" s="130"/>
      <c r="X103" s="130"/>
      <c r="Y103" s="96"/>
      <c r="Z103" s="96"/>
      <c r="AA103" s="130"/>
      <c r="AB103" s="130"/>
      <c r="AC103" s="97"/>
      <c r="AD103" s="130"/>
      <c r="AE103" s="99"/>
      <c r="AF103" s="100"/>
      <c r="AG103" s="100"/>
      <c r="AH103" s="100" t="str">
        <f aca="false">IF(ISBLANK($C103),"",IF($E103=Constants!$B$2,TRUE(),IF($E103=Constants!$B$3,FALSE(),TRUE())))</f>
        <v/>
      </c>
      <c r="AI103" s="100" t="str">
        <f aca="false">IF(ISBLANK($C103),"",IF($F103=Constants!$B$2,TRUE(),IF($F103=Constants!$B$3,FALSE(),FALSE())))</f>
        <v/>
      </c>
      <c r="AJ103" s="100" t="str">
        <f aca="false">IF(ISBLANK($C103),"",IF($G103=Constants!$B$2,TRUE(),IF($G103=Constants!$B$3,FALSE(),TRUE())))</f>
        <v/>
      </c>
      <c r="AK103" s="100" t="str">
        <f aca="false">IF(ISBLANK($C103),"",IF($H103=Constants!$B$2,TRUE(),IF($H103=Constants!$B$3,FALSE(),TRUE())))</f>
        <v/>
      </c>
      <c r="AL103" s="100" t="str">
        <f aca="false">IF(ISBLANK($C103),"",IF(ISNUMBER($I103),IF($I103&gt;=0,$I103,""),""))</f>
        <v/>
      </c>
      <c r="AM103" s="100" t="str">
        <f aca="false">IF(ISBLANK($C103),"",IF(ISNUMBER($J103),IF($J103&gt;=0,$J103,""),""))</f>
        <v/>
      </c>
      <c r="AN103" s="100" t="str">
        <f aca="false">IF(ISBLANK($C103),"",IF(ISNUMBER($K103),IF($K103&gt;=0,$K103,""),""))</f>
        <v/>
      </c>
      <c r="AO103" s="100" t="str">
        <f aca="false">IF(ISBLANK($C103),"",IF($L103=Constants!$B$2,TRUE(),IF($L103=Constants!$B$3,FALSE(),TRUE())))</f>
        <v/>
      </c>
      <c r="AP103" s="100" t="str">
        <f aca="false">IF(ISBLANK($C103),"",IF($M103=Constants!$B$2,TRUE(),IF($M103=Constants!$B$3,FALSE(),TRUE())))</f>
        <v/>
      </c>
      <c r="AQ103" s="100" t="str">
        <f aca="false">IF(ISBLANK($C103),"",IF($N103=Constants!$B$2,TRUE(),IF($N103=Constants!$B$3,FALSE(),FALSE())))</f>
        <v/>
      </c>
      <c r="AR103" s="100" t="str">
        <f aca="false">IF(ISBLANK($C103),"",IF($O103=Constants!$B$2,TRUE(),IF($O103=Constants!$B$3,FALSE(),TRUE())))</f>
        <v/>
      </c>
      <c r="AS103" s="100" t="str">
        <f aca="false">IF(ISBLANK($C103),"",IF($P103=Constants!$B$2,TRUE(),IF($P103=Constants!$B$3,FALSE(),FALSE())))</f>
        <v/>
      </c>
      <c r="AT103" s="100" t="str">
        <f aca="false">IF(ISBLANK($C103),"",IF($Q103=Constants!$B$2,TRUE(),IF($Q103=Constants!$B$3,FALSE(),FALSE())))</f>
        <v/>
      </c>
      <c r="AU103" s="100" t="str">
        <f aca="false">IF(ISBLANK($C103),"",IF($R103=Constants!$B$2,TRUE(),IF($R103=Constants!$B$3,FALSE(),FALSE())))</f>
        <v/>
      </c>
      <c r="AV103" s="100" t="str">
        <f aca="false">IF(ISBLANK($C103),"",IF($S103=Constants!$B$2,TRUE(),IF($S103=Constants!$B$3,FALSE(),FALSE())))</f>
        <v/>
      </c>
      <c r="AW103" s="100" t="str">
        <f aca="false">IF(ISBLANK($C103),"",IF($T103=Constants!$B$2,TRUE(),IF($T103=Constants!$B$3,FALSE(),FALSE())))</f>
        <v/>
      </c>
      <c r="AX103" s="100" t="str">
        <f aca="false">IF(ISBLANK($C103),"",IF(OR($U103&amp;""="1",$U103&amp;""="2",$U103&amp;""="3",$U103&amp;""="4"),VALUE($U103&amp;""),IF($U103=Constants!$B$12,Constants!$B$12,"")))</f>
        <v/>
      </c>
      <c r="AY103" s="100" t="str">
        <f aca="false">IF(ISBLANK($C103),"",IF(ISBLANK($V103),0,IF(ISNUMBER($V103),IF(AND($V103&gt;=0,$V103&lt;=Constants!$B$21,$V103=INT($V103)),$V103,""),"")))</f>
        <v/>
      </c>
      <c r="AZ103" s="100" t="str">
        <f aca="false">IF(ISBLANK($C103),"",IF(ISBLANK($W103),0,IF(ISNUMBER($W103),IF($W103&gt;=0,$W103,""),"")))</f>
        <v/>
      </c>
      <c r="BA103" s="100" t="str">
        <f aca="false">IF(ISBLANK($C103),"",IF($X103=Constants!$B$2,TRUE(),IF($X103=Constants!$B$3,FALSE(),TRUE())))</f>
        <v/>
      </c>
      <c r="BB103" s="100" t="str">
        <f aca="false">IF(ISBLANK($C103),"",IF($Y103=Constants!$B$2,TRUE(),IF($Y103=Constants!$B$3,FALSE(),FALSE())))</f>
        <v/>
      </c>
      <c r="BC103" s="100" t="str">
        <f aca="false">IF(ISBLANK($C103),"",IF(ISBLANK($Z103),0,IF(ISNUMBER($Z103),IF(AND($Z103&gt;=0,$Z103&lt;=Constants!$B$35,$Z103=INT($Z103)),$Z103,""),"")))</f>
        <v/>
      </c>
      <c r="BD103" s="100" t="str">
        <f aca="false">IF(ISBLANK($C103),"",IF($AA103=Constants!$B$2,TRUE(),IF($AA103=Constants!$B$3,FALSE(),TRUE())))</f>
        <v/>
      </c>
      <c r="BE103" s="100" t="str">
        <f aca="false">IF(ISBLANK($C103),"",IF($AB103=Constants!$B$2,TRUE(),IF($AB103=Constants!$B$3,FALSE(),TRUE())))</f>
        <v/>
      </c>
      <c r="BF103" s="100" t="str">
        <f aca="false">IF(ISBLANK($C103),"",IF(ISNUMBER($AC103),IF($AC103&gt;=0,$AC103,""),""))</f>
        <v/>
      </c>
      <c r="BG103" s="100" t="str">
        <f aca="false">IF(ISBLANK($C103),"",IF($AD103=Constants!$B$2,TRUE(),IF($AD103=Constants!$B$3,FALSE(),FALSE())))</f>
        <v/>
      </c>
      <c r="BH103" s="99" t="str">
        <f aca="false">IF(ISBLANK($C103),"",IF($BG103,Constants!$B$7,IF(COUNTA($E103:$AC103)=0,Constants!$B$6,IF(OR(COUNTA($G103:$AC103)=0,NOT($AK103),$AQ103),Constants!$B$5,IF(OR($CI103&lt;&gt;"",$CJ103,$CK103,$CL103,$CM103,$CN103,$CO103),Constants!$B$8,Constants!$B$4)))))</f>
        <v/>
      </c>
      <c r="BI103" s="100" t="str">
        <f aca="false">IF(ISBLANK($C103),"",IF($BH103&lt;&gt;Constants!$B$4,$BH103,IF(OR(NOT($AH103),NOT($AJ103),NOT($AR103)),Constants!$B$11,IF(OR(NOT($AP103),MAX($AL103,$AM103,$AN103)&gt;Constants!$B$30),Constants!$B$10,Constants!$B$9))))</f>
        <v/>
      </c>
      <c r="BJ103" s="100" t="str">
        <f aca="false">IF($BH103&lt;&gt;Constants!$B$4,"",IF(NOT($AJ103),0,MIN(Constants!$B$35,$BC103)))</f>
        <v/>
      </c>
      <c r="BK103" s="100" t="str">
        <f aca="false">IF($BH103&lt;&gt;Constants!$B$4,"",IF(NOT($AJ103),0,IF($AT103,Constants!$B$18,IF($AS103,Constants!$B$17,0))))</f>
        <v/>
      </c>
      <c r="BL103" s="100" t="str">
        <f aca="false">IF($BH103&lt;&gt;Constants!$B$4,"",IF(NOT($AJ103),0,Constants!$B$19*($AI103+$AU103+$AV103+$AW103)))</f>
        <v/>
      </c>
      <c r="BM103" s="100" t="str">
        <f aca="false">IF($BH103&lt;&gt;Constants!$B$4,"",IF(OR(NOT($AJ103),NOT(ISNUMBER($AX103))),0,CHOOSE($AX103,Constants!$B$13,Constants!$B$14,Constants!$B$15,Constants!$B$16)))</f>
        <v/>
      </c>
      <c r="BN103" s="100" t="str">
        <f aca="false">IF($BH103&lt;&gt;Constants!$B$4,"",IF(NOT($AJ103),0,Constants!$B$20*$AY103))</f>
        <v/>
      </c>
      <c r="BO103" s="100" t="str">
        <f aca="false">IF($BH103&lt;&gt;Constants!$B$4,"",IF(AND($AJ103,$BA103,$BB103),Constants!$B$22,0))</f>
        <v/>
      </c>
      <c r="BP103" s="100" t="str">
        <f aca="false">IF($BH103&lt;&gt;Constants!$B$4,"",IF(OR(NOT($AJ103),NOT($BA103)),0,IF($BF103&gt;=2*$AF$9,0,Constants!$B$23*INT(ROUND(MIN($BF103,$AF$9),6)))))</f>
        <v/>
      </c>
      <c r="BQ103" s="100" t="str">
        <f aca="false">IF($BH103&lt;&gt;Constants!$B$4,"",IF(NOT($AJ103),0,Constants!$B$24*INT(ROUND(MIN($AZ103,$AF$9),6))))</f>
        <v/>
      </c>
      <c r="BR103" s="100" t="str">
        <f aca="false">IF($BH103&lt;&gt;Constants!$B$4,"",IF(AND($AJ103,$BJ103=0),Constants!$B$25,0))</f>
        <v/>
      </c>
      <c r="BS103" s="100" t="str">
        <f aca="false">IF($BH103&lt;&gt;Constants!$B$4,"",MIN(Constants!$B$29,MAX(0,Constants!$B$27*Constants!$B$28*INT(ROUND((Constants!$B$26-$AL103)/Constants!$B$28,6))))+MIN(Constants!$B$29,MAX(0,Constants!$B$27*Constants!$B$28*INT(ROUND((Constants!$B$26-$AM103)/Constants!$B$28,6))))+MIN(Constants!$B$29,MAX(0,Constants!$B$27*Constants!$B$28*INT(ROUND((Constants!$B$26-$AN103)/Constants!$B$28,6)))))</f>
        <v/>
      </c>
      <c r="BT103" s="100" t="str">
        <f aca="false">IF($BH103&lt;&gt;Constants!$B$4,"",IF(NOT($AJ103),0,Constants!$B$31*INT(ROUND(MAX(0,MIN($BF103,2*$AF$9)-$AF$9),6))))</f>
        <v/>
      </c>
      <c r="BU103" s="100" t="str">
        <f aca="false">IF($BH103&lt;&gt;Constants!$B$4,"",Constants!$B$32*(($AL103&gt;Constants!$B$26)+($AM103&gt;Constants!$B$26)+($AN103&gt;Constants!$B$26)))</f>
        <v/>
      </c>
      <c r="BV103" s="100" t="str">
        <f aca="false">IF($BH103&lt;&gt;Constants!$B$4,"",IF(OR(NOT($AJ103),$AO103),0,Constants!$B$33))</f>
        <v/>
      </c>
      <c r="BW103" s="100" t="str">
        <f aca="false">IF($BH103&lt;&gt;Constants!$B$4,"",Constants!$B$34*$BJ103)</f>
        <v/>
      </c>
      <c r="BX103" s="100" t="str">
        <f aca="false">IF($BH103&lt;&gt;Constants!$B$4,"",IF(OR(NOT($AJ103),$BE103),0,Constants!$B$36))</f>
        <v/>
      </c>
      <c r="BY103" s="100" t="str">
        <f aca="false">IF($BH103&lt;&gt;Constants!$B$4,"",IF(OR(NOT($AJ103),$BD103),0,Constants!$B$37))</f>
        <v/>
      </c>
      <c r="BZ103" s="100" t="str">
        <f aca="false">IF($BH103&lt;&gt;Constants!$B$4,"",SUM($BT103:$BY103))</f>
        <v/>
      </c>
      <c r="CA103" s="100" t="str">
        <f aca="false">IF(ISBLANK($C103),"",IF($BH103&lt;&gt;Constants!$B$4,$BH103,SUM($BK103:$BS103)-$BZ103))</f>
        <v/>
      </c>
      <c r="CB103" s="100" t="str">
        <f aca="false">IF(ISBLANK($C103),"",IF($BH103&lt;&gt;Constants!$B$4,$BH103,RANK($CA103,$CA$9:$CA$508)))</f>
        <v/>
      </c>
      <c r="CC103" s="100" t="str">
        <f aca="false">IF(ISBLANK($C103),"",IF($BH103&lt;&gt;Constants!$B$4,$BH103,COUNTIFS($BI$9:$BI$508,"&lt;"&amp;$BI103)+COUNTIFS($BI$9:$BI$508,$BI103,$CB$9:$CB$508,"&lt;"&amp;$CB103)+1))</f>
        <v/>
      </c>
      <c r="CD103" s="100" t="str">
        <f aca="false">IF(ISBLANK($C103),"",IF($BH103&lt;&gt;Constants!$B$4,$BH103,RANK($BZ103,$BZ$9:$BZ$508,1)))</f>
        <v/>
      </c>
      <c r="CE103" s="100" t="str">
        <f aca="false">IF($BH103&lt;&gt;Constants!$B$4,"",$AL103+$AM103+$AN103)</f>
        <v/>
      </c>
      <c r="CF103" s="100" t="str">
        <f aca="false">IF(ISBLANK($C103),"",IF($BH103&lt;&gt;Constants!$B$4,$BH103,RANK($CE103,$CE$9:$CE$508,1)))</f>
        <v/>
      </c>
      <c r="CG103" s="100" t="str">
        <f aca="false">IF(ISBLANK($C103),"",IF($BH103&lt;&gt;Constants!$B$4,$BH103,COUNTIFS($BI$9:$BI$508,"&lt;"&amp;$BI103)+COUNTIFS($BI$9:$BI$508,$BI103,$CB$9:$CB$508,"&lt;"&amp;$CB103)+COUNTIFS($BI$9:$BI$508,$BI103,$CB$9:$CB$508,$CB103,$CD$9:$CD$508,"&lt;"&amp;$CD103)+COUNTIFS($BI$9:$BI$508,$BI103,$CB$9:$CB$508,$CB103,$CD$9:$CD$508,$CD103,$CF$9:$CF$508,"&lt;"&amp;$CF103)+1))</f>
        <v/>
      </c>
      <c r="CH103" s="100" t="str">
        <f aca="false">IF(ISBLANK($C103),"",IF($BH103&lt;&gt;Constants!$B$4,$BH103,$CC103-$CG103))</f>
        <v/>
      </c>
      <c r="CI103" s="100" t="str">
        <f aca="false">IF(ISBLANK($C103),"",IF(NOT($AJ103),"",IF(ISBLANK($D$7),$CI$5,IF(NOT(ISNUMBER($D$7)),$CI$6,""))))</f>
        <v/>
      </c>
      <c r="CJ103" s="100" t="str">
        <f aca="false">IF(ISBLANK($C103),"",OR($AL103="",$AM103="",$AN103=""))</f>
        <v/>
      </c>
      <c r="CK103" s="100" t="str">
        <f aca="false">IF(ISBLANK($C103),"",AND($AJ103,$AX103=""))</f>
        <v/>
      </c>
      <c r="CL103" s="100" t="str">
        <f aca="false">IF(ISBLANK($C103),"",AND($AJ103,$AY103=""))</f>
        <v/>
      </c>
      <c r="CM103" s="100" t="str">
        <f aca="false">IF(ISBLANK($C103),"",AND($AJ103,$AZ103=""))</f>
        <v/>
      </c>
      <c r="CN103" s="100" t="str">
        <f aca="false">IF(ISBLANK($C103),"",AND($AJ103,$BC103=""))</f>
        <v/>
      </c>
      <c r="CO103" s="100" t="str">
        <f aca="false">IF(ISBLANK($C103),"",AND($AJ103,$BF103=""))</f>
        <v/>
      </c>
      <c r="CP103" s="101"/>
      <c r="CQ103" s="102"/>
      <c r="CR103" s="103" t="str">
        <f aca="false">IF(ISBLANK($C103),"",IF($BH103=Constants!$B$8,$CI103,""))</f>
        <v/>
      </c>
      <c r="CS103" s="102" t="str">
        <f aca="false">IF(ISBLANK($C103),"",IF($BH103&lt;&gt;Constants!$B$4,"",$BK103+$BL103))</f>
        <v/>
      </c>
      <c r="CT103" s="104" t="str">
        <f aca="false">IF(ISBLANK($C103),"",IF($BH103&lt;&gt;Constants!$B$4,"",$BM103+$BN103+$BO103))</f>
        <v/>
      </c>
      <c r="CU103" s="104" t="str">
        <f aca="false">IF(ISBLANK($C103),"",IF($BH103&lt;&gt;Constants!$B$4,"",$BP103))</f>
        <v/>
      </c>
      <c r="CV103" s="104" t="str">
        <f aca="false">IF(ISBLANK($C103),"",IF($BH103&lt;&gt;Constants!$B$4,"",$BQ103+$BR103))</f>
        <v/>
      </c>
      <c r="CW103" s="104" t="str">
        <f aca="false">IF(ISBLANK($C103),"",IF($BH103&lt;&gt;Constants!$B$4,"",$BS103))</f>
        <v/>
      </c>
      <c r="CX103" s="104" t="str">
        <f aca="false">IF(ISBLANK($C103),"",IF($BH103&lt;&gt;Constants!$B$4,"",-$BZ103))</f>
        <v/>
      </c>
      <c r="CY103" s="103" t="str">
        <f aca="false">IF(ISBLANK($C103),"",$CA103)</f>
        <v/>
      </c>
      <c r="CZ103" s="105" t="str">
        <f aca="false">IF(ISBLANK($C103),"",$BI103)</f>
        <v/>
      </c>
      <c r="DA103" s="104" t="str">
        <f aca="false">IF(ISBLANK($C103),"",$CH103)</f>
        <v/>
      </c>
      <c r="DB103" s="104" t="str">
        <f aca="false">IF(ISBLANK($C103),"",$CG103)</f>
        <v/>
      </c>
      <c r="DC103" s="106" t="str">
        <f aca="false">IF(ISBLANK($C103),"",IFERROR(_xlfn.SWITCH($DB103,Constants!$B$7,COUNTA($C$9:$C$508)+2,Constants!$B$6,COUNTA($C$9:$C$508)+1,Constants!$B$5,COUNTA($C$9:$C$508)),$DB103))</f>
        <v/>
      </c>
      <c r="DD103" s="7"/>
      <c r="DE103" s="107" t="n">
        <f aca="false">IF(OR(ISNUMBER($DB103),$DB103=Constants!$B$7,$DB103=Constants!$B$5,$DB103=Constants!$B$6),1,0)</f>
        <v>0</v>
      </c>
      <c r="DF103" s="107" t="n">
        <v>95</v>
      </c>
      <c r="DG103" s="107" t="str">
        <f aca="false">IF(ISBLANK($C103),"",IF(ISNUMBER($DC103),$DC103+ROW($B103)/1000,""))</f>
        <v/>
      </c>
      <c r="DH103" s="107" t="str">
        <f aca="false">IF(ISNUMBER($DG103),RANK($DG103,$DG$9:$DG$508,1),"")</f>
        <v/>
      </c>
      <c r="DI103" s="107" t="str">
        <f aca="false">IF(ISBLANK($C103),"",$B103)</f>
        <v/>
      </c>
      <c r="DJ103" s="107" t="str">
        <f aca="false">IF(ISBLANK($C103),"",$C103)</f>
        <v/>
      </c>
      <c r="DK103" s="107" t="str">
        <f aca="false">IF(ISBLANK($C103),"",$D103)</f>
        <v/>
      </c>
      <c r="DL103" s="108" t="str">
        <f aca="false">$CZ103</f>
        <v/>
      </c>
      <c r="DM103" s="109" t="str">
        <f aca="false">$CY103</f>
        <v/>
      </c>
      <c r="DN103" s="107" t="str">
        <f aca="false">IF(ISBLANK($C103),"",$DB103)</f>
        <v/>
      </c>
      <c r="DO103" s="110" t="str">
        <f aca="false">IF($DF103&gt;$DE$8,"",VLOOKUP($DF103,$DH$9:$DN$508,7,FALSE()))</f>
        <v/>
      </c>
      <c r="DP103" s="111" t="str">
        <f aca="false">IF($DF103&gt;$DE$8,"",VLOOKUP($DF103,$DH$9:$DN$508,2,FALSE()))</f>
        <v/>
      </c>
      <c r="DQ103" s="111" t="str">
        <f aca="false">IF($DF103&gt;$DE$8,"",VLOOKUP($DF103,$DH$9:$DN$508,3,FALSE()))</f>
        <v/>
      </c>
      <c r="DR103" s="111" t="str">
        <f aca="false">IF($DF103&gt;$DE$8,"",VLOOKUP($DF103,$DH$9:$DN$508,4,FALSE()))</f>
        <v/>
      </c>
      <c r="DS103" s="111" t="str">
        <f aca="false">IF($DF103&gt;$DE$8,"",VLOOKUP($DF103,$DH$9:$DN$508,5,FALSE()))</f>
        <v/>
      </c>
      <c r="DT103" s="112" t="str">
        <f aca="false">IF($DF103&gt;$DE$8,"",VLOOKUP($DF103,$DH$9:$DN$508,6,FALSE()))</f>
        <v/>
      </c>
      <c r="DU103" s="62"/>
    </row>
    <row r="104" customFormat="false" ht="15.75" hidden="false" customHeight="false" outlineLevel="0" collapsed="false">
      <c r="A104" s="7"/>
      <c r="B104" s="90"/>
      <c r="C104" s="91"/>
      <c r="D104" s="126"/>
      <c r="E104" s="130"/>
      <c r="F104" s="135"/>
      <c r="G104" s="130"/>
      <c r="H104" s="135"/>
      <c r="I104" s="131"/>
      <c r="J104" s="131"/>
      <c r="K104" s="131"/>
      <c r="L104" s="130"/>
      <c r="M104" s="130"/>
      <c r="N104" s="130"/>
      <c r="O104" s="135"/>
      <c r="P104" s="130"/>
      <c r="Q104" s="130"/>
      <c r="R104" s="130"/>
      <c r="S104" s="130"/>
      <c r="T104" s="135"/>
      <c r="U104" s="130"/>
      <c r="V104" s="96"/>
      <c r="W104" s="130"/>
      <c r="X104" s="130"/>
      <c r="Y104" s="96"/>
      <c r="Z104" s="96"/>
      <c r="AA104" s="130"/>
      <c r="AB104" s="130"/>
      <c r="AC104" s="97"/>
      <c r="AD104" s="130"/>
      <c r="AE104" s="99"/>
      <c r="AF104" s="100"/>
      <c r="AG104" s="100"/>
      <c r="AH104" s="100" t="str">
        <f aca="false">IF(ISBLANK($C104),"",IF($E104=Constants!$B$2,TRUE(),IF($E104=Constants!$B$3,FALSE(),TRUE())))</f>
        <v/>
      </c>
      <c r="AI104" s="100" t="str">
        <f aca="false">IF(ISBLANK($C104),"",IF($F104=Constants!$B$2,TRUE(),IF($F104=Constants!$B$3,FALSE(),FALSE())))</f>
        <v/>
      </c>
      <c r="AJ104" s="100" t="str">
        <f aca="false">IF(ISBLANK($C104),"",IF($G104=Constants!$B$2,TRUE(),IF($G104=Constants!$B$3,FALSE(),TRUE())))</f>
        <v/>
      </c>
      <c r="AK104" s="100" t="str">
        <f aca="false">IF(ISBLANK($C104),"",IF($H104=Constants!$B$2,TRUE(),IF($H104=Constants!$B$3,FALSE(),TRUE())))</f>
        <v/>
      </c>
      <c r="AL104" s="100" t="str">
        <f aca="false">IF(ISBLANK($C104),"",IF(ISNUMBER($I104),IF($I104&gt;=0,$I104,""),""))</f>
        <v/>
      </c>
      <c r="AM104" s="100" t="str">
        <f aca="false">IF(ISBLANK($C104),"",IF(ISNUMBER($J104),IF($J104&gt;=0,$J104,""),""))</f>
        <v/>
      </c>
      <c r="AN104" s="100" t="str">
        <f aca="false">IF(ISBLANK($C104),"",IF(ISNUMBER($K104),IF($K104&gt;=0,$K104,""),""))</f>
        <v/>
      </c>
      <c r="AO104" s="100" t="str">
        <f aca="false">IF(ISBLANK($C104),"",IF($L104=Constants!$B$2,TRUE(),IF($L104=Constants!$B$3,FALSE(),TRUE())))</f>
        <v/>
      </c>
      <c r="AP104" s="100" t="str">
        <f aca="false">IF(ISBLANK($C104),"",IF($M104=Constants!$B$2,TRUE(),IF($M104=Constants!$B$3,FALSE(),TRUE())))</f>
        <v/>
      </c>
      <c r="AQ104" s="100" t="str">
        <f aca="false">IF(ISBLANK($C104),"",IF($N104=Constants!$B$2,TRUE(),IF($N104=Constants!$B$3,FALSE(),FALSE())))</f>
        <v/>
      </c>
      <c r="AR104" s="100" t="str">
        <f aca="false">IF(ISBLANK($C104),"",IF($O104=Constants!$B$2,TRUE(),IF($O104=Constants!$B$3,FALSE(),TRUE())))</f>
        <v/>
      </c>
      <c r="AS104" s="100" t="str">
        <f aca="false">IF(ISBLANK($C104),"",IF($P104=Constants!$B$2,TRUE(),IF($P104=Constants!$B$3,FALSE(),FALSE())))</f>
        <v/>
      </c>
      <c r="AT104" s="100" t="str">
        <f aca="false">IF(ISBLANK($C104),"",IF($Q104=Constants!$B$2,TRUE(),IF($Q104=Constants!$B$3,FALSE(),FALSE())))</f>
        <v/>
      </c>
      <c r="AU104" s="100" t="str">
        <f aca="false">IF(ISBLANK($C104),"",IF($R104=Constants!$B$2,TRUE(),IF($R104=Constants!$B$3,FALSE(),FALSE())))</f>
        <v/>
      </c>
      <c r="AV104" s="100" t="str">
        <f aca="false">IF(ISBLANK($C104),"",IF($S104=Constants!$B$2,TRUE(),IF($S104=Constants!$B$3,FALSE(),FALSE())))</f>
        <v/>
      </c>
      <c r="AW104" s="100" t="str">
        <f aca="false">IF(ISBLANK($C104),"",IF($T104=Constants!$B$2,TRUE(),IF($T104=Constants!$B$3,FALSE(),FALSE())))</f>
        <v/>
      </c>
      <c r="AX104" s="100" t="str">
        <f aca="false">IF(ISBLANK($C104),"",IF(OR($U104&amp;""="1",$U104&amp;""="2",$U104&amp;""="3",$U104&amp;""="4"),VALUE($U104&amp;""),IF($U104=Constants!$B$12,Constants!$B$12,"")))</f>
        <v/>
      </c>
      <c r="AY104" s="100" t="str">
        <f aca="false">IF(ISBLANK($C104),"",IF(ISBLANK($V104),0,IF(ISNUMBER($V104),IF(AND($V104&gt;=0,$V104&lt;=Constants!$B$21,$V104=INT($V104)),$V104,""),"")))</f>
        <v/>
      </c>
      <c r="AZ104" s="100" t="str">
        <f aca="false">IF(ISBLANK($C104),"",IF(ISBLANK($W104),0,IF(ISNUMBER($W104),IF($W104&gt;=0,$W104,""),"")))</f>
        <v/>
      </c>
      <c r="BA104" s="100" t="str">
        <f aca="false">IF(ISBLANK($C104),"",IF($X104=Constants!$B$2,TRUE(),IF($X104=Constants!$B$3,FALSE(),TRUE())))</f>
        <v/>
      </c>
      <c r="BB104" s="100" t="str">
        <f aca="false">IF(ISBLANK($C104),"",IF($Y104=Constants!$B$2,TRUE(),IF($Y104=Constants!$B$3,FALSE(),FALSE())))</f>
        <v/>
      </c>
      <c r="BC104" s="100" t="str">
        <f aca="false">IF(ISBLANK($C104),"",IF(ISBLANK($Z104),0,IF(ISNUMBER($Z104),IF(AND($Z104&gt;=0,$Z104&lt;=Constants!$B$35,$Z104=INT($Z104)),$Z104,""),"")))</f>
        <v/>
      </c>
      <c r="BD104" s="100" t="str">
        <f aca="false">IF(ISBLANK($C104),"",IF($AA104=Constants!$B$2,TRUE(),IF($AA104=Constants!$B$3,FALSE(),TRUE())))</f>
        <v/>
      </c>
      <c r="BE104" s="100" t="str">
        <f aca="false">IF(ISBLANK($C104),"",IF($AB104=Constants!$B$2,TRUE(),IF($AB104=Constants!$B$3,FALSE(),TRUE())))</f>
        <v/>
      </c>
      <c r="BF104" s="100" t="str">
        <f aca="false">IF(ISBLANK($C104),"",IF(ISNUMBER($AC104),IF($AC104&gt;=0,$AC104,""),""))</f>
        <v/>
      </c>
      <c r="BG104" s="100" t="str">
        <f aca="false">IF(ISBLANK($C104),"",IF($AD104=Constants!$B$2,TRUE(),IF($AD104=Constants!$B$3,FALSE(),FALSE())))</f>
        <v/>
      </c>
      <c r="BH104" s="99" t="str">
        <f aca="false">IF(ISBLANK($C104),"",IF($BG104,Constants!$B$7,IF(COUNTA($E104:$AC104)=0,Constants!$B$6,IF(OR(COUNTA($G104:$AC104)=0,NOT($AK104),$AQ104),Constants!$B$5,IF(OR($CI104&lt;&gt;"",$CJ104,$CK104,$CL104,$CM104,$CN104,$CO104),Constants!$B$8,Constants!$B$4)))))</f>
        <v/>
      </c>
      <c r="BI104" s="100" t="str">
        <f aca="false">IF(ISBLANK($C104),"",IF($BH104&lt;&gt;Constants!$B$4,$BH104,IF(OR(NOT($AH104),NOT($AJ104),NOT($AR104)),Constants!$B$11,IF(OR(NOT($AP104),MAX($AL104,$AM104,$AN104)&gt;Constants!$B$30),Constants!$B$10,Constants!$B$9))))</f>
        <v/>
      </c>
      <c r="BJ104" s="100" t="str">
        <f aca="false">IF($BH104&lt;&gt;Constants!$B$4,"",IF(NOT($AJ104),0,MIN(Constants!$B$35,$BC104)))</f>
        <v/>
      </c>
      <c r="BK104" s="100" t="str">
        <f aca="false">IF($BH104&lt;&gt;Constants!$B$4,"",IF(NOT($AJ104),0,IF($AT104,Constants!$B$18,IF($AS104,Constants!$B$17,0))))</f>
        <v/>
      </c>
      <c r="BL104" s="100" t="str">
        <f aca="false">IF($BH104&lt;&gt;Constants!$B$4,"",IF(NOT($AJ104),0,Constants!$B$19*($AI104+$AU104+$AV104+$AW104)))</f>
        <v/>
      </c>
      <c r="BM104" s="100" t="str">
        <f aca="false">IF($BH104&lt;&gt;Constants!$B$4,"",IF(OR(NOT($AJ104),NOT(ISNUMBER($AX104))),0,CHOOSE($AX104,Constants!$B$13,Constants!$B$14,Constants!$B$15,Constants!$B$16)))</f>
        <v/>
      </c>
      <c r="BN104" s="100" t="str">
        <f aca="false">IF($BH104&lt;&gt;Constants!$B$4,"",IF(NOT($AJ104),0,Constants!$B$20*$AY104))</f>
        <v/>
      </c>
      <c r="BO104" s="100" t="str">
        <f aca="false">IF($BH104&lt;&gt;Constants!$B$4,"",IF(AND($AJ104,$BA104,$BB104),Constants!$B$22,0))</f>
        <v/>
      </c>
      <c r="BP104" s="100" t="str">
        <f aca="false">IF($BH104&lt;&gt;Constants!$B$4,"",IF(OR(NOT($AJ104),NOT($BA104)),0,IF($BF104&gt;=2*$AF$9,0,Constants!$B$23*INT(ROUND(MIN($BF104,$AF$9),6)))))</f>
        <v/>
      </c>
      <c r="BQ104" s="100" t="str">
        <f aca="false">IF($BH104&lt;&gt;Constants!$B$4,"",IF(NOT($AJ104),0,Constants!$B$24*INT(ROUND(MIN($AZ104,$AF$9),6))))</f>
        <v/>
      </c>
      <c r="BR104" s="100" t="str">
        <f aca="false">IF($BH104&lt;&gt;Constants!$B$4,"",IF(AND($AJ104,$BJ104=0),Constants!$B$25,0))</f>
        <v/>
      </c>
      <c r="BS104" s="100" t="str">
        <f aca="false">IF($BH104&lt;&gt;Constants!$B$4,"",MIN(Constants!$B$29,MAX(0,Constants!$B$27*Constants!$B$28*INT(ROUND((Constants!$B$26-$AL104)/Constants!$B$28,6))))+MIN(Constants!$B$29,MAX(0,Constants!$B$27*Constants!$B$28*INT(ROUND((Constants!$B$26-$AM104)/Constants!$B$28,6))))+MIN(Constants!$B$29,MAX(0,Constants!$B$27*Constants!$B$28*INT(ROUND((Constants!$B$26-$AN104)/Constants!$B$28,6)))))</f>
        <v/>
      </c>
      <c r="BT104" s="100" t="str">
        <f aca="false">IF($BH104&lt;&gt;Constants!$B$4,"",IF(NOT($AJ104),0,Constants!$B$31*INT(ROUND(MAX(0,MIN($BF104,2*$AF$9)-$AF$9),6))))</f>
        <v/>
      </c>
      <c r="BU104" s="100" t="str">
        <f aca="false">IF($BH104&lt;&gt;Constants!$B$4,"",Constants!$B$32*(($AL104&gt;Constants!$B$26)+($AM104&gt;Constants!$B$26)+($AN104&gt;Constants!$B$26)))</f>
        <v/>
      </c>
      <c r="BV104" s="100" t="str">
        <f aca="false">IF($BH104&lt;&gt;Constants!$B$4,"",IF(OR(NOT($AJ104),$AO104),0,Constants!$B$33))</f>
        <v/>
      </c>
      <c r="BW104" s="100" t="str">
        <f aca="false">IF($BH104&lt;&gt;Constants!$B$4,"",Constants!$B$34*$BJ104)</f>
        <v/>
      </c>
      <c r="BX104" s="100" t="str">
        <f aca="false">IF($BH104&lt;&gt;Constants!$B$4,"",IF(OR(NOT($AJ104),$BE104),0,Constants!$B$36))</f>
        <v/>
      </c>
      <c r="BY104" s="100" t="str">
        <f aca="false">IF($BH104&lt;&gt;Constants!$B$4,"",IF(OR(NOT($AJ104),$BD104),0,Constants!$B$37))</f>
        <v/>
      </c>
      <c r="BZ104" s="100" t="str">
        <f aca="false">IF($BH104&lt;&gt;Constants!$B$4,"",SUM($BT104:$BY104))</f>
        <v/>
      </c>
      <c r="CA104" s="100" t="str">
        <f aca="false">IF(ISBLANK($C104),"",IF($BH104&lt;&gt;Constants!$B$4,$BH104,SUM($BK104:$BS104)-$BZ104))</f>
        <v/>
      </c>
      <c r="CB104" s="100" t="str">
        <f aca="false">IF(ISBLANK($C104),"",IF($BH104&lt;&gt;Constants!$B$4,$BH104,RANK($CA104,$CA$9:$CA$508)))</f>
        <v/>
      </c>
      <c r="CC104" s="100" t="str">
        <f aca="false">IF(ISBLANK($C104),"",IF($BH104&lt;&gt;Constants!$B$4,$BH104,COUNTIFS($BI$9:$BI$508,"&lt;"&amp;$BI104)+COUNTIFS($BI$9:$BI$508,$BI104,$CB$9:$CB$508,"&lt;"&amp;$CB104)+1))</f>
        <v/>
      </c>
      <c r="CD104" s="100" t="str">
        <f aca="false">IF(ISBLANK($C104),"",IF($BH104&lt;&gt;Constants!$B$4,$BH104,RANK($BZ104,$BZ$9:$BZ$508,1)))</f>
        <v/>
      </c>
      <c r="CE104" s="100" t="str">
        <f aca="false">IF($BH104&lt;&gt;Constants!$B$4,"",$AL104+$AM104+$AN104)</f>
        <v/>
      </c>
      <c r="CF104" s="100" t="str">
        <f aca="false">IF(ISBLANK($C104),"",IF($BH104&lt;&gt;Constants!$B$4,$BH104,RANK($CE104,$CE$9:$CE$508,1)))</f>
        <v/>
      </c>
      <c r="CG104" s="100" t="str">
        <f aca="false">IF(ISBLANK($C104),"",IF($BH104&lt;&gt;Constants!$B$4,$BH104,COUNTIFS($BI$9:$BI$508,"&lt;"&amp;$BI104)+COUNTIFS($BI$9:$BI$508,$BI104,$CB$9:$CB$508,"&lt;"&amp;$CB104)+COUNTIFS($BI$9:$BI$508,$BI104,$CB$9:$CB$508,$CB104,$CD$9:$CD$508,"&lt;"&amp;$CD104)+COUNTIFS($BI$9:$BI$508,$BI104,$CB$9:$CB$508,$CB104,$CD$9:$CD$508,$CD104,$CF$9:$CF$508,"&lt;"&amp;$CF104)+1))</f>
        <v/>
      </c>
      <c r="CH104" s="100" t="str">
        <f aca="false">IF(ISBLANK($C104),"",IF($BH104&lt;&gt;Constants!$B$4,$BH104,$CC104-$CG104))</f>
        <v/>
      </c>
      <c r="CI104" s="100" t="str">
        <f aca="false">IF(ISBLANK($C104),"",IF(NOT($AJ104),"",IF(ISBLANK($D$7),$CI$5,IF(NOT(ISNUMBER($D$7)),$CI$6,""))))</f>
        <v/>
      </c>
      <c r="CJ104" s="100" t="str">
        <f aca="false">IF(ISBLANK($C104),"",OR($AL104="",$AM104="",$AN104=""))</f>
        <v/>
      </c>
      <c r="CK104" s="100" t="str">
        <f aca="false">IF(ISBLANK($C104),"",AND($AJ104,$AX104=""))</f>
        <v/>
      </c>
      <c r="CL104" s="100" t="str">
        <f aca="false">IF(ISBLANK($C104),"",AND($AJ104,$AY104=""))</f>
        <v/>
      </c>
      <c r="CM104" s="100" t="str">
        <f aca="false">IF(ISBLANK($C104),"",AND($AJ104,$AZ104=""))</f>
        <v/>
      </c>
      <c r="CN104" s="100" t="str">
        <f aca="false">IF(ISBLANK($C104),"",AND($AJ104,$BC104=""))</f>
        <v/>
      </c>
      <c r="CO104" s="100" t="str">
        <f aca="false">IF(ISBLANK($C104),"",AND($AJ104,$BF104=""))</f>
        <v/>
      </c>
      <c r="CP104" s="101"/>
      <c r="CQ104" s="102"/>
      <c r="CR104" s="103" t="str">
        <f aca="false">IF(ISBLANK($C104),"",IF($BH104=Constants!$B$8,$CI104,""))</f>
        <v/>
      </c>
      <c r="CS104" s="102" t="str">
        <f aca="false">IF(ISBLANK($C104),"",IF($BH104&lt;&gt;Constants!$B$4,"",$BK104+$BL104))</f>
        <v/>
      </c>
      <c r="CT104" s="104" t="str">
        <f aca="false">IF(ISBLANK($C104),"",IF($BH104&lt;&gt;Constants!$B$4,"",$BM104+$BN104+$BO104))</f>
        <v/>
      </c>
      <c r="CU104" s="104" t="str">
        <f aca="false">IF(ISBLANK($C104),"",IF($BH104&lt;&gt;Constants!$B$4,"",$BP104))</f>
        <v/>
      </c>
      <c r="CV104" s="104" t="str">
        <f aca="false">IF(ISBLANK($C104),"",IF($BH104&lt;&gt;Constants!$B$4,"",$BQ104+$BR104))</f>
        <v/>
      </c>
      <c r="CW104" s="104" t="str">
        <f aca="false">IF(ISBLANK($C104),"",IF($BH104&lt;&gt;Constants!$B$4,"",$BS104))</f>
        <v/>
      </c>
      <c r="CX104" s="104" t="str">
        <f aca="false">IF(ISBLANK($C104),"",IF($BH104&lt;&gt;Constants!$B$4,"",-$BZ104))</f>
        <v/>
      </c>
      <c r="CY104" s="103" t="str">
        <f aca="false">IF(ISBLANK($C104),"",$CA104)</f>
        <v/>
      </c>
      <c r="CZ104" s="105" t="str">
        <f aca="false">IF(ISBLANK($C104),"",$BI104)</f>
        <v/>
      </c>
      <c r="DA104" s="104" t="str">
        <f aca="false">IF(ISBLANK($C104),"",$CH104)</f>
        <v/>
      </c>
      <c r="DB104" s="104" t="str">
        <f aca="false">IF(ISBLANK($C104),"",$CG104)</f>
        <v/>
      </c>
      <c r="DC104" s="106" t="str">
        <f aca="false">IF(ISBLANK($C104),"",IFERROR(_xlfn.SWITCH($DB104,Constants!$B$7,COUNTA($C$9:$C$508)+2,Constants!$B$6,COUNTA($C$9:$C$508)+1,Constants!$B$5,COUNTA($C$9:$C$508)),$DB104))</f>
        <v/>
      </c>
      <c r="DD104" s="7"/>
      <c r="DE104" s="107" t="n">
        <f aca="false">IF(OR(ISNUMBER($DB104),$DB104=Constants!$B$7,$DB104=Constants!$B$5,$DB104=Constants!$B$6),1,0)</f>
        <v>0</v>
      </c>
      <c r="DF104" s="107" t="n">
        <v>96</v>
      </c>
      <c r="DG104" s="107" t="str">
        <f aca="false">IF(ISBLANK($C104),"",IF(ISNUMBER($DC104),$DC104+ROW($B104)/1000,""))</f>
        <v/>
      </c>
      <c r="DH104" s="107" t="str">
        <f aca="false">IF(ISNUMBER($DG104),RANK($DG104,$DG$9:$DG$508,1),"")</f>
        <v/>
      </c>
      <c r="DI104" s="107" t="str">
        <f aca="false">IF(ISBLANK($C104),"",$B104)</f>
        <v/>
      </c>
      <c r="DJ104" s="107" t="str">
        <f aca="false">IF(ISBLANK($C104),"",$C104)</f>
        <v/>
      </c>
      <c r="DK104" s="107" t="str">
        <f aca="false">IF(ISBLANK($C104),"",$D104)</f>
        <v/>
      </c>
      <c r="DL104" s="108" t="str">
        <f aca="false">$CZ104</f>
        <v/>
      </c>
      <c r="DM104" s="109" t="str">
        <f aca="false">$CY104</f>
        <v/>
      </c>
      <c r="DN104" s="107" t="str">
        <f aca="false">IF(ISBLANK($C104),"",$DB104)</f>
        <v/>
      </c>
      <c r="DO104" s="110" t="str">
        <f aca="false">IF($DF104&gt;$DE$8,"",VLOOKUP($DF104,$DH$9:$DN$508,7,FALSE()))</f>
        <v/>
      </c>
      <c r="DP104" s="111" t="str">
        <f aca="false">IF($DF104&gt;$DE$8,"",VLOOKUP($DF104,$DH$9:$DN$508,2,FALSE()))</f>
        <v/>
      </c>
      <c r="DQ104" s="111" t="str">
        <f aca="false">IF($DF104&gt;$DE$8,"",VLOOKUP($DF104,$DH$9:$DN$508,3,FALSE()))</f>
        <v/>
      </c>
      <c r="DR104" s="111" t="str">
        <f aca="false">IF($DF104&gt;$DE$8,"",VLOOKUP($DF104,$DH$9:$DN$508,4,FALSE()))</f>
        <v/>
      </c>
      <c r="DS104" s="111" t="str">
        <f aca="false">IF($DF104&gt;$DE$8,"",VLOOKUP($DF104,$DH$9:$DN$508,5,FALSE()))</f>
        <v/>
      </c>
      <c r="DT104" s="112" t="str">
        <f aca="false">IF($DF104&gt;$DE$8,"",VLOOKUP($DF104,$DH$9:$DN$508,6,FALSE()))</f>
        <v/>
      </c>
      <c r="DU104" s="62"/>
    </row>
    <row r="105" customFormat="false" ht="15.75" hidden="false" customHeight="false" outlineLevel="0" collapsed="false">
      <c r="A105" s="7"/>
      <c r="B105" s="64"/>
      <c r="C105" s="65"/>
      <c r="D105" s="123"/>
      <c r="E105" s="88"/>
      <c r="F105" s="134"/>
      <c r="G105" s="88"/>
      <c r="H105" s="134"/>
      <c r="I105" s="119"/>
      <c r="J105" s="119"/>
      <c r="K105" s="119"/>
      <c r="L105" s="88"/>
      <c r="M105" s="88"/>
      <c r="N105" s="88"/>
      <c r="O105" s="134"/>
      <c r="P105" s="88"/>
      <c r="Q105" s="88"/>
      <c r="R105" s="88"/>
      <c r="S105" s="88"/>
      <c r="T105" s="134"/>
      <c r="U105" s="88"/>
      <c r="V105" s="70"/>
      <c r="W105" s="88"/>
      <c r="X105" s="88"/>
      <c r="Y105" s="70"/>
      <c r="Z105" s="70"/>
      <c r="AA105" s="88"/>
      <c r="AB105" s="88"/>
      <c r="AC105" s="71"/>
      <c r="AD105" s="88"/>
      <c r="AE105" s="73"/>
      <c r="AF105" s="74"/>
      <c r="AG105" s="74"/>
      <c r="AH105" s="74" t="str">
        <f aca="false">IF(ISBLANK($C105),"",IF($E105=Constants!$B$2,TRUE(),IF($E105=Constants!$B$3,FALSE(),TRUE())))</f>
        <v/>
      </c>
      <c r="AI105" s="74" t="str">
        <f aca="false">IF(ISBLANK($C105),"",IF($F105=Constants!$B$2,TRUE(),IF($F105=Constants!$B$3,FALSE(),FALSE())))</f>
        <v/>
      </c>
      <c r="AJ105" s="74" t="str">
        <f aca="false">IF(ISBLANK($C105),"",IF($G105=Constants!$B$2,TRUE(),IF($G105=Constants!$B$3,FALSE(),TRUE())))</f>
        <v/>
      </c>
      <c r="AK105" s="74" t="str">
        <f aca="false">IF(ISBLANK($C105),"",IF($H105=Constants!$B$2,TRUE(),IF($H105=Constants!$B$3,FALSE(),TRUE())))</f>
        <v/>
      </c>
      <c r="AL105" s="74" t="str">
        <f aca="false">IF(ISBLANK($C105),"",IF(ISNUMBER($I105),IF($I105&gt;=0,$I105,""),""))</f>
        <v/>
      </c>
      <c r="AM105" s="74" t="str">
        <f aca="false">IF(ISBLANK($C105),"",IF(ISNUMBER($J105),IF($J105&gt;=0,$J105,""),""))</f>
        <v/>
      </c>
      <c r="AN105" s="74" t="str">
        <f aca="false">IF(ISBLANK($C105),"",IF(ISNUMBER($K105),IF($K105&gt;=0,$K105,""),""))</f>
        <v/>
      </c>
      <c r="AO105" s="74" t="str">
        <f aca="false">IF(ISBLANK($C105),"",IF($L105=Constants!$B$2,TRUE(),IF($L105=Constants!$B$3,FALSE(),TRUE())))</f>
        <v/>
      </c>
      <c r="AP105" s="74" t="str">
        <f aca="false">IF(ISBLANK($C105),"",IF($M105=Constants!$B$2,TRUE(),IF($M105=Constants!$B$3,FALSE(),TRUE())))</f>
        <v/>
      </c>
      <c r="AQ105" s="74" t="str">
        <f aca="false">IF(ISBLANK($C105),"",IF($N105=Constants!$B$2,TRUE(),IF($N105=Constants!$B$3,FALSE(),FALSE())))</f>
        <v/>
      </c>
      <c r="AR105" s="74" t="str">
        <f aca="false">IF(ISBLANK($C105),"",IF($O105=Constants!$B$2,TRUE(),IF($O105=Constants!$B$3,FALSE(),TRUE())))</f>
        <v/>
      </c>
      <c r="AS105" s="74" t="str">
        <f aca="false">IF(ISBLANK($C105),"",IF($P105=Constants!$B$2,TRUE(),IF($P105=Constants!$B$3,FALSE(),FALSE())))</f>
        <v/>
      </c>
      <c r="AT105" s="74" t="str">
        <f aca="false">IF(ISBLANK($C105),"",IF($Q105=Constants!$B$2,TRUE(),IF($Q105=Constants!$B$3,FALSE(),FALSE())))</f>
        <v/>
      </c>
      <c r="AU105" s="74" t="str">
        <f aca="false">IF(ISBLANK($C105),"",IF($R105=Constants!$B$2,TRUE(),IF($R105=Constants!$B$3,FALSE(),FALSE())))</f>
        <v/>
      </c>
      <c r="AV105" s="74" t="str">
        <f aca="false">IF(ISBLANK($C105),"",IF($S105=Constants!$B$2,TRUE(),IF($S105=Constants!$B$3,FALSE(),FALSE())))</f>
        <v/>
      </c>
      <c r="AW105" s="74" t="str">
        <f aca="false">IF(ISBLANK($C105),"",IF($T105=Constants!$B$2,TRUE(),IF($T105=Constants!$B$3,FALSE(),FALSE())))</f>
        <v/>
      </c>
      <c r="AX105" s="74" t="str">
        <f aca="false">IF(ISBLANK($C105),"",IF(OR($U105&amp;""="1",$U105&amp;""="2",$U105&amp;""="3",$U105&amp;""="4"),VALUE($U105&amp;""),IF($U105=Constants!$B$12,Constants!$B$12,"")))</f>
        <v/>
      </c>
      <c r="AY105" s="74" t="str">
        <f aca="false">IF(ISBLANK($C105),"",IF(ISBLANK($V105),0,IF(ISNUMBER($V105),IF(AND($V105&gt;=0,$V105&lt;=Constants!$B$21,$V105=INT($V105)),$V105,""),"")))</f>
        <v/>
      </c>
      <c r="AZ105" s="74" t="str">
        <f aca="false">IF(ISBLANK($C105),"",IF(ISBLANK($W105),0,IF(ISNUMBER($W105),IF($W105&gt;=0,$W105,""),"")))</f>
        <v/>
      </c>
      <c r="BA105" s="74" t="str">
        <f aca="false">IF(ISBLANK($C105),"",IF($X105=Constants!$B$2,TRUE(),IF($X105=Constants!$B$3,FALSE(),TRUE())))</f>
        <v/>
      </c>
      <c r="BB105" s="74" t="str">
        <f aca="false">IF(ISBLANK($C105),"",IF($Y105=Constants!$B$2,TRUE(),IF($Y105=Constants!$B$3,FALSE(),FALSE())))</f>
        <v/>
      </c>
      <c r="BC105" s="74" t="str">
        <f aca="false">IF(ISBLANK($C105),"",IF(ISBLANK($Z105),0,IF(ISNUMBER($Z105),IF(AND($Z105&gt;=0,$Z105&lt;=Constants!$B$35,$Z105=INT($Z105)),$Z105,""),"")))</f>
        <v/>
      </c>
      <c r="BD105" s="74" t="str">
        <f aca="false">IF(ISBLANK($C105),"",IF($AA105=Constants!$B$2,TRUE(),IF($AA105=Constants!$B$3,FALSE(),TRUE())))</f>
        <v/>
      </c>
      <c r="BE105" s="74" t="str">
        <f aca="false">IF(ISBLANK($C105),"",IF($AB105=Constants!$B$2,TRUE(),IF($AB105=Constants!$B$3,FALSE(),TRUE())))</f>
        <v/>
      </c>
      <c r="BF105" s="74" t="str">
        <f aca="false">IF(ISBLANK($C105),"",IF(ISNUMBER($AC105),IF($AC105&gt;=0,$AC105,""),""))</f>
        <v/>
      </c>
      <c r="BG105" s="74" t="str">
        <f aca="false">IF(ISBLANK($C105),"",IF($AD105=Constants!$B$2,TRUE(),IF($AD105=Constants!$B$3,FALSE(),FALSE())))</f>
        <v/>
      </c>
      <c r="BH105" s="73" t="str">
        <f aca="false">IF(ISBLANK($C105),"",IF($BG105,Constants!$B$7,IF(COUNTA($E105:$AC105)=0,Constants!$B$6,IF(OR(COUNTA($G105:$AC105)=0,NOT($AK105),$AQ105),Constants!$B$5,IF(OR($CI105&lt;&gt;"",$CJ105,$CK105,$CL105,$CM105,$CN105,$CO105),Constants!$B$8,Constants!$B$4)))))</f>
        <v/>
      </c>
      <c r="BI105" s="74" t="str">
        <f aca="false">IF(ISBLANK($C105),"",IF($BH105&lt;&gt;Constants!$B$4,$BH105,IF(OR(NOT($AH105),NOT($AJ105),NOT($AR105)),Constants!$B$11,IF(OR(NOT($AP105),MAX($AL105,$AM105,$AN105)&gt;Constants!$B$30),Constants!$B$10,Constants!$B$9))))</f>
        <v/>
      </c>
      <c r="BJ105" s="74" t="str">
        <f aca="false">IF($BH105&lt;&gt;Constants!$B$4,"",IF(NOT($AJ105),0,MIN(Constants!$B$35,$BC105)))</f>
        <v/>
      </c>
      <c r="BK105" s="74" t="str">
        <f aca="false">IF($BH105&lt;&gt;Constants!$B$4,"",IF(NOT($AJ105),0,IF($AT105,Constants!$B$18,IF($AS105,Constants!$B$17,0))))</f>
        <v/>
      </c>
      <c r="BL105" s="74" t="str">
        <f aca="false">IF($BH105&lt;&gt;Constants!$B$4,"",IF(NOT($AJ105),0,Constants!$B$19*($AI105+$AU105+$AV105+$AW105)))</f>
        <v/>
      </c>
      <c r="BM105" s="74" t="str">
        <f aca="false">IF($BH105&lt;&gt;Constants!$B$4,"",IF(OR(NOT($AJ105),NOT(ISNUMBER($AX105))),0,CHOOSE($AX105,Constants!$B$13,Constants!$B$14,Constants!$B$15,Constants!$B$16)))</f>
        <v/>
      </c>
      <c r="BN105" s="74" t="str">
        <f aca="false">IF($BH105&lt;&gt;Constants!$B$4,"",IF(NOT($AJ105),0,Constants!$B$20*$AY105))</f>
        <v/>
      </c>
      <c r="BO105" s="74" t="str">
        <f aca="false">IF($BH105&lt;&gt;Constants!$B$4,"",IF(AND($AJ105,$BA105,$BB105),Constants!$B$22,0))</f>
        <v/>
      </c>
      <c r="BP105" s="74" t="str">
        <f aca="false">IF($BH105&lt;&gt;Constants!$B$4,"",IF(OR(NOT($AJ105),NOT($BA105)),0,IF($BF105&gt;=2*$AF$9,0,Constants!$B$23*INT(ROUND(MIN($BF105,$AF$9),6)))))</f>
        <v/>
      </c>
      <c r="BQ105" s="74" t="str">
        <f aca="false">IF($BH105&lt;&gt;Constants!$B$4,"",IF(NOT($AJ105),0,Constants!$B$24*INT(ROUND(MIN($AZ105,$AF$9),6))))</f>
        <v/>
      </c>
      <c r="BR105" s="74" t="str">
        <f aca="false">IF($BH105&lt;&gt;Constants!$B$4,"",IF(AND($AJ105,$BJ105=0),Constants!$B$25,0))</f>
        <v/>
      </c>
      <c r="BS105" s="74" t="str">
        <f aca="false">IF($BH105&lt;&gt;Constants!$B$4,"",MIN(Constants!$B$29,MAX(0,Constants!$B$27*Constants!$B$28*INT(ROUND((Constants!$B$26-$AL105)/Constants!$B$28,6))))+MIN(Constants!$B$29,MAX(0,Constants!$B$27*Constants!$B$28*INT(ROUND((Constants!$B$26-$AM105)/Constants!$B$28,6))))+MIN(Constants!$B$29,MAX(0,Constants!$B$27*Constants!$B$28*INT(ROUND((Constants!$B$26-$AN105)/Constants!$B$28,6)))))</f>
        <v/>
      </c>
      <c r="BT105" s="74" t="str">
        <f aca="false">IF($BH105&lt;&gt;Constants!$B$4,"",IF(NOT($AJ105),0,Constants!$B$31*INT(ROUND(MAX(0,MIN($BF105,2*$AF$9)-$AF$9),6))))</f>
        <v/>
      </c>
      <c r="BU105" s="74" t="str">
        <f aca="false">IF($BH105&lt;&gt;Constants!$B$4,"",Constants!$B$32*(($AL105&gt;Constants!$B$26)+($AM105&gt;Constants!$B$26)+($AN105&gt;Constants!$B$26)))</f>
        <v/>
      </c>
      <c r="BV105" s="74" t="str">
        <f aca="false">IF($BH105&lt;&gt;Constants!$B$4,"",IF(OR(NOT($AJ105),$AO105),0,Constants!$B$33))</f>
        <v/>
      </c>
      <c r="BW105" s="74" t="str">
        <f aca="false">IF($BH105&lt;&gt;Constants!$B$4,"",Constants!$B$34*$BJ105)</f>
        <v/>
      </c>
      <c r="BX105" s="74" t="str">
        <f aca="false">IF($BH105&lt;&gt;Constants!$B$4,"",IF(OR(NOT($AJ105),$BE105),0,Constants!$B$36))</f>
        <v/>
      </c>
      <c r="BY105" s="74" t="str">
        <f aca="false">IF($BH105&lt;&gt;Constants!$B$4,"",IF(OR(NOT($AJ105),$BD105),0,Constants!$B$37))</f>
        <v/>
      </c>
      <c r="BZ105" s="74" t="str">
        <f aca="false">IF($BH105&lt;&gt;Constants!$B$4,"",SUM($BT105:$BY105))</f>
        <v/>
      </c>
      <c r="CA105" s="74" t="str">
        <f aca="false">IF(ISBLANK($C105),"",IF($BH105&lt;&gt;Constants!$B$4,$BH105,SUM($BK105:$BS105)-$BZ105))</f>
        <v/>
      </c>
      <c r="CB105" s="74" t="str">
        <f aca="false">IF(ISBLANK($C105),"",IF($BH105&lt;&gt;Constants!$B$4,$BH105,RANK($CA105,$CA$9:$CA$508)))</f>
        <v/>
      </c>
      <c r="CC105" s="74" t="str">
        <f aca="false">IF(ISBLANK($C105),"",IF($BH105&lt;&gt;Constants!$B$4,$BH105,COUNTIFS($BI$9:$BI$508,"&lt;"&amp;$BI105)+COUNTIFS($BI$9:$BI$508,$BI105,$CB$9:$CB$508,"&lt;"&amp;$CB105)+1))</f>
        <v/>
      </c>
      <c r="CD105" s="74" t="str">
        <f aca="false">IF(ISBLANK($C105),"",IF($BH105&lt;&gt;Constants!$B$4,$BH105,RANK($BZ105,$BZ$9:$BZ$508,1)))</f>
        <v/>
      </c>
      <c r="CE105" s="74" t="str">
        <f aca="false">IF($BH105&lt;&gt;Constants!$B$4,"",$AL105+$AM105+$AN105)</f>
        <v/>
      </c>
      <c r="CF105" s="74" t="str">
        <f aca="false">IF(ISBLANK($C105),"",IF($BH105&lt;&gt;Constants!$B$4,$BH105,RANK($CE105,$CE$9:$CE$508,1)))</f>
        <v/>
      </c>
      <c r="CG105" s="74" t="str">
        <f aca="false">IF(ISBLANK($C105),"",IF($BH105&lt;&gt;Constants!$B$4,$BH105,COUNTIFS($BI$9:$BI$508,"&lt;"&amp;$BI105)+COUNTIFS($BI$9:$BI$508,$BI105,$CB$9:$CB$508,"&lt;"&amp;$CB105)+COUNTIFS($BI$9:$BI$508,$BI105,$CB$9:$CB$508,$CB105,$CD$9:$CD$508,"&lt;"&amp;$CD105)+COUNTIFS($BI$9:$BI$508,$BI105,$CB$9:$CB$508,$CB105,$CD$9:$CD$508,$CD105,$CF$9:$CF$508,"&lt;"&amp;$CF105)+1))</f>
        <v/>
      </c>
      <c r="CH105" s="74" t="str">
        <f aca="false">IF(ISBLANK($C105),"",IF($BH105&lt;&gt;Constants!$B$4,$BH105,$CC105-$CG105))</f>
        <v/>
      </c>
      <c r="CI105" s="74" t="str">
        <f aca="false">IF(ISBLANK($C105),"",IF(NOT($AJ105),"",IF(ISBLANK($D$7),$CI$5,IF(NOT(ISNUMBER($D$7)),$CI$6,""))))</f>
        <v/>
      </c>
      <c r="CJ105" s="74" t="str">
        <f aca="false">IF(ISBLANK($C105),"",OR($AL105="",$AM105="",$AN105=""))</f>
        <v/>
      </c>
      <c r="CK105" s="74" t="str">
        <f aca="false">IF(ISBLANK($C105),"",AND($AJ105,$AX105=""))</f>
        <v/>
      </c>
      <c r="CL105" s="74" t="str">
        <f aca="false">IF(ISBLANK($C105),"",AND($AJ105,$AY105=""))</f>
        <v/>
      </c>
      <c r="CM105" s="74" t="str">
        <f aca="false">IF(ISBLANK($C105),"",AND($AJ105,$AZ105=""))</f>
        <v/>
      </c>
      <c r="CN105" s="74" t="str">
        <f aca="false">IF(ISBLANK($C105),"",AND($AJ105,$BC105=""))</f>
        <v/>
      </c>
      <c r="CO105" s="74" t="str">
        <f aca="false">IF(ISBLANK($C105),"",AND($AJ105,$BF105=""))</f>
        <v/>
      </c>
      <c r="CP105" s="75"/>
      <c r="CQ105" s="76"/>
      <c r="CR105" s="79" t="str">
        <f aca="false">IF(ISBLANK($C105),"",IF($BH105=Constants!$B$8,$CI105,""))</f>
        <v/>
      </c>
      <c r="CS105" s="76" t="str">
        <f aca="false">IF(ISBLANK($C105),"",IF($BH105&lt;&gt;Constants!$B$4,"",$BK105+$BL105))</f>
        <v/>
      </c>
      <c r="CT105" s="78" t="str">
        <f aca="false">IF(ISBLANK($C105),"",IF($BH105&lt;&gt;Constants!$B$4,"",$BM105+$BN105+$BO105))</f>
        <v/>
      </c>
      <c r="CU105" s="78" t="str">
        <f aca="false">IF(ISBLANK($C105),"",IF($BH105&lt;&gt;Constants!$B$4,"",$BP105))</f>
        <v/>
      </c>
      <c r="CV105" s="78" t="str">
        <f aca="false">IF(ISBLANK($C105),"",IF($BH105&lt;&gt;Constants!$B$4,"",$BQ105+$BR105))</f>
        <v/>
      </c>
      <c r="CW105" s="78" t="str">
        <f aca="false">IF(ISBLANK($C105),"",IF($BH105&lt;&gt;Constants!$B$4,"",$BS105))</f>
        <v/>
      </c>
      <c r="CX105" s="78" t="str">
        <f aca="false">IF(ISBLANK($C105),"",IF($BH105&lt;&gt;Constants!$B$4,"",-$BZ105))</f>
        <v/>
      </c>
      <c r="CY105" s="79" t="str">
        <f aca="false">IF(ISBLANK($C105),"",$CA105)</f>
        <v/>
      </c>
      <c r="CZ105" s="80" t="str">
        <f aca="false">IF(ISBLANK($C105),"",$BI105)</f>
        <v/>
      </c>
      <c r="DA105" s="78" t="str">
        <f aca="false">IF(ISBLANK($C105),"",$CH105)</f>
        <v/>
      </c>
      <c r="DB105" s="78" t="str">
        <f aca="false">IF(ISBLANK($C105),"",$CG105)</f>
        <v/>
      </c>
      <c r="DC105" s="81" t="str">
        <f aca="false">IF(ISBLANK($C105),"",IFERROR(_xlfn.SWITCH($DB105,Constants!$B$7,COUNTA($C$9:$C$508)+2,Constants!$B$6,COUNTA($C$9:$C$508)+1,Constants!$B$5,COUNTA($C$9:$C$508)),$DB105))</f>
        <v/>
      </c>
      <c r="DD105" s="7"/>
      <c r="DE105" s="82" t="n">
        <f aca="false">IF(OR(ISNUMBER($DB105),$DB105=Constants!$B$7,$DB105=Constants!$B$5,$DB105=Constants!$B$6),1,0)</f>
        <v>0</v>
      </c>
      <c r="DF105" s="82" t="n">
        <v>97</v>
      </c>
      <c r="DG105" s="82" t="str">
        <f aca="false">IF(ISBLANK($C105),"",IF(ISNUMBER($DC105),$DC105+ROW($B105)/1000,""))</f>
        <v/>
      </c>
      <c r="DH105" s="82" t="str">
        <f aca="false">IF(ISNUMBER($DG105),RANK($DG105,$DG$9:$DG$508,1),"")</f>
        <v/>
      </c>
      <c r="DI105" s="82" t="str">
        <f aca="false">IF(ISBLANK($C105),"",$B105)</f>
        <v/>
      </c>
      <c r="DJ105" s="82" t="str">
        <f aca="false">IF(ISBLANK($C105),"",$C105)</f>
        <v/>
      </c>
      <c r="DK105" s="82" t="str">
        <f aca="false">IF(ISBLANK($C105),"",$D105)</f>
        <v/>
      </c>
      <c r="DL105" s="83" t="str">
        <f aca="false">$CZ105</f>
        <v/>
      </c>
      <c r="DM105" s="84" t="str">
        <f aca="false">$CY105</f>
        <v/>
      </c>
      <c r="DN105" s="82" t="str">
        <f aca="false">IF(ISBLANK($C105),"",$DB105)</f>
        <v/>
      </c>
      <c r="DO105" s="85" t="str">
        <f aca="false">IF($DF105&gt;$DE$8,"",VLOOKUP($DF105,$DH$9:$DN$508,7,FALSE()))</f>
        <v/>
      </c>
      <c r="DP105" s="86" t="str">
        <f aca="false">IF($DF105&gt;$DE$8,"",VLOOKUP($DF105,$DH$9:$DN$508,2,FALSE()))</f>
        <v/>
      </c>
      <c r="DQ105" s="86" t="str">
        <f aca="false">IF($DF105&gt;$DE$8,"",VLOOKUP($DF105,$DH$9:$DN$508,3,FALSE()))</f>
        <v/>
      </c>
      <c r="DR105" s="86" t="str">
        <f aca="false">IF($DF105&gt;$DE$8,"",VLOOKUP($DF105,$DH$9:$DN$508,4,FALSE()))</f>
        <v/>
      </c>
      <c r="DS105" s="86" t="str">
        <f aca="false">IF($DF105&gt;$DE$8,"",VLOOKUP($DF105,$DH$9:$DN$508,5,FALSE()))</f>
        <v/>
      </c>
      <c r="DT105" s="87" t="str">
        <f aca="false">IF($DF105&gt;$DE$8,"",VLOOKUP($DF105,$DH$9:$DN$508,6,FALSE()))</f>
        <v/>
      </c>
      <c r="DU105" s="62"/>
    </row>
    <row r="106" customFormat="false" ht="15.75" hidden="false" customHeight="false" outlineLevel="0" collapsed="false">
      <c r="A106" s="7"/>
      <c r="B106" s="64"/>
      <c r="C106" s="65"/>
      <c r="D106" s="123"/>
      <c r="E106" s="88"/>
      <c r="F106" s="134"/>
      <c r="G106" s="88"/>
      <c r="H106" s="134"/>
      <c r="I106" s="119"/>
      <c r="J106" s="119"/>
      <c r="K106" s="119"/>
      <c r="L106" s="88"/>
      <c r="M106" s="88"/>
      <c r="N106" s="88"/>
      <c r="O106" s="134"/>
      <c r="P106" s="88"/>
      <c r="Q106" s="88"/>
      <c r="R106" s="88"/>
      <c r="S106" s="88"/>
      <c r="T106" s="134"/>
      <c r="U106" s="88"/>
      <c r="V106" s="70"/>
      <c r="W106" s="88"/>
      <c r="X106" s="88"/>
      <c r="Y106" s="70"/>
      <c r="Z106" s="70"/>
      <c r="AA106" s="88"/>
      <c r="AB106" s="88"/>
      <c r="AC106" s="71"/>
      <c r="AD106" s="88"/>
      <c r="AE106" s="73"/>
      <c r="AF106" s="74"/>
      <c r="AG106" s="74"/>
      <c r="AH106" s="74" t="str">
        <f aca="false">IF(ISBLANK($C106),"",IF($E106=Constants!$B$2,TRUE(),IF($E106=Constants!$B$3,FALSE(),TRUE())))</f>
        <v/>
      </c>
      <c r="AI106" s="74" t="str">
        <f aca="false">IF(ISBLANK($C106),"",IF($F106=Constants!$B$2,TRUE(),IF($F106=Constants!$B$3,FALSE(),FALSE())))</f>
        <v/>
      </c>
      <c r="AJ106" s="74" t="str">
        <f aca="false">IF(ISBLANK($C106),"",IF($G106=Constants!$B$2,TRUE(),IF($G106=Constants!$B$3,FALSE(),TRUE())))</f>
        <v/>
      </c>
      <c r="AK106" s="74" t="str">
        <f aca="false">IF(ISBLANK($C106),"",IF($H106=Constants!$B$2,TRUE(),IF($H106=Constants!$B$3,FALSE(),TRUE())))</f>
        <v/>
      </c>
      <c r="AL106" s="74" t="str">
        <f aca="false">IF(ISBLANK($C106),"",IF(ISNUMBER($I106),IF($I106&gt;=0,$I106,""),""))</f>
        <v/>
      </c>
      <c r="AM106" s="74" t="str">
        <f aca="false">IF(ISBLANK($C106),"",IF(ISNUMBER($J106),IF($J106&gt;=0,$J106,""),""))</f>
        <v/>
      </c>
      <c r="AN106" s="74" t="str">
        <f aca="false">IF(ISBLANK($C106),"",IF(ISNUMBER($K106),IF($K106&gt;=0,$K106,""),""))</f>
        <v/>
      </c>
      <c r="AO106" s="74" t="str">
        <f aca="false">IF(ISBLANK($C106),"",IF($L106=Constants!$B$2,TRUE(),IF($L106=Constants!$B$3,FALSE(),TRUE())))</f>
        <v/>
      </c>
      <c r="AP106" s="74" t="str">
        <f aca="false">IF(ISBLANK($C106),"",IF($M106=Constants!$B$2,TRUE(),IF($M106=Constants!$B$3,FALSE(),TRUE())))</f>
        <v/>
      </c>
      <c r="AQ106" s="74" t="str">
        <f aca="false">IF(ISBLANK($C106),"",IF($N106=Constants!$B$2,TRUE(),IF($N106=Constants!$B$3,FALSE(),FALSE())))</f>
        <v/>
      </c>
      <c r="AR106" s="74" t="str">
        <f aca="false">IF(ISBLANK($C106),"",IF($O106=Constants!$B$2,TRUE(),IF($O106=Constants!$B$3,FALSE(),TRUE())))</f>
        <v/>
      </c>
      <c r="AS106" s="74" t="str">
        <f aca="false">IF(ISBLANK($C106),"",IF($P106=Constants!$B$2,TRUE(),IF($P106=Constants!$B$3,FALSE(),FALSE())))</f>
        <v/>
      </c>
      <c r="AT106" s="74" t="str">
        <f aca="false">IF(ISBLANK($C106),"",IF($Q106=Constants!$B$2,TRUE(),IF($Q106=Constants!$B$3,FALSE(),FALSE())))</f>
        <v/>
      </c>
      <c r="AU106" s="74" t="str">
        <f aca="false">IF(ISBLANK($C106),"",IF($R106=Constants!$B$2,TRUE(),IF($R106=Constants!$B$3,FALSE(),FALSE())))</f>
        <v/>
      </c>
      <c r="AV106" s="74" t="str">
        <f aca="false">IF(ISBLANK($C106),"",IF($S106=Constants!$B$2,TRUE(),IF($S106=Constants!$B$3,FALSE(),FALSE())))</f>
        <v/>
      </c>
      <c r="AW106" s="74" t="str">
        <f aca="false">IF(ISBLANK($C106),"",IF($T106=Constants!$B$2,TRUE(),IF($T106=Constants!$B$3,FALSE(),FALSE())))</f>
        <v/>
      </c>
      <c r="AX106" s="74" t="str">
        <f aca="false">IF(ISBLANK($C106),"",IF(OR($U106&amp;""="1",$U106&amp;""="2",$U106&amp;""="3",$U106&amp;""="4"),VALUE($U106&amp;""),IF($U106=Constants!$B$12,Constants!$B$12,"")))</f>
        <v/>
      </c>
      <c r="AY106" s="74" t="str">
        <f aca="false">IF(ISBLANK($C106),"",IF(ISBLANK($V106),0,IF(ISNUMBER($V106),IF(AND($V106&gt;=0,$V106&lt;=Constants!$B$21,$V106=INT($V106)),$V106,""),"")))</f>
        <v/>
      </c>
      <c r="AZ106" s="74" t="str">
        <f aca="false">IF(ISBLANK($C106),"",IF(ISBLANK($W106),0,IF(ISNUMBER($W106),IF($W106&gt;=0,$W106,""),"")))</f>
        <v/>
      </c>
      <c r="BA106" s="74" t="str">
        <f aca="false">IF(ISBLANK($C106),"",IF($X106=Constants!$B$2,TRUE(),IF($X106=Constants!$B$3,FALSE(),TRUE())))</f>
        <v/>
      </c>
      <c r="BB106" s="74" t="str">
        <f aca="false">IF(ISBLANK($C106),"",IF($Y106=Constants!$B$2,TRUE(),IF($Y106=Constants!$B$3,FALSE(),FALSE())))</f>
        <v/>
      </c>
      <c r="BC106" s="74" t="str">
        <f aca="false">IF(ISBLANK($C106),"",IF(ISBLANK($Z106),0,IF(ISNUMBER($Z106),IF(AND($Z106&gt;=0,$Z106&lt;=Constants!$B$35,$Z106=INT($Z106)),$Z106,""),"")))</f>
        <v/>
      </c>
      <c r="BD106" s="74" t="str">
        <f aca="false">IF(ISBLANK($C106),"",IF($AA106=Constants!$B$2,TRUE(),IF($AA106=Constants!$B$3,FALSE(),TRUE())))</f>
        <v/>
      </c>
      <c r="BE106" s="74" t="str">
        <f aca="false">IF(ISBLANK($C106),"",IF($AB106=Constants!$B$2,TRUE(),IF($AB106=Constants!$B$3,FALSE(),TRUE())))</f>
        <v/>
      </c>
      <c r="BF106" s="74" t="str">
        <f aca="false">IF(ISBLANK($C106),"",IF(ISNUMBER($AC106),IF($AC106&gt;=0,$AC106,""),""))</f>
        <v/>
      </c>
      <c r="BG106" s="74" t="str">
        <f aca="false">IF(ISBLANK($C106),"",IF($AD106=Constants!$B$2,TRUE(),IF($AD106=Constants!$B$3,FALSE(),FALSE())))</f>
        <v/>
      </c>
      <c r="BH106" s="73" t="str">
        <f aca="false">IF(ISBLANK($C106),"",IF($BG106,Constants!$B$7,IF(COUNTA($E106:$AC106)=0,Constants!$B$6,IF(OR(COUNTA($G106:$AC106)=0,NOT($AK106),$AQ106),Constants!$B$5,IF(OR($CI106&lt;&gt;"",$CJ106,$CK106,$CL106,$CM106,$CN106,$CO106),Constants!$B$8,Constants!$B$4)))))</f>
        <v/>
      </c>
      <c r="BI106" s="74" t="str">
        <f aca="false">IF(ISBLANK($C106),"",IF($BH106&lt;&gt;Constants!$B$4,$BH106,IF(OR(NOT($AH106),NOT($AJ106),NOT($AR106)),Constants!$B$11,IF(OR(NOT($AP106),MAX($AL106,$AM106,$AN106)&gt;Constants!$B$30),Constants!$B$10,Constants!$B$9))))</f>
        <v/>
      </c>
      <c r="BJ106" s="74" t="str">
        <f aca="false">IF($BH106&lt;&gt;Constants!$B$4,"",IF(NOT($AJ106),0,MIN(Constants!$B$35,$BC106)))</f>
        <v/>
      </c>
      <c r="BK106" s="74" t="str">
        <f aca="false">IF($BH106&lt;&gt;Constants!$B$4,"",IF(NOT($AJ106),0,IF($AT106,Constants!$B$18,IF($AS106,Constants!$B$17,0))))</f>
        <v/>
      </c>
      <c r="BL106" s="74" t="str">
        <f aca="false">IF($BH106&lt;&gt;Constants!$B$4,"",IF(NOT($AJ106),0,Constants!$B$19*($AI106+$AU106+$AV106+$AW106)))</f>
        <v/>
      </c>
      <c r="BM106" s="74" t="str">
        <f aca="false">IF($BH106&lt;&gt;Constants!$B$4,"",IF(OR(NOT($AJ106),NOT(ISNUMBER($AX106))),0,CHOOSE($AX106,Constants!$B$13,Constants!$B$14,Constants!$B$15,Constants!$B$16)))</f>
        <v/>
      </c>
      <c r="BN106" s="74" t="str">
        <f aca="false">IF($BH106&lt;&gt;Constants!$B$4,"",IF(NOT($AJ106),0,Constants!$B$20*$AY106))</f>
        <v/>
      </c>
      <c r="BO106" s="74" t="str">
        <f aca="false">IF($BH106&lt;&gt;Constants!$B$4,"",IF(AND($AJ106,$BA106,$BB106),Constants!$B$22,0))</f>
        <v/>
      </c>
      <c r="BP106" s="74" t="str">
        <f aca="false">IF($BH106&lt;&gt;Constants!$B$4,"",IF(OR(NOT($AJ106),NOT($BA106)),0,IF($BF106&gt;=2*$AF$9,0,Constants!$B$23*INT(ROUND(MIN($BF106,$AF$9),6)))))</f>
        <v/>
      </c>
      <c r="BQ106" s="74" t="str">
        <f aca="false">IF($BH106&lt;&gt;Constants!$B$4,"",IF(NOT($AJ106),0,Constants!$B$24*INT(ROUND(MIN($AZ106,$AF$9),6))))</f>
        <v/>
      </c>
      <c r="BR106" s="74" t="str">
        <f aca="false">IF($BH106&lt;&gt;Constants!$B$4,"",IF(AND($AJ106,$BJ106=0),Constants!$B$25,0))</f>
        <v/>
      </c>
      <c r="BS106" s="74" t="str">
        <f aca="false">IF($BH106&lt;&gt;Constants!$B$4,"",MIN(Constants!$B$29,MAX(0,Constants!$B$27*Constants!$B$28*INT(ROUND((Constants!$B$26-$AL106)/Constants!$B$28,6))))+MIN(Constants!$B$29,MAX(0,Constants!$B$27*Constants!$B$28*INT(ROUND((Constants!$B$26-$AM106)/Constants!$B$28,6))))+MIN(Constants!$B$29,MAX(0,Constants!$B$27*Constants!$B$28*INT(ROUND((Constants!$B$26-$AN106)/Constants!$B$28,6)))))</f>
        <v/>
      </c>
      <c r="BT106" s="74" t="str">
        <f aca="false">IF($BH106&lt;&gt;Constants!$B$4,"",IF(NOT($AJ106),0,Constants!$B$31*INT(ROUND(MAX(0,MIN($BF106,2*$AF$9)-$AF$9),6))))</f>
        <v/>
      </c>
      <c r="BU106" s="74" t="str">
        <f aca="false">IF($BH106&lt;&gt;Constants!$B$4,"",Constants!$B$32*(($AL106&gt;Constants!$B$26)+($AM106&gt;Constants!$B$26)+($AN106&gt;Constants!$B$26)))</f>
        <v/>
      </c>
      <c r="BV106" s="74" t="str">
        <f aca="false">IF($BH106&lt;&gt;Constants!$B$4,"",IF(OR(NOT($AJ106),$AO106),0,Constants!$B$33))</f>
        <v/>
      </c>
      <c r="BW106" s="74" t="str">
        <f aca="false">IF($BH106&lt;&gt;Constants!$B$4,"",Constants!$B$34*$BJ106)</f>
        <v/>
      </c>
      <c r="BX106" s="74" t="str">
        <f aca="false">IF($BH106&lt;&gt;Constants!$B$4,"",IF(OR(NOT($AJ106),$BE106),0,Constants!$B$36))</f>
        <v/>
      </c>
      <c r="BY106" s="74" t="str">
        <f aca="false">IF($BH106&lt;&gt;Constants!$B$4,"",IF(OR(NOT($AJ106),$BD106),0,Constants!$B$37))</f>
        <v/>
      </c>
      <c r="BZ106" s="74" t="str">
        <f aca="false">IF($BH106&lt;&gt;Constants!$B$4,"",SUM($BT106:$BY106))</f>
        <v/>
      </c>
      <c r="CA106" s="74" t="str">
        <f aca="false">IF(ISBLANK($C106),"",IF($BH106&lt;&gt;Constants!$B$4,$BH106,SUM($BK106:$BS106)-$BZ106))</f>
        <v/>
      </c>
      <c r="CB106" s="74" t="str">
        <f aca="false">IF(ISBLANK($C106),"",IF($BH106&lt;&gt;Constants!$B$4,$BH106,RANK($CA106,$CA$9:$CA$508)))</f>
        <v/>
      </c>
      <c r="CC106" s="74" t="str">
        <f aca="false">IF(ISBLANK($C106),"",IF($BH106&lt;&gt;Constants!$B$4,$BH106,COUNTIFS($BI$9:$BI$508,"&lt;"&amp;$BI106)+COUNTIFS($BI$9:$BI$508,$BI106,$CB$9:$CB$508,"&lt;"&amp;$CB106)+1))</f>
        <v/>
      </c>
      <c r="CD106" s="74" t="str">
        <f aca="false">IF(ISBLANK($C106),"",IF($BH106&lt;&gt;Constants!$B$4,$BH106,RANK($BZ106,$BZ$9:$BZ$508,1)))</f>
        <v/>
      </c>
      <c r="CE106" s="74" t="str">
        <f aca="false">IF($BH106&lt;&gt;Constants!$B$4,"",$AL106+$AM106+$AN106)</f>
        <v/>
      </c>
      <c r="CF106" s="74" t="str">
        <f aca="false">IF(ISBLANK($C106),"",IF($BH106&lt;&gt;Constants!$B$4,$BH106,RANK($CE106,$CE$9:$CE$508,1)))</f>
        <v/>
      </c>
      <c r="CG106" s="74" t="str">
        <f aca="false">IF(ISBLANK($C106),"",IF($BH106&lt;&gt;Constants!$B$4,$BH106,COUNTIFS($BI$9:$BI$508,"&lt;"&amp;$BI106)+COUNTIFS($BI$9:$BI$508,$BI106,$CB$9:$CB$508,"&lt;"&amp;$CB106)+COUNTIFS($BI$9:$BI$508,$BI106,$CB$9:$CB$508,$CB106,$CD$9:$CD$508,"&lt;"&amp;$CD106)+COUNTIFS($BI$9:$BI$508,$BI106,$CB$9:$CB$508,$CB106,$CD$9:$CD$508,$CD106,$CF$9:$CF$508,"&lt;"&amp;$CF106)+1))</f>
        <v/>
      </c>
      <c r="CH106" s="74" t="str">
        <f aca="false">IF(ISBLANK($C106),"",IF($BH106&lt;&gt;Constants!$B$4,$BH106,$CC106-$CG106))</f>
        <v/>
      </c>
      <c r="CI106" s="74" t="str">
        <f aca="false">IF(ISBLANK($C106),"",IF(NOT($AJ106),"",IF(ISBLANK($D$7),$CI$5,IF(NOT(ISNUMBER($D$7)),$CI$6,""))))</f>
        <v/>
      </c>
      <c r="CJ106" s="74" t="str">
        <f aca="false">IF(ISBLANK($C106),"",OR($AL106="",$AM106="",$AN106=""))</f>
        <v/>
      </c>
      <c r="CK106" s="74" t="str">
        <f aca="false">IF(ISBLANK($C106),"",AND($AJ106,$AX106=""))</f>
        <v/>
      </c>
      <c r="CL106" s="74" t="str">
        <f aca="false">IF(ISBLANK($C106),"",AND($AJ106,$AY106=""))</f>
        <v/>
      </c>
      <c r="CM106" s="74" t="str">
        <f aca="false">IF(ISBLANK($C106),"",AND($AJ106,$AZ106=""))</f>
        <v/>
      </c>
      <c r="CN106" s="74" t="str">
        <f aca="false">IF(ISBLANK($C106),"",AND($AJ106,$BC106=""))</f>
        <v/>
      </c>
      <c r="CO106" s="74" t="str">
        <f aca="false">IF(ISBLANK($C106),"",AND($AJ106,$BF106=""))</f>
        <v/>
      </c>
      <c r="CP106" s="75"/>
      <c r="CQ106" s="76"/>
      <c r="CR106" s="79" t="str">
        <f aca="false">IF(ISBLANK($C106),"",IF($BH106=Constants!$B$8,$CI106,""))</f>
        <v/>
      </c>
      <c r="CS106" s="76" t="str">
        <f aca="false">IF(ISBLANK($C106),"",IF($BH106&lt;&gt;Constants!$B$4,"",$BK106+$BL106))</f>
        <v/>
      </c>
      <c r="CT106" s="78" t="str">
        <f aca="false">IF(ISBLANK($C106),"",IF($BH106&lt;&gt;Constants!$B$4,"",$BM106+$BN106+$BO106))</f>
        <v/>
      </c>
      <c r="CU106" s="78" t="str">
        <f aca="false">IF(ISBLANK($C106),"",IF($BH106&lt;&gt;Constants!$B$4,"",$BP106))</f>
        <v/>
      </c>
      <c r="CV106" s="78" t="str">
        <f aca="false">IF(ISBLANK($C106),"",IF($BH106&lt;&gt;Constants!$B$4,"",$BQ106+$BR106))</f>
        <v/>
      </c>
      <c r="CW106" s="78" t="str">
        <f aca="false">IF(ISBLANK($C106),"",IF($BH106&lt;&gt;Constants!$B$4,"",$BS106))</f>
        <v/>
      </c>
      <c r="CX106" s="78" t="str">
        <f aca="false">IF(ISBLANK($C106),"",IF($BH106&lt;&gt;Constants!$B$4,"",-$BZ106))</f>
        <v/>
      </c>
      <c r="CY106" s="79" t="str">
        <f aca="false">IF(ISBLANK($C106),"",$CA106)</f>
        <v/>
      </c>
      <c r="CZ106" s="80" t="str">
        <f aca="false">IF(ISBLANK($C106),"",$BI106)</f>
        <v/>
      </c>
      <c r="DA106" s="78" t="str">
        <f aca="false">IF(ISBLANK($C106),"",$CH106)</f>
        <v/>
      </c>
      <c r="DB106" s="78" t="str">
        <f aca="false">IF(ISBLANK($C106),"",$CG106)</f>
        <v/>
      </c>
      <c r="DC106" s="81" t="str">
        <f aca="false">IF(ISBLANK($C106),"",IFERROR(_xlfn.SWITCH($DB106,Constants!$B$7,COUNTA($C$9:$C$508)+2,Constants!$B$6,COUNTA($C$9:$C$508)+1,Constants!$B$5,COUNTA($C$9:$C$508)),$DB106))</f>
        <v/>
      </c>
      <c r="DD106" s="7"/>
      <c r="DE106" s="82" t="n">
        <f aca="false">IF(OR(ISNUMBER($DB106),$DB106=Constants!$B$7,$DB106=Constants!$B$5,$DB106=Constants!$B$6),1,0)</f>
        <v>0</v>
      </c>
      <c r="DF106" s="82" t="n">
        <v>98</v>
      </c>
      <c r="DG106" s="82" t="str">
        <f aca="false">IF(ISBLANK($C106),"",IF(ISNUMBER($DC106),$DC106+ROW($B106)/1000,""))</f>
        <v/>
      </c>
      <c r="DH106" s="82" t="str">
        <f aca="false">IF(ISNUMBER($DG106),RANK($DG106,$DG$9:$DG$508,1),"")</f>
        <v/>
      </c>
      <c r="DI106" s="82" t="str">
        <f aca="false">IF(ISBLANK($C106),"",$B106)</f>
        <v/>
      </c>
      <c r="DJ106" s="82" t="str">
        <f aca="false">IF(ISBLANK($C106),"",$C106)</f>
        <v/>
      </c>
      <c r="DK106" s="82" t="str">
        <f aca="false">IF(ISBLANK($C106),"",$D106)</f>
        <v/>
      </c>
      <c r="DL106" s="83" t="str">
        <f aca="false">$CZ106</f>
        <v/>
      </c>
      <c r="DM106" s="84" t="str">
        <f aca="false">$CY106</f>
        <v/>
      </c>
      <c r="DN106" s="82" t="str">
        <f aca="false">IF(ISBLANK($C106),"",$DB106)</f>
        <v/>
      </c>
      <c r="DO106" s="85" t="str">
        <f aca="false">IF($DF106&gt;$DE$8,"",VLOOKUP($DF106,$DH$9:$DN$508,7,FALSE()))</f>
        <v/>
      </c>
      <c r="DP106" s="86" t="str">
        <f aca="false">IF($DF106&gt;$DE$8,"",VLOOKUP($DF106,$DH$9:$DN$508,2,FALSE()))</f>
        <v/>
      </c>
      <c r="DQ106" s="86" t="str">
        <f aca="false">IF($DF106&gt;$DE$8,"",VLOOKUP($DF106,$DH$9:$DN$508,3,FALSE()))</f>
        <v/>
      </c>
      <c r="DR106" s="86" t="str">
        <f aca="false">IF($DF106&gt;$DE$8,"",VLOOKUP($DF106,$DH$9:$DN$508,4,FALSE()))</f>
        <v/>
      </c>
      <c r="DS106" s="86" t="str">
        <f aca="false">IF($DF106&gt;$DE$8,"",VLOOKUP($DF106,$DH$9:$DN$508,5,FALSE()))</f>
        <v/>
      </c>
      <c r="DT106" s="87" t="str">
        <f aca="false">IF($DF106&gt;$DE$8,"",VLOOKUP($DF106,$DH$9:$DN$508,6,FALSE()))</f>
        <v/>
      </c>
      <c r="DU106" s="62"/>
    </row>
    <row r="107" customFormat="false" ht="15.75" hidden="false" customHeight="false" outlineLevel="0" collapsed="false">
      <c r="A107" s="7"/>
      <c r="B107" s="64"/>
      <c r="C107" s="65"/>
      <c r="D107" s="123"/>
      <c r="E107" s="88"/>
      <c r="F107" s="134"/>
      <c r="G107" s="88"/>
      <c r="H107" s="134"/>
      <c r="I107" s="119"/>
      <c r="J107" s="119"/>
      <c r="K107" s="119"/>
      <c r="L107" s="88"/>
      <c r="M107" s="88"/>
      <c r="N107" s="88"/>
      <c r="O107" s="134"/>
      <c r="P107" s="88"/>
      <c r="Q107" s="88"/>
      <c r="R107" s="88"/>
      <c r="S107" s="88"/>
      <c r="T107" s="134"/>
      <c r="U107" s="88"/>
      <c r="V107" s="70"/>
      <c r="W107" s="88"/>
      <c r="X107" s="88"/>
      <c r="Y107" s="70"/>
      <c r="Z107" s="70"/>
      <c r="AA107" s="88"/>
      <c r="AB107" s="88"/>
      <c r="AC107" s="71"/>
      <c r="AD107" s="88"/>
      <c r="AE107" s="73"/>
      <c r="AF107" s="74"/>
      <c r="AG107" s="74"/>
      <c r="AH107" s="74" t="str">
        <f aca="false">IF(ISBLANK($C107),"",IF($E107=Constants!$B$2,TRUE(),IF($E107=Constants!$B$3,FALSE(),TRUE())))</f>
        <v/>
      </c>
      <c r="AI107" s="74" t="str">
        <f aca="false">IF(ISBLANK($C107),"",IF($F107=Constants!$B$2,TRUE(),IF($F107=Constants!$B$3,FALSE(),FALSE())))</f>
        <v/>
      </c>
      <c r="AJ107" s="74" t="str">
        <f aca="false">IF(ISBLANK($C107),"",IF($G107=Constants!$B$2,TRUE(),IF($G107=Constants!$B$3,FALSE(),TRUE())))</f>
        <v/>
      </c>
      <c r="AK107" s="74" t="str">
        <f aca="false">IF(ISBLANK($C107),"",IF($H107=Constants!$B$2,TRUE(),IF($H107=Constants!$B$3,FALSE(),TRUE())))</f>
        <v/>
      </c>
      <c r="AL107" s="74" t="str">
        <f aca="false">IF(ISBLANK($C107),"",IF(ISNUMBER($I107),IF($I107&gt;=0,$I107,""),""))</f>
        <v/>
      </c>
      <c r="AM107" s="74" t="str">
        <f aca="false">IF(ISBLANK($C107),"",IF(ISNUMBER($J107),IF($J107&gt;=0,$J107,""),""))</f>
        <v/>
      </c>
      <c r="AN107" s="74" t="str">
        <f aca="false">IF(ISBLANK($C107),"",IF(ISNUMBER($K107),IF($K107&gt;=0,$K107,""),""))</f>
        <v/>
      </c>
      <c r="AO107" s="74" t="str">
        <f aca="false">IF(ISBLANK($C107),"",IF($L107=Constants!$B$2,TRUE(),IF($L107=Constants!$B$3,FALSE(),TRUE())))</f>
        <v/>
      </c>
      <c r="AP107" s="74" t="str">
        <f aca="false">IF(ISBLANK($C107),"",IF($M107=Constants!$B$2,TRUE(),IF($M107=Constants!$B$3,FALSE(),TRUE())))</f>
        <v/>
      </c>
      <c r="AQ107" s="74" t="str">
        <f aca="false">IF(ISBLANK($C107),"",IF($N107=Constants!$B$2,TRUE(),IF($N107=Constants!$B$3,FALSE(),FALSE())))</f>
        <v/>
      </c>
      <c r="AR107" s="74" t="str">
        <f aca="false">IF(ISBLANK($C107),"",IF($O107=Constants!$B$2,TRUE(),IF($O107=Constants!$B$3,FALSE(),TRUE())))</f>
        <v/>
      </c>
      <c r="AS107" s="74" t="str">
        <f aca="false">IF(ISBLANK($C107),"",IF($P107=Constants!$B$2,TRUE(),IF($P107=Constants!$B$3,FALSE(),FALSE())))</f>
        <v/>
      </c>
      <c r="AT107" s="74" t="str">
        <f aca="false">IF(ISBLANK($C107),"",IF($Q107=Constants!$B$2,TRUE(),IF($Q107=Constants!$B$3,FALSE(),FALSE())))</f>
        <v/>
      </c>
      <c r="AU107" s="74" t="str">
        <f aca="false">IF(ISBLANK($C107),"",IF($R107=Constants!$B$2,TRUE(),IF($R107=Constants!$B$3,FALSE(),FALSE())))</f>
        <v/>
      </c>
      <c r="AV107" s="74" t="str">
        <f aca="false">IF(ISBLANK($C107),"",IF($S107=Constants!$B$2,TRUE(),IF($S107=Constants!$B$3,FALSE(),FALSE())))</f>
        <v/>
      </c>
      <c r="AW107" s="74" t="str">
        <f aca="false">IF(ISBLANK($C107),"",IF($T107=Constants!$B$2,TRUE(),IF($T107=Constants!$B$3,FALSE(),FALSE())))</f>
        <v/>
      </c>
      <c r="AX107" s="74" t="str">
        <f aca="false">IF(ISBLANK($C107),"",IF(OR($U107&amp;""="1",$U107&amp;""="2",$U107&amp;""="3",$U107&amp;""="4"),VALUE($U107&amp;""),IF($U107=Constants!$B$12,Constants!$B$12,"")))</f>
        <v/>
      </c>
      <c r="AY107" s="74" t="str">
        <f aca="false">IF(ISBLANK($C107),"",IF(ISBLANK($V107),0,IF(ISNUMBER($V107),IF(AND($V107&gt;=0,$V107&lt;=Constants!$B$21,$V107=INT($V107)),$V107,""),"")))</f>
        <v/>
      </c>
      <c r="AZ107" s="74" t="str">
        <f aca="false">IF(ISBLANK($C107),"",IF(ISBLANK($W107),0,IF(ISNUMBER($W107),IF($W107&gt;=0,$W107,""),"")))</f>
        <v/>
      </c>
      <c r="BA107" s="74" t="str">
        <f aca="false">IF(ISBLANK($C107),"",IF($X107=Constants!$B$2,TRUE(),IF($X107=Constants!$B$3,FALSE(),TRUE())))</f>
        <v/>
      </c>
      <c r="BB107" s="74" t="str">
        <f aca="false">IF(ISBLANK($C107),"",IF($Y107=Constants!$B$2,TRUE(),IF($Y107=Constants!$B$3,FALSE(),FALSE())))</f>
        <v/>
      </c>
      <c r="BC107" s="74" t="str">
        <f aca="false">IF(ISBLANK($C107),"",IF(ISBLANK($Z107),0,IF(ISNUMBER($Z107),IF(AND($Z107&gt;=0,$Z107&lt;=Constants!$B$35,$Z107=INT($Z107)),$Z107,""),"")))</f>
        <v/>
      </c>
      <c r="BD107" s="74" t="str">
        <f aca="false">IF(ISBLANK($C107),"",IF($AA107=Constants!$B$2,TRUE(),IF($AA107=Constants!$B$3,FALSE(),TRUE())))</f>
        <v/>
      </c>
      <c r="BE107" s="74" t="str">
        <f aca="false">IF(ISBLANK($C107),"",IF($AB107=Constants!$B$2,TRUE(),IF($AB107=Constants!$B$3,FALSE(),TRUE())))</f>
        <v/>
      </c>
      <c r="BF107" s="74" t="str">
        <f aca="false">IF(ISBLANK($C107),"",IF(ISNUMBER($AC107),IF($AC107&gt;=0,$AC107,""),""))</f>
        <v/>
      </c>
      <c r="BG107" s="74" t="str">
        <f aca="false">IF(ISBLANK($C107),"",IF($AD107=Constants!$B$2,TRUE(),IF($AD107=Constants!$B$3,FALSE(),FALSE())))</f>
        <v/>
      </c>
      <c r="BH107" s="73" t="str">
        <f aca="false">IF(ISBLANK($C107),"",IF($BG107,Constants!$B$7,IF(COUNTA($E107:$AC107)=0,Constants!$B$6,IF(OR(COUNTA($G107:$AC107)=0,NOT($AK107),$AQ107),Constants!$B$5,IF(OR($CI107&lt;&gt;"",$CJ107,$CK107,$CL107,$CM107,$CN107,$CO107),Constants!$B$8,Constants!$B$4)))))</f>
        <v/>
      </c>
      <c r="BI107" s="74" t="str">
        <f aca="false">IF(ISBLANK($C107),"",IF($BH107&lt;&gt;Constants!$B$4,$BH107,IF(OR(NOT($AH107),NOT($AJ107),NOT($AR107)),Constants!$B$11,IF(OR(NOT($AP107),MAX($AL107,$AM107,$AN107)&gt;Constants!$B$30),Constants!$B$10,Constants!$B$9))))</f>
        <v/>
      </c>
      <c r="BJ107" s="74" t="str">
        <f aca="false">IF($BH107&lt;&gt;Constants!$B$4,"",IF(NOT($AJ107),0,MIN(Constants!$B$35,$BC107)))</f>
        <v/>
      </c>
      <c r="BK107" s="74" t="str">
        <f aca="false">IF($BH107&lt;&gt;Constants!$B$4,"",IF(NOT($AJ107),0,IF($AT107,Constants!$B$18,IF($AS107,Constants!$B$17,0))))</f>
        <v/>
      </c>
      <c r="BL107" s="74" t="str">
        <f aca="false">IF($BH107&lt;&gt;Constants!$B$4,"",IF(NOT($AJ107),0,Constants!$B$19*($AI107+$AU107+$AV107+$AW107)))</f>
        <v/>
      </c>
      <c r="BM107" s="74" t="str">
        <f aca="false">IF($BH107&lt;&gt;Constants!$B$4,"",IF(OR(NOT($AJ107),NOT(ISNUMBER($AX107))),0,CHOOSE($AX107,Constants!$B$13,Constants!$B$14,Constants!$B$15,Constants!$B$16)))</f>
        <v/>
      </c>
      <c r="BN107" s="74" t="str">
        <f aca="false">IF($BH107&lt;&gt;Constants!$B$4,"",IF(NOT($AJ107),0,Constants!$B$20*$AY107))</f>
        <v/>
      </c>
      <c r="BO107" s="74" t="str">
        <f aca="false">IF($BH107&lt;&gt;Constants!$B$4,"",IF(AND($AJ107,$BA107,$BB107),Constants!$B$22,0))</f>
        <v/>
      </c>
      <c r="BP107" s="74" t="str">
        <f aca="false">IF($BH107&lt;&gt;Constants!$B$4,"",IF(OR(NOT($AJ107),NOT($BA107)),0,IF($BF107&gt;=2*$AF$9,0,Constants!$B$23*INT(ROUND(MIN($BF107,$AF$9),6)))))</f>
        <v/>
      </c>
      <c r="BQ107" s="74" t="str">
        <f aca="false">IF($BH107&lt;&gt;Constants!$B$4,"",IF(NOT($AJ107),0,Constants!$B$24*INT(ROUND(MIN($AZ107,$AF$9),6))))</f>
        <v/>
      </c>
      <c r="BR107" s="74" t="str">
        <f aca="false">IF($BH107&lt;&gt;Constants!$B$4,"",IF(AND($AJ107,$BJ107=0),Constants!$B$25,0))</f>
        <v/>
      </c>
      <c r="BS107" s="74" t="str">
        <f aca="false">IF($BH107&lt;&gt;Constants!$B$4,"",MIN(Constants!$B$29,MAX(0,Constants!$B$27*Constants!$B$28*INT(ROUND((Constants!$B$26-$AL107)/Constants!$B$28,6))))+MIN(Constants!$B$29,MAX(0,Constants!$B$27*Constants!$B$28*INT(ROUND((Constants!$B$26-$AM107)/Constants!$B$28,6))))+MIN(Constants!$B$29,MAX(0,Constants!$B$27*Constants!$B$28*INT(ROUND((Constants!$B$26-$AN107)/Constants!$B$28,6)))))</f>
        <v/>
      </c>
      <c r="BT107" s="74" t="str">
        <f aca="false">IF($BH107&lt;&gt;Constants!$B$4,"",IF(NOT($AJ107),0,Constants!$B$31*INT(ROUND(MAX(0,MIN($BF107,2*$AF$9)-$AF$9),6))))</f>
        <v/>
      </c>
      <c r="BU107" s="74" t="str">
        <f aca="false">IF($BH107&lt;&gt;Constants!$B$4,"",Constants!$B$32*(($AL107&gt;Constants!$B$26)+($AM107&gt;Constants!$B$26)+($AN107&gt;Constants!$B$26)))</f>
        <v/>
      </c>
      <c r="BV107" s="74" t="str">
        <f aca="false">IF($BH107&lt;&gt;Constants!$B$4,"",IF(OR(NOT($AJ107),$AO107),0,Constants!$B$33))</f>
        <v/>
      </c>
      <c r="BW107" s="74" t="str">
        <f aca="false">IF($BH107&lt;&gt;Constants!$B$4,"",Constants!$B$34*$BJ107)</f>
        <v/>
      </c>
      <c r="BX107" s="74" t="str">
        <f aca="false">IF($BH107&lt;&gt;Constants!$B$4,"",IF(OR(NOT($AJ107),$BE107),0,Constants!$B$36))</f>
        <v/>
      </c>
      <c r="BY107" s="74" t="str">
        <f aca="false">IF($BH107&lt;&gt;Constants!$B$4,"",IF(OR(NOT($AJ107),$BD107),0,Constants!$B$37))</f>
        <v/>
      </c>
      <c r="BZ107" s="74" t="str">
        <f aca="false">IF($BH107&lt;&gt;Constants!$B$4,"",SUM($BT107:$BY107))</f>
        <v/>
      </c>
      <c r="CA107" s="74" t="str">
        <f aca="false">IF(ISBLANK($C107),"",IF($BH107&lt;&gt;Constants!$B$4,$BH107,SUM($BK107:$BS107)-$BZ107))</f>
        <v/>
      </c>
      <c r="CB107" s="74" t="str">
        <f aca="false">IF(ISBLANK($C107),"",IF($BH107&lt;&gt;Constants!$B$4,$BH107,RANK($CA107,$CA$9:$CA$508)))</f>
        <v/>
      </c>
      <c r="CC107" s="74" t="str">
        <f aca="false">IF(ISBLANK($C107),"",IF($BH107&lt;&gt;Constants!$B$4,$BH107,COUNTIFS($BI$9:$BI$508,"&lt;"&amp;$BI107)+COUNTIFS($BI$9:$BI$508,$BI107,$CB$9:$CB$508,"&lt;"&amp;$CB107)+1))</f>
        <v/>
      </c>
      <c r="CD107" s="74" t="str">
        <f aca="false">IF(ISBLANK($C107),"",IF($BH107&lt;&gt;Constants!$B$4,$BH107,RANK($BZ107,$BZ$9:$BZ$508,1)))</f>
        <v/>
      </c>
      <c r="CE107" s="74" t="str">
        <f aca="false">IF($BH107&lt;&gt;Constants!$B$4,"",$AL107+$AM107+$AN107)</f>
        <v/>
      </c>
      <c r="CF107" s="74" t="str">
        <f aca="false">IF(ISBLANK($C107),"",IF($BH107&lt;&gt;Constants!$B$4,$BH107,RANK($CE107,$CE$9:$CE$508,1)))</f>
        <v/>
      </c>
      <c r="CG107" s="74" t="str">
        <f aca="false">IF(ISBLANK($C107),"",IF($BH107&lt;&gt;Constants!$B$4,$BH107,COUNTIFS($BI$9:$BI$508,"&lt;"&amp;$BI107)+COUNTIFS($BI$9:$BI$508,$BI107,$CB$9:$CB$508,"&lt;"&amp;$CB107)+COUNTIFS($BI$9:$BI$508,$BI107,$CB$9:$CB$508,$CB107,$CD$9:$CD$508,"&lt;"&amp;$CD107)+COUNTIFS($BI$9:$BI$508,$BI107,$CB$9:$CB$508,$CB107,$CD$9:$CD$508,$CD107,$CF$9:$CF$508,"&lt;"&amp;$CF107)+1))</f>
        <v/>
      </c>
      <c r="CH107" s="74" t="str">
        <f aca="false">IF(ISBLANK($C107),"",IF($BH107&lt;&gt;Constants!$B$4,$BH107,$CC107-$CG107))</f>
        <v/>
      </c>
      <c r="CI107" s="74" t="str">
        <f aca="false">IF(ISBLANK($C107),"",IF(NOT($AJ107),"",IF(ISBLANK($D$7),$CI$5,IF(NOT(ISNUMBER($D$7)),$CI$6,""))))</f>
        <v/>
      </c>
      <c r="CJ107" s="74" t="str">
        <f aca="false">IF(ISBLANK($C107),"",OR($AL107="",$AM107="",$AN107=""))</f>
        <v/>
      </c>
      <c r="CK107" s="74" t="str">
        <f aca="false">IF(ISBLANK($C107),"",AND($AJ107,$AX107=""))</f>
        <v/>
      </c>
      <c r="CL107" s="74" t="str">
        <f aca="false">IF(ISBLANK($C107),"",AND($AJ107,$AY107=""))</f>
        <v/>
      </c>
      <c r="CM107" s="74" t="str">
        <f aca="false">IF(ISBLANK($C107),"",AND($AJ107,$AZ107=""))</f>
        <v/>
      </c>
      <c r="CN107" s="74" t="str">
        <f aca="false">IF(ISBLANK($C107),"",AND($AJ107,$BC107=""))</f>
        <v/>
      </c>
      <c r="CO107" s="74" t="str">
        <f aca="false">IF(ISBLANK($C107),"",AND($AJ107,$BF107=""))</f>
        <v/>
      </c>
      <c r="CP107" s="75"/>
      <c r="CQ107" s="76"/>
      <c r="CR107" s="79" t="str">
        <f aca="false">IF(ISBLANK($C107),"",IF($BH107=Constants!$B$8,$CI107,""))</f>
        <v/>
      </c>
      <c r="CS107" s="76" t="str">
        <f aca="false">IF(ISBLANK($C107),"",IF($BH107&lt;&gt;Constants!$B$4,"",$BK107+$BL107))</f>
        <v/>
      </c>
      <c r="CT107" s="78" t="str">
        <f aca="false">IF(ISBLANK($C107),"",IF($BH107&lt;&gt;Constants!$B$4,"",$BM107+$BN107+$BO107))</f>
        <v/>
      </c>
      <c r="CU107" s="78" t="str">
        <f aca="false">IF(ISBLANK($C107),"",IF($BH107&lt;&gt;Constants!$B$4,"",$BP107))</f>
        <v/>
      </c>
      <c r="CV107" s="78" t="str">
        <f aca="false">IF(ISBLANK($C107),"",IF($BH107&lt;&gt;Constants!$B$4,"",$BQ107+$BR107))</f>
        <v/>
      </c>
      <c r="CW107" s="78" t="str">
        <f aca="false">IF(ISBLANK($C107),"",IF($BH107&lt;&gt;Constants!$B$4,"",$BS107))</f>
        <v/>
      </c>
      <c r="CX107" s="78" t="str">
        <f aca="false">IF(ISBLANK($C107),"",IF($BH107&lt;&gt;Constants!$B$4,"",-$BZ107))</f>
        <v/>
      </c>
      <c r="CY107" s="79" t="str">
        <f aca="false">IF(ISBLANK($C107),"",$CA107)</f>
        <v/>
      </c>
      <c r="CZ107" s="80" t="str">
        <f aca="false">IF(ISBLANK($C107),"",$BI107)</f>
        <v/>
      </c>
      <c r="DA107" s="78" t="str">
        <f aca="false">IF(ISBLANK($C107),"",$CH107)</f>
        <v/>
      </c>
      <c r="DB107" s="78" t="str">
        <f aca="false">IF(ISBLANK($C107),"",$CG107)</f>
        <v/>
      </c>
      <c r="DC107" s="81" t="str">
        <f aca="false">IF(ISBLANK($C107),"",IFERROR(_xlfn.SWITCH($DB107,Constants!$B$7,COUNTA($C$9:$C$508)+2,Constants!$B$6,COUNTA($C$9:$C$508)+1,Constants!$B$5,COUNTA($C$9:$C$508)),$DB107))</f>
        <v/>
      </c>
      <c r="DD107" s="7"/>
      <c r="DE107" s="82" t="n">
        <f aca="false">IF(OR(ISNUMBER($DB107),$DB107=Constants!$B$7,$DB107=Constants!$B$5,$DB107=Constants!$B$6),1,0)</f>
        <v>0</v>
      </c>
      <c r="DF107" s="82" t="n">
        <v>99</v>
      </c>
      <c r="DG107" s="82" t="str">
        <f aca="false">IF(ISBLANK($C107),"",IF(ISNUMBER($DC107),$DC107+ROW($B107)/1000,""))</f>
        <v/>
      </c>
      <c r="DH107" s="82" t="str">
        <f aca="false">IF(ISNUMBER($DG107),RANK($DG107,$DG$9:$DG$508,1),"")</f>
        <v/>
      </c>
      <c r="DI107" s="82" t="str">
        <f aca="false">IF(ISBLANK($C107),"",$B107)</f>
        <v/>
      </c>
      <c r="DJ107" s="82" t="str">
        <f aca="false">IF(ISBLANK($C107),"",$C107)</f>
        <v/>
      </c>
      <c r="DK107" s="82" t="str">
        <f aca="false">IF(ISBLANK($C107),"",$D107)</f>
        <v/>
      </c>
      <c r="DL107" s="83" t="str">
        <f aca="false">$CZ107</f>
        <v/>
      </c>
      <c r="DM107" s="84" t="str">
        <f aca="false">$CY107</f>
        <v/>
      </c>
      <c r="DN107" s="82" t="str">
        <f aca="false">IF(ISBLANK($C107),"",$DB107)</f>
        <v/>
      </c>
      <c r="DO107" s="85" t="str">
        <f aca="false">IF($DF107&gt;$DE$8,"",VLOOKUP($DF107,$DH$9:$DN$508,7,FALSE()))</f>
        <v/>
      </c>
      <c r="DP107" s="86" t="str">
        <f aca="false">IF($DF107&gt;$DE$8,"",VLOOKUP($DF107,$DH$9:$DN$508,2,FALSE()))</f>
        <v/>
      </c>
      <c r="DQ107" s="86" t="str">
        <f aca="false">IF($DF107&gt;$DE$8,"",VLOOKUP($DF107,$DH$9:$DN$508,3,FALSE()))</f>
        <v/>
      </c>
      <c r="DR107" s="86" t="str">
        <f aca="false">IF($DF107&gt;$DE$8,"",VLOOKUP($DF107,$DH$9:$DN$508,4,FALSE()))</f>
        <v/>
      </c>
      <c r="DS107" s="86" t="str">
        <f aca="false">IF($DF107&gt;$DE$8,"",VLOOKUP($DF107,$DH$9:$DN$508,5,FALSE()))</f>
        <v/>
      </c>
      <c r="DT107" s="87" t="str">
        <f aca="false">IF($DF107&gt;$DE$8,"",VLOOKUP($DF107,$DH$9:$DN$508,6,FALSE()))</f>
        <v/>
      </c>
      <c r="DU107" s="62"/>
    </row>
    <row r="108" customFormat="false" ht="15.75" hidden="false" customHeight="false" outlineLevel="0" collapsed="false">
      <c r="A108" s="7"/>
      <c r="B108" s="90"/>
      <c r="C108" s="91"/>
      <c r="D108" s="126"/>
      <c r="E108" s="130"/>
      <c r="F108" s="135"/>
      <c r="G108" s="130"/>
      <c r="H108" s="135"/>
      <c r="I108" s="131"/>
      <c r="J108" s="131"/>
      <c r="K108" s="131"/>
      <c r="L108" s="130"/>
      <c r="M108" s="130"/>
      <c r="N108" s="130"/>
      <c r="O108" s="135"/>
      <c r="P108" s="130"/>
      <c r="Q108" s="130"/>
      <c r="R108" s="130"/>
      <c r="S108" s="130"/>
      <c r="T108" s="135"/>
      <c r="U108" s="130"/>
      <c r="V108" s="96"/>
      <c r="W108" s="130"/>
      <c r="X108" s="130"/>
      <c r="Y108" s="96"/>
      <c r="Z108" s="96"/>
      <c r="AA108" s="130"/>
      <c r="AB108" s="130"/>
      <c r="AC108" s="97"/>
      <c r="AD108" s="130"/>
      <c r="AE108" s="99"/>
      <c r="AF108" s="100"/>
      <c r="AG108" s="100"/>
      <c r="AH108" s="100" t="str">
        <f aca="false">IF(ISBLANK($C108),"",IF($E108=Constants!$B$2,TRUE(),IF($E108=Constants!$B$3,FALSE(),TRUE())))</f>
        <v/>
      </c>
      <c r="AI108" s="100" t="str">
        <f aca="false">IF(ISBLANK($C108),"",IF($F108=Constants!$B$2,TRUE(),IF($F108=Constants!$B$3,FALSE(),FALSE())))</f>
        <v/>
      </c>
      <c r="AJ108" s="100" t="str">
        <f aca="false">IF(ISBLANK($C108),"",IF($G108=Constants!$B$2,TRUE(),IF($G108=Constants!$B$3,FALSE(),TRUE())))</f>
        <v/>
      </c>
      <c r="AK108" s="100" t="str">
        <f aca="false">IF(ISBLANK($C108),"",IF($H108=Constants!$B$2,TRUE(),IF($H108=Constants!$B$3,FALSE(),TRUE())))</f>
        <v/>
      </c>
      <c r="AL108" s="100" t="str">
        <f aca="false">IF(ISBLANK($C108),"",IF(ISNUMBER($I108),IF($I108&gt;=0,$I108,""),""))</f>
        <v/>
      </c>
      <c r="AM108" s="100" t="str">
        <f aca="false">IF(ISBLANK($C108),"",IF(ISNUMBER($J108),IF($J108&gt;=0,$J108,""),""))</f>
        <v/>
      </c>
      <c r="AN108" s="100" t="str">
        <f aca="false">IF(ISBLANK($C108),"",IF(ISNUMBER($K108),IF($K108&gt;=0,$K108,""),""))</f>
        <v/>
      </c>
      <c r="AO108" s="100" t="str">
        <f aca="false">IF(ISBLANK($C108),"",IF($L108=Constants!$B$2,TRUE(),IF($L108=Constants!$B$3,FALSE(),TRUE())))</f>
        <v/>
      </c>
      <c r="AP108" s="100" t="str">
        <f aca="false">IF(ISBLANK($C108),"",IF($M108=Constants!$B$2,TRUE(),IF($M108=Constants!$B$3,FALSE(),TRUE())))</f>
        <v/>
      </c>
      <c r="AQ108" s="100" t="str">
        <f aca="false">IF(ISBLANK($C108),"",IF($N108=Constants!$B$2,TRUE(),IF($N108=Constants!$B$3,FALSE(),FALSE())))</f>
        <v/>
      </c>
      <c r="AR108" s="100" t="str">
        <f aca="false">IF(ISBLANK($C108),"",IF($O108=Constants!$B$2,TRUE(),IF($O108=Constants!$B$3,FALSE(),TRUE())))</f>
        <v/>
      </c>
      <c r="AS108" s="100" t="str">
        <f aca="false">IF(ISBLANK($C108),"",IF($P108=Constants!$B$2,TRUE(),IF($P108=Constants!$B$3,FALSE(),FALSE())))</f>
        <v/>
      </c>
      <c r="AT108" s="100" t="str">
        <f aca="false">IF(ISBLANK($C108),"",IF($Q108=Constants!$B$2,TRUE(),IF($Q108=Constants!$B$3,FALSE(),FALSE())))</f>
        <v/>
      </c>
      <c r="AU108" s="100" t="str">
        <f aca="false">IF(ISBLANK($C108),"",IF($R108=Constants!$B$2,TRUE(),IF($R108=Constants!$B$3,FALSE(),FALSE())))</f>
        <v/>
      </c>
      <c r="AV108" s="100" t="str">
        <f aca="false">IF(ISBLANK($C108),"",IF($S108=Constants!$B$2,TRUE(),IF($S108=Constants!$B$3,FALSE(),FALSE())))</f>
        <v/>
      </c>
      <c r="AW108" s="100" t="str">
        <f aca="false">IF(ISBLANK($C108),"",IF($T108=Constants!$B$2,TRUE(),IF($T108=Constants!$B$3,FALSE(),FALSE())))</f>
        <v/>
      </c>
      <c r="AX108" s="100" t="str">
        <f aca="false">IF(ISBLANK($C108),"",IF(OR($U108&amp;""="1",$U108&amp;""="2",$U108&amp;""="3",$U108&amp;""="4"),VALUE($U108&amp;""),IF($U108=Constants!$B$12,Constants!$B$12,"")))</f>
        <v/>
      </c>
      <c r="AY108" s="100" t="str">
        <f aca="false">IF(ISBLANK($C108),"",IF(ISBLANK($V108),0,IF(ISNUMBER($V108),IF(AND($V108&gt;=0,$V108&lt;=Constants!$B$21,$V108=INT($V108)),$V108,""),"")))</f>
        <v/>
      </c>
      <c r="AZ108" s="100" t="str">
        <f aca="false">IF(ISBLANK($C108),"",IF(ISBLANK($W108),0,IF(ISNUMBER($W108),IF($W108&gt;=0,$W108,""),"")))</f>
        <v/>
      </c>
      <c r="BA108" s="100" t="str">
        <f aca="false">IF(ISBLANK($C108),"",IF($X108=Constants!$B$2,TRUE(),IF($X108=Constants!$B$3,FALSE(),TRUE())))</f>
        <v/>
      </c>
      <c r="BB108" s="100" t="str">
        <f aca="false">IF(ISBLANK($C108),"",IF($Y108=Constants!$B$2,TRUE(),IF($Y108=Constants!$B$3,FALSE(),FALSE())))</f>
        <v/>
      </c>
      <c r="BC108" s="100" t="str">
        <f aca="false">IF(ISBLANK($C108),"",IF(ISBLANK($Z108),0,IF(ISNUMBER($Z108),IF(AND($Z108&gt;=0,$Z108&lt;=Constants!$B$35,$Z108=INT($Z108)),$Z108,""),"")))</f>
        <v/>
      </c>
      <c r="BD108" s="100" t="str">
        <f aca="false">IF(ISBLANK($C108),"",IF($AA108=Constants!$B$2,TRUE(),IF($AA108=Constants!$B$3,FALSE(),TRUE())))</f>
        <v/>
      </c>
      <c r="BE108" s="100" t="str">
        <f aca="false">IF(ISBLANK($C108),"",IF($AB108=Constants!$B$2,TRUE(),IF($AB108=Constants!$B$3,FALSE(),TRUE())))</f>
        <v/>
      </c>
      <c r="BF108" s="100" t="str">
        <f aca="false">IF(ISBLANK($C108),"",IF(ISNUMBER($AC108),IF($AC108&gt;=0,$AC108,""),""))</f>
        <v/>
      </c>
      <c r="BG108" s="100" t="str">
        <f aca="false">IF(ISBLANK($C108),"",IF($AD108=Constants!$B$2,TRUE(),IF($AD108=Constants!$B$3,FALSE(),FALSE())))</f>
        <v/>
      </c>
      <c r="BH108" s="99" t="str">
        <f aca="false">IF(ISBLANK($C108),"",IF($BG108,Constants!$B$7,IF(COUNTA($E108:$AC108)=0,Constants!$B$6,IF(OR(COUNTA($G108:$AC108)=0,NOT($AK108),$AQ108),Constants!$B$5,IF(OR($CI108&lt;&gt;"",$CJ108,$CK108,$CL108,$CM108,$CN108,$CO108),Constants!$B$8,Constants!$B$4)))))</f>
        <v/>
      </c>
      <c r="BI108" s="100" t="str">
        <f aca="false">IF(ISBLANK($C108),"",IF($BH108&lt;&gt;Constants!$B$4,$BH108,IF(OR(NOT($AH108),NOT($AJ108),NOT($AR108)),Constants!$B$11,IF(OR(NOT($AP108),MAX($AL108,$AM108,$AN108)&gt;Constants!$B$30),Constants!$B$10,Constants!$B$9))))</f>
        <v/>
      </c>
      <c r="BJ108" s="100" t="str">
        <f aca="false">IF($BH108&lt;&gt;Constants!$B$4,"",IF(NOT($AJ108),0,MIN(Constants!$B$35,$BC108)))</f>
        <v/>
      </c>
      <c r="BK108" s="100" t="str">
        <f aca="false">IF($BH108&lt;&gt;Constants!$B$4,"",IF(NOT($AJ108),0,IF($AT108,Constants!$B$18,IF($AS108,Constants!$B$17,0))))</f>
        <v/>
      </c>
      <c r="BL108" s="100" t="str">
        <f aca="false">IF($BH108&lt;&gt;Constants!$B$4,"",IF(NOT($AJ108),0,Constants!$B$19*($AI108+$AU108+$AV108+$AW108)))</f>
        <v/>
      </c>
      <c r="BM108" s="100" t="str">
        <f aca="false">IF($BH108&lt;&gt;Constants!$B$4,"",IF(OR(NOT($AJ108),NOT(ISNUMBER($AX108))),0,CHOOSE($AX108,Constants!$B$13,Constants!$B$14,Constants!$B$15,Constants!$B$16)))</f>
        <v/>
      </c>
      <c r="BN108" s="100" t="str">
        <f aca="false">IF($BH108&lt;&gt;Constants!$B$4,"",IF(NOT($AJ108),0,Constants!$B$20*$AY108))</f>
        <v/>
      </c>
      <c r="BO108" s="100" t="str">
        <f aca="false">IF($BH108&lt;&gt;Constants!$B$4,"",IF(AND($AJ108,$BA108,$BB108),Constants!$B$22,0))</f>
        <v/>
      </c>
      <c r="BP108" s="100" t="str">
        <f aca="false">IF($BH108&lt;&gt;Constants!$B$4,"",IF(OR(NOT($AJ108),NOT($BA108)),0,IF($BF108&gt;=2*$AF$9,0,Constants!$B$23*INT(ROUND(MIN($BF108,$AF$9),6)))))</f>
        <v/>
      </c>
      <c r="BQ108" s="100" t="str">
        <f aca="false">IF($BH108&lt;&gt;Constants!$B$4,"",IF(NOT($AJ108),0,Constants!$B$24*INT(ROUND(MIN($AZ108,$AF$9),6))))</f>
        <v/>
      </c>
      <c r="BR108" s="100" t="str">
        <f aca="false">IF($BH108&lt;&gt;Constants!$B$4,"",IF(AND($AJ108,$BJ108=0),Constants!$B$25,0))</f>
        <v/>
      </c>
      <c r="BS108" s="100" t="str">
        <f aca="false">IF($BH108&lt;&gt;Constants!$B$4,"",MIN(Constants!$B$29,MAX(0,Constants!$B$27*Constants!$B$28*INT(ROUND((Constants!$B$26-$AL108)/Constants!$B$28,6))))+MIN(Constants!$B$29,MAX(0,Constants!$B$27*Constants!$B$28*INT(ROUND((Constants!$B$26-$AM108)/Constants!$B$28,6))))+MIN(Constants!$B$29,MAX(0,Constants!$B$27*Constants!$B$28*INT(ROUND((Constants!$B$26-$AN108)/Constants!$B$28,6)))))</f>
        <v/>
      </c>
      <c r="BT108" s="100" t="str">
        <f aca="false">IF($BH108&lt;&gt;Constants!$B$4,"",IF(NOT($AJ108),0,Constants!$B$31*INT(ROUND(MAX(0,MIN($BF108,2*$AF$9)-$AF$9),6))))</f>
        <v/>
      </c>
      <c r="BU108" s="100" t="str">
        <f aca="false">IF($BH108&lt;&gt;Constants!$B$4,"",Constants!$B$32*(($AL108&gt;Constants!$B$26)+($AM108&gt;Constants!$B$26)+($AN108&gt;Constants!$B$26)))</f>
        <v/>
      </c>
      <c r="BV108" s="100" t="str">
        <f aca="false">IF($BH108&lt;&gt;Constants!$B$4,"",IF(OR(NOT($AJ108),$AO108),0,Constants!$B$33))</f>
        <v/>
      </c>
      <c r="BW108" s="100" t="str">
        <f aca="false">IF($BH108&lt;&gt;Constants!$B$4,"",Constants!$B$34*$BJ108)</f>
        <v/>
      </c>
      <c r="BX108" s="100" t="str">
        <f aca="false">IF($BH108&lt;&gt;Constants!$B$4,"",IF(OR(NOT($AJ108),$BE108),0,Constants!$B$36))</f>
        <v/>
      </c>
      <c r="BY108" s="100" t="str">
        <f aca="false">IF($BH108&lt;&gt;Constants!$B$4,"",IF(OR(NOT($AJ108),$BD108),0,Constants!$B$37))</f>
        <v/>
      </c>
      <c r="BZ108" s="100" t="str">
        <f aca="false">IF($BH108&lt;&gt;Constants!$B$4,"",SUM($BT108:$BY108))</f>
        <v/>
      </c>
      <c r="CA108" s="100" t="str">
        <f aca="false">IF(ISBLANK($C108),"",IF($BH108&lt;&gt;Constants!$B$4,$BH108,SUM($BK108:$BS108)-$BZ108))</f>
        <v/>
      </c>
      <c r="CB108" s="100" t="str">
        <f aca="false">IF(ISBLANK($C108),"",IF($BH108&lt;&gt;Constants!$B$4,$BH108,RANK($CA108,$CA$9:$CA$508)))</f>
        <v/>
      </c>
      <c r="CC108" s="100" t="str">
        <f aca="false">IF(ISBLANK($C108),"",IF($BH108&lt;&gt;Constants!$B$4,$BH108,COUNTIFS($BI$9:$BI$508,"&lt;"&amp;$BI108)+COUNTIFS($BI$9:$BI$508,$BI108,$CB$9:$CB$508,"&lt;"&amp;$CB108)+1))</f>
        <v/>
      </c>
      <c r="CD108" s="100" t="str">
        <f aca="false">IF(ISBLANK($C108),"",IF($BH108&lt;&gt;Constants!$B$4,$BH108,RANK($BZ108,$BZ$9:$BZ$508,1)))</f>
        <v/>
      </c>
      <c r="CE108" s="100" t="str">
        <f aca="false">IF($BH108&lt;&gt;Constants!$B$4,"",$AL108+$AM108+$AN108)</f>
        <v/>
      </c>
      <c r="CF108" s="100" t="str">
        <f aca="false">IF(ISBLANK($C108),"",IF($BH108&lt;&gt;Constants!$B$4,$BH108,RANK($CE108,$CE$9:$CE$508,1)))</f>
        <v/>
      </c>
      <c r="CG108" s="100" t="str">
        <f aca="false">IF(ISBLANK($C108),"",IF($BH108&lt;&gt;Constants!$B$4,$BH108,COUNTIFS($BI$9:$BI$508,"&lt;"&amp;$BI108)+COUNTIFS($BI$9:$BI$508,$BI108,$CB$9:$CB$508,"&lt;"&amp;$CB108)+COUNTIFS($BI$9:$BI$508,$BI108,$CB$9:$CB$508,$CB108,$CD$9:$CD$508,"&lt;"&amp;$CD108)+COUNTIFS($BI$9:$BI$508,$BI108,$CB$9:$CB$508,$CB108,$CD$9:$CD$508,$CD108,$CF$9:$CF$508,"&lt;"&amp;$CF108)+1))</f>
        <v/>
      </c>
      <c r="CH108" s="100" t="str">
        <f aca="false">IF(ISBLANK($C108),"",IF($BH108&lt;&gt;Constants!$B$4,$BH108,$CC108-$CG108))</f>
        <v/>
      </c>
      <c r="CI108" s="100" t="str">
        <f aca="false">IF(ISBLANK($C108),"",IF(NOT($AJ108),"",IF(ISBLANK($D$7),$CI$5,IF(NOT(ISNUMBER($D$7)),$CI$6,""))))</f>
        <v/>
      </c>
      <c r="CJ108" s="100" t="str">
        <f aca="false">IF(ISBLANK($C108),"",OR($AL108="",$AM108="",$AN108=""))</f>
        <v/>
      </c>
      <c r="CK108" s="100" t="str">
        <f aca="false">IF(ISBLANK($C108),"",AND($AJ108,$AX108=""))</f>
        <v/>
      </c>
      <c r="CL108" s="100" t="str">
        <f aca="false">IF(ISBLANK($C108),"",AND($AJ108,$AY108=""))</f>
        <v/>
      </c>
      <c r="CM108" s="100" t="str">
        <f aca="false">IF(ISBLANK($C108),"",AND($AJ108,$AZ108=""))</f>
        <v/>
      </c>
      <c r="CN108" s="100" t="str">
        <f aca="false">IF(ISBLANK($C108),"",AND($AJ108,$BC108=""))</f>
        <v/>
      </c>
      <c r="CO108" s="100" t="str">
        <f aca="false">IF(ISBLANK($C108),"",AND($AJ108,$BF108=""))</f>
        <v/>
      </c>
      <c r="CP108" s="101"/>
      <c r="CQ108" s="102"/>
      <c r="CR108" s="103" t="str">
        <f aca="false">IF(ISBLANK($C108),"",IF($BH108=Constants!$B$8,$CI108,""))</f>
        <v/>
      </c>
      <c r="CS108" s="102" t="str">
        <f aca="false">IF(ISBLANK($C108),"",IF($BH108&lt;&gt;Constants!$B$4,"",$BK108+$BL108))</f>
        <v/>
      </c>
      <c r="CT108" s="104" t="str">
        <f aca="false">IF(ISBLANK($C108),"",IF($BH108&lt;&gt;Constants!$B$4,"",$BM108+$BN108+$BO108))</f>
        <v/>
      </c>
      <c r="CU108" s="104" t="str">
        <f aca="false">IF(ISBLANK($C108),"",IF($BH108&lt;&gt;Constants!$B$4,"",$BP108))</f>
        <v/>
      </c>
      <c r="CV108" s="104" t="str">
        <f aca="false">IF(ISBLANK($C108),"",IF($BH108&lt;&gt;Constants!$B$4,"",$BQ108+$BR108))</f>
        <v/>
      </c>
      <c r="CW108" s="104" t="str">
        <f aca="false">IF(ISBLANK($C108),"",IF($BH108&lt;&gt;Constants!$B$4,"",$BS108))</f>
        <v/>
      </c>
      <c r="CX108" s="104" t="str">
        <f aca="false">IF(ISBLANK($C108),"",IF($BH108&lt;&gt;Constants!$B$4,"",-$BZ108))</f>
        <v/>
      </c>
      <c r="CY108" s="103" t="str">
        <f aca="false">IF(ISBLANK($C108),"",$CA108)</f>
        <v/>
      </c>
      <c r="CZ108" s="105" t="str">
        <f aca="false">IF(ISBLANK($C108),"",$BI108)</f>
        <v/>
      </c>
      <c r="DA108" s="104" t="str">
        <f aca="false">IF(ISBLANK($C108),"",$CH108)</f>
        <v/>
      </c>
      <c r="DB108" s="104" t="str">
        <f aca="false">IF(ISBLANK($C108),"",$CG108)</f>
        <v/>
      </c>
      <c r="DC108" s="106" t="str">
        <f aca="false">IF(ISBLANK($C108),"",IFERROR(_xlfn.SWITCH($DB108,Constants!$B$7,COUNTA($C$9:$C$508)+2,Constants!$B$6,COUNTA($C$9:$C$508)+1,Constants!$B$5,COUNTA($C$9:$C$508)),$DB108))</f>
        <v/>
      </c>
      <c r="DD108" s="7"/>
      <c r="DE108" s="107" t="n">
        <f aca="false">IF(OR(ISNUMBER($DB108),$DB108=Constants!$B$7,$DB108=Constants!$B$5,$DB108=Constants!$B$6),1,0)</f>
        <v>0</v>
      </c>
      <c r="DF108" s="107" t="n">
        <v>100</v>
      </c>
      <c r="DG108" s="107" t="str">
        <f aca="false">IF(ISBLANK($C108),"",IF(ISNUMBER($DC108),$DC108+ROW($B108)/1000,""))</f>
        <v/>
      </c>
      <c r="DH108" s="107" t="str">
        <f aca="false">IF(ISNUMBER($DG108),RANK($DG108,$DG$9:$DG$508,1),"")</f>
        <v/>
      </c>
      <c r="DI108" s="107" t="str">
        <f aca="false">IF(ISBLANK($C108),"",$B108)</f>
        <v/>
      </c>
      <c r="DJ108" s="107" t="str">
        <f aca="false">IF(ISBLANK($C108),"",$C108)</f>
        <v/>
      </c>
      <c r="DK108" s="107" t="str">
        <f aca="false">IF(ISBLANK($C108),"",$D108)</f>
        <v/>
      </c>
      <c r="DL108" s="108" t="str">
        <f aca="false">$CZ108</f>
        <v/>
      </c>
      <c r="DM108" s="109" t="str">
        <f aca="false">$CY108</f>
        <v/>
      </c>
      <c r="DN108" s="107" t="str">
        <f aca="false">IF(ISBLANK($C108),"",$DB108)</f>
        <v/>
      </c>
      <c r="DO108" s="110" t="str">
        <f aca="false">IF($DF108&gt;$DE$8,"",VLOOKUP($DF108,$DH$9:$DN$508,7,FALSE()))</f>
        <v/>
      </c>
      <c r="DP108" s="111" t="str">
        <f aca="false">IF($DF108&gt;$DE$8,"",VLOOKUP($DF108,$DH$9:$DN$508,2,FALSE()))</f>
        <v/>
      </c>
      <c r="DQ108" s="111" t="str">
        <f aca="false">IF($DF108&gt;$DE$8,"",VLOOKUP($DF108,$DH$9:$DN$508,3,FALSE()))</f>
        <v/>
      </c>
      <c r="DR108" s="111" t="str">
        <f aca="false">IF($DF108&gt;$DE$8,"",VLOOKUP($DF108,$DH$9:$DN$508,4,FALSE()))</f>
        <v/>
      </c>
      <c r="DS108" s="111" t="str">
        <f aca="false">IF($DF108&gt;$DE$8,"",VLOOKUP($DF108,$DH$9:$DN$508,5,FALSE()))</f>
        <v/>
      </c>
      <c r="DT108" s="112" t="str">
        <f aca="false">IF($DF108&gt;$DE$8,"",VLOOKUP($DF108,$DH$9:$DN$508,6,FALSE()))</f>
        <v/>
      </c>
      <c r="DU108" s="62"/>
    </row>
    <row r="109" customFormat="false" ht="15.75" hidden="false" customHeight="false" outlineLevel="0" collapsed="false">
      <c r="A109" s="7"/>
      <c r="B109" s="90"/>
      <c r="C109" s="91"/>
      <c r="D109" s="126"/>
      <c r="E109" s="130"/>
      <c r="F109" s="135"/>
      <c r="G109" s="130"/>
      <c r="H109" s="135"/>
      <c r="I109" s="131"/>
      <c r="J109" s="131"/>
      <c r="K109" s="131"/>
      <c r="L109" s="130"/>
      <c r="M109" s="130"/>
      <c r="N109" s="130"/>
      <c r="O109" s="135"/>
      <c r="P109" s="130"/>
      <c r="Q109" s="130"/>
      <c r="R109" s="130"/>
      <c r="S109" s="130"/>
      <c r="T109" s="135"/>
      <c r="U109" s="130"/>
      <c r="V109" s="96"/>
      <c r="W109" s="130"/>
      <c r="X109" s="130"/>
      <c r="Y109" s="96"/>
      <c r="Z109" s="96"/>
      <c r="AA109" s="130"/>
      <c r="AB109" s="130"/>
      <c r="AC109" s="97"/>
      <c r="AD109" s="130"/>
      <c r="AE109" s="99"/>
      <c r="AF109" s="100"/>
      <c r="AG109" s="100"/>
      <c r="AH109" s="100" t="str">
        <f aca="false">IF(ISBLANK($C109),"",IF($E109=Constants!$B$2,TRUE(),IF($E109=Constants!$B$3,FALSE(),TRUE())))</f>
        <v/>
      </c>
      <c r="AI109" s="100" t="str">
        <f aca="false">IF(ISBLANK($C109),"",IF($F109=Constants!$B$2,TRUE(),IF($F109=Constants!$B$3,FALSE(),FALSE())))</f>
        <v/>
      </c>
      <c r="AJ109" s="100" t="str">
        <f aca="false">IF(ISBLANK($C109),"",IF($G109=Constants!$B$2,TRUE(),IF($G109=Constants!$B$3,FALSE(),TRUE())))</f>
        <v/>
      </c>
      <c r="AK109" s="100" t="str">
        <f aca="false">IF(ISBLANK($C109),"",IF($H109=Constants!$B$2,TRUE(),IF($H109=Constants!$B$3,FALSE(),TRUE())))</f>
        <v/>
      </c>
      <c r="AL109" s="100" t="str">
        <f aca="false">IF(ISBLANK($C109),"",IF(ISNUMBER($I109),IF($I109&gt;=0,$I109,""),""))</f>
        <v/>
      </c>
      <c r="AM109" s="100" t="str">
        <f aca="false">IF(ISBLANK($C109),"",IF(ISNUMBER($J109),IF($J109&gt;=0,$J109,""),""))</f>
        <v/>
      </c>
      <c r="AN109" s="100" t="str">
        <f aca="false">IF(ISBLANK($C109),"",IF(ISNUMBER($K109),IF($K109&gt;=0,$K109,""),""))</f>
        <v/>
      </c>
      <c r="AO109" s="100" t="str">
        <f aca="false">IF(ISBLANK($C109),"",IF($L109=Constants!$B$2,TRUE(),IF($L109=Constants!$B$3,FALSE(),TRUE())))</f>
        <v/>
      </c>
      <c r="AP109" s="100" t="str">
        <f aca="false">IF(ISBLANK($C109),"",IF($M109=Constants!$B$2,TRUE(),IF($M109=Constants!$B$3,FALSE(),TRUE())))</f>
        <v/>
      </c>
      <c r="AQ109" s="100" t="str">
        <f aca="false">IF(ISBLANK($C109),"",IF($N109=Constants!$B$2,TRUE(),IF($N109=Constants!$B$3,FALSE(),FALSE())))</f>
        <v/>
      </c>
      <c r="AR109" s="100" t="str">
        <f aca="false">IF(ISBLANK($C109),"",IF($O109=Constants!$B$2,TRUE(),IF($O109=Constants!$B$3,FALSE(),TRUE())))</f>
        <v/>
      </c>
      <c r="AS109" s="100" t="str">
        <f aca="false">IF(ISBLANK($C109),"",IF($P109=Constants!$B$2,TRUE(),IF($P109=Constants!$B$3,FALSE(),FALSE())))</f>
        <v/>
      </c>
      <c r="AT109" s="100" t="str">
        <f aca="false">IF(ISBLANK($C109),"",IF($Q109=Constants!$B$2,TRUE(),IF($Q109=Constants!$B$3,FALSE(),FALSE())))</f>
        <v/>
      </c>
      <c r="AU109" s="100" t="str">
        <f aca="false">IF(ISBLANK($C109),"",IF($R109=Constants!$B$2,TRUE(),IF($R109=Constants!$B$3,FALSE(),FALSE())))</f>
        <v/>
      </c>
      <c r="AV109" s="100" t="str">
        <f aca="false">IF(ISBLANK($C109),"",IF($S109=Constants!$B$2,TRUE(),IF($S109=Constants!$B$3,FALSE(),FALSE())))</f>
        <v/>
      </c>
      <c r="AW109" s="100" t="str">
        <f aca="false">IF(ISBLANK($C109),"",IF($T109=Constants!$B$2,TRUE(),IF($T109=Constants!$B$3,FALSE(),FALSE())))</f>
        <v/>
      </c>
      <c r="AX109" s="100" t="str">
        <f aca="false">IF(ISBLANK($C109),"",IF(OR($U109&amp;""="1",$U109&amp;""="2",$U109&amp;""="3",$U109&amp;""="4"),VALUE($U109&amp;""),IF($U109=Constants!$B$12,Constants!$B$12,"")))</f>
        <v/>
      </c>
      <c r="AY109" s="100" t="str">
        <f aca="false">IF(ISBLANK($C109),"",IF(ISBLANK($V109),0,IF(ISNUMBER($V109),IF(AND($V109&gt;=0,$V109&lt;=Constants!$B$21,$V109=INT($V109)),$V109,""),"")))</f>
        <v/>
      </c>
      <c r="AZ109" s="100" t="str">
        <f aca="false">IF(ISBLANK($C109),"",IF(ISBLANK($W109),0,IF(ISNUMBER($W109),IF($W109&gt;=0,$W109,""),"")))</f>
        <v/>
      </c>
      <c r="BA109" s="100" t="str">
        <f aca="false">IF(ISBLANK($C109),"",IF($X109=Constants!$B$2,TRUE(),IF($X109=Constants!$B$3,FALSE(),TRUE())))</f>
        <v/>
      </c>
      <c r="BB109" s="100" t="str">
        <f aca="false">IF(ISBLANK($C109),"",IF($Y109=Constants!$B$2,TRUE(),IF($Y109=Constants!$B$3,FALSE(),FALSE())))</f>
        <v/>
      </c>
      <c r="BC109" s="100" t="str">
        <f aca="false">IF(ISBLANK($C109),"",IF(ISBLANK($Z109),0,IF(ISNUMBER($Z109),IF(AND($Z109&gt;=0,$Z109&lt;=Constants!$B$35,$Z109=INT($Z109)),$Z109,""),"")))</f>
        <v/>
      </c>
      <c r="BD109" s="100" t="str">
        <f aca="false">IF(ISBLANK($C109),"",IF($AA109=Constants!$B$2,TRUE(),IF($AA109=Constants!$B$3,FALSE(),TRUE())))</f>
        <v/>
      </c>
      <c r="BE109" s="100" t="str">
        <f aca="false">IF(ISBLANK($C109),"",IF($AB109=Constants!$B$2,TRUE(),IF($AB109=Constants!$B$3,FALSE(),TRUE())))</f>
        <v/>
      </c>
      <c r="BF109" s="100" t="str">
        <f aca="false">IF(ISBLANK($C109),"",IF(ISNUMBER($AC109),IF($AC109&gt;=0,$AC109,""),""))</f>
        <v/>
      </c>
      <c r="BG109" s="100" t="str">
        <f aca="false">IF(ISBLANK($C109),"",IF($AD109=Constants!$B$2,TRUE(),IF($AD109=Constants!$B$3,FALSE(),FALSE())))</f>
        <v/>
      </c>
      <c r="BH109" s="99" t="str">
        <f aca="false">IF(ISBLANK($C109),"",IF($BG109,Constants!$B$7,IF(COUNTA($E109:$AC109)=0,Constants!$B$6,IF(OR(COUNTA($G109:$AC109)=0,NOT($AK109),$AQ109),Constants!$B$5,IF(OR($CI109&lt;&gt;"",$CJ109,$CK109,$CL109,$CM109,$CN109,$CO109),Constants!$B$8,Constants!$B$4)))))</f>
        <v/>
      </c>
      <c r="BI109" s="100" t="str">
        <f aca="false">IF(ISBLANK($C109),"",IF($BH109&lt;&gt;Constants!$B$4,$BH109,IF(OR(NOT($AH109),NOT($AJ109),NOT($AR109)),Constants!$B$11,IF(OR(NOT($AP109),MAX($AL109,$AM109,$AN109)&gt;Constants!$B$30),Constants!$B$10,Constants!$B$9))))</f>
        <v/>
      </c>
      <c r="BJ109" s="100" t="str">
        <f aca="false">IF($BH109&lt;&gt;Constants!$B$4,"",IF(NOT($AJ109),0,MIN(Constants!$B$35,$BC109)))</f>
        <v/>
      </c>
      <c r="BK109" s="100" t="str">
        <f aca="false">IF($BH109&lt;&gt;Constants!$B$4,"",IF(NOT($AJ109),0,IF($AT109,Constants!$B$18,IF($AS109,Constants!$B$17,0))))</f>
        <v/>
      </c>
      <c r="BL109" s="100" t="str">
        <f aca="false">IF($BH109&lt;&gt;Constants!$B$4,"",IF(NOT($AJ109),0,Constants!$B$19*($AI109+$AU109+$AV109+$AW109)))</f>
        <v/>
      </c>
      <c r="BM109" s="100" t="str">
        <f aca="false">IF($BH109&lt;&gt;Constants!$B$4,"",IF(OR(NOT($AJ109),NOT(ISNUMBER($AX109))),0,CHOOSE($AX109,Constants!$B$13,Constants!$B$14,Constants!$B$15,Constants!$B$16)))</f>
        <v/>
      </c>
      <c r="BN109" s="100" t="str">
        <f aca="false">IF($BH109&lt;&gt;Constants!$B$4,"",IF(NOT($AJ109),0,Constants!$B$20*$AY109))</f>
        <v/>
      </c>
      <c r="BO109" s="100" t="str">
        <f aca="false">IF($BH109&lt;&gt;Constants!$B$4,"",IF(AND($AJ109,$BA109,$BB109),Constants!$B$22,0))</f>
        <v/>
      </c>
      <c r="BP109" s="100" t="str">
        <f aca="false">IF($BH109&lt;&gt;Constants!$B$4,"",IF(OR(NOT($AJ109),NOT($BA109)),0,IF($BF109&gt;=2*$AF$9,0,Constants!$B$23*INT(ROUND(MIN($BF109,$AF$9),6)))))</f>
        <v/>
      </c>
      <c r="BQ109" s="100" t="str">
        <f aca="false">IF($BH109&lt;&gt;Constants!$B$4,"",IF(NOT($AJ109),0,Constants!$B$24*INT(ROUND(MIN($AZ109,$AF$9),6))))</f>
        <v/>
      </c>
      <c r="BR109" s="100" t="str">
        <f aca="false">IF($BH109&lt;&gt;Constants!$B$4,"",IF(AND($AJ109,$BJ109=0),Constants!$B$25,0))</f>
        <v/>
      </c>
      <c r="BS109" s="100" t="str">
        <f aca="false">IF($BH109&lt;&gt;Constants!$B$4,"",MIN(Constants!$B$29,MAX(0,Constants!$B$27*Constants!$B$28*INT(ROUND((Constants!$B$26-$AL109)/Constants!$B$28,6))))+MIN(Constants!$B$29,MAX(0,Constants!$B$27*Constants!$B$28*INT(ROUND((Constants!$B$26-$AM109)/Constants!$B$28,6))))+MIN(Constants!$B$29,MAX(0,Constants!$B$27*Constants!$B$28*INT(ROUND((Constants!$B$26-$AN109)/Constants!$B$28,6)))))</f>
        <v/>
      </c>
      <c r="BT109" s="100" t="str">
        <f aca="false">IF($BH109&lt;&gt;Constants!$B$4,"",IF(NOT($AJ109),0,Constants!$B$31*INT(ROUND(MAX(0,MIN($BF109,2*$AF$9)-$AF$9),6))))</f>
        <v/>
      </c>
      <c r="BU109" s="100" t="str">
        <f aca="false">IF($BH109&lt;&gt;Constants!$B$4,"",Constants!$B$32*(($AL109&gt;Constants!$B$26)+($AM109&gt;Constants!$B$26)+($AN109&gt;Constants!$B$26)))</f>
        <v/>
      </c>
      <c r="BV109" s="100" t="str">
        <f aca="false">IF($BH109&lt;&gt;Constants!$B$4,"",IF(OR(NOT($AJ109),$AO109),0,Constants!$B$33))</f>
        <v/>
      </c>
      <c r="BW109" s="100" t="str">
        <f aca="false">IF($BH109&lt;&gt;Constants!$B$4,"",Constants!$B$34*$BJ109)</f>
        <v/>
      </c>
      <c r="BX109" s="100" t="str">
        <f aca="false">IF($BH109&lt;&gt;Constants!$B$4,"",IF(OR(NOT($AJ109),$BE109),0,Constants!$B$36))</f>
        <v/>
      </c>
      <c r="BY109" s="100" t="str">
        <f aca="false">IF($BH109&lt;&gt;Constants!$B$4,"",IF(OR(NOT($AJ109),$BD109),0,Constants!$B$37))</f>
        <v/>
      </c>
      <c r="BZ109" s="100" t="str">
        <f aca="false">IF($BH109&lt;&gt;Constants!$B$4,"",SUM($BT109:$BY109))</f>
        <v/>
      </c>
      <c r="CA109" s="100" t="str">
        <f aca="false">IF(ISBLANK($C109),"",IF($BH109&lt;&gt;Constants!$B$4,$BH109,SUM($BK109:$BS109)-$BZ109))</f>
        <v/>
      </c>
      <c r="CB109" s="100" t="str">
        <f aca="false">IF(ISBLANK($C109),"",IF($BH109&lt;&gt;Constants!$B$4,$BH109,RANK($CA109,$CA$9:$CA$508)))</f>
        <v/>
      </c>
      <c r="CC109" s="100" t="str">
        <f aca="false">IF(ISBLANK($C109),"",IF($BH109&lt;&gt;Constants!$B$4,$BH109,COUNTIFS($BI$9:$BI$508,"&lt;"&amp;$BI109)+COUNTIFS($BI$9:$BI$508,$BI109,$CB$9:$CB$508,"&lt;"&amp;$CB109)+1))</f>
        <v/>
      </c>
      <c r="CD109" s="100" t="str">
        <f aca="false">IF(ISBLANK($C109),"",IF($BH109&lt;&gt;Constants!$B$4,$BH109,RANK($BZ109,$BZ$9:$BZ$508,1)))</f>
        <v/>
      </c>
      <c r="CE109" s="100" t="str">
        <f aca="false">IF($BH109&lt;&gt;Constants!$B$4,"",$AL109+$AM109+$AN109)</f>
        <v/>
      </c>
      <c r="CF109" s="100" t="str">
        <f aca="false">IF(ISBLANK($C109),"",IF($BH109&lt;&gt;Constants!$B$4,$BH109,RANK($CE109,$CE$9:$CE$508,1)))</f>
        <v/>
      </c>
      <c r="CG109" s="100" t="str">
        <f aca="false">IF(ISBLANK($C109),"",IF($BH109&lt;&gt;Constants!$B$4,$BH109,COUNTIFS($BI$9:$BI$508,"&lt;"&amp;$BI109)+COUNTIFS($BI$9:$BI$508,$BI109,$CB$9:$CB$508,"&lt;"&amp;$CB109)+COUNTIFS($BI$9:$BI$508,$BI109,$CB$9:$CB$508,$CB109,$CD$9:$CD$508,"&lt;"&amp;$CD109)+COUNTIFS($BI$9:$BI$508,$BI109,$CB$9:$CB$508,$CB109,$CD$9:$CD$508,$CD109,$CF$9:$CF$508,"&lt;"&amp;$CF109)+1))</f>
        <v/>
      </c>
      <c r="CH109" s="100" t="str">
        <f aca="false">IF(ISBLANK($C109),"",IF($BH109&lt;&gt;Constants!$B$4,$BH109,$CC109-$CG109))</f>
        <v/>
      </c>
      <c r="CI109" s="100" t="str">
        <f aca="false">IF(ISBLANK($C109),"",IF(NOT($AJ109),"",IF(ISBLANK($D$7),$CI$5,IF(NOT(ISNUMBER($D$7)),$CI$6,""))))</f>
        <v/>
      </c>
      <c r="CJ109" s="100" t="str">
        <f aca="false">IF(ISBLANK($C109),"",OR($AL109="",$AM109="",$AN109=""))</f>
        <v/>
      </c>
      <c r="CK109" s="100" t="str">
        <f aca="false">IF(ISBLANK($C109),"",AND($AJ109,$AX109=""))</f>
        <v/>
      </c>
      <c r="CL109" s="100" t="str">
        <f aca="false">IF(ISBLANK($C109),"",AND($AJ109,$AY109=""))</f>
        <v/>
      </c>
      <c r="CM109" s="100" t="str">
        <f aca="false">IF(ISBLANK($C109),"",AND($AJ109,$AZ109=""))</f>
        <v/>
      </c>
      <c r="CN109" s="100" t="str">
        <f aca="false">IF(ISBLANK($C109),"",AND($AJ109,$BC109=""))</f>
        <v/>
      </c>
      <c r="CO109" s="100" t="str">
        <f aca="false">IF(ISBLANK($C109),"",AND($AJ109,$BF109=""))</f>
        <v/>
      </c>
      <c r="CP109" s="101"/>
      <c r="CQ109" s="102"/>
      <c r="CR109" s="103" t="str">
        <f aca="false">IF(ISBLANK($C109),"",IF($BH109=Constants!$B$8,$CI109,""))</f>
        <v/>
      </c>
      <c r="CS109" s="102" t="str">
        <f aca="false">IF(ISBLANK($C109),"",IF($BH109&lt;&gt;Constants!$B$4,"",$BK109+$BL109))</f>
        <v/>
      </c>
      <c r="CT109" s="104" t="str">
        <f aca="false">IF(ISBLANK($C109),"",IF($BH109&lt;&gt;Constants!$B$4,"",$BM109+$BN109+$BO109))</f>
        <v/>
      </c>
      <c r="CU109" s="104" t="str">
        <f aca="false">IF(ISBLANK($C109),"",IF($BH109&lt;&gt;Constants!$B$4,"",$BP109))</f>
        <v/>
      </c>
      <c r="CV109" s="104" t="str">
        <f aca="false">IF(ISBLANK($C109),"",IF($BH109&lt;&gt;Constants!$B$4,"",$BQ109+$BR109))</f>
        <v/>
      </c>
      <c r="CW109" s="104" t="str">
        <f aca="false">IF(ISBLANK($C109),"",IF($BH109&lt;&gt;Constants!$B$4,"",$BS109))</f>
        <v/>
      </c>
      <c r="CX109" s="104" t="str">
        <f aca="false">IF(ISBLANK($C109),"",IF($BH109&lt;&gt;Constants!$B$4,"",-$BZ109))</f>
        <v/>
      </c>
      <c r="CY109" s="103" t="str">
        <f aca="false">IF(ISBLANK($C109),"",$CA109)</f>
        <v/>
      </c>
      <c r="CZ109" s="105" t="str">
        <f aca="false">IF(ISBLANK($C109),"",$BI109)</f>
        <v/>
      </c>
      <c r="DA109" s="104" t="str">
        <f aca="false">IF(ISBLANK($C109),"",$CH109)</f>
        <v/>
      </c>
      <c r="DB109" s="104" t="str">
        <f aca="false">IF(ISBLANK($C109),"",$CG109)</f>
        <v/>
      </c>
      <c r="DC109" s="106" t="str">
        <f aca="false">IF(ISBLANK($C109),"",IFERROR(_xlfn.SWITCH($DB109,Constants!$B$7,COUNTA($C$9:$C$508)+2,Constants!$B$6,COUNTA($C$9:$C$508)+1,Constants!$B$5,COUNTA($C$9:$C$508)),$DB109))</f>
        <v/>
      </c>
      <c r="DD109" s="7"/>
      <c r="DE109" s="107" t="n">
        <f aca="false">IF(OR(ISNUMBER($DB109),$DB109=Constants!$B$7,$DB109=Constants!$B$5,$DB109=Constants!$B$6),1,0)</f>
        <v>0</v>
      </c>
      <c r="DF109" s="107" t="n">
        <v>101</v>
      </c>
      <c r="DG109" s="107" t="str">
        <f aca="false">IF(ISBLANK($C109),"",IF(ISNUMBER($DC109),$DC109+ROW($B109)/1000,""))</f>
        <v/>
      </c>
      <c r="DH109" s="107" t="str">
        <f aca="false">IF(ISNUMBER($DG109),RANK($DG109,$DG$9:$DG$508,1),"")</f>
        <v/>
      </c>
      <c r="DI109" s="107" t="str">
        <f aca="false">IF(ISBLANK($C109),"",$B109)</f>
        <v/>
      </c>
      <c r="DJ109" s="107" t="str">
        <f aca="false">IF(ISBLANK($C109),"",$C109)</f>
        <v/>
      </c>
      <c r="DK109" s="107" t="str">
        <f aca="false">IF(ISBLANK($C109),"",$D109)</f>
        <v/>
      </c>
      <c r="DL109" s="108" t="str">
        <f aca="false">$CZ109</f>
        <v/>
      </c>
      <c r="DM109" s="109" t="str">
        <f aca="false">$CY109</f>
        <v/>
      </c>
      <c r="DN109" s="107" t="str">
        <f aca="false">IF(ISBLANK($C109),"",$DB109)</f>
        <v/>
      </c>
      <c r="DO109" s="110" t="str">
        <f aca="false">IF($DF109&gt;$DE$8,"",VLOOKUP($DF109,$DH$9:$DN$508,7,FALSE()))</f>
        <v/>
      </c>
      <c r="DP109" s="111" t="str">
        <f aca="false">IF($DF109&gt;$DE$8,"",VLOOKUP($DF109,$DH$9:$DN$508,2,FALSE()))</f>
        <v/>
      </c>
      <c r="DQ109" s="111" t="str">
        <f aca="false">IF($DF109&gt;$DE$8,"",VLOOKUP($DF109,$DH$9:$DN$508,3,FALSE()))</f>
        <v/>
      </c>
      <c r="DR109" s="111" t="str">
        <f aca="false">IF($DF109&gt;$DE$8,"",VLOOKUP($DF109,$DH$9:$DN$508,4,FALSE()))</f>
        <v/>
      </c>
      <c r="DS109" s="111" t="str">
        <f aca="false">IF($DF109&gt;$DE$8,"",VLOOKUP($DF109,$DH$9:$DN$508,5,FALSE()))</f>
        <v/>
      </c>
      <c r="DT109" s="112" t="str">
        <f aca="false">IF($DF109&gt;$DE$8,"",VLOOKUP($DF109,$DH$9:$DN$508,6,FALSE()))</f>
        <v/>
      </c>
      <c r="DU109" s="62"/>
    </row>
    <row r="110" customFormat="false" ht="15.75" hidden="false" customHeight="false" outlineLevel="0" collapsed="false">
      <c r="A110" s="7"/>
      <c r="B110" s="90"/>
      <c r="C110" s="91"/>
      <c r="D110" s="126"/>
      <c r="E110" s="130"/>
      <c r="F110" s="135"/>
      <c r="G110" s="130"/>
      <c r="H110" s="135"/>
      <c r="I110" s="131"/>
      <c r="J110" s="131"/>
      <c r="K110" s="131"/>
      <c r="L110" s="130"/>
      <c r="M110" s="130"/>
      <c r="N110" s="130"/>
      <c r="O110" s="135"/>
      <c r="P110" s="130"/>
      <c r="Q110" s="130"/>
      <c r="R110" s="130"/>
      <c r="S110" s="130"/>
      <c r="T110" s="135"/>
      <c r="U110" s="130"/>
      <c r="V110" s="96"/>
      <c r="W110" s="130"/>
      <c r="X110" s="130"/>
      <c r="Y110" s="96"/>
      <c r="Z110" s="96"/>
      <c r="AA110" s="130"/>
      <c r="AB110" s="130"/>
      <c r="AC110" s="97"/>
      <c r="AD110" s="130"/>
      <c r="AE110" s="99"/>
      <c r="AF110" s="100"/>
      <c r="AG110" s="100"/>
      <c r="AH110" s="100" t="str">
        <f aca="false">IF(ISBLANK($C110),"",IF($E110=Constants!$B$2,TRUE(),IF($E110=Constants!$B$3,FALSE(),TRUE())))</f>
        <v/>
      </c>
      <c r="AI110" s="100" t="str">
        <f aca="false">IF(ISBLANK($C110),"",IF($F110=Constants!$B$2,TRUE(),IF($F110=Constants!$B$3,FALSE(),FALSE())))</f>
        <v/>
      </c>
      <c r="AJ110" s="100" t="str">
        <f aca="false">IF(ISBLANK($C110),"",IF($G110=Constants!$B$2,TRUE(),IF($G110=Constants!$B$3,FALSE(),TRUE())))</f>
        <v/>
      </c>
      <c r="AK110" s="100" t="str">
        <f aca="false">IF(ISBLANK($C110),"",IF($H110=Constants!$B$2,TRUE(),IF($H110=Constants!$B$3,FALSE(),TRUE())))</f>
        <v/>
      </c>
      <c r="AL110" s="100" t="str">
        <f aca="false">IF(ISBLANK($C110),"",IF(ISNUMBER($I110),IF($I110&gt;=0,$I110,""),""))</f>
        <v/>
      </c>
      <c r="AM110" s="100" t="str">
        <f aca="false">IF(ISBLANK($C110),"",IF(ISNUMBER($J110),IF($J110&gt;=0,$J110,""),""))</f>
        <v/>
      </c>
      <c r="AN110" s="100" t="str">
        <f aca="false">IF(ISBLANK($C110),"",IF(ISNUMBER($K110),IF($K110&gt;=0,$K110,""),""))</f>
        <v/>
      </c>
      <c r="AO110" s="100" t="str">
        <f aca="false">IF(ISBLANK($C110),"",IF($L110=Constants!$B$2,TRUE(),IF($L110=Constants!$B$3,FALSE(),TRUE())))</f>
        <v/>
      </c>
      <c r="AP110" s="100" t="str">
        <f aca="false">IF(ISBLANK($C110),"",IF($M110=Constants!$B$2,TRUE(),IF($M110=Constants!$B$3,FALSE(),TRUE())))</f>
        <v/>
      </c>
      <c r="AQ110" s="100" t="str">
        <f aca="false">IF(ISBLANK($C110),"",IF($N110=Constants!$B$2,TRUE(),IF($N110=Constants!$B$3,FALSE(),FALSE())))</f>
        <v/>
      </c>
      <c r="AR110" s="100" t="str">
        <f aca="false">IF(ISBLANK($C110),"",IF($O110=Constants!$B$2,TRUE(),IF($O110=Constants!$B$3,FALSE(),TRUE())))</f>
        <v/>
      </c>
      <c r="AS110" s="100" t="str">
        <f aca="false">IF(ISBLANK($C110),"",IF($P110=Constants!$B$2,TRUE(),IF($P110=Constants!$B$3,FALSE(),FALSE())))</f>
        <v/>
      </c>
      <c r="AT110" s="100" t="str">
        <f aca="false">IF(ISBLANK($C110),"",IF($Q110=Constants!$B$2,TRUE(),IF($Q110=Constants!$B$3,FALSE(),FALSE())))</f>
        <v/>
      </c>
      <c r="AU110" s="100" t="str">
        <f aca="false">IF(ISBLANK($C110),"",IF($R110=Constants!$B$2,TRUE(),IF($R110=Constants!$B$3,FALSE(),FALSE())))</f>
        <v/>
      </c>
      <c r="AV110" s="100" t="str">
        <f aca="false">IF(ISBLANK($C110),"",IF($S110=Constants!$B$2,TRUE(),IF($S110=Constants!$B$3,FALSE(),FALSE())))</f>
        <v/>
      </c>
      <c r="AW110" s="100" t="str">
        <f aca="false">IF(ISBLANK($C110),"",IF($T110=Constants!$B$2,TRUE(),IF($T110=Constants!$B$3,FALSE(),FALSE())))</f>
        <v/>
      </c>
      <c r="AX110" s="100" t="str">
        <f aca="false">IF(ISBLANK($C110),"",IF(OR($U110&amp;""="1",$U110&amp;""="2",$U110&amp;""="3",$U110&amp;""="4"),VALUE($U110&amp;""),IF($U110=Constants!$B$12,Constants!$B$12,"")))</f>
        <v/>
      </c>
      <c r="AY110" s="100" t="str">
        <f aca="false">IF(ISBLANK($C110),"",IF(ISBLANK($V110),0,IF(ISNUMBER($V110),IF(AND($V110&gt;=0,$V110&lt;=Constants!$B$21,$V110=INT($V110)),$V110,""),"")))</f>
        <v/>
      </c>
      <c r="AZ110" s="100" t="str">
        <f aca="false">IF(ISBLANK($C110),"",IF(ISBLANK($W110),0,IF(ISNUMBER($W110),IF($W110&gt;=0,$W110,""),"")))</f>
        <v/>
      </c>
      <c r="BA110" s="100" t="str">
        <f aca="false">IF(ISBLANK($C110),"",IF($X110=Constants!$B$2,TRUE(),IF($X110=Constants!$B$3,FALSE(),TRUE())))</f>
        <v/>
      </c>
      <c r="BB110" s="100" t="str">
        <f aca="false">IF(ISBLANK($C110),"",IF($Y110=Constants!$B$2,TRUE(),IF($Y110=Constants!$B$3,FALSE(),FALSE())))</f>
        <v/>
      </c>
      <c r="BC110" s="100" t="str">
        <f aca="false">IF(ISBLANK($C110),"",IF(ISBLANK($Z110),0,IF(ISNUMBER($Z110),IF(AND($Z110&gt;=0,$Z110&lt;=Constants!$B$35,$Z110=INT($Z110)),$Z110,""),"")))</f>
        <v/>
      </c>
      <c r="BD110" s="100" t="str">
        <f aca="false">IF(ISBLANK($C110),"",IF($AA110=Constants!$B$2,TRUE(),IF($AA110=Constants!$B$3,FALSE(),TRUE())))</f>
        <v/>
      </c>
      <c r="BE110" s="100" t="str">
        <f aca="false">IF(ISBLANK($C110),"",IF($AB110=Constants!$B$2,TRUE(),IF($AB110=Constants!$B$3,FALSE(),TRUE())))</f>
        <v/>
      </c>
      <c r="BF110" s="100" t="str">
        <f aca="false">IF(ISBLANK($C110),"",IF(ISNUMBER($AC110),IF($AC110&gt;=0,$AC110,""),""))</f>
        <v/>
      </c>
      <c r="BG110" s="100" t="str">
        <f aca="false">IF(ISBLANK($C110),"",IF($AD110=Constants!$B$2,TRUE(),IF($AD110=Constants!$B$3,FALSE(),FALSE())))</f>
        <v/>
      </c>
      <c r="BH110" s="99" t="str">
        <f aca="false">IF(ISBLANK($C110),"",IF($BG110,Constants!$B$7,IF(COUNTA($E110:$AC110)=0,Constants!$B$6,IF(OR(COUNTA($G110:$AC110)=0,NOT($AK110),$AQ110),Constants!$B$5,IF(OR($CI110&lt;&gt;"",$CJ110,$CK110,$CL110,$CM110,$CN110,$CO110),Constants!$B$8,Constants!$B$4)))))</f>
        <v/>
      </c>
      <c r="BI110" s="100" t="str">
        <f aca="false">IF(ISBLANK($C110),"",IF($BH110&lt;&gt;Constants!$B$4,$BH110,IF(OR(NOT($AH110),NOT($AJ110),NOT($AR110)),Constants!$B$11,IF(OR(NOT($AP110),MAX($AL110,$AM110,$AN110)&gt;Constants!$B$30),Constants!$B$10,Constants!$B$9))))</f>
        <v/>
      </c>
      <c r="BJ110" s="100" t="str">
        <f aca="false">IF($BH110&lt;&gt;Constants!$B$4,"",IF(NOT($AJ110),0,MIN(Constants!$B$35,$BC110)))</f>
        <v/>
      </c>
      <c r="BK110" s="100" t="str">
        <f aca="false">IF($BH110&lt;&gt;Constants!$B$4,"",IF(NOT($AJ110),0,IF($AT110,Constants!$B$18,IF($AS110,Constants!$B$17,0))))</f>
        <v/>
      </c>
      <c r="BL110" s="100" t="str">
        <f aca="false">IF($BH110&lt;&gt;Constants!$B$4,"",IF(NOT($AJ110),0,Constants!$B$19*($AI110+$AU110+$AV110+$AW110)))</f>
        <v/>
      </c>
      <c r="BM110" s="100" t="str">
        <f aca="false">IF($BH110&lt;&gt;Constants!$B$4,"",IF(OR(NOT($AJ110),NOT(ISNUMBER($AX110))),0,CHOOSE($AX110,Constants!$B$13,Constants!$B$14,Constants!$B$15,Constants!$B$16)))</f>
        <v/>
      </c>
      <c r="BN110" s="100" t="str">
        <f aca="false">IF($BH110&lt;&gt;Constants!$B$4,"",IF(NOT($AJ110),0,Constants!$B$20*$AY110))</f>
        <v/>
      </c>
      <c r="BO110" s="100" t="str">
        <f aca="false">IF($BH110&lt;&gt;Constants!$B$4,"",IF(AND($AJ110,$BA110,$BB110),Constants!$B$22,0))</f>
        <v/>
      </c>
      <c r="BP110" s="100" t="str">
        <f aca="false">IF($BH110&lt;&gt;Constants!$B$4,"",IF(OR(NOT($AJ110),NOT($BA110)),0,IF($BF110&gt;=2*$AF$9,0,Constants!$B$23*INT(ROUND(MIN($BF110,$AF$9),6)))))</f>
        <v/>
      </c>
      <c r="BQ110" s="100" t="str">
        <f aca="false">IF($BH110&lt;&gt;Constants!$B$4,"",IF(NOT($AJ110),0,Constants!$B$24*INT(ROUND(MIN($AZ110,$AF$9),6))))</f>
        <v/>
      </c>
      <c r="BR110" s="100" t="str">
        <f aca="false">IF($BH110&lt;&gt;Constants!$B$4,"",IF(AND($AJ110,$BJ110=0),Constants!$B$25,0))</f>
        <v/>
      </c>
      <c r="BS110" s="100" t="str">
        <f aca="false">IF($BH110&lt;&gt;Constants!$B$4,"",MIN(Constants!$B$29,MAX(0,Constants!$B$27*Constants!$B$28*INT(ROUND((Constants!$B$26-$AL110)/Constants!$B$28,6))))+MIN(Constants!$B$29,MAX(0,Constants!$B$27*Constants!$B$28*INT(ROUND((Constants!$B$26-$AM110)/Constants!$B$28,6))))+MIN(Constants!$B$29,MAX(0,Constants!$B$27*Constants!$B$28*INT(ROUND((Constants!$B$26-$AN110)/Constants!$B$28,6)))))</f>
        <v/>
      </c>
      <c r="BT110" s="100" t="str">
        <f aca="false">IF($BH110&lt;&gt;Constants!$B$4,"",IF(NOT($AJ110),0,Constants!$B$31*INT(ROUND(MAX(0,MIN($BF110,2*$AF$9)-$AF$9),6))))</f>
        <v/>
      </c>
      <c r="BU110" s="100" t="str">
        <f aca="false">IF($BH110&lt;&gt;Constants!$B$4,"",Constants!$B$32*(($AL110&gt;Constants!$B$26)+($AM110&gt;Constants!$B$26)+($AN110&gt;Constants!$B$26)))</f>
        <v/>
      </c>
      <c r="BV110" s="100" t="str">
        <f aca="false">IF($BH110&lt;&gt;Constants!$B$4,"",IF(OR(NOT($AJ110),$AO110),0,Constants!$B$33))</f>
        <v/>
      </c>
      <c r="BW110" s="100" t="str">
        <f aca="false">IF($BH110&lt;&gt;Constants!$B$4,"",Constants!$B$34*$BJ110)</f>
        <v/>
      </c>
      <c r="BX110" s="100" t="str">
        <f aca="false">IF($BH110&lt;&gt;Constants!$B$4,"",IF(OR(NOT($AJ110),$BE110),0,Constants!$B$36))</f>
        <v/>
      </c>
      <c r="BY110" s="100" t="str">
        <f aca="false">IF($BH110&lt;&gt;Constants!$B$4,"",IF(OR(NOT($AJ110),$BD110),0,Constants!$B$37))</f>
        <v/>
      </c>
      <c r="BZ110" s="100" t="str">
        <f aca="false">IF($BH110&lt;&gt;Constants!$B$4,"",SUM($BT110:$BY110))</f>
        <v/>
      </c>
      <c r="CA110" s="100" t="str">
        <f aca="false">IF(ISBLANK($C110),"",IF($BH110&lt;&gt;Constants!$B$4,$BH110,SUM($BK110:$BS110)-$BZ110))</f>
        <v/>
      </c>
      <c r="CB110" s="100" t="str">
        <f aca="false">IF(ISBLANK($C110),"",IF($BH110&lt;&gt;Constants!$B$4,$BH110,RANK($CA110,$CA$9:$CA$508)))</f>
        <v/>
      </c>
      <c r="CC110" s="100" t="str">
        <f aca="false">IF(ISBLANK($C110),"",IF($BH110&lt;&gt;Constants!$B$4,$BH110,COUNTIFS($BI$9:$BI$508,"&lt;"&amp;$BI110)+COUNTIFS($BI$9:$BI$508,$BI110,$CB$9:$CB$508,"&lt;"&amp;$CB110)+1))</f>
        <v/>
      </c>
      <c r="CD110" s="100" t="str">
        <f aca="false">IF(ISBLANK($C110),"",IF($BH110&lt;&gt;Constants!$B$4,$BH110,RANK($BZ110,$BZ$9:$BZ$508,1)))</f>
        <v/>
      </c>
      <c r="CE110" s="100" t="str">
        <f aca="false">IF($BH110&lt;&gt;Constants!$B$4,"",$AL110+$AM110+$AN110)</f>
        <v/>
      </c>
      <c r="CF110" s="100" t="str">
        <f aca="false">IF(ISBLANK($C110),"",IF($BH110&lt;&gt;Constants!$B$4,$BH110,RANK($CE110,$CE$9:$CE$508,1)))</f>
        <v/>
      </c>
      <c r="CG110" s="100" t="str">
        <f aca="false">IF(ISBLANK($C110),"",IF($BH110&lt;&gt;Constants!$B$4,$BH110,COUNTIFS($BI$9:$BI$508,"&lt;"&amp;$BI110)+COUNTIFS($BI$9:$BI$508,$BI110,$CB$9:$CB$508,"&lt;"&amp;$CB110)+COUNTIFS($BI$9:$BI$508,$BI110,$CB$9:$CB$508,$CB110,$CD$9:$CD$508,"&lt;"&amp;$CD110)+COUNTIFS($BI$9:$BI$508,$BI110,$CB$9:$CB$508,$CB110,$CD$9:$CD$508,$CD110,$CF$9:$CF$508,"&lt;"&amp;$CF110)+1))</f>
        <v/>
      </c>
      <c r="CH110" s="100" t="str">
        <f aca="false">IF(ISBLANK($C110),"",IF($BH110&lt;&gt;Constants!$B$4,$BH110,$CC110-$CG110))</f>
        <v/>
      </c>
      <c r="CI110" s="100" t="str">
        <f aca="false">IF(ISBLANK($C110),"",IF(NOT($AJ110),"",IF(ISBLANK($D$7),$CI$5,IF(NOT(ISNUMBER($D$7)),$CI$6,""))))</f>
        <v/>
      </c>
      <c r="CJ110" s="100" t="str">
        <f aca="false">IF(ISBLANK($C110),"",OR($AL110="",$AM110="",$AN110=""))</f>
        <v/>
      </c>
      <c r="CK110" s="100" t="str">
        <f aca="false">IF(ISBLANK($C110),"",AND($AJ110,$AX110=""))</f>
        <v/>
      </c>
      <c r="CL110" s="100" t="str">
        <f aca="false">IF(ISBLANK($C110),"",AND($AJ110,$AY110=""))</f>
        <v/>
      </c>
      <c r="CM110" s="100" t="str">
        <f aca="false">IF(ISBLANK($C110),"",AND($AJ110,$AZ110=""))</f>
        <v/>
      </c>
      <c r="CN110" s="100" t="str">
        <f aca="false">IF(ISBLANK($C110),"",AND($AJ110,$BC110=""))</f>
        <v/>
      </c>
      <c r="CO110" s="100" t="str">
        <f aca="false">IF(ISBLANK($C110),"",AND($AJ110,$BF110=""))</f>
        <v/>
      </c>
      <c r="CP110" s="101"/>
      <c r="CQ110" s="102"/>
      <c r="CR110" s="103" t="str">
        <f aca="false">IF(ISBLANK($C110),"",IF($BH110=Constants!$B$8,$CI110,""))</f>
        <v/>
      </c>
      <c r="CS110" s="102" t="str">
        <f aca="false">IF(ISBLANK($C110),"",IF($BH110&lt;&gt;Constants!$B$4,"",$BK110+$BL110))</f>
        <v/>
      </c>
      <c r="CT110" s="104" t="str">
        <f aca="false">IF(ISBLANK($C110),"",IF($BH110&lt;&gt;Constants!$B$4,"",$BM110+$BN110+$BO110))</f>
        <v/>
      </c>
      <c r="CU110" s="104" t="str">
        <f aca="false">IF(ISBLANK($C110),"",IF($BH110&lt;&gt;Constants!$B$4,"",$BP110))</f>
        <v/>
      </c>
      <c r="CV110" s="104" t="str">
        <f aca="false">IF(ISBLANK($C110),"",IF($BH110&lt;&gt;Constants!$B$4,"",$BQ110+$BR110))</f>
        <v/>
      </c>
      <c r="CW110" s="104" t="str">
        <f aca="false">IF(ISBLANK($C110),"",IF($BH110&lt;&gt;Constants!$B$4,"",$BS110))</f>
        <v/>
      </c>
      <c r="CX110" s="104" t="str">
        <f aca="false">IF(ISBLANK($C110),"",IF($BH110&lt;&gt;Constants!$B$4,"",-$BZ110))</f>
        <v/>
      </c>
      <c r="CY110" s="103" t="str">
        <f aca="false">IF(ISBLANK($C110),"",$CA110)</f>
        <v/>
      </c>
      <c r="CZ110" s="105" t="str">
        <f aca="false">IF(ISBLANK($C110),"",$BI110)</f>
        <v/>
      </c>
      <c r="DA110" s="104" t="str">
        <f aca="false">IF(ISBLANK($C110),"",$CH110)</f>
        <v/>
      </c>
      <c r="DB110" s="104" t="str">
        <f aca="false">IF(ISBLANK($C110),"",$CG110)</f>
        <v/>
      </c>
      <c r="DC110" s="106" t="str">
        <f aca="false">IF(ISBLANK($C110),"",IFERROR(_xlfn.SWITCH($DB110,Constants!$B$7,COUNTA($C$9:$C$508)+2,Constants!$B$6,COUNTA($C$9:$C$508)+1,Constants!$B$5,COUNTA($C$9:$C$508)),$DB110))</f>
        <v/>
      </c>
      <c r="DD110" s="7"/>
      <c r="DE110" s="107" t="n">
        <f aca="false">IF(OR(ISNUMBER($DB110),$DB110=Constants!$B$7,$DB110=Constants!$B$5,$DB110=Constants!$B$6),1,0)</f>
        <v>0</v>
      </c>
      <c r="DF110" s="107" t="n">
        <v>102</v>
      </c>
      <c r="DG110" s="107" t="str">
        <f aca="false">IF(ISBLANK($C110),"",IF(ISNUMBER($DC110),$DC110+ROW($B110)/1000,""))</f>
        <v/>
      </c>
      <c r="DH110" s="107" t="str">
        <f aca="false">IF(ISNUMBER($DG110),RANK($DG110,$DG$9:$DG$508,1),"")</f>
        <v/>
      </c>
      <c r="DI110" s="107" t="str">
        <f aca="false">IF(ISBLANK($C110),"",$B110)</f>
        <v/>
      </c>
      <c r="DJ110" s="107" t="str">
        <f aca="false">IF(ISBLANK($C110),"",$C110)</f>
        <v/>
      </c>
      <c r="DK110" s="107" t="str">
        <f aca="false">IF(ISBLANK($C110),"",$D110)</f>
        <v/>
      </c>
      <c r="DL110" s="108" t="str">
        <f aca="false">$CZ110</f>
        <v/>
      </c>
      <c r="DM110" s="109" t="str">
        <f aca="false">$CY110</f>
        <v/>
      </c>
      <c r="DN110" s="107" t="str">
        <f aca="false">IF(ISBLANK($C110),"",$DB110)</f>
        <v/>
      </c>
      <c r="DO110" s="110" t="str">
        <f aca="false">IF($DF110&gt;$DE$8,"",VLOOKUP($DF110,$DH$9:$DN$508,7,FALSE()))</f>
        <v/>
      </c>
      <c r="DP110" s="111" t="str">
        <f aca="false">IF($DF110&gt;$DE$8,"",VLOOKUP($DF110,$DH$9:$DN$508,2,FALSE()))</f>
        <v/>
      </c>
      <c r="DQ110" s="111" t="str">
        <f aca="false">IF($DF110&gt;$DE$8,"",VLOOKUP($DF110,$DH$9:$DN$508,3,FALSE()))</f>
        <v/>
      </c>
      <c r="DR110" s="111" t="str">
        <f aca="false">IF($DF110&gt;$DE$8,"",VLOOKUP($DF110,$DH$9:$DN$508,4,FALSE()))</f>
        <v/>
      </c>
      <c r="DS110" s="111" t="str">
        <f aca="false">IF($DF110&gt;$DE$8,"",VLOOKUP($DF110,$DH$9:$DN$508,5,FALSE()))</f>
        <v/>
      </c>
      <c r="DT110" s="112" t="str">
        <f aca="false">IF($DF110&gt;$DE$8,"",VLOOKUP($DF110,$DH$9:$DN$508,6,FALSE()))</f>
        <v/>
      </c>
      <c r="DU110" s="62"/>
    </row>
    <row r="111" customFormat="false" ht="15.75" hidden="false" customHeight="false" outlineLevel="0" collapsed="false">
      <c r="A111" s="7"/>
      <c r="B111" s="64"/>
      <c r="C111" s="65"/>
      <c r="D111" s="123"/>
      <c r="E111" s="88"/>
      <c r="F111" s="134"/>
      <c r="G111" s="88"/>
      <c r="H111" s="134"/>
      <c r="I111" s="119"/>
      <c r="J111" s="119"/>
      <c r="K111" s="119"/>
      <c r="L111" s="88"/>
      <c r="M111" s="88"/>
      <c r="N111" s="88"/>
      <c r="O111" s="134"/>
      <c r="P111" s="88"/>
      <c r="Q111" s="88"/>
      <c r="R111" s="88"/>
      <c r="S111" s="88"/>
      <c r="T111" s="134"/>
      <c r="U111" s="88"/>
      <c r="V111" s="70"/>
      <c r="W111" s="88"/>
      <c r="X111" s="88"/>
      <c r="Y111" s="70"/>
      <c r="Z111" s="70"/>
      <c r="AA111" s="88"/>
      <c r="AB111" s="88"/>
      <c r="AC111" s="71"/>
      <c r="AD111" s="88"/>
      <c r="AE111" s="73"/>
      <c r="AF111" s="74"/>
      <c r="AG111" s="74"/>
      <c r="AH111" s="74" t="str">
        <f aca="false">IF(ISBLANK($C111),"",IF($E111=Constants!$B$2,TRUE(),IF($E111=Constants!$B$3,FALSE(),TRUE())))</f>
        <v/>
      </c>
      <c r="AI111" s="74" t="str">
        <f aca="false">IF(ISBLANK($C111),"",IF($F111=Constants!$B$2,TRUE(),IF($F111=Constants!$B$3,FALSE(),FALSE())))</f>
        <v/>
      </c>
      <c r="AJ111" s="74" t="str">
        <f aca="false">IF(ISBLANK($C111),"",IF($G111=Constants!$B$2,TRUE(),IF($G111=Constants!$B$3,FALSE(),TRUE())))</f>
        <v/>
      </c>
      <c r="AK111" s="74" t="str">
        <f aca="false">IF(ISBLANK($C111),"",IF($H111=Constants!$B$2,TRUE(),IF($H111=Constants!$B$3,FALSE(),TRUE())))</f>
        <v/>
      </c>
      <c r="AL111" s="74" t="str">
        <f aca="false">IF(ISBLANK($C111),"",IF(ISNUMBER($I111),IF($I111&gt;=0,$I111,""),""))</f>
        <v/>
      </c>
      <c r="AM111" s="74" t="str">
        <f aca="false">IF(ISBLANK($C111),"",IF(ISNUMBER($J111),IF($J111&gt;=0,$J111,""),""))</f>
        <v/>
      </c>
      <c r="AN111" s="74" t="str">
        <f aca="false">IF(ISBLANK($C111),"",IF(ISNUMBER($K111),IF($K111&gt;=0,$K111,""),""))</f>
        <v/>
      </c>
      <c r="AO111" s="74" t="str">
        <f aca="false">IF(ISBLANK($C111),"",IF($L111=Constants!$B$2,TRUE(),IF($L111=Constants!$B$3,FALSE(),TRUE())))</f>
        <v/>
      </c>
      <c r="AP111" s="74" t="str">
        <f aca="false">IF(ISBLANK($C111),"",IF($M111=Constants!$B$2,TRUE(),IF($M111=Constants!$B$3,FALSE(),TRUE())))</f>
        <v/>
      </c>
      <c r="AQ111" s="74" t="str">
        <f aca="false">IF(ISBLANK($C111),"",IF($N111=Constants!$B$2,TRUE(),IF($N111=Constants!$B$3,FALSE(),FALSE())))</f>
        <v/>
      </c>
      <c r="AR111" s="74" t="str">
        <f aca="false">IF(ISBLANK($C111),"",IF($O111=Constants!$B$2,TRUE(),IF($O111=Constants!$B$3,FALSE(),TRUE())))</f>
        <v/>
      </c>
      <c r="AS111" s="74" t="str">
        <f aca="false">IF(ISBLANK($C111),"",IF($P111=Constants!$B$2,TRUE(),IF($P111=Constants!$B$3,FALSE(),FALSE())))</f>
        <v/>
      </c>
      <c r="AT111" s="74" t="str">
        <f aca="false">IF(ISBLANK($C111),"",IF($Q111=Constants!$B$2,TRUE(),IF($Q111=Constants!$B$3,FALSE(),FALSE())))</f>
        <v/>
      </c>
      <c r="AU111" s="74" t="str">
        <f aca="false">IF(ISBLANK($C111),"",IF($R111=Constants!$B$2,TRUE(),IF($R111=Constants!$B$3,FALSE(),FALSE())))</f>
        <v/>
      </c>
      <c r="AV111" s="74" t="str">
        <f aca="false">IF(ISBLANK($C111),"",IF($S111=Constants!$B$2,TRUE(),IF($S111=Constants!$B$3,FALSE(),FALSE())))</f>
        <v/>
      </c>
      <c r="AW111" s="74" t="str">
        <f aca="false">IF(ISBLANK($C111),"",IF($T111=Constants!$B$2,TRUE(),IF($T111=Constants!$B$3,FALSE(),FALSE())))</f>
        <v/>
      </c>
      <c r="AX111" s="74" t="str">
        <f aca="false">IF(ISBLANK($C111),"",IF(OR($U111&amp;""="1",$U111&amp;""="2",$U111&amp;""="3",$U111&amp;""="4"),VALUE($U111&amp;""),IF($U111=Constants!$B$12,Constants!$B$12,"")))</f>
        <v/>
      </c>
      <c r="AY111" s="74" t="str">
        <f aca="false">IF(ISBLANK($C111),"",IF(ISBLANK($V111),0,IF(ISNUMBER($V111),IF(AND($V111&gt;=0,$V111&lt;=Constants!$B$21,$V111=INT($V111)),$V111,""),"")))</f>
        <v/>
      </c>
      <c r="AZ111" s="74" t="str">
        <f aca="false">IF(ISBLANK($C111),"",IF(ISBLANK($W111),0,IF(ISNUMBER($W111),IF($W111&gt;=0,$W111,""),"")))</f>
        <v/>
      </c>
      <c r="BA111" s="74" t="str">
        <f aca="false">IF(ISBLANK($C111),"",IF($X111=Constants!$B$2,TRUE(),IF($X111=Constants!$B$3,FALSE(),TRUE())))</f>
        <v/>
      </c>
      <c r="BB111" s="74" t="str">
        <f aca="false">IF(ISBLANK($C111),"",IF($Y111=Constants!$B$2,TRUE(),IF($Y111=Constants!$B$3,FALSE(),FALSE())))</f>
        <v/>
      </c>
      <c r="BC111" s="74" t="str">
        <f aca="false">IF(ISBLANK($C111),"",IF(ISBLANK($Z111),0,IF(ISNUMBER($Z111),IF(AND($Z111&gt;=0,$Z111&lt;=Constants!$B$35,$Z111=INT($Z111)),$Z111,""),"")))</f>
        <v/>
      </c>
      <c r="BD111" s="74" t="str">
        <f aca="false">IF(ISBLANK($C111),"",IF($AA111=Constants!$B$2,TRUE(),IF($AA111=Constants!$B$3,FALSE(),TRUE())))</f>
        <v/>
      </c>
      <c r="BE111" s="74" t="str">
        <f aca="false">IF(ISBLANK($C111),"",IF($AB111=Constants!$B$2,TRUE(),IF($AB111=Constants!$B$3,FALSE(),TRUE())))</f>
        <v/>
      </c>
      <c r="BF111" s="74" t="str">
        <f aca="false">IF(ISBLANK($C111),"",IF(ISNUMBER($AC111),IF($AC111&gt;=0,$AC111,""),""))</f>
        <v/>
      </c>
      <c r="BG111" s="74" t="str">
        <f aca="false">IF(ISBLANK($C111),"",IF($AD111=Constants!$B$2,TRUE(),IF($AD111=Constants!$B$3,FALSE(),FALSE())))</f>
        <v/>
      </c>
      <c r="BH111" s="73" t="str">
        <f aca="false">IF(ISBLANK($C111),"",IF($BG111,Constants!$B$7,IF(COUNTA($E111:$AC111)=0,Constants!$B$6,IF(OR(COUNTA($G111:$AC111)=0,NOT($AK111),$AQ111),Constants!$B$5,IF(OR($CI111&lt;&gt;"",$CJ111,$CK111,$CL111,$CM111,$CN111,$CO111),Constants!$B$8,Constants!$B$4)))))</f>
        <v/>
      </c>
      <c r="BI111" s="74" t="str">
        <f aca="false">IF(ISBLANK($C111),"",IF($BH111&lt;&gt;Constants!$B$4,$BH111,IF(OR(NOT($AH111),NOT($AJ111),NOT($AR111)),Constants!$B$11,IF(OR(NOT($AP111),MAX($AL111,$AM111,$AN111)&gt;Constants!$B$30),Constants!$B$10,Constants!$B$9))))</f>
        <v/>
      </c>
      <c r="BJ111" s="74" t="str">
        <f aca="false">IF($BH111&lt;&gt;Constants!$B$4,"",IF(NOT($AJ111),0,MIN(Constants!$B$35,$BC111)))</f>
        <v/>
      </c>
      <c r="BK111" s="74" t="str">
        <f aca="false">IF($BH111&lt;&gt;Constants!$B$4,"",IF(NOT($AJ111),0,IF($AT111,Constants!$B$18,IF($AS111,Constants!$B$17,0))))</f>
        <v/>
      </c>
      <c r="BL111" s="74" t="str">
        <f aca="false">IF($BH111&lt;&gt;Constants!$B$4,"",IF(NOT($AJ111),0,Constants!$B$19*($AI111+$AU111+$AV111+$AW111)))</f>
        <v/>
      </c>
      <c r="BM111" s="74" t="str">
        <f aca="false">IF($BH111&lt;&gt;Constants!$B$4,"",IF(OR(NOT($AJ111),NOT(ISNUMBER($AX111))),0,CHOOSE($AX111,Constants!$B$13,Constants!$B$14,Constants!$B$15,Constants!$B$16)))</f>
        <v/>
      </c>
      <c r="BN111" s="74" t="str">
        <f aca="false">IF($BH111&lt;&gt;Constants!$B$4,"",IF(NOT($AJ111),0,Constants!$B$20*$AY111))</f>
        <v/>
      </c>
      <c r="BO111" s="74" t="str">
        <f aca="false">IF($BH111&lt;&gt;Constants!$B$4,"",IF(AND($AJ111,$BA111,$BB111),Constants!$B$22,0))</f>
        <v/>
      </c>
      <c r="BP111" s="74" t="str">
        <f aca="false">IF($BH111&lt;&gt;Constants!$B$4,"",IF(OR(NOT($AJ111),NOT($BA111)),0,IF($BF111&gt;=2*$AF$9,0,Constants!$B$23*INT(ROUND(MIN($BF111,$AF$9),6)))))</f>
        <v/>
      </c>
      <c r="BQ111" s="74" t="str">
        <f aca="false">IF($BH111&lt;&gt;Constants!$B$4,"",IF(NOT($AJ111),0,Constants!$B$24*INT(ROUND(MIN($AZ111,$AF$9),6))))</f>
        <v/>
      </c>
      <c r="BR111" s="74" t="str">
        <f aca="false">IF($BH111&lt;&gt;Constants!$B$4,"",IF(AND($AJ111,$BJ111=0),Constants!$B$25,0))</f>
        <v/>
      </c>
      <c r="BS111" s="74" t="str">
        <f aca="false">IF($BH111&lt;&gt;Constants!$B$4,"",MIN(Constants!$B$29,MAX(0,Constants!$B$27*Constants!$B$28*INT(ROUND((Constants!$B$26-$AL111)/Constants!$B$28,6))))+MIN(Constants!$B$29,MAX(0,Constants!$B$27*Constants!$B$28*INT(ROUND((Constants!$B$26-$AM111)/Constants!$B$28,6))))+MIN(Constants!$B$29,MAX(0,Constants!$B$27*Constants!$B$28*INT(ROUND((Constants!$B$26-$AN111)/Constants!$B$28,6)))))</f>
        <v/>
      </c>
      <c r="BT111" s="74" t="str">
        <f aca="false">IF($BH111&lt;&gt;Constants!$B$4,"",IF(NOT($AJ111),0,Constants!$B$31*INT(ROUND(MAX(0,MIN($BF111,2*$AF$9)-$AF$9),6))))</f>
        <v/>
      </c>
      <c r="BU111" s="74" t="str">
        <f aca="false">IF($BH111&lt;&gt;Constants!$B$4,"",Constants!$B$32*(($AL111&gt;Constants!$B$26)+($AM111&gt;Constants!$B$26)+($AN111&gt;Constants!$B$26)))</f>
        <v/>
      </c>
      <c r="BV111" s="74" t="str">
        <f aca="false">IF($BH111&lt;&gt;Constants!$B$4,"",IF(OR(NOT($AJ111),$AO111),0,Constants!$B$33))</f>
        <v/>
      </c>
      <c r="BW111" s="74" t="str">
        <f aca="false">IF($BH111&lt;&gt;Constants!$B$4,"",Constants!$B$34*$BJ111)</f>
        <v/>
      </c>
      <c r="BX111" s="74" t="str">
        <f aca="false">IF($BH111&lt;&gt;Constants!$B$4,"",IF(OR(NOT($AJ111),$BE111),0,Constants!$B$36))</f>
        <v/>
      </c>
      <c r="BY111" s="74" t="str">
        <f aca="false">IF($BH111&lt;&gt;Constants!$B$4,"",IF(OR(NOT($AJ111),$BD111),0,Constants!$B$37))</f>
        <v/>
      </c>
      <c r="BZ111" s="74" t="str">
        <f aca="false">IF($BH111&lt;&gt;Constants!$B$4,"",SUM($BT111:$BY111))</f>
        <v/>
      </c>
      <c r="CA111" s="74" t="str">
        <f aca="false">IF(ISBLANK($C111),"",IF($BH111&lt;&gt;Constants!$B$4,$BH111,SUM($BK111:$BS111)-$BZ111))</f>
        <v/>
      </c>
      <c r="CB111" s="74" t="str">
        <f aca="false">IF(ISBLANK($C111),"",IF($BH111&lt;&gt;Constants!$B$4,$BH111,RANK($CA111,$CA$9:$CA$508)))</f>
        <v/>
      </c>
      <c r="CC111" s="74" t="str">
        <f aca="false">IF(ISBLANK($C111),"",IF($BH111&lt;&gt;Constants!$B$4,$BH111,COUNTIFS($BI$9:$BI$508,"&lt;"&amp;$BI111)+COUNTIFS($BI$9:$BI$508,$BI111,$CB$9:$CB$508,"&lt;"&amp;$CB111)+1))</f>
        <v/>
      </c>
      <c r="CD111" s="74" t="str">
        <f aca="false">IF(ISBLANK($C111),"",IF($BH111&lt;&gt;Constants!$B$4,$BH111,RANK($BZ111,$BZ$9:$BZ$508,1)))</f>
        <v/>
      </c>
      <c r="CE111" s="74" t="str">
        <f aca="false">IF($BH111&lt;&gt;Constants!$B$4,"",$AL111+$AM111+$AN111)</f>
        <v/>
      </c>
      <c r="CF111" s="74" t="str">
        <f aca="false">IF(ISBLANK($C111),"",IF($BH111&lt;&gt;Constants!$B$4,$BH111,RANK($CE111,$CE$9:$CE$508,1)))</f>
        <v/>
      </c>
      <c r="CG111" s="74" t="str">
        <f aca="false">IF(ISBLANK($C111),"",IF($BH111&lt;&gt;Constants!$B$4,$BH111,COUNTIFS($BI$9:$BI$508,"&lt;"&amp;$BI111)+COUNTIFS($BI$9:$BI$508,$BI111,$CB$9:$CB$508,"&lt;"&amp;$CB111)+COUNTIFS($BI$9:$BI$508,$BI111,$CB$9:$CB$508,$CB111,$CD$9:$CD$508,"&lt;"&amp;$CD111)+COUNTIFS($BI$9:$BI$508,$BI111,$CB$9:$CB$508,$CB111,$CD$9:$CD$508,$CD111,$CF$9:$CF$508,"&lt;"&amp;$CF111)+1))</f>
        <v/>
      </c>
      <c r="CH111" s="74" t="str">
        <f aca="false">IF(ISBLANK($C111),"",IF($BH111&lt;&gt;Constants!$B$4,$BH111,$CC111-$CG111))</f>
        <v/>
      </c>
      <c r="CI111" s="74" t="str">
        <f aca="false">IF(ISBLANK($C111),"",IF(NOT($AJ111),"",IF(ISBLANK($D$7),$CI$5,IF(NOT(ISNUMBER($D$7)),$CI$6,""))))</f>
        <v/>
      </c>
      <c r="CJ111" s="74" t="str">
        <f aca="false">IF(ISBLANK($C111),"",OR($AL111="",$AM111="",$AN111=""))</f>
        <v/>
      </c>
      <c r="CK111" s="74" t="str">
        <f aca="false">IF(ISBLANK($C111),"",AND($AJ111,$AX111=""))</f>
        <v/>
      </c>
      <c r="CL111" s="74" t="str">
        <f aca="false">IF(ISBLANK($C111),"",AND($AJ111,$AY111=""))</f>
        <v/>
      </c>
      <c r="CM111" s="74" t="str">
        <f aca="false">IF(ISBLANK($C111),"",AND($AJ111,$AZ111=""))</f>
        <v/>
      </c>
      <c r="CN111" s="74" t="str">
        <f aca="false">IF(ISBLANK($C111),"",AND($AJ111,$BC111=""))</f>
        <v/>
      </c>
      <c r="CO111" s="74" t="str">
        <f aca="false">IF(ISBLANK($C111),"",AND($AJ111,$BF111=""))</f>
        <v/>
      </c>
      <c r="CP111" s="75"/>
      <c r="CQ111" s="76"/>
      <c r="CR111" s="79" t="str">
        <f aca="false">IF(ISBLANK($C111),"",IF($BH111=Constants!$B$8,$CI111,""))</f>
        <v/>
      </c>
      <c r="CS111" s="76" t="str">
        <f aca="false">IF(ISBLANK($C111),"",IF($BH111&lt;&gt;Constants!$B$4,"",$BK111+$BL111))</f>
        <v/>
      </c>
      <c r="CT111" s="78" t="str">
        <f aca="false">IF(ISBLANK($C111),"",IF($BH111&lt;&gt;Constants!$B$4,"",$BM111+$BN111+$BO111))</f>
        <v/>
      </c>
      <c r="CU111" s="78" t="str">
        <f aca="false">IF(ISBLANK($C111),"",IF($BH111&lt;&gt;Constants!$B$4,"",$BP111))</f>
        <v/>
      </c>
      <c r="CV111" s="78" t="str">
        <f aca="false">IF(ISBLANK($C111),"",IF($BH111&lt;&gt;Constants!$B$4,"",$BQ111+$BR111))</f>
        <v/>
      </c>
      <c r="CW111" s="78" t="str">
        <f aca="false">IF(ISBLANK($C111),"",IF($BH111&lt;&gt;Constants!$B$4,"",$BS111))</f>
        <v/>
      </c>
      <c r="CX111" s="78" t="str">
        <f aca="false">IF(ISBLANK($C111),"",IF($BH111&lt;&gt;Constants!$B$4,"",-$BZ111))</f>
        <v/>
      </c>
      <c r="CY111" s="79" t="str">
        <f aca="false">IF(ISBLANK($C111),"",$CA111)</f>
        <v/>
      </c>
      <c r="CZ111" s="80" t="str">
        <f aca="false">IF(ISBLANK($C111),"",$BI111)</f>
        <v/>
      </c>
      <c r="DA111" s="78" t="str">
        <f aca="false">IF(ISBLANK($C111),"",$CH111)</f>
        <v/>
      </c>
      <c r="DB111" s="78" t="str">
        <f aca="false">IF(ISBLANK($C111),"",$CG111)</f>
        <v/>
      </c>
      <c r="DC111" s="81" t="str">
        <f aca="false">IF(ISBLANK($C111),"",IFERROR(_xlfn.SWITCH($DB111,Constants!$B$7,COUNTA($C$9:$C$508)+2,Constants!$B$6,COUNTA($C$9:$C$508)+1,Constants!$B$5,COUNTA($C$9:$C$508)),$DB111))</f>
        <v/>
      </c>
      <c r="DD111" s="7"/>
      <c r="DE111" s="82" t="n">
        <f aca="false">IF(OR(ISNUMBER($DB111),$DB111=Constants!$B$7,$DB111=Constants!$B$5,$DB111=Constants!$B$6),1,0)</f>
        <v>0</v>
      </c>
      <c r="DF111" s="82" t="n">
        <v>103</v>
      </c>
      <c r="DG111" s="82" t="str">
        <f aca="false">IF(ISBLANK($C111),"",IF(ISNUMBER($DC111),$DC111+ROW($B111)/1000,""))</f>
        <v/>
      </c>
      <c r="DH111" s="82" t="str">
        <f aca="false">IF(ISNUMBER($DG111),RANK($DG111,$DG$9:$DG$508,1),"")</f>
        <v/>
      </c>
      <c r="DI111" s="82" t="str">
        <f aca="false">IF(ISBLANK($C111),"",$B111)</f>
        <v/>
      </c>
      <c r="DJ111" s="82" t="str">
        <f aca="false">IF(ISBLANK($C111),"",$C111)</f>
        <v/>
      </c>
      <c r="DK111" s="82" t="str">
        <f aca="false">IF(ISBLANK($C111),"",$D111)</f>
        <v/>
      </c>
      <c r="DL111" s="83" t="str">
        <f aca="false">$CZ111</f>
        <v/>
      </c>
      <c r="DM111" s="84" t="str">
        <f aca="false">$CY111</f>
        <v/>
      </c>
      <c r="DN111" s="82" t="str">
        <f aca="false">IF(ISBLANK($C111),"",$DB111)</f>
        <v/>
      </c>
      <c r="DO111" s="85" t="str">
        <f aca="false">IF($DF111&gt;$DE$8,"",VLOOKUP($DF111,$DH$9:$DN$508,7,FALSE()))</f>
        <v/>
      </c>
      <c r="DP111" s="86" t="str">
        <f aca="false">IF($DF111&gt;$DE$8,"",VLOOKUP($DF111,$DH$9:$DN$508,2,FALSE()))</f>
        <v/>
      </c>
      <c r="DQ111" s="86" t="str">
        <f aca="false">IF($DF111&gt;$DE$8,"",VLOOKUP($DF111,$DH$9:$DN$508,3,FALSE()))</f>
        <v/>
      </c>
      <c r="DR111" s="86" t="str">
        <f aca="false">IF($DF111&gt;$DE$8,"",VLOOKUP($DF111,$DH$9:$DN$508,4,FALSE()))</f>
        <v/>
      </c>
      <c r="DS111" s="86" t="str">
        <f aca="false">IF($DF111&gt;$DE$8,"",VLOOKUP($DF111,$DH$9:$DN$508,5,FALSE()))</f>
        <v/>
      </c>
      <c r="DT111" s="87" t="str">
        <f aca="false">IF($DF111&gt;$DE$8,"",VLOOKUP($DF111,$DH$9:$DN$508,6,FALSE()))</f>
        <v/>
      </c>
      <c r="DU111" s="62"/>
    </row>
    <row r="112" customFormat="false" ht="15.75" hidden="false" customHeight="false" outlineLevel="0" collapsed="false">
      <c r="A112" s="7"/>
      <c r="B112" s="64"/>
      <c r="C112" s="65"/>
      <c r="D112" s="123"/>
      <c r="E112" s="88"/>
      <c r="F112" s="134"/>
      <c r="G112" s="88"/>
      <c r="H112" s="134"/>
      <c r="I112" s="119"/>
      <c r="J112" s="119"/>
      <c r="K112" s="119"/>
      <c r="L112" s="88"/>
      <c r="M112" s="88"/>
      <c r="N112" s="88"/>
      <c r="O112" s="134"/>
      <c r="P112" s="88"/>
      <c r="Q112" s="88"/>
      <c r="R112" s="88"/>
      <c r="S112" s="88"/>
      <c r="T112" s="134"/>
      <c r="U112" s="88"/>
      <c r="V112" s="70"/>
      <c r="W112" s="88"/>
      <c r="X112" s="88"/>
      <c r="Y112" s="70"/>
      <c r="Z112" s="70"/>
      <c r="AA112" s="88"/>
      <c r="AB112" s="88"/>
      <c r="AC112" s="71"/>
      <c r="AD112" s="88"/>
      <c r="AE112" s="73"/>
      <c r="AF112" s="74"/>
      <c r="AG112" s="74"/>
      <c r="AH112" s="74" t="str">
        <f aca="false">IF(ISBLANK($C112),"",IF($E112=Constants!$B$2,TRUE(),IF($E112=Constants!$B$3,FALSE(),TRUE())))</f>
        <v/>
      </c>
      <c r="AI112" s="74" t="str">
        <f aca="false">IF(ISBLANK($C112),"",IF($F112=Constants!$B$2,TRUE(),IF($F112=Constants!$B$3,FALSE(),FALSE())))</f>
        <v/>
      </c>
      <c r="AJ112" s="74" t="str">
        <f aca="false">IF(ISBLANK($C112),"",IF($G112=Constants!$B$2,TRUE(),IF($G112=Constants!$B$3,FALSE(),TRUE())))</f>
        <v/>
      </c>
      <c r="AK112" s="74" t="str">
        <f aca="false">IF(ISBLANK($C112),"",IF($H112=Constants!$B$2,TRUE(),IF($H112=Constants!$B$3,FALSE(),TRUE())))</f>
        <v/>
      </c>
      <c r="AL112" s="74" t="str">
        <f aca="false">IF(ISBLANK($C112),"",IF(ISNUMBER($I112),IF($I112&gt;=0,$I112,""),""))</f>
        <v/>
      </c>
      <c r="AM112" s="74" t="str">
        <f aca="false">IF(ISBLANK($C112),"",IF(ISNUMBER($J112),IF($J112&gt;=0,$J112,""),""))</f>
        <v/>
      </c>
      <c r="AN112" s="74" t="str">
        <f aca="false">IF(ISBLANK($C112),"",IF(ISNUMBER($K112),IF($K112&gt;=0,$K112,""),""))</f>
        <v/>
      </c>
      <c r="AO112" s="74" t="str">
        <f aca="false">IF(ISBLANK($C112),"",IF($L112=Constants!$B$2,TRUE(),IF($L112=Constants!$B$3,FALSE(),TRUE())))</f>
        <v/>
      </c>
      <c r="AP112" s="74" t="str">
        <f aca="false">IF(ISBLANK($C112),"",IF($M112=Constants!$B$2,TRUE(),IF($M112=Constants!$B$3,FALSE(),TRUE())))</f>
        <v/>
      </c>
      <c r="AQ112" s="74" t="str">
        <f aca="false">IF(ISBLANK($C112),"",IF($N112=Constants!$B$2,TRUE(),IF($N112=Constants!$B$3,FALSE(),FALSE())))</f>
        <v/>
      </c>
      <c r="AR112" s="74" t="str">
        <f aca="false">IF(ISBLANK($C112),"",IF($O112=Constants!$B$2,TRUE(),IF($O112=Constants!$B$3,FALSE(),TRUE())))</f>
        <v/>
      </c>
      <c r="AS112" s="74" t="str">
        <f aca="false">IF(ISBLANK($C112),"",IF($P112=Constants!$B$2,TRUE(),IF($P112=Constants!$B$3,FALSE(),FALSE())))</f>
        <v/>
      </c>
      <c r="AT112" s="74" t="str">
        <f aca="false">IF(ISBLANK($C112),"",IF($Q112=Constants!$B$2,TRUE(),IF($Q112=Constants!$B$3,FALSE(),FALSE())))</f>
        <v/>
      </c>
      <c r="AU112" s="74" t="str">
        <f aca="false">IF(ISBLANK($C112),"",IF($R112=Constants!$B$2,TRUE(),IF($R112=Constants!$B$3,FALSE(),FALSE())))</f>
        <v/>
      </c>
      <c r="AV112" s="74" t="str">
        <f aca="false">IF(ISBLANK($C112),"",IF($S112=Constants!$B$2,TRUE(),IF($S112=Constants!$B$3,FALSE(),FALSE())))</f>
        <v/>
      </c>
      <c r="AW112" s="74" t="str">
        <f aca="false">IF(ISBLANK($C112),"",IF($T112=Constants!$B$2,TRUE(),IF($T112=Constants!$B$3,FALSE(),FALSE())))</f>
        <v/>
      </c>
      <c r="AX112" s="74" t="str">
        <f aca="false">IF(ISBLANK($C112),"",IF(OR($U112&amp;""="1",$U112&amp;""="2",$U112&amp;""="3",$U112&amp;""="4"),VALUE($U112&amp;""),IF($U112=Constants!$B$12,Constants!$B$12,"")))</f>
        <v/>
      </c>
      <c r="AY112" s="74" t="str">
        <f aca="false">IF(ISBLANK($C112),"",IF(ISBLANK($V112),0,IF(ISNUMBER($V112),IF(AND($V112&gt;=0,$V112&lt;=Constants!$B$21,$V112=INT($V112)),$V112,""),"")))</f>
        <v/>
      </c>
      <c r="AZ112" s="74" t="str">
        <f aca="false">IF(ISBLANK($C112),"",IF(ISBLANK($W112),0,IF(ISNUMBER($W112),IF($W112&gt;=0,$W112,""),"")))</f>
        <v/>
      </c>
      <c r="BA112" s="74" t="str">
        <f aca="false">IF(ISBLANK($C112),"",IF($X112=Constants!$B$2,TRUE(),IF($X112=Constants!$B$3,FALSE(),TRUE())))</f>
        <v/>
      </c>
      <c r="BB112" s="74" t="str">
        <f aca="false">IF(ISBLANK($C112),"",IF($Y112=Constants!$B$2,TRUE(),IF($Y112=Constants!$B$3,FALSE(),FALSE())))</f>
        <v/>
      </c>
      <c r="BC112" s="74" t="str">
        <f aca="false">IF(ISBLANK($C112),"",IF(ISBLANK($Z112),0,IF(ISNUMBER($Z112),IF(AND($Z112&gt;=0,$Z112&lt;=Constants!$B$35,$Z112=INT($Z112)),$Z112,""),"")))</f>
        <v/>
      </c>
      <c r="BD112" s="74" t="str">
        <f aca="false">IF(ISBLANK($C112),"",IF($AA112=Constants!$B$2,TRUE(),IF($AA112=Constants!$B$3,FALSE(),TRUE())))</f>
        <v/>
      </c>
      <c r="BE112" s="74" t="str">
        <f aca="false">IF(ISBLANK($C112),"",IF($AB112=Constants!$B$2,TRUE(),IF($AB112=Constants!$B$3,FALSE(),TRUE())))</f>
        <v/>
      </c>
      <c r="BF112" s="74" t="str">
        <f aca="false">IF(ISBLANK($C112),"",IF(ISNUMBER($AC112),IF($AC112&gt;=0,$AC112,""),""))</f>
        <v/>
      </c>
      <c r="BG112" s="74" t="str">
        <f aca="false">IF(ISBLANK($C112),"",IF($AD112=Constants!$B$2,TRUE(),IF($AD112=Constants!$B$3,FALSE(),FALSE())))</f>
        <v/>
      </c>
      <c r="BH112" s="73" t="str">
        <f aca="false">IF(ISBLANK($C112),"",IF($BG112,Constants!$B$7,IF(COUNTA($E112:$AC112)=0,Constants!$B$6,IF(OR(COUNTA($G112:$AC112)=0,NOT($AK112),$AQ112),Constants!$B$5,IF(OR($CI112&lt;&gt;"",$CJ112,$CK112,$CL112,$CM112,$CN112,$CO112),Constants!$B$8,Constants!$B$4)))))</f>
        <v/>
      </c>
      <c r="BI112" s="74" t="str">
        <f aca="false">IF(ISBLANK($C112),"",IF($BH112&lt;&gt;Constants!$B$4,$BH112,IF(OR(NOT($AH112),NOT($AJ112),NOT($AR112)),Constants!$B$11,IF(OR(NOT($AP112),MAX($AL112,$AM112,$AN112)&gt;Constants!$B$30),Constants!$B$10,Constants!$B$9))))</f>
        <v/>
      </c>
      <c r="BJ112" s="74" t="str">
        <f aca="false">IF($BH112&lt;&gt;Constants!$B$4,"",IF(NOT($AJ112),0,MIN(Constants!$B$35,$BC112)))</f>
        <v/>
      </c>
      <c r="BK112" s="74" t="str">
        <f aca="false">IF($BH112&lt;&gt;Constants!$B$4,"",IF(NOT($AJ112),0,IF($AT112,Constants!$B$18,IF($AS112,Constants!$B$17,0))))</f>
        <v/>
      </c>
      <c r="BL112" s="74" t="str">
        <f aca="false">IF($BH112&lt;&gt;Constants!$B$4,"",IF(NOT($AJ112),0,Constants!$B$19*($AI112+$AU112+$AV112+$AW112)))</f>
        <v/>
      </c>
      <c r="BM112" s="74" t="str">
        <f aca="false">IF($BH112&lt;&gt;Constants!$B$4,"",IF(OR(NOT($AJ112),NOT(ISNUMBER($AX112))),0,CHOOSE($AX112,Constants!$B$13,Constants!$B$14,Constants!$B$15,Constants!$B$16)))</f>
        <v/>
      </c>
      <c r="BN112" s="74" t="str">
        <f aca="false">IF($BH112&lt;&gt;Constants!$B$4,"",IF(NOT($AJ112),0,Constants!$B$20*$AY112))</f>
        <v/>
      </c>
      <c r="BO112" s="74" t="str">
        <f aca="false">IF($BH112&lt;&gt;Constants!$B$4,"",IF(AND($AJ112,$BA112,$BB112),Constants!$B$22,0))</f>
        <v/>
      </c>
      <c r="BP112" s="74" t="str">
        <f aca="false">IF($BH112&lt;&gt;Constants!$B$4,"",IF(OR(NOT($AJ112),NOT($BA112)),0,IF($BF112&gt;=2*$AF$9,0,Constants!$B$23*INT(ROUND(MIN($BF112,$AF$9),6)))))</f>
        <v/>
      </c>
      <c r="BQ112" s="74" t="str">
        <f aca="false">IF($BH112&lt;&gt;Constants!$B$4,"",IF(NOT($AJ112),0,Constants!$B$24*INT(ROUND(MIN($AZ112,$AF$9),6))))</f>
        <v/>
      </c>
      <c r="BR112" s="74" t="str">
        <f aca="false">IF($BH112&lt;&gt;Constants!$B$4,"",IF(AND($AJ112,$BJ112=0),Constants!$B$25,0))</f>
        <v/>
      </c>
      <c r="BS112" s="74" t="str">
        <f aca="false">IF($BH112&lt;&gt;Constants!$B$4,"",MIN(Constants!$B$29,MAX(0,Constants!$B$27*Constants!$B$28*INT(ROUND((Constants!$B$26-$AL112)/Constants!$B$28,6))))+MIN(Constants!$B$29,MAX(0,Constants!$B$27*Constants!$B$28*INT(ROUND((Constants!$B$26-$AM112)/Constants!$B$28,6))))+MIN(Constants!$B$29,MAX(0,Constants!$B$27*Constants!$B$28*INT(ROUND((Constants!$B$26-$AN112)/Constants!$B$28,6)))))</f>
        <v/>
      </c>
      <c r="BT112" s="74" t="str">
        <f aca="false">IF($BH112&lt;&gt;Constants!$B$4,"",IF(NOT($AJ112),0,Constants!$B$31*INT(ROUND(MAX(0,MIN($BF112,2*$AF$9)-$AF$9),6))))</f>
        <v/>
      </c>
      <c r="BU112" s="74" t="str">
        <f aca="false">IF($BH112&lt;&gt;Constants!$B$4,"",Constants!$B$32*(($AL112&gt;Constants!$B$26)+($AM112&gt;Constants!$B$26)+($AN112&gt;Constants!$B$26)))</f>
        <v/>
      </c>
      <c r="BV112" s="74" t="str">
        <f aca="false">IF($BH112&lt;&gt;Constants!$B$4,"",IF(OR(NOT($AJ112),$AO112),0,Constants!$B$33))</f>
        <v/>
      </c>
      <c r="BW112" s="74" t="str">
        <f aca="false">IF($BH112&lt;&gt;Constants!$B$4,"",Constants!$B$34*$BJ112)</f>
        <v/>
      </c>
      <c r="BX112" s="74" t="str">
        <f aca="false">IF($BH112&lt;&gt;Constants!$B$4,"",IF(OR(NOT($AJ112),$BE112),0,Constants!$B$36))</f>
        <v/>
      </c>
      <c r="BY112" s="74" t="str">
        <f aca="false">IF($BH112&lt;&gt;Constants!$B$4,"",IF(OR(NOT($AJ112),$BD112),0,Constants!$B$37))</f>
        <v/>
      </c>
      <c r="BZ112" s="74" t="str">
        <f aca="false">IF($BH112&lt;&gt;Constants!$B$4,"",SUM($BT112:$BY112))</f>
        <v/>
      </c>
      <c r="CA112" s="74" t="str">
        <f aca="false">IF(ISBLANK($C112),"",IF($BH112&lt;&gt;Constants!$B$4,$BH112,SUM($BK112:$BS112)-$BZ112))</f>
        <v/>
      </c>
      <c r="CB112" s="74" t="str">
        <f aca="false">IF(ISBLANK($C112),"",IF($BH112&lt;&gt;Constants!$B$4,$BH112,RANK($CA112,$CA$9:$CA$508)))</f>
        <v/>
      </c>
      <c r="CC112" s="74" t="str">
        <f aca="false">IF(ISBLANK($C112),"",IF($BH112&lt;&gt;Constants!$B$4,$BH112,COUNTIFS($BI$9:$BI$508,"&lt;"&amp;$BI112)+COUNTIFS($BI$9:$BI$508,$BI112,$CB$9:$CB$508,"&lt;"&amp;$CB112)+1))</f>
        <v/>
      </c>
      <c r="CD112" s="74" t="str">
        <f aca="false">IF(ISBLANK($C112),"",IF($BH112&lt;&gt;Constants!$B$4,$BH112,RANK($BZ112,$BZ$9:$BZ$508,1)))</f>
        <v/>
      </c>
      <c r="CE112" s="74" t="str">
        <f aca="false">IF($BH112&lt;&gt;Constants!$B$4,"",$AL112+$AM112+$AN112)</f>
        <v/>
      </c>
      <c r="CF112" s="74" t="str">
        <f aca="false">IF(ISBLANK($C112),"",IF($BH112&lt;&gt;Constants!$B$4,$BH112,RANK($CE112,$CE$9:$CE$508,1)))</f>
        <v/>
      </c>
      <c r="CG112" s="74" t="str">
        <f aca="false">IF(ISBLANK($C112),"",IF($BH112&lt;&gt;Constants!$B$4,$BH112,COUNTIFS($BI$9:$BI$508,"&lt;"&amp;$BI112)+COUNTIFS($BI$9:$BI$508,$BI112,$CB$9:$CB$508,"&lt;"&amp;$CB112)+COUNTIFS($BI$9:$BI$508,$BI112,$CB$9:$CB$508,$CB112,$CD$9:$CD$508,"&lt;"&amp;$CD112)+COUNTIFS($BI$9:$BI$508,$BI112,$CB$9:$CB$508,$CB112,$CD$9:$CD$508,$CD112,$CF$9:$CF$508,"&lt;"&amp;$CF112)+1))</f>
        <v/>
      </c>
      <c r="CH112" s="74" t="str">
        <f aca="false">IF(ISBLANK($C112),"",IF($BH112&lt;&gt;Constants!$B$4,$BH112,$CC112-$CG112))</f>
        <v/>
      </c>
      <c r="CI112" s="74" t="str">
        <f aca="false">IF(ISBLANK($C112),"",IF(NOT($AJ112),"",IF(ISBLANK($D$7),$CI$5,IF(NOT(ISNUMBER($D$7)),$CI$6,""))))</f>
        <v/>
      </c>
      <c r="CJ112" s="74" t="str">
        <f aca="false">IF(ISBLANK($C112),"",OR($AL112="",$AM112="",$AN112=""))</f>
        <v/>
      </c>
      <c r="CK112" s="74" t="str">
        <f aca="false">IF(ISBLANK($C112),"",AND($AJ112,$AX112=""))</f>
        <v/>
      </c>
      <c r="CL112" s="74" t="str">
        <f aca="false">IF(ISBLANK($C112),"",AND($AJ112,$AY112=""))</f>
        <v/>
      </c>
      <c r="CM112" s="74" t="str">
        <f aca="false">IF(ISBLANK($C112),"",AND($AJ112,$AZ112=""))</f>
        <v/>
      </c>
      <c r="CN112" s="74" t="str">
        <f aca="false">IF(ISBLANK($C112),"",AND($AJ112,$BC112=""))</f>
        <v/>
      </c>
      <c r="CO112" s="74" t="str">
        <f aca="false">IF(ISBLANK($C112),"",AND($AJ112,$BF112=""))</f>
        <v/>
      </c>
      <c r="CP112" s="75"/>
      <c r="CQ112" s="76"/>
      <c r="CR112" s="79" t="str">
        <f aca="false">IF(ISBLANK($C112),"",IF($BH112=Constants!$B$8,$CI112,""))</f>
        <v/>
      </c>
      <c r="CS112" s="76" t="str">
        <f aca="false">IF(ISBLANK($C112),"",IF($BH112&lt;&gt;Constants!$B$4,"",$BK112+$BL112))</f>
        <v/>
      </c>
      <c r="CT112" s="78" t="str">
        <f aca="false">IF(ISBLANK($C112),"",IF($BH112&lt;&gt;Constants!$B$4,"",$BM112+$BN112+$BO112))</f>
        <v/>
      </c>
      <c r="CU112" s="78" t="str">
        <f aca="false">IF(ISBLANK($C112),"",IF($BH112&lt;&gt;Constants!$B$4,"",$BP112))</f>
        <v/>
      </c>
      <c r="CV112" s="78" t="str">
        <f aca="false">IF(ISBLANK($C112),"",IF($BH112&lt;&gt;Constants!$B$4,"",$BQ112+$BR112))</f>
        <v/>
      </c>
      <c r="CW112" s="78" t="str">
        <f aca="false">IF(ISBLANK($C112),"",IF($BH112&lt;&gt;Constants!$B$4,"",$BS112))</f>
        <v/>
      </c>
      <c r="CX112" s="78" t="str">
        <f aca="false">IF(ISBLANK($C112),"",IF($BH112&lt;&gt;Constants!$B$4,"",-$BZ112))</f>
        <v/>
      </c>
      <c r="CY112" s="79" t="str">
        <f aca="false">IF(ISBLANK($C112),"",$CA112)</f>
        <v/>
      </c>
      <c r="CZ112" s="80" t="str">
        <f aca="false">IF(ISBLANK($C112),"",$BI112)</f>
        <v/>
      </c>
      <c r="DA112" s="78" t="str">
        <f aca="false">IF(ISBLANK($C112),"",$CH112)</f>
        <v/>
      </c>
      <c r="DB112" s="78" t="str">
        <f aca="false">IF(ISBLANK($C112),"",$CG112)</f>
        <v/>
      </c>
      <c r="DC112" s="81" t="str">
        <f aca="false">IF(ISBLANK($C112),"",IFERROR(_xlfn.SWITCH($DB112,Constants!$B$7,COUNTA($C$9:$C$508)+2,Constants!$B$6,COUNTA($C$9:$C$508)+1,Constants!$B$5,COUNTA($C$9:$C$508)),$DB112))</f>
        <v/>
      </c>
      <c r="DD112" s="7"/>
      <c r="DE112" s="82" t="n">
        <f aca="false">IF(OR(ISNUMBER($DB112),$DB112=Constants!$B$7,$DB112=Constants!$B$5,$DB112=Constants!$B$6),1,0)</f>
        <v>0</v>
      </c>
      <c r="DF112" s="82" t="n">
        <v>104</v>
      </c>
      <c r="DG112" s="82" t="str">
        <f aca="false">IF(ISBLANK($C112),"",IF(ISNUMBER($DC112),$DC112+ROW($B112)/1000,""))</f>
        <v/>
      </c>
      <c r="DH112" s="82" t="str">
        <f aca="false">IF(ISNUMBER($DG112),RANK($DG112,$DG$9:$DG$508,1),"")</f>
        <v/>
      </c>
      <c r="DI112" s="82" t="str">
        <f aca="false">IF(ISBLANK($C112),"",$B112)</f>
        <v/>
      </c>
      <c r="DJ112" s="82" t="str">
        <f aca="false">IF(ISBLANK($C112),"",$C112)</f>
        <v/>
      </c>
      <c r="DK112" s="82" t="str">
        <f aca="false">IF(ISBLANK($C112),"",$D112)</f>
        <v/>
      </c>
      <c r="DL112" s="83" t="str">
        <f aca="false">$CZ112</f>
        <v/>
      </c>
      <c r="DM112" s="84" t="str">
        <f aca="false">$CY112</f>
        <v/>
      </c>
      <c r="DN112" s="82" t="str">
        <f aca="false">IF(ISBLANK($C112),"",$DB112)</f>
        <v/>
      </c>
      <c r="DO112" s="85" t="str">
        <f aca="false">IF($DF112&gt;$DE$8,"",VLOOKUP($DF112,$DH$9:$DN$508,7,FALSE()))</f>
        <v/>
      </c>
      <c r="DP112" s="86" t="str">
        <f aca="false">IF($DF112&gt;$DE$8,"",VLOOKUP($DF112,$DH$9:$DN$508,2,FALSE()))</f>
        <v/>
      </c>
      <c r="DQ112" s="86" t="str">
        <f aca="false">IF($DF112&gt;$DE$8,"",VLOOKUP($DF112,$DH$9:$DN$508,3,FALSE()))</f>
        <v/>
      </c>
      <c r="DR112" s="86" t="str">
        <f aca="false">IF($DF112&gt;$DE$8,"",VLOOKUP($DF112,$DH$9:$DN$508,4,FALSE()))</f>
        <v/>
      </c>
      <c r="DS112" s="86" t="str">
        <f aca="false">IF($DF112&gt;$DE$8,"",VLOOKUP($DF112,$DH$9:$DN$508,5,FALSE()))</f>
        <v/>
      </c>
      <c r="DT112" s="87" t="str">
        <f aca="false">IF($DF112&gt;$DE$8,"",VLOOKUP($DF112,$DH$9:$DN$508,6,FALSE()))</f>
        <v/>
      </c>
      <c r="DU112" s="62"/>
    </row>
    <row r="113" customFormat="false" ht="15.75" hidden="false" customHeight="false" outlineLevel="0" collapsed="false">
      <c r="A113" s="7"/>
      <c r="B113" s="64"/>
      <c r="C113" s="65"/>
      <c r="D113" s="123"/>
      <c r="E113" s="88"/>
      <c r="F113" s="134"/>
      <c r="G113" s="88"/>
      <c r="H113" s="134"/>
      <c r="I113" s="119"/>
      <c r="J113" s="119"/>
      <c r="K113" s="119"/>
      <c r="L113" s="88"/>
      <c r="M113" s="88"/>
      <c r="N113" s="88"/>
      <c r="O113" s="134"/>
      <c r="P113" s="88"/>
      <c r="Q113" s="88"/>
      <c r="R113" s="88"/>
      <c r="S113" s="88"/>
      <c r="T113" s="134"/>
      <c r="U113" s="88"/>
      <c r="V113" s="70"/>
      <c r="W113" s="88"/>
      <c r="X113" s="88"/>
      <c r="Y113" s="70"/>
      <c r="Z113" s="70"/>
      <c r="AA113" s="88"/>
      <c r="AB113" s="88"/>
      <c r="AC113" s="71"/>
      <c r="AD113" s="88"/>
      <c r="AE113" s="73"/>
      <c r="AF113" s="74"/>
      <c r="AG113" s="74"/>
      <c r="AH113" s="74" t="str">
        <f aca="false">IF(ISBLANK($C113),"",IF($E113=Constants!$B$2,TRUE(),IF($E113=Constants!$B$3,FALSE(),TRUE())))</f>
        <v/>
      </c>
      <c r="AI113" s="74" t="str">
        <f aca="false">IF(ISBLANK($C113),"",IF($F113=Constants!$B$2,TRUE(),IF($F113=Constants!$B$3,FALSE(),FALSE())))</f>
        <v/>
      </c>
      <c r="AJ113" s="74" t="str">
        <f aca="false">IF(ISBLANK($C113),"",IF($G113=Constants!$B$2,TRUE(),IF($G113=Constants!$B$3,FALSE(),TRUE())))</f>
        <v/>
      </c>
      <c r="AK113" s="74" t="str">
        <f aca="false">IF(ISBLANK($C113),"",IF($H113=Constants!$B$2,TRUE(),IF($H113=Constants!$B$3,FALSE(),TRUE())))</f>
        <v/>
      </c>
      <c r="AL113" s="74" t="str">
        <f aca="false">IF(ISBLANK($C113),"",IF(ISNUMBER($I113),IF($I113&gt;=0,$I113,""),""))</f>
        <v/>
      </c>
      <c r="AM113" s="74" t="str">
        <f aca="false">IF(ISBLANK($C113),"",IF(ISNUMBER($J113),IF($J113&gt;=0,$J113,""),""))</f>
        <v/>
      </c>
      <c r="AN113" s="74" t="str">
        <f aca="false">IF(ISBLANK($C113),"",IF(ISNUMBER($K113),IF($K113&gt;=0,$K113,""),""))</f>
        <v/>
      </c>
      <c r="AO113" s="74" t="str">
        <f aca="false">IF(ISBLANK($C113),"",IF($L113=Constants!$B$2,TRUE(),IF($L113=Constants!$B$3,FALSE(),TRUE())))</f>
        <v/>
      </c>
      <c r="AP113" s="74" t="str">
        <f aca="false">IF(ISBLANK($C113),"",IF($M113=Constants!$B$2,TRUE(),IF($M113=Constants!$B$3,FALSE(),TRUE())))</f>
        <v/>
      </c>
      <c r="AQ113" s="74" t="str">
        <f aca="false">IF(ISBLANK($C113),"",IF($N113=Constants!$B$2,TRUE(),IF($N113=Constants!$B$3,FALSE(),FALSE())))</f>
        <v/>
      </c>
      <c r="AR113" s="74" t="str">
        <f aca="false">IF(ISBLANK($C113),"",IF($O113=Constants!$B$2,TRUE(),IF($O113=Constants!$B$3,FALSE(),TRUE())))</f>
        <v/>
      </c>
      <c r="AS113" s="74" t="str">
        <f aca="false">IF(ISBLANK($C113),"",IF($P113=Constants!$B$2,TRUE(),IF($P113=Constants!$B$3,FALSE(),FALSE())))</f>
        <v/>
      </c>
      <c r="AT113" s="74" t="str">
        <f aca="false">IF(ISBLANK($C113),"",IF($Q113=Constants!$B$2,TRUE(),IF($Q113=Constants!$B$3,FALSE(),FALSE())))</f>
        <v/>
      </c>
      <c r="AU113" s="74" t="str">
        <f aca="false">IF(ISBLANK($C113),"",IF($R113=Constants!$B$2,TRUE(),IF($R113=Constants!$B$3,FALSE(),FALSE())))</f>
        <v/>
      </c>
      <c r="AV113" s="74" t="str">
        <f aca="false">IF(ISBLANK($C113),"",IF($S113=Constants!$B$2,TRUE(),IF($S113=Constants!$B$3,FALSE(),FALSE())))</f>
        <v/>
      </c>
      <c r="AW113" s="74" t="str">
        <f aca="false">IF(ISBLANK($C113),"",IF($T113=Constants!$B$2,TRUE(),IF($T113=Constants!$B$3,FALSE(),FALSE())))</f>
        <v/>
      </c>
      <c r="AX113" s="74" t="str">
        <f aca="false">IF(ISBLANK($C113),"",IF(OR($U113&amp;""="1",$U113&amp;""="2",$U113&amp;""="3",$U113&amp;""="4"),VALUE($U113&amp;""),IF($U113=Constants!$B$12,Constants!$B$12,"")))</f>
        <v/>
      </c>
      <c r="AY113" s="74" t="str">
        <f aca="false">IF(ISBLANK($C113),"",IF(ISBLANK($V113),0,IF(ISNUMBER($V113),IF(AND($V113&gt;=0,$V113&lt;=Constants!$B$21,$V113=INT($V113)),$V113,""),"")))</f>
        <v/>
      </c>
      <c r="AZ113" s="74" t="str">
        <f aca="false">IF(ISBLANK($C113),"",IF(ISBLANK($W113),0,IF(ISNUMBER($W113),IF($W113&gt;=0,$W113,""),"")))</f>
        <v/>
      </c>
      <c r="BA113" s="74" t="str">
        <f aca="false">IF(ISBLANK($C113),"",IF($X113=Constants!$B$2,TRUE(),IF($X113=Constants!$B$3,FALSE(),TRUE())))</f>
        <v/>
      </c>
      <c r="BB113" s="74" t="str">
        <f aca="false">IF(ISBLANK($C113),"",IF($Y113=Constants!$B$2,TRUE(),IF($Y113=Constants!$B$3,FALSE(),FALSE())))</f>
        <v/>
      </c>
      <c r="BC113" s="74" t="str">
        <f aca="false">IF(ISBLANK($C113),"",IF(ISBLANK($Z113),0,IF(ISNUMBER($Z113),IF(AND($Z113&gt;=0,$Z113&lt;=Constants!$B$35,$Z113=INT($Z113)),$Z113,""),"")))</f>
        <v/>
      </c>
      <c r="BD113" s="74" t="str">
        <f aca="false">IF(ISBLANK($C113),"",IF($AA113=Constants!$B$2,TRUE(),IF($AA113=Constants!$B$3,FALSE(),TRUE())))</f>
        <v/>
      </c>
      <c r="BE113" s="74" t="str">
        <f aca="false">IF(ISBLANK($C113),"",IF($AB113=Constants!$B$2,TRUE(),IF($AB113=Constants!$B$3,FALSE(),TRUE())))</f>
        <v/>
      </c>
      <c r="BF113" s="74" t="str">
        <f aca="false">IF(ISBLANK($C113),"",IF(ISNUMBER($AC113),IF($AC113&gt;=0,$AC113,""),""))</f>
        <v/>
      </c>
      <c r="BG113" s="74" t="str">
        <f aca="false">IF(ISBLANK($C113),"",IF($AD113=Constants!$B$2,TRUE(),IF($AD113=Constants!$B$3,FALSE(),FALSE())))</f>
        <v/>
      </c>
      <c r="BH113" s="73" t="str">
        <f aca="false">IF(ISBLANK($C113),"",IF($BG113,Constants!$B$7,IF(COUNTA($E113:$AC113)=0,Constants!$B$6,IF(OR(COUNTA($G113:$AC113)=0,NOT($AK113),$AQ113),Constants!$B$5,IF(OR($CI113&lt;&gt;"",$CJ113,$CK113,$CL113,$CM113,$CN113,$CO113),Constants!$B$8,Constants!$B$4)))))</f>
        <v/>
      </c>
      <c r="BI113" s="74" t="str">
        <f aca="false">IF(ISBLANK($C113),"",IF($BH113&lt;&gt;Constants!$B$4,$BH113,IF(OR(NOT($AH113),NOT($AJ113),NOT($AR113)),Constants!$B$11,IF(OR(NOT($AP113),MAX($AL113,$AM113,$AN113)&gt;Constants!$B$30),Constants!$B$10,Constants!$B$9))))</f>
        <v/>
      </c>
      <c r="BJ113" s="74" t="str">
        <f aca="false">IF($BH113&lt;&gt;Constants!$B$4,"",IF(NOT($AJ113),0,MIN(Constants!$B$35,$BC113)))</f>
        <v/>
      </c>
      <c r="BK113" s="74" t="str">
        <f aca="false">IF($BH113&lt;&gt;Constants!$B$4,"",IF(NOT($AJ113),0,IF($AT113,Constants!$B$18,IF($AS113,Constants!$B$17,0))))</f>
        <v/>
      </c>
      <c r="BL113" s="74" t="str">
        <f aca="false">IF($BH113&lt;&gt;Constants!$B$4,"",IF(NOT($AJ113),0,Constants!$B$19*($AI113+$AU113+$AV113+$AW113)))</f>
        <v/>
      </c>
      <c r="BM113" s="74" t="str">
        <f aca="false">IF($BH113&lt;&gt;Constants!$B$4,"",IF(OR(NOT($AJ113),NOT(ISNUMBER($AX113))),0,CHOOSE($AX113,Constants!$B$13,Constants!$B$14,Constants!$B$15,Constants!$B$16)))</f>
        <v/>
      </c>
      <c r="BN113" s="74" t="str">
        <f aca="false">IF($BH113&lt;&gt;Constants!$B$4,"",IF(NOT($AJ113),0,Constants!$B$20*$AY113))</f>
        <v/>
      </c>
      <c r="BO113" s="74" t="str">
        <f aca="false">IF($BH113&lt;&gt;Constants!$B$4,"",IF(AND($AJ113,$BA113,$BB113),Constants!$B$22,0))</f>
        <v/>
      </c>
      <c r="BP113" s="74" t="str">
        <f aca="false">IF($BH113&lt;&gt;Constants!$B$4,"",IF(OR(NOT($AJ113),NOT($BA113)),0,IF($BF113&gt;=2*$AF$9,0,Constants!$B$23*INT(ROUND(MIN($BF113,$AF$9),6)))))</f>
        <v/>
      </c>
      <c r="BQ113" s="74" t="str">
        <f aca="false">IF($BH113&lt;&gt;Constants!$B$4,"",IF(NOT($AJ113),0,Constants!$B$24*INT(ROUND(MIN($AZ113,$AF$9),6))))</f>
        <v/>
      </c>
      <c r="BR113" s="74" t="str">
        <f aca="false">IF($BH113&lt;&gt;Constants!$B$4,"",IF(AND($AJ113,$BJ113=0),Constants!$B$25,0))</f>
        <v/>
      </c>
      <c r="BS113" s="74" t="str">
        <f aca="false">IF($BH113&lt;&gt;Constants!$B$4,"",MIN(Constants!$B$29,MAX(0,Constants!$B$27*Constants!$B$28*INT(ROUND((Constants!$B$26-$AL113)/Constants!$B$28,6))))+MIN(Constants!$B$29,MAX(0,Constants!$B$27*Constants!$B$28*INT(ROUND((Constants!$B$26-$AM113)/Constants!$B$28,6))))+MIN(Constants!$B$29,MAX(0,Constants!$B$27*Constants!$B$28*INT(ROUND((Constants!$B$26-$AN113)/Constants!$B$28,6)))))</f>
        <v/>
      </c>
      <c r="BT113" s="74" t="str">
        <f aca="false">IF($BH113&lt;&gt;Constants!$B$4,"",IF(NOT($AJ113),0,Constants!$B$31*INT(ROUND(MAX(0,MIN($BF113,2*$AF$9)-$AF$9),6))))</f>
        <v/>
      </c>
      <c r="BU113" s="74" t="str">
        <f aca="false">IF($BH113&lt;&gt;Constants!$B$4,"",Constants!$B$32*(($AL113&gt;Constants!$B$26)+($AM113&gt;Constants!$B$26)+($AN113&gt;Constants!$B$26)))</f>
        <v/>
      </c>
      <c r="BV113" s="74" t="str">
        <f aca="false">IF($BH113&lt;&gt;Constants!$B$4,"",IF(OR(NOT($AJ113),$AO113),0,Constants!$B$33))</f>
        <v/>
      </c>
      <c r="BW113" s="74" t="str">
        <f aca="false">IF($BH113&lt;&gt;Constants!$B$4,"",Constants!$B$34*$BJ113)</f>
        <v/>
      </c>
      <c r="BX113" s="74" t="str">
        <f aca="false">IF($BH113&lt;&gt;Constants!$B$4,"",IF(OR(NOT($AJ113),$BE113),0,Constants!$B$36))</f>
        <v/>
      </c>
      <c r="BY113" s="74" t="str">
        <f aca="false">IF($BH113&lt;&gt;Constants!$B$4,"",IF(OR(NOT($AJ113),$BD113),0,Constants!$B$37))</f>
        <v/>
      </c>
      <c r="BZ113" s="74" t="str">
        <f aca="false">IF($BH113&lt;&gt;Constants!$B$4,"",SUM($BT113:$BY113))</f>
        <v/>
      </c>
      <c r="CA113" s="74" t="str">
        <f aca="false">IF(ISBLANK($C113),"",IF($BH113&lt;&gt;Constants!$B$4,$BH113,SUM($BK113:$BS113)-$BZ113))</f>
        <v/>
      </c>
      <c r="CB113" s="74" t="str">
        <f aca="false">IF(ISBLANK($C113),"",IF($BH113&lt;&gt;Constants!$B$4,$BH113,RANK($CA113,$CA$9:$CA$508)))</f>
        <v/>
      </c>
      <c r="CC113" s="74" t="str">
        <f aca="false">IF(ISBLANK($C113),"",IF($BH113&lt;&gt;Constants!$B$4,$BH113,COUNTIFS($BI$9:$BI$508,"&lt;"&amp;$BI113)+COUNTIFS($BI$9:$BI$508,$BI113,$CB$9:$CB$508,"&lt;"&amp;$CB113)+1))</f>
        <v/>
      </c>
      <c r="CD113" s="74" t="str">
        <f aca="false">IF(ISBLANK($C113),"",IF($BH113&lt;&gt;Constants!$B$4,$BH113,RANK($BZ113,$BZ$9:$BZ$508,1)))</f>
        <v/>
      </c>
      <c r="CE113" s="74" t="str">
        <f aca="false">IF($BH113&lt;&gt;Constants!$B$4,"",$AL113+$AM113+$AN113)</f>
        <v/>
      </c>
      <c r="CF113" s="74" t="str">
        <f aca="false">IF(ISBLANK($C113),"",IF($BH113&lt;&gt;Constants!$B$4,$BH113,RANK($CE113,$CE$9:$CE$508,1)))</f>
        <v/>
      </c>
      <c r="CG113" s="74" t="str">
        <f aca="false">IF(ISBLANK($C113),"",IF($BH113&lt;&gt;Constants!$B$4,$BH113,COUNTIFS($BI$9:$BI$508,"&lt;"&amp;$BI113)+COUNTIFS($BI$9:$BI$508,$BI113,$CB$9:$CB$508,"&lt;"&amp;$CB113)+COUNTIFS($BI$9:$BI$508,$BI113,$CB$9:$CB$508,$CB113,$CD$9:$CD$508,"&lt;"&amp;$CD113)+COUNTIFS($BI$9:$BI$508,$BI113,$CB$9:$CB$508,$CB113,$CD$9:$CD$508,$CD113,$CF$9:$CF$508,"&lt;"&amp;$CF113)+1))</f>
        <v/>
      </c>
      <c r="CH113" s="74" t="str">
        <f aca="false">IF(ISBLANK($C113),"",IF($BH113&lt;&gt;Constants!$B$4,$BH113,$CC113-$CG113))</f>
        <v/>
      </c>
      <c r="CI113" s="74" t="str">
        <f aca="false">IF(ISBLANK($C113),"",IF(NOT($AJ113),"",IF(ISBLANK($D$7),$CI$5,IF(NOT(ISNUMBER($D$7)),$CI$6,""))))</f>
        <v/>
      </c>
      <c r="CJ113" s="74" t="str">
        <f aca="false">IF(ISBLANK($C113),"",OR($AL113="",$AM113="",$AN113=""))</f>
        <v/>
      </c>
      <c r="CK113" s="74" t="str">
        <f aca="false">IF(ISBLANK($C113),"",AND($AJ113,$AX113=""))</f>
        <v/>
      </c>
      <c r="CL113" s="74" t="str">
        <f aca="false">IF(ISBLANK($C113),"",AND($AJ113,$AY113=""))</f>
        <v/>
      </c>
      <c r="CM113" s="74" t="str">
        <f aca="false">IF(ISBLANK($C113),"",AND($AJ113,$AZ113=""))</f>
        <v/>
      </c>
      <c r="CN113" s="74" t="str">
        <f aca="false">IF(ISBLANK($C113),"",AND($AJ113,$BC113=""))</f>
        <v/>
      </c>
      <c r="CO113" s="74" t="str">
        <f aca="false">IF(ISBLANK($C113),"",AND($AJ113,$BF113=""))</f>
        <v/>
      </c>
      <c r="CP113" s="75"/>
      <c r="CQ113" s="76"/>
      <c r="CR113" s="79" t="str">
        <f aca="false">IF(ISBLANK($C113),"",IF($BH113=Constants!$B$8,$CI113,""))</f>
        <v/>
      </c>
      <c r="CS113" s="76" t="str">
        <f aca="false">IF(ISBLANK($C113),"",IF($BH113&lt;&gt;Constants!$B$4,"",$BK113+$BL113))</f>
        <v/>
      </c>
      <c r="CT113" s="78" t="str">
        <f aca="false">IF(ISBLANK($C113),"",IF($BH113&lt;&gt;Constants!$B$4,"",$BM113+$BN113+$BO113))</f>
        <v/>
      </c>
      <c r="CU113" s="78" t="str">
        <f aca="false">IF(ISBLANK($C113),"",IF($BH113&lt;&gt;Constants!$B$4,"",$BP113))</f>
        <v/>
      </c>
      <c r="CV113" s="78" t="str">
        <f aca="false">IF(ISBLANK($C113),"",IF($BH113&lt;&gt;Constants!$B$4,"",$BQ113+$BR113))</f>
        <v/>
      </c>
      <c r="CW113" s="78" t="str">
        <f aca="false">IF(ISBLANK($C113),"",IF($BH113&lt;&gt;Constants!$B$4,"",$BS113))</f>
        <v/>
      </c>
      <c r="CX113" s="78" t="str">
        <f aca="false">IF(ISBLANK($C113),"",IF($BH113&lt;&gt;Constants!$B$4,"",-$BZ113))</f>
        <v/>
      </c>
      <c r="CY113" s="79" t="str">
        <f aca="false">IF(ISBLANK($C113),"",$CA113)</f>
        <v/>
      </c>
      <c r="CZ113" s="80" t="str">
        <f aca="false">IF(ISBLANK($C113),"",$BI113)</f>
        <v/>
      </c>
      <c r="DA113" s="78" t="str">
        <f aca="false">IF(ISBLANK($C113),"",$CH113)</f>
        <v/>
      </c>
      <c r="DB113" s="78" t="str">
        <f aca="false">IF(ISBLANK($C113),"",$CG113)</f>
        <v/>
      </c>
      <c r="DC113" s="81" t="str">
        <f aca="false">IF(ISBLANK($C113),"",IFERROR(_xlfn.SWITCH($DB113,Constants!$B$7,COUNTA($C$9:$C$508)+2,Constants!$B$6,COUNTA($C$9:$C$508)+1,Constants!$B$5,COUNTA($C$9:$C$508)),$DB113))</f>
        <v/>
      </c>
      <c r="DD113" s="7"/>
      <c r="DE113" s="82" t="n">
        <f aca="false">IF(OR(ISNUMBER($DB113),$DB113=Constants!$B$7,$DB113=Constants!$B$5,$DB113=Constants!$B$6),1,0)</f>
        <v>0</v>
      </c>
      <c r="DF113" s="82" t="n">
        <v>105</v>
      </c>
      <c r="DG113" s="82" t="str">
        <f aca="false">IF(ISBLANK($C113),"",IF(ISNUMBER($DC113),$DC113+ROW($B113)/1000,""))</f>
        <v/>
      </c>
      <c r="DH113" s="82" t="str">
        <f aca="false">IF(ISNUMBER($DG113),RANK($DG113,$DG$9:$DG$508,1),"")</f>
        <v/>
      </c>
      <c r="DI113" s="82" t="str">
        <f aca="false">IF(ISBLANK($C113),"",$B113)</f>
        <v/>
      </c>
      <c r="DJ113" s="82" t="str">
        <f aca="false">IF(ISBLANK($C113),"",$C113)</f>
        <v/>
      </c>
      <c r="DK113" s="82" t="str">
        <f aca="false">IF(ISBLANK($C113),"",$D113)</f>
        <v/>
      </c>
      <c r="DL113" s="83" t="str">
        <f aca="false">$CZ113</f>
        <v/>
      </c>
      <c r="DM113" s="84" t="str">
        <f aca="false">$CY113</f>
        <v/>
      </c>
      <c r="DN113" s="82" t="str">
        <f aca="false">IF(ISBLANK($C113),"",$DB113)</f>
        <v/>
      </c>
      <c r="DO113" s="85" t="str">
        <f aca="false">IF($DF113&gt;$DE$8,"",VLOOKUP($DF113,$DH$9:$DN$508,7,FALSE()))</f>
        <v/>
      </c>
      <c r="DP113" s="86" t="str">
        <f aca="false">IF($DF113&gt;$DE$8,"",VLOOKUP($DF113,$DH$9:$DN$508,2,FALSE()))</f>
        <v/>
      </c>
      <c r="DQ113" s="86" t="str">
        <f aca="false">IF($DF113&gt;$DE$8,"",VLOOKUP($DF113,$DH$9:$DN$508,3,FALSE()))</f>
        <v/>
      </c>
      <c r="DR113" s="86" t="str">
        <f aca="false">IF($DF113&gt;$DE$8,"",VLOOKUP($DF113,$DH$9:$DN$508,4,FALSE()))</f>
        <v/>
      </c>
      <c r="DS113" s="86" t="str">
        <f aca="false">IF($DF113&gt;$DE$8,"",VLOOKUP($DF113,$DH$9:$DN$508,5,FALSE()))</f>
        <v/>
      </c>
      <c r="DT113" s="87" t="str">
        <f aca="false">IF($DF113&gt;$DE$8,"",VLOOKUP($DF113,$DH$9:$DN$508,6,FALSE()))</f>
        <v/>
      </c>
      <c r="DU113" s="62"/>
    </row>
    <row r="114" customFormat="false" ht="15.75" hidden="false" customHeight="false" outlineLevel="0" collapsed="false">
      <c r="A114" s="7"/>
      <c r="B114" s="90"/>
      <c r="C114" s="91"/>
      <c r="D114" s="126"/>
      <c r="E114" s="130"/>
      <c r="F114" s="135"/>
      <c r="G114" s="130"/>
      <c r="H114" s="135"/>
      <c r="I114" s="131"/>
      <c r="J114" s="131"/>
      <c r="K114" s="131"/>
      <c r="L114" s="130"/>
      <c r="M114" s="130"/>
      <c r="N114" s="130"/>
      <c r="O114" s="135"/>
      <c r="P114" s="130"/>
      <c r="Q114" s="130"/>
      <c r="R114" s="130"/>
      <c r="S114" s="130"/>
      <c r="T114" s="135"/>
      <c r="U114" s="130"/>
      <c r="V114" s="96"/>
      <c r="W114" s="130"/>
      <c r="X114" s="130"/>
      <c r="Y114" s="96"/>
      <c r="Z114" s="96"/>
      <c r="AA114" s="130"/>
      <c r="AB114" s="130"/>
      <c r="AC114" s="97"/>
      <c r="AD114" s="130"/>
      <c r="AE114" s="99"/>
      <c r="AF114" s="100"/>
      <c r="AG114" s="100"/>
      <c r="AH114" s="100" t="str">
        <f aca="false">IF(ISBLANK($C114),"",IF($E114=Constants!$B$2,TRUE(),IF($E114=Constants!$B$3,FALSE(),TRUE())))</f>
        <v/>
      </c>
      <c r="AI114" s="100" t="str">
        <f aca="false">IF(ISBLANK($C114),"",IF($F114=Constants!$B$2,TRUE(),IF($F114=Constants!$B$3,FALSE(),FALSE())))</f>
        <v/>
      </c>
      <c r="AJ114" s="100" t="str">
        <f aca="false">IF(ISBLANK($C114),"",IF($G114=Constants!$B$2,TRUE(),IF($G114=Constants!$B$3,FALSE(),TRUE())))</f>
        <v/>
      </c>
      <c r="AK114" s="100" t="str">
        <f aca="false">IF(ISBLANK($C114),"",IF($H114=Constants!$B$2,TRUE(),IF($H114=Constants!$B$3,FALSE(),TRUE())))</f>
        <v/>
      </c>
      <c r="AL114" s="100" t="str">
        <f aca="false">IF(ISBLANK($C114),"",IF(ISNUMBER($I114),IF($I114&gt;=0,$I114,""),""))</f>
        <v/>
      </c>
      <c r="AM114" s="100" t="str">
        <f aca="false">IF(ISBLANK($C114),"",IF(ISNUMBER($J114),IF($J114&gt;=0,$J114,""),""))</f>
        <v/>
      </c>
      <c r="AN114" s="100" t="str">
        <f aca="false">IF(ISBLANK($C114),"",IF(ISNUMBER($K114),IF($K114&gt;=0,$K114,""),""))</f>
        <v/>
      </c>
      <c r="AO114" s="100" t="str">
        <f aca="false">IF(ISBLANK($C114),"",IF($L114=Constants!$B$2,TRUE(),IF($L114=Constants!$B$3,FALSE(),TRUE())))</f>
        <v/>
      </c>
      <c r="AP114" s="100" t="str">
        <f aca="false">IF(ISBLANK($C114),"",IF($M114=Constants!$B$2,TRUE(),IF($M114=Constants!$B$3,FALSE(),TRUE())))</f>
        <v/>
      </c>
      <c r="AQ114" s="100" t="str">
        <f aca="false">IF(ISBLANK($C114),"",IF($N114=Constants!$B$2,TRUE(),IF($N114=Constants!$B$3,FALSE(),FALSE())))</f>
        <v/>
      </c>
      <c r="AR114" s="100" t="str">
        <f aca="false">IF(ISBLANK($C114),"",IF($O114=Constants!$B$2,TRUE(),IF($O114=Constants!$B$3,FALSE(),TRUE())))</f>
        <v/>
      </c>
      <c r="AS114" s="100" t="str">
        <f aca="false">IF(ISBLANK($C114),"",IF($P114=Constants!$B$2,TRUE(),IF($P114=Constants!$B$3,FALSE(),FALSE())))</f>
        <v/>
      </c>
      <c r="AT114" s="100" t="str">
        <f aca="false">IF(ISBLANK($C114),"",IF($Q114=Constants!$B$2,TRUE(),IF($Q114=Constants!$B$3,FALSE(),FALSE())))</f>
        <v/>
      </c>
      <c r="AU114" s="100" t="str">
        <f aca="false">IF(ISBLANK($C114),"",IF($R114=Constants!$B$2,TRUE(),IF($R114=Constants!$B$3,FALSE(),FALSE())))</f>
        <v/>
      </c>
      <c r="AV114" s="100" t="str">
        <f aca="false">IF(ISBLANK($C114),"",IF($S114=Constants!$B$2,TRUE(),IF($S114=Constants!$B$3,FALSE(),FALSE())))</f>
        <v/>
      </c>
      <c r="AW114" s="100" t="str">
        <f aca="false">IF(ISBLANK($C114),"",IF($T114=Constants!$B$2,TRUE(),IF($T114=Constants!$B$3,FALSE(),FALSE())))</f>
        <v/>
      </c>
      <c r="AX114" s="100" t="str">
        <f aca="false">IF(ISBLANK($C114),"",IF(OR($U114&amp;""="1",$U114&amp;""="2",$U114&amp;""="3",$U114&amp;""="4"),VALUE($U114&amp;""),IF($U114=Constants!$B$12,Constants!$B$12,"")))</f>
        <v/>
      </c>
      <c r="AY114" s="100" t="str">
        <f aca="false">IF(ISBLANK($C114),"",IF(ISBLANK($V114),0,IF(ISNUMBER($V114),IF(AND($V114&gt;=0,$V114&lt;=Constants!$B$21,$V114=INT($V114)),$V114,""),"")))</f>
        <v/>
      </c>
      <c r="AZ114" s="100" t="str">
        <f aca="false">IF(ISBLANK($C114),"",IF(ISBLANK($W114),0,IF(ISNUMBER($W114),IF($W114&gt;=0,$W114,""),"")))</f>
        <v/>
      </c>
      <c r="BA114" s="100" t="str">
        <f aca="false">IF(ISBLANK($C114),"",IF($X114=Constants!$B$2,TRUE(),IF($X114=Constants!$B$3,FALSE(),TRUE())))</f>
        <v/>
      </c>
      <c r="BB114" s="100" t="str">
        <f aca="false">IF(ISBLANK($C114),"",IF($Y114=Constants!$B$2,TRUE(),IF($Y114=Constants!$B$3,FALSE(),FALSE())))</f>
        <v/>
      </c>
      <c r="BC114" s="100" t="str">
        <f aca="false">IF(ISBLANK($C114),"",IF(ISBLANK($Z114),0,IF(ISNUMBER($Z114),IF(AND($Z114&gt;=0,$Z114&lt;=Constants!$B$35,$Z114=INT($Z114)),$Z114,""),"")))</f>
        <v/>
      </c>
      <c r="BD114" s="100" t="str">
        <f aca="false">IF(ISBLANK($C114),"",IF($AA114=Constants!$B$2,TRUE(),IF($AA114=Constants!$B$3,FALSE(),TRUE())))</f>
        <v/>
      </c>
      <c r="BE114" s="100" t="str">
        <f aca="false">IF(ISBLANK($C114),"",IF($AB114=Constants!$B$2,TRUE(),IF($AB114=Constants!$B$3,FALSE(),TRUE())))</f>
        <v/>
      </c>
      <c r="BF114" s="100" t="str">
        <f aca="false">IF(ISBLANK($C114),"",IF(ISNUMBER($AC114),IF($AC114&gt;=0,$AC114,""),""))</f>
        <v/>
      </c>
      <c r="BG114" s="100" t="str">
        <f aca="false">IF(ISBLANK($C114),"",IF($AD114=Constants!$B$2,TRUE(),IF($AD114=Constants!$B$3,FALSE(),FALSE())))</f>
        <v/>
      </c>
      <c r="BH114" s="99" t="str">
        <f aca="false">IF(ISBLANK($C114),"",IF($BG114,Constants!$B$7,IF(COUNTA($E114:$AC114)=0,Constants!$B$6,IF(OR(COUNTA($G114:$AC114)=0,NOT($AK114),$AQ114),Constants!$B$5,IF(OR($CI114&lt;&gt;"",$CJ114,$CK114,$CL114,$CM114,$CN114,$CO114),Constants!$B$8,Constants!$B$4)))))</f>
        <v/>
      </c>
      <c r="BI114" s="100" t="str">
        <f aca="false">IF(ISBLANK($C114),"",IF($BH114&lt;&gt;Constants!$B$4,$BH114,IF(OR(NOT($AH114),NOT($AJ114),NOT($AR114)),Constants!$B$11,IF(OR(NOT($AP114),MAX($AL114,$AM114,$AN114)&gt;Constants!$B$30),Constants!$B$10,Constants!$B$9))))</f>
        <v/>
      </c>
      <c r="BJ114" s="100" t="str">
        <f aca="false">IF($BH114&lt;&gt;Constants!$B$4,"",IF(NOT($AJ114),0,MIN(Constants!$B$35,$BC114)))</f>
        <v/>
      </c>
      <c r="BK114" s="100" t="str">
        <f aca="false">IF($BH114&lt;&gt;Constants!$B$4,"",IF(NOT($AJ114),0,IF($AT114,Constants!$B$18,IF($AS114,Constants!$B$17,0))))</f>
        <v/>
      </c>
      <c r="BL114" s="100" t="str">
        <f aca="false">IF($BH114&lt;&gt;Constants!$B$4,"",IF(NOT($AJ114),0,Constants!$B$19*($AI114+$AU114+$AV114+$AW114)))</f>
        <v/>
      </c>
      <c r="BM114" s="100" t="str">
        <f aca="false">IF($BH114&lt;&gt;Constants!$B$4,"",IF(OR(NOT($AJ114),NOT(ISNUMBER($AX114))),0,CHOOSE($AX114,Constants!$B$13,Constants!$B$14,Constants!$B$15,Constants!$B$16)))</f>
        <v/>
      </c>
      <c r="BN114" s="100" t="str">
        <f aca="false">IF($BH114&lt;&gt;Constants!$B$4,"",IF(NOT($AJ114),0,Constants!$B$20*$AY114))</f>
        <v/>
      </c>
      <c r="BO114" s="100" t="str">
        <f aca="false">IF($BH114&lt;&gt;Constants!$B$4,"",IF(AND($AJ114,$BA114,$BB114),Constants!$B$22,0))</f>
        <v/>
      </c>
      <c r="BP114" s="100" t="str">
        <f aca="false">IF($BH114&lt;&gt;Constants!$B$4,"",IF(OR(NOT($AJ114),NOT($BA114)),0,IF($BF114&gt;=2*$AF$9,0,Constants!$B$23*INT(ROUND(MIN($BF114,$AF$9),6)))))</f>
        <v/>
      </c>
      <c r="BQ114" s="100" t="str">
        <f aca="false">IF($BH114&lt;&gt;Constants!$B$4,"",IF(NOT($AJ114),0,Constants!$B$24*INT(ROUND(MIN($AZ114,$AF$9),6))))</f>
        <v/>
      </c>
      <c r="BR114" s="100" t="str">
        <f aca="false">IF($BH114&lt;&gt;Constants!$B$4,"",IF(AND($AJ114,$BJ114=0),Constants!$B$25,0))</f>
        <v/>
      </c>
      <c r="BS114" s="100" t="str">
        <f aca="false">IF($BH114&lt;&gt;Constants!$B$4,"",MIN(Constants!$B$29,MAX(0,Constants!$B$27*Constants!$B$28*INT(ROUND((Constants!$B$26-$AL114)/Constants!$B$28,6))))+MIN(Constants!$B$29,MAX(0,Constants!$B$27*Constants!$B$28*INT(ROUND((Constants!$B$26-$AM114)/Constants!$B$28,6))))+MIN(Constants!$B$29,MAX(0,Constants!$B$27*Constants!$B$28*INT(ROUND((Constants!$B$26-$AN114)/Constants!$B$28,6)))))</f>
        <v/>
      </c>
      <c r="BT114" s="100" t="str">
        <f aca="false">IF($BH114&lt;&gt;Constants!$B$4,"",IF(NOT($AJ114),0,Constants!$B$31*INT(ROUND(MAX(0,MIN($BF114,2*$AF$9)-$AF$9),6))))</f>
        <v/>
      </c>
      <c r="BU114" s="100" t="str">
        <f aca="false">IF($BH114&lt;&gt;Constants!$B$4,"",Constants!$B$32*(($AL114&gt;Constants!$B$26)+($AM114&gt;Constants!$B$26)+($AN114&gt;Constants!$B$26)))</f>
        <v/>
      </c>
      <c r="BV114" s="100" t="str">
        <f aca="false">IF($BH114&lt;&gt;Constants!$B$4,"",IF(OR(NOT($AJ114),$AO114),0,Constants!$B$33))</f>
        <v/>
      </c>
      <c r="BW114" s="100" t="str">
        <f aca="false">IF($BH114&lt;&gt;Constants!$B$4,"",Constants!$B$34*$BJ114)</f>
        <v/>
      </c>
      <c r="BX114" s="100" t="str">
        <f aca="false">IF($BH114&lt;&gt;Constants!$B$4,"",IF(OR(NOT($AJ114),$BE114),0,Constants!$B$36))</f>
        <v/>
      </c>
      <c r="BY114" s="100" t="str">
        <f aca="false">IF($BH114&lt;&gt;Constants!$B$4,"",IF(OR(NOT($AJ114),$BD114),0,Constants!$B$37))</f>
        <v/>
      </c>
      <c r="BZ114" s="100" t="str">
        <f aca="false">IF($BH114&lt;&gt;Constants!$B$4,"",SUM($BT114:$BY114))</f>
        <v/>
      </c>
      <c r="CA114" s="100" t="str">
        <f aca="false">IF(ISBLANK($C114),"",IF($BH114&lt;&gt;Constants!$B$4,$BH114,SUM($BK114:$BS114)-$BZ114))</f>
        <v/>
      </c>
      <c r="CB114" s="100" t="str">
        <f aca="false">IF(ISBLANK($C114),"",IF($BH114&lt;&gt;Constants!$B$4,$BH114,RANK($CA114,$CA$9:$CA$508)))</f>
        <v/>
      </c>
      <c r="CC114" s="100" t="str">
        <f aca="false">IF(ISBLANK($C114),"",IF($BH114&lt;&gt;Constants!$B$4,$BH114,COUNTIFS($BI$9:$BI$508,"&lt;"&amp;$BI114)+COUNTIFS($BI$9:$BI$508,$BI114,$CB$9:$CB$508,"&lt;"&amp;$CB114)+1))</f>
        <v/>
      </c>
      <c r="CD114" s="100" t="str">
        <f aca="false">IF(ISBLANK($C114),"",IF($BH114&lt;&gt;Constants!$B$4,$BH114,RANK($BZ114,$BZ$9:$BZ$508,1)))</f>
        <v/>
      </c>
      <c r="CE114" s="100" t="str">
        <f aca="false">IF($BH114&lt;&gt;Constants!$B$4,"",$AL114+$AM114+$AN114)</f>
        <v/>
      </c>
      <c r="CF114" s="100" t="str">
        <f aca="false">IF(ISBLANK($C114),"",IF($BH114&lt;&gt;Constants!$B$4,$BH114,RANK($CE114,$CE$9:$CE$508,1)))</f>
        <v/>
      </c>
      <c r="CG114" s="100" t="str">
        <f aca="false">IF(ISBLANK($C114),"",IF($BH114&lt;&gt;Constants!$B$4,$BH114,COUNTIFS($BI$9:$BI$508,"&lt;"&amp;$BI114)+COUNTIFS($BI$9:$BI$508,$BI114,$CB$9:$CB$508,"&lt;"&amp;$CB114)+COUNTIFS($BI$9:$BI$508,$BI114,$CB$9:$CB$508,$CB114,$CD$9:$CD$508,"&lt;"&amp;$CD114)+COUNTIFS($BI$9:$BI$508,$BI114,$CB$9:$CB$508,$CB114,$CD$9:$CD$508,$CD114,$CF$9:$CF$508,"&lt;"&amp;$CF114)+1))</f>
        <v/>
      </c>
      <c r="CH114" s="100" t="str">
        <f aca="false">IF(ISBLANK($C114),"",IF($BH114&lt;&gt;Constants!$B$4,$BH114,$CC114-$CG114))</f>
        <v/>
      </c>
      <c r="CI114" s="100" t="str">
        <f aca="false">IF(ISBLANK($C114),"",IF(NOT($AJ114),"",IF(ISBLANK($D$7),$CI$5,IF(NOT(ISNUMBER($D$7)),$CI$6,""))))</f>
        <v/>
      </c>
      <c r="CJ114" s="100" t="str">
        <f aca="false">IF(ISBLANK($C114),"",OR($AL114="",$AM114="",$AN114=""))</f>
        <v/>
      </c>
      <c r="CK114" s="100" t="str">
        <f aca="false">IF(ISBLANK($C114),"",AND($AJ114,$AX114=""))</f>
        <v/>
      </c>
      <c r="CL114" s="100" t="str">
        <f aca="false">IF(ISBLANK($C114),"",AND($AJ114,$AY114=""))</f>
        <v/>
      </c>
      <c r="CM114" s="100" t="str">
        <f aca="false">IF(ISBLANK($C114),"",AND($AJ114,$AZ114=""))</f>
        <v/>
      </c>
      <c r="CN114" s="100" t="str">
        <f aca="false">IF(ISBLANK($C114),"",AND($AJ114,$BC114=""))</f>
        <v/>
      </c>
      <c r="CO114" s="100" t="str">
        <f aca="false">IF(ISBLANK($C114),"",AND($AJ114,$BF114=""))</f>
        <v/>
      </c>
      <c r="CP114" s="101"/>
      <c r="CQ114" s="102"/>
      <c r="CR114" s="103" t="str">
        <f aca="false">IF(ISBLANK($C114),"",IF($BH114=Constants!$B$8,$CI114,""))</f>
        <v/>
      </c>
      <c r="CS114" s="102" t="str">
        <f aca="false">IF(ISBLANK($C114),"",IF($BH114&lt;&gt;Constants!$B$4,"",$BK114+$BL114))</f>
        <v/>
      </c>
      <c r="CT114" s="104" t="str">
        <f aca="false">IF(ISBLANK($C114),"",IF($BH114&lt;&gt;Constants!$B$4,"",$BM114+$BN114+$BO114))</f>
        <v/>
      </c>
      <c r="CU114" s="104" t="str">
        <f aca="false">IF(ISBLANK($C114),"",IF($BH114&lt;&gt;Constants!$B$4,"",$BP114))</f>
        <v/>
      </c>
      <c r="CV114" s="104" t="str">
        <f aca="false">IF(ISBLANK($C114),"",IF($BH114&lt;&gt;Constants!$B$4,"",$BQ114+$BR114))</f>
        <v/>
      </c>
      <c r="CW114" s="104" t="str">
        <f aca="false">IF(ISBLANK($C114),"",IF($BH114&lt;&gt;Constants!$B$4,"",$BS114))</f>
        <v/>
      </c>
      <c r="CX114" s="104" t="str">
        <f aca="false">IF(ISBLANK($C114),"",IF($BH114&lt;&gt;Constants!$B$4,"",-$BZ114))</f>
        <v/>
      </c>
      <c r="CY114" s="103" t="str">
        <f aca="false">IF(ISBLANK($C114),"",$CA114)</f>
        <v/>
      </c>
      <c r="CZ114" s="105" t="str">
        <f aca="false">IF(ISBLANK($C114),"",$BI114)</f>
        <v/>
      </c>
      <c r="DA114" s="104" t="str">
        <f aca="false">IF(ISBLANK($C114),"",$CH114)</f>
        <v/>
      </c>
      <c r="DB114" s="104" t="str">
        <f aca="false">IF(ISBLANK($C114),"",$CG114)</f>
        <v/>
      </c>
      <c r="DC114" s="106" t="str">
        <f aca="false">IF(ISBLANK($C114),"",IFERROR(_xlfn.SWITCH($DB114,Constants!$B$7,COUNTA($C$9:$C$508)+2,Constants!$B$6,COUNTA($C$9:$C$508)+1,Constants!$B$5,COUNTA($C$9:$C$508)),$DB114))</f>
        <v/>
      </c>
      <c r="DD114" s="7"/>
      <c r="DE114" s="107" t="n">
        <f aca="false">IF(OR(ISNUMBER($DB114),$DB114=Constants!$B$7,$DB114=Constants!$B$5,$DB114=Constants!$B$6),1,0)</f>
        <v>0</v>
      </c>
      <c r="DF114" s="107" t="n">
        <v>106</v>
      </c>
      <c r="DG114" s="107" t="str">
        <f aca="false">IF(ISBLANK($C114),"",IF(ISNUMBER($DC114),$DC114+ROW($B114)/1000,""))</f>
        <v/>
      </c>
      <c r="DH114" s="107" t="str">
        <f aca="false">IF(ISNUMBER($DG114),RANK($DG114,$DG$9:$DG$508,1),"")</f>
        <v/>
      </c>
      <c r="DI114" s="107" t="str">
        <f aca="false">IF(ISBLANK($C114),"",$B114)</f>
        <v/>
      </c>
      <c r="DJ114" s="107" t="str">
        <f aca="false">IF(ISBLANK($C114),"",$C114)</f>
        <v/>
      </c>
      <c r="DK114" s="107" t="str">
        <f aca="false">IF(ISBLANK($C114),"",$D114)</f>
        <v/>
      </c>
      <c r="DL114" s="108" t="str">
        <f aca="false">$CZ114</f>
        <v/>
      </c>
      <c r="DM114" s="109" t="str">
        <f aca="false">$CY114</f>
        <v/>
      </c>
      <c r="DN114" s="107" t="str">
        <f aca="false">IF(ISBLANK($C114),"",$DB114)</f>
        <v/>
      </c>
      <c r="DO114" s="110" t="str">
        <f aca="false">IF($DF114&gt;$DE$8,"",VLOOKUP($DF114,$DH$9:$DN$508,7,FALSE()))</f>
        <v/>
      </c>
      <c r="DP114" s="111" t="str">
        <f aca="false">IF($DF114&gt;$DE$8,"",VLOOKUP($DF114,$DH$9:$DN$508,2,FALSE()))</f>
        <v/>
      </c>
      <c r="DQ114" s="111" t="str">
        <f aca="false">IF($DF114&gt;$DE$8,"",VLOOKUP($DF114,$DH$9:$DN$508,3,FALSE()))</f>
        <v/>
      </c>
      <c r="DR114" s="111" t="str">
        <f aca="false">IF($DF114&gt;$DE$8,"",VLOOKUP($DF114,$DH$9:$DN$508,4,FALSE()))</f>
        <v/>
      </c>
      <c r="DS114" s="111" t="str">
        <f aca="false">IF($DF114&gt;$DE$8,"",VLOOKUP($DF114,$DH$9:$DN$508,5,FALSE()))</f>
        <v/>
      </c>
      <c r="DT114" s="112" t="str">
        <f aca="false">IF($DF114&gt;$DE$8,"",VLOOKUP($DF114,$DH$9:$DN$508,6,FALSE()))</f>
        <v/>
      </c>
      <c r="DU114" s="62"/>
    </row>
    <row r="115" customFormat="false" ht="15.75" hidden="false" customHeight="false" outlineLevel="0" collapsed="false">
      <c r="A115" s="7"/>
      <c r="B115" s="90"/>
      <c r="C115" s="91"/>
      <c r="D115" s="126"/>
      <c r="E115" s="130"/>
      <c r="F115" s="135"/>
      <c r="G115" s="130"/>
      <c r="H115" s="135"/>
      <c r="I115" s="131"/>
      <c r="J115" s="131"/>
      <c r="K115" s="131"/>
      <c r="L115" s="130"/>
      <c r="M115" s="130"/>
      <c r="N115" s="130"/>
      <c r="O115" s="135"/>
      <c r="P115" s="130"/>
      <c r="Q115" s="130"/>
      <c r="R115" s="130"/>
      <c r="S115" s="130"/>
      <c r="T115" s="135"/>
      <c r="U115" s="130"/>
      <c r="V115" s="96"/>
      <c r="W115" s="130"/>
      <c r="X115" s="130"/>
      <c r="Y115" s="96"/>
      <c r="Z115" s="96"/>
      <c r="AA115" s="130"/>
      <c r="AB115" s="130"/>
      <c r="AC115" s="97"/>
      <c r="AD115" s="130"/>
      <c r="AE115" s="99"/>
      <c r="AF115" s="100"/>
      <c r="AG115" s="100"/>
      <c r="AH115" s="100" t="str">
        <f aca="false">IF(ISBLANK($C115),"",IF($E115=Constants!$B$2,TRUE(),IF($E115=Constants!$B$3,FALSE(),TRUE())))</f>
        <v/>
      </c>
      <c r="AI115" s="100" t="str">
        <f aca="false">IF(ISBLANK($C115),"",IF($F115=Constants!$B$2,TRUE(),IF($F115=Constants!$B$3,FALSE(),FALSE())))</f>
        <v/>
      </c>
      <c r="AJ115" s="100" t="str">
        <f aca="false">IF(ISBLANK($C115),"",IF($G115=Constants!$B$2,TRUE(),IF($G115=Constants!$B$3,FALSE(),TRUE())))</f>
        <v/>
      </c>
      <c r="AK115" s="100" t="str">
        <f aca="false">IF(ISBLANK($C115),"",IF($H115=Constants!$B$2,TRUE(),IF($H115=Constants!$B$3,FALSE(),TRUE())))</f>
        <v/>
      </c>
      <c r="AL115" s="100" t="str">
        <f aca="false">IF(ISBLANK($C115),"",IF(ISNUMBER($I115),IF($I115&gt;=0,$I115,""),""))</f>
        <v/>
      </c>
      <c r="AM115" s="100" t="str">
        <f aca="false">IF(ISBLANK($C115),"",IF(ISNUMBER($J115),IF($J115&gt;=0,$J115,""),""))</f>
        <v/>
      </c>
      <c r="AN115" s="100" t="str">
        <f aca="false">IF(ISBLANK($C115),"",IF(ISNUMBER($K115),IF($K115&gt;=0,$K115,""),""))</f>
        <v/>
      </c>
      <c r="AO115" s="100" t="str">
        <f aca="false">IF(ISBLANK($C115),"",IF($L115=Constants!$B$2,TRUE(),IF($L115=Constants!$B$3,FALSE(),TRUE())))</f>
        <v/>
      </c>
      <c r="AP115" s="100" t="str">
        <f aca="false">IF(ISBLANK($C115),"",IF($M115=Constants!$B$2,TRUE(),IF($M115=Constants!$B$3,FALSE(),TRUE())))</f>
        <v/>
      </c>
      <c r="AQ115" s="100" t="str">
        <f aca="false">IF(ISBLANK($C115),"",IF($N115=Constants!$B$2,TRUE(),IF($N115=Constants!$B$3,FALSE(),FALSE())))</f>
        <v/>
      </c>
      <c r="AR115" s="100" t="str">
        <f aca="false">IF(ISBLANK($C115),"",IF($O115=Constants!$B$2,TRUE(),IF($O115=Constants!$B$3,FALSE(),TRUE())))</f>
        <v/>
      </c>
      <c r="AS115" s="100" t="str">
        <f aca="false">IF(ISBLANK($C115),"",IF($P115=Constants!$B$2,TRUE(),IF($P115=Constants!$B$3,FALSE(),FALSE())))</f>
        <v/>
      </c>
      <c r="AT115" s="100" t="str">
        <f aca="false">IF(ISBLANK($C115),"",IF($Q115=Constants!$B$2,TRUE(),IF($Q115=Constants!$B$3,FALSE(),FALSE())))</f>
        <v/>
      </c>
      <c r="AU115" s="100" t="str">
        <f aca="false">IF(ISBLANK($C115),"",IF($R115=Constants!$B$2,TRUE(),IF($R115=Constants!$B$3,FALSE(),FALSE())))</f>
        <v/>
      </c>
      <c r="AV115" s="100" t="str">
        <f aca="false">IF(ISBLANK($C115),"",IF($S115=Constants!$B$2,TRUE(),IF($S115=Constants!$B$3,FALSE(),FALSE())))</f>
        <v/>
      </c>
      <c r="AW115" s="100" t="str">
        <f aca="false">IF(ISBLANK($C115),"",IF($T115=Constants!$B$2,TRUE(),IF($T115=Constants!$B$3,FALSE(),FALSE())))</f>
        <v/>
      </c>
      <c r="AX115" s="100" t="str">
        <f aca="false">IF(ISBLANK($C115),"",IF(OR($U115&amp;""="1",$U115&amp;""="2",$U115&amp;""="3",$U115&amp;""="4"),VALUE($U115&amp;""),IF($U115=Constants!$B$12,Constants!$B$12,"")))</f>
        <v/>
      </c>
      <c r="AY115" s="100" t="str">
        <f aca="false">IF(ISBLANK($C115),"",IF(ISBLANK($V115),0,IF(ISNUMBER($V115),IF(AND($V115&gt;=0,$V115&lt;=Constants!$B$21,$V115=INT($V115)),$V115,""),"")))</f>
        <v/>
      </c>
      <c r="AZ115" s="100" t="str">
        <f aca="false">IF(ISBLANK($C115),"",IF(ISBLANK($W115),0,IF(ISNUMBER($W115),IF($W115&gt;=0,$W115,""),"")))</f>
        <v/>
      </c>
      <c r="BA115" s="100" t="str">
        <f aca="false">IF(ISBLANK($C115),"",IF($X115=Constants!$B$2,TRUE(),IF($X115=Constants!$B$3,FALSE(),TRUE())))</f>
        <v/>
      </c>
      <c r="BB115" s="100" t="str">
        <f aca="false">IF(ISBLANK($C115),"",IF($Y115=Constants!$B$2,TRUE(),IF($Y115=Constants!$B$3,FALSE(),FALSE())))</f>
        <v/>
      </c>
      <c r="BC115" s="100" t="str">
        <f aca="false">IF(ISBLANK($C115),"",IF(ISBLANK($Z115),0,IF(ISNUMBER($Z115),IF(AND($Z115&gt;=0,$Z115&lt;=Constants!$B$35,$Z115=INT($Z115)),$Z115,""),"")))</f>
        <v/>
      </c>
      <c r="BD115" s="100" t="str">
        <f aca="false">IF(ISBLANK($C115),"",IF($AA115=Constants!$B$2,TRUE(),IF($AA115=Constants!$B$3,FALSE(),TRUE())))</f>
        <v/>
      </c>
      <c r="BE115" s="100" t="str">
        <f aca="false">IF(ISBLANK($C115),"",IF($AB115=Constants!$B$2,TRUE(),IF($AB115=Constants!$B$3,FALSE(),TRUE())))</f>
        <v/>
      </c>
      <c r="BF115" s="100" t="str">
        <f aca="false">IF(ISBLANK($C115),"",IF(ISNUMBER($AC115),IF($AC115&gt;=0,$AC115,""),""))</f>
        <v/>
      </c>
      <c r="BG115" s="100" t="str">
        <f aca="false">IF(ISBLANK($C115),"",IF($AD115=Constants!$B$2,TRUE(),IF($AD115=Constants!$B$3,FALSE(),FALSE())))</f>
        <v/>
      </c>
      <c r="BH115" s="99" t="str">
        <f aca="false">IF(ISBLANK($C115),"",IF($BG115,Constants!$B$7,IF(COUNTA($E115:$AC115)=0,Constants!$B$6,IF(OR(COUNTA($G115:$AC115)=0,NOT($AK115),$AQ115),Constants!$B$5,IF(OR($CI115&lt;&gt;"",$CJ115,$CK115,$CL115,$CM115,$CN115,$CO115),Constants!$B$8,Constants!$B$4)))))</f>
        <v/>
      </c>
      <c r="BI115" s="100" t="str">
        <f aca="false">IF(ISBLANK($C115),"",IF($BH115&lt;&gt;Constants!$B$4,$BH115,IF(OR(NOT($AH115),NOT($AJ115),NOT($AR115)),Constants!$B$11,IF(OR(NOT($AP115),MAX($AL115,$AM115,$AN115)&gt;Constants!$B$30),Constants!$B$10,Constants!$B$9))))</f>
        <v/>
      </c>
      <c r="BJ115" s="100" t="str">
        <f aca="false">IF($BH115&lt;&gt;Constants!$B$4,"",IF(NOT($AJ115),0,MIN(Constants!$B$35,$BC115)))</f>
        <v/>
      </c>
      <c r="BK115" s="100" t="str">
        <f aca="false">IF($BH115&lt;&gt;Constants!$B$4,"",IF(NOT($AJ115),0,IF($AT115,Constants!$B$18,IF($AS115,Constants!$B$17,0))))</f>
        <v/>
      </c>
      <c r="BL115" s="100" t="str">
        <f aca="false">IF($BH115&lt;&gt;Constants!$B$4,"",IF(NOT($AJ115),0,Constants!$B$19*($AI115+$AU115+$AV115+$AW115)))</f>
        <v/>
      </c>
      <c r="BM115" s="100" t="str">
        <f aca="false">IF($BH115&lt;&gt;Constants!$B$4,"",IF(OR(NOT($AJ115),NOT(ISNUMBER($AX115))),0,CHOOSE($AX115,Constants!$B$13,Constants!$B$14,Constants!$B$15,Constants!$B$16)))</f>
        <v/>
      </c>
      <c r="BN115" s="100" t="str">
        <f aca="false">IF($BH115&lt;&gt;Constants!$B$4,"",IF(NOT($AJ115),0,Constants!$B$20*$AY115))</f>
        <v/>
      </c>
      <c r="BO115" s="100" t="str">
        <f aca="false">IF($BH115&lt;&gt;Constants!$B$4,"",IF(AND($AJ115,$BA115,$BB115),Constants!$B$22,0))</f>
        <v/>
      </c>
      <c r="BP115" s="100" t="str">
        <f aca="false">IF($BH115&lt;&gt;Constants!$B$4,"",IF(OR(NOT($AJ115),NOT($BA115)),0,IF($BF115&gt;=2*$AF$9,0,Constants!$B$23*INT(ROUND(MIN($BF115,$AF$9),6)))))</f>
        <v/>
      </c>
      <c r="BQ115" s="100" t="str">
        <f aca="false">IF($BH115&lt;&gt;Constants!$B$4,"",IF(NOT($AJ115),0,Constants!$B$24*INT(ROUND(MIN($AZ115,$AF$9),6))))</f>
        <v/>
      </c>
      <c r="BR115" s="100" t="str">
        <f aca="false">IF($BH115&lt;&gt;Constants!$B$4,"",IF(AND($AJ115,$BJ115=0),Constants!$B$25,0))</f>
        <v/>
      </c>
      <c r="BS115" s="100" t="str">
        <f aca="false">IF($BH115&lt;&gt;Constants!$B$4,"",MIN(Constants!$B$29,MAX(0,Constants!$B$27*Constants!$B$28*INT(ROUND((Constants!$B$26-$AL115)/Constants!$B$28,6))))+MIN(Constants!$B$29,MAX(0,Constants!$B$27*Constants!$B$28*INT(ROUND((Constants!$B$26-$AM115)/Constants!$B$28,6))))+MIN(Constants!$B$29,MAX(0,Constants!$B$27*Constants!$B$28*INT(ROUND((Constants!$B$26-$AN115)/Constants!$B$28,6)))))</f>
        <v/>
      </c>
      <c r="BT115" s="100" t="str">
        <f aca="false">IF($BH115&lt;&gt;Constants!$B$4,"",IF(NOT($AJ115),0,Constants!$B$31*INT(ROUND(MAX(0,MIN($BF115,2*$AF$9)-$AF$9),6))))</f>
        <v/>
      </c>
      <c r="BU115" s="100" t="str">
        <f aca="false">IF($BH115&lt;&gt;Constants!$B$4,"",Constants!$B$32*(($AL115&gt;Constants!$B$26)+($AM115&gt;Constants!$B$26)+($AN115&gt;Constants!$B$26)))</f>
        <v/>
      </c>
      <c r="BV115" s="100" t="str">
        <f aca="false">IF($BH115&lt;&gt;Constants!$B$4,"",IF(OR(NOT($AJ115),$AO115),0,Constants!$B$33))</f>
        <v/>
      </c>
      <c r="BW115" s="100" t="str">
        <f aca="false">IF($BH115&lt;&gt;Constants!$B$4,"",Constants!$B$34*$BJ115)</f>
        <v/>
      </c>
      <c r="BX115" s="100" t="str">
        <f aca="false">IF($BH115&lt;&gt;Constants!$B$4,"",IF(OR(NOT($AJ115),$BE115),0,Constants!$B$36))</f>
        <v/>
      </c>
      <c r="BY115" s="100" t="str">
        <f aca="false">IF($BH115&lt;&gt;Constants!$B$4,"",IF(OR(NOT($AJ115),$BD115),0,Constants!$B$37))</f>
        <v/>
      </c>
      <c r="BZ115" s="100" t="str">
        <f aca="false">IF($BH115&lt;&gt;Constants!$B$4,"",SUM($BT115:$BY115))</f>
        <v/>
      </c>
      <c r="CA115" s="100" t="str">
        <f aca="false">IF(ISBLANK($C115),"",IF($BH115&lt;&gt;Constants!$B$4,$BH115,SUM($BK115:$BS115)-$BZ115))</f>
        <v/>
      </c>
      <c r="CB115" s="100" t="str">
        <f aca="false">IF(ISBLANK($C115),"",IF($BH115&lt;&gt;Constants!$B$4,$BH115,RANK($CA115,$CA$9:$CA$508)))</f>
        <v/>
      </c>
      <c r="CC115" s="100" t="str">
        <f aca="false">IF(ISBLANK($C115),"",IF($BH115&lt;&gt;Constants!$B$4,$BH115,COUNTIFS($BI$9:$BI$508,"&lt;"&amp;$BI115)+COUNTIFS($BI$9:$BI$508,$BI115,$CB$9:$CB$508,"&lt;"&amp;$CB115)+1))</f>
        <v/>
      </c>
      <c r="CD115" s="100" t="str">
        <f aca="false">IF(ISBLANK($C115),"",IF($BH115&lt;&gt;Constants!$B$4,$BH115,RANK($BZ115,$BZ$9:$BZ$508,1)))</f>
        <v/>
      </c>
      <c r="CE115" s="100" t="str">
        <f aca="false">IF($BH115&lt;&gt;Constants!$B$4,"",$AL115+$AM115+$AN115)</f>
        <v/>
      </c>
      <c r="CF115" s="100" t="str">
        <f aca="false">IF(ISBLANK($C115),"",IF($BH115&lt;&gt;Constants!$B$4,$BH115,RANK($CE115,$CE$9:$CE$508,1)))</f>
        <v/>
      </c>
      <c r="CG115" s="100" t="str">
        <f aca="false">IF(ISBLANK($C115),"",IF($BH115&lt;&gt;Constants!$B$4,$BH115,COUNTIFS($BI$9:$BI$508,"&lt;"&amp;$BI115)+COUNTIFS($BI$9:$BI$508,$BI115,$CB$9:$CB$508,"&lt;"&amp;$CB115)+COUNTIFS($BI$9:$BI$508,$BI115,$CB$9:$CB$508,$CB115,$CD$9:$CD$508,"&lt;"&amp;$CD115)+COUNTIFS($BI$9:$BI$508,$BI115,$CB$9:$CB$508,$CB115,$CD$9:$CD$508,$CD115,$CF$9:$CF$508,"&lt;"&amp;$CF115)+1))</f>
        <v/>
      </c>
      <c r="CH115" s="100" t="str">
        <f aca="false">IF(ISBLANK($C115),"",IF($BH115&lt;&gt;Constants!$B$4,$BH115,$CC115-$CG115))</f>
        <v/>
      </c>
      <c r="CI115" s="100" t="str">
        <f aca="false">IF(ISBLANK($C115),"",IF(NOT($AJ115),"",IF(ISBLANK($D$7),$CI$5,IF(NOT(ISNUMBER($D$7)),$CI$6,""))))</f>
        <v/>
      </c>
      <c r="CJ115" s="100" t="str">
        <f aca="false">IF(ISBLANK($C115),"",OR($AL115="",$AM115="",$AN115=""))</f>
        <v/>
      </c>
      <c r="CK115" s="100" t="str">
        <f aca="false">IF(ISBLANK($C115),"",AND($AJ115,$AX115=""))</f>
        <v/>
      </c>
      <c r="CL115" s="100" t="str">
        <f aca="false">IF(ISBLANK($C115),"",AND($AJ115,$AY115=""))</f>
        <v/>
      </c>
      <c r="CM115" s="100" t="str">
        <f aca="false">IF(ISBLANK($C115),"",AND($AJ115,$AZ115=""))</f>
        <v/>
      </c>
      <c r="CN115" s="100" t="str">
        <f aca="false">IF(ISBLANK($C115),"",AND($AJ115,$BC115=""))</f>
        <v/>
      </c>
      <c r="CO115" s="100" t="str">
        <f aca="false">IF(ISBLANK($C115),"",AND($AJ115,$BF115=""))</f>
        <v/>
      </c>
      <c r="CP115" s="101"/>
      <c r="CQ115" s="102"/>
      <c r="CR115" s="103" t="str">
        <f aca="false">IF(ISBLANK($C115),"",IF($BH115=Constants!$B$8,$CI115,""))</f>
        <v/>
      </c>
      <c r="CS115" s="102" t="str">
        <f aca="false">IF(ISBLANK($C115),"",IF($BH115&lt;&gt;Constants!$B$4,"",$BK115+$BL115))</f>
        <v/>
      </c>
      <c r="CT115" s="104" t="str">
        <f aca="false">IF(ISBLANK($C115),"",IF($BH115&lt;&gt;Constants!$B$4,"",$BM115+$BN115+$BO115))</f>
        <v/>
      </c>
      <c r="CU115" s="104" t="str">
        <f aca="false">IF(ISBLANK($C115),"",IF($BH115&lt;&gt;Constants!$B$4,"",$BP115))</f>
        <v/>
      </c>
      <c r="CV115" s="104" t="str">
        <f aca="false">IF(ISBLANK($C115),"",IF($BH115&lt;&gt;Constants!$B$4,"",$BQ115+$BR115))</f>
        <v/>
      </c>
      <c r="CW115" s="104" t="str">
        <f aca="false">IF(ISBLANK($C115),"",IF($BH115&lt;&gt;Constants!$B$4,"",$BS115))</f>
        <v/>
      </c>
      <c r="CX115" s="104" t="str">
        <f aca="false">IF(ISBLANK($C115),"",IF($BH115&lt;&gt;Constants!$B$4,"",-$BZ115))</f>
        <v/>
      </c>
      <c r="CY115" s="103" t="str">
        <f aca="false">IF(ISBLANK($C115),"",$CA115)</f>
        <v/>
      </c>
      <c r="CZ115" s="105" t="str">
        <f aca="false">IF(ISBLANK($C115),"",$BI115)</f>
        <v/>
      </c>
      <c r="DA115" s="104" t="str">
        <f aca="false">IF(ISBLANK($C115),"",$CH115)</f>
        <v/>
      </c>
      <c r="DB115" s="104" t="str">
        <f aca="false">IF(ISBLANK($C115),"",$CG115)</f>
        <v/>
      </c>
      <c r="DC115" s="106" t="str">
        <f aca="false">IF(ISBLANK($C115),"",IFERROR(_xlfn.SWITCH($DB115,Constants!$B$7,COUNTA($C$9:$C$508)+2,Constants!$B$6,COUNTA($C$9:$C$508)+1,Constants!$B$5,COUNTA($C$9:$C$508)),$DB115))</f>
        <v/>
      </c>
      <c r="DD115" s="7"/>
      <c r="DE115" s="107" t="n">
        <f aca="false">IF(OR(ISNUMBER($DB115),$DB115=Constants!$B$7,$DB115=Constants!$B$5,$DB115=Constants!$B$6),1,0)</f>
        <v>0</v>
      </c>
      <c r="DF115" s="107" t="n">
        <v>107</v>
      </c>
      <c r="DG115" s="107" t="str">
        <f aca="false">IF(ISBLANK($C115),"",IF(ISNUMBER($DC115),$DC115+ROW($B115)/1000,""))</f>
        <v/>
      </c>
      <c r="DH115" s="107" t="str">
        <f aca="false">IF(ISNUMBER($DG115),RANK($DG115,$DG$9:$DG$508,1),"")</f>
        <v/>
      </c>
      <c r="DI115" s="107" t="str">
        <f aca="false">IF(ISBLANK($C115),"",$B115)</f>
        <v/>
      </c>
      <c r="DJ115" s="107" t="str">
        <f aca="false">IF(ISBLANK($C115),"",$C115)</f>
        <v/>
      </c>
      <c r="DK115" s="107" t="str">
        <f aca="false">IF(ISBLANK($C115),"",$D115)</f>
        <v/>
      </c>
      <c r="DL115" s="108" t="str">
        <f aca="false">$CZ115</f>
        <v/>
      </c>
      <c r="DM115" s="109" t="str">
        <f aca="false">$CY115</f>
        <v/>
      </c>
      <c r="DN115" s="107" t="str">
        <f aca="false">IF(ISBLANK($C115),"",$DB115)</f>
        <v/>
      </c>
      <c r="DO115" s="110" t="str">
        <f aca="false">IF($DF115&gt;$DE$8,"",VLOOKUP($DF115,$DH$9:$DN$508,7,FALSE()))</f>
        <v/>
      </c>
      <c r="DP115" s="111" t="str">
        <f aca="false">IF($DF115&gt;$DE$8,"",VLOOKUP($DF115,$DH$9:$DN$508,2,FALSE()))</f>
        <v/>
      </c>
      <c r="DQ115" s="111" t="str">
        <f aca="false">IF($DF115&gt;$DE$8,"",VLOOKUP($DF115,$DH$9:$DN$508,3,FALSE()))</f>
        <v/>
      </c>
      <c r="DR115" s="111" t="str">
        <f aca="false">IF($DF115&gt;$DE$8,"",VLOOKUP($DF115,$DH$9:$DN$508,4,FALSE()))</f>
        <v/>
      </c>
      <c r="DS115" s="111" t="str">
        <f aca="false">IF($DF115&gt;$DE$8,"",VLOOKUP($DF115,$DH$9:$DN$508,5,FALSE()))</f>
        <v/>
      </c>
      <c r="DT115" s="112" t="str">
        <f aca="false">IF($DF115&gt;$DE$8,"",VLOOKUP($DF115,$DH$9:$DN$508,6,FALSE()))</f>
        <v/>
      </c>
      <c r="DU115" s="62"/>
    </row>
    <row r="116" customFormat="false" ht="15.75" hidden="false" customHeight="false" outlineLevel="0" collapsed="false">
      <c r="A116" s="7"/>
      <c r="B116" s="90"/>
      <c r="C116" s="91"/>
      <c r="D116" s="126"/>
      <c r="E116" s="130"/>
      <c r="F116" s="135"/>
      <c r="G116" s="130"/>
      <c r="H116" s="135"/>
      <c r="I116" s="131"/>
      <c r="J116" s="131"/>
      <c r="K116" s="131"/>
      <c r="L116" s="130"/>
      <c r="M116" s="130"/>
      <c r="N116" s="130"/>
      <c r="O116" s="135"/>
      <c r="P116" s="130"/>
      <c r="Q116" s="130"/>
      <c r="R116" s="130"/>
      <c r="S116" s="130"/>
      <c r="T116" s="135"/>
      <c r="U116" s="130"/>
      <c r="V116" s="96"/>
      <c r="W116" s="130"/>
      <c r="X116" s="130"/>
      <c r="Y116" s="96"/>
      <c r="Z116" s="96"/>
      <c r="AA116" s="130"/>
      <c r="AB116" s="130"/>
      <c r="AC116" s="97"/>
      <c r="AD116" s="130"/>
      <c r="AE116" s="99"/>
      <c r="AF116" s="100"/>
      <c r="AG116" s="100"/>
      <c r="AH116" s="100" t="str">
        <f aca="false">IF(ISBLANK($C116),"",IF($E116=Constants!$B$2,TRUE(),IF($E116=Constants!$B$3,FALSE(),TRUE())))</f>
        <v/>
      </c>
      <c r="AI116" s="100" t="str">
        <f aca="false">IF(ISBLANK($C116),"",IF($F116=Constants!$B$2,TRUE(),IF($F116=Constants!$B$3,FALSE(),FALSE())))</f>
        <v/>
      </c>
      <c r="AJ116" s="100" t="str">
        <f aca="false">IF(ISBLANK($C116),"",IF($G116=Constants!$B$2,TRUE(),IF($G116=Constants!$B$3,FALSE(),TRUE())))</f>
        <v/>
      </c>
      <c r="AK116" s="100" t="str">
        <f aca="false">IF(ISBLANK($C116),"",IF($H116=Constants!$B$2,TRUE(),IF($H116=Constants!$B$3,FALSE(),TRUE())))</f>
        <v/>
      </c>
      <c r="AL116" s="100" t="str">
        <f aca="false">IF(ISBLANK($C116),"",IF(ISNUMBER($I116),IF($I116&gt;=0,$I116,""),""))</f>
        <v/>
      </c>
      <c r="AM116" s="100" t="str">
        <f aca="false">IF(ISBLANK($C116),"",IF(ISNUMBER($J116),IF($J116&gt;=0,$J116,""),""))</f>
        <v/>
      </c>
      <c r="AN116" s="100" t="str">
        <f aca="false">IF(ISBLANK($C116),"",IF(ISNUMBER($K116),IF($K116&gt;=0,$K116,""),""))</f>
        <v/>
      </c>
      <c r="AO116" s="100" t="str">
        <f aca="false">IF(ISBLANK($C116),"",IF($L116=Constants!$B$2,TRUE(),IF($L116=Constants!$B$3,FALSE(),TRUE())))</f>
        <v/>
      </c>
      <c r="AP116" s="100" t="str">
        <f aca="false">IF(ISBLANK($C116),"",IF($M116=Constants!$B$2,TRUE(),IF($M116=Constants!$B$3,FALSE(),TRUE())))</f>
        <v/>
      </c>
      <c r="AQ116" s="100" t="str">
        <f aca="false">IF(ISBLANK($C116),"",IF($N116=Constants!$B$2,TRUE(),IF($N116=Constants!$B$3,FALSE(),FALSE())))</f>
        <v/>
      </c>
      <c r="AR116" s="100" t="str">
        <f aca="false">IF(ISBLANK($C116),"",IF($O116=Constants!$B$2,TRUE(),IF($O116=Constants!$B$3,FALSE(),TRUE())))</f>
        <v/>
      </c>
      <c r="AS116" s="100" t="str">
        <f aca="false">IF(ISBLANK($C116),"",IF($P116=Constants!$B$2,TRUE(),IF($P116=Constants!$B$3,FALSE(),FALSE())))</f>
        <v/>
      </c>
      <c r="AT116" s="100" t="str">
        <f aca="false">IF(ISBLANK($C116),"",IF($Q116=Constants!$B$2,TRUE(),IF($Q116=Constants!$B$3,FALSE(),FALSE())))</f>
        <v/>
      </c>
      <c r="AU116" s="100" t="str">
        <f aca="false">IF(ISBLANK($C116),"",IF($R116=Constants!$B$2,TRUE(),IF($R116=Constants!$B$3,FALSE(),FALSE())))</f>
        <v/>
      </c>
      <c r="AV116" s="100" t="str">
        <f aca="false">IF(ISBLANK($C116),"",IF($S116=Constants!$B$2,TRUE(),IF($S116=Constants!$B$3,FALSE(),FALSE())))</f>
        <v/>
      </c>
      <c r="AW116" s="100" t="str">
        <f aca="false">IF(ISBLANK($C116),"",IF($T116=Constants!$B$2,TRUE(),IF($T116=Constants!$B$3,FALSE(),FALSE())))</f>
        <v/>
      </c>
      <c r="AX116" s="100" t="str">
        <f aca="false">IF(ISBLANK($C116),"",IF(OR($U116&amp;""="1",$U116&amp;""="2",$U116&amp;""="3",$U116&amp;""="4"),VALUE($U116&amp;""),IF($U116=Constants!$B$12,Constants!$B$12,"")))</f>
        <v/>
      </c>
      <c r="AY116" s="100" t="str">
        <f aca="false">IF(ISBLANK($C116),"",IF(ISBLANK($V116),0,IF(ISNUMBER($V116),IF(AND($V116&gt;=0,$V116&lt;=Constants!$B$21,$V116=INT($V116)),$V116,""),"")))</f>
        <v/>
      </c>
      <c r="AZ116" s="100" t="str">
        <f aca="false">IF(ISBLANK($C116),"",IF(ISBLANK($W116),0,IF(ISNUMBER($W116),IF($W116&gt;=0,$W116,""),"")))</f>
        <v/>
      </c>
      <c r="BA116" s="100" t="str">
        <f aca="false">IF(ISBLANK($C116),"",IF($X116=Constants!$B$2,TRUE(),IF($X116=Constants!$B$3,FALSE(),TRUE())))</f>
        <v/>
      </c>
      <c r="BB116" s="100" t="str">
        <f aca="false">IF(ISBLANK($C116),"",IF($Y116=Constants!$B$2,TRUE(),IF($Y116=Constants!$B$3,FALSE(),FALSE())))</f>
        <v/>
      </c>
      <c r="BC116" s="100" t="str">
        <f aca="false">IF(ISBLANK($C116),"",IF(ISBLANK($Z116),0,IF(ISNUMBER($Z116),IF(AND($Z116&gt;=0,$Z116&lt;=Constants!$B$35,$Z116=INT($Z116)),$Z116,""),"")))</f>
        <v/>
      </c>
      <c r="BD116" s="100" t="str">
        <f aca="false">IF(ISBLANK($C116),"",IF($AA116=Constants!$B$2,TRUE(),IF($AA116=Constants!$B$3,FALSE(),TRUE())))</f>
        <v/>
      </c>
      <c r="BE116" s="100" t="str">
        <f aca="false">IF(ISBLANK($C116),"",IF($AB116=Constants!$B$2,TRUE(),IF($AB116=Constants!$B$3,FALSE(),TRUE())))</f>
        <v/>
      </c>
      <c r="BF116" s="100" t="str">
        <f aca="false">IF(ISBLANK($C116),"",IF(ISNUMBER($AC116),IF($AC116&gt;=0,$AC116,""),""))</f>
        <v/>
      </c>
      <c r="BG116" s="100" t="str">
        <f aca="false">IF(ISBLANK($C116),"",IF($AD116=Constants!$B$2,TRUE(),IF($AD116=Constants!$B$3,FALSE(),FALSE())))</f>
        <v/>
      </c>
      <c r="BH116" s="99" t="str">
        <f aca="false">IF(ISBLANK($C116),"",IF($BG116,Constants!$B$7,IF(COUNTA($E116:$AC116)=0,Constants!$B$6,IF(OR(COUNTA($G116:$AC116)=0,NOT($AK116),$AQ116),Constants!$B$5,IF(OR($CI116&lt;&gt;"",$CJ116,$CK116,$CL116,$CM116,$CN116,$CO116),Constants!$B$8,Constants!$B$4)))))</f>
        <v/>
      </c>
      <c r="BI116" s="100" t="str">
        <f aca="false">IF(ISBLANK($C116),"",IF($BH116&lt;&gt;Constants!$B$4,$BH116,IF(OR(NOT($AH116),NOT($AJ116),NOT($AR116)),Constants!$B$11,IF(OR(NOT($AP116),MAX($AL116,$AM116,$AN116)&gt;Constants!$B$30),Constants!$B$10,Constants!$B$9))))</f>
        <v/>
      </c>
      <c r="BJ116" s="100" t="str">
        <f aca="false">IF($BH116&lt;&gt;Constants!$B$4,"",IF(NOT($AJ116),0,MIN(Constants!$B$35,$BC116)))</f>
        <v/>
      </c>
      <c r="BK116" s="100" t="str">
        <f aca="false">IF($BH116&lt;&gt;Constants!$B$4,"",IF(NOT($AJ116),0,IF($AT116,Constants!$B$18,IF($AS116,Constants!$B$17,0))))</f>
        <v/>
      </c>
      <c r="BL116" s="100" t="str">
        <f aca="false">IF($BH116&lt;&gt;Constants!$B$4,"",IF(NOT($AJ116),0,Constants!$B$19*($AI116+$AU116+$AV116+$AW116)))</f>
        <v/>
      </c>
      <c r="BM116" s="100" t="str">
        <f aca="false">IF($BH116&lt;&gt;Constants!$B$4,"",IF(OR(NOT($AJ116),NOT(ISNUMBER($AX116))),0,CHOOSE($AX116,Constants!$B$13,Constants!$B$14,Constants!$B$15,Constants!$B$16)))</f>
        <v/>
      </c>
      <c r="BN116" s="100" t="str">
        <f aca="false">IF($BH116&lt;&gt;Constants!$B$4,"",IF(NOT($AJ116),0,Constants!$B$20*$AY116))</f>
        <v/>
      </c>
      <c r="BO116" s="100" t="str">
        <f aca="false">IF($BH116&lt;&gt;Constants!$B$4,"",IF(AND($AJ116,$BA116,$BB116),Constants!$B$22,0))</f>
        <v/>
      </c>
      <c r="BP116" s="100" t="str">
        <f aca="false">IF($BH116&lt;&gt;Constants!$B$4,"",IF(OR(NOT($AJ116),NOT($BA116)),0,IF($BF116&gt;=2*$AF$9,0,Constants!$B$23*INT(ROUND(MIN($BF116,$AF$9),6)))))</f>
        <v/>
      </c>
      <c r="BQ116" s="100" t="str">
        <f aca="false">IF($BH116&lt;&gt;Constants!$B$4,"",IF(NOT($AJ116),0,Constants!$B$24*INT(ROUND(MIN($AZ116,$AF$9),6))))</f>
        <v/>
      </c>
      <c r="BR116" s="100" t="str">
        <f aca="false">IF($BH116&lt;&gt;Constants!$B$4,"",IF(AND($AJ116,$BJ116=0),Constants!$B$25,0))</f>
        <v/>
      </c>
      <c r="BS116" s="100" t="str">
        <f aca="false">IF($BH116&lt;&gt;Constants!$B$4,"",MIN(Constants!$B$29,MAX(0,Constants!$B$27*Constants!$B$28*INT(ROUND((Constants!$B$26-$AL116)/Constants!$B$28,6))))+MIN(Constants!$B$29,MAX(0,Constants!$B$27*Constants!$B$28*INT(ROUND((Constants!$B$26-$AM116)/Constants!$B$28,6))))+MIN(Constants!$B$29,MAX(0,Constants!$B$27*Constants!$B$28*INT(ROUND((Constants!$B$26-$AN116)/Constants!$B$28,6)))))</f>
        <v/>
      </c>
      <c r="BT116" s="100" t="str">
        <f aca="false">IF($BH116&lt;&gt;Constants!$B$4,"",IF(NOT($AJ116),0,Constants!$B$31*INT(ROUND(MAX(0,MIN($BF116,2*$AF$9)-$AF$9),6))))</f>
        <v/>
      </c>
      <c r="BU116" s="100" t="str">
        <f aca="false">IF($BH116&lt;&gt;Constants!$B$4,"",Constants!$B$32*(($AL116&gt;Constants!$B$26)+($AM116&gt;Constants!$B$26)+($AN116&gt;Constants!$B$26)))</f>
        <v/>
      </c>
      <c r="BV116" s="100" t="str">
        <f aca="false">IF($BH116&lt;&gt;Constants!$B$4,"",IF(OR(NOT($AJ116),$AO116),0,Constants!$B$33))</f>
        <v/>
      </c>
      <c r="BW116" s="100" t="str">
        <f aca="false">IF($BH116&lt;&gt;Constants!$B$4,"",Constants!$B$34*$BJ116)</f>
        <v/>
      </c>
      <c r="BX116" s="100" t="str">
        <f aca="false">IF($BH116&lt;&gt;Constants!$B$4,"",IF(OR(NOT($AJ116),$BE116),0,Constants!$B$36))</f>
        <v/>
      </c>
      <c r="BY116" s="100" t="str">
        <f aca="false">IF($BH116&lt;&gt;Constants!$B$4,"",IF(OR(NOT($AJ116),$BD116),0,Constants!$B$37))</f>
        <v/>
      </c>
      <c r="BZ116" s="100" t="str">
        <f aca="false">IF($BH116&lt;&gt;Constants!$B$4,"",SUM($BT116:$BY116))</f>
        <v/>
      </c>
      <c r="CA116" s="100" t="str">
        <f aca="false">IF(ISBLANK($C116),"",IF($BH116&lt;&gt;Constants!$B$4,$BH116,SUM($BK116:$BS116)-$BZ116))</f>
        <v/>
      </c>
      <c r="CB116" s="100" t="str">
        <f aca="false">IF(ISBLANK($C116),"",IF($BH116&lt;&gt;Constants!$B$4,$BH116,RANK($CA116,$CA$9:$CA$508)))</f>
        <v/>
      </c>
      <c r="CC116" s="100" t="str">
        <f aca="false">IF(ISBLANK($C116),"",IF($BH116&lt;&gt;Constants!$B$4,$BH116,COUNTIFS($BI$9:$BI$508,"&lt;"&amp;$BI116)+COUNTIFS($BI$9:$BI$508,$BI116,$CB$9:$CB$508,"&lt;"&amp;$CB116)+1))</f>
        <v/>
      </c>
      <c r="CD116" s="100" t="str">
        <f aca="false">IF(ISBLANK($C116),"",IF($BH116&lt;&gt;Constants!$B$4,$BH116,RANK($BZ116,$BZ$9:$BZ$508,1)))</f>
        <v/>
      </c>
      <c r="CE116" s="100" t="str">
        <f aca="false">IF($BH116&lt;&gt;Constants!$B$4,"",$AL116+$AM116+$AN116)</f>
        <v/>
      </c>
      <c r="CF116" s="100" t="str">
        <f aca="false">IF(ISBLANK($C116),"",IF($BH116&lt;&gt;Constants!$B$4,$BH116,RANK($CE116,$CE$9:$CE$508,1)))</f>
        <v/>
      </c>
      <c r="CG116" s="100" t="str">
        <f aca="false">IF(ISBLANK($C116),"",IF($BH116&lt;&gt;Constants!$B$4,$BH116,COUNTIFS($BI$9:$BI$508,"&lt;"&amp;$BI116)+COUNTIFS($BI$9:$BI$508,$BI116,$CB$9:$CB$508,"&lt;"&amp;$CB116)+COUNTIFS($BI$9:$BI$508,$BI116,$CB$9:$CB$508,$CB116,$CD$9:$CD$508,"&lt;"&amp;$CD116)+COUNTIFS($BI$9:$BI$508,$BI116,$CB$9:$CB$508,$CB116,$CD$9:$CD$508,$CD116,$CF$9:$CF$508,"&lt;"&amp;$CF116)+1))</f>
        <v/>
      </c>
      <c r="CH116" s="100" t="str">
        <f aca="false">IF(ISBLANK($C116),"",IF($BH116&lt;&gt;Constants!$B$4,$BH116,$CC116-$CG116))</f>
        <v/>
      </c>
      <c r="CI116" s="100" t="str">
        <f aca="false">IF(ISBLANK($C116),"",IF(NOT($AJ116),"",IF(ISBLANK($D$7),$CI$5,IF(NOT(ISNUMBER($D$7)),$CI$6,""))))</f>
        <v/>
      </c>
      <c r="CJ116" s="100" t="str">
        <f aca="false">IF(ISBLANK($C116),"",OR($AL116="",$AM116="",$AN116=""))</f>
        <v/>
      </c>
      <c r="CK116" s="100" t="str">
        <f aca="false">IF(ISBLANK($C116),"",AND($AJ116,$AX116=""))</f>
        <v/>
      </c>
      <c r="CL116" s="100" t="str">
        <f aca="false">IF(ISBLANK($C116),"",AND($AJ116,$AY116=""))</f>
        <v/>
      </c>
      <c r="CM116" s="100" t="str">
        <f aca="false">IF(ISBLANK($C116),"",AND($AJ116,$AZ116=""))</f>
        <v/>
      </c>
      <c r="CN116" s="100" t="str">
        <f aca="false">IF(ISBLANK($C116),"",AND($AJ116,$BC116=""))</f>
        <v/>
      </c>
      <c r="CO116" s="100" t="str">
        <f aca="false">IF(ISBLANK($C116),"",AND($AJ116,$BF116=""))</f>
        <v/>
      </c>
      <c r="CP116" s="101"/>
      <c r="CQ116" s="102"/>
      <c r="CR116" s="103" t="str">
        <f aca="false">IF(ISBLANK($C116),"",IF($BH116=Constants!$B$8,$CI116,""))</f>
        <v/>
      </c>
      <c r="CS116" s="102" t="str">
        <f aca="false">IF(ISBLANK($C116),"",IF($BH116&lt;&gt;Constants!$B$4,"",$BK116+$BL116))</f>
        <v/>
      </c>
      <c r="CT116" s="104" t="str">
        <f aca="false">IF(ISBLANK($C116),"",IF($BH116&lt;&gt;Constants!$B$4,"",$BM116+$BN116+$BO116))</f>
        <v/>
      </c>
      <c r="CU116" s="104" t="str">
        <f aca="false">IF(ISBLANK($C116),"",IF($BH116&lt;&gt;Constants!$B$4,"",$BP116))</f>
        <v/>
      </c>
      <c r="CV116" s="104" t="str">
        <f aca="false">IF(ISBLANK($C116),"",IF($BH116&lt;&gt;Constants!$B$4,"",$BQ116+$BR116))</f>
        <v/>
      </c>
      <c r="CW116" s="104" t="str">
        <f aca="false">IF(ISBLANK($C116),"",IF($BH116&lt;&gt;Constants!$B$4,"",$BS116))</f>
        <v/>
      </c>
      <c r="CX116" s="104" t="str">
        <f aca="false">IF(ISBLANK($C116),"",IF($BH116&lt;&gt;Constants!$B$4,"",-$BZ116))</f>
        <v/>
      </c>
      <c r="CY116" s="103" t="str">
        <f aca="false">IF(ISBLANK($C116),"",$CA116)</f>
        <v/>
      </c>
      <c r="CZ116" s="105" t="str">
        <f aca="false">IF(ISBLANK($C116),"",$BI116)</f>
        <v/>
      </c>
      <c r="DA116" s="104" t="str">
        <f aca="false">IF(ISBLANK($C116),"",$CH116)</f>
        <v/>
      </c>
      <c r="DB116" s="104" t="str">
        <f aca="false">IF(ISBLANK($C116),"",$CG116)</f>
        <v/>
      </c>
      <c r="DC116" s="106" t="str">
        <f aca="false">IF(ISBLANK($C116),"",IFERROR(_xlfn.SWITCH($DB116,Constants!$B$7,COUNTA($C$9:$C$508)+2,Constants!$B$6,COUNTA($C$9:$C$508)+1,Constants!$B$5,COUNTA($C$9:$C$508)),$DB116))</f>
        <v/>
      </c>
      <c r="DD116" s="7"/>
      <c r="DE116" s="107" t="n">
        <f aca="false">IF(OR(ISNUMBER($DB116),$DB116=Constants!$B$7,$DB116=Constants!$B$5,$DB116=Constants!$B$6),1,0)</f>
        <v>0</v>
      </c>
      <c r="DF116" s="107" t="n">
        <v>108</v>
      </c>
      <c r="DG116" s="107" t="str">
        <f aca="false">IF(ISBLANK($C116),"",IF(ISNUMBER($DC116),$DC116+ROW($B116)/1000,""))</f>
        <v/>
      </c>
      <c r="DH116" s="107" t="str">
        <f aca="false">IF(ISNUMBER($DG116),RANK($DG116,$DG$9:$DG$508,1),"")</f>
        <v/>
      </c>
      <c r="DI116" s="107" t="str">
        <f aca="false">IF(ISBLANK($C116),"",$B116)</f>
        <v/>
      </c>
      <c r="DJ116" s="107" t="str">
        <f aca="false">IF(ISBLANK($C116),"",$C116)</f>
        <v/>
      </c>
      <c r="DK116" s="107" t="str">
        <f aca="false">IF(ISBLANK($C116),"",$D116)</f>
        <v/>
      </c>
      <c r="DL116" s="108" t="str">
        <f aca="false">$CZ116</f>
        <v/>
      </c>
      <c r="DM116" s="109" t="str">
        <f aca="false">$CY116</f>
        <v/>
      </c>
      <c r="DN116" s="107" t="str">
        <f aca="false">IF(ISBLANK($C116),"",$DB116)</f>
        <v/>
      </c>
      <c r="DO116" s="110" t="str">
        <f aca="false">IF($DF116&gt;$DE$8,"",VLOOKUP($DF116,$DH$9:$DN$508,7,FALSE()))</f>
        <v/>
      </c>
      <c r="DP116" s="111" t="str">
        <f aca="false">IF($DF116&gt;$DE$8,"",VLOOKUP($DF116,$DH$9:$DN$508,2,FALSE()))</f>
        <v/>
      </c>
      <c r="DQ116" s="111" t="str">
        <f aca="false">IF($DF116&gt;$DE$8,"",VLOOKUP($DF116,$DH$9:$DN$508,3,FALSE()))</f>
        <v/>
      </c>
      <c r="DR116" s="111" t="str">
        <f aca="false">IF($DF116&gt;$DE$8,"",VLOOKUP($DF116,$DH$9:$DN$508,4,FALSE()))</f>
        <v/>
      </c>
      <c r="DS116" s="111" t="str">
        <f aca="false">IF($DF116&gt;$DE$8,"",VLOOKUP($DF116,$DH$9:$DN$508,5,FALSE()))</f>
        <v/>
      </c>
      <c r="DT116" s="112" t="str">
        <f aca="false">IF($DF116&gt;$DE$8,"",VLOOKUP($DF116,$DH$9:$DN$508,6,FALSE()))</f>
        <v/>
      </c>
      <c r="DU116" s="62"/>
    </row>
    <row r="117" customFormat="false" ht="15.75" hidden="false" customHeight="false" outlineLevel="0" collapsed="false">
      <c r="A117" s="7"/>
      <c r="B117" s="64"/>
      <c r="C117" s="65"/>
      <c r="D117" s="123"/>
      <c r="E117" s="88"/>
      <c r="F117" s="134"/>
      <c r="G117" s="88"/>
      <c r="H117" s="134"/>
      <c r="I117" s="119"/>
      <c r="J117" s="119"/>
      <c r="K117" s="119"/>
      <c r="L117" s="88"/>
      <c r="M117" s="88"/>
      <c r="N117" s="88"/>
      <c r="O117" s="134"/>
      <c r="P117" s="88"/>
      <c r="Q117" s="88"/>
      <c r="R117" s="88"/>
      <c r="S117" s="88"/>
      <c r="T117" s="134"/>
      <c r="U117" s="88"/>
      <c r="V117" s="70"/>
      <c r="W117" s="88"/>
      <c r="X117" s="88"/>
      <c r="Y117" s="70"/>
      <c r="Z117" s="70"/>
      <c r="AA117" s="88"/>
      <c r="AB117" s="88"/>
      <c r="AC117" s="71"/>
      <c r="AD117" s="88"/>
      <c r="AE117" s="73"/>
      <c r="AF117" s="74"/>
      <c r="AG117" s="74"/>
      <c r="AH117" s="74" t="str">
        <f aca="false">IF(ISBLANK($C117),"",IF($E117=Constants!$B$2,TRUE(),IF($E117=Constants!$B$3,FALSE(),TRUE())))</f>
        <v/>
      </c>
      <c r="AI117" s="74" t="str">
        <f aca="false">IF(ISBLANK($C117),"",IF($F117=Constants!$B$2,TRUE(),IF($F117=Constants!$B$3,FALSE(),FALSE())))</f>
        <v/>
      </c>
      <c r="AJ117" s="74" t="str">
        <f aca="false">IF(ISBLANK($C117),"",IF($G117=Constants!$B$2,TRUE(),IF($G117=Constants!$B$3,FALSE(),TRUE())))</f>
        <v/>
      </c>
      <c r="AK117" s="74" t="str">
        <f aca="false">IF(ISBLANK($C117),"",IF($H117=Constants!$B$2,TRUE(),IF($H117=Constants!$B$3,FALSE(),TRUE())))</f>
        <v/>
      </c>
      <c r="AL117" s="74" t="str">
        <f aca="false">IF(ISBLANK($C117),"",IF(ISNUMBER($I117),IF($I117&gt;=0,$I117,""),""))</f>
        <v/>
      </c>
      <c r="AM117" s="74" t="str">
        <f aca="false">IF(ISBLANK($C117),"",IF(ISNUMBER($J117),IF($J117&gt;=0,$J117,""),""))</f>
        <v/>
      </c>
      <c r="AN117" s="74" t="str">
        <f aca="false">IF(ISBLANK($C117),"",IF(ISNUMBER($K117),IF($K117&gt;=0,$K117,""),""))</f>
        <v/>
      </c>
      <c r="AO117" s="74" t="str">
        <f aca="false">IF(ISBLANK($C117),"",IF($L117=Constants!$B$2,TRUE(),IF($L117=Constants!$B$3,FALSE(),TRUE())))</f>
        <v/>
      </c>
      <c r="AP117" s="74" t="str">
        <f aca="false">IF(ISBLANK($C117),"",IF($M117=Constants!$B$2,TRUE(),IF($M117=Constants!$B$3,FALSE(),TRUE())))</f>
        <v/>
      </c>
      <c r="AQ117" s="74" t="str">
        <f aca="false">IF(ISBLANK($C117),"",IF($N117=Constants!$B$2,TRUE(),IF($N117=Constants!$B$3,FALSE(),FALSE())))</f>
        <v/>
      </c>
      <c r="AR117" s="74" t="str">
        <f aca="false">IF(ISBLANK($C117),"",IF($O117=Constants!$B$2,TRUE(),IF($O117=Constants!$B$3,FALSE(),TRUE())))</f>
        <v/>
      </c>
      <c r="AS117" s="74" t="str">
        <f aca="false">IF(ISBLANK($C117),"",IF($P117=Constants!$B$2,TRUE(),IF($P117=Constants!$B$3,FALSE(),FALSE())))</f>
        <v/>
      </c>
      <c r="AT117" s="74" t="str">
        <f aca="false">IF(ISBLANK($C117),"",IF($Q117=Constants!$B$2,TRUE(),IF($Q117=Constants!$B$3,FALSE(),FALSE())))</f>
        <v/>
      </c>
      <c r="AU117" s="74" t="str">
        <f aca="false">IF(ISBLANK($C117),"",IF($R117=Constants!$B$2,TRUE(),IF($R117=Constants!$B$3,FALSE(),FALSE())))</f>
        <v/>
      </c>
      <c r="AV117" s="74" t="str">
        <f aca="false">IF(ISBLANK($C117),"",IF($S117=Constants!$B$2,TRUE(),IF($S117=Constants!$B$3,FALSE(),FALSE())))</f>
        <v/>
      </c>
      <c r="AW117" s="74" t="str">
        <f aca="false">IF(ISBLANK($C117),"",IF($T117=Constants!$B$2,TRUE(),IF($T117=Constants!$B$3,FALSE(),FALSE())))</f>
        <v/>
      </c>
      <c r="AX117" s="74" t="str">
        <f aca="false">IF(ISBLANK($C117),"",IF(OR($U117&amp;""="1",$U117&amp;""="2",$U117&amp;""="3",$U117&amp;""="4"),VALUE($U117&amp;""),IF($U117=Constants!$B$12,Constants!$B$12,"")))</f>
        <v/>
      </c>
      <c r="AY117" s="74" t="str">
        <f aca="false">IF(ISBLANK($C117),"",IF(ISBLANK($V117),0,IF(ISNUMBER($V117),IF(AND($V117&gt;=0,$V117&lt;=Constants!$B$21,$V117=INT($V117)),$V117,""),"")))</f>
        <v/>
      </c>
      <c r="AZ117" s="74" t="str">
        <f aca="false">IF(ISBLANK($C117),"",IF(ISBLANK($W117),0,IF(ISNUMBER($W117),IF($W117&gt;=0,$W117,""),"")))</f>
        <v/>
      </c>
      <c r="BA117" s="74" t="str">
        <f aca="false">IF(ISBLANK($C117),"",IF($X117=Constants!$B$2,TRUE(),IF($X117=Constants!$B$3,FALSE(),TRUE())))</f>
        <v/>
      </c>
      <c r="BB117" s="74" t="str">
        <f aca="false">IF(ISBLANK($C117),"",IF($Y117=Constants!$B$2,TRUE(),IF($Y117=Constants!$B$3,FALSE(),FALSE())))</f>
        <v/>
      </c>
      <c r="BC117" s="74" t="str">
        <f aca="false">IF(ISBLANK($C117),"",IF(ISBLANK($Z117),0,IF(ISNUMBER($Z117),IF(AND($Z117&gt;=0,$Z117&lt;=Constants!$B$35,$Z117=INT($Z117)),$Z117,""),"")))</f>
        <v/>
      </c>
      <c r="BD117" s="74" t="str">
        <f aca="false">IF(ISBLANK($C117),"",IF($AA117=Constants!$B$2,TRUE(),IF($AA117=Constants!$B$3,FALSE(),TRUE())))</f>
        <v/>
      </c>
      <c r="BE117" s="74" t="str">
        <f aca="false">IF(ISBLANK($C117),"",IF($AB117=Constants!$B$2,TRUE(),IF($AB117=Constants!$B$3,FALSE(),TRUE())))</f>
        <v/>
      </c>
      <c r="BF117" s="74" t="str">
        <f aca="false">IF(ISBLANK($C117),"",IF(ISNUMBER($AC117),IF($AC117&gt;=0,$AC117,""),""))</f>
        <v/>
      </c>
      <c r="BG117" s="74" t="str">
        <f aca="false">IF(ISBLANK($C117),"",IF($AD117=Constants!$B$2,TRUE(),IF($AD117=Constants!$B$3,FALSE(),FALSE())))</f>
        <v/>
      </c>
      <c r="BH117" s="73" t="str">
        <f aca="false">IF(ISBLANK($C117),"",IF($BG117,Constants!$B$7,IF(COUNTA($E117:$AC117)=0,Constants!$B$6,IF(OR(COUNTA($G117:$AC117)=0,NOT($AK117),$AQ117),Constants!$B$5,IF(OR($CI117&lt;&gt;"",$CJ117,$CK117,$CL117,$CM117,$CN117,$CO117),Constants!$B$8,Constants!$B$4)))))</f>
        <v/>
      </c>
      <c r="BI117" s="74" t="str">
        <f aca="false">IF(ISBLANK($C117),"",IF($BH117&lt;&gt;Constants!$B$4,$BH117,IF(OR(NOT($AH117),NOT($AJ117),NOT($AR117)),Constants!$B$11,IF(OR(NOT($AP117),MAX($AL117,$AM117,$AN117)&gt;Constants!$B$30),Constants!$B$10,Constants!$B$9))))</f>
        <v/>
      </c>
      <c r="BJ117" s="74" t="str">
        <f aca="false">IF($BH117&lt;&gt;Constants!$B$4,"",IF(NOT($AJ117),0,MIN(Constants!$B$35,$BC117)))</f>
        <v/>
      </c>
      <c r="BK117" s="74" t="str">
        <f aca="false">IF($BH117&lt;&gt;Constants!$B$4,"",IF(NOT($AJ117),0,IF($AT117,Constants!$B$18,IF($AS117,Constants!$B$17,0))))</f>
        <v/>
      </c>
      <c r="BL117" s="74" t="str">
        <f aca="false">IF($BH117&lt;&gt;Constants!$B$4,"",IF(NOT($AJ117),0,Constants!$B$19*($AI117+$AU117+$AV117+$AW117)))</f>
        <v/>
      </c>
      <c r="BM117" s="74" t="str">
        <f aca="false">IF($BH117&lt;&gt;Constants!$B$4,"",IF(OR(NOT($AJ117),NOT(ISNUMBER($AX117))),0,CHOOSE($AX117,Constants!$B$13,Constants!$B$14,Constants!$B$15,Constants!$B$16)))</f>
        <v/>
      </c>
      <c r="BN117" s="74" t="str">
        <f aca="false">IF($BH117&lt;&gt;Constants!$B$4,"",IF(NOT($AJ117),0,Constants!$B$20*$AY117))</f>
        <v/>
      </c>
      <c r="BO117" s="74" t="str">
        <f aca="false">IF($BH117&lt;&gt;Constants!$B$4,"",IF(AND($AJ117,$BA117,$BB117),Constants!$B$22,0))</f>
        <v/>
      </c>
      <c r="BP117" s="74" t="str">
        <f aca="false">IF($BH117&lt;&gt;Constants!$B$4,"",IF(OR(NOT($AJ117),NOT($BA117)),0,IF($BF117&gt;=2*$AF$9,0,Constants!$B$23*INT(ROUND(MIN($BF117,$AF$9),6)))))</f>
        <v/>
      </c>
      <c r="BQ117" s="74" t="str">
        <f aca="false">IF($BH117&lt;&gt;Constants!$B$4,"",IF(NOT($AJ117),0,Constants!$B$24*INT(ROUND(MIN($AZ117,$AF$9),6))))</f>
        <v/>
      </c>
      <c r="BR117" s="74" t="str">
        <f aca="false">IF($BH117&lt;&gt;Constants!$B$4,"",IF(AND($AJ117,$BJ117=0),Constants!$B$25,0))</f>
        <v/>
      </c>
      <c r="BS117" s="74" t="str">
        <f aca="false">IF($BH117&lt;&gt;Constants!$B$4,"",MIN(Constants!$B$29,MAX(0,Constants!$B$27*Constants!$B$28*INT(ROUND((Constants!$B$26-$AL117)/Constants!$B$28,6))))+MIN(Constants!$B$29,MAX(0,Constants!$B$27*Constants!$B$28*INT(ROUND((Constants!$B$26-$AM117)/Constants!$B$28,6))))+MIN(Constants!$B$29,MAX(0,Constants!$B$27*Constants!$B$28*INT(ROUND((Constants!$B$26-$AN117)/Constants!$B$28,6)))))</f>
        <v/>
      </c>
      <c r="BT117" s="74" t="str">
        <f aca="false">IF($BH117&lt;&gt;Constants!$B$4,"",IF(NOT($AJ117),0,Constants!$B$31*INT(ROUND(MAX(0,MIN($BF117,2*$AF$9)-$AF$9),6))))</f>
        <v/>
      </c>
      <c r="BU117" s="74" t="str">
        <f aca="false">IF($BH117&lt;&gt;Constants!$B$4,"",Constants!$B$32*(($AL117&gt;Constants!$B$26)+($AM117&gt;Constants!$B$26)+($AN117&gt;Constants!$B$26)))</f>
        <v/>
      </c>
      <c r="BV117" s="74" t="str">
        <f aca="false">IF($BH117&lt;&gt;Constants!$B$4,"",IF(OR(NOT($AJ117),$AO117),0,Constants!$B$33))</f>
        <v/>
      </c>
      <c r="BW117" s="74" t="str">
        <f aca="false">IF($BH117&lt;&gt;Constants!$B$4,"",Constants!$B$34*$BJ117)</f>
        <v/>
      </c>
      <c r="BX117" s="74" t="str">
        <f aca="false">IF($BH117&lt;&gt;Constants!$B$4,"",IF(OR(NOT($AJ117),$BE117),0,Constants!$B$36))</f>
        <v/>
      </c>
      <c r="BY117" s="74" t="str">
        <f aca="false">IF($BH117&lt;&gt;Constants!$B$4,"",IF(OR(NOT($AJ117),$BD117),0,Constants!$B$37))</f>
        <v/>
      </c>
      <c r="BZ117" s="74" t="str">
        <f aca="false">IF($BH117&lt;&gt;Constants!$B$4,"",SUM($BT117:$BY117))</f>
        <v/>
      </c>
      <c r="CA117" s="74" t="str">
        <f aca="false">IF(ISBLANK($C117),"",IF($BH117&lt;&gt;Constants!$B$4,$BH117,SUM($BK117:$BS117)-$BZ117))</f>
        <v/>
      </c>
      <c r="CB117" s="74" t="str">
        <f aca="false">IF(ISBLANK($C117),"",IF($BH117&lt;&gt;Constants!$B$4,$BH117,RANK($CA117,$CA$9:$CA$508)))</f>
        <v/>
      </c>
      <c r="CC117" s="74" t="str">
        <f aca="false">IF(ISBLANK($C117),"",IF($BH117&lt;&gt;Constants!$B$4,$BH117,COUNTIFS($BI$9:$BI$508,"&lt;"&amp;$BI117)+COUNTIFS($BI$9:$BI$508,$BI117,$CB$9:$CB$508,"&lt;"&amp;$CB117)+1))</f>
        <v/>
      </c>
      <c r="CD117" s="74" t="str">
        <f aca="false">IF(ISBLANK($C117),"",IF($BH117&lt;&gt;Constants!$B$4,$BH117,RANK($BZ117,$BZ$9:$BZ$508,1)))</f>
        <v/>
      </c>
      <c r="CE117" s="74" t="str">
        <f aca="false">IF($BH117&lt;&gt;Constants!$B$4,"",$AL117+$AM117+$AN117)</f>
        <v/>
      </c>
      <c r="CF117" s="74" t="str">
        <f aca="false">IF(ISBLANK($C117),"",IF($BH117&lt;&gt;Constants!$B$4,$BH117,RANK($CE117,$CE$9:$CE$508,1)))</f>
        <v/>
      </c>
      <c r="CG117" s="74" t="str">
        <f aca="false">IF(ISBLANK($C117),"",IF($BH117&lt;&gt;Constants!$B$4,$BH117,COUNTIFS($BI$9:$BI$508,"&lt;"&amp;$BI117)+COUNTIFS($BI$9:$BI$508,$BI117,$CB$9:$CB$508,"&lt;"&amp;$CB117)+COUNTIFS($BI$9:$BI$508,$BI117,$CB$9:$CB$508,$CB117,$CD$9:$CD$508,"&lt;"&amp;$CD117)+COUNTIFS($BI$9:$BI$508,$BI117,$CB$9:$CB$508,$CB117,$CD$9:$CD$508,$CD117,$CF$9:$CF$508,"&lt;"&amp;$CF117)+1))</f>
        <v/>
      </c>
      <c r="CH117" s="74" t="str">
        <f aca="false">IF(ISBLANK($C117),"",IF($BH117&lt;&gt;Constants!$B$4,$BH117,$CC117-$CG117))</f>
        <v/>
      </c>
      <c r="CI117" s="74" t="str">
        <f aca="false">IF(ISBLANK($C117),"",IF(NOT($AJ117),"",IF(ISBLANK($D$7),$CI$5,IF(NOT(ISNUMBER($D$7)),$CI$6,""))))</f>
        <v/>
      </c>
      <c r="CJ117" s="74" t="str">
        <f aca="false">IF(ISBLANK($C117),"",OR($AL117="",$AM117="",$AN117=""))</f>
        <v/>
      </c>
      <c r="CK117" s="74" t="str">
        <f aca="false">IF(ISBLANK($C117),"",AND($AJ117,$AX117=""))</f>
        <v/>
      </c>
      <c r="CL117" s="74" t="str">
        <f aca="false">IF(ISBLANK($C117),"",AND($AJ117,$AY117=""))</f>
        <v/>
      </c>
      <c r="CM117" s="74" t="str">
        <f aca="false">IF(ISBLANK($C117),"",AND($AJ117,$AZ117=""))</f>
        <v/>
      </c>
      <c r="CN117" s="74" t="str">
        <f aca="false">IF(ISBLANK($C117),"",AND($AJ117,$BC117=""))</f>
        <v/>
      </c>
      <c r="CO117" s="74" t="str">
        <f aca="false">IF(ISBLANK($C117),"",AND($AJ117,$BF117=""))</f>
        <v/>
      </c>
      <c r="CP117" s="75"/>
      <c r="CQ117" s="76"/>
      <c r="CR117" s="79" t="str">
        <f aca="false">IF(ISBLANK($C117),"",IF($BH117=Constants!$B$8,$CI117,""))</f>
        <v/>
      </c>
      <c r="CS117" s="76" t="str">
        <f aca="false">IF(ISBLANK($C117),"",IF($BH117&lt;&gt;Constants!$B$4,"",$BK117+$BL117))</f>
        <v/>
      </c>
      <c r="CT117" s="78" t="str">
        <f aca="false">IF(ISBLANK($C117),"",IF($BH117&lt;&gt;Constants!$B$4,"",$BM117+$BN117+$BO117))</f>
        <v/>
      </c>
      <c r="CU117" s="78" t="str">
        <f aca="false">IF(ISBLANK($C117),"",IF($BH117&lt;&gt;Constants!$B$4,"",$BP117))</f>
        <v/>
      </c>
      <c r="CV117" s="78" t="str">
        <f aca="false">IF(ISBLANK($C117),"",IF($BH117&lt;&gt;Constants!$B$4,"",$BQ117+$BR117))</f>
        <v/>
      </c>
      <c r="CW117" s="78" t="str">
        <f aca="false">IF(ISBLANK($C117),"",IF($BH117&lt;&gt;Constants!$B$4,"",$BS117))</f>
        <v/>
      </c>
      <c r="CX117" s="78" t="str">
        <f aca="false">IF(ISBLANK($C117),"",IF($BH117&lt;&gt;Constants!$B$4,"",-$BZ117))</f>
        <v/>
      </c>
      <c r="CY117" s="79" t="str">
        <f aca="false">IF(ISBLANK($C117),"",$CA117)</f>
        <v/>
      </c>
      <c r="CZ117" s="80" t="str">
        <f aca="false">IF(ISBLANK($C117),"",$BI117)</f>
        <v/>
      </c>
      <c r="DA117" s="78" t="str">
        <f aca="false">IF(ISBLANK($C117),"",$CH117)</f>
        <v/>
      </c>
      <c r="DB117" s="78" t="str">
        <f aca="false">IF(ISBLANK($C117),"",$CG117)</f>
        <v/>
      </c>
      <c r="DC117" s="81" t="str">
        <f aca="false">IF(ISBLANK($C117),"",IFERROR(_xlfn.SWITCH($DB117,Constants!$B$7,COUNTA($C$9:$C$508)+2,Constants!$B$6,COUNTA($C$9:$C$508)+1,Constants!$B$5,COUNTA($C$9:$C$508)),$DB117))</f>
        <v/>
      </c>
      <c r="DD117" s="7"/>
      <c r="DE117" s="82" t="n">
        <f aca="false">IF(OR(ISNUMBER($DB117),$DB117=Constants!$B$7,$DB117=Constants!$B$5,$DB117=Constants!$B$6),1,0)</f>
        <v>0</v>
      </c>
      <c r="DF117" s="82" t="n">
        <v>109</v>
      </c>
      <c r="DG117" s="82" t="str">
        <f aca="false">IF(ISBLANK($C117),"",IF(ISNUMBER($DC117),$DC117+ROW($B117)/1000,""))</f>
        <v/>
      </c>
      <c r="DH117" s="82" t="str">
        <f aca="false">IF(ISNUMBER($DG117),RANK($DG117,$DG$9:$DG$508,1),"")</f>
        <v/>
      </c>
      <c r="DI117" s="82" t="str">
        <f aca="false">IF(ISBLANK($C117),"",$B117)</f>
        <v/>
      </c>
      <c r="DJ117" s="82" t="str">
        <f aca="false">IF(ISBLANK($C117),"",$C117)</f>
        <v/>
      </c>
      <c r="DK117" s="82" t="str">
        <f aca="false">IF(ISBLANK($C117),"",$D117)</f>
        <v/>
      </c>
      <c r="DL117" s="83" t="str">
        <f aca="false">$CZ117</f>
        <v/>
      </c>
      <c r="DM117" s="84" t="str">
        <f aca="false">$CY117</f>
        <v/>
      </c>
      <c r="DN117" s="82" t="str">
        <f aca="false">IF(ISBLANK($C117),"",$DB117)</f>
        <v/>
      </c>
      <c r="DO117" s="85" t="str">
        <f aca="false">IF($DF117&gt;$DE$8,"",VLOOKUP($DF117,$DH$9:$DN$508,7,FALSE()))</f>
        <v/>
      </c>
      <c r="DP117" s="86" t="str">
        <f aca="false">IF($DF117&gt;$DE$8,"",VLOOKUP($DF117,$DH$9:$DN$508,2,FALSE()))</f>
        <v/>
      </c>
      <c r="DQ117" s="86" t="str">
        <f aca="false">IF($DF117&gt;$DE$8,"",VLOOKUP($DF117,$DH$9:$DN$508,3,FALSE()))</f>
        <v/>
      </c>
      <c r="DR117" s="86" t="str">
        <f aca="false">IF($DF117&gt;$DE$8,"",VLOOKUP($DF117,$DH$9:$DN$508,4,FALSE()))</f>
        <v/>
      </c>
      <c r="DS117" s="86" t="str">
        <f aca="false">IF($DF117&gt;$DE$8,"",VLOOKUP($DF117,$DH$9:$DN$508,5,FALSE()))</f>
        <v/>
      </c>
      <c r="DT117" s="87" t="str">
        <f aca="false">IF($DF117&gt;$DE$8,"",VLOOKUP($DF117,$DH$9:$DN$508,6,FALSE()))</f>
        <v/>
      </c>
      <c r="DU117" s="62"/>
    </row>
    <row r="118" customFormat="false" ht="15.75" hidden="false" customHeight="false" outlineLevel="0" collapsed="false">
      <c r="A118" s="7"/>
      <c r="B118" s="64"/>
      <c r="C118" s="65"/>
      <c r="D118" s="123"/>
      <c r="E118" s="88"/>
      <c r="F118" s="134"/>
      <c r="G118" s="88"/>
      <c r="H118" s="134"/>
      <c r="I118" s="119"/>
      <c r="J118" s="119"/>
      <c r="K118" s="119"/>
      <c r="L118" s="88"/>
      <c r="M118" s="88"/>
      <c r="N118" s="88"/>
      <c r="O118" s="134"/>
      <c r="P118" s="88"/>
      <c r="Q118" s="88"/>
      <c r="R118" s="88"/>
      <c r="S118" s="88"/>
      <c r="T118" s="134"/>
      <c r="U118" s="88"/>
      <c r="V118" s="70"/>
      <c r="W118" s="88"/>
      <c r="X118" s="88"/>
      <c r="Y118" s="70"/>
      <c r="Z118" s="70"/>
      <c r="AA118" s="88"/>
      <c r="AB118" s="88"/>
      <c r="AC118" s="71"/>
      <c r="AD118" s="88"/>
      <c r="AE118" s="73"/>
      <c r="AF118" s="74"/>
      <c r="AG118" s="74"/>
      <c r="AH118" s="74" t="str">
        <f aca="false">IF(ISBLANK($C118),"",IF($E118=Constants!$B$2,TRUE(),IF($E118=Constants!$B$3,FALSE(),TRUE())))</f>
        <v/>
      </c>
      <c r="AI118" s="74" t="str">
        <f aca="false">IF(ISBLANK($C118),"",IF($F118=Constants!$B$2,TRUE(),IF($F118=Constants!$B$3,FALSE(),FALSE())))</f>
        <v/>
      </c>
      <c r="AJ118" s="74" t="str">
        <f aca="false">IF(ISBLANK($C118),"",IF($G118=Constants!$B$2,TRUE(),IF($G118=Constants!$B$3,FALSE(),TRUE())))</f>
        <v/>
      </c>
      <c r="AK118" s="74" t="str">
        <f aca="false">IF(ISBLANK($C118),"",IF($H118=Constants!$B$2,TRUE(),IF($H118=Constants!$B$3,FALSE(),TRUE())))</f>
        <v/>
      </c>
      <c r="AL118" s="74" t="str">
        <f aca="false">IF(ISBLANK($C118),"",IF(ISNUMBER($I118),IF($I118&gt;=0,$I118,""),""))</f>
        <v/>
      </c>
      <c r="AM118" s="74" t="str">
        <f aca="false">IF(ISBLANK($C118),"",IF(ISNUMBER($J118),IF($J118&gt;=0,$J118,""),""))</f>
        <v/>
      </c>
      <c r="AN118" s="74" t="str">
        <f aca="false">IF(ISBLANK($C118),"",IF(ISNUMBER($K118),IF($K118&gt;=0,$K118,""),""))</f>
        <v/>
      </c>
      <c r="AO118" s="74" t="str">
        <f aca="false">IF(ISBLANK($C118),"",IF($L118=Constants!$B$2,TRUE(),IF($L118=Constants!$B$3,FALSE(),TRUE())))</f>
        <v/>
      </c>
      <c r="AP118" s="74" t="str">
        <f aca="false">IF(ISBLANK($C118),"",IF($M118=Constants!$B$2,TRUE(),IF($M118=Constants!$B$3,FALSE(),TRUE())))</f>
        <v/>
      </c>
      <c r="AQ118" s="74" t="str">
        <f aca="false">IF(ISBLANK($C118),"",IF($N118=Constants!$B$2,TRUE(),IF($N118=Constants!$B$3,FALSE(),FALSE())))</f>
        <v/>
      </c>
      <c r="AR118" s="74" t="str">
        <f aca="false">IF(ISBLANK($C118),"",IF($O118=Constants!$B$2,TRUE(),IF($O118=Constants!$B$3,FALSE(),TRUE())))</f>
        <v/>
      </c>
      <c r="AS118" s="74" t="str">
        <f aca="false">IF(ISBLANK($C118),"",IF($P118=Constants!$B$2,TRUE(),IF($P118=Constants!$B$3,FALSE(),FALSE())))</f>
        <v/>
      </c>
      <c r="AT118" s="74" t="str">
        <f aca="false">IF(ISBLANK($C118),"",IF($Q118=Constants!$B$2,TRUE(),IF($Q118=Constants!$B$3,FALSE(),FALSE())))</f>
        <v/>
      </c>
      <c r="AU118" s="74" t="str">
        <f aca="false">IF(ISBLANK($C118),"",IF($R118=Constants!$B$2,TRUE(),IF($R118=Constants!$B$3,FALSE(),FALSE())))</f>
        <v/>
      </c>
      <c r="AV118" s="74" t="str">
        <f aca="false">IF(ISBLANK($C118),"",IF($S118=Constants!$B$2,TRUE(),IF($S118=Constants!$B$3,FALSE(),FALSE())))</f>
        <v/>
      </c>
      <c r="AW118" s="74" t="str">
        <f aca="false">IF(ISBLANK($C118),"",IF($T118=Constants!$B$2,TRUE(),IF($T118=Constants!$B$3,FALSE(),FALSE())))</f>
        <v/>
      </c>
      <c r="AX118" s="74" t="str">
        <f aca="false">IF(ISBLANK($C118),"",IF(OR($U118&amp;""="1",$U118&amp;""="2",$U118&amp;""="3",$U118&amp;""="4"),VALUE($U118&amp;""),IF($U118=Constants!$B$12,Constants!$B$12,"")))</f>
        <v/>
      </c>
      <c r="AY118" s="74" t="str">
        <f aca="false">IF(ISBLANK($C118),"",IF(ISBLANK($V118),0,IF(ISNUMBER($V118),IF(AND($V118&gt;=0,$V118&lt;=Constants!$B$21,$V118=INT($V118)),$V118,""),"")))</f>
        <v/>
      </c>
      <c r="AZ118" s="74" t="str">
        <f aca="false">IF(ISBLANK($C118),"",IF(ISBLANK($W118),0,IF(ISNUMBER($W118),IF($W118&gt;=0,$W118,""),"")))</f>
        <v/>
      </c>
      <c r="BA118" s="74" t="str">
        <f aca="false">IF(ISBLANK($C118),"",IF($X118=Constants!$B$2,TRUE(),IF($X118=Constants!$B$3,FALSE(),TRUE())))</f>
        <v/>
      </c>
      <c r="BB118" s="74" t="str">
        <f aca="false">IF(ISBLANK($C118),"",IF($Y118=Constants!$B$2,TRUE(),IF($Y118=Constants!$B$3,FALSE(),FALSE())))</f>
        <v/>
      </c>
      <c r="BC118" s="74" t="str">
        <f aca="false">IF(ISBLANK($C118),"",IF(ISBLANK($Z118),0,IF(ISNUMBER($Z118),IF(AND($Z118&gt;=0,$Z118&lt;=Constants!$B$35,$Z118=INT($Z118)),$Z118,""),"")))</f>
        <v/>
      </c>
      <c r="BD118" s="74" t="str">
        <f aca="false">IF(ISBLANK($C118),"",IF($AA118=Constants!$B$2,TRUE(),IF($AA118=Constants!$B$3,FALSE(),TRUE())))</f>
        <v/>
      </c>
      <c r="BE118" s="74" t="str">
        <f aca="false">IF(ISBLANK($C118),"",IF($AB118=Constants!$B$2,TRUE(),IF($AB118=Constants!$B$3,FALSE(),TRUE())))</f>
        <v/>
      </c>
      <c r="BF118" s="74" t="str">
        <f aca="false">IF(ISBLANK($C118),"",IF(ISNUMBER($AC118),IF($AC118&gt;=0,$AC118,""),""))</f>
        <v/>
      </c>
      <c r="BG118" s="74" t="str">
        <f aca="false">IF(ISBLANK($C118),"",IF($AD118=Constants!$B$2,TRUE(),IF($AD118=Constants!$B$3,FALSE(),FALSE())))</f>
        <v/>
      </c>
      <c r="BH118" s="73" t="str">
        <f aca="false">IF(ISBLANK($C118),"",IF($BG118,Constants!$B$7,IF(COUNTA($E118:$AC118)=0,Constants!$B$6,IF(OR(COUNTA($G118:$AC118)=0,NOT($AK118),$AQ118),Constants!$B$5,IF(OR($CI118&lt;&gt;"",$CJ118,$CK118,$CL118,$CM118,$CN118,$CO118),Constants!$B$8,Constants!$B$4)))))</f>
        <v/>
      </c>
      <c r="BI118" s="74" t="str">
        <f aca="false">IF(ISBLANK($C118),"",IF($BH118&lt;&gt;Constants!$B$4,$BH118,IF(OR(NOT($AH118),NOT($AJ118),NOT($AR118)),Constants!$B$11,IF(OR(NOT($AP118),MAX($AL118,$AM118,$AN118)&gt;Constants!$B$30),Constants!$B$10,Constants!$B$9))))</f>
        <v/>
      </c>
      <c r="BJ118" s="74" t="str">
        <f aca="false">IF($BH118&lt;&gt;Constants!$B$4,"",IF(NOT($AJ118),0,MIN(Constants!$B$35,$BC118)))</f>
        <v/>
      </c>
      <c r="BK118" s="74" t="str">
        <f aca="false">IF($BH118&lt;&gt;Constants!$B$4,"",IF(NOT($AJ118),0,IF($AT118,Constants!$B$18,IF($AS118,Constants!$B$17,0))))</f>
        <v/>
      </c>
      <c r="BL118" s="74" t="str">
        <f aca="false">IF($BH118&lt;&gt;Constants!$B$4,"",IF(NOT($AJ118),0,Constants!$B$19*($AI118+$AU118+$AV118+$AW118)))</f>
        <v/>
      </c>
      <c r="BM118" s="74" t="str">
        <f aca="false">IF($BH118&lt;&gt;Constants!$B$4,"",IF(OR(NOT($AJ118),NOT(ISNUMBER($AX118))),0,CHOOSE($AX118,Constants!$B$13,Constants!$B$14,Constants!$B$15,Constants!$B$16)))</f>
        <v/>
      </c>
      <c r="BN118" s="74" t="str">
        <f aca="false">IF($BH118&lt;&gt;Constants!$B$4,"",IF(NOT($AJ118),0,Constants!$B$20*$AY118))</f>
        <v/>
      </c>
      <c r="BO118" s="74" t="str">
        <f aca="false">IF($BH118&lt;&gt;Constants!$B$4,"",IF(AND($AJ118,$BA118,$BB118),Constants!$B$22,0))</f>
        <v/>
      </c>
      <c r="BP118" s="74" t="str">
        <f aca="false">IF($BH118&lt;&gt;Constants!$B$4,"",IF(OR(NOT($AJ118),NOT($BA118)),0,IF($BF118&gt;=2*$AF$9,0,Constants!$B$23*INT(ROUND(MIN($BF118,$AF$9),6)))))</f>
        <v/>
      </c>
      <c r="BQ118" s="74" t="str">
        <f aca="false">IF($BH118&lt;&gt;Constants!$B$4,"",IF(NOT($AJ118),0,Constants!$B$24*INT(ROUND(MIN($AZ118,$AF$9),6))))</f>
        <v/>
      </c>
      <c r="BR118" s="74" t="str">
        <f aca="false">IF($BH118&lt;&gt;Constants!$B$4,"",IF(AND($AJ118,$BJ118=0),Constants!$B$25,0))</f>
        <v/>
      </c>
      <c r="BS118" s="74" t="str">
        <f aca="false">IF($BH118&lt;&gt;Constants!$B$4,"",MIN(Constants!$B$29,MAX(0,Constants!$B$27*Constants!$B$28*INT(ROUND((Constants!$B$26-$AL118)/Constants!$B$28,6))))+MIN(Constants!$B$29,MAX(0,Constants!$B$27*Constants!$B$28*INT(ROUND((Constants!$B$26-$AM118)/Constants!$B$28,6))))+MIN(Constants!$B$29,MAX(0,Constants!$B$27*Constants!$B$28*INT(ROUND((Constants!$B$26-$AN118)/Constants!$B$28,6)))))</f>
        <v/>
      </c>
      <c r="BT118" s="74" t="str">
        <f aca="false">IF($BH118&lt;&gt;Constants!$B$4,"",IF(NOT($AJ118),0,Constants!$B$31*INT(ROUND(MAX(0,MIN($BF118,2*$AF$9)-$AF$9),6))))</f>
        <v/>
      </c>
      <c r="BU118" s="74" t="str">
        <f aca="false">IF($BH118&lt;&gt;Constants!$B$4,"",Constants!$B$32*(($AL118&gt;Constants!$B$26)+($AM118&gt;Constants!$B$26)+($AN118&gt;Constants!$B$26)))</f>
        <v/>
      </c>
      <c r="BV118" s="74" t="str">
        <f aca="false">IF($BH118&lt;&gt;Constants!$B$4,"",IF(OR(NOT($AJ118),$AO118),0,Constants!$B$33))</f>
        <v/>
      </c>
      <c r="BW118" s="74" t="str">
        <f aca="false">IF($BH118&lt;&gt;Constants!$B$4,"",Constants!$B$34*$BJ118)</f>
        <v/>
      </c>
      <c r="BX118" s="74" t="str">
        <f aca="false">IF($BH118&lt;&gt;Constants!$B$4,"",IF(OR(NOT($AJ118),$BE118),0,Constants!$B$36))</f>
        <v/>
      </c>
      <c r="BY118" s="74" t="str">
        <f aca="false">IF($BH118&lt;&gt;Constants!$B$4,"",IF(OR(NOT($AJ118),$BD118),0,Constants!$B$37))</f>
        <v/>
      </c>
      <c r="BZ118" s="74" t="str">
        <f aca="false">IF($BH118&lt;&gt;Constants!$B$4,"",SUM($BT118:$BY118))</f>
        <v/>
      </c>
      <c r="CA118" s="74" t="str">
        <f aca="false">IF(ISBLANK($C118),"",IF($BH118&lt;&gt;Constants!$B$4,$BH118,SUM($BK118:$BS118)-$BZ118))</f>
        <v/>
      </c>
      <c r="CB118" s="74" t="str">
        <f aca="false">IF(ISBLANK($C118),"",IF($BH118&lt;&gt;Constants!$B$4,$BH118,RANK($CA118,$CA$9:$CA$508)))</f>
        <v/>
      </c>
      <c r="CC118" s="74" t="str">
        <f aca="false">IF(ISBLANK($C118),"",IF($BH118&lt;&gt;Constants!$B$4,$BH118,COUNTIFS($BI$9:$BI$508,"&lt;"&amp;$BI118)+COUNTIFS($BI$9:$BI$508,$BI118,$CB$9:$CB$508,"&lt;"&amp;$CB118)+1))</f>
        <v/>
      </c>
      <c r="CD118" s="74" t="str">
        <f aca="false">IF(ISBLANK($C118),"",IF($BH118&lt;&gt;Constants!$B$4,$BH118,RANK($BZ118,$BZ$9:$BZ$508,1)))</f>
        <v/>
      </c>
      <c r="CE118" s="74" t="str">
        <f aca="false">IF($BH118&lt;&gt;Constants!$B$4,"",$AL118+$AM118+$AN118)</f>
        <v/>
      </c>
      <c r="CF118" s="74" t="str">
        <f aca="false">IF(ISBLANK($C118),"",IF($BH118&lt;&gt;Constants!$B$4,$BH118,RANK($CE118,$CE$9:$CE$508,1)))</f>
        <v/>
      </c>
      <c r="CG118" s="74" t="str">
        <f aca="false">IF(ISBLANK($C118),"",IF($BH118&lt;&gt;Constants!$B$4,$BH118,COUNTIFS($BI$9:$BI$508,"&lt;"&amp;$BI118)+COUNTIFS($BI$9:$BI$508,$BI118,$CB$9:$CB$508,"&lt;"&amp;$CB118)+COUNTIFS($BI$9:$BI$508,$BI118,$CB$9:$CB$508,$CB118,$CD$9:$CD$508,"&lt;"&amp;$CD118)+COUNTIFS($BI$9:$BI$508,$BI118,$CB$9:$CB$508,$CB118,$CD$9:$CD$508,$CD118,$CF$9:$CF$508,"&lt;"&amp;$CF118)+1))</f>
        <v/>
      </c>
      <c r="CH118" s="74" t="str">
        <f aca="false">IF(ISBLANK($C118),"",IF($BH118&lt;&gt;Constants!$B$4,$BH118,$CC118-$CG118))</f>
        <v/>
      </c>
      <c r="CI118" s="74" t="str">
        <f aca="false">IF(ISBLANK($C118),"",IF(NOT($AJ118),"",IF(ISBLANK($D$7),$CI$5,IF(NOT(ISNUMBER($D$7)),$CI$6,""))))</f>
        <v/>
      </c>
      <c r="CJ118" s="74" t="str">
        <f aca="false">IF(ISBLANK($C118),"",OR($AL118="",$AM118="",$AN118=""))</f>
        <v/>
      </c>
      <c r="CK118" s="74" t="str">
        <f aca="false">IF(ISBLANK($C118),"",AND($AJ118,$AX118=""))</f>
        <v/>
      </c>
      <c r="CL118" s="74" t="str">
        <f aca="false">IF(ISBLANK($C118),"",AND($AJ118,$AY118=""))</f>
        <v/>
      </c>
      <c r="CM118" s="74" t="str">
        <f aca="false">IF(ISBLANK($C118),"",AND($AJ118,$AZ118=""))</f>
        <v/>
      </c>
      <c r="CN118" s="74" t="str">
        <f aca="false">IF(ISBLANK($C118),"",AND($AJ118,$BC118=""))</f>
        <v/>
      </c>
      <c r="CO118" s="74" t="str">
        <f aca="false">IF(ISBLANK($C118),"",AND($AJ118,$BF118=""))</f>
        <v/>
      </c>
      <c r="CP118" s="75"/>
      <c r="CQ118" s="76"/>
      <c r="CR118" s="79" t="str">
        <f aca="false">IF(ISBLANK($C118),"",IF($BH118=Constants!$B$8,$CI118,""))</f>
        <v/>
      </c>
      <c r="CS118" s="76" t="str">
        <f aca="false">IF(ISBLANK($C118),"",IF($BH118&lt;&gt;Constants!$B$4,"",$BK118+$BL118))</f>
        <v/>
      </c>
      <c r="CT118" s="78" t="str">
        <f aca="false">IF(ISBLANK($C118),"",IF($BH118&lt;&gt;Constants!$B$4,"",$BM118+$BN118+$BO118))</f>
        <v/>
      </c>
      <c r="CU118" s="78" t="str">
        <f aca="false">IF(ISBLANK($C118),"",IF($BH118&lt;&gt;Constants!$B$4,"",$BP118))</f>
        <v/>
      </c>
      <c r="CV118" s="78" t="str">
        <f aca="false">IF(ISBLANK($C118),"",IF($BH118&lt;&gt;Constants!$B$4,"",$BQ118+$BR118))</f>
        <v/>
      </c>
      <c r="CW118" s="78" t="str">
        <f aca="false">IF(ISBLANK($C118),"",IF($BH118&lt;&gt;Constants!$B$4,"",$BS118))</f>
        <v/>
      </c>
      <c r="CX118" s="78" t="str">
        <f aca="false">IF(ISBLANK($C118),"",IF($BH118&lt;&gt;Constants!$B$4,"",-$BZ118))</f>
        <v/>
      </c>
      <c r="CY118" s="79" t="str">
        <f aca="false">IF(ISBLANK($C118),"",$CA118)</f>
        <v/>
      </c>
      <c r="CZ118" s="80" t="str">
        <f aca="false">IF(ISBLANK($C118),"",$BI118)</f>
        <v/>
      </c>
      <c r="DA118" s="78" t="str">
        <f aca="false">IF(ISBLANK($C118),"",$CH118)</f>
        <v/>
      </c>
      <c r="DB118" s="78" t="str">
        <f aca="false">IF(ISBLANK($C118),"",$CG118)</f>
        <v/>
      </c>
      <c r="DC118" s="81" t="str">
        <f aca="false">IF(ISBLANK($C118),"",IFERROR(_xlfn.SWITCH($DB118,Constants!$B$7,COUNTA($C$9:$C$508)+2,Constants!$B$6,COUNTA($C$9:$C$508)+1,Constants!$B$5,COUNTA($C$9:$C$508)),$DB118))</f>
        <v/>
      </c>
      <c r="DD118" s="7"/>
      <c r="DE118" s="82" t="n">
        <f aca="false">IF(OR(ISNUMBER($DB118),$DB118=Constants!$B$7,$DB118=Constants!$B$5,$DB118=Constants!$B$6),1,0)</f>
        <v>0</v>
      </c>
      <c r="DF118" s="82" t="n">
        <v>110</v>
      </c>
      <c r="DG118" s="82" t="str">
        <f aca="false">IF(ISBLANK($C118),"",IF(ISNUMBER($DC118),$DC118+ROW($B118)/1000,""))</f>
        <v/>
      </c>
      <c r="DH118" s="82" t="str">
        <f aca="false">IF(ISNUMBER($DG118),RANK($DG118,$DG$9:$DG$508,1),"")</f>
        <v/>
      </c>
      <c r="DI118" s="82" t="str">
        <f aca="false">IF(ISBLANK($C118),"",$B118)</f>
        <v/>
      </c>
      <c r="DJ118" s="82" t="str">
        <f aca="false">IF(ISBLANK($C118),"",$C118)</f>
        <v/>
      </c>
      <c r="DK118" s="82" t="str">
        <f aca="false">IF(ISBLANK($C118),"",$D118)</f>
        <v/>
      </c>
      <c r="DL118" s="83" t="str">
        <f aca="false">$CZ118</f>
        <v/>
      </c>
      <c r="DM118" s="84" t="str">
        <f aca="false">$CY118</f>
        <v/>
      </c>
      <c r="DN118" s="82" t="str">
        <f aca="false">IF(ISBLANK($C118),"",$DB118)</f>
        <v/>
      </c>
      <c r="DO118" s="85" t="str">
        <f aca="false">IF($DF118&gt;$DE$8,"",VLOOKUP($DF118,$DH$9:$DN$508,7,FALSE()))</f>
        <v/>
      </c>
      <c r="DP118" s="86" t="str">
        <f aca="false">IF($DF118&gt;$DE$8,"",VLOOKUP($DF118,$DH$9:$DN$508,2,FALSE()))</f>
        <v/>
      </c>
      <c r="DQ118" s="86" t="str">
        <f aca="false">IF($DF118&gt;$DE$8,"",VLOOKUP($DF118,$DH$9:$DN$508,3,FALSE()))</f>
        <v/>
      </c>
      <c r="DR118" s="86" t="str">
        <f aca="false">IF($DF118&gt;$DE$8,"",VLOOKUP($DF118,$DH$9:$DN$508,4,FALSE()))</f>
        <v/>
      </c>
      <c r="DS118" s="86" t="str">
        <f aca="false">IF($DF118&gt;$DE$8,"",VLOOKUP($DF118,$DH$9:$DN$508,5,FALSE()))</f>
        <v/>
      </c>
      <c r="DT118" s="87" t="str">
        <f aca="false">IF($DF118&gt;$DE$8,"",VLOOKUP($DF118,$DH$9:$DN$508,6,FALSE()))</f>
        <v/>
      </c>
      <c r="DU118" s="62"/>
    </row>
    <row r="119" customFormat="false" ht="15.75" hidden="false" customHeight="false" outlineLevel="0" collapsed="false">
      <c r="A119" s="7"/>
      <c r="B119" s="64"/>
      <c r="C119" s="65"/>
      <c r="D119" s="123"/>
      <c r="E119" s="88"/>
      <c r="F119" s="134"/>
      <c r="G119" s="88"/>
      <c r="H119" s="134"/>
      <c r="I119" s="119"/>
      <c r="J119" s="119"/>
      <c r="K119" s="119"/>
      <c r="L119" s="88"/>
      <c r="M119" s="88"/>
      <c r="N119" s="88"/>
      <c r="O119" s="134"/>
      <c r="P119" s="88"/>
      <c r="Q119" s="88"/>
      <c r="R119" s="88"/>
      <c r="S119" s="88"/>
      <c r="T119" s="134"/>
      <c r="U119" s="88"/>
      <c r="V119" s="70"/>
      <c r="W119" s="88"/>
      <c r="X119" s="88"/>
      <c r="Y119" s="70"/>
      <c r="Z119" s="70"/>
      <c r="AA119" s="88"/>
      <c r="AB119" s="88"/>
      <c r="AC119" s="71"/>
      <c r="AD119" s="88"/>
      <c r="AE119" s="73"/>
      <c r="AF119" s="74"/>
      <c r="AG119" s="74"/>
      <c r="AH119" s="74" t="str">
        <f aca="false">IF(ISBLANK($C119),"",IF($E119=Constants!$B$2,TRUE(),IF($E119=Constants!$B$3,FALSE(),TRUE())))</f>
        <v/>
      </c>
      <c r="AI119" s="74" t="str">
        <f aca="false">IF(ISBLANK($C119),"",IF($F119=Constants!$B$2,TRUE(),IF($F119=Constants!$B$3,FALSE(),FALSE())))</f>
        <v/>
      </c>
      <c r="AJ119" s="74" t="str">
        <f aca="false">IF(ISBLANK($C119),"",IF($G119=Constants!$B$2,TRUE(),IF($G119=Constants!$B$3,FALSE(),TRUE())))</f>
        <v/>
      </c>
      <c r="AK119" s="74" t="str">
        <f aca="false">IF(ISBLANK($C119),"",IF($H119=Constants!$B$2,TRUE(),IF($H119=Constants!$B$3,FALSE(),TRUE())))</f>
        <v/>
      </c>
      <c r="AL119" s="74" t="str">
        <f aca="false">IF(ISBLANK($C119),"",IF(ISNUMBER($I119),IF($I119&gt;=0,$I119,""),""))</f>
        <v/>
      </c>
      <c r="AM119" s="74" t="str">
        <f aca="false">IF(ISBLANK($C119),"",IF(ISNUMBER($J119),IF($J119&gt;=0,$J119,""),""))</f>
        <v/>
      </c>
      <c r="AN119" s="74" t="str">
        <f aca="false">IF(ISBLANK($C119),"",IF(ISNUMBER($K119),IF($K119&gt;=0,$K119,""),""))</f>
        <v/>
      </c>
      <c r="AO119" s="74" t="str">
        <f aca="false">IF(ISBLANK($C119),"",IF($L119=Constants!$B$2,TRUE(),IF($L119=Constants!$B$3,FALSE(),TRUE())))</f>
        <v/>
      </c>
      <c r="AP119" s="74" t="str">
        <f aca="false">IF(ISBLANK($C119),"",IF($M119=Constants!$B$2,TRUE(),IF($M119=Constants!$B$3,FALSE(),TRUE())))</f>
        <v/>
      </c>
      <c r="AQ119" s="74" t="str">
        <f aca="false">IF(ISBLANK($C119),"",IF($N119=Constants!$B$2,TRUE(),IF($N119=Constants!$B$3,FALSE(),FALSE())))</f>
        <v/>
      </c>
      <c r="AR119" s="74" t="str">
        <f aca="false">IF(ISBLANK($C119),"",IF($O119=Constants!$B$2,TRUE(),IF($O119=Constants!$B$3,FALSE(),TRUE())))</f>
        <v/>
      </c>
      <c r="AS119" s="74" t="str">
        <f aca="false">IF(ISBLANK($C119),"",IF($P119=Constants!$B$2,TRUE(),IF($P119=Constants!$B$3,FALSE(),FALSE())))</f>
        <v/>
      </c>
      <c r="AT119" s="74" t="str">
        <f aca="false">IF(ISBLANK($C119),"",IF($Q119=Constants!$B$2,TRUE(),IF($Q119=Constants!$B$3,FALSE(),FALSE())))</f>
        <v/>
      </c>
      <c r="AU119" s="74" t="str">
        <f aca="false">IF(ISBLANK($C119),"",IF($R119=Constants!$B$2,TRUE(),IF($R119=Constants!$B$3,FALSE(),FALSE())))</f>
        <v/>
      </c>
      <c r="AV119" s="74" t="str">
        <f aca="false">IF(ISBLANK($C119),"",IF($S119=Constants!$B$2,TRUE(),IF($S119=Constants!$B$3,FALSE(),FALSE())))</f>
        <v/>
      </c>
      <c r="AW119" s="74" t="str">
        <f aca="false">IF(ISBLANK($C119),"",IF($T119=Constants!$B$2,TRUE(),IF($T119=Constants!$B$3,FALSE(),FALSE())))</f>
        <v/>
      </c>
      <c r="AX119" s="74" t="str">
        <f aca="false">IF(ISBLANK($C119),"",IF(OR($U119&amp;""="1",$U119&amp;""="2",$U119&amp;""="3",$U119&amp;""="4"),VALUE($U119&amp;""),IF($U119=Constants!$B$12,Constants!$B$12,"")))</f>
        <v/>
      </c>
      <c r="AY119" s="74" t="str">
        <f aca="false">IF(ISBLANK($C119),"",IF(ISBLANK($V119),0,IF(ISNUMBER($V119),IF(AND($V119&gt;=0,$V119&lt;=Constants!$B$21,$V119=INT($V119)),$V119,""),"")))</f>
        <v/>
      </c>
      <c r="AZ119" s="74" t="str">
        <f aca="false">IF(ISBLANK($C119),"",IF(ISBLANK($W119),0,IF(ISNUMBER($W119),IF($W119&gt;=0,$W119,""),"")))</f>
        <v/>
      </c>
      <c r="BA119" s="74" t="str">
        <f aca="false">IF(ISBLANK($C119),"",IF($X119=Constants!$B$2,TRUE(),IF($X119=Constants!$B$3,FALSE(),TRUE())))</f>
        <v/>
      </c>
      <c r="BB119" s="74" t="str">
        <f aca="false">IF(ISBLANK($C119),"",IF($Y119=Constants!$B$2,TRUE(),IF($Y119=Constants!$B$3,FALSE(),FALSE())))</f>
        <v/>
      </c>
      <c r="BC119" s="74" t="str">
        <f aca="false">IF(ISBLANK($C119),"",IF(ISBLANK($Z119),0,IF(ISNUMBER($Z119),IF(AND($Z119&gt;=0,$Z119&lt;=Constants!$B$35,$Z119=INT($Z119)),$Z119,""),"")))</f>
        <v/>
      </c>
      <c r="BD119" s="74" t="str">
        <f aca="false">IF(ISBLANK($C119),"",IF($AA119=Constants!$B$2,TRUE(),IF($AA119=Constants!$B$3,FALSE(),TRUE())))</f>
        <v/>
      </c>
      <c r="BE119" s="74" t="str">
        <f aca="false">IF(ISBLANK($C119),"",IF($AB119=Constants!$B$2,TRUE(),IF($AB119=Constants!$B$3,FALSE(),TRUE())))</f>
        <v/>
      </c>
      <c r="BF119" s="74" t="str">
        <f aca="false">IF(ISBLANK($C119),"",IF(ISNUMBER($AC119),IF($AC119&gt;=0,$AC119,""),""))</f>
        <v/>
      </c>
      <c r="BG119" s="74" t="str">
        <f aca="false">IF(ISBLANK($C119),"",IF($AD119=Constants!$B$2,TRUE(),IF($AD119=Constants!$B$3,FALSE(),FALSE())))</f>
        <v/>
      </c>
      <c r="BH119" s="73" t="str">
        <f aca="false">IF(ISBLANK($C119),"",IF($BG119,Constants!$B$7,IF(COUNTA($E119:$AC119)=0,Constants!$B$6,IF(OR(COUNTA($G119:$AC119)=0,NOT($AK119),$AQ119),Constants!$B$5,IF(OR($CI119&lt;&gt;"",$CJ119,$CK119,$CL119,$CM119,$CN119,$CO119),Constants!$B$8,Constants!$B$4)))))</f>
        <v/>
      </c>
      <c r="BI119" s="74" t="str">
        <f aca="false">IF(ISBLANK($C119),"",IF($BH119&lt;&gt;Constants!$B$4,$BH119,IF(OR(NOT($AH119),NOT($AJ119),NOT($AR119)),Constants!$B$11,IF(OR(NOT($AP119),MAX($AL119,$AM119,$AN119)&gt;Constants!$B$30),Constants!$B$10,Constants!$B$9))))</f>
        <v/>
      </c>
      <c r="BJ119" s="74" t="str">
        <f aca="false">IF($BH119&lt;&gt;Constants!$B$4,"",IF(NOT($AJ119),0,MIN(Constants!$B$35,$BC119)))</f>
        <v/>
      </c>
      <c r="BK119" s="74" t="str">
        <f aca="false">IF($BH119&lt;&gt;Constants!$B$4,"",IF(NOT($AJ119),0,IF($AT119,Constants!$B$18,IF($AS119,Constants!$B$17,0))))</f>
        <v/>
      </c>
      <c r="BL119" s="74" t="str">
        <f aca="false">IF($BH119&lt;&gt;Constants!$B$4,"",IF(NOT($AJ119),0,Constants!$B$19*($AI119+$AU119+$AV119+$AW119)))</f>
        <v/>
      </c>
      <c r="BM119" s="74" t="str">
        <f aca="false">IF($BH119&lt;&gt;Constants!$B$4,"",IF(OR(NOT($AJ119),NOT(ISNUMBER($AX119))),0,CHOOSE($AX119,Constants!$B$13,Constants!$B$14,Constants!$B$15,Constants!$B$16)))</f>
        <v/>
      </c>
      <c r="BN119" s="74" t="str">
        <f aca="false">IF($BH119&lt;&gt;Constants!$B$4,"",IF(NOT($AJ119),0,Constants!$B$20*$AY119))</f>
        <v/>
      </c>
      <c r="BO119" s="74" t="str">
        <f aca="false">IF($BH119&lt;&gt;Constants!$B$4,"",IF(AND($AJ119,$BA119,$BB119),Constants!$B$22,0))</f>
        <v/>
      </c>
      <c r="BP119" s="74" t="str">
        <f aca="false">IF($BH119&lt;&gt;Constants!$B$4,"",IF(OR(NOT($AJ119),NOT($BA119)),0,IF($BF119&gt;=2*$AF$9,0,Constants!$B$23*INT(ROUND(MIN($BF119,$AF$9),6)))))</f>
        <v/>
      </c>
      <c r="BQ119" s="74" t="str">
        <f aca="false">IF($BH119&lt;&gt;Constants!$B$4,"",IF(NOT($AJ119),0,Constants!$B$24*INT(ROUND(MIN($AZ119,$AF$9),6))))</f>
        <v/>
      </c>
      <c r="BR119" s="74" t="str">
        <f aca="false">IF($BH119&lt;&gt;Constants!$B$4,"",IF(AND($AJ119,$BJ119=0),Constants!$B$25,0))</f>
        <v/>
      </c>
      <c r="BS119" s="74" t="str">
        <f aca="false">IF($BH119&lt;&gt;Constants!$B$4,"",MIN(Constants!$B$29,MAX(0,Constants!$B$27*Constants!$B$28*INT(ROUND((Constants!$B$26-$AL119)/Constants!$B$28,6))))+MIN(Constants!$B$29,MAX(0,Constants!$B$27*Constants!$B$28*INT(ROUND((Constants!$B$26-$AM119)/Constants!$B$28,6))))+MIN(Constants!$B$29,MAX(0,Constants!$B$27*Constants!$B$28*INT(ROUND((Constants!$B$26-$AN119)/Constants!$B$28,6)))))</f>
        <v/>
      </c>
      <c r="BT119" s="74" t="str">
        <f aca="false">IF($BH119&lt;&gt;Constants!$B$4,"",IF(NOT($AJ119),0,Constants!$B$31*INT(ROUND(MAX(0,MIN($BF119,2*$AF$9)-$AF$9),6))))</f>
        <v/>
      </c>
      <c r="BU119" s="74" t="str">
        <f aca="false">IF($BH119&lt;&gt;Constants!$B$4,"",Constants!$B$32*(($AL119&gt;Constants!$B$26)+($AM119&gt;Constants!$B$26)+($AN119&gt;Constants!$B$26)))</f>
        <v/>
      </c>
      <c r="BV119" s="74" t="str">
        <f aca="false">IF($BH119&lt;&gt;Constants!$B$4,"",IF(OR(NOT($AJ119),$AO119),0,Constants!$B$33))</f>
        <v/>
      </c>
      <c r="BW119" s="74" t="str">
        <f aca="false">IF($BH119&lt;&gt;Constants!$B$4,"",Constants!$B$34*$BJ119)</f>
        <v/>
      </c>
      <c r="BX119" s="74" t="str">
        <f aca="false">IF($BH119&lt;&gt;Constants!$B$4,"",IF(OR(NOT($AJ119),$BE119),0,Constants!$B$36))</f>
        <v/>
      </c>
      <c r="BY119" s="74" t="str">
        <f aca="false">IF($BH119&lt;&gt;Constants!$B$4,"",IF(OR(NOT($AJ119),$BD119),0,Constants!$B$37))</f>
        <v/>
      </c>
      <c r="BZ119" s="74" t="str">
        <f aca="false">IF($BH119&lt;&gt;Constants!$B$4,"",SUM($BT119:$BY119))</f>
        <v/>
      </c>
      <c r="CA119" s="74" t="str">
        <f aca="false">IF(ISBLANK($C119),"",IF($BH119&lt;&gt;Constants!$B$4,$BH119,SUM($BK119:$BS119)-$BZ119))</f>
        <v/>
      </c>
      <c r="CB119" s="74" t="str">
        <f aca="false">IF(ISBLANK($C119),"",IF($BH119&lt;&gt;Constants!$B$4,$BH119,RANK($CA119,$CA$9:$CA$508)))</f>
        <v/>
      </c>
      <c r="CC119" s="74" t="str">
        <f aca="false">IF(ISBLANK($C119),"",IF($BH119&lt;&gt;Constants!$B$4,$BH119,COUNTIFS($BI$9:$BI$508,"&lt;"&amp;$BI119)+COUNTIFS($BI$9:$BI$508,$BI119,$CB$9:$CB$508,"&lt;"&amp;$CB119)+1))</f>
        <v/>
      </c>
      <c r="CD119" s="74" t="str">
        <f aca="false">IF(ISBLANK($C119),"",IF($BH119&lt;&gt;Constants!$B$4,$BH119,RANK($BZ119,$BZ$9:$BZ$508,1)))</f>
        <v/>
      </c>
      <c r="CE119" s="74" t="str">
        <f aca="false">IF($BH119&lt;&gt;Constants!$B$4,"",$AL119+$AM119+$AN119)</f>
        <v/>
      </c>
      <c r="CF119" s="74" t="str">
        <f aca="false">IF(ISBLANK($C119),"",IF($BH119&lt;&gt;Constants!$B$4,$BH119,RANK($CE119,$CE$9:$CE$508,1)))</f>
        <v/>
      </c>
      <c r="CG119" s="74" t="str">
        <f aca="false">IF(ISBLANK($C119),"",IF($BH119&lt;&gt;Constants!$B$4,$BH119,COUNTIFS($BI$9:$BI$508,"&lt;"&amp;$BI119)+COUNTIFS($BI$9:$BI$508,$BI119,$CB$9:$CB$508,"&lt;"&amp;$CB119)+COUNTIFS($BI$9:$BI$508,$BI119,$CB$9:$CB$508,$CB119,$CD$9:$CD$508,"&lt;"&amp;$CD119)+COUNTIFS($BI$9:$BI$508,$BI119,$CB$9:$CB$508,$CB119,$CD$9:$CD$508,$CD119,$CF$9:$CF$508,"&lt;"&amp;$CF119)+1))</f>
        <v/>
      </c>
      <c r="CH119" s="74" t="str">
        <f aca="false">IF(ISBLANK($C119),"",IF($BH119&lt;&gt;Constants!$B$4,$BH119,$CC119-$CG119))</f>
        <v/>
      </c>
      <c r="CI119" s="74" t="str">
        <f aca="false">IF(ISBLANK($C119),"",IF(NOT($AJ119),"",IF(ISBLANK($D$7),$CI$5,IF(NOT(ISNUMBER($D$7)),$CI$6,""))))</f>
        <v/>
      </c>
      <c r="CJ119" s="74" t="str">
        <f aca="false">IF(ISBLANK($C119),"",OR($AL119="",$AM119="",$AN119=""))</f>
        <v/>
      </c>
      <c r="CK119" s="74" t="str">
        <f aca="false">IF(ISBLANK($C119),"",AND($AJ119,$AX119=""))</f>
        <v/>
      </c>
      <c r="CL119" s="74" t="str">
        <f aca="false">IF(ISBLANK($C119),"",AND($AJ119,$AY119=""))</f>
        <v/>
      </c>
      <c r="CM119" s="74" t="str">
        <f aca="false">IF(ISBLANK($C119),"",AND($AJ119,$AZ119=""))</f>
        <v/>
      </c>
      <c r="CN119" s="74" t="str">
        <f aca="false">IF(ISBLANK($C119),"",AND($AJ119,$BC119=""))</f>
        <v/>
      </c>
      <c r="CO119" s="74" t="str">
        <f aca="false">IF(ISBLANK($C119),"",AND($AJ119,$BF119=""))</f>
        <v/>
      </c>
      <c r="CP119" s="75"/>
      <c r="CQ119" s="76"/>
      <c r="CR119" s="79" t="str">
        <f aca="false">IF(ISBLANK($C119),"",IF($BH119=Constants!$B$8,$CI119,""))</f>
        <v/>
      </c>
      <c r="CS119" s="76" t="str">
        <f aca="false">IF(ISBLANK($C119),"",IF($BH119&lt;&gt;Constants!$B$4,"",$BK119+$BL119))</f>
        <v/>
      </c>
      <c r="CT119" s="78" t="str">
        <f aca="false">IF(ISBLANK($C119),"",IF($BH119&lt;&gt;Constants!$B$4,"",$BM119+$BN119+$BO119))</f>
        <v/>
      </c>
      <c r="CU119" s="78" t="str">
        <f aca="false">IF(ISBLANK($C119),"",IF($BH119&lt;&gt;Constants!$B$4,"",$BP119))</f>
        <v/>
      </c>
      <c r="CV119" s="78" t="str">
        <f aca="false">IF(ISBLANK($C119),"",IF($BH119&lt;&gt;Constants!$B$4,"",$BQ119+$BR119))</f>
        <v/>
      </c>
      <c r="CW119" s="78" t="str">
        <f aca="false">IF(ISBLANK($C119),"",IF($BH119&lt;&gt;Constants!$B$4,"",$BS119))</f>
        <v/>
      </c>
      <c r="CX119" s="78" t="str">
        <f aca="false">IF(ISBLANK($C119),"",IF($BH119&lt;&gt;Constants!$B$4,"",-$BZ119))</f>
        <v/>
      </c>
      <c r="CY119" s="79" t="str">
        <f aca="false">IF(ISBLANK($C119),"",$CA119)</f>
        <v/>
      </c>
      <c r="CZ119" s="80" t="str">
        <f aca="false">IF(ISBLANK($C119),"",$BI119)</f>
        <v/>
      </c>
      <c r="DA119" s="78" t="str">
        <f aca="false">IF(ISBLANK($C119),"",$CH119)</f>
        <v/>
      </c>
      <c r="DB119" s="78" t="str">
        <f aca="false">IF(ISBLANK($C119),"",$CG119)</f>
        <v/>
      </c>
      <c r="DC119" s="81" t="str">
        <f aca="false">IF(ISBLANK($C119),"",IFERROR(_xlfn.SWITCH($DB119,Constants!$B$7,COUNTA($C$9:$C$508)+2,Constants!$B$6,COUNTA($C$9:$C$508)+1,Constants!$B$5,COUNTA($C$9:$C$508)),$DB119))</f>
        <v/>
      </c>
      <c r="DD119" s="7"/>
      <c r="DE119" s="82" t="n">
        <f aca="false">IF(OR(ISNUMBER($DB119),$DB119=Constants!$B$7,$DB119=Constants!$B$5,$DB119=Constants!$B$6),1,0)</f>
        <v>0</v>
      </c>
      <c r="DF119" s="82" t="n">
        <v>111</v>
      </c>
      <c r="DG119" s="82" t="str">
        <f aca="false">IF(ISBLANK($C119),"",IF(ISNUMBER($DC119),$DC119+ROW($B119)/1000,""))</f>
        <v/>
      </c>
      <c r="DH119" s="82" t="str">
        <f aca="false">IF(ISNUMBER($DG119),RANK($DG119,$DG$9:$DG$508,1),"")</f>
        <v/>
      </c>
      <c r="DI119" s="82" t="str">
        <f aca="false">IF(ISBLANK($C119),"",$B119)</f>
        <v/>
      </c>
      <c r="DJ119" s="82" t="str">
        <f aca="false">IF(ISBLANK($C119),"",$C119)</f>
        <v/>
      </c>
      <c r="DK119" s="82" t="str">
        <f aca="false">IF(ISBLANK($C119),"",$D119)</f>
        <v/>
      </c>
      <c r="DL119" s="83" t="str">
        <f aca="false">$CZ119</f>
        <v/>
      </c>
      <c r="DM119" s="84" t="str">
        <f aca="false">$CY119</f>
        <v/>
      </c>
      <c r="DN119" s="82" t="str">
        <f aca="false">IF(ISBLANK($C119),"",$DB119)</f>
        <v/>
      </c>
      <c r="DO119" s="85" t="str">
        <f aca="false">IF($DF119&gt;$DE$8,"",VLOOKUP($DF119,$DH$9:$DN$508,7,FALSE()))</f>
        <v/>
      </c>
      <c r="DP119" s="86" t="str">
        <f aca="false">IF($DF119&gt;$DE$8,"",VLOOKUP($DF119,$DH$9:$DN$508,2,FALSE()))</f>
        <v/>
      </c>
      <c r="DQ119" s="86" t="str">
        <f aca="false">IF($DF119&gt;$DE$8,"",VLOOKUP($DF119,$DH$9:$DN$508,3,FALSE()))</f>
        <v/>
      </c>
      <c r="DR119" s="86" t="str">
        <f aca="false">IF($DF119&gt;$DE$8,"",VLOOKUP($DF119,$DH$9:$DN$508,4,FALSE()))</f>
        <v/>
      </c>
      <c r="DS119" s="86" t="str">
        <f aca="false">IF($DF119&gt;$DE$8,"",VLOOKUP($DF119,$DH$9:$DN$508,5,FALSE()))</f>
        <v/>
      </c>
      <c r="DT119" s="87" t="str">
        <f aca="false">IF($DF119&gt;$DE$8,"",VLOOKUP($DF119,$DH$9:$DN$508,6,FALSE()))</f>
        <v/>
      </c>
      <c r="DU119" s="62"/>
    </row>
    <row r="120" customFormat="false" ht="15.75" hidden="false" customHeight="false" outlineLevel="0" collapsed="false">
      <c r="A120" s="7"/>
      <c r="B120" s="90"/>
      <c r="C120" s="91"/>
      <c r="D120" s="126"/>
      <c r="E120" s="130"/>
      <c r="F120" s="135"/>
      <c r="G120" s="130"/>
      <c r="H120" s="135"/>
      <c r="I120" s="131"/>
      <c r="J120" s="131"/>
      <c r="K120" s="131"/>
      <c r="L120" s="130"/>
      <c r="M120" s="130"/>
      <c r="N120" s="130"/>
      <c r="O120" s="135"/>
      <c r="P120" s="130"/>
      <c r="Q120" s="130"/>
      <c r="R120" s="130"/>
      <c r="S120" s="130"/>
      <c r="T120" s="135"/>
      <c r="U120" s="130"/>
      <c r="V120" s="96"/>
      <c r="W120" s="130"/>
      <c r="X120" s="130"/>
      <c r="Y120" s="96"/>
      <c r="Z120" s="96"/>
      <c r="AA120" s="130"/>
      <c r="AB120" s="130"/>
      <c r="AC120" s="97"/>
      <c r="AD120" s="130"/>
      <c r="AE120" s="99"/>
      <c r="AF120" s="100"/>
      <c r="AG120" s="100"/>
      <c r="AH120" s="100" t="str">
        <f aca="false">IF(ISBLANK($C120),"",IF($E120=Constants!$B$2,TRUE(),IF($E120=Constants!$B$3,FALSE(),TRUE())))</f>
        <v/>
      </c>
      <c r="AI120" s="100" t="str">
        <f aca="false">IF(ISBLANK($C120),"",IF($F120=Constants!$B$2,TRUE(),IF($F120=Constants!$B$3,FALSE(),FALSE())))</f>
        <v/>
      </c>
      <c r="AJ120" s="100" t="str">
        <f aca="false">IF(ISBLANK($C120),"",IF($G120=Constants!$B$2,TRUE(),IF($G120=Constants!$B$3,FALSE(),TRUE())))</f>
        <v/>
      </c>
      <c r="AK120" s="100" t="str">
        <f aca="false">IF(ISBLANK($C120),"",IF($H120=Constants!$B$2,TRUE(),IF($H120=Constants!$B$3,FALSE(),TRUE())))</f>
        <v/>
      </c>
      <c r="AL120" s="100" t="str">
        <f aca="false">IF(ISBLANK($C120),"",IF(ISNUMBER($I120),IF($I120&gt;=0,$I120,""),""))</f>
        <v/>
      </c>
      <c r="AM120" s="100" t="str">
        <f aca="false">IF(ISBLANK($C120),"",IF(ISNUMBER($J120),IF($J120&gt;=0,$J120,""),""))</f>
        <v/>
      </c>
      <c r="AN120" s="100" t="str">
        <f aca="false">IF(ISBLANK($C120),"",IF(ISNUMBER($K120),IF($K120&gt;=0,$K120,""),""))</f>
        <v/>
      </c>
      <c r="AO120" s="100" t="str">
        <f aca="false">IF(ISBLANK($C120),"",IF($L120=Constants!$B$2,TRUE(),IF($L120=Constants!$B$3,FALSE(),TRUE())))</f>
        <v/>
      </c>
      <c r="AP120" s="100" t="str">
        <f aca="false">IF(ISBLANK($C120),"",IF($M120=Constants!$B$2,TRUE(),IF($M120=Constants!$B$3,FALSE(),TRUE())))</f>
        <v/>
      </c>
      <c r="AQ120" s="100" t="str">
        <f aca="false">IF(ISBLANK($C120),"",IF($N120=Constants!$B$2,TRUE(),IF($N120=Constants!$B$3,FALSE(),FALSE())))</f>
        <v/>
      </c>
      <c r="AR120" s="100" t="str">
        <f aca="false">IF(ISBLANK($C120),"",IF($O120=Constants!$B$2,TRUE(),IF($O120=Constants!$B$3,FALSE(),TRUE())))</f>
        <v/>
      </c>
      <c r="AS120" s="100" t="str">
        <f aca="false">IF(ISBLANK($C120),"",IF($P120=Constants!$B$2,TRUE(),IF($P120=Constants!$B$3,FALSE(),FALSE())))</f>
        <v/>
      </c>
      <c r="AT120" s="100" t="str">
        <f aca="false">IF(ISBLANK($C120),"",IF($Q120=Constants!$B$2,TRUE(),IF($Q120=Constants!$B$3,FALSE(),FALSE())))</f>
        <v/>
      </c>
      <c r="AU120" s="100" t="str">
        <f aca="false">IF(ISBLANK($C120),"",IF($R120=Constants!$B$2,TRUE(),IF($R120=Constants!$B$3,FALSE(),FALSE())))</f>
        <v/>
      </c>
      <c r="AV120" s="100" t="str">
        <f aca="false">IF(ISBLANK($C120),"",IF($S120=Constants!$B$2,TRUE(),IF($S120=Constants!$B$3,FALSE(),FALSE())))</f>
        <v/>
      </c>
      <c r="AW120" s="100" t="str">
        <f aca="false">IF(ISBLANK($C120),"",IF($T120=Constants!$B$2,TRUE(),IF($T120=Constants!$B$3,FALSE(),FALSE())))</f>
        <v/>
      </c>
      <c r="AX120" s="100" t="str">
        <f aca="false">IF(ISBLANK($C120),"",IF(OR($U120&amp;""="1",$U120&amp;""="2",$U120&amp;""="3",$U120&amp;""="4"),VALUE($U120&amp;""),IF($U120=Constants!$B$12,Constants!$B$12,"")))</f>
        <v/>
      </c>
      <c r="AY120" s="100" t="str">
        <f aca="false">IF(ISBLANK($C120),"",IF(ISBLANK($V120),0,IF(ISNUMBER($V120),IF(AND($V120&gt;=0,$V120&lt;=Constants!$B$21,$V120=INT($V120)),$V120,""),"")))</f>
        <v/>
      </c>
      <c r="AZ120" s="100" t="str">
        <f aca="false">IF(ISBLANK($C120),"",IF(ISBLANK($W120),0,IF(ISNUMBER($W120),IF($W120&gt;=0,$W120,""),"")))</f>
        <v/>
      </c>
      <c r="BA120" s="100" t="str">
        <f aca="false">IF(ISBLANK($C120),"",IF($X120=Constants!$B$2,TRUE(),IF($X120=Constants!$B$3,FALSE(),TRUE())))</f>
        <v/>
      </c>
      <c r="BB120" s="100" t="str">
        <f aca="false">IF(ISBLANK($C120),"",IF($Y120=Constants!$B$2,TRUE(),IF($Y120=Constants!$B$3,FALSE(),FALSE())))</f>
        <v/>
      </c>
      <c r="BC120" s="100" t="str">
        <f aca="false">IF(ISBLANK($C120),"",IF(ISBLANK($Z120),0,IF(ISNUMBER($Z120),IF(AND($Z120&gt;=0,$Z120&lt;=Constants!$B$35,$Z120=INT($Z120)),$Z120,""),"")))</f>
        <v/>
      </c>
      <c r="BD120" s="100" t="str">
        <f aca="false">IF(ISBLANK($C120),"",IF($AA120=Constants!$B$2,TRUE(),IF($AA120=Constants!$B$3,FALSE(),TRUE())))</f>
        <v/>
      </c>
      <c r="BE120" s="100" t="str">
        <f aca="false">IF(ISBLANK($C120),"",IF($AB120=Constants!$B$2,TRUE(),IF($AB120=Constants!$B$3,FALSE(),TRUE())))</f>
        <v/>
      </c>
      <c r="BF120" s="100" t="str">
        <f aca="false">IF(ISBLANK($C120),"",IF(ISNUMBER($AC120),IF($AC120&gt;=0,$AC120,""),""))</f>
        <v/>
      </c>
      <c r="BG120" s="100" t="str">
        <f aca="false">IF(ISBLANK($C120),"",IF($AD120=Constants!$B$2,TRUE(),IF($AD120=Constants!$B$3,FALSE(),FALSE())))</f>
        <v/>
      </c>
      <c r="BH120" s="99" t="str">
        <f aca="false">IF(ISBLANK($C120),"",IF($BG120,Constants!$B$7,IF(COUNTA($E120:$AC120)=0,Constants!$B$6,IF(OR(COUNTA($G120:$AC120)=0,NOT($AK120),$AQ120),Constants!$B$5,IF(OR($CI120&lt;&gt;"",$CJ120,$CK120,$CL120,$CM120,$CN120,$CO120),Constants!$B$8,Constants!$B$4)))))</f>
        <v/>
      </c>
      <c r="BI120" s="100" t="str">
        <f aca="false">IF(ISBLANK($C120),"",IF($BH120&lt;&gt;Constants!$B$4,$BH120,IF(OR(NOT($AH120),NOT($AJ120),NOT($AR120)),Constants!$B$11,IF(OR(NOT($AP120),MAX($AL120,$AM120,$AN120)&gt;Constants!$B$30),Constants!$B$10,Constants!$B$9))))</f>
        <v/>
      </c>
      <c r="BJ120" s="100" t="str">
        <f aca="false">IF($BH120&lt;&gt;Constants!$B$4,"",IF(NOT($AJ120),0,MIN(Constants!$B$35,$BC120)))</f>
        <v/>
      </c>
      <c r="BK120" s="100" t="str">
        <f aca="false">IF($BH120&lt;&gt;Constants!$B$4,"",IF(NOT($AJ120),0,IF($AT120,Constants!$B$18,IF($AS120,Constants!$B$17,0))))</f>
        <v/>
      </c>
      <c r="BL120" s="100" t="str">
        <f aca="false">IF($BH120&lt;&gt;Constants!$B$4,"",IF(NOT($AJ120),0,Constants!$B$19*($AI120+$AU120+$AV120+$AW120)))</f>
        <v/>
      </c>
      <c r="BM120" s="100" t="str">
        <f aca="false">IF($BH120&lt;&gt;Constants!$B$4,"",IF(OR(NOT($AJ120),NOT(ISNUMBER($AX120))),0,CHOOSE($AX120,Constants!$B$13,Constants!$B$14,Constants!$B$15,Constants!$B$16)))</f>
        <v/>
      </c>
      <c r="BN120" s="100" t="str">
        <f aca="false">IF($BH120&lt;&gt;Constants!$B$4,"",IF(NOT($AJ120),0,Constants!$B$20*$AY120))</f>
        <v/>
      </c>
      <c r="BO120" s="100" t="str">
        <f aca="false">IF($BH120&lt;&gt;Constants!$B$4,"",IF(AND($AJ120,$BA120,$BB120),Constants!$B$22,0))</f>
        <v/>
      </c>
      <c r="BP120" s="100" t="str">
        <f aca="false">IF($BH120&lt;&gt;Constants!$B$4,"",IF(OR(NOT($AJ120),NOT($BA120)),0,IF($BF120&gt;=2*$AF$9,0,Constants!$B$23*INT(ROUND(MIN($BF120,$AF$9),6)))))</f>
        <v/>
      </c>
      <c r="BQ120" s="100" t="str">
        <f aca="false">IF($BH120&lt;&gt;Constants!$B$4,"",IF(NOT($AJ120),0,Constants!$B$24*INT(ROUND(MIN($AZ120,$AF$9),6))))</f>
        <v/>
      </c>
      <c r="BR120" s="100" t="str">
        <f aca="false">IF($BH120&lt;&gt;Constants!$B$4,"",IF(AND($AJ120,$BJ120=0),Constants!$B$25,0))</f>
        <v/>
      </c>
      <c r="BS120" s="100" t="str">
        <f aca="false">IF($BH120&lt;&gt;Constants!$B$4,"",MIN(Constants!$B$29,MAX(0,Constants!$B$27*Constants!$B$28*INT(ROUND((Constants!$B$26-$AL120)/Constants!$B$28,6))))+MIN(Constants!$B$29,MAX(0,Constants!$B$27*Constants!$B$28*INT(ROUND((Constants!$B$26-$AM120)/Constants!$B$28,6))))+MIN(Constants!$B$29,MAX(0,Constants!$B$27*Constants!$B$28*INT(ROUND((Constants!$B$26-$AN120)/Constants!$B$28,6)))))</f>
        <v/>
      </c>
      <c r="BT120" s="100" t="str">
        <f aca="false">IF($BH120&lt;&gt;Constants!$B$4,"",IF(NOT($AJ120),0,Constants!$B$31*INT(ROUND(MAX(0,MIN($BF120,2*$AF$9)-$AF$9),6))))</f>
        <v/>
      </c>
      <c r="BU120" s="100" t="str">
        <f aca="false">IF($BH120&lt;&gt;Constants!$B$4,"",Constants!$B$32*(($AL120&gt;Constants!$B$26)+($AM120&gt;Constants!$B$26)+($AN120&gt;Constants!$B$26)))</f>
        <v/>
      </c>
      <c r="BV120" s="100" t="str">
        <f aca="false">IF($BH120&lt;&gt;Constants!$B$4,"",IF(OR(NOT($AJ120),$AO120),0,Constants!$B$33))</f>
        <v/>
      </c>
      <c r="BW120" s="100" t="str">
        <f aca="false">IF($BH120&lt;&gt;Constants!$B$4,"",Constants!$B$34*$BJ120)</f>
        <v/>
      </c>
      <c r="BX120" s="100" t="str">
        <f aca="false">IF($BH120&lt;&gt;Constants!$B$4,"",IF(OR(NOT($AJ120),$BE120),0,Constants!$B$36))</f>
        <v/>
      </c>
      <c r="BY120" s="100" t="str">
        <f aca="false">IF($BH120&lt;&gt;Constants!$B$4,"",IF(OR(NOT($AJ120),$BD120),0,Constants!$B$37))</f>
        <v/>
      </c>
      <c r="BZ120" s="100" t="str">
        <f aca="false">IF($BH120&lt;&gt;Constants!$B$4,"",SUM($BT120:$BY120))</f>
        <v/>
      </c>
      <c r="CA120" s="100" t="str">
        <f aca="false">IF(ISBLANK($C120),"",IF($BH120&lt;&gt;Constants!$B$4,$BH120,SUM($BK120:$BS120)-$BZ120))</f>
        <v/>
      </c>
      <c r="CB120" s="100" t="str">
        <f aca="false">IF(ISBLANK($C120),"",IF($BH120&lt;&gt;Constants!$B$4,$BH120,RANK($CA120,$CA$9:$CA$508)))</f>
        <v/>
      </c>
      <c r="CC120" s="100" t="str">
        <f aca="false">IF(ISBLANK($C120),"",IF($BH120&lt;&gt;Constants!$B$4,$BH120,COUNTIFS($BI$9:$BI$508,"&lt;"&amp;$BI120)+COUNTIFS($BI$9:$BI$508,$BI120,$CB$9:$CB$508,"&lt;"&amp;$CB120)+1))</f>
        <v/>
      </c>
      <c r="CD120" s="100" t="str">
        <f aca="false">IF(ISBLANK($C120),"",IF($BH120&lt;&gt;Constants!$B$4,$BH120,RANK($BZ120,$BZ$9:$BZ$508,1)))</f>
        <v/>
      </c>
      <c r="CE120" s="100" t="str">
        <f aca="false">IF($BH120&lt;&gt;Constants!$B$4,"",$AL120+$AM120+$AN120)</f>
        <v/>
      </c>
      <c r="CF120" s="100" t="str">
        <f aca="false">IF(ISBLANK($C120),"",IF($BH120&lt;&gt;Constants!$B$4,$BH120,RANK($CE120,$CE$9:$CE$508,1)))</f>
        <v/>
      </c>
      <c r="CG120" s="100" t="str">
        <f aca="false">IF(ISBLANK($C120),"",IF($BH120&lt;&gt;Constants!$B$4,$BH120,COUNTIFS($BI$9:$BI$508,"&lt;"&amp;$BI120)+COUNTIFS($BI$9:$BI$508,$BI120,$CB$9:$CB$508,"&lt;"&amp;$CB120)+COUNTIFS($BI$9:$BI$508,$BI120,$CB$9:$CB$508,$CB120,$CD$9:$CD$508,"&lt;"&amp;$CD120)+COUNTIFS($BI$9:$BI$508,$BI120,$CB$9:$CB$508,$CB120,$CD$9:$CD$508,$CD120,$CF$9:$CF$508,"&lt;"&amp;$CF120)+1))</f>
        <v/>
      </c>
      <c r="CH120" s="100" t="str">
        <f aca="false">IF(ISBLANK($C120),"",IF($BH120&lt;&gt;Constants!$B$4,$BH120,$CC120-$CG120))</f>
        <v/>
      </c>
      <c r="CI120" s="100" t="str">
        <f aca="false">IF(ISBLANK($C120),"",IF(NOT($AJ120),"",IF(ISBLANK($D$7),$CI$5,IF(NOT(ISNUMBER($D$7)),$CI$6,""))))</f>
        <v/>
      </c>
      <c r="CJ120" s="100" t="str">
        <f aca="false">IF(ISBLANK($C120),"",OR($AL120="",$AM120="",$AN120=""))</f>
        <v/>
      </c>
      <c r="CK120" s="100" t="str">
        <f aca="false">IF(ISBLANK($C120),"",AND($AJ120,$AX120=""))</f>
        <v/>
      </c>
      <c r="CL120" s="100" t="str">
        <f aca="false">IF(ISBLANK($C120),"",AND($AJ120,$AY120=""))</f>
        <v/>
      </c>
      <c r="CM120" s="100" t="str">
        <f aca="false">IF(ISBLANK($C120),"",AND($AJ120,$AZ120=""))</f>
        <v/>
      </c>
      <c r="CN120" s="100" t="str">
        <f aca="false">IF(ISBLANK($C120),"",AND($AJ120,$BC120=""))</f>
        <v/>
      </c>
      <c r="CO120" s="100" t="str">
        <f aca="false">IF(ISBLANK($C120),"",AND($AJ120,$BF120=""))</f>
        <v/>
      </c>
      <c r="CP120" s="101"/>
      <c r="CQ120" s="102"/>
      <c r="CR120" s="103" t="str">
        <f aca="false">IF(ISBLANK($C120),"",IF($BH120=Constants!$B$8,$CI120,""))</f>
        <v/>
      </c>
      <c r="CS120" s="102" t="str">
        <f aca="false">IF(ISBLANK($C120),"",IF($BH120&lt;&gt;Constants!$B$4,"",$BK120+$BL120))</f>
        <v/>
      </c>
      <c r="CT120" s="104" t="str">
        <f aca="false">IF(ISBLANK($C120),"",IF($BH120&lt;&gt;Constants!$B$4,"",$BM120+$BN120+$BO120))</f>
        <v/>
      </c>
      <c r="CU120" s="104" t="str">
        <f aca="false">IF(ISBLANK($C120),"",IF($BH120&lt;&gt;Constants!$B$4,"",$BP120))</f>
        <v/>
      </c>
      <c r="CV120" s="104" t="str">
        <f aca="false">IF(ISBLANK($C120),"",IF($BH120&lt;&gt;Constants!$B$4,"",$BQ120+$BR120))</f>
        <v/>
      </c>
      <c r="CW120" s="104" t="str">
        <f aca="false">IF(ISBLANK($C120),"",IF($BH120&lt;&gt;Constants!$B$4,"",$BS120))</f>
        <v/>
      </c>
      <c r="CX120" s="104" t="str">
        <f aca="false">IF(ISBLANK($C120),"",IF($BH120&lt;&gt;Constants!$B$4,"",-$BZ120))</f>
        <v/>
      </c>
      <c r="CY120" s="103" t="str">
        <f aca="false">IF(ISBLANK($C120),"",$CA120)</f>
        <v/>
      </c>
      <c r="CZ120" s="105" t="str">
        <f aca="false">IF(ISBLANK($C120),"",$BI120)</f>
        <v/>
      </c>
      <c r="DA120" s="104" t="str">
        <f aca="false">IF(ISBLANK($C120),"",$CH120)</f>
        <v/>
      </c>
      <c r="DB120" s="104" t="str">
        <f aca="false">IF(ISBLANK($C120),"",$CG120)</f>
        <v/>
      </c>
      <c r="DC120" s="106" t="str">
        <f aca="false">IF(ISBLANK($C120),"",IFERROR(_xlfn.SWITCH($DB120,Constants!$B$7,COUNTA($C$9:$C$508)+2,Constants!$B$6,COUNTA($C$9:$C$508)+1,Constants!$B$5,COUNTA($C$9:$C$508)),$DB120))</f>
        <v/>
      </c>
      <c r="DD120" s="7"/>
      <c r="DE120" s="107" t="n">
        <f aca="false">IF(OR(ISNUMBER($DB120),$DB120=Constants!$B$7,$DB120=Constants!$B$5,$DB120=Constants!$B$6),1,0)</f>
        <v>0</v>
      </c>
      <c r="DF120" s="107" t="n">
        <v>112</v>
      </c>
      <c r="DG120" s="107" t="str">
        <f aca="false">IF(ISBLANK($C120),"",IF(ISNUMBER($DC120),$DC120+ROW($B120)/1000,""))</f>
        <v/>
      </c>
      <c r="DH120" s="107" t="str">
        <f aca="false">IF(ISNUMBER($DG120),RANK($DG120,$DG$9:$DG$508,1),"")</f>
        <v/>
      </c>
      <c r="DI120" s="107" t="str">
        <f aca="false">IF(ISBLANK($C120),"",$B120)</f>
        <v/>
      </c>
      <c r="DJ120" s="107" t="str">
        <f aca="false">IF(ISBLANK($C120),"",$C120)</f>
        <v/>
      </c>
      <c r="DK120" s="107" t="str">
        <f aca="false">IF(ISBLANK($C120),"",$D120)</f>
        <v/>
      </c>
      <c r="DL120" s="108" t="str">
        <f aca="false">$CZ120</f>
        <v/>
      </c>
      <c r="DM120" s="109" t="str">
        <f aca="false">$CY120</f>
        <v/>
      </c>
      <c r="DN120" s="107" t="str">
        <f aca="false">IF(ISBLANK($C120),"",$DB120)</f>
        <v/>
      </c>
      <c r="DO120" s="110" t="str">
        <f aca="false">IF($DF120&gt;$DE$8,"",VLOOKUP($DF120,$DH$9:$DN$508,7,FALSE()))</f>
        <v/>
      </c>
      <c r="DP120" s="111" t="str">
        <f aca="false">IF($DF120&gt;$DE$8,"",VLOOKUP($DF120,$DH$9:$DN$508,2,FALSE()))</f>
        <v/>
      </c>
      <c r="DQ120" s="111" t="str">
        <f aca="false">IF($DF120&gt;$DE$8,"",VLOOKUP($DF120,$DH$9:$DN$508,3,FALSE()))</f>
        <v/>
      </c>
      <c r="DR120" s="111" t="str">
        <f aca="false">IF($DF120&gt;$DE$8,"",VLOOKUP($DF120,$DH$9:$DN$508,4,FALSE()))</f>
        <v/>
      </c>
      <c r="DS120" s="111" t="str">
        <f aca="false">IF($DF120&gt;$DE$8,"",VLOOKUP($DF120,$DH$9:$DN$508,5,FALSE()))</f>
        <v/>
      </c>
      <c r="DT120" s="112" t="str">
        <f aca="false">IF($DF120&gt;$DE$8,"",VLOOKUP($DF120,$DH$9:$DN$508,6,FALSE()))</f>
        <v/>
      </c>
      <c r="DU120" s="62"/>
    </row>
    <row r="121" customFormat="false" ht="15.75" hidden="false" customHeight="false" outlineLevel="0" collapsed="false">
      <c r="A121" s="7"/>
      <c r="B121" s="90"/>
      <c r="C121" s="91"/>
      <c r="D121" s="126"/>
      <c r="E121" s="130"/>
      <c r="F121" s="135"/>
      <c r="G121" s="130"/>
      <c r="H121" s="135"/>
      <c r="I121" s="131"/>
      <c r="J121" s="131"/>
      <c r="K121" s="131"/>
      <c r="L121" s="130"/>
      <c r="M121" s="130"/>
      <c r="N121" s="130"/>
      <c r="O121" s="135"/>
      <c r="P121" s="130"/>
      <c r="Q121" s="130"/>
      <c r="R121" s="130"/>
      <c r="S121" s="130"/>
      <c r="T121" s="135"/>
      <c r="U121" s="130"/>
      <c r="V121" s="96"/>
      <c r="W121" s="130"/>
      <c r="X121" s="130"/>
      <c r="Y121" s="96"/>
      <c r="Z121" s="96"/>
      <c r="AA121" s="130"/>
      <c r="AB121" s="130"/>
      <c r="AC121" s="97"/>
      <c r="AD121" s="130"/>
      <c r="AE121" s="99"/>
      <c r="AF121" s="100"/>
      <c r="AG121" s="100"/>
      <c r="AH121" s="100" t="str">
        <f aca="false">IF(ISBLANK($C121),"",IF($E121=Constants!$B$2,TRUE(),IF($E121=Constants!$B$3,FALSE(),TRUE())))</f>
        <v/>
      </c>
      <c r="AI121" s="100" t="str">
        <f aca="false">IF(ISBLANK($C121),"",IF($F121=Constants!$B$2,TRUE(),IF($F121=Constants!$B$3,FALSE(),FALSE())))</f>
        <v/>
      </c>
      <c r="AJ121" s="100" t="str">
        <f aca="false">IF(ISBLANK($C121),"",IF($G121=Constants!$B$2,TRUE(),IF($G121=Constants!$B$3,FALSE(),TRUE())))</f>
        <v/>
      </c>
      <c r="AK121" s="100" t="str">
        <f aca="false">IF(ISBLANK($C121),"",IF($H121=Constants!$B$2,TRUE(),IF($H121=Constants!$B$3,FALSE(),TRUE())))</f>
        <v/>
      </c>
      <c r="AL121" s="100" t="str">
        <f aca="false">IF(ISBLANK($C121),"",IF(ISNUMBER($I121),IF($I121&gt;=0,$I121,""),""))</f>
        <v/>
      </c>
      <c r="AM121" s="100" t="str">
        <f aca="false">IF(ISBLANK($C121),"",IF(ISNUMBER($J121),IF($J121&gt;=0,$J121,""),""))</f>
        <v/>
      </c>
      <c r="AN121" s="100" t="str">
        <f aca="false">IF(ISBLANK($C121),"",IF(ISNUMBER($K121),IF($K121&gt;=0,$K121,""),""))</f>
        <v/>
      </c>
      <c r="AO121" s="100" t="str">
        <f aca="false">IF(ISBLANK($C121),"",IF($L121=Constants!$B$2,TRUE(),IF($L121=Constants!$B$3,FALSE(),TRUE())))</f>
        <v/>
      </c>
      <c r="AP121" s="100" t="str">
        <f aca="false">IF(ISBLANK($C121),"",IF($M121=Constants!$B$2,TRUE(),IF($M121=Constants!$B$3,FALSE(),TRUE())))</f>
        <v/>
      </c>
      <c r="AQ121" s="100" t="str">
        <f aca="false">IF(ISBLANK($C121),"",IF($N121=Constants!$B$2,TRUE(),IF($N121=Constants!$B$3,FALSE(),FALSE())))</f>
        <v/>
      </c>
      <c r="AR121" s="100" t="str">
        <f aca="false">IF(ISBLANK($C121),"",IF($O121=Constants!$B$2,TRUE(),IF($O121=Constants!$B$3,FALSE(),TRUE())))</f>
        <v/>
      </c>
      <c r="AS121" s="100" t="str">
        <f aca="false">IF(ISBLANK($C121),"",IF($P121=Constants!$B$2,TRUE(),IF($P121=Constants!$B$3,FALSE(),FALSE())))</f>
        <v/>
      </c>
      <c r="AT121" s="100" t="str">
        <f aca="false">IF(ISBLANK($C121),"",IF($Q121=Constants!$B$2,TRUE(),IF($Q121=Constants!$B$3,FALSE(),FALSE())))</f>
        <v/>
      </c>
      <c r="AU121" s="100" t="str">
        <f aca="false">IF(ISBLANK($C121),"",IF($R121=Constants!$B$2,TRUE(),IF($R121=Constants!$B$3,FALSE(),FALSE())))</f>
        <v/>
      </c>
      <c r="AV121" s="100" t="str">
        <f aca="false">IF(ISBLANK($C121),"",IF($S121=Constants!$B$2,TRUE(),IF($S121=Constants!$B$3,FALSE(),FALSE())))</f>
        <v/>
      </c>
      <c r="AW121" s="100" t="str">
        <f aca="false">IF(ISBLANK($C121),"",IF($T121=Constants!$B$2,TRUE(),IF($T121=Constants!$B$3,FALSE(),FALSE())))</f>
        <v/>
      </c>
      <c r="AX121" s="100" t="str">
        <f aca="false">IF(ISBLANK($C121),"",IF(OR($U121&amp;""="1",$U121&amp;""="2",$U121&amp;""="3",$U121&amp;""="4"),VALUE($U121&amp;""),IF($U121=Constants!$B$12,Constants!$B$12,"")))</f>
        <v/>
      </c>
      <c r="AY121" s="100" t="str">
        <f aca="false">IF(ISBLANK($C121),"",IF(ISBLANK($V121),0,IF(ISNUMBER($V121),IF(AND($V121&gt;=0,$V121&lt;=Constants!$B$21,$V121=INT($V121)),$V121,""),"")))</f>
        <v/>
      </c>
      <c r="AZ121" s="100" t="str">
        <f aca="false">IF(ISBLANK($C121),"",IF(ISBLANK($W121),0,IF(ISNUMBER($W121),IF($W121&gt;=0,$W121,""),"")))</f>
        <v/>
      </c>
      <c r="BA121" s="100" t="str">
        <f aca="false">IF(ISBLANK($C121),"",IF($X121=Constants!$B$2,TRUE(),IF($X121=Constants!$B$3,FALSE(),TRUE())))</f>
        <v/>
      </c>
      <c r="BB121" s="100" t="str">
        <f aca="false">IF(ISBLANK($C121),"",IF($Y121=Constants!$B$2,TRUE(),IF($Y121=Constants!$B$3,FALSE(),FALSE())))</f>
        <v/>
      </c>
      <c r="BC121" s="100" t="str">
        <f aca="false">IF(ISBLANK($C121),"",IF(ISBLANK($Z121),0,IF(ISNUMBER($Z121),IF(AND($Z121&gt;=0,$Z121&lt;=Constants!$B$35,$Z121=INT($Z121)),$Z121,""),"")))</f>
        <v/>
      </c>
      <c r="BD121" s="100" t="str">
        <f aca="false">IF(ISBLANK($C121),"",IF($AA121=Constants!$B$2,TRUE(),IF($AA121=Constants!$B$3,FALSE(),TRUE())))</f>
        <v/>
      </c>
      <c r="BE121" s="100" t="str">
        <f aca="false">IF(ISBLANK($C121),"",IF($AB121=Constants!$B$2,TRUE(),IF($AB121=Constants!$B$3,FALSE(),TRUE())))</f>
        <v/>
      </c>
      <c r="BF121" s="100" t="str">
        <f aca="false">IF(ISBLANK($C121),"",IF(ISNUMBER($AC121),IF($AC121&gt;=0,$AC121,""),""))</f>
        <v/>
      </c>
      <c r="BG121" s="100" t="str">
        <f aca="false">IF(ISBLANK($C121),"",IF($AD121=Constants!$B$2,TRUE(),IF($AD121=Constants!$B$3,FALSE(),FALSE())))</f>
        <v/>
      </c>
      <c r="BH121" s="99" t="str">
        <f aca="false">IF(ISBLANK($C121),"",IF($BG121,Constants!$B$7,IF(COUNTA($E121:$AC121)=0,Constants!$B$6,IF(OR(COUNTA($G121:$AC121)=0,NOT($AK121),$AQ121),Constants!$B$5,IF(OR($CI121&lt;&gt;"",$CJ121,$CK121,$CL121,$CM121,$CN121,$CO121),Constants!$B$8,Constants!$B$4)))))</f>
        <v/>
      </c>
      <c r="BI121" s="100" t="str">
        <f aca="false">IF(ISBLANK($C121),"",IF($BH121&lt;&gt;Constants!$B$4,$BH121,IF(OR(NOT($AH121),NOT($AJ121),NOT($AR121)),Constants!$B$11,IF(OR(NOT($AP121),MAX($AL121,$AM121,$AN121)&gt;Constants!$B$30),Constants!$B$10,Constants!$B$9))))</f>
        <v/>
      </c>
      <c r="BJ121" s="100" t="str">
        <f aca="false">IF($BH121&lt;&gt;Constants!$B$4,"",IF(NOT($AJ121),0,MIN(Constants!$B$35,$BC121)))</f>
        <v/>
      </c>
      <c r="BK121" s="100" t="str">
        <f aca="false">IF($BH121&lt;&gt;Constants!$B$4,"",IF(NOT($AJ121),0,IF($AT121,Constants!$B$18,IF($AS121,Constants!$B$17,0))))</f>
        <v/>
      </c>
      <c r="BL121" s="100" t="str">
        <f aca="false">IF($BH121&lt;&gt;Constants!$B$4,"",IF(NOT($AJ121),0,Constants!$B$19*($AI121+$AU121+$AV121+$AW121)))</f>
        <v/>
      </c>
      <c r="BM121" s="100" t="str">
        <f aca="false">IF($BH121&lt;&gt;Constants!$B$4,"",IF(OR(NOT($AJ121),NOT(ISNUMBER($AX121))),0,CHOOSE($AX121,Constants!$B$13,Constants!$B$14,Constants!$B$15,Constants!$B$16)))</f>
        <v/>
      </c>
      <c r="BN121" s="100" t="str">
        <f aca="false">IF($BH121&lt;&gt;Constants!$B$4,"",IF(NOT($AJ121),0,Constants!$B$20*$AY121))</f>
        <v/>
      </c>
      <c r="BO121" s="100" t="str">
        <f aca="false">IF($BH121&lt;&gt;Constants!$B$4,"",IF(AND($AJ121,$BA121,$BB121),Constants!$B$22,0))</f>
        <v/>
      </c>
      <c r="BP121" s="100" t="str">
        <f aca="false">IF($BH121&lt;&gt;Constants!$B$4,"",IF(OR(NOT($AJ121),NOT($BA121)),0,IF($BF121&gt;=2*$AF$9,0,Constants!$B$23*INT(ROUND(MIN($BF121,$AF$9),6)))))</f>
        <v/>
      </c>
      <c r="BQ121" s="100" t="str">
        <f aca="false">IF($BH121&lt;&gt;Constants!$B$4,"",IF(NOT($AJ121),0,Constants!$B$24*INT(ROUND(MIN($AZ121,$AF$9),6))))</f>
        <v/>
      </c>
      <c r="BR121" s="100" t="str">
        <f aca="false">IF($BH121&lt;&gt;Constants!$B$4,"",IF(AND($AJ121,$BJ121=0),Constants!$B$25,0))</f>
        <v/>
      </c>
      <c r="BS121" s="100" t="str">
        <f aca="false">IF($BH121&lt;&gt;Constants!$B$4,"",MIN(Constants!$B$29,MAX(0,Constants!$B$27*Constants!$B$28*INT(ROUND((Constants!$B$26-$AL121)/Constants!$B$28,6))))+MIN(Constants!$B$29,MAX(0,Constants!$B$27*Constants!$B$28*INT(ROUND((Constants!$B$26-$AM121)/Constants!$B$28,6))))+MIN(Constants!$B$29,MAX(0,Constants!$B$27*Constants!$B$28*INT(ROUND((Constants!$B$26-$AN121)/Constants!$B$28,6)))))</f>
        <v/>
      </c>
      <c r="BT121" s="100" t="str">
        <f aca="false">IF($BH121&lt;&gt;Constants!$B$4,"",IF(NOT($AJ121),0,Constants!$B$31*INT(ROUND(MAX(0,MIN($BF121,2*$AF$9)-$AF$9),6))))</f>
        <v/>
      </c>
      <c r="BU121" s="100" t="str">
        <f aca="false">IF($BH121&lt;&gt;Constants!$B$4,"",Constants!$B$32*(($AL121&gt;Constants!$B$26)+($AM121&gt;Constants!$B$26)+($AN121&gt;Constants!$B$26)))</f>
        <v/>
      </c>
      <c r="BV121" s="100" t="str">
        <f aca="false">IF($BH121&lt;&gt;Constants!$B$4,"",IF(OR(NOT($AJ121),$AO121),0,Constants!$B$33))</f>
        <v/>
      </c>
      <c r="BW121" s="100" t="str">
        <f aca="false">IF($BH121&lt;&gt;Constants!$B$4,"",Constants!$B$34*$BJ121)</f>
        <v/>
      </c>
      <c r="BX121" s="100" t="str">
        <f aca="false">IF($BH121&lt;&gt;Constants!$B$4,"",IF(OR(NOT($AJ121),$BE121),0,Constants!$B$36))</f>
        <v/>
      </c>
      <c r="BY121" s="100" t="str">
        <f aca="false">IF($BH121&lt;&gt;Constants!$B$4,"",IF(OR(NOT($AJ121),$BD121),0,Constants!$B$37))</f>
        <v/>
      </c>
      <c r="BZ121" s="100" t="str">
        <f aca="false">IF($BH121&lt;&gt;Constants!$B$4,"",SUM($BT121:$BY121))</f>
        <v/>
      </c>
      <c r="CA121" s="100" t="str">
        <f aca="false">IF(ISBLANK($C121),"",IF($BH121&lt;&gt;Constants!$B$4,$BH121,SUM($BK121:$BS121)-$BZ121))</f>
        <v/>
      </c>
      <c r="CB121" s="100" t="str">
        <f aca="false">IF(ISBLANK($C121),"",IF($BH121&lt;&gt;Constants!$B$4,$BH121,RANK($CA121,$CA$9:$CA$508)))</f>
        <v/>
      </c>
      <c r="CC121" s="100" t="str">
        <f aca="false">IF(ISBLANK($C121),"",IF($BH121&lt;&gt;Constants!$B$4,$BH121,COUNTIFS($BI$9:$BI$508,"&lt;"&amp;$BI121)+COUNTIFS($BI$9:$BI$508,$BI121,$CB$9:$CB$508,"&lt;"&amp;$CB121)+1))</f>
        <v/>
      </c>
      <c r="CD121" s="100" t="str">
        <f aca="false">IF(ISBLANK($C121),"",IF($BH121&lt;&gt;Constants!$B$4,$BH121,RANK($BZ121,$BZ$9:$BZ$508,1)))</f>
        <v/>
      </c>
      <c r="CE121" s="100" t="str">
        <f aca="false">IF($BH121&lt;&gt;Constants!$B$4,"",$AL121+$AM121+$AN121)</f>
        <v/>
      </c>
      <c r="CF121" s="100" t="str">
        <f aca="false">IF(ISBLANK($C121),"",IF($BH121&lt;&gt;Constants!$B$4,$BH121,RANK($CE121,$CE$9:$CE$508,1)))</f>
        <v/>
      </c>
      <c r="CG121" s="100" t="str">
        <f aca="false">IF(ISBLANK($C121),"",IF($BH121&lt;&gt;Constants!$B$4,$BH121,COUNTIFS($BI$9:$BI$508,"&lt;"&amp;$BI121)+COUNTIFS($BI$9:$BI$508,$BI121,$CB$9:$CB$508,"&lt;"&amp;$CB121)+COUNTIFS($BI$9:$BI$508,$BI121,$CB$9:$CB$508,$CB121,$CD$9:$CD$508,"&lt;"&amp;$CD121)+COUNTIFS($BI$9:$BI$508,$BI121,$CB$9:$CB$508,$CB121,$CD$9:$CD$508,$CD121,$CF$9:$CF$508,"&lt;"&amp;$CF121)+1))</f>
        <v/>
      </c>
      <c r="CH121" s="100" t="str">
        <f aca="false">IF(ISBLANK($C121),"",IF($BH121&lt;&gt;Constants!$B$4,$BH121,$CC121-$CG121))</f>
        <v/>
      </c>
      <c r="CI121" s="100" t="str">
        <f aca="false">IF(ISBLANK($C121),"",IF(NOT($AJ121),"",IF(ISBLANK($D$7),$CI$5,IF(NOT(ISNUMBER($D$7)),$CI$6,""))))</f>
        <v/>
      </c>
      <c r="CJ121" s="100" t="str">
        <f aca="false">IF(ISBLANK($C121),"",OR($AL121="",$AM121="",$AN121=""))</f>
        <v/>
      </c>
      <c r="CK121" s="100" t="str">
        <f aca="false">IF(ISBLANK($C121),"",AND($AJ121,$AX121=""))</f>
        <v/>
      </c>
      <c r="CL121" s="100" t="str">
        <f aca="false">IF(ISBLANK($C121),"",AND($AJ121,$AY121=""))</f>
        <v/>
      </c>
      <c r="CM121" s="100" t="str">
        <f aca="false">IF(ISBLANK($C121),"",AND($AJ121,$AZ121=""))</f>
        <v/>
      </c>
      <c r="CN121" s="100" t="str">
        <f aca="false">IF(ISBLANK($C121),"",AND($AJ121,$BC121=""))</f>
        <v/>
      </c>
      <c r="CO121" s="100" t="str">
        <f aca="false">IF(ISBLANK($C121),"",AND($AJ121,$BF121=""))</f>
        <v/>
      </c>
      <c r="CP121" s="101"/>
      <c r="CQ121" s="102"/>
      <c r="CR121" s="103" t="str">
        <f aca="false">IF(ISBLANK($C121),"",IF($BH121=Constants!$B$8,$CI121,""))</f>
        <v/>
      </c>
      <c r="CS121" s="102" t="str">
        <f aca="false">IF(ISBLANK($C121),"",IF($BH121&lt;&gt;Constants!$B$4,"",$BK121+$BL121))</f>
        <v/>
      </c>
      <c r="CT121" s="104" t="str">
        <f aca="false">IF(ISBLANK($C121),"",IF($BH121&lt;&gt;Constants!$B$4,"",$BM121+$BN121+$BO121))</f>
        <v/>
      </c>
      <c r="CU121" s="104" t="str">
        <f aca="false">IF(ISBLANK($C121),"",IF($BH121&lt;&gt;Constants!$B$4,"",$BP121))</f>
        <v/>
      </c>
      <c r="CV121" s="104" t="str">
        <f aca="false">IF(ISBLANK($C121),"",IF($BH121&lt;&gt;Constants!$B$4,"",$BQ121+$BR121))</f>
        <v/>
      </c>
      <c r="CW121" s="104" t="str">
        <f aca="false">IF(ISBLANK($C121),"",IF($BH121&lt;&gt;Constants!$B$4,"",$BS121))</f>
        <v/>
      </c>
      <c r="CX121" s="104" t="str">
        <f aca="false">IF(ISBLANK($C121),"",IF($BH121&lt;&gt;Constants!$B$4,"",-$BZ121))</f>
        <v/>
      </c>
      <c r="CY121" s="103" t="str">
        <f aca="false">IF(ISBLANK($C121),"",$CA121)</f>
        <v/>
      </c>
      <c r="CZ121" s="105" t="str">
        <f aca="false">IF(ISBLANK($C121),"",$BI121)</f>
        <v/>
      </c>
      <c r="DA121" s="104" t="str">
        <f aca="false">IF(ISBLANK($C121),"",$CH121)</f>
        <v/>
      </c>
      <c r="DB121" s="104" t="str">
        <f aca="false">IF(ISBLANK($C121),"",$CG121)</f>
        <v/>
      </c>
      <c r="DC121" s="106" t="str">
        <f aca="false">IF(ISBLANK($C121),"",IFERROR(_xlfn.SWITCH($DB121,Constants!$B$7,COUNTA($C$9:$C$508)+2,Constants!$B$6,COUNTA($C$9:$C$508)+1,Constants!$B$5,COUNTA($C$9:$C$508)),$DB121))</f>
        <v/>
      </c>
      <c r="DD121" s="7"/>
      <c r="DE121" s="107" t="n">
        <f aca="false">IF(OR(ISNUMBER($DB121),$DB121=Constants!$B$7,$DB121=Constants!$B$5,$DB121=Constants!$B$6),1,0)</f>
        <v>0</v>
      </c>
      <c r="DF121" s="107" t="n">
        <v>113</v>
      </c>
      <c r="DG121" s="107" t="str">
        <f aca="false">IF(ISBLANK($C121),"",IF(ISNUMBER($DC121),$DC121+ROW($B121)/1000,""))</f>
        <v/>
      </c>
      <c r="DH121" s="107" t="str">
        <f aca="false">IF(ISNUMBER($DG121),RANK($DG121,$DG$9:$DG$508,1),"")</f>
        <v/>
      </c>
      <c r="DI121" s="107" t="str">
        <f aca="false">IF(ISBLANK($C121),"",$B121)</f>
        <v/>
      </c>
      <c r="DJ121" s="107" t="str">
        <f aca="false">IF(ISBLANK($C121),"",$C121)</f>
        <v/>
      </c>
      <c r="DK121" s="107" t="str">
        <f aca="false">IF(ISBLANK($C121),"",$D121)</f>
        <v/>
      </c>
      <c r="DL121" s="108" t="str">
        <f aca="false">$CZ121</f>
        <v/>
      </c>
      <c r="DM121" s="109" t="str">
        <f aca="false">$CY121</f>
        <v/>
      </c>
      <c r="DN121" s="107" t="str">
        <f aca="false">IF(ISBLANK($C121),"",$DB121)</f>
        <v/>
      </c>
      <c r="DO121" s="110" t="str">
        <f aca="false">IF($DF121&gt;$DE$8,"",VLOOKUP($DF121,$DH$9:$DN$508,7,FALSE()))</f>
        <v/>
      </c>
      <c r="DP121" s="111" t="str">
        <f aca="false">IF($DF121&gt;$DE$8,"",VLOOKUP($DF121,$DH$9:$DN$508,2,FALSE()))</f>
        <v/>
      </c>
      <c r="DQ121" s="111" t="str">
        <f aca="false">IF($DF121&gt;$DE$8,"",VLOOKUP($DF121,$DH$9:$DN$508,3,FALSE()))</f>
        <v/>
      </c>
      <c r="DR121" s="111" t="str">
        <f aca="false">IF($DF121&gt;$DE$8,"",VLOOKUP($DF121,$DH$9:$DN$508,4,FALSE()))</f>
        <v/>
      </c>
      <c r="DS121" s="111" t="str">
        <f aca="false">IF($DF121&gt;$DE$8,"",VLOOKUP($DF121,$DH$9:$DN$508,5,FALSE()))</f>
        <v/>
      </c>
      <c r="DT121" s="112" t="str">
        <f aca="false">IF($DF121&gt;$DE$8,"",VLOOKUP($DF121,$DH$9:$DN$508,6,FALSE()))</f>
        <v/>
      </c>
      <c r="DU121" s="62"/>
    </row>
    <row r="122" customFormat="false" ht="15.75" hidden="false" customHeight="false" outlineLevel="0" collapsed="false">
      <c r="A122" s="7"/>
      <c r="B122" s="90"/>
      <c r="C122" s="91"/>
      <c r="D122" s="126"/>
      <c r="E122" s="130"/>
      <c r="F122" s="135"/>
      <c r="G122" s="130"/>
      <c r="H122" s="135"/>
      <c r="I122" s="131"/>
      <c r="J122" s="131"/>
      <c r="K122" s="131"/>
      <c r="L122" s="130"/>
      <c r="M122" s="130"/>
      <c r="N122" s="130"/>
      <c r="O122" s="135"/>
      <c r="P122" s="130"/>
      <c r="Q122" s="130"/>
      <c r="R122" s="130"/>
      <c r="S122" s="130"/>
      <c r="T122" s="135"/>
      <c r="U122" s="130"/>
      <c r="V122" s="96"/>
      <c r="W122" s="130"/>
      <c r="X122" s="130"/>
      <c r="Y122" s="96"/>
      <c r="Z122" s="96"/>
      <c r="AA122" s="130"/>
      <c r="AB122" s="130"/>
      <c r="AC122" s="97"/>
      <c r="AD122" s="130"/>
      <c r="AE122" s="99"/>
      <c r="AF122" s="100"/>
      <c r="AG122" s="100"/>
      <c r="AH122" s="100" t="str">
        <f aca="false">IF(ISBLANK($C122),"",IF($E122=Constants!$B$2,TRUE(),IF($E122=Constants!$B$3,FALSE(),TRUE())))</f>
        <v/>
      </c>
      <c r="AI122" s="100" t="str">
        <f aca="false">IF(ISBLANK($C122),"",IF($F122=Constants!$B$2,TRUE(),IF($F122=Constants!$B$3,FALSE(),FALSE())))</f>
        <v/>
      </c>
      <c r="AJ122" s="100" t="str">
        <f aca="false">IF(ISBLANK($C122),"",IF($G122=Constants!$B$2,TRUE(),IF($G122=Constants!$B$3,FALSE(),TRUE())))</f>
        <v/>
      </c>
      <c r="AK122" s="100" t="str">
        <f aca="false">IF(ISBLANK($C122),"",IF($H122=Constants!$B$2,TRUE(),IF($H122=Constants!$B$3,FALSE(),TRUE())))</f>
        <v/>
      </c>
      <c r="AL122" s="100" t="str">
        <f aca="false">IF(ISBLANK($C122),"",IF(ISNUMBER($I122),IF($I122&gt;=0,$I122,""),""))</f>
        <v/>
      </c>
      <c r="AM122" s="100" t="str">
        <f aca="false">IF(ISBLANK($C122),"",IF(ISNUMBER($J122),IF($J122&gt;=0,$J122,""),""))</f>
        <v/>
      </c>
      <c r="AN122" s="100" t="str">
        <f aca="false">IF(ISBLANK($C122),"",IF(ISNUMBER($K122),IF($K122&gt;=0,$K122,""),""))</f>
        <v/>
      </c>
      <c r="AO122" s="100" t="str">
        <f aca="false">IF(ISBLANK($C122),"",IF($L122=Constants!$B$2,TRUE(),IF($L122=Constants!$B$3,FALSE(),TRUE())))</f>
        <v/>
      </c>
      <c r="AP122" s="100" t="str">
        <f aca="false">IF(ISBLANK($C122),"",IF($M122=Constants!$B$2,TRUE(),IF($M122=Constants!$B$3,FALSE(),TRUE())))</f>
        <v/>
      </c>
      <c r="AQ122" s="100" t="str">
        <f aca="false">IF(ISBLANK($C122),"",IF($N122=Constants!$B$2,TRUE(),IF($N122=Constants!$B$3,FALSE(),FALSE())))</f>
        <v/>
      </c>
      <c r="AR122" s="100" t="str">
        <f aca="false">IF(ISBLANK($C122),"",IF($O122=Constants!$B$2,TRUE(),IF($O122=Constants!$B$3,FALSE(),TRUE())))</f>
        <v/>
      </c>
      <c r="AS122" s="100" t="str">
        <f aca="false">IF(ISBLANK($C122),"",IF($P122=Constants!$B$2,TRUE(),IF($P122=Constants!$B$3,FALSE(),FALSE())))</f>
        <v/>
      </c>
      <c r="AT122" s="100" t="str">
        <f aca="false">IF(ISBLANK($C122),"",IF($Q122=Constants!$B$2,TRUE(),IF($Q122=Constants!$B$3,FALSE(),FALSE())))</f>
        <v/>
      </c>
      <c r="AU122" s="100" t="str">
        <f aca="false">IF(ISBLANK($C122),"",IF($R122=Constants!$B$2,TRUE(),IF($R122=Constants!$B$3,FALSE(),FALSE())))</f>
        <v/>
      </c>
      <c r="AV122" s="100" t="str">
        <f aca="false">IF(ISBLANK($C122),"",IF($S122=Constants!$B$2,TRUE(),IF($S122=Constants!$B$3,FALSE(),FALSE())))</f>
        <v/>
      </c>
      <c r="AW122" s="100" t="str">
        <f aca="false">IF(ISBLANK($C122),"",IF($T122=Constants!$B$2,TRUE(),IF($T122=Constants!$B$3,FALSE(),FALSE())))</f>
        <v/>
      </c>
      <c r="AX122" s="100" t="str">
        <f aca="false">IF(ISBLANK($C122),"",IF(OR($U122&amp;""="1",$U122&amp;""="2",$U122&amp;""="3",$U122&amp;""="4"),VALUE($U122&amp;""),IF($U122=Constants!$B$12,Constants!$B$12,"")))</f>
        <v/>
      </c>
      <c r="AY122" s="100" t="str">
        <f aca="false">IF(ISBLANK($C122),"",IF(ISBLANK($V122),0,IF(ISNUMBER($V122),IF(AND($V122&gt;=0,$V122&lt;=Constants!$B$21,$V122=INT($V122)),$V122,""),"")))</f>
        <v/>
      </c>
      <c r="AZ122" s="100" t="str">
        <f aca="false">IF(ISBLANK($C122),"",IF(ISBLANK($W122),0,IF(ISNUMBER($W122),IF($W122&gt;=0,$W122,""),"")))</f>
        <v/>
      </c>
      <c r="BA122" s="100" t="str">
        <f aca="false">IF(ISBLANK($C122),"",IF($X122=Constants!$B$2,TRUE(),IF($X122=Constants!$B$3,FALSE(),TRUE())))</f>
        <v/>
      </c>
      <c r="BB122" s="100" t="str">
        <f aca="false">IF(ISBLANK($C122),"",IF($Y122=Constants!$B$2,TRUE(),IF($Y122=Constants!$B$3,FALSE(),FALSE())))</f>
        <v/>
      </c>
      <c r="BC122" s="100" t="str">
        <f aca="false">IF(ISBLANK($C122),"",IF(ISBLANK($Z122),0,IF(ISNUMBER($Z122),IF(AND($Z122&gt;=0,$Z122&lt;=Constants!$B$35,$Z122=INT($Z122)),$Z122,""),"")))</f>
        <v/>
      </c>
      <c r="BD122" s="100" t="str">
        <f aca="false">IF(ISBLANK($C122),"",IF($AA122=Constants!$B$2,TRUE(),IF($AA122=Constants!$B$3,FALSE(),TRUE())))</f>
        <v/>
      </c>
      <c r="BE122" s="100" t="str">
        <f aca="false">IF(ISBLANK($C122),"",IF($AB122=Constants!$B$2,TRUE(),IF($AB122=Constants!$B$3,FALSE(),TRUE())))</f>
        <v/>
      </c>
      <c r="BF122" s="100" t="str">
        <f aca="false">IF(ISBLANK($C122),"",IF(ISNUMBER($AC122),IF($AC122&gt;=0,$AC122,""),""))</f>
        <v/>
      </c>
      <c r="BG122" s="100" t="str">
        <f aca="false">IF(ISBLANK($C122),"",IF($AD122=Constants!$B$2,TRUE(),IF($AD122=Constants!$B$3,FALSE(),FALSE())))</f>
        <v/>
      </c>
      <c r="BH122" s="99" t="str">
        <f aca="false">IF(ISBLANK($C122),"",IF($BG122,Constants!$B$7,IF(COUNTA($E122:$AC122)=0,Constants!$B$6,IF(OR(COUNTA($G122:$AC122)=0,NOT($AK122),$AQ122),Constants!$B$5,IF(OR($CI122&lt;&gt;"",$CJ122,$CK122,$CL122,$CM122,$CN122,$CO122),Constants!$B$8,Constants!$B$4)))))</f>
        <v/>
      </c>
      <c r="BI122" s="100" t="str">
        <f aca="false">IF(ISBLANK($C122),"",IF($BH122&lt;&gt;Constants!$B$4,$BH122,IF(OR(NOT($AH122),NOT($AJ122),NOT($AR122)),Constants!$B$11,IF(OR(NOT($AP122),MAX($AL122,$AM122,$AN122)&gt;Constants!$B$30),Constants!$B$10,Constants!$B$9))))</f>
        <v/>
      </c>
      <c r="BJ122" s="100" t="str">
        <f aca="false">IF($BH122&lt;&gt;Constants!$B$4,"",IF(NOT($AJ122),0,MIN(Constants!$B$35,$BC122)))</f>
        <v/>
      </c>
      <c r="BK122" s="100" t="str">
        <f aca="false">IF($BH122&lt;&gt;Constants!$B$4,"",IF(NOT($AJ122),0,IF($AT122,Constants!$B$18,IF($AS122,Constants!$B$17,0))))</f>
        <v/>
      </c>
      <c r="BL122" s="100" t="str">
        <f aca="false">IF($BH122&lt;&gt;Constants!$B$4,"",IF(NOT($AJ122),0,Constants!$B$19*($AI122+$AU122+$AV122+$AW122)))</f>
        <v/>
      </c>
      <c r="BM122" s="100" t="str">
        <f aca="false">IF($BH122&lt;&gt;Constants!$B$4,"",IF(OR(NOT($AJ122),NOT(ISNUMBER($AX122))),0,CHOOSE($AX122,Constants!$B$13,Constants!$B$14,Constants!$B$15,Constants!$B$16)))</f>
        <v/>
      </c>
      <c r="BN122" s="100" t="str">
        <f aca="false">IF($BH122&lt;&gt;Constants!$B$4,"",IF(NOT($AJ122),0,Constants!$B$20*$AY122))</f>
        <v/>
      </c>
      <c r="BO122" s="100" t="str">
        <f aca="false">IF($BH122&lt;&gt;Constants!$B$4,"",IF(AND($AJ122,$BA122,$BB122),Constants!$B$22,0))</f>
        <v/>
      </c>
      <c r="BP122" s="100" t="str">
        <f aca="false">IF($BH122&lt;&gt;Constants!$B$4,"",IF(OR(NOT($AJ122),NOT($BA122)),0,IF($BF122&gt;=2*$AF$9,0,Constants!$B$23*INT(ROUND(MIN($BF122,$AF$9),6)))))</f>
        <v/>
      </c>
      <c r="BQ122" s="100" t="str">
        <f aca="false">IF($BH122&lt;&gt;Constants!$B$4,"",IF(NOT($AJ122),0,Constants!$B$24*INT(ROUND(MIN($AZ122,$AF$9),6))))</f>
        <v/>
      </c>
      <c r="BR122" s="100" t="str">
        <f aca="false">IF($BH122&lt;&gt;Constants!$B$4,"",IF(AND($AJ122,$BJ122=0),Constants!$B$25,0))</f>
        <v/>
      </c>
      <c r="BS122" s="100" t="str">
        <f aca="false">IF($BH122&lt;&gt;Constants!$B$4,"",MIN(Constants!$B$29,MAX(0,Constants!$B$27*Constants!$B$28*INT(ROUND((Constants!$B$26-$AL122)/Constants!$B$28,6))))+MIN(Constants!$B$29,MAX(0,Constants!$B$27*Constants!$B$28*INT(ROUND((Constants!$B$26-$AM122)/Constants!$B$28,6))))+MIN(Constants!$B$29,MAX(0,Constants!$B$27*Constants!$B$28*INT(ROUND((Constants!$B$26-$AN122)/Constants!$B$28,6)))))</f>
        <v/>
      </c>
      <c r="BT122" s="100" t="str">
        <f aca="false">IF($BH122&lt;&gt;Constants!$B$4,"",IF(NOT($AJ122),0,Constants!$B$31*INT(ROUND(MAX(0,MIN($BF122,2*$AF$9)-$AF$9),6))))</f>
        <v/>
      </c>
      <c r="BU122" s="100" t="str">
        <f aca="false">IF($BH122&lt;&gt;Constants!$B$4,"",Constants!$B$32*(($AL122&gt;Constants!$B$26)+($AM122&gt;Constants!$B$26)+($AN122&gt;Constants!$B$26)))</f>
        <v/>
      </c>
      <c r="BV122" s="100" t="str">
        <f aca="false">IF($BH122&lt;&gt;Constants!$B$4,"",IF(OR(NOT($AJ122),$AO122),0,Constants!$B$33))</f>
        <v/>
      </c>
      <c r="BW122" s="100" t="str">
        <f aca="false">IF($BH122&lt;&gt;Constants!$B$4,"",Constants!$B$34*$BJ122)</f>
        <v/>
      </c>
      <c r="BX122" s="100" t="str">
        <f aca="false">IF($BH122&lt;&gt;Constants!$B$4,"",IF(OR(NOT($AJ122),$BE122),0,Constants!$B$36))</f>
        <v/>
      </c>
      <c r="BY122" s="100" t="str">
        <f aca="false">IF($BH122&lt;&gt;Constants!$B$4,"",IF(OR(NOT($AJ122),$BD122),0,Constants!$B$37))</f>
        <v/>
      </c>
      <c r="BZ122" s="100" t="str">
        <f aca="false">IF($BH122&lt;&gt;Constants!$B$4,"",SUM($BT122:$BY122))</f>
        <v/>
      </c>
      <c r="CA122" s="100" t="str">
        <f aca="false">IF(ISBLANK($C122),"",IF($BH122&lt;&gt;Constants!$B$4,$BH122,SUM($BK122:$BS122)-$BZ122))</f>
        <v/>
      </c>
      <c r="CB122" s="100" t="str">
        <f aca="false">IF(ISBLANK($C122),"",IF($BH122&lt;&gt;Constants!$B$4,$BH122,RANK($CA122,$CA$9:$CA$508)))</f>
        <v/>
      </c>
      <c r="CC122" s="100" t="str">
        <f aca="false">IF(ISBLANK($C122),"",IF($BH122&lt;&gt;Constants!$B$4,$BH122,COUNTIFS($BI$9:$BI$508,"&lt;"&amp;$BI122)+COUNTIFS($BI$9:$BI$508,$BI122,$CB$9:$CB$508,"&lt;"&amp;$CB122)+1))</f>
        <v/>
      </c>
      <c r="CD122" s="100" t="str">
        <f aca="false">IF(ISBLANK($C122),"",IF($BH122&lt;&gt;Constants!$B$4,$BH122,RANK($BZ122,$BZ$9:$BZ$508,1)))</f>
        <v/>
      </c>
      <c r="CE122" s="100" t="str">
        <f aca="false">IF($BH122&lt;&gt;Constants!$B$4,"",$AL122+$AM122+$AN122)</f>
        <v/>
      </c>
      <c r="CF122" s="100" t="str">
        <f aca="false">IF(ISBLANK($C122),"",IF($BH122&lt;&gt;Constants!$B$4,$BH122,RANK($CE122,$CE$9:$CE$508,1)))</f>
        <v/>
      </c>
      <c r="CG122" s="100" t="str">
        <f aca="false">IF(ISBLANK($C122),"",IF($BH122&lt;&gt;Constants!$B$4,$BH122,COUNTIFS($BI$9:$BI$508,"&lt;"&amp;$BI122)+COUNTIFS($BI$9:$BI$508,$BI122,$CB$9:$CB$508,"&lt;"&amp;$CB122)+COUNTIFS($BI$9:$BI$508,$BI122,$CB$9:$CB$508,$CB122,$CD$9:$CD$508,"&lt;"&amp;$CD122)+COUNTIFS($BI$9:$BI$508,$BI122,$CB$9:$CB$508,$CB122,$CD$9:$CD$508,$CD122,$CF$9:$CF$508,"&lt;"&amp;$CF122)+1))</f>
        <v/>
      </c>
      <c r="CH122" s="100" t="str">
        <f aca="false">IF(ISBLANK($C122),"",IF($BH122&lt;&gt;Constants!$B$4,$BH122,$CC122-$CG122))</f>
        <v/>
      </c>
      <c r="CI122" s="100" t="str">
        <f aca="false">IF(ISBLANK($C122),"",IF(NOT($AJ122),"",IF(ISBLANK($D$7),$CI$5,IF(NOT(ISNUMBER($D$7)),$CI$6,""))))</f>
        <v/>
      </c>
      <c r="CJ122" s="100" t="str">
        <f aca="false">IF(ISBLANK($C122),"",OR($AL122="",$AM122="",$AN122=""))</f>
        <v/>
      </c>
      <c r="CK122" s="100" t="str">
        <f aca="false">IF(ISBLANK($C122),"",AND($AJ122,$AX122=""))</f>
        <v/>
      </c>
      <c r="CL122" s="100" t="str">
        <f aca="false">IF(ISBLANK($C122),"",AND($AJ122,$AY122=""))</f>
        <v/>
      </c>
      <c r="CM122" s="100" t="str">
        <f aca="false">IF(ISBLANK($C122),"",AND($AJ122,$AZ122=""))</f>
        <v/>
      </c>
      <c r="CN122" s="100" t="str">
        <f aca="false">IF(ISBLANK($C122),"",AND($AJ122,$BC122=""))</f>
        <v/>
      </c>
      <c r="CO122" s="100" t="str">
        <f aca="false">IF(ISBLANK($C122),"",AND($AJ122,$BF122=""))</f>
        <v/>
      </c>
      <c r="CP122" s="101"/>
      <c r="CQ122" s="102"/>
      <c r="CR122" s="103" t="str">
        <f aca="false">IF(ISBLANK($C122),"",IF($BH122=Constants!$B$8,$CI122,""))</f>
        <v/>
      </c>
      <c r="CS122" s="102" t="str">
        <f aca="false">IF(ISBLANK($C122),"",IF($BH122&lt;&gt;Constants!$B$4,"",$BK122+$BL122))</f>
        <v/>
      </c>
      <c r="CT122" s="104" t="str">
        <f aca="false">IF(ISBLANK($C122),"",IF($BH122&lt;&gt;Constants!$B$4,"",$BM122+$BN122+$BO122))</f>
        <v/>
      </c>
      <c r="CU122" s="104" t="str">
        <f aca="false">IF(ISBLANK($C122),"",IF($BH122&lt;&gt;Constants!$B$4,"",$BP122))</f>
        <v/>
      </c>
      <c r="CV122" s="104" t="str">
        <f aca="false">IF(ISBLANK($C122),"",IF($BH122&lt;&gt;Constants!$B$4,"",$BQ122+$BR122))</f>
        <v/>
      </c>
      <c r="CW122" s="104" t="str">
        <f aca="false">IF(ISBLANK($C122),"",IF($BH122&lt;&gt;Constants!$B$4,"",$BS122))</f>
        <v/>
      </c>
      <c r="CX122" s="104" t="str">
        <f aca="false">IF(ISBLANK($C122),"",IF($BH122&lt;&gt;Constants!$B$4,"",-$BZ122))</f>
        <v/>
      </c>
      <c r="CY122" s="103" t="str">
        <f aca="false">IF(ISBLANK($C122),"",$CA122)</f>
        <v/>
      </c>
      <c r="CZ122" s="105" t="str">
        <f aca="false">IF(ISBLANK($C122),"",$BI122)</f>
        <v/>
      </c>
      <c r="DA122" s="104" t="str">
        <f aca="false">IF(ISBLANK($C122),"",$CH122)</f>
        <v/>
      </c>
      <c r="DB122" s="104" t="str">
        <f aca="false">IF(ISBLANK($C122),"",$CG122)</f>
        <v/>
      </c>
      <c r="DC122" s="106" t="str">
        <f aca="false">IF(ISBLANK($C122),"",IFERROR(_xlfn.SWITCH($DB122,Constants!$B$7,COUNTA($C$9:$C$508)+2,Constants!$B$6,COUNTA($C$9:$C$508)+1,Constants!$B$5,COUNTA($C$9:$C$508)),$DB122))</f>
        <v/>
      </c>
      <c r="DD122" s="7"/>
      <c r="DE122" s="107" t="n">
        <f aca="false">IF(OR(ISNUMBER($DB122),$DB122=Constants!$B$7,$DB122=Constants!$B$5,$DB122=Constants!$B$6),1,0)</f>
        <v>0</v>
      </c>
      <c r="DF122" s="107" t="n">
        <v>114</v>
      </c>
      <c r="DG122" s="107" t="str">
        <f aca="false">IF(ISBLANK($C122),"",IF(ISNUMBER($DC122),$DC122+ROW($B122)/1000,""))</f>
        <v/>
      </c>
      <c r="DH122" s="107" t="str">
        <f aca="false">IF(ISNUMBER($DG122),RANK($DG122,$DG$9:$DG$508,1),"")</f>
        <v/>
      </c>
      <c r="DI122" s="107" t="str">
        <f aca="false">IF(ISBLANK($C122),"",$B122)</f>
        <v/>
      </c>
      <c r="DJ122" s="107" t="str">
        <f aca="false">IF(ISBLANK($C122),"",$C122)</f>
        <v/>
      </c>
      <c r="DK122" s="107" t="str">
        <f aca="false">IF(ISBLANK($C122),"",$D122)</f>
        <v/>
      </c>
      <c r="DL122" s="108" t="str">
        <f aca="false">$CZ122</f>
        <v/>
      </c>
      <c r="DM122" s="109" t="str">
        <f aca="false">$CY122</f>
        <v/>
      </c>
      <c r="DN122" s="107" t="str">
        <f aca="false">IF(ISBLANK($C122),"",$DB122)</f>
        <v/>
      </c>
      <c r="DO122" s="110" t="str">
        <f aca="false">IF($DF122&gt;$DE$8,"",VLOOKUP($DF122,$DH$9:$DN$508,7,FALSE()))</f>
        <v/>
      </c>
      <c r="DP122" s="111" t="str">
        <f aca="false">IF($DF122&gt;$DE$8,"",VLOOKUP($DF122,$DH$9:$DN$508,2,FALSE()))</f>
        <v/>
      </c>
      <c r="DQ122" s="111" t="str">
        <f aca="false">IF($DF122&gt;$DE$8,"",VLOOKUP($DF122,$DH$9:$DN$508,3,FALSE()))</f>
        <v/>
      </c>
      <c r="DR122" s="111" t="str">
        <f aca="false">IF($DF122&gt;$DE$8,"",VLOOKUP($DF122,$DH$9:$DN$508,4,FALSE()))</f>
        <v/>
      </c>
      <c r="DS122" s="111" t="str">
        <f aca="false">IF($DF122&gt;$DE$8,"",VLOOKUP($DF122,$DH$9:$DN$508,5,FALSE()))</f>
        <v/>
      </c>
      <c r="DT122" s="112" t="str">
        <f aca="false">IF($DF122&gt;$DE$8,"",VLOOKUP($DF122,$DH$9:$DN$508,6,FALSE()))</f>
        <v/>
      </c>
      <c r="DU122" s="62"/>
    </row>
    <row r="123" customFormat="false" ht="15.75" hidden="false" customHeight="false" outlineLevel="0" collapsed="false">
      <c r="A123" s="7"/>
      <c r="B123" s="64"/>
      <c r="C123" s="65"/>
      <c r="D123" s="123"/>
      <c r="E123" s="88"/>
      <c r="F123" s="134"/>
      <c r="G123" s="88"/>
      <c r="H123" s="134"/>
      <c r="I123" s="119"/>
      <c r="J123" s="119"/>
      <c r="K123" s="119"/>
      <c r="L123" s="88"/>
      <c r="M123" s="88"/>
      <c r="N123" s="88"/>
      <c r="O123" s="134"/>
      <c r="P123" s="88"/>
      <c r="Q123" s="88"/>
      <c r="R123" s="88"/>
      <c r="S123" s="88"/>
      <c r="T123" s="134"/>
      <c r="U123" s="88"/>
      <c r="V123" s="70"/>
      <c r="W123" s="88"/>
      <c r="X123" s="88"/>
      <c r="Y123" s="70"/>
      <c r="Z123" s="70"/>
      <c r="AA123" s="88"/>
      <c r="AB123" s="88"/>
      <c r="AC123" s="71"/>
      <c r="AD123" s="88"/>
      <c r="AE123" s="73"/>
      <c r="AF123" s="74"/>
      <c r="AG123" s="74"/>
      <c r="AH123" s="74" t="str">
        <f aca="false">IF(ISBLANK($C123),"",IF($E123=Constants!$B$2,TRUE(),IF($E123=Constants!$B$3,FALSE(),TRUE())))</f>
        <v/>
      </c>
      <c r="AI123" s="74" t="str">
        <f aca="false">IF(ISBLANK($C123),"",IF($F123=Constants!$B$2,TRUE(),IF($F123=Constants!$B$3,FALSE(),FALSE())))</f>
        <v/>
      </c>
      <c r="AJ123" s="74" t="str">
        <f aca="false">IF(ISBLANK($C123),"",IF($G123=Constants!$B$2,TRUE(),IF($G123=Constants!$B$3,FALSE(),TRUE())))</f>
        <v/>
      </c>
      <c r="AK123" s="74" t="str">
        <f aca="false">IF(ISBLANK($C123),"",IF($H123=Constants!$B$2,TRUE(),IF($H123=Constants!$B$3,FALSE(),TRUE())))</f>
        <v/>
      </c>
      <c r="AL123" s="74" t="str">
        <f aca="false">IF(ISBLANK($C123),"",IF(ISNUMBER($I123),IF($I123&gt;=0,$I123,""),""))</f>
        <v/>
      </c>
      <c r="AM123" s="74" t="str">
        <f aca="false">IF(ISBLANK($C123),"",IF(ISNUMBER($J123),IF($J123&gt;=0,$J123,""),""))</f>
        <v/>
      </c>
      <c r="AN123" s="74" t="str">
        <f aca="false">IF(ISBLANK($C123),"",IF(ISNUMBER($K123),IF($K123&gt;=0,$K123,""),""))</f>
        <v/>
      </c>
      <c r="AO123" s="74" t="str">
        <f aca="false">IF(ISBLANK($C123),"",IF($L123=Constants!$B$2,TRUE(),IF($L123=Constants!$B$3,FALSE(),TRUE())))</f>
        <v/>
      </c>
      <c r="AP123" s="74" t="str">
        <f aca="false">IF(ISBLANK($C123),"",IF($M123=Constants!$B$2,TRUE(),IF($M123=Constants!$B$3,FALSE(),TRUE())))</f>
        <v/>
      </c>
      <c r="AQ123" s="74" t="str">
        <f aca="false">IF(ISBLANK($C123),"",IF($N123=Constants!$B$2,TRUE(),IF($N123=Constants!$B$3,FALSE(),FALSE())))</f>
        <v/>
      </c>
      <c r="AR123" s="74" t="str">
        <f aca="false">IF(ISBLANK($C123),"",IF($O123=Constants!$B$2,TRUE(),IF($O123=Constants!$B$3,FALSE(),TRUE())))</f>
        <v/>
      </c>
      <c r="AS123" s="74" t="str">
        <f aca="false">IF(ISBLANK($C123),"",IF($P123=Constants!$B$2,TRUE(),IF($P123=Constants!$B$3,FALSE(),FALSE())))</f>
        <v/>
      </c>
      <c r="AT123" s="74" t="str">
        <f aca="false">IF(ISBLANK($C123),"",IF($Q123=Constants!$B$2,TRUE(),IF($Q123=Constants!$B$3,FALSE(),FALSE())))</f>
        <v/>
      </c>
      <c r="AU123" s="74" t="str">
        <f aca="false">IF(ISBLANK($C123),"",IF($R123=Constants!$B$2,TRUE(),IF($R123=Constants!$B$3,FALSE(),FALSE())))</f>
        <v/>
      </c>
      <c r="AV123" s="74" t="str">
        <f aca="false">IF(ISBLANK($C123),"",IF($S123=Constants!$B$2,TRUE(),IF($S123=Constants!$B$3,FALSE(),FALSE())))</f>
        <v/>
      </c>
      <c r="AW123" s="74" t="str">
        <f aca="false">IF(ISBLANK($C123),"",IF($T123=Constants!$B$2,TRUE(),IF($T123=Constants!$B$3,FALSE(),FALSE())))</f>
        <v/>
      </c>
      <c r="AX123" s="74" t="str">
        <f aca="false">IF(ISBLANK($C123),"",IF(OR($U123&amp;""="1",$U123&amp;""="2",$U123&amp;""="3",$U123&amp;""="4"),VALUE($U123&amp;""),IF($U123=Constants!$B$12,Constants!$B$12,"")))</f>
        <v/>
      </c>
      <c r="AY123" s="74" t="str">
        <f aca="false">IF(ISBLANK($C123),"",IF(ISBLANK($V123),0,IF(ISNUMBER($V123),IF(AND($V123&gt;=0,$V123&lt;=Constants!$B$21,$V123=INT($V123)),$V123,""),"")))</f>
        <v/>
      </c>
      <c r="AZ123" s="74" t="str">
        <f aca="false">IF(ISBLANK($C123),"",IF(ISBLANK($W123),0,IF(ISNUMBER($W123),IF($W123&gt;=0,$W123,""),"")))</f>
        <v/>
      </c>
      <c r="BA123" s="74" t="str">
        <f aca="false">IF(ISBLANK($C123),"",IF($X123=Constants!$B$2,TRUE(),IF($X123=Constants!$B$3,FALSE(),TRUE())))</f>
        <v/>
      </c>
      <c r="BB123" s="74" t="str">
        <f aca="false">IF(ISBLANK($C123),"",IF($Y123=Constants!$B$2,TRUE(),IF($Y123=Constants!$B$3,FALSE(),FALSE())))</f>
        <v/>
      </c>
      <c r="BC123" s="74" t="str">
        <f aca="false">IF(ISBLANK($C123),"",IF(ISBLANK($Z123),0,IF(ISNUMBER($Z123),IF(AND($Z123&gt;=0,$Z123&lt;=Constants!$B$35,$Z123=INT($Z123)),$Z123,""),"")))</f>
        <v/>
      </c>
      <c r="BD123" s="74" t="str">
        <f aca="false">IF(ISBLANK($C123),"",IF($AA123=Constants!$B$2,TRUE(),IF($AA123=Constants!$B$3,FALSE(),TRUE())))</f>
        <v/>
      </c>
      <c r="BE123" s="74" t="str">
        <f aca="false">IF(ISBLANK($C123),"",IF($AB123=Constants!$B$2,TRUE(),IF($AB123=Constants!$B$3,FALSE(),TRUE())))</f>
        <v/>
      </c>
      <c r="BF123" s="74" t="str">
        <f aca="false">IF(ISBLANK($C123),"",IF(ISNUMBER($AC123),IF($AC123&gt;=0,$AC123,""),""))</f>
        <v/>
      </c>
      <c r="BG123" s="74" t="str">
        <f aca="false">IF(ISBLANK($C123),"",IF($AD123=Constants!$B$2,TRUE(),IF($AD123=Constants!$B$3,FALSE(),FALSE())))</f>
        <v/>
      </c>
      <c r="BH123" s="73" t="str">
        <f aca="false">IF(ISBLANK($C123),"",IF($BG123,Constants!$B$7,IF(COUNTA($E123:$AC123)=0,Constants!$B$6,IF(OR(COUNTA($G123:$AC123)=0,NOT($AK123),$AQ123),Constants!$B$5,IF(OR($CI123&lt;&gt;"",$CJ123,$CK123,$CL123,$CM123,$CN123,$CO123),Constants!$B$8,Constants!$B$4)))))</f>
        <v/>
      </c>
      <c r="BI123" s="74" t="str">
        <f aca="false">IF(ISBLANK($C123),"",IF($BH123&lt;&gt;Constants!$B$4,$BH123,IF(OR(NOT($AH123),NOT($AJ123),NOT($AR123)),Constants!$B$11,IF(OR(NOT($AP123),MAX($AL123,$AM123,$AN123)&gt;Constants!$B$30),Constants!$B$10,Constants!$B$9))))</f>
        <v/>
      </c>
      <c r="BJ123" s="74" t="str">
        <f aca="false">IF($BH123&lt;&gt;Constants!$B$4,"",IF(NOT($AJ123),0,MIN(Constants!$B$35,$BC123)))</f>
        <v/>
      </c>
      <c r="BK123" s="74" t="str">
        <f aca="false">IF($BH123&lt;&gt;Constants!$B$4,"",IF(NOT($AJ123),0,IF($AT123,Constants!$B$18,IF($AS123,Constants!$B$17,0))))</f>
        <v/>
      </c>
      <c r="BL123" s="74" t="str">
        <f aca="false">IF($BH123&lt;&gt;Constants!$B$4,"",IF(NOT($AJ123),0,Constants!$B$19*($AI123+$AU123+$AV123+$AW123)))</f>
        <v/>
      </c>
      <c r="BM123" s="74" t="str">
        <f aca="false">IF($BH123&lt;&gt;Constants!$B$4,"",IF(OR(NOT($AJ123),NOT(ISNUMBER($AX123))),0,CHOOSE($AX123,Constants!$B$13,Constants!$B$14,Constants!$B$15,Constants!$B$16)))</f>
        <v/>
      </c>
      <c r="BN123" s="74" t="str">
        <f aca="false">IF($BH123&lt;&gt;Constants!$B$4,"",IF(NOT($AJ123),0,Constants!$B$20*$AY123))</f>
        <v/>
      </c>
      <c r="BO123" s="74" t="str">
        <f aca="false">IF($BH123&lt;&gt;Constants!$B$4,"",IF(AND($AJ123,$BA123,$BB123),Constants!$B$22,0))</f>
        <v/>
      </c>
      <c r="BP123" s="74" t="str">
        <f aca="false">IF($BH123&lt;&gt;Constants!$B$4,"",IF(OR(NOT($AJ123),NOT($BA123)),0,IF($BF123&gt;=2*$AF$9,0,Constants!$B$23*INT(ROUND(MIN($BF123,$AF$9),6)))))</f>
        <v/>
      </c>
      <c r="BQ123" s="74" t="str">
        <f aca="false">IF($BH123&lt;&gt;Constants!$B$4,"",IF(NOT($AJ123),0,Constants!$B$24*INT(ROUND(MIN($AZ123,$AF$9),6))))</f>
        <v/>
      </c>
      <c r="BR123" s="74" t="str">
        <f aca="false">IF($BH123&lt;&gt;Constants!$B$4,"",IF(AND($AJ123,$BJ123=0),Constants!$B$25,0))</f>
        <v/>
      </c>
      <c r="BS123" s="74" t="str">
        <f aca="false">IF($BH123&lt;&gt;Constants!$B$4,"",MIN(Constants!$B$29,MAX(0,Constants!$B$27*Constants!$B$28*INT(ROUND((Constants!$B$26-$AL123)/Constants!$B$28,6))))+MIN(Constants!$B$29,MAX(0,Constants!$B$27*Constants!$B$28*INT(ROUND((Constants!$B$26-$AM123)/Constants!$B$28,6))))+MIN(Constants!$B$29,MAX(0,Constants!$B$27*Constants!$B$28*INT(ROUND((Constants!$B$26-$AN123)/Constants!$B$28,6)))))</f>
        <v/>
      </c>
      <c r="BT123" s="74" t="str">
        <f aca="false">IF($BH123&lt;&gt;Constants!$B$4,"",IF(NOT($AJ123),0,Constants!$B$31*INT(ROUND(MAX(0,MIN($BF123,2*$AF$9)-$AF$9),6))))</f>
        <v/>
      </c>
      <c r="BU123" s="74" t="str">
        <f aca="false">IF($BH123&lt;&gt;Constants!$B$4,"",Constants!$B$32*(($AL123&gt;Constants!$B$26)+($AM123&gt;Constants!$B$26)+($AN123&gt;Constants!$B$26)))</f>
        <v/>
      </c>
      <c r="BV123" s="74" t="str">
        <f aca="false">IF($BH123&lt;&gt;Constants!$B$4,"",IF(OR(NOT($AJ123),$AO123),0,Constants!$B$33))</f>
        <v/>
      </c>
      <c r="BW123" s="74" t="str">
        <f aca="false">IF($BH123&lt;&gt;Constants!$B$4,"",Constants!$B$34*$BJ123)</f>
        <v/>
      </c>
      <c r="BX123" s="74" t="str">
        <f aca="false">IF($BH123&lt;&gt;Constants!$B$4,"",IF(OR(NOT($AJ123),$BE123),0,Constants!$B$36))</f>
        <v/>
      </c>
      <c r="BY123" s="74" t="str">
        <f aca="false">IF($BH123&lt;&gt;Constants!$B$4,"",IF(OR(NOT($AJ123),$BD123),0,Constants!$B$37))</f>
        <v/>
      </c>
      <c r="BZ123" s="74" t="str">
        <f aca="false">IF($BH123&lt;&gt;Constants!$B$4,"",SUM($BT123:$BY123))</f>
        <v/>
      </c>
      <c r="CA123" s="74" t="str">
        <f aca="false">IF(ISBLANK($C123),"",IF($BH123&lt;&gt;Constants!$B$4,$BH123,SUM($BK123:$BS123)-$BZ123))</f>
        <v/>
      </c>
      <c r="CB123" s="74" t="str">
        <f aca="false">IF(ISBLANK($C123),"",IF($BH123&lt;&gt;Constants!$B$4,$BH123,RANK($CA123,$CA$9:$CA$508)))</f>
        <v/>
      </c>
      <c r="CC123" s="74" t="str">
        <f aca="false">IF(ISBLANK($C123),"",IF($BH123&lt;&gt;Constants!$B$4,$BH123,COUNTIFS($BI$9:$BI$508,"&lt;"&amp;$BI123)+COUNTIFS($BI$9:$BI$508,$BI123,$CB$9:$CB$508,"&lt;"&amp;$CB123)+1))</f>
        <v/>
      </c>
      <c r="CD123" s="74" t="str">
        <f aca="false">IF(ISBLANK($C123),"",IF($BH123&lt;&gt;Constants!$B$4,$BH123,RANK($BZ123,$BZ$9:$BZ$508,1)))</f>
        <v/>
      </c>
      <c r="CE123" s="74" t="str">
        <f aca="false">IF($BH123&lt;&gt;Constants!$B$4,"",$AL123+$AM123+$AN123)</f>
        <v/>
      </c>
      <c r="CF123" s="74" t="str">
        <f aca="false">IF(ISBLANK($C123),"",IF($BH123&lt;&gt;Constants!$B$4,$BH123,RANK($CE123,$CE$9:$CE$508,1)))</f>
        <v/>
      </c>
      <c r="CG123" s="74" t="str">
        <f aca="false">IF(ISBLANK($C123),"",IF($BH123&lt;&gt;Constants!$B$4,$BH123,COUNTIFS($BI$9:$BI$508,"&lt;"&amp;$BI123)+COUNTIFS($BI$9:$BI$508,$BI123,$CB$9:$CB$508,"&lt;"&amp;$CB123)+COUNTIFS($BI$9:$BI$508,$BI123,$CB$9:$CB$508,$CB123,$CD$9:$CD$508,"&lt;"&amp;$CD123)+COUNTIFS($BI$9:$BI$508,$BI123,$CB$9:$CB$508,$CB123,$CD$9:$CD$508,$CD123,$CF$9:$CF$508,"&lt;"&amp;$CF123)+1))</f>
        <v/>
      </c>
      <c r="CH123" s="74" t="str">
        <f aca="false">IF(ISBLANK($C123),"",IF($BH123&lt;&gt;Constants!$B$4,$BH123,$CC123-$CG123))</f>
        <v/>
      </c>
      <c r="CI123" s="74" t="str">
        <f aca="false">IF(ISBLANK($C123),"",IF(NOT($AJ123),"",IF(ISBLANK($D$7),$CI$5,IF(NOT(ISNUMBER($D$7)),$CI$6,""))))</f>
        <v/>
      </c>
      <c r="CJ123" s="74" t="str">
        <f aca="false">IF(ISBLANK($C123),"",OR($AL123="",$AM123="",$AN123=""))</f>
        <v/>
      </c>
      <c r="CK123" s="74" t="str">
        <f aca="false">IF(ISBLANK($C123),"",AND($AJ123,$AX123=""))</f>
        <v/>
      </c>
      <c r="CL123" s="74" t="str">
        <f aca="false">IF(ISBLANK($C123),"",AND($AJ123,$AY123=""))</f>
        <v/>
      </c>
      <c r="CM123" s="74" t="str">
        <f aca="false">IF(ISBLANK($C123),"",AND($AJ123,$AZ123=""))</f>
        <v/>
      </c>
      <c r="CN123" s="74" t="str">
        <f aca="false">IF(ISBLANK($C123),"",AND($AJ123,$BC123=""))</f>
        <v/>
      </c>
      <c r="CO123" s="74" t="str">
        <f aca="false">IF(ISBLANK($C123),"",AND($AJ123,$BF123=""))</f>
        <v/>
      </c>
      <c r="CP123" s="75"/>
      <c r="CQ123" s="76"/>
      <c r="CR123" s="79" t="str">
        <f aca="false">IF(ISBLANK($C123),"",IF($BH123=Constants!$B$8,$CI123,""))</f>
        <v/>
      </c>
      <c r="CS123" s="76" t="str">
        <f aca="false">IF(ISBLANK($C123),"",IF($BH123&lt;&gt;Constants!$B$4,"",$BK123+$BL123))</f>
        <v/>
      </c>
      <c r="CT123" s="78" t="str">
        <f aca="false">IF(ISBLANK($C123),"",IF($BH123&lt;&gt;Constants!$B$4,"",$BM123+$BN123+$BO123))</f>
        <v/>
      </c>
      <c r="CU123" s="78" t="str">
        <f aca="false">IF(ISBLANK($C123),"",IF($BH123&lt;&gt;Constants!$B$4,"",$BP123))</f>
        <v/>
      </c>
      <c r="CV123" s="78" t="str">
        <f aca="false">IF(ISBLANK($C123),"",IF($BH123&lt;&gt;Constants!$B$4,"",$BQ123+$BR123))</f>
        <v/>
      </c>
      <c r="CW123" s="78" t="str">
        <f aca="false">IF(ISBLANK($C123),"",IF($BH123&lt;&gt;Constants!$B$4,"",$BS123))</f>
        <v/>
      </c>
      <c r="CX123" s="78" t="str">
        <f aca="false">IF(ISBLANK($C123),"",IF($BH123&lt;&gt;Constants!$B$4,"",-$BZ123))</f>
        <v/>
      </c>
      <c r="CY123" s="79" t="str">
        <f aca="false">IF(ISBLANK($C123),"",$CA123)</f>
        <v/>
      </c>
      <c r="CZ123" s="80" t="str">
        <f aca="false">IF(ISBLANK($C123),"",$BI123)</f>
        <v/>
      </c>
      <c r="DA123" s="78" t="str">
        <f aca="false">IF(ISBLANK($C123),"",$CH123)</f>
        <v/>
      </c>
      <c r="DB123" s="78" t="str">
        <f aca="false">IF(ISBLANK($C123),"",$CG123)</f>
        <v/>
      </c>
      <c r="DC123" s="81" t="str">
        <f aca="false">IF(ISBLANK($C123),"",IFERROR(_xlfn.SWITCH($DB123,Constants!$B$7,COUNTA($C$9:$C$508)+2,Constants!$B$6,COUNTA($C$9:$C$508)+1,Constants!$B$5,COUNTA($C$9:$C$508)),$DB123))</f>
        <v/>
      </c>
      <c r="DD123" s="7"/>
      <c r="DE123" s="82" t="n">
        <f aca="false">IF(OR(ISNUMBER($DB123),$DB123=Constants!$B$7,$DB123=Constants!$B$5,$DB123=Constants!$B$6),1,0)</f>
        <v>0</v>
      </c>
      <c r="DF123" s="82" t="n">
        <v>115</v>
      </c>
      <c r="DG123" s="82" t="str">
        <f aca="false">IF(ISBLANK($C123),"",IF(ISNUMBER($DC123),$DC123+ROW($B123)/1000,""))</f>
        <v/>
      </c>
      <c r="DH123" s="82" t="str">
        <f aca="false">IF(ISNUMBER($DG123),RANK($DG123,$DG$9:$DG$508,1),"")</f>
        <v/>
      </c>
      <c r="DI123" s="82" t="str">
        <f aca="false">IF(ISBLANK($C123),"",$B123)</f>
        <v/>
      </c>
      <c r="DJ123" s="82" t="str">
        <f aca="false">IF(ISBLANK($C123),"",$C123)</f>
        <v/>
      </c>
      <c r="DK123" s="82" t="str">
        <f aca="false">IF(ISBLANK($C123),"",$D123)</f>
        <v/>
      </c>
      <c r="DL123" s="83" t="str">
        <f aca="false">$CZ123</f>
        <v/>
      </c>
      <c r="DM123" s="84" t="str">
        <f aca="false">$CY123</f>
        <v/>
      </c>
      <c r="DN123" s="82" t="str">
        <f aca="false">IF(ISBLANK($C123),"",$DB123)</f>
        <v/>
      </c>
      <c r="DO123" s="85" t="str">
        <f aca="false">IF($DF123&gt;$DE$8,"",VLOOKUP($DF123,$DH$9:$DN$508,7,FALSE()))</f>
        <v/>
      </c>
      <c r="DP123" s="86" t="str">
        <f aca="false">IF($DF123&gt;$DE$8,"",VLOOKUP($DF123,$DH$9:$DN$508,2,FALSE()))</f>
        <v/>
      </c>
      <c r="DQ123" s="86" t="str">
        <f aca="false">IF($DF123&gt;$DE$8,"",VLOOKUP($DF123,$DH$9:$DN$508,3,FALSE()))</f>
        <v/>
      </c>
      <c r="DR123" s="86" t="str">
        <f aca="false">IF($DF123&gt;$DE$8,"",VLOOKUP($DF123,$DH$9:$DN$508,4,FALSE()))</f>
        <v/>
      </c>
      <c r="DS123" s="86" t="str">
        <f aca="false">IF($DF123&gt;$DE$8,"",VLOOKUP($DF123,$DH$9:$DN$508,5,FALSE()))</f>
        <v/>
      </c>
      <c r="DT123" s="87" t="str">
        <f aca="false">IF($DF123&gt;$DE$8,"",VLOOKUP($DF123,$DH$9:$DN$508,6,FALSE()))</f>
        <v/>
      </c>
      <c r="DU123" s="62"/>
    </row>
    <row r="124" customFormat="false" ht="15.75" hidden="false" customHeight="false" outlineLevel="0" collapsed="false">
      <c r="A124" s="7"/>
      <c r="B124" s="64"/>
      <c r="C124" s="65"/>
      <c r="D124" s="123"/>
      <c r="E124" s="88"/>
      <c r="F124" s="134"/>
      <c r="G124" s="88"/>
      <c r="H124" s="134"/>
      <c r="I124" s="119"/>
      <c r="J124" s="119"/>
      <c r="K124" s="119"/>
      <c r="L124" s="88"/>
      <c r="M124" s="88"/>
      <c r="N124" s="88"/>
      <c r="O124" s="134"/>
      <c r="P124" s="88"/>
      <c r="Q124" s="88"/>
      <c r="R124" s="88"/>
      <c r="S124" s="88"/>
      <c r="T124" s="134"/>
      <c r="U124" s="88"/>
      <c r="V124" s="70"/>
      <c r="W124" s="88"/>
      <c r="X124" s="88"/>
      <c r="Y124" s="70"/>
      <c r="Z124" s="70"/>
      <c r="AA124" s="88"/>
      <c r="AB124" s="88"/>
      <c r="AC124" s="71"/>
      <c r="AD124" s="88"/>
      <c r="AE124" s="73"/>
      <c r="AF124" s="74"/>
      <c r="AG124" s="74"/>
      <c r="AH124" s="74" t="str">
        <f aca="false">IF(ISBLANK($C124),"",IF($E124=Constants!$B$2,TRUE(),IF($E124=Constants!$B$3,FALSE(),TRUE())))</f>
        <v/>
      </c>
      <c r="AI124" s="74" t="str">
        <f aca="false">IF(ISBLANK($C124),"",IF($F124=Constants!$B$2,TRUE(),IF($F124=Constants!$B$3,FALSE(),FALSE())))</f>
        <v/>
      </c>
      <c r="AJ124" s="74" t="str">
        <f aca="false">IF(ISBLANK($C124),"",IF($G124=Constants!$B$2,TRUE(),IF($G124=Constants!$B$3,FALSE(),TRUE())))</f>
        <v/>
      </c>
      <c r="AK124" s="74" t="str">
        <f aca="false">IF(ISBLANK($C124),"",IF($H124=Constants!$B$2,TRUE(),IF($H124=Constants!$B$3,FALSE(),TRUE())))</f>
        <v/>
      </c>
      <c r="AL124" s="74" t="str">
        <f aca="false">IF(ISBLANK($C124),"",IF(ISNUMBER($I124),IF($I124&gt;=0,$I124,""),""))</f>
        <v/>
      </c>
      <c r="AM124" s="74" t="str">
        <f aca="false">IF(ISBLANK($C124),"",IF(ISNUMBER($J124),IF($J124&gt;=0,$J124,""),""))</f>
        <v/>
      </c>
      <c r="AN124" s="74" t="str">
        <f aca="false">IF(ISBLANK($C124),"",IF(ISNUMBER($K124),IF($K124&gt;=0,$K124,""),""))</f>
        <v/>
      </c>
      <c r="AO124" s="74" t="str">
        <f aca="false">IF(ISBLANK($C124),"",IF($L124=Constants!$B$2,TRUE(),IF($L124=Constants!$B$3,FALSE(),TRUE())))</f>
        <v/>
      </c>
      <c r="AP124" s="74" t="str">
        <f aca="false">IF(ISBLANK($C124),"",IF($M124=Constants!$B$2,TRUE(),IF($M124=Constants!$B$3,FALSE(),TRUE())))</f>
        <v/>
      </c>
      <c r="AQ124" s="74" t="str">
        <f aca="false">IF(ISBLANK($C124),"",IF($N124=Constants!$B$2,TRUE(),IF($N124=Constants!$B$3,FALSE(),FALSE())))</f>
        <v/>
      </c>
      <c r="AR124" s="74" t="str">
        <f aca="false">IF(ISBLANK($C124),"",IF($O124=Constants!$B$2,TRUE(),IF($O124=Constants!$B$3,FALSE(),TRUE())))</f>
        <v/>
      </c>
      <c r="AS124" s="74" t="str">
        <f aca="false">IF(ISBLANK($C124),"",IF($P124=Constants!$B$2,TRUE(),IF($P124=Constants!$B$3,FALSE(),FALSE())))</f>
        <v/>
      </c>
      <c r="AT124" s="74" t="str">
        <f aca="false">IF(ISBLANK($C124),"",IF($Q124=Constants!$B$2,TRUE(),IF($Q124=Constants!$B$3,FALSE(),FALSE())))</f>
        <v/>
      </c>
      <c r="AU124" s="74" t="str">
        <f aca="false">IF(ISBLANK($C124),"",IF($R124=Constants!$B$2,TRUE(),IF($R124=Constants!$B$3,FALSE(),FALSE())))</f>
        <v/>
      </c>
      <c r="AV124" s="74" t="str">
        <f aca="false">IF(ISBLANK($C124),"",IF($S124=Constants!$B$2,TRUE(),IF($S124=Constants!$B$3,FALSE(),FALSE())))</f>
        <v/>
      </c>
      <c r="AW124" s="74" t="str">
        <f aca="false">IF(ISBLANK($C124),"",IF($T124=Constants!$B$2,TRUE(),IF($T124=Constants!$B$3,FALSE(),FALSE())))</f>
        <v/>
      </c>
      <c r="AX124" s="74" t="str">
        <f aca="false">IF(ISBLANK($C124),"",IF(OR($U124&amp;""="1",$U124&amp;""="2",$U124&amp;""="3",$U124&amp;""="4"),VALUE($U124&amp;""),IF($U124=Constants!$B$12,Constants!$B$12,"")))</f>
        <v/>
      </c>
      <c r="AY124" s="74" t="str">
        <f aca="false">IF(ISBLANK($C124),"",IF(ISBLANK($V124),0,IF(ISNUMBER($V124),IF(AND($V124&gt;=0,$V124&lt;=Constants!$B$21,$V124=INT($V124)),$V124,""),"")))</f>
        <v/>
      </c>
      <c r="AZ124" s="74" t="str">
        <f aca="false">IF(ISBLANK($C124),"",IF(ISBLANK($W124),0,IF(ISNUMBER($W124),IF($W124&gt;=0,$W124,""),"")))</f>
        <v/>
      </c>
      <c r="BA124" s="74" t="str">
        <f aca="false">IF(ISBLANK($C124),"",IF($X124=Constants!$B$2,TRUE(),IF($X124=Constants!$B$3,FALSE(),TRUE())))</f>
        <v/>
      </c>
      <c r="BB124" s="74" t="str">
        <f aca="false">IF(ISBLANK($C124),"",IF($Y124=Constants!$B$2,TRUE(),IF($Y124=Constants!$B$3,FALSE(),FALSE())))</f>
        <v/>
      </c>
      <c r="BC124" s="74" t="str">
        <f aca="false">IF(ISBLANK($C124),"",IF(ISBLANK($Z124),0,IF(ISNUMBER($Z124),IF(AND($Z124&gt;=0,$Z124&lt;=Constants!$B$35,$Z124=INT($Z124)),$Z124,""),"")))</f>
        <v/>
      </c>
      <c r="BD124" s="74" t="str">
        <f aca="false">IF(ISBLANK($C124),"",IF($AA124=Constants!$B$2,TRUE(),IF($AA124=Constants!$B$3,FALSE(),TRUE())))</f>
        <v/>
      </c>
      <c r="BE124" s="74" t="str">
        <f aca="false">IF(ISBLANK($C124),"",IF($AB124=Constants!$B$2,TRUE(),IF($AB124=Constants!$B$3,FALSE(),TRUE())))</f>
        <v/>
      </c>
      <c r="BF124" s="74" t="str">
        <f aca="false">IF(ISBLANK($C124),"",IF(ISNUMBER($AC124),IF($AC124&gt;=0,$AC124,""),""))</f>
        <v/>
      </c>
      <c r="BG124" s="74" t="str">
        <f aca="false">IF(ISBLANK($C124),"",IF($AD124=Constants!$B$2,TRUE(),IF($AD124=Constants!$B$3,FALSE(),FALSE())))</f>
        <v/>
      </c>
      <c r="BH124" s="73" t="str">
        <f aca="false">IF(ISBLANK($C124),"",IF($BG124,Constants!$B$7,IF(COUNTA($E124:$AC124)=0,Constants!$B$6,IF(OR(COUNTA($G124:$AC124)=0,NOT($AK124),$AQ124),Constants!$B$5,IF(OR($CI124&lt;&gt;"",$CJ124,$CK124,$CL124,$CM124,$CN124,$CO124),Constants!$B$8,Constants!$B$4)))))</f>
        <v/>
      </c>
      <c r="BI124" s="74" t="str">
        <f aca="false">IF(ISBLANK($C124),"",IF($BH124&lt;&gt;Constants!$B$4,$BH124,IF(OR(NOT($AH124),NOT($AJ124),NOT($AR124)),Constants!$B$11,IF(OR(NOT($AP124),MAX($AL124,$AM124,$AN124)&gt;Constants!$B$30),Constants!$B$10,Constants!$B$9))))</f>
        <v/>
      </c>
      <c r="BJ124" s="74" t="str">
        <f aca="false">IF($BH124&lt;&gt;Constants!$B$4,"",IF(NOT($AJ124),0,MIN(Constants!$B$35,$BC124)))</f>
        <v/>
      </c>
      <c r="BK124" s="74" t="str">
        <f aca="false">IF($BH124&lt;&gt;Constants!$B$4,"",IF(NOT($AJ124),0,IF($AT124,Constants!$B$18,IF($AS124,Constants!$B$17,0))))</f>
        <v/>
      </c>
      <c r="BL124" s="74" t="str">
        <f aca="false">IF($BH124&lt;&gt;Constants!$B$4,"",IF(NOT($AJ124),0,Constants!$B$19*($AI124+$AU124+$AV124+$AW124)))</f>
        <v/>
      </c>
      <c r="BM124" s="74" t="str">
        <f aca="false">IF($BH124&lt;&gt;Constants!$B$4,"",IF(OR(NOT($AJ124),NOT(ISNUMBER($AX124))),0,CHOOSE($AX124,Constants!$B$13,Constants!$B$14,Constants!$B$15,Constants!$B$16)))</f>
        <v/>
      </c>
      <c r="BN124" s="74" t="str">
        <f aca="false">IF($BH124&lt;&gt;Constants!$B$4,"",IF(NOT($AJ124),0,Constants!$B$20*$AY124))</f>
        <v/>
      </c>
      <c r="BO124" s="74" t="str">
        <f aca="false">IF($BH124&lt;&gt;Constants!$B$4,"",IF(AND($AJ124,$BA124,$BB124),Constants!$B$22,0))</f>
        <v/>
      </c>
      <c r="BP124" s="74" t="str">
        <f aca="false">IF($BH124&lt;&gt;Constants!$B$4,"",IF(OR(NOT($AJ124),NOT($BA124)),0,IF($BF124&gt;=2*$AF$9,0,Constants!$B$23*INT(ROUND(MIN($BF124,$AF$9),6)))))</f>
        <v/>
      </c>
      <c r="BQ124" s="74" t="str">
        <f aca="false">IF($BH124&lt;&gt;Constants!$B$4,"",IF(NOT($AJ124),0,Constants!$B$24*INT(ROUND(MIN($AZ124,$AF$9),6))))</f>
        <v/>
      </c>
      <c r="BR124" s="74" t="str">
        <f aca="false">IF($BH124&lt;&gt;Constants!$B$4,"",IF(AND($AJ124,$BJ124=0),Constants!$B$25,0))</f>
        <v/>
      </c>
      <c r="BS124" s="74" t="str">
        <f aca="false">IF($BH124&lt;&gt;Constants!$B$4,"",MIN(Constants!$B$29,MAX(0,Constants!$B$27*Constants!$B$28*INT(ROUND((Constants!$B$26-$AL124)/Constants!$B$28,6))))+MIN(Constants!$B$29,MAX(0,Constants!$B$27*Constants!$B$28*INT(ROUND((Constants!$B$26-$AM124)/Constants!$B$28,6))))+MIN(Constants!$B$29,MAX(0,Constants!$B$27*Constants!$B$28*INT(ROUND((Constants!$B$26-$AN124)/Constants!$B$28,6)))))</f>
        <v/>
      </c>
      <c r="BT124" s="74" t="str">
        <f aca="false">IF($BH124&lt;&gt;Constants!$B$4,"",IF(NOT($AJ124),0,Constants!$B$31*INT(ROUND(MAX(0,MIN($BF124,2*$AF$9)-$AF$9),6))))</f>
        <v/>
      </c>
      <c r="BU124" s="74" t="str">
        <f aca="false">IF($BH124&lt;&gt;Constants!$B$4,"",Constants!$B$32*(($AL124&gt;Constants!$B$26)+($AM124&gt;Constants!$B$26)+($AN124&gt;Constants!$B$26)))</f>
        <v/>
      </c>
      <c r="BV124" s="74" t="str">
        <f aca="false">IF($BH124&lt;&gt;Constants!$B$4,"",IF(OR(NOT($AJ124),$AO124),0,Constants!$B$33))</f>
        <v/>
      </c>
      <c r="BW124" s="74" t="str">
        <f aca="false">IF($BH124&lt;&gt;Constants!$B$4,"",Constants!$B$34*$BJ124)</f>
        <v/>
      </c>
      <c r="BX124" s="74" t="str">
        <f aca="false">IF($BH124&lt;&gt;Constants!$B$4,"",IF(OR(NOT($AJ124),$BE124),0,Constants!$B$36))</f>
        <v/>
      </c>
      <c r="BY124" s="74" t="str">
        <f aca="false">IF($BH124&lt;&gt;Constants!$B$4,"",IF(OR(NOT($AJ124),$BD124),0,Constants!$B$37))</f>
        <v/>
      </c>
      <c r="BZ124" s="74" t="str">
        <f aca="false">IF($BH124&lt;&gt;Constants!$B$4,"",SUM($BT124:$BY124))</f>
        <v/>
      </c>
      <c r="CA124" s="74" t="str">
        <f aca="false">IF(ISBLANK($C124),"",IF($BH124&lt;&gt;Constants!$B$4,$BH124,SUM($BK124:$BS124)-$BZ124))</f>
        <v/>
      </c>
      <c r="CB124" s="74" t="str">
        <f aca="false">IF(ISBLANK($C124),"",IF($BH124&lt;&gt;Constants!$B$4,$BH124,RANK($CA124,$CA$9:$CA$508)))</f>
        <v/>
      </c>
      <c r="CC124" s="74" t="str">
        <f aca="false">IF(ISBLANK($C124),"",IF($BH124&lt;&gt;Constants!$B$4,$BH124,COUNTIFS($BI$9:$BI$508,"&lt;"&amp;$BI124)+COUNTIFS($BI$9:$BI$508,$BI124,$CB$9:$CB$508,"&lt;"&amp;$CB124)+1))</f>
        <v/>
      </c>
      <c r="CD124" s="74" t="str">
        <f aca="false">IF(ISBLANK($C124),"",IF($BH124&lt;&gt;Constants!$B$4,$BH124,RANK($BZ124,$BZ$9:$BZ$508,1)))</f>
        <v/>
      </c>
      <c r="CE124" s="74" t="str">
        <f aca="false">IF($BH124&lt;&gt;Constants!$B$4,"",$AL124+$AM124+$AN124)</f>
        <v/>
      </c>
      <c r="CF124" s="74" t="str">
        <f aca="false">IF(ISBLANK($C124),"",IF($BH124&lt;&gt;Constants!$B$4,$BH124,RANK($CE124,$CE$9:$CE$508,1)))</f>
        <v/>
      </c>
      <c r="CG124" s="74" t="str">
        <f aca="false">IF(ISBLANK($C124),"",IF($BH124&lt;&gt;Constants!$B$4,$BH124,COUNTIFS($BI$9:$BI$508,"&lt;"&amp;$BI124)+COUNTIFS($BI$9:$BI$508,$BI124,$CB$9:$CB$508,"&lt;"&amp;$CB124)+COUNTIFS($BI$9:$BI$508,$BI124,$CB$9:$CB$508,$CB124,$CD$9:$CD$508,"&lt;"&amp;$CD124)+COUNTIFS($BI$9:$BI$508,$BI124,$CB$9:$CB$508,$CB124,$CD$9:$CD$508,$CD124,$CF$9:$CF$508,"&lt;"&amp;$CF124)+1))</f>
        <v/>
      </c>
      <c r="CH124" s="74" t="str">
        <f aca="false">IF(ISBLANK($C124),"",IF($BH124&lt;&gt;Constants!$B$4,$BH124,$CC124-$CG124))</f>
        <v/>
      </c>
      <c r="CI124" s="74" t="str">
        <f aca="false">IF(ISBLANK($C124),"",IF(NOT($AJ124),"",IF(ISBLANK($D$7),$CI$5,IF(NOT(ISNUMBER($D$7)),$CI$6,""))))</f>
        <v/>
      </c>
      <c r="CJ124" s="74" t="str">
        <f aca="false">IF(ISBLANK($C124),"",OR($AL124="",$AM124="",$AN124=""))</f>
        <v/>
      </c>
      <c r="CK124" s="74" t="str">
        <f aca="false">IF(ISBLANK($C124),"",AND($AJ124,$AX124=""))</f>
        <v/>
      </c>
      <c r="CL124" s="74" t="str">
        <f aca="false">IF(ISBLANK($C124),"",AND($AJ124,$AY124=""))</f>
        <v/>
      </c>
      <c r="CM124" s="74" t="str">
        <f aca="false">IF(ISBLANK($C124),"",AND($AJ124,$AZ124=""))</f>
        <v/>
      </c>
      <c r="CN124" s="74" t="str">
        <f aca="false">IF(ISBLANK($C124),"",AND($AJ124,$BC124=""))</f>
        <v/>
      </c>
      <c r="CO124" s="74" t="str">
        <f aca="false">IF(ISBLANK($C124),"",AND($AJ124,$BF124=""))</f>
        <v/>
      </c>
      <c r="CP124" s="75"/>
      <c r="CQ124" s="76"/>
      <c r="CR124" s="79" t="str">
        <f aca="false">IF(ISBLANK($C124),"",IF($BH124=Constants!$B$8,$CI124,""))</f>
        <v/>
      </c>
      <c r="CS124" s="76" t="str">
        <f aca="false">IF(ISBLANK($C124),"",IF($BH124&lt;&gt;Constants!$B$4,"",$BK124+$BL124))</f>
        <v/>
      </c>
      <c r="CT124" s="78" t="str">
        <f aca="false">IF(ISBLANK($C124),"",IF($BH124&lt;&gt;Constants!$B$4,"",$BM124+$BN124+$BO124))</f>
        <v/>
      </c>
      <c r="CU124" s="78" t="str">
        <f aca="false">IF(ISBLANK($C124),"",IF($BH124&lt;&gt;Constants!$B$4,"",$BP124))</f>
        <v/>
      </c>
      <c r="CV124" s="78" t="str">
        <f aca="false">IF(ISBLANK($C124),"",IF($BH124&lt;&gt;Constants!$B$4,"",$BQ124+$BR124))</f>
        <v/>
      </c>
      <c r="CW124" s="78" t="str">
        <f aca="false">IF(ISBLANK($C124),"",IF($BH124&lt;&gt;Constants!$B$4,"",$BS124))</f>
        <v/>
      </c>
      <c r="CX124" s="78" t="str">
        <f aca="false">IF(ISBLANK($C124),"",IF($BH124&lt;&gt;Constants!$B$4,"",-$BZ124))</f>
        <v/>
      </c>
      <c r="CY124" s="79" t="str">
        <f aca="false">IF(ISBLANK($C124),"",$CA124)</f>
        <v/>
      </c>
      <c r="CZ124" s="80" t="str">
        <f aca="false">IF(ISBLANK($C124),"",$BI124)</f>
        <v/>
      </c>
      <c r="DA124" s="78" t="str">
        <f aca="false">IF(ISBLANK($C124),"",$CH124)</f>
        <v/>
      </c>
      <c r="DB124" s="78" t="str">
        <f aca="false">IF(ISBLANK($C124),"",$CG124)</f>
        <v/>
      </c>
      <c r="DC124" s="81" t="str">
        <f aca="false">IF(ISBLANK($C124),"",IFERROR(_xlfn.SWITCH($DB124,Constants!$B$7,COUNTA($C$9:$C$508)+2,Constants!$B$6,COUNTA($C$9:$C$508)+1,Constants!$B$5,COUNTA($C$9:$C$508)),$DB124))</f>
        <v/>
      </c>
      <c r="DD124" s="7"/>
      <c r="DE124" s="82" t="n">
        <f aca="false">IF(OR(ISNUMBER($DB124),$DB124=Constants!$B$7,$DB124=Constants!$B$5,$DB124=Constants!$B$6),1,0)</f>
        <v>0</v>
      </c>
      <c r="DF124" s="82" t="n">
        <v>116</v>
      </c>
      <c r="DG124" s="82" t="str">
        <f aca="false">IF(ISBLANK($C124),"",IF(ISNUMBER($DC124),$DC124+ROW($B124)/1000,""))</f>
        <v/>
      </c>
      <c r="DH124" s="82" t="str">
        <f aca="false">IF(ISNUMBER($DG124),RANK($DG124,$DG$9:$DG$508,1),"")</f>
        <v/>
      </c>
      <c r="DI124" s="82" t="str">
        <f aca="false">IF(ISBLANK($C124),"",$B124)</f>
        <v/>
      </c>
      <c r="DJ124" s="82" t="str">
        <f aca="false">IF(ISBLANK($C124),"",$C124)</f>
        <v/>
      </c>
      <c r="DK124" s="82" t="str">
        <f aca="false">IF(ISBLANK($C124),"",$D124)</f>
        <v/>
      </c>
      <c r="DL124" s="83" t="str">
        <f aca="false">$CZ124</f>
        <v/>
      </c>
      <c r="DM124" s="84" t="str">
        <f aca="false">$CY124</f>
        <v/>
      </c>
      <c r="DN124" s="82" t="str">
        <f aca="false">IF(ISBLANK($C124),"",$DB124)</f>
        <v/>
      </c>
      <c r="DO124" s="85" t="str">
        <f aca="false">IF($DF124&gt;$DE$8,"",VLOOKUP($DF124,$DH$9:$DN$508,7,FALSE()))</f>
        <v/>
      </c>
      <c r="DP124" s="86" t="str">
        <f aca="false">IF($DF124&gt;$DE$8,"",VLOOKUP($DF124,$DH$9:$DN$508,2,FALSE()))</f>
        <v/>
      </c>
      <c r="DQ124" s="86" t="str">
        <f aca="false">IF($DF124&gt;$DE$8,"",VLOOKUP($DF124,$DH$9:$DN$508,3,FALSE()))</f>
        <v/>
      </c>
      <c r="DR124" s="86" t="str">
        <f aca="false">IF($DF124&gt;$DE$8,"",VLOOKUP($DF124,$DH$9:$DN$508,4,FALSE()))</f>
        <v/>
      </c>
      <c r="DS124" s="86" t="str">
        <f aca="false">IF($DF124&gt;$DE$8,"",VLOOKUP($DF124,$DH$9:$DN$508,5,FALSE()))</f>
        <v/>
      </c>
      <c r="DT124" s="87" t="str">
        <f aca="false">IF($DF124&gt;$DE$8,"",VLOOKUP($DF124,$DH$9:$DN$508,6,FALSE()))</f>
        <v/>
      </c>
      <c r="DU124" s="62"/>
    </row>
    <row r="125" customFormat="false" ht="15.75" hidden="false" customHeight="false" outlineLevel="0" collapsed="false">
      <c r="A125" s="7"/>
      <c r="B125" s="64"/>
      <c r="C125" s="65"/>
      <c r="D125" s="123"/>
      <c r="E125" s="88"/>
      <c r="F125" s="134"/>
      <c r="G125" s="88"/>
      <c r="H125" s="134"/>
      <c r="I125" s="119"/>
      <c r="J125" s="119"/>
      <c r="K125" s="119"/>
      <c r="L125" s="88"/>
      <c r="M125" s="88"/>
      <c r="N125" s="88"/>
      <c r="O125" s="134"/>
      <c r="P125" s="88"/>
      <c r="Q125" s="88"/>
      <c r="R125" s="88"/>
      <c r="S125" s="88"/>
      <c r="T125" s="134"/>
      <c r="U125" s="88"/>
      <c r="V125" s="70"/>
      <c r="W125" s="88"/>
      <c r="X125" s="88"/>
      <c r="Y125" s="70"/>
      <c r="Z125" s="70"/>
      <c r="AA125" s="88"/>
      <c r="AB125" s="88"/>
      <c r="AC125" s="71"/>
      <c r="AD125" s="88"/>
      <c r="AE125" s="73"/>
      <c r="AF125" s="74"/>
      <c r="AG125" s="74"/>
      <c r="AH125" s="74" t="str">
        <f aca="false">IF(ISBLANK($C125),"",IF($E125=Constants!$B$2,TRUE(),IF($E125=Constants!$B$3,FALSE(),TRUE())))</f>
        <v/>
      </c>
      <c r="AI125" s="74" t="str">
        <f aca="false">IF(ISBLANK($C125),"",IF($F125=Constants!$B$2,TRUE(),IF($F125=Constants!$B$3,FALSE(),FALSE())))</f>
        <v/>
      </c>
      <c r="AJ125" s="74" t="str">
        <f aca="false">IF(ISBLANK($C125),"",IF($G125=Constants!$B$2,TRUE(),IF($G125=Constants!$B$3,FALSE(),TRUE())))</f>
        <v/>
      </c>
      <c r="AK125" s="74" t="str">
        <f aca="false">IF(ISBLANK($C125),"",IF($H125=Constants!$B$2,TRUE(),IF($H125=Constants!$B$3,FALSE(),TRUE())))</f>
        <v/>
      </c>
      <c r="AL125" s="74" t="str">
        <f aca="false">IF(ISBLANK($C125),"",IF(ISNUMBER($I125),IF($I125&gt;=0,$I125,""),""))</f>
        <v/>
      </c>
      <c r="AM125" s="74" t="str">
        <f aca="false">IF(ISBLANK($C125),"",IF(ISNUMBER($J125),IF($J125&gt;=0,$J125,""),""))</f>
        <v/>
      </c>
      <c r="AN125" s="74" t="str">
        <f aca="false">IF(ISBLANK($C125),"",IF(ISNUMBER($K125),IF($K125&gt;=0,$K125,""),""))</f>
        <v/>
      </c>
      <c r="AO125" s="74" t="str">
        <f aca="false">IF(ISBLANK($C125),"",IF($L125=Constants!$B$2,TRUE(),IF($L125=Constants!$B$3,FALSE(),TRUE())))</f>
        <v/>
      </c>
      <c r="AP125" s="74" t="str">
        <f aca="false">IF(ISBLANK($C125),"",IF($M125=Constants!$B$2,TRUE(),IF($M125=Constants!$B$3,FALSE(),TRUE())))</f>
        <v/>
      </c>
      <c r="AQ125" s="74" t="str">
        <f aca="false">IF(ISBLANK($C125),"",IF($N125=Constants!$B$2,TRUE(),IF($N125=Constants!$B$3,FALSE(),FALSE())))</f>
        <v/>
      </c>
      <c r="AR125" s="74" t="str">
        <f aca="false">IF(ISBLANK($C125),"",IF($O125=Constants!$B$2,TRUE(),IF($O125=Constants!$B$3,FALSE(),TRUE())))</f>
        <v/>
      </c>
      <c r="AS125" s="74" t="str">
        <f aca="false">IF(ISBLANK($C125),"",IF($P125=Constants!$B$2,TRUE(),IF($P125=Constants!$B$3,FALSE(),FALSE())))</f>
        <v/>
      </c>
      <c r="AT125" s="74" t="str">
        <f aca="false">IF(ISBLANK($C125),"",IF($Q125=Constants!$B$2,TRUE(),IF($Q125=Constants!$B$3,FALSE(),FALSE())))</f>
        <v/>
      </c>
      <c r="AU125" s="74" t="str">
        <f aca="false">IF(ISBLANK($C125),"",IF($R125=Constants!$B$2,TRUE(),IF($R125=Constants!$B$3,FALSE(),FALSE())))</f>
        <v/>
      </c>
      <c r="AV125" s="74" t="str">
        <f aca="false">IF(ISBLANK($C125),"",IF($S125=Constants!$B$2,TRUE(),IF($S125=Constants!$B$3,FALSE(),FALSE())))</f>
        <v/>
      </c>
      <c r="AW125" s="74" t="str">
        <f aca="false">IF(ISBLANK($C125),"",IF($T125=Constants!$B$2,TRUE(),IF($T125=Constants!$B$3,FALSE(),FALSE())))</f>
        <v/>
      </c>
      <c r="AX125" s="74" t="str">
        <f aca="false">IF(ISBLANK($C125),"",IF(OR($U125&amp;""="1",$U125&amp;""="2",$U125&amp;""="3",$U125&amp;""="4"),VALUE($U125&amp;""),IF($U125=Constants!$B$12,Constants!$B$12,"")))</f>
        <v/>
      </c>
      <c r="AY125" s="74" t="str">
        <f aca="false">IF(ISBLANK($C125),"",IF(ISBLANK($V125),0,IF(ISNUMBER($V125),IF(AND($V125&gt;=0,$V125&lt;=Constants!$B$21,$V125=INT($V125)),$V125,""),"")))</f>
        <v/>
      </c>
      <c r="AZ125" s="74" t="str">
        <f aca="false">IF(ISBLANK($C125),"",IF(ISBLANK($W125),0,IF(ISNUMBER($W125),IF($W125&gt;=0,$W125,""),"")))</f>
        <v/>
      </c>
      <c r="BA125" s="74" t="str">
        <f aca="false">IF(ISBLANK($C125),"",IF($X125=Constants!$B$2,TRUE(),IF($X125=Constants!$B$3,FALSE(),TRUE())))</f>
        <v/>
      </c>
      <c r="BB125" s="74" t="str">
        <f aca="false">IF(ISBLANK($C125),"",IF($Y125=Constants!$B$2,TRUE(),IF($Y125=Constants!$B$3,FALSE(),FALSE())))</f>
        <v/>
      </c>
      <c r="BC125" s="74" t="str">
        <f aca="false">IF(ISBLANK($C125),"",IF(ISBLANK($Z125),0,IF(ISNUMBER($Z125),IF(AND($Z125&gt;=0,$Z125&lt;=Constants!$B$35,$Z125=INT($Z125)),$Z125,""),"")))</f>
        <v/>
      </c>
      <c r="BD125" s="74" t="str">
        <f aca="false">IF(ISBLANK($C125),"",IF($AA125=Constants!$B$2,TRUE(),IF($AA125=Constants!$B$3,FALSE(),TRUE())))</f>
        <v/>
      </c>
      <c r="BE125" s="74" t="str">
        <f aca="false">IF(ISBLANK($C125),"",IF($AB125=Constants!$B$2,TRUE(),IF($AB125=Constants!$B$3,FALSE(),TRUE())))</f>
        <v/>
      </c>
      <c r="BF125" s="74" t="str">
        <f aca="false">IF(ISBLANK($C125),"",IF(ISNUMBER($AC125),IF($AC125&gt;=0,$AC125,""),""))</f>
        <v/>
      </c>
      <c r="BG125" s="74" t="str">
        <f aca="false">IF(ISBLANK($C125),"",IF($AD125=Constants!$B$2,TRUE(),IF($AD125=Constants!$B$3,FALSE(),FALSE())))</f>
        <v/>
      </c>
      <c r="BH125" s="73" t="str">
        <f aca="false">IF(ISBLANK($C125),"",IF($BG125,Constants!$B$7,IF(COUNTA($E125:$AC125)=0,Constants!$B$6,IF(OR(COUNTA($G125:$AC125)=0,NOT($AK125),$AQ125),Constants!$B$5,IF(OR($CI125&lt;&gt;"",$CJ125,$CK125,$CL125,$CM125,$CN125,$CO125),Constants!$B$8,Constants!$B$4)))))</f>
        <v/>
      </c>
      <c r="BI125" s="74" t="str">
        <f aca="false">IF(ISBLANK($C125),"",IF($BH125&lt;&gt;Constants!$B$4,$BH125,IF(OR(NOT($AH125),NOT($AJ125),NOT($AR125)),Constants!$B$11,IF(OR(NOT($AP125),MAX($AL125,$AM125,$AN125)&gt;Constants!$B$30),Constants!$B$10,Constants!$B$9))))</f>
        <v/>
      </c>
      <c r="BJ125" s="74" t="str">
        <f aca="false">IF($BH125&lt;&gt;Constants!$B$4,"",IF(NOT($AJ125),0,MIN(Constants!$B$35,$BC125)))</f>
        <v/>
      </c>
      <c r="BK125" s="74" t="str">
        <f aca="false">IF($BH125&lt;&gt;Constants!$B$4,"",IF(NOT($AJ125),0,IF($AT125,Constants!$B$18,IF($AS125,Constants!$B$17,0))))</f>
        <v/>
      </c>
      <c r="BL125" s="74" t="str">
        <f aca="false">IF($BH125&lt;&gt;Constants!$B$4,"",IF(NOT($AJ125),0,Constants!$B$19*($AI125+$AU125+$AV125+$AW125)))</f>
        <v/>
      </c>
      <c r="BM125" s="74" t="str">
        <f aca="false">IF($BH125&lt;&gt;Constants!$B$4,"",IF(OR(NOT($AJ125),NOT(ISNUMBER($AX125))),0,CHOOSE($AX125,Constants!$B$13,Constants!$B$14,Constants!$B$15,Constants!$B$16)))</f>
        <v/>
      </c>
      <c r="BN125" s="74" t="str">
        <f aca="false">IF($BH125&lt;&gt;Constants!$B$4,"",IF(NOT($AJ125),0,Constants!$B$20*$AY125))</f>
        <v/>
      </c>
      <c r="BO125" s="74" t="str">
        <f aca="false">IF($BH125&lt;&gt;Constants!$B$4,"",IF(AND($AJ125,$BA125,$BB125),Constants!$B$22,0))</f>
        <v/>
      </c>
      <c r="BP125" s="74" t="str">
        <f aca="false">IF($BH125&lt;&gt;Constants!$B$4,"",IF(OR(NOT($AJ125),NOT($BA125)),0,IF($BF125&gt;=2*$AF$9,0,Constants!$B$23*INT(ROUND(MIN($BF125,$AF$9),6)))))</f>
        <v/>
      </c>
      <c r="BQ125" s="74" t="str">
        <f aca="false">IF($BH125&lt;&gt;Constants!$B$4,"",IF(NOT($AJ125),0,Constants!$B$24*INT(ROUND(MIN($AZ125,$AF$9),6))))</f>
        <v/>
      </c>
      <c r="BR125" s="74" t="str">
        <f aca="false">IF($BH125&lt;&gt;Constants!$B$4,"",IF(AND($AJ125,$BJ125=0),Constants!$B$25,0))</f>
        <v/>
      </c>
      <c r="BS125" s="74" t="str">
        <f aca="false">IF($BH125&lt;&gt;Constants!$B$4,"",MIN(Constants!$B$29,MAX(0,Constants!$B$27*Constants!$B$28*INT(ROUND((Constants!$B$26-$AL125)/Constants!$B$28,6))))+MIN(Constants!$B$29,MAX(0,Constants!$B$27*Constants!$B$28*INT(ROUND((Constants!$B$26-$AM125)/Constants!$B$28,6))))+MIN(Constants!$B$29,MAX(0,Constants!$B$27*Constants!$B$28*INT(ROUND((Constants!$B$26-$AN125)/Constants!$B$28,6)))))</f>
        <v/>
      </c>
      <c r="BT125" s="74" t="str">
        <f aca="false">IF($BH125&lt;&gt;Constants!$B$4,"",IF(NOT($AJ125),0,Constants!$B$31*INT(ROUND(MAX(0,MIN($BF125,2*$AF$9)-$AF$9),6))))</f>
        <v/>
      </c>
      <c r="BU125" s="74" t="str">
        <f aca="false">IF($BH125&lt;&gt;Constants!$B$4,"",Constants!$B$32*(($AL125&gt;Constants!$B$26)+($AM125&gt;Constants!$B$26)+($AN125&gt;Constants!$B$26)))</f>
        <v/>
      </c>
      <c r="BV125" s="74" t="str">
        <f aca="false">IF($BH125&lt;&gt;Constants!$B$4,"",IF(OR(NOT($AJ125),$AO125),0,Constants!$B$33))</f>
        <v/>
      </c>
      <c r="BW125" s="74" t="str">
        <f aca="false">IF($BH125&lt;&gt;Constants!$B$4,"",Constants!$B$34*$BJ125)</f>
        <v/>
      </c>
      <c r="BX125" s="74" t="str">
        <f aca="false">IF($BH125&lt;&gt;Constants!$B$4,"",IF(OR(NOT($AJ125),$BE125),0,Constants!$B$36))</f>
        <v/>
      </c>
      <c r="BY125" s="74" t="str">
        <f aca="false">IF($BH125&lt;&gt;Constants!$B$4,"",IF(OR(NOT($AJ125),$BD125),0,Constants!$B$37))</f>
        <v/>
      </c>
      <c r="BZ125" s="74" t="str">
        <f aca="false">IF($BH125&lt;&gt;Constants!$B$4,"",SUM($BT125:$BY125))</f>
        <v/>
      </c>
      <c r="CA125" s="74" t="str">
        <f aca="false">IF(ISBLANK($C125),"",IF($BH125&lt;&gt;Constants!$B$4,$BH125,SUM($BK125:$BS125)-$BZ125))</f>
        <v/>
      </c>
      <c r="CB125" s="74" t="str">
        <f aca="false">IF(ISBLANK($C125),"",IF($BH125&lt;&gt;Constants!$B$4,$BH125,RANK($CA125,$CA$9:$CA$508)))</f>
        <v/>
      </c>
      <c r="CC125" s="74" t="str">
        <f aca="false">IF(ISBLANK($C125),"",IF($BH125&lt;&gt;Constants!$B$4,$BH125,COUNTIFS($BI$9:$BI$508,"&lt;"&amp;$BI125)+COUNTIFS($BI$9:$BI$508,$BI125,$CB$9:$CB$508,"&lt;"&amp;$CB125)+1))</f>
        <v/>
      </c>
      <c r="CD125" s="74" t="str">
        <f aca="false">IF(ISBLANK($C125),"",IF($BH125&lt;&gt;Constants!$B$4,$BH125,RANK($BZ125,$BZ$9:$BZ$508,1)))</f>
        <v/>
      </c>
      <c r="CE125" s="74" t="str">
        <f aca="false">IF($BH125&lt;&gt;Constants!$B$4,"",$AL125+$AM125+$AN125)</f>
        <v/>
      </c>
      <c r="CF125" s="74" t="str">
        <f aca="false">IF(ISBLANK($C125),"",IF($BH125&lt;&gt;Constants!$B$4,$BH125,RANK($CE125,$CE$9:$CE$508,1)))</f>
        <v/>
      </c>
      <c r="CG125" s="74" t="str">
        <f aca="false">IF(ISBLANK($C125),"",IF($BH125&lt;&gt;Constants!$B$4,$BH125,COUNTIFS($BI$9:$BI$508,"&lt;"&amp;$BI125)+COUNTIFS($BI$9:$BI$508,$BI125,$CB$9:$CB$508,"&lt;"&amp;$CB125)+COUNTIFS($BI$9:$BI$508,$BI125,$CB$9:$CB$508,$CB125,$CD$9:$CD$508,"&lt;"&amp;$CD125)+COUNTIFS($BI$9:$BI$508,$BI125,$CB$9:$CB$508,$CB125,$CD$9:$CD$508,$CD125,$CF$9:$CF$508,"&lt;"&amp;$CF125)+1))</f>
        <v/>
      </c>
      <c r="CH125" s="74" t="str">
        <f aca="false">IF(ISBLANK($C125),"",IF($BH125&lt;&gt;Constants!$B$4,$BH125,$CC125-$CG125))</f>
        <v/>
      </c>
      <c r="CI125" s="74" t="str">
        <f aca="false">IF(ISBLANK($C125),"",IF(NOT($AJ125),"",IF(ISBLANK($D$7),$CI$5,IF(NOT(ISNUMBER($D$7)),$CI$6,""))))</f>
        <v/>
      </c>
      <c r="CJ125" s="74" t="str">
        <f aca="false">IF(ISBLANK($C125),"",OR($AL125="",$AM125="",$AN125=""))</f>
        <v/>
      </c>
      <c r="CK125" s="74" t="str">
        <f aca="false">IF(ISBLANK($C125),"",AND($AJ125,$AX125=""))</f>
        <v/>
      </c>
      <c r="CL125" s="74" t="str">
        <f aca="false">IF(ISBLANK($C125),"",AND($AJ125,$AY125=""))</f>
        <v/>
      </c>
      <c r="CM125" s="74" t="str">
        <f aca="false">IF(ISBLANK($C125),"",AND($AJ125,$AZ125=""))</f>
        <v/>
      </c>
      <c r="CN125" s="74" t="str">
        <f aca="false">IF(ISBLANK($C125),"",AND($AJ125,$BC125=""))</f>
        <v/>
      </c>
      <c r="CO125" s="74" t="str">
        <f aca="false">IF(ISBLANK($C125),"",AND($AJ125,$BF125=""))</f>
        <v/>
      </c>
      <c r="CP125" s="75"/>
      <c r="CQ125" s="76"/>
      <c r="CR125" s="79" t="str">
        <f aca="false">IF(ISBLANK($C125),"",IF($BH125=Constants!$B$8,$CI125,""))</f>
        <v/>
      </c>
      <c r="CS125" s="76" t="str">
        <f aca="false">IF(ISBLANK($C125),"",IF($BH125&lt;&gt;Constants!$B$4,"",$BK125+$BL125))</f>
        <v/>
      </c>
      <c r="CT125" s="78" t="str">
        <f aca="false">IF(ISBLANK($C125),"",IF($BH125&lt;&gt;Constants!$B$4,"",$BM125+$BN125+$BO125))</f>
        <v/>
      </c>
      <c r="CU125" s="78" t="str">
        <f aca="false">IF(ISBLANK($C125),"",IF($BH125&lt;&gt;Constants!$B$4,"",$BP125))</f>
        <v/>
      </c>
      <c r="CV125" s="78" t="str">
        <f aca="false">IF(ISBLANK($C125),"",IF($BH125&lt;&gt;Constants!$B$4,"",$BQ125+$BR125))</f>
        <v/>
      </c>
      <c r="CW125" s="78" t="str">
        <f aca="false">IF(ISBLANK($C125),"",IF($BH125&lt;&gt;Constants!$B$4,"",$BS125))</f>
        <v/>
      </c>
      <c r="CX125" s="78" t="str">
        <f aca="false">IF(ISBLANK($C125),"",IF($BH125&lt;&gt;Constants!$B$4,"",-$BZ125))</f>
        <v/>
      </c>
      <c r="CY125" s="79" t="str">
        <f aca="false">IF(ISBLANK($C125),"",$CA125)</f>
        <v/>
      </c>
      <c r="CZ125" s="80" t="str">
        <f aca="false">IF(ISBLANK($C125),"",$BI125)</f>
        <v/>
      </c>
      <c r="DA125" s="78" t="str">
        <f aca="false">IF(ISBLANK($C125),"",$CH125)</f>
        <v/>
      </c>
      <c r="DB125" s="78" t="str">
        <f aca="false">IF(ISBLANK($C125),"",$CG125)</f>
        <v/>
      </c>
      <c r="DC125" s="81" t="str">
        <f aca="false">IF(ISBLANK($C125),"",IFERROR(_xlfn.SWITCH($DB125,Constants!$B$7,COUNTA($C$9:$C$508)+2,Constants!$B$6,COUNTA($C$9:$C$508)+1,Constants!$B$5,COUNTA($C$9:$C$508)),$DB125))</f>
        <v/>
      </c>
      <c r="DD125" s="7"/>
      <c r="DE125" s="82" t="n">
        <f aca="false">IF(OR(ISNUMBER($DB125),$DB125=Constants!$B$7,$DB125=Constants!$B$5,$DB125=Constants!$B$6),1,0)</f>
        <v>0</v>
      </c>
      <c r="DF125" s="82" t="n">
        <v>117</v>
      </c>
      <c r="DG125" s="82" t="str">
        <f aca="false">IF(ISBLANK($C125),"",IF(ISNUMBER($DC125),$DC125+ROW($B125)/1000,""))</f>
        <v/>
      </c>
      <c r="DH125" s="82" t="str">
        <f aca="false">IF(ISNUMBER($DG125),RANK($DG125,$DG$9:$DG$508,1),"")</f>
        <v/>
      </c>
      <c r="DI125" s="82" t="str">
        <f aca="false">IF(ISBLANK($C125),"",$B125)</f>
        <v/>
      </c>
      <c r="DJ125" s="82" t="str">
        <f aca="false">IF(ISBLANK($C125),"",$C125)</f>
        <v/>
      </c>
      <c r="DK125" s="82" t="str">
        <f aca="false">IF(ISBLANK($C125),"",$D125)</f>
        <v/>
      </c>
      <c r="DL125" s="83" t="str">
        <f aca="false">$CZ125</f>
        <v/>
      </c>
      <c r="DM125" s="84" t="str">
        <f aca="false">$CY125</f>
        <v/>
      </c>
      <c r="DN125" s="82" t="str">
        <f aca="false">IF(ISBLANK($C125),"",$DB125)</f>
        <v/>
      </c>
      <c r="DO125" s="85" t="str">
        <f aca="false">IF($DF125&gt;$DE$8,"",VLOOKUP($DF125,$DH$9:$DN$508,7,FALSE()))</f>
        <v/>
      </c>
      <c r="DP125" s="86" t="str">
        <f aca="false">IF($DF125&gt;$DE$8,"",VLOOKUP($DF125,$DH$9:$DN$508,2,FALSE()))</f>
        <v/>
      </c>
      <c r="DQ125" s="86" t="str">
        <f aca="false">IF($DF125&gt;$DE$8,"",VLOOKUP($DF125,$DH$9:$DN$508,3,FALSE()))</f>
        <v/>
      </c>
      <c r="DR125" s="86" t="str">
        <f aca="false">IF($DF125&gt;$DE$8,"",VLOOKUP($DF125,$DH$9:$DN$508,4,FALSE()))</f>
        <v/>
      </c>
      <c r="DS125" s="86" t="str">
        <f aca="false">IF($DF125&gt;$DE$8,"",VLOOKUP($DF125,$DH$9:$DN$508,5,FALSE()))</f>
        <v/>
      </c>
      <c r="DT125" s="87" t="str">
        <f aca="false">IF($DF125&gt;$DE$8,"",VLOOKUP($DF125,$DH$9:$DN$508,6,FALSE()))</f>
        <v/>
      </c>
      <c r="DU125" s="62"/>
    </row>
    <row r="126" customFormat="false" ht="15.75" hidden="false" customHeight="false" outlineLevel="0" collapsed="false">
      <c r="A126" s="7"/>
      <c r="B126" s="90"/>
      <c r="C126" s="91"/>
      <c r="D126" s="126"/>
      <c r="E126" s="130"/>
      <c r="F126" s="135"/>
      <c r="G126" s="130"/>
      <c r="H126" s="135"/>
      <c r="I126" s="131"/>
      <c r="J126" s="131"/>
      <c r="K126" s="131"/>
      <c r="L126" s="130"/>
      <c r="M126" s="130"/>
      <c r="N126" s="130"/>
      <c r="O126" s="135"/>
      <c r="P126" s="130"/>
      <c r="Q126" s="130"/>
      <c r="R126" s="130"/>
      <c r="S126" s="130"/>
      <c r="T126" s="135"/>
      <c r="U126" s="130"/>
      <c r="V126" s="96"/>
      <c r="W126" s="130"/>
      <c r="X126" s="130"/>
      <c r="Y126" s="96"/>
      <c r="Z126" s="96"/>
      <c r="AA126" s="130"/>
      <c r="AB126" s="130"/>
      <c r="AC126" s="97"/>
      <c r="AD126" s="130"/>
      <c r="AE126" s="99"/>
      <c r="AF126" s="100"/>
      <c r="AG126" s="100"/>
      <c r="AH126" s="100" t="str">
        <f aca="false">IF(ISBLANK($C126),"",IF($E126=Constants!$B$2,TRUE(),IF($E126=Constants!$B$3,FALSE(),TRUE())))</f>
        <v/>
      </c>
      <c r="AI126" s="100" t="str">
        <f aca="false">IF(ISBLANK($C126),"",IF($F126=Constants!$B$2,TRUE(),IF($F126=Constants!$B$3,FALSE(),FALSE())))</f>
        <v/>
      </c>
      <c r="AJ126" s="100" t="str">
        <f aca="false">IF(ISBLANK($C126),"",IF($G126=Constants!$B$2,TRUE(),IF($G126=Constants!$B$3,FALSE(),TRUE())))</f>
        <v/>
      </c>
      <c r="AK126" s="100" t="str">
        <f aca="false">IF(ISBLANK($C126),"",IF($H126=Constants!$B$2,TRUE(),IF($H126=Constants!$B$3,FALSE(),TRUE())))</f>
        <v/>
      </c>
      <c r="AL126" s="100" t="str">
        <f aca="false">IF(ISBLANK($C126),"",IF(ISNUMBER($I126),IF($I126&gt;=0,$I126,""),""))</f>
        <v/>
      </c>
      <c r="AM126" s="100" t="str">
        <f aca="false">IF(ISBLANK($C126),"",IF(ISNUMBER($J126),IF($J126&gt;=0,$J126,""),""))</f>
        <v/>
      </c>
      <c r="AN126" s="100" t="str">
        <f aca="false">IF(ISBLANK($C126),"",IF(ISNUMBER($K126),IF($K126&gt;=0,$K126,""),""))</f>
        <v/>
      </c>
      <c r="AO126" s="100" t="str">
        <f aca="false">IF(ISBLANK($C126),"",IF($L126=Constants!$B$2,TRUE(),IF($L126=Constants!$B$3,FALSE(),TRUE())))</f>
        <v/>
      </c>
      <c r="AP126" s="100" t="str">
        <f aca="false">IF(ISBLANK($C126),"",IF($M126=Constants!$B$2,TRUE(),IF($M126=Constants!$B$3,FALSE(),TRUE())))</f>
        <v/>
      </c>
      <c r="AQ126" s="100" t="str">
        <f aca="false">IF(ISBLANK($C126),"",IF($N126=Constants!$B$2,TRUE(),IF($N126=Constants!$B$3,FALSE(),FALSE())))</f>
        <v/>
      </c>
      <c r="AR126" s="100" t="str">
        <f aca="false">IF(ISBLANK($C126),"",IF($O126=Constants!$B$2,TRUE(),IF($O126=Constants!$B$3,FALSE(),TRUE())))</f>
        <v/>
      </c>
      <c r="AS126" s="100" t="str">
        <f aca="false">IF(ISBLANK($C126),"",IF($P126=Constants!$B$2,TRUE(),IF($P126=Constants!$B$3,FALSE(),FALSE())))</f>
        <v/>
      </c>
      <c r="AT126" s="100" t="str">
        <f aca="false">IF(ISBLANK($C126),"",IF($Q126=Constants!$B$2,TRUE(),IF($Q126=Constants!$B$3,FALSE(),FALSE())))</f>
        <v/>
      </c>
      <c r="AU126" s="100" t="str">
        <f aca="false">IF(ISBLANK($C126),"",IF($R126=Constants!$B$2,TRUE(),IF($R126=Constants!$B$3,FALSE(),FALSE())))</f>
        <v/>
      </c>
      <c r="AV126" s="100" t="str">
        <f aca="false">IF(ISBLANK($C126),"",IF($S126=Constants!$B$2,TRUE(),IF($S126=Constants!$B$3,FALSE(),FALSE())))</f>
        <v/>
      </c>
      <c r="AW126" s="100" t="str">
        <f aca="false">IF(ISBLANK($C126),"",IF($T126=Constants!$B$2,TRUE(),IF($T126=Constants!$B$3,FALSE(),FALSE())))</f>
        <v/>
      </c>
      <c r="AX126" s="100" t="str">
        <f aca="false">IF(ISBLANK($C126),"",IF(OR($U126&amp;""="1",$U126&amp;""="2",$U126&amp;""="3",$U126&amp;""="4"),VALUE($U126&amp;""),IF($U126=Constants!$B$12,Constants!$B$12,"")))</f>
        <v/>
      </c>
      <c r="AY126" s="100" t="str">
        <f aca="false">IF(ISBLANK($C126),"",IF(ISBLANK($V126),0,IF(ISNUMBER($V126),IF(AND($V126&gt;=0,$V126&lt;=Constants!$B$21,$V126=INT($V126)),$V126,""),"")))</f>
        <v/>
      </c>
      <c r="AZ126" s="100" t="str">
        <f aca="false">IF(ISBLANK($C126),"",IF(ISBLANK($W126),0,IF(ISNUMBER($W126),IF($W126&gt;=0,$W126,""),"")))</f>
        <v/>
      </c>
      <c r="BA126" s="100" t="str">
        <f aca="false">IF(ISBLANK($C126),"",IF($X126=Constants!$B$2,TRUE(),IF($X126=Constants!$B$3,FALSE(),TRUE())))</f>
        <v/>
      </c>
      <c r="BB126" s="100" t="str">
        <f aca="false">IF(ISBLANK($C126),"",IF($Y126=Constants!$B$2,TRUE(),IF($Y126=Constants!$B$3,FALSE(),FALSE())))</f>
        <v/>
      </c>
      <c r="BC126" s="100" t="str">
        <f aca="false">IF(ISBLANK($C126),"",IF(ISBLANK($Z126),0,IF(ISNUMBER($Z126),IF(AND($Z126&gt;=0,$Z126&lt;=Constants!$B$35,$Z126=INT($Z126)),$Z126,""),"")))</f>
        <v/>
      </c>
      <c r="BD126" s="100" t="str">
        <f aca="false">IF(ISBLANK($C126),"",IF($AA126=Constants!$B$2,TRUE(),IF($AA126=Constants!$B$3,FALSE(),TRUE())))</f>
        <v/>
      </c>
      <c r="BE126" s="100" t="str">
        <f aca="false">IF(ISBLANK($C126),"",IF($AB126=Constants!$B$2,TRUE(),IF($AB126=Constants!$B$3,FALSE(),TRUE())))</f>
        <v/>
      </c>
      <c r="BF126" s="100" t="str">
        <f aca="false">IF(ISBLANK($C126),"",IF(ISNUMBER($AC126),IF($AC126&gt;=0,$AC126,""),""))</f>
        <v/>
      </c>
      <c r="BG126" s="100" t="str">
        <f aca="false">IF(ISBLANK($C126),"",IF($AD126=Constants!$B$2,TRUE(),IF($AD126=Constants!$B$3,FALSE(),FALSE())))</f>
        <v/>
      </c>
      <c r="BH126" s="99" t="str">
        <f aca="false">IF(ISBLANK($C126),"",IF($BG126,Constants!$B$7,IF(COUNTA($E126:$AC126)=0,Constants!$B$6,IF(OR(COUNTA($G126:$AC126)=0,NOT($AK126),$AQ126),Constants!$B$5,IF(OR($CI126&lt;&gt;"",$CJ126,$CK126,$CL126,$CM126,$CN126,$CO126),Constants!$B$8,Constants!$B$4)))))</f>
        <v/>
      </c>
      <c r="BI126" s="100" t="str">
        <f aca="false">IF(ISBLANK($C126),"",IF($BH126&lt;&gt;Constants!$B$4,$BH126,IF(OR(NOT($AH126),NOT($AJ126),NOT($AR126)),Constants!$B$11,IF(OR(NOT($AP126),MAX($AL126,$AM126,$AN126)&gt;Constants!$B$30),Constants!$B$10,Constants!$B$9))))</f>
        <v/>
      </c>
      <c r="BJ126" s="100" t="str">
        <f aca="false">IF($BH126&lt;&gt;Constants!$B$4,"",IF(NOT($AJ126),0,MIN(Constants!$B$35,$BC126)))</f>
        <v/>
      </c>
      <c r="BK126" s="100" t="str">
        <f aca="false">IF($BH126&lt;&gt;Constants!$B$4,"",IF(NOT($AJ126),0,IF($AT126,Constants!$B$18,IF($AS126,Constants!$B$17,0))))</f>
        <v/>
      </c>
      <c r="BL126" s="100" t="str">
        <f aca="false">IF($BH126&lt;&gt;Constants!$B$4,"",IF(NOT($AJ126),0,Constants!$B$19*($AI126+$AU126+$AV126+$AW126)))</f>
        <v/>
      </c>
      <c r="BM126" s="100" t="str">
        <f aca="false">IF($BH126&lt;&gt;Constants!$B$4,"",IF(OR(NOT($AJ126),NOT(ISNUMBER($AX126))),0,CHOOSE($AX126,Constants!$B$13,Constants!$B$14,Constants!$B$15,Constants!$B$16)))</f>
        <v/>
      </c>
      <c r="BN126" s="100" t="str">
        <f aca="false">IF($BH126&lt;&gt;Constants!$B$4,"",IF(NOT($AJ126),0,Constants!$B$20*$AY126))</f>
        <v/>
      </c>
      <c r="BO126" s="100" t="str">
        <f aca="false">IF($BH126&lt;&gt;Constants!$B$4,"",IF(AND($AJ126,$BA126,$BB126),Constants!$B$22,0))</f>
        <v/>
      </c>
      <c r="BP126" s="100" t="str">
        <f aca="false">IF($BH126&lt;&gt;Constants!$B$4,"",IF(OR(NOT($AJ126),NOT($BA126)),0,IF($BF126&gt;=2*$AF$9,0,Constants!$B$23*INT(ROUND(MIN($BF126,$AF$9),6)))))</f>
        <v/>
      </c>
      <c r="BQ126" s="100" t="str">
        <f aca="false">IF($BH126&lt;&gt;Constants!$B$4,"",IF(NOT($AJ126),0,Constants!$B$24*INT(ROUND(MIN($AZ126,$AF$9),6))))</f>
        <v/>
      </c>
      <c r="BR126" s="100" t="str">
        <f aca="false">IF($BH126&lt;&gt;Constants!$B$4,"",IF(AND($AJ126,$BJ126=0),Constants!$B$25,0))</f>
        <v/>
      </c>
      <c r="BS126" s="100" t="str">
        <f aca="false">IF($BH126&lt;&gt;Constants!$B$4,"",MIN(Constants!$B$29,MAX(0,Constants!$B$27*Constants!$B$28*INT(ROUND((Constants!$B$26-$AL126)/Constants!$B$28,6))))+MIN(Constants!$B$29,MAX(0,Constants!$B$27*Constants!$B$28*INT(ROUND((Constants!$B$26-$AM126)/Constants!$B$28,6))))+MIN(Constants!$B$29,MAX(0,Constants!$B$27*Constants!$B$28*INT(ROUND((Constants!$B$26-$AN126)/Constants!$B$28,6)))))</f>
        <v/>
      </c>
      <c r="BT126" s="100" t="str">
        <f aca="false">IF($BH126&lt;&gt;Constants!$B$4,"",IF(NOT($AJ126),0,Constants!$B$31*INT(ROUND(MAX(0,MIN($BF126,2*$AF$9)-$AF$9),6))))</f>
        <v/>
      </c>
      <c r="BU126" s="100" t="str">
        <f aca="false">IF($BH126&lt;&gt;Constants!$B$4,"",Constants!$B$32*(($AL126&gt;Constants!$B$26)+($AM126&gt;Constants!$B$26)+($AN126&gt;Constants!$B$26)))</f>
        <v/>
      </c>
      <c r="BV126" s="100" t="str">
        <f aca="false">IF($BH126&lt;&gt;Constants!$B$4,"",IF(OR(NOT($AJ126),$AO126),0,Constants!$B$33))</f>
        <v/>
      </c>
      <c r="BW126" s="100" t="str">
        <f aca="false">IF($BH126&lt;&gt;Constants!$B$4,"",Constants!$B$34*$BJ126)</f>
        <v/>
      </c>
      <c r="BX126" s="100" t="str">
        <f aca="false">IF($BH126&lt;&gt;Constants!$B$4,"",IF(OR(NOT($AJ126),$BE126),0,Constants!$B$36))</f>
        <v/>
      </c>
      <c r="BY126" s="100" t="str">
        <f aca="false">IF($BH126&lt;&gt;Constants!$B$4,"",IF(OR(NOT($AJ126),$BD126),0,Constants!$B$37))</f>
        <v/>
      </c>
      <c r="BZ126" s="100" t="str">
        <f aca="false">IF($BH126&lt;&gt;Constants!$B$4,"",SUM($BT126:$BY126))</f>
        <v/>
      </c>
      <c r="CA126" s="100" t="str">
        <f aca="false">IF(ISBLANK($C126),"",IF($BH126&lt;&gt;Constants!$B$4,$BH126,SUM($BK126:$BS126)-$BZ126))</f>
        <v/>
      </c>
      <c r="CB126" s="100" t="str">
        <f aca="false">IF(ISBLANK($C126),"",IF($BH126&lt;&gt;Constants!$B$4,$BH126,RANK($CA126,$CA$9:$CA$508)))</f>
        <v/>
      </c>
      <c r="CC126" s="100" t="str">
        <f aca="false">IF(ISBLANK($C126),"",IF($BH126&lt;&gt;Constants!$B$4,$BH126,COUNTIFS($BI$9:$BI$508,"&lt;"&amp;$BI126)+COUNTIFS($BI$9:$BI$508,$BI126,$CB$9:$CB$508,"&lt;"&amp;$CB126)+1))</f>
        <v/>
      </c>
      <c r="CD126" s="100" t="str">
        <f aca="false">IF(ISBLANK($C126),"",IF($BH126&lt;&gt;Constants!$B$4,$BH126,RANK($BZ126,$BZ$9:$BZ$508,1)))</f>
        <v/>
      </c>
      <c r="CE126" s="100" t="str">
        <f aca="false">IF($BH126&lt;&gt;Constants!$B$4,"",$AL126+$AM126+$AN126)</f>
        <v/>
      </c>
      <c r="CF126" s="100" t="str">
        <f aca="false">IF(ISBLANK($C126),"",IF($BH126&lt;&gt;Constants!$B$4,$BH126,RANK($CE126,$CE$9:$CE$508,1)))</f>
        <v/>
      </c>
      <c r="CG126" s="100" t="str">
        <f aca="false">IF(ISBLANK($C126),"",IF($BH126&lt;&gt;Constants!$B$4,$BH126,COUNTIFS($BI$9:$BI$508,"&lt;"&amp;$BI126)+COUNTIFS($BI$9:$BI$508,$BI126,$CB$9:$CB$508,"&lt;"&amp;$CB126)+COUNTIFS($BI$9:$BI$508,$BI126,$CB$9:$CB$508,$CB126,$CD$9:$CD$508,"&lt;"&amp;$CD126)+COUNTIFS($BI$9:$BI$508,$BI126,$CB$9:$CB$508,$CB126,$CD$9:$CD$508,$CD126,$CF$9:$CF$508,"&lt;"&amp;$CF126)+1))</f>
        <v/>
      </c>
      <c r="CH126" s="100" t="str">
        <f aca="false">IF(ISBLANK($C126),"",IF($BH126&lt;&gt;Constants!$B$4,$BH126,$CC126-$CG126))</f>
        <v/>
      </c>
      <c r="CI126" s="100" t="str">
        <f aca="false">IF(ISBLANK($C126),"",IF(NOT($AJ126),"",IF(ISBLANK($D$7),$CI$5,IF(NOT(ISNUMBER($D$7)),$CI$6,""))))</f>
        <v/>
      </c>
      <c r="CJ126" s="100" t="str">
        <f aca="false">IF(ISBLANK($C126),"",OR($AL126="",$AM126="",$AN126=""))</f>
        <v/>
      </c>
      <c r="CK126" s="100" t="str">
        <f aca="false">IF(ISBLANK($C126),"",AND($AJ126,$AX126=""))</f>
        <v/>
      </c>
      <c r="CL126" s="100" t="str">
        <f aca="false">IF(ISBLANK($C126),"",AND($AJ126,$AY126=""))</f>
        <v/>
      </c>
      <c r="CM126" s="100" t="str">
        <f aca="false">IF(ISBLANK($C126),"",AND($AJ126,$AZ126=""))</f>
        <v/>
      </c>
      <c r="CN126" s="100" t="str">
        <f aca="false">IF(ISBLANK($C126),"",AND($AJ126,$BC126=""))</f>
        <v/>
      </c>
      <c r="CO126" s="100" t="str">
        <f aca="false">IF(ISBLANK($C126),"",AND($AJ126,$BF126=""))</f>
        <v/>
      </c>
      <c r="CP126" s="101"/>
      <c r="CQ126" s="102"/>
      <c r="CR126" s="103" t="str">
        <f aca="false">IF(ISBLANK($C126),"",IF($BH126=Constants!$B$8,$CI126,""))</f>
        <v/>
      </c>
      <c r="CS126" s="102" t="str">
        <f aca="false">IF(ISBLANK($C126),"",IF($BH126&lt;&gt;Constants!$B$4,"",$BK126+$BL126))</f>
        <v/>
      </c>
      <c r="CT126" s="104" t="str">
        <f aca="false">IF(ISBLANK($C126),"",IF($BH126&lt;&gt;Constants!$B$4,"",$BM126+$BN126+$BO126))</f>
        <v/>
      </c>
      <c r="CU126" s="104" t="str">
        <f aca="false">IF(ISBLANK($C126),"",IF($BH126&lt;&gt;Constants!$B$4,"",$BP126))</f>
        <v/>
      </c>
      <c r="CV126" s="104" t="str">
        <f aca="false">IF(ISBLANK($C126),"",IF($BH126&lt;&gt;Constants!$B$4,"",$BQ126+$BR126))</f>
        <v/>
      </c>
      <c r="CW126" s="104" t="str">
        <f aca="false">IF(ISBLANK($C126),"",IF($BH126&lt;&gt;Constants!$B$4,"",$BS126))</f>
        <v/>
      </c>
      <c r="CX126" s="104" t="str">
        <f aca="false">IF(ISBLANK($C126),"",IF($BH126&lt;&gt;Constants!$B$4,"",-$BZ126))</f>
        <v/>
      </c>
      <c r="CY126" s="103" t="str">
        <f aca="false">IF(ISBLANK($C126),"",$CA126)</f>
        <v/>
      </c>
      <c r="CZ126" s="105" t="str">
        <f aca="false">IF(ISBLANK($C126),"",$BI126)</f>
        <v/>
      </c>
      <c r="DA126" s="104" t="str">
        <f aca="false">IF(ISBLANK($C126),"",$CH126)</f>
        <v/>
      </c>
      <c r="DB126" s="104" t="str">
        <f aca="false">IF(ISBLANK($C126),"",$CG126)</f>
        <v/>
      </c>
      <c r="DC126" s="106" t="str">
        <f aca="false">IF(ISBLANK($C126),"",IFERROR(_xlfn.SWITCH($DB126,Constants!$B$7,COUNTA($C$9:$C$508)+2,Constants!$B$6,COUNTA($C$9:$C$508)+1,Constants!$B$5,COUNTA($C$9:$C$508)),$DB126))</f>
        <v/>
      </c>
      <c r="DD126" s="7"/>
      <c r="DE126" s="107" t="n">
        <f aca="false">IF(OR(ISNUMBER($DB126),$DB126=Constants!$B$7,$DB126=Constants!$B$5,$DB126=Constants!$B$6),1,0)</f>
        <v>0</v>
      </c>
      <c r="DF126" s="107" t="n">
        <v>118</v>
      </c>
      <c r="DG126" s="107" t="str">
        <f aca="false">IF(ISBLANK($C126),"",IF(ISNUMBER($DC126),$DC126+ROW($B126)/1000,""))</f>
        <v/>
      </c>
      <c r="DH126" s="107" t="str">
        <f aca="false">IF(ISNUMBER($DG126),RANK($DG126,$DG$9:$DG$508,1),"")</f>
        <v/>
      </c>
      <c r="DI126" s="107" t="str">
        <f aca="false">IF(ISBLANK($C126),"",$B126)</f>
        <v/>
      </c>
      <c r="DJ126" s="107" t="str">
        <f aca="false">IF(ISBLANK($C126),"",$C126)</f>
        <v/>
      </c>
      <c r="DK126" s="107" t="str">
        <f aca="false">IF(ISBLANK($C126),"",$D126)</f>
        <v/>
      </c>
      <c r="DL126" s="108" t="str">
        <f aca="false">$CZ126</f>
        <v/>
      </c>
      <c r="DM126" s="109" t="str">
        <f aca="false">$CY126</f>
        <v/>
      </c>
      <c r="DN126" s="107" t="str">
        <f aca="false">IF(ISBLANK($C126),"",$DB126)</f>
        <v/>
      </c>
      <c r="DO126" s="110" t="str">
        <f aca="false">IF($DF126&gt;$DE$8,"",VLOOKUP($DF126,$DH$9:$DN$508,7,FALSE()))</f>
        <v/>
      </c>
      <c r="DP126" s="111" t="str">
        <f aca="false">IF($DF126&gt;$DE$8,"",VLOOKUP($DF126,$DH$9:$DN$508,2,FALSE()))</f>
        <v/>
      </c>
      <c r="DQ126" s="111" t="str">
        <f aca="false">IF($DF126&gt;$DE$8,"",VLOOKUP($DF126,$DH$9:$DN$508,3,FALSE()))</f>
        <v/>
      </c>
      <c r="DR126" s="111" t="str">
        <f aca="false">IF($DF126&gt;$DE$8,"",VLOOKUP($DF126,$DH$9:$DN$508,4,FALSE()))</f>
        <v/>
      </c>
      <c r="DS126" s="111" t="str">
        <f aca="false">IF($DF126&gt;$DE$8,"",VLOOKUP($DF126,$DH$9:$DN$508,5,FALSE()))</f>
        <v/>
      </c>
      <c r="DT126" s="112" t="str">
        <f aca="false">IF($DF126&gt;$DE$8,"",VLOOKUP($DF126,$DH$9:$DN$508,6,FALSE()))</f>
        <v/>
      </c>
      <c r="DU126" s="62"/>
    </row>
    <row r="127" customFormat="false" ht="15.75" hidden="false" customHeight="false" outlineLevel="0" collapsed="false">
      <c r="A127" s="7"/>
      <c r="B127" s="90"/>
      <c r="C127" s="91"/>
      <c r="D127" s="126"/>
      <c r="E127" s="130"/>
      <c r="F127" s="135"/>
      <c r="G127" s="130"/>
      <c r="H127" s="135"/>
      <c r="I127" s="131"/>
      <c r="J127" s="131"/>
      <c r="K127" s="131"/>
      <c r="L127" s="130"/>
      <c r="M127" s="130"/>
      <c r="N127" s="130"/>
      <c r="O127" s="135"/>
      <c r="P127" s="130"/>
      <c r="Q127" s="130"/>
      <c r="R127" s="130"/>
      <c r="S127" s="130"/>
      <c r="T127" s="135"/>
      <c r="U127" s="130"/>
      <c r="V127" s="96"/>
      <c r="W127" s="130"/>
      <c r="X127" s="130"/>
      <c r="Y127" s="96"/>
      <c r="Z127" s="96"/>
      <c r="AA127" s="130"/>
      <c r="AB127" s="130"/>
      <c r="AC127" s="97"/>
      <c r="AD127" s="130"/>
      <c r="AE127" s="99"/>
      <c r="AF127" s="100"/>
      <c r="AG127" s="100"/>
      <c r="AH127" s="100" t="str">
        <f aca="false">IF(ISBLANK($C127),"",IF($E127=Constants!$B$2,TRUE(),IF($E127=Constants!$B$3,FALSE(),TRUE())))</f>
        <v/>
      </c>
      <c r="AI127" s="100" t="str">
        <f aca="false">IF(ISBLANK($C127),"",IF($F127=Constants!$B$2,TRUE(),IF($F127=Constants!$B$3,FALSE(),FALSE())))</f>
        <v/>
      </c>
      <c r="AJ127" s="100" t="str">
        <f aca="false">IF(ISBLANK($C127),"",IF($G127=Constants!$B$2,TRUE(),IF($G127=Constants!$B$3,FALSE(),TRUE())))</f>
        <v/>
      </c>
      <c r="AK127" s="100" t="str">
        <f aca="false">IF(ISBLANK($C127),"",IF($H127=Constants!$B$2,TRUE(),IF($H127=Constants!$B$3,FALSE(),TRUE())))</f>
        <v/>
      </c>
      <c r="AL127" s="100" t="str">
        <f aca="false">IF(ISBLANK($C127),"",IF(ISNUMBER($I127),IF($I127&gt;=0,$I127,""),""))</f>
        <v/>
      </c>
      <c r="AM127" s="100" t="str">
        <f aca="false">IF(ISBLANK($C127),"",IF(ISNUMBER($J127),IF($J127&gt;=0,$J127,""),""))</f>
        <v/>
      </c>
      <c r="AN127" s="100" t="str">
        <f aca="false">IF(ISBLANK($C127),"",IF(ISNUMBER($K127),IF($K127&gt;=0,$K127,""),""))</f>
        <v/>
      </c>
      <c r="AO127" s="100" t="str">
        <f aca="false">IF(ISBLANK($C127),"",IF($L127=Constants!$B$2,TRUE(),IF($L127=Constants!$B$3,FALSE(),TRUE())))</f>
        <v/>
      </c>
      <c r="AP127" s="100" t="str">
        <f aca="false">IF(ISBLANK($C127),"",IF($M127=Constants!$B$2,TRUE(),IF($M127=Constants!$B$3,FALSE(),TRUE())))</f>
        <v/>
      </c>
      <c r="AQ127" s="100" t="str">
        <f aca="false">IF(ISBLANK($C127),"",IF($N127=Constants!$B$2,TRUE(),IF($N127=Constants!$B$3,FALSE(),FALSE())))</f>
        <v/>
      </c>
      <c r="AR127" s="100" t="str">
        <f aca="false">IF(ISBLANK($C127),"",IF($O127=Constants!$B$2,TRUE(),IF($O127=Constants!$B$3,FALSE(),TRUE())))</f>
        <v/>
      </c>
      <c r="AS127" s="100" t="str">
        <f aca="false">IF(ISBLANK($C127),"",IF($P127=Constants!$B$2,TRUE(),IF($P127=Constants!$B$3,FALSE(),FALSE())))</f>
        <v/>
      </c>
      <c r="AT127" s="100" t="str">
        <f aca="false">IF(ISBLANK($C127),"",IF($Q127=Constants!$B$2,TRUE(),IF($Q127=Constants!$B$3,FALSE(),FALSE())))</f>
        <v/>
      </c>
      <c r="AU127" s="100" t="str">
        <f aca="false">IF(ISBLANK($C127),"",IF($R127=Constants!$B$2,TRUE(),IF($R127=Constants!$B$3,FALSE(),FALSE())))</f>
        <v/>
      </c>
      <c r="AV127" s="100" t="str">
        <f aca="false">IF(ISBLANK($C127),"",IF($S127=Constants!$B$2,TRUE(),IF($S127=Constants!$B$3,FALSE(),FALSE())))</f>
        <v/>
      </c>
      <c r="AW127" s="100" t="str">
        <f aca="false">IF(ISBLANK($C127),"",IF($T127=Constants!$B$2,TRUE(),IF($T127=Constants!$B$3,FALSE(),FALSE())))</f>
        <v/>
      </c>
      <c r="AX127" s="100" t="str">
        <f aca="false">IF(ISBLANK($C127),"",IF(OR($U127&amp;""="1",$U127&amp;""="2",$U127&amp;""="3",$U127&amp;""="4"),VALUE($U127&amp;""),IF($U127=Constants!$B$12,Constants!$B$12,"")))</f>
        <v/>
      </c>
      <c r="AY127" s="100" t="str">
        <f aca="false">IF(ISBLANK($C127),"",IF(ISBLANK($V127),0,IF(ISNUMBER($V127),IF(AND($V127&gt;=0,$V127&lt;=Constants!$B$21,$V127=INT($V127)),$V127,""),"")))</f>
        <v/>
      </c>
      <c r="AZ127" s="100" t="str">
        <f aca="false">IF(ISBLANK($C127),"",IF(ISBLANK($W127),0,IF(ISNUMBER($W127),IF($W127&gt;=0,$W127,""),"")))</f>
        <v/>
      </c>
      <c r="BA127" s="100" t="str">
        <f aca="false">IF(ISBLANK($C127),"",IF($X127=Constants!$B$2,TRUE(),IF($X127=Constants!$B$3,FALSE(),TRUE())))</f>
        <v/>
      </c>
      <c r="BB127" s="100" t="str">
        <f aca="false">IF(ISBLANK($C127),"",IF($Y127=Constants!$B$2,TRUE(),IF($Y127=Constants!$B$3,FALSE(),FALSE())))</f>
        <v/>
      </c>
      <c r="BC127" s="100" t="str">
        <f aca="false">IF(ISBLANK($C127),"",IF(ISBLANK($Z127),0,IF(ISNUMBER($Z127),IF(AND($Z127&gt;=0,$Z127&lt;=Constants!$B$35,$Z127=INT($Z127)),$Z127,""),"")))</f>
        <v/>
      </c>
      <c r="BD127" s="100" t="str">
        <f aca="false">IF(ISBLANK($C127),"",IF($AA127=Constants!$B$2,TRUE(),IF($AA127=Constants!$B$3,FALSE(),TRUE())))</f>
        <v/>
      </c>
      <c r="BE127" s="100" t="str">
        <f aca="false">IF(ISBLANK($C127),"",IF($AB127=Constants!$B$2,TRUE(),IF($AB127=Constants!$B$3,FALSE(),TRUE())))</f>
        <v/>
      </c>
      <c r="BF127" s="100" t="str">
        <f aca="false">IF(ISBLANK($C127),"",IF(ISNUMBER($AC127),IF($AC127&gt;=0,$AC127,""),""))</f>
        <v/>
      </c>
      <c r="BG127" s="100" t="str">
        <f aca="false">IF(ISBLANK($C127),"",IF($AD127=Constants!$B$2,TRUE(),IF($AD127=Constants!$B$3,FALSE(),FALSE())))</f>
        <v/>
      </c>
      <c r="BH127" s="99" t="str">
        <f aca="false">IF(ISBLANK($C127),"",IF($BG127,Constants!$B$7,IF(COUNTA($E127:$AC127)=0,Constants!$B$6,IF(OR(COUNTA($G127:$AC127)=0,NOT($AK127),$AQ127),Constants!$B$5,IF(OR($CI127&lt;&gt;"",$CJ127,$CK127,$CL127,$CM127,$CN127,$CO127),Constants!$B$8,Constants!$B$4)))))</f>
        <v/>
      </c>
      <c r="BI127" s="100" t="str">
        <f aca="false">IF(ISBLANK($C127),"",IF($BH127&lt;&gt;Constants!$B$4,$BH127,IF(OR(NOT($AH127),NOT($AJ127),NOT($AR127)),Constants!$B$11,IF(OR(NOT($AP127),MAX($AL127,$AM127,$AN127)&gt;Constants!$B$30),Constants!$B$10,Constants!$B$9))))</f>
        <v/>
      </c>
      <c r="BJ127" s="100" t="str">
        <f aca="false">IF($BH127&lt;&gt;Constants!$B$4,"",IF(NOT($AJ127),0,MIN(Constants!$B$35,$BC127)))</f>
        <v/>
      </c>
      <c r="BK127" s="100" t="str">
        <f aca="false">IF($BH127&lt;&gt;Constants!$B$4,"",IF(NOT($AJ127),0,IF($AT127,Constants!$B$18,IF($AS127,Constants!$B$17,0))))</f>
        <v/>
      </c>
      <c r="BL127" s="100" t="str">
        <f aca="false">IF($BH127&lt;&gt;Constants!$B$4,"",IF(NOT($AJ127),0,Constants!$B$19*($AI127+$AU127+$AV127+$AW127)))</f>
        <v/>
      </c>
      <c r="BM127" s="100" t="str">
        <f aca="false">IF($BH127&lt;&gt;Constants!$B$4,"",IF(OR(NOT($AJ127),NOT(ISNUMBER($AX127))),0,CHOOSE($AX127,Constants!$B$13,Constants!$B$14,Constants!$B$15,Constants!$B$16)))</f>
        <v/>
      </c>
      <c r="BN127" s="100" t="str">
        <f aca="false">IF($BH127&lt;&gt;Constants!$B$4,"",IF(NOT($AJ127),0,Constants!$B$20*$AY127))</f>
        <v/>
      </c>
      <c r="BO127" s="100" t="str">
        <f aca="false">IF($BH127&lt;&gt;Constants!$B$4,"",IF(AND($AJ127,$BA127,$BB127),Constants!$B$22,0))</f>
        <v/>
      </c>
      <c r="BP127" s="100" t="str">
        <f aca="false">IF($BH127&lt;&gt;Constants!$B$4,"",IF(OR(NOT($AJ127),NOT($BA127)),0,IF($BF127&gt;=2*$AF$9,0,Constants!$B$23*INT(ROUND(MIN($BF127,$AF$9),6)))))</f>
        <v/>
      </c>
      <c r="BQ127" s="100" t="str">
        <f aca="false">IF($BH127&lt;&gt;Constants!$B$4,"",IF(NOT($AJ127),0,Constants!$B$24*INT(ROUND(MIN($AZ127,$AF$9),6))))</f>
        <v/>
      </c>
      <c r="BR127" s="100" t="str">
        <f aca="false">IF($BH127&lt;&gt;Constants!$B$4,"",IF(AND($AJ127,$BJ127=0),Constants!$B$25,0))</f>
        <v/>
      </c>
      <c r="BS127" s="100" t="str">
        <f aca="false">IF($BH127&lt;&gt;Constants!$B$4,"",MIN(Constants!$B$29,MAX(0,Constants!$B$27*Constants!$B$28*INT(ROUND((Constants!$B$26-$AL127)/Constants!$B$28,6))))+MIN(Constants!$B$29,MAX(0,Constants!$B$27*Constants!$B$28*INT(ROUND((Constants!$B$26-$AM127)/Constants!$B$28,6))))+MIN(Constants!$B$29,MAX(0,Constants!$B$27*Constants!$B$28*INT(ROUND((Constants!$B$26-$AN127)/Constants!$B$28,6)))))</f>
        <v/>
      </c>
      <c r="BT127" s="100" t="str">
        <f aca="false">IF($BH127&lt;&gt;Constants!$B$4,"",IF(NOT($AJ127),0,Constants!$B$31*INT(ROUND(MAX(0,MIN($BF127,2*$AF$9)-$AF$9),6))))</f>
        <v/>
      </c>
      <c r="BU127" s="100" t="str">
        <f aca="false">IF($BH127&lt;&gt;Constants!$B$4,"",Constants!$B$32*(($AL127&gt;Constants!$B$26)+($AM127&gt;Constants!$B$26)+($AN127&gt;Constants!$B$26)))</f>
        <v/>
      </c>
      <c r="BV127" s="100" t="str">
        <f aca="false">IF($BH127&lt;&gt;Constants!$B$4,"",IF(OR(NOT($AJ127),$AO127),0,Constants!$B$33))</f>
        <v/>
      </c>
      <c r="BW127" s="100" t="str">
        <f aca="false">IF($BH127&lt;&gt;Constants!$B$4,"",Constants!$B$34*$BJ127)</f>
        <v/>
      </c>
      <c r="BX127" s="100" t="str">
        <f aca="false">IF($BH127&lt;&gt;Constants!$B$4,"",IF(OR(NOT($AJ127),$BE127),0,Constants!$B$36))</f>
        <v/>
      </c>
      <c r="BY127" s="100" t="str">
        <f aca="false">IF($BH127&lt;&gt;Constants!$B$4,"",IF(OR(NOT($AJ127),$BD127),0,Constants!$B$37))</f>
        <v/>
      </c>
      <c r="BZ127" s="100" t="str">
        <f aca="false">IF($BH127&lt;&gt;Constants!$B$4,"",SUM($BT127:$BY127))</f>
        <v/>
      </c>
      <c r="CA127" s="100" t="str">
        <f aca="false">IF(ISBLANK($C127),"",IF($BH127&lt;&gt;Constants!$B$4,$BH127,SUM($BK127:$BS127)-$BZ127))</f>
        <v/>
      </c>
      <c r="CB127" s="100" t="str">
        <f aca="false">IF(ISBLANK($C127),"",IF($BH127&lt;&gt;Constants!$B$4,$BH127,RANK($CA127,$CA$9:$CA$508)))</f>
        <v/>
      </c>
      <c r="CC127" s="100" t="str">
        <f aca="false">IF(ISBLANK($C127),"",IF($BH127&lt;&gt;Constants!$B$4,$BH127,COUNTIFS($BI$9:$BI$508,"&lt;"&amp;$BI127)+COUNTIFS($BI$9:$BI$508,$BI127,$CB$9:$CB$508,"&lt;"&amp;$CB127)+1))</f>
        <v/>
      </c>
      <c r="CD127" s="100" t="str">
        <f aca="false">IF(ISBLANK($C127),"",IF($BH127&lt;&gt;Constants!$B$4,$BH127,RANK($BZ127,$BZ$9:$BZ$508,1)))</f>
        <v/>
      </c>
      <c r="CE127" s="100" t="str">
        <f aca="false">IF($BH127&lt;&gt;Constants!$B$4,"",$AL127+$AM127+$AN127)</f>
        <v/>
      </c>
      <c r="CF127" s="100" t="str">
        <f aca="false">IF(ISBLANK($C127),"",IF($BH127&lt;&gt;Constants!$B$4,$BH127,RANK($CE127,$CE$9:$CE$508,1)))</f>
        <v/>
      </c>
      <c r="CG127" s="100" t="str">
        <f aca="false">IF(ISBLANK($C127),"",IF($BH127&lt;&gt;Constants!$B$4,$BH127,COUNTIFS($BI$9:$BI$508,"&lt;"&amp;$BI127)+COUNTIFS($BI$9:$BI$508,$BI127,$CB$9:$CB$508,"&lt;"&amp;$CB127)+COUNTIFS($BI$9:$BI$508,$BI127,$CB$9:$CB$508,$CB127,$CD$9:$CD$508,"&lt;"&amp;$CD127)+COUNTIFS($BI$9:$BI$508,$BI127,$CB$9:$CB$508,$CB127,$CD$9:$CD$508,$CD127,$CF$9:$CF$508,"&lt;"&amp;$CF127)+1))</f>
        <v/>
      </c>
      <c r="CH127" s="100" t="str">
        <f aca="false">IF(ISBLANK($C127),"",IF($BH127&lt;&gt;Constants!$B$4,$BH127,$CC127-$CG127))</f>
        <v/>
      </c>
      <c r="CI127" s="100" t="str">
        <f aca="false">IF(ISBLANK($C127),"",IF(NOT($AJ127),"",IF(ISBLANK($D$7),$CI$5,IF(NOT(ISNUMBER($D$7)),$CI$6,""))))</f>
        <v/>
      </c>
      <c r="CJ127" s="100" t="str">
        <f aca="false">IF(ISBLANK($C127),"",OR($AL127="",$AM127="",$AN127=""))</f>
        <v/>
      </c>
      <c r="CK127" s="100" t="str">
        <f aca="false">IF(ISBLANK($C127),"",AND($AJ127,$AX127=""))</f>
        <v/>
      </c>
      <c r="CL127" s="100" t="str">
        <f aca="false">IF(ISBLANK($C127),"",AND($AJ127,$AY127=""))</f>
        <v/>
      </c>
      <c r="CM127" s="100" t="str">
        <f aca="false">IF(ISBLANK($C127),"",AND($AJ127,$AZ127=""))</f>
        <v/>
      </c>
      <c r="CN127" s="100" t="str">
        <f aca="false">IF(ISBLANK($C127),"",AND($AJ127,$BC127=""))</f>
        <v/>
      </c>
      <c r="CO127" s="100" t="str">
        <f aca="false">IF(ISBLANK($C127),"",AND($AJ127,$BF127=""))</f>
        <v/>
      </c>
      <c r="CP127" s="101"/>
      <c r="CQ127" s="102"/>
      <c r="CR127" s="103" t="str">
        <f aca="false">IF(ISBLANK($C127),"",IF($BH127=Constants!$B$8,$CI127,""))</f>
        <v/>
      </c>
      <c r="CS127" s="102" t="str">
        <f aca="false">IF(ISBLANK($C127),"",IF($BH127&lt;&gt;Constants!$B$4,"",$BK127+$BL127))</f>
        <v/>
      </c>
      <c r="CT127" s="104" t="str">
        <f aca="false">IF(ISBLANK($C127),"",IF($BH127&lt;&gt;Constants!$B$4,"",$BM127+$BN127+$BO127))</f>
        <v/>
      </c>
      <c r="CU127" s="104" t="str">
        <f aca="false">IF(ISBLANK($C127),"",IF($BH127&lt;&gt;Constants!$B$4,"",$BP127))</f>
        <v/>
      </c>
      <c r="CV127" s="104" t="str">
        <f aca="false">IF(ISBLANK($C127),"",IF($BH127&lt;&gt;Constants!$B$4,"",$BQ127+$BR127))</f>
        <v/>
      </c>
      <c r="CW127" s="104" t="str">
        <f aca="false">IF(ISBLANK($C127),"",IF($BH127&lt;&gt;Constants!$B$4,"",$BS127))</f>
        <v/>
      </c>
      <c r="CX127" s="104" t="str">
        <f aca="false">IF(ISBLANK($C127),"",IF($BH127&lt;&gt;Constants!$B$4,"",-$BZ127))</f>
        <v/>
      </c>
      <c r="CY127" s="103" t="str">
        <f aca="false">IF(ISBLANK($C127),"",$CA127)</f>
        <v/>
      </c>
      <c r="CZ127" s="105" t="str">
        <f aca="false">IF(ISBLANK($C127),"",$BI127)</f>
        <v/>
      </c>
      <c r="DA127" s="104" t="str">
        <f aca="false">IF(ISBLANK($C127),"",$CH127)</f>
        <v/>
      </c>
      <c r="DB127" s="104" t="str">
        <f aca="false">IF(ISBLANK($C127),"",$CG127)</f>
        <v/>
      </c>
      <c r="DC127" s="106" t="str">
        <f aca="false">IF(ISBLANK($C127),"",IFERROR(_xlfn.SWITCH($DB127,Constants!$B$7,COUNTA($C$9:$C$508)+2,Constants!$B$6,COUNTA($C$9:$C$508)+1,Constants!$B$5,COUNTA($C$9:$C$508)),$DB127))</f>
        <v/>
      </c>
      <c r="DD127" s="7"/>
      <c r="DE127" s="107" t="n">
        <f aca="false">IF(OR(ISNUMBER($DB127),$DB127=Constants!$B$7,$DB127=Constants!$B$5,$DB127=Constants!$B$6),1,0)</f>
        <v>0</v>
      </c>
      <c r="DF127" s="107" t="n">
        <v>119</v>
      </c>
      <c r="DG127" s="107" t="str">
        <f aca="false">IF(ISBLANK($C127),"",IF(ISNUMBER($DC127),$DC127+ROW($B127)/1000,""))</f>
        <v/>
      </c>
      <c r="DH127" s="107" t="str">
        <f aca="false">IF(ISNUMBER($DG127),RANK($DG127,$DG$9:$DG$508,1),"")</f>
        <v/>
      </c>
      <c r="DI127" s="107" t="str">
        <f aca="false">IF(ISBLANK($C127),"",$B127)</f>
        <v/>
      </c>
      <c r="DJ127" s="107" t="str">
        <f aca="false">IF(ISBLANK($C127),"",$C127)</f>
        <v/>
      </c>
      <c r="DK127" s="107" t="str">
        <f aca="false">IF(ISBLANK($C127),"",$D127)</f>
        <v/>
      </c>
      <c r="DL127" s="108" t="str">
        <f aca="false">$CZ127</f>
        <v/>
      </c>
      <c r="DM127" s="109" t="str">
        <f aca="false">$CY127</f>
        <v/>
      </c>
      <c r="DN127" s="107" t="str">
        <f aca="false">IF(ISBLANK($C127),"",$DB127)</f>
        <v/>
      </c>
      <c r="DO127" s="110" t="str">
        <f aca="false">IF($DF127&gt;$DE$8,"",VLOOKUP($DF127,$DH$9:$DN$508,7,FALSE()))</f>
        <v/>
      </c>
      <c r="DP127" s="111" t="str">
        <f aca="false">IF($DF127&gt;$DE$8,"",VLOOKUP($DF127,$DH$9:$DN$508,2,FALSE()))</f>
        <v/>
      </c>
      <c r="DQ127" s="111" t="str">
        <f aca="false">IF($DF127&gt;$DE$8,"",VLOOKUP($DF127,$DH$9:$DN$508,3,FALSE()))</f>
        <v/>
      </c>
      <c r="DR127" s="111" t="str">
        <f aca="false">IF($DF127&gt;$DE$8,"",VLOOKUP($DF127,$DH$9:$DN$508,4,FALSE()))</f>
        <v/>
      </c>
      <c r="DS127" s="111" t="str">
        <f aca="false">IF($DF127&gt;$DE$8,"",VLOOKUP($DF127,$DH$9:$DN$508,5,FALSE()))</f>
        <v/>
      </c>
      <c r="DT127" s="112" t="str">
        <f aca="false">IF($DF127&gt;$DE$8,"",VLOOKUP($DF127,$DH$9:$DN$508,6,FALSE()))</f>
        <v/>
      </c>
      <c r="DU127" s="62"/>
    </row>
    <row r="128" customFormat="false" ht="15.75" hidden="false" customHeight="false" outlineLevel="0" collapsed="false">
      <c r="A128" s="7"/>
      <c r="B128" s="90"/>
      <c r="C128" s="91"/>
      <c r="D128" s="126"/>
      <c r="E128" s="130"/>
      <c r="F128" s="135"/>
      <c r="G128" s="130"/>
      <c r="H128" s="135"/>
      <c r="I128" s="131"/>
      <c r="J128" s="131"/>
      <c r="K128" s="131"/>
      <c r="L128" s="130"/>
      <c r="M128" s="130"/>
      <c r="N128" s="130"/>
      <c r="O128" s="135"/>
      <c r="P128" s="130"/>
      <c r="Q128" s="130"/>
      <c r="R128" s="130"/>
      <c r="S128" s="130"/>
      <c r="T128" s="135"/>
      <c r="U128" s="130"/>
      <c r="V128" s="96"/>
      <c r="W128" s="130"/>
      <c r="X128" s="130"/>
      <c r="Y128" s="96"/>
      <c r="Z128" s="96"/>
      <c r="AA128" s="130"/>
      <c r="AB128" s="130"/>
      <c r="AC128" s="97"/>
      <c r="AD128" s="130"/>
      <c r="AE128" s="99"/>
      <c r="AF128" s="100"/>
      <c r="AG128" s="100"/>
      <c r="AH128" s="100" t="str">
        <f aca="false">IF(ISBLANK($C128),"",IF($E128=Constants!$B$2,TRUE(),IF($E128=Constants!$B$3,FALSE(),TRUE())))</f>
        <v/>
      </c>
      <c r="AI128" s="100" t="str">
        <f aca="false">IF(ISBLANK($C128),"",IF($F128=Constants!$B$2,TRUE(),IF($F128=Constants!$B$3,FALSE(),FALSE())))</f>
        <v/>
      </c>
      <c r="AJ128" s="100" t="str">
        <f aca="false">IF(ISBLANK($C128),"",IF($G128=Constants!$B$2,TRUE(),IF($G128=Constants!$B$3,FALSE(),TRUE())))</f>
        <v/>
      </c>
      <c r="AK128" s="100" t="str">
        <f aca="false">IF(ISBLANK($C128),"",IF($H128=Constants!$B$2,TRUE(),IF($H128=Constants!$B$3,FALSE(),TRUE())))</f>
        <v/>
      </c>
      <c r="AL128" s="100" t="str">
        <f aca="false">IF(ISBLANK($C128),"",IF(ISNUMBER($I128),IF($I128&gt;=0,$I128,""),""))</f>
        <v/>
      </c>
      <c r="AM128" s="100" t="str">
        <f aca="false">IF(ISBLANK($C128),"",IF(ISNUMBER($J128),IF($J128&gt;=0,$J128,""),""))</f>
        <v/>
      </c>
      <c r="AN128" s="100" t="str">
        <f aca="false">IF(ISBLANK($C128),"",IF(ISNUMBER($K128),IF($K128&gt;=0,$K128,""),""))</f>
        <v/>
      </c>
      <c r="AO128" s="100" t="str">
        <f aca="false">IF(ISBLANK($C128),"",IF($L128=Constants!$B$2,TRUE(),IF($L128=Constants!$B$3,FALSE(),TRUE())))</f>
        <v/>
      </c>
      <c r="AP128" s="100" t="str">
        <f aca="false">IF(ISBLANK($C128),"",IF($M128=Constants!$B$2,TRUE(),IF($M128=Constants!$B$3,FALSE(),TRUE())))</f>
        <v/>
      </c>
      <c r="AQ128" s="100" t="str">
        <f aca="false">IF(ISBLANK($C128),"",IF($N128=Constants!$B$2,TRUE(),IF($N128=Constants!$B$3,FALSE(),FALSE())))</f>
        <v/>
      </c>
      <c r="AR128" s="100" t="str">
        <f aca="false">IF(ISBLANK($C128),"",IF($O128=Constants!$B$2,TRUE(),IF($O128=Constants!$B$3,FALSE(),TRUE())))</f>
        <v/>
      </c>
      <c r="AS128" s="100" t="str">
        <f aca="false">IF(ISBLANK($C128),"",IF($P128=Constants!$B$2,TRUE(),IF($P128=Constants!$B$3,FALSE(),FALSE())))</f>
        <v/>
      </c>
      <c r="AT128" s="100" t="str">
        <f aca="false">IF(ISBLANK($C128),"",IF($Q128=Constants!$B$2,TRUE(),IF($Q128=Constants!$B$3,FALSE(),FALSE())))</f>
        <v/>
      </c>
      <c r="AU128" s="100" t="str">
        <f aca="false">IF(ISBLANK($C128),"",IF($R128=Constants!$B$2,TRUE(),IF($R128=Constants!$B$3,FALSE(),FALSE())))</f>
        <v/>
      </c>
      <c r="AV128" s="100" t="str">
        <f aca="false">IF(ISBLANK($C128),"",IF($S128=Constants!$B$2,TRUE(),IF($S128=Constants!$B$3,FALSE(),FALSE())))</f>
        <v/>
      </c>
      <c r="AW128" s="100" t="str">
        <f aca="false">IF(ISBLANK($C128),"",IF($T128=Constants!$B$2,TRUE(),IF($T128=Constants!$B$3,FALSE(),FALSE())))</f>
        <v/>
      </c>
      <c r="AX128" s="100" t="str">
        <f aca="false">IF(ISBLANK($C128),"",IF(OR($U128&amp;""="1",$U128&amp;""="2",$U128&amp;""="3",$U128&amp;""="4"),VALUE($U128&amp;""),IF($U128=Constants!$B$12,Constants!$B$12,"")))</f>
        <v/>
      </c>
      <c r="AY128" s="100" t="str">
        <f aca="false">IF(ISBLANK($C128),"",IF(ISBLANK($V128),0,IF(ISNUMBER($V128),IF(AND($V128&gt;=0,$V128&lt;=Constants!$B$21,$V128=INT($V128)),$V128,""),"")))</f>
        <v/>
      </c>
      <c r="AZ128" s="100" t="str">
        <f aca="false">IF(ISBLANK($C128),"",IF(ISBLANK($W128),0,IF(ISNUMBER($W128),IF($W128&gt;=0,$W128,""),"")))</f>
        <v/>
      </c>
      <c r="BA128" s="100" t="str">
        <f aca="false">IF(ISBLANK($C128),"",IF($X128=Constants!$B$2,TRUE(),IF($X128=Constants!$B$3,FALSE(),TRUE())))</f>
        <v/>
      </c>
      <c r="BB128" s="100" t="str">
        <f aca="false">IF(ISBLANK($C128),"",IF($Y128=Constants!$B$2,TRUE(),IF($Y128=Constants!$B$3,FALSE(),FALSE())))</f>
        <v/>
      </c>
      <c r="BC128" s="100" t="str">
        <f aca="false">IF(ISBLANK($C128),"",IF(ISBLANK($Z128),0,IF(ISNUMBER($Z128),IF(AND($Z128&gt;=0,$Z128&lt;=Constants!$B$35,$Z128=INT($Z128)),$Z128,""),"")))</f>
        <v/>
      </c>
      <c r="BD128" s="100" t="str">
        <f aca="false">IF(ISBLANK($C128),"",IF($AA128=Constants!$B$2,TRUE(),IF($AA128=Constants!$B$3,FALSE(),TRUE())))</f>
        <v/>
      </c>
      <c r="BE128" s="100" t="str">
        <f aca="false">IF(ISBLANK($C128),"",IF($AB128=Constants!$B$2,TRUE(),IF($AB128=Constants!$B$3,FALSE(),TRUE())))</f>
        <v/>
      </c>
      <c r="BF128" s="100" t="str">
        <f aca="false">IF(ISBLANK($C128),"",IF(ISNUMBER($AC128),IF($AC128&gt;=0,$AC128,""),""))</f>
        <v/>
      </c>
      <c r="BG128" s="100" t="str">
        <f aca="false">IF(ISBLANK($C128),"",IF($AD128=Constants!$B$2,TRUE(),IF($AD128=Constants!$B$3,FALSE(),FALSE())))</f>
        <v/>
      </c>
      <c r="BH128" s="99" t="str">
        <f aca="false">IF(ISBLANK($C128),"",IF($BG128,Constants!$B$7,IF(COUNTA($E128:$AC128)=0,Constants!$B$6,IF(OR(COUNTA($G128:$AC128)=0,NOT($AK128),$AQ128),Constants!$B$5,IF(OR($CI128&lt;&gt;"",$CJ128,$CK128,$CL128,$CM128,$CN128,$CO128),Constants!$B$8,Constants!$B$4)))))</f>
        <v/>
      </c>
      <c r="BI128" s="100" t="str">
        <f aca="false">IF(ISBLANK($C128),"",IF($BH128&lt;&gt;Constants!$B$4,$BH128,IF(OR(NOT($AH128),NOT($AJ128),NOT($AR128)),Constants!$B$11,IF(OR(NOT($AP128),MAX($AL128,$AM128,$AN128)&gt;Constants!$B$30),Constants!$B$10,Constants!$B$9))))</f>
        <v/>
      </c>
      <c r="BJ128" s="100" t="str">
        <f aca="false">IF($BH128&lt;&gt;Constants!$B$4,"",IF(NOT($AJ128),0,MIN(Constants!$B$35,$BC128)))</f>
        <v/>
      </c>
      <c r="BK128" s="100" t="str">
        <f aca="false">IF($BH128&lt;&gt;Constants!$B$4,"",IF(NOT($AJ128),0,IF($AT128,Constants!$B$18,IF($AS128,Constants!$B$17,0))))</f>
        <v/>
      </c>
      <c r="BL128" s="100" t="str">
        <f aca="false">IF($BH128&lt;&gt;Constants!$B$4,"",IF(NOT($AJ128),0,Constants!$B$19*($AI128+$AU128+$AV128+$AW128)))</f>
        <v/>
      </c>
      <c r="BM128" s="100" t="str">
        <f aca="false">IF($BH128&lt;&gt;Constants!$B$4,"",IF(OR(NOT($AJ128),NOT(ISNUMBER($AX128))),0,CHOOSE($AX128,Constants!$B$13,Constants!$B$14,Constants!$B$15,Constants!$B$16)))</f>
        <v/>
      </c>
      <c r="BN128" s="100" t="str">
        <f aca="false">IF($BH128&lt;&gt;Constants!$B$4,"",IF(NOT($AJ128),0,Constants!$B$20*$AY128))</f>
        <v/>
      </c>
      <c r="BO128" s="100" t="str">
        <f aca="false">IF($BH128&lt;&gt;Constants!$B$4,"",IF(AND($AJ128,$BA128,$BB128),Constants!$B$22,0))</f>
        <v/>
      </c>
      <c r="BP128" s="100" t="str">
        <f aca="false">IF($BH128&lt;&gt;Constants!$B$4,"",IF(OR(NOT($AJ128),NOT($BA128)),0,IF($BF128&gt;=2*$AF$9,0,Constants!$B$23*INT(ROUND(MIN($BF128,$AF$9),6)))))</f>
        <v/>
      </c>
      <c r="BQ128" s="100" t="str">
        <f aca="false">IF($BH128&lt;&gt;Constants!$B$4,"",IF(NOT($AJ128),0,Constants!$B$24*INT(ROUND(MIN($AZ128,$AF$9),6))))</f>
        <v/>
      </c>
      <c r="BR128" s="100" t="str">
        <f aca="false">IF($BH128&lt;&gt;Constants!$B$4,"",IF(AND($AJ128,$BJ128=0),Constants!$B$25,0))</f>
        <v/>
      </c>
      <c r="BS128" s="100" t="str">
        <f aca="false">IF($BH128&lt;&gt;Constants!$B$4,"",MIN(Constants!$B$29,MAX(0,Constants!$B$27*Constants!$B$28*INT(ROUND((Constants!$B$26-$AL128)/Constants!$B$28,6))))+MIN(Constants!$B$29,MAX(0,Constants!$B$27*Constants!$B$28*INT(ROUND((Constants!$B$26-$AM128)/Constants!$B$28,6))))+MIN(Constants!$B$29,MAX(0,Constants!$B$27*Constants!$B$28*INT(ROUND((Constants!$B$26-$AN128)/Constants!$B$28,6)))))</f>
        <v/>
      </c>
      <c r="BT128" s="100" t="str">
        <f aca="false">IF($BH128&lt;&gt;Constants!$B$4,"",IF(NOT($AJ128),0,Constants!$B$31*INT(ROUND(MAX(0,MIN($BF128,2*$AF$9)-$AF$9),6))))</f>
        <v/>
      </c>
      <c r="BU128" s="100" t="str">
        <f aca="false">IF($BH128&lt;&gt;Constants!$B$4,"",Constants!$B$32*(($AL128&gt;Constants!$B$26)+($AM128&gt;Constants!$B$26)+($AN128&gt;Constants!$B$26)))</f>
        <v/>
      </c>
      <c r="BV128" s="100" t="str">
        <f aca="false">IF($BH128&lt;&gt;Constants!$B$4,"",IF(OR(NOT($AJ128),$AO128),0,Constants!$B$33))</f>
        <v/>
      </c>
      <c r="BW128" s="100" t="str">
        <f aca="false">IF($BH128&lt;&gt;Constants!$B$4,"",Constants!$B$34*$BJ128)</f>
        <v/>
      </c>
      <c r="BX128" s="100" t="str">
        <f aca="false">IF($BH128&lt;&gt;Constants!$B$4,"",IF(OR(NOT($AJ128),$BE128),0,Constants!$B$36))</f>
        <v/>
      </c>
      <c r="BY128" s="100" t="str">
        <f aca="false">IF($BH128&lt;&gt;Constants!$B$4,"",IF(OR(NOT($AJ128),$BD128),0,Constants!$B$37))</f>
        <v/>
      </c>
      <c r="BZ128" s="100" t="str">
        <f aca="false">IF($BH128&lt;&gt;Constants!$B$4,"",SUM($BT128:$BY128))</f>
        <v/>
      </c>
      <c r="CA128" s="100" t="str">
        <f aca="false">IF(ISBLANK($C128),"",IF($BH128&lt;&gt;Constants!$B$4,$BH128,SUM($BK128:$BS128)-$BZ128))</f>
        <v/>
      </c>
      <c r="CB128" s="100" t="str">
        <f aca="false">IF(ISBLANK($C128),"",IF($BH128&lt;&gt;Constants!$B$4,$BH128,RANK($CA128,$CA$9:$CA$508)))</f>
        <v/>
      </c>
      <c r="CC128" s="100" t="str">
        <f aca="false">IF(ISBLANK($C128),"",IF($BH128&lt;&gt;Constants!$B$4,$BH128,COUNTIFS($BI$9:$BI$508,"&lt;"&amp;$BI128)+COUNTIFS($BI$9:$BI$508,$BI128,$CB$9:$CB$508,"&lt;"&amp;$CB128)+1))</f>
        <v/>
      </c>
      <c r="CD128" s="100" t="str">
        <f aca="false">IF(ISBLANK($C128),"",IF($BH128&lt;&gt;Constants!$B$4,$BH128,RANK($BZ128,$BZ$9:$BZ$508,1)))</f>
        <v/>
      </c>
      <c r="CE128" s="100" t="str">
        <f aca="false">IF($BH128&lt;&gt;Constants!$B$4,"",$AL128+$AM128+$AN128)</f>
        <v/>
      </c>
      <c r="CF128" s="100" t="str">
        <f aca="false">IF(ISBLANK($C128),"",IF($BH128&lt;&gt;Constants!$B$4,$BH128,RANK($CE128,$CE$9:$CE$508,1)))</f>
        <v/>
      </c>
      <c r="CG128" s="100" t="str">
        <f aca="false">IF(ISBLANK($C128),"",IF($BH128&lt;&gt;Constants!$B$4,$BH128,COUNTIFS($BI$9:$BI$508,"&lt;"&amp;$BI128)+COUNTIFS($BI$9:$BI$508,$BI128,$CB$9:$CB$508,"&lt;"&amp;$CB128)+COUNTIFS($BI$9:$BI$508,$BI128,$CB$9:$CB$508,$CB128,$CD$9:$CD$508,"&lt;"&amp;$CD128)+COUNTIFS($BI$9:$BI$508,$BI128,$CB$9:$CB$508,$CB128,$CD$9:$CD$508,$CD128,$CF$9:$CF$508,"&lt;"&amp;$CF128)+1))</f>
        <v/>
      </c>
      <c r="CH128" s="100" t="str">
        <f aca="false">IF(ISBLANK($C128),"",IF($BH128&lt;&gt;Constants!$B$4,$BH128,$CC128-$CG128))</f>
        <v/>
      </c>
      <c r="CI128" s="100" t="str">
        <f aca="false">IF(ISBLANK($C128),"",IF(NOT($AJ128),"",IF(ISBLANK($D$7),$CI$5,IF(NOT(ISNUMBER($D$7)),$CI$6,""))))</f>
        <v/>
      </c>
      <c r="CJ128" s="100" t="str">
        <f aca="false">IF(ISBLANK($C128),"",OR($AL128="",$AM128="",$AN128=""))</f>
        <v/>
      </c>
      <c r="CK128" s="100" t="str">
        <f aca="false">IF(ISBLANK($C128),"",AND($AJ128,$AX128=""))</f>
        <v/>
      </c>
      <c r="CL128" s="100" t="str">
        <f aca="false">IF(ISBLANK($C128),"",AND($AJ128,$AY128=""))</f>
        <v/>
      </c>
      <c r="CM128" s="100" t="str">
        <f aca="false">IF(ISBLANK($C128),"",AND($AJ128,$AZ128=""))</f>
        <v/>
      </c>
      <c r="CN128" s="100" t="str">
        <f aca="false">IF(ISBLANK($C128),"",AND($AJ128,$BC128=""))</f>
        <v/>
      </c>
      <c r="CO128" s="100" t="str">
        <f aca="false">IF(ISBLANK($C128),"",AND($AJ128,$BF128=""))</f>
        <v/>
      </c>
      <c r="CP128" s="101"/>
      <c r="CQ128" s="102"/>
      <c r="CR128" s="103" t="str">
        <f aca="false">IF(ISBLANK($C128),"",IF($BH128=Constants!$B$8,$CI128,""))</f>
        <v/>
      </c>
      <c r="CS128" s="102" t="str">
        <f aca="false">IF(ISBLANK($C128),"",IF($BH128&lt;&gt;Constants!$B$4,"",$BK128+$BL128))</f>
        <v/>
      </c>
      <c r="CT128" s="104" t="str">
        <f aca="false">IF(ISBLANK($C128),"",IF($BH128&lt;&gt;Constants!$B$4,"",$BM128+$BN128+$BO128))</f>
        <v/>
      </c>
      <c r="CU128" s="104" t="str">
        <f aca="false">IF(ISBLANK($C128),"",IF($BH128&lt;&gt;Constants!$B$4,"",$BP128))</f>
        <v/>
      </c>
      <c r="CV128" s="104" t="str">
        <f aca="false">IF(ISBLANK($C128),"",IF($BH128&lt;&gt;Constants!$B$4,"",$BQ128+$BR128))</f>
        <v/>
      </c>
      <c r="CW128" s="104" t="str">
        <f aca="false">IF(ISBLANK($C128),"",IF($BH128&lt;&gt;Constants!$B$4,"",$BS128))</f>
        <v/>
      </c>
      <c r="CX128" s="104" t="str">
        <f aca="false">IF(ISBLANK($C128),"",IF($BH128&lt;&gt;Constants!$B$4,"",-$BZ128))</f>
        <v/>
      </c>
      <c r="CY128" s="103" t="str">
        <f aca="false">IF(ISBLANK($C128),"",$CA128)</f>
        <v/>
      </c>
      <c r="CZ128" s="105" t="str">
        <f aca="false">IF(ISBLANK($C128),"",$BI128)</f>
        <v/>
      </c>
      <c r="DA128" s="104" t="str">
        <f aca="false">IF(ISBLANK($C128),"",$CH128)</f>
        <v/>
      </c>
      <c r="DB128" s="104" t="str">
        <f aca="false">IF(ISBLANK($C128),"",$CG128)</f>
        <v/>
      </c>
      <c r="DC128" s="106" t="str">
        <f aca="false">IF(ISBLANK($C128),"",IFERROR(_xlfn.SWITCH($DB128,Constants!$B$7,COUNTA($C$9:$C$508)+2,Constants!$B$6,COUNTA($C$9:$C$508)+1,Constants!$B$5,COUNTA($C$9:$C$508)),$DB128))</f>
        <v/>
      </c>
      <c r="DD128" s="7"/>
      <c r="DE128" s="107" t="n">
        <f aca="false">IF(OR(ISNUMBER($DB128),$DB128=Constants!$B$7,$DB128=Constants!$B$5,$DB128=Constants!$B$6),1,0)</f>
        <v>0</v>
      </c>
      <c r="DF128" s="107" t="n">
        <v>120</v>
      </c>
      <c r="DG128" s="107" t="str">
        <f aca="false">IF(ISBLANK($C128),"",IF(ISNUMBER($DC128),$DC128+ROW($B128)/1000,""))</f>
        <v/>
      </c>
      <c r="DH128" s="107" t="str">
        <f aca="false">IF(ISNUMBER($DG128),RANK($DG128,$DG$9:$DG$508,1),"")</f>
        <v/>
      </c>
      <c r="DI128" s="107" t="str">
        <f aca="false">IF(ISBLANK($C128),"",$B128)</f>
        <v/>
      </c>
      <c r="DJ128" s="107" t="str">
        <f aca="false">IF(ISBLANK($C128),"",$C128)</f>
        <v/>
      </c>
      <c r="DK128" s="107" t="str">
        <f aca="false">IF(ISBLANK($C128),"",$D128)</f>
        <v/>
      </c>
      <c r="DL128" s="108" t="str">
        <f aca="false">$CZ128</f>
        <v/>
      </c>
      <c r="DM128" s="109" t="str">
        <f aca="false">$CY128</f>
        <v/>
      </c>
      <c r="DN128" s="107" t="str">
        <f aca="false">IF(ISBLANK($C128),"",$DB128)</f>
        <v/>
      </c>
      <c r="DO128" s="110" t="str">
        <f aca="false">IF($DF128&gt;$DE$8,"",VLOOKUP($DF128,$DH$9:$DN$508,7,FALSE()))</f>
        <v/>
      </c>
      <c r="DP128" s="111" t="str">
        <f aca="false">IF($DF128&gt;$DE$8,"",VLOOKUP($DF128,$DH$9:$DN$508,2,FALSE()))</f>
        <v/>
      </c>
      <c r="DQ128" s="111" t="str">
        <f aca="false">IF($DF128&gt;$DE$8,"",VLOOKUP($DF128,$DH$9:$DN$508,3,FALSE()))</f>
        <v/>
      </c>
      <c r="DR128" s="111" t="str">
        <f aca="false">IF($DF128&gt;$DE$8,"",VLOOKUP($DF128,$DH$9:$DN$508,4,FALSE()))</f>
        <v/>
      </c>
      <c r="DS128" s="111" t="str">
        <f aca="false">IF($DF128&gt;$DE$8,"",VLOOKUP($DF128,$DH$9:$DN$508,5,FALSE()))</f>
        <v/>
      </c>
      <c r="DT128" s="112" t="str">
        <f aca="false">IF($DF128&gt;$DE$8,"",VLOOKUP($DF128,$DH$9:$DN$508,6,FALSE()))</f>
        <v/>
      </c>
      <c r="DU128" s="62"/>
    </row>
    <row r="129" customFormat="false" ht="15.75" hidden="false" customHeight="false" outlineLevel="0" collapsed="false">
      <c r="A129" s="7"/>
      <c r="B129" s="64"/>
      <c r="C129" s="65"/>
      <c r="D129" s="123"/>
      <c r="E129" s="88"/>
      <c r="F129" s="134"/>
      <c r="G129" s="88"/>
      <c r="H129" s="134"/>
      <c r="I129" s="119"/>
      <c r="J129" s="119"/>
      <c r="K129" s="119"/>
      <c r="L129" s="88"/>
      <c r="M129" s="88"/>
      <c r="N129" s="88"/>
      <c r="O129" s="134"/>
      <c r="P129" s="88"/>
      <c r="Q129" s="88"/>
      <c r="R129" s="88"/>
      <c r="S129" s="88"/>
      <c r="T129" s="134"/>
      <c r="U129" s="88"/>
      <c r="V129" s="70"/>
      <c r="W129" s="88"/>
      <c r="X129" s="88"/>
      <c r="Y129" s="70"/>
      <c r="Z129" s="70"/>
      <c r="AA129" s="88"/>
      <c r="AB129" s="88"/>
      <c r="AC129" s="71"/>
      <c r="AD129" s="88"/>
      <c r="AE129" s="73"/>
      <c r="AF129" s="74"/>
      <c r="AG129" s="74"/>
      <c r="AH129" s="74" t="str">
        <f aca="false">IF(ISBLANK($C129),"",IF($E129=Constants!$B$2,TRUE(),IF($E129=Constants!$B$3,FALSE(),TRUE())))</f>
        <v/>
      </c>
      <c r="AI129" s="74" t="str">
        <f aca="false">IF(ISBLANK($C129),"",IF($F129=Constants!$B$2,TRUE(),IF($F129=Constants!$B$3,FALSE(),FALSE())))</f>
        <v/>
      </c>
      <c r="AJ129" s="74" t="str">
        <f aca="false">IF(ISBLANK($C129),"",IF($G129=Constants!$B$2,TRUE(),IF($G129=Constants!$B$3,FALSE(),TRUE())))</f>
        <v/>
      </c>
      <c r="AK129" s="74" t="str">
        <f aca="false">IF(ISBLANK($C129),"",IF($H129=Constants!$B$2,TRUE(),IF($H129=Constants!$B$3,FALSE(),TRUE())))</f>
        <v/>
      </c>
      <c r="AL129" s="74" t="str">
        <f aca="false">IF(ISBLANK($C129),"",IF(ISNUMBER($I129),IF($I129&gt;=0,$I129,""),""))</f>
        <v/>
      </c>
      <c r="AM129" s="74" t="str">
        <f aca="false">IF(ISBLANK($C129),"",IF(ISNUMBER($J129),IF($J129&gt;=0,$J129,""),""))</f>
        <v/>
      </c>
      <c r="AN129" s="74" t="str">
        <f aca="false">IF(ISBLANK($C129),"",IF(ISNUMBER($K129),IF($K129&gt;=0,$K129,""),""))</f>
        <v/>
      </c>
      <c r="AO129" s="74" t="str">
        <f aca="false">IF(ISBLANK($C129),"",IF($L129=Constants!$B$2,TRUE(),IF($L129=Constants!$B$3,FALSE(),TRUE())))</f>
        <v/>
      </c>
      <c r="AP129" s="74" t="str">
        <f aca="false">IF(ISBLANK($C129),"",IF($M129=Constants!$B$2,TRUE(),IF($M129=Constants!$B$3,FALSE(),TRUE())))</f>
        <v/>
      </c>
      <c r="AQ129" s="74" t="str">
        <f aca="false">IF(ISBLANK($C129),"",IF($N129=Constants!$B$2,TRUE(),IF($N129=Constants!$B$3,FALSE(),FALSE())))</f>
        <v/>
      </c>
      <c r="AR129" s="74" t="str">
        <f aca="false">IF(ISBLANK($C129),"",IF($O129=Constants!$B$2,TRUE(),IF($O129=Constants!$B$3,FALSE(),TRUE())))</f>
        <v/>
      </c>
      <c r="AS129" s="74" t="str">
        <f aca="false">IF(ISBLANK($C129),"",IF($P129=Constants!$B$2,TRUE(),IF($P129=Constants!$B$3,FALSE(),FALSE())))</f>
        <v/>
      </c>
      <c r="AT129" s="74" t="str">
        <f aca="false">IF(ISBLANK($C129),"",IF($Q129=Constants!$B$2,TRUE(),IF($Q129=Constants!$B$3,FALSE(),FALSE())))</f>
        <v/>
      </c>
      <c r="AU129" s="74" t="str">
        <f aca="false">IF(ISBLANK($C129),"",IF($R129=Constants!$B$2,TRUE(),IF($R129=Constants!$B$3,FALSE(),FALSE())))</f>
        <v/>
      </c>
      <c r="AV129" s="74" t="str">
        <f aca="false">IF(ISBLANK($C129),"",IF($S129=Constants!$B$2,TRUE(),IF($S129=Constants!$B$3,FALSE(),FALSE())))</f>
        <v/>
      </c>
      <c r="AW129" s="74" t="str">
        <f aca="false">IF(ISBLANK($C129),"",IF($T129=Constants!$B$2,TRUE(),IF($T129=Constants!$B$3,FALSE(),FALSE())))</f>
        <v/>
      </c>
      <c r="AX129" s="74" t="str">
        <f aca="false">IF(ISBLANK($C129),"",IF(OR($U129&amp;""="1",$U129&amp;""="2",$U129&amp;""="3",$U129&amp;""="4"),VALUE($U129&amp;""),IF($U129=Constants!$B$12,Constants!$B$12,"")))</f>
        <v/>
      </c>
      <c r="AY129" s="74" t="str">
        <f aca="false">IF(ISBLANK($C129),"",IF(ISBLANK($V129),0,IF(ISNUMBER($V129),IF(AND($V129&gt;=0,$V129&lt;=Constants!$B$21,$V129=INT($V129)),$V129,""),"")))</f>
        <v/>
      </c>
      <c r="AZ129" s="74" t="str">
        <f aca="false">IF(ISBLANK($C129),"",IF(ISBLANK($W129),0,IF(ISNUMBER($W129),IF($W129&gt;=0,$W129,""),"")))</f>
        <v/>
      </c>
      <c r="BA129" s="74" t="str">
        <f aca="false">IF(ISBLANK($C129),"",IF($X129=Constants!$B$2,TRUE(),IF($X129=Constants!$B$3,FALSE(),TRUE())))</f>
        <v/>
      </c>
      <c r="BB129" s="74" t="str">
        <f aca="false">IF(ISBLANK($C129),"",IF($Y129=Constants!$B$2,TRUE(),IF($Y129=Constants!$B$3,FALSE(),FALSE())))</f>
        <v/>
      </c>
      <c r="BC129" s="74" t="str">
        <f aca="false">IF(ISBLANK($C129),"",IF(ISBLANK($Z129),0,IF(ISNUMBER($Z129),IF(AND($Z129&gt;=0,$Z129&lt;=Constants!$B$35,$Z129=INT($Z129)),$Z129,""),"")))</f>
        <v/>
      </c>
      <c r="BD129" s="74" t="str">
        <f aca="false">IF(ISBLANK($C129),"",IF($AA129=Constants!$B$2,TRUE(),IF($AA129=Constants!$B$3,FALSE(),TRUE())))</f>
        <v/>
      </c>
      <c r="BE129" s="74" t="str">
        <f aca="false">IF(ISBLANK($C129),"",IF($AB129=Constants!$B$2,TRUE(),IF($AB129=Constants!$B$3,FALSE(),TRUE())))</f>
        <v/>
      </c>
      <c r="BF129" s="74" t="str">
        <f aca="false">IF(ISBLANK($C129),"",IF(ISNUMBER($AC129),IF($AC129&gt;=0,$AC129,""),""))</f>
        <v/>
      </c>
      <c r="BG129" s="74" t="str">
        <f aca="false">IF(ISBLANK($C129),"",IF($AD129=Constants!$B$2,TRUE(),IF($AD129=Constants!$B$3,FALSE(),FALSE())))</f>
        <v/>
      </c>
      <c r="BH129" s="73" t="str">
        <f aca="false">IF(ISBLANK($C129),"",IF($BG129,Constants!$B$7,IF(COUNTA($E129:$AC129)=0,Constants!$B$6,IF(OR(COUNTA($G129:$AC129)=0,NOT($AK129),$AQ129),Constants!$B$5,IF(OR($CI129&lt;&gt;"",$CJ129,$CK129,$CL129,$CM129,$CN129,$CO129),Constants!$B$8,Constants!$B$4)))))</f>
        <v/>
      </c>
      <c r="BI129" s="74" t="str">
        <f aca="false">IF(ISBLANK($C129),"",IF($BH129&lt;&gt;Constants!$B$4,$BH129,IF(OR(NOT($AH129),NOT($AJ129),NOT($AR129)),Constants!$B$11,IF(OR(NOT($AP129),MAX($AL129,$AM129,$AN129)&gt;Constants!$B$30),Constants!$B$10,Constants!$B$9))))</f>
        <v/>
      </c>
      <c r="BJ129" s="74" t="str">
        <f aca="false">IF($BH129&lt;&gt;Constants!$B$4,"",IF(NOT($AJ129),0,MIN(Constants!$B$35,$BC129)))</f>
        <v/>
      </c>
      <c r="BK129" s="74" t="str">
        <f aca="false">IF($BH129&lt;&gt;Constants!$B$4,"",IF(NOT($AJ129),0,IF($AT129,Constants!$B$18,IF($AS129,Constants!$B$17,0))))</f>
        <v/>
      </c>
      <c r="BL129" s="74" t="str">
        <f aca="false">IF($BH129&lt;&gt;Constants!$B$4,"",IF(NOT($AJ129),0,Constants!$B$19*($AI129+$AU129+$AV129+$AW129)))</f>
        <v/>
      </c>
      <c r="BM129" s="74" t="str">
        <f aca="false">IF($BH129&lt;&gt;Constants!$B$4,"",IF(OR(NOT($AJ129),NOT(ISNUMBER($AX129))),0,CHOOSE($AX129,Constants!$B$13,Constants!$B$14,Constants!$B$15,Constants!$B$16)))</f>
        <v/>
      </c>
      <c r="BN129" s="74" t="str">
        <f aca="false">IF($BH129&lt;&gt;Constants!$B$4,"",IF(NOT($AJ129),0,Constants!$B$20*$AY129))</f>
        <v/>
      </c>
      <c r="BO129" s="74" t="str">
        <f aca="false">IF($BH129&lt;&gt;Constants!$B$4,"",IF(AND($AJ129,$BA129,$BB129),Constants!$B$22,0))</f>
        <v/>
      </c>
      <c r="BP129" s="74" t="str">
        <f aca="false">IF($BH129&lt;&gt;Constants!$B$4,"",IF(OR(NOT($AJ129),NOT($BA129)),0,IF($BF129&gt;=2*$AF$9,0,Constants!$B$23*INT(ROUND(MIN($BF129,$AF$9),6)))))</f>
        <v/>
      </c>
      <c r="BQ129" s="74" t="str">
        <f aca="false">IF($BH129&lt;&gt;Constants!$B$4,"",IF(NOT($AJ129),0,Constants!$B$24*INT(ROUND(MIN($AZ129,$AF$9),6))))</f>
        <v/>
      </c>
      <c r="BR129" s="74" t="str">
        <f aca="false">IF($BH129&lt;&gt;Constants!$B$4,"",IF(AND($AJ129,$BJ129=0),Constants!$B$25,0))</f>
        <v/>
      </c>
      <c r="BS129" s="74" t="str">
        <f aca="false">IF($BH129&lt;&gt;Constants!$B$4,"",MIN(Constants!$B$29,MAX(0,Constants!$B$27*Constants!$B$28*INT(ROUND((Constants!$B$26-$AL129)/Constants!$B$28,6))))+MIN(Constants!$B$29,MAX(0,Constants!$B$27*Constants!$B$28*INT(ROUND((Constants!$B$26-$AM129)/Constants!$B$28,6))))+MIN(Constants!$B$29,MAX(0,Constants!$B$27*Constants!$B$28*INT(ROUND((Constants!$B$26-$AN129)/Constants!$B$28,6)))))</f>
        <v/>
      </c>
      <c r="BT129" s="74" t="str">
        <f aca="false">IF($BH129&lt;&gt;Constants!$B$4,"",IF(NOT($AJ129),0,Constants!$B$31*INT(ROUND(MAX(0,MIN($BF129,2*$AF$9)-$AF$9),6))))</f>
        <v/>
      </c>
      <c r="BU129" s="74" t="str">
        <f aca="false">IF($BH129&lt;&gt;Constants!$B$4,"",Constants!$B$32*(($AL129&gt;Constants!$B$26)+($AM129&gt;Constants!$B$26)+($AN129&gt;Constants!$B$26)))</f>
        <v/>
      </c>
      <c r="BV129" s="74" t="str">
        <f aca="false">IF($BH129&lt;&gt;Constants!$B$4,"",IF(OR(NOT($AJ129),$AO129),0,Constants!$B$33))</f>
        <v/>
      </c>
      <c r="BW129" s="74" t="str">
        <f aca="false">IF($BH129&lt;&gt;Constants!$B$4,"",Constants!$B$34*$BJ129)</f>
        <v/>
      </c>
      <c r="BX129" s="74" t="str">
        <f aca="false">IF($BH129&lt;&gt;Constants!$B$4,"",IF(OR(NOT($AJ129),$BE129),0,Constants!$B$36))</f>
        <v/>
      </c>
      <c r="BY129" s="74" t="str">
        <f aca="false">IF($BH129&lt;&gt;Constants!$B$4,"",IF(OR(NOT($AJ129),$BD129),0,Constants!$B$37))</f>
        <v/>
      </c>
      <c r="BZ129" s="74" t="str">
        <f aca="false">IF($BH129&lt;&gt;Constants!$B$4,"",SUM($BT129:$BY129))</f>
        <v/>
      </c>
      <c r="CA129" s="74" t="str">
        <f aca="false">IF(ISBLANK($C129),"",IF($BH129&lt;&gt;Constants!$B$4,$BH129,SUM($BK129:$BS129)-$BZ129))</f>
        <v/>
      </c>
      <c r="CB129" s="74" t="str">
        <f aca="false">IF(ISBLANK($C129),"",IF($BH129&lt;&gt;Constants!$B$4,$BH129,RANK($CA129,$CA$9:$CA$508)))</f>
        <v/>
      </c>
      <c r="CC129" s="74" t="str">
        <f aca="false">IF(ISBLANK($C129),"",IF($BH129&lt;&gt;Constants!$B$4,$BH129,COUNTIFS($BI$9:$BI$508,"&lt;"&amp;$BI129)+COUNTIFS($BI$9:$BI$508,$BI129,$CB$9:$CB$508,"&lt;"&amp;$CB129)+1))</f>
        <v/>
      </c>
      <c r="CD129" s="74" t="str">
        <f aca="false">IF(ISBLANK($C129),"",IF($BH129&lt;&gt;Constants!$B$4,$BH129,RANK($BZ129,$BZ$9:$BZ$508,1)))</f>
        <v/>
      </c>
      <c r="CE129" s="74" t="str">
        <f aca="false">IF($BH129&lt;&gt;Constants!$B$4,"",$AL129+$AM129+$AN129)</f>
        <v/>
      </c>
      <c r="CF129" s="74" t="str">
        <f aca="false">IF(ISBLANK($C129),"",IF($BH129&lt;&gt;Constants!$B$4,$BH129,RANK($CE129,$CE$9:$CE$508,1)))</f>
        <v/>
      </c>
      <c r="CG129" s="74" t="str">
        <f aca="false">IF(ISBLANK($C129),"",IF($BH129&lt;&gt;Constants!$B$4,$BH129,COUNTIFS($BI$9:$BI$508,"&lt;"&amp;$BI129)+COUNTIFS($BI$9:$BI$508,$BI129,$CB$9:$CB$508,"&lt;"&amp;$CB129)+COUNTIFS($BI$9:$BI$508,$BI129,$CB$9:$CB$508,$CB129,$CD$9:$CD$508,"&lt;"&amp;$CD129)+COUNTIFS($BI$9:$BI$508,$BI129,$CB$9:$CB$508,$CB129,$CD$9:$CD$508,$CD129,$CF$9:$CF$508,"&lt;"&amp;$CF129)+1))</f>
        <v/>
      </c>
      <c r="CH129" s="74" t="str">
        <f aca="false">IF(ISBLANK($C129),"",IF($BH129&lt;&gt;Constants!$B$4,$BH129,$CC129-$CG129))</f>
        <v/>
      </c>
      <c r="CI129" s="74" t="str">
        <f aca="false">IF(ISBLANK($C129),"",IF(NOT($AJ129),"",IF(ISBLANK($D$7),$CI$5,IF(NOT(ISNUMBER($D$7)),$CI$6,""))))</f>
        <v/>
      </c>
      <c r="CJ129" s="74" t="str">
        <f aca="false">IF(ISBLANK($C129),"",OR($AL129="",$AM129="",$AN129=""))</f>
        <v/>
      </c>
      <c r="CK129" s="74" t="str">
        <f aca="false">IF(ISBLANK($C129),"",AND($AJ129,$AX129=""))</f>
        <v/>
      </c>
      <c r="CL129" s="74" t="str">
        <f aca="false">IF(ISBLANK($C129),"",AND($AJ129,$AY129=""))</f>
        <v/>
      </c>
      <c r="CM129" s="74" t="str">
        <f aca="false">IF(ISBLANK($C129),"",AND($AJ129,$AZ129=""))</f>
        <v/>
      </c>
      <c r="CN129" s="74" t="str">
        <f aca="false">IF(ISBLANK($C129),"",AND($AJ129,$BC129=""))</f>
        <v/>
      </c>
      <c r="CO129" s="74" t="str">
        <f aca="false">IF(ISBLANK($C129),"",AND($AJ129,$BF129=""))</f>
        <v/>
      </c>
      <c r="CP129" s="75"/>
      <c r="CQ129" s="76"/>
      <c r="CR129" s="79" t="str">
        <f aca="false">IF(ISBLANK($C129),"",IF($BH129=Constants!$B$8,$CI129,""))</f>
        <v/>
      </c>
      <c r="CS129" s="76" t="str">
        <f aca="false">IF(ISBLANK($C129),"",IF($BH129&lt;&gt;Constants!$B$4,"",$BK129+$BL129))</f>
        <v/>
      </c>
      <c r="CT129" s="78" t="str">
        <f aca="false">IF(ISBLANK($C129),"",IF($BH129&lt;&gt;Constants!$B$4,"",$BM129+$BN129+$BO129))</f>
        <v/>
      </c>
      <c r="CU129" s="78" t="str">
        <f aca="false">IF(ISBLANK($C129),"",IF($BH129&lt;&gt;Constants!$B$4,"",$BP129))</f>
        <v/>
      </c>
      <c r="CV129" s="78" t="str">
        <f aca="false">IF(ISBLANK($C129),"",IF($BH129&lt;&gt;Constants!$B$4,"",$BQ129+$BR129))</f>
        <v/>
      </c>
      <c r="CW129" s="78" t="str">
        <f aca="false">IF(ISBLANK($C129),"",IF($BH129&lt;&gt;Constants!$B$4,"",$BS129))</f>
        <v/>
      </c>
      <c r="CX129" s="78" t="str">
        <f aca="false">IF(ISBLANK($C129),"",IF($BH129&lt;&gt;Constants!$B$4,"",-$BZ129))</f>
        <v/>
      </c>
      <c r="CY129" s="79" t="str">
        <f aca="false">IF(ISBLANK($C129),"",$CA129)</f>
        <v/>
      </c>
      <c r="CZ129" s="80" t="str">
        <f aca="false">IF(ISBLANK($C129),"",$BI129)</f>
        <v/>
      </c>
      <c r="DA129" s="78" t="str">
        <f aca="false">IF(ISBLANK($C129),"",$CH129)</f>
        <v/>
      </c>
      <c r="DB129" s="78" t="str">
        <f aca="false">IF(ISBLANK($C129),"",$CG129)</f>
        <v/>
      </c>
      <c r="DC129" s="81" t="str">
        <f aca="false">IF(ISBLANK($C129),"",IFERROR(_xlfn.SWITCH($DB129,Constants!$B$7,COUNTA($C$9:$C$508)+2,Constants!$B$6,COUNTA($C$9:$C$508)+1,Constants!$B$5,COUNTA($C$9:$C$508)),$DB129))</f>
        <v/>
      </c>
      <c r="DD129" s="7"/>
      <c r="DE129" s="82" t="n">
        <f aca="false">IF(OR(ISNUMBER($DB129),$DB129=Constants!$B$7,$DB129=Constants!$B$5,$DB129=Constants!$B$6),1,0)</f>
        <v>0</v>
      </c>
      <c r="DF129" s="82" t="n">
        <v>121</v>
      </c>
      <c r="DG129" s="82" t="str">
        <f aca="false">IF(ISBLANK($C129),"",IF(ISNUMBER($DC129),$DC129+ROW($B129)/1000,""))</f>
        <v/>
      </c>
      <c r="DH129" s="82" t="str">
        <f aca="false">IF(ISNUMBER($DG129),RANK($DG129,$DG$9:$DG$508,1),"")</f>
        <v/>
      </c>
      <c r="DI129" s="82" t="str">
        <f aca="false">IF(ISBLANK($C129),"",$B129)</f>
        <v/>
      </c>
      <c r="DJ129" s="82" t="str">
        <f aca="false">IF(ISBLANK($C129),"",$C129)</f>
        <v/>
      </c>
      <c r="DK129" s="82" t="str">
        <f aca="false">IF(ISBLANK($C129),"",$D129)</f>
        <v/>
      </c>
      <c r="DL129" s="83" t="str">
        <f aca="false">$CZ129</f>
        <v/>
      </c>
      <c r="DM129" s="84" t="str">
        <f aca="false">$CY129</f>
        <v/>
      </c>
      <c r="DN129" s="82" t="str">
        <f aca="false">IF(ISBLANK($C129),"",$DB129)</f>
        <v/>
      </c>
      <c r="DO129" s="85" t="str">
        <f aca="false">IF($DF129&gt;$DE$8,"",VLOOKUP($DF129,$DH$9:$DN$508,7,FALSE()))</f>
        <v/>
      </c>
      <c r="DP129" s="86" t="str">
        <f aca="false">IF($DF129&gt;$DE$8,"",VLOOKUP($DF129,$DH$9:$DN$508,2,FALSE()))</f>
        <v/>
      </c>
      <c r="DQ129" s="86" t="str">
        <f aca="false">IF($DF129&gt;$DE$8,"",VLOOKUP($DF129,$DH$9:$DN$508,3,FALSE()))</f>
        <v/>
      </c>
      <c r="DR129" s="86" t="str">
        <f aca="false">IF($DF129&gt;$DE$8,"",VLOOKUP($DF129,$DH$9:$DN$508,4,FALSE()))</f>
        <v/>
      </c>
      <c r="DS129" s="86" t="str">
        <f aca="false">IF($DF129&gt;$DE$8,"",VLOOKUP($DF129,$DH$9:$DN$508,5,FALSE()))</f>
        <v/>
      </c>
      <c r="DT129" s="87" t="str">
        <f aca="false">IF($DF129&gt;$DE$8,"",VLOOKUP($DF129,$DH$9:$DN$508,6,FALSE()))</f>
        <v/>
      </c>
      <c r="DU129" s="62"/>
    </row>
    <row r="130" customFormat="false" ht="15.75" hidden="false" customHeight="false" outlineLevel="0" collapsed="false">
      <c r="A130" s="7"/>
      <c r="B130" s="64"/>
      <c r="C130" s="65"/>
      <c r="D130" s="123"/>
      <c r="E130" s="88"/>
      <c r="F130" s="134"/>
      <c r="G130" s="88"/>
      <c r="H130" s="134"/>
      <c r="I130" s="119"/>
      <c r="J130" s="119"/>
      <c r="K130" s="119"/>
      <c r="L130" s="88"/>
      <c r="M130" s="88"/>
      <c r="N130" s="88"/>
      <c r="O130" s="134"/>
      <c r="P130" s="88"/>
      <c r="Q130" s="88"/>
      <c r="R130" s="88"/>
      <c r="S130" s="88"/>
      <c r="T130" s="134"/>
      <c r="U130" s="88"/>
      <c r="V130" s="70"/>
      <c r="W130" s="88"/>
      <c r="X130" s="88"/>
      <c r="Y130" s="70"/>
      <c r="Z130" s="70"/>
      <c r="AA130" s="88"/>
      <c r="AB130" s="88"/>
      <c r="AC130" s="71"/>
      <c r="AD130" s="88"/>
      <c r="AE130" s="73"/>
      <c r="AF130" s="74"/>
      <c r="AG130" s="74"/>
      <c r="AH130" s="74" t="str">
        <f aca="false">IF(ISBLANK($C130),"",IF($E130=Constants!$B$2,TRUE(),IF($E130=Constants!$B$3,FALSE(),TRUE())))</f>
        <v/>
      </c>
      <c r="AI130" s="74" t="str">
        <f aca="false">IF(ISBLANK($C130),"",IF($F130=Constants!$B$2,TRUE(),IF($F130=Constants!$B$3,FALSE(),FALSE())))</f>
        <v/>
      </c>
      <c r="AJ130" s="74" t="str">
        <f aca="false">IF(ISBLANK($C130),"",IF($G130=Constants!$B$2,TRUE(),IF($G130=Constants!$B$3,FALSE(),TRUE())))</f>
        <v/>
      </c>
      <c r="AK130" s="74" t="str">
        <f aca="false">IF(ISBLANK($C130),"",IF($H130=Constants!$B$2,TRUE(),IF($H130=Constants!$B$3,FALSE(),TRUE())))</f>
        <v/>
      </c>
      <c r="AL130" s="74" t="str">
        <f aca="false">IF(ISBLANK($C130),"",IF(ISNUMBER($I130),IF($I130&gt;=0,$I130,""),""))</f>
        <v/>
      </c>
      <c r="AM130" s="74" t="str">
        <f aca="false">IF(ISBLANK($C130),"",IF(ISNUMBER($J130),IF($J130&gt;=0,$J130,""),""))</f>
        <v/>
      </c>
      <c r="AN130" s="74" t="str">
        <f aca="false">IF(ISBLANK($C130),"",IF(ISNUMBER($K130),IF($K130&gt;=0,$K130,""),""))</f>
        <v/>
      </c>
      <c r="AO130" s="74" t="str">
        <f aca="false">IF(ISBLANK($C130),"",IF($L130=Constants!$B$2,TRUE(),IF($L130=Constants!$B$3,FALSE(),TRUE())))</f>
        <v/>
      </c>
      <c r="AP130" s="74" t="str">
        <f aca="false">IF(ISBLANK($C130),"",IF($M130=Constants!$B$2,TRUE(),IF($M130=Constants!$B$3,FALSE(),TRUE())))</f>
        <v/>
      </c>
      <c r="AQ130" s="74" t="str">
        <f aca="false">IF(ISBLANK($C130),"",IF($N130=Constants!$B$2,TRUE(),IF($N130=Constants!$B$3,FALSE(),FALSE())))</f>
        <v/>
      </c>
      <c r="AR130" s="74" t="str">
        <f aca="false">IF(ISBLANK($C130),"",IF($O130=Constants!$B$2,TRUE(),IF($O130=Constants!$B$3,FALSE(),TRUE())))</f>
        <v/>
      </c>
      <c r="AS130" s="74" t="str">
        <f aca="false">IF(ISBLANK($C130),"",IF($P130=Constants!$B$2,TRUE(),IF($P130=Constants!$B$3,FALSE(),FALSE())))</f>
        <v/>
      </c>
      <c r="AT130" s="74" t="str">
        <f aca="false">IF(ISBLANK($C130),"",IF($Q130=Constants!$B$2,TRUE(),IF($Q130=Constants!$B$3,FALSE(),FALSE())))</f>
        <v/>
      </c>
      <c r="AU130" s="74" t="str">
        <f aca="false">IF(ISBLANK($C130),"",IF($R130=Constants!$B$2,TRUE(),IF($R130=Constants!$B$3,FALSE(),FALSE())))</f>
        <v/>
      </c>
      <c r="AV130" s="74" t="str">
        <f aca="false">IF(ISBLANK($C130),"",IF($S130=Constants!$B$2,TRUE(),IF($S130=Constants!$B$3,FALSE(),FALSE())))</f>
        <v/>
      </c>
      <c r="AW130" s="74" t="str">
        <f aca="false">IF(ISBLANK($C130),"",IF($T130=Constants!$B$2,TRUE(),IF($T130=Constants!$B$3,FALSE(),FALSE())))</f>
        <v/>
      </c>
      <c r="AX130" s="74" t="str">
        <f aca="false">IF(ISBLANK($C130),"",IF(OR($U130&amp;""="1",$U130&amp;""="2",$U130&amp;""="3",$U130&amp;""="4"),VALUE($U130&amp;""),IF($U130=Constants!$B$12,Constants!$B$12,"")))</f>
        <v/>
      </c>
      <c r="AY130" s="74" t="str">
        <f aca="false">IF(ISBLANK($C130),"",IF(ISBLANK($V130),0,IF(ISNUMBER($V130),IF(AND($V130&gt;=0,$V130&lt;=Constants!$B$21,$V130=INT($V130)),$V130,""),"")))</f>
        <v/>
      </c>
      <c r="AZ130" s="74" t="str">
        <f aca="false">IF(ISBLANK($C130),"",IF(ISBLANK($W130),0,IF(ISNUMBER($W130),IF($W130&gt;=0,$W130,""),"")))</f>
        <v/>
      </c>
      <c r="BA130" s="74" t="str">
        <f aca="false">IF(ISBLANK($C130),"",IF($X130=Constants!$B$2,TRUE(),IF($X130=Constants!$B$3,FALSE(),TRUE())))</f>
        <v/>
      </c>
      <c r="BB130" s="74" t="str">
        <f aca="false">IF(ISBLANK($C130),"",IF($Y130=Constants!$B$2,TRUE(),IF($Y130=Constants!$B$3,FALSE(),FALSE())))</f>
        <v/>
      </c>
      <c r="BC130" s="74" t="str">
        <f aca="false">IF(ISBLANK($C130),"",IF(ISBLANK($Z130),0,IF(ISNUMBER($Z130),IF(AND($Z130&gt;=0,$Z130&lt;=Constants!$B$35,$Z130=INT($Z130)),$Z130,""),"")))</f>
        <v/>
      </c>
      <c r="BD130" s="74" t="str">
        <f aca="false">IF(ISBLANK($C130),"",IF($AA130=Constants!$B$2,TRUE(),IF($AA130=Constants!$B$3,FALSE(),TRUE())))</f>
        <v/>
      </c>
      <c r="BE130" s="74" t="str">
        <f aca="false">IF(ISBLANK($C130),"",IF($AB130=Constants!$B$2,TRUE(),IF($AB130=Constants!$B$3,FALSE(),TRUE())))</f>
        <v/>
      </c>
      <c r="BF130" s="74" t="str">
        <f aca="false">IF(ISBLANK($C130),"",IF(ISNUMBER($AC130),IF($AC130&gt;=0,$AC130,""),""))</f>
        <v/>
      </c>
      <c r="BG130" s="74" t="str">
        <f aca="false">IF(ISBLANK($C130),"",IF($AD130=Constants!$B$2,TRUE(),IF($AD130=Constants!$B$3,FALSE(),FALSE())))</f>
        <v/>
      </c>
      <c r="BH130" s="73" t="str">
        <f aca="false">IF(ISBLANK($C130),"",IF($BG130,Constants!$B$7,IF(COUNTA($E130:$AC130)=0,Constants!$B$6,IF(OR(COUNTA($G130:$AC130)=0,NOT($AK130),$AQ130),Constants!$B$5,IF(OR($CI130&lt;&gt;"",$CJ130,$CK130,$CL130,$CM130,$CN130,$CO130),Constants!$B$8,Constants!$B$4)))))</f>
        <v/>
      </c>
      <c r="BI130" s="74" t="str">
        <f aca="false">IF(ISBLANK($C130),"",IF($BH130&lt;&gt;Constants!$B$4,$BH130,IF(OR(NOT($AH130),NOT($AJ130),NOT($AR130)),Constants!$B$11,IF(OR(NOT($AP130),MAX($AL130,$AM130,$AN130)&gt;Constants!$B$30),Constants!$B$10,Constants!$B$9))))</f>
        <v/>
      </c>
      <c r="BJ130" s="74" t="str">
        <f aca="false">IF($BH130&lt;&gt;Constants!$B$4,"",IF(NOT($AJ130),0,MIN(Constants!$B$35,$BC130)))</f>
        <v/>
      </c>
      <c r="BK130" s="74" t="str">
        <f aca="false">IF($BH130&lt;&gt;Constants!$B$4,"",IF(NOT($AJ130),0,IF($AT130,Constants!$B$18,IF($AS130,Constants!$B$17,0))))</f>
        <v/>
      </c>
      <c r="BL130" s="74" t="str">
        <f aca="false">IF($BH130&lt;&gt;Constants!$B$4,"",IF(NOT($AJ130),0,Constants!$B$19*($AI130+$AU130+$AV130+$AW130)))</f>
        <v/>
      </c>
      <c r="BM130" s="74" t="str">
        <f aca="false">IF($BH130&lt;&gt;Constants!$B$4,"",IF(OR(NOT($AJ130),NOT(ISNUMBER($AX130))),0,CHOOSE($AX130,Constants!$B$13,Constants!$B$14,Constants!$B$15,Constants!$B$16)))</f>
        <v/>
      </c>
      <c r="BN130" s="74" t="str">
        <f aca="false">IF($BH130&lt;&gt;Constants!$B$4,"",IF(NOT($AJ130),0,Constants!$B$20*$AY130))</f>
        <v/>
      </c>
      <c r="BO130" s="74" t="str">
        <f aca="false">IF($BH130&lt;&gt;Constants!$B$4,"",IF(AND($AJ130,$BA130,$BB130),Constants!$B$22,0))</f>
        <v/>
      </c>
      <c r="BP130" s="74" t="str">
        <f aca="false">IF($BH130&lt;&gt;Constants!$B$4,"",IF(OR(NOT($AJ130),NOT($BA130)),0,IF($BF130&gt;=2*$AF$9,0,Constants!$B$23*INT(ROUND(MIN($BF130,$AF$9),6)))))</f>
        <v/>
      </c>
      <c r="BQ130" s="74" t="str">
        <f aca="false">IF($BH130&lt;&gt;Constants!$B$4,"",IF(NOT($AJ130),0,Constants!$B$24*INT(ROUND(MIN($AZ130,$AF$9),6))))</f>
        <v/>
      </c>
      <c r="BR130" s="74" t="str">
        <f aca="false">IF($BH130&lt;&gt;Constants!$B$4,"",IF(AND($AJ130,$BJ130=0),Constants!$B$25,0))</f>
        <v/>
      </c>
      <c r="BS130" s="74" t="str">
        <f aca="false">IF($BH130&lt;&gt;Constants!$B$4,"",MIN(Constants!$B$29,MAX(0,Constants!$B$27*Constants!$B$28*INT(ROUND((Constants!$B$26-$AL130)/Constants!$B$28,6))))+MIN(Constants!$B$29,MAX(0,Constants!$B$27*Constants!$B$28*INT(ROUND((Constants!$B$26-$AM130)/Constants!$B$28,6))))+MIN(Constants!$B$29,MAX(0,Constants!$B$27*Constants!$B$28*INT(ROUND((Constants!$B$26-$AN130)/Constants!$B$28,6)))))</f>
        <v/>
      </c>
      <c r="BT130" s="74" t="str">
        <f aca="false">IF($BH130&lt;&gt;Constants!$B$4,"",IF(NOT($AJ130),0,Constants!$B$31*INT(ROUND(MAX(0,MIN($BF130,2*$AF$9)-$AF$9),6))))</f>
        <v/>
      </c>
      <c r="BU130" s="74" t="str">
        <f aca="false">IF($BH130&lt;&gt;Constants!$B$4,"",Constants!$B$32*(($AL130&gt;Constants!$B$26)+($AM130&gt;Constants!$B$26)+($AN130&gt;Constants!$B$26)))</f>
        <v/>
      </c>
      <c r="BV130" s="74" t="str">
        <f aca="false">IF($BH130&lt;&gt;Constants!$B$4,"",IF(OR(NOT($AJ130),$AO130),0,Constants!$B$33))</f>
        <v/>
      </c>
      <c r="BW130" s="74" t="str">
        <f aca="false">IF($BH130&lt;&gt;Constants!$B$4,"",Constants!$B$34*$BJ130)</f>
        <v/>
      </c>
      <c r="BX130" s="74" t="str">
        <f aca="false">IF($BH130&lt;&gt;Constants!$B$4,"",IF(OR(NOT($AJ130),$BE130),0,Constants!$B$36))</f>
        <v/>
      </c>
      <c r="BY130" s="74" t="str">
        <f aca="false">IF($BH130&lt;&gt;Constants!$B$4,"",IF(OR(NOT($AJ130),$BD130),0,Constants!$B$37))</f>
        <v/>
      </c>
      <c r="BZ130" s="74" t="str">
        <f aca="false">IF($BH130&lt;&gt;Constants!$B$4,"",SUM($BT130:$BY130))</f>
        <v/>
      </c>
      <c r="CA130" s="74" t="str">
        <f aca="false">IF(ISBLANK($C130),"",IF($BH130&lt;&gt;Constants!$B$4,$BH130,SUM($BK130:$BS130)-$BZ130))</f>
        <v/>
      </c>
      <c r="CB130" s="74" t="str">
        <f aca="false">IF(ISBLANK($C130),"",IF($BH130&lt;&gt;Constants!$B$4,$BH130,RANK($CA130,$CA$9:$CA$508)))</f>
        <v/>
      </c>
      <c r="CC130" s="74" t="str">
        <f aca="false">IF(ISBLANK($C130),"",IF($BH130&lt;&gt;Constants!$B$4,$BH130,COUNTIFS($BI$9:$BI$508,"&lt;"&amp;$BI130)+COUNTIFS($BI$9:$BI$508,$BI130,$CB$9:$CB$508,"&lt;"&amp;$CB130)+1))</f>
        <v/>
      </c>
      <c r="CD130" s="74" t="str">
        <f aca="false">IF(ISBLANK($C130),"",IF($BH130&lt;&gt;Constants!$B$4,$BH130,RANK($BZ130,$BZ$9:$BZ$508,1)))</f>
        <v/>
      </c>
      <c r="CE130" s="74" t="str">
        <f aca="false">IF($BH130&lt;&gt;Constants!$B$4,"",$AL130+$AM130+$AN130)</f>
        <v/>
      </c>
      <c r="CF130" s="74" t="str">
        <f aca="false">IF(ISBLANK($C130),"",IF($BH130&lt;&gt;Constants!$B$4,$BH130,RANK($CE130,$CE$9:$CE$508,1)))</f>
        <v/>
      </c>
      <c r="CG130" s="74" t="str">
        <f aca="false">IF(ISBLANK($C130),"",IF($BH130&lt;&gt;Constants!$B$4,$BH130,COUNTIFS($BI$9:$BI$508,"&lt;"&amp;$BI130)+COUNTIFS($BI$9:$BI$508,$BI130,$CB$9:$CB$508,"&lt;"&amp;$CB130)+COUNTIFS($BI$9:$BI$508,$BI130,$CB$9:$CB$508,$CB130,$CD$9:$CD$508,"&lt;"&amp;$CD130)+COUNTIFS($BI$9:$BI$508,$BI130,$CB$9:$CB$508,$CB130,$CD$9:$CD$508,$CD130,$CF$9:$CF$508,"&lt;"&amp;$CF130)+1))</f>
        <v/>
      </c>
      <c r="CH130" s="74" t="str">
        <f aca="false">IF(ISBLANK($C130),"",IF($BH130&lt;&gt;Constants!$B$4,$BH130,$CC130-$CG130))</f>
        <v/>
      </c>
      <c r="CI130" s="74" t="str">
        <f aca="false">IF(ISBLANK($C130),"",IF(NOT($AJ130),"",IF(ISBLANK($D$7),$CI$5,IF(NOT(ISNUMBER($D$7)),$CI$6,""))))</f>
        <v/>
      </c>
      <c r="CJ130" s="74" t="str">
        <f aca="false">IF(ISBLANK($C130),"",OR($AL130="",$AM130="",$AN130=""))</f>
        <v/>
      </c>
      <c r="CK130" s="74" t="str">
        <f aca="false">IF(ISBLANK($C130),"",AND($AJ130,$AX130=""))</f>
        <v/>
      </c>
      <c r="CL130" s="74" t="str">
        <f aca="false">IF(ISBLANK($C130),"",AND($AJ130,$AY130=""))</f>
        <v/>
      </c>
      <c r="CM130" s="74" t="str">
        <f aca="false">IF(ISBLANK($C130),"",AND($AJ130,$AZ130=""))</f>
        <v/>
      </c>
      <c r="CN130" s="74" t="str">
        <f aca="false">IF(ISBLANK($C130),"",AND($AJ130,$BC130=""))</f>
        <v/>
      </c>
      <c r="CO130" s="74" t="str">
        <f aca="false">IF(ISBLANK($C130),"",AND($AJ130,$BF130=""))</f>
        <v/>
      </c>
      <c r="CP130" s="75"/>
      <c r="CQ130" s="76"/>
      <c r="CR130" s="79" t="str">
        <f aca="false">IF(ISBLANK($C130),"",IF($BH130=Constants!$B$8,$CI130,""))</f>
        <v/>
      </c>
      <c r="CS130" s="76" t="str">
        <f aca="false">IF(ISBLANK($C130),"",IF($BH130&lt;&gt;Constants!$B$4,"",$BK130+$BL130))</f>
        <v/>
      </c>
      <c r="CT130" s="78" t="str">
        <f aca="false">IF(ISBLANK($C130),"",IF($BH130&lt;&gt;Constants!$B$4,"",$BM130+$BN130+$BO130))</f>
        <v/>
      </c>
      <c r="CU130" s="78" t="str">
        <f aca="false">IF(ISBLANK($C130),"",IF($BH130&lt;&gt;Constants!$B$4,"",$BP130))</f>
        <v/>
      </c>
      <c r="CV130" s="78" t="str">
        <f aca="false">IF(ISBLANK($C130),"",IF($BH130&lt;&gt;Constants!$B$4,"",$BQ130+$BR130))</f>
        <v/>
      </c>
      <c r="CW130" s="78" t="str">
        <f aca="false">IF(ISBLANK($C130),"",IF($BH130&lt;&gt;Constants!$B$4,"",$BS130))</f>
        <v/>
      </c>
      <c r="CX130" s="78" t="str">
        <f aca="false">IF(ISBLANK($C130),"",IF($BH130&lt;&gt;Constants!$B$4,"",-$BZ130))</f>
        <v/>
      </c>
      <c r="CY130" s="79" t="str">
        <f aca="false">IF(ISBLANK($C130),"",$CA130)</f>
        <v/>
      </c>
      <c r="CZ130" s="80" t="str">
        <f aca="false">IF(ISBLANK($C130),"",$BI130)</f>
        <v/>
      </c>
      <c r="DA130" s="78" t="str">
        <f aca="false">IF(ISBLANK($C130),"",$CH130)</f>
        <v/>
      </c>
      <c r="DB130" s="78" t="str">
        <f aca="false">IF(ISBLANK($C130),"",$CG130)</f>
        <v/>
      </c>
      <c r="DC130" s="81" t="str">
        <f aca="false">IF(ISBLANK($C130),"",IFERROR(_xlfn.SWITCH($DB130,Constants!$B$7,COUNTA($C$9:$C$508)+2,Constants!$B$6,COUNTA($C$9:$C$508)+1,Constants!$B$5,COUNTA($C$9:$C$508)),$DB130))</f>
        <v/>
      </c>
      <c r="DD130" s="7"/>
      <c r="DE130" s="82" t="n">
        <f aca="false">IF(OR(ISNUMBER($DB130),$DB130=Constants!$B$7,$DB130=Constants!$B$5,$DB130=Constants!$B$6),1,0)</f>
        <v>0</v>
      </c>
      <c r="DF130" s="82" t="n">
        <v>122</v>
      </c>
      <c r="DG130" s="82" t="str">
        <f aca="false">IF(ISBLANK($C130),"",IF(ISNUMBER($DC130),$DC130+ROW($B130)/1000,""))</f>
        <v/>
      </c>
      <c r="DH130" s="82" t="str">
        <f aca="false">IF(ISNUMBER($DG130),RANK($DG130,$DG$9:$DG$508,1),"")</f>
        <v/>
      </c>
      <c r="DI130" s="82" t="str">
        <f aca="false">IF(ISBLANK($C130),"",$B130)</f>
        <v/>
      </c>
      <c r="DJ130" s="82" t="str">
        <f aca="false">IF(ISBLANK($C130),"",$C130)</f>
        <v/>
      </c>
      <c r="DK130" s="82" t="str">
        <f aca="false">IF(ISBLANK($C130),"",$D130)</f>
        <v/>
      </c>
      <c r="DL130" s="83" t="str">
        <f aca="false">$CZ130</f>
        <v/>
      </c>
      <c r="DM130" s="84" t="str">
        <f aca="false">$CY130</f>
        <v/>
      </c>
      <c r="DN130" s="82" t="str">
        <f aca="false">IF(ISBLANK($C130),"",$DB130)</f>
        <v/>
      </c>
      <c r="DO130" s="85" t="str">
        <f aca="false">IF($DF130&gt;$DE$8,"",VLOOKUP($DF130,$DH$9:$DN$508,7,FALSE()))</f>
        <v/>
      </c>
      <c r="DP130" s="86" t="str">
        <f aca="false">IF($DF130&gt;$DE$8,"",VLOOKUP($DF130,$DH$9:$DN$508,2,FALSE()))</f>
        <v/>
      </c>
      <c r="DQ130" s="86" t="str">
        <f aca="false">IF($DF130&gt;$DE$8,"",VLOOKUP($DF130,$DH$9:$DN$508,3,FALSE()))</f>
        <v/>
      </c>
      <c r="DR130" s="86" t="str">
        <f aca="false">IF($DF130&gt;$DE$8,"",VLOOKUP($DF130,$DH$9:$DN$508,4,FALSE()))</f>
        <v/>
      </c>
      <c r="DS130" s="86" t="str">
        <f aca="false">IF($DF130&gt;$DE$8,"",VLOOKUP($DF130,$DH$9:$DN$508,5,FALSE()))</f>
        <v/>
      </c>
      <c r="DT130" s="87" t="str">
        <f aca="false">IF($DF130&gt;$DE$8,"",VLOOKUP($DF130,$DH$9:$DN$508,6,FALSE()))</f>
        <v/>
      </c>
      <c r="DU130" s="62"/>
    </row>
    <row r="131" customFormat="false" ht="15.75" hidden="false" customHeight="false" outlineLevel="0" collapsed="false">
      <c r="A131" s="7"/>
      <c r="B131" s="64"/>
      <c r="C131" s="65"/>
      <c r="D131" s="123"/>
      <c r="E131" s="88"/>
      <c r="F131" s="134"/>
      <c r="G131" s="88"/>
      <c r="H131" s="134"/>
      <c r="I131" s="119"/>
      <c r="J131" s="119"/>
      <c r="K131" s="119"/>
      <c r="L131" s="88"/>
      <c r="M131" s="88"/>
      <c r="N131" s="88"/>
      <c r="O131" s="134"/>
      <c r="P131" s="88"/>
      <c r="Q131" s="88"/>
      <c r="R131" s="88"/>
      <c r="S131" s="88"/>
      <c r="T131" s="134"/>
      <c r="U131" s="88"/>
      <c r="V131" s="70"/>
      <c r="W131" s="88"/>
      <c r="X131" s="88"/>
      <c r="Y131" s="70"/>
      <c r="Z131" s="70"/>
      <c r="AA131" s="88"/>
      <c r="AB131" s="88"/>
      <c r="AC131" s="71"/>
      <c r="AD131" s="88"/>
      <c r="AE131" s="73"/>
      <c r="AF131" s="74"/>
      <c r="AG131" s="74"/>
      <c r="AH131" s="74" t="str">
        <f aca="false">IF(ISBLANK($C131),"",IF($E131=Constants!$B$2,TRUE(),IF($E131=Constants!$B$3,FALSE(),TRUE())))</f>
        <v/>
      </c>
      <c r="AI131" s="74" t="str">
        <f aca="false">IF(ISBLANK($C131),"",IF($F131=Constants!$B$2,TRUE(),IF($F131=Constants!$B$3,FALSE(),FALSE())))</f>
        <v/>
      </c>
      <c r="AJ131" s="74" t="str">
        <f aca="false">IF(ISBLANK($C131),"",IF($G131=Constants!$B$2,TRUE(),IF($G131=Constants!$B$3,FALSE(),TRUE())))</f>
        <v/>
      </c>
      <c r="AK131" s="74" t="str">
        <f aca="false">IF(ISBLANK($C131),"",IF($H131=Constants!$B$2,TRUE(),IF($H131=Constants!$B$3,FALSE(),TRUE())))</f>
        <v/>
      </c>
      <c r="AL131" s="74" t="str">
        <f aca="false">IF(ISBLANK($C131),"",IF(ISNUMBER($I131),IF($I131&gt;=0,$I131,""),""))</f>
        <v/>
      </c>
      <c r="AM131" s="74" t="str">
        <f aca="false">IF(ISBLANK($C131),"",IF(ISNUMBER($J131),IF($J131&gt;=0,$J131,""),""))</f>
        <v/>
      </c>
      <c r="AN131" s="74" t="str">
        <f aca="false">IF(ISBLANK($C131),"",IF(ISNUMBER($K131),IF($K131&gt;=0,$K131,""),""))</f>
        <v/>
      </c>
      <c r="AO131" s="74" t="str">
        <f aca="false">IF(ISBLANK($C131),"",IF($L131=Constants!$B$2,TRUE(),IF($L131=Constants!$B$3,FALSE(),TRUE())))</f>
        <v/>
      </c>
      <c r="AP131" s="74" t="str">
        <f aca="false">IF(ISBLANK($C131),"",IF($M131=Constants!$B$2,TRUE(),IF($M131=Constants!$B$3,FALSE(),TRUE())))</f>
        <v/>
      </c>
      <c r="AQ131" s="74" t="str">
        <f aca="false">IF(ISBLANK($C131),"",IF($N131=Constants!$B$2,TRUE(),IF($N131=Constants!$B$3,FALSE(),FALSE())))</f>
        <v/>
      </c>
      <c r="AR131" s="74" t="str">
        <f aca="false">IF(ISBLANK($C131),"",IF($O131=Constants!$B$2,TRUE(),IF($O131=Constants!$B$3,FALSE(),TRUE())))</f>
        <v/>
      </c>
      <c r="AS131" s="74" t="str">
        <f aca="false">IF(ISBLANK($C131),"",IF($P131=Constants!$B$2,TRUE(),IF($P131=Constants!$B$3,FALSE(),FALSE())))</f>
        <v/>
      </c>
      <c r="AT131" s="74" t="str">
        <f aca="false">IF(ISBLANK($C131),"",IF($Q131=Constants!$B$2,TRUE(),IF($Q131=Constants!$B$3,FALSE(),FALSE())))</f>
        <v/>
      </c>
      <c r="AU131" s="74" t="str">
        <f aca="false">IF(ISBLANK($C131),"",IF($R131=Constants!$B$2,TRUE(),IF($R131=Constants!$B$3,FALSE(),FALSE())))</f>
        <v/>
      </c>
      <c r="AV131" s="74" t="str">
        <f aca="false">IF(ISBLANK($C131),"",IF($S131=Constants!$B$2,TRUE(),IF($S131=Constants!$B$3,FALSE(),FALSE())))</f>
        <v/>
      </c>
      <c r="AW131" s="74" t="str">
        <f aca="false">IF(ISBLANK($C131),"",IF($T131=Constants!$B$2,TRUE(),IF($T131=Constants!$B$3,FALSE(),FALSE())))</f>
        <v/>
      </c>
      <c r="AX131" s="74" t="str">
        <f aca="false">IF(ISBLANK($C131),"",IF(OR($U131&amp;""="1",$U131&amp;""="2",$U131&amp;""="3",$U131&amp;""="4"),VALUE($U131&amp;""),IF($U131=Constants!$B$12,Constants!$B$12,"")))</f>
        <v/>
      </c>
      <c r="AY131" s="74" t="str">
        <f aca="false">IF(ISBLANK($C131),"",IF(ISBLANK($V131),0,IF(ISNUMBER($V131),IF(AND($V131&gt;=0,$V131&lt;=Constants!$B$21,$V131=INT($V131)),$V131,""),"")))</f>
        <v/>
      </c>
      <c r="AZ131" s="74" t="str">
        <f aca="false">IF(ISBLANK($C131),"",IF(ISBLANK($W131),0,IF(ISNUMBER($W131),IF($W131&gt;=0,$W131,""),"")))</f>
        <v/>
      </c>
      <c r="BA131" s="74" t="str">
        <f aca="false">IF(ISBLANK($C131),"",IF($X131=Constants!$B$2,TRUE(),IF($X131=Constants!$B$3,FALSE(),TRUE())))</f>
        <v/>
      </c>
      <c r="BB131" s="74" t="str">
        <f aca="false">IF(ISBLANK($C131),"",IF($Y131=Constants!$B$2,TRUE(),IF($Y131=Constants!$B$3,FALSE(),FALSE())))</f>
        <v/>
      </c>
      <c r="BC131" s="74" t="str">
        <f aca="false">IF(ISBLANK($C131),"",IF(ISBLANK($Z131),0,IF(ISNUMBER($Z131),IF(AND($Z131&gt;=0,$Z131&lt;=Constants!$B$35,$Z131=INT($Z131)),$Z131,""),"")))</f>
        <v/>
      </c>
      <c r="BD131" s="74" t="str">
        <f aca="false">IF(ISBLANK($C131),"",IF($AA131=Constants!$B$2,TRUE(),IF($AA131=Constants!$B$3,FALSE(),TRUE())))</f>
        <v/>
      </c>
      <c r="BE131" s="74" t="str">
        <f aca="false">IF(ISBLANK($C131),"",IF($AB131=Constants!$B$2,TRUE(),IF($AB131=Constants!$B$3,FALSE(),TRUE())))</f>
        <v/>
      </c>
      <c r="BF131" s="74" t="str">
        <f aca="false">IF(ISBLANK($C131),"",IF(ISNUMBER($AC131),IF($AC131&gt;=0,$AC131,""),""))</f>
        <v/>
      </c>
      <c r="BG131" s="74" t="str">
        <f aca="false">IF(ISBLANK($C131),"",IF($AD131=Constants!$B$2,TRUE(),IF($AD131=Constants!$B$3,FALSE(),FALSE())))</f>
        <v/>
      </c>
      <c r="BH131" s="73" t="str">
        <f aca="false">IF(ISBLANK($C131),"",IF($BG131,Constants!$B$7,IF(COUNTA($E131:$AC131)=0,Constants!$B$6,IF(OR(COUNTA($G131:$AC131)=0,NOT($AK131),$AQ131),Constants!$B$5,IF(OR($CI131&lt;&gt;"",$CJ131,$CK131,$CL131,$CM131,$CN131,$CO131),Constants!$B$8,Constants!$B$4)))))</f>
        <v/>
      </c>
      <c r="BI131" s="74" t="str">
        <f aca="false">IF(ISBLANK($C131),"",IF($BH131&lt;&gt;Constants!$B$4,$BH131,IF(OR(NOT($AH131),NOT($AJ131),NOT($AR131)),Constants!$B$11,IF(OR(NOT($AP131),MAX($AL131,$AM131,$AN131)&gt;Constants!$B$30),Constants!$B$10,Constants!$B$9))))</f>
        <v/>
      </c>
      <c r="BJ131" s="74" t="str">
        <f aca="false">IF($BH131&lt;&gt;Constants!$B$4,"",IF(NOT($AJ131),0,MIN(Constants!$B$35,$BC131)))</f>
        <v/>
      </c>
      <c r="BK131" s="74" t="str">
        <f aca="false">IF($BH131&lt;&gt;Constants!$B$4,"",IF(NOT($AJ131),0,IF($AT131,Constants!$B$18,IF($AS131,Constants!$B$17,0))))</f>
        <v/>
      </c>
      <c r="BL131" s="74" t="str">
        <f aca="false">IF($BH131&lt;&gt;Constants!$B$4,"",IF(NOT($AJ131),0,Constants!$B$19*($AI131+$AU131+$AV131+$AW131)))</f>
        <v/>
      </c>
      <c r="BM131" s="74" t="str">
        <f aca="false">IF($BH131&lt;&gt;Constants!$B$4,"",IF(OR(NOT($AJ131),NOT(ISNUMBER($AX131))),0,CHOOSE($AX131,Constants!$B$13,Constants!$B$14,Constants!$B$15,Constants!$B$16)))</f>
        <v/>
      </c>
      <c r="BN131" s="74" t="str">
        <f aca="false">IF($BH131&lt;&gt;Constants!$B$4,"",IF(NOT($AJ131),0,Constants!$B$20*$AY131))</f>
        <v/>
      </c>
      <c r="BO131" s="74" t="str">
        <f aca="false">IF($BH131&lt;&gt;Constants!$B$4,"",IF(AND($AJ131,$BA131,$BB131),Constants!$B$22,0))</f>
        <v/>
      </c>
      <c r="BP131" s="74" t="str">
        <f aca="false">IF($BH131&lt;&gt;Constants!$B$4,"",IF(OR(NOT($AJ131),NOT($BA131)),0,IF($BF131&gt;=2*$AF$9,0,Constants!$B$23*INT(ROUND(MIN($BF131,$AF$9),6)))))</f>
        <v/>
      </c>
      <c r="BQ131" s="74" t="str">
        <f aca="false">IF($BH131&lt;&gt;Constants!$B$4,"",IF(NOT($AJ131),0,Constants!$B$24*INT(ROUND(MIN($AZ131,$AF$9),6))))</f>
        <v/>
      </c>
      <c r="BR131" s="74" t="str">
        <f aca="false">IF($BH131&lt;&gt;Constants!$B$4,"",IF(AND($AJ131,$BJ131=0),Constants!$B$25,0))</f>
        <v/>
      </c>
      <c r="BS131" s="74" t="str">
        <f aca="false">IF($BH131&lt;&gt;Constants!$B$4,"",MIN(Constants!$B$29,MAX(0,Constants!$B$27*Constants!$B$28*INT(ROUND((Constants!$B$26-$AL131)/Constants!$B$28,6))))+MIN(Constants!$B$29,MAX(0,Constants!$B$27*Constants!$B$28*INT(ROUND((Constants!$B$26-$AM131)/Constants!$B$28,6))))+MIN(Constants!$B$29,MAX(0,Constants!$B$27*Constants!$B$28*INT(ROUND((Constants!$B$26-$AN131)/Constants!$B$28,6)))))</f>
        <v/>
      </c>
      <c r="BT131" s="74" t="str">
        <f aca="false">IF($BH131&lt;&gt;Constants!$B$4,"",IF(NOT($AJ131),0,Constants!$B$31*INT(ROUND(MAX(0,MIN($BF131,2*$AF$9)-$AF$9),6))))</f>
        <v/>
      </c>
      <c r="BU131" s="74" t="str">
        <f aca="false">IF($BH131&lt;&gt;Constants!$B$4,"",Constants!$B$32*(($AL131&gt;Constants!$B$26)+($AM131&gt;Constants!$B$26)+($AN131&gt;Constants!$B$26)))</f>
        <v/>
      </c>
      <c r="BV131" s="74" t="str">
        <f aca="false">IF($BH131&lt;&gt;Constants!$B$4,"",IF(OR(NOT($AJ131),$AO131),0,Constants!$B$33))</f>
        <v/>
      </c>
      <c r="BW131" s="74" t="str">
        <f aca="false">IF($BH131&lt;&gt;Constants!$B$4,"",Constants!$B$34*$BJ131)</f>
        <v/>
      </c>
      <c r="BX131" s="74" t="str">
        <f aca="false">IF($BH131&lt;&gt;Constants!$B$4,"",IF(OR(NOT($AJ131),$BE131),0,Constants!$B$36))</f>
        <v/>
      </c>
      <c r="BY131" s="74" t="str">
        <f aca="false">IF($BH131&lt;&gt;Constants!$B$4,"",IF(OR(NOT($AJ131),$BD131),0,Constants!$B$37))</f>
        <v/>
      </c>
      <c r="BZ131" s="74" t="str">
        <f aca="false">IF($BH131&lt;&gt;Constants!$B$4,"",SUM($BT131:$BY131))</f>
        <v/>
      </c>
      <c r="CA131" s="74" t="str">
        <f aca="false">IF(ISBLANK($C131),"",IF($BH131&lt;&gt;Constants!$B$4,$BH131,SUM($BK131:$BS131)-$BZ131))</f>
        <v/>
      </c>
      <c r="CB131" s="74" t="str">
        <f aca="false">IF(ISBLANK($C131),"",IF($BH131&lt;&gt;Constants!$B$4,$BH131,RANK($CA131,$CA$9:$CA$508)))</f>
        <v/>
      </c>
      <c r="CC131" s="74" t="str">
        <f aca="false">IF(ISBLANK($C131),"",IF($BH131&lt;&gt;Constants!$B$4,$BH131,COUNTIFS($BI$9:$BI$508,"&lt;"&amp;$BI131)+COUNTIFS($BI$9:$BI$508,$BI131,$CB$9:$CB$508,"&lt;"&amp;$CB131)+1))</f>
        <v/>
      </c>
      <c r="CD131" s="74" t="str">
        <f aca="false">IF(ISBLANK($C131),"",IF($BH131&lt;&gt;Constants!$B$4,$BH131,RANK($BZ131,$BZ$9:$BZ$508,1)))</f>
        <v/>
      </c>
      <c r="CE131" s="74" t="str">
        <f aca="false">IF($BH131&lt;&gt;Constants!$B$4,"",$AL131+$AM131+$AN131)</f>
        <v/>
      </c>
      <c r="CF131" s="74" t="str">
        <f aca="false">IF(ISBLANK($C131),"",IF($BH131&lt;&gt;Constants!$B$4,$BH131,RANK($CE131,$CE$9:$CE$508,1)))</f>
        <v/>
      </c>
      <c r="CG131" s="74" t="str">
        <f aca="false">IF(ISBLANK($C131),"",IF($BH131&lt;&gt;Constants!$B$4,$BH131,COUNTIFS($BI$9:$BI$508,"&lt;"&amp;$BI131)+COUNTIFS($BI$9:$BI$508,$BI131,$CB$9:$CB$508,"&lt;"&amp;$CB131)+COUNTIFS($BI$9:$BI$508,$BI131,$CB$9:$CB$508,$CB131,$CD$9:$CD$508,"&lt;"&amp;$CD131)+COUNTIFS($BI$9:$BI$508,$BI131,$CB$9:$CB$508,$CB131,$CD$9:$CD$508,$CD131,$CF$9:$CF$508,"&lt;"&amp;$CF131)+1))</f>
        <v/>
      </c>
      <c r="CH131" s="74" t="str">
        <f aca="false">IF(ISBLANK($C131),"",IF($BH131&lt;&gt;Constants!$B$4,$BH131,$CC131-$CG131))</f>
        <v/>
      </c>
      <c r="CI131" s="74" t="str">
        <f aca="false">IF(ISBLANK($C131),"",IF(NOT($AJ131),"",IF(ISBLANK($D$7),$CI$5,IF(NOT(ISNUMBER($D$7)),$CI$6,""))))</f>
        <v/>
      </c>
      <c r="CJ131" s="74" t="str">
        <f aca="false">IF(ISBLANK($C131),"",OR($AL131="",$AM131="",$AN131=""))</f>
        <v/>
      </c>
      <c r="CK131" s="74" t="str">
        <f aca="false">IF(ISBLANK($C131),"",AND($AJ131,$AX131=""))</f>
        <v/>
      </c>
      <c r="CL131" s="74" t="str">
        <f aca="false">IF(ISBLANK($C131),"",AND($AJ131,$AY131=""))</f>
        <v/>
      </c>
      <c r="CM131" s="74" t="str">
        <f aca="false">IF(ISBLANK($C131),"",AND($AJ131,$AZ131=""))</f>
        <v/>
      </c>
      <c r="CN131" s="74" t="str">
        <f aca="false">IF(ISBLANK($C131),"",AND($AJ131,$BC131=""))</f>
        <v/>
      </c>
      <c r="CO131" s="74" t="str">
        <f aca="false">IF(ISBLANK($C131),"",AND($AJ131,$BF131=""))</f>
        <v/>
      </c>
      <c r="CP131" s="75"/>
      <c r="CQ131" s="76"/>
      <c r="CR131" s="79" t="str">
        <f aca="false">IF(ISBLANK($C131),"",IF($BH131=Constants!$B$8,$CI131,""))</f>
        <v/>
      </c>
      <c r="CS131" s="76" t="str">
        <f aca="false">IF(ISBLANK($C131),"",IF($BH131&lt;&gt;Constants!$B$4,"",$BK131+$BL131))</f>
        <v/>
      </c>
      <c r="CT131" s="78" t="str">
        <f aca="false">IF(ISBLANK($C131),"",IF($BH131&lt;&gt;Constants!$B$4,"",$BM131+$BN131+$BO131))</f>
        <v/>
      </c>
      <c r="CU131" s="78" t="str">
        <f aca="false">IF(ISBLANK($C131),"",IF($BH131&lt;&gt;Constants!$B$4,"",$BP131))</f>
        <v/>
      </c>
      <c r="CV131" s="78" t="str">
        <f aca="false">IF(ISBLANK($C131),"",IF($BH131&lt;&gt;Constants!$B$4,"",$BQ131+$BR131))</f>
        <v/>
      </c>
      <c r="CW131" s="78" t="str">
        <f aca="false">IF(ISBLANK($C131),"",IF($BH131&lt;&gt;Constants!$B$4,"",$BS131))</f>
        <v/>
      </c>
      <c r="CX131" s="78" t="str">
        <f aca="false">IF(ISBLANK($C131),"",IF($BH131&lt;&gt;Constants!$B$4,"",-$BZ131))</f>
        <v/>
      </c>
      <c r="CY131" s="79" t="str">
        <f aca="false">IF(ISBLANK($C131),"",$CA131)</f>
        <v/>
      </c>
      <c r="CZ131" s="80" t="str">
        <f aca="false">IF(ISBLANK($C131),"",$BI131)</f>
        <v/>
      </c>
      <c r="DA131" s="78" t="str">
        <f aca="false">IF(ISBLANK($C131),"",$CH131)</f>
        <v/>
      </c>
      <c r="DB131" s="78" t="str">
        <f aca="false">IF(ISBLANK($C131),"",$CG131)</f>
        <v/>
      </c>
      <c r="DC131" s="81" t="str">
        <f aca="false">IF(ISBLANK($C131),"",IFERROR(_xlfn.SWITCH($DB131,Constants!$B$7,COUNTA($C$9:$C$508)+2,Constants!$B$6,COUNTA($C$9:$C$508)+1,Constants!$B$5,COUNTA($C$9:$C$508)),$DB131))</f>
        <v/>
      </c>
      <c r="DD131" s="7"/>
      <c r="DE131" s="82" t="n">
        <f aca="false">IF(OR(ISNUMBER($DB131),$DB131=Constants!$B$7,$DB131=Constants!$B$5,$DB131=Constants!$B$6),1,0)</f>
        <v>0</v>
      </c>
      <c r="DF131" s="82" t="n">
        <v>123</v>
      </c>
      <c r="DG131" s="82" t="str">
        <f aca="false">IF(ISBLANK($C131),"",IF(ISNUMBER($DC131),$DC131+ROW($B131)/1000,""))</f>
        <v/>
      </c>
      <c r="DH131" s="82" t="str">
        <f aca="false">IF(ISNUMBER($DG131),RANK($DG131,$DG$9:$DG$508,1),"")</f>
        <v/>
      </c>
      <c r="DI131" s="82" t="str">
        <f aca="false">IF(ISBLANK($C131),"",$B131)</f>
        <v/>
      </c>
      <c r="DJ131" s="82" t="str">
        <f aca="false">IF(ISBLANK($C131),"",$C131)</f>
        <v/>
      </c>
      <c r="DK131" s="82" t="str">
        <f aca="false">IF(ISBLANK($C131),"",$D131)</f>
        <v/>
      </c>
      <c r="DL131" s="83" t="str">
        <f aca="false">$CZ131</f>
        <v/>
      </c>
      <c r="DM131" s="84" t="str">
        <f aca="false">$CY131</f>
        <v/>
      </c>
      <c r="DN131" s="82" t="str">
        <f aca="false">IF(ISBLANK($C131),"",$DB131)</f>
        <v/>
      </c>
      <c r="DO131" s="85" t="str">
        <f aca="false">IF($DF131&gt;$DE$8,"",VLOOKUP($DF131,$DH$9:$DN$508,7,FALSE()))</f>
        <v/>
      </c>
      <c r="DP131" s="86" t="str">
        <f aca="false">IF($DF131&gt;$DE$8,"",VLOOKUP($DF131,$DH$9:$DN$508,2,FALSE()))</f>
        <v/>
      </c>
      <c r="DQ131" s="86" t="str">
        <f aca="false">IF($DF131&gt;$DE$8,"",VLOOKUP($DF131,$DH$9:$DN$508,3,FALSE()))</f>
        <v/>
      </c>
      <c r="DR131" s="86" t="str">
        <f aca="false">IF($DF131&gt;$DE$8,"",VLOOKUP($DF131,$DH$9:$DN$508,4,FALSE()))</f>
        <v/>
      </c>
      <c r="DS131" s="86" t="str">
        <f aca="false">IF($DF131&gt;$DE$8,"",VLOOKUP($DF131,$DH$9:$DN$508,5,FALSE()))</f>
        <v/>
      </c>
      <c r="DT131" s="87" t="str">
        <f aca="false">IF($DF131&gt;$DE$8,"",VLOOKUP($DF131,$DH$9:$DN$508,6,FALSE()))</f>
        <v/>
      </c>
      <c r="DU131" s="62"/>
    </row>
    <row r="132" customFormat="false" ht="15.75" hidden="false" customHeight="false" outlineLevel="0" collapsed="false">
      <c r="A132" s="7"/>
      <c r="B132" s="90"/>
      <c r="C132" s="91"/>
      <c r="D132" s="126"/>
      <c r="E132" s="130"/>
      <c r="F132" s="135"/>
      <c r="G132" s="130"/>
      <c r="H132" s="135"/>
      <c r="I132" s="131"/>
      <c r="J132" s="131"/>
      <c r="K132" s="131"/>
      <c r="L132" s="130"/>
      <c r="M132" s="130"/>
      <c r="N132" s="130"/>
      <c r="O132" s="135"/>
      <c r="P132" s="130"/>
      <c r="Q132" s="130"/>
      <c r="R132" s="130"/>
      <c r="S132" s="130"/>
      <c r="T132" s="135"/>
      <c r="U132" s="130"/>
      <c r="V132" s="96"/>
      <c r="W132" s="130"/>
      <c r="X132" s="130"/>
      <c r="Y132" s="96"/>
      <c r="Z132" s="96"/>
      <c r="AA132" s="130"/>
      <c r="AB132" s="130"/>
      <c r="AC132" s="97"/>
      <c r="AD132" s="130"/>
      <c r="AE132" s="99"/>
      <c r="AF132" s="100"/>
      <c r="AG132" s="100"/>
      <c r="AH132" s="100" t="str">
        <f aca="false">IF(ISBLANK($C132),"",IF($E132=Constants!$B$2,TRUE(),IF($E132=Constants!$B$3,FALSE(),TRUE())))</f>
        <v/>
      </c>
      <c r="AI132" s="100" t="str">
        <f aca="false">IF(ISBLANK($C132),"",IF($F132=Constants!$B$2,TRUE(),IF($F132=Constants!$B$3,FALSE(),FALSE())))</f>
        <v/>
      </c>
      <c r="AJ132" s="100" t="str">
        <f aca="false">IF(ISBLANK($C132),"",IF($G132=Constants!$B$2,TRUE(),IF($G132=Constants!$B$3,FALSE(),TRUE())))</f>
        <v/>
      </c>
      <c r="AK132" s="100" t="str">
        <f aca="false">IF(ISBLANK($C132),"",IF($H132=Constants!$B$2,TRUE(),IF($H132=Constants!$B$3,FALSE(),TRUE())))</f>
        <v/>
      </c>
      <c r="AL132" s="100" t="str">
        <f aca="false">IF(ISBLANK($C132),"",IF(ISNUMBER($I132),IF($I132&gt;=0,$I132,""),""))</f>
        <v/>
      </c>
      <c r="AM132" s="100" t="str">
        <f aca="false">IF(ISBLANK($C132),"",IF(ISNUMBER($J132),IF($J132&gt;=0,$J132,""),""))</f>
        <v/>
      </c>
      <c r="AN132" s="100" t="str">
        <f aca="false">IF(ISBLANK($C132),"",IF(ISNUMBER($K132),IF($K132&gt;=0,$K132,""),""))</f>
        <v/>
      </c>
      <c r="AO132" s="100" t="str">
        <f aca="false">IF(ISBLANK($C132),"",IF($L132=Constants!$B$2,TRUE(),IF($L132=Constants!$B$3,FALSE(),TRUE())))</f>
        <v/>
      </c>
      <c r="AP132" s="100" t="str">
        <f aca="false">IF(ISBLANK($C132),"",IF($M132=Constants!$B$2,TRUE(),IF($M132=Constants!$B$3,FALSE(),TRUE())))</f>
        <v/>
      </c>
      <c r="AQ132" s="100" t="str">
        <f aca="false">IF(ISBLANK($C132),"",IF($N132=Constants!$B$2,TRUE(),IF($N132=Constants!$B$3,FALSE(),FALSE())))</f>
        <v/>
      </c>
      <c r="AR132" s="100" t="str">
        <f aca="false">IF(ISBLANK($C132),"",IF($O132=Constants!$B$2,TRUE(),IF($O132=Constants!$B$3,FALSE(),TRUE())))</f>
        <v/>
      </c>
      <c r="AS132" s="100" t="str">
        <f aca="false">IF(ISBLANK($C132),"",IF($P132=Constants!$B$2,TRUE(),IF($P132=Constants!$B$3,FALSE(),FALSE())))</f>
        <v/>
      </c>
      <c r="AT132" s="100" t="str">
        <f aca="false">IF(ISBLANK($C132),"",IF($Q132=Constants!$B$2,TRUE(),IF($Q132=Constants!$B$3,FALSE(),FALSE())))</f>
        <v/>
      </c>
      <c r="AU132" s="100" t="str">
        <f aca="false">IF(ISBLANK($C132),"",IF($R132=Constants!$B$2,TRUE(),IF($R132=Constants!$B$3,FALSE(),FALSE())))</f>
        <v/>
      </c>
      <c r="AV132" s="100" t="str">
        <f aca="false">IF(ISBLANK($C132),"",IF($S132=Constants!$B$2,TRUE(),IF($S132=Constants!$B$3,FALSE(),FALSE())))</f>
        <v/>
      </c>
      <c r="AW132" s="100" t="str">
        <f aca="false">IF(ISBLANK($C132),"",IF($T132=Constants!$B$2,TRUE(),IF($T132=Constants!$B$3,FALSE(),FALSE())))</f>
        <v/>
      </c>
      <c r="AX132" s="100" t="str">
        <f aca="false">IF(ISBLANK($C132),"",IF(OR($U132&amp;""="1",$U132&amp;""="2",$U132&amp;""="3",$U132&amp;""="4"),VALUE($U132&amp;""),IF($U132=Constants!$B$12,Constants!$B$12,"")))</f>
        <v/>
      </c>
      <c r="AY132" s="100" t="str">
        <f aca="false">IF(ISBLANK($C132),"",IF(ISBLANK($V132),0,IF(ISNUMBER($V132),IF(AND($V132&gt;=0,$V132&lt;=Constants!$B$21,$V132=INT($V132)),$V132,""),"")))</f>
        <v/>
      </c>
      <c r="AZ132" s="100" t="str">
        <f aca="false">IF(ISBLANK($C132),"",IF(ISBLANK($W132),0,IF(ISNUMBER($W132),IF($W132&gt;=0,$W132,""),"")))</f>
        <v/>
      </c>
      <c r="BA132" s="100" t="str">
        <f aca="false">IF(ISBLANK($C132),"",IF($X132=Constants!$B$2,TRUE(),IF($X132=Constants!$B$3,FALSE(),TRUE())))</f>
        <v/>
      </c>
      <c r="BB132" s="100" t="str">
        <f aca="false">IF(ISBLANK($C132),"",IF($Y132=Constants!$B$2,TRUE(),IF($Y132=Constants!$B$3,FALSE(),FALSE())))</f>
        <v/>
      </c>
      <c r="BC132" s="100" t="str">
        <f aca="false">IF(ISBLANK($C132),"",IF(ISBLANK($Z132),0,IF(ISNUMBER($Z132),IF(AND($Z132&gt;=0,$Z132&lt;=Constants!$B$35,$Z132=INT($Z132)),$Z132,""),"")))</f>
        <v/>
      </c>
      <c r="BD132" s="100" t="str">
        <f aca="false">IF(ISBLANK($C132),"",IF($AA132=Constants!$B$2,TRUE(),IF($AA132=Constants!$B$3,FALSE(),TRUE())))</f>
        <v/>
      </c>
      <c r="BE132" s="100" t="str">
        <f aca="false">IF(ISBLANK($C132),"",IF($AB132=Constants!$B$2,TRUE(),IF($AB132=Constants!$B$3,FALSE(),TRUE())))</f>
        <v/>
      </c>
      <c r="BF132" s="100" t="str">
        <f aca="false">IF(ISBLANK($C132),"",IF(ISNUMBER($AC132),IF($AC132&gt;=0,$AC132,""),""))</f>
        <v/>
      </c>
      <c r="BG132" s="100" t="str">
        <f aca="false">IF(ISBLANK($C132),"",IF($AD132=Constants!$B$2,TRUE(),IF($AD132=Constants!$B$3,FALSE(),FALSE())))</f>
        <v/>
      </c>
      <c r="BH132" s="99" t="str">
        <f aca="false">IF(ISBLANK($C132),"",IF($BG132,Constants!$B$7,IF(COUNTA($E132:$AC132)=0,Constants!$B$6,IF(OR(COUNTA($G132:$AC132)=0,NOT($AK132),$AQ132),Constants!$B$5,IF(OR($CI132&lt;&gt;"",$CJ132,$CK132,$CL132,$CM132,$CN132,$CO132),Constants!$B$8,Constants!$B$4)))))</f>
        <v/>
      </c>
      <c r="BI132" s="100" t="str">
        <f aca="false">IF(ISBLANK($C132),"",IF($BH132&lt;&gt;Constants!$B$4,$BH132,IF(OR(NOT($AH132),NOT($AJ132),NOT($AR132)),Constants!$B$11,IF(OR(NOT($AP132),MAX($AL132,$AM132,$AN132)&gt;Constants!$B$30),Constants!$B$10,Constants!$B$9))))</f>
        <v/>
      </c>
      <c r="BJ132" s="100" t="str">
        <f aca="false">IF($BH132&lt;&gt;Constants!$B$4,"",IF(NOT($AJ132),0,MIN(Constants!$B$35,$BC132)))</f>
        <v/>
      </c>
      <c r="BK132" s="100" t="str">
        <f aca="false">IF($BH132&lt;&gt;Constants!$B$4,"",IF(NOT($AJ132),0,IF($AT132,Constants!$B$18,IF($AS132,Constants!$B$17,0))))</f>
        <v/>
      </c>
      <c r="BL132" s="100" t="str">
        <f aca="false">IF($BH132&lt;&gt;Constants!$B$4,"",IF(NOT($AJ132),0,Constants!$B$19*($AI132+$AU132+$AV132+$AW132)))</f>
        <v/>
      </c>
      <c r="BM132" s="100" t="str">
        <f aca="false">IF($BH132&lt;&gt;Constants!$B$4,"",IF(OR(NOT($AJ132),NOT(ISNUMBER($AX132))),0,CHOOSE($AX132,Constants!$B$13,Constants!$B$14,Constants!$B$15,Constants!$B$16)))</f>
        <v/>
      </c>
      <c r="BN132" s="100" t="str">
        <f aca="false">IF($BH132&lt;&gt;Constants!$B$4,"",IF(NOT($AJ132),0,Constants!$B$20*$AY132))</f>
        <v/>
      </c>
      <c r="BO132" s="100" t="str">
        <f aca="false">IF($BH132&lt;&gt;Constants!$B$4,"",IF(AND($AJ132,$BA132,$BB132),Constants!$B$22,0))</f>
        <v/>
      </c>
      <c r="BP132" s="100" t="str">
        <f aca="false">IF($BH132&lt;&gt;Constants!$B$4,"",IF(OR(NOT($AJ132),NOT($BA132)),0,IF($BF132&gt;=2*$AF$9,0,Constants!$B$23*INT(ROUND(MIN($BF132,$AF$9),6)))))</f>
        <v/>
      </c>
      <c r="BQ132" s="100" t="str">
        <f aca="false">IF($BH132&lt;&gt;Constants!$B$4,"",IF(NOT($AJ132),0,Constants!$B$24*INT(ROUND(MIN($AZ132,$AF$9),6))))</f>
        <v/>
      </c>
      <c r="BR132" s="100" t="str">
        <f aca="false">IF($BH132&lt;&gt;Constants!$B$4,"",IF(AND($AJ132,$BJ132=0),Constants!$B$25,0))</f>
        <v/>
      </c>
      <c r="BS132" s="100" t="str">
        <f aca="false">IF($BH132&lt;&gt;Constants!$B$4,"",MIN(Constants!$B$29,MAX(0,Constants!$B$27*Constants!$B$28*INT(ROUND((Constants!$B$26-$AL132)/Constants!$B$28,6))))+MIN(Constants!$B$29,MAX(0,Constants!$B$27*Constants!$B$28*INT(ROUND((Constants!$B$26-$AM132)/Constants!$B$28,6))))+MIN(Constants!$B$29,MAX(0,Constants!$B$27*Constants!$B$28*INT(ROUND((Constants!$B$26-$AN132)/Constants!$B$28,6)))))</f>
        <v/>
      </c>
      <c r="BT132" s="100" t="str">
        <f aca="false">IF($BH132&lt;&gt;Constants!$B$4,"",IF(NOT($AJ132),0,Constants!$B$31*INT(ROUND(MAX(0,MIN($BF132,2*$AF$9)-$AF$9),6))))</f>
        <v/>
      </c>
      <c r="BU132" s="100" t="str">
        <f aca="false">IF($BH132&lt;&gt;Constants!$B$4,"",Constants!$B$32*(($AL132&gt;Constants!$B$26)+($AM132&gt;Constants!$B$26)+($AN132&gt;Constants!$B$26)))</f>
        <v/>
      </c>
      <c r="BV132" s="100" t="str">
        <f aca="false">IF($BH132&lt;&gt;Constants!$B$4,"",IF(OR(NOT($AJ132),$AO132),0,Constants!$B$33))</f>
        <v/>
      </c>
      <c r="BW132" s="100" t="str">
        <f aca="false">IF($BH132&lt;&gt;Constants!$B$4,"",Constants!$B$34*$BJ132)</f>
        <v/>
      </c>
      <c r="BX132" s="100" t="str">
        <f aca="false">IF($BH132&lt;&gt;Constants!$B$4,"",IF(OR(NOT($AJ132),$BE132),0,Constants!$B$36))</f>
        <v/>
      </c>
      <c r="BY132" s="100" t="str">
        <f aca="false">IF($BH132&lt;&gt;Constants!$B$4,"",IF(OR(NOT($AJ132),$BD132),0,Constants!$B$37))</f>
        <v/>
      </c>
      <c r="BZ132" s="100" t="str">
        <f aca="false">IF($BH132&lt;&gt;Constants!$B$4,"",SUM($BT132:$BY132))</f>
        <v/>
      </c>
      <c r="CA132" s="100" t="str">
        <f aca="false">IF(ISBLANK($C132),"",IF($BH132&lt;&gt;Constants!$B$4,$BH132,SUM($BK132:$BS132)-$BZ132))</f>
        <v/>
      </c>
      <c r="CB132" s="100" t="str">
        <f aca="false">IF(ISBLANK($C132),"",IF($BH132&lt;&gt;Constants!$B$4,$BH132,RANK($CA132,$CA$9:$CA$508)))</f>
        <v/>
      </c>
      <c r="CC132" s="100" t="str">
        <f aca="false">IF(ISBLANK($C132),"",IF($BH132&lt;&gt;Constants!$B$4,$BH132,COUNTIFS($BI$9:$BI$508,"&lt;"&amp;$BI132)+COUNTIFS($BI$9:$BI$508,$BI132,$CB$9:$CB$508,"&lt;"&amp;$CB132)+1))</f>
        <v/>
      </c>
      <c r="CD132" s="100" t="str">
        <f aca="false">IF(ISBLANK($C132),"",IF($BH132&lt;&gt;Constants!$B$4,$BH132,RANK($BZ132,$BZ$9:$BZ$508,1)))</f>
        <v/>
      </c>
      <c r="CE132" s="100" t="str">
        <f aca="false">IF($BH132&lt;&gt;Constants!$B$4,"",$AL132+$AM132+$AN132)</f>
        <v/>
      </c>
      <c r="CF132" s="100" t="str">
        <f aca="false">IF(ISBLANK($C132),"",IF($BH132&lt;&gt;Constants!$B$4,$BH132,RANK($CE132,$CE$9:$CE$508,1)))</f>
        <v/>
      </c>
      <c r="CG132" s="100" t="str">
        <f aca="false">IF(ISBLANK($C132),"",IF($BH132&lt;&gt;Constants!$B$4,$BH132,COUNTIFS($BI$9:$BI$508,"&lt;"&amp;$BI132)+COUNTIFS($BI$9:$BI$508,$BI132,$CB$9:$CB$508,"&lt;"&amp;$CB132)+COUNTIFS($BI$9:$BI$508,$BI132,$CB$9:$CB$508,$CB132,$CD$9:$CD$508,"&lt;"&amp;$CD132)+COUNTIFS($BI$9:$BI$508,$BI132,$CB$9:$CB$508,$CB132,$CD$9:$CD$508,$CD132,$CF$9:$CF$508,"&lt;"&amp;$CF132)+1))</f>
        <v/>
      </c>
      <c r="CH132" s="100" t="str">
        <f aca="false">IF(ISBLANK($C132),"",IF($BH132&lt;&gt;Constants!$B$4,$BH132,$CC132-$CG132))</f>
        <v/>
      </c>
      <c r="CI132" s="100" t="str">
        <f aca="false">IF(ISBLANK($C132),"",IF(NOT($AJ132),"",IF(ISBLANK($D$7),$CI$5,IF(NOT(ISNUMBER($D$7)),$CI$6,""))))</f>
        <v/>
      </c>
      <c r="CJ132" s="100" t="str">
        <f aca="false">IF(ISBLANK($C132),"",OR($AL132="",$AM132="",$AN132=""))</f>
        <v/>
      </c>
      <c r="CK132" s="100" t="str">
        <f aca="false">IF(ISBLANK($C132),"",AND($AJ132,$AX132=""))</f>
        <v/>
      </c>
      <c r="CL132" s="100" t="str">
        <f aca="false">IF(ISBLANK($C132),"",AND($AJ132,$AY132=""))</f>
        <v/>
      </c>
      <c r="CM132" s="100" t="str">
        <f aca="false">IF(ISBLANK($C132),"",AND($AJ132,$AZ132=""))</f>
        <v/>
      </c>
      <c r="CN132" s="100" t="str">
        <f aca="false">IF(ISBLANK($C132),"",AND($AJ132,$BC132=""))</f>
        <v/>
      </c>
      <c r="CO132" s="100" t="str">
        <f aca="false">IF(ISBLANK($C132),"",AND($AJ132,$BF132=""))</f>
        <v/>
      </c>
      <c r="CP132" s="101"/>
      <c r="CQ132" s="102"/>
      <c r="CR132" s="103" t="str">
        <f aca="false">IF(ISBLANK($C132),"",IF($BH132=Constants!$B$8,$CI132,""))</f>
        <v/>
      </c>
      <c r="CS132" s="102" t="str">
        <f aca="false">IF(ISBLANK($C132),"",IF($BH132&lt;&gt;Constants!$B$4,"",$BK132+$BL132))</f>
        <v/>
      </c>
      <c r="CT132" s="104" t="str">
        <f aca="false">IF(ISBLANK($C132),"",IF($BH132&lt;&gt;Constants!$B$4,"",$BM132+$BN132+$BO132))</f>
        <v/>
      </c>
      <c r="CU132" s="104" t="str">
        <f aca="false">IF(ISBLANK($C132),"",IF($BH132&lt;&gt;Constants!$B$4,"",$BP132))</f>
        <v/>
      </c>
      <c r="CV132" s="104" t="str">
        <f aca="false">IF(ISBLANK($C132),"",IF($BH132&lt;&gt;Constants!$B$4,"",$BQ132+$BR132))</f>
        <v/>
      </c>
      <c r="CW132" s="104" t="str">
        <f aca="false">IF(ISBLANK($C132),"",IF($BH132&lt;&gt;Constants!$B$4,"",$BS132))</f>
        <v/>
      </c>
      <c r="CX132" s="104" t="str">
        <f aca="false">IF(ISBLANK($C132),"",IF($BH132&lt;&gt;Constants!$B$4,"",-$BZ132))</f>
        <v/>
      </c>
      <c r="CY132" s="103" t="str">
        <f aca="false">IF(ISBLANK($C132),"",$CA132)</f>
        <v/>
      </c>
      <c r="CZ132" s="105" t="str">
        <f aca="false">IF(ISBLANK($C132),"",$BI132)</f>
        <v/>
      </c>
      <c r="DA132" s="104" t="str">
        <f aca="false">IF(ISBLANK($C132),"",$CH132)</f>
        <v/>
      </c>
      <c r="DB132" s="104" t="str">
        <f aca="false">IF(ISBLANK($C132),"",$CG132)</f>
        <v/>
      </c>
      <c r="DC132" s="106" t="str">
        <f aca="false">IF(ISBLANK($C132),"",IFERROR(_xlfn.SWITCH($DB132,Constants!$B$7,COUNTA($C$9:$C$508)+2,Constants!$B$6,COUNTA($C$9:$C$508)+1,Constants!$B$5,COUNTA($C$9:$C$508)),$DB132))</f>
        <v/>
      </c>
      <c r="DD132" s="7"/>
      <c r="DE132" s="107" t="n">
        <f aca="false">IF(OR(ISNUMBER($DB132),$DB132=Constants!$B$7,$DB132=Constants!$B$5,$DB132=Constants!$B$6),1,0)</f>
        <v>0</v>
      </c>
      <c r="DF132" s="107" t="n">
        <v>124</v>
      </c>
      <c r="DG132" s="107" t="str">
        <f aca="false">IF(ISBLANK($C132),"",IF(ISNUMBER($DC132),$DC132+ROW($B132)/1000,""))</f>
        <v/>
      </c>
      <c r="DH132" s="107" t="str">
        <f aca="false">IF(ISNUMBER($DG132),RANK($DG132,$DG$9:$DG$508,1),"")</f>
        <v/>
      </c>
      <c r="DI132" s="107" t="str">
        <f aca="false">IF(ISBLANK($C132),"",$B132)</f>
        <v/>
      </c>
      <c r="DJ132" s="107" t="str">
        <f aca="false">IF(ISBLANK($C132),"",$C132)</f>
        <v/>
      </c>
      <c r="DK132" s="107" t="str">
        <f aca="false">IF(ISBLANK($C132),"",$D132)</f>
        <v/>
      </c>
      <c r="DL132" s="108" t="str">
        <f aca="false">$CZ132</f>
        <v/>
      </c>
      <c r="DM132" s="109" t="str">
        <f aca="false">$CY132</f>
        <v/>
      </c>
      <c r="DN132" s="107" t="str">
        <f aca="false">IF(ISBLANK($C132),"",$DB132)</f>
        <v/>
      </c>
      <c r="DO132" s="110" t="str">
        <f aca="false">IF($DF132&gt;$DE$8,"",VLOOKUP($DF132,$DH$9:$DN$508,7,FALSE()))</f>
        <v/>
      </c>
      <c r="DP132" s="111" t="str">
        <f aca="false">IF($DF132&gt;$DE$8,"",VLOOKUP($DF132,$DH$9:$DN$508,2,FALSE()))</f>
        <v/>
      </c>
      <c r="DQ132" s="111" t="str">
        <f aca="false">IF($DF132&gt;$DE$8,"",VLOOKUP($DF132,$DH$9:$DN$508,3,FALSE()))</f>
        <v/>
      </c>
      <c r="DR132" s="111" t="str">
        <f aca="false">IF($DF132&gt;$DE$8,"",VLOOKUP($DF132,$DH$9:$DN$508,4,FALSE()))</f>
        <v/>
      </c>
      <c r="DS132" s="111" t="str">
        <f aca="false">IF($DF132&gt;$DE$8,"",VLOOKUP($DF132,$DH$9:$DN$508,5,FALSE()))</f>
        <v/>
      </c>
      <c r="DT132" s="112" t="str">
        <f aca="false">IF($DF132&gt;$DE$8,"",VLOOKUP($DF132,$DH$9:$DN$508,6,FALSE()))</f>
        <v/>
      </c>
      <c r="DU132" s="62"/>
    </row>
    <row r="133" customFormat="false" ht="15.75" hidden="false" customHeight="false" outlineLevel="0" collapsed="false">
      <c r="A133" s="7"/>
      <c r="B133" s="90"/>
      <c r="C133" s="91"/>
      <c r="D133" s="126"/>
      <c r="E133" s="130"/>
      <c r="F133" s="135"/>
      <c r="G133" s="130"/>
      <c r="H133" s="135"/>
      <c r="I133" s="131"/>
      <c r="J133" s="131"/>
      <c r="K133" s="131"/>
      <c r="L133" s="130"/>
      <c r="M133" s="130"/>
      <c r="N133" s="130"/>
      <c r="O133" s="135"/>
      <c r="P133" s="130"/>
      <c r="Q133" s="130"/>
      <c r="R133" s="130"/>
      <c r="S133" s="130"/>
      <c r="T133" s="135"/>
      <c r="U133" s="130"/>
      <c r="V133" s="96"/>
      <c r="W133" s="130"/>
      <c r="X133" s="130"/>
      <c r="Y133" s="96"/>
      <c r="Z133" s="96"/>
      <c r="AA133" s="130"/>
      <c r="AB133" s="130"/>
      <c r="AC133" s="97"/>
      <c r="AD133" s="130"/>
      <c r="AE133" s="99"/>
      <c r="AF133" s="100"/>
      <c r="AG133" s="100"/>
      <c r="AH133" s="100" t="str">
        <f aca="false">IF(ISBLANK($C133),"",IF($E133=Constants!$B$2,TRUE(),IF($E133=Constants!$B$3,FALSE(),TRUE())))</f>
        <v/>
      </c>
      <c r="AI133" s="100" t="str">
        <f aca="false">IF(ISBLANK($C133),"",IF($F133=Constants!$B$2,TRUE(),IF($F133=Constants!$B$3,FALSE(),FALSE())))</f>
        <v/>
      </c>
      <c r="AJ133" s="100" t="str">
        <f aca="false">IF(ISBLANK($C133),"",IF($G133=Constants!$B$2,TRUE(),IF($G133=Constants!$B$3,FALSE(),TRUE())))</f>
        <v/>
      </c>
      <c r="AK133" s="100" t="str">
        <f aca="false">IF(ISBLANK($C133),"",IF($H133=Constants!$B$2,TRUE(),IF($H133=Constants!$B$3,FALSE(),TRUE())))</f>
        <v/>
      </c>
      <c r="AL133" s="100" t="str">
        <f aca="false">IF(ISBLANK($C133),"",IF(ISNUMBER($I133),IF($I133&gt;=0,$I133,""),""))</f>
        <v/>
      </c>
      <c r="AM133" s="100" t="str">
        <f aca="false">IF(ISBLANK($C133),"",IF(ISNUMBER($J133),IF($J133&gt;=0,$J133,""),""))</f>
        <v/>
      </c>
      <c r="AN133" s="100" t="str">
        <f aca="false">IF(ISBLANK($C133),"",IF(ISNUMBER($K133),IF($K133&gt;=0,$K133,""),""))</f>
        <v/>
      </c>
      <c r="AO133" s="100" t="str">
        <f aca="false">IF(ISBLANK($C133),"",IF($L133=Constants!$B$2,TRUE(),IF($L133=Constants!$B$3,FALSE(),TRUE())))</f>
        <v/>
      </c>
      <c r="AP133" s="100" t="str">
        <f aca="false">IF(ISBLANK($C133),"",IF($M133=Constants!$B$2,TRUE(),IF($M133=Constants!$B$3,FALSE(),TRUE())))</f>
        <v/>
      </c>
      <c r="AQ133" s="100" t="str">
        <f aca="false">IF(ISBLANK($C133),"",IF($N133=Constants!$B$2,TRUE(),IF($N133=Constants!$B$3,FALSE(),FALSE())))</f>
        <v/>
      </c>
      <c r="AR133" s="100" t="str">
        <f aca="false">IF(ISBLANK($C133),"",IF($O133=Constants!$B$2,TRUE(),IF($O133=Constants!$B$3,FALSE(),TRUE())))</f>
        <v/>
      </c>
      <c r="AS133" s="100" t="str">
        <f aca="false">IF(ISBLANK($C133),"",IF($P133=Constants!$B$2,TRUE(),IF($P133=Constants!$B$3,FALSE(),FALSE())))</f>
        <v/>
      </c>
      <c r="AT133" s="100" t="str">
        <f aca="false">IF(ISBLANK($C133),"",IF($Q133=Constants!$B$2,TRUE(),IF($Q133=Constants!$B$3,FALSE(),FALSE())))</f>
        <v/>
      </c>
      <c r="AU133" s="100" t="str">
        <f aca="false">IF(ISBLANK($C133),"",IF($R133=Constants!$B$2,TRUE(),IF($R133=Constants!$B$3,FALSE(),FALSE())))</f>
        <v/>
      </c>
      <c r="AV133" s="100" t="str">
        <f aca="false">IF(ISBLANK($C133),"",IF($S133=Constants!$B$2,TRUE(),IF($S133=Constants!$B$3,FALSE(),FALSE())))</f>
        <v/>
      </c>
      <c r="AW133" s="100" t="str">
        <f aca="false">IF(ISBLANK($C133),"",IF($T133=Constants!$B$2,TRUE(),IF($T133=Constants!$B$3,FALSE(),FALSE())))</f>
        <v/>
      </c>
      <c r="AX133" s="100" t="str">
        <f aca="false">IF(ISBLANK($C133),"",IF(OR($U133&amp;""="1",$U133&amp;""="2",$U133&amp;""="3",$U133&amp;""="4"),VALUE($U133&amp;""),IF($U133=Constants!$B$12,Constants!$B$12,"")))</f>
        <v/>
      </c>
      <c r="AY133" s="100" t="str">
        <f aca="false">IF(ISBLANK($C133),"",IF(ISBLANK($V133),0,IF(ISNUMBER($V133),IF(AND($V133&gt;=0,$V133&lt;=Constants!$B$21,$V133=INT($V133)),$V133,""),"")))</f>
        <v/>
      </c>
      <c r="AZ133" s="100" t="str">
        <f aca="false">IF(ISBLANK($C133),"",IF(ISBLANK($W133),0,IF(ISNUMBER($W133),IF($W133&gt;=0,$W133,""),"")))</f>
        <v/>
      </c>
      <c r="BA133" s="100" t="str">
        <f aca="false">IF(ISBLANK($C133),"",IF($X133=Constants!$B$2,TRUE(),IF($X133=Constants!$B$3,FALSE(),TRUE())))</f>
        <v/>
      </c>
      <c r="BB133" s="100" t="str">
        <f aca="false">IF(ISBLANK($C133),"",IF($Y133=Constants!$B$2,TRUE(),IF($Y133=Constants!$B$3,FALSE(),FALSE())))</f>
        <v/>
      </c>
      <c r="BC133" s="100" t="str">
        <f aca="false">IF(ISBLANK($C133),"",IF(ISBLANK($Z133),0,IF(ISNUMBER($Z133),IF(AND($Z133&gt;=0,$Z133&lt;=Constants!$B$35,$Z133=INT($Z133)),$Z133,""),"")))</f>
        <v/>
      </c>
      <c r="BD133" s="100" t="str">
        <f aca="false">IF(ISBLANK($C133),"",IF($AA133=Constants!$B$2,TRUE(),IF($AA133=Constants!$B$3,FALSE(),TRUE())))</f>
        <v/>
      </c>
      <c r="BE133" s="100" t="str">
        <f aca="false">IF(ISBLANK($C133),"",IF($AB133=Constants!$B$2,TRUE(),IF($AB133=Constants!$B$3,FALSE(),TRUE())))</f>
        <v/>
      </c>
      <c r="BF133" s="100" t="str">
        <f aca="false">IF(ISBLANK($C133),"",IF(ISNUMBER($AC133),IF($AC133&gt;=0,$AC133,""),""))</f>
        <v/>
      </c>
      <c r="BG133" s="100" t="str">
        <f aca="false">IF(ISBLANK($C133),"",IF($AD133=Constants!$B$2,TRUE(),IF($AD133=Constants!$B$3,FALSE(),FALSE())))</f>
        <v/>
      </c>
      <c r="BH133" s="99" t="str">
        <f aca="false">IF(ISBLANK($C133),"",IF($BG133,Constants!$B$7,IF(COUNTA($E133:$AC133)=0,Constants!$B$6,IF(OR(COUNTA($G133:$AC133)=0,NOT($AK133),$AQ133),Constants!$B$5,IF(OR($CI133&lt;&gt;"",$CJ133,$CK133,$CL133,$CM133,$CN133,$CO133),Constants!$B$8,Constants!$B$4)))))</f>
        <v/>
      </c>
      <c r="BI133" s="100" t="str">
        <f aca="false">IF(ISBLANK($C133),"",IF($BH133&lt;&gt;Constants!$B$4,$BH133,IF(OR(NOT($AH133),NOT($AJ133),NOT($AR133)),Constants!$B$11,IF(OR(NOT($AP133),MAX($AL133,$AM133,$AN133)&gt;Constants!$B$30),Constants!$B$10,Constants!$B$9))))</f>
        <v/>
      </c>
      <c r="BJ133" s="100" t="str">
        <f aca="false">IF($BH133&lt;&gt;Constants!$B$4,"",IF(NOT($AJ133),0,MIN(Constants!$B$35,$BC133)))</f>
        <v/>
      </c>
      <c r="BK133" s="100" t="str">
        <f aca="false">IF($BH133&lt;&gt;Constants!$B$4,"",IF(NOT($AJ133),0,IF($AT133,Constants!$B$18,IF($AS133,Constants!$B$17,0))))</f>
        <v/>
      </c>
      <c r="BL133" s="100" t="str">
        <f aca="false">IF($BH133&lt;&gt;Constants!$B$4,"",IF(NOT($AJ133),0,Constants!$B$19*($AI133+$AU133+$AV133+$AW133)))</f>
        <v/>
      </c>
      <c r="BM133" s="100" t="str">
        <f aca="false">IF($BH133&lt;&gt;Constants!$B$4,"",IF(OR(NOT($AJ133),NOT(ISNUMBER($AX133))),0,CHOOSE($AX133,Constants!$B$13,Constants!$B$14,Constants!$B$15,Constants!$B$16)))</f>
        <v/>
      </c>
      <c r="BN133" s="100" t="str">
        <f aca="false">IF($BH133&lt;&gt;Constants!$B$4,"",IF(NOT($AJ133),0,Constants!$B$20*$AY133))</f>
        <v/>
      </c>
      <c r="BO133" s="100" t="str">
        <f aca="false">IF($BH133&lt;&gt;Constants!$B$4,"",IF(AND($AJ133,$BA133,$BB133),Constants!$B$22,0))</f>
        <v/>
      </c>
      <c r="BP133" s="100" t="str">
        <f aca="false">IF($BH133&lt;&gt;Constants!$B$4,"",IF(OR(NOT($AJ133),NOT($BA133)),0,IF($BF133&gt;=2*$AF$9,0,Constants!$B$23*INT(ROUND(MIN($BF133,$AF$9),6)))))</f>
        <v/>
      </c>
      <c r="BQ133" s="100" t="str">
        <f aca="false">IF($BH133&lt;&gt;Constants!$B$4,"",IF(NOT($AJ133),0,Constants!$B$24*INT(ROUND(MIN($AZ133,$AF$9),6))))</f>
        <v/>
      </c>
      <c r="BR133" s="100" t="str">
        <f aca="false">IF($BH133&lt;&gt;Constants!$B$4,"",IF(AND($AJ133,$BJ133=0),Constants!$B$25,0))</f>
        <v/>
      </c>
      <c r="BS133" s="100" t="str">
        <f aca="false">IF($BH133&lt;&gt;Constants!$B$4,"",MIN(Constants!$B$29,MAX(0,Constants!$B$27*Constants!$B$28*INT(ROUND((Constants!$B$26-$AL133)/Constants!$B$28,6))))+MIN(Constants!$B$29,MAX(0,Constants!$B$27*Constants!$B$28*INT(ROUND((Constants!$B$26-$AM133)/Constants!$B$28,6))))+MIN(Constants!$B$29,MAX(0,Constants!$B$27*Constants!$B$28*INT(ROUND((Constants!$B$26-$AN133)/Constants!$B$28,6)))))</f>
        <v/>
      </c>
      <c r="BT133" s="100" t="str">
        <f aca="false">IF($BH133&lt;&gt;Constants!$B$4,"",IF(NOT($AJ133),0,Constants!$B$31*INT(ROUND(MAX(0,MIN($BF133,2*$AF$9)-$AF$9),6))))</f>
        <v/>
      </c>
      <c r="BU133" s="100" t="str">
        <f aca="false">IF($BH133&lt;&gt;Constants!$B$4,"",Constants!$B$32*(($AL133&gt;Constants!$B$26)+($AM133&gt;Constants!$B$26)+($AN133&gt;Constants!$B$26)))</f>
        <v/>
      </c>
      <c r="BV133" s="100" t="str">
        <f aca="false">IF($BH133&lt;&gt;Constants!$B$4,"",IF(OR(NOT($AJ133),$AO133),0,Constants!$B$33))</f>
        <v/>
      </c>
      <c r="BW133" s="100" t="str">
        <f aca="false">IF($BH133&lt;&gt;Constants!$B$4,"",Constants!$B$34*$BJ133)</f>
        <v/>
      </c>
      <c r="BX133" s="100" t="str">
        <f aca="false">IF($BH133&lt;&gt;Constants!$B$4,"",IF(OR(NOT($AJ133),$BE133),0,Constants!$B$36))</f>
        <v/>
      </c>
      <c r="BY133" s="100" t="str">
        <f aca="false">IF($BH133&lt;&gt;Constants!$B$4,"",IF(OR(NOT($AJ133),$BD133),0,Constants!$B$37))</f>
        <v/>
      </c>
      <c r="BZ133" s="100" t="str">
        <f aca="false">IF($BH133&lt;&gt;Constants!$B$4,"",SUM($BT133:$BY133))</f>
        <v/>
      </c>
      <c r="CA133" s="100" t="str">
        <f aca="false">IF(ISBLANK($C133),"",IF($BH133&lt;&gt;Constants!$B$4,$BH133,SUM($BK133:$BS133)-$BZ133))</f>
        <v/>
      </c>
      <c r="CB133" s="100" t="str">
        <f aca="false">IF(ISBLANK($C133),"",IF($BH133&lt;&gt;Constants!$B$4,$BH133,RANK($CA133,$CA$9:$CA$508)))</f>
        <v/>
      </c>
      <c r="CC133" s="100" t="str">
        <f aca="false">IF(ISBLANK($C133),"",IF($BH133&lt;&gt;Constants!$B$4,$BH133,COUNTIFS($BI$9:$BI$508,"&lt;"&amp;$BI133)+COUNTIFS($BI$9:$BI$508,$BI133,$CB$9:$CB$508,"&lt;"&amp;$CB133)+1))</f>
        <v/>
      </c>
      <c r="CD133" s="100" t="str">
        <f aca="false">IF(ISBLANK($C133),"",IF($BH133&lt;&gt;Constants!$B$4,$BH133,RANK($BZ133,$BZ$9:$BZ$508,1)))</f>
        <v/>
      </c>
      <c r="CE133" s="100" t="str">
        <f aca="false">IF($BH133&lt;&gt;Constants!$B$4,"",$AL133+$AM133+$AN133)</f>
        <v/>
      </c>
      <c r="CF133" s="100" t="str">
        <f aca="false">IF(ISBLANK($C133),"",IF($BH133&lt;&gt;Constants!$B$4,$BH133,RANK($CE133,$CE$9:$CE$508,1)))</f>
        <v/>
      </c>
      <c r="CG133" s="100" t="str">
        <f aca="false">IF(ISBLANK($C133),"",IF($BH133&lt;&gt;Constants!$B$4,$BH133,COUNTIFS($BI$9:$BI$508,"&lt;"&amp;$BI133)+COUNTIFS($BI$9:$BI$508,$BI133,$CB$9:$CB$508,"&lt;"&amp;$CB133)+COUNTIFS($BI$9:$BI$508,$BI133,$CB$9:$CB$508,$CB133,$CD$9:$CD$508,"&lt;"&amp;$CD133)+COUNTIFS($BI$9:$BI$508,$BI133,$CB$9:$CB$508,$CB133,$CD$9:$CD$508,$CD133,$CF$9:$CF$508,"&lt;"&amp;$CF133)+1))</f>
        <v/>
      </c>
      <c r="CH133" s="100" t="str">
        <f aca="false">IF(ISBLANK($C133),"",IF($BH133&lt;&gt;Constants!$B$4,$BH133,$CC133-$CG133))</f>
        <v/>
      </c>
      <c r="CI133" s="100" t="str">
        <f aca="false">IF(ISBLANK($C133),"",IF(NOT($AJ133),"",IF(ISBLANK($D$7),$CI$5,IF(NOT(ISNUMBER($D$7)),$CI$6,""))))</f>
        <v/>
      </c>
      <c r="CJ133" s="100" t="str">
        <f aca="false">IF(ISBLANK($C133),"",OR($AL133="",$AM133="",$AN133=""))</f>
        <v/>
      </c>
      <c r="CK133" s="100" t="str">
        <f aca="false">IF(ISBLANK($C133),"",AND($AJ133,$AX133=""))</f>
        <v/>
      </c>
      <c r="CL133" s="100" t="str">
        <f aca="false">IF(ISBLANK($C133),"",AND($AJ133,$AY133=""))</f>
        <v/>
      </c>
      <c r="CM133" s="100" t="str">
        <f aca="false">IF(ISBLANK($C133),"",AND($AJ133,$AZ133=""))</f>
        <v/>
      </c>
      <c r="CN133" s="100" t="str">
        <f aca="false">IF(ISBLANK($C133),"",AND($AJ133,$BC133=""))</f>
        <v/>
      </c>
      <c r="CO133" s="100" t="str">
        <f aca="false">IF(ISBLANK($C133),"",AND($AJ133,$BF133=""))</f>
        <v/>
      </c>
      <c r="CP133" s="101"/>
      <c r="CQ133" s="102"/>
      <c r="CR133" s="103" t="str">
        <f aca="false">IF(ISBLANK($C133),"",IF($BH133=Constants!$B$8,$CI133,""))</f>
        <v/>
      </c>
      <c r="CS133" s="102" t="str">
        <f aca="false">IF(ISBLANK($C133),"",IF($BH133&lt;&gt;Constants!$B$4,"",$BK133+$BL133))</f>
        <v/>
      </c>
      <c r="CT133" s="104" t="str">
        <f aca="false">IF(ISBLANK($C133),"",IF($BH133&lt;&gt;Constants!$B$4,"",$BM133+$BN133+$BO133))</f>
        <v/>
      </c>
      <c r="CU133" s="104" t="str">
        <f aca="false">IF(ISBLANK($C133),"",IF($BH133&lt;&gt;Constants!$B$4,"",$BP133))</f>
        <v/>
      </c>
      <c r="CV133" s="104" t="str">
        <f aca="false">IF(ISBLANK($C133),"",IF($BH133&lt;&gt;Constants!$B$4,"",$BQ133+$BR133))</f>
        <v/>
      </c>
      <c r="CW133" s="104" t="str">
        <f aca="false">IF(ISBLANK($C133),"",IF($BH133&lt;&gt;Constants!$B$4,"",$BS133))</f>
        <v/>
      </c>
      <c r="CX133" s="104" t="str">
        <f aca="false">IF(ISBLANK($C133),"",IF($BH133&lt;&gt;Constants!$B$4,"",-$BZ133))</f>
        <v/>
      </c>
      <c r="CY133" s="103" t="str">
        <f aca="false">IF(ISBLANK($C133),"",$CA133)</f>
        <v/>
      </c>
      <c r="CZ133" s="105" t="str">
        <f aca="false">IF(ISBLANK($C133),"",$BI133)</f>
        <v/>
      </c>
      <c r="DA133" s="104" t="str">
        <f aca="false">IF(ISBLANK($C133),"",$CH133)</f>
        <v/>
      </c>
      <c r="DB133" s="104" t="str">
        <f aca="false">IF(ISBLANK($C133),"",$CG133)</f>
        <v/>
      </c>
      <c r="DC133" s="106" t="str">
        <f aca="false">IF(ISBLANK($C133),"",IFERROR(_xlfn.SWITCH($DB133,Constants!$B$7,COUNTA($C$9:$C$508)+2,Constants!$B$6,COUNTA($C$9:$C$508)+1,Constants!$B$5,COUNTA($C$9:$C$508)),$DB133))</f>
        <v/>
      </c>
      <c r="DD133" s="7"/>
      <c r="DE133" s="107" t="n">
        <f aca="false">IF(OR(ISNUMBER($DB133),$DB133=Constants!$B$7,$DB133=Constants!$B$5,$DB133=Constants!$B$6),1,0)</f>
        <v>0</v>
      </c>
      <c r="DF133" s="107" t="n">
        <v>125</v>
      </c>
      <c r="DG133" s="107" t="str">
        <f aca="false">IF(ISBLANK($C133),"",IF(ISNUMBER($DC133),$DC133+ROW($B133)/1000,""))</f>
        <v/>
      </c>
      <c r="DH133" s="107" t="str">
        <f aca="false">IF(ISNUMBER($DG133),RANK($DG133,$DG$9:$DG$508,1),"")</f>
        <v/>
      </c>
      <c r="DI133" s="107" t="str">
        <f aca="false">IF(ISBLANK($C133),"",$B133)</f>
        <v/>
      </c>
      <c r="DJ133" s="107" t="str">
        <f aca="false">IF(ISBLANK($C133),"",$C133)</f>
        <v/>
      </c>
      <c r="DK133" s="107" t="str">
        <f aca="false">IF(ISBLANK($C133),"",$D133)</f>
        <v/>
      </c>
      <c r="DL133" s="108" t="str">
        <f aca="false">$CZ133</f>
        <v/>
      </c>
      <c r="DM133" s="109" t="str">
        <f aca="false">$CY133</f>
        <v/>
      </c>
      <c r="DN133" s="107" t="str">
        <f aca="false">IF(ISBLANK($C133),"",$DB133)</f>
        <v/>
      </c>
      <c r="DO133" s="110" t="str">
        <f aca="false">IF($DF133&gt;$DE$8,"",VLOOKUP($DF133,$DH$9:$DN$508,7,FALSE()))</f>
        <v/>
      </c>
      <c r="DP133" s="111" t="str">
        <f aca="false">IF($DF133&gt;$DE$8,"",VLOOKUP($DF133,$DH$9:$DN$508,2,FALSE()))</f>
        <v/>
      </c>
      <c r="DQ133" s="111" t="str">
        <f aca="false">IF($DF133&gt;$DE$8,"",VLOOKUP($DF133,$DH$9:$DN$508,3,FALSE()))</f>
        <v/>
      </c>
      <c r="DR133" s="111" t="str">
        <f aca="false">IF($DF133&gt;$DE$8,"",VLOOKUP($DF133,$DH$9:$DN$508,4,FALSE()))</f>
        <v/>
      </c>
      <c r="DS133" s="111" t="str">
        <f aca="false">IF($DF133&gt;$DE$8,"",VLOOKUP($DF133,$DH$9:$DN$508,5,FALSE()))</f>
        <v/>
      </c>
      <c r="DT133" s="112" t="str">
        <f aca="false">IF($DF133&gt;$DE$8,"",VLOOKUP($DF133,$DH$9:$DN$508,6,FALSE()))</f>
        <v/>
      </c>
      <c r="DU133" s="62"/>
    </row>
    <row r="134" customFormat="false" ht="15.75" hidden="false" customHeight="false" outlineLevel="0" collapsed="false">
      <c r="A134" s="7"/>
      <c r="B134" s="90"/>
      <c r="C134" s="91"/>
      <c r="D134" s="126"/>
      <c r="E134" s="130"/>
      <c r="F134" s="135"/>
      <c r="G134" s="130"/>
      <c r="H134" s="135"/>
      <c r="I134" s="131"/>
      <c r="J134" s="131"/>
      <c r="K134" s="131"/>
      <c r="L134" s="130"/>
      <c r="M134" s="130"/>
      <c r="N134" s="130"/>
      <c r="O134" s="135"/>
      <c r="P134" s="130"/>
      <c r="Q134" s="130"/>
      <c r="R134" s="130"/>
      <c r="S134" s="130"/>
      <c r="T134" s="135"/>
      <c r="U134" s="130"/>
      <c r="V134" s="96"/>
      <c r="W134" s="130"/>
      <c r="X134" s="130"/>
      <c r="Y134" s="96"/>
      <c r="Z134" s="96"/>
      <c r="AA134" s="130"/>
      <c r="AB134" s="130"/>
      <c r="AC134" s="97"/>
      <c r="AD134" s="130"/>
      <c r="AE134" s="99"/>
      <c r="AF134" s="100"/>
      <c r="AG134" s="100"/>
      <c r="AH134" s="100" t="str">
        <f aca="false">IF(ISBLANK($C134),"",IF($E134=Constants!$B$2,TRUE(),IF($E134=Constants!$B$3,FALSE(),TRUE())))</f>
        <v/>
      </c>
      <c r="AI134" s="100" t="str">
        <f aca="false">IF(ISBLANK($C134),"",IF($F134=Constants!$B$2,TRUE(),IF($F134=Constants!$B$3,FALSE(),FALSE())))</f>
        <v/>
      </c>
      <c r="AJ134" s="100" t="str">
        <f aca="false">IF(ISBLANK($C134),"",IF($G134=Constants!$B$2,TRUE(),IF($G134=Constants!$B$3,FALSE(),TRUE())))</f>
        <v/>
      </c>
      <c r="AK134" s="100" t="str">
        <f aca="false">IF(ISBLANK($C134),"",IF($H134=Constants!$B$2,TRUE(),IF($H134=Constants!$B$3,FALSE(),TRUE())))</f>
        <v/>
      </c>
      <c r="AL134" s="100" t="str">
        <f aca="false">IF(ISBLANK($C134),"",IF(ISNUMBER($I134),IF($I134&gt;=0,$I134,""),""))</f>
        <v/>
      </c>
      <c r="AM134" s="100" t="str">
        <f aca="false">IF(ISBLANK($C134),"",IF(ISNUMBER($J134),IF($J134&gt;=0,$J134,""),""))</f>
        <v/>
      </c>
      <c r="AN134" s="100" t="str">
        <f aca="false">IF(ISBLANK($C134),"",IF(ISNUMBER($K134),IF($K134&gt;=0,$K134,""),""))</f>
        <v/>
      </c>
      <c r="AO134" s="100" t="str">
        <f aca="false">IF(ISBLANK($C134),"",IF($L134=Constants!$B$2,TRUE(),IF($L134=Constants!$B$3,FALSE(),TRUE())))</f>
        <v/>
      </c>
      <c r="AP134" s="100" t="str">
        <f aca="false">IF(ISBLANK($C134),"",IF($M134=Constants!$B$2,TRUE(),IF($M134=Constants!$B$3,FALSE(),TRUE())))</f>
        <v/>
      </c>
      <c r="AQ134" s="100" t="str">
        <f aca="false">IF(ISBLANK($C134),"",IF($N134=Constants!$B$2,TRUE(),IF($N134=Constants!$B$3,FALSE(),FALSE())))</f>
        <v/>
      </c>
      <c r="AR134" s="100" t="str">
        <f aca="false">IF(ISBLANK($C134),"",IF($O134=Constants!$B$2,TRUE(),IF($O134=Constants!$B$3,FALSE(),TRUE())))</f>
        <v/>
      </c>
      <c r="AS134" s="100" t="str">
        <f aca="false">IF(ISBLANK($C134),"",IF($P134=Constants!$B$2,TRUE(),IF($P134=Constants!$B$3,FALSE(),FALSE())))</f>
        <v/>
      </c>
      <c r="AT134" s="100" t="str">
        <f aca="false">IF(ISBLANK($C134),"",IF($Q134=Constants!$B$2,TRUE(),IF($Q134=Constants!$B$3,FALSE(),FALSE())))</f>
        <v/>
      </c>
      <c r="AU134" s="100" t="str">
        <f aca="false">IF(ISBLANK($C134),"",IF($R134=Constants!$B$2,TRUE(),IF($R134=Constants!$B$3,FALSE(),FALSE())))</f>
        <v/>
      </c>
      <c r="AV134" s="100" t="str">
        <f aca="false">IF(ISBLANK($C134),"",IF($S134=Constants!$B$2,TRUE(),IF($S134=Constants!$B$3,FALSE(),FALSE())))</f>
        <v/>
      </c>
      <c r="AW134" s="100" t="str">
        <f aca="false">IF(ISBLANK($C134),"",IF($T134=Constants!$B$2,TRUE(),IF($T134=Constants!$B$3,FALSE(),FALSE())))</f>
        <v/>
      </c>
      <c r="AX134" s="100" t="str">
        <f aca="false">IF(ISBLANK($C134),"",IF(OR($U134&amp;""="1",$U134&amp;""="2",$U134&amp;""="3",$U134&amp;""="4"),VALUE($U134&amp;""),IF($U134=Constants!$B$12,Constants!$B$12,"")))</f>
        <v/>
      </c>
      <c r="AY134" s="100" t="str">
        <f aca="false">IF(ISBLANK($C134),"",IF(ISBLANK($V134),0,IF(ISNUMBER($V134),IF(AND($V134&gt;=0,$V134&lt;=Constants!$B$21,$V134=INT($V134)),$V134,""),"")))</f>
        <v/>
      </c>
      <c r="AZ134" s="100" t="str">
        <f aca="false">IF(ISBLANK($C134),"",IF(ISBLANK($W134),0,IF(ISNUMBER($W134),IF($W134&gt;=0,$W134,""),"")))</f>
        <v/>
      </c>
      <c r="BA134" s="100" t="str">
        <f aca="false">IF(ISBLANK($C134),"",IF($X134=Constants!$B$2,TRUE(),IF($X134=Constants!$B$3,FALSE(),TRUE())))</f>
        <v/>
      </c>
      <c r="BB134" s="100" t="str">
        <f aca="false">IF(ISBLANK($C134),"",IF($Y134=Constants!$B$2,TRUE(),IF($Y134=Constants!$B$3,FALSE(),FALSE())))</f>
        <v/>
      </c>
      <c r="BC134" s="100" t="str">
        <f aca="false">IF(ISBLANK($C134),"",IF(ISBLANK($Z134),0,IF(ISNUMBER($Z134),IF(AND($Z134&gt;=0,$Z134&lt;=Constants!$B$35,$Z134=INT($Z134)),$Z134,""),"")))</f>
        <v/>
      </c>
      <c r="BD134" s="100" t="str">
        <f aca="false">IF(ISBLANK($C134),"",IF($AA134=Constants!$B$2,TRUE(),IF($AA134=Constants!$B$3,FALSE(),TRUE())))</f>
        <v/>
      </c>
      <c r="BE134" s="100" t="str">
        <f aca="false">IF(ISBLANK($C134),"",IF($AB134=Constants!$B$2,TRUE(),IF($AB134=Constants!$B$3,FALSE(),TRUE())))</f>
        <v/>
      </c>
      <c r="BF134" s="100" t="str">
        <f aca="false">IF(ISBLANK($C134),"",IF(ISNUMBER($AC134),IF($AC134&gt;=0,$AC134,""),""))</f>
        <v/>
      </c>
      <c r="BG134" s="100" t="str">
        <f aca="false">IF(ISBLANK($C134),"",IF($AD134=Constants!$B$2,TRUE(),IF($AD134=Constants!$B$3,FALSE(),FALSE())))</f>
        <v/>
      </c>
      <c r="BH134" s="99" t="str">
        <f aca="false">IF(ISBLANK($C134),"",IF($BG134,Constants!$B$7,IF(COUNTA($E134:$AC134)=0,Constants!$B$6,IF(OR(COUNTA($G134:$AC134)=0,NOT($AK134),$AQ134),Constants!$B$5,IF(OR($CI134&lt;&gt;"",$CJ134,$CK134,$CL134,$CM134,$CN134,$CO134),Constants!$B$8,Constants!$B$4)))))</f>
        <v/>
      </c>
      <c r="BI134" s="100" t="str">
        <f aca="false">IF(ISBLANK($C134),"",IF($BH134&lt;&gt;Constants!$B$4,$BH134,IF(OR(NOT($AH134),NOT($AJ134),NOT($AR134)),Constants!$B$11,IF(OR(NOT($AP134),MAX($AL134,$AM134,$AN134)&gt;Constants!$B$30),Constants!$B$10,Constants!$B$9))))</f>
        <v/>
      </c>
      <c r="BJ134" s="100" t="str">
        <f aca="false">IF($BH134&lt;&gt;Constants!$B$4,"",IF(NOT($AJ134),0,MIN(Constants!$B$35,$BC134)))</f>
        <v/>
      </c>
      <c r="BK134" s="100" t="str">
        <f aca="false">IF($BH134&lt;&gt;Constants!$B$4,"",IF(NOT($AJ134),0,IF($AT134,Constants!$B$18,IF($AS134,Constants!$B$17,0))))</f>
        <v/>
      </c>
      <c r="BL134" s="100" t="str">
        <f aca="false">IF($BH134&lt;&gt;Constants!$B$4,"",IF(NOT($AJ134),0,Constants!$B$19*($AI134+$AU134+$AV134+$AW134)))</f>
        <v/>
      </c>
      <c r="BM134" s="100" t="str">
        <f aca="false">IF($BH134&lt;&gt;Constants!$B$4,"",IF(OR(NOT($AJ134),NOT(ISNUMBER($AX134))),0,CHOOSE($AX134,Constants!$B$13,Constants!$B$14,Constants!$B$15,Constants!$B$16)))</f>
        <v/>
      </c>
      <c r="BN134" s="100" t="str">
        <f aca="false">IF($BH134&lt;&gt;Constants!$B$4,"",IF(NOT($AJ134),0,Constants!$B$20*$AY134))</f>
        <v/>
      </c>
      <c r="BO134" s="100" t="str">
        <f aca="false">IF($BH134&lt;&gt;Constants!$B$4,"",IF(AND($AJ134,$BA134,$BB134),Constants!$B$22,0))</f>
        <v/>
      </c>
      <c r="BP134" s="100" t="str">
        <f aca="false">IF($BH134&lt;&gt;Constants!$B$4,"",IF(OR(NOT($AJ134),NOT($BA134)),0,IF($BF134&gt;=2*$AF$9,0,Constants!$B$23*INT(ROUND(MIN($BF134,$AF$9),6)))))</f>
        <v/>
      </c>
      <c r="BQ134" s="100" t="str">
        <f aca="false">IF($BH134&lt;&gt;Constants!$B$4,"",IF(NOT($AJ134),0,Constants!$B$24*INT(ROUND(MIN($AZ134,$AF$9),6))))</f>
        <v/>
      </c>
      <c r="BR134" s="100" t="str">
        <f aca="false">IF($BH134&lt;&gt;Constants!$B$4,"",IF(AND($AJ134,$BJ134=0),Constants!$B$25,0))</f>
        <v/>
      </c>
      <c r="BS134" s="100" t="str">
        <f aca="false">IF($BH134&lt;&gt;Constants!$B$4,"",MIN(Constants!$B$29,MAX(0,Constants!$B$27*Constants!$B$28*INT(ROUND((Constants!$B$26-$AL134)/Constants!$B$28,6))))+MIN(Constants!$B$29,MAX(0,Constants!$B$27*Constants!$B$28*INT(ROUND((Constants!$B$26-$AM134)/Constants!$B$28,6))))+MIN(Constants!$B$29,MAX(0,Constants!$B$27*Constants!$B$28*INT(ROUND((Constants!$B$26-$AN134)/Constants!$B$28,6)))))</f>
        <v/>
      </c>
      <c r="BT134" s="100" t="str">
        <f aca="false">IF($BH134&lt;&gt;Constants!$B$4,"",IF(NOT($AJ134),0,Constants!$B$31*INT(ROUND(MAX(0,MIN($BF134,2*$AF$9)-$AF$9),6))))</f>
        <v/>
      </c>
      <c r="BU134" s="100" t="str">
        <f aca="false">IF($BH134&lt;&gt;Constants!$B$4,"",Constants!$B$32*(($AL134&gt;Constants!$B$26)+($AM134&gt;Constants!$B$26)+($AN134&gt;Constants!$B$26)))</f>
        <v/>
      </c>
      <c r="BV134" s="100" t="str">
        <f aca="false">IF($BH134&lt;&gt;Constants!$B$4,"",IF(OR(NOT($AJ134),$AO134),0,Constants!$B$33))</f>
        <v/>
      </c>
      <c r="BW134" s="100" t="str">
        <f aca="false">IF($BH134&lt;&gt;Constants!$B$4,"",Constants!$B$34*$BJ134)</f>
        <v/>
      </c>
      <c r="BX134" s="100" t="str">
        <f aca="false">IF($BH134&lt;&gt;Constants!$B$4,"",IF(OR(NOT($AJ134),$BE134),0,Constants!$B$36))</f>
        <v/>
      </c>
      <c r="BY134" s="100" t="str">
        <f aca="false">IF($BH134&lt;&gt;Constants!$B$4,"",IF(OR(NOT($AJ134),$BD134),0,Constants!$B$37))</f>
        <v/>
      </c>
      <c r="BZ134" s="100" t="str">
        <f aca="false">IF($BH134&lt;&gt;Constants!$B$4,"",SUM($BT134:$BY134))</f>
        <v/>
      </c>
      <c r="CA134" s="100" t="str">
        <f aca="false">IF(ISBLANK($C134),"",IF($BH134&lt;&gt;Constants!$B$4,$BH134,SUM($BK134:$BS134)-$BZ134))</f>
        <v/>
      </c>
      <c r="CB134" s="100" t="str">
        <f aca="false">IF(ISBLANK($C134),"",IF($BH134&lt;&gt;Constants!$B$4,$BH134,RANK($CA134,$CA$9:$CA$508)))</f>
        <v/>
      </c>
      <c r="CC134" s="100" t="str">
        <f aca="false">IF(ISBLANK($C134),"",IF($BH134&lt;&gt;Constants!$B$4,$BH134,COUNTIFS($BI$9:$BI$508,"&lt;"&amp;$BI134)+COUNTIFS($BI$9:$BI$508,$BI134,$CB$9:$CB$508,"&lt;"&amp;$CB134)+1))</f>
        <v/>
      </c>
      <c r="CD134" s="100" t="str">
        <f aca="false">IF(ISBLANK($C134),"",IF($BH134&lt;&gt;Constants!$B$4,$BH134,RANK($BZ134,$BZ$9:$BZ$508,1)))</f>
        <v/>
      </c>
      <c r="CE134" s="100" t="str">
        <f aca="false">IF($BH134&lt;&gt;Constants!$B$4,"",$AL134+$AM134+$AN134)</f>
        <v/>
      </c>
      <c r="CF134" s="100" t="str">
        <f aca="false">IF(ISBLANK($C134),"",IF($BH134&lt;&gt;Constants!$B$4,$BH134,RANK($CE134,$CE$9:$CE$508,1)))</f>
        <v/>
      </c>
      <c r="CG134" s="100" t="str">
        <f aca="false">IF(ISBLANK($C134),"",IF($BH134&lt;&gt;Constants!$B$4,$BH134,COUNTIFS($BI$9:$BI$508,"&lt;"&amp;$BI134)+COUNTIFS($BI$9:$BI$508,$BI134,$CB$9:$CB$508,"&lt;"&amp;$CB134)+COUNTIFS($BI$9:$BI$508,$BI134,$CB$9:$CB$508,$CB134,$CD$9:$CD$508,"&lt;"&amp;$CD134)+COUNTIFS($BI$9:$BI$508,$BI134,$CB$9:$CB$508,$CB134,$CD$9:$CD$508,$CD134,$CF$9:$CF$508,"&lt;"&amp;$CF134)+1))</f>
        <v/>
      </c>
      <c r="CH134" s="100" t="str">
        <f aca="false">IF(ISBLANK($C134),"",IF($BH134&lt;&gt;Constants!$B$4,$BH134,$CC134-$CG134))</f>
        <v/>
      </c>
      <c r="CI134" s="100" t="str">
        <f aca="false">IF(ISBLANK($C134),"",IF(NOT($AJ134),"",IF(ISBLANK($D$7),$CI$5,IF(NOT(ISNUMBER($D$7)),$CI$6,""))))</f>
        <v/>
      </c>
      <c r="CJ134" s="100" t="str">
        <f aca="false">IF(ISBLANK($C134),"",OR($AL134="",$AM134="",$AN134=""))</f>
        <v/>
      </c>
      <c r="CK134" s="100" t="str">
        <f aca="false">IF(ISBLANK($C134),"",AND($AJ134,$AX134=""))</f>
        <v/>
      </c>
      <c r="CL134" s="100" t="str">
        <f aca="false">IF(ISBLANK($C134),"",AND($AJ134,$AY134=""))</f>
        <v/>
      </c>
      <c r="CM134" s="100" t="str">
        <f aca="false">IF(ISBLANK($C134),"",AND($AJ134,$AZ134=""))</f>
        <v/>
      </c>
      <c r="CN134" s="100" t="str">
        <f aca="false">IF(ISBLANK($C134),"",AND($AJ134,$BC134=""))</f>
        <v/>
      </c>
      <c r="CO134" s="100" t="str">
        <f aca="false">IF(ISBLANK($C134),"",AND($AJ134,$BF134=""))</f>
        <v/>
      </c>
      <c r="CP134" s="101"/>
      <c r="CQ134" s="102"/>
      <c r="CR134" s="103" t="str">
        <f aca="false">IF(ISBLANK($C134),"",IF($BH134=Constants!$B$8,$CI134,""))</f>
        <v/>
      </c>
      <c r="CS134" s="102" t="str">
        <f aca="false">IF(ISBLANK($C134),"",IF($BH134&lt;&gt;Constants!$B$4,"",$BK134+$BL134))</f>
        <v/>
      </c>
      <c r="CT134" s="104" t="str">
        <f aca="false">IF(ISBLANK($C134),"",IF($BH134&lt;&gt;Constants!$B$4,"",$BM134+$BN134+$BO134))</f>
        <v/>
      </c>
      <c r="CU134" s="104" t="str">
        <f aca="false">IF(ISBLANK($C134),"",IF($BH134&lt;&gt;Constants!$B$4,"",$BP134))</f>
        <v/>
      </c>
      <c r="CV134" s="104" t="str">
        <f aca="false">IF(ISBLANK($C134),"",IF($BH134&lt;&gt;Constants!$B$4,"",$BQ134+$BR134))</f>
        <v/>
      </c>
      <c r="CW134" s="104" t="str">
        <f aca="false">IF(ISBLANK($C134),"",IF($BH134&lt;&gt;Constants!$B$4,"",$BS134))</f>
        <v/>
      </c>
      <c r="CX134" s="104" t="str">
        <f aca="false">IF(ISBLANK($C134),"",IF($BH134&lt;&gt;Constants!$B$4,"",-$BZ134))</f>
        <v/>
      </c>
      <c r="CY134" s="103" t="str">
        <f aca="false">IF(ISBLANK($C134),"",$CA134)</f>
        <v/>
      </c>
      <c r="CZ134" s="105" t="str">
        <f aca="false">IF(ISBLANK($C134),"",$BI134)</f>
        <v/>
      </c>
      <c r="DA134" s="104" t="str">
        <f aca="false">IF(ISBLANK($C134),"",$CH134)</f>
        <v/>
      </c>
      <c r="DB134" s="104" t="str">
        <f aca="false">IF(ISBLANK($C134),"",$CG134)</f>
        <v/>
      </c>
      <c r="DC134" s="106" t="str">
        <f aca="false">IF(ISBLANK($C134),"",IFERROR(_xlfn.SWITCH($DB134,Constants!$B$7,COUNTA($C$9:$C$508)+2,Constants!$B$6,COUNTA($C$9:$C$508)+1,Constants!$B$5,COUNTA($C$9:$C$508)),$DB134))</f>
        <v/>
      </c>
      <c r="DD134" s="7"/>
      <c r="DE134" s="107" t="n">
        <f aca="false">IF(OR(ISNUMBER($DB134),$DB134=Constants!$B$7,$DB134=Constants!$B$5,$DB134=Constants!$B$6),1,0)</f>
        <v>0</v>
      </c>
      <c r="DF134" s="107" t="n">
        <v>126</v>
      </c>
      <c r="DG134" s="107" t="str">
        <f aca="false">IF(ISBLANK($C134),"",IF(ISNUMBER($DC134),$DC134+ROW($B134)/1000,""))</f>
        <v/>
      </c>
      <c r="DH134" s="107" t="str">
        <f aca="false">IF(ISNUMBER($DG134),RANK($DG134,$DG$9:$DG$508,1),"")</f>
        <v/>
      </c>
      <c r="DI134" s="107" t="str">
        <f aca="false">IF(ISBLANK($C134),"",$B134)</f>
        <v/>
      </c>
      <c r="DJ134" s="107" t="str">
        <f aca="false">IF(ISBLANK($C134),"",$C134)</f>
        <v/>
      </c>
      <c r="DK134" s="107" t="str">
        <f aca="false">IF(ISBLANK($C134),"",$D134)</f>
        <v/>
      </c>
      <c r="DL134" s="108" t="str">
        <f aca="false">$CZ134</f>
        <v/>
      </c>
      <c r="DM134" s="109" t="str">
        <f aca="false">$CY134</f>
        <v/>
      </c>
      <c r="DN134" s="107" t="str">
        <f aca="false">IF(ISBLANK($C134),"",$DB134)</f>
        <v/>
      </c>
      <c r="DO134" s="110" t="str">
        <f aca="false">IF($DF134&gt;$DE$8,"",VLOOKUP($DF134,$DH$9:$DN$508,7,FALSE()))</f>
        <v/>
      </c>
      <c r="DP134" s="111" t="str">
        <f aca="false">IF($DF134&gt;$DE$8,"",VLOOKUP($DF134,$DH$9:$DN$508,2,FALSE()))</f>
        <v/>
      </c>
      <c r="DQ134" s="111" t="str">
        <f aca="false">IF($DF134&gt;$DE$8,"",VLOOKUP($DF134,$DH$9:$DN$508,3,FALSE()))</f>
        <v/>
      </c>
      <c r="DR134" s="111" t="str">
        <f aca="false">IF($DF134&gt;$DE$8,"",VLOOKUP($DF134,$DH$9:$DN$508,4,FALSE()))</f>
        <v/>
      </c>
      <c r="DS134" s="111" t="str">
        <f aca="false">IF($DF134&gt;$DE$8,"",VLOOKUP($DF134,$DH$9:$DN$508,5,FALSE()))</f>
        <v/>
      </c>
      <c r="DT134" s="112" t="str">
        <f aca="false">IF($DF134&gt;$DE$8,"",VLOOKUP($DF134,$DH$9:$DN$508,6,FALSE()))</f>
        <v/>
      </c>
      <c r="DU134" s="62"/>
    </row>
    <row r="135" customFormat="false" ht="15.75" hidden="false" customHeight="false" outlineLevel="0" collapsed="false">
      <c r="A135" s="7"/>
      <c r="B135" s="64"/>
      <c r="C135" s="65"/>
      <c r="D135" s="123"/>
      <c r="E135" s="88"/>
      <c r="F135" s="134"/>
      <c r="G135" s="88"/>
      <c r="H135" s="134"/>
      <c r="I135" s="119"/>
      <c r="J135" s="119"/>
      <c r="K135" s="119"/>
      <c r="L135" s="88"/>
      <c r="M135" s="88"/>
      <c r="N135" s="88"/>
      <c r="O135" s="134"/>
      <c r="P135" s="88"/>
      <c r="Q135" s="88"/>
      <c r="R135" s="88"/>
      <c r="S135" s="88"/>
      <c r="T135" s="134"/>
      <c r="U135" s="88"/>
      <c r="V135" s="70"/>
      <c r="W135" s="88"/>
      <c r="X135" s="88"/>
      <c r="Y135" s="70"/>
      <c r="Z135" s="70"/>
      <c r="AA135" s="88"/>
      <c r="AB135" s="88"/>
      <c r="AC135" s="71"/>
      <c r="AD135" s="88"/>
      <c r="AE135" s="73"/>
      <c r="AF135" s="74"/>
      <c r="AG135" s="74"/>
      <c r="AH135" s="74" t="str">
        <f aca="false">IF(ISBLANK($C135),"",IF($E135=Constants!$B$2,TRUE(),IF($E135=Constants!$B$3,FALSE(),TRUE())))</f>
        <v/>
      </c>
      <c r="AI135" s="74" t="str">
        <f aca="false">IF(ISBLANK($C135),"",IF($F135=Constants!$B$2,TRUE(),IF($F135=Constants!$B$3,FALSE(),FALSE())))</f>
        <v/>
      </c>
      <c r="AJ135" s="74" t="str">
        <f aca="false">IF(ISBLANK($C135),"",IF($G135=Constants!$B$2,TRUE(),IF($G135=Constants!$B$3,FALSE(),TRUE())))</f>
        <v/>
      </c>
      <c r="AK135" s="74" t="str">
        <f aca="false">IF(ISBLANK($C135),"",IF($H135=Constants!$B$2,TRUE(),IF($H135=Constants!$B$3,FALSE(),TRUE())))</f>
        <v/>
      </c>
      <c r="AL135" s="74" t="str">
        <f aca="false">IF(ISBLANK($C135),"",IF(ISNUMBER($I135),IF($I135&gt;=0,$I135,""),""))</f>
        <v/>
      </c>
      <c r="AM135" s="74" t="str">
        <f aca="false">IF(ISBLANK($C135),"",IF(ISNUMBER($J135),IF($J135&gt;=0,$J135,""),""))</f>
        <v/>
      </c>
      <c r="AN135" s="74" t="str">
        <f aca="false">IF(ISBLANK($C135),"",IF(ISNUMBER($K135),IF($K135&gt;=0,$K135,""),""))</f>
        <v/>
      </c>
      <c r="AO135" s="74" t="str">
        <f aca="false">IF(ISBLANK($C135),"",IF($L135=Constants!$B$2,TRUE(),IF($L135=Constants!$B$3,FALSE(),TRUE())))</f>
        <v/>
      </c>
      <c r="AP135" s="74" t="str">
        <f aca="false">IF(ISBLANK($C135),"",IF($M135=Constants!$B$2,TRUE(),IF($M135=Constants!$B$3,FALSE(),TRUE())))</f>
        <v/>
      </c>
      <c r="AQ135" s="74" t="str">
        <f aca="false">IF(ISBLANK($C135),"",IF($N135=Constants!$B$2,TRUE(),IF($N135=Constants!$B$3,FALSE(),FALSE())))</f>
        <v/>
      </c>
      <c r="AR135" s="74" t="str">
        <f aca="false">IF(ISBLANK($C135),"",IF($O135=Constants!$B$2,TRUE(),IF($O135=Constants!$B$3,FALSE(),TRUE())))</f>
        <v/>
      </c>
      <c r="AS135" s="74" t="str">
        <f aca="false">IF(ISBLANK($C135),"",IF($P135=Constants!$B$2,TRUE(),IF($P135=Constants!$B$3,FALSE(),FALSE())))</f>
        <v/>
      </c>
      <c r="AT135" s="74" t="str">
        <f aca="false">IF(ISBLANK($C135),"",IF($Q135=Constants!$B$2,TRUE(),IF($Q135=Constants!$B$3,FALSE(),FALSE())))</f>
        <v/>
      </c>
      <c r="AU135" s="74" t="str">
        <f aca="false">IF(ISBLANK($C135),"",IF($R135=Constants!$B$2,TRUE(),IF($R135=Constants!$B$3,FALSE(),FALSE())))</f>
        <v/>
      </c>
      <c r="AV135" s="74" t="str">
        <f aca="false">IF(ISBLANK($C135),"",IF($S135=Constants!$B$2,TRUE(),IF($S135=Constants!$B$3,FALSE(),FALSE())))</f>
        <v/>
      </c>
      <c r="AW135" s="74" t="str">
        <f aca="false">IF(ISBLANK($C135),"",IF($T135=Constants!$B$2,TRUE(),IF($T135=Constants!$B$3,FALSE(),FALSE())))</f>
        <v/>
      </c>
      <c r="AX135" s="74" t="str">
        <f aca="false">IF(ISBLANK($C135),"",IF(OR($U135&amp;""="1",$U135&amp;""="2",$U135&amp;""="3",$U135&amp;""="4"),VALUE($U135&amp;""),IF($U135=Constants!$B$12,Constants!$B$12,"")))</f>
        <v/>
      </c>
      <c r="AY135" s="74" t="str">
        <f aca="false">IF(ISBLANK($C135),"",IF(ISBLANK($V135),0,IF(ISNUMBER($V135),IF(AND($V135&gt;=0,$V135&lt;=Constants!$B$21,$V135=INT($V135)),$V135,""),"")))</f>
        <v/>
      </c>
      <c r="AZ135" s="74" t="str">
        <f aca="false">IF(ISBLANK($C135),"",IF(ISBLANK($W135),0,IF(ISNUMBER($W135),IF($W135&gt;=0,$W135,""),"")))</f>
        <v/>
      </c>
      <c r="BA135" s="74" t="str">
        <f aca="false">IF(ISBLANK($C135),"",IF($X135=Constants!$B$2,TRUE(),IF($X135=Constants!$B$3,FALSE(),TRUE())))</f>
        <v/>
      </c>
      <c r="BB135" s="74" t="str">
        <f aca="false">IF(ISBLANK($C135),"",IF($Y135=Constants!$B$2,TRUE(),IF($Y135=Constants!$B$3,FALSE(),FALSE())))</f>
        <v/>
      </c>
      <c r="BC135" s="74" t="str">
        <f aca="false">IF(ISBLANK($C135),"",IF(ISBLANK($Z135),0,IF(ISNUMBER($Z135),IF(AND($Z135&gt;=0,$Z135&lt;=Constants!$B$35,$Z135=INT($Z135)),$Z135,""),"")))</f>
        <v/>
      </c>
      <c r="BD135" s="74" t="str">
        <f aca="false">IF(ISBLANK($C135),"",IF($AA135=Constants!$B$2,TRUE(),IF($AA135=Constants!$B$3,FALSE(),TRUE())))</f>
        <v/>
      </c>
      <c r="BE135" s="74" t="str">
        <f aca="false">IF(ISBLANK($C135),"",IF($AB135=Constants!$B$2,TRUE(),IF($AB135=Constants!$B$3,FALSE(),TRUE())))</f>
        <v/>
      </c>
      <c r="BF135" s="74" t="str">
        <f aca="false">IF(ISBLANK($C135),"",IF(ISNUMBER($AC135),IF($AC135&gt;=0,$AC135,""),""))</f>
        <v/>
      </c>
      <c r="BG135" s="74" t="str">
        <f aca="false">IF(ISBLANK($C135),"",IF($AD135=Constants!$B$2,TRUE(),IF($AD135=Constants!$B$3,FALSE(),FALSE())))</f>
        <v/>
      </c>
      <c r="BH135" s="73" t="str">
        <f aca="false">IF(ISBLANK($C135),"",IF($BG135,Constants!$B$7,IF(COUNTA($E135:$AC135)=0,Constants!$B$6,IF(OR(COUNTA($G135:$AC135)=0,NOT($AK135),$AQ135),Constants!$B$5,IF(OR($CI135&lt;&gt;"",$CJ135,$CK135,$CL135,$CM135,$CN135,$CO135),Constants!$B$8,Constants!$B$4)))))</f>
        <v/>
      </c>
      <c r="BI135" s="74" t="str">
        <f aca="false">IF(ISBLANK($C135),"",IF($BH135&lt;&gt;Constants!$B$4,$BH135,IF(OR(NOT($AH135),NOT($AJ135),NOT($AR135)),Constants!$B$11,IF(OR(NOT($AP135),MAX($AL135,$AM135,$AN135)&gt;Constants!$B$30),Constants!$B$10,Constants!$B$9))))</f>
        <v/>
      </c>
      <c r="BJ135" s="74" t="str">
        <f aca="false">IF($BH135&lt;&gt;Constants!$B$4,"",IF(NOT($AJ135),0,MIN(Constants!$B$35,$BC135)))</f>
        <v/>
      </c>
      <c r="BK135" s="74" t="str">
        <f aca="false">IF($BH135&lt;&gt;Constants!$B$4,"",IF(NOT($AJ135),0,IF($AT135,Constants!$B$18,IF($AS135,Constants!$B$17,0))))</f>
        <v/>
      </c>
      <c r="BL135" s="74" t="str">
        <f aca="false">IF($BH135&lt;&gt;Constants!$B$4,"",IF(NOT($AJ135),0,Constants!$B$19*($AI135+$AU135+$AV135+$AW135)))</f>
        <v/>
      </c>
      <c r="BM135" s="74" t="str">
        <f aca="false">IF($BH135&lt;&gt;Constants!$B$4,"",IF(OR(NOT($AJ135),NOT(ISNUMBER($AX135))),0,CHOOSE($AX135,Constants!$B$13,Constants!$B$14,Constants!$B$15,Constants!$B$16)))</f>
        <v/>
      </c>
      <c r="BN135" s="74" t="str">
        <f aca="false">IF($BH135&lt;&gt;Constants!$B$4,"",IF(NOT($AJ135),0,Constants!$B$20*$AY135))</f>
        <v/>
      </c>
      <c r="BO135" s="74" t="str">
        <f aca="false">IF($BH135&lt;&gt;Constants!$B$4,"",IF(AND($AJ135,$BA135,$BB135),Constants!$B$22,0))</f>
        <v/>
      </c>
      <c r="BP135" s="74" t="str">
        <f aca="false">IF($BH135&lt;&gt;Constants!$B$4,"",IF(OR(NOT($AJ135),NOT($BA135)),0,IF($BF135&gt;=2*$AF$9,0,Constants!$B$23*INT(ROUND(MIN($BF135,$AF$9),6)))))</f>
        <v/>
      </c>
      <c r="BQ135" s="74" t="str">
        <f aca="false">IF($BH135&lt;&gt;Constants!$B$4,"",IF(NOT($AJ135),0,Constants!$B$24*INT(ROUND(MIN($AZ135,$AF$9),6))))</f>
        <v/>
      </c>
      <c r="BR135" s="74" t="str">
        <f aca="false">IF($BH135&lt;&gt;Constants!$B$4,"",IF(AND($AJ135,$BJ135=0),Constants!$B$25,0))</f>
        <v/>
      </c>
      <c r="BS135" s="74" t="str">
        <f aca="false">IF($BH135&lt;&gt;Constants!$B$4,"",MIN(Constants!$B$29,MAX(0,Constants!$B$27*Constants!$B$28*INT(ROUND((Constants!$B$26-$AL135)/Constants!$B$28,6))))+MIN(Constants!$B$29,MAX(0,Constants!$B$27*Constants!$B$28*INT(ROUND((Constants!$B$26-$AM135)/Constants!$B$28,6))))+MIN(Constants!$B$29,MAX(0,Constants!$B$27*Constants!$B$28*INT(ROUND((Constants!$B$26-$AN135)/Constants!$B$28,6)))))</f>
        <v/>
      </c>
      <c r="BT135" s="74" t="str">
        <f aca="false">IF($BH135&lt;&gt;Constants!$B$4,"",IF(NOT($AJ135),0,Constants!$B$31*INT(ROUND(MAX(0,MIN($BF135,2*$AF$9)-$AF$9),6))))</f>
        <v/>
      </c>
      <c r="BU135" s="74" t="str">
        <f aca="false">IF($BH135&lt;&gt;Constants!$B$4,"",Constants!$B$32*(($AL135&gt;Constants!$B$26)+($AM135&gt;Constants!$B$26)+($AN135&gt;Constants!$B$26)))</f>
        <v/>
      </c>
      <c r="BV135" s="74" t="str">
        <f aca="false">IF($BH135&lt;&gt;Constants!$B$4,"",IF(OR(NOT($AJ135),$AO135),0,Constants!$B$33))</f>
        <v/>
      </c>
      <c r="BW135" s="74" t="str">
        <f aca="false">IF($BH135&lt;&gt;Constants!$B$4,"",Constants!$B$34*$BJ135)</f>
        <v/>
      </c>
      <c r="BX135" s="74" t="str">
        <f aca="false">IF($BH135&lt;&gt;Constants!$B$4,"",IF(OR(NOT($AJ135),$BE135),0,Constants!$B$36))</f>
        <v/>
      </c>
      <c r="BY135" s="74" t="str">
        <f aca="false">IF($BH135&lt;&gt;Constants!$B$4,"",IF(OR(NOT($AJ135),$BD135),0,Constants!$B$37))</f>
        <v/>
      </c>
      <c r="BZ135" s="74" t="str">
        <f aca="false">IF($BH135&lt;&gt;Constants!$B$4,"",SUM($BT135:$BY135))</f>
        <v/>
      </c>
      <c r="CA135" s="74" t="str">
        <f aca="false">IF(ISBLANK($C135),"",IF($BH135&lt;&gt;Constants!$B$4,$BH135,SUM($BK135:$BS135)-$BZ135))</f>
        <v/>
      </c>
      <c r="CB135" s="74" t="str">
        <f aca="false">IF(ISBLANK($C135),"",IF($BH135&lt;&gt;Constants!$B$4,$BH135,RANK($CA135,$CA$9:$CA$508)))</f>
        <v/>
      </c>
      <c r="CC135" s="74" t="str">
        <f aca="false">IF(ISBLANK($C135),"",IF($BH135&lt;&gt;Constants!$B$4,$BH135,COUNTIFS($BI$9:$BI$508,"&lt;"&amp;$BI135)+COUNTIFS($BI$9:$BI$508,$BI135,$CB$9:$CB$508,"&lt;"&amp;$CB135)+1))</f>
        <v/>
      </c>
      <c r="CD135" s="74" t="str">
        <f aca="false">IF(ISBLANK($C135),"",IF($BH135&lt;&gt;Constants!$B$4,$BH135,RANK($BZ135,$BZ$9:$BZ$508,1)))</f>
        <v/>
      </c>
      <c r="CE135" s="74" t="str">
        <f aca="false">IF($BH135&lt;&gt;Constants!$B$4,"",$AL135+$AM135+$AN135)</f>
        <v/>
      </c>
      <c r="CF135" s="74" t="str">
        <f aca="false">IF(ISBLANK($C135),"",IF($BH135&lt;&gt;Constants!$B$4,$BH135,RANK($CE135,$CE$9:$CE$508,1)))</f>
        <v/>
      </c>
      <c r="CG135" s="74" t="str">
        <f aca="false">IF(ISBLANK($C135),"",IF($BH135&lt;&gt;Constants!$B$4,$BH135,COUNTIFS($BI$9:$BI$508,"&lt;"&amp;$BI135)+COUNTIFS($BI$9:$BI$508,$BI135,$CB$9:$CB$508,"&lt;"&amp;$CB135)+COUNTIFS($BI$9:$BI$508,$BI135,$CB$9:$CB$508,$CB135,$CD$9:$CD$508,"&lt;"&amp;$CD135)+COUNTIFS($BI$9:$BI$508,$BI135,$CB$9:$CB$508,$CB135,$CD$9:$CD$508,$CD135,$CF$9:$CF$508,"&lt;"&amp;$CF135)+1))</f>
        <v/>
      </c>
      <c r="CH135" s="74" t="str">
        <f aca="false">IF(ISBLANK($C135),"",IF($BH135&lt;&gt;Constants!$B$4,$BH135,$CC135-$CG135))</f>
        <v/>
      </c>
      <c r="CI135" s="74" t="str">
        <f aca="false">IF(ISBLANK($C135),"",IF(NOT($AJ135),"",IF(ISBLANK($D$7),$CI$5,IF(NOT(ISNUMBER($D$7)),$CI$6,""))))</f>
        <v/>
      </c>
      <c r="CJ135" s="74" t="str">
        <f aca="false">IF(ISBLANK($C135),"",OR($AL135="",$AM135="",$AN135=""))</f>
        <v/>
      </c>
      <c r="CK135" s="74" t="str">
        <f aca="false">IF(ISBLANK($C135),"",AND($AJ135,$AX135=""))</f>
        <v/>
      </c>
      <c r="CL135" s="74" t="str">
        <f aca="false">IF(ISBLANK($C135),"",AND($AJ135,$AY135=""))</f>
        <v/>
      </c>
      <c r="CM135" s="74" t="str">
        <f aca="false">IF(ISBLANK($C135),"",AND($AJ135,$AZ135=""))</f>
        <v/>
      </c>
      <c r="CN135" s="74" t="str">
        <f aca="false">IF(ISBLANK($C135),"",AND($AJ135,$BC135=""))</f>
        <v/>
      </c>
      <c r="CO135" s="74" t="str">
        <f aca="false">IF(ISBLANK($C135),"",AND($AJ135,$BF135=""))</f>
        <v/>
      </c>
      <c r="CP135" s="75"/>
      <c r="CQ135" s="76"/>
      <c r="CR135" s="79" t="str">
        <f aca="false">IF(ISBLANK($C135),"",IF($BH135=Constants!$B$8,$CI135,""))</f>
        <v/>
      </c>
      <c r="CS135" s="76" t="str">
        <f aca="false">IF(ISBLANK($C135),"",IF($BH135&lt;&gt;Constants!$B$4,"",$BK135+$BL135))</f>
        <v/>
      </c>
      <c r="CT135" s="78" t="str">
        <f aca="false">IF(ISBLANK($C135),"",IF($BH135&lt;&gt;Constants!$B$4,"",$BM135+$BN135+$BO135))</f>
        <v/>
      </c>
      <c r="CU135" s="78" t="str">
        <f aca="false">IF(ISBLANK($C135),"",IF($BH135&lt;&gt;Constants!$B$4,"",$BP135))</f>
        <v/>
      </c>
      <c r="CV135" s="78" t="str">
        <f aca="false">IF(ISBLANK($C135),"",IF($BH135&lt;&gt;Constants!$B$4,"",$BQ135+$BR135))</f>
        <v/>
      </c>
      <c r="CW135" s="78" t="str">
        <f aca="false">IF(ISBLANK($C135),"",IF($BH135&lt;&gt;Constants!$B$4,"",$BS135))</f>
        <v/>
      </c>
      <c r="CX135" s="78" t="str">
        <f aca="false">IF(ISBLANK($C135),"",IF($BH135&lt;&gt;Constants!$B$4,"",-$BZ135))</f>
        <v/>
      </c>
      <c r="CY135" s="79" t="str">
        <f aca="false">IF(ISBLANK($C135),"",$CA135)</f>
        <v/>
      </c>
      <c r="CZ135" s="80" t="str">
        <f aca="false">IF(ISBLANK($C135),"",$BI135)</f>
        <v/>
      </c>
      <c r="DA135" s="78" t="str">
        <f aca="false">IF(ISBLANK($C135),"",$CH135)</f>
        <v/>
      </c>
      <c r="DB135" s="78" t="str">
        <f aca="false">IF(ISBLANK($C135),"",$CG135)</f>
        <v/>
      </c>
      <c r="DC135" s="81" t="str">
        <f aca="false">IF(ISBLANK($C135),"",IFERROR(_xlfn.SWITCH($DB135,Constants!$B$7,COUNTA($C$9:$C$508)+2,Constants!$B$6,COUNTA($C$9:$C$508)+1,Constants!$B$5,COUNTA($C$9:$C$508)),$DB135))</f>
        <v/>
      </c>
      <c r="DD135" s="7"/>
      <c r="DE135" s="82" t="n">
        <f aca="false">IF(OR(ISNUMBER($DB135),$DB135=Constants!$B$7,$DB135=Constants!$B$5,$DB135=Constants!$B$6),1,0)</f>
        <v>0</v>
      </c>
      <c r="DF135" s="82" t="n">
        <v>127</v>
      </c>
      <c r="DG135" s="82" t="str">
        <f aca="false">IF(ISBLANK($C135),"",IF(ISNUMBER($DC135),$DC135+ROW($B135)/1000,""))</f>
        <v/>
      </c>
      <c r="DH135" s="82" t="str">
        <f aca="false">IF(ISNUMBER($DG135),RANK($DG135,$DG$9:$DG$508,1),"")</f>
        <v/>
      </c>
      <c r="DI135" s="82" t="str">
        <f aca="false">IF(ISBLANK($C135),"",$B135)</f>
        <v/>
      </c>
      <c r="DJ135" s="82" t="str">
        <f aca="false">IF(ISBLANK($C135),"",$C135)</f>
        <v/>
      </c>
      <c r="DK135" s="82" t="str">
        <f aca="false">IF(ISBLANK($C135),"",$D135)</f>
        <v/>
      </c>
      <c r="DL135" s="83" t="str">
        <f aca="false">$CZ135</f>
        <v/>
      </c>
      <c r="DM135" s="84" t="str">
        <f aca="false">$CY135</f>
        <v/>
      </c>
      <c r="DN135" s="82" t="str">
        <f aca="false">IF(ISBLANK($C135),"",$DB135)</f>
        <v/>
      </c>
      <c r="DO135" s="85" t="str">
        <f aca="false">IF($DF135&gt;$DE$8,"",VLOOKUP($DF135,$DH$9:$DN$508,7,FALSE()))</f>
        <v/>
      </c>
      <c r="DP135" s="86" t="str">
        <f aca="false">IF($DF135&gt;$DE$8,"",VLOOKUP($DF135,$DH$9:$DN$508,2,FALSE()))</f>
        <v/>
      </c>
      <c r="DQ135" s="86" t="str">
        <f aca="false">IF($DF135&gt;$DE$8,"",VLOOKUP($DF135,$DH$9:$DN$508,3,FALSE()))</f>
        <v/>
      </c>
      <c r="DR135" s="86" t="str">
        <f aca="false">IF($DF135&gt;$DE$8,"",VLOOKUP($DF135,$DH$9:$DN$508,4,FALSE()))</f>
        <v/>
      </c>
      <c r="DS135" s="86" t="str">
        <f aca="false">IF($DF135&gt;$DE$8,"",VLOOKUP($DF135,$DH$9:$DN$508,5,FALSE()))</f>
        <v/>
      </c>
      <c r="DT135" s="87" t="str">
        <f aca="false">IF($DF135&gt;$DE$8,"",VLOOKUP($DF135,$DH$9:$DN$508,6,FALSE()))</f>
        <v/>
      </c>
      <c r="DU135" s="62"/>
    </row>
    <row r="136" customFormat="false" ht="15.75" hidden="false" customHeight="false" outlineLevel="0" collapsed="false">
      <c r="A136" s="7"/>
      <c r="B136" s="64"/>
      <c r="C136" s="65"/>
      <c r="D136" s="123"/>
      <c r="E136" s="88"/>
      <c r="F136" s="134"/>
      <c r="G136" s="88"/>
      <c r="H136" s="134"/>
      <c r="I136" s="119"/>
      <c r="J136" s="119"/>
      <c r="K136" s="119"/>
      <c r="L136" s="88"/>
      <c r="M136" s="88"/>
      <c r="N136" s="88"/>
      <c r="O136" s="134"/>
      <c r="P136" s="88"/>
      <c r="Q136" s="88"/>
      <c r="R136" s="88"/>
      <c r="S136" s="88"/>
      <c r="T136" s="134"/>
      <c r="U136" s="88"/>
      <c r="V136" s="70"/>
      <c r="W136" s="88"/>
      <c r="X136" s="88"/>
      <c r="Y136" s="70"/>
      <c r="Z136" s="70"/>
      <c r="AA136" s="88"/>
      <c r="AB136" s="88"/>
      <c r="AC136" s="71"/>
      <c r="AD136" s="88"/>
      <c r="AE136" s="73"/>
      <c r="AF136" s="74"/>
      <c r="AG136" s="74"/>
      <c r="AH136" s="74" t="str">
        <f aca="false">IF(ISBLANK($C136),"",IF($E136=Constants!$B$2,TRUE(),IF($E136=Constants!$B$3,FALSE(),TRUE())))</f>
        <v/>
      </c>
      <c r="AI136" s="74" t="str">
        <f aca="false">IF(ISBLANK($C136),"",IF($F136=Constants!$B$2,TRUE(),IF($F136=Constants!$B$3,FALSE(),FALSE())))</f>
        <v/>
      </c>
      <c r="AJ136" s="74" t="str">
        <f aca="false">IF(ISBLANK($C136),"",IF($G136=Constants!$B$2,TRUE(),IF($G136=Constants!$B$3,FALSE(),TRUE())))</f>
        <v/>
      </c>
      <c r="AK136" s="74" t="str">
        <f aca="false">IF(ISBLANK($C136),"",IF($H136=Constants!$B$2,TRUE(),IF($H136=Constants!$B$3,FALSE(),TRUE())))</f>
        <v/>
      </c>
      <c r="AL136" s="74" t="str">
        <f aca="false">IF(ISBLANK($C136),"",IF(ISNUMBER($I136),IF($I136&gt;=0,$I136,""),""))</f>
        <v/>
      </c>
      <c r="AM136" s="74" t="str">
        <f aca="false">IF(ISBLANK($C136),"",IF(ISNUMBER($J136),IF($J136&gt;=0,$J136,""),""))</f>
        <v/>
      </c>
      <c r="AN136" s="74" t="str">
        <f aca="false">IF(ISBLANK($C136),"",IF(ISNUMBER($K136),IF($K136&gt;=0,$K136,""),""))</f>
        <v/>
      </c>
      <c r="AO136" s="74" t="str">
        <f aca="false">IF(ISBLANK($C136),"",IF($L136=Constants!$B$2,TRUE(),IF($L136=Constants!$B$3,FALSE(),TRUE())))</f>
        <v/>
      </c>
      <c r="AP136" s="74" t="str">
        <f aca="false">IF(ISBLANK($C136),"",IF($M136=Constants!$B$2,TRUE(),IF($M136=Constants!$B$3,FALSE(),TRUE())))</f>
        <v/>
      </c>
      <c r="AQ136" s="74" t="str">
        <f aca="false">IF(ISBLANK($C136),"",IF($N136=Constants!$B$2,TRUE(),IF($N136=Constants!$B$3,FALSE(),FALSE())))</f>
        <v/>
      </c>
      <c r="AR136" s="74" t="str">
        <f aca="false">IF(ISBLANK($C136),"",IF($O136=Constants!$B$2,TRUE(),IF($O136=Constants!$B$3,FALSE(),TRUE())))</f>
        <v/>
      </c>
      <c r="AS136" s="74" t="str">
        <f aca="false">IF(ISBLANK($C136),"",IF($P136=Constants!$B$2,TRUE(),IF($P136=Constants!$B$3,FALSE(),FALSE())))</f>
        <v/>
      </c>
      <c r="AT136" s="74" t="str">
        <f aca="false">IF(ISBLANK($C136),"",IF($Q136=Constants!$B$2,TRUE(),IF($Q136=Constants!$B$3,FALSE(),FALSE())))</f>
        <v/>
      </c>
      <c r="AU136" s="74" t="str">
        <f aca="false">IF(ISBLANK($C136),"",IF($R136=Constants!$B$2,TRUE(),IF($R136=Constants!$B$3,FALSE(),FALSE())))</f>
        <v/>
      </c>
      <c r="AV136" s="74" t="str">
        <f aca="false">IF(ISBLANK($C136),"",IF($S136=Constants!$B$2,TRUE(),IF($S136=Constants!$B$3,FALSE(),FALSE())))</f>
        <v/>
      </c>
      <c r="AW136" s="74" t="str">
        <f aca="false">IF(ISBLANK($C136),"",IF($T136=Constants!$B$2,TRUE(),IF($T136=Constants!$B$3,FALSE(),FALSE())))</f>
        <v/>
      </c>
      <c r="AX136" s="74" t="str">
        <f aca="false">IF(ISBLANK($C136),"",IF(OR($U136&amp;""="1",$U136&amp;""="2",$U136&amp;""="3",$U136&amp;""="4"),VALUE($U136&amp;""),IF($U136=Constants!$B$12,Constants!$B$12,"")))</f>
        <v/>
      </c>
      <c r="AY136" s="74" t="str">
        <f aca="false">IF(ISBLANK($C136),"",IF(ISBLANK($V136),0,IF(ISNUMBER($V136),IF(AND($V136&gt;=0,$V136&lt;=Constants!$B$21,$V136=INT($V136)),$V136,""),"")))</f>
        <v/>
      </c>
      <c r="AZ136" s="74" t="str">
        <f aca="false">IF(ISBLANK($C136),"",IF(ISBLANK($W136),0,IF(ISNUMBER($W136),IF($W136&gt;=0,$W136,""),"")))</f>
        <v/>
      </c>
      <c r="BA136" s="74" t="str">
        <f aca="false">IF(ISBLANK($C136),"",IF($X136=Constants!$B$2,TRUE(),IF($X136=Constants!$B$3,FALSE(),TRUE())))</f>
        <v/>
      </c>
      <c r="BB136" s="74" t="str">
        <f aca="false">IF(ISBLANK($C136),"",IF($Y136=Constants!$B$2,TRUE(),IF($Y136=Constants!$B$3,FALSE(),FALSE())))</f>
        <v/>
      </c>
      <c r="BC136" s="74" t="str">
        <f aca="false">IF(ISBLANK($C136),"",IF(ISBLANK($Z136),0,IF(ISNUMBER($Z136),IF(AND($Z136&gt;=0,$Z136&lt;=Constants!$B$35,$Z136=INT($Z136)),$Z136,""),"")))</f>
        <v/>
      </c>
      <c r="BD136" s="74" t="str">
        <f aca="false">IF(ISBLANK($C136),"",IF($AA136=Constants!$B$2,TRUE(),IF($AA136=Constants!$B$3,FALSE(),TRUE())))</f>
        <v/>
      </c>
      <c r="BE136" s="74" t="str">
        <f aca="false">IF(ISBLANK($C136),"",IF($AB136=Constants!$B$2,TRUE(),IF($AB136=Constants!$B$3,FALSE(),TRUE())))</f>
        <v/>
      </c>
      <c r="BF136" s="74" t="str">
        <f aca="false">IF(ISBLANK($C136),"",IF(ISNUMBER($AC136),IF($AC136&gt;=0,$AC136,""),""))</f>
        <v/>
      </c>
      <c r="BG136" s="74" t="str">
        <f aca="false">IF(ISBLANK($C136),"",IF($AD136=Constants!$B$2,TRUE(),IF($AD136=Constants!$B$3,FALSE(),FALSE())))</f>
        <v/>
      </c>
      <c r="BH136" s="73" t="str">
        <f aca="false">IF(ISBLANK($C136),"",IF($BG136,Constants!$B$7,IF(COUNTA($E136:$AC136)=0,Constants!$B$6,IF(OR(COUNTA($G136:$AC136)=0,NOT($AK136),$AQ136),Constants!$B$5,IF(OR($CI136&lt;&gt;"",$CJ136,$CK136,$CL136,$CM136,$CN136,$CO136),Constants!$B$8,Constants!$B$4)))))</f>
        <v/>
      </c>
      <c r="BI136" s="74" t="str">
        <f aca="false">IF(ISBLANK($C136),"",IF($BH136&lt;&gt;Constants!$B$4,$BH136,IF(OR(NOT($AH136),NOT($AJ136),NOT($AR136)),Constants!$B$11,IF(OR(NOT($AP136),MAX($AL136,$AM136,$AN136)&gt;Constants!$B$30),Constants!$B$10,Constants!$B$9))))</f>
        <v/>
      </c>
      <c r="BJ136" s="74" t="str">
        <f aca="false">IF($BH136&lt;&gt;Constants!$B$4,"",IF(NOT($AJ136),0,MIN(Constants!$B$35,$BC136)))</f>
        <v/>
      </c>
      <c r="BK136" s="74" t="str">
        <f aca="false">IF($BH136&lt;&gt;Constants!$B$4,"",IF(NOT($AJ136),0,IF($AT136,Constants!$B$18,IF($AS136,Constants!$B$17,0))))</f>
        <v/>
      </c>
      <c r="BL136" s="74" t="str">
        <f aca="false">IF($BH136&lt;&gt;Constants!$B$4,"",IF(NOT($AJ136),0,Constants!$B$19*($AI136+$AU136+$AV136+$AW136)))</f>
        <v/>
      </c>
      <c r="BM136" s="74" t="str">
        <f aca="false">IF($BH136&lt;&gt;Constants!$B$4,"",IF(OR(NOT($AJ136),NOT(ISNUMBER($AX136))),0,CHOOSE($AX136,Constants!$B$13,Constants!$B$14,Constants!$B$15,Constants!$B$16)))</f>
        <v/>
      </c>
      <c r="BN136" s="74" t="str">
        <f aca="false">IF($BH136&lt;&gt;Constants!$B$4,"",IF(NOT($AJ136),0,Constants!$B$20*$AY136))</f>
        <v/>
      </c>
      <c r="BO136" s="74" t="str">
        <f aca="false">IF($BH136&lt;&gt;Constants!$B$4,"",IF(AND($AJ136,$BA136,$BB136),Constants!$B$22,0))</f>
        <v/>
      </c>
      <c r="BP136" s="74" t="str">
        <f aca="false">IF($BH136&lt;&gt;Constants!$B$4,"",IF(OR(NOT($AJ136),NOT($BA136)),0,IF($BF136&gt;=2*$AF$9,0,Constants!$B$23*INT(ROUND(MIN($BF136,$AF$9),6)))))</f>
        <v/>
      </c>
      <c r="BQ136" s="74" t="str">
        <f aca="false">IF($BH136&lt;&gt;Constants!$B$4,"",IF(NOT($AJ136),0,Constants!$B$24*INT(ROUND(MIN($AZ136,$AF$9),6))))</f>
        <v/>
      </c>
      <c r="BR136" s="74" t="str">
        <f aca="false">IF($BH136&lt;&gt;Constants!$B$4,"",IF(AND($AJ136,$BJ136=0),Constants!$B$25,0))</f>
        <v/>
      </c>
      <c r="BS136" s="74" t="str">
        <f aca="false">IF($BH136&lt;&gt;Constants!$B$4,"",MIN(Constants!$B$29,MAX(0,Constants!$B$27*Constants!$B$28*INT(ROUND((Constants!$B$26-$AL136)/Constants!$B$28,6))))+MIN(Constants!$B$29,MAX(0,Constants!$B$27*Constants!$B$28*INT(ROUND((Constants!$B$26-$AM136)/Constants!$B$28,6))))+MIN(Constants!$B$29,MAX(0,Constants!$B$27*Constants!$B$28*INT(ROUND((Constants!$B$26-$AN136)/Constants!$B$28,6)))))</f>
        <v/>
      </c>
      <c r="BT136" s="74" t="str">
        <f aca="false">IF($BH136&lt;&gt;Constants!$B$4,"",IF(NOT($AJ136),0,Constants!$B$31*INT(ROUND(MAX(0,MIN($BF136,2*$AF$9)-$AF$9),6))))</f>
        <v/>
      </c>
      <c r="BU136" s="74" t="str">
        <f aca="false">IF($BH136&lt;&gt;Constants!$B$4,"",Constants!$B$32*(($AL136&gt;Constants!$B$26)+($AM136&gt;Constants!$B$26)+($AN136&gt;Constants!$B$26)))</f>
        <v/>
      </c>
      <c r="BV136" s="74" t="str">
        <f aca="false">IF($BH136&lt;&gt;Constants!$B$4,"",IF(OR(NOT($AJ136),$AO136),0,Constants!$B$33))</f>
        <v/>
      </c>
      <c r="BW136" s="74" t="str">
        <f aca="false">IF($BH136&lt;&gt;Constants!$B$4,"",Constants!$B$34*$BJ136)</f>
        <v/>
      </c>
      <c r="BX136" s="74" t="str">
        <f aca="false">IF($BH136&lt;&gt;Constants!$B$4,"",IF(OR(NOT($AJ136),$BE136),0,Constants!$B$36))</f>
        <v/>
      </c>
      <c r="BY136" s="74" t="str">
        <f aca="false">IF($BH136&lt;&gt;Constants!$B$4,"",IF(OR(NOT($AJ136),$BD136),0,Constants!$B$37))</f>
        <v/>
      </c>
      <c r="BZ136" s="74" t="str">
        <f aca="false">IF($BH136&lt;&gt;Constants!$B$4,"",SUM($BT136:$BY136))</f>
        <v/>
      </c>
      <c r="CA136" s="74" t="str">
        <f aca="false">IF(ISBLANK($C136),"",IF($BH136&lt;&gt;Constants!$B$4,$BH136,SUM($BK136:$BS136)-$BZ136))</f>
        <v/>
      </c>
      <c r="CB136" s="74" t="str">
        <f aca="false">IF(ISBLANK($C136),"",IF($BH136&lt;&gt;Constants!$B$4,$BH136,RANK($CA136,$CA$9:$CA$508)))</f>
        <v/>
      </c>
      <c r="CC136" s="74" t="str">
        <f aca="false">IF(ISBLANK($C136),"",IF($BH136&lt;&gt;Constants!$B$4,$BH136,COUNTIFS($BI$9:$BI$508,"&lt;"&amp;$BI136)+COUNTIFS($BI$9:$BI$508,$BI136,$CB$9:$CB$508,"&lt;"&amp;$CB136)+1))</f>
        <v/>
      </c>
      <c r="CD136" s="74" t="str">
        <f aca="false">IF(ISBLANK($C136),"",IF($BH136&lt;&gt;Constants!$B$4,$BH136,RANK($BZ136,$BZ$9:$BZ$508,1)))</f>
        <v/>
      </c>
      <c r="CE136" s="74" t="str">
        <f aca="false">IF($BH136&lt;&gt;Constants!$B$4,"",$AL136+$AM136+$AN136)</f>
        <v/>
      </c>
      <c r="CF136" s="74" t="str">
        <f aca="false">IF(ISBLANK($C136),"",IF($BH136&lt;&gt;Constants!$B$4,$BH136,RANK($CE136,$CE$9:$CE$508,1)))</f>
        <v/>
      </c>
      <c r="CG136" s="74" t="str">
        <f aca="false">IF(ISBLANK($C136),"",IF($BH136&lt;&gt;Constants!$B$4,$BH136,COUNTIFS($BI$9:$BI$508,"&lt;"&amp;$BI136)+COUNTIFS($BI$9:$BI$508,$BI136,$CB$9:$CB$508,"&lt;"&amp;$CB136)+COUNTIFS($BI$9:$BI$508,$BI136,$CB$9:$CB$508,$CB136,$CD$9:$CD$508,"&lt;"&amp;$CD136)+COUNTIFS($BI$9:$BI$508,$BI136,$CB$9:$CB$508,$CB136,$CD$9:$CD$508,$CD136,$CF$9:$CF$508,"&lt;"&amp;$CF136)+1))</f>
        <v/>
      </c>
      <c r="CH136" s="74" t="str">
        <f aca="false">IF(ISBLANK($C136),"",IF($BH136&lt;&gt;Constants!$B$4,$BH136,$CC136-$CG136))</f>
        <v/>
      </c>
      <c r="CI136" s="74" t="str">
        <f aca="false">IF(ISBLANK($C136),"",IF(NOT($AJ136),"",IF(ISBLANK($D$7),$CI$5,IF(NOT(ISNUMBER($D$7)),$CI$6,""))))</f>
        <v/>
      </c>
      <c r="CJ136" s="74" t="str">
        <f aca="false">IF(ISBLANK($C136),"",OR($AL136="",$AM136="",$AN136=""))</f>
        <v/>
      </c>
      <c r="CK136" s="74" t="str">
        <f aca="false">IF(ISBLANK($C136),"",AND($AJ136,$AX136=""))</f>
        <v/>
      </c>
      <c r="CL136" s="74" t="str">
        <f aca="false">IF(ISBLANK($C136),"",AND($AJ136,$AY136=""))</f>
        <v/>
      </c>
      <c r="CM136" s="74" t="str">
        <f aca="false">IF(ISBLANK($C136),"",AND($AJ136,$AZ136=""))</f>
        <v/>
      </c>
      <c r="CN136" s="74" t="str">
        <f aca="false">IF(ISBLANK($C136),"",AND($AJ136,$BC136=""))</f>
        <v/>
      </c>
      <c r="CO136" s="74" t="str">
        <f aca="false">IF(ISBLANK($C136),"",AND($AJ136,$BF136=""))</f>
        <v/>
      </c>
      <c r="CP136" s="75"/>
      <c r="CQ136" s="76"/>
      <c r="CR136" s="79" t="str">
        <f aca="false">IF(ISBLANK($C136),"",IF($BH136=Constants!$B$8,$CI136,""))</f>
        <v/>
      </c>
      <c r="CS136" s="76" t="str">
        <f aca="false">IF(ISBLANK($C136),"",IF($BH136&lt;&gt;Constants!$B$4,"",$BK136+$BL136))</f>
        <v/>
      </c>
      <c r="CT136" s="78" t="str">
        <f aca="false">IF(ISBLANK($C136),"",IF($BH136&lt;&gt;Constants!$B$4,"",$BM136+$BN136+$BO136))</f>
        <v/>
      </c>
      <c r="CU136" s="78" t="str">
        <f aca="false">IF(ISBLANK($C136),"",IF($BH136&lt;&gt;Constants!$B$4,"",$BP136))</f>
        <v/>
      </c>
      <c r="CV136" s="78" t="str">
        <f aca="false">IF(ISBLANK($C136),"",IF($BH136&lt;&gt;Constants!$B$4,"",$BQ136+$BR136))</f>
        <v/>
      </c>
      <c r="CW136" s="78" t="str">
        <f aca="false">IF(ISBLANK($C136),"",IF($BH136&lt;&gt;Constants!$B$4,"",$BS136))</f>
        <v/>
      </c>
      <c r="CX136" s="78" t="str">
        <f aca="false">IF(ISBLANK($C136),"",IF($BH136&lt;&gt;Constants!$B$4,"",-$BZ136))</f>
        <v/>
      </c>
      <c r="CY136" s="79" t="str">
        <f aca="false">IF(ISBLANK($C136),"",$CA136)</f>
        <v/>
      </c>
      <c r="CZ136" s="80" t="str">
        <f aca="false">IF(ISBLANK($C136),"",$BI136)</f>
        <v/>
      </c>
      <c r="DA136" s="78" t="str">
        <f aca="false">IF(ISBLANK($C136),"",$CH136)</f>
        <v/>
      </c>
      <c r="DB136" s="78" t="str">
        <f aca="false">IF(ISBLANK($C136),"",$CG136)</f>
        <v/>
      </c>
      <c r="DC136" s="81" t="str">
        <f aca="false">IF(ISBLANK($C136),"",IFERROR(_xlfn.SWITCH($DB136,Constants!$B$7,COUNTA($C$9:$C$508)+2,Constants!$B$6,COUNTA($C$9:$C$508)+1,Constants!$B$5,COUNTA($C$9:$C$508)),$DB136))</f>
        <v/>
      </c>
      <c r="DD136" s="7"/>
      <c r="DE136" s="82" t="n">
        <f aca="false">IF(OR(ISNUMBER($DB136),$DB136=Constants!$B$7,$DB136=Constants!$B$5,$DB136=Constants!$B$6),1,0)</f>
        <v>0</v>
      </c>
      <c r="DF136" s="82" t="n">
        <v>128</v>
      </c>
      <c r="DG136" s="82" t="str">
        <f aca="false">IF(ISBLANK($C136),"",IF(ISNUMBER($DC136),$DC136+ROW($B136)/1000,""))</f>
        <v/>
      </c>
      <c r="DH136" s="82" t="str">
        <f aca="false">IF(ISNUMBER($DG136),RANK($DG136,$DG$9:$DG$508,1),"")</f>
        <v/>
      </c>
      <c r="DI136" s="82" t="str">
        <f aca="false">IF(ISBLANK($C136),"",$B136)</f>
        <v/>
      </c>
      <c r="DJ136" s="82" t="str">
        <f aca="false">IF(ISBLANK($C136),"",$C136)</f>
        <v/>
      </c>
      <c r="DK136" s="82" t="str">
        <f aca="false">IF(ISBLANK($C136),"",$D136)</f>
        <v/>
      </c>
      <c r="DL136" s="83" t="str">
        <f aca="false">$CZ136</f>
        <v/>
      </c>
      <c r="DM136" s="84" t="str">
        <f aca="false">$CY136</f>
        <v/>
      </c>
      <c r="DN136" s="82" t="str">
        <f aca="false">IF(ISBLANK($C136),"",$DB136)</f>
        <v/>
      </c>
      <c r="DO136" s="85" t="str">
        <f aca="false">IF($DF136&gt;$DE$8,"",VLOOKUP($DF136,$DH$9:$DN$508,7,FALSE()))</f>
        <v/>
      </c>
      <c r="DP136" s="86" t="str">
        <f aca="false">IF($DF136&gt;$DE$8,"",VLOOKUP($DF136,$DH$9:$DN$508,2,FALSE()))</f>
        <v/>
      </c>
      <c r="DQ136" s="86" t="str">
        <f aca="false">IF($DF136&gt;$DE$8,"",VLOOKUP($DF136,$DH$9:$DN$508,3,FALSE()))</f>
        <v/>
      </c>
      <c r="DR136" s="86" t="str">
        <f aca="false">IF($DF136&gt;$DE$8,"",VLOOKUP($DF136,$DH$9:$DN$508,4,FALSE()))</f>
        <v/>
      </c>
      <c r="DS136" s="86" t="str">
        <f aca="false">IF($DF136&gt;$DE$8,"",VLOOKUP($DF136,$DH$9:$DN$508,5,FALSE()))</f>
        <v/>
      </c>
      <c r="DT136" s="87" t="str">
        <f aca="false">IF($DF136&gt;$DE$8,"",VLOOKUP($DF136,$DH$9:$DN$508,6,FALSE()))</f>
        <v/>
      </c>
      <c r="DU136" s="62"/>
    </row>
    <row r="137" customFormat="false" ht="15.75" hidden="false" customHeight="false" outlineLevel="0" collapsed="false">
      <c r="A137" s="7"/>
      <c r="B137" s="64"/>
      <c r="C137" s="65"/>
      <c r="D137" s="123"/>
      <c r="E137" s="88"/>
      <c r="F137" s="134"/>
      <c r="G137" s="88"/>
      <c r="H137" s="134"/>
      <c r="I137" s="119"/>
      <c r="J137" s="119"/>
      <c r="K137" s="119"/>
      <c r="L137" s="88"/>
      <c r="M137" s="88"/>
      <c r="N137" s="88"/>
      <c r="O137" s="134"/>
      <c r="P137" s="88"/>
      <c r="Q137" s="88"/>
      <c r="R137" s="88"/>
      <c r="S137" s="88"/>
      <c r="T137" s="134"/>
      <c r="U137" s="88"/>
      <c r="V137" s="70"/>
      <c r="W137" s="88"/>
      <c r="X137" s="88"/>
      <c r="Y137" s="70"/>
      <c r="Z137" s="70"/>
      <c r="AA137" s="88"/>
      <c r="AB137" s="88"/>
      <c r="AC137" s="71"/>
      <c r="AD137" s="88"/>
      <c r="AE137" s="73"/>
      <c r="AF137" s="74"/>
      <c r="AG137" s="74"/>
      <c r="AH137" s="74" t="str">
        <f aca="false">IF(ISBLANK($C137),"",IF($E137=Constants!$B$2,TRUE(),IF($E137=Constants!$B$3,FALSE(),TRUE())))</f>
        <v/>
      </c>
      <c r="AI137" s="74" t="str">
        <f aca="false">IF(ISBLANK($C137),"",IF($F137=Constants!$B$2,TRUE(),IF($F137=Constants!$B$3,FALSE(),FALSE())))</f>
        <v/>
      </c>
      <c r="AJ137" s="74" t="str">
        <f aca="false">IF(ISBLANK($C137),"",IF($G137=Constants!$B$2,TRUE(),IF($G137=Constants!$B$3,FALSE(),TRUE())))</f>
        <v/>
      </c>
      <c r="AK137" s="74" t="str">
        <f aca="false">IF(ISBLANK($C137),"",IF($H137=Constants!$B$2,TRUE(),IF($H137=Constants!$B$3,FALSE(),TRUE())))</f>
        <v/>
      </c>
      <c r="AL137" s="74" t="str">
        <f aca="false">IF(ISBLANK($C137),"",IF(ISNUMBER($I137),IF($I137&gt;=0,$I137,""),""))</f>
        <v/>
      </c>
      <c r="AM137" s="74" t="str">
        <f aca="false">IF(ISBLANK($C137),"",IF(ISNUMBER($J137),IF($J137&gt;=0,$J137,""),""))</f>
        <v/>
      </c>
      <c r="AN137" s="74" t="str">
        <f aca="false">IF(ISBLANK($C137),"",IF(ISNUMBER($K137),IF($K137&gt;=0,$K137,""),""))</f>
        <v/>
      </c>
      <c r="AO137" s="74" t="str">
        <f aca="false">IF(ISBLANK($C137),"",IF($L137=Constants!$B$2,TRUE(),IF($L137=Constants!$B$3,FALSE(),TRUE())))</f>
        <v/>
      </c>
      <c r="AP137" s="74" t="str">
        <f aca="false">IF(ISBLANK($C137),"",IF($M137=Constants!$B$2,TRUE(),IF($M137=Constants!$B$3,FALSE(),TRUE())))</f>
        <v/>
      </c>
      <c r="AQ137" s="74" t="str">
        <f aca="false">IF(ISBLANK($C137),"",IF($N137=Constants!$B$2,TRUE(),IF($N137=Constants!$B$3,FALSE(),FALSE())))</f>
        <v/>
      </c>
      <c r="AR137" s="74" t="str">
        <f aca="false">IF(ISBLANK($C137),"",IF($O137=Constants!$B$2,TRUE(),IF($O137=Constants!$B$3,FALSE(),TRUE())))</f>
        <v/>
      </c>
      <c r="AS137" s="74" t="str">
        <f aca="false">IF(ISBLANK($C137),"",IF($P137=Constants!$B$2,TRUE(),IF($P137=Constants!$B$3,FALSE(),FALSE())))</f>
        <v/>
      </c>
      <c r="AT137" s="74" t="str">
        <f aca="false">IF(ISBLANK($C137),"",IF($Q137=Constants!$B$2,TRUE(),IF($Q137=Constants!$B$3,FALSE(),FALSE())))</f>
        <v/>
      </c>
      <c r="AU137" s="74" t="str">
        <f aca="false">IF(ISBLANK($C137),"",IF($R137=Constants!$B$2,TRUE(),IF($R137=Constants!$B$3,FALSE(),FALSE())))</f>
        <v/>
      </c>
      <c r="AV137" s="74" t="str">
        <f aca="false">IF(ISBLANK($C137),"",IF($S137=Constants!$B$2,TRUE(),IF($S137=Constants!$B$3,FALSE(),FALSE())))</f>
        <v/>
      </c>
      <c r="AW137" s="74" t="str">
        <f aca="false">IF(ISBLANK($C137),"",IF($T137=Constants!$B$2,TRUE(),IF($T137=Constants!$B$3,FALSE(),FALSE())))</f>
        <v/>
      </c>
      <c r="AX137" s="74" t="str">
        <f aca="false">IF(ISBLANK($C137),"",IF(OR($U137&amp;""="1",$U137&amp;""="2",$U137&amp;""="3",$U137&amp;""="4"),VALUE($U137&amp;""),IF($U137=Constants!$B$12,Constants!$B$12,"")))</f>
        <v/>
      </c>
      <c r="AY137" s="74" t="str">
        <f aca="false">IF(ISBLANK($C137),"",IF(ISBLANK($V137),0,IF(ISNUMBER($V137),IF(AND($V137&gt;=0,$V137&lt;=Constants!$B$21,$V137=INT($V137)),$V137,""),"")))</f>
        <v/>
      </c>
      <c r="AZ137" s="74" t="str">
        <f aca="false">IF(ISBLANK($C137),"",IF(ISBLANK($W137),0,IF(ISNUMBER($W137),IF($W137&gt;=0,$W137,""),"")))</f>
        <v/>
      </c>
      <c r="BA137" s="74" t="str">
        <f aca="false">IF(ISBLANK($C137),"",IF($X137=Constants!$B$2,TRUE(),IF($X137=Constants!$B$3,FALSE(),TRUE())))</f>
        <v/>
      </c>
      <c r="BB137" s="74" t="str">
        <f aca="false">IF(ISBLANK($C137),"",IF($Y137=Constants!$B$2,TRUE(),IF($Y137=Constants!$B$3,FALSE(),FALSE())))</f>
        <v/>
      </c>
      <c r="BC137" s="74" t="str">
        <f aca="false">IF(ISBLANK($C137),"",IF(ISBLANK($Z137),0,IF(ISNUMBER($Z137),IF(AND($Z137&gt;=0,$Z137&lt;=Constants!$B$35,$Z137=INT($Z137)),$Z137,""),"")))</f>
        <v/>
      </c>
      <c r="BD137" s="74" t="str">
        <f aca="false">IF(ISBLANK($C137),"",IF($AA137=Constants!$B$2,TRUE(),IF($AA137=Constants!$B$3,FALSE(),TRUE())))</f>
        <v/>
      </c>
      <c r="BE137" s="74" t="str">
        <f aca="false">IF(ISBLANK($C137),"",IF($AB137=Constants!$B$2,TRUE(),IF($AB137=Constants!$B$3,FALSE(),TRUE())))</f>
        <v/>
      </c>
      <c r="BF137" s="74" t="str">
        <f aca="false">IF(ISBLANK($C137),"",IF(ISNUMBER($AC137),IF($AC137&gt;=0,$AC137,""),""))</f>
        <v/>
      </c>
      <c r="BG137" s="74" t="str">
        <f aca="false">IF(ISBLANK($C137),"",IF($AD137=Constants!$B$2,TRUE(),IF($AD137=Constants!$B$3,FALSE(),FALSE())))</f>
        <v/>
      </c>
      <c r="BH137" s="73" t="str">
        <f aca="false">IF(ISBLANK($C137),"",IF($BG137,Constants!$B$7,IF(COUNTA($E137:$AC137)=0,Constants!$B$6,IF(OR(COUNTA($G137:$AC137)=0,NOT($AK137),$AQ137),Constants!$B$5,IF(OR($CI137&lt;&gt;"",$CJ137,$CK137,$CL137,$CM137,$CN137,$CO137),Constants!$B$8,Constants!$B$4)))))</f>
        <v/>
      </c>
      <c r="BI137" s="74" t="str">
        <f aca="false">IF(ISBLANK($C137),"",IF($BH137&lt;&gt;Constants!$B$4,$BH137,IF(OR(NOT($AH137),NOT($AJ137),NOT($AR137)),Constants!$B$11,IF(OR(NOT($AP137),MAX($AL137,$AM137,$AN137)&gt;Constants!$B$30),Constants!$B$10,Constants!$B$9))))</f>
        <v/>
      </c>
      <c r="BJ137" s="74" t="str">
        <f aca="false">IF($BH137&lt;&gt;Constants!$B$4,"",IF(NOT($AJ137),0,MIN(Constants!$B$35,$BC137)))</f>
        <v/>
      </c>
      <c r="BK137" s="74" t="str">
        <f aca="false">IF($BH137&lt;&gt;Constants!$B$4,"",IF(NOT($AJ137),0,IF($AT137,Constants!$B$18,IF($AS137,Constants!$B$17,0))))</f>
        <v/>
      </c>
      <c r="BL137" s="74" t="str">
        <f aca="false">IF($BH137&lt;&gt;Constants!$B$4,"",IF(NOT($AJ137),0,Constants!$B$19*($AI137+$AU137+$AV137+$AW137)))</f>
        <v/>
      </c>
      <c r="BM137" s="74" t="str">
        <f aca="false">IF($BH137&lt;&gt;Constants!$B$4,"",IF(OR(NOT($AJ137),NOT(ISNUMBER($AX137))),0,CHOOSE($AX137,Constants!$B$13,Constants!$B$14,Constants!$B$15,Constants!$B$16)))</f>
        <v/>
      </c>
      <c r="BN137" s="74" t="str">
        <f aca="false">IF($BH137&lt;&gt;Constants!$B$4,"",IF(NOT($AJ137),0,Constants!$B$20*$AY137))</f>
        <v/>
      </c>
      <c r="BO137" s="74" t="str">
        <f aca="false">IF($BH137&lt;&gt;Constants!$B$4,"",IF(AND($AJ137,$BA137,$BB137),Constants!$B$22,0))</f>
        <v/>
      </c>
      <c r="BP137" s="74" t="str">
        <f aca="false">IF($BH137&lt;&gt;Constants!$B$4,"",IF(OR(NOT($AJ137),NOT($BA137)),0,IF($BF137&gt;=2*$AF$9,0,Constants!$B$23*INT(ROUND(MIN($BF137,$AF$9),6)))))</f>
        <v/>
      </c>
      <c r="BQ137" s="74" t="str">
        <f aca="false">IF($BH137&lt;&gt;Constants!$B$4,"",IF(NOT($AJ137),0,Constants!$B$24*INT(ROUND(MIN($AZ137,$AF$9),6))))</f>
        <v/>
      </c>
      <c r="BR137" s="74" t="str">
        <f aca="false">IF($BH137&lt;&gt;Constants!$B$4,"",IF(AND($AJ137,$BJ137=0),Constants!$B$25,0))</f>
        <v/>
      </c>
      <c r="BS137" s="74" t="str">
        <f aca="false">IF($BH137&lt;&gt;Constants!$B$4,"",MIN(Constants!$B$29,MAX(0,Constants!$B$27*Constants!$B$28*INT(ROUND((Constants!$B$26-$AL137)/Constants!$B$28,6))))+MIN(Constants!$B$29,MAX(0,Constants!$B$27*Constants!$B$28*INT(ROUND((Constants!$B$26-$AM137)/Constants!$B$28,6))))+MIN(Constants!$B$29,MAX(0,Constants!$B$27*Constants!$B$28*INT(ROUND((Constants!$B$26-$AN137)/Constants!$B$28,6)))))</f>
        <v/>
      </c>
      <c r="BT137" s="74" t="str">
        <f aca="false">IF($BH137&lt;&gt;Constants!$B$4,"",IF(NOT($AJ137),0,Constants!$B$31*INT(ROUND(MAX(0,MIN($BF137,2*$AF$9)-$AF$9),6))))</f>
        <v/>
      </c>
      <c r="BU137" s="74" t="str">
        <f aca="false">IF($BH137&lt;&gt;Constants!$B$4,"",Constants!$B$32*(($AL137&gt;Constants!$B$26)+($AM137&gt;Constants!$B$26)+($AN137&gt;Constants!$B$26)))</f>
        <v/>
      </c>
      <c r="BV137" s="74" t="str">
        <f aca="false">IF($BH137&lt;&gt;Constants!$B$4,"",IF(OR(NOT($AJ137),$AO137),0,Constants!$B$33))</f>
        <v/>
      </c>
      <c r="BW137" s="74" t="str">
        <f aca="false">IF($BH137&lt;&gt;Constants!$B$4,"",Constants!$B$34*$BJ137)</f>
        <v/>
      </c>
      <c r="BX137" s="74" t="str">
        <f aca="false">IF($BH137&lt;&gt;Constants!$B$4,"",IF(OR(NOT($AJ137),$BE137),0,Constants!$B$36))</f>
        <v/>
      </c>
      <c r="BY137" s="74" t="str">
        <f aca="false">IF($BH137&lt;&gt;Constants!$B$4,"",IF(OR(NOT($AJ137),$BD137),0,Constants!$B$37))</f>
        <v/>
      </c>
      <c r="BZ137" s="74" t="str">
        <f aca="false">IF($BH137&lt;&gt;Constants!$B$4,"",SUM($BT137:$BY137))</f>
        <v/>
      </c>
      <c r="CA137" s="74" t="str">
        <f aca="false">IF(ISBLANK($C137),"",IF($BH137&lt;&gt;Constants!$B$4,$BH137,SUM($BK137:$BS137)-$BZ137))</f>
        <v/>
      </c>
      <c r="CB137" s="74" t="str">
        <f aca="false">IF(ISBLANK($C137),"",IF($BH137&lt;&gt;Constants!$B$4,$BH137,RANK($CA137,$CA$9:$CA$508)))</f>
        <v/>
      </c>
      <c r="CC137" s="74" t="str">
        <f aca="false">IF(ISBLANK($C137),"",IF($BH137&lt;&gt;Constants!$B$4,$BH137,COUNTIFS($BI$9:$BI$508,"&lt;"&amp;$BI137)+COUNTIFS($BI$9:$BI$508,$BI137,$CB$9:$CB$508,"&lt;"&amp;$CB137)+1))</f>
        <v/>
      </c>
      <c r="CD137" s="74" t="str">
        <f aca="false">IF(ISBLANK($C137),"",IF($BH137&lt;&gt;Constants!$B$4,$BH137,RANK($BZ137,$BZ$9:$BZ$508,1)))</f>
        <v/>
      </c>
      <c r="CE137" s="74" t="str">
        <f aca="false">IF($BH137&lt;&gt;Constants!$B$4,"",$AL137+$AM137+$AN137)</f>
        <v/>
      </c>
      <c r="CF137" s="74" t="str">
        <f aca="false">IF(ISBLANK($C137),"",IF($BH137&lt;&gt;Constants!$B$4,$BH137,RANK($CE137,$CE$9:$CE$508,1)))</f>
        <v/>
      </c>
      <c r="CG137" s="74" t="str">
        <f aca="false">IF(ISBLANK($C137),"",IF($BH137&lt;&gt;Constants!$B$4,$BH137,COUNTIFS($BI$9:$BI$508,"&lt;"&amp;$BI137)+COUNTIFS($BI$9:$BI$508,$BI137,$CB$9:$CB$508,"&lt;"&amp;$CB137)+COUNTIFS($BI$9:$BI$508,$BI137,$CB$9:$CB$508,$CB137,$CD$9:$CD$508,"&lt;"&amp;$CD137)+COUNTIFS($BI$9:$BI$508,$BI137,$CB$9:$CB$508,$CB137,$CD$9:$CD$508,$CD137,$CF$9:$CF$508,"&lt;"&amp;$CF137)+1))</f>
        <v/>
      </c>
      <c r="CH137" s="74" t="str">
        <f aca="false">IF(ISBLANK($C137),"",IF($BH137&lt;&gt;Constants!$B$4,$BH137,$CC137-$CG137))</f>
        <v/>
      </c>
      <c r="CI137" s="74" t="str">
        <f aca="false">IF(ISBLANK($C137),"",IF(NOT($AJ137),"",IF(ISBLANK($D$7),$CI$5,IF(NOT(ISNUMBER($D$7)),$CI$6,""))))</f>
        <v/>
      </c>
      <c r="CJ137" s="74" t="str">
        <f aca="false">IF(ISBLANK($C137),"",OR($AL137="",$AM137="",$AN137=""))</f>
        <v/>
      </c>
      <c r="CK137" s="74" t="str">
        <f aca="false">IF(ISBLANK($C137),"",AND($AJ137,$AX137=""))</f>
        <v/>
      </c>
      <c r="CL137" s="74" t="str">
        <f aca="false">IF(ISBLANK($C137),"",AND($AJ137,$AY137=""))</f>
        <v/>
      </c>
      <c r="CM137" s="74" t="str">
        <f aca="false">IF(ISBLANK($C137),"",AND($AJ137,$AZ137=""))</f>
        <v/>
      </c>
      <c r="CN137" s="74" t="str">
        <f aca="false">IF(ISBLANK($C137),"",AND($AJ137,$BC137=""))</f>
        <v/>
      </c>
      <c r="CO137" s="74" t="str">
        <f aca="false">IF(ISBLANK($C137),"",AND($AJ137,$BF137=""))</f>
        <v/>
      </c>
      <c r="CP137" s="75"/>
      <c r="CQ137" s="76"/>
      <c r="CR137" s="79" t="str">
        <f aca="false">IF(ISBLANK($C137),"",IF($BH137=Constants!$B$8,$CI137,""))</f>
        <v/>
      </c>
      <c r="CS137" s="76" t="str">
        <f aca="false">IF(ISBLANK($C137),"",IF($BH137&lt;&gt;Constants!$B$4,"",$BK137+$BL137))</f>
        <v/>
      </c>
      <c r="CT137" s="78" t="str">
        <f aca="false">IF(ISBLANK($C137),"",IF($BH137&lt;&gt;Constants!$B$4,"",$BM137+$BN137+$BO137))</f>
        <v/>
      </c>
      <c r="CU137" s="78" t="str">
        <f aca="false">IF(ISBLANK($C137),"",IF($BH137&lt;&gt;Constants!$B$4,"",$BP137))</f>
        <v/>
      </c>
      <c r="CV137" s="78" t="str">
        <f aca="false">IF(ISBLANK($C137),"",IF($BH137&lt;&gt;Constants!$B$4,"",$BQ137+$BR137))</f>
        <v/>
      </c>
      <c r="CW137" s="78" t="str">
        <f aca="false">IF(ISBLANK($C137),"",IF($BH137&lt;&gt;Constants!$B$4,"",$BS137))</f>
        <v/>
      </c>
      <c r="CX137" s="78" t="str">
        <f aca="false">IF(ISBLANK($C137),"",IF($BH137&lt;&gt;Constants!$B$4,"",-$BZ137))</f>
        <v/>
      </c>
      <c r="CY137" s="79" t="str">
        <f aca="false">IF(ISBLANK($C137),"",$CA137)</f>
        <v/>
      </c>
      <c r="CZ137" s="80" t="str">
        <f aca="false">IF(ISBLANK($C137),"",$BI137)</f>
        <v/>
      </c>
      <c r="DA137" s="78" t="str">
        <f aca="false">IF(ISBLANK($C137),"",$CH137)</f>
        <v/>
      </c>
      <c r="DB137" s="78" t="str">
        <f aca="false">IF(ISBLANK($C137),"",$CG137)</f>
        <v/>
      </c>
      <c r="DC137" s="81" t="str">
        <f aca="false">IF(ISBLANK($C137),"",IFERROR(_xlfn.SWITCH($DB137,Constants!$B$7,COUNTA($C$9:$C$508)+2,Constants!$B$6,COUNTA($C$9:$C$508)+1,Constants!$B$5,COUNTA($C$9:$C$508)),$DB137))</f>
        <v/>
      </c>
      <c r="DD137" s="7"/>
      <c r="DE137" s="82" t="n">
        <f aca="false">IF(OR(ISNUMBER($DB137),$DB137=Constants!$B$7,$DB137=Constants!$B$5,$DB137=Constants!$B$6),1,0)</f>
        <v>0</v>
      </c>
      <c r="DF137" s="82" t="n">
        <v>129</v>
      </c>
      <c r="DG137" s="82" t="str">
        <f aca="false">IF(ISBLANK($C137),"",IF(ISNUMBER($DC137),$DC137+ROW($B137)/1000,""))</f>
        <v/>
      </c>
      <c r="DH137" s="82" t="str">
        <f aca="false">IF(ISNUMBER($DG137),RANK($DG137,$DG$9:$DG$508,1),"")</f>
        <v/>
      </c>
      <c r="DI137" s="82" t="str">
        <f aca="false">IF(ISBLANK($C137),"",$B137)</f>
        <v/>
      </c>
      <c r="DJ137" s="82" t="str">
        <f aca="false">IF(ISBLANK($C137),"",$C137)</f>
        <v/>
      </c>
      <c r="DK137" s="82" t="str">
        <f aca="false">IF(ISBLANK($C137),"",$D137)</f>
        <v/>
      </c>
      <c r="DL137" s="83" t="str">
        <f aca="false">$CZ137</f>
        <v/>
      </c>
      <c r="DM137" s="84" t="str">
        <f aca="false">$CY137</f>
        <v/>
      </c>
      <c r="DN137" s="82" t="str">
        <f aca="false">IF(ISBLANK($C137),"",$DB137)</f>
        <v/>
      </c>
      <c r="DO137" s="85" t="str">
        <f aca="false">IF($DF137&gt;$DE$8,"",VLOOKUP($DF137,$DH$9:$DN$508,7,FALSE()))</f>
        <v/>
      </c>
      <c r="DP137" s="86" t="str">
        <f aca="false">IF($DF137&gt;$DE$8,"",VLOOKUP($DF137,$DH$9:$DN$508,2,FALSE()))</f>
        <v/>
      </c>
      <c r="DQ137" s="86" t="str">
        <f aca="false">IF($DF137&gt;$DE$8,"",VLOOKUP($DF137,$DH$9:$DN$508,3,FALSE()))</f>
        <v/>
      </c>
      <c r="DR137" s="86" t="str">
        <f aca="false">IF($DF137&gt;$DE$8,"",VLOOKUP($DF137,$DH$9:$DN$508,4,FALSE()))</f>
        <v/>
      </c>
      <c r="DS137" s="86" t="str">
        <f aca="false">IF($DF137&gt;$DE$8,"",VLOOKUP($DF137,$DH$9:$DN$508,5,FALSE()))</f>
        <v/>
      </c>
      <c r="DT137" s="87" t="str">
        <f aca="false">IF($DF137&gt;$DE$8,"",VLOOKUP($DF137,$DH$9:$DN$508,6,FALSE()))</f>
        <v/>
      </c>
      <c r="DU137" s="62"/>
    </row>
    <row r="138" customFormat="false" ht="15.75" hidden="false" customHeight="false" outlineLevel="0" collapsed="false">
      <c r="A138" s="7"/>
      <c r="B138" s="90"/>
      <c r="C138" s="91"/>
      <c r="D138" s="126"/>
      <c r="E138" s="130"/>
      <c r="F138" s="135"/>
      <c r="G138" s="130"/>
      <c r="H138" s="135"/>
      <c r="I138" s="131"/>
      <c r="J138" s="131"/>
      <c r="K138" s="131"/>
      <c r="L138" s="130"/>
      <c r="M138" s="130"/>
      <c r="N138" s="130"/>
      <c r="O138" s="135"/>
      <c r="P138" s="130"/>
      <c r="Q138" s="130"/>
      <c r="R138" s="130"/>
      <c r="S138" s="130"/>
      <c r="T138" s="135"/>
      <c r="U138" s="130"/>
      <c r="V138" s="96"/>
      <c r="W138" s="130"/>
      <c r="X138" s="130"/>
      <c r="Y138" s="96"/>
      <c r="Z138" s="96"/>
      <c r="AA138" s="130"/>
      <c r="AB138" s="130"/>
      <c r="AC138" s="97"/>
      <c r="AD138" s="130"/>
      <c r="AE138" s="99"/>
      <c r="AF138" s="100"/>
      <c r="AG138" s="100"/>
      <c r="AH138" s="100" t="str">
        <f aca="false">IF(ISBLANK($C138),"",IF($E138=Constants!$B$2,TRUE(),IF($E138=Constants!$B$3,FALSE(),TRUE())))</f>
        <v/>
      </c>
      <c r="AI138" s="100" t="str">
        <f aca="false">IF(ISBLANK($C138),"",IF($F138=Constants!$B$2,TRUE(),IF($F138=Constants!$B$3,FALSE(),FALSE())))</f>
        <v/>
      </c>
      <c r="AJ138" s="100" t="str">
        <f aca="false">IF(ISBLANK($C138),"",IF($G138=Constants!$B$2,TRUE(),IF($G138=Constants!$B$3,FALSE(),TRUE())))</f>
        <v/>
      </c>
      <c r="AK138" s="100" t="str">
        <f aca="false">IF(ISBLANK($C138),"",IF($H138=Constants!$B$2,TRUE(),IF($H138=Constants!$B$3,FALSE(),TRUE())))</f>
        <v/>
      </c>
      <c r="AL138" s="100" t="str">
        <f aca="false">IF(ISBLANK($C138),"",IF(ISNUMBER($I138),IF($I138&gt;=0,$I138,""),""))</f>
        <v/>
      </c>
      <c r="AM138" s="100" t="str">
        <f aca="false">IF(ISBLANK($C138),"",IF(ISNUMBER($J138),IF($J138&gt;=0,$J138,""),""))</f>
        <v/>
      </c>
      <c r="AN138" s="100" t="str">
        <f aca="false">IF(ISBLANK($C138),"",IF(ISNUMBER($K138),IF($K138&gt;=0,$K138,""),""))</f>
        <v/>
      </c>
      <c r="AO138" s="100" t="str">
        <f aca="false">IF(ISBLANK($C138),"",IF($L138=Constants!$B$2,TRUE(),IF($L138=Constants!$B$3,FALSE(),TRUE())))</f>
        <v/>
      </c>
      <c r="AP138" s="100" t="str">
        <f aca="false">IF(ISBLANK($C138),"",IF($M138=Constants!$B$2,TRUE(),IF($M138=Constants!$B$3,FALSE(),TRUE())))</f>
        <v/>
      </c>
      <c r="AQ138" s="100" t="str">
        <f aca="false">IF(ISBLANK($C138),"",IF($N138=Constants!$B$2,TRUE(),IF($N138=Constants!$B$3,FALSE(),FALSE())))</f>
        <v/>
      </c>
      <c r="AR138" s="100" t="str">
        <f aca="false">IF(ISBLANK($C138),"",IF($O138=Constants!$B$2,TRUE(),IF($O138=Constants!$B$3,FALSE(),TRUE())))</f>
        <v/>
      </c>
      <c r="AS138" s="100" t="str">
        <f aca="false">IF(ISBLANK($C138),"",IF($P138=Constants!$B$2,TRUE(),IF($P138=Constants!$B$3,FALSE(),FALSE())))</f>
        <v/>
      </c>
      <c r="AT138" s="100" t="str">
        <f aca="false">IF(ISBLANK($C138),"",IF($Q138=Constants!$B$2,TRUE(),IF($Q138=Constants!$B$3,FALSE(),FALSE())))</f>
        <v/>
      </c>
      <c r="AU138" s="100" t="str">
        <f aca="false">IF(ISBLANK($C138),"",IF($R138=Constants!$B$2,TRUE(),IF($R138=Constants!$B$3,FALSE(),FALSE())))</f>
        <v/>
      </c>
      <c r="AV138" s="100" t="str">
        <f aca="false">IF(ISBLANK($C138),"",IF($S138=Constants!$B$2,TRUE(),IF($S138=Constants!$B$3,FALSE(),FALSE())))</f>
        <v/>
      </c>
      <c r="AW138" s="100" t="str">
        <f aca="false">IF(ISBLANK($C138),"",IF($T138=Constants!$B$2,TRUE(),IF($T138=Constants!$B$3,FALSE(),FALSE())))</f>
        <v/>
      </c>
      <c r="AX138" s="100" t="str">
        <f aca="false">IF(ISBLANK($C138),"",IF(OR($U138&amp;""="1",$U138&amp;""="2",$U138&amp;""="3",$U138&amp;""="4"),VALUE($U138&amp;""),IF($U138=Constants!$B$12,Constants!$B$12,"")))</f>
        <v/>
      </c>
      <c r="AY138" s="100" t="str">
        <f aca="false">IF(ISBLANK($C138),"",IF(ISBLANK($V138),0,IF(ISNUMBER($V138),IF(AND($V138&gt;=0,$V138&lt;=Constants!$B$21,$V138=INT($V138)),$V138,""),"")))</f>
        <v/>
      </c>
      <c r="AZ138" s="100" t="str">
        <f aca="false">IF(ISBLANK($C138),"",IF(ISBLANK($W138),0,IF(ISNUMBER($W138),IF($W138&gt;=0,$W138,""),"")))</f>
        <v/>
      </c>
      <c r="BA138" s="100" t="str">
        <f aca="false">IF(ISBLANK($C138),"",IF($X138=Constants!$B$2,TRUE(),IF($X138=Constants!$B$3,FALSE(),TRUE())))</f>
        <v/>
      </c>
      <c r="BB138" s="100" t="str">
        <f aca="false">IF(ISBLANK($C138),"",IF($Y138=Constants!$B$2,TRUE(),IF($Y138=Constants!$B$3,FALSE(),FALSE())))</f>
        <v/>
      </c>
      <c r="BC138" s="100" t="str">
        <f aca="false">IF(ISBLANK($C138),"",IF(ISBLANK($Z138),0,IF(ISNUMBER($Z138),IF(AND($Z138&gt;=0,$Z138&lt;=Constants!$B$35,$Z138=INT($Z138)),$Z138,""),"")))</f>
        <v/>
      </c>
      <c r="BD138" s="100" t="str">
        <f aca="false">IF(ISBLANK($C138),"",IF($AA138=Constants!$B$2,TRUE(),IF($AA138=Constants!$B$3,FALSE(),TRUE())))</f>
        <v/>
      </c>
      <c r="BE138" s="100" t="str">
        <f aca="false">IF(ISBLANK($C138),"",IF($AB138=Constants!$B$2,TRUE(),IF($AB138=Constants!$B$3,FALSE(),TRUE())))</f>
        <v/>
      </c>
      <c r="BF138" s="100" t="str">
        <f aca="false">IF(ISBLANK($C138),"",IF(ISNUMBER($AC138),IF($AC138&gt;=0,$AC138,""),""))</f>
        <v/>
      </c>
      <c r="BG138" s="100" t="str">
        <f aca="false">IF(ISBLANK($C138),"",IF($AD138=Constants!$B$2,TRUE(),IF($AD138=Constants!$B$3,FALSE(),FALSE())))</f>
        <v/>
      </c>
      <c r="BH138" s="99" t="str">
        <f aca="false">IF(ISBLANK($C138),"",IF($BG138,Constants!$B$7,IF(COUNTA($E138:$AC138)=0,Constants!$B$6,IF(OR(COUNTA($G138:$AC138)=0,NOT($AK138),$AQ138),Constants!$B$5,IF(OR($CI138&lt;&gt;"",$CJ138,$CK138,$CL138,$CM138,$CN138,$CO138),Constants!$B$8,Constants!$B$4)))))</f>
        <v/>
      </c>
      <c r="BI138" s="100" t="str">
        <f aca="false">IF(ISBLANK($C138),"",IF($BH138&lt;&gt;Constants!$B$4,$BH138,IF(OR(NOT($AH138),NOT($AJ138),NOT($AR138)),Constants!$B$11,IF(OR(NOT($AP138),MAX($AL138,$AM138,$AN138)&gt;Constants!$B$30),Constants!$B$10,Constants!$B$9))))</f>
        <v/>
      </c>
      <c r="BJ138" s="100" t="str">
        <f aca="false">IF($BH138&lt;&gt;Constants!$B$4,"",IF(NOT($AJ138),0,MIN(Constants!$B$35,$BC138)))</f>
        <v/>
      </c>
      <c r="BK138" s="100" t="str">
        <f aca="false">IF($BH138&lt;&gt;Constants!$B$4,"",IF(NOT($AJ138),0,IF($AT138,Constants!$B$18,IF($AS138,Constants!$B$17,0))))</f>
        <v/>
      </c>
      <c r="BL138" s="100" t="str">
        <f aca="false">IF($BH138&lt;&gt;Constants!$B$4,"",IF(NOT($AJ138),0,Constants!$B$19*($AI138+$AU138+$AV138+$AW138)))</f>
        <v/>
      </c>
      <c r="BM138" s="100" t="str">
        <f aca="false">IF($BH138&lt;&gt;Constants!$B$4,"",IF(OR(NOT($AJ138),NOT(ISNUMBER($AX138))),0,CHOOSE($AX138,Constants!$B$13,Constants!$B$14,Constants!$B$15,Constants!$B$16)))</f>
        <v/>
      </c>
      <c r="BN138" s="100" t="str">
        <f aca="false">IF($BH138&lt;&gt;Constants!$B$4,"",IF(NOT($AJ138),0,Constants!$B$20*$AY138))</f>
        <v/>
      </c>
      <c r="BO138" s="100" t="str">
        <f aca="false">IF($BH138&lt;&gt;Constants!$B$4,"",IF(AND($AJ138,$BA138,$BB138),Constants!$B$22,0))</f>
        <v/>
      </c>
      <c r="BP138" s="100" t="str">
        <f aca="false">IF($BH138&lt;&gt;Constants!$B$4,"",IF(OR(NOT($AJ138),NOT($BA138)),0,IF($BF138&gt;=2*$AF$9,0,Constants!$B$23*INT(ROUND(MIN($BF138,$AF$9),6)))))</f>
        <v/>
      </c>
      <c r="BQ138" s="100" t="str">
        <f aca="false">IF($BH138&lt;&gt;Constants!$B$4,"",IF(NOT($AJ138),0,Constants!$B$24*INT(ROUND(MIN($AZ138,$AF$9),6))))</f>
        <v/>
      </c>
      <c r="BR138" s="100" t="str">
        <f aca="false">IF($BH138&lt;&gt;Constants!$B$4,"",IF(AND($AJ138,$BJ138=0),Constants!$B$25,0))</f>
        <v/>
      </c>
      <c r="BS138" s="100" t="str">
        <f aca="false">IF($BH138&lt;&gt;Constants!$B$4,"",MIN(Constants!$B$29,MAX(0,Constants!$B$27*Constants!$B$28*INT(ROUND((Constants!$B$26-$AL138)/Constants!$B$28,6))))+MIN(Constants!$B$29,MAX(0,Constants!$B$27*Constants!$B$28*INT(ROUND((Constants!$B$26-$AM138)/Constants!$B$28,6))))+MIN(Constants!$B$29,MAX(0,Constants!$B$27*Constants!$B$28*INT(ROUND((Constants!$B$26-$AN138)/Constants!$B$28,6)))))</f>
        <v/>
      </c>
      <c r="BT138" s="100" t="str">
        <f aca="false">IF($BH138&lt;&gt;Constants!$B$4,"",IF(NOT($AJ138),0,Constants!$B$31*INT(ROUND(MAX(0,MIN($BF138,2*$AF$9)-$AF$9),6))))</f>
        <v/>
      </c>
      <c r="BU138" s="100" t="str">
        <f aca="false">IF($BH138&lt;&gt;Constants!$B$4,"",Constants!$B$32*(($AL138&gt;Constants!$B$26)+($AM138&gt;Constants!$B$26)+($AN138&gt;Constants!$B$26)))</f>
        <v/>
      </c>
      <c r="BV138" s="100" t="str">
        <f aca="false">IF($BH138&lt;&gt;Constants!$B$4,"",IF(OR(NOT($AJ138),$AO138),0,Constants!$B$33))</f>
        <v/>
      </c>
      <c r="BW138" s="100" t="str">
        <f aca="false">IF($BH138&lt;&gt;Constants!$B$4,"",Constants!$B$34*$BJ138)</f>
        <v/>
      </c>
      <c r="BX138" s="100" t="str">
        <f aca="false">IF($BH138&lt;&gt;Constants!$B$4,"",IF(OR(NOT($AJ138),$BE138),0,Constants!$B$36))</f>
        <v/>
      </c>
      <c r="BY138" s="100" t="str">
        <f aca="false">IF($BH138&lt;&gt;Constants!$B$4,"",IF(OR(NOT($AJ138),$BD138),0,Constants!$B$37))</f>
        <v/>
      </c>
      <c r="BZ138" s="100" t="str">
        <f aca="false">IF($BH138&lt;&gt;Constants!$B$4,"",SUM($BT138:$BY138))</f>
        <v/>
      </c>
      <c r="CA138" s="100" t="str">
        <f aca="false">IF(ISBLANK($C138),"",IF($BH138&lt;&gt;Constants!$B$4,$BH138,SUM($BK138:$BS138)-$BZ138))</f>
        <v/>
      </c>
      <c r="CB138" s="100" t="str">
        <f aca="false">IF(ISBLANK($C138),"",IF($BH138&lt;&gt;Constants!$B$4,$BH138,RANK($CA138,$CA$9:$CA$508)))</f>
        <v/>
      </c>
      <c r="CC138" s="100" t="str">
        <f aca="false">IF(ISBLANK($C138),"",IF($BH138&lt;&gt;Constants!$B$4,$BH138,COUNTIFS($BI$9:$BI$508,"&lt;"&amp;$BI138)+COUNTIFS($BI$9:$BI$508,$BI138,$CB$9:$CB$508,"&lt;"&amp;$CB138)+1))</f>
        <v/>
      </c>
      <c r="CD138" s="100" t="str">
        <f aca="false">IF(ISBLANK($C138),"",IF($BH138&lt;&gt;Constants!$B$4,$BH138,RANK($BZ138,$BZ$9:$BZ$508,1)))</f>
        <v/>
      </c>
      <c r="CE138" s="100" t="str">
        <f aca="false">IF($BH138&lt;&gt;Constants!$B$4,"",$AL138+$AM138+$AN138)</f>
        <v/>
      </c>
      <c r="CF138" s="100" t="str">
        <f aca="false">IF(ISBLANK($C138),"",IF($BH138&lt;&gt;Constants!$B$4,$BH138,RANK($CE138,$CE$9:$CE$508,1)))</f>
        <v/>
      </c>
      <c r="CG138" s="100" t="str">
        <f aca="false">IF(ISBLANK($C138),"",IF($BH138&lt;&gt;Constants!$B$4,$BH138,COUNTIFS($BI$9:$BI$508,"&lt;"&amp;$BI138)+COUNTIFS($BI$9:$BI$508,$BI138,$CB$9:$CB$508,"&lt;"&amp;$CB138)+COUNTIFS($BI$9:$BI$508,$BI138,$CB$9:$CB$508,$CB138,$CD$9:$CD$508,"&lt;"&amp;$CD138)+COUNTIFS($BI$9:$BI$508,$BI138,$CB$9:$CB$508,$CB138,$CD$9:$CD$508,$CD138,$CF$9:$CF$508,"&lt;"&amp;$CF138)+1))</f>
        <v/>
      </c>
      <c r="CH138" s="100" t="str">
        <f aca="false">IF(ISBLANK($C138),"",IF($BH138&lt;&gt;Constants!$B$4,$BH138,$CC138-$CG138))</f>
        <v/>
      </c>
      <c r="CI138" s="100" t="str">
        <f aca="false">IF(ISBLANK($C138),"",IF(NOT($AJ138),"",IF(ISBLANK($D$7),$CI$5,IF(NOT(ISNUMBER($D$7)),$CI$6,""))))</f>
        <v/>
      </c>
      <c r="CJ138" s="100" t="str">
        <f aca="false">IF(ISBLANK($C138),"",OR($AL138="",$AM138="",$AN138=""))</f>
        <v/>
      </c>
      <c r="CK138" s="100" t="str">
        <f aca="false">IF(ISBLANK($C138),"",AND($AJ138,$AX138=""))</f>
        <v/>
      </c>
      <c r="CL138" s="100" t="str">
        <f aca="false">IF(ISBLANK($C138),"",AND($AJ138,$AY138=""))</f>
        <v/>
      </c>
      <c r="CM138" s="100" t="str">
        <f aca="false">IF(ISBLANK($C138),"",AND($AJ138,$AZ138=""))</f>
        <v/>
      </c>
      <c r="CN138" s="100" t="str">
        <f aca="false">IF(ISBLANK($C138),"",AND($AJ138,$BC138=""))</f>
        <v/>
      </c>
      <c r="CO138" s="100" t="str">
        <f aca="false">IF(ISBLANK($C138),"",AND($AJ138,$BF138=""))</f>
        <v/>
      </c>
      <c r="CP138" s="101"/>
      <c r="CQ138" s="102"/>
      <c r="CR138" s="103" t="str">
        <f aca="false">IF(ISBLANK($C138),"",IF($BH138=Constants!$B$8,$CI138,""))</f>
        <v/>
      </c>
      <c r="CS138" s="102" t="str">
        <f aca="false">IF(ISBLANK($C138),"",IF($BH138&lt;&gt;Constants!$B$4,"",$BK138+$BL138))</f>
        <v/>
      </c>
      <c r="CT138" s="104" t="str">
        <f aca="false">IF(ISBLANK($C138),"",IF($BH138&lt;&gt;Constants!$B$4,"",$BM138+$BN138+$BO138))</f>
        <v/>
      </c>
      <c r="CU138" s="104" t="str">
        <f aca="false">IF(ISBLANK($C138),"",IF($BH138&lt;&gt;Constants!$B$4,"",$BP138))</f>
        <v/>
      </c>
      <c r="CV138" s="104" t="str">
        <f aca="false">IF(ISBLANK($C138),"",IF($BH138&lt;&gt;Constants!$B$4,"",$BQ138+$BR138))</f>
        <v/>
      </c>
      <c r="CW138" s="104" t="str">
        <f aca="false">IF(ISBLANK($C138),"",IF($BH138&lt;&gt;Constants!$B$4,"",$BS138))</f>
        <v/>
      </c>
      <c r="CX138" s="104" t="str">
        <f aca="false">IF(ISBLANK($C138),"",IF($BH138&lt;&gt;Constants!$B$4,"",-$BZ138))</f>
        <v/>
      </c>
      <c r="CY138" s="103" t="str">
        <f aca="false">IF(ISBLANK($C138),"",$CA138)</f>
        <v/>
      </c>
      <c r="CZ138" s="105" t="str">
        <f aca="false">IF(ISBLANK($C138),"",$BI138)</f>
        <v/>
      </c>
      <c r="DA138" s="104" t="str">
        <f aca="false">IF(ISBLANK($C138),"",$CH138)</f>
        <v/>
      </c>
      <c r="DB138" s="104" t="str">
        <f aca="false">IF(ISBLANK($C138),"",$CG138)</f>
        <v/>
      </c>
      <c r="DC138" s="106" t="str">
        <f aca="false">IF(ISBLANK($C138),"",IFERROR(_xlfn.SWITCH($DB138,Constants!$B$7,COUNTA($C$9:$C$508)+2,Constants!$B$6,COUNTA($C$9:$C$508)+1,Constants!$B$5,COUNTA($C$9:$C$508)),$DB138))</f>
        <v/>
      </c>
      <c r="DD138" s="7"/>
      <c r="DE138" s="107" t="n">
        <f aca="false">IF(OR(ISNUMBER($DB138),$DB138=Constants!$B$7,$DB138=Constants!$B$5,$DB138=Constants!$B$6),1,0)</f>
        <v>0</v>
      </c>
      <c r="DF138" s="107" t="n">
        <v>130</v>
      </c>
      <c r="DG138" s="107" t="str">
        <f aca="false">IF(ISBLANK($C138),"",IF(ISNUMBER($DC138),$DC138+ROW($B138)/1000,""))</f>
        <v/>
      </c>
      <c r="DH138" s="107" t="str">
        <f aca="false">IF(ISNUMBER($DG138),RANK($DG138,$DG$9:$DG$508,1),"")</f>
        <v/>
      </c>
      <c r="DI138" s="107" t="str">
        <f aca="false">IF(ISBLANK($C138),"",$B138)</f>
        <v/>
      </c>
      <c r="DJ138" s="107" t="str">
        <f aca="false">IF(ISBLANK($C138),"",$C138)</f>
        <v/>
      </c>
      <c r="DK138" s="107" t="str">
        <f aca="false">IF(ISBLANK($C138),"",$D138)</f>
        <v/>
      </c>
      <c r="DL138" s="108" t="str">
        <f aca="false">$CZ138</f>
        <v/>
      </c>
      <c r="DM138" s="109" t="str">
        <f aca="false">$CY138</f>
        <v/>
      </c>
      <c r="DN138" s="107" t="str">
        <f aca="false">IF(ISBLANK($C138),"",$DB138)</f>
        <v/>
      </c>
      <c r="DO138" s="110" t="str">
        <f aca="false">IF($DF138&gt;$DE$8,"",VLOOKUP($DF138,$DH$9:$DN$508,7,FALSE()))</f>
        <v/>
      </c>
      <c r="DP138" s="111" t="str">
        <f aca="false">IF($DF138&gt;$DE$8,"",VLOOKUP($DF138,$DH$9:$DN$508,2,FALSE()))</f>
        <v/>
      </c>
      <c r="DQ138" s="111" t="str">
        <f aca="false">IF($DF138&gt;$DE$8,"",VLOOKUP($DF138,$DH$9:$DN$508,3,FALSE()))</f>
        <v/>
      </c>
      <c r="DR138" s="111" t="str">
        <f aca="false">IF($DF138&gt;$DE$8,"",VLOOKUP($DF138,$DH$9:$DN$508,4,FALSE()))</f>
        <v/>
      </c>
      <c r="DS138" s="111" t="str">
        <f aca="false">IF($DF138&gt;$DE$8,"",VLOOKUP($DF138,$DH$9:$DN$508,5,FALSE()))</f>
        <v/>
      </c>
      <c r="DT138" s="112" t="str">
        <f aca="false">IF($DF138&gt;$DE$8,"",VLOOKUP($DF138,$DH$9:$DN$508,6,FALSE()))</f>
        <v/>
      </c>
      <c r="DU138" s="62"/>
    </row>
    <row r="139" customFormat="false" ht="15.75" hidden="false" customHeight="false" outlineLevel="0" collapsed="false">
      <c r="A139" s="7"/>
      <c r="B139" s="90"/>
      <c r="C139" s="91"/>
      <c r="D139" s="126"/>
      <c r="E139" s="130"/>
      <c r="F139" s="135"/>
      <c r="G139" s="130"/>
      <c r="H139" s="135"/>
      <c r="I139" s="131"/>
      <c r="J139" s="131"/>
      <c r="K139" s="131"/>
      <c r="L139" s="130"/>
      <c r="M139" s="130"/>
      <c r="N139" s="130"/>
      <c r="O139" s="135"/>
      <c r="P139" s="130"/>
      <c r="Q139" s="130"/>
      <c r="R139" s="130"/>
      <c r="S139" s="130"/>
      <c r="T139" s="135"/>
      <c r="U139" s="130"/>
      <c r="V139" s="96"/>
      <c r="W139" s="130"/>
      <c r="X139" s="130"/>
      <c r="Y139" s="96"/>
      <c r="Z139" s="96"/>
      <c r="AA139" s="130"/>
      <c r="AB139" s="130"/>
      <c r="AC139" s="97"/>
      <c r="AD139" s="130"/>
      <c r="AE139" s="99"/>
      <c r="AF139" s="100"/>
      <c r="AG139" s="100"/>
      <c r="AH139" s="100" t="str">
        <f aca="false">IF(ISBLANK($C139),"",IF($E139=Constants!$B$2,TRUE(),IF($E139=Constants!$B$3,FALSE(),TRUE())))</f>
        <v/>
      </c>
      <c r="AI139" s="100" t="str">
        <f aca="false">IF(ISBLANK($C139),"",IF($F139=Constants!$B$2,TRUE(),IF($F139=Constants!$B$3,FALSE(),FALSE())))</f>
        <v/>
      </c>
      <c r="AJ139" s="100" t="str">
        <f aca="false">IF(ISBLANK($C139),"",IF($G139=Constants!$B$2,TRUE(),IF($G139=Constants!$B$3,FALSE(),TRUE())))</f>
        <v/>
      </c>
      <c r="AK139" s="100" t="str">
        <f aca="false">IF(ISBLANK($C139),"",IF($H139=Constants!$B$2,TRUE(),IF($H139=Constants!$B$3,FALSE(),TRUE())))</f>
        <v/>
      </c>
      <c r="AL139" s="100" t="str">
        <f aca="false">IF(ISBLANK($C139),"",IF(ISNUMBER($I139),IF($I139&gt;=0,$I139,""),""))</f>
        <v/>
      </c>
      <c r="AM139" s="100" t="str">
        <f aca="false">IF(ISBLANK($C139),"",IF(ISNUMBER($J139),IF($J139&gt;=0,$J139,""),""))</f>
        <v/>
      </c>
      <c r="AN139" s="100" t="str">
        <f aca="false">IF(ISBLANK($C139),"",IF(ISNUMBER($K139),IF($K139&gt;=0,$K139,""),""))</f>
        <v/>
      </c>
      <c r="AO139" s="100" t="str">
        <f aca="false">IF(ISBLANK($C139),"",IF($L139=Constants!$B$2,TRUE(),IF($L139=Constants!$B$3,FALSE(),TRUE())))</f>
        <v/>
      </c>
      <c r="AP139" s="100" t="str">
        <f aca="false">IF(ISBLANK($C139),"",IF($M139=Constants!$B$2,TRUE(),IF($M139=Constants!$B$3,FALSE(),TRUE())))</f>
        <v/>
      </c>
      <c r="AQ139" s="100" t="str">
        <f aca="false">IF(ISBLANK($C139),"",IF($N139=Constants!$B$2,TRUE(),IF($N139=Constants!$B$3,FALSE(),FALSE())))</f>
        <v/>
      </c>
      <c r="AR139" s="100" t="str">
        <f aca="false">IF(ISBLANK($C139),"",IF($O139=Constants!$B$2,TRUE(),IF($O139=Constants!$B$3,FALSE(),TRUE())))</f>
        <v/>
      </c>
      <c r="AS139" s="100" t="str">
        <f aca="false">IF(ISBLANK($C139),"",IF($P139=Constants!$B$2,TRUE(),IF($P139=Constants!$B$3,FALSE(),FALSE())))</f>
        <v/>
      </c>
      <c r="AT139" s="100" t="str">
        <f aca="false">IF(ISBLANK($C139),"",IF($Q139=Constants!$B$2,TRUE(),IF($Q139=Constants!$B$3,FALSE(),FALSE())))</f>
        <v/>
      </c>
      <c r="AU139" s="100" t="str">
        <f aca="false">IF(ISBLANK($C139),"",IF($R139=Constants!$B$2,TRUE(),IF($R139=Constants!$B$3,FALSE(),FALSE())))</f>
        <v/>
      </c>
      <c r="AV139" s="100" t="str">
        <f aca="false">IF(ISBLANK($C139),"",IF($S139=Constants!$B$2,TRUE(),IF($S139=Constants!$B$3,FALSE(),FALSE())))</f>
        <v/>
      </c>
      <c r="AW139" s="100" t="str">
        <f aca="false">IF(ISBLANK($C139),"",IF($T139=Constants!$B$2,TRUE(),IF($T139=Constants!$B$3,FALSE(),FALSE())))</f>
        <v/>
      </c>
      <c r="AX139" s="100" t="str">
        <f aca="false">IF(ISBLANK($C139),"",IF(OR($U139&amp;""="1",$U139&amp;""="2",$U139&amp;""="3",$U139&amp;""="4"),VALUE($U139&amp;""),IF($U139=Constants!$B$12,Constants!$B$12,"")))</f>
        <v/>
      </c>
      <c r="AY139" s="100" t="str">
        <f aca="false">IF(ISBLANK($C139),"",IF(ISBLANK($V139),0,IF(ISNUMBER($V139),IF(AND($V139&gt;=0,$V139&lt;=Constants!$B$21,$V139=INT($V139)),$V139,""),"")))</f>
        <v/>
      </c>
      <c r="AZ139" s="100" t="str">
        <f aca="false">IF(ISBLANK($C139),"",IF(ISBLANK($W139),0,IF(ISNUMBER($W139),IF($W139&gt;=0,$W139,""),"")))</f>
        <v/>
      </c>
      <c r="BA139" s="100" t="str">
        <f aca="false">IF(ISBLANK($C139),"",IF($X139=Constants!$B$2,TRUE(),IF($X139=Constants!$B$3,FALSE(),TRUE())))</f>
        <v/>
      </c>
      <c r="BB139" s="100" t="str">
        <f aca="false">IF(ISBLANK($C139),"",IF($Y139=Constants!$B$2,TRUE(),IF($Y139=Constants!$B$3,FALSE(),FALSE())))</f>
        <v/>
      </c>
      <c r="BC139" s="100" t="str">
        <f aca="false">IF(ISBLANK($C139),"",IF(ISBLANK($Z139),0,IF(ISNUMBER($Z139),IF(AND($Z139&gt;=0,$Z139&lt;=Constants!$B$35,$Z139=INT($Z139)),$Z139,""),"")))</f>
        <v/>
      </c>
      <c r="BD139" s="100" t="str">
        <f aca="false">IF(ISBLANK($C139),"",IF($AA139=Constants!$B$2,TRUE(),IF($AA139=Constants!$B$3,FALSE(),TRUE())))</f>
        <v/>
      </c>
      <c r="BE139" s="100" t="str">
        <f aca="false">IF(ISBLANK($C139),"",IF($AB139=Constants!$B$2,TRUE(),IF($AB139=Constants!$B$3,FALSE(),TRUE())))</f>
        <v/>
      </c>
      <c r="BF139" s="100" t="str">
        <f aca="false">IF(ISBLANK($C139),"",IF(ISNUMBER($AC139),IF($AC139&gt;=0,$AC139,""),""))</f>
        <v/>
      </c>
      <c r="BG139" s="100" t="str">
        <f aca="false">IF(ISBLANK($C139),"",IF($AD139=Constants!$B$2,TRUE(),IF($AD139=Constants!$B$3,FALSE(),FALSE())))</f>
        <v/>
      </c>
      <c r="BH139" s="99" t="str">
        <f aca="false">IF(ISBLANK($C139),"",IF($BG139,Constants!$B$7,IF(COUNTA($E139:$AC139)=0,Constants!$B$6,IF(OR(COUNTA($G139:$AC139)=0,NOT($AK139),$AQ139),Constants!$B$5,IF(OR($CI139&lt;&gt;"",$CJ139,$CK139,$CL139,$CM139,$CN139,$CO139),Constants!$B$8,Constants!$B$4)))))</f>
        <v/>
      </c>
      <c r="BI139" s="100" t="str">
        <f aca="false">IF(ISBLANK($C139),"",IF($BH139&lt;&gt;Constants!$B$4,$BH139,IF(OR(NOT($AH139),NOT($AJ139),NOT($AR139)),Constants!$B$11,IF(OR(NOT($AP139),MAX($AL139,$AM139,$AN139)&gt;Constants!$B$30),Constants!$B$10,Constants!$B$9))))</f>
        <v/>
      </c>
      <c r="BJ139" s="100" t="str">
        <f aca="false">IF($BH139&lt;&gt;Constants!$B$4,"",IF(NOT($AJ139),0,MIN(Constants!$B$35,$BC139)))</f>
        <v/>
      </c>
      <c r="BK139" s="100" t="str">
        <f aca="false">IF($BH139&lt;&gt;Constants!$B$4,"",IF(NOT($AJ139),0,IF($AT139,Constants!$B$18,IF($AS139,Constants!$B$17,0))))</f>
        <v/>
      </c>
      <c r="BL139" s="100" t="str">
        <f aca="false">IF($BH139&lt;&gt;Constants!$B$4,"",IF(NOT($AJ139),0,Constants!$B$19*($AI139+$AU139+$AV139+$AW139)))</f>
        <v/>
      </c>
      <c r="BM139" s="100" t="str">
        <f aca="false">IF($BH139&lt;&gt;Constants!$B$4,"",IF(OR(NOT($AJ139),NOT(ISNUMBER($AX139))),0,CHOOSE($AX139,Constants!$B$13,Constants!$B$14,Constants!$B$15,Constants!$B$16)))</f>
        <v/>
      </c>
      <c r="BN139" s="100" t="str">
        <f aca="false">IF($BH139&lt;&gt;Constants!$B$4,"",IF(NOT($AJ139),0,Constants!$B$20*$AY139))</f>
        <v/>
      </c>
      <c r="BO139" s="100" t="str">
        <f aca="false">IF($BH139&lt;&gt;Constants!$B$4,"",IF(AND($AJ139,$BA139,$BB139),Constants!$B$22,0))</f>
        <v/>
      </c>
      <c r="BP139" s="100" t="str">
        <f aca="false">IF($BH139&lt;&gt;Constants!$B$4,"",IF(OR(NOT($AJ139),NOT($BA139)),0,IF($BF139&gt;=2*$AF$9,0,Constants!$B$23*INT(ROUND(MIN($BF139,$AF$9),6)))))</f>
        <v/>
      </c>
      <c r="BQ139" s="100" t="str">
        <f aca="false">IF($BH139&lt;&gt;Constants!$B$4,"",IF(NOT($AJ139),0,Constants!$B$24*INT(ROUND(MIN($AZ139,$AF$9),6))))</f>
        <v/>
      </c>
      <c r="BR139" s="100" t="str">
        <f aca="false">IF($BH139&lt;&gt;Constants!$B$4,"",IF(AND($AJ139,$BJ139=0),Constants!$B$25,0))</f>
        <v/>
      </c>
      <c r="BS139" s="100" t="str">
        <f aca="false">IF($BH139&lt;&gt;Constants!$B$4,"",MIN(Constants!$B$29,MAX(0,Constants!$B$27*Constants!$B$28*INT(ROUND((Constants!$B$26-$AL139)/Constants!$B$28,6))))+MIN(Constants!$B$29,MAX(0,Constants!$B$27*Constants!$B$28*INT(ROUND((Constants!$B$26-$AM139)/Constants!$B$28,6))))+MIN(Constants!$B$29,MAX(0,Constants!$B$27*Constants!$B$28*INT(ROUND((Constants!$B$26-$AN139)/Constants!$B$28,6)))))</f>
        <v/>
      </c>
      <c r="BT139" s="100" t="str">
        <f aca="false">IF($BH139&lt;&gt;Constants!$B$4,"",IF(NOT($AJ139),0,Constants!$B$31*INT(ROUND(MAX(0,MIN($BF139,2*$AF$9)-$AF$9),6))))</f>
        <v/>
      </c>
      <c r="BU139" s="100" t="str">
        <f aca="false">IF($BH139&lt;&gt;Constants!$B$4,"",Constants!$B$32*(($AL139&gt;Constants!$B$26)+($AM139&gt;Constants!$B$26)+($AN139&gt;Constants!$B$26)))</f>
        <v/>
      </c>
      <c r="BV139" s="100" t="str">
        <f aca="false">IF($BH139&lt;&gt;Constants!$B$4,"",IF(OR(NOT($AJ139),$AO139),0,Constants!$B$33))</f>
        <v/>
      </c>
      <c r="BW139" s="100" t="str">
        <f aca="false">IF($BH139&lt;&gt;Constants!$B$4,"",Constants!$B$34*$BJ139)</f>
        <v/>
      </c>
      <c r="BX139" s="100" t="str">
        <f aca="false">IF($BH139&lt;&gt;Constants!$B$4,"",IF(OR(NOT($AJ139),$BE139),0,Constants!$B$36))</f>
        <v/>
      </c>
      <c r="BY139" s="100" t="str">
        <f aca="false">IF($BH139&lt;&gt;Constants!$B$4,"",IF(OR(NOT($AJ139),$BD139),0,Constants!$B$37))</f>
        <v/>
      </c>
      <c r="BZ139" s="100" t="str">
        <f aca="false">IF($BH139&lt;&gt;Constants!$B$4,"",SUM($BT139:$BY139))</f>
        <v/>
      </c>
      <c r="CA139" s="100" t="str">
        <f aca="false">IF(ISBLANK($C139),"",IF($BH139&lt;&gt;Constants!$B$4,$BH139,SUM($BK139:$BS139)-$BZ139))</f>
        <v/>
      </c>
      <c r="CB139" s="100" t="str">
        <f aca="false">IF(ISBLANK($C139),"",IF($BH139&lt;&gt;Constants!$B$4,$BH139,RANK($CA139,$CA$9:$CA$508)))</f>
        <v/>
      </c>
      <c r="CC139" s="100" t="str">
        <f aca="false">IF(ISBLANK($C139),"",IF($BH139&lt;&gt;Constants!$B$4,$BH139,COUNTIFS($BI$9:$BI$508,"&lt;"&amp;$BI139)+COUNTIFS($BI$9:$BI$508,$BI139,$CB$9:$CB$508,"&lt;"&amp;$CB139)+1))</f>
        <v/>
      </c>
      <c r="CD139" s="100" t="str">
        <f aca="false">IF(ISBLANK($C139),"",IF($BH139&lt;&gt;Constants!$B$4,$BH139,RANK($BZ139,$BZ$9:$BZ$508,1)))</f>
        <v/>
      </c>
      <c r="CE139" s="100" t="str">
        <f aca="false">IF($BH139&lt;&gt;Constants!$B$4,"",$AL139+$AM139+$AN139)</f>
        <v/>
      </c>
      <c r="CF139" s="100" t="str">
        <f aca="false">IF(ISBLANK($C139),"",IF($BH139&lt;&gt;Constants!$B$4,$BH139,RANK($CE139,$CE$9:$CE$508,1)))</f>
        <v/>
      </c>
      <c r="CG139" s="100" t="str">
        <f aca="false">IF(ISBLANK($C139),"",IF($BH139&lt;&gt;Constants!$B$4,$BH139,COUNTIFS($BI$9:$BI$508,"&lt;"&amp;$BI139)+COUNTIFS($BI$9:$BI$508,$BI139,$CB$9:$CB$508,"&lt;"&amp;$CB139)+COUNTIFS($BI$9:$BI$508,$BI139,$CB$9:$CB$508,$CB139,$CD$9:$CD$508,"&lt;"&amp;$CD139)+COUNTIFS($BI$9:$BI$508,$BI139,$CB$9:$CB$508,$CB139,$CD$9:$CD$508,$CD139,$CF$9:$CF$508,"&lt;"&amp;$CF139)+1))</f>
        <v/>
      </c>
      <c r="CH139" s="100" t="str">
        <f aca="false">IF(ISBLANK($C139),"",IF($BH139&lt;&gt;Constants!$B$4,$BH139,$CC139-$CG139))</f>
        <v/>
      </c>
      <c r="CI139" s="100" t="str">
        <f aca="false">IF(ISBLANK($C139),"",IF(NOT($AJ139),"",IF(ISBLANK($D$7),$CI$5,IF(NOT(ISNUMBER($D$7)),$CI$6,""))))</f>
        <v/>
      </c>
      <c r="CJ139" s="100" t="str">
        <f aca="false">IF(ISBLANK($C139),"",OR($AL139="",$AM139="",$AN139=""))</f>
        <v/>
      </c>
      <c r="CK139" s="100" t="str">
        <f aca="false">IF(ISBLANK($C139),"",AND($AJ139,$AX139=""))</f>
        <v/>
      </c>
      <c r="CL139" s="100" t="str">
        <f aca="false">IF(ISBLANK($C139),"",AND($AJ139,$AY139=""))</f>
        <v/>
      </c>
      <c r="CM139" s="100" t="str">
        <f aca="false">IF(ISBLANK($C139),"",AND($AJ139,$AZ139=""))</f>
        <v/>
      </c>
      <c r="CN139" s="100" t="str">
        <f aca="false">IF(ISBLANK($C139),"",AND($AJ139,$BC139=""))</f>
        <v/>
      </c>
      <c r="CO139" s="100" t="str">
        <f aca="false">IF(ISBLANK($C139),"",AND($AJ139,$BF139=""))</f>
        <v/>
      </c>
      <c r="CP139" s="101"/>
      <c r="CQ139" s="102"/>
      <c r="CR139" s="103" t="str">
        <f aca="false">IF(ISBLANK($C139),"",IF($BH139=Constants!$B$8,$CI139,""))</f>
        <v/>
      </c>
      <c r="CS139" s="102" t="str">
        <f aca="false">IF(ISBLANK($C139),"",IF($BH139&lt;&gt;Constants!$B$4,"",$BK139+$BL139))</f>
        <v/>
      </c>
      <c r="CT139" s="104" t="str">
        <f aca="false">IF(ISBLANK($C139),"",IF($BH139&lt;&gt;Constants!$B$4,"",$BM139+$BN139+$BO139))</f>
        <v/>
      </c>
      <c r="CU139" s="104" t="str">
        <f aca="false">IF(ISBLANK($C139),"",IF($BH139&lt;&gt;Constants!$B$4,"",$BP139))</f>
        <v/>
      </c>
      <c r="CV139" s="104" t="str">
        <f aca="false">IF(ISBLANK($C139),"",IF($BH139&lt;&gt;Constants!$B$4,"",$BQ139+$BR139))</f>
        <v/>
      </c>
      <c r="CW139" s="104" t="str">
        <f aca="false">IF(ISBLANK($C139),"",IF($BH139&lt;&gt;Constants!$B$4,"",$BS139))</f>
        <v/>
      </c>
      <c r="CX139" s="104" t="str">
        <f aca="false">IF(ISBLANK($C139),"",IF($BH139&lt;&gt;Constants!$B$4,"",-$BZ139))</f>
        <v/>
      </c>
      <c r="CY139" s="103" t="str">
        <f aca="false">IF(ISBLANK($C139),"",$CA139)</f>
        <v/>
      </c>
      <c r="CZ139" s="105" t="str">
        <f aca="false">IF(ISBLANK($C139),"",$BI139)</f>
        <v/>
      </c>
      <c r="DA139" s="104" t="str">
        <f aca="false">IF(ISBLANK($C139),"",$CH139)</f>
        <v/>
      </c>
      <c r="DB139" s="104" t="str">
        <f aca="false">IF(ISBLANK($C139),"",$CG139)</f>
        <v/>
      </c>
      <c r="DC139" s="106" t="str">
        <f aca="false">IF(ISBLANK($C139),"",IFERROR(_xlfn.SWITCH($DB139,Constants!$B$7,COUNTA($C$9:$C$508)+2,Constants!$B$6,COUNTA($C$9:$C$508)+1,Constants!$B$5,COUNTA($C$9:$C$508)),$DB139))</f>
        <v/>
      </c>
      <c r="DD139" s="7"/>
      <c r="DE139" s="107" t="n">
        <f aca="false">IF(OR(ISNUMBER($DB139),$DB139=Constants!$B$7,$DB139=Constants!$B$5,$DB139=Constants!$B$6),1,0)</f>
        <v>0</v>
      </c>
      <c r="DF139" s="107" t="n">
        <v>131</v>
      </c>
      <c r="DG139" s="107" t="str">
        <f aca="false">IF(ISBLANK($C139),"",IF(ISNUMBER($DC139),$DC139+ROW($B139)/1000,""))</f>
        <v/>
      </c>
      <c r="DH139" s="107" t="str">
        <f aca="false">IF(ISNUMBER($DG139),RANK($DG139,$DG$9:$DG$508,1),"")</f>
        <v/>
      </c>
      <c r="DI139" s="107" t="str">
        <f aca="false">IF(ISBLANK($C139),"",$B139)</f>
        <v/>
      </c>
      <c r="DJ139" s="107" t="str">
        <f aca="false">IF(ISBLANK($C139),"",$C139)</f>
        <v/>
      </c>
      <c r="DK139" s="107" t="str">
        <f aca="false">IF(ISBLANK($C139),"",$D139)</f>
        <v/>
      </c>
      <c r="DL139" s="108" t="str">
        <f aca="false">$CZ139</f>
        <v/>
      </c>
      <c r="DM139" s="109" t="str">
        <f aca="false">$CY139</f>
        <v/>
      </c>
      <c r="DN139" s="107" t="str">
        <f aca="false">IF(ISBLANK($C139),"",$DB139)</f>
        <v/>
      </c>
      <c r="DO139" s="110" t="str">
        <f aca="false">IF($DF139&gt;$DE$8,"",VLOOKUP($DF139,$DH$9:$DN$508,7,FALSE()))</f>
        <v/>
      </c>
      <c r="DP139" s="111" t="str">
        <f aca="false">IF($DF139&gt;$DE$8,"",VLOOKUP($DF139,$DH$9:$DN$508,2,FALSE()))</f>
        <v/>
      </c>
      <c r="DQ139" s="111" t="str">
        <f aca="false">IF($DF139&gt;$DE$8,"",VLOOKUP($DF139,$DH$9:$DN$508,3,FALSE()))</f>
        <v/>
      </c>
      <c r="DR139" s="111" t="str">
        <f aca="false">IF($DF139&gt;$DE$8,"",VLOOKUP($DF139,$DH$9:$DN$508,4,FALSE()))</f>
        <v/>
      </c>
      <c r="DS139" s="111" t="str">
        <f aca="false">IF($DF139&gt;$DE$8,"",VLOOKUP($DF139,$DH$9:$DN$508,5,FALSE()))</f>
        <v/>
      </c>
      <c r="DT139" s="112" t="str">
        <f aca="false">IF($DF139&gt;$DE$8,"",VLOOKUP($DF139,$DH$9:$DN$508,6,FALSE()))</f>
        <v/>
      </c>
      <c r="DU139" s="62"/>
    </row>
    <row r="140" customFormat="false" ht="15.75" hidden="false" customHeight="false" outlineLevel="0" collapsed="false">
      <c r="A140" s="7"/>
      <c r="B140" s="90"/>
      <c r="C140" s="91"/>
      <c r="D140" s="126"/>
      <c r="E140" s="130"/>
      <c r="F140" s="135"/>
      <c r="G140" s="130"/>
      <c r="H140" s="135"/>
      <c r="I140" s="131"/>
      <c r="J140" s="131"/>
      <c r="K140" s="131"/>
      <c r="L140" s="130"/>
      <c r="M140" s="130"/>
      <c r="N140" s="130"/>
      <c r="O140" s="135"/>
      <c r="P140" s="130"/>
      <c r="Q140" s="130"/>
      <c r="R140" s="130"/>
      <c r="S140" s="130"/>
      <c r="T140" s="135"/>
      <c r="U140" s="130"/>
      <c r="V140" s="96"/>
      <c r="W140" s="130"/>
      <c r="X140" s="130"/>
      <c r="Y140" s="96"/>
      <c r="Z140" s="96"/>
      <c r="AA140" s="130"/>
      <c r="AB140" s="130"/>
      <c r="AC140" s="97"/>
      <c r="AD140" s="130"/>
      <c r="AE140" s="99"/>
      <c r="AF140" s="100"/>
      <c r="AG140" s="100"/>
      <c r="AH140" s="100" t="str">
        <f aca="false">IF(ISBLANK($C140),"",IF($E140=Constants!$B$2,TRUE(),IF($E140=Constants!$B$3,FALSE(),TRUE())))</f>
        <v/>
      </c>
      <c r="AI140" s="100" t="str">
        <f aca="false">IF(ISBLANK($C140),"",IF($F140=Constants!$B$2,TRUE(),IF($F140=Constants!$B$3,FALSE(),FALSE())))</f>
        <v/>
      </c>
      <c r="AJ140" s="100" t="str">
        <f aca="false">IF(ISBLANK($C140),"",IF($G140=Constants!$B$2,TRUE(),IF($G140=Constants!$B$3,FALSE(),TRUE())))</f>
        <v/>
      </c>
      <c r="AK140" s="100" t="str">
        <f aca="false">IF(ISBLANK($C140),"",IF($H140=Constants!$B$2,TRUE(),IF($H140=Constants!$B$3,FALSE(),TRUE())))</f>
        <v/>
      </c>
      <c r="AL140" s="100" t="str">
        <f aca="false">IF(ISBLANK($C140),"",IF(ISNUMBER($I140),IF($I140&gt;=0,$I140,""),""))</f>
        <v/>
      </c>
      <c r="AM140" s="100" t="str">
        <f aca="false">IF(ISBLANK($C140),"",IF(ISNUMBER($J140),IF($J140&gt;=0,$J140,""),""))</f>
        <v/>
      </c>
      <c r="AN140" s="100" t="str">
        <f aca="false">IF(ISBLANK($C140),"",IF(ISNUMBER($K140),IF($K140&gt;=0,$K140,""),""))</f>
        <v/>
      </c>
      <c r="AO140" s="100" t="str">
        <f aca="false">IF(ISBLANK($C140),"",IF($L140=Constants!$B$2,TRUE(),IF($L140=Constants!$B$3,FALSE(),TRUE())))</f>
        <v/>
      </c>
      <c r="AP140" s="100" t="str">
        <f aca="false">IF(ISBLANK($C140),"",IF($M140=Constants!$B$2,TRUE(),IF($M140=Constants!$B$3,FALSE(),TRUE())))</f>
        <v/>
      </c>
      <c r="AQ140" s="100" t="str">
        <f aca="false">IF(ISBLANK($C140),"",IF($N140=Constants!$B$2,TRUE(),IF($N140=Constants!$B$3,FALSE(),FALSE())))</f>
        <v/>
      </c>
      <c r="AR140" s="100" t="str">
        <f aca="false">IF(ISBLANK($C140),"",IF($O140=Constants!$B$2,TRUE(),IF($O140=Constants!$B$3,FALSE(),TRUE())))</f>
        <v/>
      </c>
      <c r="AS140" s="100" t="str">
        <f aca="false">IF(ISBLANK($C140),"",IF($P140=Constants!$B$2,TRUE(),IF($P140=Constants!$B$3,FALSE(),FALSE())))</f>
        <v/>
      </c>
      <c r="AT140" s="100" t="str">
        <f aca="false">IF(ISBLANK($C140),"",IF($Q140=Constants!$B$2,TRUE(),IF($Q140=Constants!$B$3,FALSE(),FALSE())))</f>
        <v/>
      </c>
      <c r="AU140" s="100" t="str">
        <f aca="false">IF(ISBLANK($C140),"",IF($R140=Constants!$B$2,TRUE(),IF($R140=Constants!$B$3,FALSE(),FALSE())))</f>
        <v/>
      </c>
      <c r="AV140" s="100" t="str">
        <f aca="false">IF(ISBLANK($C140),"",IF($S140=Constants!$B$2,TRUE(),IF($S140=Constants!$B$3,FALSE(),FALSE())))</f>
        <v/>
      </c>
      <c r="AW140" s="100" t="str">
        <f aca="false">IF(ISBLANK($C140),"",IF($T140=Constants!$B$2,TRUE(),IF($T140=Constants!$B$3,FALSE(),FALSE())))</f>
        <v/>
      </c>
      <c r="AX140" s="100" t="str">
        <f aca="false">IF(ISBLANK($C140),"",IF(OR($U140&amp;""="1",$U140&amp;""="2",$U140&amp;""="3",$U140&amp;""="4"),VALUE($U140&amp;""),IF($U140=Constants!$B$12,Constants!$B$12,"")))</f>
        <v/>
      </c>
      <c r="AY140" s="100" t="str">
        <f aca="false">IF(ISBLANK($C140),"",IF(ISBLANK($V140),0,IF(ISNUMBER($V140),IF(AND($V140&gt;=0,$V140&lt;=Constants!$B$21,$V140=INT($V140)),$V140,""),"")))</f>
        <v/>
      </c>
      <c r="AZ140" s="100" t="str">
        <f aca="false">IF(ISBLANK($C140),"",IF(ISBLANK($W140),0,IF(ISNUMBER($W140),IF($W140&gt;=0,$W140,""),"")))</f>
        <v/>
      </c>
      <c r="BA140" s="100" t="str">
        <f aca="false">IF(ISBLANK($C140),"",IF($X140=Constants!$B$2,TRUE(),IF($X140=Constants!$B$3,FALSE(),TRUE())))</f>
        <v/>
      </c>
      <c r="BB140" s="100" t="str">
        <f aca="false">IF(ISBLANK($C140),"",IF($Y140=Constants!$B$2,TRUE(),IF($Y140=Constants!$B$3,FALSE(),FALSE())))</f>
        <v/>
      </c>
      <c r="BC140" s="100" t="str">
        <f aca="false">IF(ISBLANK($C140),"",IF(ISBLANK($Z140),0,IF(ISNUMBER($Z140),IF(AND($Z140&gt;=0,$Z140&lt;=Constants!$B$35,$Z140=INT($Z140)),$Z140,""),"")))</f>
        <v/>
      </c>
      <c r="BD140" s="100" t="str">
        <f aca="false">IF(ISBLANK($C140),"",IF($AA140=Constants!$B$2,TRUE(),IF($AA140=Constants!$B$3,FALSE(),TRUE())))</f>
        <v/>
      </c>
      <c r="BE140" s="100" t="str">
        <f aca="false">IF(ISBLANK($C140),"",IF($AB140=Constants!$B$2,TRUE(),IF($AB140=Constants!$B$3,FALSE(),TRUE())))</f>
        <v/>
      </c>
      <c r="BF140" s="100" t="str">
        <f aca="false">IF(ISBLANK($C140),"",IF(ISNUMBER($AC140),IF($AC140&gt;=0,$AC140,""),""))</f>
        <v/>
      </c>
      <c r="BG140" s="100" t="str">
        <f aca="false">IF(ISBLANK($C140),"",IF($AD140=Constants!$B$2,TRUE(),IF($AD140=Constants!$B$3,FALSE(),FALSE())))</f>
        <v/>
      </c>
      <c r="BH140" s="99" t="str">
        <f aca="false">IF(ISBLANK($C140),"",IF($BG140,Constants!$B$7,IF(COUNTA($E140:$AC140)=0,Constants!$B$6,IF(OR(COUNTA($G140:$AC140)=0,NOT($AK140),$AQ140),Constants!$B$5,IF(OR($CI140&lt;&gt;"",$CJ140,$CK140,$CL140,$CM140,$CN140,$CO140),Constants!$B$8,Constants!$B$4)))))</f>
        <v/>
      </c>
      <c r="BI140" s="100" t="str">
        <f aca="false">IF(ISBLANK($C140),"",IF($BH140&lt;&gt;Constants!$B$4,$BH140,IF(OR(NOT($AH140),NOT($AJ140),NOT($AR140)),Constants!$B$11,IF(OR(NOT($AP140),MAX($AL140,$AM140,$AN140)&gt;Constants!$B$30),Constants!$B$10,Constants!$B$9))))</f>
        <v/>
      </c>
      <c r="BJ140" s="100" t="str">
        <f aca="false">IF($BH140&lt;&gt;Constants!$B$4,"",IF(NOT($AJ140),0,MIN(Constants!$B$35,$BC140)))</f>
        <v/>
      </c>
      <c r="BK140" s="100" t="str">
        <f aca="false">IF($BH140&lt;&gt;Constants!$B$4,"",IF(NOT($AJ140),0,IF($AT140,Constants!$B$18,IF($AS140,Constants!$B$17,0))))</f>
        <v/>
      </c>
      <c r="BL140" s="100" t="str">
        <f aca="false">IF($BH140&lt;&gt;Constants!$B$4,"",IF(NOT($AJ140),0,Constants!$B$19*($AI140+$AU140+$AV140+$AW140)))</f>
        <v/>
      </c>
      <c r="BM140" s="100" t="str">
        <f aca="false">IF($BH140&lt;&gt;Constants!$B$4,"",IF(OR(NOT($AJ140),NOT(ISNUMBER($AX140))),0,CHOOSE($AX140,Constants!$B$13,Constants!$B$14,Constants!$B$15,Constants!$B$16)))</f>
        <v/>
      </c>
      <c r="BN140" s="100" t="str">
        <f aca="false">IF($BH140&lt;&gt;Constants!$B$4,"",IF(NOT($AJ140),0,Constants!$B$20*$AY140))</f>
        <v/>
      </c>
      <c r="BO140" s="100" t="str">
        <f aca="false">IF($BH140&lt;&gt;Constants!$B$4,"",IF(AND($AJ140,$BA140,$BB140),Constants!$B$22,0))</f>
        <v/>
      </c>
      <c r="BP140" s="100" t="str">
        <f aca="false">IF($BH140&lt;&gt;Constants!$B$4,"",IF(OR(NOT($AJ140),NOT($BA140)),0,IF($BF140&gt;=2*$AF$9,0,Constants!$B$23*INT(ROUND(MIN($BF140,$AF$9),6)))))</f>
        <v/>
      </c>
      <c r="BQ140" s="100" t="str">
        <f aca="false">IF($BH140&lt;&gt;Constants!$B$4,"",IF(NOT($AJ140),0,Constants!$B$24*INT(ROUND(MIN($AZ140,$AF$9),6))))</f>
        <v/>
      </c>
      <c r="BR140" s="100" t="str">
        <f aca="false">IF($BH140&lt;&gt;Constants!$B$4,"",IF(AND($AJ140,$BJ140=0),Constants!$B$25,0))</f>
        <v/>
      </c>
      <c r="BS140" s="100" t="str">
        <f aca="false">IF($BH140&lt;&gt;Constants!$B$4,"",MIN(Constants!$B$29,MAX(0,Constants!$B$27*Constants!$B$28*INT(ROUND((Constants!$B$26-$AL140)/Constants!$B$28,6))))+MIN(Constants!$B$29,MAX(0,Constants!$B$27*Constants!$B$28*INT(ROUND((Constants!$B$26-$AM140)/Constants!$B$28,6))))+MIN(Constants!$B$29,MAX(0,Constants!$B$27*Constants!$B$28*INT(ROUND((Constants!$B$26-$AN140)/Constants!$B$28,6)))))</f>
        <v/>
      </c>
      <c r="BT140" s="100" t="str">
        <f aca="false">IF($BH140&lt;&gt;Constants!$B$4,"",IF(NOT($AJ140),0,Constants!$B$31*INT(ROUND(MAX(0,MIN($BF140,2*$AF$9)-$AF$9),6))))</f>
        <v/>
      </c>
      <c r="BU140" s="100" t="str">
        <f aca="false">IF($BH140&lt;&gt;Constants!$B$4,"",Constants!$B$32*(($AL140&gt;Constants!$B$26)+($AM140&gt;Constants!$B$26)+($AN140&gt;Constants!$B$26)))</f>
        <v/>
      </c>
      <c r="BV140" s="100" t="str">
        <f aca="false">IF($BH140&lt;&gt;Constants!$B$4,"",IF(OR(NOT($AJ140),$AO140),0,Constants!$B$33))</f>
        <v/>
      </c>
      <c r="BW140" s="100" t="str">
        <f aca="false">IF($BH140&lt;&gt;Constants!$B$4,"",Constants!$B$34*$BJ140)</f>
        <v/>
      </c>
      <c r="BX140" s="100" t="str">
        <f aca="false">IF($BH140&lt;&gt;Constants!$B$4,"",IF(OR(NOT($AJ140),$BE140),0,Constants!$B$36))</f>
        <v/>
      </c>
      <c r="BY140" s="100" t="str">
        <f aca="false">IF($BH140&lt;&gt;Constants!$B$4,"",IF(OR(NOT($AJ140),$BD140),0,Constants!$B$37))</f>
        <v/>
      </c>
      <c r="BZ140" s="100" t="str">
        <f aca="false">IF($BH140&lt;&gt;Constants!$B$4,"",SUM($BT140:$BY140))</f>
        <v/>
      </c>
      <c r="CA140" s="100" t="str">
        <f aca="false">IF(ISBLANK($C140),"",IF($BH140&lt;&gt;Constants!$B$4,$BH140,SUM($BK140:$BS140)-$BZ140))</f>
        <v/>
      </c>
      <c r="CB140" s="100" t="str">
        <f aca="false">IF(ISBLANK($C140),"",IF($BH140&lt;&gt;Constants!$B$4,$BH140,RANK($CA140,$CA$9:$CA$508)))</f>
        <v/>
      </c>
      <c r="CC140" s="100" t="str">
        <f aca="false">IF(ISBLANK($C140),"",IF($BH140&lt;&gt;Constants!$B$4,$BH140,COUNTIFS($BI$9:$BI$508,"&lt;"&amp;$BI140)+COUNTIFS($BI$9:$BI$508,$BI140,$CB$9:$CB$508,"&lt;"&amp;$CB140)+1))</f>
        <v/>
      </c>
      <c r="CD140" s="100" t="str">
        <f aca="false">IF(ISBLANK($C140),"",IF($BH140&lt;&gt;Constants!$B$4,$BH140,RANK($BZ140,$BZ$9:$BZ$508,1)))</f>
        <v/>
      </c>
      <c r="CE140" s="100" t="str">
        <f aca="false">IF($BH140&lt;&gt;Constants!$B$4,"",$AL140+$AM140+$AN140)</f>
        <v/>
      </c>
      <c r="CF140" s="100" t="str">
        <f aca="false">IF(ISBLANK($C140),"",IF($BH140&lt;&gt;Constants!$B$4,$BH140,RANK($CE140,$CE$9:$CE$508,1)))</f>
        <v/>
      </c>
      <c r="CG140" s="100" t="str">
        <f aca="false">IF(ISBLANK($C140),"",IF($BH140&lt;&gt;Constants!$B$4,$BH140,COUNTIFS($BI$9:$BI$508,"&lt;"&amp;$BI140)+COUNTIFS($BI$9:$BI$508,$BI140,$CB$9:$CB$508,"&lt;"&amp;$CB140)+COUNTIFS($BI$9:$BI$508,$BI140,$CB$9:$CB$508,$CB140,$CD$9:$CD$508,"&lt;"&amp;$CD140)+COUNTIFS($BI$9:$BI$508,$BI140,$CB$9:$CB$508,$CB140,$CD$9:$CD$508,$CD140,$CF$9:$CF$508,"&lt;"&amp;$CF140)+1))</f>
        <v/>
      </c>
      <c r="CH140" s="100" t="str">
        <f aca="false">IF(ISBLANK($C140),"",IF($BH140&lt;&gt;Constants!$B$4,$BH140,$CC140-$CG140))</f>
        <v/>
      </c>
      <c r="CI140" s="100" t="str">
        <f aca="false">IF(ISBLANK($C140),"",IF(NOT($AJ140),"",IF(ISBLANK($D$7),$CI$5,IF(NOT(ISNUMBER($D$7)),$CI$6,""))))</f>
        <v/>
      </c>
      <c r="CJ140" s="100" t="str">
        <f aca="false">IF(ISBLANK($C140),"",OR($AL140="",$AM140="",$AN140=""))</f>
        <v/>
      </c>
      <c r="CK140" s="100" t="str">
        <f aca="false">IF(ISBLANK($C140),"",AND($AJ140,$AX140=""))</f>
        <v/>
      </c>
      <c r="CL140" s="100" t="str">
        <f aca="false">IF(ISBLANK($C140),"",AND($AJ140,$AY140=""))</f>
        <v/>
      </c>
      <c r="CM140" s="100" t="str">
        <f aca="false">IF(ISBLANK($C140),"",AND($AJ140,$AZ140=""))</f>
        <v/>
      </c>
      <c r="CN140" s="100" t="str">
        <f aca="false">IF(ISBLANK($C140),"",AND($AJ140,$BC140=""))</f>
        <v/>
      </c>
      <c r="CO140" s="100" t="str">
        <f aca="false">IF(ISBLANK($C140),"",AND($AJ140,$BF140=""))</f>
        <v/>
      </c>
      <c r="CP140" s="101"/>
      <c r="CQ140" s="102"/>
      <c r="CR140" s="103" t="str">
        <f aca="false">IF(ISBLANK($C140),"",IF($BH140=Constants!$B$8,$CI140,""))</f>
        <v/>
      </c>
      <c r="CS140" s="102" t="str">
        <f aca="false">IF(ISBLANK($C140),"",IF($BH140&lt;&gt;Constants!$B$4,"",$BK140+$BL140))</f>
        <v/>
      </c>
      <c r="CT140" s="104" t="str">
        <f aca="false">IF(ISBLANK($C140),"",IF($BH140&lt;&gt;Constants!$B$4,"",$BM140+$BN140+$BO140))</f>
        <v/>
      </c>
      <c r="CU140" s="104" t="str">
        <f aca="false">IF(ISBLANK($C140),"",IF($BH140&lt;&gt;Constants!$B$4,"",$BP140))</f>
        <v/>
      </c>
      <c r="CV140" s="104" t="str">
        <f aca="false">IF(ISBLANK($C140),"",IF($BH140&lt;&gt;Constants!$B$4,"",$BQ140+$BR140))</f>
        <v/>
      </c>
      <c r="CW140" s="104" t="str">
        <f aca="false">IF(ISBLANK($C140),"",IF($BH140&lt;&gt;Constants!$B$4,"",$BS140))</f>
        <v/>
      </c>
      <c r="CX140" s="104" t="str">
        <f aca="false">IF(ISBLANK($C140),"",IF($BH140&lt;&gt;Constants!$B$4,"",-$BZ140))</f>
        <v/>
      </c>
      <c r="CY140" s="103" t="str">
        <f aca="false">IF(ISBLANK($C140),"",$CA140)</f>
        <v/>
      </c>
      <c r="CZ140" s="105" t="str">
        <f aca="false">IF(ISBLANK($C140),"",$BI140)</f>
        <v/>
      </c>
      <c r="DA140" s="104" t="str">
        <f aca="false">IF(ISBLANK($C140),"",$CH140)</f>
        <v/>
      </c>
      <c r="DB140" s="104" t="str">
        <f aca="false">IF(ISBLANK($C140),"",$CG140)</f>
        <v/>
      </c>
      <c r="DC140" s="106" t="str">
        <f aca="false">IF(ISBLANK($C140),"",IFERROR(_xlfn.SWITCH($DB140,Constants!$B$7,COUNTA($C$9:$C$508)+2,Constants!$B$6,COUNTA($C$9:$C$508)+1,Constants!$B$5,COUNTA($C$9:$C$508)),$DB140))</f>
        <v/>
      </c>
      <c r="DD140" s="7"/>
      <c r="DE140" s="107" t="n">
        <f aca="false">IF(OR(ISNUMBER($DB140),$DB140=Constants!$B$7,$DB140=Constants!$B$5,$DB140=Constants!$B$6),1,0)</f>
        <v>0</v>
      </c>
      <c r="DF140" s="107" t="n">
        <v>132</v>
      </c>
      <c r="DG140" s="107" t="str">
        <f aca="false">IF(ISBLANK($C140),"",IF(ISNUMBER($DC140),$DC140+ROW($B140)/1000,""))</f>
        <v/>
      </c>
      <c r="DH140" s="107" t="str">
        <f aca="false">IF(ISNUMBER($DG140),RANK($DG140,$DG$9:$DG$508,1),"")</f>
        <v/>
      </c>
      <c r="DI140" s="107" t="str">
        <f aca="false">IF(ISBLANK($C140),"",$B140)</f>
        <v/>
      </c>
      <c r="DJ140" s="107" t="str">
        <f aca="false">IF(ISBLANK($C140),"",$C140)</f>
        <v/>
      </c>
      <c r="DK140" s="107" t="str">
        <f aca="false">IF(ISBLANK($C140),"",$D140)</f>
        <v/>
      </c>
      <c r="DL140" s="108" t="str">
        <f aca="false">$CZ140</f>
        <v/>
      </c>
      <c r="DM140" s="109" t="str">
        <f aca="false">$CY140</f>
        <v/>
      </c>
      <c r="DN140" s="107" t="str">
        <f aca="false">IF(ISBLANK($C140),"",$DB140)</f>
        <v/>
      </c>
      <c r="DO140" s="110" t="str">
        <f aca="false">IF($DF140&gt;$DE$8,"",VLOOKUP($DF140,$DH$9:$DN$508,7,FALSE()))</f>
        <v/>
      </c>
      <c r="DP140" s="111" t="str">
        <f aca="false">IF($DF140&gt;$DE$8,"",VLOOKUP($DF140,$DH$9:$DN$508,2,FALSE()))</f>
        <v/>
      </c>
      <c r="DQ140" s="111" t="str">
        <f aca="false">IF($DF140&gt;$DE$8,"",VLOOKUP($DF140,$DH$9:$DN$508,3,FALSE()))</f>
        <v/>
      </c>
      <c r="DR140" s="111" t="str">
        <f aca="false">IF($DF140&gt;$DE$8,"",VLOOKUP($DF140,$DH$9:$DN$508,4,FALSE()))</f>
        <v/>
      </c>
      <c r="DS140" s="111" t="str">
        <f aca="false">IF($DF140&gt;$DE$8,"",VLOOKUP($DF140,$DH$9:$DN$508,5,FALSE()))</f>
        <v/>
      </c>
      <c r="DT140" s="112" t="str">
        <f aca="false">IF($DF140&gt;$DE$8,"",VLOOKUP($DF140,$DH$9:$DN$508,6,FALSE()))</f>
        <v/>
      </c>
      <c r="DU140" s="62"/>
    </row>
    <row r="141" customFormat="false" ht="15.75" hidden="false" customHeight="false" outlineLevel="0" collapsed="false">
      <c r="A141" s="7"/>
      <c r="B141" s="64"/>
      <c r="C141" s="65"/>
      <c r="D141" s="123"/>
      <c r="E141" s="88"/>
      <c r="F141" s="134"/>
      <c r="G141" s="88"/>
      <c r="H141" s="134"/>
      <c r="I141" s="119"/>
      <c r="J141" s="119"/>
      <c r="K141" s="119"/>
      <c r="L141" s="88"/>
      <c r="M141" s="88"/>
      <c r="N141" s="88"/>
      <c r="O141" s="134"/>
      <c r="P141" s="88"/>
      <c r="Q141" s="88"/>
      <c r="R141" s="88"/>
      <c r="S141" s="88"/>
      <c r="T141" s="134"/>
      <c r="U141" s="88"/>
      <c r="V141" s="70"/>
      <c r="W141" s="88"/>
      <c r="X141" s="88"/>
      <c r="Y141" s="70"/>
      <c r="Z141" s="70"/>
      <c r="AA141" s="88"/>
      <c r="AB141" s="88"/>
      <c r="AC141" s="71"/>
      <c r="AD141" s="88"/>
      <c r="AE141" s="73"/>
      <c r="AF141" s="74"/>
      <c r="AG141" s="74"/>
      <c r="AH141" s="74" t="str">
        <f aca="false">IF(ISBLANK($C141),"",IF($E141=Constants!$B$2,TRUE(),IF($E141=Constants!$B$3,FALSE(),TRUE())))</f>
        <v/>
      </c>
      <c r="AI141" s="74" t="str">
        <f aca="false">IF(ISBLANK($C141),"",IF($F141=Constants!$B$2,TRUE(),IF($F141=Constants!$B$3,FALSE(),FALSE())))</f>
        <v/>
      </c>
      <c r="AJ141" s="74" t="str">
        <f aca="false">IF(ISBLANK($C141),"",IF($G141=Constants!$B$2,TRUE(),IF($G141=Constants!$B$3,FALSE(),TRUE())))</f>
        <v/>
      </c>
      <c r="AK141" s="74" t="str">
        <f aca="false">IF(ISBLANK($C141),"",IF($H141=Constants!$B$2,TRUE(),IF($H141=Constants!$B$3,FALSE(),TRUE())))</f>
        <v/>
      </c>
      <c r="AL141" s="74" t="str">
        <f aca="false">IF(ISBLANK($C141),"",IF(ISNUMBER($I141),IF($I141&gt;=0,$I141,""),""))</f>
        <v/>
      </c>
      <c r="AM141" s="74" t="str">
        <f aca="false">IF(ISBLANK($C141),"",IF(ISNUMBER($J141),IF($J141&gt;=0,$J141,""),""))</f>
        <v/>
      </c>
      <c r="AN141" s="74" t="str">
        <f aca="false">IF(ISBLANK($C141),"",IF(ISNUMBER($K141),IF($K141&gt;=0,$K141,""),""))</f>
        <v/>
      </c>
      <c r="AO141" s="74" t="str">
        <f aca="false">IF(ISBLANK($C141),"",IF($L141=Constants!$B$2,TRUE(),IF($L141=Constants!$B$3,FALSE(),TRUE())))</f>
        <v/>
      </c>
      <c r="AP141" s="74" t="str">
        <f aca="false">IF(ISBLANK($C141),"",IF($M141=Constants!$B$2,TRUE(),IF($M141=Constants!$B$3,FALSE(),TRUE())))</f>
        <v/>
      </c>
      <c r="AQ141" s="74" t="str">
        <f aca="false">IF(ISBLANK($C141),"",IF($N141=Constants!$B$2,TRUE(),IF($N141=Constants!$B$3,FALSE(),FALSE())))</f>
        <v/>
      </c>
      <c r="AR141" s="74" t="str">
        <f aca="false">IF(ISBLANK($C141),"",IF($O141=Constants!$B$2,TRUE(),IF($O141=Constants!$B$3,FALSE(),TRUE())))</f>
        <v/>
      </c>
      <c r="AS141" s="74" t="str">
        <f aca="false">IF(ISBLANK($C141),"",IF($P141=Constants!$B$2,TRUE(),IF($P141=Constants!$B$3,FALSE(),FALSE())))</f>
        <v/>
      </c>
      <c r="AT141" s="74" t="str">
        <f aca="false">IF(ISBLANK($C141),"",IF($Q141=Constants!$B$2,TRUE(),IF($Q141=Constants!$B$3,FALSE(),FALSE())))</f>
        <v/>
      </c>
      <c r="AU141" s="74" t="str">
        <f aca="false">IF(ISBLANK($C141),"",IF($R141=Constants!$B$2,TRUE(),IF($R141=Constants!$B$3,FALSE(),FALSE())))</f>
        <v/>
      </c>
      <c r="AV141" s="74" t="str">
        <f aca="false">IF(ISBLANK($C141),"",IF($S141=Constants!$B$2,TRUE(),IF($S141=Constants!$B$3,FALSE(),FALSE())))</f>
        <v/>
      </c>
      <c r="AW141" s="74" t="str">
        <f aca="false">IF(ISBLANK($C141),"",IF($T141=Constants!$B$2,TRUE(),IF($T141=Constants!$B$3,FALSE(),FALSE())))</f>
        <v/>
      </c>
      <c r="AX141" s="74" t="str">
        <f aca="false">IF(ISBLANK($C141),"",IF(OR($U141&amp;""="1",$U141&amp;""="2",$U141&amp;""="3",$U141&amp;""="4"),VALUE($U141&amp;""),IF($U141=Constants!$B$12,Constants!$B$12,"")))</f>
        <v/>
      </c>
      <c r="AY141" s="74" t="str">
        <f aca="false">IF(ISBLANK($C141),"",IF(ISBLANK($V141),0,IF(ISNUMBER($V141),IF(AND($V141&gt;=0,$V141&lt;=Constants!$B$21,$V141=INT($V141)),$V141,""),"")))</f>
        <v/>
      </c>
      <c r="AZ141" s="74" t="str">
        <f aca="false">IF(ISBLANK($C141),"",IF(ISBLANK($W141),0,IF(ISNUMBER($W141),IF($W141&gt;=0,$W141,""),"")))</f>
        <v/>
      </c>
      <c r="BA141" s="74" t="str">
        <f aca="false">IF(ISBLANK($C141),"",IF($X141=Constants!$B$2,TRUE(),IF($X141=Constants!$B$3,FALSE(),TRUE())))</f>
        <v/>
      </c>
      <c r="BB141" s="74" t="str">
        <f aca="false">IF(ISBLANK($C141),"",IF($Y141=Constants!$B$2,TRUE(),IF($Y141=Constants!$B$3,FALSE(),FALSE())))</f>
        <v/>
      </c>
      <c r="BC141" s="74" t="str">
        <f aca="false">IF(ISBLANK($C141),"",IF(ISBLANK($Z141),0,IF(ISNUMBER($Z141),IF(AND($Z141&gt;=0,$Z141&lt;=Constants!$B$35,$Z141=INT($Z141)),$Z141,""),"")))</f>
        <v/>
      </c>
      <c r="BD141" s="74" t="str">
        <f aca="false">IF(ISBLANK($C141),"",IF($AA141=Constants!$B$2,TRUE(),IF($AA141=Constants!$B$3,FALSE(),TRUE())))</f>
        <v/>
      </c>
      <c r="BE141" s="74" t="str">
        <f aca="false">IF(ISBLANK($C141),"",IF($AB141=Constants!$B$2,TRUE(),IF($AB141=Constants!$B$3,FALSE(),TRUE())))</f>
        <v/>
      </c>
      <c r="BF141" s="74" t="str">
        <f aca="false">IF(ISBLANK($C141),"",IF(ISNUMBER($AC141),IF($AC141&gt;=0,$AC141,""),""))</f>
        <v/>
      </c>
      <c r="BG141" s="74" t="str">
        <f aca="false">IF(ISBLANK($C141),"",IF($AD141=Constants!$B$2,TRUE(),IF($AD141=Constants!$B$3,FALSE(),FALSE())))</f>
        <v/>
      </c>
      <c r="BH141" s="73" t="str">
        <f aca="false">IF(ISBLANK($C141),"",IF($BG141,Constants!$B$7,IF(COUNTA($E141:$AC141)=0,Constants!$B$6,IF(OR(COUNTA($G141:$AC141)=0,NOT($AK141),$AQ141),Constants!$B$5,IF(OR($CI141&lt;&gt;"",$CJ141,$CK141,$CL141,$CM141,$CN141,$CO141),Constants!$B$8,Constants!$B$4)))))</f>
        <v/>
      </c>
      <c r="BI141" s="74" t="str">
        <f aca="false">IF(ISBLANK($C141),"",IF($BH141&lt;&gt;Constants!$B$4,$BH141,IF(OR(NOT($AH141),NOT($AJ141),NOT($AR141)),Constants!$B$11,IF(OR(NOT($AP141),MAX($AL141,$AM141,$AN141)&gt;Constants!$B$30),Constants!$B$10,Constants!$B$9))))</f>
        <v/>
      </c>
      <c r="BJ141" s="74" t="str">
        <f aca="false">IF($BH141&lt;&gt;Constants!$B$4,"",IF(NOT($AJ141),0,MIN(Constants!$B$35,$BC141)))</f>
        <v/>
      </c>
      <c r="BK141" s="74" t="str">
        <f aca="false">IF($BH141&lt;&gt;Constants!$B$4,"",IF(NOT($AJ141),0,IF($AT141,Constants!$B$18,IF($AS141,Constants!$B$17,0))))</f>
        <v/>
      </c>
      <c r="BL141" s="74" t="str">
        <f aca="false">IF($BH141&lt;&gt;Constants!$B$4,"",IF(NOT($AJ141),0,Constants!$B$19*($AI141+$AU141+$AV141+$AW141)))</f>
        <v/>
      </c>
      <c r="BM141" s="74" t="str">
        <f aca="false">IF($BH141&lt;&gt;Constants!$B$4,"",IF(OR(NOT($AJ141),NOT(ISNUMBER($AX141))),0,CHOOSE($AX141,Constants!$B$13,Constants!$B$14,Constants!$B$15,Constants!$B$16)))</f>
        <v/>
      </c>
      <c r="BN141" s="74" t="str">
        <f aca="false">IF($BH141&lt;&gt;Constants!$B$4,"",IF(NOT($AJ141),0,Constants!$B$20*$AY141))</f>
        <v/>
      </c>
      <c r="BO141" s="74" t="str">
        <f aca="false">IF($BH141&lt;&gt;Constants!$B$4,"",IF(AND($AJ141,$BA141,$BB141),Constants!$B$22,0))</f>
        <v/>
      </c>
      <c r="BP141" s="74" t="str">
        <f aca="false">IF($BH141&lt;&gt;Constants!$B$4,"",IF(OR(NOT($AJ141),NOT($BA141)),0,IF($BF141&gt;=2*$AF$9,0,Constants!$B$23*INT(ROUND(MIN($BF141,$AF$9),6)))))</f>
        <v/>
      </c>
      <c r="BQ141" s="74" t="str">
        <f aca="false">IF($BH141&lt;&gt;Constants!$B$4,"",IF(NOT($AJ141),0,Constants!$B$24*INT(ROUND(MIN($AZ141,$AF$9),6))))</f>
        <v/>
      </c>
      <c r="BR141" s="74" t="str">
        <f aca="false">IF($BH141&lt;&gt;Constants!$B$4,"",IF(AND($AJ141,$BJ141=0),Constants!$B$25,0))</f>
        <v/>
      </c>
      <c r="BS141" s="74" t="str">
        <f aca="false">IF($BH141&lt;&gt;Constants!$B$4,"",MIN(Constants!$B$29,MAX(0,Constants!$B$27*Constants!$B$28*INT(ROUND((Constants!$B$26-$AL141)/Constants!$B$28,6))))+MIN(Constants!$B$29,MAX(0,Constants!$B$27*Constants!$B$28*INT(ROUND((Constants!$B$26-$AM141)/Constants!$B$28,6))))+MIN(Constants!$B$29,MAX(0,Constants!$B$27*Constants!$B$28*INT(ROUND((Constants!$B$26-$AN141)/Constants!$B$28,6)))))</f>
        <v/>
      </c>
      <c r="BT141" s="74" t="str">
        <f aca="false">IF($BH141&lt;&gt;Constants!$B$4,"",IF(NOT($AJ141),0,Constants!$B$31*INT(ROUND(MAX(0,MIN($BF141,2*$AF$9)-$AF$9),6))))</f>
        <v/>
      </c>
      <c r="BU141" s="74" t="str">
        <f aca="false">IF($BH141&lt;&gt;Constants!$B$4,"",Constants!$B$32*(($AL141&gt;Constants!$B$26)+($AM141&gt;Constants!$B$26)+($AN141&gt;Constants!$B$26)))</f>
        <v/>
      </c>
      <c r="BV141" s="74" t="str">
        <f aca="false">IF($BH141&lt;&gt;Constants!$B$4,"",IF(OR(NOT($AJ141),$AO141),0,Constants!$B$33))</f>
        <v/>
      </c>
      <c r="BW141" s="74" t="str">
        <f aca="false">IF($BH141&lt;&gt;Constants!$B$4,"",Constants!$B$34*$BJ141)</f>
        <v/>
      </c>
      <c r="BX141" s="74" t="str">
        <f aca="false">IF($BH141&lt;&gt;Constants!$B$4,"",IF(OR(NOT($AJ141),$BE141),0,Constants!$B$36))</f>
        <v/>
      </c>
      <c r="BY141" s="74" t="str">
        <f aca="false">IF($BH141&lt;&gt;Constants!$B$4,"",IF(OR(NOT($AJ141),$BD141),0,Constants!$B$37))</f>
        <v/>
      </c>
      <c r="BZ141" s="74" t="str">
        <f aca="false">IF($BH141&lt;&gt;Constants!$B$4,"",SUM($BT141:$BY141))</f>
        <v/>
      </c>
      <c r="CA141" s="74" t="str">
        <f aca="false">IF(ISBLANK($C141),"",IF($BH141&lt;&gt;Constants!$B$4,$BH141,SUM($BK141:$BS141)-$BZ141))</f>
        <v/>
      </c>
      <c r="CB141" s="74" t="str">
        <f aca="false">IF(ISBLANK($C141),"",IF($BH141&lt;&gt;Constants!$B$4,$BH141,RANK($CA141,$CA$9:$CA$508)))</f>
        <v/>
      </c>
      <c r="CC141" s="74" t="str">
        <f aca="false">IF(ISBLANK($C141),"",IF($BH141&lt;&gt;Constants!$B$4,$BH141,COUNTIFS($BI$9:$BI$508,"&lt;"&amp;$BI141)+COUNTIFS($BI$9:$BI$508,$BI141,$CB$9:$CB$508,"&lt;"&amp;$CB141)+1))</f>
        <v/>
      </c>
      <c r="CD141" s="74" t="str">
        <f aca="false">IF(ISBLANK($C141),"",IF($BH141&lt;&gt;Constants!$B$4,$BH141,RANK($BZ141,$BZ$9:$BZ$508,1)))</f>
        <v/>
      </c>
      <c r="CE141" s="74" t="str">
        <f aca="false">IF($BH141&lt;&gt;Constants!$B$4,"",$AL141+$AM141+$AN141)</f>
        <v/>
      </c>
      <c r="CF141" s="74" t="str">
        <f aca="false">IF(ISBLANK($C141),"",IF($BH141&lt;&gt;Constants!$B$4,$BH141,RANK($CE141,$CE$9:$CE$508,1)))</f>
        <v/>
      </c>
      <c r="CG141" s="74" t="str">
        <f aca="false">IF(ISBLANK($C141),"",IF($BH141&lt;&gt;Constants!$B$4,$BH141,COUNTIFS($BI$9:$BI$508,"&lt;"&amp;$BI141)+COUNTIFS($BI$9:$BI$508,$BI141,$CB$9:$CB$508,"&lt;"&amp;$CB141)+COUNTIFS($BI$9:$BI$508,$BI141,$CB$9:$CB$508,$CB141,$CD$9:$CD$508,"&lt;"&amp;$CD141)+COUNTIFS($BI$9:$BI$508,$BI141,$CB$9:$CB$508,$CB141,$CD$9:$CD$508,$CD141,$CF$9:$CF$508,"&lt;"&amp;$CF141)+1))</f>
        <v/>
      </c>
      <c r="CH141" s="74" t="str">
        <f aca="false">IF(ISBLANK($C141),"",IF($BH141&lt;&gt;Constants!$B$4,$BH141,$CC141-$CG141))</f>
        <v/>
      </c>
      <c r="CI141" s="74" t="str">
        <f aca="false">IF(ISBLANK($C141),"",IF(NOT($AJ141),"",IF(ISBLANK($D$7),$CI$5,IF(NOT(ISNUMBER($D$7)),$CI$6,""))))</f>
        <v/>
      </c>
      <c r="CJ141" s="74" t="str">
        <f aca="false">IF(ISBLANK($C141),"",OR($AL141="",$AM141="",$AN141=""))</f>
        <v/>
      </c>
      <c r="CK141" s="74" t="str">
        <f aca="false">IF(ISBLANK($C141),"",AND($AJ141,$AX141=""))</f>
        <v/>
      </c>
      <c r="CL141" s="74" t="str">
        <f aca="false">IF(ISBLANK($C141),"",AND($AJ141,$AY141=""))</f>
        <v/>
      </c>
      <c r="CM141" s="74" t="str">
        <f aca="false">IF(ISBLANK($C141),"",AND($AJ141,$AZ141=""))</f>
        <v/>
      </c>
      <c r="CN141" s="74" t="str">
        <f aca="false">IF(ISBLANK($C141),"",AND($AJ141,$BC141=""))</f>
        <v/>
      </c>
      <c r="CO141" s="74" t="str">
        <f aca="false">IF(ISBLANK($C141),"",AND($AJ141,$BF141=""))</f>
        <v/>
      </c>
      <c r="CP141" s="75"/>
      <c r="CQ141" s="76"/>
      <c r="CR141" s="79" t="str">
        <f aca="false">IF(ISBLANK($C141),"",IF($BH141=Constants!$B$8,$CI141,""))</f>
        <v/>
      </c>
      <c r="CS141" s="76" t="str">
        <f aca="false">IF(ISBLANK($C141),"",IF($BH141&lt;&gt;Constants!$B$4,"",$BK141+$BL141))</f>
        <v/>
      </c>
      <c r="CT141" s="78" t="str">
        <f aca="false">IF(ISBLANK($C141),"",IF($BH141&lt;&gt;Constants!$B$4,"",$BM141+$BN141+$BO141))</f>
        <v/>
      </c>
      <c r="CU141" s="78" t="str">
        <f aca="false">IF(ISBLANK($C141),"",IF($BH141&lt;&gt;Constants!$B$4,"",$BP141))</f>
        <v/>
      </c>
      <c r="CV141" s="78" t="str">
        <f aca="false">IF(ISBLANK($C141),"",IF($BH141&lt;&gt;Constants!$B$4,"",$BQ141+$BR141))</f>
        <v/>
      </c>
      <c r="CW141" s="78" t="str">
        <f aca="false">IF(ISBLANK($C141),"",IF($BH141&lt;&gt;Constants!$B$4,"",$BS141))</f>
        <v/>
      </c>
      <c r="CX141" s="78" t="str">
        <f aca="false">IF(ISBLANK($C141),"",IF($BH141&lt;&gt;Constants!$B$4,"",-$BZ141))</f>
        <v/>
      </c>
      <c r="CY141" s="79" t="str">
        <f aca="false">IF(ISBLANK($C141),"",$CA141)</f>
        <v/>
      </c>
      <c r="CZ141" s="80" t="str">
        <f aca="false">IF(ISBLANK($C141),"",$BI141)</f>
        <v/>
      </c>
      <c r="DA141" s="78" t="str">
        <f aca="false">IF(ISBLANK($C141),"",$CH141)</f>
        <v/>
      </c>
      <c r="DB141" s="78" t="str">
        <f aca="false">IF(ISBLANK($C141),"",$CG141)</f>
        <v/>
      </c>
      <c r="DC141" s="81" t="str">
        <f aca="false">IF(ISBLANK($C141),"",IFERROR(_xlfn.SWITCH($DB141,Constants!$B$7,COUNTA($C$9:$C$508)+2,Constants!$B$6,COUNTA($C$9:$C$508)+1,Constants!$B$5,COUNTA($C$9:$C$508)),$DB141))</f>
        <v/>
      </c>
      <c r="DD141" s="7"/>
      <c r="DE141" s="82" t="n">
        <f aca="false">IF(OR(ISNUMBER($DB141),$DB141=Constants!$B$7,$DB141=Constants!$B$5,$DB141=Constants!$B$6),1,0)</f>
        <v>0</v>
      </c>
      <c r="DF141" s="82" t="n">
        <v>133</v>
      </c>
      <c r="DG141" s="82" t="str">
        <f aca="false">IF(ISBLANK($C141),"",IF(ISNUMBER($DC141),$DC141+ROW($B141)/1000,""))</f>
        <v/>
      </c>
      <c r="DH141" s="82" t="str">
        <f aca="false">IF(ISNUMBER($DG141),RANK($DG141,$DG$9:$DG$508,1),"")</f>
        <v/>
      </c>
      <c r="DI141" s="82" t="str">
        <f aca="false">IF(ISBLANK($C141),"",$B141)</f>
        <v/>
      </c>
      <c r="DJ141" s="82" t="str">
        <f aca="false">IF(ISBLANK($C141),"",$C141)</f>
        <v/>
      </c>
      <c r="DK141" s="82" t="str">
        <f aca="false">IF(ISBLANK($C141),"",$D141)</f>
        <v/>
      </c>
      <c r="DL141" s="83" t="str">
        <f aca="false">$CZ141</f>
        <v/>
      </c>
      <c r="DM141" s="84" t="str">
        <f aca="false">$CY141</f>
        <v/>
      </c>
      <c r="DN141" s="82" t="str">
        <f aca="false">IF(ISBLANK($C141),"",$DB141)</f>
        <v/>
      </c>
      <c r="DO141" s="85" t="str">
        <f aca="false">IF($DF141&gt;$DE$8,"",VLOOKUP($DF141,$DH$9:$DN$508,7,FALSE()))</f>
        <v/>
      </c>
      <c r="DP141" s="86" t="str">
        <f aca="false">IF($DF141&gt;$DE$8,"",VLOOKUP($DF141,$DH$9:$DN$508,2,FALSE()))</f>
        <v/>
      </c>
      <c r="DQ141" s="86" t="str">
        <f aca="false">IF($DF141&gt;$DE$8,"",VLOOKUP($DF141,$DH$9:$DN$508,3,FALSE()))</f>
        <v/>
      </c>
      <c r="DR141" s="86" t="str">
        <f aca="false">IF($DF141&gt;$DE$8,"",VLOOKUP($DF141,$DH$9:$DN$508,4,FALSE()))</f>
        <v/>
      </c>
      <c r="DS141" s="86" t="str">
        <f aca="false">IF($DF141&gt;$DE$8,"",VLOOKUP($DF141,$DH$9:$DN$508,5,FALSE()))</f>
        <v/>
      </c>
      <c r="DT141" s="87" t="str">
        <f aca="false">IF($DF141&gt;$DE$8,"",VLOOKUP($DF141,$DH$9:$DN$508,6,FALSE()))</f>
        <v/>
      </c>
      <c r="DU141" s="62"/>
    </row>
    <row r="142" customFormat="false" ht="15.75" hidden="false" customHeight="false" outlineLevel="0" collapsed="false">
      <c r="A142" s="7"/>
      <c r="B142" s="64"/>
      <c r="C142" s="65"/>
      <c r="D142" s="123"/>
      <c r="E142" s="88"/>
      <c r="F142" s="134"/>
      <c r="G142" s="88"/>
      <c r="H142" s="134"/>
      <c r="I142" s="119"/>
      <c r="J142" s="119"/>
      <c r="K142" s="119"/>
      <c r="L142" s="88"/>
      <c r="M142" s="88"/>
      <c r="N142" s="88"/>
      <c r="O142" s="134"/>
      <c r="P142" s="88"/>
      <c r="Q142" s="88"/>
      <c r="R142" s="88"/>
      <c r="S142" s="88"/>
      <c r="T142" s="134"/>
      <c r="U142" s="88"/>
      <c r="V142" s="70"/>
      <c r="W142" s="88"/>
      <c r="X142" s="88"/>
      <c r="Y142" s="70"/>
      <c r="Z142" s="70"/>
      <c r="AA142" s="88"/>
      <c r="AB142" s="88"/>
      <c r="AC142" s="71"/>
      <c r="AD142" s="88"/>
      <c r="AE142" s="73"/>
      <c r="AF142" s="74"/>
      <c r="AG142" s="74"/>
      <c r="AH142" s="74" t="str">
        <f aca="false">IF(ISBLANK($C142),"",IF($E142=Constants!$B$2,TRUE(),IF($E142=Constants!$B$3,FALSE(),TRUE())))</f>
        <v/>
      </c>
      <c r="AI142" s="74" t="str">
        <f aca="false">IF(ISBLANK($C142),"",IF($F142=Constants!$B$2,TRUE(),IF($F142=Constants!$B$3,FALSE(),FALSE())))</f>
        <v/>
      </c>
      <c r="AJ142" s="74" t="str">
        <f aca="false">IF(ISBLANK($C142),"",IF($G142=Constants!$B$2,TRUE(),IF($G142=Constants!$B$3,FALSE(),TRUE())))</f>
        <v/>
      </c>
      <c r="AK142" s="74" t="str">
        <f aca="false">IF(ISBLANK($C142),"",IF($H142=Constants!$B$2,TRUE(),IF($H142=Constants!$B$3,FALSE(),TRUE())))</f>
        <v/>
      </c>
      <c r="AL142" s="74" t="str">
        <f aca="false">IF(ISBLANK($C142),"",IF(ISNUMBER($I142),IF($I142&gt;=0,$I142,""),""))</f>
        <v/>
      </c>
      <c r="AM142" s="74" t="str">
        <f aca="false">IF(ISBLANK($C142),"",IF(ISNUMBER($J142),IF($J142&gt;=0,$J142,""),""))</f>
        <v/>
      </c>
      <c r="AN142" s="74" t="str">
        <f aca="false">IF(ISBLANK($C142),"",IF(ISNUMBER($K142),IF($K142&gt;=0,$K142,""),""))</f>
        <v/>
      </c>
      <c r="AO142" s="74" t="str">
        <f aca="false">IF(ISBLANK($C142),"",IF($L142=Constants!$B$2,TRUE(),IF($L142=Constants!$B$3,FALSE(),TRUE())))</f>
        <v/>
      </c>
      <c r="AP142" s="74" t="str">
        <f aca="false">IF(ISBLANK($C142),"",IF($M142=Constants!$B$2,TRUE(),IF($M142=Constants!$B$3,FALSE(),TRUE())))</f>
        <v/>
      </c>
      <c r="AQ142" s="74" t="str">
        <f aca="false">IF(ISBLANK($C142),"",IF($N142=Constants!$B$2,TRUE(),IF($N142=Constants!$B$3,FALSE(),FALSE())))</f>
        <v/>
      </c>
      <c r="AR142" s="74" t="str">
        <f aca="false">IF(ISBLANK($C142),"",IF($O142=Constants!$B$2,TRUE(),IF($O142=Constants!$B$3,FALSE(),TRUE())))</f>
        <v/>
      </c>
      <c r="AS142" s="74" t="str">
        <f aca="false">IF(ISBLANK($C142),"",IF($P142=Constants!$B$2,TRUE(),IF($P142=Constants!$B$3,FALSE(),FALSE())))</f>
        <v/>
      </c>
      <c r="AT142" s="74" t="str">
        <f aca="false">IF(ISBLANK($C142),"",IF($Q142=Constants!$B$2,TRUE(),IF($Q142=Constants!$B$3,FALSE(),FALSE())))</f>
        <v/>
      </c>
      <c r="AU142" s="74" t="str">
        <f aca="false">IF(ISBLANK($C142),"",IF($R142=Constants!$B$2,TRUE(),IF($R142=Constants!$B$3,FALSE(),FALSE())))</f>
        <v/>
      </c>
      <c r="AV142" s="74" t="str">
        <f aca="false">IF(ISBLANK($C142),"",IF($S142=Constants!$B$2,TRUE(),IF($S142=Constants!$B$3,FALSE(),FALSE())))</f>
        <v/>
      </c>
      <c r="AW142" s="74" t="str">
        <f aca="false">IF(ISBLANK($C142),"",IF($T142=Constants!$B$2,TRUE(),IF($T142=Constants!$B$3,FALSE(),FALSE())))</f>
        <v/>
      </c>
      <c r="AX142" s="74" t="str">
        <f aca="false">IF(ISBLANK($C142),"",IF(OR($U142&amp;""="1",$U142&amp;""="2",$U142&amp;""="3",$U142&amp;""="4"),VALUE($U142&amp;""),IF($U142=Constants!$B$12,Constants!$B$12,"")))</f>
        <v/>
      </c>
      <c r="AY142" s="74" t="str">
        <f aca="false">IF(ISBLANK($C142),"",IF(ISBLANK($V142),0,IF(ISNUMBER($V142),IF(AND($V142&gt;=0,$V142&lt;=Constants!$B$21,$V142=INT($V142)),$V142,""),"")))</f>
        <v/>
      </c>
      <c r="AZ142" s="74" t="str">
        <f aca="false">IF(ISBLANK($C142),"",IF(ISBLANK($W142),0,IF(ISNUMBER($W142),IF($W142&gt;=0,$W142,""),"")))</f>
        <v/>
      </c>
      <c r="BA142" s="74" t="str">
        <f aca="false">IF(ISBLANK($C142),"",IF($X142=Constants!$B$2,TRUE(),IF($X142=Constants!$B$3,FALSE(),TRUE())))</f>
        <v/>
      </c>
      <c r="BB142" s="74" t="str">
        <f aca="false">IF(ISBLANK($C142),"",IF($Y142=Constants!$B$2,TRUE(),IF($Y142=Constants!$B$3,FALSE(),FALSE())))</f>
        <v/>
      </c>
      <c r="BC142" s="74" t="str">
        <f aca="false">IF(ISBLANK($C142),"",IF(ISBLANK($Z142),0,IF(ISNUMBER($Z142),IF(AND($Z142&gt;=0,$Z142&lt;=Constants!$B$35,$Z142=INT($Z142)),$Z142,""),"")))</f>
        <v/>
      </c>
      <c r="BD142" s="74" t="str">
        <f aca="false">IF(ISBLANK($C142),"",IF($AA142=Constants!$B$2,TRUE(),IF($AA142=Constants!$B$3,FALSE(),TRUE())))</f>
        <v/>
      </c>
      <c r="BE142" s="74" t="str">
        <f aca="false">IF(ISBLANK($C142),"",IF($AB142=Constants!$B$2,TRUE(),IF($AB142=Constants!$B$3,FALSE(),TRUE())))</f>
        <v/>
      </c>
      <c r="BF142" s="74" t="str">
        <f aca="false">IF(ISBLANK($C142),"",IF(ISNUMBER($AC142),IF($AC142&gt;=0,$AC142,""),""))</f>
        <v/>
      </c>
      <c r="BG142" s="74" t="str">
        <f aca="false">IF(ISBLANK($C142),"",IF($AD142=Constants!$B$2,TRUE(),IF($AD142=Constants!$B$3,FALSE(),FALSE())))</f>
        <v/>
      </c>
      <c r="BH142" s="73" t="str">
        <f aca="false">IF(ISBLANK($C142),"",IF($BG142,Constants!$B$7,IF(COUNTA($E142:$AC142)=0,Constants!$B$6,IF(OR(COUNTA($G142:$AC142)=0,NOT($AK142),$AQ142),Constants!$B$5,IF(OR($CI142&lt;&gt;"",$CJ142,$CK142,$CL142,$CM142,$CN142,$CO142),Constants!$B$8,Constants!$B$4)))))</f>
        <v/>
      </c>
      <c r="BI142" s="74" t="str">
        <f aca="false">IF(ISBLANK($C142),"",IF($BH142&lt;&gt;Constants!$B$4,$BH142,IF(OR(NOT($AH142),NOT($AJ142),NOT($AR142)),Constants!$B$11,IF(OR(NOT($AP142),MAX($AL142,$AM142,$AN142)&gt;Constants!$B$30),Constants!$B$10,Constants!$B$9))))</f>
        <v/>
      </c>
      <c r="BJ142" s="74" t="str">
        <f aca="false">IF($BH142&lt;&gt;Constants!$B$4,"",IF(NOT($AJ142),0,MIN(Constants!$B$35,$BC142)))</f>
        <v/>
      </c>
      <c r="BK142" s="74" t="str">
        <f aca="false">IF($BH142&lt;&gt;Constants!$B$4,"",IF(NOT($AJ142),0,IF($AT142,Constants!$B$18,IF($AS142,Constants!$B$17,0))))</f>
        <v/>
      </c>
      <c r="BL142" s="74" t="str">
        <f aca="false">IF($BH142&lt;&gt;Constants!$B$4,"",IF(NOT($AJ142),0,Constants!$B$19*($AI142+$AU142+$AV142+$AW142)))</f>
        <v/>
      </c>
      <c r="BM142" s="74" t="str">
        <f aca="false">IF($BH142&lt;&gt;Constants!$B$4,"",IF(OR(NOT($AJ142),NOT(ISNUMBER($AX142))),0,CHOOSE($AX142,Constants!$B$13,Constants!$B$14,Constants!$B$15,Constants!$B$16)))</f>
        <v/>
      </c>
      <c r="BN142" s="74" t="str">
        <f aca="false">IF($BH142&lt;&gt;Constants!$B$4,"",IF(NOT($AJ142),0,Constants!$B$20*$AY142))</f>
        <v/>
      </c>
      <c r="BO142" s="74" t="str">
        <f aca="false">IF($BH142&lt;&gt;Constants!$B$4,"",IF(AND($AJ142,$BA142,$BB142),Constants!$B$22,0))</f>
        <v/>
      </c>
      <c r="BP142" s="74" t="str">
        <f aca="false">IF($BH142&lt;&gt;Constants!$B$4,"",IF(OR(NOT($AJ142),NOT($BA142)),0,IF($BF142&gt;=2*$AF$9,0,Constants!$B$23*INT(ROUND(MIN($BF142,$AF$9),6)))))</f>
        <v/>
      </c>
      <c r="BQ142" s="74" t="str">
        <f aca="false">IF($BH142&lt;&gt;Constants!$B$4,"",IF(NOT($AJ142),0,Constants!$B$24*INT(ROUND(MIN($AZ142,$AF$9),6))))</f>
        <v/>
      </c>
      <c r="BR142" s="74" t="str">
        <f aca="false">IF($BH142&lt;&gt;Constants!$B$4,"",IF(AND($AJ142,$BJ142=0),Constants!$B$25,0))</f>
        <v/>
      </c>
      <c r="BS142" s="74" t="str">
        <f aca="false">IF($BH142&lt;&gt;Constants!$B$4,"",MIN(Constants!$B$29,MAX(0,Constants!$B$27*Constants!$B$28*INT(ROUND((Constants!$B$26-$AL142)/Constants!$B$28,6))))+MIN(Constants!$B$29,MAX(0,Constants!$B$27*Constants!$B$28*INT(ROUND((Constants!$B$26-$AM142)/Constants!$B$28,6))))+MIN(Constants!$B$29,MAX(0,Constants!$B$27*Constants!$B$28*INT(ROUND((Constants!$B$26-$AN142)/Constants!$B$28,6)))))</f>
        <v/>
      </c>
      <c r="BT142" s="74" t="str">
        <f aca="false">IF($BH142&lt;&gt;Constants!$B$4,"",IF(NOT($AJ142),0,Constants!$B$31*INT(ROUND(MAX(0,MIN($BF142,2*$AF$9)-$AF$9),6))))</f>
        <v/>
      </c>
      <c r="BU142" s="74" t="str">
        <f aca="false">IF($BH142&lt;&gt;Constants!$B$4,"",Constants!$B$32*(($AL142&gt;Constants!$B$26)+($AM142&gt;Constants!$B$26)+($AN142&gt;Constants!$B$26)))</f>
        <v/>
      </c>
      <c r="BV142" s="74" t="str">
        <f aca="false">IF($BH142&lt;&gt;Constants!$B$4,"",IF(OR(NOT($AJ142),$AO142),0,Constants!$B$33))</f>
        <v/>
      </c>
      <c r="BW142" s="74" t="str">
        <f aca="false">IF($BH142&lt;&gt;Constants!$B$4,"",Constants!$B$34*$BJ142)</f>
        <v/>
      </c>
      <c r="BX142" s="74" t="str">
        <f aca="false">IF($BH142&lt;&gt;Constants!$B$4,"",IF(OR(NOT($AJ142),$BE142),0,Constants!$B$36))</f>
        <v/>
      </c>
      <c r="BY142" s="74" t="str">
        <f aca="false">IF($BH142&lt;&gt;Constants!$B$4,"",IF(OR(NOT($AJ142),$BD142),0,Constants!$B$37))</f>
        <v/>
      </c>
      <c r="BZ142" s="74" t="str">
        <f aca="false">IF($BH142&lt;&gt;Constants!$B$4,"",SUM($BT142:$BY142))</f>
        <v/>
      </c>
      <c r="CA142" s="74" t="str">
        <f aca="false">IF(ISBLANK($C142),"",IF($BH142&lt;&gt;Constants!$B$4,$BH142,SUM($BK142:$BS142)-$BZ142))</f>
        <v/>
      </c>
      <c r="CB142" s="74" t="str">
        <f aca="false">IF(ISBLANK($C142),"",IF($BH142&lt;&gt;Constants!$B$4,$BH142,RANK($CA142,$CA$9:$CA$508)))</f>
        <v/>
      </c>
      <c r="CC142" s="74" t="str">
        <f aca="false">IF(ISBLANK($C142),"",IF($BH142&lt;&gt;Constants!$B$4,$BH142,COUNTIFS($BI$9:$BI$508,"&lt;"&amp;$BI142)+COUNTIFS($BI$9:$BI$508,$BI142,$CB$9:$CB$508,"&lt;"&amp;$CB142)+1))</f>
        <v/>
      </c>
      <c r="CD142" s="74" t="str">
        <f aca="false">IF(ISBLANK($C142),"",IF($BH142&lt;&gt;Constants!$B$4,$BH142,RANK($BZ142,$BZ$9:$BZ$508,1)))</f>
        <v/>
      </c>
      <c r="CE142" s="74" t="str">
        <f aca="false">IF($BH142&lt;&gt;Constants!$B$4,"",$AL142+$AM142+$AN142)</f>
        <v/>
      </c>
      <c r="CF142" s="74" t="str">
        <f aca="false">IF(ISBLANK($C142),"",IF($BH142&lt;&gt;Constants!$B$4,$BH142,RANK($CE142,$CE$9:$CE$508,1)))</f>
        <v/>
      </c>
      <c r="CG142" s="74" t="str">
        <f aca="false">IF(ISBLANK($C142),"",IF($BH142&lt;&gt;Constants!$B$4,$BH142,COUNTIFS($BI$9:$BI$508,"&lt;"&amp;$BI142)+COUNTIFS($BI$9:$BI$508,$BI142,$CB$9:$CB$508,"&lt;"&amp;$CB142)+COUNTIFS($BI$9:$BI$508,$BI142,$CB$9:$CB$508,$CB142,$CD$9:$CD$508,"&lt;"&amp;$CD142)+COUNTIFS($BI$9:$BI$508,$BI142,$CB$9:$CB$508,$CB142,$CD$9:$CD$508,$CD142,$CF$9:$CF$508,"&lt;"&amp;$CF142)+1))</f>
        <v/>
      </c>
      <c r="CH142" s="74" t="str">
        <f aca="false">IF(ISBLANK($C142),"",IF($BH142&lt;&gt;Constants!$B$4,$BH142,$CC142-$CG142))</f>
        <v/>
      </c>
      <c r="CI142" s="74" t="str">
        <f aca="false">IF(ISBLANK($C142),"",IF(NOT($AJ142),"",IF(ISBLANK($D$7),$CI$5,IF(NOT(ISNUMBER($D$7)),$CI$6,""))))</f>
        <v/>
      </c>
      <c r="CJ142" s="74" t="str">
        <f aca="false">IF(ISBLANK($C142),"",OR($AL142="",$AM142="",$AN142=""))</f>
        <v/>
      </c>
      <c r="CK142" s="74" t="str">
        <f aca="false">IF(ISBLANK($C142),"",AND($AJ142,$AX142=""))</f>
        <v/>
      </c>
      <c r="CL142" s="74" t="str">
        <f aca="false">IF(ISBLANK($C142),"",AND($AJ142,$AY142=""))</f>
        <v/>
      </c>
      <c r="CM142" s="74" t="str">
        <f aca="false">IF(ISBLANK($C142),"",AND($AJ142,$AZ142=""))</f>
        <v/>
      </c>
      <c r="CN142" s="74" t="str">
        <f aca="false">IF(ISBLANK($C142),"",AND($AJ142,$BC142=""))</f>
        <v/>
      </c>
      <c r="CO142" s="74" t="str">
        <f aca="false">IF(ISBLANK($C142),"",AND($AJ142,$BF142=""))</f>
        <v/>
      </c>
      <c r="CP142" s="75"/>
      <c r="CQ142" s="76"/>
      <c r="CR142" s="79" t="str">
        <f aca="false">IF(ISBLANK($C142),"",IF($BH142=Constants!$B$8,$CI142,""))</f>
        <v/>
      </c>
      <c r="CS142" s="76" t="str">
        <f aca="false">IF(ISBLANK($C142),"",IF($BH142&lt;&gt;Constants!$B$4,"",$BK142+$BL142))</f>
        <v/>
      </c>
      <c r="CT142" s="78" t="str">
        <f aca="false">IF(ISBLANK($C142),"",IF($BH142&lt;&gt;Constants!$B$4,"",$BM142+$BN142+$BO142))</f>
        <v/>
      </c>
      <c r="CU142" s="78" t="str">
        <f aca="false">IF(ISBLANK($C142),"",IF($BH142&lt;&gt;Constants!$B$4,"",$BP142))</f>
        <v/>
      </c>
      <c r="CV142" s="78" t="str">
        <f aca="false">IF(ISBLANK($C142),"",IF($BH142&lt;&gt;Constants!$B$4,"",$BQ142+$BR142))</f>
        <v/>
      </c>
      <c r="CW142" s="78" t="str">
        <f aca="false">IF(ISBLANK($C142),"",IF($BH142&lt;&gt;Constants!$B$4,"",$BS142))</f>
        <v/>
      </c>
      <c r="CX142" s="78" t="str">
        <f aca="false">IF(ISBLANK($C142),"",IF($BH142&lt;&gt;Constants!$B$4,"",-$BZ142))</f>
        <v/>
      </c>
      <c r="CY142" s="79" t="str">
        <f aca="false">IF(ISBLANK($C142),"",$CA142)</f>
        <v/>
      </c>
      <c r="CZ142" s="80" t="str">
        <f aca="false">IF(ISBLANK($C142),"",$BI142)</f>
        <v/>
      </c>
      <c r="DA142" s="78" t="str">
        <f aca="false">IF(ISBLANK($C142),"",$CH142)</f>
        <v/>
      </c>
      <c r="DB142" s="78" t="str">
        <f aca="false">IF(ISBLANK($C142),"",$CG142)</f>
        <v/>
      </c>
      <c r="DC142" s="81" t="str">
        <f aca="false">IF(ISBLANK($C142),"",IFERROR(_xlfn.SWITCH($DB142,Constants!$B$7,COUNTA($C$9:$C$508)+2,Constants!$B$6,COUNTA($C$9:$C$508)+1,Constants!$B$5,COUNTA($C$9:$C$508)),$DB142))</f>
        <v/>
      </c>
      <c r="DD142" s="7"/>
      <c r="DE142" s="82" t="n">
        <f aca="false">IF(OR(ISNUMBER($DB142),$DB142=Constants!$B$7,$DB142=Constants!$B$5,$DB142=Constants!$B$6),1,0)</f>
        <v>0</v>
      </c>
      <c r="DF142" s="82" t="n">
        <v>134</v>
      </c>
      <c r="DG142" s="82" t="str">
        <f aca="false">IF(ISBLANK($C142),"",IF(ISNUMBER($DC142),$DC142+ROW($B142)/1000,""))</f>
        <v/>
      </c>
      <c r="DH142" s="82" t="str">
        <f aca="false">IF(ISNUMBER($DG142),RANK($DG142,$DG$9:$DG$508,1),"")</f>
        <v/>
      </c>
      <c r="DI142" s="82" t="str">
        <f aca="false">IF(ISBLANK($C142),"",$B142)</f>
        <v/>
      </c>
      <c r="DJ142" s="82" t="str">
        <f aca="false">IF(ISBLANK($C142),"",$C142)</f>
        <v/>
      </c>
      <c r="DK142" s="82" t="str">
        <f aca="false">IF(ISBLANK($C142),"",$D142)</f>
        <v/>
      </c>
      <c r="DL142" s="83" t="str">
        <f aca="false">$CZ142</f>
        <v/>
      </c>
      <c r="DM142" s="84" t="str">
        <f aca="false">$CY142</f>
        <v/>
      </c>
      <c r="DN142" s="82" t="str">
        <f aca="false">IF(ISBLANK($C142),"",$DB142)</f>
        <v/>
      </c>
      <c r="DO142" s="85" t="str">
        <f aca="false">IF($DF142&gt;$DE$8,"",VLOOKUP($DF142,$DH$9:$DN$508,7,FALSE()))</f>
        <v/>
      </c>
      <c r="DP142" s="86" t="str">
        <f aca="false">IF($DF142&gt;$DE$8,"",VLOOKUP($DF142,$DH$9:$DN$508,2,FALSE()))</f>
        <v/>
      </c>
      <c r="DQ142" s="86" t="str">
        <f aca="false">IF($DF142&gt;$DE$8,"",VLOOKUP($DF142,$DH$9:$DN$508,3,FALSE()))</f>
        <v/>
      </c>
      <c r="DR142" s="86" t="str">
        <f aca="false">IF($DF142&gt;$DE$8,"",VLOOKUP($DF142,$DH$9:$DN$508,4,FALSE()))</f>
        <v/>
      </c>
      <c r="DS142" s="86" t="str">
        <f aca="false">IF($DF142&gt;$DE$8,"",VLOOKUP($DF142,$DH$9:$DN$508,5,FALSE()))</f>
        <v/>
      </c>
      <c r="DT142" s="87" t="str">
        <f aca="false">IF($DF142&gt;$DE$8,"",VLOOKUP($DF142,$DH$9:$DN$508,6,FALSE()))</f>
        <v/>
      </c>
      <c r="DU142" s="62"/>
    </row>
    <row r="143" customFormat="false" ht="15.75" hidden="false" customHeight="false" outlineLevel="0" collapsed="false">
      <c r="A143" s="7"/>
      <c r="B143" s="64"/>
      <c r="C143" s="65"/>
      <c r="D143" s="123"/>
      <c r="E143" s="88"/>
      <c r="F143" s="134"/>
      <c r="G143" s="88"/>
      <c r="H143" s="134"/>
      <c r="I143" s="119"/>
      <c r="J143" s="119"/>
      <c r="K143" s="119"/>
      <c r="L143" s="88"/>
      <c r="M143" s="88"/>
      <c r="N143" s="88"/>
      <c r="O143" s="134"/>
      <c r="P143" s="88"/>
      <c r="Q143" s="88"/>
      <c r="R143" s="88"/>
      <c r="S143" s="88"/>
      <c r="T143" s="134"/>
      <c r="U143" s="88"/>
      <c r="V143" s="70"/>
      <c r="W143" s="88"/>
      <c r="X143" s="88"/>
      <c r="Y143" s="70"/>
      <c r="Z143" s="70"/>
      <c r="AA143" s="88"/>
      <c r="AB143" s="88"/>
      <c r="AC143" s="71"/>
      <c r="AD143" s="88"/>
      <c r="AE143" s="73"/>
      <c r="AF143" s="74"/>
      <c r="AG143" s="74"/>
      <c r="AH143" s="74" t="str">
        <f aca="false">IF(ISBLANK($C143),"",IF($E143=Constants!$B$2,TRUE(),IF($E143=Constants!$B$3,FALSE(),TRUE())))</f>
        <v/>
      </c>
      <c r="AI143" s="74" t="str">
        <f aca="false">IF(ISBLANK($C143),"",IF($F143=Constants!$B$2,TRUE(),IF($F143=Constants!$B$3,FALSE(),FALSE())))</f>
        <v/>
      </c>
      <c r="AJ143" s="74" t="str">
        <f aca="false">IF(ISBLANK($C143),"",IF($G143=Constants!$B$2,TRUE(),IF($G143=Constants!$B$3,FALSE(),TRUE())))</f>
        <v/>
      </c>
      <c r="AK143" s="74" t="str">
        <f aca="false">IF(ISBLANK($C143),"",IF($H143=Constants!$B$2,TRUE(),IF($H143=Constants!$B$3,FALSE(),TRUE())))</f>
        <v/>
      </c>
      <c r="AL143" s="74" t="str">
        <f aca="false">IF(ISBLANK($C143),"",IF(ISNUMBER($I143),IF($I143&gt;=0,$I143,""),""))</f>
        <v/>
      </c>
      <c r="AM143" s="74" t="str">
        <f aca="false">IF(ISBLANK($C143),"",IF(ISNUMBER($J143),IF($J143&gt;=0,$J143,""),""))</f>
        <v/>
      </c>
      <c r="AN143" s="74" t="str">
        <f aca="false">IF(ISBLANK($C143),"",IF(ISNUMBER($K143),IF($K143&gt;=0,$K143,""),""))</f>
        <v/>
      </c>
      <c r="AO143" s="74" t="str">
        <f aca="false">IF(ISBLANK($C143),"",IF($L143=Constants!$B$2,TRUE(),IF($L143=Constants!$B$3,FALSE(),TRUE())))</f>
        <v/>
      </c>
      <c r="AP143" s="74" t="str">
        <f aca="false">IF(ISBLANK($C143),"",IF($M143=Constants!$B$2,TRUE(),IF($M143=Constants!$B$3,FALSE(),TRUE())))</f>
        <v/>
      </c>
      <c r="AQ143" s="74" t="str">
        <f aca="false">IF(ISBLANK($C143),"",IF($N143=Constants!$B$2,TRUE(),IF($N143=Constants!$B$3,FALSE(),FALSE())))</f>
        <v/>
      </c>
      <c r="AR143" s="74" t="str">
        <f aca="false">IF(ISBLANK($C143),"",IF($O143=Constants!$B$2,TRUE(),IF($O143=Constants!$B$3,FALSE(),TRUE())))</f>
        <v/>
      </c>
      <c r="AS143" s="74" t="str">
        <f aca="false">IF(ISBLANK($C143),"",IF($P143=Constants!$B$2,TRUE(),IF($P143=Constants!$B$3,FALSE(),FALSE())))</f>
        <v/>
      </c>
      <c r="AT143" s="74" t="str">
        <f aca="false">IF(ISBLANK($C143),"",IF($Q143=Constants!$B$2,TRUE(),IF($Q143=Constants!$B$3,FALSE(),FALSE())))</f>
        <v/>
      </c>
      <c r="AU143" s="74" t="str">
        <f aca="false">IF(ISBLANK($C143),"",IF($R143=Constants!$B$2,TRUE(),IF($R143=Constants!$B$3,FALSE(),FALSE())))</f>
        <v/>
      </c>
      <c r="AV143" s="74" t="str">
        <f aca="false">IF(ISBLANK($C143),"",IF($S143=Constants!$B$2,TRUE(),IF($S143=Constants!$B$3,FALSE(),FALSE())))</f>
        <v/>
      </c>
      <c r="AW143" s="74" t="str">
        <f aca="false">IF(ISBLANK($C143),"",IF($T143=Constants!$B$2,TRUE(),IF($T143=Constants!$B$3,FALSE(),FALSE())))</f>
        <v/>
      </c>
      <c r="AX143" s="74" t="str">
        <f aca="false">IF(ISBLANK($C143),"",IF(OR($U143&amp;""="1",$U143&amp;""="2",$U143&amp;""="3",$U143&amp;""="4"),VALUE($U143&amp;""),IF($U143=Constants!$B$12,Constants!$B$12,"")))</f>
        <v/>
      </c>
      <c r="AY143" s="74" t="str">
        <f aca="false">IF(ISBLANK($C143),"",IF(ISBLANK($V143),0,IF(ISNUMBER($V143),IF(AND($V143&gt;=0,$V143&lt;=Constants!$B$21,$V143=INT($V143)),$V143,""),"")))</f>
        <v/>
      </c>
      <c r="AZ143" s="74" t="str">
        <f aca="false">IF(ISBLANK($C143),"",IF(ISBLANK($W143),0,IF(ISNUMBER($W143),IF($W143&gt;=0,$W143,""),"")))</f>
        <v/>
      </c>
      <c r="BA143" s="74" t="str">
        <f aca="false">IF(ISBLANK($C143),"",IF($X143=Constants!$B$2,TRUE(),IF($X143=Constants!$B$3,FALSE(),TRUE())))</f>
        <v/>
      </c>
      <c r="BB143" s="74" t="str">
        <f aca="false">IF(ISBLANK($C143),"",IF($Y143=Constants!$B$2,TRUE(),IF($Y143=Constants!$B$3,FALSE(),FALSE())))</f>
        <v/>
      </c>
      <c r="BC143" s="74" t="str">
        <f aca="false">IF(ISBLANK($C143),"",IF(ISBLANK($Z143),0,IF(ISNUMBER($Z143),IF(AND($Z143&gt;=0,$Z143&lt;=Constants!$B$35,$Z143=INT($Z143)),$Z143,""),"")))</f>
        <v/>
      </c>
      <c r="BD143" s="74" t="str">
        <f aca="false">IF(ISBLANK($C143),"",IF($AA143=Constants!$B$2,TRUE(),IF($AA143=Constants!$B$3,FALSE(),TRUE())))</f>
        <v/>
      </c>
      <c r="BE143" s="74" t="str">
        <f aca="false">IF(ISBLANK($C143),"",IF($AB143=Constants!$B$2,TRUE(),IF($AB143=Constants!$B$3,FALSE(),TRUE())))</f>
        <v/>
      </c>
      <c r="BF143" s="74" t="str">
        <f aca="false">IF(ISBLANK($C143),"",IF(ISNUMBER($AC143),IF($AC143&gt;=0,$AC143,""),""))</f>
        <v/>
      </c>
      <c r="BG143" s="74" t="str">
        <f aca="false">IF(ISBLANK($C143),"",IF($AD143=Constants!$B$2,TRUE(),IF($AD143=Constants!$B$3,FALSE(),FALSE())))</f>
        <v/>
      </c>
      <c r="BH143" s="73" t="str">
        <f aca="false">IF(ISBLANK($C143),"",IF($BG143,Constants!$B$7,IF(COUNTA($E143:$AC143)=0,Constants!$B$6,IF(OR(COUNTA($G143:$AC143)=0,NOT($AK143),$AQ143),Constants!$B$5,IF(OR($CI143&lt;&gt;"",$CJ143,$CK143,$CL143,$CM143,$CN143,$CO143),Constants!$B$8,Constants!$B$4)))))</f>
        <v/>
      </c>
      <c r="BI143" s="74" t="str">
        <f aca="false">IF(ISBLANK($C143),"",IF($BH143&lt;&gt;Constants!$B$4,$BH143,IF(OR(NOT($AH143),NOT($AJ143),NOT($AR143)),Constants!$B$11,IF(OR(NOT($AP143),MAX($AL143,$AM143,$AN143)&gt;Constants!$B$30),Constants!$B$10,Constants!$B$9))))</f>
        <v/>
      </c>
      <c r="BJ143" s="74" t="str">
        <f aca="false">IF($BH143&lt;&gt;Constants!$B$4,"",IF(NOT($AJ143),0,MIN(Constants!$B$35,$BC143)))</f>
        <v/>
      </c>
      <c r="BK143" s="74" t="str">
        <f aca="false">IF($BH143&lt;&gt;Constants!$B$4,"",IF(NOT($AJ143),0,IF($AT143,Constants!$B$18,IF($AS143,Constants!$B$17,0))))</f>
        <v/>
      </c>
      <c r="BL143" s="74" t="str">
        <f aca="false">IF($BH143&lt;&gt;Constants!$B$4,"",IF(NOT($AJ143),0,Constants!$B$19*($AI143+$AU143+$AV143+$AW143)))</f>
        <v/>
      </c>
      <c r="BM143" s="74" t="str">
        <f aca="false">IF($BH143&lt;&gt;Constants!$B$4,"",IF(OR(NOT($AJ143),NOT(ISNUMBER($AX143))),0,CHOOSE($AX143,Constants!$B$13,Constants!$B$14,Constants!$B$15,Constants!$B$16)))</f>
        <v/>
      </c>
      <c r="BN143" s="74" t="str">
        <f aca="false">IF($BH143&lt;&gt;Constants!$B$4,"",IF(NOT($AJ143),0,Constants!$B$20*$AY143))</f>
        <v/>
      </c>
      <c r="BO143" s="74" t="str">
        <f aca="false">IF($BH143&lt;&gt;Constants!$B$4,"",IF(AND($AJ143,$BA143,$BB143),Constants!$B$22,0))</f>
        <v/>
      </c>
      <c r="BP143" s="74" t="str">
        <f aca="false">IF($BH143&lt;&gt;Constants!$B$4,"",IF(OR(NOT($AJ143),NOT($BA143)),0,IF($BF143&gt;=2*$AF$9,0,Constants!$B$23*INT(ROUND(MIN($BF143,$AF$9),6)))))</f>
        <v/>
      </c>
      <c r="BQ143" s="74" t="str">
        <f aca="false">IF($BH143&lt;&gt;Constants!$B$4,"",IF(NOT($AJ143),0,Constants!$B$24*INT(ROUND(MIN($AZ143,$AF$9),6))))</f>
        <v/>
      </c>
      <c r="BR143" s="74" t="str">
        <f aca="false">IF($BH143&lt;&gt;Constants!$B$4,"",IF(AND($AJ143,$BJ143=0),Constants!$B$25,0))</f>
        <v/>
      </c>
      <c r="BS143" s="74" t="str">
        <f aca="false">IF($BH143&lt;&gt;Constants!$B$4,"",MIN(Constants!$B$29,MAX(0,Constants!$B$27*Constants!$B$28*INT(ROUND((Constants!$B$26-$AL143)/Constants!$B$28,6))))+MIN(Constants!$B$29,MAX(0,Constants!$B$27*Constants!$B$28*INT(ROUND((Constants!$B$26-$AM143)/Constants!$B$28,6))))+MIN(Constants!$B$29,MAX(0,Constants!$B$27*Constants!$B$28*INT(ROUND((Constants!$B$26-$AN143)/Constants!$B$28,6)))))</f>
        <v/>
      </c>
      <c r="BT143" s="74" t="str">
        <f aca="false">IF($BH143&lt;&gt;Constants!$B$4,"",IF(NOT($AJ143),0,Constants!$B$31*INT(ROUND(MAX(0,MIN($BF143,2*$AF$9)-$AF$9),6))))</f>
        <v/>
      </c>
      <c r="BU143" s="74" t="str">
        <f aca="false">IF($BH143&lt;&gt;Constants!$B$4,"",Constants!$B$32*(($AL143&gt;Constants!$B$26)+($AM143&gt;Constants!$B$26)+($AN143&gt;Constants!$B$26)))</f>
        <v/>
      </c>
      <c r="BV143" s="74" t="str">
        <f aca="false">IF($BH143&lt;&gt;Constants!$B$4,"",IF(OR(NOT($AJ143),$AO143),0,Constants!$B$33))</f>
        <v/>
      </c>
      <c r="BW143" s="74" t="str">
        <f aca="false">IF($BH143&lt;&gt;Constants!$B$4,"",Constants!$B$34*$BJ143)</f>
        <v/>
      </c>
      <c r="BX143" s="74" t="str">
        <f aca="false">IF($BH143&lt;&gt;Constants!$B$4,"",IF(OR(NOT($AJ143),$BE143),0,Constants!$B$36))</f>
        <v/>
      </c>
      <c r="BY143" s="74" t="str">
        <f aca="false">IF($BH143&lt;&gt;Constants!$B$4,"",IF(OR(NOT($AJ143),$BD143),0,Constants!$B$37))</f>
        <v/>
      </c>
      <c r="BZ143" s="74" t="str">
        <f aca="false">IF($BH143&lt;&gt;Constants!$B$4,"",SUM($BT143:$BY143))</f>
        <v/>
      </c>
      <c r="CA143" s="74" t="str">
        <f aca="false">IF(ISBLANK($C143),"",IF($BH143&lt;&gt;Constants!$B$4,$BH143,SUM($BK143:$BS143)-$BZ143))</f>
        <v/>
      </c>
      <c r="CB143" s="74" t="str">
        <f aca="false">IF(ISBLANK($C143),"",IF($BH143&lt;&gt;Constants!$B$4,$BH143,RANK($CA143,$CA$9:$CA$508)))</f>
        <v/>
      </c>
      <c r="CC143" s="74" t="str">
        <f aca="false">IF(ISBLANK($C143),"",IF($BH143&lt;&gt;Constants!$B$4,$BH143,COUNTIFS($BI$9:$BI$508,"&lt;"&amp;$BI143)+COUNTIFS($BI$9:$BI$508,$BI143,$CB$9:$CB$508,"&lt;"&amp;$CB143)+1))</f>
        <v/>
      </c>
      <c r="CD143" s="74" t="str">
        <f aca="false">IF(ISBLANK($C143),"",IF($BH143&lt;&gt;Constants!$B$4,$BH143,RANK($BZ143,$BZ$9:$BZ$508,1)))</f>
        <v/>
      </c>
      <c r="CE143" s="74" t="str">
        <f aca="false">IF($BH143&lt;&gt;Constants!$B$4,"",$AL143+$AM143+$AN143)</f>
        <v/>
      </c>
      <c r="CF143" s="74" t="str">
        <f aca="false">IF(ISBLANK($C143),"",IF($BH143&lt;&gt;Constants!$B$4,$BH143,RANK($CE143,$CE$9:$CE$508,1)))</f>
        <v/>
      </c>
      <c r="CG143" s="74" t="str">
        <f aca="false">IF(ISBLANK($C143),"",IF($BH143&lt;&gt;Constants!$B$4,$BH143,COUNTIFS($BI$9:$BI$508,"&lt;"&amp;$BI143)+COUNTIFS($BI$9:$BI$508,$BI143,$CB$9:$CB$508,"&lt;"&amp;$CB143)+COUNTIFS($BI$9:$BI$508,$BI143,$CB$9:$CB$508,$CB143,$CD$9:$CD$508,"&lt;"&amp;$CD143)+COUNTIFS($BI$9:$BI$508,$BI143,$CB$9:$CB$508,$CB143,$CD$9:$CD$508,$CD143,$CF$9:$CF$508,"&lt;"&amp;$CF143)+1))</f>
        <v/>
      </c>
      <c r="CH143" s="74" t="str">
        <f aca="false">IF(ISBLANK($C143),"",IF($BH143&lt;&gt;Constants!$B$4,$BH143,$CC143-$CG143))</f>
        <v/>
      </c>
      <c r="CI143" s="74" t="str">
        <f aca="false">IF(ISBLANK($C143),"",IF(NOT($AJ143),"",IF(ISBLANK($D$7),$CI$5,IF(NOT(ISNUMBER($D$7)),$CI$6,""))))</f>
        <v/>
      </c>
      <c r="CJ143" s="74" t="str">
        <f aca="false">IF(ISBLANK($C143),"",OR($AL143="",$AM143="",$AN143=""))</f>
        <v/>
      </c>
      <c r="CK143" s="74" t="str">
        <f aca="false">IF(ISBLANK($C143),"",AND($AJ143,$AX143=""))</f>
        <v/>
      </c>
      <c r="CL143" s="74" t="str">
        <f aca="false">IF(ISBLANK($C143),"",AND($AJ143,$AY143=""))</f>
        <v/>
      </c>
      <c r="CM143" s="74" t="str">
        <f aca="false">IF(ISBLANK($C143),"",AND($AJ143,$AZ143=""))</f>
        <v/>
      </c>
      <c r="CN143" s="74" t="str">
        <f aca="false">IF(ISBLANK($C143),"",AND($AJ143,$BC143=""))</f>
        <v/>
      </c>
      <c r="CO143" s="74" t="str">
        <f aca="false">IF(ISBLANK($C143),"",AND($AJ143,$BF143=""))</f>
        <v/>
      </c>
      <c r="CP143" s="75"/>
      <c r="CQ143" s="76"/>
      <c r="CR143" s="79" t="str">
        <f aca="false">IF(ISBLANK($C143),"",IF($BH143=Constants!$B$8,$CI143,""))</f>
        <v/>
      </c>
      <c r="CS143" s="76" t="str">
        <f aca="false">IF(ISBLANK($C143),"",IF($BH143&lt;&gt;Constants!$B$4,"",$BK143+$BL143))</f>
        <v/>
      </c>
      <c r="CT143" s="78" t="str">
        <f aca="false">IF(ISBLANK($C143),"",IF($BH143&lt;&gt;Constants!$B$4,"",$BM143+$BN143+$BO143))</f>
        <v/>
      </c>
      <c r="CU143" s="78" t="str">
        <f aca="false">IF(ISBLANK($C143),"",IF($BH143&lt;&gt;Constants!$B$4,"",$BP143))</f>
        <v/>
      </c>
      <c r="CV143" s="78" t="str">
        <f aca="false">IF(ISBLANK($C143),"",IF($BH143&lt;&gt;Constants!$B$4,"",$BQ143+$BR143))</f>
        <v/>
      </c>
      <c r="CW143" s="78" t="str">
        <f aca="false">IF(ISBLANK($C143),"",IF($BH143&lt;&gt;Constants!$B$4,"",$BS143))</f>
        <v/>
      </c>
      <c r="CX143" s="78" t="str">
        <f aca="false">IF(ISBLANK($C143),"",IF($BH143&lt;&gt;Constants!$B$4,"",-$BZ143))</f>
        <v/>
      </c>
      <c r="CY143" s="79" t="str">
        <f aca="false">IF(ISBLANK($C143),"",$CA143)</f>
        <v/>
      </c>
      <c r="CZ143" s="80" t="str">
        <f aca="false">IF(ISBLANK($C143),"",$BI143)</f>
        <v/>
      </c>
      <c r="DA143" s="78" t="str">
        <f aca="false">IF(ISBLANK($C143),"",$CH143)</f>
        <v/>
      </c>
      <c r="DB143" s="78" t="str">
        <f aca="false">IF(ISBLANK($C143),"",$CG143)</f>
        <v/>
      </c>
      <c r="DC143" s="81" t="str">
        <f aca="false">IF(ISBLANK($C143),"",IFERROR(_xlfn.SWITCH($DB143,Constants!$B$7,COUNTA($C$9:$C$508)+2,Constants!$B$6,COUNTA($C$9:$C$508)+1,Constants!$B$5,COUNTA($C$9:$C$508)),$DB143))</f>
        <v/>
      </c>
      <c r="DD143" s="7"/>
      <c r="DE143" s="82" t="n">
        <f aca="false">IF(OR(ISNUMBER($DB143),$DB143=Constants!$B$7,$DB143=Constants!$B$5,$DB143=Constants!$B$6),1,0)</f>
        <v>0</v>
      </c>
      <c r="DF143" s="82" t="n">
        <v>135</v>
      </c>
      <c r="DG143" s="82" t="str">
        <f aca="false">IF(ISBLANK($C143),"",IF(ISNUMBER($DC143),$DC143+ROW($B143)/1000,""))</f>
        <v/>
      </c>
      <c r="DH143" s="82" t="str">
        <f aca="false">IF(ISNUMBER($DG143),RANK($DG143,$DG$9:$DG$508,1),"")</f>
        <v/>
      </c>
      <c r="DI143" s="82" t="str">
        <f aca="false">IF(ISBLANK($C143),"",$B143)</f>
        <v/>
      </c>
      <c r="DJ143" s="82" t="str">
        <f aca="false">IF(ISBLANK($C143),"",$C143)</f>
        <v/>
      </c>
      <c r="DK143" s="82" t="str">
        <f aca="false">IF(ISBLANK($C143),"",$D143)</f>
        <v/>
      </c>
      <c r="DL143" s="83" t="str">
        <f aca="false">$CZ143</f>
        <v/>
      </c>
      <c r="DM143" s="84" t="str">
        <f aca="false">$CY143</f>
        <v/>
      </c>
      <c r="DN143" s="82" t="str">
        <f aca="false">IF(ISBLANK($C143),"",$DB143)</f>
        <v/>
      </c>
      <c r="DO143" s="85" t="str">
        <f aca="false">IF($DF143&gt;$DE$8,"",VLOOKUP($DF143,$DH$9:$DN$508,7,FALSE()))</f>
        <v/>
      </c>
      <c r="DP143" s="86" t="str">
        <f aca="false">IF($DF143&gt;$DE$8,"",VLOOKUP($DF143,$DH$9:$DN$508,2,FALSE()))</f>
        <v/>
      </c>
      <c r="DQ143" s="86" t="str">
        <f aca="false">IF($DF143&gt;$DE$8,"",VLOOKUP($DF143,$DH$9:$DN$508,3,FALSE()))</f>
        <v/>
      </c>
      <c r="DR143" s="86" t="str">
        <f aca="false">IF($DF143&gt;$DE$8,"",VLOOKUP($DF143,$DH$9:$DN$508,4,FALSE()))</f>
        <v/>
      </c>
      <c r="DS143" s="86" t="str">
        <f aca="false">IF($DF143&gt;$DE$8,"",VLOOKUP($DF143,$DH$9:$DN$508,5,FALSE()))</f>
        <v/>
      </c>
      <c r="DT143" s="87" t="str">
        <f aca="false">IF($DF143&gt;$DE$8,"",VLOOKUP($DF143,$DH$9:$DN$508,6,FALSE()))</f>
        <v/>
      </c>
      <c r="DU143" s="62"/>
    </row>
    <row r="144" customFormat="false" ht="15.75" hidden="false" customHeight="false" outlineLevel="0" collapsed="false">
      <c r="A144" s="7"/>
      <c r="B144" s="90"/>
      <c r="C144" s="91"/>
      <c r="D144" s="126"/>
      <c r="E144" s="130"/>
      <c r="F144" s="135"/>
      <c r="G144" s="130"/>
      <c r="H144" s="135"/>
      <c r="I144" s="131"/>
      <c r="J144" s="131"/>
      <c r="K144" s="131"/>
      <c r="L144" s="130"/>
      <c r="M144" s="130"/>
      <c r="N144" s="130"/>
      <c r="O144" s="135"/>
      <c r="P144" s="130"/>
      <c r="Q144" s="130"/>
      <c r="R144" s="130"/>
      <c r="S144" s="130"/>
      <c r="T144" s="135"/>
      <c r="U144" s="130"/>
      <c r="V144" s="96"/>
      <c r="W144" s="130"/>
      <c r="X144" s="130"/>
      <c r="Y144" s="96"/>
      <c r="Z144" s="96"/>
      <c r="AA144" s="130"/>
      <c r="AB144" s="130"/>
      <c r="AC144" s="97"/>
      <c r="AD144" s="130"/>
      <c r="AE144" s="99"/>
      <c r="AF144" s="100"/>
      <c r="AG144" s="100"/>
      <c r="AH144" s="100" t="str">
        <f aca="false">IF(ISBLANK($C144),"",IF($E144=Constants!$B$2,TRUE(),IF($E144=Constants!$B$3,FALSE(),TRUE())))</f>
        <v/>
      </c>
      <c r="AI144" s="100" t="str">
        <f aca="false">IF(ISBLANK($C144),"",IF($F144=Constants!$B$2,TRUE(),IF($F144=Constants!$B$3,FALSE(),FALSE())))</f>
        <v/>
      </c>
      <c r="AJ144" s="100" t="str">
        <f aca="false">IF(ISBLANK($C144),"",IF($G144=Constants!$B$2,TRUE(),IF($G144=Constants!$B$3,FALSE(),TRUE())))</f>
        <v/>
      </c>
      <c r="AK144" s="100" t="str">
        <f aca="false">IF(ISBLANK($C144),"",IF($H144=Constants!$B$2,TRUE(),IF($H144=Constants!$B$3,FALSE(),TRUE())))</f>
        <v/>
      </c>
      <c r="AL144" s="100" t="str">
        <f aca="false">IF(ISBLANK($C144),"",IF(ISNUMBER($I144),IF($I144&gt;=0,$I144,""),""))</f>
        <v/>
      </c>
      <c r="AM144" s="100" t="str">
        <f aca="false">IF(ISBLANK($C144),"",IF(ISNUMBER($J144),IF($J144&gt;=0,$J144,""),""))</f>
        <v/>
      </c>
      <c r="AN144" s="100" t="str">
        <f aca="false">IF(ISBLANK($C144),"",IF(ISNUMBER($K144),IF($K144&gt;=0,$K144,""),""))</f>
        <v/>
      </c>
      <c r="AO144" s="100" t="str">
        <f aca="false">IF(ISBLANK($C144),"",IF($L144=Constants!$B$2,TRUE(),IF($L144=Constants!$B$3,FALSE(),TRUE())))</f>
        <v/>
      </c>
      <c r="AP144" s="100" t="str">
        <f aca="false">IF(ISBLANK($C144),"",IF($M144=Constants!$B$2,TRUE(),IF($M144=Constants!$B$3,FALSE(),TRUE())))</f>
        <v/>
      </c>
      <c r="AQ144" s="100" t="str">
        <f aca="false">IF(ISBLANK($C144),"",IF($N144=Constants!$B$2,TRUE(),IF($N144=Constants!$B$3,FALSE(),FALSE())))</f>
        <v/>
      </c>
      <c r="AR144" s="100" t="str">
        <f aca="false">IF(ISBLANK($C144),"",IF($O144=Constants!$B$2,TRUE(),IF($O144=Constants!$B$3,FALSE(),TRUE())))</f>
        <v/>
      </c>
      <c r="AS144" s="100" t="str">
        <f aca="false">IF(ISBLANK($C144),"",IF($P144=Constants!$B$2,TRUE(),IF($P144=Constants!$B$3,FALSE(),FALSE())))</f>
        <v/>
      </c>
      <c r="AT144" s="100" t="str">
        <f aca="false">IF(ISBLANK($C144),"",IF($Q144=Constants!$B$2,TRUE(),IF($Q144=Constants!$B$3,FALSE(),FALSE())))</f>
        <v/>
      </c>
      <c r="AU144" s="100" t="str">
        <f aca="false">IF(ISBLANK($C144),"",IF($R144=Constants!$B$2,TRUE(),IF($R144=Constants!$B$3,FALSE(),FALSE())))</f>
        <v/>
      </c>
      <c r="AV144" s="100" t="str">
        <f aca="false">IF(ISBLANK($C144),"",IF($S144=Constants!$B$2,TRUE(),IF($S144=Constants!$B$3,FALSE(),FALSE())))</f>
        <v/>
      </c>
      <c r="AW144" s="100" t="str">
        <f aca="false">IF(ISBLANK($C144),"",IF($T144=Constants!$B$2,TRUE(),IF($T144=Constants!$B$3,FALSE(),FALSE())))</f>
        <v/>
      </c>
      <c r="AX144" s="100" t="str">
        <f aca="false">IF(ISBLANK($C144),"",IF(OR($U144&amp;""="1",$U144&amp;""="2",$U144&amp;""="3",$U144&amp;""="4"),VALUE($U144&amp;""),IF($U144=Constants!$B$12,Constants!$B$12,"")))</f>
        <v/>
      </c>
      <c r="AY144" s="100" t="str">
        <f aca="false">IF(ISBLANK($C144),"",IF(ISBLANK($V144),0,IF(ISNUMBER($V144),IF(AND($V144&gt;=0,$V144&lt;=Constants!$B$21,$V144=INT($V144)),$V144,""),"")))</f>
        <v/>
      </c>
      <c r="AZ144" s="100" t="str">
        <f aca="false">IF(ISBLANK($C144),"",IF(ISBLANK($W144),0,IF(ISNUMBER($W144),IF($W144&gt;=0,$W144,""),"")))</f>
        <v/>
      </c>
      <c r="BA144" s="100" t="str">
        <f aca="false">IF(ISBLANK($C144),"",IF($X144=Constants!$B$2,TRUE(),IF($X144=Constants!$B$3,FALSE(),TRUE())))</f>
        <v/>
      </c>
      <c r="BB144" s="100" t="str">
        <f aca="false">IF(ISBLANK($C144),"",IF($Y144=Constants!$B$2,TRUE(),IF($Y144=Constants!$B$3,FALSE(),FALSE())))</f>
        <v/>
      </c>
      <c r="BC144" s="100" t="str">
        <f aca="false">IF(ISBLANK($C144),"",IF(ISBLANK($Z144),0,IF(ISNUMBER($Z144),IF(AND($Z144&gt;=0,$Z144&lt;=Constants!$B$35,$Z144=INT($Z144)),$Z144,""),"")))</f>
        <v/>
      </c>
      <c r="BD144" s="100" t="str">
        <f aca="false">IF(ISBLANK($C144),"",IF($AA144=Constants!$B$2,TRUE(),IF($AA144=Constants!$B$3,FALSE(),TRUE())))</f>
        <v/>
      </c>
      <c r="BE144" s="100" t="str">
        <f aca="false">IF(ISBLANK($C144),"",IF($AB144=Constants!$B$2,TRUE(),IF($AB144=Constants!$B$3,FALSE(),TRUE())))</f>
        <v/>
      </c>
      <c r="BF144" s="100" t="str">
        <f aca="false">IF(ISBLANK($C144),"",IF(ISNUMBER($AC144),IF($AC144&gt;=0,$AC144,""),""))</f>
        <v/>
      </c>
      <c r="BG144" s="100" t="str">
        <f aca="false">IF(ISBLANK($C144),"",IF($AD144=Constants!$B$2,TRUE(),IF($AD144=Constants!$B$3,FALSE(),FALSE())))</f>
        <v/>
      </c>
      <c r="BH144" s="99" t="str">
        <f aca="false">IF(ISBLANK($C144),"",IF($BG144,Constants!$B$7,IF(COUNTA($E144:$AC144)=0,Constants!$B$6,IF(OR(COUNTA($G144:$AC144)=0,NOT($AK144),$AQ144),Constants!$B$5,IF(OR($CI144&lt;&gt;"",$CJ144,$CK144,$CL144,$CM144,$CN144,$CO144),Constants!$B$8,Constants!$B$4)))))</f>
        <v/>
      </c>
      <c r="BI144" s="100" t="str">
        <f aca="false">IF(ISBLANK($C144),"",IF($BH144&lt;&gt;Constants!$B$4,$BH144,IF(OR(NOT($AH144),NOT($AJ144),NOT($AR144)),Constants!$B$11,IF(OR(NOT($AP144),MAX($AL144,$AM144,$AN144)&gt;Constants!$B$30),Constants!$B$10,Constants!$B$9))))</f>
        <v/>
      </c>
      <c r="BJ144" s="100" t="str">
        <f aca="false">IF($BH144&lt;&gt;Constants!$B$4,"",IF(NOT($AJ144),0,MIN(Constants!$B$35,$BC144)))</f>
        <v/>
      </c>
      <c r="BK144" s="100" t="str">
        <f aca="false">IF($BH144&lt;&gt;Constants!$B$4,"",IF(NOT($AJ144),0,IF($AT144,Constants!$B$18,IF($AS144,Constants!$B$17,0))))</f>
        <v/>
      </c>
      <c r="BL144" s="100" t="str">
        <f aca="false">IF($BH144&lt;&gt;Constants!$B$4,"",IF(NOT($AJ144),0,Constants!$B$19*($AI144+$AU144+$AV144+$AW144)))</f>
        <v/>
      </c>
      <c r="BM144" s="100" t="str">
        <f aca="false">IF($BH144&lt;&gt;Constants!$B$4,"",IF(OR(NOT($AJ144),NOT(ISNUMBER($AX144))),0,CHOOSE($AX144,Constants!$B$13,Constants!$B$14,Constants!$B$15,Constants!$B$16)))</f>
        <v/>
      </c>
      <c r="BN144" s="100" t="str">
        <f aca="false">IF($BH144&lt;&gt;Constants!$B$4,"",IF(NOT($AJ144),0,Constants!$B$20*$AY144))</f>
        <v/>
      </c>
      <c r="BO144" s="100" t="str">
        <f aca="false">IF($BH144&lt;&gt;Constants!$B$4,"",IF(AND($AJ144,$BA144,$BB144),Constants!$B$22,0))</f>
        <v/>
      </c>
      <c r="BP144" s="100" t="str">
        <f aca="false">IF($BH144&lt;&gt;Constants!$B$4,"",IF(OR(NOT($AJ144),NOT($BA144)),0,IF($BF144&gt;=2*$AF$9,0,Constants!$B$23*INT(ROUND(MIN($BF144,$AF$9),6)))))</f>
        <v/>
      </c>
      <c r="BQ144" s="100" t="str">
        <f aca="false">IF($BH144&lt;&gt;Constants!$B$4,"",IF(NOT($AJ144),0,Constants!$B$24*INT(ROUND(MIN($AZ144,$AF$9),6))))</f>
        <v/>
      </c>
      <c r="BR144" s="100" t="str">
        <f aca="false">IF($BH144&lt;&gt;Constants!$B$4,"",IF(AND($AJ144,$BJ144=0),Constants!$B$25,0))</f>
        <v/>
      </c>
      <c r="BS144" s="100" t="str">
        <f aca="false">IF($BH144&lt;&gt;Constants!$B$4,"",MIN(Constants!$B$29,MAX(0,Constants!$B$27*Constants!$B$28*INT(ROUND((Constants!$B$26-$AL144)/Constants!$B$28,6))))+MIN(Constants!$B$29,MAX(0,Constants!$B$27*Constants!$B$28*INT(ROUND((Constants!$B$26-$AM144)/Constants!$B$28,6))))+MIN(Constants!$B$29,MAX(0,Constants!$B$27*Constants!$B$28*INT(ROUND((Constants!$B$26-$AN144)/Constants!$B$28,6)))))</f>
        <v/>
      </c>
      <c r="BT144" s="100" t="str">
        <f aca="false">IF($BH144&lt;&gt;Constants!$B$4,"",IF(NOT($AJ144),0,Constants!$B$31*INT(ROUND(MAX(0,MIN($BF144,2*$AF$9)-$AF$9),6))))</f>
        <v/>
      </c>
      <c r="BU144" s="100" t="str">
        <f aca="false">IF($BH144&lt;&gt;Constants!$B$4,"",Constants!$B$32*(($AL144&gt;Constants!$B$26)+($AM144&gt;Constants!$B$26)+($AN144&gt;Constants!$B$26)))</f>
        <v/>
      </c>
      <c r="BV144" s="100" t="str">
        <f aca="false">IF($BH144&lt;&gt;Constants!$B$4,"",IF(OR(NOT($AJ144),$AO144),0,Constants!$B$33))</f>
        <v/>
      </c>
      <c r="BW144" s="100" t="str">
        <f aca="false">IF($BH144&lt;&gt;Constants!$B$4,"",Constants!$B$34*$BJ144)</f>
        <v/>
      </c>
      <c r="BX144" s="100" t="str">
        <f aca="false">IF($BH144&lt;&gt;Constants!$B$4,"",IF(OR(NOT($AJ144),$BE144),0,Constants!$B$36))</f>
        <v/>
      </c>
      <c r="BY144" s="100" t="str">
        <f aca="false">IF($BH144&lt;&gt;Constants!$B$4,"",IF(OR(NOT($AJ144),$BD144),0,Constants!$B$37))</f>
        <v/>
      </c>
      <c r="BZ144" s="100" t="str">
        <f aca="false">IF($BH144&lt;&gt;Constants!$B$4,"",SUM($BT144:$BY144))</f>
        <v/>
      </c>
      <c r="CA144" s="100" t="str">
        <f aca="false">IF(ISBLANK($C144),"",IF($BH144&lt;&gt;Constants!$B$4,$BH144,SUM($BK144:$BS144)-$BZ144))</f>
        <v/>
      </c>
      <c r="CB144" s="100" t="str">
        <f aca="false">IF(ISBLANK($C144),"",IF($BH144&lt;&gt;Constants!$B$4,$BH144,RANK($CA144,$CA$9:$CA$508)))</f>
        <v/>
      </c>
      <c r="CC144" s="100" t="str">
        <f aca="false">IF(ISBLANK($C144),"",IF($BH144&lt;&gt;Constants!$B$4,$BH144,COUNTIFS($BI$9:$BI$508,"&lt;"&amp;$BI144)+COUNTIFS($BI$9:$BI$508,$BI144,$CB$9:$CB$508,"&lt;"&amp;$CB144)+1))</f>
        <v/>
      </c>
      <c r="CD144" s="100" t="str">
        <f aca="false">IF(ISBLANK($C144),"",IF($BH144&lt;&gt;Constants!$B$4,$BH144,RANK($BZ144,$BZ$9:$BZ$508,1)))</f>
        <v/>
      </c>
      <c r="CE144" s="100" t="str">
        <f aca="false">IF($BH144&lt;&gt;Constants!$B$4,"",$AL144+$AM144+$AN144)</f>
        <v/>
      </c>
      <c r="CF144" s="100" t="str">
        <f aca="false">IF(ISBLANK($C144),"",IF($BH144&lt;&gt;Constants!$B$4,$BH144,RANK($CE144,$CE$9:$CE$508,1)))</f>
        <v/>
      </c>
      <c r="CG144" s="100" t="str">
        <f aca="false">IF(ISBLANK($C144),"",IF($BH144&lt;&gt;Constants!$B$4,$BH144,COUNTIFS($BI$9:$BI$508,"&lt;"&amp;$BI144)+COUNTIFS($BI$9:$BI$508,$BI144,$CB$9:$CB$508,"&lt;"&amp;$CB144)+COUNTIFS($BI$9:$BI$508,$BI144,$CB$9:$CB$508,$CB144,$CD$9:$CD$508,"&lt;"&amp;$CD144)+COUNTIFS($BI$9:$BI$508,$BI144,$CB$9:$CB$508,$CB144,$CD$9:$CD$508,$CD144,$CF$9:$CF$508,"&lt;"&amp;$CF144)+1))</f>
        <v/>
      </c>
      <c r="CH144" s="100" t="str">
        <f aca="false">IF(ISBLANK($C144),"",IF($BH144&lt;&gt;Constants!$B$4,$BH144,$CC144-$CG144))</f>
        <v/>
      </c>
      <c r="CI144" s="100" t="str">
        <f aca="false">IF(ISBLANK($C144),"",IF(NOT($AJ144),"",IF(ISBLANK($D$7),$CI$5,IF(NOT(ISNUMBER($D$7)),$CI$6,""))))</f>
        <v/>
      </c>
      <c r="CJ144" s="100" t="str">
        <f aca="false">IF(ISBLANK($C144),"",OR($AL144="",$AM144="",$AN144=""))</f>
        <v/>
      </c>
      <c r="CK144" s="100" t="str">
        <f aca="false">IF(ISBLANK($C144),"",AND($AJ144,$AX144=""))</f>
        <v/>
      </c>
      <c r="CL144" s="100" t="str">
        <f aca="false">IF(ISBLANK($C144),"",AND($AJ144,$AY144=""))</f>
        <v/>
      </c>
      <c r="CM144" s="100" t="str">
        <f aca="false">IF(ISBLANK($C144),"",AND($AJ144,$AZ144=""))</f>
        <v/>
      </c>
      <c r="CN144" s="100" t="str">
        <f aca="false">IF(ISBLANK($C144),"",AND($AJ144,$BC144=""))</f>
        <v/>
      </c>
      <c r="CO144" s="100" t="str">
        <f aca="false">IF(ISBLANK($C144),"",AND($AJ144,$BF144=""))</f>
        <v/>
      </c>
      <c r="CP144" s="101"/>
      <c r="CQ144" s="102"/>
      <c r="CR144" s="103" t="str">
        <f aca="false">IF(ISBLANK($C144),"",IF($BH144=Constants!$B$8,$CI144,""))</f>
        <v/>
      </c>
      <c r="CS144" s="102" t="str">
        <f aca="false">IF(ISBLANK($C144),"",IF($BH144&lt;&gt;Constants!$B$4,"",$BK144+$BL144))</f>
        <v/>
      </c>
      <c r="CT144" s="104" t="str">
        <f aca="false">IF(ISBLANK($C144),"",IF($BH144&lt;&gt;Constants!$B$4,"",$BM144+$BN144+$BO144))</f>
        <v/>
      </c>
      <c r="CU144" s="104" t="str">
        <f aca="false">IF(ISBLANK($C144),"",IF($BH144&lt;&gt;Constants!$B$4,"",$BP144))</f>
        <v/>
      </c>
      <c r="CV144" s="104" t="str">
        <f aca="false">IF(ISBLANK($C144),"",IF($BH144&lt;&gt;Constants!$B$4,"",$BQ144+$BR144))</f>
        <v/>
      </c>
      <c r="CW144" s="104" t="str">
        <f aca="false">IF(ISBLANK($C144),"",IF($BH144&lt;&gt;Constants!$B$4,"",$BS144))</f>
        <v/>
      </c>
      <c r="CX144" s="104" t="str">
        <f aca="false">IF(ISBLANK($C144),"",IF($BH144&lt;&gt;Constants!$B$4,"",-$BZ144))</f>
        <v/>
      </c>
      <c r="CY144" s="103" t="str">
        <f aca="false">IF(ISBLANK($C144),"",$CA144)</f>
        <v/>
      </c>
      <c r="CZ144" s="105" t="str">
        <f aca="false">IF(ISBLANK($C144),"",$BI144)</f>
        <v/>
      </c>
      <c r="DA144" s="104" t="str">
        <f aca="false">IF(ISBLANK($C144),"",$CH144)</f>
        <v/>
      </c>
      <c r="DB144" s="104" t="str">
        <f aca="false">IF(ISBLANK($C144),"",$CG144)</f>
        <v/>
      </c>
      <c r="DC144" s="106" t="str">
        <f aca="false">IF(ISBLANK($C144),"",IFERROR(_xlfn.SWITCH($DB144,Constants!$B$7,COUNTA($C$9:$C$508)+2,Constants!$B$6,COUNTA($C$9:$C$508)+1,Constants!$B$5,COUNTA($C$9:$C$508)),$DB144))</f>
        <v/>
      </c>
      <c r="DD144" s="7"/>
      <c r="DE144" s="107" t="n">
        <f aca="false">IF(OR(ISNUMBER($DB144),$DB144=Constants!$B$7,$DB144=Constants!$B$5,$DB144=Constants!$B$6),1,0)</f>
        <v>0</v>
      </c>
      <c r="DF144" s="107" t="n">
        <v>136</v>
      </c>
      <c r="DG144" s="107" t="str">
        <f aca="false">IF(ISBLANK($C144),"",IF(ISNUMBER($DC144),$DC144+ROW($B144)/1000,""))</f>
        <v/>
      </c>
      <c r="DH144" s="107" t="str">
        <f aca="false">IF(ISNUMBER($DG144),RANK($DG144,$DG$9:$DG$508,1),"")</f>
        <v/>
      </c>
      <c r="DI144" s="107" t="str">
        <f aca="false">IF(ISBLANK($C144),"",$B144)</f>
        <v/>
      </c>
      <c r="DJ144" s="107" t="str">
        <f aca="false">IF(ISBLANK($C144),"",$C144)</f>
        <v/>
      </c>
      <c r="DK144" s="107" t="str">
        <f aca="false">IF(ISBLANK($C144),"",$D144)</f>
        <v/>
      </c>
      <c r="DL144" s="108" t="str">
        <f aca="false">$CZ144</f>
        <v/>
      </c>
      <c r="DM144" s="109" t="str">
        <f aca="false">$CY144</f>
        <v/>
      </c>
      <c r="DN144" s="107" t="str">
        <f aca="false">IF(ISBLANK($C144),"",$DB144)</f>
        <v/>
      </c>
      <c r="DO144" s="110" t="str">
        <f aca="false">IF($DF144&gt;$DE$8,"",VLOOKUP($DF144,$DH$9:$DN$508,7,FALSE()))</f>
        <v/>
      </c>
      <c r="DP144" s="111" t="str">
        <f aca="false">IF($DF144&gt;$DE$8,"",VLOOKUP($DF144,$DH$9:$DN$508,2,FALSE()))</f>
        <v/>
      </c>
      <c r="DQ144" s="111" t="str">
        <f aca="false">IF($DF144&gt;$DE$8,"",VLOOKUP($DF144,$DH$9:$DN$508,3,FALSE()))</f>
        <v/>
      </c>
      <c r="DR144" s="111" t="str">
        <f aca="false">IF($DF144&gt;$DE$8,"",VLOOKUP($DF144,$DH$9:$DN$508,4,FALSE()))</f>
        <v/>
      </c>
      <c r="DS144" s="111" t="str">
        <f aca="false">IF($DF144&gt;$DE$8,"",VLOOKUP($DF144,$DH$9:$DN$508,5,FALSE()))</f>
        <v/>
      </c>
      <c r="DT144" s="112" t="str">
        <f aca="false">IF($DF144&gt;$DE$8,"",VLOOKUP($DF144,$DH$9:$DN$508,6,FALSE()))</f>
        <v/>
      </c>
      <c r="DU144" s="62"/>
    </row>
    <row r="145" customFormat="false" ht="15.75" hidden="false" customHeight="false" outlineLevel="0" collapsed="false">
      <c r="A145" s="7"/>
      <c r="B145" s="90"/>
      <c r="C145" s="91"/>
      <c r="D145" s="126"/>
      <c r="E145" s="130"/>
      <c r="F145" s="135"/>
      <c r="G145" s="130"/>
      <c r="H145" s="135"/>
      <c r="I145" s="131"/>
      <c r="J145" s="131"/>
      <c r="K145" s="131"/>
      <c r="L145" s="130"/>
      <c r="M145" s="130"/>
      <c r="N145" s="130"/>
      <c r="O145" s="135"/>
      <c r="P145" s="130"/>
      <c r="Q145" s="130"/>
      <c r="R145" s="130"/>
      <c r="S145" s="130"/>
      <c r="T145" s="135"/>
      <c r="U145" s="130"/>
      <c r="V145" s="96"/>
      <c r="W145" s="130"/>
      <c r="X145" s="130"/>
      <c r="Y145" s="96"/>
      <c r="Z145" s="96"/>
      <c r="AA145" s="130"/>
      <c r="AB145" s="130"/>
      <c r="AC145" s="97"/>
      <c r="AD145" s="130"/>
      <c r="AE145" s="99"/>
      <c r="AF145" s="100"/>
      <c r="AG145" s="100"/>
      <c r="AH145" s="100" t="str">
        <f aca="false">IF(ISBLANK($C145),"",IF($E145=Constants!$B$2,TRUE(),IF($E145=Constants!$B$3,FALSE(),TRUE())))</f>
        <v/>
      </c>
      <c r="AI145" s="100" t="str">
        <f aca="false">IF(ISBLANK($C145),"",IF($F145=Constants!$B$2,TRUE(),IF($F145=Constants!$B$3,FALSE(),FALSE())))</f>
        <v/>
      </c>
      <c r="AJ145" s="100" t="str">
        <f aca="false">IF(ISBLANK($C145),"",IF($G145=Constants!$B$2,TRUE(),IF($G145=Constants!$B$3,FALSE(),TRUE())))</f>
        <v/>
      </c>
      <c r="AK145" s="100" t="str">
        <f aca="false">IF(ISBLANK($C145),"",IF($H145=Constants!$B$2,TRUE(),IF($H145=Constants!$B$3,FALSE(),TRUE())))</f>
        <v/>
      </c>
      <c r="AL145" s="100" t="str">
        <f aca="false">IF(ISBLANK($C145),"",IF(ISNUMBER($I145),IF($I145&gt;=0,$I145,""),""))</f>
        <v/>
      </c>
      <c r="AM145" s="100" t="str">
        <f aca="false">IF(ISBLANK($C145),"",IF(ISNUMBER($J145),IF($J145&gt;=0,$J145,""),""))</f>
        <v/>
      </c>
      <c r="AN145" s="100" t="str">
        <f aca="false">IF(ISBLANK($C145),"",IF(ISNUMBER($K145),IF($K145&gt;=0,$K145,""),""))</f>
        <v/>
      </c>
      <c r="AO145" s="100" t="str">
        <f aca="false">IF(ISBLANK($C145),"",IF($L145=Constants!$B$2,TRUE(),IF($L145=Constants!$B$3,FALSE(),TRUE())))</f>
        <v/>
      </c>
      <c r="AP145" s="100" t="str">
        <f aca="false">IF(ISBLANK($C145),"",IF($M145=Constants!$B$2,TRUE(),IF($M145=Constants!$B$3,FALSE(),TRUE())))</f>
        <v/>
      </c>
      <c r="AQ145" s="100" t="str">
        <f aca="false">IF(ISBLANK($C145),"",IF($N145=Constants!$B$2,TRUE(),IF($N145=Constants!$B$3,FALSE(),FALSE())))</f>
        <v/>
      </c>
      <c r="AR145" s="100" t="str">
        <f aca="false">IF(ISBLANK($C145),"",IF($O145=Constants!$B$2,TRUE(),IF($O145=Constants!$B$3,FALSE(),TRUE())))</f>
        <v/>
      </c>
      <c r="AS145" s="100" t="str">
        <f aca="false">IF(ISBLANK($C145),"",IF($P145=Constants!$B$2,TRUE(),IF($P145=Constants!$B$3,FALSE(),FALSE())))</f>
        <v/>
      </c>
      <c r="AT145" s="100" t="str">
        <f aca="false">IF(ISBLANK($C145),"",IF($Q145=Constants!$B$2,TRUE(),IF($Q145=Constants!$B$3,FALSE(),FALSE())))</f>
        <v/>
      </c>
      <c r="AU145" s="100" t="str">
        <f aca="false">IF(ISBLANK($C145),"",IF($R145=Constants!$B$2,TRUE(),IF($R145=Constants!$B$3,FALSE(),FALSE())))</f>
        <v/>
      </c>
      <c r="AV145" s="100" t="str">
        <f aca="false">IF(ISBLANK($C145),"",IF($S145=Constants!$B$2,TRUE(),IF($S145=Constants!$B$3,FALSE(),FALSE())))</f>
        <v/>
      </c>
      <c r="AW145" s="100" t="str">
        <f aca="false">IF(ISBLANK($C145),"",IF($T145=Constants!$B$2,TRUE(),IF($T145=Constants!$B$3,FALSE(),FALSE())))</f>
        <v/>
      </c>
      <c r="AX145" s="100" t="str">
        <f aca="false">IF(ISBLANK($C145),"",IF(OR($U145&amp;""="1",$U145&amp;""="2",$U145&amp;""="3",$U145&amp;""="4"),VALUE($U145&amp;""),IF($U145=Constants!$B$12,Constants!$B$12,"")))</f>
        <v/>
      </c>
      <c r="AY145" s="100" t="str">
        <f aca="false">IF(ISBLANK($C145),"",IF(ISBLANK($V145),0,IF(ISNUMBER($V145),IF(AND($V145&gt;=0,$V145&lt;=Constants!$B$21,$V145=INT($V145)),$V145,""),"")))</f>
        <v/>
      </c>
      <c r="AZ145" s="100" t="str">
        <f aca="false">IF(ISBLANK($C145),"",IF(ISBLANK($W145),0,IF(ISNUMBER($W145),IF($W145&gt;=0,$W145,""),"")))</f>
        <v/>
      </c>
      <c r="BA145" s="100" t="str">
        <f aca="false">IF(ISBLANK($C145),"",IF($X145=Constants!$B$2,TRUE(),IF($X145=Constants!$B$3,FALSE(),TRUE())))</f>
        <v/>
      </c>
      <c r="BB145" s="100" t="str">
        <f aca="false">IF(ISBLANK($C145),"",IF($Y145=Constants!$B$2,TRUE(),IF($Y145=Constants!$B$3,FALSE(),FALSE())))</f>
        <v/>
      </c>
      <c r="BC145" s="100" t="str">
        <f aca="false">IF(ISBLANK($C145),"",IF(ISBLANK($Z145),0,IF(ISNUMBER($Z145),IF(AND($Z145&gt;=0,$Z145&lt;=Constants!$B$35,$Z145=INT($Z145)),$Z145,""),"")))</f>
        <v/>
      </c>
      <c r="BD145" s="100" t="str">
        <f aca="false">IF(ISBLANK($C145),"",IF($AA145=Constants!$B$2,TRUE(),IF($AA145=Constants!$B$3,FALSE(),TRUE())))</f>
        <v/>
      </c>
      <c r="BE145" s="100" t="str">
        <f aca="false">IF(ISBLANK($C145),"",IF($AB145=Constants!$B$2,TRUE(),IF($AB145=Constants!$B$3,FALSE(),TRUE())))</f>
        <v/>
      </c>
      <c r="BF145" s="100" t="str">
        <f aca="false">IF(ISBLANK($C145),"",IF(ISNUMBER($AC145),IF($AC145&gt;=0,$AC145,""),""))</f>
        <v/>
      </c>
      <c r="BG145" s="100" t="str">
        <f aca="false">IF(ISBLANK($C145),"",IF($AD145=Constants!$B$2,TRUE(),IF($AD145=Constants!$B$3,FALSE(),FALSE())))</f>
        <v/>
      </c>
      <c r="BH145" s="99" t="str">
        <f aca="false">IF(ISBLANK($C145),"",IF($BG145,Constants!$B$7,IF(COUNTA($E145:$AC145)=0,Constants!$B$6,IF(OR(COUNTA($G145:$AC145)=0,NOT($AK145),$AQ145),Constants!$B$5,IF(OR($CI145&lt;&gt;"",$CJ145,$CK145,$CL145,$CM145,$CN145,$CO145),Constants!$B$8,Constants!$B$4)))))</f>
        <v/>
      </c>
      <c r="BI145" s="100" t="str">
        <f aca="false">IF(ISBLANK($C145),"",IF($BH145&lt;&gt;Constants!$B$4,$BH145,IF(OR(NOT($AH145),NOT($AJ145),NOT($AR145)),Constants!$B$11,IF(OR(NOT($AP145),MAX($AL145,$AM145,$AN145)&gt;Constants!$B$30),Constants!$B$10,Constants!$B$9))))</f>
        <v/>
      </c>
      <c r="BJ145" s="100" t="str">
        <f aca="false">IF($BH145&lt;&gt;Constants!$B$4,"",IF(NOT($AJ145),0,MIN(Constants!$B$35,$BC145)))</f>
        <v/>
      </c>
      <c r="BK145" s="100" t="str">
        <f aca="false">IF($BH145&lt;&gt;Constants!$B$4,"",IF(NOT($AJ145),0,IF($AT145,Constants!$B$18,IF($AS145,Constants!$B$17,0))))</f>
        <v/>
      </c>
      <c r="BL145" s="100" t="str">
        <f aca="false">IF($BH145&lt;&gt;Constants!$B$4,"",IF(NOT($AJ145),0,Constants!$B$19*($AI145+$AU145+$AV145+$AW145)))</f>
        <v/>
      </c>
      <c r="BM145" s="100" t="str">
        <f aca="false">IF($BH145&lt;&gt;Constants!$B$4,"",IF(OR(NOT($AJ145),NOT(ISNUMBER($AX145))),0,CHOOSE($AX145,Constants!$B$13,Constants!$B$14,Constants!$B$15,Constants!$B$16)))</f>
        <v/>
      </c>
      <c r="BN145" s="100" t="str">
        <f aca="false">IF($BH145&lt;&gt;Constants!$B$4,"",IF(NOT($AJ145),0,Constants!$B$20*$AY145))</f>
        <v/>
      </c>
      <c r="BO145" s="100" t="str">
        <f aca="false">IF($BH145&lt;&gt;Constants!$B$4,"",IF(AND($AJ145,$BA145,$BB145),Constants!$B$22,0))</f>
        <v/>
      </c>
      <c r="BP145" s="100" t="str">
        <f aca="false">IF($BH145&lt;&gt;Constants!$B$4,"",IF(OR(NOT($AJ145),NOT($BA145)),0,IF($BF145&gt;=2*$AF$9,0,Constants!$B$23*INT(ROUND(MIN($BF145,$AF$9),6)))))</f>
        <v/>
      </c>
      <c r="BQ145" s="100" t="str">
        <f aca="false">IF($BH145&lt;&gt;Constants!$B$4,"",IF(NOT($AJ145),0,Constants!$B$24*INT(ROUND(MIN($AZ145,$AF$9),6))))</f>
        <v/>
      </c>
      <c r="BR145" s="100" t="str">
        <f aca="false">IF($BH145&lt;&gt;Constants!$B$4,"",IF(AND($AJ145,$BJ145=0),Constants!$B$25,0))</f>
        <v/>
      </c>
      <c r="BS145" s="100" t="str">
        <f aca="false">IF($BH145&lt;&gt;Constants!$B$4,"",MIN(Constants!$B$29,MAX(0,Constants!$B$27*Constants!$B$28*INT(ROUND((Constants!$B$26-$AL145)/Constants!$B$28,6))))+MIN(Constants!$B$29,MAX(0,Constants!$B$27*Constants!$B$28*INT(ROUND((Constants!$B$26-$AM145)/Constants!$B$28,6))))+MIN(Constants!$B$29,MAX(0,Constants!$B$27*Constants!$B$28*INT(ROUND((Constants!$B$26-$AN145)/Constants!$B$28,6)))))</f>
        <v/>
      </c>
      <c r="BT145" s="100" t="str">
        <f aca="false">IF($BH145&lt;&gt;Constants!$B$4,"",IF(NOT($AJ145),0,Constants!$B$31*INT(ROUND(MAX(0,MIN($BF145,2*$AF$9)-$AF$9),6))))</f>
        <v/>
      </c>
      <c r="BU145" s="100" t="str">
        <f aca="false">IF($BH145&lt;&gt;Constants!$B$4,"",Constants!$B$32*(($AL145&gt;Constants!$B$26)+($AM145&gt;Constants!$B$26)+($AN145&gt;Constants!$B$26)))</f>
        <v/>
      </c>
      <c r="BV145" s="100" t="str">
        <f aca="false">IF($BH145&lt;&gt;Constants!$B$4,"",IF(OR(NOT($AJ145),$AO145),0,Constants!$B$33))</f>
        <v/>
      </c>
      <c r="BW145" s="100" t="str">
        <f aca="false">IF($BH145&lt;&gt;Constants!$B$4,"",Constants!$B$34*$BJ145)</f>
        <v/>
      </c>
      <c r="BX145" s="100" t="str">
        <f aca="false">IF($BH145&lt;&gt;Constants!$B$4,"",IF(OR(NOT($AJ145),$BE145),0,Constants!$B$36))</f>
        <v/>
      </c>
      <c r="BY145" s="100" t="str">
        <f aca="false">IF($BH145&lt;&gt;Constants!$B$4,"",IF(OR(NOT($AJ145),$BD145),0,Constants!$B$37))</f>
        <v/>
      </c>
      <c r="BZ145" s="100" t="str">
        <f aca="false">IF($BH145&lt;&gt;Constants!$B$4,"",SUM($BT145:$BY145))</f>
        <v/>
      </c>
      <c r="CA145" s="100" t="str">
        <f aca="false">IF(ISBLANK($C145),"",IF($BH145&lt;&gt;Constants!$B$4,$BH145,SUM($BK145:$BS145)-$BZ145))</f>
        <v/>
      </c>
      <c r="CB145" s="100" t="str">
        <f aca="false">IF(ISBLANK($C145),"",IF($BH145&lt;&gt;Constants!$B$4,$BH145,RANK($CA145,$CA$9:$CA$508)))</f>
        <v/>
      </c>
      <c r="CC145" s="100" t="str">
        <f aca="false">IF(ISBLANK($C145),"",IF($BH145&lt;&gt;Constants!$B$4,$BH145,COUNTIFS($BI$9:$BI$508,"&lt;"&amp;$BI145)+COUNTIFS($BI$9:$BI$508,$BI145,$CB$9:$CB$508,"&lt;"&amp;$CB145)+1))</f>
        <v/>
      </c>
      <c r="CD145" s="100" t="str">
        <f aca="false">IF(ISBLANK($C145),"",IF($BH145&lt;&gt;Constants!$B$4,$BH145,RANK($BZ145,$BZ$9:$BZ$508,1)))</f>
        <v/>
      </c>
      <c r="CE145" s="100" t="str">
        <f aca="false">IF($BH145&lt;&gt;Constants!$B$4,"",$AL145+$AM145+$AN145)</f>
        <v/>
      </c>
      <c r="CF145" s="100" t="str">
        <f aca="false">IF(ISBLANK($C145),"",IF($BH145&lt;&gt;Constants!$B$4,$BH145,RANK($CE145,$CE$9:$CE$508,1)))</f>
        <v/>
      </c>
      <c r="CG145" s="100" t="str">
        <f aca="false">IF(ISBLANK($C145),"",IF($BH145&lt;&gt;Constants!$B$4,$BH145,COUNTIFS($BI$9:$BI$508,"&lt;"&amp;$BI145)+COUNTIFS($BI$9:$BI$508,$BI145,$CB$9:$CB$508,"&lt;"&amp;$CB145)+COUNTIFS($BI$9:$BI$508,$BI145,$CB$9:$CB$508,$CB145,$CD$9:$CD$508,"&lt;"&amp;$CD145)+COUNTIFS($BI$9:$BI$508,$BI145,$CB$9:$CB$508,$CB145,$CD$9:$CD$508,$CD145,$CF$9:$CF$508,"&lt;"&amp;$CF145)+1))</f>
        <v/>
      </c>
      <c r="CH145" s="100" t="str">
        <f aca="false">IF(ISBLANK($C145),"",IF($BH145&lt;&gt;Constants!$B$4,$BH145,$CC145-$CG145))</f>
        <v/>
      </c>
      <c r="CI145" s="100" t="str">
        <f aca="false">IF(ISBLANK($C145),"",IF(NOT($AJ145),"",IF(ISBLANK($D$7),$CI$5,IF(NOT(ISNUMBER($D$7)),$CI$6,""))))</f>
        <v/>
      </c>
      <c r="CJ145" s="100" t="str">
        <f aca="false">IF(ISBLANK($C145),"",OR($AL145="",$AM145="",$AN145=""))</f>
        <v/>
      </c>
      <c r="CK145" s="100" t="str">
        <f aca="false">IF(ISBLANK($C145),"",AND($AJ145,$AX145=""))</f>
        <v/>
      </c>
      <c r="CL145" s="100" t="str">
        <f aca="false">IF(ISBLANK($C145),"",AND($AJ145,$AY145=""))</f>
        <v/>
      </c>
      <c r="CM145" s="100" t="str">
        <f aca="false">IF(ISBLANK($C145),"",AND($AJ145,$AZ145=""))</f>
        <v/>
      </c>
      <c r="CN145" s="100" t="str">
        <f aca="false">IF(ISBLANK($C145),"",AND($AJ145,$BC145=""))</f>
        <v/>
      </c>
      <c r="CO145" s="100" t="str">
        <f aca="false">IF(ISBLANK($C145),"",AND($AJ145,$BF145=""))</f>
        <v/>
      </c>
      <c r="CP145" s="101"/>
      <c r="CQ145" s="102"/>
      <c r="CR145" s="103" t="str">
        <f aca="false">IF(ISBLANK($C145),"",IF($BH145=Constants!$B$8,$CI145,""))</f>
        <v/>
      </c>
      <c r="CS145" s="102" t="str">
        <f aca="false">IF(ISBLANK($C145),"",IF($BH145&lt;&gt;Constants!$B$4,"",$BK145+$BL145))</f>
        <v/>
      </c>
      <c r="CT145" s="104" t="str">
        <f aca="false">IF(ISBLANK($C145),"",IF($BH145&lt;&gt;Constants!$B$4,"",$BM145+$BN145+$BO145))</f>
        <v/>
      </c>
      <c r="CU145" s="104" t="str">
        <f aca="false">IF(ISBLANK($C145),"",IF($BH145&lt;&gt;Constants!$B$4,"",$BP145))</f>
        <v/>
      </c>
      <c r="CV145" s="104" t="str">
        <f aca="false">IF(ISBLANK($C145),"",IF($BH145&lt;&gt;Constants!$B$4,"",$BQ145+$BR145))</f>
        <v/>
      </c>
      <c r="CW145" s="104" t="str">
        <f aca="false">IF(ISBLANK($C145),"",IF($BH145&lt;&gt;Constants!$B$4,"",$BS145))</f>
        <v/>
      </c>
      <c r="CX145" s="104" t="str">
        <f aca="false">IF(ISBLANK($C145),"",IF($BH145&lt;&gt;Constants!$B$4,"",-$BZ145))</f>
        <v/>
      </c>
      <c r="CY145" s="103" t="str">
        <f aca="false">IF(ISBLANK($C145),"",$CA145)</f>
        <v/>
      </c>
      <c r="CZ145" s="105" t="str">
        <f aca="false">IF(ISBLANK($C145),"",$BI145)</f>
        <v/>
      </c>
      <c r="DA145" s="104" t="str">
        <f aca="false">IF(ISBLANK($C145),"",$CH145)</f>
        <v/>
      </c>
      <c r="DB145" s="104" t="str">
        <f aca="false">IF(ISBLANK($C145),"",$CG145)</f>
        <v/>
      </c>
      <c r="DC145" s="106" t="str">
        <f aca="false">IF(ISBLANK($C145),"",IFERROR(_xlfn.SWITCH($DB145,Constants!$B$7,COUNTA($C$9:$C$508)+2,Constants!$B$6,COUNTA($C$9:$C$508)+1,Constants!$B$5,COUNTA($C$9:$C$508)),$DB145))</f>
        <v/>
      </c>
      <c r="DD145" s="7"/>
      <c r="DE145" s="107" t="n">
        <f aca="false">IF(OR(ISNUMBER($DB145),$DB145=Constants!$B$7,$DB145=Constants!$B$5,$DB145=Constants!$B$6),1,0)</f>
        <v>0</v>
      </c>
      <c r="DF145" s="107" t="n">
        <v>137</v>
      </c>
      <c r="DG145" s="107" t="str">
        <f aca="false">IF(ISBLANK($C145),"",IF(ISNUMBER($DC145),$DC145+ROW($B145)/1000,""))</f>
        <v/>
      </c>
      <c r="DH145" s="107" t="str">
        <f aca="false">IF(ISNUMBER($DG145),RANK($DG145,$DG$9:$DG$508,1),"")</f>
        <v/>
      </c>
      <c r="DI145" s="107" t="str">
        <f aca="false">IF(ISBLANK($C145),"",$B145)</f>
        <v/>
      </c>
      <c r="DJ145" s="107" t="str">
        <f aca="false">IF(ISBLANK($C145),"",$C145)</f>
        <v/>
      </c>
      <c r="DK145" s="107" t="str">
        <f aca="false">IF(ISBLANK($C145),"",$D145)</f>
        <v/>
      </c>
      <c r="DL145" s="108" t="str">
        <f aca="false">$CZ145</f>
        <v/>
      </c>
      <c r="DM145" s="109" t="str">
        <f aca="false">$CY145</f>
        <v/>
      </c>
      <c r="DN145" s="107" t="str">
        <f aca="false">IF(ISBLANK($C145),"",$DB145)</f>
        <v/>
      </c>
      <c r="DO145" s="110" t="str">
        <f aca="false">IF($DF145&gt;$DE$8,"",VLOOKUP($DF145,$DH$9:$DN$508,7,FALSE()))</f>
        <v/>
      </c>
      <c r="DP145" s="111" t="str">
        <f aca="false">IF($DF145&gt;$DE$8,"",VLOOKUP($DF145,$DH$9:$DN$508,2,FALSE()))</f>
        <v/>
      </c>
      <c r="DQ145" s="111" t="str">
        <f aca="false">IF($DF145&gt;$DE$8,"",VLOOKUP($DF145,$DH$9:$DN$508,3,FALSE()))</f>
        <v/>
      </c>
      <c r="DR145" s="111" t="str">
        <f aca="false">IF($DF145&gt;$DE$8,"",VLOOKUP($DF145,$DH$9:$DN$508,4,FALSE()))</f>
        <v/>
      </c>
      <c r="DS145" s="111" t="str">
        <f aca="false">IF($DF145&gt;$DE$8,"",VLOOKUP($DF145,$DH$9:$DN$508,5,FALSE()))</f>
        <v/>
      </c>
      <c r="DT145" s="112" t="str">
        <f aca="false">IF($DF145&gt;$DE$8,"",VLOOKUP($DF145,$DH$9:$DN$508,6,FALSE()))</f>
        <v/>
      </c>
      <c r="DU145" s="62"/>
    </row>
    <row r="146" customFormat="false" ht="15.75" hidden="false" customHeight="false" outlineLevel="0" collapsed="false">
      <c r="A146" s="7"/>
      <c r="B146" s="90"/>
      <c r="C146" s="91"/>
      <c r="D146" s="126"/>
      <c r="E146" s="130"/>
      <c r="F146" s="135"/>
      <c r="G146" s="130"/>
      <c r="H146" s="135"/>
      <c r="I146" s="131"/>
      <c r="J146" s="131"/>
      <c r="K146" s="131"/>
      <c r="L146" s="130"/>
      <c r="M146" s="130"/>
      <c r="N146" s="130"/>
      <c r="O146" s="135"/>
      <c r="P146" s="130"/>
      <c r="Q146" s="130"/>
      <c r="R146" s="130"/>
      <c r="S146" s="130"/>
      <c r="T146" s="135"/>
      <c r="U146" s="130"/>
      <c r="V146" s="96"/>
      <c r="W146" s="130"/>
      <c r="X146" s="130"/>
      <c r="Y146" s="96"/>
      <c r="Z146" s="96"/>
      <c r="AA146" s="130"/>
      <c r="AB146" s="130"/>
      <c r="AC146" s="97"/>
      <c r="AD146" s="130"/>
      <c r="AE146" s="99"/>
      <c r="AF146" s="100"/>
      <c r="AG146" s="100"/>
      <c r="AH146" s="100" t="str">
        <f aca="false">IF(ISBLANK($C146),"",IF($E146=Constants!$B$2,TRUE(),IF($E146=Constants!$B$3,FALSE(),TRUE())))</f>
        <v/>
      </c>
      <c r="AI146" s="100" t="str">
        <f aca="false">IF(ISBLANK($C146),"",IF($F146=Constants!$B$2,TRUE(),IF($F146=Constants!$B$3,FALSE(),FALSE())))</f>
        <v/>
      </c>
      <c r="AJ146" s="100" t="str">
        <f aca="false">IF(ISBLANK($C146),"",IF($G146=Constants!$B$2,TRUE(),IF($G146=Constants!$B$3,FALSE(),TRUE())))</f>
        <v/>
      </c>
      <c r="AK146" s="100" t="str">
        <f aca="false">IF(ISBLANK($C146),"",IF($H146=Constants!$B$2,TRUE(),IF($H146=Constants!$B$3,FALSE(),TRUE())))</f>
        <v/>
      </c>
      <c r="AL146" s="100" t="str">
        <f aca="false">IF(ISBLANK($C146),"",IF(ISNUMBER($I146),IF($I146&gt;=0,$I146,""),""))</f>
        <v/>
      </c>
      <c r="AM146" s="100" t="str">
        <f aca="false">IF(ISBLANK($C146),"",IF(ISNUMBER($J146),IF($J146&gt;=0,$J146,""),""))</f>
        <v/>
      </c>
      <c r="AN146" s="100" t="str">
        <f aca="false">IF(ISBLANK($C146),"",IF(ISNUMBER($K146),IF($K146&gt;=0,$K146,""),""))</f>
        <v/>
      </c>
      <c r="AO146" s="100" t="str">
        <f aca="false">IF(ISBLANK($C146),"",IF($L146=Constants!$B$2,TRUE(),IF($L146=Constants!$B$3,FALSE(),TRUE())))</f>
        <v/>
      </c>
      <c r="AP146" s="100" t="str">
        <f aca="false">IF(ISBLANK($C146),"",IF($M146=Constants!$B$2,TRUE(),IF($M146=Constants!$B$3,FALSE(),TRUE())))</f>
        <v/>
      </c>
      <c r="AQ146" s="100" t="str">
        <f aca="false">IF(ISBLANK($C146),"",IF($N146=Constants!$B$2,TRUE(),IF($N146=Constants!$B$3,FALSE(),FALSE())))</f>
        <v/>
      </c>
      <c r="AR146" s="100" t="str">
        <f aca="false">IF(ISBLANK($C146),"",IF($O146=Constants!$B$2,TRUE(),IF($O146=Constants!$B$3,FALSE(),TRUE())))</f>
        <v/>
      </c>
      <c r="AS146" s="100" t="str">
        <f aca="false">IF(ISBLANK($C146),"",IF($P146=Constants!$B$2,TRUE(),IF($P146=Constants!$B$3,FALSE(),FALSE())))</f>
        <v/>
      </c>
      <c r="AT146" s="100" t="str">
        <f aca="false">IF(ISBLANK($C146),"",IF($Q146=Constants!$B$2,TRUE(),IF($Q146=Constants!$B$3,FALSE(),FALSE())))</f>
        <v/>
      </c>
      <c r="AU146" s="100" t="str">
        <f aca="false">IF(ISBLANK($C146),"",IF($R146=Constants!$B$2,TRUE(),IF($R146=Constants!$B$3,FALSE(),FALSE())))</f>
        <v/>
      </c>
      <c r="AV146" s="100" t="str">
        <f aca="false">IF(ISBLANK($C146),"",IF($S146=Constants!$B$2,TRUE(),IF($S146=Constants!$B$3,FALSE(),FALSE())))</f>
        <v/>
      </c>
      <c r="AW146" s="100" t="str">
        <f aca="false">IF(ISBLANK($C146),"",IF($T146=Constants!$B$2,TRUE(),IF($T146=Constants!$B$3,FALSE(),FALSE())))</f>
        <v/>
      </c>
      <c r="AX146" s="100" t="str">
        <f aca="false">IF(ISBLANK($C146),"",IF(OR($U146&amp;""="1",$U146&amp;""="2",$U146&amp;""="3",$U146&amp;""="4"),VALUE($U146&amp;""),IF($U146=Constants!$B$12,Constants!$B$12,"")))</f>
        <v/>
      </c>
      <c r="AY146" s="100" t="str">
        <f aca="false">IF(ISBLANK($C146),"",IF(ISBLANK($V146),0,IF(ISNUMBER($V146),IF(AND($V146&gt;=0,$V146&lt;=Constants!$B$21,$V146=INT($V146)),$V146,""),"")))</f>
        <v/>
      </c>
      <c r="AZ146" s="100" t="str">
        <f aca="false">IF(ISBLANK($C146),"",IF(ISBLANK($W146),0,IF(ISNUMBER($W146),IF($W146&gt;=0,$W146,""),"")))</f>
        <v/>
      </c>
      <c r="BA146" s="100" t="str">
        <f aca="false">IF(ISBLANK($C146),"",IF($X146=Constants!$B$2,TRUE(),IF($X146=Constants!$B$3,FALSE(),TRUE())))</f>
        <v/>
      </c>
      <c r="BB146" s="100" t="str">
        <f aca="false">IF(ISBLANK($C146),"",IF($Y146=Constants!$B$2,TRUE(),IF($Y146=Constants!$B$3,FALSE(),FALSE())))</f>
        <v/>
      </c>
      <c r="BC146" s="100" t="str">
        <f aca="false">IF(ISBLANK($C146),"",IF(ISBLANK($Z146),0,IF(ISNUMBER($Z146),IF(AND($Z146&gt;=0,$Z146&lt;=Constants!$B$35,$Z146=INT($Z146)),$Z146,""),"")))</f>
        <v/>
      </c>
      <c r="BD146" s="100" t="str">
        <f aca="false">IF(ISBLANK($C146),"",IF($AA146=Constants!$B$2,TRUE(),IF($AA146=Constants!$B$3,FALSE(),TRUE())))</f>
        <v/>
      </c>
      <c r="BE146" s="100" t="str">
        <f aca="false">IF(ISBLANK($C146),"",IF($AB146=Constants!$B$2,TRUE(),IF($AB146=Constants!$B$3,FALSE(),TRUE())))</f>
        <v/>
      </c>
      <c r="BF146" s="100" t="str">
        <f aca="false">IF(ISBLANK($C146),"",IF(ISNUMBER($AC146),IF($AC146&gt;=0,$AC146,""),""))</f>
        <v/>
      </c>
      <c r="BG146" s="100" t="str">
        <f aca="false">IF(ISBLANK($C146),"",IF($AD146=Constants!$B$2,TRUE(),IF($AD146=Constants!$B$3,FALSE(),FALSE())))</f>
        <v/>
      </c>
      <c r="BH146" s="99" t="str">
        <f aca="false">IF(ISBLANK($C146),"",IF($BG146,Constants!$B$7,IF(COUNTA($E146:$AC146)=0,Constants!$B$6,IF(OR(COUNTA($G146:$AC146)=0,NOT($AK146),$AQ146),Constants!$B$5,IF(OR($CI146&lt;&gt;"",$CJ146,$CK146,$CL146,$CM146,$CN146,$CO146),Constants!$B$8,Constants!$B$4)))))</f>
        <v/>
      </c>
      <c r="BI146" s="100" t="str">
        <f aca="false">IF(ISBLANK($C146),"",IF($BH146&lt;&gt;Constants!$B$4,$BH146,IF(OR(NOT($AH146),NOT($AJ146),NOT($AR146)),Constants!$B$11,IF(OR(NOT($AP146),MAX($AL146,$AM146,$AN146)&gt;Constants!$B$30),Constants!$B$10,Constants!$B$9))))</f>
        <v/>
      </c>
      <c r="BJ146" s="100" t="str">
        <f aca="false">IF($BH146&lt;&gt;Constants!$B$4,"",IF(NOT($AJ146),0,MIN(Constants!$B$35,$BC146)))</f>
        <v/>
      </c>
      <c r="BK146" s="100" t="str">
        <f aca="false">IF($BH146&lt;&gt;Constants!$B$4,"",IF(NOT($AJ146),0,IF($AT146,Constants!$B$18,IF($AS146,Constants!$B$17,0))))</f>
        <v/>
      </c>
      <c r="BL146" s="100" t="str">
        <f aca="false">IF($BH146&lt;&gt;Constants!$B$4,"",IF(NOT($AJ146),0,Constants!$B$19*($AI146+$AU146+$AV146+$AW146)))</f>
        <v/>
      </c>
      <c r="BM146" s="100" t="str">
        <f aca="false">IF($BH146&lt;&gt;Constants!$B$4,"",IF(OR(NOT($AJ146),NOT(ISNUMBER($AX146))),0,CHOOSE($AX146,Constants!$B$13,Constants!$B$14,Constants!$B$15,Constants!$B$16)))</f>
        <v/>
      </c>
      <c r="BN146" s="100" t="str">
        <f aca="false">IF($BH146&lt;&gt;Constants!$B$4,"",IF(NOT($AJ146),0,Constants!$B$20*$AY146))</f>
        <v/>
      </c>
      <c r="BO146" s="100" t="str">
        <f aca="false">IF($BH146&lt;&gt;Constants!$B$4,"",IF(AND($AJ146,$BA146,$BB146),Constants!$B$22,0))</f>
        <v/>
      </c>
      <c r="BP146" s="100" t="str">
        <f aca="false">IF($BH146&lt;&gt;Constants!$B$4,"",IF(OR(NOT($AJ146),NOT($BA146)),0,IF($BF146&gt;=2*$AF$9,0,Constants!$B$23*INT(ROUND(MIN($BF146,$AF$9),6)))))</f>
        <v/>
      </c>
      <c r="BQ146" s="100" t="str">
        <f aca="false">IF($BH146&lt;&gt;Constants!$B$4,"",IF(NOT($AJ146),0,Constants!$B$24*INT(ROUND(MIN($AZ146,$AF$9),6))))</f>
        <v/>
      </c>
      <c r="BR146" s="100" t="str">
        <f aca="false">IF($BH146&lt;&gt;Constants!$B$4,"",IF(AND($AJ146,$BJ146=0),Constants!$B$25,0))</f>
        <v/>
      </c>
      <c r="BS146" s="100" t="str">
        <f aca="false">IF($BH146&lt;&gt;Constants!$B$4,"",MIN(Constants!$B$29,MAX(0,Constants!$B$27*Constants!$B$28*INT(ROUND((Constants!$B$26-$AL146)/Constants!$B$28,6))))+MIN(Constants!$B$29,MAX(0,Constants!$B$27*Constants!$B$28*INT(ROUND((Constants!$B$26-$AM146)/Constants!$B$28,6))))+MIN(Constants!$B$29,MAX(0,Constants!$B$27*Constants!$B$28*INT(ROUND((Constants!$B$26-$AN146)/Constants!$B$28,6)))))</f>
        <v/>
      </c>
      <c r="BT146" s="100" t="str">
        <f aca="false">IF($BH146&lt;&gt;Constants!$B$4,"",IF(NOT($AJ146),0,Constants!$B$31*INT(ROUND(MAX(0,MIN($BF146,2*$AF$9)-$AF$9),6))))</f>
        <v/>
      </c>
      <c r="BU146" s="100" t="str">
        <f aca="false">IF($BH146&lt;&gt;Constants!$B$4,"",Constants!$B$32*(($AL146&gt;Constants!$B$26)+($AM146&gt;Constants!$B$26)+($AN146&gt;Constants!$B$26)))</f>
        <v/>
      </c>
      <c r="BV146" s="100" t="str">
        <f aca="false">IF($BH146&lt;&gt;Constants!$B$4,"",IF(OR(NOT($AJ146),$AO146),0,Constants!$B$33))</f>
        <v/>
      </c>
      <c r="BW146" s="100" t="str">
        <f aca="false">IF($BH146&lt;&gt;Constants!$B$4,"",Constants!$B$34*$BJ146)</f>
        <v/>
      </c>
      <c r="BX146" s="100" t="str">
        <f aca="false">IF($BH146&lt;&gt;Constants!$B$4,"",IF(OR(NOT($AJ146),$BE146),0,Constants!$B$36))</f>
        <v/>
      </c>
      <c r="BY146" s="100" t="str">
        <f aca="false">IF($BH146&lt;&gt;Constants!$B$4,"",IF(OR(NOT($AJ146),$BD146),0,Constants!$B$37))</f>
        <v/>
      </c>
      <c r="BZ146" s="100" t="str">
        <f aca="false">IF($BH146&lt;&gt;Constants!$B$4,"",SUM($BT146:$BY146))</f>
        <v/>
      </c>
      <c r="CA146" s="100" t="str">
        <f aca="false">IF(ISBLANK($C146),"",IF($BH146&lt;&gt;Constants!$B$4,$BH146,SUM($BK146:$BS146)-$BZ146))</f>
        <v/>
      </c>
      <c r="CB146" s="100" t="str">
        <f aca="false">IF(ISBLANK($C146),"",IF($BH146&lt;&gt;Constants!$B$4,$BH146,RANK($CA146,$CA$9:$CA$508)))</f>
        <v/>
      </c>
      <c r="CC146" s="100" t="str">
        <f aca="false">IF(ISBLANK($C146),"",IF($BH146&lt;&gt;Constants!$B$4,$BH146,COUNTIFS($BI$9:$BI$508,"&lt;"&amp;$BI146)+COUNTIFS($BI$9:$BI$508,$BI146,$CB$9:$CB$508,"&lt;"&amp;$CB146)+1))</f>
        <v/>
      </c>
      <c r="CD146" s="100" t="str">
        <f aca="false">IF(ISBLANK($C146),"",IF($BH146&lt;&gt;Constants!$B$4,$BH146,RANK($BZ146,$BZ$9:$BZ$508,1)))</f>
        <v/>
      </c>
      <c r="CE146" s="100" t="str">
        <f aca="false">IF($BH146&lt;&gt;Constants!$B$4,"",$AL146+$AM146+$AN146)</f>
        <v/>
      </c>
      <c r="CF146" s="100" t="str">
        <f aca="false">IF(ISBLANK($C146),"",IF($BH146&lt;&gt;Constants!$B$4,$BH146,RANK($CE146,$CE$9:$CE$508,1)))</f>
        <v/>
      </c>
      <c r="CG146" s="100" t="str">
        <f aca="false">IF(ISBLANK($C146),"",IF($BH146&lt;&gt;Constants!$B$4,$BH146,COUNTIFS($BI$9:$BI$508,"&lt;"&amp;$BI146)+COUNTIFS($BI$9:$BI$508,$BI146,$CB$9:$CB$508,"&lt;"&amp;$CB146)+COUNTIFS($BI$9:$BI$508,$BI146,$CB$9:$CB$508,$CB146,$CD$9:$CD$508,"&lt;"&amp;$CD146)+COUNTIFS($BI$9:$BI$508,$BI146,$CB$9:$CB$508,$CB146,$CD$9:$CD$508,$CD146,$CF$9:$CF$508,"&lt;"&amp;$CF146)+1))</f>
        <v/>
      </c>
      <c r="CH146" s="100" t="str">
        <f aca="false">IF(ISBLANK($C146),"",IF($BH146&lt;&gt;Constants!$B$4,$BH146,$CC146-$CG146))</f>
        <v/>
      </c>
      <c r="CI146" s="100" t="str">
        <f aca="false">IF(ISBLANK($C146),"",IF(NOT($AJ146),"",IF(ISBLANK($D$7),$CI$5,IF(NOT(ISNUMBER($D$7)),$CI$6,""))))</f>
        <v/>
      </c>
      <c r="CJ146" s="100" t="str">
        <f aca="false">IF(ISBLANK($C146),"",OR($AL146="",$AM146="",$AN146=""))</f>
        <v/>
      </c>
      <c r="CK146" s="100" t="str">
        <f aca="false">IF(ISBLANK($C146),"",AND($AJ146,$AX146=""))</f>
        <v/>
      </c>
      <c r="CL146" s="100" t="str">
        <f aca="false">IF(ISBLANK($C146),"",AND($AJ146,$AY146=""))</f>
        <v/>
      </c>
      <c r="CM146" s="100" t="str">
        <f aca="false">IF(ISBLANK($C146),"",AND($AJ146,$AZ146=""))</f>
        <v/>
      </c>
      <c r="CN146" s="100" t="str">
        <f aca="false">IF(ISBLANK($C146),"",AND($AJ146,$BC146=""))</f>
        <v/>
      </c>
      <c r="CO146" s="100" t="str">
        <f aca="false">IF(ISBLANK($C146),"",AND($AJ146,$BF146=""))</f>
        <v/>
      </c>
      <c r="CP146" s="101"/>
      <c r="CQ146" s="102"/>
      <c r="CR146" s="103" t="str">
        <f aca="false">IF(ISBLANK($C146),"",IF($BH146=Constants!$B$8,$CI146,""))</f>
        <v/>
      </c>
      <c r="CS146" s="102" t="str">
        <f aca="false">IF(ISBLANK($C146),"",IF($BH146&lt;&gt;Constants!$B$4,"",$BK146+$BL146))</f>
        <v/>
      </c>
      <c r="CT146" s="104" t="str">
        <f aca="false">IF(ISBLANK($C146),"",IF($BH146&lt;&gt;Constants!$B$4,"",$BM146+$BN146+$BO146))</f>
        <v/>
      </c>
      <c r="CU146" s="104" t="str">
        <f aca="false">IF(ISBLANK($C146),"",IF($BH146&lt;&gt;Constants!$B$4,"",$BP146))</f>
        <v/>
      </c>
      <c r="CV146" s="104" t="str">
        <f aca="false">IF(ISBLANK($C146),"",IF($BH146&lt;&gt;Constants!$B$4,"",$BQ146+$BR146))</f>
        <v/>
      </c>
      <c r="CW146" s="104" t="str">
        <f aca="false">IF(ISBLANK($C146),"",IF($BH146&lt;&gt;Constants!$B$4,"",$BS146))</f>
        <v/>
      </c>
      <c r="CX146" s="104" t="str">
        <f aca="false">IF(ISBLANK($C146),"",IF($BH146&lt;&gt;Constants!$B$4,"",-$BZ146))</f>
        <v/>
      </c>
      <c r="CY146" s="103" t="str">
        <f aca="false">IF(ISBLANK($C146),"",$CA146)</f>
        <v/>
      </c>
      <c r="CZ146" s="105" t="str">
        <f aca="false">IF(ISBLANK($C146),"",$BI146)</f>
        <v/>
      </c>
      <c r="DA146" s="104" t="str">
        <f aca="false">IF(ISBLANK($C146),"",$CH146)</f>
        <v/>
      </c>
      <c r="DB146" s="104" t="str">
        <f aca="false">IF(ISBLANK($C146),"",$CG146)</f>
        <v/>
      </c>
      <c r="DC146" s="106" t="str">
        <f aca="false">IF(ISBLANK($C146),"",IFERROR(_xlfn.SWITCH($DB146,Constants!$B$7,COUNTA($C$9:$C$508)+2,Constants!$B$6,COUNTA($C$9:$C$508)+1,Constants!$B$5,COUNTA($C$9:$C$508)),$DB146))</f>
        <v/>
      </c>
      <c r="DD146" s="7"/>
      <c r="DE146" s="107" t="n">
        <f aca="false">IF(OR(ISNUMBER($DB146),$DB146=Constants!$B$7,$DB146=Constants!$B$5,$DB146=Constants!$B$6),1,0)</f>
        <v>0</v>
      </c>
      <c r="DF146" s="107" t="n">
        <v>138</v>
      </c>
      <c r="DG146" s="107" t="str">
        <f aca="false">IF(ISBLANK($C146),"",IF(ISNUMBER($DC146),$DC146+ROW($B146)/1000,""))</f>
        <v/>
      </c>
      <c r="DH146" s="107" t="str">
        <f aca="false">IF(ISNUMBER($DG146),RANK($DG146,$DG$9:$DG$508,1),"")</f>
        <v/>
      </c>
      <c r="DI146" s="107" t="str">
        <f aca="false">IF(ISBLANK($C146),"",$B146)</f>
        <v/>
      </c>
      <c r="DJ146" s="107" t="str">
        <f aca="false">IF(ISBLANK($C146),"",$C146)</f>
        <v/>
      </c>
      <c r="DK146" s="107" t="str">
        <f aca="false">IF(ISBLANK($C146),"",$D146)</f>
        <v/>
      </c>
      <c r="DL146" s="108" t="str">
        <f aca="false">$CZ146</f>
        <v/>
      </c>
      <c r="DM146" s="109" t="str">
        <f aca="false">$CY146</f>
        <v/>
      </c>
      <c r="DN146" s="107" t="str">
        <f aca="false">IF(ISBLANK($C146),"",$DB146)</f>
        <v/>
      </c>
      <c r="DO146" s="110" t="str">
        <f aca="false">IF($DF146&gt;$DE$8,"",VLOOKUP($DF146,$DH$9:$DN$508,7,FALSE()))</f>
        <v/>
      </c>
      <c r="DP146" s="111" t="str">
        <f aca="false">IF($DF146&gt;$DE$8,"",VLOOKUP($DF146,$DH$9:$DN$508,2,FALSE()))</f>
        <v/>
      </c>
      <c r="DQ146" s="111" t="str">
        <f aca="false">IF($DF146&gt;$DE$8,"",VLOOKUP($DF146,$DH$9:$DN$508,3,FALSE()))</f>
        <v/>
      </c>
      <c r="DR146" s="111" t="str">
        <f aca="false">IF($DF146&gt;$DE$8,"",VLOOKUP($DF146,$DH$9:$DN$508,4,FALSE()))</f>
        <v/>
      </c>
      <c r="DS146" s="111" t="str">
        <f aca="false">IF($DF146&gt;$DE$8,"",VLOOKUP($DF146,$DH$9:$DN$508,5,FALSE()))</f>
        <v/>
      </c>
      <c r="DT146" s="112" t="str">
        <f aca="false">IF($DF146&gt;$DE$8,"",VLOOKUP($DF146,$DH$9:$DN$508,6,FALSE()))</f>
        <v/>
      </c>
      <c r="DU146" s="62"/>
    </row>
    <row r="147" customFormat="false" ht="15.75" hidden="false" customHeight="false" outlineLevel="0" collapsed="false">
      <c r="A147" s="7"/>
      <c r="B147" s="64"/>
      <c r="C147" s="65"/>
      <c r="D147" s="123"/>
      <c r="E147" s="88"/>
      <c r="F147" s="134"/>
      <c r="G147" s="88"/>
      <c r="H147" s="134"/>
      <c r="I147" s="119"/>
      <c r="J147" s="119"/>
      <c r="K147" s="119"/>
      <c r="L147" s="88"/>
      <c r="M147" s="88"/>
      <c r="N147" s="88"/>
      <c r="O147" s="134"/>
      <c r="P147" s="88"/>
      <c r="Q147" s="88"/>
      <c r="R147" s="88"/>
      <c r="S147" s="88"/>
      <c r="T147" s="134"/>
      <c r="U147" s="88"/>
      <c r="V147" s="70"/>
      <c r="W147" s="88"/>
      <c r="X147" s="88"/>
      <c r="Y147" s="70"/>
      <c r="Z147" s="70"/>
      <c r="AA147" s="88"/>
      <c r="AB147" s="88"/>
      <c r="AC147" s="71"/>
      <c r="AD147" s="88"/>
      <c r="AE147" s="73"/>
      <c r="AF147" s="74"/>
      <c r="AG147" s="74"/>
      <c r="AH147" s="74" t="str">
        <f aca="false">IF(ISBLANK($C147),"",IF($E147=Constants!$B$2,TRUE(),IF($E147=Constants!$B$3,FALSE(),TRUE())))</f>
        <v/>
      </c>
      <c r="AI147" s="74" t="str">
        <f aca="false">IF(ISBLANK($C147),"",IF($F147=Constants!$B$2,TRUE(),IF($F147=Constants!$B$3,FALSE(),FALSE())))</f>
        <v/>
      </c>
      <c r="AJ147" s="74" t="str">
        <f aca="false">IF(ISBLANK($C147),"",IF($G147=Constants!$B$2,TRUE(),IF($G147=Constants!$B$3,FALSE(),TRUE())))</f>
        <v/>
      </c>
      <c r="AK147" s="74" t="str">
        <f aca="false">IF(ISBLANK($C147),"",IF($H147=Constants!$B$2,TRUE(),IF($H147=Constants!$B$3,FALSE(),TRUE())))</f>
        <v/>
      </c>
      <c r="AL147" s="74" t="str">
        <f aca="false">IF(ISBLANK($C147),"",IF(ISNUMBER($I147),IF($I147&gt;=0,$I147,""),""))</f>
        <v/>
      </c>
      <c r="AM147" s="74" t="str">
        <f aca="false">IF(ISBLANK($C147),"",IF(ISNUMBER($J147),IF($J147&gt;=0,$J147,""),""))</f>
        <v/>
      </c>
      <c r="AN147" s="74" t="str">
        <f aca="false">IF(ISBLANK($C147),"",IF(ISNUMBER($K147),IF($K147&gt;=0,$K147,""),""))</f>
        <v/>
      </c>
      <c r="AO147" s="74" t="str">
        <f aca="false">IF(ISBLANK($C147),"",IF($L147=Constants!$B$2,TRUE(),IF($L147=Constants!$B$3,FALSE(),TRUE())))</f>
        <v/>
      </c>
      <c r="AP147" s="74" t="str">
        <f aca="false">IF(ISBLANK($C147),"",IF($M147=Constants!$B$2,TRUE(),IF($M147=Constants!$B$3,FALSE(),TRUE())))</f>
        <v/>
      </c>
      <c r="AQ147" s="74" t="str">
        <f aca="false">IF(ISBLANK($C147),"",IF($N147=Constants!$B$2,TRUE(),IF($N147=Constants!$B$3,FALSE(),FALSE())))</f>
        <v/>
      </c>
      <c r="AR147" s="74" t="str">
        <f aca="false">IF(ISBLANK($C147),"",IF($O147=Constants!$B$2,TRUE(),IF($O147=Constants!$B$3,FALSE(),TRUE())))</f>
        <v/>
      </c>
      <c r="AS147" s="74" t="str">
        <f aca="false">IF(ISBLANK($C147),"",IF($P147=Constants!$B$2,TRUE(),IF($P147=Constants!$B$3,FALSE(),FALSE())))</f>
        <v/>
      </c>
      <c r="AT147" s="74" t="str">
        <f aca="false">IF(ISBLANK($C147),"",IF($Q147=Constants!$B$2,TRUE(),IF($Q147=Constants!$B$3,FALSE(),FALSE())))</f>
        <v/>
      </c>
      <c r="AU147" s="74" t="str">
        <f aca="false">IF(ISBLANK($C147),"",IF($R147=Constants!$B$2,TRUE(),IF($R147=Constants!$B$3,FALSE(),FALSE())))</f>
        <v/>
      </c>
      <c r="AV147" s="74" t="str">
        <f aca="false">IF(ISBLANK($C147),"",IF($S147=Constants!$B$2,TRUE(),IF($S147=Constants!$B$3,FALSE(),FALSE())))</f>
        <v/>
      </c>
      <c r="AW147" s="74" t="str">
        <f aca="false">IF(ISBLANK($C147),"",IF($T147=Constants!$B$2,TRUE(),IF($T147=Constants!$B$3,FALSE(),FALSE())))</f>
        <v/>
      </c>
      <c r="AX147" s="74" t="str">
        <f aca="false">IF(ISBLANK($C147),"",IF(OR($U147&amp;""="1",$U147&amp;""="2",$U147&amp;""="3",$U147&amp;""="4"),VALUE($U147&amp;""),IF($U147=Constants!$B$12,Constants!$B$12,"")))</f>
        <v/>
      </c>
      <c r="AY147" s="74" t="str">
        <f aca="false">IF(ISBLANK($C147),"",IF(ISBLANK($V147),0,IF(ISNUMBER($V147),IF(AND($V147&gt;=0,$V147&lt;=Constants!$B$21,$V147=INT($V147)),$V147,""),"")))</f>
        <v/>
      </c>
      <c r="AZ147" s="74" t="str">
        <f aca="false">IF(ISBLANK($C147),"",IF(ISBLANK($W147),0,IF(ISNUMBER($W147),IF($W147&gt;=0,$W147,""),"")))</f>
        <v/>
      </c>
      <c r="BA147" s="74" t="str">
        <f aca="false">IF(ISBLANK($C147),"",IF($X147=Constants!$B$2,TRUE(),IF($X147=Constants!$B$3,FALSE(),TRUE())))</f>
        <v/>
      </c>
      <c r="BB147" s="74" t="str">
        <f aca="false">IF(ISBLANK($C147),"",IF($Y147=Constants!$B$2,TRUE(),IF($Y147=Constants!$B$3,FALSE(),FALSE())))</f>
        <v/>
      </c>
      <c r="BC147" s="74" t="str">
        <f aca="false">IF(ISBLANK($C147),"",IF(ISBLANK($Z147),0,IF(ISNUMBER($Z147),IF(AND($Z147&gt;=0,$Z147&lt;=Constants!$B$35,$Z147=INT($Z147)),$Z147,""),"")))</f>
        <v/>
      </c>
      <c r="BD147" s="74" t="str">
        <f aca="false">IF(ISBLANK($C147),"",IF($AA147=Constants!$B$2,TRUE(),IF($AA147=Constants!$B$3,FALSE(),TRUE())))</f>
        <v/>
      </c>
      <c r="BE147" s="74" t="str">
        <f aca="false">IF(ISBLANK($C147),"",IF($AB147=Constants!$B$2,TRUE(),IF($AB147=Constants!$B$3,FALSE(),TRUE())))</f>
        <v/>
      </c>
      <c r="BF147" s="74" t="str">
        <f aca="false">IF(ISBLANK($C147),"",IF(ISNUMBER($AC147),IF($AC147&gt;=0,$AC147,""),""))</f>
        <v/>
      </c>
      <c r="BG147" s="74" t="str">
        <f aca="false">IF(ISBLANK($C147),"",IF($AD147=Constants!$B$2,TRUE(),IF($AD147=Constants!$B$3,FALSE(),FALSE())))</f>
        <v/>
      </c>
      <c r="BH147" s="73" t="str">
        <f aca="false">IF(ISBLANK($C147),"",IF($BG147,Constants!$B$7,IF(COUNTA($E147:$AC147)=0,Constants!$B$6,IF(OR(COUNTA($G147:$AC147)=0,NOT($AK147),$AQ147),Constants!$B$5,IF(OR($CI147&lt;&gt;"",$CJ147,$CK147,$CL147,$CM147,$CN147,$CO147),Constants!$B$8,Constants!$B$4)))))</f>
        <v/>
      </c>
      <c r="BI147" s="74" t="str">
        <f aca="false">IF(ISBLANK($C147),"",IF($BH147&lt;&gt;Constants!$B$4,$BH147,IF(OR(NOT($AH147),NOT($AJ147),NOT($AR147)),Constants!$B$11,IF(OR(NOT($AP147),MAX($AL147,$AM147,$AN147)&gt;Constants!$B$30),Constants!$B$10,Constants!$B$9))))</f>
        <v/>
      </c>
      <c r="BJ147" s="74" t="str">
        <f aca="false">IF($BH147&lt;&gt;Constants!$B$4,"",IF(NOT($AJ147),0,MIN(Constants!$B$35,$BC147)))</f>
        <v/>
      </c>
      <c r="BK147" s="74" t="str">
        <f aca="false">IF($BH147&lt;&gt;Constants!$B$4,"",IF(NOT($AJ147),0,IF($AT147,Constants!$B$18,IF($AS147,Constants!$B$17,0))))</f>
        <v/>
      </c>
      <c r="BL147" s="74" t="str">
        <f aca="false">IF($BH147&lt;&gt;Constants!$B$4,"",IF(NOT($AJ147),0,Constants!$B$19*($AI147+$AU147+$AV147+$AW147)))</f>
        <v/>
      </c>
      <c r="BM147" s="74" t="str">
        <f aca="false">IF($BH147&lt;&gt;Constants!$B$4,"",IF(OR(NOT($AJ147),NOT(ISNUMBER($AX147))),0,CHOOSE($AX147,Constants!$B$13,Constants!$B$14,Constants!$B$15,Constants!$B$16)))</f>
        <v/>
      </c>
      <c r="BN147" s="74" t="str">
        <f aca="false">IF($BH147&lt;&gt;Constants!$B$4,"",IF(NOT($AJ147),0,Constants!$B$20*$AY147))</f>
        <v/>
      </c>
      <c r="BO147" s="74" t="str">
        <f aca="false">IF($BH147&lt;&gt;Constants!$B$4,"",IF(AND($AJ147,$BA147,$BB147),Constants!$B$22,0))</f>
        <v/>
      </c>
      <c r="BP147" s="74" t="str">
        <f aca="false">IF($BH147&lt;&gt;Constants!$B$4,"",IF(OR(NOT($AJ147),NOT($BA147)),0,IF($BF147&gt;=2*$AF$9,0,Constants!$B$23*INT(ROUND(MIN($BF147,$AF$9),6)))))</f>
        <v/>
      </c>
      <c r="BQ147" s="74" t="str">
        <f aca="false">IF($BH147&lt;&gt;Constants!$B$4,"",IF(NOT($AJ147),0,Constants!$B$24*INT(ROUND(MIN($AZ147,$AF$9),6))))</f>
        <v/>
      </c>
      <c r="BR147" s="74" t="str">
        <f aca="false">IF($BH147&lt;&gt;Constants!$B$4,"",IF(AND($AJ147,$BJ147=0),Constants!$B$25,0))</f>
        <v/>
      </c>
      <c r="BS147" s="74" t="str">
        <f aca="false">IF($BH147&lt;&gt;Constants!$B$4,"",MIN(Constants!$B$29,MAX(0,Constants!$B$27*Constants!$B$28*INT(ROUND((Constants!$B$26-$AL147)/Constants!$B$28,6))))+MIN(Constants!$B$29,MAX(0,Constants!$B$27*Constants!$B$28*INT(ROUND((Constants!$B$26-$AM147)/Constants!$B$28,6))))+MIN(Constants!$B$29,MAX(0,Constants!$B$27*Constants!$B$28*INT(ROUND((Constants!$B$26-$AN147)/Constants!$B$28,6)))))</f>
        <v/>
      </c>
      <c r="BT147" s="74" t="str">
        <f aca="false">IF($BH147&lt;&gt;Constants!$B$4,"",IF(NOT($AJ147),0,Constants!$B$31*INT(ROUND(MAX(0,MIN($BF147,2*$AF$9)-$AF$9),6))))</f>
        <v/>
      </c>
      <c r="BU147" s="74" t="str">
        <f aca="false">IF($BH147&lt;&gt;Constants!$B$4,"",Constants!$B$32*(($AL147&gt;Constants!$B$26)+($AM147&gt;Constants!$B$26)+($AN147&gt;Constants!$B$26)))</f>
        <v/>
      </c>
      <c r="BV147" s="74" t="str">
        <f aca="false">IF($BH147&lt;&gt;Constants!$B$4,"",IF(OR(NOT($AJ147),$AO147),0,Constants!$B$33))</f>
        <v/>
      </c>
      <c r="BW147" s="74" t="str">
        <f aca="false">IF($BH147&lt;&gt;Constants!$B$4,"",Constants!$B$34*$BJ147)</f>
        <v/>
      </c>
      <c r="BX147" s="74" t="str">
        <f aca="false">IF($BH147&lt;&gt;Constants!$B$4,"",IF(OR(NOT($AJ147),$BE147),0,Constants!$B$36))</f>
        <v/>
      </c>
      <c r="BY147" s="74" t="str">
        <f aca="false">IF($BH147&lt;&gt;Constants!$B$4,"",IF(OR(NOT($AJ147),$BD147),0,Constants!$B$37))</f>
        <v/>
      </c>
      <c r="BZ147" s="74" t="str">
        <f aca="false">IF($BH147&lt;&gt;Constants!$B$4,"",SUM($BT147:$BY147))</f>
        <v/>
      </c>
      <c r="CA147" s="74" t="str">
        <f aca="false">IF(ISBLANK($C147),"",IF($BH147&lt;&gt;Constants!$B$4,$BH147,SUM($BK147:$BS147)-$BZ147))</f>
        <v/>
      </c>
      <c r="CB147" s="74" t="str">
        <f aca="false">IF(ISBLANK($C147),"",IF($BH147&lt;&gt;Constants!$B$4,$BH147,RANK($CA147,$CA$9:$CA$508)))</f>
        <v/>
      </c>
      <c r="CC147" s="74" t="str">
        <f aca="false">IF(ISBLANK($C147),"",IF($BH147&lt;&gt;Constants!$B$4,$BH147,COUNTIFS($BI$9:$BI$508,"&lt;"&amp;$BI147)+COUNTIFS($BI$9:$BI$508,$BI147,$CB$9:$CB$508,"&lt;"&amp;$CB147)+1))</f>
        <v/>
      </c>
      <c r="CD147" s="74" t="str">
        <f aca="false">IF(ISBLANK($C147),"",IF($BH147&lt;&gt;Constants!$B$4,$BH147,RANK($BZ147,$BZ$9:$BZ$508,1)))</f>
        <v/>
      </c>
      <c r="CE147" s="74" t="str">
        <f aca="false">IF($BH147&lt;&gt;Constants!$B$4,"",$AL147+$AM147+$AN147)</f>
        <v/>
      </c>
      <c r="CF147" s="74" t="str">
        <f aca="false">IF(ISBLANK($C147),"",IF($BH147&lt;&gt;Constants!$B$4,$BH147,RANK($CE147,$CE$9:$CE$508,1)))</f>
        <v/>
      </c>
      <c r="CG147" s="74" t="str">
        <f aca="false">IF(ISBLANK($C147),"",IF($BH147&lt;&gt;Constants!$B$4,$BH147,COUNTIFS($BI$9:$BI$508,"&lt;"&amp;$BI147)+COUNTIFS($BI$9:$BI$508,$BI147,$CB$9:$CB$508,"&lt;"&amp;$CB147)+COUNTIFS($BI$9:$BI$508,$BI147,$CB$9:$CB$508,$CB147,$CD$9:$CD$508,"&lt;"&amp;$CD147)+COUNTIFS($BI$9:$BI$508,$BI147,$CB$9:$CB$508,$CB147,$CD$9:$CD$508,$CD147,$CF$9:$CF$508,"&lt;"&amp;$CF147)+1))</f>
        <v/>
      </c>
      <c r="CH147" s="74" t="str">
        <f aca="false">IF(ISBLANK($C147),"",IF($BH147&lt;&gt;Constants!$B$4,$BH147,$CC147-$CG147))</f>
        <v/>
      </c>
      <c r="CI147" s="74" t="str">
        <f aca="false">IF(ISBLANK($C147),"",IF(NOT($AJ147),"",IF(ISBLANK($D$7),$CI$5,IF(NOT(ISNUMBER($D$7)),$CI$6,""))))</f>
        <v/>
      </c>
      <c r="CJ147" s="74" t="str">
        <f aca="false">IF(ISBLANK($C147),"",OR($AL147="",$AM147="",$AN147=""))</f>
        <v/>
      </c>
      <c r="CK147" s="74" t="str">
        <f aca="false">IF(ISBLANK($C147),"",AND($AJ147,$AX147=""))</f>
        <v/>
      </c>
      <c r="CL147" s="74" t="str">
        <f aca="false">IF(ISBLANK($C147),"",AND($AJ147,$AY147=""))</f>
        <v/>
      </c>
      <c r="CM147" s="74" t="str">
        <f aca="false">IF(ISBLANK($C147),"",AND($AJ147,$AZ147=""))</f>
        <v/>
      </c>
      <c r="CN147" s="74" t="str">
        <f aca="false">IF(ISBLANK($C147),"",AND($AJ147,$BC147=""))</f>
        <v/>
      </c>
      <c r="CO147" s="74" t="str">
        <f aca="false">IF(ISBLANK($C147),"",AND($AJ147,$BF147=""))</f>
        <v/>
      </c>
      <c r="CP147" s="75"/>
      <c r="CQ147" s="76"/>
      <c r="CR147" s="79" t="str">
        <f aca="false">IF(ISBLANK($C147),"",IF($BH147=Constants!$B$8,$CI147,""))</f>
        <v/>
      </c>
      <c r="CS147" s="76" t="str">
        <f aca="false">IF(ISBLANK($C147),"",IF($BH147&lt;&gt;Constants!$B$4,"",$BK147+$BL147))</f>
        <v/>
      </c>
      <c r="CT147" s="78" t="str">
        <f aca="false">IF(ISBLANK($C147),"",IF($BH147&lt;&gt;Constants!$B$4,"",$BM147+$BN147+$BO147))</f>
        <v/>
      </c>
      <c r="CU147" s="78" t="str">
        <f aca="false">IF(ISBLANK($C147),"",IF($BH147&lt;&gt;Constants!$B$4,"",$BP147))</f>
        <v/>
      </c>
      <c r="CV147" s="78" t="str">
        <f aca="false">IF(ISBLANK($C147),"",IF($BH147&lt;&gt;Constants!$B$4,"",$BQ147+$BR147))</f>
        <v/>
      </c>
      <c r="CW147" s="78" t="str">
        <f aca="false">IF(ISBLANK($C147),"",IF($BH147&lt;&gt;Constants!$B$4,"",$BS147))</f>
        <v/>
      </c>
      <c r="CX147" s="78" t="str">
        <f aca="false">IF(ISBLANK($C147),"",IF($BH147&lt;&gt;Constants!$B$4,"",-$BZ147))</f>
        <v/>
      </c>
      <c r="CY147" s="79" t="str">
        <f aca="false">IF(ISBLANK($C147),"",$CA147)</f>
        <v/>
      </c>
      <c r="CZ147" s="80" t="str">
        <f aca="false">IF(ISBLANK($C147),"",$BI147)</f>
        <v/>
      </c>
      <c r="DA147" s="78" t="str">
        <f aca="false">IF(ISBLANK($C147),"",$CH147)</f>
        <v/>
      </c>
      <c r="DB147" s="78" t="str">
        <f aca="false">IF(ISBLANK($C147),"",$CG147)</f>
        <v/>
      </c>
      <c r="DC147" s="81" t="str">
        <f aca="false">IF(ISBLANK($C147),"",IFERROR(_xlfn.SWITCH($DB147,Constants!$B$7,COUNTA($C$9:$C$508)+2,Constants!$B$6,COUNTA($C$9:$C$508)+1,Constants!$B$5,COUNTA($C$9:$C$508)),$DB147))</f>
        <v/>
      </c>
      <c r="DD147" s="7"/>
      <c r="DE147" s="82" t="n">
        <f aca="false">IF(OR(ISNUMBER($DB147),$DB147=Constants!$B$7,$DB147=Constants!$B$5,$DB147=Constants!$B$6),1,0)</f>
        <v>0</v>
      </c>
      <c r="DF147" s="82" t="n">
        <v>139</v>
      </c>
      <c r="DG147" s="82" t="str">
        <f aca="false">IF(ISBLANK($C147),"",IF(ISNUMBER($DC147),$DC147+ROW($B147)/1000,""))</f>
        <v/>
      </c>
      <c r="DH147" s="82" t="str">
        <f aca="false">IF(ISNUMBER($DG147),RANK($DG147,$DG$9:$DG$508,1),"")</f>
        <v/>
      </c>
      <c r="DI147" s="82" t="str">
        <f aca="false">IF(ISBLANK($C147),"",$B147)</f>
        <v/>
      </c>
      <c r="DJ147" s="82" t="str">
        <f aca="false">IF(ISBLANK($C147),"",$C147)</f>
        <v/>
      </c>
      <c r="DK147" s="82" t="str">
        <f aca="false">IF(ISBLANK($C147),"",$D147)</f>
        <v/>
      </c>
      <c r="DL147" s="83" t="str">
        <f aca="false">$CZ147</f>
        <v/>
      </c>
      <c r="DM147" s="84" t="str">
        <f aca="false">$CY147</f>
        <v/>
      </c>
      <c r="DN147" s="82" t="str">
        <f aca="false">IF(ISBLANK($C147),"",$DB147)</f>
        <v/>
      </c>
      <c r="DO147" s="85" t="str">
        <f aca="false">IF($DF147&gt;$DE$8,"",VLOOKUP($DF147,$DH$9:$DN$508,7,FALSE()))</f>
        <v/>
      </c>
      <c r="DP147" s="86" t="str">
        <f aca="false">IF($DF147&gt;$DE$8,"",VLOOKUP($DF147,$DH$9:$DN$508,2,FALSE()))</f>
        <v/>
      </c>
      <c r="DQ147" s="86" t="str">
        <f aca="false">IF($DF147&gt;$DE$8,"",VLOOKUP($DF147,$DH$9:$DN$508,3,FALSE()))</f>
        <v/>
      </c>
      <c r="DR147" s="86" t="str">
        <f aca="false">IF($DF147&gt;$DE$8,"",VLOOKUP($DF147,$DH$9:$DN$508,4,FALSE()))</f>
        <v/>
      </c>
      <c r="DS147" s="86" t="str">
        <f aca="false">IF($DF147&gt;$DE$8,"",VLOOKUP($DF147,$DH$9:$DN$508,5,FALSE()))</f>
        <v/>
      </c>
      <c r="DT147" s="87" t="str">
        <f aca="false">IF($DF147&gt;$DE$8,"",VLOOKUP($DF147,$DH$9:$DN$508,6,FALSE()))</f>
        <v/>
      </c>
      <c r="DU147" s="62"/>
    </row>
    <row r="148" customFormat="false" ht="15.75" hidden="false" customHeight="false" outlineLevel="0" collapsed="false">
      <c r="A148" s="7"/>
      <c r="B148" s="64"/>
      <c r="C148" s="65"/>
      <c r="D148" s="123"/>
      <c r="E148" s="88"/>
      <c r="F148" s="134"/>
      <c r="G148" s="88"/>
      <c r="H148" s="134"/>
      <c r="I148" s="119"/>
      <c r="J148" s="119"/>
      <c r="K148" s="119"/>
      <c r="L148" s="88"/>
      <c r="M148" s="88"/>
      <c r="N148" s="88"/>
      <c r="O148" s="134"/>
      <c r="P148" s="88"/>
      <c r="Q148" s="88"/>
      <c r="R148" s="88"/>
      <c r="S148" s="88"/>
      <c r="T148" s="134"/>
      <c r="U148" s="88"/>
      <c r="V148" s="70"/>
      <c r="W148" s="88"/>
      <c r="X148" s="88"/>
      <c r="Y148" s="70"/>
      <c r="Z148" s="70"/>
      <c r="AA148" s="88"/>
      <c r="AB148" s="88"/>
      <c r="AC148" s="71"/>
      <c r="AD148" s="88"/>
      <c r="AE148" s="73"/>
      <c r="AF148" s="74"/>
      <c r="AG148" s="74"/>
      <c r="AH148" s="74" t="str">
        <f aca="false">IF(ISBLANK($C148),"",IF($E148=Constants!$B$2,TRUE(),IF($E148=Constants!$B$3,FALSE(),TRUE())))</f>
        <v/>
      </c>
      <c r="AI148" s="74" t="str">
        <f aca="false">IF(ISBLANK($C148),"",IF($F148=Constants!$B$2,TRUE(),IF($F148=Constants!$B$3,FALSE(),FALSE())))</f>
        <v/>
      </c>
      <c r="AJ148" s="74" t="str">
        <f aca="false">IF(ISBLANK($C148),"",IF($G148=Constants!$B$2,TRUE(),IF($G148=Constants!$B$3,FALSE(),TRUE())))</f>
        <v/>
      </c>
      <c r="AK148" s="74" t="str">
        <f aca="false">IF(ISBLANK($C148),"",IF($H148=Constants!$B$2,TRUE(),IF($H148=Constants!$B$3,FALSE(),TRUE())))</f>
        <v/>
      </c>
      <c r="AL148" s="74" t="str">
        <f aca="false">IF(ISBLANK($C148),"",IF(ISNUMBER($I148),IF($I148&gt;=0,$I148,""),""))</f>
        <v/>
      </c>
      <c r="AM148" s="74" t="str">
        <f aca="false">IF(ISBLANK($C148),"",IF(ISNUMBER($J148),IF($J148&gt;=0,$J148,""),""))</f>
        <v/>
      </c>
      <c r="AN148" s="74" t="str">
        <f aca="false">IF(ISBLANK($C148),"",IF(ISNUMBER($K148),IF($K148&gt;=0,$K148,""),""))</f>
        <v/>
      </c>
      <c r="AO148" s="74" t="str">
        <f aca="false">IF(ISBLANK($C148),"",IF($L148=Constants!$B$2,TRUE(),IF($L148=Constants!$B$3,FALSE(),TRUE())))</f>
        <v/>
      </c>
      <c r="AP148" s="74" t="str">
        <f aca="false">IF(ISBLANK($C148),"",IF($M148=Constants!$B$2,TRUE(),IF($M148=Constants!$B$3,FALSE(),TRUE())))</f>
        <v/>
      </c>
      <c r="AQ148" s="74" t="str">
        <f aca="false">IF(ISBLANK($C148),"",IF($N148=Constants!$B$2,TRUE(),IF($N148=Constants!$B$3,FALSE(),FALSE())))</f>
        <v/>
      </c>
      <c r="AR148" s="74" t="str">
        <f aca="false">IF(ISBLANK($C148),"",IF($O148=Constants!$B$2,TRUE(),IF($O148=Constants!$B$3,FALSE(),TRUE())))</f>
        <v/>
      </c>
      <c r="AS148" s="74" t="str">
        <f aca="false">IF(ISBLANK($C148),"",IF($P148=Constants!$B$2,TRUE(),IF($P148=Constants!$B$3,FALSE(),FALSE())))</f>
        <v/>
      </c>
      <c r="AT148" s="74" t="str">
        <f aca="false">IF(ISBLANK($C148),"",IF($Q148=Constants!$B$2,TRUE(),IF($Q148=Constants!$B$3,FALSE(),FALSE())))</f>
        <v/>
      </c>
      <c r="AU148" s="74" t="str">
        <f aca="false">IF(ISBLANK($C148),"",IF($R148=Constants!$B$2,TRUE(),IF($R148=Constants!$B$3,FALSE(),FALSE())))</f>
        <v/>
      </c>
      <c r="AV148" s="74" t="str">
        <f aca="false">IF(ISBLANK($C148),"",IF($S148=Constants!$B$2,TRUE(),IF($S148=Constants!$B$3,FALSE(),FALSE())))</f>
        <v/>
      </c>
      <c r="AW148" s="74" t="str">
        <f aca="false">IF(ISBLANK($C148),"",IF($T148=Constants!$B$2,TRUE(),IF($T148=Constants!$B$3,FALSE(),FALSE())))</f>
        <v/>
      </c>
      <c r="AX148" s="74" t="str">
        <f aca="false">IF(ISBLANK($C148),"",IF(OR($U148&amp;""="1",$U148&amp;""="2",$U148&amp;""="3",$U148&amp;""="4"),VALUE($U148&amp;""),IF($U148=Constants!$B$12,Constants!$B$12,"")))</f>
        <v/>
      </c>
      <c r="AY148" s="74" t="str">
        <f aca="false">IF(ISBLANK($C148),"",IF(ISBLANK($V148),0,IF(ISNUMBER($V148),IF(AND($V148&gt;=0,$V148&lt;=Constants!$B$21,$V148=INT($V148)),$V148,""),"")))</f>
        <v/>
      </c>
      <c r="AZ148" s="74" t="str">
        <f aca="false">IF(ISBLANK($C148),"",IF(ISBLANK($W148),0,IF(ISNUMBER($W148),IF($W148&gt;=0,$W148,""),"")))</f>
        <v/>
      </c>
      <c r="BA148" s="74" t="str">
        <f aca="false">IF(ISBLANK($C148),"",IF($X148=Constants!$B$2,TRUE(),IF($X148=Constants!$B$3,FALSE(),TRUE())))</f>
        <v/>
      </c>
      <c r="BB148" s="74" t="str">
        <f aca="false">IF(ISBLANK($C148),"",IF($Y148=Constants!$B$2,TRUE(),IF($Y148=Constants!$B$3,FALSE(),FALSE())))</f>
        <v/>
      </c>
      <c r="BC148" s="74" t="str">
        <f aca="false">IF(ISBLANK($C148),"",IF(ISBLANK($Z148),0,IF(ISNUMBER($Z148),IF(AND($Z148&gt;=0,$Z148&lt;=Constants!$B$35,$Z148=INT($Z148)),$Z148,""),"")))</f>
        <v/>
      </c>
      <c r="BD148" s="74" t="str">
        <f aca="false">IF(ISBLANK($C148),"",IF($AA148=Constants!$B$2,TRUE(),IF($AA148=Constants!$B$3,FALSE(),TRUE())))</f>
        <v/>
      </c>
      <c r="BE148" s="74" t="str">
        <f aca="false">IF(ISBLANK($C148),"",IF($AB148=Constants!$B$2,TRUE(),IF($AB148=Constants!$B$3,FALSE(),TRUE())))</f>
        <v/>
      </c>
      <c r="BF148" s="74" t="str">
        <f aca="false">IF(ISBLANK($C148),"",IF(ISNUMBER($AC148),IF($AC148&gt;=0,$AC148,""),""))</f>
        <v/>
      </c>
      <c r="BG148" s="74" t="str">
        <f aca="false">IF(ISBLANK($C148),"",IF($AD148=Constants!$B$2,TRUE(),IF($AD148=Constants!$B$3,FALSE(),FALSE())))</f>
        <v/>
      </c>
      <c r="BH148" s="73" t="str">
        <f aca="false">IF(ISBLANK($C148),"",IF($BG148,Constants!$B$7,IF(COUNTA($E148:$AC148)=0,Constants!$B$6,IF(OR(COUNTA($G148:$AC148)=0,NOT($AK148),$AQ148),Constants!$B$5,IF(OR($CI148&lt;&gt;"",$CJ148,$CK148,$CL148,$CM148,$CN148,$CO148),Constants!$B$8,Constants!$B$4)))))</f>
        <v/>
      </c>
      <c r="BI148" s="74" t="str">
        <f aca="false">IF(ISBLANK($C148),"",IF($BH148&lt;&gt;Constants!$B$4,$BH148,IF(OR(NOT($AH148),NOT($AJ148),NOT($AR148)),Constants!$B$11,IF(OR(NOT($AP148),MAX($AL148,$AM148,$AN148)&gt;Constants!$B$30),Constants!$B$10,Constants!$B$9))))</f>
        <v/>
      </c>
      <c r="BJ148" s="74" t="str">
        <f aca="false">IF($BH148&lt;&gt;Constants!$B$4,"",IF(NOT($AJ148),0,MIN(Constants!$B$35,$BC148)))</f>
        <v/>
      </c>
      <c r="BK148" s="74" t="str">
        <f aca="false">IF($BH148&lt;&gt;Constants!$B$4,"",IF(NOT($AJ148),0,IF($AT148,Constants!$B$18,IF($AS148,Constants!$B$17,0))))</f>
        <v/>
      </c>
      <c r="BL148" s="74" t="str">
        <f aca="false">IF($BH148&lt;&gt;Constants!$B$4,"",IF(NOT($AJ148),0,Constants!$B$19*($AI148+$AU148+$AV148+$AW148)))</f>
        <v/>
      </c>
      <c r="BM148" s="74" t="str">
        <f aca="false">IF($BH148&lt;&gt;Constants!$B$4,"",IF(OR(NOT($AJ148),NOT(ISNUMBER($AX148))),0,CHOOSE($AX148,Constants!$B$13,Constants!$B$14,Constants!$B$15,Constants!$B$16)))</f>
        <v/>
      </c>
      <c r="BN148" s="74" t="str">
        <f aca="false">IF($BH148&lt;&gt;Constants!$B$4,"",IF(NOT($AJ148),0,Constants!$B$20*$AY148))</f>
        <v/>
      </c>
      <c r="BO148" s="74" t="str">
        <f aca="false">IF($BH148&lt;&gt;Constants!$B$4,"",IF(AND($AJ148,$BA148,$BB148),Constants!$B$22,0))</f>
        <v/>
      </c>
      <c r="BP148" s="74" t="str">
        <f aca="false">IF($BH148&lt;&gt;Constants!$B$4,"",IF(OR(NOT($AJ148),NOT($BA148)),0,IF($BF148&gt;=2*$AF$9,0,Constants!$B$23*INT(ROUND(MIN($BF148,$AF$9),6)))))</f>
        <v/>
      </c>
      <c r="BQ148" s="74" t="str">
        <f aca="false">IF($BH148&lt;&gt;Constants!$B$4,"",IF(NOT($AJ148),0,Constants!$B$24*INT(ROUND(MIN($AZ148,$AF$9),6))))</f>
        <v/>
      </c>
      <c r="BR148" s="74" t="str">
        <f aca="false">IF($BH148&lt;&gt;Constants!$B$4,"",IF(AND($AJ148,$BJ148=0),Constants!$B$25,0))</f>
        <v/>
      </c>
      <c r="BS148" s="74" t="str">
        <f aca="false">IF($BH148&lt;&gt;Constants!$B$4,"",MIN(Constants!$B$29,MAX(0,Constants!$B$27*Constants!$B$28*INT(ROUND((Constants!$B$26-$AL148)/Constants!$B$28,6))))+MIN(Constants!$B$29,MAX(0,Constants!$B$27*Constants!$B$28*INT(ROUND((Constants!$B$26-$AM148)/Constants!$B$28,6))))+MIN(Constants!$B$29,MAX(0,Constants!$B$27*Constants!$B$28*INT(ROUND((Constants!$B$26-$AN148)/Constants!$B$28,6)))))</f>
        <v/>
      </c>
      <c r="BT148" s="74" t="str">
        <f aca="false">IF($BH148&lt;&gt;Constants!$B$4,"",IF(NOT($AJ148),0,Constants!$B$31*INT(ROUND(MAX(0,MIN($BF148,2*$AF$9)-$AF$9),6))))</f>
        <v/>
      </c>
      <c r="BU148" s="74" t="str">
        <f aca="false">IF($BH148&lt;&gt;Constants!$B$4,"",Constants!$B$32*(($AL148&gt;Constants!$B$26)+($AM148&gt;Constants!$B$26)+($AN148&gt;Constants!$B$26)))</f>
        <v/>
      </c>
      <c r="BV148" s="74" t="str">
        <f aca="false">IF($BH148&lt;&gt;Constants!$B$4,"",IF(OR(NOT($AJ148),$AO148),0,Constants!$B$33))</f>
        <v/>
      </c>
      <c r="BW148" s="74" t="str">
        <f aca="false">IF($BH148&lt;&gt;Constants!$B$4,"",Constants!$B$34*$BJ148)</f>
        <v/>
      </c>
      <c r="BX148" s="74" t="str">
        <f aca="false">IF($BH148&lt;&gt;Constants!$B$4,"",IF(OR(NOT($AJ148),$BE148),0,Constants!$B$36))</f>
        <v/>
      </c>
      <c r="BY148" s="74" t="str">
        <f aca="false">IF($BH148&lt;&gt;Constants!$B$4,"",IF(OR(NOT($AJ148),$BD148),0,Constants!$B$37))</f>
        <v/>
      </c>
      <c r="BZ148" s="74" t="str">
        <f aca="false">IF($BH148&lt;&gt;Constants!$B$4,"",SUM($BT148:$BY148))</f>
        <v/>
      </c>
      <c r="CA148" s="74" t="str">
        <f aca="false">IF(ISBLANK($C148),"",IF($BH148&lt;&gt;Constants!$B$4,$BH148,SUM($BK148:$BS148)-$BZ148))</f>
        <v/>
      </c>
      <c r="CB148" s="74" t="str">
        <f aca="false">IF(ISBLANK($C148),"",IF($BH148&lt;&gt;Constants!$B$4,$BH148,RANK($CA148,$CA$9:$CA$508)))</f>
        <v/>
      </c>
      <c r="CC148" s="74" t="str">
        <f aca="false">IF(ISBLANK($C148),"",IF($BH148&lt;&gt;Constants!$B$4,$BH148,COUNTIFS($BI$9:$BI$508,"&lt;"&amp;$BI148)+COUNTIFS($BI$9:$BI$508,$BI148,$CB$9:$CB$508,"&lt;"&amp;$CB148)+1))</f>
        <v/>
      </c>
      <c r="CD148" s="74" t="str">
        <f aca="false">IF(ISBLANK($C148),"",IF($BH148&lt;&gt;Constants!$B$4,$BH148,RANK($BZ148,$BZ$9:$BZ$508,1)))</f>
        <v/>
      </c>
      <c r="CE148" s="74" t="str">
        <f aca="false">IF($BH148&lt;&gt;Constants!$B$4,"",$AL148+$AM148+$AN148)</f>
        <v/>
      </c>
      <c r="CF148" s="74" t="str">
        <f aca="false">IF(ISBLANK($C148),"",IF($BH148&lt;&gt;Constants!$B$4,$BH148,RANK($CE148,$CE$9:$CE$508,1)))</f>
        <v/>
      </c>
      <c r="CG148" s="74" t="str">
        <f aca="false">IF(ISBLANK($C148),"",IF($BH148&lt;&gt;Constants!$B$4,$BH148,COUNTIFS($BI$9:$BI$508,"&lt;"&amp;$BI148)+COUNTIFS($BI$9:$BI$508,$BI148,$CB$9:$CB$508,"&lt;"&amp;$CB148)+COUNTIFS($BI$9:$BI$508,$BI148,$CB$9:$CB$508,$CB148,$CD$9:$CD$508,"&lt;"&amp;$CD148)+COUNTIFS($BI$9:$BI$508,$BI148,$CB$9:$CB$508,$CB148,$CD$9:$CD$508,$CD148,$CF$9:$CF$508,"&lt;"&amp;$CF148)+1))</f>
        <v/>
      </c>
      <c r="CH148" s="74" t="str">
        <f aca="false">IF(ISBLANK($C148),"",IF($BH148&lt;&gt;Constants!$B$4,$BH148,$CC148-$CG148))</f>
        <v/>
      </c>
      <c r="CI148" s="74" t="str">
        <f aca="false">IF(ISBLANK($C148),"",IF(NOT($AJ148),"",IF(ISBLANK($D$7),$CI$5,IF(NOT(ISNUMBER($D$7)),$CI$6,""))))</f>
        <v/>
      </c>
      <c r="CJ148" s="74" t="str">
        <f aca="false">IF(ISBLANK($C148),"",OR($AL148="",$AM148="",$AN148=""))</f>
        <v/>
      </c>
      <c r="CK148" s="74" t="str">
        <f aca="false">IF(ISBLANK($C148),"",AND($AJ148,$AX148=""))</f>
        <v/>
      </c>
      <c r="CL148" s="74" t="str">
        <f aca="false">IF(ISBLANK($C148),"",AND($AJ148,$AY148=""))</f>
        <v/>
      </c>
      <c r="CM148" s="74" t="str">
        <f aca="false">IF(ISBLANK($C148),"",AND($AJ148,$AZ148=""))</f>
        <v/>
      </c>
      <c r="CN148" s="74" t="str">
        <f aca="false">IF(ISBLANK($C148),"",AND($AJ148,$BC148=""))</f>
        <v/>
      </c>
      <c r="CO148" s="74" t="str">
        <f aca="false">IF(ISBLANK($C148),"",AND($AJ148,$BF148=""))</f>
        <v/>
      </c>
      <c r="CP148" s="75"/>
      <c r="CQ148" s="76"/>
      <c r="CR148" s="79" t="str">
        <f aca="false">IF(ISBLANK($C148),"",IF($BH148=Constants!$B$8,$CI148,""))</f>
        <v/>
      </c>
      <c r="CS148" s="76" t="str">
        <f aca="false">IF(ISBLANK($C148),"",IF($BH148&lt;&gt;Constants!$B$4,"",$BK148+$BL148))</f>
        <v/>
      </c>
      <c r="CT148" s="78" t="str">
        <f aca="false">IF(ISBLANK($C148),"",IF($BH148&lt;&gt;Constants!$B$4,"",$BM148+$BN148+$BO148))</f>
        <v/>
      </c>
      <c r="CU148" s="78" t="str">
        <f aca="false">IF(ISBLANK($C148),"",IF($BH148&lt;&gt;Constants!$B$4,"",$BP148))</f>
        <v/>
      </c>
      <c r="CV148" s="78" t="str">
        <f aca="false">IF(ISBLANK($C148),"",IF($BH148&lt;&gt;Constants!$B$4,"",$BQ148+$BR148))</f>
        <v/>
      </c>
      <c r="CW148" s="78" t="str">
        <f aca="false">IF(ISBLANK($C148),"",IF($BH148&lt;&gt;Constants!$B$4,"",$BS148))</f>
        <v/>
      </c>
      <c r="CX148" s="78" t="str">
        <f aca="false">IF(ISBLANK($C148),"",IF($BH148&lt;&gt;Constants!$B$4,"",-$BZ148))</f>
        <v/>
      </c>
      <c r="CY148" s="79" t="str">
        <f aca="false">IF(ISBLANK($C148),"",$CA148)</f>
        <v/>
      </c>
      <c r="CZ148" s="80" t="str">
        <f aca="false">IF(ISBLANK($C148),"",$BI148)</f>
        <v/>
      </c>
      <c r="DA148" s="78" t="str">
        <f aca="false">IF(ISBLANK($C148),"",$CH148)</f>
        <v/>
      </c>
      <c r="DB148" s="78" t="str">
        <f aca="false">IF(ISBLANK($C148),"",$CG148)</f>
        <v/>
      </c>
      <c r="DC148" s="81" t="str">
        <f aca="false">IF(ISBLANK($C148),"",IFERROR(_xlfn.SWITCH($DB148,Constants!$B$7,COUNTA($C$9:$C$508)+2,Constants!$B$6,COUNTA($C$9:$C$508)+1,Constants!$B$5,COUNTA($C$9:$C$508)),$DB148))</f>
        <v/>
      </c>
      <c r="DD148" s="7"/>
      <c r="DE148" s="82" t="n">
        <f aca="false">IF(OR(ISNUMBER($DB148),$DB148=Constants!$B$7,$DB148=Constants!$B$5,$DB148=Constants!$B$6),1,0)</f>
        <v>0</v>
      </c>
      <c r="DF148" s="82" t="n">
        <v>140</v>
      </c>
      <c r="DG148" s="82" t="str">
        <f aca="false">IF(ISBLANK($C148),"",IF(ISNUMBER($DC148),$DC148+ROW($B148)/1000,""))</f>
        <v/>
      </c>
      <c r="DH148" s="82" t="str">
        <f aca="false">IF(ISNUMBER($DG148),RANK($DG148,$DG$9:$DG$508,1),"")</f>
        <v/>
      </c>
      <c r="DI148" s="82" t="str">
        <f aca="false">IF(ISBLANK($C148),"",$B148)</f>
        <v/>
      </c>
      <c r="DJ148" s="82" t="str">
        <f aca="false">IF(ISBLANK($C148),"",$C148)</f>
        <v/>
      </c>
      <c r="DK148" s="82" t="str">
        <f aca="false">IF(ISBLANK($C148),"",$D148)</f>
        <v/>
      </c>
      <c r="DL148" s="83" t="str">
        <f aca="false">$CZ148</f>
        <v/>
      </c>
      <c r="DM148" s="84" t="str">
        <f aca="false">$CY148</f>
        <v/>
      </c>
      <c r="DN148" s="82" t="str">
        <f aca="false">IF(ISBLANK($C148),"",$DB148)</f>
        <v/>
      </c>
      <c r="DO148" s="85" t="str">
        <f aca="false">IF($DF148&gt;$DE$8,"",VLOOKUP($DF148,$DH$9:$DN$508,7,FALSE()))</f>
        <v/>
      </c>
      <c r="DP148" s="86" t="str">
        <f aca="false">IF($DF148&gt;$DE$8,"",VLOOKUP($DF148,$DH$9:$DN$508,2,FALSE()))</f>
        <v/>
      </c>
      <c r="DQ148" s="86" t="str">
        <f aca="false">IF($DF148&gt;$DE$8,"",VLOOKUP($DF148,$DH$9:$DN$508,3,FALSE()))</f>
        <v/>
      </c>
      <c r="DR148" s="86" t="str">
        <f aca="false">IF($DF148&gt;$DE$8,"",VLOOKUP($DF148,$DH$9:$DN$508,4,FALSE()))</f>
        <v/>
      </c>
      <c r="DS148" s="86" t="str">
        <f aca="false">IF($DF148&gt;$DE$8,"",VLOOKUP($DF148,$DH$9:$DN$508,5,FALSE()))</f>
        <v/>
      </c>
      <c r="DT148" s="87" t="str">
        <f aca="false">IF($DF148&gt;$DE$8,"",VLOOKUP($DF148,$DH$9:$DN$508,6,FALSE()))</f>
        <v/>
      </c>
      <c r="DU148" s="62"/>
    </row>
    <row r="149" customFormat="false" ht="15.75" hidden="false" customHeight="false" outlineLevel="0" collapsed="false">
      <c r="A149" s="7"/>
      <c r="B149" s="64"/>
      <c r="C149" s="65"/>
      <c r="D149" s="123"/>
      <c r="E149" s="88"/>
      <c r="F149" s="134"/>
      <c r="G149" s="88"/>
      <c r="H149" s="134"/>
      <c r="I149" s="119"/>
      <c r="J149" s="119"/>
      <c r="K149" s="119"/>
      <c r="L149" s="88"/>
      <c r="M149" s="88"/>
      <c r="N149" s="88"/>
      <c r="O149" s="134"/>
      <c r="P149" s="88"/>
      <c r="Q149" s="88"/>
      <c r="R149" s="88"/>
      <c r="S149" s="88"/>
      <c r="T149" s="134"/>
      <c r="U149" s="88"/>
      <c r="V149" s="70"/>
      <c r="W149" s="88"/>
      <c r="X149" s="88"/>
      <c r="Y149" s="70"/>
      <c r="Z149" s="70"/>
      <c r="AA149" s="88"/>
      <c r="AB149" s="88"/>
      <c r="AC149" s="71"/>
      <c r="AD149" s="88"/>
      <c r="AE149" s="73"/>
      <c r="AF149" s="74"/>
      <c r="AG149" s="74"/>
      <c r="AH149" s="74" t="str">
        <f aca="false">IF(ISBLANK($C149),"",IF($E149=Constants!$B$2,TRUE(),IF($E149=Constants!$B$3,FALSE(),TRUE())))</f>
        <v/>
      </c>
      <c r="AI149" s="74" t="str">
        <f aca="false">IF(ISBLANK($C149),"",IF($F149=Constants!$B$2,TRUE(),IF($F149=Constants!$B$3,FALSE(),FALSE())))</f>
        <v/>
      </c>
      <c r="AJ149" s="74" t="str">
        <f aca="false">IF(ISBLANK($C149),"",IF($G149=Constants!$B$2,TRUE(),IF($G149=Constants!$B$3,FALSE(),TRUE())))</f>
        <v/>
      </c>
      <c r="AK149" s="74" t="str">
        <f aca="false">IF(ISBLANK($C149),"",IF($H149=Constants!$B$2,TRUE(),IF($H149=Constants!$B$3,FALSE(),TRUE())))</f>
        <v/>
      </c>
      <c r="AL149" s="74" t="str">
        <f aca="false">IF(ISBLANK($C149),"",IF(ISNUMBER($I149),IF($I149&gt;=0,$I149,""),""))</f>
        <v/>
      </c>
      <c r="AM149" s="74" t="str">
        <f aca="false">IF(ISBLANK($C149),"",IF(ISNUMBER($J149),IF($J149&gt;=0,$J149,""),""))</f>
        <v/>
      </c>
      <c r="AN149" s="74" t="str">
        <f aca="false">IF(ISBLANK($C149),"",IF(ISNUMBER($K149),IF($K149&gt;=0,$K149,""),""))</f>
        <v/>
      </c>
      <c r="AO149" s="74" t="str">
        <f aca="false">IF(ISBLANK($C149),"",IF($L149=Constants!$B$2,TRUE(),IF($L149=Constants!$B$3,FALSE(),TRUE())))</f>
        <v/>
      </c>
      <c r="AP149" s="74" t="str">
        <f aca="false">IF(ISBLANK($C149),"",IF($M149=Constants!$B$2,TRUE(),IF($M149=Constants!$B$3,FALSE(),TRUE())))</f>
        <v/>
      </c>
      <c r="AQ149" s="74" t="str">
        <f aca="false">IF(ISBLANK($C149),"",IF($N149=Constants!$B$2,TRUE(),IF($N149=Constants!$B$3,FALSE(),FALSE())))</f>
        <v/>
      </c>
      <c r="AR149" s="74" t="str">
        <f aca="false">IF(ISBLANK($C149),"",IF($O149=Constants!$B$2,TRUE(),IF($O149=Constants!$B$3,FALSE(),TRUE())))</f>
        <v/>
      </c>
      <c r="AS149" s="74" t="str">
        <f aca="false">IF(ISBLANK($C149),"",IF($P149=Constants!$B$2,TRUE(),IF($P149=Constants!$B$3,FALSE(),FALSE())))</f>
        <v/>
      </c>
      <c r="AT149" s="74" t="str">
        <f aca="false">IF(ISBLANK($C149),"",IF($Q149=Constants!$B$2,TRUE(),IF($Q149=Constants!$B$3,FALSE(),FALSE())))</f>
        <v/>
      </c>
      <c r="AU149" s="74" t="str">
        <f aca="false">IF(ISBLANK($C149),"",IF($R149=Constants!$B$2,TRUE(),IF($R149=Constants!$B$3,FALSE(),FALSE())))</f>
        <v/>
      </c>
      <c r="AV149" s="74" t="str">
        <f aca="false">IF(ISBLANK($C149),"",IF($S149=Constants!$B$2,TRUE(),IF($S149=Constants!$B$3,FALSE(),FALSE())))</f>
        <v/>
      </c>
      <c r="AW149" s="74" t="str">
        <f aca="false">IF(ISBLANK($C149),"",IF($T149=Constants!$B$2,TRUE(),IF($T149=Constants!$B$3,FALSE(),FALSE())))</f>
        <v/>
      </c>
      <c r="AX149" s="74" t="str">
        <f aca="false">IF(ISBLANK($C149),"",IF(OR($U149&amp;""="1",$U149&amp;""="2",$U149&amp;""="3",$U149&amp;""="4"),VALUE($U149&amp;""),IF($U149=Constants!$B$12,Constants!$B$12,"")))</f>
        <v/>
      </c>
      <c r="AY149" s="74" t="str">
        <f aca="false">IF(ISBLANK($C149),"",IF(ISBLANK($V149),0,IF(ISNUMBER($V149),IF(AND($V149&gt;=0,$V149&lt;=Constants!$B$21,$V149=INT($V149)),$V149,""),"")))</f>
        <v/>
      </c>
      <c r="AZ149" s="74" t="str">
        <f aca="false">IF(ISBLANK($C149),"",IF(ISBLANK($W149),0,IF(ISNUMBER($W149),IF($W149&gt;=0,$W149,""),"")))</f>
        <v/>
      </c>
      <c r="BA149" s="74" t="str">
        <f aca="false">IF(ISBLANK($C149),"",IF($X149=Constants!$B$2,TRUE(),IF($X149=Constants!$B$3,FALSE(),TRUE())))</f>
        <v/>
      </c>
      <c r="BB149" s="74" t="str">
        <f aca="false">IF(ISBLANK($C149),"",IF($Y149=Constants!$B$2,TRUE(),IF($Y149=Constants!$B$3,FALSE(),FALSE())))</f>
        <v/>
      </c>
      <c r="BC149" s="74" t="str">
        <f aca="false">IF(ISBLANK($C149),"",IF(ISBLANK($Z149),0,IF(ISNUMBER($Z149),IF(AND($Z149&gt;=0,$Z149&lt;=Constants!$B$35,$Z149=INT($Z149)),$Z149,""),"")))</f>
        <v/>
      </c>
      <c r="BD149" s="74" t="str">
        <f aca="false">IF(ISBLANK($C149),"",IF($AA149=Constants!$B$2,TRUE(),IF($AA149=Constants!$B$3,FALSE(),TRUE())))</f>
        <v/>
      </c>
      <c r="BE149" s="74" t="str">
        <f aca="false">IF(ISBLANK($C149),"",IF($AB149=Constants!$B$2,TRUE(),IF($AB149=Constants!$B$3,FALSE(),TRUE())))</f>
        <v/>
      </c>
      <c r="BF149" s="74" t="str">
        <f aca="false">IF(ISBLANK($C149),"",IF(ISNUMBER($AC149),IF($AC149&gt;=0,$AC149,""),""))</f>
        <v/>
      </c>
      <c r="BG149" s="74" t="str">
        <f aca="false">IF(ISBLANK($C149),"",IF($AD149=Constants!$B$2,TRUE(),IF($AD149=Constants!$B$3,FALSE(),FALSE())))</f>
        <v/>
      </c>
      <c r="BH149" s="73" t="str">
        <f aca="false">IF(ISBLANK($C149),"",IF($BG149,Constants!$B$7,IF(COUNTA($E149:$AC149)=0,Constants!$B$6,IF(OR(COUNTA($G149:$AC149)=0,NOT($AK149),$AQ149),Constants!$B$5,IF(OR($CI149&lt;&gt;"",$CJ149,$CK149,$CL149,$CM149,$CN149,$CO149),Constants!$B$8,Constants!$B$4)))))</f>
        <v/>
      </c>
      <c r="BI149" s="74" t="str">
        <f aca="false">IF(ISBLANK($C149),"",IF($BH149&lt;&gt;Constants!$B$4,$BH149,IF(OR(NOT($AH149),NOT($AJ149),NOT($AR149)),Constants!$B$11,IF(OR(NOT($AP149),MAX($AL149,$AM149,$AN149)&gt;Constants!$B$30),Constants!$B$10,Constants!$B$9))))</f>
        <v/>
      </c>
      <c r="BJ149" s="74" t="str">
        <f aca="false">IF($BH149&lt;&gt;Constants!$B$4,"",IF(NOT($AJ149),0,MIN(Constants!$B$35,$BC149)))</f>
        <v/>
      </c>
      <c r="BK149" s="74" t="str">
        <f aca="false">IF($BH149&lt;&gt;Constants!$B$4,"",IF(NOT($AJ149),0,IF($AT149,Constants!$B$18,IF($AS149,Constants!$B$17,0))))</f>
        <v/>
      </c>
      <c r="BL149" s="74" t="str">
        <f aca="false">IF($BH149&lt;&gt;Constants!$B$4,"",IF(NOT($AJ149),0,Constants!$B$19*($AI149+$AU149+$AV149+$AW149)))</f>
        <v/>
      </c>
      <c r="BM149" s="74" t="str">
        <f aca="false">IF($BH149&lt;&gt;Constants!$B$4,"",IF(OR(NOT($AJ149),NOT(ISNUMBER($AX149))),0,CHOOSE($AX149,Constants!$B$13,Constants!$B$14,Constants!$B$15,Constants!$B$16)))</f>
        <v/>
      </c>
      <c r="BN149" s="74" t="str">
        <f aca="false">IF($BH149&lt;&gt;Constants!$B$4,"",IF(NOT($AJ149),0,Constants!$B$20*$AY149))</f>
        <v/>
      </c>
      <c r="BO149" s="74" t="str">
        <f aca="false">IF($BH149&lt;&gt;Constants!$B$4,"",IF(AND($AJ149,$BA149,$BB149),Constants!$B$22,0))</f>
        <v/>
      </c>
      <c r="BP149" s="74" t="str">
        <f aca="false">IF($BH149&lt;&gt;Constants!$B$4,"",IF(OR(NOT($AJ149),NOT($BA149)),0,IF($BF149&gt;=2*$AF$9,0,Constants!$B$23*INT(ROUND(MIN($BF149,$AF$9),6)))))</f>
        <v/>
      </c>
      <c r="BQ149" s="74" t="str">
        <f aca="false">IF($BH149&lt;&gt;Constants!$B$4,"",IF(NOT($AJ149),0,Constants!$B$24*INT(ROUND(MIN($AZ149,$AF$9),6))))</f>
        <v/>
      </c>
      <c r="BR149" s="74" t="str">
        <f aca="false">IF($BH149&lt;&gt;Constants!$B$4,"",IF(AND($AJ149,$BJ149=0),Constants!$B$25,0))</f>
        <v/>
      </c>
      <c r="BS149" s="74" t="str">
        <f aca="false">IF($BH149&lt;&gt;Constants!$B$4,"",MIN(Constants!$B$29,MAX(0,Constants!$B$27*Constants!$B$28*INT(ROUND((Constants!$B$26-$AL149)/Constants!$B$28,6))))+MIN(Constants!$B$29,MAX(0,Constants!$B$27*Constants!$B$28*INT(ROUND((Constants!$B$26-$AM149)/Constants!$B$28,6))))+MIN(Constants!$B$29,MAX(0,Constants!$B$27*Constants!$B$28*INT(ROUND((Constants!$B$26-$AN149)/Constants!$B$28,6)))))</f>
        <v/>
      </c>
      <c r="BT149" s="74" t="str">
        <f aca="false">IF($BH149&lt;&gt;Constants!$B$4,"",IF(NOT($AJ149),0,Constants!$B$31*INT(ROUND(MAX(0,MIN($BF149,2*$AF$9)-$AF$9),6))))</f>
        <v/>
      </c>
      <c r="BU149" s="74" t="str">
        <f aca="false">IF($BH149&lt;&gt;Constants!$B$4,"",Constants!$B$32*(($AL149&gt;Constants!$B$26)+($AM149&gt;Constants!$B$26)+($AN149&gt;Constants!$B$26)))</f>
        <v/>
      </c>
      <c r="BV149" s="74" t="str">
        <f aca="false">IF($BH149&lt;&gt;Constants!$B$4,"",IF(OR(NOT($AJ149),$AO149),0,Constants!$B$33))</f>
        <v/>
      </c>
      <c r="BW149" s="74" t="str">
        <f aca="false">IF($BH149&lt;&gt;Constants!$B$4,"",Constants!$B$34*$BJ149)</f>
        <v/>
      </c>
      <c r="BX149" s="74" t="str">
        <f aca="false">IF($BH149&lt;&gt;Constants!$B$4,"",IF(OR(NOT($AJ149),$BE149),0,Constants!$B$36))</f>
        <v/>
      </c>
      <c r="BY149" s="74" t="str">
        <f aca="false">IF($BH149&lt;&gt;Constants!$B$4,"",IF(OR(NOT($AJ149),$BD149),0,Constants!$B$37))</f>
        <v/>
      </c>
      <c r="BZ149" s="74" t="str">
        <f aca="false">IF($BH149&lt;&gt;Constants!$B$4,"",SUM($BT149:$BY149))</f>
        <v/>
      </c>
      <c r="CA149" s="74" t="str">
        <f aca="false">IF(ISBLANK($C149),"",IF($BH149&lt;&gt;Constants!$B$4,$BH149,SUM($BK149:$BS149)-$BZ149))</f>
        <v/>
      </c>
      <c r="CB149" s="74" t="str">
        <f aca="false">IF(ISBLANK($C149),"",IF($BH149&lt;&gt;Constants!$B$4,$BH149,RANK($CA149,$CA$9:$CA$508)))</f>
        <v/>
      </c>
      <c r="CC149" s="74" t="str">
        <f aca="false">IF(ISBLANK($C149),"",IF($BH149&lt;&gt;Constants!$B$4,$BH149,COUNTIFS($BI$9:$BI$508,"&lt;"&amp;$BI149)+COUNTIFS($BI$9:$BI$508,$BI149,$CB$9:$CB$508,"&lt;"&amp;$CB149)+1))</f>
        <v/>
      </c>
      <c r="CD149" s="74" t="str">
        <f aca="false">IF(ISBLANK($C149),"",IF($BH149&lt;&gt;Constants!$B$4,$BH149,RANK($BZ149,$BZ$9:$BZ$508,1)))</f>
        <v/>
      </c>
      <c r="CE149" s="74" t="str">
        <f aca="false">IF($BH149&lt;&gt;Constants!$B$4,"",$AL149+$AM149+$AN149)</f>
        <v/>
      </c>
      <c r="CF149" s="74" t="str">
        <f aca="false">IF(ISBLANK($C149),"",IF($BH149&lt;&gt;Constants!$B$4,$BH149,RANK($CE149,$CE$9:$CE$508,1)))</f>
        <v/>
      </c>
      <c r="CG149" s="74" t="str">
        <f aca="false">IF(ISBLANK($C149),"",IF($BH149&lt;&gt;Constants!$B$4,$BH149,COUNTIFS($BI$9:$BI$508,"&lt;"&amp;$BI149)+COUNTIFS($BI$9:$BI$508,$BI149,$CB$9:$CB$508,"&lt;"&amp;$CB149)+COUNTIFS($BI$9:$BI$508,$BI149,$CB$9:$CB$508,$CB149,$CD$9:$CD$508,"&lt;"&amp;$CD149)+COUNTIFS($BI$9:$BI$508,$BI149,$CB$9:$CB$508,$CB149,$CD$9:$CD$508,$CD149,$CF$9:$CF$508,"&lt;"&amp;$CF149)+1))</f>
        <v/>
      </c>
      <c r="CH149" s="74" t="str">
        <f aca="false">IF(ISBLANK($C149),"",IF($BH149&lt;&gt;Constants!$B$4,$BH149,$CC149-$CG149))</f>
        <v/>
      </c>
      <c r="CI149" s="74" t="str">
        <f aca="false">IF(ISBLANK($C149),"",IF(NOT($AJ149),"",IF(ISBLANK($D$7),$CI$5,IF(NOT(ISNUMBER($D$7)),$CI$6,""))))</f>
        <v/>
      </c>
      <c r="CJ149" s="74" t="str">
        <f aca="false">IF(ISBLANK($C149),"",OR($AL149="",$AM149="",$AN149=""))</f>
        <v/>
      </c>
      <c r="CK149" s="74" t="str">
        <f aca="false">IF(ISBLANK($C149),"",AND($AJ149,$AX149=""))</f>
        <v/>
      </c>
      <c r="CL149" s="74" t="str">
        <f aca="false">IF(ISBLANK($C149),"",AND($AJ149,$AY149=""))</f>
        <v/>
      </c>
      <c r="CM149" s="74" t="str">
        <f aca="false">IF(ISBLANK($C149),"",AND($AJ149,$AZ149=""))</f>
        <v/>
      </c>
      <c r="CN149" s="74" t="str">
        <f aca="false">IF(ISBLANK($C149),"",AND($AJ149,$BC149=""))</f>
        <v/>
      </c>
      <c r="CO149" s="74" t="str">
        <f aca="false">IF(ISBLANK($C149),"",AND($AJ149,$BF149=""))</f>
        <v/>
      </c>
      <c r="CP149" s="75"/>
      <c r="CQ149" s="76"/>
      <c r="CR149" s="79" t="str">
        <f aca="false">IF(ISBLANK($C149),"",IF($BH149=Constants!$B$8,$CI149,""))</f>
        <v/>
      </c>
      <c r="CS149" s="76" t="str">
        <f aca="false">IF(ISBLANK($C149),"",IF($BH149&lt;&gt;Constants!$B$4,"",$BK149+$BL149))</f>
        <v/>
      </c>
      <c r="CT149" s="78" t="str">
        <f aca="false">IF(ISBLANK($C149),"",IF($BH149&lt;&gt;Constants!$B$4,"",$BM149+$BN149+$BO149))</f>
        <v/>
      </c>
      <c r="CU149" s="78" t="str">
        <f aca="false">IF(ISBLANK($C149),"",IF($BH149&lt;&gt;Constants!$B$4,"",$BP149))</f>
        <v/>
      </c>
      <c r="CV149" s="78" t="str">
        <f aca="false">IF(ISBLANK($C149),"",IF($BH149&lt;&gt;Constants!$B$4,"",$BQ149+$BR149))</f>
        <v/>
      </c>
      <c r="CW149" s="78" t="str">
        <f aca="false">IF(ISBLANK($C149),"",IF($BH149&lt;&gt;Constants!$B$4,"",$BS149))</f>
        <v/>
      </c>
      <c r="CX149" s="78" t="str">
        <f aca="false">IF(ISBLANK($C149),"",IF($BH149&lt;&gt;Constants!$B$4,"",-$BZ149))</f>
        <v/>
      </c>
      <c r="CY149" s="79" t="str">
        <f aca="false">IF(ISBLANK($C149),"",$CA149)</f>
        <v/>
      </c>
      <c r="CZ149" s="80" t="str">
        <f aca="false">IF(ISBLANK($C149),"",$BI149)</f>
        <v/>
      </c>
      <c r="DA149" s="78" t="str">
        <f aca="false">IF(ISBLANK($C149),"",$CH149)</f>
        <v/>
      </c>
      <c r="DB149" s="78" t="str">
        <f aca="false">IF(ISBLANK($C149),"",$CG149)</f>
        <v/>
      </c>
      <c r="DC149" s="81" t="str">
        <f aca="false">IF(ISBLANK($C149),"",IFERROR(_xlfn.SWITCH($DB149,Constants!$B$7,COUNTA($C$9:$C$508)+2,Constants!$B$6,COUNTA($C$9:$C$508)+1,Constants!$B$5,COUNTA($C$9:$C$508)),$DB149))</f>
        <v/>
      </c>
      <c r="DD149" s="7"/>
      <c r="DE149" s="82" t="n">
        <f aca="false">IF(OR(ISNUMBER($DB149),$DB149=Constants!$B$7,$DB149=Constants!$B$5,$DB149=Constants!$B$6),1,0)</f>
        <v>0</v>
      </c>
      <c r="DF149" s="82" t="n">
        <v>141</v>
      </c>
      <c r="DG149" s="82" t="str">
        <f aca="false">IF(ISBLANK($C149),"",IF(ISNUMBER($DC149),$DC149+ROW($B149)/1000,""))</f>
        <v/>
      </c>
      <c r="DH149" s="82" t="str">
        <f aca="false">IF(ISNUMBER($DG149),RANK($DG149,$DG$9:$DG$508,1),"")</f>
        <v/>
      </c>
      <c r="DI149" s="82" t="str">
        <f aca="false">IF(ISBLANK($C149),"",$B149)</f>
        <v/>
      </c>
      <c r="DJ149" s="82" t="str">
        <f aca="false">IF(ISBLANK($C149),"",$C149)</f>
        <v/>
      </c>
      <c r="DK149" s="82" t="str">
        <f aca="false">IF(ISBLANK($C149),"",$D149)</f>
        <v/>
      </c>
      <c r="DL149" s="83" t="str">
        <f aca="false">$CZ149</f>
        <v/>
      </c>
      <c r="DM149" s="84" t="str">
        <f aca="false">$CY149</f>
        <v/>
      </c>
      <c r="DN149" s="82" t="str">
        <f aca="false">IF(ISBLANK($C149),"",$DB149)</f>
        <v/>
      </c>
      <c r="DO149" s="85" t="str">
        <f aca="false">IF($DF149&gt;$DE$8,"",VLOOKUP($DF149,$DH$9:$DN$508,7,FALSE()))</f>
        <v/>
      </c>
      <c r="DP149" s="86" t="str">
        <f aca="false">IF($DF149&gt;$DE$8,"",VLOOKUP($DF149,$DH$9:$DN$508,2,FALSE()))</f>
        <v/>
      </c>
      <c r="DQ149" s="86" t="str">
        <f aca="false">IF($DF149&gt;$DE$8,"",VLOOKUP($DF149,$DH$9:$DN$508,3,FALSE()))</f>
        <v/>
      </c>
      <c r="DR149" s="86" t="str">
        <f aca="false">IF($DF149&gt;$DE$8,"",VLOOKUP($DF149,$DH$9:$DN$508,4,FALSE()))</f>
        <v/>
      </c>
      <c r="DS149" s="86" t="str">
        <f aca="false">IF($DF149&gt;$DE$8,"",VLOOKUP($DF149,$DH$9:$DN$508,5,FALSE()))</f>
        <v/>
      </c>
      <c r="DT149" s="87" t="str">
        <f aca="false">IF($DF149&gt;$DE$8,"",VLOOKUP($DF149,$DH$9:$DN$508,6,FALSE()))</f>
        <v/>
      </c>
      <c r="DU149" s="62"/>
    </row>
    <row r="150" customFormat="false" ht="15.75" hidden="false" customHeight="false" outlineLevel="0" collapsed="false">
      <c r="A150" s="7"/>
      <c r="B150" s="90"/>
      <c r="C150" s="91"/>
      <c r="D150" s="126"/>
      <c r="E150" s="130"/>
      <c r="F150" s="135"/>
      <c r="G150" s="130"/>
      <c r="H150" s="135"/>
      <c r="I150" s="131"/>
      <c r="J150" s="131"/>
      <c r="K150" s="131"/>
      <c r="L150" s="130"/>
      <c r="M150" s="130"/>
      <c r="N150" s="130"/>
      <c r="O150" s="135"/>
      <c r="P150" s="130"/>
      <c r="Q150" s="130"/>
      <c r="R150" s="130"/>
      <c r="S150" s="130"/>
      <c r="T150" s="135"/>
      <c r="U150" s="130"/>
      <c r="V150" s="96"/>
      <c r="W150" s="130"/>
      <c r="X150" s="130"/>
      <c r="Y150" s="96"/>
      <c r="Z150" s="96"/>
      <c r="AA150" s="130"/>
      <c r="AB150" s="130"/>
      <c r="AC150" s="97"/>
      <c r="AD150" s="130"/>
      <c r="AE150" s="99"/>
      <c r="AF150" s="100"/>
      <c r="AG150" s="100"/>
      <c r="AH150" s="100" t="str">
        <f aca="false">IF(ISBLANK($C150),"",IF($E150=Constants!$B$2,TRUE(),IF($E150=Constants!$B$3,FALSE(),TRUE())))</f>
        <v/>
      </c>
      <c r="AI150" s="100" t="str">
        <f aca="false">IF(ISBLANK($C150),"",IF($F150=Constants!$B$2,TRUE(),IF($F150=Constants!$B$3,FALSE(),FALSE())))</f>
        <v/>
      </c>
      <c r="AJ150" s="100" t="str">
        <f aca="false">IF(ISBLANK($C150),"",IF($G150=Constants!$B$2,TRUE(),IF($G150=Constants!$B$3,FALSE(),TRUE())))</f>
        <v/>
      </c>
      <c r="AK150" s="100" t="str">
        <f aca="false">IF(ISBLANK($C150),"",IF($H150=Constants!$B$2,TRUE(),IF($H150=Constants!$B$3,FALSE(),TRUE())))</f>
        <v/>
      </c>
      <c r="AL150" s="100" t="str">
        <f aca="false">IF(ISBLANK($C150),"",IF(ISNUMBER($I150),IF($I150&gt;=0,$I150,""),""))</f>
        <v/>
      </c>
      <c r="AM150" s="100" t="str">
        <f aca="false">IF(ISBLANK($C150),"",IF(ISNUMBER($J150),IF($J150&gt;=0,$J150,""),""))</f>
        <v/>
      </c>
      <c r="AN150" s="100" t="str">
        <f aca="false">IF(ISBLANK($C150),"",IF(ISNUMBER($K150),IF($K150&gt;=0,$K150,""),""))</f>
        <v/>
      </c>
      <c r="AO150" s="100" t="str">
        <f aca="false">IF(ISBLANK($C150),"",IF($L150=Constants!$B$2,TRUE(),IF($L150=Constants!$B$3,FALSE(),TRUE())))</f>
        <v/>
      </c>
      <c r="AP150" s="100" t="str">
        <f aca="false">IF(ISBLANK($C150),"",IF($M150=Constants!$B$2,TRUE(),IF($M150=Constants!$B$3,FALSE(),TRUE())))</f>
        <v/>
      </c>
      <c r="AQ150" s="100" t="str">
        <f aca="false">IF(ISBLANK($C150),"",IF($N150=Constants!$B$2,TRUE(),IF($N150=Constants!$B$3,FALSE(),FALSE())))</f>
        <v/>
      </c>
      <c r="AR150" s="100" t="str">
        <f aca="false">IF(ISBLANK($C150),"",IF($O150=Constants!$B$2,TRUE(),IF($O150=Constants!$B$3,FALSE(),TRUE())))</f>
        <v/>
      </c>
      <c r="AS150" s="100" t="str">
        <f aca="false">IF(ISBLANK($C150),"",IF($P150=Constants!$B$2,TRUE(),IF($P150=Constants!$B$3,FALSE(),FALSE())))</f>
        <v/>
      </c>
      <c r="AT150" s="100" t="str">
        <f aca="false">IF(ISBLANK($C150),"",IF($Q150=Constants!$B$2,TRUE(),IF($Q150=Constants!$B$3,FALSE(),FALSE())))</f>
        <v/>
      </c>
      <c r="AU150" s="100" t="str">
        <f aca="false">IF(ISBLANK($C150),"",IF($R150=Constants!$B$2,TRUE(),IF($R150=Constants!$B$3,FALSE(),FALSE())))</f>
        <v/>
      </c>
      <c r="AV150" s="100" t="str">
        <f aca="false">IF(ISBLANK($C150),"",IF($S150=Constants!$B$2,TRUE(),IF($S150=Constants!$B$3,FALSE(),FALSE())))</f>
        <v/>
      </c>
      <c r="AW150" s="100" t="str">
        <f aca="false">IF(ISBLANK($C150),"",IF($T150=Constants!$B$2,TRUE(),IF($T150=Constants!$B$3,FALSE(),FALSE())))</f>
        <v/>
      </c>
      <c r="AX150" s="100" t="str">
        <f aca="false">IF(ISBLANK($C150),"",IF(OR($U150&amp;""="1",$U150&amp;""="2",$U150&amp;""="3",$U150&amp;""="4"),VALUE($U150&amp;""),IF($U150=Constants!$B$12,Constants!$B$12,"")))</f>
        <v/>
      </c>
      <c r="AY150" s="100" t="str">
        <f aca="false">IF(ISBLANK($C150),"",IF(ISBLANK($V150),0,IF(ISNUMBER($V150),IF(AND($V150&gt;=0,$V150&lt;=Constants!$B$21,$V150=INT($V150)),$V150,""),"")))</f>
        <v/>
      </c>
      <c r="AZ150" s="100" t="str">
        <f aca="false">IF(ISBLANK($C150),"",IF(ISBLANK($W150),0,IF(ISNUMBER($W150),IF($W150&gt;=0,$W150,""),"")))</f>
        <v/>
      </c>
      <c r="BA150" s="100" t="str">
        <f aca="false">IF(ISBLANK($C150),"",IF($X150=Constants!$B$2,TRUE(),IF($X150=Constants!$B$3,FALSE(),TRUE())))</f>
        <v/>
      </c>
      <c r="BB150" s="100" t="str">
        <f aca="false">IF(ISBLANK($C150),"",IF($Y150=Constants!$B$2,TRUE(),IF($Y150=Constants!$B$3,FALSE(),FALSE())))</f>
        <v/>
      </c>
      <c r="BC150" s="100" t="str">
        <f aca="false">IF(ISBLANK($C150),"",IF(ISBLANK($Z150),0,IF(ISNUMBER($Z150),IF(AND($Z150&gt;=0,$Z150&lt;=Constants!$B$35,$Z150=INT($Z150)),$Z150,""),"")))</f>
        <v/>
      </c>
      <c r="BD150" s="100" t="str">
        <f aca="false">IF(ISBLANK($C150),"",IF($AA150=Constants!$B$2,TRUE(),IF($AA150=Constants!$B$3,FALSE(),TRUE())))</f>
        <v/>
      </c>
      <c r="BE150" s="100" t="str">
        <f aca="false">IF(ISBLANK($C150),"",IF($AB150=Constants!$B$2,TRUE(),IF($AB150=Constants!$B$3,FALSE(),TRUE())))</f>
        <v/>
      </c>
      <c r="BF150" s="100" t="str">
        <f aca="false">IF(ISBLANK($C150),"",IF(ISNUMBER($AC150),IF($AC150&gt;=0,$AC150,""),""))</f>
        <v/>
      </c>
      <c r="BG150" s="100" t="str">
        <f aca="false">IF(ISBLANK($C150),"",IF($AD150=Constants!$B$2,TRUE(),IF($AD150=Constants!$B$3,FALSE(),FALSE())))</f>
        <v/>
      </c>
      <c r="BH150" s="99" t="str">
        <f aca="false">IF(ISBLANK($C150),"",IF($BG150,Constants!$B$7,IF(COUNTA($E150:$AC150)=0,Constants!$B$6,IF(OR(COUNTA($G150:$AC150)=0,NOT($AK150),$AQ150),Constants!$B$5,IF(OR($CI150&lt;&gt;"",$CJ150,$CK150,$CL150,$CM150,$CN150,$CO150),Constants!$B$8,Constants!$B$4)))))</f>
        <v/>
      </c>
      <c r="BI150" s="100" t="str">
        <f aca="false">IF(ISBLANK($C150),"",IF($BH150&lt;&gt;Constants!$B$4,$BH150,IF(OR(NOT($AH150),NOT($AJ150),NOT($AR150)),Constants!$B$11,IF(OR(NOT($AP150),MAX($AL150,$AM150,$AN150)&gt;Constants!$B$30),Constants!$B$10,Constants!$B$9))))</f>
        <v/>
      </c>
      <c r="BJ150" s="100" t="str">
        <f aca="false">IF($BH150&lt;&gt;Constants!$B$4,"",IF(NOT($AJ150),0,MIN(Constants!$B$35,$BC150)))</f>
        <v/>
      </c>
      <c r="BK150" s="100" t="str">
        <f aca="false">IF($BH150&lt;&gt;Constants!$B$4,"",IF(NOT($AJ150),0,IF($AT150,Constants!$B$18,IF($AS150,Constants!$B$17,0))))</f>
        <v/>
      </c>
      <c r="BL150" s="100" t="str">
        <f aca="false">IF($BH150&lt;&gt;Constants!$B$4,"",IF(NOT($AJ150),0,Constants!$B$19*($AI150+$AU150+$AV150+$AW150)))</f>
        <v/>
      </c>
      <c r="BM150" s="100" t="str">
        <f aca="false">IF($BH150&lt;&gt;Constants!$B$4,"",IF(OR(NOT($AJ150),NOT(ISNUMBER($AX150))),0,CHOOSE($AX150,Constants!$B$13,Constants!$B$14,Constants!$B$15,Constants!$B$16)))</f>
        <v/>
      </c>
      <c r="BN150" s="100" t="str">
        <f aca="false">IF($BH150&lt;&gt;Constants!$B$4,"",IF(NOT($AJ150),0,Constants!$B$20*$AY150))</f>
        <v/>
      </c>
      <c r="BO150" s="100" t="str">
        <f aca="false">IF($BH150&lt;&gt;Constants!$B$4,"",IF(AND($AJ150,$BA150,$BB150),Constants!$B$22,0))</f>
        <v/>
      </c>
      <c r="BP150" s="100" t="str">
        <f aca="false">IF($BH150&lt;&gt;Constants!$B$4,"",IF(OR(NOT($AJ150),NOT($BA150)),0,IF($BF150&gt;=2*$AF$9,0,Constants!$B$23*INT(ROUND(MIN($BF150,$AF$9),6)))))</f>
        <v/>
      </c>
      <c r="BQ150" s="100" t="str">
        <f aca="false">IF($BH150&lt;&gt;Constants!$B$4,"",IF(NOT($AJ150),0,Constants!$B$24*INT(ROUND(MIN($AZ150,$AF$9),6))))</f>
        <v/>
      </c>
      <c r="BR150" s="100" t="str">
        <f aca="false">IF($BH150&lt;&gt;Constants!$B$4,"",IF(AND($AJ150,$BJ150=0),Constants!$B$25,0))</f>
        <v/>
      </c>
      <c r="BS150" s="100" t="str">
        <f aca="false">IF($BH150&lt;&gt;Constants!$B$4,"",MIN(Constants!$B$29,MAX(0,Constants!$B$27*Constants!$B$28*INT(ROUND((Constants!$B$26-$AL150)/Constants!$B$28,6))))+MIN(Constants!$B$29,MAX(0,Constants!$B$27*Constants!$B$28*INT(ROUND((Constants!$B$26-$AM150)/Constants!$B$28,6))))+MIN(Constants!$B$29,MAX(0,Constants!$B$27*Constants!$B$28*INT(ROUND((Constants!$B$26-$AN150)/Constants!$B$28,6)))))</f>
        <v/>
      </c>
      <c r="BT150" s="100" t="str">
        <f aca="false">IF($BH150&lt;&gt;Constants!$B$4,"",IF(NOT($AJ150),0,Constants!$B$31*INT(ROUND(MAX(0,MIN($BF150,2*$AF$9)-$AF$9),6))))</f>
        <v/>
      </c>
      <c r="BU150" s="100" t="str">
        <f aca="false">IF($BH150&lt;&gt;Constants!$B$4,"",Constants!$B$32*(($AL150&gt;Constants!$B$26)+($AM150&gt;Constants!$B$26)+($AN150&gt;Constants!$B$26)))</f>
        <v/>
      </c>
      <c r="BV150" s="100" t="str">
        <f aca="false">IF($BH150&lt;&gt;Constants!$B$4,"",IF(OR(NOT($AJ150),$AO150),0,Constants!$B$33))</f>
        <v/>
      </c>
      <c r="BW150" s="100" t="str">
        <f aca="false">IF($BH150&lt;&gt;Constants!$B$4,"",Constants!$B$34*$BJ150)</f>
        <v/>
      </c>
      <c r="BX150" s="100" t="str">
        <f aca="false">IF($BH150&lt;&gt;Constants!$B$4,"",IF(OR(NOT($AJ150),$BE150),0,Constants!$B$36))</f>
        <v/>
      </c>
      <c r="BY150" s="100" t="str">
        <f aca="false">IF($BH150&lt;&gt;Constants!$B$4,"",IF(OR(NOT($AJ150),$BD150),0,Constants!$B$37))</f>
        <v/>
      </c>
      <c r="BZ150" s="100" t="str">
        <f aca="false">IF($BH150&lt;&gt;Constants!$B$4,"",SUM($BT150:$BY150))</f>
        <v/>
      </c>
      <c r="CA150" s="100" t="str">
        <f aca="false">IF(ISBLANK($C150),"",IF($BH150&lt;&gt;Constants!$B$4,$BH150,SUM($BK150:$BS150)-$BZ150))</f>
        <v/>
      </c>
      <c r="CB150" s="100" t="str">
        <f aca="false">IF(ISBLANK($C150),"",IF($BH150&lt;&gt;Constants!$B$4,$BH150,RANK($CA150,$CA$9:$CA$508)))</f>
        <v/>
      </c>
      <c r="CC150" s="100" t="str">
        <f aca="false">IF(ISBLANK($C150),"",IF($BH150&lt;&gt;Constants!$B$4,$BH150,COUNTIFS($BI$9:$BI$508,"&lt;"&amp;$BI150)+COUNTIFS($BI$9:$BI$508,$BI150,$CB$9:$CB$508,"&lt;"&amp;$CB150)+1))</f>
        <v/>
      </c>
      <c r="CD150" s="100" t="str">
        <f aca="false">IF(ISBLANK($C150),"",IF($BH150&lt;&gt;Constants!$B$4,$BH150,RANK($BZ150,$BZ$9:$BZ$508,1)))</f>
        <v/>
      </c>
      <c r="CE150" s="100" t="str">
        <f aca="false">IF($BH150&lt;&gt;Constants!$B$4,"",$AL150+$AM150+$AN150)</f>
        <v/>
      </c>
      <c r="CF150" s="100" t="str">
        <f aca="false">IF(ISBLANK($C150),"",IF($BH150&lt;&gt;Constants!$B$4,$BH150,RANK($CE150,$CE$9:$CE$508,1)))</f>
        <v/>
      </c>
      <c r="CG150" s="100" t="str">
        <f aca="false">IF(ISBLANK($C150),"",IF($BH150&lt;&gt;Constants!$B$4,$BH150,COUNTIFS($BI$9:$BI$508,"&lt;"&amp;$BI150)+COUNTIFS($BI$9:$BI$508,$BI150,$CB$9:$CB$508,"&lt;"&amp;$CB150)+COUNTIFS($BI$9:$BI$508,$BI150,$CB$9:$CB$508,$CB150,$CD$9:$CD$508,"&lt;"&amp;$CD150)+COUNTIFS($BI$9:$BI$508,$BI150,$CB$9:$CB$508,$CB150,$CD$9:$CD$508,$CD150,$CF$9:$CF$508,"&lt;"&amp;$CF150)+1))</f>
        <v/>
      </c>
      <c r="CH150" s="100" t="str">
        <f aca="false">IF(ISBLANK($C150),"",IF($BH150&lt;&gt;Constants!$B$4,$BH150,$CC150-$CG150))</f>
        <v/>
      </c>
      <c r="CI150" s="100" t="str">
        <f aca="false">IF(ISBLANK($C150),"",IF(NOT($AJ150),"",IF(ISBLANK($D$7),$CI$5,IF(NOT(ISNUMBER($D$7)),$CI$6,""))))</f>
        <v/>
      </c>
      <c r="CJ150" s="100" t="str">
        <f aca="false">IF(ISBLANK($C150),"",OR($AL150="",$AM150="",$AN150=""))</f>
        <v/>
      </c>
      <c r="CK150" s="100" t="str">
        <f aca="false">IF(ISBLANK($C150),"",AND($AJ150,$AX150=""))</f>
        <v/>
      </c>
      <c r="CL150" s="100" t="str">
        <f aca="false">IF(ISBLANK($C150),"",AND($AJ150,$AY150=""))</f>
        <v/>
      </c>
      <c r="CM150" s="100" t="str">
        <f aca="false">IF(ISBLANK($C150),"",AND($AJ150,$AZ150=""))</f>
        <v/>
      </c>
      <c r="CN150" s="100" t="str">
        <f aca="false">IF(ISBLANK($C150),"",AND($AJ150,$BC150=""))</f>
        <v/>
      </c>
      <c r="CO150" s="100" t="str">
        <f aca="false">IF(ISBLANK($C150),"",AND($AJ150,$BF150=""))</f>
        <v/>
      </c>
      <c r="CP150" s="101"/>
      <c r="CQ150" s="102"/>
      <c r="CR150" s="103" t="str">
        <f aca="false">IF(ISBLANK($C150),"",IF($BH150=Constants!$B$8,$CI150,""))</f>
        <v/>
      </c>
      <c r="CS150" s="102" t="str">
        <f aca="false">IF(ISBLANK($C150),"",IF($BH150&lt;&gt;Constants!$B$4,"",$BK150+$BL150))</f>
        <v/>
      </c>
      <c r="CT150" s="104" t="str">
        <f aca="false">IF(ISBLANK($C150),"",IF($BH150&lt;&gt;Constants!$B$4,"",$BM150+$BN150+$BO150))</f>
        <v/>
      </c>
      <c r="CU150" s="104" t="str">
        <f aca="false">IF(ISBLANK($C150),"",IF($BH150&lt;&gt;Constants!$B$4,"",$BP150))</f>
        <v/>
      </c>
      <c r="CV150" s="104" t="str">
        <f aca="false">IF(ISBLANK($C150),"",IF($BH150&lt;&gt;Constants!$B$4,"",$BQ150+$BR150))</f>
        <v/>
      </c>
      <c r="CW150" s="104" t="str">
        <f aca="false">IF(ISBLANK($C150),"",IF($BH150&lt;&gt;Constants!$B$4,"",$BS150))</f>
        <v/>
      </c>
      <c r="CX150" s="104" t="str">
        <f aca="false">IF(ISBLANK($C150),"",IF($BH150&lt;&gt;Constants!$B$4,"",-$BZ150))</f>
        <v/>
      </c>
      <c r="CY150" s="103" t="str">
        <f aca="false">IF(ISBLANK($C150),"",$CA150)</f>
        <v/>
      </c>
      <c r="CZ150" s="105" t="str">
        <f aca="false">IF(ISBLANK($C150),"",$BI150)</f>
        <v/>
      </c>
      <c r="DA150" s="104" t="str">
        <f aca="false">IF(ISBLANK($C150),"",$CH150)</f>
        <v/>
      </c>
      <c r="DB150" s="104" t="str">
        <f aca="false">IF(ISBLANK($C150),"",$CG150)</f>
        <v/>
      </c>
      <c r="DC150" s="106" t="str">
        <f aca="false">IF(ISBLANK($C150),"",IFERROR(_xlfn.SWITCH($DB150,Constants!$B$7,COUNTA($C$9:$C$508)+2,Constants!$B$6,COUNTA($C$9:$C$508)+1,Constants!$B$5,COUNTA($C$9:$C$508)),$DB150))</f>
        <v/>
      </c>
      <c r="DD150" s="7"/>
      <c r="DE150" s="107" t="n">
        <f aca="false">IF(OR(ISNUMBER($DB150),$DB150=Constants!$B$7,$DB150=Constants!$B$5,$DB150=Constants!$B$6),1,0)</f>
        <v>0</v>
      </c>
      <c r="DF150" s="107" t="n">
        <v>142</v>
      </c>
      <c r="DG150" s="107" t="str">
        <f aca="false">IF(ISBLANK($C150),"",IF(ISNUMBER($DC150),$DC150+ROW($B150)/1000,""))</f>
        <v/>
      </c>
      <c r="DH150" s="107" t="str">
        <f aca="false">IF(ISNUMBER($DG150),RANK($DG150,$DG$9:$DG$508,1),"")</f>
        <v/>
      </c>
      <c r="DI150" s="107" t="str">
        <f aca="false">IF(ISBLANK($C150),"",$B150)</f>
        <v/>
      </c>
      <c r="DJ150" s="107" t="str">
        <f aca="false">IF(ISBLANK($C150),"",$C150)</f>
        <v/>
      </c>
      <c r="DK150" s="107" t="str">
        <f aca="false">IF(ISBLANK($C150),"",$D150)</f>
        <v/>
      </c>
      <c r="DL150" s="108" t="str">
        <f aca="false">$CZ150</f>
        <v/>
      </c>
      <c r="DM150" s="109" t="str">
        <f aca="false">$CY150</f>
        <v/>
      </c>
      <c r="DN150" s="107" t="str">
        <f aca="false">IF(ISBLANK($C150),"",$DB150)</f>
        <v/>
      </c>
      <c r="DO150" s="110" t="str">
        <f aca="false">IF($DF150&gt;$DE$8,"",VLOOKUP($DF150,$DH$9:$DN$508,7,FALSE()))</f>
        <v/>
      </c>
      <c r="DP150" s="111" t="str">
        <f aca="false">IF($DF150&gt;$DE$8,"",VLOOKUP($DF150,$DH$9:$DN$508,2,FALSE()))</f>
        <v/>
      </c>
      <c r="DQ150" s="111" t="str">
        <f aca="false">IF($DF150&gt;$DE$8,"",VLOOKUP($DF150,$DH$9:$DN$508,3,FALSE()))</f>
        <v/>
      </c>
      <c r="DR150" s="111" t="str">
        <f aca="false">IF($DF150&gt;$DE$8,"",VLOOKUP($DF150,$DH$9:$DN$508,4,FALSE()))</f>
        <v/>
      </c>
      <c r="DS150" s="111" t="str">
        <f aca="false">IF($DF150&gt;$DE$8,"",VLOOKUP($DF150,$DH$9:$DN$508,5,FALSE()))</f>
        <v/>
      </c>
      <c r="DT150" s="112" t="str">
        <f aca="false">IF($DF150&gt;$DE$8,"",VLOOKUP($DF150,$DH$9:$DN$508,6,FALSE()))</f>
        <v/>
      </c>
      <c r="DU150" s="62"/>
    </row>
    <row r="151" customFormat="false" ht="15.75" hidden="false" customHeight="false" outlineLevel="0" collapsed="false">
      <c r="A151" s="7"/>
      <c r="B151" s="90"/>
      <c r="C151" s="91"/>
      <c r="D151" s="126"/>
      <c r="E151" s="130"/>
      <c r="F151" s="135"/>
      <c r="G151" s="130"/>
      <c r="H151" s="135"/>
      <c r="I151" s="131"/>
      <c r="J151" s="131"/>
      <c r="K151" s="131"/>
      <c r="L151" s="130"/>
      <c r="M151" s="130"/>
      <c r="N151" s="130"/>
      <c r="O151" s="135"/>
      <c r="P151" s="130"/>
      <c r="Q151" s="130"/>
      <c r="R151" s="130"/>
      <c r="S151" s="130"/>
      <c r="T151" s="135"/>
      <c r="U151" s="130"/>
      <c r="V151" s="96"/>
      <c r="W151" s="130"/>
      <c r="X151" s="130"/>
      <c r="Y151" s="96"/>
      <c r="Z151" s="96"/>
      <c r="AA151" s="130"/>
      <c r="AB151" s="130"/>
      <c r="AC151" s="97"/>
      <c r="AD151" s="130"/>
      <c r="AE151" s="99"/>
      <c r="AF151" s="100"/>
      <c r="AG151" s="100"/>
      <c r="AH151" s="100" t="str">
        <f aca="false">IF(ISBLANK($C151),"",IF($E151=Constants!$B$2,TRUE(),IF($E151=Constants!$B$3,FALSE(),TRUE())))</f>
        <v/>
      </c>
      <c r="AI151" s="100" t="str">
        <f aca="false">IF(ISBLANK($C151),"",IF($F151=Constants!$B$2,TRUE(),IF($F151=Constants!$B$3,FALSE(),FALSE())))</f>
        <v/>
      </c>
      <c r="AJ151" s="100" t="str">
        <f aca="false">IF(ISBLANK($C151),"",IF($G151=Constants!$B$2,TRUE(),IF($G151=Constants!$B$3,FALSE(),TRUE())))</f>
        <v/>
      </c>
      <c r="AK151" s="100" t="str">
        <f aca="false">IF(ISBLANK($C151),"",IF($H151=Constants!$B$2,TRUE(),IF($H151=Constants!$B$3,FALSE(),TRUE())))</f>
        <v/>
      </c>
      <c r="AL151" s="100" t="str">
        <f aca="false">IF(ISBLANK($C151),"",IF(ISNUMBER($I151),IF($I151&gt;=0,$I151,""),""))</f>
        <v/>
      </c>
      <c r="AM151" s="100" t="str">
        <f aca="false">IF(ISBLANK($C151),"",IF(ISNUMBER($J151),IF($J151&gt;=0,$J151,""),""))</f>
        <v/>
      </c>
      <c r="AN151" s="100" t="str">
        <f aca="false">IF(ISBLANK($C151),"",IF(ISNUMBER($K151),IF($K151&gt;=0,$K151,""),""))</f>
        <v/>
      </c>
      <c r="AO151" s="100" t="str">
        <f aca="false">IF(ISBLANK($C151),"",IF($L151=Constants!$B$2,TRUE(),IF($L151=Constants!$B$3,FALSE(),TRUE())))</f>
        <v/>
      </c>
      <c r="AP151" s="100" t="str">
        <f aca="false">IF(ISBLANK($C151),"",IF($M151=Constants!$B$2,TRUE(),IF($M151=Constants!$B$3,FALSE(),TRUE())))</f>
        <v/>
      </c>
      <c r="AQ151" s="100" t="str">
        <f aca="false">IF(ISBLANK($C151),"",IF($N151=Constants!$B$2,TRUE(),IF($N151=Constants!$B$3,FALSE(),FALSE())))</f>
        <v/>
      </c>
      <c r="AR151" s="100" t="str">
        <f aca="false">IF(ISBLANK($C151),"",IF($O151=Constants!$B$2,TRUE(),IF($O151=Constants!$B$3,FALSE(),TRUE())))</f>
        <v/>
      </c>
      <c r="AS151" s="100" t="str">
        <f aca="false">IF(ISBLANK($C151),"",IF($P151=Constants!$B$2,TRUE(),IF($P151=Constants!$B$3,FALSE(),FALSE())))</f>
        <v/>
      </c>
      <c r="AT151" s="100" t="str">
        <f aca="false">IF(ISBLANK($C151),"",IF($Q151=Constants!$B$2,TRUE(),IF($Q151=Constants!$B$3,FALSE(),FALSE())))</f>
        <v/>
      </c>
      <c r="AU151" s="100" t="str">
        <f aca="false">IF(ISBLANK($C151),"",IF($R151=Constants!$B$2,TRUE(),IF($R151=Constants!$B$3,FALSE(),FALSE())))</f>
        <v/>
      </c>
      <c r="AV151" s="100" t="str">
        <f aca="false">IF(ISBLANK($C151),"",IF($S151=Constants!$B$2,TRUE(),IF($S151=Constants!$B$3,FALSE(),FALSE())))</f>
        <v/>
      </c>
      <c r="AW151" s="100" t="str">
        <f aca="false">IF(ISBLANK($C151),"",IF($T151=Constants!$B$2,TRUE(),IF($T151=Constants!$B$3,FALSE(),FALSE())))</f>
        <v/>
      </c>
      <c r="AX151" s="100" t="str">
        <f aca="false">IF(ISBLANK($C151),"",IF(OR($U151&amp;""="1",$U151&amp;""="2",$U151&amp;""="3",$U151&amp;""="4"),VALUE($U151&amp;""),IF($U151=Constants!$B$12,Constants!$B$12,"")))</f>
        <v/>
      </c>
      <c r="AY151" s="100" t="str">
        <f aca="false">IF(ISBLANK($C151),"",IF(ISBLANK($V151),0,IF(ISNUMBER($V151),IF(AND($V151&gt;=0,$V151&lt;=Constants!$B$21,$V151=INT($V151)),$V151,""),"")))</f>
        <v/>
      </c>
      <c r="AZ151" s="100" t="str">
        <f aca="false">IF(ISBLANK($C151),"",IF(ISBLANK($W151),0,IF(ISNUMBER($W151),IF($W151&gt;=0,$W151,""),"")))</f>
        <v/>
      </c>
      <c r="BA151" s="100" t="str">
        <f aca="false">IF(ISBLANK($C151),"",IF($X151=Constants!$B$2,TRUE(),IF($X151=Constants!$B$3,FALSE(),TRUE())))</f>
        <v/>
      </c>
      <c r="BB151" s="100" t="str">
        <f aca="false">IF(ISBLANK($C151),"",IF($Y151=Constants!$B$2,TRUE(),IF($Y151=Constants!$B$3,FALSE(),FALSE())))</f>
        <v/>
      </c>
      <c r="BC151" s="100" t="str">
        <f aca="false">IF(ISBLANK($C151),"",IF(ISBLANK($Z151),0,IF(ISNUMBER($Z151),IF(AND($Z151&gt;=0,$Z151&lt;=Constants!$B$35,$Z151=INT($Z151)),$Z151,""),"")))</f>
        <v/>
      </c>
      <c r="BD151" s="100" t="str">
        <f aca="false">IF(ISBLANK($C151),"",IF($AA151=Constants!$B$2,TRUE(),IF($AA151=Constants!$B$3,FALSE(),TRUE())))</f>
        <v/>
      </c>
      <c r="BE151" s="100" t="str">
        <f aca="false">IF(ISBLANK($C151),"",IF($AB151=Constants!$B$2,TRUE(),IF($AB151=Constants!$B$3,FALSE(),TRUE())))</f>
        <v/>
      </c>
      <c r="BF151" s="100" t="str">
        <f aca="false">IF(ISBLANK($C151),"",IF(ISNUMBER($AC151),IF($AC151&gt;=0,$AC151,""),""))</f>
        <v/>
      </c>
      <c r="BG151" s="100" t="str">
        <f aca="false">IF(ISBLANK($C151),"",IF($AD151=Constants!$B$2,TRUE(),IF($AD151=Constants!$B$3,FALSE(),FALSE())))</f>
        <v/>
      </c>
      <c r="BH151" s="99" t="str">
        <f aca="false">IF(ISBLANK($C151),"",IF($BG151,Constants!$B$7,IF(COUNTA($E151:$AC151)=0,Constants!$B$6,IF(OR(COUNTA($G151:$AC151)=0,NOT($AK151),$AQ151),Constants!$B$5,IF(OR($CI151&lt;&gt;"",$CJ151,$CK151,$CL151,$CM151,$CN151,$CO151),Constants!$B$8,Constants!$B$4)))))</f>
        <v/>
      </c>
      <c r="BI151" s="100" t="str">
        <f aca="false">IF(ISBLANK($C151),"",IF($BH151&lt;&gt;Constants!$B$4,$BH151,IF(OR(NOT($AH151),NOT($AJ151),NOT($AR151)),Constants!$B$11,IF(OR(NOT($AP151),MAX($AL151,$AM151,$AN151)&gt;Constants!$B$30),Constants!$B$10,Constants!$B$9))))</f>
        <v/>
      </c>
      <c r="BJ151" s="100" t="str">
        <f aca="false">IF($BH151&lt;&gt;Constants!$B$4,"",IF(NOT($AJ151),0,MIN(Constants!$B$35,$BC151)))</f>
        <v/>
      </c>
      <c r="BK151" s="100" t="str">
        <f aca="false">IF($BH151&lt;&gt;Constants!$B$4,"",IF(NOT($AJ151),0,IF($AT151,Constants!$B$18,IF($AS151,Constants!$B$17,0))))</f>
        <v/>
      </c>
      <c r="BL151" s="100" t="str">
        <f aca="false">IF($BH151&lt;&gt;Constants!$B$4,"",IF(NOT($AJ151),0,Constants!$B$19*($AI151+$AU151+$AV151+$AW151)))</f>
        <v/>
      </c>
      <c r="BM151" s="100" t="str">
        <f aca="false">IF($BH151&lt;&gt;Constants!$B$4,"",IF(OR(NOT($AJ151),NOT(ISNUMBER($AX151))),0,CHOOSE($AX151,Constants!$B$13,Constants!$B$14,Constants!$B$15,Constants!$B$16)))</f>
        <v/>
      </c>
      <c r="BN151" s="100" t="str">
        <f aca="false">IF($BH151&lt;&gt;Constants!$B$4,"",IF(NOT($AJ151),0,Constants!$B$20*$AY151))</f>
        <v/>
      </c>
      <c r="BO151" s="100" t="str">
        <f aca="false">IF($BH151&lt;&gt;Constants!$B$4,"",IF(AND($AJ151,$BA151,$BB151),Constants!$B$22,0))</f>
        <v/>
      </c>
      <c r="BP151" s="100" t="str">
        <f aca="false">IF($BH151&lt;&gt;Constants!$B$4,"",IF(OR(NOT($AJ151),NOT($BA151)),0,IF($BF151&gt;=2*$AF$9,0,Constants!$B$23*INT(ROUND(MIN($BF151,$AF$9),6)))))</f>
        <v/>
      </c>
      <c r="BQ151" s="100" t="str">
        <f aca="false">IF($BH151&lt;&gt;Constants!$B$4,"",IF(NOT($AJ151),0,Constants!$B$24*INT(ROUND(MIN($AZ151,$AF$9),6))))</f>
        <v/>
      </c>
      <c r="BR151" s="100" t="str">
        <f aca="false">IF($BH151&lt;&gt;Constants!$B$4,"",IF(AND($AJ151,$BJ151=0),Constants!$B$25,0))</f>
        <v/>
      </c>
      <c r="BS151" s="100" t="str">
        <f aca="false">IF($BH151&lt;&gt;Constants!$B$4,"",MIN(Constants!$B$29,MAX(0,Constants!$B$27*Constants!$B$28*INT(ROUND((Constants!$B$26-$AL151)/Constants!$B$28,6))))+MIN(Constants!$B$29,MAX(0,Constants!$B$27*Constants!$B$28*INT(ROUND((Constants!$B$26-$AM151)/Constants!$B$28,6))))+MIN(Constants!$B$29,MAX(0,Constants!$B$27*Constants!$B$28*INT(ROUND((Constants!$B$26-$AN151)/Constants!$B$28,6)))))</f>
        <v/>
      </c>
      <c r="BT151" s="100" t="str">
        <f aca="false">IF($BH151&lt;&gt;Constants!$B$4,"",IF(NOT($AJ151),0,Constants!$B$31*INT(ROUND(MAX(0,MIN($BF151,2*$AF$9)-$AF$9),6))))</f>
        <v/>
      </c>
      <c r="BU151" s="100" t="str">
        <f aca="false">IF($BH151&lt;&gt;Constants!$B$4,"",Constants!$B$32*(($AL151&gt;Constants!$B$26)+($AM151&gt;Constants!$B$26)+($AN151&gt;Constants!$B$26)))</f>
        <v/>
      </c>
      <c r="BV151" s="100" t="str">
        <f aca="false">IF($BH151&lt;&gt;Constants!$B$4,"",IF(OR(NOT($AJ151),$AO151),0,Constants!$B$33))</f>
        <v/>
      </c>
      <c r="BW151" s="100" t="str">
        <f aca="false">IF($BH151&lt;&gt;Constants!$B$4,"",Constants!$B$34*$BJ151)</f>
        <v/>
      </c>
      <c r="BX151" s="100" t="str">
        <f aca="false">IF($BH151&lt;&gt;Constants!$B$4,"",IF(OR(NOT($AJ151),$BE151),0,Constants!$B$36))</f>
        <v/>
      </c>
      <c r="BY151" s="100" t="str">
        <f aca="false">IF($BH151&lt;&gt;Constants!$B$4,"",IF(OR(NOT($AJ151),$BD151),0,Constants!$B$37))</f>
        <v/>
      </c>
      <c r="BZ151" s="100" t="str">
        <f aca="false">IF($BH151&lt;&gt;Constants!$B$4,"",SUM($BT151:$BY151))</f>
        <v/>
      </c>
      <c r="CA151" s="100" t="str">
        <f aca="false">IF(ISBLANK($C151),"",IF($BH151&lt;&gt;Constants!$B$4,$BH151,SUM($BK151:$BS151)-$BZ151))</f>
        <v/>
      </c>
      <c r="CB151" s="100" t="str">
        <f aca="false">IF(ISBLANK($C151),"",IF($BH151&lt;&gt;Constants!$B$4,$BH151,RANK($CA151,$CA$9:$CA$508)))</f>
        <v/>
      </c>
      <c r="CC151" s="100" t="str">
        <f aca="false">IF(ISBLANK($C151),"",IF($BH151&lt;&gt;Constants!$B$4,$BH151,COUNTIFS($BI$9:$BI$508,"&lt;"&amp;$BI151)+COUNTIFS($BI$9:$BI$508,$BI151,$CB$9:$CB$508,"&lt;"&amp;$CB151)+1))</f>
        <v/>
      </c>
      <c r="CD151" s="100" t="str">
        <f aca="false">IF(ISBLANK($C151),"",IF($BH151&lt;&gt;Constants!$B$4,$BH151,RANK($BZ151,$BZ$9:$BZ$508,1)))</f>
        <v/>
      </c>
      <c r="CE151" s="100" t="str">
        <f aca="false">IF($BH151&lt;&gt;Constants!$B$4,"",$AL151+$AM151+$AN151)</f>
        <v/>
      </c>
      <c r="CF151" s="100" t="str">
        <f aca="false">IF(ISBLANK($C151),"",IF($BH151&lt;&gt;Constants!$B$4,$BH151,RANK($CE151,$CE$9:$CE$508,1)))</f>
        <v/>
      </c>
      <c r="CG151" s="100" t="str">
        <f aca="false">IF(ISBLANK($C151),"",IF($BH151&lt;&gt;Constants!$B$4,$BH151,COUNTIFS($BI$9:$BI$508,"&lt;"&amp;$BI151)+COUNTIFS($BI$9:$BI$508,$BI151,$CB$9:$CB$508,"&lt;"&amp;$CB151)+COUNTIFS($BI$9:$BI$508,$BI151,$CB$9:$CB$508,$CB151,$CD$9:$CD$508,"&lt;"&amp;$CD151)+COUNTIFS($BI$9:$BI$508,$BI151,$CB$9:$CB$508,$CB151,$CD$9:$CD$508,$CD151,$CF$9:$CF$508,"&lt;"&amp;$CF151)+1))</f>
        <v/>
      </c>
      <c r="CH151" s="100" t="str">
        <f aca="false">IF(ISBLANK($C151),"",IF($BH151&lt;&gt;Constants!$B$4,$BH151,$CC151-$CG151))</f>
        <v/>
      </c>
      <c r="CI151" s="100" t="str">
        <f aca="false">IF(ISBLANK($C151),"",IF(NOT($AJ151),"",IF(ISBLANK($D$7),$CI$5,IF(NOT(ISNUMBER($D$7)),$CI$6,""))))</f>
        <v/>
      </c>
      <c r="CJ151" s="100" t="str">
        <f aca="false">IF(ISBLANK($C151),"",OR($AL151="",$AM151="",$AN151=""))</f>
        <v/>
      </c>
      <c r="CK151" s="100" t="str">
        <f aca="false">IF(ISBLANK($C151),"",AND($AJ151,$AX151=""))</f>
        <v/>
      </c>
      <c r="CL151" s="100" t="str">
        <f aca="false">IF(ISBLANK($C151),"",AND($AJ151,$AY151=""))</f>
        <v/>
      </c>
      <c r="CM151" s="100" t="str">
        <f aca="false">IF(ISBLANK($C151),"",AND($AJ151,$AZ151=""))</f>
        <v/>
      </c>
      <c r="CN151" s="100" t="str">
        <f aca="false">IF(ISBLANK($C151),"",AND($AJ151,$BC151=""))</f>
        <v/>
      </c>
      <c r="CO151" s="100" t="str">
        <f aca="false">IF(ISBLANK($C151),"",AND($AJ151,$BF151=""))</f>
        <v/>
      </c>
      <c r="CP151" s="101"/>
      <c r="CQ151" s="102"/>
      <c r="CR151" s="103" t="str">
        <f aca="false">IF(ISBLANK($C151),"",IF($BH151=Constants!$B$8,$CI151,""))</f>
        <v/>
      </c>
      <c r="CS151" s="102" t="str">
        <f aca="false">IF(ISBLANK($C151),"",IF($BH151&lt;&gt;Constants!$B$4,"",$BK151+$BL151))</f>
        <v/>
      </c>
      <c r="CT151" s="104" t="str">
        <f aca="false">IF(ISBLANK($C151),"",IF($BH151&lt;&gt;Constants!$B$4,"",$BM151+$BN151+$BO151))</f>
        <v/>
      </c>
      <c r="CU151" s="104" t="str">
        <f aca="false">IF(ISBLANK($C151),"",IF($BH151&lt;&gt;Constants!$B$4,"",$BP151))</f>
        <v/>
      </c>
      <c r="CV151" s="104" t="str">
        <f aca="false">IF(ISBLANK($C151),"",IF($BH151&lt;&gt;Constants!$B$4,"",$BQ151+$BR151))</f>
        <v/>
      </c>
      <c r="CW151" s="104" t="str">
        <f aca="false">IF(ISBLANK($C151),"",IF($BH151&lt;&gt;Constants!$B$4,"",$BS151))</f>
        <v/>
      </c>
      <c r="CX151" s="104" t="str">
        <f aca="false">IF(ISBLANK($C151),"",IF($BH151&lt;&gt;Constants!$B$4,"",-$BZ151))</f>
        <v/>
      </c>
      <c r="CY151" s="103" t="str">
        <f aca="false">IF(ISBLANK($C151),"",$CA151)</f>
        <v/>
      </c>
      <c r="CZ151" s="105" t="str">
        <f aca="false">IF(ISBLANK($C151),"",$BI151)</f>
        <v/>
      </c>
      <c r="DA151" s="104" t="str">
        <f aca="false">IF(ISBLANK($C151),"",$CH151)</f>
        <v/>
      </c>
      <c r="DB151" s="104" t="str">
        <f aca="false">IF(ISBLANK($C151),"",$CG151)</f>
        <v/>
      </c>
      <c r="DC151" s="106" t="str">
        <f aca="false">IF(ISBLANK($C151),"",IFERROR(_xlfn.SWITCH($DB151,Constants!$B$7,COUNTA($C$9:$C$508)+2,Constants!$B$6,COUNTA($C$9:$C$508)+1,Constants!$B$5,COUNTA($C$9:$C$508)),$DB151))</f>
        <v/>
      </c>
      <c r="DD151" s="7"/>
      <c r="DE151" s="107" t="n">
        <f aca="false">IF(OR(ISNUMBER($DB151),$DB151=Constants!$B$7,$DB151=Constants!$B$5,$DB151=Constants!$B$6),1,0)</f>
        <v>0</v>
      </c>
      <c r="DF151" s="107" t="n">
        <v>143</v>
      </c>
      <c r="DG151" s="107" t="str">
        <f aca="false">IF(ISBLANK($C151),"",IF(ISNUMBER($DC151),$DC151+ROW($B151)/1000,""))</f>
        <v/>
      </c>
      <c r="DH151" s="107" t="str">
        <f aca="false">IF(ISNUMBER($DG151),RANK($DG151,$DG$9:$DG$508,1),"")</f>
        <v/>
      </c>
      <c r="DI151" s="107" t="str">
        <f aca="false">IF(ISBLANK($C151),"",$B151)</f>
        <v/>
      </c>
      <c r="DJ151" s="107" t="str">
        <f aca="false">IF(ISBLANK($C151),"",$C151)</f>
        <v/>
      </c>
      <c r="DK151" s="107" t="str">
        <f aca="false">IF(ISBLANK($C151),"",$D151)</f>
        <v/>
      </c>
      <c r="DL151" s="108" t="str">
        <f aca="false">$CZ151</f>
        <v/>
      </c>
      <c r="DM151" s="109" t="str">
        <f aca="false">$CY151</f>
        <v/>
      </c>
      <c r="DN151" s="107" t="str">
        <f aca="false">IF(ISBLANK($C151),"",$DB151)</f>
        <v/>
      </c>
      <c r="DO151" s="110" t="str">
        <f aca="false">IF($DF151&gt;$DE$8,"",VLOOKUP($DF151,$DH$9:$DN$508,7,FALSE()))</f>
        <v/>
      </c>
      <c r="DP151" s="111" t="str">
        <f aca="false">IF($DF151&gt;$DE$8,"",VLOOKUP($DF151,$DH$9:$DN$508,2,FALSE()))</f>
        <v/>
      </c>
      <c r="DQ151" s="111" t="str">
        <f aca="false">IF($DF151&gt;$DE$8,"",VLOOKUP($DF151,$DH$9:$DN$508,3,FALSE()))</f>
        <v/>
      </c>
      <c r="DR151" s="111" t="str">
        <f aca="false">IF($DF151&gt;$DE$8,"",VLOOKUP($DF151,$DH$9:$DN$508,4,FALSE()))</f>
        <v/>
      </c>
      <c r="DS151" s="111" t="str">
        <f aca="false">IF($DF151&gt;$DE$8,"",VLOOKUP($DF151,$DH$9:$DN$508,5,FALSE()))</f>
        <v/>
      </c>
      <c r="DT151" s="112" t="str">
        <f aca="false">IF($DF151&gt;$DE$8,"",VLOOKUP($DF151,$DH$9:$DN$508,6,FALSE()))</f>
        <v/>
      </c>
      <c r="DU151" s="62"/>
    </row>
    <row r="152" customFormat="false" ht="15.75" hidden="false" customHeight="false" outlineLevel="0" collapsed="false">
      <c r="A152" s="7"/>
      <c r="B152" s="90"/>
      <c r="C152" s="91"/>
      <c r="D152" s="126"/>
      <c r="E152" s="130"/>
      <c r="F152" s="135"/>
      <c r="G152" s="130"/>
      <c r="H152" s="135"/>
      <c r="I152" s="131"/>
      <c r="J152" s="131"/>
      <c r="K152" s="131"/>
      <c r="L152" s="130"/>
      <c r="M152" s="130"/>
      <c r="N152" s="130"/>
      <c r="O152" s="135"/>
      <c r="P152" s="130"/>
      <c r="Q152" s="130"/>
      <c r="R152" s="130"/>
      <c r="S152" s="130"/>
      <c r="T152" s="135"/>
      <c r="U152" s="130"/>
      <c r="V152" s="96"/>
      <c r="W152" s="130"/>
      <c r="X152" s="130"/>
      <c r="Y152" s="96"/>
      <c r="Z152" s="96"/>
      <c r="AA152" s="130"/>
      <c r="AB152" s="130"/>
      <c r="AC152" s="97"/>
      <c r="AD152" s="130"/>
      <c r="AE152" s="99"/>
      <c r="AF152" s="100"/>
      <c r="AG152" s="100"/>
      <c r="AH152" s="100" t="str">
        <f aca="false">IF(ISBLANK($C152),"",IF($E152=Constants!$B$2,TRUE(),IF($E152=Constants!$B$3,FALSE(),TRUE())))</f>
        <v/>
      </c>
      <c r="AI152" s="100" t="str">
        <f aca="false">IF(ISBLANK($C152),"",IF($F152=Constants!$B$2,TRUE(),IF($F152=Constants!$B$3,FALSE(),FALSE())))</f>
        <v/>
      </c>
      <c r="AJ152" s="100" t="str">
        <f aca="false">IF(ISBLANK($C152),"",IF($G152=Constants!$B$2,TRUE(),IF($G152=Constants!$B$3,FALSE(),TRUE())))</f>
        <v/>
      </c>
      <c r="AK152" s="100" t="str">
        <f aca="false">IF(ISBLANK($C152),"",IF($H152=Constants!$B$2,TRUE(),IF($H152=Constants!$B$3,FALSE(),TRUE())))</f>
        <v/>
      </c>
      <c r="AL152" s="100" t="str">
        <f aca="false">IF(ISBLANK($C152),"",IF(ISNUMBER($I152),IF($I152&gt;=0,$I152,""),""))</f>
        <v/>
      </c>
      <c r="AM152" s="100" t="str">
        <f aca="false">IF(ISBLANK($C152),"",IF(ISNUMBER($J152),IF($J152&gt;=0,$J152,""),""))</f>
        <v/>
      </c>
      <c r="AN152" s="100" t="str">
        <f aca="false">IF(ISBLANK($C152),"",IF(ISNUMBER($K152),IF($K152&gt;=0,$K152,""),""))</f>
        <v/>
      </c>
      <c r="AO152" s="100" t="str">
        <f aca="false">IF(ISBLANK($C152),"",IF($L152=Constants!$B$2,TRUE(),IF($L152=Constants!$B$3,FALSE(),TRUE())))</f>
        <v/>
      </c>
      <c r="AP152" s="100" t="str">
        <f aca="false">IF(ISBLANK($C152),"",IF($M152=Constants!$B$2,TRUE(),IF($M152=Constants!$B$3,FALSE(),TRUE())))</f>
        <v/>
      </c>
      <c r="AQ152" s="100" t="str">
        <f aca="false">IF(ISBLANK($C152),"",IF($N152=Constants!$B$2,TRUE(),IF($N152=Constants!$B$3,FALSE(),FALSE())))</f>
        <v/>
      </c>
      <c r="AR152" s="100" t="str">
        <f aca="false">IF(ISBLANK($C152),"",IF($O152=Constants!$B$2,TRUE(),IF($O152=Constants!$B$3,FALSE(),TRUE())))</f>
        <v/>
      </c>
      <c r="AS152" s="100" t="str">
        <f aca="false">IF(ISBLANK($C152),"",IF($P152=Constants!$B$2,TRUE(),IF($P152=Constants!$B$3,FALSE(),FALSE())))</f>
        <v/>
      </c>
      <c r="AT152" s="100" t="str">
        <f aca="false">IF(ISBLANK($C152),"",IF($Q152=Constants!$B$2,TRUE(),IF($Q152=Constants!$B$3,FALSE(),FALSE())))</f>
        <v/>
      </c>
      <c r="AU152" s="100" t="str">
        <f aca="false">IF(ISBLANK($C152),"",IF($R152=Constants!$B$2,TRUE(),IF($R152=Constants!$B$3,FALSE(),FALSE())))</f>
        <v/>
      </c>
      <c r="AV152" s="100" t="str">
        <f aca="false">IF(ISBLANK($C152),"",IF($S152=Constants!$B$2,TRUE(),IF($S152=Constants!$B$3,FALSE(),FALSE())))</f>
        <v/>
      </c>
      <c r="AW152" s="100" t="str">
        <f aca="false">IF(ISBLANK($C152),"",IF($T152=Constants!$B$2,TRUE(),IF($T152=Constants!$B$3,FALSE(),FALSE())))</f>
        <v/>
      </c>
      <c r="AX152" s="100" t="str">
        <f aca="false">IF(ISBLANK($C152),"",IF(OR($U152&amp;""="1",$U152&amp;""="2",$U152&amp;""="3",$U152&amp;""="4"),VALUE($U152&amp;""),IF($U152=Constants!$B$12,Constants!$B$12,"")))</f>
        <v/>
      </c>
      <c r="AY152" s="100" t="str">
        <f aca="false">IF(ISBLANK($C152),"",IF(ISBLANK($V152),0,IF(ISNUMBER($V152),IF(AND($V152&gt;=0,$V152&lt;=Constants!$B$21,$V152=INT($V152)),$V152,""),"")))</f>
        <v/>
      </c>
      <c r="AZ152" s="100" t="str">
        <f aca="false">IF(ISBLANK($C152),"",IF(ISBLANK($W152),0,IF(ISNUMBER($W152),IF($W152&gt;=0,$W152,""),"")))</f>
        <v/>
      </c>
      <c r="BA152" s="100" t="str">
        <f aca="false">IF(ISBLANK($C152),"",IF($X152=Constants!$B$2,TRUE(),IF($X152=Constants!$B$3,FALSE(),TRUE())))</f>
        <v/>
      </c>
      <c r="BB152" s="100" t="str">
        <f aca="false">IF(ISBLANK($C152),"",IF($Y152=Constants!$B$2,TRUE(),IF($Y152=Constants!$B$3,FALSE(),FALSE())))</f>
        <v/>
      </c>
      <c r="BC152" s="100" t="str">
        <f aca="false">IF(ISBLANK($C152),"",IF(ISBLANK($Z152),0,IF(ISNUMBER($Z152),IF(AND($Z152&gt;=0,$Z152&lt;=Constants!$B$35,$Z152=INT($Z152)),$Z152,""),"")))</f>
        <v/>
      </c>
      <c r="BD152" s="100" t="str">
        <f aca="false">IF(ISBLANK($C152),"",IF($AA152=Constants!$B$2,TRUE(),IF($AA152=Constants!$B$3,FALSE(),TRUE())))</f>
        <v/>
      </c>
      <c r="BE152" s="100" t="str">
        <f aca="false">IF(ISBLANK($C152),"",IF($AB152=Constants!$B$2,TRUE(),IF($AB152=Constants!$B$3,FALSE(),TRUE())))</f>
        <v/>
      </c>
      <c r="BF152" s="100" t="str">
        <f aca="false">IF(ISBLANK($C152),"",IF(ISNUMBER($AC152),IF($AC152&gt;=0,$AC152,""),""))</f>
        <v/>
      </c>
      <c r="BG152" s="100" t="str">
        <f aca="false">IF(ISBLANK($C152),"",IF($AD152=Constants!$B$2,TRUE(),IF($AD152=Constants!$B$3,FALSE(),FALSE())))</f>
        <v/>
      </c>
      <c r="BH152" s="99" t="str">
        <f aca="false">IF(ISBLANK($C152),"",IF($BG152,Constants!$B$7,IF(COUNTA($E152:$AC152)=0,Constants!$B$6,IF(OR(COUNTA($G152:$AC152)=0,NOT($AK152),$AQ152),Constants!$B$5,IF(OR($CI152&lt;&gt;"",$CJ152,$CK152,$CL152,$CM152,$CN152,$CO152),Constants!$B$8,Constants!$B$4)))))</f>
        <v/>
      </c>
      <c r="BI152" s="100" t="str">
        <f aca="false">IF(ISBLANK($C152),"",IF($BH152&lt;&gt;Constants!$B$4,$BH152,IF(OR(NOT($AH152),NOT($AJ152),NOT($AR152)),Constants!$B$11,IF(OR(NOT($AP152),MAX($AL152,$AM152,$AN152)&gt;Constants!$B$30),Constants!$B$10,Constants!$B$9))))</f>
        <v/>
      </c>
      <c r="BJ152" s="100" t="str">
        <f aca="false">IF($BH152&lt;&gt;Constants!$B$4,"",IF(NOT($AJ152),0,MIN(Constants!$B$35,$BC152)))</f>
        <v/>
      </c>
      <c r="BK152" s="100" t="str">
        <f aca="false">IF($BH152&lt;&gt;Constants!$B$4,"",IF(NOT($AJ152),0,IF($AT152,Constants!$B$18,IF($AS152,Constants!$B$17,0))))</f>
        <v/>
      </c>
      <c r="BL152" s="100" t="str">
        <f aca="false">IF($BH152&lt;&gt;Constants!$B$4,"",IF(NOT($AJ152),0,Constants!$B$19*($AI152+$AU152+$AV152+$AW152)))</f>
        <v/>
      </c>
      <c r="BM152" s="100" t="str">
        <f aca="false">IF($BH152&lt;&gt;Constants!$B$4,"",IF(OR(NOT($AJ152),NOT(ISNUMBER($AX152))),0,CHOOSE($AX152,Constants!$B$13,Constants!$B$14,Constants!$B$15,Constants!$B$16)))</f>
        <v/>
      </c>
      <c r="BN152" s="100" t="str">
        <f aca="false">IF($BH152&lt;&gt;Constants!$B$4,"",IF(NOT($AJ152),0,Constants!$B$20*$AY152))</f>
        <v/>
      </c>
      <c r="BO152" s="100" t="str">
        <f aca="false">IF($BH152&lt;&gt;Constants!$B$4,"",IF(AND($AJ152,$BA152,$BB152),Constants!$B$22,0))</f>
        <v/>
      </c>
      <c r="BP152" s="100" t="str">
        <f aca="false">IF($BH152&lt;&gt;Constants!$B$4,"",IF(OR(NOT($AJ152),NOT($BA152)),0,IF($BF152&gt;=2*$AF$9,0,Constants!$B$23*INT(ROUND(MIN($BF152,$AF$9),6)))))</f>
        <v/>
      </c>
      <c r="BQ152" s="100" t="str">
        <f aca="false">IF($BH152&lt;&gt;Constants!$B$4,"",IF(NOT($AJ152),0,Constants!$B$24*INT(ROUND(MIN($AZ152,$AF$9),6))))</f>
        <v/>
      </c>
      <c r="BR152" s="100" t="str">
        <f aca="false">IF($BH152&lt;&gt;Constants!$B$4,"",IF(AND($AJ152,$BJ152=0),Constants!$B$25,0))</f>
        <v/>
      </c>
      <c r="BS152" s="100" t="str">
        <f aca="false">IF($BH152&lt;&gt;Constants!$B$4,"",MIN(Constants!$B$29,MAX(0,Constants!$B$27*Constants!$B$28*INT(ROUND((Constants!$B$26-$AL152)/Constants!$B$28,6))))+MIN(Constants!$B$29,MAX(0,Constants!$B$27*Constants!$B$28*INT(ROUND((Constants!$B$26-$AM152)/Constants!$B$28,6))))+MIN(Constants!$B$29,MAX(0,Constants!$B$27*Constants!$B$28*INT(ROUND((Constants!$B$26-$AN152)/Constants!$B$28,6)))))</f>
        <v/>
      </c>
      <c r="BT152" s="100" t="str">
        <f aca="false">IF($BH152&lt;&gt;Constants!$B$4,"",IF(NOT($AJ152),0,Constants!$B$31*INT(ROUND(MAX(0,MIN($BF152,2*$AF$9)-$AF$9),6))))</f>
        <v/>
      </c>
      <c r="BU152" s="100" t="str">
        <f aca="false">IF($BH152&lt;&gt;Constants!$B$4,"",Constants!$B$32*(($AL152&gt;Constants!$B$26)+($AM152&gt;Constants!$B$26)+($AN152&gt;Constants!$B$26)))</f>
        <v/>
      </c>
      <c r="BV152" s="100" t="str">
        <f aca="false">IF($BH152&lt;&gt;Constants!$B$4,"",IF(OR(NOT($AJ152),$AO152),0,Constants!$B$33))</f>
        <v/>
      </c>
      <c r="BW152" s="100" t="str">
        <f aca="false">IF($BH152&lt;&gt;Constants!$B$4,"",Constants!$B$34*$BJ152)</f>
        <v/>
      </c>
      <c r="BX152" s="100" t="str">
        <f aca="false">IF($BH152&lt;&gt;Constants!$B$4,"",IF(OR(NOT($AJ152),$BE152),0,Constants!$B$36))</f>
        <v/>
      </c>
      <c r="BY152" s="100" t="str">
        <f aca="false">IF($BH152&lt;&gt;Constants!$B$4,"",IF(OR(NOT($AJ152),$BD152),0,Constants!$B$37))</f>
        <v/>
      </c>
      <c r="BZ152" s="100" t="str">
        <f aca="false">IF($BH152&lt;&gt;Constants!$B$4,"",SUM($BT152:$BY152))</f>
        <v/>
      </c>
      <c r="CA152" s="100" t="str">
        <f aca="false">IF(ISBLANK($C152),"",IF($BH152&lt;&gt;Constants!$B$4,$BH152,SUM($BK152:$BS152)-$BZ152))</f>
        <v/>
      </c>
      <c r="CB152" s="100" t="str">
        <f aca="false">IF(ISBLANK($C152),"",IF($BH152&lt;&gt;Constants!$B$4,$BH152,RANK($CA152,$CA$9:$CA$508)))</f>
        <v/>
      </c>
      <c r="CC152" s="100" t="str">
        <f aca="false">IF(ISBLANK($C152),"",IF($BH152&lt;&gt;Constants!$B$4,$BH152,COUNTIFS($BI$9:$BI$508,"&lt;"&amp;$BI152)+COUNTIFS($BI$9:$BI$508,$BI152,$CB$9:$CB$508,"&lt;"&amp;$CB152)+1))</f>
        <v/>
      </c>
      <c r="CD152" s="100" t="str">
        <f aca="false">IF(ISBLANK($C152),"",IF($BH152&lt;&gt;Constants!$B$4,$BH152,RANK($BZ152,$BZ$9:$BZ$508,1)))</f>
        <v/>
      </c>
      <c r="CE152" s="100" t="str">
        <f aca="false">IF($BH152&lt;&gt;Constants!$B$4,"",$AL152+$AM152+$AN152)</f>
        <v/>
      </c>
      <c r="CF152" s="100" t="str">
        <f aca="false">IF(ISBLANK($C152),"",IF($BH152&lt;&gt;Constants!$B$4,$BH152,RANK($CE152,$CE$9:$CE$508,1)))</f>
        <v/>
      </c>
      <c r="CG152" s="100" t="str">
        <f aca="false">IF(ISBLANK($C152),"",IF($BH152&lt;&gt;Constants!$B$4,$BH152,COUNTIFS($BI$9:$BI$508,"&lt;"&amp;$BI152)+COUNTIFS($BI$9:$BI$508,$BI152,$CB$9:$CB$508,"&lt;"&amp;$CB152)+COUNTIFS($BI$9:$BI$508,$BI152,$CB$9:$CB$508,$CB152,$CD$9:$CD$508,"&lt;"&amp;$CD152)+COUNTIFS($BI$9:$BI$508,$BI152,$CB$9:$CB$508,$CB152,$CD$9:$CD$508,$CD152,$CF$9:$CF$508,"&lt;"&amp;$CF152)+1))</f>
        <v/>
      </c>
      <c r="CH152" s="100" t="str">
        <f aca="false">IF(ISBLANK($C152),"",IF($BH152&lt;&gt;Constants!$B$4,$BH152,$CC152-$CG152))</f>
        <v/>
      </c>
      <c r="CI152" s="100" t="str">
        <f aca="false">IF(ISBLANK($C152),"",IF(NOT($AJ152),"",IF(ISBLANK($D$7),$CI$5,IF(NOT(ISNUMBER($D$7)),$CI$6,""))))</f>
        <v/>
      </c>
      <c r="CJ152" s="100" t="str">
        <f aca="false">IF(ISBLANK($C152),"",OR($AL152="",$AM152="",$AN152=""))</f>
        <v/>
      </c>
      <c r="CK152" s="100" t="str">
        <f aca="false">IF(ISBLANK($C152),"",AND($AJ152,$AX152=""))</f>
        <v/>
      </c>
      <c r="CL152" s="100" t="str">
        <f aca="false">IF(ISBLANK($C152),"",AND($AJ152,$AY152=""))</f>
        <v/>
      </c>
      <c r="CM152" s="100" t="str">
        <f aca="false">IF(ISBLANK($C152),"",AND($AJ152,$AZ152=""))</f>
        <v/>
      </c>
      <c r="CN152" s="100" t="str">
        <f aca="false">IF(ISBLANK($C152),"",AND($AJ152,$BC152=""))</f>
        <v/>
      </c>
      <c r="CO152" s="100" t="str">
        <f aca="false">IF(ISBLANK($C152),"",AND($AJ152,$BF152=""))</f>
        <v/>
      </c>
      <c r="CP152" s="101"/>
      <c r="CQ152" s="102"/>
      <c r="CR152" s="103" t="str">
        <f aca="false">IF(ISBLANK($C152),"",IF($BH152=Constants!$B$8,$CI152,""))</f>
        <v/>
      </c>
      <c r="CS152" s="102" t="str">
        <f aca="false">IF(ISBLANK($C152),"",IF($BH152&lt;&gt;Constants!$B$4,"",$BK152+$BL152))</f>
        <v/>
      </c>
      <c r="CT152" s="104" t="str">
        <f aca="false">IF(ISBLANK($C152),"",IF($BH152&lt;&gt;Constants!$B$4,"",$BM152+$BN152+$BO152))</f>
        <v/>
      </c>
      <c r="CU152" s="104" t="str">
        <f aca="false">IF(ISBLANK($C152),"",IF($BH152&lt;&gt;Constants!$B$4,"",$BP152))</f>
        <v/>
      </c>
      <c r="CV152" s="104" t="str">
        <f aca="false">IF(ISBLANK($C152),"",IF($BH152&lt;&gt;Constants!$B$4,"",$BQ152+$BR152))</f>
        <v/>
      </c>
      <c r="CW152" s="104" t="str">
        <f aca="false">IF(ISBLANK($C152),"",IF($BH152&lt;&gt;Constants!$B$4,"",$BS152))</f>
        <v/>
      </c>
      <c r="CX152" s="104" t="str">
        <f aca="false">IF(ISBLANK($C152),"",IF($BH152&lt;&gt;Constants!$B$4,"",-$BZ152))</f>
        <v/>
      </c>
      <c r="CY152" s="103" t="str">
        <f aca="false">IF(ISBLANK($C152),"",$CA152)</f>
        <v/>
      </c>
      <c r="CZ152" s="105" t="str">
        <f aca="false">IF(ISBLANK($C152),"",$BI152)</f>
        <v/>
      </c>
      <c r="DA152" s="104" t="str">
        <f aca="false">IF(ISBLANK($C152),"",$CH152)</f>
        <v/>
      </c>
      <c r="DB152" s="104" t="str">
        <f aca="false">IF(ISBLANK($C152),"",$CG152)</f>
        <v/>
      </c>
      <c r="DC152" s="106" t="str">
        <f aca="false">IF(ISBLANK($C152),"",IFERROR(_xlfn.SWITCH($DB152,Constants!$B$7,COUNTA($C$9:$C$508)+2,Constants!$B$6,COUNTA($C$9:$C$508)+1,Constants!$B$5,COUNTA($C$9:$C$508)),$DB152))</f>
        <v/>
      </c>
      <c r="DD152" s="7"/>
      <c r="DE152" s="107" t="n">
        <f aca="false">IF(OR(ISNUMBER($DB152),$DB152=Constants!$B$7,$DB152=Constants!$B$5,$DB152=Constants!$B$6),1,0)</f>
        <v>0</v>
      </c>
      <c r="DF152" s="107" t="n">
        <v>144</v>
      </c>
      <c r="DG152" s="107" t="str">
        <f aca="false">IF(ISBLANK($C152),"",IF(ISNUMBER($DC152),$DC152+ROW($B152)/1000,""))</f>
        <v/>
      </c>
      <c r="DH152" s="107" t="str">
        <f aca="false">IF(ISNUMBER($DG152),RANK($DG152,$DG$9:$DG$508,1),"")</f>
        <v/>
      </c>
      <c r="DI152" s="107" t="str">
        <f aca="false">IF(ISBLANK($C152),"",$B152)</f>
        <v/>
      </c>
      <c r="DJ152" s="107" t="str">
        <f aca="false">IF(ISBLANK($C152),"",$C152)</f>
        <v/>
      </c>
      <c r="DK152" s="107" t="str">
        <f aca="false">IF(ISBLANK($C152),"",$D152)</f>
        <v/>
      </c>
      <c r="DL152" s="108" t="str">
        <f aca="false">$CZ152</f>
        <v/>
      </c>
      <c r="DM152" s="109" t="str">
        <f aca="false">$CY152</f>
        <v/>
      </c>
      <c r="DN152" s="107" t="str">
        <f aca="false">IF(ISBLANK($C152),"",$DB152)</f>
        <v/>
      </c>
      <c r="DO152" s="110" t="str">
        <f aca="false">IF($DF152&gt;$DE$8,"",VLOOKUP($DF152,$DH$9:$DN$508,7,FALSE()))</f>
        <v/>
      </c>
      <c r="DP152" s="111" t="str">
        <f aca="false">IF($DF152&gt;$DE$8,"",VLOOKUP($DF152,$DH$9:$DN$508,2,FALSE()))</f>
        <v/>
      </c>
      <c r="DQ152" s="111" t="str">
        <f aca="false">IF($DF152&gt;$DE$8,"",VLOOKUP($DF152,$DH$9:$DN$508,3,FALSE()))</f>
        <v/>
      </c>
      <c r="DR152" s="111" t="str">
        <f aca="false">IF($DF152&gt;$DE$8,"",VLOOKUP($DF152,$DH$9:$DN$508,4,FALSE()))</f>
        <v/>
      </c>
      <c r="DS152" s="111" t="str">
        <f aca="false">IF($DF152&gt;$DE$8,"",VLOOKUP($DF152,$DH$9:$DN$508,5,FALSE()))</f>
        <v/>
      </c>
      <c r="DT152" s="112" t="str">
        <f aca="false">IF($DF152&gt;$DE$8,"",VLOOKUP($DF152,$DH$9:$DN$508,6,FALSE()))</f>
        <v/>
      </c>
      <c r="DU152" s="62"/>
    </row>
    <row r="153" customFormat="false" ht="15.75" hidden="false" customHeight="false" outlineLevel="0" collapsed="false">
      <c r="A153" s="7"/>
      <c r="B153" s="64"/>
      <c r="C153" s="65"/>
      <c r="D153" s="123"/>
      <c r="E153" s="88"/>
      <c r="F153" s="134"/>
      <c r="G153" s="88"/>
      <c r="H153" s="134"/>
      <c r="I153" s="119"/>
      <c r="J153" s="119"/>
      <c r="K153" s="119"/>
      <c r="L153" s="88"/>
      <c r="M153" s="88"/>
      <c r="N153" s="88"/>
      <c r="O153" s="134"/>
      <c r="P153" s="88"/>
      <c r="Q153" s="88"/>
      <c r="R153" s="88"/>
      <c r="S153" s="88"/>
      <c r="T153" s="134"/>
      <c r="U153" s="88"/>
      <c r="V153" s="70"/>
      <c r="W153" s="88"/>
      <c r="X153" s="88"/>
      <c r="Y153" s="70"/>
      <c r="Z153" s="70"/>
      <c r="AA153" s="88"/>
      <c r="AB153" s="88"/>
      <c r="AC153" s="71"/>
      <c r="AD153" s="88"/>
      <c r="AE153" s="73"/>
      <c r="AF153" s="74"/>
      <c r="AG153" s="74"/>
      <c r="AH153" s="74" t="str">
        <f aca="false">IF(ISBLANK($C153),"",IF($E153=Constants!$B$2,TRUE(),IF($E153=Constants!$B$3,FALSE(),TRUE())))</f>
        <v/>
      </c>
      <c r="AI153" s="74" t="str">
        <f aca="false">IF(ISBLANK($C153),"",IF($F153=Constants!$B$2,TRUE(),IF($F153=Constants!$B$3,FALSE(),FALSE())))</f>
        <v/>
      </c>
      <c r="AJ153" s="74" t="str">
        <f aca="false">IF(ISBLANK($C153),"",IF($G153=Constants!$B$2,TRUE(),IF($G153=Constants!$B$3,FALSE(),TRUE())))</f>
        <v/>
      </c>
      <c r="AK153" s="74" t="str">
        <f aca="false">IF(ISBLANK($C153),"",IF($H153=Constants!$B$2,TRUE(),IF($H153=Constants!$B$3,FALSE(),TRUE())))</f>
        <v/>
      </c>
      <c r="AL153" s="74" t="str">
        <f aca="false">IF(ISBLANK($C153),"",IF(ISNUMBER($I153),IF($I153&gt;=0,$I153,""),""))</f>
        <v/>
      </c>
      <c r="AM153" s="74" t="str">
        <f aca="false">IF(ISBLANK($C153),"",IF(ISNUMBER($J153),IF($J153&gt;=0,$J153,""),""))</f>
        <v/>
      </c>
      <c r="AN153" s="74" t="str">
        <f aca="false">IF(ISBLANK($C153),"",IF(ISNUMBER($K153),IF($K153&gt;=0,$K153,""),""))</f>
        <v/>
      </c>
      <c r="AO153" s="74" t="str">
        <f aca="false">IF(ISBLANK($C153),"",IF($L153=Constants!$B$2,TRUE(),IF($L153=Constants!$B$3,FALSE(),TRUE())))</f>
        <v/>
      </c>
      <c r="AP153" s="74" t="str">
        <f aca="false">IF(ISBLANK($C153),"",IF($M153=Constants!$B$2,TRUE(),IF($M153=Constants!$B$3,FALSE(),TRUE())))</f>
        <v/>
      </c>
      <c r="AQ153" s="74" t="str">
        <f aca="false">IF(ISBLANK($C153),"",IF($N153=Constants!$B$2,TRUE(),IF($N153=Constants!$B$3,FALSE(),FALSE())))</f>
        <v/>
      </c>
      <c r="AR153" s="74" t="str">
        <f aca="false">IF(ISBLANK($C153),"",IF($O153=Constants!$B$2,TRUE(),IF($O153=Constants!$B$3,FALSE(),TRUE())))</f>
        <v/>
      </c>
      <c r="AS153" s="74" t="str">
        <f aca="false">IF(ISBLANK($C153),"",IF($P153=Constants!$B$2,TRUE(),IF($P153=Constants!$B$3,FALSE(),FALSE())))</f>
        <v/>
      </c>
      <c r="AT153" s="74" t="str">
        <f aca="false">IF(ISBLANK($C153),"",IF($Q153=Constants!$B$2,TRUE(),IF($Q153=Constants!$B$3,FALSE(),FALSE())))</f>
        <v/>
      </c>
      <c r="AU153" s="74" t="str">
        <f aca="false">IF(ISBLANK($C153),"",IF($R153=Constants!$B$2,TRUE(),IF($R153=Constants!$B$3,FALSE(),FALSE())))</f>
        <v/>
      </c>
      <c r="AV153" s="74" t="str">
        <f aca="false">IF(ISBLANK($C153),"",IF($S153=Constants!$B$2,TRUE(),IF($S153=Constants!$B$3,FALSE(),FALSE())))</f>
        <v/>
      </c>
      <c r="AW153" s="74" t="str">
        <f aca="false">IF(ISBLANK($C153),"",IF($T153=Constants!$B$2,TRUE(),IF($T153=Constants!$B$3,FALSE(),FALSE())))</f>
        <v/>
      </c>
      <c r="AX153" s="74" t="str">
        <f aca="false">IF(ISBLANK($C153),"",IF(OR($U153&amp;""="1",$U153&amp;""="2",$U153&amp;""="3",$U153&amp;""="4"),VALUE($U153&amp;""),IF($U153=Constants!$B$12,Constants!$B$12,"")))</f>
        <v/>
      </c>
      <c r="AY153" s="74" t="str">
        <f aca="false">IF(ISBLANK($C153),"",IF(ISBLANK($V153),0,IF(ISNUMBER($V153),IF(AND($V153&gt;=0,$V153&lt;=Constants!$B$21,$V153=INT($V153)),$V153,""),"")))</f>
        <v/>
      </c>
      <c r="AZ153" s="74" t="str">
        <f aca="false">IF(ISBLANK($C153),"",IF(ISBLANK($W153),0,IF(ISNUMBER($W153),IF($W153&gt;=0,$W153,""),"")))</f>
        <v/>
      </c>
      <c r="BA153" s="74" t="str">
        <f aca="false">IF(ISBLANK($C153),"",IF($X153=Constants!$B$2,TRUE(),IF($X153=Constants!$B$3,FALSE(),TRUE())))</f>
        <v/>
      </c>
      <c r="BB153" s="74" t="str">
        <f aca="false">IF(ISBLANK($C153),"",IF($Y153=Constants!$B$2,TRUE(),IF($Y153=Constants!$B$3,FALSE(),FALSE())))</f>
        <v/>
      </c>
      <c r="BC153" s="74" t="str">
        <f aca="false">IF(ISBLANK($C153),"",IF(ISBLANK($Z153),0,IF(ISNUMBER($Z153),IF(AND($Z153&gt;=0,$Z153&lt;=Constants!$B$35,$Z153=INT($Z153)),$Z153,""),"")))</f>
        <v/>
      </c>
      <c r="BD153" s="74" t="str">
        <f aca="false">IF(ISBLANK($C153),"",IF($AA153=Constants!$B$2,TRUE(),IF($AA153=Constants!$B$3,FALSE(),TRUE())))</f>
        <v/>
      </c>
      <c r="BE153" s="74" t="str">
        <f aca="false">IF(ISBLANK($C153),"",IF($AB153=Constants!$B$2,TRUE(),IF($AB153=Constants!$B$3,FALSE(),TRUE())))</f>
        <v/>
      </c>
      <c r="BF153" s="74" t="str">
        <f aca="false">IF(ISBLANK($C153),"",IF(ISNUMBER($AC153),IF($AC153&gt;=0,$AC153,""),""))</f>
        <v/>
      </c>
      <c r="BG153" s="74" t="str">
        <f aca="false">IF(ISBLANK($C153),"",IF($AD153=Constants!$B$2,TRUE(),IF($AD153=Constants!$B$3,FALSE(),FALSE())))</f>
        <v/>
      </c>
      <c r="BH153" s="73" t="str">
        <f aca="false">IF(ISBLANK($C153),"",IF($BG153,Constants!$B$7,IF(COUNTA($E153:$AC153)=0,Constants!$B$6,IF(OR(COUNTA($G153:$AC153)=0,NOT($AK153),$AQ153),Constants!$B$5,IF(OR($CI153&lt;&gt;"",$CJ153,$CK153,$CL153,$CM153,$CN153,$CO153),Constants!$B$8,Constants!$B$4)))))</f>
        <v/>
      </c>
      <c r="BI153" s="74" t="str">
        <f aca="false">IF(ISBLANK($C153),"",IF($BH153&lt;&gt;Constants!$B$4,$BH153,IF(OR(NOT($AH153),NOT($AJ153),NOT($AR153)),Constants!$B$11,IF(OR(NOT($AP153),MAX($AL153,$AM153,$AN153)&gt;Constants!$B$30),Constants!$B$10,Constants!$B$9))))</f>
        <v/>
      </c>
      <c r="BJ153" s="74" t="str">
        <f aca="false">IF($BH153&lt;&gt;Constants!$B$4,"",IF(NOT($AJ153),0,MIN(Constants!$B$35,$BC153)))</f>
        <v/>
      </c>
      <c r="BK153" s="74" t="str">
        <f aca="false">IF($BH153&lt;&gt;Constants!$B$4,"",IF(NOT($AJ153),0,IF($AT153,Constants!$B$18,IF($AS153,Constants!$B$17,0))))</f>
        <v/>
      </c>
      <c r="BL153" s="74" t="str">
        <f aca="false">IF($BH153&lt;&gt;Constants!$B$4,"",IF(NOT($AJ153),0,Constants!$B$19*($AI153+$AU153+$AV153+$AW153)))</f>
        <v/>
      </c>
      <c r="BM153" s="74" t="str">
        <f aca="false">IF($BH153&lt;&gt;Constants!$B$4,"",IF(OR(NOT($AJ153),NOT(ISNUMBER($AX153))),0,CHOOSE($AX153,Constants!$B$13,Constants!$B$14,Constants!$B$15,Constants!$B$16)))</f>
        <v/>
      </c>
      <c r="BN153" s="74" t="str">
        <f aca="false">IF($BH153&lt;&gt;Constants!$B$4,"",IF(NOT($AJ153),0,Constants!$B$20*$AY153))</f>
        <v/>
      </c>
      <c r="BO153" s="74" t="str">
        <f aca="false">IF($BH153&lt;&gt;Constants!$B$4,"",IF(AND($AJ153,$BA153,$BB153),Constants!$B$22,0))</f>
        <v/>
      </c>
      <c r="BP153" s="74" t="str">
        <f aca="false">IF($BH153&lt;&gt;Constants!$B$4,"",IF(OR(NOT($AJ153),NOT($BA153)),0,IF($BF153&gt;=2*$AF$9,0,Constants!$B$23*INT(ROUND(MIN($BF153,$AF$9),6)))))</f>
        <v/>
      </c>
      <c r="BQ153" s="74" t="str">
        <f aca="false">IF($BH153&lt;&gt;Constants!$B$4,"",IF(NOT($AJ153),0,Constants!$B$24*INT(ROUND(MIN($AZ153,$AF$9),6))))</f>
        <v/>
      </c>
      <c r="BR153" s="74" t="str">
        <f aca="false">IF($BH153&lt;&gt;Constants!$B$4,"",IF(AND($AJ153,$BJ153=0),Constants!$B$25,0))</f>
        <v/>
      </c>
      <c r="BS153" s="74" t="str">
        <f aca="false">IF($BH153&lt;&gt;Constants!$B$4,"",MIN(Constants!$B$29,MAX(0,Constants!$B$27*Constants!$B$28*INT(ROUND((Constants!$B$26-$AL153)/Constants!$B$28,6))))+MIN(Constants!$B$29,MAX(0,Constants!$B$27*Constants!$B$28*INT(ROUND((Constants!$B$26-$AM153)/Constants!$B$28,6))))+MIN(Constants!$B$29,MAX(0,Constants!$B$27*Constants!$B$28*INT(ROUND((Constants!$B$26-$AN153)/Constants!$B$28,6)))))</f>
        <v/>
      </c>
      <c r="BT153" s="74" t="str">
        <f aca="false">IF($BH153&lt;&gt;Constants!$B$4,"",IF(NOT($AJ153),0,Constants!$B$31*INT(ROUND(MAX(0,MIN($BF153,2*$AF$9)-$AF$9),6))))</f>
        <v/>
      </c>
      <c r="BU153" s="74" t="str">
        <f aca="false">IF($BH153&lt;&gt;Constants!$B$4,"",Constants!$B$32*(($AL153&gt;Constants!$B$26)+($AM153&gt;Constants!$B$26)+($AN153&gt;Constants!$B$26)))</f>
        <v/>
      </c>
      <c r="BV153" s="74" t="str">
        <f aca="false">IF($BH153&lt;&gt;Constants!$B$4,"",IF(OR(NOT($AJ153),$AO153),0,Constants!$B$33))</f>
        <v/>
      </c>
      <c r="BW153" s="74" t="str">
        <f aca="false">IF($BH153&lt;&gt;Constants!$B$4,"",Constants!$B$34*$BJ153)</f>
        <v/>
      </c>
      <c r="BX153" s="74" t="str">
        <f aca="false">IF($BH153&lt;&gt;Constants!$B$4,"",IF(OR(NOT($AJ153),$BE153),0,Constants!$B$36))</f>
        <v/>
      </c>
      <c r="BY153" s="74" t="str">
        <f aca="false">IF($BH153&lt;&gt;Constants!$B$4,"",IF(OR(NOT($AJ153),$BD153),0,Constants!$B$37))</f>
        <v/>
      </c>
      <c r="BZ153" s="74" t="str">
        <f aca="false">IF($BH153&lt;&gt;Constants!$B$4,"",SUM($BT153:$BY153))</f>
        <v/>
      </c>
      <c r="CA153" s="74" t="str">
        <f aca="false">IF(ISBLANK($C153),"",IF($BH153&lt;&gt;Constants!$B$4,$BH153,SUM($BK153:$BS153)-$BZ153))</f>
        <v/>
      </c>
      <c r="CB153" s="74" t="str">
        <f aca="false">IF(ISBLANK($C153),"",IF($BH153&lt;&gt;Constants!$B$4,$BH153,RANK($CA153,$CA$9:$CA$508)))</f>
        <v/>
      </c>
      <c r="CC153" s="74" t="str">
        <f aca="false">IF(ISBLANK($C153),"",IF($BH153&lt;&gt;Constants!$B$4,$BH153,COUNTIFS($BI$9:$BI$508,"&lt;"&amp;$BI153)+COUNTIFS($BI$9:$BI$508,$BI153,$CB$9:$CB$508,"&lt;"&amp;$CB153)+1))</f>
        <v/>
      </c>
      <c r="CD153" s="74" t="str">
        <f aca="false">IF(ISBLANK($C153),"",IF($BH153&lt;&gt;Constants!$B$4,$BH153,RANK($BZ153,$BZ$9:$BZ$508,1)))</f>
        <v/>
      </c>
      <c r="CE153" s="74" t="str">
        <f aca="false">IF($BH153&lt;&gt;Constants!$B$4,"",$AL153+$AM153+$AN153)</f>
        <v/>
      </c>
      <c r="CF153" s="74" t="str">
        <f aca="false">IF(ISBLANK($C153),"",IF($BH153&lt;&gt;Constants!$B$4,$BH153,RANK($CE153,$CE$9:$CE$508,1)))</f>
        <v/>
      </c>
      <c r="CG153" s="74" t="str">
        <f aca="false">IF(ISBLANK($C153),"",IF($BH153&lt;&gt;Constants!$B$4,$BH153,COUNTIFS($BI$9:$BI$508,"&lt;"&amp;$BI153)+COUNTIFS($BI$9:$BI$508,$BI153,$CB$9:$CB$508,"&lt;"&amp;$CB153)+COUNTIFS($BI$9:$BI$508,$BI153,$CB$9:$CB$508,$CB153,$CD$9:$CD$508,"&lt;"&amp;$CD153)+COUNTIFS($BI$9:$BI$508,$BI153,$CB$9:$CB$508,$CB153,$CD$9:$CD$508,$CD153,$CF$9:$CF$508,"&lt;"&amp;$CF153)+1))</f>
        <v/>
      </c>
      <c r="CH153" s="74" t="str">
        <f aca="false">IF(ISBLANK($C153),"",IF($BH153&lt;&gt;Constants!$B$4,$BH153,$CC153-$CG153))</f>
        <v/>
      </c>
      <c r="CI153" s="74" t="str">
        <f aca="false">IF(ISBLANK($C153),"",IF(NOT($AJ153),"",IF(ISBLANK($D$7),$CI$5,IF(NOT(ISNUMBER($D$7)),$CI$6,""))))</f>
        <v/>
      </c>
      <c r="CJ153" s="74" t="str">
        <f aca="false">IF(ISBLANK($C153),"",OR($AL153="",$AM153="",$AN153=""))</f>
        <v/>
      </c>
      <c r="CK153" s="74" t="str">
        <f aca="false">IF(ISBLANK($C153),"",AND($AJ153,$AX153=""))</f>
        <v/>
      </c>
      <c r="CL153" s="74" t="str">
        <f aca="false">IF(ISBLANK($C153),"",AND($AJ153,$AY153=""))</f>
        <v/>
      </c>
      <c r="CM153" s="74" t="str">
        <f aca="false">IF(ISBLANK($C153),"",AND($AJ153,$AZ153=""))</f>
        <v/>
      </c>
      <c r="CN153" s="74" t="str">
        <f aca="false">IF(ISBLANK($C153),"",AND($AJ153,$BC153=""))</f>
        <v/>
      </c>
      <c r="CO153" s="74" t="str">
        <f aca="false">IF(ISBLANK($C153),"",AND($AJ153,$BF153=""))</f>
        <v/>
      </c>
      <c r="CP153" s="75"/>
      <c r="CQ153" s="76"/>
      <c r="CR153" s="79" t="str">
        <f aca="false">IF(ISBLANK($C153),"",IF($BH153=Constants!$B$8,$CI153,""))</f>
        <v/>
      </c>
      <c r="CS153" s="76" t="str">
        <f aca="false">IF(ISBLANK($C153),"",IF($BH153&lt;&gt;Constants!$B$4,"",$BK153+$BL153))</f>
        <v/>
      </c>
      <c r="CT153" s="78" t="str">
        <f aca="false">IF(ISBLANK($C153),"",IF($BH153&lt;&gt;Constants!$B$4,"",$BM153+$BN153+$BO153))</f>
        <v/>
      </c>
      <c r="CU153" s="78" t="str">
        <f aca="false">IF(ISBLANK($C153),"",IF($BH153&lt;&gt;Constants!$B$4,"",$BP153))</f>
        <v/>
      </c>
      <c r="CV153" s="78" t="str">
        <f aca="false">IF(ISBLANK($C153),"",IF($BH153&lt;&gt;Constants!$B$4,"",$BQ153+$BR153))</f>
        <v/>
      </c>
      <c r="CW153" s="78" t="str">
        <f aca="false">IF(ISBLANK($C153),"",IF($BH153&lt;&gt;Constants!$B$4,"",$BS153))</f>
        <v/>
      </c>
      <c r="CX153" s="78" t="str">
        <f aca="false">IF(ISBLANK($C153),"",IF($BH153&lt;&gt;Constants!$B$4,"",-$BZ153))</f>
        <v/>
      </c>
      <c r="CY153" s="79" t="str">
        <f aca="false">IF(ISBLANK($C153),"",$CA153)</f>
        <v/>
      </c>
      <c r="CZ153" s="80" t="str">
        <f aca="false">IF(ISBLANK($C153),"",$BI153)</f>
        <v/>
      </c>
      <c r="DA153" s="78" t="str">
        <f aca="false">IF(ISBLANK($C153),"",$CH153)</f>
        <v/>
      </c>
      <c r="DB153" s="78" t="str">
        <f aca="false">IF(ISBLANK($C153),"",$CG153)</f>
        <v/>
      </c>
      <c r="DC153" s="81" t="str">
        <f aca="false">IF(ISBLANK($C153),"",IFERROR(_xlfn.SWITCH($DB153,Constants!$B$7,COUNTA($C$9:$C$508)+2,Constants!$B$6,COUNTA($C$9:$C$508)+1,Constants!$B$5,COUNTA($C$9:$C$508)),$DB153))</f>
        <v/>
      </c>
      <c r="DD153" s="7"/>
      <c r="DE153" s="82" t="n">
        <f aca="false">IF(OR(ISNUMBER($DB153),$DB153=Constants!$B$7,$DB153=Constants!$B$5,$DB153=Constants!$B$6),1,0)</f>
        <v>0</v>
      </c>
      <c r="DF153" s="82" t="n">
        <v>145</v>
      </c>
      <c r="DG153" s="82" t="str">
        <f aca="false">IF(ISBLANK($C153),"",IF(ISNUMBER($DC153),$DC153+ROW($B153)/1000,""))</f>
        <v/>
      </c>
      <c r="DH153" s="82" t="str">
        <f aca="false">IF(ISNUMBER($DG153),RANK($DG153,$DG$9:$DG$508,1),"")</f>
        <v/>
      </c>
      <c r="DI153" s="82" t="str">
        <f aca="false">IF(ISBLANK($C153),"",$B153)</f>
        <v/>
      </c>
      <c r="DJ153" s="82" t="str">
        <f aca="false">IF(ISBLANK($C153),"",$C153)</f>
        <v/>
      </c>
      <c r="DK153" s="82" t="str">
        <f aca="false">IF(ISBLANK($C153),"",$D153)</f>
        <v/>
      </c>
      <c r="DL153" s="83" t="str">
        <f aca="false">$CZ153</f>
        <v/>
      </c>
      <c r="DM153" s="84" t="str">
        <f aca="false">$CY153</f>
        <v/>
      </c>
      <c r="DN153" s="82" t="str">
        <f aca="false">IF(ISBLANK($C153),"",$DB153)</f>
        <v/>
      </c>
      <c r="DO153" s="85" t="str">
        <f aca="false">IF($DF153&gt;$DE$8,"",VLOOKUP($DF153,$DH$9:$DN$508,7,FALSE()))</f>
        <v/>
      </c>
      <c r="DP153" s="86" t="str">
        <f aca="false">IF($DF153&gt;$DE$8,"",VLOOKUP($DF153,$DH$9:$DN$508,2,FALSE()))</f>
        <v/>
      </c>
      <c r="DQ153" s="86" t="str">
        <f aca="false">IF($DF153&gt;$DE$8,"",VLOOKUP($DF153,$DH$9:$DN$508,3,FALSE()))</f>
        <v/>
      </c>
      <c r="DR153" s="86" t="str">
        <f aca="false">IF($DF153&gt;$DE$8,"",VLOOKUP($DF153,$DH$9:$DN$508,4,FALSE()))</f>
        <v/>
      </c>
      <c r="DS153" s="86" t="str">
        <f aca="false">IF($DF153&gt;$DE$8,"",VLOOKUP($DF153,$DH$9:$DN$508,5,FALSE()))</f>
        <v/>
      </c>
      <c r="DT153" s="87" t="str">
        <f aca="false">IF($DF153&gt;$DE$8,"",VLOOKUP($DF153,$DH$9:$DN$508,6,FALSE()))</f>
        <v/>
      </c>
      <c r="DU153" s="62"/>
    </row>
    <row r="154" customFormat="false" ht="15.75" hidden="false" customHeight="false" outlineLevel="0" collapsed="false">
      <c r="A154" s="7"/>
      <c r="B154" s="64"/>
      <c r="C154" s="65"/>
      <c r="D154" s="123"/>
      <c r="E154" s="88"/>
      <c r="F154" s="134"/>
      <c r="G154" s="88"/>
      <c r="H154" s="134"/>
      <c r="I154" s="119"/>
      <c r="J154" s="119"/>
      <c r="K154" s="119"/>
      <c r="L154" s="88"/>
      <c r="M154" s="88"/>
      <c r="N154" s="88"/>
      <c r="O154" s="134"/>
      <c r="P154" s="88"/>
      <c r="Q154" s="88"/>
      <c r="R154" s="88"/>
      <c r="S154" s="88"/>
      <c r="T154" s="134"/>
      <c r="U154" s="88"/>
      <c r="V154" s="70"/>
      <c r="W154" s="88"/>
      <c r="X154" s="88"/>
      <c r="Y154" s="70"/>
      <c r="Z154" s="70"/>
      <c r="AA154" s="88"/>
      <c r="AB154" s="88"/>
      <c r="AC154" s="71"/>
      <c r="AD154" s="88"/>
      <c r="AE154" s="73"/>
      <c r="AF154" s="74"/>
      <c r="AG154" s="74"/>
      <c r="AH154" s="74" t="str">
        <f aca="false">IF(ISBLANK($C154),"",IF($E154=Constants!$B$2,TRUE(),IF($E154=Constants!$B$3,FALSE(),TRUE())))</f>
        <v/>
      </c>
      <c r="AI154" s="74" t="str">
        <f aca="false">IF(ISBLANK($C154),"",IF($F154=Constants!$B$2,TRUE(),IF($F154=Constants!$B$3,FALSE(),FALSE())))</f>
        <v/>
      </c>
      <c r="AJ154" s="74" t="str">
        <f aca="false">IF(ISBLANK($C154),"",IF($G154=Constants!$B$2,TRUE(),IF($G154=Constants!$B$3,FALSE(),TRUE())))</f>
        <v/>
      </c>
      <c r="AK154" s="74" t="str">
        <f aca="false">IF(ISBLANK($C154),"",IF($H154=Constants!$B$2,TRUE(),IF($H154=Constants!$B$3,FALSE(),TRUE())))</f>
        <v/>
      </c>
      <c r="AL154" s="74" t="str">
        <f aca="false">IF(ISBLANK($C154),"",IF(ISNUMBER($I154),IF($I154&gt;=0,$I154,""),""))</f>
        <v/>
      </c>
      <c r="AM154" s="74" t="str">
        <f aca="false">IF(ISBLANK($C154),"",IF(ISNUMBER($J154),IF($J154&gt;=0,$J154,""),""))</f>
        <v/>
      </c>
      <c r="AN154" s="74" t="str">
        <f aca="false">IF(ISBLANK($C154),"",IF(ISNUMBER($K154),IF($K154&gt;=0,$K154,""),""))</f>
        <v/>
      </c>
      <c r="AO154" s="74" t="str">
        <f aca="false">IF(ISBLANK($C154),"",IF($L154=Constants!$B$2,TRUE(),IF($L154=Constants!$B$3,FALSE(),TRUE())))</f>
        <v/>
      </c>
      <c r="AP154" s="74" t="str">
        <f aca="false">IF(ISBLANK($C154),"",IF($M154=Constants!$B$2,TRUE(),IF($M154=Constants!$B$3,FALSE(),TRUE())))</f>
        <v/>
      </c>
      <c r="AQ154" s="74" t="str">
        <f aca="false">IF(ISBLANK($C154),"",IF($N154=Constants!$B$2,TRUE(),IF($N154=Constants!$B$3,FALSE(),FALSE())))</f>
        <v/>
      </c>
      <c r="AR154" s="74" t="str">
        <f aca="false">IF(ISBLANK($C154),"",IF($O154=Constants!$B$2,TRUE(),IF($O154=Constants!$B$3,FALSE(),TRUE())))</f>
        <v/>
      </c>
      <c r="AS154" s="74" t="str">
        <f aca="false">IF(ISBLANK($C154),"",IF($P154=Constants!$B$2,TRUE(),IF($P154=Constants!$B$3,FALSE(),FALSE())))</f>
        <v/>
      </c>
      <c r="AT154" s="74" t="str">
        <f aca="false">IF(ISBLANK($C154),"",IF($Q154=Constants!$B$2,TRUE(),IF($Q154=Constants!$B$3,FALSE(),FALSE())))</f>
        <v/>
      </c>
      <c r="AU154" s="74" t="str">
        <f aca="false">IF(ISBLANK($C154),"",IF($R154=Constants!$B$2,TRUE(),IF($R154=Constants!$B$3,FALSE(),FALSE())))</f>
        <v/>
      </c>
      <c r="AV154" s="74" t="str">
        <f aca="false">IF(ISBLANK($C154),"",IF($S154=Constants!$B$2,TRUE(),IF($S154=Constants!$B$3,FALSE(),FALSE())))</f>
        <v/>
      </c>
      <c r="AW154" s="74" t="str">
        <f aca="false">IF(ISBLANK($C154),"",IF($T154=Constants!$B$2,TRUE(),IF($T154=Constants!$B$3,FALSE(),FALSE())))</f>
        <v/>
      </c>
      <c r="AX154" s="74" t="str">
        <f aca="false">IF(ISBLANK($C154),"",IF(OR($U154&amp;""="1",$U154&amp;""="2",$U154&amp;""="3",$U154&amp;""="4"),VALUE($U154&amp;""),IF($U154=Constants!$B$12,Constants!$B$12,"")))</f>
        <v/>
      </c>
      <c r="AY154" s="74" t="str">
        <f aca="false">IF(ISBLANK($C154),"",IF(ISBLANK($V154),0,IF(ISNUMBER($V154),IF(AND($V154&gt;=0,$V154&lt;=Constants!$B$21,$V154=INT($V154)),$V154,""),"")))</f>
        <v/>
      </c>
      <c r="AZ154" s="74" t="str">
        <f aca="false">IF(ISBLANK($C154),"",IF(ISBLANK($W154),0,IF(ISNUMBER($W154),IF($W154&gt;=0,$W154,""),"")))</f>
        <v/>
      </c>
      <c r="BA154" s="74" t="str">
        <f aca="false">IF(ISBLANK($C154),"",IF($X154=Constants!$B$2,TRUE(),IF($X154=Constants!$B$3,FALSE(),TRUE())))</f>
        <v/>
      </c>
      <c r="BB154" s="74" t="str">
        <f aca="false">IF(ISBLANK($C154),"",IF($Y154=Constants!$B$2,TRUE(),IF($Y154=Constants!$B$3,FALSE(),FALSE())))</f>
        <v/>
      </c>
      <c r="BC154" s="74" t="str">
        <f aca="false">IF(ISBLANK($C154),"",IF(ISBLANK($Z154),0,IF(ISNUMBER($Z154),IF(AND($Z154&gt;=0,$Z154&lt;=Constants!$B$35,$Z154=INT($Z154)),$Z154,""),"")))</f>
        <v/>
      </c>
      <c r="BD154" s="74" t="str">
        <f aca="false">IF(ISBLANK($C154),"",IF($AA154=Constants!$B$2,TRUE(),IF($AA154=Constants!$B$3,FALSE(),TRUE())))</f>
        <v/>
      </c>
      <c r="BE154" s="74" t="str">
        <f aca="false">IF(ISBLANK($C154),"",IF($AB154=Constants!$B$2,TRUE(),IF($AB154=Constants!$B$3,FALSE(),TRUE())))</f>
        <v/>
      </c>
      <c r="BF154" s="74" t="str">
        <f aca="false">IF(ISBLANK($C154),"",IF(ISNUMBER($AC154),IF($AC154&gt;=0,$AC154,""),""))</f>
        <v/>
      </c>
      <c r="BG154" s="74" t="str">
        <f aca="false">IF(ISBLANK($C154),"",IF($AD154=Constants!$B$2,TRUE(),IF($AD154=Constants!$B$3,FALSE(),FALSE())))</f>
        <v/>
      </c>
      <c r="BH154" s="73" t="str">
        <f aca="false">IF(ISBLANK($C154),"",IF($BG154,Constants!$B$7,IF(COUNTA($E154:$AC154)=0,Constants!$B$6,IF(OR(COUNTA($G154:$AC154)=0,NOT($AK154),$AQ154),Constants!$B$5,IF(OR($CI154&lt;&gt;"",$CJ154,$CK154,$CL154,$CM154,$CN154,$CO154),Constants!$B$8,Constants!$B$4)))))</f>
        <v/>
      </c>
      <c r="BI154" s="74" t="str">
        <f aca="false">IF(ISBLANK($C154),"",IF($BH154&lt;&gt;Constants!$B$4,$BH154,IF(OR(NOT($AH154),NOT($AJ154),NOT($AR154)),Constants!$B$11,IF(OR(NOT($AP154),MAX($AL154,$AM154,$AN154)&gt;Constants!$B$30),Constants!$B$10,Constants!$B$9))))</f>
        <v/>
      </c>
      <c r="BJ154" s="74" t="str">
        <f aca="false">IF($BH154&lt;&gt;Constants!$B$4,"",IF(NOT($AJ154),0,MIN(Constants!$B$35,$BC154)))</f>
        <v/>
      </c>
      <c r="BK154" s="74" t="str">
        <f aca="false">IF($BH154&lt;&gt;Constants!$B$4,"",IF(NOT($AJ154),0,IF($AT154,Constants!$B$18,IF($AS154,Constants!$B$17,0))))</f>
        <v/>
      </c>
      <c r="BL154" s="74" t="str">
        <f aca="false">IF($BH154&lt;&gt;Constants!$B$4,"",IF(NOT($AJ154),0,Constants!$B$19*($AI154+$AU154+$AV154+$AW154)))</f>
        <v/>
      </c>
      <c r="BM154" s="74" t="str">
        <f aca="false">IF($BH154&lt;&gt;Constants!$B$4,"",IF(OR(NOT($AJ154),NOT(ISNUMBER($AX154))),0,CHOOSE($AX154,Constants!$B$13,Constants!$B$14,Constants!$B$15,Constants!$B$16)))</f>
        <v/>
      </c>
      <c r="BN154" s="74" t="str">
        <f aca="false">IF($BH154&lt;&gt;Constants!$B$4,"",IF(NOT($AJ154),0,Constants!$B$20*$AY154))</f>
        <v/>
      </c>
      <c r="BO154" s="74" t="str">
        <f aca="false">IF($BH154&lt;&gt;Constants!$B$4,"",IF(AND($AJ154,$BA154,$BB154),Constants!$B$22,0))</f>
        <v/>
      </c>
      <c r="BP154" s="74" t="str">
        <f aca="false">IF($BH154&lt;&gt;Constants!$B$4,"",IF(OR(NOT($AJ154),NOT($BA154)),0,IF($BF154&gt;=2*$AF$9,0,Constants!$B$23*INT(ROUND(MIN($BF154,$AF$9),6)))))</f>
        <v/>
      </c>
      <c r="BQ154" s="74" t="str">
        <f aca="false">IF($BH154&lt;&gt;Constants!$B$4,"",IF(NOT($AJ154),0,Constants!$B$24*INT(ROUND(MIN($AZ154,$AF$9),6))))</f>
        <v/>
      </c>
      <c r="BR154" s="74" t="str">
        <f aca="false">IF($BH154&lt;&gt;Constants!$B$4,"",IF(AND($AJ154,$BJ154=0),Constants!$B$25,0))</f>
        <v/>
      </c>
      <c r="BS154" s="74" t="str">
        <f aca="false">IF($BH154&lt;&gt;Constants!$B$4,"",MIN(Constants!$B$29,MAX(0,Constants!$B$27*Constants!$B$28*INT(ROUND((Constants!$B$26-$AL154)/Constants!$B$28,6))))+MIN(Constants!$B$29,MAX(0,Constants!$B$27*Constants!$B$28*INT(ROUND((Constants!$B$26-$AM154)/Constants!$B$28,6))))+MIN(Constants!$B$29,MAX(0,Constants!$B$27*Constants!$B$28*INT(ROUND((Constants!$B$26-$AN154)/Constants!$B$28,6)))))</f>
        <v/>
      </c>
      <c r="BT154" s="74" t="str">
        <f aca="false">IF($BH154&lt;&gt;Constants!$B$4,"",IF(NOT($AJ154),0,Constants!$B$31*INT(ROUND(MAX(0,MIN($BF154,2*$AF$9)-$AF$9),6))))</f>
        <v/>
      </c>
      <c r="BU154" s="74" t="str">
        <f aca="false">IF($BH154&lt;&gt;Constants!$B$4,"",Constants!$B$32*(($AL154&gt;Constants!$B$26)+($AM154&gt;Constants!$B$26)+($AN154&gt;Constants!$B$26)))</f>
        <v/>
      </c>
      <c r="BV154" s="74" t="str">
        <f aca="false">IF($BH154&lt;&gt;Constants!$B$4,"",IF(OR(NOT($AJ154),$AO154),0,Constants!$B$33))</f>
        <v/>
      </c>
      <c r="BW154" s="74" t="str">
        <f aca="false">IF($BH154&lt;&gt;Constants!$B$4,"",Constants!$B$34*$BJ154)</f>
        <v/>
      </c>
      <c r="BX154" s="74" t="str">
        <f aca="false">IF($BH154&lt;&gt;Constants!$B$4,"",IF(OR(NOT($AJ154),$BE154),0,Constants!$B$36))</f>
        <v/>
      </c>
      <c r="BY154" s="74" t="str">
        <f aca="false">IF($BH154&lt;&gt;Constants!$B$4,"",IF(OR(NOT($AJ154),$BD154),0,Constants!$B$37))</f>
        <v/>
      </c>
      <c r="BZ154" s="74" t="str">
        <f aca="false">IF($BH154&lt;&gt;Constants!$B$4,"",SUM($BT154:$BY154))</f>
        <v/>
      </c>
      <c r="CA154" s="74" t="str">
        <f aca="false">IF(ISBLANK($C154),"",IF($BH154&lt;&gt;Constants!$B$4,$BH154,SUM($BK154:$BS154)-$BZ154))</f>
        <v/>
      </c>
      <c r="CB154" s="74" t="str">
        <f aca="false">IF(ISBLANK($C154),"",IF($BH154&lt;&gt;Constants!$B$4,$BH154,RANK($CA154,$CA$9:$CA$508)))</f>
        <v/>
      </c>
      <c r="CC154" s="74" t="str">
        <f aca="false">IF(ISBLANK($C154),"",IF($BH154&lt;&gt;Constants!$B$4,$BH154,COUNTIFS($BI$9:$BI$508,"&lt;"&amp;$BI154)+COUNTIFS($BI$9:$BI$508,$BI154,$CB$9:$CB$508,"&lt;"&amp;$CB154)+1))</f>
        <v/>
      </c>
      <c r="CD154" s="74" t="str">
        <f aca="false">IF(ISBLANK($C154),"",IF($BH154&lt;&gt;Constants!$B$4,$BH154,RANK($BZ154,$BZ$9:$BZ$508,1)))</f>
        <v/>
      </c>
      <c r="CE154" s="74" t="str">
        <f aca="false">IF($BH154&lt;&gt;Constants!$B$4,"",$AL154+$AM154+$AN154)</f>
        <v/>
      </c>
      <c r="CF154" s="74" t="str">
        <f aca="false">IF(ISBLANK($C154),"",IF($BH154&lt;&gt;Constants!$B$4,$BH154,RANK($CE154,$CE$9:$CE$508,1)))</f>
        <v/>
      </c>
      <c r="CG154" s="74" t="str">
        <f aca="false">IF(ISBLANK($C154),"",IF($BH154&lt;&gt;Constants!$B$4,$BH154,COUNTIFS($BI$9:$BI$508,"&lt;"&amp;$BI154)+COUNTIFS($BI$9:$BI$508,$BI154,$CB$9:$CB$508,"&lt;"&amp;$CB154)+COUNTIFS($BI$9:$BI$508,$BI154,$CB$9:$CB$508,$CB154,$CD$9:$CD$508,"&lt;"&amp;$CD154)+COUNTIFS($BI$9:$BI$508,$BI154,$CB$9:$CB$508,$CB154,$CD$9:$CD$508,$CD154,$CF$9:$CF$508,"&lt;"&amp;$CF154)+1))</f>
        <v/>
      </c>
      <c r="CH154" s="74" t="str">
        <f aca="false">IF(ISBLANK($C154),"",IF($BH154&lt;&gt;Constants!$B$4,$BH154,$CC154-$CG154))</f>
        <v/>
      </c>
      <c r="CI154" s="74" t="str">
        <f aca="false">IF(ISBLANK($C154),"",IF(NOT($AJ154),"",IF(ISBLANK($D$7),$CI$5,IF(NOT(ISNUMBER($D$7)),$CI$6,""))))</f>
        <v/>
      </c>
      <c r="CJ154" s="74" t="str">
        <f aca="false">IF(ISBLANK($C154),"",OR($AL154="",$AM154="",$AN154=""))</f>
        <v/>
      </c>
      <c r="CK154" s="74" t="str">
        <f aca="false">IF(ISBLANK($C154),"",AND($AJ154,$AX154=""))</f>
        <v/>
      </c>
      <c r="CL154" s="74" t="str">
        <f aca="false">IF(ISBLANK($C154),"",AND($AJ154,$AY154=""))</f>
        <v/>
      </c>
      <c r="CM154" s="74" t="str">
        <f aca="false">IF(ISBLANK($C154),"",AND($AJ154,$AZ154=""))</f>
        <v/>
      </c>
      <c r="CN154" s="74" t="str">
        <f aca="false">IF(ISBLANK($C154),"",AND($AJ154,$BC154=""))</f>
        <v/>
      </c>
      <c r="CO154" s="74" t="str">
        <f aca="false">IF(ISBLANK($C154),"",AND($AJ154,$BF154=""))</f>
        <v/>
      </c>
      <c r="CP154" s="75"/>
      <c r="CQ154" s="76"/>
      <c r="CR154" s="79" t="str">
        <f aca="false">IF(ISBLANK($C154),"",IF($BH154=Constants!$B$8,$CI154,""))</f>
        <v/>
      </c>
      <c r="CS154" s="76" t="str">
        <f aca="false">IF(ISBLANK($C154),"",IF($BH154&lt;&gt;Constants!$B$4,"",$BK154+$BL154))</f>
        <v/>
      </c>
      <c r="CT154" s="78" t="str">
        <f aca="false">IF(ISBLANK($C154),"",IF($BH154&lt;&gt;Constants!$B$4,"",$BM154+$BN154+$BO154))</f>
        <v/>
      </c>
      <c r="CU154" s="78" t="str">
        <f aca="false">IF(ISBLANK($C154),"",IF($BH154&lt;&gt;Constants!$B$4,"",$BP154))</f>
        <v/>
      </c>
      <c r="CV154" s="78" t="str">
        <f aca="false">IF(ISBLANK($C154),"",IF($BH154&lt;&gt;Constants!$B$4,"",$BQ154+$BR154))</f>
        <v/>
      </c>
      <c r="CW154" s="78" t="str">
        <f aca="false">IF(ISBLANK($C154),"",IF($BH154&lt;&gt;Constants!$B$4,"",$BS154))</f>
        <v/>
      </c>
      <c r="CX154" s="78" t="str">
        <f aca="false">IF(ISBLANK($C154),"",IF($BH154&lt;&gt;Constants!$B$4,"",-$BZ154))</f>
        <v/>
      </c>
      <c r="CY154" s="79" t="str">
        <f aca="false">IF(ISBLANK($C154),"",$CA154)</f>
        <v/>
      </c>
      <c r="CZ154" s="80" t="str">
        <f aca="false">IF(ISBLANK($C154),"",$BI154)</f>
        <v/>
      </c>
      <c r="DA154" s="78" t="str">
        <f aca="false">IF(ISBLANK($C154),"",$CH154)</f>
        <v/>
      </c>
      <c r="DB154" s="78" t="str">
        <f aca="false">IF(ISBLANK($C154),"",$CG154)</f>
        <v/>
      </c>
      <c r="DC154" s="81" t="str">
        <f aca="false">IF(ISBLANK($C154),"",IFERROR(_xlfn.SWITCH($DB154,Constants!$B$7,COUNTA($C$9:$C$508)+2,Constants!$B$6,COUNTA($C$9:$C$508)+1,Constants!$B$5,COUNTA($C$9:$C$508)),$DB154))</f>
        <v/>
      </c>
      <c r="DD154" s="7"/>
      <c r="DE154" s="82" t="n">
        <f aca="false">IF(OR(ISNUMBER($DB154),$DB154=Constants!$B$7,$DB154=Constants!$B$5,$DB154=Constants!$B$6),1,0)</f>
        <v>0</v>
      </c>
      <c r="DF154" s="82" t="n">
        <v>146</v>
      </c>
      <c r="DG154" s="82" t="str">
        <f aca="false">IF(ISBLANK($C154),"",IF(ISNUMBER($DC154),$DC154+ROW($B154)/1000,""))</f>
        <v/>
      </c>
      <c r="DH154" s="82" t="str">
        <f aca="false">IF(ISNUMBER($DG154),RANK($DG154,$DG$9:$DG$508,1),"")</f>
        <v/>
      </c>
      <c r="DI154" s="82" t="str">
        <f aca="false">IF(ISBLANK($C154),"",$B154)</f>
        <v/>
      </c>
      <c r="DJ154" s="82" t="str">
        <f aca="false">IF(ISBLANK($C154),"",$C154)</f>
        <v/>
      </c>
      <c r="DK154" s="82" t="str">
        <f aca="false">IF(ISBLANK($C154),"",$D154)</f>
        <v/>
      </c>
      <c r="DL154" s="83" t="str">
        <f aca="false">$CZ154</f>
        <v/>
      </c>
      <c r="DM154" s="84" t="str">
        <f aca="false">$CY154</f>
        <v/>
      </c>
      <c r="DN154" s="82" t="str">
        <f aca="false">IF(ISBLANK($C154),"",$DB154)</f>
        <v/>
      </c>
      <c r="DO154" s="85" t="str">
        <f aca="false">IF($DF154&gt;$DE$8,"",VLOOKUP($DF154,$DH$9:$DN$508,7,FALSE()))</f>
        <v/>
      </c>
      <c r="DP154" s="86" t="str">
        <f aca="false">IF($DF154&gt;$DE$8,"",VLOOKUP($DF154,$DH$9:$DN$508,2,FALSE()))</f>
        <v/>
      </c>
      <c r="DQ154" s="86" t="str">
        <f aca="false">IF($DF154&gt;$DE$8,"",VLOOKUP($DF154,$DH$9:$DN$508,3,FALSE()))</f>
        <v/>
      </c>
      <c r="DR154" s="86" t="str">
        <f aca="false">IF($DF154&gt;$DE$8,"",VLOOKUP($DF154,$DH$9:$DN$508,4,FALSE()))</f>
        <v/>
      </c>
      <c r="DS154" s="86" t="str">
        <f aca="false">IF($DF154&gt;$DE$8,"",VLOOKUP($DF154,$DH$9:$DN$508,5,FALSE()))</f>
        <v/>
      </c>
      <c r="DT154" s="87" t="str">
        <f aca="false">IF($DF154&gt;$DE$8,"",VLOOKUP($DF154,$DH$9:$DN$508,6,FALSE()))</f>
        <v/>
      </c>
      <c r="DU154" s="62"/>
    </row>
    <row r="155" customFormat="false" ht="15.75" hidden="false" customHeight="false" outlineLevel="0" collapsed="false">
      <c r="A155" s="7"/>
      <c r="B155" s="64"/>
      <c r="C155" s="65"/>
      <c r="D155" s="123"/>
      <c r="E155" s="88"/>
      <c r="F155" s="134"/>
      <c r="G155" s="88"/>
      <c r="H155" s="134"/>
      <c r="I155" s="119"/>
      <c r="J155" s="119"/>
      <c r="K155" s="119"/>
      <c r="L155" s="88"/>
      <c r="M155" s="88"/>
      <c r="N155" s="88"/>
      <c r="O155" s="134"/>
      <c r="P155" s="88"/>
      <c r="Q155" s="88"/>
      <c r="R155" s="88"/>
      <c r="S155" s="88"/>
      <c r="T155" s="134"/>
      <c r="U155" s="88"/>
      <c r="V155" s="70"/>
      <c r="W155" s="88"/>
      <c r="X155" s="88"/>
      <c r="Y155" s="70"/>
      <c r="Z155" s="70"/>
      <c r="AA155" s="88"/>
      <c r="AB155" s="88"/>
      <c r="AC155" s="71"/>
      <c r="AD155" s="88"/>
      <c r="AE155" s="73"/>
      <c r="AF155" s="74"/>
      <c r="AG155" s="74"/>
      <c r="AH155" s="74" t="str">
        <f aca="false">IF(ISBLANK($C155),"",IF($E155=Constants!$B$2,TRUE(),IF($E155=Constants!$B$3,FALSE(),TRUE())))</f>
        <v/>
      </c>
      <c r="AI155" s="74" t="str">
        <f aca="false">IF(ISBLANK($C155),"",IF($F155=Constants!$B$2,TRUE(),IF($F155=Constants!$B$3,FALSE(),FALSE())))</f>
        <v/>
      </c>
      <c r="AJ155" s="74" t="str">
        <f aca="false">IF(ISBLANK($C155),"",IF($G155=Constants!$B$2,TRUE(),IF($G155=Constants!$B$3,FALSE(),TRUE())))</f>
        <v/>
      </c>
      <c r="AK155" s="74" t="str">
        <f aca="false">IF(ISBLANK($C155),"",IF($H155=Constants!$B$2,TRUE(),IF($H155=Constants!$B$3,FALSE(),TRUE())))</f>
        <v/>
      </c>
      <c r="AL155" s="74" t="str">
        <f aca="false">IF(ISBLANK($C155),"",IF(ISNUMBER($I155),IF($I155&gt;=0,$I155,""),""))</f>
        <v/>
      </c>
      <c r="AM155" s="74" t="str">
        <f aca="false">IF(ISBLANK($C155),"",IF(ISNUMBER($J155),IF($J155&gt;=0,$J155,""),""))</f>
        <v/>
      </c>
      <c r="AN155" s="74" t="str">
        <f aca="false">IF(ISBLANK($C155),"",IF(ISNUMBER($K155),IF($K155&gt;=0,$K155,""),""))</f>
        <v/>
      </c>
      <c r="AO155" s="74" t="str">
        <f aca="false">IF(ISBLANK($C155),"",IF($L155=Constants!$B$2,TRUE(),IF($L155=Constants!$B$3,FALSE(),TRUE())))</f>
        <v/>
      </c>
      <c r="AP155" s="74" t="str">
        <f aca="false">IF(ISBLANK($C155),"",IF($M155=Constants!$B$2,TRUE(),IF($M155=Constants!$B$3,FALSE(),TRUE())))</f>
        <v/>
      </c>
      <c r="AQ155" s="74" t="str">
        <f aca="false">IF(ISBLANK($C155),"",IF($N155=Constants!$B$2,TRUE(),IF($N155=Constants!$B$3,FALSE(),FALSE())))</f>
        <v/>
      </c>
      <c r="AR155" s="74" t="str">
        <f aca="false">IF(ISBLANK($C155),"",IF($O155=Constants!$B$2,TRUE(),IF($O155=Constants!$B$3,FALSE(),TRUE())))</f>
        <v/>
      </c>
      <c r="AS155" s="74" t="str">
        <f aca="false">IF(ISBLANK($C155),"",IF($P155=Constants!$B$2,TRUE(),IF($P155=Constants!$B$3,FALSE(),FALSE())))</f>
        <v/>
      </c>
      <c r="AT155" s="74" t="str">
        <f aca="false">IF(ISBLANK($C155),"",IF($Q155=Constants!$B$2,TRUE(),IF($Q155=Constants!$B$3,FALSE(),FALSE())))</f>
        <v/>
      </c>
      <c r="AU155" s="74" t="str">
        <f aca="false">IF(ISBLANK($C155),"",IF($R155=Constants!$B$2,TRUE(),IF($R155=Constants!$B$3,FALSE(),FALSE())))</f>
        <v/>
      </c>
      <c r="AV155" s="74" t="str">
        <f aca="false">IF(ISBLANK($C155),"",IF($S155=Constants!$B$2,TRUE(),IF($S155=Constants!$B$3,FALSE(),FALSE())))</f>
        <v/>
      </c>
      <c r="AW155" s="74" t="str">
        <f aca="false">IF(ISBLANK($C155),"",IF($T155=Constants!$B$2,TRUE(),IF($T155=Constants!$B$3,FALSE(),FALSE())))</f>
        <v/>
      </c>
      <c r="AX155" s="74" t="str">
        <f aca="false">IF(ISBLANK($C155),"",IF(OR($U155&amp;""="1",$U155&amp;""="2",$U155&amp;""="3",$U155&amp;""="4"),VALUE($U155&amp;""),IF($U155=Constants!$B$12,Constants!$B$12,"")))</f>
        <v/>
      </c>
      <c r="AY155" s="74" t="str">
        <f aca="false">IF(ISBLANK($C155),"",IF(ISBLANK($V155),0,IF(ISNUMBER($V155),IF(AND($V155&gt;=0,$V155&lt;=Constants!$B$21,$V155=INT($V155)),$V155,""),"")))</f>
        <v/>
      </c>
      <c r="AZ155" s="74" t="str">
        <f aca="false">IF(ISBLANK($C155),"",IF(ISBLANK($W155),0,IF(ISNUMBER($W155),IF($W155&gt;=0,$W155,""),"")))</f>
        <v/>
      </c>
      <c r="BA155" s="74" t="str">
        <f aca="false">IF(ISBLANK($C155),"",IF($X155=Constants!$B$2,TRUE(),IF($X155=Constants!$B$3,FALSE(),TRUE())))</f>
        <v/>
      </c>
      <c r="BB155" s="74" t="str">
        <f aca="false">IF(ISBLANK($C155),"",IF($Y155=Constants!$B$2,TRUE(),IF($Y155=Constants!$B$3,FALSE(),FALSE())))</f>
        <v/>
      </c>
      <c r="BC155" s="74" t="str">
        <f aca="false">IF(ISBLANK($C155),"",IF(ISBLANK($Z155),0,IF(ISNUMBER($Z155),IF(AND($Z155&gt;=0,$Z155&lt;=Constants!$B$35,$Z155=INT($Z155)),$Z155,""),"")))</f>
        <v/>
      </c>
      <c r="BD155" s="74" t="str">
        <f aca="false">IF(ISBLANK($C155),"",IF($AA155=Constants!$B$2,TRUE(),IF($AA155=Constants!$B$3,FALSE(),TRUE())))</f>
        <v/>
      </c>
      <c r="BE155" s="74" t="str">
        <f aca="false">IF(ISBLANK($C155),"",IF($AB155=Constants!$B$2,TRUE(),IF($AB155=Constants!$B$3,FALSE(),TRUE())))</f>
        <v/>
      </c>
      <c r="BF155" s="74" t="str">
        <f aca="false">IF(ISBLANK($C155),"",IF(ISNUMBER($AC155),IF($AC155&gt;=0,$AC155,""),""))</f>
        <v/>
      </c>
      <c r="BG155" s="74" t="str">
        <f aca="false">IF(ISBLANK($C155),"",IF($AD155=Constants!$B$2,TRUE(),IF($AD155=Constants!$B$3,FALSE(),FALSE())))</f>
        <v/>
      </c>
      <c r="BH155" s="73" t="str">
        <f aca="false">IF(ISBLANK($C155),"",IF($BG155,Constants!$B$7,IF(COUNTA($E155:$AC155)=0,Constants!$B$6,IF(OR(COUNTA($G155:$AC155)=0,NOT($AK155),$AQ155),Constants!$B$5,IF(OR($CI155&lt;&gt;"",$CJ155,$CK155,$CL155,$CM155,$CN155,$CO155),Constants!$B$8,Constants!$B$4)))))</f>
        <v/>
      </c>
      <c r="BI155" s="74" t="str">
        <f aca="false">IF(ISBLANK($C155),"",IF($BH155&lt;&gt;Constants!$B$4,$BH155,IF(OR(NOT($AH155),NOT($AJ155),NOT($AR155)),Constants!$B$11,IF(OR(NOT($AP155),MAX($AL155,$AM155,$AN155)&gt;Constants!$B$30),Constants!$B$10,Constants!$B$9))))</f>
        <v/>
      </c>
      <c r="BJ155" s="74" t="str">
        <f aca="false">IF($BH155&lt;&gt;Constants!$B$4,"",IF(NOT($AJ155),0,MIN(Constants!$B$35,$BC155)))</f>
        <v/>
      </c>
      <c r="BK155" s="74" t="str">
        <f aca="false">IF($BH155&lt;&gt;Constants!$B$4,"",IF(NOT($AJ155),0,IF($AT155,Constants!$B$18,IF($AS155,Constants!$B$17,0))))</f>
        <v/>
      </c>
      <c r="BL155" s="74" t="str">
        <f aca="false">IF($BH155&lt;&gt;Constants!$B$4,"",IF(NOT($AJ155),0,Constants!$B$19*($AI155+$AU155+$AV155+$AW155)))</f>
        <v/>
      </c>
      <c r="BM155" s="74" t="str">
        <f aca="false">IF($BH155&lt;&gt;Constants!$B$4,"",IF(OR(NOT($AJ155),NOT(ISNUMBER($AX155))),0,CHOOSE($AX155,Constants!$B$13,Constants!$B$14,Constants!$B$15,Constants!$B$16)))</f>
        <v/>
      </c>
      <c r="BN155" s="74" t="str">
        <f aca="false">IF($BH155&lt;&gt;Constants!$B$4,"",IF(NOT($AJ155),0,Constants!$B$20*$AY155))</f>
        <v/>
      </c>
      <c r="BO155" s="74" t="str">
        <f aca="false">IF($BH155&lt;&gt;Constants!$B$4,"",IF(AND($AJ155,$BA155,$BB155),Constants!$B$22,0))</f>
        <v/>
      </c>
      <c r="BP155" s="74" t="str">
        <f aca="false">IF($BH155&lt;&gt;Constants!$B$4,"",IF(OR(NOT($AJ155),NOT($BA155)),0,IF($BF155&gt;=2*$AF$9,0,Constants!$B$23*INT(ROUND(MIN($BF155,$AF$9),6)))))</f>
        <v/>
      </c>
      <c r="BQ155" s="74" t="str">
        <f aca="false">IF($BH155&lt;&gt;Constants!$B$4,"",IF(NOT($AJ155),0,Constants!$B$24*INT(ROUND(MIN($AZ155,$AF$9),6))))</f>
        <v/>
      </c>
      <c r="BR155" s="74" t="str">
        <f aca="false">IF($BH155&lt;&gt;Constants!$B$4,"",IF(AND($AJ155,$BJ155=0),Constants!$B$25,0))</f>
        <v/>
      </c>
      <c r="BS155" s="74" t="str">
        <f aca="false">IF($BH155&lt;&gt;Constants!$B$4,"",MIN(Constants!$B$29,MAX(0,Constants!$B$27*Constants!$B$28*INT(ROUND((Constants!$B$26-$AL155)/Constants!$B$28,6))))+MIN(Constants!$B$29,MAX(0,Constants!$B$27*Constants!$B$28*INT(ROUND((Constants!$B$26-$AM155)/Constants!$B$28,6))))+MIN(Constants!$B$29,MAX(0,Constants!$B$27*Constants!$B$28*INT(ROUND((Constants!$B$26-$AN155)/Constants!$B$28,6)))))</f>
        <v/>
      </c>
      <c r="BT155" s="74" t="str">
        <f aca="false">IF($BH155&lt;&gt;Constants!$B$4,"",IF(NOT($AJ155),0,Constants!$B$31*INT(ROUND(MAX(0,MIN($BF155,2*$AF$9)-$AF$9),6))))</f>
        <v/>
      </c>
      <c r="BU155" s="74" t="str">
        <f aca="false">IF($BH155&lt;&gt;Constants!$B$4,"",Constants!$B$32*(($AL155&gt;Constants!$B$26)+($AM155&gt;Constants!$B$26)+($AN155&gt;Constants!$B$26)))</f>
        <v/>
      </c>
      <c r="BV155" s="74" t="str">
        <f aca="false">IF($BH155&lt;&gt;Constants!$B$4,"",IF(OR(NOT($AJ155),$AO155),0,Constants!$B$33))</f>
        <v/>
      </c>
      <c r="BW155" s="74" t="str">
        <f aca="false">IF($BH155&lt;&gt;Constants!$B$4,"",Constants!$B$34*$BJ155)</f>
        <v/>
      </c>
      <c r="BX155" s="74" t="str">
        <f aca="false">IF($BH155&lt;&gt;Constants!$B$4,"",IF(OR(NOT($AJ155),$BE155),0,Constants!$B$36))</f>
        <v/>
      </c>
      <c r="BY155" s="74" t="str">
        <f aca="false">IF($BH155&lt;&gt;Constants!$B$4,"",IF(OR(NOT($AJ155),$BD155),0,Constants!$B$37))</f>
        <v/>
      </c>
      <c r="BZ155" s="74" t="str">
        <f aca="false">IF($BH155&lt;&gt;Constants!$B$4,"",SUM($BT155:$BY155))</f>
        <v/>
      </c>
      <c r="CA155" s="74" t="str">
        <f aca="false">IF(ISBLANK($C155),"",IF($BH155&lt;&gt;Constants!$B$4,$BH155,SUM($BK155:$BS155)-$BZ155))</f>
        <v/>
      </c>
      <c r="CB155" s="74" t="str">
        <f aca="false">IF(ISBLANK($C155),"",IF($BH155&lt;&gt;Constants!$B$4,$BH155,RANK($CA155,$CA$9:$CA$508)))</f>
        <v/>
      </c>
      <c r="CC155" s="74" t="str">
        <f aca="false">IF(ISBLANK($C155),"",IF($BH155&lt;&gt;Constants!$B$4,$BH155,COUNTIFS($BI$9:$BI$508,"&lt;"&amp;$BI155)+COUNTIFS($BI$9:$BI$508,$BI155,$CB$9:$CB$508,"&lt;"&amp;$CB155)+1))</f>
        <v/>
      </c>
      <c r="CD155" s="74" t="str">
        <f aca="false">IF(ISBLANK($C155),"",IF($BH155&lt;&gt;Constants!$B$4,$BH155,RANK($BZ155,$BZ$9:$BZ$508,1)))</f>
        <v/>
      </c>
      <c r="CE155" s="74" t="str">
        <f aca="false">IF($BH155&lt;&gt;Constants!$B$4,"",$AL155+$AM155+$AN155)</f>
        <v/>
      </c>
      <c r="CF155" s="74" t="str">
        <f aca="false">IF(ISBLANK($C155),"",IF($BH155&lt;&gt;Constants!$B$4,$BH155,RANK($CE155,$CE$9:$CE$508,1)))</f>
        <v/>
      </c>
      <c r="CG155" s="74" t="str">
        <f aca="false">IF(ISBLANK($C155),"",IF($BH155&lt;&gt;Constants!$B$4,$BH155,COUNTIFS($BI$9:$BI$508,"&lt;"&amp;$BI155)+COUNTIFS($BI$9:$BI$508,$BI155,$CB$9:$CB$508,"&lt;"&amp;$CB155)+COUNTIFS($BI$9:$BI$508,$BI155,$CB$9:$CB$508,$CB155,$CD$9:$CD$508,"&lt;"&amp;$CD155)+COUNTIFS($BI$9:$BI$508,$BI155,$CB$9:$CB$508,$CB155,$CD$9:$CD$508,$CD155,$CF$9:$CF$508,"&lt;"&amp;$CF155)+1))</f>
        <v/>
      </c>
      <c r="CH155" s="74" t="str">
        <f aca="false">IF(ISBLANK($C155),"",IF($BH155&lt;&gt;Constants!$B$4,$BH155,$CC155-$CG155))</f>
        <v/>
      </c>
      <c r="CI155" s="74" t="str">
        <f aca="false">IF(ISBLANK($C155),"",IF(NOT($AJ155),"",IF(ISBLANK($D$7),$CI$5,IF(NOT(ISNUMBER($D$7)),$CI$6,""))))</f>
        <v/>
      </c>
      <c r="CJ155" s="74" t="str">
        <f aca="false">IF(ISBLANK($C155),"",OR($AL155="",$AM155="",$AN155=""))</f>
        <v/>
      </c>
      <c r="CK155" s="74" t="str">
        <f aca="false">IF(ISBLANK($C155),"",AND($AJ155,$AX155=""))</f>
        <v/>
      </c>
      <c r="CL155" s="74" t="str">
        <f aca="false">IF(ISBLANK($C155),"",AND($AJ155,$AY155=""))</f>
        <v/>
      </c>
      <c r="CM155" s="74" t="str">
        <f aca="false">IF(ISBLANK($C155),"",AND($AJ155,$AZ155=""))</f>
        <v/>
      </c>
      <c r="CN155" s="74" t="str">
        <f aca="false">IF(ISBLANK($C155),"",AND($AJ155,$BC155=""))</f>
        <v/>
      </c>
      <c r="CO155" s="74" t="str">
        <f aca="false">IF(ISBLANK($C155),"",AND($AJ155,$BF155=""))</f>
        <v/>
      </c>
      <c r="CP155" s="75"/>
      <c r="CQ155" s="76"/>
      <c r="CR155" s="79" t="str">
        <f aca="false">IF(ISBLANK($C155),"",IF($BH155=Constants!$B$8,$CI155,""))</f>
        <v/>
      </c>
      <c r="CS155" s="76" t="str">
        <f aca="false">IF(ISBLANK($C155),"",IF($BH155&lt;&gt;Constants!$B$4,"",$BK155+$BL155))</f>
        <v/>
      </c>
      <c r="CT155" s="78" t="str">
        <f aca="false">IF(ISBLANK($C155),"",IF($BH155&lt;&gt;Constants!$B$4,"",$BM155+$BN155+$BO155))</f>
        <v/>
      </c>
      <c r="CU155" s="78" t="str">
        <f aca="false">IF(ISBLANK($C155),"",IF($BH155&lt;&gt;Constants!$B$4,"",$BP155))</f>
        <v/>
      </c>
      <c r="CV155" s="78" t="str">
        <f aca="false">IF(ISBLANK($C155),"",IF($BH155&lt;&gt;Constants!$B$4,"",$BQ155+$BR155))</f>
        <v/>
      </c>
      <c r="CW155" s="78" t="str">
        <f aca="false">IF(ISBLANK($C155),"",IF($BH155&lt;&gt;Constants!$B$4,"",$BS155))</f>
        <v/>
      </c>
      <c r="CX155" s="78" t="str">
        <f aca="false">IF(ISBLANK($C155),"",IF($BH155&lt;&gt;Constants!$B$4,"",-$BZ155))</f>
        <v/>
      </c>
      <c r="CY155" s="79" t="str">
        <f aca="false">IF(ISBLANK($C155),"",$CA155)</f>
        <v/>
      </c>
      <c r="CZ155" s="80" t="str">
        <f aca="false">IF(ISBLANK($C155),"",$BI155)</f>
        <v/>
      </c>
      <c r="DA155" s="78" t="str">
        <f aca="false">IF(ISBLANK($C155),"",$CH155)</f>
        <v/>
      </c>
      <c r="DB155" s="78" t="str">
        <f aca="false">IF(ISBLANK($C155),"",$CG155)</f>
        <v/>
      </c>
      <c r="DC155" s="81" t="str">
        <f aca="false">IF(ISBLANK($C155),"",IFERROR(_xlfn.SWITCH($DB155,Constants!$B$7,COUNTA($C$9:$C$508)+2,Constants!$B$6,COUNTA($C$9:$C$508)+1,Constants!$B$5,COUNTA($C$9:$C$508)),$DB155))</f>
        <v/>
      </c>
      <c r="DD155" s="7"/>
      <c r="DE155" s="82" t="n">
        <f aca="false">IF(OR(ISNUMBER($DB155),$DB155=Constants!$B$7,$DB155=Constants!$B$5,$DB155=Constants!$B$6),1,0)</f>
        <v>0</v>
      </c>
      <c r="DF155" s="82" t="n">
        <v>147</v>
      </c>
      <c r="DG155" s="82" t="str">
        <f aca="false">IF(ISBLANK($C155),"",IF(ISNUMBER($DC155),$DC155+ROW($B155)/1000,""))</f>
        <v/>
      </c>
      <c r="DH155" s="82" t="str">
        <f aca="false">IF(ISNUMBER($DG155),RANK($DG155,$DG$9:$DG$508,1),"")</f>
        <v/>
      </c>
      <c r="DI155" s="82" t="str">
        <f aca="false">IF(ISBLANK($C155),"",$B155)</f>
        <v/>
      </c>
      <c r="DJ155" s="82" t="str">
        <f aca="false">IF(ISBLANK($C155),"",$C155)</f>
        <v/>
      </c>
      <c r="DK155" s="82" t="str">
        <f aca="false">IF(ISBLANK($C155),"",$D155)</f>
        <v/>
      </c>
      <c r="DL155" s="83" t="str">
        <f aca="false">$CZ155</f>
        <v/>
      </c>
      <c r="DM155" s="84" t="str">
        <f aca="false">$CY155</f>
        <v/>
      </c>
      <c r="DN155" s="82" t="str">
        <f aca="false">IF(ISBLANK($C155),"",$DB155)</f>
        <v/>
      </c>
      <c r="DO155" s="85" t="str">
        <f aca="false">IF($DF155&gt;$DE$8,"",VLOOKUP($DF155,$DH$9:$DN$508,7,FALSE()))</f>
        <v/>
      </c>
      <c r="DP155" s="86" t="str">
        <f aca="false">IF($DF155&gt;$DE$8,"",VLOOKUP($DF155,$DH$9:$DN$508,2,FALSE()))</f>
        <v/>
      </c>
      <c r="DQ155" s="86" t="str">
        <f aca="false">IF($DF155&gt;$DE$8,"",VLOOKUP($DF155,$DH$9:$DN$508,3,FALSE()))</f>
        <v/>
      </c>
      <c r="DR155" s="86" t="str">
        <f aca="false">IF($DF155&gt;$DE$8,"",VLOOKUP($DF155,$DH$9:$DN$508,4,FALSE()))</f>
        <v/>
      </c>
      <c r="DS155" s="86" t="str">
        <f aca="false">IF($DF155&gt;$DE$8,"",VLOOKUP($DF155,$DH$9:$DN$508,5,FALSE()))</f>
        <v/>
      </c>
      <c r="DT155" s="87" t="str">
        <f aca="false">IF($DF155&gt;$DE$8,"",VLOOKUP($DF155,$DH$9:$DN$508,6,FALSE()))</f>
        <v/>
      </c>
      <c r="DU155" s="62"/>
    </row>
    <row r="156" customFormat="false" ht="15.75" hidden="false" customHeight="false" outlineLevel="0" collapsed="false">
      <c r="A156" s="7"/>
      <c r="B156" s="90"/>
      <c r="C156" s="91"/>
      <c r="D156" s="126"/>
      <c r="E156" s="130"/>
      <c r="F156" s="135"/>
      <c r="G156" s="130"/>
      <c r="H156" s="135"/>
      <c r="I156" s="131"/>
      <c r="J156" s="131"/>
      <c r="K156" s="131"/>
      <c r="L156" s="130"/>
      <c r="M156" s="130"/>
      <c r="N156" s="130"/>
      <c r="O156" s="135"/>
      <c r="P156" s="130"/>
      <c r="Q156" s="130"/>
      <c r="R156" s="130"/>
      <c r="S156" s="130"/>
      <c r="T156" s="135"/>
      <c r="U156" s="130"/>
      <c r="V156" s="96"/>
      <c r="W156" s="130"/>
      <c r="X156" s="130"/>
      <c r="Y156" s="96"/>
      <c r="Z156" s="96"/>
      <c r="AA156" s="130"/>
      <c r="AB156" s="130"/>
      <c r="AC156" s="97"/>
      <c r="AD156" s="130"/>
      <c r="AE156" s="99"/>
      <c r="AF156" s="100"/>
      <c r="AG156" s="100"/>
      <c r="AH156" s="100" t="str">
        <f aca="false">IF(ISBLANK($C156),"",IF($E156=Constants!$B$2,TRUE(),IF($E156=Constants!$B$3,FALSE(),TRUE())))</f>
        <v/>
      </c>
      <c r="AI156" s="100" t="str">
        <f aca="false">IF(ISBLANK($C156),"",IF($F156=Constants!$B$2,TRUE(),IF($F156=Constants!$B$3,FALSE(),FALSE())))</f>
        <v/>
      </c>
      <c r="AJ156" s="100" t="str">
        <f aca="false">IF(ISBLANK($C156),"",IF($G156=Constants!$B$2,TRUE(),IF($G156=Constants!$B$3,FALSE(),TRUE())))</f>
        <v/>
      </c>
      <c r="AK156" s="100" t="str">
        <f aca="false">IF(ISBLANK($C156),"",IF($H156=Constants!$B$2,TRUE(),IF($H156=Constants!$B$3,FALSE(),TRUE())))</f>
        <v/>
      </c>
      <c r="AL156" s="100" t="str">
        <f aca="false">IF(ISBLANK($C156),"",IF(ISNUMBER($I156),IF($I156&gt;=0,$I156,""),""))</f>
        <v/>
      </c>
      <c r="AM156" s="100" t="str">
        <f aca="false">IF(ISBLANK($C156),"",IF(ISNUMBER($J156),IF($J156&gt;=0,$J156,""),""))</f>
        <v/>
      </c>
      <c r="AN156" s="100" t="str">
        <f aca="false">IF(ISBLANK($C156),"",IF(ISNUMBER($K156),IF($K156&gt;=0,$K156,""),""))</f>
        <v/>
      </c>
      <c r="AO156" s="100" t="str">
        <f aca="false">IF(ISBLANK($C156),"",IF($L156=Constants!$B$2,TRUE(),IF($L156=Constants!$B$3,FALSE(),TRUE())))</f>
        <v/>
      </c>
      <c r="AP156" s="100" t="str">
        <f aca="false">IF(ISBLANK($C156),"",IF($M156=Constants!$B$2,TRUE(),IF($M156=Constants!$B$3,FALSE(),TRUE())))</f>
        <v/>
      </c>
      <c r="AQ156" s="100" t="str">
        <f aca="false">IF(ISBLANK($C156),"",IF($N156=Constants!$B$2,TRUE(),IF($N156=Constants!$B$3,FALSE(),FALSE())))</f>
        <v/>
      </c>
      <c r="AR156" s="100" t="str">
        <f aca="false">IF(ISBLANK($C156),"",IF($O156=Constants!$B$2,TRUE(),IF($O156=Constants!$B$3,FALSE(),TRUE())))</f>
        <v/>
      </c>
      <c r="AS156" s="100" t="str">
        <f aca="false">IF(ISBLANK($C156),"",IF($P156=Constants!$B$2,TRUE(),IF($P156=Constants!$B$3,FALSE(),FALSE())))</f>
        <v/>
      </c>
      <c r="AT156" s="100" t="str">
        <f aca="false">IF(ISBLANK($C156),"",IF($Q156=Constants!$B$2,TRUE(),IF($Q156=Constants!$B$3,FALSE(),FALSE())))</f>
        <v/>
      </c>
      <c r="AU156" s="100" t="str">
        <f aca="false">IF(ISBLANK($C156),"",IF($R156=Constants!$B$2,TRUE(),IF($R156=Constants!$B$3,FALSE(),FALSE())))</f>
        <v/>
      </c>
      <c r="AV156" s="100" t="str">
        <f aca="false">IF(ISBLANK($C156),"",IF($S156=Constants!$B$2,TRUE(),IF($S156=Constants!$B$3,FALSE(),FALSE())))</f>
        <v/>
      </c>
      <c r="AW156" s="100" t="str">
        <f aca="false">IF(ISBLANK($C156),"",IF($T156=Constants!$B$2,TRUE(),IF($T156=Constants!$B$3,FALSE(),FALSE())))</f>
        <v/>
      </c>
      <c r="AX156" s="100" t="str">
        <f aca="false">IF(ISBLANK($C156),"",IF(OR($U156&amp;""="1",$U156&amp;""="2",$U156&amp;""="3",$U156&amp;""="4"),VALUE($U156&amp;""),IF($U156=Constants!$B$12,Constants!$B$12,"")))</f>
        <v/>
      </c>
      <c r="AY156" s="100" t="str">
        <f aca="false">IF(ISBLANK($C156),"",IF(ISBLANK($V156),0,IF(ISNUMBER($V156),IF(AND($V156&gt;=0,$V156&lt;=Constants!$B$21,$V156=INT($V156)),$V156,""),"")))</f>
        <v/>
      </c>
      <c r="AZ156" s="100" t="str">
        <f aca="false">IF(ISBLANK($C156),"",IF(ISBLANK($W156),0,IF(ISNUMBER($W156),IF($W156&gt;=0,$W156,""),"")))</f>
        <v/>
      </c>
      <c r="BA156" s="100" t="str">
        <f aca="false">IF(ISBLANK($C156),"",IF($X156=Constants!$B$2,TRUE(),IF($X156=Constants!$B$3,FALSE(),TRUE())))</f>
        <v/>
      </c>
      <c r="BB156" s="100" t="str">
        <f aca="false">IF(ISBLANK($C156),"",IF($Y156=Constants!$B$2,TRUE(),IF($Y156=Constants!$B$3,FALSE(),FALSE())))</f>
        <v/>
      </c>
      <c r="BC156" s="100" t="str">
        <f aca="false">IF(ISBLANK($C156),"",IF(ISBLANK($Z156),0,IF(ISNUMBER($Z156),IF(AND($Z156&gt;=0,$Z156&lt;=Constants!$B$35,$Z156=INT($Z156)),$Z156,""),"")))</f>
        <v/>
      </c>
      <c r="BD156" s="100" t="str">
        <f aca="false">IF(ISBLANK($C156),"",IF($AA156=Constants!$B$2,TRUE(),IF($AA156=Constants!$B$3,FALSE(),TRUE())))</f>
        <v/>
      </c>
      <c r="BE156" s="100" t="str">
        <f aca="false">IF(ISBLANK($C156),"",IF($AB156=Constants!$B$2,TRUE(),IF($AB156=Constants!$B$3,FALSE(),TRUE())))</f>
        <v/>
      </c>
      <c r="BF156" s="100" t="str">
        <f aca="false">IF(ISBLANK($C156),"",IF(ISNUMBER($AC156),IF($AC156&gt;=0,$AC156,""),""))</f>
        <v/>
      </c>
      <c r="BG156" s="100" t="str">
        <f aca="false">IF(ISBLANK($C156),"",IF($AD156=Constants!$B$2,TRUE(),IF($AD156=Constants!$B$3,FALSE(),FALSE())))</f>
        <v/>
      </c>
      <c r="BH156" s="99" t="str">
        <f aca="false">IF(ISBLANK($C156),"",IF($BG156,Constants!$B$7,IF(COUNTA($E156:$AC156)=0,Constants!$B$6,IF(OR(COUNTA($G156:$AC156)=0,NOT($AK156),$AQ156),Constants!$B$5,IF(OR($CI156&lt;&gt;"",$CJ156,$CK156,$CL156,$CM156,$CN156,$CO156),Constants!$B$8,Constants!$B$4)))))</f>
        <v/>
      </c>
      <c r="BI156" s="100" t="str">
        <f aca="false">IF(ISBLANK($C156),"",IF($BH156&lt;&gt;Constants!$B$4,$BH156,IF(OR(NOT($AH156),NOT($AJ156),NOT($AR156)),Constants!$B$11,IF(OR(NOT($AP156),MAX($AL156,$AM156,$AN156)&gt;Constants!$B$30),Constants!$B$10,Constants!$B$9))))</f>
        <v/>
      </c>
      <c r="BJ156" s="100" t="str">
        <f aca="false">IF($BH156&lt;&gt;Constants!$B$4,"",IF(NOT($AJ156),0,MIN(Constants!$B$35,$BC156)))</f>
        <v/>
      </c>
      <c r="BK156" s="100" t="str">
        <f aca="false">IF($BH156&lt;&gt;Constants!$B$4,"",IF(NOT($AJ156),0,IF($AT156,Constants!$B$18,IF($AS156,Constants!$B$17,0))))</f>
        <v/>
      </c>
      <c r="BL156" s="100" t="str">
        <f aca="false">IF($BH156&lt;&gt;Constants!$B$4,"",IF(NOT($AJ156),0,Constants!$B$19*($AI156+$AU156+$AV156+$AW156)))</f>
        <v/>
      </c>
      <c r="BM156" s="100" t="str">
        <f aca="false">IF($BH156&lt;&gt;Constants!$B$4,"",IF(OR(NOT($AJ156),NOT(ISNUMBER($AX156))),0,CHOOSE($AX156,Constants!$B$13,Constants!$B$14,Constants!$B$15,Constants!$B$16)))</f>
        <v/>
      </c>
      <c r="BN156" s="100" t="str">
        <f aca="false">IF($BH156&lt;&gt;Constants!$B$4,"",IF(NOT($AJ156),0,Constants!$B$20*$AY156))</f>
        <v/>
      </c>
      <c r="BO156" s="100" t="str">
        <f aca="false">IF($BH156&lt;&gt;Constants!$B$4,"",IF(AND($AJ156,$BA156,$BB156),Constants!$B$22,0))</f>
        <v/>
      </c>
      <c r="BP156" s="100" t="str">
        <f aca="false">IF($BH156&lt;&gt;Constants!$B$4,"",IF(OR(NOT($AJ156),NOT($BA156)),0,IF($BF156&gt;=2*$AF$9,0,Constants!$B$23*INT(ROUND(MIN($BF156,$AF$9),6)))))</f>
        <v/>
      </c>
      <c r="BQ156" s="100" t="str">
        <f aca="false">IF($BH156&lt;&gt;Constants!$B$4,"",IF(NOT($AJ156),0,Constants!$B$24*INT(ROUND(MIN($AZ156,$AF$9),6))))</f>
        <v/>
      </c>
      <c r="BR156" s="100" t="str">
        <f aca="false">IF($BH156&lt;&gt;Constants!$B$4,"",IF(AND($AJ156,$BJ156=0),Constants!$B$25,0))</f>
        <v/>
      </c>
      <c r="BS156" s="100" t="str">
        <f aca="false">IF($BH156&lt;&gt;Constants!$B$4,"",MIN(Constants!$B$29,MAX(0,Constants!$B$27*Constants!$B$28*INT(ROUND((Constants!$B$26-$AL156)/Constants!$B$28,6))))+MIN(Constants!$B$29,MAX(0,Constants!$B$27*Constants!$B$28*INT(ROUND((Constants!$B$26-$AM156)/Constants!$B$28,6))))+MIN(Constants!$B$29,MAX(0,Constants!$B$27*Constants!$B$28*INT(ROUND((Constants!$B$26-$AN156)/Constants!$B$28,6)))))</f>
        <v/>
      </c>
      <c r="BT156" s="100" t="str">
        <f aca="false">IF($BH156&lt;&gt;Constants!$B$4,"",IF(NOT($AJ156),0,Constants!$B$31*INT(ROUND(MAX(0,MIN($BF156,2*$AF$9)-$AF$9),6))))</f>
        <v/>
      </c>
      <c r="BU156" s="100" t="str">
        <f aca="false">IF($BH156&lt;&gt;Constants!$B$4,"",Constants!$B$32*(($AL156&gt;Constants!$B$26)+($AM156&gt;Constants!$B$26)+($AN156&gt;Constants!$B$26)))</f>
        <v/>
      </c>
      <c r="BV156" s="100" t="str">
        <f aca="false">IF($BH156&lt;&gt;Constants!$B$4,"",IF(OR(NOT($AJ156),$AO156),0,Constants!$B$33))</f>
        <v/>
      </c>
      <c r="BW156" s="100" t="str">
        <f aca="false">IF($BH156&lt;&gt;Constants!$B$4,"",Constants!$B$34*$BJ156)</f>
        <v/>
      </c>
      <c r="BX156" s="100" t="str">
        <f aca="false">IF($BH156&lt;&gt;Constants!$B$4,"",IF(OR(NOT($AJ156),$BE156),0,Constants!$B$36))</f>
        <v/>
      </c>
      <c r="BY156" s="100" t="str">
        <f aca="false">IF($BH156&lt;&gt;Constants!$B$4,"",IF(OR(NOT($AJ156),$BD156),0,Constants!$B$37))</f>
        <v/>
      </c>
      <c r="BZ156" s="100" t="str">
        <f aca="false">IF($BH156&lt;&gt;Constants!$B$4,"",SUM($BT156:$BY156))</f>
        <v/>
      </c>
      <c r="CA156" s="100" t="str">
        <f aca="false">IF(ISBLANK($C156),"",IF($BH156&lt;&gt;Constants!$B$4,$BH156,SUM($BK156:$BS156)-$BZ156))</f>
        <v/>
      </c>
      <c r="CB156" s="100" t="str">
        <f aca="false">IF(ISBLANK($C156),"",IF($BH156&lt;&gt;Constants!$B$4,$BH156,RANK($CA156,$CA$9:$CA$508)))</f>
        <v/>
      </c>
      <c r="CC156" s="100" t="str">
        <f aca="false">IF(ISBLANK($C156),"",IF($BH156&lt;&gt;Constants!$B$4,$BH156,COUNTIFS($BI$9:$BI$508,"&lt;"&amp;$BI156)+COUNTIFS($BI$9:$BI$508,$BI156,$CB$9:$CB$508,"&lt;"&amp;$CB156)+1))</f>
        <v/>
      </c>
      <c r="CD156" s="100" t="str">
        <f aca="false">IF(ISBLANK($C156),"",IF($BH156&lt;&gt;Constants!$B$4,$BH156,RANK($BZ156,$BZ$9:$BZ$508,1)))</f>
        <v/>
      </c>
      <c r="CE156" s="100" t="str">
        <f aca="false">IF($BH156&lt;&gt;Constants!$B$4,"",$AL156+$AM156+$AN156)</f>
        <v/>
      </c>
      <c r="CF156" s="100" t="str">
        <f aca="false">IF(ISBLANK($C156),"",IF($BH156&lt;&gt;Constants!$B$4,$BH156,RANK($CE156,$CE$9:$CE$508,1)))</f>
        <v/>
      </c>
      <c r="CG156" s="100" t="str">
        <f aca="false">IF(ISBLANK($C156),"",IF($BH156&lt;&gt;Constants!$B$4,$BH156,COUNTIFS($BI$9:$BI$508,"&lt;"&amp;$BI156)+COUNTIFS($BI$9:$BI$508,$BI156,$CB$9:$CB$508,"&lt;"&amp;$CB156)+COUNTIFS($BI$9:$BI$508,$BI156,$CB$9:$CB$508,$CB156,$CD$9:$CD$508,"&lt;"&amp;$CD156)+COUNTIFS($BI$9:$BI$508,$BI156,$CB$9:$CB$508,$CB156,$CD$9:$CD$508,$CD156,$CF$9:$CF$508,"&lt;"&amp;$CF156)+1))</f>
        <v/>
      </c>
      <c r="CH156" s="100" t="str">
        <f aca="false">IF(ISBLANK($C156),"",IF($BH156&lt;&gt;Constants!$B$4,$BH156,$CC156-$CG156))</f>
        <v/>
      </c>
      <c r="CI156" s="100" t="str">
        <f aca="false">IF(ISBLANK($C156),"",IF(NOT($AJ156),"",IF(ISBLANK($D$7),$CI$5,IF(NOT(ISNUMBER($D$7)),$CI$6,""))))</f>
        <v/>
      </c>
      <c r="CJ156" s="100" t="str">
        <f aca="false">IF(ISBLANK($C156),"",OR($AL156="",$AM156="",$AN156=""))</f>
        <v/>
      </c>
      <c r="CK156" s="100" t="str">
        <f aca="false">IF(ISBLANK($C156),"",AND($AJ156,$AX156=""))</f>
        <v/>
      </c>
      <c r="CL156" s="100" t="str">
        <f aca="false">IF(ISBLANK($C156),"",AND($AJ156,$AY156=""))</f>
        <v/>
      </c>
      <c r="CM156" s="100" t="str">
        <f aca="false">IF(ISBLANK($C156),"",AND($AJ156,$AZ156=""))</f>
        <v/>
      </c>
      <c r="CN156" s="100" t="str">
        <f aca="false">IF(ISBLANK($C156),"",AND($AJ156,$BC156=""))</f>
        <v/>
      </c>
      <c r="CO156" s="100" t="str">
        <f aca="false">IF(ISBLANK($C156),"",AND($AJ156,$BF156=""))</f>
        <v/>
      </c>
      <c r="CP156" s="101"/>
      <c r="CQ156" s="102"/>
      <c r="CR156" s="103" t="str">
        <f aca="false">IF(ISBLANK($C156),"",IF($BH156=Constants!$B$8,$CI156,""))</f>
        <v/>
      </c>
      <c r="CS156" s="102" t="str">
        <f aca="false">IF(ISBLANK($C156),"",IF($BH156&lt;&gt;Constants!$B$4,"",$BK156+$BL156))</f>
        <v/>
      </c>
      <c r="CT156" s="104" t="str">
        <f aca="false">IF(ISBLANK($C156),"",IF($BH156&lt;&gt;Constants!$B$4,"",$BM156+$BN156+$BO156))</f>
        <v/>
      </c>
      <c r="CU156" s="104" t="str">
        <f aca="false">IF(ISBLANK($C156),"",IF($BH156&lt;&gt;Constants!$B$4,"",$BP156))</f>
        <v/>
      </c>
      <c r="CV156" s="104" t="str">
        <f aca="false">IF(ISBLANK($C156),"",IF($BH156&lt;&gt;Constants!$B$4,"",$BQ156+$BR156))</f>
        <v/>
      </c>
      <c r="CW156" s="104" t="str">
        <f aca="false">IF(ISBLANK($C156),"",IF($BH156&lt;&gt;Constants!$B$4,"",$BS156))</f>
        <v/>
      </c>
      <c r="CX156" s="104" t="str">
        <f aca="false">IF(ISBLANK($C156),"",IF($BH156&lt;&gt;Constants!$B$4,"",-$BZ156))</f>
        <v/>
      </c>
      <c r="CY156" s="103" t="str">
        <f aca="false">IF(ISBLANK($C156),"",$CA156)</f>
        <v/>
      </c>
      <c r="CZ156" s="105" t="str">
        <f aca="false">IF(ISBLANK($C156),"",$BI156)</f>
        <v/>
      </c>
      <c r="DA156" s="104" t="str">
        <f aca="false">IF(ISBLANK($C156),"",$CH156)</f>
        <v/>
      </c>
      <c r="DB156" s="104" t="str">
        <f aca="false">IF(ISBLANK($C156),"",$CG156)</f>
        <v/>
      </c>
      <c r="DC156" s="106" t="str">
        <f aca="false">IF(ISBLANK($C156),"",IFERROR(_xlfn.SWITCH($DB156,Constants!$B$7,COUNTA($C$9:$C$508)+2,Constants!$B$6,COUNTA($C$9:$C$508)+1,Constants!$B$5,COUNTA($C$9:$C$508)),$DB156))</f>
        <v/>
      </c>
      <c r="DD156" s="7"/>
      <c r="DE156" s="107" t="n">
        <f aca="false">IF(OR(ISNUMBER($DB156),$DB156=Constants!$B$7,$DB156=Constants!$B$5,$DB156=Constants!$B$6),1,0)</f>
        <v>0</v>
      </c>
      <c r="DF156" s="107" t="n">
        <v>148</v>
      </c>
      <c r="DG156" s="107" t="str">
        <f aca="false">IF(ISBLANK($C156),"",IF(ISNUMBER($DC156),$DC156+ROW($B156)/1000,""))</f>
        <v/>
      </c>
      <c r="DH156" s="107" t="str">
        <f aca="false">IF(ISNUMBER($DG156),RANK($DG156,$DG$9:$DG$508,1),"")</f>
        <v/>
      </c>
      <c r="DI156" s="107" t="str">
        <f aca="false">IF(ISBLANK($C156),"",$B156)</f>
        <v/>
      </c>
      <c r="DJ156" s="107" t="str">
        <f aca="false">IF(ISBLANK($C156),"",$C156)</f>
        <v/>
      </c>
      <c r="DK156" s="107" t="str">
        <f aca="false">IF(ISBLANK($C156),"",$D156)</f>
        <v/>
      </c>
      <c r="DL156" s="108" t="str">
        <f aca="false">$CZ156</f>
        <v/>
      </c>
      <c r="DM156" s="109" t="str">
        <f aca="false">$CY156</f>
        <v/>
      </c>
      <c r="DN156" s="107" t="str">
        <f aca="false">IF(ISBLANK($C156),"",$DB156)</f>
        <v/>
      </c>
      <c r="DO156" s="110" t="str">
        <f aca="false">IF($DF156&gt;$DE$8,"",VLOOKUP($DF156,$DH$9:$DN$508,7,FALSE()))</f>
        <v/>
      </c>
      <c r="DP156" s="111" t="str">
        <f aca="false">IF($DF156&gt;$DE$8,"",VLOOKUP($DF156,$DH$9:$DN$508,2,FALSE()))</f>
        <v/>
      </c>
      <c r="DQ156" s="111" t="str">
        <f aca="false">IF($DF156&gt;$DE$8,"",VLOOKUP($DF156,$DH$9:$DN$508,3,FALSE()))</f>
        <v/>
      </c>
      <c r="DR156" s="111" t="str">
        <f aca="false">IF($DF156&gt;$DE$8,"",VLOOKUP($DF156,$DH$9:$DN$508,4,FALSE()))</f>
        <v/>
      </c>
      <c r="DS156" s="111" t="str">
        <f aca="false">IF($DF156&gt;$DE$8,"",VLOOKUP($DF156,$DH$9:$DN$508,5,FALSE()))</f>
        <v/>
      </c>
      <c r="DT156" s="112" t="str">
        <f aca="false">IF($DF156&gt;$DE$8,"",VLOOKUP($DF156,$DH$9:$DN$508,6,FALSE()))</f>
        <v/>
      </c>
      <c r="DU156" s="62"/>
    </row>
    <row r="157" customFormat="false" ht="15.75" hidden="false" customHeight="false" outlineLevel="0" collapsed="false">
      <c r="A157" s="7"/>
      <c r="B157" s="90"/>
      <c r="C157" s="91"/>
      <c r="D157" s="126"/>
      <c r="E157" s="130"/>
      <c r="F157" s="135"/>
      <c r="G157" s="130"/>
      <c r="H157" s="135"/>
      <c r="I157" s="131"/>
      <c r="J157" s="131"/>
      <c r="K157" s="131"/>
      <c r="L157" s="130"/>
      <c r="M157" s="130"/>
      <c r="N157" s="130"/>
      <c r="O157" s="135"/>
      <c r="P157" s="130"/>
      <c r="Q157" s="130"/>
      <c r="R157" s="130"/>
      <c r="S157" s="130"/>
      <c r="T157" s="135"/>
      <c r="U157" s="130"/>
      <c r="V157" s="96"/>
      <c r="W157" s="130"/>
      <c r="X157" s="130"/>
      <c r="Y157" s="96"/>
      <c r="Z157" s="96"/>
      <c r="AA157" s="130"/>
      <c r="AB157" s="130"/>
      <c r="AC157" s="97"/>
      <c r="AD157" s="130"/>
      <c r="AE157" s="99"/>
      <c r="AF157" s="100"/>
      <c r="AG157" s="100"/>
      <c r="AH157" s="100" t="str">
        <f aca="false">IF(ISBLANK($C157),"",IF($E157=Constants!$B$2,TRUE(),IF($E157=Constants!$B$3,FALSE(),TRUE())))</f>
        <v/>
      </c>
      <c r="AI157" s="100" t="str">
        <f aca="false">IF(ISBLANK($C157),"",IF($F157=Constants!$B$2,TRUE(),IF($F157=Constants!$B$3,FALSE(),FALSE())))</f>
        <v/>
      </c>
      <c r="AJ157" s="100" t="str">
        <f aca="false">IF(ISBLANK($C157),"",IF($G157=Constants!$B$2,TRUE(),IF($G157=Constants!$B$3,FALSE(),TRUE())))</f>
        <v/>
      </c>
      <c r="AK157" s="100" t="str">
        <f aca="false">IF(ISBLANK($C157),"",IF($H157=Constants!$B$2,TRUE(),IF($H157=Constants!$B$3,FALSE(),TRUE())))</f>
        <v/>
      </c>
      <c r="AL157" s="100" t="str">
        <f aca="false">IF(ISBLANK($C157),"",IF(ISNUMBER($I157),IF($I157&gt;=0,$I157,""),""))</f>
        <v/>
      </c>
      <c r="AM157" s="100" t="str">
        <f aca="false">IF(ISBLANK($C157),"",IF(ISNUMBER($J157),IF($J157&gt;=0,$J157,""),""))</f>
        <v/>
      </c>
      <c r="AN157" s="100" t="str">
        <f aca="false">IF(ISBLANK($C157),"",IF(ISNUMBER($K157),IF($K157&gt;=0,$K157,""),""))</f>
        <v/>
      </c>
      <c r="AO157" s="100" t="str">
        <f aca="false">IF(ISBLANK($C157),"",IF($L157=Constants!$B$2,TRUE(),IF($L157=Constants!$B$3,FALSE(),TRUE())))</f>
        <v/>
      </c>
      <c r="AP157" s="100" t="str">
        <f aca="false">IF(ISBLANK($C157),"",IF($M157=Constants!$B$2,TRUE(),IF($M157=Constants!$B$3,FALSE(),TRUE())))</f>
        <v/>
      </c>
      <c r="AQ157" s="100" t="str">
        <f aca="false">IF(ISBLANK($C157),"",IF($N157=Constants!$B$2,TRUE(),IF($N157=Constants!$B$3,FALSE(),FALSE())))</f>
        <v/>
      </c>
      <c r="AR157" s="100" t="str">
        <f aca="false">IF(ISBLANK($C157),"",IF($O157=Constants!$B$2,TRUE(),IF($O157=Constants!$B$3,FALSE(),TRUE())))</f>
        <v/>
      </c>
      <c r="AS157" s="100" t="str">
        <f aca="false">IF(ISBLANK($C157),"",IF($P157=Constants!$B$2,TRUE(),IF($P157=Constants!$B$3,FALSE(),FALSE())))</f>
        <v/>
      </c>
      <c r="AT157" s="100" t="str">
        <f aca="false">IF(ISBLANK($C157),"",IF($Q157=Constants!$B$2,TRUE(),IF($Q157=Constants!$B$3,FALSE(),FALSE())))</f>
        <v/>
      </c>
      <c r="AU157" s="100" t="str">
        <f aca="false">IF(ISBLANK($C157),"",IF($R157=Constants!$B$2,TRUE(),IF($R157=Constants!$B$3,FALSE(),FALSE())))</f>
        <v/>
      </c>
      <c r="AV157" s="100" t="str">
        <f aca="false">IF(ISBLANK($C157),"",IF($S157=Constants!$B$2,TRUE(),IF($S157=Constants!$B$3,FALSE(),FALSE())))</f>
        <v/>
      </c>
      <c r="AW157" s="100" t="str">
        <f aca="false">IF(ISBLANK($C157),"",IF($T157=Constants!$B$2,TRUE(),IF($T157=Constants!$B$3,FALSE(),FALSE())))</f>
        <v/>
      </c>
      <c r="AX157" s="100" t="str">
        <f aca="false">IF(ISBLANK($C157),"",IF(OR($U157&amp;""="1",$U157&amp;""="2",$U157&amp;""="3",$U157&amp;""="4"),VALUE($U157&amp;""),IF($U157=Constants!$B$12,Constants!$B$12,"")))</f>
        <v/>
      </c>
      <c r="AY157" s="100" t="str">
        <f aca="false">IF(ISBLANK($C157),"",IF(ISBLANK($V157),0,IF(ISNUMBER($V157),IF(AND($V157&gt;=0,$V157&lt;=Constants!$B$21,$V157=INT($V157)),$V157,""),"")))</f>
        <v/>
      </c>
      <c r="AZ157" s="100" t="str">
        <f aca="false">IF(ISBLANK($C157),"",IF(ISBLANK($W157),0,IF(ISNUMBER($W157),IF($W157&gt;=0,$W157,""),"")))</f>
        <v/>
      </c>
      <c r="BA157" s="100" t="str">
        <f aca="false">IF(ISBLANK($C157),"",IF($X157=Constants!$B$2,TRUE(),IF($X157=Constants!$B$3,FALSE(),TRUE())))</f>
        <v/>
      </c>
      <c r="BB157" s="100" t="str">
        <f aca="false">IF(ISBLANK($C157),"",IF($Y157=Constants!$B$2,TRUE(),IF($Y157=Constants!$B$3,FALSE(),FALSE())))</f>
        <v/>
      </c>
      <c r="BC157" s="100" t="str">
        <f aca="false">IF(ISBLANK($C157),"",IF(ISBLANK($Z157),0,IF(ISNUMBER($Z157),IF(AND($Z157&gt;=0,$Z157&lt;=Constants!$B$35,$Z157=INT($Z157)),$Z157,""),"")))</f>
        <v/>
      </c>
      <c r="BD157" s="100" t="str">
        <f aca="false">IF(ISBLANK($C157),"",IF($AA157=Constants!$B$2,TRUE(),IF($AA157=Constants!$B$3,FALSE(),TRUE())))</f>
        <v/>
      </c>
      <c r="BE157" s="100" t="str">
        <f aca="false">IF(ISBLANK($C157),"",IF($AB157=Constants!$B$2,TRUE(),IF($AB157=Constants!$B$3,FALSE(),TRUE())))</f>
        <v/>
      </c>
      <c r="BF157" s="100" t="str">
        <f aca="false">IF(ISBLANK($C157),"",IF(ISNUMBER($AC157),IF($AC157&gt;=0,$AC157,""),""))</f>
        <v/>
      </c>
      <c r="BG157" s="100" t="str">
        <f aca="false">IF(ISBLANK($C157),"",IF($AD157=Constants!$B$2,TRUE(),IF($AD157=Constants!$B$3,FALSE(),FALSE())))</f>
        <v/>
      </c>
      <c r="BH157" s="99" t="str">
        <f aca="false">IF(ISBLANK($C157),"",IF($BG157,Constants!$B$7,IF(COUNTA($E157:$AC157)=0,Constants!$B$6,IF(OR(COUNTA($G157:$AC157)=0,NOT($AK157),$AQ157),Constants!$B$5,IF(OR($CI157&lt;&gt;"",$CJ157,$CK157,$CL157,$CM157,$CN157,$CO157),Constants!$B$8,Constants!$B$4)))))</f>
        <v/>
      </c>
      <c r="BI157" s="100" t="str">
        <f aca="false">IF(ISBLANK($C157),"",IF($BH157&lt;&gt;Constants!$B$4,$BH157,IF(OR(NOT($AH157),NOT($AJ157),NOT($AR157)),Constants!$B$11,IF(OR(NOT($AP157),MAX($AL157,$AM157,$AN157)&gt;Constants!$B$30),Constants!$B$10,Constants!$B$9))))</f>
        <v/>
      </c>
      <c r="BJ157" s="100" t="str">
        <f aca="false">IF($BH157&lt;&gt;Constants!$B$4,"",IF(NOT($AJ157),0,MIN(Constants!$B$35,$BC157)))</f>
        <v/>
      </c>
      <c r="BK157" s="100" t="str">
        <f aca="false">IF($BH157&lt;&gt;Constants!$B$4,"",IF(NOT($AJ157),0,IF($AT157,Constants!$B$18,IF($AS157,Constants!$B$17,0))))</f>
        <v/>
      </c>
      <c r="BL157" s="100" t="str">
        <f aca="false">IF($BH157&lt;&gt;Constants!$B$4,"",IF(NOT($AJ157),0,Constants!$B$19*($AI157+$AU157+$AV157+$AW157)))</f>
        <v/>
      </c>
      <c r="BM157" s="100" t="str">
        <f aca="false">IF($BH157&lt;&gt;Constants!$B$4,"",IF(OR(NOT($AJ157),NOT(ISNUMBER($AX157))),0,CHOOSE($AX157,Constants!$B$13,Constants!$B$14,Constants!$B$15,Constants!$B$16)))</f>
        <v/>
      </c>
      <c r="BN157" s="100" t="str">
        <f aca="false">IF($BH157&lt;&gt;Constants!$B$4,"",IF(NOT($AJ157),0,Constants!$B$20*$AY157))</f>
        <v/>
      </c>
      <c r="BO157" s="100" t="str">
        <f aca="false">IF($BH157&lt;&gt;Constants!$B$4,"",IF(AND($AJ157,$BA157,$BB157),Constants!$B$22,0))</f>
        <v/>
      </c>
      <c r="BP157" s="100" t="str">
        <f aca="false">IF($BH157&lt;&gt;Constants!$B$4,"",IF(OR(NOT($AJ157),NOT($BA157)),0,IF($BF157&gt;=2*$AF$9,0,Constants!$B$23*INT(ROUND(MIN($BF157,$AF$9),6)))))</f>
        <v/>
      </c>
      <c r="BQ157" s="100" t="str">
        <f aca="false">IF($BH157&lt;&gt;Constants!$B$4,"",IF(NOT($AJ157),0,Constants!$B$24*INT(ROUND(MIN($AZ157,$AF$9),6))))</f>
        <v/>
      </c>
      <c r="BR157" s="100" t="str">
        <f aca="false">IF($BH157&lt;&gt;Constants!$B$4,"",IF(AND($AJ157,$BJ157=0),Constants!$B$25,0))</f>
        <v/>
      </c>
      <c r="BS157" s="100" t="str">
        <f aca="false">IF($BH157&lt;&gt;Constants!$B$4,"",MIN(Constants!$B$29,MAX(0,Constants!$B$27*Constants!$B$28*INT(ROUND((Constants!$B$26-$AL157)/Constants!$B$28,6))))+MIN(Constants!$B$29,MAX(0,Constants!$B$27*Constants!$B$28*INT(ROUND((Constants!$B$26-$AM157)/Constants!$B$28,6))))+MIN(Constants!$B$29,MAX(0,Constants!$B$27*Constants!$B$28*INT(ROUND((Constants!$B$26-$AN157)/Constants!$B$28,6)))))</f>
        <v/>
      </c>
      <c r="BT157" s="100" t="str">
        <f aca="false">IF($BH157&lt;&gt;Constants!$B$4,"",IF(NOT($AJ157),0,Constants!$B$31*INT(ROUND(MAX(0,MIN($BF157,2*$AF$9)-$AF$9),6))))</f>
        <v/>
      </c>
      <c r="BU157" s="100" t="str">
        <f aca="false">IF($BH157&lt;&gt;Constants!$B$4,"",Constants!$B$32*(($AL157&gt;Constants!$B$26)+($AM157&gt;Constants!$B$26)+($AN157&gt;Constants!$B$26)))</f>
        <v/>
      </c>
      <c r="BV157" s="100" t="str">
        <f aca="false">IF($BH157&lt;&gt;Constants!$B$4,"",IF(OR(NOT($AJ157),$AO157),0,Constants!$B$33))</f>
        <v/>
      </c>
      <c r="BW157" s="100" t="str">
        <f aca="false">IF($BH157&lt;&gt;Constants!$B$4,"",Constants!$B$34*$BJ157)</f>
        <v/>
      </c>
      <c r="BX157" s="100" t="str">
        <f aca="false">IF($BH157&lt;&gt;Constants!$B$4,"",IF(OR(NOT($AJ157),$BE157),0,Constants!$B$36))</f>
        <v/>
      </c>
      <c r="BY157" s="100" t="str">
        <f aca="false">IF($BH157&lt;&gt;Constants!$B$4,"",IF(OR(NOT($AJ157),$BD157),0,Constants!$B$37))</f>
        <v/>
      </c>
      <c r="BZ157" s="100" t="str">
        <f aca="false">IF($BH157&lt;&gt;Constants!$B$4,"",SUM($BT157:$BY157))</f>
        <v/>
      </c>
      <c r="CA157" s="100" t="str">
        <f aca="false">IF(ISBLANK($C157),"",IF($BH157&lt;&gt;Constants!$B$4,$BH157,SUM($BK157:$BS157)-$BZ157))</f>
        <v/>
      </c>
      <c r="CB157" s="100" t="str">
        <f aca="false">IF(ISBLANK($C157),"",IF($BH157&lt;&gt;Constants!$B$4,$BH157,RANK($CA157,$CA$9:$CA$508)))</f>
        <v/>
      </c>
      <c r="CC157" s="100" t="str">
        <f aca="false">IF(ISBLANK($C157),"",IF($BH157&lt;&gt;Constants!$B$4,$BH157,COUNTIFS($BI$9:$BI$508,"&lt;"&amp;$BI157)+COUNTIFS($BI$9:$BI$508,$BI157,$CB$9:$CB$508,"&lt;"&amp;$CB157)+1))</f>
        <v/>
      </c>
      <c r="CD157" s="100" t="str">
        <f aca="false">IF(ISBLANK($C157),"",IF($BH157&lt;&gt;Constants!$B$4,$BH157,RANK($BZ157,$BZ$9:$BZ$508,1)))</f>
        <v/>
      </c>
      <c r="CE157" s="100" t="str">
        <f aca="false">IF($BH157&lt;&gt;Constants!$B$4,"",$AL157+$AM157+$AN157)</f>
        <v/>
      </c>
      <c r="CF157" s="100" t="str">
        <f aca="false">IF(ISBLANK($C157),"",IF($BH157&lt;&gt;Constants!$B$4,$BH157,RANK($CE157,$CE$9:$CE$508,1)))</f>
        <v/>
      </c>
      <c r="CG157" s="100" t="str">
        <f aca="false">IF(ISBLANK($C157),"",IF($BH157&lt;&gt;Constants!$B$4,$BH157,COUNTIFS($BI$9:$BI$508,"&lt;"&amp;$BI157)+COUNTIFS($BI$9:$BI$508,$BI157,$CB$9:$CB$508,"&lt;"&amp;$CB157)+COUNTIFS($BI$9:$BI$508,$BI157,$CB$9:$CB$508,$CB157,$CD$9:$CD$508,"&lt;"&amp;$CD157)+COUNTIFS($BI$9:$BI$508,$BI157,$CB$9:$CB$508,$CB157,$CD$9:$CD$508,$CD157,$CF$9:$CF$508,"&lt;"&amp;$CF157)+1))</f>
        <v/>
      </c>
      <c r="CH157" s="100" t="str">
        <f aca="false">IF(ISBLANK($C157),"",IF($BH157&lt;&gt;Constants!$B$4,$BH157,$CC157-$CG157))</f>
        <v/>
      </c>
      <c r="CI157" s="100" t="str">
        <f aca="false">IF(ISBLANK($C157),"",IF(NOT($AJ157),"",IF(ISBLANK($D$7),$CI$5,IF(NOT(ISNUMBER($D$7)),$CI$6,""))))</f>
        <v/>
      </c>
      <c r="CJ157" s="100" t="str">
        <f aca="false">IF(ISBLANK($C157),"",OR($AL157="",$AM157="",$AN157=""))</f>
        <v/>
      </c>
      <c r="CK157" s="100" t="str">
        <f aca="false">IF(ISBLANK($C157),"",AND($AJ157,$AX157=""))</f>
        <v/>
      </c>
      <c r="CL157" s="100" t="str">
        <f aca="false">IF(ISBLANK($C157),"",AND($AJ157,$AY157=""))</f>
        <v/>
      </c>
      <c r="CM157" s="100" t="str">
        <f aca="false">IF(ISBLANK($C157),"",AND($AJ157,$AZ157=""))</f>
        <v/>
      </c>
      <c r="CN157" s="100" t="str">
        <f aca="false">IF(ISBLANK($C157),"",AND($AJ157,$BC157=""))</f>
        <v/>
      </c>
      <c r="CO157" s="100" t="str">
        <f aca="false">IF(ISBLANK($C157),"",AND($AJ157,$BF157=""))</f>
        <v/>
      </c>
      <c r="CP157" s="101"/>
      <c r="CQ157" s="102"/>
      <c r="CR157" s="103" t="str">
        <f aca="false">IF(ISBLANK($C157),"",IF($BH157=Constants!$B$8,$CI157,""))</f>
        <v/>
      </c>
      <c r="CS157" s="102" t="str">
        <f aca="false">IF(ISBLANK($C157),"",IF($BH157&lt;&gt;Constants!$B$4,"",$BK157+$BL157))</f>
        <v/>
      </c>
      <c r="CT157" s="104" t="str">
        <f aca="false">IF(ISBLANK($C157),"",IF($BH157&lt;&gt;Constants!$B$4,"",$BM157+$BN157+$BO157))</f>
        <v/>
      </c>
      <c r="CU157" s="104" t="str">
        <f aca="false">IF(ISBLANK($C157),"",IF($BH157&lt;&gt;Constants!$B$4,"",$BP157))</f>
        <v/>
      </c>
      <c r="CV157" s="104" t="str">
        <f aca="false">IF(ISBLANK($C157),"",IF($BH157&lt;&gt;Constants!$B$4,"",$BQ157+$BR157))</f>
        <v/>
      </c>
      <c r="CW157" s="104" t="str">
        <f aca="false">IF(ISBLANK($C157),"",IF($BH157&lt;&gt;Constants!$B$4,"",$BS157))</f>
        <v/>
      </c>
      <c r="CX157" s="104" t="str">
        <f aca="false">IF(ISBLANK($C157),"",IF($BH157&lt;&gt;Constants!$B$4,"",-$BZ157))</f>
        <v/>
      </c>
      <c r="CY157" s="103" t="str">
        <f aca="false">IF(ISBLANK($C157),"",$CA157)</f>
        <v/>
      </c>
      <c r="CZ157" s="105" t="str">
        <f aca="false">IF(ISBLANK($C157),"",$BI157)</f>
        <v/>
      </c>
      <c r="DA157" s="104" t="str">
        <f aca="false">IF(ISBLANK($C157),"",$CH157)</f>
        <v/>
      </c>
      <c r="DB157" s="104" t="str">
        <f aca="false">IF(ISBLANK($C157),"",$CG157)</f>
        <v/>
      </c>
      <c r="DC157" s="106" t="str">
        <f aca="false">IF(ISBLANK($C157),"",IFERROR(_xlfn.SWITCH($DB157,Constants!$B$7,COUNTA($C$9:$C$508)+2,Constants!$B$6,COUNTA($C$9:$C$508)+1,Constants!$B$5,COUNTA($C$9:$C$508)),$DB157))</f>
        <v/>
      </c>
      <c r="DD157" s="7"/>
      <c r="DE157" s="107" t="n">
        <f aca="false">IF(OR(ISNUMBER($DB157),$DB157=Constants!$B$7,$DB157=Constants!$B$5,$DB157=Constants!$B$6),1,0)</f>
        <v>0</v>
      </c>
      <c r="DF157" s="107" t="n">
        <v>149</v>
      </c>
      <c r="DG157" s="107" t="str">
        <f aca="false">IF(ISBLANK($C157),"",IF(ISNUMBER($DC157),$DC157+ROW($B157)/1000,""))</f>
        <v/>
      </c>
      <c r="DH157" s="107" t="str">
        <f aca="false">IF(ISNUMBER($DG157),RANK($DG157,$DG$9:$DG$508,1),"")</f>
        <v/>
      </c>
      <c r="DI157" s="107" t="str">
        <f aca="false">IF(ISBLANK($C157),"",$B157)</f>
        <v/>
      </c>
      <c r="DJ157" s="107" t="str">
        <f aca="false">IF(ISBLANK($C157),"",$C157)</f>
        <v/>
      </c>
      <c r="DK157" s="107" t="str">
        <f aca="false">IF(ISBLANK($C157),"",$D157)</f>
        <v/>
      </c>
      <c r="DL157" s="108" t="str">
        <f aca="false">$CZ157</f>
        <v/>
      </c>
      <c r="DM157" s="109" t="str">
        <f aca="false">$CY157</f>
        <v/>
      </c>
      <c r="DN157" s="107" t="str">
        <f aca="false">IF(ISBLANK($C157),"",$DB157)</f>
        <v/>
      </c>
      <c r="DO157" s="110" t="str">
        <f aca="false">IF($DF157&gt;$DE$8,"",VLOOKUP($DF157,$DH$9:$DN$508,7,FALSE()))</f>
        <v/>
      </c>
      <c r="DP157" s="111" t="str">
        <f aca="false">IF($DF157&gt;$DE$8,"",VLOOKUP($DF157,$DH$9:$DN$508,2,FALSE()))</f>
        <v/>
      </c>
      <c r="DQ157" s="111" t="str">
        <f aca="false">IF($DF157&gt;$DE$8,"",VLOOKUP($DF157,$DH$9:$DN$508,3,FALSE()))</f>
        <v/>
      </c>
      <c r="DR157" s="111" t="str">
        <f aca="false">IF($DF157&gt;$DE$8,"",VLOOKUP($DF157,$DH$9:$DN$508,4,FALSE()))</f>
        <v/>
      </c>
      <c r="DS157" s="111" t="str">
        <f aca="false">IF($DF157&gt;$DE$8,"",VLOOKUP($DF157,$DH$9:$DN$508,5,FALSE()))</f>
        <v/>
      </c>
      <c r="DT157" s="112" t="str">
        <f aca="false">IF($DF157&gt;$DE$8,"",VLOOKUP($DF157,$DH$9:$DN$508,6,FALSE()))</f>
        <v/>
      </c>
      <c r="DU157" s="62"/>
    </row>
    <row r="158" customFormat="false" ht="15.75" hidden="false" customHeight="false" outlineLevel="0" collapsed="false">
      <c r="A158" s="7"/>
      <c r="B158" s="90"/>
      <c r="C158" s="91"/>
      <c r="D158" s="126"/>
      <c r="E158" s="130"/>
      <c r="F158" s="135"/>
      <c r="G158" s="130"/>
      <c r="H158" s="135"/>
      <c r="I158" s="131"/>
      <c r="J158" s="131"/>
      <c r="K158" s="131"/>
      <c r="L158" s="130"/>
      <c r="M158" s="130"/>
      <c r="N158" s="130"/>
      <c r="O158" s="135"/>
      <c r="P158" s="130"/>
      <c r="Q158" s="130"/>
      <c r="R158" s="130"/>
      <c r="S158" s="130"/>
      <c r="T158" s="135"/>
      <c r="U158" s="130"/>
      <c r="V158" s="96"/>
      <c r="W158" s="130"/>
      <c r="X158" s="130"/>
      <c r="Y158" s="96"/>
      <c r="Z158" s="96"/>
      <c r="AA158" s="130"/>
      <c r="AB158" s="130"/>
      <c r="AC158" s="97"/>
      <c r="AD158" s="130"/>
      <c r="AE158" s="99"/>
      <c r="AF158" s="100"/>
      <c r="AG158" s="100"/>
      <c r="AH158" s="100" t="str">
        <f aca="false">IF(ISBLANK($C158),"",IF($E158=Constants!$B$2,TRUE(),IF($E158=Constants!$B$3,FALSE(),TRUE())))</f>
        <v/>
      </c>
      <c r="AI158" s="100" t="str">
        <f aca="false">IF(ISBLANK($C158),"",IF($F158=Constants!$B$2,TRUE(),IF($F158=Constants!$B$3,FALSE(),FALSE())))</f>
        <v/>
      </c>
      <c r="AJ158" s="100" t="str">
        <f aca="false">IF(ISBLANK($C158),"",IF($G158=Constants!$B$2,TRUE(),IF($G158=Constants!$B$3,FALSE(),TRUE())))</f>
        <v/>
      </c>
      <c r="AK158" s="100" t="str">
        <f aca="false">IF(ISBLANK($C158),"",IF($H158=Constants!$B$2,TRUE(),IF($H158=Constants!$B$3,FALSE(),TRUE())))</f>
        <v/>
      </c>
      <c r="AL158" s="100" t="str">
        <f aca="false">IF(ISBLANK($C158),"",IF(ISNUMBER($I158),IF($I158&gt;=0,$I158,""),""))</f>
        <v/>
      </c>
      <c r="AM158" s="100" t="str">
        <f aca="false">IF(ISBLANK($C158),"",IF(ISNUMBER($J158),IF($J158&gt;=0,$J158,""),""))</f>
        <v/>
      </c>
      <c r="AN158" s="100" t="str">
        <f aca="false">IF(ISBLANK($C158),"",IF(ISNUMBER($K158),IF($K158&gt;=0,$K158,""),""))</f>
        <v/>
      </c>
      <c r="AO158" s="100" t="str">
        <f aca="false">IF(ISBLANK($C158),"",IF($L158=Constants!$B$2,TRUE(),IF($L158=Constants!$B$3,FALSE(),TRUE())))</f>
        <v/>
      </c>
      <c r="AP158" s="100" t="str">
        <f aca="false">IF(ISBLANK($C158),"",IF($M158=Constants!$B$2,TRUE(),IF($M158=Constants!$B$3,FALSE(),TRUE())))</f>
        <v/>
      </c>
      <c r="AQ158" s="100" t="str">
        <f aca="false">IF(ISBLANK($C158),"",IF($N158=Constants!$B$2,TRUE(),IF($N158=Constants!$B$3,FALSE(),FALSE())))</f>
        <v/>
      </c>
      <c r="AR158" s="100" t="str">
        <f aca="false">IF(ISBLANK($C158),"",IF($O158=Constants!$B$2,TRUE(),IF($O158=Constants!$B$3,FALSE(),TRUE())))</f>
        <v/>
      </c>
      <c r="AS158" s="100" t="str">
        <f aca="false">IF(ISBLANK($C158),"",IF($P158=Constants!$B$2,TRUE(),IF($P158=Constants!$B$3,FALSE(),FALSE())))</f>
        <v/>
      </c>
      <c r="AT158" s="100" t="str">
        <f aca="false">IF(ISBLANK($C158),"",IF($Q158=Constants!$B$2,TRUE(),IF($Q158=Constants!$B$3,FALSE(),FALSE())))</f>
        <v/>
      </c>
      <c r="AU158" s="100" t="str">
        <f aca="false">IF(ISBLANK($C158),"",IF($R158=Constants!$B$2,TRUE(),IF($R158=Constants!$B$3,FALSE(),FALSE())))</f>
        <v/>
      </c>
      <c r="AV158" s="100" t="str">
        <f aca="false">IF(ISBLANK($C158),"",IF($S158=Constants!$B$2,TRUE(),IF($S158=Constants!$B$3,FALSE(),FALSE())))</f>
        <v/>
      </c>
      <c r="AW158" s="100" t="str">
        <f aca="false">IF(ISBLANK($C158),"",IF($T158=Constants!$B$2,TRUE(),IF($T158=Constants!$B$3,FALSE(),FALSE())))</f>
        <v/>
      </c>
      <c r="AX158" s="100" t="str">
        <f aca="false">IF(ISBLANK($C158),"",IF(OR($U158&amp;""="1",$U158&amp;""="2",$U158&amp;""="3",$U158&amp;""="4"),VALUE($U158&amp;""),IF($U158=Constants!$B$12,Constants!$B$12,"")))</f>
        <v/>
      </c>
      <c r="AY158" s="100" t="str">
        <f aca="false">IF(ISBLANK($C158),"",IF(ISBLANK($V158),0,IF(ISNUMBER($V158),IF(AND($V158&gt;=0,$V158&lt;=Constants!$B$21,$V158=INT($V158)),$V158,""),"")))</f>
        <v/>
      </c>
      <c r="AZ158" s="100" t="str">
        <f aca="false">IF(ISBLANK($C158),"",IF(ISBLANK($W158),0,IF(ISNUMBER($W158),IF($W158&gt;=0,$W158,""),"")))</f>
        <v/>
      </c>
      <c r="BA158" s="100" t="str">
        <f aca="false">IF(ISBLANK($C158),"",IF($X158=Constants!$B$2,TRUE(),IF($X158=Constants!$B$3,FALSE(),TRUE())))</f>
        <v/>
      </c>
      <c r="BB158" s="100" t="str">
        <f aca="false">IF(ISBLANK($C158),"",IF($Y158=Constants!$B$2,TRUE(),IF($Y158=Constants!$B$3,FALSE(),FALSE())))</f>
        <v/>
      </c>
      <c r="BC158" s="100" t="str">
        <f aca="false">IF(ISBLANK($C158),"",IF(ISBLANK($Z158),0,IF(ISNUMBER($Z158),IF(AND($Z158&gt;=0,$Z158&lt;=Constants!$B$35,$Z158=INT($Z158)),$Z158,""),"")))</f>
        <v/>
      </c>
      <c r="BD158" s="100" t="str">
        <f aca="false">IF(ISBLANK($C158),"",IF($AA158=Constants!$B$2,TRUE(),IF($AA158=Constants!$B$3,FALSE(),TRUE())))</f>
        <v/>
      </c>
      <c r="BE158" s="100" t="str">
        <f aca="false">IF(ISBLANK($C158),"",IF($AB158=Constants!$B$2,TRUE(),IF($AB158=Constants!$B$3,FALSE(),TRUE())))</f>
        <v/>
      </c>
      <c r="BF158" s="100" t="str">
        <f aca="false">IF(ISBLANK($C158),"",IF(ISNUMBER($AC158),IF($AC158&gt;=0,$AC158,""),""))</f>
        <v/>
      </c>
      <c r="BG158" s="100" t="str">
        <f aca="false">IF(ISBLANK($C158),"",IF($AD158=Constants!$B$2,TRUE(),IF($AD158=Constants!$B$3,FALSE(),FALSE())))</f>
        <v/>
      </c>
      <c r="BH158" s="99" t="str">
        <f aca="false">IF(ISBLANK($C158),"",IF($BG158,Constants!$B$7,IF(COUNTA($E158:$AC158)=0,Constants!$B$6,IF(OR(COUNTA($G158:$AC158)=0,NOT($AK158),$AQ158),Constants!$B$5,IF(OR($CI158&lt;&gt;"",$CJ158,$CK158,$CL158,$CM158,$CN158,$CO158),Constants!$B$8,Constants!$B$4)))))</f>
        <v/>
      </c>
      <c r="BI158" s="100" t="str">
        <f aca="false">IF(ISBLANK($C158),"",IF($BH158&lt;&gt;Constants!$B$4,$BH158,IF(OR(NOT($AH158),NOT($AJ158),NOT($AR158)),Constants!$B$11,IF(OR(NOT($AP158),MAX($AL158,$AM158,$AN158)&gt;Constants!$B$30),Constants!$B$10,Constants!$B$9))))</f>
        <v/>
      </c>
      <c r="BJ158" s="100" t="str">
        <f aca="false">IF($BH158&lt;&gt;Constants!$B$4,"",IF(NOT($AJ158),0,MIN(Constants!$B$35,$BC158)))</f>
        <v/>
      </c>
      <c r="BK158" s="100" t="str">
        <f aca="false">IF($BH158&lt;&gt;Constants!$B$4,"",IF(NOT($AJ158),0,IF($AT158,Constants!$B$18,IF($AS158,Constants!$B$17,0))))</f>
        <v/>
      </c>
      <c r="BL158" s="100" t="str">
        <f aca="false">IF($BH158&lt;&gt;Constants!$B$4,"",IF(NOT($AJ158),0,Constants!$B$19*($AI158+$AU158+$AV158+$AW158)))</f>
        <v/>
      </c>
      <c r="BM158" s="100" t="str">
        <f aca="false">IF($BH158&lt;&gt;Constants!$B$4,"",IF(OR(NOT($AJ158),NOT(ISNUMBER($AX158))),0,CHOOSE($AX158,Constants!$B$13,Constants!$B$14,Constants!$B$15,Constants!$B$16)))</f>
        <v/>
      </c>
      <c r="BN158" s="100" t="str">
        <f aca="false">IF($BH158&lt;&gt;Constants!$B$4,"",IF(NOT($AJ158),0,Constants!$B$20*$AY158))</f>
        <v/>
      </c>
      <c r="BO158" s="100" t="str">
        <f aca="false">IF($BH158&lt;&gt;Constants!$B$4,"",IF(AND($AJ158,$BA158,$BB158),Constants!$B$22,0))</f>
        <v/>
      </c>
      <c r="BP158" s="100" t="str">
        <f aca="false">IF($BH158&lt;&gt;Constants!$B$4,"",IF(OR(NOT($AJ158),NOT($BA158)),0,IF($BF158&gt;=2*$AF$9,0,Constants!$B$23*INT(ROUND(MIN($BF158,$AF$9),6)))))</f>
        <v/>
      </c>
      <c r="BQ158" s="100" t="str">
        <f aca="false">IF($BH158&lt;&gt;Constants!$B$4,"",IF(NOT($AJ158),0,Constants!$B$24*INT(ROUND(MIN($AZ158,$AF$9),6))))</f>
        <v/>
      </c>
      <c r="BR158" s="100" t="str">
        <f aca="false">IF($BH158&lt;&gt;Constants!$B$4,"",IF(AND($AJ158,$BJ158=0),Constants!$B$25,0))</f>
        <v/>
      </c>
      <c r="BS158" s="100" t="str">
        <f aca="false">IF($BH158&lt;&gt;Constants!$B$4,"",MIN(Constants!$B$29,MAX(0,Constants!$B$27*Constants!$B$28*INT(ROUND((Constants!$B$26-$AL158)/Constants!$B$28,6))))+MIN(Constants!$B$29,MAX(0,Constants!$B$27*Constants!$B$28*INT(ROUND((Constants!$B$26-$AM158)/Constants!$B$28,6))))+MIN(Constants!$B$29,MAX(0,Constants!$B$27*Constants!$B$28*INT(ROUND((Constants!$B$26-$AN158)/Constants!$B$28,6)))))</f>
        <v/>
      </c>
      <c r="BT158" s="100" t="str">
        <f aca="false">IF($BH158&lt;&gt;Constants!$B$4,"",IF(NOT($AJ158),0,Constants!$B$31*INT(ROUND(MAX(0,MIN($BF158,2*$AF$9)-$AF$9),6))))</f>
        <v/>
      </c>
      <c r="BU158" s="100" t="str">
        <f aca="false">IF($BH158&lt;&gt;Constants!$B$4,"",Constants!$B$32*(($AL158&gt;Constants!$B$26)+($AM158&gt;Constants!$B$26)+($AN158&gt;Constants!$B$26)))</f>
        <v/>
      </c>
      <c r="BV158" s="100" t="str">
        <f aca="false">IF($BH158&lt;&gt;Constants!$B$4,"",IF(OR(NOT($AJ158),$AO158),0,Constants!$B$33))</f>
        <v/>
      </c>
      <c r="BW158" s="100" t="str">
        <f aca="false">IF($BH158&lt;&gt;Constants!$B$4,"",Constants!$B$34*$BJ158)</f>
        <v/>
      </c>
      <c r="BX158" s="100" t="str">
        <f aca="false">IF($BH158&lt;&gt;Constants!$B$4,"",IF(OR(NOT($AJ158),$BE158),0,Constants!$B$36))</f>
        <v/>
      </c>
      <c r="BY158" s="100" t="str">
        <f aca="false">IF($BH158&lt;&gt;Constants!$B$4,"",IF(OR(NOT($AJ158),$BD158),0,Constants!$B$37))</f>
        <v/>
      </c>
      <c r="BZ158" s="100" t="str">
        <f aca="false">IF($BH158&lt;&gt;Constants!$B$4,"",SUM($BT158:$BY158))</f>
        <v/>
      </c>
      <c r="CA158" s="100" t="str">
        <f aca="false">IF(ISBLANK($C158),"",IF($BH158&lt;&gt;Constants!$B$4,$BH158,SUM($BK158:$BS158)-$BZ158))</f>
        <v/>
      </c>
      <c r="CB158" s="100" t="str">
        <f aca="false">IF(ISBLANK($C158),"",IF($BH158&lt;&gt;Constants!$B$4,$BH158,RANK($CA158,$CA$9:$CA$508)))</f>
        <v/>
      </c>
      <c r="CC158" s="100" t="str">
        <f aca="false">IF(ISBLANK($C158),"",IF($BH158&lt;&gt;Constants!$B$4,$BH158,COUNTIFS($BI$9:$BI$508,"&lt;"&amp;$BI158)+COUNTIFS($BI$9:$BI$508,$BI158,$CB$9:$CB$508,"&lt;"&amp;$CB158)+1))</f>
        <v/>
      </c>
      <c r="CD158" s="100" t="str">
        <f aca="false">IF(ISBLANK($C158),"",IF($BH158&lt;&gt;Constants!$B$4,$BH158,RANK($BZ158,$BZ$9:$BZ$508,1)))</f>
        <v/>
      </c>
      <c r="CE158" s="100" t="str">
        <f aca="false">IF($BH158&lt;&gt;Constants!$B$4,"",$AL158+$AM158+$AN158)</f>
        <v/>
      </c>
      <c r="CF158" s="100" t="str">
        <f aca="false">IF(ISBLANK($C158),"",IF($BH158&lt;&gt;Constants!$B$4,$BH158,RANK($CE158,$CE$9:$CE$508,1)))</f>
        <v/>
      </c>
      <c r="CG158" s="100" t="str">
        <f aca="false">IF(ISBLANK($C158),"",IF($BH158&lt;&gt;Constants!$B$4,$BH158,COUNTIFS($BI$9:$BI$508,"&lt;"&amp;$BI158)+COUNTIFS($BI$9:$BI$508,$BI158,$CB$9:$CB$508,"&lt;"&amp;$CB158)+COUNTIFS($BI$9:$BI$508,$BI158,$CB$9:$CB$508,$CB158,$CD$9:$CD$508,"&lt;"&amp;$CD158)+COUNTIFS($BI$9:$BI$508,$BI158,$CB$9:$CB$508,$CB158,$CD$9:$CD$508,$CD158,$CF$9:$CF$508,"&lt;"&amp;$CF158)+1))</f>
        <v/>
      </c>
      <c r="CH158" s="100" t="str">
        <f aca="false">IF(ISBLANK($C158),"",IF($BH158&lt;&gt;Constants!$B$4,$BH158,$CC158-$CG158))</f>
        <v/>
      </c>
      <c r="CI158" s="100" t="str">
        <f aca="false">IF(ISBLANK($C158),"",IF(NOT($AJ158),"",IF(ISBLANK($D$7),$CI$5,IF(NOT(ISNUMBER($D$7)),$CI$6,""))))</f>
        <v/>
      </c>
      <c r="CJ158" s="100" t="str">
        <f aca="false">IF(ISBLANK($C158),"",OR($AL158="",$AM158="",$AN158=""))</f>
        <v/>
      </c>
      <c r="CK158" s="100" t="str">
        <f aca="false">IF(ISBLANK($C158),"",AND($AJ158,$AX158=""))</f>
        <v/>
      </c>
      <c r="CL158" s="100" t="str">
        <f aca="false">IF(ISBLANK($C158),"",AND($AJ158,$AY158=""))</f>
        <v/>
      </c>
      <c r="CM158" s="100" t="str">
        <f aca="false">IF(ISBLANK($C158),"",AND($AJ158,$AZ158=""))</f>
        <v/>
      </c>
      <c r="CN158" s="100" t="str">
        <f aca="false">IF(ISBLANK($C158),"",AND($AJ158,$BC158=""))</f>
        <v/>
      </c>
      <c r="CO158" s="100" t="str">
        <f aca="false">IF(ISBLANK($C158),"",AND($AJ158,$BF158=""))</f>
        <v/>
      </c>
      <c r="CP158" s="101"/>
      <c r="CQ158" s="102"/>
      <c r="CR158" s="103" t="str">
        <f aca="false">IF(ISBLANK($C158),"",IF($BH158=Constants!$B$8,$CI158,""))</f>
        <v/>
      </c>
      <c r="CS158" s="102" t="str">
        <f aca="false">IF(ISBLANK($C158),"",IF($BH158&lt;&gt;Constants!$B$4,"",$BK158+$BL158))</f>
        <v/>
      </c>
      <c r="CT158" s="104" t="str">
        <f aca="false">IF(ISBLANK($C158),"",IF($BH158&lt;&gt;Constants!$B$4,"",$BM158+$BN158+$BO158))</f>
        <v/>
      </c>
      <c r="CU158" s="104" t="str">
        <f aca="false">IF(ISBLANK($C158),"",IF($BH158&lt;&gt;Constants!$B$4,"",$BP158))</f>
        <v/>
      </c>
      <c r="CV158" s="104" t="str">
        <f aca="false">IF(ISBLANK($C158),"",IF($BH158&lt;&gt;Constants!$B$4,"",$BQ158+$BR158))</f>
        <v/>
      </c>
      <c r="CW158" s="104" t="str">
        <f aca="false">IF(ISBLANK($C158),"",IF($BH158&lt;&gt;Constants!$B$4,"",$BS158))</f>
        <v/>
      </c>
      <c r="CX158" s="104" t="str">
        <f aca="false">IF(ISBLANK($C158),"",IF($BH158&lt;&gt;Constants!$B$4,"",-$BZ158))</f>
        <v/>
      </c>
      <c r="CY158" s="103" t="str">
        <f aca="false">IF(ISBLANK($C158),"",$CA158)</f>
        <v/>
      </c>
      <c r="CZ158" s="105" t="str">
        <f aca="false">IF(ISBLANK($C158),"",$BI158)</f>
        <v/>
      </c>
      <c r="DA158" s="104" t="str">
        <f aca="false">IF(ISBLANK($C158),"",$CH158)</f>
        <v/>
      </c>
      <c r="DB158" s="104" t="str">
        <f aca="false">IF(ISBLANK($C158),"",$CG158)</f>
        <v/>
      </c>
      <c r="DC158" s="106" t="str">
        <f aca="false">IF(ISBLANK($C158),"",IFERROR(_xlfn.SWITCH($DB158,Constants!$B$7,COUNTA($C$9:$C$508)+2,Constants!$B$6,COUNTA($C$9:$C$508)+1,Constants!$B$5,COUNTA($C$9:$C$508)),$DB158))</f>
        <v/>
      </c>
      <c r="DD158" s="7"/>
      <c r="DE158" s="107" t="n">
        <f aca="false">IF(OR(ISNUMBER($DB158),$DB158=Constants!$B$7,$DB158=Constants!$B$5,$DB158=Constants!$B$6),1,0)</f>
        <v>0</v>
      </c>
      <c r="DF158" s="107" t="n">
        <v>150</v>
      </c>
      <c r="DG158" s="107" t="str">
        <f aca="false">IF(ISBLANK($C158),"",IF(ISNUMBER($DC158),$DC158+ROW($B158)/1000,""))</f>
        <v/>
      </c>
      <c r="DH158" s="107" t="str">
        <f aca="false">IF(ISNUMBER($DG158),RANK($DG158,$DG$9:$DG$508,1),"")</f>
        <v/>
      </c>
      <c r="DI158" s="107" t="str">
        <f aca="false">IF(ISBLANK($C158),"",$B158)</f>
        <v/>
      </c>
      <c r="DJ158" s="107" t="str">
        <f aca="false">IF(ISBLANK($C158),"",$C158)</f>
        <v/>
      </c>
      <c r="DK158" s="107" t="str">
        <f aca="false">IF(ISBLANK($C158),"",$D158)</f>
        <v/>
      </c>
      <c r="DL158" s="108" t="str">
        <f aca="false">$CZ158</f>
        <v/>
      </c>
      <c r="DM158" s="109" t="str">
        <f aca="false">$CY158</f>
        <v/>
      </c>
      <c r="DN158" s="107" t="str">
        <f aca="false">IF(ISBLANK($C158),"",$DB158)</f>
        <v/>
      </c>
      <c r="DO158" s="110" t="str">
        <f aca="false">IF($DF158&gt;$DE$8,"",VLOOKUP($DF158,$DH$9:$DN$508,7,FALSE()))</f>
        <v/>
      </c>
      <c r="DP158" s="111" t="str">
        <f aca="false">IF($DF158&gt;$DE$8,"",VLOOKUP($DF158,$DH$9:$DN$508,2,FALSE()))</f>
        <v/>
      </c>
      <c r="DQ158" s="111" t="str">
        <f aca="false">IF($DF158&gt;$DE$8,"",VLOOKUP($DF158,$DH$9:$DN$508,3,FALSE()))</f>
        <v/>
      </c>
      <c r="DR158" s="111" t="str">
        <f aca="false">IF($DF158&gt;$DE$8,"",VLOOKUP($DF158,$DH$9:$DN$508,4,FALSE()))</f>
        <v/>
      </c>
      <c r="DS158" s="111" t="str">
        <f aca="false">IF($DF158&gt;$DE$8,"",VLOOKUP($DF158,$DH$9:$DN$508,5,FALSE()))</f>
        <v/>
      </c>
      <c r="DT158" s="112" t="str">
        <f aca="false">IF($DF158&gt;$DE$8,"",VLOOKUP($DF158,$DH$9:$DN$508,6,FALSE()))</f>
        <v/>
      </c>
      <c r="DU158" s="62"/>
    </row>
    <row r="159" customFormat="false" ht="15.75" hidden="false" customHeight="false" outlineLevel="0" collapsed="false">
      <c r="A159" s="7"/>
      <c r="B159" s="64"/>
      <c r="C159" s="65"/>
      <c r="D159" s="123"/>
      <c r="E159" s="88"/>
      <c r="F159" s="134"/>
      <c r="G159" s="88"/>
      <c r="H159" s="134"/>
      <c r="I159" s="119"/>
      <c r="J159" s="119"/>
      <c r="K159" s="119"/>
      <c r="L159" s="88"/>
      <c r="M159" s="88"/>
      <c r="N159" s="88"/>
      <c r="O159" s="134"/>
      <c r="P159" s="88"/>
      <c r="Q159" s="88"/>
      <c r="R159" s="88"/>
      <c r="S159" s="88"/>
      <c r="T159" s="134"/>
      <c r="U159" s="88"/>
      <c r="V159" s="70"/>
      <c r="W159" s="88"/>
      <c r="X159" s="88"/>
      <c r="Y159" s="70"/>
      <c r="Z159" s="70"/>
      <c r="AA159" s="88"/>
      <c r="AB159" s="88"/>
      <c r="AC159" s="71"/>
      <c r="AD159" s="88"/>
      <c r="AE159" s="73"/>
      <c r="AF159" s="74"/>
      <c r="AG159" s="74"/>
      <c r="AH159" s="74" t="str">
        <f aca="false">IF(ISBLANK($C159),"",IF($E159=Constants!$B$2,TRUE(),IF($E159=Constants!$B$3,FALSE(),TRUE())))</f>
        <v/>
      </c>
      <c r="AI159" s="74" t="str">
        <f aca="false">IF(ISBLANK($C159),"",IF($F159=Constants!$B$2,TRUE(),IF($F159=Constants!$B$3,FALSE(),FALSE())))</f>
        <v/>
      </c>
      <c r="AJ159" s="74" t="str">
        <f aca="false">IF(ISBLANK($C159),"",IF($G159=Constants!$B$2,TRUE(),IF($G159=Constants!$B$3,FALSE(),TRUE())))</f>
        <v/>
      </c>
      <c r="AK159" s="74" t="str">
        <f aca="false">IF(ISBLANK($C159),"",IF($H159=Constants!$B$2,TRUE(),IF($H159=Constants!$B$3,FALSE(),TRUE())))</f>
        <v/>
      </c>
      <c r="AL159" s="74" t="str">
        <f aca="false">IF(ISBLANK($C159),"",IF(ISNUMBER($I159),IF($I159&gt;=0,$I159,""),""))</f>
        <v/>
      </c>
      <c r="AM159" s="74" t="str">
        <f aca="false">IF(ISBLANK($C159),"",IF(ISNUMBER($J159),IF($J159&gt;=0,$J159,""),""))</f>
        <v/>
      </c>
      <c r="AN159" s="74" t="str">
        <f aca="false">IF(ISBLANK($C159),"",IF(ISNUMBER($K159),IF($K159&gt;=0,$K159,""),""))</f>
        <v/>
      </c>
      <c r="AO159" s="74" t="str">
        <f aca="false">IF(ISBLANK($C159),"",IF($L159=Constants!$B$2,TRUE(),IF($L159=Constants!$B$3,FALSE(),TRUE())))</f>
        <v/>
      </c>
      <c r="AP159" s="74" t="str">
        <f aca="false">IF(ISBLANK($C159),"",IF($M159=Constants!$B$2,TRUE(),IF($M159=Constants!$B$3,FALSE(),TRUE())))</f>
        <v/>
      </c>
      <c r="AQ159" s="74" t="str">
        <f aca="false">IF(ISBLANK($C159),"",IF($N159=Constants!$B$2,TRUE(),IF($N159=Constants!$B$3,FALSE(),FALSE())))</f>
        <v/>
      </c>
      <c r="AR159" s="74" t="str">
        <f aca="false">IF(ISBLANK($C159),"",IF($O159=Constants!$B$2,TRUE(),IF($O159=Constants!$B$3,FALSE(),TRUE())))</f>
        <v/>
      </c>
      <c r="AS159" s="74" t="str">
        <f aca="false">IF(ISBLANK($C159),"",IF($P159=Constants!$B$2,TRUE(),IF($P159=Constants!$B$3,FALSE(),FALSE())))</f>
        <v/>
      </c>
      <c r="AT159" s="74" t="str">
        <f aca="false">IF(ISBLANK($C159),"",IF($Q159=Constants!$B$2,TRUE(),IF($Q159=Constants!$B$3,FALSE(),FALSE())))</f>
        <v/>
      </c>
      <c r="AU159" s="74" t="str">
        <f aca="false">IF(ISBLANK($C159),"",IF($R159=Constants!$B$2,TRUE(),IF($R159=Constants!$B$3,FALSE(),FALSE())))</f>
        <v/>
      </c>
      <c r="AV159" s="74" t="str">
        <f aca="false">IF(ISBLANK($C159),"",IF($S159=Constants!$B$2,TRUE(),IF($S159=Constants!$B$3,FALSE(),FALSE())))</f>
        <v/>
      </c>
      <c r="AW159" s="74" t="str">
        <f aca="false">IF(ISBLANK($C159),"",IF($T159=Constants!$B$2,TRUE(),IF($T159=Constants!$B$3,FALSE(),FALSE())))</f>
        <v/>
      </c>
      <c r="AX159" s="74" t="str">
        <f aca="false">IF(ISBLANK($C159),"",IF(OR($U159&amp;""="1",$U159&amp;""="2",$U159&amp;""="3",$U159&amp;""="4"),VALUE($U159&amp;""),IF($U159=Constants!$B$12,Constants!$B$12,"")))</f>
        <v/>
      </c>
      <c r="AY159" s="74" t="str">
        <f aca="false">IF(ISBLANK($C159),"",IF(ISBLANK($V159),0,IF(ISNUMBER($V159),IF(AND($V159&gt;=0,$V159&lt;=Constants!$B$21,$V159=INT($V159)),$V159,""),"")))</f>
        <v/>
      </c>
      <c r="AZ159" s="74" t="str">
        <f aca="false">IF(ISBLANK($C159),"",IF(ISBLANK($W159),0,IF(ISNUMBER($W159),IF($W159&gt;=0,$W159,""),"")))</f>
        <v/>
      </c>
      <c r="BA159" s="74" t="str">
        <f aca="false">IF(ISBLANK($C159),"",IF($X159=Constants!$B$2,TRUE(),IF($X159=Constants!$B$3,FALSE(),TRUE())))</f>
        <v/>
      </c>
      <c r="BB159" s="74" t="str">
        <f aca="false">IF(ISBLANK($C159),"",IF($Y159=Constants!$B$2,TRUE(),IF($Y159=Constants!$B$3,FALSE(),FALSE())))</f>
        <v/>
      </c>
      <c r="BC159" s="74" t="str">
        <f aca="false">IF(ISBLANK($C159),"",IF(ISBLANK($Z159),0,IF(ISNUMBER($Z159),IF(AND($Z159&gt;=0,$Z159&lt;=Constants!$B$35,$Z159=INT($Z159)),$Z159,""),"")))</f>
        <v/>
      </c>
      <c r="BD159" s="74" t="str">
        <f aca="false">IF(ISBLANK($C159),"",IF($AA159=Constants!$B$2,TRUE(),IF($AA159=Constants!$B$3,FALSE(),TRUE())))</f>
        <v/>
      </c>
      <c r="BE159" s="74" t="str">
        <f aca="false">IF(ISBLANK($C159),"",IF($AB159=Constants!$B$2,TRUE(),IF($AB159=Constants!$B$3,FALSE(),TRUE())))</f>
        <v/>
      </c>
      <c r="BF159" s="74" t="str">
        <f aca="false">IF(ISBLANK($C159),"",IF(ISNUMBER($AC159),IF($AC159&gt;=0,$AC159,""),""))</f>
        <v/>
      </c>
      <c r="BG159" s="74" t="str">
        <f aca="false">IF(ISBLANK($C159),"",IF($AD159=Constants!$B$2,TRUE(),IF($AD159=Constants!$B$3,FALSE(),FALSE())))</f>
        <v/>
      </c>
      <c r="BH159" s="73" t="str">
        <f aca="false">IF(ISBLANK($C159),"",IF($BG159,Constants!$B$7,IF(COUNTA($E159:$AC159)=0,Constants!$B$6,IF(OR(COUNTA($G159:$AC159)=0,NOT($AK159),$AQ159),Constants!$B$5,IF(OR($CI159&lt;&gt;"",$CJ159,$CK159,$CL159,$CM159,$CN159,$CO159),Constants!$B$8,Constants!$B$4)))))</f>
        <v/>
      </c>
      <c r="BI159" s="74" t="str">
        <f aca="false">IF(ISBLANK($C159),"",IF($BH159&lt;&gt;Constants!$B$4,$BH159,IF(OR(NOT($AH159),NOT($AJ159),NOT($AR159)),Constants!$B$11,IF(OR(NOT($AP159),MAX($AL159,$AM159,$AN159)&gt;Constants!$B$30),Constants!$B$10,Constants!$B$9))))</f>
        <v/>
      </c>
      <c r="BJ159" s="74" t="str">
        <f aca="false">IF($BH159&lt;&gt;Constants!$B$4,"",IF(NOT($AJ159),0,MIN(Constants!$B$35,$BC159)))</f>
        <v/>
      </c>
      <c r="BK159" s="74" t="str">
        <f aca="false">IF($BH159&lt;&gt;Constants!$B$4,"",IF(NOT($AJ159),0,IF($AT159,Constants!$B$18,IF($AS159,Constants!$B$17,0))))</f>
        <v/>
      </c>
      <c r="BL159" s="74" t="str">
        <f aca="false">IF($BH159&lt;&gt;Constants!$B$4,"",IF(NOT($AJ159),0,Constants!$B$19*($AI159+$AU159+$AV159+$AW159)))</f>
        <v/>
      </c>
      <c r="BM159" s="74" t="str">
        <f aca="false">IF($BH159&lt;&gt;Constants!$B$4,"",IF(OR(NOT($AJ159),NOT(ISNUMBER($AX159))),0,CHOOSE($AX159,Constants!$B$13,Constants!$B$14,Constants!$B$15,Constants!$B$16)))</f>
        <v/>
      </c>
      <c r="BN159" s="74" t="str">
        <f aca="false">IF($BH159&lt;&gt;Constants!$B$4,"",IF(NOT($AJ159),0,Constants!$B$20*$AY159))</f>
        <v/>
      </c>
      <c r="BO159" s="74" t="str">
        <f aca="false">IF($BH159&lt;&gt;Constants!$B$4,"",IF(AND($AJ159,$BA159,$BB159),Constants!$B$22,0))</f>
        <v/>
      </c>
      <c r="BP159" s="74" t="str">
        <f aca="false">IF($BH159&lt;&gt;Constants!$B$4,"",IF(OR(NOT($AJ159),NOT($BA159)),0,IF($BF159&gt;=2*$AF$9,0,Constants!$B$23*INT(ROUND(MIN($BF159,$AF$9),6)))))</f>
        <v/>
      </c>
      <c r="BQ159" s="74" t="str">
        <f aca="false">IF($BH159&lt;&gt;Constants!$B$4,"",IF(NOT($AJ159),0,Constants!$B$24*INT(ROUND(MIN($AZ159,$AF$9),6))))</f>
        <v/>
      </c>
      <c r="BR159" s="74" t="str">
        <f aca="false">IF($BH159&lt;&gt;Constants!$B$4,"",IF(AND($AJ159,$BJ159=0),Constants!$B$25,0))</f>
        <v/>
      </c>
      <c r="BS159" s="74" t="str">
        <f aca="false">IF($BH159&lt;&gt;Constants!$B$4,"",MIN(Constants!$B$29,MAX(0,Constants!$B$27*Constants!$B$28*INT(ROUND((Constants!$B$26-$AL159)/Constants!$B$28,6))))+MIN(Constants!$B$29,MAX(0,Constants!$B$27*Constants!$B$28*INT(ROUND((Constants!$B$26-$AM159)/Constants!$B$28,6))))+MIN(Constants!$B$29,MAX(0,Constants!$B$27*Constants!$B$28*INT(ROUND((Constants!$B$26-$AN159)/Constants!$B$28,6)))))</f>
        <v/>
      </c>
      <c r="BT159" s="74" t="str">
        <f aca="false">IF($BH159&lt;&gt;Constants!$B$4,"",IF(NOT($AJ159),0,Constants!$B$31*INT(ROUND(MAX(0,MIN($BF159,2*$AF$9)-$AF$9),6))))</f>
        <v/>
      </c>
      <c r="BU159" s="74" t="str">
        <f aca="false">IF($BH159&lt;&gt;Constants!$B$4,"",Constants!$B$32*(($AL159&gt;Constants!$B$26)+($AM159&gt;Constants!$B$26)+($AN159&gt;Constants!$B$26)))</f>
        <v/>
      </c>
      <c r="BV159" s="74" t="str">
        <f aca="false">IF($BH159&lt;&gt;Constants!$B$4,"",IF(OR(NOT($AJ159),$AO159),0,Constants!$B$33))</f>
        <v/>
      </c>
      <c r="BW159" s="74" t="str">
        <f aca="false">IF($BH159&lt;&gt;Constants!$B$4,"",Constants!$B$34*$BJ159)</f>
        <v/>
      </c>
      <c r="BX159" s="74" t="str">
        <f aca="false">IF($BH159&lt;&gt;Constants!$B$4,"",IF(OR(NOT($AJ159),$BE159),0,Constants!$B$36))</f>
        <v/>
      </c>
      <c r="BY159" s="74" t="str">
        <f aca="false">IF($BH159&lt;&gt;Constants!$B$4,"",IF(OR(NOT($AJ159),$BD159),0,Constants!$B$37))</f>
        <v/>
      </c>
      <c r="BZ159" s="74" t="str">
        <f aca="false">IF($BH159&lt;&gt;Constants!$B$4,"",SUM($BT159:$BY159))</f>
        <v/>
      </c>
      <c r="CA159" s="74" t="str">
        <f aca="false">IF(ISBLANK($C159),"",IF($BH159&lt;&gt;Constants!$B$4,$BH159,SUM($BK159:$BS159)-$BZ159))</f>
        <v/>
      </c>
      <c r="CB159" s="74" t="str">
        <f aca="false">IF(ISBLANK($C159),"",IF($BH159&lt;&gt;Constants!$B$4,$BH159,RANK($CA159,$CA$9:$CA$508)))</f>
        <v/>
      </c>
      <c r="CC159" s="74" t="str">
        <f aca="false">IF(ISBLANK($C159),"",IF($BH159&lt;&gt;Constants!$B$4,$BH159,COUNTIFS($BI$9:$BI$508,"&lt;"&amp;$BI159)+COUNTIFS($BI$9:$BI$508,$BI159,$CB$9:$CB$508,"&lt;"&amp;$CB159)+1))</f>
        <v/>
      </c>
      <c r="CD159" s="74" t="str">
        <f aca="false">IF(ISBLANK($C159),"",IF($BH159&lt;&gt;Constants!$B$4,$BH159,RANK($BZ159,$BZ$9:$BZ$508,1)))</f>
        <v/>
      </c>
      <c r="CE159" s="74" t="str">
        <f aca="false">IF($BH159&lt;&gt;Constants!$B$4,"",$AL159+$AM159+$AN159)</f>
        <v/>
      </c>
      <c r="CF159" s="74" t="str">
        <f aca="false">IF(ISBLANK($C159),"",IF($BH159&lt;&gt;Constants!$B$4,$BH159,RANK($CE159,$CE$9:$CE$508,1)))</f>
        <v/>
      </c>
      <c r="CG159" s="74" t="str">
        <f aca="false">IF(ISBLANK($C159),"",IF($BH159&lt;&gt;Constants!$B$4,$BH159,COUNTIFS($BI$9:$BI$508,"&lt;"&amp;$BI159)+COUNTIFS($BI$9:$BI$508,$BI159,$CB$9:$CB$508,"&lt;"&amp;$CB159)+COUNTIFS($BI$9:$BI$508,$BI159,$CB$9:$CB$508,$CB159,$CD$9:$CD$508,"&lt;"&amp;$CD159)+COUNTIFS($BI$9:$BI$508,$BI159,$CB$9:$CB$508,$CB159,$CD$9:$CD$508,$CD159,$CF$9:$CF$508,"&lt;"&amp;$CF159)+1))</f>
        <v/>
      </c>
      <c r="CH159" s="74" t="str">
        <f aca="false">IF(ISBLANK($C159),"",IF($BH159&lt;&gt;Constants!$B$4,$BH159,$CC159-$CG159))</f>
        <v/>
      </c>
      <c r="CI159" s="74" t="str">
        <f aca="false">IF(ISBLANK($C159),"",IF(NOT($AJ159),"",IF(ISBLANK($D$7),$CI$5,IF(NOT(ISNUMBER($D$7)),$CI$6,""))))</f>
        <v/>
      </c>
      <c r="CJ159" s="74" t="str">
        <f aca="false">IF(ISBLANK($C159),"",OR($AL159="",$AM159="",$AN159=""))</f>
        <v/>
      </c>
      <c r="CK159" s="74" t="str">
        <f aca="false">IF(ISBLANK($C159),"",AND($AJ159,$AX159=""))</f>
        <v/>
      </c>
      <c r="CL159" s="74" t="str">
        <f aca="false">IF(ISBLANK($C159),"",AND($AJ159,$AY159=""))</f>
        <v/>
      </c>
      <c r="CM159" s="74" t="str">
        <f aca="false">IF(ISBLANK($C159),"",AND($AJ159,$AZ159=""))</f>
        <v/>
      </c>
      <c r="CN159" s="74" t="str">
        <f aca="false">IF(ISBLANK($C159),"",AND($AJ159,$BC159=""))</f>
        <v/>
      </c>
      <c r="CO159" s="74" t="str">
        <f aca="false">IF(ISBLANK($C159),"",AND($AJ159,$BF159=""))</f>
        <v/>
      </c>
      <c r="CP159" s="75"/>
      <c r="CQ159" s="76"/>
      <c r="CR159" s="79" t="str">
        <f aca="false">IF(ISBLANK($C159),"",IF($BH159=Constants!$B$8,$CI159,""))</f>
        <v/>
      </c>
      <c r="CS159" s="76" t="str">
        <f aca="false">IF(ISBLANK($C159),"",IF($BH159&lt;&gt;Constants!$B$4,"",$BK159+$BL159))</f>
        <v/>
      </c>
      <c r="CT159" s="78" t="str">
        <f aca="false">IF(ISBLANK($C159),"",IF($BH159&lt;&gt;Constants!$B$4,"",$BM159+$BN159+$BO159))</f>
        <v/>
      </c>
      <c r="CU159" s="78" t="str">
        <f aca="false">IF(ISBLANK($C159),"",IF($BH159&lt;&gt;Constants!$B$4,"",$BP159))</f>
        <v/>
      </c>
      <c r="CV159" s="78" t="str">
        <f aca="false">IF(ISBLANK($C159),"",IF($BH159&lt;&gt;Constants!$B$4,"",$BQ159+$BR159))</f>
        <v/>
      </c>
      <c r="CW159" s="78" t="str">
        <f aca="false">IF(ISBLANK($C159),"",IF($BH159&lt;&gt;Constants!$B$4,"",$BS159))</f>
        <v/>
      </c>
      <c r="CX159" s="78" t="str">
        <f aca="false">IF(ISBLANK($C159),"",IF($BH159&lt;&gt;Constants!$B$4,"",-$BZ159))</f>
        <v/>
      </c>
      <c r="CY159" s="79" t="str">
        <f aca="false">IF(ISBLANK($C159),"",$CA159)</f>
        <v/>
      </c>
      <c r="CZ159" s="80" t="str">
        <f aca="false">IF(ISBLANK($C159),"",$BI159)</f>
        <v/>
      </c>
      <c r="DA159" s="78" t="str">
        <f aca="false">IF(ISBLANK($C159),"",$CH159)</f>
        <v/>
      </c>
      <c r="DB159" s="78" t="str">
        <f aca="false">IF(ISBLANK($C159),"",$CG159)</f>
        <v/>
      </c>
      <c r="DC159" s="81" t="str">
        <f aca="false">IF(ISBLANK($C159),"",IFERROR(_xlfn.SWITCH($DB159,Constants!$B$7,COUNTA($C$9:$C$508)+2,Constants!$B$6,COUNTA($C$9:$C$508)+1,Constants!$B$5,COUNTA($C$9:$C$508)),$DB159))</f>
        <v/>
      </c>
      <c r="DD159" s="7"/>
      <c r="DE159" s="82" t="n">
        <f aca="false">IF(OR(ISNUMBER($DB159),$DB159=Constants!$B$7,$DB159=Constants!$B$5,$DB159=Constants!$B$6),1,0)</f>
        <v>0</v>
      </c>
      <c r="DF159" s="82" t="n">
        <v>151</v>
      </c>
      <c r="DG159" s="82" t="str">
        <f aca="false">IF(ISBLANK($C159),"",IF(ISNUMBER($DC159),$DC159+ROW($B159)/1000,""))</f>
        <v/>
      </c>
      <c r="DH159" s="82" t="str">
        <f aca="false">IF(ISNUMBER($DG159),RANK($DG159,$DG$9:$DG$508,1),"")</f>
        <v/>
      </c>
      <c r="DI159" s="82" t="str">
        <f aca="false">IF(ISBLANK($C159),"",$B159)</f>
        <v/>
      </c>
      <c r="DJ159" s="82" t="str">
        <f aca="false">IF(ISBLANK($C159),"",$C159)</f>
        <v/>
      </c>
      <c r="DK159" s="82" t="str">
        <f aca="false">IF(ISBLANK($C159),"",$D159)</f>
        <v/>
      </c>
      <c r="DL159" s="83" t="str">
        <f aca="false">$CZ159</f>
        <v/>
      </c>
      <c r="DM159" s="84" t="str">
        <f aca="false">$CY159</f>
        <v/>
      </c>
      <c r="DN159" s="82" t="str">
        <f aca="false">IF(ISBLANK($C159),"",$DB159)</f>
        <v/>
      </c>
      <c r="DO159" s="85" t="str">
        <f aca="false">IF($DF159&gt;$DE$8,"",VLOOKUP($DF159,$DH$9:$DN$508,7,FALSE()))</f>
        <v/>
      </c>
      <c r="DP159" s="86" t="str">
        <f aca="false">IF($DF159&gt;$DE$8,"",VLOOKUP($DF159,$DH$9:$DN$508,2,FALSE()))</f>
        <v/>
      </c>
      <c r="DQ159" s="86" t="str">
        <f aca="false">IF($DF159&gt;$DE$8,"",VLOOKUP($DF159,$DH$9:$DN$508,3,FALSE()))</f>
        <v/>
      </c>
      <c r="DR159" s="86" t="str">
        <f aca="false">IF($DF159&gt;$DE$8,"",VLOOKUP($DF159,$DH$9:$DN$508,4,FALSE()))</f>
        <v/>
      </c>
      <c r="DS159" s="86" t="str">
        <f aca="false">IF($DF159&gt;$DE$8,"",VLOOKUP($DF159,$DH$9:$DN$508,5,FALSE()))</f>
        <v/>
      </c>
      <c r="DT159" s="87" t="str">
        <f aca="false">IF($DF159&gt;$DE$8,"",VLOOKUP($DF159,$DH$9:$DN$508,6,FALSE()))</f>
        <v/>
      </c>
      <c r="DU159" s="62"/>
    </row>
    <row r="160" customFormat="false" ht="15.75" hidden="false" customHeight="false" outlineLevel="0" collapsed="false">
      <c r="A160" s="7"/>
      <c r="B160" s="64"/>
      <c r="C160" s="65"/>
      <c r="D160" s="123"/>
      <c r="E160" s="88"/>
      <c r="F160" s="134"/>
      <c r="G160" s="88"/>
      <c r="H160" s="134"/>
      <c r="I160" s="119"/>
      <c r="J160" s="119"/>
      <c r="K160" s="119"/>
      <c r="L160" s="88"/>
      <c r="M160" s="88"/>
      <c r="N160" s="88"/>
      <c r="O160" s="134"/>
      <c r="P160" s="88"/>
      <c r="Q160" s="88"/>
      <c r="R160" s="88"/>
      <c r="S160" s="88"/>
      <c r="T160" s="134"/>
      <c r="U160" s="88"/>
      <c r="V160" s="70"/>
      <c r="W160" s="88"/>
      <c r="X160" s="88"/>
      <c r="Y160" s="70"/>
      <c r="Z160" s="70"/>
      <c r="AA160" s="88"/>
      <c r="AB160" s="88"/>
      <c r="AC160" s="71"/>
      <c r="AD160" s="88"/>
      <c r="AE160" s="73"/>
      <c r="AF160" s="74"/>
      <c r="AG160" s="74"/>
      <c r="AH160" s="74" t="str">
        <f aca="false">IF(ISBLANK($C160),"",IF($E160=Constants!$B$2,TRUE(),IF($E160=Constants!$B$3,FALSE(),TRUE())))</f>
        <v/>
      </c>
      <c r="AI160" s="74" t="str">
        <f aca="false">IF(ISBLANK($C160),"",IF($F160=Constants!$B$2,TRUE(),IF($F160=Constants!$B$3,FALSE(),FALSE())))</f>
        <v/>
      </c>
      <c r="AJ160" s="74" t="str">
        <f aca="false">IF(ISBLANK($C160),"",IF($G160=Constants!$B$2,TRUE(),IF($G160=Constants!$B$3,FALSE(),TRUE())))</f>
        <v/>
      </c>
      <c r="AK160" s="74" t="str">
        <f aca="false">IF(ISBLANK($C160),"",IF($H160=Constants!$B$2,TRUE(),IF($H160=Constants!$B$3,FALSE(),TRUE())))</f>
        <v/>
      </c>
      <c r="AL160" s="74" t="str">
        <f aca="false">IF(ISBLANK($C160),"",IF(ISNUMBER($I160),IF($I160&gt;=0,$I160,""),""))</f>
        <v/>
      </c>
      <c r="AM160" s="74" t="str">
        <f aca="false">IF(ISBLANK($C160),"",IF(ISNUMBER($J160),IF($J160&gt;=0,$J160,""),""))</f>
        <v/>
      </c>
      <c r="AN160" s="74" t="str">
        <f aca="false">IF(ISBLANK($C160),"",IF(ISNUMBER($K160),IF($K160&gt;=0,$K160,""),""))</f>
        <v/>
      </c>
      <c r="AO160" s="74" t="str">
        <f aca="false">IF(ISBLANK($C160),"",IF($L160=Constants!$B$2,TRUE(),IF($L160=Constants!$B$3,FALSE(),TRUE())))</f>
        <v/>
      </c>
      <c r="AP160" s="74" t="str">
        <f aca="false">IF(ISBLANK($C160),"",IF($M160=Constants!$B$2,TRUE(),IF($M160=Constants!$B$3,FALSE(),TRUE())))</f>
        <v/>
      </c>
      <c r="AQ160" s="74" t="str">
        <f aca="false">IF(ISBLANK($C160),"",IF($N160=Constants!$B$2,TRUE(),IF($N160=Constants!$B$3,FALSE(),FALSE())))</f>
        <v/>
      </c>
      <c r="AR160" s="74" t="str">
        <f aca="false">IF(ISBLANK($C160),"",IF($O160=Constants!$B$2,TRUE(),IF($O160=Constants!$B$3,FALSE(),TRUE())))</f>
        <v/>
      </c>
      <c r="AS160" s="74" t="str">
        <f aca="false">IF(ISBLANK($C160),"",IF($P160=Constants!$B$2,TRUE(),IF($P160=Constants!$B$3,FALSE(),FALSE())))</f>
        <v/>
      </c>
      <c r="AT160" s="74" t="str">
        <f aca="false">IF(ISBLANK($C160),"",IF($Q160=Constants!$B$2,TRUE(),IF($Q160=Constants!$B$3,FALSE(),FALSE())))</f>
        <v/>
      </c>
      <c r="AU160" s="74" t="str">
        <f aca="false">IF(ISBLANK($C160),"",IF($R160=Constants!$B$2,TRUE(),IF($R160=Constants!$B$3,FALSE(),FALSE())))</f>
        <v/>
      </c>
      <c r="AV160" s="74" t="str">
        <f aca="false">IF(ISBLANK($C160),"",IF($S160=Constants!$B$2,TRUE(),IF($S160=Constants!$B$3,FALSE(),FALSE())))</f>
        <v/>
      </c>
      <c r="AW160" s="74" t="str">
        <f aca="false">IF(ISBLANK($C160),"",IF($T160=Constants!$B$2,TRUE(),IF($T160=Constants!$B$3,FALSE(),FALSE())))</f>
        <v/>
      </c>
      <c r="AX160" s="74" t="str">
        <f aca="false">IF(ISBLANK($C160),"",IF(OR($U160&amp;""="1",$U160&amp;""="2",$U160&amp;""="3",$U160&amp;""="4"),VALUE($U160&amp;""),IF($U160=Constants!$B$12,Constants!$B$12,"")))</f>
        <v/>
      </c>
      <c r="AY160" s="74" t="str">
        <f aca="false">IF(ISBLANK($C160),"",IF(ISBLANK($V160),0,IF(ISNUMBER($V160),IF(AND($V160&gt;=0,$V160&lt;=Constants!$B$21,$V160=INT($V160)),$V160,""),"")))</f>
        <v/>
      </c>
      <c r="AZ160" s="74" t="str">
        <f aca="false">IF(ISBLANK($C160),"",IF(ISBLANK($W160),0,IF(ISNUMBER($W160),IF($W160&gt;=0,$W160,""),"")))</f>
        <v/>
      </c>
      <c r="BA160" s="74" t="str">
        <f aca="false">IF(ISBLANK($C160),"",IF($X160=Constants!$B$2,TRUE(),IF($X160=Constants!$B$3,FALSE(),TRUE())))</f>
        <v/>
      </c>
      <c r="BB160" s="74" t="str">
        <f aca="false">IF(ISBLANK($C160),"",IF($Y160=Constants!$B$2,TRUE(),IF($Y160=Constants!$B$3,FALSE(),FALSE())))</f>
        <v/>
      </c>
      <c r="BC160" s="74" t="str">
        <f aca="false">IF(ISBLANK($C160),"",IF(ISBLANK($Z160),0,IF(ISNUMBER($Z160),IF(AND($Z160&gt;=0,$Z160&lt;=Constants!$B$35,$Z160=INT($Z160)),$Z160,""),"")))</f>
        <v/>
      </c>
      <c r="BD160" s="74" t="str">
        <f aca="false">IF(ISBLANK($C160),"",IF($AA160=Constants!$B$2,TRUE(),IF($AA160=Constants!$B$3,FALSE(),TRUE())))</f>
        <v/>
      </c>
      <c r="BE160" s="74" t="str">
        <f aca="false">IF(ISBLANK($C160),"",IF($AB160=Constants!$B$2,TRUE(),IF($AB160=Constants!$B$3,FALSE(),TRUE())))</f>
        <v/>
      </c>
      <c r="BF160" s="74" t="str">
        <f aca="false">IF(ISBLANK($C160),"",IF(ISNUMBER($AC160),IF($AC160&gt;=0,$AC160,""),""))</f>
        <v/>
      </c>
      <c r="BG160" s="74" t="str">
        <f aca="false">IF(ISBLANK($C160),"",IF($AD160=Constants!$B$2,TRUE(),IF($AD160=Constants!$B$3,FALSE(),FALSE())))</f>
        <v/>
      </c>
      <c r="BH160" s="73" t="str">
        <f aca="false">IF(ISBLANK($C160),"",IF($BG160,Constants!$B$7,IF(COUNTA($E160:$AC160)=0,Constants!$B$6,IF(OR(COUNTA($G160:$AC160)=0,NOT($AK160),$AQ160),Constants!$B$5,IF(OR($CI160&lt;&gt;"",$CJ160,$CK160,$CL160,$CM160,$CN160,$CO160),Constants!$B$8,Constants!$B$4)))))</f>
        <v/>
      </c>
      <c r="BI160" s="74" t="str">
        <f aca="false">IF(ISBLANK($C160),"",IF($BH160&lt;&gt;Constants!$B$4,$BH160,IF(OR(NOT($AH160),NOT($AJ160),NOT($AR160)),Constants!$B$11,IF(OR(NOT($AP160),MAX($AL160,$AM160,$AN160)&gt;Constants!$B$30),Constants!$B$10,Constants!$B$9))))</f>
        <v/>
      </c>
      <c r="BJ160" s="74" t="str">
        <f aca="false">IF($BH160&lt;&gt;Constants!$B$4,"",IF(NOT($AJ160),0,MIN(Constants!$B$35,$BC160)))</f>
        <v/>
      </c>
      <c r="BK160" s="74" t="str">
        <f aca="false">IF($BH160&lt;&gt;Constants!$B$4,"",IF(NOT($AJ160),0,IF($AT160,Constants!$B$18,IF($AS160,Constants!$B$17,0))))</f>
        <v/>
      </c>
      <c r="BL160" s="74" t="str">
        <f aca="false">IF($BH160&lt;&gt;Constants!$B$4,"",IF(NOT($AJ160),0,Constants!$B$19*($AI160+$AU160+$AV160+$AW160)))</f>
        <v/>
      </c>
      <c r="BM160" s="74" t="str">
        <f aca="false">IF($BH160&lt;&gt;Constants!$B$4,"",IF(OR(NOT($AJ160),NOT(ISNUMBER($AX160))),0,CHOOSE($AX160,Constants!$B$13,Constants!$B$14,Constants!$B$15,Constants!$B$16)))</f>
        <v/>
      </c>
      <c r="BN160" s="74" t="str">
        <f aca="false">IF($BH160&lt;&gt;Constants!$B$4,"",IF(NOT($AJ160),0,Constants!$B$20*$AY160))</f>
        <v/>
      </c>
      <c r="BO160" s="74" t="str">
        <f aca="false">IF($BH160&lt;&gt;Constants!$B$4,"",IF(AND($AJ160,$BA160,$BB160),Constants!$B$22,0))</f>
        <v/>
      </c>
      <c r="BP160" s="74" t="str">
        <f aca="false">IF($BH160&lt;&gt;Constants!$B$4,"",IF(OR(NOT($AJ160),NOT($BA160)),0,IF($BF160&gt;=2*$AF$9,0,Constants!$B$23*INT(ROUND(MIN($BF160,$AF$9),6)))))</f>
        <v/>
      </c>
      <c r="BQ160" s="74" t="str">
        <f aca="false">IF($BH160&lt;&gt;Constants!$B$4,"",IF(NOT($AJ160),0,Constants!$B$24*INT(ROUND(MIN($AZ160,$AF$9),6))))</f>
        <v/>
      </c>
      <c r="BR160" s="74" t="str">
        <f aca="false">IF($BH160&lt;&gt;Constants!$B$4,"",IF(AND($AJ160,$BJ160=0),Constants!$B$25,0))</f>
        <v/>
      </c>
      <c r="BS160" s="74" t="str">
        <f aca="false">IF($BH160&lt;&gt;Constants!$B$4,"",MIN(Constants!$B$29,MAX(0,Constants!$B$27*Constants!$B$28*INT(ROUND((Constants!$B$26-$AL160)/Constants!$B$28,6))))+MIN(Constants!$B$29,MAX(0,Constants!$B$27*Constants!$B$28*INT(ROUND((Constants!$B$26-$AM160)/Constants!$B$28,6))))+MIN(Constants!$B$29,MAX(0,Constants!$B$27*Constants!$B$28*INT(ROUND((Constants!$B$26-$AN160)/Constants!$B$28,6)))))</f>
        <v/>
      </c>
      <c r="BT160" s="74" t="str">
        <f aca="false">IF($BH160&lt;&gt;Constants!$B$4,"",IF(NOT($AJ160),0,Constants!$B$31*INT(ROUND(MAX(0,MIN($BF160,2*$AF$9)-$AF$9),6))))</f>
        <v/>
      </c>
      <c r="BU160" s="74" t="str">
        <f aca="false">IF($BH160&lt;&gt;Constants!$B$4,"",Constants!$B$32*(($AL160&gt;Constants!$B$26)+($AM160&gt;Constants!$B$26)+($AN160&gt;Constants!$B$26)))</f>
        <v/>
      </c>
      <c r="BV160" s="74" t="str">
        <f aca="false">IF($BH160&lt;&gt;Constants!$B$4,"",IF(OR(NOT($AJ160),$AO160),0,Constants!$B$33))</f>
        <v/>
      </c>
      <c r="BW160" s="74" t="str">
        <f aca="false">IF($BH160&lt;&gt;Constants!$B$4,"",Constants!$B$34*$BJ160)</f>
        <v/>
      </c>
      <c r="BX160" s="74" t="str">
        <f aca="false">IF($BH160&lt;&gt;Constants!$B$4,"",IF(OR(NOT($AJ160),$BE160),0,Constants!$B$36))</f>
        <v/>
      </c>
      <c r="BY160" s="74" t="str">
        <f aca="false">IF($BH160&lt;&gt;Constants!$B$4,"",IF(OR(NOT($AJ160),$BD160),0,Constants!$B$37))</f>
        <v/>
      </c>
      <c r="BZ160" s="74" t="str">
        <f aca="false">IF($BH160&lt;&gt;Constants!$B$4,"",SUM($BT160:$BY160))</f>
        <v/>
      </c>
      <c r="CA160" s="74" t="str">
        <f aca="false">IF(ISBLANK($C160),"",IF($BH160&lt;&gt;Constants!$B$4,$BH160,SUM($BK160:$BS160)-$BZ160))</f>
        <v/>
      </c>
      <c r="CB160" s="74" t="str">
        <f aca="false">IF(ISBLANK($C160),"",IF($BH160&lt;&gt;Constants!$B$4,$BH160,RANK($CA160,$CA$9:$CA$508)))</f>
        <v/>
      </c>
      <c r="CC160" s="74" t="str">
        <f aca="false">IF(ISBLANK($C160),"",IF($BH160&lt;&gt;Constants!$B$4,$BH160,COUNTIFS($BI$9:$BI$508,"&lt;"&amp;$BI160)+COUNTIFS($BI$9:$BI$508,$BI160,$CB$9:$CB$508,"&lt;"&amp;$CB160)+1))</f>
        <v/>
      </c>
      <c r="CD160" s="74" t="str">
        <f aca="false">IF(ISBLANK($C160),"",IF($BH160&lt;&gt;Constants!$B$4,$BH160,RANK($BZ160,$BZ$9:$BZ$508,1)))</f>
        <v/>
      </c>
      <c r="CE160" s="74" t="str">
        <f aca="false">IF($BH160&lt;&gt;Constants!$B$4,"",$AL160+$AM160+$AN160)</f>
        <v/>
      </c>
      <c r="CF160" s="74" t="str">
        <f aca="false">IF(ISBLANK($C160),"",IF($BH160&lt;&gt;Constants!$B$4,$BH160,RANK($CE160,$CE$9:$CE$508,1)))</f>
        <v/>
      </c>
      <c r="CG160" s="74" t="str">
        <f aca="false">IF(ISBLANK($C160),"",IF($BH160&lt;&gt;Constants!$B$4,$BH160,COUNTIFS($BI$9:$BI$508,"&lt;"&amp;$BI160)+COUNTIFS($BI$9:$BI$508,$BI160,$CB$9:$CB$508,"&lt;"&amp;$CB160)+COUNTIFS($BI$9:$BI$508,$BI160,$CB$9:$CB$508,$CB160,$CD$9:$CD$508,"&lt;"&amp;$CD160)+COUNTIFS($BI$9:$BI$508,$BI160,$CB$9:$CB$508,$CB160,$CD$9:$CD$508,$CD160,$CF$9:$CF$508,"&lt;"&amp;$CF160)+1))</f>
        <v/>
      </c>
      <c r="CH160" s="74" t="str">
        <f aca="false">IF(ISBLANK($C160),"",IF($BH160&lt;&gt;Constants!$B$4,$BH160,$CC160-$CG160))</f>
        <v/>
      </c>
      <c r="CI160" s="74" t="str">
        <f aca="false">IF(ISBLANK($C160),"",IF(NOT($AJ160),"",IF(ISBLANK($D$7),$CI$5,IF(NOT(ISNUMBER($D$7)),$CI$6,""))))</f>
        <v/>
      </c>
      <c r="CJ160" s="74" t="str">
        <f aca="false">IF(ISBLANK($C160),"",OR($AL160="",$AM160="",$AN160=""))</f>
        <v/>
      </c>
      <c r="CK160" s="74" t="str">
        <f aca="false">IF(ISBLANK($C160),"",AND($AJ160,$AX160=""))</f>
        <v/>
      </c>
      <c r="CL160" s="74" t="str">
        <f aca="false">IF(ISBLANK($C160),"",AND($AJ160,$AY160=""))</f>
        <v/>
      </c>
      <c r="CM160" s="74" t="str">
        <f aca="false">IF(ISBLANK($C160),"",AND($AJ160,$AZ160=""))</f>
        <v/>
      </c>
      <c r="CN160" s="74" t="str">
        <f aca="false">IF(ISBLANK($C160),"",AND($AJ160,$BC160=""))</f>
        <v/>
      </c>
      <c r="CO160" s="74" t="str">
        <f aca="false">IF(ISBLANK($C160),"",AND($AJ160,$BF160=""))</f>
        <v/>
      </c>
      <c r="CP160" s="75"/>
      <c r="CQ160" s="76"/>
      <c r="CR160" s="79" t="str">
        <f aca="false">IF(ISBLANK($C160),"",IF($BH160=Constants!$B$8,$CI160,""))</f>
        <v/>
      </c>
      <c r="CS160" s="76" t="str">
        <f aca="false">IF(ISBLANK($C160),"",IF($BH160&lt;&gt;Constants!$B$4,"",$BK160+$BL160))</f>
        <v/>
      </c>
      <c r="CT160" s="78" t="str">
        <f aca="false">IF(ISBLANK($C160),"",IF($BH160&lt;&gt;Constants!$B$4,"",$BM160+$BN160+$BO160))</f>
        <v/>
      </c>
      <c r="CU160" s="78" t="str">
        <f aca="false">IF(ISBLANK($C160),"",IF($BH160&lt;&gt;Constants!$B$4,"",$BP160))</f>
        <v/>
      </c>
      <c r="CV160" s="78" t="str">
        <f aca="false">IF(ISBLANK($C160),"",IF($BH160&lt;&gt;Constants!$B$4,"",$BQ160+$BR160))</f>
        <v/>
      </c>
      <c r="CW160" s="78" t="str">
        <f aca="false">IF(ISBLANK($C160),"",IF($BH160&lt;&gt;Constants!$B$4,"",$BS160))</f>
        <v/>
      </c>
      <c r="CX160" s="78" t="str">
        <f aca="false">IF(ISBLANK($C160),"",IF($BH160&lt;&gt;Constants!$B$4,"",-$BZ160))</f>
        <v/>
      </c>
      <c r="CY160" s="79" t="str">
        <f aca="false">IF(ISBLANK($C160),"",$CA160)</f>
        <v/>
      </c>
      <c r="CZ160" s="80" t="str">
        <f aca="false">IF(ISBLANK($C160),"",$BI160)</f>
        <v/>
      </c>
      <c r="DA160" s="78" t="str">
        <f aca="false">IF(ISBLANK($C160),"",$CH160)</f>
        <v/>
      </c>
      <c r="DB160" s="78" t="str">
        <f aca="false">IF(ISBLANK($C160),"",$CG160)</f>
        <v/>
      </c>
      <c r="DC160" s="81" t="str">
        <f aca="false">IF(ISBLANK($C160),"",IFERROR(_xlfn.SWITCH($DB160,Constants!$B$7,COUNTA($C$9:$C$508)+2,Constants!$B$6,COUNTA($C$9:$C$508)+1,Constants!$B$5,COUNTA($C$9:$C$508)),$DB160))</f>
        <v/>
      </c>
      <c r="DD160" s="7"/>
      <c r="DE160" s="82" t="n">
        <f aca="false">IF(OR(ISNUMBER($DB160),$DB160=Constants!$B$7,$DB160=Constants!$B$5,$DB160=Constants!$B$6),1,0)</f>
        <v>0</v>
      </c>
      <c r="DF160" s="82" t="n">
        <v>152</v>
      </c>
      <c r="DG160" s="82" t="str">
        <f aca="false">IF(ISBLANK($C160),"",IF(ISNUMBER($DC160),$DC160+ROW($B160)/1000,""))</f>
        <v/>
      </c>
      <c r="DH160" s="82" t="str">
        <f aca="false">IF(ISNUMBER($DG160),RANK($DG160,$DG$9:$DG$508,1),"")</f>
        <v/>
      </c>
      <c r="DI160" s="82" t="str">
        <f aca="false">IF(ISBLANK($C160),"",$B160)</f>
        <v/>
      </c>
      <c r="DJ160" s="82" t="str">
        <f aca="false">IF(ISBLANK($C160),"",$C160)</f>
        <v/>
      </c>
      <c r="DK160" s="82" t="str">
        <f aca="false">IF(ISBLANK($C160),"",$D160)</f>
        <v/>
      </c>
      <c r="DL160" s="83" t="str">
        <f aca="false">$CZ160</f>
        <v/>
      </c>
      <c r="DM160" s="84" t="str">
        <f aca="false">$CY160</f>
        <v/>
      </c>
      <c r="DN160" s="82" t="str">
        <f aca="false">IF(ISBLANK($C160),"",$DB160)</f>
        <v/>
      </c>
      <c r="DO160" s="85" t="str">
        <f aca="false">IF($DF160&gt;$DE$8,"",VLOOKUP($DF160,$DH$9:$DN$508,7,FALSE()))</f>
        <v/>
      </c>
      <c r="DP160" s="86" t="str">
        <f aca="false">IF($DF160&gt;$DE$8,"",VLOOKUP($DF160,$DH$9:$DN$508,2,FALSE()))</f>
        <v/>
      </c>
      <c r="DQ160" s="86" t="str">
        <f aca="false">IF($DF160&gt;$DE$8,"",VLOOKUP($DF160,$DH$9:$DN$508,3,FALSE()))</f>
        <v/>
      </c>
      <c r="DR160" s="86" t="str">
        <f aca="false">IF($DF160&gt;$DE$8,"",VLOOKUP($DF160,$DH$9:$DN$508,4,FALSE()))</f>
        <v/>
      </c>
      <c r="DS160" s="86" t="str">
        <f aca="false">IF($DF160&gt;$DE$8,"",VLOOKUP($DF160,$DH$9:$DN$508,5,FALSE()))</f>
        <v/>
      </c>
      <c r="DT160" s="87" t="str">
        <f aca="false">IF($DF160&gt;$DE$8,"",VLOOKUP($DF160,$DH$9:$DN$508,6,FALSE()))</f>
        <v/>
      </c>
      <c r="DU160" s="62"/>
    </row>
    <row r="161" customFormat="false" ht="15.75" hidden="false" customHeight="false" outlineLevel="0" collapsed="false">
      <c r="A161" s="7"/>
      <c r="B161" s="64"/>
      <c r="C161" s="65"/>
      <c r="D161" s="123"/>
      <c r="E161" s="88"/>
      <c r="F161" s="134"/>
      <c r="G161" s="88"/>
      <c r="H161" s="134"/>
      <c r="I161" s="119"/>
      <c r="J161" s="119"/>
      <c r="K161" s="119"/>
      <c r="L161" s="88"/>
      <c r="M161" s="88"/>
      <c r="N161" s="88"/>
      <c r="O161" s="134"/>
      <c r="P161" s="88"/>
      <c r="Q161" s="88"/>
      <c r="R161" s="88"/>
      <c r="S161" s="88"/>
      <c r="T161" s="134"/>
      <c r="U161" s="88"/>
      <c r="V161" s="70"/>
      <c r="W161" s="88"/>
      <c r="X161" s="88"/>
      <c r="Y161" s="70"/>
      <c r="Z161" s="70"/>
      <c r="AA161" s="88"/>
      <c r="AB161" s="88"/>
      <c r="AC161" s="71"/>
      <c r="AD161" s="88"/>
      <c r="AE161" s="73"/>
      <c r="AF161" s="74"/>
      <c r="AG161" s="74"/>
      <c r="AH161" s="74" t="str">
        <f aca="false">IF(ISBLANK($C161),"",IF($E161=Constants!$B$2,TRUE(),IF($E161=Constants!$B$3,FALSE(),TRUE())))</f>
        <v/>
      </c>
      <c r="AI161" s="74" t="str">
        <f aca="false">IF(ISBLANK($C161),"",IF($F161=Constants!$B$2,TRUE(),IF($F161=Constants!$B$3,FALSE(),FALSE())))</f>
        <v/>
      </c>
      <c r="AJ161" s="74" t="str">
        <f aca="false">IF(ISBLANK($C161),"",IF($G161=Constants!$B$2,TRUE(),IF($G161=Constants!$B$3,FALSE(),TRUE())))</f>
        <v/>
      </c>
      <c r="AK161" s="74" t="str">
        <f aca="false">IF(ISBLANK($C161),"",IF($H161=Constants!$B$2,TRUE(),IF($H161=Constants!$B$3,FALSE(),TRUE())))</f>
        <v/>
      </c>
      <c r="AL161" s="74" t="str">
        <f aca="false">IF(ISBLANK($C161),"",IF(ISNUMBER($I161),IF($I161&gt;=0,$I161,""),""))</f>
        <v/>
      </c>
      <c r="AM161" s="74" t="str">
        <f aca="false">IF(ISBLANK($C161),"",IF(ISNUMBER($J161),IF($J161&gt;=0,$J161,""),""))</f>
        <v/>
      </c>
      <c r="AN161" s="74" t="str">
        <f aca="false">IF(ISBLANK($C161),"",IF(ISNUMBER($K161),IF($K161&gt;=0,$K161,""),""))</f>
        <v/>
      </c>
      <c r="AO161" s="74" t="str">
        <f aca="false">IF(ISBLANK($C161),"",IF($L161=Constants!$B$2,TRUE(),IF($L161=Constants!$B$3,FALSE(),TRUE())))</f>
        <v/>
      </c>
      <c r="AP161" s="74" t="str">
        <f aca="false">IF(ISBLANK($C161),"",IF($M161=Constants!$B$2,TRUE(),IF($M161=Constants!$B$3,FALSE(),TRUE())))</f>
        <v/>
      </c>
      <c r="AQ161" s="74" t="str">
        <f aca="false">IF(ISBLANK($C161),"",IF($N161=Constants!$B$2,TRUE(),IF($N161=Constants!$B$3,FALSE(),FALSE())))</f>
        <v/>
      </c>
      <c r="AR161" s="74" t="str">
        <f aca="false">IF(ISBLANK($C161),"",IF($O161=Constants!$B$2,TRUE(),IF($O161=Constants!$B$3,FALSE(),TRUE())))</f>
        <v/>
      </c>
      <c r="AS161" s="74" t="str">
        <f aca="false">IF(ISBLANK($C161),"",IF($P161=Constants!$B$2,TRUE(),IF($P161=Constants!$B$3,FALSE(),FALSE())))</f>
        <v/>
      </c>
      <c r="AT161" s="74" t="str">
        <f aca="false">IF(ISBLANK($C161),"",IF($Q161=Constants!$B$2,TRUE(),IF($Q161=Constants!$B$3,FALSE(),FALSE())))</f>
        <v/>
      </c>
      <c r="AU161" s="74" t="str">
        <f aca="false">IF(ISBLANK($C161),"",IF($R161=Constants!$B$2,TRUE(),IF($R161=Constants!$B$3,FALSE(),FALSE())))</f>
        <v/>
      </c>
      <c r="AV161" s="74" t="str">
        <f aca="false">IF(ISBLANK($C161),"",IF($S161=Constants!$B$2,TRUE(),IF($S161=Constants!$B$3,FALSE(),FALSE())))</f>
        <v/>
      </c>
      <c r="AW161" s="74" t="str">
        <f aca="false">IF(ISBLANK($C161),"",IF($T161=Constants!$B$2,TRUE(),IF($T161=Constants!$B$3,FALSE(),FALSE())))</f>
        <v/>
      </c>
      <c r="AX161" s="74" t="str">
        <f aca="false">IF(ISBLANK($C161),"",IF(OR($U161&amp;""="1",$U161&amp;""="2",$U161&amp;""="3",$U161&amp;""="4"),VALUE($U161&amp;""),IF($U161=Constants!$B$12,Constants!$B$12,"")))</f>
        <v/>
      </c>
      <c r="AY161" s="74" t="str">
        <f aca="false">IF(ISBLANK($C161),"",IF(ISBLANK($V161),0,IF(ISNUMBER($V161),IF(AND($V161&gt;=0,$V161&lt;=Constants!$B$21,$V161=INT($V161)),$V161,""),"")))</f>
        <v/>
      </c>
      <c r="AZ161" s="74" t="str">
        <f aca="false">IF(ISBLANK($C161),"",IF(ISBLANK($W161),0,IF(ISNUMBER($W161),IF($W161&gt;=0,$W161,""),"")))</f>
        <v/>
      </c>
      <c r="BA161" s="74" t="str">
        <f aca="false">IF(ISBLANK($C161),"",IF($X161=Constants!$B$2,TRUE(),IF($X161=Constants!$B$3,FALSE(),TRUE())))</f>
        <v/>
      </c>
      <c r="BB161" s="74" t="str">
        <f aca="false">IF(ISBLANK($C161),"",IF($Y161=Constants!$B$2,TRUE(),IF($Y161=Constants!$B$3,FALSE(),FALSE())))</f>
        <v/>
      </c>
      <c r="BC161" s="74" t="str">
        <f aca="false">IF(ISBLANK($C161),"",IF(ISBLANK($Z161),0,IF(ISNUMBER($Z161),IF(AND($Z161&gt;=0,$Z161&lt;=Constants!$B$35,$Z161=INT($Z161)),$Z161,""),"")))</f>
        <v/>
      </c>
      <c r="BD161" s="74" t="str">
        <f aca="false">IF(ISBLANK($C161),"",IF($AA161=Constants!$B$2,TRUE(),IF($AA161=Constants!$B$3,FALSE(),TRUE())))</f>
        <v/>
      </c>
      <c r="BE161" s="74" t="str">
        <f aca="false">IF(ISBLANK($C161),"",IF($AB161=Constants!$B$2,TRUE(),IF($AB161=Constants!$B$3,FALSE(),TRUE())))</f>
        <v/>
      </c>
      <c r="BF161" s="74" t="str">
        <f aca="false">IF(ISBLANK($C161),"",IF(ISNUMBER($AC161),IF($AC161&gt;=0,$AC161,""),""))</f>
        <v/>
      </c>
      <c r="BG161" s="74" t="str">
        <f aca="false">IF(ISBLANK($C161),"",IF($AD161=Constants!$B$2,TRUE(),IF($AD161=Constants!$B$3,FALSE(),FALSE())))</f>
        <v/>
      </c>
      <c r="BH161" s="73" t="str">
        <f aca="false">IF(ISBLANK($C161),"",IF($BG161,Constants!$B$7,IF(COUNTA($E161:$AC161)=0,Constants!$B$6,IF(OR(COUNTA($G161:$AC161)=0,NOT($AK161),$AQ161),Constants!$B$5,IF(OR($CI161&lt;&gt;"",$CJ161,$CK161,$CL161,$CM161,$CN161,$CO161),Constants!$B$8,Constants!$B$4)))))</f>
        <v/>
      </c>
      <c r="BI161" s="74" t="str">
        <f aca="false">IF(ISBLANK($C161),"",IF($BH161&lt;&gt;Constants!$B$4,$BH161,IF(OR(NOT($AH161),NOT($AJ161),NOT($AR161)),Constants!$B$11,IF(OR(NOT($AP161),MAX($AL161,$AM161,$AN161)&gt;Constants!$B$30),Constants!$B$10,Constants!$B$9))))</f>
        <v/>
      </c>
      <c r="BJ161" s="74" t="str">
        <f aca="false">IF($BH161&lt;&gt;Constants!$B$4,"",IF(NOT($AJ161),0,MIN(Constants!$B$35,$BC161)))</f>
        <v/>
      </c>
      <c r="BK161" s="74" t="str">
        <f aca="false">IF($BH161&lt;&gt;Constants!$B$4,"",IF(NOT($AJ161),0,IF($AT161,Constants!$B$18,IF($AS161,Constants!$B$17,0))))</f>
        <v/>
      </c>
      <c r="BL161" s="74" t="str">
        <f aca="false">IF($BH161&lt;&gt;Constants!$B$4,"",IF(NOT($AJ161),0,Constants!$B$19*($AI161+$AU161+$AV161+$AW161)))</f>
        <v/>
      </c>
      <c r="BM161" s="74" t="str">
        <f aca="false">IF($BH161&lt;&gt;Constants!$B$4,"",IF(OR(NOT($AJ161),NOT(ISNUMBER($AX161))),0,CHOOSE($AX161,Constants!$B$13,Constants!$B$14,Constants!$B$15,Constants!$B$16)))</f>
        <v/>
      </c>
      <c r="BN161" s="74" t="str">
        <f aca="false">IF($BH161&lt;&gt;Constants!$B$4,"",IF(NOT($AJ161),0,Constants!$B$20*$AY161))</f>
        <v/>
      </c>
      <c r="BO161" s="74" t="str">
        <f aca="false">IF($BH161&lt;&gt;Constants!$B$4,"",IF(AND($AJ161,$BA161,$BB161),Constants!$B$22,0))</f>
        <v/>
      </c>
      <c r="BP161" s="74" t="str">
        <f aca="false">IF($BH161&lt;&gt;Constants!$B$4,"",IF(OR(NOT($AJ161),NOT($BA161)),0,IF($BF161&gt;=2*$AF$9,0,Constants!$B$23*INT(ROUND(MIN($BF161,$AF$9),6)))))</f>
        <v/>
      </c>
      <c r="BQ161" s="74" t="str">
        <f aca="false">IF($BH161&lt;&gt;Constants!$B$4,"",IF(NOT($AJ161),0,Constants!$B$24*INT(ROUND(MIN($AZ161,$AF$9),6))))</f>
        <v/>
      </c>
      <c r="BR161" s="74" t="str">
        <f aca="false">IF($BH161&lt;&gt;Constants!$B$4,"",IF(AND($AJ161,$BJ161=0),Constants!$B$25,0))</f>
        <v/>
      </c>
      <c r="BS161" s="74" t="str">
        <f aca="false">IF($BH161&lt;&gt;Constants!$B$4,"",MIN(Constants!$B$29,MAX(0,Constants!$B$27*Constants!$B$28*INT(ROUND((Constants!$B$26-$AL161)/Constants!$B$28,6))))+MIN(Constants!$B$29,MAX(0,Constants!$B$27*Constants!$B$28*INT(ROUND((Constants!$B$26-$AM161)/Constants!$B$28,6))))+MIN(Constants!$B$29,MAX(0,Constants!$B$27*Constants!$B$28*INT(ROUND((Constants!$B$26-$AN161)/Constants!$B$28,6)))))</f>
        <v/>
      </c>
      <c r="BT161" s="74" t="str">
        <f aca="false">IF($BH161&lt;&gt;Constants!$B$4,"",IF(NOT($AJ161),0,Constants!$B$31*INT(ROUND(MAX(0,MIN($BF161,2*$AF$9)-$AF$9),6))))</f>
        <v/>
      </c>
      <c r="BU161" s="74" t="str">
        <f aca="false">IF($BH161&lt;&gt;Constants!$B$4,"",Constants!$B$32*(($AL161&gt;Constants!$B$26)+($AM161&gt;Constants!$B$26)+($AN161&gt;Constants!$B$26)))</f>
        <v/>
      </c>
      <c r="BV161" s="74" t="str">
        <f aca="false">IF($BH161&lt;&gt;Constants!$B$4,"",IF(OR(NOT($AJ161),$AO161),0,Constants!$B$33))</f>
        <v/>
      </c>
      <c r="BW161" s="74" t="str">
        <f aca="false">IF($BH161&lt;&gt;Constants!$B$4,"",Constants!$B$34*$BJ161)</f>
        <v/>
      </c>
      <c r="BX161" s="74" t="str">
        <f aca="false">IF($BH161&lt;&gt;Constants!$B$4,"",IF(OR(NOT($AJ161),$BE161),0,Constants!$B$36))</f>
        <v/>
      </c>
      <c r="BY161" s="74" t="str">
        <f aca="false">IF($BH161&lt;&gt;Constants!$B$4,"",IF(OR(NOT($AJ161),$BD161),0,Constants!$B$37))</f>
        <v/>
      </c>
      <c r="BZ161" s="74" t="str">
        <f aca="false">IF($BH161&lt;&gt;Constants!$B$4,"",SUM($BT161:$BY161))</f>
        <v/>
      </c>
      <c r="CA161" s="74" t="str">
        <f aca="false">IF(ISBLANK($C161),"",IF($BH161&lt;&gt;Constants!$B$4,$BH161,SUM($BK161:$BS161)-$BZ161))</f>
        <v/>
      </c>
      <c r="CB161" s="74" t="str">
        <f aca="false">IF(ISBLANK($C161),"",IF($BH161&lt;&gt;Constants!$B$4,$BH161,RANK($CA161,$CA$9:$CA$508)))</f>
        <v/>
      </c>
      <c r="CC161" s="74" t="str">
        <f aca="false">IF(ISBLANK($C161),"",IF($BH161&lt;&gt;Constants!$B$4,$BH161,COUNTIFS($BI$9:$BI$508,"&lt;"&amp;$BI161)+COUNTIFS($BI$9:$BI$508,$BI161,$CB$9:$CB$508,"&lt;"&amp;$CB161)+1))</f>
        <v/>
      </c>
      <c r="CD161" s="74" t="str">
        <f aca="false">IF(ISBLANK($C161),"",IF($BH161&lt;&gt;Constants!$B$4,$BH161,RANK($BZ161,$BZ$9:$BZ$508,1)))</f>
        <v/>
      </c>
      <c r="CE161" s="74" t="str">
        <f aca="false">IF($BH161&lt;&gt;Constants!$B$4,"",$AL161+$AM161+$AN161)</f>
        <v/>
      </c>
      <c r="CF161" s="74" t="str">
        <f aca="false">IF(ISBLANK($C161),"",IF($BH161&lt;&gt;Constants!$B$4,$BH161,RANK($CE161,$CE$9:$CE$508,1)))</f>
        <v/>
      </c>
      <c r="CG161" s="74" t="str">
        <f aca="false">IF(ISBLANK($C161),"",IF($BH161&lt;&gt;Constants!$B$4,$BH161,COUNTIFS($BI$9:$BI$508,"&lt;"&amp;$BI161)+COUNTIFS($BI$9:$BI$508,$BI161,$CB$9:$CB$508,"&lt;"&amp;$CB161)+COUNTIFS($BI$9:$BI$508,$BI161,$CB$9:$CB$508,$CB161,$CD$9:$CD$508,"&lt;"&amp;$CD161)+COUNTIFS($BI$9:$BI$508,$BI161,$CB$9:$CB$508,$CB161,$CD$9:$CD$508,$CD161,$CF$9:$CF$508,"&lt;"&amp;$CF161)+1))</f>
        <v/>
      </c>
      <c r="CH161" s="74" t="str">
        <f aca="false">IF(ISBLANK($C161),"",IF($BH161&lt;&gt;Constants!$B$4,$BH161,$CC161-$CG161))</f>
        <v/>
      </c>
      <c r="CI161" s="74" t="str">
        <f aca="false">IF(ISBLANK($C161),"",IF(NOT($AJ161),"",IF(ISBLANK($D$7),$CI$5,IF(NOT(ISNUMBER($D$7)),$CI$6,""))))</f>
        <v/>
      </c>
      <c r="CJ161" s="74" t="str">
        <f aca="false">IF(ISBLANK($C161),"",OR($AL161="",$AM161="",$AN161=""))</f>
        <v/>
      </c>
      <c r="CK161" s="74" t="str">
        <f aca="false">IF(ISBLANK($C161),"",AND($AJ161,$AX161=""))</f>
        <v/>
      </c>
      <c r="CL161" s="74" t="str">
        <f aca="false">IF(ISBLANK($C161),"",AND($AJ161,$AY161=""))</f>
        <v/>
      </c>
      <c r="CM161" s="74" t="str">
        <f aca="false">IF(ISBLANK($C161),"",AND($AJ161,$AZ161=""))</f>
        <v/>
      </c>
      <c r="CN161" s="74" t="str">
        <f aca="false">IF(ISBLANK($C161),"",AND($AJ161,$BC161=""))</f>
        <v/>
      </c>
      <c r="CO161" s="74" t="str">
        <f aca="false">IF(ISBLANK($C161),"",AND($AJ161,$BF161=""))</f>
        <v/>
      </c>
      <c r="CP161" s="75"/>
      <c r="CQ161" s="76"/>
      <c r="CR161" s="79" t="str">
        <f aca="false">IF(ISBLANK($C161),"",IF($BH161=Constants!$B$8,$CI161,""))</f>
        <v/>
      </c>
      <c r="CS161" s="76" t="str">
        <f aca="false">IF(ISBLANK($C161),"",IF($BH161&lt;&gt;Constants!$B$4,"",$BK161+$BL161))</f>
        <v/>
      </c>
      <c r="CT161" s="78" t="str">
        <f aca="false">IF(ISBLANK($C161),"",IF($BH161&lt;&gt;Constants!$B$4,"",$BM161+$BN161+$BO161))</f>
        <v/>
      </c>
      <c r="CU161" s="78" t="str">
        <f aca="false">IF(ISBLANK($C161),"",IF($BH161&lt;&gt;Constants!$B$4,"",$BP161))</f>
        <v/>
      </c>
      <c r="CV161" s="78" t="str">
        <f aca="false">IF(ISBLANK($C161),"",IF($BH161&lt;&gt;Constants!$B$4,"",$BQ161+$BR161))</f>
        <v/>
      </c>
      <c r="CW161" s="78" t="str">
        <f aca="false">IF(ISBLANK($C161),"",IF($BH161&lt;&gt;Constants!$B$4,"",$BS161))</f>
        <v/>
      </c>
      <c r="CX161" s="78" t="str">
        <f aca="false">IF(ISBLANK($C161),"",IF($BH161&lt;&gt;Constants!$B$4,"",-$BZ161))</f>
        <v/>
      </c>
      <c r="CY161" s="79" t="str">
        <f aca="false">IF(ISBLANK($C161),"",$CA161)</f>
        <v/>
      </c>
      <c r="CZ161" s="80" t="str">
        <f aca="false">IF(ISBLANK($C161),"",$BI161)</f>
        <v/>
      </c>
      <c r="DA161" s="78" t="str">
        <f aca="false">IF(ISBLANK($C161),"",$CH161)</f>
        <v/>
      </c>
      <c r="DB161" s="78" t="str">
        <f aca="false">IF(ISBLANK($C161),"",$CG161)</f>
        <v/>
      </c>
      <c r="DC161" s="81" t="str">
        <f aca="false">IF(ISBLANK($C161),"",IFERROR(_xlfn.SWITCH($DB161,Constants!$B$7,COUNTA($C$9:$C$508)+2,Constants!$B$6,COUNTA($C$9:$C$508)+1,Constants!$B$5,COUNTA($C$9:$C$508)),$DB161))</f>
        <v/>
      </c>
      <c r="DD161" s="7"/>
      <c r="DE161" s="82" t="n">
        <f aca="false">IF(OR(ISNUMBER($DB161),$DB161=Constants!$B$7,$DB161=Constants!$B$5,$DB161=Constants!$B$6),1,0)</f>
        <v>0</v>
      </c>
      <c r="DF161" s="82" t="n">
        <v>153</v>
      </c>
      <c r="DG161" s="82" t="str">
        <f aca="false">IF(ISBLANK($C161),"",IF(ISNUMBER($DC161),$DC161+ROW($B161)/1000,""))</f>
        <v/>
      </c>
      <c r="DH161" s="82" t="str">
        <f aca="false">IF(ISNUMBER($DG161),RANK($DG161,$DG$9:$DG$508,1),"")</f>
        <v/>
      </c>
      <c r="DI161" s="82" t="str">
        <f aca="false">IF(ISBLANK($C161),"",$B161)</f>
        <v/>
      </c>
      <c r="DJ161" s="82" t="str">
        <f aca="false">IF(ISBLANK($C161),"",$C161)</f>
        <v/>
      </c>
      <c r="DK161" s="82" t="str">
        <f aca="false">IF(ISBLANK($C161),"",$D161)</f>
        <v/>
      </c>
      <c r="DL161" s="83" t="str">
        <f aca="false">$CZ161</f>
        <v/>
      </c>
      <c r="DM161" s="84" t="str">
        <f aca="false">$CY161</f>
        <v/>
      </c>
      <c r="DN161" s="82" t="str">
        <f aca="false">IF(ISBLANK($C161),"",$DB161)</f>
        <v/>
      </c>
      <c r="DO161" s="85" t="str">
        <f aca="false">IF($DF161&gt;$DE$8,"",VLOOKUP($DF161,$DH$9:$DN$508,7,FALSE()))</f>
        <v/>
      </c>
      <c r="DP161" s="86" t="str">
        <f aca="false">IF($DF161&gt;$DE$8,"",VLOOKUP($DF161,$DH$9:$DN$508,2,FALSE()))</f>
        <v/>
      </c>
      <c r="DQ161" s="86" t="str">
        <f aca="false">IF($DF161&gt;$DE$8,"",VLOOKUP($DF161,$DH$9:$DN$508,3,FALSE()))</f>
        <v/>
      </c>
      <c r="DR161" s="86" t="str">
        <f aca="false">IF($DF161&gt;$DE$8,"",VLOOKUP($DF161,$DH$9:$DN$508,4,FALSE()))</f>
        <v/>
      </c>
      <c r="DS161" s="86" t="str">
        <f aca="false">IF($DF161&gt;$DE$8,"",VLOOKUP($DF161,$DH$9:$DN$508,5,FALSE()))</f>
        <v/>
      </c>
      <c r="DT161" s="87" t="str">
        <f aca="false">IF($DF161&gt;$DE$8,"",VLOOKUP($DF161,$DH$9:$DN$508,6,FALSE()))</f>
        <v/>
      </c>
      <c r="DU161" s="62"/>
    </row>
    <row r="162" customFormat="false" ht="15.75" hidden="false" customHeight="false" outlineLevel="0" collapsed="false">
      <c r="A162" s="7"/>
      <c r="B162" s="90"/>
      <c r="C162" s="91"/>
      <c r="D162" s="126"/>
      <c r="E162" s="130"/>
      <c r="F162" s="135"/>
      <c r="G162" s="130"/>
      <c r="H162" s="135"/>
      <c r="I162" s="131"/>
      <c r="J162" s="131"/>
      <c r="K162" s="131"/>
      <c r="L162" s="130"/>
      <c r="M162" s="130"/>
      <c r="N162" s="130"/>
      <c r="O162" s="135"/>
      <c r="P162" s="130"/>
      <c r="Q162" s="130"/>
      <c r="R162" s="130"/>
      <c r="S162" s="130"/>
      <c r="T162" s="135"/>
      <c r="U162" s="130"/>
      <c r="V162" s="96"/>
      <c r="W162" s="130"/>
      <c r="X162" s="130"/>
      <c r="Y162" s="96"/>
      <c r="Z162" s="96"/>
      <c r="AA162" s="130"/>
      <c r="AB162" s="130"/>
      <c r="AC162" s="97"/>
      <c r="AD162" s="130"/>
      <c r="AE162" s="99"/>
      <c r="AF162" s="100"/>
      <c r="AG162" s="100"/>
      <c r="AH162" s="100" t="str">
        <f aca="false">IF(ISBLANK($C162),"",IF($E162=Constants!$B$2,TRUE(),IF($E162=Constants!$B$3,FALSE(),TRUE())))</f>
        <v/>
      </c>
      <c r="AI162" s="100" t="str">
        <f aca="false">IF(ISBLANK($C162),"",IF($F162=Constants!$B$2,TRUE(),IF($F162=Constants!$B$3,FALSE(),FALSE())))</f>
        <v/>
      </c>
      <c r="AJ162" s="100" t="str">
        <f aca="false">IF(ISBLANK($C162),"",IF($G162=Constants!$B$2,TRUE(),IF($G162=Constants!$B$3,FALSE(),TRUE())))</f>
        <v/>
      </c>
      <c r="AK162" s="100" t="str">
        <f aca="false">IF(ISBLANK($C162),"",IF($H162=Constants!$B$2,TRUE(),IF($H162=Constants!$B$3,FALSE(),TRUE())))</f>
        <v/>
      </c>
      <c r="AL162" s="100" t="str">
        <f aca="false">IF(ISBLANK($C162),"",IF(ISNUMBER($I162),IF($I162&gt;=0,$I162,""),""))</f>
        <v/>
      </c>
      <c r="AM162" s="100" t="str">
        <f aca="false">IF(ISBLANK($C162),"",IF(ISNUMBER($J162),IF($J162&gt;=0,$J162,""),""))</f>
        <v/>
      </c>
      <c r="AN162" s="100" t="str">
        <f aca="false">IF(ISBLANK($C162),"",IF(ISNUMBER($K162),IF($K162&gt;=0,$K162,""),""))</f>
        <v/>
      </c>
      <c r="AO162" s="100" t="str">
        <f aca="false">IF(ISBLANK($C162),"",IF($L162=Constants!$B$2,TRUE(),IF($L162=Constants!$B$3,FALSE(),TRUE())))</f>
        <v/>
      </c>
      <c r="AP162" s="100" t="str">
        <f aca="false">IF(ISBLANK($C162),"",IF($M162=Constants!$B$2,TRUE(),IF($M162=Constants!$B$3,FALSE(),TRUE())))</f>
        <v/>
      </c>
      <c r="AQ162" s="100" t="str">
        <f aca="false">IF(ISBLANK($C162),"",IF($N162=Constants!$B$2,TRUE(),IF($N162=Constants!$B$3,FALSE(),FALSE())))</f>
        <v/>
      </c>
      <c r="AR162" s="100" t="str">
        <f aca="false">IF(ISBLANK($C162),"",IF($O162=Constants!$B$2,TRUE(),IF($O162=Constants!$B$3,FALSE(),TRUE())))</f>
        <v/>
      </c>
      <c r="AS162" s="100" t="str">
        <f aca="false">IF(ISBLANK($C162),"",IF($P162=Constants!$B$2,TRUE(),IF($P162=Constants!$B$3,FALSE(),FALSE())))</f>
        <v/>
      </c>
      <c r="AT162" s="100" t="str">
        <f aca="false">IF(ISBLANK($C162),"",IF($Q162=Constants!$B$2,TRUE(),IF($Q162=Constants!$B$3,FALSE(),FALSE())))</f>
        <v/>
      </c>
      <c r="AU162" s="100" t="str">
        <f aca="false">IF(ISBLANK($C162),"",IF($R162=Constants!$B$2,TRUE(),IF($R162=Constants!$B$3,FALSE(),FALSE())))</f>
        <v/>
      </c>
      <c r="AV162" s="100" t="str">
        <f aca="false">IF(ISBLANK($C162),"",IF($S162=Constants!$B$2,TRUE(),IF($S162=Constants!$B$3,FALSE(),FALSE())))</f>
        <v/>
      </c>
      <c r="AW162" s="100" t="str">
        <f aca="false">IF(ISBLANK($C162),"",IF($T162=Constants!$B$2,TRUE(),IF($T162=Constants!$B$3,FALSE(),FALSE())))</f>
        <v/>
      </c>
      <c r="AX162" s="100" t="str">
        <f aca="false">IF(ISBLANK($C162),"",IF(OR($U162&amp;""="1",$U162&amp;""="2",$U162&amp;""="3",$U162&amp;""="4"),VALUE($U162&amp;""),IF($U162=Constants!$B$12,Constants!$B$12,"")))</f>
        <v/>
      </c>
      <c r="AY162" s="100" t="str">
        <f aca="false">IF(ISBLANK($C162),"",IF(ISBLANK($V162),0,IF(ISNUMBER($V162),IF(AND($V162&gt;=0,$V162&lt;=Constants!$B$21,$V162=INT($V162)),$V162,""),"")))</f>
        <v/>
      </c>
      <c r="AZ162" s="100" t="str">
        <f aca="false">IF(ISBLANK($C162),"",IF(ISBLANK($W162),0,IF(ISNUMBER($W162),IF($W162&gt;=0,$W162,""),"")))</f>
        <v/>
      </c>
      <c r="BA162" s="100" t="str">
        <f aca="false">IF(ISBLANK($C162),"",IF($X162=Constants!$B$2,TRUE(),IF($X162=Constants!$B$3,FALSE(),TRUE())))</f>
        <v/>
      </c>
      <c r="BB162" s="100" t="str">
        <f aca="false">IF(ISBLANK($C162),"",IF($Y162=Constants!$B$2,TRUE(),IF($Y162=Constants!$B$3,FALSE(),FALSE())))</f>
        <v/>
      </c>
      <c r="BC162" s="100" t="str">
        <f aca="false">IF(ISBLANK($C162),"",IF(ISBLANK($Z162),0,IF(ISNUMBER($Z162),IF(AND($Z162&gt;=0,$Z162&lt;=Constants!$B$35,$Z162=INT($Z162)),$Z162,""),"")))</f>
        <v/>
      </c>
      <c r="BD162" s="100" t="str">
        <f aca="false">IF(ISBLANK($C162),"",IF($AA162=Constants!$B$2,TRUE(),IF($AA162=Constants!$B$3,FALSE(),TRUE())))</f>
        <v/>
      </c>
      <c r="BE162" s="100" t="str">
        <f aca="false">IF(ISBLANK($C162),"",IF($AB162=Constants!$B$2,TRUE(),IF($AB162=Constants!$B$3,FALSE(),TRUE())))</f>
        <v/>
      </c>
      <c r="BF162" s="100" t="str">
        <f aca="false">IF(ISBLANK($C162),"",IF(ISNUMBER($AC162),IF($AC162&gt;=0,$AC162,""),""))</f>
        <v/>
      </c>
      <c r="BG162" s="100" t="str">
        <f aca="false">IF(ISBLANK($C162),"",IF($AD162=Constants!$B$2,TRUE(),IF($AD162=Constants!$B$3,FALSE(),FALSE())))</f>
        <v/>
      </c>
      <c r="BH162" s="99" t="str">
        <f aca="false">IF(ISBLANK($C162),"",IF($BG162,Constants!$B$7,IF(COUNTA($E162:$AC162)=0,Constants!$B$6,IF(OR(COUNTA($G162:$AC162)=0,NOT($AK162),$AQ162),Constants!$B$5,IF(OR($CI162&lt;&gt;"",$CJ162,$CK162,$CL162,$CM162,$CN162,$CO162),Constants!$B$8,Constants!$B$4)))))</f>
        <v/>
      </c>
      <c r="BI162" s="100" t="str">
        <f aca="false">IF(ISBLANK($C162),"",IF($BH162&lt;&gt;Constants!$B$4,$BH162,IF(OR(NOT($AH162),NOT($AJ162),NOT($AR162)),Constants!$B$11,IF(OR(NOT($AP162),MAX($AL162,$AM162,$AN162)&gt;Constants!$B$30),Constants!$B$10,Constants!$B$9))))</f>
        <v/>
      </c>
      <c r="BJ162" s="100" t="str">
        <f aca="false">IF($BH162&lt;&gt;Constants!$B$4,"",IF(NOT($AJ162),0,MIN(Constants!$B$35,$BC162)))</f>
        <v/>
      </c>
      <c r="BK162" s="100" t="str">
        <f aca="false">IF($BH162&lt;&gt;Constants!$B$4,"",IF(NOT($AJ162),0,IF($AT162,Constants!$B$18,IF($AS162,Constants!$B$17,0))))</f>
        <v/>
      </c>
      <c r="BL162" s="100" t="str">
        <f aca="false">IF($BH162&lt;&gt;Constants!$B$4,"",IF(NOT($AJ162),0,Constants!$B$19*($AI162+$AU162+$AV162+$AW162)))</f>
        <v/>
      </c>
      <c r="BM162" s="100" t="str">
        <f aca="false">IF($BH162&lt;&gt;Constants!$B$4,"",IF(OR(NOT($AJ162),NOT(ISNUMBER($AX162))),0,CHOOSE($AX162,Constants!$B$13,Constants!$B$14,Constants!$B$15,Constants!$B$16)))</f>
        <v/>
      </c>
      <c r="BN162" s="100" t="str">
        <f aca="false">IF($BH162&lt;&gt;Constants!$B$4,"",IF(NOT($AJ162),0,Constants!$B$20*$AY162))</f>
        <v/>
      </c>
      <c r="BO162" s="100" t="str">
        <f aca="false">IF($BH162&lt;&gt;Constants!$B$4,"",IF(AND($AJ162,$BA162,$BB162),Constants!$B$22,0))</f>
        <v/>
      </c>
      <c r="BP162" s="100" t="str">
        <f aca="false">IF($BH162&lt;&gt;Constants!$B$4,"",IF(OR(NOT($AJ162),NOT($BA162)),0,IF($BF162&gt;=2*$AF$9,0,Constants!$B$23*INT(ROUND(MIN($BF162,$AF$9),6)))))</f>
        <v/>
      </c>
      <c r="BQ162" s="100" t="str">
        <f aca="false">IF($BH162&lt;&gt;Constants!$B$4,"",IF(NOT($AJ162),0,Constants!$B$24*INT(ROUND(MIN($AZ162,$AF$9),6))))</f>
        <v/>
      </c>
      <c r="BR162" s="100" t="str">
        <f aca="false">IF($BH162&lt;&gt;Constants!$B$4,"",IF(AND($AJ162,$BJ162=0),Constants!$B$25,0))</f>
        <v/>
      </c>
      <c r="BS162" s="100" t="str">
        <f aca="false">IF($BH162&lt;&gt;Constants!$B$4,"",MIN(Constants!$B$29,MAX(0,Constants!$B$27*Constants!$B$28*INT(ROUND((Constants!$B$26-$AL162)/Constants!$B$28,6))))+MIN(Constants!$B$29,MAX(0,Constants!$B$27*Constants!$B$28*INT(ROUND((Constants!$B$26-$AM162)/Constants!$B$28,6))))+MIN(Constants!$B$29,MAX(0,Constants!$B$27*Constants!$B$28*INT(ROUND((Constants!$B$26-$AN162)/Constants!$B$28,6)))))</f>
        <v/>
      </c>
      <c r="BT162" s="100" t="str">
        <f aca="false">IF($BH162&lt;&gt;Constants!$B$4,"",IF(NOT($AJ162),0,Constants!$B$31*INT(ROUND(MAX(0,MIN($BF162,2*$AF$9)-$AF$9),6))))</f>
        <v/>
      </c>
      <c r="BU162" s="100" t="str">
        <f aca="false">IF($BH162&lt;&gt;Constants!$B$4,"",Constants!$B$32*(($AL162&gt;Constants!$B$26)+($AM162&gt;Constants!$B$26)+($AN162&gt;Constants!$B$26)))</f>
        <v/>
      </c>
      <c r="BV162" s="100" t="str">
        <f aca="false">IF($BH162&lt;&gt;Constants!$B$4,"",IF(OR(NOT($AJ162),$AO162),0,Constants!$B$33))</f>
        <v/>
      </c>
      <c r="BW162" s="100" t="str">
        <f aca="false">IF($BH162&lt;&gt;Constants!$B$4,"",Constants!$B$34*$BJ162)</f>
        <v/>
      </c>
      <c r="BX162" s="100" t="str">
        <f aca="false">IF($BH162&lt;&gt;Constants!$B$4,"",IF(OR(NOT($AJ162),$BE162),0,Constants!$B$36))</f>
        <v/>
      </c>
      <c r="BY162" s="100" t="str">
        <f aca="false">IF($BH162&lt;&gt;Constants!$B$4,"",IF(OR(NOT($AJ162),$BD162),0,Constants!$B$37))</f>
        <v/>
      </c>
      <c r="BZ162" s="100" t="str">
        <f aca="false">IF($BH162&lt;&gt;Constants!$B$4,"",SUM($BT162:$BY162))</f>
        <v/>
      </c>
      <c r="CA162" s="100" t="str">
        <f aca="false">IF(ISBLANK($C162),"",IF($BH162&lt;&gt;Constants!$B$4,$BH162,SUM($BK162:$BS162)-$BZ162))</f>
        <v/>
      </c>
      <c r="CB162" s="100" t="str">
        <f aca="false">IF(ISBLANK($C162),"",IF($BH162&lt;&gt;Constants!$B$4,$BH162,RANK($CA162,$CA$9:$CA$508)))</f>
        <v/>
      </c>
      <c r="CC162" s="100" t="str">
        <f aca="false">IF(ISBLANK($C162),"",IF($BH162&lt;&gt;Constants!$B$4,$BH162,COUNTIFS($BI$9:$BI$508,"&lt;"&amp;$BI162)+COUNTIFS($BI$9:$BI$508,$BI162,$CB$9:$CB$508,"&lt;"&amp;$CB162)+1))</f>
        <v/>
      </c>
      <c r="CD162" s="100" t="str">
        <f aca="false">IF(ISBLANK($C162),"",IF($BH162&lt;&gt;Constants!$B$4,$BH162,RANK($BZ162,$BZ$9:$BZ$508,1)))</f>
        <v/>
      </c>
      <c r="CE162" s="100" t="str">
        <f aca="false">IF($BH162&lt;&gt;Constants!$B$4,"",$AL162+$AM162+$AN162)</f>
        <v/>
      </c>
      <c r="CF162" s="100" t="str">
        <f aca="false">IF(ISBLANK($C162),"",IF($BH162&lt;&gt;Constants!$B$4,$BH162,RANK($CE162,$CE$9:$CE$508,1)))</f>
        <v/>
      </c>
      <c r="CG162" s="100" t="str">
        <f aca="false">IF(ISBLANK($C162),"",IF($BH162&lt;&gt;Constants!$B$4,$BH162,COUNTIFS($BI$9:$BI$508,"&lt;"&amp;$BI162)+COUNTIFS($BI$9:$BI$508,$BI162,$CB$9:$CB$508,"&lt;"&amp;$CB162)+COUNTIFS($BI$9:$BI$508,$BI162,$CB$9:$CB$508,$CB162,$CD$9:$CD$508,"&lt;"&amp;$CD162)+COUNTIFS($BI$9:$BI$508,$BI162,$CB$9:$CB$508,$CB162,$CD$9:$CD$508,$CD162,$CF$9:$CF$508,"&lt;"&amp;$CF162)+1))</f>
        <v/>
      </c>
      <c r="CH162" s="100" t="str">
        <f aca="false">IF(ISBLANK($C162),"",IF($BH162&lt;&gt;Constants!$B$4,$BH162,$CC162-$CG162))</f>
        <v/>
      </c>
      <c r="CI162" s="100" t="str">
        <f aca="false">IF(ISBLANK($C162),"",IF(NOT($AJ162),"",IF(ISBLANK($D$7),$CI$5,IF(NOT(ISNUMBER($D$7)),$CI$6,""))))</f>
        <v/>
      </c>
      <c r="CJ162" s="100" t="str">
        <f aca="false">IF(ISBLANK($C162),"",OR($AL162="",$AM162="",$AN162=""))</f>
        <v/>
      </c>
      <c r="CK162" s="100" t="str">
        <f aca="false">IF(ISBLANK($C162),"",AND($AJ162,$AX162=""))</f>
        <v/>
      </c>
      <c r="CL162" s="100" t="str">
        <f aca="false">IF(ISBLANK($C162),"",AND($AJ162,$AY162=""))</f>
        <v/>
      </c>
      <c r="CM162" s="100" t="str">
        <f aca="false">IF(ISBLANK($C162),"",AND($AJ162,$AZ162=""))</f>
        <v/>
      </c>
      <c r="CN162" s="100" t="str">
        <f aca="false">IF(ISBLANK($C162),"",AND($AJ162,$BC162=""))</f>
        <v/>
      </c>
      <c r="CO162" s="100" t="str">
        <f aca="false">IF(ISBLANK($C162),"",AND($AJ162,$BF162=""))</f>
        <v/>
      </c>
      <c r="CP162" s="101"/>
      <c r="CQ162" s="102"/>
      <c r="CR162" s="103" t="str">
        <f aca="false">IF(ISBLANK($C162),"",IF($BH162=Constants!$B$8,$CI162,""))</f>
        <v/>
      </c>
      <c r="CS162" s="102" t="str">
        <f aca="false">IF(ISBLANK($C162),"",IF($BH162&lt;&gt;Constants!$B$4,"",$BK162+$BL162))</f>
        <v/>
      </c>
      <c r="CT162" s="104" t="str">
        <f aca="false">IF(ISBLANK($C162),"",IF($BH162&lt;&gt;Constants!$B$4,"",$BM162+$BN162+$BO162))</f>
        <v/>
      </c>
      <c r="CU162" s="104" t="str">
        <f aca="false">IF(ISBLANK($C162),"",IF($BH162&lt;&gt;Constants!$B$4,"",$BP162))</f>
        <v/>
      </c>
      <c r="CV162" s="104" t="str">
        <f aca="false">IF(ISBLANK($C162),"",IF($BH162&lt;&gt;Constants!$B$4,"",$BQ162+$BR162))</f>
        <v/>
      </c>
      <c r="CW162" s="104" t="str">
        <f aca="false">IF(ISBLANK($C162),"",IF($BH162&lt;&gt;Constants!$B$4,"",$BS162))</f>
        <v/>
      </c>
      <c r="CX162" s="104" t="str">
        <f aca="false">IF(ISBLANK($C162),"",IF($BH162&lt;&gt;Constants!$B$4,"",-$BZ162))</f>
        <v/>
      </c>
      <c r="CY162" s="103" t="str">
        <f aca="false">IF(ISBLANK($C162),"",$CA162)</f>
        <v/>
      </c>
      <c r="CZ162" s="105" t="str">
        <f aca="false">IF(ISBLANK($C162),"",$BI162)</f>
        <v/>
      </c>
      <c r="DA162" s="104" t="str">
        <f aca="false">IF(ISBLANK($C162),"",$CH162)</f>
        <v/>
      </c>
      <c r="DB162" s="104" t="str">
        <f aca="false">IF(ISBLANK($C162),"",$CG162)</f>
        <v/>
      </c>
      <c r="DC162" s="106" t="str">
        <f aca="false">IF(ISBLANK($C162),"",IFERROR(_xlfn.SWITCH($DB162,Constants!$B$7,COUNTA($C$9:$C$508)+2,Constants!$B$6,COUNTA($C$9:$C$508)+1,Constants!$B$5,COUNTA($C$9:$C$508)),$DB162))</f>
        <v/>
      </c>
      <c r="DD162" s="7"/>
      <c r="DE162" s="107" t="n">
        <f aca="false">IF(OR(ISNUMBER($DB162),$DB162=Constants!$B$7,$DB162=Constants!$B$5,$DB162=Constants!$B$6),1,0)</f>
        <v>0</v>
      </c>
      <c r="DF162" s="107" t="n">
        <v>154</v>
      </c>
      <c r="DG162" s="107" t="str">
        <f aca="false">IF(ISBLANK($C162),"",IF(ISNUMBER($DC162),$DC162+ROW($B162)/1000,""))</f>
        <v/>
      </c>
      <c r="DH162" s="107" t="str">
        <f aca="false">IF(ISNUMBER($DG162),RANK($DG162,$DG$9:$DG$508,1),"")</f>
        <v/>
      </c>
      <c r="DI162" s="107" t="str">
        <f aca="false">IF(ISBLANK($C162),"",$B162)</f>
        <v/>
      </c>
      <c r="DJ162" s="107" t="str">
        <f aca="false">IF(ISBLANK($C162),"",$C162)</f>
        <v/>
      </c>
      <c r="DK162" s="107" t="str">
        <f aca="false">IF(ISBLANK($C162),"",$D162)</f>
        <v/>
      </c>
      <c r="DL162" s="108" t="str">
        <f aca="false">$CZ162</f>
        <v/>
      </c>
      <c r="DM162" s="109" t="str">
        <f aca="false">$CY162</f>
        <v/>
      </c>
      <c r="DN162" s="107" t="str">
        <f aca="false">IF(ISBLANK($C162),"",$DB162)</f>
        <v/>
      </c>
      <c r="DO162" s="110" t="str">
        <f aca="false">IF($DF162&gt;$DE$8,"",VLOOKUP($DF162,$DH$9:$DN$508,7,FALSE()))</f>
        <v/>
      </c>
      <c r="DP162" s="111" t="str">
        <f aca="false">IF($DF162&gt;$DE$8,"",VLOOKUP($DF162,$DH$9:$DN$508,2,FALSE()))</f>
        <v/>
      </c>
      <c r="DQ162" s="111" t="str">
        <f aca="false">IF($DF162&gt;$DE$8,"",VLOOKUP($DF162,$DH$9:$DN$508,3,FALSE()))</f>
        <v/>
      </c>
      <c r="DR162" s="111" t="str">
        <f aca="false">IF($DF162&gt;$DE$8,"",VLOOKUP($DF162,$DH$9:$DN$508,4,FALSE()))</f>
        <v/>
      </c>
      <c r="DS162" s="111" t="str">
        <f aca="false">IF($DF162&gt;$DE$8,"",VLOOKUP($DF162,$DH$9:$DN$508,5,FALSE()))</f>
        <v/>
      </c>
      <c r="DT162" s="112" t="str">
        <f aca="false">IF($DF162&gt;$DE$8,"",VLOOKUP($DF162,$DH$9:$DN$508,6,FALSE()))</f>
        <v/>
      </c>
      <c r="DU162" s="62"/>
    </row>
    <row r="163" customFormat="false" ht="15.75" hidden="false" customHeight="false" outlineLevel="0" collapsed="false">
      <c r="A163" s="7"/>
      <c r="B163" s="90"/>
      <c r="C163" s="91"/>
      <c r="D163" s="126"/>
      <c r="E163" s="130"/>
      <c r="F163" s="135"/>
      <c r="G163" s="130"/>
      <c r="H163" s="135"/>
      <c r="I163" s="131"/>
      <c r="J163" s="131"/>
      <c r="K163" s="131"/>
      <c r="L163" s="130"/>
      <c r="M163" s="130"/>
      <c r="N163" s="130"/>
      <c r="O163" s="135"/>
      <c r="P163" s="130"/>
      <c r="Q163" s="130"/>
      <c r="R163" s="130"/>
      <c r="S163" s="130"/>
      <c r="T163" s="135"/>
      <c r="U163" s="130"/>
      <c r="V163" s="96"/>
      <c r="W163" s="130"/>
      <c r="X163" s="130"/>
      <c r="Y163" s="96"/>
      <c r="Z163" s="96"/>
      <c r="AA163" s="130"/>
      <c r="AB163" s="130"/>
      <c r="AC163" s="97"/>
      <c r="AD163" s="130"/>
      <c r="AE163" s="99"/>
      <c r="AF163" s="100"/>
      <c r="AG163" s="100"/>
      <c r="AH163" s="100" t="str">
        <f aca="false">IF(ISBLANK($C163),"",IF($E163=Constants!$B$2,TRUE(),IF($E163=Constants!$B$3,FALSE(),TRUE())))</f>
        <v/>
      </c>
      <c r="AI163" s="100" t="str">
        <f aca="false">IF(ISBLANK($C163),"",IF($F163=Constants!$B$2,TRUE(),IF($F163=Constants!$B$3,FALSE(),FALSE())))</f>
        <v/>
      </c>
      <c r="AJ163" s="100" t="str">
        <f aca="false">IF(ISBLANK($C163),"",IF($G163=Constants!$B$2,TRUE(),IF($G163=Constants!$B$3,FALSE(),TRUE())))</f>
        <v/>
      </c>
      <c r="AK163" s="100" t="str">
        <f aca="false">IF(ISBLANK($C163),"",IF($H163=Constants!$B$2,TRUE(),IF($H163=Constants!$B$3,FALSE(),TRUE())))</f>
        <v/>
      </c>
      <c r="AL163" s="100" t="str">
        <f aca="false">IF(ISBLANK($C163),"",IF(ISNUMBER($I163),IF($I163&gt;=0,$I163,""),""))</f>
        <v/>
      </c>
      <c r="AM163" s="100" t="str">
        <f aca="false">IF(ISBLANK($C163),"",IF(ISNUMBER($J163),IF($J163&gt;=0,$J163,""),""))</f>
        <v/>
      </c>
      <c r="AN163" s="100" t="str">
        <f aca="false">IF(ISBLANK($C163),"",IF(ISNUMBER($K163),IF($K163&gt;=0,$K163,""),""))</f>
        <v/>
      </c>
      <c r="AO163" s="100" t="str">
        <f aca="false">IF(ISBLANK($C163),"",IF($L163=Constants!$B$2,TRUE(),IF($L163=Constants!$B$3,FALSE(),TRUE())))</f>
        <v/>
      </c>
      <c r="AP163" s="100" t="str">
        <f aca="false">IF(ISBLANK($C163),"",IF($M163=Constants!$B$2,TRUE(),IF($M163=Constants!$B$3,FALSE(),TRUE())))</f>
        <v/>
      </c>
      <c r="AQ163" s="100" t="str">
        <f aca="false">IF(ISBLANK($C163),"",IF($N163=Constants!$B$2,TRUE(),IF($N163=Constants!$B$3,FALSE(),FALSE())))</f>
        <v/>
      </c>
      <c r="AR163" s="100" t="str">
        <f aca="false">IF(ISBLANK($C163),"",IF($O163=Constants!$B$2,TRUE(),IF($O163=Constants!$B$3,FALSE(),TRUE())))</f>
        <v/>
      </c>
      <c r="AS163" s="100" t="str">
        <f aca="false">IF(ISBLANK($C163),"",IF($P163=Constants!$B$2,TRUE(),IF($P163=Constants!$B$3,FALSE(),FALSE())))</f>
        <v/>
      </c>
      <c r="AT163" s="100" t="str">
        <f aca="false">IF(ISBLANK($C163),"",IF($Q163=Constants!$B$2,TRUE(),IF($Q163=Constants!$B$3,FALSE(),FALSE())))</f>
        <v/>
      </c>
      <c r="AU163" s="100" t="str">
        <f aca="false">IF(ISBLANK($C163),"",IF($R163=Constants!$B$2,TRUE(),IF($R163=Constants!$B$3,FALSE(),FALSE())))</f>
        <v/>
      </c>
      <c r="AV163" s="100" t="str">
        <f aca="false">IF(ISBLANK($C163),"",IF($S163=Constants!$B$2,TRUE(),IF($S163=Constants!$B$3,FALSE(),FALSE())))</f>
        <v/>
      </c>
      <c r="AW163" s="100" t="str">
        <f aca="false">IF(ISBLANK($C163),"",IF($T163=Constants!$B$2,TRUE(),IF($T163=Constants!$B$3,FALSE(),FALSE())))</f>
        <v/>
      </c>
      <c r="AX163" s="100" t="str">
        <f aca="false">IF(ISBLANK($C163),"",IF(OR($U163&amp;""="1",$U163&amp;""="2",$U163&amp;""="3",$U163&amp;""="4"),VALUE($U163&amp;""),IF($U163=Constants!$B$12,Constants!$B$12,"")))</f>
        <v/>
      </c>
      <c r="AY163" s="100" t="str">
        <f aca="false">IF(ISBLANK($C163),"",IF(ISBLANK($V163),0,IF(ISNUMBER($V163),IF(AND($V163&gt;=0,$V163&lt;=Constants!$B$21,$V163=INT($V163)),$V163,""),"")))</f>
        <v/>
      </c>
      <c r="AZ163" s="100" t="str">
        <f aca="false">IF(ISBLANK($C163),"",IF(ISBLANK($W163),0,IF(ISNUMBER($W163),IF($W163&gt;=0,$W163,""),"")))</f>
        <v/>
      </c>
      <c r="BA163" s="100" t="str">
        <f aca="false">IF(ISBLANK($C163),"",IF($X163=Constants!$B$2,TRUE(),IF($X163=Constants!$B$3,FALSE(),TRUE())))</f>
        <v/>
      </c>
      <c r="BB163" s="100" t="str">
        <f aca="false">IF(ISBLANK($C163),"",IF($Y163=Constants!$B$2,TRUE(),IF($Y163=Constants!$B$3,FALSE(),FALSE())))</f>
        <v/>
      </c>
      <c r="BC163" s="100" t="str">
        <f aca="false">IF(ISBLANK($C163),"",IF(ISBLANK($Z163),0,IF(ISNUMBER($Z163),IF(AND($Z163&gt;=0,$Z163&lt;=Constants!$B$35,$Z163=INT($Z163)),$Z163,""),"")))</f>
        <v/>
      </c>
      <c r="BD163" s="100" t="str">
        <f aca="false">IF(ISBLANK($C163),"",IF($AA163=Constants!$B$2,TRUE(),IF($AA163=Constants!$B$3,FALSE(),TRUE())))</f>
        <v/>
      </c>
      <c r="BE163" s="100" t="str">
        <f aca="false">IF(ISBLANK($C163),"",IF($AB163=Constants!$B$2,TRUE(),IF($AB163=Constants!$B$3,FALSE(),TRUE())))</f>
        <v/>
      </c>
      <c r="BF163" s="100" t="str">
        <f aca="false">IF(ISBLANK($C163),"",IF(ISNUMBER($AC163),IF($AC163&gt;=0,$AC163,""),""))</f>
        <v/>
      </c>
      <c r="BG163" s="100" t="str">
        <f aca="false">IF(ISBLANK($C163),"",IF($AD163=Constants!$B$2,TRUE(),IF($AD163=Constants!$B$3,FALSE(),FALSE())))</f>
        <v/>
      </c>
      <c r="BH163" s="99" t="str">
        <f aca="false">IF(ISBLANK($C163),"",IF($BG163,Constants!$B$7,IF(COUNTA($E163:$AC163)=0,Constants!$B$6,IF(OR(COUNTA($G163:$AC163)=0,NOT($AK163),$AQ163),Constants!$B$5,IF(OR($CI163&lt;&gt;"",$CJ163,$CK163,$CL163,$CM163,$CN163,$CO163),Constants!$B$8,Constants!$B$4)))))</f>
        <v/>
      </c>
      <c r="BI163" s="100" t="str">
        <f aca="false">IF(ISBLANK($C163),"",IF($BH163&lt;&gt;Constants!$B$4,$BH163,IF(OR(NOT($AH163),NOT($AJ163),NOT($AR163)),Constants!$B$11,IF(OR(NOT($AP163),MAX($AL163,$AM163,$AN163)&gt;Constants!$B$30),Constants!$B$10,Constants!$B$9))))</f>
        <v/>
      </c>
      <c r="BJ163" s="100" t="str">
        <f aca="false">IF($BH163&lt;&gt;Constants!$B$4,"",IF(NOT($AJ163),0,MIN(Constants!$B$35,$BC163)))</f>
        <v/>
      </c>
      <c r="BK163" s="100" t="str">
        <f aca="false">IF($BH163&lt;&gt;Constants!$B$4,"",IF(NOT($AJ163),0,IF($AT163,Constants!$B$18,IF($AS163,Constants!$B$17,0))))</f>
        <v/>
      </c>
      <c r="BL163" s="100" t="str">
        <f aca="false">IF($BH163&lt;&gt;Constants!$B$4,"",IF(NOT($AJ163),0,Constants!$B$19*($AI163+$AU163+$AV163+$AW163)))</f>
        <v/>
      </c>
      <c r="BM163" s="100" t="str">
        <f aca="false">IF($BH163&lt;&gt;Constants!$B$4,"",IF(OR(NOT($AJ163),NOT(ISNUMBER($AX163))),0,CHOOSE($AX163,Constants!$B$13,Constants!$B$14,Constants!$B$15,Constants!$B$16)))</f>
        <v/>
      </c>
      <c r="BN163" s="100" t="str">
        <f aca="false">IF($BH163&lt;&gt;Constants!$B$4,"",IF(NOT($AJ163),0,Constants!$B$20*$AY163))</f>
        <v/>
      </c>
      <c r="BO163" s="100" t="str">
        <f aca="false">IF($BH163&lt;&gt;Constants!$B$4,"",IF(AND($AJ163,$BA163,$BB163),Constants!$B$22,0))</f>
        <v/>
      </c>
      <c r="BP163" s="100" t="str">
        <f aca="false">IF($BH163&lt;&gt;Constants!$B$4,"",IF(OR(NOT($AJ163),NOT($BA163)),0,IF($BF163&gt;=2*$AF$9,0,Constants!$B$23*INT(ROUND(MIN($BF163,$AF$9),6)))))</f>
        <v/>
      </c>
      <c r="BQ163" s="100" t="str">
        <f aca="false">IF($BH163&lt;&gt;Constants!$B$4,"",IF(NOT($AJ163),0,Constants!$B$24*INT(ROUND(MIN($AZ163,$AF$9),6))))</f>
        <v/>
      </c>
      <c r="BR163" s="100" t="str">
        <f aca="false">IF($BH163&lt;&gt;Constants!$B$4,"",IF(AND($AJ163,$BJ163=0),Constants!$B$25,0))</f>
        <v/>
      </c>
      <c r="BS163" s="100" t="str">
        <f aca="false">IF($BH163&lt;&gt;Constants!$B$4,"",MIN(Constants!$B$29,MAX(0,Constants!$B$27*Constants!$B$28*INT(ROUND((Constants!$B$26-$AL163)/Constants!$B$28,6))))+MIN(Constants!$B$29,MAX(0,Constants!$B$27*Constants!$B$28*INT(ROUND((Constants!$B$26-$AM163)/Constants!$B$28,6))))+MIN(Constants!$B$29,MAX(0,Constants!$B$27*Constants!$B$28*INT(ROUND((Constants!$B$26-$AN163)/Constants!$B$28,6)))))</f>
        <v/>
      </c>
      <c r="BT163" s="100" t="str">
        <f aca="false">IF($BH163&lt;&gt;Constants!$B$4,"",IF(NOT($AJ163),0,Constants!$B$31*INT(ROUND(MAX(0,MIN($BF163,2*$AF$9)-$AF$9),6))))</f>
        <v/>
      </c>
      <c r="BU163" s="100" t="str">
        <f aca="false">IF($BH163&lt;&gt;Constants!$B$4,"",Constants!$B$32*(($AL163&gt;Constants!$B$26)+($AM163&gt;Constants!$B$26)+($AN163&gt;Constants!$B$26)))</f>
        <v/>
      </c>
      <c r="BV163" s="100" t="str">
        <f aca="false">IF($BH163&lt;&gt;Constants!$B$4,"",IF(OR(NOT($AJ163),$AO163),0,Constants!$B$33))</f>
        <v/>
      </c>
      <c r="BW163" s="100" t="str">
        <f aca="false">IF($BH163&lt;&gt;Constants!$B$4,"",Constants!$B$34*$BJ163)</f>
        <v/>
      </c>
      <c r="BX163" s="100" t="str">
        <f aca="false">IF($BH163&lt;&gt;Constants!$B$4,"",IF(OR(NOT($AJ163),$BE163),0,Constants!$B$36))</f>
        <v/>
      </c>
      <c r="BY163" s="100" t="str">
        <f aca="false">IF($BH163&lt;&gt;Constants!$B$4,"",IF(OR(NOT($AJ163),$BD163),0,Constants!$B$37))</f>
        <v/>
      </c>
      <c r="BZ163" s="100" t="str">
        <f aca="false">IF($BH163&lt;&gt;Constants!$B$4,"",SUM($BT163:$BY163))</f>
        <v/>
      </c>
      <c r="CA163" s="100" t="str">
        <f aca="false">IF(ISBLANK($C163),"",IF($BH163&lt;&gt;Constants!$B$4,$BH163,SUM($BK163:$BS163)-$BZ163))</f>
        <v/>
      </c>
      <c r="CB163" s="100" t="str">
        <f aca="false">IF(ISBLANK($C163),"",IF($BH163&lt;&gt;Constants!$B$4,$BH163,RANK($CA163,$CA$9:$CA$508)))</f>
        <v/>
      </c>
      <c r="CC163" s="100" t="str">
        <f aca="false">IF(ISBLANK($C163),"",IF($BH163&lt;&gt;Constants!$B$4,$BH163,COUNTIFS($BI$9:$BI$508,"&lt;"&amp;$BI163)+COUNTIFS($BI$9:$BI$508,$BI163,$CB$9:$CB$508,"&lt;"&amp;$CB163)+1))</f>
        <v/>
      </c>
      <c r="CD163" s="100" t="str">
        <f aca="false">IF(ISBLANK($C163),"",IF($BH163&lt;&gt;Constants!$B$4,$BH163,RANK($BZ163,$BZ$9:$BZ$508,1)))</f>
        <v/>
      </c>
      <c r="CE163" s="100" t="str">
        <f aca="false">IF($BH163&lt;&gt;Constants!$B$4,"",$AL163+$AM163+$AN163)</f>
        <v/>
      </c>
      <c r="CF163" s="100" t="str">
        <f aca="false">IF(ISBLANK($C163),"",IF($BH163&lt;&gt;Constants!$B$4,$BH163,RANK($CE163,$CE$9:$CE$508,1)))</f>
        <v/>
      </c>
      <c r="CG163" s="100" t="str">
        <f aca="false">IF(ISBLANK($C163),"",IF($BH163&lt;&gt;Constants!$B$4,$BH163,COUNTIFS($BI$9:$BI$508,"&lt;"&amp;$BI163)+COUNTIFS($BI$9:$BI$508,$BI163,$CB$9:$CB$508,"&lt;"&amp;$CB163)+COUNTIFS($BI$9:$BI$508,$BI163,$CB$9:$CB$508,$CB163,$CD$9:$CD$508,"&lt;"&amp;$CD163)+COUNTIFS($BI$9:$BI$508,$BI163,$CB$9:$CB$508,$CB163,$CD$9:$CD$508,$CD163,$CF$9:$CF$508,"&lt;"&amp;$CF163)+1))</f>
        <v/>
      </c>
      <c r="CH163" s="100" t="str">
        <f aca="false">IF(ISBLANK($C163),"",IF($BH163&lt;&gt;Constants!$B$4,$BH163,$CC163-$CG163))</f>
        <v/>
      </c>
      <c r="CI163" s="100" t="str">
        <f aca="false">IF(ISBLANK($C163),"",IF(NOT($AJ163),"",IF(ISBLANK($D$7),$CI$5,IF(NOT(ISNUMBER($D$7)),$CI$6,""))))</f>
        <v/>
      </c>
      <c r="CJ163" s="100" t="str">
        <f aca="false">IF(ISBLANK($C163),"",OR($AL163="",$AM163="",$AN163=""))</f>
        <v/>
      </c>
      <c r="CK163" s="100" t="str">
        <f aca="false">IF(ISBLANK($C163),"",AND($AJ163,$AX163=""))</f>
        <v/>
      </c>
      <c r="CL163" s="100" t="str">
        <f aca="false">IF(ISBLANK($C163),"",AND($AJ163,$AY163=""))</f>
        <v/>
      </c>
      <c r="CM163" s="100" t="str">
        <f aca="false">IF(ISBLANK($C163),"",AND($AJ163,$AZ163=""))</f>
        <v/>
      </c>
      <c r="CN163" s="100" t="str">
        <f aca="false">IF(ISBLANK($C163),"",AND($AJ163,$BC163=""))</f>
        <v/>
      </c>
      <c r="CO163" s="100" t="str">
        <f aca="false">IF(ISBLANK($C163),"",AND($AJ163,$BF163=""))</f>
        <v/>
      </c>
      <c r="CP163" s="101"/>
      <c r="CQ163" s="102"/>
      <c r="CR163" s="103" t="str">
        <f aca="false">IF(ISBLANK($C163),"",IF($BH163=Constants!$B$8,$CI163,""))</f>
        <v/>
      </c>
      <c r="CS163" s="102" t="str">
        <f aca="false">IF(ISBLANK($C163),"",IF($BH163&lt;&gt;Constants!$B$4,"",$BK163+$BL163))</f>
        <v/>
      </c>
      <c r="CT163" s="104" t="str">
        <f aca="false">IF(ISBLANK($C163),"",IF($BH163&lt;&gt;Constants!$B$4,"",$BM163+$BN163+$BO163))</f>
        <v/>
      </c>
      <c r="CU163" s="104" t="str">
        <f aca="false">IF(ISBLANK($C163),"",IF($BH163&lt;&gt;Constants!$B$4,"",$BP163))</f>
        <v/>
      </c>
      <c r="CV163" s="104" t="str">
        <f aca="false">IF(ISBLANK($C163),"",IF($BH163&lt;&gt;Constants!$B$4,"",$BQ163+$BR163))</f>
        <v/>
      </c>
      <c r="CW163" s="104" t="str">
        <f aca="false">IF(ISBLANK($C163),"",IF($BH163&lt;&gt;Constants!$B$4,"",$BS163))</f>
        <v/>
      </c>
      <c r="CX163" s="104" t="str">
        <f aca="false">IF(ISBLANK($C163),"",IF($BH163&lt;&gt;Constants!$B$4,"",-$BZ163))</f>
        <v/>
      </c>
      <c r="CY163" s="103" t="str">
        <f aca="false">IF(ISBLANK($C163),"",$CA163)</f>
        <v/>
      </c>
      <c r="CZ163" s="105" t="str">
        <f aca="false">IF(ISBLANK($C163),"",$BI163)</f>
        <v/>
      </c>
      <c r="DA163" s="104" t="str">
        <f aca="false">IF(ISBLANK($C163),"",$CH163)</f>
        <v/>
      </c>
      <c r="DB163" s="104" t="str">
        <f aca="false">IF(ISBLANK($C163),"",$CG163)</f>
        <v/>
      </c>
      <c r="DC163" s="106" t="str">
        <f aca="false">IF(ISBLANK($C163),"",IFERROR(_xlfn.SWITCH($DB163,Constants!$B$7,COUNTA($C$9:$C$508)+2,Constants!$B$6,COUNTA($C$9:$C$508)+1,Constants!$B$5,COUNTA($C$9:$C$508)),$DB163))</f>
        <v/>
      </c>
      <c r="DD163" s="7"/>
      <c r="DE163" s="107" t="n">
        <f aca="false">IF(OR(ISNUMBER($DB163),$DB163=Constants!$B$7,$DB163=Constants!$B$5,$DB163=Constants!$B$6),1,0)</f>
        <v>0</v>
      </c>
      <c r="DF163" s="107" t="n">
        <v>155</v>
      </c>
      <c r="DG163" s="107" t="str">
        <f aca="false">IF(ISBLANK($C163),"",IF(ISNUMBER($DC163),$DC163+ROW($B163)/1000,""))</f>
        <v/>
      </c>
      <c r="DH163" s="107" t="str">
        <f aca="false">IF(ISNUMBER($DG163),RANK($DG163,$DG$9:$DG$508,1),"")</f>
        <v/>
      </c>
      <c r="DI163" s="107" t="str">
        <f aca="false">IF(ISBLANK($C163),"",$B163)</f>
        <v/>
      </c>
      <c r="DJ163" s="107" t="str">
        <f aca="false">IF(ISBLANK($C163),"",$C163)</f>
        <v/>
      </c>
      <c r="DK163" s="107" t="str">
        <f aca="false">IF(ISBLANK($C163),"",$D163)</f>
        <v/>
      </c>
      <c r="DL163" s="108" t="str">
        <f aca="false">$CZ163</f>
        <v/>
      </c>
      <c r="DM163" s="109" t="str">
        <f aca="false">$CY163</f>
        <v/>
      </c>
      <c r="DN163" s="107" t="str">
        <f aca="false">IF(ISBLANK($C163),"",$DB163)</f>
        <v/>
      </c>
      <c r="DO163" s="110" t="str">
        <f aca="false">IF($DF163&gt;$DE$8,"",VLOOKUP($DF163,$DH$9:$DN$508,7,FALSE()))</f>
        <v/>
      </c>
      <c r="DP163" s="111" t="str">
        <f aca="false">IF($DF163&gt;$DE$8,"",VLOOKUP($DF163,$DH$9:$DN$508,2,FALSE()))</f>
        <v/>
      </c>
      <c r="DQ163" s="111" t="str">
        <f aca="false">IF($DF163&gt;$DE$8,"",VLOOKUP($DF163,$DH$9:$DN$508,3,FALSE()))</f>
        <v/>
      </c>
      <c r="DR163" s="111" t="str">
        <f aca="false">IF($DF163&gt;$DE$8,"",VLOOKUP($DF163,$DH$9:$DN$508,4,FALSE()))</f>
        <v/>
      </c>
      <c r="DS163" s="111" t="str">
        <f aca="false">IF($DF163&gt;$DE$8,"",VLOOKUP($DF163,$DH$9:$DN$508,5,FALSE()))</f>
        <v/>
      </c>
      <c r="DT163" s="112" t="str">
        <f aca="false">IF($DF163&gt;$DE$8,"",VLOOKUP($DF163,$DH$9:$DN$508,6,FALSE()))</f>
        <v/>
      </c>
      <c r="DU163" s="62"/>
    </row>
    <row r="164" customFormat="false" ht="15.75" hidden="false" customHeight="false" outlineLevel="0" collapsed="false">
      <c r="A164" s="7"/>
      <c r="B164" s="90"/>
      <c r="C164" s="91"/>
      <c r="D164" s="126"/>
      <c r="E164" s="130"/>
      <c r="F164" s="135"/>
      <c r="G164" s="130"/>
      <c r="H164" s="135"/>
      <c r="I164" s="131"/>
      <c r="J164" s="131"/>
      <c r="K164" s="131"/>
      <c r="L164" s="130"/>
      <c r="M164" s="130"/>
      <c r="N164" s="130"/>
      <c r="O164" s="135"/>
      <c r="P164" s="130"/>
      <c r="Q164" s="130"/>
      <c r="R164" s="130"/>
      <c r="S164" s="130"/>
      <c r="T164" s="135"/>
      <c r="U164" s="130"/>
      <c r="V164" s="96"/>
      <c r="W164" s="130"/>
      <c r="X164" s="130"/>
      <c r="Y164" s="96"/>
      <c r="Z164" s="96"/>
      <c r="AA164" s="130"/>
      <c r="AB164" s="130"/>
      <c r="AC164" s="97"/>
      <c r="AD164" s="130"/>
      <c r="AE164" s="99"/>
      <c r="AF164" s="100"/>
      <c r="AG164" s="100"/>
      <c r="AH164" s="100" t="str">
        <f aca="false">IF(ISBLANK($C164),"",IF($E164=Constants!$B$2,TRUE(),IF($E164=Constants!$B$3,FALSE(),TRUE())))</f>
        <v/>
      </c>
      <c r="AI164" s="100" t="str">
        <f aca="false">IF(ISBLANK($C164),"",IF($F164=Constants!$B$2,TRUE(),IF($F164=Constants!$B$3,FALSE(),FALSE())))</f>
        <v/>
      </c>
      <c r="AJ164" s="100" t="str">
        <f aca="false">IF(ISBLANK($C164),"",IF($G164=Constants!$B$2,TRUE(),IF($G164=Constants!$B$3,FALSE(),TRUE())))</f>
        <v/>
      </c>
      <c r="AK164" s="100" t="str">
        <f aca="false">IF(ISBLANK($C164),"",IF($H164=Constants!$B$2,TRUE(),IF($H164=Constants!$B$3,FALSE(),TRUE())))</f>
        <v/>
      </c>
      <c r="AL164" s="100" t="str">
        <f aca="false">IF(ISBLANK($C164),"",IF(ISNUMBER($I164),IF($I164&gt;=0,$I164,""),""))</f>
        <v/>
      </c>
      <c r="AM164" s="100" t="str">
        <f aca="false">IF(ISBLANK($C164),"",IF(ISNUMBER($J164),IF($J164&gt;=0,$J164,""),""))</f>
        <v/>
      </c>
      <c r="AN164" s="100" t="str">
        <f aca="false">IF(ISBLANK($C164),"",IF(ISNUMBER($K164),IF($K164&gt;=0,$K164,""),""))</f>
        <v/>
      </c>
      <c r="AO164" s="100" t="str">
        <f aca="false">IF(ISBLANK($C164),"",IF($L164=Constants!$B$2,TRUE(),IF($L164=Constants!$B$3,FALSE(),TRUE())))</f>
        <v/>
      </c>
      <c r="AP164" s="100" t="str">
        <f aca="false">IF(ISBLANK($C164),"",IF($M164=Constants!$B$2,TRUE(),IF($M164=Constants!$B$3,FALSE(),TRUE())))</f>
        <v/>
      </c>
      <c r="AQ164" s="100" t="str">
        <f aca="false">IF(ISBLANK($C164),"",IF($N164=Constants!$B$2,TRUE(),IF($N164=Constants!$B$3,FALSE(),FALSE())))</f>
        <v/>
      </c>
      <c r="AR164" s="100" t="str">
        <f aca="false">IF(ISBLANK($C164),"",IF($O164=Constants!$B$2,TRUE(),IF($O164=Constants!$B$3,FALSE(),TRUE())))</f>
        <v/>
      </c>
      <c r="AS164" s="100" t="str">
        <f aca="false">IF(ISBLANK($C164),"",IF($P164=Constants!$B$2,TRUE(),IF($P164=Constants!$B$3,FALSE(),FALSE())))</f>
        <v/>
      </c>
      <c r="AT164" s="100" t="str">
        <f aca="false">IF(ISBLANK($C164),"",IF($Q164=Constants!$B$2,TRUE(),IF($Q164=Constants!$B$3,FALSE(),FALSE())))</f>
        <v/>
      </c>
      <c r="AU164" s="100" t="str">
        <f aca="false">IF(ISBLANK($C164),"",IF($R164=Constants!$B$2,TRUE(),IF($R164=Constants!$B$3,FALSE(),FALSE())))</f>
        <v/>
      </c>
      <c r="AV164" s="100" t="str">
        <f aca="false">IF(ISBLANK($C164),"",IF($S164=Constants!$B$2,TRUE(),IF($S164=Constants!$B$3,FALSE(),FALSE())))</f>
        <v/>
      </c>
      <c r="AW164" s="100" t="str">
        <f aca="false">IF(ISBLANK($C164),"",IF($T164=Constants!$B$2,TRUE(),IF($T164=Constants!$B$3,FALSE(),FALSE())))</f>
        <v/>
      </c>
      <c r="AX164" s="100" t="str">
        <f aca="false">IF(ISBLANK($C164),"",IF(OR($U164&amp;""="1",$U164&amp;""="2",$U164&amp;""="3",$U164&amp;""="4"),VALUE($U164&amp;""),IF($U164=Constants!$B$12,Constants!$B$12,"")))</f>
        <v/>
      </c>
      <c r="AY164" s="100" t="str">
        <f aca="false">IF(ISBLANK($C164),"",IF(ISBLANK($V164),0,IF(ISNUMBER($V164),IF(AND($V164&gt;=0,$V164&lt;=Constants!$B$21,$V164=INT($V164)),$V164,""),"")))</f>
        <v/>
      </c>
      <c r="AZ164" s="100" t="str">
        <f aca="false">IF(ISBLANK($C164),"",IF(ISBLANK($W164),0,IF(ISNUMBER($W164),IF($W164&gt;=0,$W164,""),"")))</f>
        <v/>
      </c>
      <c r="BA164" s="100" t="str">
        <f aca="false">IF(ISBLANK($C164),"",IF($X164=Constants!$B$2,TRUE(),IF($X164=Constants!$B$3,FALSE(),TRUE())))</f>
        <v/>
      </c>
      <c r="BB164" s="100" t="str">
        <f aca="false">IF(ISBLANK($C164),"",IF($Y164=Constants!$B$2,TRUE(),IF($Y164=Constants!$B$3,FALSE(),FALSE())))</f>
        <v/>
      </c>
      <c r="BC164" s="100" t="str">
        <f aca="false">IF(ISBLANK($C164),"",IF(ISBLANK($Z164),0,IF(ISNUMBER($Z164),IF(AND($Z164&gt;=0,$Z164&lt;=Constants!$B$35,$Z164=INT($Z164)),$Z164,""),"")))</f>
        <v/>
      </c>
      <c r="BD164" s="100" t="str">
        <f aca="false">IF(ISBLANK($C164),"",IF($AA164=Constants!$B$2,TRUE(),IF($AA164=Constants!$B$3,FALSE(),TRUE())))</f>
        <v/>
      </c>
      <c r="BE164" s="100" t="str">
        <f aca="false">IF(ISBLANK($C164),"",IF($AB164=Constants!$B$2,TRUE(),IF($AB164=Constants!$B$3,FALSE(),TRUE())))</f>
        <v/>
      </c>
      <c r="BF164" s="100" t="str">
        <f aca="false">IF(ISBLANK($C164),"",IF(ISNUMBER($AC164),IF($AC164&gt;=0,$AC164,""),""))</f>
        <v/>
      </c>
      <c r="BG164" s="100" t="str">
        <f aca="false">IF(ISBLANK($C164),"",IF($AD164=Constants!$B$2,TRUE(),IF($AD164=Constants!$B$3,FALSE(),FALSE())))</f>
        <v/>
      </c>
      <c r="BH164" s="99" t="str">
        <f aca="false">IF(ISBLANK($C164),"",IF($BG164,Constants!$B$7,IF(COUNTA($E164:$AC164)=0,Constants!$B$6,IF(OR(COUNTA($G164:$AC164)=0,NOT($AK164),$AQ164),Constants!$B$5,IF(OR($CI164&lt;&gt;"",$CJ164,$CK164,$CL164,$CM164,$CN164,$CO164),Constants!$B$8,Constants!$B$4)))))</f>
        <v/>
      </c>
      <c r="BI164" s="100" t="str">
        <f aca="false">IF(ISBLANK($C164),"",IF($BH164&lt;&gt;Constants!$B$4,$BH164,IF(OR(NOT($AH164),NOT($AJ164),NOT($AR164)),Constants!$B$11,IF(OR(NOT($AP164),MAX($AL164,$AM164,$AN164)&gt;Constants!$B$30),Constants!$B$10,Constants!$B$9))))</f>
        <v/>
      </c>
      <c r="BJ164" s="100" t="str">
        <f aca="false">IF($BH164&lt;&gt;Constants!$B$4,"",IF(NOT($AJ164),0,MIN(Constants!$B$35,$BC164)))</f>
        <v/>
      </c>
      <c r="BK164" s="100" t="str">
        <f aca="false">IF($BH164&lt;&gt;Constants!$B$4,"",IF(NOT($AJ164),0,IF($AT164,Constants!$B$18,IF($AS164,Constants!$B$17,0))))</f>
        <v/>
      </c>
      <c r="BL164" s="100" t="str">
        <f aca="false">IF($BH164&lt;&gt;Constants!$B$4,"",IF(NOT($AJ164),0,Constants!$B$19*($AI164+$AU164+$AV164+$AW164)))</f>
        <v/>
      </c>
      <c r="BM164" s="100" t="str">
        <f aca="false">IF($BH164&lt;&gt;Constants!$B$4,"",IF(OR(NOT($AJ164),NOT(ISNUMBER($AX164))),0,CHOOSE($AX164,Constants!$B$13,Constants!$B$14,Constants!$B$15,Constants!$B$16)))</f>
        <v/>
      </c>
      <c r="BN164" s="100" t="str">
        <f aca="false">IF($BH164&lt;&gt;Constants!$B$4,"",IF(NOT($AJ164),0,Constants!$B$20*$AY164))</f>
        <v/>
      </c>
      <c r="BO164" s="100" t="str">
        <f aca="false">IF($BH164&lt;&gt;Constants!$B$4,"",IF(AND($AJ164,$BA164,$BB164),Constants!$B$22,0))</f>
        <v/>
      </c>
      <c r="BP164" s="100" t="str">
        <f aca="false">IF($BH164&lt;&gt;Constants!$B$4,"",IF(OR(NOT($AJ164),NOT($BA164)),0,IF($BF164&gt;=2*$AF$9,0,Constants!$B$23*INT(ROUND(MIN($BF164,$AF$9),6)))))</f>
        <v/>
      </c>
      <c r="BQ164" s="100" t="str">
        <f aca="false">IF($BH164&lt;&gt;Constants!$B$4,"",IF(NOT($AJ164),0,Constants!$B$24*INT(ROUND(MIN($AZ164,$AF$9),6))))</f>
        <v/>
      </c>
      <c r="BR164" s="100" t="str">
        <f aca="false">IF($BH164&lt;&gt;Constants!$B$4,"",IF(AND($AJ164,$BJ164=0),Constants!$B$25,0))</f>
        <v/>
      </c>
      <c r="BS164" s="100" t="str">
        <f aca="false">IF($BH164&lt;&gt;Constants!$B$4,"",MIN(Constants!$B$29,MAX(0,Constants!$B$27*Constants!$B$28*INT(ROUND((Constants!$B$26-$AL164)/Constants!$B$28,6))))+MIN(Constants!$B$29,MAX(0,Constants!$B$27*Constants!$B$28*INT(ROUND((Constants!$B$26-$AM164)/Constants!$B$28,6))))+MIN(Constants!$B$29,MAX(0,Constants!$B$27*Constants!$B$28*INT(ROUND((Constants!$B$26-$AN164)/Constants!$B$28,6)))))</f>
        <v/>
      </c>
      <c r="BT164" s="100" t="str">
        <f aca="false">IF($BH164&lt;&gt;Constants!$B$4,"",IF(NOT($AJ164),0,Constants!$B$31*INT(ROUND(MAX(0,MIN($BF164,2*$AF$9)-$AF$9),6))))</f>
        <v/>
      </c>
      <c r="BU164" s="100" t="str">
        <f aca="false">IF($BH164&lt;&gt;Constants!$B$4,"",Constants!$B$32*(($AL164&gt;Constants!$B$26)+($AM164&gt;Constants!$B$26)+($AN164&gt;Constants!$B$26)))</f>
        <v/>
      </c>
      <c r="BV164" s="100" t="str">
        <f aca="false">IF($BH164&lt;&gt;Constants!$B$4,"",IF(OR(NOT($AJ164),$AO164),0,Constants!$B$33))</f>
        <v/>
      </c>
      <c r="BW164" s="100" t="str">
        <f aca="false">IF($BH164&lt;&gt;Constants!$B$4,"",Constants!$B$34*$BJ164)</f>
        <v/>
      </c>
      <c r="BX164" s="100" t="str">
        <f aca="false">IF($BH164&lt;&gt;Constants!$B$4,"",IF(OR(NOT($AJ164),$BE164),0,Constants!$B$36))</f>
        <v/>
      </c>
      <c r="BY164" s="100" t="str">
        <f aca="false">IF($BH164&lt;&gt;Constants!$B$4,"",IF(OR(NOT($AJ164),$BD164),0,Constants!$B$37))</f>
        <v/>
      </c>
      <c r="BZ164" s="100" t="str">
        <f aca="false">IF($BH164&lt;&gt;Constants!$B$4,"",SUM($BT164:$BY164))</f>
        <v/>
      </c>
      <c r="CA164" s="100" t="str">
        <f aca="false">IF(ISBLANK($C164),"",IF($BH164&lt;&gt;Constants!$B$4,$BH164,SUM($BK164:$BS164)-$BZ164))</f>
        <v/>
      </c>
      <c r="CB164" s="100" t="str">
        <f aca="false">IF(ISBLANK($C164),"",IF($BH164&lt;&gt;Constants!$B$4,$BH164,RANK($CA164,$CA$9:$CA$508)))</f>
        <v/>
      </c>
      <c r="CC164" s="100" t="str">
        <f aca="false">IF(ISBLANK($C164),"",IF($BH164&lt;&gt;Constants!$B$4,$BH164,COUNTIFS($BI$9:$BI$508,"&lt;"&amp;$BI164)+COUNTIFS($BI$9:$BI$508,$BI164,$CB$9:$CB$508,"&lt;"&amp;$CB164)+1))</f>
        <v/>
      </c>
      <c r="CD164" s="100" t="str">
        <f aca="false">IF(ISBLANK($C164),"",IF($BH164&lt;&gt;Constants!$B$4,$BH164,RANK($BZ164,$BZ$9:$BZ$508,1)))</f>
        <v/>
      </c>
      <c r="CE164" s="100" t="str">
        <f aca="false">IF($BH164&lt;&gt;Constants!$B$4,"",$AL164+$AM164+$AN164)</f>
        <v/>
      </c>
      <c r="CF164" s="100" t="str">
        <f aca="false">IF(ISBLANK($C164),"",IF($BH164&lt;&gt;Constants!$B$4,$BH164,RANK($CE164,$CE$9:$CE$508,1)))</f>
        <v/>
      </c>
      <c r="CG164" s="100" t="str">
        <f aca="false">IF(ISBLANK($C164),"",IF($BH164&lt;&gt;Constants!$B$4,$BH164,COUNTIFS($BI$9:$BI$508,"&lt;"&amp;$BI164)+COUNTIFS($BI$9:$BI$508,$BI164,$CB$9:$CB$508,"&lt;"&amp;$CB164)+COUNTIFS($BI$9:$BI$508,$BI164,$CB$9:$CB$508,$CB164,$CD$9:$CD$508,"&lt;"&amp;$CD164)+COUNTIFS($BI$9:$BI$508,$BI164,$CB$9:$CB$508,$CB164,$CD$9:$CD$508,$CD164,$CF$9:$CF$508,"&lt;"&amp;$CF164)+1))</f>
        <v/>
      </c>
      <c r="CH164" s="100" t="str">
        <f aca="false">IF(ISBLANK($C164),"",IF($BH164&lt;&gt;Constants!$B$4,$BH164,$CC164-$CG164))</f>
        <v/>
      </c>
      <c r="CI164" s="100" t="str">
        <f aca="false">IF(ISBLANK($C164),"",IF(NOT($AJ164),"",IF(ISBLANK($D$7),$CI$5,IF(NOT(ISNUMBER($D$7)),$CI$6,""))))</f>
        <v/>
      </c>
      <c r="CJ164" s="100" t="str">
        <f aca="false">IF(ISBLANK($C164),"",OR($AL164="",$AM164="",$AN164=""))</f>
        <v/>
      </c>
      <c r="CK164" s="100" t="str">
        <f aca="false">IF(ISBLANK($C164),"",AND($AJ164,$AX164=""))</f>
        <v/>
      </c>
      <c r="CL164" s="100" t="str">
        <f aca="false">IF(ISBLANK($C164),"",AND($AJ164,$AY164=""))</f>
        <v/>
      </c>
      <c r="CM164" s="100" t="str">
        <f aca="false">IF(ISBLANK($C164),"",AND($AJ164,$AZ164=""))</f>
        <v/>
      </c>
      <c r="CN164" s="100" t="str">
        <f aca="false">IF(ISBLANK($C164),"",AND($AJ164,$BC164=""))</f>
        <v/>
      </c>
      <c r="CO164" s="100" t="str">
        <f aca="false">IF(ISBLANK($C164),"",AND($AJ164,$BF164=""))</f>
        <v/>
      </c>
      <c r="CP164" s="101"/>
      <c r="CQ164" s="102"/>
      <c r="CR164" s="103" t="str">
        <f aca="false">IF(ISBLANK($C164),"",IF($BH164=Constants!$B$8,$CI164,""))</f>
        <v/>
      </c>
      <c r="CS164" s="102" t="str">
        <f aca="false">IF(ISBLANK($C164),"",IF($BH164&lt;&gt;Constants!$B$4,"",$BK164+$BL164))</f>
        <v/>
      </c>
      <c r="CT164" s="104" t="str">
        <f aca="false">IF(ISBLANK($C164),"",IF($BH164&lt;&gt;Constants!$B$4,"",$BM164+$BN164+$BO164))</f>
        <v/>
      </c>
      <c r="CU164" s="104" t="str">
        <f aca="false">IF(ISBLANK($C164),"",IF($BH164&lt;&gt;Constants!$B$4,"",$BP164))</f>
        <v/>
      </c>
      <c r="CV164" s="104" t="str">
        <f aca="false">IF(ISBLANK($C164),"",IF($BH164&lt;&gt;Constants!$B$4,"",$BQ164+$BR164))</f>
        <v/>
      </c>
      <c r="CW164" s="104" t="str">
        <f aca="false">IF(ISBLANK($C164),"",IF($BH164&lt;&gt;Constants!$B$4,"",$BS164))</f>
        <v/>
      </c>
      <c r="CX164" s="104" t="str">
        <f aca="false">IF(ISBLANK($C164),"",IF($BH164&lt;&gt;Constants!$B$4,"",-$BZ164))</f>
        <v/>
      </c>
      <c r="CY164" s="103" t="str">
        <f aca="false">IF(ISBLANK($C164),"",$CA164)</f>
        <v/>
      </c>
      <c r="CZ164" s="105" t="str">
        <f aca="false">IF(ISBLANK($C164),"",$BI164)</f>
        <v/>
      </c>
      <c r="DA164" s="104" t="str">
        <f aca="false">IF(ISBLANK($C164),"",$CH164)</f>
        <v/>
      </c>
      <c r="DB164" s="104" t="str">
        <f aca="false">IF(ISBLANK($C164),"",$CG164)</f>
        <v/>
      </c>
      <c r="DC164" s="106" t="str">
        <f aca="false">IF(ISBLANK($C164),"",IFERROR(_xlfn.SWITCH($DB164,Constants!$B$7,COUNTA($C$9:$C$508)+2,Constants!$B$6,COUNTA($C$9:$C$508)+1,Constants!$B$5,COUNTA($C$9:$C$508)),$DB164))</f>
        <v/>
      </c>
      <c r="DD164" s="7"/>
      <c r="DE164" s="107" t="n">
        <f aca="false">IF(OR(ISNUMBER($DB164),$DB164=Constants!$B$7,$DB164=Constants!$B$5,$DB164=Constants!$B$6),1,0)</f>
        <v>0</v>
      </c>
      <c r="DF164" s="107" t="n">
        <v>156</v>
      </c>
      <c r="DG164" s="107" t="str">
        <f aca="false">IF(ISBLANK($C164),"",IF(ISNUMBER($DC164),$DC164+ROW($B164)/1000,""))</f>
        <v/>
      </c>
      <c r="DH164" s="107" t="str">
        <f aca="false">IF(ISNUMBER($DG164),RANK($DG164,$DG$9:$DG$508,1),"")</f>
        <v/>
      </c>
      <c r="DI164" s="107" t="str">
        <f aca="false">IF(ISBLANK($C164),"",$B164)</f>
        <v/>
      </c>
      <c r="DJ164" s="107" t="str">
        <f aca="false">IF(ISBLANK($C164),"",$C164)</f>
        <v/>
      </c>
      <c r="DK164" s="107" t="str">
        <f aca="false">IF(ISBLANK($C164),"",$D164)</f>
        <v/>
      </c>
      <c r="DL164" s="108" t="str">
        <f aca="false">$CZ164</f>
        <v/>
      </c>
      <c r="DM164" s="109" t="str">
        <f aca="false">$CY164</f>
        <v/>
      </c>
      <c r="DN164" s="107" t="str">
        <f aca="false">IF(ISBLANK($C164),"",$DB164)</f>
        <v/>
      </c>
      <c r="DO164" s="110" t="str">
        <f aca="false">IF($DF164&gt;$DE$8,"",VLOOKUP($DF164,$DH$9:$DN$508,7,FALSE()))</f>
        <v/>
      </c>
      <c r="DP164" s="111" t="str">
        <f aca="false">IF($DF164&gt;$DE$8,"",VLOOKUP($DF164,$DH$9:$DN$508,2,FALSE()))</f>
        <v/>
      </c>
      <c r="DQ164" s="111" t="str">
        <f aca="false">IF($DF164&gt;$DE$8,"",VLOOKUP($DF164,$DH$9:$DN$508,3,FALSE()))</f>
        <v/>
      </c>
      <c r="DR164" s="111" t="str">
        <f aca="false">IF($DF164&gt;$DE$8,"",VLOOKUP($DF164,$DH$9:$DN$508,4,FALSE()))</f>
        <v/>
      </c>
      <c r="DS164" s="111" t="str">
        <f aca="false">IF($DF164&gt;$DE$8,"",VLOOKUP($DF164,$DH$9:$DN$508,5,FALSE()))</f>
        <v/>
      </c>
      <c r="DT164" s="112" t="str">
        <f aca="false">IF($DF164&gt;$DE$8,"",VLOOKUP($DF164,$DH$9:$DN$508,6,FALSE()))</f>
        <v/>
      </c>
      <c r="DU164" s="62"/>
    </row>
    <row r="165" customFormat="false" ht="15.75" hidden="false" customHeight="false" outlineLevel="0" collapsed="false">
      <c r="A165" s="7"/>
      <c r="B165" s="64"/>
      <c r="C165" s="65"/>
      <c r="D165" s="123"/>
      <c r="E165" s="88"/>
      <c r="F165" s="134"/>
      <c r="G165" s="88"/>
      <c r="H165" s="134"/>
      <c r="I165" s="119"/>
      <c r="J165" s="119"/>
      <c r="K165" s="119"/>
      <c r="L165" s="88"/>
      <c r="M165" s="88"/>
      <c r="N165" s="88"/>
      <c r="O165" s="134"/>
      <c r="P165" s="88"/>
      <c r="Q165" s="88"/>
      <c r="R165" s="88"/>
      <c r="S165" s="88"/>
      <c r="T165" s="134"/>
      <c r="U165" s="88"/>
      <c r="V165" s="70"/>
      <c r="W165" s="88"/>
      <c r="X165" s="88"/>
      <c r="Y165" s="70"/>
      <c r="Z165" s="70"/>
      <c r="AA165" s="88"/>
      <c r="AB165" s="88"/>
      <c r="AC165" s="71"/>
      <c r="AD165" s="88"/>
      <c r="AE165" s="73"/>
      <c r="AF165" s="74"/>
      <c r="AG165" s="74"/>
      <c r="AH165" s="74" t="str">
        <f aca="false">IF(ISBLANK($C165),"",IF($E165=Constants!$B$2,TRUE(),IF($E165=Constants!$B$3,FALSE(),TRUE())))</f>
        <v/>
      </c>
      <c r="AI165" s="74" t="str">
        <f aca="false">IF(ISBLANK($C165),"",IF($F165=Constants!$B$2,TRUE(),IF($F165=Constants!$B$3,FALSE(),FALSE())))</f>
        <v/>
      </c>
      <c r="AJ165" s="74" t="str">
        <f aca="false">IF(ISBLANK($C165),"",IF($G165=Constants!$B$2,TRUE(),IF($G165=Constants!$B$3,FALSE(),TRUE())))</f>
        <v/>
      </c>
      <c r="AK165" s="74" t="str">
        <f aca="false">IF(ISBLANK($C165),"",IF($H165=Constants!$B$2,TRUE(),IF($H165=Constants!$B$3,FALSE(),TRUE())))</f>
        <v/>
      </c>
      <c r="AL165" s="74" t="str">
        <f aca="false">IF(ISBLANK($C165),"",IF(ISNUMBER($I165),IF($I165&gt;=0,$I165,""),""))</f>
        <v/>
      </c>
      <c r="AM165" s="74" t="str">
        <f aca="false">IF(ISBLANK($C165),"",IF(ISNUMBER($J165),IF($J165&gt;=0,$J165,""),""))</f>
        <v/>
      </c>
      <c r="AN165" s="74" t="str">
        <f aca="false">IF(ISBLANK($C165),"",IF(ISNUMBER($K165),IF($K165&gt;=0,$K165,""),""))</f>
        <v/>
      </c>
      <c r="AO165" s="74" t="str">
        <f aca="false">IF(ISBLANK($C165),"",IF($L165=Constants!$B$2,TRUE(),IF($L165=Constants!$B$3,FALSE(),TRUE())))</f>
        <v/>
      </c>
      <c r="AP165" s="74" t="str">
        <f aca="false">IF(ISBLANK($C165),"",IF($M165=Constants!$B$2,TRUE(),IF($M165=Constants!$B$3,FALSE(),TRUE())))</f>
        <v/>
      </c>
      <c r="AQ165" s="74" t="str">
        <f aca="false">IF(ISBLANK($C165),"",IF($N165=Constants!$B$2,TRUE(),IF($N165=Constants!$B$3,FALSE(),FALSE())))</f>
        <v/>
      </c>
      <c r="AR165" s="74" t="str">
        <f aca="false">IF(ISBLANK($C165),"",IF($O165=Constants!$B$2,TRUE(),IF($O165=Constants!$B$3,FALSE(),TRUE())))</f>
        <v/>
      </c>
      <c r="AS165" s="74" t="str">
        <f aca="false">IF(ISBLANK($C165),"",IF($P165=Constants!$B$2,TRUE(),IF($P165=Constants!$B$3,FALSE(),FALSE())))</f>
        <v/>
      </c>
      <c r="AT165" s="74" t="str">
        <f aca="false">IF(ISBLANK($C165),"",IF($Q165=Constants!$B$2,TRUE(),IF($Q165=Constants!$B$3,FALSE(),FALSE())))</f>
        <v/>
      </c>
      <c r="AU165" s="74" t="str">
        <f aca="false">IF(ISBLANK($C165),"",IF($R165=Constants!$B$2,TRUE(),IF($R165=Constants!$B$3,FALSE(),FALSE())))</f>
        <v/>
      </c>
      <c r="AV165" s="74" t="str">
        <f aca="false">IF(ISBLANK($C165),"",IF($S165=Constants!$B$2,TRUE(),IF($S165=Constants!$B$3,FALSE(),FALSE())))</f>
        <v/>
      </c>
      <c r="AW165" s="74" t="str">
        <f aca="false">IF(ISBLANK($C165),"",IF($T165=Constants!$B$2,TRUE(),IF($T165=Constants!$B$3,FALSE(),FALSE())))</f>
        <v/>
      </c>
      <c r="AX165" s="74" t="str">
        <f aca="false">IF(ISBLANK($C165),"",IF(OR($U165&amp;""="1",$U165&amp;""="2",$U165&amp;""="3",$U165&amp;""="4"),VALUE($U165&amp;""),IF($U165=Constants!$B$12,Constants!$B$12,"")))</f>
        <v/>
      </c>
      <c r="AY165" s="74" t="str">
        <f aca="false">IF(ISBLANK($C165),"",IF(ISBLANK($V165),0,IF(ISNUMBER($V165),IF(AND($V165&gt;=0,$V165&lt;=Constants!$B$21,$V165=INT($V165)),$V165,""),"")))</f>
        <v/>
      </c>
      <c r="AZ165" s="74" t="str">
        <f aca="false">IF(ISBLANK($C165),"",IF(ISBLANK($W165),0,IF(ISNUMBER($W165),IF($W165&gt;=0,$W165,""),"")))</f>
        <v/>
      </c>
      <c r="BA165" s="74" t="str">
        <f aca="false">IF(ISBLANK($C165),"",IF($X165=Constants!$B$2,TRUE(),IF($X165=Constants!$B$3,FALSE(),TRUE())))</f>
        <v/>
      </c>
      <c r="BB165" s="74" t="str">
        <f aca="false">IF(ISBLANK($C165),"",IF($Y165=Constants!$B$2,TRUE(),IF($Y165=Constants!$B$3,FALSE(),FALSE())))</f>
        <v/>
      </c>
      <c r="BC165" s="74" t="str">
        <f aca="false">IF(ISBLANK($C165),"",IF(ISBLANK($Z165),0,IF(ISNUMBER($Z165),IF(AND($Z165&gt;=0,$Z165&lt;=Constants!$B$35,$Z165=INT($Z165)),$Z165,""),"")))</f>
        <v/>
      </c>
      <c r="BD165" s="74" t="str">
        <f aca="false">IF(ISBLANK($C165),"",IF($AA165=Constants!$B$2,TRUE(),IF($AA165=Constants!$B$3,FALSE(),TRUE())))</f>
        <v/>
      </c>
      <c r="BE165" s="74" t="str">
        <f aca="false">IF(ISBLANK($C165),"",IF($AB165=Constants!$B$2,TRUE(),IF($AB165=Constants!$B$3,FALSE(),TRUE())))</f>
        <v/>
      </c>
      <c r="BF165" s="74" t="str">
        <f aca="false">IF(ISBLANK($C165),"",IF(ISNUMBER($AC165),IF($AC165&gt;=0,$AC165,""),""))</f>
        <v/>
      </c>
      <c r="BG165" s="74" t="str">
        <f aca="false">IF(ISBLANK($C165),"",IF($AD165=Constants!$B$2,TRUE(),IF($AD165=Constants!$B$3,FALSE(),FALSE())))</f>
        <v/>
      </c>
      <c r="BH165" s="73" t="str">
        <f aca="false">IF(ISBLANK($C165),"",IF($BG165,Constants!$B$7,IF(COUNTA($E165:$AC165)=0,Constants!$B$6,IF(OR(COUNTA($G165:$AC165)=0,NOT($AK165),$AQ165),Constants!$B$5,IF(OR($CI165&lt;&gt;"",$CJ165,$CK165,$CL165,$CM165,$CN165,$CO165),Constants!$B$8,Constants!$B$4)))))</f>
        <v/>
      </c>
      <c r="BI165" s="74" t="str">
        <f aca="false">IF(ISBLANK($C165),"",IF($BH165&lt;&gt;Constants!$B$4,$BH165,IF(OR(NOT($AH165),NOT($AJ165),NOT($AR165)),Constants!$B$11,IF(OR(NOT($AP165),MAX($AL165,$AM165,$AN165)&gt;Constants!$B$30),Constants!$B$10,Constants!$B$9))))</f>
        <v/>
      </c>
      <c r="BJ165" s="74" t="str">
        <f aca="false">IF($BH165&lt;&gt;Constants!$B$4,"",IF(NOT($AJ165),0,MIN(Constants!$B$35,$BC165)))</f>
        <v/>
      </c>
      <c r="BK165" s="74" t="str">
        <f aca="false">IF($BH165&lt;&gt;Constants!$B$4,"",IF(NOT($AJ165),0,IF($AT165,Constants!$B$18,IF($AS165,Constants!$B$17,0))))</f>
        <v/>
      </c>
      <c r="BL165" s="74" t="str">
        <f aca="false">IF($BH165&lt;&gt;Constants!$B$4,"",IF(NOT($AJ165),0,Constants!$B$19*($AI165+$AU165+$AV165+$AW165)))</f>
        <v/>
      </c>
      <c r="BM165" s="74" t="str">
        <f aca="false">IF($BH165&lt;&gt;Constants!$B$4,"",IF(OR(NOT($AJ165),NOT(ISNUMBER($AX165))),0,CHOOSE($AX165,Constants!$B$13,Constants!$B$14,Constants!$B$15,Constants!$B$16)))</f>
        <v/>
      </c>
      <c r="BN165" s="74" t="str">
        <f aca="false">IF($BH165&lt;&gt;Constants!$B$4,"",IF(NOT($AJ165),0,Constants!$B$20*$AY165))</f>
        <v/>
      </c>
      <c r="BO165" s="74" t="str">
        <f aca="false">IF($BH165&lt;&gt;Constants!$B$4,"",IF(AND($AJ165,$BA165,$BB165),Constants!$B$22,0))</f>
        <v/>
      </c>
      <c r="BP165" s="74" t="str">
        <f aca="false">IF($BH165&lt;&gt;Constants!$B$4,"",IF(OR(NOT($AJ165),NOT($BA165)),0,IF($BF165&gt;=2*$AF$9,0,Constants!$B$23*INT(ROUND(MIN($BF165,$AF$9),6)))))</f>
        <v/>
      </c>
      <c r="BQ165" s="74" t="str">
        <f aca="false">IF($BH165&lt;&gt;Constants!$B$4,"",IF(NOT($AJ165),0,Constants!$B$24*INT(ROUND(MIN($AZ165,$AF$9),6))))</f>
        <v/>
      </c>
      <c r="BR165" s="74" t="str">
        <f aca="false">IF($BH165&lt;&gt;Constants!$B$4,"",IF(AND($AJ165,$BJ165=0),Constants!$B$25,0))</f>
        <v/>
      </c>
      <c r="BS165" s="74" t="str">
        <f aca="false">IF($BH165&lt;&gt;Constants!$B$4,"",MIN(Constants!$B$29,MAX(0,Constants!$B$27*Constants!$B$28*INT(ROUND((Constants!$B$26-$AL165)/Constants!$B$28,6))))+MIN(Constants!$B$29,MAX(0,Constants!$B$27*Constants!$B$28*INT(ROUND((Constants!$B$26-$AM165)/Constants!$B$28,6))))+MIN(Constants!$B$29,MAX(0,Constants!$B$27*Constants!$B$28*INT(ROUND((Constants!$B$26-$AN165)/Constants!$B$28,6)))))</f>
        <v/>
      </c>
      <c r="BT165" s="74" t="str">
        <f aca="false">IF($BH165&lt;&gt;Constants!$B$4,"",IF(NOT($AJ165),0,Constants!$B$31*INT(ROUND(MAX(0,MIN($BF165,2*$AF$9)-$AF$9),6))))</f>
        <v/>
      </c>
      <c r="BU165" s="74" t="str">
        <f aca="false">IF($BH165&lt;&gt;Constants!$B$4,"",Constants!$B$32*(($AL165&gt;Constants!$B$26)+($AM165&gt;Constants!$B$26)+($AN165&gt;Constants!$B$26)))</f>
        <v/>
      </c>
      <c r="BV165" s="74" t="str">
        <f aca="false">IF($BH165&lt;&gt;Constants!$B$4,"",IF(OR(NOT($AJ165),$AO165),0,Constants!$B$33))</f>
        <v/>
      </c>
      <c r="BW165" s="74" t="str">
        <f aca="false">IF($BH165&lt;&gt;Constants!$B$4,"",Constants!$B$34*$BJ165)</f>
        <v/>
      </c>
      <c r="BX165" s="74" t="str">
        <f aca="false">IF($BH165&lt;&gt;Constants!$B$4,"",IF(OR(NOT($AJ165),$BE165),0,Constants!$B$36))</f>
        <v/>
      </c>
      <c r="BY165" s="74" t="str">
        <f aca="false">IF($BH165&lt;&gt;Constants!$B$4,"",IF(OR(NOT($AJ165),$BD165),0,Constants!$B$37))</f>
        <v/>
      </c>
      <c r="BZ165" s="74" t="str">
        <f aca="false">IF($BH165&lt;&gt;Constants!$B$4,"",SUM($BT165:$BY165))</f>
        <v/>
      </c>
      <c r="CA165" s="74" t="str">
        <f aca="false">IF(ISBLANK($C165),"",IF($BH165&lt;&gt;Constants!$B$4,$BH165,SUM($BK165:$BS165)-$BZ165))</f>
        <v/>
      </c>
      <c r="CB165" s="74" t="str">
        <f aca="false">IF(ISBLANK($C165),"",IF($BH165&lt;&gt;Constants!$B$4,$BH165,RANK($CA165,$CA$9:$CA$508)))</f>
        <v/>
      </c>
      <c r="CC165" s="74" t="str">
        <f aca="false">IF(ISBLANK($C165),"",IF($BH165&lt;&gt;Constants!$B$4,$BH165,COUNTIFS($BI$9:$BI$508,"&lt;"&amp;$BI165)+COUNTIFS($BI$9:$BI$508,$BI165,$CB$9:$CB$508,"&lt;"&amp;$CB165)+1))</f>
        <v/>
      </c>
      <c r="CD165" s="74" t="str">
        <f aca="false">IF(ISBLANK($C165),"",IF($BH165&lt;&gt;Constants!$B$4,$BH165,RANK($BZ165,$BZ$9:$BZ$508,1)))</f>
        <v/>
      </c>
      <c r="CE165" s="74" t="str">
        <f aca="false">IF($BH165&lt;&gt;Constants!$B$4,"",$AL165+$AM165+$AN165)</f>
        <v/>
      </c>
      <c r="CF165" s="74" t="str">
        <f aca="false">IF(ISBLANK($C165),"",IF($BH165&lt;&gt;Constants!$B$4,$BH165,RANK($CE165,$CE$9:$CE$508,1)))</f>
        <v/>
      </c>
      <c r="CG165" s="74" t="str">
        <f aca="false">IF(ISBLANK($C165),"",IF($BH165&lt;&gt;Constants!$B$4,$BH165,COUNTIFS($BI$9:$BI$508,"&lt;"&amp;$BI165)+COUNTIFS($BI$9:$BI$508,$BI165,$CB$9:$CB$508,"&lt;"&amp;$CB165)+COUNTIFS($BI$9:$BI$508,$BI165,$CB$9:$CB$508,$CB165,$CD$9:$CD$508,"&lt;"&amp;$CD165)+COUNTIFS($BI$9:$BI$508,$BI165,$CB$9:$CB$508,$CB165,$CD$9:$CD$508,$CD165,$CF$9:$CF$508,"&lt;"&amp;$CF165)+1))</f>
        <v/>
      </c>
      <c r="CH165" s="74" t="str">
        <f aca="false">IF(ISBLANK($C165),"",IF($BH165&lt;&gt;Constants!$B$4,$BH165,$CC165-$CG165))</f>
        <v/>
      </c>
      <c r="CI165" s="74" t="str">
        <f aca="false">IF(ISBLANK($C165),"",IF(NOT($AJ165),"",IF(ISBLANK($D$7),$CI$5,IF(NOT(ISNUMBER($D$7)),$CI$6,""))))</f>
        <v/>
      </c>
      <c r="CJ165" s="74" t="str">
        <f aca="false">IF(ISBLANK($C165),"",OR($AL165="",$AM165="",$AN165=""))</f>
        <v/>
      </c>
      <c r="CK165" s="74" t="str">
        <f aca="false">IF(ISBLANK($C165),"",AND($AJ165,$AX165=""))</f>
        <v/>
      </c>
      <c r="CL165" s="74" t="str">
        <f aca="false">IF(ISBLANK($C165),"",AND($AJ165,$AY165=""))</f>
        <v/>
      </c>
      <c r="CM165" s="74" t="str">
        <f aca="false">IF(ISBLANK($C165),"",AND($AJ165,$AZ165=""))</f>
        <v/>
      </c>
      <c r="CN165" s="74" t="str">
        <f aca="false">IF(ISBLANK($C165),"",AND($AJ165,$BC165=""))</f>
        <v/>
      </c>
      <c r="CO165" s="74" t="str">
        <f aca="false">IF(ISBLANK($C165),"",AND($AJ165,$BF165=""))</f>
        <v/>
      </c>
      <c r="CP165" s="75"/>
      <c r="CQ165" s="76"/>
      <c r="CR165" s="79" t="str">
        <f aca="false">IF(ISBLANK($C165),"",IF($BH165=Constants!$B$8,$CI165,""))</f>
        <v/>
      </c>
      <c r="CS165" s="76" t="str">
        <f aca="false">IF(ISBLANK($C165),"",IF($BH165&lt;&gt;Constants!$B$4,"",$BK165+$BL165))</f>
        <v/>
      </c>
      <c r="CT165" s="78" t="str">
        <f aca="false">IF(ISBLANK($C165),"",IF($BH165&lt;&gt;Constants!$B$4,"",$BM165+$BN165+$BO165))</f>
        <v/>
      </c>
      <c r="CU165" s="78" t="str">
        <f aca="false">IF(ISBLANK($C165),"",IF($BH165&lt;&gt;Constants!$B$4,"",$BP165))</f>
        <v/>
      </c>
      <c r="CV165" s="78" t="str">
        <f aca="false">IF(ISBLANK($C165),"",IF($BH165&lt;&gt;Constants!$B$4,"",$BQ165+$BR165))</f>
        <v/>
      </c>
      <c r="CW165" s="78" t="str">
        <f aca="false">IF(ISBLANK($C165),"",IF($BH165&lt;&gt;Constants!$B$4,"",$BS165))</f>
        <v/>
      </c>
      <c r="CX165" s="78" t="str">
        <f aca="false">IF(ISBLANK($C165),"",IF($BH165&lt;&gt;Constants!$B$4,"",-$BZ165))</f>
        <v/>
      </c>
      <c r="CY165" s="79" t="str">
        <f aca="false">IF(ISBLANK($C165),"",$CA165)</f>
        <v/>
      </c>
      <c r="CZ165" s="80" t="str">
        <f aca="false">IF(ISBLANK($C165),"",$BI165)</f>
        <v/>
      </c>
      <c r="DA165" s="78" t="str">
        <f aca="false">IF(ISBLANK($C165),"",$CH165)</f>
        <v/>
      </c>
      <c r="DB165" s="78" t="str">
        <f aca="false">IF(ISBLANK($C165),"",$CG165)</f>
        <v/>
      </c>
      <c r="DC165" s="81" t="str">
        <f aca="false">IF(ISBLANK($C165),"",IFERROR(_xlfn.SWITCH($DB165,Constants!$B$7,COUNTA($C$9:$C$508)+2,Constants!$B$6,COUNTA($C$9:$C$508)+1,Constants!$B$5,COUNTA($C$9:$C$508)),$DB165))</f>
        <v/>
      </c>
      <c r="DD165" s="7"/>
      <c r="DE165" s="82" t="n">
        <f aca="false">IF(OR(ISNUMBER($DB165),$DB165=Constants!$B$7,$DB165=Constants!$B$5,$DB165=Constants!$B$6),1,0)</f>
        <v>0</v>
      </c>
      <c r="DF165" s="82" t="n">
        <v>157</v>
      </c>
      <c r="DG165" s="82" t="str">
        <f aca="false">IF(ISBLANK($C165),"",IF(ISNUMBER($DC165),$DC165+ROW($B165)/1000,""))</f>
        <v/>
      </c>
      <c r="DH165" s="82" t="str">
        <f aca="false">IF(ISNUMBER($DG165),RANK($DG165,$DG$9:$DG$508,1),"")</f>
        <v/>
      </c>
      <c r="DI165" s="82" t="str">
        <f aca="false">IF(ISBLANK($C165),"",$B165)</f>
        <v/>
      </c>
      <c r="DJ165" s="82" t="str">
        <f aca="false">IF(ISBLANK($C165),"",$C165)</f>
        <v/>
      </c>
      <c r="DK165" s="82" t="str">
        <f aca="false">IF(ISBLANK($C165),"",$D165)</f>
        <v/>
      </c>
      <c r="DL165" s="83" t="str">
        <f aca="false">$CZ165</f>
        <v/>
      </c>
      <c r="DM165" s="84" t="str">
        <f aca="false">$CY165</f>
        <v/>
      </c>
      <c r="DN165" s="82" t="str">
        <f aca="false">IF(ISBLANK($C165),"",$DB165)</f>
        <v/>
      </c>
      <c r="DO165" s="85" t="str">
        <f aca="false">IF($DF165&gt;$DE$8,"",VLOOKUP($DF165,$DH$9:$DN$508,7,FALSE()))</f>
        <v/>
      </c>
      <c r="DP165" s="86" t="str">
        <f aca="false">IF($DF165&gt;$DE$8,"",VLOOKUP($DF165,$DH$9:$DN$508,2,FALSE()))</f>
        <v/>
      </c>
      <c r="DQ165" s="86" t="str">
        <f aca="false">IF($DF165&gt;$DE$8,"",VLOOKUP($DF165,$DH$9:$DN$508,3,FALSE()))</f>
        <v/>
      </c>
      <c r="DR165" s="86" t="str">
        <f aca="false">IF($DF165&gt;$DE$8,"",VLOOKUP($DF165,$DH$9:$DN$508,4,FALSE()))</f>
        <v/>
      </c>
      <c r="DS165" s="86" t="str">
        <f aca="false">IF($DF165&gt;$DE$8,"",VLOOKUP($DF165,$DH$9:$DN$508,5,FALSE()))</f>
        <v/>
      </c>
      <c r="DT165" s="87" t="str">
        <f aca="false">IF($DF165&gt;$DE$8,"",VLOOKUP($DF165,$DH$9:$DN$508,6,FALSE()))</f>
        <v/>
      </c>
      <c r="DU165" s="62"/>
    </row>
    <row r="166" customFormat="false" ht="15.75" hidden="false" customHeight="false" outlineLevel="0" collapsed="false">
      <c r="A166" s="7"/>
      <c r="B166" s="64"/>
      <c r="C166" s="65"/>
      <c r="D166" s="123"/>
      <c r="E166" s="88"/>
      <c r="F166" s="134"/>
      <c r="G166" s="88"/>
      <c r="H166" s="134"/>
      <c r="I166" s="119"/>
      <c r="J166" s="119"/>
      <c r="K166" s="119"/>
      <c r="L166" s="88"/>
      <c r="M166" s="88"/>
      <c r="N166" s="88"/>
      <c r="O166" s="134"/>
      <c r="P166" s="88"/>
      <c r="Q166" s="88"/>
      <c r="R166" s="88"/>
      <c r="S166" s="88"/>
      <c r="T166" s="134"/>
      <c r="U166" s="88"/>
      <c r="V166" s="70"/>
      <c r="W166" s="88"/>
      <c r="X166" s="88"/>
      <c r="Y166" s="70"/>
      <c r="Z166" s="70"/>
      <c r="AA166" s="88"/>
      <c r="AB166" s="88"/>
      <c r="AC166" s="71"/>
      <c r="AD166" s="88"/>
      <c r="AE166" s="73"/>
      <c r="AF166" s="74"/>
      <c r="AG166" s="74"/>
      <c r="AH166" s="74" t="str">
        <f aca="false">IF(ISBLANK($C166),"",IF($E166=Constants!$B$2,TRUE(),IF($E166=Constants!$B$3,FALSE(),TRUE())))</f>
        <v/>
      </c>
      <c r="AI166" s="74" t="str">
        <f aca="false">IF(ISBLANK($C166),"",IF($F166=Constants!$B$2,TRUE(),IF($F166=Constants!$B$3,FALSE(),FALSE())))</f>
        <v/>
      </c>
      <c r="AJ166" s="74" t="str">
        <f aca="false">IF(ISBLANK($C166),"",IF($G166=Constants!$B$2,TRUE(),IF($G166=Constants!$B$3,FALSE(),TRUE())))</f>
        <v/>
      </c>
      <c r="AK166" s="74" t="str">
        <f aca="false">IF(ISBLANK($C166),"",IF($H166=Constants!$B$2,TRUE(),IF($H166=Constants!$B$3,FALSE(),TRUE())))</f>
        <v/>
      </c>
      <c r="AL166" s="74" t="str">
        <f aca="false">IF(ISBLANK($C166),"",IF(ISNUMBER($I166),IF($I166&gt;=0,$I166,""),""))</f>
        <v/>
      </c>
      <c r="AM166" s="74" t="str">
        <f aca="false">IF(ISBLANK($C166),"",IF(ISNUMBER($J166),IF($J166&gt;=0,$J166,""),""))</f>
        <v/>
      </c>
      <c r="AN166" s="74" t="str">
        <f aca="false">IF(ISBLANK($C166),"",IF(ISNUMBER($K166),IF($K166&gt;=0,$K166,""),""))</f>
        <v/>
      </c>
      <c r="AO166" s="74" t="str">
        <f aca="false">IF(ISBLANK($C166),"",IF($L166=Constants!$B$2,TRUE(),IF($L166=Constants!$B$3,FALSE(),TRUE())))</f>
        <v/>
      </c>
      <c r="AP166" s="74" t="str">
        <f aca="false">IF(ISBLANK($C166),"",IF($M166=Constants!$B$2,TRUE(),IF($M166=Constants!$B$3,FALSE(),TRUE())))</f>
        <v/>
      </c>
      <c r="AQ166" s="74" t="str">
        <f aca="false">IF(ISBLANK($C166),"",IF($N166=Constants!$B$2,TRUE(),IF($N166=Constants!$B$3,FALSE(),FALSE())))</f>
        <v/>
      </c>
      <c r="AR166" s="74" t="str">
        <f aca="false">IF(ISBLANK($C166),"",IF($O166=Constants!$B$2,TRUE(),IF($O166=Constants!$B$3,FALSE(),TRUE())))</f>
        <v/>
      </c>
      <c r="AS166" s="74" t="str">
        <f aca="false">IF(ISBLANK($C166),"",IF($P166=Constants!$B$2,TRUE(),IF($P166=Constants!$B$3,FALSE(),FALSE())))</f>
        <v/>
      </c>
      <c r="AT166" s="74" t="str">
        <f aca="false">IF(ISBLANK($C166),"",IF($Q166=Constants!$B$2,TRUE(),IF($Q166=Constants!$B$3,FALSE(),FALSE())))</f>
        <v/>
      </c>
      <c r="AU166" s="74" t="str">
        <f aca="false">IF(ISBLANK($C166),"",IF($R166=Constants!$B$2,TRUE(),IF($R166=Constants!$B$3,FALSE(),FALSE())))</f>
        <v/>
      </c>
      <c r="AV166" s="74" t="str">
        <f aca="false">IF(ISBLANK($C166),"",IF($S166=Constants!$B$2,TRUE(),IF($S166=Constants!$B$3,FALSE(),FALSE())))</f>
        <v/>
      </c>
      <c r="AW166" s="74" t="str">
        <f aca="false">IF(ISBLANK($C166),"",IF($T166=Constants!$B$2,TRUE(),IF($T166=Constants!$B$3,FALSE(),FALSE())))</f>
        <v/>
      </c>
      <c r="AX166" s="74" t="str">
        <f aca="false">IF(ISBLANK($C166),"",IF(OR($U166&amp;""="1",$U166&amp;""="2",$U166&amp;""="3",$U166&amp;""="4"),VALUE($U166&amp;""),IF($U166=Constants!$B$12,Constants!$B$12,"")))</f>
        <v/>
      </c>
      <c r="AY166" s="74" t="str">
        <f aca="false">IF(ISBLANK($C166),"",IF(ISBLANK($V166),0,IF(ISNUMBER($V166),IF(AND($V166&gt;=0,$V166&lt;=Constants!$B$21,$V166=INT($V166)),$V166,""),"")))</f>
        <v/>
      </c>
      <c r="AZ166" s="74" t="str">
        <f aca="false">IF(ISBLANK($C166),"",IF(ISBLANK($W166),0,IF(ISNUMBER($W166),IF($W166&gt;=0,$W166,""),"")))</f>
        <v/>
      </c>
      <c r="BA166" s="74" t="str">
        <f aca="false">IF(ISBLANK($C166),"",IF($X166=Constants!$B$2,TRUE(),IF($X166=Constants!$B$3,FALSE(),TRUE())))</f>
        <v/>
      </c>
      <c r="BB166" s="74" t="str">
        <f aca="false">IF(ISBLANK($C166),"",IF($Y166=Constants!$B$2,TRUE(),IF($Y166=Constants!$B$3,FALSE(),FALSE())))</f>
        <v/>
      </c>
      <c r="BC166" s="74" t="str">
        <f aca="false">IF(ISBLANK($C166),"",IF(ISBLANK($Z166),0,IF(ISNUMBER($Z166),IF(AND($Z166&gt;=0,$Z166&lt;=Constants!$B$35,$Z166=INT($Z166)),$Z166,""),"")))</f>
        <v/>
      </c>
      <c r="BD166" s="74" t="str">
        <f aca="false">IF(ISBLANK($C166),"",IF($AA166=Constants!$B$2,TRUE(),IF($AA166=Constants!$B$3,FALSE(),TRUE())))</f>
        <v/>
      </c>
      <c r="BE166" s="74" t="str">
        <f aca="false">IF(ISBLANK($C166),"",IF($AB166=Constants!$B$2,TRUE(),IF($AB166=Constants!$B$3,FALSE(),TRUE())))</f>
        <v/>
      </c>
      <c r="BF166" s="74" t="str">
        <f aca="false">IF(ISBLANK($C166),"",IF(ISNUMBER($AC166),IF($AC166&gt;=0,$AC166,""),""))</f>
        <v/>
      </c>
      <c r="BG166" s="74" t="str">
        <f aca="false">IF(ISBLANK($C166),"",IF($AD166=Constants!$B$2,TRUE(),IF($AD166=Constants!$B$3,FALSE(),FALSE())))</f>
        <v/>
      </c>
      <c r="BH166" s="73" t="str">
        <f aca="false">IF(ISBLANK($C166),"",IF($BG166,Constants!$B$7,IF(COUNTA($E166:$AC166)=0,Constants!$B$6,IF(OR(COUNTA($G166:$AC166)=0,NOT($AK166),$AQ166),Constants!$B$5,IF(OR($CI166&lt;&gt;"",$CJ166,$CK166,$CL166,$CM166,$CN166,$CO166),Constants!$B$8,Constants!$B$4)))))</f>
        <v/>
      </c>
      <c r="BI166" s="74" t="str">
        <f aca="false">IF(ISBLANK($C166),"",IF($BH166&lt;&gt;Constants!$B$4,$BH166,IF(OR(NOT($AH166),NOT($AJ166),NOT($AR166)),Constants!$B$11,IF(OR(NOT($AP166),MAX($AL166,$AM166,$AN166)&gt;Constants!$B$30),Constants!$B$10,Constants!$B$9))))</f>
        <v/>
      </c>
      <c r="BJ166" s="74" t="str">
        <f aca="false">IF($BH166&lt;&gt;Constants!$B$4,"",IF(NOT($AJ166),0,MIN(Constants!$B$35,$BC166)))</f>
        <v/>
      </c>
      <c r="BK166" s="74" t="str">
        <f aca="false">IF($BH166&lt;&gt;Constants!$B$4,"",IF(NOT($AJ166),0,IF($AT166,Constants!$B$18,IF($AS166,Constants!$B$17,0))))</f>
        <v/>
      </c>
      <c r="BL166" s="74" t="str">
        <f aca="false">IF($BH166&lt;&gt;Constants!$B$4,"",IF(NOT($AJ166),0,Constants!$B$19*($AI166+$AU166+$AV166+$AW166)))</f>
        <v/>
      </c>
      <c r="BM166" s="74" t="str">
        <f aca="false">IF($BH166&lt;&gt;Constants!$B$4,"",IF(OR(NOT($AJ166),NOT(ISNUMBER($AX166))),0,CHOOSE($AX166,Constants!$B$13,Constants!$B$14,Constants!$B$15,Constants!$B$16)))</f>
        <v/>
      </c>
      <c r="BN166" s="74" t="str">
        <f aca="false">IF($BH166&lt;&gt;Constants!$B$4,"",IF(NOT($AJ166),0,Constants!$B$20*$AY166))</f>
        <v/>
      </c>
      <c r="BO166" s="74" t="str">
        <f aca="false">IF($BH166&lt;&gt;Constants!$B$4,"",IF(AND($AJ166,$BA166,$BB166),Constants!$B$22,0))</f>
        <v/>
      </c>
      <c r="BP166" s="74" t="str">
        <f aca="false">IF($BH166&lt;&gt;Constants!$B$4,"",IF(OR(NOT($AJ166),NOT($BA166)),0,IF($BF166&gt;=2*$AF$9,0,Constants!$B$23*INT(ROUND(MIN($BF166,$AF$9),6)))))</f>
        <v/>
      </c>
      <c r="BQ166" s="74" t="str">
        <f aca="false">IF($BH166&lt;&gt;Constants!$B$4,"",IF(NOT($AJ166),0,Constants!$B$24*INT(ROUND(MIN($AZ166,$AF$9),6))))</f>
        <v/>
      </c>
      <c r="BR166" s="74" t="str">
        <f aca="false">IF($BH166&lt;&gt;Constants!$B$4,"",IF(AND($AJ166,$BJ166=0),Constants!$B$25,0))</f>
        <v/>
      </c>
      <c r="BS166" s="74" t="str">
        <f aca="false">IF($BH166&lt;&gt;Constants!$B$4,"",MIN(Constants!$B$29,MAX(0,Constants!$B$27*Constants!$B$28*INT(ROUND((Constants!$B$26-$AL166)/Constants!$B$28,6))))+MIN(Constants!$B$29,MAX(0,Constants!$B$27*Constants!$B$28*INT(ROUND((Constants!$B$26-$AM166)/Constants!$B$28,6))))+MIN(Constants!$B$29,MAX(0,Constants!$B$27*Constants!$B$28*INT(ROUND((Constants!$B$26-$AN166)/Constants!$B$28,6)))))</f>
        <v/>
      </c>
      <c r="BT166" s="74" t="str">
        <f aca="false">IF($BH166&lt;&gt;Constants!$B$4,"",IF(NOT($AJ166),0,Constants!$B$31*INT(ROUND(MAX(0,MIN($BF166,2*$AF$9)-$AF$9),6))))</f>
        <v/>
      </c>
      <c r="BU166" s="74" t="str">
        <f aca="false">IF($BH166&lt;&gt;Constants!$B$4,"",Constants!$B$32*(($AL166&gt;Constants!$B$26)+($AM166&gt;Constants!$B$26)+($AN166&gt;Constants!$B$26)))</f>
        <v/>
      </c>
      <c r="BV166" s="74" t="str">
        <f aca="false">IF($BH166&lt;&gt;Constants!$B$4,"",IF(OR(NOT($AJ166),$AO166),0,Constants!$B$33))</f>
        <v/>
      </c>
      <c r="BW166" s="74" t="str">
        <f aca="false">IF($BH166&lt;&gt;Constants!$B$4,"",Constants!$B$34*$BJ166)</f>
        <v/>
      </c>
      <c r="BX166" s="74" t="str">
        <f aca="false">IF($BH166&lt;&gt;Constants!$B$4,"",IF(OR(NOT($AJ166),$BE166),0,Constants!$B$36))</f>
        <v/>
      </c>
      <c r="BY166" s="74" t="str">
        <f aca="false">IF($BH166&lt;&gt;Constants!$B$4,"",IF(OR(NOT($AJ166),$BD166),0,Constants!$B$37))</f>
        <v/>
      </c>
      <c r="BZ166" s="74" t="str">
        <f aca="false">IF($BH166&lt;&gt;Constants!$B$4,"",SUM($BT166:$BY166))</f>
        <v/>
      </c>
      <c r="CA166" s="74" t="str">
        <f aca="false">IF(ISBLANK($C166),"",IF($BH166&lt;&gt;Constants!$B$4,$BH166,SUM($BK166:$BS166)-$BZ166))</f>
        <v/>
      </c>
      <c r="CB166" s="74" t="str">
        <f aca="false">IF(ISBLANK($C166),"",IF($BH166&lt;&gt;Constants!$B$4,$BH166,RANK($CA166,$CA$9:$CA$508)))</f>
        <v/>
      </c>
      <c r="CC166" s="74" t="str">
        <f aca="false">IF(ISBLANK($C166),"",IF($BH166&lt;&gt;Constants!$B$4,$BH166,COUNTIFS($BI$9:$BI$508,"&lt;"&amp;$BI166)+COUNTIFS($BI$9:$BI$508,$BI166,$CB$9:$CB$508,"&lt;"&amp;$CB166)+1))</f>
        <v/>
      </c>
      <c r="CD166" s="74" t="str">
        <f aca="false">IF(ISBLANK($C166),"",IF($BH166&lt;&gt;Constants!$B$4,$BH166,RANK($BZ166,$BZ$9:$BZ$508,1)))</f>
        <v/>
      </c>
      <c r="CE166" s="74" t="str">
        <f aca="false">IF($BH166&lt;&gt;Constants!$B$4,"",$AL166+$AM166+$AN166)</f>
        <v/>
      </c>
      <c r="CF166" s="74" t="str">
        <f aca="false">IF(ISBLANK($C166),"",IF($BH166&lt;&gt;Constants!$B$4,$BH166,RANK($CE166,$CE$9:$CE$508,1)))</f>
        <v/>
      </c>
      <c r="CG166" s="74" t="str">
        <f aca="false">IF(ISBLANK($C166),"",IF($BH166&lt;&gt;Constants!$B$4,$BH166,COUNTIFS($BI$9:$BI$508,"&lt;"&amp;$BI166)+COUNTIFS($BI$9:$BI$508,$BI166,$CB$9:$CB$508,"&lt;"&amp;$CB166)+COUNTIFS($BI$9:$BI$508,$BI166,$CB$9:$CB$508,$CB166,$CD$9:$CD$508,"&lt;"&amp;$CD166)+COUNTIFS($BI$9:$BI$508,$BI166,$CB$9:$CB$508,$CB166,$CD$9:$CD$508,$CD166,$CF$9:$CF$508,"&lt;"&amp;$CF166)+1))</f>
        <v/>
      </c>
      <c r="CH166" s="74" t="str">
        <f aca="false">IF(ISBLANK($C166),"",IF($BH166&lt;&gt;Constants!$B$4,$BH166,$CC166-$CG166))</f>
        <v/>
      </c>
      <c r="CI166" s="74" t="str">
        <f aca="false">IF(ISBLANK($C166),"",IF(NOT($AJ166),"",IF(ISBLANK($D$7),$CI$5,IF(NOT(ISNUMBER($D$7)),$CI$6,""))))</f>
        <v/>
      </c>
      <c r="CJ166" s="74" t="str">
        <f aca="false">IF(ISBLANK($C166),"",OR($AL166="",$AM166="",$AN166=""))</f>
        <v/>
      </c>
      <c r="CK166" s="74" t="str">
        <f aca="false">IF(ISBLANK($C166),"",AND($AJ166,$AX166=""))</f>
        <v/>
      </c>
      <c r="CL166" s="74" t="str">
        <f aca="false">IF(ISBLANK($C166),"",AND($AJ166,$AY166=""))</f>
        <v/>
      </c>
      <c r="CM166" s="74" t="str">
        <f aca="false">IF(ISBLANK($C166),"",AND($AJ166,$AZ166=""))</f>
        <v/>
      </c>
      <c r="CN166" s="74" t="str">
        <f aca="false">IF(ISBLANK($C166),"",AND($AJ166,$BC166=""))</f>
        <v/>
      </c>
      <c r="CO166" s="74" t="str">
        <f aca="false">IF(ISBLANK($C166),"",AND($AJ166,$BF166=""))</f>
        <v/>
      </c>
      <c r="CP166" s="75"/>
      <c r="CQ166" s="76"/>
      <c r="CR166" s="79" t="str">
        <f aca="false">IF(ISBLANK($C166),"",IF($BH166=Constants!$B$8,$CI166,""))</f>
        <v/>
      </c>
      <c r="CS166" s="76" t="str">
        <f aca="false">IF(ISBLANK($C166),"",IF($BH166&lt;&gt;Constants!$B$4,"",$BK166+$BL166))</f>
        <v/>
      </c>
      <c r="CT166" s="78" t="str">
        <f aca="false">IF(ISBLANK($C166),"",IF($BH166&lt;&gt;Constants!$B$4,"",$BM166+$BN166+$BO166))</f>
        <v/>
      </c>
      <c r="CU166" s="78" t="str">
        <f aca="false">IF(ISBLANK($C166),"",IF($BH166&lt;&gt;Constants!$B$4,"",$BP166))</f>
        <v/>
      </c>
      <c r="CV166" s="78" t="str">
        <f aca="false">IF(ISBLANK($C166),"",IF($BH166&lt;&gt;Constants!$B$4,"",$BQ166+$BR166))</f>
        <v/>
      </c>
      <c r="CW166" s="78" t="str">
        <f aca="false">IF(ISBLANK($C166),"",IF($BH166&lt;&gt;Constants!$B$4,"",$BS166))</f>
        <v/>
      </c>
      <c r="CX166" s="78" t="str">
        <f aca="false">IF(ISBLANK($C166),"",IF($BH166&lt;&gt;Constants!$B$4,"",-$BZ166))</f>
        <v/>
      </c>
      <c r="CY166" s="79" t="str">
        <f aca="false">IF(ISBLANK($C166),"",$CA166)</f>
        <v/>
      </c>
      <c r="CZ166" s="80" t="str">
        <f aca="false">IF(ISBLANK($C166),"",$BI166)</f>
        <v/>
      </c>
      <c r="DA166" s="78" t="str">
        <f aca="false">IF(ISBLANK($C166),"",$CH166)</f>
        <v/>
      </c>
      <c r="DB166" s="78" t="str">
        <f aca="false">IF(ISBLANK($C166),"",$CG166)</f>
        <v/>
      </c>
      <c r="DC166" s="81" t="str">
        <f aca="false">IF(ISBLANK($C166),"",IFERROR(_xlfn.SWITCH($DB166,Constants!$B$7,COUNTA($C$9:$C$508)+2,Constants!$B$6,COUNTA($C$9:$C$508)+1,Constants!$B$5,COUNTA($C$9:$C$508)),$DB166))</f>
        <v/>
      </c>
      <c r="DD166" s="7"/>
      <c r="DE166" s="82" t="n">
        <f aca="false">IF(OR(ISNUMBER($DB166),$DB166=Constants!$B$7,$DB166=Constants!$B$5,$DB166=Constants!$B$6),1,0)</f>
        <v>0</v>
      </c>
      <c r="DF166" s="82" t="n">
        <v>158</v>
      </c>
      <c r="DG166" s="82" t="str">
        <f aca="false">IF(ISBLANK($C166),"",IF(ISNUMBER($DC166),$DC166+ROW($B166)/1000,""))</f>
        <v/>
      </c>
      <c r="DH166" s="82" t="str">
        <f aca="false">IF(ISNUMBER($DG166),RANK($DG166,$DG$9:$DG$508,1),"")</f>
        <v/>
      </c>
      <c r="DI166" s="82" t="str">
        <f aca="false">IF(ISBLANK($C166),"",$B166)</f>
        <v/>
      </c>
      <c r="DJ166" s="82" t="str">
        <f aca="false">IF(ISBLANK($C166),"",$C166)</f>
        <v/>
      </c>
      <c r="DK166" s="82" t="str">
        <f aca="false">IF(ISBLANK($C166),"",$D166)</f>
        <v/>
      </c>
      <c r="DL166" s="83" t="str">
        <f aca="false">$CZ166</f>
        <v/>
      </c>
      <c r="DM166" s="84" t="str">
        <f aca="false">$CY166</f>
        <v/>
      </c>
      <c r="DN166" s="82" t="str">
        <f aca="false">IF(ISBLANK($C166),"",$DB166)</f>
        <v/>
      </c>
      <c r="DO166" s="85" t="str">
        <f aca="false">IF($DF166&gt;$DE$8,"",VLOOKUP($DF166,$DH$9:$DN$508,7,FALSE()))</f>
        <v/>
      </c>
      <c r="DP166" s="86" t="str">
        <f aca="false">IF($DF166&gt;$DE$8,"",VLOOKUP($DF166,$DH$9:$DN$508,2,FALSE()))</f>
        <v/>
      </c>
      <c r="DQ166" s="86" t="str">
        <f aca="false">IF($DF166&gt;$DE$8,"",VLOOKUP($DF166,$DH$9:$DN$508,3,FALSE()))</f>
        <v/>
      </c>
      <c r="DR166" s="86" t="str">
        <f aca="false">IF($DF166&gt;$DE$8,"",VLOOKUP($DF166,$DH$9:$DN$508,4,FALSE()))</f>
        <v/>
      </c>
      <c r="DS166" s="86" t="str">
        <f aca="false">IF($DF166&gt;$DE$8,"",VLOOKUP($DF166,$DH$9:$DN$508,5,FALSE()))</f>
        <v/>
      </c>
      <c r="DT166" s="87" t="str">
        <f aca="false">IF($DF166&gt;$DE$8,"",VLOOKUP($DF166,$DH$9:$DN$508,6,FALSE()))</f>
        <v/>
      </c>
      <c r="DU166" s="62"/>
    </row>
    <row r="167" customFormat="false" ht="15.75" hidden="false" customHeight="false" outlineLevel="0" collapsed="false">
      <c r="A167" s="7"/>
      <c r="B167" s="64"/>
      <c r="C167" s="65"/>
      <c r="D167" s="123"/>
      <c r="E167" s="88"/>
      <c r="F167" s="134"/>
      <c r="G167" s="88"/>
      <c r="H167" s="134"/>
      <c r="I167" s="119"/>
      <c r="J167" s="119"/>
      <c r="K167" s="119"/>
      <c r="L167" s="88"/>
      <c r="M167" s="88"/>
      <c r="N167" s="88"/>
      <c r="O167" s="134"/>
      <c r="P167" s="88"/>
      <c r="Q167" s="88"/>
      <c r="R167" s="88"/>
      <c r="S167" s="88"/>
      <c r="T167" s="134"/>
      <c r="U167" s="88"/>
      <c r="V167" s="70"/>
      <c r="W167" s="88"/>
      <c r="X167" s="88"/>
      <c r="Y167" s="70"/>
      <c r="Z167" s="70"/>
      <c r="AA167" s="88"/>
      <c r="AB167" s="88"/>
      <c r="AC167" s="71"/>
      <c r="AD167" s="88"/>
      <c r="AE167" s="73"/>
      <c r="AF167" s="74"/>
      <c r="AG167" s="74"/>
      <c r="AH167" s="74" t="str">
        <f aca="false">IF(ISBLANK($C167),"",IF($E167=Constants!$B$2,TRUE(),IF($E167=Constants!$B$3,FALSE(),TRUE())))</f>
        <v/>
      </c>
      <c r="AI167" s="74" t="str">
        <f aca="false">IF(ISBLANK($C167),"",IF($F167=Constants!$B$2,TRUE(),IF($F167=Constants!$B$3,FALSE(),FALSE())))</f>
        <v/>
      </c>
      <c r="AJ167" s="74" t="str">
        <f aca="false">IF(ISBLANK($C167),"",IF($G167=Constants!$B$2,TRUE(),IF($G167=Constants!$B$3,FALSE(),TRUE())))</f>
        <v/>
      </c>
      <c r="AK167" s="74" t="str">
        <f aca="false">IF(ISBLANK($C167),"",IF($H167=Constants!$B$2,TRUE(),IF($H167=Constants!$B$3,FALSE(),TRUE())))</f>
        <v/>
      </c>
      <c r="AL167" s="74" t="str">
        <f aca="false">IF(ISBLANK($C167),"",IF(ISNUMBER($I167),IF($I167&gt;=0,$I167,""),""))</f>
        <v/>
      </c>
      <c r="AM167" s="74" t="str">
        <f aca="false">IF(ISBLANK($C167),"",IF(ISNUMBER($J167),IF($J167&gt;=0,$J167,""),""))</f>
        <v/>
      </c>
      <c r="AN167" s="74" t="str">
        <f aca="false">IF(ISBLANK($C167),"",IF(ISNUMBER($K167),IF($K167&gt;=0,$K167,""),""))</f>
        <v/>
      </c>
      <c r="AO167" s="74" t="str">
        <f aca="false">IF(ISBLANK($C167),"",IF($L167=Constants!$B$2,TRUE(),IF($L167=Constants!$B$3,FALSE(),TRUE())))</f>
        <v/>
      </c>
      <c r="AP167" s="74" t="str">
        <f aca="false">IF(ISBLANK($C167),"",IF($M167=Constants!$B$2,TRUE(),IF($M167=Constants!$B$3,FALSE(),TRUE())))</f>
        <v/>
      </c>
      <c r="AQ167" s="74" t="str">
        <f aca="false">IF(ISBLANK($C167),"",IF($N167=Constants!$B$2,TRUE(),IF($N167=Constants!$B$3,FALSE(),FALSE())))</f>
        <v/>
      </c>
      <c r="AR167" s="74" t="str">
        <f aca="false">IF(ISBLANK($C167),"",IF($O167=Constants!$B$2,TRUE(),IF($O167=Constants!$B$3,FALSE(),TRUE())))</f>
        <v/>
      </c>
      <c r="AS167" s="74" t="str">
        <f aca="false">IF(ISBLANK($C167),"",IF($P167=Constants!$B$2,TRUE(),IF($P167=Constants!$B$3,FALSE(),FALSE())))</f>
        <v/>
      </c>
      <c r="AT167" s="74" t="str">
        <f aca="false">IF(ISBLANK($C167),"",IF($Q167=Constants!$B$2,TRUE(),IF($Q167=Constants!$B$3,FALSE(),FALSE())))</f>
        <v/>
      </c>
      <c r="AU167" s="74" t="str">
        <f aca="false">IF(ISBLANK($C167),"",IF($R167=Constants!$B$2,TRUE(),IF($R167=Constants!$B$3,FALSE(),FALSE())))</f>
        <v/>
      </c>
      <c r="AV167" s="74" t="str">
        <f aca="false">IF(ISBLANK($C167),"",IF($S167=Constants!$B$2,TRUE(),IF($S167=Constants!$B$3,FALSE(),FALSE())))</f>
        <v/>
      </c>
      <c r="AW167" s="74" t="str">
        <f aca="false">IF(ISBLANK($C167),"",IF($T167=Constants!$B$2,TRUE(),IF($T167=Constants!$B$3,FALSE(),FALSE())))</f>
        <v/>
      </c>
      <c r="AX167" s="74" t="str">
        <f aca="false">IF(ISBLANK($C167),"",IF(OR($U167&amp;""="1",$U167&amp;""="2",$U167&amp;""="3",$U167&amp;""="4"),VALUE($U167&amp;""),IF($U167=Constants!$B$12,Constants!$B$12,"")))</f>
        <v/>
      </c>
      <c r="AY167" s="74" t="str">
        <f aca="false">IF(ISBLANK($C167),"",IF(ISBLANK($V167),0,IF(ISNUMBER($V167),IF(AND($V167&gt;=0,$V167&lt;=Constants!$B$21,$V167=INT($V167)),$V167,""),"")))</f>
        <v/>
      </c>
      <c r="AZ167" s="74" t="str">
        <f aca="false">IF(ISBLANK($C167),"",IF(ISBLANK($W167),0,IF(ISNUMBER($W167),IF($W167&gt;=0,$W167,""),"")))</f>
        <v/>
      </c>
      <c r="BA167" s="74" t="str">
        <f aca="false">IF(ISBLANK($C167),"",IF($X167=Constants!$B$2,TRUE(),IF($X167=Constants!$B$3,FALSE(),TRUE())))</f>
        <v/>
      </c>
      <c r="BB167" s="74" t="str">
        <f aca="false">IF(ISBLANK($C167),"",IF($Y167=Constants!$B$2,TRUE(),IF($Y167=Constants!$B$3,FALSE(),FALSE())))</f>
        <v/>
      </c>
      <c r="BC167" s="74" t="str">
        <f aca="false">IF(ISBLANK($C167),"",IF(ISBLANK($Z167),0,IF(ISNUMBER($Z167),IF(AND($Z167&gt;=0,$Z167&lt;=Constants!$B$35,$Z167=INT($Z167)),$Z167,""),"")))</f>
        <v/>
      </c>
      <c r="BD167" s="74" t="str">
        <f aca="false">IF(ISBLANK($C167),"",IF($AA167=Constants!$B$2,TRUE(),IF($AA167=Constants!$B$3,FALSE(),TRUE())))</f>
        <v/>
      </c>
      <c r="BE167" s="74" t="str">
        <f aca="false">IF(ISBLANK($C167),"",IF($AB167=Constants!$B$2,TRUE(),IF($AB167=Constants!$B$3,FALSE(),TRUE())))</f>
        <v/>
      </c>
      <c r="BF167" s="74" t="str">
        <f aca="false">IF(ISBLANK($C167),"",IF(ISNUMBER($AC167),IF($AC167&gt;=0,$AC167,""),""))</f>
        <v/>
      </c>
      <c r="BG167" s="74" t="str">
        <f aca="false">IF(ISBLANK($C167),"",IF($AD167=Constants!$B$2,TRUE(),IF($AD167=Constants!$B$3,FALSE(),FALSE())))</f>
        <v/>
      </c>
      <c r="BH167" s="73" t="str">
        <f aca="false">IF(ISBLANK($C167),"",IF($BG167,Constants!$B$7,IF(COUNTA($E167:$AC167)=0,Constants!$B$6,IF(OR(COUNTA($G167:$AC167)=0,NOT($AK167),$AQ167),Constants!$B$5,IF(OR($CI167&lt;&gt;"",$CJ167,$CK167,$CL167,$CM167,$CN167,$CO167),Constants!$B$8,Constants!$B$4)))))</f>
        <v/>
      </c>
      <c r="BI167" s="74" t="str">
        <f aca="false">IF(ISBLANK($C167),"",IF($BH167&lt;&gt;Constants!$B$4,$BH167,IF(OR(NOT($AH167),NOT($AJ167),NOT($AR167)),Constants!$B$11,IF(OR(NOT($AP167),MAX($AL167,$AM167,$AN167)&gt;Constants!$B$30),Constants!$B$10,Constants!$B$9))))</f>
        <v/>
      </c>
      <c r="BJ167" s="74" t="str">
        <f aca="false">IF($BH167&lt;&gt;Constants!$B$4,"",IF(NOT($AJ167),0,MIN(Constants!$B$35,$BC167)))</f>
        <v/>
      </c>
      <c r="BK167" s="74" t="str">
        <f aca="false">IF($BH167&lt;&gt;Constants!$B$4,"",IF(NOT($AJ167),0,IF($AT167,Constants!$B$18,IF($AS167,Constants!$B$17,0))))</f>
        <v/>
      </c>
      <c r="BL167" s="74" t="str">
        <f aca="false">IF($BH167&lt;&gt;Constants!$B$4,"",IF(NOT($AJ167),0,Constants!$B$19*($AI167+$AU167+$AV167+$AW167)))</f>
        <v/>
      </c>
      <c r="BM167" s="74" t="str">
        <f aca="false">IF($BH167&lt;&gt;Constants!$B$4,"",IF(OR(NOT($AJ167),NOT(ISNUMBER($AX167))),0,CHOOSE($AX167,Constants!$B$13,Constants!$B$14,Constants!$B$15,Constants!$B$16)))</f>
        <v/>
      </c>
      <c r="BN167" s="74" t="str">
        <f aca="false">IF($BH167&lt;&gt;Constants!$B$4,"",IF(NOT($AJ167),0,Constants!$B$20*$AY167))</f>
        <v/>
      </c>
      <c r="BO167" s="74" t="str">
        <f aca="false">IF($BH167&lt;&gt;Constants!$B$4,"",IF(AND($AJ167,$BA167,$BB167),Constants!$B$22,0))</f>
        <v/>
      </c>
      <c r="BP167" s="74" t="str">
        <f aca="false">IF($BH167&lt;&gt;Constants!$B$4,"",IF(OR(NOT($AJ167),NOT($BA167)),0,IF($BF167&gt;=2*$AF$9,0,Constants!$B$23*INT(ROUND(MIN($BF167,$AF$9),6)))))</f>
        <v/>
      </c>
      <c r="BQ167" s="74" t="str">
        <f aca="false">IF($BH167&lt;&gt;Constants!$B$4,"",IF(NOT($AJ167),0,Constants!$B$24*INT(ROUND(MIN($AZ167,$AF$9),6))))</f>
        <v/>
      </c>
      <c r="BR167" s="74" t="str">
        <f aca="false">IF($BH167&lt;&gt;Constants!$B$4,"",IF(AND($AJ167,$BJ167=0),Constants!$B$25,0))</f>
        <v/>
      </c>
      <c r="BS167" s="74" t="str">
        <f aca="false">IF($BH167&lt;&gt;Constants!$B$4,"",MIN(Constants!$B$29,MAX(0,Constants!$B$27*Constants!$B$28*INT(ROUND((Constants!$B$26-$AL167)/Constants!$B$28,6))))+MIN(Constants!$B$29,MAX(0,Constants!$B$27*Constants!$B$28*INT(ROUND((Constants!$B$26-$AM167)/Constants!$B$28,6))))+MIN(Constants!$B$29,MAX(0,Constants!$B$27*Constants!$B$28*INT(ROUND((Constants!$B$26-$AN167)/Constants!$B$28,6)))))</f>
        <v/>
      </c>
      <c r="BT167" s="74" t="str">
        <f aca="false">IF($BH167&lt;&gt;Constants!$B$4,"",IF(NOT($AJ167),0,Constants!$B$31*INT(ROUND(MAX(0,MIN($BF167,2*$AF$9)-$AF$9),6))))</f>
        <v/>
      </c>
      <c r="BU167" s="74" t="str">
        <f aca="false">IF($BH167&lt;&gt;Constants!$B$4,"",Constants!$B$32*(($AL167&gt;Constants!$B$26)+($AM167&gt;Constants!$B$26)+($AN167&gt;Constants!$B$26)))</f>
        <v/>
      </c>
      <c r="BV167" s="74" t="str">
        <f aca="false">IF($BH167&lt;&gt;Constants!$B$4,"",IF(OR(NOT($AJ167),$AO167),0,Constants!$B$33))</f>
        <v/>
      </c>
      <c r="BW167" s="74" t="str">
        <f aca="false">IF($BH167&lt;&gt;Constants!$B$4,"",Constants!$B$34*$BJ167)</f>
        <v/>
      </c>
      <c r="BX167" s="74" t="str">
        <f aca="false">IF($BH167&lt;&gt;Constants!$B$4,"",IF(OR(NOT($AJ167),$BE167),0,Constants!$B$36))</f>
        <v/>
      </c>
      <c r="BY167" s="74" t="str">
        <f aca="false">IF($BH167&lt;&gt;Constants!$B$4,"",IF(OR(NOT($AJ167),$BD167),0,Constants!$B$37))</f>
        <v/>
      </c>
      <c r="BZ167" s="74" t="str">
        <f aca="false">IF($BH167&lt;&gt;Constants!$B$4,"",SUM($BT167:$BY167))</f>
        <v/>
      </c>
      <c r="CA167" s="74" t="str">
        <f aca="false">IF(ISBLANK($C167),"",IF($BH167&lt;&gt;Constants!$B$4,$BH167,SUM($BK167:$BS167)-$BZ167))</f>
        <v/>
      </c>
      <c r="CB167" s="74" t="str">
        <f aca="false">IF(ISBLANK($C167),"",IF($BH167&lt;&gt;Constants!$B$4,$BH167,RANK($CA167,$CA$9:$CA$508)))</f>
        <v/>
      </c>
      <c r="CC167" s="74" t="str">
        <f aca="false">IF(ISBLANK($C167),"",IF($BH167&lt;&gt;Constants!$B$4,$BH167,COUNTIFS($BI$9:$BI$508,"&lt;"&amp;$BI167)+COUNTIFS($BI$9:$BI$508,$BI167,$CB$9:$CB$508,"&lt;"&amp;$CB167)+1))</f>
        <v/>
      </c>
      <c r="CD167" s="74" t="str">
        <f aca="false">IF(ISBLANK($C167),"",IF($BH167&lt;&gt;Constants!$B$4,$BH167,RANK($BZ167,$BZ$9:$BZ$508,1)))</f>
        <v/>
      </c>
      <c r="CE167" s="74" t="str">
        <f aca="false">IF($BH167&lt;&gt;Constants!$B$4,"",$AL167+$AM167+$AN167)</f>
        <v/>
      </c>
      <c r="CF167" s="74" t="str">
        <f aca="false">IF(ISBLANK($C167),"",IF($BH167&lt;&gt;Constants!$B$4,$BH167,RANK($CE167,$CE$9:$CE$508,1)))</f>
        <v/>
      </c>
      <c r="CG167" s="74" t="str">
        <f aca="false">IF(ISBLANK($C167),"",IF($BH167&lt;&gt;Constants!$B$4,$BH167,COUNTIFS($BI$9:$BI$508,"&lt;"&amp;$BI167)+COUNTIFS($BI$9:$BI$508,$BI167,$CB$9:$CB$508,"&lt;"&amp;$CB167)+COUNTIFS($BI$9:$BI$508,$BI167,$CB$9:$CB$508,$CB167,$CD$9:$CD$508,"&lt;"&amp;$CD167)+COUNTIFS($BI$9:$BI$508,$BI167,$CB$9:$CB$508,$CB167,$CD$9:$CD$508,$CD167,$CF$9:$CF$508,"&lt;"&amp;$CF167)+1))</f>
        <v/>
      </c>
      <c r="CH167" s="74" t="str">
        <f aca="false">IF(ISBLANK($C167),"",IF($BH167&lt;&gt;Constants!$B$4,$BH167,$CC167-$CG167))</f>
        <v/>
      </c>
      <c r="CI167" s="74" t="str">
        <f aca="false">IF(ISBLANK($C167),"",IF(NOT($AJ167),"",IF(ISBLANK($D$7),$CI$5,IF(NOT(ISNUMBER($D$7)),$CI$6,""))))</f>
        <v/>
      </c>
      <c r="CJ167" s="74" t="str">
        <f aca="false">IF(ISBLANK($C167),"",OR($AL167="",$AM167="",$AN167=""))</f>
        <v/>
      </c>
      <c r="CK167" s="74" t="str">
        <f aca="false">IF(ISBLANK($C167),"",AND($AJ167,$AX167=""))</f>
        <v/>
      </c>
      <c r="CL167" s="74" t="str">
        <f aca="false">IF(ISBLANK($C167),"",AND($AJ167,$AY167=""))</f>
        <v/>
      </c>
      <c r="CM167" s="74" t="str">
        <f aca="false">IF(ISBLANK($C167),"",AND($AJ167,$AZ167=""))</f>
        <v/>
      </c>
      <c r="CN167" s="74" t="str">
        <f aca="false">IF(ISBLANK($C167),"",AND($AJ167,$BC167=""))</f>
        <v/>
      </c>
      <c r="CO167" s="74" t="str">
        <f aca="false">IF(ISBLANK($C167),"",AND($AJ167,$BF167=""))</f>
        <v/>
      </c>
      <c r="CP167" s="75"/>
      <c r="CQ167" s="76"/>
      <c r="CR167" s="79" t="str">
        <f aca="false">IF(ISBLANK($C167),"",IF($BH167=Constants!$B$8,$CI167,""))</f>
        <v/>
      </c>
      <c r="CS167" s="76" t="str">
        <f aca="false">IF(ISBLANK($C167),"",IF($BH167&lt;&gt;Constants!$B$4,"",$BK167+$BL167))</f>
        <v/>
      </c>
      <c r="CT167" s="78" t="str">
        <f aca="false">IF(ISBLANK($C167),"",IF($BH167&lt;&gt;Constants!$B$4,"",$BM167+$BN167+$BO167))</f>
        <v/>
      </c>
      <c r="CU167" s="78" t="str">
        <f aca="false">IF(ISBLANK($C167),"",IF($BH167&lt;&gt;Constants!$B$4,"",$BP167))</f>
        <v/>
      </c>
      <c r="CV167" s="78" t="str">
        <f aca="false">IF(ISBLANK($C167),"",IF($BH167&lt;&gt;Constants!$B$4,"",$BQ167+$BR167))</f>
        <v/>
      </c>
      <c r="CW167" s="78" t="str">
        <f aca="false">IF(ISBLANK($C167),"",IF($BH167&lt;&gt;Constants!$B$4,"",$BS167))</f>
        <v/>
      </c>
      <c r="CX167" s="78" t="str">
        <f aca="false">IF(ISBLANK($C167),"",IF($BH167&lt;&gt;Constants!$B$4,"",-$BZ167))</f>
        <v/>
      </c>
      <c r="CY167" s="79" t="str">
        <f aca="false">IF(ISBLANK($C167),"",$CA167)</f>
        <v/>
      </c>
      <c r="CZ167" s="80" t="str">
        <f aca="false">IF(ISBLANK($C167),"",$BI167)</f>
        <v/>
      </c>
      <c r="DA167" s="78" t="str">
        <f aca="false">IF(ISBLANK($C167),"",$CH167)</f>
        <v/>
      </c>
      <c r="DB167" s="78" t="str">
        <f aca="false">IF(ISBLANK($C167),"",$CG167)</f>
        <v/>
      </c>
      <c r="DC167" s="81" t="str">
        <f aca="false">IF(ISBLANK($C167),"",IFERROR(_xlfn.SWITCH($DB167,Constants!$B$7,COUNTA($C$9:$C$508)+2,Constants!$B$6,COUNTA($C$9:$C$508)+1,Constants!$B$5,COUNTA($C$9:$C$508)),$DB167))</f>
        <v/>
      </c>
      <c r="DD167" s="7"/>
      <c r="DE167" s="82" t="n">
        <f aca="false">IF(OR(ISNUMBER($DB167),$DB167=Constants!$B$7,$DB167=Constants!$B$5,$DB167=Constants!$B$6),1,0)</f>
        <v>0</v>
      </c>
      <c r="DF167" s="82" t="n">
        <v>159</v>
      </c>
      <c r="DG167" s="82" t="str">
        <f aca="false">IF(ISBLANK($C167),"",IF(ISNUMBER($DC167),$DC167+ROW($B167)/1000,""))</f>
        <v/>
      </c>
      <c r="DH167" s="82" t="str">
        <f aca="false">IF(ISNUMBER($DG167),RANK($DG167,$DG$9:$DG$508,1),"")</f>
        <v/>
      </c>
      <c r="DI167" s="82" t="str">
        <f aca="false">IF(ISBLANK($C167),"",$B167)</f>
        <v/>
      </c>
      <c r="DJ167" s="82" t="str">
        <f aca="false">IF(ISBLANK($C167),"",$C167)</f>
        <v/>
      </c>
      <c r="DK167" s="82" t="str">
        <f aca="false">IF(ISBLANK($C167),"",$D167)</f>
        <v/>
      </c>
      <c r="DL167" s="83" t="str">
        <f aca="false">$CZ167</f>
        <v/>
      </c>
      <c r="DM167" s="84" t="str">
        <f aca="false">$CY167</f>
        <v/>
      </c>
      <c r="DN167" s="82" t="str">
        <f aca="false">IF(ISBLANK($C167),"",$DB167)</f>
        <v/>
      </c>
      <c r="DO167" s="85" t="str">
        <f aca="false">IF($DF167&gt;$DE$8,"",VLOOKUP($DF167,$DH$9:$DN$508,7,FALSE()))</f>
        <v/>
      </c>
      <c r="DP167" s="86" t="str">
        <f aca="false">IF($DF167&gt;$DE$8,"",VLOOKUP($DF167,$DH$9:$DN$508,2,FALSE()))</f>
        <v/>
      </c>
      <c r="DQ167" s="86" t="str">
        <f aca="false">IF($DF167&gt;$DE$8,"",VLOOKUP($DF167,$DH$9:$DN$508,3,FALSE()))</f>
        <v/>
      </c>
      <c r="DR167" s="86" t="str">
        <f aca="false">IF($DF167&gt;$DE$8,"",VLOOKUP($DF167,$DH$9:$DN$508,4,FALSE()))</f>
        <v/>
      </c>
      <c r="DS167" s="86" t="str">
        <f aca="false">IF($DF167&gt;$DE$8,"",VLOOKUP($DF167,$DH$9:$DN$508,5,FALSE()))</f>
        <v/>
      </c>
      <c r="DT167" s="87" t="str">
        <f aca="false">IF($DF167&gt;$DE$8,"",VLOOKUP($DF167,$DH$9:$DN$508,6,FALSE()))</f>
        <v/>
      </c>
      <c r="DU167" s="62"/>
    </row>
    <row r="168" customFormat="false" ht="15.75" hidden="false" customHeight="false" outlineLevel="0" collapsed="false">
      <c r="A168" s="7"/>
      <c r="B168" s="90"/>
      <c r="C168" s="91"/>
      <c r="D168" s="126"/>
      <c r="E168" s="130"/>
      <c r="F168" s="135"/>
      <c r="G168" s="130"/>
      <c r="H168" s="135"/>
      <c r="I168" s="131"/>
      <c r="J168" s="131"/>
      <c r="K168" s="131"/>
      <c r="L168" s="130"/>
      <c r="M168" s="130"/>
      <c r="N168" s="130"/>
      <c r="O168" s="135"/>
      <c r="P168" s="130"/>
      <c r="Q168" s="130"/>
      <c r="R168" s="130"/>
      <c r="S168" s="130"/>
      <c r="T168" s="135"/>
      <c r="U168" s="130"/>
      <c r="V168" s="96"/>
      <c r="W168" s="130"/>
      <c r="X168" s="130"/>
      <c r="Y168" s="96"/>
      <c r="Z168" s="96"/>
      <c r="AA168" s="130"/>
      <c r="AB168" s="130"/>
      <c r="AC168" s="97"/>
      <c r="AD168" s="130"/>
      <c r="AE168" s="99"/>
      <c r="AF168" s="100"/>
      <c r="AG168" s="100"/>
      <c r="AH168" s="100" t="str">
        <f aca="false">IF(ISBLANK($C168),"",IF($E168=Constants!$B$2,TRUE(),IF($E168=Constants!$B$3,FALSE(),TRUE())))</f>
        <v/>
      </c>
      <c r="AI168" s="100" t="str">
        <f aca="false">IF(ISBLANK($C168),"",IF($F168=Constants!$B$2,TRUE(),IF($F168=Constants!$B$3,FALSE(),FALSE())))</f>
        <v/>
      </c>
      <c r="AJ168" s="100" t="str">
        <f aca="false">IF(ISBLANK($C168),"",IF($G168=Constants!$B$2,TRUE(),IF($G168=Constants!$B$3,FALSE(),TRUE())))</f>
        <v/>
      </c>
      <c r="AK168" s="100" t="str">
        <f aca="false">IF(ISBLANK($C168),"",IF($H168=Constants!$B$2,TRUE(),IF($H168=Constants!$B$3,FALSE(),TRUE())))</f>
        <v/>
      </c>
      <c r="AL168" s="100" t="str">
        <f aca="false">IF(ISBLANK($C168),"",IF(ISNUMBER($I168),IF($I168&gt;=0,$I168,""),""))</f>
        <v/>
      </c>
      <c r="AM168" s="100" t="str">
        <f aca="false">IF(ISBLANK($C168),"",IF(ISNUMBER($J168),IF($J168&gt;=0,$J168,""),""))</f>
        <v/>
      </c>
      <c r="AN168" s="100" t="str">
        <f aca="false">IF(ISBLANK($C168),"",IF(ISNUMBER($K168),IF($K168&gt;=0,$K168,""),""))</f>
        <v/>
      </c>
      <c r="AO168" s="100" t="str">
        <f aca="false">IF(ISBLANK($C168),"",IF($L168=Constants!$B$2,TRUE(),IF($L168=Constants!$B$3,FALSE(),TRUE())))</f>
        <v/>
      </c>
      <c r="AP168" s="100" t="str">
        <f aca="false">IF(ISBLANK($C168),"",IF($M168=Constants!$B$2,TRUE(),IF($M168=Constants!$B$3,FALSE(),TRUE())))</f>
        <v/>
      </c>
      <c r="AQ168" s="100" t="str">
        <f aca="false">IF(ISBLANK($C168),"",IF($N168=Constants!$B$2,TRUE(),IF($N168=Constants!$B$3,FALSE(),FALSE())))</f>
        <v/>
      </c>
      <c r="AR168" s="100" t="str">
        <f aca="false">IF(ISBLANK($C168),"",IF($O168=Constants!$B$2,TRUE(),IF($O168=Constants!$B$3,FALSE(),TRUE())))</f>
        <v/>
      </c>
      <c r="AS168" s="100" t="str">
        <f aca="false">IF(ISBLANK($C168),"",IF($P168=Constants!$B$2,TRUE(),IF($P168=Constants!$B$3,FALSE(),FALSE())))</f>
        <v/>
      </c>
      <c r="AT168" s="100" t="str">
        <f aca="false">IF(ISBLANK($C168),"",IF($Q168=Constants!$B$2,TRUE(),IF($Q168=Constants!$B$3,FALSE(),FALSE())))</f>
        <v/>
      </c>
      <c r="AU168" s="100" t="str">
        <f aca="false">IF(ISBLANK($C168),"",IF($R168=Constants!$B$2,TRUE(),IF($R168=Constants!$B$3,FALSE(),FALSE())))</f>
        <v/>
      </c>
      <c r="AV168" s="100" t="str">
        <f aca="false">IF(ISBLANK($C168),"",IF($S168=Constants!$B$2,TRUE(),IF($S168=Constants!$B$3,FALSE(),FALSE())))</f>
        <v/>
      </c>
      <c r="AW168" s="100" t="str">
        <f aca="false">IF(ISBLANK($C168),"",IF($T168=Constants!$B$2,TRUE(),IF($T168=Constants!$B$3,FALSE(),FALSE())))</f>
        <v/>
      </c>
      <c r="AX168" s="100" t="str">
        <f aca="false">IF(ISBLANK($C168),"",IF(OR($U168&amp;""="1",$U168&amp;""="2",$U168&amp;""="3",$U168&amp;""="4"),VALUE($U168&amp;""),IF($U168=Constants!$B$12,Constants!$B$12,"")))</f>
        <v/>
      </c>
      <c r="AY168" s="100" t="str">
        <f aca="false">IF(ISBLANK($C168),"",IF(ISBLANK($V168),0,IF(ISNUMBER($V168),IF(AND($V168&gt;=0,$V168&lt;=Constants!$B$21,$V168=INT($V168)),$V168,""),"")))</f>
        <v/>
      </c>
      <c r="AZ168" s="100" t="str">
        <f aca="false">IF(ISBLANK($C168),"",IF(ISBLANK($W168),0,IF(ISNUMBER($W168),IF($W168&gt;=0,$W168,""),"")))</f>
        <v/>
      </c>
      <c r="BA168" s="100" t="str">
        <f aca="false">IF(ISBLANK($C168),"",IF($X168=Constants!$B$2,TRUE(),IF($X168=Constants!$B$3,FALSE(),TRUE())))</f>
        <v/>
      </c>
      <c r="BB168" s="100" t="str">
        <f aca="false">IF(ISBLANK($C168),"",IF($Y168=Constants!$B$2,TRUE(),IF($Y168=Constants!$B$3,FALSE(),FALSE())))</f>
        <v/>
      </c>
      <c r="BC168" s="100" t="str">
        <f aca="false">IF(ISBLANK($C168),"",IF(ISBLANK($Z168),0,IF(ISNUMBER($Z168),IF(AND($Z168&gt;=0,$Z168&lt;=Constants!$B$35,$Z168=INT($Z168)),$Z168,""),"")))</f>
        <v/>
      </c>
      <c r="BD168" s="100" t="str">
        <f aca="false">IF(ISBLANK($C168),"",IF($AA168=Constants!$B$2,TRUE(),IF($AA168=Constants!$B$3,FALSE(),TRUE())))</f>
        <v/>
      </c>
      <c r="BE168" s="100" t="str">
        <f aca="false">IF(ISBLANK($C168),"",IF($AB168=Constants!$B$2,TRUE(),IF($AB168=Constants!$B$3,FALSE(),TRUE())))</f>
        <v/>
      </c>
      <c r="BF168" s="100" t="str">
        <f aca="false">IF(ISBLANK($C168),"",IF(ISNUMBER($AC168),IF($AC168&gt;=0,$AC168,""),""))</f>
        <v/>
      </c>
      <c r="BG168" s="100" t="str">
        <f aca="false">IF(ISBLANK($C168),"",IF($AD168=Constants!$B$2,TRUE(),IF($AD168=Constants!$B$3,FALSE(),FALSE())))</f>
        <v/>
      </c>
      <c r="BH168" s="99" t="str">
        <f aca="false">IF(ISBLANK($C168),"",IF($BG168,Constants!$B$7,IF(COUNTA($E168:$AC168)=0,Constants!$B$6,IF(OR(COUNTA($G168:$AC168)=0,NOT($AK168),$AQ168),Constants!$B$5,IF(OR($CI168&lt;&gt;"",$CJ168,$CK168,$CL168,$CM168,$CN168,$CO168),Constants!$B$8,Constants!$B$4)))))</f>
        <v/>
      </c>
      <c r="BI168" s="100" t="str">
        <f aca="false">IF(ISBLANK($C168),"",IF($BH168&lt;&gt;Constants!$B$4,$BH168,IF(OR(NOT($AH168),NOT($AJ168),NOT($AR168)),Constants!$B$11,IF(OR(NOT($AP168),MAX($AL168,$AM168,$AN168)&gt;Constants!$B$30),Constants!$B$10,Constants!$B$9))))</f>
        <v/>
      </c>
      <c r="BJ168" s="100" t="str">
        <f aca="false">IF($BH168&lt;&gt;Constants!$B$4,"",IF(NOT($AJ168),0,MIN(Constants!$B$35,$BC168)))</f>
        <v/>
      </c>
      <c r="BK168" s="100" t="str">
        <f aca="false">IF($BH168&lt;&gt;Constants!$B$4,"",IF(NOT($AJ168),0,IF($AT168,Constants!$B$18,IF($AS168,Constants!$B$17,0))))</f>
        <v/>
      </c>
      <c r="BL168" s="100" t="str">
        <f aca="false">IF($BH168&lt;&gt;Constants!$B$4,"",IF(NOT($AJ168),0,Constants!$B$19*($AI168+$AU168+$AV168+$AW168)))</f>
        <v/>
      </c>
      <c r="BM168" s="100" t="str">
        <f aca="false">IF($BH168&lt;&gt;Constants!$B$4,"",IF(OR(NOT($AJ168),NOT(ISNUMBER($AX168))),0,CHOOSE($AX168,Constants!$B$13,Constants!$B$14,Constants!$B$15,Constants!$B$16)))</f>
        <v/>
      </c>
      <c r="BN168" s="100" t="str">
        <f aca="false">IF($BH168&lt;&gt;Constants!$B$4,"",IF(NOT($AJ168),0,Constants!$B$20*$AY168))</f>
        <v/>
      </c>
      <c r="BO168" s="100" t="str">
        <f aca="false">IF($BH168&lt;&gt;Constants!$B$4,"",IF(AND($AJ168,$BA168,$BB168),Constants!$B$22,0))</f>
        <v/>
      </c>
      <c r="BP168" s="100" t="str">
        <f aca="false">IF($BH168&lt;&gt;Constants!$B$4,"",IF(OR(NOT($AJ168),NOT($BA168)),0,IF($BF168&gt;=2*$AF$9,0,Constants!$B$23*INT(ROUND(MIN($BF168,$AF$9),6)))))</f>
        <v/>
      </c>
      <c r="BQ168" s="100" t="str">
        <f aca="false">IF($BH168&lt;&gt;Constants!$B$4,"",IF(NOT($AJ168),0,Constants!$B$24*INT(ROUND(MIN($AZ168,$AF$9),6))))</f>
        <v/>
      </c>
      <c r="BR168" s="100" t="str">
        <f aca="false">IF($BH168&lt;&gt;Constants!$B$4,"",IF(AND($AJ168,$BJ168=0),Constants!$B$25,0))</f>
        <v/>
      </c>
      <c r="BS168" s="100" t="str">
        <f aca="false">IF($BH168&lt;&gt;Constants!$B$4,"",MIN(Constants!$B$29,MAX(0,Constants!$B$27*Constants!$B$28*INT(ROUND((Constants!$B$26-$AL168)/Constants!$B$28,6))))+MIN(Constants!$B$29,MAX(0,Constants!$B$27*Constants!$B$28*INT(ROUND((Constants!$B$26-$AM168)/Constants!$B$28,6))))+MIN(Constants!$B$29,MAX(0,Constants!$B$27*Constants!$B$28*INT(ROUND((Constants!$B$26-$AN168)/Constants!$B$28,6)))))</f>
        <v/>
      </c>
      <c r="BT168" s="100" t="str">
        <f aca="false">IF($BH168&lt;&gt;Constants!$B$4,"",IF(NOT($AJ168),0,Constants!$B$31*INT(ROUND(MAX(0,MIN($BF168,2*$AF$9)-$AF$9),6))))</f>
        <v/>
      </c>
      <c r="BU168" s="100" t="str">
        <f aca="false">IF($BH168&lt;&gt;Constants!$B$4,"",Constants!$B$32*(($AL168&gt;Constants!$B$26)+($AM168&gt;Constants!$B$26)+($AN168&gt;Constants!$B$26)))</f>
        <v/>
      </c>
      <c r="BV168" s="100" t="str">
        <f aca="false">IF($BH168&lt;&gt;Constants!$B$4,"",IF(OR(NOT($AJ168),$AO168),0,Constants!$B$33))</f>
        <v/>
      </c>
      <c r="BW168" s="100" t="str">
        <f aca="false">IF($BH168&lt;&gt;Constants!$B$4,"",Constants!$B$34*$BJ168)</f>
        <v/>
      </c>
      <c r="BX168" s="100" t="str">
        <f aca="false">IF($BH168&lt;&gt;Constants!$B$4,"",IF(OR(NOT($AJ168),$BE168),0,Constants!$B$36))</f>
        <v/>
      </c>
      <c r="BY168" s="100" t="str">
        <f aca="false">IF($BH168&lt;&gt;Constants!$B$4,"",IF(OR(NOT($AJ168),$BD168),0,Constants!$B$37))</f>
        <v/>
      </c>
      <c r="BZ168" s="100" t="str">
        <f aca="false">IF($BH168&lt;&gt;Constants!$B$4,"",SUM($BT168:$BY168))</f>
        <v/>
      </c>
      <c r="CA168" s="100" t="str">
        <f aca="false">IF(ISBLANK($C168),"",IF($BH168&lt;&gt;Constants!$B$4,$BH168,SUM($BK168:$BS168)-$BZ168))</f>
        <v/>
      </c>
      <c r="CB168" s="100" t="str">
        <f aca="false">IF(ISBLANK($C168),"",IF($BH168&lt;&gt;Constants!$B$4,$BH168,RANK($CA168,$CA$9:$CA$508)))</f>
        <v/>
      </c>
      <c r="CC168" s="100" t="str">
        <f aca="false">IF(ISBLANK($C168),"",IF($BH168&lt;&gt;Constants!$B$4,$BH168,COUNTIFS($BI$9:$BI$508,"&lt;"&amp;$BI168)+COUNTIFS($BI$9:$BI$508,$BI168,$CB$9:$CB$508,"&lt;"&amp;$CB168)+1))</f>
        <v/>
      </c>
      <c r="CD168" s="100" t="str">
        <f aca="false">IF(ISBLANK($C168),"",IF($BH168&lt;&gt;Constants!$B$4,$BH168,RANK($BZ168,$BZ$9:$BZ$508,1)))</f>
        <v/>
      </c>
      <c r="CE168" s="100" t="str">
        <f aca="false">IF($BH168&lt;&gt;Constants!$B$4,"",$AL168+$AM168+$AN168)</f>
        <v/>
      </c>
      <c r="CF168" s="100" t="str">
        <f aca="false">IF(ISBLANK($C168),"",IF($BH168&lt;&gt;Constants!$B$4,$BH168,RANK($CE168,$CE$9:$CE$508,1)))</f>
        <v/>
      </c>
      <c r="CG168" s="100" t="str">
        <f aca="false">IF(ISBLANK($C168),"",IF($BH168&lt;&gt;Constants!$B$4,$BH168,COUNTIFS($BI$9:$BI$508,"&lt;"&amp;$BI168)+COUNTIFS($BI$9:$BI$508,$BI168,$CB$9:$CB$508,"&lt;"&amp;$CB168)+COUNTIFS($BI$9:$BI$508,$BI168,$CB$9:$CB$508,$CB168,$CD$9:$CD$508,"&lt;"&amp;$CD168)+COUNTIFS($BI$9:$BI$508,$BI168,$CB$9:$CB$508,$CB168,$CD$9:$CD$508,$CD168,$CF$9:$CF$508,"&lt;"&amp;$CF168)+1))</f>
        <v/>
      </c>
      <c r="CH168" s="100" t="str">
        <f aca="false">IF(ISBLANK($C168),"",IF($BH168&lt;&gt;Constants!$B$4,$BH168,$CC168-$CG168))</f>
        <v/>
      </c>
      <c r="CI168" s="100" t="str">
        <f aca="false">IF(ISBLANK($C168),"",IF(NOT($AJ168),"",IF(ISBLANK($D$7),$CI$5,IF(NOT(ISNUMBER($D$7)),$CI$6,""))))</f>
        <v/>
      </c>
      <c r="CJ168" s="100" t="str">
        <f aca="false">IF(ISBLANK($C168),"",OR($AL168="",$AM168="",$AN168=""))</f>
        <v/>
      </c>
      <c r="CK168" s="100" t="str">
        <f aca="false">IF(ISBLANK($C168),"",AND($AJ168,$AX168=""))</f>
        <v/>
      </c>
      <c r="CL168" s="100" t="str">
        <f aca="false">IF(ISBLANK($C168),"",AND($AJ168,$AY168=""))</f>
        <v/>
      </c>
      <c r="CM168" s="100" t="str">
        <f aca="false">IF(ISBLANK($C168),"",AND($AJ168,$AZ168=""))</f>
        <v/>
      </c>
      <c r="CN168" s="100" t="str">
        <f aca="false">IF(ISBLANK($C168),"",AND($AJ168,$BC168=""))</f>
        <v/>
      </c>
      <c r="CO168" s="100" t="str">
        <f aca="false">IF(ISBLANK($C168),"",AND($AJ168,$BF168=""))</f>
        <v/>
      </c>
      <c r="CP168" s="101"/>
      <c r="CQ168" s="102"/>
      <c r="CR168" s="103" t="str">
        <f aca="false">IF(ISBLANK($C168),"",IF($BH168=Constants!$B$8,$CI168,""))</f>
        <v/>
      </c>
      <c r="CS168" s="102" t="str">
        <f aca="false">IF(ISBLANK($C168),"",IF($BH168&lt;&gt;Constants!$B$4,"",$BK168+$BL168))</f>
        <v/>
      </c>
      <c r="CT168" s="104" t="str">
        <f aca="false">IF(ISBLANK($C168),"",IF($BH168&lt;&gt;Constants!$B$4,"",$BM168+$BN168+$BO168))</f>
        <v/>
      </c>
      <c r="CU168" s="104" t="str">
        <f aca="false">IF(ISBLANK($C168),"",IF($BH168&lt;&gt;Constants!$B$4,"",$BP168))</f>
        <v/>
      </c>
      <c r="CV168" s="104" t="str">
        <f aca="false">IF(ISBLANK($C168),"",IF($BH168&lt;&gt;Constants!$B$4,"",$BQ168+$BR168))</f>
        <v/>
      </c>
      <c r="CW168" s="104" t="str">
        <f aca="false">IF(ISBLANK($C168),"",IF($BH168&lt;&gt;Constants!$B$4,"",$BS168))</f>
        <v/>
      </c>
      <c r="CX168" s="104" t="str">
        <f aca="false">IF(ISBLANK($C168),"",IF($BH168&lt;&gt;Constants!$B$4,"",-$BZ168))</f>
        <v/>
      </c>
      <c r="CY168" s="103" t="str">
        <f aca="false">IF(ISBLANK($C168),"",$CA168)</f>
        <v/>
      </c>
      <c r="CZ168" s="105" t="str">
        <f aca="false">IF(ISBLANK($C168),"",$BI168)</f>
        <v/>
      </c>
      <c r="DA168" s="104" t="str">
        <f aca="false">IF(ISBLANK($C168),"",$CH168)</f>
        <v/>
      </c>
      <c r="DB168" s="104" t="str">
        <f aca="false">IF(ISBLANK($C168),"",$CG168)</f>
        <v/>
      </c>
      <c r="DC168" s="106" t="str">
        <f aca="false">IF(ISBLANK($C168),"",IFERROR(_xlfn.SWITCH($DB168,Constants!$B$7,COUNTA($C$9:$C$508)+2,Constants!$B$6,COUNTA($C$9:$C$508)+1,Constants!$B$5,COUNTA($C$9:$C$508)),$DB168))</f>
        <v/>
      </c>
      <c r="DD168" s="7"/>
      <c r="DE168" s="107" t="n">
        <f aca="false">IF(OR(ISNUMBER($DB168),$DB168=Constants!$B$7,$DB168=Constants!$B$5,$DB168=Constants!$B$6),1,0)</f>
        <v>0</v>
      </c>
      <c r="DF168" s="107" t="n">
        <v>160</v>
      </c>
      <c r="DG168" s="107" t="str">
        <f aca="false">IF(ISBLANK($C168),"",IF(ISNUMBER($DC168),$DC168+ROW($B168)/1000,""))</f>
        <v/>
      </c>
      <c r="DH168" s="107" t="str">
        <f aca="false">IF(ISNUMBER($DG168),RANK($DG168,$DG$9:$DG$508,1),"")</f>
        <v/>
      </c>
      <c r="DI168" s="107" t="str">
        <f aca="false">IF(ISBLANK($C168),"",$B168)</f>
        <v/>
      </c>
      <c r="DJ168" s="107" t="str">
        <f aca="false">IF(ISBLANK($C168),"",$C168)</f>
        <v/>
      </c>
      <c r="DK168" s="107" t="str">
        <f aca="false">IF(ISBLANK($C168),"",$D168)</f>
        <v/>
      </c>
      <c r="DL168" s="108" t="str">
        <f aca="false">$CZ168</f>
        <v/>
      </c>
      <c r="DM168" s="109" t="str">
        <f aca="false">$CY168</f>
        <v/>
      </c>
      <c r="DN168" s="107" t="str">
        <f aca="false">IF(ISBLANK($C168),"",$DB168)</f>
        <v/>
      </c>
      <c r="DO168" s="110" t="str">
        <f aca="false">IF($DF168&gt;$DE$8,"",VLOOKUP($DF168,$DH$9:$DN$508,7,FALSE()))</f>
        <v/>
      </c>
      <c r="DP168" s="111" t="str">
        <f aca="false">IF($DF168&gt;$DE$8,"",VLOOKUP($DF168,$DH$9:$DN$508,2,FALSE()))</f>
        <v/>
      </c>
      <c r="DQ168" s="111" t="str">
        <f aca="false">IF($DF168&gt;$DE$8,"",VLOOKUP($DF168,$DH$9:$DN$508,3,FALSE()))</f>
        <v/>
      </c>
      <c r="DR168" s="111" t="str">
        <f aca="false">IF($DF168&gt;$DE$8,"",VLOOKUP($DF168,$DH$9:$DN$508,4,FALSE()))</f>
        <v/>
      </c>
      <c r="DS168" s="111" t="str">
        <f aca="false">IF($DF168&gt;$DE$8,"",VLOOKUP($DF168,$DH$9:$DN$508,5,FALSE()))</f>
        <v/>
      </c>
      <c r="DT168" s="112" t="str">
        <f aca="false">IF($DF168&gt;$DE$8,"",VLOOKUP($DF168,$DH$9:$DN$508,6,FALSE()))</f>
        <v/>
      </c>
      <c r="DU168" s="62"/>
    </row>
    <row r="169" customFormat="false" ht="15.75" hidden="false" customHeight="false" outlineLevel="0" collapsed="false">
      <c r="A169" s="7"/>
      <c r="B169" s="90"/>
      <c r="C169" s="91"/>
      <c r="D169" s="126"/>
      <c r="E169" s="130"/>
      <c r="F169" s="135"/>
      <c r="G169" s="130"/>
      <c r="H169" s="135"/>
      <c r="I169" s="131"/>
      <c r="J169" s="131"/>
      <c r="K169" s="131"/>
      <c r="L169" s="130"/>
      <c r="M169" s="130"/>
      <c r="N169" s="130"/>
      <c r="O169" s="135"/>
      <c r="P169" s="130"/>
      <c r="Q169" s="130"/>
      <c r="R169" s="130"/>
      <c r="S169" s="130"/>
      <c r="T169" s="135"/>
      <c r="U169" s="130"/>
      <c r="V169" s="96"/>
      <c r="W169" s="130"/>
      <c r="X169" s="130"/>
      <c r="Y169" s="96"/>
      <c r="Z169" s="96"/>
      <c r="AA169" s="130"/>
      <c r="AB169" s="130"/>
      <c r="AC169" s="97"/>
      <c r="AD169" s="130"/>
      <c r="AE169" s="99"/>
      <c r="AF169" s="100"/>
      <c r="AG169" s="100"/>
      <c r="AH169" s="100" t="str">
        <f aca="false">IF(ISBLANK($C169),"",IF($E169=Constants!$B$2,TRUE(),IF($E169=Constants!$B$3,FALSE(),TRUE())))</f>
        <v/>
      </c>
      <c r="AI169" s="100" t="str">
        <f aca="false">IF(ISBLANK($C169),"",IF($F169=Constants!$B$2,TRUE(),IF($F169=Constants!$B$3,FALSE(),FALSE())))</f>
        <v/>
      </c>
      <c r="AJ169" s="100" t="str">
        <f aca="false">IF(ISBLANK($C169),"",IF($G169=Constants!$B$2,TRUE(),IF($G169=Constants!$B$3,FALSE(),TRUE())))</f>
        <v/>
      </c>
      <c r="AK169" s="100" t="str">
        <f aca="false">IF(ISBLANK($C169),"",IF($H169=Constants!$B$2,TRUE(),IF($H169=Constants!$B$3,FALSE(),TRUE())))</f>
        <v/>
      </c>
      <c r="AL169" s="100" t="str">
        <f aca="false">IF(ISBLANK($C169),"",IF(ISNUMBER($I169),IF($I169&gt;=0,$I169,""),""))</f>
        <v/>
      </c>
      <c r="AM169" s="100" t="str">
        <f aca="false">IF(ISBLANK($C169),"",IF(ISNUMBER($J169),IF($J169&gt;=0,$J169,""),""))</f>
        <v/>
      </c>
      <c r="AN169" s="100" t="str">
        <f aca="false">IF(ISBLANK($C169),"",IF(ISNUMBER($K169),IF($K169&gt;=0,$K169,""),""))</f>
        <v/>
      </c>
      <c r="AO169" s="100" t="str">
        <f aca="false">IF(ISBLANK($C169),"",IF($L169=Constants!$B$2,TRUE(),IF($L169=Constants!$B$3,FALSE(),TRUE())))</f>
        <v/>
      </c>
      <c r="AP169" s="100" t="str">
        <f aca="false">IF(ISBLANK($C169),"",IF($M169=Constants!$B$2,TRUE(),IF($M169=Constants!$B$3,FALSE(),TRUE())))</f>
        <v/>
      </c>
      <c r="AQ169" s="100" t="str">
        <f aca="false">IF(ISBLANK($C169),"",IF($N169=Constants!$B$2,TRUE(),IF($N169=Constants!$B$3,FALSE(),FALSE())))</f>
        <v/>
      </c>
      <c r="AR169" s="100" t="str">
        <f aca="false">IF(ISBLANK($C169),"",IF($O169=Constants!$B$2,TRUE(),IF($O169=Constants!$B$3,FALSE(),TRUE())))</f>
        <v/>
      </c>
      <c r="AS169" s="100" t="str">
        <f aca="false">IF(ISBLANK($C169),"",IF($P169=Constants!$B$2,TRUE(),IF($P169=Constants!$B$3,FALSE(),FALSE())))</f>
        <v/>
      </c>
      <c r="AT169" s="100" t="str">
        <f aca="false">IF(ISBLANK($C169),"",IF($Q169=Constants!$B$2,TRUE(),IF($Q169=Constants!$B$3,FALSE(),FALSE())))</f>
        <v/>
      </c>
      <c r="AU169" s="100" t="str">
        <f aca="false">IF(ISBLANK($C169),"",IF($R169=Constants!$B$2,TRUE(),IF($R169=Constants!$B$3,FALSE(),FALSE())))</f>
        <v/>
      </c>
      <c r="AV169" s="100" t="str">
        <f aca="false">IF(ISBLANK($C169),"",IF($S169=Constants!$B$2,TRUE(),IF($S169=Constants!$B$3,FALSE(),FALSE())))</f>
        <v/>
      </c>
      <c r="AW169" s="100" t="str">
        <f aca="false">IF(ISBLANK($C169),"",IF($T169=Constants!$B$2,TRUE(),IF($T169=Constants!$B$3,FALSE(),FALSE())))</f>
        <v/>
      </c>
      <c r="AX169" s="100" t="str">
        <f aca="false">IF(ISBLANK($C169),"",IF(OR($U169&amp;""="1",$U169&amp;""="2",$U169&amp;""="3",$U169&amp;""="4"),VALUE($U169&amp;""),IF($U169=Constants!$B$12,Constants!$B$12,"")))</f>
        <v/>
      </c>
      <c r="AY169" s="100" t="str">
        <f aca="false">IF(ISBLANK($C169),"",IF(ISBLANK($V169),0,IF(ISNUMBER($V169),IF(AND($V169&gt;=0,$V169&lt;=Constants!$B$21,$V169=INT($V169)),$V169,""),"")))</f>
        <v/>
      </c>
      <c r="AZ169" s="100" t="str">
        <f aca="false">IF(ISBLANK($C169),"",IF(ISBLANK($W169),0,IF(ISNUMBER($W169),IF($W169&gt;=0,$W169,""),"")))</f>
        <v/>
      </c>
      <c r="BA169" s="100" t="str">
        <f aca="false">IF(ISBLANK($C169),"",IF($X169=Constants!$B$2,TRUE(),IF($X169=Constants!$B$3,FALSE(),TRUE())))</f>
        <v/>
      </c>
      <c r="BB169" s="100" t="str">
        <f aca="false">IF(ISBLANK($C169),"",IF($Y169=Constants!$B$2,TRUE(),IF($Y169=Constants!$B$3,FALSE(),FALSE())))</f>
        <v/>
      </c>
      <c r="BC169" s="100" t="str">
        <f aca="false">IF(ISBLANK($C169),"",IF(ISBLANK($Z169),0,IF(ISNUMBER($Z169),IF(AND($Z169&gt;=0,$Z169&lt;=Constants!$B$35,$Z169=INT($Z169)),$Z169,""),"")))</f>
        <v/>
      </c>
      <c r="BD169" s="100" t="str">
        <f aca="false">IF(ISBLANK($C169),"",IF($AA169=Constants!$B$2,TRUE(),IF($AA169=Constants!$B$3,FALSE(),TRUE())))</f>
        <v/>
      </c>
      <c r="BE169" s="100" t="str">
        <f aca="false">IF(ISBLANK($C169),"",IF($AB169=Constants!$B$2,TRUE(),IF($AB169=Constants!$B$3,FALSE(),TRUE())))</f>
        <v/>
      </c>
      <c r="BF169" s="100" t="str">
        <f aca="false">IF(ISBLANK($C169),"",IF(ISNUMBER($AC169),IF($AC169&gt;=0,$AC169,""),""))</f>
        <v/>
      </c>
      <c r="BG169" s="100" t="str">
        <f aca="false">IF(ISBLANK($C169),"",IF($AD169=Constants!$B$2,TRUE(),IF($AD169=Constants!$B$3,FALSE(),FALSE())))</f>
        <v/>
      </c>
      <c r="BH169" s="99" t="str">
        <f aca="false">IF(ISBLANK($C169),"",IF($BG169,Constants!$B$7,IF(COUNTA($E169:$AC169)=0,Constants!$B$6,IF(OR(COUNTA($G169:$AC169)=0,NOT($AK169),$AQ169),Constants!$B$5,IF(OR($CI169&lt;&gt;"",$CJ169,$CK169,$CL169,$CM169,$CN169,$CO169),Constants!$B$8,Constants!$B$4)))))</f>
        <v/>
      </c>
      <c r="BI169" s="100" t="str">
        <f aca="false">IF(ISBLANK($C169),"",IF($BH169&lt;&gt;Constants!$B$4,$BH169,IF(OR(NOT($AH169),NOT($AJ169),NOT($AR169)),Constants!$B$11,IF(OR(NOT($AP169),MAX($AL169,$AM169,$AN169)&gt;Constants!$B$30),Constants!$B$10,Constants!$B$9))))</f>
        <v/>
      </c>
      <c r="BJ169" s="100" t="str">
        <f aca="false">IF($BH169&lt;&gt;Constants!$B$4,"",IF(NOT($AJ169),0,MIN(Constants!$B$35,$BC169)))</f>
        <v/>
      </c>
      <c r="BK169" s="100" t="str">
        <f aca="false">IF($BH169&lt;&gt;Constants!$B$4,"",IF(NOT($AJ169),0,IF($AT169,Constants!$B$18,IF($AS169,Constants!$B$17,0))))</f>
        <v/>
      </c>
      <c r="BL169" s="100" t="str">
        <f aca="false">IF($BH169&lt;&gt;Constants!$B$4,"",IF(NOT($AJ169),0,Constants!$B$19*($AI169+$AU169+$AV169+$AW169)))</f>
        <v/>
      </c>
      <c r="BM169" s="100" t="str">
        <f aca="false">IF($BH169&lt;&gt;Constants!$B$4,"",IF(OR(NOT($AJ169),NOT(ISNUMBER($AX169))),0,CHOOSE($AX169,Constants!$B$13,Constants!$B$14,Constants!$B$15,Constants!$B$16)))</f>
        <v/>
      </c>
      <c r="BN169" s="100" t="str">
        <f aca="false">IF($BH169&lt;&gt;Constants!$B$4,"",IF(NOT($AJ169),0,Constants!$B$20*$AY169))</f>
        <v/>
      </c>
      <c r="BO169" s="100" t="str">
        <f aca="false">IF($BH169&lt;&gt;Constants!$B$4,"",IF(AND($AJ169,$BA169,$BB169),Constants!$B$22,0))</f>
        <v/>
      </c>
      <c r="BP169" s="100" t="str">
        <f aca="false">IF($BH169&lt;&gt;Constants!$B$4,"",IF(OR(NOT($AJ169),NOT($BA169)),0,IF($BF169&gt;=2*$AF$9,0,Constants!$B$23*INT(ROUND(MIN($BF169,$AF$9),6)))))</f>
        <v/>
      </c>
      <c r="BQ169" s="100" t="str">
        <f aca="false">IF($BH169&lt;&gt;Constants!$B$4,"",IF(NOT($AJ169),0,Constants!$B$24*INT(ROUND(MIN($AZ169,$AF$9),6))))</f>
        <v/>
      </c>
      <c r="BR169" s="100" t="str">
        <f aca="false">IF($BH169&lt;&gt;Constants!$B$4,"",IF(AND($AJ169,$BJ169=0),Constants!$B$25,0))</f>
        <v/>
      </c>
      <c r="BS169" s="100" t="str">
        <f aca="false">IF($BH169&lt;&gt;Constants!$B$4,"",MIN(Constants!$B$29,MAX(0,Constants!$B$27*Constants!$B$28*INT(ROUND((Constants!$B$26-$AL169)/Constants!$B$28,6))))+MIN(Constants!$B$29,MAX(0,Constants!$B$27*Constants!$B$28*INT(ROUND((Constants!$B$26-$AM169)/Constants!$B$28,6))))+MIN(Constants!$B$29,MAX(0,Constants!$B$27*Constants!$B$28*INT(ROUND((Constants!$B$26-$AN169)/Constants!$B$28,6)))))</f>
        <v/>
      </c>
      <c r="BT169" s="100" t="str">
        <f aca="false">IF($BH169&lt;&gt;Constants!$B$4,"",IF(NOT($AJ169),0,Constants!$B$31*INT(ROUND(MAX(0,MIN($BF169,2*$AF$9)-$AF$9),6))))</f>
        <v/>
      </c>
      <c r="BU169" s="100" t="str">
        <f aca="false">IF($BH169&lt;&gt;Constants!$B$4,"",Constants!$B$32*(($AL169&gt;Constants!$B$26)+($AM169&gt;Constants!$B$26)+($AN169&gt;Constants!$B$26)))</f>
        <v/>
      </c>
      <c r="BV169" s="100" t="str">
        <f aca="false">IF($BH169&lt;&gt;Constants!$B$4,"",IF(OR(NOT($AJ169),$AO169),0,Constants!$B$33))</f>
        <v/>
      </c>
      <c r="BW169" s="100" t="str">
        <f aca="false">IF($BH169&lt;&gt;Constants!$B$4,"",Constants!$B$34*$BJ169)</f>
        <v/>
      </c>
      <c r="BX169" s="100" t="str">
        <f aca="false">IF($BH169&lt;&gt;Constants!$B$4,"",IF(OR(NOT($AJ169),$BE169),0,Constants!$B$36))</f>
        <v/>
      </c>
      <c r="BY169" s="100" t="str">
        <f aca="false">IF($BH169&lt;&gt;Constants!$B$4,"",IF(OR(NOT($AJ169),$BD169),0,Constants!$B$37))</f>
        <v/>
      </c>
      <c r="BZ169" s="100" t="str">
        <f aca="false">IF($BH169&lt;&gt;Constants!$B$4,"",SUM($BT169:$BY169))</f>
        <v/>
      </c>
      <c r="CA169" s="100" t="str">
        <f aca="false">IF(ISBLANK($C169),"",IF($BH169&lt;&gt;Constants!$B$4,$BH169,SUM($BK169:$BS169)-$BZ169))</f>
        <v/>
      </c>
      <c r="CB169" s="100" t="str">
        <f aca="false">IF(ISBLANK($C169),"",IF($BH169&lt;&gt;Constants!$B$4,$BH169,RANK($CA169,$CA$9:$CA$508)))</f>
        <v/>
      </c>
      <c r="CC169" s="100" t="str">
        <f aca="false">IF(ISBLANK($C169),"",IF($BH169&lt;&gt;Constants!$B$4,$BH169,COUNTIFS($BI$9:$BI$508,"&lt;"&amp;$BI169)+COUNTIFS($BI$9:$BI$508,$BI169,$CB$9:$CB$508,"&lt;"&amp;$CB169)+1))</f>
        <v/>
      </c>
      <c r="CD169" s="100" t="str">
        <f aca="false">IF(ISBLANK($C169),"",IF($BH169&lt;&gt;Constants!$B$4,$BH169,RANK($BZ169,$BZ$9:$BZ$508,1)))</f>
        <v/>
      </c>
      <c r="CE169" s="100" t="str">
        <f aca="false">IF($BH169&lt;&gt;Constants!$B$4,"",$AL169+$AM169+$AN169)</f>
        <v/>
      </c>
      <c r="CF169" s="100" t="str">
        <f aca="false">IF(ISBLANK($C169),"",IF($BH169&lt;&gt;Constants!$B$4,$BH169,RANK($CE169,$CE$9:$CE$508,1)))</f>
        <v/>
      </c>
      <c r="CG169" s="100" t="str">
        <f aca="false">IF(ISBLANK($C169),"",IF($BH169&lt;&gt;Constants!$B$4,$BH169,COUNTIFS($BI$9:$BI$508,"&lt;"&amp;$BI169)+COUNTIFS($BI$9:$BI$508,$BI169,$CB$9:$CB$508,"&lt;"&amp;$CB169)+COUNTIFS($BI$9:$BI$508,$BI169,$CB$9:$CB$508,$CB169,$CD$9:$CD$508,"&lt;"&amp;$CD169)+COUNTIFS($BI$9:$BI$508,$BI169,$CB$9:$CB$508,$CB169,$CD$9:$CD$508,$CD169,$CF$9:$CF$508,"&lt;"&amp;$CF169)+1))</f>
        <v/>
      </c>
      <c r="CH169" s="100" t="str">
        <f aca="false">IF(ISBLANK($C169),"",IF($BH169&lt;&gt;Constants!$B$4,$BH169,$CC169-$CG169))</f>
        <v/>
      </c>
      <c r="CI169" s="100" t="str">
        <f aca="false">IF(ISBLANK($C169),"",IF(NOT($AJ169),"",IF(ISBLANK($D$7),$CI$5,IF(NOT(ISNUMBER($D$7)),$CI$6,""))))</f>
        <v/>
      </c>
      <c r="CJ169" s="100" t="str">
        <f aca="false">IF(ISBLANK($C169),"",OR($AL169="",$AM169="",$AN169=""))</f>
        <v/>
      </c>
      <c r="CK169" s="100" t="str">
        <f aca="false">IF(ISBLANK($C169),"",AND($AJ169,$AX169=""))</f>
        <v/>
      </c>
      <c r="CL169" s="100" t="str">
        <f aca="false">IF(ISBLANK($C169),"",AND($AJ169,$AY169=""))</f>
        <v/>
      </c>
      <c r="CM169" s="100" t="str">
        <f aca="false">IF(ISBLANK($C169),"",AND($AJ169,$AZ169=""))</f>
        <v/>
      </c>
      <c r="CN169" s="100" t="str">
        <f aca="false">IF(ISBLANK($C169),"",AND($AJ169,$BC169=""))</f>
        <v/>
      </c>
      <c r="CO169" s="100" t="str">
        <f aca="false">IF(ISBLANK($C169),"",AND($AJ169,$BF169=""))</f>
        <v/>
      </c>
      <c r="CP169" s="101"/>
      <c r="CQ169" s="102"/>
      <c r="CR169" s="103" t="str">
        <f aca="false">IF(ISBLANK($C169),"",IF($BH169=Constants!$B$8,$CI169,""))</f>
        <v/>
      </c>
      <c r="CS169" s="102" t="str">
        <f aca="false">IF(ISBLANK($C169),"",IF($BH169&lt;&gt;Constants!$B$4,"",$BK169+$BL169))</f>
        <v/>
      </c>
      <c r="CT169" s="104" t="str">
        <f aca="false">IF(ISBLANK($C169),"",IF($BH169&lt;&gt;Constants!$B$4,"",$BM169+$BN169+$BO169))</f>
        <v/>
      </c>
      <c r="CU169" s="104" t="str">
        <f aca="false">IF(ISBLANK($C169),"",IF($BH169&lt;&gt;Constants!$B$4,"",$BP169))</f>
        <v/>
      </c>
      <c r="CV169" s="104" t="str">
        <f aca="false">IF(ISBLANK($C169),"",IF($BH169&lt;&gt;Constants!$B$4,"",$BQ169+$BR169))</f>
        <v/>
      </c>
      <c r="CW169" s="104" t="str">
        <f aca="false">IF(ISBLANK($C169),"",IF($BH169&lt;&gt;Constants!$B$4,"",$BS169))</f>
        <v/>
      </c>
      <c r="CX169" s="104" t="str">
        <f aca="false">IF(ISBLANK($C169),"",IF($BH169&lt;&gt;Constants!$B$4,"",-$BZ169))</f>
        <v/>
      </c>
      <c r="CY169" s="103" t="str">
        <f aca="false">IF(ISBLANK($C169),"",$CA169)</f>
        <v/>
      </c>
      <c r="CZ169" s="105" t="str">
        <f aca="false">IF(ISBLANK($C169),"",$BI169)</f>
        <v/>
      </c>
      <c r="DA169" s="104" t="str">
        <f aca="false">IF(ISBLANK($C169),"",$CH169)</f>
        <v/>
      </c>
      <c r="DB169" s="104" t="str">
        <f aca="false">IF(ISBLANK($C169),"",$CG169)</f>
        <v/>
      </c>
      <c r="DC169" s="106" t="str">
        <f aca="false">IF(ISBLANK($C169),"",IFERROR(_xlfn.SWITCH($DB169,Constants!$B$7,COUNTA($C$9:$C$508)+2,Constants!$B$6,COUNTA($C$9:$C$508)+1,Constants!$B$5,COUNTA($C$9:$C$508)),$DB169))</f>
        <v/>
      </c>
      <c r="DD169" s="7"/>
      <c r="DE169" s="107" t="n">
        <f aca="false">IF(OR(ISNUMBER($DB169),$DB169=Constants!$B$7,$DB169=Constants!$B$5,$DB169=Constants!$B$6),1,0)</f>
        <v>0</v>
      </c>
      <c r="DF169" s="107" t="n">
        <v>161</v>
      </c>
      <c r="DG169" s="107" t="str">
        <f aca="false">IF(ISBLANK($C169),"",IF(ISNUMBER($DC169),$DC169+ROW($B169)/1000,""))</f>
        <v/>
      </c>
      <c r="DH169" s="107" t="str">
        <f aca="false">IF(ISNUMBER($DG169),RANK($DG169,$DG$9:$DG$508,1),"")</f>
        <v/>
      </c>
      <c r="DI169" s="107" t="str">
        <f aca="false">IF(ISBLANK($C169),"",$B169)</f>
        <v/>
      </c>
      <c r="DJ169" s="107" t="str">
        <f aca="false">IF(ISBLANK($C169),"",$C169)</f>
        <v/>
      </c>
      <c r="DK169" s="107" t="str">
        <f aca="false">IF(ISBLANK($C169),"",$D169)</f>
        <v/>
      </c>
      <c r="DL169" s="108" t="str">
        <f aca="false">$CZ169</f>
        <v/>
      </c>
      <c r="DM169" s="109" t="str">
        <f aca="false">$CY169</f>
        <v/>
      </c>
      <c r="DN169" s="107" t="str">
        <f aca="false">IF(ISBLANK($C169),"",$DB169)</f>
        <v/>
      </c>
      <c r="DO169" s="110" t="str">
        <f aca="false">IF($DF169&gt;$DE$8,"",VLOOKUP($DF169,$DH$9:$DN$508,7,FALSE()))</f>
        <v/>
      </c>
      <c r="DP169" s="111" t="str">
        <f aca="false">IF($DF169&gt;$DE$8,"",VLOOKUP($DF169,$DH$9:$DN$508,2,FALSE()))</f>
        <v/>
      </c>
      <c r="DQ169" s="111" t="str">
        <f aca="false">IF($DF169&gt;$DE$8,"",VLOOKUP($DF169,$DH$9:$DN$508,3,FALSE()))</f>
        <v/>
      </c>
      <c r="DR169" s="111" t="str">
        <f aca="false">IF($DF169&gt;$DE$8,"",VLOOKUP($DF169,$DH$9:$DN$508,4,FALSE()))</f>
        <v/>
      </c>
      <c r="DS169" s="111" t="str">
        <f aca="false">IF($DF169&gt;$DE$8,"",VLOOKUP($DF169,$DH$9:$DN$508,5,FALSE()))</f>
        <v/>
      </c>
      <c r="DT169" s="112" t="str">
        <f aca="false">IF($DF169&gt;$DE$8,"",VLOOKUP($DF169,$DH$9:$DN$508,6,FALSE()))</f>
        <v/>
      </c>
      <c r="DU169" s="62"/>
    </row>
    <row r="170" customFormat="false" ht="15.75" hidden="false" customHeight="false" outlineLevel="0" collapsed="false">
      <c r="A170" s="7"/>
      <c r="B170" s="90"/>
      <c r="C170" s="91"/>
      <c r="D170" s="126"/>
      <c r="E170" s="130"/>
      <c r="F170" s="135"/>
      <c r="G170" s="130"/>
      <c r="H170" s="135"/>
      <c r="I170" s="131"/>
      <c r="J170" s="131"/>
      <c r="K170" s="131"/>
      <c r="L170" s="130"/>
      <c r="M170" s="130"/>
      <c r="N170" s="130"/>
      <c r="O170" s="135"/>
      <c r="P170" s="130"/>
      <c r="Q170" s="130"/>
      <c r="R170" s="130"/>
      <c r="S170" s="130"/>
      <c r="T170" s="135"/>
      <c r="U170" s="130"/>
      <c r="V170" s="96"/>
      <c r="W170" s="130"/>
      <c r="X170" s="130"/>
      <c r="Y170" s="96"/>
      <c r="Z170" s="96"/>
      <c r="AA170" s="130"/>
      <c r="AB170" s="130"/>
      <c r="AC170" s="97"/>
      <c r="AD170" s="130"/>
      <c r="AE170" s="99"/>
      <c r="AF170" s="100"/>
      <c r="AG170" s="100"/>
      <c r="AH170" s="100" t="str">
        <f aca="false">IF(ISBLANK($C170),"",IF($E170=Constants!$B$2,TRUE(),IF($E170=Constants!$B$3,FALSE(),TRUE())))</f>
        <v/>
      </c>
      <c r="AI170" s="100" t="str">
        <f aca="false">IF(ISBLANK($C170),"",IF($F170=Constants!$B$2,TRUE(),IF($F170=Constants!$B$3,FALSE(),FALSE())))</f>
        <v/>
      </c>
      <c r="AJ170" s="100" t="str">
        <f aca="false">IF(ISBLANK($C170),"",IF($G170=Constants!$B$2,TRUE(),IF($G170=Constants!$B$3,FALSE(),TRUE())))</f>
        <v/>
      </c>
      <c r="AK170" s="100" t="str">
        <f aca="false">IF(ISBLANK($C170),"",IF($H170=Constants!$B$2,TRUE(),IF($H170=Constants!$B$3,FALSE(),TRUE())))</f>
        <v/>
      </c>
      <c r="AL170" s="100" t="str">
        <f aca="false">IF(ISBLANK($C170),"",IF(ISNUMBER($I170),IF($I170&gt;=0,$I170,""),""))</f>
        <v/>
      </c>
      <c r="AM170" s="100" t="str">
        <f aca="false">IF(ISBLANK($C170),"",IF(ISNUMBER($J170),IF($J170&gt;=0,$J170,""),""))</f>
        <v/>
      </c>
      <c r="AN170" s="100" t="str">
        <f aca="false">IF(ISBLANK($C170),"",IF(ISNUMBER($K170),IF($K170&gt;=0,$K170,""),""))</f>
        <v/>
      </c>
      <c r="AO170" s="100" t="str">
        <f aca="false">IF(ISBLANK($C170),"",IF($L170=Constants!$B$2,TRUE(),IF($L170=Constants!$B$3,FALSE(),TRUE())))</f>
        <v/>
      </c>
      <c r="AP170" s="100" t="str">
        <f aca="false">IF(ISBLANK($C170),"",IF($M170=Constants!$B$2,TRUE(),IF($M170=Constants!$B$3,FALSE(),TRUE())))</f>
        <v/>
      </c>
      <c r="AQ170" s="100" t="str">
        <f aca="false">IF(ISBLANK($C170),"",IF($N170=Constants!$B$2,TRUE(),IF($N170=Constants!$B$3,FALSE(),FALSE())))</f>
        <v/>
      </c>
      <c r="AR170" s="100" t="str">
        <f aca="false">IF(ISBLANK($C170),"",IF($O170=Constants!$B$2,TRUE(),IF($O170=Constants!$B$3,FALSE(),TRUE())))</f>
        <v/>
      </c>
      <c r="AS170" s="100" t="str">
        <f aca="false">IF(ISBLANK($C170),"",IF($P170=Constants!$B$2,TRUE(),IF($P170=Constants!$B$3,FALSE(),FALSE())))</f>
        <v/>
      </c>
      <c r="AT170" s="100" t="str">
        <f aca="false">IF(ISBLANK($C170),"",IF($Q170=Constants!$B$2,TRUE(),IF($Q170=Constants!$B$3,FALSE(),FALSE())))</f>
        <v/>
      </c>
      <c r="AU170" s="100" t="str">
        <f aca="false">IF(ISBLANK($C170),"",IF($R170=Constants!$B$2,TRUE(),IF($R170=Constants!$B$3,FALSE(),FALSE())))</f>
        <v/>
      </c>
      <c r="AV170" s="100" t="str">
        <f aca="false">IF(ISBLANK($C170),"",IF($S170=Constants!$B$2,TRUE(),IF($S170=Constants!$B$3,FALSE(),FALSE())))</f>
        <v/>
      </c>
      <c r="AW170" s="100" t="str">
        <f aca="false">IF(ISBLANK($C170),"",IF($T170=Constants!$B$2,TRUE(),IF($T170=Constants!$B$3,FALSE(),FALSE())))</f>
        <v/>
      </c>
      <c r="AX170" s="100" t="str">
        <f aca="false">IF(ISBLANK($C170),"",IF(OR($U170&amp;""="1",$U170&amp;""="2",$U170&amp;""="3",$U170&amp;""="4"),VALUE($U170&amp;""),IF($U170=Constants!$B$12,Constants!$B$12,"")))</f>
        <v/>
      </c>
      <c r="AY170" s="100" t="str">
        <f aca="false">IF(ISBLANK($C170),"",IF(ISBLANK($V170),0,IF(ISNUMBER($V170),IF(AND($V170&gt;=0,$V170&lt;=Constants!$B$21,$V170=INT($V170)),$V170,""),"")))</f>
        <v/>
      </c>
      <c r="AZ170" s="100" t="str">
        <f aca="false">IF(ISBLANK($C170),"",IF(ISBLANK($W170),0,IF(ISNUMBER($W170),IF($W170&gt;=0,$W170,""),"")))</f>
        <v/>
      </c>
      <c r="BA170" s="100" t="str">
        <f aca="false">IF(ISBLANK($C170),"",IF($X170=Constants!$B$2,TRUE(),IF($X170=Constants!$B$3,FALSE(),TRUE())))</f>
        <v/>
      </c>
      <c r="BB170" s="100" t="str">
        <f aca="false">IF(ISBLANK($C170),"",IF($Y170=Constants!$B$2,TRUE(),IF($Y170=Constants!$B$3,FALSE(),FALSE())))</f>
        <v/>
      </c>
      <c r="BC170" s="100" t="str">
        <f aca="false">IF(ISBLANK($C170),"",IF(ISBLANK($Z170),0,IF(ISNUMBER($Z170),IF(AND($Z170&gt;=0,$Z170&lt;=Constants!$B$35,$Z170=INT($Z170)),$Z170,""),"")))</f>
        <v/>
      </c>
      <c r="BD170" s="100" t="str">
        <f aca="false">IF(ISBLANK($C170),"",IF($AA170=Constants!$B$2,TRUE(),IF($AA170=Constants!$B$3,FALSE(),TRUE())))</f>
        <v/>
      </c>
      <c r="BE170" s="100" t="str">
        <f aca="false">IF(ISBLANK($C170),"",IF($AB170=Constants!$B$2,TRUE(),IF($AB170=Constants!$B$3,FALSE(),TRUE())))</f>
        <v/>
      </c>
      <c r="BF170" s="100" t="str">
        <f aca="false">IF(ISBLANK($C170),"",IF(ISNUMBER($AC170),IF($AC170&gt;=0,$AC170,""),""))</f>
        <v/>
      </c>
      <c r="BG170" s="100" t="str">
        <f aca="false">IF(ISBLANK($C170),"",IF($AD170=Constants!$B$2,TRUE(),IF($AD170=Constants!$B$3,FALSE(),FALSE())))</f>
        <v/>
      </c>
      <c r="BH170" s="99" t="str">
        <f aca="false">IF(ISBLANK($C170),"",IF($BG170,Constants!$B$7,IF(COUNTA($E170:$AC170)=0,Constants!$B$6,IF(OR(COUNTA($G170:$AC170)=0,NOT($AK170),$AQ170),Constants!$B$5,IF(OR($CI170&lt;&gt;"",$CJ170,$CK170,$CL170,$CM170,$CN170,$CO170),Constants!$B$8,Constants!$B$4)))))</f>
        <v/>
      </c>
      <c r="BI170" s="100" t="str">
        <f aca="false">IF(ISBLANK($C170),"",IF($BH170&lt;&gt;Constants!$B$4,$BH170,IF(OR(NOT($AH170),NOT($AJ170),NOT($AR170)),Constants!$B$11,IF(OR(NOT($AP170),MAX($AL170,$AM170,$AN170)&gt;Constants!$B$30),Constants!$B$10,Constants!$B$9))))</f>
        <v/>
      </c>
      <c r="BJ170" s="100" t="str">
        <f aca="false">IF($BH170&lt;&gt;Constants!$B$4,"",IF(NOT($AJ170),0,MIN(Constants!$B$35,$BC170)))</f>
        <v/>
      </c>
      <c r="BK170" s="100" t="str">
        <f aca="false">IF($BH170&lt;&gt;Constants!$B$4,"",IF(NOT($AJ170),0,IF($AT170,Constants!$B$18,IF($AS170,Constants!$B$17,0))))</f>
        <v/>
      </c>
      <c r="BL170" s="100" t="str">
        <f aca="false">IF($BH170&lt;&gt;Constants!$B$4,"",IF(NOT($AJ170),0,Constants!$B$19*($AI170+$AU170+$AV170+$AW170)))</f>
        <v/>
      </c>
      <c r="BM170" s="100" t="str">
        <f aca="false">IF($BH170&lt;&gt;Constants!$B$4,"",IF(OR(NOT($AJ170),NOT(ISNUMBER($AX170))),0,CHOOSE($AX170,Constants!$B$13,Constants!$B$14,Constants!$B$15,Constants!$B$16)))</f>
        <v/>
      </c>
      <c r="BN170" s="100" t="str">
        <f aca="false">IF($BH170&lt;&gt;Constants!$B$4,"",IF(NOT($AJ170),0,Constants!$B$20*$AY170))</f>
        <v/>
      </c>
      <c r="BO170" s="100" t="str">
        <f aca="false">IF($BH170&lt;&gt;Constants!$B$4,"",IF(AND($AJ170,$BA170,$BB170),Constants!$B$22,0))</f>
        <v/>
      </c>
      <c r="BP170" s="100" t="str">
        <f aca="false">IF($BH170&lt;&gt;Constants!$B$4,"",IF(OR(NOT($AJ170),NOT($BA170)),0,IF($BF170&gt;=2*$AF$9,0,Constants!$B$23*INT(ROUND(MIN($BF170,$AF$9),6)))))</f>
        <v/>
      </c>
      <c r="BQ170" s="100" t="str">
        <f aca="false">IF($BH170&lt;&gt;Constants!$B$4,"",IF(NOT($AJ170),0,Constants!$B$24*INT(ROUND(MIN($AZ170,$AF$9),6))))</f>
        <v/>
      </c>
      <c r="BR170" s="100" t="str">
        <f aca="false">IF($BH170&lt;&gt;Constants!$B$4,"",IF(AND($AJ170,$BJ170=0),Constants!$B$25,0))</f>
        <v/>
      </c>
      <c r="BS170" s="100" t="str">
        <f aca="false">IF($BH170&lt;&gt;Constants!$B$4,"",MIN(Constants!$B$29,MAX(0,Constants!$B$27*Constants!$B$28*INT(ROUND((Constants!$B$26-$AL170)/Constants!$B$28,6))))+MIN(Constants!$B$29,MAX(0,Constants!$B$27*Constants!$B$28*INT(ROUND((Constants!$B$26-$AM170)/Constants!$B$28,6))))+MIN(Constants!$B$29,MAX(0,Constants!$B$27*Constants!$B$28*INT(ROUND((Constants!$B$26-$AN170)/Constants!$B$28,6)))))</f>
        <v/>
      </c>
      <c r="BT170" s="100" t="str">
        <f aca="false">IF($BH170&lt;&gt;Constants!$B$4,"",IF(NOT($AJ170),0,Constants!$B$31*INT(ROUND(MAX(0,MIN($BF170,2*$AF$9)-$AF$9),6))))</f>
        <v/>
      </c>
      <c r="BU170" s="100" t="str">
        <f aca="false">IF($BH170&lt;&gt;Constants!$B$4,"",Constants!$B$32*(($AL170&gt;Constants!$B$26)+($AM170&gt;Constants!$B$26)+($AN170&gt;Constants!$B$26)))</f>
        <v/>
      </c>
      <c r="BV170" s="100" t="str">
        <f aca="false">IF($BH170&lt;&gt;Constants!$B$4,"",IF(OR(NOT($AJ170),$AO170),0,Constants!$B$33))</f>
        <v/>
      </c>
      <c r="BW170" s="100" t="str">
        <f aca="false">IF($BH170&lt;&gt;Constants!$B$4,"",Constants!$B$34*$BJ170)</f>
        <v/>
      </c>
      <c r="BX170" s="100" t="str">
        <f aca="false">IF($BH170&lt;&gt;Constants!$B$4,"",IF(OR(NOT($AJ170),$BE170),0,Constants!$B$36))</f>
        <v/>
      </c>
      <c r="BY170" s="100" t="str">
        <f aca="false">IF($BH170&lt;&gt;Constants!$B$4,"",IF(OR(NOT($AJ170),$BD170),0,Constants!$B$37))</f>
        <v/>
      </c>
      <c r="BZ170" s="100" t="str">
        <f aca="false">IF($BH170&lt;&gt;Constants!$B$4,"",SUM($BT170:$BY170))</f>
        <v/>
      </c>
      <c r="CA170" s="100" t="str">
        <f aca="false">IF(ISBLANK($C170),"",IF($BH170&lt;&gt;Constants!$B$4,$BH170,SUM($BK170:$BS170)-$BZ170))</f>
        <v/>
      </c>
      <c r="CB170" s="100" t="str">
        <f aca="false">IF(ISBLANK($C170),"",IF($BH170&lt;&gt;Constants!$B$4,$BH170,RANK($CA170,$CA$9:$CA$508)))</f>
        <v/>
      </c>
      <c r="CC170" s="100" t="str">
        <f aca="false">IF(ISBLANK($C170),"",IF($BH170&lt;&gt;Constants!$B$4,$BH170,COUNTIFS($BI$9:$BI$508,"&lt;"&amp;$BI170)+COUNTIFS($BI$9:$BI$508,$BI170,$CB$9:$CB$508,"&lt;"&amp;$CB170)+1))</f>
        <v/>
      </c>
      <c r="CD170" s="100" t="str">
        <f aca="false">IF(ISBLANK($C170),"",IF($BH170&lt;&gt;Constants!$B$4,$BH170,RANK($BZ170,$BZ$9:$BZ$508,1)))</f>
        <v/>
      </c>
      <c r="CE170" s="100" t="str">
        <f aca="false">IF($BH170&lt;&gt;Constants!$B$4,"",$AL170+$AM170+$AN170)</f>
        <v/>
      </c>
      <c r="CF170" s="100" t="str">
        <f aca="false">IF(ISBLANK($C170),"",IF($BH170&lt;&gt;Constants!$B$4,$BH170,RANK($CE170,$CE$9:$CE$508,1)))</f>
        <v/>
      </c>
      <c r="CG170" s="100" t="str">
        <f aca="false">IF(ISBLANK($C170),"",IF($BH170&lt;&gt;Constants!$B$4,$BH170,COUNTIFS($BI$9:$BI$508,"&lt;"&amp;$BI170)+COUNTIFS($BI$9:$BI$508,$BI170,$CB$9:$CB$508,"&lt;"&amp;$CB170)+COUNTIFS($BI$9:$BI$508,$BI170,$CB$9:$CB$508,$CB170,$CD$9:$CD$508,"&lt;"&amp;$CD170)+COUNTIFS($BI$9:$BI$508,$BI170,$CB$9:$CB$508,$CB170,$CD$9:$CD$508,$CD170,$CF$9:$CF$508,"&lt;"&amp;$CF170)+1))</f>
        <v/>
      </c>
      <c r="CH170" s="100" t="str">
        <f aca="false">IF(ISBLANK($C170),"",IF($BH170&lt;&gt;Constants!$B$4,$BH170,$CC170-$CG170))</f>
        <v/>
      </c>
      <c r="CI170" s="100" t="str">
        <f aca="false">IF(ISBLANK($C170),"",IF(NOT($AJ170),"",IF(ISBLANK($D$7),$CI$5,IF(NOT(ISNUMBER($D$7)),$CI$6,""))))</f>
        <v/>
      </c>
      <c r="CJ170" s="100" t="str">
        <f aca="false">IF(ISBLANK($C170),"",OR($AL170="",$AM170="",$AN170=""))</f>
        <v/>
      </c>
      <c r="CK170" s="100" t="str">
        <f aca="false">IF(ISBLANK($C170),"",AND($AJ170,$AX170=""))</f>
        <v/>
      </c>
      <c r="CL170" s="100" t="str">
        <f aca="false">IF(ISBLANK($C170),"",AND($AJ170,$AY170=""))</f>
        <v/>
      </c>
      <c r="CM170" s="100" t="str">
        <f aca="false">IF(ISBLANK($C170),"",AND($AJ170,$AZ170=""))</f>
        <v/>
      </c>
      <c r="CN170" s="100" t="str">
        <f aca="false">IF(ISBLANK($C170),"",AND($AJ170,$BC170=""))</f>
        <v/>
      </c>
      <c r="CO170" s="100" t="str">
        <f aca="false">IF(ISBLANK($C170),"",AND($AJ170,$BF170=""))</f>
        <v/>
      </c>
      <c r="CP170" s="101"/>
      <c r="CQ170" s="102"/>
      <c r="CR170" s="103" t="str">
        <f aca="false">IF(ISBLANK($C170),"",IF($BH170=Constants!$B$8,$CI170,""))</f>
        <v/>
      </c>
      <c r="CS170" s="102" t="str">
        <f aca="false">IF(ISBLANK($C170),"",IF($BH170&lt;&gt;Constants!$B$4,"",$BK170+$BL170))</f>
        <v/>
      </c>
      <c r="CT170" s="104" t="str">
        <f aca="false">IF(ISBLANK($C170),"",IF($BH170&lt;&gt;Constants!$B$4,"",$BM170+$BN170+$BO170))</f>
        <v/>
      </c>
      <c r="CU170" s="104" t="str">
        <f aca="false">IF(ISBLANK($C170),"",IF($BH170&lt;&gt;Constants!$B$4,"",$BP170))</f>
        <v/>
      </c>
      <c r="CV170" s="104" t="str">
        <f aca="false">IF(ISBLANK($C170),"",IF($BH170&lt;&gt;Constants!$B$4,"",$BQ170+$BR170))</f>
        <v/>
      </c>
      <c r="CW170" s="104" t="str">
        <f aca="false">IF(ISBLANK($C170),"",IF($BH170&lt;&gt;Constants!$B$4,"",$BS170))</f>
        <v/>
      </c>
      <c r="CX170" s="104" t="str">
        <f aca="false">IF(ISBLANK($C170),"",IF($BH170&lt;&gt;Constants!$B$4,"",-$BZ170))</f>
        <v/>
      </c>
      <c r="CY170" s="103" t="str">
        <f aca="false">IF(ISBLANK($C170),"",$CA170)</f>
        <v/>
      </c>
      <c r="CZ170" s="105" t="str">
        <f aca="false">IF(ISBLANK($C170),"",$BI170)</f>
        <v/>
      </c>
      <c r="DA170" s="104" t="str">
        <f aca="false">IF(ISBLANK($C170),"",$CH170)</f>
        <v/>
      </c>
      <c r="DB170" s="104" t="str">
        <f aca="false">IF(ISBLANK($C170),"",$CG170)</f>
        <v/>
      </c>
      <c r="DC170" s="106" t="str">
        <f aca="false">IF(ISBLANK($C170),"",IFERROR(_xlfn.SWITCH($DB170,Constants!$B$7,COUNTA($C$9:$C$508)+2,Constants!$B$6,COUNTA($C$9:$C$508)+1,Constants!$B$5,COUNTA($C$9:$C$508)),$DB170))</f>
        <v/>
      </c>
      <c r="DD170" s="7"/>
      <c r="DE170" s="107" t="n">
        <f aca="false">IF(OR(ISNUMBER($DB170),$DB170=Constants!$B$7,$DB170=Constants!$B$5,$DB170=Constants!$B$6),1,0)</f>
        <v>0</v>
      </c>
      <c r="DF170" s="107" t="n">
        <v>162</v>
      </c>
      <c r="DG170" s="107" t="str">
        <f aca="false">IF(ISBLANK($C170),"",IF(ISNUMBER($DC170),$DC170+ROW($B170)/1000,""))</f>
        <v/>
      </c>
      <c r="DH170" s="107" t="str">
        <f aca="false">IF(ISNUMBER($DG170),RANK($DG170,$DG$9:$DG$508,1),"")</f>
        <v/>
      </c>
      <c r="DI170" s="107" t="str">
        <f aca="false">IF(ISBLANK($C170),"",$B170)</f>
        <v/>
      </c>
      <c r="DJ170" s="107" t="str">
        <f aca="false">IF(ISBLANK($C170),"",$C170)</f>
        <v/>
      </c>
      <c r="DK170" s="107" t="str">
        <f aca="false">IF(ISBLANK($C170),"",$D170)</f>
        <v/>
      </c>
      <c r="DL170" s="108" t="str">
        <f aca="false">$CZ170</f>
        <v/>
      </c>
      <c r="DM170" s="109" t="str">
        <f aca="false">$CY170</f>
        <v/>
      </c>
      <c r="DN170" s="107" t="str">
        <f aca="false">IF(ISBLANK($C170),"",$DB170)</f>
        <v/>
      </c>
      <c r="DO170" s="110" t="str">
        <f aca="false">IF($DF170&gt;$DE$8,"",VLOOKUP($DF170,$DH$9:$DN$508,7,FALSE()))</f>
        <v/>
      </c>
      <c r="DP170" s="111" t="str">
        <f aca="false">IF($DF170&gt;$DE$8,"",VLOOKUP($DF170,$DH$9:$DN$508,2,FALSE()))</f>
        <v/>
      </c>
      <c r="DQ170" s="111" t="str">
        <f aca="false">IF($DF170&gt;$DE$8,"",VLOOKUP($DF170,$DH$9:$DN$508,3,FALSE()))</f>
        <v/>
      </c>
      <c r="DR170" s="111" t="str">
        <f aca="false">IF($DF170&gt;$DE$8,"",VLOOKUP($DF170,$DH$9:$DN$508,4,FALSE()))</f>
        <v/>
      </c>
      <c r="DS170" s="111" t="str">
        <f aca="false">IF($DF170&gt;$DE$8,"",VLOOKUP($DF170,$DH$9:$DN$508,5,FALSE()))</f>
        <v/>
      </c>
      <c r="DT170" s="112" t="str">
        <f aca="false">IF($DF170&gt;$DE$8,"",VLOOKUP($DF170,$DH$9:$DN$508,6,FALSE()))</f>
        <v/>
      </c>
      <c r="DU170" s="62"/>
    </row>
    <row r="171" customFormat="false" ht="15.75" hidden="false" customHeight="false" outlineLevel="0" collapsed="false">
      <c r="A171" s="7"/>
      <c r="B171" s="64"/>
      <c r="C171" s="65"/>
      <c r="D171" s="123"/>
      <c r="E171" s="88"/>
      <c r="F171" s="134"/>
      <c r="G171" s="88"/>
      <c r="H171" s="134"/>
      <c r="I171" s="119"/>
      <c r="J171" s="119"/>
      <c r="K171" s="119"/>
      <c r="L171" s="88"/>
      <c r="M171" s="88"/>
      <c r="N171" s="88"/>
      <c r="O171" s="134"/>
      <c r="P171" s="88"/>
      <c r="Q171" s="88"/>
      <c r="R171" s="88"/>
      <c r="S171" s="88"/>
      <c r="T171" s="134"/>
      <c r="U171" s="88"/>
      <c r="V171" s="70"/>
      <c r="W171" s="88"/>
      <c r="X171" s="88"/>
      <c r="Y171" s="70"/>
      <c r="Z171" s="70"/>
      <c r="AA171" s="88"/>
      <c r="AB171" s="88"/>
      <c r="AC171" s="71"/>
      <c r="AD171" s="88"/>
      <c r="AE171" s="73"/>
      <c r="AF171" s="74"/>
      <c r="AG171" s="74"/>
      <c r="AH171" s="74" t="str">
        <f aca="false">IF(ISBLANK($C171),"",IF($E171=Constants!$B$2,TRUE(),IF($E171=Constants!$B$3,FALSE(),TRUE())))</f>
        <v/>
      </c>
      <c r="AI171" s="74" t="str">
        <f aca="false">IF(ISBLANK($C171),"",IF($F171=Constants!$B$2,TRUE(),IF($F171=Constants!$B$3,FALSE(),FALSE())))</f>
        <v/>
      </c>
      <c r="AJ171" s="74" t="str">
        <f aca="false">IF(ISBLANK($C171),"",IF($G171=Constants!$B$2,TRUE(),IF($G171=Constants!$B$3,FALSE(),TRUE())))</f>
        <v/>
      </c>
      <c r="AK171" s="74" t="str">
        <f aca="false">IF(ISBLANK($C171),"",IF($H171=Constants!$B$2,TRUE(),IF($H171=Constants!$B$3,FALSE(),TRUE())))</f>
        <v/>
      </c>
      <c r="AL171" s="74" t="str">
        <f aca="false">IF(ISBLANK($C171),"",IF(ISNUMBER($I171),IF($I171&gt;=0,$I171,""),""))</f>
        <v/>
      </c>
      <c r="AM171" s="74" t="str">
        <f aca="false">IF(ISBLANK($C171),"",IF(ISNUMBER($J171),IF($J171&gt;=0,$J171,""),""))</f>
        <v/>
      </c>
      <c r="AN171" s="74" t="str">
        <f aca="false">IF(ISBLANK($C171),"",IF(ISNUMBER($K171),IF($K171&gt;=0,$K171,""),""))</f>
        <v/>
      </c>
      <c r="AO171" s="74" t="str">
        <f aca="false">IF(ISBLANK($C171),"",IF($L171=Constants!$B$2,TRUE(),IF($L171=Constants!$B$3,FALSE(),TRUE())))</f>
        <v/>
      </c>
      <c r="AP171" s="74" t="str">
        <f aca="false">IF(ISBLANK($C171),"",IF($M171=Constants!$B$2,TRUE(),IF($M171=Constants!$B$3,FALSE(),TRUE())))</f>
        <v/>
      </c>
      <c r="AQ171" s="74" t="str">
        <f aca="false">IF(ISBLANK($C171),"",IF($N171=Constants!$B$2,TRUE(),IF($N171=Constants!$B$3,FALSE(),FALSE())))</f>
        <v/>
      </c>
      <c r="AR171" s="74" t="str">
        <f aca="false">IF(ISBLANK($C171),"",IF($O171=Constants!$B$2,TRUE(),IF($O171=Constants!$B$3,FALSE(),TRUE())))</f>
        <v/>
      </c>
      <c r="AS171" s="74" t="str">
        <f aca="false">IF(ISBLANK($C171),"",IF($P171=Constants!$B$2,TRUE(),IF($P171=Constants!$B$3,FALSE(),FALSE())))</f>
        <v/>
      </c>
      <c r="AT171" s="74" t="str">
        <f aca="false">IF(ISBLANK($C171),"",IF($Q171=Constants!$B$2,TRUE(),IF($Q171=Constants!$B$3,FALSE(),FALSE())))</f>
        <v/>
      </c>
      <c r="AU171" s="74" t="str">
        <f aca="false">IF(ISBLANK($C171),"",IF($R171=Constants!$B$2,TRUE(),IF($R171=Constants!$B$3,FALSE(),FALSE())))</f>
        <v/>
      </c>
      <c r="AV171" s="74" t="str">
        <f aca="false">IF(ISBLANK($C171),"",IF($S171=Constants!$B$2,TRUE(),IF($S171=Constants!$B$3,FALSE(),FALSE())))</f>
        <v/>
      </c>
      <c r="AW171" s="74" t="str">
        <f aca="false">IF(ISBLANK($C171),"",IF($T171=Constants!$B$2,TRUE(),IF($T171=Constants!$B$3,FALSE(),FALSE())))</f>
        <v/>
      </c>
      <c r="AX171" s="74" t="str">
        <f aca="false">IF(ISBLANK($C171),"",IF(OR($U171&amp;""="1",$U171&amp;""="2",$U171&amp;""="3",$U171&amp;""="4"),VALUE($U171&amp;""),IF($U171=Constants!$B$12,Constants!$B$12,"")))</f>
        <v/>
      </c>
      <c r="AY171" s="74" t="str">
        <f aca="false">IF(ISBLANK($C171),"",IF(ISBLANK($V171),0,IF(ISNUMBER($V171),IF(AND($V171&gt;=0,$V171&lt;=Constants!$B$21,$V171=INT($V171)),$V171,""),"")))</f>
        <v/>
      </c>
      <c r="AZ171" s="74" t="str">
        <f aca="false">IF(ISBLANK($C171),"",IF(ISBLANK($W171),0,IF(ISNUMBER($W171),IF($W171&gt;=0,$W171,""),"")))</f>
        <v/>
      </c>
      <c r="BA171" s="74" t="str">
        <f aca="false">IF(ISBLANK($C171),"",IF($X171=Constants!$B$2,TRUE(),IF($X171=Constants!$B$3,FALSE(),TRUE())))</f>
        <v/>
      </c>
      <c r="BB171" s="74" t="str">
        <f aca="false">IF(ISBLANK($C171),"",IF($Y171=Constants!$B$2,TRUE(),IF($Y171=Constants!$B$3,FALSE(),FALSE())))</f>
        <v/>
      </c>
      <c r="BC171" s="74" t="str">
        <f aca="false">IF(ISBLANK($C171),"",IF(ISBLANK($Z171),0,IF(ISNUMBER($Z171),IF(AND($Z171&gt;=0,$Z171&lt;=Constants!$B$35,$Z171=INT($Z171)),$Z171,""),"")))</f>
        <v/>
      </c>
      <c r="BD171" s="74" t="str">
        <f aca="false">IF(ISBLANK($C171),"",IF($AA171=Constants!$B$2,TRUE(),IF($AA171=Constants!$B$3,FALSE(),TRUE())))</f>
        <v/>
      </c>
      <c r="BE171" s="74" t="str">
        <f aca="false">IF(ISBLANK($C171),"",IF($AB171=Constants!$B$2,TRUE(),IF($AB171=Constants!$B$3,FALSE(),TRUE())))</f>
        <v/>
      </c>
      <c r="BF171" s="74" t="str">
        <f aca="false">IF(ISBLANK($C171),"",IF(ISNUMBER($AC171),IF($AC171&gt;=0,$AC171,""),""))</f>
        <v/>
      </c>
      <c r="BG171" s="74" t="str">
        <f aca="false">IF(ISBLANK($C171),"",IF($AD171=Constants!$B$2,TRUE(),IF($AD171=Constants!$B$3,FALSE(),FALSE())))</f>
        <v/>
      </c>
      <c r="BH171" s="73" t="str">
        <f aca="false">IF(ISBLANK($C171),"",IF($BG171,Constants!$B$7,IF(COUNTA($E171:$AC171)=0,Constants!$B$6,IF(OR(COUNTA($G171:$AC171)=0,NOT($AK171),$AQ171),Constants!$B$5,IF(OR($CI171&lt;&gt;"",$CJ171,$CK171,$CL171,$CM171,$CN171,$CO171),Constants!$B$8,Constants!$B$4)))))</f>
        <v/>
      </c>
      <c r="BI171" s="74" t="str">
        <f aca="false">IF(ISBLANK($C171),"",IF($BH171&lt;&gt;Constants!$B$4,$BH171,IF(OR(NOT($AH171),NOT($AJ171),NOT($AR171)),Constants!$B$11,IF(OR(NOT($AP171),MAX($AL171,$AM171,$AN171)&gt;Constants!$B$30),Constants!$B$10,Constants!$B$9))))</f>
        <v/>
      </c>
      <c r="BJ171" s="74" t="str">
        <f aca="false">IF($BH171&lt;&gt;Constants!$B$4,"",IF(NOT($AJ171),0,MIN(Constants!$B$35,$BC171)))</f>
        <v/>
      </c>
      <c r="BK171" s="74" t="str">
        <f aca="false">IF($BH171&lt;&gt;Constants!$B$4,"",IF(NOT($AJ171),0,IF($AT171,Constants!$B$18,IF($AS171,Constants!$B$17,0))))</f>
        <v/>
      </c>
      <c r="BL171" s="74" t="str">
        <f aca="false">IF($BH171&lt;&gt;Constants!$B$4,"",IF(NOT($AJ171),0,Constants!$B$19*($AI171+$AU171+$AV171+$AW171)))</f>
        <v/>
      </c>
      <c r="BM171" s="74" t="str">
        <f aca="false">IF($BH171&lt;&gt;Constants!$B$4,"",IF(OR(NOT($AJ171),NOT(ISNUMBER($AX171))),0,CHOOSE($AX171,Constants!$B$13,Constants!$B$14,Constants!$B$15,Constants!$B$16)))</f>
        <v/>
      </c>
      <c r="BN171" s="74" t="str">
        <f aca="false">IF($BH171&lt;&gt;Constants!$B$4,"",IF(NOT($AJ171),0,Constants!$B$20*$AY171))</f>
        <v/>
      </c>
      <c r="BO171" s="74" t="str">
        <f aca="false">IF($BH171&lt;&gt;Constants!$B$4,"",IF(AND($AJ171,$BA171,$BB171),Constants!$B$22,0))</f>
        <v/>
      </c>
      <c r="BP171" s="74" t="str">
        <f aca="false">IF($BH171&lt;&gt;Constants!$B$4,"",IF(OR(NOT($AJ171),NOT($BA171)),0,IF($BF171&gt;=2*$AF$9,0,Constants!$B$23*INT(ROUND(MIN($BF171,$AF$9),6)))))</f>
        <v/>
      </c>
      <c r="BQ171" s="74" t="str">
        <f aca="false">IF($BH171&lt;&gt;Constants!$B$4,"",IF(NOT($AJ171),0,Constants!$B$24*INT(ROUND(MIN($AZ171,$AF$9),6))))</f>
        <v/>
      </c>
      <c r="BR171" s="74" t="str">
        <f aca="false">IF($BH171&lt;&gt;Constants!$B$4,"",IF(AND($AJ171,$BJ171=0),Constants!$B$25,0))</f>
        <v/>
      </c>
      <c r="BS171" s="74" t="str">
        <f aca="false">IF($BH171&lt;&gt;Constants!$B$4,"",MIN(Constants!$B$29,MAX(0,Constants!$B$27*Constants!$B$28*INT(ROUND((Constants!$B$26-$AL171)/Constants!$B$28,6))))+MIN(Constants!$B$29,MAX(0,Constants!$B$27*Constants!$B$28*INT(ROUND((Constants!$B$26-$AM171)/Constants!$B$28,6))))+MIN(Constants!$B$29,MAX(0,Constants!$B$27*Constants!$B$28*INT(ROUND((Constants!$B$26-$AN171)/Constants!$B$28,6)))))</f>
        <v/>
      </c>
      <c r="BT171" s="74" t="str">
        <f aca="false">IF($BH171&lt;&gt;Constants!$B$4,"",IF(NOT($AJ171),0,Constants!$B$31*INT(ROUND(MAX(0,MIN($BF171,2*$AF$9)-$AF$9),6))))</f>
        <v/>
      </c>
      <c r="BU171" s="74" t="str">
        <f aca="false">IF($BH171&lt;&gt;Constants!$B$4,"",Constants!$B$32*(($AL171&gt;Constants!$B$26)+($AM171&gt;Constants!$B$26)+($AN171&gt;Constants!$B$26)))</f>
        <v/>
      </c>
      <c r="BV171" s="74" t="str">
        <f aca="false">IF($BH171&lt;&gt;Constants!$B$4,"",IF(OR(NOT($AJ171),$AO171),0,Constants!$B$33))</f>
        <v/>
      </c>
      <c r="BW171" s="74" t="str">
        <f aca="false">IF($BH171&lt;&gt;Constants!$B$4,"",Constants!$B$34*$BJ171)</f>
        <v/>
      </c>
      <c r="BX171" s="74" t="str">
        <f aca="false">IF($BH171&lt;&gt;Constants!$B$4,"",IF(OR(NOT($AJ171),$BE171),0,Constants!$B$36))</f>
        <v/>
      </c>
      <c r="BY171" s="74" t="str">
        <f aca="false">IF($BH171&lt;&gt;Constants!$B$4,"",IF(OR(NOT($AJ171),$BD171),0,Constants!$B$37))</f>
        <v/>
      </c>
      <c r="BZ171" s="74" t="str">
        <f aca="false">IF($BH171&lt;&gt;Constants!$B$4,"",SUM($BT171:$BY171))</f>
        <v/>
      </c>
      <c r="CA171" s="74" t="str">
        <f aca="false">IF(ISBLANK($C171),"",IF($BH171&lt;&gt;Constants!$B$4,$BH171,SUM($BK171:$BS171)-$BZ171))</f>
        <v/>
      </c>
      <c r="CB171" s="74" t="str">
        <f aca="false">IF(ISBLANK($C171),"",IF($BH171&lt;&gt;Constants!$B$4,$BH171,RANK($CA171,$CA$9:$CA$508)))</f>
        <v/>
      </c>
      <c r="CC171" s="74" t="str">
        <f aca="false">IF(ISBLANK($C171),"",IF($BH171&lt;&gt;Constants!$B$4,$BH171,COUNTIFS($BI$9:$BI$508,"&lt;"&amp;$BI171)+COUNTIFS($BI$9:$BI$508,$BI171,$CB$9:$CB$508,"&lt;"&amp;$CB171)+1))</f>
        <v/>
      </c>
      <c r="CD171" s="74" t="str">
        <f aca="false">IF(ISBLANK($C171),"",IF($BH171&lt;&gt;Constants!$B$4,$BH171,RANK($BZ171,$BZ$9:$BZ$508,1)))</f>
        <v/>
      </c>
      <c r="CE171" s="74" t="str">
        <f aca="false">IF($BH171&lt;&gt;Constants!$B$4,"",$AL171+$AM171+$AN171)</f>
        <v/>
      </c>
      <c r="CF171" s="74" t="str">
        <f aca="false">IF(ISBLANK($C171),"",IF($BH171&lt;&gt;Constants!$B$4,$BH171,RANK($CE171,$CE$9:$CE$508,1)))</f>
        <v/>
      </c>
      <c r="CG171" s="74" t="str">
        <f aca="false">IF(ISBLANK($C171),"",IF($BH171&lt;&gt;Constants!$B$4,$BH171,COUNTIFS($BI$9:$BI$508,"&lt;"&amp;$BI171)+COUNTIFS($BI$9:$BI$508,$BI171,$CB$9:$CB$508,"&lt;"&amp;$CB171)+COUNTIFS($BI$9:$BI$508,$BI171,$CB$9:$CB$508,$CB171,$CD$9:$CD$508,"&lt;"&amp;$CD171)+COUNTIFS($BI$9:$BI$508,$BI171,$CB$9:$CB$508,$CB171,$CD$9:$CD$508,$CD171,$CF$9:$CF$508,"&lt;"&amp;$CF171)+1))</f>
        <v/>
      </c>
      <c r="CH171" s="74" t="str">
        <f aca="false">IF(ISBLANK($C171),"",IF($BH171&lt;&gt;Constants!$B$4,$BH171,$CC171-$CG171))</f>
        <v/>
      </c>
      <c r="CI171" s="74" t="str">
        <f aca="false">IF(ISBLANK($C171),"",IF(NOT($AJ171),"",IF(ISBLANK($D$7),$CI$5,IF(NOT(ISNUMBER($D$7)),$CI$6,""))))</f>
        <v/>
      </c>
      <c r="CJ171" s="74" t="str">
        <f aca="false">IF(ISBLANK($C171),"",OR($AL171="",$AM171="",$AN171=""))</f>
        <v/>
      </c>
      <c r="CK171" s="74" t="str">
        <f aca="false">IF(ISBLANK($C171),"",AND($AJ171,$AX171=""))</f>
        <v/>
      </c>
      <c r="CL171" s="74" t="str">
        <f aca="false">IF(ISBLANK($C171),"",AND($AJ171,$AY171=""))</f>
        <v/>
      </c>
      <c r="CM171" s="74" t="str">
        <f aca="false">IF(ISBLANK($C171),"",AND($AJ171,$AZ171=""))</f>
        <v/>
      </c>
      <c r="CN171" s="74" t="str">
        <f aca="false">IF(ISBLANK($C171),"",AND($AJ171,$BC171=""))</f>
        <v/>
      </c>
      <c r="CO171" s="74" t="str">
        <f aca="false">IF(ISBLANK($C171),"",AND($AJ171,$BF171=""))</f>
        <v/>
      </c>
      <c r="CP171" s="75"/>
      <c r="CQ171" s="76"/>
      <c r="CR171" s="79" t="str">
        <f aca="false">IF(ISBLANK($C171),"",IF($BH171=Constants!$B$8,$CI171,""))</f>
        <v/>
      </c>
      <c r="CS171" s="76" t="str">
        <f aca="false">IF(ISBLANK($C171),"",IF($BH171&lt;&gt;Constants!$B$4,"",$BK171+$BL171))</f>
        <v/>
      </c>
      <c r="CT171" s="78" t="str">
        <f aca="false">IF(ISBLANK($C171),"",IF($BH171&lt;&gt;Constants!$B$4,"",$BM171+$BN171+$BO171))</f>
        <v/>
      </c>
      <c r="CU171" s="78" t="str">
        <f aca="false">IF(ISBLANK($C171),"",IF($BH171&lt;&gt;Constants!$B$4,"",$BP171))</f>
        <v/>
      </c>
      <c r="CV171" s="78" t="str">
        <f aca="false">IF(ISBLANK($C171),"",IF($BH171&lt;&gt;Constants!$B$4,"",$BQ171+$BR171))</f>
        <v/>
      </c>
      <c r="CW171" s="78" t="str">
        <f aca="false">IF(ISBLANK($C171),"",IF($BH171&lt;&gt;Constants!$B$4,"",$BS171))</f>
        <v/>
      </c>
      <c r="CX171" s="78" t="str">
        <f aca="false">IF(ISBLANK($C171),"",IF($BH171&lt;&gt;Constants!$B$4,"",-$BZ171))</f>
        <v/>
      </c>
      <c r="CY171" s="79" t="str">
        <f aca="false">IF(ISBLANK($C171),"",$CA171)</f>
        <v/>
      </c>
      <c r="CZ171" s="80" t="str">
        <f aca="false">IF(ISBLANK($C171),"",$BI171)</f>
        <v/>
      </c>
      <c r="DA171" s="78" t="str">
        <f aca="false">IF(ISBLANK($C171),"",$CH171)</f>
        <v/>
      </c>
      <c r="DB171" s="78" t="str">
        <f aca="false">IF(ISBLANK($C171),"",$CG171)</f>
        <v/>
      </c>
      <c r="DC171" s="81" t="str">
        <f aca="false">IF(ISBLANK($C171),"",IFERROR(_xlfn.SWITCH($DB171,Constants!$B$7,COUNTA($C$9:$C$508)+2,Constants!$B$6,COUNTA($C$9:$C$508)+1,Constants!$B$5,COUNTA($C$9:$C$508)),$DB171))</f>
        <v/>
      </c>
      <c r="DD171" s="7"/>
      <c r="DE171" s="82" t="n">
        <f aca="false">IF(OR(ISNUMBER($DB171),$DB171=Constants!$B$7,$DB171=Constants!$B$5,$DB171=Constants!$B$6),1,0)</f>
        <v>0</v>
      </c>
      <c r="DF171" s="82" t="n">
        <v>163</v>
      </c>
      <c r="DG171" s="82" t="str">
        <f aca="false">IF(ISBLANK($C171),"",IF(ISNUMBER($DC171),$DC171+ROW($B171)/1000,""))</f>
        <v/>
      </c>
      <c r="DH171" s="82" t="str">
        <f aca="false">IF(ISNUMBER($DG171),RANK($DG171,$DG$9:$DG$508,1),"")</f>
        <v/>
      </c>
      <c r="DI171" s="82" t="str">
        <f aca="false">IF(ISBLANK($C171),"",$B171)</f>
        <v/>
      </c>
      <c r="DJ171" s="82" t="str">
        <f aca="false">IF(ISBLANK($C171),"",$C171)</f>
        <v/>
      </c>
      <c r="DK171" s="82" t="str">
        <f aca="false">IF(ISBLANK($C171),"",$D171)</f>
        <v/>
      </c>
      <c r="DL171" s="83" t="str">
        <f aca="false">$CZ171</f>
        <v/>
      </c>
      <c r="DM171" s="84" t="str">
        <f aca="false">$CY171</f>
        <v/>
      </c>
      <c r="DN171" s="82" t="str">
        <f aca="false">IF(ISBLANK($C171),"",$DB171)</f>
        <v/>
      </c>
      <c r="DO171" s="85" t="str">
        <f aca="false">IF($DF171&gt;$DE$8,"",VLOOKUP($DF171,$DH$9:$DN$508,7,FALSE()))</f>
        <v/>
      </c>
      <c r="DP171" s="86" t="str">
        <f aca="false">IF($DF171&gt;$DE$8,"",VLOOKUP($DF171,$DH$9:$DN$508,2,FALSE()))</f>
        <v/>
      </c>
      <c r="DQ171" s="86" t="str">
        <f aca="false">IF($DF171&gt;$DE$8,"",VLOOKUP($DF171,$DH$9:$DN$508,3,FALSE()))</f>
        <v/>
      </c>
      <c r="DR171" s="86" t="str">
        <f aca="false">IF($DF171&gt;$DE$8,"",VLOOKUP($DF171,$DH$9:$DN$508,4,FALSE()))</f>
        <v/>
      </c>
      <c r="DS171" s="86" t="str">
        <f aca="false">IF($DF171&gt;$DE$8,"",VLOOKUP($DF171,$DH$9:$DN$508,5,FALSE()))</f>
        <v/>
      </c>
      <c r="DT171" s="87" t="str">
        <f aca="false">IF($DF171&gt;$DE$8,"",VLOOKUP($DF171,$DH$9:$DN$508,6,FALSE()))</f>
        <v/>
      </c>
      <c r="DU171" s="62"/>
    </row>
    <row r="172" customFormat="false" ht="15.75" hidden="false" customHeight="false" outlineLevel="0" collapsed="false">
      <c r="A172" s="7"/>
      <c r="B172" s="64"/>
      <c r="C172" s="65"/>
      <c r="D172" s="123"/>
      <c r="E172" s="88"/>
      <c r="F172" s="134"/>
      <c r="G172" s="88"/>
      <c r="H172" s="134"/>
      <c r="I172" s="119"/>
      <c r="J172" s="119"/>
      <c r="K172" s="119"/>
      <c r="L172" s="88"/>
      <c r="M172" s="88"/>
      <c r="N172" s="88"/>
      <c r="O172" s="134"/>
      <c r="P172" s="88"/>
      <c r="Q172" s="88"/>
      <c r="R172" s="88"/>
      <c r="S172" s="88"/>
      <c r="T172" s="134"/>
      <c r="U172" s="88"/>
      <c r="V172" s="70"/>
      <c r="W172" s="88"/>
      <c r="X172" s="88"/>
      <c r="Y172" s="70"/>
      <c r="Z172" s="70"/>
      <c r="AA172" s="88"/>
      <c r="AB172" s="88"/>
      <c r="AC172" s="71"/>
      <c r="AD172" s="88"/>
      <c r="AE172" s="73"/>
      <c r="AF172" s="74"/>
      <c r="AG172" s="74"/>
      <c r="AH172" s="74" t="str">
        <f aca="false">IF(ISBLANK($C172),"",IF($E172=Constants!$B$2,TRUE(),IF($E172=Constants!$B$3,FALSE(),TRUE())))</f>
        <v/>
      </c>
      <c r="AI172" s="74" t="str">
        <f aca="false">IF(ISBLANK($C172),"",IF($F172=Constants!$B$2,TRUE(),IF($F172=Constants!$B$3,FALSE(),FALSE())))</f>
        <v/>
      </c>
      <c r="AJ172" s="74" t="str">
        <f aca="false">IF(ISBLANK($C172),"",IF($G172=Constants!$B$2,TRUE(),IF($G172=Constants!$B$3,FALSE(),TRUE())))</f>
        <v/>
      </c>
      <c r="AK172" s="74" t="str">
        <f aca="false">IF(ISBLANK($C172),"",IF($H172=Constants!$B$2,TRUE(),IF($H172=Constants!$B$3,FALSE(),TRUE())))</f>
        <v/>
      </c>
      <c r="AL172" s="74" t="str">
        <f aca="false">IF(ISBLANK($C172),"",IF(ISNUMBER($I172),IF($I172&gt;=0,$I172,""),""))</f>
        <v/>
      </c>
      <c r="AM172" s="74" t="str">
        <f aca="false">IF(ISBLANK($C172),"",IF(ISNUMBER($J172),IF($J172&gt;=0,$J172,""),""))</f>
        <v/>
      </c>
      <c r="AN172" s="74" t="str">
        <f aca="false">IF(ISBLANK($C172),"",IF(ISNUMBER($K172),IF($K172&gt;=0,$K172,""),""))</f>
        <v/>
      </c>
      <c r="AO172" s="74" t="str">
        <f aca="false">IF(ISBLANK($C172),"",IF($L172=Constants!$B$2,TRUE(),IF($L172=Constants!$B$3,FALSE(),TRUE())))</f>
        <v/>
      </c>
      <c r="AP172" s="74" t="str">
        <f aca="false">IF(ISBLANK($C172),"",IF($M172=Constants!$B$2,TRUE(),IF($M172=Constants!$B$3,FALSE(),TRUE())))</f>
        <v/>
      </c>
      <c r="AQ172" s="74" t="str">
        <f aca="false">IF(ISBLANK($C172),"",IF($N172=Constants!$B$2,TRUE(),IF($N172=Constants!$B$3,FALSE(),FALSE())))</f>
        <v/>
      </c>
      <c r="AR172" s="74" t="str">
        <f aca="false">IF(ISBLANK($C172),"",IF($O172=Constants!$B$2,TRUE(),IF($O172=Constants!$B$3,FALSE(),TRUE())))</f>
        <v/>
      </c>
      <c r="AS172" s="74" t="str">
        <f aca="false">IF(ISBLANK($C172),"",IF($P172=Constants!$B$2,TRUE(),IF($P172=Constants!$B$3,FALSE(),FALSE())))</f>
        <v/>
      </c>
      <c r="AT172" s="74" t="str">
        <f aca="false">IF(ISBLANK($C172),"",IF($Q172=Constants!$B$2,TRUE(),IF($Q172=Constants!$B$3,FALSE(),FALSE())))</f>
        <v/>
      </c>
      <c r="AU172" s="74" t="str">
        <f aca="false">IF(ISBLANK($C172),"",IF($R172=Constants!$B$2,TRUE(),IF($R172=Constants!$B$3,FALSE(),FALSE())))</f>
        <v/>
      </c>
      <c r="AV172" s="74" t="str">
        <f aca="false">IF(ISBLANK($C172),"",IF($S172=Constants!$B$2,TRUE(),IF($S172=Constants!$B$3,FALSE(),FALSE())))</f>
        <v/>
      </c>
      <c r="AW172" s="74" t="str">
        <f aca="false">IF(ISBLANK($C172),"",IF($T172=Constants!$B$2,TRUE(),IF($T172=Constants!$B$3,FALSE(),FALSE())))</f>
        <v/>
      </c>
      <c r="AX172" s="74" t="str">
        <f aca="false">IF(ISBLANK($C172),"",IF(OR($U172&amp;""="1",$U172&amp;""="2",$U172&amp;""="3",$U172&amp;""="4"),VALUE($U172&amp;""),IF($U172=Constants!$B$12,Constants!$B$12,"")))</f>
        <v/>
      </c>
      <c r="AY172" s="74" t="str">
        <f aca="false">IF(ISBLANK($C172),"",IF(ISBLANK($V172),0,IF(ISNUMBER($V172),IF(AND($V172&gt;=0,$V172&lt;=Constants!$B$21,$V172=INT($V172)),$V172,""),"")))</f>
        <v/>
      </c>
      <c r="AZ172" s="74" t="str">
        <f aca="false">IF(ISBLANK($C172),"",IF(ISBLANK($W172),0,IF(ISNUMBER($W172),IF($W172&gt;=0,$W172,""),"")))</f>
        <v/>
      </c>
      <c r="BA172" s="74" t="str">
        <f aca="false">IF(ISBLANK($C172),"",IF($X172=Constants!$B$2,TRUE(),IF($X172=Constants!$B$3,FALSE(),TRUE())))</f>
        <v/>
      </c>
      <c r="BB172" s="74" t="str">
        <f aca="false">IF(ISBLANK($C172),"",IF($Y172=Constants!$B$2,TRUE(),IF($Y172=Constants!$B$3,FALSE(),FALSE())))</f>
        <v/>
      </c>
      <c r="BC172" s="74" t="str">
        <f aca="false">IF(ISBLANK($C172),"",IF(ISBLANK($Z172),0,IF(ISNUMBER($Z172),IF(AND($Z172&gt;=0,$Z172&lt;=Constants!$B$35,$Z172=INT($Z172)),$Z172,""),"")))</f>
        <v/>
      </c>
      <c r="BD172" s="74" t="str">
        <f aca="false">IF(ISBLANK($C172),"",IF($AA172=Constants!$B$2,TRUE(),IF($AA172=Constants!$B$3,FALSE(),TRUE())))</f>
        <v/>
      </c>
      <c r="BE172" s="74" t="str">
        <f aca="false">IF(ISBLANK($C172),"",IF($AB172=Constants!$B$2,TRUE(),IF($AB172=Constants!$B$3,FALSE(),TRUE())))</f>
        <v/>
      </c>
      <c r="BF172" s="74" t="str">
        <f aca="false">IF(ISBLANK($C172),"",IF(ISNUMBER($AC172),IF($AC172&gt;=0,$AC172,""),""))</f>
        <v/>
      </c>
      <c r="BG172" s="74" t="str">
        <f aca="false">IF(ISBLANK($C172),"",IF($AD172=Constants!$B$2,TRUE(),IF($AD172=Constants!$B$3,FALSE(),FALSE())))</f>
        <v/>
      </c>
      <c r="BH172" s="73" t="str">
        <f aca="false">IF(ISBLANK($C172),"",IF($BG172,Constants!$B$7,IF(COUNTA($E172:$AC172)=0,Constants!$B$6,IF(OR(COUNTA($G172:$AC172)=0,NOT($AK172),$AQ172),Constants!$B$5,IF(OR($CI172&lt;&gt;"",$CJ172,$CK172,$CL172,$CM172,$CN172,$CO172),Constants!$B$8,Constants!$B$4)))))</f>
        <v/>
      </c>
      <c r="BI172" s="74" t="str">
        <f aca="false">IF(ISBLANK($C172),"",IF($BH172&lt;&gt;Constants!$B$4,$BH172,IF(OR(NOT($AH172),NOT($AJ172),NOT($AR172)),Constants!$B$11,IF(OR(NOT($AP172),MAX($AL172,$AM172,$AN172)&gt;Constants!$B$30),Constants!$B$10,Constants!$B$9))))</f>
        <v/>
      </c>
      <c r="BJ172" s="74" t="str">
        <f aca="false">IF($BH172&lt;&gt;Constants!$B$4,"",IF(NOT($AJ172),0,MIN(Constants!$B$35,$BC172)))</f>
        <v/>
      </c>
      <c r="BK172" s="74" t="str">
        <f aca="false">IF($BH172&lt;&gt;Constants!$B$4,"",IF(NOT($AJ172),0,IF($AT172,Constants!$B$18,IF($AS172,Constants!$B$17,0))))</f>
        <v/>
      </c>
      <c r="BL172" s="74" t="str">
        <f aca="false">IF($BH172&lt;&gt;Constants!$B$4,"",IF(NOT($AJ172),0,Constants!$B$19*($AI172+$AU172+$AV172+$AW172)))</f>
        <v/>
      </c>
      <c r="BM172" s="74" t="str">
        <f aca="false">IF($BH172&lt;&gt;Constants!$B$4,"",IF(OR(NOT($AJ172),NOT(ISNUMBER($AX172))),0,CHOOSE($AX172,Constants!$B$13,Constants!$B$14,Constants!$B$15,Constants!$B$16)))</f>
        <v/>
      </c>
      <c r="BN172" s="74" t="str">
        <f aca="false">IF($BH172&lt;&gt;Constants!$B$4,"",IF(NOT($AJ172),0,Constants!$B$20*$AY172))</f>
        <v/>
      </c>
      <c r="BO172" s="74" t="str">
        <f aca="false">IF($BH172&lt;&gt;Constants!$B$4,"",IF(AND($AJ172,$BA172,$BB172),Constants!$B$22,0))</f>
        <v/>
      </c>
      <c r="BP172" s="74" t="str">
        <f aca="false">IF($BH172&lt;&gt;Constants!$B$4,"",IF(OR(NOT($AJ172),NOT($BA172)),0,IF($BF172&gt;=2*$AF$9,0,Constants!$B$23*INT(ROUND(MIN($BF172,$AF$9),6)))))</f>
        <v/>
      </c>
      <c r="BQ172" s="74" t="str">
        <f aca="false">IF($BH172&lt;&gt;Constants!$B$4,"",IF(NOT($AJ172),0,Constants!$B$24*INT(ROUND(MIN($AZ172,$AF$9),6))))</f>
        <v/>
      </c>
      <c r="BR172" s="74" t="str">
        <f aca="false">IF($BH172&lt;&gt;Constants!$B$4,"",IF(AND($AJ172,$BJ172=0),Constants!$B$25,0))</f>
        <v/>
      </c>
      <c r="BS172" s="74" t="str">
        <f aca="false">IF($BH172&lt;&gt;Constants!$B$4,"",MIN(Constants!$B$29,MAX(0,Constants!$B$27*Constants!$B$28*INT(ROUND((Constants!$B$26-$AL172)/Constants!$B$28,6))))+MIN(Constants!$B$29,MAX(0,Constants!$B$27*Constants!$B$28*INT(ROUND((Constants!$B$26-$AM172)/Constants!$B$28,6))))+MIN(Constants!$B$29,MAX(0,Constants!$B$27*Constants!$B$28*INT(ROUND((Constants!$B$26-$AN172)/Constants!$B$28,6)))))</f>
        <v/>
      </c>
      <c r="BT172" s="74" t="str">
        <f aca="false">IF($BH172&lt;&gt;Constants!$B$4,"",IF(NOT($AJ172),0,Constants!$B$31*INT(ROUND(MAX(0,MIN($BF172,2*$AF$9)-$AF$9),6))))</f>
        <v/>
      </c>
      <c r="BU172" s="74" t="str">
        <f aca="false">IF($BH172&lt;&gt;Constants!$B$4,"",Constants!$B$32*(($AL172&gt;Constants!$B$26)+($AM172&gt;Constants!$B$26)+($AN172&gt;Constants!$B$26)))</f>
        <v/>
      </c>
      <c r="BV172" s="74" t="str">
        <f aca="false">IF($BH172&lt;&gt;Constants!$B$4,"",IF(OR(NOT($AJ172),$AO172),0,Constants!$B$33))</f>
        <v/>
      </c>
      <c r="BW172" s="74" t="str">
        <f aca="false">IF($BH172&lt;&gt;Constants!$B$4,"",Constants!$B$34*$BJ172)</f>
        <v/>
      </c>
      <c r="BX172" s="74" t="str">
        <f aca="false">IF($BH172&lt;&gt;Constants!$B$4,"",IF(OR(NOT($AJ172),$BE172),0,Constants!$B$36))</f>
        <v/>
      </c>
      <c r="BY172" s="74" t="str">
        <f aca="false">IF($BH172&lt;&gt;Constants!$B$4,"",IF(OR(NOT($AJ172),$BD172),0,Constants!$B$37))</f>
        <v/>
      </c>
      <c r="BZ172" s="74" t="str">
        <f aca="false">IF($BH172&lt;&gt;Constants!$B$4,"",SUM($BT172:$BY172))</f>
        <v/>
      </c>
      <c r="CA172" s="74" t="str">
        <f aca="false">IF(ISBLANK($C172),"",IF($BH172&lt;&gt;Constants!$B$4,$BH172,SUM($BK172:$BS172)-$BZ172))</f>
        <v/>
      </c>
      <c r="CB172" s="74" t="str">
        <f aca="false">IF(ISBLANK($C172),"",IF($BH172&lt;&gt;Constants!$B$4,$BH172,RANK($CA172,$CA$9:$CA$508)))</f>
        <v/>
      </c>
      <c r="CC172" s="74" t="str">
        <f aca="false">IF(ISBLANK($C172),"",IF($BH172&lt;&gt;Constants!$B$4,$BH172,COUNTIFS($BI$9:$BI$508,"&lt;"&amp;$BI172)+COUNTIFS($BI$9:$BI$508,$BI172,$CB$9:$CB$508,"&lt;"&amp;$CB172)+1))</f>
        <v/>
      </c>
      <c r="CD172" s="74" t="str">
        <f aca="false">IF(ISBLANK($C172),"",IF($BH172&lt;&gt;Constants!$B$4,$BH172,RANK($BZ172,$BZ$9:$BZ$508,1)))</f>
        <v/>
      </c>
      <c r="CE172" s="74" t="str">
        <f aca="false">IF($BH172&lt;&gt;Constants!$B$4,"",$AL172+$AM172+$AN172)</f>
        <v/>
      </c>
      <c r="CF172" s="74" t="str">
        <f aca="false">IF(ISBLANK($C172),"",IF($BH172&lt;&gt;Constants!$B$4,$BH172,RANK($CE172,$CE$9:$CE$508,1)))</f>
        <v/>
      </c>
      <c r="CG172" s="74" t="str">
        <f aca="false">IF(ISBLANK($C172),"",IF($BH172&lt;&gt;Constants!$B$4,$BH172,COUNTIFS($BI$9:$BI$508,"&lt;"&amp;$BI172)+COUNTIFS($BI$9:$BI$508,$BI172,$CB$9:$CB$508,"&lt;"&amp;$CB172)+COUNTIFS($BI$9:$BI$508,$BI172,$CB$9:$CB$508,$CB172,$CD$9:$CD$508,"&lt;"&amp;$CD172)+COUNTIFS($BI$9:$BI$508,$BI172,$CB$9:$CB$508,$CB172,$CD$9:$CD$508,$CD172,$CF$9:$CF$508,"&lt;"&amp;$CF172)+1))</f>
        <v/>
      </c>
      <c r="CH172" s="74" t="str">
        <f aca="false">IF(ISBLANK($C172),"",IF($BH172&lt;&gt;Constants!$B$4,$BH172,$CC172-$CG172))</f>
        <v/>
      </c>
      <c r="CI172" s="74" t="str">
        <f aca="false">IF(ISBLANK($C172),"",IF(NOT($AJ172),"",IF(ISBLANK($D$7),$CI$5,IF(NOT(ISNUMBER($D$7)),$CI$6,""))))</f>
        <v/>
      </c>
      <c r="CJ172" s="74" t="str">
        <f aca="false">IF(ISBLANK($C172),"",OR($AL172="",$AM172="",$AN172=""))</f>
        <v/>
      </c>
      <c r="CK172" s="74" t="str">
        <f aca="false">IF(ISBLANK($C172),"",AND($AJ172,$AX172=""))</f>
        <v/>
      </c>
      <c r="CL172" s="74" t="str">
        <f aca="false">IF(ISBLANK($C172),"",AND($AJ172,$AY172=""))</f>
        <v/>
      </c>
      <c r="CM172" s="74" t="str">
        <f aca="false">IF(ISBLANK($C172),"",AND($AJ172,$AZ172=""))</f>
        <v/>
      </c>
      <c r="CN172" s="74" t="str">
        <f aca="false">IF(ISBLANK($C172),"",AND($AJ172,$BC172=""))</f>
        <v/>
      </c>
      <c r="CO172" s="74" t="str">
        <f aca="false">IF(ISBLANK($C172),"",AND($AJ172,$BF172=""))</f>
        <v/>
      </c>
      <c r="CP172" s="75"/>
      <c r="CQ172" s="76"/>
      <c r="CR172" s="79" t="str">
        <f aca="false">IF(ISBLANK($C172),"",IF($BH172=Constants!$B$8,$CI172,""))</f>
        <v/>
      </c>
      <c r="CS172" s="76" t="str">
        <f aca="false">IF(ISBLANK($C172),"",IF($BH172&lt;&gt;Constants!$B$4,"",$BK172+$BL172))</f>
        <v/>
      </c>
      <c r="CT172" s="78" t="str">
        <f aca="false">IF(ISBLANK($C172),"",IF($BH172&lt;&gt;Constants!$B$4,"",$BM172+$BN172+$BO172))</f>
        <v/>
      </c>
      <c r="CU172" s="78" t="str">
        <f aca="false">IF(ISBLANK($C172),"",IF($BH172&lt;&gt;Constants!$B$4,"",$BP172))</f>
        <v/>
      </c>
      <c r="CV172" s="78" t="str">
        <f aca="false">IF(ISBLANK($C172),"",IF($BH172&lt;&gt;Constants!$B$4,"",$BQ172+$BR172))</f>
        <v/>
      </c>
      <c r="CW172" s="78" t="str">
        <f aca="false">IF(ISBLANK($C172),"",IF($BH172&lt;&gt;Constants!$B$4,"",$BS172))</f>
        <v/>
      </c>
      <c r="CX172" s="78" t="str">
        <f aca="false">IF(ISBLANK($C172),"",IF($BH172&lt;&gt;Constants!$B$4,"",-$BZ172))</f>
        <v/>
      </c>
      <c r="CY172" s="79" t="str">
        <f aca="false">IF(ISBLANK($C172),"",$CA172)</f>
        <v/>
      </c>
      <c r="CZ172" s="80" t="str">
        <f aca="false">IF(ISBLANK($C172),"",$BI172)</f>
        <v/>
      </c>
      <c r="DA172" s="78" t="str">
        <f aca="false">IF(ISBLANK($C172),"",$CH172)</f>
        <v/>
      </c>
      <c r="DB172" s="78" t="str">
        <f aca="false">IF(ISBLANK($C172),"",$CG172)</f>
        <v/>
      </c>
      <c r="DC172" s="81" t="str">
        <f aca="false">IF(ISBLANK($C172),"",IFERROR(_xlfn.SWITCH($DB172,Constants!$B$7,COUNTA($C$9:$C$508)+2,Constants!$B$6,COUNTA($C$9:$C$508)+1,Constants!$B$5,COUNTA($C$9:$C$508)),$DB172))</f>
        <v/>
      </c>
      <c r="DD172" s="7"/>
      <c r="DE172" s="82" t="n">
        <f aca="false">IF(OR(ISNUMBER($DB172),$DB172=Constants!$B$7,$DB172=Constants!$B$5,$DB172=Constants!$B$6),1,0)</f>
        <v>0</v>
      </c>
      <c r="DF172" s="82" t="n">
        <v>164</v>
      </c>
      <c r="DG172" s="82" t="str">
        <f aca="false">IF(ISBLANK($C172),"",IF(ISNUMBER($DC172),$DC172+ROW($B172)/1000,""))</f>
        <v/>
      </c>
      <c r="DH172" s="82" t="str">
        <f aca="false">IF(ISNUMBER($DG172),RANK($DG172,$DG$9:$DG$508,1),"")</f>
        <v/>
      </c>
      <c r="DI172" s="82" t="str">
        <f aca="false">IF(ISBLANK($C172),"",$B172)</f>
        <v/>
      </c>
      <c r="DJ172" s="82" t="str">
        <f aca="false">IF(ISBLANK($C172),"",$C172)</f>
        <v/>
      </c>
      <c r="DK172" s="82" t="str">
        <f aca="false">IF(ISBLANK($C172),"",$D172)</f>
        <v/>
      </c>
      <c r="DL172" s="83" t="str">
        <f aca="false">$CZ172</f>
        <v/>
      </c>
      <c r="DM172" s="84" t="str">
        <f aca="false">$CY172</f>
        <v/>
      </c>
      <c r="DN172" s="82" t="str">
        <f aca="false">IF(ISBLANK($C172),"",$DB172)</f>
        <v/>
      </c>
      <c r="DO172" s="85" t="str">
        <f aca="false">IF($DF172&gt;$DE$8,"",VLOOKUP($DF172,$DH$9:$DN$508,7,FALSE()))</f>
        <v/>
      </c>
      <c r="DP172" s="86" t="str">
        <f aca="false">IF($DF172&gt;$DE$8,"",VLOOKUP($DF172,$DH$9:$DN$508,2,FALSE()))</f>
        <v/>
      </c>
      <c r="DQ172" s="86" t="str">
        <f aca="false">IF($DF172&gt;$DE$8,"",VLOOKUP($DF172,$DH$9:$DN$508,3,FALSE()))</f>
        <v/>
      </c>
      <c r="DR172" s="86" t="str">
        <f aca="false">IF($DF172&gt;$DE$8,"",VLOOKUP($DF172,$DH$9:$DN$508,4,FALSE()))</f>
        <v/>
      </c>
      <c r="DS172" s="86" t="str">
        <f aca="false">IF($DF172&gt;$DE$8,"",VLOOKUP($DF172,$DH$9:$DN$508,5,FALSE()))</f>
        <v/>
      </c>
      <c r="DT172" s="87" t="str">
        <f aca="false">IF($DF172&gt;$DE$8,"",VLOOKUP($DF172,$DH$9:$DN$508,6,FALSE()))</f>
        <v/>
      </c>
      <c r="DU172" s="62"/>
    </row>
    <row r="173" customFormat="false" ht="15.75" hidden="false" customHeight="false" outlineLevel="0" collapsed="false">
      <c r="A173" s="7"/>
      <c r="B173" s="64"/>
      <c r="C173" s="65"/>
      <c r="D173" s="123"/>
      <c r="E173" s="88"/>
      <c r="F173" s="134"/>
      <c r="G173" s="88"/>
      <c r="H173" s="134"/>
      <c r="I173" s="119"/>
      <c r="J173" s="119"/>
      <c r="K173" s="119"/>
      <c r="L173" s="88"/>
      <c r="M173" s="88"/>
      <c r="N173" s="88"/>
      <c r="O173" s="134"/>
      <c r="P173" s="88"/>
      <c r="Q173" s="88"/>
      <c r="R173" s="88"/>
      <c r="S173" s="88"/>
      <c r="T173" s="134"/>
      <c r="U173" s="88"/>
      <c r="V173" s="70"/>
      <c r="W173" s="88"/>
      <c r="X173" s="88"/>
      <c r="Y173" s="70"/>
      <c r="Z173" s="70"/>
      <c r="AA173" s="88"/>
      <c r="AB173" s="88"/>
      <c r="AC173" s="71"/>
      <c r="AD173" s="88"/>
      <c r="AE173" s="73"/>
      <c r="AF173" s="74"/>
      <c r="AG173" s="74"/>
      <c r="AH173" s="74" t="str">
        <f aca="false">IF(ISBLANK($C173),"",IF($E173=Constants!$B$2,TRUE(),IF($E173=Constants!$B$3,FALSE(),TRUE())))</f>
        <v/>
      </c>
      <c r="AI173" s="74" t="str">
        <f aca="false">IF(ISBLANK($C173),"",IF($F173=Constants!$B$2,TRUE(),IF($F173=Constants!$B$3,FALSE(),FALSE())))</f>
        <v/>
      </c>
      <c r="AJ173" s="74" t="str">
        <f aca="false">IF(ISBLANK($C173),"",IF($G173=Constants!$B$2,TRUE(),IF($G173=Constants!$B$3,FALSE(),TRUE())))</f>
        <v/>
      </c>
      <c r="AK173" s="74" t="str">
        <f aca="false">IF(ISBLANK($C173),"",IF($H173=Constants!$B$2,TRUE(),IF($H173=Constants!$B$3,FALSE(),TRUE())))</f>
        <v/>
      </c>
      <c r="AL173" s="74" t="str">
        <f aca="false">IF(ISBLANK($C173),"",IF(ISNUMBER($I173),IF($I173&gt;=0,$I173,""),""))</f>
        <v/>
      </c>
      <c r="AM173" s="74" t="str">
        <f aca="false">IF(ISBLANK($C173),"",IF(ISNUMBER($J173),IF($J173&gt;=0,$J173,""),""))</f>
        <v/>
      </c>
      <c r="AN173" s="74" t="str">
        <f aca="false">IF(ISBLANK($C173),"",IF(ISNUMBER($K173),IF($K173&gt;=0,$K173,""),""))</f>
        <v/>
      </c>
      <c r="AO173" s="74" t="str">
        <f aca="false">IF(ISBLANK($C173),"",IF($L173=Constants!$B$2,TRUE(),IF($L173=Constants!$B$3,FALSE(),TRUE())))</f>
        <v/>
      </c>
      <c r="AP173" s="74" t="str">
        <f aca="false">IF(ISBLANK($C173),"",IF($M173=Constants!$B$2,TRUE(),IF($M173=Constants!$B$3,FALSE(),TRUE())))</f>
        <v/>
      </c>
      <c r="AQ173" s="74" t="str">
        <f aca="false">IF(ISBLANK($C173),"",IF($N173=Constants!$B$2,TRUE(),IF($N173=Constants!$B$3,FALSE(),FALSE())))</f>
        <v/>
      </c>
      <c r="AR173" s="74" t="str">
        <f aca="false">IF(ISBLANK($C173),"",IF($O173=Constants!$B$2,TRUE(),IF($O173=Constants!$B$3,FALSE(),TRUE())))</f>
        <v/>
      </c>
      <c r="AS173" s="74" t="str">
        <f aca="false">IF(ISBLANK($C173),"",IF($P173=Constants!$B$2,TRUE(),IF($P173=Constants!$B$3,FALSE(),FALSE())))</f>
        <v/>
      </c>
      <c r="AT173" s="74" t="str">
        <f aca="false">IF(ISBLANK($C173),"",IF($Q173=Constants!$B$2,TRUE(),IF($Q173=Constants!$B$3,FALSE(),FALSE())))</f>
        <v/>
      </c>
      <c r="AU173" s="74" t="str">
        <f aca="false">IF(ISBLANK($C173),"",IF($R173=Constants!$B$2,TRUE(),IF($R173=Constants!$B$3,FALSE(),FALSE())))</f>
        <v/>
      </c>
      <c r="AV173" s="74" t="str">
        <f aca="false">IF(ISBLANK($C173),"",IF($S173=Constants!$B$2,TRUE(),IF($S173=Constants!$B$3,FALSE(),FALSE())))</f>
        <v/>
      </c>
      <c r="AW173" s="74" t="str">
        <f aca="false">IF(ISBLANK($C173),"",IF($T173=Constants!$B$2,TRUE(),IF($T173=Constants!$B$3,FALSE(),FALSE())))</f>
        <v/>
      </c>
      <c r="AX173" s="74" t="str">
        <f aca="false">IF(ISBLANK($C173),"",IF(OR($U173&amp;""="1",$U173&amp;""="2",$U173&amp;""="3",$U173&amp;""="4"),VALUE($U173&amp;""),IF($U173=Constants!$B$12,Constants!$B$12,"")))</f>
        <v/>
      </c>
      <c r="AY173" s="74" t="str">
        <f aca="false">IF(ISBLANK($C173),"",IF(ISBLANK($V173),0,IF(ISNUMBER($V173),IF(AND($V173&gt;=0,$V173&lt;=Constants!$B$21,$V173=INT($V173)),$V173,""),"")))</f>
        <v/>
      </c>
      <c r="AZ173" s="74" t="str">
        <f aca="false">IF(ISBLANK($C173),"",IF(ISBLANK($W173),0,IF(ISNUMBER($W173),IF($W173&gt;=0,$W173,""),"")))</f>
        <v/>
      </c>
      <c r="BA173" s="74" t="str">
        <f aca="false">IF(ISBLANK($C173),"",IF($X173=Constants!$B$2,TRUE(),IF($X173=Constants!$B$3,FALSE(),TRUE())))</f>
        <v/>
      </c>
      <c r="BB173" s="74" t="str">
        <f aca="false">IF(ISBLANK($C173),"",IF($Y173=Constants!$B$2,TRUE(),IF($Y173=Constants!$B$3,FALSE(),FALSE())))</f>
        <v/>
      </c>
      <c r="BC173" s="74" t="str">
        <f aca="false">IF(ISBLANK($C173),"",IF(ISBLANK($Z173),0,IF(ISNUMBER($Z173),IF(AND($Z173&gt;=0,$Z173&lt;=Constants!$B$35,$Z173=INT($Z173)),$Z173,""),"")))</f>
        <v/>
      </c>
      <c r="BD173" s="74" t="str">
        <f aca="false">IF(ISBLANK($C173),"",IF($AA173=Constants!$B$2,TRUE(),IF($AA173=Constants!$B$3,FALSE(),TRUE())))</f>
        <v/>
      </c>
      <c r="BE173" s="74" t="str">
        <f aca="false">IF(ISBLANK($C173),"",IF($AB173=Constants!$B$2,TRUE(),IF($AB173=Constants!$B$3,FALSE(),TRUE())))</f>
        <v/>
      </c>
      <c r="BF173" s="74" t="str">
        <f aca="false">IF(ISBLANK($C173),"",IF(ISNUMBER($AC173),IF($AC173&gt;=0,$AC173,""),""))</f>
        <v/>
      </c>
      <c r="BG173" s="74" t="str">
        <f aca="false">IF(ISBLANK($C173),"",IF($AD173=Constants!$B$2,TRUE(),IF($AD173=Constants!$B$3,FALSE(),FALSE())))</f>
        <v/>
      </c>
      <c r="BH173" s="73" t="str">
        <f aca="false">IF(ISBLANK($C173),"",IF($BG173,Constants!$B$7,IF(COUNTA($E173:$AC173)=0,Constants!$B$6,IF(OR(COUNTA($G173:$AC173)=0,NOT($AK173),$AQ173),Constants!$B$5,IF(OR($CI173&lt;&gt;"",$CJ173,$CK173,$CL173,$CM173,$CN173,$CO173),Constants!$B$8,Constants!$B$4)))))</f>
        <v/>
      </c>
      <c r="BI173" s="74" t="str">
        <f aca="false">IF(ISBLANK($C173),"",IF($BH173&lt;&gt;Constants!$B$4,$BH173,IF(OR(NOT($AH173),NOT($AJ173),NOT($AR173)),Constants!$B$11,IF(OR(NOT($AP173),MAX($AL173,$AM173,$AN173)&gt;Constants!$B$30),Constants!$B$10,Constants!$B$9))))</f>
        <v/>
      </c>
      <c r="BJ173" s="74" t="str">
        <f aca="false">IF($BH173&lt;&gt;Constants!$B$4,"",IF(NOT($AJ173),0,MIN(Constants!$B$35,$BC173)))</f>
        <v/>
      </c>
      <c r="BK173" s="74" t="str">
        <f aca="false">IF($BH173&lt;&gt;Constants!$B$4,"",IF(NOT($AJ173),0,IF($AT173,Constants!$B$18,IF($AS173,Constants!$B$17,0))))</f>
        <v/>
      </c>
      <c r="BL173" s="74" t="str">
        <f aca="false">IF($BH173&lt;&gt;Constants!$B$4,"",IF(NOT($AJ173),0,Constants!$B$19*($AI173+$AU173+$AV173+$AW173)))</f>
        <v/>
      </c>
      <c r="BM173" s="74" t="str">
        <f aca="false">IF($BH173&lt;&gt;Constants!$B$4,"",IF(OR(NOT($AJ173),NOT(ISNUMBER($AX173))),0,CHOOSE($AX173,Constants!$B$13,Constants!$B$14,Constants!$B$15,Constants!$B$16)))</f>
        <v/>
      </c>
      <c r="BN173" s="74" t="str">
        <f aca="false">IF($BH173&lt;&gt;Constants!$B$4,"",IF(NOT($AJ173),0,Constants!$B$20*$AY173))</f>
        <v/>
      </c>
      <c r="BO173" s="74" t="str">
        <f aca="false">IF($BH173&lt;&gt;Constants!$B$4,"",IF(AND($AJ173,$BA173,$BB173),Constants!$B$22,0))</f>
        <v/>
      </c>
      <c r="BP173" s="74" t="str">
        <f aca="false">IF($BH173&lt;&gt;Constants!$B$4,"",IF(OR(NOT($AJ173),NOT($BA173)),0,IF($BF173&gt;=2*$AF$9,0,Constants!$B$23*INT(ROUND(MIN($BF173,$AF$9),6)))))</f>
        <v/>
      </c>
      <c r="BQ173" s="74" t="str">
        <f aca="false">IF($BH173&lt;&gt;Constants!$B$4,"",IF(NOT($AJ173),0,Constants!$B$24*INT(ROUND(MIN($AZ173,$AF$9),6))))</f>
        <v/>
      </c>
      <c r="BR173" s="74" t="str">
        <f aca="false">IF($BH173&lt;&gt;Constants!$B$4,"",IF(AND($AJ173,$BJ173=0),Constants!$B$25,0))</f>
        <v/>
      </c>
      <c r="BS173" s="74" t="str">
        <f aca="false">IF($BH173&lt;&gt;Constants!$B$4,"",MIN(Constants!$B$29,MAX(0,Constants!$B$27*Constants!$B$28*INT(ROUND((Constants!$B$26-$AL173)/Constants!$B$28,6))))+MIN(Constants!$B$29,MAX(0,Constants!$B$27*Constants!$B$28*INT(ROUND((Constants!$B$26-$AM173)/Constants!$B$28,6))))+MIN(Constants!$B$29,MAX(0,Constants!$B$27*Constants!$B$28*INT(ROUND((Constants!$B$26-$AN173)/Constants!$B$28,6)))))</f>
        <v/>
      </c>
      <c r="BT173" s="74" t="str">
        <f aca="false">IF($BH173&lt;&gt;Constants!$B$4,"",IF(NOT($AJ173),0,Constants!$B$31*INT(ROUND(MAX(0,MIN($BF173,2*$AF$9)-$AF$9),6))))</f>
        <v/>
      </c>
      <c r="BU173" s="74" t="str">
        <f aca="false">IF($BH173&lt;&gt;Constants!$B$4,"",Constants!$B$32*(($AL173&gt;Constants!$B$26)+($AM173&gt;Constants!$B$26)+($AN173&gt;Constants!$B$26)))</f>
        <v/>
      </c>
      <c r="BV173" s="74" t="str">
        <f aca="false">IF($BH173&lt;&gt;Constants!$B$4,"",IF(OR(NOT($AJ173),$AO173),0,Constants!$B$33))</f>
        <v/>
      </c>
      <c r="BW173" s="74" t="str">
        <f aca="false">IF($BH173&lt;&gt;Constants!$B$4,"",Constants!$B$34*$BJ173)</f>
        <v/>
      </c>
      <c r="BX173" s="74" t="str">
        <f aca="false">IF($BH173&lt;&gt;Constants!$B$4,"",IF(OR(NOT($AJ173),$BE173),0,Constants!$B$36))</f>
        <v/>
      </c>
      <c r="BY173" s="74" t="str">
        <f aca="false">IF($BH173&lt;&gt;Constants!$B$4,"",IF(OR(NOT($AJ173),$BD173),0,Constants!$B$37))</f>
        <v/>
      </c>
      <c r="BZ173" s="74" t="str">
        <f aca="false">IF($BH173&lt;&gt;Constants!$B$4,"",SUM($BT173:$BY173))</f>
        <v/>
      </c>
      <c r="CA173" s="74" t="str">
        <f aca="false">IF(ISBLANK($C173),"",IF($BH173&lt;&gt;Constants!$B$4,$BH173,SUM($BK173:$BS173)-$BZ173))</f>
        <v/>
      </c>
      <c r="CB173" s="74" t="str">
        <f aca="false">IF(ISBLANK($C173),"",IF($BH173&lt;&gt;Constants!$B$4,$BH173,RANK($CA173,$CA$9:$CA$508)))</f>
        <v/>
      </c>
      <c r="CC173" s="74" t="str">
        <f aca="false">IF(ISBLANK($C173),"",IF($BH173&lt;&gt;Constants!$B$4,$BH173,COUNTIFS($BI$9:$BI$508,"&lt;"&amp;$BI173)+COUNTIFS($BI$9:$BI$508,$BI173,$CB$9:$CB$508,"&lt;"&amp;$CB173)+1))</f>
        <v/>
      </c>
      <c r="CD173" s="74" t="str">
        <f aca="false">IF(ISBLANK($C173),"",IF($BH173&lt;&gt;Constants!$B$4,$BH173,RANK($BZ173,$BZ$9:$BZ$508,1)))</f>
        <v/>
      </c>
      <c r="CE173" s="74" t="str">
        <f aca="false">IF($BH173&lt;&gt;Constants!$B$4,"",$AL173+$AM173+$AN173)</f>
        <v/>
      </c>
      <c r="CF173" s="74" t="str">
        <f aca="false">IF(ISBLANK($C173),"",IF($BH173&lt;&gt;Constants!$B$4,$BH173,RANK($CE173,$CE$9:$CE$508,1)))</f>
        <v/>
      </c>
      <c r="CG173" s="74" t="str">
        <f aca="false">IF(ISBLANK($C173),"",IF($BH173&lt;&gt;Constants!$B$4,$BH173,COUNTIFS($BI$9:$BI$508,"&lt;"&amp;$BI173)+COUNTIFS($BI$9:$BI$508,$BI173,$CB$9:$CB$508,"&lt;"&amp;$CB173)+COUNTIFS($BI$9:$BI$508,$BI173,$CB$9:$CB$508,$CB173,$CD$9:$CD$508,"&lt;"&amp;$CD173)+COUNTIFS($BI$9:$BI$508,$BI173,$CB$9:$CB$508,$CB173,$CD$9:$CD$508,$CD173,$CF$9:$CF$508,"&lt;"&amp;$CF173)+1))</f>
        <v/>
      </c>
      <c r="CH173" s="74" t="str">
        <f aca="false">IF(ISBLANK($C173),"",IF($BH173&lt;&gt;Constants!$B$4,$BH173,$CC173-$CG173))</f>
        <v/>
      </c>
      <c r="CI173" s="74" t="str">
        <f aca="false">IF(ISBLANK($C173),"",IF(NOT($AJ173),"",IF(ISBLANK($D$7),$CI$5,IF(NOT(ISNUMBER($D$7)),$CI$6,""))))</f>
        <v/>
      </c>
      <c r="CJ173" s="74" t="str">
        <f aca="false">IF(ISBLANK($C173),"",OR($AL173="",$AM173="",$AN173=""))</f>
        <v/>
      </c>
      <c r="CK173" s="74" t="str">
        <f aca="false">IF(ISBLANK($C173),"",AND($AJ173,$AX173=""))</f>
        <v/>
      </c>
      <c r="CL173" s="74" t="str">
        <f aca="false">IF(ISBLANK($C173),"",AND($AJ173,$AY173=""))</f>
        <v/>
      </c>
      <c r="CM173" s="74" t="str">
        <f aca="false">IF(ISBLANK($C173),"",AND($AJ173,$AZ173=""))</f>
        <v/>
      </c>
      <c r="CN173" s="74" t="str">
        <f aca="false">IF(ISBLANK($C173),"",AND($AJ173,$BC173=""))</f>
        <v/>
      </c>
      <c r="CO173" s="74" t="str">
        <f aca="false">IF(ISBLANK($C173),"",AND($AJ173,$BF173=""))</f>
        <v/>
      </c>
      <c r="CP173" s="75"/>
      <c r="CQ173" s="76"/>
      <c r="CR173" s="79" t="str">
        <f aca="false">IF(ISBLANK($C173),"",IF($BH173=Constants!$B$8,$CI173,""))</f>
        <v/>
      </c>
      <c r="CS173" s="76" t="str">
        <f aca="false">IF(ISBLANK($C173),"",IF($BH173&lt;&gt;Constants!$B$4,"",$BK173+$BL173))</f>
        <v/>
      </c>
      <c r="CT173" s="78" t="str">
        <f aca="false">IF(ISBLANK($C173),"",IF($BH173&lt;&gt;Constants!$B$4,"",$BM173+$BN173+$BO173))</f>
        <v/>
      </c>
      <c r="CU173" s="78" t="str">
        <f aca="false">IF(ISBLANK($C173),"",IF($BH173&lt;&gt;Constants!$B$4,"",$BP173))</f>
        <v/>
      </c>
      <c r="CV173" s="78" t="str">
        <f aca="false">IF(ISBLANK($C173),"",IF($BH173&lt;&gt;Constants!$B$4,"",$BQ173+$BR173))</f>
        <v/>
      </c>
      <c r="CW173" s="78" t="str">
        <f aca="false">IF(ISBLANK($C173),"",IF($BH173&lt;&gt;Constants!$B$4,"",$BS173))</f>
        <v/>
      </c>
      <c r="CX173" s="78" t="str">
        <f aca="false">IF(ISBLANK($C173),"",IF($BH173&lt;&gt;Constants!$B$4,"",-$BZ173))</f>
        <v/>
      </c>
      <c r="CY173" s="79" t="str">
        <f aca="false">IF(ISBLANK($C173),"",$CA173)</f>
        <v/>
      </c>
      <c r="CZ173" s="80" t="str">
        <f aca="false">IF(ISBLANK($C173),"",$BI173)</f>
        <v/>
      </c>
      <c r="DA173" s="78" t="str">
        <f aca="false">IF(ISBLANK($C173),"",$CH173)</f>
        <v/>
      </c>
      <c r="DB173" s="78" t="str">
        <f aca="false">IF(ISBLANK($C173),"",$CG173)</f>
        <v/>
      </c>
      <c r="DC173" s="81" t="str">
        <f aca="false">IF(ISBLANK($C173),"",IFERROR(_xlfn.SWITCH($DB173,Constants!$B$7,COUNTA($C$9:$C$508)+2,Constants!$B$6,COUNTA($C$9:$C$508)+1,Constants!$B$5,COUNTA($C$9:$C$508)),$DB173))</f>
        <v/>
      </c>
      <c r="DD173" s="7"/>
      <c r="DE173" s="82" t="n">
        <f aca="false">IF(OR(ISNUMBER($DB173),$DB173=Constants!$B$7,$DB173=Constants!$B$5,$DB173=Constants!$B$6),1,0)</f>
        <v>0</v>
      </c>
      <c r="DF173" s="82" t="n">
        <v>165</v>
      </c>
      <c r="DG173" s="82" t="str">
        <f aca="false">IF(ISBLANK($C173),"",IF(ISNUMBER($DC173),$DC173+ROW($B173)/1000,""))</f>
        <v/>
      </c>
      <c r="DH173" s="82" t="str">
        <f aca="false">IF(ISNUMBER($DG173),RANK($DG173,$DG$9:$DG$508,1),"")</f>
        <v/>
      </c>
      <c r="DI173" s="82" t="str">
        <f aca="false">IF(ISBLANK($C173),"",$B173)</f>
        <v/>
      </c>
      <c r="DJ173" s="82" t="str">
        <f aca="false">IF(ISBLANK($C173),"",$C173)</f>
        <v/>
      </c>
      <c r="DK173" s="82" t="str">
        <f aca="false">IF(ISBLANK($C173),"",$D173)</f>
        <v/>
      </c>
      <c r="DL173" s="83" t="str">
        <f aca="false">$CZ173</f>
        <v/>
      </c>
      <c r="DM173" s="84" t="str">
        <f aca="false">$CY173</f>
        <v/>
      </c>
      <c r="DN173" s="82" t="str">
        <f aca="false">IF(ISBLANK($C173),"",$DB173)</f>
        <v/>
      </c>
      <c r="DO173" s="85" t="str">
        <f aca="false">IF($DF173&gt;$DE$8,"",VLOOKUP($DF173,$DH$9:$DN$508,7,FALSE()))</f>
        <v/>
      </c>
      <c r="DP173" s="86" t="str">
        <f aca="false">IF($DF173&gt;$DE$8,"",VLOOKUP($DF173,$DH$9:$DN$508,2,FALSE()))</f>
        <v/>
      </c>
      <c r="DQ173" s="86" t="str">
        <f aca="false">IF($DF173&gt;$DE$8,"",VLOOKUP($DF173,$DH$9:$DN$508,3,FALSE()))</f>
        <v/>
      </c>
      <c r="DR173" s="86" t="str">
        <f aca="false">IF($DF173&gt;$DE$8,"",VLOOKUP($DF173,$DH$9:$DN$508,4,FALSE()))</f>
        <v/>
      </c>
      <c r="DS173" s="86" t="str">
        <f aca="false">IF($DF173&gt;$DE$8,"",VLOOKUP($DF173,$DH$9:$DN$508,5,FALSE()))</f>
        <v/>
      </c>
      <c r="DT173" s="87" t="str">
        <f aca="false">IF($DF173&gt;$DE$8,"",VLOOKUP($DF173,$DH$9:$DN$508,6,FALSE()))</f>
        <v/>
      </c>
      <c r="DU173" s="62"/>
    </row>
    <row r="174" customFormat="false" ht="15.75" hidden="false" customHeight="false" outlineLevel="0" collapsed="false">
      <c r="A174" s="7"/>
      <c r="B174" s="90"/>
      <c r="C174" s="91"/>
      <c r="D174" s="126"/>
      <c r="E174" s="130"/>
      <c r="F174" s="135"/>
      <c r="G174" s="130"/>
      <c r="H174" s="135"/>
      <c r="I174" s="131"/>
      <c r="J174" s="131"/>
      <c r="K174" s="131"/>
      <c r="L174" s="130"/>
      <c r="M174" s="130"/>
      <c r="N174" s="130"/>
      <c r="O174" s="135"/>
      <c r="P174" s="130"/>
      <c r="Q174" s="130"/>
      <c r="R174" s="130"/>
      <c r="S174" s="130"/>
      <c r="T174" s="135"/>
      <c r="U174" s="130"/>
      <c r="V174" s="96"/>
      <c r="W174" s="130"/>
      <c r="X174" s="130"/>
      <c r="Y174" s="96"/>
      <c r="Z174" s="96"/>
      <c r="AA174" s="130"/>
      <c r="AB174" s="130"/>
      <c r="AC174" s="97"/>
      <c r="AD174" s="130"/>
      <c r="AE174" s="99"/>
      <c r="AF174" s="100"/>
      <c r="AG174" s="100"/>
      <c r="AH174" s="100" t="str">
        <f aca="false">IF(ISBLANK($C174),"",IF($E174=Constants!$B$2,TRUE(),IF($E174=Constants!$B$3,FALSE(),TRUE())))</f>
        <v/>
      </c>
      <c r="AI174" s="100" t="str">
        <f aca="false">IF(ISBLANK($C174),"",IF($F174=Constants!$B$2,TRUE(),IF($F174=Constants!$B$3,FALSE(),FALSE())))</f>
        <v/>
      </c>
      <c r="AJ174" s="100" t="str">
        <f aca="false">IF(ISBLANK($C174),"",IF($G174=Constants!$B$2,TRUE(),IF($G174=Constants!$B$3,FALSE(),TRUE())))</f>
        <v/>
      </c>
      <c r="AK174" s="100" t="str">
        <f aca="false">IF(ISBLANK($C174),"",IF($H174=Constants!$B$2,TRUE(),IF($H174=Constants!$B$3,FALSE(),TRUE())))</f>
        <v/>
      </c>
      <c r="AL174" s="100" t="str">
        <f aca="false">IF(ISBLANK($C174),"",IF(ISNUMBER($I174),IF($I174&gt;=0,$I174,""),""))</f>
        <v/>
      </c>
      <c r="AM174" s="100" t="str">
        <f aca="false">IF(ISBLANK($C174),"",IF(ISNUMBER($J174),IF($J174&gt;=0,$J174,""),""))</f>
        <v/>
      </c>
      <c r="AN174" s="100" t="str">
        <f aca="false">IF(ISBLANK($C174),"",IF(ISNUMBER($K174),IF($K174&gt;=0,$K174,""),""))</f>
        <v/>
      </c>
      <c r="AO174" s="100" t="str">
        <f aca="false">IF(ISBLANK($C174),"",IF($L174=Constants!$B$2,TRUE(),IF($L174=Constants!$B$3,FALSE(),TRUE())))</f>
        <v/>
      </c>
      <c r="AP174" s="100" t="str">
        <f aca="false">IF(ISBLANK($C174),"",IF($M174=Constants!$B$2,TRUE(),IF($M174=Constants!$B$3,FALSE(),TRUE())))</f>
        <v/>
      </c>
      <c r="AQ174" s="100" t="str">
        <f aca="false">IF(ISBLANK($C174),"",IF($N174=Constants!$B$2,TRUE(),IF($N174=Constants!$B$3,FALSE(),FALSE())))</f>
        <v/>
      </c>
      <c r="AR174" s="100" t="str">
        <f aca="false">IF(ISBLANK($C174),"",IF($O174=Constants!$B$2,TRUE(),IF($O174=Constants!$B$3,FALSE(),TRUE())))</f>
        <v/>
      </c>
      <c r="AS174" s="100" t="str">
        <f aca="false">IF(ISBLANK($C174),"",IF($P174=Constants!$B$2,TRUE(),IF($P174=Constants!$B$3,FALSE(),FALSE())))</f>
        <v/>
      </c>
      <c r="AT174" s="100" t="str">
        <f aca="false">IF(ISBLANK($C174),"",IF($Q174=Constants!$B$2,TRUE(),IF($Q174=Constants!$B$3,FALSE(),FALSE())))</f>
        <v/>
      </c>
      <c r="AU174" s="100" t="str">
        <f aca="false">IF(ISBLANK($C174),"",IF($R174=Constants!$B$2,TRUE(),IF($R174=Constants!$B$3,FALSE(),FALSE())))</f>
        <v/>
      </c>
      <c r="AV174" s="100" t="str">
        <f aca="false">IF(ISBLANK($C174),"",IF($S174=Constants!$B$2,TRUE(),IF($S174=Constants!$B$3,FALSE(),FALSE())))</f>
        <v/>
      </c>
      <c r="AW174" s="100" t="str">
        <f aca="false">IF(ISBLANK($C174),"",IF($T174=Constants!$B$2,TRUE(),IF($T174=Constants!$B$3,FALSE(),FALSE())))</f>
        <v/>
      </c>
      <c r="AX174" s="100" t="str">
        <f aca="false">IF(ISBLANK($C174),"",IF(OR($U174&amp;""="1",$U174&amp;""="2",$U174&amp;""="3",$U174&amp;""="4"),VALUE($U174&amp;""),IF($U174=Constants!$B$12,Constants!$B$12,"")))</f>
        <v/>
      </c>
      <c r="AY174" s="100" t="str">
        <f aca="false">IF(ISBLANK($C174),"",IF(ISBLANK($V174),0,IF(ISNUMBER($V174),IF(AND($V174&gt;=0,$V174&lt;=Constants!$B$21,$V174=INT($V174)),$V174,""),"")))</f>
        <v/>
      </c>
      <c r="AZ174" s="100" t="str">
        <f aca="false">IF(ISBLANK($C174),"",IF(ISBLANK($W174),0,IF(ISNUMBER($W174),IF($W174&gt;=0,$W174,""),"")))</f>
        <v/>
      </c>
      <c r="BA174" s="100" t="str">
        <f aca="false">IF(ISBLANK($C174),"",IF($X174=Constants!$B$2,TRUE(),IF($X174=Constants!$B$3,FALSE(),TRUE())))</f>
        <v/>
      </c>
      <c r="BB174" s="100" t="str">
        <f aca="false">IF(ISBLANK($C174),"",IF($Y174=Constants!$B$2,TRUE(),IF($Y174=Constants!$B$3,FALSE(),FALSE())))</f>
        <v/>
      </c>
      <c r="BC174" s="100" t="str">
        <f aca="false">IF(ISBLANK($C174),"",IF(ISBLANK($Z174),0,IF(ISNUMBER($Z174),IF(AND($Z174&gt;=0,$Z174&lt;=Constants!$B$35,$Z174=INT($Z174)),$Z174,""),"")))</f>
        <v/>
      </c>
      <c r="BD174" s="100" t="str">
        <f aca="false">IF(ISBLANK($C174),"",IF($AA174=Constants!$B$2,TRUE(),IF($AA174=Constants!$B$3,FALSE(),TRUE())))</f>
        <v/>
      </c>
      <c r="BE174" s="100" t="str">
        <f aca="false">IF(ISBLANK($C174),"",IF($AB174=Constants!$B$2,TRUE(),IF($AB174=Constants!$B$3,FALSE(),TRUE())))</f>
        <v/>
      </c>
      <c r="BF174" s="100" t="str">
        <f aca="false">IF(ISBLANK($C174),"",IF(ISNUMBER($AC174),IF($AC174&gt;=0,$AC174,""),""))</f>
        <v/>
      </c>
      <c r="BG174" s="100" t="str">
        <f aca="false">IF(ISBLANK($C174),"",IF($AD174=Constants!$B$2,TRUE(),IF($AD174=Constants!$B$3,FALSE(),FALSE())))</f>
        <v/>
      </c>
      <c r="BH174" s="99" t="str">
        <f aca="false">IF(ISBLANK($C174),"",IF($BG174,Constants!$B$7,IF(COUNTA($E174:$AC174)=0,Constants!$B$6,IF(OR(COUNTA($G174:$AC174)=0,NOT($AK174),$AQ174),Constants!$B$5,IF(OR($CI174&lt;&gt;"",$CJ174,$CK174,$CL174,$CM174,$CN174,$CO174),Constants!$B$8,Constants!$B$4)))))</f>
        <v/>
      </c>
      <c r="BI174" s="100" t="str">
        <f aca="false">IF(ISBLANK($C174),"",IF($BH174&lt;&gt;Constants!$B$4,$BH174,IF(OR(NOT($AH174),NOT($AJ174),NOT($AR174)),Constants!$B$11,IF(OR(NOT($AP174),MAX($AL174,$AM174,$AN174)&gt;Constants!$B$30),Constants!$B$10,Constants!$B$9))))</f>
        <v/>
      </c>
      <c r="BJ174" s="100" t="str">
        <f aca="false">IF($BH174&lt;&gt;Constants!$B$4,"",IF(NOT($AJ174),0,MIN(Constants!$B$35,$BC174)))</f>
        <v/>
      </c>
      <c r="BK174" s="100" t="str">
        <f aca="false">IF($BH174&lt;&gt;Constants!$B$4,"",IF(NOT($AJ174),0,IF($AT174,Constants!$B$18,IF($AS174,Constants!$B$17,0))))</f>
        <v/>
      </c>
      <c r="BL174" s="100" t="str">
        <f aca="false">IF($BH174&lt;&gt;Constants!$B$4,"",IF(NOT($AJ174),0,Constants!$B$19*($AI174+$AU174+$AV174+$AW174)))</f>
        <v/>
      </c>
      <c r="BM174" s="100" t="str">
        <f aca="false">IF($BH174&lt;&gt;Constants!$B$4,"",IF(OR(NOT($AJ174),NOT(ISNUMBER($AX174))),0,CHOOSE($AX174,Constants!$B$13,Constants!$B$14,Constants!$B$15,Constants!$B$16)))</f>
        <v/>
      </c>
      <c r="BN174" s="100" t="str">
        <f aca="false">IF($BH174&lt;&gt;Constants!$B$4,"",IF(NOT($AJ174),0,Constants!$B$20*$AY174))</f>
        <v/>
      </c>
      <c r="BO174" s="100" t="str">
        <f aca="false">IF($BH174&lt;&gt;Constants!$B$4,"",IF(AND($AJ174,$BA174,$BB174),Constants!$B$22,0))</f>
        <v/>
      </c>
      <c r="BP174" s="100" t="str">
        <f aca="false">IF($BH174&lt;&gt;Constants!$B$4,"",IF(OR(NOT($AJ174),NOT($BA174)),0,IF($BF174&gt;=2*$AF$9,0,Constants!$B$23*INT(ROUND(MIN($BF174,$AF$9),6)))))</f>
        <v/>
      </c>
      <c r="BQ174" s="100" t="str">
        <f aca="false">IF($BH174&lt;&gt;Constants!$B$4,"",IF(NOT($AJ174),0,Constants!$B$24*INT(ROUND(MIN($AZ174,$AF$9),6))))</f>
        <v/>
      </c>
      <c r="BR174" s="100" t="str">
        <f aca="false">IF($BH174&lt;&gt;Constants!$B$4,"",IF(AND($AJ174,$BJ174=0),Constants!$B$25,0))</f>
        <v/>
      </c>
      <c r="BS174" s="100" t="str">
        <f aca="false">IF($BH174&lt;&gt;Constants!$B$4,"",MIN(Constants!$B$29,MAX(0,Constants!$B$27*Constants!$B$28*INT(ROUND((Constants!$B$26-$AL174)/Constants!$B$28,6))))+MIN(Constants!$B$29,MAX(0,Constants!$B$27*Constants!$B$28*INT(ROUND((Constants!$B$26-$AM174)/Constants!$B$28,6))))+MIN(Constants!$B$29,MAX(0,Constants!$B$27*Constants!$B$28*INT(ROUND((Constants!$B$26-$AN174)/Constants!$B$28,6)))))</f>
        <v/>
      </c>
      <c r="BT174" s="100" t="str">
        <f aca="false">IF($BH174&lt;&gt;Constants!$B$4,"",IF(NOT($AJ174),0,Constants!$B$31*INT(ROUND(MAX(0,MIN($BF174,2*$AF$9)-$AF$9),6))))</f>
        <v/>
      </c>
      <c r="BU174" s="100" t="str">
        <f aca="false">IF($BH174&lt;&gt;Constants!$B$4,"",Constants!$B$32*(($AL174&gt;Constants!$B$26)+($AM174&gt;Constants!$B$26)+($AN174&gt;Constants!$B$26)))</f>
        <v/>
      </c>
      <c r="BV174" s="100" t="str">
        <f aca="false">IF($BH174&lt;&gt;Constants!$B$4,"",IF(OR(NOT($AJ174),$AO174),0,Constants!$B$33))</f>
        <v/>
      </c>
      <c r="BW174" s="100" t="str">
        <f aca="false">IF($BH174&lt;&gt;Constants!$B$4,"",Constants!$B$34*$BJ174)</f>
        <v/>
      </c>
      <c r="BX174" s="100" t="str">
        <f aca="false">IF($BH174&lt;&gt;Constants!$B$4,"",IF(OR(NOT($AJ174),$BE174),0,Constants!$B$36))</f>
        <v/>
      </c>
      <c r="BY174" s="100" t="str">
        <f aca="false">IF($BH174&lt;&gt;Constants!$B$4,"",IF(OR(NOT($AJ174),$BD174),0,Constants!$B$37))</f>
        <v/>
      </c>
      <c r="BZ174" s="100" t="str">
        <f aca="false">IF($BH174&lt;&gt;Constants!$B$4,"",SUM($BT174:$BY174))</f>
        <v/>
      </c>
      <c r="CA174" s="100" t="str">
        <f aca="false">IF(ISBLANK($C174),"",IF($BH174&lt;&gt;Constants!$B$4,$BH174,SUM($BK174:$BS174)-$BZ174))</f>
        <v/>
      </c>
      <c r="CB174" s="100" t="str">
        <f aca="false">IF(ISBLANK($C174),"",IF($BH174&lt;&gt;Constants!$B$4,$BH174,RANK($CA174,$CA$9:$CA$508)))</f>
        <v/>
      </c>
      <c r="CC174" s="100" t="str">
        <f aca="false">IF(ISBLANK($C174),"",IF($BH174&lt;&gt;Constants!$B$4,$BH174,COUNTIFS($BI$9:$BI$508,"&lt;"&amp;$BI174)+COUNTIFS($BI$9:$BI$508,$BI174,$CB$9:$CB$508,"&lt;"&amp;$CB174)+1))</f>
        <v/>
      </c>
      <c r="CD174" s="100" t="str">
        <f aca="false">IF(ISBLANK($C174),"",IF($BH174&lt;&gt;Constants!$B$4,$BH174,RANK($BZ174,$BZ$9:$BZ$508,1)))</f>
        <v/>
      </c>
      <c r="CE174" s="100" t="str">
        <f aca="false">IF($BH174&lt;&gt;Constants!$B$4,"",$AL174+$AM174+$AN174)</f>
        <v/>
      </c>
      <c r="CF174" s="100" t="str">
        <f aca="false">IF(ISBLANK($C174),"",IF($BH174&lt;&gt;Constants!$B$4,$BH174,RANK($CE174,$CE$9:$CE$508,1)))</f>
        <v/>
      </c>
      <c r="CG174" s="100" t="str">
        <f aca="false">IF(ISBLANK($C174),"",IF($BH174&lt;&gt;Constants!$B$4,$BH174,COUNTIFS($BI$9:$BI$508,"&lt;"&amp;$BI174)+COUNTIFS($BI$9:$BI$508,$BI174,$CB$9:$CB$508,"&lt;"&amp;$CB174)+COUNTIFS($BI$9:$BI$508,$BI174,$CB$9:$CB$508,$CB174,$CD$9:$CD$508,"&lt;"&amp;$CD174)+COUNTIFS($BI$9:$BI$508,$BI174,$CB$9:$CB$508,$CB174,$CD$9:$CD$508,$CD174,$CF$9:$CF$508,"&lt;"&amp;$CF174)+1))</f>
        <v/>
      </c>
      <c r="CH174" s="100" t="str">
        <f aca="false">IF(ISBLANK($C174),"",IF($BH174&lt;&gt;Constants!$B$4,$BH174,$CC174-$CG174))</f>
        <v/>
      </c>
      <c r="CI174" s="100" t="str">
        <f aca="false">IF(ISBLANK($C174),"",IF(NOT($AJ174),"",IF(ISBLANK($D$7),$CI$5,IF(NOT(ISNUMBER($D$7)),$CI$6,""))))</f>
        <v/>
      </c>
      <c r="CJ174" s="100" t="str">
        <f aca="false">IF(ISBLANK($C174),"",OR($AL174="",$AM174="",$AN174=""))</f>
        <v/>
      </c>
      <c r="CK174" s="100" t="str">
        <f aca="false">IF(ISBLANK($C174),"",AND($AJ174,$AX174=""))</f>
        <v/>
      </c>
      <c r="CL174" s="100" t="str">
        <f aca="false">IF(ISBLANK($C174),"",AND($AJ174,$AY174=""))</f>
        <v/>
      </c>
      <c r="CM174" s="100" t="str">
        <f aca="false">IF(ISBLANK($C174),"",AND($AJ174,$AZ174=""))</f>
        <v/>
      </c>
      <c r="CN174" s="100" t="str">
        <f aca="false">IF(ISBLANK($C174),"",AND($AJ174,$BC174=""))</f>
        <v/>
      </c>
      <c r="CO174" s="100" t="str">
        <f aca="false">IF(ISBLANK($C174),"",AND($AJ174,$BF174=""))</f>
        <v/>
      </c>
      <c r="CP174" s="101"/>
      <c r="CQ174" s="102"/>
      <c r="CR174" s="103" t="str">
        <f aca="false">IF(ISBLANK($C174),"",IF($BH174=Constants!$B$8,$CI174,""))</f>
        <v/>
      </c>
      <c r="CS174" s="102" t="str">
        <f aca="false">IF(ISBLANK($C174),"",IF($BH174&lt;&gt;Constants!$B$4,"",$BK174+$BL174))</f>
        <v/>
      </c>
      <c r="CT174" s="104" t="str">
        <f aca="false">IF(ISBLANK($C174),"",IF($BH174&lt;&gt;Constants!$B$4,"",$BM174+$BN174+$BO174))</f>
        <v/>
      </c>
      <c r="CU174" s="104" t="str">
        <f aca="false">IF(ISBLANK($C174),"",IF($BH174&lt;&gt;Constants!$B$4,"",$BP174))</f>
        <v/>
      </c>
      <c r="CV174" s="104" t="str">
        <f aca="false">IF(ISBLANK($C174),"",IF($BH174&lt;&gt;Constants!$B$4,"",$BQ174+$BR174))</f>
        <v/>
      </c>
      <c r="CW174" s="104" t="str">
        <f aca="false">IF(ISBLANK($C174),"",IF($BH174&lt;&gt;Constants!$B$4,"",$BS174))</f>
        <v/>
      </c>
      <c r="CX174" s="104" t="str">
        <f aca="false">IF(ISBLANK($C174),"",IF($BH174&lt;&gt;Constants!$B$4,"",-$BZ174))</f>
        <v/>
      </c>
      <c r="CY174" s="103" t="str">
        <f aca="false">IF(ISBLANK($C174),"",$CA174)</f>
        <v/>
      </c>
      <c r="CZ174" s="105" t="str">
        <f aca="false">IF(ISBLANK($C174),"",$BI174)</f>
        <v/>
      </c>
      <c r="DA174" s="104" t="str">
        <f aca="false">IF(ISBLANK($C174),"",$CH174)</f>
        <v/>
      </c>
      <c r="DB174" s="104" t="str">
        <f aca="false">IF(ISBLANK($C174),"",$CG174)</f>
        <v/>
      </c>
      <c r="DC174" s="106" t="str">
        <f aca="false">IF(ISBLANK($C174),"",IFERROR(_xlfn.SWITCH($DB174,Constants!$B$7,COUNTA($C$9:$C$508)+2,Constants!$B$6,COUNTA($C$9:$C$508)+1,Constants!$B$5,COUNTA($C$9:$C$508)),$DB174))</f>
        <v/>
      </c>
      <c r="DD174" s="7"/>
      <c r="DE174" s="107" t="n">
        <f aca="false">IF(OR(ISNUMBER($DB174),$DB174=Constants!$B$7,$DB174=Constants!$B$5,$DB174=Constants!$B$6),1,0)</f>
        <v>0</v>
      </c>
      <c r="DF174" s="107" t="n">
        <v>166</v>
      </c>
      <c r="DG174" s="107" t="str">
        <f aca="false">IF(ISBLANK($C174),"",IF(ISNUMBER($DC174),$DC174+ROW($B174)/1000,""))</f>
        <v/>
      </c>
      <c r="DH174" s="107" t="str">
        <f aca="false">IF(ISNUMBER($DG174),RANK($DG174,$DG$9:$DG$508,1),"")</f>
        <v/>
      </c>
      <c r="DI174" s="107" t="str">
        <f aca="false">IF(ISBLANK($C174),"",$B174)</f>
        <v/>
      </c>
      <c r="DJ174" s="107" t="str">
        <f aca="false">IF(ISBLANK($C174),"",$C174)</f>
        <v/>
      </c>
      <c r="DK174" s="107" t="str">
        <f aca="false">IF(ISBLANK($C174),"",$D174)</f>
        <v/>
      </c>
      <c r="DL174" s="108" t="str">
        <f aca="false">$CZ174</f>
        <v/>
      </c>
      <c r="DM174" s="109" t="str">
        <f aca="false">$CY174</f>
        <v/>
      </c>
      <c r="DN174" s="107" t="str">
        <f aca="false">IF(ISBLANK($C174),"",$DB174)</f>
        <v/>
      </c>
      <c r="DO174" s="110" t="str">
        <f aca="false">IF($DF174&gt;$DE$8,"",VLOOKUP($DF174,$DH$9:$DN$508,7,FALSE()))</f>
        <v/>
      </c>
      <c r="DP174" s="111" t="str">
        <f aca="false">IF($DF174&gt;$DE$8,"",VLOOKUP($DF174,$DH$9:$DN$508,2,FALSE()))</f>
        <v/>
      </c>
      <c r="DQ174" s="111" t="str">
        <f aca="false">IF($DF174&gt;$DE$8,"",VLOOKUP($DF174,$DH$9:$DN$508,3,FALSE()))</f>
        <v/>
      </c>
      <c r="DR174" s="111" t="str">
        <f aca="false">IF($DF174&gt;$DE$8,"",VLOOKUP($DF174,$DH$9:$DN$508,4,FALSE()))</f>
        <v/>
      </c>
      <c r="DS174" s="111" t="str">
        <f aca="false">IF($DF174&gt;$DE$8,"",VLOOKUP($DF174,$DH$9:$DN$508,5,FALSE()))</f>
        <v/>
      </c>
      <c r="DT174" s="112" t="str">
        <f aca="false">IF($DF174&gt;$DE$8,"",VLOOKUP($DF174,$DH$9:$DN$508,6,FALSE()))</f>
        <v/>
      </c>
      <c r="DU174" s="62"/>
    </row>
    <row r="175" customFormat="false" ht="15.75" hidden="false" customHeight="false" outlineLevel="0" collapsed="false">
      <c r="A175" s="7"/>
      <c r="B175" s="90"/>
      <c r="C175" s="91"/>
      <c r="D175" s="126"/>
      <c r="E175" s="130"/>
      <c r="F175" s="135"/>
      <c r="G175" s="130"/>
      <c r="H175" s="135"/>
      <c r="I175" s="131"/>
      <c r="J175" s="131"/>
      <c r="K175" s="131"/>
      <c r="L175" s="130"/>
      <c r="M175" s="130"/>
      <c r="N175" s="130"/>
      <c r="O175" s="135"/>
      <c r="P175" s="130"/>
      <c r="Q175" s="130"/>
      <c r="R175" s="130"/>
      <c r="S175" s="130"/>
      <c r="T175" s="135"/>
      <c r="U175" s="130"/>
      <c r="V175" s="96"/>
      <c r="W175" s="130"/>
      <c r="X175" s="130"/>
      <c r="Y175" s="96"/>
      <c r="Z175" s="96"/>
      <c r="AA175" s="130"/>
      <c r="AB175" s="130"/>
      <c r="AC175" s="97"/>
      <c r="AD175" s="130"/>
      <c r="AE175" s="99"/>
      <c r="AF175" s="100"/>
      <c r="AG175" s="100"/>
      <c r="AH175" s="100" t="str">
        <f aca="false">IF(ISBLANK($C175),"",IF($E175=Constants!$B$2,TRUE(),IF($E175=Constants!$B$3,FALSE(),TRUE())))</f>
        <v/>
      </c>
      <c r="AI175" s="100" t="str">
        <f aca="false">IF(ISBLANK($C175),"",IF($F175=Constants!$B$2,TRUE(),IF($F175=Constants!$B$3,FALSE(),FALSE())))</f>
        <v/>
      </c>
      <c r="AJ175" s="100" t="str">
        <f aca="false">IF(ISBLANK($C175),"",IF($G175=Constants!$B$2,TRUE(),IF($G175=Constants!$B$3,FALSE(),TRUE())))</f>
        <v/>
      </c>
      <c r="AK175" s="100" t="str">
        <f aca="false">IF(ISBLANK($C175),"",IF($H175=Constants!$B$2,TRUE(),IF($H175=Constants!$B$3,FALSE(),TRUE())))</f>
        <v/>
      </c>
      <c r="AL175" s="100" t="str">
        <f aca="false">IF(ISBLANK($C175),"",IF(ISNUMBER($I175),IF($I175&gt;=0,$I175,""),""))</f>
        <v/>
      </c>
      <c r="AM175" s="100" t="str">
        <f aca="false">IF(ISBLANK($C175),"",IF(ISNUMBER($J175),IF($J175&gt;=0,$J175,""),""))</f>
        <v/>
      </c>
      <c r="AN175" s="100" t="str">
        <f aca="false">IF(ISBLANK($C175),"",IF(ISNUMBER($K175),IF($K175&gt;=0,$K175,""),""))</f>
        <v/>
      </c>
      <c r="AO175" s="100" t="str">
        <f aca="false">IF(ISBLANK($C175),"",IF($L175=Constants!$B$2,TRUE(),IF($L175=Constants!$B$3,FALSE(),TRUE())))</f>
        <v/>
      </c>
      <c r="AP175" s="100" t="str">
        <f aca="false">IF(ISBLANK($C175),"",IF($M175=Constants!$B$2,TRUE(),IF($M175=Constants!$B$3,FALSE(),TRUE())))</f>
        <v/>
      </c>
      <c r="AQ175" s="100" t="str">
        <f aca="false">IF(ISBLANK($C175),"",IF($N175=Constants!$B$2,TRUE(),IF($N175=Constants!$B$3,FALSE(),FALSE())))</f>
        <v/>
      </c>
      <c r="AR175" s="100" t="str">
        <f aca="false">IF(ISBLANK($C175),"",IF($O175=Constants!$B$2,TRUE(),IF($O175=Constants!$B$3,FALSE(),TRUE())))</f>
        <v/>
      </c>
      <c r="AS175" s="100" t="str">
        <f aca="false">IF(ISBLANK($C175),"",IF($P175=Constants!$B$2,TRUE(),IF($P175=Constants!$B$3,FALSE(),FALSE())))</f>
        <v/>
      </c>
      <c r="AT175" s="100" t="str">
        <f aca="false">IF(ISBLANK($C175),"",IF($Q175=Constants!$B$2,TRUE(),IF($Q175=Constants!$B$3,FALSE(),FALSE())))</f>
        <v/>
      </c>
      <c r="AU175" s="100" t="str">
        <f aca="false">IF(ISBLANK($C175),"",IF($R175=Constants!$B$2,TRUE(),IF($R175=Constants!$B$3,FALSE(),FALSE())))</f>
        <v/>
      </c>
      <c r="AV175" s="100" t="str">
        <f aca="false">IF(ISBLANK($C175),"",IF($S175=Constants!$B$2,TRUE(),IF($S175=Constants!$B$3,FALSE(),FALSE())))</f>
        <v/>
      </c>
      <c r="AW175" s="100" t="str">
        <f aca="false">IF(ISBLANK($C175),"",IF($T175=Constants!$B$2,TRUE(),IF($T175=Constants!$B$3,FALSE(),FALSE())))</f>
        <v/>
      </c>
      <c r="AX175" s="100" t="str">
        <f aca="false">IF(ISBLANK($C175),"",IF(OR($U175&amp;""="1",$U175&amp;""="2",$U175&amp;""="3",$U175&amp;""="4"),VALUE($U175&amp;""),IF($U175=Constants!$B$12,Constants!$B$12,"")))</f>
        <v/>
      </c>
      <c r="AY175" s="100" t="str">
        <f aca="false">IF(ISBLANK($C175),"",IF(ISBLANK($V175),0,IF(ISNUMBER($V175),IF(AND($V175&gt;=0,$V175&lt;=Constants!$B$21,$V175=INT($V175)),$V175,""),"")))</f>
        <v/>
      </c>
      <c r="AZ175" s="100" t="str">
        <f aca="false">IF(ISBLANK($C175),"",IF(ISBLANK($W175),0,IF(ISNUMBER($W175),IF($W175&gt;=0,$W175,""),"")))</f>
        <v/>
      </c>
      <c r="BA175" s="100" t="str">
        <f aca="false">IF(ISBLANK($C175),"",IF($X175=Constants!$B$2,TRUE(),IF($X175=Constants!$B$3,FALSE(),TRUE())))</f>
        <v/>
      </c>
      <c r="BB175" s="100" t="str">
        <f aca="false">IF(ISBLANK($C175),"",IF($Y175=Constants!$B$2,TRUE(),IF($Y175=Constants!$B$3,FALSE(),FALSE())))</f>
        <v/>
      </c>
      <c r="BC175" s="100" t="str">
        <f aca="false">IF(ISBLANK($C175),"",IF(ISBLANK($Z175),0,IF(ISNUMBER($Z175),IF(AND($Z175&gt;=0,$Z175&lt;=Constants!$B$35,$Z175=INT($Z175)),$Z175,""),"")))</f>
        <v/>
      </c>
      <c r="BD175" s="100" t="str">
        <f aca="false">IF(ISBLANK($C175),"",IF($AA175=Constants!$B$2,TRUE(),IF($AA175=Constants!$B$3,FALSE(),TRUE())))</f>
        <v/>
      </c>
      <c r="BE175" s="100" t="str">
        <f aca="false">IF(ISBLANK($C175),"",IF($AB175=Constants!$B$2,TRUE(),IF($AB175=Constants!$B$3,FALSE(),TRUE())))</f>
        <v/>
      </c>
      <c r="BF175" s="100" t="str">
        <f aca="false">IF(ISBLANK($C175),"",IF(ISNUMBER($AC175),IF($AC175&gt;=0,$AC175,""),""))</f>
        <v/>
      </c>
      <c r="BG175" s="100" t="str">
        <f aca="false">IF(ISBLANK($C175),"",IF($AD175=Constants!$B$2,TRUE(),IF($AD175=Constants!$B$3,FALSE(),FALSE())))</f>
        <v/>
      </c>
      <c r="BH175" s="99" t="str">
        <f aca="false">IF(ISBLANK($C175),"",IF($BG175,Constants!$B$7,IF(COUNTA($E175:$AC175)=0,Constants!$B$6,IF(OR(COUNTA($G175:$AC175)=0,NOT($AK175),$AQ175),Constants!$B$5,IF(OR($CI175&lt;&gt;"",$CJ175,$CK175,$CL175,$CM175,$CN175,$CO175),Constants!$B$8,Constants!$B$4)))))</f>
        <v/>
      </c>
      <c r="BI175" s="100" t="str">
        <f aca="false">IF(ISBLANK($C175),"",IF($BH175&lt;&gt;Constants!$B$4,$BH175,IF(OR(NOT($AH175),NOT($AJ175),NOT($AR175)),Constants!$B$11,IF(OR(NOT($AP175),MAX($AL175,$AM175,$AN175)&gt;Constants!$B$30),Constants!$B$10,Constants!$B$9))))</f>
        <v/>
      </c>
      <c r="BJ175" s="100" t="str">
        <f aca="false">IF($BH175&lt;&gt;Constants!$B$4,"",IF(NOT($AJ175),0,MIN(Constants!$B$35,$BC175)))</f>
        <v/>
      </c>
      <c r="BK175" s="100" t="str">
        <f aca="false">IF($BH175&lt;&gt;Constants!$B$4,"",IF(NOT($AJ175),0,IF($AT175,Constants!$B$18,IF($AS175,Constants!$B$17,0))))</f>
        <v/>
      </c>
      <c r="BL175" s="100" t="str">
        <f aca="false">IF($BH175&lt;&gt;Constants!$B$4,"",IF(NOT($AJ175),0,Constants!$B$19*($AI175+$AU175+$AV175+$AW175)))</f>
        <v/>
      </c>
      <c r="BM175" s="100" t="str">
        <f aca="false">IF($BH175&lt;&gt;Constants!$B$4,"",IF(OR(NOT($AJ175),NOT(ISNUMBER($AX175))),0,CHOOSE($AX175,Constants!$B$13,Constants!$B$14,Constants!$B$15,Constants!$B$16)))</f>
        <v/>
      </c>
      <c r="BN175" s="100" t="str">
        <f aca="false">IF($BH175&lt;&gt;Constants!$B$4,"",IF(NOT($AJ175),0,Constants!$B$20*$AY175))</f>
        <v/>
      </c>
      <c r="BO175" s="100" t="str">
        <f aca="false">IF($BH175&lt;&gt;Constants!$B$4,"",IF(AND($AJ175,$BA175,$BB175),Constants!$B$22,0))</f>
        <v/>
      </c>
      <c r="BP175" s="100" t="str">
        <f aca="false">IF($BH175&lt;&gt;Constants!$B$4,"",IF(OR(NOT($AJ175),NOT($BA175)),0,IF($BF175&gt;=2*$AF$9,0,Constants!$B$23*INT(ROUND(MIN($BF175,$AF$9),6)))))</f>
        <v/>
      </c>
      <c r="BQ175" s="100" t="str">
        <f aca="false">IF($BH175&lt;&gt;Constants!$B$4,"",IF(NOT($AJ175),0,Constants!$B$24*INT(ROUND(MIN($AZ175,$AF$9),6))))</f>
        <v/>
      </c>
      <c r="BR175" s="100" t="str">
        <f aca="false">IF($BH175&lt;&gt;Constants!$B$4,"",IF(AND($AJ175,$BJ175=0),Constants!$B$25,0))</f>
        <v/>
      </c>
      <c r="BS175" s="100" t="str">
        <f aca="false">IF($BH175&lt;&gt;Constants!$B$4,"",MIN(Constants!$B$29,MAX(0,Constants!$B$27*Constants!$B$28*INT(ROUND((Constants!$B$26-$AL175)/Constants!$B$28,6))))+MIN(Constants!$B$29,MAX(0,Constants!$B$27*Constants!$B$28*INT(ROUND((Constants!$B$26-$AM175)/Constants!$B$28,6))))+MIN(Constants!$B$29,MAX(0,Constants!$B$27*Constants!$B$28*INT(ROUND((Constants!$B$26-$AN175)/Constants!$B$28,6)))))</f>
        <v/>
      </c>
      <c r="BT175" s="100" t="str">
        <f aca="false">IF($BH175&lt;&gt;Constants!$B$4,"",IF(NOT($AJ175),0,Constants!$B$31*INT(ROUND(MAX(0,MIN($BF175,2*$AF$9)-$AF$9),6))))</f>
        <v/>
      </c>
      <c r="BU175" s="100" t="str">
        <f aca="false">IF($BH175&lt;&gt;Constants!$B$4,"",Constants!$B$32*(($AL175&gt;Constants!$B$26)+($AM175&gt;Constants!$B$26)+($AN175&gt;Constants!$B$26)))</f>
        <v/>
      </c>
      <c r="BV175" s="100" t="str">
        <f aca="false">IF($BH175&lt;&gt;Constants!$B$4,"",IF(OR(NOT($AJ175),$AO175),0,Constants!$B$33))</f>
        <v/>
      </c>
      <c r="BW175" s="100" t="str">
        <f aca="false">IF($BH175&lt;&gt;Constants!$B$4,"",Constants!$B$34*$BJ175)</f>
        <v/>
      </c>
      <c r="BX175" s="100" t="str">
        <f aca="false">IF($BH175&lt;&gt;Constants!$B$4,"",IF(OR(NOT($AJ175),$BE175),0,Constants!$B$36))</f>
        <v/>
      </c>
      <c r="BY175" s="100" t="str">
        <f aca="false">IF($BH175&lt;&gt;Constants!$B$4,"",IF(OR(NOT($AJ175),$BD175),0,Constants!$B$37))</f>
        <v/>
      </c>
      <c r="BZ175" s="100" t="str">
        <f aca="false">IF($BH175&lt;&gt;Constants!$B$4,"",SUM($BT175:$BY175))</f>
        <v/>
      </c>
      <c r="CA175" s="100" t="str">
        <f aca="false">IF(ISBLANK($C175),"",IF($BH175&lt;&gt;Constants!$B$4,$BH175,SUM($BK175:$BS175)-$BZ175))</f>
        <v/>
      </c>
      <c r="CB175" s="100" t="str">
        <f aca="false">IF(ISBLANK($C175),"",IF($BH175&lt;&gt;Constants!$B$4,$BH175,RANK($CA175,$CA$9:$CA$508)))</f>
        <v/>
      </c>
      <c r="CC175" s="100" t="str">
        <f aca="false">IF(ISBLANK($C175),"",IF($BH175&lt;&gt;Constants!$B$4,$BH175,COUNTIFS($BI$9:$BI$508,"&lt;"&amp;$BI175)+COUNTIFS($BI$9:$BI$508,$BI175,$CB$9:$CB$508,"&lt;"&amp;$CB175)+1))</f>
        <v/>
      </c>
      <c r="CD175" s="100" t="str">
        <f aca="false">IF(ISBLANK($C175),"",IF($BH175&lt;&gt;Constants!$B$4,$BH175,RANK($BZ175,$BZ$9:$BZ$508,1)))</f>
        <v/>
      </c>
      <c r="CE175" s="100" t="str">
        <f aca="false">IF($BH175&lt;&gt;Constants!$B$4,"",$AL175+$AM175+$AN175)</f>
        <v/>
      </c>
      <c r="CF175" s="100" t="str">
        <f aca="false">IF(ISBLANK($C175),"",IF($BH175&lt;&gt;Constants!$B$4,$BH175,RANK($CE175,$CE$9:$CE$508,1)))</f>
        <v/>
      </c>
      <c r="CG175" s="100" t="str">
        <f aca="false">IF(ISBLANK($C175),"",IF($BH175&lt;&gt;Constants!$B$4,$BH175,COUNTIFS($BI$9:$BI$508,"&lt;"&amp;$BI175)+COUNTIFS($BI$9:$BI$508,$BI175,$CB$9:$CB$508,"&lt;"&amp;$CB175)+COUNTIFS($BI$9:$BI$508,$BI175,$CB$9:$CB$508,$CB175,$CD$9:$CD$508,"&lt;"&amp;$CD175)+COUNTIFS($BI$9:$BI$508,$BI175,$CB$9:$CB$508,$CB175,$CD$9:$CD$508,$CD175,$CF$9:$CF$508,"&lt;"&amp;$CF175)+1))</f>
        <v/>
      </c>
      <c r="CH175" s="100" t="str">
        <f aca="false">IF(ISBLANK($C175),"",IF($BH175&lt;&gt;Constants!$B$4,$BH175,$CC175-$CG175))</f>
        <v/>
      </c>
      <c r="CI175" s="100" t="str">
        <f aca="false">IF(ISBLANK($C175),"",IF(NOT($AJ175),"",IF(ISBLANK($D$7),$CI$5,IF(NOT(ISNUMBER($D$7)),$CI$6,""))))</f>
        <v/>
      </c>
      <c r="CJ175" s="100" t="str">
        <f aca="false">IF(ISBLANK($C175),"",OR($AL175="",$AM175="",$AN175=""))</f>
        <v/>
      </c>
      <c r="CK175" s="100" t="str">
        <f aca="false">IF(ISBLANK($C175),"",AND($AJ175,$AX175=""))</f>
        <v/>
      </c>
      <c r="CL175" s="100" t="str">
        <f aca="false">IF(ISBLANK($C175),"",AND($AJ175,$AY175=""))</f>
        <v/>
      </c>
      <c r="CM175" s="100" t="str">
        <f aca="false">IF(ISBLANK($C175),"",AND($AJ175,$AZ175=""))</f>
        <v/>
      </c>
      <c r="CN175" s="100" t="str">
        <f aca="false">IF(ISBLANK($C175),"",AND($AJ175,$BC175=""))</f>
        <v/>
      </c>
      <c r="CO175" s="100" t="str">
        <f aca="false">IF(ISBLANK($C175),"",AND($AJ175,$BF175=""))</f>
        <v/>
      </c>
      <c r="CP175" s="101"/>
      <c r="CQ175" s="102"/>
      <c r="CR175" s="103" t="str">
        <f aca="false">IF(ISBLANK($C175),"",IF($BH175=Constants!$B$8,$CI175,""))</f>
        <v/>
      </c>
      <c r="CS175" s="102" t="str">
        <f aca="false">IF(ISBLANK($C175),"",IF($BH175&lt;&gt;Constants!$B$4,"",$BK175+$BL175))</f>
        <v/>
      </c>
      <c r="CT175" s="104" t="str">
        <f aca="false">IF(ISBLANK($C175),"",IF($BH175&lt;&gt;Constants!$B$4,"",$BM175+$BN175+$BO175))</f>
        <v/>
      </c>
      <c r="CU175" s="104" t="str">
        <f aca="false">IF(ISBLANK($C175),"",IF($BH175&lt;&gt;Constants!$B$4,"",$BP175))</f>
        <v/>
      </c>
      <c r="CV175" s="104" t="str">
        <f aca="false">IF(ISBLANK($C175),"",IF($BH175&lt;&gt;Constants!$B$4,"",$BQ175+$BR175))</f>
        <v/>
      </c>
      <c r="CW175" s="104" t="str">
        <f aca="false">IF(ISBLANK($C175),"",IF($BH175&lt;&gt;Constants!$B$4,"",$BS175))</f>
        <v/>
      </c>
      <c r="CX175" s="104" t="str">
        <f aca="false">IF(ISBLANK($C175),"",IF($BH175&lt;&gt;Constants!$B$4,"",-$BZ175))</f>
        <v/>
      </c>
      <c r="CY175" s="103" t="str">
        <f aca="false">IF(ISBLANK($C175),"",$CA175)</f>
        <v/>
      </c>
      <c r="CZ175" s="105" t="str">
        <f aca="false">IF(ISBLANK($C175),"",$BI175)</f>
        <v/>
      </c>
      <c r="DA175" s="104" t="str">
        <f aca="false">IF(ISBLANK($C175),"",$CH175)</f>
        <v/>
      </c>
      <c r="DB175" s="104" t="str">
        <f aca="false">IF(ISBLANK($C175),"",$CG175)</f>
        <v/>
      </c>
      <c r="DC175" s="106" t="str">
        <f aca="false">IF(ISBLANK($C175),"",IFERROR(_xlfn.SWITCH($DB175,Constants!$B$7,COUNTA($C$9:$C$508)+2,Constants!$B$6,COUNTA($C$9:$C$508)+1,Constants!$B$5,COUNTA($C$9:$C$508)),$DB175))</f>
        <v/>
      </c>
      <c r="DD175" s="7"/>
      <c r="DE175" s="107" t="n">
        <f aca="false">IF(OR(ISNUMBER($DB175),$DB175=Constants!$B$7,$DB175=Constants!$B$5,$DB175=Constants!$B$6),1,0)</f>
        <v>0</v>
      </c>
      <c r="DF175" s="107" t="n">
        <v>167</v>
      </c>
      <c r="DG175" s="107" t="str">
        <f aca="false">IF(ISBLANK($C175),"",IF(ISNUMBER($DC175),$DC175+ROW($B175)/1000,""))</f>
        <v/>
      </c>
      <c r="DH175" s="107" t="str">
        <f aca="false">IF(ISNUMBER($DG175),RANK($DG175,$DG$9:$DG$508,1),"")</f>
        <v/>
      </c>
      <c r="DI175" s="107" t="str">
        <f aca="false">IF(ISBLANK($C175),"",$B175)</f>
        <v/>
      </c>
      <c r="DJ175" s="107" t="str">
        <f aca="false">IF(ISBLANK($C175),"",$C175)</f>
        <v/>
      </c>
      <c r="DK175" s="107" t="str">
        <f aca="false">IF(ISBLANK($C175),"",$D175)</f>
        <v/>
      </c>
      <c r="DL175" s="108" t="str">
        <f aca="false">$CZ175</f>
        <v/>
      </c>
      <c r="DM175" s="109" t="str">
        <f aca="false">$CY175</f>
        <v/>
      </c>
      <c r="DN175" s="107" t="str">
        <f aca="false">IF(ISBLANK($C175),"",$DB175)</f>
        <v/>
      </c>
      <c r="DO175" s="110" t="str">
        <f aca="false">IF($DF175&gt;$DE$8,"",VLOOKUP($DF175,$DH$9:$DN$508,7,FALSE()))</f>
        <v/>
      </c>
      <c r="DP175" s="111" t="str">
        <f aca="false">IF($DF175&gt;$DE$8,"",VLOOKUP($DF175,$DH$9:$DN$508,2,FALSE()))</f>
        <v/>
      </c>
      <c r="DQ175" s="111" t="str">
        <f aca="false">IF($DF175&gt;$DE$8,"",VLOOKUP($DF175,$DH$9:$DN$508,3,FALSE()))</f>
        <v/>
      </c>
      <c r="DR175" s="111" t="str">
        <f aca="false">IF($DF175&gt;$DE$8,"",VLOOKUP($DF175,$DH$9:$DN$508,4,FALSE()))</f>
        <v/>
      </c>
      <c r="DS175" s="111" t="str">
        <f aca="false">IF($DF175&gt;$DE$8,"",VLOOKUP($DF175,$DH$9:$DN$508,5,FALSE()))</f>
        <v/>
      </c>
      <c r="DT175" s="112" t="str">
        <f aca="false">IF($DF175&gt;$DE$8,"",VLOOKUP($DF175,$DH$9:$DN$508,6,FALSE()))</f>
        <v/>
      </c>
      <c r="DU175" s="62"/>
    </row>
    <row r="176" customFormat="false" ht="15.75" hidden="false" customHeight="false" outlineLevel="0" collapsed="false">
      <c r="A176" s="7"/>
      <c r="B176" s="90"/>
      <c r="C176" s="91"/>
      <c r="D176" s="126"/>
      <c r="E176" s="130"/>
      <c r="F176" s="135"/>
      <c r="G176" s="130"/>
      <c r="H176" s="135"/>
      <c r="I176" s="131"/>
      <c r="J176" s="131"/>
      <c r="K176" s="131"/>
      <c r="L176" s="130"/>
      <c r="M176" s="130"/>
      <c r="N176" s="130"/>
      <c r="O176" s="135"/>
      <c r="P176" s="130"/>
      <c r="Q176" s="130"/>
      <c r="R176" s="130"/>
      <c r="S176" s="130"/>
      <c r="T176" s="135"/>
      <c r="U176" s="130"/>
      <c r="V176" s="96"/>
      <c r="W176" s="130"/>
      <c r="X176" s="130"/>
      <c r="Y176" s="96"/>
      <c r="Z176" s="96"/>
      <c r="AA176" s="130"/>
      <c r="AB176" s="130"/>
      <c r="AC176" s="97"/>
      <c r="AD176" s="130"/>
      <c r="AE176" s="99"/>
      <c r="AF176" s="100"/>
      <c r="AG176" s="100"/>
      <c r="AH176" s="100" t="str">
        <f aca="false">IF(ISBLANK($C176),"",IF($E176=Constants!$B$2,TRUE(),IF($E176=Constants!$B$3,FALSE(),TRUE())))</f>
        <v/>
      </c>
      <c r="AI176" s="100" t="str">
        <f aca="false">IF(ISBLANK($C176),"",IF($F176=Constants!$B$2,TRUE(),IF($F176=Constants!$B$3,FALSE(),FALSE())))</f>
        <v/>
      </c>
      <c r="AJ176" s="100" t="str">
        <f aca="false">IF(ISBLANK($C176),"",IF($G176=Constants!$B$2,TRUE(),IF($G176=Constants!$B$3,FALSE(),TRUE())))</f>
        <v/>
      </c>
      <c r="AK176" s="100" t="str">
        <f aca="false">IF(ISBLANK($C176),"",IF($H176=Constants!$B$2,TRUE(),IF($H176=Constants!$B$3,FALSE(),TRUE())))</f>
        <v/>
      </c>
      <c r="AL176" s="100" t="str">
        <f aca="false">IF(ISBLANK($C176),"",IF(ISNUMBER($I176),IF($I176&gt;=0,$I176,""),""))</f>
        <v/>
      </c>
      <c r="AM176" s="100" t="str">
        <f aca="false">IF(ISBLANK($C176),"",IF(ISNUMBER($J176),IF($J176&gt;=0,$J176,""),""))</f>
        <v/>
      </c>
      <c r="AN176" s="100" t="str">
        <f aca="false">IF(ISBLANK($C176),"",IF(ISNUMBER($K176),IF($K176&gt;=0,$K176,""),""))</f>
        <v/>
      </c>
      <c r="AO176" s="100" t="str">
        <f aca="false">IF(ISBLANK($C176),"",IF($L176=Constants!$B$2,TRUE(),IF($L176=Constants!$B$3,FALSE(),TRUE())))</f>
        <v/>
      </c>
      <c r="AP176" s="100" t="str">
        <f aca="false">IF(ISBLANK($C176),"",IF($M176=Constants!$B$2,TRUE(),IF($M176=Constants!$B$3,FALSE(),TRUE())))</f>
        <v/>
      </c>
      <c r="AQ176" s="100" t="str">
        <f aca="false">IF(ISBLANK($C176),"",IF($N176=Constants!$B$2,TRUE(),IF($N176=Constants!$B$3,FALSE(),FALSE())))</f>
        <v/>
      </c>
      <c r="AR176" s="100" t="str">
        <f aca="false">IF(ISBLANK($C176),"",IF($O176=Constants!$B$2,TRUE(),IF($O176=Constants!$B$3,FALSE(),TRUE())))</f>
        <v/>
      </c>
      <c r="AS176" s="100" t="str">
        <f aca="false">IF(ISBLANK($C176),"",IF($P176=Constants!$B$2,TRUE(),IF($P176=Constants!$B$3,FALSE(),FALSE())))</f>
        <v/>
      </c>
      <c r="AT176" s="100" t="str">
        <f aca="false">IF(ISBLANK($C176),"",IF($Q176=Constants!$B$2,TRUE(),IF($Q176=Constants!$B$3,FALSE(),FALSE())))</f>
        <v/>
      </c>
      <c r="AU176" s="100" t="str">
        <f aca="false">IF(ISBLANK($C176),"",IF($R176=Constants!$B$2,TRUE(),IF($R176=Constants!$B$3,FALSE(),FALSE())))</f>
        <v/>
      </c>
      <c r="AV176" s="100" t="str">
        <f aca="false">IF(ISBLANK($C176),"",IF($S176=Constants!$B$2,TRUE(),IF($S176=Constants!$B$3,FALSE(),FALSE())))</f>
        <v/>
      </c>
      <c r="AW176" s="100" t="str">
        <f aca="false">IF(ISBLANK($C176),"",IF($T176=Constants!$B$2,TRUE(),IF($T176=Constants!$B$3,FALSE(),FALSE())))</f>
        <v/>
      </c>
      <c r="AX176" s="100" t="str">
        <f aca="false">IF(ISBLANK($C176),"",IF(OR($U176&amp;""="1",$U176&amp;""="2",$U176&amp;""="3",$U176&amp;""="4"),VALUE($U176&amp;""),IF($U176=Constants!$B$12,Constants!$B$12,"")))</f>
        <v/>
      </c>
      <c r="AY176" s="100" t="str">
        <f aca="false">IF(ISBLANK($C176),"",IF(ISBLANK($V176),0,IF(ISNUMBER($V176),IF(AND($V176&gt;=0,$V176&lt;=Constants!$B$21,$V176=INT($V176)),$V176,""),"")))</f>
        <v/>
      </c>
      <c r="AZ176" s="100" t="str">
        <f aca="false">IF(ISBLANK($C176),"",IF(ISBLANK($W176),0,IF(ISNUMBER($W176),IF($W176&gt;=0,$W176,""),"")))</f>
        <v/>
      </c>
      <c r="BA176" s="100" t="str">
        <f aca="false">IF(ISBLANK($C176),"",IF($X176=Constants!$B$2,TRUE(),IF($X176=Constants!$B$3,FALSE(),TRUE())))</f>
        <v/>
      </c>
      <c r="BB176" s="100" t="str">
        <f aca="false">IF(ISBLANK($C176),"",IF($Y176=Constants!$B$2,TRUE(),IF($Y176=Constants!$B$3,FALSE(),FALSE())))</f>
        <v/>
      </c>
      <c r="BC176" s="100" t="str">
        <f aca="false">IF(ISBLANK($C176),"",IF(ISBLANK($Z176),0,IF(ISNUMBER($Z176),IF(AND($Z176&gt;=0,$Z176&lt;=Constants!$B$35,$Z176=INT($Z176)),$Z176,""),"")))</f>
        <v/>
      </c>
      <c r="BD176" s="100" t="str">
        <f aca="false">IF(ISBLANK($C176),"",IF($AA176=Constants!$B$2,TRUE(),IF($AA176=Constants!$B$3,FALSE(),TRUE())))</f>
        <v/>
      </c>
      <c r="BE176" s="100" t="str">
        <f aca="false">IF(ISBLANK($C176),"",IF($AB176=Constants!$B$2,TRUE(),IF($AB176=Constants!$B$3,FALSE(),TRUE())))</f>
        <v/>
      </c>
      <c r="BF176" s="100" t="str">
        <f aca="false">IF(ISBLANK($C176),"",IF(ISNUMBER($AC176),IF($AC176&gt;=0,$AC176,""),""))</f>
        <v/>
      </c>
      <c r="BG176" s="100" t="str">
        <f aca="false">IF(ISBLANK($C176),"",IF($AD176=Constants!$B$2,TRUE(),IF($AD176=Constants!$B$3,FALSE(),FALSE())))</f>
        <v/>
      </c>
      <c r="BH176" s="99" t="str">
        <f aca="false">IF(ISBLANK($C176),"",IF($BG176,Constants!$B$7,IF(COUNTA($E176:$AC176)=0,Constants!$B$6,IF(OR(COUNTA($G176:$AC176)=0,NOT($AK176),$AQ176),Constants!$B$5,IF(OR($CI176&lt;&gt;"",$CJ176,$CK176,$CL176,$CM176,$CN176,$CO176),Constants!$B$8,Constants!$B$4)))))</f>
        <v/>
      </c>
      <c r="BI176" s="100" t="str">
        <f aca="false">IF(ISBLANK($C176),"",IF($BH176&lt;&gt;Constants!$B$4,$BH176,IF(OR(NOT($AH176),NOT($AJ176),NOT($AR176)),Constants!$B$11,IF(OR(NOT($AP176),MAX($AL176,$AM176,$AN176)&gt;Constants!$B$30),Constants!$B$10,Constants!$B$9))))</f>
        <v/>
      </c>
      <c r="BJ176" s="100" t="str">
        <f aca="false">IF($BH176&lt;&gt;Constants!$B$4,"",IF(NOT($AJ176),0,MIN(Constants!$B$35,$BC176)))</f>
        <v/>
      </c>
      <c r="BK176" s="100" t="str">
        <f aca="false">IF($BH176&lt;&gt;Constants!$B$4,"",IF(NOT($AJ176),0,IF($AT176,Constants!$B$18,IF($AS176,Constants!$B$17,0))))</f>
        <v/>
      </c>
      <c r="BL176" s="100" t="str">
        <f aca="false">IF($BH176&lt;&gt;Constants!$B$4,"",IF(NOT($AJ176),0,Constants!$B$19*($AI176+$AU176+$AV176+$AW176)))</f>
        <v/>
      </c>
      <c r="BM176" s="100" t="str">
        <f aca="false">IF($BH176&lt;&gt;Constants!$B$4,"",IF(OR(NOT($AJ176),NOT(ISNUMBER($AX176))),0,CHOOSE($AX176,Constants!$B$13,Constants!$B$14,Constants!$B$15,Constants!$B$16)))</f>
        <v/>
      </c>
      <c r="BN176" s="100" t="str">
        <f aca="false">IF($BH176&lt;&gt;Constants!$B$4,"",IF(NOT($AJ176),0,Constants!$B$20*$AY176))</f>
        <v/>
      </c>
      <c r="BO176" s="100" t="str">
        <f aca="false">IF($BH176&lt;&gt;Constants!$B$4,"",IF(AND($AJ176,$BA176,$BB176),Constants!$B$22,0))</f>
        <v/>
      </c>
      <c r="BP176" s="100" t="str">
        <f aca="false">IF($BH176&lt;&gt;Constants!$B$4,"",IF(OR(NOT($AJ176),NOT($BA176)),0,IF($BF176&gt;=2*$AF$9,0,Constants!$B$23*INT(ROUND(MIN($BF176,$AF$9),6)))))</f>
        <v/>
      </c>
      <c r="BQ176" s="100" t="str">
        <f aca="false">IF($BH176&lt;&gt;Constants!$B$4,"",IF(NOT($AJ176),0,Constants!$B$24*INT(ROUND(MIN($AZ176,$AF$9),6))))</f>
        <v/>
      </c>
      <c r="BR176" s="100" t="str">
        <f aca="false">IF($BH176&lt;&gt;Constants!$B$4,"",IF(AND($AJ176,$BJ176=0),Constants!$B$25,0))</f>
        <v/>
      </c>
      <c r="BS176" s="100" t="str">
        <f aca="false">IF($BH176&lt;&gt;Constants!$B$4,"",MIN(Constants!$B$29,MAX(0,Constants!$B$27*Constants!$B$28*INT(ROUND((Constants!$B$26-$AL176)/Constants!$B$28,6))))+MIN(Constants!$B$29,MAX(0,Constants!$B$27*Constants!$B$28*INT(ROUND((Constants!$B$26-$AM176)/Constants!$B$28,6))))+MIN(Constants!$B$29,MAX(0,Constants!$B$27*Constants!$B$28*INT(ROUND((Constants!$B$26-$AN176)/Constants!$B$28,6)))))</f>
        <v/>
      </c>
      <c r="BT176" s="100" t="str">
        <f aca="false">IF($BH176&lt;&gt;Constants!$B$4,"",IF(NOT($AJ176),0,Constants!$B$31*INT(ROUND(MAX(0,MIN($BF176,2*$AF$9)-$AF$9),6))))</f>
        <v/>
      </c>
      <c r="BU176" s="100" t="str">
        <f aca="false">IF($BH176&lt;&gt;Constants!$B$4,"",Constants!$B$32*(($AL176&gt;Constants!$B$26)+($AM176&gt;Constants!$B$26)+($AN176&gt;Constants!$B$26)))</f>
        <v/>
      </c>
      <c r="BV176" s="100" t="str">
        <f aca="false">IF($BH176&lt;&gt;Constants!$B$4,"",IF(OR(NOT($AJ176),$AO176),0,Constants!$B$33))</f>
        <v/>
      </c>
      <c r="BW176" s="100" t="str">
        <f aca="false">IF($BH176&lt;&gt;Constants!$B$4,"",Constants!$B$34*$BJ176)</f>
        <v/>
      </c>
      <c r="BX176" s="100" t="str">
        <f aca="false">IF($BH176&lt;&gt;Constants!$B$4,"",IF(OR(NOT($AJ176),$BE176),0,Constants!$B$36))</f>
        <v/>
      </c>
      <c r="BY176" s="100" t="str">
        <f aca="false">IF($BH176&lt;&gt;Constants!$B$4,"",IF(OR(NOT($AJ176),$BD176),0,Constants!$B$37))</f>
        <v/>
      </c>
      <c r="BZ176" s="100" t="str">
        <f aca="false">IF($BH176&lt;&gt;Constants!$B$4,"",SUM($BT176:$BY176))</f>
        <v/>
      </c>
      <c r="CA176" s="100" t="str">
        <f aca="false">IF(ISBLANK($C176),"",IF($BH176&lt;&gt;Constants!$B$4,$BH176,SUM($BK176:$BS176)-$BZ176))</f>
        <v/>
      </c>
      <c r="CB176" s="100" t="str">
        <f aca="false">IF(ISBLANK($C176),"",IF($BH176&lt;&gt;Constants!$B$4,$BH176,RANK($CA176,$CA$9:$CA$508)))</f>
        <v/>
      </c>
      <c r="CC176" s="100" t="str">
        <f aca="false">IF(ISBLANK($C176),"",IF($BH176&lt;&gt;Constants!$B$4,$BH176,COUNTIFS($BI$9:$BI$508,"&lt;"&amp;$BI176)+COUNTIFS($BI$9:$BI$508,$BI176,$CB$9:$CB$508,"&lt;"&amp;$CB176)+1))</f>
        <v/>
      </c>
      <c r="CD176" s="100" t="str">
        <f aca="false">IF(ISBLANK($C176),"",IF($BH176&lt;&gt;Constants!$B$4,$BH176,RANK($BZ176,$BZ$9:$BZ$508,1)))</f>
        <v/>
      </c>
      <c r="CE176" s="100" t="str">
        <f aca="false">IF($BH176&lt;&gt;Constants!$B$4,"",$AL176+$AM176+$AN176)</f>
        <v/>
      </c>
      <c r="CF176" s="100" t="str">
        <f aca="false">IF(ISBLANK($C176),"",IF($BH176&lt;&gt;Constants!$B$4,$BH176,RANK($CE176,$CE$9:$CE$508,1)))</f>
        <v/>
      </c>
      <c r="CG176" s="100" t="str">
        <f aca="false">IF(ISBLANK($C176),"",IF($BH176&lt;&gt;Constants!$B$4,$BH176,COUNTIFS($BI$9:$BI$508,"&lt;"&amp;$BI176)+COUNTIFS($BI$9:$BI$508,$BI176,$CB$9:$CB$508,"&lt;"&amp;$CB176)+COUNTIFS($BI$9:$BI$508,$BI176,$CB$9:$CB$508,$CB176,$CD$9:$CD$508,"&lt;"&amp;$CD176)+COUNTIFS($BI$9:$BI$508,$BI176,$CB$9:$CB$508,$CB176,$CD$9:$CD$508,$CD176,$CF$9:$CF$508,"&lt;"&amp;$CF176)+1))</f>
        <v/>
      </c>
      <c r="CH176" s="100" t="str">
        <f aca="false">IF(ISBLANK($C176),"",IF($BH176&lt;&gt;Constants!$B$4,$BH176,$CC176-$CG176))</f>
        <v/>
      </c>
      <c r="CI176" s="100" t="str">
        <f aca="false">IF(ISBLANK($C176),"",IF(NOT($AJ176),"",IF(ISBLANK($D$7),$CI$5,IF(NOT(ISNUMBER($D$7)),$CI$6,""))))</f>
        <v/>
      </c>
      <c r="CJ176" s="100" t="str">
        <f aca="false">IF(ISBLANK($C176),"",OR($AL176="",$AM176="",$AN176=""))</f>
        <v/>
      </c>
      <c r="CK176" s="100" t="str">
        <f aca="false">IF(ISBLANK($C176),"",AND($AJ176,$AX176=""))</f>
        <v/>
      </c>
      <c r="CL176" s="100" t="str">
        <f aca="false">IF(ISBLANK($C176),"",AND($AJ176,$AY176=""))</f>
        <v/>
      </c>
      <c r="CM176" s="100" t="str">
        <f aca="false">IF(ISBLANK($C176),"",AND($AJ176,$AZ176=""))</f>
        <v/>
      </c>
      <c r="CN176" s="100" t="str">
        <f aca="false">IF(ISBLANK($C176),"",AND($AJ176,$BC176=""))</f>
        <v/>
      </c>
      <c r="CO176" s="100" t="str">
        <f aca="false">IF(ISBLANK($C176),"",AND($AJ176,$BF176=""))</f>
        <v/>
      </c>
      <c r="CP176" s="101"/>
      <c r="CQ176" s="102"/>
      <c r="CR176" s="103" t="str">
        <f aca="false">IF(ISBLANK($C176),"",IF($BH176=Constants!$B$8,$CI176,""))</f>
        <v/>
      </c>
      <c r="CS176" s="102" t="str">
        <f aca="false">IF(ISBLANK($C176),"",IF($BH176&lt;&gt;Constants!$B$4,"",$BK176+$BL176))</f>
        <v/>
      </c>
      <c r="CT176" s="104" t="str">
        <f aca="false">IF(ISBLANK($C176),"",IF($BH176&lt;&gt;Constants!$B$4,"",$BM176+$BN176+$BO176))</f>
        <v/>
      </c>
      <c r="CU176" s="104" t="str">
        <f aca="false">IF(ISBLANK($C176),"",IF($BH176&lt;&gt;Constants!$B$4,"",$BP176))</f>
        <v/>
      </c>
      <c r="CV176" s="104" t="str">
        <f aca="false">IF(ISBLANK($C176),"",IF($BH176&lt;&gt;Constants!$B$4,"",$BQ176+$BR176))</f>
        <v/>
      </c>
      <c r="CW176" s="104" t="str">
        <f aca="false">IF(ISBLANK($C176),"",IF($BH176&lt;&gt;Constants!$B$4,"",$BS176))</f>
        <v/>
      </c>
      <c r="CX176" s="104" t="str">
        <f aca="false">IF(ISBLANK($C176),"",IF($BH176&lt;&gt;Constants!$B$4,"",-$BZ176))</f>
        <v/>
      </c>
      <c r="CY176" s="103" t="str">
        <f aca="false">IF(ISBLANK($C176),"",$CA176)</f>
        <v/>
      </c>
      <c r="CZ176" s="105" t="str">
        <f aca="false">IF(ISBLANK($C176),"",$BI176)</f>
        <v/>
      </c>
      <c r="DA176" s="104" t="str">
        <f aca="false">IF(ISBLANK($C176),"",$CH176)</f>
        <v/>
      </c>
      <c r="DB176" s="104" t="str">
        <f aca="false">IF(ISBLANK($C176),"",$CG176)</f>
        <v/>
      </c>
      <c r="DC176" s="106" t="str">
        <f aca="false">IF(ISBLANK($C176),"",IFERROR(_xlfn.SWITCH($DB176,Constants!$B$7,COUNTA($C$9:$C$508)+2,Constants!$B$6,COUNTA($C$9:$C$508)+1,Constants!$B$5,COUNTA($C$9:$C$508)),$DB176))</f>
        <v/>
      </c>
      <c r="DD176" s="7"/>
      <c r="DE176" s="107" t="n">
        <f aca="false">IF(OR(ISNUMBER($DB176),$DB176=Constants!$B$7,$DB176=Constants!$B$5,$DB176=Constants!$B$6),1,0)</f>
        <v>0</v>
      </c>
      <c r="DF176" s="107" t="n">
        <v>168</v>
      </c>
      <c r="DG176" s="107" t="str">
        <f aca="false">IF(ISBLANK($C176),"",IF(ISNUMBER($DC176),$DC176+ROW($B176)/1000,""))</f>
        <v/>
      </c>
      <c r="DH176" s="107" t="str">
        <f aca="false">IF(ISNUMBER($DG176),RANK($DG176,$DG$9:$DG$508,1),"")</f>
        <v/>
      </c>
      <c r="DI176" s="107" t="str">
        <f aca="false">IF(ISBLANK($C176),"",$B176)</f>
        <v/>
      </c>
      <c r="DJ176" s="107" t="str">
        <f aca="false">IF(ISBLANK($C176),"",$C176)</f>
        <v/>
      </c>
      <c r="DK176" s="107" t="str">
        <f aca="false">IF(ISBLANK($C176),"",$D176)</f>
        <v/>
      </c>
      <c r="DL176" s="108" t="str">
        <f aca="false">$CZ176</f>
        <v/>
      </c>
      <c r="DM176" s="109" t="str">
        <f aca="false">$CY176</f>
        <v/>
      </c>
      <c r="DN176" s="107" t="str">
        <f aca="false">IF(ISBLANK($C176),"",$DB176)</f>
        <v/>
      </c>
      <c r="DO176" s="110" t="str">
        <f aca="false">IF($DF176&gt;$DE$8,"",VLOOKUP($DF176,$DH$9:$DN$508,7,FALSE()))</f>
        <v/>
      </c>
      <c r="DP176" s="111" t="str">
        <f aca="false">IF($DF176&gt;$DE$8,"",VLOOKUP($DF176,$DH$9:$DN$508,2,FALSE()))</f>
        <v/>
      </c>
      <c r="DQ176" s="111" t="str">
        <f aca="false">IF($DF176&gt;$DE$8,"",VLOOKUP($DF176,$DH$9:$DN$508,3,FALSE()))</f>
        <v/>
      </c>
      <c r="DR176" s="111" t="str">
        <f aca="false">IF($DF176&gt;$DE$8,"",VLOOKUP($DF176,$DH$9:$DN$508,4,FALSE()))</f>
        <v/>
      </c>
      <c r="DS176" s="111" t="str">
        <f aca="false">IF($DF176&gt;$DE$8,"",VLOOKUP($DF176,$DH$9:$DN$508,5,FALSE()))</f>
        <v/>
      </c>
      <c r="DT176" s="112" t="str">
        <f aca="false">IF($DF176&gt;$DE$8,"",VLOOKUP($DF176,$DH$9:$DN$508,6,FALSE()))</f>
        <v/>
      </c>
      <c r="DU176" s="62"/>
    </row>
    <row r="177" customFormat="false" ht="15.75" hidden="false" customHeight="false" outlineLevel="0" collapsed="false">
      <c r="A177" s="7"/>
      <c r="B177" s="64"/>
      <c r="C177" s="65"/>
      <c r="D177" s="123"/>
      <c r="E177" s="88"/>
      <c r="F177" s="134"/>
      <c r="G177" s="88"/>
      <c r="H177" s="134"/>
      <c r="I177" s="119"/>
      <c r="J177" s="119"/>
      <c r="K177" s="119"/>
      <c r="L177" s="88"/>
      <c r="M177" s="88"/>
      <c r="N177" s="88"/>
      <c r="O177" s="134"/>
      <c r="P177" s="88"/>
      <c r="Q177" s="88"/>
      <c r="R177" s="88"/>
      <c r="S177" s="88"/>
      <c r="T177" s="134"/>
      <c r="U177" s="88"/>
      <c r="V177" s="70"/>
      <c r="W177" s="88"/>
      <c r="X177" s="88"/>
      <c r="Y177" s="70"/>
      <c r="Z177" s="70"/>
      <c r="AA177" s="88"/>
      <c r="AB177" s="88"/>
      <c r="AC177" s="71"/>
      <c r="AD177" s="88"/>
      <c r="AE177" s="73"/>
      <c r="AF177" s="74"/>
      <c r="AG177" s="74"/>
      <c r="AH177" s="74" t="str">
        <f aca="false">IF(ISBLANK($C177),"",IF($E177=Constants!$B$2,TRUE(),IF($E177=Constants!$B$3,FALSE(),TRUE())))</f>
        <v/>
      </c>
      <c r="AI177" s="74" t="str">
        <f aca="false">IF(ISBLANK($C177),"",IF($F177=Constants!$B$2,TRUE(),IF($F177=Constants!$B$3,FALSE(),FALSE())))</f>
        <v/>
      </c>
      <c r="AJ177" s="74" t="str">
        <f aca="false">IF(ISBLANK($C177),"",IF($G177=Constants!$B$2,TRUE(),IF($G177=Constants!$B$3,FALSE(),TRUE())))</f>
        <v/>
      </c>
      <c r="AK177" s="74" t="str">
        <f aca="false">IF(ISBLANK($C177),"",IF($H177=Constants!$B$2,TRUE(),IF($H177=Constants!$B$3,FALSE(),TRUE())))</f>
        <v/>
      </c>
      <c r="AL177" s="74" t="str">
        <f aca="false">IF(ISBLANK($C177),"",IF(ISNUMBER($I177),IF($I177&gt;=0,$I177,""),""))</f>
        <v/>
      </c>
      <c r="AM177" s="74" t="str">
        <f aca="false">IF(ISBLANK($C177),"",IF(ISNUMBER($J177),IF($J177&gt;=0,$J177,""),""))</f>
        <v/>
      </c>
      <c r="AN177" s="74" t="str">
        <f aca="false">IF(ISBLANK($C177),"",IF(ISNUMBER($K177),IF($K177&gt;=0,$K177,""),""))</f>
        <v/>
      </c>
      <c r="AO177" s="74" t="str">
        <f aca="false">IF(ISBLANK($C177),"",IF($L177=Constants!$B$2,TRUE(),IF($L177=Constants!$B$3,FALSE(),TRUE())))</f>
        <v/>
      </c>
      <c r="AP177" s="74" t="str">
        <f aca="false">IF(ISBLANK($C177),"",IF($M177=Constants!$B$2,TRUE(),IF($M177=Constants!$B$3,FALSE(),TRUE())))</f>
        <v/>
      </c>
      <c r="AQ177" s="74" t="str">
        <f aca="false">IF(ISBLANK($C177),"",IF($N177=Constants!$B$2,TRUE(),IF($N177=Constants!$B$3,FALSE(),FALSE())))</f>
        <v/>
      </c>
      <c r="AR177" s="74" t="str">
        <f aca="false">IF(ISBLANK($C177),"",IF($O177=Constants!$B$2,TRUE(),IF($O177=Constants!$B$3,FALSE(),TRUE())))</f>
        <v/>
      </c>
      <c r="AS177" s="74" t="str">
        <f aca="false">IF(ISBLANK($C177),"",IF($P177=Constants!$B$2,TRUE(),IF($P177=Constants!$B$3,FALSE(),FALSE())))</f>
        <v/>
      </c>
      <c r="AT177" s="74" t="str">
        <f aca="false">IF(ISBLANK($C177),"",IF($Q177=Constants!$B$2,TRUE(),IF($Q177=Constants!$B$3,FALSE(),FALSE())))</f>
        <v/>
      </c>
      <c r="AU177" s="74" t="str">
        <f aca="false">IF(ISBLANK($C177),"",IF($R177=Constants!$B$2,TRUE(),IF($R177=Constants!$B$3,FALSE(),FALSE())))</f>
        <v/>
      </c>
      <c r="AV177" s="74" t="str">
        <f aca="false">IF(ISBLANK($C177),"",IF($S177=Constants!$B$2,TRUE(),IF($S177=Constants!$B$3,FALSE(),FALSE())))</f>
        <v/>
      </c>
      <c r="AW177" s="74" t="str">
        <f aca="false">IF(ISBLANK($C177),"",IF($T177=Constants!$B$2,TRUE(),IF($T177=Constants!$B$3,FALSE(),FALSE())))</f>
        <v/>
      </c>
      <c r="AX177" s="74" t="str">
        <f aca="false">IF(ISBLANK($C177),"",IF(OR($U177&amp;""="1",$U177&amp;""="2",$U177&amp;""="3",$U177&amp;""="4"),VALUE($U177&amp;""),IF($U177=Constants!$B$12,Constants!$B$12,"")))</f>
        <v/>
      </c>
      <c r="AY177" s="74" t="str">
        <f aca="false">IF(ISBLANK($C177),"",IF(ISBLANK($V177),0,IF(ISNUMBER($V177),IF(AND($V177&gt;=0,$V177&lt;=Constants!$B$21,$V177=INT($V177)),$V177,""),"")))</f>
        <v/>
      </c>
      <c r="AZ177" s="74" t="str">
        <f aca="false">IF(ISBLANK($C177),"",IF(ISBLANK($W177),0,IF(ISNUMBER($W177),IF($W177&gt;=0,$W177,""),"")))</f>
        <v/>
      </c>
      <c r="BA177" s="74" t="str">
        <f aca="false">IF(ISBLANK($C177),"",IF($X177=Constants!$B$2,TRUE(),IF($X177=Constants!$B$3,FALSE(),TRUE())))</f>
        <v/>
      </c>
      <c r="BB177" s="74" t="str">
        <f aca="false">IF(ISBLANK($C177),"",IF($Y177=Constants!$B$2,TRUE(),IF($Y177=Constants!$B$3,FALSE(),FALSE())))</f>
        <v/>
      </c>
      <c r="BC177" s="74" t="str">
        <f aca="false">IF(ISBLANK($C177),"",IF(ISBLANK($Z177),0,IF(ISNUMBER($Z177),IF(AND($Z177&gt;=0,$Z177&lt;=Constants!$B$35,$Z177=INT($Z177)),$Z177,""),"")))</f>
        <v/>
      </c>
      <c r="BD177" s="74" t="str">
        <f aca="false">IF(ISBLANK($C177),"",IF($AA177=Constants!$B$2,TRUE(),IF($AA177=Constants!$B$3,FALSE(),TRUE())))</f>
        <v/>
      </c>
      <c r="BE177" s="74" t="str">
        <f aca="false">IF(ISBLANK($C177),"",IF($AB177=Constants!$B$2,TRUE(),IF($AB177=Constants!$B$3,FALSE(),TRUE())))</f>
        <v/>
      </c>
      <c r="BF177" s="74" t="str">
        <f aca="false">IF(ISBLANK($C177),"",IF(ISNUMBER($AC177),IF($AC177&gt;=0,$AC177,""),""))</f>
        <v/>
      </c>
      <c r="BG177" s="74" t="str">
        <f aca="false">IF(ISBLANK($C177),"",IF($AD177=Constants!$B$2,TRUE(),IF($AD177=Constants!$B$3,FALSE(),FALSE())))</f>
        <v/>
      </c>
      <c r="BH177" s="73" t="str">
        <f aca="false">IF(ISBLANK($C177),"",IF($BG177,Constants!$B$7,IF(COUNTA($E177:$AC177)=0,Constants!$B$6,IF(OR(COUNTA($G177:$AC177)=0,NOT($AK177),$AQ177),Constants!$B$5,IF(OR($CI177&lt;&gt;"",$CJ177,$CK177,$CL177,$CM177,$CN177,$CO177),Constants!$B$8,Constants!$B$4)))))</f>
        <v/>
      </c>
      <c r="BI177" s="74" t="str">
        <f aca="false">IF(ISBLANK($C177),"",IF($BH177&lt;&gt;Constants!$B$4,$BH177,IF(OR(NOT($AH177),NOT($AJ177),NOT($AR177)),Constants!$B$11,IF(OR(NOT($AP177),MAX($AL177,$AM177,$AN177)&gt;Constants!$B$30),Constants!$B$10,Constants!$B$9))))</f>
        <v/>
      </c>
      <c r="BJ177" s="74" t="str">
        <f aca="false">IF($BH177&lt;&gt;Constants!$B$4,"",IF(NOT($AJ177),0,MIN(Constants!$B$35,$BC177)))</f>
        <v/>
      </c>
      <c r="BK177" s="74" t="str">
        <f aca="false">IF($BH177&lt;&gt;Constants!$B$4,"",IF(NOT($AJ177),0,IF($AT177,Constants!$B$18,IF($AS177,Constants!$B$17,0))))</f>
        <v/>
      </c>
      <c r="BL177" s="74" t="str">
        <f aca="false">IF($BH177&lt;&gt;Constants!$B$4,"",IF(NOT($AJ177),0,Constants!$B$19*($AI177+$AU177+$AV177+$AW177)))</f>
        <v/>
      </c>
      <c r="BM177" s="74" t="str">
        <f aca="false">IF($BH177&lt;&gt;Constants!$B$4,"",IF(OR(NOT($AJ177),NOT(ISNUMBER($AX177))),0,CHOOSE($AX177,Constants!$B$13,Constants!$B$14,Constants!$B$15,Constants!$B$16)))</f>
        <v/>
      </c>
      <c r="BN177" s="74" t="str">
        <f aca="false">IF($BH177&lt;&gt;Constants!$B$4,"",IF(NOT($AJ177),0,Constants!$B$20*$AY177))</f>
        <v/>
      </c>
      <c r="BO177" s="74" t="str">
        <f aca="false">IF($BH177&lt;&gt;Constants!$B$4,"",IF(AND($AJ177,$BA177,$BB177),Constants!$B$22,0))</f>
        <v/>
      </c>
      <c r="BP177" s="74" t="str">
        <f aca="false">IF($BH177&lt;&gt;Constants!$B$4,"",IF(OR(NOT($AJ177),NOT($BA177)),0,IF($BF177&gt;=2*$AF$9,0,Constants!$B$23*INT(ROUND(MIN($BF177,$AF$9),6)))))</f>
        <v/>
      </c>
      <c r="BQ177" s="74" t="str">
        <f aca="false">IF($BH177&lt;&gt;Constants!$B$4,"",IF(NOT($AJ177),0,Constants!$B$24*INT(ROUND(MIN($AZ177,$AF$9),6))))</f>
        <v/>
      </c>
      <c r="BR177" s="74" t="str">
        <f aca="false">IF($BH177&lt;&gt;Constants!$B$4,"",IF(AND($AJ177,$BJ177=0),Constants!$B$25,0))</f>
        <v/>
      </c>
      <c r="BS177" s="74" t="str">
        <f aca="false">IF($BH177&lt;&gt;Constants!$B$4,"",MIN(Constants!$B$29,MAX(0,Constants!$B$27*Constants!$B$28*INT(ROUND((Constants!$B$26-$AL177)/Constants!$B$28,6))))+MIN(Constants!$B$29,MAX(0,Constants!$B$27*Constants!$B$28*INT(ROUND((Constants!$B$26-$AM177)/Constants!$B$28,6))))+MIN(Constants!$B$29,MAX(0,Constants!$B$27*Constants!$B$28*INT(ROUND((Constants!$B$26-$AN177)/Constants!$B$28,6)))))</f>
        <v/>
      </c>
      <c r="BT177" s="74" t="str">
        <f aca="false">IF($BH177&lt;&gt;Constants!$B$4,"",IF(NOT($AJ177),0,Constants!$B$31*INT(ROUND(MAX(0,MIN($BF177,2*$AF$9)-$AF$9),6))))</f>
        <v/>
      </c>
      <c r="BU177" s="74" t="str">
        <f aca="false">IF($BH177&lt;&gt;Constants!$B$4,"",Constants!$B$32*(($AL177&gt;Constants!$B$26)+($AM177&gt;Constants!$B$26)+($AN177&gt;Constants!$B$26)))</f>
        <v/>
      </c>
      <c r="BV177" s="74" t="str">
        <f aca="false">IF($BH177&lt;&gt;Constants!$B$4,"",IF(OR(NOT($AJ177),$AO177),0,Constants!$B$33))</f>
        <v/>
      </c>
      <c r="BW177" s="74" t="str">
        <f aca="false">IF($BH177&lt;&gt;Constants!$B$4,"",Constants!$B$34*$BJ177)</f>
        <v/>
      </c>
      <c r="BX177" s="74" t="str">
        <f aca="false">IF($BH177&lt;&gt;Constants!$B$4,"",IF(OR(NOT($AJ177),$BE177),0,Constants!$B$36))</f>
        <v/>
      </c>
      <c r="BY177" s="74" t="str">
        <f aca="false">IF($BH177&lt;&gt;Constants!$B$4,"",IF(OR(NOT($AJ177),$BD177),0,Constants!$B$37))</f>
        <v/>
      </c>
      <c r="BZ177" s="74" t="str">
        <f aca="false">IF($BH177&lt;&gt;Constants!$B$4,"",SUM($BT177:$BY177))</f>
        <v/>
      </c>
      <c r="CA177" s="74" t="str">
        <f aca="false">IF(ISBLANK($C177),"",IF($BH177&lt;&gt;Constants!$B$4,$BH177,SUM($BK177:$BS177)-$BZ177))</f>
        <v/>
      </c>
      <c r="CB177" s="74" t="str">
        <f aca="false">IF(ISBLANK($C177),"",IF($BH177&lt;&gt;Constants!$B$4,$BH177,RANK($CA177,$CA$9:$CA$508)))</f>
        <v/>
      </c>
      <c r="CC177" s="74" t="str">
        <f aca="false">IF(ISBLANK($C177),"",IF($BH177&lt;&gt;Constants!$B$4,$BH177,COUNTIFS($BI$9:$BI$508,"&lt;"&amp;$BI177)+COUNTIFS($BI$9:$BI$508,$BI177,$CB$9:$CB$508,"&lt;"&amp;$CB177)+1))</f>
        <v/>
      </c>
      <c r="CD177" s="74" t="str">
        <f aca="false">IF(ISBLANK($C177),"",IF($BH177&lt;&gt;Constants!$B$4,$BH177,RANK($BZ177,$BZ$9:$BZ$508,1)))</f>
        <v/>
      </c>
      <c r="CE177" s="74" t="str">
        <f aca="false">IF($BH177&lt;&gt;Constants!$B$4,"",$AL177+$AM177+$AN177)</f>
        <v/>
      </c>
      <c r="CF177" s="74" t="str">
        <f aca="false">IF(ISBLANK($C177),"",IF($BH177&lt;&gt;Constants!$B$4,$BH177,RANK($CE177,$CE$9:$CE$508,1)))</f>
        <v/>
      </c>
      <c r="CG177" s="74" t="str">
        <f aca="false">IF(ISBLANK($C177),"",IF($BH177&lt;&gt;Constants!$B$4,$BH177,COUNTIFS($BI$9:$BI$508,"&lt;"&amp;$BI177)+COUNTIFS($BI$9:$BI$508,$BI177,$CB$9:$CB$508,"&lt;"&amp;$CB177)+COUNTIFS($BI$9:$BI$508,$BI177,$CB$9:$CB$508,$CB177,$CD$9:$CD$508,"&lt;"&amp;$CD177)+COUNTIFS($BI$9:$BI$508,$BI177,$CB$9:$CB$508,$CB177,$CD$9:$CD$508,$CD177,$CF$9:$CF$508,"&lt;"&amp;$CF177)+1))</f>
        <v/>
      </c>
      <c r="CH177" s="74" t="str">
        <f aca="false">IF(ISBLANK($C177),"",IF($BH177&lt;&gt;Constants!$B$4,$BH177,$CC177-$CG177))</f>
        <v/>
      </c>
      <c r="CI177" s="74" t="str">
        <f aca="false">IF(ISBLANK($C177),"",IF(NOT($AJ177),"",IF(ISBLANK($D$7),$CI$5,IF(NOT(ISNUMBER($D$7)),$CI$6,""))))</f>
        <v/>
      </c>
      <c r="CJ177" s="74" t="str">
        <f aca="false">IF(ISBLANK($C177),"",OR($AL177="",$AM177="",$AN177=""))</f>
        <v/>
      </c>
      <c r="CK177" s="74" t="str">
        <f aca="false">IF(ISBLANK($C177),"",AND($AJ177,$AX177=""))</f>
        <v/>
      </c>
      <c r="CL177" s="74" t="str">
        <f aca="false">IF(ISBLANK($C177),"",AND($AJ177,$AY177=""))</f>
        <v/>
      </c>
      <c r="CM177" s="74" t="str">
        <f aca="false">IF(ISBLANK($C177),"",AND($AJ177,$AZ177=""))</f>
        <v/>
      </c>
      <c r="CN177" s="74" t="str">
        <f aca="false">IF(ISBLANK($C177),"",AND($AJ177,$BC177=""))</f>
        <v/>
      </c>
      <c r="CO177" s="74" t="str">
        <f aca="false">IF(ISBLANK($C177),"",AND($AJ177,$BF177=""))</f>
        <v/>
      </c>
      <c r="CP177" s="75"/>
      <c r="CQ177" s="76"/>
      <c r="CR177" s="79" t="str">
        <f aca="false">IF(ISBLANK($C177),"",IF($BH177=Constants!$B$8,$CI177,""))</f>
        <v/>
      </c>
      <c r="CS177" s="76" t="str">
        <f aca="false">IF(ISBLANK($C177),"",IF($BH177&lt;&gt;Constants!$B$4,"",$BK177+$BL177))</f>
        <v/>
      </c>
      <c r="CT177" s="78" t="str">
        <f aca="false">IF(ISBLANK($C177),"",IF($BH177&lt;&gt;Constants!$B$4,"",$BM177+$BN177+$BO177))</f>
        <v/>
      </c>
      <c r="CU177" s="78" t="str">
        <f aca="false">IF(ISBLANK($C177),"",IF($BH177&lt;&gt;Constants!$B$4,"",$BP177))</f>
        <v/>
      </c>
      <c r="CV177" s="78" t="str">
        <f aca="false">IF(ISBLANK($C177),"",IF($BH177&lt;&gt;Constants!$B$4,"",$BQ177+$BR177))</f>
        <v/>
      </c>
      <c r="CW177" s="78" t="str">
        <f aca="false">IF(ISBLANK($C177),"",IF($BH177&lt;&gt;Constants!$B$4,"",$BS177))</f>
        <v/>
      </c>
      <c r="CX177" s="78" t="str">
        <f aca="false">IF(ISBLANK($C177),"",IF($BH177&lt;&gt;Constants!$B$4,"",-$BZ177))</f>
        <v/>
      </c>
      <c r="CY177" s="79" t="str">
        <f aca="false">IF(ISBLANK($C177),"",$CA177)</f>
        <v/>
      </c>
      <c r="CZ177" s="80" t="str">
        <f aca="false">IF(ISBLANK($C177),"",$BI177)</f>
        <v/>
      </c>
      <c r="DA177" s="78" t="str">
        <f aca="false">IF(ISBLANK($C177),"",$CH177)</f>
        <v/>
      </c>
      <c r="DB177" s="78" t="str">
        <f aca="false">IF(ISBLANK($C177),"",$CG177)</f>
        <v/>
      </c>
      <c r="DC177" s="81" t="str">
        <f aca="false">IF(ISBLANK($C177),"",IFERROR(_xlfn.SWITCH($DB177,Constants!$B$7,COUNTA($C$9:$C$508)+2,Constants!$B$6,COUNTA($C$9:$C$508)+1,Constants!$B$5,COUNTA($C$9:$C$508)),$DB177))</f>
        <v/>
      </c>
      <c r="DD177" s="7"/>
      <c r="DE177" s="82" t="n">
        <f aca="false">IF(OR(ISNUMBER($DB177),$DB177=Constants!$B$7,$DB177=Constants!$B$5,$DB177=Constants!$B$6),1,0)</f>
        <v>0</v>
      </c>
      <c r="DF177" s="82" t="n">
        <v>169</v>
      </c>
      <c r="DG177" s="82" t="str">
        <f aca="false">IF(ISBLANK($C177),"",IF(ISNUMBER($DC177),$DC177+ROW($B177)/1000,""))</f>
        <v/>
      </c>
      <c r="DH177" s="82" t="str">
        <f aca="false">IF(ISNUMBER($DG177),RANK($DG177,$DG$9:$DG$508,1),"")</f>
        <v/>
      </c>
      <c r="DI177" s="82" t="str">
        <f aca="false">IF(ISBLANK($C177),"",$B177)</f>
        <v/>
      </c>
      <c r="DJ177" s="82" t="str">
        <f aca="false">IF(ISBLANK($C177),"",$C177)</f>
        <v/>
      </c>
      <c r="DK177" s="82" t="str">
        <f aca="false">IF(ISBLANK($C177),"",$D177)</f>
        <v/>
      </c>
      <c r="DL177" s="83" t="str">
        <f aca="false">$CZ177</f>
        <v/>
      </c>
      <c r="DM177" s="84" t="str">
        <f aca="false">$CY177</f>
        <v/>
      </c>
      <c r="DN177" s="82" t="str">
        <f aca="false">IF(ISBLANK($C177),"",$DB177)</f>
        <v/>
      </c>
      <c r="DO177" s="85" t="str">
        <f aca="false">IF($DF177&gt;$DE$8,"",VLOOKUP($DF177,$DH$9:$DN$508,7,FALSE()))</f>
        <v/>
      </c>
      <c r="DP177" s="86" t="str">
        <f aca="false">IF($DF177&gt;$DE$8,"",VLOOKUP($DF177,$DH$9:$DN$508,2,FALSE()))</f>
        <v/>
      </c>
      <c r="DQ177" s="86" t="str">
        <f aca="false">IF($DF177&gt;$DE$8,"",VLOOKUP($DF177,$DH$9:$DN$508,3,FALSE()))</f>
        <v/>
      </c>
      <c r="DR177" s="86" t="str">
        <f aca="false">IF($DF177&gt;$DE$8,"",VLOOKUP($DF177,$DH$9:$DN$508,4,FALSE()))</f>
        <v/>
      </c>
      <c r="DS177" s="86" t="str">
        <f aca="false">IF($DF177&gt;$DE$8,"",VLOOKUP($DF177,$DH$9:$DN$508,5,FALSE()))</f>
        <v/>
      </c>
      <c r="DT177" s="87" t="str">
        <f aca="false">IF($DF177&gt;$DE$8,"",VLOOKUP($DF177,$DH$9:$DN$508,6,FALSE()))</f>
        <v/>
      </c>
      <c r="DU177" s="62"/>
    </row>
    <row r="178" customFormat="false" ht="15.75" hidden="false" customHeight="false" outlineLevel="0" collapsed="false">
      <c r="A178" s="7"/>
      <c r="B178" s="64"/>
      <c r="C178" s="65"/>
      <c r="D178" s="123"/>
      <c r="E178" s="88"/>
      <c r="F178" s="134"/>
      <c r="G178" s="88"/>
      <c r="H178" s="134"/>
      <c r="I178" s="119"/>
      <c r="J178" s="119"/>
      <c r="K178" s="119"/>
      <c r="L178" s="88"/>
      <c r="M178" s="88"/>
      <c r="N178" s="88"/>
      <c r="O178" s="134"/>
      <c r="P178" s="88"/>
      <c r="Q178" s="88"/>
      <c r="R178" s="88"/>
      <c r="S178" s="88"/>
      <c r="T178" s="134"/>
      <c r="U178" s="88"/>
      <c r="V178" s="70"/>
      <c r="W178" s="88"/>
      <c r="X178" s="88"/>
      <c r="Y178" s="70"/>
      <c r="Z178" s="70"/>
      <c r="AA178" s="88"/>
      <c r="AB178" s="88"/>
      <c r="AC178" s="71"/>
      <c r="AD178" s="88"/>
      <c r="AE178" s="73"/>
      <c r="AF178" s="74"/>
      <c r="AG178" s="74"/>
      <c r="AH178" s="74" t="str">
        <f aca="false">IF(ISBLANK($C178),"",IF($E178=Constants!$B$2,TRUE(),IF($E178=Constants!$B$3,FALSE(),TRUE())))</f>
        <v/>
      </c>
      <c r="AI178" s="74" t="str">
        <f aca="false">IF(ISBLANK($C178),"",IF($F178=Constants!$B$2,TRUE(),IF($F178=Constants!$B$3,FALSE(),FALSE())))</f>
        <v/>
      </c>
      <c r="AJ178" s="74" t="str">
        <f aca="false">IF(ISBLANK($C178),"",IF($G178=Constants!$B$2,TRUE(),IF($G178=Constants!$B$3,FALSE(),TRUE())))</f>
        <v/>
      </c>
      <c r="AK178" s="74" t="str">
        <f aca="false">IF(ISBLANK($C178),"",IF($H178=Constants!$B$2,TRUE(),IF($H178=Constants!$B$3,FALSE(),TRUE())))</f>
        <v/>
      </c>
      <c r="AL178" s="74" t="str">
        <f aca="false">IF(ISBLANK($C178),"",IF(ISNUMBER($I178),IF($I178&gt;=0,$I178,""),""))</f>
        <v/>
      </c>
      <c r="AM178" s="74" t="str">
        <f aca="false">IF(ISBLANK($C178),"",IF(ISNUMBER($J178),IF($J178&gt;=0,$J178,""),""))</f>
        <v/>
      </c>
      <c r="AN178" s="74" t="str">
        <f aca="false">IF(ISBLANK($C178),"",IF(ISNUMBER($K178),IF($K178&gt;=0,$K178,""),""))</f>
        <v/>
      </c>
      <c r="AO178" s="74" t="str">
        <f aca="false">IF(ISBLANK($C178),"",IF($L178=Constants!$B$2,TRUE(),IF($L178=Constants!$B$3,FALSE(),TRUE())))</f>
        <v/>
      </c>
      <c r="AP178" s="74" t="str">
        <f aca="false">IF(ISBLANK($C178),"",IF($M178=Constants!$B$2,TRUE(),IF($M178=Constants!$B$3,FALSE(),TRUE())))</f>
        <v/>
      </c>
      <c r="AQ178" s="74" t="str">
        <f aca="false">IF(ISBLANK($C178),"",IF($N178=Constants!$B$2,TRUE(),IF($N178=Constants!$B$3,FALSE(),FALSE())))</f>
        <v/>
      </c>
      <c r="AR178" s="74" t="str">
        <f aca="false">IF(ISBLANK($C178),"",IF($O178=Constants!$B$2,TRUE(),IF($O178=Constants!$B$3,FALSE(),TRUE())))</f>
        <v/>
      </c>
      <c r="AS178" s="74" t="str">
        <f aca="false">IF(ISBLANK($C178),"",IF($P178=Constants!$B$2,TRUE(),IF($P178=Constants!$B$3,FALSE(),FALSE())))</f>
        <v/>
      </c>
      <c r="AT178" s="74" t="str">
        <f aca="false">IF(ISBLANK($C178),"",IF($Q178=Constants!$B$2,TRUE(),IF($Q178=Constants!$B$3,FALSE(),FALSE())))</f>
        <v/>
      </c>
      <c r="AU178" s="74" t="str">
        <f aca="false">IF(ISBLANK($C178),"",IF($R178=Constants!$B$2,TRUE(),IF($R178=Constants!$B$3,FALSE(),FALSE())))</f>
        <v/>
      </c>
      <c r="AV178" s="74" t="str">
        <f aca="false">IF(ISBLANK($C178),"",IF($S178=Constants!$B$2,TRUE(),IF($S178=Constants!$B$3,FALSE(),FALSE())))</f>
        <v/>
      </c>
      <c r="AW178" s="74" t="str">
        <f aca="false">IF(ISBLANK($C178),"",IF($T178=Constants!$B$2,TRUE(),IF($T178=Constants!$B$3,FALSE(),FALSE())))</f>
        <v/>
      </c>
      <c r="AX178" s="74" t="str">
        <f aca="false">IF(ISBLANK($C178),"",IF(OR($U178&amp;""="1",$U178&amp;""="2",$U178&amp;""="3",$U178&amp;""="4"),VALUE($U178&amp;""),IF($U178=Constants!$B$12,Constants!$B$12,"")))</f>
        <v/>
      </c>
      <c r="AY178" s="74" t="str">
        <f aca="false">IF(ISBLANK($C178),"",IF(ISBLANK($V178),0,IF(ISNUMBER($V178),IF(AND($V178&gt;=0,$V178&lt;=Constants!$B$21,$V178=INT($V178)),$V178,""),"")))</f>
        <v/>
      </c>
      <c r="AZ178" s="74" t="str">
        <f aca="false">IF(ISBLANK($C178),"",IF(ISBLANK($W178),0,IF(ISNUMBER($W178),IF($W178&gt;=0,$W178,""),"")))</f>
        <v/>
      </c>
      <c r="BA178" s="74" t="str">
        <f aca="false">IF(ISBLANK($C178),"",IF($X178=Constants!$B$2,TRUE(),IF($X178=Constants!$B$3,FALSE(),TRUE())))</f>
        <v/>
      </c>
      <c r="BB178" s="74" t="str">
        <f aca="false">IF(ISBLANK($C178),"",IF($Y178=Constants!$B$2,TRUE(),IF($Y178=Constants!$B$3,FALSE(),FALSE())))</f>
        <v/>
      </c>
      <c r="BC178" s="74" t="str">
        <f aca="false">IF(ISBLANK($C178),"",IF(ISBLANK($Z178),0,IF(ISNUMBER($Z178),IF(AND($Z178&gt;=0,$Z178&lt;=Constants!$B$35,$Z178=INT($Z178)),$Z178,""),"")))</f>
        <v/>
      </c>
      <c r="BD178" s="74" t="str">
        <f aca="false">IF(ISBLANK($C178),"",IF($AA178=Constants!$B$2,TRUE(),IF($AA178=Constants!$B$3,FALSE(),TRUE())))</f>
        <v/>
      </c>
      <c r="BE178" s="74" t="str">
        <f aca="false">IF(ISBLANK($C178),"",IF($AB178=Constants!$B$2,TRUE(),IF($AB178=Constants!$B$3,FALSE(),TRUE())))</f>
        <v/>
      </c>
      <c r="BF178" s="74" t="str">
        <f aca="false">IF(ISBLANK($C178),"",IF(ISNUMBER($AC178),IF($AC178&gt;=0,$AC178,""),""))</f>
        <v/>
      </c>
      <c r="BG178" s="74" t="str">
        <f aca="false">IF(ISBLANK($C178),"",IF($AD178=Constants!$B$2,TRUE(),IF($AD178=Constants!$B$3,FALSE(),FALSE())))</f>
        <v/>
      </c>
      <c r="BH178" s="73" t="str">
        <f aca="false">IF(ISBLANK($C178),"",IF($BG178,Constants!$B$7,IF(COUNTA($E178:$AC178)=0,Constants!$B$6,IF(OR(COUNTA($G178:$AC178)=0,NOT($AK178),$AQ178),Constants!$B$5,IF(OR($CI178&lt;&gt;"",$CJ178,$CK178,$CL178,$CM178,$CN178,$CO178),Constants!$B$8,Constants!$B$4)))))</f>
        <v/>
      </c>
      <c r="BI178" s="74" t="str">
        <f aca="false">IF(ISBLANK($C178),"",IF($BH178&lt;&gt;Constants!$B$4,$BH178,IF(OR(NOT($AH178),NOT($AJ178),NOT($AR178)),Constants!$B$11,IF(OR(NOT($AP178),MAX($AL178,$AM178,$AN178)&gt;Constants!$B$30),Constants!$B$10,Constants!$B$9))))</f>
        <v/>
      </c>
      <c r="BJ178" s="74" t="str">
        <f aca="false">IF($BH178&lt;&gt;Constants!$B$4,"",IF(NOT($AJ178),0,MIN(Constants!$B$35,$BC178)))</f>
        <v/>
      </c>
      <c r="BK178" s="74" t="str">
        <f aca="false">IF($BH178&lt;&gt;Constants!$B$4,"",IF(NOT($AJ178),0,IF($AT178,Constants!$B$18,IF($AS178,Constants!$B$17,0))))</f>
        <v/>
      </c>
      <c r="BL178" s="74" t="str">
        <f aca="false">IF($BH178&lt;&gt;Constants!$B$4,"",IF(NOT($AJ178),0,Constants!$B$19*($AI178+$AU178+$AV178+$AW178)))</f>
        <v/>
      </c>
      <c r="BM178" s="74" t="str">
        <f aca="false">IF($BH178&lt;&gt;Constants!$B$4,"",IF(OR(NOT($AJ178),NOT(ISNUMBER($AX178))),0,CHOOSE($AX178,Constants!$B$13,Constants!$B$14,Constants!$B$15,Constants!$B$16)))</f>
        <v/>
      </c>
      <c r="BN178" s="74" t="str">
        <f aca="false">IF($BH178&lt;&gt;Constants!$B$4,"",IF(NOT($AJ178),0,Constants!$B$20*$AY178))</f>
        <v/>
      </c>
      <c r="BO178" s="74" t="str">
        <f aca="false">IF($BH178&lt;&gt;Constants!$B$4,"",IF(AND($AJ178,$BA178,$BB178),Constants!$B$22,0))</f>
        <v/>
      </c>
      <c r="BP178" s="74" t="str">
        <f aca="false">IF($BH178&lt;&gt;Constants!$B$4,"",IF(OR(NOT($AJ178),NOT($BA178)),0,IF($BF178&gt;=2*$AF$9,0,Constants!$B$23*INT(ROUND(MIN($BF178,$AF$9),6)))))</f>
        <v/>
      </c>
      <c r="BQ178" s="74" t="str">
        <f aca="false">IF($BH178&lt;&gt;Constants!$B$4,"",IF(NOT($AJ178),0,Constants!$B$24*INT(ROUND(MIN($AZ178,$AF$9),6))))</f>
        <v/>
      </c>
      <c r="BR178" s="74" t="str">
        <f aca="false">IF($BH178&lt;&gt;Constants!$B$4,"",IF(AND($AJ178,$BJ178=0),Constants!$B$25,0))</f>
        <v/>
      </c>
      <c r="BS178" s="74" t="str">
        <f aca="false">IF($BH178&lt;&gt;Constants!$B$4,"",MIN(Constants!$B$29,MAX(0,Constants!$B$27*Constants!$B$28*INT(ROUND((Constants!$B$26-$AL178)/Constants!$B$28,6))))+MIN(Constants!$B$29,MAX(0,Constants!$B$27*Constants!$B$28*INT(ROUND((Constants!$B$26-$AM178)/Constants!$B$28,6))))+MIN(Constants!$B$29,MAX(0,Constants!$B$27*Constants!$B$28*INT(ROUND((Constants!$B$26-$AN178)/Constants!$B$28,6)))))</f>
        <v/>
      </c>
      <c r="BT178" s="74" t="str">
        <f aca="false">IF($BH178&lt;&gt;Constants!$B$4,"",IF(NOT($AJ178),0,Constants!$B$31*INT(ROUND(MAX(0,MIN($BF178,2*$AF$9)-$AF$9),6))))</f>
        <v/>
      </c>
      <c r="BU178" s="74" t="str">
        <f aca="false">IF($BH178&lt;&gt;Constants!$B$4,"",Constants!$B$32*(($AL178&gt;Constants!$B$26)+($AM178&gt;Constants!$B$26)+($AN178&gt;Constants!$B$26)))</f>
        <v/>
      </c>
      <c r="BV178" s="74" t="str">
        <f aca="false">IF($BH178&lt;&gt;Constants!$B$4,"",IF(OR(NOT($AJ178),$AO178),0,Constants!$B$33))</f>
        <v/>
      </c>
      <c r="BW178" s="74" t="str">
        <f aca="false">IF($BH178&lt;&gt;Constants!$B$4,"",Constants!$B$34*$BJ178)</f>
        <v/>
      </c>
      <c r="BX178" s="74" t="str">
        <f aca="false">IF($BH178&lt;&gt;Constants!$B$4,"",IF(OR(NOT($AJ178),$BE178),0,Constants!$B$36))</f>
        <v/>
      </c>
      <c r="BY178" s="74" t="str">
        <f aca="false">IF($BH178&lt;&gt;Constants!$B$4,"",IF(OR(NOT($AJ178),$BD178),0,Constants!$B$37))</f>
        <v/>
      </c>
      <c r="BZ178" s="74" t="str">
        <f aca="false">IF($BH178&lt;&gt;Constants!$B$4,"",SUM($BT178:$BY178))</f>
        <v/>
      </c>
      <c r="CA178" s="74" t="str">
        <f aca="false">IF(ISBLANK($C178),"",IF($BH178&lt;&gt;Constants!$B$4,$BH178,SUM($BK178:$BS178)-$BZ178))</f>
        <v/>
      </c>
      <c r="CB178" s="74" t="str">
        <f aca="false">IF(ISBLANK($C178),"",IF($BH178&lt;&gt;Constants!$B$4,$BH178,RANK($CA178,$CA$9:$CA$508)))</f>
        <v/>
      </c>
      <c r="CC178" s="74" t="str">
        <f aca="false">IF(ISBLANK($C178),"",IF($BH178&lt;&gt;Constants!$B$4,$BH178,COUNTIFS($BI$9:$BI$508,"&lt;"&amp;$BI178)+COUNTIFS($BI$9:$BI$508,$BI178,$CB$9:$CB$508,"&lt;"&amp;$CB178)+1))</f>
        <v/>
      </c>
      <c r="CD178" s="74" t="str">
        <f aca="false">IF(ISBLANK($C178),"",IF($BH178&lt;&gt;Constants!$B$4,$BH178,RANK($BZ178,$BZ$9:$BZ$508,1)))</f>
        <v/>
      </c>
      <c r="CE178" s="74" t="str">
        <f aca="false">IF($BH178&lt;&gt;Constants!$B$4,"",$AL178+$AM178+$AN178)</f>
        <v/>
      </c>
      <c r="CF178" s="74" t="str">
        <f aca="false">IF(ISBLANK($C178),"",IF($BH178&lt;&gt;Constants!$B$4,$BH178,RANK($CE178,$CE$9:$CE$508,1)))</f>
        <v/>
      </c>
      <c r="CG178" s="74" t="str">
        <f aca="false">IF(ISBLANK($C178),"",IF($BH178&lt;&gt;Constants!$B$4,$BH178,COUNTIFS($BI$9:$BI$508,"&lt;"&amp;$BI178)+COUNTIFS($BI$9:$BI$508,$BI178,$CB$9:$CB$508,"&lt;"&amp;$CB178)+COUNTIFS($BI$9:$BI$508,$BI178,$CB$9:$CB$508,$CB178,$CD$9:$CD$508,"&lt;"&amp;$CD178)+COUNTIFS($BI$9:$BI$508,$BI178,$CB$9:$CB$508,$CB178,$CD$9:$CD$508,$CD178,$CF$9:$CF$508,"&lt;"&amp;$CF178)+1))</f>
        <v/>
      </c>
      <c r="CH178" s="74" t="str">
        <f aca="false">IF(ISBLANK($C178),"",IF($BH178&lt;&gt;Constants!$B$4,$BH178,$CC178-$CG178))</f>
        <v/>
      </c>
      <c r="CI178" s="74" t="str">
        <f aca="false">IF(ISBLANK($C178),"",IF(NOT($AJ178),"",IF(ISBLANK($D$7),$CI$5,IF(NOT(ISNUMBER($D$7)),$CI$6,""))))</f>
        <v/>
      </c>
      <c r="CJ178" s="74" t="str">
        <f aca="false">IF(ISBLANK($C178),"",OR($AL178="",$AM178="",$AN178=""))</f>
        <v/>
      </c>
      <c r="CK178" s="74" t="str">
        <f aca="false">IF(ISBLANK($C178),"",AND($AJ178,$AX178=""))</f>
        <v/>
      </c>
      <c r="CL178" s="74" t="str">
        <f aca="false">IF(ISBLANK($C178),"",AND($AJ178,$AY178=""))</f>
        <v/>
      </c>
      <c r="CM178" s="74" t="str">
        <f aca="false">IF(ISBLANK($C178),"",AND($AJ178,$AZ178=""))</f>
        <v/>
      </c>
      <c r="CN178" s="74" t="str">
        <f aca="false">IF(ISBLANK($C178),"",AND($AJ178,$BC178=""))</f>
        <v/>
      </c>
      <c r="CO178" s="74" t="str">
        <f aca="false">IF(ISBLANK($C178),"",AND($AJ178,$BF178=""))</f>
        <v/>
      </c>
      <c r="CP178" s="75"/>
      <c r="CQ178" s="76"/>
      <c r="CR178" s="79" t="str">
        <f aca="false">IF(ISBLANK($C178),"",IF($BH178=Constants!$B$8,$CI178,""))</f>
        <v/>
      </c>
      <c r="CS178" s="76" t="str">
        <f aca="false">IF(ISBLANK($C178),"",IF($BH178&lt;&gt;Constants!$B$4,"",$BK178+$BL178))</f>
        <v/>
      </c>
      <c r="CT178" s="78" t="str">
        <f aca="false">IF(ISBLANK($C178),"",IF($BH178&lt;&gt;Constants!$B$4,"",$BM178+$BN178+$BO178))</f>
        <v/>
      </c>
      <c r="CU178" s="78" t="str">
        <f aca="false">IF(ISBLANK($C178),"",IF($BH178&lt;&gt;Constants!$B$4,"",$BP178))</f>
        <v/>
      </c>
      <c r="CV178" s="78" t="str">
        <f aca="false">IF(ISBLANK($C178),"",IF($BH178&lt;&gt;Constants!$B$4,"",$BQ178+$BR178))</f>
        <v/>
      </c>
      <c r="CW178" s="78" t="str">
        <f aca="false">IF(ISBLANK($C178),"",IF($BH178&lt;&gt;Constants!$B$4,"",$BS178))</f>
        <v/>
      </c>
      <c r="CX178" s="78" t="str">
        <f aca="false">IF(ISBLANK($C178),"",IF($BH178&lt;&gt;Constants!$B$4,"",-$BZ178))</f>
        <v/>
      </c>
      <c r="CY178" s="79" t="str">
        <f aca="false">IF(ISBLANK($C178),"",$CA178)</f>
        <v/>
      </c>
      <c r="CZ178" s="80" t="str">
        <f aca="false">IF(ISBLANK($C178),"",$BI178)</f>
        <v/>
      </c>
      <c r="DA178" s="78" t="str">
        <f aca="false">IF(ISBLANK($C178),"",$CH178)</f>
        <v/>
      </c>
      <c r="DB178" s="78" t="str">
        <f aca="false">IF(ISBLANK($C178),"",$CG178)</f>
        <v/>
      </c>
      <c r="DC178" s="81" t="str">
        <f aca="false">IF(ISBLANK($C178),"",IFERROR(_xlfn.SWITCH($DB178,Constants!$B$7,COUNTA($C$9:$C$508)+2,Constants!$B$6,COUNTA($C$9:$C$508)+1,Constants!$B$5,COUNTA($C$9:$C$508)),$DB178))</f>
        <v/>
      </c>
      <c r="DD178" s="7"/>
      <c r="DE178" s="82" t="n">
        <f aca="false">IF(OR(ISNUMBER($DB178),$DB178=Constants!$B$7,$DB178=Constants!$B$5,$DB178=Constants!$B$6),1,0)</f>
        <v>0</v>
      </c>
      <c r="DF178" s="82" t="n">
        <v>170</v>
      </c>
      <c r="DG178" s="82" t="str">
        <f aca="false">IF(ISBLANK($C178),"",IF(ISNUMBER($DC178),$DC178+ROW($B178)/1000,""))</f>
        <v/>
      </c>
      <c r="DH178" s="82" t="str">
        <f aca="false">IF(ISNUMBER($DG178),RANK($DG178,$DG$9:$DG$508,1),"")</f>
        <v/>
      </c>
      <c r="DI178" s="82" t="str">
        <f aca="false">IF(ISBLANK($C178),"",$B178)</f>
        <v/>
      </c>
      <c r="DJ178" s="82" t="str">
        <f aca="false">IF(ISBLANK($C178),"",$C178)</f>
        <v/>
      </c>
      <c r="DK178" s="82" t="str">
        <f aca="false">IF(ISBLANK($C178),"",$D178)</f>
        <v/>
      </c>
      <c r="DL178" s="83" t="str">
        <f aca="false">$CZ178</f>
        <v/>
      </c>
      <c r="DM178" s="84" t="str">
        <f aca="false">$CY178</f>
        <v/>
      </c>
      <c r="DN178" s="82" t="str">
        <f aca="false">IF(ISBLANK($C178),"",$DB178)</f>
        <v/>
      </c>
      <c r="DO178" s="85" t="str">
        <f aca="false">IF($DF178&gt;$DE$8,"",VLOOKUP($DF178,$DH$9:$DN$508,7,FALSE()))</f>
        <v/>
      </c>
      <c r="DP178" s="86" t="str">
        <f aca="false">IF($DF178&gt;$DE$8,"",VLOOKUP($DF178,$DH$9:$DN$508,2,FALSE()))</f>
        <v/>
      </c>
      <c r="DQ178" s="86" t="str">
        <f aca="false">IF($DF178&gt;$DE$8,"",VLOOKUP($DF178,$DH$9:$DN$508,3,FALSE()))</f>
        <v/>
      </c>
      <c r="DR178" s="86" t="str">
        <f aca="false">IF($DF178&gt;$DE$8,"",VLOOKUP($DF178,$DH$9:$DN$508,4,FALSE()))</f>
        <v/>
      </c>
      <c r="DS178" s="86" t="str">
        <f aca="false">IF($DF178&gt;$DE$8,"",VLOOKUP($DF178,$DH$9:$DN$508,5,FALSE()))</f>
        <v/>
      </c>
      <c r="DT178" s="87" t="str">
        <f aca="false">IF($DF178&gt;$DE$8,"",VLOOKUP($DF178,$DH$9:$DN$508,6,FALSE()))</f>
        <v/>
      </c>
      <c r="DU178" s="62"/>
    </row>
    <row r="179" customFormat="false" ht="15.75" hidden="false" customHeight="false" outlineLevel="0" collapsed="false">
      <c r="A179" s="7"/>
      <c r="B179" s="64"/>
      <c r="C179" s="65"/>
      <c r="D179" s="123"/>
      <c r="E179" s="88"/>
      <c r="F179" s="134"/>
      <c r="G179" s="88"/>
      <c r="H179" s="134"/>
      <c r="I179" s="119"/>
      <c r="J179" s="119"/>
      <c r="K179" s="119"/>
      <c r="L179" s="88"/>
      <c r="M179" s="88"/>
      <c r="N179" s="88"/>
      <c r="O179" s="134"/>
      <c r="P179" s="88"/>
      <c r="Q179" s="88"/>
      <c r="R179" s="88"/>
      <c r="S179" s="88"/>
      <c r="T179" s="134"/>
      <c r="U179" s="88"/>
      <c r="V179" s="70"/>
      <c r="W179" s="88"/>
      <c r="X179" s="88"/>
      <c r="Y179" s="70"/>
      <c r="Z179" s="70"/>
      <c r="AA179" s="88"/>
      <c r="AB179" s="88"/>
      <c r="AC179" s="71"/>
      <c r="AD179" s="88"/>
      <c r="AE179" s="73"/>
      <c r="AF179" s="74"/>
      <c r="AG179" s="74"/>
      <c r="AH179" s="74" t="str">
        <f aca="false">IF(ISBLANK($C179),"",IF($E179=Constants!$B$2,TRUE(),IF($E179=Constants!$B$3,FALSE(),TRUE())))</f>
        <v/>
      </c>
      <c r="AI179" s="74" t="str">
        <f aca="false">IF(ISBLANK($C179),"",IF($F179=Constants!$B$2,TRUE(),IF($F179=Constants!$B$3,FALSE(),FALSE())))</f>
        <v/>
      </c>
      <c r="AJ179" s="74" t="str">
        <f aca="false">IF(ISBLANK($C179),"",IF($G179=Constants!$B$2,TRUE(),IF($G179=Constants!$B$3,FALSE(),TRUE())))</f>
        <v/>
      </c>
      <c r="AK179" s="74" t="str">
        <f aca="false">IF(ISBLANK($C179),"",IF($H179=Constants!$B$2,TRUE(),IF($H179=Constants!$B$3,FALSE(),TRUE())))</f>
        <v/>
      </c>
      <c r="AL179" s="74" t="str">
        <f aca="false">IF(ISBLANK($C179),"",IF(ISNUMBER($I179),IF($I179&gt;=0,$I179,""),""))</f>
        <v/>
      </c>
      <c r="AM179" s="74" t="str">
        <f aca="false">IF(ISBLANK($C179),"",IF(ISNUMBER($J179),IF($J179&gt;=0,$J179,""),""))</f>
        <v/>
      </c>
      <c r="AN179" s="74" t="str">
        <f aca="false">IF(ISBLANK($C179),"",IF(ISNUMBER($K179),IF($K179&gt;=0,$K179,""),""))</f>
        <v/>
      </c>
      <c r="AO179" s="74" t="str">
        <f aca="false">IF(ISBLANK($C179),"",IF($L179=Constants!$B$2,TRUE(),IF($L179=Constants!$B$3,FALSE(),TRUE())))</f>
        <v/>
      </c>
      <c r="AP179" s="74" t="str">
        <f aca="false">IF(ISBLANK($C179),"",IF($M179=Constants!$B$2,TRUE(),IF($M179=Constants!$B$3,FALSE(),TRUE())))</f>
        <v/>
      </c>
      <c r="AQ179" s="74" t="str">
        <f aca="false">IF(ISBLANK($C179),"",IF($N179=Constants!$B$2,TRUE(),IF($N179=Constants!$B$3,FALSE(),FALSE())))</f>
        <v/>
      </c>
      <c r="AR179" s="74" t="str">
        <f aca="false">IF(ISBLANK($C179),"",IF($O179=Constants!$B$2,TRUE(),IF($O179=Constants!$B$3,FALSE(),TRUE())))</f>
        <v/>
      </c>
      <c r="AS179" s="74" t="str">
        <f aca="false">IF(ISBLANK($C179),"",IF($P179=Constants!$B$2,TRUE(),IF($P179=Constants!$B$3,FALSE(),FALSE())))</f>
        <v/>
      </c>
      <c r="AT179" s="74" t="str">
        <f aca="false">IF(ISBLANK($C179),"",IF($Q179=Constants!$B$2,TRUE(),IF($Q179=Constants!$B$3,FALSE(),FALSE())))</f>
        <v/>
      </c>
      <c r="AU179" s="74" t="str">
        <f aca="false">IF(ISBLANK($C179),"",IF($R179=Constants!$B$2,TRUE(),IF($R179=Constants!$B$3,FALSE(),FALSE())))</f>
        <v/>
      </c>
      <c r="AV179" s="74" t="str">
        <f aca="false">IF(ISBLANK($C179),"",IF($S179=Constants!$B$2,TRUE(),IF($S179=Constants!$B$3,FALSE(),FALSE())))</f>
        <v/>
      </c>
      <c r="AW179" s="74" t="str">
        <f aca="false">IF(ISBLANK($C179),"",IF($T179=Constants!$B$2,TRUE(),IF($T179=Constants!$B$3,FALSE(),FALSE())))</f>
        <v/>
      </c>
      <c r="AX179" s="74" t="str">
        <f aca="false">IF(ISBLANK($C179),"",IF(OR($U179&amp;""="1",$U179&amp;""="2",$U179&amp;""="3",$U179&amp;""="4"),VALUE($U179&amp;""),IF($U179=Constants!$B$12,Constants!$B$12,"")))</f>
        <v/>
      </c>
      <c r="AY179" s="74" t="str">
        <f aca="false">IF(ISBLANK($C179),"",IF(ISBLANK($V179),0,IF(ISNUMBER($V179),IF(AND($V179&gt;=0,$V179&lt;=Constants!$B$21,$V179=INT($V179)),$V179,""),"")))</f>
        <v/>
      </c>
      <c r="AZ179" s="74" t="str">
        <f aca="false">IF(ISBLANK($C179),"",IF(ISBLANK($W179),0,IF(ISNUMBER($W179),IF($W179&gt;=0,$W179,""),"")))</f>
        <v/>
      </c>
      <c r="BA179" s="74" t="str">
        <f aca="false">IF(ISBLANK($C179),"",IF($X179=Constants!$B$2,TRUE(),IF($X179=Constants!$B$3,FALSE(),TRUE())))</f>
        <v/>
      </c>
      <c r="BB179" s="74" t="str">
        <f aca="false">IF(ISBLANK($C179),"",IF($Y179=Constants!$B$2,TRUE(),IF($Y179=Constants!$B$3,FALSE(),FALSE())))</f>
        <v/>
      </c>
      <c r="BC179" s="74" t="str">
        <f aca="false">IF(ISBLANK($C179),"",IF(ISBLANK($Z179),0,IF(ISNUMBER($Z179),IF(AND($Z179&gt;=0,$Z179&lt;=Constants!$B$35,$Z179=INT($Z179)),$Z179,""),"")))</f>
        <v/>
      </c>
      <c r="BD179" s="74" t="str">
        <f aca="false">IF(ISBLANK($C179),"",IF($AA179=Constants!$B$2,TRUE(),IF($AA179=Constants!$B$3,FALSE(),TRUE())))</f>
        <v/>
      </c>
      <c r="BE179" s="74" t="str">
        <f aca="false">IF(ISBLANK($C179),"",IF($AB179=Constants!$B$2,TRUE(),IF($AB179=Constants!$B$3,FALSE(),TRUE())))</f>
        <v/>
      </c>
      <c r="BF179" s="74" t="str">
        <f aca="false">IF(ISBLANK($C179),"",IF(ISNUMBER($AC179),IF($AC179&gt;=0,$AC179,""),""))</f>
        <v/>
      </c>
      <c r="BG179" s="74" t="str">
        <f aca="false">IF(ISBLANK($C179),"",IF($AD179=Constants!$B$2,TRUE(),IF($AD179=Constants!$B$3,FALSE(),FALSE())))</f>
        <v/>
      </c>
      <c r="BH179" s="73" t="str">
        <f aca="false">IF(ISBLANK($C179),"",IF($BG179,Constants!$B$7,IF(COUNTA($E179:$AC179)=0,Constants!$B$6,IF(OR(COUNTA($G179:$AC179)=0,NOT($AK179),$AQ179),Constants!$B$5,IF(OR($CI179&lt;&gt;"",$CJ179,$CK179,$CL179,$CM179,$CN179,$CO179),Constants!$B$8,Constants!$B$4)))))</f>
        <v/>
      </c>
      <c r="BI179" s="74" t="str">
        <f aca="false">IF(ISBLANK($C179),"",IF($BH179&lt;&gt;Constants!$B$4,$BH179,IF(OR(NOT($AH179),NOT($AJ179),NOT($AR179)),Constants!$B$11,IF(OR(NOT($AP179),MAX($AL179,$AM179,$AN179)&gt;Constants!$B$30),Constants!$B$10,Constants!$B$9))))</f>
        <v/>
      </c>
      <c r="BJ179" s="74" t="str">
        <f aca="false">IF($BH179&lt;&gt;Constants!$B$4,"",IF(NOT($AJ179),0,MIN(Constants!$B$35,$BC179)))</f>
        <v/>
      </c>
      <c r="BK179" s="74" t="str">
        <f aca="false">IF($BH179&lt;&gt;Constants!$B$4,"",IF(NOT($AJ179),0,IF($AT179,Constants!$B$18,IF($AS179,Constants!$B$17,0))))</f>
        <v/>
      </c>
      <c r="BL179" s="74" t="str">
        <f aca="false">IF($BH179&lt;&gt;Constants!$B$4,"",IF(NOT($AJ179),0,Constants!$B$19*($AI179+$AU179+$AV179+$AW179)))</f>
        <v/>
      </c>
      <c r="BM179" s="74" t="str">
        <f aca="false">IF($BH179&lt;&gt;Constants!$B$4,"",IF(OR(NOT($AJ179),NOT(ISNUMBER($AX179))),0,CHOOSE($AX179,Constants!$B$13,Constants!$B$14,Constants!$B$15,Constants!$B$16)))</f>
        <v/>
      </c>
      <c r="BN179" s="74" t="str">
        <f aca="false">IF($BH179&lt;&gt;Constants!$B$4,"",IF(NOT($AJ179),0,Constants!$B$20*$AY179))</f>
        <v/>
      </c>
      <c r="BO179" s="74" t="str">
        <f aca="false">IF($BH179&lt;&gt;Constants!$B$4,"",IF(AND($AJ179,$BA179,$BB179),Constants!$B$22,0))</f>
        <v/>
      </c>
      <c r="BP179" s="74" t="str">
        <f aca="false">IF($BH179&lt;&gt;Constants!$B$4,"",IF(OR(NOT($AJ179),NOT($BA179)),0,IF($BF179&gt;=2*$AF$9,0,Constants!$B$23*INT(ROUND(MIN($BF179,$AF$9),6)))))</f>
        <v/>
      </c>
      <c r="BQ179" s="74" t="str">
        <f aca="false">IF($BH179&lt;&gt;Constants!$B$4,"",IF(NOT($AJ179),0,Constants!$B$24*INT(ROUND(MIN($AZ179,$AF$9),6))))</f>
        <v/>
      </c>
      <c r="BR179" s="74" t="str">
        <f aca="false">IF($BH179&lt;&gt;Constants!$B$4,"",IF(AND($AJ179,$BJ179=0),Constants!$B$25,0))</f>
        <v/>
      </c>
      <c r="BS179" s="74" t="str">
        <f aca="false">IF($BH179&lt;&gt;Constants!$B$4,"",MIN(Constants!$B$29,MAX(0,Constants!$B$27*Constants!$B$28*INT(ROUND((Constants!$B$26-$AL179)/Constants!$B$28,6))))+MIN(Constants!$B$29,MAX(0,Constants!$B$27*Constants!$B$28*INT(ROUND((Constants!$B$26-$AM179)/Constants!$B$28,6))))+MIN(Constants!$B$29,MAX(0,Constants!$B$27*Constants!$B$28*INT(ROUND((Constants!$B$26-$AN179)/Constants!$B$28,6)))))</f>
        <v/>
      </c>
      <c r="BT179" s="74" t="str">
        <f aca="false">IF($BH179&lt;&gt;Constants!$B$4,"",IF(NOT($AJ179),0,Constants!$B$31*INT(ROUND(MAX(0,MIN($BF179,2*$AF$9)-$AF$9),6))))</f>
        <v/>
      </c>
      <c r="BU179" s="74" t="str">
        <f aca="false">IF($BH179&lt;&gt;Constants!$B$4,"",Constants!$B$32*(($AL179&gt;Constants!$B$26)+($AM179&gt;Constants!$B$26)+($AN179&gt;Constants!$B$26)))</f>
        <v/>
      </c>
      <c r="BV179" s="74" t="str">
        <f aca="false">IF($BH179&lt;&gt;Constants!$B$4,"",IF(OR(NOT($AJ179),$AO179),0,Constants!$B$33))</f>
        <v/>
      </c>
      <c r="BW179" s="74" t="str">
        <f aca="false">IF($BH179&lt;&gt;Constants!$B$4,"",Constants!$B$34*$BJ179)</f>
        <v/>
      </c>
      <c r="BX179" s="74" t="str">
        <f aca="false">IF($BH179&lt;&gt;Constants!$B$4,"",IF(OR(NOT($AJ179),$BE179),0,Constants!$B$36))</f>
        <v/>
      </c>
      <c r="BY179" s="74" t="str">
        <f aca="false">IF($BH179&lt;&gt;Constants!$B$4,"",IF(OR(NOT($AJ179),$BD179),0,Constants!$B$37))</f>
        <v/>
      </c>
      <c r="BZ179" s="74" t="str">
        <f aca="false">IF($BH179&lt;&gt;Constants!$B$4,"",SUM($BT179:$BY179))</f>
        <v/>
      </c>
      <c r="CA179" s="74" t="str">
        <f aca="false">IF(ISBLANK($C179),"",IF($BH179&lt;&gt;Constants!$B$4,$BH179,SUM($BK179:$BS179)-$BZ179))</f>
        <v/>
      </c>
      <c r="CB179" s="74" t="str">
        <f aca="false">IF(ISBLANK($C179),"",IF($BH179&lt;&gt;Constants!$B$4,$BH179,RANK($CA179,$CA$9:$CA$508)))</f>
        <v/>
      </c>
      <c r="CC179" s="74" t="str">
        <f aca="false">IF(ISBLANK($C179),"",IF($BH179&lt;&gt;Constants!$B$4,$BH179,COUNTIFS($BI$9:$BI$508,"&lt;"&amp;$BI179)+COUNTIFS($BI$9:$BI$508,$BI179,$CB$9:$CB$508,"&lt;"&amp;$CB179)+1))</f>
        <v/>
      </c>
      <c r="CD179" s="74" t="str">
        <f aca="false">IF(ISBLANK($C179),"",IF($BH179&lt;&gt;Constants!$B$4,$BH179,RANK($BZ179,$BZ$9:$BZ$508,1)))</f>
        <v/>
      </c>
      <c r="CE179" s="74" t="str">
        <f aca="false">IF($BH179&lt;&gt;Constants!$B$4,"",$AL179+$AM179+$AN179)</f>
        <v/>
      </c>
      <c r="CF179" s="74" t="str">
        <f aca="false">IF(ISBLANK($C179),"",IF($BH179&lt;&gt;Constants!$B$4,$BH179,RANK($CE179,$CE$9:$CE$508,1)))</f>
        <v/>
      </c>
      <c r="CG179" s="74" t="str">
        <f aca="false">IF(ISBLANK($C179),"",IF($BH179&lt;&gt;Constants!$B$4,$BH179,COUNTIFS($BI$9:$BI$508,"&lt;"&amp;$BI179)+COUNTIFS($BI$9:$BI$508,$BI179,$CB$9:$CB$508,"&lt;"&amp;$CB179)+COUNTIFS($BI$9:$BI$508,$BI179,$CB$9:$CB$508,$CB179,$CD$9:$CD$508,"&lt;"&amp;$CD179)+COUNTIFS($BI$9:$BI$508,$BI179,$CB$9:$CB$508,$CB179,$CD$9:$CD$508,$CD179,$CF$9:$CF$508,"&lt;"&amp;$CF179)+1))</f>
        <v/>
      </c>
      <c r="CH179" s="74" t="str">
        <f aca="false">IF(ISBLANK($C179),"",IF($BH179&lt;&gt;Constants!$B$4,$BH179,$CC179-$CG179))</f>
        <v/>
      </c>
      <c r="CI179" s="74" t="str">
        <f aca="false">IF(ISBLANK($C179),"",IF(NOT($AJ179),"",IF(ISBLANK($D$7),$CI$5,IF(NOT(ISNUMBER($D$7)),$CI$6,""))))</f>
        <v/>
      </c>
      <c r="CJ179" s="74" t="str">
        <f aca="false">IF(ISBLANK($C179),"",OR($AL179="",$AM179="",$AN179=""))</f>
        <v/>
      </c>
      <c r="CK179" s="74" t="str">
        <f aca="false">IF(ISBLANK($C179),"",AND($AJ179,$AX179=""))</f>
        <v/>
      </c>
      <c r="CL179" s="74" t="str">
        <f aca="false">IF(ISBLANK($C179),"",AND($AJ179,$AY179=""))</f>
        <v/>
      </c>
      <c r="CM179" s="74" t="str">
        <f aca="false">IF(ISBLANK($C179),"",AND($AJ179,$AZ179=""))</f>
        <v/>
      </c>
      <c r="CN179" s="74" t="str">
        <f aca="false">IF(ISBLANK($C179),"",AND($AJ179,$BC179=""))</f>
        <v/>
      </c>
      <c r="CO179" s="74" t="str">
        <f aca="false">IF(ISBLANK($C179),"",AND($AJ179,$BF179=""))</f>
        <v/>
      </c>
      <c r="CP179" s="75"/>
      <c r="CQ179" s="76"/>
      <c r="CR179" s="79" t="str">
        <f aca="false">IF(ISBLANK($C179),"",IF($BH179=Constants!$B$8,$CI179,""))</f>
        <v/>
      </c>
      <c r="CS179" s="76" t="str">
        <f aca="false">IF(ISBLANK($C179),"",IF($BH179&lt;&gt;Constants!$B$4,"",$BK179+$BL179))</f>
        <v/>
      </c>
      <c r="CT179" s="78" t="str">
        <f aca="false">IF(ISBLANK($C179),"",IF($BH179&lt;&gt;Constants!$B$4,"",$BM179+$BN179+$BO179))</f>
        <v/>
      </c>
      <c r="CU179" s="78" t="str">
        <f aca="false">IF(ISBLANK($C179),"",IF($BH179&lt;&gt;Constants!$B$4,"",$BP179))</f>
        <v/>
      </c>
      <c r="CV179" s="78" t="str">
        <f aca="false">IF(ISBLANK($C179),"",IF($BH179&lt;&gt;Constants!$B$4,"",$BQ179+$BR179))</f>
        <v/>
      </c>
      <c r="CW179" s="78" t="str">
        <f aca="false">IF(ISBLANK($C179),"",IF($BH179&lt;&gt;Constants!$B$4,"",$BS179))</f>
        <v/>
      </c>
      <c r="CX179" s="78" t="str">
        <f aca="false">IF(ISBLANK($C179),"",IF($BH179&lt;&gt;Constants!$B$4,"",-$BZ179))</f>
        <v/>
      </c>
      <c r="CY179" s="79" t="str">
        <f aca="false">IF(ISBLANK($C179),"",$CA179)</f>
        <v/>
      </c>
      <c r="CZ179" s="80" t="str">
        <f aca="false">IF(ISBLANK($C179),"",$BI179)</f>
        <v/>
      </c>
      <c r="DA179" s="78" t="str">
        <f aca="false">IF(ISBLANK($C179),"",$CH179)</f>
        <v/>
      </c>
      <c r="DB179" s="78" t="str">
        <f aca="false">IF(ISBLANK($C179),"",$CG179)</f>
        <v/>
      </c>
      <c r="DC179" s="81" t="str">
        <f aca="false">IF(ISBLANK($C179),"",IFERROR(_xlfn.SWITCH($DB179,Constants!$B$7,COUNTA($C$9:$C$508)+2,Constants!$B$6,COUNTA($C$9:$C$508)+1,Constants!$B$5,COUNTA($C$9:$C$508)),$DB179))</f>
        <v/>
      </c>
      <c r="DD179" s="7"/>
      <c r="DE179" s="82" t="n">
        <f aca="false">IF(OR(ISNUMBER($DB179),$DB179=Constants!$B$7,$DB179=Constants!$B$5,$DB179=Constants!$B$6),1,0)</f>
        <v>0</v>
      </c>
      <c r="DF179" s="82" t="n">
        <v>171</v>
      </c>
      <c r="DG179" s="82" t="str">
        <f aca="false">IF(ISBLANK($C179),"",IF(ISNUMBER($DC179),$DC179+ROW($B179)/1000,""))</f>
        <v/>
      </c>
      <c r="DH179" s="82" t="str">
        <f aca="false">IF(ISNUMBER($DG179),RANK($DG179,$DG$9:$DG$508,1),"")</f>
        <v/>
      </c>
      <c r="DI179" s="82" t="str">
        <f aca="false">IF(ISBLANK($C179),"",$B179)</f>
        <v/>
      </c>
      <c r="DJ179" s="82" t="str">
        <f aca="false">IF(ISBLANK($C179),"",$C179)</f>
        <v/>
      </c>
      <c r="DK179" s="82" t="str">
        <f aca="false">IF(ISBLANK($C179),"",$D179)</f>
        <v/>
      </c>
      <c r="DL179" s="83" t="str">
        <f aca="false">$CZ179</f>
        <v/>
      </c>
      <c r="DM179" s="84" t="str">
        <f aca="false">$CY179</f>
        <v/>
      </c>
      <c r="DN179" s="82" t="str">
        <f aca="false">IF(ISBLANK($C179),"",$DB179)</f>
        <v/>
      </c>
      <c r="DO179" s="85" t="str">
        <f aca="false">IF($DF179&gt;$DE$8,"",VLOOKUP($DF179,$DH$9:$DN$508,7,FALSE()))</f>
        <v/>
      </c>
      <c r="DP179" s="86" t="str">
        <f aca="false">IF($DF179&gt;$DE$8,"",VLOOKUP($DF179,$DH$9:$DN$508,2,FALSE()))</f>
        <v/>
      </c>
      <c r="DQ179" s="86" t="str">
        <f aca="false">IF($DF179&gt;$DE$8,"",VLOOKUP($DF179,$DH$9:$DN$508,3,FALSE()))</f>
        <v/>
      </c>
      <c r="DR179" s="86" t="str">
        <f aca="false">IF($DF179&gt;$DE$8,"",VLOOKUP($DF179,$DH$9:$DN$508,4,FALSE()))</f>
        <v/>
      </c>
      <c r="DS179" s="86" t="str">
        <f aca="false">IF($DF179&gt;$DE$8,"",VLOOKUP($DF179,$DH$9:$DN$508,5,FALSE()))</f>
        <v/>
      </c>
      <c r="DT179" s="87" t="str">
        <f aca="false">IF($DF179&gt;$DE$8,"",VLOOKUP($DF179,$DH$9:$DN$508,6,FALSE()))</f>
        <v/>
      </c>
      <c r="DU179" s="62"/>
    </row>
    <row r="180" customFormat="false" ht="15.75" hidden="false" customHeight="false" outlineLevel="0" collapsed="false">
      <c r="A180" s="7"/>
      <c r="B180" s="90"/>
      <c r="C180" s="91"/>
      <c r="D180" s="126"/>
      <c r="E180" s="130"/>
      <c r="F180" s="135"/>
      <c r="G180" s="130"/>
      <c r="H180" s="135"/>
      <c r="I180" s="131"/>
      <c r="J180" s="131"/>
      <c r="K180" s="131"/>
      <c r="L180" s="130"/>
      <c r="M180" s="130"/>
      <c r="N180" s="130"/>
      <c r="O180" s="135"/>
      <c r="P180" s="130"/>
      <c r="Q180" s="130"/>
      <c r="R180" s="130"/>
      <c r="S180" s="130"/>
      <c r="T180" s="135"/>
      <c r="U180" s="130"/>
      <c r="V180" s="96"/>
      <c r="W180" s="130"/>
      <c r="X180" s="130"/>
      <c r="Y180" s="96"/>
      <c r="Z180" s="96"/>
      <c r="AA180" s="130"/>
      <c r="AB180" s="130"/>
      <c r="AC180" s="97"/>
      <c r="AD180" s="130"/>
      <c r="AE180" s="99"/>
      <c r="AF180" s="100"/>
      <c r="AG180" s="100"/>
      <c r="AH180" s="100" t="str">
        <f aca="false">IF(ISBLANK($C180),"",IF($E180=Constants!$B$2,TRUE(),IF($E180=Constants!$B$3,FALSE(),TRUE())))</f>
        <v/>
      </c>
      <c r="AI180" s="100" t="str">
        <f aca="false">IF(ISBLANK($C180),"",IF($F180=Constants!$B$2,TRUE(),IF($F180=Constants!$B$3,FALSE(),FALSE())))</f>
        <v/>
      </c>
      <c r="AJ180" s="100" t="str">
        <f aca="false">IF(ISBLANK($C180),"",IF($G180=Constants!$B$2,TRUE(),IF($G180=Constants!$B$3,FALSE(),TRUE())))</f>
        <v/>
      </c>
      <c r="AK180" s="100" t="str">
        <f aca="false">IF(ISBLANK($C180),"",IF($H180=Constants!$B$2,TRUE(),IF($H180=Constants!$B$3,FALSE(),TRUE())))</f>
        <v/>
      </c>
      <c r="AL180" s="100" t="str">
        <f aca="false">IF(ISBLANK($C180),"",IF(ISNUMBER($I180),IF($I180&gt;=0,$I180,""),""))</f>
        <v/>
      </c>
      <c r="AM180" s="100" t="str">
        <f aca="false">IF(ISBLANK($C180),"",IF(ISNUMBER($J180),IF($J180&gt;=0,$J180,""),""))</f>
        <v/>
      </c>
      <c r="AN180" s="100" t="str">
        <f aca="false">IF(ISBLANK($C180),"",IF(ISNUMBER($K180),IF($K180&gt;=0,$K180,""),""))</f>
        <v/>
      </c>
      <c r="AO180" s="100" t="str">
        <f aca="false">IF(ISBLANK($C180),"",IF($L180=Constants!$B$2,TRUE(),IF($L180=Constants!$B$3,FALSE(),TRUE())))</f>
        <v/>
      </c>
      <c r="AP180" s="100" t="str">
        <f aca="false">IF(ISBLANK($C180),"",IF($M180=Constants!$B$2,TRUE(),IF($M180=Constants!$B$3,FALSE(),TRUE())))</f>
        <v/>
      </c>
      <c r="AQ180" s="100" t="str">
        <f aca="false">IF(ISBLANK($C180),"",IF($N180=Constants!$B$2,TRUE(),IF($N180=Constants!$B$3,FALSE(),FALSE())))</f>
        <v/>
      </c>
      <c r="AR180" s="100" t="str">
        <f aca="false">IF(ISBLANK($C180),"",IF($O180=Constants!$B$2,TRUE(),IF($O180=Constants!$B$3,FALSE(),TRUE())))</f>
        <v/>
      </c>
      <c r="AS180" s="100" t="str">
        <f aca="false">IF(ISBLANK($C180),"",IF($P180=Constants!$B$2,TRUE(),IF($P180=Constants!$B$3,FALSE(),FALSE())))</f>
        <v/>
      </c>
      <c r="AT180" s="100" t="str">
        <f aca="false">IF(ISBLANK($C180),"",IF($Q180=Constants!$B$2,TRUE(),IF($Q180=Constants!$B$3,FALSE(),FALSE())))</f>
        <v/>
      </c>
      <c r="AU180" s="100" t="str">
        <f aca="false">IF(ISBLANK($C180),"",IF($R180=Constants!$B$2,TRUE(),IF($R180=Constants!$B$3,FALSE(),FALSE())))</f>
        <v/>
      </c>
      <c r="AV180" s="100" t="str">
        <f aca="false">IF(ISBLANK($C180),"",IF($S180=Constants!$B$2,TRUE(),IF($S180=Constants!$B$3,FALSE(),FALSE())))</f>
        <v/>
      </c>
      <c r="AW180" s="100" t="str">
        <f aca="false">IF(ISBLANK($C180),"",IF($T180=Constants!$B$2,TRUE(),IF($T180=Constants!$B$3,FALSE(),FALSE())))</f>
        <v/>
      </c>
      <c r="AX180" s="100" t="str">
        <f aca="false">IF(ISBLANK($C180),"",IF(OR($U180&amp;""="1",$U180&amp;""="2",$U180&amp;""="3",$U180&amp;""="4"),VALUE($U180&amp;""),IF($U180=Constants!$B$12,Constants!$B$12,"")))</f>
        <v/>
      </c>
      <c r="AY180" s="100" t="str">
        <f aca="false">IF(ISBLANK($C180),"",IF(ISBLANK($V180),0,IF(ISNUMBER($V180),IF(AND($V180&gt;=0,$V180&lt;=Constants!$B$21,$V180=INT($V180)),$V180,""),"")))</f>
        <v/>
      </c>
      <c r="AZ180" s="100" t="str">
        <f aca="false">IF(ISBLANK($C180),"",IF(ISBLANK($W180),0,IF(ISNUMBER($W180),IF($W180&gt;=0,$W180,""),"")))</f>
        <v/>
      </c>
      <c r="BA180" s="100" t="str">
        <f aca="false">IF(ISBLANK($C180),"",IF($X180=Constants!$B$2,TRUE(),IF($X180=Constants!$B$3,FALSE(),TRUE())))</f>
        <v/>
      </c>
      <c r="BB180" s="100" t="str">
        <f aca="false">IF(ISBLANK($C180),"",IF($Y180=Constants!$B$2,TRUE(),IF($Y180=Constants!$B$3,FALSE(),FALSE())))</f>
        <v/>
      </c>
      <c r="BC180" s="100" t="str">
        <f aca="false">IF(ISBLANK($C180),"",IF(ISBLANK($Z180),0,IF(ISNUMBER($Z180),IF(AND($Z180&gt;=0,$Z180&lt;=Constants!$B$35,$Z180=INT($Z180)),$Z180,""),"")))</f>
        <v/>
      </c>
      <c r="BD180" s="100" t="str">
        <f aca="false">IF(ISBLANK($C180),"",IF($AA180=Constants!$B$2,TRUE(),IF($AA180=Constants!$B$3,FALSE(),TRUE())))</f>
        <v/>
      </c>
      <c r="BE180" s="100" t="str">
        <f aca="false">IF(ISBLANK($C180),"",IF($AB180=Constants!$B$2,TRUE(),IF($AB180=Constants!$B$3,FALSE(),TRUE())))</f>
        <v/>
      </c>
      <c r="BF180" s="100" t="str">
        <f aca="false">IF(ISBLANK($C180),"",IF(ISNUMBER($AC180),IF($AC180&gt;=0,$AC180,""),""))</f>
        <v/>
      </c>
      <c r="BG180" s="100" t="str">
        <f aca="false">IF(ISBLANK($C180),"",IF($AD180=Constants!$B$2,TRUE(),IF($AD180=Constants!$B$3,FALSE(),FALSE())))</f>
        <v/>
      </c>
      <c r="BH180" s="99" t="str">
        <f aca="false">IF(ISBLANK($C180),"",IF($BG180,Constants!$B$7,IF(COUNTA($E180:$AC180)=0,Constants!$B$6,IF(OR(COUNTA($G180:$AC180)=0,NOT($AK180),$AQ180),Constants!$B$5,IF(OR($CI180&lt;&gt;"",$CJ180,$CK180,$CL180,$CM180,$CN180,$CO180),Constants!$B$8,Constants!$B$4)))))</f>
        <v/>
      </c>
      <c r="BI180" s="100" t="str">
        <f aca="false">IF(ISBLANK($C180),"",IF($BH180&lt;&gt;Constants!$B$4,$BH180,IF(OR(NOT($AH180),NOT($AJ180),NOT($AR180)),Constants!$B$11,IF(OR(NOT($AP180),MAX($AL180,$AM180,$AN180)&gt;Constants!$B$30),Constants!$B$10,Constants!$B$9))))</f>
        <v/>
      </c>
      <c r="BJ180" s="100" t="str">
        <f aca="false">IF($BH180&lt;&gt;Constants!$B$4,"",IF(NOT($AJ180),0,MIN(Constants!$B$35,$BC180)))</f>
        <v/>
      </c>
      <c r="BK180" s="100" t="str">
        <f aca="false">IF($BH180&lt;&gt;Constants!$B$4,"",IF(NOT($AJ180),0,IF($AT180,Constants!$B$18,IF($AS180,Constants!$B$17,0))))</f>
        <v/>
      </c>
      <c r="BL180" s="100" t="str">
        <f aca="false">IF($BH180&lt;&gt;Constants!$B$4,"",IF(NOT($AJ180),0,Constants!$B$19*($AI180+$AU180+$AV180+$AW180)))</f>
        <v/>
      </c>
      <c r="BM180" s="100" t="str">
        <f aca="false">IF($BH180&lt;&gt;Constants!$B$4,"",IF(OR(NOT($AJ180),NOT(ISNUMBER($AX180))),0,CHOOSE($AX180,Constants!$B$13,Constants!$B$14,Constants!$B$15,Constants!$B$16)))</f>
        <v/>
      </c>
      <c r="BN180" s="100" t="str">
        <f aca="false">IF($BH180&lt;&gt;Constants!$B$4,"",IF(NOT($AJ180),0,Constants!$B$20*$AY180))</f>
        <v/>
      </c>
      <c r="BO180" s="100" t="str">
        <f aca="false">IF($BH180&lt;&gt;Constants!$B$4,"",IF(AND($AJ180,$BA180,$BB180),Constants!$B$22,0))</f>
        <v/>
      </c>
      <c r="BP180" s="100" t="str">
        <f aca="false">IF($BH180&lt;&gt;Constants!$B$4,"",IF(OR(NOT($AJ180),NOT($BA180)),0,IF($BF180&gt;=2*$AF$9,0,Constants!$B$23*INT(ROUND(MIN($BF180,$AF$9),6)))))</f>
        <v/>
      </c>
      <c r="BQ180" s="100" t="str">
        <f aca="false">IF($BH180&lt;&gt;Constants!$B$4,"",IF(NOT($AJ180),0,Constants!$B$24*INT(ROUND(MIN($AZ180,$AF$9),6))))</f>
        <v/>
      </c>
      <c r="BR180" s="100" t="str">
        <f aca="false">IF($BH180&lt;&gt;Constants!$B$4,"",IF(AND($AJ180,$BJ180=0),Constants!$B$25,0))</f>
        <v/>
      </c>
      <c r="BS180" s="100" t="str">
        <f aca="false">IF($BH180&lt;&gt;Constants!$B$4,"",MIN(Constants!$B$29,MAX(0,Constants!$B$27*Constants!$B$28*INT(ROUND((Constants!$B$26-$AL180)/Constants!$B$28,6))))+MIN(Constants!$B$29,MAX(0,Constants!$B$27*Constants!$B$28*INT(ROUND((Constants!$B$26-$AM180)/Constants!$B$28,6))))+MIN(Constants!$B$29,MAX(0,Constants!$B$27*Constants!$B$28*INT(ROUND((Constants!$B$26-$AN180)/Constants!$B$28,6)))))</f>
        <v/>
      </c>
      <c r="BT180" s="100" t="str">
        <f aca="false">IF($BH180&lt;&gt;Constants!$B$4,"",IF(NOT($AJ180),0,Constants!$B$31*INT(ROUND(MAX(0,MIN($BF180,2*$AF$9)-$AF$9),6))))</f>
        <v/>
      </c>
      <c r="BU180" s="100" t="str">
        <f aca="false">IF($BH180&lt;&gt;Constants!$B$4,"",Constants!$B$32*(($AL180&gt;Constants!$B$26)+($AM180&gt;Constants!$B$26)+($AN180&gt;Constants!$B$26)))</f>
        <v/>
      </c>
      <c r="BV180" s="100" t="str">
        <f aca="false">IF($BH180&lt;&gt;Constants!$B$4,"",IF(OR(NOT($AJ180),$AO180),0,Constants!$B$33))</f>
        <v/>
      </c>
      <c r="BW180" s="100" t="str">
        <f aca="false">IF($BH180&lt;&gt;Constants!$B$4,"",Constants!$B$34*$BJ180)</f>
        <v/>
      </c>
      <c r="BX180" s="100" t="str">
        <f aca="false">IF($BH180&lt;&gt;Constants!$B$4,"",IF(OR(NOT($AJ180),$BE180),0,Constants!$B$36))</f>
        <v/>
      </c>
      <c r="BY180" s="100" t="str">
        <f aca="false">IF($BH180&lt;&gt;Constants!$B$4,"",IF(OR(NOT($AJ180),$BD180),0,Constants!$B$37))</f>
        <v/>
      </c>
      <c r="BZ180" s="100" t="str">
        <f aca="false">IF($BH180&lt;&gt;Constants!$B$4,"",SUM($BT180:$BY180))</f>
        <v/>
      </c>
      <c r="CA180" s="100" t="str">
        <f aca="false">IF(ISBLANK($C180),"",IF($BH180&lt;&gt;Constants!$B$4,$BH180,SUM($BK180:$BS180)-$BZ180))</f>
        <v/>
      </c>
      <c r="CB180" s="100" t="str">
        <f aca="false">IF(ISBLANK($C180),"",IF($BH180&lt;&gt;Constants!$B$4,$BH180,RANK($CA180,$CA$9:$CA$508)))</f>
        <v/>
      </c>
      <c r="CC180" s="100" t="str">
        <f aca="false">IF(ISBLANK($C180),"",IF($BH180&lt;&gt;Constants!$B$4,$BH180,COUNTIFS($BI$9:$BI$508,"&lt;"&amp;$BI180)+COUNTIFS($BI$9:$BI$508,$BI180,$CB$9:$CB$508,"&lt;"&amp;$CB180)+1))</f>
        <v/>
      </c>
      <c r="CD180" s="100" t="str">
        <f aca="false">IF(ISBLANK($C180),"",IF($BH180&lt;&gt;Constants!$B$4,$BH180,RANK($BZ180,$BZ$9:$BZ$508,1)))</f>
        <v/>
      </c>
      <c r="CE180" s="100" t="str">
        <f aca="false">IF($BH180&lt;&gt;Constants!$B$4,"",$AL180+$AM180+$AN180)</f>
        <v/>
      </c>
      <c r="CF180" s="100" t="str">
        <f aca="false">IF(ISBLANK($C180),"",IF($BH180&lt;&gt;Constants!$B$4,$BH180,RANK($CE180,$CE$9:$CE$508,1)))</f>
        <v/>
      </c>
      <c r="CG180" s="100" t="str">
        <f aca="false">IF(ISBLANK($C180),"",IF($BH180&lt;&gt;Constants!$B$4,$BH180,COUNTIFS($BI$9:$BI$508,"&lt;"&amp;$BI180)+COUNTIFS($BI$9:$BI$508,$BI180,$CB$9:$CB$508,"&lt;"&amp;$CB180)+COUNTIFS($BI$9:$BI$508,$BI180,$CB$9:$CB$508,$CB180,$CD$9:$CD$508,"&lt;"&amp;$CD180)+COUNTIFS($BI$9:$BI$508,$BI180,$CB$9:$CB$508,$CB180,$CD$9:$CD$508,$CD180,$CF$9:$CF$508,"&lt;"&amp;$CF180)+1))</f>
        <v/>
      </c>
      <c r="CH180" s="100" t="str">
        <f aca="false">IF(ISBLANK($C180),"",IF($BH180&lt;&gt;Constants!$B$4,$BH180,$CC180-$CG180))</f>
        <v/>
      </c>
      <c r="CI180" s="100" t="str">
        <f aca="false">IF(ISBLANK($C180),"",IF(NOT($AJ180),"",IF(ISBLANK($D$7),$CI$5,IF(NOT(ISNUMBER($D$7)),$CI$6,""))))</f>
        <v/>
      </c>
      <c r="CJ180" s="100" t="str">
        <f aca="false">IF(ISBLANK($C180),"",OR($AL180="",$AM180="",$AN180=""))</f>
        <v/>
      </c>
      <c r="CK180" s="100" t="str">
        <f aca="false">IF(ISBLANK($C180),"",AND($AJ180,$AX180=""))</f>
        <v/>
      </c>
      <c r="CL180" s="100" t="str">
        <f aca="false">IF(ISBLANK($C180),"",AND($AJ180,$AY180=""))</f>
        <v/>
      </c>
      <c r="CM180" s="100" t="str">
        <f aca="false">IF(ISBLANK($C180),"",AND($AJ180,$AZ180=""))</f>
        <v/>
      </c>
      <c r="CN180" s="100" t="str">
        <f aca="false">IF(ISBLANK($C180),"",AND($AJ180,$BC180=""))</f>
        <v/>
      </c>
      <c r="CO180" s="100" t="str">
        <f aca="false">IF(ISBLANK($C180),"",AND($AJ180,$BF180=""))</f>
        <v/>
      </c>
      <c r="CP180" s="101"/>
      <c r="CQ180" s="102"/>
      <c r="CR180" s="103" t="str">
        <f aca="false">IF(ISBLANK($C180),"",IF($BH180=Constants!$B$8,$CI180,""))</f>
        <v/>
      </c>
      <c r="CS180" s="102" t="str">
        <f aca="false">IF(ISBLANK($C180),"",IF($BH180&lt;&gt;Constants!$B$4,"",$BK180+$BL180))</f>
        <v/>
      </c>
      <c r="CT180" s="104" t="str">
        <f aca="false">IF(ISBLANK($C180),"",IF($BH180&lt;&gt;Constants!$B$4,"",$BM180+$BN180+$BO180))</f>
        <v/>
      </c>
      <c r="CU180" s="104" t="str">
        <f aca="false">IF(ISBLANK($C180),"",IF($BH180&lt;&gt;Constants!$B$4,"",$BP180))</f>
        <v/>
      </c>
      <c r="CV180" s="104" t="str">
        <f aca="false">IF(ISBLANK($C180),"",IF($BH180&lt;&gt;Constants!$B$4,"",$BQ180+$BR180))</f>
        <v/>
      </c>
      <c r="CW180" s="104" t="str">
        <f aca="false">IF(ISBLANK($C180),"",IF($BH180&lt;&gt;Constants!$B$4,"",$BS180))</f>
        <v/>
      </c>
      <c r="CX180" s="104" t="str">
        <f aca="false">IF(ISBLANK($C180),"",IF($BH180&lt;&gt;Constants!$B$4,"",-$BZ180))</f>
        <v/>
      </c>
      <c r="CY180" s="103" t="str">
        <f aca="false">IF(ISBLANK($C180),"",$CA180)</f>
        <v/>
      </c>
      <c r="CZ180" s="105" t="str">
        <f aca="false">IF(ISBLANK($C180),"",$BI180)</f>
        <v/>
      </c>
      <c r="DA180" s="104" t="str">
        <f aca="false">IF(ISBLANK($C180),"",$CH180)</f>
        <v/>
      </c>
      <c r="DB180" s="104" t="str">
        <f aca="false">IF(ISBLANK($C180),"",$CG180)</f>
        <v/>
      </c>
      <c r="DC180" s="106" t="str">
        <f aca="false">IF(ISBLANK($C180),"",IFERROR(_xlfn.SWITCH($DB180,Constants!$B$7,COUNTA($C$9:$C$508)+2,Constants!$B$6,COUNTA($C$9:$C$508)+1,Constants!$B$5,COUNTA($C$9:$C$508)),$DB180))</f>
        <v/>
      </c>
      <c r="DD180" s="7"/>
      <c r="DE180" s="107" t="n">
        <f aca="false">IF(OR(ISNUMBER($DB180),$DB180=Constants!$B$7,$DB180=Constants!$B$5,$DB180=Constants!$B$6),1,0)</f>
        <v>0</v>
      </c>
      <c r="DF180" s="107" t="n">
        <v>172</v>
      </c>
      <c r="DG180" s="107" t="str">
        <f aca="false">IF(ISBLANK($C180),"",IF(ISNUMBER($DC180),$DC180+ROW($B180)/1000,""))</f>
        <v/>
      </c>
      <c r="DH180" s="107" t="str">
        <f aca="false">IF(ISNUMBER($DG180),RANK($DG180,$DG$9:$DG$508,1),"")</f>
        <v/>
      </c>
      <c r="DI180" s="107" t="str">
        <f aca="false">IF(ISBLANK($C180),"",$B180)</f>
        <v/>
      </c>
      <c r="DJ180" s="107" t="str">
        <f aca="false">IF(ISBLANK($C180),"",$C180)</f>
        <v/>
      </c>
      <c r="DK180" s="107" t="str">
        <f aca="false">IF(ISBLANK($C180),"",$D180)</f>
        <v/>
      </c>
      <c r="DL180" s="108" t="str">
        <f aca="false">$CZ180</f>
        <v/>
      </c>
      <c r="DM180" s="109" t="str">
        <f aca="false">$CY180</f>
        <v/>
      </c>
      <c r="DN180" s="107" t="str">
        <f aca="false">IF(ISBLANK($C180),"",$DB180)</f>
        <v/>
      </c>
      <c r="DO180" s="110" t="str">
        <f aca="false">IF($DF180&gt;$DE$8,"",VLOOKUP($DF180,$DH$9:$DN$508,7,FALSE()))</f>
        <v/>
      </c>
      <c r="DP180" s="111" t="str">
        <f aca="false">IF($DF180&gt;$DE$8,"",VLOOKUP($DF180,$DH$9:$DN$508,2,FALSE()))</f>
        <v/>
      </c>
      <c r="DQ180" s="111" t="str">
        <f aca="false">IF($DF180&gt;$DE$8,"",VLOOKUP($DF180,$DH$9:$DN$508,3,FALSE()))</f>
        <v/>
      </c>
      <c r="DR180" s="111" t="str">
        <f aca="false">IF($DF180&gt;$DE$8,"",VLOOKUP($DF180,$DH$9:$DN$508,4,FALSE()))</f>
        <v/>
      </c>
      <c r="DS180" s="111" t="str">
        <f aca="false">IF($DF180&gt;$DE$8,"",VLOOKUP($DF180,$DH$9:$DN$508,5,FALSE()))</f>
        <v/>
      </c>
      <c r="DT180" s="112" t="str">
        <f aca="false">IF($DF180&gt;$DE$8,"",VLOOKUP($DF180,$DH$9:$DN$508,6,FALSE()))</f>
        <v/>
      </c>
      <c r="DU180" s="62"/>
    </row>
    <row r="181" customFormat="false" ht="15.75" hidden="false" customHeight="false" outlineLevel="0" collapsed="false">
      <c r="A181" s="7"/>
      <c r="B181" s="90"/>
      <c r="C181" s="91"/>
      <c r="D181" s="126"/>
      <c r="E181" s="130"/>
      <c r="F181" s="135"/>
      <c r="G181" s="130"/>
      <c r="H181" s="135"/>
      <c r="I181" s="131"/>
      <c r="J181" s="131"/>
      <c r="K181" s="131"/>
      <c r="L181" s="130"/>
      <c r="M181" s="130"/>
      <c r="N181" s="130"/>
      <c r="O181" s="135"/>
      <c r="P181" s="130"/>
      <c r="Q181" s="130"/>
      <c r="R181" s="130"/>
      <c r="S181" s="130"/>
      <c r="T181" s="135"/>
      <c r="U181" s="130"/>
      <c r="V181" s="96"/>
      <c r="W181" s="130"/>
      <c r="X181" s="130"/>
      <c r="Y181" s="96"/>
      <c r="Z181" s="96"/>
      <c r="AA181" s="130"/>
      <c r="AB181" s="130"/>
      <c r="AC181" s="97"/>
      <c r="AD181" s="130"/>
      <c r="AE181" s="99"/>
      <c r="AF181" s="100"/>
      <c r="AG181" s="100"/>
      <c r="AH181" s="100" t="str">
        <f aca="false">IF(ISBLANK($C181),"",IF($E181=Constants!$B$2,TRUE(),IF($E181=Constants!$B$3,FALSE(),TRUE())))</f>
        <v/>
      </c>
      <c r="AI181" s="100" t="str">
        <f aca="false">IF(ISBLANK($C181),"",IF($F181=Constants!$B$2,TRUE(),IF($F181=Constants!$B$3,FALSE(),FALSE())))</f>
        <v/>
      </c>
      <c r="AJ181" s="100" t="str">
        <f aca="false">IF(ISBLANK($C181),"",IF($G181=Constants!$B$2,TRUE(),IF($G181=Constants!$B$3,FALSE(),TRUE())))</f>
        <v/>
      </c>
      <c r="AK181" s="100" t="str">
        <f aca="false">IF(ISBLANK($C181),"",IF($H181=Constants!$B$2,TRUE(),IF($H181=Constants!$B$3,FALSE(),TRUE())))</f>
        <v/>
      </c>
      <c r="AL181" s="100" t="str">
        <f aca="false">IF(ISBLANK($C181),"",IF(ISNUMBER($I181),IF($I181&gt;=0,$I181,""),""))</f>
        <v/>
      </c>
      <c r="AM181" s="100" t="str">
        <f aca="false">IF(ISBLANK($C181),"",IF(ISNUMBER($J181),IF($J181&gt;=0,$J181,""),""))</f>
        <v/>
      </c>
      <c r="AN181" s="100" t="str">
        <f aca="false">IF(ISBLANK($C181),"",IF(ISNUMBER($K181),IF($K181&gt;=0,$K181,""),""))</f>
        <v/>
      </c>
      <c r="AO181" s="100" t="str">
        <f aca="false">IF(ISBLANK($C181),"",IF($L181=Constants!$B$2,TRUE(),IF($L181=Constants!$B$3,FALSE(),TRUE())))</f>
        <v/>
      </c>
      <c r="AP181" s="100" t="str">
        <f aca="false">IF(ISBLANK($C181),"",IF($M181=Constants!$B$2,TRUE(),IF($M181=Constants!$B$3,FALSE(),TRUE())))</f>
        <v/>
      </c>
      <c r="AQ181" s="100" t="str">
        <f aca="false">IF(ISBLANK($C181),"",IF($N181=Constants!$B$2,TRUE(),IF($N181=Constants!$B$3,FALSE(),FALSE())))</f>
        <v/>
      </c>
      <c r="AR181" s="100" t="str">
        <f aca="false">IF(ISBLANK($C181),"",IF($O181=Constants!$B$2,TRUE(),IF($O181=Constants!$B$3,FALSE(),TRUE())))</f>
        <v/>
      </c>
      <c r="AS181" s="100" t="str">
        <f aca="false">IF(ISBLANK($C181),"",IF($P181=Constants!$B$2,TRUE(),IF($P181=Constants!$B$3,FALSE(),FALSE())))</f>
        <v/>
      </c>
      <c r="AT181" s="100" t="str">
        <f aca="false">IF(ISBLANK($C181),"",IF($Q181=Constants!$B$2,TRUE(),IF($Q181=Constants!$B$3,FALSE(),FALSE())))</f>
        <v/>
      </c>
      <c r="AU181" s="100" t="str">
        <f aca="false">IF(ISBLANK($C181),"",IF($R181=Constants!$B$2,TRUE(),IF($R181=Constants!$B$3,FALSE(),FALSE())))</f>
        <v/>
      </c>
      <c r="AV181" s="100" t="str">
        <f aca="false">IF(ISBLANK($C181),"",IF($S181=Constants!$B$2,TRUE(),IF($S181=Constants!$B$3,FALSE(),FALSE())))</f>
        <v/>
      </c>
      <c r="AW181" s="100" t="str">
        <f aca="false">IF(ISBLANK($C181),"",IF($T181=Constants!$B$2,TRUE(),IF($T181=Constants!$B$3,FALSE(),FALSE())))</f>
        <v/>
      </c>
      <c r="AX181" s="100" t="str">
        <f aca="false">IF(ISBLANK($C181),"",IF(OR($U181&amp;""="1",$U181&amp;""="2",$U181&amp;""="3",$U181&amp;""="4"),VALUE($U181&amp;""),IF($U181=Constants!$B$12,Constants!$B$12,"")))</f>
        <v/>
      </c>
      <c r="AY181" s="100" t="str">
        <f aca="false">IF(ISBLANK($C181),"",IF(ISBLANK($V181),0,IF(ISNUMBER($V181),IF(AND($V181&gt;=0,$V181&lt;=Constants!$B$21,$V181=INT($V181)),$V181,""),"")))</f>
        <v/>
      </c>
      <c r="AZ181" s="100" t="str">
        <f aca="false">IF(ISBLANK($C181),"",IF(ISBLANK($W181),0,IF(ISNUMBER($W181),IF($W181&gt;=0,$W181,""),"")))</f>
        <v/>
      </c>
      <c r="BA181" s="100" t="str">
        <f aca="false">IF(ISBLANK($C181),"",IF($X181=Constants!$B$2,TRUE(),IF($X181=Constants!$B$3,FALSE(),TRUE())))</f>
        <v/>
      </c>
      <c r="BB181" s="100" t="str">
        <f aca="false">IF(ISBLANK($C181),"",IF($Y181=Constants!$B$2,TRUE(),IF($Y181=Constants!$B$3,FALSE(),FALSE())))</f>
        <v/>
      </c>
      <c r="BC181" s="100" t="str">
        <f aca="false">IF(ISBLANK($C181),"",IF(ISBLANK($Z181),0,IF(ISNUMBER($Z181),IF(AND($Z181&gt;=0,$Z181&lt;=Constants!$B$35,$Z181=INT($Z181)),$Z181,""),"")))</f>
        <v/>
      </c>
      <c r="BD181" s="100" t="str">
        <f aca="false">IF(ISBLANK($C181),"",IF($AA181=Constants!$B$2,TRUE(),IF($AA181=Constants!$B$3,FALSE(),TRUE())))</f>
        <v/>
      </c>
      <c r="BE181" s="100" t="str">
        <f aca="false">IF(ISBLANK($C181),"",IF($AB181=Constants!$B$2,TRUE(),IF($AB181=Constants!$B$3,FALSE(),TRUE())))</f>
        <v/>
      </c>
      <c r="BF181" s="100" t="str">
        <f aca="false">IF(ISBLANK($C181),"",IF(ISNUMBER($AC181),IF($AC181&gt;=0,$AC181,""),""))</f>
        <v/>
      </c>
      <c r="BG181" s="100" t="str">
        <f aca="false">IF(ISBLANK($C181),"",IF($AD181=Constants!$B$2,TRUE(),IF($AD181=Constants!$B$3,FALSE(),FALSE())))</f>
        <v/>
      </c>
      <c r="BH181" s="99" t="str">
        <f aca="false">IF(ISBLANK($C181),"",IF($BG181,Constants!$B$7,IF(COUNTA($E181:$AC181)=0,Constants!$B$6,IF(OR(COUNTA($G181:$AC181)=0,NOT($AK181),$AQ181),Constants!$B$5,IF(OR($CI181&lt;&gt;"",$CJ181,$CK181,$CL181,$CM181,$CN181,$CO181),Constants!$B$8,Constants!$B$4)))))</f>
        <v/>
      </c>
      <c r="BI181" s="100" t="str">
        <f aca="false">IF(ISBLANK($C181),"",IF($BH181&lt;&gt;Constants!$B$4,$BH181,IF(OR(NOT($AH181),NOT($AJ181),NOT($AR181)),Constants!$B$11,IF(OR(NOT($AP181),MAX($AL181,$AM181,$AN181)&gt;Constants!$B$30),Constants!$B$10,Constants!$B$9))))</f>
        <v/>
      </c>
      <c r="BJ181" s="100" t="str">
        <f aca="false">IF($BH181&lt;&gt;Constants!$B$4,"",IF(NOT($AJ181),0,MIN(Constants!$B$35,$BC181)))</f>
        <v/>
      </c>
      <c r="BK181" s="100" t="str">
        <f aca="false">IF($BH181&lt;&gt;Constants!$B$4,"",IF(NOT($AJ181),0,IF($AT181,Constants!$B$18,IF($AS181,Constants!$B$17,0))))</f>
        <v/>
      </c>
      <c r="BL181" s="100" t="str">
        <f aca="false">IF($BH181&lt;&gt;Constants!$B$4,"",IF(NOT($AJ181),0,Constants!$B$19*($AI181+$AU181+$AV181+$AW181)))</f>
        <v/>
      </c>
      <c r="BM181" s="100" t="str">
        <f aca="false">IF($BH181&lt;&gt;Constants!$B$4,"",IF(OR(NOT($AJ181),NOT(ISNUMBER($AX181))),0,CHOOSE($AX181,Constants!$B$13,Constants!$B$14,Constants!$B$15,Constants!$B$16)))</f>
        <v/>
      </c>
      <c r="BN181" s="100" t="str">
        <f aca="false">IF($BH181&lt;&gt;Constants!$B$4,"",IF(NOT($AJ181),0,Constants!$B$20*$AY181))</f>
        <v/>
      </c>
      <c r="BO181" s="100" t="str">
        <f aca="false">IF($BH181&lt;&gt;Constants!$B$4,"",IF(AND($AJ181,$BA181,$BB181),Constants!$B$22,0))</f>
        <v/>
      </c>
      <c r="BP181" s="100" t="str">
        <f aca="false">IF($BH181&lt;&gt;Constants!$B$4,"",IF(OR(NOT($AJ181),NOT($BA181)),0,IF($BF181&gt;=2*$AF$9,0,Constants!$B$23*INT(ROUND(MIN($BF181,$AF$9),6)))))</f>
        <v/>
      </c>
      <c r="BQ181" s="100" t="str">
        <f aca="false">IF($BH181&lt;&gt;Constants!$B$4,"",IF(NOT($AJ181),0,Constants!$B$24*INT(ROUND(MIN($AZ181,$AF$9),6))))</f>
        <v/>
      </c>
      <c r="BR181" s="100" t="str">
        <f aca="false">IF($BH181&lt;&gt;Constants!$B$4,"",IF(AND($AJ181,$BJ181=0),Constants!$B$25,0))</f>
        <v/>
      </c>
      <c r="BS181" s="100" t="str">
        <f aca="false">IF($BH181&lt;&gt;Constants!$B$4,"",MIN(Constants!$B$29,MAX(0,Constants!$B$27*Constants!$B$28*INT(ROUND((Constants!$B$26-$AL181)/Constants!$B$28,6))))+MIN(Constants!$B$29,MAX(0,Constants!$B$27*Constants!$B$28*INT(ROUND((Constants!$B$26-$AM181)/Constants!$B$28,6))))+MIN(Constants!$B$29,MAX(0,Constants!$B$27*Constants!$B$28*INT(ROUND((Constants!$B$26-$AN181)/Constants!$B$28,6)))))</f>
        <v/>
      </c>
      <c r="BT181" s="100" t="str">
        <f aca="false">IF($BH181&lt;&gt;Constants!$B$4,"",IF(NOT($AJ181),0,Constants!$B$31*INT(ROUND(MAX(0,MIN($BF181,2*$AF$9)-$AF$9),6))))</f>
        <v/>
      </c>
      <c r="BU181" s="100" t="str">
        <f aca="false">IF($BH181&lt;&gt;Constants!$B$4,"",Constants!$B$32*(($AL181&gt;Constants!$B$26)+($AM181&gt;Constants!$B$26)+($AN181&gt;Constants!$B$26)))</f>
        <v/>
      </c>
      <c r="BV181" s="100" t="str">
        <f aca="false">IF($BH181&lt;&gt;Constants!$B$4,"",IF(OR(NOT($AJ181),$AO181),0,Constants!$B$33))</f>
        <v/>
      </c>
      <c r="BW181" s="100" t="str">
        <f aca="false">IF($BH181&lt;&gt;Constants!$B$4,"",Constants!$B$34*$BJ181)</f>
        <v/>
      </c>
      <c r="BX181" s="100" t="str">
        <f aca="false">IF($BH181&lt;&gt;Constants!$B$4,"",IF(OR(NOT($AJ181),$BE181),0,Constants!$B$36))</f>
        <v/>
      </c>
      <c r="BY181" s="100" t="str">
        <f aca="false">IF($BH181&lt;&gt;Constants!$B$4,"",IF(OR(NOT($AJ181),$BD181),0,Constants!$B$37))</f>
        <v/>
      </c>
      <c r="BZ181" s="100" t="str">
        <f aca="false">IF($BH181&lt;&gt;Constants!$B$4,"",SUM($BT181:$BY181))</f>
        <v/>
      </c>
      <c r="CA181" s="100" t="str">
        <f aca="false">IF(ISBLANK($C181),"",IF($BH181&lt;&gt;Constants!$B$4,$BH181,SUM($BK181:$BS181)-$BZ181))</f>
        <v/>
      </c>
      <c r="CB181" s="100" t="str">
        <f aca="false">IF(ISBLANK($C181),"",IF($BH181&lt;&gt;Constants!$B$4,$BH181,RANK($CA181,$CA$9:$CA$508)))</f>
        <v/>
      </c>
      <c r="CC181" s="100" t="str">
        <f aca="false">IF(ISBLANK($C181),"",IF($BH181&lt;&gt;Constants!$B$4,$BH181,COUNTIFS($BI$9:$BI$508,"&lt;"&amp;$BI181)+COUNTIFS($BI$9:$BI$508,$BI181,$CB$9:$CB$508,"&lt;"&amp;$CB181)+1))</f>
        <v/>
      </c>
      <c r="CD181" s="100" t="str">
        <f aca="false">IF(ISBLANK($C181),"",IF($BH181&lt;&gt;Constants!$B$4,$BH181,RANK($BZ181,$BZ$9:$BZ$508,1)))</f>
        <v/>
      </c>
      <c r="CE181" s="100" t="str">
        <f aca="false">IF($BH181&lt;&gt;Constants!$B$4,"",$AL181+$AM181+$AN181)</f>
        <v/>
      </c>
      <c r="CF181" s="100" t="str">
        <f aca="false">IF(ISBLANK($C181),"",IF($BH181&lt;&gt;Constants!$B$4,$BH181,RANK($CE181,$CE$9:$CE$508,1)))</f>
        <v/>
      </c>
      <c r="CG181" s="100" t="str">
        <f aca="false">IF(ISBLANK($C181),"",IF($BH181&lt;&gt;Constants!$B$4,$BH181,COUNTIFS($BI$9:$BI$508,"&lt;"&amp;$BI181)+COUNTIFS($BI$9:$BI$508,$BI181,$CB$9:$CB$508,"&lt;"&amp;$CB181)+COUNTIFS($BI$9:$BI$508,$BI181,$CB$9:$CB$508,$CB181,$CD$9:$CD$508,"&lt;"&amp;$CD181)+COUNTIFS($BI$9:$BI$508,$BI181,$CB$9:$CB$508,$CB181,$CD$9:$CD$508,$CD181,$CF$9:$CF$508,"&lt;"&amp;$CF181)+1))</f>
        <v/>
      </c>
      <c r="CH181" s="100" t="str">
        <f aca="false">IF(ISBLANK($C181),"",IF($BH181&lt;&gt;Constants!$B$4,$BH181,$CC181-$CG181))</f>
        <v/>
      </c>
      <c r="CI181" s="100" t="str">
        <f aca="false">IF(ISBLANK($C181),"",IF(NOT($AJ181),"",IF(ISBLANK($D$7),$CI$5,IF(NOT(ISNUMBER($D$7)),$CI$6,""))))</f>
        <v/>
      </c>
      <c r="CJ181" s="100" t="str">
        <f aca="false">IF(ISBLANK($C181),"",OR($AL181="",$AM181="",$AN181=""))</f>
        <v/>
      </c>
      <c r="CK181" s="100" t="str">
        <f aca="false">IF(ISBLANK($C181),"",AND($AJ181,$AX181=""))</f>
        <v/>
      </c>
      <c r="CL181" s="100" t="str">
        <f aca="false">IF(ISBLANK($C181),"",AND($AJ181,$AY181=""))</f>
        <v/>
      </c>
      <c r="CM181" s="100" t="str">
        <f aca="false">IF(ISBLANK($C181),"",AND($AJ181,$AZ181=""))</f>
        <v/>
      </c>
      <c r="CN181" s="100" t="str">
        <f aca="false">IF(ISBLANK($C181),"",AND($AJ181,$BC181=""))</f>
        <v/>
      </c>
      <c r="CO181" s="100" t="str">
        <f aca="false">IF(ISBLANK($C181),"",AND($AJ181,$BF181=""))</f>
        <v/>
      </c>
      <c r="CP181" s="101"/>
      <c r="CQ181" s="102"/>
      <c r="CR181" s="103" t="str">
        <f aca="false">IF(ISBLANK($C181),"",IF($BH181=Constants!$B$8,$CI181,""))</f>
        <v/>
      </c>
      <c r="CS181" s="102" t="str">
        <f aca="false">IF(ISBLANK($C181),"",IF($BH181&lt;&gt;Constants!$B$4,"",$BK181+$BL181))</f>
        <v/>
      </c>
      <c r="CT181" s="104" t="str">
        <f aca="false">IF(ISBLANK($C181),"",IF($BH181&lt;&gt;Constants!$B$4,"",$BM181+$BN181+$BO181))</f>
        <v/>
      </c>
      <c r="CU181" s="104" t="str">
        <f aca="false">IF(ISBLANK($C181),"",IF($BH181&lt;&gt;Constants!$B$4,"",$BP181))</f>
        <v/>
      </c>
      <c r="CV181" s="104" t="str">
        <f aca="false">IF(ISBLANK($C181),"",IF($BH181&lt;&gt;Constants!$B$4,"",$BQ181+$BR181))</f>
        <v/>
      </c>
      <c r="CW181" s="104" t="str">
        <f aca="false">IF(ISBLANK($C181),"",IF($BH181&lt;&gt;Constants!$B$4,"",$BS181))</f>
        <v/>
      </c>
      <c r="CX181" s="104" t="str">
        <f aca="false">IF(ISBLANK($C181),"",IF($BH181&lt;&gt;Constants!$B$4,"",-$BZ181))</f>
        <v/>
      </c>
      <c r="CY181" s="103" t="str">
        <f aca="false">IF(ISBLANK($C181),"",$CA181)</f>
        <v/>
      </c>
      <c r="CZ181" s="105" t="str">
        <f aca="false">IF(ISBLANK($C181),"",$BI181)</f>
        <v/>
      </c>
      <c r="DA181" s="104" t="str">
        <f aca="false">IF(ISBLANK($C181),"",$CH181)</f>
        <v/>
      </c>
      <c r="DB181" s="104" t="str">
        <f aca="false">IF(ISBLANK($C181),"",$CG181)</f>
        <v/>
      </c>
      <c r="DC181" s="106" t="str">
        <f aca="false">IF(ISBLANK($C181),"",IFERROR(_xlfn.SWITCH($DB181,Constants!$B$7,COUNTA($C$9:$C$508)+2,Constants!$B$6,COUNTA($C$9:$C$508)+1,Constants!$B$5,COUNTA($C$9:$C$508)),$DB181))</f>
        <v/>
      </c>
      <c r="DD181" s="7"/>
      <c r="DE181" s="107" t="n">
        <f aca="false">IF(OR(ISNUMBER($DB181),$DB181=Constants!$B$7,$DB181=Constants!$B$5,$DB181=Constants!$B$6),1,0)</f>
        <v>0</v>
      </c>
      <c r="DF181" s="107" t="n">
        <v>173</v>
      </c>
      <c r="DG181" s="107" t="str">
        <f aca="false">IF(ISBLANK($C181),"",IF(ISNUMBER($DC181),$DC181+ROW($B181)/1000,""))</f>
        <v/>
      </c>
      <c r="DH181" s="107" t="str">
        <f aca="false">IF(ISNUMBER($DG181),RANK($DG181,$DG$9:$DG$508,1),"")</f>
        <v/>
      </c>
      <c r="DI181" s="107" t="str">
        <f aca="false">IF(ISBLANK($C181),"",$B181)</f>
        <v/>
      </c>
      <c r="DJ181" s="107" t="str">
        <f aca="false">IF(ISBLANK($C181),"",$C181)</f>
        <v/>
      </c>
      <c r="DK181" s="107" t="str">
        <f aca="false">IF(ISBLANK($C181),"",$D181)</f>
        <v/>
      </c>
      <c r="DL181" s="108" t="str">
        <f aca="false">$CZ181</f>
        <v/>
      </c>
      <c r="DM181" s="109" t="str">
        <f aca="false">$CY181</f>
        <v/>
      </c>
      <c r="DN181" s="107" t="str">
        <f aca="false">IF(ISBLANK($C181),"",$DB181)</f>
        <v/>
      </c>
      <c r="DO181" s="110" t="str">
        <f aca="false">IF($DF181&gt;$DE$8,"",VLOOKUP($DF181,$DH$9:$DN$508,7,FALSE()))</f>
        <v/>
      </c>
      <c r="DP181" s="111" t="str">
        <f aca="false">IF($DF181&gt;$DE$8,"",VLOOKUP($DF181,$DH$9:$DN$508,2,FALSE()))</f>
        <v/>
      </c>
      <c r="DQ181" s="111" t="str">
        <f aca="false">IF($DF181&gt;$DE$8,"",VLOOKUP($DF181,$DH$9:$DN$508,3,FALSE()))</f>
        <v/>
      </c>
      <c r="DR181" s="111" t="str">
        <f aca="false">IF($DF181&gt;$DE$8,"",VLOOKUP($DF181,$DH$9:$DN$508,4,FALSE()))</f>
        <v/>
      </c>
      <c r="DS181" s="111" t="str">
        <f aca="false">IF($DF181&gt;$DE$8,"",VLOOKUP($DF181,$DH$9:$DN$508,5,FALSE()))</f>
        <v/>
      </c>
      <c r="DT181" s="112" t="str">
        <f aca="false">IF($DF181&gt;$DE$8,"",VLOOKUP($DF181,$DH$9:$DN$508,6,FALSE()))</f>
        <v/>
      </c>
      <c r="DU181" s="62"/>
    </row>
    <row r="182" customFormat="false" ht="15.75" hidden="false" customHeight="false" outlineLevel="0" collapsed="false">
      <c r="A182" s="7"/>
      <c r="B182" s="90"/>
      <c r="C182" s="91"/>
      <c r="D182" s="126"/>
      <c r="E182" s="130"/>
      <c r="F182" s="135"/>
      <c r="G182" s="130"/>
      <c r="H182" s="135"/>
      <c r="I182" s="131"/>
      <c r="J182" s="131"/>
      <c r="K182" s="131"/>
      <c r="L182" s="130"/>
      <c r="M182" s="130"/>
      <c r="N182" s="130"/>
      <c r="O182" s="135"/>
      <c r="P182" s="130"/>
      <c r="Q182" s="130"/>
      <c r="R182" s="130"/>
      <c r="S182" s="130"/>
      <c r="T182" s="135"/>
      <c r="U182" s="130"/>
      <c r="V182" s="96"/>
      <c r="W182" s="130"/>
      <c r="X182" s="130"/>
      <c r="Y182" s="96"/>
      <c r="Z182" s="96"/>
      <c r="AA182" s="130"/>
      <c r="AB182" s="130"/>
      <c r="AC182" s="97"/>
      <c r="AD182" s="130"/>
      <c r="AE182" s="99"/>
      <c r="AF182" s="100"/>
      <c r="AG182" s="100"/>
      <c r="AH182" s="100" t="str">
        <f aca="false">IF(ISBLANK($C182),"",IF($E182=Constants!$B$2,TRUE(),IF($E182=Constants!$B$3,FALSE(),TRUE())))</f>
        <v/>
      </c>
      <c r="AI182" s="100" t="str">
        <f aca="false">IF(ISBLANK($C182),"",IF($F182=Constants!$B$2,TRUE(),IF($F182=Constants!$B$3,FALSE(),FALSE())))</f>
        <v/>
      </c>
      <c r="AJ182" s="100" t="str">
        <f aca="false">IF(ISBLANK($C182),"",IF($G182=Constants!$B$2,TRUE(),IF($G182=Constants!$B$3,FALSE(),TRUE())))</f>
        <v/>
      </c>
      <c r="AK182" s="100" t="str">
        <f aca="false">IF(ISBLANK($C182),"",IF($H182=Constants!$B$2,TRUE(),IF($H182=Constants!$B$3,FALSE(),TRUE())))</f>
        <v/>
      </c>
      <c r="AL182" s="100" t="str">
        <f aca="false">IF(ISBLANK($C182),"",IF(ISNUMBER($I182),IF($I182&gt;=0,$I182,""),""))</f>
        <v/>
      </c>
      <c r="AM182" s="100" t="str">
        <f aca="false">IF(ISBLANK($C182),"",IF(ISNUMBER($J182),IF($J182&gt;=0,$J182,""),""))</f>
        <v/>
      </c>
      <c r="AN182" s="100" t="str">
        <f aca="false">IF(ISBLANK($C182),"",IF(ISNUMBER($K182),IF($K182&gt;=0,$K182,""),""))</f>
        <v/>
      </c>
      <c r="AO182" s="100" t="str">
        <f aca="false">IF(ISBLANK($C182),"",IF($L182=Constants!$B$2,TRUE(),IF($L182=Constants!$B$3,FALSE(),TRUE())))</f>
        <v/>
      </c>
      <c r="AP182" s="100" t="str">
        <f aca="false">IF(ISBLANK($C182),"",IF($M182=Constants!$B$2,TRUE(),IF($M182=Constants!$B$3,FALSE(),TRUE())))</f>
        <v/>
      </c>
      <c r="AQ182" s="100" t="str">
        <f aca="false">IF(ISBLANK($C182),"",IF($N182=Constants!$B$2,TRUE(),IF($N182=Constants!$B$3,FALSE(),FALSE())))</f>
        <v/>
      </c>
      <c r="AR182" s="100" t="str">
        <f aca="false">IF(ISBLANK($C182),"",IF($O182=Constants!$B$2,TRUE(),IF($O182=Constants!$B$3,FALSE(),TRUE())))</f>
        <v/>
      </c>
      <c r="AS182" s="100" t="str">
        <f aca="false">IF(ISBLANK($C182),"",IF($P182=Constants!$B$2,TRUE(),IF($P182=Constants!$B$3,FALSE(),FALSE())))</f>
        <v/>
      </c>
      <c r="AT182" s="100" t="str">
        <f aca="false">IF(ISBLANK($C182),"",IF($Q182=Constants!$B$2,TRUE(),IF($Q182=Constants!$B$3,FALSE(),FALSE())))</f>
        <v/>
      </c>
      <c r="AU182" s="100" t="str">
        <f aca="false">IF(ISBLANK($C182),"",IF($R182=Constants!$B$2,TRUE(),IF($R182=Constants!$B$3,FALSE(),FALSE())))</f>
        <v/>
      </c>
      <c r="AV182" s="100" t="str">
        <f aca="false">IF(ISBLANK($C182),"",IF($S182=Constants!$B$2,TRUE(),IF($S182=Constants!$B$3,FALSE(),FALSE())))</f>
        <v/>
      </c>
      <c r="AW182" s="100" t="str">
        <f aca="false">IF(ISBLANK($C182),"",IF($T182=Constants!$B$2,TRUE(),IF($T182=Constants!$B$3,FALSE(),FALSE())))</f>
        <v/>
      </c>
      <c r="AX182" s="100" t="str">
        <f aca="false">IF(ISBLANK($C182),"",IF(OR($U182&amp;""="1",$U182&amp;""="2",$U182&amp;""="3",$U182&amp;""="4"),VALUE($U182&amp;""),IF($U182=Constants!$B$12,Constants!$B$12,"")))</f>
        <v/>
      </c>
      <c r="AY182" s="100" t="str">
        <f aca="false">IF(ISBLANK($C182),"",IF(ISBLANK($V182),0,IF(ISNUMBER($V182),IF(AND($V182&gt;=0,$V182&lt;=Constants!$B$21,$V182=INT($V182)),$V182,""),"")))</f>
        <v/>
      </c>
      <c r="AZ182" s="100" t="str">
        <f aca="false">IF(ISBLANK($C182),"",IF(ISBLANK($W182),0,IF(ISNUMBER($W182),IF($W182&gt;=0,$W182,""),"")))</f>
        <v/>
      </c>
      <c r="BA182" s="100" t="str">
        <f aca="false">IF(ISBLANK($C182),"",IF($X182=Constants!$B$2,TRUE(),IF($X182=Constants!$B$3,FALSE(),TRUE())))</f>
        <v/>
      </c>
      <c r="BB182" s="100" t="str">
        <f aca="false">IF(ISBLANK($C182),"",IF($Y182=Constants!$B$2,TRUE(),IF($Y182=Constants!$B$3,FALSE(),FALSE())))</f>
        <v/>
      </c>
      <c r="BC182" s="100" t="str">
        <f aca="false">IF(ISBLANK($C182),"",IF(ISBLANK($Z182),0,IF(ISNUMBER($Z182),IF(AND($Z182&gt;=0,$Z182&lt;=Constants!$B$35,$Z182=INT($Z182)),$Z182,""),"")))</f>
        <v/>
      </c>
      <c r="BD182" s="100" t="str">
        <f aca="false">IF(ISBLANK($C182),"",IF($AA182=Constants!$B$2,TRUE(),IF($AA182=Constants!$B$3,FALSE(),TRUE())))</f>
        <v/>
      </c>
      <c r="BE182" s="100" t="str">
        <f aca="false">IF(ISBLANK($C182),"",IF($AB182=Constants!$B$2,TRUE(),IF($AB182=Constants!$B$3,FALSE(),TRUE())))</f>
        <v/>
      </c>
      <c r="BF182" s="100" t="str">
        <f aca="false">IF(ISBLANK($C182),"",IF(ISNUMBER($AC182),IF($AC182&gt;=0,$AC182,""),""))</f>
        <v/>
      </c>
      <c r="BG182" s="100" t="str">
        <f aca="false">IF(ISBLANK($C182),"",IF($AD182=Constants!$B$2,TRUE(),IF($AD182=Constants!$B$3,FALSE(),FALSE())))</f>
        <v/>
      </c>
      <c r="BH182" s="99" t="str">
        <f aca="false">IF(ISBLANK($C182),"",IF($BG182,Constants!$B$7,IF(COUNTA($E182:$AC182)=0,Constants!$B$6,IF(OR(COUNTA($G182:$AC182)=0,NOT($AK182),$AQ182),Constants!$B$5,IF(OR($CI182&lt;&gt;"",$CJ182,$CK182,$CL182,$CM182,$CN182,$CO182),Constants!$B$8,Constants!$B$4)))))</f>
        <v/>
      </c>
      <c r="BI182" s="100" t="str">
        <f aca="false">IF(ISBLANK($C182),"",IF($BH182&lt;&gt;Constants!$B$4,$BH182,IF(OR(NOT($AH182),NOT($AJ182),NOT($AR182)),Constants!$B$11,IF(OR(NOT($AP182),MAX($AL182,$AM182,$AN182)&gt;Constants!$B$30),Constants!$B$10,Constants!$B$9))))</f>
        <v/>
      </c>
      <c r="BJ182" s="100" t="str">
        <f aca="false">IF($BH182&lt;&gt;Constants!$B$4,"",IF(NOT($AJ182),0,MIN(Constants!$B$35,$BC182)))</f>
        <v/>
      </c>
      <c r="BK182" s="100" t="str">
        <f aca="false">IF($BH182&lt;&gt;Constants!$B$4,"",IF(NOT($AJ182),0,IF($AT182,Constants!$B$18,IF($AS182,Constants!$B$17,0))))</f>
        <v/>
      </c>
      <c r="BL182" s="100" t="str">
        <f aca="false">IF($BH182&lt;&gt;Constants!$B$4,"",IF(NOT($AJ182),0,Constants!$B$19*($AI182+$AU182+$AV182+$AW182)))</f>
        <v/>
      </c>
      <c r="BM182" s="100" t="str">
        <f aca="false">IF($BH182&lt;&gt;Constants!$B$4,"",IF(OR(NOT($AJ182),NOT(ISNUMBER($AX182))),0,CHOOSE($AX182,Constants!$B$13,Constants!$B$14,Constants!$B$15,Constants!$B$16)))</f>
        <v/>
      </c>
      <c r="BN182" s="100" t="str">
        <f aca="false">IF($BH182&lt;&gt;Constants!$B$4,"",IF(NOT($AJ182),0,Constants!$B$20*$AY182))</f>
        <v/>
      </c>
      <c r="BO182" s="100" t="str">
        <f aca="false">IF($BH182&lt;&gt;Constants!$B$4,"",IF(AND($AJ182,$BA182,$BB182),Constants!$B$22,0))</f>
        <v/>
      </c>
      <c r="BP182" s="100" t="str">
        <f aca="false">IF($BH182&lt;&gt;Constants!$B$4,"",IF(OR(NOT($AJ182),NOT($BA182)),0,IF($BF182&gt;=2*$AF$9,0,Constants!$B$23*INT(ROUND(MIN($BF182,$AF$9),6)))))</f>
        <v/>
      </c>
      <c r="BQ182" s="100" t="str">
        <f aca="false">IF($BH182&lt;&gt;Constants!$B$4,"",IF(NOT($AJ182),0,Constants!$B$24*INT(ROUND(MIN($AZ182,$AF$9),6))))</f>
        <v/>
      </c>
      <c r="BR182" s="100" t="str">
        <f aca="false">IF($BH182&lt;&gt;Constants!$B$4,"",IF(AND($AJ182,$BJ182=0),Constants!$B$25,0))</f>
        <v/>
      </c>
      <c r="BS182" s="100" t="str">
        <f aca="false">IF($BH182&lt;&gt;Constants!$B$4,"",MIN(Constants!$B$29,MAX(0,Constants!$B$27*Constants!$B$28*INT(ROUND((Constants!$B$26-$AL182)/Constants!$B$28,6))))+MIN(Constants!$B$29,MAX(0,Constants!$B$27*Constants!$B$28*INT(ROUND((Constants!$B$26-$AM182)/Constants!$B$28,6))))+MIN(Constants!$B$29,MAX(0,Constants!$B$27*Constants!$B$28*INT(ROUND((Constants!$B$26-$AN182)/Constants!$B$28,6)))))</f>
        <v/>
      </c>
      <c r="BT182" s="100" t="str">
        <f aca="false">IF($BH182&lt;&gt;Constants!$B$4,"",IF(NOT($AJ182),0,Constants!$B$31*INT(ROUND(MAX(0,MIN($BF182,2*$AF$9)-$AF$9),6))))</f>
        <v/>
      </c>
      <c r="BU182" s="100" t="str">
        <f aca="false">IF($BH182&lt;&gt;Constants!$B$4,"",Constants!$B$32*(($AL182&gt;Constants!$B$26)+($AM182&gt;Constants!$B$26)+($AN182&gt;Constants!$B$26)))</f>
        <v/>
      </c>
      <c r="BV182" s="100" t="str">
        <f aca="false">IF($BH182&lt;&gt;Constants!$B$4,"",IF(OR(NOT($AJ182),$AO182),0,Constants!$B$33))</f>
        <v/>
      </c>
      <c r="BW182" s="100" t="str">
        <f aca="false">IF($BH182&lt;&gt;Constants!$B$4,"",Constants!$B$34*$BJ182)</f>
        <v/>
      </c>
      <c r="BX182" s="100" t="str">
        <f aca="false">IF($BH182&lt;&gt;Constants!$B$4,"",IF(OR(NOT($AJ182),$BE182),0,Constants!$B$36))</f>
        <v/>
      </c>
      <c r="BY182" s="100" t="str">
        <f aca="false">IF($BH182&lt;&gt;Constants!$B$4,"",IF(OR(NOT($AJ182),$BD182),0,Constants!$B$37))</f>
        <v/>
      </c>
      <c r="BZ182" s="100" t="str">
        <f aca="false">IF($BH182&lt;&gt;Constants!$B$4,"",SUM($BT182:$BY182))</f>
        <v/>
      </c>
      <c r="CA182" s="100" t="str">
        <f aca="false">IF(ISBLANK($C182),"",IF($BH182&lt;&gt;Constants!$B$4,$BH182,SUM($BK182:$BS182)-$BZ182))</f>
        <v/>
      </c>
      <c r="CB182" s="100" t="str">
        <f aca="false">IF(ISBLANK($C182),"",IF($BH182&lt;&gt;Constants!$B$4,$BH182,RANK($CA182,$CA$9:$CA$508)))</f>
        <v/>
      </c>
      <c r="CC182" s="100" t="str">
        <f aca="false">IF(ISBLANK($C182),"",IF($BH182&lt;&gt;Constants!$B$4,$BH182,COUNTIFS($BI$9:$BI$508,"&lt;"&amp;$BI182)+COUNTIFS($BI$9:$BI$508,$BI182,$CB$9:$CB$508,"&lt;"&amp;$CB182)+1))</f>
        <v/>
      </c>
      <c r="CD182" s="100" t="str">
        <f aca="false">IF(ISBLANK($C182),"",IF($BH182&lt;&gt;Constants!$B$4,$BH182,RANK($BZ182,$BZ$9:$BZ$508,1)))</f>
        <v/>
      </c>
      <c r="CE182" s="100" t="str">
        <f aca="false">IF($BH182&lt;&gt;Constants!$B$4,"",$AL182+$AM182+$AN182)</f>
        <v/>
      </c>
      <c r="CF182" s="100" t="str">
        <f aca="false">IF(ISBLANK($C182),"",IF($BH182&lt;&gt;Constants!$B$4,$BH182,RANK($CE182,$CE$9:$CE$508,1)))</f>
        <v/>
      </c>
      <c r="CG182" s="100" t="str">
        <f aca="false">IF(ISBLANK($C182),"",IF($BH182&lt;&gt;Constants!$B$4,$BH182,COUNTIFS($BI$9:$BI$508,"&lt;"&amp;$BI182)+COUNTIFS($BI$9:$BI$508,$BI182,$CB$9:$CB$508,"&lt;"&amp;$CB182)+COUNTIFS($BI$9:$BI$508,$BI182,$CB$9:$CB$508,$CB182,$CD$9:$CD$508,"&lt;"&amp;$CD182)+COUNTIFS($BI$9:$BI$508,$BI182,$CB$9:$CB$508,$CB182,$CD$9:$CD$508,$CD182,$CF$9:$CF$508,"&lt;"&amp;$CF182)+1))</f>
        <v/>
      </c>
      <c r="CH182" s="100" t="str">
        <f aca="false">IF(ISBLANK($C182),"",IF($BH182&lt;&gt;Constants!$B$4,$BH182,$CC182-$CG182))</f>
        <v/>
      </c>
      <c r="CI182" s="100" t="str">
        <f aca="false">IF(ISBLANK($C182),"",IF(NOT($AJ182),"",IF(ISBLANK($D$7),$CI$5,IF(NOT(ISNUMBER($D$7)),$CI$6,""))))</f>
        <v/>
      </c>
      <c r="CJ182" s="100" t="str">
        <f aca="false">IF(ISBLANK($C182),"",OR($AL182="",$AM182="",$AN182=""))</f>
        <v/>
      </c>
      <c r="CK182" s="100" t="str">
        <f aca="false">IF(ISBLANK($C182),"",AND($AJ182,$AX182=""))</f>
        <v/>
      </c>
      <c r="CL182" s="100" t="str">
        <f aca="false">IF(ISBLANK($C182),"",AND($AJ182,$AY182=""))</f>
        <v/>
      </c>
      <c r="CM182" s="100" t="str">
        <f aca="false">IF(ISBLANK($C182),"",AND($AJ182,$AZ182=""))</f>
        <v/>
      </c>
      <c r="CN182" s="100" t="str">
        <f aca="false">IF(ISBLANK($C182),"",AND($AJ182,$BC182=""))</f>
        <v/>
      </c>
      <c r="CO182" s="100" t="str">
        <f aca="false">IF(ISBLANK($C182),"",AND($AJ182,$BF182=""))</f>
        <v/>
      </c>
      <c r="CP182" s="101"/>
      <c r="CQ182" s="102"/>
      <c r="CR182" s="103" t="str">
        <f aca="false">IF(ISBLANK($C182),"",IF($BH182=Constants!$B$8,$CI182,""))</f>
        <v/>
      </c>
      <c r="CS182" s="102" t="str">
        <f aca="false">IF(ISBLANK($C182),"",IF($BH182&lt;&gt;Constants!$B$4,"",$BK182+$BL182))</f>
        <v/>
      </c>
      <c r="CT182" s="104" t="str">
        <f aca="false">IF(ISBLANK($C182),"",IF($BH182&lt;&gt;Constants!$B$4,"",$BM182+$BN182+$BO182))</f>
        <v/>
      </c>
      <c r="CU182" s="104" t="str">
        <f aca="false">IF(ISBLANK($C182),"",IF($BH182&lt;&gt;Constants!$B$4,"",$BP182))</f>
        <v/>
      </c>
      <c r="CV182" s="104" t="str">
        <f aca="false">IF(ISBLANK($C182),"",IF($BH182&lt;&gt;Constants!$B$4,"",$BQ182+$BR182))</f>
        <v/>
      </c>
      <c r="CW182" s="104" t="str">
        <f aca="false">IF(ISBLANK($C182),"",IF($BH182&lt;&gt;Constants!$B$4,"",$BS182))</f>
        <v/>
      </c>
      <c r="CX182" s="104" t="str">
        <f aca="false">IF(ISBLANK($C182),"",IF($BH182&lt;&gt;Constants!$B$4,"",-$BZ182))</f>
        <v/>
      </c>
      <c r="CY182" s="103" t="str">
        <f aca="false">IF(ISBLANK($C182),"",$CA182)</f>
        <v/>
      </c>
      <c r="CZ182" s="105" t="str">
        <f aca="false">IF(ISBLANK($C182),"",$BI182)</f>
        <v/>
      </c>
      <c r="DA182" s="104" t="str">
        <f aca="false">IF(ISBLANK($C182),"",$CH182)</f>
        <v/>
      </c>
      <c r="DB182" s="104" t="str">
        <f aca="false">IF(ISBLANK($C182),"",$CG182)</f>
        <v/>
      </c>
      <c r="DC182" s="106" t="str">
        <f aca="false">IF(ISBLANK($C182),"",IFERROR(_xlfn.SWITCH($DB182,Constants!$B$7,COUNTA($C$9:$C$508)+2,Constants!$B$6,COUNTA($C$9:$C$508)+1,Constants!$B$5,COUNTA($C$9:$C$508)),$DB182))</f>
        <v/>
      </c>
      <c r="DD182" s="7"/>
      <c r="DE182" s="107" t="n">
        <f aca="false">IF(OR(ISNUMBER($DB182),$DB182=Constants!$B$7,$DB182=Constants!$B$5,$DB182=Constants!$B$6),1,0)</f>
        <v>0</v>
      </c>
      <c r="DF182" s="107" t="n">
        <v>174</v>
      </c>
      <c r="DG182" s="107" t="str">
        <f aca="false">IF(ISBLANK($C182),"",IF(ISNUMBER($DC182),$DC182+ROW($B182)/1000,""))</f>
        <v/>
      </c>
      <c r="DH182" s="107" t="str">
        <f aca="false">IF(ISNUMBER($DG182),RANK($DG182,$DG$9:$DG$508,1),"")</f>
        <v/>
      </c>
      <c r="DI182" s="107" t="str">
        <f aca="false">IF(ISBLANK($C182),"",$B182)</f>
        <v/>
      </c>
      <c r="DJ182" s="107" t="str">
        <f aca="false">IF(ISBLANK($C182),"",$C182)</f>
        <v/>
      </c>
      <c r="DK182" s="107" t="str">
        <f aca="false">IF(ISBLANK($C182),"",$D182)</f>
        <v/>
      </c>
      <c r="DL182" s="108" t="str">
        <f aca="false">$CZ182</f>
        <v/>
      </c>
      <c r="DM182" s="109" t="str">
        <f aca="false">$CY182</f>
        <v/>
      </c>
      <c r="DN182" s="107" t="str">
        <f aca="false">IF(ISBLANK($C182),"",$DB182)</f>
        <v/>
      </c>
      <c r="DO182" s="110" t="str">
        <f aca="false">IF($DF182&gt;$DE$8,"",VLOOKUP($DF182,$DH$9:$DN$508,7,FALSE()))</f>
        <v/>
      </c>
      <c r="DP182" s="111" t="str">
        <f aca="false">IF($DF182&gt;$DE$8,"",VLOOKUP($DF182,$DH$9:$DN$508,2,FALSE()))</f>
        <v/>
      </c>
      <c r="DQ182" s="111" t="str">
        <f aca="false">IF($DF182&gt;$DE$8,"",VLOOKUP($DF182,$DH$9:$DN$508,3,FALSE()))</f>
        <v/>
      </c>
      <c r="DR182" s="111" t="str">
        <f aca="false">IF($DF182&gt;$DE$8,"",VLOOKUP($DF182,$DH$9:$DN$508,4,FALSE()))</f>
        <v/>
      </c>
      <c r="DS182" s="111" t="str">
        <f aca="false">IF($DF182&gt;$DE$8,"",VLOOKUP($DF182,$DH$9:$DN$508,5,FALSE()))</f>
        <v/>
      </c>
      <c r="DT182" s="112" t="str">
        <f aca="false">IF($DF182&gt;$DE$8,"",VLOOKUP($DF182,$DH$9:$DN$508,6,FALSE()))</f>
        <v/>
      </c>
      <c r="DU182" s="62"/>
    </row>
    <row r="183" customFormat="false" ht="15.75" hidden="false" customHeight="false" outlineLevel="0" collapsed="false">
      <c r="A183" s="7"/>
      <c r="B183" s="64"/>
      <c r="C183" s="65"/>
      <c r="D183" s="123"/>
      <c r="E183" s="88"/>
      <c r="F183" s="134"/>
      <c r="G183" s="88"/>
      <c r="H183" s="134"/>
      <c r="I183" s="119"/>
      <c r="J183" s="119"/>
      <c r="K183" s="119"/>
      <c r="L183" s="88"/>
      <c r="M183" s="88"/>
      <c r="N183" s="88"/>
      <c r="O183" s="134"/>
      <c r="P183" s="88"/>
      <c r="Q183" s="88"/>
      <c r="R183" s="88"/>
      <c r="S183" s="88"/>
      <c r="T183" s="134"/>
      <c r="U183" s="88"/>
      <c r="V183" s="70"/>
      <c r="W183" s="88"/>
      <c r="X183" s="88"/>
      <c r="Y183" s="70"/>
      <c r="Z183" s="70"/>
      <c r="AA183" s="88"/>
      <c r="AB183" s="88"/>
      <c r="AC183" s="71"/>
      <c r="AD183" s="88"/>
      <c r="AE183" s="73"/>
      <c r="AF183" s="74"/>
      <c r="AG183" s="74"/>
      <c r="AH183" s="74" t="str">
        <f aca="false">IF(ISBLANK($C183),"",IF($E183=Constants!$B$2,TRUE(),IF($E183=Constants!$B$3,FALSE(),TRUE())))</f>
        <v/>
      </c>
      <c r="AI183" s="74" t="str">
        <f aca="false">IF(ISBLANK($C183),"",IF($F183=Constants!$B$2,TRUE(),IF($F183=Constants!$B$3,FALSE(),FALSE())))</f>
        <v/>
      </c>
      <c r="AJ183" s="74" t="str">
        <f aca="false">IF(ISBLANK($C183),"",IF($G183=Constants!$B$2,TRUE(),IF($G183=Constants!$B$3,FALSE(),TRUE())))</f>
        <v/>
      </c>
      <c r="AK183" s="74" t="str">
        <f aca="false">IF(ISBLANK($C183),"",IF($H183=Constants!$B$2,TRUE(),IF($H183=Constants!$B$3,FALSE(),TRUE())))</f>
        <v/>
      </c>
      <c r="AL183" s="74" t="str">
        <f aca="false">IF(ISBLANK($C183),"",IF(ISNUMBER($I183),IF($I183&gt;=0,$I183,""),""))</f>
        <v/>
      </c>
      <c r="AM183" s="74" t="str">
        <f aca="false">IF(ISBLANK($C183),"",IF(ISNUMBER($J183),IF($J183&gt;=0,$J183,""),""))</f>
        <v/>
      </c>
      <c r="AN183" s="74" t="str">
        <f aca="false">IF(ISBLANK($C183),"",IF(ISNUMBER($K183),IF($K183&gt;=0,$K183,""),""))</f>
        <v/>
      </c>
      <c r="AO183" s="74" t="str">
        <f aca="false">IF(ISBLANK($C183),"",IF($L183=Constants!$B$2,TRUE(),IF($L183=Constants!$B$3,FALSE(),TRUE())))</f>
        <v/>
      </c>
      <c r="AP183" s="74" t="str">
        <f aca="false">IF(ISBLANK($C183),"",IF($M183=Constants!$B$2,TRUE(),IF($M183=Constants!$B$3,FALSE(),TRUE())))</f>
        <v/>
      </c>
      <c r="AQ183" s="74" t="str">
        <f aca="false">IF(ISBLANK($C183),"",IF($N183=Constants!$B$2,TRUE(),IF($N183=Constants!$B$3,FALSE(),FALSE())))</f>
        <v/>
      </c>
      <c r="AR183" s="74" t="str">
        <f aca="false">IF(ISBLANK($C183),"",IF($O183=Constants!$B$2,TRUE(),IF($O183=Constants!$B$3,FALSE(),TRUE())))</f>
        <v/>
      </c>
      <c r="AS183" s="74" t="str">
        <f aca="false">IF(ISBLANK($C183),"",IF($P183=Constants!$B$2,TRUE(),IF($P183=Constants!$B$3,FALSE(),FALSE())))</f>
        <v/>
      </c>
      <c r="AT183" s="74" t="str">
        <f aca="false">IF(ISBLANK($C183),"",IF($Q183=Constants!$B$2,TRUE(),IF($Q183=Constants!$B$3,FALSE(),FALSE())))</f>
        <v/>
      </c>
      <c r="AU183" s="74" t="str">
        <f aca="false">IF(ISBLANK($C183),"",IF($R183=Constants!$B$2,TRUE(),IF($R183=Constants!$B$3,FALSE(),FALSE())))</f>
        <v/>
      </c>
      <c r="AV183" s="74" t="str">
        <f aca="false">IF(ISBLANK($C183),"",IF($S183=Constants!$B$2,TRUE(),IF($S183=Constants!$B$3,FALSE(),FALSE())))</f>
        <v/>
      </c>
      <c r="AW183" s="74" t="str">
        <f aca="false">IF(ISBLANK($C183),"",IF($T183=Constants!$B$2,TRUE(),IF($T183=Constants!$B$3,FALSE(),FALSE())))</f>
        <v/>
      </c>
      <c r="AX183" s="74" t="str">
        <f aca="false">IF(ISBLANK($C183),"",IF(OR($U183&amp;""="1",$U183&amp;""="2",$U183&amp;""="3",$U183&amp;""="4"),VALUE($U183&amp;""),IF($U183=Constants!$B$12,Constants!$B$12,"")))</f>
        <v/>
      </c>
      <c r="AY183" s="74" t="str">
        <f aca="false">IF(ISBLANK($C183),"",IF(ISBLANK($V183),0,IF(ISNUMBER($V183),IF(AND($V183&gt;=0,$V183&lt;=Constants!$B$21,$V183=INT($V183)),$V183,""),"")))</f>
        <v/>
      </c>
      <c r="AZ183" s="74" t="str">
        <f aca="false">IF(ISBLANK($C183),"",IF(ISBLANK($W183),0,IF(ISNUMBER($W183),IF($W183&gt;=0,$W183,""),"")))</f>
        <v/>
      </c>
      <c r="BA183" s="74" t="str">
        <f aca="false">IF(ISBLANK($C183),"",IF($X183=Constants!$B$2,TRUE(),IF($X183=Constants!$B$3,FALSE(),TRUE())))</f>
        <v/>
      </c>
      <c r="BB183" s="74" t="str">
        <f aca="false">IF(ISBLANK($C183),"",IF($Y183=Constants!$B$2,TRUE(),IF($Y183=Constants!$B$3,FALSE(),FALSE())))</f>
        <v/>
      </c>
      <c r="BC183" s="74" t="str">
        <f aca="false">IF(ISBLANK($C183),"",IF(ISBLANK($Z183),0,IF(ISNUMBER($Z183),IF(AND($Z183&gt;=0,$Z183&lt;=Constants!$B$35,$Z183=INT($Z183)),$Z183,""),"")))</f>
        <v/>
      </c>
      <c r="BD183" s="74" t="str">
        <f aca="false">IF(ISBLANK($C183),"",IF($AA183=Constants!$B$2,TRUE(),IF($AA183=Constants!$B$3,FALSE(),TRUE())))</f>
        <v/>
      </c>
      <c r="BE183" s="74" t="str">
        <f aca="false">IF(ISBLANK($C183),"",IF($AB183=Constants!$B$2,TRUE(),IF($AB183=Constants!$B$3,FALSE(),TRUE())))</f>
        <v/>
      </c>
      <c r="BF183" s="74" t="str">
        <f aca="false">IF(ISBLANK($C183),"",IF(ISNUMBER($AC183),IF($AC183&gt;=0,$AC183,""),""))</f>
        <v/>
      </c>
      <c r="BG183" s="74" t="str">
        <f aca="false">IF(ISBLANK($C183),"",IF($AD183=Constants!$B$2,TRUE(),IF($AD183=Constants!$B$3,FALSE(),FALSE())))</f>
        <v/>
      </c>
      <c r="BH183" s="73" t="str">
        <f aca="false">IF(ISBLANK($C183),"",IF($BG183,Constants!$B$7,IF(COUNTA($E183:$AC183)=0,Constants!$B$6,IF(OR(COUNTA($G183:$AC183)=0,NOT($AK183),$AQ183),Constants!$B$5,IF(OR($CI183&lt;&gt;"",$CJ183,$CK183,$CL183,$CM183,$CN183,$CO183),Constants!$B$8,Constants!$B$4)))))</f>
        <v/>
      </c>
      <c r="BI183" s="74" t="str">
        <f aca="false">IF(ISBLANK($C183),"",IF($BH183&lt;&gt;Constants!$B$4,$BH183,IF(OR(NOT($AH183),NOT($AJ183),NOT($AR183)),Constants!$B$11,IF(OR(NOT($AP183),MAX($AL183,$AM183,$AN183)&gt;Constants!$B$30),Constants!$B$10,Constants!$B$9))))</f>
        <v/>
      </c>
      <c r="BJ183" s="74" t="str">
        <f aca="false">IF($BH183&lt;&gt;Constants!$B$4,"",IF(NOT($AJ183),0,MIN(Constants!$B$35,$BC183)))</f>
        <v/>
      </c>
      <c r="BK183" s="74" t="str">
        <f aca="false">IF($BH183&lt;&gt;Constants!$B$4,"",IF(NOT($AJ183),0,IF($AT183,Constants!$B$18,IF($AS183,Constants!$B$17,0))))</f>
        <v/>
      </c>
      <c r="BL183" s="74" t="str">
        <f aca="false">IF($BH183&lt;&gt;Constants!$B$4,"",IF(NOT($AJ183),0,Constants!$B$19*($AI183+$AU183+$AV183+$AW183)))</f>
        <v/>
      </c>
      <c r="BM183" s="74" t="str">
        <f aca="false">IF($BH183&lt;&gt;Constants!$B$4,"",IF(OR(NOT($AJ183),NOT(ISNUMBER($AX183))),0,CHOOSE($AX183,Constants!$B$13,Constants!$B$14,Constants!$B$15,Constants!$B$16)))</f>
        <v/>
      </c>
      <c r="BN183" s="74" t="str">
        <f aca="false">IF($BH183&lt;&gt;Constants!$B$4,"",IF(NOT($AJ183),0,Constants!$B$20*$AY183))</f>
        <v/>
      </c>
      <c r="BO183" s="74" t="str">
        <f aca="false">IF($BH183&lt;&gt;Constants!$B$4,"",IF(AND($AJ183,$BA183,$BB183),Constants!$B$22,0))</f>
        <v/>
      </c>
      <c r="BP183" s="74" t="str">
        <f aca="false">IF($BH183&lt;&gt;Constants!$B$4,"",IF(OR(NOT($AJ183),NOT($BA183)),0,IF($BF183&gt;=2*$AF$9,0,Constants!$B$23*INT(ROUND(MIN($BF183,$AF$9),6)))))</f>
        <v/>
      </c>
      <c r="BQ183" s="74" t="str">
        <f aca="false">IF($BH183&lt;&gt;Constants!$B$4,"",IF(NOT($AJ183),0,Constants!$B$24*INT(ROUND(MIN($AZ183,$AF$9),6))))</f>
        <v/>
      </c>
      <c r="BR183" s="74" t="str">
        <f aca="false">IF($BH183&lt;&gt;Constants!$B$4,"",IF(AND($AJ183,$BJ183=0),Constants!$B$25,0))</f>
        <v/>
      </c>
      <c r="BS183" s="74" t="str">
        <f aca="false">IF($BH183&lt;&gt;Constants!$B$4,"",MIN(Constants!$B$29,MAX(0,Constants!$B$27*Constants!$B$28*INT(ROUND((Constants!$B$26-$AL183)/Constants!$B$28,6))))+MIN(Constants!$B$29,MAX(0,Constants!$B$27*Constants!$B$28*INT(ROUND((Constants!$B$26-$AM183)/Constants!$B$28,6))))+MIN(Constants!$B$29,MAX(0,Constants!$B$27*Constants!$B$28*INT(ROUND((Constants!$B$26-$AN183)/Constants!$B$28,6)))))</f>
        <v/>
      </c>
      <c r="BT183" s="74" t="str">
        <f aca="false">IF($BH183&lt;&gt;Constants!$B$4,"",IF(NOT($AJ183),0,Constants!$B$31*INT(ROUND(MAX(0,MIN($BF183,2*$AF$9)-$AF$9),6))))</f>
        <v/>
      </c>
      <c r="BU183" s="74" t="str">
        <f aca="false">IF($BH183&lt;&gt;Constants!$B$4,"",Constants!$B$32*(($AL183&gt;Constants!$B$26)+($AM183&gt;Constants!$B$26)+($AN183&gt;Constants!$B$26)))</f>
        <v/>
      </c>
      <c r="BV183" s="74" t="str">
        <f aca="false">IF($BH183&lt;&gt;Constants!$B$4,"",IF(OR(NOT($AJ183),$AO183),0,Constants!$B$33))</f>
        <v/>
      </c>
      <c r="BW183" s="74" t="str">
        <f aca="false">IF($BH183&lt;&gt;Constants!$B$4,"",Constants!$B$34*$BJ183)</f>
        <v/>
      </c>
      <c r="BX183" s="74" t="str">
        <f aca="false">IF($BH183&lt;&gt;Constants!$B$4,"",IF(OR(NOT($AJ183),$BE183),0,Constants!$B$36))</f>
        <v/>
      </c>
      <c r="BY183" s="74" t="str">
        <f aca="false">IF($BH183&lt;&gt;Constants!$B$4,"",IF(OR(NOT($AJ183),$BD183),0,Constants!$B$37))</f>
        <v/>
      </c>
      <c r="BZ183" s="74" t="str">
        <f aca="false">IF($BH183&lt;&gt;Constants!$B$4,"",SUM($BT183:$BY183))</f>
        <v/>
      </c>
      <c r="CA183" s="74" t="str">
        <f aca="false">IF(ISBLANK($C183),"",IF($BH183&lt;&gt;Constants!$B$4,$BH183,SUM($BK183:$BS183)-$BZ183))</f>
        <v/>
      </c>
      <c r="CB183" s="74" t="str">
        <f aca="false">IF(ISBLANK($C183),"",IF($BH183&lt;&gt;Constants!$B$4,$BH183,RANK($CA183,$CA$9:$CA$508)))</f>
        <v/>
      </c>
      <c r="CC183" s="74" t="str">
        <f aca="false">IF(ISBLANK($C183),"",IF($BH183&lt;&gt;Constants!$B$4,$BH183,COUNTIFS($BI$9:$BI$508,"&lt;"&amp;$BI183)+COUNTIFS($BI$9:$BI$508,$BI183,$CB$9:$CB$508,"&lt;"&amp;$CB183)+1))</f>
        <v/>
      </c>
      <c r="CD183" s="74" t="str">
        <f aca="false">IF(ISBLANK($C183),"",IF($BH183&lt;&gt;Constants!$B$4,$BH183,RANK($BZ183,$BZ$9:$BZ$508,1)))</f>
        <v/>
      </c>
      <c r="CE183" s="74" t="str">
        <f aca="false">IF($BH183&lt;&gt;Constants!$B$4,"",$AL183+$AM183+$AN183)</f>
        <v/>
      </c>
      <c r="CF183" s="74" t="str">
        <f aca="false">IF(ISBLANK($C183),"",IF($BH183&lt;&gt;Constants!$B$4,$BH183,RANK($CE183,$CE$9:$CE$508,1)))</f>
        <v/>
      </c>
      <c r="CG183" s="74" t="str">
        <f aca="false">IF(ISBLANK($C183),"",IF($BH183&lt;&gt;Constants!$B$4,$BH183,COUNTIFS($BI$9:$BI$508,"&lt;"&amp;$BI183)+COUNTIFS($BI$9:$BI$508,$BI183,$CB$9:$CB$508,"&lt;"&amp;$CB183)+COUNTIFS($BI$9:$BI$508,$BI183,$CB$9:$CB$508,$CB183,$CD$9:$CD$508,"&lt;"&amp;$CD183)+COUNTIFS($BI$9:$BI$508,$BI183,$CB$9:$CB$508,$CB183,$CD$9:$CD$508,$CD183,$CF$9:$CF$508,"&lt;"&amp;$CF183)+1))</f>
        <v/>
      </c>
      <c r="CH183" s="74" t="str">
        <f aca="false">IF(ISBLANK($C183),"",IF($BH183&lt;&gt;Constants!$B$4,$BH183,$CC183-$CG183))</f>
        <v/>
      </c>
      <c r="CI183" s="74" t="str">
        <f aca="false">IF(ISBLANK($C183),"",IF(NOT($AJ183),"",IF(ISBLANK($D$7),$CI$5,IF(NOT(ISNUMBER($D$7)),$CI$6,""))))</f>
        <v/>
      </c>
      <c r="CJ183" s="74" t="str">
        <f aca="false">IF(ISBLANK($C183),"",OR($AL183="",$AM183="",$AN183=""))</f>
        <v/>
      </c>
      <c r="CK183" s="74" t="str">
        <f aca="false">IF(ISBLANK($C183),"",AND($AJ183,$AX183=""))</f>
        <v/>
      </c>
      <c r="CL183" s="74" t="str">
        <f aca="false">IF(ISBLANK($C183),"",AND($AJ183,$AY183=""))</f>
        <v/>
      </c>
      <c r="CM183" s="74" t="str">
        <f aca="false">IF(ISBLANK($C183),"",AND($AJ183,$AZ183=""))</f>
        <v/>
      </c>
      <c r="CN183" s="74" t="str">
        <f aca="false">IF(ISBLANK($C183),"",AND($AJ183,$BC183=""))</f>
        <v/>
      </c>
      <c r="CO183" s="74" t="str">
        <f aca="false">IF(ISBLANK($C183),"",AND($AJ183,$BF183=""))</f>
        <v/>
      </c>
      <c r="CP183" s="75"/>
      <c r="CQ183" s="76"/>
      <c r="CR183" s="79" t="str">
        <f aca="false">IF(ISBLANK($C183),"",IF($BH183=Constants!$B$8,$CI183,""))</f>
        <v/>
      </c>
      <c r="CS183" s="76" t="str">
        <f aca="false">IF(ISBLANK($C183),"",IF($BH183&lt;&gt;Constants!$B$4,"",$BK183+$BL183))</f>
        <v/>
      </c>
      <c r="CT183" s="78" t="str">
        <f aca="false">IF(ISBLANK($C183),"",IF($BH183&lt;&gt;Constants!$B$4,"",$BM183+$BN183+$BO183))</f>
        <v/>
      </c>
      <c r="CU183" s="78" t="str">
        <f aca="false">IF(ISBLANK($C183),"",IF($BH183&lt;&gt;Constants!$B$4,"",$BP183))</f>
        <v/>
      </c>
      <c r="CV183" s="78" t="str">
        <f aca="false">IF(ISBLANK($C183),"",IF($BH183&lt;&gt;Constants!$B$4,"",$BQ183+$BR183))</f>
        <v/>
      </c>
      <c r="CW183" s="78" t="str">
        <f aca="false">IF(ISBLANK($C183),"",IF($BH183&lt;&gt;Constants!$B$4,"",$BS183))</f>
        <v/>
      </c>
      <c r="CX183" s="78" t="str">
        <f aca="false">IF(ISBLANK($C183),"",IF($BH183&lt;&gt;Constants!$B$4,"",-$BZ183))</f>
        <v/>
      </c>
      <c r="CY183" s="79" t="str">
        <f aca="false">IF(ISBLANK($C183),"",$CA183)</f>
        <v/>
      </c>
      <c r="CZ183" s="80" t="str">
        <f aca="false">IF(ISBLANK($C183),"",$BI183)</f>
        <v/>
      </c>
      <c r="DA183" s="78" t="str">
        <f aca="false">IF(ISBLANK($C183),"",$CH183)</f>
        <v/>
      </c>
      <c r="DB183" s="78" t="str">
        <f aca="false">IF(ISBLANK($C183),"",$CG183)</f>
        <v/>
      </c>
      <c r="DC183" s="81" t="str">
        <f aca="false">IF(ISBLANK($C183),"",IFERROR(_xlfn.SWITCH($DB183,Constants!$B$7,COUNTA($C$9:$C$508)+2,Constants!$B$6,COUNTA($C$9:$C$508)+1,Constants!$B$5,COUNTA($C$9:$C$508)),$DB183))</f>
        <v/>
      </c>
      <c r="DD183" s="7"/>
      <c r="DE183" s="82" t="n">
        <f aca="false">IF(OR(ISNUMBER($DB183),$DB183=Constants!$B$7,$DB183=Constants!$B$5,$DB183=Constants!$B$6),1,0)</f>
        <v>0</v>
      </c>
      <c r="DF183" s="82" t="n">
        <v>175</v>
      </c>
      <c r="DG183" s="82" t="str">
        <f aca="false">IF(ISBLANK($C183),"",IF(ISNUMBER($DC183),$DC183+ROW($B183)/1000,""))</f>
        <v/>
      </c>
      <c r="DH183" s="82" t="str">
        <f aca="false">IF(ISNUMBER($DG183),RANK($DG183,$DG$9:$DG$508,1),"")</f>
        <v/>
      </c>
      <c r="DI183" s="82" t="str">
        <f aca="false">IF(ISBLANK($C183),"",$B183)</f>
        <v/>
      </c>
      <c r="DJ183" s="82" t="str">
        <f aca="false">IF(ISBLANK($C183),"",$C183)</f>
        <v/>
      </c>
      <c r="DK183" s="82" t="str">
        <f aca="false">IF(ISBLANK($C183),"",$D183)</f>
        <v/>
      </c>
      <c r="DL183" s="83" t="str">
        <f aca="false">$CZ183</f>
        <v/>
      </c>
      <c r="DM183" s="84" t="str">
        <f aca="false">$CY183</f>
        <v/>
      </c>
      <c r="DN183" s="82" t="str">
        <f aca="false">IF(ISBLANK($C183),"",$DB183)</f>
        <v/>
      </c>
      <c r="DO183" s="85" t="str">
        <f aca="false">IF($DF183&gt;$DE$8,"",VLOOKUP($DF183,$DH$9:$DN$508,7,FALSE()))</f>
        <v/>
      </c>
      <c r="DP183" s="86" t="str">
        <f aca="false">IF($DF183&gt;$DE$8,"",VLOOKUP($DF183,$DH$9:$DN$508,2,FALSE()))</f>
        <v/>
      </c>
      <c r="DQ183" s="86" t="str">
        <f aca="false">IF($DF183&gt;$DE$8,"",VLOOKUP($DF183,$DH$9:$DN$508,3,FALSE()))</f>
        <v/>
      </c>
      <c r="DR183" s="86" t="str">
        <f aca="false">IF($DF183&gt;$DE$8,"",VLOOKUP($DF183,$DH$9:$DN$508,4,FALSE()))</f>
        <v/>
      </c>
      <c r="DS183" s="86" t="str">
        <f aca="false">IF($DF183&gt;$DE$8,"",VLOOKUP($DF183,$DH$9:$DN$508,5,FALSE()))</f>
        <v/>
      </c>
      <c r="DT183" s="87" t="str">
        <f aca="false">IF($DF183&gt;$DE$8,"",VLOOKUP($DF183,$DH$9:$DN$508,6,FALSE()))</f>
        <v/>
      </c>
      <c r="DU183" s="62"/>
    </row>
    <row r="184" customFormat="false" ht="15.75" hidden="false" customHeight="false" outlineLevel="0" collapsed="false">
      <c r="A184" s="7"/>
      <c r="B184" s="64"/>
      <c r="C184" s="65"/>
      <c r="D184" s="123"/>
      <c r="E184" s="88"/>
      <c r="F184" s="134"/>
      <c r="G184" s="88"/>
      <c r="H184" s="134"/>
      <c r="I184" s="119"/>
      <c r="J184" s="119"/>
      <c r="K184" s="119"/>
      <c r="L184" s="88"/>
      <c r="M184" s="88"/>
      <c r="N184" s="88"/>
      <c r="O184" s="134"/>
      <c r="P184" s="88"/>
      <c r="Q184" s="88"/>
      <c r="R184" s="88"/>
      <c r="S184" s="88"/>
      <c r="T184" s="134"/>
      <c r="U184" s="88"/>
      <c r="V184" s="70"/>
      <c r="W184" s="88"/>
      <c r="X184" s="88"/>
      <c r="Y184" s="70"/>
      <c r="Z184" s="70"/>
      <c r="AA184" s="88"/>
      <c r="AB184" s="88"/>
      <c r="AC184" s="71"/>
      <c r="AD184" s="88"/>
      <c r="AE184" s="73"/>
      <c r="AF184" s="74"/>
      <c r="AG184" s="74"/>
      <c r="AH184" s="74" t="str">
        <f aca="false">IF(ISBLANK($C184),"",IF($E184=Constants!$B$2,TRUE(),IF($E184=Constants!$B$3,FALSE(),TRUE())))</f>
        <v/>
      </c>
      <c r="AI184" s="74" t="str">
        <f aca="false">IF(ISBLANK($C184),"",IF($F184=Constants!$B$2,TRUE(),IF($F184=Constants!$B$3,FALSE(),FALSE())))</f>
        <v/>
      </c>
      <c r="AJ184" s="74" t="str">
        <f aca="false">IF(ISBLANK($C184),"",IF($G184=Constants!$B$2,TRUE(),IF($G184=Constants!$B$3,FALSE(),TRUE())))</f>
        <v/>
      </c>
      <c r="AK184" s="74" t="str">
        <f aca="false">IF(ISBLANK($C184),"",IF($H184=Constants!$B$2,TRUE(),IF($H184=Constants!$B$3,FALSE(),TRUE())))</f>
        <v/>
      </c>
      <c r="AL184" s="74" t="str">
        <f aca="false">IF(ISBLANK($C184),"",IF(ISNUMBER($I184),IF($I184&gt;=0,$I184,""),""))</f>
        <v/>
      </c>
      <c r="AM184" s="74" t="str">
        <f aca="false">IF(ISBLANK($C184),"",IF(ISNUMBER($J184),IF($J184&gt;=0,$J184,""),""))</f>
        <v/>
      </c>
      <c r="AN184" s="74" t="str">
        <f aca="false">IF(ISBLANK($C184),"",IF(ISNUMBER($K184),IF($K184&gt;=0,$K184,""),""))</f>
        <v/>
      </c>
      <c r="AO184" s="74" t="str">
        <f aca="false">IF(ISBLANK($C184),"",IF($L184=Constants!$B$2,TRUE(),IF($L184=Constants!$B$3,FALSE(),TRUE())))</f>
        <v/>
      </c>
      <c r="AP184" s="74" t="str">
        <f aca="false">IF(ISBLANK($C184),"",IF($M184=Constants!$B$2,TRUE(),IF($M184=Constants!$B$3,FALSE(),TRUE())))</f>
        <v/>
      </c>
      <c r="AQ184" s="74" t="str">
        <f aca="false">IF(ISBLANK($C184),"",IF($N184=Constants!$B$2,TRUE(),IF($N184=Constants!$B$3,FALSE(),FALSE())))</f>
        <v/>
      </c>
      <c r="AR184" s="74" t="str">
        <f aca="false">IF(ISBLANK($C184),"",IF($O184=Constants!$B$2,TRUE(),IF($O184=Constants!$B$3,FALSE(),TRUE())))</f>
        <v/>
      </c>
      <c r="AS184" s="74" t="str">
        <f aca="false">IF(ISBLANK($C184),"",IF($P184=Constants!$B$2,TRUE(),IF($P184=Constants!$B$3,FALSE(),FALSE())))</f>
        <v/>
      </c>
      <c r="AT184" s="74" t="str">
        <f aca="false">IF(ISBLANK($C184),"",IF($Q184=Constants!$B$2,TRUE(),IF($Q184=Constants!$B$3,FALSE(),FALSE())))</f>
        <v/>
      </c>
      <c r="AU184" s="74" t="str">
        <f aca="false">IF(ISBLANK($C184),"",IF($R184=Constants!$B$2,TRUE(),IF($R184=Constants!$B$3,FALSE(),FALSE())))</f>
        <v/>
      </c>
      <c r="AV184" s="74" t="str">
        <f aca="false">IF(ISBLANK($C184),"",IF($S184=Constants!$B$2,TRUE(),IF($S184=Constants!$B$3,FALSE(),FALSE())))</f>
        <v/>
      </c>
      <c r="AW184" s="74" t="str">
        <f aca="false">IF(ISBLANK($C184),"",IF($T184=Constants!$B$2,TRUE(),IF($T184=Constants!$B$3,FALSE(),FALSE())))</f>
        <v/>
      </c>
      <c r="AX184" s="74" t="str">
        <f aca="false">IF(ISBLANK($C184),"",IF(OR($U184&amp;""="1",$U184&amp;""="2",$U184&amp;""="3",$U184&amp;""="4"),VALUE($U184&amp;""),IF($U184=Constants!$B$12,Constants!$B$12,"")))</f>
        <v/>
      </c>
      <c r="AY184" s="74" t="str">
        <f aca="false">IF(ISBLANK($C184),"",IF(ISBLANK($V184),0,IF(ISNUMBER($V184),IF(AND($V184&gt;=0,$V184&lt;=Constants!$B$21,$V184=INT($V184)),$V184,""),"")))</f>
        <v/>
      </c>
      <c r="AZ184" s="74" t="str">
        <f aca="false">IF(ISBLANK($C184),"",IF(ISBLANK($W184),0,IF(ISNUMBER($W184),IF($W184&gt;=0,$W184,""),"")))</f>
        <v/>
      </c>
      <c r="BA184" s="74" t="str">
        <f aca="false">IF(ISBLANK($C184),"",IF($X184=Constants!$B$2,TRUE(),IF($X184=Constants!$B$3,FALSE(),TRUE())))</f>
        <v/>
      </c>
      <c r="BB184" s="74" t="str">
        <f aca="false">IF(ISBLANK($C184),"",IF($Y184=Constants!$B$2,TRUE(),IF($Y184=Constants!$B$3,FALSE(),FALSE())))</f>
        <v/>
      </c>
      <c r="BC184" s="74" t="str">
        <f aca="false">IF(ISBLANK($C184),"",IF(ISBLANK($Z184),0,IF(ISNUMBER($Z184),IF(AND($Z184&gt;=0,$Z184&lt;=Constants!$B$35,$Z184=INT($Z184)),$Z184,""),"")))</f>
        <v/>
      </c>
      <c r="BD184" s="74" t="str">
        <f aca="false">IF(ISBLANK($C184),"",IF($AA184=Constants!$B$2,TRUE(),IF($AA184=Constants!$B$3,FALSE(),TRUE())))</f>
        <v/>
      </c>
      <c r="BE184" s="74" t="str">
        <f aca="false">IF(ISBLANK($C184),"",IF($AB184=Constants!$B$2,TRUE(),IF($AB184=Constants!$B$3,FALSE(),TRUE())))</f>
        <v/>
      </c>
      <c r="BF184" s="74" t="str">
        <f aca="false">IF(ISBLANK($C184),"",IF(ISNUMBER($AC184),IF($AC184&gt;=0,$AC184,""),""))</f>
        <v/>
      </c>
      <c r="BG184" s="74" t="str">
        <f aca="false">IF(ISBLANK($C184),"",IF($AD184=Constants!$B$2,TRUE(),IF($AD184=Constants!$B$3,FALSE(),FALSE())))</f>
        <v/>
      </c>
      <c r="BH184" s="73" t="str">
        <f aca="false">IF(ISBLANK($C184),"",IF($BG184,Constants!$B$7,IF(COUNTA($E184:$AC184)=0,Constants!$B$6,IF(OR(COUNTA($G184:$AC184)=0,NOT($AK184),$AQ184),Constants!$B$5,IF(OR($CI184&lt;&gt;"",$CJ184,$CK184,$CL184,$CM184,$CN184,$CO184),Constants!$B$8,Constants!$B$4)))))</f>
        <v/>
      </c>
      <c r="BI184" s="74" t="str">
        <f aca="false">IF(ISBLANK($C184),"",IF($BH184&lt;&gt;Constants!$B$4,$BH184,IF(OR(NOT($AH184),NOT($AJ184),NOT($AR184)),Constants!$B$11,IF(OR(NOT($AP184),MAX($AL184,$AM184,$AN184)&gt;Constants!$B$30),Constants!$B$10,Constants!$B$9))))</f>
        <v/>
      </c>
      <c r="BJ184" s="74" t="str">
        <f aca="false">IF($BH184&lt;&gt;Constants!$B$4,"",IF(NOT($AJ184),0,MIN(Constants!$B$35,$BC184)))</f>
        <v/>
      </c>
      <c r="BK184" s="74" t="str">
        <f aca="false">IF($BH184&lt;&gt;Constants!$B$4,"",IF(NOT($AJ184),0,IF($AT184,Constants!$B$18,IF($AS184,Constants!$B$17,0))))</f>
        <v/>
      </c>
      <c r="BL184" s="74" t="str">
        <f aca="false">IF($BH184&lt;&gt;Constants!$B$4,"",IF(NOT($AJ184),0,Constants!$B$19*($AI184+$AU184+$AV184+$AW184)))</f>
        <v/>
      </c>
      <c r="BM184" s="74" t="str">
        <f aca="false">IF($BH184&lt;&gt;Constants!$B$4,"",IF(OR(NOT($AJ184),NOT(ISNUMBER($AX184))),0,CHOOSE($AX184,Constants!$B$13,Constants!$B$14,Constants!$B$15,Constants!$B$16)))</f>
        <v/>
      </c>
      <c r="BN184" s="74" t="str">
        <f aca="false">IF($BH184&lt;&gt;Constants!$B$4,"",IF(NOT($AJ184),0,Constants!$B$20*$AY184))</f>
        <v/>
      </c>
      <c r="BO184" s="74" t="str">
        <f aca="false">IF($BH184&lt;&gt;Constants!$B$4,"",IF(AND($AJ184,$BA184,$BB184),Constants!$B$22,0))</f>
        <v/>
      </c>
      <c r="BP184" s="74" t="str">
        <f aca="false">IF($BH184&lt;&gt;Constants!$B$4,"",IF(OR(NOT($AJ184),NOT($BA184)),0,IF($BF184&gt;=2*$AF$9,0,Constants!$B$23*INT(ROUND(MIN($BF184,$AF$9),6)))))</f>
        <v/>
      </c>
      <c r="BQ184" s="74" t="str">
        <f aca="false">IF($BH184&lt;&gt;Constants!$B$4,"",IF(NOT($AJ184),0,Constants!$B$24*INT(ROUND(MIN($AZ184,$AF$9),6))))</f>
        <v/>
      </c>
      <c r="BR184" s="74" t="str">
        <f aca="false">IF($BH184&lt;&gt;Constants!$B$4,"",IF(AND($AJ184,$BJ184=0),Constants!$B$25,0))</f>
        <v/>
      </c>
      <c r="BS184" s="74" t="str">
        <f aca="false">IF($BH184&lt;&gt;Constants!$B$4,"",MIN(Constants!$B$29,MAX(0,Constants!$B$27*Constants!$B$28*INT(ROUND((Constants!$B$26-$AL184)/Constants!$B$28,6))))+MIN(Constants!$B$29,MAX(0,Constants!$B$27*Constants!$B$28*INT(ROUND((Constants!$B$26-$AM184)/Constants!$B$28,6))))+MIN(Constants!$B$29,MAX(0,Constants!$B$27*Constants!$B$28*INT(ROUND((Constants!$B$26-$AN184)/Constants!$B$28,6)))))</f>
        <v/>
      </c>
      <c r="BT184" s="74" t="str">
        <f aca="false">IF($BH184&lt;&gt;Constants!$B$4,"",IF(NOT($AJ184),0,Constants!$B$31*INT(ROUND(MAX(0,MIN($BF184,2*$AF$9)-$AF$9),6))))</f>
        <v/>
      </c>
      <c r="BU184" s="74" t="str">
        <f aca="false">IF($BH184&lt;&gt;Constants!$B$4,"",Constants!$B$32*(($AL184&gt;Constants!$B$26)+($AM184&gt;Constants!$B$26)+($AN184&gt;Constants!$B$26)))</f>
        <v/>
      </c>
      <c r="BV184" s="74" t="str">
        <f aca="false">IF($BH184&lt;&gt;Constants!$B$4,"",IF(OR(NOT($AJ184),$AO184),0,Constants!$B$33))</f>
        <v/>
      </c>
      <c r="BW184" s="74" t="str">
        <f aca="false">IF($BH184&lt;&gt;Constants!$B$4,"",Constants!$B$34*$BJ184)</f>
        <v/>
      </c>
      <c r="BX184" s="74" t="str">
        <f aca="false">IF($BH184&lt;&gt;Constants!$B$4,"",IF(OR(NOT($AJ184),$BE184),0,Constants!$B$36))</f>
        <v/>
      </c>
      <c r="BY184" s="74" t="str">
        <f aca="false">IF($BH184&lt;&gt;Constants!$B$4,"",IF(OR(NOT($AJ184),$BD184),0,Constants!$B$37))</f>
        <v/>
      </c>
      <c r="BZ184" s="74" t="str">
        <f aca="false">IF($BH184&lt;&gt;Constants!$B$4,"",SUM($BT184:$BY184))</f>
        <v/>
      </c>
      <c r="CA184" s="74" t="str">
        <f aca="false">IF(ISBLANK($C184),"",IF($BH184&lt;&gt;Constants!$B$4,$BH184,SUM($BK184:$BS184)-$BZ184))</f>
        <v/>
      </c>
      <c r="CB184" s="74" t="str">
        <f aca="false">IF(ISBLANK($C184),"",IF($BH184&lt;&gt;Constants!$B$4,$BH184,RANK($CA184,$CA$9:$CA$508)))</f>
        <v/>
      </c>
      <c r="CC184" s="74" t="str">
        <f aca="false">IF(ISBLANK($C184),"",IF($BH184&lt;&gt;Constants!$B$4,$BH184,COUNTIFS($BI$9:$BI$508,"&lt;"&amp;$BI184)+COUNTIFS($BI$9:$BI$508,$BI184,$CB$9:$CB$508,"&lt;"&amp;$CB184)+1))</f>
        <v/>
      </c>
      <c r="CD184" s="74" t="str">
        <f aca="false">IF(ISBLANK($C184),"",IF($BH184&lt;&gt;Constants!$B$4,$BH184,RANK($BZ184,$BZ$9:$BZ$508,1)))</f>
        <v/>
      </c>
      <c r="CE184" s="74" t="str">
        <f aca="false">IF($BH184&lt;&gt;Constants!$B$4,"",$AL184+$AM184+$AN184)</f>
        <v/>
      </c>
      <c r="CF184" s="74" t="str">
        <f aca="false">IF(ISBLANK($C184),"",IF($BH184&lt;&gt;Constants!$B$4,$BH184,RANK($CE184,$CE$9:$CE$508,1)))</f>
        <v/>
      </c>
      <c r="CG184" s="74" t="str">
        <f aca="false">IF(ISBLANK($C184),"",IF($BH184&lt;&gt;Constants!$B$4,$BH184,COUNTIFS($BI$9:$BI$508,"&lt;"&amp;$BI184)+COUNTIFS($BI$9:$BI$508,$BI184,$CB$9:$CB$508,"&lt;"&amp;$CB184)+COUNTIFS($BI$9:$BI$508,$BI184,$CB$9:$CB$508,$CB184,$CD$9:$CD$508,"&lt;"&amp;$CD184)+COUNTIFS($BI$9:$BI$508,$BI184,$CB$9:$CB$508,$CB184,$CD$9:$CD$508,$CD184,$CF$9:$CF$508,"&lt;"&amp;$CF184)+1))</f>
        <v/>
      </c>
      <c r="CH184" s="74" t="str">
        <f aca="false">IF(ISBLANK($C184),"",IF($BH184&lt;&gt;Constants!$B$4,$BH184,$CC184-$CG184))</f>
        <v/>
      </c>
      <c r="CI184" s="74" t="str">
        <f aca="false">IF(ISBLANK($C184),"",IF(NOT($AJ184),"",IF(ISBLANK($D$7),$CI$5,IF(NOT(ISNUMBER($D$7)),$CI$6,""))))</f>
        <v/>
      </c>
      <c r="CJ184" s="74" t="str">
        <f aca="false">IF(ISBLANK($C184),"",OR($AL184="",$AM184="",$AN184=""))</f>
        <v/>
      </c>
      <c r="CK184" s="74" t="str">
        <f aca="false">IF(ISBLANK($C184),"",AND($AJ184,$AX184=""))</f>
        <v/>
      </c>
      <c r="CL184" s="74" t="str">
        <f aca="false">IF(ISBLANK($C184),"",AND($AJ184,$AY184=""))</f>
        <v/>
      </c>
      <c r="CM184" s="74" t="str">
        <f aca="false">IF(ISBLANK($C184),"",AND($AJ184,$AZ184=""))</f>
        <v/>
      </c>
      <c r="CN184" s="74" t="str">
        <f aca="false">IF(ISBLANK($C184),"",AND($AJ184,$BC184=""))</f>
        <v/>
      </c>
      <c r="CO184" s="74" t="str">
        <f aca="false">IF(ISBLANK($C184),"",AND($AJ184,$BF184=""))</f>
        <v/>
      </c>
      <c r="CP184" s="75"/>
      <c r="CQ184" s="76"/>
      <c r="CR184" s="79" t="str">
        <f aca="false">IF(ISBLANK($C184),"",IF($BH184=Constants!$B$8,$CI184,""))</f>
        <v/>
      </c>
      <c r="CS184" s="76" t="str">
        <f aca="false">IF(ISBLANK($C184),"",IF($BH184&lt;&gt;Constants!$B$4,"",$BK184+$BL184))</f>
        <v/>
      </c>
      <c r="CT184" s="78" t="str">
        <f aca="false">IF(ISBLANK($C184),"",IF($BH184&lt;&gt;Constants!$B$4,"",$BM184+$BN184+$BO184))</f>
        <v/>
      </c>
      <c r="CU184" s="78" t="str">
        <f aca="false">IF(ISBLANK($C184),"",IF($BH184&lt;&gt;Constants!$B$4,"",$BP184))</f>
        <v/>
      </c>
      <c r="CV184" s="78" t="str">
        <f aca="false">IF(ISBLANK($C184),"",IF($BH184&lt;&gt;Constants!$B$4,"",$BQ184+$BR184))</f>
        <v/>
      </c>
      <c r="CW184" s="78" t="str">
        <f aca="false">IF(ISBLANK($C184),"",IF($BH184&lt;&gt;Constants!$B$4,"",$BS184))</f>
        <v/>
      </c>
      <c r="CX184" s="78" t="str">
        <f aca="false">IF(ISBLANK($C184),"",IF($BH184&lt;&gt;Constants!$B$4,"",-$BZ184))</f>
        <v/>
      </c>
      <c r="CY184" s="79" t="str">
        <f aca="false">IF(ISBLANK($C184),"",$CA184)</f>
        <v/>
      </c>
      <c r="CZ184" s="80" t="str">
        <f aca="false">IF(ISBLANK($C184),"",$BI184)</f>
        <v/>
      </c>
      <c r="DA184" s="78" t="str">
        <f aca="false">IF(ISBLANK($C184),"",$CH184)</f>
        <v/>
      </c>
      <c r="DB184" s="78" t="str">
        <f aca="false">IF(ISBLANK($C184),"",$CG184)</f>
        <v/>
      </c>
      <c r="DC184" s="81" t="str">
        <f aca="false">IF(ISBLANK($C184),"",IFERROR(_xlfn.SWITCH($DB184,Constants!$B$7,COUNTA($C$9:$C$508)+2,Constants!$B$6,COUNTA($C$9:$C$508)+1,Constants!$B$5,COUNTA($C$9:$C$508)),$DB184))</f>
        <v/>
      </c>
      <c r="DD184" s="7"/>
      <c r="DE184" s="82" t="n">
        <f aca="false">IF(OR(ISNUMBER($DB184),$DB184=Constants!$B$7,$DB184=Constants!$B$5,$DB184=Constants!$B$6),1,0)</f>
        <v>0</v>
      </c>
      <c r="DF184" s="82" t="n">
        <v>176</v>
      </c>
      <c r="DG184" s="82" t="str">
        <f aca="false">IF(ISBLANK($C184),"",IF(ISNUMBER($DC184),$DC184+ROW($B184)/1000,""))</f>
        <v/>
      </c>
      <c r="DH184" s="82" t="str">
        <f aca="false">IF(ISNUMBER($DG184),RANK($DG184,$DG$9:$DG$508,1),"")</f>
        <v/>
      </c>
      <c r="DI184" s="82" t="str">
        <f aca="false">IF(ISBLANK($C184),"",$B184)</f>
        <v/>
      </c>
      <c r="DJ184" s="82" t="str">
        <f aca="false">IF(ISBLANK($C184),"",$C184)</f>
        <v/>
      </c>
      <c r="DK184" s="82" t="str">
        <f aca="false">IF(ISBLANK($C184),"",$D184)</f>
        <v/>
      </c>
      <c r="DL184" s="83" t="str">
        <f aca="false">$CZ184</f>
        <v/>
      </c>
      <c r="DM184" s="84" t="str">
        <f aca="false">$CY184</f>
        <v/>
      </c>
      <c r="DN184" s="82" t="str">
        <f aca="false">IF(ISBLANK($C184),"",$DB184)</f>
        <v/>
      </c>
      <c r="DO184" s="85" t="str">
        <f aca="false">IF($DF184&gt;$DE$8,"",VLOOKUP($DF184,$DH$9:$DN$508,7,FALSE()))</f>
        <v/>
      </c>
      <c r="DP184" s="86" t="str">
        <f aca="false">IF($DF184&gt;$DE$8,"",VLOOKUP($DF184,$DH$9:$DN$508,2,FALSE()))</f>
        <v/>
      </c>
      <c r="DQ184" s="86" t="str">
        <f aca="false">IF($DF184&gt;$DE$8,"",VLOOKUP($DF184,$DH$9:$DN$508,3,FALSE()))</f>
        <v/>
      </c>
      <c r="DR184" s="86" t="str">
        <f aca="false">IF($DF184&gt;$DE$8,"",VLOOKUP($DF184,$DH$9:$DN$508,4,FALSE()))</f>
        <v/>
      </c>
      <c r="DS184" s="86" t="str">
        <f aca="false">IF($DF184&gt;$DE$8,"",VLOOKUP($DF184,$DH$9:$DN$508,5,FALSE()))</f>
        <v/>
      </c>
      <c r="DT184" s="87" t="str">
        <f aca="false">IF($DF184&gt;$DE$8,"",VLOOKUP($DF184,$DH$9:$DN$508,6,FALSE()))</f>
        <v/>
      </c>
      <c r="DU184" s="62"/>
    </row>
    <row r="185" customFormat="false" ht="15.75" hidden="false" customHeight="false" outlineLevel="0" collapsed="false">
      <c r="A185" s="7"/>
      <c r="B185" s="64"/>
      <c r="C185" s="65"/>
      <c r="D185" s="123"/>
      <c r="E185" s="88"/>
      <c r="F185" s="134"/>
      <c r="G185" s="88"/>
      <c r="H185" s="134"/>
      <c r="I185" s="119"/>
      <c r="J185" s="119"/>
      <c r="K185" s="119"/>
      <c r="L185" s="88"/>
      <c r="M185" s="88"/>
      <c r="N185" s="88"/>
      <c r="O185" s="134"/>
      <c r="P185" s="88"/>
      <c r="Q185" s="88"/>
      <c r="R185" s="88"/>
      <c r="S185" s="88"/>
      <c r="T185" s="134"/>
      <c r="U185" s="88"/>
      <c r="V185" s="70"/>
      <c r="W185" s="88"/>
      <c r="X185" s="88"/>
      <c r="Y185" s="70"/>
      <c r="Z185" s="70"/>
      <c r="AA185" s="88"/>
      <c r="AB185" s="88"/>
      <c r="AC185" s="71"/>
      <c r="AD185" s="88"/>
      <c r="AE185" s="73"/>
      <c r="AF185" s="74"/>
      <c r="AG185" s="74"/>
      <c r="AH185" s="74" t="str">
        <f aca="false">IF(ISBLANK($C185),"",IF($E185=Constants!$B$2,TRUE(),IF($E185=Constants!$B$3,FALSE(),TRUE())))</f>
        <v/>
      </c>
      <c r="AI185" s="74" t="str">
        <f aca="false">IF(ISBLANK($C185),"",IF($F185=Constants!$B$2,TRUE(),IF($F185=Constants!$B$3,FALSE(),FALSE())))</f>
        <v/>
      </c>
      <c r="AJ185" s="74" t="str">
        <f aca="false">IF(ISBLANK($C185),"",IF($G185=Constants!$B$2,TRUE(),IF($G185=Constants!$B$3,FALSE(),TRUE())))</f>
        <v/>
      </c>
      <c r="AK185" s="74" t="str">
        <f aca="false">IF(ISBLANK($C185),"",IF($H185=Constants!$B$2,TRUE(),IF($H185=Constants!$B$3,FALSE(),TRUE())))</f>
        <v/>
      </c>
      <c r="AL185" s="74" t="str">
        <f aca="false">IF(ISBLANK($C185),"",IF(ISNUMBER($I185),IF($I185&gt;=0,$I185,""),""))</f>
        <v/>
      </c>
      <c r="AM185" s="74" t="str">
        <f aca="false">IF(ISBLANK($C185),"",IF(ISNUMBER($J185),IF($J185&gt;=0,$J185,""),""))</f>
        <v/>
      </c>
      <c r="AN185" s="74" t="str">
        <f aca="false">IF(ISBLANK($C185),"",IF(ISNUMBER($K185),IF($K185&gt;=0,$K185,""),""))</f>
        <v/>
      </c>
      <c r="AO185" s="74" t="str">
        <f aca="false">IF(ISBLANK($C185),"",IF($L185=Constants!$B$2,TRUE(),IF($L185=Constants!$B$3,FALSE(),TRUE())))</f>
        <v/>
      </c>
      <c r="AP185" s="74" t="str">
        <f aca="false">IF(ISBLANK($C185),"",IF($M185=Constants!$B$2,TRUE(),IF($M185=Constants!$B$3,FALSE(),TRUE())))</f>
        <v/>
      </c>
      <c r="AQ185" s="74" t="str">
        <f aca="false">IF(ISBLANK($C185),"",IF($N185=Constants!$B$2,TRUE(),IF($N185=Constants!$B$3,FALSE(),FALSE())))</f>
        <v/>
      </c>
      <c r="AR185" s="74" t="str">
        <f aca="false">IF(ISBLANK($C185),"",IF($O185=Constants!$B$2,TRUE(),IF($O185=Constants!$B$3,FALSE(),TRUE())))</f>
        <v/>
      </c>
      <c r="AS185" s="74" t="str">
        <f aca="false">IF(ISBLANK($C185),"",IF($P185=Constants!$B$2,TRUE(),IF($P185=Constants!$B$3,FALSE(),FALSE())))</f>
        <v/>
      </c>
      <c r="AT185" s="74" t="str">
        <f aca="false">IF(ISBLANK($C185),"",IF($Q185=Constants!$B$2,TRUE(),IF($Q185=Constants!$B$3,FALSE(),FALSE())))</f>
        <v/>
      </c>
      <c r="AU185" s="74" t="str">
        <f aca="false">IF(ISBLANK($C185),"",IF($R185=Constants!$B$2,TRUE(),IF($R185=Constants!$B$3,FALSE(),FALSE())))</f>
        <v/>
      </c>
      <c r="AV185" s="74" t="str">
        <f aca="false">IF(ISBLANK($C185),"",IF($S185=Constants!$B$2,TRUE(),IF($S185=Constants!$B$3,FALSE(),FALSE())))</f>
        <v/>
      </c>
      <c r="AW185" s="74" t="str">
        <f aca="false">IF(ISBLANK($C185),"",IF($T185=Constants!$B$2,TRUE(),IF($T185=Constants!$B$3,FALSE(),FALSE())))</f>
        <v/>
      </c>
      <c r="AX185" s="74" t="str">
        <f aca="false">IF(ISBLANK($C185),"",IF(OR($U185&amp;""="1",$U185&amp;""="2",$U185&amp;""="3",$U185&amp;""="4"),VALUE($U185&amp;""),IF($U185=Constants!$B$12,Constants!$B$12,"")))</f>
        <v/>
      </c>
      <c r="AY185" s="74" t="str">
        <f aca="false">IF(ISBLANK($C185),"",IF(ISBLANK($V185),0,IF(ISNUMBER($V185),IF(AND($V185&gt;=0,$V185&lt;=Constants!$B$21,$V185=INT($V185)),$V185,""),"")))</f>
        <v/>
      </c>
      <c r="AZ185" s="74" t="str">
        <f aca="false">IF(ISBLANK($C185),"",IF(ISBLANK($W185),0,IF(ISNUMBER($W185),IF($W185&gt;=0,$W185,""),"")))</f>
        <v/>
      </c>
      <c r="BA185" s="74" t="str">
        <f aca="false">IF(ISBLANK($C185),"",IF($X185=Constants!$B$2,TRUE(),IF($X185=Constants!$B$3,FALSE(),TRUE())))</f>
        <v/>
      </c>
      <c r="BB185" s="74" t="str">
        <f aca="false">IF(ISBLANK($C185),"",IF($Y185=Constants!$B$2,TRUE(),IF($Y185=Constants!$B$3,FALSE(),FALSE())))</f>
        <v/>
      </c>
      <c r="BC185" s="74" t="str">
        <f aca="false">IF(ISBLANK($C185),"",IF(ISBLANK($Z185),0,IF(ISNUMBER($Z185),IF(AND($Z185&gt;=0,$Z185&lt;=Constants!$B$35,$Z185=INT($Z185)),$Z185,""),"")))</f>
        <v/>
      </c>
      <c r="BD185" s="74" t="str">
        <f aca="false">IF(ISBLANK($C185),"",IF($AA185=Constants!$B$2,TRUE(),IF($AA185=Constants!$B$3,FALSE(),TRUE())))</f>
        <v/>
      </c>
      <c r="BE185" s="74" t="str">
        <f aca="false">IF(ISBLANK($C185),"",IF($AB185=Constants!$B$2,TRUE(),IF($AB185=Constants!$B$3,FALSE(),TRUE())))</f>
        <v/>
      </c>
      <c r="BF185" s="74" t="str">
        <f aca="false">IF(ISBLANK($C185),"",IF(ISNUMBER($AC185),IF($AC185&gt;=0,$AC185,""),""))</f>
        <v/>
      </c>
      <c r="BG185" s="74" t="str">
        <f aca="false">IF(ISBLANK($C185),"",IF($AD185=Constants!$B$2,TRUE(),IF($AD185=Constants!$B$3,FALSE(),FALSE())))</f>
        <v/>
      </c>
      <c r="BH185" s="73" t="str">
        <f aca="false">IF(ISBLANK($C185),"",IF($BG185,Constants!$B$7,IF(COUNTA($E185:$AC185)=0,Constants!$B$6,IF(OR(COUNTA($G185:$AC185)=0,NOT($AK185),$AQ185),Constants!$B$5,IF(OR($CI185&lt;&gt;"",$CJ185,$CK185,$CL185,$CM185,$CN185,$CO185),Constants!$B$8,Constants!$B$4)))))</f>
        <v/>
      </c>
      <c r="BI185" s="74" t="str">
        <f aca="false">IF(ISBLANK($C185),"",IF($BH185&lt;&gt;Constants!$B$4,$BH185,IF(OR(NOT($AH185),NOT($AJ185),NOT($AR185)),Constants!$B$11,IF(OR(NOT($AP185),MAX($AL185,$AM185,$AN185)&gt;Constants!$B$30),Constants!$B$10,Constants!$B$9))))</f>
        <v/>
      </c>
      <c r="BJ185" s="74" t="str">
        <f aca="false">IF($BH185&lt;&gt;Constants!$B$4,"",IF(NOT($AJ185),0,MIN(Constants!$B$35,$BC185)))</f>
        <v/>
      </c>
      <c r="BK185" s="74" t="str">
        <f aca="false">IF($BH185&lt;&gt;Constants!$B$4,"",IF(NOT($AJ185),0,IF($AT185,Constants!$B$18,IF($AS185,Constants!$B$17,0))))</f>
        <v/>
      </c>
      <c r="BL185" s="74" t="str">
        <f aca="false">IF($BH185&lt;&gt;Constants!$B$4,"",IF(NOT($AJ185),0,Constants!$B$19*($AI185+$AU185+$AV185+$AW185)))</f>
        <v/>
      </c>
      <c r="BM185" s="74" t="str">
        <f aca="false">IF($BH185&lt;&gt;Constants!$B$4,"",IF(OR(NOT($AJ185),NOT(ISNUMBER($AX185))),0,CHOOSE($AX185,Constants!$B$13,Constants!$B$14,Constants!$B$15,Constants!$B$16)))</f>
        <v/>
      </c>
      <c r="BN185" s="74" t="str">
        <f aca="false">IF($BH185&lt;&gt;Constants!$B$4,"",IF(NOT($AJ185),0,Constants!$B$20*$AY185))</f>
        <v/>
      </c>
      <c r="BO185" s="74" t="str">
        <f aca="false">IF($BH185&lt;&gt;Constants!$B$4,"",IF(AND($AJ185,$BA185,$BB185),Constants!$B$22,0))</f>
        <v/>
      </c>
      <c r="BP185" s="74" t="str">
        <f aca="false">IF($BH185&lt;&gt;Constants!$B$4,"",IF(OR(NOT($AJ185),NOT($BA185)),0,IF($BF185&gt;=2*$AF$9,0,Constants!$B$23*INT(ROUND(MIN($BF185,$AF$9),6)))))</f>
        <v/>
      </c>
      <c r="BQ185" s="74" t="str">
        <f aca="false">IF($BH185&lt;&gt;Constants!$B$4,"",IF(NOT($AJ185),0,Constants!$B$24*INT(ROUND(MIN($AZ185,$AF$9),6))))</f>
        <v/>
      </c>
      <c r="BR185" s="74" t="str">
        <f aca="false">IF($BH185&lt;&gt;Constants!$B$4,"",IF(AND($AJ185,$BJ185=0),Constants!$B$25,0))</f>
        <v/>
      </c>
      <c r="BS185" s="74" t="str">
        <f aca="false">IF($BH185&lt;&gt;Constants!$B$4,"",MIN(Constants!$B$29,MAX(0,Constants!$B$27*Constants!$B$28*INT(ROUND((Constants!$B$26-$AL185)/Constants!$B$28,6))))+MIN(Constants!$B$29,MAX(0,Constants!$B$27*Constants!$B$28*INT(ROUND((Constants!$B$26-$AM185)/Constants!$B$28,6))))+MIN(Constants!$B$29,MAX(0,Constants!$B$27*Constants!$B$28*INT(ROUND((Constants!$B$26-$AN185)/Constants!$B$28,6)))))</f>
        <v/>
      </c>
      <c r="BT185" s="74" t="str">
        <f aca="false">IF($BH185&lt;&gt;Constants!$B$4,"",IF(NOT($AJ185),0,Constants!$B$31*INT(ROUND(MAX(0,MIN($BF185,2*$AF$9)-$AF$9),6))))</f>
        <v/>
      </c>
      <c r="BU185" s="74" t="str">
        <f aca="false">IF($BH185&lt;&gt;Constants!$B$4,"",Constants!$B$32*(($AL185&gt;Constants!$B$26)+($AM185&gt;Constants!$B$26)+($AN185&gt;Constants!$B$26)))</f>
        <v/>
      </c>
      <c r="BV185" s="74" t="str">
        <f aca="false">IF($BH185&lt;&gt;Constants!$B$4,"",IF(OR(NOT($AJ185),$AO185),0,Constants!$B$33))</f>
        <v/>
      </c>
      <c r="BW185" s="74" t="str">
        <f aca="false">IF($BH185&lt;&gt;Constants!$B$4,"",Constants!$B$34*$BJ185)</f>
        <v/>
      </c>
      <c r="BX185" s="74" t="str">
        <f aca="false">IF($BH185&lt;&gt;Constants!$B$4,"",IF(OR(NOT($AJ185),$BE185),0,Constants!$B$36))</f>
        <v/>
      </c>
      <c r="BY185" s="74" t="str">
        <f aca="false">IF($BH185&lt;&gt;Constants!$B$4,"",IF(OR(NOT($AJ185),$BD185),0,Constants!$B$37))</f>
        <v/>
      </c>
      <c r="BZ185" s="74" t="str">
        <f aca="false">IF($BH185&lt;&gt;Constants!$B$4,"",SUM($BT185:$BY185))</f>
        <v/>
      </c>
      <c r="CA185" s="74" t="str">
        <f aca="false">IF(ISBLANK($C185),"",IF($BH185&lt;&gt;Constants!$B$4,$BH185,SUM($BK185:$BS185)-$BZ185))</f>
        <v/>
      </c>
      <c r="CB185" s="74" t="str">
        <f aca="false">IF(ISBLANK($C185),"",IF($BH185&lt;&gt;Constants!$B$4,$BH185,RANK($CA185,$CA$9:$CA$508)))</f>
        <v/>
      </c>
      <c r="CC185" s="74" t="str">
        <f aca="false">IF(ISBLANK($C185),"",IF($BH185&lt;&gt;Constants!$B$4,$BH185,COUNTIFS($BI$9:$BI$508,"&lt;"&amp;$BI185)+COUNTIFS($BI$9:$BI$508,$BI185,$CB$9:$CB$508,"&lt;"&amp;$CB185)+1))</f>
        <v/>
      </c>
      <c r="CD185" s="74" t="str">
        <f aca="false">IF(ISBLANK($C185),"",IF($BH185&lt;&gt;Constants!$B$4,$BH185,RANK($BZ185,$BZ$9:$BZ$508,1)))</f>
        <v/>
      </c>
      <c r="CE185" s="74" t="str">
        <f aca="false">IF($BH185&lt;&gt;Constants!$B$4,"",$AL185+$AM185+$AN185)</f>
        <v/>
      </c>
      <c r="CF185" s="74" t="str">
        <f aca="false">IF(ISBLANK($C185),"",IF($BH185&lt;&gt;Constants!$B$4,$BH185,RANK($CE185,$CE$9:$CE$508,1)))</f>
        <v/>
      </c>
      <c r="CG185" s="74" t="str">
        <f aca="false">IF(ISBLANK($C185),"",IF($BH185&lt;&gt;Constants!$B$4,$BH185,COUNTIFS($BI$9:$BI$508,"&lt;"&amp;$BI185)+COUNTIFS($BI$9:$BI$508,$BI185,$CB$9:$CB$508,"&lt;"&amp;$CB185)+COUNTIFS($BI$9:$BI$508,$BI185,$CB$9:$CB$508,$CB185,$CD$9:$CD$508,"&lt;"&amp;$CD185)+COUNTIFS($BI$9:$BI$508,$BI185,$CB$9:$CB$508,$CB185,$CD$9:$CD$508,$CD185,$CF$9:$CF$508,"&lt;"&amp;$CF185)+1))</f>
        <v/>
      </c>
      <c r="CH185" s="74" t="str">
        <f aca="false">IF(ISBLANK($C185),"",IF($BH185&lt;&gt;Constants!$B$4,$BH185,$CC185-$CG185))</f>
        <v/>
      </c>
      <c r="CI185" s="74" t="str">
        <f aca="false">IF(ISBLANK($C185),"",IF(NOT($AJ185),"",IF(ISBLANK($D$7),$CI$5,IF(NOT(ISNUMBER($D$7)),$CI$6,""))))</f>
        <v/>
      </c>
      <c r="CJ185" s="74" t="str">
        <f aca="false">IF(ISBLANK($C185),"",OR($AL185="",$AM185="",$AN185=""))</f>
        <v/>
      </c>
      <c r="CK185" s="74" t="str">
        <f aca="false">IF(ISBLANK($C185),"",AND($AJ185,$AX185=""))</f>
        <v/>
      </c>
      <c r="CL185" s="74" t="str">
        <f aca="false">IF(ISBLANK($C185),"",AND($AJ185,$AY185=""))</f>
        <v/>
      </c>
      <c r="CM185" s="74" t="str">
        <f aca="false">IF(ISBLANK($C185),"",AND($AJ185,$AZ185=""))</f>
        <v/>
      </c>
      <c r="CN185" s="74" t="str">
        <f aca="false">IF(ISBLANK($C185),"",AND($AJ185,$BC185=""))</f>
        <v/>
      </c>
      <c r="CO185" s="74" t="str">
        <f aca="false">IF(ISBLANK($C185),"",AND($AJ185,$BF185=""))</f>
        <v/>
      </c>
      <c r="CP185" s="75"/>
      <c r="CQ185" s="76"/>
      <c r="CR185" s="79" t="str">
        <f aca="false">IF(ISBLANK($C185),"",IF($BH185=Constants!$B$8,$CI185,""))</f>
        <v/>
      </c>
      <c r="CS185" s="76" t="str">
        <f aca="false">IF(ISBLANK($C185),"",IF($BH185&lt;&gt;Constants!$B$4,"",$BK185+$BL185))</f>
        <v/>
      </c>
      <c r="CT185" s="78" t="str">
        <f aca="false">IF(ISBLANK($C185),"",IF($BH185&lt;&gt;Constants!$B$4,"",$BM185+$BN185+$BO185))</f>
        <v/>
      </c>
      <c r="CU185" s="78" t="str">
        <f aca="false">IF(ISBLANK($C185),"",IF($BH185&lt;&gt;Constants!$B$4,"",$BP185))</f>
        <v/>
      </c>
      <c r="CV185" s="78" t="str">
        <f aca="false">IF(ISBLANK($C185),"",IF($BH185&lt;&gt;Constants!$B$4,"",$BQ185+$BR185))</f>
        <v/>
      </c>
      <c r="CW185" s="78" t="str">
        <f aca="false">IF(ISBLANK($C185),"",IF($BH185&lt;&gt;Constants!$B$4,"",$BS185))</f>
        <v/>
      </c>
      <c r="CX185" s="78" t="str">
        <f aca="false">IF(ISBLANK($C185),"",IF($BH185&lt;&gt;Constants!$B$4,"",-$BZ185))</f>
        <v/>
      </c>
      <c r="CY185" s="79" t="str">
        <f aca="false">IF(ISBLANK($C185),"",$CA185)</f>
        <v/>
      </c>
      <c r="CZ185" s="80" t="str">
        <f aca="false">IF(ISBLANK($C185),"",$BI185)</f>
        <v/>
      </c>
      <c r="DA185" s="78" t="str">
        <f aca="false">IF(ISBLANK($C185),"",$CH185)</f>
        <v/>
      </c>
      <c r="DB185" s="78" t="str">
        <f aca="false">IF(ISBLANK($C185),"",$CG185)</f>
        <v/>
      </c>
      <c r="DC185" s="81" t="str">
        <f aca="false">IF(ISBLANK($C185),"",IFERROR(_xlfn.SWITCH($DB185,Constants!$B$7,COUNTA($C$9:$C$508)+2,Constants!$B$6,COUNTA($C$9:$C$508)+1,Constants!$B$5,COUNTA($C$9:$C$508)),$DB185))</f>
        <v/>
      </c>
      <c r="DD185" s="7"/>
      <c r="DE185" s="82" t="n">
        <f aca="false">IF(OR(ISNUMBER($DB185),$DB185=Constants!$B$7,$DB185=Constants!$B$5,$DB185=Constants!$B$6),1,0)</f>
        <v>0</v>
      </c>
      <c r="DF185" s="82" t="n">
        <v>177</v>
      </c>
      <c r="DG185" s="82" t="str">
        <f aca="false">IF(ISBLANK($C185),"",IF(ISNUMBER($DC185),$DC185+ROW($B185)/1000,""))</f>
        <v/>
      </c>
      <c r="DH185" s="82" t="str">
        <f aca="false">IF(ISNUMBER($DG185),RANK($DG185,$DG$9:$DG$508,1),"")</f>
        <v/>
      </c>
      <c r="DI185" s="82" t="str">
        <f aca="false">IF(ISBLANK($C185),"",$B185)</f>
        <v/>
      </c>
      <c r="DJ185" s="82" t="str">
        <f aca="false">IF(ISBLANK($C185),"",$C185)</f>
        <v/>
      </c>
      <c r="DK185" s="82" t="str">
        <f aca="false">IF(ISBLANK($C185),"",$D185)</f>
        <v/>
      </c>
      <c r="DL185" s="83" t="str">
        <f aca="false">$CZ185</f>
        <v/>
      </c>
      <c r="DM185" s="84" t="str">
        <f aca="false">$CY185</f>
        <v/>
      </c>
      <c r="DN185" s="82" t="str">
        <f aca="false">IF(ISBLANK($C185),"",$DB185)</f>
        <v/>
      </c>
      <c r="DO185" s="85" t="str">
        <f aca="false">IF($DF185&gt;$DE$8,"",VLOOKUP($DF185,$DH$9:$DN$508,7,FALSE()))</f>
        <v/>
      </c>
      <c r="DP185" s="86" t="str">
        <f aca="false">IF($DF185&gt;$DE$8,"",VLOOKUP($DF185,$DH$9:$DN$508,2,FALSE()))</f>
        <v/>
      </c>
      <c r="DQ185" s="86" t="str">
        <f aca="false">IF($DF185&gt;$DE$8,"",VLOOKUP($DF185,$DH$9:$DN$508,3,FALSE()))</f>
        <v/>
      </c>
      <c r="DR185" s="86" t="str">
        <f aca="false">IF($DF185&gt;$DE$8,"",VLOOKUP($DF185,$DH$9:$DN$508,4,FALSE()))</f>
        <v/>
      </c>
      <c r="DS185" s="86" t="str">
        <f aca="false">IF($DF185&gt;$DE$8,"",VLOOKUP($DF185,$DH$9:$DN$508,5,FALSE()))</f>
        <v/>
      </c>
      <c r="DT185" s="87" t="str">
        <f aca="false">IF($DF185&gt;$DE$8,"",VLOOKUP($DF185,$DH$9:$DN$508,6,FALSE()))</f>
        <v/>
      </c>
      <c r="DU185" s="62"/>
    </row>
    <row r="186" customFormat="false" ht="15.75" hidden="false" customHeight="false" outlineLevel="0" collapsed="false">
      <c r="A186" s="7"/>
      <c r="B186" s="90"/>
      <c r="C186" s="91"/>
      <c r="D186" s="126"/>
      <c r="E186" s="130"/>
      <c r="F186" s="135"/>
      <c r="G186" s="130"/>
      <c r="H186" s="135"/>
      <c r="I186" s="131"/>
      <c r="J186" s="131"/>
      <c r="K186" s="131"/>
      <c r="L186" s="130"/>
      <c r="M186" s="130"/>
      <c r="N186" s="130"/>
      <c r="O186" s="135"/>
      <c r="P186" s="130"/>
      <c r="Q186" s="130"/>
      <c r="R186" s="130"/>
      <c r="S186" s="130"/>
      <c r="T186" s="135"/>
      <c r="U186" s="130"/>
      <c r="V186" s="96"/>
      <c r="W186" s="130"/>
      <c r="X186" s="130"/>
      <c r="Y186" s="96"/>
      <c r="Z186" s="96"/>
      <c r="AA186" s="130"/>
      <c r="AB186" s="130"/>
      <c r="AC186" s="97"/>
      <c r="AD186" s="130"/>
      <c r="AE186" s="99"/>
      <c r="AF186" s="100"/>
      <c r="AG186" s="100"/>
      <c r="AH186" s="100" t="str">
        <f aca="false">IF(ISBLANK($C186),"",IF($E186=Constants!$B$2,TRUE(),IF($E186=Constants!$B$3,FALSE(),TRUE())))</f>
        <v/>
      </c>
      <c r="AI186" s="100" t="str">
        <f aca="false">IF(ISBLANK($C186),"",IF($F186=Constants!$B$2,TRUE(),IF($F186=Constants!$B$3,FALSE(),FALSE())))</f>
        <v/>
      </c>
      <c r="AJ186" s="100" t="str">
        <f aca="false">IF(ISBLANK($C186),"",IF($G186=Constants!$B$2,TRUE(),IF($G186=Constants!$B$3,FALSE(),TRUE())))</f>
        <v/>
      </c>
      <c r="AK186" s="100" t="str">
        <f aca="false">IF(ISBLANK($C186),"",IF($H186=Constants!$B$2,TRUE(),IF($H186=Constants!$B$3,FALSE(),TRUE())))</f>
        <v/>
      </c>
      <c r="AL186" s="100" t="str">
        <f aca="false">IF(ISBLANK($C186),"",IF(ISNUMBER($I186),IF($I186&gt;=0,$I186,""),""))</f>
        <v/>
      </c>
      <c r="AM186" s="100" t="str">
        <f aca="false">IF(ISBLANK($C186),"",IF(ISNUMBER($J186),IF($J186&gt;=0,$J186,""),""))</f>
        <v/>
      </c>
      <c r="AN186" s="100" t="str">
        <f aca="false">IF(ISBLANK($C186),"",IF(ISNUMBER($K186),IF($K186&gt;=0,$K186,""),""))</f>
        <v/>
      </c>
      <c r="AO186" s="100" t="str">
        <f aca="false">IF(ISBLANK($C186),"",IF($L186=Constants!$B$2,TRUE(),IF($L186=Constants!$B$3,FALSE(),TRUE())))</f>
        <v/>
      </c>
      <c r="AP186" s="100" t="str">
        <f aca="false">IF(ISBLANK($C186),"",IF($M186=Constants!$B$2,TRUE(),IF($M186=Constants!$B$3,FALSE(),TRUE())))</f>
        <v/>
      </c>
      <c r="AQ186" s="100" t="str">
        <f aca="false">IF(ISBLANK($C186),"",IF($N186=Constants!$B$2,TRUE(),IF($N186=Constants!$B$3,FALSE(),FALSE())))</f>
        <v/>
      </c>
      <c r="AR186" s="100" t="str">
        <f aca="false">IF(ISBLANK($C186),"",IF($O186=Constants!$B$2,TRUE(),IF($O186=Constants!$B$3,FALSE(),TRUE())))</f>
        <v/>
      </c>
      <c r="AS186" s="100" t="str">
        <f aca="false">IF(ISBLANK($C186),"",IF($P186=Constants!$B$2,TRUE(),IF($P186=Constants!$B$3,FALSE(),FALSE())))</f>
        <v/>
      </c>
      <c r="AT186" s="100" t="str">
        <f aca="false">IF(ISBLANK($C186),"",IF($Q186=Constants!$B$2,TRUE(),IF($Q186=Constants!$B$3,FALSE(),FALSE())))</f>
        <v/>
      </c>
      <c r="AU186" s="100" t="str">
        <f aca="false">IF(ISBLANK($C186),"",IF($R186=Constants!$B$2,TRUE(),IF($R186=Constants!$B$3,FALSE(),FALSE())))</f>
        <v/>
      </c>
      <c r="AV186" s="100" t="str">
        <f aca="false">IF(ISBLANK($C186),"",IF($S186=Constants!$B$2,TRUE(),IF($S186=Constants!$B$3,FALSE(),FALSE())))</f>
        <v/>
      </c>
      <c r="AW186" s="100" t="str">
        <f aca="false">IF(ISBLANK($C186),"",IF($T186=Constants!$B$2,TRUE(),IF($T186=Constants!$B$3,FALSE(),FALSE())))</f>
        <v/>
      </c>
      <c r="AX186" s="100" t="str">
        <f aca="false">IF(ISBLANK($C186),"",IF(OR($U186&amp;""="1",$U186&amp;""="2",$U186&amp;""="3",$U186&amp;""="4"),VALUE($U186&amp;""),IF($U186=Constants!$B$12,Constants!$B$12,"")))</f>
        <v/>
      </c>
      <c r="AY186" s="100" t="str">
        <f aca="false">IF(ISBLANK($C186),"",IF(ISBLANK($V186),0,IF(ISNUMBER($V186),IF(AND($V186&gt;=0,$V186&lt;=Constants!$B$21,$V186=INT($V186)),$V186,""),"")))</f>
        <v/>
      </c>
      <c r="AZ186" s="100" t="str">
        <f aca="false">IF(ISBLANK($C186),"",IF(ISBLANK($W186),0,IF(ISNUMBER($W186),IF($W186&gt;=0,$W186,""),"")))</f>
        <v/>
      </c>
      <c r="BA186" s="100" t="str">
        <f aca="false">IF(ISBLANK($C186),"",IF($X186=Constants!$B$2,TRUE(),IF($X186=Constants!$B$3,FALSE(),TRUE())))</f>
        <v/>
      </c>
      <c r="BB186" s="100" t="str">
        <f aca="false">IF(ISBLANK($C186),"",IF($Y186=Constants!$B$2,TRUE(),IF($Y186=Constants!$B$3,FALSE(),FALSE())))</f>
        <v/>
      </c>
      <c r="BC186" s="100" t="str">
        <f aca="false">IF(ISBLANK($C186),"",IF(ISBLANK($Z186),0,IF(ISNUMBER($Z186),IF(AND($Z186&gt;=0,$Z186&lt;=Constants!$B$35,$Z186=INT($Z186)),$Z186,""),"")))</f>
        <v/>
      </c>
      <c r="BD186" s="100" t="str">
        <f aca="false">IF(ISBLANK($C186),"",IF($AA186=Constants!$B$2,TRUE(),IF($AA186=Constants!$B$3,FALSE(),TRUE())))</f>
        <v/>
      </c>
      <c r="BE186" s="100" t="str">
        <f aca="false">IF(ISBLANK($C186),"",IF($AB186=Constants!$B$2,TRUE(),IF($AB186=Constants!$B$3,FALSE(),TRUE())))</f>
        <v/>
      </c>
      <c r="BF186" s="100" t="str">
        <f aca="false">IF(ISBLANK($C186),"",IF(ISNUMBER($AC186),IF($AC186&gt;=0,$AC186,""),""))</f>
        <v/>
      </c>
      <c r="BG186" s="100" t="str">
        <f aca="false">IF(ISBLANK($C186),"",IF($AD186=Constants!$B$2,TRUE(),IF($AD186=Constants!$B$3,FALSE(),FALSE())))</f>
        <v/>
      </c>
      <c r="BH186" s="99" t="str">
        <f aca="false">IF(ISBLANK($C186),"",IF($BG186,Constants!$B$7,IF(COUNTA($E186:$AC186)=0,Constants!$B$6,IF(OR(COUNTA($G186:$AC186)=0,NOT($AK186),$AQ186),Constants!$B$5,IF(OR($CI186&lt;&gt;"",$CJ186,$CK186,$CL186,$CM186,$CN186,$CO186),Constants!$B$8,Constants!$B$4)))))</f>
        <v/>
      </c>
      <c r="BI186" s="100" t="str">
        <f aca="false">IF(ISBLANK($C186),"",IF($BH186&lt;&gt;Constants!$B$4,$BH186,IF(OR(NOT($AH186),NOT($AJ186),NOT($AR186)),Constants!$B$11,IF(OR(NOT($AP186),MAX($AL186,$AM186,$AN186)&gt;Constants!$B$30),Constants!$B$10,Constants!$B$9))))</f>
        <v/>
      </c>
      <c r="BJ186" s="100" t="str">
        <f aca="false">IF($BH186&lt;&gt;Constants!$B$4,"",IF(NOT($AJ186),0,MIN(Constants!$B$35,$BC186)))</f>
        <v/>
      </c>
      <c r="BK186" s="100" t="str">
        <f aca="false">IF($BH186&lt;&gt;Constants!$B$4,"",IF(NOT($AJ186),0,IF($AT186,Constants!$B$18,IF($AS186,Constants!$B$17,0))))</f>
        <v/>
      </c>
      <c r="BL186" s="100" t="str">
        <f aca="false">IF($BH186&lt;&gt;Constants!$B$4,"",IF(NOT($AJ186),0,Constants!$B$19*($AI186+$AU186+$AV186+$AW186)))</f>
        <v/>
      </c>
      <c r="BM186" s="100" t="str">
        <f aca="false">IF($BH186&lt;&gt;Constants!$B$4,"",IF(OR(NOT($AJ186),NOT(ISNUMBER($AX186))),0,CHOOSE($AX186,Constants!$B$13,Constants!$B$14,Constants!$B$15,Constants!$B$16)))</f>
        <v/>
      </c>
      <c r="BN186" s="100" t="str">
        <f aca="false">IF($BH186&lt;&gt;Constants!$B$4,"",IF(NOT($AJ186),0,Constants!$B$20*$AY186))</f>
        <v/>
      </c>
      <c r="BO186" s="100" t="str">
        <f aca="false">IF($BH186&lt;&gt;Constants!$B$4,"",IF(AND($AJ186,$BA186,$BB186),Constants!$B$22,0))</f>
        <v/>
      </c>
      <c r="BP186" s="100" t="str">
        <f aca="false">IF($BH186&lt;&gt;Constants!$B$4,"",IF(OR(NOT($AJ186),NOT($BA186)),0,IF($BF186&gt;=2*$AF$9,0,Constants!$B$23*INT(ROUND(MIN($BF186,$AF$9),6)))))</f>
        <v/>
      </c>
      <c r="BQ186" s="100" t="str">
        <f aca="false">IF($BH186&lt;&gt;Constants!$B$4,"",IF(NOT($AJ186),0,Constants!$B$24*INT(ROUND(MIN($AZ186,$AF$9),6))))</f>
        <v/>
      </c>
      <c r="BR186" s="100" t="str">
        <f aca="false">IF($BH186&lt;&gt;Constants!$B$4,"",IF(AND($AJ186,$BJ186=0),Constants!$B$25,0))</f>
        <v/>
      </c>
      <c r="BS186" s="100" t="str">
        <f aca="false">IF($BH186&lt;&gt;Constants!$B$4,"",MIN(Constants!$B$29,MAX(0,Constants!$B$27*Constants!$B$28*INT(ROUND((Constants!$B$26-$AL186)/Constants!$B$28,6))))+MIN(Constants!$B$29,MAX(0,Constants!$B$27*Constants!$B$28*INT(ROUND((Constants!$B$26-$AM186)/Constants!$B$28,6))))+MIN(Constants!$B$29,MAX(0,Constants!$B$27*Constants!$B$28*INT(ROUND((Constants!$B$26-$AN186)/Constants!$B$28,6)))))</f>
        <v/>
      </c>
      <c r="BT186" s="100" t="str">
        <f aca="false">IF($BH186&lt;&gt;Constants!$B$4,"",IF(NOT($AJ186),0,Constants!$B$31*INT(ROUND(MAX(0,MIN($BF186,2*$AF$9)-$AF$9),6))))</f>
        <v/>
      </c>
      <c r="BU186" s="100" t="str">
        <f aca="false">IF($BH186&lt;&gt;Constants!$B$4,"",Constants!$B$32*(($AL186&gt;Constants!$B$26)+($AM186&gt;Constants!$B$26)+($AN186&gt;Constants!$B$26)))</f>
        <v/>
      </c>
      <c r="BV186" s="100" t="str">
        <f aca="false">IF($BH186&lt;&gt;Constants!$B$4,"",IF(OR(NOT($AJ186),$AO186),0,Constants!$B$33))</f>
        <v/>
      </c>
      <c r="BW186" s="100" t="str">
        <f aca="false">IF($BH186&lt;&gt;Constants!$B$4,"",Constants!$B$34*$BJ186)</f>
        <v/>
      </c>
      <c r="BX186" s="100" t="str">
        <f aca="false">IF($BH186&lt;&gt;Constants!$B$4,"",IF(OR(NOT($AJ186),$BE186),0,Constants!$B$36))</f>
        <v/>
      </c>
      <c r="BY186" s="100" t="str">
        <f aca="false">IF($BH186&lt;&gt;Constants!$B$4,"",IF(OR(NOT($AJ186),$BD186),0,Constants!$B$37))</f>
        <v/>
      </c>
      <c r="BZ186" s="100" t="str">
        <f aca="false">IF($BH186&lt;&gt;Constants!$B$4,"",SUM($BT186:$BY186))</f>
        <v/>
      </c>
      <c r="CA186" s="100" t="str">
        <f aca="false">IF(ISBLANK($C186),"",IF($BH186&lt;&gt;Constants!$B$4,$BH186,SUM($BK186:$BS186)-$BZ186))</f>
        <v/>
      </c>
      <c r="CB186" s="100" t="str">
        <f aca="false">IF(ISBLANK($C186),"",IF($BH186&lt;&gt;Constants!$B$4,$BH186,RANK($CA186,$CA$9:$CA$508)))</f>
        <v/>
      </c>
      <c r="CC186" s="100" t="str">
        <f aca="false">IF(ISBLANK($C186),"",IF($BH186&lt;&gt;Constants!$B$4,$BH186,COUNTIFS($BI$9:$BI$508,"&lt;"&amp;$BI186)+COUNTIFS($BI$9:$BI$508,$BI186,$CB$9:$CB$508,"&lt;"&amp;$CB186)+1))</f>
        <v/>
      </c>
      <c r="CD186" s="100" t="str">
        <f aca="false">IF(ISBLANK($C186),"",IF($BH186&lt;&gt;Constants!$B$4,$BH186,RANK($BZ186,$BZ$9:$BZ$508,1)))</f>
        <v/>
      </c>
      <c r="CE186" s="100" t="str">
        <f aca="false">IF($BH186&lt;&gt;Constants!$B$4,"",$AL186+$AM186+$AN186)</f>
        <v/>
      </c>
      <c r="CF186" s="100" t="str">
        <f aca="false">IF(ISBLANK($C186),"",IF($BH186&lt;&gt;Constants!$B$4,$BH186,RANK($CE186,$CE$9:$CE$508,1)))</f>
        <v/>
      </c>
      <c r="CG186" s="100" t="str">
        <f aca="false">IF(ISBLANK($C186),"",IF($BH186&lt;&gt;Constants!$B$4,$BH186,COUNTIFS($BI$9:$BI$508,"&lt;"&amp;$BI186)+COUNTIFS($BI$9:$BI$508,$BI186,$CB$9:$CB$508,"&lt;"&amp;$CB186)+COUNTIFS($BI$9:$BI$508,$BI186,$CB$9:$CB$508,$CB186,$CD$9:$CD$508,"&lt;"&amp;$CD186)+COUNTIFS($BI$9:$BI$508,$BI186,$CB$9:$CB$508,$CB186,$CD$9:$CD$508,$CD186,$CF$9:$CF$508,"&lt;"&amp;$CF186)+1))</f>
        <v/>
      </c>
      <c r="CH186" s="100" t="str">
        <f aca="false">IF(ISBLANK($C186),"",IF($BH186&lt;&gt;Constants!$B$4,$BH186,$CC186-$CG186))</f>
        <v/>
      </c>
      <c r="CI186" s="100" t="str">
        <f aca="false">IF(ISBLANK($C186),"",IF(NOT($AJ186),"",IF(ISBLANK($D$7),$CI$5,IF(NOT(ISNUMBER($D$7)),$CI$6,""))))</f>
        <v/>
      </c>
      <c r="CJ186" s="100" t="str">
        <f aca="false">IF(ISBLANK($C186),"",OR($AL186="",$AM186="",$AN186=""))</f>
        <v/>
      </c>
      <c r="CK186" s="100" t="str">
        <f aca="false">IF(ISBLANK($C186),"",AND($AJ186,$AX186=""))</f>
        <v/>
      </c>
      <c r="CL186" s="100" t="str">
        <f aca="false">IF(ISBLANK($C186),"",AND($AJ186,$AY186=""))</f>
        <v/>
      </c>
      <c r="CM186" s="100" t="str">
        <f aca="false">IF(ISBLANK($C186),"",AND($AJ186,$AZ186=""))</f>
        <v/>
      </c>
      <c r="CN186" s="100" t="str">
        <f aca="false">IF(ISBLANK($C186),"",AND($AJ186,$BC186=""))</f>
        <v/>
      </c>
      <c r="CO186" s="100" t="str">
        <f aca="false">IF(ISBLANK($C186),"",AND($AJ186,$BF186=""))</f>
        <v/>
      </c>
      <c r="CP186" s="101"/>
      <c r="CQ186" s="102"/>
      <c r="CR186" s="103" t="str">
        <f aca="false">IF(ISBLANK($C186),"",IF($BH186=Constants!$B$8,$CI186,""))</f>
        <v/>
      </c>
      <c r="CS186" s="102" t="str">
        <f aca="false">IF(ISBLANK($C186),"",IF($BH186&lt;&gt;Constants!$B$4,"",$BK186+$BL186))</f>
        <v/>
      </c>
      <c r="CT186" s="104" t="str">
        <f aca="false">IF(ISBLANK($C186),"",IF($BH186&lt;&gt;Constants!$B$4,"",$BM186+$BN186+$BO186))</f>
        <v/>
      </c>
      <c r="CU186" s="104" t="str">
        <f aca="false">IF(ISBLANK($C186),"",IF($BH186&lt;&gt;Constants!$B$4,"",$BP186))</f>
        <v/>
      </c>
      <c r="CV186" s="104" t="str">
        <f aca="false">IF(ISBLANK($C186),"",IF($BH186&lt;&gt;Constants!$B$4,"",$BQ186+$BR186))</f>
        <v/>
      </c>
      <c r="CW186" s="104" t="str">
        <f aca="false">IF(ISBLANK($C186),"",IF($BH186&lt;&gt;Constants!$B$4,"",$BS186))</f>
        <v/>
      </c>
      <c r="CX186" s="104" t="str">
        <f aca="false">IF(ISBLANK($C186),"",IF($BH186&lt;&gt;Constants!$B$4,"",-$BZ186))</f>
        <v/>
      </c>
      <c r="CY186" s="103" t="str">
        <f aca="false">IF(ISBLANK($C186),"",$CA186)</f>
        <v/>
      </c>
      <c r="CZ186" s="105" t="str">
        <f aca="false">IF(ISBLANK($C186),"",$BI186)</f>
        <v/>
      </c>
      <c r="DA186" s="104" t="str">
        <f aca="false">IF(ISBLANK($C186),"",$CH186)</f>
        <v/>
      </c>
      <c r="DB186" s="104" t="str">
        <f aca="false">IF(ISBLANK($C186),"",$CG186)</f>
        <v/>
      </c>
      <c r="DC186" s="106" t="str">
        <f aca="false">IF(ISBLANK($C186),"",IFERROR(_xlfn.SWITCH($DB186,Constants!$B$7,COUNTA($C$9:$C$508)+2,Constants!$B$6,COUNTA($C$9:$C$508)+1,Constants!$B$5,COUNTA($C$9:$C$508)),$DB186))</f>
        <v/>
      </c>
      <c r="DD186" s="7"/>
      <c r="DE186" s="107" t="n">
        <f aca="false">IF(OR(ISNUMBER($DB186),$DB186=Constants!$B$7,$DB186=Constants!$B$5,$DB186=Constants!$B$6),1,0)</f>
        <v>0</v>
      </c>
      <c r="DF186" s="107" t="n">
        <v>178</v>
      </c>
      <c r="DG186" s="107" t="str">
        <f aca="false">IF(ISBLANK($C186),"",IF(ISNUMBER($DC186),$DC186+ROW($B186)/1000,""))</f>
        <v/>
      </c>
      <c r="DH186" s="107" t="str">
        <f aca="false">IF(ISNUMBER($DG186),RANK($DG186,$DG$9:$DG$508,1),"")</f>
        <v/>
      </c>
      <c r="DI186" s="107" t="str">
        <f aca="false">IF(ISBLANK($C186),"",$B186)</f>
        <v/>
      </c>
      <c r="DJ186" s="107" t="str">
        <f aca="false">IF(ISBLANK($C186),"",$C186)</f>
        <v/>
      </c>
      <c r="DK186" s="107" t="str">
        <f aca="false">IF(ISBLANK($C186),"",$D186)</f>
        <v/>
      </c>
      <c r="DL186" s="108" t="str">
        <f aca="false">$CZ186</f>
        <v/>
      </c>
      <c r="DM186" s="109" t="str">
        <f aca="false">$CY186</f>
        <v/>
      </c>
      <c r="DN186" s="107" t="str">
        <f aca="false">IF(ISBLANK($C186),"",$DB186)</f>
        <v/>
      </c>
      <c r="DO186" s="110" t="str">
        <f aca="false">IF($DF186&gt;$DE$8,"",VLOOKUP($DF186,$DH$9:$DN$508,7,FALSE()))</f>
        <v/>
      </c>
      <c r="DP186" s="111" t="str">
        <f aca="false">IF($DF186&gt;$DE$8,"",VLOOKUP($DF186,$DH$9:$DN$508,2,FALSE()))</f>
        <v/>
      </c>
      <c r="DQ186" s="111" t="str">
        <f aca="false">IF($DF186&gt;$DE$8,"",VLOOKUP($DF186,$DH$9:$DN$508,3,FALSE()))</f>
        <v/>
      </c>
      <c r="DR186" s="111" t="str">
        <f aca="false">IF($DF186&gt;$DE$8,"",VLOOKUP($DF186,$DH$9:$DN$508,4,FALSE()))</f>
        <v/>
      </c>
      <c r="DS186" s="111" t="str">
        <f aca="false">IF($DF186&gt;$DE$8,"",VLOOKUP($DF186,$DH$9:$DN$508,5,FALSE()))</f>
        <v/>
      </c>
      <c r="DT186" s="112" t="str">
        <f aca="false">IF($DF186&gt;$DE$8,"",VLOOKUP($DF186,$DH$9:$DN$508,6,FALSE()))</f>
        <v/>
      </c>
      <c r="DU186" s="62"/>
    </row>
    <row r="187" customFormat="false" ht="15.75" hidden="false" customHeight="false" outlineLevel="0" collapsed="false">
      <c r="A187" s="7"/>
      <c r="B187" s="90"/>
      <c r="C187" s="91"/>
      <c r="D187" s="126"/>
      <c r="E187" s="130"/>
      <c r="F187" s="135"/>
      <c r="G187" s="130"/>
      <c r="H187" s="135"/>
      <c r="I187" s="131"/>
      <c r="J187" s="131"/>
      <c r="K187" s="131"/>
      <c r="L187" s="130"/>
      <c r="M187" s="130"/>
      <c r="N187" s="130"/>
      <c r="O187" s="135"/>
      <c r="P187" s="130"/>
      <c r="Q187" s="130"/>
      <c r="R187" s="130"/>
      <c r="S187" s="130"/>
      <c r="T187" s="135"/>
      <c r="U187" s="130"/>
      <c r="V187" s="96"/>
      <c r="W187" s="130"/>
      <c r="X187" s="130"/>
      <c r="Y187" s="96"/>
      <c r="Z187" s="96"/>
      <c r="AA187" s="130"/>
      <c r="AB187" s="130"/>
      <c r="AC187" s="97"/>
      <c r="AD187" s="130"/>
      <c r="AE187" s="99"/>
      <c r="AF187" s="100"/>
      <c r="AG187" s="100"/>
      <c r="AH187" s="100" t="str">
        <f aca="false">IF(ISBLANK($C187),"",IF($E187=Constants!$B$2,TRUE(),IF($E187=Constants!$B$3,FALSE(),TRUE())))</f>
        <v/>
      </c>
      <c r="AI187" s="100" t="str">
        <f aca="false">IF(ISBLANK($C187),"",IF($F187=Constants!$B$2,TRUE(),IF($F187=Constants!$B$3,FALSE(),FALSE())))</f>
        <v/>
      </c>
      <c r="AJ187" s="100" t="str">
        <f aca="false">IF(ISBLANK($C187),"",IF($G187=Constants!$B$2,TRUE(),IF($G187=Constants!$B$3,FALSE(),TRUE())))</f>
        <v/>
      </c>
      <c r="AK187" s="100" t="str">
        <f aca="false">IF(ISBLANK($C187),"",IF($H187=Constants!$B$2,TRUE(),IF($H187=Constants!$B$3,FALSE(),TRUE())))</f>
        <v/>
      </c>
      <c r="AL187" s="100" t="str">
        <f aca="false">IF(ISBLANK($C187),"",IF(ISNUMBER($I187),IF($I187&gt;=0,$I187,""),""))</f>
        <v/>
      </c>
      <c r="AM187" s="100" t="str">
        <f aca="false">IF(ISBLANK($C187),"",IF(ISNUMBER($J187),IF($J187&gt;=0,$J187,""),""))</f>
        <v/>
      </c>
      <c r="AN187" s="100" t="str">
        <f aca="false">IF(ISBLANK($C187),"",IF(ISNUMBER($K187),IF($K187&gt;=0,$K187,""),""))</f>
        <v/>
      </c>
      <c r="AO187" s="100" t="str">
        <f aca="false">IF(ISBLANK($C187),"",IF($L187=Constants!$B$2,TRUE(),IF($L187=Constants!$B$3,FALSE(),TRUE())))</f>
        <v/>
      </c>
      <c r="AP187" s="100" t="str">
        <f aca="false">IF(ISBLANK($C187),"",IF($M187=Constants!$B$2,TRUE(),IF($M187=Constants!$B$3,FALSE(),TRUE())))</f>
        <v/>
      </c>
      <c r="AQ187" s="100" t="str">
        <f aca="false">IF(ISBLANK($C187),"",IF($N187=Constants!$B$2,TRUE(),IF($N187=Constants!$B$3,FALSE(),FALSE())))</f>
        <v/>
      </c>
      <c r="AR187" s="100" t="str">
        <f aca="false">IF(ISBLANK($C187),"",IF($O187=Constants!$B$2,TRUE(),IF($O187=Constants!$B$3,FALSE(),TRUE())))</f>
        <v/>
      </c>
      <c r="AS187" s="100" t="str">
        <f aca="false">IF(ISBLANK($C187),"",IF($P187=Constants!$B$2,TRUE(),IF($P187=Constants!$B$3,FALSE(),FALSE())))</f>
        <v/>
      </c>
      <c r="AT187" s="100" t="str">
        <f aca="false">IF(ISBLANK($C187),"",IF($Q187=Constants!$B$2,TRUE(),IF($Q187=Constants!$B$3,FALSE(),FALSE())))</f>
        <v/>
      </c>
      <c r="AU187" s="100" t="str">
        <f aca="false">IF(ISBLANK($C187),"",IF($R187=Constants!$B$2,TRUE(),IF($R187=Constants!$B$3,FALSE(),FALSE())))</f>
        <v/>
      </c>
      <c r="AV187" s="100" t="str">
        <f aca="false">IF(ISBLANK($C187),"",IF($S187=Constants!$B$2,TRUE(),IF($S187=Constants!$B$3,FALSE(),FALSE())))</f>
        <v/>
      </c>
      <c r="AW187" s="100" t="str">
        <f aca="false">IF(ISBLANK($C187),"",IF($T187=Constants!$B$2,TRUE(),IF($T187=Constants!$B$3,FALSE(),FALSE())))</f>
        <v/>
      </c>
      <c r="AX187" s="100" t="str">
        <f aca="false">IF(ISBLANK($C187),"",IF(OR($U187&amp;""="1",$U187&amp;""="2",$U187&amp;""="3",$U187&amp;""="4"),VALUE($U187&amp;""),IF($U187=Constants!$B$12,Constants!$B$12,"")))</f>
        <v/>
      </c>
      <c r="AY187" s="100" t="str">
        <f aca="false">IF(ISBLANK($C187),"",IF(ISBLANK($V187),0,IF(ISNUMBER($V187),IF(AND($V187&gt;=0,$V187&lt;=Constants!$B$21,$V187=INT($V187)),$V187,""),"")))</f>
        <v/>
      </c>
      <c r="AZ187" s="100" t="str">
        <f aca="false">IF(ISBLANK($C187),"",IF(ISBLANK($W187),0,IF(ISNUMBER($W187),IF($W187&gt;=0,$W187,""),"")))</f>
        <v/>
      </c>
      <c r="BA187" s="100" t="str">
        <f aca="false">IF(ISBLANK($C187),"",IF($X187=Constants!$B$2,TRUE(),IF($X187=Constants!$B$3,FALSE(),TRUE())))</f>
        <v/>
      </c>
      <c r="BB187" s="100" t="str">
        <f aca="false">IF(ISBLANK($C187),"",IF($Y187=Constants!$B$2,TRUE(),IF($Y187=Constants!$B$3,FALSE(),FALSE())))</f>
        <v/>
      </c>
      <c r="BC187" s="100" t="str">
        <f aca="false">IF(ISBLANK($C187),"",IF(ISBLANK($Z187),0,IF(ISNUMBER($Z187),IF(AND($Z187&gt;=0,$Z187&lt;=Constants!$B$35,$Z187=INT($Z187)),$Z187,""),"")))</f>
        <v/>
      </c>
      <c r="BD187" s="100" t="str">
        <f aca="false">IF(ISBLANK($C187),"",IF($AA187=Constants!$B$2,TRUE(),IF($AA187=Constants!$B$3,FALSE(),TRUE())))</f>
        <v/>
      </c>
      <c r="BE187" s="100" t="str">
        <f aca="false">IF(ISBLANK($C187),"",IF($AB187=Constants!$B$2,TRUE(),IF($AB187=Constants!$B$3,FALSE(),TRUE())))</f>
        <v/>
      </c>
      <c r="BF187" s="100" t="str">
        <f aca="false">IF(ISBLANK($C187),"",IF(ISNUMBER($AC187),IF($AC187&gt;=0,$AC187,""),""))</f>
        <v/>
      </c>
      <c r="BG187" s="100" t="str">
        <f aca="false">IF(ISBLANK($C187),"",IF($AD187=Constants!$B$2,TRUE(),IF($AD187=Constants!$B$3,FALSE(),FALSE())))</f>
        <v/>
      </c>
      <c r="BH187" s="99" t="str">
        <f aca="false">IF(ISBLANK($C187),"",IF($BG187,Constants!$B$7,IF(COUNTA($E187:$AC187)=0,Constants!$B$6,IF(OR(COUNTA($G187:$AC187)=0,NOT($AK187),$AQ187),Constants!$B$5,IF(OR($CI187&lt;&gt;"",$CJ187,$CK187,$CL187,$CM187,$CN187,$CO187),Constants!$B$8,Constants!$B$4)))))</f>
        <v/>
      </c>
      <c r="BI187" s="100" t="str">
        <f aca="false">IF(ISBLANK($C187),"",IF($BH187&lt;&gt;Constants!$B$4,$BH187,IF(OR(NOT($AH187),NOT($AJ187),NOT($AR187)),Constants!$B$11,IF(OR(NOT($AP187),MAX($AL187,$AM187,$AN187)&gt;Constants!$B$30),Constants!$B$10,Constants!$B$9))))</f>
        <v/>
      </c>
      <c r="BJ187" s="100" t="str">
        <f aca="false">IF($BH187&lt;&gt;Constants!$B$4,"",IF(NOT($AJ187),0,MIN(Constants!$B$35,$BC187)))</f>
        <v/>
      </c>
      <c r="BK187" s="100" t="str">
        <f aca="false">IF($BH187&lt;&gt;Constants!$B$4,"",IF(NOT($AJ187),0,IF($AT187,Constants!$B$18,IF($AS187,Constants!$B$17,0))))</f>
        <v/>
      </c>
      <c r="BL187" s="100" t="str">
        <f aca="false">IF($BH187&lt;&gt;Constants!$B$4,"",IF(NOT($AJ187),0,Constants!$B$19*($AI187+$AU187+$AV187+$AW187)))</f>
        <v/>
      </c>
      <c r="BM187" s="100" t="str">
        <f aca="false">IF($BH187&lt;&gt;Constants!$B$4,"",IF(OR(NOT($AJ187),NOT(ISNUMBER($AX187))),0,CHOOSE($AX187,Constants!$B$13,Constants!$B$14,Constants!$B$15,Constants!$B$16)))</f>
        <v/>
      </c>
      <c r="BN187" s="100" t="str">
        <f aca="false">IF($BH187&lt;&gt;Constants!$B$4,"",IF(NOT($AJ187),0,Constants!$B$20*$AY187))</f>
        <v/>
      </c>
      <c r="BO187" s="100" t="str">
        <f aca="false">IF($BH187&lt;&gt;Constants!$B$4,"",IF(AND($AJ187,$BA187,$BB187),Constants!$B$22,0))</f>
        <v/>
      </c>
      <c r="BP187" s="100" t="str">
        <f aca="false">IF($BH187&lt;&gt;Constants!$B$4,"",IF(OR(NOT($AJ187),NOT($BA187)),0,IF($BF187&gt;=2*$AF$9,0,Constants!$B$23*INT(ROUND(MIN($BF187,$AF$9),6)))))</f>
        <v/>
      </c>
      <c r="BQ187" s="100" t="str">
        <f aca="false">IF($BH187&lt;&gt;Constants!$B$4,"",IF(NOT($AJ187),0,Constants!$B$24*INT(ROUND(MIN($AZ187,$AF$9),6))))</f>
        <v/>
      </c>
      <c r="BR187" s="100" t="str">
        <f aca="false">IF($BH187&lt;&gt;Constants!$B$4,"",IF(AND($AJ187,$BJ187=0),Constants!$B$25,0))</f>
        <v/>
      </c>
      <c r="BS187" s="100" t="str">
        <f aca="false">IF($BH187&lt;&gt;Constants!$B$4,"",MIN(Constants!$B$29,MAX(0,Constants!$B$27*Constants!$B$28*INT(ROUND((Constants!$B$26-$AL187)/Constants!$B$28,6))))+MIN(Constants!$B$29,MAX(0,Constants!$B$27*Constants!$B$28*INT(ROUND((Constants!$B$26-$AM187)/Constants!$B$28,6))))+MIN(Constants!$B$29,MAX(0,Constants!$B$27*Constants!$B$28*INT(ROUND((Constants!$B$26-$AN187)/Constants!$B$28,6)))))</f>
        <v/>
      </c>
      <c r="BT187" s="100" t="str">
        <f aca="false">IF($BH187&lt;&gt;Constants!$B$4,"",IF(NOT($AJ187),0,Constants!$B$31*INT(ROUND(MAX(0,MIN($BF187,2*$AF$9)-$AF$9),6))))</f>
        <v/>
      </c>
      <c r="BU187" s="100" t="str">
        <f aca="false">IF($BH187&lt;&gt;Constants!$B$4,"",Constants!$B$32*(($AL187&gt;Constants!$B$26)+($AM187&gt;Constants!$B$26)+($AN187&gt;Constants!$B$26)))</f>
        <v/>
      </c>
      <c r="BV187" s="100" t="str">
        <f aca="false">IF($BH187&lt;&gt;Constants!$B$4,"",IF(OR(NOT($AJ187),$AO187),0,Constants!$B$33))</f>
        <v/>
      </c>
      <c r="BW187" s="100" t="str">
        <f aca="false">IF($BH187&lt;&gt;Constants!$B$4,"",Constants!$B$34*$BJ187)</f>
        <v/>
      </c>
      <c r="BX187" s="100" t="str">
        <f aca="false">IF($BH187&lt;&gt;Constants!$B$4,"",IF(OR(NOT($AJ187),$BE187),0,Constants!$B$36))</f>
        <v/>
      </c>
      <c r="BY187" s="100" t="str">
        <f aca="false">IF($BH187&lt;&gt;Constants!$B$4,"",IF(OR(NOT($AJ187),$BD187),0,Constants!$B$37))</f>
        <v/>
      </c>
      <c r="BZ187" s="100" t="str">
        <f aca="false">IF($BH187&lt;&gt;Constants!$B$4,"",SUM($BT187:$BY187))</f>
        <v/>
      </c>
      <c r="CA187" s="100" t="str">
        <f aca="false">IF(ISBLANK($C187),"",IF($BH187&lt;&gt;Constants!$B$4,$BH187,SUM($BK187:$BS187)-$BZ187))</f>
        <v/>
      </c>
      <c r="CB187" s="100" t="str">
        <f aca="false">IF(ISBLANK($C187),"",IF($BH187&lt;&gt;Constants!$B$4,$BH187,RANK($CA187,$CA$9:$CA$508)))</f>
        <v/>
      </c>
      <c r="CC187" s="100" t="str">
        <f aca="false">IF(ISBLANK($C187),"",IF($BH187&lt;&gt;Constants!$B$4,$BH187,COUNTIFS($BI$9:$BI$508,"&lt;"&amp;$BI187)+COUNTIFS($BI$9:$BI$508,$BI187,$CB$9:$CB$508,"&lt;"&amp;$CB187)+1))</f>
        <v/>
      </c>
      <c r="CD187" s="100" t="str">
        <f aca="false">IF(ISBLANK($C187),"",IF($BH187&lt;&gt;Constants!$B$4,$BH187,RANK($BZ187,$BZ$9:$BZ$508,1)))</f>
        <v/>
      </c>
      <c r="CE187" s="100" t="str">
        <f aca="false">IF($BH187&lt;&gt;Constants!$B$4,"",$AL187+$AM187+$AN187)</f>
        <v/>
      </c>
      <c r="CF187" s="100" t="str">
        <f aca="false">IF(ISBLANK($C187),"",IF($BH187&lt;&gt;Constants!$B$4,$BH187,RANK($CE187,$CE$9:$CE$508,1)))</f>
        <v/>
      </c>
      <c r="CG187" s="100" t="str">
        <f aca="false">IF(ISBLANK($C187),"",IF($BH187&lt;&gt;Constants!$B$4,$BH187,COUNTIFS($BI$9:$BI$508,"&lt;"&amp;$BI187)+COUNTIFS($BI$9:$BI$508,$BI187,$CB$9:$CB$508,"&lt;"&amp;$CB187)+COUNTIFS($BI$9:$BI$508,$BI187,$CB$9:$CB$508,$CB187,$CD$9:$CD$508,"&lt;"&amp;$CD187)+COUNTIFS($BI$9:$BI$508,$BI187,$CB$9:$CB$508,$CB187,$CD$9:$CD$508,$CD187,$CF$9:$CF$508,"&lt;"&amp;$CF187)+1))</f>
        <v/>
      </c>
      <c r="CH187" s="100" t="str">
        <f aca="false">IF(ISBLANK($C187),"",IF($BH187&lt;&gt;Constants!$B$4,$BH187,$CC187-$CG187))</f>
        <v/>
      </c>
      <c r="CI187" s="100" t="str">
        <f aca="false">IF(ISBLANK($C187),"",IF(NOT($AJ187),"",IF(ISBLANK($D$7),$CI$5,IF(NOT(ISNUMBER($D$7)),$CI$6,""))))</f>
        <v/>
      </c>
      <c r="CJ187" s="100" t="str">
        <f aca="false">IF(ISBLANK($C187),"",OR($AL187="",$AM187="",$AN187=""))</f>
        <v/>
      </c>
      <c r="CK187" s="100" t="str">
        <f aca="false">IF(ISBLANK($C187),"",AND($AJ187,$AX187=""))</f>
        <v/>
      </c>
      <c r="CL187" s="100" t="str">
        <f aca="false">IF(ISBLANK($C187),"",AND($AJ187,$AY187=""))</f>
        <v/>
      </c>
      <c r="CM187" s="100" t="str">
        <f aca="false">IF(ISBLANK($C187),"",AND($AJ187,$AZ187=""))</f>
        <v/>
      </c>
      <c r="CN187" s="100" t="str">
        <f aca="false">IF(ISBLANK($C187),"",AND($AJ187,$BC187=""))</f>
        <v/>
      </c>
      <c r="CO187" s="100" t="str">
        <f aca="false">IF(ISBLANK($C187),"",AND($AJ187,$BF187=""))</f>
        <v/>
      </c>
      <c r="CP187" s="101"/>
      <c r="CQ187" s="102"/>
      <c r="CR187" s="103" t="str">
        <f aca="false">IF(ISBLANK($C187),"",IF($BH187=Constants!$B$8,$CI187,""))</f>
        <v/>
      </c>
      <c r="CS187" s="102" t="str">
        <f aca="false">IF(ISBLANK($C187),"",IF($BH187&lt;&gt;Constants!$B$4,"",$BK187+$BL187))</f>
        <v/>
      </c>
      <c r="CT187" s="104" t="str">
        <f aca="false">IF(ISBLANK($C187),"",IF($BH187&lt;&gt;Constants!$B$4,"",$BM187+$BN187+$BO187))</f>
        <v/>
      </c>
      <c r="CU187" s="104" t="str">
        <f aca="false">IF(ISBLANK($C187),"",IF($BH187&lt;&gt;Constants!$B$4,"",$BP187))</f>
        <v/>
      </c>
      <c r="CV187" s="104" t="str">
        <f aca="false">IF(ISBLANK($C187),"",IF($BH187&lt;&gt;Constants!$B$4,"",$BQ187+$BR187))</f>
        <v/>
      </c>
      <c r="CW187" s="104" t="str">
        <f aca="false">IF(ISBLANK($C187),"",IF($BH187&lt;&gt;Constants!$B$4,"",$BS187))</f>
        <v/>
      </c>
      <c r="CX187" s="104" t="str">
        <f aca="false">IF(ISBLANK($C187),"",IF($BH187&lt;&gt;Constants!$B$4,"",-$BZ187))</f>
        <v/>
      </c>
      <c r="CY187" s="103" t="str">
        <f aca="false">IF(ISBLANK($C187),"",$CA187)</f>
        <v/>
      </c>
      <c r="CZ187" s="105" t="str">
        <f aca="false">IF(ISBLANK($C187),"",$BI187)</f>
        <v/>
      </c>
      <c r="DA187" s="104" t="str">
        <f aca="false">IF(ISBLANK($C187),"",$CH187)</f>
        <v/>
      </c>
      <c r="DB187" s="104" t="str">
        <f aca="false">IF(ISBLANK($C187),"",$CG187)</f>
        <v/>
      </c>
      <c r="DC187" s="106" t="str">
        <f aca="false">IF(ISBLANK($C187),"",IFERROR(_xlfn.SWITCH($DB187,Constants!$B$7,COUNTA($C$9:$C$508)+2,Constants!$B$6,COUNTA($C$9:$C$508)+1,Constants!$B$5,COUNTA($C$9:$C$508)),$DB187))</f>
        <v/>
      </c>
      <c r="DD187" s="7"/>
      <c r="DE187" s="107" t="n">
        <f aca="false">IF(OR(ISNUMBER($DB187),$DB187=Constants!$B$7,$DB187=Constants!$B$5,$DB187=Constants!$B$6),1,0)</f>
        <v>0</v>
      </c>
      <c r="DF187" s="107" t="n">
        <v>179</v>
      </c>
      <c r="DG187" s="107" t="str">
        <f aca="false">IF(ISBLANK($C187),"",IF(ISNUMBER($DC187),$DC187+ROW($B187)/1000,""))</f>
        <v/>
      </c>
      <c r="DH187" s="107" t="str">
        <f aca="false">IF(ISNUMBER($DG187),RANK($DG187,$DG$9:$DG$508,1),"")</f>
        <v/>
      </c>
      <c r="DI187" s="107" t="str">
        <f aca="false">IF(ISBLANK($C187),"",$B187)</f>
        <v/>
      </c>
      <c r="DJ187" s="107" t="str">
        <f aca="false">IF(ISBLANK($C187),"",$C187)</f>
        <v/>
      </c>
      <c r="DK187" s="107" t="str">
        <f aca="false">IF(ISBLANK($C187),"",$D187)</f>
        <v/>
      </c>
      <c r="DL187" s="108" t="str">
        <f aca="false">$CZ187</f>
        <v/>
      </c>
      <c r="DM187" s="109" t="str">
        <f aca="false">$CY187</f>
        <v/>
      </c>
      <c r="DN187" s="107" t="str">
        <f aca="false">IF(ISBLANK($C187),"",$DB187)</f>
        <v/>
      </c>
      <c r="DO187" s="110" t="str">
        <f aca="false">IF($DF187&gt;$DE$8,"",VLOOKUP($DF187,$DH$9:$DN$508,7,FALSE()))</f>
        <v/>
      </c>
      <c r="DP187" s="111" t="str">
        <f aca="false">IF($DF187&gt;$DE$8,"",VLOOKUP($DF187,$DH$9:$DN$508,2,FALSE()))</f>
        <v/>
      </c>
      <c r="DQ187" s="111" t="str">
        <f aca="false">IF($DF187&gt;$DE$8,"",VLOOKUP($DF187,$DH$9:$DN$508,3,FALSE()))</f>
        <v/>
      </c>
      <c r="DR187" s="111" t="str">
        <f aca="false">IF($DF187&gt;$DE$8,"",VLOOKUP($DF187,$DH$9:$DN$508,4,FALSE()))</f>
        <v/>
      </c>
      <c r="DS187" s="111" t="str">
        <f aca="false">IF($DF187&gt;$DE$8,"",VLOOKUP($DF187,$DH$9:$DN$508,5,FALSE()))</f>
        <v/>
      </c>
      <c r="DT187" s="112" t="str">
        <f aca="false">IF($DF187&gt;$DE$8,"",VLOOKUP($DF187,$DH$9:$DN$508,6,FALSE()))</f>
        <v/>
      </c>
      <c r="DU187" s="62"/>
    </row>
    <row r="188" customFormat="false" ht="15.75" hidden="false" customHeight="false" outlineLevel="0" collapsed="false">
      <c r="A188" s="7"/>
      <c r="B188" s="90"/>
      <c r="C188" s="91"/>
      <c r="D188" s="126"/>
      <c r="E188" s="130"/>
      <c r="F188" s="135"/>
      <c r="G188" s="130"/>
      <c r="H188" s="135"/>
      <c r="I188" s="131"/>
      <c r="J188" s="131"/>
      <c r="K188" s="131"/>
      <c r="L188" s="130"/>
      <c r="M188" s="130"/>
      <c r="N188" s="130"/>
      <c r="O188" s="135"/>
      <c r="P188" s="130"/>
      <c r="Q188" s="130"/>
      <c r="R188" s="130"/>
      <c r="S188" s="130"/>
      <c r="T188" s="135"/>
      <c r="U188" s="130"/>
      <c r="V188" s="96"/>
      <c r="W188" s="130"/>
      <c r="X188" s="130"/>
      <c r="Y188" s="96"/>
      <c r="Z188" s="96"/>
      <c r="AA188" s="130"/>
      <c r="AB188" s="130"/>
      <c r="AC188" s="97"/>
      <c r="AD188" s="130"/>
      <c r="AE188" s="99"/>
      <c r="AF188" s="100"/>
      <c r="AG188" s="100"/>
      <c r="AH188" s="100" t="str">
        <f aca="false">IF(ISBLANK($C188),"",IF($E188=Constants!$B$2,TRUE(),IF($E188=Constants!$B$3,FALSE(),TRUE())))</f>
        <v/>
      </c>
      <c r="AI188" s="100" t="str">
        <f aca="false">IF(ISBLANK($C188),"",IF($F188=Constants!$B$2,TRUE(),IF($F188=Constants!$B$3,FALSE(),FALSE())))</f>
        <v/>
      </c>
      <c r="AJ188" s="100" t="str">
        <f aca="false">IF(ISBLANK($C188),"",IF($G188=Constants!$B$2,TRUE(),IF($G188=Constants!$B$3,FALSE(),TRUE())))</f>
        <v/>
      </c>
      <c r="AK188" s="100" t="str">
        <f aca="false">IF(ISBLANK($C188),"",IF($H188=Constants!$B$2,TRUE(),IF($H188=Constants!$B$3,FALSE(),TRUE())))</f>
        <v/>
      </c>
      <c r="AL188" s="100" t="str">
        <f aca="false">IF(ISBLANK($C188),"",IF(ISNUMBER($I188),IF($I188&gt;=0,$I188,""),""))</f>
        <v/>
      </c>
      <c r="AM188" s="100" t="str">
        <f aca="false">IF(ISBLANK($C188),"",IF(ISNUMBER($J188),IF($J188&gt;=0,$J188,""),""))</f>
        <v/>
      </c>
      <c r="AN188" s="100" t="str">
        <f aca="false">IF(ISBLANK($C188),"",IF(ISNUMBER($K188),IF($K188&gt;=0,$K188,""),""))</f>
        <v/>
      </c>
      <c r="AO188" s="100" t="str">
        <f aca="false">IF(ISBLANK($C188),"",IF($L188=Constants!$B$2,TRUE(),IF($L188=Constants!$B$3,FALSE(),TRUE())))</f>
        <v/>
      </c>
      <c r="AP188" s="100" t="str">
        <f aca="false">IF(ISBLANK($C188),"",IF($M188=Constants!$B$2,TRUE(),IF($M188=Constants!$B$3,FALSE(),TRUE())))</f>
        <v/>
      </c>
      <c r="AQ188" s="100" t="str">
        <f aca="false">IF(ISBLANK($C188),"",IF($N188=Constants!$B$2,TRUE(),IF($N188=Constants!$B$3,FALSE(),FALSE())))</f>
        <v/>
      </c>
      <c r="AR188" s="100" t="str">
        <f aca="false">IF(ISBLANK($C188),"",IF($O188=Constants!$B$2,TRUE(),IF($O188=Constants!$B$3,FALSE(),TRUE())))</f>
        <v/>
      </c>
      <c r="AS188" s="100" t="str">
        <f aca="false">IF(ISBLANK($C188),"",IF($P188=Constants!$B$2,TRUE(),IF($P188=Constants!$B$3,FALSE(),FALSE())))</f>
        <v/>
      </c>
      <c r="AT188" s="100" t="str">
        <f aca="false">IF(ISBLANK($C188),"",IF($Q188=Constants!$B$2,TRUE(),IF($Q188=Constants!$B$3,FALSE(),FALSE())))</f>
        <v/>
      </c>
      <c r="AU188" s="100" t="str">
        <f aca="false">IF(ISBLANK($C188),"",IF($R188=Constants!$B$2,TRUE(),IF($R188=Constants!$B$3,FALSE(),FALSE())))</f>
        <v/>
      </c>
      <c r="AV188" s="100" t="str">
        <f aca="false">IF(ISBLANK($C188),"",IF($S188=Constants!$B$2,TRUE(),IF($S188=Constants!$B$3,FALSE(),FALSE())))</f>
        <v/>
      </c>
      <c r="AW188" s="100" t="str">
        <f aca="false">IF(ISBLANK($C188),"",IF($T188=Constants!$B$2,TRUE(),IF($T188=Constants!$B$3,FALSE(),FALSE())))</f>
        <v/>
      </c>
      <c r="AX188" s="100" t="str">
        <f aca="false">IF(ISBLANK($C188),"",IF(OR($U188&amp;""="1",$U188&amp;""="2",$U188&amp;""="3",$U188&amp;""="4"),VALUE($U188&amp;""),IF($U188=Constants!$B$12,Constants!$B$12,"")))</f>
        <v/>
      </c>
      <c r="AY188" s="100" t="str">
        <f aca="false">IF(ISBLANK($C188),"",IF(ISBLANK($V188),0,IF(ISNUMBER($V188),IF(AND($V188&gt;=0,$V188&lt;=Constants!$B$21,$V188=INT($V188)),$V188,""),"")))</f>
        <v/>
      </c>
      <c r="AZ188" s="100" t="str">
        <f aca="false">IF(ISBLANK($C188),"",IF(ISBLANK($W188),0,IF(ISNUMBER($W188),IF($W188&gt;=0,$W188,""),"")))</f>
        <v/>
      </c>
      <c r="BA188" s="100" t="str">
        <f aca="false">IF(ISBLANK($C188),"",IF($X188=Constants!$B$2,TRUE(),IF($X188=Constants!$B$3,FALSE(),TRUE())))</f>
        <v/>
      </c>
      <c r="BB188" s="100" t="str">
        <f aca="false">IF(ISBLANK($C188),"",IF($Y188=Constants!$B$2,TRUE(),IF($Y188=Constants!$B$3,FALSE(),FALSE())))</f>
        <v/>
      </c>
      <c r="BC188" s="100" t="str">
        <f aca="false">IF(ISBLANK($C188),"",IF(ISBLANK($Z188),0,IF(ISNUMBER($Z188),IF(AND($Z188&gt;=0,$Z188&lt;=Constants!$B$35,$Z188=INT($Z188)),$Z188,""),"")))</f>
        <v/>
      </c>
      <c r="BD188" s="100" t="str">
        <f aca="false">IF(ISBLANK($C188),"",IF($AA188=Constants!$B$2,TRUE(),IF($AA188=Constants!$B$3,FALSE(),TRUE())))</f>
        <v/>
      </c>
      <c r="BE188" s="100" t="str">
        <f aca="false">IF(ISBLANK($C188),"",IF($AB188=Constants!$B$2,TRUE(),IF($AB188=Constants!$B$3,FALSE(),TRUE())))</f>
        <v/>
      </c>
      <c r="BF188" s="100" t="str">
        <f aca="false">IF(ISBLANK($C188),"",IF(ISNUMBER($AC188),IF($AC188&gt;=0,$AC188,""),""))</f>
        <v/>
      </c>
      <c r="BG188" s="100" t="str">
        <f aca="false">IF(ISBLANK($C188),"",IF($AD188=Constants!$B$2,TRUE(),IF($AD188=Constants!$B$3,FALSE(),FALSE())))</f>
        <v/>
      </c>
      <c r="BH188" s="99" t="str">
        <f aca="false">IF(ISBLANK($C188),"",IF($BG188,Constants!$B$7,IF(COUNTA($E188:$AC188)=0,Constants!$B$6,IF(OR(COUNTA($G188:$AC188)=0,NOT($AK188),$AQ188),Constants!$B$5,IF(OR($CI188&lt;&gt;"",$CJ188,$CK188,$CL188,$CM188,$CN188,$CO188),Constants!$B$8,Constants!$B$4)))))</f>
        <v/>
      </c>
      <c r="BI188" s="100" t="str">
        <f aca="false">IF(ISBLANK($C188),"",IF($BH188&lt;&gt;Constants!$B$4,$BH188,IF(OR(NOT($AH188),NOT($AJ188),NOT($AR188)),Constants!$B$11,IF(OR(NOT($AP188),MAX($AL188,$AM188,$AN188)&gt;Constants!$B$30),Constants!$B$10,Constants!$B$9))))</f>
        <v/>
      </c>
      <c r="BJ188" s="100" t="str">
        <f aca="false">IF($BH188&lt;&gt;Constants!$B$4,"",IF(NOT($AJ188),0,MIN(Constants!$B$35,$BC188)))</f>
        <v/>
      </c>
      <c r="BK188" s="100" t="str">
        <f aca="false">IF($BH188&lt;&gt;Constants!$B$4,"",IF(NOT($AJ188),0,IF($AT188,Constants!$B$18,IF($AS188,Constants!$B$17,0))))</f>
        <v/>
      </c>
      <c r="BL188" s="100" t="str">
        <f aca="false">IF($BH188&lt;&gt;Constants!$B$4,"",IF(NOT($AJ188),0,Constants!$B$19*($AI188+$AU188+$AV188+$AW188)))</f>
        <v/>
      </c>
      <c r="BM188" s="100" t="str">
        <f aca="false">IF($BH188&lt;&gt;Constants!$B$4,"",IF(OR(NOT($AJ188),NOT(ISNUMBER($AX188))),0,CHOOSE($AX188,Constants!$B$13,Constants!$B$14,Constants!$B$15,Constants!$B$16)))</f>
        <v/>
      </c>
      <c r="BN188" s="100" t="str">
        <f aca="false">IF($BH188&lt;&gt;Constants!$B$4,"",IF(NOT($AJ188),0,Constants!$B$20*$AY188))</f>
        <v/>
      </c>
      <c r="BO188" s="100" t="str">
        <f aca="false">IF($BH188&lt;&gt;Constants!$B$4,"",IF(AND($AJ188,$BA188,$BB188),Constants!$B$22,0))</f>
        <v/>
      </c>
      <c r="BP188" s="100" t="str">
        <f aca="false">IF($BH188&lt;&gt;Constants!$B$4,"",IF(OR(NOT($AJ188),NOT($BA188)),0,IF($BF188&gt;=2*$AF$9,0,Constants!$B$23*INT(ROUND(MIN($BF188,$AF$9),6)))))</f>
        <v/>
      </c>
      <c r="BQ188" s="100" t="str">
        <f aca="false">IF($BH188&lt;&gt;Constants!$B$4,"",IF(NOT($AJ188),0,Constants!$B$24*INT(ROUND(MIN($AZ188,$AF$9),6))))</f>
        <v/>
      </c>
      <c r="BR188" s="100" t="str">
        <f aca="false">IF($BH188&lt;&gt;Constants!$B$4,"",IF(AND($AJ188,$BJ188=0),Constants!$B$25,0))</f>
        <v/>
      </c>
      <c r="BS188" s="100" t="str">
        <f aca="false">IF($BH188&lt;&gt;Constants!$B$4,"",MIN(Constants!$B$29,MAX(0,Constants!$B$27*Constants!$B$28*INT(ROUND((Constants!$B$26-$AL188)/Constants!$B$28,6))))+MIN(Constants!$B$29,MAX(0,Constants!$B$27*Constants!$B$28*INT(ROUND((Constants!$B$26-$AM188)/Constants!$B$28,6))))+MIN(Constants!$B$29,MAX(0,Constants!$B$27*Constants!$B$28*INT(ROUND((Constants!$B$26-$AN188)/Constants!$B$28,6)))))</f>
        <v/>
      </c>
      <c r="BT188" s="100" t="str">
        <f aca="false">IF($BH188&lt;&gt;Constants!$B$4,"",IF(NOT($AJ188),0,Constants!$B$31*INT(ROUND(MAX(0,MIN($BF188,2*$AF$9)-$AF$9),6))))</f>
        <v/>
      </c>
      <c r="BU188" s="100" t="str">
        <f aca="false">IF($BH188&lt;&gt;Constants!$B$4,"",Constants!$B$32*(($AL188&gt;Constants!$B$26)+($AM188&gt;Constants!$B$26)+($AN188&gt;Constants!$B$26)))</f>
        <v/>
      </c>
      <c r="BV188" s="100" t="str">
        <f aca="false">IF($BH188&lt;&gt;Constants!$B$4,"",IF(OR(NOT($AJ188),$AO188),0,Constants!$B$33))</f>
        <v/>
      </c>
      <c r="BW188" s="100" t="str">
        <f aca="false">IF($BH188&lt;&gt;Constants!$B$4,"",Constants!$B$34*$BJ188)</f>
        <v/>
      </c>
      <c r="BX188" s="100" t="str">
        <f aca="false">IF($BH188&lt;&gt;Constants!$B$4,"",IF(OR(NOT($AJ188),$BE188),0,Constants!$B$36))</f>
        <v/>
      </c>
      <c r="BY188" s="100" t="str">
        <f aca="false">IF($BH188&lt;&gt;Constants!$B$4,"",IF(OR(NOT($AJ188),$BD188),0,Constants!$B$37))</f>
        <v/>
      </c>
      <c r="BZ188" s="100" t="str">
        <f aca="false">IF($BH188&lt;&gt;Constants!$B$4,"",SUM($BT188:$BY188))</f>
        <v/>
      </c>
      <c r="CA188" s="100" t="str">
        <f aca="false">IF(ISBLANK($C188),"",IF($BH188&lt;&gt;Constants!$B$4,$BH188,SUM($BK188:$BS188)-$BZ188))</f>
        <v/>
      </c>
      <c r="CB188" s="100" t="str">
        <f aca="false">IF(ISBLANK($C188),"",IF($BH188&lt;&gt;Constants!$B$4,$BH188,RANK($CA188,$CA$9:$CA$508)))</f>
        <v/>
      </c>
      <c r="CC188" s="100" t="str">
        <f aca="false">IF(ISBLANK($C188),"",IF($BH188&lt;&gt;Constants!$B$4,$BH188,COUNTIFS($BI$9:$BI$508,"&lt;"&amp;$BI188)+COUNTIFS($BI$9:$BI$508,$BI188,$CB$9:$CB$508,"&lt;"&amp;$CB188)+1))</f>
        <v/>
      </c>
      <c r="CD188" s="100" t="str">
        <f aca="false">IF(ISBLANK($C188),"",IF($BH188&lt;&gt;Constants!$B$4,$BH188,RANK($BZ188,$BZ$9:$BZ$508,1)))</f>
        <v/>
      </c>
      <c r="CE188" s="100" t="str">
        <f aca="false">IF($BH188&lt;&gt;Constants!$B$4,"",$AL188+$AM188+$AN188)</f>
        <v/>
      </c>
      <c r="CF188" s="100" t="str">
        <f aca="false">IF(ISBLANK($C188),"",IF($BH188&lt;&gt;Constants!$B$4,$BH188,RANK($CE188,$CE$9:$CE$508,1)))</f>
        <v/>
      </c>
      <c r="CG188" s="100" t="str">
        <f aca="false">IF(ISBLANK($C188),"",IF($BH188&lt;&gt;Constants!$B$4,$BH188,COUNTIFS($BI$9:$BI$508,"&lt;"&amp;$BI188)+COUNTIFS($BI$9:$BI$508,$BI188,$CB$9:$CB$508,"&lt;"&amp;$CB188)+COUNTIFS($BI$9:$BI$508,$BI188,$CB$9:$CB$508,$CB188,$CD$9:$CD$508,"&lt;"&amp;$CD188)+COUNTIFS($BI$9:$BI$508,$BI188,$CB$9:$CB$508,$CB188,$CD$9:$CD$508,$CD188,$CF$9:$CF$508,"&lt;"&amp;$CF188)+1))</f>
        <v/>
      </c>
      <c r="CH188" s="100" t="str">
        <f aca="false">IF(ISBLANK($C188),"",IF($BH188&lt;&gt;Constants!$B$4,$BH188,$CC188-$CG188))</f>
        <v/>
      </c>
      <c r="CI188" s="100" t="str">
        <f aca="false">IF(ISBLANK($C188),"",IF(NOT($AJ188),"",IF(ISBLANK($D$7),$CI$5,IF(NOT(ISNUMBER($D$7)),$CI$6,""))))</f>
        <v/>
      </c>
      <c r="CJ188" s="100" t="str">
        <f aca="false">IF(ISBLANK($C188),"",OR($AL188="",$AM188="",$AN188=""))</f>
        <v/>
      </c>
      <c r="CK188" s="100" t="str">
        <f aca="false">IF(ISBLANK($C188),"",AND($AJ188,$AX188=""))</f>
        <v/>
      </c>
      <c r="CL188" s="100" t="str">
        <f aca="false">IF(ISBLANK($C188),"",AND($AJ188,$AY188=""))</f>
        <v/>
      </c>
      <c r="CM188" s="100" t="str">
        <f aca="false">IF(ISBLANK($C188),"",AND($AJ188,$AZ188=""))</f>
        <v/>
      </c>
      <c r="CN188" s="100" t="str">
        <f aca="false">IF(ISBLANK($C188),"",AND($AJ188,$BC188=""))</f>
        <v/>
      </c>
      <c r="CO188" s="100" t="str">
        <f aca="false">IF(ISBLANK($C188),"",AND($AJ188,$BF188=""))</f>
        <v/>
      </c>
      <c r="CP188" s="101"/>
      <c r="CQ188" s="102"/>
      <c r="CR188" s="103" t="str">
        <f aca="false">IF(ISBLANK($C188),"",IF($BH188=Constants!$B$8,$CI188,""))</f>
        <v/>
      </c>
      <c r="CS188" s="102" t="str">
        <f aca="false">IF(ISBLANK($C188),"",IF($BH188&lt;&gt;Constants!$B$4,"",$BK188+$BL188))</f>
        <v/>
      </c>
      <c r="CT188" s="104" t="str">
        <f aca="false">IF(ISBLANK($C188),"",IF($BH188&lt;&gt;Constants!$B$4,"",$BM188+$BN188+$BO188))</f>
        <v/>
      </c>
      <c r="CU188" s="104" t="str">
        <f aca="false">IF(ISBLANK($C188),"",IF($BH188&lt;&gt;Constants!$B$4,"",$BP188))</f>
        <v/>
      </c>
      <c r="CV188" s="104" t="str">
        <f aca="false">IF(ISBLANK($C188),"",IF($BH188&lt;&gt;Constants!$B$4,"",$BQ188+$BR188))</f>
        <v/>
      </c>
      <c r="CW188" s="104" t="str">
        <f aca="false">IF(ISBLANK($C188),"",IF($BH188&lt;&gt;Constants!$B$4,"",$BS188))</f>
        <v/>
      </c>
      <c r="CX188" s="104" t="str">
        <f aca="false">IF(ISBLANK($C188),"",IF($BH188&lt;&gt;Constants!$B$4,"",-$BZ188))</f>
        <v/>
      </c>
      <c r="CY188" s="103" t="str">
        <f aca="false">IF(ISBLANK($C188),"",$CA188)</f>
        <v/>
      </c>
      <c r="CZ188" s="105" t="str">
        <f aca="false">IF(ISBLANK($C188),"",$BI188)</f>
        <v/>
      </c>
      <c r="DA188" s="104" t="str">
        <f aca="false">IF(ISBLANK($C188),"",$CH188)</f>
        <v/>
      </c>
      <c r="DB188" s="104" t="str">
        <f aca="false">IF(ISBLANK($C188),"",$CG188)</f>
        <v/>
      </c>
      <c r="DC188" s="106" t="str">
        <f aca="false">IF(ISBLANK($C188),"",IFERROR(_xlfn.SWITCH($DB188,Constants!$B$7,COUNTA($C$9:$C$508)+2,Constants!$B$6,COUNTA($C$9:$C$508)+1,Constants!$B$5,COUNTA($C$9:$C$508)),$DB188))</f>
        <v/>
      </c>
      <c r="DD188" s="7"/>
      <c r="DE188" s="107" t="n">
        <f aca="false">IF(OR(ISNUMBER($DB188),$DB188=Constants!$B$7,$DB188=Constants!$B$5,$DB188=Constants!$B$6),1,0)</f>
        <v>0</v>
      </c>
      <c r="DF188" s="107" t="n">
        <v>180</v>
      </c>
      <c r="DG188" s="107" t="str">
        <f aca="false">IF(ISBLANK($C188),"",IF(ISNUMBER($DC188),$DC188+ROW($B188)/1000,""))</f>
        <v/>
      </c>
      <c r="DH188" s="107" t="str">
        <f aca="false">IF(ISNUMBER($DG188),RANK($DG188,$DG$9:$DG$508,1),"")</f>
        <v/>
      </c>
      <c r="DI188" s="107" t="str">
        <f aca="false">IF(ISBLANK($C188),"",$B188)</f>
        <v/>
      </c>
      <c r="DJ188" s="107" t="str">
        <f aca="false">IF(ISBLANK($C188),"",$C188)</f>
        <v/>
      </c>
      <c r="DK188" s="107" t="str">
        <f aca="false">IF(ISBLANK($C188),"",$D188)</f>
        <v/>
      </c>
      <c r="DL188" s="108" t="str">
        <f aca="false">$CZ188</f>
        <v/>
      </c>
      <c r="DM188" s="109" t="str">
        <f aca="false">$CY188</f>
        <v/>
      </c>
      <c r="DN188" s="107" t="str">
        <f aca="false">IF(ISBLANK($C188),"",$DB188)</f>
        <v/>
      </c>
      <c r="DO188" s="110" t="str">
        <f aca="false">IF($DF188&gt;$DE$8,"",VLOOKUP($DF188,$DH$9:$DN$508,7,FALSE()))</f>
        <v/>
      </c>
      <c r="DP188" s="111" t="str">
        <f aca="false">IF($DF188&gt;$DE$8,"",VLOOKUP($DF188,$DH$9:$DN$508,2,FALSE()))</f>
        <v/>
      </c>
      <c r="DQ188" s="111" t="str">
        <f aca="false">IF($DF188&gt;$DE$8,"",VLOOKUP($DF188,$DH$9:$DN$508,3,FALSE()))</f>
        <v/>
      </c>
      <c r="DR188" s="111" t="str">
        <f aca="false">IF($DF188&gt;$DE$8,"",VLOOKUP($DF188,$DH$9:$DN$508,4,FALSE()))</f>
        <v/>
      </c>
      <c r="DS188" s="111" t="str">
        <f aca="false">IF($DF188&gt;$DE$8,"",VLOOKUP($DF188,$DH$9:$DN$508,5,FALSE()))</f>
        <v/>
      </c>
      <c r="DT188" s="112" t="str">
        <f aca="false">IF($DF188&gt;$DE$8,"",VLOOKUP($DF188,$DH$9:$DN$508,6,FALSE()))</f>
        <v/>
      </c>
      <c r="DU188" s="62"/>
    </row>
    <row r="189" customFormat="false" ht="15.75" hidden="false" customHeight="false" outlineLevel="0" collapsed="false">
      <c r="A189" s="7"/>
      <c r="B189" s="64"/>
      <c r="C189" s="65"/>
      <c r="D189" s="123"/>
      <c r="E189" s="88"/>
      <c r="F189" s="134"/>
      <c r="G189" s="88"/>
      <c r="H189" s="134"/>
      <c r="I189" s="119"/>
      <c r="J189" s="119"/>
      <c r="K189" s="119"/>
      <c r="L189" s="88"/>
      <c r="M189" s="88"/>
      <c r="N189" s="88"/>
      <c r="O189" s="134"/>
      <c r="P189" s="88"/>
      <c r="Q189" s="88"/>
      <c r="R189" s="88"/>
      <c r="S189" s="88"/>
      <c r="T189" s="134"/>
      <c r="U189" s="88"/>
      <c r="V189" s="70"/>
      <c r="W189" s="88"/>
      <c r="X189" s="88"/>
      <c r="Y189" s="70"/>
      <c r="Z189" s="70"/>
      <c r="AA189" s="88"/>
      <c r="AB189" s="88"/>
      <c r="AC189" s="71"/>
      <c r="AD189" s="88"/>
      <c r="AE189" s="73"/>
      <c r="AF189" s="74"/>
      <c r="AG189" s="74"/>
      <c r="AH189" s="74" t="str">
        <f aca="false">IF(ISBLANK($C189),"",IF($E189=Constants!$B$2,TRUE(),IF($E189=Constants!$B$3,FALSE(),TRUE())))</f>
        <v/>
      </c>
      <c r="AI189" s="74" t="str">
        <f aca="false">IF(ISBLANK($C189),"",IF($F189=Constants!$B$2,TRUE(),IF($F189=Constants!$B$3,FALSE(),FALSE())))</f>
        <v/>
      </c>
      <c r="AJ189" s="74" t="str">
        <f aca="false">IF(ISBLANK($C189),"",IF($G189=Constants!$B$2,TRUE(),IF($G189=Constants!$B$3,FALSE(),TRUE())))</f>
        <v/>
      </c>
      <c r="AK189" s="74" t="str">
        <f aca="false">IF(ISBLANK($C189),"",IF($H189=Constants!$B$2,TRUE(),IF($H189=Constants!$B$3,FALSE(),TRUE())))</f>
        <v/>
      </c>
      <c r="AL189" s="74" t="str">
        <f aca="false">IF(ISBLANK($C189),"",IF(ISNUMBER($I189),IF($I189&gt;=0,$I189,""),""))</f>
        <v/>
      </c>
      <c r="AM189" s="74" t="str">
        <f aca="false">IF(ISBLANK($C189),"",IF(ISNUMBER($J189),IF($J189&gt;=0,$J189,""),""))</f>
        <v/>
      </c>
      <c r="AN189" s="74" t="str">
        <f aca="false">IF(ISBLANK($C189),"",IF(ISNUMBER($K189),IF($K189&gt;=0,$K189,""),""))</f>
        <v/>
      </c>
      <c r="AO189" s="74" t="str">
        <f aca="false">IF(ISBLANK($C189),"",IF($L189=Constants!$B$2,TRUE(),IF($L189=Constants!$B$3,FALSE(),TRUE())))</f>
        <v/>
      </c>
      <c r="AP189" s="74" t="str">
        <f aca="false">IF(ISBLANK($C189),"",IF($M189=Constants!$B$2,TRUE(),IF($M189=Constants!$B$3,FALSE(),TRUE())))</f>
        <v/>
      </c>
      <c r="AQ189" s="74" t="str">
        <f aca="false">IF(ISBLANK($C189),"",IF($N189=Constants!$B$2,TRUE(),IF($N189=Constants!$B$3,FALSE(),FALSE())))</f>
        <v/>
      </c>
      <c r="AR189" s="74" t="str">
        <f aca="false">IF(ISBLANK($C189),"",IF($O189=Constants!$B$2,TRUE(),IF($O189=Constants!$B$3,FALSE(),TRUE())))</f>
        <v/>
      </c>
      <c r="AS189" s="74" t="str">
        <f aca="false">IF(ISBLANK($C189),"",IF($P189=Constants!$B$2,TRUE(),IF($P189=Constants!$B$3,FALSE(),FALSE())))</f>
        <v/>
      </c>
      <c r="AT189" s="74" t="str">
        <f aca="false">IF(ISBLANK($C189),"",IF($Q189=Constants!$B$2,TRUE(),IF($Q189=Constants!$B$3,FALSE(),FALSE())))</f>
        <v/>
      </c>
      <c r="AU189" s="74" t="str">
        <f aca="false">IF(ISBLANK($C189),"",IF($R189=Constants!$B$2,TRUE(),IF($R189=Constants!$B$3,FALSE(),FALSE())))</f>
        <v/>
      </c>
      <c r="AV189" s="74" t="str">
        <f aca="false">IF(ISBLANK($C189),"",IF($S189=Constants!$B$2,TRUE(),IF($S189=Constants!$B$3,FALSE(),FALSE())))</f>
        <v/>
      </c>
      <c r="AW189" s="74" t="str">
        <f aca="false">IF(ISBLANK($C189),"",IF($T189=Constants!$B$2,TRUE(),IF($T189=Constants!$B$3,FALSE(),FALSE())))</f>
        <v/>
      </c>
      <c r="AX189" s="74" t="str">
        <f aca="false">IF(ISBLANK($C189),"",IF(OR($U189&amp;""="1",$U189&amp;""="2",$U189&amp;""="3",$U189&amp;""="4"),VALUE($U189&amp;""),IF($U189=Constants!$B$12,Constants!$B$12,"")))</f>
        <v/>
      </c>
      <c r="AY189" s="74" t="str">
        <f aca="false">IF(ISBLANK($C189),"",IF(ISBLANK($V189),0,IF(ISNUMBER($V189),IF(AND($V189&gt;=0,$V189&lt;=Constants!$B$21,$V189=INT($V189)),$V189,""),"")))</f>
        <v/>
      </c>
      <c r="AZ189" s="74" t="str">
        <f aca="false">IF(ISBLANK($C189),"",IF(ISBLANK($W189),0,IF(ISNUMBER($W189),IF($W189&gt;=0,$W189,""),"")))</f>
        <v/>
      </c>
      <c r="BA189" s="74" t="str">
        <f aca="false">IF(ISBLANK($C189),"",IF($X189=Constants!$B$2,TRUE(),IF($X189=Constants!$B$3,FALSE(),TRUE())))</f>
        <v/>
      </c>
      <c r="BB189" s="74" t="str">
        <f aca="false">IF(ISBLANK($C189),"",IF($Y189=Constants!$B$2,TRUE(),IF($Y189=Constants!$B$3,FALSE(),FALSE())))</f>
        <v/>
      </c>
      <c r="BC189" s="74" t="str">
        <f aca="false">IF(ISBLANK($C189),"",IF(ISBLANK($Z189),0,IF(ISNUMBER($Z189),IF(AND($Z189&gt;=0,$Z189&lt;=Constants!$B$35,$Z189=INT($Z189)),$Z189,""),"")))</f>
        <v/>
      </c>
      <c r="BD189" s="74" t="str">
        <f aca="false">IF(ISBLANK($C189),"",IF($AA189=Constants!$B$2,TRUE(),IF($AA189=Constants!$B$3,FALSE(),TRUE())))</f>
        <v/>
      </c>
      <c r="BE189" s="74" t="str">
        <f aca="false">IF(ISBLANK($C189),"",IF($AB189=Constants!$B$2,TRUE(),IF($AB189=Constants!$B$3,FALSE(),TRUE())))</f>
        <v/>
      </c>
      <c r="BF189" s="74" t="str">
        <f aca="false">IF(ISBLANK($C189),"",IF(ISNUMBER($AC189),IF($AC189&gt;=0,$AC189,""),""))</f>
        <v/>
      </c>
      <c r="BG189" s="74" t="str">
        <f aca="false">IF(ISBLANK($C189),"",IF($AD189=Constants!$B$2,TRUE(),IF($AD189=Constants!$B$3,FALSE(),FALSE())))</f>
        <v/>
      </c>
      <c r="BH189" s="73" t="str">
        <f aca="false">IF(ISBLANK($C189),"",IF($BG189,Constants!$B$7,IF(COUNTA($E189:$AC189)=0,Constants!$B$6,IF(OR(COUNTA($G189:$AC189)=0,NOT($AK189),$AQ189),Constants!$B$5,IF(OR($CI189&lt;&gt;"",$CJ189,$CK189,$CL189,$CM189,$CN189,$CO189),Constants!$B$8,Constants!$B$4)))))</f>
        <v/>
      </c>
      <c r="BI189" s="74" t="str">
        <f aca="false">IF(ISBLANK($C189),"",IF($BH189&lt;&gt;Constants!$B$4,$BH189,IF(OR(NOT($AH189),NOT($AJ189),NOT($AR189)),Constants!$B$11,IF(OR(NOT($AP189),MAX($AL189,$AM189,$AN189)&gt;Constants!$B$30),Constants!$B$10,Constants!$B$9))))</f>
        <v/>
      </c>
      <c r="BJ189" s="74" t="str">
        <f aca="false">IF($BH189&lt;&gt;Constants!$B$4,"",IF(NOT($AJ189),0,MIN(Constants!$B$35,$BC189)))</f>
        <v/>
      </c>
      <c r="BK189" s="74" t="str">
        <f aca="false">IF($BH189&lt;&gt;Constants!$B$4,"",IF(NOT($AJ189),0,IF($AT189,Constants!$B$18,IF($AS189,Constants!$B$17,0))))</f>
        <v/>
      </c>
      <c r="BL189" s="74" t="str">
        <f aca="false">IF($BH189&lt;&gt;Constants!$B$4,"",IF(NOT($AJ189),0,Constants!$B$19*($AI189+$AU189+$AV189+$AW189)))</f>
        <v/>
      </c>
      <c r="BM189" s="74" t="str">
        <f aca="false">IF($BH189&lt;&gt;Constants!$B$4,"",IF(OR(NOT($AJ189),NOT(ISNUMBER($AX189))),0,CHOOSE($AX189,Constants!$B$13,Constants!$B$14,Constants!$B$15,Constants!$B$16)))</f>
        <v/>
      </c>
      <c r="BN189" s="74" t="str">
        <f aca="false">IF($BH189&lt;&gt;Constants!$B$4,"",IF(NOT($AJ189),0,Constants!$B$20*$AY189))</f>
        <v/>
      </c>
      <c r="BO189" s="74" t="str">
        <f aca="false">IF($BH189&lt;&gt;Constants!$B$4,"",IF(AND($AJ189,$BA189,$BB189),Constants!$B$22,0))</f>
        <v/>
      </c>
      <c r="BP189" s="74" t="str">
        <f aca="false">IF($BH189&lt;&gt;Constants!$B$4,"",IF(OR(NOT($AJ189),NOT($BA189)),0,IF($BF189&gt;=2*$AF$9,0,Constants!$B$23*INT(ROUND(MIN($BF189,$AF$9),6)))))</f>
        <v/>
      </c>
      <c r="BQ189" s="74" t="str">
        <f aca="false">IF($BH189&lt;&gt;Constants!$B$4,"",IF(NOT($AJ189),0,Constants!$B$24*INT(ROUND(MIN($AZ189,$AF$9),6))))</f>
        <v/>
      </c>
      <c r="BR189" s="74" t="str">
        <f aca="false">IF($BH189&lt;&gt;Constants!$B$4,"",IF(AND($AJ189,$BJ189=0),Constants!$B$25,0))</f>
        <v/>
      </c>
      <c r="BS189" s="74" t="str">
        <f aca="false">IF($BH189&lt;&gt;Constants!$B$4,"",MIN(Constants!$B$29,MAX(0,Constants!$B$27*Constants!$B$28*INT(ROUND((Constants!$B$26-$AL189)/Constants!$B$28,6))))+MIN(Constants!$B$29,MAX(0,Constants!$B$27*Constants!$B$28*INT(ROUND((Constants!$B$26-$AM189)/Constants!$B$28,6))))+MIN(Constants!$B$29,MAX(0,Constants!$B$27*Constants!$B$28*INT(ROUND((Constants!$B$26-$AN189)/Constants!$B$28,6)))))</f>
        <v/>
      </c>
      <c r="BT189" s="74" t="str">
        <f aca="false">IF($BH189&lt;&gt;Constants!$B$4,"",IF(NOT($AJ189),0,Constants!$B$31*INT(ROUND(MAX(0,MIN($BF189,2*$AF$9)-$AF$9),6))))</f>
        <v/>
      </c>
      <c r="BU189" s="74" t="str">
        <f aca="false">IF($BH189&lt;&gt;Constants!$B$4,"",Constants!$B$32*(($AL189&gt;Constants!$B$26)+($AM189&gt;Constants!$B$26)+($AN189&gt;Constants!$B$26)))</f>
        <v/>
      </c>
      <c r="BV189" s="74" t="str">
        <f aca="false">IF($BH189&lt;&gt;Constants!$B$4,"",IF(OR(NOT($AJ189),$AO189),0,Constants!$B$33))</f>
        <v/>
      </c>
      <c r="BW189" s="74" t="str">
        <f aca="false">IF($BH189&lt;&gt;Constants!$B$4,"",Constants!$B$34*$BJ189)</f>
        <v/>
      </c>
      <c r="BX189" s="74" t="str">
        <f aca="false">IF($BH189&lt;&gt;Constants!$B$4,"",IF(OR(NOT($AJ189),$BE189),0,Constants!$B$36))</f>
        <v/>
      </c>
      <c r="BY189" s="74" t="str">
        <f aca="false">IF($BH189&lt;&gt;Constants!$B$4,"",IF(OR(NOT($AJ189),$BD189),0,Constants!$B$37))</f>
        <v/>
      </c>
      <c r="BZ189" s="74" t="str">
        <f aca="false">IF($BH189&lt;&gt;Constants!$B$4,"",SUM($BT189:$BY189))</f>
        <v/>
      </c>
      <c r="CA189" s="74" t="str">
        <f aca="false">IF(ISBLANK($C189),"",IF($BH189&lt;&gt;Constants!$B$4,$BH189,SUM($BK189:$BS189)-$BZ189))</f>
        <v/>
      </c>
      <c r="CB189" s="74" t="str">
        <f aca="false">IF(ISBLANK($C189),"",IF($BH189&lt;&gt;Constants!$B$4,$BH189,RANK($CA189,$CA$9:$CA$508)))</f>
        <v/>
      </c>
      <c r="CC189" s="74" t="str">
        <f aca="false">IF(ISBLANK($C189),"",IF($BH189&lt;&gt;Constants!$B$4,$BH189,COUNTIFS($BI$9:$BI$508,"&lt;"&amp;$BI189)+COUNTIFS($BI$9:$BI$508,$BI189,$CB$9:$CB$508,"&lt;"&amp;$CB189)+1))</f>
        <v/>
      </c>
      <c r="CD189" s="74" t="str">
        <f aca="false">IF(ISBLANK($C189),"",IF($BH189&lt;&gt;Constants!$B$4,$BH189,RANK($BZ189,$BZ$9:$BZ$508,1)))</f>
        <v/>
      </c>
      <c r="CE189" s="74" t="str">
        <f aca="false">IF($BH189&lt;&gt;Constants!$B$4,"",$AL189+$AM189+$AN189)</f>
        <v/>
      </c>
      <c r="CF189" s="74" t="str">
        <f aca="false">IF(ISBLANK($C189),"",IF($BH189&lt;&gt;Constants!$B$4,$BH189,RANK($CE189,$CE$9:$CE$508,1)))</f>
        <v/>
      </c>
      <c r="CG189" s="74" t="str">
        <f aca="false">IF(ISBLANK($C189),"",IF($BH189&lt;&gt;Constants!$B$4,$BH189,COUNTIFS($BI$9:$BI$508,"&lt;"&amp;$BI189)+COUNTIFS($BI$9:$BI$508,$BI189,$CB$9:$CB$508,"&lt;"&amp;$CB189)+COUNTIFS($BI$9:$BI$508,$BI189,$CB$9:$CB$508,$CB189,$CD$9:$CD$508,"&lt;"&amp;$CD189)+COUNTIFS($BI$9:$BI$508,$BI189,$CB$9:$CB$508,$CB189,$CD$9:$CD$508,$CD189,$CF$9:$CF$508,"&lt;"&amp;$CF189)+1))</f>
        <v/>
      </c>
      <c r="CH189" s="74" t="str">
        <f aca="false">IF(ISBLANK($C189),"",IF($BH189&lt;&gt;Constants!$B$4,$BH189,$CC189-$CG189))</f>
        <v/>
      </c>
      <c r="CI189" s="74" t="str">
        <f aca="false">IF(ISBLANK($C189),"",IF(NOT($AJ189),"",IF(ISBLANK($D$7),$CI$5,IF(NOT(ISNUMBER($D$7)),$CI$6,""))))</f>
        <v/>
      </c>
      <c r="CJ189" s="74" t="str">
        <f aca="false">IF(ISBLANK($C189),"",OR($AL189="",$AM189="",$AN189=""))</f>
        <v/>
      </c>
      <c r="CK189" s="74" t="str">
        <f aca="false">IF(ISBLANK($C189),"",AND($AJ189,$AX189=""))</f>
        <v/>
      </c>
      <c r="CL189" s="74" t="str">
        <f aca="false">IF(ISBLANK($C189),"",AND($AJ189,$AY189=""))</f>
        <v/>
      </c>
      <c r="CM189" s="74" t="str">
        <f aca="false">IF(ISBLANK($C189),"",AND($AJ189,$AZ189=""))</f>
        <v/>
      </c>
      <c r="CN189" s="74" t="str">
        <f aca="false">IF(ISBLANK($C189),"",AND($AJ189,$BC189=""))</f>
        <v/>
      </c>
      <c r="CO189" s="74" t="str">
        <f aca="false">IF(ISBLANK($C189),"",AND($AJ189,$BF189=""))</f>
        <v/>
      </c>
      <c r="CP189" s="75"/>
      <c r="CQ189" s="76"/>
      <c r="CR189" s="79" t="str">
        <f aca="false">IF(ISBLANK($C189),"",IF($BH189=Constants!$B$8,$CI189,""))</f>
        <v/>
      </c>
      <c r="CS189" s="76" t="str">
        <f aca="false">IF(ISBLANK($C189),"",IF($BH189&lt;&gt;Constants!$B$4,"",$BK189+$BL189))</f>
        <v/>
      </c>
      <c r="CT189" s="78" t="str">
        <f aca="false">IF(ISBLANK($C189),"",IF($BH189&lt;&gt;Constants!$B$4,"",$BM189+$BN189+$BO189))</f>
        <v/>
      </c>
      <c r="CU189" s="78" t="str">
        <f aca="false">IF(ISBLANK($C189),"",IF($BH189&lt;&gt;Constants!$B$4,"",$BP189))</f>
        <v/>
      </c>
      <c r="CV189" s="78" t="str">
        <f aca="false">IF(ISBLANK($C189),"",IF($BH189&lt;&gt;Constants!$B$4,"",$BQ189+$BR189))</f>
        <v/>
      </c>
      <c r="CW189" s="78" t="str">
        <f aca="false">IF(ISBLANK($C189),"",IF($BH189&lt;&gt;Constants!$B$4,"",$BS189))</f>
        <v/>
      </c>
      <c r="CX189" s="78" t="str">
        <f aca="false">IF(ISBLANK($C189),"",IF($BH189&lt;&gt;Constants!$B$4,"",-$BZ189))</f>
        <v/>
      </c>
      <c r="CY189" s="79" t="str">
        <f aca="false">IF(ISBLANK($C189),"",$CA189)</f>
        <v/>
      </c>
      <c r="CZ189" s="80" t="str">
        <f aca="false">IF(ISBLANK($C189),"",$BI189)</f>
        <v/>
      </c>
      <c r="DA189" s="78" t="str">
        <f aca="false">IF(ISBLANK($C189),"",$CH189)</f>
        <v/>
      </c>
      <c r="DB189" s="78" t="str">
        <f aca="false">IF(ISBLANK($C189),"",$CG189)</f>
        <v/>
      </c>
      <c r="DC189" s="81" t="str">
        <f aca="false">IF(ISBLANK($C189),"",IFERROR(_xlfn.SWITCH($DB189,Constants!$B$7,COUNTA($C$9:$C$508)+2,Constants!$B$6,COUNTA($C$9:$C$508)+1,Constants!$B$5,COUNTA($C$9:$C$508)),$DB189))</f>
        <v/>
      </c>
      <c r="DD189" s="7"/>
      <c r="DE189" s="82" t="n">
        <f aca="false">IF(OR(ISNUMBER($DB189),$DB189=Constants!$B$7,$DB189=Constants!$B$5,$DB189=Constants!$B$6),1,0)</f>
        <v>0</v>
      </c>
      <c r="DF189" s="82" t="n">
        <v>181</v>
      </c>
      <c r="DG189" s="82" t="str">
        <f aca="false">IF(ISBLANK($C189),"",IF(ISNUMBER($DC189),$DC189+ROW($B189)/1000,""))</f>
        <v/>
      </c>
      <c r="DH189" s="82" t="str">
        <f aca="false">IF(ISNUMBER($DG189),RANK($DG189,$DG$9:$DG$508,1),"")</f>
        <v/>
      </c>
      <c r="DI189" s="82" t="str">
        <f aca="false">IF(ISBLANK($C189),"",$B189)</f>
        <v/>
      </c>
      <c r="DJ189" s="82" t="str">
        <f aca="false">IF(ISBLANK($C189),"",$C189)</f>
        <v/>
      </c>
      <c r="DK189" s="82" t="str">
        <f aca="false">IF(ISBLANK($C189),"",$D189)</f>
        <v/>
      </c>
      <c r="DL189" s="83" t="str">
        <f aca="false">$CZ189</f>
        <v/>
      </c>
      <c r="DM189" s="84" t="str">
        <f aca="false">$CY189</f>
        <v/>
      </c>
      <c r="DN189" s="82" t="str">
        <f aca="false">IF(ISBLANK($C189),"",$DB189)</f>
        <v/>
      </c>
      <c r="DO189" s="85" t="str">
        <f aca="false">IF($DF189&gt;$DE$8,"",VLOOKUP($DF189,$DH$9:$DN$508,7,FALSE()))</f>
        <v/>
      </c>
      <c r="DP189" s="86" t="str">
        <f aca="false">IF($DF189&gt;$DE$8,"",VLOOKUP($DF189,$DH$9:$DN$508,2,FALSE()))</f>
        <v/>
      </c>
      <c r="DQ189" s="86" t="str">
        <f aca="false">IF($DF189&gt;$DE$8,"",VLOOKUP($DF189,$DH$9:$DN$508,3,FALSE()))</f>
        <v/>
      </c>
      <c r="DR189" s="86" t="str">
        <f aca="false">IF($DF189&gt;$DE$8,"",VLOOKUP($DF189,$DH$9:$DN$508,4,FALSE()))</f>
        <v/>
      </c>
      <c r="DS189" s="86" t="str">
        <f aca="false">IF($DF189&gt;$DE$8,"",VLOOKUP($DF189,$DH$9:$DN$508,5,FALSE()))</f>
        <v/>
      </c>
      <c r="DT189" s="87" t="str">
        <f aca="false">IF($DF189&gt;$DE$8,"",VLOOKUP($DF189,$DH$9:$DN$508,6,FALSE()))</f>
        <v/>
      </c>
      <c r="DU189" s="62"/>
    </row>
    <row r="190" customFormat="false" ht="15.75" hidden="false" customHeight="false" outlineLevel="0" collapsed="false">
      <c r="A190" s="7"/>
      <c r="B190" s="64"/>
      <c r="C190" s="65"/>
      <c r="D190" s="123"/>
      <c r="E190" s="88"/>
      <c r="F190" s="134"/>
      <c r="G190" s="88"/>
      <c r="H190" s="134"/>
      <c r="I190" s="119"/>
      <c r="J190" s="119"/>
      <c r="K190" s="119"/>
      <c r="L190" s="88"/>
      <c r="M190" s="88"/>
      <c r="N190" s="88"/>
      <c r="O190" s="134"/>
      <c r="P190" s="88"/>
      <c r="Q190" s="88"/>
      <c r="R190" s="88"/>
      <c r="S190" s="88"/>
      <c r="T190" s="134"/>
      <c r="U190" s="88"/>
      <c r="V190" s="70"/>
      <c r="W190" s="88"/>
      <c r="X190" s="88"/>
      <c r="Y190" s="70"/>
      <c r="Z190" s="70"/>
      <c r="AA190" s="88"/>
      <c r="AB190" s="88"/>
      <c r="AC190" s="71"/>
      <c r="AD190" s="88"/>
      <c r="AE190" s="73"/>
      <c r="AF190" s="74"/>
      <c r="AG190" s="74"/>
      <c r="AH190" s="74" t="str">
        <f aca="false">IF(ISBLANK($C190),"",IF($E190=Constants!$B$2,TRUE(),IF($E190=Constants!$B$3,FALSE(),TRUE())))</f>
        <v/>
      </c>
      <c r="AI190" s="74" t="str">
        <f aca="false">IF(ISBLANK($C190),"",IF($F190=Constants!$B$2,TRUE(),IF($F190=Constants!$B$3,FALSE(),FALSE())))</f>
        <v/>
      </c>
      <c r="AJ190" s="74" t="str">
        <f aca="false">IF(ISBLANK($C190),"",IF($G190=Constants!$B$2,TRUE(),IF($G190=Constants!$B$3,FALSE(),TRUE())))</f>
        <v/>
      </c>
      <c r="AK190" s="74" t="str">
        <f aca="false">IF(ISBLANK($C190),"",IF($H190=Constants!$B$2,TRUE(),IF($H190=Constants!$B$3,FALSE(),TRUE())))</f>
        <v/>
      </c>
      <c r="AL190" s="74" t="str">
        <f aca="false">IF(ISBLANK($C190),"",IF(ISNUMBER($I190),IF($I190&gt;=0,$I190,""),""))</f>
        <v/>
      </c>
      <c r="AM190" s="74" t="str">
        <f aca="false">IF(ISBLANK($C190),"",IF(ISNUMBER($J190),IF($J190&gt;=0,$J190,""),""))</f>
        <v/>
      </c>
      <c r="AN190" s="74" t="str">
        <f aca="false">IF(ISBLANK($C190),"",IF(ISNUMBER($K190),IF($K190&gt;=0,$K190,""),""))</f>
        <v/>
      </c>
      <c r="AO190" s="74" t="str">
        <f aca="false">IF(ISBLANK($C190),"",IF($L190=Constants!$B$2,TRUE(),IF($L190=Constants!$B$3,FALSE(),TRUE())))</f>
        <v/>
      </c>
      <c r="AP190" s="74" t="str">
        <f aca="false">IF(ISBLANK($C190),"",IF($M190=Constants!$B$2,TRUE(),IF($M190=Constants!$B$3,FALSE(),TRUE())))</f>
        <v/>
      </c>
      <c r="AQ190" s="74" t="str">
        <f aca="false">IF(ISBLANK($C190),"",IF($N190=Constants!$B$2,TRUE(),IF($N190=Constants!$B$3,FALSE(),FALSE())))</f>
        <v/>
      </c>
      <c r="AR190" s="74" t="str">
        <f aca="false">IF(ISBLANK($C190),"",IF($O190=Constants!$B$2,TRUE(),IF($O190=Constants!$B$3,FALSE(),TRUE())))</f>
        <v/>
      </c>
      <c r="AS190" s="74" t="str">
        <f aca="false">IF(ISBLANK($C190),"",IF($P190=Constants!$B$2,TRUE(),IF($P190=Constants!$B$3,FALSE(),FALSE())))</f>
        <v/>
      </c>
      <c r="AT190" s="74" t="str">
        <f aca="false">IF(ISBLANK($C190),"",IF($Q190=Constants!$B$2,TRUE(),IF($Q190=Constants!$B$3,FALSE(),FALSE())))</f>
        <v/>
      </c>
      <c r="AU190" s="74" t="str">
        <f aca="false">IF(ISBLANK($C190),"",IF($R190=Constants!$B$2,TRUE(),IF($R190=Constants!$B$3,FALSE(),FALSE())))</f>
        <v/>
      </c>
      <c r="AV190" s="74" t="str">
        <f aca="false">IF(ISBLANK($C190),"",IF($S190=Constants!$B$2,TRUE(),IF($S190=Constants!$B$3,FALSE(),FALSE())))</f>
        <v/>
      </c>
      <c r="AW190" s="74" t="str">
        <f aca="false">IF(ISBLANK($C190),"",IF($T190=Constants!$B$2,TRUE(),IF($T190=Constants!$B$3,FALSE(),FALSE())))</f>
        <v/>
      </c>
      <c r="AX190" s="74" t="str">
        <f aca="false">IF(ISBLANK($C190),"",IF(OR($U190&amp;""="1",$U190&amp;""="2",$U190&amp;""="3",$U190&amp;""="4"),VALUE($U190&amp;""),IF($U190=Constants!$B$12,Constants!$B$12,"")))</f>
        <v/>
      </c>
      <c r="AY190" s="74" t="str">
        <f aca="false">IF(ISBLANK($C190),"",IF(ISBLANK($V190),0,IF(ISNUMBER($V190),IF(AND($V190&gt;=0,$V190&lt;=Constants!$B$21,$V190=INT($V190)),$V190,""),"")))</f>
        <v/>
      </c>
      <c r="AZ190" s="74" t="str">
        <f aca="false">IF(ISBLANK($C190),"",IF(ISBLANK($W190),0,IF(ISNUMBER($W190),IF($W190&gt;=0,$W190,""),"")))</f>
        <v/>
      </c>
      <c r="BA190" s="74" t="str">
        <f aca="false">IF(ISBLANK($C190),"",IF($X190=Constants!$B$2,TRUE(),IF($X190=Constants!$B$3,FALSE(),TRUE())))</f>
        <v/>
      </c>
      <c r="BB190" s="74" t="str">
        <f aca="false">IF(ISBLANK($C190),"",IF($Y190=Constants!$B$2,TRUE(),IF($Y190=Constants!$B$3,FALSE(),FALSE())))</f>
        <v/>
      </c>
      <c r="BC190" s="74" t="str">
        <f aca="false">IF(ISBLANK($C190),"",IF(ISBLANK($Z190),0,IF(ISNUMBER($Z190),IF(AND($Z190&gt;=0,$Z190&lt;=Constants!$B$35,$Z190=INT($Z190)),$Z190,""),"")))</f>
        <v/>
      </c>
      <c r="BD190" s="74" t="str">
        <f aca="false">IF(ISBLANK($C190),"",IF($AA190=Constants!$B$2,TRUE(),IF($AA190=Constants!$B$3,FALSE(),TRUE())))</f>
        <v/>
      </c>
      <c r="BE190" s="74" t="str">
        <f aca="false">IF(ISBLANK($C190),"",IF($AB190=Constants!$B$2,TRUE(),IF($AB190=Constants!$B$3,FALSE(),TRUE())))</f>
        <v/>
      </c>
      <c r="BF190" s="74" t="str">
        <f aca="false">IF(ISBLANK($C190),"",IF(ISNUMBER($AC190),IF($AC190&gt;=0,$AC190,""),""))</f>
        <v/>
      </c>
      <c r="BG190" s="74" t="str">
        <f aca="false">IF(ISBLANK($C190),"",IF($AD190=Constants!$B$2,TRUE(),IF($AD190=Constants!$B$3,FALSE(),FALSE())))</f>
        <v/>
      </c>
      <c r="BH190" s="73" t="str">
        <f aca="false">IF(ISBLANK($C190),"",IF($BG190,Constants!$B$7,IF(COUNTA($E190:$AC190)=0,Constants!$B$6,IF(OR(COUNTA($G190:$AC190)=0,NOT($AK190),$AQ190),Constants!$B$5,IF(OR($CI190&lt;&gt;"",$CJ190,$CK190,$CL190,$CM190,$CN190,$CO190),Constants!$B$8,Constants!$B$4)))))</f>
        <v/>
      </c>
      <c r="BI190" s="74" t="str">
        <f aca="false">IF(ISBLANK($C190),"",IF($BH190&lt;&gt;Constants!$B$4,$BH190,IF(OR(NOT($AH190),NOT($AJ190),NOT($AR190)),Constants!$B$11,IF(OR(NOT($AP190),MAX($AL190,$AM190,$AN190)&gt;Constants!$B$30),Constants!$B$10,Constants!$B$9))))</f>
        <v/>
      </c>
      <c r="BJ190" s="74" t="str">
        <f aca="false">IF($BH190&lt;&gt;Constants!$B$4,"",IF(NOT($AJ190),0,MIN(Constants!$B$35,$BC190)))</f>
        <v/>
      </c>
      <c r="BK190" s="74" t="str">
        <f aca="false">IF($BH190&lt;&gt;Constants!$B$4,"",IF(NOT($AJ190),0,IF($AT190,Constants!$B$18,IF($AS190,Constants!$B$17,0))))</f>
        <v/>
      </c>
      <c r="BL190" s="74" t="str">
        <f aca="false">IF($BH190&lt;&gt;Constants!$B$4,"",IF(NOT($AJ190),0,Constants!$B$19*($AI190+$AU190+$AV190+$AW190)))</f>
        <v/>
      </c>
      <c r="BM190" s="74" t="str">
        <f aca="false">IF($BH190&lt;&gt;Constants!$B$4,"",IF(OR(NOT($AJ190),NOT(ISNUMBER($AX190))),0,CHOOSE($AX190,Constants!$B$13,Constants!$B$14,Constants!$B$15,Constants!$B$16)))</f>
        <v/>
      </c>
      <c r="BN190" s="74" t="str">
        <f aca="false">IF($BH190&lt;&gt;Constants!$B$4,"",IF(NOT($AJ190),0,Constants!$B$20*$AY190))</f>
        <v/>
      </c>
      <c r="BO190" s="74" t="str">
        <f aca="false">IF($BH190&lt;&gt;Constants!$B$4,"",IF(AND($AJ190,$BA190,$BB190),Constants!$B$22,0))</f>
        <v/>
      </c>
      <c r="BP190" s="74" t="str">
        <f aca="false">IF($BH190&lt;&gt;Constants!$B$4,"",IF(OR(NOT($AJ190),NOT($BA190)),0,IF($BF190&gt;=2*$AF$9,0,Constants!$B$23*INT(ROUND(MIN($BF190,$AF$9),6)))))</f>
        <v/>
      </c>
      <c r="BQ190" s="74" t="str">
        <f aca="false">IF($BH190&lt;&gt;Constants!$B$4,"",IF(NOT($AJ190),0,Constants!$B$24*INT(ROUND(MIN($AZ190,$AF$9),6))))</f>
        <v/>
      </c>
      <c r="BR190" s="74" t="str">
        <f aca="false">IF($BH190&lt;&gt;Constants!$B$4,"",IF(AND($AJ190,$BJ190=0),Constants!$B$25,0))</f>
        <v/>
      </c>
      <c r="BS190" s="74" t="str">
        <f aca="false">IF($BH190&lt;&gt;Constants!$B$4,"",MIN(Constants!$B$29,MAX(0,Constants!$B$27*Constants!$B$28*INT(ROUND((Constants!$B$26-$AL190)/Constants!$B$28,6))))+MIN(Constants!$B$29,MAX(0,Constants!$B$27*Constants!$B$28*INT(ROUND((Constants!$B$26-$AM190)/Constants!$B$28,6))))+MIN(Constants!$B$29,MAX(0,Constants!$B$27*Constants!$B$28*INT(ROUND((Constants!$B$26-$AN190)/Constants!$B$28,6)))))</f>
        <v/>
      </c>
      <c r="BT190" s="74" t="str">
        <f aca="false">IF($BH190&lt;&gt;Constants!$B$4,"",IF(NOT($AJ190),0,Constants!$B$31*INT(ROUND(MAX(0,MIN($BF190,2*$AF$9)-$AF$9),6))))</f>
        <v/>
      </c>
      <c r="BU190" s="74" t="str">
        <f aca="false">IF($BH190&lt;&gt;Constants!$B$4,"",Constants!$B$32*(($AL190&gt;Constants!$B$26)+($AM190&gt;Constants!$B$26)+($AN190&gt;Constants!$B$26)))</f>
        <v/>
      </c>
      <c r="BV190" s="74" t="str">
        <f aca="false">IF($BH190&lt;&gt;Constants!$B$4,"",IF(OR(NOT($AJ190),$AO190),0,Constants!$B$33))</f>
        <v/>
      </c>
      <c r="BW190" s="74" t="str">
        <f aca="false">IF($BH190&lt;&gt;Constants!$B$4,"",Constants!$B$34*$BJ190)</f>
        <v/>
      </c>
      <c r="BX190" s="74" t="str">
        <f aca="false">IF($BH190&lt;&gt;Constants!$B$4,"",IF(OR(NOT($AJ190),$BE190),0,Constants!$B$36))</f>
        <v/>
      </c>
      <c r="BY190" s="74" t="str">
        <f aca="false">IF($BH190&lt;&gt;Constants!$B$4,"",IF(OR(NOT($AJ190),$BD190),0,Constants!$B$37))</f>
        <v/>
      </c>
      <c r="BZ190" s="74" t="str">
        <f aca="false">IF($BH190&lt;&gt;Constants!$B$4,"",SUM($BT190:$BY190))</f>
        <v/>
      </c>
      <c r="CA190" s="74" t="str">
        <f aca="false">IF(ISBLANK($C190),"",IF($BH190&lt;&gt;Constants!$B$4,$BH190,SUM($BK190:$BS190)-$BZ190))</f>
        <v/>
      </c>
      <c r="CB190" s="74" t="str">
        <f aca="false">IF(ISBLANK($C190),"",IF($BH190&lt;&gt;Constants!$B$4,$BH190,RANK($CA190,$CA$9:$CA$508)))</f>
        <v/>
      </c>
      <c r="CC190" s="74" t="str">
        <f aca="false">IF(ISBLANK($C190),"",IF($BH190&lt;&gt;Constants!$B$4,$BH190,COUNTIFS($BI$9:$BI$508,"&lt;"&amp;$BI190)+COUNTIFS($BI$9:$BI$508,$BI190,$CB$9:$CB$508,"&lt;"&amp;$CB190)+1))</f>
        <v/>
      </c>
      <c r="CD190" s="74" t="str">
        <f aca="false">IF(ISBLANK($C190),"",IF($BH190&lt;&gt;Constants!$B$4,$BH190,RANK($BZ190,$BZ$9:$BZ$508,1)))</f>
        <v/>
      </c>
      <c r="CE190" s="74" t="str">
        <f aca="false">IF($BH190&lt;&gt;Constants!$B$4,"",$AL190+$AM190+$AN190)</f>
        <v/>
      </c>
      <c r="CF190" s="74" t="str">
        <f aca="false">IF(ISBLANK($C190),"",IF($BH190&lt;&gt;Constants!$B$4,$BH190,RANK($CE190,$CE$9:$CE$508,1)))</f>
        <v/>
      </c>
      <c r="CG190" s="74" t="str">
        <f aca="false">IF(ISBLANK($C190),"",IF($BH190&lt;&gt;Constants!$B$4,$BH190,COUNTIFS($BI$9:$BI$508,"&lt;"&amp;$BI190)+COUNTIFS($BI$9:$BI$508,$BI190,$CB$9:$CB$508,"&lt;"&amp;$CB190)+COUNTIFS($BI$9:$BI$508,$BI190,$CB$9:$CB$508,$CB190,$CD$9:$CD$508,"&lt;"&amp;$CD190)+COUNTIFS($BI$9:$BI$508,$BI190,$CB$9:$CB$508,$CB190,$CD$9:$CD$508,$CD190,$CF$9:$CF$508,"&lt;"&amp;$CF190)+1))</f>
        <v/>
      </c>
      <c r="CH190" s="74" t="str">
        <f aca="false">IF(ISBLANK($C190),"",IF($BH190&lt;&gt;Constants!$B$4,$BH190,$CC190-$CG190))</f>
        <v/>
      </c>
      <c r="CI190" s="74" t="str">
        <f aca="false">IF(ISBLANK($C190),"",IF(NOT($AJ190),"",IF(ISBLANK($D$7),$CI$5,IF(NOT(ISNUMBER($D$7)),$CI$6,""))))</f>
        <v/>
      </c>
      <c r="CJ190" s="74" t="str">
        <f aca="false">IF(ISBLANK($C190),"",OR($AL190="",$AM190="",$AN190=""))</f>
        <v/>
      </c>
      <c r="CK190" s="74" t="str">
        <f aca="false">IF(ISBLANK($C190),"",AND($AJ190,$AX190=""))</f>
        <v/>
      </c>
      <c r="CL190" s="74" t="str">
        <f aca="false">IF(ISBLANK($C190),"",AND($AJ190,$AY190=""))</f>
        <v/>
      </c>
      <c r="CM190" s="74" t="str">
        <f aca="false">IF(ISBLANK($C190),"",AND($AJ190,$AZ190=""))</f>
        <v/>
      </c>
      <c r="CN190" s="74" t="str">
        <f aca="false">IF(ISBLANK($C190),"",AND($AJ190,$BC190=""))</f>
        <v/>
      </c>
      <c r="CO190" s="74" t="str">
        <f aca="false">IF(ISBLANK($C190),"",AND($AJ190,$BF190=""))</f>
        <v/>
      </c>
      <c r="CP190" s="75"/>
      <c r="CQ190" s="76"/>
      <c r="CR190" s="79" t="str">
        <f aca="false">IF(ISBLANK($C190),"",IF($BH190=Constants!$B$8,$CI190,""))</f>
        <v/>
      </c>
      <c r="CS190" s="76" t="str">
        <f aca="false">IF(ISBLANK($C190),"",IF($BH190&lt;&gt;Constants!$B$4,"",$BK190+$BL190))</f>
        <v/>
      </c>
      <c r="CT190" s="78" t="str">
        <f aca="false">IF(ISBLANK($C190),"",IF($BH190&lt;&gt;Constants!$B$4,"",$BM190+$BN190+$BO190))</f>
        <v/>
      </c>
      <c r="CU190" s="78" t="str">
        <f aca="false">IF(ISBLANK($C190),"",IF($BH190&lt;&gt;Constants!$B$4,"",$BP190))</f>
        <v/>
      </c>
      <c r="CV190" s="78" t="str">
        <f aca="false">IF(ISBLANK($C190),"",IF($BH190&lt;&gt;Constants!$B$4,"",$BQ190+$BR190))</f>
        <v/>
      </c>
      <c r="CW190" s="78" t="str">
        <f aca="false">IF(ISBLANK($C190),"",IF($BH190&lt;&gt;Constants!$B$4,"",$BS190))</f>
        <v/>
      </c>
      <c r="CX190" s="78" t="str">
        <f aca="false">IF(ISBLANK($C190),"",IF($BH190&lt;&gt;Constants!$B$4,"",-$BZ190))</f>
        <v/>
      </c>
      <c r="CY190" s="79" t="str">
        <f aca="false">IF(ISBLANK($C190),"",$CA190)</f>
        <v/>
      </c>
      <c r="CZ190" s="80" t="str">
        <f aca="false">IF(ISBLANK($C190),"",$BI190)</f>
        <v/>
      </c>
      <c r="DA190" s="78" t="str">
        <f aca="false">IF(ISBLANK($C190),"",$CH190)</f>
        <v/>
      </c>
      <c r="DB190" s="78" t="str">
        <f aca="false">IF(ISBLANK($C190),"",$CG190)</f>
        <v/>
      </c>
      <c r="DC190" s="81" t="str">
        <f aca="false">IF(ISBLANK($C190),"",IFERROR(_xlfn.SWITCH($DB190,Constants!$B$7,COUNTA($C$9:$C$508)+2,Constants!$B$6,COUNTA($C$9:$C$508)+1,Constants!$B$5,COUNTA($C$9:$C$508)),$DB190))</f>
        <v/>
      </c>
      <c r="DD190" s="7"/>
      <c r="DE190" s="82" t="n">
        <f aca="false">IF(OR(ISNUMBER($DB190),$DB190=Constants!$B$7,$DB190=Constants!$B$5,$DB190=Constants!$B$6),1,0)</f>
        <v>0</v>
      </c>
      <c r="DF190" s="82" t="n">
        <v>182</v>
      </c>
      <c r="DG190" s="82" t="str">
        <f aca="false">IF(ISBLANK($C190),"",IF(ISNUMBER($DC190),$DC190+ROW($B190)/1000,""))</f>
        <v/>
      </c>
      <c r="DH190" s="82" t="str">
        <f aca="false">IF(ISNUMBER($DG190),RANK($DG190,$DG$9:$DG$508,1),"")</f>
        <v/>
      </c>
      <c r="DI190" s="82" t="str">
        <f aca="false">IF(ISBLANK($C190),"",$B190)</f>
        <v/>
      </c>
      <c r="DJ190" s="82" t="str">
        <f aca="false">IF(ISBLANK($C190),"",$C190)</f>
        <v/>
      </c>
      <c r="DK190" s="82" t="str">
        <f aca="false">IF(ISBLANK($C190),"",$D190)</f>
        <v/>
      </c>
      <c r="DL190" s="83" t="str">
        <f aca="false">$CZ190</f>
        <v/>
      </c>
      <c r="DM190" s="84" t="str">
        <f aca="false">$CY190</f>
        <v/>
      </c>
      <c r="DN190" s="82" t="str">
        <f aca="false">IF(ISBLANK($C190),"",$DB190)</f>
        <v/>
      </c>
      <c r="DO190" s="85" t="str">
        <f aca="false">IF($DF190&gt;$DE$8,"",VLOOKUP($DF190,$DH$9:$DN$508,7,FALSE()))</f>
        <v/>
      </c>
      <c r="DP190" s="86" t="str">
        <f aca="false">IF($DF190&gt;$DE$8,"",VLOOKUP($DF190,$DH$9:$DN$508,2,FALSE()))</f>
        <v/>
      </c>
      <c r="DQ190" s="86" t="str">
        <f aca="false">IF($DF190&gt;$DE$8,"",VLOOKUP($DF190,$DH$9:$DN$508,3,FALSE()))</f>
        <v/>
      </c>
      <c r="DR190" s="86" t="str">
        <f aca="false">IF($DF190&gt;$DE$8,"",VLOOKUP($DF190,$DH$9:$DN$508,4,FALSE()))</f>
        <v/>
      </c>
      <c r="DS190" s="86" t="str">
        <f aca="false">IF($DF190&gt;$DE$8,"",VLOOKUP($DF190,$DH$9:$DN$508,5,FALSE()))</f>
        <v/>
      </c>
      <c r="DT190" s="87" t="str">
        <f aca="false">IF($DF190&gt;$DE$8,"",VLOOKUP($DF190,$DH$9:$DN$508,6,FALSE()))</f>
        <v/>
      </c>
      <c r="DU190" s="62"/>
    </row>
    <row r="191" customFormat="false" ht="15.75" hidden="false" customHeight="false" outlineLevel="0" collapsed="false">
      <c r="A191" s="7"/>
      <c r="B191" s="64"/>
      <c r="C191" s="65"/>
      <c r="D191" s="123"/>
      <c r="E191" s="88"/>
      <c r="F191" s="134"/>
      <c r="G191" s="88"/>
      <c r="H191" s="134"/>
      <c r="I191" s="119"/>
      <c r="J191" s="119"/>
      <c r="K191" s="119"/>
      <c r="L191" s="88"/>
      <c r="M191" s="88"/>
      <c r="N191" s="88"/>
      <c r="O191" s="134"/>
      <c r="P191" s="88"/>
      <c r="Q191" s="88"/>
      <c r="R191" s="88"/>
      <c r="S191" s="88"/>
      <c r="T191" s="134"/>
      <c r="U191" s="88"/>
      <c r="V191" s="70"/>
      <c r="W191" s="88"/>
      <c r="X191" s="88"/>
      <c r="Y191" s="70"/>
      <c r="Z191" s="70"/>
      <c r="AA191" s="88"/>
      <c r="AB191" s="88"/>
      <c r="AC191" s="71"/>
      <c r="AD191" s="88"/>
      <c r="AE191" s="73"/>
      <c r="AF191" s="74"/>
      <c r="AG191" s="74"/>
      <c r="AH191" s="74" t="str">
        <f aca="false">IF(ISBLANK($C191),"",IF($E191=Constants!$B$2,TRUE(),IF($E191=Constants!$B$3,FALSE(),TRUE())))</f>
        <v/>
      </c>
      <c r="AI191" s="74" t="str">
        <f aca="false">IF(ISBLANK($C191),"",IF($F191=Constants!$B$2,TRUE(),IF($F191=Constants!$B$3,FALSE(),FALSE())))</f>
        <v/>
      </c>
      <c r="AJ191" s="74" t="str">
        <f aca="false">IF(ISBLANK($C191),"",IF($G191=Constants!$B$2,TRUE(),IF($G191=Constants!$B$3,FALSE(),TRUE())))</f>
        <v/>
      </c>
      <c r="AK191" s="74" t="str">
        <f aca="false">IF(ISBLANK($C191),"",IF($H191=Constants!$B$2,TRUE(),IF($H191=Constants!$B$3,FALSE(),TRUE())))</f>
        <v/>
      </c>
      <c r="AL191" s="74" t="str">
        <f aca="false">IF(ISBLANK($C191),"",IF(ISNUMBER($I191),IF($I191&gt;=0,$I191,""),""))</f>
        <v/>
      </c>
      <c r="AM191" s="74" t="str">
        <f aca="false">IF(ISBLANK($C191),"",IF(ISNUMBER($J191),IF($J191&gt;=0,$J191,""),""))</f>
        <v/>
      </c>
      <c r="AN191" s="74" t="str">
        <f aca="false">IF(ISBLANK($C191),"",IF(ISNUMBER($K191),IF($K191&gt;=0,$K191,""),""))</f>
        <v/>
      </c>
      <c r="AO191" s="74" t="str">
        <f aca="false">IF(ISBLANK($C191),"",IF($L191=Constants!$B$2,TRUE(),IF($L191=Constants!$B$3,FALSE(),TRUE())))</f>
        <v/>
      </c>
      <c r="AP191" s="74" t="str">
        <f aca="false">IF(ISBLANK($C191),"",IF($M191=Constants!$B$2,TRUE(),IF($M191=Constants!$B$3,FALSE(),TRUE())))</f>
        <v/>
      </c>
      <c r="AQ191" s="74" t="str">
        <f aca="false">IF(ISBLANK($C191),"",IF($N191=Constants!$B$2,TRUE(),IF($N191=Constants!$B$3,FALSE(),FALSE())))</f>
        <v/>
      </c>
      <c r="AR191" s="74" t="str">
        <f aca="false">IF(ISBLANK($C191),"",IF($O191=Constants!$B$2,TRUE(),IF($O191=Constants!$B$3,FALSE(),TRUE())))</f>
        <v/>
      </c>
      <c r="AS191" s="74" t="str">
        <f aca="false">IF(ISBLANK($C191),"",IF($P191=Constants!$B$2,TRUE(),IF($P191=Constants!$B$3,FALSE(),FALSE())))</f>
        <v/>
      </c>
      <c r="AT191" s="74" t="str">
        <f aca="false">IF(ISBLANK($C191),"",IF($Q191=Constants!$B$2,TRUE(),IF($Q191=Constants!$B$3,FALSE(),FALSE())))</f>
        <v/>
      </c>
      <c r="AU191" s="74" t="str">
        <f aca="false">IF(ISBLANK($C191),"",IF($R191=Constants!$B$2,TRUE(),IF($R191=Constants!$B$3,FALSE(),FALSE())))</f>
        <v/>
      </c>
      <c r="AV191" s="74" t="str">
        <f aca="false">IF(ISBLANK($C191),"",IF($S191=Constants!$B$2,TRUE(),IF($S191=Constants!$B$3,FALSE(),FALSE())))</f>
        <v/>
      </c>
      <c r="AW191" s="74" t="str">
        <f aca="false">IF(ISBLANK($C191),"",IF($T191=Constants!$B$2,TRUE(),IF($T191=Constants!$B$3,FALSE(),FALSE())))</f>
        <v/>
      </c>
      <c r="AX191" s="74" t="str">
        <f aca="false">IF(ISBLANK($C191),"",IF(OR($U191&amp;""="1",$U191&amp;""="2",$U191&amp;""="3",$U191&amp;""="4"),VALUE($U191&amp;""),IF($U191=Constants!$B$12,Constants!$B$12,"")))</f>
        <v/>
      </c>
      <c r="AY191" s="74" t="str">
        <f aca="false">IF(ISBLANK($C191),"",IF(ISBLANK($V191),0,IF(ISNUMBER($V191),IF(AND($V191&gt;=0,$V191&lt;=Constants!$B$21,$V191=INT($V191)),$V191,""),"")))</f>
        <v/>
      </c>
      <c r="AZ191" s="74" t="str">
        <f aca="false">IF(ISBLANK($C191),"",IF(ISBLANK($W191),0,IF(ISNUMBER($W191),IF($W191&gt;=0,$W191,""),"")))</f>
        <v/>
      </c>
      <c r="BA191" s="74" t="str">
        <f aca="false">IF(ISBLANK($C191),"",IF($X191=Constants!$B$2,TRUE(),IF($X191=Constants!$B$3,FALSE(),TRUE())))</f>
        <v/>
      </c>
      <c r="BB191" s="74" t="str">
        <f aca="false">IF(ISBLANK($C191),"",IF($Y191=Constants!$B$2,TRUE(),IF($Y191=Constants!$B$3,FALSE(),FALSE())))</f>
        <v/>
      </c>
      <c r="BC191" s="74" t="str">
        <f aca="false">IF(ISBLANK($C191),"",IF(ISBLANK($Z191),0,IF(ISNUMBER($Z191),IF(AND($Z191&gt;=0,$Z191&lt;=Constants!$B$35,$Z191=INT($Z191)),$Z191,""),"")))</f>
        <v/>
      </c>
      <c r="BD191" s="74" t="str">
        <f aca="false">IF(ISBLANK($C191),"",IF($AA191=Constants!$B$2,TRUE(),IF($AA191=Constants!$B$3,FALSE(),TRUE())))</f>
        <v/>
      </c>
      <c r="BE191" s="74" t="str">
        <f aca="false">IF(ISBLANK($C191),"",IF($AB191=Constants!$B$2,TRUE(),IF($AB191=Constants!$B$3,FALSE(),TRUE())))</f>
        <v/>
      </c>
      <c r="BF191" s="74" t="str">
        <f aca="false">IF(ISBLANK($C191),"",IF(ISNUMBER($AC191),IF($AC191&gt;=0,$AC191,""),""))</f>
        <v/>
      </c>
      <c r="BG191" s="74" t="str">
        <f aca="false">IF(ISBLANK($C191),"",IF($AD191=Constants!$B$2,TRUE(),IF($AD191=Constants!$B$3,FALSE(),FALSE())))</f>
        <v/>
      </c>
      <c r="BH191" s="73" t="str">
        <f aca="false">IF(ISBLANK($C191),"",IF($BG191,Constants!$B$7,IF(COUNTA($E191:$AC191)=0,Constants!$B$6,IF(OR(COUNTA($G191:$AC191)=0,NOT($AK191),$AQ191),Constants!$B$5,IF(OR($CI191&lt;&gt;"",$CJ191,$CK191,$CL191,$CM191,$CN191,$CO191),Constants!$B$8,Constants!$B$4)))))</f>
        <v/>
      </c>
      <c r="BI191" s="74" t="str">
        <f aca="false">IF(ISBLANK($C191),"",IF($BH191&lt;&gt;Constants!$B$4,$BH191,IF(OR(NOT($AH191),NOT($AJ191),NOT($AR191)),Constants!$B$11,IF(OR(NOT($AP191),MAX($AL191,$AM191,$AN191)&gt;Constants!$B$30),Constants!$B$10,Constants!$B$9))))</f>
        <v/>
      </c>
      <c r="BJ191" s="74" t="str">
        <f aca="false">IF($BH191&lt;&gt;Constants!$B$4,"",IF(NOT($AJ191),0,MIN(Constants!$B$35,$BC191)))</f>
        <v/>
      </c>
      <c r="BK191" s="74" t="str">
        <f aca="false">IF($BH191&lt;&gt;Constants!$B$4,"",IF(NOT($AJ191),0,IF($AT191,Constants!$B$18,IF($AS191,Constants!$B$17,0))))</f>
        <v/>
      </c>
      <c r="BL191" s="74" t="str">
        <f aca="false">IF($BH191&lt;&gt;Constants!$B$4,"",IF(NOT($AJ191),0,Constants!$B$19*($AI191+$AU191+$AV191+$AW191)))</f>
        <v/>
      </c>
      <c r="BM191" s="74" t="str">
        <f aca="false">IF($BH191&lt;&gt;Constants!$B$4,"",IF(OR(NOT($AJ191),NOT(ISNUMBER($AX191))),0,CHOOSE($AX191,Constants!$B$13,Constants!$B$14,Constants!$B$15,Constants!$B$16)))</f>
        <v/>
      </c>
      <c r="BN191" s="74" t="str">
        <f aca="false">IF($BH191&lt;&gt;Constants!$B$4,"",IF(NOT($AJ191),0,Constants!$B$20*$AY191))</f>
        <v/>
      </c>
      <c r="BO191" s="74" t="str">
        <f aca="false">IF($BH191&lt;&gt;Constants!$B$4,"",IF(AND($AJ191,$BA191,$BB191),Constants!$B$22,0))</f>
        <v/>
      </c>
      <c r="BP191" s="74" t="str">
        <f aca="false">IF($BH191&lt;&gt;Constants!$B$4,"",IF(OR(NOT($AJ191),NOT($BA191)),0,IF($BF191&gt;=2*$AF$9,0,Constants!$B$23*INT(ROUND(MIN($BF191,$AF$9),6)))))</f>
        <v/>
      </c>
      <c r="BQ191" s="74" t="str">
        <f aca="false">IF($BH191&lt;&gt;Constants!$B$4,"",IF(NOT($AJ191),0,Constants!$B$24*INT(ROUND(MIN($AZ191,$AF$9),6))))</f>
        <v/>
      </c>
      <c r="BR191" s="74" t="str">
        <f aca="false">IF($BH191&lt;&gt;Constants!$B$4,"",IF(AND($AJ191,$BJ191=0),Constants!$B$25,0))</f>
        <v/>
      </c>
      <c r="BS191" s="74" t="str">
        <f aca="false">IF($BH191&lt;&gt;Constants!$B$4,"",MIN(Constants!$B$29,MAX(0,Constants!$B$27*Constants!$B$28*INT(ROUND((Constants!$B$26-$AL191)/Constants!$B$28,6))))+MIN(Constants!$B$29,MAX(0,Constants!$B$27*Constants!$B$28*INT(ROUND((Constants!$B$26-$AM191)/Constants!$B$28,6))))+MIN(Constants!$B$29,MAX(0,Constants!$B$27*Constants!$B$28*INT(ROUND((Constants!$B$26-$AN191)/Constants!$B$28,6)))))</f>
        <v/>
      </c>
      <c r="BT191" s="74" t="str">
        <f aca="false">IF($BH191&lt;&gt;Constants!$B$4,"",IF(NOT($AJ191),0,Constants!$B$31*INT(ROUND(MAX(0,MIN($BF191,2*$AF$9)-$AF$9),6))))</f>
        <v/>
      </c>
      <c r="BU191" s="74" t="str">
        <f aca="false">IF($BH191&lt;&gt;Constants!$B$4,"",Constants!$B$32*(($AL191&gt;Constants!$B$26)+($AM191&gt;Constants!$B$26)+($AN191&gt;Constants!$B$26)))</f>
        <v/>
      </c>
      <c r="BV191" s="74" t="str">
        <f aca="false">IF($BH191&lt;&gt;Constants!$B$4,"",IF(OR(NOT($AJ191),$AO191),0,Constants!$B$33))</f>
        <v/>
      </c>
      <c r="BW191" s="74" t="str">
        <f aca="false">IF($BH191&lt;&gt;Constants!$B$4,"",Constants!$B$34*$BJ191)</f>
        <v/>
      </c>
      <c r="BX191" s="74" t="str">
        <f aca="false">IF($BH191&lt;&gt;Constants!$B$4,"",IF(OR(NOT($AJ191),$BE191),0,Constants!$B$36))</f>
        <v/>
      </c>
      <c r="BY191" s="74" t="str">
        <f aca="false">IF($BH191&lt;&gt;Constants!$B$4,"",IF(OR(NOT($AJ191),$BD191),0,Constants!$B$37))</f>
        <v/>
      </c>
      <c r="BZ191" s="74" t="str">
        <f aca="false">IF($BH191&lt;&gt;Constants!$B$4,"",SUM($BT191:$BY191))</f>
        <v/>
      </c>
      <c r="CA191" s="74" t="str">
        <f aca="false">IF(ISBLANK($C191),"",IF($BH191&lt;&gt;Constants!$B$4,$BH191,SUM($BK191:$BS191)-$BZ191))</f>
        <v/>
      </c>
      <c r="CB191" s="74" t="str">
        <f aca="false">IF(ISBLANK($C191),"",IF($BH191&lt;&gt;Constants!$B$4,$BH191,RANK($CA191,$CA$9:$CA$508)))</f>
        <v/>
      </c>
      <c r="CC191" s="74" t="str">
        <f aca="false">IF(ISBLANK($C191),"",IF($BH191&lt;&gt;Constants!$B$4,$BH191,COUNTIFS($BI$9:$BI$508,"&lt;"&amp;$BI191)+COUNTIFS($BI$9:$BI$508,$BI191,$CB$9:$CB$508,"&lt;"&amp;$CB191)+1))</f>
        <v/>
      </c>
      <c r="CD191" s="74" t="str">
        <f aca="false">IF(ISBLANK($C191),"",IF($BH191&lt;&gt;Constants!$B$4,$BH191,RANK($BZ191,$BZ$9:$BZ$508,1)))</f>
        <v/>
      </c>
      <c r="CE191" s="74" t="str">
        <f aca="false">IF($BH191&lt;&gt;Constants!$B$4,"",$AL191+$AM191+$AN191)</f>
        <v/>
      </c>
      <c r="CF191" s="74" t="str">
        <f aca="false">IF(ISBLANK($C191),"",IF($BH191&lt;&gt;Constants!$B$4,$BH191,RANK($CE191,$CE$9:$CE$508,1)))</f>
        <v/>
      </c>
      <c r="CG191" s="74" t="str">
        <f aca="false">IF(ISBLANK($C191),"",IF($BH191&lt;&gt;Constants!$B$4,$BH191,COUNTIFS($BI$9:$BI$508,"&lt;"&amp;$BI191)+COUNTIFS($BI$9:$BI$508,$BI191,$CB$9:$CB$508,"&lt;"&amp;$CB191)+COUNTIFS($BI$9:$BI$508,$BI191,$CB$9:$CB$508,$CB191,$CD$9:$CD$508,"&lt;"&amp;$CD191)+COUNTIFS($BI$9:$BI$508,$BI191,$CB$9:$CB$508,$CB191,$CD$9:$CD$508,$CD191,$CF$9:$CF$508,"&lt;"&amp;$CF191)+1))</f>
        <v/>
      </c>
      <c r="CH191" s="74" t="str">
        <f aca="false">IF(ISBLANK($C191),"",IF($BH191&lt;&gt;Constants!$B$4,$BH191,$CC191-$CG191))</f>
        <v/>
      </c>
      <c r="CI191" s="74" t="str">
        <f aca="false">IF(ISBLANK($C191),"",IF(NOT($AJ191),"",IF(ISBLANK($D$7),$CI$5,IF(NOT(ISNUMBER($D$7)),$CI$6,""))))</f>
        <v/>
      </c>
      <c r="CJ191" s="74" t="str">
        <f aca="false">IF(ISBLANK($C191),"",OR($AL191="",$AM191="",$AN191=""))</f>
        <v/>
      </c>
      <c r="CK191" s="74" t="str">
        <f aca="false">IF(ISBLANK($C191),"",AND($AJ191,$AX191=""))</f>
        <v/>
      </c>
      <c r="CL191" s="74" t="str">
        <f aca="false">IF(ISBLANK($C191),"",AND($AJ191,$AY191=""))</f>
        <v/>
      </c>
      <c r="CM191" s="74" t="str">
        <f aca="false">IF(ISBLANK($C191),"",AND($AJ191,$AZ191=""))</f>
        <v/>
      </c>
      <c r="CN191" s="74" t="str">
        <f aca="false">IF(ISBLANK($C191),"",AND($AJ191,$BC191=""))</f>
        <v/>
      </c>
      <c r="CO191" s="74" t="str">
        <f aca="false">IF(ISBLANK($C191),"",AND($AJ191,$BF191=""))</f>
        <v/>
      </c>
      <c r="CP191" s="75"/>
      <c r="CQ191" s="76"/>
      <c r="CR191" s="79" t="str">
        <f aca="false">IF(ISBLANK($C191),"",IF($BH191=Constants!$B$8,$CI191,""))</f>
        <v/>
      </c>
      <c r="CS191" s="76" t="str">
        <f aca="false">IF(ISBLANK($C191),"",IF($BH191&lt;&gt;Constants!$B$4,"",$BK191+$BL191))</f>
        <v/>
      </c>
      <c r="CT191" s="78" t="str">
        <f aca="false">IF(ISBLANK($C191),"",IF($BH191&lt;&gt;Constants!$B$4,"",$BM191+$BN191+$BO191))</f>
        <v/>
      </c>
      <c r="CU191" s="78" t="str">
        <f aca="false">IF(ISBLANK($C191),"",IF($BH191&lt;&gt;Constants!$B$4,"",$BP191))</f>
        <v/>
      </c>
      <c r="CV191" s="78" t="str">
        <f aca="false">IF(ISBLANK($C191),"",IF($BH191&lt;&gt;Constants!$B$4,"",$BQ191+$BR191))</f>
        <v/>
      </c>
      <c r="CW191" s="78" t="str">
        <f aca="false">IF(ISBLANK($C191),"",IF($BH191&lt;&gt;Constants!$B$4,"",$BS191))</f>
        <v/>
      </c>
      <c r="CX191" s="78" t="str">
        <f aca="false">IF(ISBLANK($C191),"",IF($BH191&lt;&gt;Constants!$B$4,"",-$BZ191))</f>
        <v/>
      </c>
      <c r="CY191" s="79" t="str">
        <f aca="false">IF(ISBLANK($C191),"",$CA191)</f>
        <v/>
      </c>
      <c r="CZ191" s="80" t="str">
        <f aca="false">IF(ISBLANK($C191),"",$BI191)</f>
        <v/>
      </c>
      <c r="DA191" s="78" t="str">
        <f aca="false">IF(ISBLANK($C191),"",$CH191)</f>
        <v/>
      </c>
      <c r="DB191" s="78" t="str">
        <f aca="false">IF(ISBLANK($C191),"",$CG191)</f>
        <v/>
      </c>
      <c r="DC191" s="81" t="str">
        <f aca="false">IF(ISBLANK($C191),"",IFERROR(_xlfn.SWITCH($DB191,Constants!$B$7,COUNTA($C$9:$C$508)+2,Constants!$B$6,COUNTA($C$9:$C$508)+1,Constants!$B$5,COUNTA($C$9:$C$508)),$DB191))</f>
        <v/>
      </c>
      <c r="DD191" s="7"/>
      <c r="DE191" s="82" t="n">
        <f aca="false">IF(OR(ISNUMBER($DB191),$DB191=Constants!$B$7,$DB191=Constants!$B$5,$DB191=Constants!$B$6),1,0)</f>
        <v>0</v>
      </c>
      <c r="DF191" s="82" t="n">
        <v>183</v>
      </c>
      <c r="DG191" s="82" t="str">
        <f aca="false">IF(ISBLANK($C191),"",IF(ISNUMBER($DC191),$DC191+ROW($B191)/1000,""))</f>
        <v/>
      </c>
      <c r="DH191" s="82" t="str">
        <f aca="false">IF(ISNUMBER($DG191),RANK($DG191,$DG$9:$DG$508,1),"")</f>
        <v/>
      </c>
      <c r="DI191" s="82" t="str">
        <f aca="false">IF(ISBLANK($C191),"",$B191)</f>
        <v/>
      </c>
      <c r="DJ191" s="82" t="str">
        <f aca="false">IF(ISBLANK($C191),"",$C191)</f>
        <v/>
      </c>
      <c r="DK191" s="82" t="str">
        <f aca="false">IF(ISBLANK($C191),"",$D191)</f>
        <v/>
      </c>
      <c r="DL191" s="83" t="str">
        <f aca="false">$CZ191</f>
        <v/>
      </c>
      <c r="DM191" s="84" t="str">
        <f aca="false">$CY191</f>
        <v/>
      </c>
      <c r="DN191" s="82" t="str">
        <f aca="false">IF(ISBLANK($C191),"",$DB191)</f>
        <v/>
      </c>
      <c r="DO191" s="85" t="str">
        <f aca="false">IF($DF191&gt;$DE$8,"",VLOOKUP($DF191,$DH$9:$DN$508,7,FALSE()))</f>
        <v/>
      </c>
      <c r="DP191" s="86" t="str">
        <f aca="false">IF($DF191&gt;$DE$8,"",VLOOKUP($DF191,$DH$9:$DN$508,2,FALSE()))</f>
        <v/>
      </c>
      <c r="DQ191" s="86" t="str">
        <f aca="false">IF($DF191&gt;$DE$8,"",VLOOKUP($DF191,$DH$9:$DN$508,3,FALSE()))</f>
        <v/>
      </c>
      <c r="DR191" s="86" t="str">
        <f aca="false">IF($DF191&gt;$DE$8,"",VLOOKUP($DF191,$DH$9:$DN$508,4,FALSE()))</f>
        <v/>
      </c>
      <c r="DS191" s="86" t="str">
        <f aca="false">IF($DF191&gt;$DE$8,"",VLOOKUP($DF191,$DH$9:$DN$508,5,FALSE()))</f>
        <v/>
      </c>
      <c r="DT191" s="87" t="str">
        <f aca="false">IF($DF191&gt;$DE$8,"",VLOOKUP($DF191,$DH$9:$DN$508,6,FALSE()))</f>
        <v/>
      </c>
      <c r="DU191" s="62"/>
    </row>
    <row r="192" customFormat="false" ht="15.75" hidden="false" customHeight="false" outlineLevel="0" collapsed="false">
      <c r="A192" s="7"/>
      <c r="B192" s="90"/>
      <c r="C192" s="91"/>
      <c r="D192" s="126"/>
      <c r="E192" s="130"/>
      <c r="F192" s="135"/>
      <c r="G192" s="130"/>
      <c r="H192" s="135"/>
      <c r="I192" s="131"/>
      <c r="J192" s="131"/>
      <c r="K192" s="131"/>
      <c r="L192" s="130"/>
      <c r="M192" s="130"/>
      <c r="N192" s="130"/>
      <c r="O192" s="135"/>
      <c r="P192" s="130"/>
      <c r="Q192" s="130"/>
      <c r="R192" s="130"/>
      <c r="S192" s="130"/>
      <c r="T192" s="135"/>
      <c r="U192" s="130"/>
      <c r="V192" s="96"/>
      <c r="W192" s="130"/>
      <c r="X192" s="130"/>
      <c r="Y192" s="96"/>
      <c r="Z192" s="96"/>
      <c r="AA192" s="130"/>
      <c r="AB192" s="130"/>
      <c r="AC192" s="97"/>
      <c r="AD192" s="130"/>
      <c r="AE192" s="99"/>
      <c r="AF192" s="100"/>
      <c r="AG192" s="100"/>
      <c r="AH192" s="100" t="str">
        <f aca="false">IF(ISBLANK($C192),"",IF($E192=Constants!$B$2,TRUE(),IF($E192=Constants!$B$3,FALSE(),TRUE())))</f>
        <v/>
      </c>
      <c r="AI192" s="100" t="str">
        <f aca="false">IF(ISBLANK($C192),"",IF($F192=Constants!$B$2,TRUE(),IF($F192=Constants!$B$3,FALSE(),FALSE())))</f>
        <v/>
      </c>
      <c r="AJ192" s="100" t="str">
        <f aca="false">IF(ISBLANK($C192),"",IF($G192=Constants!$B$2,TRUE(),IF($G192=Constants!$B$3,FALSE(),TRUE())))</f>
        <v/>
      </c>
      <c r="AK192" s="100" t="str">
        <f aca="false">IF(ISBLANK($C192),"",IF($H192=Constants!$B$2,TRUE(),IF($H192=Constants!$B$3,FALSE(),TRUE())))</f>
        <v/>
      </c>
      <c r="AL192" s="100" t="str">
        <f aca="false">IF(ISBLANK($C192),"",IF(ISNUMBER($I192),IF($I192&gt;=0,$I192,""),""))</f>
        <v/>
      </c>
      <c r="AM192" s="100" t="str">
        <f aca="false">IF(ISBLANK($C192),"",IF(ISNUMBER($J192),IF($J192&gt;=0,$J192,""),""))</f>
        <v/>
      </c>
      <c r="AN192" s="100" t="str">
        <f aca="false">IF(ISBLANK($C192),"",IF(ISNUMBER($K192),IF($K192&gt;=0,$K192,""),""))</f>
        <v/>
      </c>
      <c r="AO192" s="100" t="str">
        <f aca="false">IF(ISBLANK($C192),"",IF($L192=Constants!$B$2,TRUE(),IF($L192=Constants!$B$3,FALSE(),TRUE())))</f>
        <v/>
      </c>
      <c r="AP192" s="100" t="str">
        <f aca="false">IF(ISBLANK($C192),"",IF($M192=Constants!$B$2,TRUE(),IF($M192=Constants!$B$3,FALSE(),TRUE())))</f>
        <v/>
      </c>
      <c r="AQ192" s="100" t="str">
        <f aca="false">IF(ISBLANK($C192),"",IF($N192=Constants!$B$2,TRUE(),IF($N192=Constants!$B$3,FALSE(),FALSE())))</f>
        <v/>
      </c>
      <c r="AR192" s="100" t="str">
        <f aca="false">IF(ISBLANK($C192),"",IF($O192=Constants!$B$2,TRUE(),IF($O192=Constants!$B$3,FALSE(),TRUE())))</f>
        <v/>
      </c>
      <c r="AS192" s="100" t="str">
        <f aca="false">IF(ISBLANK($C192),"",IF($P192=Constants!$B$2,TRUE(),IF($P192=Constants!$B$3,FALSE(),FALSE())))</f>
        <v/>
      </c>
      <c r="AT192" s="100" t="str">
        <f aca="false">IF(ISBLANK($C192),"",IF($Q192=Constants!$B$2,TRUE(),IF($Q192=Constants!$B$3,FALSE(),FALSE())))</f>
        <v/>
      </c>
      <c r="AU192" s="100" t="str">
        <f aca="false">IF(ISBLANK($C192),"",IF($R192=Constants!$B$2,TRUE(),IF($R192=Constants!$B$3,FALSE(),FALSE())))</f>
        <v/>
      </c>
      <c r="AV192" s="100" t="str">
        <f aca="false">IF(ISBLANK($C192),"",IF($S192=Constants!$B$2,TRUE(),IF($S192=Constants!$B$3,FALSE(),FALSE())))</f>
        <v/>
      </c>
      <c r="AW192" s="100" t="str">
        <f aca="false">IF(ISBLANK($C192),"",IF($T192=Constants!$B$2,TRUE(),IF($T192=Constants!$B$3,FALSE(),FALSE())))</f>
        <v/>
      </c>
      <c r="AX192" s="100" t="str">
        <f aca="false">IF(ISBLANK($C192),"",IF(OR($U192&amp;""="1",$U192&amp;""="2",$U192&amp;""="3",$U192&amp;""="4"),VALUE($U192&amp;""),IF($U192=Constants!$B$12,Constants!$B$12,"")))</f>
        <v/>
      </c>
      <c r="AY192" s="100" t="str">
        <f aca="false">IF(ISBLANK($C192),"",IF(ISBLANK($V192),0,IF(ISNUMBER($V192),IF(AND($V192&gt;=0,$V192&lt;=Constants!$B$21,$V192=INT($V192)),$V192,""),"")))</f>
        <v/>
      </c>
      <c r="AZ192" s="100" t="str">
        <f aca="false">IF(ISBLANK($C192),"",IF(ISBLANK($W192),0,IF(ISNUMBER($W192),IF($W192&gt;=0,$W192,""),"")))</f>
        <v/>
      </c>
      <c r="BA192" s="100" t="str">
        <f aca="false">IF(ISBLANK($C192),"",IF($X192=Constants!$B$2,TRUE(),IF($X192=Constants!$B$3,FALSE(),TRUE())))</f>
        <v/>
      </c>
      <c r="BB192" s="100" t="str">
        <f aca="false">IF(ISBLANK($C192),"",IF($Y192=Constants!$B$2,TRUE(),IF($Y192=Constants!$B$3,FALSE(),FALSE())))</f>
        <v/>
      </c>
      <c r="BC192" s="100" t="str">
        <f aca="false">IF(ISBLANK($C192),"",IF(ISBLANK($Z192),0,IF(ISNUMBER($Z192),IF(AND($Z192&gt;=0,$Z192&lt;=Constants!$B$35,$Z192=INT($Z192)),$Z192,""),"")))</f>
        <v/>
      </c>
      <c r="BD192" s="100" t="str">
        <f aca="false">IF(ISBLANK($C192),"",IF($AA192=Constants!$B$2,TRUE(),IF($AA192=Constants!$B$3,FALSE(),TRUE())))</f>
        <v/>
      </c>
      <c r="BE192" s="100" t="str">
        <f aca="false">IF(ISBLANK($C192),"",IF($AB192=Constants!$B$2,TRUE(),IF($AB192=Constants!$B$3,FALSE(),TRUE())))</f>
        <v/>
      </c>
      <c r="BF192" s="100" t="str">
        <f aca="false">IF(ISBLANK($C192),"",IF(ISNUMBER($AC192),IF($AC192&gt;=0,$AC192,""),""))</f>
        <v/>
      </c>
      <c r="BG192" s="100" t="str">
        <f aca="false">IF(ISBLANK($C192),"",IF($AD192=Constants!$B$2,TRUE(),IF($AD192=Constants!$B$3,FALSE(),FALSE())))</f>
        <v/>
      </c>
      <c r="BH192" s="99" t="str">
        <f aca="false">IF(ISBLANK($C192),"",IF($BG192,Constants!$B$7,IF(COUNTA($E192:$AC192)=0,Constants!$B$6,IF(OR(COUNTA($G192:$AC192)=0,NOT($AK192),$AQ192),Constants!$B$5,IF(OR($CI192&lt;&gt;"",$CJ192,$CK192,$CL192,$CM192,$CN192,$CO192),Constants!$B$8,Constants!$B$4)))))</f>
        <v/>
      </c>
      <c r="BI192" s="100" t="str">
        <f aca="false">IF(ISBLANK($C192),"",IF($BH192&lt;&gt;Constants!$B$4,$BH192,IF(OR(NOT($AH192),NOT($AJ192),NOT($AR192)),Constants!$B$11,IF(OR(NOT($AP192),MAX($AL192,$AM192,$AN192)&gt;Constants!$B$30),Constants!$B$10,Constants!$B$9))))</f>
        <v/>
      </c>
      <c r="BJ192" s="100" t="str">
        <f aca="false">IF($BH192&lt;&gt;Constants!$B$4,"",IF(NOT($AJ192),0,MIN(Constants!$B$35,$BC192)))</f>
        <v/>
      </c>
      <c r="BK192" s="100" t="str">
        <f aca="false">IF($BH192&lt;&gt;Constants!$B$4,"",IF(NOT($AJ192),0,IF($AT192,Constants!$B$18,IF($AS192,Constants!$B$17,0))))</f>
        <v/>
      </c>
      <c r="BL192" s="100" t="str">
        <f aca="false">IF($BH192&lt;&gt;Constants!$B$4,"",IF(NOT($AJ192),0,Constants!$B$19*($AI192+$AU192+$AV192+$AW192)))</f>
        <v/>
      </c>
      <c r="BM192" s="100" t="str">
        <f aca="false">IF($BH192&lt;&gt;Constants!$B$4,"",IF(OR(NOT($AJ192),NOT(ISNUMBER($AX192))),0,CHOOSE($AX192,Constants!$B$13,Constants!$B$14,Constants!$B$15,Constants!$B$16)))</f>
        <v/>
      </c>
      <c r="BN192" s="100" t="str">
        <f aca="false">IF($BH192&lt;&gt;Constants!$B$4,"",IF(NOT($AJ192),0,Constants!$B$20*$AY192))</f>
        <v/>
      </c>
      <c r="BO192" s="100" t="str">
        <f aca="false">IF($BH192&lt;&gt;Constants!$B$4,"",IF(AND($AJ192,$BA192,$BB192),Constants!$B$22,0))</f>
        <v/>
      </c>
      <c r="BP192" s="100" t="str">
        <f aca="false">IF($BH192&lt;&gt;Constants!$B$4,"",IF(OR(NOT($AJ192),NOT($BA192)),0,IF($BF192&gt;=2*$AF$9,0,Constants!$B$23*INT(ROUND(MIN($BF192,$AF$9),6)))))</f>
        <v/>
      </c>
      <c r="BQ192" s="100" t="str">
        <f aca="false">IF($BH192&lt;&gt;Constants!$B$4,"",IF(NOT($AJ192),0,Constants!$B$24*INT(ROUND(MIN($AZ192,$AF$9),6))))</f>
        <v/>
      </c>
      <c r="BR192" s="100" t="str">
        <f aca="false">IF($BH192&lt;&gt;Constants!$B$4,"",IF(AND($AJ192,$BJ192=0),Constants!$B$25,0))</f>
        <v/>
      </c>
      <c r="BS192" s="100" t="str">
        <f aca="false">IF($BH192&lt;&gt;Constants!$B$4,"",MIN(Constants!$B$29,MAX(0,Constants!$B$27*Constants!$B$28*INT(ROUND((Constants!$B$26-$AL192)/Constants!$B$28,6))))+MIN(Constants!$B$29,MAX(0,Constants!$B$27*Constants!$B$28*INT(ROUND((Constants!$B$26-$AM192)/Constants!$B$28,6))))+MIN(Constants!$B$29,MAX(0,Constants!$B$27*Constants!$B$28*INT(ROUND((Constants!$B$26-$AN192)/Constants!$B$28,6)))))</f>
        <v/>
      </c>
      <c r="BT192" s="100" t="str">
        <f aca="false">IF($BH192&lt;&gt;Constants!$B$4,"",IF(NOT($AJ192),0,Constants!$B$31*INT(ROUND(MAX(0,MIN($BF192,2*$AF$9)-$AF$9),6))))</f>
        <v/>
      </c>
      <c r="BU192" s="100" t="str">
        <f aca="false">IF($BH192&lt;&gt;Constants!$B$4,"",Constants!$B$32*(($AL192&gt;Constants!$B$26)+($AM192&gt;Constants!$B$26)+($AN192&gt;Constants!$B$26)))</f>
        <v/>
      </c>
      <c r="BV192" s="100" t="str">
        <f aca="false">IF($BH192&lt;&gt;Constants!$B$4,"",IF(OR(NOT($AJ192),$AO192),0,Constants!$B$33))</f>
        <v/>
      </c>
      <c r="BW192" s="100" t="str">
        <f aca="false">IF($BH192&lt;&gt;Constants!$B$4,"",Constants!$B$34*$BJ192)</f>
        <v/>
      </c>
      <c r="BX192" s="100" t="str">
        <f aca="false">IF($BH192&lt;&gt;Constants!$B$4,"",IF(OR(NOT($AJ192),$BE192),0,Constants!$B$36))</f>
        <v/>
      </c>
      <c r="BY192" s="100" t="str">
        <f aca="false">IF($BH192&lt;&gt;Constants!$B$4,"",IF(OR(NOT($AJ192),$BD192),0,Constants!$B$37))</f>
        <v/>
      </c>
      <c r="BZ192" s="100" t="str">
        <f aca="false">IF($BH192&lt;&gt;Constants!$B$4,"",SUM($BT192:$BY192))</f>
        <v/>
      </c>
      <c r="CA192" s="100" t="str">
        <f aca="false">IF(ISBLANK($C192),"",IF($BH192&lt;&gt;Constants!$B$4,$BH192,SUM($BK192:$BS192)-$BZ192))</f>
        <v/>
      </c>
      <c r="CB192" s="100" t="str">
        <f aca="false">IF(ISBLANK($C192),"",IF($BH192&lt;&gt;Constants!$B$4,$BH192,RANK($CA192,$CA$9:$CA$508)))</f>
        <v/>
      </c>
      <c r="CC192" s="100" t="str">
        <f aca="false">IF(ISBLANK($C192),"",IF($BH192&lt;&gt;Constants!$B$4,$BH192,COUNTIFS($BI$9:$BI$508,"&lt;"&amp;$BI192)+COUNTIFS($BI$9:$BI$508,$BI192,$CB$9:$CB$508,"&lt;"&amp;$CB192)+1))</f>
        <v/>
      </c>
      <c r="CD192" s="100" t="str">
        <f aca="false">IF(ISBLANK($C192),"",IF($BH192&lt;&gt;Constants!$B$4,$BH192,RANK($BZ192,$BZ$9:$BZ$508,1)))</f>
        <v/>
      </c>
      <c r="CE192" s="100" t="str">
        <f aca="false">IF($BH192&lt;&gt;Constants!$B$4,"",$AL192+$AM192+$AN192)</f>
        <v/>
      </c>
      <c r="CF192" s="100" t="str">
        <f aca="false">IF(ISBLANK($C192),"",IF($BH192&lt;&gt;Constants!$B$4,$BH192,RANK($CE192,$CE$9:$CE$508,1)))</f>
        <v/>
      </c>
      <c r="CG192" s="100" t="str">
        <f aca="false">IF(ISBLANK($C192),"",IF($BH192&lt;&gt;Constants!$B$4,$BH192,COUNTIFS($BI$9:$BI$508,"&lt;"&amp;$BI192)+COUNTIFS($BI$9:$BI$508,$BI192,$CB$9:$CB$508,"&lt;"&amp;$CB192)+COUNTIFS($BI$9:$BI$508,$BI192,$CB$9:$CB$508,$CB192,$CD$9:$CD$508,"&lt;"&amp;$CD192)+COUNTIFS($BI$9:$BI$508,$BI192,$CB$9:$CB$508,$CB192,$CD$9:$CD$508,$CD192,$CF$9:$CF$508,"&lt;"&amp;$CF192)+1))</f>
        <v/>
      </c>
      <c r="CH192" s="100" t="str">
        <f aca="false">IF(ISBLANK($C192),"",IF($BH192&lt;&gt;Constants!$B$4,$BH192,$CC192-$CG192))</f>
        <v/>
      </c>
      <c r="CI192" s="100" t="str">
        <f aca="false">IF(ISBLANK($C192),"",IF(NOT($AJ192),"",IF(ISBLANK($D$7),$CI$5,IF(NOT(ISNUMBER($D$7)),$CI$6,""))))</f>
        <v/>
      </c>
      <c r="CJ192" s="100" t="str">
        <f aca="false">IF(ISBLANK($C192),"",OR($AL192="",$AM192="",$AN192=""))</f>
        <v/>
      </c>
      <c r="CK192" s="100" t="str">
        <f aca="false">IF(ISBLANK($C192),"",AND($AJ192,$AX192=""))</f>
        <v/>
      </c>
      <c r="CL192" s="100" t="str">
        <f aca="false">IF(ISBLANK($C192),"",AND($AJ192,$AY192=""))</f>
        <v/>
      </c>
      <c r="CM192" s="100" t="str">
        <f aca="false">IF(ISBLANK($C192),"",AND($AJ192,$AZ192=""))</f>
        <v/>
      </c>
      <c r="CN192" s="100" t="str">
        <f aca="false">IF(ISBLANK($C192),"",AND($AJ192,$BC192=""))</f>
        <v/>
      </c>
      <c r="CO192" s="100" t="str">
        <f aca="false">IF(ISBLANK($C192),"",AND($AJ192,$BF192=""))</f>
        <v/>
      </c>
      <c r="CP192" s="101"/>
      <c r="CQ192" s="102"/>
      <c r="CR192" s="103" t="str">
        <f aca="false">IF(ISBLANK($C192),"",IF($BH192=Constants!$B$8,$CI192,""))</f>
        <v/>
      </c>
      <c r="CS192" s="102" t="str">
        <f aca="false">IF(ISBLANK($C192),"",IF($BH192&lt;&gt;Constants!$B$4,"",$BK192+$BL192))</f>
        <v/>
      </c>
      <c r="CT192" s="104" t="str">
        <f aca="false">IF(ISBLANK($C192),"",IF($BH192&lt;&gt;Constants!$B$4,"",$BM192+$BN192+$BO192))</f>
        <v/>
      </c>
      <c r="CU192" s="104" t="str">
        <f aca="false">IF(ISBLANK($C192),"",IF($BH192&lt;&gt;Constants!$B$4,"",$BP192))</f>
        <v/>
      </c>
      <c r="CV192" s="104" t="str">
        <f aca="false">IF(ISBLANK($C192),"",IF($BH192&lt;&gt;Constants!$B$4,"",$BQ192+$BR192))</f>
        <v/>
      </c>
      <c r="CW192" s="104" t="str">
        <f aca="false">IF(ISBLANK($C192),"",IF($BH192&lt;&gt;Constants!$B$4,"",$BS192))</f>
        <v/>
      </c>
      <c r="CX192" s="104" t="str">
        <f aca="false">IF(ISBLANK($C192),"",IF($BH192&lt;&gt;Constants!$B$4,"",-$BZ192))</f>
        <v/>
      </c>
      <c r="CY192" s="103" t="str">
        <f aca="false">IF(ISBLANK($C192),"",$CA192)</f>
        <v/>
      </c>
      <c r="CZ192" s="105" t="str">
        <f aca="false">IF(ISBLANK($C192),"",$BI192)</f>
        <v/>
      </c>
      <c r="DA192" s="104" t="str">
        <f aca="false">IF(ISBLANK($C192),"",$CH192)</f>
        <v/>
      </c>
      <c r="DB192" s="104" t="str">
        <f aca="false">IF(ISBLANK($C192),"",$CG192)</f>
        <v/>
      </c>
      <c r="DC192" s="106" t="str">
        <f aca="false">IF(ISBLANK($C192),"",IFERROR(_xlfn.SWITCH($DB192,Constants!$B$7,COUNTA($C$9:$C$508)+2,Constants!$B$6,COUNTA($C$9:$C$508)+1,Constants!$B$5,COUNTA($C$9:$C$508)),$DB192))</f>
        <v/>
      </c>
      <c r="DD192" s="7"/>
      <c r="DE192" s="107" t="n">
        <f aca="false">IF(OR(ISNUMBER($DB192),$DB192=Constants!$B$7,$DB192=Constants!$B$5,$DB192=Constants!$B$6),1,0)</f>
        <v>0</v>
      </c>
      <c r="DF192" s="107" t="n">
        <v>184</v>
      </c>
      <c r="DG192" s="107" t="str">
        <f aca="false">IF(ISBLANK($C192),"",IF(ISNUMBER($DC192),$DC192+ROW($B192)/1000,""))</f>
        <v/>
      </c>
      <c r="DH192" s="107" t="str">
        <f aca="false">IF(ISNUMBER($DG192),RANK($DG192,$DG$9:$DG$508,1),"")</f>
        <v/>
      </c>
      <c r="DI192" s="107" t="str">
        <f aca="false">IF(ISBLANK($C192),"",$B192)</f>
        <v/>
      </c>
      <c r="DJ192" s="107" t="str">
        <f aca="false">IF(ISBLANK($C192),"",$C192)</f>
        <v/>
      </c>
      <c r="DK192" s="107" t="str">
        <f aca="false">IF(ISBLANK($C192),"",$D192)</f>
        <v/>
      </c>
      <c r="DL192" s="108" t="str">
        <f aca="false">$CZ192</f>
        <v/>
      </c>
      <c r="DM192" s="109" t="str">
        <f aca="false">$CY192</f>
        <v/>
      </c>
      <c r="DN192" s="107" t="str">
        <f aca="false">IF(ISBLANK($C192),"",$DB192)</f>
        <v/>
      </c>
      <c r="DO192" s="110" t="str">
        <f aca="false">IF($DF192&gt;$DE$8,"",VLOOKUP($DF192,$DH$9:$DN$508,7,FALSE()))</f>
        <v/>
      </c>
      <c r="DP192" s="111" t="str">
        <f aca="false">IF($DF192&gt;$DE$8,"",VLOOKUP($DF192,$DH$9:$DN$508,2,FALSE()))</f>
        <v/>
      </c>
      <c r="DQ192" s="111" t="str">
        <f aca="false">IF($DF192&gt;$DE$8,"",VLOOKUP($DF192,$DH$9:$DN$508,3,FALSE()))</f>
        <v/>
      </c>
      <c r="DR192" s="111" t="str">
        <f aca="false">IF($DF192&gt;$DE$8,"",VLOOKUP($DF192,$DH$9:$DN$508,4,FALSE()))</f>
        <v/>
      </c>
      <c r="DS192" s="111" t="str">
        <f aca="false">IF($DF192&gt;$DE$8,"",VLOOKUP($DF192,$DH$9:$DN$508,5,FALSE()))</f>
        <v/>
      </c>
      <c r="DT192" s="112" t="str">
        <f aca="false">IF($DF192&gt;$DE$8,"",VLOOKUP($DF192,$DH$9:$DN$508,6,FALSE()))</f>
        <v/>
      </c>
      <c r="DU192" s="62"/>
    </row>
    <row r="193" customFormat="false" ht="15.75" hidden="false" customHeight="false" outlineLevel="0" collapsed="false">
      <c r="A193" s="7"/>
      <c r="B193" s="90"/>
      <c r="C193" s="91"/>
      <c r="D193" s="126"/>
      <c r="E193" s="130"/>
      <c r="F193" s="135"/>
      <c r="G193" s="130"/>
      <c r="H193" s="135"/>
      <c r="I193" s="131"/>
      <c r="J193" s="131"/>
      <c r="K193" s="131"/>
      <c r="L193" s="130"/>
      <c r="M193" s="130"/>
      <c r="N193" s="130"/>
      <c r="O193" s="135"/>
      <c r="P193" s="130"/>
      <c r="Q193" s="130"/>
      <c r="R193" s="130"/>
      <c r="S193" s="130"/>
      <c r="T193" s="135"/>
      <c r="U193" s="130"/>
      <c r="V193" s="96"/>
      <c r="W193" s="130"/>
      <c r="X193" s="130"/>
      <c r="Y193" s="96"/>
      <c r="Z193" s="96"/>
      <c r="AA193" s="130"/>
      <c r="AB193" s="130"/>
      <c r="AC193" s="97"/>
      <c r="AD193" s="130"/>
      <c r="AE193" s="99"/>
      <c r="AF193" s="100"/>
      <c r="AG193" s="100"/>
      <c r="AH193" s="100" t="str">
        <f aca="false">IF(ISBLANK($C193),"",IF($E193=Constants!$B$2,TRUE(),IF($E193=Constants!$B$3,FALSE(),TRUE())))</f>
        <v/>
      </c>
      <c r="AI193" s="100" t="str">
        <f aca="false">IF(ISBLANK($C193),"",IF($F193=Constants!$B$2,TRUE(),IF($F193=Constants!$B$3,FALSE(),FALSE())))</f>
        <v/>
      </c>
      <c r="AJ193" s="100" t="str">
        <f aca="false">IF(ISBLANK($C193),"",IF($G193=Constants!$B$2,TRUE(),IF($G193=Constants!$B$3,FALSE(),TRUE())))</f>
        <v/>
      </c>
      <c r="AK193" s="100" t="str">
        <f aca="false">IF(ISBLANK($C193),"",IF($H193=Constants!$B$2,TRUE(),IF($H193=Constants!$B$3,FALSE(),TRUE())))</f>
        <v/>
      </c>
      <c r="AL193" s="100" t="str">
        <f aca="false">IF(ISBLANK($C193),"",IF(ISNUMBER($I193),IF($I193&gt;=0,$I193,""),""))</f>
        <v/>
      </c>
      <c r="AM193" s="100" t="str">
        <f aca="false">IF(ISBLANK($C193),"",IF(ISNUMBER($J193),IF($J193&gt;=0,$J193,""),""))</f>
        <v/>
      </c>
      <c r="AN193" s="100" t="str">
        <f aca="false">IF(ISBLANK($C193),"",IF(ISNUMBER($K193),IF($K193&gt;=0,$K193,""),""))</f>
        <v/>
      </c>
      <c r="AO193" s="100" t="str">
        <f aca="false">IF(ISBLANK($C193),"",IF($L193=Constants!$B$2,TRUE(),IF($L193=Constants!$B$3,FALSE(),TRUE())))</f>
        <v/>
      </c>
      <c r="AP193" s="100" t="str">
        <f aca="false">IF(ISBLANK($C193),"",IF($M193=Constants!$B$2,TRUE(),IF($M193=Constants!$B$3,FALSE(),TRUE())))</f>
        <v/>
      </c>
      <c r="AQ193" s="100" t="str">
        <f aca="false">IF(ISBLANK($C193),"",IF($N193=Constants!$B$2,TRUE(),IF($N193=Constants!$B$3,FALSE(),FALSE())))</f>
        <v/>
      </c>
      <c r="AR193" s="100" t="str">
        <f aca="false">IF(ISBLANK($C193),"",IF($O193=Constants!$B$2,TRUE(),IF($O193=Constants!$B$3,FALSE(),TRUE())))</f>
        <v/>
      </c>
      <c r="AS193" s="100" t="str">
        <f aca="false">IF(ISBLANK($C193),"",IF($P193=Constants!$B$2,TRUE(),IF($P193=Constants!$B$3,FALSE(),FALSE())))</f>
        <v/>
      </c>
      <c r="AT193" s="100" t="str">
        <f aca="false">IF(ISBLANK($C193),"",IF($Q193=Constants!$B$2,TRUE(),IF($Q193=Constants!$B$3,FALSE(),FALSE())))</f>
        <v/>
      </c>
      <c r="AU193" s="100" t="str">
        <f aca="false">IF(ISBLANK($C193),"",IF($R193=Constants!$B$2,TRUE(),IF($R193=Constants!$B$3,FALSE(),FALSE())))</f>
        <v/>
      </c>
      <c r="AV193" s="100" t="str">
        <f aca="false">IF(ISBLANK($C193),"",IF($S193=Constants!$B$2,TRUE(),IF($S193=Constants!$B$3,FALSE(),FALSE())))</f>
        <v/>
      </c>
      <c r="AW193" s="100" t="str">
        <f aca="false">IF(ISBLANK($C193),"",IF($T193=Constants!$B$2,TRUE(),IF($T193=Constants!$B$3,FALSE(),FALSE())))</f>
        <v/>
      </c>
      <c r="AX193" s="100" t="str">
        <f aca="false">IF(ISBLANK($C193),"",IF(OR($U193&amp;""="1",$U193&amp;""="2",$U193&amp;""="3",$U193&amp;""="4"),VALUE($U193&amp;""),IF($U193=Constants!$B$12,Constants!$B$12,"")))</f>
        <v/>
      </c>
      <c r="AY193" s="100" t="str">
        <f aca="false">IF(ISBLANK($C193),"",IF(ISBLANK($V193),0,IF(ISNUMBER($V193),IF(AND($V193&gt;=0,$V193&lt;=Constants!$B$21,$V193=INT($V193)),$V193,""),"")))</f>
        <v/>
      </c>
      <c r="AZ193" s="100" t="str">
        <f aca="false">IF(ISBLANK($C193),"",IF(ISBLANK($W193),0,IF(ISNUMBER($W193),IF($W193&gt;=0,$W193,""),"")))</f>
        <v/>
      </c>
      <c r="BA193" s="100" t="str">
        <f aca="false">IF(ISBLANK($C193),"",IF($X193=Constants!$B$2,TRUE(),IF($X193=Constants!$B$3,FALSE(),TRUE())))</f>
        <v/>
      </c>
      <c r="BB193" s="100" t="str">
        <f aca="false">IF(ISBLANK($C193),"",IF($Y193=Constants!$B$2,TRUE(),IF($Y193=Constants!$B$3,FALSE(),FALSE())))</f>
        <v/>
      </c>
      <c r="BC193" s="100" t="str">
        <f aca="false">IF(ISBLANK($C193),"",IF(ISBLANK($Z193),0,IF(ISNUMBER($Z193),IF(AND($Z193&gt;=0,$Z193&lt;=Constants!$B$35,$Z193=INT($Z193)),$Z193,""),"")))</f>
        <v/>
      </c>
      <c r="BD193" s="100" t="str">
        <f aca="false">IF(ISBLANK($C193),"",IF($AA193=Constants!$B$2,TRUE(),IF($AA193=Constants!$B$3,FALSE(),TRUE())))</f>
        <v/>
      </c>
      <c r="BE193" s="100" t="str">
        <f aca="false">IF(ISBLANK($C193),"",IF($AB193=Constants!$B$2,TRUE(),IF($AB193=Constants!$B$3,FALSE(),TRUE())))</f>
        <v/>
      </c>
      <c r="BF193" s="100" t="str">
        <f aca="false">IF(ISBLANK($C193),"",IF(ISNUMBER($AC193),IF($AC193&gt;=0,$AC193,""),""))</f>
        <v/>
      </c>
      <c r="BG193" s="100" t="str">
        <f aca="false">IF(ISBLANK($C193),"",IF($AD193=Constants!$B$2,TRUE(),IF($AD193=Constants!$B$3,FALSE(),FALSE())))</f>
        <v/>
      </c>
      <c r="BH193" s="99" t="str">
        <f aca="false">IF(ISBLANK($C193),"",IF($BG193,Constants!$B$7,IF(COUNTA($E193:$AC193)=0,Constants!$B$6,IF(OR(COUNTA($G193:$AC193)=0,NOT($AK193),$AQ193),Constants!$B$5,IF(OR($CI193&lt;&gt;"",$CJ193,$CK193,$CL193,$CM193,$CN193,$CO193),Constants!$B$8,Constants!$B$4)))))</f>
        <v/>
      </c>
      <c r="BI193" s="100" t="str">
        <f aca="false">IF(ISBLANK($C193),"",IF($BH193&lt;&gt;Constants!$B$4,$BH193,IF(OR(NOT($AH193),NOT($AJ193),NOT($AR193)),Constants!$B$11,IF(OR(NOT($AP193),MAX($AL193,$AM193,$AN193)&gt;Constants!$B$30),Constants!$B$10,Constants!$B$9))))</f>
        <v/>
      </c>
      <c r="BJ193" s="100" t="str">
        <f aca="false">IF($BH193&lt;&gt;Constants!$B$4,"",IF(NOT($AJ193),0,MIN(Constants!$B$35,$BC193)))</f>
        <v/>
      </c>
      <c r="BK193" s="100" t="str">
        <f aca="false">IF($BH193&lt;&gt;Constants!$B$4,"",IF(NOT($AJ193),0,IF($AT193,Constants!$B$18,IF($AS193,Constants!$B$17,0))))</f>
        <v/>
      </c>
      <c r="BL193" s="100" t="str">
        <f aca="false">IF($BH193&lt;&gt;Constants!$B$4,"",IF(NOT($AJ193),0,Constants!$B$19*($AI193+$AU193+$AV193+$AW193)))</f>
        <v/>
      </c>
      <c r="BM193" s="100" t="str">
        <f aca="false">IF($BH193&lt;&gt;Constants!$B$4,"",IF(OR(NOT($AJ193),NOT(ISNUMBER($AX193))),0,CHOOSE($AX193,Constants!$B$13,Constants!$B$14,Constants!$B$15,Constants!$B$16)))</f>
        <v/>
      </c>
      <c r="BN193" s="100" t="str">
        <f aca="false">IF($BH193&lt;&gt;Constants!$B$4,"",IF(NOT($AJ193),0,Constants!$B$20*$AY193))</f>
        <v/>
      </c>
      <c r="BO193" s="100" t="str">
        <f aca="false">IF($BH193&lt;&gt;Constants!$B$4,"",IF(AND($AJ193,$BA193,$BB193),Constants!$B$22,0))</f>
        <v/>
      </c>
      <c r="BP193" s="100" t="str">
        <f aca="false">IF($BH193&lt;&gt;Constants!$B$4,"",IF(OR(NOT($AJ193),NOT($BA193)),0,IF($BF193&gt;=2*$AF$9,0,Constants!$B$23*INT(ROUND(MIN($BF193,$AF$9),6)))))</f>
        <v/>
      </c>
      <c r="BQ193" s="100" t="str">
        <f aca="false">IF($BH193&lt;&gt;Constants!$B$4,"",IF(NOT($AJ193),0,Constants!$B$24*INT(ROUND(MIN($AZ193,$AF$9),6))))</f>
        <v/>
      </c>
      <c r="BR193" s="100" t="str">
        <f aca="false">IF($BH193&lt;&gt;Constants!$B$4,"",IF(AND($AJ193,$BJ193=0),Constants!$B$25,0))</f>
        <v/>
      </c>
      <c r="BS193" s="100" t="str">
        <f aca="false">IF($BH193&lt;&gt;Constants!$B$4,"",MIN(Constants!$B$29,MAX(0,Constants!$B$27*Constants!$B$28*INT(ROUND((Constants!$B$26-$AL193)/Constants!$B$28,6))))+MIN(Constants!$B$29,MAX(0,Constants!$B$27*Constants!$B$28*INT(ROUND((Constants!$B$26-$AM193)/Constants!$B$28,6))))+MIN(Constants!$B$29,MAX(0,Constants!$B$27*Constants!$B$28*INT(ROUND((Constants!$B$26-$AN193)/Constants!$B$28,6)))))</f>
        <v/>
      </c>
      <c r="BT193" s="100" t="str">
        <f aca="false">IF($BH193&lt;&gt;Constants!$B$4,"",IF(NOT($AJ193),0,Constants!$B$31*INT(ROUND(MAX(0,MIN($BF193,2*$AF$9)-$AF$9),6))))</f>
        <v/>
      </c>
      <c r="BU193" s="100" t="str">
        <f aca="false">IF($BH193&lt;&gt;Constants!$B$4,"",Constants!$B$32*(($AL193&gt;Constants!$B$26)+($AM193&gt;Constants!$B$26)+($AN193&gt;Constants!$B$26)))</f>
        <v/>
      </c>
      <c r="BV193" s="100" t="str">
        <f aca="false">IF($BH193&lt;&gt;Constants!$B$4,"",IF(OR(NOT($AJ193),$AO193),0,Constants!$B$33))</f>
        <v/>
      </c>
      <c r="BW193" s="100" t="str">
        <f aca="false">IF($BH193&lt;&gt;Constants!$B$4,"",Constants!$B$34*$BJ193)</f>
        <v/>
      </c>
      <c r="BX193" s="100" t="str">
        <f aca="false">IF($BH193&lt;&gt;Constants!$B$4,"",IF(OR(NOT($AJ193),$BE193),0,Constants!$B$36))</f>
        <v/>
      </c>
      <c r="BY193" s="100" t="str">
        <f aca="false">IF($BH193&lt;&gt;Constants!$B$4,"",IF(OR(NOT($AJ193),$BD193),0,Constants!$B$37))</f>
        <v/>
      </c>
      <c r="BZ193" s="100" t="str">
        <f aca="false">IF($BH193&lt;&gt;Constants!$B$4,"",SUM($BT193:$BY193))</f>
        <v/>
      </c>
      <c r="CA193" s="100" t="str">
        <f aca="false">IF(ISBLANK($C193),"",IF($BH193&lt;&gt;Constants!$B$4,$BH193,SUM($BK193:$BS193)-$BZ193))</f>
        <v/>
      </c>
      <c r="CB193" s="100" t="str">
        <f aca="false">IF(ISBLANK($C193),"",IF($BH193&lt;&gt;Constants!$B$4,$BH193,RANK($CA193,$CA$9:$CA$508)))</f>
        <v/>
      </c>
      <c r="CC193" s="100" t="str">
        <f aca="false">IF(ISBLANK($C193),"",IF($BH193&lt;&gt;Constants!$B$4,$BH193,COUNTIFS($BI$9:$BI$508,"&lt;"&amp;$BI193)+COUNTIFS($BI$9:$BI$508,$BI193,$CB$9:$CB$508,"&lt;"&amp;$CB193)+1))</f>
        <v/>
      </c>
      <c r="CD193" s="100" t="str">
        <f aca="false">IF(ISBLANK($C193),"",IF($BH193&lt;&gt;Constants!$B$4,$BH193,RANK($BZ193,$BZ$9:$BZ$508,1)))</f>
        <v/>
      </c>
      <c r="CE193" s="100" t="str">
        <f aca="false">IF($BH193&lt;&gt;Constants!$B$4,"",$AL193+$AM193+$AN193)</f>
        <v/>
      </c>
      <c r="CF193" s="100" t="str">
        <f aca="false">IF(ISBLANK($C193),"",IF($BH193&lt;&gt;Constants!$B$4,$BH193,RANK($CE193,$CE$9:$CE$508,1)))</f>
        <v/>
      </c>
      <c r="CG193" s="100" t="str">
        <f aca="false">IF(ISBLANK($C193),"",IF($BH193&lt;&gt;Constants!$B$4,$BH193,COUNTIFS($BI$9:$BI$508,"&lt;"&amp;$BI193)+COUNTIFS($BI$9:$BI$508,$BI193,$CB$9:$CB$508,"&lt;"&amp;$CB193)+COUNTIFS($BI$9:$BI$508,$BI193,$CB$9:$CB$508,$CB193,$CD$9:$CD$508,"&lt;"&amp;$CD193)+COUNTIFS($BI$9:$BI$508,$BI193,$CB$9:$CB$508,$CB193,$CD$9:$CD$508,$CD193,$CF$9:$CF$508,"&lt;"&amp;$CF193)+1))</f>
        <v/>
      </c>
      <c r="CH193" s="100" t="str">
        <f aca="false">IF(ISBLANK($C193),"",IF($BH193&lt;&gt;Constants!$B$4,$BH193,$CC193-$CG193))</f>
        <v/>
      </c>
      <c r="CI193" s="100" t="str">
        <f aca="false">IF(ISBLANK($C193),"",IF(NOT($AJ193),"",IF(ISBLANK($D$7),$CI$5,IF(NOT(ISNUMBER($D$7)),$CI$6,""))))</f>
        <v/>
      </c>
      <c r="CJ193" s="100" t="str">
        <f aca="false">IF(ISBLANK($C193),"",OR($AL193="",$AM193="",$AN193=""))</f>
        <v/>
      </c>
      <c r="CK193" s="100" t="str">
        <f aca="false">IF(ISBLANK($C193),"",AND($AJ193,$AX193=""))</f>
        <v/>
      </c>
      <c r="CL193" s="100" t="str">
        <f aca="false">IF(ISBLANK($C193),"",AND($AJ193,$AY193=""))</f>
        <v/>
      </c>
      <c r="CM193" s="100" t="str">
        <f aca="false">IF(ISBLANK($C193),"",AND($AJ193,$AZ193=""))</f>
        <v/>
      </c>
      <c r="CN193" s="100" t="str">
        <f aca="false">IF(ISBLANK($C193),"",AND($AJ193,$BC193=""))</f>
        <v/>
      </c>
      <c r="CO193" s="100" t="str">
        <f aca="false">IF(ISBLANK($C193),"",AND($AJ193,$BF193=""))</f>
        <v/>
      </c>
      <c r="CP193" s="101"/>
      <c r="CQ193" s="102"/>
      <c r="CR193" s="103" t="str">
        <f aca="false">IF(ISBLANK($C193),"",IF($BH193=Constants!$B$8,$CI193,""))</f>
        <v/>
      </c>
      <c r="CS193" s="102" t="str">
        <f aca="false">IF(ISBLANK($C193),"",IF($BH193&lt;&gt;Constants!$B$4,"",$BK193+$BL193))</f>
        <v/>
      </c>
      <c r="CT193" s="104" t="str">
        <f aca="false">IF(ISBLANK($C193),"",IF($BH193&lt;&gt;Constants!$B$4,"",$BM193+$BN193+$BO193))</f>
        <v/>
      </c>
      <c r="CU193" s="104" t="str">
        <f aca="false">IF(ISBLANK($C193),"",IF($BH193&lt;&gt;Constants!$B$4,"",$BP193))</f>
        <v/>
      </c>
      <c r="CV193" s="104" t="str">
        <f aca="false">IF(ISBLANK($C193),"",IF($BH193&lt;&gt;Constants!$B$4,"",$BQ193+$BR193))</f>
        <v/>
      </c>
      <c r="CW193" s="104" t="str">
        <f aca="false">IF(ISBLANK($C193),"",IF($BH193&lt;&gt;Constants!$B$4,"",$BS193))</f>
        <v/>
      </c>
      <c r="CX193" s="104" t="str">
        <f aca="false">IF(ISBLANK($C193),"",IF($BH193&lt;&gt;Constants!$B$4,"",-$BZ193))</f>
        <v/>
      </c>
      <c r="CY193" s="103" t="str">
        <f aca="false">IF(ISBLANK($C193),"",$CA193)</f>
        <v/>
      </c>
      <c r="CZ193" s="105" t="str">
        <f aca="false">IF(ISBLANK($C193),"",$BI193)</f>
        <v/>
      </c>
      <c r="DA193" s="104" t="str">
        <f aca="false">IF(ISBLANK($C193),"",$CH193)</f>
        <v/>
      </c>
      <c r="DB193" s="104" t="str">
        <f aca="false">IF(ISBLANK($C193),"",$CG193)</f>
        <v/>
      </c>
      <c r="DC193" s="106" t="str">
        <f aca="false">IF(ISBLANK($C193),"",IFERROR(_xlfn.SWITCH($DB193,Constants!$B$7,COUNTA($C$9:$C$508)+2,Constants!$B$6,COUNTA($C$9:$C$508)+1,Constants!$B$5,COUNTA($C$9:$C$508)),$DB193))</f>
        <v/>
      </c>
      <c r="DD193" s="7"/>
      <c r="DE193" s="107" t="n">
        <f aca="false">IF(OR(ISNUMBER($DB193),$DB193=Constants!$B$7,$DB193=Constants!$B$5,$DB193=Constants!$B$6),1,0)</f>
        <v>0</v>
      </c>
      <c r="DF193" s="107" t="n">
        <v>185</v>
      </c>
      <c r="DG193" s="107" t="str">
        <f aca="false">IF(ISBLANK($C193),"",IF(ISNUMBER($DC193),$DC193+ROW($B193)/1000,""))</f>
        <v/>
      </c>
      <c r="DH193" s="107" t="str">
        <f aca="false">IF(ISNUMBER($DG193),RANK($DG193,$DG$9:$DG$508,1),"")</f>
        <v/>
      </c>
      <c r="DI193" s="107" t="str">
        <f aca="false">IF(ISBLANK($C193),"",$B193)</f>
        <v/>
      </c>
      <c r="DJ193" s="107" t="str">
        <f aca="false">IF(ISBLANK($C193),"",$C193)</f>
        <v/>
      </c>
      <c r="DK193" s="107" t="str">
        <f aca="false">IF(ISBLANK($C193),"",$D193)</f>
        <v/>
      </c>
      <c r="DL193" s="108" t="str">
        <f aca="false">$CZ193</f>
        <v/>
      </c>
      <c r="DM193" s="109" t="str">
        <f aca="false">$CY193</f>
        <v/>
      </c>
      <c r="DN193" s="107" t="str">
        <f aca="false">IF(ISBLANK($C193),"",$DB193)</f>
        <v/>
      </c>
      <c r="DO193" s="110" t="str">
        <f aca="false">IF($DF193&gt;$DE$8,"",VLOOKUP($DF193,$DH$9:$DN$508,7,FALSE()))</f>
        <v/>
      </c>
      <c r="DP193" s="111" t="str">
        <f aca="false">IF($DF193&gt;$DE$8,"",VLOOKUP($DF193,$DH$9:$DN$508,2,FALSE()))</f>
        <v/>
      </c>
      <c r="DQ193" s="111" t="str">
        <f aca="false">IF($DF193&gt;$DE$8,"",VLOOKUP($DF193,$DH$9:$DN$508,3,FALSE()))</f>
        <v/>
      </c>
      <c r="DR193" s="111" t="str">
        <f aca="false">IF($DF193&gt;$DE$8,"",VLOOKUP($DF193,$DH$9:$DN$508,4,FALSE()))</f>
        <v/>
      </c>
      <c r="DS193" s="111" t="str">
        <f aca="false">IF($DF193&gt;$DE$8,"",VLOOKUP($DF193,$DH$9:$DN$508,5,FALSE()))</f>
        <v/>
      </c>
      <c r="DT193" s="112" t="str">
        <f aca="false">IF($DF193&gt;$DE$8,"",VLOOKUP($DF193,$DH$9:$DN$508,6,FALSE()))</f>
        <v/>
      </c>
      <c r="DU193" s="62"/>
    </row>
    <row r="194" customFormat="false" ht="15.75" hidden="false" customHeight="false" outlineLevel="0" collapsed="false">
      <c r="A194" s="7"/>
      <c r="B194" s="90"/>
      <c r="C194" s="91"/>
      <c r="D194" s="126"/>
      <c r="E194" s="130"/>
      <c r="F194" s="135"/>
      <c r="G194" s="130"/>
      <c r="H194" s="135"/>
      <c r="I194" s="131"/>
      <c r="J194" s="131"/>
      <c r="K194" s="131"/>
      <c r="L194" s="130"/>
      <c r="M194" s="130"/>
      <c r="N194" s="130"/>
      <c r="O194" s="135"/>
      <c r="P194" s="130"/>
      <c r="Q194" s="130"/>
      <c r="R194" s="130"/>
      <c r="S194" s="130"/>
      <c r="T194" s="135"/>
      <c r="U194" s="130"/>
      <c r="V194" s="96"/>
      <c r="W194" s="130"/>
      <c r="X194" s="130"/>
      <c r="Y194" s="96"/>
      <c r="Z194" s="96"/>
      <c r="AA194" s="130"/>
      <c r="AB194" s="130"/>
      <c r="AC194" s="97"/>
      <c r="AD194" s="130"/>
      <c r="AE194" s="99"/>
      <c r="AF194" s="100"/>
      <c r="AG194" s="100"/>
      <c r="AH194" s="100" t="str">
        <f aca="false">IF(ISBLANK($C194),"",IF($E194=Constants!$B$2,TRUE(),IF($E194=Constants!$B$3,FALSE(),TRUE())))</f>
        <v/>
      </c>
      <c r="AI194" s="100" t="str">
        <f aca="false">IF(ISBLANK($C194),"",IF($F194=Constants!$B$2,TRUE(),IF($F194=Constants!$B$3,FALSE(),FALSE())))</f>
        <v/>
      </c>
      <c r="AJ194" s="100" t="str">
        <f aca="false">IF(ISBLANK($C194),"",IF($G194=Constants!$B$2,TRUE(),IF($G194=Constants!$B$3,FALSE(),TRUE())))</f>
        <v/>
      </c>
      <c r="AK194" s="100" t="str">
        <f aca="false">IF(ISBLANK($C194),"",IF($H194=Constants!$B$2,TRUE(),IF($H194=Constants!$B$3,FALSE(),TRUE())))</f>
        <v/>
      </c>
      <c r="AL194" s="100" t="str">
        <f aca="false">IF(ISBLANK($C194),"",IF(ISNUMBER($I194),IF($I194&gt;=0,$I194,""),""))</f>
        <v/>
      </c>
      <c r="AM194" s="100" t="str">
        <f aca="false">IF(ISBLANK($C194),"",IF(ISNUMBER($J194),IF($J194&gt;=0,$J194,""),""))</f>
        <v/>
      </c>
      <c r="AN194" s="100" t="str">
        <f aca="false">IF(ISBLANK($C194),"",IF(ISNUMBER($K194),IF($K194&gt;=0,$K194,""),""))</f>
        <v/>
      </c>
      <c r="AO194" s="100" t="str">
        <f aca="false">IF(ISBLANK($C194),"",IF($L194=Constants!$B$2,TRUE(),IF($L194=Constants!$B$3,FALSE(),TRUE())))</f>
        <v/>
      </c>
      <c r="AP194" s="100" t="str">
        <f aca="false">IF(ISBLANK($C194),"",IF($M194=Constants!$B$2,TRUE(),IF($M194=Constants!$B$3,FALSE(),TRUE())))</f>
        <v/>
      </c>
      <c r="AQ194" s="100" t="str">
        <f aca="false">IF(ISBLANK($C194),"",IF($N194=Constants!$B$2,TRUE(),IF($N194=Constants!$B$3,FALSE(),FALSE())))</f>
        <v/>
      </c>
      <c r="AR194" s="100" t="str">
        <f aca="false">IF(ISBLANK($C194),"",IF($O194=Constants!$B$2,TRUE(),IF($O194=Constants!$B$3,FALSE(),TRUE())))</f>
        <v/>
      </c>
      <c r="AS194" s="100" t="str">
        <f aca="false">IF(ISBLANK($C194),"",IF($P194=Constants!$B$2,TRUE(),IF($P194=Constants!$B$3,FALSE(),FALSE())))</f>
        <v/>
      </c>
      <c r="AT194" s="100" t="str">
        <f aca="false">IF(ISBLANK($C194),"",IF($Q194=Constants!$B$2,TRUE(),IF($Q194=Constants!$B$3,FALSE(),FALSE())))</f>
        <v/>
      </c>
      <c r="AU194" s="100" t="str">
        <f aca="false">IF(ISBLANK($C194),"",IF($R194=Constants!$B$2,TRUE(),IF($R194=Constants!$B$3,FALSE(),FALSE())))</f>
        <v/>
      </c>
      <c r="AV194" s="100" t="str">
        <f aca="false">IF(ISBLANK($C194),"",IF($S194=Constants!$B$2,TRUE(),IF($S194=Constants!$B$3,FALSE(),FALSE())))</f>
        <v/>
      </c>
      <c r="AW194" s="100" t="str">
        <f aca="false">IF(ISBLANK($C194),"",IF($T194=Constants!$B$2,TRUE(),IF($T194=Constants!$B$3,FALSE(),FALSE())))</f>
        <v/>
      </c>
      <c r="AX194" s="100" t="str">
        <f aca="false">IF(ISBLANK($C194),"",IF(OR($U194&amp;""="1",$U194&amp;""="2",$U194&amp;""="3",$U194&amp;""="4"),VALUE($U194&amp;""),IF($U194=Constants!$B$12,Constants!$B$12,"")))</f>
        <v/>
      </c>
      <c r="AY194" s="100" t="str">
        <f aca="false">IF(ISBLANK($C194),"",IF(ISBLANK($V194),0,IF(ISNUMBER($V194),IF(AND($V194&gt;=0,$V194&lt;=Constants!$B$21,$V194=INT($V194)),$V194,""),"")))</f>
        <v/>
      </c>
      <c r="AZ194" s="100" t="str">
        <f aca="false">IF(ISBLANK($C194),"",IF(ISBLANK($W194),0,IF(ISNUMBER($W194),IF($W194&gt;=0,$W194,""),"")))</f>
        <v/>
      </c>
      <c r="BA194" s="100" t="str">
        <f aca="false">IF(ISBLANK($C194),"",IF($X194=Constants!$B$2,TRUE(),IF($X194=Constants!$B$3,FALSE(),TRUE())))</f>
        <v/>
      </c>
      <c r="BB194" s="100" t="str">
        <f aca="false">IF(ISBLANK($C194),"",IF($Y194=Constants!$B$2,TRUE(),IF($Y194=Constants!$B$3,FALSE(),FALSE())))</f>
        <v/>
      </c>
      <c r="BC194" s="100" t="str">
        <f aca="false">IF(ISBLANK($C194),"",IF(ISBLANK($Z194),0,IF(ISNUMBER($Z194),IF(AND($Z194&gt;=0,$Z194&lt;=Constants!$B$35,$Z194=INT($Z194)),$Z194,""),"")))</f>
        <v/>
      </c>
      <c r="BD194" s="100" t="str">
        <f aca="false">IF(ISBLANK($C194),"",IF($AA194=Constants!$B$2,TRUE(),IF($AA194=Constants!$B$3,FALSE(),TRUE())))</f>
        <v/>
      </c>
      <c r="BE194" s="100" t="str">
        <f aca="false">IF(ISBLANK($C194),"",IF($AB194=Constants!$B$2,TRUE(),IF($AB194=Constants!$B$3,FALSE(),TRUE())))</f>
        <v/>
      </c>
      <c r="BF194" s="100" t="str">
        <f aca="false">IF(ISBLANK($C194),"",IF(ISNUMBER($AC194),IF($AC194&gt;=0,$AC194,""),""))</f>
        <v/>
      </c>
      <c r="BG194" s="100" t="str">
        <f aca="false">IF(ISBLANK($C194),"",IF($AD194=Constants!$B$2,TRUE(),IF($AD194=Constants!$B$3,FALSE(),FALSE())))</f>
        <v/>
      </c>
      <c r="BH194" s="99" t="str">
        <f aca="false">IF(ISBLANK($C194),"",IF($BG194,Constants!$B$7,IF(COUNTA($E194:$AC194)=0,Constants!$B$6,IF(OR(COUNTA($G194:$AC194)=0,NOT($AK194),$AQ194),Constants!$B$5,IF(OR($CI194&lt;&gt;"",$CJ194,$CK194,$CL194,$CM194,$CN194,$CO194),Constants!$B$8,Constants!$B$4)))))</f>
        <v/>
      </c>
      <c r="BI194" s="100" t="str">
        <f aca="false">IF(ISBLANK($C194),"",IF($BH194&lt;&gt;Constants!$B$4,$BH194,IF(OR(NOT($AH194),NOT($AJ194),NOT($AR194)),Constants!$B$11,IF(OR(NOT($AP194),MAX($AL194,$AM194,$AN194)&gt;Constants!$B$30),Constants!$B$10,Constants!$B$9))))</f>
        <v/>
      </c>
      <c r="BJ194" s="100" t="str">
        <f aca="false">IF($BH194&lt;&gt;Constants!$B$4,"",IF(NOT($AJ194),0,MIN(Constants!$B$35,$BC194)))</f>
        <v/>
      </c>
      <c r="BK194" s="100" t="str">
        <f aca="false">IF($BH194&lt;&gt;Constants!$B$4,"",IF(NOT($AJ194),0,IF($AT194,Constants!$B$18,IF($AS194,Constants!$B$17,0))))</f>
        <v/>
      </c>
      <c r="BL194" s="100" t="str">
        <f aca="false">IF($BH194&lt;&gt;Constants!$B$4,"",IF(NOT($AJ194),0,Constants!$B$19*($AI194+$AU194+$AV194+$AW194)))</f>
        <v/>
      </c>
      <c r="BM194" s="100" t="str">
        <f aca="false">IF($BH194&lt;&gt;Constants!$B$4,"",IF(OR(NOT($AJ194),NOT(ISNUMBER($AX194))),0,CHOOSE($AX194,Constants!$B$13,Constants!$B$14,Constants!$B$15,Constants!$B$16)))</f>
        <v/>
      </c>
      <c r="BN194" s="100" t="str">
        <f aca="false">IF($BH194&lt;&gt;Constants!$B$4,"",IF(NOT($AJ194),0,Constants!$B$20*$AY194))</f>
        <v/>
      </c>
      <c r="BO194" s="100" t="str">
        <f aca="false">IF($BH194&lt;&gt;Constants!$B$4,"",IF(AND($AJ194,$BA194,$BB194),Constants!$B$22,0))</f>
        <v/>
      </c>
      <c r="BP194" s="100" t="str">
        <f aca="false">IF($BH194&lt;&gt;Constants!$B$4,"",IF(OR(NOT($AJ194),NOT($BA194)),0,IF($BF194&gt;=2*$AF$9,0,Constants!$B$23*INT(ROUND(MIN($BF194,$AF$9),6)))))</f>
        <v/>
      </c>
      <c r="BQ194" s="100" t="str">
        <f aca="false">IF($BH194&lt;&gt;Constants!$B$4,"",IF(NOT($AJ194),0,Constants!$B$24*INT(ROUND(MIN($AZ194,$AF$9),6))))</f>
        <v/>
      </c>
      <c r="BR194" s="100" t="str">
        <f aca="false">IF($BH194&lt;&gt;Constants!$B$4,"",IF(AND($AJ194,$BJ194=0),Constants!$B$25,0))</f>
        <v/>
      </c>
      <c r="BS194" s="100" t="str">
        <f aca="false">IF($BH194&lt;&gt;Constants!$B$4,"",MIN(Constants!$B$29,MAX(0,Constants!$B$27*Constants!$B$28*INT(ROUND((Constants!$B$26-$AL194)/Constants!$B$28,6))))+MIN(Constants!$B$29,MAX(0,Constants!$B$27*Constants!$B$28*INT(ROUND((Constants!$B$26-$AM194)/Constants!$B$28,6))))+MIN(Constants!$B$29,MAX(0,Constants!$B$27*Constants!$B$28*INT(ROUND((Constants!$B$26-$AN194)/Constants!$B$28,6)))))</f>
        <v/>
      </c>
      <c r="BT194" s="100" t="str">
        <f aca="false">IF($BH194&lt;&gt;Constants!$B$4,"",IF(NOT($AJ194),0,Constants!$B$31*INT(ROUND(MAX(0,MIN($BF194,2*$AF$9)-$AF$9),6))))</f>
        <v/>
      </c>
      <c r="BU194" s="100" t="str">
        <f aca="false">IF($BH194&lt;&gt;Constants!$B$4,"",Constants!$B$32*(($AL194&gt;Constants!$B$26)+($AM194&gt;Constants!$B$26)+($AN194&gt;Constants!$B$26)))</f>
        <v/>
      </c>
      <c r="BV194" s="100" t="str">
        <f aca="false">IF($BH194&lt;&gt;Constants!$B$4,"",IF(OR(NOT($AJ194),$AO194),0,Constants!$B$33))</f>
        <v/>
      </c>
      <c r="BW194" s="100" t="str">
        <f aca="false">IF($BH194&lt;&gt;Constants!$B$4,"",Constants!$B$34*$BJ194)</f>
        <v/>
      </c>
      <c r="BX194" s="100" t="str">
        <f aca="false">IF($BH194&lt;&gt;Constants!$B$4,"",IF(OR(NOT($AJ194),$BE194),0,Constants!$B$36))</f>
        <v/>
      </c>
      <c r="BY194" s="100" t="str">
        <f aca="false">IF($BH194&lt;&gt;Constants!$B$4,"",IF(OR(NOT($AJ194),$BD194),0,Constants!$B$37))</f>
        <v/>
      </c>
      <c r="BZ194" s="100" t="str">
        <f aca="false">IF($BH194&lt;&gt;Constants!$B$4,"",SUM($BT194:$BY194))</f>
        <v/>
      </c>
      <c r="CA194" s="100" t="str">
        <f aca="false">IF(ISBLANK($C194),"",IF($BH194&lt;&gt;Constants!$B$4,$BH194,SUM($BK194:$BS194)-$BZ194))</f>
        <v/>
      </c>
      <c r="CB194" s="100" t="str">
        <f aca="false">IF(ISBLANK($C194),"",IF($BH194&lt;&gt;Constants!$B$4,$BH194,RANK($CA194,$CA$9:$CA$508)))</f>
        <v/>
      </c>
      <c r="CC194" s="100" t="str">
        <f aca="false">IF(ISBLANK($C194),"",IF($BH194&lt;&gt;Constants!$B$4,$BH194,COUNTIFS($BI$9:$BI$508,"&lt;"&amp;$BI194)+COUNTIFS($BI$9:$BI$508,$BI194,$CB$9:$CB$508,"&lt;"&amp;$CB194)+1))</f>
        <v/>
      </c>
      <c r="CD194" s="100" t="str">
        <f aca="false">IF(ISBLANK($C194),"",IF($BH194&lt;&gt;Constants!$B$4,$BH194,RANK($BZ194,$BZ$9:$BZ$508,1)))</f>
        <v/>
      </c>
      <c r="CE194" s="100" t="str">
        <f aca="false">IF($BH194&lt;&gt;Constants!$B$4,"",$AL194+$AM194+$AN194)</f>
        <v/>
      </c>
      <c r="CF194" s="100" t="str">
        <f aca="false">IF(ISBLANK($C194),"",IF($BH194&lt;&gt;Constants!$B$4,$BH194,RANK($CE194,$CE$9:$CE$508,1)))</f>
        <v/>
      </c>
      <c r="CG194" s="100" t="str">
        <f aca="false">IF(ISBLANK($C194),"",IF($BH194&lt;&gt;Constants!$B$4,$BH194,COUNTIFS($BI$9:$BI$508,"&lt;"&amp;$BI194)+COUNTIFS($BI$9:$BI$508,$BI194,$CB$9:$CB$508,"&lt;"&amp;$CB194)+COUNTIFS($BI$9:$BI$508,$BI194,$CB$9:$CB$508,$CB194,$CD$9:$CD$508,"&lt;"&amp;$CD194)+COUNTIFS($BI$9:$BI$508,$BI194,$CB$9:$CB$508,$CB194,$CD$9:$CD$508,$CD194,$CF$9:$CF$508,"&lt;"&amp;$CF194)+1))</f>
        <v/>
      </c>
      <c r="CH194" s="100" t="str">
        <f aca="false">IF(ISBLANK($C194),"",IF($BH194&lt;&gt;Constants!$B$4,$BH194,$CC194-$CG194))</f>
        <v/>
      </c>
      <c r="CI194" s="100" t="str">
        <f aca="false">IF(ISBLANK($C194),"",IF(NOT($AJ194),"",IF(ISBLANK($D$7),$CI$5,IF(NOT(ISNUMBER($D$7)),$CI$6,""))))</f>
        <v/>
      </c>
      <c r="CJ194" s="100" t="str">
        <f aca="false">IF(ISBLANK($C194),"",OR($AL194="",$AM194="",$AN194=""))</f>
        <v/>
      </c>
      <c r="CK194" s="100" t="str">
        <f aca="false">IF(ISBLANK($C194),"",AND($AJ194,$AX194=""))</f>
        <v/>
      </c>
      <c r="CL194" s="100" t="str">
        <f aca="false">IF(ISBLANK($C194),"",AND($AJ194,$AY194=""))</f>
        <v/>
      </c>
      <c r="CM194" s="100" t="str">
        <f aca="false">IF(ISBLANK($C194),"",AND($AJ194,$AZ194=""))</f>
        <v/>
      </c>
      <c r="CN194" s="100" t="str">
        <f aca="false">IF(ISBLANK($C194),"",AND($AJ194,$BC194=""))</f>
        <v/>
      </c>
      <c r="CO194" s="100" t="str">
        <f aca="false">IF(ISBLANK($C194),"",AND($AJ194,$BF194=""))</f>
        <v/>
      </c>
      <c r="CP194" s="101"/>
      <c r="CQ194" s="102"/>
      <c r="CR194" s="103" t="str">
        <f aca="false">IF(ISBLANK($C194),"",IF($BH194=Constants!$B$8,$CI194,""))</f>
        <v/>
      </c>
      <c r="CS194" s="102" t="str">
        <f aca="false">IF(ISBLANK($C194),"",IF($BH194&lt;&gt;Constants!$B$4,"",$BK194+$BL194))</f>
        <v/>
      </c>
      <c r="CT194" s="104" t="str">
        <f aca="false">IF(ISBLANK($C194),"",IF($BH194&lt;&gt;Constants!$B$4,"",$BM194+$BN194+$BO194))</f>
        <v/>
      </c>
      <c r="CU194" s="104" t="str">
        <f aca="false">IF(ISBLANK($C194),"",IF($BH194&lt;&gt;Constants!$B$4,"",$BP194))</f>
        <v/>
      </c>
      <c r="CV194" s="104" t="str">
        <f aca="false">IF(ISBLANK($C194),"",IF($BH194&lt;&gt;Constants!$B$4,"",$BQ194+$BR194))</f>
        <v/>
      </c>
      <c r="CW194" s="104" t="str">
        <f aca="false">IF(ISBLANK($C194),"",IF($BH194&lt;&gt;Constants!$B$4,"",$BS194))</f>
        <v/>
      </c>
      <c r="CX194" s="104" t="str">
        <f aca="false">IF(ISBLANK($C194),"",IF($BH194&lt;&gt;Constants!$B$4,"",-$BZ194))</f>
        <v/>
      </c>
      <c r="CY194" s="103" t="str">
        <f aca="false">IF(ISBLANK($C194),"",$CA194)</f>
        <v/>
      </c>
      <c r="CZ194" s="105" t="str">
        <f aca="false">IF(ISBLANK($C194),"",$BI194)</f>
        <v/>
      </c>
      <c r="DA194" s="104" t="str">
        <f aca="false">IF(ISBLANK($C194),"",$CH194)</f>
        <v/>
      </c>
      <c r="DB194" s="104" t="str">
        <f aca="false">IF(ISBLANK($C194),"",$CG194)</f>
        <v/>
      </c>
      <c r="DC194" s="106" t="str">
        <f aca="false">IF(ISBLANK($C194),"",IFERROR(_xlfn.SWITCH($DB194,Constants!$B$7,COUNTA($C$9:$C$508)+2,Constants!$B$6,COUNTA($C$9:$C$508)+1,Constants!$B$5,COUNTA($C$9:$C$508)),$DB194))</f>
        <v/>
      </c>
      <c r="DD194" s="7"/>
      <c r="DE194" s="107" t="n">
        <f aca="false">IF(OR(ISNUMBER($DB194),$DB194=Constants!$B$7,$DB194=Constants!$B$5,$DB194=Constants!$B$6),1,0)</f>
        <v>0</v>
      </c>
      <c r="DF194" s="107" t="n">
        <v>186</v>
      </c>
      <c r="DG194" s="107" t="str">
        <f aca="false">IF(ISBLANK($C194),"",IF(ISNUMBER($DC194),$DC194+ROW($B194)/1000,""))</f>
        <v/>
      </c>
      <c r="DH194" s="107" t="str">
        <f aca="false">IF(ISNUMBER($DG194),RANK($DG194,$DG$9:$DG$508,1),"")</f>
        <v/>
      </c>
      <c r="DI194" s="107" t="str">
        <f aca="false">IF(ISBLANK($C194),"",$B194)</f>
        <v/>
      </c>
      <c r="DJ194" s="107" t="str">
        <f aca="false">IF(ISBLANK($C194),"",$C194)</f>
        <v/>
      </c>
      <c r="DK194" s="107" t="str">
        <f aca="false">IF(ISBLANK($C194),"",$D194)</f>
        <v/>
      </c>
      <c r="DL194" s="108" t="str">
        <f aca="false">$CZ194</f>
        <v/>
      </c>
      <c r="DM194" s="109" t="str">
        <f aca="false">$CY194</f>
        <v/>
      </c>
      <c r="DN194" s="107" t="str">
        <f aca="false">IF(ISBLANK($C194),"",$DB194)</f>
        <v/>
      </c>
      <c r="DO194" s="110" t="str">
        <f aca="false">IF($DF194&gt;$DE$8,"",VLOOKUP($DF194,$DH$9:$DN$508,7,FALSE()))</f>
        <v/>
      </c>
      <c r="DP194" s="111" t="str">
        <f aca="false">IF($DF194&gt;$DE$8,"",VLOOKUP($DF194,$DH$9:$DN$508,2,FALSE()))</f>
        <v/>
      </c>
      <c r="DQ194" s="111" t="str">
        <f aca="false">IF($DF194&gt;$DE$8,"",VLOOKUP($DF194,$DH$9:$DN$508,3,FALSE()))</f>
        <v/>
      </c>
      <c r="DR194" s="111" t="str">
        <f aca="false">IF($DF194&gt;$DE$8,"",VLOOKUP($DF194,$DH$9:$DN$508,4,FALSE()))</f>
        <v/>
      </c>
      <c r="DS194" s="111" t="str">
        <f aca="false">IF($DF194&gt;$DE$8,"",VLOOKUP($DF194,$DH$9:$DN$508,5,FALSE()))</f>
        <v/>
      </c>
      <c r="DT194" s="112" t="str">
        <f aca="false">IF($DF194&gt;$DE$8,"",VLOOKUP($DF194,$DH$9:$DN$508,6,FALSE()))</f>
        <v/>
      </c>
      <c r="DU194" s="62"/>
    </row>
    <row r="195" customFormat="false" ht="15.75" hidden="false" customHeight="false" outlineLevel="0" collapsed="false">
      <c r="A195" s="7"/>
      <c r="B195" s="64"/>
      <c r="C195" s="65"/>
      <c r="D195" s="123"/>
      <c r="E195" s="88"/>
      <c r="F195" s="134"/>
      <c r="G195" s="88"/>
      <c r="H195" s="134"/>
      <c r="I195" s="119"/>
      <c r="J195" s="119"/>
      <c r="K195" s="119"/>
      <c r="L195" s="88"/>
      <c r="M195" s="88"/>
      <c r="N195" s="88"/>
      <c r="O195" s="134"/>
      <c r="P195" s="88"/>
      <c r="Q195" s="88"/>
      <c r="R195" s="88"/>
      <c r="S195" s="88"/>
      <c r="T195" s="134"/>
      <c r="U195" s="88"/>
      <c r="V195" s="70"/>
      <c r="W195" s="88"/>
      <c r="X195" s="88"/>
      <c r="Y195" s="70"/>
      <c r="Z195" s="70"/>
      <c r="AA195" s="88"/>
      <c r="AB195" s="88"/>
      <c r="AC195" s="71"/>
      <c r="AD195" s="88"/>
      <c r="AE195" s="73"/>
      <c r="AF195" s="74"/>
      <c r="AG195" s="74"/>
      <c r="AH195" s="74" t="str">
        <f aca="false">IF(ISBLANK($C195),"",IF($E195=Constants!$B$2,TRUE(),IF($E195=Constants!$B$3,FALSE(),TRUE())))</f>
        <v/>
      </c>
      <c r="AI195" s="74" t="str">
        <f aca="false">IF(ISBLANK($C195),"",IF($F195=Constants!$B$2,TRUE(),IF($F195=Constants!$B$3,FALSE(),FALSE())))</f>
        <v/>
      </c>
      <c r="AJ195" s="74" t="str">
        <f aca="false">IF(ISBLANK($C195),"",IF($G195=Constants!$B$2,TRUE(),IF($G195=Constants!$B$3,FALSE(),TRUE())))</f>
        <v/>
      </c>
      <c r="AK195" s="74" t="str">
        <f aca="false">IF(ISBLANK($C195),"",IF($H195=Constants!$B$2,TRUE(),IF($H195=Constants!$B$3,FALSE(),TRUE())))</f>
        <v/>
      </c>
      <c r="AL195" s="74" t="str">
        <f aca="false">IF(ISBLANK($C195),"",IF(ISNUMBER($I195),IF($I195&gt;=0,$I195,""),""))</f>
        <v/>
      </c>
      <c r="AM195" s="74" t="str">
        <f aca="false">IF(ISBLANK($C195),"",IF(ISNUMBER($J195),IF($J195&gt;=0,$J195,""),""))</f>
        <v/>
      </c>
      <c r="AN195" s="74" t="str">
        <f aca="false">IF(ISBLANK($C195),"",IF(ISNUMBER($K195),IF($K195&gt;=0,$K195,""),""))</f>
        <v/>
      </c>
      <c r="AO195" s="74" t="str">
        <f aca="false">IF(ISBLANK($C195),"",IF($L195=Constants!$B$2,TRUE(),IF($L195=Constants!$B$3,FALSE(),TRUE())))</f>
        <v/>
      </c>
      <c r="AP195" s="74" t="str">
        <f aca="false">IF(ISBLANK($C195),"",IF($M195=Constants!$B$2,TRUE(),IF($M195=Constants!$B$3,FALSE(),TRUE())))</f>
        <v/>
      </c>
      <c r="AQ195" s="74" t="str">
        <f aca="false">IF(ISBLANK($C195),"",IF($N195=Constants!$B$2,TRUE(),IF($N195=Constants!$B$3,FALSE(),FALSE())))</f>
        <v/>
      </c>
      <c r="AR195" s="74" t="str">
        <f aca="false">IF(ISBLANK($C195),"",IF($O195=Constants!$B$2,TRUE(),IF($O195=Constants!$B$3,FALSE(),TRUE())))</f>
        <v/>
      </c>
      <c r="AS195" s="74" t="str">
        <f aca="false">IF(ISBLANK($C195),"",IF($P195=Constants!$B$2,TRUE(),IF($P195=Constants!$B$3,FALSE(),FALSE())))</f>
        <v/>
      </c>
      <c r="AT195" s="74" t="str">
        <f aca="false">IF(ISBLANK($C195),"",IF($Q195=Constants!$B$2,TRUE(),IF($Q195=Constants!$B$3,FALSE(),FALSE())))</f>
        <v/>
      </c>
      <c r="AU195" s="74" t="str">
        <f aca="false">IF(ISBLANK($C195),"",IF($R195=Constants!$B$2,TRUE(),IF($R195=Constants!$B$3,FALSE(),FALSE())))</f>
        <v/>
      </c>
      <c r="AV195" s="74" t="str">
        <f aca="false">IF(ISBLANK($C195),"",IF($S195=Constants!$B$2,TRUE(),IF($S195=Constants!$B$3,FALSE(),FALSE())))</f>
        <v/>
      </c>
      <c r="AW195" s="74" t="str">
        <f aca="false">IF(ISBLANK($C195),"",IF($T195=Constants!$B$2,TRUE(),IF($T195=Constants!$B$3,FALSE(),FALSE())))</f>
        <v/>
      </c>
      <c r="AX195" s="74" t="str">
        <f aca="false">IF(ISBLANK($C195),"",IF(OR($U195&amp;""="1",$U195&amp;""="2",$U195&amp;""="3",$U195&amp;""="4"),VALUE($U195&amp;""),IF($U195=Constants!$B$12,Constants!$B$12,"")))</f>
        <v/>
      </c>
      <c r="AY195" s="74" t="str">
        <f aca="false">IF(ISBLANK($C195),"",IF(ISBLANK($V195),0,IF(ISNUMBER($V195),IF(AND($V195&gt;=0,$V195&lt;=Constants!$B$21,$V195=INT($V195)),$V195,""),"")))</f>
        <v/>
      </c>
      <c r="AZ195" s="74" t="str">
        <f aca="false">IF(ISBLANK($C195),"",IF(ISBLANK($W195),0,IF(ISNUMBER($W195),IF($W195&gt;=0,$W195,""),"")))</f>
        <v/>
      </c>
      <c r="BA195" s="74" t="str">
        <f aca="false">IF(ISBLANK($C195),"",IF($X195=Constants!$B$2,TRUE(),IF($X195=Constants!$B$3,FALSE(),TRUE())))</f>
        <v/>
      </c>
      <c r="BB195" s="74" t="str">
        <f aca="false">IF(ISBLANK($C195),"",IF($Y195=Constants!$B$2,TRUE(),IF($Y195=Constants!$B$3,FALSE(),FALSE())))</f>
        <v/>
      </c>
      <c r="BC195" s="74" t="str">
        <f aca="false">IF(ISBLANK($C195),"",IF(ISBLANK($Z195),0,IF(ISNUMBER($Z195),IF(AND($Z195&gt;=0,$Z195&lt;=Constants!$B$35,$Z195=INT($Z195)),$Z195,""),"")))</f>
        <v/>
      </c>
      <c r="BD195" s="74" t="str">
        <f aca="false">IF(ISBLANK($C195),"",IF($AA195=Constants!$B$2,TRUE(),IF($AA195=Constants!$B$3,FALSE(),TRUE())))</f>
        <v/>
      </c>
      <c r="BE195" s="74" t="str">
        <f aca="false">IF(ISBLANK($C195),"",IF($AB195=Constants!$B$2,TRUE(),IF($AB195=Constants!$B$3,FALSE(),TRUE())))</f>
        <v/>
      </c>
      <c r="BF195" s="74" t="str">
        <f aca="false">IF(ISBLANK($C195),"",IF(ISNUMBER($AC195),IF($AC195&gt;=0,$AC195,""),""))</f>
        <v/>
      </c>
      <c r="BG195" s="74" t="str">
        <f aca="false">IF(ISBLANK($C195),"",IF($AD195=Constants!$B$2,TRUE(),IF($AD195=Constants!$B$3,FALSE(),FALSE())))</f>
        <v/>
      </c>
      <c r="BH195" s="73" t="str">
        <f aca="false">IF(ISBLANK($C195),"",IF($BG195,Constants!$B$7,IF(COUNTA($E195:$AC195)=0,Constants!$B$6,IF(OR(COUNTA($G195:$AC195)=0,NOT($AK195),$AQ195),Constants!$B$5,IF(OR($CI195&lt;&gt;"",$CJ195,$CK195,$CL195,$CM195,$CN195,$CO195),Constants!$B$8,Constants!$B$4)))))</f>
        <v/>
      </c>
      <c r="BI195" s="74" t="str">
        <f aca="false">IF(ISBLANK($C195),"",IF($BH195&lt;&gt;Constants!$B$4,$BH195,IF(OR(NOT($AH195),NOT($AJ195),NOT($AR195)),Constants!$B$11,IF(OR(NOT($AP195),MAX($AL195,$AM195,$AN195)&gt;Constants!$B$30),Constants!$B$10,Constants!$B$9))))</f>
        <v/>
      </c>
      <c r="BJ195" s="74" t="str">
        <f aca="false">IF($BH195&lt;&gt;Constants!$B$4,"",IF(NOT($AJ195),0,MIN(Constants!$B$35,$BC195)))</f>
        <v/>
      </c>
      <c r="BK195" s="74" t="str">
        <f aca="false">IF($BH195&lt;&gt;Constants!$B$4,"",IF(NOT($AJ195),0,IF($AT195,Constants!$B$18,IF($AS195,Constants!$B$17,0))))</f>
        <v/>
      </c>
      <c r="BL195" s="74" t="str">
        <f aca="false">IF($BH195&lt;&gt;Constants!$B$4,"",IF(NOT($AJ195),0,Constants!$B$19*($AI195+$AU195+$AV195+$AW195)))</f>
        <v/>
      </c>
      <c r="BM195" s="74" t="str">
        <f aca="false">IF($BH195&lt;&gt;Constants!$B$4,"",IF(OR(NOT($AJ195),NOT(ISNUMBER($AX195))),0,CHOOSE($AX195,Constants!$B$13,Constants!$B$14,Constants!$B$15,Constants!$B$16)))</f>
        <v/>
      </c>
      <c r="BN195" s="74" t="str">
        <f aca="false">IF($BH195&lt;&gt;Constants!$B$4,"",IF(NOT($AJ195),0,Constants!$B$20*$AY195))</f>
        <v/>
      </c>
      <c r="BO195" s="74" t="str">
        <f aca="false">IF($BH195&lt;&gt;Constants!$B$4,"",IF(AND($AJ195,$BA195,$BB195),Constants!$B$22,0))</f>
        <v/>
      </c>
      <c r="BP195" s="74" t="str">
        <f aca="false">IF($BH195&lt;&gt;Constants!$B$4,"",IF(OR(NOT($AJ195),NOT($BA195)),0,IF($BF195&gt;=2*$AF$9,0,Constants!$B$23*INT(ROUND(MIN($BF195,$AF$9),6)))))</f>
        <v/>
      </c>
      <c r="BQ195" s="74" t="str">
        <f aca="false">IF($BH195&lt;&gt;Constants!$B$4,"",IF(NOT($AJ195),0,Constants!$B$24*INT(ROUND(MIN($AZ195,$AF$9),6))))</f>
        <v/>
      </c>
      <c r="BR195" s="74" t="str">
        <f aca="false">IF($BH195&lt;&gt;Constants!$B$4,"",IF(AND($AJ195,$BJ195=0),Constants!$B$25,0))</f>
        <v/>
      </c>
      <c r="BS195" s="74" t="str">
        <f aca="false">IF($BH195&lt;&gt;Constants!$B$4,"",MIN(Constants!$B$29,MAX(0,Constants!$B$27*Constants!$B$28*INT(ROUND((Constants!$B$26-$AL195)/Constants!$B$28,6))))+MIN(Constants!$B$29,MAX(0,Constants!$B$27*Constants!$B$28*INT(ROUND((Constants!$B$26-$AM195)/Constants!$B$28,6))))+MIN(Constants!$B$29,MAX(0,Constants!$B$27*Constants!$B$28*INT(ROUND((Constants!$B$26-$AN195)/Constants!$B$28,6)))))</f>
        <v/>
      </c>
      <c r="BT195" s="74" t="str">
        <f aca="false">IF($BH195&lt;&gt;Constants!$B$4,"",IF(NOT($AJ195),0,Constants!$B$31*INT(ROUND(MAX(0,MIN($BF195,2*$AF$9)-$AF$9),6))))</f>
        <v/>
      </c>
      <c r="BU195" s="74" t="str">
        <f aca="false">IF($BH195&lt;&gt;Constants!$B$4,"",Constants!$B$32*(($AL195&gt;Constants!$B$26)+($AM195&gt;Constants!$B$26)+($AN195&gt;Constants!$B$26)))</f>
        <v/>
      </c>
      <c r="BV195" s="74" t="str">
        <f aca="false">IF($BH195&lt;&gt;Constants!$B$4,"",IF(OR(NOT($AJ195),$AO195),0,Constants!$B$33))</f>
        <v/>
      </c>
      <c r="BW195" s="74" t="str">
        <f aca="false">IF($BH195&lt;&gt;Constants!$B$4,"",Constants!$B$34*$BJ195)</f>
        <v/>
      </c>
      <c r="BX195" s="74" t="str">
        <f aca="false">IF($BH195&lt;&gt;Constants!$B$4,"",IF(OR(NOT($AJ195),$BE195),0,Constants!$B$36))</f>
        <v/>
      </c>
      <c r="BY195" s="74" t="str">
        <f aca="false">IF($BH195&lt;&gt;Constants!$B$4,"",IF(OR(NOT($AJ195),$BD195),0,Constants!$B$37))</f>
        <v/>
      </c>
      <c r="BZ195" s="74" t="str">
        <f aca="false">IF($BH195&lt;&gt;Constants!$B$4,"",SUM($BT195:$BY195))</f>
        <v/>
      </c>
      <c r="CA195" s="74" t="str">
        <f aca="false">IF(ISBLANK($C195),"",IF($BH195&lt;&gt;Constants!$B$4,$BH195,SUM($BK195:$BS195)-$BZ195))</f>
        <v/>
      </c>
      <c r="CB195" s="74" t="str">
        <f aca="false">IF(ISBLANK($C195),"",IF($BH195&lt;&gt;Constants!$B$4,$BH195,RANK($CA195,$CA$9:$CA$508)))</f>
        <v/>
      </c>
      <c r="CC195" s="74" t="str">
        <f aca="false">IF(ISBLANK($C195),"",IF($BH195&lt;&gt;Constants!$B$4,$BH195,COUNTIFS($BI$9:$BI$508,"&lt;"&amp;$BI195)+COUNTIFS($BI$9:$BI$508,$BI195,$CB$9:$CB$508,"&lt;"&amp;$CB195)+1))</f>
        <v/>
      </c>
      <c r="CD195" s="74" t="str">
        <f aca="false">IF(ISBLANK($C195),"",IF($BH195&lt;&gt;Constants!$B$4,$BH195,RANK($BZ195,$BZ$9:$BZ$508,1)))</f>
        <v/>
      </c>
      <c r="CE195" s="74" t="str">
        <f aca="false">IF($BH195&lt;&gt;Constants!$B$4,"",$AL195+$AM195+$AN195)</f>
        <v/>
      </c>
      <c r="CF195" s="74" t="str">
        <f aca="false">IF(ISBLANK($C195),"",IF($BH195&lt;&gt;Constants!$B$4,$BH195,RANK($CE195,$CE$9:$CE$508,1)))</f>
        <v/>
      </c>
      <c r="CG195" s="74" t="str">
        <f aca="false">IF(ISBLANK($C195),"",IF($BH195&lt;&gt;Constants!$B$4,$BH195,COUNTIFS($BI$9:$BI$508,"&lt;"&amp;$BI195)+COUNTIFS($BI$9:$BI$508,$BI195,$CB$9:$CB$508,"&lt;"&amp;$CB195)+COUNTIFS($BI$9:$BI$508,$BI195,$CB$9:$CB$508,$CB195,$CD$9:$CD$508,"&lt;"&amp;$CD195)+COUNTIFS($BI$9:$BI$508,$BI195,$CB$9:$CB$508,$CB195,$CD$9:$CD$508,$CD195,$CF$9:$CF$508,"&lt;"&amp;$CF195)+1))</f>
        <v/>
      </c>
      <c r="CH195" s="74" t="str">
        <f aca="false">IF(ISBLANK($C195),"",IF($BH195&lt;&gt;Constants!$B$4,$BH195,$CC195-$CG195))</f>
        <v/>
      </c>
      <c r="CI195" s="74" t="str">
        <f aca="false">IF(ISBLANK($C195),"",IF(NOT($AJ195),"",IF(ISBLANK($D$7),$CI$5,IF(NOT(ISNUMBER($D$7)),$CI$6,""))))</f>
        <v/>
      </c>
      <c r="CJ195" s="74" t="str">
        <f aca="false">IF(ISBLANK($C195),"",OR($AL195="",$AM195="",$AN195=""))</f>
        <v/>
      </c>
      <c r="CK195" s="74" t="str">
        <f aca="false">IF(ISBLANK($C195),"",AND($AJ195,$AX195=""))</f>
        <v/>
      </c>
      <c r="CL195" s="74" t="str">
        <f aca="false">IF(ISBLANK($C195),"",AND($AJ195,$AY195=""))</f>
        <v/>
      </c>
      <c r="CM195" s="74" t="str">
        <f aca="false">IF(ISBLANK($C195),"",AND($AJ195,$AZ195=""))</f>
        <v/>
      </c>
      <c r="CN195" s="74" t="str">
        <f aca="false">IF(ISBLANK($C195),"",AND($AJ195,$BC195=""))</f>
        <v/>
      </c>
      <c r="CO195" s="74" t="str">
        <f aca="false">IF(ISBLANK($C195),"",AND($AJ195,$BF195=""))</f>
        <v/>
      </c>
      <c r="CP195" s="75"/>
      <c r="CQ195" s="76"/>
      <c r="CR195" s="79" t="str">
        <f aca="false">IF(ISBLANK($C195),"",IF($BH195=Constants!$B$8,$CI195,""))</f>
        <v/>
      </c>
      <c r="CS195" s="76" t="str">
        <f aca="false">IF(ISBLANK($C195),"",IF($BH195&lt;&gt;Constants!$B$4,"",$BK195+$BL195))</f>
        <v/>
      </c>
      <c r="CT195" s="78" t="str">
        <f aca="false">IF(ISBLANK($C195),"",IF($BH195&lt;&gt;Constants!$B$4,"",$BM195+$BN195+$BO195))</f>
        <v/>
      </c>
      <c r="CU195" s="78" t="str">
        <f aca="false">IF(ISBLANK($C195),"",IF($BH195&lt;&gt;Constants!$B$4,"",$BP195))</f>
        <v/>
      </c>
      <c r="CV195" s="78" t="str">
        <f aca="false">IF(ISBLANK($C195),"",IF($BH195&lt;&gt;Constants!$B$4,"",$BQ195+$BR195))</f>
        <v/>
      </c>
      <c r="CW195" s="78" t="str">
        <f aca="false">IF(ISBLANK($C195),"",IF($BH195&lt;&gt;Constants!$B$4,"",$BS195))</f>
        <v/>
      </c>
      <c r="CX195" s="78" t="str">
        <f aca="false">IF(ISBLANK($C195),"",IF($BH195&lt;&gt;Constants!$B$4,"",-$BZ195))</f>
        <v/>
      </c>
      <c r="CY195" s="79" t="str">
        <f aca="false">IF(ISBLANK($C195),"",$CA195)</f>
        <v/>
      </c>
      <c r="CZ195" s="80" t="str">
        <f aca="false">IF(ISBLANK($C195),"",$BI195)</f>
        <v/>
      </c>
      <c r="DA195" s="78" t="str">
        <f aca="false">IF(ISBLANK($C195),"",$CH195)</f>
        <v/>
      </c>
      <c r="DB195" s="78" t="str">
        <f aca="false">IF(ISBLANK($C195),"",$CG195)</f>
        <v/>
      </c>
      <c r="DC195" s="81" t="str">
        <f aca="false">IF(ISBLANK($C195),"",IFERROR(_xlfn.SWITCH($DB195,Constants!$B$7,COUNTA($C$9:$C$508)+2,Constants!$B$6,COUNTA($C$9:$C$508)+1,Constants!$B$5,COUNTA($C$9:$C$508)),$DB195))</f>
        <v/>
      </c>
      <c r="DD195" s="7"/>
      <c r="DE195" s="82" t="n">
        <f aca="false">IF(OR(ISNUMBER($DB195),$DB195=Constants!$B$7,$DB195=Constants!$B$5,$DB195=Constants!$B$6),1,0)</f>
        <v>0</v>
      </c>
      <c r="DF195" s="82" t="n">
        <v>187</v>
      </c>
      <c r="DG195" s="82" t="str">
        <f aca="false">IF(ISBLANK($C195),"",IF(ISNUMBER($DC195),$DC195+ROW($B195)/1000,""))</f>
        <v/>
      </c>
      <c r="DH195" s="82" t="str">
        <f aca="false">IF(ISNUMBER($DG195),RANK($DG195,$DG$9:$DG$508,1),"")</f>
        <v/>
      </c>
      <c r="DI195" s="82" t="str">
        <f aca="false">IF(ISBLANK($C195),"",$B195)</f>
        <v/>
      </c>
      <c r="DJ195" s="82" t="str">
        <f aca="false">IF(ISBLANK($C195),"",$C195)</f>
        <v/>
      </c>
      <c r="DK195" s="82" t="str">
        <f aca="false">IF(ISBLANK($C195),"",$D195)</f>
        <v/>
      </c>
      <c r="DL195" s="83" t="str">
        <f aca="false">$CZ195</f>
        <v/>
      </c>
      <c r="DM195" s="84" t="str">
        <f aca="false">$CY195</f>
        <v/>
      </c>
      <c r="DN195" s="82" t="str">
        <f aca="false">IF(ISBLANK($C195),"",$DB195)</f>
        <v/>
      </c>
      <c r="DO195" s="85" t="str">
        <f aca="false">IF($DF195&gt;$DE$8,"",VLOOKUP($DF195,$DH$9:$DN$508,7,FALSE()))</f>
        <v/>
      </c>
      <c r="DP195" s="86" t="str">
        <f aca="false">IF($DF195&gt;$DE$8,"",VLOOKUP($DF195,$DH$9:$DN$508,2,FALSE()))</f>
        <v/>
      </c>
      <c r="DQ195" s="86" t="str">
        <f aca="false">IF($DF195&gt;$DE$8,"",VLOOKUP($DF195,$DH$9:$DN$508,3,FALSE()))</f>
        <v/>
      </c>
      <c r="DR195" s="86" t="str">
        <f aca="false">IF($DF195&gt;$DE$8,"",VLOOKUP($DF195,$DH$9:$DN$508,4,FALSE()))</f>
        <v/>
      </c>
      <c r="DS195" s="86" t="str">
        <f aca="false">IF($DF195&gt;$DE$8,"",VLOOKUP($DF195,$DH$9:$DN$508,5,FALSE()))</f>
        <v/>
      </c>
      <c r="DT195" s="87" t="str">
        <f aca="false">IF($DF195&gt;$DE$8,"",VLOOKUP($DF195,$DH$9:$DN$508,6,FALSE()))</f>
        <v/>
      </c>
      <c r="DU195" s="62"/>
    </row>
    <row r="196" customFormat="false" ht="15.75" hidden="false" customHeight="false" outlineLevel="0" collapsed="false">
      <c r="A196" s="7"/>
      <c r="B196" s="64"/>
      <c r="C196" s="65"/>
      <c r="D196" s="123"/>
      <c r="E196" s="88"/>
      <c r="F196" s="134"/>
      <c r="G196" s="88"/>
      <c r="H196" s="134"/>
      <c r="I196" s="119"/>
      <c r="J196" s="119"/>
      <c r="K196" s="119"/>
      <c r="L196" s="88"/>
      <c r="M196" s="88"/>
      <c r="N196" s="88"/>
      <c r="O196" s="134"/>
      <c r="P196" s="88"/>
      <c r="Q196" s="88"/>
      <c r="R196" s="88"/>
      <c r="S196" s="88"/>
      <c r="T196" s="134"/>
      <c r="U196" s="88"/>
      <c r="V196" s="70"/>
      <c r="W196" s="88"/>
      <c r="X196" s="88"/>
      <c r="Y196" s="70"/>
      <c r="Z196" s="70"/>
      <c r="AA196" s="88"/>
      <c r="AB196" s="88"/>
      <c r="AC196" s="71"/>
      <c r="AD196" s="88"/>
      <c r="AE196" s="73"/>
      <c r="AF196" s="74"/>
      <c r="AG196" s="74"/>
      <c r="AH196" s="74" t="str">
        <f aca="false">IF(ISBLANK($C196),"",IF($E196=Constants!$B$2,TRUE(),IF($E196=Constants!$B$3,FALSE(),TRUE())))</f>
        <v/>
      </c>
      <c r="AI196" s="74" t="str">
        <f aca="false">IF(ISBLANK($C196),"",IF($F196=Constants!$B$2,TRUE(),IF($F196=Constants!$B$3,FALSE(),FALSE())))</f>
        <v/>
      </c>
      <c r="AJ196" s="74" t="str">
        <f aca="false">IF(ISBLANK($C196),"",IF($G196=Constants!$B$2,TRUE(),IF($G196=Constants!$B$3,FALSE(),TRUE())))</f>
        <v/>
      </c>
      <c r="AK196" s="74" t="str">
        <f aca="false">IF(ISBLANK($C196),"",IF($H196=Constants!$B$2,TRUE(),IF($H196=Constants!$B$3,FALSE(),TRUE())))</f>
        <v/>
      </c>
      <c r="AL196" s="74" t="str">
        <f aca="false">IF(ISBLANK($C196),"",IF(ISNUMBER($I196),IF($I196&gt;=0,$I196,""),""))</f>
        <v/>
      </c>
      <c r="AM196" s="74" t="str">
        <f aca="false">IF(ISBLANK($C196),"",IF(ISNUMBER($J196),IF($J196&gt;=0,$J196,""),""))</f>
        <v/>
      </c>
      <c r="AN196" s="74" t="str">
        <f aca="false">IF(ISBLANK($C196),"",IF(ISNUMBER($K196),IF($K196&gt;=0,$K196,""),""))</f>
        <v/>
      </c>
      <c r="AO196" s="74" t="str">
        <f aca="false">IF(ISBLANK($C196),"",IF($L196=Constants!$B$2,TRUE(),IF($L196=Constants!$B$3,FALSE(),TRUE())))</f>
        <v/>
      </c>
      <c r="AP196" s="74" t="str">
        <f aca="false">IF(ISBLANK($C196),"",IF($M196=Constants!$B$2,TRUE(),IF($M196=Constants!$B$3,FALSE(),TRUE())))</f>
        <v/>
      </c>
      <c r="AQ196" s="74" t="str">
        <f aca="false">IF(ISBLANK($C196),"",IF($N196=Constants!$B$2,TRUE(),IF($N196=Constants!$B$3,FALSE(),FALSE())))</f>
        <v/>
      </c>
      <c r="AR196" s="74" t="str">
        <f aca="false">IF(ISBLANK($C196),"",IF($O196=Constants!$B$2,TRUE(),IF($O196=Constants!$B$3,FALSE(),TRUE())))</f>
        <v/>
      </c>
      <c r="AS196" s="74" t="str">
        <f aca="false">IF(ISBLANK($C196),"",IF($P196=Constants!$B$2,TRUE(),IF($P196=Constants!$B$3,FALSE(),FALSE())))</f>
        <v/>
      </c>
      <c r="AT196" s="74" t="str">
        <f aca="false">IF(ISBLANK($C196),"",IF($Q196=Constants!$B$2,TRUE(),IF($Q196=Constants!$B$3,FALSE(),FALSE())))</f>
        <v/>
      </c>
      <c r="AU196" s="74" t="str">
        <f aca="false">IF(ISBLANK($C196),"",IF($R196=Constants!$B$2,TRUE(),IF($R196=Constants!$B$3,FALSE(),FALSE())))</f>
        <v/>
      </c>
      <c r="AV196" s="74" t="str">
        <f aca="false">IF(ISBLANK($C196),"",IF($S196=Constants!$B$2,TRUE(),IF($S196=Constants!$B$3,FALSE(),FALSE())))</f>
        <v/>
      </c>
      <c r="AW196" s="74" t="str">
        <f aca="false">IF(ISBLANK($C196),"",IF($T196=Constants!$B$2,TRUE(),IF($T196=Constants!$B$3,FALSE(),FALSE())))</f>
        <v/>
      </c>
      <c r="AX196" s="74" t="str">
        <f aca="false">IF(ISBLANK($C196),"",IF(OR($U196&amp;""="1",$U196&amp;""="2",$U196&amp;""="3",$U196&amp;""="4"),VALUE($U196&amp;""),IF($U196=Constants!$B$12,Constants!$B$12,"")))</f>
        <v/>
      </c>
      <c r="AY196" s="74" t="str">
        <f aca="false">IF(ISBLANK($C196),"",IF(ISBLANK($V196),0,IF(ISNUMBER($V196),IF(AND($V196&gt;=0,$V196&lt;=Constants!$B$21,$V196=INT($V196)),$V196,""),"")))</f>
        <v/>
      </c>
      <c r="AZ196" s="74" t="str">
        <f aca="false">IF(ISBLANK($C196),"",IF(ISBLANK($W196),0,IF(ISNUMBER($W196),IF($W196&gt;=0,$W196,""),"")))</f>
        <v/>
      </c>
      <c r="BA196" s="74" t="str">
        <f aca="false">IF(ISBLANK($C196),"",IF($X196=Constants!$B$2,TRUE(),IF($X196=Constants!$B$3,FALSE(),TRUE())))</f>
        <v/>
      </c>
      <c r="BB196" s="74" t="str">
        <f aca="false">IF(ISBLANK($C196),"",IF($Y196=Constants!$B$2,TRUE(),IF($Y196=Constants!$B$3,FALSE(),FALSE())))</f>
        <v/>
      </c>
      <c r="BC196" s="74" t="str">
        <f aca="false">IF(ISBLANK($C196),"",IF(ISBLANK($Z196),0,IF(ISNUMBER($Z196),IF(AND($Z196&gt;=0,$Z196&lt;=Constants!$B$35,$Z196=INT($Z196)),$Z196,""),"")))</f>
        <v/>
      </c>
      <c r="BD196" s="74" t="str">
        <f aca="false">IF(ISBLANK($C196),"",IF($AA196=Constants!$B$2,TRUE(),IF($AA196=Constants!$B$3,FALSE(),TRUE())))</f>
        <v/>
      </c>
      <c r="BE196" s="74" t="str">
        <f aca="false">IF(ISBLANK($C196),"",IF($AB196=Constants!$B$2,TRUE(),IF($AB196=Constants!$B$3,FALSE(),TRUE())))</f>
        <v/>
      </c>
      <c r="BF196" s="74" t="str">
        <f aca="false">IF(ISBLANK($C196),"",IF(ISNUMBER($AC196),IF($AC196&gt;=0,$AC196,""),""))</f>
        <v/>
      </c>
      <c r="BG196" s="74" t="str">
        <f aca="false">IF(ISBLANK($C196),"",IF($AD196=Constants!$B$2,TRUE(),IF($AD196=Constants!$B$3,FALSE(),FALSE())))</f>
        <v/>
      </c>
      <c r="BH196" s="73" t="str">
        <f aca="false">IF(ISBLANK($C196),"",IF($BG196,Constants!$B$7,IF(COUNTA($E196:$AC196)=0,Constants!$B$6,IF(OR(COUNTA($G196:$AC196)=0,NOT($AK196),$AQ196),Constants!$B$5,IF(OR($CI196&lt;&gt;"",$CJ196,$CK196,$CL196,$CM196,$CN196,$CO196),Constants!$B$8,Constants!$B$4)))))</f>
        <v/>
      </c>
      <c r="BI196" s="74" t="str">
        <f aca="false">IF(ISBLANK($C196),"",IF($BH196&lt;&gt;Constants!$B$4,$BH196,IF(OR(NOT($AH196),NOT($AJ196),NOT($AR196)),Constants!$B$11,IF(OR(NOT($AP196),MAX($AL196,$AM196,$AN196)&gt;Constants!$B$30),Constants!$B$10,Constants!$B$9))))</f>
        <v/>
      </c>
      <c r="BJ196" s="74" t="str">
        <f aca="false">IF($BH196&lt;&gt;Constants!$B$4,"",IF(NOT($AJ196),0,MIN(Constants!$B$35,$BC196)))</f>
        <v/>
      </c>
      <c r="BK196" s="74" t="str">
        <f aca="false">IF($BH196&lt;&gt;Constants!$B$4,"",IF(NOT($AJ196),0,IF($AT196,Constants!$B$18,IF($AS196,Constants!$B$17,0))))</f>
        <v/>
      </c>
      <c r="BL196" s="74" t="str">
        <f aca="false">IF($BH196&lt;&gt;Constants!$B$4,"",IF(NOT($AJ196),0,Constants!$B$19*($AI196+$AU196+$AV196+$AW196)))</f>
        <v/>
      </c>
      <c r="BM196" s="74" t="str">
        <f aca="false">IF($BH196&lt;&gt;Constants!$B$4,"",IF(OR(NOT($AJ196),NOT(ISNUMBER($AX196))),0,CHOOSE($AX196,Constants!$B$13,Constants!$B$14,Constants!$B$15,Constants!$B$16)))</f>
        <v/>
      </c>
      <c r="BN196" s="74" t="str">
        <f aca="false">IF($BH196&lt;&gt;Constants!$B$4,"",IF(NOT($AJ196),0,Constants!$B$20*$AY196))</f>
        <v/>
      </c>
      <c r="BO196" s="74" t="str">
        <f aca="false">IF($BH196&lt;&gt;Constants!$B$4,"",IF(AND($AJ196,$BA196,$BB196),Constants!$B$22,0))</f>
        <v/>
      </c>
      <c r="BP196" s="74" t="str">
        <f aca="false">IF($BH196&lt;&gt;Constants!$B$4,"",IF(OR(NOT($AJ196),NOT($BA196)),0,IF($BF196&gt;=2*$AF$9,0,Constants!$B$23*INT(ROUND(MIN($BF196,$AF$9),6)))))</f>
        <v/>
      </c>
      <c r="BQ196" s="74" t="str">
        <f aca="false">IF($BH196&lt;&gt;Constants!$B$4,"",IF(NOT($AJ196),0,Constants!$B$24*INT(ROUND(MIN($AZ196,$AF$9),6))))</f>
        <v/>
      </c>
      <c r="BR196" s="74" t="str">
        <f aca="false">IF($BH196&lt;&gt;Constants!$B$4,"",IF(AND($AJ196,$BJ196=0),Constants!$B$25,0))</f>
        <v/>
      </c>
      <c r="BS196" s="74" t="str">
        <f aca="false">IF($BH196&lt;&gt;Constants!$B$4,"",MIN(Constants!$B$29,MAX(0,Constants!$B$27*Constants!$B$28*INT(ROUND((Constants!$B$26-$AL196)/Constants!$B$28,6))))+MIN(Constants!$B$29,MAX(0,Constants!$B$27*Constants!$B$28*INT(ROUND((Constants!$B$26-$AM196)/Constants!$B$28,6))))+MIN(Constants!$B$29,MAX(0,Constants!$B$27*Constants!$B$28*INT(ROUND((Constants!$B$26-$AN196)/Constants!$B$28,6)))))</f>
        <v/>
      </c>
      <c r="BT196" s="74" t="str">
        <f aca="false">IF($BH196&lt;&gt;Constants!$B$4,"",IF(NOT($AJ196),0,Constants!$B$31*INT(ROUND(MAX(0,MIN($BF196,2*$AF$9)-$AF$9),6))))</f>
        <v/>
      </c>
      <c r="BU196" s="74" t="str">
        <f aca="false">IF($BH196&lt;&gt;Constants!$B$4,"",Constants!$B$32*(($AL196&gt;Constants!$B$26)+($AM196&gt;Constants!$B$26)+($AN196&gt;Constants!$B$26)))</f>
        <v/>
      </c>
      <c r="BV196" s="74" t="str">
        <f aca="false">IF($BH196&lt;&gt;Constants!$B$4,"",IF(OR(NOT($AJ196),$AO196),0,Constants!$B$33))</f>
        <v/>
      </c>
      <c r="BW196" s="74" t="str">
        <f aca="false">IF($BH196&lt;&gt;Constants!$B$4,"",Constants!$B$34*$BJ196)</f>
        <v/>
      </c>
      <c r="BX196" s="74" t="str">
        <f aca="false">IF($BH196&lt;&gt;Constants!$B$4,"",IF(OR(NOT($AJ196),$BE196),0,Constants!$B$36))</f>
        <v/>
      </c>
      <c r="BY196" s="74" t="str">
        <f aca="false">IF($BH196&lt;&gt;Constants!$B$4,"",IF(OR(NOT($AJ196),$BD196),0,Constants!$B$37))</f>
        <v/>
      </c>
      <c r="BZ196" s="74" t="str">
        <f aca="false">IF($BH196&lt;&gt;Constants!$B$4,"",SUM($BT196:$BY196))</f>
        <v/>
      </c>
      <c r="CA196" s="74" t="str">
        <f aca="false">IF(ISBLANK($C196),"",IF($BH196&lt;&gt;Constants!$B$4,$BH196,SUM($BK196:$BS196)-$BZ196))</f>
        <v/>
      </c>
      <c r="CB196" s="74" t="str">
        <f aca="false">IF(ISBLANK($C196),"",IF($BH196&lt;&gt;Constants!$B$4,$BH196,RANK($CA196,$CA$9:$CA$508)))</f>
        <v/>
      </c>
      <c r="CC196" s="74" t="str">
        <f aca="false">IF(ISBLANK($C196),"",IF($BH196&lt;&gt;Constants!$B$4,$BH196,COUNTIFS($BI$9:$BI$508,"&lt;"&amp;$BI196)+COUNTIFS($BI$9:$BI$508,$BI196,$CB$9:$CB$508,"&lt;"&amp;$CB196)+1))</f>
        <v/>
      </c>
      <c r="CD196" s="74" t="str">
        <f aca="false">IF(ISBLANK($C196),"",IF($BH196&lt;&gt;Constants!$B$4,$BH196,RANK($BZ196,$BZ$9:$BZ$508,1)))</f>
        <v/>
      </c>
      <c r="CE196" s="74" t="str">
        <f aca="false">IF($BH196&lt;&gt;Constants!$B$4,"",$AL196+$AM196+$AN196)</f>
        <v/>
      </c>
      <c r="CF196" s="74" t="str">
        <f aca="false">IF(ISBLANK($C196),"",IF($BH196&lt;&gt;Constants!$B$4,$BH196,RANK($CE196,$CE$9:$CE$508,1)))</f>
        <v/>
      </c>
      <c r="CG196" s="74" t="str">
        <f aca="false">IF(ISBLANK($C196),"",IF($BH196&lt;&gt;Constants!$B$4,$BH196,COUNTIFS($BI$9:$BI$508,"&lt;"&amp;$BI196)+COUNTIFS($BI$9:$BI$508,$BI196,$CB$9:$CB$508,"&lt;"&amp;$CB196)+COUNTIFS($BI$9:$BI$508,$BI196,$CB$9:$CB$508,$CB196,$CD$9:$CD$508,"&lt;"&amp;$CD196)+COUNTIFS($BI$9:$BI$508,$BI196,$CB$9:$CB$508,$CB196,$CD$9:$CD$508,$CD196,$CF$9:$CF$508,"&lt;"&amp;$CF196)+1))</f>
        <v/>
      </c>
      <c r="CH196" s="74" t="str">
        <f aca="false">IF(ISBLANK($C196),"",IF($BH196&lt;&gt;Constants!$B$4,$BH196,$CC196-$CG196))</f>
        <v/>
      </c>
      <c r="CI196" s="74" t="str">
        <f aca="false">IF(ISBLANK($C196),"",IF(NOT($AJ196),"",IF(ISBLANK($D$7),$CI$5,IF(NOT(ISNUMBER($D$7)),$CI$6,""))))</f>
        <v/>
      </c>
      <c r="CJ196" s="74" t="str">
        <f aca="false">IF(ISBLANK($C196),"",OR($AL196="",$AM196="",$AN196=""))</f>
        <v/>
      </c>
      <c r="CK196" s="74" t="str">
        <f aca="false">IF(ISBLANK($C196),"",AND($AJ196,$AX196=""))</f>
        <v/>
      </c>
      <c r="CL196" s="74" t="str">
        <f aca="false">IF(ISBLANK($C196),"",AND($AJ196,$AY196=""))</f>
        <v/>
      </c>
      <c r="CM196" s="74" t="str">
        <f aca="false">IF(ISBLANK($C196),"",AND($AJ196,$AZ196=""))</f>
        <v/>
      </c>
      <c r="CN196" s="74" t="str">
        <f aca="false">IF(ISBLANK($C196),"",AND($AJ196,$BC196=""))</f>
        <v/>
      </c>
      <c r="CO196" s="74" t="str">
        <f aca="false">IF(ISBLANK($C196),"",AND($AJ196,$BF196=""))</f>
        <v/>
      </c>
      <c r="CP196" s="75"/>
      <c r="CQ196" s="76"/>
      <c r="CR196" s="79" t="str">
        <f aca="false">IF(ISBLANK($C196),"",IF($BH196=Constants!$B$8,$CI196,""))</f>
        <v/>
      </c>
      <c r="CS196" s="76" t="str">
        <f aca="false">IF(ISBLANK($C196),"",IF($BH196&lt;&gt;Constants!$B$4,"",$BK196+$BL196))</f>
        <v/>
      </c>
      <c r="CT196" s="78" t="str">
        <f aca="false">IF(ISBLANK($C196),"",IF($BH196&lt;&gt;Constants!$B$4,"",$BM196+$BN196+$BO196))</f>
        <v/>
      </c>
      <c r="CU196" s="78" t="str">
        <f aca="false">IF(ISBLANK($C196),"",IF($BH196&lt;&gt;Constants!$B$4,"",$BP196))</f>
        <v/>
      </c>
      <c r="CV196" s="78" t="str">
        <f aca="false">IF(ISBLANK($C196),"",IF($BH196&lt;&gt;Constants!$B$4,"",$BQ196+$BR196))</f>
        <v/>
      </c>
      <c r="CW196" s="78" t="str">
        <f aca="false">IF(ISBLANK($C196),"",IF($BH196&lt;&gt;Constants!$B$4,"",$BS196))</f>
        <v/>
      </c>
      <c r="CX196" s="78" t="str">
        <f aca="false">IF(ISBLANK($C196),"",IF($BH196&lt;&gt;Constants!$B$4,"",-$BZ196))</f>
        <v/>
      </c>
      <c r="CY196" s="79" t="str">
        <f aca="false">IF(ISBLANK($C196),"",$CA196)</f>
        <v/>
      </c>
      <c r="CZ196" s="80" t="str">
        <f aca="false">IF(ISBLANK($C196),"",$BI196)</f>
        <v/>
      </c>
      <c r="DA196" s="78" t="str">
        <f aca="false">IF(ISBLANK($C196),"",$CH196)</f>
        <v/>
      </c>
      <c r="DB196" s="78" t="str">
        <f aca="false">IF(ISBLANK($C196),"",$CG196)</f>
        <v/>
      </c>
      <c r="DC196" s="81" t="str">
        <f aca="false">IF(ISBLANK($C196),"",IFERROR(_xlfn.SWITCH($DB196,Constants!$B$7,COUNTA($C$9:$C$508)+2,Constants!$B$6,COUNTA($C$9:$C$508)+1,Constants!$B$5,COUNTA($C$9:$C$508)),$DB196))</f>
        <v/>
      </c>
      <c r="DD196" s="7"/>
      <c r="DE196" s="82" t="n">
        <f aca="false">IF(OR(ISNUMBER($DB196),$DB196=Constants!$B$7,$DB196=Constants!$B$5,$DB196=Constants!$B$6),1,0)</f>
        <v>0</v>
      </c>
      <c r="DF196" s="82" t="n">
        <v>188</v>
      </c>
      <c r="DG196" s="82" t="str">
        <f aca="false">IF(ISBLANK($C196),"",IF(ISNUMBER($DC196),$DC196+ROW($B196)/1000,""))</f>
        <v/>
      </c>
      <c r="DH196" s="82" t="str">
        <f aca="false">IF(ISNUMBER($DG196),RANK($DG196,$DG$9:$DG$508,1),"")</f>
        <v/>
      </c>
      <c r="DI196" s="82" t="str">
        <f aca="false">IF(ISBLANK($C196),"",$B196)</f>
        <v/>
      </c>
      <c r="DJ196" s="82" t="str">
        <f aca="false">IF(ISBLANK($C196),"",$C196)</f>
        <v/>
      </c>
      <c r="DK196" s="82" t="str">
        <f aca="false">IF(ISBLANK($C196),"",$D196)</f>
        <v/>
      </c>
      <c r="DL196" s="83" t="str">
        <f aca="false">$CZ196</f>
        <v/>
      </c>
      <c r="DM196" s="84" t="str">
        <f aca="false">$CY196</f>
        <v/>
      </c>
      <c r="DN196" s="82" t="str">
        <f aca="false">IF(ISBLANK($C196),"",$DB196)</f>
        <v/>
      </c>
      <c r="DO196" s="85" t="str">
        <f aca="false">IF($DF196&gt;$DE$8,"",VLOOKUP($DF196,$DH$9:$DN$508,7,FALSE()))</f>
        <v/>
      </c>
      <c r="DP196" s="86" t="str">
        <f aca="false">IF($DF196&gt;$DE$8,"",VLOOKUP($DF196,$DH$9:$DN$508,2,FALSE()))</f>
        <v/>
      </c>
      <c r="DQ196" s="86" t="str">
        <f aca="false">IF($DF196&gt;$DE$8,"",VLOOKUP($DF196,$DH$9:$DN$508,3,FALSE()))</f>
        <v/>
      </c>
      <c r="DR196" s="86" t="str">
        <f aca="false">IF($DF196&gt;$DE$8,"",VLOOKUP($DF196,$DH$9:$DN$508,4,FALSE()))</f>
        <v/>
      </c>
      <c r="DS196" s="86" t="str">
        <f aca="false">IF($DF196&gt;$DE$8,"",VLOOKUP($DF196,$DH$9:$DN$508,5,FALSE()))</f>
        <v/>
      </c>
      <c r="DT196" s="87" t="str">
        <f aca="false">IF($DF196&gt;$DE$8,"",VLOOKUP($DF196,$DH$9:$DN$508,6,FALSE()))</f>
        <v/>
      </c>
      <c r="DU196" s="62"/>
    </row>
    <row r="197" customFormat="false" ht="15.75" hidden="false" customHeight="false" outlineLevel="0" collapsed="false">
      <c r="A197" s="7"/>
      <c r="B197" s="64"/>
      <c r="C197" s="65"/>
      <c r="D197" s="123"/>
      <c r="E197" s="88"/>
      <c r="F197" s="134"/>
      <c r="G197" s="88"/>
      <c r="H197" s="134"/>
      <c r="I197" s="119"/>
      <c r="J197" s="119"/>
      <c r="K197" s="119"/>
      <c r="L197" s="88"/>
      <c r="M197" s="88"/>
      <c r="N197" s="88"/>
      <c r="O197" s="134"/>
      <c r="P197" s="88"/>
      <c r="Q197" s="88"/>
      <c r="R197" s="88"/>
      <c r="S197" s="88"/>
      <c r="T197" s="134"/>
      <c r="U197" s="88"/>
      <c r="V197" s="70"/>
      <c r="W197" s="88"/>
      <c r="X197" s="88"/>
      <c r="Y197" s="70"/>
      <c r="Z197" s="70"/>
      <c r="AA197" s="88"/>
      <c r="AB197" s="88"/>
      <c r="AC197" s="71"/>
      <c r="AD197" s="88"/>
      <c r="AE197" s="73"/>
      <c r="AF197" s="74"/>
      <c r="AG197" s="74"/>
      <c r="AH197" s="74" t="str">
        <f aca="false">IF(ISBLANK($C197),"",IF($E197=Constants!$B$2,TRUE(),IF($E197=Constants!$B$3,FALSE(),TRUE())))</f>
        <v/>
      </c>
      <c r="AI197" s="74" t="str">
        <f aca="false">IF(ISBLANK($C197),"",IF($F197=Constants!$B$2,TRUE(),IF($F197=Constants!$B$3,FALSE(),FALSE())))</f>
        <v/>
      </c>
      <c r="AJ197" s="74" t="str">
        <f aca="false">IF(ISBLANK($C197),"",IF($G197=Constants!$B$2,TRUE(),IF($G197=Constants!$B$3,FALSE(),TRUE())))</f>
        <v/>
      </c>
      <c r="AK197" s="74" t="str">
        <f aca="false">IF(ISBLANK($C197),"",IF($H197=Constants!$B$2,TRUE(),IF($H197=Constants!$B$3,FALSE(),TRUE())))</f>
        <v/>
      </c>
      <c r="AL197" s="74" t="str">
        <f aca="false">IF(ISBLANK($C197),"",IF(ISNUMBER($I197),IF($I197&gt;=0,$I197,""),""))</f>
        <v/>
      </c>
      <c r="AM197" s="74" t="str">
        <f aca="false">IF(ISBLANK($C197),"",IF(ISNUMBER($J197),IF($J197&gt;=0,$J197,""),""))</f>
        <v/>
      </c>
      <c r="AN197" s="74" t="str">
        <f aca="false">IF(ISBLANK($C197),"",IF(ISNUMBER($K197),IF($K197&gt;=0,$K197,""),""))</f>
        <v/>
      </c>
      <c r="AO197" s="74" t="str">
        <f aca="false">IF(ISBLANK($C197),"",IF($L197=Constants!$B$2,TRUE(),IF($L197=Constants!$B$3,FALSE(),TRUE())))</f>
        <v/>
      </c>
      <c r="AP197" s="74" t="str">
        <f aca="false">IF(ISBLANK($C197),"",IF($M197=Constants!$B$2,TRUE(),IF($M197=Constants!$B$3,FALSE(),TRUE())))</f>
        <v/>
      </c>
      <c r="AQ197" s="74" t="str">
        <f aca="false">IF(ISBLANK($C197),"",IF($N197=Constants!$B$2,TRUE(),IF($N197=Constants!$B$3,FALSE(),FALSE())))</f>
        <v/>
      </c>
      <c r="AR197" s="74" t="str">
        <f aca="false">IF(ISBLANK($C197),"",IF($O197=Constants!$B$2,TRUE(),IF($O197=Constants!$B$3,FALSE(),TRUE())))</f>
        <v/>
      </c>
      <c r="AS197" s="74" t="str">
        <f aca="false">IF(ISBLANK($C197),"",IF($P197=Constants!$B$2,TRUE(),IF($P197=Constants!$B$3,FALSE(),FALSE())))</f>
        <v/>
      </c>
      <c r="AT197" s="74" t="str">
        <f aca="false">IF(ISBLANK($C197),"",IF($Q197=Constants!$B$2,TRUE(),IF($Q197=Constants!$B$3,FALSE(),FALSE())))</f>
        <v/>
      </c>
      <c r="AU197" s="74" t="str">
        <f aca="false">IF(ISBLANK($C197),"",IF($R197=Constants!$B$2,TRUE(),IF($R197=Constants!$B$3,FALSE(),FALSE())))</f>
        <v/>
      </c>
      <c r="AV197" s="74" t="str">
        <f aca="false">IF(ISBLANK($C197),"",IF($S197=Constants!$B$2,TRUE(),IF($S197=Constants!$B$3,FALSE(),FALSE())))</f>
        <v/>
      </c>
      <c r="AW197" s="74" t="str">
        <f aca="false">IF(ISBLANK($C197),"",IF($T197=Constants!$B$2,TRUE(),IF($T197=Constants!$B$3,FALSE(),FALSE())))</f>
        <v/>
      </c>
      <c r="AX197" s="74" t="str">
        <f aca="false">IF(ISBLANK($C197),"",IF(OR($U197&amp;""="1",$U197&amp;""="2",$U197&amp;""="3",$U197&amp;""="4"),VALUE($U197&amp;""),IF($U197=Constants!$B$12,Constants!$B$12,"")))</f>
        <v/>
      </c>
      <c r="AY197" s="74" t="str">
        <f aca="false">IF(ISBLANK($C197),"",IF(ISBLANK($V197),0,IF(ISNUMBER($V197),IF(AND($V197&gt;=0,$V197&lt;=Constants!$B$21,$V197=INT($V197)),$V197,""),"")))</f>
        <v/>
      </c>
      <c r="AZ197" s="74" t="str">
        <f aca="false">IF(ISBLANK($C197),"",IF(ISBLANK($W197),0,IF(ISNUMBER($W197),IF($W197&gt;=0,$W197,""),"")))</f>
        <v/>
      </c>
      <c r="BA197" s="74" t="str">
        <f aca="false">IF(ISBLANK($C197),"",IF($X197=Constants!$B$2,TRUE(),IF($X197=Constants!$B$3,FALSE(),TRUE())))</f>
        <v/>
      </c>
      <c r="BB197" s="74" t="str">
        <f aca="false">IF(ISBLANK($C197),"",IF($Y197=Constants!$B$2,TRUE(),IF($Y197=Constants!$B$3,FALSE(),FALSE())))</f>
        <v/>
      </c>
      <c r="BC197" s="74" t="str">
        <f aca="false">IF(ISBLANK($C197),"",IF(ISBLANK($Z197),0,IF(ISNUMBER($Z197),IF(AND($Z197&gt;=0,$Z197&lt;=Constants!$B$35,$Z197=INT($Z197)),$Z197,""),"")))</f>
        <v/>
      </c>
      <c r="BD197" s="74" t="str">
        <f aca="false">IF(ISBLANK($C197),"",IF($AA197=Constants!$B$2,TRUE(),IF($AA197=Constants!$B$3,FALSE(),TRUE())))</f>
        <v/>
      </c>
      <c r="BE197" s="74" t="str">
        <f aca="false">IF(ISBLANK($C197),"",IF($AB197=Constants!$B$2,TRUE(),IF($AB197=Constants!$B$3,FALSE(),TRUE())))</f>
        <v/>
      </c>
      <c r="BF197" s="74" t="str">
        <f aca="false">IF(ISBLANK($C197),"",IF(ISNUMBER($AC197),IF($AC197&gt;=0,$AC197,""),""))</f>
        <v/>
      </c>
      <c r="BG197" s="74" t="str">
        <f aca="false">IF(ISBLANK($C197),"",IF($AD197=Constants!$B$2,TRUE(),IF($AD197=Constants!$B$3,FALSE(),FALSE())))</f>
        <v/>
      </c>
      <c r="BH197" s="73" t="str">
        <f aca="false">IF(ISBLANK($C197),"",IF($BG197,Constants!$B$7,IF(COUNTA($E197:$AC197)=0,Constants!$B$6,IF(OR(COUNTA($G197:$AC197)=0,NOT($AK197),$AQ197),Constants!$B$5,IF(OR($CI197&lt;&gt;"",$CJ197,$CK197,$CL197,$CM197,$CN197,$CO197),Constants!$B$8,Constants!$B$4)))))</f>
        <v/>
      </c>
      <c r="BI197" s="74" t="str">
        <f aca="false">IF(ISBLANK($C197),"",IF($BH197&lt;&gt;Constants!$B$4,$BH197,IF(OR(NOT($AH197),NOT($AJ197),NOT($AR197)),Constants!$B$11,IF(OR(NOT($AP197),MAX($AL197,$AM197,$AN197)&gt;Constants!$B$30),Constants!$B$10,Constants!$B$9))))</f>
        <v/>
      </c>
      <c r="BJ197" s="74" t="str">
        <f aca="false">IF($BH197&lt;&gt;Constants!$B$4,"",IF(NOT($AJ197),0,MIN(Constants!$B$35,$BC197)))</f>
        <v/>
      </c>
      <c r="BK197" s="74" t="str">
        <f aca="false">IF($BH197&lt;&gt;Constants!$B$4,"",IF(NOT($AJ197),0,IF($AT197,Constants!$B$18,IF($AS197,Constants!$B$17,0))))</f>
        <v/>
      </c>
      <c r="BL197" s="74" t="str">
        <f aca="false">IF($BH197&lt;&gt;Constants!$B$4,"",IF(NOT($AJ197),0,Constants!$B$19*($AI197+$AU197+$AV197+$AW197)))</f>
        <v/>
      </c>
      <c r="BM197" s="74" t="str">
        <f aca="false">IF($BH197&lt;&gt;Constants!$B$4,"",IF(OR(NOT($AJ197),NOT(ISNUMBER($AX197))),0,CHOOSE($AX197,Constants!$B$13,Constants!$B$14,Constants!$B$15,Constants!$B$16)))</f>
        <v/>
      </c>
      <c r="BN197" s="74" t="str">
        <f aca="false">IF($BH197&lt;&gt;Constants!$B$4,"",IF(NOT($AJ197),0,Constants!$B$20*$AY197))</f>
        <v/>
      </c>
      <c r="BO197" s="74" t="str">
        <f aca="false">IF($BH197&lt;&gt;Constants!$B$4,"",IF(AND($AJ197,$BA197,$BB197),Constants!$B$22,0))</f>
        <v/>
      </c>
      <c r="BP197" s="74" t="str">
        <f aca="false">IF($BH197&lt;&gt;Constants!$B$4,"",IF(OR(NOT($AJ197),NOT($BA197)),0,IF($BF197&gt;=2*$AF$9,0,Constants!$B$23*INT(ROUND(MIN($BF197,$AF$9),6)))))</f>
        <v/>
      </c>
      <c r="BQ197" s="74" t="str">
        <f aca="false">IF($BH197&lt;&gt;Constants!$B$4,"",IF(NOT($AJ197),0,Constants!$B$24*INT(ROUND(MIN($AZ197,$AF$9),6))))</f>
        <v/>
      </c>
      <c r="BR197" s="74" t="str">
        <f aca="false">IF($BH197&lt;&gt;Constants!$B$4,"",IF(AND($AJ197,$BJ197=0),Constants!$B$25,0))</f>
        <v/>
      </c>
      <c r="BS197" s="74" t="str">
        <f aca="false">IF($BH197&lt;&gt;Constants!$B$4,"",MIN(Constants!$B$29,MAX(0,Constants!$B$27*Constants!$B$28*INT(ROUND((Constants!$B$26-$AL197)/Constants!$B$28,6))))+MIN(Constants!$B$29,MAX(0,Constants!$B$27*Constants!$B$28*INT(ROUND((Constants!$B$26-$AM197)/Constants!$B$28,6))))+MIN(Constants!$B$29,MAX(0,Constants!$B$27*Constants!$B$28*INT(ROUND((Constants!$B$26-$AN197)/Constants!$B$28,6)))))</f>
        <v/>
      </c>
      <c r="BT197" s="74" t="str">
        <f aca="false">IF($BH197&lt;&gt;Constants!$B$4,"",IF(NOT($AJ197),0,Constants!$B$31*INT(ROUND(MAX(0,MIN($BF197,2*$AF$9)-$AF$9),6))))</f>
        <v/>
      </c>
      <c r="BU197" s="74" t="str">
        <f aca="false">IF($BH197&lt;&gt;Constants!$B$4,"",Constants!$B$32*(($AL197&gt;Constants!$B$26)+($AM197&gt;Constants!$B$26)+($AN197&gt;Constants!$B$26)))</f>
        <v/>
      </c>
      <c r="BV197" s="74" t="str">
        <f aca="false">IF($BH197&lt;&gt;Constants!$B$4,"",IF(OR(NOT($AJ197),$AO197),0,Constants!$B$33))</f>
        <v/>
      </c>
      <c r="BW197" s="74" t="str">
        <f aca="false">IF($BH197&lt;&gt;Constants!$B$4,"",Constants!$B$34*$BJ197)</f>
        <v/>
      </c>
      <c r="BX197" s="74" t="str">
        <f aca="false">IF($BH197&lt;&gt;Constants!$B$4,"",IF(OR(NOT($AJ197),$BE197),0,Constants!$B$36))</f>
        <v/>
      </c>
      <c r="BY197" s="74" t="str">
        <f aca="false">IF($BH197&lt;&gt;Constants!$B$4,"",IF(OR(NOT($AJ197),$BD197),0,Constants!$B$37))</f>
        <v/>
      </c>
      <c r="BZ197" s="74" t="str">
        <f aca="false">IF($BH197&lt;&gt;Constants!$B$4,"",SUM($BT197:$BY197))</f>
        <v/>
      </c>
      <c r="CA197" s="74" t="str">
        <f aca="false">IF(ISBLANK($C197),"",IF($BH197&lt;&gt;Constants!$B$4,$BH197,SUM($BK197:$BS197)-$BZ197))</f>
        <v/>
      </c>
      <c r="CB197" s="74" t="str">
        <f aca="false">IF(ISBLANK($C197),"",IF($BH197&lt;&gt;Constants!$B$4,$BH197,RANK($CA197,$CA$9:$CA$508)))</f>
        <v/>
      </c>
      <c r="CC197" s="74" t="str">
        <f aca="false">IF(ISBLANK($C197),"",IF($BH197&lt;&gt;Constants!$B$4,$BH197,COUNTIFS($BI$9:$BI$508,"&lt;"&amp;$BI197)+COUNTIFS($BI$9:$BI$508,$BI197,$CB$9:$CB$508,"&lt;"&amp;$CB197)+1))</f>
        <v/>
      </c>
      <c r="CD197" s="74" t="str">
        <f aca="false">IF(ISBLANK($C197),"",IF($BH197&lt;&gt;Constants!$B$4,$BH197,RANK($BZ197,$BZ$9:$BZ$508,1)))</f>
        <v/>
      </c>
      <c r="CE197" s="74" t="str">
        <f aca="false">IF($BH197&lt;&gt;Constants!$B$4,"",$AL197+$AM197+$AN197)</f>
        <v/>
      </c>
      <c r="CF197" s="74" t="str">
        <f aca="false">IF(ISBLANK($C197),"",IF($BH197&lt;&gt;Constants!$B$4,$BH197,RANK($CE197,$CE$9:$CE$508,1)))</f>
        <v/>
      </c>
      <c r="CG197" s="74" t="str">
        <f aca="false">IF(ISBLANK($C197),"",IF($BH197&lt;&gt;Constants!$B$4,$BH197,COUNTIFS($BI$9:$BI$508,"&lt;"&amp;$BI197)+COUNTIFS($BI$9:$BI$508,$BI197,$CB$9:$CB$508,"&lt;"&amp;$CB197)+COUNTIFS($BI$9:$BI$508,$BI197,$CB$9:$CB$508,$CB197,$CD$9:$CD$508,"&lt;"&amp;$CD197)+COUNTIFS($BI$9:$BI$508,$BI197,$CB$9:$CB$508,$CB197,$CD$9:$CD$508,$CD197,$CF$9:$CF$508,"&lt;"&amp;$CF197)+1))</f>
        <v/>
      </c>
      <c r="CH197" s="74" t="str">
        <f aca="false">IF(ISBLANK($C197),"",IF($BH197&lt;&gt;Constants!$B$4,$BH197,$CC197-$CG197))</f>
        <v/>
      </c>
      <c r="CI197" s="74" t="str">
        <f aca="false">IF(ISBLANK($C197),"",IF(NOT($AJ197),"",IF(ISBLANK($D$7),$CI$5,IF(NOT(ISNUMBER($D$7)),$CI$6,""))))</f>
        <v/>
      </c>
      <c r="CJ197" s="74" t="str">
        <f aca="false">IF(ISBLANK($C197),"",OR($AL197="",$AM197="",$AN197=""))</f>
        <v/>
      </c>
      <c r="CK197" s="74" t="str">
        <f aca="false">IF(ISBLANK($C197),"",AND($AJ197,$AX197=""))</f>
        <v/>
      </c>
      <c r="CL197" s="74" t="str">
        <f aca="false">IF(ISBLANK($C197),"",AND($AJ197,$AY197=""))</f>
        <v/>
      </c>
      <c r="CM197" s="74" t="str">
        <f aca="false">IF(ISBLANK($C197),"",AND($AJ197,$AZ197=""))</f>
        <v/>
      </c>
      <c r="CN197" s="74" t="str">
        <f aca="false">IF(ISBLANK($C197),"",AND($AJ197,$BC197=""))</f>
        <v/>
      </c>
      <c r="CO197" s="74" t="str">
        <f aca="false">IF(ISBLANK($C197),"",AND($AJ197,$BF197=""))</f>
        <v/>
      </c>
      <c r="CP197" s="75"/>
      <c r="CQ197" s="76"/>
      <c r="CR197" s="79" t="str">
        <f aca="false">IF(ISBLANK($C197),"",IF($BH197=Constants!$B$8,$CI197,""))</f>
        <v/>
      </c>
      <c r="CS197" s="76" t="str">
        <f aca="false">IF(ISBLANK($C197),"",IF($BH197&lt;&gt;Constants!$B$4,"",$BK197+$BL197))</f>
        <v/>
      </c>
      <c r="CT197" s="78" t="str">
        <f aca="false">IF(ISBLANK($C197),"",IF($BH197&lt;&gt;Constants!$B$4,"",$BM197+$BN197+$BO197))</f>
        <v/>
      </c>
      <c r="CU197" s="78" t="str">
        <f aca="false">IF(ISBLANK($C197),"",IF($BH197&lt;&gt;Constants!$B$4,"",$BP197))</f>
        <v/>
      </c>
      <c r="CV197" s="78" t="str">
        <f aca="false">IF(ISBLANK($C197),"",IF($BH197&lt;&gt;Constants!$B$4,"",$BQ197+$BR197))</f>
        <v/>
      </c>
      <c r="CW197" s="78" t="str">
        <f aca="false">IF(ISBLANK($C197),"",IF($BH197&lt;&gt;Constants!$B$4,"",$BS197))</f>
        <v/>
      </c>
      <c r="CX197" s="78" t="str">
        <f aca="false">IF(ISBLANK($C197),"",IF($BH197&lt;&gt;Constants!$B$4,"",-$BZ197))</f>
        <v/>
      </c>
      <c r="CY197" s="79" t="str">
        <f aca="false">IF(ISBLANK($C197),"",$CA197)</f>
        <v/>
      </c>
      <c r="CZ197" s="80" t="str">
        <f aca="false">IF(ISBLANK($C197),"",$BI197)</f>
        <v/>
      </c>
      <c r="DA197" s="78" t="str">
        <f aca="false">IF(ISBLANK($C197),"",$CH197)</f>
        <v/>
      </c>
      <c r="DB197" s="78" t="str">
        <f aca="false">IF(ISBLANK($C197),"",$CG197)</f>
        <v/>
      </c>
      <c r="DC197" s="81" t="str">
        <f aca="false">IF(ISBLANK($C197),"",IFERROR(_xlfn.SWITCH($DB197,Constants!$B$7,COUNTA($C$9:$C$508)+2,Constants!$B$6,COUNTA($C$9:$C$508)+1,Constants!$B$5,COUNTA($C$9:$C$508)),$DB197))</f>
        <v/>
      </c>
      <c r="DD197" s="7"/>
      <c r="DE197" s="82" t="n">
        <f aca="false">IF(OR(ISNUMBER($DB197),$DB197=Constants!$B$7,$DB197=Constants!$B$5,$DB197=Constants!$B$6),1,0)</f>
        <v>0</v>
      </c>
      <c r="DF197" s="82" t="n">
        <v>189</v>
      </c>
      <c r="DG197" s="82" t="str">
        <f aca="false">IF(ISBLANK($C197),"",IF(ISNUMBER($DC197),$DC197+ROW($B197)/1000,""))</f>
        <v/>
      </c>
      <c r="DH197" s="82" t="str">
        <f aca="false">IF(ISNUMBER($DG197),RANK($DG197,$DG$9:$DG$508,1),"")</f>
        <v/>
      </c>
      <c r="DI197" s="82" t="str">
        <f aca="false">IF(ISBLANK($C197),"",$B197)</f>
        <v/>
      </c>
      <c r="DJ197" s="82" t="str">
        <f aca="false">IF(ISBLANK($C197),"",$C197)</f>
        <v/>
      </c>
      <c r="DK197" s="82" t="str">
        <f aca="false">IF(ISBLANK($C197),"",$D197)</f>
        <v/>
      </c>
      <c r="DL197" s="83" t="str">
        <f aca="false">$CZ197</f>
        <v/>
      </c>
      <c r="DM197" s="84" t="str">
        <f aca="false">$CY197</f>
        <v/>
      </c>
      <c r="DN197" s="82" t="str">
        <f aca="false">IF(ISBLANK($C197),"",$DB197)</f>
        <v/>
      </c>
      <c r="DO197" s="85" t="str">
        <f aca="false">IF($DF197&gt;$DE$8,"",VLOOKUP($DF197,$DH$9:$DN$508,7,FALSE()))</f>
        <v/>
      </c>
      <c r="DP197" s="86" t="str">
        <f aca="false">IF($DF197&gt;$DE$8,"",VLOOKUP($DF197,$DH$9:$DN$508,2,FALSE()))</f>
        <v/>
      </c>
      <c r="DQ197" s="86" t="str">
        <f aca="false">IF($DF197&gt;$DE$8,"",VLOOKUP($DF197,$DH$9:$DN$508,3,FALSE()))</f>
        <v/>
      </c>
      <c r="DR197" s="86" t="str">
        <f aca="false">IF($DF197&gt;$DE$8,"",VLOOKUP($DF197,$DH$9:$DN$508,4,FALSE()))</f>
        <v/>
      </c>
      <c r="DS197" s="86" t="str">
        <f aca="false">IF($DF197&gt;$DE$8,"",VLOOKUP($DF197,$DH$9:$DN$508,5,FALSE()))</f>
        <v/>
      </c>
      <c r="DT197" s="87" t="str">
        <f aca="false">IF($DF197&gt;$DE$8,"",VLOOKUP($DF197,$DH$9:$DN$508,6,FALSE()))</f>
        <v/>
      </c>
      <c r="DU197" s="62"/>
    </row>
    <row r="198" customFormat="false" ht="15.75" hidden="false" customHeight="false" outlineLevel="0" collapsed="false">
      <c r="A198" s="7"/>
      <c r="B198" s="90"/>
      <c r="C198" s="91"/>
      <c r="D198" s="126"/>
      <c r="E198" s="130"/>
      <c r="F198" s="135"/>
      <c r="G198" s="130"/>
      <c r="H198" s="135"/>
      <c r="I198" s="131"/>
      <c r="J198" s="131"/>
      <c r="K198" s="131"/>
      <c r="L198" s="130"/>
      <c r="M198" s="130"/>
      <c r="N198" s="130"/>
      <c r="O198" s="135"/>
      <c r="P198" s="130"/>
      <c r="Q198" s="130"/>
      <c r="R198" s="130"/>
      <c r="S198" s="130"/>
      <c r="T198" s="135"/>
      <c r="U198" s="130"/>
      <c r="V198" s="96"/>
      <c r="W198" s="130"/>
      <c r="X198" s="130"/>
      <c r="Y198" s="96"/>
      <c r="Z198" s="96"/>
      <c r="AA198" s="130"/>
      <c r="AB198" s="130"/>
      <c r="AC198" s="97"/>
      <c r="AD198" s="130"/>
      <c r="AE198" s="99"/>
      <c r="AF198" s="100"/>
      <c r="AG198" s="100"/>
      <c r="AH198" s="100" t="str">
        <f aca="false">IF(ISBLANK($C198),"",IF($E198=Constants!$B$2,TRUE(),IF($E198=Constants!$B$3,FALSE(),TRUE())))</f>
        <v/>
      </c>
      <c r="AI198" s="100" t="str">
        <f aca="false">IF(ISBLANK($C198),"",IF($F198=Constants!$B$2,TRUE(),IF($F198=Constants!$B$3,FALSE(),FALSE())))</f>
        <v/>
      </c>
      <c r="AJ198" s="100" t="str">
        <f aca="false">IF(ISBLANK($C198),"",IF($G198=Constants!$B$2,TRUE(),IF($G198=Constants!$B$3,FALSE(),TRUE())))</f>
        <v/>
      </c>
      <c r="AK198" s="100" t="str">
        <f aca="false">IF(ISBLANK($C198),"",IF($H198=Constants!$B$2,TRUE(),IF($H198=Constants!$B$3,FALSE(),TRUE())))</f>
        <v/>
      </c>
      <c r="AL198" s="100" t="str">
        <f aca="false">IF(ISBLANK($C198),"",IF(ISNUMBER($I198),IF($I198&gt;=0,$I198,""),""))</f>
        <v/>
      </c>
      <c r="AM198" s="100" t="str">
        <f aca="false">IF(ISBLANK($C198),"",IF(ISNUMBER($J198),IF($J198&gt;=0,$J198,""),""))</f>
        <v/>
      </c>
      <c r="AN198" s="100" t="str">
        <f aca="false">IF(ISBLANK($C198),"",IF(ISNUMBER($K198),IF($K198&gt;=0,$K198,""),""))</f>
        <v/>
      </c>
      <c r="AO198" s="100" t="str">
        <f aca="false">IF(ISBLANK($C198),"",IF($L198=Constants!$B$2,TRUE(),IF($L198=Constants!$B$3,FALSE(),TRUE())))</f>
        <v/>
      </c>
      <c r="AP198" s="100" t="str">
        <f aca="false">IF(ISBLANK($C198),"",IF($M198=Constants!$B$2,TRUE(),IF($M198=Constants!$B$3,FALSE(),TRUE())))</f>
        <v/>
      </c>
      <c r="AQ198" s="100" t="str">
        <f aca="false">IF(ISBLANK($C198),"",IF($N198=Constants!$B$2,TRUE(),IF($N198=Constants!$B$3,FALSE(),FALSE())))</f>
        <v/>
      </c>
      <c r="AR198" s="100" t="str">
        <f aca="false">IF(ISBLANK($C198),"",IF($O198=Constants!$B$2,TRUE(),IF($O198=Constants!$B$3,FALSE(),TRUE())))</f>
        <v/>
      </c>
      <c r="AS198" s="100" t="str">
        <f aca="false">IF(ISBLANK($C198),"",IF($P198=Constants!$B$2,TRUE(),IF($P198=Constants!$B$3,FALSE(),FALSE())))</f>
        <v/>
      </c>
      <c r="AT198" s="100" t="str">
        <f aca="false">IF(ISBLANK($C198),"",IF($Q198=Constants!$B$2,TRUE(),IF($Q198=Constants!$B$3,FALSE(),FALSE())))</f>
        <v/>
      </c>
      <c r="AU198" s="100" t="str">
        <f aca="false">IF(ISBLANK($C198),"",IF($R198=Constants!$B$2,TRUE(),IF($R198=Constants!$B$3,FALSE(),FALSE())))</f>
        <v/>
      </c>
      <c r="AV198" s="100" t="str">
        <f aca="false">IF(ISBLANK($C198),"",IF($S198=Constants!$B$2,TRUE(),IF($S198=Constants!$B$3,FALSE(),FALSE())))</f>
        <v/>
      </c>
      <c r="AW198" s="100" t="str">
        <f aca="false">IF(ISBLANK($C198),"",IF($T198=Constants!$B$2,TRUE(),IF($T198=Constants!$B$3,FALSE(),FALSE())))</f>
        <v/>
      </c>
      <c r="AX198" s="100" t="str">
        <f aca="false">IF(ISBLANK($C198),"",IF(OR($U198&amp;""="1",$U198&amp;""="2",$U198&amp;""="3",$U198&amp;""="4"),VALUE($U198&amp;""),IF($U198=Constants!$B$12,Constants!$B$12,"")))</f>
        <v/>
      </c>
      <c r="AY198" s="100" t="str">
        <f aca="false">IF(ISBLANK($C198),"",IF(ISBLANK($V198),0,IF(ISNUMBER($V198),IF(AND($V198&gt;=0,$V198&lt;=Constants!$B$21,$V198=INT($V198)),$V198,""),"")))</f>
        <v/>
      </c>
      <c r="AZ198" s="100" t="str">
        <f aca="false">IF(ISBLANK($C198),"",IF(ISBLANK($W198),0,IF(ISNUMBER($W198),IF($W198&gt;=0,$W198,""),"")))</f>
        <v/>
      </c>
      <c r="BA198" s="100" t="str">
        <f aca="false">IF(ISBLANK($C198),"",IF($X198=Constants!$B$2,TRUE(),IF($X198=Constants!$B$3,FALSE(),TRUE())))</f>
        <v/>
      </c>
      <c r="BB198" s="100" t="str">
        <f aca="false">IF(ISBLANK($C198),"",IF($Y198=Constants!$B$2,TRUE(),IF($Y198=Constants!$B$3,FALSE(),FALSE())))</f>
        <v/>
      </c>
      <c r="BC198" s="100" t="str">
        <f aca="false">IF(ISBLANK($C198),"",IF(ISBLANK($Z198),0,IF(ISNUMBER($Z198),IF(AND($Z198&gt;=0,$Z198&lt;=Constants!$B$35,$Z198=INT($Z198)),$Z198,""),"")))</f>
        <v/>
      </c>
      <c r="BD198" s="100" t="str">
        <f aca="false">IF(ISBLANK($C198),"",IF($AA198=Constants!$B$2,TRUE(),IF($AA198=Constants!$B$3,FALSE(),TRUE())))</f>
        <v/>
      </c>
      <c r="BE198" s="100" t="str">
        <f aca="false">IF(ISBLANK($C198),"",IF($AB198=Constants!$B$2,TRUE(),IF($AB198=Constants!$B$3,FALSE(),TRUE())))</f>
        <v/>
      </c>
      <c r="BF198" s="100" t="str">
        <f aca="false">IF(ISBLANK($C198),"",IF(ISNUMBER($AC198),IF($AC198&gt;=0,$AC198,""),""))</f>
        <v/>
      </c>
      <c r="BG198" s="100" t="str">
        <f aca="false">IF(ISBLANK($C198),"",IF($AD198=Constants!$B$2,TRUE(),IF($AD198=Constants!$B$3,FALSE(),FALSE())))</f>
        <v/>
      </c>
      <c r="BH198" s="99" t="str">
        <f aca="false">IF(ISBLANK($C198),"",IF($BG198,Constants!$B$7,IF(COUNTA($E198:$AC198)=0,Constants!$B$6,IF(OR(COUNTA($G198:$AC198)=0,NOT($AK198),$AQ198),Constants!$B$5,IF(OR($CI198&lt;&gt;"",$CJ198,$CK198,$CL198,$CM198,$CN198,$CO198),Constants!$B$8,Constants!$B$4)))))</f>
        <v/>
      </c>
      <c r="BI198" s="100" t="str">
        <f aca="false">IF(ISBLANK($C198),"",IF($BH198&lt;&gt;Constants!$B$4,$BH198,IF(OR(NOT($AH198),NOT($AJ198),NOT($AR198)),Constants!$B$11,IF(OR(NOT($AP198),MAX($AL198,$AM198,$AN198)&gt;Constants!$B$30),Constants!$B$10,Constants!$B$9))))</f>
        <v/>
      </c>
      <c r="BJ198" s="100" t="str">
        <f aca="false">IF($BH198&lt;&gt;Constants!$B$4,"",IF(NOT($AJ198),0,MIN(Constants!$B$35,$BC198)))</f>
        <v/>
      </c>
      <c r="BK198" s="100" t="str">
        <f aca="false">IF($BH198&lt;&gt;Constants!$B$4,"",IF(NOT($AJ198),0,IF($AT198,Constants!$B$18,IF($AS198,Constants!$B$17,0))))</f>
        <v/>
      </c>
      <c r="BL198" s="100" t="str">
        <f aca="false">IF($BH198&lt;&gt;Constants!$B$4,"",IF(NOT($AJ198),0,Constants!$B$19*($AI198+$AU198+$AV198+$AW198)))</f>
        <v/>
      </c>
      <c r="BM198" s="100" t="str">
        <f aca="false">IF($BH198&lt;&gt;Constants!$B$4,"",IF(OR(NOT($AJ198),NOT(ISNUMBER($AX198))),0,CHOOSE($AX198,Constants!$B$13,Constants!$B$14,Constants!$B$15,Constants!$B$16)))</f>
        <v/>
      </c>
      <c r="BN198" s="100" t="str">
        <f aca="false">IF($BH198&lt;&gt;Constants!$B$4,"",IF(NOT($AJ198),0,Constants!$B$20*$AY198))</f>
        <v/>
      </c>
      <c r="BO198" s="100" t="str">
        <f aca="false">IF($BH198&lt;&gt;Constants!$B$4,"",IF(AND($AJ198,$BA198,$BB198),Constants!$B$22,0))</f>
        <v/>
      </c>
      <c r="BP198" s="100" t="str">
        <f aca="false">IF($BH198&lt;&gt;Constants!$B$4,"",IF(OR(NOT($AJ198),NOT($BA198)),0,IF($BF198&gt;=2*$AF$9,0,Constants!$B$23*INT(ROUND(MIN($BF198,$AF$9),6)))))</f>
        <v/>
      </c>
      <c r="BQ198" s="100" t="str">
        <f aca="false">IF($BH198&lt;&gt;Constants!$B$4,"",IF(NOT($AJ198),0,Constants!$B$24*INT(ROUND(MIN($AZ198,$AF$9),6))))</f>
        <v/>
      </c>
      <c r="BR198" s="100" t="str">
        <f aca="false">IF($BH198&lt;&gt;Constants!$B$4,"",IF(AND($AJ198,$BJ198=0),Constants!$B$25,0))</f>
        <v/>
      </c>
      <c r="BS198" s="100" t="str">
        <f aca="false">IF($BH198&lt;&gt;Constants!$B$4,"",MIN(Constants!$B$29,MAX(0,Constants!$B$27*Constants!$B$28*INT(ROUND((Constants!$B$26-$AL198)/Constants!$B$28,6))))+MIN(Constants!$B$29,MAX(0,Constants!$B$27*Constants!$B$28*INT(ROUND((Constants!$B$26-$AM198)/Constants!$B$28,6))))+MIN(Constants!$B$29,MAX(0,Constants!$B$27*Constants!$B$28*INT(ROUND((Constants!$B$26-$AN198)/Constants!$B$28,6)))))</f>
        <v/>
      </c>
      <c r="BT198" s="100" t="str">
        <f aca="false">IF($BH198&lt;&gt;Constants!$B$4,"",IF(NOT($AJ198),0,Constants!$B$31*INT(ROUND(MAX(0,MIN($BF198,2*$AF$9)-$AF$9),6))))</f>
        <v/>
      </c>
      <c r="BU198" s="100" t="str">
        <f aca="false">IF($BH198&lt;&gt;Constants!$B$4,"",Constants!$B$32*(($AL198&gt;Constants!$B$26)+($AM198&gt;Constants!$B$26)+($AN198&gt;Constants!$B$26)))</f>
        <v/>
      </c>
      <c r="BV198" s="100" t="str">
        <f aca="false">IF($BH198&lt;&gt;Constants!$B$4,"",IF(OR(NOT($AJ198),$AO198),0,Constants!$B$33))</f>
        <v/>
      </c>
      <c r="BW198" s="100" t="str">
        <f aca="false">IF($BH198&lt;&gt;Constants!$B$4,"",Constants!$B$34*$BJ198)</f>
        <v/>
      </c>
      <c r="BX198" s="100" t="str">
        <f aca="false">IF($BH198&lt;&gt;Constants!$B$4,"",IF(OR(NOT($AJ198),$BE198),0,Constants!$B$36))</f>
        <v/>
      </c>
      <c r="BY198" s="100" t="str">
        <f aca="false">IF($BH198&lt;&gt;Constants!$B$4,"",IF(OR(NOT($AJ198),$BD198),0,Constants!$B$37))</f>
        <v/>
      </c>
      <c r="BZ198" s="100" t="str">
        <f aca="false">IF($BH198&lt;&gt;Constants!$B$4,"",SUM($BT198:$BY198))</f>
        <v/>
      </c>
      <c r="CA198" s="100" t="str">
        <f aca="false">IF(ISBLANK($C198),"",IF($BH198&lt;&gt;Constants!$B$4,$BH198,SUM($BK198:$BS198)-$BZ198))</f>
        <v/>
      </c>
      <c r="CB198" s="100" t="str">
        <f aca="false">IF(ISBLANK($C198),"",IF($BH198&lt;&gt;Constants!$B$4,$BH198,RANK($CA198,$CA$9:$CA$508)))</f>
        <v/>
      </c>
      <c r="CC198" s="100" t="str">
        <f aca="false">IF(ISBLANK($C198),"",IF($BH198&lt;&gt;Constants!$B$4,$BH198,COUNTIFS($BI$9:$BI$508,"&lt;"&amp;$BI198)+COUNTIFS($BI$9:$BI$508,$BI198,$CB$9:$CB$508,"&lt;"&amp;$CB198)+1))</f>
        <v/>
      </c>
      <c r="CD198" s="100" t="str">
        <f aca="false">IF(ISBLANK($C198),"",IF($BH198&lt;&gt;Constants!$B$4,$BH198,RANK($BZ198,$BZ$9:$BZ$508,1)))</f>
        <v/>
      </c>
      <c r="CE198" s="100" t="str">
        <f aca="false">IF($BH198&lt;&gt;Constants!$B$4,"",$AL198+$AM198+$AN198)</f>
        <v/>
      </c>
      <c r="CF198" s="100" t="str">
        <f aca="false">IF(ISBLANK($C198),"",IF($BH198&lt;&gt;Constants!$B$4,$BH198,RANK($CE198,$CE$9:$CE$508,1)))</f>
        <v/>
      </c>
      <c r="CG198" s="100" t="str">
        <f aca="false">IF(ISBLANK($C198),"",IF($BH198&lt;&gt;Constants!$B$4,$BH198,COUNTIFS($BI$9:$BI$508,"&lt;"&amp;$BI198)+COUNTIFS($BI$9:$BI$508,$BI198,$CB$9:$CB$508,"&lt;"&amp;$CB198)+COUNTIFS($BI$9:$BI$508,$BI198,$CB$9:$CB$508,$CB198,$CD$9:$CD$508,"&lt;"&amp;$CD198)+COUNTIFS($BI$9:$BI$508,$BI198,$CB$9:$CB$508,$CB198,$CD$9:$CD$508,$CD198,$CF$9:$CF$508,"&lt;"&amp;$CF198)+1))</f>
        <v/>
      </c>
      <c r="CH198" s="100" t="str">
        <f aca="false">IF(ISBLANK($C198),"",IF($BH198&lt;&gt;Constants!$B$4,$BH198,$CC198-$CG198))</f>
        <v/>
      </c>
      <c r="CI198" s="100" t="str">
        <f aca="false">IF(ISBLANK($C198),"",IF(NOT($AJ198),"",IF(ISBLANK($D$7),$CI$5,IF(NOT(ISNUMBER($D$7)),$CI$6,""))))</f>
        <v/>
      </c>
      <c r="CJ198" s="100" t="str">
        <f aca="false">IF(ISBLANK($C198),"",OR($AL198="",$AM198="",$AN198=""))</f>
        <v/>
      </c>
      <c r="CK198" s="100" t="str">
        <f aca="false">IF(ISBLANK($C198),"",AND($AJ198,$AX198=""))</f>
        <v/>
      </c>
      <c r="CL198" s="100" t="str">
        <f aca="false">IF(ISBLANK($C198),"",AND($AJ198,$AY198=""))</f>
        <v/>
      </c>
      <c r="CM198" s="100" t="str">
        <f aca="false">IF(ISBLANK($C198),"",AND($AJ198,$AZ198=""))</f>
        <v/>
      </c>
      <c r="CN198" s="100" t="str">
        <f aca="false">IF(ISBLANK($C198),"",AND($AJ198,$BC198=""))</f>
        <v/>
      </c>
      <c r="CO198" s="100" t="str">
        <f aca="false">IF(ISBLANK($C198),"",AND($AJ198,$BF198=""))</f>
        <v/>
      </c>
      <c r="CP198" s="101"/>
      <c r="CQ198" s="102"/>
      <c r="CR198" s="103" t="str">
        <f aca="false">IF(ISBLANK($C198),"",IF($BH198=Constants!$B$8,$CI198,""))</f>
        <v/>
      </c>
      <c r="CS198" s="102" t="str">
        <f aca="false">IF(ISBLANK($C198),"",IF($BH198&lt;&gt;Constants!$B$4,"",$BK198+$BL198))</f>
        <v/>
      </c>
      <c r="CT198" s="104" t="str">
        <f aca="false">IF(ISBLANK($C198),"",IF($BH198&lt;&gt;Constants!$B$4,"",$BM198+$BN198+$BO198))</f>
        <v/>
      </c>
      <c r="CU198" s="104" t="str">
        <f aca="false">IF(ISBLANK($C198),"",IF($BH198&lt;&gt;Constants!$B$4,"",$BP198))</f>
        <v/>
      </c>
      <c r="CV198" s="104" t="str">
        <f aca="false">IF(ISBLANK($C198),"",IF($BH198&lt;&gt;Constants!$B$4,"",$BQ198+$BR198))</f>
        <v/>
      </c>
      <c r="CW198" s="104" t="str">
        <f aca="false">IF(ISBLANK($C198),"",IF($BH198&lt;&gt;Constants!$B$4,"",$BS198))</f>
        <v/>
      </c>
      <c r="CX198" s="104" t="str">
        <f aca="false">IF(ISBLANK($C198),"",IF($BH198&lt;&gt;Constants!$B$4,"",-$BZ198))</f>
        <v/>
      </c>
      <c r="CY198" s="103" t="str">
        <f aca="false">IF(ISBLANK($C198),"",$CA198)</f>
        <v/>
      </c>
      <c r="CZ198" s="105" t="str">
        <f aca="false">IF(ISBLANK($C198),"",$BI198)</f>
        <v/>
      </c>
      <c r="DA198" s="104" t="str">
        <f aca="false">IF(ISBLANK($C198),"",$CH198)</f>
        <v/>
      </c>
      <c r="DB198" s="104" t="str">
        <f aca="false">IF(ISBLANK($C198),"",$CG198)</f>
        <v/>
      </c>
      <c r="DC198" s="106" t="str">
        <f aca="false">IF(ISBLANK($C198),"",IFERROR(_xlfn.SWITCH($DB198,Constants!$B$7,COUNTA($C$9:$C$508)+2,Constants!$B$6,COUNTA($C$9:$C$508)+1,Constants!$B$5,COUNTA($C$9:$C$508)),$DB198))</f>
        <v/>
      </c>
      <c r="DD198" s="7"/>
      <c r="DE198" s="107" t="n">
        <f aca="false">IF(OR(ISNUMBER($DB198),$DB198=Constants!$B$7,$DB198=Constants!$B$5,$DB198=Constants!$B$6),1,0)</f>
        <v>0</v>
      </c>
      <c r="DF198" s="107" t="n">
        <v>190</v>
      </c>
      <c r="DG198" s="107" t="str">
        <f aca="false">IF(ISBLANK($C198),"",IF(ISNUMBER($DC198),$DC198+ROW($B198)/1000,""))</f>
        <v/>
      </c>
      <c r="DH198" s="107" t="str">
        <f aca="false">IF(ISNUMBER($DG198),RANK($DG198,$DG$9:$DG$508,1),"")</f>
        <v/>
      </c>
      <c r="DI198" s="107" t="str">
        <f aca="false">IF(ISBLANK($C198),"",$B198)</f>
        <v/>
      </c>
      <c r="DJ198" s="107" t="str">
        <f aca="false">IF(ISBLANK($C198),"",$C198)</f>
        <v/>
      </c>
      <c r="DK198" s="107" t="str">
        <f aca="false">IF(ISBLANK($C198),"",$D198)</f>
        <v/>
      </c>
      <c r="DL198" s="108" t="str">
        <f aca="false">$CZ198</f>
        <v/>
      </c>
      <c r="DM198" s="109" t="str">
        <f aca="false">$CY198</f>
        <v/>
      </c>
      <c r="DN198" s="107" t="str">
        <f aca="false">IF(ISBLANK($C198),"",$DB198)</f>
        <v/>
      </c>
      <c r="DO198" s="110" t="str">
        <f aca="false">IF($DF198&gt;$DE$8,"",VLOOKUP($DF198,$DH$9:$DN$508,7,FALSE()))</f>
        <v/>
      </c>
      <c r="DP198" s="111" t="str">
        <f aca="false">IF($DF198&gt;$DE$8,"",VLOOKUP($DF198,$DH$9:$DN$508,2,FALSE()))</f>
        <v/>
      </c>
      <c r="DQ198" s="111" t="str">
        <f aca="false">IF($DF198&gt;$DE$8,"",VLOOKUP($DF198,$DH$9:$DN$508,3,FALSE()))</f>
        <v/>
      </c>
      <c r="DR198" s="111" t="str">
        <f aca="false">IF($DF198&gt;$DE$8,"",VLOOKUP($DF198,$DH$9:$DN$508,4,FALSE()))</f>
        <v/>
      </c>
      <c r="DS198" s="111" t="str">
        <f aca="false">IF($DF198&gt;$DE$8,"",VLOOKUP($DF198,$DH$9:$DN$508,5,FALSE()))</f>
        <v/>
      </c>
      <c r="DT198" s="112" t="str">
        <f aca="false">IF($DF198&gt;$DE$8,"",VLOOKUP($DF198,$DH$9:$DN$508,6,FALSE()))</f>
        <v/>
      </c>
      <c r="DU198" s="62"/>
    </row>
    <row r="199" customFormat="false" ht="15.75" hidden="false" customHeight="false" outlineLevel="0" collapsed="false">
      <c r="A199" s="7"/>
      <c r="B199" s="90"/>
      <c r="C199" s="91"/>
      <c r="D199" s="126"/>
      <c r="E199" s="130"/>
      <c r="F199" s="135"/>
      <c r="G199" s="130"/>
      <c r="H199" s="135"/>
      <c r="I199" s="131"/>
      <c r="J199" s="131"/>
      <c r="K199" s="131"/>
      <c r="L199" s="130"/>
      <c r="M199" s="130"/>
      <c r="N199" s="130"/>
      <c r="O199" s="135"/>
      <c r="P199" s="130"/>
      <c r="Q199" s="130"/>
      <c r="R199" s="130"/>
      <c r="S199" s="130"/>
      <c r="T199" s="135"/>
      <c r="U199" s="130"/>
      <c r="V199" s="96"/>
      <c r="W199" s="130"/>
      <c r="X199" s="130"/>
      <c r="Y199" s="96"/>
      <c r="Z199" s="96"/>
      <c r="AA199" s="130"/>
      <c r="AB199" s="130"/>
      <c r="AC199" s="97"/>
      <c r="AD199" s="130"/>
      <c r="AE199" s="99"/>
      <c r="AF199" s="100"/>
      <c r="AG199" s="100"/>
      <c r="AH199" s="100" t="str">
        <f aca="false">IF(ISBLANK($C199),"",IF($E199=Constants!$B$2,TRUE(),IF($E199=Constants!$B$3,FALSE(),TRUE())))</f>
        <v/>
      </c>
      <c r="AI199" s="100" t="str">
        <f aca="false">IF(ISBLANK($C199),"",IF($F199=Constants!$B$2,TRUE(),IF($F199=Constants!$B$3,FALSE(),FALSE())))</f>
        <v/>
      </c>
      <c r="AJ199" s="100" t="str">
        <f aca="false">IF(ISBLANK($C199),"",IF($G199=Constants!$B$2,TRUE(),IF($G199=Constants!$B$3,FALSE(),TRUE())))</f>
        <v/>
      </c>
      <c r="AK199" s="100" t="str">
        <f aca="false">IF(ISBLANK($C199),"",IF($H199=Constants!$B$2,TRUE(),IF($H199=Constants!$B$3,FALSE(),TRUE())))</f>
        <v/>
      </c>
      <c r="AL199" s="100" t="str">
        <f aca="false">IF(ISBLANK($C199),"",IF(ISNUMBER($I199),IF($I199&gt;=0,$I199,""),""))</f>
        <v/>
      </c>
      <c r="AM199" s="100" t="str">
        <f aca="false">IF(ISBLANK($C199),"",IF(ISNUMBER($J199),IF($J199&gt;=0,$J199,""),""))</f>
        <v/>
      </c>
      <c r="AN199" s="100" t="str">
        <f aca="false">IF(ISBLANK($C199),"",IF(ISNUMBER($K199),IF($K199&gt;=0,$K199,""),""))</f>
        <v/>
      </c>
      <c r="AO199" s="100" t="str">
        <f aca="false">IF(ISBLANK($C199),"",IF($L199=Constants!$B$2,TRUE(),IF($L199=Constants!$B$3,FALSE(),TRUE())))</f>
        <v/>
      </c>
      <c r="AP199" s="100" t="str">
        <f aca="false">IF(ISBLANK($C199),"",IF($M199=Constants!$B$2,TRUE(),IF($M199=Constants!$B$3,FALSE(),TRUE())))</f>
        <v/>
      </c>
      <c r="AQ199" s="100" t="str">
        <f aca="false">IF(ISBLANK($C199),"",IF($N199=Constants!$B$2,TRUE(),IF($N199=Constants!$B$3,FALSE(),FALSE())))</f>
        <v/>
      </c>
      <c r="AR199" s="100" t="str">
        <f aca="false">IF(ISBLANK($C199),"",IF($O199=Constants!$B$2,TRUE(),IF($O199=Constants!$B$3,FALSE(),TRUE())))</f>
        <v/>
      </c>
      <c r="AS199" s="100" t="str">
        <f aca="false">IF(ISBLANK($C199),"",IF($P199=Constants!$B$2,TRUE(),IF($P199=Constants!$B$3,FALSE(),FALSE())))</f>
        <v/>
      </c>
      <c r="AT199" s="100" t="str">
        <f aca="false">IF(ISBLANK($C199),"",IF($Q199=Constants!$B$2,TRUE(),IF($Q199=Constants!$B$3,FALSE(),FALSE())))</f>
        <v/>
      </c>
      <c r="AU199" s="100" t="str">
        <f aca="false">IF(ISBLANK($C199),"",IF($R199=Constants!$B$2,TRUE(),IF($R199=Constants!$B$3,FALSE(),FALSE())))</f>
        <v/>
      </c>
      <c r="AV199" s="100" t="str">
        <f aca="false">IF(ISBLANK($C199),"",IF($S199=Constants!$B$2,TRUE(),IF($S199=Constants!$B$3,FALSE(),FALSE())))</f>
        <v/>
      </c>
      <c r="AW199" s="100" t="str">
        <f aca="false">IF(ISBLANK($C199),"",IF($T199=Constants!$B$2,TRUE(),IF($T199=Constants!$B$3,FALSE(),FALSE())))</f>
        <v/>
      </c>
      <c r="AX199" s="100" t="str">
        <f aca="false">IF(ISBLANK($C199),"",IF(OR($U199&amp;""="1",$U199&amp;""="2",$U199&amp;""="3",$U199&amp;""="4"),VALUE($U199&amp;""),IF($U199=Constants!$B$12,Constants!$B$12,"")))</f>
        <v/>
      </c>
      <c r="AY199" s="100" t="str">
        <f aca="false">IF(ISBLANK($C199),"",IF(ISBLANK($V199),0,IF(ISNUMBER($V199),IF(AND($V199&gt;=0,$V199&lt;=Constants!$B$21,$V199=INT($V199)),$V199,""),"")))</f>
        <v/>
      </c>
      <c r="AZ199" s="100" t="str">
        <f aca="false">IF(ISBLANK($C199),"",IF(ISBLANK($W199),0,IF(ISNUMBER($W199),IF($W199&gt;=0,$W199,""),"")))</f>
        <v/>
      </c>
      <c r="BA199" s="100" t="str">
        <f aca="false">IF(ISBLANK($C199),"",IF($X199=Constants!$B$2,TRUE(),IF($X199=Constants!$B$3,FALSE(),TRUE())))</f>
        <v/>
      </c>
      <c r="BB199" s="100" t="str">
        <f aca="false">IF(ISBLANK($C199),"",IF($Y199=Constants!$B$2,TRUE(),IF($Y199=Constants!$B$3,FALSE(),FALSE())))</f>
        <v/>
      </c>
      <c r="BC199" s="100" t="str">
        <f aca="false">IF(ISBLANK($C199),"",IF(ISBLANK($Z199),0,IF(ISNUMBER($Z199),IF(AND($Z199&gt;=0,$Z199&lt;=Constants!$B$35,$Z199=INT($Z199)),$Z199,""),"")))</f>
        <v/>
      </c>
      <c r="BD199" s="100" t="str">
        <f aca="false">IF(ISBLANK($C199),"",IF($AA199=Constants!$B$2,TRUE(),IF($AA199=Constants!$B$3,FALSE(),TRUE())))</f>
        <v/>
      </c>
      <c r="BE199" s="100" t="str">
        <f aca="false">IF(ISBLANK($C199),"",IF($AB199=Constants!$B$2,TRUE(),IF($AB199=Constants!$B$3,FALSE(),TRUE())))</f>
        <v/>
      </c>
      <c r="BF199" s="100" t="str">
        <f aca="false">IF(ISBLANK($C199),"",IF(ISNUMBER($AC199),IF($AC199&gt;=0,$AC199,""),""))</f>
        <v/>
      </c>
      <c r="BG199" s="100" t="str">
        <f aca="false">IF(ISBLANK($C199),"",IF($AD199=Constants!$B$2,TRUE(),IF($AD199=Constants!$B$3,FALSE(),FALSE())))</f>
        <v/>
      </c>
      <c r="BH199" s="99" t="str">
        <f aca="false">IF(ISBLANK($C199),"",IF($BG199,Constants!$B$7,IF(COUNTA($E199:$AC199)=0,Constants!$B$6,IF(OR(COUNTA($G199:$AC199)=0,NOT($AK199),$AQ199),Constants!$B$5,IF(OR($CI199&lt;&gt;"",$CJ199,$CK199,$CL199,$CM199,$CN199,$CO199),Constants!$B$8,Constants!$B$4)))))</f>
        <v/>
      </c>
      <c r="BI199" s="100" t="str">
        <f aca="false">IF(ISBLANK($C199),"",IF($BH199&lt;&gt;Constants!$B$4,$BH199,IF(OR(NOT($AH199),NOT($AJ199),NOT($AR199)),Constants!$B$11,IF(OR(NOT($AP199),MAX($AL199,$AM199,$AN199)&gt;Constants!$B$30),Constants!$B$10,Constants!$B$9))))</f>
        <v/>
      </c>
      <c r="BJ199" s="100" t="str">
        <f aca="false">IF($BH199&lt;&gt;Constants!$B$4,"",IF(NOT($AJ199),0,MIN(Constants!$B$35,$BC199)))</f>
        <v/>
      </c>
      <c r="BK199" s="100" t="str">
        <f aca="false">IF($BH199&lt;&gt;Constants!$B$4,"",IF(NOT($AJ199),0,IF($AT199,Constants!$B$18,IF($AS199,Constants!$B$17,0))))</f>
        <v/>
      </c>
      <c r="BL199" s="100" t="str">
        <f aca="false">IF($BH199&lt;&gt;Constants!$B$4,"",IF(NOT($AJ199),0,Constants!$B$19*($AI199+$AU199+$AV199+$AW199)))</f>
        <v/>
      </c>
      <c r="BM199" s="100" t="str">
        <f aca="false">IF($BH199&lt;&gt;Constants!$B$4,"",IF(OR(NOT($AJ199),NOT(ISNUMBER($AX199))),0,CHOOSE($AX199,Constants!$B$13,Constants!$B$14,Constants!$B$15,Constants!$B$16)))</f>
        <v/>
      </c>
      <c r="BN199" s="100" t="str">
        <f aca="false">IF($BH199&lt;&gt;Constants!$B$4,"",IF(NOT($AJ199),0,Constants!$B$20*$AY199))</f>
        <v/>
      </c>
      <c r="BO199" s="100" t="str">
        <f aca="false">IF($BH199&lt;&gt;Constants!$B$4,"",IF(AND($AJ199,$BA199,$BB199),Constants!$B$22,0))</f>
        <v/>
      </c>
      <c r="BP199" s="100" t="str">
        <f aca="false">IF($BH199&lt;&gt;Constants!$B$4,"",IF(OR(NOT($AJ199),NOT($BA199)),0,IF($BF199&gt;=2*$AF$9,0,Constants!$B$23*INT(ROUND(MIN($BF199,$AF$9),6)))))</f>
        <v/>
      </c>
      <c r="BQ199" s="100" t="str">
        <f aca="false">IF($BH199&lt;&gt;Constants!$B$4,"",IF(NOT($AJ199),0,Constants!$B$24*INT(ROUND(MIN($AZ199,$AF$9),6))))</f>
        <v/>
      </c>
      <c r="BR199" s="100" t="str">
        <f aca="false">IF($BH199&lt;&gt;Constants!$B$4,"",IF(AND($AJ199,$BJ199=0),Constants!$B$25,0))</f>
        <v/>
      </c>
      <c r="BS199" s="100" t="str">
        <f aca="false">IF($BH199&lt;&gt;Constants!$B$4,"",MIN(Constants!$B$29,MAX(0,Constants!$B$27*Constants!$B$28*INT(ROUND((Constants!$B$26-$AL199)/Constants!$B$28,6))))+MIN(Constants!$B$29,MAX(0,Constants!$B$27*Constants!$B$28*INT(ROUND((Constants!$B$26-$AM199)/Constants!$B$28,6))))+MIN(Constants!$B$29,MAX(0,Constants!$B$27*Constants!$B$28*INT(ROUND((Constants!$B$26-$AN199)/Constants!$B$28,6)))))</f>
        <v/>
      </c>
      <c r="BT199" s="100" t="str">
        <f aca="false">IF($BH199&lt;&gt;Constants!$B$4,"",IF(NOT($AJ199),0,Constants!$B$31*INT(ROUND(MAX(0,MIN($BF199,2*$AF$9)-$AF$9),6))))</f>
        <v/>
      </c>
      <c r="BU199" s="100" t="str">
        <f aca="false">IF($BH199&lt;&gt;Constants!$B$4,"",Constants!$B$32*(($AL199&gt;Constants!$B$26)+($AM199&gt;Constants!$B$26)+($AN199&gt;Constants!$B$26)))</f>
        <v/>
      </c>
      <c r="BV199" s="100" t="str">
        <f aca="false">IF($BH199&lt;&gt;Constants!$B$4,"",IF(OR(NOT($AJ199),$AO199),0,Constants!$B$33))</f>
        <v/>
      </c>
      <c r="BW199" s="100" t="str">
        <f aca="false">IF($BH199&lt;&gt;Constants!$B$4,"",Constants!$B$34*$BJ199)</f>
        <v/>
      </c>
      <c r="BX199" s="100" t="str">
        <f aca="false">IF($BH199&lt;&gt;Constants!$B$4,"",IF(OR(NOT($AJ199),$BE199),0,Constants!$B$36))</f>
        <v/>
      </c>
      <c r="BY199" s="100" t="str">
        <f aca="false">IF($BH199&lt;&gt;Constants!$B$4,"",IF(OR(NOT($AJ199),$BD199),0,Constants!$B$37))</f>
        <v/>
      </c>
      <c r="BZ199" s="100" t="str">
        <f aca="false">IF($BH199&lt;&gt;Constants!$B$4,"",SUM($BT199:$BY199))</f>
        <v/>
      </c>
      <c r="CA199" s="100" t="str">
        <f aca="false">IF(ISBLANK($C199),"",IF($BH199&lt;&gt;Constants!$B$4,$BH199,SUM($BK199:$BS199)-$BZ199))</f>
        <v/>
      </c>
      <c r="CB199" s="100" t="str">
        <f aca="false">IF(ISBLANK($C199),"",IF($BH199&lt;&gt;Constants!$B$4,$BH199,RANK($CA199,$CA$9:$CA$508)))</f>
        <v/>
      </c>
      <c r="CC199" s="100" t="str">
        <f aca="false">IF(ISBLANK($C199),"",IF($BH199&lt;&gt;Constants!$B$4,$BH199,COUNTIFS($BI$9:$BI$508,"&lt;"&amp;$BI199)+COUNTIFS($BI$9:$BI$508,$BI199,$CB$9:$CB$508,"&lt;"&amp;$CB199)+1))</f>
        <v/>
      </c>
      <c r="CD199" s="100" t="str">
        <f aca="false">IF(ISBLANK($C199),"",IF($BH199&lt;&gt;Constants!$B$4,$BH199,RANK($BZ199,$BZ$9:$BZ$508,1)))</f>
        <v/>
      </c>
      <c r="CE199" s="100" t="str">
        <f aca="false">IF($BH199&lt;&gt;Constants!$B$4,"",$AL199+$AM199+$AN199)</f>
        <v/>
      </c>
      <c r="CF199" s="100" t="str">
        <f aca="false">IF(ISBLANK($C199),"",IF($BH199&lt;&gt;Constants!$B$4,$BH199,RANK($CE199,$CE$9:$CE$508,1)))</f>
        <v/>
      </c>
      <c r="CG199" s="100" t="str">
        <f aca="false">IF(ISBLANK($C199),"",IF($BH199&lt;&gt;Constants!$B$4,$BH199,COUNTIFS($BI$9:$BI$508,"&lt;"&amp;$BI199)+COUNTIFS($BI$9:$BI$508,$BI199,$CB$9:$CB$508,"&lt;"&amp;$CB199)+COUNTIFS($BI$9:$BI$508,$BI199,$CB$9:$CB$508,$CB199,$CD$9:$CD$508,"&lt;"&amp;$CD199)+COUNTIFS($BI$9:$BI$508,$BI199,$CB$9:$CB$508,$CB199,$CD$9:$CD$508,$CD199,$CF$9:$CF$508,"&lt;"&amp;$CF199)+1))</f>
        <v/>
      </c>
      <c r="CH199" s="100" t="str">
        <f aca="false">IF(ISBLANK($C199),"",IF($BH199&lt;&gt;Constants!$B$4,$BH199,$CC199-$CG199))</f>
        <v/>
      </c>
      <c r="CI199" s="100" t="str">
        <f aca="false">IF(ISBLANK($C199),"",IF(NOT($AJ199),"",IF(ISBLANK($D$7),$CI$5,IF(NOT(ISNUMBER($D$7)),$CI$6,""))))</f>
        <v/>
      </c>
      <c r="CJ199" s="100" t="str">
        <f aca="false">IF(ISBLANK($C199),"",OR($AL199="",$AM199="",$AN199=""))</f>
        <v/>
      </c>
      <c r="CK199" s="100" t="str">
        <f aca="false">IF(ISBLANK($C199),"",AND($AJ199,$AX199=""))</f>
        <v/>
      </c>
      <c r="CL199" s="100" t="str">
        <f aca="false">IF(ISBLANK($C199),"",AND($AJ199,$AY199=""))</f>
        <v/>
      </c>
      <c r="CM199" s="100" t="str">
        <f aca="false">IF(ISBLANK($C199),"",AND($AJ199,$AZ199=""))</f>
        <v/>
      </c>
      <c r="CN199" s="100" t="str">
        <f aca="false">IF(ISBLANK($C199),"",AND($AJ199,$BC199=""))</f>
        <v/>
      </c>
      <c r="CO199" s="100" t="str">
        <f aca="false">IF(ISBLANK($C199),"",AND($AJ199,$BF199=""))</f>
        <v/>
      </c>
      <c r="CP199" s="101"/>
      <c r="CQ199" s="102"/>
      <c r="CR199" s="103" t="str">
        <f aca="false">IF(ISBLANK($C199),"",IF($BH199=Constants!$B$8,$CI199,""))</f>
        <v/>
      </c>
      <c r="CS199" s="102" t="str">
        <f aca="false">IF(ISBLANK($C199),"",IF($BH199&lt;&gt;Constants!$B$4,"",$BK199+$BL199))</f>
        <v/>
      </c>
      <c r="CT199" s="104" t="str">
        <f aca="false">IF(ISBLANK($C199),"",IF($BH199&lt;&gt;Constants!$B$4,"",$BM199+$BN199+$BO199))</f>
        <v/>
      </c>
      <c r="CU199" s="104" t="str">
        <f aca="false">IF(ISBLANK($C199),"",IF($BH199&lt;&gt;Constants!$B$4,"",$BP199))</f>
        <v/>
      </c>
      <c r="CV199" s="104" t="str">
        <f aca="false">IF(ISBLANK($C199),"",IF($BH199&lt;&gt;Constants!$B$4,"",$BQ199+$BR199))</f>
        <v/>
      </c>
      <c r="CW199" s="104" t="str">
        <f aca="false">IF(ISBLANK($C199),"",IF($BH199&lt;&gt;Constants!$B$4,"",$BS199))</f>
        <v/>
      </c>
      <c r="CX199" s="104" t="str">
        <f aca="false">IF(ISBLANK($C199),"",IF($BH199&lt;&gt;Constants!$B$4,"",-$BZ199))</f>
        <v/>
      </c>
      <c r="CY199" s="103" t="str">
        <f aca="false">IF(ISBLANK($C199),"",$CA199)</f>
        <v/>
      </c>
      <c r="CZ199" s="105" t="str">
        <f aca="false">IF(ISBLANK($C199),"",$BI199)</f>
        <v/>
      </c>
      <c r="DA199" s="104" t="str">
        <f aca="false">IF(ISBLANK($C199),"",$CH199)</f>
        <v/>
      </c>
      <c r="DB199" s="104" t="str">
        <f aca="false">IF(ISBLANK($C199),"",$CG199)</f>
        <v/>
      </c>
      <c r="DC199" s="106" t="str">
        <f aca="false">IF(ISBLANK($C199),"",IFERROR(_xlfn.SWITCH($DB199,Constants!$B$7,COUNTA($C$9:$C$508)+2,Constants!$B$6,COUNTA($C$9:$C$508)+1,Constants!$B$5,COUNTA($C$9:$C$508)),$DB199))</f>
        <v/>
      </c>
      <c r="DD199" s="7"/>
      <c r="DE199" s="107" t="n">
        <f aca="false">IF(OR(ISNUMBER($DB199),$DB199=Constants!$B$7,$DB199=Constants!$B$5,$DB199=Constants!$B$6),1,0)</f>
        <v>0</v>
      </c>
      <c r="DF199" s="107" t="n">
        <v>191</v>
      </c>
      <c r="DG199" s="107" t="str">
        <f aca="false">IF(ISBLANK($C199),"",IF(ISNUMBER($DC199),$DC199+ROW($B199)/1000,""))</f>
        <v/>
      </c>
      <c r="DH199" s="107" t="str">
        <f aca="false">IF(ISNUMBER($DG199),RANK($DG199,$DG$9:$DG$508,1),"")</f>
        <v/>
      </c>
      <c r="DI199" s="107" t="str">
        <f aca="false">IF(ISBLANK($C199),"",$B199)</f>
        <v/>
      </c>
      <c r="DJ199" s="107" t="str">
        <f aca="false">IF(ISBLANK($C199),"",$C199)</f>
        <v/>
      </c>
      <c r="DK199" s="107" t="str">
        <f aca="false">IF(ISBLANK($C199),"",$D199)</f>
        <v/>
      </c>
      <c r="DL199" s="108" t="str">
        <f aca="false">$CZ199</f>
        <v/>
      </c>
      <c r="DM199" s="109" t="str">
        <f aca="false">$CY199</f>
        <v/>
      </c>
      <c r="DN199" s="107" t="str">
        <f aca="false">IF(ISBLANK($C199),"",$DB199)</f>
        <v/>
      </c>
      <c r="DO199" s="110" t="str">
        <f aca="false">IF($DF199&gt;$DE$8,"",VLOOKUP($DF199,$DH$9:$DN$508,7,FALSE()))</f>
        <v/>
      </c>
      <c r="DP199" s="111" t="str">
        <f aca="false">IF($DF199&gt;$DE$8,"",VLOOKUP($DF199,$DH$9:$DN$508,2,FALSE()))</f>
        <v/>
      </c>
      <c r="DQ199" s="111" t="str">
        <f aca="false">IF($DF199&gt;$DE$8,"",VLOOKUP($DF199,$DH$9:$DN$508,3,FALSE()))</f>
        <v/>
      </c>
      <c r="DR199" s="111" t="str">
        <f aca="false">IF($DF199&gt;$DE$8,"",VLOOKUP($DF199,$DH$9:$DN$508,4,FALSE()))</f>
        <v/>
      </c>
      <c r="DS199" s="111" t="str">
        <f aca="false">IF($DF199&gt;$DE$8,"",VLOOKUP($DF199,$DH$9:$DN$508,5,FALSE()))</f>
        <v/>
      </c>
      <c r="DT199" s="112" t="str">
        <f aca="false">IF($DF199&gt;$DE$8,"",VLOOKUP($DF199,$DH$9:$DN$508,6,FALSE()))</f>
        <v/>
      </c>
      <c r="DU199" s="62"/>
    </row>
    <row r="200" customFormat="false" ht="15.75" hidden="false" customHeight="false" outlineLevel="0" collapsed="false">
      <c r="A200" s="7"/>
      <c r="B200" s="90"/>
      <c r="C200" s="91"/>
      <c r="D200" s="126"/>
      <c r="E200" s="130"/>
      <c r="F200" s="135"/>
      <c r="G200" s="130"/>
      <c r="H200" s="135"/>
      <c r="I200" s="131"/>
      <c r="J200" s="131"/>
      <c r="K200" s="131"/>
      <c r="L200" s="130"/>
      <c r="M200" s="130"/>
      <c r="N200" s="130"/>
      <c r="O200" s="135"/>
      <c r="P200" s="130"/>
      <c r="Q200" s="130"/>
      <c r="R200" s="130"/>
      <c r="S200" s="130"/>
      <c r="T200" s="135"/>
      <c r="U200" s="130"/>
      <c r="V200" s="96"/>
      <c r="W200" s="130"/>
      <c r="X200" s="130"/>
      <c r="Y200" s="96"/>
      <c r="Z200" s="96"/>
      <c r="AA200" s="130"/>
      <c r="AB200" s="130"/>
      <c r="AC200" s="97"/>
      <c r="AD200" s="130"/>
      <c r="AE200" s="99"/>
      <c r="AF200" s="100"/>
      <c r="AG200" s="100"/>
      <c r="AH200" s="100" t="str">
        <f aca="false">IF(ISBLANK($C200),"",IF($E200=Constants!$B$2,TRUE(),IF($E200=Constants!$B$3,FALSE(),TRUE())))</f>
        <v/>
      </c>
      <c r="AI200" s="100" t="str">
        <f aca="false">IF(ISBLANK($C200),"",IF($F200=Constants!$B$2,TRUE(),IF($F200=Constants!$B$3,FALSE(),FALSE())))</f>
        <v/>
      </c>
      <c r="AJ200" s="100" t="str">
        <f aca="false">IF(ISBLANK($C200),"",IF($G200=Constants!$B$2,TRUE(),IF($G200=Constants!$B$3,FALSE(),TRUE())))</f>
        <v/>
      </c>
      <c r="AK200" s="100" t="str">
        <f aca="false">IF(ISBLANK($C200),"",IF($H200=Constants!$B$2,TRUE(),IF($H200=Constants!$B$3,FALSE(),TRUE())))</f>
        <v/>
      </c>
      <c r="AL200" s="100" t="str">
        <f aca="false">IF(ISBLANK($C200),"",IF(ISNUMBER($I200),IF($I200&gt;=0,$I200,""),""))</f>
        <v/>
      </c>
      <c r="AM200" s="100" t="str">
        <f aca="false">IF(ISBLANK($C200),"",IF(ISNUMBER($J200),IF($J200&gt;=0,$J200,""),""))</f>
        <v/>
      </c>
      <c r="AN200" s="100" t="str">
        <f aca="false">IF(ISBLANK($C200),"",IF(ISNUMBER($K200),IF($K200&gt;=0,$K200,""),""))</f>
        <v/>
      </c>
      <c r="AO200" s="100" t="str">
        <f aca="false">IF(ISBLANK($C200),"",IF($L200=Constants!$B$2,TRUE(),IF($L200=Constants!$B$3,FALSE(),TRUE())))</f>
        <v/>
      </c>
      <c r="AP200" s="100" t="str">
        <f aca="false">IF(ISBLANK($C200),"",IF($M200=Constants!$B$2,TRUE(),IF($M200=Constants!$B$3,FALSE(),TRUE())))</f>
        <v/>
      </c>
      <c r="AQ200" s="100" t="str">
        <f aca="false">IF(ISBLANK($C200),"",IF($N200=Constants!$B$2,TRUE(),IF($N200=Constants!$B$3,FALSE(),FALSE())))</f>
        <v/>
      </c>
      <c r="AR200" s="100" t="str">
        <f aca="false">IF(ISBLANK($C200),"",IF($O200=Constants!$B$2,TRUE(),IF($O200=Constants!$B$3,FALSE(),TRUE())))</f>
        <v/>
      </c>
      <c r="AS200" s="100" t="str">
        <f aca="false">IF(ISBLANK($C200),"",IF($P200=Constants!$B$2,TRUE(),IF($P200=Constants!$B$3,FALSE(),FALSE())))</f>
        <v/>
      </c>
      <c r="AT200" s="100" t="str">
        <f aca="false">IF(ISBLANK($C200),"",IF($Q200=Constants!$B$2,TRUE(),IF($Q200=Constants!$B$3,FALSE(),FALSE())))</f>
        <v/>
      </c>
      <c r="AU200" s="100" t="str">
        <f aca="false">IF(ISBLANK($C200),"",IF($R200=Constants!$B$2,TRUE(),IF($R200=Constants!$B$3,FALSE(),FALSE())))</f>
        <v/>
      </c>
      <c r="AV200" s="100" t="str">
        <f aca="false">IF(ISBLANK($C200),"",IF($S200=Constants!$B$2,TRUE(),IF($S200=Constants!$B$3,FALSE(),FALSE())))</f>
        <v/>
      </c>
      <c r="AW200" s="100" t="str">
        <f aca="false">IF(ISBLANK($C200),"",IF($T200=Constants!$B$2,TRUE(),IF($T200=Constants!$B$3,FALSE(),FALSE())))</f>
        <v/>
      </c>
      <c r="AX200" s="100" t="str">
        <f aca="false">IF(ISBLANK($C200),"",IF(OR($U200&amp;""="1",$U200&amp;""="2",$U200&amp;""="3",$U200&amp;""="4"),VALUE($U200&amp;""),IF($U200=Constants!$B$12,Constants!$B$12,"")))</f>
        <v/>
      </c>
      <c r="AY200" s="100" t="str">
        <f aca="false">IF(ISBLANK($C200),"",IF(ISBLANK($V200),0,IF(ISNUMBER($V200),IF(AND($V200&gt;=0,$V200&lt;=Constants!$B$21,$V200=INT($V200)),$V200,""),"")))</f>
        <v/>
      </c>
      <c r="AZ200" s="100" t="str">
        <f aca="false">IF(ISBLANK($C200),"",IF(ISBLANK($W200),0,IF(ISNUMBER($W200),IF($W200&gt;=0,$W200,""),"")))</f>
        <v/>
      </c>
      <c r="BA200" s="100" t="str">
        <f aca="false">IF(ISBLANK($C200),"",IF($X200=Constants!$B$2,TRUE(),IF($X200=Constants!$B$3,FALSE(),TRUE())))</f>
        <v/>
      </c>
      <c r="BB200" s="100" t="str">
        <f aca="false">IF(ISBLANK($C200),"",IF($Y200=Constants!$B$2,TRUE(),IF($Y200=Constants!$B$3,FALSE(),FALSE())))</f>
        <v/>
      </c>
      <c r="BC200" s="100" t="str">
        <f aca="false">IF(ISBLANK($C200),"",IF(ISBLANK($Z200),0,IF(ISNUMBER($Z200),IF(AND($Z200&gt;=0,$Z200&lt;=Constants!$B$35,$Z200=INT($Z200)),$Z200,""),"")))</f>
        <v/>
      </c>
      <c r="BD200" s="100" t="str">
        <f aca="false">IF(ISBLANK($C200),"",IF($AA200=Constants!$B$2,TRUE(),IF($AA200=Constants!$B$3,FALSE(),TRUE())))</f>
        <v/>
      </c>
      <c r="BE200" s="100" t="str">
        <f aca="false">IF(ISBLANK($C200),"",IF($AB200=Constants!$B$2,TRUE(),IF($AB200=Constants!$B$3,FALSE(),TRUE())))</f>
        <v/>
      </c>
      <c r="BF200" s="100" t="str">
        <f aca="false">IF(ISBLANK($C200),"",IF(ISNUMBER($AC200),IF($AC200&gt;=0,$AC200,""),""))</f>
        <v/>
      </c>
      <c r="BG200" s="100" t="str">
        <f aca="false">IF(ISBLANK($C200),"",IF($AD200=Constants!$B$2,TRUE(),IF($AD200=Constants!$B$3,FALSE(),FALSE())))</f>
        <v/>
      </c>
      <c r="BH200" s="99" t="str">
        <f aca="false">IF(ISBLANK($C200),"",IF($BG200,Constants!$B$7,IF(COUNTA($E200:$AC200)=0,Constants!$B$6,IF(OR(COUNTA($G200:$AC200)=0,NOT($AK200),$AQ200),Constants!$B$5,IF(OR($CI200&lt;&gt;"",$CJ200,$CK200,$CL200,$CM200,$CN200,$CO200),Constants!$B$8,Constants!$B$4)))))</f>
        <v/>
      </c>
      <c r="BI200" s="100" t="str">
        <f aca="false">IF(ISBLANK($C200),"",IF($BH200&lt;&gt;Constants!$B$4,$BH200,IF(OR(NOT($AH200),NOT($AJ200),NOT($AR200)),Constants!$B$11,IF(OR(NOT($AP200),MAX($AL200,$AM200,$AN200)&gt;Constants!$B$30),Constants!$B$10,Constants!$B$9))))</f>
        <v/>
      </c>
      <c r="BJ200" s="100" t="str">
        <f aca="false">IF($BH200&lt;&gt;Constants!$B$4,"",IF(NOT($AJ200),0,MIN(Constants!$B$35,$BC200)))</f>
        <v/>
      </c>
      <c r="BK200" s="100" t="str">
        <f aca="false">IF($BH200&lt;&gt;Constants!$B$4,"",IF(NOT($AJ200),0,IF($AT200,Constants!$B$18,IF($AS200,Constants!$B$17,0))))</f>
        <v/>
      </c>
      <c r="BL200" s="100" t="str">
        <f aca="false">IF($BH200&lt;&gt;Constants!$B$4,"",IF(NOT($AJ200),0,Constants!$B$19*($AI200+$AU200+$AV200+$AW200)))</f>
        <v/>
      </c>
      <c r="BM200" s="100" t="str">
        <f aca="false">IF($BH200&lt;&gt;Constants!$B$4,"",IF(OR(NOT($AJ200),NOT(ISNUMBER($AX200))),0,CHOOSE($AX200,Constants!$B$13,Constants!$B$14,Constants!$B$15,Constants!$B$16)))</f>
        <v/>
      </c>
      <c r="BN200" s="100" t="str">
        <f aca="false">IF($BH200&lt;&gt;Constants!$B$4,"",IF(NOT($AJ200),0,Constants!$B$20*$AY200))</f>
        <v/>
      </c>
      <c r="BO200" s="100" t="str">
        <f aca="false">IF($BH200&lt;&gt;Constants!$B$4,"",IF(AND($AJ200,$BA200,$BB200),Constants!$B$22,0))</f>
        <v/>
      </c>
      <c r="BP200" s="100" t="str">
        <f aca="false">IF($BH200&lt;&gt;Constants!$B$4,"",IF(OR(NOT($AJ200),NOT($BA200)),0,IF($BF200&gt;=2*$AF$9,0,Constants!$B$23*INT(ROUND(MIN($BF200,$AF$9),6)))))</f>
        <v/>
      </c>
      <c r="BQ200" s="100" t="str">
        <f aca="false">IF($BH200&lt;&gt;Constants!$B$4,"",IF(NOT($AJ200),0,Constants!$B$24*INT(ROUND(MIN($AZ200,$AF$9),6))))</f>
        <v/>
      </c>
      <c r="BR200" s="100" t="str">
        <f aca="false">IF($BH200&lt;&gt;Constants!$B$4,"",IF(AND($AJ200,$BJ200=0),Constants!$B$25,0))</f>
        <v/>
      </c>
      <c r="BS200" s="100" t="str">
        <f aca="false">IF($BH200&lt;&gt;Constants!$B$4,"",MIN(Constants!$B$29,MAX(0,Constants!$B$27*Constants!$B$28*INT(ROUND((Constants!$B$26-$AL200)/Constants!$B$28,6))))+MIN(Constants!$B$29,MAX(0,Constants!$B$27*Constants!$B$28*INT(ROUND((Constants!$B$26-$AM200)/Constants!$B$28,6))))+MIN(Constants!$B$29,MAX(0,Constants!$B$27*Constants!$B$28*INT(ROUND((Constants!$B$26-$AN200)/Constants!$B$28,6)))))</f>
        <v/>
      </c>
      <c r="BT200" s="100" t="str">
        <f aca="false">IF($BH200&lt;&gt;Constants!$B$4,"",IF(NOT($AJ200),0,Constants!$B$31*INT(ROUND(MAX(0,MIN($BF200,2*$AF$9)-$AF$9),6))))</f>
        <v/>
      </c>
      <c r="BU200" s="100" t="str">
        <f aca="false">IF($BH200&lt;&gt;Constants!$B$4,"",Constants!$B$32*(($AL200&gt;Constants!$B$26)+($AM200&gt;Constants!$B$26)+($AN200&gt;Constants!$B$26)))</f>
        <v/>
      </c>
      <c r="BV200" s="100" t="str">
        <f aca="false">IF($BH200&lt;&gt;Constants!$B$4,"",IF(OR(NOT($AJ200),$AO200),0,Constants!$B$33))</f>
        <v/>
      </c>
      <c r="BW200" s="100" t="str">
        <f aca="false">IF($BH200&lt;&gt;Constants!$B$4,"",Constants!$B$34*$BJ200)</f>
        <v/>
      </c>
      <c r="BX200" s="100" t="str">
        <f aca="false">IF($BH200&lt;&gt;Constants!$B$4,"",IF(OR(NOT($AJ200),$BE200),0,Constants!$B$36))</f>
        <v/>
      </c>
      <c r="BY200" s="100" t="str">
        <f aca="false">IF($BH200&lt;&gt;Constants!$B$4,"",IF(OR(NOT($AJ200),$BD200),0,Constants!$B$37))</f>
        <v/>
      </c>
      <c r="BZ200" s="100" t="str">
        <f aca="false">IF($BH200&lt;&gt;Constants!$B$4,"",SUM($BT200:$BY200))</f>
        <v/>
      </c>
      <c r="CA200" s="100" t="str">
        <f aca="false">IF(ISBLANK($C200),"",IF($BH200&lt;&gt;Constants!$B$4,$BH200,SUM($BK200:$BS200)-$BZ200))</f>
        <v/>
      </c>
      <c r="CB200" s="100" t="str">
        <f aca="false">IF(ISBLANK($C200),"",IF($BH200&lt;&gt;Constants!$B$4,$BH200,RANK($CA200,$CA$9:$CA$508)))</f>
        <v/>
      </c>
      <c r="CC200" s="100" t="str">
        <f aca="false">IF(ISBLANK($C200),"",IF($BH200&lt;&gt;Constants!$B$4,$BH200,COUNTIFS($BI$9:$BI$508,"&lt;"&amp;$BI200)+COUNTIFS($BI$9:$BI$508,$BI200,$CB$9:$CB$508,"&lt;"&amp;$CB200)+1))</f>
        <v/>
      </c>
      <c r="CD200" s="100" t="str">
        <f aca="false">IF(ISBLANK($C200),"",IF($BH200&lt;&gt;Constants!$B$4,$BH200,RANK($BZ200,$BZ$9:$BZ$508,1)))</f>
        <v/>
      </c>
      <c r="CE200" s="100" t="str">
        <f aca="false">IF($BH200&lt;&gt;Constants!$B$4,"",$AL200+$AM200+$AN200)</f>
        <v/>
      </c>
      <c r="CF200" s="100" t="str">
        <f aca="false">IF(ISBLANK($C200),"",IF($BH200&lt;&gt;Constants!$B$4,$BH200,RANK($CE200,$CE$9:$CE$508,1)))</f>
        <v/>
      </c>
      <c r="CG200" s="100" t="str">
        <f aca="false">IF(ISBLANK($C200),"",IF($BH200&lt;&gt;Constants!$B$4,$BH200,COUNTIFS($BI$9:$BI$508,"&lt;"&amp;$BI200)+COUNTIFS($BI$9:$BI$508,$BI200,$CB$9:$CB$508,"&lt;"&amp;$CB200)+COUNTIFS($BI$9:$BI$508,$BI200,$CB$9:$CB$508,$CB200,$CD$9:$CD$508,"&lt;"&amp;$CD200)+COUNTIFS($BI$9:$BI$508,$BI200,$CB$9:$CB$508,$CB200,$CD$9:$CD$508,$CD200,$CF$9:$CF$508,"&lt;"&amp;$CF200)+1))</f>
        <v/>
      </c>
      <c r="CH200" s="100" t="str">
        <f aca="false">IF(ISBLANK($C200),"",IF($BH200&lt;&gt;Constants!$B$4,$BH200,$CC200-$CG200))</f>
        <v/>
      </c>
      <c r="CI200" s="100" t="str">
        <f aca="false">IF(ISBLANK($C200),"",IF(NOT($AJ200),"",IF(ISBLANK($D$7),$CI$5,IF(NOT(ISNUMBER($D$7)),$CI$6,""))))</f>
        <v/>
      </c>
      <c r="CJ200" s="100" t="str">
        <f aca="false">IF(ISBLANK($C200),"",OR($AL200="",$AM200="",$AN200=""))</f>
        <v/>
      </c>
      <c r="CK200" s="100" t="str">
        <f aca="false">IF(ISBLANK($C200),"",AND($AJ200,$AX200=""))</f>
        <v/>
      </c>
      <c r="CL200" s="100" t="str">
        <f aca="false">IF(ISBLANK($C200),"",AND($AJ200,$AY200=""))</f>
        <v/>
      </c>
      <c r="CM200" s="100" t="str">
        <f aca="false">IF(ISBLANK($C200),"",AND($AJ200,$AZ200=""))</f>
        <v/>
      </c>
      <c r="CN200" s="100" t="str">
        <f aca="false">IF(ISBLANK($C200),"",AND($AJ200,$BC200=""))</f>
        <v/>
      </c>
      <c r="CO200" s="100" t="str">
        <f aca="false">IF(ISBLANK($C200),"",AND($AJ200,$BF200=""))</f>
        <v/>
      </c>
      <c r="CP200" s="101"/>
      <c r="CQ200" s="102"/>
      <c r="CR200" s="103" t="str">
        <f aca="false">IF(ISBLANK($C200),"",IF($BH200=Constants!$B$8,$CI200,""))</f>
        <v/>
      </c>
      <c r="CS200" s="102" t="str">
        <f aca="false">IF(ISBLANK($C200),"",IF($BH200&lt;&gt;Constants!$B$4,"",$BK200+$BL200))</f>
        <v/>
      </c>
      <c r="CT200" s="104" t="str">
        <f aca="false">IF(ISBLANK($C200),"",IF($BH200&lt;&gt;Constants!$B$4,"",$BM200+$BN200+$BO200))</f>
        <v/>
      </c>
      <c r="CU200" s="104" t="str">
        <f aca="false">IF(ISBLANK($C200),"",IF($BH200&lt;&gt;Constants!$B$4,"",$BP200))</f>
        <v/>
      </c>
      <c r="CV200" s="104" t="str">
        <f aca="false">IF(ISBLANK($C200),"",IF($BH200&lt;&gt;Constants!$B$4,"",$BQ200+$BR200))</f>
        <v/>
      </c>
      <c r="CW200" s="104" t="str">
        <f aca="false">IF(ISBLANK($C200),"",IF($BH200&lt;&gt;Constants!$B$4,"",$BS200))</f>
        <v/>
      </c>
      <c r="CX200" s="104" t="str">
        <f aca="false">IF(ISBLANK($C200),"",IF($BH200&lt;&gt;Constants!$B$4,"",-$BZ200))</f>
        <v/>
      </c>
      <c r="CY200" s="103" t="str">
        <f aca="false">IF(ISBLANK($C200),"",$CA200)</f>
        <v/>
      </c>
      <c r="CZ200" s="105" t="str">
        <f aca="false">IF(ISBLANK($C200),"",$BI200)</f>
        <v/>
      </c>
      <c r="DA200" s="104" t="str">
        <f aca="false">IF(ISBLANK($C200),"",$CH200)</f>
        <v/>
      </c>
      <c r="DB200" s="104" t="str">
        <f aca="false">IF(ISBLANK($C200),"",$CG200)</f>
        <v/>
      </c>
      <c r="DC200" s="106" t="str">
        <f aca="false">IF(ISBLANK($C200),"",IFERROR(_xlfn.SWITCH($DB200,Constants!$B$7,COUNTA($C$9:$C$508)+2,Constants!$B$6,COUNTA($C$9:$C$508)+1,Constants!$B$5,COUNTA($C$9:$C$508)),$DB200))</f>
        <v/>
      </c>
      <c r="DD200" s="7"/>
      <c r="DE200" s="107" t="n">
        <f aca="false">IF(OR(ISNUMBER($DB200),$DB200=Constants!$B$7,$DB200=Constants!$B$5,$DB200=Constants!$B$6),1,0)</f>
        <v>0</v>
      </c>
      <c r="DF200" s="107" t="n">
        <v>192</v>
      </c>
      <c r="DG200" s="107" t="str">
        <f aca="false">IF(ISBLANK($C200),"",IF(ISNUMBER($DC200),$DC200+ROW($B200)/1000,""))</f>
        <v/>
      </c>
      <c r="DH200" s="107" t="str">
        <f aca="false">IF(ISNUMBER($DG200),RANK($DG200,$DG$9:$DG$508,1),"")</f>
        <v/>
      </c>
      <c r="DI200" s="107" t="str">
        <f aca="false">IF(ISBLANK($C200),"",$B200)</f>
        <v/>
      </c>
      <c r="DJ200" s="107" t="str">
        <f aca="false">IF(ISBLANK($C200),"",$C200)</f>
        <v/>
      </c>
      <c r="DK200" s="107" t="str">
        <f aca="false">IF(ISBLANK($C200),"",$D200)</f>
        <v/>
      </c>
      <c r="DL200" s="108" t="str">
        <f aca="false">$CZ200</f>
        <v/>
      </c>
      <c r="DM200" s="109" t="str">
        <f aca="false">$CY200</f>
        <v/>
      </c>
      <c r="DN200" s="107" t="str">
        <f aca="false">IF(ISBLANK($C200),"",$DB200)</f>
        <v/>
      </c>
      <c r="DO200" s="110" t="str">
        <f aca="false">IF($DF200&gt;$DE$8,"",VLOOKUP($DF200,$DH$9:$DN$508,7,FALSE()))</f>
        <v/>
      </c>
      <c r="DP200" s="111" t="str">
        <f aca="false">IF($DF200&gt;$DE$8,"",VLOOKUP($DF200,$DH$9:$DN$508,2,FALSE()))</f>
        <v/>
      </c>
      <c r="DQ200" s="111" t="str">
        <f aca="false">IF($DF200&gt;$DE$8,"",VLOOKUP($DF200,$DH$9:$DN$508,3,FALSE()))</f>
        <v/>
      </c>
      <c r="DR200" s="111" t="str">
        <f aca="false">IF($DF200&gt;$DE$8,"",VLOOKUP($DF200,$DH$9:$DN$508,4,FALSE()))</f>
        <v/>
      </c>
      <c r="DS200" s="111" t="str">
        <f aca="false">IF($DF200&gt;$DE$8,"",VLOOKUP($DF200,$DH$9:$DN$508,5,FALSE()))</f>
        <v/>
      </c>
      <c r="DT200" s="112" t="str">
        <f aca="false">IF($DF200&gt;$DE$8,"",VLOOKUP($DF200,$DH$9:$DN$508,6,FALSE()))</f>
        <v/>
      </c>
      <c r="DU200" s="62"/>
    </row>
    <row r="201" customFormat="false" ht="15.75" hidden="false" customHeight="false" outlineLevel="0" collapsed="false">
      <c r="A201" s="7"/>
      <c r="B201" s="64"/>
      <c r="C201" s="65"/>
      <c r="D201" s="123"/>
      <c r="E201" s="88"/>
      <c r="F201" s="134"/>
      <c r="G201" s="88"/>
      <c r="H201" s="134"/>
      <c r="I201" s="119"/>
      <c r="J201" s="119"/>
      <c r="K201" s="119"/>
      <c r="L201" s="88"/>
      <c r="M201" s="88"/>
      <c r="N201" s="88"/>
      <c r="O201" s="134"/>
      <c r="P201" s="88"/>
      <c r="Q201" s="88"/>
      <c r="R201" s="88"/>
      <c r="S201" s="88"/>
      <c r="T201" s="134"/>
      <c r="U201" s="88"/>
      <c r="V201" s="70"/>
      <c r="W201" s="88"/>
      <c r="X201" s="88"/>
      <c r="Y201" s="70"/>
      <c r="Z201" s="70"/>
      <c r="AA201" s="88"/>
      <c r="AB201" s="88"/>
      <c r="AC201" s="71"/>
      <c r="AD201" s="88"/>
      <c r="AE201" s="73"/>
      <c r="AF201" s="74"/>
      <c r="AG201" s="74"/>
      <c r="AH201" s="74" t="str">
        <f aca="false">IF(ISBLANK($C201),"",IF($E201=Constants!$B$2,TRUE(),IF($E201=Constants!$B$3,FALSE(),TRUE())))</f>
        <v/>
      </c>
      <c r="AI201" s="74" t="str">
        <f aca="false">IF(ISBLANK($C201),"",IF($F201=Constants!$B$2,TRUE(),IF($F201=Constants!$B$3,FALSE(),FALSE())))</f>
        <v/>
      </c>
      <c r="AJ201" s="74" t="str">
        <f aca="false">IF(ISBLANK($C201),"",IF($G201=Constants!$B$2,TRUE(),IF($G201=Constants!$B$3,FALSE(),TRUE())))</f>
        <v/>
      </c>
      <c r="AK201" s="74" t="str">
        <f aca="false">IF(ISBLANK($C201),"",IF($H201=Constants!$B$2,TRUE(),IF($H201=Constants!$B$3,FALSE(),TRUE())))</f>
        <v/>
      </c>
      <c r="AL201" s="74" t="str">
        <f aca="false">IF(ISBLANK($C201),"",IF(ISNUMBER($I201),IF($I201&gt;=0,$I201,""),""))</f>
        <v/>
      </c>
      <c r="AM201" s="74" t="str">
        <f aca="false">IF(ISBLANK($C201),"",IF(ISNUMBER($J201),IF($J201&gt;=0,$J201,""),""))</f>
        <v/>
      </c>
      <c r="AN201" s="74" t="str">
        <f aca="false">IF(ISBLANK($C201),"",IF(ISNUMBER($K201),IF($K201&gt;=0,$K201,""),""))</f>
        <v/>
      </c>
      <c r="AO201" s="74" t="str">
        <f aca="false">IF(ISBLANK($C201),"",IF($L201=Constants!$B$2,TRUE(),IF($L201=Constants!$B$3,FALSE(),TRUE())))</f>
        <v/>
      </c>
      <c r="AP201" s="74" t="str">
        <f aca="false">IF(ISBLANK($C201),"",IF($M201=Constants!$B$2,TRUE(),IF($M201=Constants!$B$3,FALSE(),TRUE())))</f>
        <v/>
      </c>
      <c r="AQ201" s="74" t="str">
        <f aca="false">IF(ISBLANK($C201),"",IF($N201=Constants!$B$2,TRUE(),IF($N201=Constants!$B$3,FALSE(),FALSE())))</f>
        <v/>
      </c>
      <c r="AR201" s="74" t="str">
        <f aca="false">IF(ISBLANK($C201),"",IF($O201=Constants!$B$2,TRUE(),IF($O201=Constants!$B$3,FALSE(),TRUE())))</f>
        <v/>
      </c>
      <c r="AS201" s="74" t="str">
        <f aca="false">IF(ISBLANK($C201),"",IF($P201=Constants!$B$2,TRUE(),IF($P201=Constants!$B$3,FALSE(),FALSE())))</f>
        <v/>
      </c>
      <c r="AT201" s="74" t="str">
        <f aca="false">IF(ISBLANK($C201),"",IF($Q201=Constants!$B$2,TRUE(),IF($Q201=Constants!$B$3,FALSE(),FALSE())))</f>
        <v/>
      </c>
      <c r="AU201" s="74" t="str">
        <f aca="false">IF(ISBLANK($C201),"",IF($R201=Constants!$B$2,TRUE(),IF($R201=Constants!$B$3,FALSE(),FALSE())))</f>
        <v/>
      </c>
      <c r="AV201" s="74" t="str">
        <f aca="false">IF(ISBLANK($C201),"",IF($S201=Constants!$B$2,TRUE(),IF($S201=Constants!$B$3,FALSE(),FALSE())))</f>
        <v/>
      </c>
      <c r="AW201" s="74" t="str">
        <f aca="false">IF(ISBLANK($C201),"",IF($T201=Constants!$B$2,TRUE(),IF($T201=Constants!$B$3,FALSE(),FALSE())))</f>
        <v/>
      </c>
      <c r="AX201" s="74" t="str">
        <f aca="false">IF(ISBLANK($C201),"",IF(OR($U201&amp;""="1",$U201&amp;""="2",$U201&amp;""="3",$U201&amp;""="4"),VALUE($U201&amp;""),IF($U201=Constants!$B$12,Constants!$B$12,"")))</f>
        <v/>
      </c>
      <c r="AY201" s="74" t="str">
        <f aca="false">IF(ISBLANK($C201),"",IF(ISBLANK($V201),0,IF(ISNUMBER($V201),IF(AND($V201&gt;=0,$V201&lt;=Constants!$B$21,$V201=INT($V201)),$V201,""),"")))</f>
        <v/>
      </c>
      <c r="AZ201" s="74" t="str">
        <f aca="false">IF(ISBLANK($C201),"",IF(ISBLANK($W201),0,IF(ISNUMBER($W201),IF($W201&gt;=0,$W201,""),"")))</f>
        <v/>
      </c>
      <c r="BA201" s="74" t="str">
        <f aca="false">IF(ISBLANK($C201),"",IF($X201=Constants!$B$2,TRUE(),IF($X201=Constants!$B$3,FALSE(),TRUE())))</f>
        <v/>
      </c>
      <c r="BB201" s="74" t="str">
        <f aca="false">IF(ISBLANK($C201),"",IF($Y201=Constants!$B$2,TRUE(),IF($Y201=Constants!$B$3,FALSE(),FALSE())))</f>
        <v/>
      </c>
      <c r="BC201" s="74" t="str">
        <f aca="false">IF(ISBLANK($C201),"",IF(ISBLANK($Z201),0,IF(ISNUMBER($Z201),IF(AND($Z201&gt;=0,$Z201&lt;=Constants!$B$35,$Z201=INT($Z201)),$Z201,""),"")))</f>
        <v/>
      </c>
      <c r="BD201" s="74" t="str">
        <f aca="false">IF(ISBLANK($C201),"",IF($AA201=Constants!$B$2,TRUE(),IF($AA201=Constants!$B$3,FALSE(),TRUE())))</f>
        <v/>
      </c>
      <c r="BE201" s="74" t="str">
        <f aca="false">IF(ISBLANK($C201),"",IF($AB201=Constants!$B$2,TRUE(),IF($AB201=Constants!$B$3,FALSE(),TRUE())))</f>
        <v/>
      </c>
      <c r="BF201" s="74" t="str">
        <f aca="false">IF(ISBLANK($C201),"",IF(ISNUMBER($AC201),IF($AC201&gt;=0,$AC201,""),""))</f>
        <v/>
      </c>
      <c r="BG201" s="74" t="str">
        <f aca="false">IF(ISBLANK($C201),"",IF($AD201=Constants!$B$2,TRUE(),IF($AD201=Constants!$B$3,FALSE(),FALSE())))</f>
        <v/>
      </c>
      <c r="BH201" s="73" t="str">
        <f aca="false">IF(ISBLANK($C201),"",IF($BG201,Constants!$B$7,IF(COUNTA($E201:$AC201)=0,Constants!$B$6,IF(OR(COUNTA($G201:$AC201)=0,NOT($AK201),$AQ201),Constants!$B$5,IF(OR($CI201&lt;&gt;"",$CJ201,$CK201,$CL201,$CM201,$CN201,$CO201),Constants!$B$8,Constants!$B$4)))))</f>
        <v/>
      </c>
      <c r="BI201" s="74" t="str">
        <f aca="false">IF(ISBLANK($C201),"",IF($BH201&lt;&gt;Constants!$B$4,$BH201,IF(OR(NOT($AH201),NOT($AJ201),NOT($AR201)),Constants!$B$11,IF(OR(NOT($AP201),MAX($AL201,$AM201,$AN201)&gt;Constants!$B$30),Constants!$B$10,Constants!$B$9))))</f>
        <v/>
      </c>
      <c r="BJ201" s="74" t="str">
        <f aca="false">IF($BH201&lt;&gt;Constants!$B$4,"",IF(NOT($AJ201),0,MIN(Constants!$B$35,$BC201)))</f>
        <v/>
      </c>
      <c r="BK201" s="74" t="str">
        <f aca="false">IF($BH201&lt;&gt;Constants!$B$4,"",IF(NOT($AJ201),0,IF($AT201,Constants!$B$18,IF($AS201,Constants!$B$17,0))))</f>
        <v/>
      </c>
      <c r="BL201" s="74" t="str">
        <f aca="false">IF($BH201&lt;&gt;Constants!$B$4,"",IF(NOT($AJ201),0,Constants!$B$19*($AI201+$AU201+$AV201+$AW201)))</f>
        <v/>
      </c>
      <c r="BM201" s="74" t="str">
        <f aca="false">IF($BH201&lt;&gt;Constants!$B$4,"",IF(OR(NOT($AJ201),NOT(ISNUMBER($AX201))),0,CHOOSE($AX201,Constants!$B$13,Constants!$B$14,Constants!$B$15,Constants!$B$16)))</f>
        <v/>
      </c>
      <c r="BN201" s="74" t="str">
        <f aca="false">IF($BH201&lt;&gt;Constants!$B$4,"",IF(NOT($AJ201),0,Constants!$B$20*$AY201))</f>
        <v/>
      </c>
      <c r="BO201" s="74" t="str">
        <f aca="false">IF($BH201&lt;&gt;Constants!$B$4,"",IF(AND($AJ201,$BA201,$BB201),Constants!$B$22,0))</f>
        <v/>
      </c>
      <c r="BP201" s="74" t="str">
        <f aca="false">IF($BH201&lt;&gt;Constants!$B$4,"",IF(OR(NOT($AJ201),NOT($BA201)),0,IF($BF201&gt;=2*$AF$9,0,Constants!$B$23*INT(ROUND(MIN($BF201,$AF$9),6)))))</f>
        <v/>
      </c>
      <c r="BQ201" s="74" t="str">
        <f aca="false">IF($BH201&lt;&gt;Constants!$B$4,"",IF(NOT($AJ201),0,Constants!$B$24*INT(ROUND(MIN($AZ201,$AF$9),6))))</f>
        <v/>
      </c>
      <c r="BR201" s="74" t="str">
        <f aca="false">IF($BH201&lt;&gt;Constants!$B$4,"",IF(AND($AJ201,$BJ201=0),Constants!$B$25,0))</f>
        <v/>
      </c>
      <c r="BS201" s="74" t="str">
        <f aca="false">IF($BH201&lt;&gt;Constants!$B$4,"",MIN(Constants!$B$29,MAX(0,Constants!$B$27*Constants!$B$28*INT(ROUND((Constants!$B$26-$AL201)/Constants!$B$28,6))))+MIN(Constants!$B$29,MAX(0,Constants!$B$27*Constants!$B$28*INT(ROUND((Constants!$B$26-$AM201)/Constants!$B$28,6))))+MIN(Constants!$B$29,MAX(0,Constants!$B$27*Constants!$B$28*INT(ROUND((Constants!$B$26-$AN201)/Constants!$B$28,6)))))</f>
        <v/>
      </c>
      <c r="BT201" s="74" t="str">
        <f aca="false">IF($BH201&lt;&gt;Constants!$B$4,"",IF(NOT($AJ201),0,Constants!$B$31*INT(ROUND(MAX(0,MIN($BF201,2*$AF$9)-$AF$9),6))))</f>
        <v/>
      </c>
      <c r="BU201" s="74" t="str">
        <f aca="false">IF($BH201&lt;&gt;Constants!$B$4,"",Constants!$B$32*(($AL201&gt;Constants!$B$26)+($AM201&gt;Constants!$B$26)+($AN201&gt;Constants!$B$26)))</f>
        <v/>
      </c>
      <c r="BV201" s="74" t="str">
        <f aca="false">IF($BH201&lt;&gt;Constants!$B$4,"",IF(OR(NOT($AJ201),$AO201),0,Constants!$B$33))</f>
        <v/>
      </c>
      <c r="BW201" s="74" t="str">
        <f aca="false">IF($BH201&lt;&gt;Constants!$B$4,"",Constants!$B$34*$BJ201)</f>
        <v/>
      </c>
      <c r="BX201" s="74" t="str">
        <f aca="false">IF($BH201&lt;&gt;Constants!$B$4,"",IF(OR(NOT($AJ201),$BE201),0,Constants!$B$36))</f>
        <v/>
      </c>
      <c r="BY201" s="74" t="str">
        <f aca="false">IF($BH201&lt;&gt;Constants!$B$4,"",IF(OR(NOT($AJ201),$BD201),0,Constants!$B$37))</f>
        <v/>
      </c>
      <c r="BZ201" s="74" t="str">
        <f aca="false">IF($BH201&lt;&gt;Constants!$B$4,"",SUM($BT201:$BY201))</f>
        <v/>
      </c>
      <c r="CA201" s="74" t="str">
        <f aca="false">IF(ISBLANK($C201),"",IF($BH201&lt;&gt;Constants!$B$4,$BH201,SUM($BK201:$BS201)-$BZ201))</f>
        <v/>
      </c>
      <c r="CB201" s="74" t="str">
        <f aca="false">IF(ISBLANK($C201),"",IF($BH201&lt;&gt;Constants!$B$4,$BH201,RANK($CA201,$CA$9:$CA$508)))</f>
        <v/>
      </c>
      <c r="CC201" s="74" t="str">
        <f aca="false">IF(ISBLANK($C201),"",IF($BH201&lt;&gt;Constants!$B$4,$BH201,COUNTIFS($BI$9:$BI$508,"&lt;"&amp;$BI201)+COUNTIFS($BI$9:$BI$508,$BI201,$CB$9:$CB$508,"&lt;"&amp;$CB201)+1))</f>
        <v/>
      </c>
      <c r="CD201" s="74" t="str">
        <f aca="false">IF(ISBLANK($C201),"",IF($BH201&lt;&gt;Constants!$B$4,$BH201,RANK($BZ201,$BZ$9:$BZ$508,1)))</f>
        <v/>
      </c>
      <c r="CE201" s="74" t="str">
        <f aca="false">IF($BH201&lt;&gt;Constants!$B$4,"",$AL201+$AM201+$AN201)</f>
        <v/>
      </c>
      <c r="CF201" s="74" t="str">
        <f aca="false">IF(ISBLANK($C201),"",IF($BH201&lt;&gt;Constants!$B$4,$BH201,RANK($CE201,$CE$9:$CE$508,1)))</f>
        <v/>
      </c>
      <c r="CG201" s="74" t="str">
        <f aca="false">IF(ISBLANK($C201),"",IF($BH201&lt;&gt;Constants!$B$4,$BH201,COUNTIFS($BI$9:$BI$508,"&lt;"&amp;$BI201)+COUNTIFS($BI$9:$BI$508,$BI201,$CB$9:$CB$508,"&lt;"&amp;$CB201)+COUNTIFS($BI$9:$BI$508,$BI201,$CB$9:$CB$508,$CB201,$CD$9:$CD$508,"&lt;"&amp;$CD201)+COUNTIFS($BI$9:$BI$508,$BI201,$CB$9:$CB$508,$CB201,$CD$9:$CD$508,$CD201,$CF$9:$CF$508,"&lt;"&amp;$CF201)+1))</f>
        <v/>
      </c>
      <c r="CH201" s="74" t="str">
        <f aca="false">IF(ISBLANK($C201),"",IF($BH201&lt;&gt;Constants!$B$4,$BH201,$CC201-$CG201))</f>
        <v/>
      </c>
      <c r="CI201" s="74" t="str">
        <f aca="false">IF(ISBLANK($C201),"",IF(NOT($AJ201),"",IF(ISBLANK($D$7),$CI$5,IF(NOT(ISNUMBER($D$7)),$CI$6,""))))</f>
        <v/>
      </c>
      <c r="CJ201" s="74" t="str">
        <f aca="false">IF(ISBLANK($C201),"",OR($AL201="",$AM201="",$AN201=""))</f>
        <v/>
      </c>
      <c r="CK201" s="74" t="str">
        <f aca="false">IF(ISBLANK($C201),"",AND($AJ201,$AX201=""))</f>
        <v/>
      </c>
      <c r="CL201" s="74" t="str">
        <f aca="false">IF(ISBLANK($C201),"",AND($AJ201,$AY201=""))</f>
        <v/>
      </c>
      <c r="CM201" s="74" t="str">
        <f aca="false">IF(ISBLANK($C201),"",AND($AJ201,$AZ201=""))</f>
        <v/>
      </c>
      <c r="CN201" s="74" t="str">
        <f aca="false">IF(ISBLANK($C201),"",AND($AJ201,$BC201=""))</f>
        <v/>
      </c>
      <c r="CO201" s="74" t="str">
        <f aca="false">IF(ISBLANK($C201),"",AND($AJ201,$BF201=""))</f>
        <v/>
      </c>
      <c r="CP201" s="75"/>
      <c r="CQ201" s="76"/>
      <c r="CR201" s="79" t="str">
        <f aca="false">IF(ISBLANK($C201),"",IF($BH201=Constants!$B$8,$CI201,""))</f>
        <v/>
      </c>
      <c r="CS201" s="76" t="str">
        <f aca="false">IF(ISBLANK($C201),"",IF($BH201&lt;&gt;Constants!$B$4,"",$BK201+$BL201))</f>
        <v/>
      </c>
      <c r="CT201" s="78" t="str">
        <f aca="false">IF(ISBLANK($C201),"",IF($BH201&lt;&gt;Constants!$B$4,"",$BM201+$BN201+$BO201))</f>
        <v/>
      </c>
      <c r="CU201" s="78" t="str">
        <f aca="false">IF(ISBLANK($C201),"",IF($BH201&lt;&gt;Constants!$B$4,"",$BP201))</f>
        <v/>
      </c>
      <c r="CV201" s="78" t="str">
        <f aca="false">IF(ISBLANK($C201),"",IF($BH201&lt;&gt;Constants!$B$4,"",$BQ201+$BR201))</f>
        <v/>
      </c>
      <c r="CW201" s="78" t="str">
        <f aca="false">IF(ISBLANK($C201),"",IF($BH201&lt;&gt;Constants!$B$4,"",$BS201))</f>
        <v/>
      </c>
      <c r="CX201" s="78" t="str">
        <f aca="false">IF(ISBLANK($C201),"",IF($BH201&lt;&gt;Constants!$B$4,"",-$BZ201))</f>
        <v/>
      </c>
      <c r="CY201" s="79" t="str">
        <f aca="false">IF(ISBLANK($C201),"",$CA201)</f>
        <v/>
      </c>
      <c r="CZ201" s="80" t="str">
        <f aca="false">IF(ISBLANK($C201),"",$BI201)</f>
        <v/>
      </c>
      <c r="DA201" s="78" t="str">
        <f aca="false">IF(ISBLANK($C201),"",$CH201)</f>
        <v/>
      </c>
      <c r="DB201" s="78" t="str">
        <f aca="false">IF(ISBLANK($C201),"",$CG201)</f>
        <v/>
      </c>
      <c r="DC201" s="81" t="str">
        <f aca="false">IF(ISBLANK($C201),"",IFERROR(_xlfn.SWITCH($DB201,Constants!$B$7,COUNTA($C$9:$C$508)+2,Constants!$B$6,COUNTA($C$9:$C$508)+1,Constants!$B$5,COUNTA($C$9:$C$508)),$DB201))</f>
        <v/>
      </c>
      <c r="DD201" s="7"/>
      <c r="DE201" s="82" t="n">
        <f aca="false">IF(OR(ISNUMBER($DB201),$DB201=Constants!$B$7,$DB201=Constants!$B$5,$DB201=Constants!$B$6),1,0)</f>
        <v>0</v>
      </c>
      <c r="DF201" s="82" t="n">
        <v>193</v>
      </c>
      <c r="DG201" s="82" t="str">
        <f aca="false">IF(ISBLANK($C201),"",IF(ISNUMBER($DC201),$DC201+ROW($B201)/1000,""))</f>
        <v/>
      </c>
      <c r="DH201" s="82" t="str">
        <f aca="false">IF(ISNUMBER($DG201),RANK($DG201,$DG$9:$DG$508,1),"")</f>
        <v/>
      </c>
      <c r="DI201" s="82" t="str">
        <f aca="false">IF(ISBLANK($C201),"",$B201)</f>
        <v/>
      </c>
      <c r="DJ201" s="82" t="str">
        <f aca="false">IF(ISBLANK($C201),"",$C201)</f>
        <v/>
      </c>
      <c r="DK201" s="82" t="str">
        <f aca="false">IF(ISBLANK($C201),"",$D201)</f>
        <v/>
      </c>
      <c r="DL201" s="83" t="str">
        <f aca="false">$CZ201</f>
        <v/>
      </c>
      <c r="DM201" s="84" t="str">
        <f aca="false">$CY201</f>
        <v/>
      </c>
      <c r="DN201" s="82" t="str">
        <f aca="false">IF(ISBLANK($C201),"",$DB201)</f>
        <v/>
      </c>
      <c r="DO201" s="85" t="str">
        <f aca="false">IF($DF201&gt;$DE$8,"",VLOOKUP($DF201,$DH$9:$DN$508,7,FALSE()))</f>
        <v/>
      </c>
      <c r="DP201" s="86" t="str">
        <f aca="false">IF($DF201&gt;$DE$8,"",VLOOKUP($DF201,$DH$9:$DN$508,2,FALSE()))</f>
        <v/>
      </c>
      <c r="DQ201" s="86" t="str">
        <f aca="false">IF($DF201&gt;$DE$8,"",VLOOKUP($DF201,$DH$9:$DN$508,3,FALSE()))</f>
        <v/>
      </c>
      <c r="DR201" s="86" t="str">
        <f aca="false">IF($DF201&gt;$DE$8,"",VLOOKUP($DF201,$DH$9:$DN$508,4,FALSE()))</f>
        <v/>
      </c>
      <c r="DS201" s="86" t="str">
        <f aca="false">IF($DF201&gt;$DE$8,"",VLOOKUP($DF201,$DH$9:$DN$508,5,FALSE()))</f>
        <v/>
      </c>
      <c r="DT201" s="87" t="str">
        <f aca="false">IF($DF201&gt;$DE$8,"",VLOOKUP($DF201,$DH$9:$DN$508,6,FALSE()))</f>
        <v/>
      </c>
      <c r="DU201" s="62"/>
    </row>
    <row r="202" customFormat="false" ht="15.75" hidden="false" customHeight="false" outlineLevel="0" collapsed="false">
      <c r="A202" s="7"/>
      <c r="B202" s="64"/>
      <c r="C202" s="65"/>
      <c r="D202" s="123"/>
      <c r="E202" s="88"/>
      <c r="F202" s="134"/>
      <c r="G202" s="88"/>
      <c r="H202" s="134"/>
      <c r="I202" s="119"/>
      <c r="J202" s="119"/>
      <c r="K202" s="119"/>
      <c r="L202" s="88"/>
      <c r="M202" s="88"/>
      <c r="N202" s="88"/>
      <c r="O202" s="134"/>
      <c r="P202" s="88"/>
      <c r="Q202" s="88"/>
      <c r="R202" s="88"/>
      <c r="S202" s="88"/>
      <c r="T202" s="134"/>
      <c r="U202" s="88"/>
      <c r="V202" s="70"/>
      <c r="W202" s="88"/>
      <c r="X202" s="88"/>
      <c r="Y202" s="70"/>
      <c r="Z202" s="70"/>
      <c r="AA202" s="88"/>
      <c r="AB202" s="88"/>
      <c r="AC202" s="71"/>
      <c r="AD202" s="88"/>
      <c r="AE202" s="73"/>
      <c r="AF202" s="74"/>
      <c r="AG202" s="74"/>
      <c r="AH202" s="74" t="str">
        <f aca="false">IF(ISBLANK($C202),"",IF($E202=Constants!$B$2,TRUE(),IF($E202=Constants!$B$3,FALSE(),TRUE())))</f>
        <v/>
      </c>
      <c r="AI202" s="74" t="str">
        <f aca="false">IF(ISBLANK($C202),"",IF($F202=Constants!$B$2,TRUE(),IF($F202=Constants!$B$3,FALSE(),FALSE())))</f>
        <v/>
      </c>
      <c r="AJ202" s="74" t="str">
        <f aca="false">IF(ISBLANK($C202),"",IF($G202=Constants!$B$2,TRUE(),IF($G202=Constants!$B$3,FALSE(),TRUE())))</f>
        <v/>
      </c>
      <c r="AK202" s="74" t="str">
        <f aca="false">IF(ISBLANK($C202),"",IF($H202=Constants!$B$2,TRUE(),IF($H202=Constants!$B$3,FALSE(),TRUE())))</f>
        <v/>
      </c>
      <c r="AL202" s="74" t="str">
        <f aca="false">IF(ISBLANK($C202),"",IF(ISNUMBER($I202),IF($I202&gt;=0,$I202,""),""))</f>
        <v/>
      </c>
      <c r="AM202" s="74" t="str">
        <f aca="false">IF(ISBLANK($C202),"",IF(ISNUMBER($J202),IF($J202&gt;=0,$J202,""),""))</f>
        <v/>
      </c>
      <c r="AN202" s="74" t="str">
        <f aca="false">IF(ISBLANK($C202),"",IF(ISNUMBER($K202),IF($K202&gt;=0,$K202,""),""))</f>
        <v/>
      </c>
      <c r="AO202" s="74" t="str">
        <f aca="false">IF(ISBLANK($C202),"",IF($L202=Constants!$B$2,TRUE(),IF($L202=Constants!$B$3,FALSE(),TRUE())))</f>
        <v/>
      </c>
      <c r="AP202" s="74" t="str">
        <f aca="false">IF(ISBLANK($C202),"",IF($M202=Constants!$B$2,TRUE(),IF($M202=Constants!$B$3,FALSE(),TRUE())))</f>
        <v/>
      </c>
      <c r="AQ202" s="74" t="str">
        <f aca="false">IF(ISBLANK($C202),"",IF($N202=Constants!$B$2,TRUE(),IF($N202=Constants!$B$3,FALSE(),FALSE())))</f>
        <v/>
      </c>
      <c r="AR202" s="74" t="str">
        <f aca="false">IF(ISBLANK($C202),"",IF($O202=Constants!$B$2,TRUE(),IF($O202=Constants!$B$3,FALSE(),TRUE())))</f>
        <v/>
      </c>
      <c r="AS202" s="74" t="str">
        <f aca="false">IF(ISBLANK($C202),"",IF($P202=Constants!$B$2,TRUE(),IF($P202=Constants!$B$3,FALSE(),FALSE())))</f>
        <v/>
      </c>
      <c r="AT202" s="74" t="str">
        <f aca="false">IF(ISBLANK($C202),"",IF($Q202=Constants!$B$2,TRUE(),IF($Q202=Constants!$B$3,FALSE(),FALSE())))</f>
        <v/>
      </c>
      <c r="AU202" s="74" t="str">
        <f aca="false">IF(ISBLANK($C202),"",IF($R202=Constants!$B$2,TRUE(),IF($R202=Constants!$B$3,FALSE(),FALSE())))</f>
        <v/>
      </c>
      <c r="AV202" s="74" t="str">
        <f aca="false">IF(ISBLANK($C202),"",IF($S202=Constants!$B$2,TRUE(),IF($S202=Constants!$B$3,FALSE(),FALSE())))</f>
        <v/>
      </c>
      <c r="AW202" s="74" t="str">
        <f aca="false">IF(ISBLANK($C202),"",IF($T202=Constants!$B$2,TRUE(),IF($T202=Constants!$B$3,FALSE(),FALSE())))</f>
        <v/>
      </c>
      <c r="AX202" s="74" t="str">
        <f aca="false">IF(ISBLANK($C202),"",IF(OR($U202&amp;""="1",$U202&amp;""="2",$U202&amp;""="3",$U202&amp;""="4"),VALUE($U202&amp;""),IF($U202=Constants!$B$12,Constants!$B$12,"")))</f>
        <v/>
      </c>
      <c r="AY202" s="74" t="str">
        <f aca="false">IF(ISBLANK($C202),"",IF(ISBLANK($V202),0,IF(ISNUMBER($V202),IF(AND($V202&gt;=0,$V202&lt;=Constants!$B$21,$V202=INT($V202)),$V202,""),"")))</f>
        <v/>
      </c>
      <c r="AZ202" s="74" t="str">
        <f aca="false">IF(ISBLANK($C202),"",IF(ISBLANK($W202),0,IF(ISNUMBER($W202),IF($W202&gt;=0,$W202,""),"")))</f>
        <v/>
      </c>
      <c r="BA202" s="74" t="str">
        <f aca="false">IF(ISBLANK($C202),"",IF($X202=Constants!$B$2,TRUE(),IF($X202=Constants!$B$3,FALSE(),TRUE())))</f>
        <v/>
      </c>
      <c r="BB202" s="74" t="str">
        <f aca="false">IF(ISBLANK($C202),"",IF($Y202=Constants!$B$2,TRUE(),IF($Y202=Constants!$B$3,FALSE(),FALSE())))</f>
        <v/>
      </c>
      <c r="BC202" s="74" t="str">
        <f aca="false">IF(ISBLANK($C202),"",IF(ISBLANK($Z202),0,IF(ISNUMBER($Z202),IF(AND($Z202&gt;=0,$Z202&lt;=Constants!$B$35,$Z202=INT($Z202)),$Z202,""),"")))</f>
        <v/>
      </c>
      <c r="BD202" s="74" t="str">
        <f aca="false">IF(ISBLANK($C202),"",IF($AA202=Constants!$B$2,TRUE(),IF($AA202=Constants!$B$3,FALSE(),TRUE())))</f>
        <v/>
      </c>
      <c r="BE202" s="74" t="str">
        <f aca="false">IF(ISBLANK($C202),"",IF($AB202=Constants!$B$2,TRUE(),IF($AB202=Constants!$B$3,FALSE(),TRUE())))</f>
        <v/>
      </c>
      <c r="BF202" s="74" t="str">
        <f aca="false">IF(ISBLANK($C202),"",IF(ISNUMBER($AC202),IF($AC202&gt;=0,$AC202,""),""))</f>
        <v/>
      </c>
      <c r="BG202" s="74" t="str">
        <f aca="false">IF(ISBLANK($C202),"",IF($AD202=Constants!$B$2,TRUE(),IF($AD202=Constants!$B$3,FALSE(),FALSE())))</f>
        <v/>
      </c>
      <c r="BH202" s="73" t="str">
        <f aca="false">IF(ISBLANK($C202),"",IF($BG202,Constants!$B$7,IF(COUNTA($E202:$AC202)=0,Constants!$B$6,IF(OR(COUNTA($G202:$AC202)=0,NOT($AK202),$AQ202),Constants!$B$5,IF(OR($CI202&lt;&gt;"",$CJ202,$CK202,$CL202,$CM202,$CN202,$CO202),Constants!$B$8,Constants!$B$4)))))</f>
        <v/>
      </c>
      <c r="BI202" s="74" t="str">
        <f aca="false">IF(ISBLANK($C202),"",IF($BH202&lt;&gt;Constants!$B$4,$BH202,IF(OR(NOT($AH202),NOT($AJ202),NOT($AR202)),Constants!$B$11,IF(OR(NOT($AP202),MAX($AL202,$AM202,$AN202)&gt;Constants!$B$30),Constants!$B$10,Constants!$B$9))))</f>
        <v/>
      </c>
      <c r="BJ202" s="74" t="str">
        <f aca="false">IF($BH202&lt;&gt;Constants!$B$4,"",IF(NOT($AJ202),0,MIN(Constants!$B$35,$BC202)))</f>
        <v/>
      </c>
      <c r="BK202" s="74" t="str">
        <f aca="false">IF($BH202&lt;&gt;Constants!$B$4,"",IF(NOT($AJ202),0,IF($AT202,Constants!$B$18,IF($AS202,Constants!$B$17,0))))</f>
        <v/>
      </c>
      <c r="BL202" s="74" t="str">
        <f aca="false">IF($BH202&lt;&gt;Constants!$B$4,"",IF(NOT($AJ202),0,Constants!$B$19*($AI202+$AU202+$AV202+$AW202)))</f>
        <v/>
      </c>
      <c r="BM202" s="74" t="str">
        <f aca="false">IF($BH202&lt;&gt;Constants!$B$4,"",IF(OR(NOT($AJ202),NOT(ISNUMBER($AX202))),0,CHOOSE($AX202,Constants!$B$13,Constants!$B$14,Constants!$B$15,Constants!$B$16)))</f>
        <v/>
      </c>
      <c r="BN202" s="74" t="str">
        <f aca="false">IF($BH202&lt;&gt;Constants!$B$4,"",IF(NOT($AJ202),0,Constants!$B$20*$AY202))</f>
        <v/>
      </c>
      <c r="BO202" s="74" t="str">
        <f aca="false">IF($BH202&lt;&gt;Constants!$B$4,"",IF(AND($AJ202,$BA202,$BB202),Constants!$B$22,0))</f>
        <v/>
      </c>
      <c r="BP202" s="74" t="str">
        <f aca="false">IF($BH202&lt;&gt;Constants!$B$4,"",IF(OR(NOT($AJ202),NOT($BA202)),0,IF($BF202&gt;=2*$AF$9,0,Constants!$B$23*INT(ROUND(MIN($BF202,$AF$9),6)))))</f>
        <v/>
      </c>
      <c r="BQ202" s="74" t="str">
        <f aca="false">IF($BH202&lt;&gt;Constants!$B$4,"",IF(NOT($AJ202),0,Constants!$B$24*INT(ROUND(MIN($AZ202,$AF$9),6))))</f>
        <v/>
      </c>
      <c r="BR202" s="74" t="str">
        <f aca="false">IF($BH202&lt;&gt;Constants!$B$4,"",IF(AND($AJ202,$BJ202=0),Constants!$B$25,0))</f>
        <v/>
      </c>
      <c r="BS202" s="74" t="str">
        <f aca="false">IF($BH202&lt;&gt;Constants!$B$4,"",MIN(Constants!$B$29,MAX(0,Constants!$B$27*Constants!$B$28*INT(ROUND((Constants!$B$26-$AL202)/Constants!$B$28,6))))+MIN(Constants!$B$29,MAX(0,Constants!$B$27*Constants!$B$28*INT(ROUND((Constants!$B$26-$AM202)/Constants!$B$28,6))))+MIN(Constants!$B$29,MAX(0,Constants!$B$27*Constants!$B$28*INT(ROUND((Constants!$B$26-$AN202)/Constants!$B$28,6)))))</f>
        <v/>
      </c>
      <c r="BT202" s="74" t="str">
        <f aca="false">IF($BH202&lt;&gt;Constants!$B$4,"",IF(NOT($AJ202),0,Constants!$B$31*INT(ROUND(MAX(0,MIN($BF202,2*$AF$9)-$AF$9),6))))</f>
        <v/>
      </c>
      <c r="BU202" s="74" t="str">
        <f aca="false">IF($BH202&lt;&gt;Constants!$B$4,"",Constants!$B$32*(($AL202&gt;Constants!$B$26)+($AM202&gt;Constants!$B$26)+($AN202&gt;Constants!$B$26)))</f>
        <v/>
      </c>
      <c r="BV202" s="74" t="str">
        <f aca="false">IF($BH202&lt;&gt;Constants!$B$4,"",IF(OR(NOT($AJ202),$AO202),0,Constants!$B$33))</f>
        <v/>
      </c>
      <c r="BW202" s="74" t="str">
        <f aca="false">IF($BH202&lt;&gt;Constants!$B$4,"",Constants!$B$34*$BJ202)</f>
        <v/>
      </c>
      <c r="BX202" s="74" t="str">
        <f aca="false">IF($BH202&lt;&gt;Constants!$B$4,"",IF(OR(NOT($AJ202),$BE202),0,Constants!$B$36))</f>
        <v/>
      </c>
      <c r="BY202" s="74" t="str">
        <f aca="false">IF($BH202&lt;&gt;Constants!$B$4,"",IF(OR(NOT($AJ202),$BD202),0,Constants!$B$37))</f>
        <v/>
      </c>
      <c r="BZ202" s="74" t="str">
        <f aca="false">IF($BH202&lt;&gt;Constants!$B$4,"",SUM($BT202:$BY202))</f>
        <v/>
      </c>
      <c r="CA202" s="74" t="str">
        <f aca="false">IF(ISBLANK($C202),"",IF($BH202&lt;&gt;Constants!$B$4,$BH202,SUM($BK202:$BS202)-$BZ202))</f>
        <v/>
      </c>
      <c r="CB202" s="74" t="str">
        <f aca="false">IF(ISBLANK($C202),"",IF($BH202&lt;&gt;Constants!$B$4,$BH202,RANK($CA202,$CA$9:$CA$508)))</f>
        <v/>
      </c>
      <c r="CC202" s="74" t="str">
        <f aca="false">IF(ISBLANK($C202),"",IF($BH202&lt;&gt;Constants!$B$4,$BH202,COUNTIFS($BI$9:$BI$508,"&lt;"&amp;$BI202)+COUNTIFS($BI$9:$BI$508,$BI202,$CB$9:$CB$508,"&lt;"&amp;$CB202)+1))</f>
        <v/>
      </c>
      <c r="CD202" s="74" t="str">
        <f aca="false">IF(ISBLANK($C202),"",IF($BH202&lt;&gt;Constants!$B$4,$BH202,RANK($BZ202,$BZ$9:$BZ$508,1)))</f>
        <v/>
      </c>
      <c r="CE202" s="74" t="str">
        <f aca="false">IF($BH202&lt;&gt;Constants!$B$4,"",$AL202+$AM202+$AN202)</f>
        <v/>
      </c>
      <c r="CF202" s="74" t="str">
        <f aca="false">IF(ISBLANK($C202),"",IF($BH202&lt;&gt;Constants!$B$4,$BH202,RANK($CE202,$CE$9:$CE$508,1)))</f>
        <v/>
      </c>
      <c r="CG202" s="74" t="str">
        <f aca="false">IF(ISBLANK($C202),"",IF($BH202&lt;&gt;Constants!$B$4,$BH202,COUNTIFS($BI$9:$BI$508,"&lt;"&amp;$BI202)+COUNTIFS($BI$9:$BI$508,$BI202,$CB$9:$CB$508,"&lt;"&amp;$CB202)+COUNTIFS($BI$9:$BI$508,$BI202,$CB$9:$CB$508,$CB202,$CD$9:$CD$508,"&lt;"&amp;$CD202)+COUNTIFS($BI$9:$BI$508,$BI202,$CB$9:$CB$508,$CB202,$CD$9:$CD$508,$CD202,$CF$9:$CF$508,"&lt;"&amp;$CF202)+1))</f>
        <v/>
      </c>
      <c r="CH202" s="74" t="str">
        <f aca="false">IF(ISBLANK($C202),"",IF($BH202&lt;&gt;Constants!$B$4,$BH202,$CC202-$CG202))</f>
        <v/>
      </c>
      <c r="CI202" s="74" t="str">
        <f aca="false">IF(ISBLANK($C202),"",IF(NOT($AJ202),"",IF(ISBLANK($D$7),$CI$5,IF(NOT(ISNUMBER($D$7)),$CI$6,""))))</f>
        <v/>
      </c>
      <c r="CJ202" s="74" t="str">
        <f aca="false">IF(ISBLANK($C202),"",OR($AL202="",$AM202="",$AN202=""))</f>
        <v/>
      </c>
      <c r="CK202" s="74" t="str">
        <f aca="false">IF(ISBLANK($C202),"",AND($AJ202,$AX202=""))</f>
        <v/>
      </c>
      <c r="CL202" s="74" t="str">
        <f aca="false">IF(ISBLANK($C202),"",AND($AJ202,$AY202=""))</f>
        <v/>
      </c>
      <c r="CM202" s="74" t="str">
        <f aca="false">IF(ISBLANK($C202),"",AND($AJ202,$AZ202=""))</f>
        <v/>
      </c>
      <c r="CN202" s="74" t="str">
        <f aca="false">IF(ISBLANK($C202),"",AND($AJ202,$BC202=""))</f>
        <v/>
      </c>
      <c r="CO202" s="74" t="str">
        <f aca="false">IF(ISBLANK($C202),"",AND($AJ202,$BF202=""))</f>
        <v/>
      </c>
      <c r="CP202" s="75"/>
      <c r="CQ202" s="76"/>
      <c r="CR202" s="79" t="str">
        <f aca="false">IF(ISBLANK($C202),"",IF($BH202=Constants!$B$8,$CI202,""))</f>
        <v/>
      </c>
      <c r="CS202" s="76" t="str">
        <f aca="false">IF(ISBLANK($C202),"",IF($BH202&lt;&gt;Constants!$B$4,"",$BK202+$BL202))</f>
        <v/>
      </c>
      <c r="CT202" s="78" t="str">
        <f aca="false">IF(ISBLANK($C202),"",IF($BH202&lt;&gt;Constants!$B$4,"",$BM202+$BN202+$BO202))</f>
        <v/>
      </c>
      <c r="CU202" s="78" t="str">
        <f aca="false">IF(ISBLANK($C202),"",IF($BH202&lt;&gt;Constants!$B$4,"",$BP202))</f>
        <v/>
      </c>
      <c r="CV202" s="78" t="str">
        <f aca="false">IF(ISBLANK($C202),"",IF($BH202&lt;&gt;Constants!$B$4,"",$BQ202+$BR202))</f>
        <v/>
      </c>
      <c r="CW202" s="78" t="str">
        <f aca="false">IF(ISBLANK($C202),"",IF($BH202&lt;&gt;Constants!$B$4,"",$BS202))</f>
        <v/>
      </c>
      <c r="CX202" s="78" t="str">
        <f aca="false">IF(ISBLANK($C202),"",IF($BH202&lt;&gt;Constants!$B$4,"",-$BZ202))</f>
        <v/>
      </c>
      <c r="CY202" s="79" t="str">
        <f aca="false">IF(ISBLANK($C202),"",$CA202)</f>
        <v/>
      </c>
      <c r="CZ202" s="80" t="str">
        <f aca="false">IF(ISBLANK($C202),"",$BI202)</f>
        <v/>
      </c>
      <c r="DA202" s="78" t="str">
        <f aca="false">IF(ISBLANK($C202),"",$CH202)</f>
        <v/>
      </c>
      <c r="DB202" s="78" t="str">
        <f aca="false">IF(ISBLANK($C202),"",$CG202)</f>
        <v/>
      </c>
      <c r="DC202" s="81" t="str">
        <f aca="false">IF(ISBLANK($C202),"",IFERROR(_xlfn.SWITCH($DB202,Constants!$B$7,COUNTA($C$9:$C$508)+2,Constants!$B$6,COUNTA($C$9:$C$508)+1,Constants!$B$5,COUNTA($C$9:$C$508)),$DB202))</f>
        <v/>
      </c>
      <c r="DD202" s="7"/>
      <c r="DE202" s="82" t="n">
        <f aca="false">IF(OR(ISNUMBER($DB202),$DB202=Constants!$B$7,$DB202=Constants!$B$5,$DB202=Constants!$B$6),1,0)</f>
        <v>0</v>
      </c>
      <c r="DF202" s="82" t="n">
        <v>194</v>
      </c>
      <c r="DG202" s="82" t="str">
        <f aca="false">IF(ISBLANK($C202),"",IF(ISNUMBER($DC202),$DC202+ROW($B202)/1000,""))</f>
        <v/>
      </c>
      <c r="DH202" s="82" t="str">
        <f aca="false">IF(ISNUMBER($DG202),RANK($DG202,$DG$9:$DG$508,1),"")</f>
        <v/>
      </c>
      <c r="DI202" s="82" t="str">
        <f aca="false">IF(ISBLANK($C202),"",$B202)</f>
        <v/>
      </c>
      <c r="DJ202" s="82" t="str">
        <f aca="false">IF(ISBLANK($C202),"",$C202)</f>
        <v/>
      </c>
      <c r="DK202" s="82" t="str">
        <f aca="false">IF(ISBLANK($C202),"",$D202)</f>
        <v/>
      </c>
      <c r="DL202" s="83" t="str">
        <f aca="false">$CZ202</f>
        <v/>
      </c>
      <c r="DM202" s="84" t="str">
        <f aca="false">$CY202</f>
        <v/>
      </c>
      <c r="DN202" s="82" t="str">
        <f aca="false">IF(ISBLANK($C202),"",$DB202)</f>
        <v/>
      </c>
      <c r="DO202" s="85" t="str">
        <f aca="false">IF($DF202&gt;$DE$8,"",VLOOKUP($DF202,$DH$9:$DN$508,7,FALSE()))</f>
        <v/>
      </c>
      <c r="DP202" s="86" t="str">
        <f aca="false">IF($DF202&gt;$DE$8,"",VLOOKUP($DF202,$DH$9:$DN$508,2,FALSE()))</f>
        <v/>
      </c>
      <c r="DQ202" s="86" t="str">
        <f aca="false">IF($DF202&gt;$DE$8,"",VLOOKUP($DF202,$DH$9:$DN$508,3,FALSE()))</f>
        <v/>
      </c>
      <c r="DR202" s="86" t="str">
        <f aca="false">IF($DF202&gt;$DE$8,"",VLOOKUP($DF202,$DH$9:$DN$508,4,FALSE()))</f>
        <v/>
      </c>
      <c r="DS202" s="86" t="str">
        <f aca="false">IF($DF202&gt;$DE$8,"",VLOOKUP($DF202,$DH$9:$DN$508,5,FALSE()))</f>
        <v/>
      </c>
      <c r="DT202" s="87" t="str">
        <f aca="false">IF($DF202&gt;$DE$8,"",VLOOKUP($DF202,$DH$9:$DN$508,6,FALSE()))</f>
        <v/>
      </c>
      <c r="DU202" s="62"/>
    </row>
    <row r="203" customFormat="false" ht="15.75" hidden="false" customHeight="false" outlineLevel="0" collapsed="false">
      <c r="A203" s="7"/>
      <c r="B203" s="64"/>
      <c r="C203" s="65"/>
      <c r="D203" s="123"/>
      <c r="E203" s="88"/>
      <c r="F203" s="134"/>
      <c r="G203" s="88"/>
      <c r="H203" s="134"/>
      <c r="I203" s="119"/>
      <c r="J203" s="119"/>
      <c r="K203" s="119"/>
      <c r="L203" s="88"/>
      <c r="M203" s="88"/>
      <c r="N203" s="88"/>
      <c r="O203" s="134"/>
      <c r="P203" s="88"/>
      <c r="Q203" s="88"/>
      <c r="R203" s="88"/>
      <c r="S203" s="88"/>
      <c r="T203" s="134"/>
      <c r="U203" s="88"/>
      <c r="V203" s="70"/>
      <c r="W203" s="88"/>
      <c r="X203" s="88"/>
      <c r="Y203" s="70"/>
      <c r="Z203" s="70"/>
      <c r="AA203" s="88"/>
      <c r="AB203" s="88"/>
      <c r="AC203" s="71"/>
      <c r="AD203" s="88"/>
      <c r="AE203" s="73"/>
      <c r="AF203" s="74"/>
      <c r="AG203" s="74"/>
      <c r="AH203" s="74" t="str">
        <f aca="false">IF(ISBLANK($C203),"",IF($E203=Constants!$B$2,TRUE(),IF($E203=Constants!$B$3,FALSE(),TRUE())))</f>
        <v/>
      </c>
      <c r="AI203" s="74" t="str">
        <f aca="false">IF(ISBLANK($C203),"",IF($F203=Constants!$B$2,TRUE(),IF($F203=Constants!$B$3,FALSE(),FALSE())))</f>
        <v/>
      </c>
      <c r="AJ203" s="74" t="str">
        <f aca="false">IF(ISBLANK($C203),"",IF($G203=Constants!$B$2,TRUE(),IF($G203=Constants!$B$3,FALSE(),TRUE())))</f>
        <v/>
      </c>
      <c r="AK203" s="74" t="str">
        <f aca="false">IF(ISBLANK($C203),"",IF($H203=Constants!$B$2,TRUE(),IF($H203=Constants!$B$3,FALSE(),TRUE())))</f>
        <v/>
      </c>
      <c r="AL203" s="74" t="str">
        <f aca="false">IF(ISBLANK($C203),"",IF(ISNUMBER($I203),IF($I203&gt;=0,$I203,""),""))</f>
        <v/>
      </c>
      <c r="AM203" s="74" t="str">
        <f aca="false">IF(ISBLANK($C203),"",IF(ISNUMBER($J203),IF($J203&gt;=0,$J203,""),""))</f>
        <v/>
      </c>
      <c r="AN203" s="74" t="str">
        <f aca="false">IF(ISBLANK($C203),"",IF(ISNUMBER($K203),IF($K203&gt;=0,$K203,""),""))</f>
        <v/>
      </c>
      <c r="AO203" s="74" t="str">
        <f aca="false">IF(ISBLANK($C203),"",IF($L203=Constants!$B$2,TRUE(),IF($L203=Constants!$B$3,FALSE(),TRUE())))</f>
        <v/>
      </c>
      <c r="AP203" s="74" t="str">
        <f aca="false">IF(ISBLANK($C203),"",IF($M203=Constants!$B$2,TRUE(),IF($M203=Constants!$B$3,FALSE(),TRUE())))</f>
        <v/>
      </c>
      <c r="AQ203" s="74" t="str">
        <f aca="false">IF(ISBLANK($C203),"",IF($N203=Constants!$B$2,TRUE(),IF($N203=Constants!$B$3,FALSE(),FALSE())))</f>
        <v/>
      </c>
      <c r="AR203" s="74" t="str">
        <f aca="false">IF(ISBLANK($C203),"",IF($O203=Constants!$B$2,TRUE(),IF($O203=Constants!$B$3,FALSE(),TRUE())))</f>
        <v/>
      </c>
      <c r="AS203" s="74" t="str">
        <f aca="false">IF(ISBLANK($C203),"",IF($P203=Constants!$B$2,TRUE(),IF($P203=Constants!$B$3,FALSE(),FALSE())))</f>
        <v/>
      </c>
      <c r="AT203" s="74" t="str">
        <f aca="false">IF(ISBLANK($C203),"",IF($Q203=Constants!$B$2,TRUE(),IF($Q203=Constants!$B$3,FALSE(),FALSE())))</f>
        <v/>
      </c>
      <c r="AU203" s="74" t="str">
        <f aca="false">IF(ISBLANK($C203),"",IF($R203=Constants!$B$2,TRUE(),IF($R203=Constants!$B$3,FALSE(),FALSE())))</f>
        <v/>
      </c>
      <c r="AV203" s="74" t="str">
        <f aca="false">IF(ISBLANK($C203),"",IF($S203=Constants!$B$2,TRUE(),IF($S203=Constants!$B$3,FALSE(),FALSE())))</f>
        <v/>
      </c>
      <c r="AW203" s="74" t="str">
        <f aca="false">IF(ISBLANK($C203),"",IF($T203=Constants!$B$2,TRUE(),IF($T203=Constants!$B$3,FALSE(),FALSE())))</f>
        <v/>
      </c>
      <c r="AX203" s="74" t="str">
        <f aca="false">IF(ISBLANK($C203),"",IF(OR($U203&amp;""="1",$U203&amp;""="2",$U203&amp;""="3",$U203&amp;""="4"),VALUE($U203&amp;""),IF($U203=Constants!$B$12,Constants!$B$12,"")))</f>
        <v/>
      </c>
      <c r="AY203" s="74" t="str">
        <f aca="false">IF(ISBLANK($C203),"",IF(ISBLANK($V203),0,IF(ISNUMBER($V203),IF(AND($V203&gt;=0,$V203&lt;=Constants!$B$21,$V203=INT($V203)),$V203,""),"")))</f>
        <v/>
      </c>
      <c r="AZ203" s="74" t="str">
        <f aca="false">IF(ISBLANK($C203),"",IF(ISBLANK($W203),0,IF(ISNUMBER($W203),IF($W203&gt;=0,$W203,""),"")))</f>
        <v/>
      </c>
      <c r="BA203" s="74" t="str">
        <f aca="false">IF(ISBLANK($C203),"",IF($X203=Constants!$B$2,TRUE(),IF($X203=Constants!$B$3,FALSE(),TRUE())))</f>
        <v/>
      </c>
      <c r="BB203" s="74" t="str">
        <f aca="false">IF(ISBLANK($C203),"",IF($Y203=Constants!$B$2,TRUE(),IF($Y203=Constants!$B$3,FALSE(),FALSE())))</f>
        <v/>
      </c>
      <c r="BC203" s="74" t="str">
        <f aca="false">IF(ISBLANK($C203),"",IF(ISBLANK($Z203),0,IF(ISNUMBER($Z203),IF(AND($Z203&gt;=0,$Z203&lt;=Constants!$B$35,$Z203=INT($Z203)),$Z203,""),"")))</f>
        <v/>
      </c>
      <c r="BD203" s="74" t="str">
        <f aca="false">IF(ISBLANK($C203),"",IF($AA203=Constants!$B$2,TRUE(),IF($AA203=Constants!$B$3,FALSE(),TRUE())))</f>
        <v/>
      </c>
      <c r="BE203" s="74" t="str">
        <f aca="false">IF(ISBLANK($C203),"",IF($AB203=Constants!$B$2,TRUE(),IF($AB203=Constants!$B$3,FALSE(),TRUE())))</f>
        <v/>
      </c>
      <c r="BF203" s="74" t="str">
        <f aca="false">IF(ISBLANK($C203),"",IF(ISNUMBER($AC203),IF($AC203&gt;=0,$AC203,""),""))</f>
        <v/>
      </c>
      <c r="BG203" s="74" t="str">
        <f aca="false">IF(ISBLANK($C203),"",IF($AD203=Constants!$B$2,TRUE(),IF($AD203=Constants!$B$3,FALSE(),FALSE())))</f>
        <v/>
      </c>
      <c r="BH203" s="73" t="str">
        <f aca="false">IF(ISBLANK($C203),"",IF($BG203,Constants!$B$7,IF(COUNTA($E203:$AC203)=0,Constants!$B$6,IF(OR(COUNTA($G203:$AC203)=0,NOT($AK203),$AQ203),Constants!$B$5,IF(OR($CI203&lt;&gt;"",$CJ203,$CK203,$CL203,$CM203,$CN203,$CO203),Constants!$B$8,Constants!$B$4)))))</f>
        <v/>
      </c>
      <c r="BI203" s="74" t="str">
        <f aca="false">IF(ISBLANK($C203),"",IF($BH203&lt;&gt;Constants!$B$4,$BH203,IF(OR(NOT($AH203),NOT($AJ203),NOT($AR203)),Constants!$B$11,IF(OR(NOT($AP203),MAX($AL203,$AM203,$AN203)&gt;Constants!$B$30),Constants!$B$10,Constants!$B$9))))</f>
        <v/>
      </c>
      <c r="BJ203" s="74" t="str">
        <f aca="false">IF($BH203&lt;&gt;Constants!$B$4,"",IF(NOT($AJ203),0,MIN(Constants!$B$35,$BC203)))</f>
        <v/>
      </c>
      <c r="BK203" s="74" t="str">
        <f aca="false">IF($BH203&lt;&gt;Constants!$B$4,"",IF(NOT($AJ203),0,IF($AT203,Constants!$B$18,IF($AS203,Constants!$B$17,0))))</f>
        <v/>
      </c>
      <c r="BL203" s="74" t="str">
        <f aca="false">IF($BH203&lt;&gt;Constants!$B$4,"",IF(NOT($AJ203),0,Constants!$B$19*($AI203+$AU203+$AV203+$AW203)))</f>
        <v/>
      </c>
      <c r="BM203" s="74" t="str">
        <f aca="false">IF($BH203&lt;&gt;Constants!$B$4,"",IF(OR(NOT($AJ203),NOT(ISNUMBER($AX203))),0,CHOOSE($AX203,Constants!$B$13,Constants!$B$14,Constants!$B$15,Constants!$B$16)))</f>
        <v/>
      </c>
      <c r="BN203" s="74" t="str">
        <f aca="false">IF($BH203&lt;&gt;Constants!$B$4,"",IF(NOT($AJ203),0,Constants!$B$20*$AY203))</f>
        <v/>
      </c>
      <c r="BO203" s="74" t="str">
        <f aca="false">IF($BH203&lt;&gt;Constants!$B$4,"",IF(AND($AJ203,$BA203,$BB203),Constants!$B$22,0))</f>
        <v/>
      </c>
      <c r="BP203" s="74" t="str">
        <f aca="false">IF($BH203&lt;&gt;Constants!$B$4,"",IF(OR(NOT($AJ203),NOT($BA203)),0,IF($BF203&gt;=2*$AF$9,0,Constants!$B$23*INT(ROUND(MIN($BF203,$AF$9),6)))))</f>
        <v/>
      </c>
      <c r="BQ203" s="74" t="str">
        <f aca="false">IF($BH203&lt;&gt;Constants!$B$4,"",IF(NOT($AJ203),0,Constants!$B$24*INT(ROUND(MIN($AZ203,$AF$9),6))))</f>
        <v/>
      </c>
      <c r="BR203" s="74" t="str">
        <f aca="false">IF($BH203&lt;&gt;Constants!$B$4,"",IF(AND($AJ203,$BJ203=0),Constants!$B$25,0))</f>
        <v/>
      </c>
      <c r="BS203" s="74" t="str">
        <f aca="false">IF($BH203&lt;&gt;Constants!$B$4,"",MIN(Constants!$B$29,MAX(0,Constants!$B$27*Constants!$B$28*INT(ROUND((Constants!$B$26-$AL203)/Constants!$B$28,6))))+MIN(Constants!$B$29,MAX(0,Constants!$B$27*Constants!$B$28*INT(ROUND((Constants!$B$26-$AM203)/Constants!$B$28,6))))+MIN(Constants!$B$29,MAX(0,Constants!$B$27*Constants!$B$28*INT(ROUND((Constants!$B$26-$AN203)/Constants!$B$28,6)))))</f>
        <v/>
      </c>
      <c r="BT203" s="74" t="str">
        <f aca="false">IF($BH203&lt;&gt;Constants!$B$4,"",IF(NOT($AJ203),0,Constants!$B$31*INT(ROUND(MAX(0,MIN($BF203,2*$AF$9)-$AF$9),6))))</f>
        <v/>
      </c>
      <c r="BU203" s="74" t="str">
        <f aca="false">IF($BH203&lt;&gt;Constants!$B$4,"",Constants!$B$32*(($AL203&gt;Constants!$B$26)+($AM203&gt;Constants!$B$26)+($AN203&gt;Constants!$B$26)))</f>
        <v/>
      </c>
      <c r="BV203" s="74" t="str">
        <f aca="false">IF($BH203&lt;&gt;Constants!$B$4,"",IF(OR(NOT($AJ203),$AO203),0,Constants!$B$33))</f>
        <v/>
      </c>
      <c r="BW203" s="74" t="str">
        <f aca="false">IF($BH203&lt;&gt;Constants!$B$4,"",Constants!$B$34*$BJ203)</f>
        <v/>
      </c>
      <c r="BX203" s="74" t="str">
        <f aca="false">IF($BH203&lt;&gt;Constants!$B$4,"",IF(OR(NOT($AJ203),$BE203),0,Constants!$B$36))</f>
        <v/>
      </c>
      <c r="BY203" s="74" t="str">
        <f aca="false">IF($BH203&lt;&gt;Constants!$B$4,"",IF(OR(NOT($AJ203),$BD203),0,Constants!$B$37))</f>
        <v/>
      </c>
      <c r="BZ203" s="74" t="str">
        <f aca="false">IF($BH203&lt;&gt;Constants!$B$4,"",SUM($BT203:$BY203))</f>
        <v/>
      </c>
      <c r="CA203" s="74" t="str">
        <f aca="false">IF(ISBLANK($C203),"",IF($BH203&lt;&gt;Constants!$B$4,$BH203,SUM($BK203:$BS203)-$BZ203))</f>
        <v/>
      </c>
      <c r="CB203" s="74" t="str">
        <f aca="false">IF(ISBLANK($C203),"",IF($BH203&lt;&gt;Constants!$B$4,$BH203,RANK($CA203,$CA$9:$CA$508)))</f>
        <v/>
      </c>
      <c r="CC203" s="74" t="str">
        <f aca="false">IF(ISBLANK($C203),"",IF($BH203&lt;&gt;Constants!$B$4,$BH203,COUNTIFS($BI$9:$BI$508,"&lt;"&amp;$BI203)+COUNTIFS($BI$9:$BI$508,$BI203,$CB$9:$CB$508,"&lt;"&amp;$CB203)+1))</f>
        <v/>
      </c>
      <c r="CD203" s="74" t="str">
        <f aca="false">IF(ISBLANK($C203),"",IF($BH203&lt;&gt;Constants!$B$4,$BH203,RANK($BZ203,$BZ$9:$BZ$508,1)))</f>
        <v/>
      </c>
      <c r="CE203" s="74" t="str">
        <f aca="false">IF($BH203&lt;&gt;Constants!$B$4,"",$AL203+$AM203+$AN203)</f>
        <v/>
      </c>
      <c r="CF203" s="74" t="str">
        <f aca="false">IF(ISBLANK($C203),"",IF($BH203&lt;&gt;Constants!$B$4,$BH203,RANK($CE203,$CE$9:$CE$508,1)))</f>
        <v/>
      </c>
      <c r="CG203" s="74" t="str">
        <f aca="false">IF(ISBLANK($C203),"",IF($BH203&lt;&gt;Constants!$B$4,$BH203,COUNTIFS($BI$9:$BI$508,"&lt;"&amp;$BI203)+COUNTIFS($BI$9:$BI$508,$BI203,$CB$9:$CB$508,"&lt;"&amp;$CB203)+COUNTIFS($BI$9:$BI$508,$BI203,$CB$9:$CB$508,$CB203,$CD$9:$CD$508,"&lt;"&amp;$CD203)+COUNTIFS($BI$9:$BI$508,$BI203,$CB$9:$CB$508,$CB203,$CD$9:$CD$508,$CD203,$CF$9:$CF$508,"&lt;"&amp;$CF203)+1))</f>
        <v/>
      </c>
      <c r="CH203" s="74" t="str">
        <f aca="false">IF(ISBLANK($C203),"",IF($BH203&lt;&gt;Constants!$B$4,$BH203,$CC203-$CG203))</f>
        <v/>
      </c>
      <c r="CI203" s="74" t="str">
        <f aca="false">IF(ISBLANK($C203),"",IF(NOT($AJ203),"",IF(ISBLANK($D$7),$CI$5,IF(NOT(ISNUMBER($D$7)),$CI$6,""))))</f>
        <v/>
      </c>
      <c r="CJ203" s="74" t="str">
        <f aca="false">IF(ISBLANK($C203),"",OR($AL203="",$AM203="",$AN203=""))</f>
        <v/>
      </c>
      <c r="CK203" s="74" t="str">
        <f aca="false">IF(ISBLANK($C203),"",AND($AJ203,$AX203=""))</f>
        <v/>
      </c>
      <c r="CL203" s="74" t="str">
        <f aca="false">IF(ISBLANK($C203),"",AND($AJ203,$AY203=""))</f>
        <v/>
      </c>
      <c r="CM203" s="74" t="str">
        <f aca="false">IF(ISBLANK($C203),"",AND($AJ203,$AZ203=""))</f>
        <v/>
      </c>
      <c r="CN203" s="74" t="str">
        <f aca="false">IF(ISBLANK($C203),"",AND($AJ203,$BC203=""))</f>
        <v/>
      </c>
      <c r="CO203" s="74" t="str">
        <f aca="false">IF(ISBLANK($C203),"",AND($AJ203,$BF203=""))</f>
        <v/>
      </c>
      <c r="CP203" s="75"/>
      <c r="CQ203" s="76"/>
      <c r="CR203" s="79" t="str">
        <f aca="false">IF(ISBLANK($C203),"",IF($BH203=Constants!$B$8,$CI203,""))</f>
        <v/>
      </c>
      <c r="CS203" s="76" t="str">
        <f aca="false">IF(ISBLANK($C203),"",IF($BH203&lt;&gt;Constants!$B$4,"",$BK203+$BL203))</f>
        <v/>
      </c>
      <c r="CT203" s="78" t="str">
        <f aca="false">IF(ISBLANK($C203),"",IF($BH203&lt;&gt;Constants!$B$4,"",$BM203+$BN203+$BO203))</f>
        <v/>
      </c>
      <c r="CU203" s="78" t="str">
        <f aca="false">IF(ISBLANK($C203),"",IF($BH203&lt;&gt;Constants!$B$4,"",$BP203))</f>
        <v/>
      </c>
      <c r="CV203" s="78" t="str">
        <f aca="false">IF(ISBLANK($C203),"",IF($BH203&lt;&gt;Constants!$B$4,"",$BQ203+$BR203))</f>
        <v/>
      </c>
      <c r="CW203" s="78" t="str">
        <f aca="false">IF(ISBLANK($C203),"",IF($BH203&lt;&gt;Constants!$B$4,"",$BS203))</f>
        <v/>
      </c>
      <c r="CX203" s="78" t="str">
        <f aca="false">IF(ISBLANK($C203),"",IF($BH203&lt;&gt;Constants!$B$4,"",-$BZ203))</f>
        <v/>
      </c>
      <c r="CY203" s="79" t="str">
        <f aca="false">IF(ISBLANK($C203),"",$CA203)</f>
        <v/>
      </c>
      <c r="CZ203" s="80" t="str">
        <f aca="false">IF(ISBLANK($C203),"",$BI203)</f>
        <v/>
      </c>
      <c r="DA203" s="78" t="str">
        <f aca="false">IF(ISBLANK($C203),"",$CH203)</f>
        <v/>
      </c>
      <c r="DB203" s="78" t="str">
        <f aca="false">IF(ISBLANK($C203),"",$CG203)</f>
        <v/>
      </c>
      <c r="DC203" s="81" t="str">
        <f aca="false">IF(ISBLANK($C203),"",IFERROR(_xlfn.SWITCH($DB203,Constants!$B$7,COUNTA($C$9:$C$508)+2,Constants!$B$6,COUNTA($C$9:$C$508)+1,Constants!$B$5,COUNTA($C$9:$C$508)),$DB203))</f>
        <v/>
      </c>
      <c r="DD203" s="7"/>
      <c r="DE203" s="82" t="n">
        <f aca="false">IF(OR(ISNUMBER($DB203),$DB203=Constants!$B$7,$DB203=Constants!$B$5,$DB203=Constants!$B$6),1,0)</f>
        <v>0</v>
      </c>
      <c r="DF203" s="82" t="n">
        <v>195</v>
      </c>
      <c r="DG203" s="82" t="str">
        <f aca="false">IF(ISBLANK($C203),"",IF(ISNUMBER($DC203),$DC203+ROW($B203)/1000,""))</f>
        <v/>
      </c>
      <c r="DH203" s="82" t="str">
        <f aca="false">IF(ISNUMBER($DG203),RANK($DG203,$DG$9:$DG$508,1),"")</f>
        <v/>
      </c>
      <c r="DI203" s="82" t="str">
        <f aca="false">IF(ISBLANK($C203),"",$B203)</f>
        <v/>
      </c>
      <c r="DJ203" s="82" t="str">
        <f aca="false">IF(ISBLANK($C203),"",$C203)</f>
        <v/>
      </c>
      <c r="DK203" s="82" t="str">
        <f aca="false">IF(ISBLANK($C203),"",$D203)</f>
        <v/>
      </c>
      <c r="DL203" s="83" t="str">
        <f aca="false">$CZ203</f>
        <v/>
      </c>
      <c r="DM203" s="84" t="str">
        <f aca="false">$CY203</f>
        <v/>
      </c>
      <c r="DN203" s="82" t="str">
        <f aca="false">IF(ISBLANK($C203),"",$DB203)</f>
        <v/>
      </c>
      <c r="DO203" s="85" t="str">
        <f aca="false">IF($DF203&gt;$DE$8,"",VLOOKUP($DF203,$DH$9:$DN$508,7,FALSE()))</f>
        <v/>
      </c>
      <c r="DP203" s="86" t="str">
        <f aca="false">IF($DF203&gt;$DE$8,"",VLOOKUP($DF203,$DH$9:$DN$508,2,FALSE()))</f>
        <v/>
      </c>
      <c r="DQ203" s="86" t="str">
        <f aca="false">IF($DF203&gt;$DE$8,"",VLOOKUP($DF203,$DH$9:$DN$508,3,FALSE()))</f>
        <v/>
      </c>
      <c r="DR203" s="86" t="str">
        <f aca="false">IF($DF203&gt;$DE$8,"",VLOOKUP($DF203,$DH$9:$DN$508,4,FALSE()))</f>
        <v/>
      </c>
      <c r="DS203" s="86" t="str">
        <f aca="false">IF($DF203&gt;$DE$8,"",VLOOKUP($DF203,$DH$9:$DN$508,5,FALSE()))</f>
        <v/>
      </c>
      <c r="DT203" s="87" t="str">
        <f aca="false">IF($DF203&gt;$DE$8,"",VLOOKUP($DF203,$DH$9:$DN$508,6,FALSE()))</f>
        <v/>
      </c>
      <c r="DU203" s="62"/>
    </row>
    <row r="204" customFormat="false" ht="15.75" hidden="false" customHeight="false" outlineLevel="0" collapsed="false">
      <c r="A204" s="7"/>
      <c r="B204" s="90"/>
      <c r="C204" s="91"/>
      <c r="D204" s="126"/>
      <c r="E204" s="130"/>
      <c r="F204" s="135"/>
      <c r="G204" s="130"/>
      <c r="H204" s="135"/>
      <c r="I204" s="131"/>
      <c r="J204" s="131"/>
      <c r="K204" s="131"/>
      <c r="L204" s="130"/>
      <c r="M204" s="130"/>
      <c r="N204" s="130"/>
      <c r="O204" s="135"/>
      <c r="P204" s="130"/>
      <c r="Q204" s="130"/>
      <c r="R204" s="130"/>
      <c r="S204" s="130"/>
      <c r="T204" s="135"/>
      <c r="U204" s="130"/>
      <c r="V204" s="96"/>
      <c r="W204" s="130"/>
      <c r="X204" s="130"/>
      <c r="Y204" s="96"/>
      <c r="Z204" s="96"/>
      <c r="AA204" s="130"/>
      <c r="AB204" s="130"/>
      <c r="AC204" s="97"/>
      <c r="AD204" s="130"/>
      <c r="AE204" s="99"/>
      <c r="AF204" s="100"/>
      <c r="AG204" s="100"/>
      <c r="AH204" s="100" t="str">
        <f aca="false">IF(ISBLANK($C204),"",IF($E204=Constants!$B$2,TRUE(),IF($E204=Constants!$B$3,FALSE(),TRUE())))</f>
        <v/>
      </c>
      <c r="AI204" s="100" t="str">
        <f aca="false">IF(ISBLANK($C204),"",IF($F204=Constants!$B$2,TRUE(),IF($F204=Constants!$B$3,FALSE(),FALSE())))</f>
        <v/>
      </c>
      <c r="AJ204" s="100" t="str">
        <f aca="false">IF(ISBLANK($C204),"",IF($G204=Constants!$B$2,TRUE(),IF($G204=Constants!$B$3,FALSE(),TRUE())))</f>
        <v/>
      </c>
      <c r="AK204" s="100" t="str">
        <f aca="false">IF(ISBLANK($C204),"",IF($H204=Constants!$B$2,TRUE(),IF($H204=Constants!$B$3,FALSE(),TRUE())))</f>
        <v/>
      </c>
      <c r="AL204" s="100" t="str">
        <f aca="false">IF(ISBLANK($C204),"",IF(ISNUMBER($I204),IF($I204&gt;=0,$I204,""),""))</f>
        <v/>
      </c>
      <c r="AM204" s="100" t="str">
        <f aca="false">IF(ISBLANK($C204),"",IF(ISNUMBER($J204),IF($J204&gt;=0,$J204,""),""))</f>
        <v/>
      </c>
      <c r="AN204" s="100" t="str">
        <f aca="false">IF(ISBLANK($C204),"",IF(ISNUMBER($K204),IF($K204&gt;=0,$K204,""),""))</f>
        <v/>
      </c>
      <c r="AO204" s="100" t="str">
        <f aca="false">IF(ISBLANK($C204),"",IF($L204=Constants!$B$2,TRUE(),IF($L204=Constants!$B$3,FALSE(),TRUE())))</f>
        <v/>
      </c>
      <c r="AP204" s="100" t="str">
        <f aca="false">IF(ISBLANK($C204),"",IF($M204=Constants!$B$2,TRUE(),IF($M204=Constants!$B$3,FALSE(),TRUE())))</f>
        <v/>
      </c>
      <c r="AQ204" s="100" t="str">
        <f aca="false">IF(ISBLANK($C204),"",IF($N204=Constants!$B$2,TRUE(),IF($N204=Constants!$B$3,FALSE(),FALSE())))</f>
        <v/>
      </c>
      <c r="AR204" s="100" t="str">
        <f aca="false">IF(ISBLANK($C204),"",IF($O204=Constants!$B$2,TRUE(),IF($O204=Constants!$B$3,FALSE(),TRUE())))</f>
        <v/>
      </c>
      <c r="AS204" s="100" t="str">
        <f aca="false">IF(ISBLANK($C204),"",IF($P204=Constants!$B$2,TRUE(),IF($P204=Constants!$B$3,FALSE(),FALSE())))</f>
        <v/>
      </c>
      <c r="AT204" s="100" t="str">
        <f aca="false">IF(ISBLANK($C204),"",IF($Q204=Constants!$B$2,TRUE(),IF($Q204=Constants!$B$3,FALSE(),FALSE())))</f>
        <v/>
      </c>
      <c r="AU204" s="100" t="str">
        <f aca="false">IF(ISBLANK($C204),"",IF($R204=Constants!$B$2,TRUE(),IF($R204=Constants!$B$3,FALSE(),FALSE())))</f>
        <v/>
      </c>
      <c r="AV204" s="100" t="str">
        <f aca="false">IF(ISBLANK($C204),"",IF($S204=Constants!$B$2,TRUE(),IF($S204=Constants!$B$3,FALSE(),FALSE())))</f>
        <v/>
      </c>
      <c r="AW204" s="100" t="str">
        <f aca="false">IF(ISBLANK($C204),"",IF($T204=Constants!$B$2,TRUE(),IF($T204=Constants!$B$3,FALSE(),FALSE())))</f>
        <v/>
      </c>
      <c r="AX204" s="100" t="str">
        <f aca="false">IF(ISBLANK($C204),"",IF(OR($U204&amp;""="1",$U204&amp;""="2",$U204&amp;""="3",$U204&amp;""="4"),VALUE($U204&amp;""),IF($U204=Constants!$B$12,Constants!$B$12,"")))</f>
        <v/>
      </c>
      <c r="AY204" s="100" t="str">
        <f aca="false">IF(ISBLANK($C204),"",IF(ISBLANK($V204),0,IF(ISNUMBER($V204),IF(AND($V204&gt;=0,$V204&lt;=Constants!$B$21,$V204=INT($V204)),$V204,""),"")))</f>
        <v/>
      </c>
      <c r="AZ204" s="100" t="str">
        <f aca="false">IF(ISBLANK($C204),"",IF(ISBLANK($W204),0,IF(ISNUMBER($W204),IF($W204&gt;=0,$W204,""),"")))</f>
        <v/>
      </c>
      <c r="BA204" s="100" t="str">
        <f aca="false">IF(ISBLANK($C204),"",IF($X204=Constants!$B$2,TRUE(),IF($X204=Constants!$B$3,FALSE(),TRUE())))</f>
        <v/>
      </c>
      <c r="BB204" s="100" t="str">
        <f aca="false">IF(ISBLANK($C204),"",IF($Y204=Constants!$B$2,TRUE(),IF($Y204=Constants!$B$3,FALSE(),FALSE())))</f>
        <v/>
      </c>
      <c r="BC204" s="100" t="str">
        <f aca="false">IF(ISBLANK($C204),"",IF(ISBLANK($Z204),0,IF(ISNUMBER($Z204),IF(AND($Z204&gt;=0,$Z204&lt;=Constants!$B$35,$Z204=INT($Z204)),$Z204,""),"")))</f>
        <v/>
      </c>
      <c r="BD204" s="100" t="str">
        <f aca="false">IF(ISBLANK($C204),"",IF($AA204=Constants!$B$2,TRUE(),IF($AA204=Constants!$B$3,FALSE(),TRUE())))</f>
        <v/>
      </c>
      <c r="BE204" s="100" t="str">
        <f aca="false">IF(ISBLANK($C204),"",IF($AB204=Constants!$B$2,TRUE(),IF($AB204=Constants!$B$3,FALSE(),TRUE())))</f>
        <v/>
      </c>
      <c r="BF204" s="100" t="str">
        <f aca="false">IF(ISBLANK($C204),"",IF(ISNUMBER($AC204),IF($AC204&gt;=0,$AC204,""),""))</f>
        <v/>
      </c>
      <c r="BG204" s="100" t="str">
        <f aca="false">IF(ISBLANK($C204),"",IF($AD204=Constants!$B$2,TRUE(),IF($AD204=Constants!$B$3,FALSE(),FALSE())))</f>
        <v/>
      </c>
      <c r="BH204" s="99" t="str">
        <f aca="false">IF(ISBLANK($C204),"",IF($BG204,Constants!$B$7,IF(COUNTA($E204:$AC204)=0,Constants!$B$6,IF(OR(COUNTA($G204:$AC204)=0,NOT($AK204),$AQ204),Constants!$B$5,IF(OR($CI204&lt;&gt;"",$CJ204,$CK204,$CL204,$CM204,$CN204,$CO204),Constants!$B$8,Constants!$B$4)))))</f>
        <v/>
      </c>
      <c r="BI204" s="100" t="str">
        <f aca="false">IF(ISBLANK($C204),"",IF($BH204&lt;&gt;Constants!$B$4,$BH204,IF(OR(NOT($AH204),NOT($AJ204),NOT($AR204)),Constants!$B$11,IF(OR(NOT($AP204),MAX($AL204,$AM204,$AN204)&gt;Constants!$B$30),Constants!$B$10,Constants!$B$9))))</f>
        <v/>
      </c>
      <c r="BJ204" s="100" t="str">
        <f aca="false">IF($BH204&lt;&gt;Constants!$B$4,"",IF(NOT($AJ204),0,MIN(Constants!$B$35,$BC204)))</f>
        <v/>
      </c>
      <c r="BK204" s="100" t="str">
        <f aca="false">IF($BH204&lt;&gt;Constants!$B$4,"",IF(NOT($AJ204),0,IF($AT204,Constants!$B$18,IF($AS204,Constants!$B$17,0))))</f>
        <v/>
      </c>
      <c r="BL204" s="100" t="str">
        <f aca="false">IF($BH204&lt;&gt;Constants!$B$4,"",IF(NOT($AJ204),0,Constants!$B$19*($AI204+$AU204+$AV204+$AW204)))</f>
        <v/>
      </c>
      <c r="BM204" s="100" t="str">
        <f aca="false">IF($BH204&lt;&gt;Constants!$B$4,"",IF(OR(NOT($AJ204),NOT(ISNUMBER($AX204))),0,CHOOSE($AX204,Constants!$B$13,Constants!$B$14,Constants!$B$15,Constants!$B$16)))</f>
        <v/>
      </c>
      <c r="BN204" s="100" t="str">
        <f aca="false">IF($BH204&lt;&gt;Constants!$B$4,"",IF(NOT($AJ204),0,Constants!$B$20*$AY204))</f>
        <v/>
      </c>
      <c r="BO204" s="100" t="str">
        <f aca="false">IF($BH204&lt;&gt;Constants!$B$4,"",IF(AND($AJ204,$BA204,$BB204),Constants!$B$22,0))</f>
        <v/>
      </c>
      <c r="BP204" s="100" t="str">
        <f aca="false">IF($BH204&lt;&gt;Constants!$B$4,"",IF(OR(NOT($AJ204),NOT($BA204)),0,IF($BF204&gt;=2*$AF$9,0,Constants!$B$23*INT(ROUND(MIN($BF204,$AF$9),6)))))</f>
        <v/>
      </c>
      <c r="BQ204" s="100" t="str">
        <f aca="false">IF($BH204&lt;&gt;Constants!$B$4,"",IF(NOT($AJ204),0,Constants!$B$24*INT(ROUND(MIN($AZ204,$AF$9),6))))</f>
        <v/>
      </c>
      <c r="BR204" s="100" t="str">
        <f aca="false">IF($BH204&lt;&gt;Constants!$B$4,"",IF(AND($AJ204,$BJ204=0),Constants!$B$25,0))</f>
        <v/>
      </c>
      <c r="BS204" s="100" t="str">
        <f aca="false">IF($BH204&lt;&gt;Constants!$B$4,"",MIN(Constants!$B$29,MAX(0,Constants!$B$27*Constants!$B$28*INT(ROUND((Constants!$B$26-$AL204)/Constants!$B$28,6))))+MIN(Constants!$B$29,MAX(0,Constants!$B$27*Constants!$B$28*INT(ROUND((Constants!$B$26-$AM204)/Constants!$B$28,6))))+MIN(Constants!$B$29,MAX(0,Constants!$B$27*Constants!$B$28*INT(ROUND((Constants!$B$26-$AN204)/Constants!$B$28,6)))))</f>
        <v/>
      </c>
      <c r="BT204" s="100" t="str">
        <f aca="false">IF($BH204&lt;&gt;Constants!$B$4,"",IF(NOT($AJ204),0,Constants!$B$31*INT(ROUND(MAX(0,MIN($BF204,2*$AF$9)-$AF$9),6))))</f>
        <v/>
      </c>
      <c r="BU204" s="100" t="str">
        <f aca="false">IF($BH204&lt;&gt;Constants!$B$4,"",Constants!$B$32*(($AL204&gt;Constants!$B$26)+($AM204&gt;Constants!$B$26)+($AN204&gt;Constants!$B$26)))</f>
        <v/>
      </c>
      <c r="BV204" s="100" t="str">
        <f aca="false">IF($BH204&lt;&gt;Constants!$B$4,"",IF(OR(NOT($AJ204),$AO204),0,Constants!$B$33))</f>
        <v/>
      </c>
      <c r="BW204" s="100" t="str">
        <f aca="false">IF($BH204&lt;&gt;Constants!$B$4,"",Constants!$B$34*$BJ204)</f>
        <v/>
      </c>
      <c r="BX204" s="100" t="str">
        <f aca="false">IF($BH204&lt;&gt;Constants!$B$4,"",IF(OR(NOT($AJ204),$BE204),0,Constants!$B$36))</f>
        <v/>
      </c>
      <c r="BY204" s="100" t="str">
        <f aca="false">IF($BH204&lt;&gt;Constants!$B$4,"",IF(OR(NOT($AJ204),$BD204),0,Constants!$B$37))</f>
        <v/>
      </c>
      <c r="BZ204" s="100" t="str">
        <f aca="false">IF($BH204&lt;&gt;Constants!$B$4,"",SUM($BT204:$BY204))</f>
        <v/>
      </c>
      <c r="CA204" s="100" t="str">
        <f aca="false">IF(ISBLANK($C204),"",IF($BH204&lt;&gt;Constants!$B$4,$BH204,SUM($BK204:$BS204)-$BZ204))</f>
        <v/>
      </c>
      <c r="CB204" s="100" t="str">
        <f aca="false">IF(ISBLANK($C204),"",IF($BH204&lt;&gt;Constants!$B$4,$BH204,RANK($CA204,$CA$9:$CA$508)))</f>
        <v/>
      </c>
      <c r="CC204" s="100" t="str">
        <f aca="false">IF(ISBLANK($C204),"",IF($BH204&lt;&gt;Constants!$B$4,$BH204,COUNTIFS($BI$9:$BI$508,"&lt;"&amp;$BI204)+COUNTIFS($BI$9:$BI$508,$BI204,$CB$9:$CB$508,"&lt;"&amp;$CB204)+1))</f>
        <v/>
      </c>
      <c r="CD204" s="100" t="str">
        <f aca="false">IF(ISBLANK($C204),"",IF($BH204&lt;&gt;Constants!$B$4,$BH204,RANK($BZ204,$BZ$9:$BZ$508,1)))</f>
        <v/>
      </c>
      <c r="CE204" s="100" t="str">
        <f aca="false">IF($BH204&lt;&gt;Constants!$B$4,"",$AL204+$AM204+$AN204)</f>
        <v/>
      </c>
      <c r="CF204" s="100" t="str">
        <f aca="false">IF(ISBLANK($C204),"",IF($BH204&lt;&gt;Constants!$B$4,$BH204,RANK($CE204,$CE$9:$CE$508,1)))</f>
        <v/>
      </c>
      <c r="CG204" s="100" t="str">
        <f aca="false">IF(ISBLANK($C204),"",IF($BH204&lt;&gt;Constants!$B$4,$BH204,COUNTIFS($BI$9:$BI$508,"&lt;"&amp;$BI204)+COUNTIFS($BI$9:$BI$508,$BI204,$CB$9:$CB$508,"&lt;"&amp;$CB204)+COUNTIFS($BI$9:$BI$508,$BI204,$CB$9:$CB$508,$CB204,$CD$9:$CD$508,"&lt;"&amp;$CD204)+COUNTIFS($BI$9:$BI$508,$BI204,$CB$9:$CB$508,$CB204,$CD$9:$CD$508,$CD204,$CF$9:$CF$508,"&lt;"&amp;$CF204)+1))</f>
        <v/>
      </c>
      <c r="CH204" s="100" t="str">
        <f aca="false">IF(ISBLANK($C204),"",IF($BH204&lt;&gt;Constants!$B$4,$BH204,$CC204-$CG204))</f>
        <v/>
      </c>
      <c r="CI204" s="100" t="str">
        <f aca="false">IF(ISBLANK($C204),"",IF(NOT($AJ204),"",IF(ISBLANK($D$7),$CI$5,IF(NOT(ISNUMBER($D$7)),$CI$6,""))))</f>
        <v/>
      </c>
      <c r="CJ204" s="100" t="str">
        <f aca="false">IF(ISBLANK($C204),"",OR($AL204="",$AM204="",$AN204=""))</f>
        <v/>
      </c>
      <c r="CK204" s="100" t="str">
        <f aca="false">IF(ISBLANK($C204),"",AND($AJ204,$AX204=""))</f>
        <v/>
      </c>
      <c r="CL204" s="100" t="str">
        <f aca="false">IF(ISBLANK($C204),"",AND($AJ204,$AY204=""))</f>
        <v/>
      </c>
      <c r="CM204" s="100" t="str">
        <f aca="false">IF(ISBLANK($C204),"",AND($AJ204,$AZ204=""))</f>
        <v/>
      </c>
      <c r="CN204" s="100" t="str">
        <f aca="false">IF(ISBLANK($C204),"",AND($AJ204,$BC204=""))</f>
        <v/>
      </c>
      <c r="CO204" s="100" t="str">
        <f aca="false">IF(ISBLANK($C204),"",AND($AJ204,$BF204=""))</f>
        <v/>
      </c>
      <c r="CP204" s="101"/>
      <c r="CQ204" s="102"/>
      <c r="CR204" s="103" t="str">
        <f aca="false">IF(ISBLANK($C204),"",IF($BH204=Constants!$B$8,$CI204,""))</f>
        <v/>
      </c>
      <c r="CS204" s="102" t="str">
        <f aca="false">IF(ISBLANK($C204),"",IF($BH204&lt;&gt;Constants!$B$4,"",$BK204+$BL204))</f>
        <v/>
      </c>
      <c r="CT204" s="104" t="str">
        <f aca="false">IF(ISBLANK($C204),"",IF($BH204&lt;&gt;Constants!$B$4,"",$BM204+$BN204+$BO204))</f>
        <v/>
      </c>
      <c r="CU204" s="104" t="str">
        <f aca="false">IF(ISBLANK($C204),"",IF($BH204&lt;&gt;Constants!$B$4,"",$BP204))</f>
        <v/>
      </c>
      <c r="CV204" s="104" t="str">
        <f aca="false">IF(ISBLANK($C204),"",IF($BH204&lt;&gt;Constants!$B$4,"",$BQ204+$BR204))</f>
        <v/>
      </c>
      <c r="CW204" s="104" t="str">
        <f aca="false">IF(ISBLANK($C204),"",IF($BH204&lt;&gt;Constants!$B$4,"",$BS204))</f>
        <v/>
      </c>
      <c r="CX204" s="104" t="str">
        <f aca="false">IF(ISBLANK($C204),"",IF($BH204&lt;&gt;Constants!$B$4,"",-$BZ204))</f>
        <v/>
      </c>
      <c r="CY204" s="103" t="str">
        <f aca="false">IF(ISBLANK($C204),"",$CA204)</f>
        <v/>
      </c>
      <c r="CZ204" s="105" t="str">
        <f aca="false">IF(ISBLANK($C204),"",$BI204)</f>
        <v/>
      </c>
      <c r="DA204" s="104" t="str">
        <f aca="false">IF(ISBLANK($C204),"",$CH204)</f>
        <v/>
      </c>
      <c r="DB204" s="104" t="str">
        <f aca="false">IF(ISBLANK($C204),"",$CG204)</f>
        <v/>
      </c>
      <c r="DC204" s="106" t="str">
        <f aca="false">IF(ISBLANK($C204),"",IFERROR(_xlfn.SWITCH($DB204,Constants!$B$7,COUNTA($C$9:$C$508)+2,Constants!$B$6,COUNTA($C$9:$C$508)+1,Constants!$B$5,COUNTA($C$9:$C$508)),$DB204))</f>
        <v/>
      </c>
      <c r="DD204" s="7"/>
      <c r="DE204" s="107" t="n">
        <f aca="false">IF(OR(ISNUMBER($DB204),$DB204=Constants!$B$7,$DB204=Constants!$B$5,$DB204=Constants!$B$6),1,0)</f>
        <v>0</v>
      </c>
      <c r="DF204" s="107" t="n">
        <v>196</v>
      </c>
      <c r="DG204" s="107" t="str">
        <f aca="false">IF(ISBLANK($C204),"",IF(ISNUMBER($DC204),$DC204+ROW($B204)/1000,""))</f>
        <v/>
      </c>
      <c r="DH204" s="107" t="str">
        <f aca="false">IF(ISNUMBER($DG204),RANK($DG204,$DG$9:$DG$508,1),"")</f>
        <v/>
      </c>
      <c r="DI204" s="107" t="str">
        <f aca="false">IF(ISBLANK($C204),"",$B204)</f>
        <v/>
      </c>
      <c r="DJ204" s="107" t="str">
        <f aca="false">IF(ISBLANK($C204),"",$C204)</f>
        <v/>
      </c>
      <c r="DK204" s="107" t="str">
        <f aca="false">IF(ISBLANK($C204),"",$D204)</f>
        <v/>
      </c>
      <c r="DL204" s="108" t="str">
        <f aca="false">$CZ204</f>
        <v/>
      </c>
      <c r="DM204" s="109" t="str">
        <f aca="false">$CY204</f>
        <v/>
      </c>
      <c r="DN204" s="107" t="str">
        <f aca="false">IF(ISBLANK($C204),"",$DB204)</f>
        <v/>
      </c>
      <c r="DO204" s="110" t="str">
        <f aca="false">IF($DF204&gt;$DE$8,"",VLOOKUP($DF204,$DH$9:$DN$508,7,FALSE()))</f>
        <v/>
      </c>
      <c r="DP204" s="111" t="str">
        <f aca="false">IF($DF204&gt;$DE$8,"",VLOOKUP($DF204,$DH$9:$DN$508,2,FALSE()))</f>
        <v/>
      </c>
      <c r="DQ204" s="111" t="str">
        <f aca="false">IF($DF204&gt;$DE$8,"",VLOOKUP($DF204,$DH$9:$DN$508,3,FALSE()))</f>
        <v/>
      </c>
      <c r="DR204" s="111" t="str">
        <f aca="false">IF($DF204&gt;$DE$8,"",VLOOKUP($DF204,$DH$9:$DN$508,4,FALSE()))</f>
        <v/>
      </c>
      <c r="DS204" s="111" t="str">
        <f aca="false">IF($DF204&gt;$DE$8,"",VLOOKUP($DF204,$DH$9:$DN$508,5,FALSE()))</f>
        <v/>
      </c>
      <c r="DT204" s="112" t="str">
        <f aca="false">IF($DF204&gt;$DE$8,"",VLOOKUP($DF204,$DH$9:$DN$508,6,FALSE()))</f>
        <v/>
      </c>
      <c r="DU204" s="62"/>
    </row>
    <row r="205" customFormat="false" ht="15.75" hidden="false" customHeight="false" outlineLevel="0" collapsed="false">
      <c r="A205" s="7"/>
      <c r="B205" s="90"/>
      <c r="C205" s="91"/>
      <c r="D205" s="126"/>
      <c r="E205" s="130"/>
      <c r="F205" s="135"/>
      <c r="G205" s="130"/>
      <c r="H205" s="135"/>
      <c r="I205" s="131"/>
      <c r="J205" s="131"/>
      <c r="K205" s="131"/>
      <c r="L205" s="130"/>
      <c r="M205" s="130"/>
      <c r="N205" s="130"/>
      <c r="O205" s="135"/>
      <c r="P205" s="130"/>
      <c r="Q205" s="130"/>
      <c r="R205" s="130"/>
      <c r="S205" s="130"/>
      <c r="T205" s="135"/>
      <c r="U205" s="130"/>
      <c r="V205" s="96"/>
      <c r="W205" s="130"/>
      <c r="X205" s="130"/>
      <c r="Y205" s="96"/>
      <c r="Z205" s="96"/>
      <c r="AA205" s="130"/>
      <c r="AB205" s="130"/>
      <c r="AC205" s="97"/>
      <c r="AD205" s="130"/>
      <c r="AE205" s="99"/>
      <c r="AF205" s="100"/>
      <c r="AG205" s="100"/>
      <c r="AH205" s="100" t="str">
        <f aca="false">IF(ISBLANK($C205),"",IF($E205=Constants!$B$2,TRUE(),IF($E205=Constants!$B$3,FALSE(),TRUE())))</f>
        <v/>
      </c>
      <c r="AI205" s="100" t="str">
        <f aca="false">IF(ISBLANK($C205),"",IF($F205=Constants!$B$2,TRUE(),IF($F205=Constants!$B$3,FALSE(),FALSE())))</f>
        <v/>
      </c>
      <c r="AJ205" s="100" t="str">
        <f aca="false">IF(ISBLANK($C205),"",IF($G205=Constants!$B$2,TRUE(),IF($G205=Constants!$B$3,FALSE(),TRUE())))</f>
        <v/>
      </c>
      <c r="AK205" s="100" t="str">
        <f aca="false">IF(ISBLANK($C205),"",IF($H205=Constants!$B$2,TRUE(),IF($H205=Constants!$B$3,FALSE(),TRUE())))</f>
        <v/>
      </c>
      <c r="AL205" s="100" t="str">
        <f aca="false">IF(ISBLANK($C205),"",IF(ISNUMBER($I205),IF($I205&gt;=0,$I205,""),""))</f>
        <v/>
      </c>
      <c r="AM205" s="100" t="str">
        <f aca="false">IF(ISBLANK($C205),"",IF(ISNUMBER($J205),IF($J205&gt;=0,$J205,""),""))</f>
        <v/>
      </c>
      <c r="AN205" s="100" t="str">
        <f aca="false">IF(ISBLANK($C205),"",IF(ISNUMBER($K205),IF($K205&gt;=0,$K205,""),""))</f>
        <v/>
      </c>
      <c r="AO205" s="100" t="str">
        <f aca="false">IF(ISBLANK($C205),"",IF($L205=Constants!$B$2,TRUE(),IF($L205=Constants!$B$3,FALSE(),TRUE())))</f>
        <v/>
      </c>
      <c r="AP205" s="100" t="str">
        <f aca="false">IF(ISBLANK($C205),"",IF($M205=Constants!$B$2,TRUE(),IF($M205=Constants!$B$3,FALSE(),TRUE())))</f>
        <v/>
      </c>
      <c r="AQ205" s="100" t="str">
        <f aca="false">IF(ISBLANK($C205),"",IF($N205=Constants!$B$2,TRUE(),IF($N205=Constants!$B$3,FALSE(),FALSE())))</f>
        <v/>
      </c>
      <c r="AR205" s="100" t="str">
        <f aca="false">IF(ISBLANK($C205),"",IF($O205=Constants!$B$2,TRUE(),IF($O205=Constants!$B$3,FALSE(),TRUE())))</f>
        <v/>
      </c>
      <c r="AS205" s="100" t="str">
        <f aca="false">IF(ISBLANK($C205),"",IF($P205=Constants!$B$2,TRUE(),IF($P205=Constants!$B$3,FALSE(),FALSE())))</f>
        <v/>
      </c>
      <c r="AT205" s="100" t="str">
        <f aca="false">IF(ISBLANK($C205),"",IF($Q205=Constants!$B$2,TRUE(),IF($Q205=Constants!$B$3,FALSE(),FALSE())))</f>
        <v/>
      </c>
      <c r="AU205" s="100" t="str">
        <f aca="false">IF(ISBLANK($C205),"",IF($R205=Constants!$B$2,TRUE(),IF($R205=Constants!$B$3,FALSE(),FALSE())))</f>
        <v/>
      </c>
      <c r="AV205" s="100" t="str">
        <f aca="false">IF(ISBLANK($C205),"",IF($S205=Constants!$B$2,TRUE(),IF($S205=Constants!$B$3,FALSE(),FALSE())))</f>
        <v/>
      </c>
      <c r="AW205" s="100" t="str">
        <f aca="false">IF(ISBLANK($C205),"",IF($T205=Constants!$B$2,TRUE(),IF($T205=Constants!$B$3,FALSE(),FALSE())))</f>
        <v/>
      </c>
      <c r="AX205" s="100" t="str">
        <f aca="false">IF(ISBLANK($C205),"",IF(OR($U205&amp;""="1",$U205&amp;""="2",$U205&amp;""="3",$U205&amp;""="4"),VALUE($U205&amp;""),IF($U205=Constants!$B$12,Constants!$B$12,"")))</f>
        <v/>
      </c>
      <c r="AY205" s="100" t="str">
        <f aca="false">IF(ISBLANK($C205),"",IF(ISBLANK($V205),0,IF(ISNUMBER($V205),IF(AND($V205&gt;=0,$V205&lt;=Constants!$B$21,$V205=INT($V205)),$V205,""),"")))</f>
        <v/>
      </c>
      <c r="AZ205" s="100" t="str">
        <f aca="false">IF(ISBLANK($C205),"",IF(ISBLANK($W205),0,IF(ISNUMBER($W205),IF($W205&gt;=0,$W205,""),"")))</f>
        <v/>
      </c>
      <c r="BA205" s="100" t="str">
        <f aca="false">IF(ISBLANK($C205),"",IF($X205=Constants!$B$2,TRUE(),IF($X205=Constants!$B$3,FALSE(),TRUE())))</f>
        <v/>
      </c>
      <c r="BB205" s="100" t="str">
        <f aca="false">IF(ISBLANK($C205),"",IF($Y205=Constants!$B$2,TRUE(),IF($Y205=Constants!$B$3,FALSE(),FALSE())))</f>
        <v/>
      </c>
      <c r="BC205" s="100" t="str">
        <f aca="false">IF(ISBLANK($C205),"",IF(ISBLANK($Z205),0,IF(ISNUMBER($Z205),IF(AND($Z205&gt;=0,$Z205&lt;=Constants!$B$35,$Z205=INT($Z205)),$Z205,""),"")))</f>
        <v/>
      </c>
      <c r="BD205" s="100" t="str">
        <f aca="false">IF(ISBLANK($C205),"",IF($AA205=Constants!$B$2,TRUE(),IF($AA205=Constants!$B$3,FALSE(),TRUE())))</f>
        <v/>
      </c>
      <c r="BE205" s="100" t="str">
        <f aca="false">IF(ISBLANK($C205),"",IF($AB205=Constants!$B$2,TRUE(),IF($AB205=Constants!$B$3,FALSE(),TRUE())))</f>
        <v/>
      </c>
      <c r="BF205" s="100" t="str">
        <f aca="false">IF(ISBLANK($C205),"",IF(ISNUMBER($AC205),IF($AC205&gt;=0,$AC205,""),""))</f>
        <v/>
      </c>
      <c r="BG205" s="100" t="str">
        <f aca="false">IF(ISBLANK($C205),"",IF($AD205=Constants!$B$2,TRUE(),IF($AD205=Constants!$B$3,FALSE(),FALSE())))</f>
        <v/>
      </c>
      <c r="BH205" s="99" t="str">
        <f aca="false">IF(ISBLANK($C205),"",IF($BG205,Constants!$B$7,IF(COUNTA($E205:$AC205)=0,Constants!$B$6,IF(OR(COUNTA($G205:$AC205)=0,NOT($AK205),$AQ205),Constants!$B$5,IF(OR($CI205&lt;&gt;"",$CJ205,$CK205,$CL205,$CM205,$CN205,$CO205),Constants!$B$8,Constants!$B$4)))))</f>
        <v/>
      </c>
      <c r="BI205" s="100" t="str">
        <f aca="false">IF(ISBLANK($C205),"",IF($BH205&lt;&gt;Constants!$B$4,$BH205,IF(OR(NOT($AH205),NOT($AJ205),NOT($AR205)),Constants!$B$11,IF(OR(NOT($AP205),MAX($AL205,$AM205,$AN205)&gt;Constants!$B$30),Constants!$B$10,Constants!$B$9))))</f>
        <v/>
      </c>
      <c r="BJ205" s="100" t="str">
        <f aca="false">IF($BH205&lt;&gt;Constants!$B$4,"",IF(NOT($AJ205),0,MIN(Constants!$B$35,$BC205)))</f>
        <v/>
      </c>
      <c r="BK205" s="100" t="str">
        <f aca="false">IF($BH205&lt;&gt;Constants!$B$4,"",IF(NOT($AJ205),0,IF($AT205,Constants!$B$18,IF($AS205,Constants!$B$17,0))))</f>
        <v/>
      </c>
      <c r="BL205" s="100" t="str">
        <f aca="false">IF($BH205&lt;&gt;Constants!$B$4,"",IF(NOT($AJ205),0,Constants!$B$19*($AI205+$AU205+$AV205+$AW205)))</f>
        <v/>
      </c>
      <c r="BM205" s="100" t="str">
        <f aca="false">IF($BH205&lt;&gt;Constants!$B$4,"",IF(OR(NOT($AJ205),NOT(ISNUMBER($AX205))),0,CHOOSE($AX205,Constants!$B$13,Constants!$B$14,Constants!$B$15,Constants!$B$16)))</f>
        <v/>
      </c>
      <c r="BN205" s="100" t="str">
        <f aca="false">IF($BH205&lt;&gt;Constants!$B$4,"",IF(NOT($AJ205),0,Constants!$B$20*$AY205))</f>
        <v/>
      </c>
      <c r="BO205" s="100" t="str">
        <f aca="false">IF($BH205&lt;&gt;Constants!$B$4,"",IF(AND($AJ205,$BA205,$BB205),Constants!$B$22,0))</f>
        <v/>
      </c>
      <c r="BP205" s="100" t="str">
        <f aca="false">IF($BH205&lt;&gt;Constants!$B$4,"",IF(OR(NOT($AJ205),NOT($BA205)),0,IF($BF205&gt;=2*$AF$9,0,Constants!$B$23*INT(ROUND(MIN($BF205,$AF$9),6)))))</f>
        <v/>
      </c>
      <c r="BQ205" s="100" t="str">
        <f aca="false">IF($BH205&lt;&gt;Constants!$B$4,"",IF(NOT($AJ205),0,Constants!$B$24*INT(ROUND(MIN($AZ205,$AF$9),6))))</f>
        <v/>
      </c>
      <c r="BR205" s="100" t="str">
        <f aca="false">IF($BH205&lt;&gt;Constants!$B$4,"",IF(AND($AJ205,$BJ205=0),Constants!$B$25,0))</f>
        <v/>
      </c>
      <c r="BS205" s="100" t="str">
        <f aca="false">IF($BH205&lt;&gt;Constants!$B$4,"",MIN(Constants!$B$29,MAX(0,Constants!$B$27*Constants!$B$28*INT(ROUND((Constants!$B$26-$AL205)/Constants!$B$28,6))))+MIN(Constants!$B$29,MAX(0,Constants!$B$27*Constants!$B$28*INT(ROUND((Constants!$B$26-$AM205)/Constants!$B$28,6))))+MIN(Constants!$B$29,MAX(0,Constants!$B$27*Constants!$B$28*INT(ROUND((Constants!$B$26-$AN205)/Constants!$B$28,6)))))</f>
        <v/>
      </c>
      <c r="BT205" s="100" t="str">
        <f aca="false">IF($BH205&lt;&gt;Constants!$B$4,"",IF(NOT($AJ205),0,Constants!$B$31*INT(ROUND(MAX(0,MIN($BF205,2*$AF$9)-$AF$9),6))))</f>
        <v/>
      </c>
      <c r="BU205" s="100" t="str">
        <f aca="false">IF($BH205&lt;&gt;Constants!$B$4,"",Constants!$B$32*(($AL205&gt;Constants!$B$26)+($AM205&gt;Constants!$B$26)+($AN205&gt;Constants!$B$26)))</f>
        <v/>
      </c>
      <c r="BV205" s="100" t="str">
        <f aca="false">IF($BH205&lt;&gt;Constants!$B$4,"",IF(OR(NOT($AJ205),$AO205),0,Constants!$B$33))</f>
        <v/>
      </c>
      <c r="BW205" s="100" t="str">
        <f aca="false">IF($BH205&lt;&gt;Constants!$B$4,"",Constants!$B$34*$BJ205)</f>
        <v/>
      </c>
      <c r="BX205" s="100" t="str">
        <f aca="false">IF($BH205&lt;&gt;Constants!$B$4,"",IF(OR(NOT($AJ205),$BE205),0,Constants!$B$36))</f>
        <v/>
      </c>
      <c r="BY205" s="100" t="str">
        <f aca="false">IF($BH205&lt;&gt;Constants!$B$4,"",IF(OR(NOT($AJ205),$BD205),0,Constants!$B$37))</f>
        <v/>
      </c>
      <c r="BZ205" s="100" t="str">
        <f aca="false">IF($BH205&lt;&gt;Constants!$B$4,"",SUM($BT205:$BY205))</f>
        <v/>
      </c>
      <c r="CA205" s="100" t="str">
        <f aca="false">IF(ISBLANK($C205),"",IF($BH205&lt;&gt;Constants!$B$4,$BH205,SUM($BK205:$BS205)-$BZ205))</f>
        <v/>
      </c>
      <c r="CB205" s="100" t="str">
        <f aca="false">IF(ISBLANK($C205),"",IF($BH205&lt;&gt;Constants!$B$4,$BH205,RANK($CA205,$CA$9:$CA$508)))</f>
        <v/>
      </c>
      <c r="CC205" s="100" t="str">
        <f aca="false">IF(ISBLANK($C205),"",IF($BH205&lt;&gt;Constants!$B$4,$BH205,COUNTIFS($BI$9:$BI$508,"&lt;"&amp;$BI205)+COUNTIFS($BI$9:$BI$508,$BI205,$CB$9:$CB$508,"&lt;"&amp;$CB205)+1))</f>
        <v/>
      </c>
      <c r="CD205" s="100" t="str">
        <f aca="false">IF(ISBLANK($C205),"",IF($BH205&lt;&gt;Constants!$B$4,$BH205,RANK($BZ205,$BZ$9:$BZ$508,1)))</f>
        <v/>
      </c>
      <c r="CE205" s="100" t="str">
        <f aca="false">IF($BH205&lt;&gt;Constants!$B$4,"",$AL205+$AM205+$AN205)</f>
        <v/>
      </c>
      <c r="CF205" s="100" t="str">
        <f aca="false">IF(ISBLANK($C205),"",IF($BH205&lt;&gt;Constants!$B$4,$BH205,RANK($CE205,$CE$9:$CE$508,1)))</f>
        <v/>
      </c>
      <c r="CG205" s="100" t="str">
        <f aca="false">IF(ISBLANK($C205),"",IF($BH205&lt;&gt;Constants!$B$4,$BH205,COUNTIFS($BI$9:$BI$508,"&lt;"&amp;$BI205)+COUNTIFS($BI$9:$BI$508,$BI205,$CB$9:$CB$508,"&lt;"&amp;$CB205)+COUNTIFS($BI$9:$BI$508,$BI205,$CB$9:$CB$508,$CB205,$CD$9:$CD$508,"&lt;"&amp;$CD205)+COUNTIFS($BI$9:$BI$508,$BI205,$CB$9:$CB$508,$CB205,$CD$9:$CD$508,$CD205,$CF$9:$CF$508,"&lt;"&amp;$CF205)+1))</f>
        <v/>
      </c>
      <c r="CH205" s="100" t="str">
        <f aca="false">IF(ISBLANK($C205),"",IF($BH205&lt;&gt;Constants!$B$4,$BH205,$CC205-$CG205))</f>
        <v/>
      </c>
      <c r="CI205" s="100" t="str">
        <f aca="false">IF(ISBLANK($C205),"",IF(NOT($AJ205),"",IF(ISBLANK($D$7),$CI$5,IF(NOT(ISNUMBER($D$7)),$CI$6,""))))</f>
        <v/>
      </c>
      <c r="CJ205" s="100" t="str">
        <f aca="false">IF(ISBLANK($C205),"",OR($AL205="",$AM205="",$AN205=""))</f>
        <v/>
      </c>
      <c r="CK205" s="100" t="str">
        <f aca="false">IF(ISBLANK($C205),"",AND($AJ205,$AX205=""))</f>
        <v/>
      </c>
      <c r="CL205" s="100" t="str">
        <f aca="false">IF(ISBLANK($C205),"",AND($AJ205,$AY205=""))</f>
        <v/>
      </c>
      <c r="CM205" s="100" t="str">
        <f aca="false">IF(ISBLANK($C205),"",AND($AJ205,$AZ205=""))</f>
        <v/>
      </c>
      <c r="CN205" s="100" t="str">
        <f aca="false">IF(ISBLANK($C205),"",AND($AJ205,$BC205=""))</f>
        <v/>
      </c>
      <c r="CO205" s="100" t="str">
        <f aca="false">IF(ISBLANK($C205),"",AND($AJ205,$BF205=""))</f>
        <v/>
      </c>
      <c r="CP205" s="101"/>
      <c r="CQ205" s="102"/>
      <c r="CR205" s="103" t="str">
        <f aca="false">IF(ISBLANK($C205),"",IF($BH205=Constants!$B$8,$CI205,""))</f>
        <v/>
      </c>
      <c r="CS205" s="102" t="str">
        <f aca="false">IF(ISBLANK($C205),"",IF($BH205&lt;&gt;Constants!$B$4,"",$BK205+$BL205))</f>
        <v/>
      </c>
      <c r="CT205" s="104" t="str">
        <f aca="false">IF(ISBLANK($C205),"",IF($BH205&lt;&gt;Constants!$B$4,"",$BM205+$BN205+$BO205))</f>
        <v/>
      </c>
      <c r="CU205" s="104" t="str">
        <f aca="false">IF(ISBLANK($C205),"",IF($BH205&lt;&gt;Constants!$B$4,"",$BP205))</f>
        <v/>
      </c>
      <c r="CV205" s="104" t="str">
        <f aca="false">IF(ISBLANK($C205),"",IF($BH205&lt;&gt;Constants!$B$4,"",$BQ205+$BR205))</f>
        <v/>
      </c>
      <c r="CW205" s="104" t="str">
        <f aca="false">IF(ISBLANK($C205),"",IF($BH205&lt;&gt;Constants!$B$4,"",$BS205))</f>
        <v/>
      </c>
      <c r="CX205" s="104" t="str">
        <f aca="false">IF(ISBLANK($C205),"",IF($BH205&lt;&gt;Constants!$B$4,"",-$BZ205))</f>
        <v/>
      </c>
      <c r="CY205" s="103" t="str">
        <f aca="false">IF(ISBLANK($C205),"",$CA205)</f>
        <v/>
      </c>
      <c r="CZ205" s="105" t="str">
        <f aca="false">IF(ISBLANK($C205),"",$BI205)</f>
        <v/>
      </c>
      <c r="DA205" s="104" t="str">
        <f aca="false">IF(ISBLANK($C205),"",$CH205)</f>
        <v/>
      </c>
      <c r="DB205" s="104" t="str">
        <f aca="false">IF(ISBLANK($C205),"",$CG205)</f>
        <v/>
      </c>
      <c r="DC205" s="106" t="str">
        <f aca="false">IF(ISBLANK($C205),"",IFERROR(_xlfn.SWITCH($DB205,Constants!$B$7,COUNTA($C$9:$C$508)+2,Constants!$B$6,COUNTA($C$9:$C$508)+1,Constants!$B$5,COUNTA($C$9:$C$508)),$DB205))</f>
        <v/>
      </c>
      <c r="DD205" s="7"/>
      <c r="DE205" s="107" t="n">
        <f aca="false">IF(OR(ISNUMBER($DB205),$DB205=Constants!$B$7,$DB205=Constants!$B$5,$DB205=Constants!$B$6),1,0)</f>
        <v>0</v>
      </c>
      <c r="DF205" s="107" t="n">
        <v>197</v>
      </c>
      <c r="DG205" s="107" t="str">
        <f aca="false">IF(ISBLANK($C205),"",IF(ISNUMBER($DC205),$DC205+ROW($B205)/1000,""))</f>
        <v/>
      </c>
      <c r="DH205" s="107" t="str">
        <f aca="false">IF(ISNUMBER($DG205),RANK($DG205,$DG$9:$DG$508,1),"")</f>
        <v/>
      </c>
      <c r="DI205" s="107" t="str">
        <f aca="false">IF(ISBLANK($C205),"",$B205)</f>
        <v/>
      </c>
      <c r="DJ205" s="107" t="str">
        <f aca="false">IF(ISBLANK($C205),"",$C205)</f>
        <v/>
      </c>
      <c r="DK205" s="107" t="str">
        <f aca="false">IF(ISBLANK($C205),"",$D205)</f>
        <v/>
      </c>
      <c r="DL205" s="108" t="str">
        <f aca="false">$CZ205</f>
        <v/>
      </c>
      <c r="DM205" s="109" t="str">
        <f aca="false">$CY205</f>
        <v/>
      </c>
      <c r="DN205" s="107" t="str">
        <f aca="false">IF(ISBLANK($C205),"",$DB205)</f>
        <v/>
      </c>
      <c r="DO205" s="110" t="str">
        <f aca="false">IF($DF205&gt;$DE$8,"",VLOOKUP($DF205,$DH$9:$DN$508,7,FALSE()))</f>
        <v/>
      </c>
      <c r="DP205" s="111" t="str">
        <f aca="false">IF($DF205&gt;$DE$8,"",VLOOKUP($DF205,$DH$9:$DN$508,2,FALSE()))</f>
        <v/>
      </c>
      <c r="DQ205" s="111" t="str">
        <f aca="false">IF($DF205&gt;$DE$8,"",VLOOKUP($DF205,$DH$9:$DN$508,3,FALSE()))</f>
        <v/>
      </c>
      <c r="DR205" s="111" t="str">
        <f aca="false">IF($DF205&gt;$DE$8,"",VLOOKUP($DF205,$DH$9:$DN$508,4,FALSE()))</f>
        <v/>
      </c>
      <c r="DS205" s="111" t="str">
        <f aca="false">IF($DF205&gt;$DE$8,"",VLOOKUP($DF205,$DH$9:$DN$508,5,FALSE()))</f>
        <v/>
      </c>
      <c r="DT205" s="112" t="str">
        <f aca="false">IF($DF205&gt;$DE$8,"",VLOOKUP($DF205,$DH$9:$DN$508,6,FALSE()))</f>
        <v/>
      </c>
      <c r="DU205" s="62"/>
    </row>
    <row r="206" customFormat="false" ht="15.75" hidden="false" customHeight="false" outlineLevel="0" collapsed="false">
      <c r="A206" s="7"/>
      <c r="B206" s="90"/>
      <c r="C206" s="91"/>
      <c r="D206" s="126"/>
      <c r="E206" s="130"/>
      <c r="F206" s="135"/>
      <c r="G206" s="130"/>
      <c r="H206" s="135"/>
      <c r="I206" s="131"/>
      <c r="J206" s="131"/>
      <c r="K206" s="131"/>
      <c r="L206" s="130"/>
      <c r="M206" s="130"/>
      <c r="N206" s="130"/>
      <c r="O206" s="135"/>
      <c r="P206" s="130"/>
      <c r="Q206" s="130"/>
      <c r="R206" s="130"/>
      <c r="S206" s="130"/>
      <c r="T206" s="135"/>
      <c r="U206" s="130"/>
      <c r="V206" s="96"/>
      <c r="W206" s="130"/>
      <c r="X206" s="130"/>
      <c r="Y206" s="96"/>
      <c r="Z206" s="96"/>
      <c r="AA206" s="130"/>
      <c r="AB206" s="130"/>
      <c r="AC206" s="97"/>
      <c r="AD206" s="130"/>
      <c r="AE206" s="99"/>
      <c r="AF206" s="100"/>
      <c r="AG206" s="100"/>
      <c r="AH206" s="100" t="str">
        <f aca="false">IF(ISBLANK($C206),"",IF($E206=Constants!$B$2,TRUE(),IF($E206=Constants!$B$3,FALSE(),TRUE())))</f>
        <v/>
      </c>
      <c r="AI206" s="100" t="str">
        <f aca="false">IF(ISBLANK($C206),"",IF($F206=Constants!$B$2,TRUE(),IF($F206=Constants!$B$3,FALSE(),FALSE())))</f>
        <v/>
      </c>
      <c r="AJ206" s="100" t="str">
        <f aca="false">IF(ISBLANK($C206),"",IF($G206=Constants!$B$2,TRUE(),IF($G206=Constants!$B$3,FALSE(),TRUE())))</f>
        <v/>
      </c>
      <c r="AK206" s="100" t="str">
        <f aca="false">IF(ISBLANK($C206),"",IF($H206=Constants!$B$2,TRUE(),IF($H206=Constants!$B$3,FALSE(),TRUE())))</f>
        <v/>
      </c>
      <c r="AL206" s="100" t="str">
        <f aca="false">IF(ISBLANK($C206),"",IF(ISNUMBER($I206),IF($I206&gt;=0,$I206,""),""))</f>
        <v/>
      </c>
      <c r="AM206" s="100" t="str">
        <f aca="false">IF(ISBLANK($C206),"",IF(ISNUMBER($J206),IF($J206&gt;=0,$J206,""),""))</f>
        <v/>
      </c>
      <c r="AN206" s="100" t="str">
        <f aca="false">IF(ISBLANK($C206),"",IF(ISNUMBER($K206),IF($K206&gt;=0,$K206,""),""))</f>
        <v/>
      </c>
      <c r="AO206" s="100" t="str">
        <f aca="false">IF(ISBLANK($C206),"",IF($L206=Constants!$B$2,TRUE(),IF($L206=Constants!$B$3,FALSE(),TRUE())))</f>
        <v/>
      </c>
      <c r="AP206" s="100" t="str">
        <f aca="false">IF(ISBLANK($C206),"",IF($M206=Constants!$B$2,TRUE(),IF($M206=Constants!$B$3,FALSE(),TRUE())))</f>
        <v/>
      </c>
      <c r="AQ206" s="100" t="str">
        <f aca="false">IF(ISBLANK($C206),"",IF($N206=Constants!$B$2,TRUE(),IF($N206=Constants!$B$3,FALSE(),FALSE())))</f>
        <v/>
      </c>
      <c r="AR206" s="100" t="str">
        <f aca="false">IF(ISBLANK($C206),"",IF($O206=Constants!$B$2,TRUE(),IF($O206=Constants!$B$3,FALSE(),TRUE())))</f>
        <v/>
      </c>
      <c r="AS206" s="100" t="str">
        <f aca="false">IF(ISBLANK($C206),"",IF($P206=Constants!$B$2,TRUE(),IF($P206=Constants!$B$3,FALSE(),FALSE())))</f>
        <v/>
      </c>
      <c r="AT206" s="100" t="str">
        <f aca="false">IF(ISBLANK($C206),"",IF($Q206=Constants!$B$2,TRUE(),IF($Q206=Constants!$B$3,FALSE(),FALSE())))</f>
        <v/>
      </c>
      <c r="AU206" s="100" t="str">
        <f aca="false">IF(ISBLANK($C206),"",IF($R206=Constants!$B$2,TRUE(),IF($R206=Constants!$B$3,FALSE(),FALSE())))</f>
        <v/>
      </c>
      <c r="AV206" s="100" t="str">
        <f aca="false">IF(ISBLANK($C206),"",IF($S206=Constants!$B$2,TRUE(),IF($S206=Constants!$B$3,FALSE(),FALSE())))</f>
        <v/>
      </c>
      <c r="AW206" s="100" t="str">
        <f aca="false">IF(ISBLANK($C206),"",IF($T206=Constants!$B$2,TRUE(),IF($T206=Constants!$B$3,FALSE(),FALSE())))</f>
        <v/>
      </c>
      <c r="AX206" s="100" t="str">
        <f aca="false">IF(ISBLANK($C206),"",IF(OR($U206&amp;""="1",$U206&amp;""="2",$U206&amp;""="3",$U206&amp;""="4"),VALUE($U206&amp;""),IF($U206=Constants!$B$12,Constants!$B$12,"")))</f>
        <v/>
      </c>
      <c r="AY206" s="100" t="str">
        <f aca="false">IF(ISBLANK($C206),"",IF(ISBLANK($V206),0,IF(ISNUMBER($V206),IF(AND($V206&gt;=0,$V206&lt;=Constants!$B$21,$V206=INT($V206)),$V206,""),"")))</f>
        <v/>
      </c>
      <c r="AZ206" s="100" t="str">
        <f aca="false">IF(ISBLANK($C206),"",IF(ISBLANK($W206),0,IF(ISNUMBER($W206),IF($W206&gt;=0,$W206,""),"")))</f>
        <v/>
      </c>
      <c r="BA206" s="100" t="str">
        <f aca="false">IF(ISBLANK($C206),"",IF($X206=Constants!$B$2,TRUE(),IF($X206=Constants!$B$3,FALSE(),TRUE())))</f>
        <v/>
      </c>
      <c r="BB206" s="100" t="str">
        <f aca="false">IF(ISBLANK($C206),"",IF($Y206=Constants!$B$2,TRUE(),IF($Y206=Constants!$B$3,FALSE(),FALSE())))</f>
        <v/>
      </c>
      <c r="BC206" s="100" t="str">
        <f aca="false">IF(ISBLANK($C206),"",IF(ISBLANK($Z206),0,IF(ISNUMBER($Z206),IF(AND($Z206&gt;=0,$Z206&lt;=Constants!$B$35,$Z206=INT($Z206)),$Z206,""),"")))</f>
        <v/>
      </c>
      <c r="BD206" s="100" t="str">
        <f aca="false">IF(ISBLANK($C206),"",IF($AA206=Constants!$B$2,TRUE(),IF($AA206=Constants!$B$3,FALSE(),TRUE())))</f>
        <v/>
      </c>
      <c r="BE206" s="100" t="str">
        <f aca="false">IF(ISBLANK($C206),"",IF($AB206=Constants!$B$2,TRUE(),IF($AB206=Constants!$B$3,FALSE(),TRUE())))</f>
        <v/>
      </c>
      <c r="BF206" s="100" t="str">
        <f aca="false">IF(ISBLANK($C206),"",IF(ISNUMBER($AC206),IF($AC206&gt;=0,$AC206,""),""))</f>
        <v/>
      </c>
      <c r="BG206" s="100" t="str">
        <f aca="false">IF(ISBLANK($C206),"",IF($AD206=Constants!$B$2,TRUE(),IF($AD206=Constants!$B$3,FALSE(),FALSE())))</f>
        <v/>
      </c>
      <c r="BH206" s="99" t="str">
        <f aca="false">IF(ISBLANK($C206),"",IF($BG206,Constants!$B$7,IF(COUNTA($E206:$AC206)=0,Constants!$B$6,IF(OR(COUNTA($G206:$AC206)=0,NOT($AK206),$AQ206),Constants!$B$5,IF(OR($CI206&lt;&gt;"",$CJ206,$CK206,$CL206,$CM206,$CN206,$CO206),Constants!$B$8,Constants!$B$4)))))</f>
        <v/>
      </c>
      <c r="BI206" s="100" t="str">
        <f aca="false">IF(ISBLANK($C206),"",IF($BH206&lt;&gt;Constants!$B$4,$BH206,IF(OR(NOT($AH206),NOT($AJ206),NOT($AR206)),Constants!$B$11,IF(OR(NOT($AP206),MAX($AL206,$AM206,$AN206)&gt;Constants!$B$30),Constants!$B$10,Constants!$B$9))))</f>
        <v/>
      </c>
      <c r="BJ206" s="100" t="str">
        <f aca="false">IF($BH206&lt;&gt;Constants!$B$4,"",IF(NOT($AJ206),0,MIN(Constants!$B$35,$BC206)))</f>
        <v/>
      </c>
      <c r="BK206" s="100" t="str">
        <f aca="false">IF($BH206&lt;&gt;Constants!$B$4,"",IF(NOT($AJ206),0,IF($AT206,Constants!$B$18,IF($AS206,Constants!$B$17,0))))</f>
        <v/>
      </c>
      <c r="BL206" s="100" t="str">
        <f aca="false">IF($BH206&lt;&gt;Constants!$B$4,"",IF(NOT($AJ206),0,Constants!$B$19*($AI206+$AU206+$AV206+$AW206)))</f>
        <v/>
      </c>
      <c r="BM206" s="100" t="str">
        <f aca="false">IF($BH206&lt;&gt;Constants!$B$4,"",IF(OR(NOT($AJ206),NOT(ISNUMBER($AX206))),0,CHOOSE($AX206,Constants!$B$13,Constants!$B$14,Constants!$B$15,Constants!$B$16)))</f>
        <v/>
      </c>
      <c r="BN206" s="100" t="str">
        <f aca="false">IF($BH206&lt;&gt;Constants!$B$4,"",IF(NOT($AJ206),0,Constants!$B$20*$AY206))</f>
        <v/>
      </c>
      <c r="BO206" s="100" t="str">
        <f aca="false">IF($BH206&lt;&gt;Constants!$B$4,"",IF(AND($AJ206,$BA206,$BB206),Constants!$B$22,0))</f>
        <v/>
      </c>
      <c r="BP206" s="100" t="str">
        <f aca="false">IF($BH206&lt;&gt;Constants!$B$4,"",IF(OR(NOT($AJ206),NOT($BA206)),0,IF($BF206&gt;=2*$AF$9,0,Constants!$B$23*INT(ROUND(MIN($BF206,$AF$9),6)))))</f>
        <v/>
      </c>
      <c r="BQ206" s="100" t="str">
        <f aca="false">IF($BH206&lt;&gt;Constants!$B$4,"",IF(NOT($AJ206),0,Constants!$B$24*INT(ROUND(MIN($AZ206,$AF$9),6))))</f>
        <v/>
      </c>
      <c r="BR206" s="100" t="str">
        <f aca="false">IF($BH206&lt;&gt;Constants!$B$4,"",IF(AND($AJ206,$BJ206=0),Constants!$B$25,0))</f>
        <v/>
      </c>
      <c r="BS206" s="100" t="str">
        <f aca="false">IF($BH206&lt;&gt;Constants!$B$4,"",MIN(Constants!$B$29,MAX(0,Constants!$B$27*Constants!$B$28*INT(ROUND((Constants!$B$26-$AL206)/Constants!$B$28,6))))+MIN(Constants!$B$29,MAX(0,Constants!$B$27*Constants!$B$28*INT(ROUND((Constants!$B$26-$AM206)/Constants!$B$28,6))))+MIN(Constants!$B$29,MAX(0,Constants!$B$27*Constants!$B$28*INT(ROUND((Constants!$B$26-$AN206)/Constants!$B$28,6)))))</f>
        <v/>
      </c>
      <c r="BT206" s="100" t="str">
        <f aca="false">IF($BH206&lt;&gt;Constants!$B$4,"",IF(NOT($AJ206),0,Constants!$B$31*INT(ROUND(MAX(0,MIN($BF206,2*$AF$9)-$AF$9),6))))</f>
        <v/>
      </c>
      <c r="BU206" s="100" t="str">
        <f aca="false">IF($BH206&lt;&gt;Constants!$B$4,"",Constants!$B$32*(($AL206&gt;Constants!$B$26)+($AM206&gt;Constants!$B$26)+($AN206&gt;Constants!$B$26)))</f>
        <v/>
      </c>
      <c r="BV206" s="100" t="str">
        <f aca="false">IF($BH206&lt;&gt;Constants!$B$4,"",IF(OR(NOT($AJ206),$AO206),0,Constants!$B$33))</f>
        <v/>
      </c>
      <c r="BW206" s="100" t="str">
        <f aca="false">IF($BH206&lt;&gt;Constants!$B$4,"",Constants!$B$34*$BJ206)</f>
        <v/>
      </c>
      <c r="BX206" s="100" t="str">
        <f aca="false">IF($BH206&lt;&gt;Constants!$B$4,"",IF(OR(NOT($AJ206),$BE206),0,Constants!$B$36))</f>
        <v/>
      </c>
      <c r="BY206" s="100" t="str">
        <f aca="false">IF($BH206&lt;&gt;Constants!$B$4,"",IF(OR(NOT($AJ206),$BD206),0,Constants!$B$37))</f>
        <v/>
      </c>
      <c r="BZ206" s="100" t="str">
        <f aca="false">IF($BH206&lt;&gt;Constants!$B$4,"",SUM($BT206:$BY206))</f>
        <v/>
      </c>
      <c r="CA206" s="100" t="str">
        <f aca="false">IF(ISBLANK($C206),"",IF($BH206&lt;&gt;Constants!$B$4,$BH206,SUM($BK206:$BS206)-$BZ206))</f>
        <v/>
      </c>
      <c r="CB206" s="100" t="str">
        <f aca="false">IF(ISBLANK($C206),"",IF($BH206&lt;&gt;Constants!$B$4,$BH206,RANK($CA206,$CA$9:$CA$508)))</f>
        <v/>
      </c>
      <c r="CC206" s="100" t="str">
        <f aca="false">IF(ISBLANK($C206),"",IF($BH206&lt;&gt;Constants!$B$4,$BH206,COUNTIFS($BI$9:$BI$508,"&lt;"&amp;$BI206)+COUNTIFS($BI$9:$BI$508,$BI206,$CB$9:$CB$508,"&lt;"&amp;$CB206)+1))</f>
        <v/>
      </c>
      <c r="CD206" s="100" t="str">
        <f aca="false">IF(ISBLANK($C206),"",IF($BH206&lt;&gt;Constants!$B$4,$BH206,RANK($BZ206,$BZ$9:$BZ$508,1)))</f>
        <v/>
      </c>
      <c r="CE206" s="100" t="str">
        <f aca="false">IF($BH206&lt;&gt;Constants!$B$4,"",$AL206+$AM206+$AN206)</f>
        <v/>
      </c>
      <c r="CF206" s="100" t="str">
        <f aca="false">IF(ISBLANK($C206),"",IF($BH206&lt;&gt;Constants!$B$4,$BH206,RANK($CE206,$CE$9:$CE$508,1)))</f>
        <v/>
      </c>
      <c r="CG206" s="100" t="str">
        <f aca="false">IF(ISBLANK($C206),"",IF($BH206&lt;&gt;Constants!$B$4,$BH206,COUNTIFS($BI$9:$BI$508,"&lt;"&amp;$BI206)+COUNTIFS($BI$9:$BI$508,$BI206,$CB$9:$CB$508,"&lt;"&amp;$CB206)+COUNTIFS($BI$9:$BI$508,$BI206,$CB$9:$CB$508,$CB206,$CD$9:$CD$508,"&lt;"&amp;$CD206)+COUNTIFS($BI$9:$BI$508,$BI206,$CB$9:$CB$508,$CB206,$CD$9:$CD$508,$CD206,$CF$9:$CF$508,"&lt;"&amp;$CF206)+1))</f>
        <v/>
      </c>
      <c r="CH206" s="100" t="str">
        <f aca="false">IF(ISBLANK($C206),"",IF($BH206&lt;&gt;Constants!$B$4,$BH206,$CC206-$CG206))</f>
        <v/>
      </c>
      <c r="CI206" s="100" t="str">
        <f aca="false">IF(ISBLANK($C206),"",IF(NOT($AJ206),"",IF(ISBLANK($D$7),$CI$5,IF(NOT(ISNUMBER($D$7)),$CI$6,""))))</f>
        <v/>
      </c>
      <c r="CJ206" s="100" t="str">
        <f aca="false">IF(ISBLANK($C206),"",OR($AL206="",$AM206="",$AN206=""))</f>
        <v/>
      </c>
      <c r="CK206" s="100" t="str">
        <f aca="false">IF(ISBLANK($C206),"",AND($AJ206,$AX206=""))</f>
        <v/>
      </c>
      <c r="CL206" s="100" t="str">
        <f aca="false">IF(ISBLANK($C206),"",AND($AJ206,$AY206=""))</f>
        <v/>
      </c>
      <c r="CM206" s="100" t="str">
        <f aca="false">IF(ISBLANK($C206),"",AND($AJ206,$AZ206=""))</f>
        <v/>
      </c>
      <c r="CN206" s="100" t="str">
        <f aca="false">IF(ISBLANK($C206),"",AND($AJ206,$BC206=""))</f>
        <v/>
      </c>
      <c r="CO206" s="100" t="str">
        <f aca="false">IF(ISBLANK($C206),"",AND($AJ206,$BF206=""))</f>
        <v/>
      </c>
      <c r="CP206" s="101"/>
      <c r="CQ206" s="102"/>
      <c r="CR206" s="103" t="str">
        <f aca="false">IF(ISBLANK($C206),"",IF($BH206=Constants!$B$8,$CI206,""))</f>
        <v/>
      </c>
      <c r="CS206" s="102" t="str">
        <f aca="false">IF(ISBLANK($C206),"",IF($BH206&lt;&gt;Constants!$B$4,"",$BK206+$BL206))</f>
        <v/>
      </c>
      <c r="CT206" s="104" t="str">
        <f aca="false">IF(ISBLANK($C206),"",IF($BH206&lt;&gt;Constants!$B$4,"",$BM206+$BN206+$BO206))</f>
        <v/>
      </c>
      <c r="CU206" s="104" t="str">
        <f aca="false">IF(ISBLANK($C206),"",IF($BH206&lt;&gt;Constants!$B$4,"",$BP206))</f>
        <v/>
      </c>
      <c r="CV206" s="104" t="str">
        <f aca="false">IF(ISBLANK($C206),"",IF($BH206&lt;&gt;Constants!$B$4,"",$BQ206+$BR206))</f>
        <v/>
      </c>
      <c r="CW206" s="104" t="str">
        <f aca="false">IF(ISBLANK($C206),"",IF($BH206&lt;&gt;Constants!$B$4,"",$BS206))</f>
        <v/>
      </c>
      <c r="CX206" s="104" t="str">
        <f aca="false">IF(ISBLANK($C206),"",IF($BH206&lt;&gt;Constants!$B$4,"",-$BZ206))</f>
        <v/>
      </c>
      <c r="CY206" s="103" t="str">
        <f aca="false">IF(ISBLANK($C206),"",$CA206)</f>
        <v/>
      </c>
      <c r="CZ206" s="105" t="str">
        <f aca="false">IF(ISBLANK($C206),"",$BI206)</f>
        <v/>
      </c>
      <c r="DA206" s="104" t="str">
        <f aca="false">IF(ISBLANK($C206),"",$CH206)</f>
        <v/>
      </c>
      <c r="DB206" s="104" t="str">
        <f aca="false">IF(ISBLANK($C206),"",$CG206)</f>
        <v/>
      </c>
      <c r="DC206" s="106" t="str">
        <f aca="false">IF(ISBLANK($C206),"",IFERROR(_xlfn.SWITCH($DB206,Constants!$B$7,COUNTA($C$9:$C$508)+2,Constants!$B$6,COUNTA($C$9:$C$508)+1,Constants!$B$5,COUNTA($C$9:$C$508)),$DB206))</f>
        <v/>
      </c>
      <c r="DD206" s="7"/>
      <c r="DE206" s="107" t="n">
        <f aca="false">IF(OR(ISNUMBER($DB206),$DB206=Constants!$B$7,$DB206=Constants!$B$5,$DB206=Constants!$B$6),1,0)</f>
        <v>0</v>
      </c>
      <c r="DF206" s="107" t="n">
        <v>198</v>
      </c>
      <c r="DG206" s="107" t="str">
        <f aca="false">IF(ISBLANK($C206),"",IF(ISNUMBER($DC206),$DC206+ROW($B206)/1000,""))</f>
        <v/>
      </c>
      <c r="DH206" s="107" t="str">
        <f aca="false">IF(ISNUMBER($DG206),RANK($DG206,$DG$9:$DG$508,1),"")</f>
        <v/>
      </c>
      <c r="DI206" s="107" t="str">
        <f aca="false">IF(ISBLANK($C206),"",$B206)</f>
        <v/>
      </c>
      <c r="DJ206" s="107" t="str">
        <f aca="false">IF(ISBLANK($C206),"",$C206)</f>
        <v/>
      </c>
      <c r="DK206" s="107" t="str">
        <f aca="false">IF(ISBLANK($C206),"",$D206)</f>
        <v/>
      </c>
      <c r="DL206" s="108" t="str">
        <f aca="false">$CZ206</f>
        <v/>
      </c>
      <c r="DM206" s="109" t="str">
        <f aca="false">$CY206</f>
        <v/>
      </c>
      <c r="DN206" s="107" t="str">
        <f aca="false">IF(ISBLANK($C206),"",$DB206)</f>
        <v/>
      </c>
      <c r="DO206" s="110" t="str">
        <f aca="false">IF($DF206&gt;$DE$8,"",VLOOKUP($DF206,$DH$9:$DN$508,7,FALSE()))</f>
        <v/>
      </c>
      <c r="DP206" s="111" t="str">
        <f aca="false">IF($DF206&gt;$DE$8,"",VLOOKUP($DF206,$DH$9:$DN$508,2,FALSE()))</f>
        <v/>
      </c>
      <c r="DQ206" s="111" t="str">
        <f aca="false">IF($DF206&gt;$DE$8,"",VLOOKUP($DF206,$DH$9:$DN$508,3,FALSE()))</f>
        <v/>
      </c>
      <c r="DR206" s="111" t="str">
        <f aca="false">IF($DF206&gt;$DE$8,"",VLOOKUP($DF206,$DH$9:$DN$508,4,FALSE()))</f>
        <v/>
      </c>
      <c r="DS206" s="111" t="str">
        <f aca="false">IF($DF206&gt;$DE$8,"",VLOOKUP($DF206,$DH$9:$DN$508,5,FALSE()))</f>
        <v/>
      </c>
      <c r="DT206" s="112" t="str">
        <f aca="false">IF($DF206&gt;$DE$8,"",VLOOKUP($DF206,$DH$9:$DN$508,6,FALSE()))</f>
        <v/>
      </c>
      <c r="DU206" s="62"/>
    </row>
    <row r="207" customFormat="false" ht="15.75" hidden="false" customHeight="false" outlineLevel="0" collapsed="false">
      <c r="A207" s="7"/>
      <c r="B207" s="64"/>
      <c r="C207" s="65"/>
      <c r="D207" s="123"/>
      <c r="E207" s="88"/>
      <c r="F207" s="134"/>
      <c r="G207" s="88"/>
      <c r="H207" s="134"/>
      <c r="I207" s="119"/>
      <c r="J207" s="119"/>
      <c r="K207" s="119"/>
      <c r="L207" s="88"/>
      <c r="M207" s="88"/>
      <c r="N207" s="88"/>
      <c r="O207" s="134"/>
      <c r="P207" s="88"/>
      <c r="Q207" s="88"/>
      <c r="R207" s="88"/>
      <c r="S207" s="88"/>
      <c r="T207" s="134"/>
      <c r="U207" s="88"/>
      <c r="V207" s="70"/>
      <c r="W207" s="88"/>
      <c r="X207" s="88"/>
      <c r="Y207" s="70"/>
      <c r="Z207" s="70"/>
      <c r="AA207" s="88"/>
      <c r="AB207" s="88"/>
      <c r="AC207" s="71"/>
      <c r="AD207" s="88"/>
      <c r="AE207" s="73"/>
      <c r="AF207" s="74"/>
      <c r="AG207" s="74"/>
      <c r="AH207" s="74" t="str">
        <f aca="false">IF(ISBLANK($C207),"",IF($E207=Constants!$B$2,TRUE(),IF($E207=Constants!$B$3,FALSE(),TRUE())))</f>
        <v/>
      </c>
      <c r="AI207" s="74" t="str">
        <f aca="false">IF(ISBLANK($C207),"",IF($F207=Constants!$B$2,TRUE(),IF($F207=Constants!$B$3,FALSE(),FALSE())))</f>
        <v/>
      </c>
      <c r="AJ207" s="74" t="str">
        <f aca="false">IF(ISBLANK($C207),"",IF($G207=Constants!$B$2,TRUE(),IF($G207=Constants!$B$3,FALSE(),TRUE())))</f>
        <v/>
      </c>
      <c r="AK207" s="74" t="str">
        <f aca="false">IF(ISBLANK($C207),"",IF($H207=Constants!$B$2,TRUE(),IF($H207=Constants!$B$3,FALSE(),TRUE())))</f>
        <v/>
      </c>
      <c r="AL207" s="74" t="str">
        <f aca="false">IF(ISBLANK($C207),"",IF(ISNUMBER($I207),IF($I207&gt;=0,$I207,""),""))</f>
        <v/>
      </c>
      <c r="AM207" s="74" t="str">
        <f aca="false">IF(ISBLANK($C207),"",IF(ISNUMBER($J207),IF($J207&gt;=0,$J207,""),""))</f>
        <v/>
      </c>
      <c r="AN207" s="74" t="str">
        <f aca="false">IF(ISBLANK($C207),"",IF(ISNUMBER($K207),IF($K207&gt;=0,$K207,""),""))</f>
        <v/>
      </c>
      <c r="AO207" s="74" t="str">
        <f aca="false">IF(ISBLANK($C207),"",IF($L207=Constants!$B$2,TRUE(),IF($L207=Constants!$B$3,FALSE(),TRUE())))</f>
        <v/>
      </c>
      <c r="AP207" s="74" t="str">
        <f aca="false">IF(ISBLANK($C207),"",IF($M207=Constants!$B$2,TRUE(),IF($M207=Constants!$B$3,FALSE(),TRUE())))</f>
        <v/>
      </c>
      <c r="AQ207" s="74" t="str">
        <f aca="false">IF(ISBLANK($C207),"",IF($N207=Constants!$B$2,TRUE(),IF($N207=Constants!$B$3,FALSE(),FALSE())))</f>
        <v/>
      </c>
      <c r="AR207" s="74" t="str">
        <f aca="false">IF(ISBLANK($C207),"",IF($O207=Constants!$B$2,TRUE(),IF($O207=Constants!$B$3,FALSE(),TRUE())))</f>
        <v/>
      </c>
      <c r="AS207" s="74" t="str">
        <f aca="false">IF(ISBLANK($C207),"",IF($P207=Constants!$B$2,TRUE(),IF($P207=Constants!$B$3,FALSE(),FALSE())))</f>
        <v/>
      </c>
      <c r="AT207" s="74" t="str">
        <f aca="false">IF(ISBLANK($C207),"",IF($Q207=Constants!$B$2,TRUE(),IF($Q207=Constants!$B$3,FALSE(),FALSE())))</f>
        <v/>
      </c>
      <c r="AU207" s="74" t="str">
        <f aca="false">IF(ISBLANK($C207),"",IF($R207=Constants!$B$2,TRUE(),IF($R207=Constants!$B$3,FALSE(),FALSE())))</f>
        <v/>
      </c>
      <c r="AV207" s="74" t="str">
        <f aca="false">IF(ISBLANK($C207),"",IF($S207=Constants!$B$2,TRUE(),IF($S207=Constants!$B$3,FALSE(),FALSE())))</f>
        <v/>
      </c>
      <c r="AW207" s="74" t="str">
        <f aca="false">IF(ISBLANK($C207),"",IF($T207=Constants!$B$2,TRUE(),IF($T207=Constants!$B$3,FALSE(),FALSE())))</f>
        <v/>
      </c>
      <c r="AX207" s="74" t="str">
        <f aca="false">IF(ISBLANK($C207),"",IF(OR($U207&amp;""="1",$U207&amp;""="2",$U207&amp;""="3",$U207&amp;""="4"),VALUE($U207&amp;""),IF($U207=Constants!$B$12,Constants!$B$12,"")))</f>
        <v/>
      </c>
      <c r="AY207" s="74" t="str">
        <f aca="false">IF(ISBLANK($C207),"",IF(ISBLANK($V207),0,IF(ISNUMBER($V207),IF(AND($V207&gt;=0,$V207&lt;=Constants!$B$21,$V207=INT($V207)),$V207,""),"")))</f>
        <v/>
      </c>
      <c r="AZ207" s="74" t="str">
        <f aca="false">IF(ISBLANK($C207),"",IF(ISBLANK($W207),0,IF(ISNUMBER($W207),IF($W207&gt;=0,$W207,""),"")))</f>
        <v/>
      </c>
      <c r="BA207" s="74" t="str">
        <f aca="false">IF(ISBLANK($C207),"",IF($X207=Constants!$B$2,TRUE(),IF($X207=Constants!$B$3,FALSE(),TRUE())))</f>
        <v/>
      </c>
      <c r="BB207" s="74" t="str">
        <f aca="false">IF(ISBLANK($C207),"",IF($Y207=Constants!$B$2,TRUE(),IF($Y207=Constants!$B$3,FALSE(),FALSE())))</f>
        <v/>
      </c>
      <c r="BC207" s="74" t="str">
        <f aca="false">IF(ISBLANK($C207),"",IF(ISBLANK($Z207),0,IF(ISNUMBER($Z207),IF(AND($Z207&gt;=0,$Z207&lt;=Constants!$B$35,$Z207=INT($Z207)),$Z207,""),"")))</f>
        <v/>
      </c>
      <c r="BD207" s="74" t="str">
        <f aca="false">IF(ISBLANK($C207),"",IF($AA207=Constants!$B$2,TRUE(),IF($AA207=Constants!$B$3,FALSE(),TRUE())))</f>
        <v/>
      </c>
      <c r="BE207" s="74" t="str">
        <f aca="false">IF(ISBLANK($C207),"",IF($AB207=Constants!$B$2,TRUE(),IF($AB207=Constants!$B$3,FALSE(),TRUE())))</f>
        <v/>
      </c>
      <c r="BF207" s="74" t="str">
        <f aca="false">IF(ISBLANK($C207),"",IF(ISNUMBER($AC207),IF($AC207&gt;=0,$AC207,""),""))</f>
        <v/>
      </c>
      <c r="BG207" s="74" t="str">
        <f aca="false">IF(ISBLANK($C207),"",IF($AD207=Constants!$B$2,TRUE(),IF($AD207=Constants!$B$3,FALSE(),FALSE())))</f>
        <v/>
      </c>
      <c r="BH207" s="73" t="str">
        <f aca="false">IF(ISBLANK($C207),"",IF($BG207,Constants!$B$7,IF(COUNTA($E207:$AC207)=0,Constants!$B$6,IF(OR(COUNTA($G207:$AC207)=0,NOT($AK207),$AQ207),Constants!$B$5,IF(OR($CI207&lt;&gt;"",$CJ207,$CK207,$CL207,$CM207,$CN207,$CO207),Constants!$B$8,Constants!$B$4)))))</f>
        <v/>
      </c>
      <c r="BI207" s="74" t="str">
        <f aca="false">IF(ISBLANK($C207),"",IF($BH207&lt;&gt;Constants!$B$4,$BH207,IF(OR(NOT($AH207),NOT($AJ207),NOT($AR207)),Constants!$B$11,IF(OR(NOT($AP207),MAX($AL207,$AM207,$AN207)&gt;Constants!$B$30),Constants!$B$10,Constants!$B$9))))</f>
        <v/>
      </c>
      <c r="BJ207" s="74" t="str">
        <f aca="false">IF($BH207&lt;&gt;Constants!$B$4,"",IF(NOT($AJ207),0,MIN(Constants!$B$35,$BC207)))</f>
        <v/>
      </c>
      <c r="BK207" s="74" t="str">
        <f aca="false">IF($BH207&lt;&gt;Constants!$B$4,"",IF(NOT($AJ207),0,IF($AT207,Constants!$B$18,IF($AS207,Constants!$B$17,0))))</f>
        <v/>
      </c>
      <c r="BL207" s="74" t="str">
        <f aca="false">IF($BH207&lt;&gt;Constants!$B$4,"",IF(NOT($AJ207),0,Constants!$B$19*($AI207+$AU207+$AV207+$AW207)))</f>
        <v/>
      </c>
      <c r="BM207" s="74" t="str">
        <f aca="false">IF($BH207&lt;&gt;Constants!$B$4,"",IF(OR(NOT($AJ207),NOT(ISNUMBER($AX207))),0,CHOOSE($AX207,Constants!$B$13,Constants!$B$14,Constants!$B$15,Constants!$B$16)))</f>
        <v/>
      </c>
      <c r="BN207" s="74" t="str">
        <f aca="false">IF($BH207&lt;&gt;Constants!$B$4,"",IF(NOT($AJ207),0,Constants!$B$20*$AY207))</f>
        <v/>
      </c>
      <c r="BO207" s="74" t="str">
        <f aca="false">IF($BH207&lt;&gt;Constants!$B$4,"",IF(AND($AJ207,$BA207,$BB207),Constants!$B$22,0))</f>
        <v/>
      </c>
      <c r="BP207" s="74" t="str">
        <f aca="false">IF($BH207&lt;&gt;Constants!$B$4,"",IF(OR(NOT($AJ207),NOT($BA207)),0,IF($BF207&gt;=2*$AF$9,0,Constants!$B$23*INT(ROUND(MIN($BF207,$AF$9),6)))))</f>
        <v/>
      </c>
      <c r="BQ207" s="74" t="str">
        <f aca="false">IF($BH207&lt;&gt;Constants!$B$4,"",IF(NOT($AJ207),0,Constants!$B$24*INT(ROUND(MIN($AZ207,$AF$9),6))))</f>
        <v/>
      </c>
      <c r="BR207" s="74" t="str">
        <f aca="false">IF($BH207&lt;&gt;Constants!$B$4,"",IF(AND($AJ207,$BJ207=0),Constants!$B$25,0))</f>
        <v/>
      </c>
      <c r="BS207" s="74" t="str">
        <f aca="false">IF($BH207&lt;&gt;Constants!$B$4,"",MIN(Constants!$B$29,MAX(0,Constants!$B$27*Constants!$B$28*INT(ROUND((Constants!$B$26-$AL207)/Constants!$B$28,6))))+MIN(Constants!$B$29,MAX(0,Constants!$B$27*Constants!$B$28*INT(ROUND((Constants!$B$26-$AM207)/Constants!$B$28,6))))+MIN(Constants!$B$29,MAX(0,Constants!$B$27*Constants!$B$28*INT(ROUND((Constants!$B$26-$AN207)/Constants!$B$28,6)))))</f>
        <v/>
      </c>
      <c r="BT207" s="74" t="str">
        <f aca="false">IF($BH207&lt;&gt;Constants!$B$4,"",IF(NOT($AJ207),0,Constants!$B$31*INT(ROUND(MAX(0,MIN($BF207,2*$AF$9)-$AF$9),6))))</f>
        <v/>
      </c>
      <c r="BU207" s="74" t="str">
        <f aca="false">IF($BH207&lt;&gt;Constants!$B$4,"",Constants!$B$32*(($AL207&gt;Constants!$B$26)+($AM207&gt;Constants!$B$26)+($AN207&gt;Constants!$B$26)))</f>
        <v/>
      </c>
      <c r="BV207" s="74" t="str">
        <f aca="false">IF($BH207&lt;&gt;Constants!$B$4,"",IF(OR(NOT($AJ207),$AO207),0,Constants!$B$33))</f>
        <v/>
      </c>
      <c r="BW207" s="74" t="str">
        <f aca="false">IF($BH207&lt;&gt;Constants!$B$4,"",Constants!$B$34*$BJ207)</f>
        <v/>
      </c>
      <c r="BX207" s="74" t="str">
        <f aca="false">IF($BH207&lt;&gt;Constants!$B$4,"",IF(OR(NOT($AJ207),$BE207),0,Constants!$B$36))</f>
        <v/>
      </c>
      <c r="BY207" s="74" t="str">
        <f aca="false">IF($BH207&lt;&gt;Constants!$B$4,"",IF(OR(NOT($AJ207),$BD207),0,Constants!$B$37))</f>
        <v/>
      </c>
      <c r="BZ207" s="74" t="str">
        <f aca="false">IF($BH207&lt;&gt;Constants!$B$4,"",SUM($BT207:$BY207))</f>
        <v/>
      </c>
      <c r="CA207" s="74" t="str">
        <f aca="false">IF(ISBLANK($C207),"",IF($BH207&lt;&gt;Constants!$B$4,$BH207,SUM($BK207:$BS207)-$BZ207))</f>
        <v/>
      </c>
      <c r="CB207" s="74" t="str">
        <f aca="false">IF(ISBLANK($C207),"",IF($BH207&lt;&gt;Constants!$B$4,$BH207,RANK($CA207,$CA$9:$CA$508)))</f>
        <v/>
      </c>
      <c r="CC207" s="74" t="str">
        <f aca="false">IF(ISBLANK($C207),"",IF($BH207&lt;&gt;Constants!$B$4,$BH207,COUNTIFS($BI$9:$BI$508,"&lt;"&amp;$BI207)+COUNTIFS($BI$9:$BI$508,$BI207,$CB$9:$CB$508,"&lt;"&amp;$CB207)+1))</f>
        <v/>
      </c>
      <c r="CD207" s="74" t="str">
        <f aca="false">IF(ISBLANK($C207),"",IF($BH207&lt;&gt;Constants!$B$4,$BH207,RANK($BZ207,$BZ$9:$BZ$508,1)))</f>
        <v/>
      </c>
      <c r="CE207" s="74" t="str">
        <f aca="false">IF($BH207&lt;&gt;Constants!$B$4,"",$AL207+$AM207+$AN207)</f>
        <v/>
      </c>
      <c r="CF207" s="74" t="str">
        <f aca="false">IF(ISBLANK($C207),"",IF($BH207&lt;&gt;Constants!$B$4,$BH207,RANK($CE207,$CE$9:$CE$508,1)))</f>
        <v/>
      </c>
      <c r="CG207" s="74" t="str">
        <f aca="false">IF(ISBLANK($C207),"",IF($BH207&lt;&gt;Constants!$B$4,$BH207,COUNTIFS($BI$9:$BI$508,"&lt;"&amp;$BI207)+COUNTIFS($BI$9:$BI$508,$BI207,$CB$9:$CB$508,"&lt;"&amp;$CB207)+COUNTIFS($BI$9:$BI$508,$BI207,$CB$9:$CB$508,$CB207,$CD$9:$CD$508,"&lt;"&amp;$CD207)+COUNTIFS($BI$9:$BI$508,$BI207,$CB$9:$CB$508,$CB207,$CD$9:$CD$508,$CD207,$CF$9:$CF$508,"&lt;"&amp;$CF207)+1))</f>
        <v/>
      </c>
      <c r="CH207" s="74" t="str">
        <f aca="false">IF(ISBLANK($C207),"",IF($BH207&lt;&gt;Constants!$B$4,$BH207,$CC207-$CG207))</f>
        <v/>
      </c>
      <c r="CI207" s="74" t="str">
        <f aca="false">IF(ISBLANK($C207),"",IF(NOT($AJ207),"",IF(ISBLANK($D$7),$CI$5,IF(NOT(ISNUMBER($D$7)),$CI$6,""))))</f>
        <v/>
      </c>
      <c r="CJ207" s="74" t="str">
        <f aca="false">IF(ISBLANK($C207),"",OR($AL207="",$AM207="",$AN207=""))</f>
        <v/>
      </c>
      <c r="CK207" s="74" t="str">
        <f aca="false">IF(ISBLANK($C207),"",AND($AJ207,$AX207=""))</f>
        <v/>
      </c>
      <c r="CL207" s="74" t="str">
        <f aca="false">IF(ISBLANK($C207),"",AND($AJ207,$AY207=""))</f>
        <v/>
      </c>
      <c r="CM207" s="74" t="str">
        <f aca="false">IF(ISBLANK($C207),"",AND($AJ207,$AZ207=""))</f>
        <v/>
      </c>
      <c r="CN207" s="74" t="str">
        <f aca="false">IF(ISBLANK($C207),"",AND($AJ207,$BC207=""))</f>
        <v/>
      </c>
      <c r="CO207" s="74" t="str">
        <f aca="false">IF(ISBLANK($C207),"",AND($AJ207,$BF207=""))</f>
        <v/>
      </c>
      <c r="CP207" s="75"/>
      <c r="CQ207" s="76"/>
      <c r="CR207" s="79" t="str">
        <f aca="false">IF(ISBLANK($C207),"",IF($BH207=Constants!$B$8,$CI207,""))</f>
        <v/>
      </c>
      <c r="CS207" s="76" t="str">
        <f aca="false">IF(ISBLANK($C207),"",IF($BH207&lt;&gt;Constants!$B$4,"",$BK207+$BL207))</f>
        <v/>
      </c>
      <c r="CT207" s="78" t="str">
        <f aca="false">IF(ISBLANK($C207),"",IF($BH207&lt;&gt;Constants!$B$4,"",$BM207+$BN207+$BO207))</f>
        <v/>
      </c>
      <c r="CU207" s="78" t="str">
        <f aca="false">IF(ISBLANK($C207),"",IF($BH207&lt;&gt;Constants!$B$4,"",$BP207))</f>
        <v/>
      </c>
      <c r="CV207" s="78" t="str">
        <f aca="false">IF(ISBLANK($C207),"",IF($BH207&lt;&gt;Constants!$B$4,"",$BQ207+$BR207))</f>
        <v/>
      </c>
      <c r="CW207" s="78" t="str">
        <f aca="false">IF(ISBLANK($C207),"",IF($BH207&lt;&gt;Constants!$B$4,"",$BS207))</f>
        <v/>
      </c>
      <c r="CX207" s="78" t="str">
        <f aca="false">IF(ISBLANK($C207),"",IF($BH207&lt;&gt;Constants!$B$4,"",-$BZ207))</f>
        <v/>
      </c>
      <c r="CY207" s="79" t="str">
        <f aca="false">IF(ISBLANK($C207),"",$CA207)</f>
        <v/>
      </c>
      <c r="CZ207" s="80" t="str">
        <f aca="false">IF(ISBLANK($C207),"",$BI207)</f>
        <v/>
      </c>
      <c r="DA207" s="78" t="str">
        <f aca="false">IF(ISBLANK($C207),"",$CH207)</f>
        <v/>
      </c>
      <c r="DB207" s="78" t="str">
        <f aca="false">IF(ISBLANK($C207),"",$CG207)</f>
        <v/>
      </c>
      <c r="DC207" s="81" t="str">
        <f aca="false">IF(ISBLANK($C207),"",IFERROR(_xlfn.SWITCH($DB207,Constants!$B$7,COUNTA($C$9:$C$508)+2,Constants!$B$6,COUNTA($C$9:$C$508)+1,Constants!$B$5,COUNTA($C$9:$C$508)),$DB207))</f>
        <v/>
      </c>
      <c r="DD207" s="7"/>
      <c r="DE207" s="82" t="n">
        <f aca="false">IF(OR(ISNUMBER($DB207),$DB207=Constants!$B$7,$DB207=Constants!$B$5,$DB207=Constants!$B$6),1,0)</f>
        <v>0</v>
      </c>
      <c r="DF207" s="82" t="n">
        <v>199</v>
      </c>
      <c r="DG207" s="82" t="str">
        <f aca="false">IF(ISBLANK($C207),"",IF(ISNUMBER($DC207),$DC207+ROW($B207)/1000,""))</f>
        <v/>
      </c>
      <c r="DH207" s="82" t="str">
        <f aca="false">IF(ISNUMBER($DG207),RANK($DG207,$DG$9:$DG$508,1),"")</f>
        <v/>
      </c>
      <c r="DI207" s="82" t="str">
        <f aca="false">IF(ISBLANK($C207),"",$B207)</f>
        <v/>
      </c>
      <c r="DJ207" s="82" t="str">
        <f aca="false">IF(ISBLANK($C207),"",$C207)</f>
        <v/>
      </c>
      <c r="DK207" s="82" t="str">
        <f aca="false">IF(ISBLANK($C207),"",$D207)</f>
        <v/>
      </c>
      <c r="DL207" s="83" t="str">
        <f aca="false">$CZ207</f>
        <v/>
      </c>
      <c r="DM207" s="84" t="str">
        <f aca="false">$CY207</f>
        <v/>
      </c>
      <c r="DN207" s="82" t="str">
        <f aca="false">IF(ISBLANK($C207),"",$DB207)</f>
        <v/>
      </c>
      <c r="DO207" s="85" t="str">
        <f aca="false">IF($DF207&gt;$DE$8,"",VLOOKUP($DF207,$DH$9:$DN$508,7,FALSE()))</f>
        <v/>
      </c>
      <c r="DP207" s="86" t="str">
        <f aca="false">IF($DF207&gt;$DE$8,"",VLOOKUP($DF207,$DH$9:$DN$508,2,FALSE()))</f>
        <v/>
      </c>
      <c r="DQ207" s="86" t="str">
        <f aca="false">IF($DF207&gt;$DE$8,"",VLOOKUP($DF207,$DH$9:$DN$508,3,FALSE()))</f>
        <v/>
      </c>
      <c r="DR207" s="86" t="str">
        <f aca="false">IF($DF207&gt;$DE$8,"",VLOOKUP($DF207,$DH$9:$DN$508,4,FALSE()))</f>
        <v/>
      </c>
      <c r="DS207" s="86" t="str">
        <f aca="false">IF($DF207&gt;$DE$8,"",VLOOKUP($DF207,$DH$9:$DN$508,5,FALSE()))</f>
        <v/>
      </c>
      <c r="DT207" s="87" t="str">
        <f aca="false">IF($DF207&gt;$DE$8,"",VLOOKUP($DF207,$DH$9:$DN$508,6,FALSE()))</f>
        <v/>
      </c>
      <c r="DU207" s="62"/>
    </row>
    <row r="208" customFormat="false" ht="15.75" hidden="false" customHeight="false" outlineLevel="0" collapsed="false">
      <c r="A208" s="7"/>
      <c r="B208" s="64"/>
      <c r="C208" s="65"/>
      <c r="D208" s="123"/>
      <c r="E208" s="88"/>
      <c r="F208" s="134"/>
      <c r="G208" s="88"/>
      <c r="H208" s="134"/>
      <c r="I208" s="119"/>
      <c r="J208" s="119"/>
      <c r="K208" s="119"/>
      <c r="L208" s="88"/>
      <c r="M208" s="88"/>
      <c r="N208" s="88"/>
      <c r="O208" s="134"/>
      <c r="P208" s="88"/>
      <c r="Q208" s="88"/>
      <c r="R208" s="88"/>
      <c r="S208" s="88"/>
      <c r="T208" s="134"/>
      <c r="U208" s="88"/>
      <c r="V208" s="70"/>
      <c r="W208" s="88"/>
      <c r="X208" s="88"/>
      <c r="Y208" s="70"/>
      <c r="Z208" s="70"/>
      <c r="AA208" s="88"/>
      <c r="AB208" s="88"/>
      <c r="AC208" s="71"/>
      <c r="AD208" s="88"/>
      <c r="AE208" s="73"/>
      <c r="AF208" s="74"/>
      <c r="AG208" s="74"/>
      <c r="AH208" s="74" t="str">
        <f aca="false">IF(ISBLANK($C208),"",IF($E208=Constants!$B$2,TRUE(),IF($E208=Constants!$B$3,FALSE(),TRUE())))</f>
        <v/>
      </c>
      <c r="AI208" s="74" t="str">
        <f aca="false">IF(ISBLANK($C208),"",IF($F208=Constants!$B$2,TRUE(),IF($F208=Constants!$B$3,FALSE(),FALSE())))</f>
        <v/>
      </c>
      <c r="AJ208" s="74" t="str">
        <f aca="false">IF(ISBLANK($C208),"",IF($G208=Constants!$B$2,TRUE(),IF($G208=Constants!$B$3,FALSE(),TRUE())))</f>
        <v/>
      </c>
      <c r="AK208" s="74" t="str">
        <f aca="false">IF(ISBLANK($C208),"",IF($H208=Constants!$B$2,TRUE(),IF($H208=Constants!$B$3,FALSE(),TRUE())))</f>
        <v/>
      </c>
      <c r="AL208" s="74" t="str">
        <f aca="false">IF(ISBLANK($C208),"",IF(ISNUMBER($I208),IF($I208&gt;=0,$I208,""),""))</f>
        <v/>
      </c>
      <c r="AM208" s="74" t="str">
        <f aca="false">IF(ISBLANK($C208),"",IF(ISNUMBER($J208),IF($J208&gt;=0,$J208,""),""))</f>
        <v/>
      </c>
      <c r="AN208" s="74" t="str">
        <f aca="false">IF(ISBLANK($C208),"",IF(ISNUMBER($K208),IF($K208&gt;=0,$K208,""),""))</f>
        <v/>
      </c>
      <c r="AO208" s="74" t="str">
        <f aca="false">IF(ISBLANK($C208),"",IF($L208=Constants!$B$2,TRUE(),IF($L208=Constants!$B$3,FALSE(),TRUE())))</f>
        <v/>
      </c>
      <c r="AP208" s="74" t="str">
        <f aca="false">IF(ISBLANK($C208),"",IF($M208=Constants!$B$2,TRUE(),IF($M208=Constants!$B$3,FALSE(),TRUE())))</f>
        <v/>
      </c>
      <c r="AQ208" s="74" t="str">
        <f aca="false">IF(ISBLANK($C208),"",IF($N208=Constants!$B$2,TRUE(),IF($N208=Constants!$B$3,FALSE(),FALSE())))</f>
        <v/>
      </c>
      <c r="AR208" s="74" t="str">
        <f aca="false">IF(ISBLANK($C208),"",IF($O208=Constants!$B$2,TRUE(),IF($O208=Constants!$B$3,FALSE(),TRUE())))</f>
        <v/>
      </c>
      <c r="AS208" s="74" t="str">
        <f aca="false">IF(ISBLANK($C208),"",IF($P208=Constants!$B$2,TRUE(),IF($P208=Constants!$B$3,FALSE(),FALSE())))</f>
        <v/>
      </c>
      <c r="AT208" s="74" t="str">
        <f aca="false">IF(ISBLANK($C208),"",IF($Q208=Constants!$B$2,TRUE(),IF($Q208=Constants!$B$3,FALSE(),FALSE())))</f>
        <v/>
      </c>
      <c r="AU208" s="74" t="str">
        <f aca="false">IF(ISBLANK($C208),"",IF($R208=Constants!$B$2,TRUE(),IF($R208=Constants!$B$3,FALSE(),FALSE())))</f>
        <v/>
      </c>
      <c r="AV208" s="74" t="str">
        <f aca="false">IF(ISBLANK($C208),"",IF($S208=Constants!$B$2,TRUE(),IF($S208=Constants!$B$3,FALSE(),FALSE())))</f>
        <v/>
      </c>
      <c r="AW208" s="74" t="str">
        <f aca="false">IF(ISBLANK($C208),"",IF($T208=Constants!$B$2,TRUE(),IF($T208=Constants!$B$3,FALSE(),FALSE())))</f>
        <v/>
      </c>
      <c r="AX208" s="74" t="str">
        <f aca="false">IF(ISBLANK($C208),"",IF(OR($U208&amp;""="1",$U208&amp;""="2",$U208&amp;""="3",$U208&amp;""="4"),VALUE($U208&amp;""),IF($U208=Constants!$B$12,Constants!$B$12,"")))</f>
        <v/>
      </c>
      <c r="AY208" s="74" t="str">
        <f aca="false">IF(ISBLANK($C208),"",IF(ISBLANK($V208),0,IF(ISNUMBER($V208),IF(AND($V208&gt;=0,$V208&lt;=Constants!$B$21,$V208=INT($V208)),$V208,""),"")))</f>
        <v/>
      </c>
      <c r="AZ208" s="74" t="str">
        <f aca="false">IF(ISBLANK($C208),"",IF(ISBLANK($W208),0,IF(ISNUMBER($W208),IF($W208&gt;=0,$W208,""),"")))</f>
        <v/>
      </c>
      <c r="BA208" s="74" t="str">
        <f aca="false">IF(ISBLANK($C208),"",IF($X208=Constants!$B$2,TRUE(),IF($X208=Constants!$B$3,FALSE(),TRUE())))</f>
        <v/>
      </c>
      <c r="BB208" s="74" t="str">
        <f aca="false">IF(ISBLANK($C208),"",IF($Y208=Constants!$B$2,TRUE(),IF($Y208=Constants!$B$3,FALSE(),FALSE())))</f>
        <v/>
      </c>
      <c r="BC208" s="74" t="str">
        <f aca="false">IF(ISBLANK($C208),"",IF(ISBLANK($Z208),0,IF(ISNUMBER($Z208),IF(AND($Z208&gt;=0,$Z208&lt;=Constants!$B$35,$Z208=INT($Z208)),$Z208,""),"")))</f>
        <v/>
      </c>
      <c r="BD208" s="74" t="str">
        <f aca="false">IF(ISBLANK($C208),"",IF($AA208=Constants!$B$2,TRUE(),IF($AA208=Constants!$B$3,FALSE(),TRUE())))</f>
        <v/>
      </c>
      <c r="BE208" s="74" t="str">
        <f aca="false">IF(ISBLANK($C208),"",IF($AB208=Constants!$B$2,TRUE(),IF($AB208=Constants!$B$3,FALSE(),TRUE())))</f>
        <v/>
      </c>
      <c r="BF208" s="74" t="str">
        <f aca="false">IF(ISBLANK($C208),"",IF(ISNUMBER($AC208),IF($AC208&gt;=0,$AC208,""),""))</f>
        <v/>
      </c>
      <c r="BG208" s="74" t="str">
        <f aca="false">IF(ISBLANK($C208),"",IF($AD208=Constants!$B$2,TRUE(),IF($AD208=Constants!$B$3,FALSE(),FALSE())))</f>
        <v/>
      </c>
      <c r="BH208" s="73" t="str">
        <f aca="false">IF(ISBLANK($C208),"",IF($BG208,Constants!$B$7,IF(COUNTA($E208:$AC208)=0,Constants!$B$6,IF(OR(COUNTA($G208:$AC208)=0,NOT($AK208),$AQ208),Constants!$B$5,IF(OR($CI208&lt;&gt;"",$CJ208,$CK208,$CL208,$CM208,$CN208,$CO208),Constants!$B$8,Constants!$B$4)))))</f>
        <v/>
      </c>
      <c r="BI208" s="74" t="str">
        <f aca="false">IF(ISBLANK($C208),"",IF($BH208&lt;&gt;Constants!$B$4,$BH208,IF(OR(NOT($AH208),NOT($AJ208),NOT($AR208)),Constants!$B$11,IF(OR(NOT($AP208),MAX($AL208,$AM208,$AN208)&gt;Constants!$B$30),Constants!$B$10,Constants!$B$9))))</f>
        <v/>
      </c>
      <c r="BJ208" s="74" t="str">
        <f aca="false">IF($BH208&lt;&gt;Constants!$B$4,"",IF(NOT($AJ208),0,MIN(Constants!$B$35,$BC208)))</f>
        <v/>
      </c>
      <c r="BK208" s="74" t="str">
        <f aca="false">IF($BH208&lt;&gt;Constants!$B$4,"",IF(NOT($AJ208),0,IF($AT208,Constants!$B$18,IF($AS208,Constants!$B$17,0))))</f>
        <v/>
      </c>
      <c r="BL208" s="74" t="str">
        <f aca="false">IF($BH208&lt;&gt;Constants!$B$4,"",IF(NOT($AJ208),0,Constants!$B$19*($AI208+$AU208+$AV208+$AW208)))</f>
        <v/>
      </c>
      <c r="BM208" s="74" t="str">
        <f aca="false">IF($BH208&lt;&gt;Constants!$B$4,"",IF(OR(NOT($AJ208),NOT(ISNUMBER($AX208))),0,CHOOSE($AX208,Constants!$B$13,Constants!$B$14,Constants!$B$15,Constants!$B$16)))</f>
        <v/>
      </c>
      <c r="BN208" s="74" t="str">
        <f aca="false">IF($BH208&lt;&gt;Constants!$B$4,"",IF(NOT($AJ208),0,Constants!$B$20*$AY208))</f>
        <v/>
      </c>
      <c r="BO208" s="74" t="str">
        <f aca="false">IF($BH208&lt;&gt;Constants!$B$4,"",IF(AND($AJ208,$BA208,$BB208),Constants!$B$22,0))</f>
        <v/>
      </c>
      <c r="BP208" s="74" t="str">
        <f aca="false">IF($BH208&lt;&gt;Constants!$B$4,"",IF(OR(NOT($AJ208),NOT($BA208)),0,IF($BF208&gt;=2*$AF$9,0,Constants!$B$23*INT(ROUND(MIN($BF208,$AF$9),6)))))</f>
        <v/>
      </c>
      <c r="BQ208" s="74" t="str">
        <f aca="false">IF($BH208&lt;&gt;Constants!$B$4,"",IF(NOT($AJ208),0,Constants!$B$24*INT(ROUND(MIN($AZ208,$AF$9),6))))</f>
        <v/>
      </c>
      <c r="BR208" s="74" t="str">
        <f aca="false">IF($BH208&lt;&gt;Constants!$B$4,"",IF(AND($AJ208,$BJ208=0),Constants!$B$25,0))</f>
        <v/>
      </c>
      <c r="BS208" s="74" t="str">
        <f aca="false">IF($BH208&lt;&gt;Constants!$B$4,"",MIN(Constants!$B$29,MAX(0,Constants!$B$27*Constants!$B$28*INT(ROUND((Constants!$B$26-$AL208)/Constants!$B$28,6))))+MIN(Constants!$B$29,MAX(0,Constants!$B$27*Constants!$B$28*INT(ROUND((Constants!$B$26-$AM208)/Constants!$B$28,6))))+MIN(Constants!$B$29,MAX(0,Constants!$B$27*Constants!$B$28*INT(ROUND((Constants!$B$26-$AN208)/Constants!$B$28,6)))))</f>
        <v/>
      </c>
      <c r="BT208" s="74" t="str">
        <f aca="false">IF($BH208&lt;&gt;Constants!$B$4,"",IF(NOT($AJ208),0,Constants!$B$31*INT(ROUND(MAX(0,MIN($BF208,2*$AF$9)-$AF$9),6))))</f>
        <v/>
      </c>
      <c r="BU208" s="74" t="str">
        <f aca="false">IF($BH208&lt;&gt;Constants!$B$4,"",Constants!$B$32*(($AL208&gt;Constants!$B$26)+($AM208&gt;Constants!$B$26)+($AN208&gt;Constants!$B$26)))</f>
        <v/>
      </c>
      <c r="BV208" s="74" t="str">
        <f aca="false">IF($BH208&lt;&gt;Constants!$B$4,"",IF(OR(NOT($AJ208),$AO208),0,Constants!$B$33))</f>
        <v/>
      </c>
      <c r="BW208" s="74" t="str">
        <f aca="false">IF($BH208&lt;&gt;Constants!$B$4,"",Constants!$B$34*$BJ208)</f>
        <v/>
      </c>
      <c r="BX208" s="74" t="str">
        <f aca="false">IF($BH208&lt;&gt;Constants!$B$4,"",IF(OR(NOT($AJ208),$BE208),0,Constants!$B$36))</f>
        <v/>
      </c>
      <c r="BY208" s="74" t="str">
        <f aca="false">IF($BH208&lt;&gt;Constants!$B$4,"",IF(OR(NOT($AJ208),$BD208),0,Constants!$B$37))</f>
        <v/>
      </c>
      <c r="BZ208" s="74" t="str">
        <f aca="false">IF($BH208&lt;&gt;Constants!$B$4,"",SUM($BT208:$BY208))</f>
        <v/>
      </c>
      <c r="CA208" s="74" t="str">
        <f aca="false">IF(ISBLANK($C208),"",IF($BH208&lt;&gt;Constants!$B$4,$BH208,SUM($BK208:$BS208)-$BZ208))</f>
        <v/>
      </c>
      <c r="CB208" s="74" t="str">
        <f aca="false">IF(ISBLANK($C208),"",IF($BH208&lt;&gt;Constants!$B$4,$BH208,RANK($CA208,$CA$9:$CA$508)))</f>
        <v/>
      </c>
      <c r="CC208" s="74" t="str">
        <f aca="false">IF(ISBLANK($C208),"",IF($BH208&lt;&gt;Constants!$B$4,$BH208,COUNTIFS($BI$9:$BI$508,"&lt;"&amp;$BI208)+COUNTIFS($BI$9:$BI$508,$BI208,$CB$9:$CB$508,"&lt;"&amp;$CB208)+1))</f>
        <v/>
      </c>
      <c r="CD208" s="74" t="str">
        <f aca="false">IF(ISBLANK($C208),"",IF($BH208&lt;&gt;Constants!$B$4,$BH208,RANK($BZ208,$BZ$9:$BZ$508,1)))</f>
        <v/>
      </c>
      <c r="CE208" s="74" t="str">
        <f aca="false">IF($BH208&lt;&gt;Constants!$B$4,"",$AL208+$AM208+$AN208)</f>
        <v/>
      </c>
      <c r="CF208" s="74" t="str">
        <f aca="false">IF(ISBLANK($C208),"",IF($BH208&lt;&gt;Constants!$B$4,$BH208,RANK($CE208,$CE$9:$CE$508,1)))</f>
        <v/>
      </c>
      <c r="CG208" s="74" t="str">
        <f aca="false">IF(ISBLANK($C208),"",IF($BH208&lt;&gt;Constants!$B$4,$BH208,COUNTIFS($BI$9:$BI$508,"&lt;"&amp;$BI208)+COUNTIFS($BI$9:$BI$508,$BI208,$CB$9:$CB$508,"&lt;"&amp;$CB208)+COUNTIFS($BI$9:$BI$508,$BI208,$CB$9:$CB$508,$CB208,$CD$9:$CD$508,"&lt;"&amp;$CD208)+COUNTIFS($BI$9:$BI$508,$BI208,$CB$9:$CB$508,$CB208,$CD$9:$CD$508,$CD208,$CF$9:$CF$508,"&lt;"&amp;$CF208)+1))</f>
        <v/>
      </c>
      <c r="CH208" s="74" t="str">
        <f aca="false">IF(ISBLANK($C208),"",IF($BH208&lt;&gt;Constants!$B$4,$BH208,$CC208-$CG208))</f>
        <v/>
      </c>
      <c r="CI208" s="74" t="str">
        <f aca="false">IF(ISBLANK($C208),"",IF(NOT($AJ208),"",IF(ISBLANK($D$7),$CI$5,IF(NOT(ISNUMBER($D$7)),$CI$6,""))))</f>
        <v/>
      </c>
      <c r="CJ208" s="74" t="str">
        <f aca="false">IF(ISBLANK($C208),"",OR($AL208="",$AM208="",$AN208=""))</f>
        <v/>
      </c>
      <c r="CK208" s="74" t="str">
        <f aca="false">IF(ISBLANK($C208),"",AND($AJ208,$AX208=""))</f>
        <v/>
      </c>
      <c r="CL208" s="74" t="str">
        <f aca="false">IF(ISBLANK($C208),"",AND($AJ208,$AY208=""))</f>
        <v/>
      </c>
      <c r="CM208" s="74" t="str">
        <f aca="false">IF(ISBLANK($C208),"",AND($AJ208,$AZ208=""))</f>
        <v/>
      </c>
      <c r="CN208" s="74" t="str">
        <f aca="false">IF(ISBLANK($C208),"",AND($AJ208,$BC208=""))</f>
        <v/>
      </c>
      <c r="CO208" s="74" t="str">
        <f aca="false">IF(ISBLANK($C208),"",AND($AJ208,$BF208=""))</f>
        <v/>
      </c>
      <c r="CP208" s="75"/>
      <c r="CQ208" s="76"/>
      <c r="CR208" s="79" t="str">
        <f aca="false">IF(ISBLANK($C208),"",IF($BH208=Constants!$B$8,$CI208,""))</f>
        <v/>
      </c>
      <c r="CS208" s="76" t="str">
        <f aca="false">IF(ISBLANK($C208),"",IF($BH208&lt;&gt;Constants!$B$4,"",$BK208+$BL208))</f>
        <v/>
      </c>
      <c r="CT208" s="78" t="str">
        <f aca="false">IF(ISBLANK($C208),"",IF($BH208&lt;&gt;Constants!$B$4,"",$BM208+$BN208+$BO208))</f>
        <v/>
      </c>
      <c r="CU208" s="78" t="str">
        <f aca="false">IF(ISBLANK($C208),"",IF($BH208&lt;&gt;Constants!$B$4,"",$BP208))</f>
        <v/>
      </c>
      <c r="CV208" s="78" t="str">
        <f aca="false">IF(ISBLANK($C208),"",IF($BH208&lt;&gt;Constants!$B$4,"",$BQ208+$BR208))</f>
        <v/>
      </c>
      <c r="CW208" s="78" t="str">
        <f aca="false">IF(ISBLANK($C208),"",IF($BH208&lt;&gt;Constants!$B$4,"",$BS208))</f>
        <v/>
      </c>
      <c r="CX208" s="78" t="str">
        <f aca="false">IF(ISBLANK($C208),"",IF($BH208&lt;&gt;Constants!$B$4,"",-$BZ208))</f>
        <v/>
      </c>
      <c r="CY208" s="79" t="str">
        <f aca="false">IF(ISBLANK($C208),"",$CA208)</f>
        <v/>
      </c>
      <c r="CZ208" s="80" t="str">
        <f aca="false">IF(ISBLANK($C208),"",$BI208)</f>
        <v/>
      </c>
      <c r="DA208" s="78" t="str">
        <f aca="false">IF(ISBLANK($C208),"",$CH208)</f>
        <v/>
      </c>
      <c r="DB208" s="78" t="str">
        <f aca="false">IF(ISBLANK($C208),"",$CG208)</f>
        <v/>
      </c>
      <c r="DC208" s="81" t="str">
        <f aca="false">IF(ISBLANK($C208),"",IFERROR(_xlfn.SWITCH($DB208,Constants!$B$7,COUNTA($C$9:$C$508)+2,Constants!$B$6,COUNTA($C$9:$C$508)+1,Constants!$B$5,COUNTA($C$9:$C$508)),$DB208))</f>
        <v/>
      </c>
      <c r="DD208" s="7"/>
      <c r="DE208" s="82" t="n">
        <f aca="false">IF(OR(ISNUMBER($DB208),$DB208=Constants!$B$7,$DB208=Constants!$B$5,$DB208=Constants!$B$6),1,0)</f>
        <v>0</v>
      </c>
      <c r="DF208" s="82" t="n">
        <v>200</v>
      </c>
      <c r="DG208" s="82" t="str">
        <f aca="false">IF(ISBLANK($C208),"",IF(ISNUMBER($DC208),$DC208+ROW($B208)/1000,""))</f>
        <v/>
      </c>
      <c r="DH208" s="82" t="str">
        <f aca="false">IF(ISNUMBER($DG208),RANK($DG208,$DG$9:$DG$508,1),"")</f>
        <v/>
      </c>
      <c r="DI208" s="82" t="str">
        <f aca="false">IF(ISBLANK($C208),"",$B208)</f>
        <v/>
      </c>
      <c r="DJ208" s="82" t="str">
        <f aca="false">IF(ISBLANK($C208),"",$C208)</f>
        <v/>
      </c>
      <c r="DK208" s="82" t="str">
        <f aca="false">IF(ISBLANK($C208),"",$D208)</f>
        <v/>
      </c>
      <c r="DL208" s="83" t="str">
        <f aca="false">$CZ208</f>
        <v/>
      </c>
      <c r="DM208" s="84" t="str">
        <f aca="false">$CY208</f>
        <v/>
      </c>
      <c r="DN208" s="82" t="str">
        <f aca="false">IF(ISBLANK($C208),"",$DB208)</f>
        <v/>
      </c>
      <c r="DO208" s="85" t="str">
        <f aca="false">IF($DF208&gt;$DE$8,"",VLOOKUP($DF208,$DH$9:$DN$508,7,FALSE()))</f>
        <v/>
      </c>
      <c r="DP208" s="86" t="str">
        <f aca="false">IF($DF208&gt;$DE$8,"",VLOOKUP($DF208,$DH$9:$DN$508,2,FALSE()))</f>
        <v/>
      </c>
      <c r="DQ208" s="86" t="str">
        <f aca="false">IF($DF208&gt;$DE$8,"",VLOOKUP($DF208,$DH$9:$DN$508,3,FALSE()))</f>
        <v/>
      </c>
      <c r="DR208" s="86" t="str">
        <f aca="false">IF($DF208&gt;$DE$8,"",VLOOKUP($DF208,$DH$9:$DN$508,4,FALSE()))</f>
        <v/>
      </c>
      <c r="DS208" s="86" t="str">
        <f aca="false">IF($DF208&gt;$DE$8,"",VLOOKUP($DF208,$DH$9:$DN$508,5,FALSE()))</f>
        <v/>
      </c>
      <c r="DT208" s="87" t="str">
        <f aca="false">IF($DF208&gt;$DE$8,"",VLOOKUP($DF208,$DH$9:$DN$508,6,FALSE()))</f>
        <v/>
      </c>
      <c r="DU208" s="62"/>
    </row>
    <row r="209" customFormat="false" ht="15.75" hidden="false" customHeight="false" outlineLevel="0" collapsed="false">
      <c r="A209" s="7"/>
      <c r="B209" s="64"/>
      <c r="C209" s="65"/>
      <c r="D209" s="123"/>
      <c r="E209" s="88"/>
      <c r="F209" s="134"/>
      <c r="G209" s="88"/>
      <c r="H209" s="134"/>
      <c r="I209" s="119"/>
      <c r="J209" s="119"/>
      <c r="K209" s="119"/>
      <c r="L209" s="88"/>
      <c r="M209" s="88"/>
      <c r="N209" s="88"/>
      <c r="O209" s="134"/>
      <c r="P209" s="88"/>
      <c r="Q209" s="88"/>
      <c r="R209" s="88"/>
      <c r="S209" s="88"/>
      <c r="T209" s="134"/>
      <c r="U209" s="88"/>
      <c r="V209" s="70"/>
      <c r="W209" s="88"/>
      <c r="X209" s="88"/>
      <c r="Y209" s="70"/>
      <c r="Z209" s="70"/>
      <c r="AA209" s="88"/>
      <c r="AB209" s="88"/>
      <c r="AC209" s="71"/>
      <c r="AD209" s="88"/>
      <c r="AE209" s="73"/>
      <c r="AF209" s="74"/>
      <c r="AG209" s="74"/>
      <c r="AH209" s="74" t="str">
        <f aca="false">IF(ISBLANK($C209),"",IF($E209=Constants!$B$2,TRUE(),IF($E209=Constants!$B$3,FALSE(),TRUE())))</f>
        <v/>
      </c>
      <c r="AI209" s="74" t="str">
        <f aca="false">IF(ISBLANK($C209),"",IF($F209=Constants!$B$2,TRUE(),IF($F209=Constants!$B$3,FALSE(),FALSE())))</f>
        <v/>
      </c>
      <c r="AJ209" s="74" t="str">
        <f aca="false">IF(ISBLANK($C209),"",IF($G209=Constants!$B$2,TRUE(),IF($G209=Constants!$B$3,FALSE(),TRUE())))</f>
        <v/>
      </c>
      <c r="AK209" s="74" t="str">
        <f aca="false">IF(ISBLANK($C209),"",IF($H209=Constants!$B$2,TRUE(),IF($H209=Constants!$B$3,FALSE(),TRUE())))</f>
        <v/>
      </c>
      <c r="AL209" s="74" t="str">
        <f aca="false">IF(ISBLANK($C209),"",IF(ISNUMBER($I209),IF($I209&gt;=0,$I209,""),""))</f>
        <v/>
      </c>
      <c r="AM209" s="74" t="str">
        <f aca="false">IF(ISBLANK($C209),"",IF(ISNUMBER($J209),IF($J209&gt;=0,$J209,""),""))</f>
        <v/>
      </c>
      <c r="AN209" s="74" t="str">
        <f aca="false">IF(ISBLANK($C209),"",IF(ISNUMBER($K209),IF($K209&gt;=0,$K209,""),""))</f>
        <v/>
      </c>
      <c r="AO209" s="74" t="str">
        <f aca="false">IF(ISBLANK($C209),"",IF($L209=Constants!$B$2,TRUE(),IF($L209=Constants!$B$3,FALSE(),TRUE())))</f>
        <v/>
      </c>
      <c r="AP209" s="74" t="str">
        <f aca="false">IF(ISBLANK($C209),"",IF($M209=Constants!$B$2,TRUE(),IF($M209=Constants!$B$3,FALSE(),TRUE())))</f>
        <v/>
      </c>
      <c r="AQ209" s="74" t="str">
        <f aca="false">IF(ISBLANK($C209),"",IF($N209=Constants!$B$2,TRUE(),IF($N209=Constants!$B$3,FALSE(),FALSE())))</f>
        <v/>
      </c>
      <c r="AR209" s="74" t="str">
        <f aca="false">IF(ISBLANK($C209),"",IF($O209=Constants!$B$2,TRUE(),IF($O209=Constants!$B$3,FALSE(),TRUE())))</f>
        <v/>
      </c>
      <c r="AS209" s="74" t="str">
        <f aca="false">IF(ISBLANK($C209),"",IF($P209=Constants!$B$2,TRUE(),IF($P209=Constants!$B$3,FALSE(),FALSE())))</f>
        <v/>
      </c>
      <c r="AT209" s="74" t="str">
        <f aca="false">IF(ISBLANK($C209),"",IF($Q209=Constants!$B$2,TRUE(),IF($Q209=Constants!$B$3,FALSE(),FALSE())))</f>
        <v/>
      </c>
      <c r="AU209" s="74" t="str">
        <f aca="false">IF(ISBLANK($C209),"",IF($R209=Constants!$B$2,TRUE(),IF($R209=Constants!$B$3,FALSE(),FALSE())))</f>
        <v/>
      </c>
      <c r="AV209" s="74" t="str">
        <f aca="false">IF(ISBLANK($C209),"",IF($S209=Constants!$B$2,TRUE(),IF($S209=Constants!$B$3,FALSE(),FALSE())))</f>
        <v/>
      </c>
      <c r="AW209" s="74" t="str">
        <f aca="false">IF(ISBLANK($C209),"",IF($T209=Constants!$B$2,TRUE(),IF($T209=Constants!$B$3,FALSE(),FALSE())))</f>
        <v/>
      </c>
      <c r="AX209" s="74" t="str">
        <f aca="false">IF(ISBLANK($C209),"",IF(OR($U209&amp;""="1",$U209&amp;""="2",$U209&amp;""="3",$U209&amp;""="4"),VALUE($U209&amp;""),IF($U209=Constants!$B$12,Constants!$B$12,"")))</f>
        <v/>
      </c>
      <c r="AY209" s="74" t="str">
        <f aca="false">IF(ISBLANK($C209),"",IF(ISBLANK($V209),0,IF(ISNUMBER($V209),IF(AND($V209&gt;=0,$V209&lt;=Constants!$B$21,$V209=INT($V209)),$V209,""),"")))</f>
        <v/>
      </c>
      <c r="AZ209" s="74" t="str">
        <f aca="false">IF(ISBLANK($C209),"",IF(ISBLANK($W209),0,IF(ISNUMBER($W209),IF($W209&gt;=0,$W209,""),"")))</f>
        <v/>
      </c>
      <c r="BA209" s="74" t="str">
        <f aca="false">IF(ISBLANK($C209),"",IF($X209=Constants!$B$2,TRUE(),IF($X209=Constants!$B$3,FALSE(),TRUE())))</f>
        <v/>
      </c>
      <c r="BB209" s="74" t="str">
        <f aca="false">IF(ISBLANK($C209),"",IF($Y209=Constants!$B$2,TRUE(),IF($Y209=Constants!$B$3,FALSE(),FALSE())))</f>
        <v/>
      </c>
      <c r="BC209" s="74" t="str">
        <f aca="false">IF(ISBLANK($C209),"",IF(ISBLANK($Z209),0,IF(ISNUMBER($Z209),IF(AND($Z209&gt;=0,$Z209&lt;=Constants!$B$35,$Z209=INT($Z209)),$Z209,""),"")))</f>
        <v/>
      </c>
      <c r="BD209" s="74" t="str">
        <f aca="false">IF(ISBLANK($C209),"",IF($AA209=Constants!$B$2,TRUE(),IF($AA209=Constants!$B$3,FALSE(),TRUE())))</f>
        <v/>
      </c>
      <c r="BE209" s="74" t="str">
        <f aca="false">IF(ISBLANK($C209),"",IF($AB209=Constants!$B$2,TRUE(),IF($AB209=Constants!$B$3,FALSE(),TRUE())))</f>
        <v/>
      </c>
      <c r="BF209" s="74" t="str">
        <f aca="false">IF(ISBLANK($C209),"",IF(ISNUMBER($AC209),IF($AC209&gt;=0,$AC209,""),""))</f>
        <v/>
      </c>
      <c r="BG209" s="74" t="str">
        <f aca="false">IF(ISBLANK($C209),"",IF($AD209=Constants!$B$2,TRUE(),IF($AD209=Constants!$B$3,FALSE(),FALSE())))</f>
        <v/>
      </c>
      <c r="BH209" s="73" t="str">
        <f aca="false">IF(ISBLANK($C209),"",IF($BG209,Constants!$B$7,IF(COUNTA($E209:$AC209)=0,Constants!$B$6,IF(OR(COUNTA($G209:$AC209)=0,NOT($AK209),$AQ209),Constants!$B$5,IF(OR($CI209&lt;&gt;"",$CJ209,$CK209,$CL209,$CM209,$CN209,$CO209),Constants!$B$8,Constants!$B$4)))))</f>
        <v/>
      </c>
      <c r="BI209" s="74" t="str">
        <f aca="false">IF(ISBLANK($C209),"",IF($BH209&lt;&gt;Constants!$B$4,$BH209,IF(OR(NOT($AH209),NOT($AJ209),NOT($AR209)),Constants!$B$11,IF(OR(NOT($AP209),MAX($AL209,$AM209,$AN209)&gt;Constants!$B$30),Constants!$B$10,Constants!$B$9))))</f>
        <v/>
      </c>
      <c r="BJ209" s="74" t="str">
        <f aca="false">IF($BH209&lt;&gt;Constants!$B$4,"",IF(NOT($AJ209),0,MIN(Constants!$B$35,$BC209)))</f>
        <v/>
      </c>
      <c r="BK209" s="74" t="str">
        <f aca="false">IF($BH209&lt;&gt;Constants!$B$4,"",IF(NOT($AJ209),0,IF($AT209,Constants!$B$18,IF($AS209,Constants!$B$17,0))))</f>
        <v/>
      </c>
      <c r="BL209" s="74" t="str">
        <f aca="false">IF($BH209&lt;&gt;Constants!$B$4,"",IF(NOT($AJ209),0,Constants!$B$19*($AI209+$AU209+$AV209+$AW209)))</f>
        <v/>
      </c>
      <c r="BM209" s="74" t="str">
        <f aca="false">IF($BH209&lt;&gt;Constants!$B$4,"",IF(OR(NOT($AJ209),NOT(ISNUMBER($AX209))),0,CHOOSE($AX209,Constants!$B$13,Constants!$B$14,Constants!$B$15,Constants!$B$16)))</f>
        <v/>
      </c>
      <c r="BN209" s="74" t="str">
        <f aca="false">IF($BH209&lt;&gt;Constants!$B$4,"",IF(NOT($AJ209),0,Constants!$B$20*$AY209))</f>
        <v/>
      </c>
      <c r="BO209" s="74" t="str">
        <f aca="false">IF($BH209&lt;&gt;Constants!$B$4,"",IF(AND($AJ209,$BA209,$BB209),Constants!$B$22,0))</f>
        <v/>
      </c>
      <c r="BP209" s="74" t="str">
        <f aca="false">IF($BH209&lt;&gt;Constants!$B$4,"",IF(OR(NOT($AJ209),NOT($BA209)),0,IF($BF209&gt;=2*$AF$9,0,Constants!$B$23*INT(ROUND(MIN($BF209,$AF$9),6)))))</f>
        <v/>
      </c>
      <c r="BQ209" s="74" t="str">
        <f aca="false">IF($BH209&lt;&gt;Constants!$B$4,"",IF(NOT($AJ209),0,Constants!$B$24*INT(ROUND(MIN($AZ209,$AF$9),6))))</f>
        <v/>
      </c>
      <c r="BR209" s="74" t="str">
        <f aca="false">IF($BH209&lt;&gt;Constants!$B$4,"",IF(AND($AJ209,$BJ209=0),Constants!$B$25,0))</f>
        <v/>
      </c>
      <c r="BS209" s="74" t="str">
        <f aca="false">IF($BH209&lt;&gt;Constants!$B$4,"",MIN(Constants!$B$29,MAX(0,Constants!$B$27*Constants!$B$28*INT(ROUND((Constants!$B$26-$AL209)/Constants!$B$28,6))))+MIN(Constants!$B$29,MAX(0,Constants!$B$27*Constants!$B$28*INT(ROUND((Constants!$B$26-$AM209)/Constants!$B$28,6))))+MIN(Constants!$B$29,MAX(0,Constants!$B$27*Constants!$B$28*INT(ROUND((Constants!$B$26-$AN209)/Constants!$B$28,6)))))</f>
        <v/>
      </c>
      <c r="BT209" s="74" t="str">
        <f aca="false">IF($BH209&lt;&gt;Constants!$B$4,"",IF(NOT($AJ209),0,Constants!$B$31*INT(ROUND(MAX(0,MIN($BF209,2*$AF$9)-$AF$9),6))))</f>
        <v/>
      </c>
      <c r="BU209" s="74" t="str">
        <f aca="false">IF($BH209&lt;&gt;Constants!$B$4,"",Constants!$B$32*(($AL209&gt;Constants!$B$26)+($AM209&gt;Constants!$B$26)+($AN209&gt;Constants!$B$26)))</f>
        <v/>
      </c>
      <c r="BV209" s="74" t="str">
        <f aca="false">IF($BH209&lt;&gt;Constants!$B$4,"",IF(OR(NOT($AJ209),$AO209),0,Constants!$B$33))</f>
        <v/>
      </c>
      <c r="BW209" s="74" t="str">
        <f aca="false">IF($BH209&lt;&gt;Constants!$B$4,"",Constants!$B$34*$BJ209)</f>
        <v/>
      </c>
      <c r="BX209" s="74" t="str">
        <f aca="false">IF($BH209&lt;&gt;Constants!$B$4,"",IF(OR(NOT($AJ209),$BE209),0,Constants!$B$36))</f>
        <v/>
      </c>
      <c r="BY209" s="74" t="str">
        <f aca="false">IF($BH209&lt;&gt;Constants!$B$4,"",IF(OR(NOT($AJ209),$BD209),0,Constants!$B$37))</f>
        <v/>
      </c>
      <c r="BZ209" s="74" t="str">
        <f aca="false">IF($BH209&lt;&gt;Constants!$B$4,"",SUM($BT209:$BY209))</f>
        <v/>
      </c>
      <c r="CA209" s="74" t="str">
        <f aca="false">IF(ISBLANK($C209),"",IF($BH209&lt;&gt;Constants!$B$4,$BH209,SUM($BK209:$BS209)-$BZ209))</f>
        <v/>
      </c>
      <c r="CB209" s="74" t="str">
        <f aca="false">IF(ISBLANK($C209),"",IF($BH209&lt;&gt;Constants!$B$4,$BH209,RANK($CA209,$CA$9:$CA$508)))</f>
        <v/>
      </c>
      <c r="CC209" s="74" t="str">
        <f aca="false">IF(ISBLANK($C209),"",IF($BH209&lt;&gt;Constants!$B$4,$BH209,COUNTIFS($BI$9:$BI$508,"&lt;"&amp;$BI209)+COUNTIFS($BI$9:$BI$508,$BI209,$CB$9:$CB$508,"&lt;"&amp;$CB209)+1))</f>
        <v/>
      </c>
      <c r="CD209" s="74" t="str">
        <f aca="false">IF(ISBLANK($C209),"",IF($BH209&lt;&gt;Constants!$B$4,$BH209,RANK($BZ209,$BZ$9:$BZ$508,1)))</f>
        <v/>
      </c>
      <c r="CE209" s="74" t="str">
        <f aca="false">IF($BH209&lt;&gt;Constants!$B$4,"",$AL209+$AM209+$AN209)</f>
        <v/>
      </c>
      <c r="CF209" s="74" t="str">
        <f aca="false">IF(ISBLANK($C209),"",IF($BH209&lt;&gt;Constants!$B$4,$BH209,RANK($CE209,$CE$9:$CE$508,1)))</f>
        <v/>
      </c>
      <c r="CG209" s="74" t="str">
        <f aca="false">IF(ISBLANK($C209),"",IF($BH209&lt;&gt;Constants!$B$4,$BH209,COUNTIFS($BI$9:$BI$508,"&lt;"&amp;$BI209)+COUNTIFS($BI$9:$BI$508,$BI209,$CB$9:$CB$508,"&lt;"&amp;$CB209)+COUNTIFS($BI$9:$BI$508,$BI209,$CB$9:$CB$508,$CB209,$CD$9:$CD$508,"&lt;"&amp;$CD209)+COUNTIFS($BI$9:$BI$508,$BI209,$CB$9:$CB$508,$CB209,$CD$9:$CD$508,$CD209,$CF$9:$CF$508,"&lt;"&amp;$CF209)+1))</f>
        <v/>
      </c>
      <c r="CH209" s="74" t="str">
        <f aca="false">IF(ISBLANK($C209),"",IF($BH209&lt;&gt;Constants!$B$4,$BH209,$CC209-$CG209))</f>
        <v/>
      </c>
      <c r="CI209" s="74" t="str">
        <f aca="false">IF(ISBLANK($C209),"",IF(NOT($AJ209),"",IF(ISBLANK($D$7),$CI$5,IF(NOT(ISNUMBER($D$7)),$CI$6,""))))</f>
        <v/>
      </c>
      <c r="CJ209" s="74" t="str">
        <f aca="false">IF(ISBLANK($C209),"",OR($AL209="",$AM209="",$AN209=""))</f>
        <v/>
      </c>
      <c r="CK209" s="74" t="str">
        <f aca="false">IF(ISBLANK($C209),"",AND($AJ209,$AX209=""))</f>
        <v/>
      </c>
      <c r="CL209" s="74" t="str">
        <f aca="false">IF(ISBLANK($C209),"",AND($AJ209,$AY209=""))</f>
        <v/>
      </c>
      <c r="CM209" s="74" t="str">
        <f aca="false">IF(ISBLANK($C209),"",AND($AJ209,$AZ209=""))</f>
        <v/>
      </c>
      <c r="CN209" s="74" t="str">
        <f aca="false">IF(ISBLANK($C209),"",AND($AJ209,$BC209=""))</f>
        <v/>
      </c>
      <c r="CO209" s="74" t="str">
        <f aca="false">IF(ISBLANK($C209),"",AND($AJ209,$BF209=""))</f>
        <v/>
      </c>
      <c r="CP209" s="75"/>
      <c r="CQ209" s="76"/>
      <c r="CR209" s="79" t="str">
        <f aca="false">IF(ISBLANK($C209),"",IF($BH209=Constants!$B$8,$CI209,""))</f>
        <v/>
      </c>
      <c r="CS209" s="76" t="str">
        <f aca="false">IF(ISBLANK($C209),"",IF($BH209&lt;&gt;Constants!$B$4,"",$BK209+$BL209))</f>
        <v/>
      </c>
      <c r="CT209" s="78" t="str">
        <f aca="false">IF(ISBLANK($C209),"",IF($BH209&lt;&gt;Constants!$B$4,"",$BM209+$BN209+$BO209))</f>
        <v/>
      </c>
      <c r="CU209" s="78" t="str">
        <f aca="false">IF(ISBLANK($C209),"",IF($BH209&lt;&gt;Constants!$B$4,"",$BP209))</f>
        <v/>
      </c>
      <c r="CV209" s="78" t="str">
        <f aca="false">IF(ISBLANK($C209),"",IF($BH209&lt;&gt;Constants!$B$4,"",$BQ209+$BR209))</f>
        <v/>
      </c>
      <c r="CW209" s="78" t="str">
        <f aca="false">IF(ISBLANK($C209),"",IF($BH209&lt;&gt;Constants!$B$4,"",$BS209))</f>
        <v/>
      </c>
      <c r="CX209" s="78" t="str">
        <f aca="false">IF(ISBLANK($C209),"",IF($BH209&lt;&gt;Constants!$B$4,"",-$BZ209))</f>
        <v/>
      </c>
      <c r="CY209" s="79" t="str">
        <f aca="false">IF(ISBLANK($C209),"",$CA209)</f>
        <v/>
      </c>
      <c r="CZ209" s="80" t="str">
        <f aca="false">IF(ISBLANK($C209),"",$BI209)</f>
        <v/>
      </c>
      <c r="DA209" s="78" t="str">
        <f aca="false">IF(ISBLANK($C209),"",$CH209)</f>
        <v/>
      </c>
      <c r="DB209" s="78" t="str">
        <f aca="false">IF(ISBLANK($C209),"",$CG209)</f>
        <v/>
      </c>
      <c r="DC209" s="81" t="str">
        <f aca="false">IF(ISBLANK($C209),"",IFERROR(_xlfn.SWITCH($DB209,Constants!$B$7,COUNTA($C$9:$C$508)+2,Constants!$B$6,COUNTA($C$9:$C$508)+1,Constants!$B$5,COUNTA($C$9:$C$508)),$DB209))</f>
        <v/>
      </c>
      <c r="DD209" s="7"/>
      <c r="DE209" s="82" t="n">
        <f aca="false">IF(OR(ISNUMBER($DB209),$DB209=Constants!$B$7,$DB209=Constants!$B$5,$DB209=Constants!$B$6),1,0)</f>
        <v>0</v>
      </c>
      <c r="DF209" s="82" t="n">
        <v>201</v>
      </c>
      <c r="DG209" s="82" t="str">
        <f aca="false">IF(ISBLANK($C209),"",IF(ISNUMBER($DC209),$DC209+ROW($B209)/1000,""))</f>
        <v/>
      </c>
      <c r="DH209" s="82" t="str">
        <f aca="false">IF(ISNUMBER($DG209),RANK($DG209,$DG$9:$DG$508,1),"")</f>
        <v/>
      </c>
      <c r="DI209" s="82" t="str">
        <f aca="false">IF(ISBLANK($C209),"",$B209)</f>
        <v/>
      </c>
      <c r="DJ209" s="82" t="str">
        <f aca="false">IF(ISBLANK($C209),"",$C209)</f>
        <v/>
      </c>
      <c r="DK209" s="82" t="str">
        <f aca="false">IF(ISBLANK($C209),"",$D209)</f>
        <v/>
      </c>
      <c r="DL209" s="83" t="str">
        <f aca="false">$CZ209</f>
        <v/>
      </c>
      <c r="DM209" s="84" t="str">
        <f aca="false">$CY209</f>
        <v/>
      </c>
      <c r="DN209" s="82" t="str">
        <f aca="false">IF(ISBLANK($C209),"",$DB209)</f>
        <v/>
      </c>
      <c r="DO209" s="85" t="str">
        <f aca="false">IF($DF209&gt;$DE$8,"",VLOOKUP($DF209,$DH$9:$DN$508,7,FALSE()))</f>
        <v/>
      </c>
      <c r="DP209" s="86" t="str">
        <f aca="false">IF($DF209&gt;$DE$8,"",VLOOKUP($DF209,$DH$9:$DN$508,2,FALSE()))</f>
        <v/>
      </c>
      <c r="DQ209" s="86" t="str">
        <f aca="false">IF($DF209&gt;$DE$8,"",VLOOKUP($DF209,$DH$9:$DN$508,3,FALSE()))</f>
        <v/>
      </c>
      <c r="DR209" s="86" t="str">
        <f aca="false">IF($DF209&gt;$DE$8,"",VLOOKUP($DF209,$DH$9:$DN$508,4,FALSE()))</f>
        <v/>
      </c>
      <c r="DS209" s="86" t="str">
        <f aca="false">IF($DF209&gt;$DE$8,"",VLOOKUP($DF209,$DH$9:$DN$508,5,FALSE()))</f>
        <v/>
      </c>
      <c r="DT209" s="87" t="str">
        <f aca="false">IF($DF209&gt;$DE$8,"",VLOOKUP($DF209,$DH$9:$DN$508,6,FALSE()))</f>
        <v/>
      </c>
      <c r="DU209" s="62"/>
    </row>
    <row r="210" customFormat="false" ht="15.75" hidden="false" customHeight="false" outlineLevel="0" collapsed="false">
      <c r="A210" s="7"/>
      <c r="B210" s="90"/>
      <c r="C210" s="91"/>
      <c r="D210" s="126"/>
      <c r="E210" s="130"/>
      <c r="F210" s="135"/>
      <c r="G210" s="130"/>
      <c r="H210" s="135"/>
      <c r="I210" s="131"/>
      <c r="J210" s="131"/>
      <c r="K210" s="131"/>
      <c r="L210" s="130"/>
      <c r="M210" s="130"/>
      <c r="N210" s="130"/>
      <c r="O210" s="135"/>
      <c r="P210" s="130"/>
      <c r="Q210" s="130"/>
      <c r="R210" s="130"/>
      <c r="S210" s="130"/>
      <c r="T210" s="135"/>
      <c r="U210" s="130"/>
      <c r="V210" s="96"/>
      <c r="W210" s="130"/>
      <c r="X210" s="130"/>
      <c r="Y210" s="96"/>
      <c r="Z210" s="96"/>
      <c r="AA210" s="130"/>
      <c r="AB210" s="130"/>
      <c r="AC210" s="97"/>
      <c r="AD210" s="130"/>
      <c r="AE210" s="99"/>
      <c r="AF210" s="100"/>
      <c r="AG210" s="100"/>
      <c r="AH210" s="100" t="str">
        <f aca="false">IF(ISBLANK($C210),"",IF($E210=Constants!$B$2,TRUE(),IF($E210=Constants!$B$3,FALSE(),TRUE())))</f>
        <v/>
      </c>
      <c r="AI210" s="100" t="str">
        <f aca="false">IF(ISBLANK($C210),"",IF($F210=Constants!$B$2,TRUE(),IF($F210=Constants!$B$3,FALSE(),FALSE())))</f>
        <v/>
      </c>
      <c r="AJ210" s="100" t="str">
        <f aca="false">IF(ISBLANK($C210),"",IF($G210=Constants!$B$2,TRUE(),IF($G210=Constants!$B$3,FALSE(),TRUE())))</f>
        <v/>
      </c>
      <c r="AK210" s="100" t="str">
        <f aca="false">IF(ISBLANK($C210),"",IF($H210=Constants!$B$2,TRUE(),IF($H210=Constants!$B$3,FALSE(),TRUE())))</f>
        <v/>
      </c>
      <c r="AL210" s="100" t="str">
        <f aca="false">IF(ISBLANK($C210),"",IF(ISNUMBER($I210),IF($I210&gt;=0,$I210,""),""))</f>
        <v/>
      </c>
      <c r="AM210" s="100" t="str">
        <f aca="false">IF(ISBLANK($C210),"",IF(ISNUMBER($J210),IF($J210&gt;=0,$J210,""),""))</f>
        <v/>
      </c>
      <c r="AN210" s="100" t="str">
        <f aca="false">IF(ISBLANK($C210),"",IF(ISNUMBER($K210),IF($K210&gt;=0,$K210,""),""))</f>
        <v/>
      </c>
      <c r="AO210" s="100" t="str">
        <f aca="false">IF(ISBLANK($C210),"",IF($L210=Constants!$B$2,TRUE(),IF($L210=Constants!$B$3,FALSE(),TRUE())))</f>
        <v/>
      </c>
      <c r="AP210" s="100" t="str">
        <f aca="false">IF(ISBLANK($C210),"",IF($M210=Constants!$B$2,TRUE(),IF($M210=Constants!$B$3,FALSE(),TRUE())))</f>
        <v/>
      </c>
      <c r="AQ210" s="100" t="str">
        <f aca="false">IF(ISBLANK($C210),"",IF($N210=Constants!$B$2,TRUE(),IF($N210=Constants!$B$3,FALSE(),FALSE())))</f>
        <v/>
      </c>
      <c r="AR210" s="100" t="str">
        <f aca="false">IF(ISBLANK($C210),"",IF($O210=Constants!$B$2,TRUE(),IF($O210=Constants!$B$3,FALSE(),TRUE())))</f>
        <v/>
      </c>
      <c r="AS210" s="100" t="str">
        <f aca="false">IF(ISBLANK($C210),"",IF($P210=Constants!$B$2,TRUE(),IF($P210=Constants!$B$3,FALSE(),FALSE())))</f>
        <v/>
      </c>
      <c r="AT210" s="100" t="str">
        <f aca="false">IF(ISBLANK($C210),"",IF($Q210=Constants!$B$2,TRUE(),IF($Q210=Constants!$B$3,FALSE(),FALSE())))</f>
        <v/>
      </c>
      <c r="AU210" s="100" t="str">
        <f aca="false">IF(ISBLANK($C210),"",IF($R210=Constants!$B$2,TRUE(),IF($R210=Constants!$B$3,FALSE(),FALSE())))</f>
        <v/>
      </c>
      <c r="AV210" s="100" t="str">
        <f aca="false">IF(ISBLANK($C210),"",IF($S210=Constants!$B$2,TRUE(),IF($S210=Constants!$B$3,FALSE(),FALSE())))</f>
        <v/>
      </c>
      <c r="AW210" s="100" t="str">
        <f aca="false">IF(ISBLANK($C210),"",IF($T210=Constants!$B$2,TRUE(),IF($T210=Constants!$B$3,FALSE(),FALSE())))</f>
        <v/>
      </c>
      <c r="AX210" s="100" t="str">
        <f aca="false">IF(ISBLANK($C210),"",IF(OR($U210&amp;""="1",$U210&amp;""="2",$U210&amp;""="3",$U210&amp;""="4"),VALUE($U210&amp;""),IF($U210=Constants!$B$12,Constants!$B$12,"")))</f>
        <v/>
      </c>
      <c r="AY210" s="100" t="str">
        <f aca="false">IF(ISBLANK($C210),"",IF(ISBLANK($V210),0,IF(ISNUMBER($V210),IF(AND($V210&gt;=0,$V210&lt;=Constants!$B$21,$V210=INT($V210)),$V210,""),"")))</f>
        <v/>
      </c>
      <c r="AZ210" s="100" t="str">
        <f aca="false">IF(ISBLANK($C210),"",IF(ISBLANK($W210),0,IF(ISNUMBER($W210),IF($W210&gt;=0,$W210,""),"")))</f>
        <v/>
      </c>
      <c r="BA210" s="100" t="str">
        <f aca="false">IF(ISBLANK($C210),"",IF($X210=Constants!$B$2,TRUE(),IF($X210=Constants!$B$3,FALSE(),TRUE())))</f>
        <v/>
      </c>
      <c r="BB210" s="100" t="str">
        <f aca="false">IF(ISBLANK($C210),"",IF($Y210=Constants!$B$2,TRUE(),IF($Y210=Constants!$B$3,FALSE(),FALSE())))</f>
        <v/>
      </c>
      <c r="BC210" s="100" t="str">
        <f aca="false">IF(ISBLANK($C210),"",IF(ISBLANK($Z210),0,IF(ISNUMBER($Z210),IF(AND($Z210&gt;=0,$Z210&lt;=Constants!$B$35,$Z210=INT($Z210)),$Z210,""),"")))</f>
        <v/>
      </c>
      <c r="BD210" s="100" t="str">
        <f aca="false">IF(ISBLANK($C210),"",IF($AA210=Constants!$B$2,TRUE(),IF($AA210=Constants!$B$3,FALSE(),TRUE())))</f>
        <v/>
      </c>
      <c r="BE210" s="100" t="str">
        <f aca="false">IF(ISBLANK($C210),"",IF($AB210=Constants!$B$2,TRUE(),IF($AB210=Constants!$B$3,FALSE(),TRUE())))</f>
        <v/>
      </c>
      <c r="BF210" s="100" t="str">
        <f aca="false">IF(ISBLANK($C210),"",IF(ISNUMBER($AC210),IF($AC210&gt;=0,$AC210,""),""))</f>
        <v/>
      </c>
      <c r="BG210" s="100" t="str">
        <f aca="false">IF(ISBLANK($C210),"",IF($AD210=Constants!$B$2,TRUE(),IF($AD210=Constants!$B$3,FALSE(),FALSE())))</f>
        <v/>
      </c>
      <c r="BH210" s="99" t="str">
        <f aca="false">IF(ISBLANK($C210),"",IF($BG210,Constants!$B$7,IF(COUNTA($E210:$AC210)=0,Constants!$B$6,IF(OR(COUNTA($G210:$AC210)=0,NOT($AK210),$AQ210),Constants!$B$5,IF(OR($CI210&lt;&gt;"",$CJ210,$CK210,$CL210,$CM210,$CN210,$CO210),Constants!$B$8,Constants!$B$4)))))</f>
        <v/>
      </c>
      <c r="BI210" s="100" t="str">
        <f aca="false">IF(ISBLANK($C210),"",IF($BH210&lt;&gt;Constants!$B$4,$BH210,IF(OR(NOT($AH210),NOT($AJ210),NOT($AR210)),Constants!$B$11,IF(OR(NOT($AP210),MAX($AL210,$AM210,$AN210)&gt;Constants!$B$30),Constants!$B$10,Constants!$B$9))))</f>
        <v/>
      </c>
      <c r="BJ210" s="100" t="str">
        <f aca="false">IF($BH210&lt;&gt;Constants!$B$4,"",IF(NOT($AJ210),0,MIN(Constants!$B$35,$BC210)))</f>
        <v/>
      </c>
      <c r="BK210" s="100" t="str">
        <f aca="false">IF($BH210&lt;&gt;Constants!$B$4,"",IF(NOT($AJ210),0,IF($AT210,Constants!$B$18,IF($AS210,Constants!$B$17,0))))</f>
        <v/>
      </c>
      <c r="BL210" s="100" t="str">
        <f aca="false">IF($BH210&lt;&gt;Constants!$B$4,"",IF(NOT($AJ210),0,Constants!$B$19*($AI210+$AU210+$AV210+$AW210)))</f>
        <v/>
      </c>
      <c r="BM210" s="100" t="str">
        <f aca="false">IF($BH210&lt;&gt;Constants!$B$4,"",IF(OR(NOT($AJ210),NOT(ISNUMBER($AX210))),0,CHOOSE($AX210,Constants!$B$13,Constants!$B$14,Constants!$B$15,Constants!$B$16)))</f>
        <v/>
      </c>
      <c r="BN210" s="100" t="str">
        <f aca="false">IF($BH210&lt;&gt;Constants!$B$4,"",IF(NOT($AJ210),0,Constants!$B$20*$AY210))</f>
        <v/>
      </c>
      <c r="BO210" s="100" t="str">
        <f aca="false">IF($BH210&lt;&gt;Constants!$B$4,"",IF(AND($AJ210,$BA210,$BB210),Constants!$B$22,0))</f>
        <v/>
      </c>
      <c r="BP210" s="100" t="str">
        <f aca="false">IF($BH210&lt;&gt;Constants!$B$4,"",IF(OR(NOT($AJ210),NOT($BA210)),0,IF($BF210&gt;=2*$AF$9,0,Constants!$B$23*INT(ROUND(MIN($BF210,$AF$9),6)))))</f>
        <v/>
      </c>
      <c r="BQ210" s="100" t="str">
        <f aca="false">IF($BH210&lt;&gt;Constants!$B$4,"",IF(NOT($AJ210),0,Constants!$B$24*INT(ROUND(MIN($AZ210,$AF$9),6))))</f>
        <v/>
      </c>
      <c r="BR210" s="100" t="str">
        <f aca="false">IF($BH210&lt;&gt;Constants!$B$4,"",IF(AND($AJ210,$BJ210=0),Constants!$B$25,0))</f>
        <v/>
      </c>
      <c r="BS210" s="100" t="str">
        <f aca="false">IF($BH210&lt;&gt;Constants!$B$4,"",MIN(Constants!$B$29,MAX(0,Constants!$B$27*Constants!$B$28*INT(ROUND((Constants!$B$26-$AL210)/Constants!$B$28,6))))+MIN(Constants!$B$29,MAX(0,Constants!$B$27*Constants!$B$28*INT(ROUND((Constants!$B$26-$AM210)/Constants!$B$28,6))))+MIN(Constants!$B$29,MAX(0,Constants!$B$27*Constants!$B$28*INT(ROUND((Constants!$B$26-$AN210)/Constants!$B$28,6)))))</f>
        <v/>
      </c>
      <c r="BT210" s="100" t="str">
        <f aca="false">IF($BH210&lt;&gt;Constants!$B$4,"",IF(NOT($AJ210),0,Constants!$B$31*INT(ROUND(MAX(0,MIN($BF210,2*$AF$9)-$AF$9),6))))</f>
        <v/>
      </c>
      <c r="BU210" s="100" t="str">
        <f aca="false">IF($BH210&lt;&gt;Constants!$B$4,"",Constants!$B$32*(($AL210&gt;Constants!$B$26)+($AM210&gt;Constants!$B$26)+($AN210&gt;Constants!$B$26)))</f>
        <v/>
      </c>
      <c r="BV210" s="100" t="str">
        <f aca="false">IF($BH210&lt;&gt;Constants!$B$4,"",IF(OR(NOT($AJ210),$AO210),0,Constants!$B$33))</f>
        <v/>
      </c>
      <c r="BW210" s="100" t="str">
        <f aca="false">IF($BH210&lt;&gt;Constants!$B$4,"",Constants!$B$34*$BJ210)</f>
        <v/>
      </c>
      <c r="BX210" s="100" t="str">
        <f aca="false">IF($BH210&lt;&gt;Constants!$B$4,"",IF(OR(NOT($AJ210),$BE210),0,Constants!$B$36))</f>
        <v/>
      </c>
      <c r="BY210" s="100" t="str">
        <f aca="false">IF($BH210&lt;&gt;Constants!$B$4,"",IF(OR(NOT($AJ210),$BD210),0,Constants!$B$37))</f>
        <v/>
      </c>
      <c r="BZ210" s="100" t="str">
        <f aca="false">IF($BH210&lt;&gt;Constants!$B$4,"",SUM($BT210:$BY210))</f>
        <v/>
      </c>
      <c r="CA210" s="100" t="str">
        <f aca="false">IF(ISBLANK($C210),"",IF($BH210&lt;&gt;Constants!$B$4,$BH210,SUM($BK210:$BS210)-$BZ210))</f>
        <v/>
      </c>
      <c r="CB210" s="100" t="str">
        <f aca="false">IF(ISBLANK($C210),"",IF($BH210&lt;&gt;Constants!$B$4,$BH210,RANK($CA210,$CA$9:$CA$508)))</f>
        <v/>
      </c>
      <c r="CC210" s="100" t="str">
        <f aca="false">IF(ISBLANK($C210),"",IF($BH210&lt;&gt;Constants!$B$4,$BH210,COUNTIFS($BI$9:$BI$508,"&lt;"&amp;$BI210)+COUNTIFS($BI$9:$BI$508,$BI210,$CB$9:$CB$508,"&lt;"&amp;$CB210)+1))</f>
        <v/>
      </c>
      <c r="CD210" s="100" t="str">
        <f aca="false">IF(ISBLANK($C210),"",IF($BH210&lt;&gt;Constants!$B$4,$BH210,RANK($BZ210,$BZ$9:$BZ$508,1)))</f>
        <v/>
      </c>
      <c r="CE210" s="100" t="str">
        <f aca="false">IF($BH210&lt;&gt;Constants!$B$4,"",$AL210+$AM210+$AN210)</f>
        <v/>
      </c>
      <c r="CF210" s="100" t="str">
        <f aca="false">IF(ISBLANK($C210),"",IF($BH210&lt;&gt;Constants!$B$4,$BH210,RANK($CE210,$CE$9:$CE$508,1)))</f>
        <v/>
      </c>
      <c r="CG210" s="100" t="str">
        <f aca="false">IF(ISBLANK($C210),"",IF($BH210&lt;&gt;Constants!$B$4,$BH210,COUNTIFS($BI$9:$BI$508,"&lt;"&amp;$BI210)+COUNTIFS($BI$9:$BI$508,$BI210,$CB$9:$CB$508,"&lt;"&amp;$CB210)+COUNTIFS($BI$9:$BI$508,$BI210,$CB$9:$CB$508,$CB210,$CD$9:$CD$508,"&lt;"&amp;$CD210)+COUNTIFS($BI$9:$BI$508,$BI210,$CB$9:$CB$508,$CB210,$CD$9:$CD$508,$CD210,$CF$9:$CF$508,"&lt;"&amp;$CF210)+1))</f>
        <v/>
      </c>
      <c r="CH210" s="100" t="str">
        <f aca="false">IF(ISBLANK($C210),"",IF($BH210&lt;&gt;Constants!$B$4,$BH210,$CC210-$CG210))</f>
        <v/>
      </c>
      <c r="CI210" s="100" t="str">
        <f aca="false">IF(ISBLANK($C210),"",IF(NOT($AJ210),"",IF(ISBLANK($D$7),$CI$5,IF(NOT(ISNUMBER($D$7)),$CI$6,""))))</f>
        <v/>
      </c>
      <c r="CJ210" s="100" t="str">
        <f aca="false">IF(ISBLANK($C210),"",OR($AL210="",$AM210="",$AN210=""))</f>
        <v/>
      </c>
      <c r="CK210" s="100" t="str">
        <f aca="false">IF(ISBLANK($C210),"",AND($AJ210,$AX210=""))</f>
        <v/>
      </c>
      <c r="CL210" s="100" t="str">
        <f aca="false">IF(ISBLANK($C210),"",AND($AJ210,$AY210=""))</f>
        <v/>
      </c>
      <c r="CM210" s="100" t="str">
        <f aca="false">IF(ISBLANK($C210),"",AND($AJ210,$AZ210=""))</f>
        <v/>
      </c>
      <c r="CN210" s="100" t="str">
        <f aca="false">IF(ISBLANK($C210),"",AND($AJ210,$BC210=""))</f>
        <v/>
      </c>
      <c r="CO210" s="100" t="str">
        <f aca="false">IF(ISBLANK($C210),"",AND($AJ210,$BF210=""))</f>
        <v/>
      </c>
      <c r="CP210" s="101"/>
      <c r="CQ210" s="102"/>
      <c r="CR210" s="103" t="str">
        <f aca="false">IF(ISBLANK($C210),"",IF($BH210=Constants!$B$8,$CI210,""))</f>
        <v/>
      </c>
      <c r="CS210" s="102" t="str">
        <f aca="false">IF(ISBLANK($C210),"",IF($BH210&lt;&gt;Constants!$B$4,"",$BK210+$BL210))</f>
        <v/>
      </c>
      <c r="CT210" s="104" t="str">
        <f aca="false">IF(ISBLANK($C210),"",IF($BH210&lt;&gt;Constants!$B$4,"",$BM210+$BN210+$BO210))</f>
        <v/>
      </c>
      <c r="CU210" s="104" t="str">
        <f aca="false">IF(ISBLANK($C210),"",IF($BH210&lt;&gt;Constants!$B$4,"",$BP210))</f>
        <v/>
      </c>
      <c r="CV210" s="104" t="str">
        <f aca="false">IF(ISBLANK($C210),"",IF($BH210&lt;&gt;Constants!$B$4,"",$BQ210+$BR210))</f>
        <v/>
      </c>
      <c r="CW210" s="104" t="str">
        <f aca="false">IF(ISBLANK($C210),"",IF($BH210&lt;&gt;Constants!$B$4,"",$BS210))</f>
        <v/>
      </c>
      <c r="CX210" s="104" t="str">
        <f aca="false">IF(ISBLANK($C210),"",IF($BH210&lt;&gt;Constants!$B$4,"",-$BZ210))</f>
        <v/>
      </c>
      <c r="CY210" s="103" t="str">
        <f aca="false">IF(ISBLANK($C210),"",$CA210)</f>
        <v/>
      </c>
      <c r="CZ210" s="105" t="str">
        <f aca="false">IF(ISBLANK($C210),"",$BI210)</f>
        <v/>
      </c>
      <c r="DA210" s="104" t="str">
        <f aca="false">IF(ISBLANK($C210),"",$CH210)</f>
        <v/>
      </c>
      <c r="DB210" s="104" t="str">
        <f aca="false">IF(ISBLANK($C210),"",$CG210)</f>
        <v/>
      </c>
      <c r="DC210" s="106" t="str">
        <f aca="false">IF(ISBLANK($C210),"",IFERROR(_xlfn.SWITCH($DB210,Constants!$B$7,COUNTA($C$9:$C$508)+2,Constants!$B$6,COUNTA($C$9:$C$508)+1,Constants!$B$5,COUNTA($C$9:$C$508)),$DB210))</f>
        <v/>
      </c>
      <c r="DD210" s="7"/>
      <c r="DE210" s="107" t="n">
        <f aca="false">IF(OR(ISNUMBER($DB210),$DB210=Constants!$B$7,$DB210=Constants!$B$5,$DB210=Constants!$B$6),1,0)</f>
        <v>0</v>
      </c>
      <c r="DF210" s="107" t="n">
        <v>202</v>
      </c>
      <c r="DG210" s="107" t="str">
        <f aca="false">IF(ISBLANK($C210),"",IF(ISNUMBER($DC210),$DC210+ROW($B210)/1000,""))</f>
        <v/>
      </c>
      <c r="DH210" s="107" t="str">
        <f aca="false">IF(ISNUMBER($DG210),RANK($DG210,$DG$9:$DG$508,1),"")</f>
        <v/>
      </c>
      <c r="DI210" s="107" t="str">
        <f aca="false">IF(ISBLANK($C210),"",$B210)</f>
        <v/>
      </c>
      <c r="DJ210" s="107" t="str">
        <f aca="false">IF(ISBLANK($C210),"",$C210)</f>
        <v/>
      </c>
      <c r="DK210" s="107" t="str">
        <f aca="false">IF(ISBLANK($C210),"",$D210)</f>
        <v/>
      </c>
      <c r="DL210" s="108" t="str">
        <f aca="false">$CZ210</f>
        <v/>
      </c>
      <c r="DM210" s="109" t="str">
        <f aca="false">$CY210</f>
        <v/>
      </c>
      <c r="DN210" s="107" t="str">
        <f aca="false">IF(ISBLANK($C210),"",$DB210)</f>
        <v/>
      </c>
      <c r="DO210" s="110" t="str">
        <f aca="false">IF($DF210&gt;$DE$8,"",VLOOKUP($DF210,$DH$9:$DN$508,7,FALSE()))</f>
        <v/>
      </c>
      <c r="DP210" s="111" t="str">
        <f aca="false">IF($DF210&gt;$DE$8,"",VLOOKUP($DF210,$DH$9:$DN$508,2,FALSE()))</f>
        <v/>
      </c>
      <c r="DQ210" s="111" t="str">
        <f aca="false">IF($DF210&gt;$DE$8,"",VLOOKUP($DF210,$DH$9:$DN$508,3,FALSE()))</f>
        <v/>
      </c>
      <c r="DR210" s="111" t="str">
        <f aca="false">IF($DF210&gt;$DE$8,"",VLOOKUP($DF210,$DH$9:$DN$508,4,FALSE()))</f>
        <v/>
      </c>
      <c r="DS210" s="111" t="str">
        <f aca="false">IF($DF210&gt;$DE$8,"",VLOOKUP($DF210,$DH$9:$DN$508,5,FALSE()))</f>
        <v/>
      </c>
      <c r="DT210" s="112" t="str">
        <f aca="false">IF($DF210&gt;$DE$8,"",VLOOKUP($DF210,$DH$9:$DN$508,6,FALSE()))</f>
        <v/>
      </c>
      <c r="DU210" s="62"/>
    </row>
    <row r="211" customFormat="false" ht="15.75" hidden="false" customHeight="false" outlineLevel="0" collapsed="false">
      <c r="A211" s="7"/>
      <c r="B211" s="90"/>
      <c r="C211" s="91"/>
      <c r="D211" s="126"/>
      <c r="E211" s="130"/>
      <c r="F211" s="135"/>
      <c r="G211" s="130"/>
      <c r="H211" s="135"/>
      <c r="I211" s="131"/>
      <c r="J211" s="131"/>
      <c r="K211" s="131"/>
      <c r="L211" s="130"/>
      <c r="M211" s="130"/>
      <c r="N211" s="130"/>
      <c r="O211" s="135"/>
      <c r="P211" s="130"/>
      <c r="Q211" s="130"/>
      <c r="R211" s="130"/>
      <c r="S211" s="130"/>
      <c r="T211" s="135"/>
      <c r="U211" s="130"/>
      <c r="V211" s="96"/>
      <c r="W211" s="130"/>
      <c r="X211" s="130"/>
      <c r="Y211" s="96"/>
      <c r="Z211" s="96"/>
      <c r="AA211" s="130"/>
      <c r="AB211" s="130"/>
      <c r="AC211" s="97"/>
      <c r="AD211" s="130"/>
      <c r="AE211" s="99"/>
      <c r="AF211" s="100"/>
      <c r="AG211" s="100"/>
      <c r="AH211" s="100" t="str">
        <f aca="false">IF(ISBLANK($C211),"",IF($E211=Constants!$B$2,TRUE(),IF($E211=Constants!$B$3,FALSE(),TRUE())))</f>
        <v/>
      </c>
      <c r="AI211" s="100" t="str">
        <f aca="false">IF(ISBLANK($C211),"",IF($F211=Constants!$B$2,TRUE(),IF($F211=Constants!$B$3,FALSE(),FALSE())))</f>
        <v/>
      </c>
      <c r="AJ211" s="100" t="str">
        <f aca="false">IF(ISBLANK($C211),"",IF($G211=Constants!$B$2,TRUE(),IF($G211=Constants!$B$3,FALSE(),TRUE())))</f>
        <v/>
      </c>
      <c r="AK211" s="100" t="str">
        <f aca="false">IF(ISBLANK($C211),"",IF($H211=Constants!$B$2,TRUE(),IF($H211=Constants!$B$3,FALSE(),TRUE())))</f>
        <v/>
      </c>
      <c r="AL211" s="100" t="str">
        <f aca="false">IF(ISBLANK($C211),"",IF(ISNUMBER($I211),IF($I211&gt;=0,$I211,""),""))</f>
        <v/>
      </c>
      <c r="AM211" s="100" t="str">
        <f aca="false">IF(ISBLANK($C211),"",IF(ISNUMBER($J211),IF($J211&gt;=0,$J211,""),""))</f>
        <v/>
      </c>
      <c r="AN211" s="100" t="str">
        <f aca="false">IF(ISBLANK($C211),"",IF(ISNUMBER($K211),IF($K211&gt;=0,$K211,""),""))</f>
        <v/>
      </c>
      <c r="AO211" s="100" t="str">
        <f aca="false">IF(ISBLANK($C211),"",IF($L211=Constants!$B$2,TRUE(),IF($L211=Constants!$B$3,FALSE(),TRUE())))</f>
        <v/>
      </c>
      <c r="AP211" s="100" t="str">
        <f aca="false">IF(ISBLANK($C211),"",IF($M211=Constants!$B$2,TRUE(),IF($M211=Constants!$B$3,FALSE(),TRUE())))</f>
        <v/>
      </c>
      <c r="AQ211" s="100" t="str">
        <f aca="false">IF(ISBLANK($C211),"",IF($N211=Constants!$B$2,TRUE(),IF($N211=Constants!$B$3,FALSE(),FALSE())))</f>
        <v/>
      </c>
      <c r="AR211" s="100" t="str">
        <f aca="false">IF(ISBLANK($C211),"",IF($O211=Constants!$B$2,TRUE(),IF($O211=Constants!$B$3,FALSE(),TRUE())))</f>
        <v/>
      </c>
      <c r="AS211" s="100" t="str">
        <f aca="false">IF(ISBLANK($C211),"",IF($P211=Constants!$B$2,TRUE(),IF($P211=Constants!$B$3,FALSE(),FALSE())))</f>
        <v/>
      </c>
      <c r="AT211" s="100" t="str">
        <f aca="false">IF(ISBLANK($C211),"",IF($Q211=Constants!$B$2,TRUE(),IF($Q211=Constants!$B$3,FALSE(),FALSE())))</f>
        <v/>
      </c>
      <c r="AU211" s="100" t="str">
        <f aca="false">IF(ISBLANK($C211),"",IF($R211=Constants!$B$2,TRUE(),IF($R211=Constants!$B$3,FALSE(),FALSE())))</f>
        <v/>
      </c>
      <c r="AV211" s="100" t="str">
        <f aca="false">IF(ISBLANK($C211),"",IF($S211=Constants!$B$2,TRUE(),IF($S211=Constants!$B$3,FALSE(),FALSE())))</f>
        <v/>
      </c>
      <c r="AW211" s="100" t="str">
        <f aca="false">IF(ISBLANK($C211),"",IF($T211=Constants!$B$2,TRUE(),IF($T211=Constants!$B$3,FALSE(),FALSE())))</f>
        <v/>
      </c>
      <c r="AX211" s="100" t="str">
        <f aca="false">IF(ISBLANK($C211),"",IF(OR($U211&amp;""="1",$U211&amp;""="2",$U211&amp;""="3",$U211&amp;""="4"),VALUE($U211&amp;""),IF($U211=Constants!$B$12,Constants!$B$12,"")))</f>
        <v/>
      </c>
      <c r="AY211" s="100" t="str">
        <f aca="false">IF(ISBLANK($C211),"",IF(ISBLANK($V211),0,IF(ISNUMBER($V211),IF(AND($V211&gt;=0,$V211&lt;=Constants!$B$21,$V211=INT($V211)),$V211,""),"")))</f>
        <v/>
      </c>
      <c r="AZ211" s="100" t="str">
        <f aca="false">IF(ISBLANK($C211),"",IF(ISBLANK($W211),0,IF(ISNUMBER($W211),IF($W211&gt;=0,$W211,""),"")))</f>
        <v/>
      </c>
      <c r="BA211" s="100" t="str">
        <f aca="false">IF(ISBLANK($C211),"",IF($X211=Constants!$B$2,TRUE(),IF($X211=Constants!$B$3,FALSE(),TRUE())))</f>
        <v/>
      </c>
      <c r="BB211" s="100" t="str">
        <f aca="false">IF(ISBLANK($C211),"",IF($Y211=Constants!$B$2,TRUE(),IF($Y211=Constants!$B$3,FALSE(),FALSE())))</f>
        <v/>
      </c>
      <c r="BC211" s="100" t="str">
        <f aca="false">IF(ISBLANK($C211),"",IF(ISBLANK($Z211),0,IF(ISNUMBER($Z211),IF(AND($Z211&gt;=0,$Z211&lt;=Constants!$B$35,$Z211=INT($Z211)),$Z211,""),"")))</f>
        <v/>
      </c>
      <c r="BD211" s="100" t="str">
        <f aca="false">IF(ISBLANK($C211),"",IF($AA211=Constants!$B$2,TRUE(),IF($AA211=Constants!$B$3,FALSE(),TRUE())))</f>
        <v/>
      </c>
      <c r="BE211" s="100" t="str">
        <f aca="false">IF(ISBLANK($C211),"",IF($AB211=Constants!$B$2,TRUE(),IF($AB211=Constants!$B$3,FALSE(),TRUE())))</f>
        <v/>
      </c>
      <c r="BF211" s="100" t="str">
        <f aca="false">IF(ISBLANK($C211),"",IF(ISNUMBER($AC211),IF($AC211&gt;=0,$AC211,""),""))</f>
        <v/>
      </c>
      <c r="BG211" s="100" t="str">
        <f aca="false">IF(ISBLANK($C211),"",IF($AD211=Constants!$B$2,TRUE(),IF($AD211=Constants!$B$3,FALSE(),FALSE())))</f>
        <v/>
      </c>
      <c r="BH211" s="99" t="str">
        <f aca="false">IF(ISBLANK($C211),"",IF($BG211,Constants!$B$7,IF(COUNTA($E211:$AC211)=0,Constants!$B$6,IF(OR(COUNTA($G211:$AC211)=0,NOT($AK211),$AQ211),Constants!$B$5,IF(OR($CI211&lt;&gt;"",$CJ211,$CK211,$CL211,$CM211,$CN211,$CO211),Constants!$B$8,Constants!$B$4)))))</f>
        <v/>
      </c>
      <c r="BI211" s="100" t="str">
        <f aca="false">IF(ISBLANK($C211),"",IF($BH211&lt;&gt;Constants!$B$4,$BH211,IF(OR(NOT($AH211),NOT($AJ211),NOT($AR211)),Constants!$B$11,IF(OR(NOT($AP211),MAX($AL211,$AM211,$AN211)&gt;Constants!$B$30),Constants!$B$10,Constants!$B$9))))</f>
        <v/>
      </c>
      <c r="BJ211" s="100" t="str">
        <f aca="false">IF($BH211&lt;&gt;Constants!$B$4,"",IF(NOT($AJ211),0,MIN(Constants!$B$35,$BC211)))</f>
        <v/>
      </c>
      <c r="BK211" s="100" t="str">
        <f aca="false">IF($BH211&lt;&gt;Constants!$B$4,"",IF(NOT($AJ211),0,IF($AT211,Constants!$B$18,IF($AS211,Constants!$B$17,0))))</f>
        <v/>
      </c>
      <c r="BL211" s="100" t="str">
        <f aca="false">IF($BH211&lt;&gt;Constants!$B$4,"",IF(NOT($AJ211),0,Constants!$B$19*($AI211+$AU211+$AV211+$AW211)))</f>
        <v/>
      </c>
      <c r="BM211" s="100" t="str">
        <f aca="false">IF($BH211&lt;&gt;Constants!$B$4,"",IF(OR(NOT($AJ211),NOT(ISNUMBER($AX211))),0,CHOOSE($AX211,Constants!$B$13,Constants!$B$14,Constants!$B$15,Constants!$B$16)))</f>
        <v/>
      </c>
      <c r="BN211" s="100" t="str">
        <f aca="false">IF($BH211&lt;&gt;Constants!$B$4,"",IF(NOT($AJ211),0,Constants!$B$20*$AY211))</f>
        <v/>
      </c>
      <c r="BO211" s="100" t="str">
        <f aca="false">IF($BH211&lt;&gt;Constants!$B$4,"",IF(AND($AJ211,$BA211,$BB211),Constants!$B$22,0))</f>
        <v/>
      </c>
      <c r="BP211" s="100" t="str">
        <f aca="false">IF($BH211&lt;&gt;Constants!$B$4,"",IF(OR(NOT($AJ211),NOT($BA211)),0,IF($BF211&gt;=2*$AF$9,0,Constants!$B$23*INT(ROUND(MIN($BF211,$AF$9),6)))))</f>
        <v/>
      </c>
      <c r="BQ211" s="100" t="str">
        <f aca="false">IF($BH211&lt;&gt;Constants!$B$4,"",IF(NOT($AJ211),0,Constants!$B$24*INT(ROUND(MIN($AZ211,$AF$9),6))))</f>
        <v/>
      </c>
      <c r="BR211" s="100" t="str">
        <f aca="false">IF($BH211&lt;&gt;Constants!$B$4,"",IF(AND($AJ211,$BJ211=0),Constants!$B$25,0))</f>
        <v/>
      </c>
      <c r="BS211" s="100" t="str">
        <f aca="false">IF($BH211&lt;&gt;Constants!$B$4,"",MIN(Constants!$B$29,MAX(0,Constants!$B$27*Constants!$B$28*INT(ROUND((Constants!$B$26-$AL211)/Constants!$B$28,6))))+MIN(Constants!$B$29,MAX(0,Constants!$B$27*Constants!$B$28*INT(ROUND((Constants!$B$26-$AM211)/Constants!$B$28,6))))+MIN(Constants!$B$29,MAX(0,Constants!$B$27*Constants!$B$28*INT(ROUND((Constants!$B$26-$AN211)/Constants!$B$28,6)))))</f>
        <v/>
      </c>
      <c r="BT211" s="100" t="str">
        <f aca="false">IF($BH211&lt;&gt;Constants!$B$4,"",IF(NOT($AJ211),0,Constants!$B$31*INT(ROUND(MAX(0,MIN($BF211,2*$AF$9)-$AF$9),6))))</f>
        <v/>
      </c>
      <c r="BU211" s="100" t="str">
        <f aca="false">IF($BH211&lt;&gt;Constants!$B$4,"",Constants!$B$32*(($AL211&gt;Constants!$B$26)+($AM211&gt;Constants!$B$26)+($AN211&gt;Constants!$B$26)))</f>
        <v/>
      </c>
      <c r="BV211" s="100" t="str">
        <f aca="false">IF($BH211&lt;&gt;Constants!$B$4,"",IF(OR(NOT($AJ211),$AO211),0,Constants!$B$33))</f>
        <v/>
      </c>
      <c r="BW211" s="100" t="str">
        <f aca="false">IF($BH211&lt;&gt;Constants!$B$4,"",Constants!$B$34*$BJ211)</f>
        <v/>
      </c>
      <c r="BX211" s="100" t="str">
        <f aca="false">IF($BH211&lt;&gt;Constants!$B$4,"",IF(OR(NOT($AJ211),$BE211),0,Constants!$B$36))</f>
        <v/>
      </c>
      <c r="BY211" s="100" t="str">
        <f aca="false">IF($BH211&lt;&gt;Constants!$B$4,"",IF(OR(NOT($AJ211),$BD211),0,Constants!$B$37))</f>
        <v/>
      </c>
      <c r="BZ211" s="100" t="str">
        <f aca="false">IF($BH211&lt;&gt;Constants!$B$4,"",SUM($BT211:$BY211))</f>
        <v/>
      </c>
      <c r="CA211" s="100" t="str">
        <f aca="false">IF(ISBLANK($C211),"",IF($BH211&lt;&gt;Constants!$B$4,$BH211,SUM($BK211:$BS211)-$BZ211))</f>
        <v/>
      </c>
      <c r="CB211" s="100" t="str">
        <f aca="false">IF(ISBLANK($C211),"",IF($BH211&lt;&gt;Constants!$B$4,$BH211,RANK($CA211,$CA$9:$CA$508)))</f>
        <v/>
      </c>
      <c r="CC211" s="100" t="str">
        <f aca="false">IF(ISBLANK($C211),"",IF($BH211&lt;&gt;Constants!$B$4,$BH211,COUNTIFS($BI$9:$BI$508,"&lt;"&amp;$BI211)+COUNTIFS($BI$9:$BI$508,$BI211,$CB$9:$CB$508,"&lt;"&amp;$CB211)+1))</f>
        <v/>
      </c>
      <c r="CD211" s="100" t="str">
        <f aca="false">IF(ISBLANK($C211),"",IF($BH211&lt;&gt;Constants!$B$4,$BH211,RANK($BZ211,$BZ$9:$BZ$508,1)))</f>
        <v/>
      </c>
      <c r="CE211" s="100" t="str">
        <f aca="false">IF($BH211&lt;&gt;Constants!$B$4,"",$AL211+$AM211+$AN211)</f>
        <v/>
      </c>
      <c r="CF211" s="100" t="str">
        <f aca="false">IF(ISBLANK($C211),"",IF($BH211&lt;&gt;Constants!$B$4,$BH211,RANK($CE211,$CE$9:$CE$508,1)))</f>
        <v/>
      </c>
      <c r="CG211" s="100" t="str">
        <f aca="false">IF(ISBLANK($C211),"",IF($BH211&lt;&gt;Constants!$B$4,$BH211,COUNTIFS($BI$9:$BI$508,"&lt;"&amp;$BI211)+COUNTIFS($BI$9:$BI$508,$BI211,$CB$9:$CB$508,"&lt;"&amp;$CB211)+COUNTIFS($BI$9:$BI$508,$BI211,$CB$9:$CB$508,$CB211,$CD$9:$CD$508,"&lt;"&amp;$CD211)+COUNTIFS($BI$9:$BI$508,$BI211,$CB$9:$CB$508,$CB211,$CD$9:$CD$508,$CD211,$CF$9:$CF$508,"&lt;"&amp;$CF211)+1))</f>
        <v/>
      </c>
      <c r="CH211" s="100" t="str">
        <f aca="false">IF(ISBLANK($C211),"",IF($BH211&lt;&gt;Constants!$B$4,$BH211,$CC211-$CG211))</f>
        <v/>
      </c>
      <c r="CI211" s="100" t="str">
        <f aca="false">IF(ISBLANK($C211),"",IF(NOT($AJ211),"",IF(ISBLANK($D$7),$CI$5,IF(NOT(ISNUMBER($D$7)),$CI$6,""))))</f>
        <v/>
      </c>
      <c r="CJ211" s="100" t="str">
        <f aca="false">IF(ISBLANK($C211),"",OR($AL211="",$AM211="",$AN211=""))</f>
        <v/>
      </c>
      <c r="CK211" s="100" t="str">
        <f aca="false">IF(ISBLANK($C211),"",AND($AJ211,$AX211=""))</f>
        <v/>
      </c>
      <c r="CL211" s="100" t="str">
        <f aca="false">IF(ISBLANK($C211),"",AND($AJ211,$AY211=""))</f>
        <v/>
      </c>
      <c r="CM211" s="100" t="str">
        <f aca="false">IF(ISBLANK($C211),"",AND($AJ211,$AZ211=""))</f>
        <v/>
      </c>
      <c r="CN211" s="100" t="str">
        <f aca="false">IF(ISBLANK($C211),"",AND($AJ211,$BC211=""))</f>
        <v/>
      </c>
      <c r="CO211" s="100" t="str">
        <f aca="false">IF(ISBLANK($C211),"",AND($AJ211,$BF211=""))</f>
        <v/>
      </c>
      <c r="CP211" s="101"/>
      <c r="CQ211" s="102"/>
      <c r="CR211" s="103" t="str">
        <f aca="false">IF(ISBLANK($C211),"",IF($BH211=Constants!$B$8,$CI211,""))</f>
        <v/>
      </c>
      <c r="CS211" s="102" t="str">
        <f aca="false">IF(ISBLANK($C211),"",IF($BH211&lt;&gt;Constants!$B$4,"",$BK211+$BL211))</f>
        <v/>
      </c>
      <c r="CT211" s="104" t="str">
        <f aca="false">IF(ISBLANK($C211),"",IF($BH211&lt;&gt;Constants!$B$4,"",$BM211+$BN211+$BO211))</f>
        <v/>
      </c>
      <c r="CU211" s="104" t="str">
        <f aca="false">IF(ISBLANK($C211),"",IF($BH211&lt;&gt;Constants!$B$4,"",$BP211))</f>
        <v/>
      </c>
      <c r="CV211" s="104" t="str">
        <f aca="false">IF(ISBLANK($C211),"",IF($BH211&lt;&gt;Constants!$B$4,"",$BQ211+$BR211))</f>
        <v/>
      </c>
      <c r="CW211" s="104" t="str">
        <f aca="false">IF(ISBLANK($C211),"",IF($BH211&lt;&gt;Constants!$B$4,"",$BS211))</f>
        <v/>
      </c>
      <c r="CX211" s="104" t="str">
        <f aca="false">IF(ISBLANK($C211),"",IF($BH211&lt;&gt;Constants!$B$4,"",-$BZ211))</f>
        <v/>
      </c>
      <c r="CY211" s="103" t="str">
        <f aca="false">IF(ISBLANK($C211),"",$CA211)</f>
        <v/>
      </c>
      <c r="CZ211" s="105" t="str">
        <f aca="false">IF(ISBLANK($C211),"",$BI211)</f>
        <v/>
      </c>
      <c r="DA211" s="104" t="str">
        <f aca="false">IF(ISBLANK($C211),"",$CH211)</f>
        <v/>
      </c>
      <c r="DB211" s="104" t="str">
        <f aca="false">IF(ISBLANK($C211),"",$CG211)</f>
        <v/>
      </c>
      <c r="DC211" s="106" t="str">
        <f aca="false">IF(ISBLANK($C211),"",IFERROR(_xlfn.SWITCH($DB211,Constants!$B$7,COUNTA($C$9:$C$508)+2,Constants!$B$6,COUNTA($C$9:$C$508)+1,Constants!$B$5,COUNTA($C$9:$C$508)),$DB211))</f>
        <v/>
      </c>
      <c r="DD211" s="7"/>
      <c r="DE211" s="107" t="n">
        <f aca="false">IF(OR(ISNUMBER($DB211),$DB211=Constants!$B$7,$DB211=Constants!$B$5,$DB211=Constants!$B$6),1,0)</f>
        <v>0</v>
      </c>
      <c r="DF211" s="107" t="n">
        <v>203</v>
      </c>
      <c r="DG211" s="107" t="str">
        <f aca="false">IF(ISBLANK($C211),"",IF(ISNUMBER($DC211),$DC211+ROW($B211)/1000,""))</f>
        <v/>
      </c>
      <c r="DH211" s="107" t="str">
        <f aca="false">IF(ISNUMBER($DG211),RANK($DG211,$DG$9:$DG$508,1),"")</f>
        <v/>
      </c>
      <c r="DI211" s="107" t="str">
        <f aca="false">IF(ISBLANK($C211),"",$B211)</f>
        <v/>
      </c>
      <c r="DJ211" s="107" t="str">
        <f aca="false">IF(ISBLANK($C211),"",$C211)</f>
        <v/>
      </c>
      <c r="DK211" s="107" t="str">
        <f aca="false">IF(ISBLANK($C211),"",$D211)</f>
        <v/>
      </c>
      <c r="DL211" s="108" t="str">
        <f aca="false">$CZ211</f>
        <v/>
      </c>
      <c r="DM211" s="109" t="str">
        <f aca="false">$CY211</f>
        <v/>
      </c>
      <c r="DN211" s="107" t="str">
        <f aca="false">IF(ISBLANK($C211),"",$DB211)</f>
        <v/>
      </c>
      <c r="DO211" s="110" t="str">
        <f aca="false">IF($DF211&gt;$DE$8,"",VLOOKUP($DF211,$DH$9:$DN$508,7,FALSE()))</f>
        <v/>
      </c>
      <c r="DP211" s="111" t="str">
        <f aca="false">IF($DF211&gt;$DE$8,"",VLOOKUP($DF211,$DH$9:$DN$508,2,FALSE()))</f>
        <v/>
      </c>
      <c r="DQ211" s="111" t="str">
        <f aca="false">IF($DF211&gt;$DE$8,"",VLOOKUP($DF211,$DH$9:$DN$508,3,FALSE()))</f>
        <v/>
      </c>
      <c r="DR211" s="111" t="str">
        <f aca="false">IF($DF211&gt;$DE$8,"",VLOOKUP($DF211,$DH$9:$DN$508,4,FALSE()))</f>
        <v/>
      </c>
      <c r="DS211" s="111" t="str">
        <f aca="false">IF($DF211&gt;$DE$8,"",VLOOKUP($DF211,$DH$9:$DN$508,5,FALSE()))</f>
        <v/>
      </c>
      <c r="DT211" s="112" t="str">
        <f aca="false">IF($DF211&gt;$DE$8,"",VLOOKUP($DF211,$DH$9:$DN$508,6,FALSE()))</f>
        <v/>
      </c>
      <c r="DU211" s="62"/>
    </row>
    <row r="212" customFormat="false" ht="15.75" hidden="false" customHeight="false" outlineLevel="0" collapsed="false">
      <c r="A212" s="7"/>
      <c r="B212" s="90"/>
      <c r="C212" s="91"/>
      <c r="D212" s="126"/>
      <c r="E212" s="130"/>
      <c r="F212" s="135"/>
      <c r="G212" s="130"/>
      <c r="H212" s="135"/>
      <c r="I212" s="131"/>
      <c r="J212" s="131"/>
      <c r="K212" s="131"/>
      <c r="L212" s="130"/>
      <c r="M212" s="130"/>
      <c r="N212" s="130"/>
      <c r="O212" s="135"/>
      <c r="P212" s="130"/>
      <c r="Q212" s="130"/>
      <c r="R212" s="130"/>
      <c r="S212" s="130"/>
      <c r="T212" s="135"/>
      <c r="U212" s="130"/>
      <c r="V212" s="96"/>
      <c r="W212" s="130"/>
      <c r="X212" s="130"/>
      <c r="Y212" s="96"/>
      <c r="Z212" s="96"/>
      <c r="AA212" s="130"/>
      <c r="AB212" s="130"/>
      <c r="AC212" s="97"/>
      <c r="AD212" s="130"/>
      <c r="AE212" s="99"/>
      <c r="AF212" s="100"/>
      <c r="AG212" s="100"/>
      <c r="AH212" s="100" t="str">
        <f aca="false">IF(ISBLANK($C212),"",IF($E212=Constants!$B$2,TRUE(),IF($E212=Constants!$B$3,FALSE(),TRUE())))</f>
        <v/>
      </c>
      <c r="AI212" s="100" t="str">
        <f aca="false">IF(ISBLANK($C212),"",IF($F212=Constants!$B$2,TRUE(),IF($F212=Constants!$B$3,FALSE(),FALSE())))</f>
        <v/>
      </c>
      <c r="AJ212" s="100" t="str">
        <f aca="false">IF(ISBLANK($C212),"",IF($G212=Constants!$B$2,TRUE(),IF($G212=Constants!$B$3,FALSE(),TRUE())))</f>
        <v/>
      </c>
      <c r="AK212" s="100" t="str">
        <f aca="false">IF(ISBLANK($C212),"",IF($H212=Constants!$B$2,TRUE(),IF($H212=Constants!$B$3,FALSE(),TRUE())))</f>
        <v/>
      </c>
      <c r="AL212" s="100" t="str">
        <f aca="false">IF(ISBLANK($C212),"",IF(ISNUMBER($I212),IF($I212&gt;=0,$I212,""),""))</f>
        <v/>
      </c>
      <c r="AM212" s="100" t="str">
        <f aca="false">IF(ISBLANK($C212),"",IF(ISNUMBER($J212),IF($J212&gt;=0,$J212,""),""))</f>
        <v/>
      </c>
      <c r="AN212" s="100" t="str">
        <f aca="false">IF(ISBLANK($C212),"",IF(ISNUMBER($K212),IF($K212&gt;=0,$K212,""),""))</f>
        <v/>
      </c>
      <c r="AO212" s="100" t="str">
        <f aca="false">IF(ISBLANK($C212),"",IF($L212=Constants!$B$2,TRUE(),IF($L212=Constants!$B$3,FALSE(),TRUE())))</f>
        <v/>
      </c>
      <c r="AP212" s="100" t="str">
        <f aca="false">IF(ISBLANK($C212),"",IF($M212=Constants!$B$2,TRUE(),IF($M212=Constants!$B$3,FALSE(),TRUE())))</f>
        <v/>
      </c>
      <c r="AQ212" s="100" t="str">
        <f aca="false">IF(ISBLANK($C212),"",IF($N212=Constants!$B$2,TRUE(),IF($N212=Constants!$B$3,FALSE(),FALSE())))</f>
        <v/>
      </c>
      <c r="AR212" s="100" t="str">
        <f aca="false">IF(ISBLANK($C212),"",IF($O212=Constants!$B$2,TRUE(),IF($O212=Constants!$B$3,FALSE(),TRUE())))</f>
        <v/>
      </c>
      <c r="AS212" s="100" t="str">
        <f aca="false">IF(ISBLANK($C212),"",IF($P212=Constants!$B$2,TRUE(),IF($P212=Constants!$B$3,FALSE(),FALSE())))</f>
        <v/>
      </c>
      <c r="AT212" s="100" t="str">
        <f aca="false">IF(ISBLANK($C212),"",IF($Q212=Constants!$B$2,TRUE(),IF($Q212=Constants!$B$3,FALSE(),FALSE())))</f>
        <v/>
      </c>
      <c r="AU212" s="100" t="str">
        <f aca="false">IF(ISBLANK($C212),"",IF($R212=Constants!$B$2,TRUE(),IF($R212=Constants!$B$3,FALSE(),FALSE())))</f>
        <v/>
      </c>
      <c r="AV212" s="100" t="str">
        <f aca="false">IF(ISBLANK($C212),"",IF($S212=Constants!$B$2,TRUE(),IF($S212=Constants!$B$3,FALSE(),FALSE())))</f>
        <v/>
      </c>
      <c r="AW212" s="100" t="str">
        <f aca="false">IF(ISBLANK($C212),"",IF($T212=Constants!$B$2,TRUE(),IF($T212=Constants!$B$3,FALSE(),FALSE())))</f>
        <v/>
      </c>
      <c r="AX212" s="100" t="str">
        <f aca="false">IF(ISBLANK($C212),"",IF(OR($U212&amp;""="1",$U212&amp;""="2",$U212&amp;""="3",$U212&amp;""="4"),VALUE($U212&amp;""),IF($U212=Constants!$B$12,Constants!$B$12,"")))</f>
        <v/>
      </c>
      <c r="AY212" s="100" t="str">
        <f aca="false">IF(ISBLANK($C212),"",IF(ISBLANK($V212),0,IF(ISNUMBER($V212),IF(AND($V212&gt;=0,$V212&lt;=Constants!$B$21,$V212=INT($V212)),$V212,""),"")))</f>
        <v/>
      </c>
      <c r="AZ212" s="100" t="str">
        <f aca="false">IF(ISBLANK($C212),"",IF(ISBLANK($W212),0,IF(ISNUMBER($W212),IF($W212&gt;=0,$W212,""),"")))</f>
        <v/>
      </c>
      <c r="BA212" s="100" t="str">
        <f aca="false">IF(ISBLANK($C212),"",IF($X212=Constants!$B$2,TRUE(),IF($X212=Constants!$B$3,FALSE(),TRUE())))</f>
        <v/>
      </c>
      <c r="BB212" s="100" t="str">
        <f aca="false">IF(ISBLANK($C212),"",IF($Y212=Constants!$B$2,TRUE(),IF($Y212=Constants!$B$3,FALSE(),FALSE())))</f>
        <v/>
      </c>
      <c r="BC212" s="100" t="str">
        <f aca="false">IF(ISBLANK($C212),"",IF(ISBLANK($Z212),0,IF(ISNUMBER($Z212),IF(AND($Z212&gt;=0,$Z212&lt;=Constants!$B$35,$Z212=INT($Z212)),$Z212,""),"")))</f>
        <v/>
      </c>
      <c r="BD212" s="100" t="str">
        <f aca="false">IF(ISBLANK($C212),"",IF($AA212=Constants!$B$2,TRUE(),IF($AA212=Constants!$B$3,FALSE(),TRUE())))</f>
        <v/>
      </c>
      <c r="BE212" s="100" t="str">
        <f aca="false">IF(ISBLANK($C212),"",IF($AB212=Constants!$B$2,TRUE(),IF($AB212=Constants!$B$3,FALSE(),TRUE())))</f>
        <v/>
      </c>
      <c r="BF212" s="100" t="str">
        <f aca="false">IF(ISBLANK($C212),"",IF(ISNUMBER($AC212),IF($AC212&gt;=0,$AC212,""),""))</f>
        <v/>
      </c>
      <c r="BG212" s="100" t="str">
        <f aca="false">IF(ISBLANK($C212),"",IF($AD212=Constants!$B$2,TRUE(),IF($AD212=Constants!$B$3,FALSE(),FALSE())))</f>
        <v/>
      </c>
      <c r="BH212" s="99" t="str">
        <f aca="false">IF(ISBLANK($C212),"",IF($BG212,Constants!$B$7,IF(COUNTA($E212:$AC212)=0,Constants!$B$6,IF(OR(COUNTA($G212:$AC212)=0,NOT($AK212),$AQ212),Constants!$B$5,IF(OR($CI212&lt;&gt;"",$CJ212,$CK212,$CL212,$CM212,$CN212,$CO212),Constants!$B$8,Constants!$B$4)))))</f>
        <v/>
      </c>
      <c r="BI212" s="100" t="str">
        <f aca="false">IF(ISBLANK($C212),"",IF($BH212&lt;&gt;Constants!$B$4,$BH212,IF(OR(NOT($AH212),NOT($AJ212),NOT($AR212)),Constants!$B$11,IF(OR(NOT($AP212),MAX($AL212,$AM212,$AN212)&gt;Constants!$B$30),Constants!$B$10,Constants!$B$9))))</f>
        <v/>
      </c>
      <c r="BJ212" s="100" t="str">
        <f aca="false">IF($BH212&lt;&gt;Constants!$B$4,"",IF(NOT($AJ212),0,MIN(Constants!$B$35,$BC212)))</f>
        <v/>
      </c>
      <c r="BK212" s="100" t="str">
        <f aca="false">IF($BH212&lt;&gt;Constants!$B$4,"",IF(NOT($AJ212),0,IF($AT212,Constants!$B$18,IF($AS212,Constants!$B$17,0))))</f>
        <v/>
      </c>
      <c r="BL212" s="100" t="str">
        <f aca="false">IF($BH212&lt;&gt;Constants!$B$4,"",IF(NOT($AJ212),0,Constants!$B$19*($AI212+$AU212+$AV212+$AW212)))</f>
        <v/>
      </c>
      <c r="BM212" s="100" t="str">
        <f aca="false">IF($BH212&lt;&gt;Constants!$B$4,"",IF(OR(NOT($AJ212),NOT(ISNUMBER($AX212))),0,CHOOSE($AX212,Constants!$B$13,Constants!$B$14,Constants!$B$15,Constants!$B$16)))</f>
        <v/>
      </c>
      <c r="BN212" s="100" t="str">
        <f aca="false">IF($BH212&lt;&gt;Constants!$B$4,"",IF(NOT($AJ212),0,Constants!$B$20*$AY212))</f>
        <v/>
      </c>
      <c r="BO212" s="100" t="str">
        <f aca="false">IF($BH212&lt;&gt;Constants!$B$4,"",IF(AND($AJ212,$BA212,$BB212),Constants!$B$22,0))</f>
        <v/>
      </c>
      <c r="BP212" s="100" t="str">
        <f aca="false">IF($BH212&lt;&gt;Constants!$B$4,"",IF(OR(NOT($AJ212),NOT($BA212)),0,IF($BF212&gt;=2*$AF$9,0,Constants!$B$23*INT(ROUND(MIN($BF212,$AF$9),6)))))</f>
        <v/>
      </c>
      <c r="BQ212" s="100" t="str">
        <f aca="false">IF($BH212&lt;&gt;Constants!$B$4,"",IF(NOT($AJ212),0,Constants!$B$24*INT(ROUND(MIN($AZ212,$AF$9),6))))</f>
        <v/>
      </c>
      <c r="BR212" s="100" t="str">
        <f aca="false">IF($BH212&lt;&gt;Constants!$B$4,"",IF(AND($AJ212,$BJ212=0),Constants!$B$25,0))</f>
        <v/>
      </c>
      <c r="BS212" s="100" t="str">
        <f aca="false">IF($BH212&lt;&gt;Constants!$B$4,"",MIN(Constants!$B$29,MAX(0,Constants!$B$27*Constants!$B$28*INT(ROUND((Constants!$B$26-$AL212)/Constants!$B$28,6))))+MIN(Constants!$B$29,MAX(0,Constants!$B$27*Constants!$B$28*INT(ROUND((Constants!$B$26-$AM212)/Constants!$B$28,6))))+MIN(Constants!$B$29,MAX(0,Constants!$B$27*Constants!$B$28*INT(ROUND((Constants!$B$26-$AN212)/Constants!$B$28,6)))))</f>
        <v/>
      </c>
      <c r="BT212" s="100" t="str">
        <f aca="false">IF($BH212&lt;&gt;Constants!$B$4,"",IF(NOT($AJ212),0,Constants!$B$31*INT(ROUND(MAX(0,MIN($BF212,2*$AF$9)-$AF$9),6))))</f>
        <v/>
      </c>
      <c r="BU212" s="100" t="str">
        <f aca="false">IF($BH212&lt;&gt;Constants!$B$4,"",Constants!$B$32*(($AL212&gt;Constants!$B$26)+($AM212&gt;Constants!$B$26)+($AN212&gt;Constants!$B$26)))</f>
        <v/>
      </c>
      <c r="BV212" s="100" t="str">
        <f aca="false">IF($BH212&lt;&gt;Constants!$B$4,"",IF(OR(NOT($AJ212),$AO212),0,Constants!$B$33))</f>
        <v/>
      </c>
      <c r="BW212" s="100" t="str">
        <f aca="false">IF($BH212&lt;&gt;Constants!$B$4,"",Constants!$B$34*$BJ212)</f>
        <v/>
      </c>
      <c r="BX212" s="100" t="str">
        <f aca="false">IF($BH212&lt;&gt;Constants!$B$4,"",IF(OR(NOT($AJ212),$BE212),0,Constants!$B$36))</f>
        <v/>
      </c>
      <c r="BY212" s="100" t="str">
        <f aca="false">IF($BH212&lt;&gt;Constants!$B$4,"",IF(OR(NOT($AJ212),$BD212),0,Constants!$B$37))</f>
        <v/>
      </c>
      <c r="BZ212" s="100" t="str">
        <f aca="false">IF($BH212&lt;&gt;Constants!$B$4,"",SUM($BT212:$BY212))</f>
        <v/>
      </c>
      <c r="CA212" s="100" t="str">
        <f aca="false">IF(ISBLANK($C212),"",IF($BH212&lt;&gt;Constants!$B$4,$BH212,SUM($BK212:$BS212)-$BZ212))</f>
        <v/>
      </c>
      <c r="CB212" s="100" t="str">
        <f aca="false">IF(ISBLANK($C212),"",IF($BH212&lt;&gt;Constants!$B$4,$BH212,RANK($CA212,$CA$9:$CA$508)))</f>
        <v/>
      </c>
      <c r="CC212" s="100" t="str">
        <f aca="false">IF(ISBLANK($C212),"",IF($BH212&lt;&gt;Constants!$B$4,$BH212,COUNTIFS($BI$9:$BI$508,"&lt;"&amp;$BI212)+COUNTIFS($BI$9:$BI$508,$BI212,$CB$9:$CB$508,"&lt;"&amp;$CB212)+1))</f>
        <v/>
      </c>
      <c r="CD212" s="100" t="str">
        <f aca="false">IF(ISBLANK($C212),"",IF($BH212&lt;&gt;Constants!$B$4,$BH212,RANK($BZ212,$BZ$9:$BZ$508,1)))</f>
        <v/>
      </c>
      <c r="CE212" s="100" t="str">
        <f aca="false">IF($BH212&lt;&gt;Constants!$B$4,"",$AL212+$AM212+$AN212)</f>
        <v/>
      </c>
      <c r="CF212" s="100" t="str">
        <f aca="false">IF(ISBLANK($C212),"",IF($BH212&lt;&gt;Constants!$B$4,$BH212,RANK($CE212,$CE$9:$CE$508,1)))</f>
        <v/>
      </c>
      <c r="CG212" s="100" t="str">
        <f aca="false">IF(ISBLANK($C212),"",IF($BH212&lt;&gt;Constants!$B$4,$BH212,COUNTIFS($BI$9:$BI$508,"&lt;"&amp;$BI212)+COUNTIFS($BI$9:$BI$508,$BI212,$CB$9:$CB$508,"&lt;"&amp;$CB212)+COUNTIFS($BI$9:$BI$508,$BI212,$CB$9:$CB$508,$CB212,$CD$9:$CD$508,"&lt;"&amp;$CD212)+COUNTIFS($BI$9:$BI$508,$BI212,$CB$9:$CB$508,$CB212,$CD$9:$CD$508,$CD212,$CF$9:$CF$508,"&lt;"&amp;$CF212)+1))</f>
        <v/>
      </c>
      <c r="CH212" s="100" t="str">
        <f aca="false">IF(ISBLANK($C212),"",IF($BH212&lt;&gt;Constants!$B$4,$BH212,$CC212-$CG212))</f>
        <v/>
      </c>
      <c r="CI212" s="100" t="str">
        <f aca="false">IF(ISBLANK($C212),"",IF(NOT($AJ212),"",IF(ISBLANK($D$7),$CI$5,IF(NOT(ISNUMBER($D$7)),$CI$6,""))))</f>
        <v/>
      </c>
      <c r="CJ212" s="100" t="str">
        <f aca="false">IF(ISBLANK($C212),"",OR($AL212="",$AM212="",$AN212=""))</f>
        <v/>
      </c>
      <c r="CK212" s="100" t="str">
        <f aca="false">IF(ISBLANK($C212),"",AND($AJ212,$AX212=""))</f>
        <v/>
      </c>
      <c r="CL212" s="100" t="str">
        <f aca="false">IF(ISBLANK($C212),"",AND($AJ212,$AY212=""))</f>
        <v/>
      </c>
      <c r="CM212" s="100" t="str">
        <f aca="false">IF(ISBLANK($C212),"",AND($AJ212,$AZ212=""))</f>
        <v/>
      </c>
      <c r="CN212" s="100" t="str">
        <f aca="false">IF(ISBLANK($C212),"",AND($AJ212,$BC212=""))</f>
        <v/>
      </c>
      <c r="CO212" s="100" t="str">
        <f aca="false">IF(ISBLANK($C212),"",AND($AJ212,$BF212=""))</f>
        <v/>
      </c>
      <c r="CP212" s="101"/>
      <c r="CQ212" s="102"/>
      <c r="CR212" s="103" t="str">
        <f aca="false">IF(ISBLANK($C212),"",IF($BH212=Constants!$B$8,$CI212,""))</f>
        <v/>
      </c>
      <c r="CS212" s="102" t="str">
        <f aca="false">IF(ISBLANK($C212),"",IF($BH212&lt;&gt;Constants!$B$4,"",$BK212+$BL212))</f>
        <v/>
      </c>
      <c r="CT212" s="104" t="str">
        <f aca="false">IF(ISBLANK($C212),"",IF($BH212&lt;&gt;Constants!$B$4,"",$BM212+$BN212+$BO212))</f>
        <v/>
      </c>
      <c r="CU212" s="104" t="str">
        <f aca="false">IF(ISBLANK($C212),"",IF($BH212&lt;&gt;Constants!$B$4,"",$BP212))</f>
        <v/>
      </c>
      <c r="CV212" s="104" t="str">
        <f aca="false">IF(ISBLANK($C212),"",IF($BH212&lt;&gt;Constants!$B$4,"",$BQ212+$BR212))</f>
        <v/>
      </c>
      <c r="CW212" s="104" t="str">
        <f aca="false">IF(ISBLANK($C212),"",IF($BH212&lt;&gt;Constants!$B$4,"",$BS212))</f>
        <v/>
      </c>
      <c r="CX212" s="104" t="str">
        <f aca="false">IF(ISBLANK($C212),"",IF($BH212&lt;&gt;Constants!$B$4,"",-$BZ212))</f>
        <v/>
      </c>
      <c r="CY212" s="103" t="str">
        <f aca="false">IF(ISBLANK($C212),"",$CA212)</f>
        <v/>
      </c>
      <c r="CZ212" s="105" t="str">
        <f aca="false">IF(ISBLANK($C212),"",$BI212)</f>
        <v/>
      </c>
      <c r="DA212" s="104" t="str">
        <f aca="false">IF(ISBLANK($C212),"",$CH212)</f>
        <v/>
      </c>
      <c r="DB212" s="104" t="str">
        <f aca="false">IF(ISBLANK($C212),"",$CG212)</f>
        <v/>
      </c>
      <c r="DC212" s="106" t="str">
        <f aca="false">IF(ISBLANK($C212),"",IFERROR(_xlfn.SWITCH($DB212,Constants!$B$7,COUNTA($C$9:$C$508)+2,Constants!$B$6,COUNTA($C$9:$C$508)+1,Constants!$B$5,COUNTA($C$9:$C$508)),$DB212))</f>
        <v/>
      </c>
      <c r="DD212" s="7"/>
      <c r="DE212" s="107" t="n">
        <f aca="false">IF(OR(ISNUMBER($DB212),$DB212=Constants!$B$7,$DB212=Constants!$B$5,$DB212=Constants!$B$6),1,0)</f>
        <v>0</v>
      </c>
      <c r="DF212" s="107" t="n">
        <v>204</v>
      </c>
      <c r="DG212" s="107" t="str">
        <f aca="false">IF(ISBLANK($C212),"",IF(ISNUMBER($DC212),$DC212+ROW($B212)/1000,""))</f>
        <v/>
      </c>
      <c r="DH212" s="107" t="str">
        <f aca="false">IF(ISNUMBER($DG212),RANK($DG212,$DG$9:$DG$508,1),"")</f>
        <v/>
      </c>
      <c r="DI212" s="107" t="str">
        <f aca="false">IF(ISBLANK($C212),"",$B212)</f>
        <v/>
      </c>
      <c r="DJ212" s="107" t="str">
        <f aca="false">IF(ISBLANK($C212),"",$C212)</f>
        <v/>
      </c>
      <c r="DK212" s="107" t="str">
        <f aca="false">IF(ISBLANK($C212),"",$D212)</f>
        <v/>
      </c>
      <c r="DL212" s="108" t="str">
        <f aca="false">$CZ212</f>
        <v/>
      </c>
      <c r="DM212" s="109" t="str">
        <f aca="false">$CY212</f>
        <v/>
      </c>
      <c r="DN212" s="107" t="str">
        <f aca="false">IF(ISBLANK($C212),"",$DB212)</f>
        <v/>
      </c>
      <c r="DO212" s="110" t="str">
        <f aca="false">IF($DF212&gt;$DE$8,"",VLOOKUP($DF212,$DH$9:$DN$508,7,FALSE()))</f>
        <v/>
      </c>
      <c r="DP212" s="111" t="str">
        <f aca="false">IF($DF212&gt;$DE$8,"",VLOOKUP($DF212,$DH$9:$DN$508,2,FALSE()))</f>
        <v/>
      </c>
      <c r="DQ212" s="111" t="str">
        <f aca="false">IF($DF212&gt;$DE$8,"",VLOOKUP($DF212,$DH$9:$DN$508,3,FALSE()))</f>
        <v/>
      </c>
      <c r="DR212" s="111" t="str">
        <f aca="false">IF($DF212&gt;$DE$8,"",VLOOKUP($DF212,$DH$9:$DN$508,4,FALSE()))</f>
        <v/>
      </c>
      <c r="DS212" s="111" t="str">
        <f aca="false">IF($DF212&gt;$DE$8,"",VLOOKUP($DF212,$DH$9:$DN$508,5,FALSE()))</f>
        <v/>
      </c>
      <c r="DT212" s="112" t="str">
        <f aca="false">IF($DF212&gt;$DE$8,"",VLOOKUP($DF212,$DH$9:$DN$508,6,FALSE()))</f>
        <v/>
      </c>
      <c r="DU212" s="62"/>
    </row>
    <row r="213" customFormat="false" ht="15.75" hidden="false" customHeight="false" outlineLevel="0" collapsed="false">
      <c r="A213" s="7"/>
      <c r="B213" s="64"/>
      <c r="C213" s="65"/>
      <c r="D213" s="123"/>
      <c r="E213" s="88"/>
      <c r="F213" s="134"/>
      <c r="G213" s="88"/>
      <c r="H213" s="134"/>
      <c r="I213" s="119"/>
      <c r="J213" s="119"/>
      <c r="K213" s="119"/>
      <c r="L213" s="88"/>
      <c r="M213" s="88"/>
      <c r="N213" s="88"/>
      <c r="O213" s="134"/>
      <c r="P213" s="88"/>
      <c r="Q213" s="88"/>
      <c r="R213" s="88"/>
      <c r="S213" s="88"/>
      <c r="T213" s="134"/>
      <c r="U213" s="88"/>
      <c r="V213" s="70"/>
      <c r="W213" s="88"/>
      <c r="X213" s="88"/>
      <c r="Y213" s="70"/>
      <c r="Z213" s="70"/>
      <c r="AA213" s="88"/>
      <c r="AB213" s="88"/>
      <c r="AC213" s="71"/>
      <c r="AD213" s="88"/>
      <c r="AE213" s="73"/>
      <c r="AF213" s="74"/>
      <c r="AG213" s="74"/>
      <c r="AH213" s="74" t="str">
        <f aca="false">IF(ISBLANK($C213),"",IF($E213=Constants!$B$2,TRUE(),IF($E213=Constants!$B$3,FALSE(),TRUE())))</f>
        <v/>
      </c>
      <c r="AI213" s="74" t="str">
        <f aca="false">IF(ISBLANK($C213),"",IF($F213=Constants!$B$2,TRUE(),IF($F213=Constants!$B$3,FALSE(),FALSE())))</f>
        <v/>
      </c>
      <c r="AJ213" s="74" t="str">
        <f aca="false">IF(ISBLANK($C213),"",IF($G213=Constants!$B$2,TRUE(),IF($G213=Constants!$B$3,FALSE(),TRUE())))</f>
        <v/>
      </c>
      <c r="AK213" s="74" t="str">
        <f aca="false">IF(ISBLANK($C213),"",IF($H213=Constants!$B$2,TRUE(),IF($H213=Constants!$B$3,FALSE(),TRUE())))</f>
        <v/>
      </c>
      <c r="AL213" s="74" t="str">
        <f aca="false">IF(ISBLANK($C213),"",IF(ISNUMBER($I213),IF($I213&gt;=0,$I213,""),""))</f>
        <v/>
      </c>
      <c r="AM213" s="74" t="str">
        <f aca="false">IF(ISBLANK($C213),"",IF(ISNUMBER($J213),IF($J213&gt;=0,$J213,""),""))</f>
        <v/>
      </c>
      <c r="AN213" s="74" t="str">
        <f aca="false">IF(ISBLANK($C213),"",IF(ISNUMBER($K213),IF($K213&gt;=0,$K213,""),""))</f>
        <v/>
      </c>
      <c r="AO213" s="74" t="str">
        <f aca="false">IF(ISBLANK($C213),"",IF($L213=Constants!$B$2,TRUE(),IF($L213=Constants!$B$3,FALSE(),TRUE())))</f>
        <v/>
      </c>
      <c r="AP213" s="74" t="str">
        <f aca="false">IF(ISBLANK($C213),"",IF($M213=Constants!$B$2,TRUE(),IF($M213=Constants!$B$3,FALSE(),TRUE())))</f>
        <v/>
      </c>
      <c r="AQ213" s="74" t="str">
        <f aca="false">IF(ISBLANK($C213),"",IF($N213=Constants!$B$2,TRUE(),IF($N213=Constants!$B$3,FALSE(),FALSE())))</f>
        <v/>
      </c>
      <c r="AR213" s="74" t="str">
        <f aca="false">IF(ISBLANK($C213),"",IF($O213=Constants!$B$2,TRUE(),IF($O213=Constants!$B$3,FALSE(),TRUE())))</f>
        <v/>
      </c>
      <c r="AS213" s="74" t="str">
        <f aca="false">IF(ISBLANK($C213),"",IF($P213=Constants!$B$2,TRUE(),IF($P213=Constants!$B$3,FALSE(),FALSE())))</f>
        <v/>
      </c>
      <c r="AT213" s="74" t="str">
        <f aca="false">IF(ISBLANK($C213),"",IF($Q213=Constants!$B$2,TRUE(),IF($Q213=Constants!$B$3,FALSE(),FALSE())))</f>
        <v/>
      </c>
      <c r="AU213" s="74" t="str">
        <f aca="false">IF(ISBLANK($C213),"",IF($R213=Constants!$B$2,TRUE(),IF($R213=Constants!$B$3,FALSE(),FALSE())))</f>
        <v/>
      </c>
      <c r="AV213" s="74" t="str">
        <f aca="false">IF(ISBLANK($C213),"",IF($S213=Constants!$B$2,TRUE(),IF($S213=Constants!$B$3,FALSE(),FALSE())))</f>
        <v/>
      </c>
      <c r="AW213" s="74" t="str">
        <f aca="false">IF(ISBLANK($C213),"",IF($T213=Constants!$B$2,TRUE(),IF($T213=Constants!$B$3,FALSE(),FALSE())))</f>
        <v/>
      </c>
      <c r="AX213" s="74" t="str">
        <f aca="false">IF(ISBLANK($C213),"",IF(OR($U213&amp;""="1",$U213&amp;""="2",$U213&amp;""="3",$U213&amp;""="4"),VALUE($U213&amp;""),IF($U213=Constants!$B$12,Constants!$B$12,"")))</f>
        <v/>
      </c>
      <c r="AY213" s="74" t="str">
        <f aca="false">IF(ISBLANK($C213),"",IF(ISBLANK($V213),0,IF(ISNUMBER($V213),IF(AND($V213&gt;=0,$V213&lt;=Constants!$B$21,$V213=INT($V213)),$V213,""),"")))</f>
        <v/>
      </c>
      <c r="AZ213" s="74" t="str">
        <f aca="false">IF(ISBLANK($C213),"",IF(ISBLANK($W213),0,IF(ISNUMBER($W213),IF($W213&gt;=0,$W213,""),"")))</f>
        <v/>
      </c>
      <c r="BA213" s="74" t="str">
        <f aca="false">IF(ISBLANK($C213),"",IF($X213=Constants!$B$2,TRUE(),IF($X213=Constants!$B$3,FALSE(),TRUE())))</f>
        <v/>
      </c>
      <c r="BB213" s="74" t="str">
        <f aca="false">IF(ISBLANK($C213),"",IF($Y213=Constants!$B$2,TRUE(),IF($Y213=Constants!$B$3,FALSE(),FALSE())))</f>
        <v/>
      </c>
      <c r="BC213" s="74" t="str">
        <f aca="false">IF(ISBLANK($C213),"",IF(ISBLANK($Z213),0,IF(ISNUMBER($Z213),IF(AND($Z213&gt;=0,$Z213&lt;=Constants!$B$35,$Z213=INT($Z213)),$Z213,""),"")))</f>
        <v/>
      </c>
      <c r="BD213" s="74" t="str">
        <f aca="false">IF(ISBLANK($C213),"",IF($AA213=Constants!$B$2,TRUE(),IF($AA213=Constants!$B$3,FALSE(),TRUE())))</f>
        <v/>
      </c>
      <c r="BE213" s="74" t="str">
        <f aca="false">IF(ISBLANK($C213),"",IF($AB213=Constants!$B$2,TRUE(),IF($AB213=Constants!$B$3,FALSE(),TRUE())))</f>
        <v/>
      </c>
      <c r="BF213" s="74" t="str">
        <f aca="false">IF(ISBLANK($C213),"",IF(ISNUMBER($AC213),IF($AC213&gt;=0,$AC213,""),""))</f>
        <v/>
      </c>
      <c r="BG213" s="74" t="str">
        <f aca="false">IF(ISBLANK($C213),"",IF($AD213=Constants!$B$2,TRUE(),IF($AD213=Constants!$B$3,FALSE(),FALSE())))</f>
        <v/>
      </c>
      <c r="BH213" s="73" t="str">
        <f aca="false">IF(ISBLANK($C213),"",IF($BG213,Constants!$B$7,IF(COUNTA($E213:$AC213)=0,Constants!$B$6,IF(OR(COUNTA($G213:$AC213)=0,NOT($AK213),$AQ213),Constants!$B$5,IF(OR($CI213&lt;&gt;"",$CJ213,$CK213,$CL213,$CM213,$CN213,$CO213),Constants!$B$8,Constants!$B$4)))))</f>
        <v/>
      </c>
      <c r="BI213" s="74" t="str">
        <f aca="false">IF(ISBLANK($C213),"",IF($BH213&lt;&gt;Constants!$B$4,$BH213,IF(OR(NOT($AH213),NOT($AJ213),NOT($AR213)),Constants!$B$11,IF(OR(NOT($AP213),MAX($AL213,$AM213,$AN213)&gt;Constants!$B$30),Constants!$B$10,Constants!$B$9))))</f>
        <v/>
      </c>
      <c r="BJ213" s="74" t="str">
        <f aca="false">IF($BH213&lt;&gt;Constants!$B$4,"",IF(NOT($AJ213),0,MIN(Constants!$B$35,$BC213)))</f>
        <v/>
      </c>
      <c r="BK213" s="74" t="str">
        <f aca="false">IF($BH213&lt;&gt;Constants!$B$4,"",IF(NOT($AJ213),0,IF($AT213,Constants!$B$18,IF($AS213,Constants!$B$17,0))))</f>
        <v/>
      </c>
      <c r="BL213" s="74" t="str">
        <f aca="false">IF($BH213&lt;&gt;Constants!$B$4,"",IF(NOT($AJ213),0,Constants!$B$19*($AI213+$AU213+$AV213+$AW213)))</f>
        <v/>
      </c>
      <c r="BM213" s="74" t="str">
        <f aca="false">IF($BH213&lt;&gt;Constants!$B$4,"",IF(OR(NOT($AJ213),NOT(ISNUMBER($AX213))),0,CHOOSE($AX213,Constants!$B$13,Constants!$B$14,Constants!$B$15,Constants!$B$16)))</f>
        <v/>
      </c>
      <c r="BN213" s="74" t="str">
        <f aca="false">IF($BH213&lt;&gt;Constants!$B$4,"",IF(NOT($AJ213),0,Constants!$B$20*$AY213))</f>
        <v/>
      </c>
      <c r="BO213" s="74" t="str">
        <f aca="false">IF($BH213&lt;&gt;Constants!$B$4,"",IF(AND($AJ213,$BA213,$BB213),Constants!$B$22,0))</f>
        <v/>
      </c>
      <c r="BP213" s="74" t="str">
        <f aca="false">IF($BH213&lt;&gt;Constants!$B$4,"",IF(OR(NOT($AJ213),NOT($BA213)),0,IF($BF213&gt;=2*$AF$9,0,Constants!$B$23*INT(ROUND(MIN($BF213,$AF$9),6)))))</f>
        <v/>
      </c>
      <c r="BQ213" s="74" t="str">
        <f aca="false">IF($BH213&lt;&gt;Constants!$B$4,"",IF(NOT($AJ213),0,Constants!$B$24*INT(ROUND(MIN($AZ213,$AF$9),6))))</f>
        <v/>
      </c>
      <c r="BR213" s="74" t="str">
        <f aca="false">IF($BH213&lt;&gt;Constants!$B$4,"",IF(AND($AJ213,$BJ213=0),Constants!$B$25,0))</f>
        <v/>
      </c>
      <c r="BS213" s="74" t="str">
        <f aca="false">IF($BH213&lt;&gt;Constants!$B$4,"",MIN(Constants!$B$29,MAX(0,Constants!$B$27*Constants!$B$28*INT(ROUND((Constants!$B$26-$AL213)/Constants!$B$28,6))))+MIN(Constants!$B$29,MAX(0,Constants!$B$27*Constants!$B$28*INT(ROUND((Constants!$B$26-$AM213)/Constants!$B$28,6))))+MIN(Constants!$B$29,MAX(0,Constants!$B$27*Constants!$B$28*INT(ROUND((Constants!$B$26-$AN213)/Constants!$B$28,6)))))</f>
        <v/>
      </c>
      <c r="BT213" s="74" t="str">
        <f aca="false">IF($BH213&lt;&gt;Constants!$B$4,"",IF(NOT($AJ213),0,Constants!$B$31*INT(ROUND(MAX(0,MIN($BF213,2*$AF$9)-$AF$9),6))))</f>
        <v/>
      </c>
      <c r="BU213" s="74" t="str">
        <f aca="false">IF($BH213&lt;&gt;Constants!$B$4,"",Constants!$B$32*(($AL213&gt;Constants!$B$26)+($AM213&gt;Constants!$B$26)+($AN213&gt;Constants!$B$26)))</f>
        <v/>
      </c>
      <c r="BV213" s="74" t="str">
        <f aca="false">IF($BH213&lt;&gt;Constants!$B$4,"",IF(OR(NOT($AJ213),$AO213),0,Constants!$B$33))</f>
        <v/>
      </c>
      <c r="BW213" s="74" t="str">
        <f aca="false">IF($BH213&lt;&gt;Constants!$B$4,"",Constants!$B$34*$BJ213)</f>
        <v/>
      </c>
      <c r="BX213" s="74" t="str">
        <f aca="false">IF($BH213&lt;&gt;Constants!$B$4,"",IF(OR(NOT($AJ213),$BE213),0,Constants!$B$36))</f>
        <v/>
      </c>
      <c r="BY213" s="74" t="str">
        <f aca="false">IF($BH213&lt;&gt;Constants!$B$4,"",IF(OR(NOT($AJ213),$BD213),0,Constants!$B$37))</f>
        <v/>
      </c>
      <c r="BZ213" s="74" t="str">
        <f aca="false">IF($BH213&lt;&gt;Constants!$B$4,"",SUM($BT213:$BY213))</f>
        <v/>
      </c>
      <c r="CA213" s="74" t="str">
        <f aca="false">IF(ISBLANK($C213),"",IF($BH213&lt;&gt;Constants!$B$4,$BH213,SUM($BK213:$BS213)-$BZ213))</f>
        <v/>
      </c>
      <c r="CB213" s="74" t="str">
        <f aca="false">IF(ISBLANK($C213),"",IF($BH213&lt;&gt;Constants!$B$4,$BH213,RANK($CA213,$CA$9:$CA$508)))</f>
        <v/>
      </c>
      <c r="CC213" s="74" t="str">
        <f aca="false">IF(ISBLANK($C213),"",IF($BH213&lt;&gt;Constants!$B$4,$BH213,COUNTIFS($BI$9:$BI$508,"&lt;"&amp;$BI213)+COUNTIFS($BI$9:$BI$508,$BI213,$CB$9:$CB$508,"&lt;"&amp;$CB213)+1))</f>
        <v/>
      </c>
      <c r="CD213" s="74" t="str">
        <f aca="false">IF(ISBLANK($C213),"",IF($BH213&lt;&gt;Constants!$B$4,$BH213,RANK($BZ213,$BZ$9:$BZ$508,1)))</f>
        <v/>
      </c>
      <c r="CE213" s="74" t="str">
        <f aca="false">IF($BH213&lt;&gt;Constants!$B$4,"",$AL213+$AM213+$AN213)</f>
        <v/>
      </c>
      <c r="CF213" s="74" t="str">
        <f aca="false">IF(ISBLANK($C213),"",IF($BH213&lt;&gt;Constants!$B$4,$BH213,RANK($CE213,$CE$9:$CE$508,1)))</f>
        <v/>
      </c>
      <c r="CG213" s="74" t="str">
        <f aca="false">IF(ISBLANK($C213),"",IF($BH213&lt;&gt;Constants!$B$4,$BH213,COUNTIFS($BI$9:$BI$508,"&lt;"&amp;$BI213)+COUNTIFS($BI$9:$BI$508,$BI213,$CB$9:$CB$508,"&lt;"&amp;$CB213)+COUNTIFS($BI$9:$BI$508,$BI213,$CB$9:$CB$508,$CB213,$CD$9:$CD$508,"&lt;"&amp;$CD213)+COUNTIFS($BI$9:$BI$508,$BI213,$CB$9:$CB$508,$CB213,$CD$9:$CD$508,$CD213,$CF$9:$CF$508,"&lt;"&amp;$CF213)+1))</f>
        <v/>
      </c>
      <c r="CH213" s="74" t="str">
        <f aca="false">IF(ISBLANK($C213),"",IF($BH213&lt;&gt;Constants!$B$4,$BH213,$CC213-$CG213))</f>
        <v/>
      </c>
      <c r="CI213" s="74" t="str">
        <f aca="false">IF(ISBLANK($C213),"",IF(NOT($AJ213),"",IF(ISBLANK($D$7),$CI$5,IF(NOT(ISNUMBER($D$7)),$CI$6,""))))</f>
        <v/>
      </c>
      <c r="CJ213" s="74" t="str">
        <f aca="false">IF(ISBLANK($C213),"",OR($AL213="",$AM213="",$AN213=""))</f>
        <v/>
      </c>
      <c r="CK213" s="74" t="str">
        <f aca="false">IF(ISBLANK($C213),"",AND($AJ213,$AX213=""))</f>
        <v/>
      </c>
      <c r="CL213" s="74" t="str">
        <f aca="false">IF(ISBLANK($C213),"",AND($AJ213,$AY213=""))</f>
        <v/>
      </c>
      <c r="CM213" s="74" t="str">
        <f aca="false">IF(ISBLANK($C213),"",AND($AJ213,$AZ213=""))</f>
        <v/>
      </c>
      <c r="CN213" s="74" t="str">
        <f aca="false">IF(ISBLANK($C213),"",AND($AJ213,$BC213=""))</f>
        <v/>
      </c>
      <c r="CO213" s="74" t="str">
        <f aca="false">IF(ISBLANK($C213),"",AND($AJ213,$BF213=""))</f>
        <v/>
      </c>
      <c r="CP213" s="75"/>
      <c r="CQ213" s="76"/>
      <c r="CR213" s="79" t="str">
        <f aca="false">IF(ISBLANK($C213),"",IF($BH213=Constants!$B$8,$CI213,""))</f>
        <v/>
      </c>
      <c r="CS213" s="76" t="str">
        <f aca="false">IF(ISBLANK($C213),"",IF($BH213&lt;&gt;Constants!$B$4,"",$BK213+$BL213))</f>
        <v/>
      </c>
      <c r="CT213" s="78" t="str">
        <f aca="false">IF(ISBLANK($C213),"",IF($BH213&lt;&gt;Constants!$B$4,"",$BM213+$BN213+$BO213))</f>
        <v/>
      </c>
      <c r="CU213" s="78" t="str">
        <f aca="false">IF(ISBLANK($C213),"",IF($BH213&lt;&gt;Constants!$B$4,"",$BP213))</f>
        <v/>
      </c>
      <c r="CV213" s="78" t="str">
        <f aca="false">IF(ISBLANK($C213),"",IF($BH213&lt;&gt;Constants!$B$4,"",$BQ213+$BR213))</f>
        <v/>
      </c>
      <c r="CW213" s="78" t="str">
        <f aca="false">IF(ISBLANK($C213),"",IF($BH213&lt;&gt;Constants!$B$4,"",$BS213))</f>
        <v/>
      </c>
      <c r="CX213" s="78" t="str">
        <f aca="false">IF(ISBLANK($C213),"",IF($BH213&lt;&gt;Constants!$B$4,"",-$BZ213))</f>
        <v/>
      </c>
      <c r="CY213" s="79" t="str">
        <f aca="false">IF(ISBLANK($C213),"",$CA213)</f>
        <v/>
      </c>
      <c r="CZ213" s="80" t="str">
        <f aca="false">IF(ISBLANK($C213),"",$BI213)</f>
        <v/>
      </c>
      <c r="DA213" s="78" t="str">
        <f aca="false">IF(ISBLANK($C213),"",$CH213)</f>
        <v/>
      </c>
      <c r="DB213" s="78" t="str">
        <f aca="false">IF(ISBLANK($C213),"",$CG213)</f>
        <v/>
      </c>
      <c r="DC213" s="81" t="str">
        <f aca="false">IF(ISBLANK($C213),"",IFERROR(_xlfn.SWITCH($DB213,Constants!$B$7,COUNTA($C$9:$C$508)+2,Constants!$B$6,COUNTA($C$9:$C$508)+1,Constants!$B$5,COUNTA($C$9:$C$508)),$DB213))</f>
        <v/>
      </c>
      <c r="DD213" s="7"/>
      <c r="DE213" s="82" t="n">
        <f aca="false">IF(OR(ISNUMBER($DB213),$DB213=Constants!$B$7,$DB213=Constants!$B$5,$DB213=Constants!$B$6),1,0)</f>
        <v>0</v>
      </c>
      <c r="DF213" s="82" t="n">
        <v>205</v>
      </c>
      <c r="DG213" s="82" t="str">
        <f aca="false">IF(ISBLANK($C213),"",IF(ISNUMBER($DC213),$DC213+ROW($B213)/1000,""))</f>
        <v/>
      </c>
      <c r="DH213" s="82" t="str">
        <f aca="false">IF(ISNUMBER($DG213),RANK($DG213,$DG$9:$DG$508,1),"")</f>
        <v/>
      </c>
      <c r="DI213" s="82" t="str">
        <f aca="false">IF(ISBLANK($C213),"",$B213)</f>
        <v/>
      </c>
      <c r="DJ213" s="82" t="str">
        <f aca="false">IF(ISBLANK($C213),"",$C213)</f>
        <v/>
      </c>
      <c r="DK213" s="82" t="str">
        <f aca="false">IF(ISBLANK($C213),"",$D213)</f>
        <v/>
      </c>
      <c r="DL213" s="83" t="str">
        <f aca="false">$CZ213</f>
        <v/>
      </c>
      <c r="DM213" s="84" t="str">
        <f aca="false">$CY213</f>
        <v/>
      </c>
      <c r="DN213" s="82" t="str">
        <f aca="false">IF(ISBLANK($C213),"",$DB213)</f>
        <v/>
      </c>
      <c r="DO213" s="85" t="str">
        <f aca="false">IF($DF213&gt;$DE$8,"",VLOOKUP($DF213,$DH$9:$DN$508,7,FALSE()))</f>
        <v/>
      </c>
      <c r="DP213" s="86" t="str">
        <f aca="false">IF($DF213&gt;$DE$8,"",VLOOKUP($DF213,$DH$9:$DN$508,2,FALSE()))</f>
        <v/>
      </c>
      <c r="DQ213" s="86" t="str">
        <f aca="false">IF($DF213&gt;$DE$8,"",VLOOKUP($DF213,$DH$9:$DN$508,3,FALSE()))</f>
        <v/>
      </c>
      <c r="DR213" s="86" t="str">
        <f aca="false">IF($DF213&gt;$DE$8,"",VLOOKUP($DF213,$DH$9:$DN$508,4,FALSE()))</f>
        <v/>
      </c>
      <c r="DS213" s="86" t="str">
        <f aca="false">IF($DF213&gt;$DE$8,"",VLOOKUP($DF213,$DH$9:$DN$508,5,FALSE()))</f>
        <v/>
      </c>
      <c r="DT213" s="87" t="str">
        <f aca="false">IF($DF213&gt;$DE$8,"",VLOOKUP($DF213,$DH$9:$DN$508,6,FALSE()))</f>
        <v/>
      </c>
      <c r="DU213" s="62"/>
    </row>
    <row r="214" customFormat="false" ht="15.75" hidden="false" customHeight="false" outlineLevel="0" collapsed="false">
      <c r="A214" s="7"/>
      <c r="B214" s="64"/>
      <c r="C214" s="65"/>
      <c r="D214" s="123"/>
      <c r="E214" s="88"/>
      <c r="F214" s="134"/>
      <c r="G214" s="88"/>
      <c r="H214" s="134"/>
      <c r="I214" s="119"/>
      <c r="J214" s="119"/>
      <c r="K214" s="119"/>
      <c r="L214" s="88"/>
      <c r="M214" s="88"/>
      <c r="N214" s="88"/>
      <c r="O214" s="134"/>
      <c r="P214" s="88"/>
      <c r="Q214" s="88"/>
      <c r="R214" s="88"/>
      <c r="S214" s="88"/>
      <c r="T214" s="134"/>
      <c r="U214" s="88"/>
      <c r="V214" s="70"/>
      <c r="W214" s="88"/>
      <c r="X214" s="88"/>
      <c r="Y214" s="70"/>
      <c r="Z214" s="70"/>
      <c r="AA214" s="88"/>
      <c r="AB214" s="88"/>
      <c r="AC214" s="71"/>
      <c r="AD214" s="88"/>
      <c r="AE214" s="73"/>
      <c r="AF214" s="74"/>
      <c r="AG214" s="74"/>
      <c r="AH214" s="74" t="str">
        <f aca="false">IF(ISBLANK($C214),"",IF($E214=Constants!$B$2,TRUE(),IF($E214=Constants!$B$3,FALSE(),TRUE())))</f>
        <v/>
      </c>
      <c r="AI214" s="74" t="str">
        <f aca="false">IF(ISBLANK($C214),"",IF($F214=Constants!$B$2,TRUE(),IF($F214=Constants!$B$3,FALSE(),FALSE())))</f>
        <v/>
      </c>
      <c r="AJ214" s="74" t="str">
        <f aca="false">IF(ISBLANK($C214),"",IF($G214=Constants!$B$2,TRUE(),IF($G214=Constants!$B$3,FALSE(),TRUE())))</f>
        <v/>
      </c>
      <c r="AK214" s="74" t="str">
        <f aca="false">IF(ISBLANK($C214),"",IF($H214=Constants!$B$2,TRUE(),IF($H214=Constants!$B$3,FALSE(),TRUE())))</f>
        <v/>
      </c>
      <c r="AL214" s="74" t="str">
        <f aca="false">IF(ISBLANK($C214),"",IF(ISNUMBER($I214),IF($I214&gt;=0,$I214,""),""))</f>
        <v/>
      </c>
      <c r="AM214" s="74" t="str">
        <f aca="false">IF(ISBLANK($C214),"",IF(ISNUMBER($J214),IF($J214&gt;=0,$J214,""),""))</f>
        <v/>
      </c>
      <c r="AN214" s="74" t="str">
        <f aca="false">IF(ISBLANK($C214),"",IF(ISNUMBER($K214),IF($K214&gt;=0,$K214,""),""))</f>
        <v/>
      </c>
      <c r="AO214" s="74" t="str">
        <f aca="false">IF(ISBLANK($C214),"",IF($L214=Constants!$B$2,TRUE(),IF($L214=Constants!$B$3,FALSE(),TRUE())))</f>
        <v/>
      </c>
      <c r="AP214" s="74" t="str">
        <f aca="false">IF(ISBLANK($C214),"",IF($M214=Constants!$B$2,TRUE(),IF($M214=Constants!$B$3,FALSE(),TRUE())))</f>
        <v/>
      </c>
      <c r="AQ214" s="74" t="str">
        <f aca="false">IF(ISBLANK($C214),"",IF($N214=Constants!$B$2,TRUE(),IF($N214=Constants!$B$3,FALSE(),FALSE())))</f>
        <v/>
      </c>
      <c r="AR214" s="74" t="str">
        <f aca="false">IF(ISBLANK($C214),"",IF($O214=Constants!$B$2,TRUE(),IF($O214=Constants!$B$3,FALSE(),TRUE())))</f>
        <v/>
      </c>
      <c r="AS214" s="74" t="str">
        <f aca="false">IF(ISBLANK($C214),"",IF($P214=Constants!$B$2,TRUE(),IF($P214=Constants!$B$3,FALSE(),FALSE())))</f>
        <v/>
      </c>
      <c r="AT214" s="74" t="str">
        <f aca="false">IF(ISBLANK($C214),"",IF($Q214=Constants!$B$2,TRUE(),IF($Q214=Constants!$B$3,FALSE(),FALSE())))</f>
        <v/>
      </c>
      <c r="AU214" s="74" t="str">
        <f aca="false">IF(ISBLANK($C214),"",IF($R214=Constants!$B$2,TRUE(),IF($R214=Constants!$B$3,FALSE(),FALSE())))</f>
        <v/>
      </c>
      <c r="AV214" s="74" t="str">
        <f aca="false">IF(ISBLANK($C214),"",IF($S214=Constants!$B$2,TRUE(),IF($S214=Constants!$B$3,FALSE(),FALSE())))</f>
        <v/>
      </c>
      <c r="AW214" s="74" t="str">
        <f aca="false">IF(ISBLANK($C214),"",IF($T214=Constants!$B$2,TRUE(),IF($T214=Constants!$B$3,FALSE(),FALSE())))</f>
        <v/>
      </c>
      <c r="AX214" s="74" t="str">
        <f aca="false">IF(ISBLANK($C214),"",IF(OR($U214&amp;""="1",$U214&amp;""="2",$U214&amp;""="3",$U214&amp;""="4"),VALUE($U214&amp;""),IF($U214=Constants!$B$12,Constants!$B$12,"")))</f>
        <v/>
      </c>
      <c r="AY214" s="74" t="str">
        <f aca="false">IF(ISBLANK($C214),"",IF(ISBLANK($V214),0,IF(ISNUMBER($V214),IF(AND($V214&gt;=0,$V214&lt;=Constants!$B$21,$V214=INT($V214)),$V214,""),"")))</f>
        <v/>
      </c>
      <c r="AZ214" s="74" t="str">
        <f aca="false">IF(ISBLANK($C214),"",IF(ISBLANK($W214),0,IF(ISNUMBER($W214),IF($W214&gt;=0,$W214,""),"")))</f>
        <v/>
      </c>
      <c r="BA214" s="74" t="str">
        <f aca="false">IF(ISBLANK($C214),"",IF($X214=Constants!$B$2,TRUE(),IF($X214=Constants!$B$3,FALSE(),TRUE())))</f>
        <v/>
      </c>
      <c r="BB214" s="74" t="str">
        <f aca="false">IF(ISBLANK($C214),"",IF($Y214=Constants!$B$2,TRUE(),IF($Y214=Constants!$B$3,FALSE(),FALSE())))</f>
        <v/>
      </c>
      <c r="BC214" s="74" t="str">
        <f aca="false">IF(ISBLANK($C214),"",IF(ISBLANK($Z214),0,IF(ISNUMBER($Z214),IF(AND($Z214&gt;=0,$Z214&lt;=Constants!$B$35,$Z214=INT($Z214)),$Z214,""),"")))</f>
        <v/>
      </c>
      <c r="BD214" s="74" t="str">
        <f aca="false">IF(ISBLANK($C214),"",IF($AA214=Constants!$B$2,TRUE(),IF($AA214=Constants!$B$3,FALSE(),TRUE())))</f>
        <v/>
      </c>
      <c r="BE214" s="74" t="str">
        <f aca="false">IF(ISBLANK($C214),"",IF($AB214=Constants!$B$2,TRUE(),IF($AB214=Constants!$B$3,FALSE(),TRUE())))</f>
        <v/>
      </c>
      <c r="BF214" s="74" t="str">
        <f aca="false">IF(ISBLANK($C214),"",IF(ISNUMBER($AC214),IF($AC214&gt;=0,$AC214,""),""))</f>
        <v/>
      </c>
      <c r="BG214" s="74" t="str">
        <f aca="false">IF(ISBLANK($C214),"",IF($AD214=Constants!$B$2,TRUE(),IF($AD214=Constants!$B$3,FALSE(),FALSE())))</f>
        <v/>
      </c>
      <c r="BH214" s="73" t="str">
        <f aca="false">IF(ISBLANK($C214),"",IF($BG214,Constants!$B$7,IF(COUNTA($E214:$AC214)=0,Constants!$B$6,IF(OR(COUNTA($G214:$AC214)=0,NOT($AK214),$AQ214),Constants!$B$5,IF(OR($CI214&lt;&gt;"",$CJ214,$CK214,$CL214,$CM214,$CN214,$CO214),Constants!$B$8,Constants!$B$4)))))</f>
        <v/>
      </c>
      <c r="BI214" s="74" t="str">
        <f aca="false">IF(ISBLANK($C214),"",IF($BH214&lt;&gt;Constants!$B$4,$BH214,IF(OR(NOT($AH214),NOT($AJ214),NOT($AR214)),Constants!$B$11,IF(OR(NOT($AP214),MAX($AL214,$AM214,$AN214)&gt;Constants!$B$30),Constants!$B$10,Constants!$B$9))))</f>
        <v/>
      </c>
      <c r="BJ214" s="74" t="str">
        <f aca="false">IF($BH214&lt;&gt;Constants!$B$4,"",IF(NOT($AJ214),0,MIN(Constants!$B$35,$BC214)))</f>
        <v/>
      </c>
      <c r="BK214" s="74" t="str">
        <f aca="false">IF($BH214&lt;&gt;Constants!$B$4,"",IF(NOT($AJ214),0,IF($AT214,Constants!$B$18,IF($AS214,Constants!$B$17,0))))</f>
        <v/>
      </c>
      <c r="BL214" s="74" t="str">
        <f aca="false">IF($BH214&lt;&gt;Constants!$B$4,"",IF(NOT($AJ214),0,Constants!$B$19*($AI214+$AU214+$AV214+$AW214)))</f>
        <v/>
      </c>
      <c r="BM214" s="74" t="str">
        <f aca="false">IF($BH214&lt;&gt;Constants!$B$4,"",IF(OR(NOT($AJ214),NOT(ISNUMBER($AX214))),0,CHOOSE($AX214,Constants!$B$13,Constants!$B$14,Constants!$B$15,Constants!$B$16)))</f>
        <v/>
      </c>
      <c r="BN214" s="74" t="str">
        <f aca="false">IF($BH214&lt;&gt;Constants!$B$4,"",IF(NOT($AJ214),0,Constants!$B$20*$AY214))</f>
        <v/>
      </c>
      <c r="BO214" s="74" t="str">
        <f aca="false">IF($BH214&lt;&gt;Constants!$B$4,"",IF(AND($AJ214,$BA214,$BB214),Constants!$B$22,0))</f>
        <v/>
      </c>
      <c r="BP214" s="74" t="str">
        <f aca="false">IF($BH214&lt;&gt;Constants!$B$4,"",IF(OR(NOT($AJ214),NOT($BA214)),0,IF($BF214&gt;=2*$AF$9,0,Constants!$B$23*INT(ROUND(MIN($BF214,$AF$9),6)))))</f>
        <v/>
      </c>
      <c r="BQ214" s="74" t="str">
        <f aca="false">IF($BH214&lt;&gt;Constants!$B$4,"",IF(NOT($AJ214),0,Constants!$B$24*INT(ROUND(MIN($AZ214,$AF$9),6))))</f>
        <v/>
      </c>
      <c r="BR214" s="74" t="str">
        <f aca="false">IF($BH214&lt;&gt;Constants!$B$4,"",IF(AND($AJ214,$BJ214=0),Constants!$B$25,0))</f>
        <v/>
      </c>
      <c r="BS214" s="74" t="str">
        <f aca="false">IF($BH214&lt;&gt;Constants!$B$4,"",MIN(Constants!$B$29,MAX(0,Constants!$B$27*Constants!$B$28*INT(ROUND((Constants!$B$26-$AL214)/Constants!$B$28,6))))+MIN(Constants!$B$29,MAX(0,Constants!$B$27*Constants!$B$28*INT(ROUND((Constants!$B$26-$AM214)/Constants!$B$28,6))))+MIN(Constants!$B$29,MAX(0,Constants!$B$27*Constants!$B$28*INT(ROUND((Constants!$B$26-$AN214)/Constants!$B$28,6)))))</f>
        <v/>
      </c>
      <c r="BT214" s="74" t="str">
        <f aca="false">IF($BH214&lt;&gt;Constants!$B$4,"",IF(NOT($AJ214),0,Constants!$B$31*INT(ROUND(MAX(0,MIN($BF214,2*$AF$9)-$AF$9),6))))</f>
        <v/>
      </c>
      <c r="BU214" s="74" t="str">
        <f aca="false">IF($BH214&lt;&gt;Constants!$B$4,"",Constants!$B$32*(($AL214&gt;Constants!$B$26)+($AM214&gt;Constants!$B$26)+($AN214&gt;Constants!$B$26)))</f>
        <v/>
      </c>
      <c r="BV214" s="74" t="str">
        <f aca="false">IF($BH214&lt;&gt;Constants!$B$4,"",IF(OR(NOT($AJ214),$AO214),0,Constants!$B$33))</f>
        <v/>
      </c>
      <c r="BW214" s="74" t="str">
        <f aca="false">IF($BH214&lt;&gt;Constants!$B$4,"",Constants!$B$34*$BJ214)</f>
        <v/>
      </c>
      <c r="BX214" s="74" t="str">
        <f aca="false">IF($BH214&lt;&gt;Constants!$B$4,"",IF(OR(NOT($AJ214),$BE214),0,Constants!$B$36))</f>
        <v/>
      </c>
      <c r="BY214" s="74" t="str">
        <f aca="false">IF($BH214&lt;&gt;Constants!$B$4,"",IF(OR(NOT($AJ214),$BD214),0,Constants!$B$37))</f>
        <v/>
      </c>
      <c r="BZ214" s="74" t="str">
        <f aca="false">IF($BH214&lt;&gt;Constants!$B$4,"",SUM($BT214:$BY214))</f>
        <v/>
      </c>
      <c r="CA214" s="74" t="str">
        <f aca="false">IF(ISBLANK($C214),"",IF($BH214&lt;&gt;Constants!$B$4,$BH214,SUM($BK214:$BS214)-$BZ214))</f>
        <v/>
      </c>
      <c r="CB214" s="74" t="str">
        <f aca="false">IF(ISBLANK($C214),"",IF($BH214&lt;&gt;Constants!$B$4,$BH214,RANK($CA214,$CA$9:$CA$508)))</f>
        <v/>
      </c>
      <c r="CC214" s="74" t="str">
        <f aca="false">IF(ISBLANK($C214),"",IF($BH214&lt;&gt;Constants!$B$4,$BH214,COUNTIFS($BI$9:$BI$508,"&lt;"&amp;$BI214)+COUNTIFS($BI$9:$BI$508,$BI214,$CB$9:$CB$508,"&lt;"&amp;$CB214)+1))</f>
        <v/>
      </c>
      <c r="CD214" s="74" t="str">
        <f aca="false">IF(ISBLANK($C214),"",IF($BH214&lt;&gt;Constants!$B$4,$BH214,RANK($BZ214,$BZ$9:$BZ$508,1)))</f>
        <v/>
      </c>
      <c r="CE214" s="74" t="str">
        <f aca="false">IF($BH214&lt;&gt;Constants!$B$4,"",$AL214+$AM214+$AN214)</f>
        <v/>
      </c>
      <c r="CF214" s="74" t="str">
        <f aca="false">IF(ISBLANK($C214),"",IF($BH214&lt;&gt;Constants!$B$4,$BH214,RANK($CE214,$CE$9:$CE$508,1)))</f>
        <v/>
      </c>
      <c r="CG214" s="74" t="str">
        <f aca="false">IF(ISBLANK($C214),"",IF($BH214&lt;&gt;Constants!$B$4,$BH214,COUNTIFS($BI$9:$BI$508,"&lt;"&amp;$BI214)+COUNTIFS($BI$9:$BI$508,$BI214,$CB$9:$CB$508,"&lt;"&amp;$CB214)+COUNTIFS($BI$9:$BI$508,$BI214,$CB$9:$CB$508,$CB214,$CD$9:$CD$508,"&lt;"&amp;$CD214)+COUNTIFS($BI$9:$BI$508,$BI214,$CB$9:$CB$508,$CB214,$CD$9:$CD$508,$CD214,$CF$9:$CF$508,"&lt;"&amp;$CF214)+1))</f>
        <v/>
      </c>
      <c r="CH214" s="74" t="str">
        <f aca="false">IF(ISBLANK($C214),"",IF($BH214&lt;&gt;Constants!$B$4,$BH214,$CC214-$CG214))</f>
        <v/>
      </c>
      <c r="CI214" s="74" t="str">
        <f aca="false">IF(ISBLANK($C214),"",IF(NOT($AJ214),"",IF(ISBLANK($D$7),$CI$5,IF(NOT(ISNUMBER($D$7)),$CI$6,""))))</f>
        <v/>
      </c>
      <c r="CJ214" s="74" t="str">
        <f aca="false">IF(ISBLANK($C214),"",OR($AL214="",$AM214="",$AN214=""))</f>
        <v/>
      </c>
      <c r="CK214" s="74" t="str">
        <f aca="false">IF(ISBLANK($C214),"",AND($AJ214,$AX214=""))</f>
        <v/>
      </c>
      <c r="CL214" s="74" t="str">
        <f aca="false">IF(ISBLANK($C214),"",AND($AJ214,$AY214=""))</f>
        <v/>
      </c>
      <c r="CM214" s="74" t="str">
        <f aca="false">IF(ISBLANK($C214),"",AND($AJ214,$AZ214=""))</f>
        <v/>
      </c>
      <c r="CN214" s="74" t="str">
        <f aca="false">IF(ISBLANK($C214),"",AND($AJ214,$BC214=""))</f>
        <v/>
      </c>
      <c r="CO214" s="74" t="str">
        <f aca="false">IF(ISBLANK($C214),"",AND($AJ214,$BF214=""))</f>
        <v/>
      </c>
      <c r="CP214" s="75"/>
      <c r="CQ214" s="76"/>
      <c r="CR214" s="79" t="str">
        <f aca="false">IF(ISBLANK($C214),"",IF($BH214=Constants!$B$8,$CI214,""))</f>
        <v/>
      </c>
      <c r="CS214" s="76" t="str">
        <f aca="false">IF(ISBLANK($C214),"",IF($BH214&lt;&gt;Constants!$B$4,"",$BK214+$BL214))</f>
        <v/>
      </c>
      <c r="CT214" s="78" t="str">
        <f aca="false">IF(ISBLANK($C214),"",IF($BH214&lt;&gt;Constants!$B$4,"",$BM214+$BN214+$BO214))</f>
        <v/>
      </c>
      <c r="CU214" s="78" t="str">
        <f aca="false">IF(ISBLANK($C214),"",IF($BH214&lt;&gt;Constants!$B$4,"",$BP214))</f>
        <v/>
      </c>
      <c r="CV214" s="78" t="str">
        <f aca="false">IF(ISBLANK($C214),"",IF($BH214&lt;&gt;Constants!$B$4,"",$BQ214+$BR214))</f>
        <v/>
      </c>
      <c r="CW214" s="78" t="str">
        <f aca="false">IF(ISBLANK($C214),"",IF($BH214&lt;&gt;Constants!$B$4,"",$BS214))</f>
        <v/>
      </c>
      <c r="CX214" s="78" t="str">
        <f aca="false">IF(ISBLANK($C214),"",IF($BH214&lt;&gt;Constants!$B$4,"",-$BZ214))</f>
        <v/>
      </c>
      <c r="CY214" s="79" t="str">
        <f aca="false">IF(ISBLANK($C214),"",$CA214)</f>
        <v/>
      </c>
      <c r="CZ214" s="80" t="str">
        <f aca="false">IF(ISBLANK($C214),"",$BI214)</f>
        <v/>
      </c>
      <c r="DA214" s="78" t="str">
        <f aca="false">IF(ISBLANK($C214),"",$CH214)</f>
        <v/>
      </c>
      <c r="DB214" s="78" t="str">
        <f aca="false">IF(ISBLANK($C214),"",$CG214)</f>
        <v/>
      </c>
      <c r="DC214" s="81" t="str">
        <f aca="false">IF(ISBLANK($C214),"",IFERROR(_xlfn.SWITCH($DB214,Constants!$B$7,COUNTA($C$9:$C$508)+2,Constants!$B$6,COUNTA($C$9:$C$508)+1,Constants!$B$5,COUNTA($C$9:$C$508)),$DB214))</f>
        <v/>
      </c>
      <c r="DD214" s="7"/>
      <c r="DE214" s="82" t="n">
        <f aca="false">IF(OR(ISNUMBER($DB214),$DB214=Constants!$B$7,$DB214=Constants!$B$5,$DB214=Constants!$B$6),1,0)</f>
        <v>0</v>
      </c>
      <c r="DF214" s="82" t="n">
        <v>206</v>
      </c>
      <c r="DG214" s="82" t="str">
        <f aca="false">IF(ISBLANK($C214),"",IF(ISNUMBER($DC214),$DC214+ROW($B214)/1000,""))</f>
        <v/>
      </c>
      <c r="DH214" s="82" t="str">
        <f aca="false">IF(ISNUMBER($DG214),RANK($DG214,$DG$9:$DG$508,1),"")</f>
        <v/>
      </c>
      <c r="DI214" s="82" t="str">
        <f aca="false">IF(ISBLANK($C214),"",$B214)</f>
        <v/>
      </c>
      <c r="DJ214" s="82" t="str">
        <f aca="false">IF(ISBLANK($C214),"",$C214)</f>
        <v/>
      </c>
      <c r="DK214" s="82" t="str">
        <f aca="false">IF(ISBLANK($C214),"",$D214)</f>
        <v/>
      </c>
      <c r="DL214" s="83" t="str">
        <f aca="false">$CZ214</f>
        <v/>
      </c>
      <c r="DM214" s="84" t="str">
        <f aca="false">$CY214</f>
        <v/>
      </c>
      <c r="DN214" s="82" t="str">
        <f aca="false">IF(ISBLANK($C214),"",$DB214)</f>
        <v/>
      </c>
      <c r="DO214" s="85" t="str">
        <f aca="false">IF($DF214&gt;$DE$8,"",VLOOKUP($DF214,$DH$9:$DN$508,7,FALSE()))</f>
        <v/>
      </c>
      <c r="DP214" s="86" t="str">
        <f aca="false">IF($DF214&gt;$DE$8,"",VLOOKUP($DF214,$DH$9:$DN$508,2,FALSE()))</f>
        <v/>
      </c>
      <c r="DQ214" s="86" t="str">
        <f aca="false">IF($DF214&gt;$DE$8,"",VLOOKUP($DF214,$DH$9:$DN$508,3,FALSE()))</f>
        <v/>
      </c>
      <c r="DR214" s="86" t="str">
        <f aca="false">IF($DF214&gt;$DE$8,"",VLOOKUP($DF214,$DH$9:$DN$508,4,FALSE()))</f>
        <v/>
      </c>
      <c r="DS214" s="86" t="str">
        <f aca="false">IF($DF214&gt;$DE$8,"",VLOOKUP($DF214,$DH$9:$DN$508,5,FALSE()))</f>
        <v/>
      </c>
      <c r="DT214" s="87" t="str">
        <f aca="false">IF($DF214&gt;$DE$8,"",VLOOKUP($DF214,$DH$9:$DN$508,6,FALSE()))</f>
        <v/>
      </c>
      <c r="DU214" s="62"/>
    </row>
    <row r="215" customFormat="false" ht="15.75" hidden="false" customHeight="false" outlineLevel="0" collapsed="false">
      <c r="A215" s="7"/>
      <c r="B215" s="64"/>
      <c r="C215" s="65"/>
      <c r="D215" s="123"/>
      <c r="E215" s="88"/>
      <c r="F215" s="134"/>
      <c r="G215" s="88"/>
      <c r="H215" s="134"/>
      <c r="I215" s="119"/>
      <c r="J215" s="119"/>
      <c r="K215" s="119"/>
      <c r="L215" s="88"/>
      <c r="M215" s="88"/>
      <c r="N215" s="88"/>
      <c r="O215" s="134"/>
      <c r="P215" s="88"/>
      <c r="Q215" s="88"/>
      <c r="R215" s="88"/>
      <c r="S215" s="88"/>
      <c r="T215" s="134"/>
      <c r="U215" s="88"/>
      <c r="V215" s="70"/>
      <c r="W215" s="88"/>
      <c r="X215" s="88"/>
      <c r="Y215" s="70"/>
      <c r="Z215" s="70"/>
      <c r="AA215" s="88"/>
      <c r="AB215" s="88"/>
      <c r="AC215" s="71"/>
      <c r="AD215" s="88"/>
      <c r="AE215" s="73"/>
      <c r="AF215" s="74"/>
      <c r="AG215" s="74"/>
      <c r="AH215" s="74" t="str">
        <f aca="false">IF(ISBLANK($C215),"",IF($E215=Constants!$B$2,TRUE(),IF($E215=Constants!$B$3,FALSE(),TRUE())))</f>
        <v/>
      </c>
      <c r="AI215" s="74" t="str">
        <f aca="false">IF(ISBLANK($C215),"",IF($F215=Constants!$B$2,TRUE(),IF($F215=Constants!$B$3,FALSE(),FALSE())))</f>
        <v/>
      </c>
      <c r="AJ215" s="74" t="str">
        <f aca="false">IF(ISBLANK($C215),"",IF($G215=Constants!$B$2,TRUE(),IF($G215=Constants!$B$3,FALSE(),TRUE())))</f>
        <v/>
      </c>
      <c r="AK215" s="74" t="str">
        <f aca="false">IF(ISBLANK($C215),"",IF($H215=Constants!$B$2,TRUE(),IF($H215=Constants!$B$3,FALSE(),TRUE())))</f>
        <v/>
      </c>
      <c r="AL215" s="74" t="str">
        <f aca="false">IF(ISBLANK($C215),"",IF(ISNUMBER($I215),IF($I215&gt;=0,$I215,""),""))</f>
        <v/>
      </c>
      <c r="AM215" s="74" t="str">
        <f aca="false">IF(ISBLANK($C215),"",IF(ISNUMBER($J215),IF($J215&gt;=0,$J215,""),""))</f>
        <v/>
      </c>
      <c r="AN215" s="74" t="str">
        <f aca="false">IF(ISBLANK($C215),"",IF(ISNUMBER($K215),IF($K215&gt;=0,$K215,""),""))</f>
        <v/>
      </c>
      <c r="AO215" s="74" t="str">
        <f aca="false">IF(ISBLANK($C215),"",IF($L215=Constants!$B$2,TRUE(),IF($L215=Constants!$B$3,FALSE(),TRUE())))</f>
        <v/>
      </c>
      <c r="AP215" s="74" t="str">
        <f aca="false">IF(ISBLANK($C215),"",IF($M215=Constants!$B$2,TRUE(),IF($M215=Constants!$B$3,FALSE(),TRUE())))</f>
        <v/>
      </c>
      <c r="AQ215" s="74" t="str">
        <f aca="false">IF(ISBLANK($C215),"",IF($N215=Constants!$B$2,TRUE(),IF($N215=Constants!$B$3,FALSE(),FALSE())))</f>
        <v/>
      </c>
      <c r="AR215" s="74" t="str">
        <f aca="false">IF(ISBLANK($C215),"",IF($O215=Constants!$B$2,TRUE(),IF($O215=Constants!$B$3,FALSE(),TRUE())))</f>
        <v/>
      </c>
      <c r="AS215" s="74" t="str">
        <f aca="false">IF(ISBLANK($C215),"",IF($P215=Constants!$B$2,TRUE(),IF($P215=Constants!$B$3,FALSE(),FALSE())))</f>
        <v/>
      </c>
      <c r="AT215" s="74" t="str">
        <f aca="false">IF(ISBLANK($C215),"",IF($Q215=Constants!$B$2,TRUE(),IF($Q215=Constants!$B$3,FALSE(),FALSE())))</f>
        <v/>
      </c>
      <c r="AU215" s="74" t="str">
        <f aca="false">IF(ISBLANK($C215),"",IF($R215=Constants!$B$2,TRUE(),IF($R215=Constants!$B$3,FALSE(),FALSE())))</f>
        <v/>
      </c>
      <c r="AV215" s="74" t="str">
        <f aca="false">IF(ISBLANK($C215),"",IF($S215=Constants!$B$2,TRUE(),IF($S215=Constants!$B$3,FALSE(),FALSE())))</f>
        <v/>
      </c>
      <c r="AW215" s="74" t="str">
        <f aca="false">IF(ISBLANK($C215),"",IF($T215=Constants!$B$2,TRUE(),IF($T215=Constants!$B$3,FALSE(),FALSE())))</f>
        <v/>
      </c>
      <c r="AX215" s="74" t="str">
        <f aca="false">IF(ISBLANK($C215),"",IF(OR($U215&amp;""="1",$U215&amp;""="2",$U215&amp;""="3",$U215&amp;""="4"),VALUE($U215&amp;""),IF($U215=Constants!$B$12,Constants!$B$12,"")))</f>
        <v/>
      </c>
      <c r="AY215" s="74" t="str">
        <f aca="false">IF(ISBLANK($C215),"",IF(ISBLANK($V215),0,IF(ISNUMBER($V215),IF(AND($V215&gt;=0,$V215&lt;=Constants!$B$21,$V215=INT($V215)),$V215,""),"")))</f>
        <v/>
      </c>
      <c r="AZ215" s="74" t="str">
        <f aca="false">IF(ISBLANK($C215),"",IF(ISBLANK($W215),0,IF(ISNUMBER($W215),IF($W215&gt;=0,$W215,""),"")))</f>
        <v/>
      </c>
      <c r="BA215" s="74" t="str">
        <f aca="false">IF(ISBLANK($C215),"",IF($X215=Constants!$B$2,TRUE(),IF($X215=Constants!$B$3,FALSE(),TRUE())))</f>
        <v/>
      </c>
      <c r="BB215" s="74" t="str">
        <f aca="false">IF(ISBLANK($C215),"",IF($Y215=Constants!$B$2,TRUE(),IF($Y215=Constants!$B$3,FALSE(),FALSE())))</f>
        <v/>
      </c>
      <c r="BC215" s="74" t="str">
        <f aca="false">IF(ISBLANK($C215),"",IF(ISBLANK($Z215),0,IF(ISNUMBER($Z215),IF(AND($Z215&gt;=0,$Z215&lt;=Constants!$B$35,$Z215=INT($Z215)),$Z215,""),"")))</f>
        <v/>
      </c>
      <c r="BD215" s="74" t="str">
        <f aca="false">IF(ISBLANK($C215),"",IF($AA215=Constants!$B$2,TRUE(),IF($AA215=Constants!$B$3,FALSE(),TRUE())))</f>
        <v/>
      </c>
      <c r="BE215" s="74" t="str">
        <f aca="false">IF(ISBLANK($C215),"",IF($AB215=Constants!$B$2,TRUE(),IF($AB215=Constants!$B$3,FALSE(),TRUE())))</f>
        <v/>
      </c>
      <c r="BF215" s="74" t="str">
        <f aca="false">IF(ISBLANK($C215),"",IF(ISNUMBER($AC215),IF($AC215&gt;=0,$AC215,""),""))</f>
        <v/>
      </c>
      <c r="BG215" s="74" t="str">
        <f aca="false">IF(ISBLANK($C215),"",IF($AD215=Constants!$B$2,TRUE(),IF($AD215=Constants!$B$3,FALSE(),FALSE())))</f>
        <v/>
      </c>
      <c r="BH215" s="73" t="str">
        <f aca="false">IF(ISBLANK($C215),"",IF($BG215,Constants!$B$7,IF(COUNTA($E215:$AC215)=0,Constants!$B$6,IF(OR(COUNTA($G215:$AC215)=0,NOT($AK215),$AQ215),Constants!$B$5,IF(OR($CI215&lt;&gt;"",$CJ215,$CK215,$CL215,$CM215,$CN215,$CO215),Constants!$B$8,Constants!$B$4)))))</f>
        <v/>
      </c>
      <c r="BI215" s="74" t="str">
        <f aca="false">IF(ISBLANK($C215),"",IF($BH215&lt;&gt;Constants!$B$4,$BH215,IF(OR(NOT($AH215),NOT($AJ215),NOT($AR215)),Constants!$B$11,IF(OR(NOT($AP215),MAX($AL215,$AM215,$AN215)&gt;Constants!$B$30),Constants!$B$10,Constants!$B$9))))</f>
        <v/>
      </c>
      <c r="BJ215" s="74" t="str">
        <f aca="false">IF($BH215&lt;&gt;Constants!$B$4,"",IF(NOT($AJ215),0,MIN(Constants!$B$35,$BC215)))</f>
        <v/>
      </c>
      <c r="BK215" s="74" t="str">
        <f aca="false">IF($BH215&lt;&gt;Constants!$B$4,"",IF(NOT($AJ215),0,IF($AT215,Constants!$B$18,IF($AS215,Constants!$B$17,0))))</f>
        <v/>
      </c>
      <c r="BL215" s="74" t="str">
        <f aca="false">IF($BH215&lt;&gt;Constants!$B$4,"",IF(NOT($AJ215),0,Constants!$B$19*($AI215+$AU215+$AV215+$AW215)))</f>
        <v/>
      </c>
      <c r="BM215" s="74" t="str">
        <f aca="false">IF($BH215&lt;&gt;Constants!$B$4,"",IF(OR(NOT($AJ215),NOT(ISNUMBER($AX215))),0,CHOOSE($AX215,Constants!$B$13,Constants!$B$14,Constants!$B$15,Constants!$B$16)))</f>
        <v/>
      </c>
      <c r="BN215" s="74" t="str">
        <f aca="false">IF($BH215&lt;&gt;Constants!$B$4,"",IF(NOT($AJ215),0,Constants!$B$20*$AY215))</f>
        <v/>
      </c>
      <c r="BO215" s="74" t="str">
        <f aca="false">IF($BH215&lt;&gt;Constants!$B$4,"",IF(AND($AJ215,$BA215,$BB215),Constants!$B$22,0))</f>
        <v/>
      </c>
      <c r="BP215" s="74" t="str">
        <f aca="false">IF($BH215&lt;&gt;Constants!$B$4,"",IF(OR(NOT($AJ215),NOT($BA215)),0,IF($BF215&gt;=2*$AF$9,0,Constants!$B$23*INT(ROUND(MIN($BF215,$AF$9),6)))))</f>
        <v/>
      </c>
      <c r="BQ215" s="74" t="str">
        <f aca="false">IF($BH215&lt;&gt;Constants!$B$4,"",IF(NOT($AJ215),0,Constants!$B$24*INT(ROUND(MIN($AZ215,$AF$9),6))))</f>
        <v/>
      </c>
      <c r="BR215" s="74" t="str">
        <f aca="false">IF($BH215&lt;&gt;Constants!$B$4,"",IF(AND($AJ215,$BJ215=0),Constants!$B$25,0))</f>
        <v/>
      </c>
      <c r="BS215" s="74" t="str">
        <f aca="false">IF($BH215&lt;&gt;Constants!$B$4,"",MIN(Constants!$B$29,MAX(0,Constants!$B$27*Constants!$B$28*INT(ROUND((Constants!$B$26-$AL215)/Constants!$B$28,6))))+MIN(Constants!$B$29,MAX(0,Constants!$B$27*Constants!$B$28*INT(ROUND((Constants!$B$26-$AM215)/Constants!$B$28,6))))+MIN(Constants!$B$29,MAX(0,Constants!$B$27*Constants!$B$28*INT(ROUND((Constants!$B$26-$AN215)/Constants!$B$28,6)))))</f>
        <v/>
      </c>
      <c r="BT215" s="74" t="str">
        <f aca="false">IF($BH215&lt;&gt;Constants!$B$4,"",IF(NOT($AJ215),0,Constants!$B$31*INT(ROUND(MAX(0,MIN($BF215,2*$AF$9)-$AF$9),6))))</f>
        <v/>
      </c>
      <c r="BU215" s="74" t="str">
        <f aca="false">IF($BH215&lt;&gt;Constants!$B$4,"",Constants!$B$32*(($AL215&gt;Constants!$B$26)+($AM215&gt;Constants!$B$26)+($AN215&gt;Constants!$B$26)))</f>
        <v/>
      </c>
      <c r="BV215" s="74" t="str">
        <f aca="false">IF($BH215&lt;&gt;Constants!$B$4,"",IF(OR(NOT($AJ215),$AO215),0,Constants!$B$33))</f>
        <v/>
      </c>
      <c r="BW215" s="74" t="str">
        <f aca="false">IF($BH215&lt;&gt;Constants!$B$4,"",Constants!$B$34*$BJ215)</f>
        <v/>
      </c>
      <c r="BX215" s="74" t="str">
        <f aca="false">IF($BH215&lt;&gt;Constants!$B$4,"",IF(OR(NOT($AJ215),$BE215),0,Constants!$B$36))</f>
        <v/>
      </c>
      <c r="BY215" s="74" t="str">
        <f aca="false">IF($BH215&lt;&gt;Constants!$B$4,"",IF(OR(NOT($AJ215),$BD215),0,Constants!$B$37))</f>
        <v/>
      </c>
      <c r="BZ215" s="74" t="str">
        <f aca="false">IF($BH215&lt;&gt;Constants!$B$4,"",SUM($BT215:$BY215))</f>
        <v/>
      </c>
      <c r="CA215" s="74" t="str">
        <f aca="false">IF(ISBLANK($C215),"",IF($BH215&lt;&gt;Constants!$B$4,$BH215,SUM($BK215:$BS215)-$BZ215))</f>
        <v/>
      </c>
      <c r="CB215" s="74" t="str">
        <f aca="false">IF(ISBLANK($C215),"",IF($BH215&lt;&gt;Constants!$B$4,$BH215,RANK($CA215,$CA$9:$CA$508)))</f>
        <v/>
      </c>
      <c r="CC215" s="74" t="str">
        <f aca="false">IF(ISBLANK($C215),"",IF($BH215&lt;&gt;Constants!$B$4,$BH215,COUNTIFS($BI$9:$BI$508,"&lt;"&amp;$BI215)+COUNTIFS($BI$9:$BI$508,$BI215,$CB$9:$CB$508,"&lt;"&amp;$CB215)+1))</f>
        <v/>
      </c>
      <c r="CD215" s="74" t="str">
        <f aca="false">IF(ISBLANK($C215),"",IF($BH215&lt;&gt;Constants!$B$4,$BH215,RANK($BZ215,$BZ$9:$BZ$508,1)))</f>
        <v/>
      </c>
      <c r="CE215" s="74" t="str">
        <f aca="false">IF($BH215&lt;&gt;Constants!$B$4,"",$AL215+$AM215+$AN215)</f>
        <v/>
      </c>
      <c r="CF215" s="74" t="str">
        <f aca="false">IF(ISBLANK($C215),"",IF($BH215&lt;&gt;Constants!$B$4,$BH215,RANK($CE215,$CE$9:$CE$508,1)))</f>
        <v/>
      </c>
      <c r="CG215" s="74" t="str">
        <f aca="false">IF(ISBLANK($C215),"",IF($BH215&lt;&gt;Constants!$B$4,$BH215,COUNTIFS($BI$9:$BI$508,"&lt;"&amp;$BI215)+COUNTIFS($BI$9:$BI$508,$BI215,$CB$9:$CB$508,"&lt;"&amp;$CB215)+COUNTIFS($BI$9:$BI$508,$BI215,$CB$9:$CB$508,$CB215,$CD$9:$CD$508,"&lt;"&amp;$CD215)+COUNTIFS($BI$9:$BI$508,$BI215,$CB$9:$CB$508,$CB215,$CD$9:$CD$508,$CD215,$CF$9:$CF$508,"&lt;"&amp;$CF215)+1))</f>
        <v/>
      </c>
      <c r="CH215" s="74" t="str">
        <f aca="false">IF(ISBLANK($C215),"",IF($BH215&lt;&gt;Constants!$B$4,$BH215,$CC215-$CG215))</f>
        <v/>
      </c>
      <c r="CI215" s="74" t="str">
        <f aca="false">IF(ISBLANK($C215),"",IF(NOT($AJ215),"",IF(ISBLANK($D$7),$CI$5,IF(NOT(ISNUMBER($D$7)),$CI$6,""))))</f>
        <v/>
      </c>
      <c r="CJ215" s="74" t="str">
        <f aca="false">IF(ISBLANK($C215),"",OR($AL215="",$AM215="",$AN215=""))</f>
        <v/>
      </c>
      <c r="CK215" s="74" t="str">
        <f aca="false">IF(ISBLANK($C215),"",AND($AJ215,$AX215=""))</f>
        <v/>
      </c>
      <c r="CL215" s="74" t="str">
        <f aca="false">IF(ISBLANK($C215),"",AND($AJ215,$AY215=""))</f>
        <v/>
      </c>
      <c r="CM215" s="74" t="str">
        <f aca="false">IF(ISBLANK($C215),"",AND($AJ215,$AZ215=""))</f>
        <v/>
      </c>
      <c r="CN215" s="74" t="str">
        <f aca="false">IF(ISBLANK($C215),"",AND($AJ215,$BC215=""))</f>
        <v/>
      </c>
      <c r="CO215" s="74" t="str">
        <f aca="false">IF(ISBLANK($C215),"",AND($AJ215,$BF215=""))</f>
        <v/>
      </c>
      <c r="CP215" s="75"/>
      <c r="CQ215" s="76"/>
      <c r="CR215" s="79" t="str">
        <f aca="false">IF(ISBLANK($C215),"",IF($BH215=Constants!$B$8,$CI215,""))</f>
        <v/>
      </c>
      <c r="CS215" s="76" t="str">
        <f aca="false">IF(ISBLANK($C215),"",IF($BH215&lt;&gt;Constants!$B$4,"",$BK215+$BL215))</f>
        <v/>
      </c>
      <c r="CT215" s="78" t="str">
        <f aca="false">IF(ISBLANK($C215),"",IF($BH215&lt;&gt;Constants!$B$4,"",$BM215+$BN215+$BO215))</f>
        <v/>
      </c>
      <c r="CU215" s="78" t="str">
        <f aca="false">IF(ISBLANK($C215),"",IF($BH215&lt;&gt;Constants!$B$4,"",$BP215))</f>
        <v/>
      </c>
      <c r="CV215" s="78" t="str">
        <f aca="false">IF(ISBLANK($C215),"",IF($BH215&lt;&gt;Constants!$B$4,"",$BQ215+$BR215))</f>
        <v/>
      </c>
      <c r="CW215" s="78" t="str">
        <f aca="false">IF(ISBLANK($C215),"",IF($BH215&lt;&gt;Constants!$B$4,"",$BS215))</f>
        <v/>
      </c>
      <c r="CX215" s="78" t="str">
        <f aca="false">IF(ISBLANK($C215),"",IF($BH215&lt;&gt;Constants!$B$4,"",-$BZ215))</f>
        <v/>
      </c>
      <c r="CY215" s="79" t="str">
        <f aca="false">IF(ISBLANK($C215),"",$CA215)</f>
        <v/>
      </c>
      <c r="CZ215" s="80" t="str">
        <f aca="false">IF(ISBLANK($C215),"",$BI215)</f>
        <v/>
      </c>
      <c r="DA215" s="78" t="str">
        <f aca="false">IF(ISBLANK($C215),"",$CH215)</f>
        <v/>
      </c>
      <c r="DB215" s="78" t="str">
        <f aca="false">IF(ISBLANK($C215),"",$CG215)</f>
        <v/>
      </c>
      <c r="DC215" s="81" t="str">
        <f aca="false">IF(ISBLANK($C215),"",IFERROR(_xlfn.SWITCH($DB215,Constants!$B$7,COUNTA($C$9:$C$508)+2,Constants!$B$6,COUNTA($C$9:$C$508)+1,Constants!$B$5,COUNTA($C$9:$C$508)),$DB215))</f>
        <v/>
      </c>
      <c r="DD215" s="7"/>
      <c r="DE215" s="82" t="n">
        <f aca="false">IF(OR(ISNUMBER($DB215),$DB215=Constants!$B$7,$DB215=Constants!$B$5,$DB215=Constants!$B$6),1,0)</f>
        <v>0</v>
      </c>
      <c r="DF215" s="82" t="n">
        <v>207</v>
      </c>
      <c r="DG215" s="82" t="str">
        <f aca="false">IF(ISBLANK($C215),"",IF(ISNUMBER($DC215),$DC215+ROW($B215)/1000,""))</f>
        <v/>
      </c>
      <c r="DH215" s="82" t="str">
        <f aca="false">IF(ISNUMBER($DG215),RANK($DG215,$DG$9:$DG$508,1),"")</f>
        <v/>
      </c>
      <c r="DI215" s="82" t="str">
        <f aca="false">IF(ISBLANK($C215),"",$B215)</f>
        <v/>
      </c>
      <c r="DJ215" s="82" t="str">
        <f aca="false">IF(ISBLANK($C215),"",$C215)</f>
        <v/>
      </c>
      <c r="DK215" s="82" t="str">
        <f aca="false">IF(ISBLANK($C215),"",$D215)</f>
        <v/>
      </c>
      <c r="DL215" s="83" t="str">
        <f aca="false">$CZ215</f>
        <v/>
      </c>
      <c r="DM215" s="84" t="str">
        <f aca="false">$CY215</f>
        <v/>
      </c>
      <c r="DN215" s="82" t="str">
        <f aca="false">IF(ISBLANK($C215),"",$DB215)</f>
        <v/>
      </c>
      <c r="DO215" s="85" t="str">
        <f aca="false">IF($DF215&gt;$DE$8,"",VLOOKUP($DF215,$DH$9:$DN$508,7,FALSE()))</f>
        <v/>
      </c>
      <c r="DP215" s="86" t="str">
        <f aca="false">IF($DF215&gt;$DE$8,"",VLOOKUP($DF215,$DH$9:$DN$508,2,FALSE()))</f>
        <v/>
      </c>
      <c r="DQ215" s="86" t="str">
        <f aca="false">IF($DF215&gt;$DE$8,"",VLOOKUP($DF215,$DH$9:$DN$508,3,FALSE()))</f>
        <v/>
      </c>
      <c r="DR215" s="86" t="str">
        <f aca="false">IF($DF215&gt;$DE$8,"",VLOOKUP($DF215,$DH$9:$DN$508,4,FALSE()))</f>
        <v/>
      </c>
      <c r="DS215" s="86" t="str">
        <f aca="false">IF($DF215&gt;$DE$8,"",VLOOKUP($DF215,$DH$9:$DN$508,5,FALSE()))</f>
        <v/>
      </c>
      <c r="DT215" s="87" t="str">
        <f aca="false">IF($DF215&gt;$DE$8,"",VLOOKUP($DF215,$DH$9:$DN$508,6,FALSE()))</f>
        <v/>
      </c>
      <c r="DU215" s="62"/>
    </row>
    <row r="216" customFormat="false" ht="15.75" hidden="false" customHeight="false" outlineLevel="0" collapsed="false">
      <c r="A216" s="7"/>
      <c r="B216" s="90"/>
      <c r="C216" s="91"/>
      <c r="D216" s="126"/>
      <c r="E216" s="130"/>
      <c r="F216" s="135"/>
      <c r="G216" s="130"/>
      <c r="H216" s="135"/>
      <c r="I216" s="131"/>
      <c r="J216" s="131"/>
      <c r="K216" s="131"/>
      <c r="L216" s="130"/>
      <c r="M216" s="130"/>
      <c r="N216" s="130"/>
      <c r="O216" s="135"/>
      <c r="P216" s="130"/>
      <c r="Q216" s="130"/>
      <c r="R216" s="130"/>
      <c r="S216" s="130"/>
      <c r="T216" s="135"/>
      <c r="U216" s="130"/>
      <c r="V216" s="96"/>
      <c r="W216" s="130"/>
      <c r="X216" s="130"/>
      <c r="Y216" s="96"/>
      <c r="Z216" s="96"/>
      <c r="AA216" s="130"/>
      <c r="AB216" s="130"/>
      <c r="AC216" s="97"/>
      <c r="AD216" s="130"/>
      <c r="AE216" s="99"/>
      <c r="AF216" s="100"/>
      <c r="AG216" s="100"/>
      <c r="AH216" s="100" t="str">
        <f aca="false">IF(ISBLANK($C216),"",IF($E216=Constants!$B$2,TRUE(),IF($E216=Constants!$B$3,FALSE(),TRUE())))</f>
        <v/>
      </c>
      <c r="AI216" s="100" t="str">
        <f aca="false">IF(ISBLANK($C216),"",IF($F216=Constants!$B$2,TRUE(),IF($F216=Constants!$B$3,FALSE(),FALSE())))</f>
        <v/>
      </c>
      <c r="AJ216" s="100" t="str">
        <f aca="false">IF(ISBLANK($C216),"",IF($G216=Constants!$B$2,TRUE(),IF($G216=Constants!$B$3,FALSE(),TRUE())))</f>
        <v/>
      </c>
      <c r="AK216" s="100" t="str">
        <f aca="false">IF(ISBLANK($C216),"",IF($H216=Constants!$B$2,TRUE(),IF($H216=Constants!$B$3,FALSE(),TRUE())))</f>
        <v/>
      </c>
      <c r="AL216" s="100" t="str">
        <f aca="false">IF(ISBLANK($C216),"",IF(ISNUMBER($I216),IF($I216&gt;=0,$I216,""),""))</f>
        <v/>
      </c>
      <c r="AM216" s="100" t="str">
        <f aca="false">IF(ISBLANK($C216),"",IF(ISNUMBER($J216),IF($J216&gt;=0,$J216,""),""))</f>
        <v/>
      </c>
      <c r="AN216" s="100" t="str">
        <f aca="false">IF(ISBLANK($C216),"",IF(ISNUMBER($K216),IF($K216&gt;=0,$K216,""),""))</f>
        <v/>
      </c>
      <c r="AO216" s="100" t="str">
        <f aca="false">IF(ISBLANK($C216),"",IF($L216=Constants!$B$2,TRUE(),IF($L216=Constants!$B$3,FALSE(),TRUE())))</f>
        <v/>
      </c>
      <c r="AP216" s="100" t="str">
        <f aca="false">IF(ISBLANK($C216),"",IF($M216=Constants!$B$2,TRUE(),IF($M216=Constants!$B$3,FALSE(),TRUE())))</f>
        <v/>
      </c>
      <c r="AQ216" s="100" t="str">
        <f aca="false">IF(ISBLANK($C216),"",IF($N216=Constants!$B$2,TRUE(),IF($N216=Constants!$B$3,FALSE(),FALSE())))</f>
        <v/>
      </c>
      <c r="AR216" s="100" t="str">
        <f aca="false">IF(ISBLANK($C216),"",IF($O216=Constants!$B$2,TRUE(),IF($O216=Constants!$B$3,FALSE(),TRUE())))</f>
        <v/>
      </c>
      <c r="AS216" s="100" t="str">
        <f aca="false">IF(ISBLANK($C216),"",IF($P216=Constants!$B$2,TRUE(),IF($P216=Constants!$B$3,FALSE(),FALSE())))</f>
        <v/>
      </c>
      <c r="AT216" s="100" t="str">
        <f aca="false">IF(ISBLANK($C216),"",IF($Q216=Constants!$B$2,TRUE(),IF($Q216=Constants!$B$3,FALSE(),FALSE())))</f>
        <v/>
      </c>
      <c r="AU216" s="100" t="str">
        <f aca="false">IF(ISBLANK($C216),"",IF($R216=Constants!$B$2,TRUE(),IF($R216=Constants!$B$3,FALSE(),FALSE())))</f>
        <v/>
      </c>
      <c r="AV216" s="100" t="str">
        <f aca="false">IF(ISBLANK($C216),"",IF($S216=Constants!$B$2,TRUE(),IF($S216=Constants!$B$3,FALSE(),FALSE())))</f>
        <v/>
      </c>
      <c r="AW216" s="100" t="str">
        <f aca="false">IF(ISBLANK($C216),"",IF($T216=Constants!$B$2,TRUE(),IF($T216=Constants!$B$3,FALSE(),FALSE())))</f>
        <v/>
      </c>
      <c r="AX216" s="100" t="str">
        <f aca="false">IF(ISBLANK($C216),"",IF(OR($U216&amp;""="1",$U216&amp;""="2",$U216&amp;""="3",$U216&amp;""="4"),VALUE($U216&amp;""),IF($U216=Constants!$B$12,Constants!$B$12,"")))</f>
        <v/>
      </c>
      <c r="AY216" s="100" t="str">
        <f aca="false">IF(ISBLANK($C216),"",IF(ISBLANK($V216),0,IF(ISNUMBER($V216),IF(AND($V216&gt;=0,$V216&lt;=Constants!$B$21,$V216=INT($V216)),$V216,""),"")))</f>
        <v/>
      </c>
      <c r="AZ216" s="100" t="str">
        <f aca="false">IF(ISBLANK($C216),"",IF(ISBLANK($W216),0,IF(ISNUMBER($W216),IF($W216&gt;=0,$W216,""),"")))</f>
        <v/>
      </c>
      <c r="BA216" s="100" t="str">
        <f aca="false">IF(ISBLANK($C216),"",IF($X216=Constants!$B$2,TRUE(),IF($X216=Constants!$B$3,FALSE(),TRUE())))</f>
        <v/>
      </c>
      <c r="BB216" s="100" t="str">
        <f aca="false">IF(ISBLANK($C216),"",IF($Y216=Constants!$B$2,TRUE(),IF($Y216=Constants!$B$3,FALSE(),FALSE())))</f>
        <v/>
      </c>
      <c r="BC216" s="100" t="str">
        <f aca="false">IF(ISBLANK($C216),"",IF(ISBLANK($Z216),0,IF(ISNUMBER($Z216),IF(AND($Z216&gt;=0,$Z216&lt;=Constants!$B$35,$Z216=INT($Z216)),$Z216,""),"")))</f>
        <v/>
      </c>
      <c r="BD216" s="100" t="str">
        <f aca="false">IF(ISBLANK($C216),"",IF($AA216=Constants!$B$2,TRUE(),IF($AA216=Constants!$B$3,FALSE(),TRUE())))</f>
        <v/>
      </c>
      <c r="BE216" s="100" t="str">
        <f aca="false">IF(ISBLANK($C216),"",IF($AB216=Constants!$B$2,TRUE(),IF($AB216=Constants!$B$3,FALSE(),TRUE())))</f>
        <v/>
      </c>
      <c r="BF216" s="100" t="str">
        <f aca="false">IF(ISBLANK($C216),"",IF(ISNUMBER($AC216),IF($AC216&gt;=0,$AC216,""),""))</f>
        <v/>
      </c>
      <c r="BG216" s="100" t="str">
        <f aca="false">IF(ISBLANK($C216),"",IF($AD216=Constants!$B$2,TRUE(),IF($AD216=Constants!$B$3,FALSE(),FALSE())))</f>
        <v/>
      </c>
      <c r="BH216" s="99" t="str">
        <f aca="false">IF(ISBLANK($C216),"",IF($BG216,Constants!$B$7,IF(COUNTA($E216:$AC216)=0,Constants!$B$6,IF(OR(COUNTA($G216:$AC216)=0,NOT($AK216),$AQ216),Constants!$B$5,IF(OR($CI216&lt;&gt;"",$CJ216,$CK216,$CL216,$CM216,$CN216,$CO216),Constants!$B$8,Constants!$B$4)))))</f>
        <v/>
      </c>
      <c r="BI216" s="100" t="str">
        <f aca="false">IF(ISBLANK($C216),"",IF($BH216&lt;&gt;Constants!$B$4,$BH216,IF(OR(NOT($AH216),NOT($AJ216),NOT($AR216)),Constants!$B$11,IF(OR(NOT($AP216),MAX($AL216,$AM216,$AN216)&gt;Constants!$B$30),Constants!$B$10,Constants!$B$9))))</f>
        <v/>
      </c>
      <c r="BJ216" s="100" t="str">
        <f aca="false">IF($BH216&lt;&gt;Constants!$B$4,"",IF(NOT($AJ216),0,MIN(Constants!$B$35,$BC216)))</f>
        <v/>
      </c>
      <c r="BK216" s="100" t="str">
        <f aca="false">IF($BH216&lt;&gt;Constants!$B$4,"",IF(NOT($AJ216),0,IF($AT216,Constants!$B$18,IF($AS216,Constants!$B$17,0))))</f>
        <v/>
      </c>
      <c r="BL216" s="100" t="str">
        <f aca="false">IF($BH216&lt;&gt;Constants!$B$4,"",IF(NOT($AJ216),0,Constants!$B$19*($AI216+$AU216+$AV216+$AW216)))</f>
        <v/>
      </c>
      <c r="BM216" s="100" t="str">
        <f aca="false">IF($BH216&lt;&gt;Constants!$B$4,"",IF(OR(NOT($AJ216),NOT(ISNUMBER($AX216))),0,CHOOSE($AX216,Constants!$B$13,Constants!$B$14,Constants!$B$15,Constants!$B$16)))</f>
        <v/>
      </c>
      <c r="BN216" s="100" t="str">
        <f aca="false">IF($BH216&lt;&gt;Constants!$B$4,"",IF(NOT($AJ216),0,Constants!$B$20*$AY216))</f>
        <v/>
      </c>
      <c r="BO216" s="100" t="str">
        <f aca="false">IF($BH216&lt;&gt;Constants!$B$4,"",IF(AND($AJ216,$BA216,$BB216),Constants!$B$22,0))</f>
        <v/>
      </c>
      <c r="BP216" s="100" t="str">
        <f aca="false">IF($BH216&lt;&gt;Constants!$B$4,"",IF(OR(NOT($AJ216),NOT($BA216)),0,IF($BF216&gt;=2*$AF$9,0,Constants!$B$23*INT(ROUND(MIN($BF216,$AF$9),6)))))</f>
        <v/>
      </c>
      <c r="BQ216" s="100" t="str">
        <f aca="false">IF($BH216&lt;&gt;Constants!$B$4,"",IF(NOT($AJ216),0,Constants!$B$24*INT(ROUND(MIN($AZ216,$AF$9),6))))</f>
        <v/>
      </c>
      <c r="BR216" s="100" t="str">
        <f aca="false">IF($BH216&lt;&gt;Constants!$B$4,"",IF(AND($AJ216,$BJ216=0),Constants!$B$25,0))</f>
        <v/>
      </c>
      <c r="BS216" s="100" t="str">
        <f aca="false">IF($BH216&lt;&gt;Constants!$B$4,"",MIN(Constants!$B$29,MAX(0,Constants!$B$27*Constants!$B$28*INT(ROUND((Constants!$B$26-$AL216)/Constants!$B$28,6))))+MIN(Constants!$B$29,MAX(0,Constants!$B$27*Constants!$B$28*INT(ROUND((Constants!$B$26-$AM216)/Constants!$B$28,6))))+MIN(Constants!$B$29,MAX(0,Constants!$B$27*Constants!$B$28*INT(ROUND((Constants!$B$26-$AN216)/Constants!$B$28,6)))))</f>
        <v/>
      </c>
      <c r="BT216" s="100" t="str">
        <f aca="false">IF($BH216&lt;&gt;Constants!$B$4,"",IF(NOT($AJ216),0,Constants!$B$31*INT(ROUND(MAX(0,MIN($BF216,2*$AF$9)-$AF$9),6))))</f>
        <v/>
      </c>
      <c r="BU216" s="100" t="str">
        <f aca="false">IF($BH216&lt;&gt;Constants!$B$4,"",Constants!$B$32*(($AL216&gt;Constants!$B$26)+($AM216&gt;Constants!$B$26)+($AN216&gt;Constants!$B$26)))</f>
        <v/>
      </c>
      <c r="BV216" s="100" t="str">
        <f aca="false">IF($BH216&lt;&gt;Constants!$B$4,"",IF(OR(NOT($AJ216),$AO216),0,Constants!$B$33))</f>
        <v/>
      </c>
      <c r="BW216" s="100" t="str">
        <f aca="false">IF($BH216&lt;&gt;Constants!$B$4,"",Constants!$B$34*$BJ216)</f>
        <v/>
      </c>
      <c r="BX216" s="100" t="str">
        <f aca="false">IF($BH216&lt;&gt;Constants!$B$4,"",IF(OR(NOT($AJ216),$BE216),0,Constants!$B$36))</f>
        <v/>
      </c>
      <c r="BY216" s="100" t="str">
        <f aca="false">IF($BH216&lt;&gt;Constants!$B$4,"",IF(OR(NOT($AJ216),$BD216),0,Constants!$B$37))</f>
        <v/>
      </c>
      <c r="BZ216" s="100" t="str">
        <f aca="false">IF($BH216&lt;&gt;Constants!$B$4,"",SUM($BT216:$BY216))</f>
        <v/>
      </c>
      <c r="CA216" s="100" t="str">
        <f aca="false">IF(ISBLANK($C216),"",IF($BH216&lt;&gt;Constants!$B$4,$BH216,SUM($BK216:$BS216)-$BZ216))</f>
        <v/>
      </c>
      <c r="CB216" s="100" t="str">
        <f aca="false">IF(ISBLANK($C216),"",IF($BH216&lt;&gt;Constants!$B$4,$BH216,RANK($CA216,$CA$9:$CA$508)))</f>
        <v/>
      </c>
      <c r="CC216" s="100" t="str">
        <f aca="false">IF(ISBLANK($C216),"",IF($BH216&lt;&gt;Constants!$B$4,$BH216,COUNTIFS($BI$9:$BI$508,"&lt;"&amp;$BI216)+COUNTIFS($BI$9:$BI$508,$BI216,$CB$9:$CB$508,"&lt;"&amp;$CB216)+1))</f>
        <v/>
      </c>
      <c r="CD216" s="100" t="str">
        <f aca="false">IF(ISBLANK($C216),"",IF($BH216&lt;&gt;Constants!$B$4,$BH216,RANK($BZ216,$BZ$9:$BZ$508,1)))</f>
        <v/>
      </c>
      <c r="CE216" s="100" t="str">
        <f aca="false">IF($BH216&lt;&gt;Constants!$B$4,"",$AL216+$AM216+$AN216)</f>
        <v/>
      </c>
      <c r="CF216" s="100" t="str">
        <f aca="false">IF(ISBLANK($C216),"",IF($BH216&lt;&gt;Constants!$B$4,$BH216,RANK($CE216,$CE$9:$CE$508,1)))</f>
        <v/>
      </c>
      <c r="CG216" s="100" t="str">
        <f aca="false">IF(ISBLANK($C216),"",IF($BH216&lt;&gt;Constants!$B$4,$BH216,COUNTIFS($BI$9:$BI$508,"&lt;"&amp;$BI216)+COUNTIFS($BI$9:$BI$508,$BI216,$CB$9:$CB$508,"&lt;"&amp;$CB216)+COUNTIFS($BI$9:$BI$508,$BI216,$CB$9:$CB$508,$CB216,$CD$9:$CD$508,"&lt;"&amp;$CD216)+COUNTIFS($BI$9:$BI$508,$BI216,$CB$9:$CB$508,$CB216,$CD$9:$CD$508,$CD216,$CF$9:$CF$508,"&lt;"&amp;$CF216)+1))</f>
        <v/>
      </c>
      <c r="CH216" s="100" t="str">
        <f aca="false">IF(ISBLANK($C216),"",IF($BH216&lt;&gt;Constants!$B$4,$BH216,$CC216-$CG216))</f>
        <v/>
      </c>
      <c r="CI216" s="100" t="str">
        <f aca="false">IF(ISBLANK($C216),"",IF(NOT($AJ216),"",IF(ISBLANK($D$7),$CI$5,IF(NOT(ISNUMBER($D$7)),$CI$6,""))))</f>
        <v/>
      </c>
      <c r="CJ216" s="100" t="str">
        <f aca="false">IF(ISBLANK($C216),"",OR($AL216="",$AM216="",$AN216=""))</f>
        <v/>
      </c>
      <c r="CK216" s="100" t="str">
        <f aca="false">IF(ISBLANK($C216),"",AND($AJ216,$AX216=""))</f>
        <v/>
      </c>
      <c r="CL216" s="100" t="str">
        <f aca="false">IF(ISBLANK($C216),"",AND($AJ216,$AY216=""))</f>
        <v/>
      </c>
      <c r="CM216" s="100" t="str">
        <f aca="false">IF(ISBLANK($C216),"",AND($AJ216,$AZ216=""))</f>
        <v/>
      </c>
      <c r="CN216" s="100" t="str">
        <f aca="false">IF(ISBLANK($C216),"",AND($AJ216,$BC216=""))</f>
        <v/>
      </c>
      <c r="CO216" s="100" t="str">
        <f aca="false">IF(ISBLANK($C216),"",AND($AJ216,$BF216=""))</f>
        <v/>
      </c>
      <c r="CP216" s="101"/>
      <c r="CQ216" s="102"/>
      <c r="CR216" s="103" t="str">
        <f aca="false">IF(ISBLANK($C216),"",IF($BH216=Constants!$B$8,$CI216,""))</f>
        <v/>
      </c>
      <c r="CS216" s="102" t="str">
        <f aca="false">IF(ISBLANK($C216),"",IF($BH216&lt;&gt;Constants!$B$4,"",$BK216+$BL216))</f>
        <v/>
      </c>
      <c r="CT216" s="104" t="str">
        <f aca="false">IF(ISBLANK($C216),"",IF($BH216&lt;&gt;Constants!$B$4,"",$BM216+$BN216+$BO216))</f>
        <v/>
      </c>
      <c r="CU216" s="104" t="str">
        <f aca="false">IF(ISBLANK($C216),"",IF($BH216&lt;&gt;Constants!$B$4,"",$BP216))</f>
        <v/>
      </c>
      <c r="CV216" s="104" t="str">
        <f aca="false">IF(ISBLANK($C216),"",IF($BH216&lt;&gt;Constants!$B$4,"",$BQ216+$BR216))</f>
        <v/>
      </c>
      <c r="CW216" s="104" t="str">
        <f aca="false">IF(ISBLANK($C216),"",IF($BH216&lt;&gt;Constants!$B$4,"",$BS216))</f>
        <v/>
      </c>
      <c r="CX216" s="104" t="str">
        <f aca="false">IF(ISBLANK($C216),"",IF($BH216&lt;&gt;Constants!$B$4,"",-$BZ216))</f>
        <v/>
      </c>
      <c r="CY216" s="103" t="str">
        <f aca="false">IF(ISBLANK($C216),"",$CA216)</f>
        <v/>
      </c>
      <c r="CZ216" s="105" t="str">
        <f aca="false">IF(ISBLANK($C216),"",$BI216)</f>
        <v/>
      </c>
      <c r="DA216" s="104" t="str">
        <f aca="false">IF(ISBLANK($C216),"",$CH216)</f>
        <v/>
      </c>
      <c r="DB216" s="104" t="str">
        <f aca="false">IF(ISBLANK($C216),"",$CG216)</f>
        <v/>
      </c>
      <c r="DC216" s="106" t="str">
        <f aca="false">IF(ISBLANK($C216),"",IFERROR(_xlfn.SWITCH($DB216,Constants!$B$7,COUNTA($C$9:$C$508)+2,Constants!$B$6,COUNTA($C$9:$C$508)+1,Constants!$B$5,COUNTA($C$9:$C$508)),$DB216))</f>
        <v/>
      </c>
      <c r="DD216" s="7"/>
      <c r="DE216" s="107" t="n">
        <f aca="false">IF(OR(ISNUMBER($DB216),$DB216=Constants!$B$7,$DB216=Constants!$B$5,$DB216=Constants!$B$6),1,0)</f>
        <v>0</v>
      </c>
      <c r="DF216" s="107" t="n">
        <v>208</v>
      </c>
      <c r="DG216" s="107" t="str">
        <f aca="false">IF(ISBLANK($C216),"",IF(ISNUMBER($DC216),$DC216+ROW($B216)/1000,""))</f>
        <v/>
      </c>
      <c r="DH216" s="107" t="str">
        <f aca="false">IF(ISNUMBER($DG216),RANK($DG216,$DG$9:$DG$508,1),"")</f>
        <v/>
      </c>
      <c r="DI216" s="107" t="str">
        <f aca="false">IF(ISBLANK($C216),"",$B216)</f>
        <v/>
      </c>
      <c r="DJ216" s="107" t="str">
        <f aca="false">IF(ISBLANK($C216),"",$C216)</f>
        <v/>
      </c>
      <c r="DK216" s="107" t="str">
        <f aca="false">IF(ISBLANK($C216),"",$D216)</f>
        <v/>
      </c>
      <c r="DL216" s="108" t="str">
        <f aca="false">$CZ216</f>
        <v/>
      </c>
      <c r="DM216" s="109" t="str">
        <f aca="false">$CY216</f>
        <v/>
      </c>
      <c r="DN216" s="107" t="str">
        <f aca="false">IF(ISBLANK($C216),"",$DB216)</f>
        <v/>
      </c>
      <c r="DO216" s="110" t="str">
        <f aca="false">IF($DF216&gt;$DE$8,"",VLOOKUP($DF216,$DH$9:$DN$508,7,FALSE()))</f>
        <v/>
      </c>
      <c r="DP216" s="111" t="str">
        <f aca="false">IF($DF216&gt;$DE$8,"",VLOOKUP($DF216,$DH$9:$DN$508,2,FALSE()))</f>
        <v/>
      </c>
      <c r="DQ216" s="111" t="str">
        <f aca="false">IF($DF216&gt;$DE$8,"",VLOOKUP($DF216,$DH$9:$DN$508,3,FALSE()))</f>
        <v/>
      </c>
      <c r="DR216" s="111" t="str">
        <f aca="false">IF($DF216&gt;$DE$8,"",VLOOKUP($DF216,$DH$9:$DN$508,4,FALSE()))</f>
        <v/>
      </c>
      <c r="DS216" s="111" t="str">
        <f aca="false">IF($DF216&gt;$DE$8,"",VLOOKUP($DF216,$DH$9:$DN$508,5,FALSE()))</f>
        <v/>
      </c>
      <c r="DT216" s="112" t="str">
        <f aca="false">IF($DF216&gt;$DE$8,"",VLOOKUP($DF216,$DH$9:$DN$508,6,FALSE()))</f>
        <v/>
      </c>
      <c r="DU216" s="62"/>
    </row>
    <row r="217" customFormat="false" ht="15.75" hidden="false" customHeight="false" outlineLevel="0" collapsed="false">
      <c r="A217" s="7"/>
      <c r="B217" s="90"/>
      <c r="C217" s="91"/>
      <c r="D217" s="126"/>
      <c r="E217" s="130"/>
      <c r="F217" s="135"/>
      <c r="G217" s="130"/>
      <c r="H217" s="135"/>
      <c r="I217" s="131"/>
      <c r="J217" s="131"/>
      <c r="K217" s="131"/>
      <c r="L217" s="130"/>
      <c r="M217" s="130"/>
      <c r="N217" s="130"/>
      <c r="O217" s="135"/>
      <c r="P217" s="130"/>
      <c r="Q217" s="130"/>
      <c r="R217" s="130"/>
      <c r="S217" s="130"/>
      <c r="T217" s="135"/>
      <c r="U217" s="130"/>
      <c r="V217" s="96"/>
      <c r="W217" s="130"/>
      <c r="X217" s="130"/>
      <c r="Y217" s="96"/>
      <c r="Z217" s="96"/>
      <c r="AA217" s="130"/>
      <c r="AB217" s="130"/>
      <c r="AC217" s="97"/>
      <c r="AD217" s="130"/>
      <c r="AE217" s="99"/>
      <c r="AF217" s="100"/>
      <c r="AG217" s="100"/>
      <c r="AH217" s="100" t="str">
        <f aca="false">IF(ISBLANK($C217),"",IF($E217=Constants!$B$2,TRUE(),IF($E217=Constants!$B$3,FALSE(),TRUE())))</f>
        <v/>
      </c>
      <c r="AI217" s="100" t="str">
        <f aca="false">IF(ISBLANK($C217),"",IF($F217=Constants!$B$2,TRUE(),IF($F217=Constants!$B$3,FALSE(),FALSE())))</f>
        <v/>
      </c>
      <c r="AJ217" s="100" t="str">
        <f aca="false">IF(ISBLANK($C217),"",IF($G217=Constants!$B$2,TRUE(),IF($G217=Constants!$B$3,FALSE(),TRUE())))</f>
        <v/>
      </c>
      <c r="AK217" s="100" t="str">
        <f aca="false">IF(ISBLANK($C217),"",IF($H217=Constants!$B$2,TRUE(),IF($H217=Constants!$B$3,FALSE(),TRUE())))</f>
        <v/>
      </c>
      <c r="AL217" s="100" t="str">
        <f aca="false">IF(ISBLANK($C217),"",IF(ISNUMBER($I217),IF($I217&gt;=0,$I217,""),""))</f>
        <v/>
      </c>
      <c r="AM217" s="100" t="str">
        <f aca="false">IF(ISBLANK($C217),"",IF(ISNUMBER($J217),IF($J217&gt;=0,$J217,""),""))</f>
        <v/>
      </c>
      <c r="AN217" s="100" t="str">
        <f aca="false">IF(ISBLANK($C217),"",IF(ISNUMBER($K217),IF($K217&gt;=0,$K217,""),""))</f>
        <v/>
      </c>
      <c r="AO217" s="100" t="str">
        <f aca="false">IF(ISBLANK($C217),"",IF($L217=Constants!$B$2,TRUE(),IF($L217=Constants!$B$3,FALSE(),TRUE())))</f>
        <v/>
      </c>
      <c r="AP217" s="100" t="str">
        <f aca="false">IF(ISBLANK($C217),"",IF($M217=Constants!$B$2,TRUE(),IF($M217=Constants!$B$3,FALSE(),TRUE())))</f>
        <v/>
      </c>
      <c r="AQ217" s="100" t="str">
        <f aca="false">IF(ISBLANK($C217),"",IF($N217=Constants!$B$2,TRUE(),IF($N217=Constants!$B$3,FALSE(),FALSE())))</f>
        <v/>
      </c>
      <c r="AR217" s="100" t="str">
        <f aca="false">IF(ISBLANK($C217),"",IF($O217=Constants!$B$2,TRUE(),IF($O217=Constants!$B$3,FALSE(),TRUE())))</f>
        <v/>
      </c>
      <c r="AS217" s="100" t="str">
        <f aca="false">IF(ISBLANK($C217),"",IF($P217=Constants!$B$2,TRUE(),IF($P217=Constants!$B$3,FALSE(),FALSE())))</f>
        <v/>
      </c>
      <c r="AT217" s="100" t="str">
        <f aca="false">IF(ISBLANK($C217),"",IF($Q217=Constants!$B$2,TRUE(),IF($Q217=Constants!$B$3,FALSE(),FALSE())))</f>
        <v/>
      </c>
      <c r="AU217" s="100" t="str">
        <f aca="false">IF(ISBLANK($C217),"",IF($R217=Constants!$B$2,TRUE(),IF($R217=Constants!$B$3,FALSE(),FALSE())))</f>
        <v/>
      </c>
      <c r="AV217" s="100" t="str">
        <f aca="false">IF(ISBLANK($C217),"",IF($S217=Constants!$B$2,TRUE(),IF($S217=Constants!$B$3,FALSE(),FALSE())))</f>
        <v/>
      </c>
      <c r="AW217" s="100" t="str">
        <f aca="false">IF(ISBLANK($C217),"",IF($T217=Constants!$B$2,TRUE(),IF($T217=Constants!$B$3,FALSE(),FALSE())))</f>
        <v/>
      </c>
      <c r="AX217" s="100" t="str">
        <f aca="false">IF(ISBLANK($C217),"",IF(OR($U217&amp;""="1",$U217&amp;""="2",$U217&amp;""="3",$U217&amp;""="4"),VALUE($U217&amp;""),IF($U217=Constants!$B$12,Constants!$B$12,"")))</f>
        <v/>
      </c>
      <c r="AY217" s="100" t="str">
        <f aca="false">IF(ISBLANK($C217),"",IF(ISBLANK($V217),0,IF(ISNUMBER($V217),IF(AND($V217&gt;=0,$V217&lt;=Constants!$B$21,$V217=INT($V217)),$V217,""),"")))</f>
        <v/>
      </c>
      <c r="AZ217" s="100" t="str">
        <f aca="false">IF(ISBLANK($C217),"",IF(ISBLANK($W217),0,IF(ISNUMBER($W217),IF($W217&gt;=0,$W217,""),"")))</f>
        <v/>
      </c>
      <c r="BA217" s="100" t="str">
        <f aca="false">IF(ISBLANK($C217),"",IF($X217=Constants!$B$2,TRUE(),IF($X217=Constants!$B$3,FALSE(),TRUE())))</f>
        <v/>
      </c>
      <c r="BB217" s="100" t="str">
        <f aca="false">IF(ISBLANK($C217),"",IF($Y217=Constants!$B$2,TRUE(),IF($Y217=Constants!$B$3,FALSE(),FALSE())))</f>
        <v/>
      </c>
      <c r="BC217" s="100" t="str">
        <f aca="false">IF(ISBLANK($C217),"",IF(ISBLANK($Z217),0,IF(ISNUMBER($Z217),IF(AND($Z217&gt;=0,$Z217&lt;=Constants!$B$35,$Z217=INT($Z217)),$Z217,""),"")))</f>
        <v/>
      </c>
      <c r="BD217" s="100" t="str">
        <f aca="false">IF(ISBLANK($C217),"",IF($AA217=Constants!$B$2,TRUE(),IF($AA217=Constants!$B$3,FALSE(),TRUE())))</f>
        <v/>
      </c>
      <c r="BE217" s="100" t="str">
        <f aca="false">IF(ISBLANK($C217),"",IF($AB217=Constants!$B$2,TRUE(),IF($AB217=Constants!$B$3,FALSE(),TRUE())))</f>
        <v/>
      </c>
      <c r="BF217" s="100" t="str">
        <f aca="false">IF(ISBLANK($C217),"",IF(ISNUMBER($AC217),IF($AC217&gt;=0,$AC217,""),""))</f>
        <v/>
      </c>
      <c r="BG217" s="100" t="str">
        <f aca="false">IF(ISBLANK($C217),"",IF($AD217=Constants!$B$2,TRUE(),IF($AD217=Constants!$B$3,FALSE(),FALSE())))</f>
        <v/>
      </c>
      <c r="BH217" s="99" t="str">
        <f aca="false">IF(ISBLANK($C217),"",IF($BG217,Constants!$B$7,IF(COUNTA($E217:$AC217)=0,Constants!$B$6,IF(OR(COUNTA($G217:$AC217)=0,NOT($AK217),$AQ217),Constants!$B$5,IF(OR($CI217&lt;&gt;"",$CJ217,$CK217,$CL217,$CM217,$CN217,$CO217),Constants!$B$8,Constants!$B$4)))))</f>
        <v/>
      </c>
      <c r="BI217" s="100" t="str">
        <f aca="false">IF(ISBLANK($C217),"",IF($BH217&lt;&gt;Constants!$B$4,$BH217,IF(OR(NOT($AH217),NOT($AJ217),NOT($AR217)),Constants!$B$11,IF(OR(NOT($AP217),MAX($AL217,$AM217,$AN217)&gt;Constants!$B$30),Constants!$B$10,Constants!$B$9))))</f>
        <v/>
      </c>
      <c r="BJ217" s="100" t="str">
        <f aca="false">IF($BH217&lt;&gt;Constants!$B$4,"",IF(NOT($AJ217),0,MIN(Constants!$B$35,$BC217)))</f>
        <v/>
      </c>
      <c r="BK217" s="100" t="str">
        <f aca="false">IF($BH217&lt;&gt;Constants!$B$4,"",IF(NOT($AJ217),0,IF($AT217,Constants!$B$18,IF($AS217,Constants!$B$17,0))))</f>
        <v/>
      </c>
      <c r="BL217" s="100" t="str">
        <f aca="false">IF($BH217&lt;&gt;Constants!$B$4,"",IF(NOT($AJ217),0,Constants!$B$19*($AI217+$AU217+$AV217+$AW217)))</f>
        <v/>
      </c>
      <c r="BM217" s="100" t="str">
        <f aca="false">IF($BH217&lt;&gt;Constants!$B$4,"",IF(OR(NOT($AJ217),NOT(ISNUMBER($AX217))),0,CHOOSE($AX217,Constants!$B$13,Constants!$B$14,Constants!$B$15,Constants!$B$16)))</f>
        <v/>
      </c>
      <c r="BN217" s="100" t="str">
        <f aca="false">IF($BH217&lt;&gt;Constants!$B$4,"",IF(NOT($AJ217),0,Constants!$B$20*$AY217))</f>
        <v/>
      </c>
      <c r="BO217" s="100" t="str">
        <f aca="false">IF($BH217&lt;&gt;Constants!$B$4,"",IF(AND($AJ217,$BA217,$BB217),Constants!$B$22,0))</f>
        <v/>
      </c>
      <c r="BP217" s="100" t="str">
        <f aca="false">IF($BH217&lt;&gt;Constants!$B$4,"",IF(OR(NOT($AJ217),NOT($BA217)),0,IF($BF217&gt;=2*$AF$9,0,Constants!$B$23*INT(ROUND(MIN($BF217,$AF$9),6)))))</f>
        <v/>
      </c>
      <c r="BQ217" s="100" t="str">
        <f aca="false">IF($BH217&lt;&gt;Constants!$B$4,"",IF(NOT($AJ217),0,Constants!$B$24*INT(ROUND(MIN($AZ217,$AF$9),6))))</f>
        <v/>
      </c>
      <c r="BR217" s="100" t="str">
        <f aca="false">IF($BH217&lt;&gt;Constants!$B$4,"",IF(AND($AJ217,$BJ217=0),Constants!$B$25,0))</f>
        <v/>
      </c>
      <c r="BS217" s="100" t="str">
        <f aca="false">IF($BH217&lt;&gt;Constants!$B$4,"",MIN(Constants!$B$29,MAX(0,Constants!$B$27*Constants!$B$28*INT(ROUND((Constants!$B$26-$AL217)/Constants!$B$28,6))))+MIN(Constants!$B$29,MAX(0,Constants!$B$27*Constants!$B$28*INT(ROUND((Constants!$B$26-$AM217)/Constants!$B$28,6))))+MIN(Constants!$B$29,MAX(0,Constants!$B$27*Constants!$B$28*INT(ROUND((Constants!$B$26-$AN217)/Constants!$B$28,6)))))</f>
        <v/>
      </c>
      <c r="BT217" s="100" t="str">
        <f aca="false">IF($BH217&lt;&gt;Constants!$B$4,"",IF(NOT($AJ217),0,Constants!$B$31*INT(ROUND(MAX(0,MIN($BF217,2*$AF$9)-$AF$9),6))))</f>
        <v/>
      </c>
      <c r="BU217" s="100" t="str">
        <f aca="false">IF($BH217&lt;&gt;Constants!$B$4,"",Constants!$B$32*(($AL217&gt;Constants!$B$26)+($AM217&gt;Constants!$B$26)+($AN217&gt;Constants!$B$26)))</f>
        <v/>
      </c>
      <c r="BV217" s="100" t="str">
        <f aca="false">IF($BH217&lt;&gt;Constants!$B$4,"",IF(OR(NOT($AJ217),$AO217),0,Constants!$B$33))</f>
        <v/>
      </c>
      <c r="BW217" s="100" t="str">
        <f aca="false">IF($BH217&lt;&gt;Constants!$B$4,"",Constants!$B$34*$BJ217)</f>
        <v/>
      </c>
      <c r="BX217" s="100" t="str">
        <f aca="false">IF($BH217&lt;&gt;Constants!$B$4,"",IF(OR(NOT($AJ217),$BE217),0,Constants!$B$36))</f>
        <v/>
      </c>
      <c r="BY217" s="100" t="str">
        <f aca="false">IF($BH217&lt;&gt;Constants!$B$4,"",IF(OR(NOT($AJ217),$BD217),0,Constants!$B$37))</f>
        <v/>
      </c>
      <c r="BZ217" s="100" t="str">
        <f aca="false">IF($BH217&lt;&gt;Constants!$B$4,"",SUM($BT217:$BY217))</f>
        <v/>
      </c>
      <c r="CA217" s="100" t="str">
        <f aca="false">IF(ISBLANK($C217),"",IF($BH217&lt;&gt;Constants!$B$4,$BH217,SUM($BK217:$BS217)-$BZ217))</f>
        <v/>
      </c>
      <c r="CB217" s="100" t="str">
        <f aca="false">IF(ISBLANK($C217),"",IF($BH217&lt;&gt;Constants!$B$4,$BH217,RANK($CA217,$CA$9:$CA$508)))</f>
        <v/>
      </c>
      <c r="CC217" s="100" t="str">
        <f aca="false">IF(ISBLANK($C217),"",IF($BH217&lt;&gt;Constants!$B$4,$BH217,COUNTIFS($BI$9:$BI$508,"&lt;"&amp;$BI217)+COUNTIFS($BI$9:$BI$508,$BI217,$CB$9:$CB$508,"&lt;"&amp;$CB217)+1))</f>
        <v/>
      </c>
      <c r="CD217" s="100" t="str">
        <f aca="false">IF(ISBLANK($C217),"",IF($BH217&lt;&gt;Constants!$B$4,$BH217,RANK($BZ217,$BZ$9:$BZ$508,1)))</f>
        <v/>
      </c>
      <c r="CE217" s="100" t="str">
        <f aca="false">IF($BH217&lt;&gt;Constants!$B$4,"",$AL217+$AM217+$AN217)</f>
        <v/>
      </c>
      <c r="CF217" s="100" t="str">
        <f aca="false">IF(ISBLANK($C217),"",IF($BH217&lt;&gt;Constants!$B$4,$BH217,RANK($CE217,$CE$9:$CE$508,1)))</f>
        <v/>
      </c>
      <c r="CG217" s="100" t="str">
        <f aca="false">IF(ISBLANK($C217),"",IF($BH217&lt;&gt;Constants!$B$4,$BH217,COUNTIFS($BI$9:$BI$508,"&lt;"&amp;$BI217)+COUNTIFS($BI$9:$BI$508,$BI217,$CB$9:$CB$508,"&lt;"&amp;$CB217)+COUNTIFS($BI$9:$BI$508,$BI217,$CB$9:$CB$508,$CB217,$CD$9:$CD$508,"&lt;"&amp;$CD217)+COUNTIFS($BI$9:$BI$508,$BI217,$CB$9:$CB$508,$CB217,$CD$9:$CD$508,$CD217,$CF$9:$CF$508,"&lt;"&amp;$CF217)+1))</f>
        <v/>
      </c>
      <c r="CH217" s="100" t="str">
        <f aca="false">IF(ISBLANK($C217),"",IF($BH217&lt;&gt;Constants!$B$4,$BH217,$CC217-$CG217))</f>
        <v/>
      </c>
      <c r="CI217" s="100" t="str">
        <f aca="false">IF(ISBLANK($C217),"",IF(NOT($AJ217),"",IF(ISBLANK($D$7),$CI$5,IF(NOT(ISNUMBER($D$7)),$CI$6,""))))</f>
        <v/>
      </c>
      <c r="CJ217" s="100" t="str">
        <f aca="false">IF(ISBLANK($C217),"",OR($AL217="",$AM217="",$AN217=""))</f>
        <v/>
      </c>
      <c r="CK217" s="100" t="str">
        <f aca="false">IF(ISBLANK($C217),"",AND($AJ217,$AX217=""))</f>
        <v/>
      </c>
      <c r="CL217" s="100" t="str">
        <f aca="false">IF(ISBLANK($C217),"",AND($AJ217,$AY217=""))</f>
        <v/>
      </c>
      <c r="CM217" s="100" t="str">
        <f aca="false">IF(ISBLANK($C217),"",AND($AJ217,$AZ217=""))</f>
        <v/>
      </c>
      <c r="CN217" s="100" t="str">
        <f aca="false">IF(ISBLANK($C217),"",AND($AJ217,$BC217=""))</f>
        <v/>
      </c>
      <c r="CO217" s="100" t="str">
        <f aca="false">IF(ISBLANK($C217),"",AND($AJ217,$BF217=""))</f>
        <v/>
      </c>
      <c r="CP217" s="101"/>
      <c r="CQ217" s="102"/>
      <c r="CR217" s="103" t="str">
        <f aca="false">IF(ISBLANK($C217),"",IF($BH217=Constants!$B$8,$CI217,""))</f>
        <v/>
      </c>
      <c r="CS217" s="102" t="str">
        <f aca="false">IF(ISBLANK($C217),"",IF($BH217&lt;&gt;Constants!$B$4,"",$BK217+$BL217))</f>
        <v/>
      </c>
      <c r="CT217" s="104" t="str">
        <f aca="false">IF(ISBLANK($C217),"",IF($BH217&lt;&gt;Constants!$B$4,"",$BM217+$BN217+$BO217))</f>
        <v/>
      </c>
      <c r="CU217" s="104" t="str">
        <f aca="false">IF(ISBLANK($C217),"",IF($BH217&lt;&gt;Constants!$B$4,"",$BP217))</f>
        <v/>
      </c>
      <c r="CV217" s="104" t="str">
        <f aca="false">IF(ISBLANK($C217),"",IF($BH217&lt;&gt;Constants!$B$4,"",$BQ217+$BR217))</f>
        <v/>
      </c>
      <c r="CW217" s="104" t="str">
        <f aca="false">IF(ISBLANK($C217),"",IF($BH217&lt;&gt;Constants!$B$4,"",$BS217))</f>
        <v/>
      </c>
      <c r="CX217" s="104" t="str">
        <f aca="false">IF(ISBLANK($C217),"",IF($BH217&lt;&gt;Constants!$B$4,"",-$BZ217))</f>
        <v/>
      </c>
      <c r="CY217" s="103" t="str">
        <f aca="false">IF(ISBLANK($C217),"",$CA217)</f>
        <v/>
      </c>
      <c r="CZ217" s="105" t="str">
        <f aca="false">IF(ISBLANK($C217),"",$BI217)</f>
        <v/>
      </c>
      <c r="DA217" s="104" t="str">
        <f aca="false">IF(ISBLANK($C217),"",$CH217)</f>
        <v/>
      </c>
      <c r="DB217" s="104" t="str">
        <f aca="false">IF(ISBLANK($C217),"",$CG217)</f>
        <v/>
      </c>
      <c r="DC217" s="106" t="str">
        <f aca="false">IF(ISBLANK($C217),"",IFERROR(_xlfn.SWITCH($DB217,Constants!$B$7,COUNTA($C$9:$C$508)+2,Constants!$B$6,COUNTA($C$9:$C$508)+1,Constants!$B$5,COUNTA($C$9:$C$508)),$DB217))</f>
        <v/>
      </c>
      <c r="DD217" s="7"/>
      <c r="DE217" s="107" t="n">
        <f aca="false">IF(OR(ISNUMBER($DB217),$DB217=Constants!$B$7,$DB217=Constants!$B$5,$DB217=Constants!$B$6),1,0)</f>
        <v>0</v>
      </c>
      <c r="DF217" s="107" t="n">
        <v>209</v>
      </c>
      <c r="DG217" s="107" t="str">
        <f aca="false">IF(ISBLANK($C217),"",IF(ISNUMBER($DC217),$DC217+ROW($B217)/1000,""))</f>
        <v/>
      </c>
      <c r="DH217" s="107" t="str">
        <f aca="false">IF(ISNUMBER($DG217),RANK($DG217,$DG$9:$DG$508,1),"")</f>
        <v/>
      </c>
      <c r="DI217" s="107" t="str">
        <f aca="false">IF(ISBLANK($C217),"",$B217)</f>
        <v/>
      </c>
      <c r="DJ217" s="107" t="str">
        <f aca="false">IF(ISBLANK($C217),"",$C217)</f>
        <v/>
      </c>
      <c r="DK217" s="107" t="str">
        <f aca="false">IF(ISBLANK($C217),"",$D217)</f>
        <v/>
      </c>
      <c r="DL217" s="108" t="str">
        <f aca="false">$CZ217</f>
        <v/>
      </c>
      <c r="DM217" s="109" t="str">
        <f aca="false">$CY217</f>
        <v/>
      </c>
      <c r="DN217" s="107" t="str">
        <f aca="false">IF(ISBLANK($C217),"",$DB217)</f>
        <v/>
      </c>
      <c r="DO217" s="110" t="str">
        <f aca="false">IF($DF217&gt;$DE$8,"",VLOOKUP($DF217,$DH$9:$DN$508,7,FALSE()))</f>
        <v/>
      </c>
      <c r="DP217" s="111" t="str">
        <f aca="false">IF($DF217&gt;$DE$8,"",VLOOKUP($DF217,$DH$9:$DN$508,2,FALSE()))</f>
        <v/>
      </c>
      <c r="DQ217" s="111" t="str">
        <f aca="false">IF($DF217&gt;$DE$8,"",VLOOKUP($DF217,$DH$9:$DN$508,3,FALSE()))</f>
        <v/>
      </c>
      <c r="DR217" s="111" t="str">
        <f aca="false">IF($DF217&gt;$DE$8,"",VLOOKUP($DF217,$DH$9:$DN$508,4,FALSE()))</f>
        <v/>
      </c>
      <c r="DS217" s="111" t="str">
        <f aca="false">IF($DF217&gt;$DE$8,"",VLOOKUP($DF217,$DH$9:$DN$508,5,FALSE()))</f>
        <v/>
      </c>
      <c r="DT217" s="112" t="str">
        <f aca="false">IF($DF217&gt;$DE$8,"",VLOOKUP($DF217,$DH$9:$DN$508,6,FALSE()))</f>
        <v/>
      </c>
      <c r="DU217" s="62"/>
    </row>
    <row r="218" customFormat="false" ht="15.75" hidden="false" customHeight="false" outlineLevel="0" collapsed="false">
      <c r="A218" s="7"/>
      <c r="B218" s="90"/>
      <c r="C218" s="91"/>
      <c r="D218" s="126"/>
      <c r="E218" s="130"/>
      <c r="F218" s="135"/>
      <c r="G218" s="130"/>
      <c r="H218" s="135"/>
      <c r="I218" s="131"/>
      <c r="J218" s="131"/>
      <c r="K218" s="131"/>
      <c r="L218" s="130"/>
      <c r="M218" s="130"/>
      <c r="N218" s="130"/>
      <c r="O218" s="135"/>
      <c r="P218" s="130"/>
      <c r="Q218" s="130"/>
      <c r="R218" s="130"/>
      <c r="S218" s="130"/>
      <c r="T218" s="135"/>
      <c r="U218" s="130"/>
      <c r="V218" s="96"/>
      <c r="W218" s="130"/>
      <c r="X218" s="130"/>
      <c r="Y218" s="96"/>
      <c r="Z218" s="96"/>
      <c r="AA218" s="130"/>
      <c r="AB218" s="130"/>
      <c r="AC218" s="97"/>
      <c r="AD218" s="130"/>
      <c r="AE218" s="99"/>
      <c r="AF218" s="100"/>
      <c r="AG218" s="100"/>
      <c r="AH218" s="100" t="str">
        <f aca="false">IF(ISBLANK($C218),"",IF($E218=Constants!$B$2,TRUE(),IF($E218=Constants!$B$3,FALSE(),TRUE())))</f>
        <v/>
      </c>
      <c r="AI218" s="100" t="str">
        <f aca="false">IF(ISBLANK($C218),"",IF($F218=Constants!$B$2,TRUE(),IF($F218=Constants!$B$3,FALSE(),FALSE())))</f>
        <v/>
      </c>
      <c r="AJ218" s="100" t="str">
        <f aca="false">IF(ISBLANK($C218),"",IF($G218=Constants!$B$2,TRUE(),IF($G218=Constants!$B$3,FALSE(),TRUE())))</f>
        <v/>
      </c>
      <c r="AK218" s="100" t="str">
        <f aca="false">IF(ISBLANK($C218),"",IF($H218=Constants!$B$2,TRUE(),IF($H218=Constants!$B$3,FALSE(),TRUE())))</f>
        <v/>
      </c>
      <c r="AL218" s="100" t="str">
        <f aca="false">IF(ISBLANK($C218),"",IF(ISNUMBER($I218),IF($I218&gt;=0,$I218,""),""))</f>
        <v/>
      </c>
      <c r="AM218" s="100" t="str">
        <f aca="false">IF(ISBLANK($C218),"",IF(ISNUMBER($J218),IF($J218&gt;=0,$J218,""),""))</f>
        <v/>
      </c>
      <c r="AN218" s="100" t="str">
        <f aca="false">IF(ISBLANK($C218),"",IF(ISNUMBER($K218),IF($K218&gt;=0,$K218,""),""))</f>
        <v/>
      </c>
      <c r="AO218" s="100" t="str">
        <f aca="false">IF(ISBLANK($C218),"",IF($L218=Constants!$B$2,TRUE(),IF($L218=Constants!$B$3,FALSE(),TRUE())))</f>
        <v/>
      </c>
      <c r="AP218" s="100" t="str">
        <f aca="false">IF(ISBLANK($C218),"",IF($M218=Constants!$B$2,TRUE(),IF($M218=Constants!$B$3,FALSE(),TRUE())))</f>
        <v/>
      </c>
      <c r="AQ218" s="100" t="str">
        <f aca="false">IF(ISBLANK($C218),"",IF($N218=Constants!$B$2,TRUE(),IF($N218=Constants!$B$3,FALSE(),FALSE())))</f>
        <v/>
      </c>
      <c r="AR218" s="100" t="str">
        <f aca="false">IF(ISBLANK($C218),"",IF($O218=Constants!$B$2,TRUE(),IF($O218=Constants!$B$3,FALSE(),TRUE())))</f>
        <v/>
      </c>
      <c r="AS218" s="100" t="str">
        <f aca="false">IF(ISBLANK($C218),"",IF($P218=Constants!$B$2,TRUE(),IF($P218=Constants!$B$3,FALSE(),FALSE())))</f>
        <v/>
      </c>
      <c r="AT218" s="100" t="str">
        <f aca="false">IF(ISBLANK($C218),"",IF($Q218=Constants!$B$2,TRUE(),IF($Q218=Constants!$B$3,FALSE(),FALSE())))</f>
        <v/>
      </c>
      <c r="AU218" s="100" t="str">
        <f aca="false">IF(ISBLANK($C218),"",IF($R218=Constants!$B$2,TRUE(),IF($R218=Constants!$B$3,FALSE(),FALSE())))</f>
        <v/>
      </c>
      <c r="AV218" s="100" t="str">
        <f aca="false">IF(ISBLANK($C218),"",IF($S218=Constants!$B$2,TRUE(),IF($S218=Constants!$B$3,FALSE(),FALSE())))</f>
        <v/>
      </c>
      <c r="AW218" s="100" t="str">
        <f aca="false">IF(ISBLANK($C218),"",IF($T218=Constants!$B$2,TRUE(),IF($T218=Constants!$B$3,FALSE(),FALSE())))</f>
        <v/>
      </c>
      <c r="AX218" s="100" t="str">
        <f aca="false">IF(ISBLANK($C218),"",IF(OR($U218&amp;""="1",$U218&amp;""="2",$U218&amp;""="3",$U218&amp;""="4"),VALUE($U218&amp;""),IF($U218=Constants!$B$12,Constants!$B$12,"")))</f>
        <v/>
      </c>
      <c r="AY218" s="100" t="str">
        <f aca="false">IF(ISBLANK($C218),"",IF(ISBLANK($V218),0,IF(ISNUMBER($V218),IF(AND($V218&gt;=0,$V218&lt;=Constants!$B$21,$V218=INT($V218)),$V218,""),"")))</f>
        <v/>
      </c>
      <c r="AZ218" s="100" t="str">
        <f aca="false">IF(ISBLANK($C218),"",IF(ISBLANK($W218),0,IF(ISNUMBER($W218),IF($W218&gt;=0,$W218,""),"")))</f>
        <v/>
      </c>
      <c r="BA218" s="100" t="str">
        <f aca="false">IF(ISBLANK($C218),"",IF($X218=Constants!$B$2,TRUE(),IF($X218=Constants!$B$3,FALSE(),TRUE())))</f>
        <v/>
      </c>
      <c r="BB218" s="100" t="str">
        <f aca="false">IF(ISBLANK($C218),"",IF($Y218=Constants!$B$2,TRUE(),IF($Y218=Constants!$B$3,FALSE(),FALSE())))</f>
        <v/>
      </c>
      <c r="BC218" s="100" t="str">
        <f aca="false">IF(ISBLANK($C218),"",IF(ISBLANK($Z218),0,IF(ISNUMBER($Z218),IF(AND($Z218&gt;=0,$Z218&lt;=Constants!$B$35,$Z218=INT($Z218)),$Z218,""),"")))</f>
        <v/>
      </c>
      <c r="BD218" s="100" t="str">
        <f aca="false">IF(ISBLANK($C218),"",IF($AA218=Constants!$B$2,TRUE(),IF($AA218=Constants!$B$3,FALSE(),TRUE())))</f>
        <v/>
      </c>
      <c r="BE218" s="100" t="str">
        <f aca="false">IF(ISBLANK($C218),"",IF($AB218=Constants!$B$2,TRUE(),IF($AB218=Constants!$B$3,FALSE(),TRUE())))</f>
        <v/>
      </c>
      <c r="BF218" s="100" t="str">
        <f aca="false">IF(ISBLANK($C218),"",IF(ISNUMBER($AC218),IF($AC218&gt;=0,$AC218,""),""))</f>
        <v/>
      </c>
      <c r="BG218" s="100" t="str">
        <f aca="false">IF(ISBLANK($C218),"",IF($AD218=Constants!$B$2,TRUE(),IF($AD218=Constants!$B$3,FALSE(),FALSE())))</f>
        <v/>
      </c>
      <c r="BH218" s="99" t="str">
        <f aca="false">IF(ISBLANK($C218),"",IF($BG218,Constants!$B$7,IF(COUNTA($E218:$AC218)=0,Constants!$B$6,IF(OR(COUNTA($G218:$AC218)=0,NOT($AK218),$AQ218),Constants!$B$5,IF(OR($CI218&lt;&gt;"",$CJ218,$CK218,$CL218,$CM218,$CN218,$CO218),Constants!$B$8,Constants!$B$4)))))</f>
        <v/>
      </c>
      <c r="BI218" s="100" t="str">
        <f aca="false">IF(ISBLANK($C218),"",IF($BH218&lt;&gt;Constants!$B$4,$BH218,IF(OR(NOT($AH218),NOT($AJ218),NOT($AR218)),Constants!$B$11,IF(OR(NOT($AP218),MAX($AL218,$AM218,$AN218)&gt;Constants!$B$30),Constants!$B$10,Constants!$B$9))))</f>
        <v/>
      </c>
      <c r="BJ218" s="100" t="str">
        <f aca="false">IF($BH218&lt;&gt;Constants!$B$4,"",IF(NOT($AJ218),0,MIN(Constants!$B$35,$BC218)))</f>
        <v/>
      </c>
      <c r="BK218" s="100" t="str">
        <f aca="false">IF($BH218&lt;&gt;Constants!$B$4,"",IF(NOT($AJ218),0,IF($AT218,Constants!$B$18,IF($AS218,Constants!$B$17,0))))</f>
        <v/>
      </c>
      <c r="BL218" s="100" t="str">
        <f aca="false">IF($BH218&lt;&gt;Constants!$B$4,"",IF(NOT($AJ218),0,Constants!$B$19*($AI218+$AU218+$AV218+$AW218)))</f>
        <v/>
      </c>
      <c r="BM218" s="100" t="str">
        <f aca="false">IF($BH218&lt;&gt;Constants!$B$4,"",IF(OR(NOT($AJ218),NOT(ISNUMBER($AX218))),0,CHOOSE($AX218,Constants!$B$13,Constants!$B$14,Constants!$B$15,Constants!$B$16)))</f>
        <v/>
      </c>
      <c r="BN218" s="100" t="str">
        <f aca="false">IF($BH218&lt;&gt;Constants!$B$4,"",IF(NOT($AJ218),0,Constants!$B$20*$AY218))</f>
        <v/>
      </c>
      <c r="BO218" s="100" t="str">
        <f aca="false">IF($BH218&lt;&gt;Constants!$B$4,"",IF(AND($AJ218,$BA218,$BB218),Constants!$B$22,0))</f>
        <v/>
      </c>
      <c r="BP218" s="100" t="str">
        <f aca="false">IF($BH218&lt;&gt;Constants!$B$4,"",IF(OR(NOT($AJ218),NOT($BA218)),0,IF($BF218&gt;=2*$AF$9,0,Constants!$B$23*INT(ROUND(MIN($BF218,$AF$9),6)))))</f>
        <v/>
      </c>
      <c r="BQ218" s="100" t="str">
        <f aca="false">IF($BH218&lt;&gt;Constants!$B$4,"",IF(NOT($AJ218),0,Constants!$B$24*INT(ROUND(MIN($AZ218,$AF$9),6))))</f>
        <v/>
      </c>
      <c r="BR218" s="100" t="str">
        <f aca="false">IF($BH218&lt;&gt;Constants!$B$4,"",IF(AND($AJ218,$BJ218=0),Constants!$B$25,0))</f>
        <v/>
      </c>
      <c r="BS218" s="100" t="str">
        <f aca="false">IF($BH218&lt;&gt;Constants!$B$4,"",MIN(Constants!$B$29,MAX(0,Constants!$B$27*Constants!$B$28*INT(ROUND((Constants!$B$26-$AL218)/Constants!$B$28,6))))+MIN(Constants!$B$29,MAX(0,Constants!$B$27*Constants!$B$28*INT(ROUND((Constants!$B$26-$AM218)/Constants!$B$28,6))))+MIN(Constants!$B$29,MAX(0,Constants!$B$27*Constants!$B$28*INT(ROUND((Constants!$B$26-$AN218)/Constants!$B$28,6)))))</f>
        <v/>
      </c>
      <c r="BT218" s="100" t="str">
        <f aca="false">IF($BH218&lt;&gt;Constants!$B$4,"",IF(NOT($AJ218),0,Constants!$B$31*INT(ROUND(MAX(0,MIN($BF218,2*$AF$9)-$AF$9),6))))</f>
        <v/>
      </c>
      <c r="BU218" s="100" t="str">
        <f aca="false">IF($BH218&lt;&gt;Constants!$B$4,"",Constants!$B$32*(($AL218&gt;Constants!$B$26)+($AM218&gt;Constants!$B$26)+($AN218&gt;Constants!$B$26)))</f>
        <v/>
      </c>
      <c r="BV218" s="100" t="str">
        <f aca="false">IF($BH218&lt;&gt;Constants!$B$4,"",IF(OR(NOT($AJ218),$AO218),0,Constants!$B$33))</f>
        <v/>
      </c>
      <c r="BW218" s="100" t="str">
        <f aca="false">IF($BH218&lt;&gt;Constants!$B$4,"",Constants!$B$34*$BJ218)</f>
        <v/>
      </c>
      <c r="BX218" s="100" t="str">
        <f aca="false">IF($BH218&lt;&gt;Constants!$B$4,"",IF(OR(NOT($AJ218),$BE218),0,Constants!$B$36))</f>
        <v/>
      </c>
      <c r="BY218" s="100" t="str">
        <f aca="false">IF($BH218&lt;&gt;Constants!$B$4,"",IF(OR(NOT($AJ218),$BD218),0,Constants!$B$37))</f>
        <v/>
      </c>
      <c r="BZ218" s="100" t="str">
        <f aca="false">IF($BH218&lt;&gt;Constants!$B$4,"",SUM($BT218:$BY218))</f>
        <v/>
      </c>
      <c r="CA218" s="100" t="str">
        <f aca="false">IF(ISBLANK($C218),"",IF($BH218&lt;&gt;Constants!$B$4,$BH218,SUM($BK218:$BS218)-$BZ218))</f>
        <v/>
      </c>
      <c r="CB218" s="100" t="str">
        <f aca="false">IF(ISBLANK($C218),"",IF($BH218&lt;&gt;Constants!$B$4,$BH218,RANK($CA218,$CA$9:$CA$508)))</f>
        <v/>
      </c>
      <c r="CC218" s="100" t="str">
        <f aca="false">IF(ISBLANK($C218),"",IF($BH218&lt;&gt;Constants!$B$4,$BH218,COUNTIFS($BI$9:$BI$508,"&lt;"&amp;$BI218)+COUNTIFS($BI$9:$BI$508,$BI218,$CB$9:$CB$508,"&lt;"&amp;$CB218)+1))</f>
        <v/>
      </c>
      <c r="CD218" s="100" t="str">
        <f aca="false">IF(ISBLANK($C218),"",IF($BH218&lt;&gt;Constants!$B$4,$BH218,RANK($BZ218,$BZ$9:$BZ$508,1)))</f>
        <v/>
      </c>
      <c r="CE218" s="100" t="str">
        <f aca="false">IF($BH218&lt;&gt;Constants!$B$4,"",$AL218+$AM218+$AN218)</f>
        <v/>
      </c>
      <c r="CF218" s="100" t="str">
        <f aca="false">IF(ISBLANK($C218),"",IF($BH218&lt;&gt;Constants!$B$4,$BH218,RANK($CE218,$CE$9:$CE$508,1)))</f>
        <v/>
      </c>
      <c r="CG218" s="100" t="str">
        <f aca="false">IF(ISBLANK($C218),"",IF($BH218&lt;&gt;Constants!$B$4,$BH218,COUNTIFS($BI$9:$BI$508,"&lt;"&amp;$BI218)+COUNTIFS($BI$9:$BI$508,$BI218,$CB$9:$CB$508,"&lt;"&amp;$CB218)+COUNTIFS($BI$9:$BI$508,$BI218,$CB$9:$CB$508,$CB218,$CD$9:$CD$508,"&lt;"&amp;$CD218)+COUNTIFS($BI$9:$BI$508,$BI218,$CB$9:$CB$508,$CB218,$CD$9:$CD$508,$CD218,$CF$9:$CF$508,"&lt;"&amp;$CF218)+1))</f>
        <v/>
      </c>
      <c r="CH218" s="100" t="str">
        <f aca="false">IF(ISBLANK($C218),"",IF($BH218&lt;&gt;Constants!$B$4,$BH218,$CC218-$CG218))</f>
        <v/>
      </c>
      <c r="CI218" s="100" t="str">
        <f aca="false">IF(ISBLANK($C218),"",IF(NOT($AJ218),"",IF(ISBLANK($D$7),$CI$5,IF(NOT(ISNUMBER($D$7)),$CI$6,""))))</f>
        <v/>
      </c>
      <c r="CJ218" s="100" t="str">
        <f aca="false">IF(ISBLANK($C218),"",OR($AL218="",$AM218="",$AN218=""))</f>
        <v/>
      </c>
      <c r="CK218" s="100" t="str">
        <f aca="false">IF(ISBLANK($C218),"",AND($AJ218,$AX218=""))</f>
        <v/>
      </c>
      <c r="CL218" s="100" t="str">
        <f aca="false">IF(ISBLANK($C218),"",AND($AJ218,$AY218=""))</f>
        <v/>
      </c>
      <c r="CM218" s="100" t="str">
        <f aca="false">IF(ISBLANK($C218),"",AND($AJ218,$AZ218=""))</f>
        <v/>
      </c>
      <c r="CN218" s="100" t="str">
        <f aca="false">IF(ISBLANK($C218),"",AND($AJ218,$BC218=""))</f>
        <v/>
      </c>
      <c r="CO218" s="100" t="str">
        <f aca="false">IF(ISBLANK($C218),"",AND($AJ218,$BF218=""))</f>
        <v/>
      </c>
      <c r="CP218" s="101"/>
      <c r="CQ218" s="102"/>
      <c r="CR218" s="103" t="str">
        <f aca="false">IF(ISBLANK($C218),"",IF($BH218=Constants!$B$8,$CI218,""))</f>
        <v/>
      </c>
      <c r="CS218" s="102" t="str">
        <f aca="false">IF(ISBLANK($C218),"",IF($BH218&lt;&gt;Constants!$B$4,"",$BK218+$BL218))</f>
        <v/>
      </c>
      <c r="CT218" s="104" t="str">
        <f aca="false">IF(ISBLANK($C218),"",IF($BH218&lt;&gt;Constants!$B$4,"",$BM218+$BN218+$BO218))</f>
        <v/>
      </c>
      <c r="CU218" s="104" t="str">
        <f aca="false">IF(ISBLANK($C218),"",IF($BH218&lt;&gt;Constants!$B$4,"",$BP218))</f>
        <v/>
      </c>
      <c r="CV218" s="104" t="str">
        <f aca="false">IF(ISBLANK($C218),"",IF($BH218&lt;&gt;Constants!$B$4,"",$BQ218+$BR218))</f>
        <v/>
      </c>
      <c r="CW218" s="104" t="str">
        <f aca="false">IF(ISBLANK($C218),"",IF($BH218&lt;&gt;Constants!$B$4,"",$BS218))</f>
        <v/>
      </c>
      <c r="CX218" s="104" t="str">
        <f aca="false">IF(ISBLANK($C218),"",IF($BH218&lt;&gt;Constants!$B$4,"",-$BZ218))</f>
        <v/>
      </c>
      <c r="CY218" s="103" t="str">
        <f aca="false">IF(ISBLANK($C218),"",$CA218)</f>
        <v/>
      </c>
      <c r="CZ218" s="105" t="str">
        <f aca="false">IF(ISBLANK($C218),"",$BI218)</f>
        <v/>
      </c>
      <c r="DA218" s="104" t="str">
        <f aca="false">IF(ISBLANK($C218),"",$CH218)</f>
        <v/>
      </c>
      <c r="DB218" s="104" t="str">
        <f aca="false">IF(ISBLANK($C218),"",$CG218)</f>
        <v/>
      </c>
      <c r="DC218" s="106" t="str">
        <f aca="false">IF(ISBLANK($C218),"",IFERROR(_xlfn.SWITCH($DB218,Constants!$B$7,COUNTA($C$9:$C$508)+2,Constants!$B$6,COUNTA($C$9:$C$508)+1,Constants!$B$5,COUNTA($C$9:$C$508)),$DB218))</f>
        <v/>
      </c>
      <c r="DD218" s="7"/>
      <c r="DE218" s="107" t="n">
        <f aca="false">IF(OR(ISNUMBER($DB218),$DB218=Constants!$B$7,$DB218=Constants!$B$5,$DB218=Constants!$B$6),1,0)</f>
        <v>0</v>
      </c>
      <c r="DF218" s="107" t="n">
        <v>210</v>
      </c>
      <c r="DG218" s="107" t="str">
        <f aca="false">IF(ISBLANK($C218),"",IF(ISNUMBER($DC218),$DC218+ROW($B218)/1000,""))</f>
        <v/>
      </c>
      <c r="DH218" s="107" t="str">
        <f aca="false">IF(ISNUMBER($DG218),RANK($DG218,$DG$9:$DG$508,1),"")</f>
        <v/>
      </c>
      <c r="DI218" s="107" t="str">
        <f aca="false">IF(ISBLANK($C218),"",$B218)</f>
        <v/>
      </c>
      <c r="DJ218" s="107" t="str">
        <f aca="false">IF(ISBLANK($C218),"",$C218)</f>
        <v/>
      </c>
      <c r="DK218" s="107" t="str">
        <f aca="false">IF(ISBLANK($C218),"",$D218)</f>
        <v/>
      </c>
      <c r="DL218" s="108" t="str">
        <f aca="false">$CZ218</f>
        <v/>
      </c>
      <c r="DM218" s="109" t="str">
        <f aca="false">$CY218</f>
        <v/>
      </c>
      <c r="DN218" s="107" t="str">
        <f aca="false">IF(ISBLANK($C218),"",$DB218)</f>
        <v/>
      </c>
      <c r="DO218" s="110" t="str">
        <f aca="false">IF($DF218&gt;$DE$8,"",VLOOKUP($DF218,$DH$9:$DN$508,7,FALSE()))</f>
        <v/>
      </c>
      <c r="DP218" s="111" t="str">
        <f aca="false">IF($DF218&gt;$DE$8,"",VLOOKUP($DF218,$DH$9:$DN$508,2,FALSE()))</f>
        <v/>
      </c>
      <c r="DQ218" s="111" t="str">
        <f aca="false">IF($DF218&gt;$DE$8,"",VLOOKUP($DF218,$DH$9:$DN$508,3,FALSE()))</f>
        <v/>
      </c>
      <c r="DR218" s="111" t="str">
        <f aca="false">IF($DF218&gt;$DE$8,"",VLOOKUP($DF218,$DH$9:$DN$508,4,FALSE()))</f>
        <v/>
      </c>
      <c r="DS218" s="111" t="str">
        <f aca="false">IF($DF218&gt;$DE$8,"",VLOOKUP($DF218,$DH$9:$DN$508,5,FALSE()))</f>
        <v/>
      </c>
      <c r="DT218" s="112" t="str">
        <f aca="false">IF($DF218&gt;$DE$8,"",VLOOKUP($DF218,$DH$9:$DN$508,6,FALSE()))</f>
        <v/>
      </c>
      <c r="DU218" s="62"/>
    </row>
    <row r="219" customFormat="false" ht="15.75" hidden="false" customHeight="false" outlineLevel="0" collapsed="false">
      <c r="A219" s="7"/>
      <c r="B219" s="64"/>
      <c r="C219" s="65"/>
      <c r="D219" s="123"/>
      <c r="E219" s="88"/>
      <c r="F219" s="134"/>
      <c r="G219" s="88"/>
      <c r="H219" s="134"/>
      <c r="I219" s="119"/>
      <c r="J219" s="119"/>
      <c r="K219" s="119"/>
      <c r="L219" s="88"/>
      <c r="M219" s="88"/>
      <c r="N219" s="88"/>
      <c r="O219" s="134"/>
      <c r="P219" s="88"/>
      <c r="Q219" s="88"/>
      <c r="R219" s="88"/>
      <c r="S219" s="88"/>
      <c r="T219" s="134"/>
      <c r="U219" s="88"/>
      <c r="V219" s="70"/>
      <c r="W219" s="88"/>
      <c r="X219" s="88"/>
      <c r="Y219" s="70"/>
      <c r="Z219" s="70"/>
      <c r="AA219" s="88"/>
      <c r="AB219" s="88"/>
      <c r="AC219" s="71"/>
      <c r="AD219" s="88"/>
      <c r="AE219" s="73"/>
      <c r="AF219" s="74"/>
      <c r="AG219" s="74"/>
      <c r="AH219" s="74" t="str">
        <f aca="false">IF(ISBLANK($C219),"",IF($E219=Constants!$B$2,TRUE(),IF($E219=Constants!$B$3,FALSE(),TRUE())))</f>
        <v/>
      </c>
      <c r="AI219" s="74" t="str">
        <f aca="false">IF(ISBLANK($C219),"",IF($F219=Constants!$B$2,TRUE(),IF($F219=Constants!$B$3,FALSE(),FALSE())))</f>
        <v/>
      </c>
      <c r="AJ219" s="74" t="str">
        <f aca="false">IF(ISBLANK($C219),"",IF($G219=Constants!$B$2,TRUE(),IF($G219=Constants!$B$3,FALSE(),TRUE())))</f>
        <v/>
      </c>
      <c r="AK219" s="74" t="str">
        <f aca="false">IF(ISBLANK($C219),"",IF($H219=Constants!$B$2,TRUE(),IF($H219=Constants!$B$3,FALSE(),TRUE())))</f>
        <v/>
      </c>
      <c r="AL219" s="74" t="str">
        <f aca="false">IF(ISBLANK($C219),"",IF(ISNUMBER($I219),IF($I219&gt;=0,$I219,""),""))</f>
        <v/>
      </c>
      <c r="AM219" s="74" t="str">
        <f aca="false">IF(ISBLANK($C219),"",IF(ISNUMBER($J219),IF($J219&gt;=0,$J219,""),""))</f>
        <v/>
      </c>
      <c r="AN219" s="74" t="str">
        <f aca="false">IF(ISBLANK($C219),"",IF(ISNUMBER($K219),IF($K219&gt;=0,$K219,""),""))</f>
        <v/>
      </c>
      <c r="AO219" s="74" t="str">
        <f aca="false">IF(ISBLANK($C219),"",IF($L219=Constants!$B$2,TRUE(),IF($L219=Constants!$B$3,FALSE(),TRUE())))</f>
        <v/>
      </c>
      <c r="AP219" s="74" t="str">
        <f aca="false">IF(ISBLANK($C219),"",IF($M219=Constants!$B$2,TRUE(),IF($M219=Constants!$B$3,FALSE(),TRUE())))</f>
        <v/>
      </c>
      <c r="AQ219" s="74" t="str">
        <f aca="false">IF(ISBLANK($C219),"",IF($N219=Constants!$B$2,TRUE(),IF($N219=Constants!$B$3,FALSE(),FALSE())))</f>
        <v/>
      </c>
      <c r="AR219" s="74" t="str">
        <f aca="false">IF(ISBLANK($C219),"",IF($O219=Constants!$B$2,TRUE(),IF($O219=Constants!$B$3,FALSE(),TRUE())))</f>
        <v/>
      </c>
      <c r="AS219" s="74" t="str">
        <f aca="false">IF(ISBLANK($C219),"",IF($P219=Constants!$B$2,TRUE(),IF($P219=Constants!$B$3,FALSE(),FALSE())))</f>
        <v/>
      </c>
      <c r="AT219" s="74" t="str">
        <f aca="false">IF(ISBLANK($C219),"",IF($Q219=Constants!$B$2,TRUE(),IF($Q219=Constants!$B$3,FALSE(),FALSE())))</f>
        <v/>
      </c>
      <c r="AU219" s="74" t="str">
        <f aca="false">IF(ISBLANK($C219),"",IF($R219=Constants!$B$2,TRUE(),IF($R219=Constants!$B$3,FALSE(),FALSE())))</f>
        <v/>
      </c>
      <c r="AV219" s="74" t="str">
        <f aca="false">IF(ISBLANK($C219),"",IF($S219=Constants!$B$2,TRUE(),IF($S219=Constants!$B$3,FALSE(),FALSE())))</f>
        <v/>
      </c>
      <c r="AW219" s="74" t="str">
        <f aca="false">IF(ISBLANK($C219),"",IF($T219=Constants!$B$2,TRUE(),IF($T219=Constants!$B$3,FALSE(),FALSE())))</f>
        <v/>
      </c>
      <c r="AX219" s="74" t="str">
        <f aca="false">IF(ISBLANK($C219),"",IF(OR($U219&amp;""="1",$U219&amp;""="2",$U219&amp;""="3",$U219&amp;""="4"),VALUE($U219&amp;""),IF($U219=Constants!$B$12,Constants!$B$12,"")))</f>
        <v/>
      </c>
      <c r="AY219" s="74" t="str">
        <f aca="false">IF(ISBLANK($C219),"",IF(ISBLANK($V219),0,IF(ISNUMBER($V219),IF(AND($V219&gt;=0,$V219&lt;=Constants!$B$21,$V219=INT($V219)),$V219,""),"")))</f>
        <v/>
      </c>
      <c r="AZ219" s="74" t="str">
        <f aca="false">IF(ISBLANK($C219),"",IF(ISBLANK($W219),0,IF(ISNUMBER($W219),IF($W219&gt;=0,$W219,""),"")))</f>
        <v/>
      </c>
      <c r="BA219" s="74" t="str">
        <f aca="false">IF(ISBLANK($C219),"",IF($X219=Constants!$B$2,TRUE(),IF($X219=Constants!$B$3,FALSE(),TRUE())))</f>
        <v/>
      </c>
      <c r="BB219" s="74" t="str">
        <f aca="false">IF(ISBLANK($C219),"",IF($Y219=Constants!$B$2,TRUE(),IF($Y219=Constants!$B$3,FALSE(),FALSE())))</f>
        <v/>
      </c>
      <c r="BC219" s="74" t="str">
        <f aca="false">IF(ISBLANK($C219),"",IF(ISBLANK($Z219),0,IF(ISNUMBER($Z219),IF(AND($Z219&gt;=0,$Z219&lt;=Constants!$B$35,$Z219=INT($Z219)),$Z219,""),"")))</f>
        <v/>
      </c>
      <c r="BD219" s="74" t="str">
        <f aca="false">IF(ISBLANK($C219),"",IF($AA219=Constants!$B$2,TRUE(),IF($AA219=Constants!$B$3,FALSE(),TRUE())))</f>
        <v/>
      </c>
      <c r="BE219" s="74" t="str">
        <f aca="false">IF(ISBLANK($C219),"",IF($AB219=Constants!$B$2,TRUE(),IF($AB219=Constants!$B$3,FALSE(),TRUE())))</f>
        <v/>
      </c>
      <c r="BF219" s="74" t="str">
        <f aca="false">IF(ISBLANK($C219),"",IF(ISNUMBER($AC219),IF($AC219&gt;=0,$AC219,""),""))</f>
        <v/>
      </c>
      <c r="BG219" s="74" t="str">
        <f aca="false">IF(ISBLANK($C219),"",IF($AD219=Constants!$B$2,TRUE(),IF($AD219=Constants!$B$3,FALSE(),FALSE())))</f>
        <v/>
      </c>
      <c r="BH219" s="73" t="str">
        <f aca="false">IF(ISBLANK($C219),"",IF($BG219,Constants!$B$7,IF(COUNTA($E219:$AC219)=0,Constants!$B$6,IF(OR(COUNTA($G219:$AC219)=0,NOT($AK219),$AQ219),Constants!$B$5,IF(OR($CI219&lt;&gt;"",$CJ219,$CK219,$CL219,$CM219,$CN219,$CO219),Constants!$B$8,Constants!$B$4)))))</f>
        <v/>
      </c>
      <c r="BI219" s="74" t="str">
        <f aca="false">IF(ISBLANK($C219),"",IF($BH219&lt;&gt;Constants!$B$4,$BH219,IF(OR(NOT($AH219),NOT($AJ219),NOT($AR219)),Constants!$B$11,IF(OR(NOT($AP219),MAX($AL219,$AM219,$AN219)&gt;Constants!$B$30),Constants!$B$10,Constants!$B$9))))</f>
        <v/>
      </c>
      <c r="BJ219" s="74" t="str">
        <f aca="false">IF($BH219&lt;&gt;Constants!$B$4,"",IF(NOT($AJ219),0,MIN(Constants!$B$35,$BC219)))</f>
        <v/>
      </c>
      <c r="BK219" s="74" t="str">
        <f aca="false">IF($BH219&lt;&gt;Constants!$B$4,"",IF(NOT($AJ219),0,IF($AT219,Constants!$B$18,IF($AS219,Constants!$B$17,0))))</f>
        <v/>
      </c>
      <c r="BL219" s="74" t="str">
        <f aca="false">IF($BH219&lt;&gt;Constants!$B$4,"",IF(NOT($AJ219),0,Constants!$B$19*($AI219+$AU219+$AV219+$AW219)))</f>
        <v/>
      </c>
      <c r="BM219" s="74" t="str">
        <f aca="false">IF($BH219&lt;&gt;Constants!$B$4,"",IF(OR(NOT($AJ219),NOT(ISNUMBER($AX219))),0,CHOOSE($AX219,Constants!$B$13,Constants!$B$14,Constants!$B$15,Constants!$B$16)))</f>
        <v/>
      </c>
      <c r="BN219" s="74" t="str">
        <f aca="false">IF($BH219&lt;&gt;Constants!$B$4,"",IF(NOT($AJ219),0,Constants!$B$20*$AY219))</f>
        <v/>
      </c>
      <c r="BO219" s="74" t="str">
        <f aca="false">IF($BH219&lt;&gt;Constants!$B$4,"",IF(AND($AJ219,$BA219,$BB219),Constants!$B$22,0))</f>
        <v/>
      </c>
      <c r="BP219" s="74" t="str">
        <f aca="false">IF($BH219&lt;&gt;Constants!$B$4,"",IF(OR(NOT($AJ219),NOT($BA219)),0,IF($BF219&gt;=2*$AF$9,0,Constants!$B$23*INT(ROUND(MIN($BF219,$AF$9),6)))))</f>
        <v/>
      </c>
      <c r="BQ219" s="74" t="str">
        <f aca="false">IF($BH219&lt;&gt;Constants!$B$4,"",IF(NOT($AJ219),0,Constants!$B$24*INT(ROUND(MIN($AZ219,$AF$9),6))))</f>
        <v/>
      </c>
      <c r="BR219" s="74" t="str">
        <f aca="false">IF($BH219&lt;&gt;Constants!$B$4,"",IF(AND($AJ219,$BJ219=0),Constants!$B$25,0))</f>
        <v/>
      </c>
      <c r="BS219" s="74" t="str">
        <f aca="false">IF($BH219&lt;&gt;Constants!$B$4,"",MIN(Constants!$B$29,MAX(0,Constants!$B$27*Constants!$B$28*INT(ROUND((Constants!$B$26-$AL219)/Constants!$B$28,6))))+MIN(Constants!$B$29,MAX(0,Constants!$B$27*Constants!$B$28*INT(ROUND((Constants!$B$26-$AM219)/Constants!$B$28,6))))+MIN(Constants!$B$29,MAX(0,Constants!$B$27*Constants!$B$28*INT(ROUND((Constants!$B$26-$AN219)/Constants!$B$28,6)))))</f>
        <v/>
      </c>
      <c r="BT219" s="74" t="str">
        <f aca="false">IF($BH219&lt;&gt;Constants!$B$4,"",IF(NOT($AJ219),0,Constants!$B$31*INT(ROUND(MAX(0,MIN($BF219,2*$AF$9)-$AF$9),6))))</f>
        <v/>
      </c>
      <c r="BU219" s="74" t="str">
        <f aca="false">IF($BH219&lt;&gt;Constants!$B$4,"",Constants!$B$32*(($AL219&gt;Constants!$B$26)+($AM219&gt;Constants!$B$26)+($AN219&gt;Constants!$B$26)))</f>
        <v/>
      </c>
      <c r="BV219" s="74" t="str">
        <f aca="false">IF($BH219&lt;&gt;Constants!$B$4,"",IF(OR(NOT($AJ219),$AO219),0,Constants!$B$33))</f>
        <v/>
      </c>
      <c r="BW219" s="74" t="str">
        <f aca="false">IF($BH219&lt;&gt;Constants!$B$4,"",Constants!$B$34*$BJ219)</f>
        <v/>
      </c>
      <c r="BX219" s="74" t="str">
        <f aca="false">IF($BH219&lt;&gt;Constants!$B$4,"",IF(OR(NOT($AJ219),$BE219),0,Constants!$B$36))</f>
        <v/>
      </c>
      <c r="BY219" s="74" t="str">
        <f aca="false">IF($BH219&lt;&gt;Constants!$B$4,"",IF(OR(NOT($AJ219),$BD219),0,Constants!$B$37))</f>
        <v/>
      </c>
      <c r="BZ219" s="74" t="str">
        <f aca="false">IF($BH219&lt;&gt;Constants!$B$4,"",SUM($BT219:$BY219))</f>
        <v/>
      </c>
      <c r="CA219" s="74" t="str">
        <f aca="false">IF(ISBLANK($C219),"",IF($BH219&lt;&gt;Constants!$B$4,$BH219,SUM($BK219:$BS219)-$BZ219))</f>
        <v/>
      </c>
      <c r="CB219" s="74" t="str">
        <f aca="false">IF(ISBLANK($C219),"",IF($BH219&lt;&gt;Constants!$B$4,$BH219,RANK($CA219,$CA$9:$CA$508)))</f>
        <v/>
      </c>
      <c r="CC219" s="74" t="str">
        <f aca="false">IF(ISBLANK($C219),"",IF($BH219&lt;&gt;Constants!$B$4,$BH219,COUNTIFS($BI$9:$BI$508,"&lt;"&amp;$BI219)+COUNTIFS($BI$9:$BI$508,$BI219,$CB$9:$CB$508,"&lt;"&amp;$CB219)+1))</f>
        <v/>
      </c>
      <c r="CD219" s="74" t="str">
        <f aca="false">IF(ISBLANK($C219),"",IF($BH219&lt;&gt;Constants!$B$4,$BH219,RANK($BZ219,$BZ$9:$BZ$508,1)))</f>
        <v/>
      </c>
      <c r="CE219" s="74" t="str">
        <f aca="false">IF($BH219&lt;&gt;Constants!$B$4,"",$AL219+$AM219+$AN219)</f>
        <v/>
      </c>
      <c r="CF219" s="74" t="str">
        <f aca="false">IF(ISBLANK($C219),"",IF($BH219&lt;&gt;Constants!$B$4,$BH219,RANK($CE219,$CE$9:$CE$508,1)))</f>
        <v/>
      </c>
      <c r="CG219" s="74" t="str">
        <f aca="false">IF(ISBLANK($C219),"",IF($BH219&lt;&gt;Constants!$B$4,$BH219,COUNTIFS($BI$9:$BI$508,"&lt;"&amp;$BI219)+COUNTIFS($BI$9:$BI$508,$BI219,$CB$9:$CB$508,"&lt;"&amp;$CB219)+COUNTIFS($BI$9:$BI$508,$BI219,$CB$9:$CB$508,$CB219,$CD$9:$CD$508,"&lt;"&amp;$CD219)+COUNTIFS($BI$9:$BI$508,$BI219,$CB$9:$CB$508,$CB219,$CD$9:$CD$508,$CD219,$CF$9:$CF$508,"&lt;"&amp;$CF219)+1))</f>
        <v/>
      </c>
      <c r="CH219" s="74" t="str">
        <f aca="false">IF(ISBLANK($C219),"",IF($BH219&lt;&gt;Constants!$B$4,$BH219,$CC219-$CG219))</f>
        <v/>
      </c>
      <c r="CI219" s="74" t="str">
        <f aca="false">IF(ISBLANK($C219),"",IF(NOT($AJ219),"",IF(ISBLANK($D$7),$CI$5,IF(NOT(ISNUMBER($D$7)),$CI$6,""))))</f>
        <v/>
      </c>
      <c r="CJ219" s="74" t="str">
        <f aca="false">IF(ISBLANK($C219),"",OR($AL219="",$AM219="",$AN219=""))</f>
        <v/>
      </c>
      <c r="CK219" s="74" t="str">
        <f aca="false">IF(ISBLANK($C219),"",AND($AJ219,$AX219=""))</f>
        <v/>
      </c>
      <c r="CL219" s="74" t="str">
        <f aca="false">IF(ISBLANK($C219),"",AND($AJ219,$AY219=""))</f>
        <v/>
      </c>
      <c r="CM219" s="74" t="str">
        <f aca="false">IF(ISBLANK($C219),"",AND($AJ219,$AZ219=""))</f>
        <v/>
      </c>
      <c r="CN219" s="74" t="str">
        <f aca="false">IF(ISBLANK($C219),"",AND($AJ219,$BC219=""))</f>
        <v/>
      </c>
      <c r="CO219" s="74" t="str">
        <f aca="false">IF(ISBLANK($C219),"",AND($AJ219,$BF219=""))</f>
        <v/>
      </c>
      <c r="CP219" s="75"/>
      <c r="CQ219" s="76"/>
      <c r="CR219" s="79" t="str">
        <f aca="false">IF(ISBLANK($C219),"",IF($BH219=Constants!$B$8,$CI219,""))</f>
        <v/>
      </c>
      <c r="CS219" s="76" t="str">
        <f aca="false">IF(ISBLANK($C219),"",IF($BH219&lt;&gt;Constants!$B$4,"",$BK219+$BL219))</f>
        <v/>
      </c>
      <c r="CT219" s="78" t="str">
        <f aca="false">IF(ISBLANK($C219),"",IF($BH219&lt;&gt;Constants!$B$4,"",$BM219+$BN219+$BO219))</f>
        <v/>
      </c>
      <c r="CU219" s="78" t="str">
        <f aca="false">IF(ISBLANK($C219),"",IF($BH219&lt;&gt;Constants!$B$4,"",$BP219))</f>
        <v/>
      </c>
      <c r="CV219" s="78" t="str">
        <f aca="false">IF(ISBLANK($C219),"",IF($BH219&lt;&gt;Constants!$B$4,"",$BQ219+$BR219))</f>
        <v/>
      </c>
      <c r="CW219" s="78" t="str">
        <f aca="false">IF(ISBLANK($C219),"",IF($BH219&lt;&gt;Constants!$B$4,"",$BS219))</f>
        <v/>
      </c>
      <c r="CX219" s="78" t="str">
        <f aca="false">IF(ISBLANK($C219),"",IF($BH219&lt;&gt;Constants!$B$4,"",-$BZ219))</f>
        <v/>
      </c>
      <c r="CY219" s="79" t="str">
        <f aca="false">IF(ISBLANK($C219),"",$CA219)</f>
        <v/>
      </c>
      <c r="CZ219" s="80" t="str">
        <f aca="false">IF(ISBLANK($C219),"",$BI219)</f>
        <v/>
      </c>
      <c r="DA219" s="78" t="str">
        <f aca="false">IF(ISBLANK($C219),"",$CH219)</f>
        <v/>
      </c>
      <c r="DB219" s="78" t="str">
        <f aca="false">IF(ISBLANK($C219),"",$CG219)</f>
        <v/>
      </c>
      <c r="DC219" s="81" t="str">
        <f aca="false">IF(ISBLANK($C219),"",IFERROR(_xlfn.SWITCH($DB219,Constants!$B$7,COUNTA($C$9:$C$508)+2,Constants!$B$6,COUNTA($C$9:$C$508)+1,Constants!$B$5,COUNTA($C$9:$C$508)),$DB219))</f>
        <v/>
      </c>
      <c r="DD219" s="7"/>
      <c r="DE219" s="82" t="n">
        <f aca="false">IF(OR(ISNUMBER($DB219),$DB219=Constants!$B$7,$DB219=Constants!$B$5,$DB219=Constants!$B$6),1,0)</f>
        <v>0</v>
      </c>
      <c r="DF219" s="82" t="n">
        <v>211</v>
      </c>
      <c r="DG219" s="82" t="str">
        <f aca="false">IF(ISBLANK($C219),"",IF(ISNUMBER($DC219),$DC219+ROW($B219)/1000,""))</f>
        <v/>
      </c>
      <c r="DH219" s="82" t="str">
        <f aca="false">IF(ISNUMBER($DG219),RANK($DG219,$DG$9:$DG$508,1),"")</f>
        <v/>
      </c>
      <c r="DI219" s="82" t="str">
        <f aca="false">IF(ISBLANK($C219),"",$B219)</f>
        <v/>
      </c>
      <c r="DJ219" s="82" t="str">
        <f aca="false">IF(ISBLANK($C219),"",$C219)</f>
        <v/>
      </c>
      <c r="DK219" s="82" t="str">
        <f aca="false">IF(ISBLANK($C219),"",$D219)</f>
        <v/>
      </c>
      <c r="DL219" s="83" t="str">
        <f aca="false">$CZ219</f>
        <v/>
      </c>
      <c r="DM219" s="84" t="str">
        <f aca="false">$CY219</f>
        <v/>
      </c>
      <c r="DN219" s="82" t="str">
        <f aca="false">IF(ISBLANK($C219),"",$DB219)</f>
        <v/>
      </c>
      <c r="DO219" s="85" t="str">
        <f aca="false">IF($DF219&gt;$DE$8,"",VLOOKUP($DF219,$DH$9:$DN$508,7,FALSE()))</f>
        <v/>
      </c>
      <c r="DP219" s="86" t="str">
        <f aca="false">IF($DF219&gt;$DE$8,"",VLOOKUP($DF219,$DH$9:$DN$508,2,FALSE()))</f>
        <v/>
      </c>
      <c r="DQ219" s="86" t="str">
        <f aca="false">IF($DF219&gt;$DE$8,"",VLOOKUP($DF219,$DH$9:$DN$508,3,FALSE()))</f>
        <v/>
      </c>
      <c r="DR219" s="86" t="str">
        <f aca="false">IF($DF219&gt;$DE$8,"",VLOOKUP($DF219,$DH$9:$DN$508,4,FALSE()))</f>
        <v/>
      </c>
      <c r="DS219" s="86" t="str">
        <f aca="false">IF($DF219&gt;$DE$8,"",VLOOKUP($DF219,$DH$9:$DN$508,5,FALSE()))</f>
        <v/>
      </c>
      <c r="DT219" s="87" t="str">
        <f aca="false">IF($DF219&gt;$DE$8,"",VLOOKUP($DF219,$DH$9:$DN$508,6,FALSE()))</f>
        <v/>
      </c>
      <c r="DU219" s="62"/>
    </row>
    <row r="220" customFormat="false" ht="15.75" hidden="false" customHeight="false" outlineLevel="0" collapsed="false">
      <c r="A220" s="7"/>
      <c r="B220" s="64"/>
      <c r="C220" s="65"/>
      <c r="D220" s="123"/>
      <c r="E220" s="88"/>
      <c r="F220" s="134"/>
      <c r="G220" s="88"/>
      <c r="H220" s="134"/>
      <c r="I220" s="119"/>
      <c r="J220" s="119"/>
      <c r="K220" s="119"/>
      <c r="L220" s="88"/>
      <c r="M220" s="88"/>
      <c r="N220" s="88"/>
      <c r="O220" s="134"/>
      <c r="P220" s="88"/>
      <c r="Q220" s="88"/>
      <c r="R220" s="88"/>
      <c r="S220" s="88"/>
      <c r="T220" s="134"/>
      <c r="U220" s="88"/>
      <c r="V220" s="70"/>
      <c r="W220" s="88"/>
      <c r="X220" s="88"/>
      <c r="Y220" s="70"/>
      <c r="Z220" s="70"/>
      <c r="AA220" s="88"/>
      <c r="AB220" s="88"/>
      <c r="AC220" s="71"/>
      <c r="AD220" s="88"/>
      <c r="AE220" s="73"/>
      <c r="AF220" s="74"/>
      <c r="AG220" s="74"/>
      <c r="AH220" s="74" t="str">
        <f aca="false">IF(ISBLANK($C220),"",IF($E220=Constants!$B$2,TRUE(),IF($E220=Constants!$B$3,FALSE(),TRUE())))</f>
        <v/>
      </c>
      <c r="AI220" s="74" t="str">
        <f aca="false">IF(ISBLANK($C220),"",IF($F220=Constants!$B$2,TRUE(),IF($F220=Constants!$B$3,FALSE(),FALSE())))</f>
        <v/>
      </c>
      <c r="AJ220" s="74" t="str">
        <f aca="false">IF(ISBLANK($C220),"",IF($G220=Constants!$B$2,TRUE(),IF($G220=Constants!$B$3,FALSE(),TRUE())))</f>
        <v/>
      </c>
      <c r="AK220" s="74" t="str">
        <f aca="false">IF(ISBLANK($C220),"",IF($H220=Constants!$B$2,TRUE(),IF($H220=Constants!$B$3,FALSE(),TRUE())))</f>
        <v/>
      </c>
      <c r="AL220" s="74" t="str">
        <f aca="false">IF(ISBLANK($C220),"",IF(ISNUMBER($I220),IF($I220&gt;=0,$I220,""),""))</f>
        <v/>
      </c>
      <c r="AM220" s="74" t="str">
        <f aca="false">IF(ISBLANK($C220),"",IF(ISNUMBER($J220),IF($J220&gt;=0,$J220,""),""))</f>
        <v/>
      </c>
      <c r="AN220" s="74" t="str">
        <f aca="false">IF(ISBLANK($C220),"",IF(ISNUMBER($K220),IF($K220&gt;=0,$K220,""),""))</f>
        <v/>
      </c>
      <c r="AO220" s="74" t="str">
        <f aca="false">IF(ISBLANK($C220),"",IF($L220=Constants!$B$2,TRUE(),IF($L220=Constants!$B$3,FALSE(),TRUE())))</f>
        <v/>
      </c>
      <c r="AP220" s="74" t="str">
        <f aca="false">IF(ISBLANK($C220),"",IF($M220=Constants!$B$2,TRUE(),IF($M220=Constants!$B$3,FALSE(),TRUE())))</f>
        <v/>
      </c>
      <c r="AQ220" s="74" t="str">
        <f aca="false">IF(ISBLANK($C220),"",IF($N220=Constants!$B$2,TRUE(),IF($N220=Constants!$B$3,FALSE(),FALSE())))</f>
        <v/>
      </c>
      <c r="AR220" s="74" t="str">
        <f aca="false">IF(ISBLANK($C220),"",IF($O220=Constants!$B$2,TRUE(),IF($O220=Constants!$B$3,FALSE(),TRUE())))</f>
        <v/>
      </c>
      <c r="AS220" s="74" t="str">
        <f aca="false">IF(ISBLANK($C220),"",IF($P220=Constants!$B$2,TRUE(),IF($P220=Constants!$B$3,FALSE(),FALSE())))</f>
        <v/>
      </c>
      <c r="AT220" s="74" t="str">
        <f aca="false">IF(ISBLANK($C220),"",IF($Q220=Constants!$B$2,TRUE(),IF($Q220=Constants!$B$3,FALSE(),FALSE())))</f>
        <v/>
      </c>
      <c r="AU220" s="74" t="str">
        <f aca="false">IF(ISBLANK($C220),"",IF($R220=Constants!$B$2,TRUE(),IF($R220=Constants!$B$3,FALSE(),FALSE())))</f>
        <v/>
      </c>
      <c r="AV220" s="74" t="str">
        <f aca="false">IF(ISBLANK($C220),"",IF($S220=Constants!$B$2,TRUE(),IF($S220=Constants!$B$3,FALSE(),FALSE())))</f>
        <v/>
      </c>
      <c r="AW220" s="74" t="str">
        <f aca="false">IF(ISBLANK($C220),"",IF($T220=Constants!$B$2,TRUE(),IF($T220=Constants!$B$3,FALSE(),FALSE())))</f>
        <v/>
      </c>
      <c r="AX220" s="74" t="str">
        <f aca="false">IF(ISBLANK($C220),"",IF(OR($U220&amp;""="1",$U220&amp;""="2",$U220&amp;""="3",$U220&amp;""="4"),VALUE($U220&amp;""),IF($U220=Constants!$B$12,Constants!$B$12,"")))</f>
        <v/>
      </c>
      <c r="AY220" s="74" t="str">
        <f aca="false">IF(ISBLANK($C220),"",IF(ISBLANK($V220),0,IF(ISNUMBER($V220),IF(AND($V220&gt;=0,$V220&lt;=Constants!$B$21,$V220=INT($V220)),$V220,""),"")))</f>
        <v/>
      </c>
      <c r="AZ220" s="74" t="str">
        <f aca="false">IF(ISBLANK($C220),"",IF(ISBLANK($W220),0,IF(ISNUMBER($W220),IF($W220&gt;=0,$W220,""),"")))</f>
        <v/>
      </c>
      <c r="BA220" s="74" t="str">
        <f aca="false">IF(ISBLANK($C220),"",IF($X220=Constants!$B$2,TRUE(),IF($X220=Constants!$B$3,FALSE(),TRUE())))</f>
        <v/>
      </c>
      <c r="BB220" s="74" t="str">
        <f aca="false">IF(ISBLANK($C220),"",IF($Y220=Constants!$B$2,TRUE(),IF($Y220=Constants!$B$3,FALSE(),FALSE())))</f>
        <v/>
      </c>
      <c r="BC220" s="74" t="str">
        <f aca="false">IF(ISBLANK($C220),"",IF(ISBLANK($Z220),0,IF(ISNUMBER($Z220),IF(AND($Z220&gt;=0,$Z220&lt;=Constants!$B$35,$Z220=INT($Z220)),$Z220,""),"")))</f>
        <v/>
      </c>
      <c r="BD220" s="74" t="str">
        <f aca="false">IF(ISBLANK($C220),"",IF($AA220=Constants!$B$2,TRUE(),IF($AA220=Constants!$B$3,FALSE(),TRUE())))</f>
        <v/>
      </c>
      <c r="BE220" s="74" t="str">
        <f aca="false">IF(ISBLANK($C220),"",IF($AB220=Constants!$B$2,TRUE(),IF($AB220=Constants!$B$3,FALSE(),TRUE())))</f>
        <v/>
      </c>
      <c r="BF220" s="74" t="str">
        <f aca="false">IF(ISBLANK($C220),"",IF(ISNUMBER($AC220),IF($AC220&gt;=0,$AC220,""),""))</f>
        <v/>
      </c>
      <c r="BG220" s="74" t="str">
        <f aca="false">IF(ISBLANK($C220),"",IF($AD220=Constants!$B$2,TRUE(),IF($AD220=Constants!$B$3,FALSE(),FALSE())))</f>
        <v/>
      </c>
      <c r="BH220" s="73" t="str">
        <f aca="false">IF(ISBLANK($C220),"",IF($BG220,Constants!$B$7,IF(COUNTA($E220:$AC220)=0,Constants!$B$6,IF(OR(COUNTA($G220:$AC220)=0,NOT($AK220),$AQ220),Constants!$B$5,IF(OR($CI220&lt;&gt;"",$CJ220,$CK220,$CL220,$CM220,$CN220,$CO220),Constants!$B$8,Constants!$B$4)))))</f>
        <v/>
      </c>
      <c r="BI220" s="74" t="str">
        <f aca="false">IF(ISBLANK($C220),"",IF($BH220&lt;&gt;Constants!$B$4,$BH220,IF(OR(NOT($AH220),NOT($AJ220),NOT($AR220)),Constants!$B$11,IF(OR(NOT($AP220),MAX($AL220,$AM220,$AN220)&gt;Constants!$B$30),Constants!$B$10,Constants!$B$9))))</f>
        <v/>
      </c>
      <c r="BJ220" s="74" t="str">
        <f aca="false">IF($BH220&lt;&gt;Constants!$B$4,"",IF(NOT($AJ220),0,MIN(Constants!$B$35,$BC220)))</f>
        <v/>
      </c>
      <c r="BK220" s="74" t="str">
        <f aca="false">IF($BH220&lt;&gt;Constants!$B$4,"",IF(NOT($AJ220),0,IF($AT220,Constants!$B$18,IF($AS220,Constants!$B$17,0))))</f>
        <v/>
      </c>
      <c r="BL220" s="74" t="str">
        <f aca="false">IF($BH220&lt;&gt;Constants!$B$4,"",IF(NOT($AJ220),0,Constants!$B$19*($AI220+$AU220+$AV220+$AW220)))</f>
        <v/>
      </c>
      <c r="BM220" s="74" t="str">
        <f aca="false">IF($BH220&lt;&gt;Constants!$B$4,"",IF(OR(NOT($AJ220),NOT(ISNUMBER($AX220))),0,CHOOSE($AX220,Constants!$B$13,Constants!$B$14,Constants!$B$15,Constants!$B$16)))</f>
        <v/>
      </c>
      <c r="BN220" s="74" t="str">
        <f aca="false">IF($BH220&lt;&gt;Constants!$B$4,"",IF(NOT($AJ220),0,Constants!$B$20*$AY220))</f>
        <v/>
      </c>
      <c r="BO220" s="74" t="str">
        <f aca="false">IF($BH220&lt;&gt;Constants!$B$4,"",IF(AND($AJ220,$BA220,$BB220),Constants!$B$22,0))</f>
        <v/>
      </c>
      <c r="BP220" s="74" t="str">
        <f aca="false">IF($BH220&lt;&gt;Constants!$B$4,"",IF(OR(NOT($AJ220),NOT($BA220)),0,IF($BF220&gt;=2*$AF$9,0,Constants!$B$23*INT(ROUND(MIN($BF220,$AF$9),6)))))</f>
        <v/>
      </c>
      <c r="BQ220" s="74" t="str">
        <f aca="false">IF($BH220&lt;&gt;Constants!$B$4,"",IF(NOT($AJ220),0,Constants!$B$24*INT(ROUND(MIN($AZ220,$AF$9),6))))</f>
        <v/>
      </c>
      <c r="BR220" s="74" t="str">
        <f aca="false">IF($BH220&lt;&gt;Constants!$B$4,"",IF(AND($AJ220,$BJ220=0),Constants!$B$25,0))</f>
        <v/>
      </c>
      <c r="BS220" s="74" t="str">
        <f aca="false">IF($BH220&lt;&gt;Constants!$B$4,"",MIN(Constants!$B$29,MAX(0,Constants!$B$27*Constants!$B$28*INT(ROUND((Constants!$B$26-$AL220)/Constants!$B$28,6))))+MIN(Constants!$B$29,MAX(0,Constants!$B$27*Constants!$B$28*INT(ROUND((Constants!$B$26-$AM220)/Constants!$B$28,6))))+MIN(Constants!$B$29,MAX(0,Constants!$B$27*Constants!$B$28*INT(ROUND((Constants!$B$26-$AN220)/Constants!$B$28,6)))))</f>
        <v/>
      </c>
      <c r="BT220" s="74" t="str">
        <f aca="false">IF($BH220&lt;&gt;Constants!$B$4,"",IF(NOT($AJ220),0,Constants!$B$31*INT(ROUND(MAX(0,MIN($BF220,2*$AF$9)-$AF$9),6))))</f>
        <v/>
      </c>
      <c r="BU220" s="74" t="str">
        <f aca="false">IF($BH220&lt;&gt;Constants!$B$4,"",Constants!$B$32*(($AL220&gt;Constants!$B$26)+($AM220&gt;Constants!$B$26)+($AN220&gt;Constants!$B$26)))</f>
        <v/>
      </c>
      <c r="BV220" s="74" t="str">
        <f aca="false">IF($BH220&lt;&gt;Constants!$B$4,"",IF(OR(NOT($AJ220),$AO220),0,Constants!$B$33))</f>
        <v/>
      </c>
      <c r="BW220" s="74" t="str">
        <f aca="false">IF($BH220&lt;&gt;Constants!$B$4,"",Constants!$B$34*$BJ220)</f>
        <v/>
      </c>
      <c r="BX220" s="74" t="str">
        <f aca="false">IF($BH220&lt;&gt;Constants!$B$4,"",IF(OR(NOT($AJ220),$BE220),0,Constants!$B$36))</f>
        <v/>
      </c>
      <c r="BY220" s="74" t="str">
        <f aca="false">IF($BH220&lt;&gt;Constants!$B$4,"",IF(OR(NOT($AJ220),$BD220),0,Constants!$B$37))</f>
        <v/>
      </c>
      <c r="BZ220" s="74" t="str">
        <f aca="false">IF($BH220&lt;&gt;Constants!$B$4,"",SUM($BT220:$BY220))</f>
        <v/>
      </c>
      <c r="CA220" s="74" t="str">
        <f aca="false">IF(ISBLANK($C220),"",IF($BH220&lt;&gt;Constants!$B$4,$BH220,SUM($BK220:$BS220)-$BZ220))</f>
        <v/>
      </c>
      <c r="CB220" s="74" t="str">
        <f aca="false">IF(ISBLANK($C220),"",IF($BH220&lt;&gt;Constants!$B$4,$BH220,RANK($CA220,$CA$9:$CA$508)))</f>
        <v/>
      </c>
      <c r="CC220" s="74" t="str">
        <f aca="false">IF(ISBLANK($C220),"",IF($BH220&lt;&gt;Constants!$B$4,$BH220,COUNTIFS($BI$9:$BI$508,"&lt;"&amp;$BI220)+COUNTIFS($BI$9:$BI$508,$BI220,$CB$9:$CB$508,"&lt;"&amp;$CB220)+1))</f>
        <v/>
      </c>
      <c r="CD220" s="74" t="str">
        <f aca="false">IF(ISBLANK($C220),"",IF($BH220&lt;&gt;Constants!$B$4,$BH220,RANK($BZ220,$BZ$9:$BZ$508,1)))</f>
        <v/>
      </c>
      <c r="CE220" s="74" t="str">
        <f aca="false">IF($BH220&lt;&gt;Constants!$B$4,"",$AL220+$AM220+$AN220)</f>
        <v/>
      </c>
      <c r="CF220" s="74" t="str">
        <f aca="false">IF(ISBLANK($C220),"",IF($BH220&lt;&gt;Constants!$B$4,$BH220,RANK($CE220,$CE$9:$CE$508,1)))</f>
        <v/>
      </c>
      <c r="CG220" s="74" t="str">
        <f aca="false">IF(ISBLANK($C220),"",IF($BH220&lt;&gt;Constants!$B$4,$BH220,COUNTIFS($BI$9:$BI$508,"&lt;"&amp;$BI220)+COUNTIFS($BI$9:$BI$508,$BI220,$CB$9:$CB$508,"&lt;"&amp;$CB220)+COUNTIFS($BI$9:$BI$508,$BI220,$CB$9:$CB$508,$CB220,$CD$9:$CD$508,"&lt;"&amp;$CD220)+COUNTIFS($BI$9:$BI$508,$BI220,$CB$9:$CB$508,$CB220,$CD$9:$CD$508,$CD220,$CF$9:$CF$508,"&lt;"&amp;$CF220)+1))</f>
        <v/>
      </c>
      <c r="CH220" s="74" t="str">
        <f aca="false">IF(ISBLANK($C220),"",IF($BH220&lt;&gt;Constants!$B$4,$BH220,$CC220-$CG220))</f>
        <v/>
      </c>
      <c r="CI220" s="74" t="str">
        <f aca="false">IF(ISBLANK($C220),"",IF(NOT($AJ220),"",IF(ISBLANK($D$7),$CI$5,IF(NOT(ISNUMBER($D$7)),$CI$6,""))))</f>
        <v/>
      </c>
      <c r="CJ220" s="74" t="str">
        <f aca="false">IF(ISBLANK($C220),"",OR($AL220="",$AM220="",$AN220=""))</f>
        <v/>
      </c>
      <c r="CK220" s="74" t="str">
        <f aca="false">IF(ISBLANK($C220),"",AND($AJ220,$AX220=""))</f>
        <v/>
      </c>
      <c r="CL220" s="74" t="str">
        <f aca="false">IF(ISBLANK($C220),"",AND($AJ220,$AY220=""))</f>
        <v/>
      </c>
      <c r="CM220" s="74" t="str">
        <f aca="false">IF(ISBLANK($C220),"",AND($AJ220,$AZ220=""))</f>
        <v/>
      </c>
      <c r="CN220" s="74" t="str">
        <f aca="false">IF(ISBLANK($C220),"",AND($AJ220,$BC220=""))</f>
        <v/>
      </c>
      <c r="CO220" s="74" t="str">
        <f aca="false">IF(ISBLANK($C220),"",AND($AJ220,$BF220=""))</f>
        <v/>
      </c>
      <c r="CP220" s="75"/>
      <c r="CQ220" s="76"/>
      <c r="CR220" s="79" t="str">
        <f aca="false">IF(ISBLANK($C220),"",IF($BH220=Constants!$B$8,$CI220,""))</f>
        <v/>
      </c>
      <c r="CS220" s="76" t="str">
        <f aca="false">IF(ISBLANK($C220),"",IF($BH220&lt;&gt;Constants!$B$4,"",$BK220+$BL220))</f>
        <v/>
      </c>
      <c r="CT220" s="78" t="str">
        <f aca="false">IF(ISBLANK($C220),"",IF($BH220&lt;&gt;Constants!$B$4,"",$BM220+$BN220+$BO220))</f>
        <v/>
      </c>
      <c r="CU220" s="78" t="str">
        <f aca="false">IF(ISBLANK($C220),"",IF($BH220&lt;&gt;Constants!$B$4,"",$BP220))</f>
        <v/>
      </c>
      <c r="CV220" s="78" t="str">
        <f aca="false">IF(ISBLANK($C220),"",IF($BH220&lt;&gt;Constants!$B$4,"",$BQ220+$BR220))</f>
        <v/>
      </c>
      <c r="CW220" s="78" t="str">
        <f aca="false">IF(ISBLANK($C220),"",IF($BH220&lt;&gt;Constants!$B$4,"",$BS220))</f>
        <v/>
      </c>
      <c r="CX220" s="78" t="str">
        <f aca="false">IF(ISBLANK($C220),"",IF($BH220&lt;&gt;Constants!$B$4,"",-$BZ220))</f>
        <v/>
      </c>
      <c r="CY220" s="79" t="str">
        <f aca="false">IF(ISBLANK($C220),"",$CA220)</f>
        <v/>
      </c>
      <c r="CZ220" s="80" t="str">
        <f aca="false">IF(ISBLANK($C220),"",$BI220)</f>
        <v/>
      </c>
      <c r="DA220" s="78" t="str">
        <f aca="false">IF(ISBLANK($C220),"",$CH220)</f>
        <v/>
      </c>
      <c r="DB220" s="78" t="str">
        <f aca="false">IF(ISBLANK($C220),"",$CG220)</f>
        <v/>
      </c>
      <c r="DC220" s="81" t="str">
        <f aca="false">IF(ISBLANK($C220),"",IFERROR(_xlfn.SWITCH($DB220,Constants!$B$7,COUNTA($C$9:$C$508)+2,Constants!$B$6,COUNTA($C$9:$C$508)+1,Constants!$B$5,COUNTA($C$9:$C$508)),$DB220))</f>
        <v/>
      </c>
      <c r="DD220" s="7"/>
      <c r="DE220" s="82" t="n">
        <f aca="false">IF(OR(ISNUMBER($DB220),$DB220=Constants!$B$7,$DB220=Constants!$B$5,$DB220=Constants!$B$6),1,0)</f>
        <v>0</v>
      </c>
      <c r="DF220" s="82" t="n">
        <v>212</v>
      </c>
      <c r="DG220" s="82" t="str">
        <f aca="false">IF(ISBLANK($C220),"",IF(ISNUMBER($DC220),$DC220+ROW($B220)/1000,""))</f>
        <v/>
      </c>
      <c r="DH220" s="82" t="str">
        <f aca="false">IF(ISNUMBER($DG220),RANK($DG220,$DG$9:$DG$508,1),"")</f>
        <v/>
      </c>
      <c r="DI220" s="82" t="str">
        <f aca="false">IF(ISBLANK($C220),"",$B220)</f>
        <v/>
      </c>
      <c r="DJ220" s="82" t="str">
        <f aca="false">IF(ISBLANK($C220),"",$C220)</f>
        <v/>
      </c>
      <c r="DK220" s="82" t="str">
        <f aca="false">IF(ISBLANK($C220),"",$D220)</f>
        <v/>
      </c>
      <c r="DL220" s="83" t="str">
        <f aca="false">$CZ220</f>
        <v/>
      </c>
      <c r="DM220" s="84" t="str">
        <f aca="false">$CY220</f>
        <v/>
      </c>
      <c r="DN220" s="82" t="str">
        <f aca="false">IF(ISBLANK($C220),"",$DB220)</f>
        <v/>
      </c>
      <c r="DO220" s="85" t="str">
        <f aca="false">IF($DF220&gt;$DE$8,"",VLOOKUP($DF220,$DH$9:$DN$508,7,FALSE()))</f>
        <v/>
      </c>
      <c r="DP220" s="86" t="str">
        <f aca="false">IF($DF220&gt;$DE$8,"",VLOOKUP($DF220,$DH$9:$DN$508,2,FALSE()))</f>
        <v/>
      </c>
      <c r="DQ220" s="86" t="str">
        <f aca="false">IF($DF220&gt;$DE$8,"",VLOOKUP($DF220,$DH$9:$DN$508,3,FALSE()))</f>
        <v/>
      </c>
      <c r="DR220" s="86" t="str">
        <f aca="false">IF($DF220&gt;$DE$8,"",VLOOKUP($DF220,$DH$9:$DN$508,4,FALSE()))</f>
        <v/>
      </c>
      <c r="DS220" s="86" t="str">
        <f aca="false">IF($DF220&gt;$DE$8,"",VLOOKUP($DF220,$DH$9:$DN$508,5,FALSE()))</f>
        <v/>
      </c>
      <c r="DT220" s="87" t="str">
        <f aca="false">IF($DF220&gt;$DE$8,"",VLOOKUP($DF220,$DH$9:$DN$508,6,FALSE()))</f>
        <v/>
      </c>
      <c r="DU220" s="62"/>
    </row>
    <row r="221" customFormat="false" ht="15.75" hidden="false" customHeight="false" outlineLevel="0" collapsed="false">
      <c r="A221" s="7"/>
      <c r="B221" s="64"/>
      <c r="C221" s="65"/>
      <c r="D221" s="123"/>
      <c r="E221" s="88"/>
      <c r="F221" s="134"/>
      <c r="G221" s="88"/>
      <c r="H221" s="134"/>
      <c r="I221" s="119"/>
      <c r="J221" s="119"/>
      <c r="K221" s="119"/>
      <c r="L221" s="88"/>
      <c r="M221" s="88"/>
      <c r="N221" s="88"/>
      <c r="O221" s="134"/>
      <c r="P221" s="88"/>
      <c r="Q221" s="88"/>
      <c r="R221" s="88"/>
      <c r="S221" s="88"/>
      <c r="T221" s="134"/>
      <c r="U221" s="88"/>
      <c r="V221" s="70"/>
      <c r="W221" s="88"/>
      <c r="X221" s="88"/>
      <c r="Y221" s="70"/>
      <c r="Z221" s="70"/>
      <c r="AA221" s="88"/>
      <c r="AB221" s="88"/>
      <c r="AC221" s="71"/>
      <c r="AD221" s="88"/>
      <c r="AE221" s="73"/>
      <c r="AF221" s="74"/>
      <c r="AG221" s="74"/>
      <c r="AH221" s="74" t="str">
        <f aca="false">IF(ISBLANK($C221),"",IF($E221=Constants!$B$2,TRUE(),IF($E221=Constants!$B$3,FALSE(),TRUE())))</f>
        <v/>
      </c>
      <c r="AI221" s="74" t="str">
        <f aca="false">IF(ISBLANK($C221),"",IF($F221=Constants!$B$2,TRUE(),IF($F221=Constants!$B$3,FALSE(),FALSE())))</f>
        <v/>
      </c>
      <c r="AJ221" s="74" t="str">
        <f aca="false">IF(ISBLANK($C221),"",IF($G221=Constants!$B$2,TRUE(),IF($G221=Constants!$B$3,FALSE(),TRUE())))</f>
        <v/>
      </c>
      <c r="AK221" s="74" t="str">
        <f aca="false">IF(ISBLANK($C221),"",IF($H221=Constants!$B$2,TRUE(),IF($H221=Constants!$B$3,FALSE(),TRUE())))</f>
        <v/>
      </c>
      <c r="AL221" s="74" t="str">
        <f aca="false">IF(ISBLANK($C221),"",IF(ISNUMBER($I221),IF($I221&gt;=0,$I221,""),""))</f>
        <v/>
      </c>
      <c r="AM221" s="74" t="str">
        <f aca="false">IF(ISBLANK($C221),"",IF(ISNUMBER($J221),IF($J221&gt;=0,$J221,""),""))</f>
        <v/>
      </c>
      <c r="AN221" s="74" t="str">
        <f aca="false">IF(ISBLANK($C221),"",IF(ISNUMBER($K221),IF($K221&gt;=0,$K221,""),""))</f>
        <v/>
      </c>
      <c r="AO221" s="74" t="str">
        <f aca="false">IF(ISBLANK($C221),"",IF($L221=Constants!$B$2,TRUE(),IF($L221=Constants!$B$3,FALSE(),TRUE())))</f>
        <v/>
      </c>
      <c r="AP221" s="74" t="str">
        <f aca="false">IF(ISBLANK($C221),"",IF($M221=Constants!$B$2,TRUE(),IF($M221=Constants!$B$3,FALSE(),TRUE())))</f>
        <v/>
      </c>
      <c r="AQ221" s="74" t="str">
        <f aca="false">IF(ISBLANK($C221),"",IF($N221=Constants!$B$2,TRUE(),IF($N221=Constants!$B$3,FALSE(),FALSE())))</f>
        <v/>
      </c>
      <c r="AR221" s="74" t="str">
        <f aca="false">IF(ISBLANK($C221),"",IF($O221=Constants!$B$2,TRUE(),IF($O221=Constants!$B$3,FALSE(),TRUE())))</f>
        <v/>
      </c>
      <c r="AS221" s="74" t="str">
        <f aca="false">IF(ISBLANK($C221),"",IF($P221=Constants!$B$2,TRUE(),IF($P221=Constants!$B$3,FALSE(),FALSE())))</f>
        <v/>
      </c>
      <c r="AT221" s="74" t="str">
        <f aca="false">IF(ISBLANK($C221),"",IF($Q221=Constants!$B$2,TRUE(),IF($Q221=Constants!$B$3,FALSE(),FALSE())))</f>
        <v/>
      </c>
      <c r="AU221" s="74" t="str">
        <f aca="false">IF(ISBLANK($C221),"",IF($R221=Constants!$B$2,TRUE(),IF($R221=Constants!$B$3,FALSE(),FALSE())))</f>
        <v/>
      </c>
      <c r="AV221" s="74" t="str">
        <f aca="false">IF(ISBLANK($C221),"",IF($S221=Constants!$B$2,TRUE(),IF($S221=Constants!$B$3,FALSE(),FALSE())))</f>
        <v/>
      </c>
      <c r="AW221" s="74" t="str">
        <f aca="false">IF(ISBLANK($C221),"",IF($T221=Constants!$B$2,TRUE(),IF($T221=Constants!$B$3,FALSE(),FALSE())))</f>
        <v/>
      </c>
      <c r="AX221" s="74" t="str">
        <f aca="false">IF(ISBLANK($C221),"",IF(OR($U221&amp;""="1",$U221&amp;""="2",$U221&amp;""="3",$U221&amp;""="4"),VALUE($U221&amp;""),IF($U221=Constants!$B$12,Constants!$B$12,"")))</f>
        <v/>
      </c>
      <c r="AY221" s="74" t="str">
        <f aca="false">IF(ISBLANK($C221),"",IF(ISBLANK($V221),0,IF(ISNUMBER($V221),IF(AND($V221&gt;=0,$V221&lt;=Constants!$B$21,$V221=INT($V221)),$V221,""),"")))</f>
        <v/>
      </c>
      <c r="AZ221" s="74" t="str">
        <f aca="false">IF(ISBLANK($C221),"",IF(ISBLANK($W221),0,IF(ISNUMBER($W221),IF($W221&gt;=0,$W221,""),"")))</f>
        <v/>
      </c>
      <c r="BA221" s="74" t="str">
        <f aca="false">IF(ISBLANK($C221),"",IF($X221=Constants!$B$2,TRUE(),IF($X221=Constants!$B$3,FALSE(),TRUE())))</f>
        <v/>
      </c>
      <c r="BB221" s="74" t="str">
        <f aca="false">IF(ISBLANK($C221),"",IF($Y221=Constants!$B$2,TRUE(),IF($Y221=Constants!$B$3,FALSE(),FALSE())))</f>
        <v/>
      </c>
      <c r="BC221" s="74" t="str">
        <f aca="false">IF(ISBLANK($C221),"",IF(ISBLANK($Z221),0,IF(ISNUMBER($Z221),IF(AND($Z221&gt;=0,$Z221&lt;=Constants!$B$35,$Z221=INT($Z221)),$Z221,""),"")))</f>
        <v/>
      </c>
      <c r="BD221" s="74" t="str">
        <f aca="false">IF(ISBLANK($C221),"",IF($AA221=Constants!$B$2,TRUE(),IF($AA221=Constants!$B$3,FALSE(),TRUE())))</f>
        <v/>
      </c>
      <c r="BE221" s="74" t="str">
        <f aca="false">IF(ISBLANK($C221),"",IF($AB221=Constants!$B$2,TRUE(),IF($AB221=Constants!$B$3,FALSE(),TRUE())))</f>
        <v/>
      </c>
      <c r="BF221" s="74" t="str">
        <f aca="false">IF(ISBLANK($C221),"",IF(ISNUMBER($AC221),IF($AC221&gt;=0,$AC221,""),""))</f>
        <v/>
      </c>
      <c r="BG221" s="74" t="str">
        <f aca="false">IF(ISBLANK($C221),"",IF($AD221=Constants!$B$2,TRUE(),IF($AD221=Constants!$B$3,FALSE(),FALSE())))</f>
        <v/>
      </c>
      <c r="BH221" s="73" t="str">
        <f aca="false">IF(ISBLANK($C221),"",IF($BG221,Constants!$B$7,IF(COUNTA($E221:$AC221)=0,Constants!$B$6,IF(OR(COUNTA($G221:$AC221)=0,NOT($AK221),$AQ221),Constants!$B$5,IF(OR($CI221&lt;&gt;"",$CJ221,$CK221,$CL221,$CM221,$CN221,$CO221),Constants!$B$8,Constants!$B$4)))))</f>
        <v/>
      </c>
      <c r="BI221" s="74" t="str">
        <f aca="false">IF(ISBLANK($C221),"",IF($BH221&lt;&gt;Constants!$B$4,$BH221,IF(OR(NOT($AH221),NOT($AJ221),NOT($AR221)),Constants!$B$11,IF(OR(NOT($AP221),MAX($AL221,$AM221,$AN221)&gt;Constants!$B$30),Constants!$B$10,Constants!$B$9))))</f>
        <v/>
      </c>
      <c r="BJ221" s="74" t="str">
        <f aca="false">IF($BH221&lt;&gt;Constants!$B$4,"",IF(NOT($AJ221),0,MIN(Constants!$B$35,$BC221)))</f>
        <v/>
      </c>
      <c r="BK221" s="74" t="str">
        <f aca="false">IF($BH221&lt;&gt;Constants!$B$4,"",IF(NOT($AJ221),0,IF($AT221,Constants!$B$18,IF($AS221,Constants!$B$17,0))))</f>
        <v/>
      </c>
      <c r="BL221" s="74" t="str">
        <f aca="false">IF($BH221&lt;&gt;Constants!$B$4,"",IF(NOT($AJ221),0,Constants!$B$19*($AI221+$AU221+$AV221+$AW221)))</f>
        <v/>
      </c>
      <c r="BM221" s="74" t="str">
        <f aca="false">IF($BH221&lt;&gt;Constants!$B$4,"",IF(OR(NOT($AJ221),NOT(ISNUMBER($AX221))),0,CHOOSE($AX221,Constants!$B$13,Constants!$B$14,Constants!$B$15,Constants!$B$16)))</f>
        <v/>
      </c>
      <c r="BN221" s="74" t="str">
        <f aca="false">IF($BH221&lt;&gt;Constants!$B$4,"",IF(NOT($AJ221),0,Constants!$B$20*$AY221))</f>
        <v/>
      </c>
      <c r="BO221" s="74" t="str">
        <f aca="false">IF($BH221&lt;&gt;Constants!$B$4,"",IF(AND($AJ221,$BA221,$BB221),Constants!$B$22,0))</f>
        <v/>
      </c>
      <c r="BP221" s="74" t="str">
        <f aca="false">IF($BH221&lt;&gt;Constants!$B$4,"",IF(OR(NOT($AJ221),NOT($BA221)),0,IF($BF221&gt;=2*$AF$9,0,Constants!$B$23*INT(ROUND(MIN($BF221,$AF$9),6)))))</f>
        <v/>
      </c>
      <c r="BQ221" s="74" t="str">
        <f aca="false">IF($BH221&lt;&gt;Constants!$B$4,"",IF(NOT($AJ221),0,Constants!$B$24*INT(ROUND(MIN($AZ221,$AF$9),6))))</f>
        <v/>
      </c>
      <c r="BR221" s="74" t="str">
        <f aca="false">IF($BH221&lt;&gt;Constants!$B$4,"",IF(AND($AJ221,$BJ221=0),Constants!$B$25,0))</f>
        <v/>
      </c>
      <c r="BS221" s="74" t="str">
        <f aca="false">IF($BH221&lt;&gt;Constants!$B$4,"",MIN(Constants!$B$29,MAX(0,Constants!$B$27*Constants!$B$28*INT(ROUND((Constants!$B$26-$AL221)/Constants!$B$28,6))))+MIN(Constants!$B$29,MAX(0,Constants!$B$27*Constants!$B$28*INT(ROUND((Constants!$B$26-$AM221)/Constants!$B$28,6))))+MIN(Constants!$B$29,MAX(0,Constants!$B$27*Constants!$B$28*INT(ROUND((Constants!$B$26-$AN221)/Constants!$B$28,6)))))</f>
        <v/>
      </c>
      <c r="BT221" s="74" t="str">
        <f aca="false">IF($BH221&lt;&gt;Constants!$B$4,"",IF(NOT($AJ221),0,Constants!$B$31*INT(ROUND(MAX(0,MIN($BF221,2*$AF$9)-$AF$9),6))))</f>
        <v/>
      </c>
      <c r="BU221" s="74" t="str">
        <f aca="false">IF($BH221&lt;&gt;Constants!$B$4,"",Constants!$B$32*(($AL221&gt;Constants!$B$26)+($AM221&gt;Constants!$B$26)+($AN221&gt;Constants!$B$26)))</f>
        <v/>
      </c>
      <c r="BV221" s="74" t="str">
        <f aca="false">IF($BH221&lt;&gt;Constants!$B$4,"",IF(OR(NOT($AJ221),$AO221),0,Constants!$B$33))</f>
        <v/>
      </c>
      <c r="BW221" s="74" t="str">
        <f aca="false">IF($BH221&lt;&gt;Constants!$B$4,"",Constants!$B$34*$BJ221)</f>
        <v/>
      </c>
      <c r="BX221" s="74" t="str">
        <f aca="false">IF($BH221&lt;&gt;Constants!$B$4,"",IF(OR(NOT($AJ221),$BE221),0,Constants!$B$36))</f>
        <v/>
      </c>
      <c r="BY221" s="74" t="str">
        <f aca="false">IF($BH221&lt;&gt;Constants!$B$4,"",IF(OR(NOT($AJ221),$BD221),0,Constants!$B$37))</f>
        <v/>
      </c>
      <c r="BZ221" s="74" t="str">
        <f aca="false">IF($BH221&lt;&gt;Constants!$B$4,"",SUM($BT221:$BY221))</f>
        <v/>
      </c>
      <c r="CA221" s="74" t="str">
        <f aca="false">IF(ISBLANK($C221),"",IF($BH221&lt;&gt;Constants!$B$4,$BH221,SUM($BK221:$BS221)-$BZ221))</f>
        <v/>
      </c>
      <c r="CB221" s="74" t="str">
        <f aca="false">IF(ISBLANK($C221),"",IF($BH221&lt;&gt;Constants!$B$4,$BH221,RANK($CA221,$CA$9:$CA$508)))</f>
        <v/>
      </c>
      <c r="CC221" s="74" t="str">
        <f aca="false">IF(ISBLANK($C221),"",IF($BH221&lt;&gt;Constants!$B$4,$BH221,COUNTIFS($BI$9:$BI$508,"&lt;"&amp;$BI221)+COUNTIFS($BI$9:$BI$508,$BI221,$CB$9:$CB$508,"&lt;"&amp;$CB221)+1))</f>
        <v/>
      </c>
      <c r="CD221" s="74" t="str">
        <f aca="false">IF(ISBLANK($C221),"",IF($BH221&lt;&gt;Constants!$B$4,$BH221,RANK($BZ221,$BZ$9:$BZ$508,1)))</f>
        <v/>
      </c>
      <c r="CE221" s="74" t="str">
        <f aca="false">IF($BH221&lt;&gt;Constants!$B$4,"",$AL221+$AM221+$AN221)</f>
        <v/>
      </c>
      <c r="CF221" s="74" t="str">
        <f aca="false">IF(ISBLANK($C221),"",IF($BH221&lt;&gt;Constants!$B$4,$BH221,RANK($CE221,$CE$9:$CE$508,1)))</f>
        <v/>
      </c>
      <c r="CG221" s="74" t="str">
        <f aca="false">IF(ISBLANK($C221),"",IF($BH221&lt;&gt;Constants!$B$4,$BH221,COUNTIFS($BI$9:$BI$508,"&lt;"&amp;$BI221)+COUNTIFS($BI$9:$BI$508,$BI221,$CB$9:$CB$508,"&lt;"&amp;$CB221)+COUNTIFS($BI$9:$BI$508,$BI221,$CB$9:$CB$508,$CB221,$CD$9:$CD$508,"&lt;"&amp;$CD221)+COUNTIFS($BI$9:$BI$508,$BI221,$CB$9:$CB$508,$CB221,$CD$9:$CD$508,$CD221,$CF$9:$CF$508,"&lt;"&amp;$CF221)+1))</f>
        <v/>
      </c>
      <c r="CH221" s="74" t="str">
        <f aca="false">IF(ISBLANK($C221),"",IF($BH221&lt;&gt;Constants!$B$4,$BH221,$CC221-$CG221))</f>
        <v/>
      </c>
      <c r="CI221" s="74" t="str">
        <f aca="false">IF(ISBLANK($C221),"",IF(NOT($AJ221),"",IF(ISBLANK($D$7),$CI$5,IF(NOT(ISNUMBER($D$7)),$CI$6,""))))</f>
        <v/>
      </c>
      <c r="CJ221" s="74" t="str">
        <f aca="false">IF(ISBLANK($C221),"",OR($AL221="",$AM221="",$AN221=""))</f>
        <v/>
      </c>
      <c r="CK221" s="74" t="str">
        <f aca="false">IF(ISBLANK($C221),"",AND($AJ221,$AX221=""))</f>
        <v/>
      </c>
      <c r="CL221" s="74" t="str">
        <f aca="false">IF(ISBLANK($C221),"",AND($AJ221,$AY221=""))</f>
        <v/>
      </c>
      <c r="CM221" s="74" t="str">
        <f aca="false">IF(ISBLANK($C221),"",AND($AJ221,$AZ221=""))</f>
        <v/>
      </c>
      <c r="CN221" s="74" t="str">
        <f aca="false">IF(ISBLANK($C221),"",AND($AJ221,$BC221=""))</f>
        <v/>
      </c>
      <c r="CO221" s="74" t="str">
        <f aca="false">IF(ISBLANK($C221),"",AND($AJ221,$BF221=""))</f>
        <v/>
      </c>
      <c r="CP221" s="75"/>
      <c r="CQ221" s="76"/>
      <c r="CR221" s="79" t="str">
        <f aca="false">IF(ISBLANK($C221),"",IF($BH221=Constants!$B$8,$CI221,""))</f>
        <v/>
      </c>
      <c r="CS221" s="76" t="str">
        <f aca="false">IF(ISBLANK($C221),"",IF($BH221&lt;&gt;Constants!$B$4,"",$BK221+$BL221))</f>
        <v/>
      </c>
      <c r="CT221" s="78" t="str">
        <f aca="false">IF(ISBLANK($C221),"",IF($BH221&lt;&gt;Constants!$B$4,"",$BM221+$BN221+$BO221))</f>
        <v/>
      </c>
      <c r="CU221" s="78" t="str">
        <f aca="false">IF(ISBLANK($C221),"",IF($BH221&lt;&gt;Constants!$B$4,"",$BP221))</f>
        <v/>
      </c>
      <c r="CV221" s="78" t="str">
        <f aca="false">IF(ISBLANK($C221),"",IF($BH221&lt;&gt;Constants!$B$4,"",$BQ221+$BR221))</f>
        <v/>
      </c>
      <c r="CW221" s="78" t="str">
        <f aca="false">IF(ISBLANK($C221),"",IF($BH221&lt;&gt;Constants!$B$4,"",$BS221))</f>
        <v/>
      </c>
      <c r="CX221" s="78" t="str">
        <f aca="false">IF(ISBLANK($C221),"",IF($BH221&lt;&gt;Constants!$B$4,"",-$BZ221))</f>
        <v/>
      </c>
      <c r="CY221" s="79" t="str">
        <f aca="false">IF(ISBLANK($C221),"",$CA221)</f>
        <v/>
      </c>
      <c r="CZ221" s="80" t="str">
        <f aca="false">IF(ISBLANK($C221),"",$BI221)</f>
        <v/>
      </c>
      <c r="DA221" s="78" t="str">
        <f aca="false">IF(ISBLANK($C221),"",$CH221)</f>
        <v/>
      </c>
      <c r="DB221" s="78" t="str">
        <f aca="false">IF(ISBLANK($C221),"",$CG221)</f>
        <v/>
      </c>
      <c r="DC221" s="81" t="str">
        <f aca="false">IF(ISBLANK($C221),"",IFERROR(_xlfn.SWITCH($DB221,Constants!$B$7,COUNTA($C$9:$C$508)+2,Constants!$B$6,COUNTA($C$9:$C$508)+1,Constants!$B$5,COUNTA($C$9:$C$508)),$DB221))</f>
        <v/>
      </c>
      <c r="DD221" s="7"/>
      <c r="DE221" s="82" t="n">
        <f aca="false">IF(OR(ISNUMBER($DB221),$DB221=Constants!$B$7,$DB221=Constants!$B$5,$DB221=Constants!$B$6),1,0)</f>
        <v>0</v>
      </c>
      <c r="DF221" s="82" t="n">
        <v>213</v>
      </c>
      <c r="DG221" s="82" t="str">
        <f aca="false">IF(ISBLANK($C221),"",IF(ISNUMBER($DC221),$DC221+ROW($B221)/1000,""))</f>
        <v/>
      </c>
      <c r="DH221" s="82" t="str">
        <f aca="false">IF(ISNUMBER($DG221),RANK($DG221,$DG$9:$DG$508,1),"")</f>
        <v/>
      </c>
      <c r="DI221" s="82" t="str">
        <f aca="false">IF(ISBLANK($C221),"",$B221)</f>
        <v/>
      </c>
      <c r="DJ221" s="82" t="str">
        <f aca="false">IF(ISBLANK($C221),"",$C221)</f>
        <v/>
      </c>
      <c r="DK221" s="82" t="str">
        <f aca="false">IF(ISBLANK($C221),"",$D221)</f>
        <v/>
      </c>
      <c r="DL221" s="83" t="str">
        <f aca="false">$CZ221</f>
        <v/>
      </c>
      <c r="DM221" s="84" t="str">
        <f aca="false">$CY221</f>
        <v/>
      </c>
      <c r="DN221" s="82" t="str">
        <f aca="false">IF(ISBLANK($C221),"",$DB221)</f>
        <v/>
      </c>
      <c r="DO221" s="85" t="str">
        <f aca="false">IF($DF221&gt;$DE$8,"",VLOOKUP($DF221,$DH$9:$DN$508,7,FALSE()))</f>
        <v/>
      </c>
      <c r="DP221" s="86" t="str">
        <f aca="false">IF($DF221&gt;$DE$8,"",VLOOKUP($DF221,$DH$9:$DN$508,2,FALSE()))</f>
        <v/>
      </c>
      <c r="DQ221" s="86" t="str">
        <f aca="false">IF($DF221&gt;$DE$8,"",VLOOKUP($DF221,$DH$9:$DN$508,3,FALSE()))</f>
        <v/>
      </c>
      <c r="DR221" s="86" t="str">
        <f aca="false">IF($DF221&gt;$DE$8,"",VLOOKUP($DF221,$DH$9:$DN$508,4,FALSE()))</f>
        <v/>
      </c>
      <c r="DS221" s="86" t="str">
        <f aca="false">IF($DF221&gt;$DE$8,"",VLOOKUP($DF221,$DH$9:$DN$508,5,FALSE()))</f>
        <v/>
      </c>
      <c r="DT221" s="87" t="str">
        <f aca="false">IF($DF221&gt;$DE$8,"",VLOOKUP($DF221,$DH$9:$DN$508,6,FALSE()))</f>
        <v/>
      </c>
      <c r="DU221" s="62"/>
    </row>
    <row r="222" customFormat="false" ht="15.75" hidden="false" customHeight="false" outlineLevel="0" collapsed="false">
      <c r="A222" s="7"/>
      <c r="B222" s="90"/>
      <c r="C222" s="91"/>
      <c r="D222" s="126"/>
      <c r="E222" s="130"/>
      <c r="F222" s="135"/>
      <c r="G222" s="130"/>
      <c r="H222" s="135"/>
      <c r="I222" s="131"/>
      <c r="J222" s="131"/>
      <c r="K222" s="131"/>
      <c r="L222" s="130"/>
      <c r="M222" s="130"/>
      <c r="N222" s="130"/>
      <c r="O222" s="135"/>
      <c r="P222" s="130"/>
      <c r="Q222" s="130"/>
      <c r="R222" s="130"/>
      <c r="S222" s="130"/>
      <c r="T222" s="135"/>
      <c r="U222" s="130"/>
      <c r="V222" s="96"/>
      <c r="W222" s="130"/>
      <c r="X222" s="130"/>
      <c r="Y222" s="96"/>
      <c r="Z222" s="96"/>
      <c r="AA222" s="130"/>
      <c r="AB222" s="130"/>
      <c r="AC222" s="97"/>
      <c r="AD222" s="130"/>
      <c r="AE222" s="99"/>
      <c r="AF222" s="100"/>
      <c r="AG222" s="100"/>
      <c r="AH222" s="100" t="str">
        <f aca="false">IF(ISBLANK($C222),"",IF($E222=Constants!$B$2,TRUE(),IF($E222=Constants!$B$3,FALSE(),TRUE())))</f>
        <v/>
      </c>
      <c r="AI222" s="100" t="str">
        <f aca="false">IF(ISBLANK($C222),"",IF($F222=Constants!$B$2,TRUE(),IF($F222=Constants!$B$3,FALSE(),FALSE())))</f>
        <v/>
      </c>
      <c r="AJ222" s="100" t="str">
        <f aca="false">IF(ISBLANK($C222),"",IF($G222=Constants!$B$2,TRUE(),IF($G222=Constants!$B$3,FALSE(),TRUE())))</f>
        <v/>
      </c>
      <c r="AK222" s="100" t="str">
        <f aca="false">IF(ISBLANK($C222),"",IF($H222=Constants!$B$2,TRUE(),IF($H222=Constants!$B$3,FALSE(),TRUE())))</f>
        <v/>
      </c>
      <c r="AL222" s="100" t="str">
        <f aca="false">IF(ISBLANK($C222),"",IF(ISNUMBER($I222),IF($I222&gt;=0,$I222,""),""))</f>
        <v/>
      </c>
      <c r="AM222" s="100" t="str">
        <f aca="false">IF(ISBLANK($C222),"",IF(ISNUMBER($J222),IF($J222&gt;=0,$J222,""),""))</f>
        <v/>
      </c>
      <c r="AN222" s="100" t="str">
        <f aca="false">IF(ISBLANK($C222),"",IF(ISNUMBER($K222),IF($K222&gt;=0,$K222,""),""))</f>
        <v/>
      </c>
      <c r="AO222" s="100" t="str">
        <f aca="false">IF(ISBLANK($C222),"",IF($L222=Constants!$B$2,TRUE(),IF($L222=Constants!$B$3,FALSE(),TRUE())))</f>
        <v/>
      </c>
      <c r="AP222" s="100" t="str">
        <f aca="false">IF(ISBLANK($C222),"",IF($M222=Constants!$B$2,TRUE(),IF($M222=Constants!$B$3,FALSE(),TRUE())))</f>
        <v/>
      </c>
      <c r="AQ222" s="100" t="str">
        <f aca="false">IF(ISBLANK($C222),"",IF($N222=Constants!$B$2,TRUE(),IF($N222=Constants!$B$3,FALSE(),FALSE())))</f>
        <v/>
      </c>
      <c r="AR222" s="100" t="str">
        <f aca="false">IF(ISBLANK($C222),"",IF($O222=Constants!$B$2,TRUE(),IF($O222=Constants!$B$3,FALSE(),TRUE())))</f>
        <v/>
      </c>
      <c r="AS222" s="100" t="str">
        <f aca="false">IF(ISBLANK($C222),"",IF($P222=Constants!$B$2,TRUE(),IF($P222=Constants!$B$3,FALSE(),FALSE())))</f>
        <v/>
      </c>
      <c r="AT222" s="100" t="str">
        <f aca="false">IF(ISBLANK($C222),"",IF($Q222=Constants!$B$2,TRUE(),IF($Q222=Constants!$B$3,FALSE(),FALSE())))</f>
        <v/>
      </c>
      <c r="AU222" s="100" t="str">
        <f aca="false">IF(ISBLANK($C222),"",IF($R222=Constants!$B$2,TRUE(),IF($R222=Constants!$B$3,FALSE(),FALSE())))</f>
        <v/>
      </c>
      <c r="AV222" s="100" t="str">
        <f aca="false">IF(ISBLANK($C222),"",IF($S222=Constants!$B$2,TRUE(),IF($S222=Constants!$B$3,FALSE(),FALSE())))</f>
        <v/>
      </c>
      <c r="AW222" s="100" t="str">
        <f aca="false">IF(ISBLANK($C222),"",IF($T222=Constants!$B$2,TRUE(),IF($T222=Constants!$B$3,FALSE(),FALSE())))</f>
        <v/>
      </c>
      <c r="AX222" s="100" t="str">
        <f aca="false">IF(ISBLANK($C222),"",IF(OR($U222&amp;""="1",$U222&amp;""="2",$U222&amp;""="3",$U222&amp;""="4"),VALUE($U222&amp;""),IF($U222=Constants!$B$12,Constants!$B$12,"")))</f>
        <v/>
      </c>
      <c r="AY222" s="100" t="str">
        <f aca="false">IF(ISBLANK($C222),"",IF(ISBLANK($V222),0,IF(ISNUMBER($V222),IF(AND($V222&gt;=0,$V222&lt;=Constants!$B$21,$V222=INT($V222)),$V222,""),"")))</f>
        <v/>
      </c>
      <c r="AZ222" s="100" t="str">
        <f aca="false">IF(ISBLANK($C222),"",IF(ISBLANK($W222),0,IF(ISNUMBER($W222),IF($W222&gt;=0,$W222,""),"")))</f>
        <v/>
      </c>
      <c r="BA222" s="100" t="str">
        <f aca="false">IF(ISBLANK($C222),"",IF($X222=Constants!$B$2,TRUE(),IF($X222=Constants!$B$3,FALSE(),TRUE())))</f>
        <v/>
      </c>
      <c r="BB222" s="100" t="str">
        <f aca="false">IF(ISBLANK($C222),"",IF($Y222=Constants!$B$2,TRUE(),IF($Y222=Constants!$B$3,FALSE(),FALSE())))</f>
        <v/>
      </c>
      <c r="BC222" s="100" t="str">
        <f aca="false">IF(ISBLANK($C222),"",IF(ISBLANK($Z222),0,IF(ISNUMBER($Z222),IF(AND($Z222&gt;=0,$Z222&lt;=Constants!$B$35,$Z222=INT($Z222)),$Z222,""),"")))</f>
        <v/>
      </c>
      <c r="BD222" s="100" t="str">
        <f aca="false">IF(ISBLANK($C222),"",IF($AA222=Constants!$B$2,TRUE(),IF($AA222=Constants!$B$3,FALSE(),TRUE())))</f>
        <v/>
      </c>
      <c r="BE222" s="100" t="str">
        <f aca="false">IF(ISBLANK($C222),"",IF($AB222=Constants!$B$2,TRUE(),IF($AB222=Constants!$B$3,FALSE(),TRUE())))</f>
        <v/>
      </c>
      <c r="BF222" s="100" t="str">
        <f aca="false">IF(ISBLANK($C222),"",IF(ISNUMBER($AC222),IF($AC222&gt;=0,$AC222,""),""))</f>
        <v/>
      </c>
      <c r="BG222" s="100" t="str">
        <f aca="false">IF(ISBLANK($C222),"",IF($AD222=Constants!$B$2,TRUE(),IF($AD222=Constants!$B$3,FALSE(),FALSE())))</f>
        <v/>
      </c>
      <c r="BH222" s="99" t="str">
        <f aca="false">IF(ISBLANK($C222),"",IF($BG222,Constants!$B$7,IF(COUNTA($E222:$AC222)=0,Constants!$B$6,IF(OR(COUNTA($G222:$AC222)=0,NOT($AK222),$AQ222),Constants!$B$5,IF(OR($CI222&lt;&gt;"",$CJ222,$CK222,$CL222,$CM222,$CN222,$CO222),Constants!$B$8,Constants!$B$4)))))</f>
        <v/>
      </c>
      <c r="BI222" s="100" t="str">
        <f aca="false">IF(ISBLANK($C222),"",IF($BH222&lt;&gt;Constants!$B$4,$BH222,IF(OR(NOT($AH222),NOT($AJ222),NOT($AR222)),Constants!$B$11,IF(OR(NOT($AP222),MAX($AL222,$AM222,$AN222)&gt;Constants!$B$30),Constants!$B$10,Constants!$B$9))))</f>
        <v/>
      </c>
      <c r="BJ222" s="100" t="str">
        <f aca="false">IF($BH222&lt;&gt;Constants!$B$4,"",IF(NOT($AJ222),0,MIN(Constants!$B$35,$BC222)))</f>
        <v/>
      </c>
      <c r="BK222" s="100" t="str">
        <f aca="false">IF($BH222&lt;&gt;Constants!$B$4,"",IF(NOT($AJ222),0,IF($AT222,Constants!$B$18,IF($AS222,Constants!$B$17,0))))</f>
        <v/>
      </c>
      <c r="BL222" s="100" t="str">
        <f aca="false">IF($BH222&lt;&gt;Constants!$B$4,"",IF(NOT($AJ222),0,Constants!$B$19*($AI222+$AU222+$AV222+$AW222)))</f>
        <v/>
      </c>
      <c r="BM222" s="100" t="str">
        <f aca="false">IF($BH222&lt;&gt;Constants!$B$4,"",IF(OR(NOT($AJ222),NOT(ISNUMBER($AX222))),0,CHOOSE($AX222,Constants!$B$13,Constants!$B$14,Constants!$B$15,Constants!$B$16)))</f>
        <v/>
      </c>
      <c r="BN222" s="100" t="str">
        <f aca="false">IF($BH222&lt;&gt;Constants!$B$4,"",IF(NOT($AJ222),0,Constants!$B$20*$AY222))</f>
        <v/>
      </c>
      <c r="BO222" s="100" t="str">
        <f aca="false">IF($BH222&lt;&gt;Constants!$B$4,"",IF(AND($AJ222,$BA222,$BB222),Constants!$B$22,0))</f>
        <v/>
      </c>
      <c r="BP222" s="100" t="str">
        <f aca="false">IF($BH222&lt;&gt;Constants!$B$4,"",IF(OR(NOT($AJ222),NOT($BA222)),0,IF($BF222&gt;=2*$AF$9,0,Constants!$B$23*INT(ROUND(MIN($BF222,$AF$9),6)))))</f>
        <v/>
      </c>
      <c r="BQ222" s="100" t="str">
        <f aca="false">IF($BH222&lt;&gt;Constants!$B$4,"",IF(NOT($AJ222),0,Constants!$B$24*INT(ROUND(MIN($AZ222,$AF$9),6))))</f>
        <v/>
      </c>
      <c r="BR222" s="100" t="str">
        <f aca="false">IF($BH222&lt;&gt;Constants!$B$4,"",IF(AND($AJ222,$BJ222=0),Constants!$B$25,0))</f>
        <v/>
      </c>
      <c r="BS222" s="100" t="str">
        <f aca="false">IF($BH222&lt;&gt;Constants!$B$4,"",MIN(Constants!$B$29,MAX(0,Constants!$B$27*Constants!$B$28*INT(ROUND((Constants!$B$26-$AL222)/Constants!$B$28,6))))+MIN(Constants!$B$29,MAX(0,Constants!$B$27*Constants!$B$28*INT(ROUND((Constants!$B$26-$AM222)/Constants!$B$28,6))))+MIN(Constants!$B$29,MAX(0,Constants!$B$27*Constants!$B$28*INT(ROUND((Constants!$B$26-$AN222)/Constants!$B$28,6)))))</f>
        <v/>
      </c>
      <c r="BT222" s="100" t="str">
        <f aca="false">IF($BH222&lt;&gt;Constants!$B$4,"",IF(NOT($AJ222),0,Constants!$B$31*INT(ROUND(MAX(0,MIN($BF222,2*$AF$9)-$AF$9),6))))</f>
        <v/>
      </c>
      <c r="BU222" s="100" t="str">
        <f aca="false">IF($BH222&lt;&gt;Constants!$B$4,"",Constants!$B$32*(($AL222&gt;Constants!$B$26)+($AM222&gt;Constants!$B$26)+($AN222&gt;Constants!$B$26)))</f>
        <v/>
      </c>
      <c r="BV222" s="100" t="str">
        <f aca="false">IF($BH222&lt;&gt;Constants!$B$4,"",IF(OR(NOT($AJ222),$AO222),0,Constants!$B$33))</f>
        <v/>
      </c>
      <c r="BW222" s="100" t="str">
        <f aca="false">IF($BH222&lt;&gt;Constants!$B$4,"",Constants!$B$34*$BJ222)</f>
        <v/>
      </c>
      <c r="BX222" s="100" t="str">
        <f aca="false">IF($BH222&lt;&gt;Constants!$B$4,"",IF(OR(NOT($AJ222),$BE222),0,Constants!$B$36))</f>
        <v/>
      </c>
      <c r="BY222" s="100" t="str">
        <f aca="false">IF($BH222&lt;&gt;Constants!$B$4,"",IF(OR(NOT($AJ222),$BD222),0,Constants!$B$37))</f>
        <v/>
      </c>
      <c r="BZ222" s="100" t="str">
        <f aca="false">IF($BH222&lt;&gt;Constants!$B$4,"",SUM($BT222:$BY222))</f>
        <v/>
      </c>
      <c r="CA222" s="100" t="str">
        <f aca="false">IF(ISBLANK($C222),"",IF($BH222&lt;&gt;Constants!$B$4,$BH222,SUM($BK222:$BS222)-$BZ222))</f>
        <v/>
      </c>
      <c r="CB222" s="100" t="str">
        <f aca="false">IF(ISBLANK($C222),"",IF($BH222&lt;&gt;Constants!$B$4,$BH222,RANK($CA222,$CA$9:$CA$508)))</f>
        <v/>
      </c>
      <c r="CC222" s="100" t="str">
        <f aca="false">IF(ISBLANK($C222),"",IF($BH222&lt;&gt;Constants!$B$4,$BH222,COUNTIFS($BI$9:$BI$508,"&lt;"&amp;$BI222)+COUNTIFS($BI$9:$BI$508,$BI222,$CB$9:$CB$508,"&lt;"&amp;$CB222)+1))</f>
        <v/>
      </c>
      <c r="CD222" s="100" t="str">
        <f aca="false">IF(ISBLANK($C222),"",IF($BH222&lt;&gt;Constants!$B$4,$BH222,RANK($BZ222,$BZ$9:$BZ$508,1)))</f>
        <v/>
      </c>
      <c r="CE222" s="100" t="str">
        <f aca="false">IF($BH222&lt;&gt;Constants!$B$4,"",$AL222+$AM222+$AN222)</f>
        <v/>
      </c>
      <c r="CF222" s="100" t="str">
        <f aca="false">IF(ISBLANK($C222),"",IF($BH222&lt;&gt;Constants!$B$4,$BH222,RANK($CE222,$CE$9:$CE$508,1)))</f>
        <v/>
      </c>
      <c r="CG222" s="100" t="str">
        <f aca="false">IF(ISBLANK($C222),"",IF($BH222&lt;&gt;Constants!$B$4,$BH222,COUNTIFS($BI$9:$BI$508,"&lt;"&amp;$BI222)+COUNTIFS($BI$9:$BI$508,$BI222,$CB$9:$CB$508,"&lt;"&amp;$CB222)+COUNTIFS($BI$9:$BI$508,$BI222,$CB$9:$CB$508,$CB222,$CD$9:$CD$508,"&lt;"&amp;$CD222)+COUNTIFS($BI$9:$BI$508,$BI222,$CB$9:$CB$508,$CB222,$CD$9:$CD$508,$CD222,$CF$9:$CF$508,"&lt;"&amp;$CF222)+1))</f>
        <v/>
      </c>
      <c r="CH222" s="100" t="str">
        <f aca="false">IF(ISBLANK($C222),"",IF($BH222&lt;&gt;Constants!$B$4,$BH222,$CC222-$CG222))</f>
        <v/>
      </c>
      <c r="CI222" s="100" t="str">
        <f aca="false">IF(ISBLANK($C222),"",IF(NOT($AJ222),"",IF(ISBLANK($D$7),$CI$5,IF(NOT(ISNUMBER($D$7)),$CI$6,""))))</f>
        <v/>
      </c>
      <c r="CJ222" s="100" t="str">
        <f aca="false">IF(ISBLANK($C222),"",OR($AL222="",$AM222="",$AN222=""))</f>
        <v/>
      </c>
      <c r="CK222" s="100" t="str">
        <f aca="false">IF(ISBLANK($C222),"",AND($AJ222,$AX222=""))</f>
        <v/>
      </c>
      <c r="CL222" s="100" t="str">
        <f aca="false">IF(ISBLANK($C222),"",AND($AJ222,$AY222=""))</f>
        <v/>
      </c>
      <c r="CM222" s="100" t="str">
        <f aca="false">IF(ISBLANK($C222),"",AND($AJ222,$AZ222=""))</f>
        <v/>
      </c>
      <c r="CN222" s="100" t="str">
        <f aca="false">IF(ISBLANK($C222),"",AND($AJ222,$BC222=""))</f>
        <v/>
      </c>
      <c r="CO222" s="100" t="str">
        <f aca="false">IF(ISBLANK($C222),"",AND($AJ222,$BF222=""))</f>
        <v/>
      </c>
      <c r="CP222" s="101"/>
      <c r="CQ222" s="102"/>
      <c r="CR222" s="103" t="str">
        <f aca="false">IF(ISBLANK($C222),"",IF($BH222=Constants!$B$8,$CI222,""))</f>
        <v/>
      </c>
      <c r="CS222" s="102" t="str">
        <f aca="false">IF(ISBLANK($C222),"",IF($BH222&lt;&gt;Constants!$B$4,"",$BK222+$BL222))</f>
        <v/>
      </c>
      <c r="CT222" s="104" t="str">
        <f aca="false">IF(ISBLANK($C222),"",IF($BH222&lt;&gt;Constants!$B$4,"",$BM222+$BN222+$BO222))</f>
        <v/>
      </c>
      <c r="CU222" s="104" t="str">
        <f aca="false">IF(ISBLANK($C222),"",IF($BH222&lt;&gt;Constants!$B$4,"",$BP222))</f>
        <v/>
      </c>
      <c r="CV222" s="104" t="str">
        <f aca="false">IF(ISBLANK($C222),"",IF($BH222&lt;&gt;Constants!$B$4,"",$BQ222+$BR222))</f>
        <v/>
      </c>
      <c r="CW222" s="104" t="str">
        <f aca="false">IF(ISBLANK($C222),"",IF($BH222&lt;&gt;Constants!$B$4,"",$BS222))</f>
        <v/>
      </c>
      <c r="CX222" s="104" t="str">
        <f aca="false">IF(ISBLANK($C222),"",IF($BH222&lt;&gt;Constants!$B$4,"",-$BZ222))</f>
        <v/>
      </c>
      <c r="CY222" s="103" t="str">
        <f aca="false">IF(ISBLANK($C222),"",$CA222)</f>
        <v/>
      </c>
      <c r="CZ222" s="105" t="str">
        <f aca="false">IF(ISBLANK($C222),"",$BI222)</f>
        <v/>
      </c>
      <c r="DA222" s="104" t="str">
        <f aca="false">IF(ISBLANK($C222),"",$CH222)</f>
        <v/>
      </c>
      <c r="DB222" s="104" t="str">
        <f aca="false">IF(ISBLANK($C222),"",$CG222)</f>
        <v/>
      </c>
      <c r="DC222" s="106" t="str">
        <f aca="false">IF(ISBLANK($C222),"",IFERROR(_xlfn.SWITCH($DB222,Constants!$B$7,COUNTA($C$9:$C$508)+2,Constants!$B$6,COUNTA($C$9:$C$508)+1,Constants!$B$5,COUNTA($C$9:$C$508)),$DB222))</f>
        <v/>
      </c>
      <c r="DD222" s="7"/>
      <c r="DE222" s="107" t="n">
        <f aca="false">IF(OR(ISNUMBER($DB222),$DB222=Constants!$B$7,$DB222=Constants!$B$5,$DB222=Constants!$B$6),1,0)</f>
        <v>0</v>
      </c>
      <c r="DF222" s="107" t="n">
        <v>214</v>
      </c>
      <c r="DG222" s="107" t="str">
        <f aca="false">IF(ISBLANK($C222),"",IF(ISNUMBER($DC222),$DC222+ROW($B222)/1000,""))</f>
        <v/>
      </c>
      <c r="DH222" s="107" t="str">
        <f aca="false">IF(ISNUMBER($DG222),RANK($DG222,$DG$9:$DG$508,1),"")</f>
        <v/>
      </c>
      <c r="DI222" s="107" t="str">
        <f aca="false">IF(ISBLANK($C222),"",$B222)</f>
        <v/>
      </c>
      <c r="DJ222" s="107" t="str">
        <f aca="false">IF(ISBLANK($C222),"",$C222)</f>
        <v/>
      </c>
      <c r="DK222" s="107" t="str">
        <f aca="false">IF(ISBLANK($C222),"",$D222)</f>
        <v/>
      </c>
      <c r="DL222" s="108" t="str">
        <f aca="false">$CZ222</f>
        <v/>
      </c>
      <c r="DM222" s="109" t="str">
        <f aca="false">$CY222</f>
        <v/>
      </c>
      <c r="DN222" s="107" t="str">
        <f aca="false">IF(ISBLANK($C222),"",$DB222)</f>
        <v/>
      </c>
      <c r="DO222" s="110" t="str">
        <f aca="false">IF($DF222&gt;$DE$8,"",VLOOKUP($DF222,$DH$9:$DN$508,7,FALSE()))</f>
        <v/>
      </c>
      <c r="DP222" s="111" t="str">
        <f aca="false">IF($DF222&gt;$DE$8,"",VLOOKUP($DF222,$DH$9:$DN$508,2,FALSE()))</f>
        <v/>
      </c>
      <c r="DQ222" s="111" t="str">
        <f aca="false">IF($DF222&gt;$DE$8,"",VLOOKUP($DF222,$DH$9:$DN$508,3,FALSE()))</f>
        <v/>
      </c>
      <c r="DR222" s="111" t="str">
        <f aca="false">IF($DF222&gt;$DE$8,"",VLOOKUP($DF222,$DH$9:$DN$508,4,FALSE()))</f>
        <v/>
      </c>
      <c r="DS222" s="111" t="str">
        <f aca="false">IF($DF222&gt;$DE$8,"",VLOOKUP($DF222,$DH$9:$DN$508,5,FALSE()))</f>
        <v/>
      </c>
      <c r="DT222" s="112" t="str">
        <f aca="false">IF($DF222&gt;$DE$8,"",VLOOKUP($DF222,$DH$9:$DN$508,6,FALSE()))</f>
        <v/>
      </c>
      <c r="DU222" s="62"/>
    </row>
    <row r="223" customFormat="false" ht="15.75" hidden="false" customHeight="false" outlineLevel="0" collapsed="false">
      <c r="A223" s="7"/>
      <c r="B223" s="90"/>
      <c r="C223" s="91"/>
      <c r="D223" s="126"/>
      <c r="E223" s="130"/>
      <c r="F223" s="135"/>
      <c r="G223" s="130"/>
      <c r="H223" s="135"/>
      <c r="I223" s="131"/>
      <c r="J223" s="131"/>
      <c r="K223" s="131"/>
      <c r="L223" s="130"/>
      <c r="M223" s="130"/>
      <c r="N223" s="130"/>
      <c r="O223" s="135"/>
      <c r="P223" s="130"/>
      <c r="Q223" s="130"/>
      <c r="R223" s="130"/>
      <c r="S223" s="130"/>
      <c r="T223" s="135"/>
      <c r="U223" s="130"/>
      <c r="V223" s="96"/>
      <c r="W223" s="130"/>
      <c r="X223" s="130"/>
      <c r="Y223" s="96"/>
      <c r="Z223" s="96"/>
      <c r="AA223" s="130"/>
      <c r="AB223" s="130"/>
      <c r="AC223" s="97"/>
      <c r="AD223" s="130"/>
      <c r="AE223" s="99"/>
      <c r="AF223" s="100"/>
      <c r="AG223" s="100"/>
      <c r="AH223" s="100" t="str">
        <f aca="false">IF(ISBLANK($C223),"",IF($E223=Constants!$B$2,TRUE(),IF($E223=Constants!$B$3,FALSE(),TRUE())))</f>
        <v/>
      </c>
      <c r="AI223" s="100" t="str">
        <f aca="false">IF(ISBLANK($C223),"",IF($F223=Constants!$B$2,TRUE(),IF($F223=Constants!$B$3,FALSE(),FALSE())))</f>
        <v/>
      </c>
      <c r="AJ223" s="100" t="str">
        <f aca="false">IF(ISBLANK($C223),"",IF($G223=Constants!$B$2,TRUE(),IF($G223=Constants!$B$3,FALSE(),TRUE())))</f>
        <v/>
      </c>
      <c r="AK223" s="100" t="str">
        <f aca="false">IF(ISBLANK($C223),"",IF($H223=Constants!$B$2,TRUE(),IF($H223=Constants!$B$3,FALSE(),TRUE())))</f>
        <v/>
      </c>
      <c r="AL223" s="100" t="str">
        <f aca="false">IF(ISBLANK($C223),"",IF(ISNUMBER($I223),IF($I223&gt;=0,$I223,""),""))</f>
        <v/>
      </c>
      <c r="AM223" s="100" t="str">
        <f aca="false">IF(ISBLANK($C223),"",IF(ISNUMBER($J223),IF($J223&gt;=0,$J223,""),""))</f>
        <v/>
      </c>
      <c r="AN223" s="100" t="str">
        <f aca="false">IF(ISBLANK($C223),"",IF(ISNUMBER($K223),IF($K223&gt;=0,$K223,""),""))</f>
        <v/>
      </c>
      <c r="AO223" s="100" t="str">
        <f aca="false">IF(ISBLANK($C223),"",IF($L223=Constants!$B$2,TRUE(),IF($L223=Constants!$B$3,FALSE(),TRUE())))</f>
        <v/>
      </c>
      <c r="AP223" s="100" t="str">
        <f aca="false">IF(ISBLANK($C223),"",IF($M223=Constants!$B$2,TRUE(),IF($M223=Constants!$B$3,FALSE(),TRUE())))</f>
        <v/>
      </c>
      <c r="AQ223" s="100" t="str">
        <f aca="false">IF(ISBLANK($C223),"",IF($N223=Constants!$B$2,TRUE(),IF($N223=Constants!$B$3,FALSE(),FALSE())))</f>
        <v/>
      </c>
      <c r="AR223" s="100" t="str">
        <f aca="false">IF(ISBLANK($C223),"",IF($O223=Constants!$B$2,TRUE(),IF($O223=Constants!$B$3,FALSE(),TRUE())))</f>
        <v/>
      </c>
      <c r="AS223" s="100" t="str">
        <f aca="false">IF(ISBLANK($C223),"",IF($P223=Constants!$B$2,TRUE(),IF($P223=Constants!$B$3,FALSE(),FALSE())))</f>
        <v/>
      </c>
      <c r="AT223" s="100" t="str">
        <f aca="false">IF(ISBLANK($C223),"",IF($Q223=Constants!$B$2,TRUE(),IF($Q223=Constants!$B$3,FALSE(),FALSE())))</f>
        <v/>
      </c>
      <c r="AU223" s="100" t="str">
        <f aca="false">IF(ISBLANK($C223),"",IF($R223=Constants!$B$2,TRUE(),IF($R223=Constants!$B$3,FALSE(),FALSE())))</f>
        <v/>
      </c>
      <c r="AV223" s="100" t="str">
        <f aca="false">IF(ISBLANK($C223),"",IF($S223=Constants!$B$2,TRUE(),IF($S223=Constants!$B$3,FALSE(),FALSE())))</f>
        <v/>
      </c>
      <c r="AW223" s="100" t="str">
        <f aca="false">IF(ISBLANK($C223),"",IF($T223=Constants!$B$2,TRUE(),IF($T223=Constants!$B$3,FALSE(),FALSE())))</f>
        <v/>
      </c>
      <c r="AX223" s="100" t="str">
        <f aca="false">IF(ISBLANK($C223),"",IF(OR($U223&amp;""="1",$U223&amp;""="2",$U223&amp;""="3",$U223&amp;""="4"),VALUE($U223&amp;""),IF($U223=Constants!$B$12,Constants!$B$12,"")))</f>
        <v/>
      </c>
      <c r="AY223" s="100" t="str">
        <f aca="false">IF(ISBLANK($C223),"",IF(ISBLANK($V223),0,IF(ISNUMBER($V223),IF(AND($V223&gt;=0,$V223&lt;=Constants!$B$21,$V223=INT($V223)),$V223,""),"")))</f>
        <v/>
      </c>
      <c r="AZ223" s="100" t="str">
        <f aca="false">IF(ISBLANK($C223),"",IF(ISBLANK($W223),0,IF(ISNUMBER($W223),IF($W223&gt;=0,$W223,""),"")))</f>
        <v/>
      </c>
      <c r="BA223" s="100" t="str">
        <f aca="false">IF(ISBLANK($C223),"",IF($X223=Constants!$B$2,TRUE(),IF($X223=Constants!$B$3,FALSE(),TRUE())))</f>
        <v/>
      </c>
      <c r="BB223" s="100" t="str">
        <f aca="false">IF(ISBLANK($C223),"",IF($Y223=Constants!$B$2,TRUE(),IF($Y223=Constants!$B$3,FALSE(),FALSE())))</f>
        <v/>
      </c>
      <c r="BC223" s="100" t="str">
        <f aca="false">IF(ISBLANK($C223),"",IF(ISBLANK($Z223),0,IF(ISNUMBER($Z223),IF(AND($Z223&gt;=0,$Z223&lt;=Constants!$B$35,$Z223=INT($Z223)),$Z223,""),"")))</f>
        <v/>
      </c>
      <c r="BD223" s="100" t="str">
        <f aca="false">IF(ISBLANK($C223),"",IF($AA223=Constants!$B$2,TRUE(),IF($AA223=Constants!$B$3,FALSE(),TRUE())))</f>
        <v/>
      </c>
      <c r="BE223" s="100" t="str">
        <f aca="false">IF(ISBLANK($C223),"",IF($AB223=Constants!$B$2,TRUE(),IF($AB223=Constants!$B$3,FALSE(),TRUE())))</f>
        <v/>
      </c>
      <c r="BF223" s="100" t="str">
        <f aca="false">IF(ISBLANK($C223),"",IF(ISNUMBER($AC223),IF($AC223&gt;=0,$AC223,""),""))</f>
        <v/>
      </c>
      <c r="BG223" s="100" t="str">
        <f aca="false">IF(ISBLANK($C223),"",IF($AD223=Constants!$B$2,TRUE(),IF($AD223=Constants!$B$3,FALSE(),FALSE())))</f>
        <v/>
      </c>
      <c r="BH223" s="99" t="str">
        <f aca="false">IF(ISBLANK($C223),"",IF($BG223,Constants!$B$7,IF(COUNTA($E223:$AC223)=0,Constants!$B$6,IF(OR(COUNTA($G223:$AC223)=0,NOT($AK223),$AQ223),Constants!$B$5,IF(OR($CI223&lt;&gt;"",$CJ223,$CK223,$CL223,$CM223,$CN223,$CO223),Constants!$B$8,Constants!$B$4)))))</f>
        <v/>
      </c>
      <c r="BI223" s="100" t="str">
        <f aca="false">IF(ISBLANK($C223),"",IF($BH223&lt;&gt;Constants!$B$4,$BH223,IF(OR(NOT($AH223),NOT($AJ223),NOT($AR223)),Constants!$B$11,IF(OR(NOT($AP223),MAX($AL223,$AM223,$AN223)&gt;Constants!$B$30),Constants!$B$10,Constants!$B$9))))</f>
        <v/>
      </c>
      <c r="BJ223" s="100" t="str">
        <f aca="false">IF($BH223&lt;&gt;Constants!$B$4,"",IF(NOT($AJ223),0,MIN(Constants!$B$35,$BC223)))</f>
        <v/>
      </c>
      <c r="BK223" s="100" t="str">
        <f aca="false">IF($BH223&lt;&gt;Constants!$B$4,"",IF(NOT($AJ223),0,IF($AT223,Constants!$B$18,IF($AS223,Constants!$B$17,0))))</f>
        <v/>
      </c>
      <c r="BL223" s="100" t="str">
        <f aca="false">IF($BH223&lt;&gt;Constants!$B$4,"",IF(NOT($AJ223),0,Constants!$B$19*($AI223+$AU223+$AV223+$AW223)))</f>
        <v/>
      </c>
      <c r="BM223" s="100" t="str">
        <f aca="false">IF($BH223&lt;&gt;Constants!$B$4,"",IF(OR(NOT($AJ223),NOT(ISNUMBER($AX223))),0,CHOOSE($AX223,Constants!$B$13,Constants!$B$14,Constants!$B$15,Constants!$B$16)))</f>
        <v/>
      </c>
      <c r="BN223" s="100" t="str">
        <f aca="false">IF($BH223&lt;&gt;Constants!$B$4,"",IF(NOT($AJ223),0,Constants!$B$20*$AY223))</f>
        <v/>
      </c>
      <c r="BO223" s="100" t="str">
        <f aca="false">IF($BH223&lt;&gt;Constants!$B$4,"",IF(AND($AJ223,$BA223,$BB223),Constants!$B$22,0))</f>
        <v/>
      </c>
      <c r="BP223" s="100" t="str">
        <f aca="false">IF($BH223&lt;&gt;Constants!$B$4,"",IF(OR(NOT($AJ223),NOT($BA223)),0,IF($BF223&gt;=2*$AF$9,0,Constants!$B$23*INT(ROUND(MIN($BF223,$AF$9),6)))))</f>
        <v/>
      </c>
      <c r="BQ223" s="100" t="str">
        <f aca="false">IF($BH223&lt;&gt;Constants!$B$4,"",IF(NOT($AJ223),0,Constants!$B$24*INT(ROUND(MIN($AZ223,$AF$9),6))))</f>
        <v/>
      </c>
      <c r="BR223" s="100" t="str">
        <f aca="false">IF($BH223&lt;&gt;Constants!$B$4,"",IF(AND($AJ223,$BJ223=0),Constants!$B$25,0))</f>
        <v/>
      </c>
      <c r="BS223" s="100" t="str">
        <f aca="false">IF($BH223&lt;&gt;Constants!$B$4,"",MIN(Constants!$B$29,MAX(0,Constants!$B$27*Constants!$B$28*INT(ROUND((Constants!$B$26-$AL223)/Constants!$B$28,6))))+MIN(Constants!$B$29,MAX(0,Constants!$B$27*Constants!$B$28*INT(ROUND((Constants!$B$26-$AM223)/Constants!$B$28,6))))+MIN(Constants!$B$29,MAX(0,Constants!$B$27*Constants!$B$28*INT(ROUND((Constants!$B$26-$AN223)/Constants!$B$28,6)))))</f>
        <v/>
      </c>
      <c r="BT223" s="100" t="str">
        <f aca="false">IF($BH223&lt;&gt;Constants!$B$4,"",IF(NOT($AJ223),0,Constants!$B$31*INT(ROUND(MAX(0,MIN($BF223,2*$AF$9)-$AF$9),6))))</f>
        <v/>
      </c>
      <c r="BU223" s="100" t="str">
        <f aca="false">IF($BH223&lt;&gt;Constants!$B$4,"",Constants!$B$32*(($AL223&gt;Constants!$B$26)+($AM223&gt;Constants!$B$26)+($AN223&gt;Constants!$B$26)))</f>
        <v/>
      </c>
      <c r="BV223" s="100" t="str">
        <f aca="false">IF($BH223&lt;&gt;Constants!$B$4,"",IF(OR(NOT($AJ223),$AO223),0,Constants!$B$33))</f>
        <v/>
      </c>
      <c r="BW223" s="100" t="str">
        <f aca="false">IF($BH223&lt;&gt;Constants!$B$4,"",Constants!$B$34*$BJ223)</f>
        <v/>
      </c>
      <c r="BX223" s="100" t="str">
        <f aca="false">IF($BH223&lt;&gt;Constants!$B$4,"",IF(OR(NOT($AJ223),$BE223),0,Constants!$B$36))</f>
        <v/>
      </c>
      <c r="BY223" s="100" t="str">
        <f aca="false">IF($BH223&lt;&gt;Constants!$B$4,"",IF(OR(NOT($AJ223),$BD223),0,Constants!$B$37))</f>
        <v/>
      </c>
      <c r="BZ223" s="100" t="str">
        <f aca="false">IF($BH223&lt;&gt;Constants!$B$4,"",SUM($BT223:$BY223))</f>
        <v/>
      </c>
      <c r="CA223" s="100" t="str">
        <f aca="false">IF(ISBLANK($C223),"",IF($BH223&lt;&gt;Constants!$B$4,$BH223,SUM($BK223:$BS223)-$BZ223))</f>
        <v/>
      </c>
      <c r="CB223" s="100" t="str">
        <f aca="false">IF(ISBLANK($C223),"",IF($BH223&lt;&gt;Constants!$B$4,$BH223,RANK($CA223,$CA$9:$CA$508)))</f>
        <v/>
      </c>
      <c r="CC223" s="100" t="str">
        <f aca="false">IF(ISBLANK($C223),"",IF($BH223&lt;&gt;Constants!$B$4,$BH223,COUNTIFS($BI$9:$BI$508,"&lt;"&amp;$BI223)+COUNTIFS($BI$9:$BI$508,$BI223,$CB$9:$CB$508,"&lt;"&amp;$CB223)+1))</f>
        <v/>
      </c>
      <c r="CD223" s="100" t="str">
        <f aca="false">IF(ISBLANK($C223),"",IF($BH223&lt;&gt;Constants!$B$4,$BH223,RANK($BZ223,$BZ$9:$BZ$508,1)))</f>
        <v/>
      </c>
      <c r="CE223" s="100" t="str">
        <f aca="false">IF($BH223&lt;&gt;Constants!$B$4,"",$AL223+$AM223+$AN223)</f>
        <v/>
      </c>
      <c r="CF223" s="100" t="str">
        <f aca="false">IF(ISBLANK($C223),"",IF($BH223&lt;&gt;Constants!$B$4,$BH223,RANK($CE223,$CE$9:$CE$508,1)))</f>
        <v/>
      </c>
      <c r="CG223" s="100" t="str">
        <f aca="false">IF(ISBLANK($C223),"",IF($BH223&lt;&gt;Constants!$B$4,$BH223,COUNTIFS($BI$9:$BI$508,"&lt;"&amp;$BI223)+COUNTIFS($BI$9:$BI$508,$BI223,$CB$9:$CB$508,"&lt;"&amp;$CB223)+COUNTIFS($BI$9:$BI$508,$BI223,$CB$9:$CB$508,$CB223,$CD$9:$CD$508,"&lt;"&amp;$CD223)+COUNTIFS($BI$9:$BI$508,$BI223,$CB$9:$CB$508,$CB223,$CD$9:$CD$508,$CD223,$CF$9:$CF$508,"&lt;"&amp;$CF223)+1))</f>
        <v/>
      </c>
      <c r="CH223" s="100" t="str">
        <f aca="false">IF(ISBLANK($C223),"",IF($BH223&lt;&gt;Constants!$B$4,$BH223,$CC223-$CG223))</f>
        <v/>
      </c>
      <c r="CI223" s="100" t="str">
        <f aca="false">IF(ISBLANK($C223),"",IF(NOT($AJ223),"",IF(ISBLANK($D$7),$CI$5,IF(NOT(ISNUMBER($D$7)),$CI$6,""))))</f>
        <v/>
      </c>
      <c r="CJ223" s="100" t="str">
        <f aca="false">IF(ISBLANK($C223),"",OR($AL223="",$AM223="",$AN223=""))</f>
        <v/>
      </c>
      <c r="CK223" s="100" t="str">
        <f aca="false">IF(ISBLANK($C223),"",AND($AJ223,$AX223=""))</f>
        <v/>
      </c>
      <c r="CL223" s="100" t="str">
        <f aca="false">IF(ISBLANK($C223),"",AND($AJ223,$AY223=""))</f>
        <v/>
      </c>
      <c r="CM223" s="100" t="str">
        <f aca="false">IF(ISBLANK($C223),"",AND($AJ223,$AZ223=""))</f>
        <v/>
      </c>
      <c r="CN223" s="100" t="str">
        <f aca="false">IF(ISBLANK($C223),"",AND($AJ223,$BC223=""))</f>
        <v/>
      </c>
      <c r="CO223" s="100" t="str">
        <f aca="false">IF(ISBLANK($C223),"",AND($AJ223,$BF223=""))</f>
        <v/>
      </c>
      <c r="CP223" s="101"/>
      <c r="CQ223" s="102"/>
      <c r="CR223" s="103" t="str">
        <f aca="false">IF(ISBLANK($C223),"",IF($BH223=Constants!$B$8,$CI223,""))</f>
        <v/>
      </c>
      <c r="CS223" s="102" t="str">
        <f aca="false">IF(ISBLANK($C223),"",IF($BH223&lt;&gt;Constants!$B$4,"",$BK223+$BL223))</f>
        <v/>
      </c>
      <c r="CT223" s="104" t="str">
        <f aca="false">IF(ISBLANK($C223),"",IF($BH223&lt;&gt;Constants!$B$4,"",$BM223+$BN223+$BO223))</f>
        <v/>
      </c>
      <c r="CU223" s="104" t="str">
        <f aca="false">IF(ISBLANK($C223),"",IF($BH223&lt;&gt;Constants!$B$4,"",$BP223))</f>
        <v/>
      </c>
      <c r="CV223" s="104" t="str">
        <f aca="false">IF(ISBLANK($C223),"",IF($BH223&lt;&gt;Constants!$B$4,"",$BQ223+$BR223))</f>
        <v/>
      </c>
      <c r="CW223" s="104" t="str">
        <f aca="false">IF(ISBLANK($C223),"",IF($BH223&lt;&gt;Constants!$B$4,"",$BS223))</f>
        <v/>
      </c>
      <c r="CX223" s="104" t="str">
        <f aca="false">IF(ISBLANK($C223),"",IF($BH223&lt;&gt;Constants!$B$4,"",-$BZ223))</f>
        <v/>
      </c>
      <c r="CY223" s="103" t="str">
        <f aca="false">IF(ISBLANK($C223),"",$CA223)</f>
        <v/>
      </c>
      <c r="CZ223" s="105" t="str">
        <f aca="false">IF(ISBLANK($C223),"",$BI223)</f>
        <v/>
      </c>
      <c r="DA223" s="104" t="str">
        <f aca="false">IF(ISBLANK($C223),"",$CH223)</f>
        <v/>
      </c>
      <c r="DB223" s="104" t="str">
        <f aca="false">IF(ISBLANK($C223),"",$CG223)</f>
        <v/>
      </c>
      <c r="DC223" s="106" t="str">
        <f aca="false">IF(ISBLANK($C223),"",IFERROR(_xlfn.SWITCH($DB223,Constants!$B$7,COUNTA($C$9:$C$508)+2,Constants!$B$6,COUNTA($C$9:$C$508)+1,Constants!$B$5,COUNTA($C$9:$C$508)),$DB223))</f>
        <v/>
      </c>
      <c r="DD223" s="7"/>
      <c r="DE223" s="107" t="n">
        <f aca="false">IF(OR(ISNUMBER($DB223),$DB223=Constants!$B$7,$DB223=Constants!$B$5,$DB223=Constants!$B$6),1,0)</f>
        <v>0</v>
      </c>
      <c r="DF223" s="107" t="n">
        <v>215</v>
      </c>
      <c r="DG223" s="107" t="str">
        <f aca="false">IF(ISBLANK($C223),"",IF(ISNUMBER($DC223),$DC223+ROW($B223)/1000,""))</f>
        <v/>
      </c>
      <c r="DH223" s="107" t="str">
        <f aca="false">IF(ISNUMBER($DG223),RANK($DG223,$DG$9:$DG$508,1),"")</f>
        <v/>
      </c>
      <c r="DI223" s="107" t="str">
        <f aca="false">IF(ISBLANK($C223),"",$B223)</f>
        <v/>
      </c>
      <c r="DJ223" s="107" t="str">
        <f aca="false">IF(ISBLANK($C223),"",$C223)</f>
        <v/>
      </c>
      <c r="DK223" s="107" t="str">
        <f aca="false">IF(ISBLANK($C223),"",$D223)</f>
        <v/>
      </c>
      <c r="DL223" s="108" t="str">
        <f aca="false">$CZ223</f>
        <v/>
      </c>
      <c r="DM223" s="109" t="str">
        <f aca="false">$CY223</f>
        <v/>
      </c>
      <c r="DN223" s="107" t="str">
        <f aca="false">IF(ISBLANK($C223),"",$DB223)</f>
        <v/>
      </c>
      <c r="DO223" s="110" t="str">
        <f aca="false">IF($DF223&gt;$DE$8,"",VLOOKUP($DF223,$DH$9:$DN$508,7,FALSE()))</f>
        <v/>
      </c>
      <c r="DP223" s="111" t="str">
        <f aca="false">IF($DF223&gt;$DE$8,"",VLOOKUP($DF223,$DH$9:$DN$508,2,FALSE()))</f>
        <v/>
      </c>
      <c r="DQ223" s="111" t="str">
        <f aca="false">IF($DF223&gt;$DE$8,"",VLOOKUP($DF223,$DH$9:$DN$508,3,FALSE()))</f>
        <v/>
      </c>
      <c r="DR223" s="111" t="str">
        <f aca="false">IF($DF223&gt;$DE$8,"",VLOOKUP($DF223,$DH$9:$DN$508,4,FALSE()))</f>
        <v/>
      </c>
      <c r="DS223" s="111" t="str">
        <f aca="false">IF($DF223&gt;$DE$8,"",VLOOKUP($DF223,$DH$9:$DN$508,5,FALSE()))</f>
        <v/>
      </c>
      <c r="DT223" s="112" t="str">
        <f aca="false">IF($DF223&gt;$DE$8,"",VLOOKUP($DF223,$DH$9:$DN$508,6,FALSE()))</f>
        <v/>
      </c>
      <c r="DU223" s="62"/>
    </row>
    <row r="224" customFormat="false" ht="15.75" hidden="false" customHeight="false" outlineLevel="0" collapsed="false">
      <c r="A224" s="7"/>
      <c r="B224" s="90"/>
      <c r="C224" s="91"/>
      <c r="D224" s="126"/>
      <c r="E224" s="130"/>
      <c r="F224" s="135"/>
      <c r="G224" s="130"/>
      <c r="H224" s="135"/>
      <c r="I224" s="131"/>
      <c r="J224" s="131"/>
      <c r="K224" s="131"/>
      <c r="L224" s="130"/>
      <c r="M224" s="130"/>
      <c r="N224" s="130"/>
      <c r="O224" s="135"/>
      <c r="P224" s="130"/>
      <c r="Q224" s="130"/>
      <c r="R224" s="130"/>
      <c r="S224" s="130"/>
      <c r="T224" s="135"/>
      <c r="U224" s="130"/>
      <c r="V224" s="96"/>
      <c r="W224" s="130"/>
      <c r="X224" s="130"/>
      <c r="Y224" s="96"/>
      <c r="Z224" s="96"/>
      <c r="AA224" s="130"/>
      <c r="AB224" s="130"/>
      <c r="AC224" s="97"/>
      <c r="AD224" s="130"/>
      <c r="AE224" s="99"/>
      <c r="AF224" s="100"/>
      <c r="AG224" s="100"/>
      <c r="AH224" s="100" t="str">
        <f aca="false">IF(ISBLANK($C224),"",IF($E224=Constants!$B$2,TRUE(),IF($E224=Constants!$B$3,FALSE(),TRUE())))</f>
        <v/>
      </c>
      <c r="AI224" s="100" t="str">
        <f aca="false">IF(ISBLANK($C224),"",IF($F224=Constants!$B$2,TRUE(),IF($F224=Constants!$B$3,FALSE(),FALSE())))</f>
        <v/>
      </c>
      <c r="AJ224" s="100" t="str">
        <f aca="false">IF(ISBLANK($C224),"",IF($G224=Constants!$B$2,TRUE(),IF($G224=Constants!$B$3,FALSE(),TRUE())))</f>
        <v/>
      </c>
      <c r="AK224" s="100" t="str">
        <f aca="false">IF(ISBLANK($C224),"",IF($H224=Constants!$B$2,TRUE(),IF($H224=Constants!$B$3,FALSE(),TRUE())))</f>
        <v/>
      </c>
      <c r="AL224" s="100" t="str">
        <f aca="false">IF(ISBLANK($C224),"",IF(ISNUMBER($I224),IF($I224&gt;=0,$I224,""),""))</f>
        <v/>
      </c>
      <c r="AM224" s="100" t="str">
        <f aca="false">IF(ISBLANK($C224),"",IF(ISNUMBER($J224),IF($J224&gt;=0,$J224,""),""))</f>
        <v/>
      </c>
      <c r="AN224" s="100" t="str">
        <f aca="false">IF(ISBLANK($C224),"",IF(ISNUMBER($K224),IF($K224&gt;=0,$K224,""),""))</f>
        <v/>
      </c>
      <c r="AO224" s="100" t="str">
        <f aca="false">IF(ISBLANK($C224),"",IF($L224=Constants!$B$2,TRUE(),IF($L224=Constants!$B$3,FALSE(),TRUE())))</f>
        <v/>
      </c>
      <c r="AP224" s="100" t="str">
        <f aca="false">IF(ISBLANK($C224),"",IF($M224=Constants!$B$2,TRUE(),IF($M224=Constants!$B$3,FALSE(),TRUE())))</f>
        <v/>
      </c>
      <c r="AQ224" s="100" t="str">
        <f aca="false">IF(ISBLANK($C224),"",IF($N224=Constants!$B$2,TRUE(),IF($N224=Constants!$B$3,FALSE(),FALSE())))</f>
        <v/>
      </c>
      <c r="AR224" s="100" t="str">
        <f aca="false">IF(ISBLANK($C224),"",IF($O224=Constants!$B$2,TRUE(),IF($O224=Constants!$B$3,FALSE(),TRUE())))</f>
        <v/>
      </c>
      <c r="AS224" s="100" t="str">
        <f aca="false">IF(ISBLANK($C224),"",IF($P224=Constants!$B$2,TRUE(),IF($P224=Constants!$B$3,FALSE(),FALSE())))</f>
        <v/>
      </c>
      <c r="AT224" s="100" t="str">
        <f aca="false">IF(ISBLANK($C224),"",IF($Q224=Constants!$B$2,TRUE(),IF($Q224=Constants!$B$3,FALSE(),FALSE())))</f>
        <v/>
      </c>
      <c r="AU224" s="100" t="str">
        <f aca="false">IF(ISBLANK($C224),"",IF($R224=Constants!$B$2,TRUE(),IF($R224=Constants!$B$3,FALSE(),FALSE())))</f>
        <v/>
      </c>
      <c r="AV224" s="100" t="str">
        <f aca="false">IF(ISBLANK($C224),"",IF($S224=Constants!$B$2,TRUE(),IF($S224=Constants!$B$3,FALSE(),FALSE())))</f>
        <v/>
      </c>
      <c r="AW224" s="100" t="str">
        <f aca="false">IF(ISBLANK($C224),"",IF($T224=Constants!$B$2,TRUE(),IF($T224=Constants!$B$3,FALSE(),FALSE())))</f>
        <v/>
      </c>
      <c r="AX224" s="100" t="str">
        <f aca="false">IF(ISBLANK($C224),"",IF(OR($U224&amp;""="1",$U224&amp;""="2",$U224&amp;""="3",$U224&amp;""="4"),VALUE($U224&amp;""),IF($U224=Constants!$B$12,Constants!$B$12,"")))</f>
        <v/>
      </c>
      <c r="AY224" s="100" t="str">
        <f aca="false">IF(ISBLANK($C224),"",IF(ISBLANK($V224),0,IF(ISNUMBER($V224),IF(AND($V224&gt;=0,$V224&lt;=Constants!$B$21,$V224=INT($V224)),$V224,""),"")))</f>
        <v/>
      </c>
      <c r="AZ224" s="100" t="str">
        <f aca="false">IF(ISBLANK($C224),"",IF(ISBLANK($W224),0,IF(ISNUMBER($W224),IF($W224&gt;=0,$W224,""),"")))</f>
        <v/>
      </c>
      <c r="BA224" s="100" t="str">
        <f aca="false">IF(ISBLANK($C224),"",IF($X224=Constants!$B$2,TRUE(),IF($X224=Constants!$B$3,FALSE(),TRUE())))</f>
        <v/>
      </c>
      <c r="BB224" s="100" t="str">
        <f aca="false">IF(ISBLANK($C224),"",IF($Y224=Constants!$B$2,TRUE(),IF($Y224=Constants!$B$3,FALSE(),FALSE())))</f>
        <v/>
      </c>
      <c r="BC224" s="100" t="str">
        <f aca="false">IF(ISBLANK($C224),"",IF(ISBLANK($Z224),0,IF(ISNUMBER($Z224),IF(AND($Z224&gt;=0,$Z224&lt;=Constants!$B$35,$Z224=INT($Z224)),$Z224,""),"")))</f>
        <v/>
      </c>
      <c r="BD224" s="100" t="str">
        <f aca="false">IF(ISBLANK($C224),"",IF($AA224=Constants!$B$2,TRUE(),IF($AA224=Constants!$B$3,FALSE(),TRUE())))</f>
        <v/>
      </c>
      <c r="BE224" s="100" t="str">
        <f aca="false">IF(ISBLANK($C224),"",IF($AB224=Constants!$B$2,TRUE(),IF($AB224=Constants!$B$3,FALSE(),TRUE())))</f>
        <v/>
      </c>
      <c r="BF224" s="100" t="str">
        <f aca="false">IF(ISBLANK($C224),"",IF(ISNUMBER($AC224),IF($AC224&gt;=0,$AC224,""),""))</f>
        <v/>
      </c>
      <c r="BG224" s="100" t="str">
        <f aca="false">IF(ISBLANK($C224),"",IF($AD224=Constants!$B$2,TRUE(),IF($AD224=Constants!$B$3,FALSE(),FALSE())))</f>
        <v/>
      </c>
      <c r="BH224" s="99" t="str">
        <f aca="false">IF(ISBLANK($C224),"",IF($BG224,Constants!$B$7,IF(COUNTA($E224:$AC224)=0,Constants!$B$6,IF(OR(COUNTA($G224:$AC224)=0,NOT($AK224),$AQ224),Constants!$B$5,IF(OR($CI224&lt;&gt;"",$CJ224,$CK224,$CL224,$CM224,$CN224,$CO224),Constants!$B$8,Constants!$B$4)))))</f>
        <v/>
      </c>
      <c r="BI224" s="100" t="str">
        <f aca="false">IF(ISBLANK($C224),"",IF($BH224&lt;&gt;Constants!$B$4,$BH224,IF(OR(NOT($AH224),NOT($AJ224),NOT($AR224)),Constants!$B$11,IF(OR(NOT($AP224),MAX($AL224,$AM224,$AN224)&gt;Constants!$B$30),Constants!$B$10,Constants!$B$9))))</f>
        <v/>
      </c>
      <c r="BJ224" s="100" t="str">
        <f aca="false">IF($BH224&lt;&gt;Constants!$B$4,"",IF(NOT($AJ224),0,MIN(Constants!$B$35,$BC224)))</f>
        <v/>
      </c>
      <c r="BK224" s="100" t="str">
        <f aca="false">IF($BH224&lt;&gt;Constants!$B$4,"",IF(NOT($AJ224),0,IF($AT224,Constants!$B$18,IF($AS224,Constants!$B$17,0))))</f>
        <v/>
      </c>
      <c r="BL224" s="100" t="str">
        <f aca="false">IF($BH224&lt;&gt;Constants!$B$4,"",IF(NOT($AJ224),0,Constants!$B$19*($AI224+$AU224+$AV224+$AW224)))</f>
        <v/>
      </c>
      <c r="BM224" s="100" t="str">
        <f aca="false">IF($BH224&lt;&gt;Constants!$B$4,"",IF(OR(NOT($AJ224),NOT(ISNUMBER($AX224))),0,CHOOSE($AX224,Constants!$B$13,Constants!$B$14,Constants!$B$15,Constants!$B$16)))</f>
        <v/>
      </c>
      <c r="BN224" s="100" t="str">
        <f aca="false">IF($BH224&lt;&gt;Constants!$B$4,"",IF(NOT($AJ224),0,Constants!$B$20*$AY224))</f>
        <v/>
      </c>
      <c r="BO224" s="100" t="str">
        <f aca="false">IF($BH224&lt;&gt;Constants!$B$4,"",IF(AND($AJ224,$BA224,$BB224),Constants!$B$22,0))</f>
        <v/>
      </c>
      <c r="BP224" s="100" t="str">
        <f aca="false">IF($BH224&lt;&gt;Constants!$B$4,"",IF(OR(NOT($AJ224),NOT($BA224)),0,IF($BF224&gt;=2*$AF$9,0,Constants!$B$23*INT(ROUND(MIN($BF224,$AF$9),6)))))</f>
        <v/>
      </c>
      <c r="BQ224" s="100" t="str">
        <f aca="false">IF($BH224&lt;&gt;Constants!$B$4,"",IF(NOT($AJ224),0,Constants!$B$24*INT(ROUND(MIN($AZ224,$AF$9),6))))</f>
        <v/>
      </c>
      <c r="BR224" s="100" t="str">
        <f aca="false">IF($BH224&lt;&gt;Constants!$B$4,"",IF(AND($AJ224,$BJ224=0),Constants!$B$25,0))</f>
        <v/>
      </c>
      <c r="BS224" s="100" t="str">
        <f aca="false">IF($BH224&lt;&gt;Constants!$B$4,"",MIN(Constants!$B$29,MAX(0,Constants!$B$27*Constants!$B$28*INT(ROUND((Constants!$B$26-$AL224)/Constants!$B$28,6))))+MIN(Constants!$B$29,MAX(0,Constants!$B$27*Constants!$B$28*INT(ROUND((Constants!$B$26-$AM224)/Constants!$B$28,6))))+MIN(Constants!$B$29,MAX(0,Constants!$B$27*Constants!$B$28*INT(ROUND((Constants!$B$26-$AN224)/Constants!$B$28,6)))))</f>
        <v/>
      </c>
      <c r="BT224" s="100" t="str">
        <f aca="false">IF($BH224&lt;&gt;Constants!$B$4,"",IF(NOT($AJ224),0,Constants!$B$31*INT(ROUND(MAX(0,MIN($BF224,2*$AF$9)-$AF$9),6))))</f>
        <v/>
      </c>
      <c r="BU224" s="100" t="str">
        <f aca="false">IF($BH224&lt;&gt;Constants!$B$4,"",Constants!$B$32*(($AL224&gt;Constants!$B$26)+($AM224&gt;Constants!$B$26)+($AN224&gt;Constants!$B$26)))</f>
        <v/>
      </c>
      <c r="BV224" s="100" t="str">
        <f aca="false">IF($BH224&lt;&gt;Constants!$B$4,"",IF(OR(NOT($AJ224),$AO224),0,Constants!$B$33))</f>
        <v/>
      </c>
      <c r="BW224" s="100" t="str">
        <f aca="false">IF($BH224&lt;&gt;Constants!$B$4,"",Constants!$B$34*$BJ224)</f>
        <v/>
      </c>
      <c r="BX224" s="100" t="str">
        <f aca="false">IF($BH224&lt;&gt;Constants!$B$4,"",IF(OR(NOT($AJ224),$BE224),0,Constants!$B$36))</f>
        <v/>
      </c>
      <c r="BY224" s="100" t="str">
        <f aca="false">IF($BH224&lt;&gt;Constants!$B$4,"",IF(OR(NOT($AJ224),$BD224),0,Constants!$B$37))</f>
        <v/>
      </c>
      <c r="BZ224" s="100" t="str">
        <f aca="false">IF($BH224&lt;&gt;Constants!$B$4,"",SUM($BT224:$BY224))</f>
        <v/>
      </c>
      <c r="CA224" s="100" t="str">
        <f aca="false">IF(ISBLANK($C224),"",IF($BH224&lt;&gt;Constants!$B$4,$BH224,SUM($BK224:$BS224)-$BZ224))</f>
        <v/>
      </c>
      <c r="CB224" s="100" t="str">
        <f aca="false">IF(ISBLANK($C224),"",IF($BH224&lt;&gt;Constants!$B$4,$BH224,RANK($CA224,$CA$9:$CA$508)))</f>
        <v/>
      </c>
      <c r="CC224" s="100" t="str">
        <f aca="false">IF(ISBLANK($C224),"",IF($BH224&lt;&gt;Constants!$B$4,$BH224,COUNTIFS($BI$9:$BI$508,"&lt;"&amp;$BI224)+COUNTIFS($BI$9:$BI$508,$BI224,$CB$9:$CB$508,"&lt;"&amp;$CB224)+1))</f>
        <v/>
      </c>
      <c r="CD224" s="100" t="str">
        <f aca="false">IF(ISBLANK($C224),"",IF($BH224&lt;&gt;Constants!$B$4,$BH224,RANK($BZ224,$BZ$9:$BZ$508,1)))</f>
        <v/>
      </c>
      <c r="CE224" s="100" t="str">
        <f aca="false">IF($BH224&lt;&gt;Constants!$B$4,"",$AL224+$AM224+$AN224)</f>
        <v/>
      </c>
      <c r="CF224" s="100" t="str">
        <f aca="false">IF(ISBLANK($C224),"",IF($BH224&lt;&gt;Constants!$B$4,$BH224,RANK($CE224,$CE$9:$CE$508,1)))</f>
        <v/>
      </c>
      <c r="CG224" s="100" t="str">
        <f aca="false">IF(ISBLANK($C224),"",IF($BH224&lt;&gt;Constants!$B$4,$BH224,COUNTIFS($BI$9:$BI$508,"&lt;"&amp;$BI224)+COUNTIFS($BI$9:$BI$508,$BI224,$CB$9:$CB$508,"&lt;"&amp;$CB224)+COUNTIFS($BI$9:$BI$508,$BI224,$CB$9:$CB$508,$CB224,$CD$9:$CD$508,"&lt;"&amp;$CD224)+COUNTIFS($BI$9:$BI$508,$BI224,$CB$9:$CB$508,$CB224,$CD$9:$CD$508,$CD224,$CF$9:$CF$508,"&lt;"&amp;$CF224)+1))</f>
        <v/>
      </c>
      <c r="CH224" s="100" t="str">
        <f aca="false">IF(ISBLANK($C224),"",IF($BH224&lt;&gt;Constants!$B$4,$BH224,$CC224-$CG224))</f>
        <v/>
      </c>
      <c r="CI224" s="100" t="str">
        <f aca="false">IF(ISBLANK($C224),"",IF(NOT($AJ224),"",IF(ISBLANK($D$7),$CI$5,IF(NOT(ISNUMBER($D$7)),$CI$6,""))))</f>
        <v/>
      </c>
      <c r="CJ224" s="100" t="str">
        <f aca="false">IF(ISBLANK($C224),"",OR($AL224="",$AM224="",$AN224=""))</f>
        <v/>
      </c>
      <c r="CK224" s="100" t="str">
        <f aca="false">IF(ISBLANK($C224),"",AND($AJ224,$AX224=""))</f>
        <v/>
      </c>
      <c r="CL224" s="100" t="str">
        <f aca="false">IF(ISBLANK($C224),"",AND($AJ224,$AY224=""))</f>
        <v/>
      </c>
      <c r="CM224" s="100" t="str">
        <f aca="false">IF(ISBLANK($C224),"",AND($AJ224,$AZ224=""))</f>
        <v/>
      </c>
      <c r="CN224" s="100" t="str">
        <f aca="false">IF(ISBLANK($C224),"",AND($AJ224,$BC224=""))</f>
        <v/>
      </c>
      <c r="CO224" s="100" t="str">
        <f aca="false">IF(ISBLANK($C224),"",AND($AJ224,$BF224=""))</f>
        <v/>
      </c>
      <c r="CP224" s="101"/>
      <c r="CQ224" s="102"/>
      <c r="CR224" s="103" t="str">
        <f aca="false">IF(ISBLANK($C224),"",IF($BH224=Constants!$B$8,$CI224,""))</f>
        <v/>
      </c>
      <c r="CS224" s="102" t="str">
        <f aca="false">IF(ISBLANK($C224),"",IF($BH224&lt;&gt;Constants!$B$4,"",$BK224+$BL224))</f>
        <v/>
      </c>
      <c r="CT224" s="104" t="str">
        <f aca="false">IF(ISBLANK($C224),"",IF($BH224&lt;&gt;Constants!$B$4,"",$BM224+$BN224+$BO224))</f>
        <v/>
      </c>
      <c r="CU224" s="104" t="str">
        <f aca="false">IF(ISBLANK($C224),"",IF($BH224&lt;&gt;Constants!$B$4,"",$BP224))</f>
        <v/>
      </c>
      <c r="CV224" s="104" t="str">
        <f aca="false">IF(ISBLANK($C224),"",IF($BH224&lt;&gt;Constants!$B$4,"",$BQ224+$BR224))</f>
        <v/>
      </c>
      <c r="CW224" s="104" t="str">
        <f aca="false">IF(ISBLANK($C224),"",IF($BH224&lt;&gt;Constants!$B$4,"",$BS224))</f>
        <v/>
      </c>
      <c r="CX224" s="104" t="str">
        <f aca="false">IF(ISBLANK($C224),"",IF($BH224&lt;&gt;Constants!$B$4,"",-$BZ224))</f>
        <v/>
      </c>
      <c r="CY224" s="103" t="str">
        <f aca="false">IF(ISBLANK($C224),"",$CA224)</f>
        <v/>
      </c>
      <c r="CZ224" s="105" t="str">
        <f aca="false">IF(ISBLANK($C224),"",$BI224)</f>
        <v/>
      </c>
      <c r="DA224" s="104" t="str">
        <f aca="false">IF(ISBLANK($C224),"",$CH224)</f>
        <v/>
      </c>
      <c r="DB224" s="104" t="str">
        <f aca="false">IF(ISBLANK($C224),"",$CG224)</f>
        <v/>
      </c>
      <c r="DC224" s="106" t="str">
        <f aca="false">IF(ISBLANK($C224),"",IFERROR(_xlfn.SWITCH($DB224,Constants!$B$7,COUNTA($C$9:$C$508)+2,Constants!$B$6,COUNTA($C$9:$C$508)+1,Constants!$B$5,COUNTA($C$9:$C$508)),$DB224))</f>
        <v/>
      </c>
      <c r="DD224" s="7"/>
      <c r="DE224" s="107" t="n">
        <f aca="false">IF(OR(ISNUMBER($DB224),$DB224=Constants!$B$7,$DB224=Constants!$B$5,$DB224=Constants!$B$6),1,0)</f>
        <v>0</v>
      </c>
      <c r="DF224" s="107" t="n">
        <v>216</v>
      </c>
      <c r="DG224" s="107" t="str">
        <f aca="false">IF(ISBLANK($C224),"",IF(ISNUMBER($DC224),$DC224+ROW($B224)/1000,""))</f>
        <v/>
      </c>
      <c r="DH224" s="107" t="str">
        <f aca="false">IF(ISNUMBER($DG224),RANK($DG224,$DG$9:$DG$508,1),"")</f>
        <v/>
      </c>
      <c r="DI224" s="107" t="str">
        <f aca="false">IF(ISBLANK($C224),"",$B224)</f>
        <v/>
      </c>
      <c r="DJ224" s="107" t="str">
        <f aca="false">IF(ISBLANK($C224),"",$C224)</f>
        <v/>
      </c>
      <c r="DK224" s="107" t="str">
        <f aca="false">IF(ISBLANK($C224),"",$D224)</f>
        <v/>
      </c>
      <c r="DL224" s="108" t="str">
        <f aca="false">$CZ224</f>
        <v/>
      </c>
      <c r="DM224" s="109" t="str">
        <f aca="false">$CY224</f>
        <v/>
      </c>
      <c r="DN224" s="107" t="str">
        <f aca="false">IF(ISBLANK($C224),"",$DB224)</f>
        <v/>
      </c>
      <c r="DO224" s="110" t="str">
        <f aca="false">IF($DF224&gt;$DE$8,"",VLOOKUP($DF224,$DH$9:$DN$508,7,FALSE()))</f>
        <v/>
      </c>
      <c r="DP224" s="111" t="str">
        <f aca="false">IF($DF224&gt;$DE$8,"",VLOOKUP($DF224,$DH$9:$DN$508,2,FALSE()))</f>
        <v/>
      </c>
      <c r="DQ224" s="111" t="str">
        <f aca="false">IF($DF224&gt;$DE$8,"",VLOOKUP($DF224,$DH$9:$DN$508,3,FALSE()))</f>
        <v/>
      </c>
      <c r="DR224" s="111" t="str">
        <f aca="false">IF($DF224&gt;$DE$8,"",VLOOKUP($DF224,$DH$9:$DN$508,4,FALSE()))</f>
        <v/>
      </c>
      <c r="DS224" s="111" t="str">
        <f aca="false">IF($DF224&gt;$DE$8,"",VLOOKUP($DF224,$DH$9:$DN$508,5,FALSE()))</f>
        <v/>
      </c>
      <c r="DT224" s="112" t="str">
        <f aca="false">IF($DF224&gt;$DE$8,"",VLOOKUP($DF224,$DH$9:$DN$508,6,FALSE()))</f>
        <v/>
      </c>
      <c r="DU224" s="62"/>
    </row>
    <row r="225" customFormat="false" ht="15.75" hidden="false" customHeight="false" outlineLevel="0" collapsed="false">
      <c r="A225" s="7"/>
      <c r="B225" s="64"/>
      <c r="C225" s="65"/>
      <c r="D225" s="123"/>
      <c r="E225" s="88"/>
      <c r="F225" s="134"/>
      <c r="G225" s="88"/>
      <c r="H225" s="134"/>
      <c r="I225" s="119"/>
      <c r="J225" s="119"/>
      <c r="K225" s="119"/>
      <c r="L225" s="88"/>
      <c r="M225" s="88"/>
      <c r="N225" s="88"/>
      <c r="O225" s="134"/>
      <c r="P225" s="88"/>
      <c r="Q225" s="88"/>
      <c r="R225" s="88"/>
      <c r="S225" s="88"/>
      <c r="T225" s="134"/>
      <c r="U225" s="88"/>
      <c r="V225" s="70"/>
      <c r="W225" s="88"/>
      <c r="X225" s="88"/>
      <c r="Y225" s="70"/>
      <c r="Z225" s="70"/>
      <c r="AA225" s="88"/>
      <c r="AB225" s="88"/>
      <c r="AC225" s="71"/>
      <c r="AD225" s="88"/>
      <c r="AE225" s="73"/>
      <c r="AF225" s="74"/>
      <c r="AG225" s="74"/>
      <c r="AH225" s="74" t="str">
        <f aca="false">IF(ISBLANK($C225),"",IF($E225=Constants!$B$2,TRUE(),IF($E225=Constants!$B$3,FALSE(),TRUE())))</f>
        <v/>
      </c>
      <c r="AI225" s="74" t="str">
        <f aca="false">IF(ISBLANK($C225),"",IF($F225=Constants!$B$2,TRUE(),IF($F225=Constants!$B$3,FALSE(),FALSE())))</f>
        <v/>
      </c>
      <c r="AJ225" s="74" t="str">
        <f aca="false">IF(ISBLANK($C225),"",IF($G225=Constants!$B$2,TRUE(),IF($G225=Constants!$B$3,FALSE(),TRUE())))</f>
        <v/>
      </c>
      <c r="AK225" s="74" t="str">
        <f aca="false">IF(ISBLANK($C225),"",IF($H225=Constants!$B$2,TRUE(),IF($H225=Constants!$B$3,FALSE(),TRUE())))</f>
        <v/>
      </c>
      <c r="AL225" s="74" t="str">
        <f aca="false">IF(ISBLANK($C225),"",IF(ISNUMBER($I225),IF($I225&gt;=0,$I225,""),""))</f>
        <v/>
      </c>
      <c r="AM225" s="74" t="str">
        <f aca="false">IF(ISBLANK($C225),"",IF(ISNUMBER($J225),IF($J225&gt;=0,$J225,""),""))</f>
        <v/>
      </c>
      <c r="AN225" s="74" t="str">
        <f aca="false">IF(ISBLANK($C225),"",IF(ISNUMBER($K225),IF($K225&gt;=0,$K225,""),""))</f>
        <v/>
      </c>
      <c r="AO225" s="74" t="str">
        <f aca="false">IF(ISBLANK($C225),"",IF($L225=Constants!$B$2,TRUE(),IF($L225=Constants!$B$3,FALSE(),TRUE())))</f>
        <v/>
      </c>
      <c r="AP225" s="74" t="str">
        <f aca="false">IF(ISBLANK($C225),"",IF($M225=Constants!$B$2,TRUE(),IF($M225=Constants!$B$3,FALSE(),TRUE())))</f>
        <v/>
      </c>
      <c r="AQ225" s="74" t="str">
        <f aca="false">IF(ISBLANK($C225),"",IF($N225=Constants!$B$2,TRUE(),IF($N225=Constants!$B$3,FALSE(),FALSE())))</f>
        <v/>
      </c>
      <c r="AR225" s="74" t="str">
        <f aca="false">IF(ISBLANK($C225),"",IF($O225=Constants!$B$2,TRUE(),IF($O225=Constants!$B$3,FALSE(),TRUE())))</f>
        <v/>
      </c>
      <c r="AS225" s="74" t="str">
        <f aca="false">IF(ISBLANK($C225),"",IF($P225=Constants!$B$2,TRUE(),IF($P225=Constants!$B$3,FALSE(),FALSE())))</f>
        <v/>
      </c>
      <c r="AT225" s="74" t="str">
        <f aca="false">IF(ISBLANK($C225),"",IF($Q225=Constants!$B$2,TRUE(),IF($Q225=Constants!$B$3,FALSE(),FALSE())))</f>
        <v/>
      </c>
      <c r="AU225" s="74" t="str">
        <f aca="false">IF(ISBLANK($C225),"",IF($R225=Constants!$B$2,TRUE(),IF($R225=Constants!$B$3,FALSE(),FALSE())))</f>
        <v/>
      </c>
      <c r="AV225" s="74" t="str">
        <f aca="false">IF(ISBLANK($C225),"",IF($S225=Constants!$B$2,TRUE(),IF($S225=Constants!$B$3,FALSE(),FALSE())))</f>
        <v/>
      </c>
      <c r="AW225" s="74" t="str">
        <f aca="false">IF(ISBLANK($C225),"",IF($T225=Constants!$B$2,TRUE(),IF($T225=Constants!$B$3,FALSE(),FALSE())))</f>
        <v/>
      </c>
      <c r="AX225" s="74" t="str">
        <f aca="false">IF(ISBLANK($C225),"",IF(OR($U225&amp;""="1",$U225&amp;""="2",$U225&amp;""="3",$U225&amp;""="4"),VALUE($U225&amp;""),IF($U225=Constants!$B$12,Constants!$B$12,"")))</f>
        <v/>
      </c>
      <c r="AY225" s="74" t="str">
        <f aca="false">IF(ISBLANK($C225),"",IF(ISBLANK($V225),0,IF(ISNUMBER($V225),IF(AND($V225&gt;=0,$V225&lt;=Constants!$B$21,$V225=INT($V225)),$V225,""),"")))</f>
        <v/>
      </c>
      <c r="AZ225" s="74" t="str">
        <f aca="false">IF(ISBLANK($C225),"",IF(ISBLANK($W225),0,IF(ISNUMBER($W225),IF($W225&gt;=0,$W225,""),"")))</f>
        <v/>
      </c>
      <c r="BA225" s="74" t="str">
        <f aca="false">IF(ISBLANK($C225),"",IF($X225=Constants!$B$2,TRUE(),IF($X225=Constants!$B$3,FALSE(),TRUE())))</f>
        <v/>
      </c>
      <c r="BB225" s="74" t="str">
        <f aca="false">IF(ISBLANK($C225),"",IF($Y225=Constants!$B$2,TRUE(),IF($Y225=Constants!$B$3,FALSE(),FALSE())))</f>
        <v/>
      </c>
      <c r="BC225" s="74" t="str">
        <f aca="false">IF(ISBLANK($C225),"",IF(ISBLANK($Z225),0,IF(ISNUMBER($Z225),IF(AND($Z225&gt;=0,$Z225&lt;=Constants!$B$35,$Z225=INT($Z225)),$Z225,""),"")))</f>
        <v/>
      </c>
      <c r="BD225" s="74" t="str">
        <f aca="false">IF(ISBLANK($C225),"",IF($AA225=Constants!$B$2,TRUE(),IF($AA225=Constants!$B$3,FALSE(),TRUE())))</f>
        <v/>
      </c>
      <c r="BE225" s="74" t="str">
        <f aca="false">IF(ISBLANK($C225),"",IF($AB225=Constants!$B$2,TRUE(),IF($AB225=Constants!$B$3,FALSE(),TRUE())))</f>
        <v/>
      </c>
      <c r="BF225" s="74" t="str">
        <f aca="false">IF(ISBLANK($C225),"",IF(ISNUMBER($AC225),IF($AC225&gt;=0,$AC225,""),""))</f>
        <v/>
      </c>
      <c r="BG225" s="74" t="str">
        <f aca="false">IF(ISBLANK($C225),"",IF($AD225=Constants!$B$2,TRUE(),IF($AD225=Constants!$B$3,FALSE(),FALSE())))</f>
        <v/>
      </c>
      <c r="BH225" s="73" t="str">
        <f aca="false">IF(ISBLANK($C225),"",IF($BG225,Constants!$B$7,IF(COUNTA($E225:$AC225)=0,Constants!$B$6,IF(OR(COUNTA($G225:$AC225)=0,NOT($AK225),$AQ225),Constants!$B$5,IF(OR($CI225&lt;&gt;"",$CJ225,$CK225,$CL225,$CM225,$CN225,$CO225),Constants!$B$8,Constants!$B$4)))))</f>
        <v/>
      </c>
      <c r="BI225" s="74" t="str">
        <f aca="false">IF(ISBLANK($C225),"",IF($BH225&lt;&gt;Constants!$B$4,$BH225,IF(OR(NOT($AH225),NOT($AJ225),NOT($AR225)),Constants!$B$11,IF(OR(NOT($AP225),MAX($AL225,$AM225,$AN225)&gt;Constants!$B$30),Constants!$B$10,Constants!$B$9))))</f>
        <v/>
      </c>
      <c r="BJ225" s="74" t="str">
        <f aca="false">IF($BH225&lt;&gt;Constants!$B$4,"",IF(NOT($AJ225),0,MIN(Constants!$B$35,$BC225)))</f>
        <v/>
      </c>
      <c r="BK225" s="74" t="str">
        <f aca="false">IF($BH225&lt;&gt;Constants!$B$4,"",IF(NOT($AJ225),0,IF($AT225,Constants!$B$18,IF($AS225,Constants!$B$17,0))))</f>
        <v/>
      </c>
      <c r="BL225" s="74" t="str">
        <f aca="false">IF($BH225&lt;&gt;Constants!$B$4,"",IF(NOT($AJ225),0,Constants!$B$19*($AI225+$AU225+$AV225+$AW225)))</f>
        <v/>
      </c>
      <c r="BM225" s="74" t="str">
        <f aca="false">IF($BH225&lt;&gt;Constants!$B$4,"",IF(OR(NOT($AJ225),NOT(ISNUMBER($AX225))),0,CHOOSE($AX225,Constants!$B$13,Constants!$B$14,Constants!$B$15,Constants!$B$16)))</f>
        <v/>
      </c>
      <c r="BN225" s="74" t="str">
        <f aca="false">IF($BH225&lt;&gt;Constants!$B$4,"",IF(NOT($AJ225),0,Constants!$B$20*$AY225))</f>
        <v/>
      </c>
      <c r="BO225" s="74" t="str">
        <f aca="false">IF($BH225&lt;&gt;Constants!$B$4,"",IF(AND($AJ225,$BA225,$BB225),Constants!$B$22,0))</f>
        <v/>
      </c>
      <c r="BP225" s="74" t="str">
        <f aca="false">IF($BH225&lt;&gt;Constants!$B$4,"",IF(OR(NOT($AJ225),NOT($BA225)),0,IF($BF225&gt;=2*$AF$9,0,Constants!$B$23*INT(ROUND(MIN($BF225,$AF$9),6)))))</f>
        <v/>
      </c>
      <c r="BQ225" s="74" t="str">
        <f aca="false">IF($BH225&lt;&gt;Constants!$B$4,"",IF(NOT($AJ225),0,Constants!$B$24*INT(ROUND(MIN($AZ225,$AF$9),6))))</f>
        <v/>
      </c>
      <c r="BR225" s="74" t="str">
        <f aca="false">IF($BH225&lt;&gt;Constants!$B$4,"",IF(AND($AJ225,$BJ225=0),Constants!$B$25,0))</f>
        <v/>
      </c>
      <c r="BS225" s="74" t="str">
        <f aca="false">IF($BH225&lt;&gt;Constants!$B$4,"",MIN(Constants!$B$29,MAX(0,Constants!$B$27*Constants!$B$28*INT(ROUND((Constants!$B$26-$AL225)/Constants!$B$28,6))))+MIN(Constants!$B$29,MAX(0,Constants!$B$27*Constants!$B$28*INT(ROUND((Constants!$B$26-$AM225)/Constants!$B$28,6))))+MIN(Constants!$B$29,MAX(0,Constants!$B$27*Constants!$B$28*INT(ROUND((Constants!$B$26-$AN225)/Constants!$B$28,6)))))</f>
        <v/>
      </c>
      <c r="BT225" s="74" t="str">
        <f aca="false">IF($BH225&lt;&gt;Constants!$B$4,"",IF(NOT($AJ225),0,Constants!$B$31*INT(ROUND(MAX(0,MIN($BF225,2*$AF$9)-$AF$9),6))))</f>
        <v/>
      </c>
      <c r="BU225" s="74" t="str">
        <f aca="false">IF($BH225&lt;&gt;Constants!$B$4,"",Constants!$B$32*(($AL225&gt;Constants!$B$26)+($AM225&gt;Constants!$B$26)+($AN225&gt;Constants!$B$26)))</f>
        <v/>
      </c>
      <c r="BV225" s="74" t="str">
        <f aca="false">IF($BH225&lt;&gt;Constants!$B$4,"",IF(OR(NOT($AJ225),$AO225),0,Constants!$B$33))</f>
        <v/>
      </c>
      <c r="BW225" s="74" t="str">
        <f aca="false">IF($BH225&lt;&gt;Constants!$B$4,"",Constants!$B$34*$BJ225)</f>
        <v/>
      </c>
      <c r="BX225" s="74" t="str">
        <f aca="false">IF($BH225&lt;&gt;Constants!$B$4,"",IF(OR(NOT($AJ225),$BE225),0,Constants!$B$36))</f>
        <v/>
      </c>
      <c r="BY225" s="74" t="str">
        <f aca="false">IF($BH225&lt;&gt;Constants!$B$4,"",IF(OR(NOT($AJ225),$BD225),0,Constants!$B$37))</f>
        <v/>
      </c>
      <c r="BZ225" s="74" t="str">
        <f aca="false">IF($BH225&lt;&gt;Constants!$B$4,"",SUM($BT225:$BY225))</f>
        <v/>
      </c>
      <c r="CA225" s="74" t="str">
        <f aca="false">IF(ISBLANK($C225),"",IF($BH225&lt;&gt;Constants!$B$4,$BH225,SUM($BK225:$BS225)-$BZ225))</f>
        <v/>
      </c>
      <c r="CB225" s="74" t="str">
        <f aca="false">IF(ISBLANK($C225),"",IF($BH225&lt;&gt;Constants!$B$4,$BH225,RANK($CA225,$CA$9:$CA$508)))</f>
        <v/>
      </c>
      <c r="CC225" s="74" t="str">
        <f aca="false">IF(ISBLANK($C225),"",IF($BH225&lt;&gt;Constants!$B$4,$BH225,COUNTIFS($BI$9:$BI$508,"&lt;"&amp;$BI225)+COUNTIFS($BI$9:$BI$508,$BI225,$CB$9:$CB$508,"&lt;"&amp;$CB225)+1))</f>
        <v/>
      </c>
      <c r="CD225" s="74" t="str">
        <f aca="false">IF(ISBLANK($C225),"",IF($BH225&lt;&gt;Constants!$B$4,$BH225,RANK($BZ225,$BZ$9:$BZ$508,1)))</f>
        <v/>
      </c>
      <c r="CE225" s="74" t="str">
        <f aca="false">IF($BH225&lt;&gt;Constants!$B$4,"",$AL225+$AM225+$AN225)</f>
        <v/>
      </c>
      <c r="CF225" s="74" t="str">
        <f aca="false">IF(ISBLANK($C225),"",IF($BH225&lt;&gt;Constants!$B$4,$BH225,RANK($CE225,$CE$9:$CE$508,1)))</f>
        <v/>
      </c>
      <c r="CG225" s="74" t="str">
        <f aca="false">IF(ISBLANK($C225),"",IF($BH225&lt;&gt;Constants!$B$4,$BH225,COUNTIFS($BI$9:$BI$508,"&lt;"&amp;$BI225)+COUNTIFS($BI$9:$BI$508,$BI225,$CB$9:$CB$508,"&lt;"&amp;$CB225)+COUNTIFS($BI$9:$BI$508,$BI225,$CB$9:$CB$508,$CB225,$CD$9:$CD$508,"&lt;"&amp;$CD225)+COUNTIFS($BI$9:$BI$508,$BI225,$CB$9:$CB$508,$CB225,$CD$9:$CD$508,$CD225,$CF$9:$CF$508,"&lt;"&amp;$CF225)+1))</f>
        <v/>
      </c>
      <c r="CH225" s="74" t="str">
        <f aca="false">IF(ISBLANK($C225),"",IF($BH225&lt;&gt;Constants!$B$4,$BH225,$CC225-$CG225))</f>
        <v/>
      </c>
      <c r="CI225" s="74" t="str">
        <f aca="false">IF(ISBLANK($C225),"",IF(NOT($AJ225),"",IF(ISBLANK($D$7),$CI$5,IF(NOT(ISNUMBER($D$7)),$CI$6,""))))</f>
        <v/>
      </c>
      <c r="CJ225" s="74" t="str">
        <f aca="false">IF(ISBLANK($C225),"",OR($AL225="",$AM225="",$AN225=""))</f>
        <v/>
      </c>
      <c r="CK225" s="74" t="str">
        <f aca="false">IF(ISBLANK($C225),"",AND($AJ225,$AX225=""))</f>
        <v/>
      </c>
      <c r="CL225" s="74" t="str">
        <f aca="false">IF(ISBLANK($C225),"",AND($AJ225,$AY225=""))</f>
        <v/>
      </c>
      <c r="CM225" s="74" t="str">
        <f aca="false">IF(ISBLANK($C225),"",AND($AJ225,$AZ225=""))</f>
        <v/>
      </c>
      <c r="CN225" s="74" t="str">
        <f aca="false">IF(ISBLANK($C225),"",AND($AJ225,$BC225=""))</f>
        <v/>
      </c>
      <c r="CO225" s="74" t="str">
        <f aca="false">IF(ISBLANK($C225),"",AND($AJ225,$BF225=""))</f>
        <v/>
      </c>
      <c r="CP225" s="75"/>
      <c r="CQ225" s="76"/>
      <c r="CR225" s="79" t="str">
        <f aca="false">IF(ISBLANK($C225),"",IF($BH225=Constants!$B$8,$CI225,""))</f>
        <v/>
      </c>
      <c r="CS225" s="76" t="str">
        <f aca="false">IF(ISBLANK($C225),"",IF($BH225&lt;&gt;Constants!$B$4,"",$BK225+$BL225))</f>
        <v/>
      </c>
      <c r="CT225" s="78" t="str">
        <f aca="false">IF(ISBLANK($C225),"",IF($BH225&lt;&gt;Constants!$B$4,"",$BM225+$BN225+$BO225))</f>
        <v/>
      </c>
      <c r="CU225" s="78" t="str">
        <f aca="false">IF(ISBLANK($C225),"",IF($BH225&lt;&gt;Constants!$B$4,"",$BP225))</f>
        <v/>
      </c>
      <c r="CV225" s="78" t="str">
        <f aca="false">IF(ISBLANK($C225),"",IF($BH225&lt;&gt;Constants!$B$4,"",$BQ225+$BR225))</f>
        <v/>
      </c>
      <c r="CW225" s="78" t="str">
        <f aca="false">IF(ISBLANK($C225),"",IF($BH225&lt;&gt;Constants!$B$4,"",$BS225))</f>
        <v/>
      </c>
      <c r="CX225" s="78" t="str">
        <f aca="false">IF(ISBLANK($C225),"",IF($BH225&lt;&gt;Constants!$B$4,"",-$BZ225))</f>
        <v/>
      </c>
      <c r="CY225" s="79" t="str">
        <f aca="false">IF(ISBLANK($C225),"",$CA225)</f>
        <v/>
      </c>
      <c r="CZ225" s="80" t="str">
        <f aca="false">IF(ISBLANK($C225),"",$BI225)</f>
        <v/>
      </c>
      <c r="DA225" s="78" t="str">
        <f aca="false">IF(ISBLANK($C225),"",$CH225)</f>
        <v/>
      </c>
      <c r="DB225" s="78" t="str">
        <f aca="false">IF(ISBLANK($C225),"",$CG225)</f>
        <v/>
      </c>
      <c r="DC225" s="81" t="str">
        <f aca="false">IF(ISBLANK($C225),"",IFERROR(_xlfn.SWITCH($DB225,Constants!$B$7,COUNTA($C$9:$C$508)+2,Constants!$B$6,COUNTA($C$9:$C$508)+1,Constants!$B$5,COUNTA($C$9:$C$508)),$DB225))</f>
        <v/>
      </c>
      <c r="DD225" s="7"/>
      <c r="DE225" s="82" t="n">
        <f aca="false">IF(OR(ISNUMBER($DB225),$DB225=Constants!$B$7,$DB225=Constants!$B$5,$DB225=Constants!$B$6),1,0)</f>
        <v>0</v>
      </c>
      <c r="DF225" s="82" t="n">
        <v>217</v>
      </c>
      <c r="DG225" s="82" t="str">
        <f aca="false">IF(ISBLANK($C225),"",IF(ISNUMBER($DC225),$DC225+ROW($B225)/1000,""))</f>
        <v/>
      </c>
      <c r="DH225" s="82" t="str">
        <f aca="false">IF(ISNUMBER($DG225),RANK($DG225,$DG$9:$DG$508,1),"")</f>
        <v/>
      </c>
      <c r="DI225" s="82" t="str">
        <f aca="false">IF(ISBLANK($C225),"",$B225)</f>
        <v/>
      </c>
      <c r="DJ225" s="82" t="str">
        <f aca="false">IF(ISBLANK($C225),"",$C225)</f>
        <v/>
      </c>
      <c r="DK225" s="82" t="str">
        <f aca="false">IF(ISBLANK($C225),"",$D225)</f>
        <v/>
      </c>
      <c r="DL225" s="83" t="str">
        <f aca="false">$CZ225</f>
        <v/>
      </c>
      <c r="DM225" s="84" t="str">
        <f aca="false">$CY225</f>
        <v/>
      </c>
      <c r="DN225" s="82" t="str">
        <f aca="false">IF(ISBLANK($C225),"",$DB225)</f>
        <v/>
      </c>
      <c r="DO225" s="85" t="str">
        <f aca="false">IF($DF225&gt;$DE$8,"",VLOOKUP($DF225,$DH$9:$DN$508,7,FALSE()))</f>
        <v/>
      </c>
      <c r="DP225" s="86" t="str">
        <f aca="false">IF($DF225&gt;$DE$8,"",VLOOKUP($DF225,$DH$9:$DN$508,2,FALSE()))</f>
        <v/>
      </c>
      <c r="DQ225" s="86" t="str">
        <f aca="false">IF($DF225&gt;$DE$8,"",VLOOKUP($DF225,$DH$9:$DN$508,3,FALSE()))</f>
        <v/>
      </c>
      <c r="DR225" s="86" t="str">
        <f aca="false">IF($DF225&gt;$DE$8,"",VLOOKUP($DF225,$DH$9:$DN$508,4,FALSE()))</f>
        <v/>
      </c>
      <c r="DS225" s="86" t="str">
        <f aca="false">IF($DF225&gt;$DE$8,"",VLOOKUP($DF225,$DH$9:$DN$508,5,FALSE()))</f>
        <v/>
      </c>
      <c r="DT225" s="87" t="str">
        <f aca="false">IF($DF225&gt;$DE$8,"",VLOOKUP($DF225,$DH$9:$DN$508,6,FALSE()))</f>
        <v/>
      </c>
      <c r="DU225" s="62"/>
    </row>
    <row r="226" customFormat="false" ht="15.75" hidden="false" customHeight="false" outlineLevel="0" collapsed="false">
      <c r="A226" s="7"/>
      <c r="B226" s="64"/>
      <c r="C226" s="65"/>
      <c r="D226" s="123"/>
      <c r="E226" s="88"/>
      <c r="F226" s="134"/>
      <c r="G226" s="88"/>
      <c r="H226" s="134"/>
      <c r="I226" s="119"/>
      <c r="J226" s="119"/>
      <c r="K226" s="119"/>
      <c r="L226" s="88"/>
      <c r="M226" s="88"/>
      <c r="N226" s="88"/>
      <c r="O226" s="134"/>
      <c r="P226" s="88"/>
      <c r="Q226" s="88"/>
      <c r="R226" s="88"/>
      <c r="S226" s="88"/>
      <c r="T226" s="134"/>
      <c r="U226" s="88"/>
      <c r="V226" s="70"/>
      <c r="W226" s="88"/>
      <c r="X226" s="88"/>
      <c r="Y226" s="70"/>
      <c r="Z226" s="70"/>
      <c r="AA226" s="88"/>
      <c r="AB226" s="88"/>
      <c r="AC226" s="71"/>
      <c r="AD226" s="88"/>
      <c r="AE226" s="73"/>
      <c r="AF226" s="74"/>
      <c r="AG226" s="74"/>
      <c r="AH226" s="74" t="str">
        <f aca="false">IF(ISBLANK($C226),"",IF($E226=Constants!$B$2,TRUE(),IF($E226=Constants!$B$3,FALSE(),TRUE())))</f>
        <v/>
      </c>
      <c r="AI226" s="74" t="str">
        <f aca="false">IF(ISBLANK($C226),"",IF($F226=Constants!$B$2,TRUE(),IF($F226=Constants!$B$3,FALSE(),FALSE())))</f>
        <v/>
      </c>
      <c r="AJ226" s="74" t="str">
        <f aca="false">IF(ISBLANK($C226),"",IF($G226=Constants!$B$2,TRUE(),IF($G226=Constants!$B$3,FALSE(),TRUE())))</f>
        <v/>
      </c>
      <c r="AK226" s="74" t="str">
        <f aca="false">IF(ISBLANK($C226),"",IF($H226=Constants!$B$2,TRUE(),IF($H226=Constants!$B$3,FALSE(),TRUE())))</f>
        <v/>
      </c>
      <c r="AL226" s="74" t="str">
        <f aca="false">IF(ISBLANK($C226),"",IF(ISNUMBER($I226),IF($I226&gt;=0,$I226,""),""))</f>
        <v/>
      </c>
      <c r="AM226" s="74" t="str">
        <f aca="false">IF(ISBLANK($C226),"",IF(ISNUMBER($J226),IF($J226&gt;=0,$J226,""),""))</f>
        <v/>
      </c>
      <c r="AN226" s="74" t="str">
        <f aca="false">IF(ISBLANK($C226),"",IF(ISNUMBER($K226),IF($K226&gt;=0,$K226,""),""))</f>
        <v/>
      </c>
      <c r="AO226" s="74" t="str">
        <f aca="false">IF(ISBLANK($C226),"",IF($L226=Constants!$B$2,TRUE(),IF($L226=Constants!$B$3,FALSE(),TRUE())))</f>
        <v/>
      </c>
      <c r="AP226" s="74" t="str">
        <f aca="false">IF(ISBLANK($C226),"",IF($M226=Constants!$B$2,TRUE(),IF($M226=Constants!$B$3,FALSE(),TRUE())))</f>
        <v/>
      </c>
      <c r="AQ226" s="74" t="str">
        <f aca="false">IF(ISBLANK($C226),"",IF($N226=Constants!$B$2,TRUE(),IF($N226=Constants!$B$3,FALSE(),FALSE())))</f>
        <v/>
      </c>
      <c r="AR226" s="74" t="str">
        <f aca="false">IF(ISBLANK($C226),"",IF($O226=Constants!$B$2,TRUE(),IF($O226=Constants!$B$3,FALSE(),TRUE())))</f>
        <v/>
      </c>
      <c r="AS226" s="74" t="str">
        <f aca="false">IF(ISBLANK($C226),"",IF($P226=Constants!$B$2,TRUE(),IF($P226=Constants!$B$3,FALSE(),FALSE())))</f>
        <v/>
      </c>
      <c r="AT226" s="74" t="str">
        <f aca="false">IF(ISBLANK($C226),"",IF($Q226=Constants!$B$2,TRUE(),IF($Q226=Constants!$B$3,FALSE(),FALSE())))</f>
        <v/>
      </c>
      <c r="AU226" s="74" t="str">
        <f aca="false">IF(ISBLANK($C226),"",IF($R226=Constants!$B$2,TRUE(),IF($R226=Constants!$B$3,FALSE(),FALSE())))</f>
        <v/>
      </c>
      <c r="AV226" s="74" t="str">
        <f aca="false">IF(ISBLANK($C226),"",IF($S226=Constants!$B$2,TRUE(),IF($S226=Constants!$B$3,FALSE(),FALSE())))</f>
        <v/>
      </c>
      <c r="AW226" s="74" t="str">
        <f aca="false">IF(ISBLANK($C226),"",IF($T226=Constants!$B$2,TRUE(),IF($T226=Constants!$B$3,FALSE(),FALSE())))</f>
        <v/>
      </c>
      <c r="AX226" s="74" t="str">
        <f aca="false">IF(ISBLANK($C226),"",IF(OR($U226&amp;""="1",$U226&amp;""="2",$U226&amp;""="3",$U226&amp;""="4"),VALUE($U226&amp;""),IF($U226=Constants!$B$12,Constants!$B$12,"")))</f>
        <v/>
      </c>
      <c r="AY226" s="74" t="str">
        <f aca="false">IF(ISBLANK($C226),"",IF(ISBLANK($V226),0,IF(ISNUMBER($V226),IF(AND($V226&gt;=0,$V226&lt;=Constants!$B$21,$V226=INT($V226)),$V226,""),"")))</f>
        <v/>
      </c>
      <c r="AZ226" s="74" t="str">
        <f aca="false">IF(ISBLANK($C226),"",IF(ISBLANK($W226),0,IF(ISNUMBER($W226),IF($W226&gt;=0,$W226,""),"")))</f>
        <v/>
      </c>
      <c r="BA226" s="74" t="str">
        <f aca="false">IF(ISBLANK($C226),"",IF($X226=Constants!$B$2,TRUE(),IF($X226=Constants!$B$3,FALSE(),TRUE())))</f>
        <v/>
      </c>
      <c r="BB226" s="74" t="str">
        <f aca="false">IF(ISBLANK($C226),"",IF($Y226=Constants!$B$2,TRUE(),IF($Y226=Constants!$B$3,FALSE(),FALSE())))</f>
        <v/>
      </c>
      <c r="BC226" s="74" t="str">
        <f aca="false">IF(ISBLANK($C226),"",IF(ISBLANK($Z226),0,IF(ISNUMBER($Z226),IF(AND($Z226&gt;=0,$Z226&lt;=Constants!$B$35,$Z226=INT($Z226)),$Z226,""),"")))</f>
        <v/>
      </c>
      <c r="BD226" s="74" t="str">
        <f aca="false">IF(ISBLANK($C226),"",IF($AA226=Constants!$B$2,TRUE(),IF($AA226=Constants!$B$3,FALSE(),TRUE())))</f>
        <v/>
      </c>
      <c r="BE226" s="74" t="str">
        <f aca="false">IF(ISBLANK($C226),"",IF($AB226=Constants!$B$2,TRUE(),IF($AB226=Constants!$B$3,FALSE(),TRUE())))</f>
        <v/>
      </c>
      <c r="BF226" s="74" t="str">
        <f aca="false">IF(ISBLANK($C226),"",IF(ISNUMBER($AC226),IF($AC226&gt;=0,$AC226,""),""))</f>
        <v/>
      </c>
      <c r="BG226" s="74" t="str">
        <f aca="false">IF(ISBLANK($C226),"",IF($AD226=Constants!$B$2,TRUE(),IF($AD226=Constants!$B$3,FALSE(),FALSE())))</f>
        <v/>
      </c>
      <c r="BH226" s="73" t="str">
        <f aca="false">IF(ISBLANK($C226),"",IF($BG226,Constants!$B$7,IF(COUNTA($E226:$AC226)=0,Constants!$B$6,IF(OR(COUNTA($G226:$AC226)=0,NOT($AK226),$AQ226),Constants!$B$5,IF(OR($CI226&lt;&gt;"",$CJ226,$CK226,$CL226,$CM226,$CN226,$CO226),Constants!$B$8,Constants!$B$4)))))</f>
        <v/>
      </c>
      <c r="BI226" s="74" t="str">
        <f aca="false">IF(ISBLANK($C226),"",IF($BH226&lt;&gt;Constants!$B$4,$BH226,IF(OR(NOT($AH226),NOT($AJ226),NOT($AR226)),Constants!$B$11,IF(OR(NOT($AP226),MAX($AL226,$AM226,$AN226)&gt;Constants!$B$30),Constants!$B$10,Constants!$B$9))))</f>
        <v/>
      </c>
      <c r="BJ226" s="74" t="str">
        <f aca="false">IF($BH226&lt;&gt;Constants!$B$4,"",IF(NOT($AJ226),0,MIN(Constants!$B$35,$BC226)))</f>
        <v/>
      </c>
      <c r="BK226" s="74" t="str">
        <f aca="false">IF($BH226&lt;&gt;Constants!$B$4,"",IF(NOT($AJ226),0,IF($AT226,Constants!$B$18,IF($AS226,Constants!$B$17,0))))</f>
        <v/>
      </c>
      <c r="BL226" s="74" t="str">
        <f aca="false">IF($BH226&lt;&gt;Constants!$B$4,"",IF(NOT($AJ226),0,Constants!$B$19*($AI226+$AU226+$AV226+$AW226)))</f>
        <v/>
      </c>
      <c r="BM226" s="74" t="str">
        <f aca="false">IF($BH226&lt;&gt;Constants!$B$4,"",IF(OR(NOT($AJ226),NOT(ISNUMBER($AX226))),0,CHOOSE($AX226,Constants!$B$13,Constants!$B$14,Constants!$B$15,Constants!$B$16)))</f>
        <v/>
      </c>
      <c r="BN226" s="74" t="str">
        <f aca="false">IF($BH226&lt;&gt;Constants!$B$4,"",IF(NOT($AJ226),0,Constants!$B$20*$AY226))</f>
        <v/>
      </c>
      <c r="BO226" s="74" t="str">
        <f aca="false">IF($BH226&lt;&gt;Constants!$B$4,"",IF(AND($AJ226,$BA226,$BB226),Constants!$B$22,0))</f>
        <v/>
      </c>
      <c r="BP226" s="74" t="str">
        <f aca="false">IF($BH226&lt;&gt;Constants!$B$4,"",IF(OR(NOT($AJ226),NOT($BA226)),0,IF($BF226&gt;=2*$AF$9,0,Constants!$B$23*INT(ROUND(MIN($BF226,$AF$9),6)))))</f>
        <v/>
      </c>
      <c r="BQ226" s="74" t="str">
        <f aca="false">IF($BH226&lt;&gt;Constants!$B$4,"",IF(NOT($AJ226),0,Constants!$B$24*INT(ROUND(MIN($AZ226,$AF$9),6))))</f>
        <v/>
      </c>
      <c r="BR226" s="74" t="str">
        <f aca="false">IF($BH226&lt;&gt;Constants!$B$4,"",IF(AND($AJ226,$BJ226=0),Constants!$B$25,0))</f>
        <v/>
      </c>
      <c r="BS226" s="74" t="str">
        <f aca="false">IF($BH226&lt;&gt;Constants!$B$4,"",MIN(Constants!$B$29,MAX(0,Constants!$B$27*Constants!$B$28*INT(ROUND((Constants!$B$26-$AL226)/Constants!$B$28,6))))+MIN(Constants!$B$29,MAX(0,Constants!$B$27*Constants!$B$28*INT(ROUND((Constants!$B$26-$AM226)/Constants!$B$28,6))))+MIN(Constants!$B$29,MAX(0,Constants!$B$27*Constants!$B$28*INT(ROUND((Constants!$B$26-$AN226)/Constants!$B$28,6)))))</f>
        <v/>
      </c>
      <c r="BT226" s="74" t="str">
        <f aca="false">IF($BH226&lt;&gt;Constants!$B$4,"",IF(NOT($AJ226),0,Constants!$B$31*INT(ROUND(MAX(0,MIN($BF226,2*$AF$9)-$AF$9),6))))</f>
        <v/>
      </c>
      <c r="BU226" s="74" t="str">
        <f aca="false">IF($BH226&lt;&gt;Constants!$B$4,"",Constants!$B$32*(($AL226&gt;Constants!$B$26)+($AM226&gt;Constants!$B$26)+($AN226&gt;Constants!$B$26)))</f>
        <v/>
      </c>
      <c r="BV226" s="74" t="str">
        <f aca="false">IF($BH226&lt;&gt;Constants!$B$4,"",IF(OR(NOT($AJ226),$AO226),0,Constants!$B$33))</f>
        <v/>
      </c>
      <c r="BW226" s="74" t="str">
        <f aca="false">IF($BH226&lt;&gt;Constants!$B$4,"",Constants!$B$34*$BJ226)</f>
        <v/>
      </c>
      <c r="BX226" s="74" t="str">
        <f aca="false">IF($BH226&lt;&gt;Constants!$B$4,"",IF(OR(NOT($AJ226),$BE226),0,Constants!$B$36))</f>
        <v/>
      </c>
      <c r="BY226" s="74" t="str">
        <f aca="false">IF($BH226&lt;&gt;Constants!$B$4,"",IF(OR(NOT($AJ226),$BD226),0,Constants!$B$37))</f>
        <v/>
      </c>
      <c r="BZ226" s="74" t="str">
        <f aca="false">IF($BH226&lt;&gt;Constants!$B$4,"",SUM($BT226:$BY226))</f>
        <v/>
      </c>
      <c r="CA226" s="74" t="str">
        <f aca="false">IF(ISBLANK($C226),"",IF($BH226&lt;&gt;Constants!$B$4,$BH226,SUM($BK226:$BS226)-$BZ226))</f>
        <v/>
      </c>
      <c r="CB226" s="74" t="str">
        <f aca="false">IF(ISBLANK($C226),"",IF($BH226&lt;&gt;Constants!$B$4,$BH226,RANK($CA226,$CA$9:$CA$508)))</f>
        <v/>
      </c>
      <c r="CC226" s="74" t="str">
        <f aca="false">IF(ISBLANK($C226),"",IF($BH226&lt;&gt;Constants!$B$4,$BH226,COUNTIFS($BI$9:$BI$508,"&lt;"&amp;$BI226)+COUNTIFS($BI$9:$BI$508,$BI226,$CB$9:$CB$508,"&lt;"&amp;$CB226)+1))</f>
        <v/>
      </c>
      <c r="CD226" s="74" t="str">
        <f aca="false">IF(ISBLANK($C226),"",IF($BH226&lt;&gt;Constants!$B$4,$BH226,RANK($BZ226,$BZ$9:$BZ$508,1)))</f>
        <v/>
      </c>
      <c r="CE226" s="74" t="str">
        <f aca="false">IF($BH226&lt;&gt;Constants!$B$4,"",$AL226+$AM226+$AN226)</f>
        <v/>
      </c>
      <c r="CF226" s="74" t="str">
        <f aca="false">IF(ISBLANK($C226),"",IF($BH226&lt;&gt;Constants!$B$4,$BH226,RANK($CE226,$CE$9:$CE$508,1)))</f>
        <v/>
      </c>
      <c r="CG226" s="74" t="str">
        <f aca="false">IF(ISBLANK($C226),"",IF($BH226&lt;&gt;Constants!$B$4,$BH226,COUNTIFS($BI$9:$BI$508,"&lt;"&amp;$BI226)+COUNTIFS($BI$9:$BI$508,$BI226,$CB$9:$CB$508,"&lt;"&amp;$CB226)+COUNTIFS($BI$9:$BI$508,$BI226,$CB$9:$CB$508,$CB226,$CD$9:$CD$508,"&lt;"&amp;$CD226)+COUNTIFS($BI$9:$BI$508,$BI226,$CB$9:$CB$508,$CB226,$CD$9:$CD$508,$CD226,$CF$9:$CF$508,"&lt;"&amp;$CF226)+1))</f>
        <v/>
      </c>
      <c r="CH226" s="74" t="str">
        <f aca="false">IF(ISBLANK($C226),"",IF($BH226&lt;&gt;Constants!$B$4,$BH226,$CC226-$CG226))</f>
        <v/>
      </c>
      <c r="CI226" s="74" t="str">
        <f aca="false">IF(ISBLANK($C226),"",IF(NOT($AJ226),"",IF(ISBLANK($D$7),$CI$5,IF(NOT(ISNUMBER($D$7)),$CI$6,""))))</f>
        <v/>
      </c>
      <c r="CJ226" s="74" t="str">
        <f aca="false">IF(ISBLANK($C226),"",OR($AL226="",$AM226="",$AN226=""))</f>
        <v/>
      </c>
      <c r="CK226" s="74" t="str">
        <f aca="false">IF(ISBLANK($C226),"",AND($AJ226,$AX226=""))</f>
        <v/>
      </c>
      <c r="CL226" s="74" t="str">
        <f aca="false">IF(ISBLANK($C226),"",AND($AJ226,$AY226=""))</f>
        <v/>
      </c>
      <c r="CM226" s="74" t="str">
        <f aca="false">IF(ISBLANK($C226),"",AND($AJ226,$AZ226=""))</f>
        <v/>
      </c>
      <c r="CN226" s="74" t="str">
        <f aca="false">IF(ISBLANK($C226),"",AND($AJ226,$BC226=""))</f>
        <v/>
      </c>
      <c r="CO226" s="74" t="str">
        <f aca="false">IF(ISBLANK($C226),"",AND($AJ226,$BF226=""))</f>
        <v/>
      </c>
      <c r="CP226" s="75"/>
      <c r="CQ226" s="76"/>
      <c r="CR226" s="79" t="str">
        <f aca="false">IF(ISBLANK($C226),"",IF($BH226=Constants!$B$8,$CI226,""))</f>
        <v/>
      </c>
      <c r="CS226" s="76" t="str">
        <f aca="false">IF(ISBLANK($C226),"",IF($BH226&lt;&gt;Constants!$B$4,"",$BK226+$BL226))</f>
        <v/>
      </c>
      <c r="CT226" s="78" t="str">
        <f aca="false">IF(ISBLANK($C226),"",IF($BH226&lt;&gt;Constants!$B$4,"",$BM226+$BN226+$BO226))</f>
        <v/>
      </c>
      <c r="CU226" s="78" t="str">
        <f aca="false">IF(ISBLANK($C226),"",IF($BH226&lt;&gt;Constants!$B$4,"",$BP226))</f>
        <v/>
      </c>
      <c r="CV226" s="78" t="str">
        <f aca="false">IF(ISBLANK($C226),"",IF($BH226&lt;&gt;Constants!$B$4,"",$BQ226+$BR226))</f>
        <v/>
      </c>
      <c r="CW226" s="78" t="str">
        <f aca="false">IF(ISBLANK($C226),"",IF($BH226&lt;&gt;Constants!$B$4,"",$BS226))</f>
        <v/>
      </c>
      <c r="CX226" s="78" t="str">
        <f aca="false">IF(ISBLANK($C226),"",IF($BH226&lt;&gt;Constants!$B$4,"",-$BZ226))</f>
        <v/>
      </c>
      <c r="CY226" s="79" t="str">
        <f aca="false">IF(ISBLANK($C226),"",$CA226)</f>
        <v/>
      </c>
      <c r="CZ226" s="80" t="str">
        <f aca="false">IF(ISBLANK($C226),"",$BI226)</f>
        <v/>
      </c>
      <c r="DA226" s="78" t="str">
        <f aca="false">IF(ISBLANK($C226),"",$CH226)</f>
        <v/>
      </c>
      <c r="DB226" s="78" t="str">
        <f aca="false">IF(ISBLANK($C226),"",$CG226)</f>
        <v/>
      </c>
      <c r="DC226" s="81" t="str">
        <f aca="false">IF(ISBLANK($C226),"",IFERROR(_xlfn.SWITCH($DB226,Constants!$B$7,COUNTA($C$9:$C$508)+2,Constants!$B$6,COUNTA($C$9:$C$508)+1,Constants!$B$5,COUNTA($C$9:$C$508)),$DB226))</f>
        <v/>
      </c>
      <c r="DD226" s="7"/>
      <c r="DE226" s="82" t="n">
        <f aca="false">IF(OR(ISNUMBER($DB226),$DB226=Constants!$B$7,$DB226=Constants!$B$5,$DB226=Constants!$B$6),1,0)</f>
        <v>0</v>
      </c>
      <c r="DF226" s="82" t="n">
        <v>218</v>
      </c>
      <c r="DG226" s="82" t="str">
        <f aca="false">IF(ISBLANK($C226),"",IF(ISNUMBER($DC226),$DC226+ROW($B226)/1000,""))</f>
        <v/>
      </c>
      <c r="DH226" s="82" t="str">
        <f aca="false">IF(ISNUMBER($DG226),RANK($DG226,$DG$9:$DG$508,1),"")</f>
        <v/>
      </c>
      <c r="DI226" s="82" t="str">
        <f aca="false">IF(ISBLANK($C226),"",$B226)</f>
        <v/>
      </c>
      <c r="DJ226" s="82" t="str">
        <f aca="false">IF(ISBLANK($C226),"",$C226)</f>
        <v/>
      </c>
      <c r="DK226" s="82" t="str">
        <f aca="false">IF(ISBLANK($C226),"",$D226)</f>
        <v/>
      </c>
      <c r="DL226" s="83" t="str">
        <f aca="false">$CZ226</f>
        <v/>
      </c>
      <c r="DM226" s="84" t="str">
        <f aca="false">$CY226</f>
        <v/>
      </c>
      <c r="DN226" s="82" t="str">
        <f aca="false">IF(ISBLANK($C226),"",$DB226)</f>
        <v/>
      </c>
      <c r="DO226" s="85" t="str">
        <f aca="false">IF($DF226&gt;$DE$8,"",VLOOKUP($DF226,$DH$9:$DN$508,7,FALSE()))</f>
        <v/>
      </c>
      <c r="DP226" s="86" t="str">
        <f aca="false">IF($DF226&gt;$DE$8,"",VLOOKUP($DF226,$DH$9:$DN$508,2,FALSE()))</f>
        <v/>
      </c>
      <c r="DQ226" s="86" t="str">
        <f aca="false">IF($DF226&gt;$DE$8,"",VLOOKUP($DF226,$DH$9:$DN$508,3,FALSE()))</f>
        <v/>
      </c>
      <c r="DR226" s="86" t="str">
        <f aca="false">IF($DF226&gt;$DE$8,"",VLOOKUP($DF226,$DH$9:$DN$508,4,FALSE()))</f>
        <v/>
      </c>
      <c r="DS226" s="86" t="str">
        <f aca="false">IF($DF226&gt;$DE$8,"",VLOOKUP($DF226,$DH$9:$DN$508,5,FALSE()))</f>
        <v/>
      </c>
      <c r="DT226" s="87" t="str">
        <f aca="false">IF($DF226&gt;$DE$8,"",VLOOKUP($DF226,$DH$9:$DN$508,6,FALSE()))</f>
        <v/>
      </c>
      <c r="DU226" s="62"/>
    </row>
    <row r="227" customFormat="false" ht="15.75" hidden="false" customHeight="false" outlineLevel="0" collapsed="false">
      <c r="A227" s="7"/>
      <c r="B227" s="64"/>
      <c r="C227" s="65"/>
      <c r="D227" s="123"/>
      <c r="E227" s="88"/>
      <c r="F227" s="134"/>
      <c r="G227" s="88"/>
      <c r="H227" s="134"/>
      <c r="I227" s="119"/>
      <c r="J227" s="119"/>
      <c r="K227" s="119"/>
      <c r="L227" s="88"/>
      <c r="M227" s="88"/>
      <c r="N227" s="88"/>
      <c r="O227" s="134"/>
      <c r="P227" s="88"/>
      <c r="Q227" s="88"/>
      <c r="R227" s="88"/>
      <c r="S227" s="88"/>
      <c r="T227" s="134"/>
      <c r="U227" s="88"/>
      <c r="V227" s="70"/>
      <c r="W227" s="88"/>
      <c r="X227" s="88"/>
      <c r="Y227" s="70"/>
      <c r="Z227" s="70"/>
      <c r="AA227" s="88"/>
      <c r="AB227" s="88"/>
      <c r="AC227" s="71"/>
      <c r="AD227" s="88"/>
      <c r="AE227" s="73"/>
      <c r="AF227" s="74"/>
      <c r="AG227" s="74"/>
      <c r="AH227" s="74" t="str">
        <f aca="false">IF(ISBLANK($C227),"",IF($E227=Constants!$B$2,TRUE(),IF($E227=Constants!$B$3,FALSE(),TRUE())))</f>
        <v/>
      </c>
      <c r="AI227" s="74" t="str">
        <f aca="false">IF(ISBLANK($C227),"",IF($F227=Constants!$B$2,TRUE(),IF($F227=Constants!$B$3,FALSE(),FALSE())))</f>
        <v/>
      </c>
      <c r="AJ227" s="74" t="str">
        <f aca="false">IF(ISBLANK($C227),"",IF($G227=Constants!$B$2,TRUE(),IF($G227=Constants!$B$3,FALSE(),TRUE())))</f>
        <v/>
      </c>
      <c r="AK227" s="74" t="str">
        <f aca="false">IF(ISBLANK($C227),"",IF($H227=Constants!$B$2,TRUE(),IF($H227=Constants!$B$3,FALSE(),TRUE())))</f>
        <v/>
      </c>
      <c r="AL227" s="74" t="str">
        <f aca="false">IF(ISBLANK($C227),"",IF(ISNUMBER($I227),IF($I227&gt;=0,$I227,""),""))</f>
        <v/>
      </c>
      <c r="AM227" s="74" t="str">
        <f aca="false">IF(ISBLANK($C227),"",IF(ISNUMBER($J227),IF($J227&gt;=0,$J227,""),""))</f>
        <v/>
      </c>
      <c r="AN227" s="74" t="str">
        <f aca="false">IF(ISBLANK($C227),"",IF(ISNUMBER($K227),IF($K227&gt;=0,$K227,""),""))</f>
        <v/>
      </c>
      <c r="AO227" s="74" t="str">
        <f aca="false">IF(ISBLANK($C227),"",IF($L227=Constants!$B$2,TRUE(),IF($L227=Constants!$B$3,FALSE(),TRUE())))</f>
        <v/>
      </c>
      <c r="AP227" s="74" t="str">
        <f aca="false">IF(ISBLANK($C227),"",IF($M227=Constants!$B$2,TRUE(),IF($M227=Constants!$B$3,FALSE(),TRUE())))</f>
        <v/>
      </c>
      <c r="AQ227" s="74" t="str">
        <f aca="false">IF(ISBLANK($C227),"",IF($N227=Constants!$B$2,TRUE(),IF($N227=Constants!$B$3,FALSE(),FALSE())))</f>
        <v/>
      </c>
      <c r="AR227" s="74" t="str">
        <f aca="false">IF(ISBLANK($C227),"",IF($O227=Constants!$B$2,TRUE(),IF($O227=Constants!$B$3,FALSE(),TRUE())))</f>
        <v/>
      </c>
      <c r="AS227" s="74" t="str">
        <f aca="false">IF(ISBLANK($C227),"",IF($P227=Constants!$B$2,TRUE(),IF($P227=Constants!$B$3,FALSE(),FALSE())))</f>
        <v/>
      </c>
      <c r="AT227" s="74" t="str">
        <f aca="false">IF(ISBLANK($C227),"",IF($Q227=Constants!$B$2,TRUE(),IF($Q227=Constants!$B$3,FALSE(),FALSE())))</f>
        <v/>
      </c>
      <c r="AU227" s="74" t="str">
        <f aca="false">IF(ISBLANK($C227),"",IF($R227=Constants!$B$2,TRUE(),IF($R227=Constants!$B$3,FALSE(),FALSE())))</f>
        <v/>
      </c>
      <c r="AV227" s="74" t="str">
        <f aca="false">IF(ISBLANK($C227),"",IF($S227=Constants!$B$2,TRUE(),IF($S227=Constants!$B$3,FALSE(),FALSE())))</f>
        <v/>
      </c>
      <c r="AW227" s="74" t="str">
        <f aca="false">IF(ISBLANK($C227),"",IF($T227=Constants!$B$2,TRUE(),IF($T227=Constants!$B$3,FALSE(),FALSE())))</f>
        <v/>
      </c>
      <c r="AX227" s="74" t="str">
        <f aca="false">IF(ISBLANK($C227),"",IF(OR($U227&amp;""="1",$U227&amp;""="2",$U227&amp;""="3",$U227&amp;""="4"),VALUE($U227&amp;""),IF($U227=Constants!$B$12,Constants!$B$12,"")))</f>
        <v/>
      </c>
      <c r="AY227" s="74" t="str">
        <f aca="false">IF(ISBLANK($C227),"",IF(ISBLANK($V227),0,IF(ISNUMBER($V227),IF(AND($V227&gt;=0,$V227&lt;=Constants!$B$21,$V227=INT($V227)),$V227,""),"")))</f>
        <v/>
      </c>
      <c r="AZ227" s="74" t="str">
        <f aca="false">IF(ISBLANK($C227),"",IF(ISBLANK($W227),0,IF(ISNUMBER($W227),IF($W227&gt;=0,$W227,""),"")))</f>
        <v/>
      </c>
      <c r="BA227" s="74" t="str">
        <f aca="false">IF(ISBLANK($C227),"",IF($X227=Constants!$B$2,TRUE(),IF($X227=Constants!$B$3,FALSE(),TRUE())))</f>
        <v/>
      </c>
      <c r="BB227" s="74" t="str">
        <f aca="false">IF(ISBLANK($C227),"",IF($Y227=Constants!$B$2,TRUE(),IF($Y227=Constants!$B$3,FALSE(),FALSE())))</f>
        <v/>
      </c>
      <c r="BC227" s="74" t="str">
        <f aca="false">IF(ISBLANK($C227),"",IF(ISBLANK($Z227),0,IF(ISNUMBER($Z227),IF(AND($Z227&gt;=0,$Z227&lt;=Constants!$B$35,$Z227=INT($Z227)),$Z227,""),"")))</f>
        <v/>
      </c>
      <c r="BD227" s="74" t="str">
        <f aca="false">IF(ISBLANK($C227),"",IF($AA227=Constants!$B$2,TRUE(),IF($AA227=Constants!$B$3,FALSE(),TRUE())))</f>
        <v/>
      </c>
      <c r="BE227" s="74" t="str">
        <f aca="false">IF(ISBLANK($C227),"",IF($AB227=Constants!$B$2,TRUE(),IF($AB227=Constants!$B$3,FALSE(),TRUE())))</f>
        <v/>
      </c>
      <c r="BF227" s="74" t="str">
        <f aca="false">IF(ISBLANK($C227),"",IF(ISNUMBER($AC227),IF($AC227&gt;=0,$AC227,""),""))</f>
        <v/>
      </c>
      <c r="BG227" s="74" t="str">
        <f aca="false">IF(ISBLANK($C227),"",IF($AD227=Constants!$B$2,TRUE(),IF($AD227=Constants!$B$3,FALSE(),FALSE())))</f>
        <v/>
      </c>
      <c r="BH227" s="73" t="str">
        <f aca="false">IF(ISBLANK($C227),"",IF($BG227,Constants!$B$7,IF(COUNTA($E227:$AC227)=0,Constants!$B$6,IF(OR(COUNTA($G227:$AC227)=0,NOT($AK227),$AQ227),Constants!$B$5,IF(OR($CI227&lt;&gt;"",$CJ227,$CK227,$CL227,$CM227,$CN227,$CO227),Constants!$B$8,Constants!$B$4)))))</f>
        <v/>
      </c>
      <c r="BI227" s="74" t="str">
        <f aca="false">IF(ISBLANK($C227),"",IF($BH227&lt;&gt;Constants!$B$4,$BH227,IF(OR(NOT($AH227),NOT($AJ227),NOT($AR227)),Constants!$B$11,IF(OR(NOT($AP227),MAX($AL227,$AM227,$AN227)&gt;Constants!$B$30),Constants!$B$10,Constants!$B$9))))</f>
        <v/>
      </c>
      <c r="BJ227" s="74" t="str">
        <f aca="false">IF($BH227&lt;&gt;Constants!$B$4,"",IF(NOT($AJ227),0,MIN(Constants!$B$35,$BC227)))</f>
        <v/>
      </c>
      <c r="BK227" s="74" t="str">
        <f aca="false">IF($BH227&lt;&gt;Constants!$B$4,"",IF(NOT($AJ227),0,IF($AT227,Constants!$B$18,IF($AS227,Constants!$B$17,0))))</f>
        <v/>
      </c>
      <c r="BL227" s="74" t="str">
        <f aca="false">IF($BH227&lt;&gt;Constants!$B$4,"",IF(NOT($AJ227),0,Constants!$B$19*($AI227+$AU227+$AV227+$AW227)))</f>
        <v/>
      </c>
      <c r="BM227" s="74" t="str">
        <f aca="false">IF($BH227&lt;&gt;Constants!$B$4,"",IF(OR(NOT($AJ227),NOT(ISNUMBER($AX227))),0,CHOOSE($AX227,Constants!$B$13,Constants!$B$14,Constants!$B$15,Constants!$B$16)))</f>
        <v/>
      </c>
      <c r="BN227" s="74" t="str">
        <f aca="false">IF($BH227&lt;&gt;Constants!$B$4,"",IF(NOT($AJ227),0,Constants!$B$20*$AY227))</f>
        <v/>
      </c>
      <c r="BO227" s="74" t="str">
        <f aca="false">IF($BH227&lt;&gt;Constants!$B$4,"",IF(AND($AJ227,$BA227,$BB227),Constants!$B$22,0))</f>
        <v/>
      </c>
      <c r="BP227" s="74" t="str">
        <f aca="false">IF($BH227&lt;&gt;Constants!$B$4,"",IF(OR(NOT($AJ227),NOT($BA227)),0,IF($BF227&gt;=2*$AF$9,0,Constants!$B$23*INT(ROUND(MIN($BF227,$AF$9),6)))))</f>
        <v/>
      </c>
      <c r="BQ227" s="74" t="str">
        <f aca="false">IF($BH227&lt;&gt;Constants!$B$4,"",IF(NOT($AJ227),0,Constants!$B$24*INT(ROUND(MIN($AZ227,$AF$9),6))))</f>
        <v/>
      </c>
      <c r="BR227" s="74" t="str">
        <f aca="false">IF($BH227&lt;&gt;Constants!$B$4,"",IF(AND($AJ227,$BJ227=0),Constants!$B$25,0))</f>
        <v/>
      </c>
      <c r="BS227" s="74" t="str">
        <f aca="false">IF($BH227&lt;&gt;Constants!$B$4,"",MIN(Constants!$B$29,MAX(0,Constants!$B$27*Constants!$B$28*INT(ROUND((Constants!$B$26-$AL227)/Constants!$B$28,6))))+MIN(Constants!$B$29,MAX(0,Constants!$B$27*Constants!$B$28*INT(ROUND((Constants!$B$26-$AM227)/Constants!$B$28,6))))+MIN(Constants!$B$29,MAX(0,Constants!$B$27*Constants!$B$28*INT(ROUND((Constants!$B$26-$AN227)/Constants!$B$28,6)))))</f>
        <v/>
      </c>
      <c r="BT227" s="74" t="str">
        <f aca="false">IF($BH227&lt;&gt;Constants!$B$4,"",IF(NOT($AJ227),0,Constants!$B$31*INT(ROUND(MAX(0,MIN($BF227,2*$AF$9)-$AF$9),6))))</f>
        <v/>
      </c>
      <c r="BU227" s="74" t="str">
        <f aca="false">IF($BH227&lt;&gt;Constants!$B$4,"",Constants!$B$32*(($AL227&gt;Constants!$B$26)+($AM227&gt;Constants!$B$26)+($AN227&gt;Constants!$B$26)))</f>
        <v/>
      </c>
      <c r="BV227" s="74" t="str">
        <f aca="false">IF($BH227&lt;&gt;Constants!$B$4,"",IF(OR(NOT($AJ227),$AO227),0,Constants!$B$33))</f>
        <v/>
      </c>
      <c r="BW227" s="74" t="str">
        <f aca="false">IF($BH227&lt;&gt;Constants!$B$4,"",Constants!$B$34*$BJ227)</f>
        <v/>
      </c>
      <c r="BX227" s="74" t="str">
        <f aca="false">IF($BH227&lt;&gt;Constants!$B$4,"",IF(OR(NOT($AJ227),$BE227),0,Constants!$B$36))</f>
        <v/>
      </c>
      <c r="BY227" s="74" t="str">
        <f aca="false">IF($BH227&lt;&gt;Constants!$B$4,"",IF(OR(NOT($AJ227),$BD227),0,Constants!$B$37))</f>
        <v/>
      </c>
      <c r="BZ227" s="74" t="str">
        <f aca="false">IF($BH227&lt;&gt;Constants!$B$4,"",SUM($BT227:$BY227))</f>
        <v/>
      </c>
      <c r="CA227" s="74" t="str">
        <f aca="false">IF(ISBLANK($C227),"",IF($BH227&lt;&gt;Constants!$B$4,$BH227,SUM($BK227:$BS227)-$BZ227))</f>
        <v/>
      </c>
      <c r="CB227" s="74" t="str">
        <f aca="false">IF(ISBLANK($C227),"",IF($BH227&lt;&gt;Constants!$B$4,$BH227,RANK($CA227,$CA$9:$CA$508)))</f>
        <v/>
      </c>
      <c r="CC227" s="74" t="str">
        <f aca="false">IF(ISBLANK($C227),"",IF($BH227&lt;&gt;Constants!$B$4,$BH227,COUNTIFS($BI$9:$BI$508,"&lt;"&amp;$BI227)+COUNTIFS($BI$9:$BI$508,$BI227,$CB$9:$CB$508,"&lt;"&amp;$CB227)+1))</f>
        <v/>
      </c>
      <c r="CD227" s="74" t="str">
        <f aca="false">IF(ISBLANK($C227),"",IF($BH227&lt;&gt;Constants!$B$4,$BH227,RANK($BZ227,$BZ$9:$BZ$508,1)))</f>
        <v/>
      </c>
      <c r="CE227" s="74" t="str">
        <f aca="false">IF($BH227&lt;&gt;Constants!$B$4,"",$AL227+$AM227+$AN227)</f>
        <v/>
      </c>
      <c r="CF227" s="74" t="str">
        <f aca="false">IF(ISBLANK($C227),"",IF($BH227&lt;&gt;Constants!$B$4,$BH227,RANK($CE227,$CE$9:$CE$508,1)))</f>
        <v/>
      </c>
      <c r="CG227" s="74" t="str">
        <f aca="false">IF(ISBLANK($C227),"",IF($BH227&lt;&gt;Constants!$B$4,$BH227,COUNTIFS($BI$9:$BI$508,"&lt;"&amp;$BI227)+COUNTIFS($BI$9:$BI$508,$BI227,$CB$9:$CB$508,"&lt;"&amp;$CB227)+COUNTIFS($BI$9:$BI$508,$BI227,$CB$9:$CB$508,$CB227,$CD$9:$CD$508,"&lt;"&amp;$CD227)+COUNTIFS($BI$9:$BI$508,$BI227,$CB$9:$CB$508,$CB227,$CD$9:$CD$508,$CD227,$CF$9:$CF$508,"&lt;"&amp;$CF227)+1))</f>
        <v/>
      </c>
      <c r="CH227" s="74" t="str">
        <f aca="false">IF(ISBLANK($C227),"",IF($BH227&lt;&gt;Constants!$B$4,$BH227,$CC227-$CG227))</f>
        <v/>
      </c>
      <c r="CI227" s="74" t="str">
        <f aca="false">IF(ISBLANK($C227),"",IF(NOT($AJ227),"",IF(ISBLANK($D$7),$CI$5,IF(NOT(ISNUMBER($D$7)),$CI$6,""))))</f>
        <v/>
      </c>
      <c r="CJ227" s="74" t="str">
        <f aca="false">IF(ISBLANK($C227),"",OR($AL227="",$AM227="",$AN227=""))</f>
        <v/>
      </c>
      <c r="CK227" s="74" t="str">
        <f aca="false">IF(ISBLANK($C227),"",AND($AJ227,$AX227=""))</f>
        <v/>
      </c>
      <c r="CL227" s="74" t="str">
        <f aca="false">IF(ISBLANK($C227),"",AND($AJ227,$AY227=""))</f>
        <v/>
      </c>
      <c r="CM227" s="74" t="str">
        <f aca="false">IF(ISBLANK($C227),"",AND($AJ227,$AZ227=""))</f>
        <v/>
      </c>
      <c r="CN227" s="74" t="str">
        <f aca="false">IF(ISBLANK($C227),"",AND($AJ227,$BC227=""))</f>
        <v/>
      </c>
      <c r="CO227" s="74" t="str">
        <f aca="false">IF(ISBLANK($C227),"",AND($AJ227,$BF227=""))</f>
        <v/>
      </c>
      <c r="CP227" s="75"/>
      <c r="CQ227" s="76"/>
      <c r="CR227" s="79" t="str">
        <f aca="false">IF(ISBLANK($C227),"",IF($BH227=Constants!$B$8,$CI227,""))</f>
        <v/>
      </c>
      <c r="CS227" s="76" t="str">
        <f aca="false">IF(ISBLANK($C227),"",IF($BH227&lt;&gt;Constants!$B$4,"",$BK227+$BL227))</f>
        <v/>
      </c>
      <c r="CT227" s="78" t="str">
        <f aca="false">IF(ISBLANK($C227),"",IF($BH227&lt;&gt;Constants!$B$4,"",$BM227+$BN227+$BO227))</f>
        <v/>
      </c>
      <c r="CU227" s="78" t="str">
        <f aca="false">IF(ISBLANK($C227),"",IF($BH227&lt;&gt;Constants!$B$4,"",$BP227))</f>
        <v/>
      </c>
      <c r="CV227" s="78" t="str">
        <f aca="false">IF(ISBLANK($C227),"",IF($BH227&lt;&gt;Constants!$B$4,"",$BQ227+$BR227))</f>
        <v/>
      </c>
      <c r="CW227" s="78" t="str">
        <f aca="false">IF(ISBLANK($C227),"",IF($BH227&lt;&gt;Constants!$B$4,"",$BS227))</f>
        <v/>
      </c>
      <c r="CX227" s="78" t="str">
        <f aca="false">IF(ISBLANK($C227),"",IF($BH227&lt;&gt;Constants!$B$4,"",-$BZ227))</f>
        <v/>
      </c>
      <c r="CY227" s="79" t="str">
        <f aca="false">IF(ISBLANK($C227),"",$CA227)</f>
        <v/>
      </c>
      <c r="CZ227" s="80" t="str">
        <f aca="false">IF(ISBLANK($C227),"",$BI227)</f>
        <v/>
      </c>
      <c r="DA227" s="78" t="str">
        <f aca="false">IF(ISBLANK($C227),"",$CH227)</f>
        <v/>
      </c>
      <c r="DB227" s="78" t="str">
        <f aca="false">IF(ISBLANK($C227),"",$CG227)</f>
        <v/>
      </c>
      <c r="DC227" s="81" t="str">
        <f aca="false">IF(ISBLANK($C227),"",IFERROR(_xlfn.SWITCH($DB227,Constants!$B$7,COUNTA($C$9:$C$508)+2,Constants!$B$6,COUNTA($C$9:$C$508)+1,Constants!$B$5,COUNTA($C$9:$C$508)),$DB227))</f>
        <v/>
      </c>
      <c r="DD227" s="7"/>
      <c r="DE227" s="82" t="n">
        <f aca="false">IF(OR(ISNUMBER($DB227),$DB227=Constants!$B$7,$DB227=Constants!$B$5,$DB227=Constants!$B$6),1,0)</f>
        <v>0</v>
      </c>
      <c r="DF227" s="82" t="n">
        <v>219</v>
      </c>
      <c r="DG227" s="82" t="str">
        <f aca="false">IF(ISBLANK($C227),"",IF(ISNUMBER($DC227),$DC227+ROW($B227)/1000,""))</f>
        <v/>
      </c>
      <c r="DH227" s="82" t="str">
        <f aca="false">IF(ISNUMBER($DG227),RANK($DG227,$DG$9:$DG$508,1),"")</f>
        <v/>
      </c>
      <c r="DI227" s="82" t="str">
        <f aca="false">IF(ISBLANK($C227),"",$B227)</f>
        <v/>
      </c>
      <c r="DJ227" s="82" t="str">
        <f aca="false">IF(ISBLANK($C227),"",$C227)</f>
        <v/>
      </c>
      <c r="DK227" s="82" t="str">
        <f aca="false">IF(ISBLANK($C227),"",$D227)</f>
        <v/>
      </c>
      <c r="DL227" s="83" t="str">
        <f aca="false">$CZ227</f>
        <v/>
      </c>
      <c r="DM227" s="84" t="str">
        <f aca="false">$CY227</f>
        <v/>
      </c>
      <c r="DN227" s="82" t="str">
        <f aca="false">IF(ISBLANK($C227),"",$DB227)</f>
        <v/>
      </c>
      <c r="DO227" s="85" t="str">
        <f aca="false">IF($DF227&gt;$DE$8,"",VLOOKUP($DF227,$DH$9:$DN$508,7,FALSE()))</f>
        <v/>
      </c>
      <c r="DP227" s="86" t="str">
        <f aca="false">IF($DF227&gt;$DE$8,"",VLOOKUP($DF227,$DH$9:$DN$508,2,FALSE()))</f>
        <v/>
      </c>
      <c r="DQ227" s="86" t="str">
        <f aca="false">IF($DF227&gt;$DE$8,"",VLOOKUP($DF227,$DH$9:$DN$508,3,FALSE()))</f>
        <v/>
      </c>
      <c r="DR227" s="86" t="str">
        <f aca="false">IF($DF227&gt;$DE$8,"",VLOOKUP($DF227,$DH$9:$DN$508,4,FALSE()))</f>
        <v/>
      </c>
      <c r="DS227" s="86" t="str">
        <f aca="false">IF($DF227&gt;$DE$8,"",VLOOKUP($DF227,$DH$9:$DN$508,5,FALSE()))</f>
        <v/>
      </c>
      <c r="DT227" s="87" t="str">
        <f aca="false">IF($DF227&gt;$DE$8,"",VLOOKUP($DF227,$DH$9:$DN$508,6,FALSE()))</f>
        <v/>
      </c>
      <c r="DU227" s="62"/>
    </row>
    <row r="228" customFormat="false" ht="15.75" hidden="false" customHeight="false" outlineLevel="0" collapsed="false">
      <c r="A228" s="7"/>
      <c r="B228" s="90"/>
      <c r="C228" s="91"/>
      <c r="D228" s="126"/>
      <c r="E228" s="130"/>
      <c r="F228" s="135"/>
      <c r="G228" s="130"/>
      <c r="H228" s="135"/>
      <c r="I228" s="131"/>
      <c r="J228" s="131"/>
      <c r="K228" s="131"/>
      <c r="L228" s="130"/>
      <c r="M228" s="130"/>
      <c r="N228" s="130"/>
      <c r="O228" s="135"/>
      <c r="P228" s="130"/>
      <c r="Q228" s="130"/>
      <c r="R228" s="130"/>
      <c r="S228" s="130"/>
      <c r="T228" s="135"/>
      <c r="U228" s="130"/>
      <c r="V228" s="96"/>
      <c r="W228" s="130"/>
      <c r="X228" s="130"/>
      <c r="Y228" s="96"/>
      <c r="Z228" s="96"/>
      <c r="AA228" s="130"/>
      <c r="AB228" s="130"/>
      <c r="AC228" s="97"/>
      <c r="AD228" s="130"/>
      <c r="AE228" s="99"/>
      <c r="AF228" s="100"/>
      <c r="AG228" s="100"/>
      <c r="AH228" s="100" t="str">
        <f aca="false">IF(ISBLANK($C228),"",IF($E228=Constants!$B$2,TRUE(),IF($E228=Constants!$B$3,FALSE(),TRUE())))</f>
        <v/>
      </c>
      <c r="AI228" s="100" t="str">
        <f aca="false">IF(ISBLANK($C228),"",IF($F228=Constants!$B$2,TRUE(),IF($F228=Constants!$B$3,FALSE(),FALSE())))</f>
        <v/>
      </c>
      <c r="AJ228" s="100" t="str">
        <f aca="false">IF(ISBLANK($C228),"",IF($G228=Constants!$B$2,TRUE(),IF($G228=Constants!$B$3,FALSE(),TRUE())))</f>
        <v/>
      </c>
      <c r="AK228" s="100" t="str">
        <f aca="false">IF(ISBLANK($C228),"",IF($H228=Constants!$B$2,TRUE(),IF($H228=Constants!$B$3,FALSE(),TRUE())))</f>
        <v/>
      </c>
      <c r="AL228" s="100" t="str">
        <f aca="false">IF(ISBLANK($C228),"",IF(ISNUMBER($I228),IF($I228&gt;=0,$I228,""),""))</f>
        <v/>
      </c>
      <c r="AM228" s="100" t="str">
        <f aca="false">IF(ISBLANK($C228),"",IF(ISNUMBER($J228),IF($J228&gt;=0,$J228,""),""))</f>
        <v/>
      </c>
      <c r="AN228" s="100" t="str">
        <f aca="false">IF(ISBLANK($C228),"",IF(ISNUMBER($K228),IF($K228&gt;=0,$K228,""),""))</f>
        <v/>
      </c>
      <c r="AO228" s="100" t="str">
        <f aca="false">IF(ISBLANK($C228),"",IF($L228=Constants!$B$2,TRUE(),IF($L228=Constants!$B$3,FALSE(),TRUE())))</f>
        <v/>
      </c>
      <c r="AP228" s="100" t="str">
        <f aca="false">IF(ISBLANK($C228),"",IF($M228=Constants!$B$2,TRUE(),IF($M228=Constants!$B$3,FALSE(),TRUE())))</f>
        <v/>
      </c>
      <c r="AQ228" s="100" t="str">
        <f aca="false">IF(ISBLANK($C228),"",IF($N228=Constants!$B$2,TRUE(),IF($N228=Constants!$B$3,FALSE(),FALSE())))</f>
        <v/>
      </c>
      <c r="AR228" s="100" t="str">
        <f aca="false">IF(ISBLANK($C228),"",IF($O228=Constants!$B$2,TRUE(),IF($O228=Constants!$B$3,FALSE(),TRUE())))</f>
        <v/>
      </c>
      <c r="AS228" s="100" t="str">
        <f aca="false">IF(ISBLANK($C228),"",IF($P228=Constants!$B$2,TRUE(),IF($P228=Constants!$B$3,FALSE(),FALSE())))</f>
        <v/>
      </c>
      <c r="AT228" s="100" t="str">
        <f aca="false">IF(ISBLANK($C228),"",IF($Q228=Constants!$B$2,TRUE(),IF($Q228=Constants!$B$3,FALSE(),FALSE())))</f>
        <v/>
      </c>
      <c r="AU228" s="100" t="str">
        <f aca="false">IF(ISBLANK($C228),"",IF($R228=Constants!$B$2,TRUE(),IF($R228=Constants!$B$3,FALSE(),FALSE())))</f>
        <v/>
      </c>
      <c r="AV228" s="100" t="str">
        <f aca="false">IF(ISBLANK($C228),"",IF($S228=Constants!$B$2,TRUE(),IF($S228=Constants!$B$3,FALSE(),FALSE())))</f>
        <v/>
      </c>
      <c r="AW228" s="100" t="str">
        <f aca="false">IF(ISBLANK($C228),"",IF($T228=Constants!$B$2,TRUE(),IF($T228=Constants!$B$3,FALSE(),FALSE())))</f>
        <v/>
      </c>
      <c r="AX228" s="100" t="str">
        <f aca="false">IF(ISBLANK($C228),"",IF(OR($U228&amp;""="1",$U228&amp;""="2",$U228&amp;""="3",$U228&amp;""="4"),VALUE($U228&amp;""),IF($U228=Constants!$B$12,Constants!$B$12,"")))</f>
        <v/>
      </c>
      <c r="AY228" s="100" t="str">
        <f aca="false">IF(ISBLANK($C228),"",IF(ISBLANK($V228),0,IF(ISNUMBER($V228),IF(AND($V228&gt;=0,$V228&lt;=Constants!$B$21,$V228=INT($V228)),$V228,""),"")))</f>
        <v/>
      </c>
      <c r="AZ228" s="100" t="str">
        <f aca="false">IF(ISBLANK($C228),"",IF(ISBLANK($W228),0,IF(ISNUMBER($W228),IF($W228&gt;=0,$W228,""),"")))</f>
        <v/>
      </c>
      <c r="BA228" s="100" t="str">
        <f aca="false">IF(ISBLANK($C228),"",IF($X228=Constants!$B$2,TRUE(),IF($X228=Constants!$B$3,FALSE(),TRUE())))</f>
        <v/>
      </c>
      <c r="BB228" s="100" t="str">
        <f aca="false">IF(ISBLANK($C228),"",IF($Y228=Constants!$B$2,TRUE(),IF($Y228=Constants!$B$3,FALSE(),FALSE())))</f>
        <v/>
      </c>
      <c r="BC228" s="100" t="str">
        <f aca="false">IF(ISBLANK($C228),"",IF(ISBLANK($Z228),0,IF(ISNUMBER($Z228),IF(AND($Z228&gt;=0,$Z228&lt;=Constants!$B$35,$Z228=INT($Z228)),$Z228,""),"")))</f>
        <v/>
      </c>
      <c r="BD228" s="100" t="str">
        <f aca="false">IF(ISBLANK($C228),"",IF($AA228=Constants!$B$2,TRUE(),IF($AA228=Constants!$B$3,FALSE(),TRUE())))</f>
        <v/>
      </c>
      <c r="BE228" s="100" t="str">
        <f aca="false">IF(ISBLANK($C228),"",IF($AB228=Constants!$B$2,TRUE(),IF($AB228=Constants!$B$3,FALSE(),TRUE())))</f>
        <v/>
      </c>
      <c r="BF228" s="100" t="str">
        <f aca="false">IF(ISBLANK($C228),"",IF(ISNUMBER($AC228),IF($AC228&gt;=0,$AC228,""),""))</f>
        <v/>
      </c>
      <c r="BG228" s="100" t="str">
        <f aca="false">IF(ISBLANK($C228),"",IF($AD228=Constants!$B$2,TRUE(),IF($AD228=Constants!$B$3,FALSE(),FALSE())))</f>
        <v/>
      </c>
      <c r="BH228" s="99" t="str">
        <f aca="false">IF(ISBLANK($C228),"",IF($BG228,Constants!$B$7,IF(COUNTA($E228:$AC228)=0,Constants!$B$6,IF(OR(COUNTA($G228:$AC228)=0,NOT($AK228),$AQ228),Constants!$B$5,IF(OR($CI228&lt;&gt;"",$CJ228,$CK228,$CL228,$CM228,$CN228,$CO228),Constants!$B$8,Constants!$B$4)))))</f>
        <v/>
      </c>
      <c r="BI228" s="100" t="str">
        <f aca="false">IF(ISBLANK($C228),"",IF($BH228&lt;&gt;Constants!$B$4,$BH228,IF(OR(NOT($AH228),NOT($AJ228),NOT($AR228)),Constants!$B$11,IF(OR(NOT($AP228),MAX($AL228,$AM228,$AN228)&gt;Constants!$B$30),Constants!$B$10,Constants!$B$9))))</f>
        <v/>
      </c>
      <c r="BJ228" s="100" t="str">
        <f aca="false">IF($BH228&lt;&gt;Constants!$B$4,"",IF(NOT($AJ228),0,MIN(Constants!$B$35,$BC228)))</f>
        <v/>
      </c>
      <c r="BK228" s="100" t="str">
        <f aca="false">IF($BH228&lt;&gt;Constants!$B$4,"",IF(NOT($AJ228),0,IF($AT228,Constants!$B$18,IF($AS228,Constants!$B$17,0))))</f>
        <v/>
      </c>
      <c r="BL228" s="100" t="str">
        <f aca="false">IF($BH228&lt;&gt;Constants!$B$4,"",IF(NOT($AJ228),0,Constants!$B$19*($AI228+$AU228+$AV228+$AW228)))</f>
        <v/>
      </c>
      <c r="BM228" s="100" t="str">
        <f aca="false">IF($BH228&lt;&gt;Constants!$B$4,"",IF(OR(NOT($AJ228),NOT(ISNUMBER($AX228))),0,CHOOSE($AX228,Constants!$B$13,Constants!$B$14,Constants!$B$15,Constants!$B$16)))</f>
        <v/>
      </c>
      <c r="BN228" s="100" t="str">
        <f aca="false">IF($BH228&lt;&gt;Constants!$B$4,"",IF(NOT($AJ228),0,Constants!$B$20*$AY228))</f>
        <v/>
      </c>
      <c r="BO228" s="100" t="str">
        <f aca="false">IF($BH228&lt;&gt;Constants!$B$4,"",IF(AND($AJ228,$BA228,$BB228),Constants!$B$22,0))</f>
        <v/>
      </c>
      <c r="BP228" s="100" t="str">
        <f aca="false">IF($BH228&lt;&gt;Constants!$B$4,"",IF(OR(NOT($AJ228),NOT($BA228)),0,IF($BF228&gt;=2*$AF$9,0,Constants!$B$23*INT(ROUND(MIN($BF228,$AF$9),6)))))</f>
        <v/>
      </c>
      <c r="BQ228" s="100" t="str">
        <f aca="false">IF($BH228&lt;&gt;Constants!$B$4,"",IF(NOT($AJ228),0,Constants!$B$24*INT(ROUND(MIN($AZ228,$AF$9),6))))</f>
        <v/>
      </c>
      <c r="BR228" s="100" t="str">
        <f aca="false">IF($BH228&lt;&gt;Constants!$B$4,"",IF(AND($AJ228,$BJ228=0),Constants!$B$25,0))</f>
        <v/>
      </c>
      <c r="BS228" s="100" t="str">
        <f aca="false">IF($BH228&lt;&gt;Constants!$B$4,"",MIN(Constants!$B$29,MAX(0,Constants!$B$27*Constants!$B$28*INT(ROUND((Constants!$B$26-$AL228)/Constants!$B$28,6))))+MIN(Constants!$B$29,MAX(0,Constants!$B$27*Constants!$B$28*INT(ROUND((Constants!$B$26-$AM228)/Constants!$B$28,6))))+MIN(Constants!$B$29,MAX(0,Constants!$B$27*Constants!$B$28*INT(ROUND((Constants!$B$26-$AN228)/Constants!$B$28,6)))))</f>
        <v/>
      </c>
      <c r="BT228" s="100" t="str">
        <f aca="false">IF($BH228&lt;&gt;Constants!$B$4,"",IF(NOT($AJ228),0,Constants!$B$31*INT(ROUND(MAX(0,MIN($BF228,2*$AF$9)-$AF$9),6))))</f>
        <v/>
      </c>
      <c r="BU228" s="100" t="str">
        <f aca="false">IF($BH228&lt;&gt;Constants!$B$4,"",Constants!$B$32*(($AL228&gt;Constants!$B$26)+($AM228&gt;Constants!$B$26)+($AN228&gt;Constants!$B$26)))</f>
        <v/>
      </c>
      <c r="BV228" s="100" t="str">
        <f aca="false">IF($BH228&lt;&gt;Constants!$B$4,"",IF(OR(NOT($AJ228),$AO228),0,Constants!$B$33))</f>
        <v/>
      </c>
      <c r="BW228" s="100" t="str">
        <f aca="false">IF($BH228&lt;&gt;Constants!$B$4,"",Constants!$B$34*$BJ228)</f>
        <v/>
      </c>
      <c r="BX228" s="100" t="str">
        <f aca="false">IF($BH228&lt;&gt;Constants!$B$4,"",IF(OR(NOT($AJ228),$BE228),0,Constants!$B$36))</f>
        <v/>
      </c>
      <c r="BY228" s="100" t="str">
        <f aca="false">IF($BH228&lt;&gt;Constants!$B$4,"",IF(OR(NOT($AJ228),$BD228),0,Constants!$B$37))</f>
        <v/>
      </c>
      <c r="BZ228" s="100" t="str">
        <f aca="false">IF($BH228&lt;&gt;Constants!$B$4,"",SUM($BT228:$BY228))</f>
        <v/>
      </c>
      <c r="CA228" s="100" t="str">
        <f aca="false">IF(ISBLANK($C228),"",IF($BH228&lt;&gt;Constants!$B$4,$BH228,SUM($BK228:$BS228)-$BZ228))</f>
        <v/>
      </c>
      <c r="CB228" s="100" t="str">
        <f aca="false">IF(ISBLANK($C228),"",IF($BH228&lt;&gt;Constants!$B$4,$BH228,RANK($CA228,$CA$9:$CA$508)))</f>
        <v/>
      </c>
      <c r="CC228" s="100" t="str">
        <f aca="false">IF(ISBLANK($C228),"",IF($BH228&lt;&gt;Constants!$B$4,$BH228,COUNTIFS($BI$9:$BI$508,"&lt;"&amp;$BI228)+COUNTIFS($BI$9:$BI$508,$BI228,$CB$9:$CB$508,"&lt;"&amp;$CB228)+1))</f>
        <v/>
      </c>
      <c r="CD228" s="100" t="str">
        <f aca="false">IF(ISBLANK($C228),"",IF($BH228&lt;&gt;Constants!$B$4,$BH228,RANK($BZ228,$BZ$9:$BZ$508,1)))</f>
        <v/>
      </c>
      <c r="CE228" s="100" t="str">
        <f aca="false">IF($BH228&lt;&gt;Constants!$B$4,"",$AL228+$AM228+$AN228)</f>
        <v/>
      </c>
      <c r="CF228" s="100" t="str">
        <f aca="false">IF(ISBLANK($C228),"",IF($BH228&lt;&gt;Constants!$B$4,$BH228,RANK($CE228,$CE$9:$CE$508,1)))</f>
        <v/>
      </c>
      <c r="CG228" s="100" t="str">
        <f aca="false">IF(ISBLANK($C228),"",IF($BH228&lt;&gt;Constants!$B$4,$BH228,COUNTIFS($BI$9:$BI$508,"&lt;"&amp;$BI228)+COUNTIFS($BI$9:$BI$508,$BI228,$CB$9:$CB$508,"&lt;"&amp;$CB228)+COUNTIFS($BI$9:$BI$508,$BI228,$CB$9:$CB$508,$CB228,$CD$9:$CD$508,"&lt;"&amp;$CD228)+COUNTIFS($BI$9:$BI$508,$BI228,$CB$9:$CB$508,$CB228,$CD$9:$CD$508,$CD228,$CF$9:$CF$508,"&lt;"&amp;$CF228)+1))</f>
        <v/>
      </c>
      <c r="CH228" s="100" t="str">
        <f aca="false">IF(ISBLANK($C228),"",IF($BH228&lt;&gt;Constants!$B$4,$BH228,$CC228-$CG228))</f>
        <v/>
      </c>
      <c r="CI228" s="100" t="str">
        <f aca="false">IF(ISBLANK($C228),"",IF(NOT($AJ228),"",IF(ISBLANK($D$7),$CI$5,IF(NOT(ISNUMBER($D$7)),$CI$6,""))))</f>
        <v/>
      </c>
      <c r="CJ228" s="100" t="str">
        <f aca="false">IF(ISBLANK($C228),"",OR($AL228="",$AM228="",$AN228=""))</f>
        <v/>
      </c>
      <c r="CK228" s="100" t="str">
        <f aca="false">IF(ISBLANK($C228),"",AND($AJ228,$AX228=""))</f>
        <v/>
      </c>
      <c r="CL228" s="100" t="str">
        <f aca="false">IF(ISBLANK($C228),"",AND($AJ228,$AY228=""))</f>
        <v/>
      </c>
      <c r="CM228" s="100" t="str">
        <f aca="false">IF(ISBLANK($C228),"",AND($AJ228,$AZ228=""))</f>
        <v/>
      </c>
      <c r="CN228" s="100" t="str">
        <f aca="false">IF(ISBLANK($C228),"",AND($AJ228,$BC228=""))</f>
        <v/>
      </c>
      <c r="CO228" s="100" t="str">
        <f aca="false">IF(ISBLANK($C228),"",AND($AJ228,$BF228=""))</f>
        <v/>
      </c>
      <c r="CP228" s="101"/>
      <c r="CQ228" s="102"/>
      <c r="CR228" s="103" t="str">
        <f aca="false">IF(ISBLANK($C228),"",IF($BH228=Constants!$B$8,$CI228,""))</f>
        <v/>
      </c>
      <c r="CS228" s="102" t="str">
        <f aca="false">IF(ISBLANK($C228),"",IF($BH228&lt;&gt;Constants!$B$4,"",$BK228+$BL228))</f>
        <v/>
      </c>
      <c r="CT228" s="104" t="str">
        <f aca="false">IF(ISBLANK($C228),"",IF($BH228&lt;&gt;Constants!$B$4,"",$BM228+$BN228+$BO228))</f>
        <v/>
      </c>
      <c r="CU228" s="104" t="str">
        <f aca="false">IF(ISBLANK($C228),"",IF($BH228&lt;&gt;Constants!$B$4,"",$BP228))</f>
        <v/>
      </c>
      <c r="CV228" s="104" t="str">
        <f aca="false">IF(ISBLANK($C228),"",IF($BH228&lt;&gt;Constants!$B$4,"",$BQ228+$BR228))</f>
        <v/>
      </c>
      <c r="CW228" s="104" t="str">
        <f aca="false">IF(ISBLANK($C228),"",IF($BH228&lt;&gt;Constants!$B$4,"",$BS228))</f>
        <v/>
      </c>
      <c r="CX228" s="104" t="str">
        <f aca="false">IF(ISBLANK($C228),"",IF($BH228&lt;&gt;Constants!$B$4,"",-$BZ228))</f>
        <v/>
      </c>
      <c r="CY228" s="103" t="str">
        <f aca="false">IF(ISBLANK($C228),"",$CA228)</f>
        <v/>
      </c>
      <c r="CZ228" s="105" t="str">
        <f aca="false">IF(ISBLANK($C228),"",$BI228)</f>
        <v/>
      </c>
      <c r="DA228" s="104" t="str">
        <f aca="false">IF(ISBLANK($C228),"",$CH228)</f>
        <v/>
      </c>
      <c r="DB228" s="104" t="str">
        <f aca="false">IF(ISBLANK($C228),"",$CG228)</f>
        <v/>
      </c>
      <c r="DC228" s="106" t="str">
        <f aca="false">IF(ISBLANK($C228),"",IFERROR(_xlfn.SWITCH($DB228,Constants!$B$7,COUNTA($C$9:$C$508)+2,Constants!$B$6,COUNTA($C$9:$C$508)+1,Constants!$B$5,COUNTA($C$9:$C$508)),$DB228))</f>
        <v/>
      </c>
      <c r="DD228" s="7"/>
      <c r="DE228" s="107" t="n">
        <f aca="false">IF(OR(ISNUMBER($DB228),$DB228=Constants!$B$7,$DB228=Constants!$B$5,$DB228=Constants!$B$6),1,0)</f>
        <v>0</v>
      </c>
      <c r="DF228" s="107" t="n">
        <v>220</v>
      </c>
      <c r="DG228" s="107" t="str">
        <f aca="false">IF(ISBLANK($C228),"",IF(ISNUMBER($DC228),$DC228+ROW($B228)/1000,""))</f>
        <v/>
      </c>
      <c r="DH228" s="107" t="str">
        <f aca="false">IF(ISNUMBER($DG228),RANK($DG228,$DG$9:$DG$508,1),"")</f>
        <v/>
      </c>
      <c r="DI228" s="107" t="str">
        <f aca="false">IF(ISBLANK($C228),"",$B228)</f>
        <v/>
      </c>
      <c r="DJ228" s="107" t="str">
        <f aca="false">IF(ISBLANK($C228),"",$C228)</f>
        <v/>
      </c>
      <c r="DK228" s="107" t="str">
        <f aca="false">IF(ISBLANK($C228),"",$D228)</f>
        <v/>
      </c>
      <c r="DL228" s="108" t="str">
        <f aca="false">$CZ228</f>
        <v/>
      </c>
      <c r="DM228" s="109" t="str">
        <f aca="false">$CY228</f>
        <v/>
      </c>
      <c r="DN228" s="107" t="str">
        <f aca="false">IF(ISBLANK($C228),"",$DB228)</f>
        <v/>
      </c>
      <c r="DO228" s="110" t="str">
        <f aca="false">IF($DF228&gt;$DE$8,"",VLOOKUP($DF228,$DH$9:$DN$508,7,FALSE()))</f>
        <v/>
      </c>
      <c r="DP228" s="111" t="str">
        <f aca="false">IF($DF228&gt;$DE$8,"",VLOOKUP($DF228,$DH$9:$DN$508,2,FALSE()))</f>
        <v/>
      </c>
      <c r="DQ228" s="111" t="str">
        <f aca="false">IF($DF228&gt;$DE$8,"",VLOOKUP($DF228,$DH$9:$DN$508,3,FALSE()))</f>
        <v/>
      </c>
      <c r="DR228" s="111" t="str">
        <f aca="false">IF($DF228&gt;$DE$8,"",VLOOKUP($DF228,$DH$9:$DN$508,4,FALSE()))</f>
        <v/>
      </c>
      <c r="DS228" s="111" t="str">
        <f aca="false">IF($DF228&gt;$DE$8,"",VLOOKUP($DF228,$DH$9:$DN$508,5,FALSE()))</f>
        <v/>
      </c>
      <c r="DT228" s="112" t="str">
        <f aca="false">IF($DF228&gt;$DE$8,"",VLOOKUP($DF228,$DH$9:$DN$508,6,FALSE()))</f>
        <v/>
      </c>
      <c r="DU228" s="62"/>
    </row>
    <row r="229" customFormat="false" ht="15.75" hidden="false" customHeight="false" outlineLevel="0" collapsed="false">
      <c r="A229" s="7"/>
      <c r="B229" s="90"/>
      <c r="C229" s="91"/>
      <c r="D229" s="126"/>
      <c r="E229" s="130"/>
      <c r="F229" s="135"/>
      <c r="G229" s="130"/>
      <c r="H229" s="135"/>
      <c r="I229" s="131"/>
      <c r="J229" s="131"/>
      <c r="K229" s="131"/>
      <c r="L229" s="130"/>
      <c r="M229" s="130"/>
      <c r="N229" s="130"/>
      <c r="O229" s="135"/>
      <c r="P229" s="130"/>
      <c r="Q229" s="130"/>
      <c r="R229" s="130"/>
      <c r="S229" s="130"/>
      <c r="T229" s="135"/>
      <c r="U229" s="130"/>
      <c r="V229" s="96"/>
      <c r="W229" s="130"/>
      <c r="X229" s="130"/>
      <c r="Y229" s="96"/>
      <c r="Z229" s="96"/>
      <c r="AA229" s="130"/>
      <c r="AB229" s="130"/>
      <c r="AC229" s="97"/>
      <c r="AD229" s="130"/>
      <c r="AE229" s="99"/>
      <c r="AF229" s="100"/>
      <c r="AG229" s="100"/>
      <c r="AH229" s="100" t="str">
        <f aca="false">IF(ISBLANK($C229),"",IF($E229=Constants!$B$2,TRUE(),IF($E229=Constants!$B$3,FALSE(),TRUE())))</f>
        <v/>
      </c>
      <c r="AI229" s="100" t="str">
        <f aca="false">IF(ISBLANK($C229),"",IF($F229=Constants!$B$2,TRUE(),IF($F229=Constants!$B$3,FALSE(),FALSE())))</f>
        <v/>
      </c>
      <c r="AJ229" s="100" t="str">
        <f aca="false">IF(ISBLANK($C229),"",IF($G229=Constants!$B$2,TRUE(),IF($G229=Constants!$B$3,FALSE(),TRUE())))</f>
        <v/>
      </c>
      <c r="AK229" s="100" t="str">
        <f aca="false">IF(ISBLANK($C229),"",IF($H229=Constants!$B$2,TRUE(),IF($H229=Constants!$B$3,FALSE(),TRUE())))</f>
        <v/>
      </c>
      <c r="AL229" s="100" t="str">
        <f aca="false">IF(ISBLANK($C229),"",IF(ISNUMBER($I229),IF($I229&gt;=0,$I229,""),""))</f>
        <v/>
      </c>
      <c r="AM229" s="100" t="str">
        <f aca="false">IF(ISBLANK($C229),"",IF(ISNUMBER($J229),IF($J229&gt;=0,$J229,""),""))</f>
        <v/>
      </c>
      <c r="AN229" s="100" t="str">
        <f aca="false">IF(ISBLANK($C229),"",IF(ISNUMBER($K229),IF($K229&gt;=0,$K229,""),""))</f>
        <v/>
      </c>
      <c r="AO229" s="100" t="str">
        <f aca="false">IF(ISBLANK($C229),"",IF($L229=Constants!$B$2,TRUE(),IF($L229=Constants!$B$3,FALSE(),TRUE())))</f>
        <v/>
      </c>
      <c r="AP229" s="100" t="str">
        <f aca="false">IF(ISBLANK($C229),"",IF($M229=Constants!$B$2,TRUE(),IF($M229=Constants!$B$3,FALSE(),TRUE())))</f>
        <v/>
      </c>
      <c r="AQ229" s="100" t="str">
        <f aca="false">IF(ISBLANK($C229),"",IF($N229=Constants!$B$2,TRUE(),IF($N229=Constants!$B$3,FALSE(),FALSE())))</f>
        <v/>
      </c>
      <c r="AR229" s="100" t="str">
        <f aca="false">IF(ISBLANK($C229),"",IF($O229=Constants!$B$2,TRUE(),IF($O229=Constants!$B$3,FALSE(),TRUE())))</f>
        <v/>
      </c>
      <c r="AS229" s="100" t="str">
        <f aca="false">IF(ISBLANK($C229),"",IF($P229=Constants!$B$2,TRUE(),IF($P229=Constants!$B$3,FALSE(),FALSE())))</f>
        <v/>
      </c>
      <c r="AT229" s="100" t="str">
        <f aca="false">IF(ISBLANK($C229),"",IF($Q229=Constants!$B$2,TRUE(),IF($Q229=Constants!$B$3,FALSE(),FALSE())))</f>
        <v/>
      </c>
      <c r="AU229" s="100" t="str">
        <f aca="false">IF(ISBLANK($C229),"",IF($R229=Constants!$B$2,TRUE(),IF($R229=Constants!$B$3,FALSE(),FALSE())))</f>
        <v/>
      </c>
      <c r="AV229" s="100" t="str">
        <f aca="false">IF(ISBLANK($C229),"",IF($S229=Constants!$B$2,TRUE(),IF($S229=Constants!$B$3,FALSE(),FALSE())))</f>
        <v/>
      </c>
      <c r="AW229" s="100" t="str">
        <f aca="false">IF(ISBLANK($C229),"",IF($T229=Constants!$B$2,TRUE(),IF($T229=Constants!$B$3,FALSE(),FALSE())))</f>
        <v/>
      </c>
      <c r="AX229" s="100" t="str">
        <f aca="false">IF(ISBLANK($C229),"",IF(OR($U229&amp;""="1",$U229&amp;""="2",$U229&amp;""="3",$U229&amp;""="4"),VALUE($U229&amp;""),IF($U229=Constants!$B$12,Constants!$B$12,"")))</f>
        <v/>
      </c>
      <c r="AY229" s="100" t="str">
        <f aca="false">IF(ISBLANK($C229),"",IF(ISBLANK($V229),0,IF(ISNUMBER($V229),IF(AND($V229&gt;=0,$V229&lt;=Constants!$B$21,$V229=INT($V229)),$V229,""),"")))</f>
        <v/>
      </c>
      <c r="AZ229" s="100" t="str">
        <f aca="false">IF(ISBLANK($C229),"",IF(ISBLANK($W229),0,IF(ISNUMBER($W229),IF($W229&gt;=0,$W229,""),"")))</f>
        <v/>
      </c>
      <c r="BA229" s="100" t="str">
        <f aca="false">IF(ISBLANK($C229),"",IF($X229=Constants!$B$2,TRUE(),IF($X229=Constants!$B$3,FALSE(),TRUE())))</f>
        <v/>
      </c>
      <c r="BB229" s="100" t="str">
        <f aca="false">IF(ISBLANK($C229),"",IF($Y229=Constants!$B$2,TRUE(),IF($Y229=Constants!$B$3,FALSE(),FALSE())))</f>
        <v/>
      </c>
      <c r="BC229" s="100" t="str">
        <f aca="false">IF(ISBLANK($C229),"",IF(ISBLANK($Z229),0,IF(ISNUMBER($Z229),IF(AND($Z229&gt;=0,$Z229&lt;=Constants!$B$35,$Z229=INT($Z229)),$Z229,""),"")))</f>
        <v/>
      </c>
      <c r="BD229" s="100" t="str">
        <f aca="false">IF(ISBLANK($C229),"",IF($AA229=Constants!$B$2,TRUE(),IF($AA229=Constants!$B$3,FALSE(),TRUE())))</f>
        <v/>
      </c>
      <c r="BE229" s="100" t="str">
        <f aca="false">IF(ISBLANK($C229),"",IF($AB229=Constants!$B$2,TRUE(),IF($AB229=Constants!$B$3,FALSE(),TRUE())))</f>
        <v/>
      </c>
      <c r="BF229" s="100" t="str">
        <f aca="false">IF(ISBLANK($C229),"",IF(ISNUMBER($AC229),IF($AC229&gt;=0,$AC229,""),""))</f>
        <v/>
      </c>
      <c r="BG229" s="100" t="str">
        <f aca="false">IF(ISBLANK($C229),"",IF($AD229=Constants!$B$2,TRUE(),IF($AD229=Constants!$B$3,FALSE(),FALSE())))</f>
        <v/>
      </c>
      <c r="BH229" s="99" t="str">
        <f aca="false">IF(ISBLANK($C229),"",IF($BG229,Constants!$B$7,IF(COUNTA($E229:$AC229)=0,Constants!$B$6,IF(OR(COUNTA($G229:$AC229)=0,NOT($AK229),$AQ229),Constants!$B$5,IF(OR($CI229&lt;&gt;"",$CJ229,$CK229,$CL229,$CM229,$CN229,$CO229),Constants!$B$8,Constants!$B$4)))))</f>
        <v/>
      </c>
      <c r="BI229" s="100" t="str">
        <f aca="false">IF(ISBLANK($C229),"",IF($BH229&lt;&gt;Constants!$B$4,$BH229,IF(OR(NOT($AH229),NOT($AJ229),NOT($AR229)),Constants!$B$11,IF(OR(NOT($AP229),MAX($AL229,$AM229,$AN229)&gt;Constants!$B$30),Constants!$B$10,Constants!$B$9))))</f>
        <v/>
      </c>
      <c r="BJ229" s="100" t="str">
        <f aca="false">IF($BH229&lt;&gt;Constants!$B$4,"",IF(NOT($AJ229),0,MIN(Constants!$B$35,$BC229)))</f>
        <v/>
      </c>
      <c r="BK229" s="100" t="str">
        <f aca="false">IF($BH229&lt;&gt;Constants!$B$4,"",IF(NOT($AJ229),0,IF($AT229,Constants!$B$18,IF($AS229,Constants!$B$17,0))))</f>
        <v/>
      </c>
      <c r="BL229" s="100" t="str">
        <f aca="false">IF($BH229&lt;&gt;Constants!$B$4,"",IF(NOT($AJ229),0,Constants!$B$19*($AI229+$AU229+$AV229+$AW229)))</f>
        <v/>
      </c>
      <c r="BM229" s="100" t="str">
        <f aca="false">IF($BH229&lt;&gt;Constants!$B$4,"",IF(OR(NOT($AJ229),NOT(ISNUMBER($AX229))),0,CHOOSE($AX229,Constants!$B$13,Constants!$B$14,Constants!$B$15,Constants!$B$16)))</f>
        <v/>
      </c>
      <c r="BN229" s="100" t="str">
        <f aca="false">IF($BH229&lt;&gt;Constants!$B$4,"",IF(NOT($AJ229),0,Constants!$B$20*$AY229))</f>
        <v/>
      </c>
      <c r="BO229" s="100" t="str">
        <f aca="false">IF($BH229&lt;&gt;Constants!$B$4,"",IF(AND($AJ229,$BA229,$BB229),Constants!$B$22,0))</f>
        <v/>
      </c>
      <c r="BP229" s="100" t="str">
        <f aca="false">IF($BH229&lt;&gt;Constants!$B$4,"",IF(OR(NOT($AJ229),NOT($BA229)),0,IF($BF229&gt;=2*$AF$9,0,Constants!$B$23*INT(ROUND(MIN($BF229,$AF$9),6)))))</f>
        <v/>
      </c>
      <c r="BQ229" s="100" t="str">
        <f aca="false">IF($BH229&lt;&gt;Constants!$B$4,"",IF(NOT($AJ229),0,Constants!$B$24*INT(ROUND(MIN($AZ229,$AF$9),6))))</f>
        <v/>
      </c>
      <c r="BR229" s="100" t="str">
        <f aca="false">IF($BH229&lt;&gt;Constants!$B$4,"",IF(AND($AJ229,$BJ229=0),Constants!$B$25,0))</f>
        <v/>
      </c>
      <c r="BS229" s="100" t="str">
        <f aca="false">IF($BH229&lt;&gt;Constants!$B$4,"",MIN(Constants!$B$29,MAX(0,Constants!$B$27*Constants!$B$28*INT(ROUND((Constants!$B$26-$AL229)/Constants!$B$28,6))))+MIN(Constants!$B$29,MAX(0,Constants!$B$27*Constants!$B$28*INT(ROUND((Constants!$B$26-$AM229)/Constants!$B$28,6))))+MIN(Constants!$B$29,MAX(0,Constants!$B$27*Constants!$B$28*INT(ROUND((Constants!$B$26-$AN229)/Constants!$B$28,6)))))</f>
        <v/>
      </c>
      <c r="BT229" s="100" t="str">
        <f aca="false">IF($BH229&lt;&gt;Constants!$B$4,"",IF(NOT($AJ229),0,Constants!$B$31*INT(ROUND(MAX(0,MIN($BF229,2*$AF$9)-$AF$9),6))))</f>
        <v/>
      </c>
      <c r="BU229" s="100" t="str">
        <f aca="false">IF($BH229&lt;&gt;Constants!$B$4,"",Constants!$B$32*(($AL229&gt;Constants!$B$26)+($AM229&gt;Constants!$B$26)+($AN229&gt;Constants!$B$26)))</f>
        <v/>
      </c>
      <c r="BV229" s="100" t="str">
        <f aca="false">IF($BH229&lt;&gt;Constants!$B$4,"",IF(OR(NOT($AJ229),$AO229),0,Constants!$B$33))</f>
        <v/>
      </c>
      <c r="BW229" s="100" t="str">
        <f aca="false">IF($BH229&lt;&gt;Constants!$B$4,"",Constants!$B$34*$BJ229)</f>
        <v/>
      </c>
      <c r="BX229" s="100" t="str">
        <f aca="false">IF($BH229&lt;&gt;Constants!$B$4,"",IF(OR(NOT($AJ229),$BE229),0,Constants!$B$36))</f>
        <v/>
      </c>
      <c r="BY229" s="100" t="str">
        <f aca="false">IF($BH229&lt;&gt;Constants!$B$4,"",IF(OR(NOT($AJ229),$BD229),0,Constants!$B$37))</f>
        <v/>
      </c>
      <c r="BZ229" s="100" t="str">
        <f aca="false">IF($BH229&lt;&gt;Constants!$B$4,"",SUM($BT229:$BY229))</f>
        <v/>
      </c>
      <c r="CA229" s="100" t="str">
        <f aca="false">IF(ISBLANK($C229),"",IF($BH229&lt;&gt;Constants!$B$4,$BH229,SUM($BK229:$BS229)-$BZ229))</f>
        <v/>
      </c>
      <c r="CB229" s="100" t="str">
        <f aca="false">IF(ISBLANK($C229),"",IF($BH229&lt;&gt;Constants!$B$4,$BH229,RANK($CA229,$CA$9:$CA$508)))</f>
        <v/>
      </c>
      <c r="CC229" s="100" t="str">
        <f aca="false">IF(ISBLANK($C229),"",IF($BH229&lt;&gt;Constants!$B$4,$BH229,COUNTIFS($BI$9:$BI$508,"&lt;"&amp;$BI229)+COUNTIFS($BI$9:$BI$508,$BI229,$CB$9:$CB$508,"&lt;"&amp;$CB229)+1))</f>
        <v/>
      </c>
      <c r="CD229" s="100" t="str">
        <f aca="false">IF(ISBLANK($C229),"",IF($BH229&lt;&gt;Constants!$B$4,$BH229,RANK($BZ229,$BZ$9:$BZ$508,1)))</f>
        <v/>
      </c>
      <c r="CE229" s="100" t="str">
        <f aca="false">IF($BH229&lt;&gt;Constants!$B$4,"",$AL229+$AM229+$AN229)</f>
        <v/>
      </c>
      <c r="CF229" s="100" t="str">
        <f aca="false">IF(ISBLANK($C229),"",IF($BH229&lt;&gt;Constants!$B$4,$BH229,RANK($CE229,$CE$9:$CE$508,1)))</f>
        <v/>
      </c>
      <c r="CG229" s="100" t="str">
        <f aca="false">IF(ISBLANK($C229),"",IF($BH229&lt;&gt;Constants!$B$4,$BH229,COUNTIFS($BI$9:$BI$508,"&lt;"&amp;$BI229)+COUNTIFS($BI$9:$BI$508,$BI229,$CB$9:$CB$508,"&lt;"&amp;$CB229)+COUNTIFS($BI$9:$BI$508,$BI229,$CB$9:$CB$508,$CB229,$CD$9:$CD$508,"&lt;"&amp;$CD229)+COUNTIFS($BI$9:$BI$508,$BI229,$CB$9:$CB$508,$CB229,$CD$9:$CD$508,$CD229,$CF$9:$CF$508,"&lt;"&amp;$CF229)+1))</f>
        <v/>
      </c>
      <c r="CH229" s="100" t="str">
        <f aca="false">IF(ISBLANK($C229),"",IF($BH229&lt;&gt;Constants!$B$4,$BH229,$CC229-$CG229))</f>
        <v/>
      </c>
      <c r="CI229" s="100" t="str">
        <f aca="false">IF(ISBLANK($C229),"",IF(NOT($AJ229),"",IF(ISBLANK($D$7),$CI$5,IF(NOT(ISNUMBER($D$7)),$CI$6,""))))</f>
        <v/>
      </c>
      <c r="CJ229" s="100" t="str">
        <f aca="false">IF(ISBLANK($C229),"",OR($AL229="",$AM229="",$AN229=""))</f>
        <v/>
      </c>
      <c r="CK229" s="100" t="str">
        <f aca="false">IF(ISBLANK($C229),"",AND($AJ229,$AX229=""))</f>
        <v/>
      </c>
      <c r="CL229" s="100" t="str">
        <f aca="false">IF(ISBLANK($C229),"",AND($AJ229,$AY229=""))</f>
        <v/>
      </c>
      <c r="CM229" s="100" t="str">
        <f aca="false">IF(ISBLANK($C229),"",AND($AJ229,$AZ229=""))</f>
        <v/>
      </c>
      <c r="CN229" s="100" t="str">
        <f aca="false">IF(ISBLANK($C229),"",AND($AJ229,$BC229=""))</f>
        <v/>
      </c>
      <c r="CO229" s="100" t="str">
        <f aca="false">IF(ISBLANK($C229),"",AND($AJ229,$BF229=""))</f>
        <v/>
      </c>
      <c r="CP229" s="101"/>
      <c r="CQ229" s="102"/>
      <c r="CR229" s="103" t="str">
        <f aca="false">IF(ISBLANK($C229),"",IF($BH229=Constants!$B$8,$CI229,""))</f>
        <v/>
      </c>
      <c r="CS229" s="102" t="str">
        <f aca="false">IF(ISBLANK($C229),"",IF($BH229&lt;&gt;Constants!$B$4,"",$BK229+$BL229))</f>
        <v/>
      </c>
      <c r="CT229" s="104" t="str">
        <f aca="false">IF(ISBLANK($C229),"",IF($BH229&lt;&gt;Constants!$B$4,"",$BM229+$BN229+$BO229))</f>
        <v/>
      </c>
      <c r="CU229" s="104" t="str">
        <f aca="false">IF(ISBLANK($C229),"",IF($BH229&lt;&gt;Constants!$B$4,"",$BP229))</f>
        <v/>
      </c>
      <c r="CV229" s="104" t="str">
        <f aca="false">IF(ISBLANK($C229),"",IF($BH229&lt;&gt;Constants!$B$4,"",$BQ229+$BR229))</f>
        <v/>
      </c>
      <c r="CW229" s="104" t="str">
        <f aca="false">IF(ISBLANK($C229),"",IF($BH229&lt;&gt;Constants!$B$4,"",$BS229))</f>
        <v/>
      </c>
      <c r="CX229" s="104" t="str">
        <f aca="false">IF(ISBLANK($C229),"",IF($BH229&lt;&gt;Constants!$B$4,"",-$BZ229))</f>
        <v/>
      </c>
      <c r="CY229" s="103" t="str">
        <f aca="false">IF(ISBLANK($C229),"",$CA229)</f>
        <v/>
      </c>
      <c r="CZ229" s="105" t="str">
        <f aca="false">IF(ISBLANK($C229),"",$BI229)</f>
        <v/>
      </c>
      <c r="DA229" s="104" t="str">
        <f aca="false">IF(ISBLANK($C229),"",$CH229)</f>
        <v/>
      </c>
      <c r="DB229" s="104" t="str">
        <f aca="false">IF(ISBLANK($C229),"",$CG229)</f>
        <v/>
      </c>
      <c r="DC229" s="106" t="str">
        <f aca="false">IF(ISBLANK($C229),"",IFERROR(_xlfn.SWITCH($DB229,Constants!$B$7,COUNTA($C$9:$C$508)+2,Constants!$B$6,COUNTA($C$9:$C$508)+1,Constants!$B$5,COUNTA($C$9:$C$508)),$DB229))</f>
        <v/>
      </c>
      <c r="DD229" s="7"/>
      <c r="DE229" s="107" t="n">
        <f aca="false">IF(OR(ISNUMBER($DB229),$DB229=Constants!$B$7,$DB229=Constants!$B$5,$DB229=Constants!$B$6),1,0)</f>
        <v>0</v>
      </c>
      <c r="DF229" s="107" t="n">
        <v>221</v>
      </c>
      <c r="DG229" s="107" t="str">
        <f aca="false">IF(ISBLANK($C229),"",IF(ISNUMBER($DC229),$DC229+ROW($B229)/1000,""))</f>
        <v/>
      </c>
      <c r="DH229" s="107" t="str">
        <f aca="false">IF(ISNUMBER($DG229),RANK($DG229,$DG$9:$DG$508,1),"")</f>
        <v/>
      </c>
      <c r="DI229" s="107" t="str">
        <f aca="false">IF(ISBLANK($C229),"",$B229)</f>
        <v/>
      </c>
      <c r="DJ229" s="107" t="str">
        <f aca="false">IF(ISBLANK($C229),"",$C229)</f>
        <v/>
      </c>
      <c r="DK229" s="107" t="str">
        <f aca="false">IF(ISBLANK($C229),"",$D229)</f>
        <v/>
      </c>
      <c r="DL229" s="108" t="str">
        <f aca="false">$CZ229</f>
        <v/>
      </c>
      <c r="DM229" s="109" t="str">
        <f aca="false">$CY229</f>
        <v/>
      </c>
      <c r="DN229" s="107" t="str">
        <f aca="false">IF(ISBLANK($C229),"",$DB229)</f>
        <v/>
      </c>
      <c r="DO229" s="110" t="str">
        <f aca="false">IF($DF229&gt;$DE$8,"",VLOOKUP($DF229,$DH$9:$DN$508,7,FALSE()))</f>
        <v/>
      </c>
      <c r="DP229" s="111" t="str">
        <f aca="false">IF($DF229&gt;$DE$8,"",VLOOKUP($DF229,$DH$9:$DN$508,2,FALSE()))</f>
        <v/>
      </c>
      <c r="DQ229" s="111" t="str">
        <f aca="false">IF($DF229&gt;$DE$8,"",VLOOKUP($DF229,$DH$9:$DN$508,3,FALSE()))</f>
        <v/>
      </c>
      <c r="DR229" s="111" t="str">
        <f aca="false">IF($DF229&gt;$DE$8,"",VLOOKUP($DF229,$DH$9:$DN$508,4,FALSE()))</f>
        <v/>
      </c>
      <c r="DS229" s="111" t="str">
        <f aca="false">IF($DF229&gt;$DE$8,"",VLOOKUP($DF229,$DH$9:$DN$508,5,FALSE()))</f>
        <v/>
      </c>
      <c r="DT229" s="112" t="str">
        <f aca="false">IF($DF229&gt;$DE$8,"",VLOOKUP($DF229,$DH$9:$DN$508,6,FALSE()))</f>
        <v/>
      </c>
      <c r="DU229" s="62"/>
    </row>
    <row r="230" customFormat="false" ht="15.75" hidden="false" customHeight="false" outlineLevel="0" collapsed="false">
      <c r="A230" s="7"/>
      <c r="B230" s="90"/>
      <c r="C230" s="91"/>
      <c r="D230" s="126"/>
      <c r="E230" s="130"/>
      <c r="F230" s="135"/>
      <c r="G230" s="130"/>
      <c r="H230" s="135"/>
      <c r="I230" s="131"/>
      <c r="J230" s="131"/>
      <c r="K230" s="131"/>
      <c r="L230" s="130"/>
      <c r="M230" s="130"/>
      <c r="N230" s="130"/>
      <c r="O230" s="135"/>
      <c r="P230" s="130"/>
      <c r="Q230" s="130"/>
      <c r="R230" s="130"/>
      <c r="S230" s="130"/>
      <c r="T230" s="135"/>
      <c r="U230" s="130"/>
      <c r="V230" s="96"/>
      <c r="W230" s="130"/>
      <c r="X230" s="130"/>
      <c r="Y230" s="96"/>
      <c r="Z230" s="96"/>
      <c r="AA230" s="130"/>
      <c r="AB230" s="130"/>
      <c r="AC230" s="97"/>
      <c r="AD230" s="130"/>
      <c r="AE230" s="99"/>
      <c r="AF230" s="100"/>
      <c r="AG230" s="100"/>
      <c r="AH230" s="100" t="str">
        <f aca="false">IF(ISBLANK($C230),"",IF($E230=Constants!$B$2,TRUE(),IF($E230=Constants!$B$3,FALSE(),TRUE())))</f>
        <v/>
      </c>
      <c r="AI230" s="100" t="str">
        <f aca="false">IF(ISBLANK($C230),"",IF($F230=Constants!$B$2,TRUE(),IF($F230=Constants!$B$3,FALSE(),FALSE())))</f>
        <v/>
      </c>
      <c r="AJ230" s="100" t="str">
        <f aca="false">IF(ISBLANK($C230),"",IF($G230=Constants!$B$2,TRUE(),IF($G230=Constants!$B$3,FALSE(),TRUE())))</f>
        <v/>
      </c>
      <c r="AK230" s="100" t="str">
        <f aca="false">IF(ISBLANK($C230),"",IF($H230=Constants!$B$2,TRUE(),IF($H230=Constants!$B$3,FALSE(),TRUE())))</f>
        <v/>
      </c>
      <c r="AL230" s="100" t="str">
        <f aca="false">IF(ISBLANK($C230),"",IF(ISNUMBER($I230),IF($I230&gt;=0,$I230,""),""))</f>
        <v/>
      </c>
      <c r="AM230" s="100" t="str">
        <f aca="false">IF(ISBLANK($C230),"",IF(ISNUMBER($J230),IF($J230&gt;=0,$J230,""),""))</f>
        <v/>
      </c>
      <c r="AN230" s="100" t="str">
        <f aca="false">IF(ISBLANK($C230),"",IF(ISNUMBER($K230),IF($K230&gt;=0,$K230,""),""))</f>
        <v/>
      </c>
      <c r="AO230" s="100" t="str">
        <f aca="false">IF(ISBLANK($C230),"",IF($L230=Constants!$B$2,TRUE(),IF($L230=Constants!$B$3,FALSE(),TRUE())))</f>
        <v/>
      </c>
      <c r="AP230" s="100" t="str">
        <f aca="false">IF(ISBLANK($C230),"",IF($M230=Constants!$B$2,TRUE(),IF($M230=Constants!$B$3,FALSE(),TRUE())))</f>
        <v/>
      </c>
      <c r="AQ230" s="100" t="str">
        <f aca="false">IF(ISBLANK($C230),"",IF($N230=Constants!$B$2,TRUE(),IF($N230=Constants!$B$3,FALSE(),FALSE())))</f>
        <v/>
      </c>
      <c r="AR230" s="100" t="str">
        <f aca="false">IF(ISBLANK($C230),"",IF($O230=Constants!$B$2,TRUE(),IF($O230=Constants!$B$3,FALSE(),TRUE())))</f>
        <v/>
      </c>
      <c r="AS230" s="100" t="str">
        <f aca="false">IF(ISBLANK($C230),"",IF($P230=Constants!$B$2,TRUE(),IF($P230=Constants!$B$3,FALSE(),FALSE())))</f>
        <v/>
      </c>
      <c r="AT230" s="100" t="str">
        <f aca="false">IF(ISBLANK($C230),"",IF($Q230=Constants!$B$2,TRUE(),IF($Q230=Constants!$B$3,FALSE(),FALSE())))</f>
        <v/>
      </c>
      <c r="AU230" s="100" t="str">
        <f aca="false">IF(ISBLANK($C230),"",IF($R230=Constants!$B$2,TRUE(),IF($R230=Constants!$B$3,FALSE(),FALSE())))</f>
        <v/>
      </c>
      <c r="AV230" s="100" t="str">
        <f aca="false">IF(ISBLANK($C230),"",IF($S230=Constants!$B$2,TRUE(),IF($S230=Constants!$B$3,FALSE(),FALSE())))</f>
        <v/>
      </c>
      <c r="AW230" s="100" t="str">
        <f aca="false">IF(ISBLANK($C230),"",IF($T230=Constants!$B$2,TRUE(),IF($T230=Constants!$B$3,FALSE(),FALSE())))</f>
        <v/>
      </c>
      <c r="AX230" s="100" t="str">
        <f aca="false">IF(ISBLANK($C230),"",IF(OR($U230&amp;""="1",$U230&amp;""="2",$U230&amp;""="3",$U230&amp;""="4"),VALUE($U230&amp;""),IF($U230=Constants!$B$12,Constants!$B$12,"")))</f>
        <v/>
      </c>
      <c r="AY230" s="100" t="str">
        <f aca="false">IF(ISBLANK($C230),"",IF(ISBLANK($V230),0,IF(ISNUMBER($V230),IF(AND($V230&gt;=0,$V230&lt;=Constants!$B$21,$V230=INT($V230)),$V230,""),"")))</f>
        <v/>
      </c>
      <c r="AZ230" s="100" t="str">
        <f aca="false">IF(ISBLANK($C230),"",IF(ISBLANK($W230),0,IF(ISNUMBER($W230),IF($W230&gt;=0,$W230,""),"")))</f>
        <v/>
      </c>
      <c r="BA230" s="100" t="str">
        <f aca="false">IF(ISBLANK($C230),"",IF($X230=Constants!$B$2,TRUE(),IF($X230=Constants!$B$3,FALSE(),TRUE())))</f>
        <v/>
      </c>
      <c r="BB230" s="100" t="str">
        <f aca="false">IF(ISBLANK($C230),"",IF($Y230=Constants!$B$2,TRUE(),IF($Y230=Constants!$B$3,FALSE(),FALSE())))</f>
        <v/>
      </c>
      <c r="BC230" s="100" t="str">
        <f aca="false">IF(ISBLANK($C230),"",IF(ISBLANK($Z230),0,IF(ISNUMBER($Z230),IF(AND($Z230&gt;=0,$Z230&lt;=Constants!$B$35,$Z230=INT($Z230)),$Z230,""),"")))</f>
        <v/>
      </c>
      <c r="BD230" s="100" t="str">
        <f aca="false">IF(ISBLANK($C230),"",IF($AA230=Constants!$B$2,TRUE(),IF($AA230=Constants!$B$3,FALSE(),TRUE())))</f>
        <v/>
      </c>
      <c r="BE230" s="100" t="str">
        <f aca="false">IF(ISBLANK($C230),"",IF($AB230=Constants!$B$2,TRUE(),IF($AB230=Constants!$B$3,FALSE(),TRUE())))</f>
        <v/>
      </c>
      <c r="BF230" s="100" t="str">
        <f aca="false">IF(ISBLANK($C230),"",IF(ISNUMBER($AC230),IF($AC230&gt;=0,$AC230,""),""))</f>
        <v/>
      </c>
      <c r="BG230" s="100" t="str">
        <f aca="false">IF(ISBLANK($C230),"",IF($AD230=Constants!$B$2,TRUE(),IF($AD230=Constants!$B$3,FALSE(),FALSE())))</f>
        <v/>
      </c>
      <c r="BH230" s="99" t="str">
        <f aca="false">IF(ISBLANK($C230),"",IF($BG230,Constants!$B$7,IF(COUNTA($E230:$AC230)=0,Constants!$B$6,IF(OR(COUNTA($G230:$AC230)=0,NOT($AK230),$AQ230),Constants!$B$5,IF(OR($CI230&lt;&gt;"",$CJ230,$CK230,$CL230,$CM230,$CN230,$CO230),Constants!$B$8,Constants!$B$4)))))</f>
        <v/>
      </c>
      <c r="BI230" s="100" t="str">
        <f aca="false">IF(ISBLANK($C230),"",IF($BH230&lt;&gt;Constants!$B$4,$BH230,IF(OR(NOT($AH230),NOT($AJ230),NOT($AR230)),Constants!$B$11,IF(OR(NOT($AP230),MAX($AL230,$AM230,$AN230)&gt;Constants!$B$30),Constants!$B$10,Constants!$B$9))))</f>
        <v/>
      </c>
      <c r="BJ230" s="100" t="str">
        <f aca="false">IF($BH230&lt;&gt;Constants!$B$4,"",IF(NOT($AJ230),0,MIN(Constants!$B$35,$BC230)))</f>
        <v/>
      </c>
      <c r="BK230" s="100" t="str">
        <f aca="false">IF($BH230&lt;&gt;Constants!$B$4,"",IF(NOT($AJ230),0,IF($AT230,Constants!$B$18,IF($AS230,Constants!$B$17,0))))</f>
        <v/>
      </c>
      <c r="BL230" s="100" t="str">
        <f aca="false">IF($BH230&lt;&gt;Constants!$B$4,"",IF(NOT($AJ230),0,Constants!$B$19*($AI230+$AU230+$AV230+$AW230)))</f>
        <v/>
      </c>
      <c r="BM230" s="100" t="str">
        <f aca="false">IF($BH230&lt;&gt;Constants!$B$4,"",IF(OR(NOT($AJ230),NOT(ISNUMBER($AX230))),0,CHOOSE($AX230,Constants!$B$13,Constants!$B$14,Constants!$B$15,Constants!$B$16)))</f>
        <v/>
      </c>
      <c r="BN230" s="100" t="str">
        <f aca="false">IF($BH230&lt;&gt;Constants!$B$4,"",IF(NOT($AJ230),0,Constants!$B$20*$AY230))</f>
        <v/>
      </c>
      <c r="BO230" s="100" t="str">
        <f aca="false">IF($BH230&lt;&gt;Constants!$B$4,"",IF(AND($AJ230,$BA230,$BB230),Constants!$B$22,0))</f>
        <v/>
      </c>
      <c r="BP230" s="100" t="str">
        <f aca="false">IF($BH230&lt;&gt;Constants!$B$4,"",IF(OR(NOT($AJ230),NOT($BA230)),0,IF($BF230&gt;=2*$AF$9,0,Constants!$B$23*INT(ROUND(MIN($BF230,$AF$9),6)))))</f>
        <v/>
      </c>
      <c r="BQ230" s="100" t="str">
        <f aca="false">IF($BH230&lt;&gt;Constants!$B$4,"",IF(NOT($AJ230),0,Constants!$B$24*INT(ROUND(MIN($AZ230,$AF$9),6))))</f>
        <v/>
      </c>
      <c r="BR230" s="100" t="str">
        <f aca="false">IF($BH230&lt;&gt;Constants!$B$4,"",IF(AND($AJ230,$BJ230=0),Constants!$B$25,0))</f>
        <v/>
      </c>
      <c r="BS230" s="100" t="str">
        <f aca="false">IF($BH230&lt;&gt;Constants!$B$4,"",MIN(Constants!$B$29,MAX(0,Constants!$B$27*Constants!$B$28*INT(ROUND((Constants!$B$26-$AL230)/Constants!$B$28,6))))+MIN(Constants!$B$29,MAX(0,Constants!$B$27*Constants!$B$28*INT(ROUND((Constants!$B$26-$AM230)/Constants!$B$28,6))))+MIN(Constants!$B$29,MAX(0,Constants!$B$27*Constants!$B$28*INT(ROUND((Constants!$B$26-$AN230)/Constants!$B$28,6)))))</f>
        <v/>
      </c>
      <c r="BT230" s="100" t="str">
        <f aca="false">IF($BH230&lt;&gt;Constants!$B$4,"",IF(NOT($AJ230),0,Constants!$B$31*INT(ROUND(MAX(0,MIN($BF230,2*$AF$9)-$AF$9),6))))</f>
        <v/>
      </c>
      <c r="BU230" s="100" t="str">
        <f aca="false">IF($BH230&lt;&gt;Constants!$B$4,"",Constants!$B$32*(($AL230&gt;Constants!$B$26)+($AM230&gt;Constants!$B$26)+($AN230&gt;Constants!$B$26)))</f>
        <v/>
      </c>
      <c r="BV230" s="100" t="str">
        <f aca="false">IF($BH230&lt;&gt;Constants!$B$4,"",IF(OR(NOT($AJ230),$AO230),0,Constants!$B$33))</f>
        <v/>
      </c>
      <c r="BW230" s="100" t="str">
        <f aca="false">IF($BH230&lt;&gt;Constants!$B$4,"",Constants!$B$34*$BJ230)</f>
        <v/>
      </c>
      <c r="BX230" s="100" t="str">
        <f aca="false">IF($BH230&lt;&gt;Constants!$B$4,"",IF(OR(NOT($AJ230),$BE230),0,Constants!$B$36))</f>
        <v/>
      </c>
      <c r="BY230" s="100" t="str">
        <f aca="false">IF($BH230&lt;&gt;Constants!$B$4,"",IF(OR(NOT($AJ230),$BD230),0,Constants!$B$37))</f>
        <v/>
      </c>
      <c r="BZ230" s="100" t="str">
        <f aca="false">IF($BH230&lt;&gt;Constants!$B$4,"",SUM($BT230:$BY230))</f>
        <v/>
      </c>
      <c r="CA230" s="100" t="str">
        <f aca="false">IF(ISBLANK($C230),"",IF($BH230&lt;&gt;Constants!$B$4,$BH230,SUM($BK230:$BS230)-$BZ230))</f>
        <v/>
      </c>
      <c r="CB230" s="100" t="str">
        <f aca="false">IF(ISBLANK($C230),"",IF($BH230&lt;&gt;Constants!$B$4,$BH230,RANK($CA230,$CA$9:$CA$508)))</f>
        <v/>
      </c>
      <c r="CC230" s="100" t="str">
        <f aca="false">IF(ISBLANK($C230),"",IF($BH230&lt;&gt;Constants!$B$4,$BH230,COUNTIFS($BI$9:$BI$508,"&lt;"&amp;$BI230)+COUNTIFS($BI$9:$BI$508,$BI230,$CB$9:$CB$508,"&lt;"&amp;$CB230)+1))</f>
        <v/>
      </c>
      <c r="CD230" s="100" t="str">
        <f aca="false">IF(ISBLANK($C230),"",IF($BH230&lt;&gt;Constants!$B$4,$BH230,RANK($BZ230,$BZ$9:$BZ$508,1)))</f>
        <v/>
      </c>
      <c r="CE230" s="100" t="str">
        <f aca="false">IF($BH230&lt;&gt;Constants!$B$4,"",$AL230+$AM230+$AN230)</f>
        <v/>
      </c>
      <c r="CF230" s="100" t="str">
        <f aca="false">IF(ISBLANK($C230),"",IF($BH230&lt;&gt;Constants!$B$4,$BH230,RANK($CE230,$CE$9:$CE$508,1)))</f>
        <v/>
      </c>
      <c r="CG230" s="100" t="str">
        <f aca="false">IF(ISBLANK($C230),"",IF($BH230&lt;&gt;Constants!$B$4,$BH230,COUNTIFS($BI$9:$BI$508,"&lt;"&amp;$BI230)+COUNTIFS($BI$9:$BI$508,$BI230,$CB$9:$CB$508,"&lt;"&amp;$CB230)+COUNTIFS($BI$9:$BI$508,$BI230,$CB$9:$CB$508,$CB230,$CD$9:$CD$508,"&lt;"&amp;$CD230)+COUNTIFS($BI$9:$BI$508,$BI230,$CB$9:$CB$508,$CB230,$CD$9:$CD$508,$CD230,$CF$9:$CF$508,"&lt;"&amp;$CF230)+1))</f>
        <v/>
      </c>
      <c r="CH230" s="100" t="str">
        <f aca="false">IF(ISBLANK($C230),"",IF($BH230&lt;&gt;Constants!$B$4,$BH230,$CC230-$CG230))</f>
        <v/>
      </c>
      <c r="CI230" s="100" t="str">
        <f aca="false">IF(ISBLANK($C230),"",IF(NOT($AJ230),"",IF(ISBLANK($D$7),$CI$5,IF(NOT(ISNUMBER($D$7)),$CI$6,""))))</f>
        <v/>
      </c>
      <c r="CJ230" s="100" t="str">
        <f aca="false">IF(ISBLANK($C230),"",OR($AL230="",$AM230="",$AN230=""))</f>
        <v/>
      </c>
      <c r="CK230" s="100" t="str">
        <f aca="false">IF(ISBLANK($C230),"",AND($AJ230,$AX230=""))</f>
        <v/>
      </c>
      <c r="CL230" s="100" t="str">
        <f aca="false">IF(ISBLANK($C230),"",AND($AJ230,$AY230=""))</f>
        <v/>
      </c>
      <c r="CM230" s="100" t="str">
        <f aca="false">IF(ISBLANK($C230),"",AND($AJ230,$AZ230=""))</f>
        <v/>
      </c>
      <c r="CN230" s="100" t="str">
        <f aca="false">IF(ISBLANK($C230),"",AND($AJ230,$BC230=""))</f>
        <v/>
      </c>
      <c r="CO230" s="100" t="str">
        <f aca="false">IF(ISBLANK($C230),"",AND($AJ230,$BF230=""))</f>
        <v/>
      </c>
      <c r="CP230" s="101"/>
      <c r="CQ230" s="102"/>
      <c r="CR230" s="103" t="str">
        <f aca="false">IF(ISBLANK($C230),"",IF($BH230=Constants!$B$8,$CI230,""))</f>
        <v/>
      </c>
      <c r="CS230" s="102" t="str">
        <f aca="false">IF(ISBLANK($C230),"",IF($BH230&lt;&gt;Constants!$B$4,"",$BK230+$BL230))</f>
        <v/>
      </c>
      <c r="CT230" s="104" t="str">
        <f aca="false">IF(ISBLANK($C230),"",IF($BH230&lt;&gt;Constants!$B$4,"",$BM230+$BN230+$BO230))</f>
        <v/>
      </c>
      <c r="CU230" s="104" t="str">
        <f aca="false">IF(ISBLANK($C230),"",IF($BH230&lt;&gt;Constants!$B$4,"",$BP230))</f>
        <v/>
      </c>
      <c r="CV230" s="104" t="str">
        <f aca="false">IF(ISBLANK($C230),"",IF($BH230&lt;&gt;Constants!$B$4,"",$BQ230+$BR230))</f>
        <v/>
      </c>
      <c r="CW230" s="104" t="str">
        <f aca="false">IF(ISBLANK($C230),"",IF($BH230&lt;&gt;Constants!$B$4,"",$BS230))</f>
        <v/>
      </c>
      <c r="CX230" s="104" t="str">
        <f aca="false">IF(ISBLANK($C230),"",IF($BH230&lt;&gt;Constants!$B$4,"",-$BZ230))</f>
        <v/>
      </c>
      <c r="CY230" s="103" t="str">
        <f aca="false">IF(ISBLANK($C230),"",$CA230)</f>
        <v/>
      </c>
      <c r="CZ230" s="105" t="str">
        <f aca="false">IF(ISBLANK($C230),"",$BI230)</f>
        <v/>
      </c>
      <c r="DA230" s="104" t="str">
        <f aca="false">IF(ISBLANK($C230),"",$CH230)</f>
        <v/>
      </c>
      <c r="DB230" s="104" t="str">
        <f aca="false">IF(ISBLANK($C230),"",$CG230)</f>
        <v/>
      </c>
      <c r="DC230" s="106" t="str">
        <f aca="false">IF(ISBLANK($C230),"",IFERROR(_xlfn.SWITCH($DB230,Constants!$B$7,COUNTA($C$9:$C$508)+2,Constants!$B$6,COUNTA($C$9:$C$508)+1,Constants!$B$5,COUNTA($C$9:$C$508)),$DB230))</f>
        <v/>
      </c>
      <c r="DD230" s="7"/>
      <c r="DE230" s="107" t="n">
        <f aca="false">IF(OR(ISNUMBER($DB230),$DB230=Constants!$B$7,$DB230=Constants!$B$5,$DB230=Constants!$B$6),1,0)</f>
        <v>0</v>
      </c>
      <c r="DF230" s="107" t="n">
        <v>222</v>
      </c>
      <c r="DG230" s="107" t="str">
        <f aca="false">IF(ISBLANK($C230),"",IF(ISNUMBER($DC230),$DC230+ROW($B230)/1000,""))</f>
        <v/>
      </c>
      <c r="DH230" s="107" t="str">
        <f aca="false">IF(ISNUMBER($DG230),RANK($DG230,$DG$9:$DG$508,1),"")</f>
        <v/>
      </c>
      <c r="DI230" s="107" t="str">
        <f aca="false">IF(ISBLANK($C230),"",$B230)</f>
        <v/>
      </c>
      <c r="DJ230" s="107" t="str">
        <f aca="false">IF(ISBLANK($C230),"",$C230)</f>
        <v/>
      </c>
      <c r="DK230" s="107" t="str">
        <f aca="false">IF(ISBLANK($C230),"",$D230)</f>
        <v/>
      </c>
      <c r="DL230" s="108" t="str">
        <f aca="false">$CZ230</f>
        <v/>
      </c>
      <c r="DM230" s="109" t="str">
        <f aca="false">$CY230</f>
        <v/>
      </c>
      <c r="DN230" s="107" t="str">
        <f aca="false">IF(ISBLANK($C230),"",$DB230)</f>
        <v/>
      </c>
      <c r="DO230" s="110" t="str">
        <f aca="false">IF($DF230&gt;$DE$8,"",VLOOKUP($DF230,$DH$9:$DN$508,7,FALSE()))</f>
        <v/>
      </c>
      <c r="DP230" s="111" t="str">
        <f aca="false">IF($DF230&gt;$DE$8,"",VLOOKUP($DF230,$DH$9:$DN$508,2,FALSE()))</f>
        <v/>
      </c>
      <c r="DQ230" s="111" t="str">
        <f aca="false">IF($DF230&gt;$DE$8,"",VLOOKUP($DF230,$DH$9:$DN$508,3,FALSE()))</f>
        <v/>
      </c>
      <c r="DR230" s="111" t="str">
        <f aca="false">IF($DF230&gt;$DE$8,"",VLOOKUP($DF230,$DH$9:$DN$508,4,FALSE()))</f>
        <v/>
      </c>
      <c r="DS230" s="111" t="str">
        <f aca="false">IF($DF230&gt;$DE$8,"",VLOOKUP($DF230,$DH$9:$DN$508,5,FALSE()))</f>
        <v/>
      </c>
      <c r="DT230" s="112" t="str">
        <f aca="false">IF($DF230&gt;$DE$8,"",VLOOKUP($DF230,$DH$9:$DN$508,6,FALSE()))</f>
        <v/>
      </c>
      <c r="DU230" s="62"/>
    </row>
    <row r="231" customFormat="false" ht="15.75" hidden="false" customHeight="false" outlineLevel="0" collapsed="false">
      <c r="A231" s="7"/>
      <c r="B231" s="64"/>
      <c r="C231" s="65"/>
      <c r="D231" s="123"/>
      <c r="E231" s="88"/>
      <c r="F231" s="134"/>
      <c r="G231" s="88"/>
      <c r="H231" s="134"/>
      <c r="I231" s="119"/>
      <c r="J231" s="119"/>
      <c r="K231" s="119"/>
      <c r="L231" s="88"/>
      <c r="M231" s="88"/>
      <c r="N231" s="88"/>
      <c r="O231" s="134"/>
      <c r="P231" s="88"/>
      <c r="Q231" s="88"/>
      <c r="R231" s="88"/>
      <c r="S231" s="88"/>
      <c r="T231" s="134"/>
      <c r="U231" s="88"/>
      <c r="V231" s="70"/>
      <c r="W231" s="88"/>
      <c r="X231" s="88"/>
      <c r="Y231" s="70"/>
      <c r="Z231" s="70"/>
      <c r="AA231" s="88"/>
      <c r="AB231" s="88"/>
      <c r="AC231" s="71"/>
      <c r="AD231" s="88"/>
      <c r="AE231" s="73"/>
      <c r="AF231" s="74"/>
      <c r="AG231" s="74"/>
      <c r="AH231" s="74" t="str">
        <f aca="false">IF(ISBLANK($C231),"",IF($E231=Constants!$B$2,TRUE(),IF($E231=Constants!$B$3,FALSE(),TRUE())))</f>
        <v/>
      </c>
      <c r="AI231" s="74" t="str">
        <f aca="false">IF(ISBLANK($C231),"",IF($F231=Constants!$B$2,TRUE(),IF($F231=Constants!$B$3,FALSE(),FALSE())))</f>
        <v/>
      </c>
      <c r="AJ231" s="74" t="str">
        <f aca="false">IF(ISBLANK($C231),"",IF($G231=Constants!$B$2,TRUE(),IF($G231=Constants!$B$3,FALSE(),TRUE())))</f>
        <v/>
      </c>
      <c r="AK231" s="74" t="str">
        <f aca="false">IF(ISBLANK($C231),"",IF($H231=Constants!$B$2,TRUE(),IF($H231=Constants!$B$3,FALSE(),TRUE())))</f>
        <v/>
      </c>
      <c r="AL231" s="74" t="str">
        <f aca="false">IF(ISBLANK($C231),"",IF(ISNUMBER($I231),IF($I231&gt;=0,$I231,""),""))</f>
        <v/>
      </c>
      <c r="AM231" s="74" t="str">
        <f aca="false">IF(ISBLANK($C231),"",IF(ISNUMBER($J231),IF($J231&gt;=0,$J231,""),""))</f>
        <v/>
      </c>
      <c r="AN231" s="74" t="str">
        <f aca="false">IF(ISBLANK($C231),"",IF(ISNUMBER($K231),IF($K231&gt;=0,$K231,""),""))</f>
        <v/>
      </c>
      <c r="AO231" s="74" t="str">
        <f aca="false">IF(ISBLANK($C231),"",IF($L231=Constants!$B$2,TRUE(),IF($L231=Constants!$B$3,FALSE(),TRUE())))</f>
        <v/>
      </c>
      <c r="AP231" s="74" t="str">
        <f aca="false">IF(ISBLANK($C231),"",IF($M231=Constants!$B$2,TRUE(),IF($M231=Constants!$B$3,FALSE(),TRUE())))</f>
        <v/>
      </c>
      <c r="AQ231" s="74" t="str">
        <f aca="false">IF(ISBLANK($C231),"",IF($N231=Constants!$B$2,TRUE(),IF($N231=Constants!$B$3,FALSE(),FALSE())))</f>
        <v/>
      </c>
      <c r="AR231" s="74" t="str">
        <f aca="false">IF(ISBLANK($C231),"",IF($O231=Constants!$B$2,TRUE(),IF($O231=Constants!$B$3,FALSE(),TRUE())))</f>
        <v/>
      </c>
      <c r="AS231" s="74" t="str">
        <f aca="false">IF(ISBLANK($C231),"",IF($P231=Constants!$B$2,TRUE(),IF($P231=Constants!$B$3,FALSE(),FALSE())))</f>
        <v/>
      </c>
      <c r="AT231" s="74" t="str">
        <f aca="false">IF(ISBLANK($C231),"",IF($Q231=Constants!$B$2,TRUE(),IF($Q231=Constants!$B$3,FALSE(),FALSE())))</f>
        <v/>
      </c>
      <c r="AU231" s="74" t="str">
        <f aca="false">IF(ISBLANK($C231),"",IF($R231=Constants!$B$2,TRUE(),IF($R231=Constants!$B$3,FALSE(),FALSE())))</f>
        <v/>
      </c>
      <c r="AV231" s="74" t="str">
        <f aca="false">IF(ISBLANK($C231),"",IF($S231=Constants!$B$2,TRUE(),IF($S231=Constants!$B$3,FALSE(),FALSE())))</f>
        <v/>
      </c>
      <c r="AW231" s="74" t="str">
        <f aca="false">IF(ISBLANK($C231),"",IF($T231=Constants!$B$2,TRUE(),IF($T231=Constants!$B$3,FALSE(),FALSE())))</f>
        <v/>
      </c>
      <c r="AX231" s="74" t="str">
        <f aca="false">IF(ISBLANK($C231),"",IF(OR($U231&amp;""="1",$U231&amp;""="2",$U231&amp;""="3",$U231&amp;""="4"),VALUE($U231&amp;""),IF($U231=Constants!$B$12,Constants!$B$12,"")))</f>
        <v/>
      </c>
      <c r="AY231" s="74" t="str">
        <f aca="false">IF(ISBLANK($C231),"",IF(ISBLANK($V231),0,IF(ISNUMBER($V231),IF(AND($V231&gt;=0,$V231&lt;=Constants!$B$21,$V231=INT($V231)),$V231,""),"")))</f>
        <v/>
      </c>
      <c r="AZ231" s="74" t="str">
        <f aca="false">IF(ISBLANK($C231),"",IF(ISBLANK($W231),0,IF(ISNUMBER($W231),IF($W231&gt;=0,$W231,""),"")))</f>
        <v/>
      </c>
      <c r="BA231" s="74" t="str">
        <f aca="false">IF(ISBLANK($C231),"",IF($X231=Constants!$B$2,TRUE(),IF($X231=Constants!$B$3,FALSE(),TRUE())))</f>
        <v/>
      </c>
      <c r="BB231" s="74" t="str">
        <f aca="false">IF(ISBLANK($C231),"",IF($Y231=Constants!$B$2,TRUE(),IF($Y231=Constants!$B$3,FALSE(),FALSE())))</f>
        <v/>
      </c>
      <c r="BC231" s="74" t="str">
        <f aca="false">IF(ISBLANK($C231),"",IF(ISBLANK($Z231),0,IF(ISNUMBER($Z231),IF(AND($Z231&gt;=0,$Z231&lt;=Constants!$B$35,$Z231=INT($Z231)),$Z231,""),"")))</f>
        <v/>
      </c>
      <c r="BD231" s="74" t="str">
        <f aca="false">IF(ISBLANK($C231),"",IF($AA231=Constants!$B$2,TRUE(),IF($AA231=Constants!$B$3,FALSE(),TRUE())))</f>
        <v/>
      </c>
      <c r="BE231" s="74" t="str">
        <f aca="false">IF(ISBLANK($C231),"",IF($AB231=Constants!$B$2,TRUE(),IF($AB231=Constants!$B$3,FALSE(),TRUE())))</f>
        <v/>
      </c>
      <c r="BF231" s="74" t="str">
        <f aca="false">IF(ISBLANK($C231),"",IF(ISNUMBER($AC231),IF($AC231&gt;=0,$AC231,""),""))</f>
        <v/>
      </c>
      <c r="BG231" s="74" t="str">
        <f aca="false">IF(ISBLANK($C231),"",IF($AD231=Constants!$B$2,TRUE(),IF($AD231=Constants!$B$3,FALSE(),FALSE())))</f>
        <v/>
      </c>
      <c r="BH231" s="73" t="str">
        <f aca="false">IF(ISBLANK($C231),"",IF($BG231,Constants!$B$7,IF(COUNTA($E231:$AC231)=0,Constants!$B$6,IF(OR(COUNTA($G231:$AC231)=0,NOT($AK231),$AQ231),Constants!$B$5,IF(OR($CI231&lt;&gt;"",$CJ231,$CK231,$CL231,$CM231,$CN231,$CO231),Constants!$B$8,Constants!$B$4)))))</f>
        <v/>
      </c>
      <c r="BI231" s="74" t="str">
        <f aca="false">IF(ISBLANK($C231),"",IF($BH231&lt;&gt;Constants!$B$4,$BH231,IF(OR(NOT($AH231),NOT($AJ231),NOT($AR231)),Constants!$B$11,IF(OR(NOT($AP231),MAX($AL231,$AM231,$AN231)&gt;Constants!$B$30),Constants!$B$10,Constants!$B$9))))</f>
        <v/>
      </c>
      <c r="BJ231" s="74" t="str">
        <f aca="false">IF($BH231&lt;&gt;Constants!$B$4,"",IF(NOT($AJ231),0,MIN(Constants!$B$35,$BC231)))</f>
        <v/>
      </c>
      <c r="BK231" s="74" t="str">
        <f aca="false">IF($BH231&lt;&gt;Constants!$B$4,"",IF(NOT($AJ231),0,IF($AT231,Constants!$B$18,IF($AS231,Constants!$B$17,0))))</f>
        <v/>
      </c>
      <c r="BL231" s="74" t="str">
        <f aca="false">IF($BH231&lt;&gt;Constants!$B$4,"",IF(NOT($AJ231),0,Constants!$B$19*($AI231+$AU231+$AV231+$AW231)))</f>
        <v/>
      </c>
      <c r="BM231" s="74" t="str">
        <f aca="false">IF($BH231&lt;&gt;Constants!$B$4,"",IF(OR(NOT($AJ231),NOT(ISNUMBER($AX231))),0,CHOOSE($AX231,Constants!$B$13,Constants!$B$14,Constants!$B$15,Constants!$B$16)))</f>
        <v/>
      </c>
      <c r="BN231" s="74" t="str">
        <f aca="false">IF($BH231&lt;&gt;Constants!$B$4,"",IF(NOT($AJ231),0,Constants!$B$20*$AY231))</f>
        <v/>
      </c>
      <c r="BO231" s="74" t="str">
        <f aca="false">IF($BH231&lt;&gt;Constants!$B$4,"",IF(AND($AJ231,$BA231,$BB231),Constants!$B$22,0))</f>
        <v/>
      </c>
      <c r="BP231" s="74" t="str">
        <f aca="false">IF($BH231&lt;&gt;Constants!$B$4,"",IF(OR(NOT($AJ231),NOT($BA231)),0,IF($BF231&gt;=2*$AF$9,0,Constants!$B$23*INT(ROUND(MIN($BF231,$AF$9),6)))))</f>
        <v/>
      </c>
      <c r="BQ231" s="74" t="str">
        <f aca="false">IF($BH231&lt;&gt;Constants!$B$4,"",IF(NOT($AJ231),0,Constants!$B$24*INT(ROUND(MIN($AZ231,$AF$9),6))))</f>
        <v/>
      </c>
      <c r="BR231" s="74" t="str">
        <f aca="false">IF($BH231&lt;&gt;Constants!$B$4,"",IF(AND($AJ231,$BJ231=0),Constants!$B$25,0))</f>
        <v/>
      </c>
      <c r="BS231" s="74" t="str">
        <f aca="false">IF($BH231&lt;&gt;Constants!$B$4,"",MIN(Constants!$B$29,MAX(0,Constants!$B$27*Constants!$B$28*INT(ROUND((Constants!$B$26-$AL231)/Constants!$B$28,6))))+MIN(Constants!$B$29,MAX(0,Constants!$B$27*Constants!$B$28*INT(ROUND((Constants!$B$26-$AM231)/Constants!$B$28,6))))+MIN(Constants!$B$29,MAX(0,Constants!$B$27*Constants!$B$28*INT(ROUND((Constants!$B$26-$AN231)/Constants!$B$28,6)))))</f>
        <v/>
      </c>
      <c r="BT231" s="74" t="str">
        <f aca="false">IF($BH231&lt;&gt;Constants!$B$4,"",IF(NOT($AJ231),0,Constants!$B$31*INT(ROUND(MAX(0,MIN($BF231,2*$AF$9)-$AF$9),6))))</f>
        <v/>
      </c>
      <c r="BU231" s="74" t="str">
        <f aca="false">IF($BH231&lt;&gt;Constants!$B$4,"",Constants!$B$32*(($AL231&gt;Constants!$B$26)+($AM231&gt;Constants!$B$26)+($AN231&gt;Constants!$B$26)))</f>
        <v/>
      </c>
      <c r="BV231" s="74" t="str">
        <f aca="false">IF($BH231&lt;&gt;Constants!$B$4,"",IF(OR(NOT($AJ231),$AO231),0,Constants!$B$33))</f>
        <v/>
      </c>
      <c r="BW231" s="74" t="str">
        <f aca="false">IF($BH231&lt;&gt;Constants!$B$4,"",Constants!$B$34*$BJ231)</f>
        <v/>
      </c>
      <c r="BX231" s="74" t="str">
        <f aca="false">IF($BH231&lt;&gt;Constants!$B$4,"",IF(OR(NOT($AJ231),$BE231),0,Constants!$B$36))</f>
        <v/>
      </c>
      <c r="BY231" s="74" t="str">
        <f aca="false">IF($BH231&lt;&gt;Constants!$B$4,"",IF(OR(NOT($AJ231),$BD231),0,Constants!$B$37))</f>
        <v/>
      </c>
      <c r="BZ231" s="74" t="str">
        <f aca="false">IF($BH231&lt;&gt;Constants!$B$4,"",SUM($BT231:$BY231))</f>
        <v/>
      </c>
      <c r="CA231" s="74" t="str">
        <f aca="false">IF(ISBLANK($C231),"",IF($BH231&lt;&gt;Constants!$B$4,$BH231,SUM($BK231:$BS231)-$BZ231))</f>
        <v/>
      </c>
      <c r="CB231" s="74" t="str">
        <f aca="false">IF(ISBLANK($C231),"",IF($BH231&lt;&gt;Constants!$B$4,$BH231,RANK($CA231,$CA$9:$CA$508)))</f>
        <v/>
      </c>
      <c r="CC231" s="74" t="str">
        <f aca="false">IF(ISBLANK($C231),"",IF($BH231&lt;&gt;Constants!$B$4,$BH231,COUNTIFS($BI$9:$BI$508,"&lt;"&amp;$BI231)+COUNTIFS($BI$9:$BI$508,$BI231,$CB$9:$CB$508,"&lt;"&amp;$CB231)+1))</f>
        <v/>
      </c>
      <c r="CD231" s="74" t="str">
        <f aca="false">IF(ISBLANK($C231),"",IF($BH231&lt;&gt;Constants!$B$4,$BH231,RANK($BZ231,$BZ$9:$BZ$508,1)))</f>
        <v/>
      </c>
      <c r="CE231" s="74" t="str">
        <f aca="false">IF($BH231&lt;&gt;Constants!$B$4,"",$AL231+$AM231+$AN231)</f>
        <v/>
      </c>
      <c r="CF231" s="74" t="str">
        <f aca="false">IF(ISBLANK($C231),"",IF($BH231&lt;&gt;Constants!$B$4,$BH231,RANK($CE231,$CE$9:$CE$508,1)))</f>
        <v/>
      </c>
      <c r="CG231" s="74" t="str">
        <f aca="false">IF(ISBLANK($C231),"",IF($BH231&lt;&gt;Constants!$B$4,$BH231,COUNTIFS($BI$9:$BI$508,"&lt;"&amp;$BI231)+COUNTIFS($BI$9:$BI$508,$BI231,$CB$9:$CB$508,"&lt;"&amp;$CB231)+COUNTIFS($BI$9:$BI$508,$BI231,$CB$9:$CB$508,$CB231,$CD$9:$CD$508,"&lt;"&amp;$CD231)+COUNTIFS($BI$9:$BI$508,$BI231,$CB$9:$CB$508,$CB231,$CD$9:$CD$508,$CD231,$CF$9:$CF$508,"&lt;"&amp;$CF231)+1))</f>
        <v/>
      </c>
      <c r="CH231" s="74" t="str">
        <f aca="false">IF(ISBLANK($C231),"",IF($BH231&lt;&gt;Constants!$B$4,$BH231,$CC231-$CG231))</f>
        <v/>
      </c>
      <c r="CI231" s="74" t="str">
        <f aca="false">IF(ISBLANK($C231),"",IF(NOT($AJ231),"",IF(ISBLANK($D$7),$CI$5,IF(NOT(ISNUMBER($D$7)),$CI$6,""))))</f>
        <v/>
      </c>
      <c r="CJ231" s="74" t="str">
        <f aca="false">IF(ISBLANK($C231),"",OR($AL231="",$AM231="",$AN231=""))</f>
        <v/>
      </c>
      <c r="CK231" s="74" t="str">
        <f aca="false">IF(ISBLANK($C231),"",AND($AJ231,$AX231=""))</f>
        <v/>
      </c>
      <c r="CL231" s="74" t="str">
        <f aca="false">IF(ISBLANK($C231),"",AND($AJ231,$AY231=""))</f>
        <v/>
      </c>
      <c r="CM231" s="74" t="str">
        <f aca="false">IF(ISBLANK($C231),"",AND($AJ231,$AZ231=""))</f>
        <v/>
      </c>
      <c r="CN231" s="74" t="str">
        <f aca="false">IF(ISBLANK($C231),"",AND($AJ231,$BC231=""))</f>
        <v/>
      </c>
      <c r="CO231" s="74" t="str">
        <f aca="false">IF(ISBLANK($C231),"",AND($AJ231,$BF231=""))</f>
        <v/>
      </c>
      <c r="CP231" s="75"/>
      <c r="CQ231" s="76"/>
      <c r="CR231" s="79" t="str">
        <f aca="false">IF(ISBLANK($C231),"",IF($BH231=Constants!$B$8,$CI231,""))</f>
        <v/>
      </c>
      <c r="CS231" s="76" t="str">
        <f aca="false">IF(ISBLANK($C231),"",IF($BH231&lt;&gt;Constants!$B$4,"",$BK231+$BL231))</f>
        <v/>
      </c>
      <c r="CT231" s="78" t="str">
        <f aca="false">IF(ISBLANK($C231),"",IF($BH231&lt;&gt;Constants!$B$4,"",$BM231+$BN231+$BO231))</f>
        <v/>
      </c>
      <c r="CU231" s="78" t="str">
        <f aca="false">IF(ISBLANK($C231),"",IF($BH231&lt;&gt;Constants!$B$4,"",$BP231))</f>
        <v/>
      </c>
      <c r="CV231" s="78" t="str">
        <f aca="false">IF(ISBLANK($C231),"",IF($BH231&lt;&gt;Constants!$B$4,"",$BQ231+$BR231))</f>
        <v/>
      </c>
      <c r="CW231" s="78" t="str">
        <f aca="false">IF(ISBLANK($C231),"",IF($BH231&lt;&gt;Constants!$B$4,"",$BS231))</f>
        <v/>
      </c>
      <c r="CX231" s="78" t="str">
        <f aca="false">IF(ISBLANK($C231),"",IF($BH231&lt;&gt;Constants!$B$4,"",-$BZ231))</f>
        <v/>
      </c>
      <c r="CY231" s="79" t="str">
        <f aca="false">IF(ISBLANK($C231),"",$CA231)</f>
        <v/>
      </c>
      <c r="CZ231" s="80" t="str">
        <f aca="false">IF(ISBLANK($C231),"",$BI231)</f>
        <v/>
      </c>
      <c r="DA231" s="78" t="str">
        <f aca="false">IF(ISBLANK($C231),"",$CH231)</f>
        <v/>
      </c>
      <c r="DB231" s="78" t="str">
        <f aca="false">IF(ISBLANK($C231),"",$CG231)</f>
        <v/>
      </c>
      <c r="DC231" s="81" t="str">
        <f aca="false">IF(ISBLANK($C231),"",IFERROR(_xlfn.SWITCH($DB231,Constants!$B$7,COUNTA($C$9:$C$508)+2,Constants!$B$6,COUNTA($C$9:$C$508)+1,Constants!$B$5,COUNTA($C$9:$C$508)),$DB231))</f>
        <v/>
      </c>
      <c r="DD231" s="7"/>
      <c r="DE231" s="82" t="n">
        <f aca="false">IF(OR(ISNUMBER($DB231),$DB231=Constants!$B$7,$DB231=Constants!$B$5,$DB231=Constants!$B$6),1,0)</f>
        <v>0</v>
      </c>
      <c r="DF231" s="82" t="n">
        <v>223</v>
      </c>
      <c r="DG231" s="82" t="str">
        <f aca="false">IF(ISBLANK($C231),"",IF(ISNUMBER($DC231),$DC231+ROW($B231)/1000,""))</f>
        <v/>
      </c>
      <c r="DH231" s="82" t="str">
        <f aca="false">IF(ISNUMBER($DG231),RANK($DG231,$DG$9:$DG$508,1),"")</f>
        <v/>
      </c>
      <c r="DI231" s="82" t="str">
        <f aca="false">IF(ISBLANK($C231),"",$B231)</f>
        <v/>
      </c>
      <c r="DJ231" s="82" t="str">
        <f aca="false">IF(ISBLANK($C231),"",$C231)</f>
        <v/>
      </c>
      <c r="DK231" s="82" t="str">
        <f aca="false">IF(ISBLANK($C231),"",$D231)</f>
        <v/>
      </c>
      <c r="DL231" s="83" t="str">
        <f aca="false">$CZ231</f>
        <v/>
      </c>
      <c r="DM231" s="84" t="str">
        <f aca="false">$CY231</f>
        <v/>
      </c>
      <c r="DN231" s="82" t="str">
        <f aca="false">IF(ISBLANK($C231),"",$DB231)</f>
        <v/>
      </c>
      <c r="DO231" s="85" t="str">
        <f aca="false">IF($DF231&gt;$DE$8,"",VLOOKUP($DF231,$DH$9:$DN$508,7,FALSE()))</f>
        <v/>
      </c>
      <c r="DP231" s="86" t="str">
        <f aca="false">IF($DF231&gt;$DE$8,"",VLOOKUP($DF231,$DH$9:$DN$508,2,FALSE()))</f>
        <v/>
      </c>
      <c r="DQ231" s="86" t="str">
        <f aca="false">IF($DF231&gt;$DE$8,"",VLOOKUP($DF231,$DH$9:$DN$508,3,FALSE()))</f>
        <v/>
      </c>
      <c r="DR231" s="86" t="str">
        <f aca="false">IF($DF231&gt;$DE$8,"",VLOOKUP($DF231,$DH$9:$DN$508,4,FALSE()))</f>
        <v/>
      </c>
      <c r="DS231" s="86" t="str">
        <f aca="false">IF($DF231&gt;$DE$8,"",VLOOKUP($DF231,$DH$9:$DN$508,5,FALSE()))</f>
        <v/>
      </c>
      <c r="DT231" s="87" t="str">
        <f aca="false">IF($DF231&gt;$DE$8,"",VLOOKUP($DF231,$DH$9:$DN$508,6,FALSE()))</f>
        <v/>
      </c>
      <c r="DU231" s="62"/>
    </row>
    <row r="232" customFormat="false" ht="15.75" hidden="false" customHeight="false" outlineLevel="0" collapsed="false">
      <c r="A232" s="7"/>
      <c r="B232" s="64"/>
      <c r="C232" s="65"/>
      <c r="D232" s="123"/>
      <c r="E232" s="88"/>
      <c r="F232" s="134"/>
      <c r="G232" s="88"/>
      <c r="H232" s="134"/>
      <c r="I232" s="119"/>
      <c r="J232" s="119"/>
      <c r="K232" s="119"/>
      <c r="L232" s="88"/>
      <c r="M232" s="88"/>
      <c r="N232" s="88"/>
      <c r="O232" s="134"/>
      <c r="P232" s="88"/>
      <c r="Q232" s="88"/>
      <c r="R232" s="88"/>
      <c r="S232" s="88"/>
      <c r="T232" s="134"/>
      <c r="U232" s="88"/>
      <c r="V232" s="70"/>
      <c r="W232" s="88"/>
      <c r="X232" s="88"/>
      <c r="Y232" s="70"/>
      <c r="Z232" s="70"/>
      <c r="AA232" s="88"/>
      <c r="AB232" s="88"/>
      <c r="AC232" s="71"/>
      <c r="AD232" s="88"/>
      <c r="AE232" s="73"/>
      <c r="AF232" s="74"/>
      <c r="AG232" s="74"/>
      <c r="AH232" s="74" t="str">
        <f aca="false">IF(ISBLANK($C232),"",IF($E232=Constants!$B$2,TRUE(),IF($E232=Constants!$B$3,FALSE(),TRUE())))</f>
        <v/>
      </c>
      <c r="AI232" s="74" t="str">
        <f aca="false">IF(ISBLANK($C232),"",IF($F232=Constants!$B$2,TRUE(),IF($F232=Constants!$B$3,FALSE(),FALSE())))</f>
        <v/>
      </c>
      <c r="AJ232" s="74" t="str">
        <f aca="false">IF(ISBLANK($C232),"",IF($G232=Constants!$B$2,TRUE(),IF($G232=Constants!$B$3,FALSE(),TRUE())))</f>
        <v/>
      </c>
      <c r="AK232" s="74" t="str">
        <f aca="false">IF(ISBLANK($C232),"",IF($H232=Constants!$B$2,TRUE(),IF($H232=Constants!$B$3,FALSE(),TRUE())))</f>
        <v/>
      </c>
      <c r="AL232" s="74" t="str">
        <f aca="false">IF(ISBLANK($C232),"",IF(ISNUMBER($I232),IF($I232&gt;=0,$I232,""),""))</f>
        <v/>
      </c>
      <c r="AM232" s="74" t="str">
        <f aca="false">IF(ISBLANK($C232),"",IF(ISNUMBER($J232),IF($J232&gt;=0,$J232,""),""))</f>
        <v/>
      </c>
      <c r="AN232" s="74" t="str">
        <f aca="false">IF(ISBLANK($C232),"",IF(ISNUMBER($K232),IF($K232&gt;=0,$K232,""),""))</f>
        <v/>
      </c>
      <c r="AO232" s="74" t="str">
        <f aca="false">IF(ISBLANK($C232),"",IF($L232=Constants!$B$2,TRUE(),IF($L232=Constants!$B$3,FALSE(),TRUE())))</f>
        <v/>
      </c>
      <c r="AP232" s="74" t="str">
        <f aca="false">IF(ISBLANK($C232),"",IF($M232=Constants!$B$2,TRUE(),IF($M232=Constants!$B$3,FALSE(),TRUE())))</f>
        <v/>
      </c>
      <c r="AQ232" s="74" t="str">
        <f aca="false">IF(ISBLANK($C232),"",IF($N232=Constants!$B$2,TRUE(),IF($N232=Constants!$B$3,FALSE(),FALSE())))</f>
        <v/>
      </c>
      <c r="AR232" s="74" t="str">
        <f aca="false">IF(ISBLANK($C232),"",IF($O232=Constants!$B$2,TRUE(),IF($O232=Constants!$B$3,FALSE(),TRUE())))</f>
        <v/>
      </c>
      <c r="AS232" s="74" t="str">
        <f aca="false">IF(ISBLANK($C232),"",IF($P232=Constants!$B$2,TRUE(),IF($P232=Constants!$B$3,FALSE(),FALSE())))</f>
        <v/>
      </c>
      <c r="AT232" s="74" t="str">
        <f aca="false">IF(ISBLANK($C232),"",IF($Q232=Constants!$B$2,TRUE(),IF($Q232=Constants!$B$3,FALSE(),FALSE())))</f>
        <v/>
      </c>
      <c r="AU232" s="74" t="str">
        <f aca="false">IF(ISBLANK($C232),"",IF($R232=Constants!$B$2,TRUE(),IF($R232=Constants!$B$3,FALSE(),FALSE())))</f>
        <v/>
      </c>
      <c r="AV232" s="74" t="str">
        <f aca="false">IF(ISBLANK($C232),"",IF($S232=Constants!$B$2,TRUE(),IF($S232=Constants!$B$3,FALSE(),FALSE())))</f>
        <v/>
      </c>
      <c r="AW232" s="74" t="str">
        <f aca="false">IF(ISBLANK($C232),"",IF($T232=Constants!$B$2,TRUE(),IF($T232=Constants!$B$3,FALSE(),FALSE())))</f>
        <v/>
      </c>
      <c r="AX232" s="74" t="str">
        <f aca="false">IF(ISBLANK($C232),"",IF(OR($U232&amp;""="1",$U232&amp;""="2",$U232&amp;""="3",$U232&amp;""="4"),VALUE($U232&amp;""),IF($U232=Constants!$B$12,Constants!$B$12,"")))</f>
        <v/>
      </c>
      <c r="AY232" s="74" t="str">
        <f aca="false">IF(ISBLANK($C232),"",IF(ISBLANK($V232),0,IF(ISNUMBER($V232),IF(AND($V232&gt;=0,$V232&lt;=Constants!$B$21,$V232=INT($V232)),$V232,""),"")))</f>
        <v/>
      </c>
      <c r="AZ232" s="74" t="str">
        <f aca="false">IF(ISBLANK($C232),"",IF(ISBLANK($W232),0,IF(ISNUMBER($W232),IF($W232&gt;=0,$W232,""),"")))</f>
        <v/>
      </c>
      <c r="BA232" s="74" t="str">
        <f aca="false">IF(ISBLANK($C232),"",IF($X232=Constants!$B$2,TRUE(),IF($X232=Constants!$B$3,FALSE(),TRUE())))</f>
        <v/>
      </c>
      <c r="BB232" s="74" t="str">
        <f aca="false">IF(ISBLANK($C232),"",IF($Y232=Constants!$B$2,TRUE(),IF($Y232=Constants!$B$3,FALSE(),FALSE())))</f>
        <v/>
      </c>
      <c r="BC232" s="74" t="str">
        <f aca="false">IF(ISBLANK($C232),"",IF(ISBLANK($Z232),0,IF(ISNUMBER($Z232),IF(AND($Z232&gt;=0,$Z232&lt;=Constants!$B$35,$Z232=INT($Z232)),$Z232,""),"")))</f>
        <v/>
      </c>
      <c r="BD232" s="74" t="str">
        <f aca="false">IF(ISBLANK($C232),"",IF($AA232=Constants!$B$2,TRUE(),IF($AA232=Constants!$B$3,FALSE(),TRUE())))</f>
        <v/>
      </c>
      <c r="BE232" s="74" t="str">
        <f aca="false">IF(ISBLANK($C232),"",IF($AB232=Constants!$B$2,TRUE(),IF($AB232=Constants!$B$3,FALSE(),TRUE())))</f>
        <v/>
      </c>
      <c r="BF232" s="74" t="str">
        <f aca="false">IF(ISBLANK($C232),"",IF(ISNUMBER($AC232),IF($AC232&gt;=0,$AC232,""),""))</f>
        <v/>
      </c>
      <c r="BG232" s="74" t="str">
        <f aca="false">IF(ISBLANK($C232),"",IF($AD232=Constants!$B$2,TRUE(),IF($AD232=Constants!$B$3,FALSE(),FALSE())))</f>
        <v/>
      </c>
      <c r="BH232" s="73" t="str">
        <f aca="false">IF(ISBLANK($C232),"",IF($BG232,Constants!$B$7,IF(COUNTA($E232:$AC232)=0,Constants!$B$6,IF(OR(COUNTA($G232:$AC232)=0,NOT($AK232),$AQ232),Constants!$B$5,IF(OR($CI232&lt;&gt;"",$CJ232,$CK232,$CL232,$CM232,$CN232,$CO232),Constants!$B$8,Constants!$B$4)))))</f>
        <v/>
      </c>
      <c r="BI232" s="74" t="str">
        <f aca="false">IF(ISBLANK($C232),"",IF($BH232&lt;&gt;Constants!$B$4,$BH232,IF(OR(NOT($AH232),NOT($AJ232),NOT($AR232)),Constants!$B$11,IF(OR(NOT($AP232),MAX($AL232,$AM232,$AN232)&gt;Constants!$B$30),Constants!$B$10,Constants!$B$9))))</f>
        <v/>
      </c>
      <c r="BJ232" s="74" t="str">
        <f aca="false">IF($BH232&lt;&gt;Constants!$B$4,"",IF(NOT($AJ232),0,MIN(Constants!$B$35,$BC232)))</f>
        <v/>
      </c>
      <c r="BK232" s="74" t="str">
        <f aca="false">IF($BH232&lt;&gt;Constants!$B$4,"",IF(NOT($AJ232),0,IF($AT232,Constants!$B$18,IF($AS232,Constants!$B$17,0))))</f>
        <v/>
      </c>
      <c r="BL232" s="74" t="str">
        <f aca="false">IF($BH232&lt;&gt;Constants!$B$4,"",IF(NOT($AJ232),0,Constants!$B$19*($AI232+$AU232+$AV232+$AW232)))</f>
        <v/>
      </c>
      <c r="BM232" s="74" t="str">
        <f aca="false">IF($BH232&lt;&gt;Constants!$B$4,"",IF(OR(NOT($AJ232),NOT(ISNUMBER($AX232))),0,CHOOSE($AX232,Constants!$B$13,Constants!$B$14,Constants!$B$15,Constants!$B$16)))</f>
        <v/>
      </c>
      <c r="BN232" s="74" t="str">
        <f aca="false">IF($BH232&lt;&gt;Constants!$B$4,"",IF(NOT($AJ232),0,Constants!$B$20*$AY232))</f>
        <v/>
      </c>
      <c r="BO232" s="74" t="str">
        <f aca="false">IF($BH232&lt;&gt;Constants!$B$4,"",IF(AND($AJ232,$BA232,$BB232),Constants!$B$22,0))</f>
        <v/>
      </c>
      <c r="BP232" s="74" t="str">
        <f aca="false">IF($BH232&lt;&gt;Constants!$B$4,"",IF(OR(NOT($AJ232),NOT($BA232)),0,IF($BF232&gt;=2*$AF$9,0,Constants!$B$23*INT(ROUND(MIN($BF232,$AF$9),6)))))</f>
        <v/>
      </c>
      <c r="BQ232" s="74" t="str">
        <f aca="false">IF($BH232&lt;&gt;Constants!$B$4,"",IF(NOT($AJ232),0,Constants!$B$24*INT(ROUND(MIN($AZ232,$AF$9),6))))</f>
        <v/>
      </c>
      <c r="BR232" s="74" t="str">
        <f aca="false">IF($BH232&lt;&gt;Constants!$B$4,"",IF(AND($AJ232,$BJ232=0),Constants!$B$25,0))</f>
        <v/>
      </c>
      <c r="BS232" s="74" t="str">
        <f aca="false">IF($BH232&lt;&gt;Constants!$B$4,"",MIN(Constants!$B$29,MAX(0,Constants!$B$27*Constants!$B$28*INT(ROUND((Constants!$B$26-$AL232)/Constants!$B$28,6))))+MIN(Constants!$B$29,MAX(0,Constants!$B$27*Constants!$B$28*INT(ROUND((Constants!$B$26-$AM232)/Constants!$B$28,6))))+MIN(Constants!$B$29,MAX(0,Constants!$B$27*Constants!$B$28*INT(ROUND((Constants!$B$26-$AN232)/Constants!$B$28,6)))))</f>
        <v/>
      </c>
      <c r="BT232" s="74" t="str">
        <f aca="false">IF($BH232&lt;&gt;Constants!$B$4,"",IF(NOT($AJ232),0,Constants!$B$31*INT(ROUND(MAX(0,MIN($BF232,2*$AF$9)-$AF$9),6))))</f>
        <v/>
      </c>
      <c r="BU232" s="74" t="str">
        <f aca="false">IF($BH232&lt;&gt;Constants!$B$4,"",Constants!$B$32*(($AL232&gt;Constants!$B$26)+($AM232&gt;Constants!$B$26)+($AN232&gt;Constants!$B$26)))</f>
        <v/>
      </c>
      <c r="BV232" s="74" t="str">
        <f aca="false">IF($BH232&lt;&gt;Constants!$B$4,"",IF(OR(NOT($AJ232),$AO232),0,Constants!$B$33))</f>
        <v/>
      </c>
      <c r="BW232" s="74" t="str">
        <f aca="false">IF($BH232&lt;&gt;Constants!$B$4,"",Constants!$B$34*$BJ232)</f>
        <v/>
      </c>
      <c r="BX232" s="74" t="str">
        <f aca="false">IF($BH232&lt;&gt;Constants!$B$4,"",IF(OR(NOT($AJ232),$BE232),0,Constants!$B$36))</f>
        <v/>
      </c>
      <c r="BY232" s="74" t="str">
        <f aca="false">IF($BH232&lt;&gt;Constants!$B$4,"",IF(OR(NOT($AJ232),$BD232),0,Constants!$B$37))</f>
        <v/>
      </c>
      <c r="BZ232" s="74" t="str">
        <f aca="false">IF($BH232&lt;&gt;Constants!$B$4,"",SUM($BT232:$BY232))</f>
        <v/>
      </c>
      <c r="CA232" s="74" t="str">
        <f aca="false">IF(ISBLANK($C232),"",IF($BH232&lt;&gt;Constants!$B$4,$BH232,SUM($BK232:$BS232)-$BZ232))</f>
        <v/>
      </c>
      <c r="CB232" s="74" t="str">
        <f aca="false">IF(ISBLANK($C232),"",IF($BH232&lt;&gt;Constants!$B$4,$BH232,RANK($CA232,$CA$9:$CA$508)))</f>
        <v/>
      </c>
      <c r="CC232" s="74" t="str">
        <f aca="false">IF(ISBLANK($C232),"",IF($BH232&lt;&gt;Constants!$B$4,$BH232,COUNTIFS($BI$9:$BI$508,"&lt;"&amp;$BI232)+COUNTIFS($BI$9:$BI$508,$BI232,$CB$9:$CB$508,"&lt;"&amp;$CB232)+1))</f>
        <v/>
      </c>
      <c r="CD232" s="74" t="str">
        <f aca="false">IF(ISBLANK($C232),"",IF($BH232&lt;&gt;Constants!$B$4,$BH232,RANK($BZ232,$BZ$9:$BZ$508,1)))</f>
        <v/>
      </c>
      <c r="CE232" s="74" t="str">
        <f aca="false">IF($BH232&lt;&gt;Constants!$B$4,"",$AL232+$AM232+$AN232)</f>
        <v/>
      </c>
      <c r="CF232" s="74" t="str">
        <f aca="false">IF(ISBLANK($C232),"",IF($BH232&lt;&gt;Constants!$B$4,$BH232,RANK($CE232,$CE$9:$CE$508,1)))</f>
        <v/>
      </c>
      <c r="CG232" s="74" t="str">
        <f aca="false">IF(ISBLANK($C232),"",IF($BH232&lt;&gt;Constants!$B$4,$BH232,COUNTIFS($BI$9:$BI$508,"&lt;"&amp;$BI232)+COUNTIFS($BI$9:$BI$508,$BI232,$CB$9:$CB$508,"&lt;"&amp;$CB232)+COUNTIFS($BI$9:$BI$508,$BI232,$CB$9:$CB$508,$CB232,$CD$9:$CD$508,"&lt;"&amp;$CD232)+COUNTIFS($BI$9:$BI$508,$BI232,$CB$9:$CB$508,$CB232,$CD$9:$CD$508,$CD232,$CF$9:$CF$508,"&lt;"&amp;$CF232)+1))</f>
        <v/>
      </c>
      <c r="CH232" s="74" t="str">
        <f aca="false">IF(ISBLANK($C232),"",IF($BH232&lt;&gt;Constants!$B$4,$BH232,$CC232-$CG232))</f>
        <v/>
      </c>
      <c r="CI232" s="74" t="str">
        <f aca="false">IF(ISBLANK($C232),"",IF(NOT($AJ232),"",IF(ISBLANK($D$7),$CI$5,IF(NOT(ISNUMBER($D$7)),$CI$6,""))))</f>
        <v/>
      </c>
      <c r="CJ232" s="74" t="str">
        <f aca="false">IF(ISBLANK($C232),"",OR($AL232="",$AM232="",$AN232=""))</f>
        <v/>
      </c>
      <c r="CK232" s="74" t="str">
        <f aca="false">IF(ISBLANK($C232),"",AND($AJ232,$AX232=""))</f>
        <v/>
      </c>
      <c r="CL232" s="74" t="str">
        <f aca="false">IF(ISBLANK($C232),"",AND($AJ232,$AY232=""))</f>
        <v/>
      </c>
      <c r="CM232" s="74" t="str">
        <f aca="false">IF(ISBLANK($C232),"",AND($AJ232,$AZ232=""))</f>
        <v/>
      </c>
      <c r="CN232" s="74" t="str">
        <f aca="false">IF(ISBLANK($C232),"",AND($AJ232,$BC232=""))</f>
        <v/>
      </c>
      <c r="CO232" s="74" t="str">
        <f aca="false">IF(ISBLANK($C232),"",AND($AJ232,$BF232=""))</f>
        <v/>
      </c>
      <c r="CP232" s="75"/>
      <c r="CQ232" s="76"/>
      <c r="CR232" s="79" t="str">
        <f aca="false">IF(ISBLANK($C232),"",IF($BH232=Constants!$B$8,$CI232,""))</f>
        <v/>
      </c>
      <c r="CS232" s="76" t="str">
        <f aca="false">IF(ISBLANK($C232),"",IF($BH232&lt;&gt;Constants!$B$4,"",$BK232+$BL232))</f>
        <v/>
      </c>
      <c r="CT232" s="78" t="str">
        <f aca="false">IF(ISBLANK($C232),"",IF($BH232&lt;&gt;Constants!$B$4,"",$BM232+$BN232+$BO232))</f>
        <v/>
      </c>
      <c r="CU232" s="78" t="str">
        <f aca="false">IF(ISBLANK($C232),"",IF($BH232&lt;&gt;Constants!$B$4,"",$BP232))</f>
        <v/>
      </c>
      <c r="CV232" s="78" t="str">
        <f aca="false">IF(ISBLANK($C232),"",IF($BH232&lt;&gt;Constants!$B$4,"",$BQ232+$BR232))</f>
        <v/>
      </c>
      <c r="CW232" s="78" t="str">
        <f aca="false">IF(ISBLANK($C232),"",IF($BH232&lt;&gt;Constants!$B$4,"",$BS232))</f>
        <v/>
      </c>
      <c r="CX232" s="78" t="str">
        <f aca="false">IF(ISBLANK($C232),"",IF($BH232&lt;&gt;Constants!$B$4,"",-$BZ232))</f>
        <v/>
      </c>
      <c r="CY232" s="79" t="str">
        <f aca="false">IF(ISBLANK($C232),"",$CA232)</f>
        <v/>
      </c>
      <c r="CZ232" s="80" t="str">
        <f aca="false">IF(ISBLANK($C232),"",$BI232)</f>
        <v/>
      </c>
      <c r="DA232" s="78" t="str">
        <f aca="false">IF(ISBLANK($C232),"",$CH232)</f>
        <v/>
      </c>
      <c r="DB232" s="78" t="str">
        <f aca="false">IF(ISBLANK($C232),"",$CG232)</f>
        <v/>
      </c>
      <c r="DC232" s="81" t="str">
        <f aca="false">IF(ISBLANK($C232),"",IFERROR(_xlfn.SWITCH($DB232,Constants!$B$7,COUNTA($C$9:$C$508)+2,Constants!$B$6,COUNTA($C$9:$C$508)+1,Constants!$B$5,COUNTA($C$9:$C$508)),$DB232))</f>
        <v/>
      </c>
      <c r="DD232" s="7"/>
      <c r="DE232" s="82" t="n">
        <f aca="false">IF(OR(ISNUMBER($DB232),$DB232=Constants!$B$7,$DB232=Constants!$B$5,$DB232=Constants!$B$6),1,0)</f>
        <v>0</v>
      </c>
      <c r="DF232" s="82" t="n">
        <v>224</v>
      </c>
      <c r="DG232" s="82" t="str">
        <f aca="false">IF(ISBLANK($C232),"",IF(ISNUMBER($DC232),$DC232+ROW($B232)/1000,""))</f>
        <v/>
      </c>
      <c r="DH232" s="82" t="str">
        <f aca="false">IF(ISNUMBER($DG232),RANK($DG232,$DG$9:$DG$508,1),"")</f>
        <v/>
      </c>
      <c r="DI232" s="82" t="str">
        <f aca="false">IF(ISBLANK($C232),"",$B232)</f>
        <v/>
      </c>
      <c r="DJ232" s="82" t="str">
        <f aca="false">IF(ISBLANK($C232),"",$C232)</f>
        <v/>
      </c>
      <c r="DK232" s="82" t="str">
        <f aca="false">IF(ISBLANK($C232),"",$D232)</f>
        <v/>
      </c>
      <c r="DL232" s="83" t="str">
        <f aca="false">$CZ232</f>
        <v/>
      </c>
      <c r="DM232" s="84" t="str">
        <f aca="false">$CY232</f>
        <v/>
      </c>
      <c r="DN232" s="82" t="str">
        <f aca="false">IF(ISBLANK($C232),"",$DB232)</f>
        <v/>
      </c>
      <c r="DO232" s="85" t="str">
        <f aca="false">IF($DF232&gt;$DE$8,"",VLOOKUP($DF232,$DH$9:$DN$508,7,FALSE()))</f>
        <v/>
      </c>
      <c r="DP232" s="86" t="str">
        <f aca="false">IF($DF232&gt;$DE$8,"",VLOOKUP($DF232,$DH$9:$DN$508,2,FALSE()))</f>
        <v/>
      </c>
      <c r="DQ232" s="86" t="str">
        <f aca="false">IF($DF232&gt;$DE$8,"",VLOOKUP($DF232,$DH$9:$DN$508,3,FALSE()))</f>
        <v/>
      </c>
      <c r="DR232" s="86" t="str">
        <f aca="false">IF($DF232&gt;$DE$8,"",VLOOKUP($DF232,$DH$9:$DN$508,4,FALSE()))</f>
        <v/>
      </c>
      <c r="DS232" s="86" t="str">
        <f aca="false">IF($DF232&gt;$DE$8,"",VLOOKUP($DF232,$DH$9:$DN$508,5,FALSE()))</f>
        <v/>
      </c>
      <c r="DT232" s="87" t="str">
        <f aca="false">IF($DF232&gt;$DE$8,"",VLOOKUP($DF232,$DH$9:$DN$508,6,FALSE()))</f>
        <v/>
      </c>
      <c r="DU232" s="62"/>
    </row>
    <row r="233" customFormat="false" ht="15.75" hidden="false" customHeight="false" outlineLevel="0" collapsed="false">
      <c r="A233" s="7"/>
      <c r="B233" s="64"/>
      <c r="C233" s="65"/>
      <c r="D233" s="123"/>
      <c r="E233" s="88"/>
      <c r="F233" s="134"/>
      <c r="G233" s="88"/>
      <c r="H233" s="134"/>
      <c r="I233" s="119"/>
      <c r="J233" s="119"/>
      <c r="K233" s="119"/>
      <c r="L233" s="88"/>
      <c r="M233" s="88"/>
      <c r="N233" s="88"/>
      <c r="O233" s="134"/>
      <c r="P233" s="88"/>
      <c r="Q233" s="88"/>
      <c r="R233" s="88"/>
      <c r="S233" s="88"/>
      <c r="T233" s="134"/>
      <c r="U233" s="88"/>
      <c r="V233" s="70"/>
      <c r="W233" s="88"/>
      <c r="X233" s="88"/>
      <c r="Y233" s="70"/>
      <c r="Z233" s="70"/>
      <c r="AA233" s="88"/>
      <c r="AB233" s="88"/>
      <c r="AC233" s="71"/>
      <c r="AD233" s="88"/>
      <c r="AE233" s="73"/>
      <c r="AF233" s="74"/>
      <c r="AG233" s="74"/>
      <c r="AH233" s="74" t="str">
        <f aca="false">IF(ISBLANK($C233),"",IF($E233=Constants!$B$2,TRUE(),IF($E233=Constants!$B$3,FALSE(),TRUE())))</f>
        <v/>
      </c>
      <c r="AI233" s="74" t="str">
        <f aca="false">IF(ISBLANK($C233),"",IF($F233=Constants!$B$2,TRUE(),IF($F233=Constants!$B$3,FALSE(),FALSE())))</f>
        <v/>
      </c>
      <c r="AJ233" s="74" t="str">
        <f aca="false">IF(ISBLANK($C233),"",IF($G233=Constants!$B$2,TRUE(),IF($G233=Constants!$B$3,FALSE(),TRUE())))</f>
        <v/>
      </c>
      <c r="AK233" s="74" t="str">
        <f aca="false">IF(ISBLANK($C233),"",IF($H233=Constants!$B$2,TRUE(),IF($H233=Constants!$B$3,FALSE(),TRUE())))</f>
        <v/>
      </c>
      <c r="AL233" s="74" t="str">
        <f aca="false">IF(ISBLANK($C233),"",IF(ISNUMBER($I233),IF($I233&gt;=0,$I233,""),""))</f>
        <v/>
      </c>
      <c r="AM233" s="74" t="str">
        <f aca="false">IF(ISBLANK($C233),"",IF(ISNUMBER($J233),IF($J233&gt;=0,$J233,""),""))</f>
        <v/>
      </c>
      <c r="AN233" s="74" t="str">
        <f aca="false">IF(ISBLANK($C233),"",IF(ISNUMBER($K233),IF($K233&gt;=0,$K233,""),""))</f>
        <v/>
      </c>
      <c r="AO233" s="74" t="str">
        <f aca="false">IF(ISBLANK($C233),"",IF($L233=Constants!$B$2,TRUE(),IF($L233=Constants!$B$3,FALSE(),TRUE())))</f>
        <v/>
      </c>
      <c r="AP233" s="74" t="str">
        <f aca="false">IF(ISBLANK($C233),"",IF($M233=Constants!$B$2,TRUE(),IF($M233=Constants!$B$3,FALSE(),TRUE())))</f>
        <v/>
      </c>
      <c r="AQ233" s="74" t="str">
        <f aca="false">IF(ISBLANK($C233),"",IF($N233=Constants!$B$2,TRUE(),IF($N233=Constants!$B$3,FALSE(),FALSE())))</f>
        <v/>
      </c>
      <c r="AR233" s="74" t="str">
        <f aca="false">IF(ISBLANK($C233),"",IF($O233=Constants!$B$2,TRUE(),IF($O233=Constants!$B$3,FALSE(),TRUE())))</f>
        <v/>
      </c>
      <c r="AS233" s="74" t="str">
        <f aca="false">IF(ISBLANK($C233),"",IF($P233=Constants!$B$2,TRUE(),IF($P233=Constants!$B$3,FALSE(),FALSE())))</f>
        <v/>
      </c>
      <c r="AT233" s="74" t="str">
        <f aca="false">IF(ISBLANK($C233),"",IF($Q233=Constants!$B$2,TRUE(),IF($Q233=Constants!$B$3,FALSE(),FALSE())))</f>
        <v/>
      </c>
      <c r="AU233" s="74" t="str">
        <f aca="false">IF(ISBLANK($C233),"",IF($R233=Constants!$B$2,TRUE(),IF($R233=Constants!$B$3,FALSE(),FALSE())))</f>
        <v/>
      </c>
      <c r="AV233" s="74" t="str">
        <f aca="false">IF(ISBLANK($C233),"",IF($S233=Constants!$B$2,TRUE(),IF($S233=Constants!$B$3,FALSE(),FALSE())))</f>
        <v/>
      </c>
      <c r="AW233" s="74" t="str">
        <f aca="false">IF(ISBLANK($C233),"",IF($T233=Constants!$B$2,TRUE(),IF($T233=Constants!$B$3,FALSE(),FALSE())))</f>
        <v/>
      </c>
      <c r="AX233" s="74" t="str">
        <f aca="false">IF(ISBLANK($C233),"",IF(OR($U233&amp;""="1",$U233&amp;""="2",$U233&amp;""="3",$U233&amp;""="4"),VALUE($U233&amp;""),IF($U233=Constants!$B$12,Constants!$B$12,"")))</f>
        <v/>
      </c>
      <c r="AY233" s="74" t="str">
        <f aca="false">IF(ISBLANK($C233),"",IF(ISBLANK($V233),0,IF(ISNUMBER($V233),IF(AND($V233&gt;=0,$V233&lt;=Constants!$B$21,$V233=INT($V233)),$V233,""),"")))</f>
        <v/>
      </c>
      <c r="AZ233" s="74" t="str">
        <f aca="false">IF(ISBLANK($C233),"",IF(ISBLANK($W233),0,IF(ISNUMBER($W233),IF($W233&gt;=0,$W233,""),"")))</f>
        <v/>
      </c>
      <c r="BA233" s="74" t="str">
        <f aca="false">IF(ISBLANK($C233),"",IF($X233=Constants!$B$2,TRUE(),IF($X233=Constants!$B$3,FALSE(),TRUE())))</f>
        <v/>
      </c>
      <c r="BB233" s="74" t="str">
        <f aca="false">IF(ISBLANK($C233),"",IF($Y233=Constants!$B$2,TRUE(),IF($Y233=Constants!$B$3,FALSE(),FALSE())))</f>
        <v/>
      </c>
      <c r="BC233" s="74" t="str">
        <f aca="false">IF(ISBLANK($C233),"",IF(ISBLANK($Z233),0,IF(ISNUMBER($Z233),IF(AND($Z233&gt;=0,$Z233&lt;=Constants!$B$35,$Z233=INT($Z233)),$Z233,""),"")))</f>
        <v/>
      </c>
      <c r="BD233" s="74" t="str">
        <f aca="false">IF(ISBLANK($C233),"",IF($AA233=Constants!$B$2,TRUE(),IF($AA233=Constants!$B$3,FALSE(),TRUE())))</f>
        <v/>
      </c>
      <c r="BE233" s="74" t="str">
        <f aca="false">IF(ISBLANK($C233),"",IF($AB233=Constants!$B$2,TRUE(),IF($AB233=Constants!$B$3,FALSE(),TRUE())))</f>
        <v/>
      </c>
      <c r="BF233" s="74" t="str">
        <f aca="false">IF(ISBLANK($C233),"",IF(ISNUMBER($AC233),IF($AC233&gt;=0,$AC233,""),""))</f>
        <v/>
      </c>
      <c r="BG233" s="74" t="str">
        <f aca="false">IF(ISBLANK($C233),"",IF($AD233=Constants!$B$2,TRUE(),IF($AD233=Constants!$B$3,FALSE(),FALSE())))</f>
        <v/>
      </c>
      <c r="BH233" s="73" t="str">
        <f aca="false">IF(ISBLANK($C233),"",IF($BG233,Constants!$B$7,IF(COUNTA($E233:$AC233)=0,Constants!$B$6,IF(OR(COUNTA($G233:$AC233)=0,NOT($AK233),$AQ233),Constants!$B$5,IF(OR($CI233&lt;&gt;"",$CJ233,$CK233,$CL233,$CM233,$CN233,$CO233),Constants!$B$8,Constants!$B$4)))))</f>
        <v/>
      </c>
      <c r="BI233" s="74" t="str">
        <f aca="false">IF(ISBLANK($C233),"",IF($BH233&lt;&gt;Constants!$B$4,$BH233,IF(OR(NOT($AH233),NOT($AJ233),NOT($AR233)),Constants!$B$11,IF(OR(NOT($AP233),MAX($AL233,$AM233,$AN233)&gt;Constants!$B$30),Constants!$B$10,Constants!$B$9))))</f>
        <v/>
      </c>
      <c r="BJ233" s="74" t="str">
        <f aca="false">IF($BH233&lt;&gt;Constants!$B$4,"",IF(NOT($AJ233),0,MIN(Constants!$B$35,$BC233)))</f>
        <v/>
      </c>
      <c r="BK233" s="74" t="str">
        <f aca="false">IF($BH233&lt;&gt;Constants!$B$4,"",IF(NOT($AJ233),0,IF($AT233,Constants!$B$18,IF($AS233,Constants!$B$17,0))))</f>
        <v/>
      </c>
      <c r="BL233" s="74" t="str">
        <f aca="false">IF($BH233&lt;&gt;Constants!$B$4,"",IF(NOT($AJ233),0,Constants!$B$19*($AI233+$AU233+$AV233+$AW233)))</f>
        <v/>
      </c>
      <c r="BM233" s="74" t="str">
        <f aca="false">IF($BH233&lt;&gt;Constants!$B$4,"",IF(OR(NOT($AJ233),NOT(ISNUMBER($AX233))),0,CHOOSE($AX233,Constants!$B$13,Constants!$B$14,Constants!$B$15,Constants!$B$16)))</f>
        <v/>
      </c>
      <c r="BN233" s="74" t="str">
        <f aca="false">IF($BH233&lt;&gt;Constants!$B$4,"",IF(NOT($AJ233),0,Constants!$B$20*$AY233))</f>
        <v/>
      </c>
      <c r="BO233" s="74" t="str">
        <f aca="false">IF($BH233&lt;&gt;Constants!$B$4,"",IF(AND($AJ233,$BA233,$BB233),Constants!$B$22,0))</f>
        <v/>
      </c>
      <c r="BP233" s="74" t="str">
        <f aca="false">IF($BH233&lt;&gt;Constants!$B$4,"",IF(OR(NOT($AJ233),NOT($BA233)),0,IF($BF233&gt;=2*$AF$9,0,Constants!$B$23*INT(ROUND(MIN($BF233,$AF$9),6)))))</f>
        <v/>
      </c>
      <c r="BQ233" s="74" t="str">
        <f aca="false">IF($BH233&lt;&gt;Constants!$B$4,"",IF(NOT($AJ233),0,Constants!$B$24*INT(ROUND(MIN($AZ233,$AF$9),6))))</f>
        <v/>
      </c>
      <c r="BR233" s="74" t="str">
        <f aca="false">IF($BH233&lt;&gt;Constants!$B$4,"",IF(AND($AJ233,$BJ233=0),Constants!$B$25,0))</f>
        <v/>
      </c>
      <c r="BS233" s="74" t="str">
        <f aca="false">IF($BH233&lt;&gt;Constants!$B$4,"",MIN(Constants!$B$29,MAX(0,Constants!$B$27*Constants!$B$28*INT(ROUND((Constants!$B$26-$AL233)/Constants!$B$28,6))))+MIN(Constants!$B$29,MAX(0,Constants!$B$27*Constants!$B$28*INT(ROUND((Constants!$B$26-$AM233)/Constants!$B$28,6))))+MIN(Constants!$B$29,MAX(0,Constants!$B$27*Constants!$B$28*INT(ROUND((Constants!$B$26-$AN233)/Constants!$B$28,6)))))</f>
        <v/>
      </c>
      <c r="BT233" s="74" t="str">
        <f aca="false">IF($BH233&lt;&gt;Constants!$B$4,"",IF(NOT($AJ233),0,Constants!$B$31*INT(ROUND(MAX(0,MIN($BF233,2*$AF$9)-$AF$9),6))))</f>
        <v/>
      </c>
      <c r="BU233" s="74" t="str">
        <f aca="false">IF($BH233&lt;&gt;Constants!$B$4,"",Constants!$B$32*(($AL233&gt;Constants!$B$26)+($AM233&gt;Constants!$B$26)+($AN233&gt;Constants!$B$26)))</f>
        <v/>
      </c>
      <c r="BV233" s="74" t="str">
        <f aca="false">IF($BH233&lt;&gt;Constants!$B$4,"",IF(OR(NOT($AJ233),$AO233),0,Constants!$B$33))</f>
        <v/>
      </c>
      <c r="BW233" s="74" t="str">
        <f aca="false">IF($BH233&lt;&gt;Constants!$B$4,"",Constants!$B$34*$BJ233)</f>
        <v/>
      </c>
      <c r="BX233" s="74" t="str">
        <f aca="false">IF($BH233&lt;&gt;Constants!$B$4,"",IF(OR(NOT($AJ233),$BE233),0,Constants!$B$36))</f>
        <v/>
      </c>
      <c r="BY233" s="74" t="str">
        <f aca="false">IF($BH233&lt;&gt;Constants!$B$4,"",IF(OR(NOT($AJ233),$BD233),0,Constants!$B$37))</f>
        <v/>
      </c>
      <c r="BZ233" s="74" t="str">
        <f aca="false">IF($BH233&lt;&gt;Constants!$B$4,"",SUM($BT233:$BY233))</f>
        <v/>
      </c>
      <c r="CA233" s="74" t="str">
        <f aca="false">IF(ISBLANK($C233),"",IF($BH233&lt;&gt;Constants!$B$4,$BH233,SUM($BK233:$BS233)-$BZ233))</f>
        <v/>
      </c>
      <c r="CB233" s="74" t="str">
        <f aca="false">IF(ISBLANK($C233),"",IF($BH233&lt;&gt;Constants!$B$4,$BH233,RANK($CA233,$CA$9:$CA$508)))</f>
        <v/>
      </c>
      <c r="CC233" s="74" t="str">
        <f aca="false">IF(ISBLANK($C233),"",IF($BH233&lt;&gt;Constants!$B$4,$BH233,COUNTIFS($BI$9:$BI$508,"&lt;"&amp;$BI233)+COUNTIFS($BI$9:$BI$508,$BI233,$CB$9:$CB$508,"&lt;"&amp;$CB233)+1))</f>
        <v/>
      </c>
      <c r="CD233" s="74" t="str">
        <f aca="false">IF(ISBLANK($C233),"",IF($BH233&lt;&gt;Constants!$B$4,$BH233,RANK($BZ233,$BZ$9:$BZ$508,1)))</f>
        <v/>
      </c>
      <c r="CE233" s="74" t="str">
        <f aca="false">IF($BH233&lt;&gt;Constants!$B$4,"",$AL233+$AM233+$AN233)</f>
        <v/>
      </c>
      <c r="CF233" s="74" t="str">
        <f aca="false">IF(ISBLANK($C233),"",IF($BH233&lt;&gt;Constants!$B$4,$BH233,RANK($CE233,$CE$9:$CE$508,1)))</f>
        <v/>
      </c>
      <c r="CG233" s="74" t="str">
        <f aca="false">IF(ISBLANK($C233),"",IF($BH233&lt;&gt;Constants!$B$4,$BH233,COUNTIFS($BI$9:$BI$508,"&lt;"&amp;$BI233)+COUNTIFS($BI$9:$BI$508,$BI233,$CB$9:$CB$508,"&lt;"&amp;$CB233)+COUNTIFS($BI$9:$BI$508,$BI233,$CB$9:$CB$508,$CB233,$CD$9:$CD$508,"&lt;"&amp;$CD233)+COUNTIFS($BI$9:$BI$508,$BI233,$CB$9:$CB$508,$CB233,$CD$9:$CD$508,$CD233,$CF$9:$CF$508,"&lt;"&amp;$CF233)+1))</f>
        <v/>
      </c>
      <c r="CH233" s="74" t="str">
        <f aca="false">IF(ISBLANK($C233),"",IF($BH233&lt;&gt;Constants!$B$4,$BH233,$CC233-$CG233))</f>
        <v/>
      </c>
      <c r="CI233" s="74" t="str">
        <f aca="false">IF(ISBLANK($C233),"",IF(NOT($AJ233),"",IF(ISBLANK($D$7),$CI$5,IF(NOT(ISNUMBER($D$7)),$CI$6,""))))</f>
        <v/>
      </c>
      <c r="CJ233" s="74" t="str">
        <f aca="false">IF(ISBLANK($C233),"",OR($AL233="",$AM233="",$AN233=""))</f>
        <v/>
      </c>
      <c r="CK233" s="74" t="str">
        <f aca="false">IF(ISBLANK($C233),"",AND($AJ233,$AX233=""))</f>
        <v/>
      </c>
      <c r="CL233" s="74" t="str">
        <f aca="false">IF(ISBLANK($C233),"",AND($AJ233,$AY233=""))</f>
        <v/>
      </c>
      <c r="CM233" s="74" t="str">
        <f aca="false">IF(ISBLANK($C233),"",AND($AJ233,$AZ233=""))</f>
        <v/>
      </c>
      <c r="CN233" s="74" t="str">
        <f aca="false">IF(ISBLANK($C233),"",AND($AJ233,$BC233=""))</f>
        <v/>
      </c>
      <c r="CO233" s="74" t="str">
        <f aca="false">IF(ISBLANK($C233),"",AND($AJ233,$BF233=""))</f>
        <v/>
      </c>
      <c r="CP233" s="75"/>
      <c r="CQ233" s="76"/>
      <c r="CR233" s="79" t="str">
        <f aca="false">IF(ISBLANK($C233),"",IF($BH233=Constants!$B$8,$CI233,""))</f>
        <v/>
      </c>
      <c r="CS233" s="76" t="str">
        <f aca="false">IF(ISBLANK($C233),"",IF($BH233&lt;&gt;Constants!$B$4,"",$BK233+$BL233))</f>
        <v/>
      </c>
      <c r="CT233" s="78" t="str">
        <f aca="false">IF(ISBLANK($C233),"",IF($BH233&lt;&gt;Constants!$B$4,"",$BM233+$BN233+$BO233))</f>
        <v/>
      </c>
      <c r="CU233" s="78" t="str">
        <f aca="false">IF(ISBLANK($C233),"",IF($BH233&lt;&gt;Constants!$B$4,"",$BP233))</f>
        <v/>
      </c>
      <c r="CV233" s="78" t="str">
        <f aca="false">IF(ISBLANK($C233),"",IF($BH233&lt;&gt;Constants!$B$4,"",$BQ233+$BR233))</f>
        <v/>
      </c>
      <c r="CW233" s="78" t="str">
        <f aca="false">IF(ISBLANK($C233),"",IF($BH233&lt;&gt;Constants!$B$4,"",$BS233))</f>
        <v/>
      </c>
      <c r="CX233" s="78" t="str">
        <f aca="false">IF(ISBLANK($C233),"",IF($BH233&lt;&gt;Constants!$B$4,"",-$BZ233))</f>
        <v/>
      </c>
      <c r="CY233" s="79" t="str">
        <f aca="false">IF(ISBLANK($C233),"",$CA233)</f>
        <v/>
      </c>
      <c r="CZ233" s="80" t="str">
        <f aca="false">IF(ISBLANK($C233),"",$BI233)</f>
        <v/>
      </c>
      <c r="DA233" s="78" t="str">
        <f aca="false">IF(ISBLANK($C233),"",$CH233)</f>
        <v/>
      </c>
      <c r="DB233" s="78" t="str">
        <f aca="false">IF(ISBLANK($C233),"",$CG233)</f>
        <v/>
      </c>
      <c r="DC233" s="81" t="str">
        <f aca="false">IF(ISBLANK($C233),"",IFERROR(_xlfn.SWITCH($DB233,Constants!$B$7,COUNTA($C$9:$C$508)+2,Constants!$B$6,COUNTA($C$9:$C$508)+1,Constants!$B$5,COUNTA($C$9:$C$508)),$DB233))</f>
        <v/>
      </c>
      <c r="DD233" s="7"/>
      <c r="DE233" s="82" t="n">
        <f aca="false">IF(OR(ISNUMBER($DB233),$DB233=Constants!$B$7,$DB233=Constants!$B$5,$DB233=Constants!$B$6),1,0)</f>
        <v>0</v>
      </c>
      <c r="DF233" s="82" t="n">
        <v>225</v>
      </c>
      <c r="DG233" s="82" t="str">
        <f aca="false">IF(ISBLANK($C233),"",IF(ISNUMBER($DC233),$DC233+ROW($B233)/1000,""))</f>
        <v/>
      </c>
      <c r="DH233" s="82" t="str">
        <f aca="false">IF(ISNUMBER($DG233),RANK($DG233,$DG$9:$DG$508,1),"")</f>
        <v/>
      </c>
      <c r="DI233" s="82" t="str">
        <f aca="false">IF(ISBLANK($C233),"",$B233)</f>
        <v/>
      </c>
      <c r="DJ233" s="82" t="str">
        <f aca="false">IF(ISBLANK($C233),"",$C233)</f>
        <v/>
      </c>
      <c r="DK233" s="82" t="str">
        <f aca="false">IF(ISBLANK($C233),"",$D233)</f>
        <v/>
      </c>
      <c r="DL233" s="83" t="str">
        <f aca="false">$CZ233</f>
        <v/>
      </c>
      <c r="DM233" s="84" t="str">
        <f aca="false">$CY233</f>
        <v/>
      </c>
      <c r="DN233" s="82" t="str">
        <f aca="false">IF(ISBLANK($C233),"",$DB233)</f>
        <v/>
      </c>
      <c r="DO233" s="85" t="str">
        <f aca="false">IF($DF233&gt;$DE$8,"",VLOOKUP($DF233,$DH$9:$DN$508,7,FALSE()))</f>
        <v/>
      </c>
      <c r="DP233" s="86" t="str">
        <f aca="false">IF($DF233&gt;$DE$8,"",VLOOKUP($DF233,$DH$9:$DN$508,2,FALSE()))</f>
        <v/>
      </c>
      <c r="DQ233" s="86" t="str">
        <f aca="false">IF($DF233&gt;$DE$8,"",VLOOKUP($DF233,$DH$9:$DN$508,3,FALSE()))</f>
        <v/>
      </c>
      <c r="DR233" s="86" t="str">
        <f aca="false">IF($DF233&gt;$DE$8,"",VLOOKUP($DF233,$DH$9:$DN$508,4,FALSE()))</f>
        <v/>
      </c>
      <c r="DS233" s="86" t="str">
        <f aca="false">IF($DF233&gt;$DE$8,"",VLOOKUP($DF233,$DH$9:$DN$508,5,FALSE()))</f>
        <v/>
      </c>
      <c r="DT233" s="87" t="str">
        <f aca="false">IF($DF233&gt;$DE$8,"",VLOOKUP($DF233,$DH$9:$DN$508,6,FALSE()))</f>
        <v/>
      </c>
      <c r="DU233" s="62"/>
    </row>
    <row r="234" customFormat="false" ht="15.75" hidden="false" customHeight="false" outlineLevel="0" collapsed="false">
      <c r="A234" s="7"/>
      <c r="B234" s="90"/>
      <c r="C234" s="91"/>
      <c r="D234" s="126"/>
      <c r="E234" s="130"/>
      <c r="F234" s="135"/>
      <c r="G234" s="130"/>
      <c r="H234" s="135"/>
      <c r="I234" s="131"/>
      <c r="J234" s="131"/>
      <c r="K234" s="131"/>
      <c r="L234" s="130"/>
      <c r="M234" s="130"/>
      <c r="N234" s="130"/>
      <c r="O234" s="135"/>
      <c r="P234" s="130"/>
      <c r="Q234" s="130"/>
      <c r="R234" s="130"/>
      <c r="S234" s="130"/>
      <c r="T234" s="135"/>
      <c r="U234" s="130"/>
      <c r="V234" s="96"/>
      <c r="W234" s="130"/>
      <c r="X234" s="130"/>
      <c r="Y234" s="96"/>
      <c r="Z234" s="96"/>
      <c r="AA234" s="130"/>
      <c r="AB234" s="130"/>
      <c r="AC234" s="97"/>
      <c r="AD234" s="130"/>
      <c r="AE234" s="99"/>
      <c r="AF234" s="100"/>
      <c r="AG234" s="100"/>
      <c r="AH234" s="100" t="str">
        <f aca="false">IF(ISBLANK($C234),"",IF($E234=Constants!$B$2,TRUE(),IF($E234=Constants!$B$3,FALSE(),TRUE())))</f>
        <v/>
      </c>
      <c r="AI234" s="100" t="str">
        <f aca="false">IF(ISBLANK($C234),"",IF($F234=Constants!$B$2,TRUE(),IF($F234=Constants!$B$3,FALSE(),FALSE())))</f>
        <v/>
      </c>
      <c r="AJ234" s="100" t="str">
        <f aca="false">IF(ISBLANK($C234),"",IF($G234=Constants!$B$2,TRUE(),IF($G234=Constants!$B$3,FALSE(),TRUE())))</f>
        <v/>
      </c>
      <c r="AK234" s="100" t="str">
        <f aca="false">IF(ISBLANK($C234),"",IF($H234=Constants!$B$2,TRUE(),IF($H234=Constants!$B$3,FALSE(),TRUE())))</f>
        <v/>
      </c>
      <c r="AL234" s="100" t="str">
        <f aca="false">IF(ISBLANK($C234),"",IF(ISNUMBER($I234),IF($I234&gt;=0,$I234,""),""))</f>
        <v/>
      </c>
      <c r="AM234" s="100" t="str">
        <f aca="false">IF(ISBLANK($C234),"",IF(ISNUMBER($J234),IF($J234&gt;=0,$J234,""),""))</f>
        <v/>
      </c>
      <c r="AN234" s="100" t="str">
        <f aca="false">IF(ISBLANK($C234),"",IF(ISNUMBER($K234),IF($K234&gt;=0,$K234,""),""))</f>
        <v/>
      </c>
      <c r="AO234" s="100" t="str">
        <f aca="false">IF(ISBLANK($C234),"",IF($L234=Constants!$B$2,TRUE(),IF($L234=Constants!$B$3,FALSE(),TRUE())))</f>
        <v/>
      </c>
      <c r="AP234" s="100" t="str">
        <f aca="false">IF(ISBLANK($C234),"",IF($M234=Constants!$B$2,TRUE(),IF($M234=Constants!$B$3,FALSE(),TRUE())))</f>
        <v/>
      </c>
      <c r="AQ234" s="100" t="str">
        <f aca="false">IF(ISBLANK($C234),"",IF($N234=Constants!$B$2,TRUE(),IF($N234=Constants!$B$3,FALSE(),FALSE())))</f>
        <v/>
      </c>
      <c r="AR234" s="100" t="str">
        <f aca="false">IF(ISBLANK($C234),"",IF($O234=Constants!$B$2,TRUE(),IF($O234=Constants!$B$3,FALSE(),TRUE())))</f>
        <v/>
      </c>
      <c r="AS234" s="100" t="str">
        <f aca="false">IF(ISBLANK($C234),"",IF($P234=Constants!$B$2,TRUE(),IF($P234=Constants!$B$3,FALSE(),FALSE())))</f>
        <v/>
      </c>
      <c r="AT234" s="100" t="str">
        <f aca="false">IF(ISBLANK($C234),"",IF($Q234=Constants!$B$2,TRUE(),IF($Q234=Constants!$B$3,FALSE(),FALSE())))</f>
        <v/>
      </c>
      <c r="AU234" s="100" t="str">
        <f aca="false">IF(ISBLANK($C234),"",IF($R234=Constants!$B$2,TRUE(),IF($R234=Constants!$B$3,FALSE(),FALSE())))</f>
        <v/>
      </c>
      <c r="AV234" s="100" t="str">
        <f aca="false">IF(ISBLANK($C234),"",IF($S234=Constants!$B$2,TRUE(),IF($S234=Constants!$B$3,FALSE(),FALSE())))</f>
        <v/>
      </c>
      <c r="AW234" s="100" t="str">
        <f aca="false">IF(ISBLANK($C234),"",IF($T234=Constants!$B$2,TRUE(),IF($T234=Constants!$B$3,FALSE(),FALSE())))</f>
        <v/>
      </c>
      <c r="AX234" s="100" t="str">
        <f aca="false">IF(ISBLANK($C234),"",IF(OR($U234&amp;""="1",$U234&amp;""="2",$U234&amp;""="3",$U234&amp;""="4"),VALUE($U234&amp;""),IF($U234=Constants!$B$12,Constants!$B$12,"")))</f>
        <v/>
      </c>
      <c r="AY234" s="100" t="str">
        <f aca="false">IF(ISBLANK($C234),"",IF(ISBLANK($V234),0,IF(ISNUMBER($V234),IF(AND($V234&gt;=0,$V234&lt;=Constants!$B$21,$V234=INT($V234)),$V234,""),"")))</f>
        <v/>
      </c>
      <c r="AZ234" s="100" t="str">
        <f aca="false">IF(ISBLANK($C234),"",IF(ISBLANK($W234),0,IF(ISNUMBER($W234),IF($W234&gt;=0,$W234,""),"")))</f>
        <v/>
      </c>
      <c r="BA234" s="100" t="str">
        <f aca="false">IF(ISBLANK($C234),"",IF($X234=Constants!$B$2,TRUE(),IF($X234=Constants!$B$3,FALSE(),TRUE())))</f>
        <v/>
      </c>
      <c r="BB234" s="100" t="str">
        <f aca="false">IF(ISBLANK($C234),"",IF($Y234=Constants!$B$2,TRUE(),IF($Y234=Constants!$B$3,FALSE(),FALSE())))</f>
        <v/>
      </c>
      <c r="BC234" s="100" t="str">
        <f aca="false">IF(ISBLANK($C234),"",IF(ISBLANK($Z234),0,IF(ISNUMBER($Z234),IF(AND($Z234&gt;=0,$Z234&lt;=Constants!$B$35,$Z234=INT($Z234)),$Z234,""),"")))</f>
        <v/>
      </c>
      <c r="BD234" s="100" t="str">
        <f aca="false">IF(ISBLANK($C234),"",IF($AA234=Constants!$B$2,TRUE(),IF($AA234=Constants!$B$3,FALSE(),TRUE())))</f>
        <v/>
      </c>
      <c r="BE234" s="100" t="str">
        <f aca="false">IF(ISBLANK($C234),"",IF($AB234=Constants!$B$2,TRUE(),IF($AB234=Constants!$B$3,FALSE(),TRUE())))</f>
        <v/>
      </c>
      <c r="BF234" s="100" t="str">
        <f aca="false">IF(ISBLANK($C234),"",IF(ISNUMBER($AC234),IF($AC234&gt;=0,$AC234,""),""))</f>
        <v/>
      </c>
      <c r="BG234" s="100" t="str">
        <f aca="false">IF(ISBLANK($C234),"",IF($AD234=Constants!$B$2,TRUE(),IF($AD234=Constants!$B$3,FALSE(),FALSE())))</f>
        <v/>
      </c>
      <c r="BH234" s="99" t="str">
        <f aca="false">IF(ISBLANK($C234),"",IF($BG234,Constants!$B$7,IF(COUNTA($E234:$AC234)=0,Constants!$B$6,IF(OR(COUNTA($G234:$AC234)=0,NOT($AK234),$AQ234),Constants!$B$5,IF(OR($CI234&lt;&gt;"",$CJ234,$CK234,$CL234,$CM234,$CN234,$CO234),Constants!$B$8,Constants!$B$4)))))</f>
        <v/>
      </c>
      <c r="BI234" s="100" t="str">
        <f aca="false">IF(ISBLANK($C234),"",IF($BH234&lt;&gt;Constants!$B$4,$BH234,IF(OR(NOT($AH234),NOT($AJ234),NOT($AR234)),Constants!$B$11,IF(OR(NOT($AP234),MAX($AL234,$AM234,$AN234)&gt;Constants!$B$30),Constants!$B$10,Constants!$B$9))))</f>
        <v/>
      </c>
      <c r="BJ234" s="100" t="str">
        <f aca="false">IF($BH234&lt;&gt;Constants!$B$4,"",IF(NOT($AJ234),0,MIN(Constants!$B$35,$BC234)))</f>
        <v/>
      </c>
      <c r="BK234" s="100" t="str">
        <f aca="false">IF($BH234&lt;&gt;Constants!$B$4,"",IF(NOT($AJ234),0,IF($AT234,Constants!$B$18,IF($AS234,Constants!$B$17,0))))</f>
        <v/>
      </c>
      <c r="BL234" s="100" t="str">
        <f aca="false">IF($BH234&lt;&gt;Constants!$B$4,"",IF(NOT($AJ234),0,Constants!$B$19*($AI234+$AU234+$AV234+$AW234)))</f>
        <v/>
      </c>
      <c r="BM234" s="100" t="str">
        <f aca="false">IF($BH234&lt;&gt;Constants!$B$4,"",IF(OR(NOT($AJ234),NOT(ISNUMBER($AX234))),0,CHOOSE($AX234,Constants!$B$13,Constants!$B$14,Constants!$B$15,Constants!$B$16)))</f>
        <v/>
      </c>
      <c r="BN234" s="100" t="str">
        <f aca="false">IF($BH234&lt;&gt;Constants!$B$4,"",IF(NOT($AJ234),0,Constants!$B$20*$AY234))</f>
        <v/>
      </c>
      <c r="BO234" s="100" t="str">
        <f aca="false">IF($BH234&lt;&gt;Constants!$B$4,"",IF(AND($AJ234,$BA234,$BB234),Constants!$B$22,0))</f>
        <v/>
      </c>
      <c r="BP234" s="100" t="str">
        <f aca="false">IF($BH234&lt;&gt;Constants!$B$4,"",IF(OR(NOT($AJ234),NOT($BA234)),0,IF($BF234&gt;=2*$AF$9,0,Constants!$B$23*INT(ROUND(MIN($BF234,$AF$9),6)))))</f>
        <v/>
      </c>
      <c r="BQ234" s="100" t="str">
        <f aca="false">IF($BH234&lt;&gt;Constants!$B$4,"",IF(NOT($AJ234),0,Constants!$B$24*INT(ROUND(MIN($AZ234,$AF$9),6))))</f>
        <v/>
      </c>
      <c r="BR234" s="100" t="str">
        <f aca="false">IF($BH234&lt;&gt;Constants!$B$4,"",IF(AND($AJ234,$BJ234=0),Constants!$B$25,0))</f>
        <v/>
      </c>
      <c r="BS234" s="100" t="str">
        <f aca="false">IF($BH234&lt;&gt;Constants!$B$4,"",MIN(Constants!$B$29,MAX(0,Constants!$B$27*Constants!$B$28*INT(ROUND((Constants!$B$26-$AL234)/Constants!$B$28,6))))+MIN(Constants!$B$29,MAX(0,Constants!$B$27*Constants!$B$28*INT(ROUND((Constants!$B$26-$AM234)/Constants!$B$28,6))))+MIN(Constants!$B$29,MAX(0,Constants!$B$27*Constants!$B$28*INT(ROUND((Constants!$B$26-$AN234)/Constants!$B$28,6)))))</f>
        <v/>
      </c>
      <c r="BT234" s="100" t="str">
        <f aca="false">IF($BH234&lt;&gt;Constants!$B$4,"",IF(NOT($AJ234),0,Constants!$B$31*INT(ROUND(MAX(0,MIN($BF234,2*$AF$9)-$AF$9),6))))</f>
        <v/>
      </c>
      <c r="BU234" s="100" t="str">
        <f aca="false">IF($BH234&lt;&gt;Constants!$B$4,"",Constants!$B$32*(($AL234&gt;Constants!$B$26)+($AM234&gt;Constants!$B$26)+($AN234&gt;Constants!$B$26)))</f>
        <v/>
      </c>
      <c r="BV234" s="100" t="str">
        <f aca="false">IF($BH234&lt;&gt;Constants!$B$4,"",IF(OR(NOT($AJ234),$AO234),0,Constants!$B$33))</f>
        <v/>
      </c>
      <c r="BW234" s="100" t="str">
        <f aca="false">IF($BH234&lt;&gt;Constants!$B$4,"",Constants!$B$34*$BJ234)</f>
        <v/>
      </c>
      <c r="BX234" s="100" t="str">
        <f aca="false">IF($BH234&lt;&gt;Constants!$B$4,"",IF(OR(NOT($AJ234),$BE234),0,Constants!$B$36))</f>
        <v/>
      </c>
      <c r="BY234" s="100" t="str">
        <f aca="false">IF($BH234&lt;&gt;Constants!$B$4,"",IF(OR(NOT($AJ234),$BD234),0,Constants!$B$37))</f>
        <v/>
      </c>
      <c r="BZ234" s="100" t="str">
        <f aca="false">IF($BH234&lt;&gt;Constants!$B$4,"",SUM($BT234:$BY234))</f>
        <v/>
      </c>
      <c r="CA234" s="100" t="str">
        <f aca="false">IF(ISBLANK($C234),"",IF($BH234&lt;&gt;Constants!$B$4,$BH234,SUM($BK234:$BS234)-$BZ234))</f>
        <v/>
      </c>
      <c r="CB234" s="100" t="str">
        <f aca="false">IF(ISBLANK($C234),"",IF($BH234&lt;&gt;Constants!$B$4,$BH234,RANK($CA234,$CA$9:$CA$508)))</f>
        <v/>
      </c>
      <c r="CC234" s="100" t="str">
        <f aca="false">IF(ISBLANK($C234),"",IF($BH234&lt;&gt;Constants!$B$4,$BH234,COUNTIFS($BI$9:$BI$508,"&lt;"&amp;$BI234)+COUNTIFS($BI$9:$BI$508,$BI234,$CB$9:$CB$508,"&lt;"&amp;$CB234)+1))</f>
        <v/>
      </c>
      <c r="CD234" s="100" t="str">
        <f aca="false">IF(ISBLANK($C234),"",IF($BH234&lt;&gt;Constants!$B$4,$BH234,RANK($BZ234,$BZ$9:$BZ$508,1)))</f>
        <v/>
      </c>
      <c r="CE234" s="100" t="str">
        <f aca="false">IF($BH234&lt;&gt;Constants!$B$4,"",$AL234+$AM234+$AN234)</f>
        <v/>
      </c>
      <c r="CF234" s="100" t="str">
        <f aca="false">IF(ISBLANK($C234),"",IF($BH234&lt;&gt;Constants!$B$4,$BH234,RANK($CE234,$CE$9:$CE$508,1)))</f>
        <v/>
      </c>
      <c r="CG234" s="100" t="str">
        <f aca="false">IF(ISBLANK($C234),"",IF($BH234&lt;&gt;Constants!$B$4,$BH234,COUNTIFS($BI$9:$BI$508,"&lt;"&amp;$BI234)+COUNTIFS($BI$9:$BI$508,$BI234,$CB$9:$CB$508,"&lt;"&amp;$CB234)+COUNTIFS($BI$9:$BI$508,$BI234,$CB$9:$CB$508,$CB234,$CD$9:$CD$508,"&lt;"&amp;$CD234)+COUNTIFS($BI$9:$BI$508,$BI234,$CB$9:$CB$508,$CB234,$CD$9:$CD$508,$CD234,$CF$9:$CF$508,"&lt;"&amp;$CF234)+1))</f>
        <v/>
      </c>
      <c r="CH234" s="100" t="str">
        <f aca="false">IF(ISBLANK($C234),"",IF($BH234&lt;&gt;Constants!$B$4,$BH234,$CC234-$CG234))</f>
        <v/>
      </c>
      <c r="CI234" s="100" t="str">
        <f aca="false">IF(ISBLANK($C234),"",IF(NOT($AJ234),"",IF(ISBLANK($D$7),$CI$5,IF(NOT(ISNUMBER($D$7)),$CI$6,""))))</f>
        <v/>
      </c>
      <c r="CJ234" s="100" t="str">
        <f aca="false">IF(ISBLANK($C234),"",OR($AL234="",$AM234="",$AN234=""))</f>
        <v/>
      </c>
      <c r="CK234" s="100" t="str">
        <f aca="false">IF(ISBLANK($C234),"",AND($AJ234,$AX234=""))</f>
        <v/>
      </c>
      <c r="CL234" s="100" t="str">
        <f aca="false">IF(ISBLANK($C234),"",AND($AJ234,$AY234=""))</f>
        <v/>
      </c>
      <c r="CM234" s="100" t="str">
        <f aca="false">IF(ISBLANK($C234),"",AND($AJ234,$AZ234=""))</f>
        <v/>
      </c>
      <c r="CN234" s="100" t="str">
        <f aca="false">IF(ISBLANK($C234),"",AND($AJ234,$BC234=""))</f>
        <v/>
      </c>
      <c r="CO234" s="100" t="str">
        <f aca="false">IF(ISBLANK($C234),"",AND($AJ234,$BF234=""))</f>
        <v/>
      </c>
      <c r="CP234" s="101"/>
      <c r="CQ234" s="102"/>
      <c r="CR234" s="103" t="str">
        <f aca="false">IF(ISBLANK($C234),"",IF($BH234=Constants!$B$8,$CI234,""))</f>
        <v/>
      </c>
      <c r="CS234" s="102" t="str">
        <f aca="false">IF(ISBLANK($C234),"",IF($BH234&lt;&gt;Constants!$B$4,"",$BK234+$BL234))</f>
        <v/>
      </c>
      <c r="CT234" s="104" t="str">
        <f aca="false">IF(ISBLANK($C234),"",IF($BH234&lt;&gt;Constants!$B$4,"",$BM234+$BN234+$BO234))</f>
        <v/>
      </c>
      <c r="CU234" s="104" t="str">
        <f aca="false">IF(ISBLANK($C234),"",IF($BH234&lt;&gt;Constants!$B$4,"",$BP234))</f>
        <v/>
      </c>
      <c r="CV234" s="104" t="str">
        <f aca="false">IF(ISBLANK($C234),"",IF($BH234&lt;&gt;Constants!$B$4,"",$BQ234+$BR234))</f>
        <v/>
      </c>
      <c r="CW234" s="104" t="str">
        <f aca="false">IF(ISBLANK($C234),"",IF($BH234&lt;&gt;Constants!$B$4,"",$BS234))</f>
        <v/>
      </c>
      <c r="CX234" s="104" t="str">
        <f aca="false">IF(ISBLANK($C234),"",IF($BH234&lt;&gt;Constants!$B$4,"",-$BZ234))</f>
        <v/>
      </c>
      <c r="CY234" s="103" t="str">
        <f aca="false">IF(ISBLANK($C234),"",$CA234)</f>
        <v/>
      </c>
      <c r="CZ234" s="105" t="str">
        <f aca="false">IF(ISBLANK($C234),"",$BI234)</f>
        <v/>
      </c>
      <c r="DA234" s="104" t="str">
        <f aca="false">IF(ISBLANK($C234),"",$CH234)</f>
        <v/>
      </c>
      <c r="DB234" s="104" t="str">
        <f aca="false">IF(ISBLANK($C234),"",$CG234)</f>
        <v/>
      </c>
      <c r="DC234" s="106" t="str">
        <f aca="false">IF(ISBLANK($C234),"",IFERROR(_xlfn.SWITCH($DB234,Constants!$B$7,COUNTA($C$9:$C$508)+2,Constants!$B$6,COUNTA($C$9:$C$508)+1,Constants!$B$5,COUNTA($C$9:$C$508)),$DB234))</f>
        <v/>
      </c>
      <c r="DD234" s="7"/>
      <c r="DE234" s="107" t="n">
        <f aca="false">IF(OR(ISNUMBER($DB234),$DB234=Constants!$B$7,$DB234=Constants!$B$5,$DB234=Constants!$B$6),1,0)</f>
        <v>0</v>
      </c>
      <c r="DF234" s="107" t="n">
        <v>226</v>
      </c>
      <c r="DG234" s="107" t="str">
        <f aca="false">IF(ISBLANK($C234),"",IF(ISNUMBER($DC234),$DC234+ROW($B234)/1000,""))</f>
        <v/>
      </c>
      <c r="DH234" s="107" t="str">
        <f aca="false">IF(ISNUMBER($DG234),RANK($DG234,$DG$9:$DG$508,1),"")</f>
        <v/>
      </c>
      <c r="DI234" s="107" t="str">
        <f aca="false">IF(ISBLANK($C234),"",$B234)</f>
        <v/>
      </c>
      <c r="DJ234" s="107" t="str">
        <f aca="false">IF(ISBLANK($C234),"",$C234)</f>
        <v/>
      </c>
      <c r="DK234" s="107" t="str">
        <f aca="false">IF(ISBLANK($C234),"",$D234)</f>
        <v/>
      </c>
      <c r="DL234" s="108" t="str">
        <f aca="false">$CZ234</f>
        <v/>
      </c>
      <c r="DM234" s="109" t="str">
        <f aca="false">$CY234</f>
        <v/>
      </c>
      <c r="DN234" s="107" t="str">
        <f aca="false">IF(ISBLANK($C234),"",$DB234)</f>
        <v/>
      </c>
      <c r="DO234" s="110" t="str">
        <f aca="false">IF($DF234&gt;$DE$8,"",VLOOKUP($DF234,$DH$9:$DN$508,7,FALSE()))</f>
        <v/>
      </c>
      <c r="DP234" s="111" t="str">
        <f aca="false">IF($DF234&gt;$DE$8,"",VLOOKUP($DF234,$DH$9:$DN$508,2,FALSE()))</f>
        <v/>
      </c>
      <c r="DQ234" s="111" t="str">
        <f aca="false">IF($DF234&gt;$DE$8,"",VLOOKUP($DF234,$DH$9:$DN$508,3,FALSE()))</f>
        <v/>
      </c>
      <c r="DR234" s="111" t="str">
        <f aca="false">IF($DF234&gt;$DE$8,"",VLOOKUP($DF234,$DH$9:$DN$508,4,FALSE()))</f>
        <v/>
      </c>
      <c r="DS234" s="111" t="str">
        <f aca="false">IF($DF234&gt;$DE$8,"",VLOOKUP($DF234,$DH$9:$DN$508,5,FALSE()))</f>
        <v/>
      </c>
      <c r="DT234" s="112" t="str">
        <f aca="false">IF($DF234&gt;$DE$8,"",VLOOKUP($DF234,$DH$9:$DN$508,6,FALSE()))</f>
        <v/>
      </c>
      <c r="DU234" s="62"/>
    </row>
    <row r="235" customFormat="false" ht="15.75" hidden="false" customHeight="false" outlineLevel="0" collapsed="false">
      <c r="A235" s="7"/>
      <c r="B235" s="90"/>
      <c r="C235" s="91"/>
      <c r="D235" s="126"/>
      <c r="E235" s="130"/>
      <c r="F235" s="135"/>
      <c r="G235" s="130"/>
      <c r="H235" s="135"/>
      <c r="I235" s="131"/>
      <c r="J235" s="131"/>
      <c r="K235" s="131"/>
      <c r="L235" s="130"/>
      <c r="M235" s="130"/>
      <c r="N235" s="130"/>
      <c r="O235" s="135"/>
      <c r="P235" s="130"/>
      <c r="Q235" s="130"/>
      <c r="R235" s="130"/>
      <c r="S235" s="130"/>
      <c r="T235" s="135"/>
      <c r="U235" s="130"/>
      <c r="V235" s="96"/>
      <c r="W235" s="130"/>
      <c r="X235" s="130"/>
      <c r="Y235" s="96"/>
      <c r="Z235" s="96"/>
      <c r="AA235" s="130"/>
      <c r="AB235" s="130"/>
      <c r="AC235" s="97"/>
      <c r="AD235" s="130"/>
      <c r="AE235" s="99"/>
      <c r="AF235" s="100"/>
      <c r="AG235" s="100"/>
      <c r="AH235" s="100" t="str">
        <f aca="false">IF(ISBLANK($C235),"",IF($E235=Constants!$B$2,TRUE(),IF($E235=Constants!$B$3,FALSE(),TRUE())))</f>
        <v/>
      </c>
      <c r="AI235" s="100" t="str">
        <f aca="false">IF(ISBLANK($C235),"",IF($F235=Constants!$B$2,TRUE(),IF($F235=Constants!$B$3,FALSE(),FALSE())))</f>
        <v/>
      </c>
      <c r="AJ235" s="100" t="str">
        <f aca="false">IF(ISBLANK($C235),"",IF($G235=Constants!$B$2,TRUE(),IF($G235=Constants!$B$3,FALSE(),TRUE())))</f>
        <v/>
      </c>
      <c r="AK235" s="100" t="str">
        <f aca="false">IF(ISBLANK($C235),"",IF($H235=Constants!$B$2,TRUE(),IF($H235=Constants!$B$3,FALSE(),TRUE())))</f>
        <v/>
      </c>
      <c r="AL235" s="100" t="str">
        <f aca="false">IF(ISBLANK($C235),"",IF(ISNUMBER($I235),IF($I235&gt;=0,$I235,""),""))</f>
        <v/>
      </c>
      <c r="AM235" s="100" t="str">
        <f aca="false">IF(ISBLANK($C235),"",IF(ISNUMBER($J235),IF($J235&gt;=0,$J235,""),""))</f>
        <v/>
      </c>
      <c r="AN235" s="100" t="str">
        <f aca="false">IF(ISBLANK($C235),"",IF(ISNUMBER($K235),IF($K235&gt;=0,$K235,""),""))</f>
        <v/>
      </c>
      <c r="AO235" s="100" t="str">
        <f aca="false">IF(ISBLANK($C235),"",IF($L235=Constants!$B$2,TRUE(),IF($L235=Constants!$B$3,FALSE(),TRUE())))</f>
        <v/>
      </c>
      <c r="AP235" s="100" t="str">
        <f aca="false">IF(ISBLANK($C235),"",IF($M235=Constants!$B$2,TRUE(),IF($M235=Constants!$B$3,FALSE(),TRUE())))</f>
        <v/>
      </c>
      <c r="AQ235" s="100" t="str">
        <f aca="false">IF(ISBLANK($C235),"",IF($N235=Constants!$B$2,TRUE(),IF($N235=Constants!$B$3,FALSE(),FALSE())))</f>
        <v/>
      </c>
      <c r="AR235" s="100" t="str">
        <f aca="false">IF(ISBLANK($C235),"",IF($O235=Constants!$B$2,TRUE(),IF($O235=Constants!$B$3,FALSE(),TRUE())))</f>
        <v/>
      </c>
      <c r="AS235" s="100" t="str">
        <f aca="false">IF(ISBLANK($C235),"",IF($P235=Constants!$B$2,TRUE(),IF($P235=Constants!$B$3,FALSE(),FALSE())))</f>
        <v/>
      </c>
      <c r="AT235" s="100" t="str">
        <f aca="false">IF(ISBLANK($C235),"",IF($Q235=Constants!$B$2,TRUE(),IF($Q235=Constants!$B$3,FALSE(),FALSE())))</f>
        <v/>
      </c>
      <c r="AU235" s="100" t="str">
        <f aca="false">IF(ISBLANK($C235),"",IF($R235=Constants!$B$2,TRUE(),IF($R235=Constants!$B$3,FALSE(),FALSE())))</f>
        <v/>
      </c>
      <c r="AV235" s="100" t="str">
        <f aca="false">IF(ISBLANK($C235),"",IF($S235=Constants!$B$2,TRUE(),IF($S235=Constants!$B$3,FALSE(),FALSE())))</f>
        <v/>
      </c>
      <c r="AW235" s="100" t="str">
        <f aca="false">IF(ISBLANK($C235),"",IF($T235=Constants!$B$2,TRUE(),IF($T235=Constants!$B$3,FALSE(),FALSE())))</f>
        <v/>
      </c>
      <c r="AX235" s="100" t="str">
        <f aca="false">IF(ISBLANK($C235),"",IF(OR($U235&amp;""="1",$U235&amp;""="2",$U235&amp;""="3",$U235&amp;""="4"),VALUE($U235&amp;""),IF($U235=Constants!$B$12,Constants!$B$12,"")))</f>
        <v/>
      </c>
      <c r="AY235" s="100" t="str">
        <f aca="false">IF(ISBLANK($C235),"",IF(ISBLANK($V235),0,IF(ISNUMBER($V235),IF(AND($V235&gt;=0,$V235&lt;=Constants!$B$21,$V235=INT($V235)),$V235,""),"")))</f>
        <v/>
      </c>
      <c r="AZ235" s="100" t="str">
        <f aca="false">IF(ISBLANK($C235),"",IF(ISBLANK($W235),0,IF(ISNUMBER($W235),IF($W235&gt;=0,$W235,""),"")))</f>
        <v/>
      </c>
      <c r="BA235" s="100" t="str">
        <f aca="false">IF(ISBLANK($C235),"",IF($X235=Constants!$B$2,TRUE(),IF($X235=Constants!$B$3,FALSE(),TRUE())))</f>
        <v/>
      </c>
      <c r="BB235" s="100" t="str">
        <f aca="false">IF(ISBLANK($C235),"",IF($Y235=Constants!$B$2,TRUE(),IF($Y235=Constants!$B$3,FALSE(),FALSE())))</f>
        <v/>
      </c>
      <c r="BC235" s="100" t="str">
        <f aca="false">IF(ISBLANK($C235),"",IF(ISBLANK($Z235),0,IF(ISNUMBER($Z235),IF(AND($Z235&gt;=0,$Z235&lt;=Constants!$B$35,$Z235=INT($Z235)),$Z235,""),"")))</f>
        <v/>
      </c>
      <c r="BD235" s="100" t="str">
        <f aca="false">IF(ISBLANK($C235),"",IF($AA235=Constants!$B$2,TRUE(),IF($AA235=Constants!$B$3,FALSE(),TRUE())))</f>
        <v/>
      </c>
      <c r="BE235" s="100" t="str">
        <f aca="false">IF(ISBLANK($C235),"",IF($AB235=Constants!$B$2,TRUE(),IF($AB235=Constants!$B$3,FALSE(),TRUE())))</f>
        <v/>
      </c>
      <c r="BF235" s="100" t="str">
        <f aca="false">IF(ISBLANK($C235),"",IF(ISNUMBER($AC235),IF($AC235&gt;=0,$AC235,""),""))</f>
        <v/>
      </c>
      <c r="BG235" s="100" t="str">
        <f aca="false">IF(ISBLANK($C235),"",IF($AD235=Constants!$B$2,TRUE(),IF($AD235=Constants!$B$3,FALSE(),FALSE())))</f>
        <v/>
      </c>
      <c r="BH235" s="99" t="str">
        <f aca="false">IF(ISBLANK($C235),"",IF($BG235,Constants!$B$7,IF(COUNTA($E235:$AC235)=0,Constants!$B$6,IF(OR(COUNTA($G235:$AC235)=0,NOT($AK235),$AQ235),Constants!$B$5,IF(OR($CI235&lt;&gt;"",$CJ235,$CK235,$CL235,$CM235,$CN235,$CO235),Constants!$B$8,Constants!$B$4)))))</f>
        <v/>
      </c>
      <c r="BI235" s="100" t="str">
        <f aca="false">IF(ISBLANK($C235),"",IF($BH235&lt;&gt;Constants!$B$4,$BH235,IF(OR(NOT($AH235),NOT($AJ235),NOT($AR235)),Constants!$B$11,IF(OR(NOT($AP235),MAX($AL235,$AM235,$AN235)&gt;Constants!$B$30),Constants!$B$10,Constants!$B$9))))</f>
        <v/>
      </c>
      <c r="BJ235" s="100" t="str">
        <f aca="false">IF($BH235&lt;&gt;Constants!$B$4,"",IF(NOT($AJ235),0,MIN(Constants!$B$35,$BC235)))</f>
        <v/>
      </c>
      <c r="BK235" s="100" t="str">
        <f aca="false">IF($BH235&lt;&gt;Constants!$B$4,"",IF(NOT($AJ235),0,IF($AT235,Constants!$B$18,IF($AS235,Constants!$B$17,0))))</f>
        <v/>
      </c>
      <c r="BL235" s="100" t="str">
        <f aca="false">IF($BH235&lt;&gt;Constants!$B$4,"",IF(NOT($AJ235),0,Constants!$B$19*($AI235+$AU235+$AV235+$AW235)))</f>
        <v/>
      </c>
      <c r="BM235" s="100" t="str">
        <f aca="false">IF($BH235&lt;&gt;Constants!$B$4,"",IF(OR(NOT($AJ235),NOT(ISNUMBER($AX235))),0,CHOOSE($AX235,Constants!$B$13,Constants!$B$14,Constants!$B$15,Constants!$B$16)))</f>
        <v/>
      </c>
      <c r="BN235" s="100" t="str">
        <f aca="false">IF($BH235&lt;&gt;Constants!$B$4,"",IF(NOT($AJ235),0,Constants!$B$20*$AY235))</f>
        <v/>
      </c>
      <c r="BO235" s="100" t="str">
        <f aca="false">IF($BH235&lt;&gt;Constants!$B$4,"",IF(AND($AJ235,$BA235,$BB235),Constants!$B$22,0))</f>
        <v/>
      </c>
      <c r="BP235" s="100" t="str">
        <f aca="false">IF($BH235&lt;&gt;Constants!$B$4,"",IF(OR(NOT($AJ235),NOT($BA235)),0,IF($BF235&gt;=2*$AF$9,0,Constants!$B$23*INT(ROUND(MIN($BF235,$AF$9),6)))))</f>
        <v/>
      </c>
      <c r="BQ235" s="100" t="str">
        <f aca="false">IF($BH235&lt;&gt;Constants!$B$4,"",IF(NOT($AJ235),0,Constants!$B$24*INT(ROUND(MIN($AZ235,$AF$9),6))))</f>
        <v/>
      </c>
      <c r="BR235" s="100" t="str">
        <f aca="false">IF($BH235&lt;&gt;Constants!$B$4,"",IF(AND($AJ235,$BJ235=0),Constants!$B$25,0))</f>
        <v/>
      </c>
      <c r="BS235" s="100" t="str">
        <f aca="false">IF($BH235&lt;&gt;Constants!$B$4,"",MIN(Constants!$B$29,MAX(0,Constants!$B$27*Constants!$B$28*INT(ROUND((Constants!$B$26-$AL235)/Constants!$B$28,6))))+MIN(Constants!$B$29,MAX(0,Constants!$B$27*Constants!$B$28*INT(ROUND((Constants!$B$26-$AM235)/Constants!$B$28,6))))+MIN(Constants!$B$29,MAX(0,Constants!$B$27*Constants!$B$28*INT(ROUND((Constants!$B$26-$AN235)/Constants!$B$28,6)))))</f>
        <v/>
      </c>
      <c r="BT235" s="100" t="str">
        <f aca="false">IF($BH235&lt;&gt;Constants!$B$4,"",IF(NOT($AJ235),0,Constants!$B$31*INT(ROUND(MAX(0,MIN($BF235,2*$AF$9)-$AF$9),6))))</f>
        <v/>
      </c>
      <c r="BU235" s="100" t="str">
        <f aca="false">IF($BH235&lt;&gt;Constants!$B$4,"",Constants!$B$32*(($AL235&gt;Constants!$B$26)+($AM235&gt;Constants!$B$26)+($AN235&gt;Constants!$B$26)))</f>
        <v/>
      </c>
      <c r="BV235" s="100" t="str">
        <f aca="false">IF($BH235&lt;&gt;Constants!$B$4,"",IF(OR(NOT($AJ235),$AO235),0,Constants!$B$33))</f>
        <v/>
      </c>
      <c r="BW235" s="100" t="str">
        <f aca="false">IF($BH235&lt;&gt;Constants!$B$4,"",Constants!$B$34*$BJ235)</f>
        <v/>
      </c>
      <c r="BX235" s="100" t="str">
        <f aca="false">IF($BH235&lt;&gt;Constants!$B$4,"",IF(OR(NOT($AJ235),$BE235),0,Constants!$B$36))</f>
        <v/>
      </c>
      <c r="BY235" s="100" t="str">
        <f aca="false">IF($BH235&lt;&gt;Constants!$B$4,"",IF(OR(NOT($AJ235),$BD235),0,Constants!$B$37))</f>
        <v/>
      </c>
      <c r="BZ235" s="100" t="str">
        <f aca="false">IF($BH235&lt;&gt;Constants!$B$4,"",SUM($BT235:$BY235))</f>
        <v/>
      </c>
      <c r="CA235" s="100" t="str">
        <f aca="false">IF(ISBLANK($C235),"",IF($BH235&lt;&gt;Constants!$B$4,$BH235,SUM($BK235:$BS235)-$BZ235))</f>
        <v/>
      </c>
      <c r="CB235" s="100" t="str">
        <f aca="false">IF(ISBLANK($C235),"",IF($BH235&lt;&gt;Constants!$B$4,$BH235,RANK($CA235,$CA$9:$CA$508)))</f>
        <v/>
      </c>
      <c r="CC235" s="100" t="str">
        <f aca="false">IF(ISBLANK($C235),"",IF($BH235&lt;&gt;Constants!$B$4,$BH235,COUNTIFS($BI$9:$BI$508,"&lt;"&amp;$BI235)+COUNTIFS($BI$9:$BI$508,$BI235,$CB$9:$CB$508,"&lt;"&amp;$CB235)+1))</f>
        <v/>
      </c>
      <c r="CD235" s="100" t="str">
        <f aca="false">IF(ISBLANK($C235),"",IF($BH235&lt;&gt;Constants!$B$4,$BH235,RANK($BZ235,$BZ$9:$BZ$508,1)))</f>
        <v/>
      </c>
      <c r="CE235" s="100" t="str">
        <f aca="false">IF($BH235&lt;&gt;Constants!$B$4,"",$AL235+$AM235+$AN235)</f>
        <v/>
      </c>
      <c r="CF235" s="100" t="str">
        <f aca="false">IF(ISBLANK($C235),"",IF($BH235&lt;&gt;Constants!$B$4,$BH235,RANK($CE235,$CE$9:$CE$508,1)))</f>
        <v/>
      </c>
      <c r="CG235" s="100" t="str">
        <f aca="false">IF(ISBLANK($C235),"",IF($BH235&lt;&gt;Constants!$B$4,$BH235,COUNTIFS($BI$9:$BI$508,"&lt;"&amp;$BI235)+COUNTIFS($BI$9:$BI$508,$BI235,$CB$9:$CB$508,"&lt;"&amp;$CB235)+COUNTIFS($BI$9:$BI$508,$BI235,$CB$9:$CB$508,$CB235,$CD$9:$CD$508,"&lt;"&amp;$CD235)+COUNTIFS($BI$9:$BI$508,$BI235,$CB$9:$CB$508,$CB235,$CD$9:$CD$508,$CD235,$CF$9:$CF$508,"&lt;"&amp;$CF235)+1))</f>
        <v/>
      </c>
      <c r="CH235" s="100" t="str">
        <f aca="false">IF(ISBLANK($C235),"",IF($BH235&lt;&gt;Constants!$B$4,$BH235,$CC235-$CG235))</f>
        <v/>
      </c>
      <c r="CI235" s="100" t="str">
        <f aca="false">IF(ISBLANK($C235),"",IF(NOT($AJ235),"",IF(ISBLANK($D$7),$CI$5,IF(NOT(ISNUMBER($D$7)),$CI$6,""))))</f>
        <v/>
      </c>
      <c r="CJ235" s="100" t="str">
        <f aca="false">IF(ISBLANK($C235),"",OR($AL235="",$AM235="",$AN235=""))</f>
        <v/>
      </c>
      <c r="CK235" s="100" t="str">
        <f aca="false">IF(ISBLANK($C235),"",AND($AJ235,$AX235=""))</f>
        <v/>
      </c>
      <c r="CL235" s="100" t="str">
        <f aca="false">IF(ISBLANK($C235),"",AND($AJ235,$AY235=""))</f>
        <v/>
      </c>
      <c r="CM235" s="100" t="str">
        <f aca="false">IF(ISBLANK($C235),"",AND($AJ235,$AZ235=""))</f>
        <v/>
      </c>
      <c r="CN235" s="100" t="str">
        <f aca="false">IF(ISBLANK($C235),"",AND($AJ235,$BC235=""))</f>
        <v/>
      </c>
      <c r="CO235" s="100" t="str">
        <f aca="false">IF(ISBLANK($C235),"",AND($AJ235,$BF235=""))</f>
        <v/>
      </c>
      <c r="CP235" s="101"/>
      <c r="CQ235" s="102"/>
      <c r="CR235" s="103" t="str">
        <f aca="false">IF(ISBLANK($C235),"",IF($BH235=Constants!$B$8,$CI235,""))</f>
        <v/>
      </c>
      <c r="CS235" s="102" t="str">
        <f aca="false">IF(ISBLANK($C235),"",IF($BH235&lt;&gt;Constants!$B$4,"",$BK235+$BL235))</f>
        <v/>
      </c>
      <c r="CT235" s="104" t="str">
        <f aca="false">IF(ISBLANK($C235),"",IF($BH235&lt;&gt;Constants!$B$4,"",$BM235+$BN235+$BO235))</f>
        <v/>
      </c>
      <c r="CU235" s="104" t="str">
        <f aca="false">IF(ISBLANK($C235),"",IF($BH235&lt;&gt;Constants!$B$4,"",$BP235))</f>
        <v/>
      </c>
      <c r="CV235" s="104" t="str">
        <f aca="false">IF(ISBLANK($C235),"",IF($BH235&lt;&gt;Constants!$B$4,"",$BQ235+$BR235))</f>
        <v/>
      </c>
      <c r="CW235" s="104" t="str">
        <f aca="false">IF(ISBLANK($C235),"",IF($BH235&lt;&gt;Constants!$B$4,"",$BS235))</f>
        <v/>
      </c>
      <c r="CX235" s="104" t="str">
        <f aca="false">IF(ISBLANK($C235),"",IF($BH235&lt;&gt;Constants!$B$4,"",-$BZ235))</f>
        <v/>
      </c>
      <c r="CY235" s="103" t="str">
        <f aca="false">IF(ISBLANK($C235),"",$CA235)</f>
        <v/>
      </c>
      <c r="CZ235" s="105" t="str">
        <f aca="false">IF(ISBLANK($C235),"",$BI235)</f>
        <v/>
      </c>
      <c r="DA235" s="104" t="str">
        <f aca="false">IF(ISBLANK($C235),"",$CH235)</f>
        <v/>
      </c>
      <c r="DB235" s="104" t="str">
        <f aca="false">IF(ISBLANK($C235),"",$CG235)</f>
        <v/>
      </c>
      <c r="DC235" s="106" t="str">
        <f aca="false">IF(ISBLANK($C235),"",IFERROR(_xlfn.SWITCH($DB235,Constants!$B$7,COUNTA($C$9:$C$508)+2,Constants!$B$6,COUNTA($C$9:$C$508)+1,Constants!$B$5,COUNTA($C$9:$C$508)),$DB235))</f>
        <v/>
      </c>
      <c r="DD235" s="7"/>
      <c r="DE235" s="107" t="n">
        <f aca="false">IF(OR(ISNUMBER($DB235),$DB235=Constants!$B$7,$DB235=Constants!$B$5,$DB235=Constants!$B$6),1,0)</f>
        <v>0</v>
      </c>
      <c r="DF235" s="107" t="n">
        <v>227</v>
      </c>
      <c r="DG235" s="107" t="str">
        <f aca="false">IF(ISBLANK($C235),"",IF(ISNUMBER($DC235),$DC235+ROW($B235)/1000,""))</f>
        <v/>
      </c>
      <c r="DH235" s="107" t="str">
        <f aca="false">IF(ISNUMBER($DG235),RANK($DG235,$DG$9:$DG$508,1),"")</f>
        <v/>
      </c>
      <c r="DI235" s="107" t="str">
        <f aca="false">IF(ISBLANK($C235),"",$B235)</f>
        <v/>
      </c>
      <c r="DJ235" s="107" t="str">
        <f aca="false">IF(ISBLANK($C235),"",$C235)</f>
        <v/>
      </c>
      <c r="DK235" s="107" t="str">
        <f aca="false">IF(ISBLANK($C235),"",$D235)</f>
        <v/>
      </c>
      <c r="DL235" s="108" t="str">
        <f aca="false">$CZ235</f>
        <v/>
      </c>
      <c r="DM235" s="109" t="str">
        <f aca="false">$CY235</f>
        <v/>
      </c>
      <c r="DN235" s="107" t="str">
        <f aca="false">IF(ISBLANK($C235),"",$DB235)</f>
        <v/>
      </c>
      <c r="DO235" s="110" t="str">
        <f aca="false">IF($DF235&gt;$DE$8,"",VLOOKUP($DF235,$DH$9:$DN$508,7,FALSE()))</f>
        <v/>
      </c>
      <c r="DP235" s="111" t="str">
        <f aca="false">IF($DF235&gt;$DE$8,"",VLOOKUP($DF235,$DH$9:$DN$508,2,FALSE()))</f>
        <v/>
      </c>
      <c r="DQ235" s="111" t="str">
        <f aca="false">IF($DF235&gt;$DE$8,"",VLOOKUP($DF235,$DH$9:$DN$508,3,FALSE()))</f>
        <v/>
      </c>
      <c r="DR235" s="111" t="str">
        <f aca="false">IF($DF235&gt;$DE$8,"",VLOOKUP($DF235,$DH$9:$DN$508,4,FALSE()))</f>
        <v/>
      </c>
      <c r="DS235" s="111" t="str">
        <f aca="false">IF($DF235&gt;$DE$8,"",VLOOKUP($DF235,$DH$9:$DN$508,5,FALSE()))</f>
        <v/>
      </c>
      <c r="DT235" s="112" t="str">
        <f aca="false">IF($DF235&gt;$DE$8,"",VLOOKUP($DF235,$DH$9:$DN$508,6,FALSE()))</f>
        <v/>
      </c>
      <c r="DU235" s="62"/>
    </row>
    <row r="236" customFormat="false" ht="15.75" hidden="false" customHeight="false" outlineLevel="0" collapsed="false">
      <c r="A236" s="7"/>
      <c r="B236" s="90"/>
      <c r="C236" s="91"/>
      <c r="D236" s="126"/>
      <c r="E236" s="130"/>
      <c r="F236" s="135"/>
      <c r="G236" s="130"/>
      <c r="H236" s="135"/>
      <c r="I236" s="131"/>
      <c r="J236" s="131"/>
      <c r="K236" s="131"/>
      <c r="L236" s="130"/>
      <c r="M236" s="130"/>
      <c r="N236" s="130"/>
      <c r="O236" s="135"/>
      <c r="P236" s="130"/>
      <c r="Q236" s="130"/>
      <c r="R236" s="130"/>
      <c r="S236" s="130"/>
      <c r="T236" s="135"/>
      <c r="U236" s="130"/>
      <c r="V236" s="96"/>
      <c r="W236" s="130"/>
      <c r="X236" s="130"/>
      <c r="Y236" s="96"/>
      <c r="Z236" s="96"/>
      <c r="AA236" s="130"/>
      <c r="AB236" s="130"/>
      <c r="AC236" s="97"/>
      <c r="AD236" s="130"/>
      <c r="AE236" s="99"/>
      <c r="AF236" s="100"/>
      <c r="AG236" s="100"/>
      <c r="AH236" s="100" t="str">
        <f aca="false">IF(ISBLANK($C236),"",IF($E236=Constants!$B$2,TRUE(),IF($E236=Constants!$B$3,FALSE(),TRUE())))</f>
        <v/>
      </c>
      <c r="AI236" s="100" t="str">
        <f aca="false">IF(ISBLANK($C236),"",IF($F236=Constants!$B$2,TRUE(),IF($F236=Constants!$B$3,FALSE(),FALSE())))</f>
        <v/>
      </c>
      <c r="AJ236" s="100" t="str">
        <f aca="false">IF(ISBLANK($C236),"",IF($G236=Constants!$B$2,TRUE(),IF($G236=Constants!$B$3,FALSE(),TRUE())))</f>
        <v/>
      </c>
      <c r="AK236" s="100" t="str">
        <f aca="false">IF(ISBLANK($C236),"",IF($H236=Constants!$B$2,TRUE(),IF($H236=Constants!$B$3,FALSE(),TRUE())))</f>
        <v/>
      </c>
      <c r="AL236" s="100" t="str">
        <f aca="false">IF(ISBLANK($C236),"",IF(ISNUMBER($I236),IF($I236&gt;=0,$I236,""),""))</f>
        <v/>
      </c>
      <c r="AM236" s="100" t="str">
        <f aca="false">IF(ISBLANK($C236),"",IF(ISNUMBER($J236),IF($J236&gt;=0,$J236,""),""))</f>
        <v/>
      </c>
      <c r="AN236" s="100" t="str">
        <f aca="false">IF(ISBLANK($C236),"",IF(ISNUMBER($K236),IF($K236&gt;=0,$K236,""),""))</f>
        <v/>
      </c>
      <c r="AO236" s="100" t="str">
        <f aca="false">IF(ISBLANK($C236),"",IF($L236=Constants!$B$2,TRUE(),IF($L236=Constants!$B$3,FALSE(),TRUE())))</f>
        <v/>
      </c>
      <c r="AP236" s="100" t="str">
        <f aca="false">IF(ISBLANK($C236),"",IF($M236=Constants!$B$2,TRUE(),IF($M236=Constants!$B$3,FALSE(),TRUE())))</f>
        <v/>
      </c>
      <c r="AQ236" s="100" t="str">
        <f aca="false">IF(ISBLANK($C236),"",IF($N236=Constants!$B$2,TRUE(),IF($N236=Constants!$B$3,FALSE(),FALSE())))</f>
        <v/>
      </c>
      <c r="AR236" s="100" t="str">
        <f aca="false">IF(ISBLANK($C236),"",IF($O236=Constants!$B$2,TRUE(),IF($O236=Constants!$B$3,FALSE(),TRUE())))</f>
        <v/>
      </c>
      <c r="AS236" s="100" t="str">
        <f aca="false">IF(ISBLANK($C236),"",IF($P236=Constants!$B$2,TRUE(),IF($P236=Constants!$B$3,FALSE(),FALSE())))</f>
        <v/>
      </c>
      <c r="AT236" s="100" t="str">
        <f aca="false">IF(ISBLANK($C236),"",IF($Q236=Constants!$B$2,TRUE(),IF($Q236=Constants!$B$3,FALSE(),FALSE())))</f>
        <v/>
      </c>
      <c r="AU236" s="100" t="str">
        <f aca="false">IF(ISBLANK($C236),"",IF($R236=Constants!$B$2,TRUE(),IF($R236=Constants!$B$3,FALSE(),FALSE())))</f>
        <v/>
      </c>
      <c r="AV236" s="100" t="str">
        <f aca="false">IF(ISBLANK($C236),"",IF($S236=Constants!$B$2,TRUE(),IF($S236=Constants!$B$3,FALSE(),FALSE())))</f>
        <v/>
      </c>
      <c r="AW236" s="100" t="str">
        <f aca="false">IF(ISBLANK($C236),"",IF($T236=Constants!$B$2,TRUE(),IF($T236=Constants!$B$3,FALSE(),FALSE())))</f>
        <v/>
      </c>
      <c r="AX236" s="100" t="str">
        <f aca="false">IF(ISBLANK($C236),"",IF(OR($U236&amp;""="1",$U236&amp;""="2",$U236&amp;""="3",$U236&amp;""="4"),VALUE($U236&amp;""),IF($U236=Constants!$B$12,Constants!$B$12,"")))</f>
        <v/>
      </c>
      <c r="AY236" s="100" t="str">
        <f aca="false">IF(ISBLANK($C236),"",IF(ISBLANK($V236),0,IF(ISNUMBER($V236),IF(AND($V236&gt;=0,$V236&lt;=Constants!$B$21,$V236=INT($V236)),$V236,""),"")))</f>
        <v/>
      </c>
      <c r="AZ236" s="100" t="str">
        <f aca="false">IF(ISBLANK($C236),"",IF(ISBLANK($W236),0,IF(ISNUMBER($W236),IF($W236&gt;=0,$W236,""),"")))</f>
        <v/>
      </c>
      <c r="BA236" s="100" t="str">
        <f aca="false">IF(ISBLANK($C236),"",IF($X236=Constants!$B$2,TRUE(),IF($X236=Constants!$B$3,FALSE(),TRUE())))</f>
        <v/>
      </c>
      <c r="BB236" s="100" t="str">
        <f aca="false">IF(ISBLANK($C236),"",IF($Y236=Constants!$B$2,TRUE(),IF($Y236=Constants!$B$3,FALSE(),FALSE())))</f>
        <v/>
      </c>
      <c r="BC236" s="100" t="str">
        <f aca="false">IF(ISBLANK($C236),"",IF(ISBLANK($Z236),0,IF(ISNUMBER($Z236),IF(AND($Z236&gt;=0,$Z236&lt;=Constants!$B$35,$Z236=INT($Z236)),$Z236,""),"")))</f>
        <v/>
      </c>
      <c r="BD236" s="100" t="str">
        <f aca="false">IF(ISBLANK($C236),"",IF($AA236=Constants!$B$2,TRUE(),IF($AA236=Constants!$B$3,FALSE(),TRUE())))</f>
        <v/>
      </c>
      <c r="BE236" s="100" t="str">
        <f aca="false">IF(ISBLANK($C236),"",IF($AB236=Constants!$B$2,TRUE(),IF($AB236=Constants!$B$3,FALSE(),TRUE())))</f>
        <v/>
      </c>
      <c r="BF236" s="100" t="str">
        <f aca="false">IF(ISBLANK($C236),"",IF(ISNUMBER($AC236),IF($AC236&gt;=0,$AC236,""),""))</f>
        <v/>
      </c>
      <c r="BG236" s="100" t="str">
        <f aca="false">IF(ISBLANK($C236),"",IF($AD236=Constants!$B$2,TRUE(),IF($AD236=Constants!$B$3,FALSE(),FALSE())))</f>
        <v/>
      </c>
      <c r="BH236" s="99" t="str">
        <f aca="false">IF(ISBLANK($C236),"",IF($BG236,Constants!$B$7,IF(COUNTA($E236:$AC236)=0,Constants!$B$6,IF(OR(COUNTA($G236:$AC236)=0,NOT($AK236),$AQ236),Constants!$B$5,IF(OR($CI236&lt;&gt;"",$CJ236,$CK236,$CL236,$CM236,$CN236,$CO236),Constants!$B$8,Constants!$B$4)))))</f>
        <v/>
      </c>
      <c r="BI236" s="100" t="str">
        <f aca="false">IF(ISBLANK($C236),"",IF($BH236&lt;&gt;Constants!$B$4,$BH236,IF(OR(NOT($AH236),NOT($AJ236),NOT($AR236)),Constants!$B$11,IF(OR(NOT($AP236),MAX($AL236,$AM236,$AN236)&gt;Constants!$B$30),Constants!$B$10,Constants!$B$9))))</f>
        <v/>
      </c>
      <c r="BJ236" s="100" t="str">
        <f aca="false">IF($BH236&lt;&gt;Constants!$B$4,"",IF(NOT($AJ236),0,MIN(Constants!$B$35,$BC236)))</f>
        <v/>
      </c>
      <c r="BK236" s="100" t="str">
        <f aca="false">IF($BH236&lt;&gt;Constants!$B$4,"",IF(NOT($AJ236),0,IF($AT236,Constants!$B$18,IF($AS236,Constants!$B$17,0))))</f>
        <v/>
      </c>
      <c r="BL236" s="100" t="str">
        <f aca="false">IF($BH236&lt;&gt;Constants!$B$4,"",IF(NOT($AJ236),0,Constants!$B$19*($AI236+$AU236+$AV236+$AW236)))</f>
        <v/>
      </c>
      <c r="BM236" s="100" t="str">
        <f aca="false">IF($BH236&lt;&gt;Constants!$B$4,"",IF(OR(NOT($AJ236),NOT(ISNUMBER($AX236))),0,CHOOSE($AX236,Constants!$B$13,Constants!$B$14,Constants!$B$15,Constants!$B$16)))</f>
        <v/>
      </c>
      <c r="BN236" s="100" t="str">
        <f aca="false">IF($BH236&lt;&gt;Constants!$B$4,"",IF(NOT($AJ236),0,Constants!$B$20*$AY236))</f>
        <v/>
      </c>
      <c r="BO236" s="100" t="str">
        <f aca="false">IF($BH236&lt;&gt;Constants!$B$4,"",IF(AND($AJ236,$BA236,$BB236),Constants!$B$22,0))</f>
        <v/>
      </c>
      <c r="BP236" s="100" t="str">
        <f aca="false">IF($BH236&lt;&gt;Constants!$B$4,"",IF(OR(NOT($AJ236),NOT($BA236)),0,IF($BF236&gt;=2*$AF$9,0,Constants!$B$23*INT(ROUND(MIN($BF236,$AF$9),6)))))</f>
        <v/>
      </c>
      <c r="BQ236" s="100" t="str">
        <f aca="false">IF($BH236&lt;&gt;Constants!$B$4,"",IF(NOT($AJ236),0,Constants!$B$24*INT(ROUND(MIN($AZ236,$AF$9),6))))</f>
        <v/>
      </c>
      <c r="BR236" s="100" t="str">
        <f aca="false">IF($BH236&lt;&gt;Constants!$B$4,"",IF(AND($AJ236,$BJ236=0),Constants!$B$25,0))</f>
        <v/>
      </c>
      <c r="BS236" s="100" t="str">
        <f aca="false">IF($BH236&lt;&gt;Constants!$B$4,"",MIN(Constants!$B$29,MAX(0,Constants!$B$27*Constants!$B$28*INT(ROUND((Constants!$B$26-$AL236)/Constants!$B$28,6))))+MIN(Constants!$B$29,MAX(0,Constants!$B$27*Constants!$B$28*INT(ROUND((Constants!$B$26-$AM236)/Constants!$B$28,6))))+MIN(Constants!$B$29,MAX(0,Constants!$B$27*Constants!$B$28*INT(ROUND((Constants!$B$26-$AN236)/Constants!$B$28,6)))))</f>
        <v/>
      </c>
      <c r="BT236" s="100" t="str">
        <f aca="false">IF($BH236&lt;&gt;Constants!$B$4,"",IF(NOT($AJ236),0,Constants!$B$31*INT(ROUND(MAX(0,MIN($BF236,2*$AF$9)-$AF$9),6))))</f>
        <v/>
      </c>
      <c r="BU236" s="100" t="str">
        <f aca="false">IF($BH236&lt;&gt;Constants!$B$4,"",Constants!$B$32*(($AL236&gt;Constants!$B$26)+($AM236&gt;Constants!$B$26)+($AN236&gt;Constants!$B$26)))</f>
        <v/>
      </c>
      <c r="BV236" s="100" t="str">
        <f aca="false">IF($BH236&lt;&gt;Constants!$B$4,"",IF(OR(NOT($AJ236),$AO236),0,Constants!$B$33))</f>
        <v/>
      </c>
      <c r="BW236" s="100" t="str">
        <f aca="false">IF($BH236&lt;&gt;Constants!$B$4,"",Constants!$B$34*$BJ236)</f>
        <v/>
      </c>
      <c r="BX236" s="100" t="str">
        <f aca="false">IF($BH236&lt;&gt;Constants!$B$4,"",IF(OR(NOT($AJ236),$BE236),0,Constants!$B$36))</f>
        <v/>
      </c>
      <c r="BY236" s="100" t="str">
        <f aca="false">IF($BH236&lt;&gt;Constants!$B$4,"",IF(OR(NOT($AJ236),$BD236),0,Constants!$B$37))</f>
        <v/>
      </c>
      <c r="BZ236" s="100" t="str">
        <f aca="false">IF($BH236&lt;&gt;Constants!$B$4,"",SUM($BT236:$BY236))</f>
        <v/>
      </c>
      <c r="CA236" s="100" t="str">
        <f aca="false">IF(ISBLANK($C236),"",IF($BH236&lt;&gt;Constants!$B$4,$BH236,SUM($BK236:$BS236)-$BZ236))</f>
        <v/>
      </c>
      <c r="CB236" s="100" t="str">
        <f aca="false">IF(ISBLANK($C236),"",IF($BH236&lt;&gt;Constants!$B$4,$BH236,RANK($CA236,$CA$9:$CA$508)))</f>
        <v/>
      </c>
      <c r="CC236" s="100" t="str">
        <f aca="false">IF(ISBLANK($C236),"",IF($BH236&lt;&gt;Constants!$B$4,$BH236,COUNTIFS($BI$9:$BI$508,"&lt;"&amp;$BI236)+COUNTIFS($BI$9:$BI$508,$BI236,$CB$9:$CB$508,"&lt;"&amp;$CB236)+1))</f>
        <v/>
      </c>
      <c r="CD236" s="100" t="str">
        <f aca="false">IF(ISBLANK($C236),"",IF($BH236&lt;&gt;Constants!$B$4,$BH236,RANK($BZ236,$BZ$9:$BZ$508,1)))</f>
        <v/>
      </c>
      <c r="CE236" s="100" t="str">
        <f aca="false">IF($BH236&lt;&gt;Constants!$B$4,"",$AL236+$AM236+$AN236)</f>
        <v/>
      </c>
      <c r="CF236" s="100" t="str">
        <f aca="false">IF(ISBLANK($C236),"",IF($BH236&lt;&gt;Constants!$B$4,$BH236,RANK($CE236,$CE$9:$CE$508,1)))</f>
        <v/>
      </c>
      <c r="CG236" s="100" t="str">
        <f aca="false">IF(ISBLANK($C236),"",IF($BH236&lt;&gt;Constants!$B$4,$BH236,COUNTIFS($BI$9:$BI$508,"&lt;"&amp;$BI236)+COUNTIFS($BI$9:$BI$508,$BI236,$CB$9:$CB$508,"&lt;"&amp;$CB236)+COUNTIFS($BI$9:$BI$508,$BI236,$CB$9:$CB$508,$CB236,$CD$9:$CD$508,"&lt;"&amp;$CD236)+COUNTIFS($BI$9:$BI$508,$BI236,$CB$9:$CB$508,$CB236,$CD$9:$CD$508,$CD236,$CF$9:$CF$508,"&lt;"&amp;$CF236)+1))</f>
        <v/>
      </c>
      <c r="CH236" s="100" t="str">
        <f aca="false">IF(ISBLANK($C236),"",IF($BH236&lt;&gt;Constants!$B$4,$BH236,$CC236-$CG236))</f>
        <v/>
      </c>
      <c r="CI236" s="100" t="str">
        <f aca="false">IF(ISBLANK($C236),"",IF(NOT($AJ236),"",IF(ISBLANK($D$7),$CI$5,IF(NOT(ISNUMBER($D$7)),$CI$6,""))))</f>
        <v/>
      </c>
      <c r="CJ236" s="100" t="str">
        <f aca="false">IF(ISBLANK($C236),"",OR($AL236="",$AM236="",$AN236=""))</f>
        <v/>
      </c>
      <c r="CK236" s="100" t="str">
        <f aca="false">IF(ISBLANK($C236),"",AND($AJ236,$AX236=""))</f>
        <v/>
      </c>
      <c r="CL236" s="100" t="str">
        <f aca="false">IF(ISBLANK($C236),"",AND($AJ236,$AY236=""))</f>
        <v/>
      </c>
      <c r="CM236" s="100" t="str">
        <f aca="false">IF(ISBLANK($C236),"",AND($AJ236,$AZ236=""))</f>
        <v/>
      </c>
      <c r="CN236" s="100" t="str">
        <f aca="false">IF(ISBLANK($C236),"",AND($AJ236,$BC236=""))</f>
        <v/>
      </c>
      <c r="CO236" s="100" t="str">
        <f aca="false">IF(ISBLANK($C236),"",AND($AJ236,$BF236=""))</f>
        <v/>
      </c>
      <c r="CP236" s="101"/>
      <c r="CQ236" s="102"/>
      <c r="CR236" s="103" t="str">
        <f aca="false">IF(ISBLANK($C236),"",IF($BH236=Constants!$B$8,$CI236,""))</f>
        <v/>
      </c>
      <c r="CS236" s="102" t="str">
        <f aca="false">IF(ISBLANK($C236),"",IF($BH236&lt;&gt;Constants!$B$4,"",$BK236+$BL236))</f>
        <v/>
      </c>
      <c r="CT236" s="104" t="str">
        <f aca="false">IF(ISBLANK($C236),"",IF($BH236&lt;&gt;Constants!$B$4,"",$BM236+$BN236+$BO236))</f>
        <v/>
      </c>
      <c r="CU236" s="104" t="str">
        <f aca="false">IF(ISBLANK($C236),"",IF($BH236&lt;&gt;Constants!$B$4,"",$BP236))</f>
        <v/>
      </c>
      <c r="CV236" s="104" t="str">
        <f aca="false">IF(ISBLANK($C236),"",IF($BH236&lt;&gt;Constants!$B$4,"",$BQ236+$BR236))</f>
        <v/>
      </c>
      <c r="CW236" s="104" t="str">
        <f aca="false">IF(ISBLANK($C236),"",IF($BH236&lt;&gt;Constants!$B$4,"",$BS236))</f>
        <v/>
      </c>
      <c r="CX236" s="104" t="str">
        <f aca="false">IF(ISBLANK($C236),"",IF($BH236&lt;&gt;Constants!$B$4,"",-$BZ236))</f>
        <v/>
      </c>
      <c r="CY236" s="103" t="str">
        <f aca="false">IF(ISBLANK($C236),"",$CA236)</f>
        <v/>
      </c>
      <c r="CZ236" s="105" t="str">
        <f aca="false">IF(ISBLANK($C236),"",$BI236)</f>
        <v/>
      </c>
      <c r="DA236" s="104" t="str">
        <f aca="false">IF(ISBLANK($C236),"",$CH236)</f>
        <v/>
      </c>
      <c r="DB236" s="104" t="str">
        <f aca="false">IF(ISBLANK($C236),"",$CG236)</f>
        <v/>
      </c>
      <c r="DC236" s="106" t="str">
        <f aca="false">IF(ISBLANK($C236),"",IFERROR(_xlfn.SWITCH($DB236,Constants!$B$7,COUNTA($C$9:$C$508)+2,Constants!$B$6,COUNTA($C$9:$C$508)+1,Constants!$B$5,COUNTA($C$9:$C$508)),$DB236))</f>
        <v/>
      </c>
      <c r="DD236" s="7"/>
      <c r="DE236" s="107" t="n">
        <f aca="false">IF(OR(ISNUMBER($DB236),$DB236=Constants!$B$7,$DB236=Constants!$B$5,$DB236=Constants!$B$6),1,0)</f>
        <v>0</v>
      </c>
      <c r="DF236" s="107" t="n">
        <v>228</v>
      </c>
      <c r="DG236" s="107" t="str">
        <f aca="false">IF(ISBLANK($C236),"",IF(ISNUMBER($DC236),$DC236+ROW($B236)/1000,""))</f>
        <v/>
      </c>
      <c r="DH236" s="107" t="str">
        <f aca="false">IF(ISNUMBER($DG236),RANK($DG236,$DG$9:$DG$508,1),"")</f>
        <v/>
      </c>
      <c r="DI236" s="107" t="str">
        <f aca="false">IF(ISBLANK($C236),"",$B236)</f>
        <v/>
      </c>
      <c r="DJ236" s="107" t="str">
        <f aca="false">IF(ISBLANK($C236),"",$C236)</f>
        <v/>
      </c>
      <c r="DK236" s="107" t="str">
        <f aca="false">IF(ISBLANK($C236),"",$D236)</f>
        <v/>
      </c>
      <c r="DL236" s="108" t="str">
        <f aca="false">$CZ236</f>
        <v/>
      </c>
      <c r="DM236" s="109" t="str">
        <f aca="false">$CY236</f>
        <v/>
      </c>
      <c r="DN236" s="107" t="str">
        <f aca="false">IF(ISBLANK($C236),"",$DB236)</f>
        <v/>
      </c>
      <c r="DO236" s="110" t="str">
        <f aca="false">IF($DF236&gt;$DE$8,"",VLOOKUP($DF236,$DH$9:$DN$508,7,FALSE()))</f>
        <v/>
      </c>
      <c r="DP236" s="111" t="str">
        <f aca="false">IF($DF236&gt;$DE$8,"",VLOOKUP($DF236,$DH$9:$DN$508,2,FALSE()))</f>
        <v/>
      </c>
      <c r="DQ236" s="111" t="str">
        <f aca="false">IF($DF236&gt;$DE$8,"",VLOOKUP($DF236,$DH$9:$DN$508,3,FALSE()))</f>
        <v/>
      </c>
      <c r="DR236" s="111" t="str">
        <f aca="false">IF($DF236&gt;$DE$8,"",VLOOKUP($DF236,$DH$9:$DN$508,4,FALSE()))</f>
        <v/>
      </c>
      <c r="DS236" s="111" t="str">
        <f aca="false">IF($DF236&gt;$DE$8,"",VLOOKUP($DF236,$DH$9:$DN$508,5,FALSE()))</f>
        <v/>
      </c>
      <c r="DT236" s="112" t="str">
        <f aca="false">IF($DF236&gt;$DE$8,"",VLOOKUP($DF236,$DH$9:$DN$508,6,FALSE()))</f>
        <v/>
      </c>
      <c r="DU236" s="62"/>
    </row>
    <row r="237" customFormat="false" ht="15.75" hidden="false" customHeight="false" outlineLevel="0" collapsed="false">
      <c r="A237" s="7"/>
      <c r="B237" s="64"/>
      <c r="C237" s="65"/>
      <c r="D237" s="123"/>
      <c r="E237" s="88"/>
      <c r="F237" s="134"/>
      <c r="G237" s="88"/>
      <c r="H237" s="134"/>
      <c r="I237" s="119"/>
      <c r="J237" s="119"/>
      <c r="K237" s="119"/>
      <c r="L237" s="88"/>
      <c r="M237" s="88"/>
      <c r="N237" s="88"/>
      <c r="O237" s="134"/>
      <c r="P237" s="88"/>
      <c r="Q237" s="88"/>
      <c r="R237" s="88"/>
      <c r="S237" s="88"/>
      <c r="T237" s="134"/>
      <c r="U237" s="88"/>
      <c r="V237" s="70"/>
      <c r="W237" s="88"/>
      <c r="X237" s="88"/>
      <c r="Y237" s="70"/>
      <c r="Z237" s="70"/>
      <c r="AA237" s="88"/>
      <c r="AB237" s="88"/>
      <c r="AC237" s="71"/>
      <c r="AD237" s="88"/>
      <c r="AE237" s="73"/>
      <c r="AF237" s="74"/>
      <c r="AG237" s="74"/>
      <c r="AH237" s="74" t="str">
        <f aca="false">IF(ISBLANK($C237),"",IF($E237=Constants!$B$2,TRUE(),IF($E237=Constants!$B$3,FALSE(),TRUE())))</f>
        <v/>
      </c>
      <c r="AI237" s="74" t="str">
        <f aca="false">IF(ISBLANK($C237),"",IF($F237=Constants!$B$2,TRUE(),IF($F237=Constants!$B$3,FALSE(),FALSE())))</f>
        <v/>
      </c>
      <c r="AJ237" s="74" t="str">
        <f aca="false">IF(ISBLANK($C237),"",IF($G237=Constants!$B$2,TRUE(),IF($G237=Constants!$B$3,FALSE(),TRUE())))</f>
        <v/>
      </c>
      <c r="AK237" s="74" t="str">
        <f aca="false">IF(ISBLANK($C237),"",IF($H237=Constants!$B$2,TRUE(),IF($H237=Constants!$B$3,FALSE(),TRUE())))</f>
        <v/>
      </c>
      <c r="AL237" s="74" t="str">
        <f aca="false">IF(ISBLANK($C237),"",IF(ISNUMBER($I237),IF($I237&gt;=0,$I237,""),""))</f>
        <v/>
      </c>
      <c r="AM237" s="74" t="str">
        <f aca="false">IF(ISBLANK($C237),"",IF(ISNUMBER($J237),IF($J237&gt;=0,$J237,""),""))</f>
        <v/>
      </c>
      <c r="AN237" s="74" t="str">
        <f aca="false">IF(ISBLANK($C237),"",IF(ISNUMBER($K237),IF($K237&gt;=0,$K237,""),""))</f>
        <v/>
      </c>
      <c r="AO237" s="74" t="str">
        <f aca="false">IF(ISBLANK($C237),"",IF($L237=Constants!$B$2,TRUE(),IF($L237=Constants!$B$3,FALSE(),TRUE())))</f>
        <v/>
      </c>
      <c r="AP237" s="74" t="str">
        <f aca="false">IF(ISBLANK($C237),"",IF($M237=Constants!$B$2,TRUE(),IF($M237=Constants!$B$3,FALSE(),TRUE())))</f>
        <v/>
      </c>
      <c r="AQ237" s="74" t="str">
        <f aca="false">IF(ISBLANK($C237),"",IF($N237=Constants!$B$2,TRUE(),IF($N237=Constants!$B$3,FALSE(),FALSE())))</f>
        <v/>
      </c>
      <c r="AR237" s="74" t="str">
        <f aca="false">IF(ISBLANK($C237),"",IF($O237=Constants!$B$2,TRUE(),IF($O237=Constants!$B$3,FALSE(),TRUE())))</f>
        <v/>
      </c>
      <c r="AS237" s="74" t="str">
        <f aca="false">IF(ISBLANK($C237),"",IF($P237=Constants!$B$2,TRUE(),IF($P237=Constants!$B$3,FALSE(),FALSE())))</f>
        <v/>
      </c>
      <c r="AT237" s="74" t="str">
        <f aca="false">IF(ISBLANK($C237),"",IF($Q237=Constants!$B$2,TRUE(),IF($Q237=Constants!$B$3,FALSE(),FALSE())))</f>
        <v/>
      </c>
      <c r="AU237" s="74" t="str">
        <f aca="false">IF(ISBLANK($C237),"",IF($R237=Constants!$B$2,TRUE(),IF($R237=Constants!$B$3,FALSE(),FALSE())))</f>
        <v/>
      </c>
      <c r="AV237" s="74" t="str">
        <f aca="false">IF(ISBLANK($C237),"",IF($S237=Constants!$B$2,TRUE(),IF($S237=Constants!$B$3,FALSE(),FALSE())))</f>
        <v/>
      </c>
      <c r="AW237" s="74" t="str">
        <f aca="false">IF(ISBLANK($C237),"",IF($T237=Constants!$B$2,TRUE(),IF($T237=Constants!$B$3,FALSE(),FALSE())))</f>
        <v/>
      </c>
      <c r="AX237" s="74" t="str">
        <f aca="false">IF(ISBLANK($C237),"",IF(OR($U237&amp;""="1",$U237&amp;""="2",$U237&amp;""="3",$U237&amp;""="4"),VALUE($U237&amp;""),IF($U237=Constants!$B$12,Constants!$B$12,"")))</f>
        <v/>
      </c>
      <c r="AY237" s="74" t="str">
        <f aca="false">IF(ISBLANK($C237),"",IF(ISBLANK($V237),0,IF(ISNUMBER($V237),IF(AND($V237&gt;=0,$V237&lt;=Constants!$B$21,$V237=INT($V237)),$V237,""),"")))</f>
        <v/>
      </c>
      <c r="AZ237" s="74" t="str">
        <f aca="false">IF(ISBLANK($C237),"",IF(ISBLANK($W237),0,IF(ISNUMBER($W237),IF($W237&gt;=0,$W237,""),"")))</f>
        <v/>
      </c>
      <c r="BA237" s="74" t="str">
        <f aca="false">IF(ISBLANK($C237),"",IF($X237=Constants!$B$2,TRUE(),IF($X237=Constants!$B$3,FALSE(),TRUE())))</f>
        <v/>
      </c>
      <c r="BB237" s="74" t="str">
        <f aca="false">IF(ISBLANK($C237),"",IF($Y237=Constants!$B$2,TRUE(),IF($Y237=Constants!$B$3,FALSE(),FALSE())))</f>
        <v/>
      </c>
      <c r="BC237" s="74" t="str">
        <f aca="false">IF(ISBLANK($C237),"",IF(ISBLANK($Z237),0,IF(ISNUMBER($Z237),IF(AND($Z237&gt;=0,$Z237&lt;=Constants!$B$35,$Z237=INT($Z237)),$Z237,""),"")))</f>
        <v/>
      </c>
      <c r="BD237" s="74" t="str">
        <f aca="false">IF(ISBLANK($C237),"",IF($AA237=Constants!$B$2,TRUE(),IF($AA237=Constants!$B$3,FALSE(),TRUE())))</f>
        <v/>
      </c>
      <c r="BE237" s="74" t="str">
        <f aca="false">IF(ISBLANK($C237),"",IF($AB237=Constants!$B$2,TRUE(),IF($AB237=Constants!$B$3,FALSE(),TRUE())))</f>
        <v/>
      </c>
      <c r="BF237" s="74" t="str">
        <f aca="false">IF(ISBLANK($C237),"",IF(ISNUMBER($AC237),IF($AC237&gt;=0,$AC237,""),""))</f>
        <v/>
      </c>
      <c r="BG237" s="74" t="str">
        <f aca="false">IF(ISBLANK($C237),"",IF($AD237=Constants!$B$2,TRUE(),IF($AD237=Constants!$B$3,FALSE(),FALSE())))</f>
        <v/>
      </c>
      <c r="BH237" s="73" t="str">
        <f aca="false">IF(ISBLANK($C237),"",IF($BG237,Constants!$B$7,IF(COUNTA($E237:$AC237)=0,Constants!$B$6,IF(OR(COUNTA($G237:$AC237)=0,NOT($AK237),$AQ237),Constants!$B$5,IF(OR($CI237&lt;&gt;"",$CJ237,$CK237,$CL237,$CM237,$CN237,$CO237),Constants!$B$8,Constants!$B$4)))))</f>
        <v/>
      </c>
      <c r="BI237" s="74" t="str">
        <f aca="false">IF(ISBLANK($C237),"",IF($BH237&lt;&gt;Constants!$B$4,$BH237,IF(OR(NOT($AH237),NOT($AJ237),NOT($AR237)),Constants!$B$11,IF(OR(NOT($AP237),MAX($AL237,$AM237,$AN237)&gt;Constants!$B$30),Constants!$B$10,Constants!$B$9))))</f>
        <v/>
      </c>
      <c r="BJ237" s="74" t="str">
        <f aca="false">IF($BH237&lt;&gt;Constants!$B$4,"",IF(NOT($AJ237),0,MIN(Constants!$B$35,$BC237)))</f>
        <v/>
      </c>
      <c r="BK237" s="74" t="str">
        <f aca="false">IF($BH237&lt;&gt;Constants!$B$4,"",IF(NOT($AJ237),0,IF($AT237,Constants!$B$18,IF($AS237,Constants!$B$17,0))))</f>
        <v/>
      </c>
      <c r="BL237" s="74" t="str">
        <f aca="false">IF($BH237&lt;&gt;Constants!$B$4,"",IF(NOT($AJ237),0,Constants!$B$19*($AI237+$AU237+$AV237+$AW237)))</f>
        <v/>
      </c>
      <c r="BM237" s="74" t="str">
        <f aca="false">IF($BH237&lt;&gt;Constants!$B$4,"",IF(OR(NOT($AJ237),NOT(ISNUMBER($AX237))),0,CHOOSE($AX237,Constants!$B$13,Constants!$B$14,Constants!$B$15,Constants!$B$16)))</f>
        <v/>
      </c>
      <c r="BN237" s="74" t="str">
        <f aca="false">IF($BH237&lt;&gt;Constants!$B$4,"",IF(NOT($AJ237),0,Constants!$B$20*$AY237))</f>
        <v/>
      </c>
      <c r="BO237" s="74" t="str">
        <f aca="false">IF($BH237&lt;&gt;Constants!$B$4,"",IF(AND($AJ237,$BA237,$BB237),Constants!$B$22,0))</f>
        <v/>
      </c>
      <c r="BP237" s="74" t="str">
        <f aca="false">IF($BH237&lt;&gt;Constants!$B$4,"",IF(OR(NOT($AJ237),NOT($BA237)),0,IF($BF237&gt;=2*$AF$9,0,Constants!$B$23*INT(ROUND(MIN($BF237,$AF$9),6)))))</f>
        <v/>
      </c>
      <c r="BQ237" s="74" t="str">
        <f aca="false">IF($BH237&lt;&gt;Constants!$B$4,"",IF(NOT($AJ237),0,Constants!$B$24*INT(ROUND(MIN($AZ237,$AF$9),6))))</f>
        <v/>
      </c>
      <c r="BR237" s="74" t="str">
        <f aca="false">IF($BH237&lt;&gt;Constants!$B$4,"",IF(AND($AJ237,$BJ237=0),Constants!$B$25,0))</f>
        <v/>
      </c>
      <c r="BS237" s="74" t="str">
        <f aca="false">IF($BH237&lt;&gt;Constants!$B$4,"",MIN(Constants!$B$29,MAX(0,Constants!$B$27*Constants!$B$28*INT(ROUND((Constants!$B$26-$AL237)/Constants!$B$28,6))))+MIN(Constants!$B$29,MAX(0,Constants!$B$27*Constants!$B$28*INT(ROUND((Constants!$B$26-$AM237)/Constants!$B$28,6))))+MIN(Constants!$B$29,MAX(0,Constants!$B$27*Constants!$B$28*INT(ROUND((Constants!$B$26-$AN237)/Constants!$B$28,6)))))</f>
        <v/>
      </c>
      <c r="BT237" s="74" t="str">
        <f aca="false">IF($BH237&lt;&gt;Constants!$B$4,"",IF(NOT($AJ237),0,Constants!$B$31*INT(ROUND(MAX(0,MIN($BF237,2*$AF$9)-$AF$9),6))))</f>
        <v/>
      </c>
      <c r="BU237" s="74" t="str">
        <f aca="false">IF($BH237&lt;&gt;Constants!$B$4,"",Constants!$B$32*(($AL237&gt;Constants!$B$26)+($AM237&gt;Constants!$B$26)+($AN237&gt;Constants!$B$26)))</f>
        <v/>
      </c>
      <c r="BV237" s="74" t="str">
        <f aca="false">IF($BH237&lt;&gt;Constants!$B$4,"",IF(OR(NOT($AJ237),$AO237),0,Constants!$B$33))</f>
        <v/>
      </c>
      <c r="BW237" s="74" t="str">
        <f aca="false">IF($BH237&lt;&gt;Constants!$B$4,"",Constants!$B$34*$BJ237)</f>
        <v/>
      </c>
      <c r="BX237" s="74" t="str">
        <f aca="false">IF($BH237&lt;&gt;Constants!$B$4,"",IF(OR(NOT($AJ237),$BE237),0,Constants!$B$36))</f>
        <v/>
      </c>
      <c r="BY237" s="74" t="str">
        <f aca="false">IF($BH237&lt;&gt;Constants!$B$4,"",IF(OR(NOT($AJ237),$BD237),0,Constants!$B$37))</f>
        <v/>
      </c>
      <c r="BZ237" s="74" t="str">
        <f aca="false">IF($BH237&lt;&gt;Constants!$B$4,"",SUM($BT237:$BY237))</f>
        <v/>
      </c>
      <c r="CA237" s="74" t="str">
        <f aca="false">IF(ISBLANK($C237),"",IF($BH237&lt;&gt;Constants!$B$4,$BH237,SUM($BK237:$BS237)-$BZ237))</f>
        <v/>
      </c>
      <c r="CB237" s="74" t="str">
        <f aca="false">IF(ISBLANK($C237),"",IF($BH237&lt;&gt;Constants!$B$4,$BH237,RANK($CA237,$CA$9:$CA$508)))</f>
        <v/>
      </c>
      <c r="CC237" s="74" t="str">
        <f aca="false">IF(ISBLANK($C237),"",IF($BH237&lt;&gt;Constants!$B$4,$BH237,COUNTIFS($BI$9:$BI$508,"&lt;"&amp;$BI237)+COUNTIFS($BI$9:$BI$508,$BI237,$CB$9:$CB$508,"&lt;"&amp;$CB237)+1))</f>
        <v/>
      </c>
      <c r="CD237" s="74" t="str">
        <f aca="false">IF(ISBLANK($C237),"",IF($BH237&lt;&gt;Constants!$B$4,$BH237,RANK($BZ237,$BZ$9:$BZ$508,1)))</f>
        <v/>
      </c>
      <c r="CE237" s="74" t="str">
        <f aca="false">IF($BH237&lt;&gt;Constants!$B$4,"",$AL237+$AM237+$AN237)</f>
        <v/>
      </c>
      <c r="CF237" s="74" t="str">
        <f aca="false">IF(ISBLANK($C237),"",IF($BH237&lt;&gt;Constants!$B$4,$BH237,RANK($CE237,$CE$9:$CE$508,1)))</f>
        <v/>
      </c>
      <c r="CG237" s="74" t="str">
        <f aca="false">IF(ISBLANK($C237),"",IF($BH237&lt;&gt;Constants!$B$4,$BH237,COUNTIFS($BI$9:$BI$508,"&lt;"&amp;$BI237)+COUNTIFS($BI$9:$BI$508,$BI237,$CB$9:$CB$508,"&lt;"&amp;$CB237)+COUNTIFS($BI$9:$BI$508,$BI237,$CB$9:$CB$508,$CB237,$CD$9:$CD$508,"&lt;"&amp;$CD237)+COUNTIFS($BI$9:$BI$508,$BI237,$CB$9:$CB$508,$CB237,$CD$9:$CD$508,$CD237,$CF$9:$CF$508,"&lt;"&amp;$CF237)+1))</f>
        <v/>
      </c>
      <c r="CH237" s="74" t="str">
        <f aca="false">IF(ISBLANK($C237),"",IF($BH237&lt;&gt;Constants!$B$4,$BH237,$CC237-$CG237))</f>
        <v/>
      </c>
      <c r="CI237" s="74" t="str">
        <f aca="false">IF(ISBLANK($C237),"",IF(NOT($AJ237),"",IF(ISBLANK($D$7),$CI$5,IF(NOT(ISNUMBER($D$7)),$CI$6,""))))</f>
        <v/>
      </c>
      <c r="CJ237" s="74" t="str">
        <f aca="false">IF(ISBLANK($C237),"",OR($AL237="",$AM237="",$AN237=""))</f>
        <v/>
      </c>
      <c r="CK237" s="74" t="str">
        <f aca="false">IF(ISBLANK($C237),"",AND($AJ237,$AX237=""))</f>
        <v/>
      </c>
      <c r="CL237" s="74" t="str">
        <f aca="false">IF(ISBLANK($C237),"",AND($AJ237,$AY237=""))</f>
        <v/>
      </c>
      <c r="CM237" s="74" t="str">
        <f aca="false">IF(ISBLANK($C237),"",AND($AJ237,$AZ237=""))</f>
        <v/>
      </c>
      <c r="CN237" s="74" t="str">
        <f aca="false">IF(ISBLANK($C237),"",AND($AJ237,$BC237=""))</f>
        <v/>
      </c>
      <c r="CO237" s="74" t="str">
        <f aca="false">IF(ISBLANK($C237),"",AND($AJ237,$BF237=""))</f>
        <v/>
      </c>
      <c r="CP237" s="75"/>
      <c r="CQ237" s="76"/>
      <c r="CR237" s="79" t="str">
        <f aca="false">IF(ISBLANK($C237),"",IF($BH237=Constants!$B$8,$CI237,""))</f>
        <v/>
      </c>
      <c r="CS237" s="76" t="str">
        <f aca="false">IF(ISBLANK($C237),"",IF($BH237&lt;&gt;Constants!$B$4,"",$BK237+$BL237))</f>
        <v/>
      </c>
      <c r="CT237" s="78" t="str">
        <f aca="false">IF(ISBLANK($C237),"",IF($BH237&lt;&gt;Constants!$B$4,"",$BM237+$BN237+$BO237))</f>
        <v/>
      </c>
      <c r="CU237" s="78" t="str">
        <f aca="false">IF(ISBLANK($C237),"",IF($BH237&lt;&gt;Constants!$B$4,"",$BP237))</f>
        <v/>
      </c>
      <c r="CV237" s="78" t="str">
        <f aca="false">IF(ISBLANK($C237),"",IF($BH237&lt;&gt;Constants!$B$4,"",$BQ237+$BR237))</f>
        <v/>
      </c>
      <c r="CW237" s="78" t="str">
        <f aca="false">IF(ISBLANK($C237),"",IF($BH237&lt;&gt;Constants!$B$4,"",$BS237))</f>
        <v/>
      </c>
      <c r="CX237" s="78" t="str">
        <f aca="false">IF(ISBLANK($C237),"",IF($BH237&lt;&gt;Constants!$B$4,"",-$BZ237))</f>
        <v/>
      </c>
      <c r="CY237" s="79" t="str">
        <f aca="false">IF(ISBLANK($C237),"",$CA237)</f>
        <v/>
      </c>
      <c r="CZ237" s="80" t="str">
        <f aca="false">IF(ISBLANK($C237),"",$BI237)</f>
        <v/>
      </c>
      <c r="DA237" s="78" t="str">
        <f aca="false">IF(ISBLANK($C237),"",$CH237)</f>
        <v/>
      </c>
      <c r="DB237" s="78" t="str">
        <f aca="false">IF(ISBLANK($C237),"",$CG237)</f>
        <v/>
      </c>
      <c r="DC237" s="81" t="str">
        <f aca="false">IF(ISBLANK($C237),"",IFERROR(_xlfn.SWITCH($DB237,Constants!$B$7,COUNTA($C$9:$C$508)+2,Constants!$B$6,COUNTA($C$9:$C$508)+1,Constants!$B$5,COUNTA($C$9:$C$508)),$DB237))</f>
        <v/>
      </c>
      <c r="DD237" s="7"/>
      <c r="DE237" s="82" t="n">
        <f aca="false">IF(OR(ISNUMBER($DB237),$DB237=Constants!$B$7,$DB237=Constants!$B$5,$DB237=Constants!$B$6),1,0)</f>
        <v>0</v>
      </c>
      <c r="DF237" s="82" t="n">
        <v>229</v>
      </c>
      <c r="DG237" s="82" t="str">
        <f aca="false">IF(ISBLANK($C237),"",IF(ISNUMBER($DC237),$DC237+ROW($B237)/1000,""))</f>
        <v/>
      </c>
      <c r="DH237" s="82" t="str">
        <f aca="false">IF(ISNUMBER($DG237),RANK($DG237,$DG$9:$DG$508,1),"")</f>
        <v/>
      </c>
      <c r="DI237" s="82" t="str">
        <f aca="false">IF(ISBLANK($C237),"",$B237)</f>
        <v/>
      </c>
      <c r="DJ237" s="82" t="str">
        <f aca="false">IF(ISBLANK($C237),"",$C237)</f>
        <v/>
      </c>
      <c r="DK237" s="82" t="str">
        <f aca="false">IF(ISBLANK($C237),"",$D237)</f>
        <v/>
      </c>
      <c r="DL237" s="83" t="str">
        <f aca="false">$CZ237</f>
        <v/>
      </c>
      <c r="DM237" s="84" t="str">
        <f aca="false">$CY237</f>
        <v/>
      </c>
      <c r="DN237" s="82" t="str">
        <f aca="false">IF(ISBLANK($C237),"",$DB237)</f>
        <v/>
      </c>
      <c r="DO237" s="85" t="str">
        <f aca="false">IF($DF237&gt;$DE$8,"",VLOOKUP($DF237,$DH$9:$DN$508,7,FALSE()))</f>
        <v/>
      </c>
      <c r="DP237" s="86" t="str">
        <f aca="false">IF($DF237&gt;$DE$8,"",VLOOKUP($DF237,$DH$9:$DN$508,2,FALSE()))</f>
        <v/>
      </c>
      <c r="DQ237" s="86" t="str">
        <f aca="false">IF($DF237&gt;$DE$8,"",VLOOKUP($DF237,$DH$9:$DN$508,3,FALSE()))</f>
        <v/>
      </c>
      <c r="DR237" s="86" t="str">
        <f aca="false">IF($DF237&gt;$DE$8,"",VLOOKUP($DF237,$DH$9:$DN$508,4,FALSE()))</f>
        <v/>
      </c>
      <c r="DS237" s="86" t="str">
        <f aca="false">IF($DF237&gt;$DE$8,"",VLOOKUP($DF237,$DH$9:$DN$508,5,FALSE()))</f>
        <v/>
      </c>
      <c r="DT237" s="87" t="str">
        <f aca="false">IF($DF237&gt;$DE$8,"",VLOOKUP($DF237,$DH$9:$DN$508,6,FALSE()))</f>
        <v/>
      </c>
      <c r="DU237" s="62"/>
    </row>
    <row r="238" customFormat="false" ht="15.75" hidden="false" customHeight="false" outlineLevel="0" collapsed="false">
      <c r="A238" s="7"/>
      <c r="B238" s="64"/>
      <c r="C238" s="65"/>
      <c r="D238" s="123"/>
      <c r="E238" s="88"/>
      <c r="F238" s="134"/>
      <c r="G238" s="88"/>
      <c r="H238" s="134"/>
      <c r="I238" s="119"/>
      <c r="J238" s="119"/>
      <c r="K238" s="119"/>
      <c r="L238" s="88"/>
      <c r="M238" s="88"/>
      <c r="N238" s="88"/>
      <c r="O238" s="134"/>
      <c r="P238" s="88"/>
      <c r="Q238" s="88"/>
      <c r="R238" s="88"/>
      <c r="S238" s="88"/>
      <c r="T238" s="134"/>
      <c r="U238" s="88"/>
      <c r="V238" s="70"/>
      <c r="W238" s="88"/>
      <c r="X238" s="88"/>
      <c r="Y238" s="70"/>
      <c r="Z238" s="70"/>
      <c r="AA238" s="88"/>
      <c r="AB238" s="88"/>
      <c r="AC238" s="71"/>
      <c r="AD238" s="88"/>
      <c r="AE238" s="73"/>
      <c r="AF238" s="74"/>
      <c r="AG238" s="74"/>
      <c r="AH238" s="74" t="str">
        <f aca="false">IF(ISBLANK($C238),"",IF($E238=Constants!$B$2,TRUE(),IF($E238=Constants!$B$3,FALSE(),TRUE())))</f>
        <v/>
      </c>
      <c r="AI238" s="74" t="str">
        <f aca="false">IF(ISBLANK($C238),"",IF($F238=Constants!$B$2,TRUE(),IF($F238=Constants!$B$3,FALSE(),FALSE())))</f>
        <v/>
      </c>
      <c r="AJ238" s="74" t="str">
        <f aca="false">IF(ISBLANK($C238),"",IF($G238=Constants!$B$2,TRUE(),IF($G238=Constants!$B$3,FALSE(),TRUE())))</f>
        <v/>
      </c>
      <c r="AK238" s="74" t="str">
        <f aca="false">IF(ISBLANK($C238),"",IF($H238=Constants!$B$2,TRUE(),IF($H238=Constants!$B$3,FALSE(),TRUE())))</f>
        <v/>
      </c>
      <c r="AL238" s="74" t="str">
        <f aca="false">IF(ISBLANK($C238),"",IF(ISNUMBER($I238),IF($I238&gt;=0,$I238,""),""))</f>
        <v/>
      </c>
      <c r="AM238" s="74" t="str">
        <f aca="false">IF(ISBLANK($C238),"",IF(ISNUMBER($J238),IF($J238&gt;=0,$J238,""),""))</f>
        <v/>
      </c>
      <c r="AN238" s="74" t="str">
        <f aca="false">IF(ISBLANK($C238),"",IF(ISNUMBER($K238),IF($K238&gt;=0,$K238,""),""))</f>
        <v/>
      </c>
      <c r="AO238" s="74" t="str">
        <f aca="false">IF(ISBLANK($C238),"",IF($L238=Constants!$B$2,TRUE(),IF($L238=Constants!$B$3,FALSE(),TRUE())))</f>
        <v/>
      </c>
      <c r="AP238" s="74" t="str">
        <f aca="false">IF(ISBLANK($C238),"",IF($M238=Constants!$B$2,TRUE(),IF($M238=Constants!$B$3,FALSE(),TRUE())))</f>
        <v/>
      </c>
      <c r="AQ238" s="74" t="str">
        <f aca="false">IF(ISBLANK($C238),"",IF($N238=Constants!$B$2,TRUE(),IF($N238=Constants!$B$3,FALSE(),FALSE())))</f>
        <v/>
      </c>
      <c r="AR238" s="74" t="str">
        <f aca="false">IF(ISBLANK($C238),"",IF($O238=Constants!$B$2,TRUE(),IF($O238=Constants!$B$3,FALSE(),TRUE())))</f>
        <v/>
      </c>
      <c r="AS238" s="74" t="str">
        <f aca="false">IF(ISBLANK($C238),"",IF($P238=Constants!$B$2,TRUE(),IF($P238=Constants!$B$3,FALSE(),FALSE())))</f>
        <v/>
      </c>
      <c r="AT238" s="74" t="str">
        <f aca="false">IF(ISBLANK($C238),"",IF($Q238=Constants!$B$2,TRUE(),IF($Q238=Constants!$B$3,FALSE(),FALSE())))</f>
        <v/>
      </c>
      <c r="AU238" s="74" t="str">
        <f aca="false">IF(ISBLANK($C238),"",IF($R238=Constants!$B$2,TRUE(),IF($R238=Constants!$B$3,FALSE(),FALSE())))</f>
        <v/>
      </c>
      <c r="AV238" s="74" t="str">
        <f aca="false">IF(ISBLANK($C238),"",IF($S238=Constants!$B$2,TRUE(),IF($S238=Constants!$B$3,FALSE(),FALSE())))</f>
        <v/>
      </c>
      <c r="AW238" s="74" t="str">
        <f aca="false">IF(ISBLANK($C238),"",IF($T238=Constants!$B$2,TRUE(),IF($T238=Constants!$B$3,FALSE(),FALSE())))</f>
        <v/>
      </c>
      <c r="AX238" s="74" t="str">
        <f aca="false">IF(ISBLANK($C238),"",IF(OR($U238&amp;""="1",$U238&amp;""="2",$U238&amp;""="3",$U238&amp;""="4"),VALUE($U238&amp;""),IF($U238=Constants!$B$12,Constants!$B$12,"")))</f>
        <v/>
      </c>
      <c r="AY238" s="74" t="str">
        <f aca="false">IF(ISBLANK($C238),"",IF(ISBLANK($V238),0,IF(ISNUMBER($V238),IF(AND($V238&gt;=0,$V238&lt;=Constants!$B$21,$V238=INT($V238)),$V238,""),"")))</f>
        <v/>
      </c>
      <c r="AZ238" s="74" t="str">
        <f aca="false">IF(ISBLANK($C238),"",IF(ISBLANK($W238),0,IF(ISNUMBER($W238),IF($W238&gt;=0,$W238,""),"")))</f>
        <v/>
      </c>
      <c r="BA238" s="74" t="str">
        <f aca="false">IF(ISBLANK($C238),"",IF($X238=Constants!$B$2,TRUE(),IF($X238=Constants!$B$3,FALSE(),TRUE())))</f>
        <v/>
      </c>
      <c r="BB238" s="74" t="str">
        <f aca="false">IF(ISBLANK($C238),"",IF($Y238=Constants!$B$2,TRUE(),IF($Y238=Constants!$B$3,FALSE(),FALSE())))</f>
        <v/>
      </c>
      <c r="BC238" s="74" t="str">
        <f aca="false">IF(ISBLANK($C238),"",IF(ISBLANK($Z238),0,IF(ISNUMBER($Z238),IF(AND($Z238&gt;=0,$Z238&lt;=Constants!$B$35,$Z238=INT($Z238)),$Z238,""),"")))</f>
        <v/>
      </c>
      <c r="BD238" s="74" t="str">
        <f aca="false">IF(ISBLANK($C238),"",IF($AA238=Constants!$B$2,TRUE(),IF($AA238=Constants!$B$3,FALSE(),TRUE())))</f>
        <v/>
      </c>
      <c r="BE238" s="74" t="str">
        <f aca="false">IF(ISBLANK($C238),"",IF($AB238=Constants!$B$2,TRUE(),IF($AB238=Constants!$B$3,FALSE(),TRUE())))</f>
        <v/>
      </c>
      <c r="BF238" s="74" t="str">
        <f aca="false">IF(ISBLANK($C238),"",IF(ISNUMBER($AC238),IF($AC238&gt;=0,$AC238,""),""))</f>
        <v/>
      </c>
      <c r="BG238" s="74" t="str">
        <f aca="false">IF(ISBLANK($C238),"",IF($AD238=Constants!$B$2,TRUE(),IF($AD238=Constants!$B$3,FALSE(),FALSE())))</f>
        <v/>
      </c>
      <c r="BH238" s="73" t="str">
        <f aca="false">IF(ISBLANK($C238),"",IF($BG238,Constants!$B$7,IF(COUNTA($E238:$AC238)=0,Constants!$B$6,IF(OR(COUNTA($G238:$AC238)=0,NOT($AK238),$AQ238),Constants!$B$5,IF(OR($CI238&lt;&gt;"",$CJ238,$CK238,$CL238,$CM238,$CN238,$CO238),Constants!$B$8,Constants!$B$4)))))</f>
        <v/>
      </c>
      <c r="BI238" s="74" t="str">
        <f aca="false">IF(ISBLANK($C238),"",IF($BH238&lt;&gt;Constants!$B$4,$BH238,IF(OR(NOT($AH238),NOT($AJ238),NOT($AR238)),Constants!$B$11,IF(OR(NOT($AP238),MAX($AL238,$AM238,$AN238)&gt;Constants!$B$30),Constants!$B$10,Constants!$B$9))))</f>
        <v/>
      </c>
      <c r="BJ238" s="74" t="str">
        <f aca="false">IF($BH238&lt;&gt;Constants!$B$4,"",IF(NOT($AJ238),0,MIN(Constants!$B$35,$BC238)))</f>
        <v/>
      </c>
      <c r="BK238" s="74" t="str">
        <f aca="false">IF($BH238&lt;&gt;Constants!$B$4,"",IF(NOT($AJ238),0,IF($AT238,Constants!$B$18,IF($AS238,Constants!$B$17,0))))</f>
        <v/>
      </c>
      <c r="BL238" s="74" t="str">
        <f aca="false">IF($BH238&lt;&gt;Constants!$B$4,"",IF(NOT($AJ238),0,Constants!$B$19*($AI238+$AU238+$AV238+$AW238)))</f>
        <v/>
      </c>
      <c r="BM238" s="74" t="str">
        <f aca="false">IF($BH238&lt;&gt;Constants!$B$4,"",IF(OR(NOT($AJ238),NOT(ISNUMBER($AX238))),0,CHOOSE($AX238,Constants!$B$13,Constants!$B$14,Constants!$B$15,Constants!$B$16)))</f>
        <v/>
      </c>
      <c r="BN238" s="74" t="str">
        <f aca="false">IF($BH238&lt;&gt;Constants!$B$4,"",IF(NOT($AJ238),0,Constants!$B$20*$AY238))</f>
        <v/>
      </c>
      <c r="BO238" s="74" t="str">
        <f aca="false">IF($BH238&lt;&gt;Constants!$B$4,"",IF(AND($AJ238,$BA238,$BB238),Constants!$B$22,0))</f>
        <v/>
      </c>
      <c r="BP238" s="74" t="str">
        <f aca="false">IF($BH238&lt;&gt;Constants!$B$4,"",IF(OR(NOT($AJ238),NOT($BA238)),0,IF($BF238&gt;=2*$AF$9,0,Constants!$B$23*INT(ROUND(MIN($BF238,$AF$9),6)))))</f>
        <v/>
      </c>
      <c r="BQ238" s="74" t="str">
        <f aca="false">IF($BH238&lt;&gt;Constants!$B$4,"",IF(NOT($AJ238),0,Constants!$B$24*INT(ROUND(MIN($AZ238,$AF$9),6))))</f>
        <v/>
      </c>
      <c r="BR238" s="74" t="str">
        <f aca="false">IF($BH238&lt;&gt;Constants!$B$4,"",IF(AND($AJ238,$BJ238=0),Constants!$B$25,0))</f>
        <v/>
      </c>
      <c r="BS238" s="74" t="str">
        <f aca="false">IF($BH238&lt;&gt;Constants!$B$4,"",MIN(Constants!$B$29,MAX(0,Constants!$B$27*Constants!$B$28*INT(ROUND((Constants!$B$26-$AL238)/Constants!$B$28,6))))+MIN(Constants!$B$29,MAX(0,Constants!$B$27*Constants!$B$28*INT(ROUND((Constants!$B$26-$AM238)/Constants!$B$28,6))))+MIN(Constants!$B$29,MAX(0,Constants!$B$27*Constants!$B$28*INT(ROUND((Constants!$B$26-$AN238)/Constants!$B$28,6)))))</f>
        <v/>
      </c>
      <c r="BT238" s="74" t="str">
        <f aca="false">IF($BH238&lt;&gt;Constants!$B$4,"",IF(NOT($AJ238),0,Constants!$B$31*INT(ROUND(MAX(0,MIN($BF238,2*$AF$9)-$AF$9),6))))</f>
        <v/>
      </c>
      <c r="BU238" s="74" t="str">
        <f aca="false">IF($BH238&lt;&gt;Constants!$B$4,"",Constants!$B$32*(($AL238&gt;Constants!$B$26)+($AM238&gt;Constants!$B$26)+($AN238&gt;Constants!$B$26)))</f>
        <v/>
      </c>
      <c r="BV238" s="74" t="str">
        <f aca="false">IF($BH238&lt;&gt;Constants!$B$4,"",IF(OR(NOT($AJ238),$AO238),0,Constants!$B$33))</f>
        <v/>
      </c>
      <c r="BW238" s="74" t="str">
        <f aca="false">IF($BH238&lt;&gt;Constants!$B$4,"",Constants!$B$34*$BJ238)</f>
        <v/>
      </c>
      <c r="BX238" s="74" t="str">
        <f aca="false">IF($BH238&lt;&gt;Constants!$B$4,"",IF(OR(NOT($AJ238),$BE238),0,Constants!$B$36))</f>
        <v/>
      </c>
      <c r="BY238" s="74" t="str">
        <f aca="false">IF($BH238&lt;&gt;Constants!$B$4,"",IF(OR(NOT($AJ238),$BD238),0,Constants!$B$37))</f>
        <v/>
      </c>
      <c r="BZ238" s="74" t="str">
        <f aca="false">IF($BH238&lt;&gt;Constants!$B$4,"",SUM($BT238:$BY238))</f>
        <v/>
      </c>
      <c r="CA238" s="74" t="str">
        <f aca="false">IF(ISBLANK($C238),"",IF($BH238&lt;&gt;Constants!$B$4,$BH238,SUM($BK238:$BS238)-$BZ238))</f>
        <v/>
      </c>
      <c r="CB238" s="74" t="str">
        <f aca="false">IF(ISBLANK($C238),"",IF($BH238&lt;&gt;Constants!$B$4,$BH238,RANK($CA238,$CA$9:$CA$508)))</f>
        <v/>
      </c>
      <c r="CC238" s="74" t="str">
        <f aca="false">IF(ISBLANK($C238),"",IF($BH238&lt;&gt;Constants!$B$4,$BH238,COUNTIFS($BI$9:$BI$508,"&lt;"&amp;$BI238)+COUNTIFS($BI$9:$BI$508,$BI238,$CB$9:$CB$508,"&lt;"&amp;$CB238)+1))</f>
        <v/>
      </c>
      <c r="CD238" s="74" t="str">
        <f aca="false">IF(ISBLANK($C238),"",IF($BH238&lt;&gt;Constants!$B$4,$BH238,RANK($BZ238,$BZ$9:$BZ$508,1)))</f>
        <v/>
      </c>
      <c r="CE238" s="74" t="str">
        <f aca="false">IF($BH238&lt;&gt;Constants!$B$4,"",$AL238+$AM238+$AN238)</f>
        <v/>
      </c>
      <c r="CF238" s="74" t="str">
        <f aca="false">IF(ISBLANK($C238),"",IF($BH238&lt;&gt;Constants!$B$4,$BH238,RANK($CE238,$CE$9:$CE$508,1)))</f>
        <v/>
      </c>
      <c r="CG238" s="74" t="str">
        <f aca="false">IF(ISBLANK($C238),"",IF($BH238&lt;&gt;Constants!$B$4,$BH238,COUNTIFS($BI$9:$BI$508,"&lt;"&amp;$BI238)+COUNTIFS($BI$9:$BI$508,$BI238,$CB$9:$CB$508,"&lt;"&amp;$CB238)+COUNTIFS($BI$9:$BI$508,$BI238,$CB$9:$CB$508,$CB238,$CD$9:$CD$508,"&lt;"&amp;$CD238)+COUNTIFS($BI$9:$BI$508,$BI238,$CB$9:$CB$508,$CB238,$CD$9:$CD$508,$CD238,$CF$9:$CF$508,"&lt;"&amp;$CF238)+1))</f>
        <v/>
      </c>
      <c r="CH238" s="74" t="str">
        <f aca="false">IF(ISBLANK($C238),"",IF($BH238&lt;&gt;Constants!$B$4,$BH238,$CC238-$CG238))</f>
        <v/>
      </c>
      <c r="CI238" s="74" t="str">
        <f aca="false">IF(ISBLANK($C238),"",IF(NOT($AJ238),"",IF(ISBLANK($D$7),$CI$5,IF(NOT(ISNUMBER($D$7)),$CI$6,""))))</f>
        <v/>
      </c>
      <c r="CJ238" s="74" t="str">
        <f aca="false">IF(ISBLANK($C238),"",OR($AL238="",$AM238="",$AN238=""))</f>
        <v/>
      </c>
      <c r="CK238" s="74" t="str">
        <f aca="false">IF(ISBLANK($C238),"",AND($AJ238,$AX238=""))</f>
        <v/>
      </c>
      <c r="CL238" s="74" t="str">
        <f aca="false">IF(ISBLANK($C238),"",AND($AJ238,$AY238=""))</f>
        <v/>
      </c>
      <c r="CM238" s="74" t="str">
        <f aca="false">IF(ISBLANK($C238),"",AND($AJ238,$AZ238=""))</f>
        <v/>
      </c>
      <c r="CN238" s="74" t="str">
        <f aca="false">IF(ISBLANK($C238),"",AND($AJ238,$BC238=""))</f>
        <v/>
      </c>
      <c r="CO238" s="74" t="str">
        <f aca="false">IF(ISBLANK($C238),"",AND($AJ238,$BF238=""))</f>
        <v/>
      </c>
      <c r="CP238" s="75"/>
      <c r="CQ238" s="76"/>
      <c r="CR238" s="79" t="str">
        <f aca="false">IF(ISBLANK($C238),"",IF($BH238=Constants!$B$8,$CI238,""))</f>
        <v/>
      </c>
      <c r="CS238" s="76" t="str">
        <f aca="false">IF(ISBLANK($C238),"",IF($BH238&lt;&gt;Constants!$B$4,"",$BK238+$BL238))</f>
        <v/>
      </c>
      <c r="CT238" s="78" t="str">
        <f aca="false">IF(ISBLANK($C238),"",IF($BH238&lt;&gt;Constants!$B$4,"",$BM238+$BN238+$BO238))</f>
        <v/>
      </c>
      <c r="CU238" s="78" t="str">
        <f aca="false">IF(ISBLANK($C238),"",IF($BH238&lt;&gt;Constants!$B$4,"",$BP238))</f>
        <v/>
      </c>
      <c r="CV238" s="78" t="str">
        <f aca="false">IF(ISBLANK($C238),"",IF($BH238&lt;&gt;Constants!$B$4,"",$BQ238+$BR238))</f>
        <v/>
      </c>
      <c r="CW238" s="78" t="str">
        <f aca="false">IF(ISBLANK($C238),"",IF($BH238&lt;&gt;Constants!$B$4,"",$BS238))</f>
        <v/>
      </c>
      <c r="CX238" s="78" t="str">
        <f aca="false">IF(ISBLANK($C238),"",IF($BH238&lt;&gt;Constants!$B$4,"",-$BZ238))</f>
        <v/>
      </c>
      <c r="CY238" s="79" t="str">
        <f aca="false">IF(ISBLANK($C238),"",$CA238)</f>
        <v/>
      </c>
      <c r="CZ238" s="80" t="str">
        <f aca="false">IF(ISBLANK($C238),"",$BI238)</f>
        <v/>
      </c>
      <c r="DA238" s="78" t="str">
        <f aca="false">IF(ISBLANK($C238),"",$CH238)</f>
        <v/>
      </c>
      <c r="DB238" s="78" t="str">
        <f aca="false">IF(ISBLANK($C238),"",$CG238)</f>
        <v/>
      </c>
      <c r="DC238" s="81" t="str">
        <f aca="false">IF(ISBLANK($C238),"",IFERROR(_xlfn.SWITCH($DB238,Constants!$B$7,COUNTA($C$9:$C$508)+2,Constants!$B$6,COUNTA($C$9:$C$508)+1,Constants!$B$5,COUNTA($C$9:$C$508)),$DB238))</f>
        <v/>
      </c>
      <c r="DD238" s="7"/>
      <c r="DE238" s="82" t="n">
        <f aca="false">IF(OR(ISNUMBER($DB238),$DB238=Constants!$B$7,$DB238=Constants!$B$5,$DB238=Constants!$B$6),1,0)</f>
        <v>0</v>
      </c>
      <c r="DF238" s="82" t="n">
        <v>230</v>
      </c>
      <c r="DG238" s="82" t="str">
        <f aca="false">IF(ISBLANK($C238),"",IF(ISNUMBER($DC238),$DC238+ROW($B238)/1000,""))</f>
        <v/>
      </c>
      <c r="DH238" s="82" t="str">
        <f aca="false">IF(ISNUMBER($DG238),RANK($DG238,$DG$9:$DG$508,1),"")</f>
        <v/>
      </c>
      <c r="DI238" s="82" t="str">
        <f aca="false">IF(ISBLANK($C238),"",$B238)</f>
        <v/>
      </c>
      <c r="DJ238" s="82" t="str">
        <f aca="false">IF(ISBLANK($C238),"",$C238)</f>
        <v/>
      </c>
      <c r="DK238" s="82" t="str">
        <f aca="false">IF(ISBLANK($C238),"",$D238)</f>
        <v/>
      </c>
      <c r="DL238" s="83" t="str">
        <f aca="false">$CZ238</f>
        <v/>
      </c>
      <c r="DM238" s="84" t="str">
        <f aca="false">$CY238</f>
        <v/>
      </c>
      <c r="DN238" s="82" t="str">
        <f aca="false">IF(ISBLANK($C238),"",$DB238)</f>
        <v/>
      </c>
      <c r="DO238" s="85" t="str">
        <f aca="false">IF($DF238&gt;$DE$8,"",VLOOKUP($DF238,$DH$9:$DN$508,7,FALSE()))</f>
        <v/>
      </c>
      <c r="DP238" s="86" t="str">
        <f aca="false">IF($DF238&gt;$DE$8,"",VLOOKUP($DF238,$DH$9:$DN$508,2,FALSE()))</f>
        <v/>
      </c>
      <c r="DQ238" s="86" t="str">
        <f aca="false">IF($DF238&gt;$DE$8,"",VLOOKUP($DF238,$DH$9:$DN$508,3,FALSE()))</f>
        <v/>
      </c>
      <c r="DR238" s="86" t="str">
        <f aca="false">IF($DF238&gt;$DE$8,"",VLOOKUP($DF238,$DH$9:$DN$508,4,FALSE()))</f>
        <v/>
      </c>
      <c r="DS238" s="86" t="str">
        <f aca="false">IF($DF238&gt;$DE$8,"",VLOOKUP($DF238,$DH$9:$DN$508,5,FALSE()))</f>
        <v/>
      </c>
      <c r="DT238" s="87" t="str">
        <f aca="false">IF($DF238&gt;$DE$8,"",VLOOKUP($DF238,$DH$9:$DN$508,6,FALSE()))</f>
        <v/>
      </c>
      <c r="DU238" s="62"/>
    </row>
    <row r="239" customFormat="false" ht="15.75" hidden="false" customHeight="false" outlineLevel="0" collapsed="false">
      <c r="A239" s="7"/>
      <c r="B239" s="64"/>
      <c r="C239" s="65"/>
      <c r="D239" s="123"/>
      <c r="E239" s="88"/>
      <c r="F239" s="134"/>
      <c r="G239" s="88"/>
      <c r="H239" s="134"/>
      <c r="I239" s="119"/>
      <c r="J239" s="119"/>
      <c r="K239" s="119"/>
      <c r="L239" s="88"/>
      <c r="M239" s="88"/>
      <c r="N239" s="88"/>
      <c r="O239" s="134"/>
      <c r="P239" s="88"/>
      <c r="Q239" s="88"/>
      <c r="R239" s="88"/>
      <c r="S239" s="88"/>
      <c r="T239" s="134"/>
      <c r="U239" s="88"/>
      <c r="V239" s="70"/>
      <c r="W239" s="88"/>
      <c r="X239" s="88"/>
      <c r="Y239" s="70"/>
      <c r="Z239" s="70"/>
      <c r="AA239" s="88"/>
      <c r="AB239" s="88"/>
      <c r="AC239" s="71"/>
      <c r="AD239" s="88"/>
      <c r="AE239" s="73"/>
      <c r="AF239" s="74"/>
      <c r="AG239" s="74"/>
      <c r="AH239" s="74" t="str">
        <f aca="false">IF(ISBLANK($C239),"",IF($E239=Constants!$B$2,TRUE(),IF($E239=Constants!$B$3,FALSE(),TRUE())))</f>
        <v/>
      </c>
      <c r="AI239" s="74" t="str">
        <f aca="false">IF(ISBLANK($C239),"",IF($F239=Constants!$B$2,TRUE(),IF($F239=Constants!$B$3,FALSE(),FALSE())))</f>
        <v/>
      </c>
      <c r="AJ239" s="74" t="str">
        <f aca="false">IF(ISBLANK($C239),"",IF($G239=Constants!$B$2,TRUE(),IF($G239=Constants!$B$3,FALSE(),TRUE())))</f>
        <v/>
      </c>
      <c r="AK239" s="74" t="str">
        <f aca="false">IF(ISBLANK($C239),"",IF($H239=Constants!$B$2,TRUE(),IF($H239=Constants!$B$3,FALSE(),TRUE())))</f>
        <v/>
      </c>
      <c r="AL239" s="74" t="str">
        <f aca="false">IF(ISBLANK($C239),"",IF(ISNUMBER($I239),IF($I239&gt;=0,$I239,""),""))</f>
        <v/>
      </c>
      <c r="AM239" s="74" t="str">
        <f aca="false">IF(ISBLANK($C239),"",IF(ISNUMBER($J239),IF($J239&gt;=0,$J239,""),""))</f>
        <v/>
      </c>
      <c r="AN239" s="74" t="str">
        <f aca="false">IF(ISBLANK($C239),"",IF(ISNUMBER($K239),IF($K239&gt;=0,$K239,""),""))</f>
        <v/>
      </c>
      <c r="AO239" s="74" t="str">
        <f aca="false">IF(ISBLANK($C239),"",IF($L239=Constants!$B$2,TRUE(),IF($L239=Constants!$B$3,FALSE(),TRUE())))</f>
        <v/>
      </c>
      <c r="AP239" s="74" t="str">
        <f aca="false">IF(ISBLANK($C239),"",IF($M239=Constants!$B$2,TRUE(),IF($M239=Constants!$B$3,FALSE(),TRUE())))</f>
        <v/>
      </c>
      <c r="AQ239" s="74" t="str">
        <f aca="false">IF(ISBLANK($C239),"",IF($N239=Constants!$B$2,TRUE(),IF($N239=Constants!$B$3,FALSE(),FALSE())))</f>
        <v/>
      </c>
      <c r="AR239" s="74" t="str">
        <f aca="false">IF(ISBLANK($C239),"",IF($O239=Constants!$B$2,TRUE(),IF($O239=Constants!$B$3,FALSE(),TRUE())))</f>
        <v/>
      </c>
      <c r="AS239" s="74" t="str">
        <f aca="false">IF(ISBLANK($C239),"",IF($P239=Constants!$B$2,TRUE(),IF($P239=Constants!$B$3,FALSE(),FALSE())))</f>
        <v/>
      </c>
      <c r="AT239" s="74" t="str">
        <f aca="false">IF(ISBLANK($C239),"",IF($Q239=Constants!$B$2,TRUE(),IF($Q239=Constants!$B$3,FALSE(),FALSE())))</f>
        <v/>
      </c>
      <c r="AU239" s="74" t="str">
        <f aca="false">IF(ISBLANK($C239),"",IF($R239=Constants!$B$2,TRUE(),IF($R239=Constants!$B$3,FALSE(),FALSE())))</f>
        <v/>
      </c>
      <c r="AV239" s="74" t="str">
        <f aca="false">IF(ISBLANK($C239),"",IF($S239=Constants!$B$2,TRUE(),IF($S239=Constants!$B$3,FALSE(),FALSE())))</f>
        <v/>
      </c>
      <c r="AW239" s="74" t="str">
        <f aca="false">IF(ISBLANK($C239),"",IF($T239=Constants!$B$2,TRUE(),IF($T239=Constants!$B$3,FALSE(),FALSE())))</f>
        <v/>
      </c>
      <c r="AX239" s="74" t="str">
        <f aca="false">IF(ISBLANK($C239),"",IF(OR($U239&amp;""="1",$U239&amp;""="2",$U239&amp;""="3",$U239&amp;""="4"),VALUE($U239&amp;""),IF($U239=Constants!$B$12,Constants!$B$12,"")))</f>
        <v/>
      </c>
      <c r="AY239" s="74" t="str">
        <f aca="false">IF(ISBLANK($C239),"",IF(ISBLANK($V239),0,IF(ISNUMBER($V239),IF(AND($V239&gt;=0,$V239&lt;=Constants!$B$21,$V239=INT($V239)),$V239,""),"")))</f>
        <v/>
      </c>
      <c r="AZ239" s="74" t="str">
        <f aca="false">IF(ISBLANK($C239),"",IF(ISBLANK($W239),0,IF(ISNUMBER($W239),IF($W239&gt;=0,$W239,""),"")))</f>
        <v/>
      </c>
      <c r="BA239" s="74" t="str">
        <f aca="false">IF(ISBLANK($C239),"",IF($X239=Constants!$B$2,TRUE(),IF($X239=Constants!$B$3,FALSE(),TRUE())))</f>
        <v/>
      </c>
      <c r="BB239" s="74" t="str">
        <f aca="false">IF(ISBLANK($C239),"",IF($Y239=Constants!$B$2,TRUE(),IF($Y239=Constants!$B$3,FALSE(),FALSE())))</f>
        <v/>
      </c>
      <c r="BC239" s="74" t="str">
        <f aca="false">IF(ISBLANK($C239),"",IF(ISBLANK($Z239),0,IF(ISNUMBER($Z239),IF(AND($Z239&gt;=0,$Z239&lt;=Constants!$B$35,$Z239=INT($Z239)),$Z239,""),"")))</f>
        <v/>
      </c>
      <c r="BD239" s="74" t="str">
        <f aca="false">IF(ISBLANK($C239),"",IF($AA239=Constants!$B$2,TRUE(),IF($AA239=Constants!$B$3,FALSE(),TRUE())))</f>
        <v/>
      </c>
      <c r="BE239" s="74" t="str">
        <f aca="false">IF(ISBLANK($C239),"",IF($AB239=Constants!$B$2,TRUE(),IF($AB239=Constants!$B$3,FALSE(),TRUE())))</f>
        <v/>
      </c>
      <c r="BF239" s="74" t="str">
        <f aca="false">IF(ISBLANK($C239),"",IF(ISNUMBER($AC239),IF($AC239&gt;=0,$AC239,""),""))</f>
        <v/>
      </c>
      <c r="BG239" s="74" t="str">
        <f aca="false">IF(ISBLANK($C239),"",IF($AD239=Constants!$B$2,TRUE(),IF($AD239=Constants!$B$3,FALSE(),FALSE())))</f>
        <v/>
      </c>
      <c r="BH239" s="73" t="str">
        <f aca="false">IF(ISBLANK($C239),"",IF($BG239,Constants!$B$7,IF(COUNTA($E239:$AC239)=0,Constants!$B$6,IF(OR(COUNTA($G239:$AC239)=0,NOT($AK239),$AQ239),Constants!$B$5,IF(OR($CI239&lt;&gt;"",$CJ239,$CK239,$CL239,$CM239,$CN239,$CO239),Constants!$B$8,Constants!$B$4)))))</f>
        <v/>
      </c>
      <c r="BI239" s="74" t="str">
        <f aca="false">IF(ISBLANK($C239),"",IF($BH239&lt;&gt;Constants!$B$4,$BH239,IF(OR(NOT($AH239),NOT($AJ239),NOT($AR239)),Constants!$B$11,IF(OR(NOT($AP239),MAX($AL239,$AM239,$AN239)&gt;Constants!$B$30),Constants!$B$10,Constants!$B$9))))</f>
        <v/>
      </c>
      <c r="BJ239" s="74" t="str">
        <f aca="false">IF($BH239&lt;&gt;Constants!$B$4,"",IF(NOT($AJ239),0,MIN(Constants!$B$35,$BC239)))</f>
        <v/>
      </c>
      <c r="BK239" s="74" t="str">
        <f aca="false">IF($BH239&lt;&gt;Constants!$B$4,"",IF(NOT($AJ239),0,IF($AT239,Constants!$B$18,IF($AS239,Constants!$B$17,0))))</f>
        <v/>
      </c>
      <c r="BL239" s="74" t="str">
        <f aca="false">IF($BH239&lt;&gt;Constants!$B$4,"",IF(NOT($AJ239),0,Constants!$B$19*($AI239+$AU239+$AV239+$AW239)))</f>
        <v/>
      </c>
      <c r="BM239" s="74" t="str">
        <f aca="false">IF($BH239&lt;&gt;Constants!$B$4,"",IF(OR(NOT($AJ239),NOT(ISNUMBER($AX239))),0,CHOOSE($AX239,Constants!$B$13,Constants!$B$14,Constants!$B$15,Constants!$B$16)))</f>
        <v/>
      </c>
      <c r="BN239" s="74" t="str">
        <f aca="false">IF($BH239&lt;&gt;Constants!$B$4,"",IF(NOT($AJ239),0,Constants!$B$20*$AY239))</f>
        <v/>
      </c>
      <c r="BO239" s="74" t="str">
        <f aca="false">IF($BH239&lt;&gt;Constants!$B$4,"",IF(AND($AJ239,$BA239,$BB239),Constants!$B$22,0))</f>
        <v/>
      </c>
      <c r="BP239" s="74" t="str">
        <f aca="false">IF($BH239&lt;&gt;Constants!$B$4,"",IF(OR(NOT($AJ239),NOT($BA239)),0,IF($BF239&gt;=2*$AF$9,0,Constants!$B$23*INT(ROUND(MIN($BF239,$AF$9),6)))))</f>
        <v/>
      </c>
      <c r="BQ239" s="74" t="str">
        <f aca="false">IF($BH239&lt;&gt;Constants!$B$4,"",IF(NOT($AJ239),0,Constants!$B$24*INT(ROUND(MIN($AZ239,$AF$9),6))))</f>
        <v/>
      </c>
      <c r="BR239" s="74" t="str">
        <f aca="false">IF($BH239&lt;&gt;Constants!$B$4,"",IF(AND($AJ239,$BJ239=0),Constants!$B$25,0))</f>
        <v/>
      </c>
      <c r="BS239" s="74" t="str">
        <f aca="false">IF($BH239&lt;&gt;Constants!$B$4,"",MIN(Constants!$B$29,MAX(0,Constants!$B$27*Constants!$B$28*INT(ROUND((Constants!$B$26-$AL239)/Constants!$B$28,6))))+MIN(Constants!$B$29,MAX(0,Constants!$B$27*Constants!$B$28*INT(ROUND((Constants!$B$26-$AM239)/Constants!$B$28,6))))+MIN(Constants!$B$29,MAX(0,Constants!$B$27*Constants!$B$28*INT(ROUND((Constants!$B$26-$AN239)/Constants!$B$28,6)))))</f>
        <v/>
      </c>
      <c r="BT239" s="74" t="str">
        <f aca="false">IF($BH239&lt;&gt;Constants!$B$4,"",IF(NOT($AJ239),0,Constants!$B$31*INT(ROUND(MAX(0,MIN($BF239,2*$AF$9)-$AF$9),6))))</f>
        <v/>
      </c>
      <c r="BU239" s="74" t="str">
        <f aca="false">IF($BH239&lt;&gt;Constants!$B$4,"",Constants!$B$32*(($AL239&gt;Constants!$B$26)+($AM239&gt;Constants!$B$26)+($AN239&gt;Constants!$B$26)))</f>
        <v/>
      </c>
      <c r="BV239" s="74" t="str">
        <f aca="false">IF($BH239&lt;&gt;Constants!$B$4,"",IF(OR(NOT($AJ239),$AO239),0,Constants!$B$33))</f>
        <v/>
      </c>
      <c r="BW239" s="74" t="str">
        <f aca="false">IF($BH239&lt;&gt;Constants!$B$4,"",Constants!$B$34*$BJ239)</f>
        <v/>
      </c>
      <c r="BX239" s="74" t="str">
        <f aca="false">IF($BH239&lt;&gt;Constants!$B$4,"",IF(OR(NOT($AJ239),$BE239),0,Constants!$B$36))</f>
        <v/>
      </c>
      <c r="BY239" s="74" t="str">
        <f aca="false">IF($BH239&lt;&gt;Constants!$B$4,"",IF(OR(NOT($AJ239),$BD239),0,Constants!$B$37))</f>
        <v/>
      </c>
      <c r="BZ239" s="74" t="str">
        <f aca="false">IF($BH239&lt;&gt;Constants!$B$4,"",SUM($BT239:$BY239))</f>
        <v/>
      </c>
      <c r="CA239" s="74" t="str">
        <f aca="false">IF(ISBLANK($C239),"",IF($BH239&lt;&gt;Constants!$B$4,$BH239,SUM($BK239:$BS239)-$BZ239))</f>
        <v/>
      </c>
      <c r="CB239" s="74" t="str">
        <f aca="false">IF(ISBLANK($C239),"",IF($BH239&lt;&gt;Constants!$B$4,$BH239,RANK($CA239,$CA$9:$CA$508)))</f>
        <v/>
      </c>
      <c r="CC239" s="74" t="str">
        <f aca="false">IF(ISBLANK($C239),"",IF($BH239&lt;&gt;Constants!$B$4,$BH239,COUNTIFS($BI$9:$BI$508,"&lt;"&amp;$BI239)+COUNTIFS($BI$9:$BI$508,$BI239,$CB$9:$CB$508,"&lt;"&amp;$CB239)+1))</f>
        <v/>
      </c>
      <c r="CD239" s="74" t="str">
        <f aca="false">IF(ISBLANK($C239),"",IF($BH239&lt;&gt;Constants!$B$4,$BH239,RANK($BZ239,$BZ$9:$BZ$508,1)))</f>
        <v/>
      </c>
      <c r="CE239" s="74" t="str">
        <f aca="false">IF($BH239&lt;&gt;Constants!$B$4,"",$AL239+$AM239+$AN239)</f>
        <v/>
      </c>
      <c r="CF239" s="74" t="str">
        <f aca="false">IF(ISBLANK($C239),"",IF($BH239&lt;&gt;Constants!$B$4,$BH239,RANK($CE239,$CE$9:$CE$508,1)))</f>
        <v/>
      </c>
      <c r="CG239" s="74" t="str">
        <f aca="false">IF(ISBLANK($C239),"",IF($BH239&lt;&gt;Constants!$B$4,$BH239,COUNTIFS($BI$9:$BI$508,"&lt;"&amp;$BI239)+COUNTIFS($BI$9:$BI$508,$BI239,$CB$9:$CB$508,"&lt;"&amp;$CB239)+COUNTIFS($BI$9:$BI$508,$BI239,$CB$9:$CB$508,$CB239,$CD$9:$CD$508,"&lt;"&amp;$CD239)+COUNTIFS($BI$9:$BI$508,$BI239,$CB$9:$CB$508,$CB239,$CD$9:$CD$508,$CD239,$CF$9:$CF$508,"&lt;"&amp;$CF239)+1))</f>
        <v/>
      </c>
      <c r="CH239" s="74" t="str">
        <f aca="false">IF(ISBLANK($C239),"",IF($BH239&lt;&gt;Constants!$B$4,$BH239,$CC239-$CG239))</f>
        <v/>
      </c>
      <c r="CI239" s="74" t="str">
        <f aca="false">IF(ISBLANK($C239),"",IF(NOT($AJ239),"",IF(ISBLANK($D$7),$CI$5,IF(NOT(ISNUMBER($D$7)),$CI$6,""))))</f>
        <v/>
      </c>
      <c r="CJ239" s="74" t="str">
        <f aca="false">IF(ISBLANK($C239),"",OR($AL239="",$AM239="",$AN239=""))</f>
        <v/>
      </c>
      <c r="CK239" s="74" t="str">
        <f aca="false">IF(ISBLANK($C239),"",AND($AJ239,$AX239=""))</f>
        <v/>
      </c>
      <c r="CL239" s="74" t="str">
        <f aca="false">IF(ISBLANK($C239),"",AND($AJ239,$AY239=""))</f>
        <v/>
      </c>
      <c r="CM239" s="74" t="str">
        <f aca="false">IF(ISBLANK($C239),"",AND($AJ239,$AZ239=""))</f>
        <v/>
      </c>
      <c r="CN239" s="74" t="str">
        <f aca="false">IF(ISBLANK($C239),"",AND($AJ239,$BC239=""))</f>
        <v/>
      </c>
      <c r="CO239" s="74" t="str">
        <f aca="false">IF(ISBLANK($C239),"",AND($AJ239,$BF239=""))</f>
        <v/>
      </c>
      <c r="CP239" s="75"/>
      <c r="CQ239" s="76"/>
      <c r="CR239" s="79" t="str">
        <f aca="false">IF(ISBLANK($C239),"",IF($BH239=Constants!$B$8,$CI239,""))</f>
        <v/>
      </c>
      <c r="CS239" s="76" t="str">
        <f aca="false">IF(ISBLANK($C239),"",IF($BH239&lt;&gt;Constants!$B$4,"",$BK239+$BL239))</f>
        <v/>
      </c>
      <c r="CT239" s="78" t="str">
        <f aca="false">IF(ISBLANK($C239),"",IF($BH239&lt;&gt;Constants!$B$4,"",$BM239+$BN239+$BO239))</f>
        <v/>
      </c>
      <c r="CU239" s="78" t="str">
        <f aca="false">IF(ISBLANK($C239),"",IF($BH239&lt;&gt;Constants!$B$4,"",$BP239))</f>
        <v/>
      </c>
      <c r="CV239" s="78" t="str">
        <f aca="false">IF(ISBLANK($C239),"",IF($BH239&lt;&gt;Constants!$B$4,"",$BQ239+$BR239))</f>
        <v/>
      </c>
      <c r="CW239" s="78" t="str">
        <f aca="false">IF(ISBLANK($C239),"",IF($BH239&lt;&gt;Constants!$B$4,"",$BS239))</f>
        <v/>
      </c>
      <c r="CX239" s="78" t="str">
        <f aca="false">IF(ISBLANK($C239),"",IF($BH239&lt;&gt;Constants!$B$4,"",-$BZ239))</f>
        <v/>
      </c>
      <c r="CY239" s="79" t="str">
        <f aca="false">IF(ISBLANK($C239),"",$CA239)</f>
        <v/>
      </c>
      <c r="CZ239" s="80" t="str">
        <f aca="false">IF(ISBLANK($C239),"",$BI239)</f>
        <v/>
      </c>
      <c r="DA239" s="78" t="str">
        <f aca="false">IF(ISBLANK($C239),"",$CH239)</f>
        <v/>
      </c>
      <c r="DB239" s="78" t="str">
        <f aca="false">IF(ISBLANK($C239),"",$CG239)</f>
        <v/>
      </c>
      <c r="DC239" s="81" t="str">
        <f aca="false">IF(ISBLANK($C239),"",IFERROR(_xlfn.SWITCH($DB239,Constants!$B$7,COUNTA($C$9:$C$508)+2,Constants!$B$6,COUNTA($C$9:$C$508)+1,Constants!$B$5,COUNTA($C$9:$C$508)),$DB239))</f>
        <v/>
      </c>
      <c r="DD239" s="7"/>
      <c r="DE239" s="82" t="n">
        <f aca="false">IF(OR(ISNUMBER($DB239),$DB239=Constants!$B$7,$DB239=Constants!$B$5,$DB239=Constants!$B$6),1,0)</f>
        <v>0</v>
      </c>
      <c r="DF239" s="82" t="n">
        <v>231</v>
      </c>
      <c r="DG239" s="82" t="str">
        <f aca="false">IF(ISBLANK($C239),"",IF(ISNUMBER($DC239),$DC239+ROW($B239)/1000,""))</f>
        <v/>
      </c>
      <c r="DH239" s="82" t="str">
        <f aca="false">IF(ISNUMBER($DG239),RANK($DG239,$DG$9:$DG$508,1),"")</f>
        <v/>
      </c>
      <c r="DI239" s="82" t="str">
        <f aca="false">IF(ISBLANK($C239),"",$B239)</f>
        <v/>
      </c>
      <c r="DJ239" s="82" t="str">
        <f aca="false">IF(ISBLANK($C239),"",$C239)</f>
        <v/>
      </c>
      <c r="DK239" s="82" t="str">
        <f aca="false">IF(ISBLANK($C239),"",$D239)</f>
        <v/>
      </c>
      <c r="DL239" s="83" t="str">
        <f aca="false">$CZ239</f>
        <v/>
      </c>
      <c r="DM239" s="84" t="str">
        <f aca="false">$CY239</f>
        <v/>
      </c>
      <c r="DN239" s="82" t="str">
        <f aca="false">IF(ISBLANK($C239),"",$DB239)</f>
        <v/>
      </c>
      <c r="DO239" s="85" t="str">
        <f aca="false">IF($DF239&gt;$DE$8,"",VLOOKUP($DF239,$DH$9:$DN$508,7,FALSE()))</f>
        <v/>
      </c>
      <c r="DP239" s="86" t="str">
        <f aca="false">IF($DF239&gt;$DE$8,"",VLOOKUP($DF239,$DH$9:$DN$508,2,FALSE()))</f>
        <v/>
      </c>
      <c r="DQ239" s="86" t="str">
        <f aca="false">IF($DF239&gt;$DE$8,"",VLOOKUP($DF239,$DH$9:$DN$508,3,FALSE()))</f>
        <v/>
      </c>
      <c r="DR239" s="86" t="str">
        <f aca="false">IF($DF239&gt;$DE$8,"",VLOOKUP($DF239,$DH$9:$DN$508,4,FALSE()))</f>
        <v/>
      </c>
      <c r="DS239" s="86" t="str">
        <f aca="false">IF($DF239&gt;$DE$8,"",VLOOKUP($DF239,$DH$9:$DN$508,5,FALSE()))</f>
        <v/>
      </c>
      <c r="DT239" s="87" t="str">
        <f aca="false">IF($DF239&gt;$DE$8,"",VLOOKUP($DF239,$DH$9:$DN$508,6,FALSE()))</f>
        <v/>
      </c>
      <c r="DU239" s="62"/>
    </row>
    <row r="240" customFormat="false" ht="15.75" hidden="false" customHeight="false" outlineLevel="0" collapsed="false">
      <c r="A240" s="7"/>
      <c r="B240" s="90"/>
      <c r="C240" s="91"/>
      <c r="D240" s="126"/>
      <c r="E240" s="130"/>
      <c r="F240" s="135"/>
      <c r="G240" s="130"/>
      <c r="H240" s="135"/>
      <c r="I240" s="131"/>
      <c r="J240" s="131"/>
      <c r="K240" s="131"/>
      <c r="L240" s="130"/>
      <c r="M240" s="130"/>
      <c r="N240" s="130"/>
      <c r="O240" s="135"/>
      <c r="P240" s="130"/>
      <c r="Q240" s="130"/>
      <c r="R240" s="130"/>
      <c r="S240" s="130"/>
      <c r="T240" s="135"/>
      <c r="U240" s="130"/>
      <c r="V240" s="96"/>
      <c r="W240" s="130"/>
      <c r="X240" s="130"/>
      <c r="Y240" s="96"/>
      <c r="Z240" s="96"/>
      <c r="AA240" s="130"/>
      <c r="AB240" s="130"/>
      <c r="AC240" s="97"/>
      <c r="AD240" s="130"/>
      <c r="AE240" s="99"/>
      <c r="AF240" s="100"/>
      <c r="AG240" s="100"/>
      <c r="AH240" s="100" t="str">
        <f aca="false">IF(ISBLANK($C240),"",IF($E240=Constants!$B$2,TRUE(),IF($E240=Constants!$B$3,FALSE(),TRUE())))</f>
        <v/>
      </c>
      <c r="AI240" s="100" t="str">
        <f aca="false">IF(ISBLANK($C240),"",IF($F240=Constants!$B$2,TRUE(),IF($F240=Constants!$B$3,FALSE(),FALSE())))</f>
        <v/>
      </c>
      <c r="AJ240" s="100" t="str">
        <f aca="false">IF(ISBLANK($C240),"",IF($G240=Constants!$B$2,TRUE(),IF($G240=Constants!$B$3,FALSE(),TRUE())))</f>
        <v/>
      </c>
      <c r="AK240" s="100" t="str">
        <f aca="false">IF(ISBLANK($C240),"",IF($H240=Constants!$B$2,TRUE(),IF($H240=Constants!$B$3,FALSE(),TRUE())))</f>
        <v/>
      </c>
      <c r="AL240" s="100" t="str">
        <f aca="false">IF(ISBLANK($C240),"",IF(ISNUMBER($I240),IF($I240&gt;=0,$I240,""),""))</f>
        <v/>
      </c>
      <c r="AM240" s="100" t="str">
        <f aca="false">IF(ISBLANK($C240),"",IF(ISNUMBER($J240),IF($J240&gt;=0,$J240,""),""))</f>
        <v/>
      </c>
      <c r="AN240" s="100" t="str">
        <f aca="false">IF(ISBLANK($C240),"",IF(ISNUMBER($K240),IF($K240&gt;=0,$K240,""),""))</f>
        <v/>
      </c>
      <c r="AO240" s="100" t="str">
        <f aca="false">IF(ISBLANK($C240),"",IF($L240=Constants!$B$2,TRUE(),IF($L240=Constants!$B$3,FALSE(),TRUE())))</f>
        <v/>
      </c>
      <c r="AP240" s="100" t="str">
        <f aca="false">IF(ISBLANK($C240),"",IF($M240=Constants!$B$2,TRUE(),IF($M240=Constants!$B$3,FALSE(),TRUE())))</f>
        <v/>
      </c>
      <c r="AQ240" s="100" t="str">
        <f aca="false">IF(ISBLANK($C240),"",IF($N240=Constants!$B$2,TRUE(),IF($N240=Constants!$B$3,FALSE(),FALSE())))</f>
        <v/>
      </c>
      <c r="AR240" s="100" t="str">
        <f aca="false">IF(ISBLANK($C240),"",IF($O240=Constants!$B$2,TRUE(),IF($O240=Constants!$B$3,FALSE(),TRUE())))</f>
        <v/>
      </c>
      <c r="AS240" s="100" t="str">
        <f aca="false">IF(ISBLANK($C240),"",IF($P240=Constants!$B$2,TRUE(),IF($P240=Constants!$B$3,FALSE(),FALSE())))</f>
        <v/>
      </c>
      <c r="AT240" s="100" t="str">
        <f aca="false">IF(ISBLANK($C240),"",IF($Q240=Constants!$B$2,TRUE(),IF($Q240=Constants!$B$3,FALSE(),FALSE())))</f>
        <v/>
      </c>
      <c r="AU240" s="100" t="str">
        <f aca="false">IF(ISBLANK($C240),"",IF($R240=Constants!$B$2,TRUE(),IF($R240=Constants!$B$3,FALSE(),FALSE())))</f>
        <v/>
      </c>
      <c r="AV240" s="100" t="str">
        <f aca="false">IF(ISBLANK($C240),"",IF($S240=Constants!$B$2,TRUE(),IF($S240=Constants!$B$3,FALSE(),FALSE())))</f>
        <v/>
      </c>
      <c r="AW240" s="100" t="str">
        <f aca="false">IF(ISBLANK($C240),"",IF($T240=Constants!$B$2,TRUE(),IF($T240=Constants!$B$3,FALSE(),FALSE())))</f>
        <v/>
      </c>
      <c r="AX240" s="100" t="str">
        <f aca="false">IF(ISBLANK($C240),"",IF(OR($U240&amp;""="1",$U240&amp;""="2",$U240&amp;""="3",$U240&amp;""="4"),VALUE($U240&amp;""),IF($U240=Constants!$B$12,Constants!$B$12,"")))</f>
        <v/>
      </c>
      <c r="AY240" s="100" t="str">
        <f aca="false">IF(ISBLANK($C240),"",IF(ISBLANK($V240),0,IF(ISNUMBER($V240),IF(AND($V240&gt;=0,$V240&lt;=Constants!$B$21,$V240=INT($V240)),$V240,""),"")))</f>
        <v/>
      </c>
      <c r="AZ240" s="100" t="str">
        <f aca="false">IF(ISBLANK($C240),"",IF(ISBLANK($W240),0,IF(ISNUMBER($W240),IF($W240&gt;=0,$W240,""),"")))</f>
        <v/>
      </c>
      <c r="BA240" s="100" t="str">
        <f aca="false">IF(ISBLANK($C240),"",IF($X240=Constants!$B$2,TRUE(),IF($X240=Constants!$B$3,FALSE(),TRUE())))</f>
        <v/>
      </c>
      <c r="BB240" s="100" t="str">
        <f aca="false">IF(ISBLANK($C240),"",IF($Y240=Constants!$B$2,TRUE(),IF($Y240=Constants!$B$3,FALSE(),FALSE())))</f>
        <v/>
      </c>
      <c r="BC240" s="100" t="str">
        <f aca="false">IF(ISBLANK($C240),"",IF(ISBLANK($Z240),0,IF(ISNUMBER($Z240),IF(AND($Z240&gt;=0,$Z240&lt;=Constants!$B$35,$Z240=INT($Z240)),$Z240,""),"")))</f>
        <v/>
      </c>
      <c r="BD240" s="100" t="str">
        <f aca="false">IF(ISBLANK($C240),"",IF($AA240=Constants!$B$2,TRUE(),IF($AA240=Constants!$B$3,FALSE(),TRUE())))</f>
        <v/>
      </c>
      <c r="BE240" s="100" t="str">
        <f aca="false">IF(ISBLANK($C240),"",IF($AB240=Constants!$B$2,TRUE(),IF($AB240=Constants!$B$3,FALSE(),TRUE())))</f>
        <v/>
      </c>
      <c r="BF240" s="100" t="str">
        <f aca="false">IF(ISBLANK($C240),"",IF(ISNUMBER($AC240),IF($AC240&gt;=0,$AC240,""),""))</f>
        <v/>
      </c>
      <c r="BG240" s="100" t="str">
        <f aca="false">IF(ISBLANK($C240),"",IF($AD240=Constants!$B$2,TRUE(),IF($AD240=Constants!$B$3,FALSE(),FALSE())))</f>
        <v/>
      </c>
      <c r="BH240" s="99" t="str">
        <f aca="false">IF(ISBLANK($C240),"",IF($BG240,Constants!$B$7,IF(COUNTA($E240:$AC240)=0,Constants!$B$6,IF(OR(COUNTA($G240:$AC240)=0,NOT($AK240),$AQ240),Constants!$B$5,IF(OR($CI240&lt;&gt;"",$CJ240,$CK240,$CL240,$CM240,$CN240,$CO240),Constants!$B$8,Constants!$B$4)))))</f>
        <v/>
      </c>
      <c r="BI240" s="100" t="str">
        <f aca="false">IF(ISBLANK($C240),"",IF($BH240&lt;&gt;Constants!$B$4,$BH240,IF(OR(NOT($AH240),NOT($AJ240),NOT($AR240)),Constants!$B$11,IF(OR(NOT($AP240),MAX($AL240,$AM240,$AN240)&gt;Constants!$B$30),Constants!$B$10,Constants!$B$9))))</f>
        <v/>
      </c>
      <c r="BJ240" s="100" t="str">
        <f aca="false">IF($BH240&lt;&gt;Constants!$B$4,"",IF(NOT($AJ240),0,MIN(Constants!$B$35,$BC240)))</f>
        <v/>
      </c>
      <c r="BK240" s="100" t="str">
        <f aca="false">IF($BH240&lt;&gt;Constants!$B$4,"",IF(NOT($AJ240),0,IF($AT240,Constants!$B$18,IF($AS240,Constants!$B$17,0))))</f>
        <v/>
      </c>
      <c r="BL240" s="100" t="str">
        <f aca="false">IF($BH240&lt;&gt;Constants!$B$4,"",IF(NOT($AJ240),0,Constants!$B$19*($AI240+$AU240+$AV240+$AW240)))</f>
        <v/>
      </c>
      <c r="BM240" s="100" t="str">
        <f aca="false">IF($BH240&lt;&gt;Constants!$B$4,"",IF(OR(NOT($AJ240),NOT(ISNUMBER($AX240))),0,CHOOSE($AX240,Constants!$B$13,Constants!$B$14,Constants!$B$15,Constants!$B$16)))</f>
        <v/>
      </c>
      <c r="BN240" s="100" t="str">
        <f aca="false">IF($BH240&lt;&gt;Constants!$B$4,"",IF(NOT($AJ240),0,Constants!$B$20*$AY240))</f>
        <v/>
      </c>
      <c r="BO240" s="100" t="str">
        <f aca="false">IF($BH240&lt;&gt;Constants!$B$4,"",IF(AND($AJ240,$BA240,$BB240),Constants!$B$22,0))</f>
        <v/>
      </c>
      <c r="BP240" s="100" t="str">
        <f aca="false">IF($BH240&lt;&gt;Constants!$B$4,"",IF(OR(NOT($AJ240),NOT($BA240)),0,IF($BF240&gt;=2*$AF$9,0,Constants!$B$23*INT(ROUND(MIN($BF240,$AF$9),6)))))</f>
        <v/>
      </c>
      <c r="BQ240" s="100" t="str">
        <f aca="false">IF($BH240&lt;&gt;Constants!$B$4,"",IF(NOT($AJ240),0,Constants!$B$24*INT(ROUND(MIN($AZ240,$AF$9),6))))</f>
        <v/>
      </c>
      <c r="BR240" s="100" t="str">
        <f aca="false">IF($BH240&lt;&gt;Constants!$B$4,"",IF(AND($AJ240,$BJ240=0),Constants!$B$25,0))</f>
        <v/>
      </c>
      <c r="BS240" s="100" t="str">
        <f aca="false">IF($BH240&lt;&gt;Constants!$B$4,"",MIN(Constants!$B$29,MAX(0,Constants!$B$27*Constants!$B$28*INT(ROUND((Constants!$B$26-$AL240)/Constants!$B$28,6))))+MIN(Constants!$B$29,MAX(0,Constants!$B$27*Constants!$B$28*INT(ROUND((Constants!$B$26-$AM240)/Constants!$B$28,6))))+MIN(Constants!$B$29,MAX(0,Constants!$B$27*Constants!$B$28*INT(ROUND((Constants!$B$26-$AN240)/Constants!$B$28,6)))))</f>
        <v/>
      </c>
      <c r="BT240" s="100" t="str">
        <f aca="false">IF($BH240&lt;&gt;Constants!$B$4,"",IF(NOT($AJ240),0,Constants!$B$31*INT(ROUND(MAX(0,MIN($BF240,2*$AF$9)-$AF$9),6))))</f>
        <v/>
      </c>
      <c r="BU240" s="100" t="str">
        <f aca="false">IF($BH240&lt;&gt;Constants!$B$4,"",Constants!$B$32*(($AL240&gt;Constants!$B$26)+($AM240&gt;Constants!$B$26)+($AN240&gt;Constants!$B$26)))</f>
        <v/>
      </c>
      <c r="BV240" s="100" t="str">
        <f aca="false">IF($BH240&lt;&gt;Constants!$B$4,"",IF(OR(NOT($AJ240),$AO240),0,Constants!$B$33))</f>
        <v/>
      </c>
      <c r="BW240" s="100" t="str">
        <f aca="false">IF($BH240&lt;&gt;Constants!$B$4,"",Constants!$B$34*$BJ240)</f>
        <v/>
      </c>
      <c r="BX240" s="100" t="str">
        <f aca="false">IF($BH240&lt;&gt;Constants!$B$4,"",IF(OR(NOT($AJ240),$BE240),0,Constants!$B$36))</f>
        <v/>
      </c>
      <c r="BY240" s="100" t="str">
        <f aca="false">IF($BH240&lt;&gt;Constants!$B$4,"",IF(OR(NOT($AJ240),$BD240),0,Constants!$B$37))</f>
        <v/>
      </c>
      <c r="BZ240" s="100" t="str">
        <f aca="false">IF($BH240&lt;&gt;Constants!$B$4,"",SUM($BT240:$BY240))</f>
        <v/>
      </c>
      <c r="CA240" s="100" t="str">
        <f aca="false">IF(ISBLANK($C240),"",IF($BH240&lt;&gt;Constants!$B$4,$BH240,SUM($BK240:$BS240)-$BZ240))</f>
        <v/>
      </c>
      <c r="CB240" s="100" t="str">
        <f aca="false">IF(ISBLANK($C240),"",IF($BH240&lt;&gt;Constants!$B$4,$BH240,RANK($CA240,$CA$9:$CA$508)))</f>
        <v/>
      </c>
      <c r="CC240" s="100" t="str">
        <f aca="false">IF(ISBLANK($C240),"",IF($BH240&lt;&gt;Constants!$B$4,$BH240,COUNTIFS($BI$9:$BI$508,"&lt;"&amp;$BI240)+COUNTIFS($BI$9:$BI$508,$BI240,$CB$9:$CB$508,"&lt;"&amp;$CB240)+1))</f>
        <v/>
      </c>
      <c r="CD240" s="100" t="str">
        <f aca="false">IF(ISBLANK($C240),"",IF($BH240&lt;&gt;Constants!$B$4,$BH240,RANK($BZ240,$BZ$9:$BZ$508,1)))</f>
        <v/>
      </c>
      <c r="CE240" s="100" t="str">
        <f aca="false">IF($BH240&lt;&gt;Constants!$B$4,"",$AL240+$AM240+$AN240)</f>
        <v/>
      </c>
      <c r="CF240" s="100" t="str">
        <f aca="false">IF(ISBLANK($C240),"",IF($BH240&lt;&gt;Constants!$B$4,$BH240,RANK($CE240,$CE$9:$CE$508,1)))</f>
        <v/>
      </c>
      <c r="CG240" s="100" t="str">
        <f aca="false">IF(ISBLANK($C240),"",IF($BH240&lt;&gt;Constants!$B$4,$BH240,COUNTIFS($BI$9:$BI$508,"&lt;"&amp;$BI240)+COUNTIFS($BI$9:$BI$508,$BI240,$CB$9:$CB$508,"&lt;"&amp;$CB240)+COUNTIFS($BI$9:$BI$508,$BI240,$CB$9:$CB$508,$CB240,$CD$9:$CD$508,"&lt;"&amp;$CD240)+COUNTIFS($BI$9:$BI$508,$BI240,$CB$9:$CB$508,$CB240,$CD$9:$CD$508,$CD240,$CF$9:$CF$508,"&lt;"&amp;$CF240)+1))</f>
        <v/>
      </c>
      <c r="CH240" s="100" t="str">
        <f aca="false">IF(ISBLANK($C240),"",IF($BH240&lt;&gt;Constants!$B$4,$BH240,$CC240-$CG240))</f>
        <v/>
      </c>
      <c r="CI240" s="100" t="str">
        <f aca="false">IF(ISBLANK($C240),"",IF(NOT($AJ240),"",IF(ISBLANK($D$7),$CI$5,IF(NOT(ISNUMBER($D$7)),$CI$6,""))))</f>
        <v/>
      </c>
      <c r="CJ240" s="100" t="str">
        <f aca="false">IF(ISBLANK($C240),"",OR($AL240="",$AM240="",$AN240=""))</f>
        <v/>
      </c>
      <c r="CK240" s="100" t="str">
        <f aca="false">IF(ISBLANK($C240),"",AND($AJ240,$AX240=""))</f>
        <v/>
      </c>
      <c r="CL240" s="100" t="str">
        <f aca="false">IF(ISBLANK($C240),"",AND($AJ240,$AY240=""))</f>
        <v/>
      </c>
      <c r="CM240" s="100" t="str">
        <f aca="false">IF(ISBLANK($C240),"",AND($AJ240,$AZ240=""))</f>
        <v/>
      </c>
      <c r="CN240" s="100" t="str">
        <f aca="false">IF(ISBLANK($C240),"",AND($AJ240,$BC240=""))</f>
        <v/>
      </c>
      <c r="CO240" s="100" t="str">
        <f aca="false">IF(ISBLANK($C240),"",AND($AJ240,$BF240=""))</f>
        <v/>
      </c>
      <c r="CP240" s="101"/>
      <c r="CQ240" s="102"/>
      <c r="CR240" s="103" t="str">
        <f aca="false">IF(ISBLANK($C240),"",IF($BH240=Constants!$B$8,$CI240,""))</f>
        <v/>
      </c>
      <c r="CS240" s="102" t="str">
        <f aca="false">IF(ISBLANK($C240),"",IF($BH240&lt;&gt;Constants!$B$4,"",$BK240+$BL240))</f>
        <v/>
      </c>
      <c r="CT240" s="104" t="str">
        <f aca="false">IF(ISBLANK($C240),"",IF($BH240&lt;&gt;Constants!$B$4,"",$BM240+$BN240+$BO240))</f>
        <v/>
      </c>
      <c r="CU240" s="104" t="str">
        <f aca="false">IF(ISBLANK($C240),"",IF($BH240&lt;&gt;Constants!$B$4,"",$BP240))</f>
        <v/>
      </c>
      <c r="CV240" s="104" t="str">
        <f aca="false">IF(ISBLANK($C240),"",IF($BH240&lt;&gt;Constants!$B$4,"",$BQ240+$BR240))</f>
        <v/>
      </c>
      <c r="CW240" s="104" t="str">
        <f aca="false">IF(ISBLANK($C240),"",IF($BH240&lt;&gt;Constants!$B$4,"",$BS240))</f>
        <v/>
      </c>
      <c r="CX240" s="104" t="str">
        <f aca="false">IF(ISBLANK($C240),"",IF($BH240&lt;&gt;Constants!$B$4,"",-$BZ240))</f>
        <v/>
      </c>
      <c r="CY240" s="103" t="str">
        <f aca="false">IF(ISBLANK($C240),"",$CA240)</f>
        <v/>
      </c>
      <c r="CZ240" s="105" t="str">
        <f aca="false">IF(ISBLANK($C240),"",$BI240)</f>
        <v/>
      </c>
      <c r="DA240" s="104" t="str">
        <f aca="false">IF(ISBLANK($C240),"",$CH240)</f>
        <v/>
      </c>
      <c r="DB240" s="104" t="str">
        <f aca="false">IF(ISBLANK($C240),"",$CG240)</f>
        <v/>
      </c>
      <c r="DC240" s="106" t="str">
        <f aca="false">IF(ISBLANK($C240),"",IFERROR(_xlfn.SWITCH($DB240,Constants!$B$7,COUNTA($C$9:$C$508)+2,Constants!$B$6,COUNTA($C$9:$C$508)+1,Constants!$B$5,COUNTA($C$9:$C$508)),$DB240))</f>
        <v/>
      </c>
      <c r="DD240" s="7"/>
      <c r="DE240" s="107" t="n">
        <f aca="false">IF(OR(ISNUMBER($DB240),$DB240=Constants!$B$7,$DB240=Constants!$B$5,$DB240=Constants!$B$6),1,0)</f>
        <v>0</v>
      </c>
      <c r="DF240" s="107" t="n">
        <v>232</v>
      </c>
      <c r="DG240" s="107" t="str">
        <f aca="false">IF(ISBLANK($C240),"",IF(ISNUMBER($DC240),$DC240+ROW($B240)/1000,""))</f>
        <v/>
      </c>
      <c r="DH240" s="107" t="str">
        <f aca="false">IF(ISNUMBER($DG240),RANK($DG240,$DG$9:$DG$508,1),"")</f>
        <v/>
      </c>
      <c r="DI240" s="107" t="str">
        <f aca="false">IF(ISBLANK($C240),"",$B240)</f>
        <v/>
      </c>
      <c r="DJ240" s="107" t="str">
        <f aca="false">IF(ISBLANK($C240),"",$C240)</f>
        <v/>
      </c>
      <c r="DK240" s="107" t="str">
        <f aca="false">IF(ISBLANK($C240),"",$D240)</f>
        <v/>
      </c>
      <c r="DL240" s="108" t="str">
        <f aca="false">$CZ240</f>
        <v/>
      </c>
      <c r="DM240" s="109" t="str">
        <f aca="false">$CY240</f>
        <v/>
      </c>
      <c r="DN240" s="107" t="str">
        <f aca="false">IF(ISBLANK($C240),"",$DB240)</f>
        <v/>
      </c>
      <c r="DO240" s="110" t="str">
        <f aca="false">IF($DF240&gt;$DE$8,"",VLOOKUP($DF240,$DH$9:$DN$508,7,FALSE()))</f>
        <v/>
      </c>
      <c r="DP240" s="111" t="str">
        <f aca="false">IF($DF240&gt;$DE$8,"",VLOOKUP($DF240,$DH$9:$DN$508,2,FALSE()))</f>
        <v/>
      </c>
      <c r="DQ240" s="111" t="str">
        <f aca="false">IF($DF240&gt;$DE$8,"",VLOOKUP($DF240,$DH$9:$DN$508,3,FALSE()))</f>
        <v/>
      </c>
      <c r="DR240" s="111" t="str">
        <f aca="false">IF($DF240&gt;$DE$8,"",VLOOKUP($DF240,$DH$9:$DN$508,4,FALSE()))</f>
        <v/>
      </c>
      <c r="DS240" s="111" t="str">
        <f aca="false">IF($DF240&gt;$DE$8,"",VLOOKUP($DF240,$DH$9:$DN$508,5,FALSE()))</f>
        <v/>
      </c>
      <c r="DT240" s="112" t="str">
        <f aca="false">IF($DF240&gt;$DE$8,"",VLOOKUP($DF240,$DH$9:$DN$508,6,FALSE()))</f>
        <v/>
      </c>
      <c r="DU240" s="62"/>
    </row>
    <row r="241" customFormat="false" ht="15.75" hidden="false" customHeight="false" outlineLevel="0" collapsed="false">
      <c r="A241" s="7"/>
      <c r="B241" s="90"/>
      <c r="C241" s="91"/>
      <c r="D241" s="126"/>
      <c r="E241" s="130"/>
      <c r="F241" s="135"/>
      <c r="G241" s="130"/>
      <c r="H241" s="135"/>
      <c r="I241" s="131"/>
      <c r="J241" s="131"/>
      <c r="K241" s="131"/>
      <c r="L241" s="130"/>
      <c r="M241" s="130"/>
      <c r="N241" s="130"/>
      <c r="O241" s="135"/>
      <c r="P241" s="130"/>
      <c r="Q241" s="130"/>
      <c r="R241" s="130"/>
      <c r="S241" s="130"/>
      <c r="T241" s="135"/>
      <c r="U241" s="130"/>
      <c r="V241" s="96"/>
      <c r="W241" s="130"/>
      <c r="X241" s="130"/>
      <c r="Y241" s="96"/>
      <c r="Z241" s="96"/>
      <c r="AA241" s="130"/>
      <c r="AB241" s="130"/>
      <c r="AC241" s="97"/>
      <c r="AD241" s="130"/>
      <c r="AE241" s="99"/>
      <c r="AF241" s="100"/>
      <c r="AG241" s="100"/>
      <c r="AH241" s="100" t="str">
        <f aca="false">IF(ISBLANK($C241),"",IF($E241=Constants!$B$2,TRUE(),IF($E241=Constants!$B$3,FALSE(),TRUE())))</f>
        <v/>
      </c>
      <c r="AI241" s="100" t="str">
        <f aca="false">IF(ISBLANK($C241),"",IF($F241=Constants!$B$2,TRUE(),IF($F241=Constants!$B$3,FALSE(),FALSE())))</f>
        <v/>
      </c>
      <c r="AJ241" s="100" t="str">
        <f aca="false">IF(ISBLANK($C241),"",IF($G241=Constants!$B$2,TRUE(),IF($G241=Constants!$B$3,FALSE(),TRUE())))</f>
        <v/>
      </c>
      <c r="AK241" s="100" t="str">
        <f aca="false">IF(ISBLANK($C241),"",IF($H241=Constants!$B$2,TRUE(),IF($H241=Constants!$B$3,FALSE(),TRUE())))</f>
        <v/>
      </c>
      <c r="AL241" s="100" t="str">
        <f aca="false">IF(ISBLANK($C241),"",IF(ISNUMBER($I241),IF($I241&gt;=0,$I241,""),""))</f>
        <v/>
      </c>
      <c r="AM241" s="100" t="str">
        <f aca="false">IF(ISBLANK($C241),"",IF(ISNUMBER($J241),IF($J241&gt;=0,$J241,""),""))</f>
        <v/>
      </c>
      <c r="AN241" s="100" t="str">
        <f aca="false">IF(ISBLANK($C241),"",IF(ISNUMBER($K241),IF($K241&gt;=0,$K241,""),""))</f>
        <v/>
      </c>
      <c r="AO241" s="100" t="str">
        <f aca="false">IF(ISBLANK($C241),"",IF($L241=Constants!$B$2,TRUE(),IF($L241=Constants!$B$3,FALSE(),TRUE())))</f>
        <v/>
      </c>
      <c r="AP241" s="100" t="str">
        <f aca="false">IF(ISBLANK($C241),"",IF($M241=Constants!$B$2,TRUE(),IF($M241=Constants!$B$3,FALSE(),TRUE())))</f>
        <v/>
      </c>
      <c r="AQ241" s="100" t="str">
        <f aca="false">IF(ISBLANK($C241),"",IF($N241=Constants!$B$2,TRUE(),IF($N241=Constants!$B$3,FALSE(),FALSE())))</f>
        <v/>
      </c>
      <c r="AR241" s="100" t="str">
        <f aca="false">IF(ISBLANK($C241),"",IF($O241=Constants!$B$2,TRUE(),IF($O241=Constants!$B$3,FALSE(),TRUE())))</f>
        <v/>
      </c>
      <c r="AS241" s="100" t="str">
        <f aca="false">IF(ISBLANK($C241),"",IF($P241=Constants!$B$2,TRUE(),IF($P241=Constants!$B$3,FALSE(),FALSE())))</f>
        <v/>
      </c>
      <c r="AT241" s="100" t="str">
        <f aca="false">IF(ISBLANK($C241),"",IF($Q241=Constants!$B$2,TRUE(),IF($Q241=Constants!$B$3,FALSE(),FALSE())))</f>
        <v/>
      </c>
      <c r="AU241" s="100" t="str">
        <f aca="false">IF(ISBLANK($C241),"",IF($R241=Constants!$B$2,TRUE(),IF($R241=Constants!$B$3,FALSE(),FALSE())))</f>
        <v/>
      </c>
      <c r="AV241" s="100" t="str">
        <f aca="false">IF(ISBLANK($C241),"",IF($S241=Constants!$B$2,TRUE(),IF($S241=Constants!$B$3,FALSE(),FALSE())))</f>
        <v/>
      </c>
      <c r="AW241" s="100" t="str">
        <f aca="false">IF(ISBLANK($C241),"",IF($T241=Constants!$B$2,TRUE(),IF($T241=Constants!$B$3,FALSE(),FALSE())))</f>
        <v/>
      </c>
      <c r="AX241" s="100" t="str">
        <f aca="false">IF(ISBLANK($C241),"",IF(OR($U241&amp;""="1",$U241&amp;""="2",$U241&amp;""="3",$U241&amp;""="4"),VALUE($U241&amp;""),IF($U241=Constants!$B$12,Constants!$B$12,"")))</f>
        <v/>
      </c>
      <c r="AY241" s="100" t="str">
        <f aca="false">IF(ISBLANK($C241),"",IF(ISBLANK($V241),0,IF(ISNUMBER($V241),IF(AND($V241&gt;=0,$V241&lt;=Constants!$B$21,$V241=INT($V241)),$V241,""),"")))</f>
        <v/>
      </c>
      <c r="AZ241" s="100" t="str">
        <f aca="false">IF(ISBLANK($C241),"",IF(ISBLANK($W241),0,IF(ISNUMBER($W241),IF($W241&gt;=0,$W241,""),"")))</f>
        <v/>
      </c>
      <c r="BA241" s="100" t="str">
        <f aca="false">IF(ISBLANK($C241),"",IF($X241=Constants!$B$2,TRUE(),IF($X241=Constants!$B$3,FALSE(),TRUE())))</f>
        <v/>
      </c>
      <c r="BB241" s="100" t="str">
        <f aca="false">IF(ISBLANK($C241),"",IF($Y241=Constants!$B$2,TRUE(),IF($Y241=Constants!$B$3,FALSE(),FALSE())))</f>
        <v/>
      </c>
      <c r="BC241" s="100" t="str">
        <f aca="false">IF(ISBLANK($C241),"",IF(ISBLANK($Z241),0,IF(ISNUMBER($Z241),IF(AND($Z241&gt;=0,$Z241&lt;=Constants!$B$35,$Z241=INT($Z241)),$Z241,""),"")))</f>
        <v/>
      </c>
      <c r="BD241" s="100" t="str">
        <f aca="false">IF(ISBLANK($C241),"",IF($AA241=Constants!$B$2,TRUE(),IF($AA241=Constants!$B$3,FALSE(),TRUE())))</f>
        <v/>
      </c>
      <c r="BE241" s="100" t="str">
        <f aca="false">IF(ISBLANK($C241),"",IF($AB241=Constants!$B$2,TRUE(),IF($AB241=Constants!$B$3,FALSE(),TRUE())))</f>
        <v/>
      </c>
      <c r="BF241" s="100" t="str">
        <f aca="false">IF(ISBLANK($C241),"",IF(ISNUMBER($AC241),IF($AC241&gt;=0,$AC241,""),""))</f>
        <v/>
      </c>
      <c r="BG241" s="100" t="str">
        <f aca="false">IF(ISBLANK($C241),"",IF($AD241=Constants!$B$2,TRUE(),IF($AD241=Constants!$B$3,FALSE(),FALSE())))</f>
        <v/>
      </c>
      <c r="BH241" s="99" t="str">
        <f aca="false">IF(ISBLANK($C241),"",IF($BG241,Constants!$B$7,IF(COUNTA($E241:$AC241)=0,Constants!$B$6,IF(OR(COUNTA($G241:$AC241)=0,NOT($AK241),$AQ241),Constants!$B$5,IF(OR($CI241&lt;&gt;"",$CJ241,$CK241,$CL241,$CM241,$CN241,$CO241),Constants!$B$8,Constants!$B$4)))))</f>
        <v/>
      </c>
      <c r="BI241" s="100" t="str">
        <f aca="false">IF(ISBLANK($C241),"",IF($BH241&lt;&gt;Constants!$B$4,$BH241,IF(OR(NOT($AH241),NOT($AJ241),NOT($AR241)),Constants!$B$11,IF(OR(NOT($AP241),MAX($AL241,$AM241,$AN241)&gt;Constants!$B$30),Constants!$B$10,Constants!$B$9))))</f>
        <v/>
      </c>
      <c r="BJ241" s="100" t="str">
        <f aca="false">IF($BH241&lt;&gt;Constants!$B$4,"",IF(NOT($AJ241),0,MIN(Constants!$B$35,$BC241)))</f>
        <v/>
      </c>
      <c r="BK241" s="100" t="str">
        <f aca="false">IF($BH241&lt;&gt;Constants!$B$4,"",IF(NOT($AJ241),0,IF($AT241,Constants!$B$18,IF($AS241,Constants!$B$17,0))))</f>
        <v/>
      </c>
      <c r="BL241" s="100" t="str">
        <f aca="false">IF($BH241&lt;&gt;Constants!$B$4,"",IF(NOT($AJ241),0,Constants!$B$19*($AI241+$AU241+$AV241+$AW241)))</f>
        <v/>
      </c>
      <c r="BM241" s="100" t="str">
        <f aca="false">IF($BH241&lt;&gt;Constants!$B$4,"",IF(OR(NOT($AJ241),NOT(ISNUMBER($AX241))),0,CHOOSE($AX241,Constants!$B$13,Constants!$B$14,Constants!$B$15,Constants!$B$16)))</f>
        <v/>
      </c>
      <c r="BN241" s="100" t="str">
        <f aca="false">IF($BH241&lt;&gt;Constants!$B$4,"",IF(NOT($AJ241),0,Constants!$B$20*$AY241))</f>
        <v/>
      </c>
      <c r="BO241" s="100" t="str">
        <f aca="false">IF($BH241&lt;&gt;Constants!$B$4,"",IF(AND($AJ241,$BA241,$BB241),Constants!$B$22,0))</f>
        <v/>
      </c>
      <c r="BP241" s="100" t="str">
        <f aca="false">IF($BH241&lt;&gt;Constants!$B$4,"",IF(OR(NOT($AJ241),NOT($BA241)),0,IF($BF241&gt;=2*$AF$9,0,Constants!$B$23*INT(ROUND(MIN($BF241,$AF$9),6)))))</f>
        <v/>
      </c>
      <c r="BQ241" s="100" t="str">
        <f aca="false">IF($BH241&lt;&gt;Constants!$B$4,"",IF(NOT($AJ241),0,Constants!$B$24*INT(ROUND(MIN($AZ241,$AF$9),6))))</f>
        <v/>
      </c>
      <c r="BR241" s="100" t="str">
        <f aca="false">IF($BH241&lt;&gt;Constants!$B$4,"",IF(AND($AJ241,$BJ241=0),Constants!$B$25,0))</f>
        <v/>
      </c>
      <c r="BS241" s="100" t="str">
        <f aca="false">IF($BH241&lt;&gt;Constants!$B$4,"",MIN(Constants!$B$29,MAX(0,Constants!$B$27*Constants!$B$28*INT(ROUND((Constants!$B$26-$AL241)/Constants!$B$28,6))))+MIN(Constants!$B$29,MAX(0,Constants!$B$27*Constants!$B$28*INT(ROUND((Constants!$B$26-$AM241)/Constants!$B$28,6))))+MIN(Constants!$B$29,MAX(0,Constants!$B$27*Constants!$B$28*INT(ROUND((Constants!$B$26-$AN241)/Constants!$B$28,6)))))</f>
        <v/>
      </c>
      <c r="BT241" s="100" t="str">
        <f aca="false">IF($BH241&lt;&gt;Constants!$B$4,"",IF(NOT($AJ241),0,Constants!$B$31*INT(ROUND(MAX(0,MIN($BF241,2*$AF$9)-$AF$9),6))))</f>
        <v/>
      </c>
      <c r="BU241" s="100" t="str">
        <f aca="false">IF($BH241&lt;&gt;Constants!$B$4,"",Constants!$B$32*(($AL241&gt;Constants!$B$26)+($AM241&gt;Constants!$B$26)+($AN241&gt;Constants!$B$26)))</f>
        <v/>
      </c>
      <c r="BV241" s="100" t="str">
        <f aca="false">IF($BH241&lt;&gt;Constants!$B$4,"",IF(OR(NOT($AJ241),$AO241),0,Constants!$B$33))</f>
        <v/>
      </c>
      <c r="BW241" s="100" t="str">
        <f aca="false">IF($BH241&lt;&gt;Constants!$B$4,"",Constants!$B$34*$BJ241)</f>
        <v/>
      </c>
      <c r="BX241" s="100" t="str">
        <f aca="false">IF($BH241&lt;&gt;Constants!$B$4,"",IF(OR(NOT($AJ241),$BE241),0,Constants!$B$36))</f>
        <v/>
      </c>
      <c r="BY241" s="100" t="str">
        <f aca="false">IF($BH241&lt;&gt;Constants!$B$4,"",IF(OR(NOT($AJ241),$BD241),0,Constants!$B$37))</f>
        <v/>
      </c>
      <c r="BZ241" s="100" t="str">
        <f aca="false">IF($BH241&lt;&gt;Constants!$B$4,"",SUM($BT241:$BY241))</f>
        <v/>
      </c>
      <c r="CA241" s="100" t="str">
        <f aca="false">IF(ISBLANK($C241),"",IF($BH241&lt;&gt;Constants!$B$4,$BH241,SUM($BK241:$BS241)-$BZ241))</f>
        <v/>
      </c>
      <c r="CB241" s="100" t="str">
        <f aca="false">IF(ISBLANK($C241),"",IF($BH241&lt;&gt;Constants!$B$4,$BH241,RANK($CA241,$CA$9:$CA$508)))</f>
        <v/>
      </c>
      <c r="CC241" s="100" t="str">
        <f aca="false">IF(ISBLANK($C241),"",IF($BH241&lt;&gt;Constants!$B$4,$BH241,COUNTIFS($BI$9:$BI$508,"&lt;"&amp;$BI241)+COUNTIFS($BI$9:$BI$508,$BI241,$CB$9:$CB$508,"&lt;"&amp;$CB241)+1))</f>
        <v/>
      </c>
      <c r="CD241" s="100" t="str">
        <f aca="false">IF(ISBLANK($C241),"",IF($BH241&lt;&gt;Constants!$B$4,$BH241,RANK($BZ241,$BZ$9:$BZ$508,1)))</f>
        <v/>
      </c>
      <c r="CE241" s="100" t="str">
        <f aca="false">IF($BH241&lt;&gt;Constants!$B$4,"",$AL241+$AM241+$AN241)</f>
        <v/>
      </c>
      <c r="CF241" s="100" t="str">
        <f aca="false">IF(ISBLANK($C241),"",IF($BH241&lt;&gt;Constants!$B$4,$BH241,RANK($CE241,$CE$9:$CE$508,1)))</f>
        <v/>
      </c>
      <c r="CG241" s="100" t="str">
        <f aca="false">IF(ISBLANK($C241),"",IF($BH241&lt;&gt;Constants!$B$4,$BH241,COUNTIFS($BI$9:$BI$508,"&lt;"&amp;$BI241)+COUNTIFS($BI$9:$BI$508,$BI241,$CB$9:$CB$508,"&lt;"&amp;$CB241)+COUNTIFS($BI$9:$BI$508,$BI241,$CB$9:$CB$508,$CB241,$CD$9:$CD$508,"&lt;"&amp;$CD241)+COUNTIFS($BI$9:$BI$508,$BI241,$CB$9:$CB$508,$CB241,$CD$9:$CD$508,$CD241,$CF$9:$CF$508,"&lt;"&amp;$CF241)+1))</f>
        <v/>
      </c>
      <c r="CH241" s="100" t="str">
        <f aca="false">IF(ISBLANK($C241),"",IF($BH241&lt;&gt;Constants!$B$4,$BH241,$CC241-$CG241))</f>
        <v/>
      </c>
      <c r="CI241" s="100" t="str">
        <f aca="false">IF(ISBLANK($C241),"",IF(NOT($AJ241),"",IF(ISBLANK($D$7),$CI$5,IF(NOT(ISNUMBER($D$7)),$CI$6,""))))</f>
        <v/>
      </c>
      <c r="CJ241" s="100" t="str">
        <f aca="false">IF(ISBLANK($C241),"",OR($AL241="",$AM241="",$AN241=""))</f>
        <v/>
      </c>
      <c r="CK241" s="100" t="str">
        <f aca="false">IF(ISBLANK($C241),"",AND($AJ241,$AX241=""))</f>
        <v/>
      </c>
      <c r="CL241" s="100" t="str">
        <f aca="false">IF(ISBLANK($C241),"",AND($AJ241,$AY241=""))</f>
        <v/>
      </c>
      <c r="CM241" s="100" t="str">
        <f aca="false">IF(ISBLANK($C241),"",AND($AJ241,$AZ241=""))</f>
        <v/>
      </c>
      <c r="CN241" s="100" t="str">
        <f aca="false">IF(ISBLANK($C241),"",AND($AJ241,$BC241=""))</f>
        <v/>
      </c>
      <c r="CO241" s="100" t="str">
        <f aca="false">IF(ISBLANK($C241),"",AND($AJ241,$BF241=""))</f>
        <v/>
      </c>
      <c r="CP241" s="101"/>
      <c r="CQ241" s="102"/>
      <c r="CR241" s="103" t="str">
        <f aca="false">IF(ISBLANK($C241),"",IF($BH241=Constants!$B$8,$CI241,""))</f>
        <v/>
      </c>
      <c r="CS241" s="102" t="str">
        <f aca="false">IF(ISBLANK($C241),"",IF($BH241&lt;&gt;Constants!$B$4,"",$BK241+$BL241))</f>
        <v/>
      </c>
      <c r="CT241" s="104" t="str">
        <f aca="false">IF(ISBLANK($C241),"",IF($BH241&lt;&gt;Constants!$B$4,"",$BM241+$BN241+$BO241))</f>
        <v/>
      </c>
      <c r="CU241" s="104" t="str">
        <f aca="false">IF(ISBLANK($C241),"",IF($BH241&lt;&gt;Constants!$B$4,"",$BP241))</f>
        <v/>
      </c>
      <c r="CV241" s="104" t="str">
        <f aca="false">IF(ISBLANK($C241),"",IF($BH241&lt;&gt;Constants!$B$4,"",$BQ241+$BR241))</f>
        <v/>
      </c>
      <c r="CW241" s="104" t="str">
        <f aca="false">IF(ISBLANK($C241),"",IF($BH241&lt;&gt;Constants!$B$4,"",$BS241))</f>
        <v/>
      </c>
      <c r="CX241" s="104" t="str">
        <f aca="false">IF(ISBLANK($C241),"",IF($BH241&lt;&gt;Constants!$B$4,"",-$BZ241))</f>
        <v/>
      </c>
      <c r="CY241" s="103" t="str">
        <f aca="false">IF(ISBLANK($C241),"",$CA241)</f>
        <v/>
      </c>
      <c r="CZ241" s="105" t="str">
        <f aca="false">IF(ISBLANK($C241),"",$BI241)</f>
        <v/>
      </c>
      <c r="DA241" s="104" t="str">
        <f aca="false">IF(ISBLANK($C241),"",$CH241)</f>
        <v/>
      </c>
      <c r="DB241" s="104" t="str">
        <f aca="false">IF(ISBLANK($C241),"",$CG241)</f>
        <v/>
      </c>
      <c r="DC241" s="106" t="str">
        <f aca="false">IF(ISBLANK($C241),"",IFERROR(_xlfn.SWITCH($DB241,Constants!$B$7,COUNTA($C$9:$C$508)+2,Constants!$B$6,COUNTA($C$9:$C$508)+1,Constants!$B$5,COUNTA($C$9:$C$508)),$DB241))</f>
        <v/>
      </c>
      <c r="DD241" s="7"/>
      <c r="DE241" s="107" t="n">
        <f aca="false">IF(OR(ISNUMBER($DB241),$DB241=Constants!$B$7,$DB241=Constants!$B$5,$DB241=Constants!$B$6),1,0)</f>
        <v>0</v>
      </c>
      <c r="DF241" s="107" t="n">
        <v>233</v>
      </c>
      <c r="DG241" s="107" t="str">
        <f aca="false">IF(ISBLANK($C241),"",IF(ISNUMBER($DC241),$DC241+ROW($B241)/1000,""))</f>
        <v/>
      </c>
      <c r="DH241" s="107" t="str">
        <f aca="false">IF(ISNUMBER($DG241),RANK($DG241,$DG$9:$DG$508,1),"")</f>
        <v/>
      </c>
      <c r="DI241" s="107" t="str">
        <f aca="false">IF(ISBLANK($C241),"",$B241)</f>
        <v/>
      </c>
      <c r="DJ241" s="107" t="str">
        <f aca="false">IF(ISBLANK($C241),"",$C241)</f>
        <v/>
      </c>
      <c r="DK241" s="107" t="str">
        <f aca="false">IF(ISBLANK($C241),"",$D241)</f>
        <v/>
      </c>
      <c r="DL241" s="108" t="str">
        <f aca="false">$CZ241</f>
        <v/>
      </c>
      <c r="DM241" s="109" t="str">
        <f aca="false">$CY241</f>
        <v/>
      </c>
      <c r="DN241" s="107" t="str">
        <f aca="false">IF(ISBLANK($C241),"",$DB241)</f>
        <v/>
      </c>
      <c r="DO241" s="110" t="str">
        <f aca="false">IF($DF241&gt;$DE$8,"",VLOOKUP($DF241,$DH$9:$DN$508,7,FALSE()))</f>
        <v/>
      </c>
      <c r="DP241" s="111" t="str">
        <f aca="false">IF($DF241&gt;$DE$8,"",VLOOKUP($DF241,$DH$9:$DN$508,2,FALSE()))</f>
        <v/>
      </c>
      <c r="DQ241" s="111" t="str">
        <f aca="false">IF($DF241&gt;$DE$8,"",VLOOKUP($DF241,$DH$9:$DN$508,3,FALSE()))</f>
        <v/>
      </c>
      <c r="DR241" s="111" t="str">
        <f aca="false">IF($DF241&gt;$DE$8,"",VLOOKUP($DF241,$DH$9:$DN$508,4,FALSE()))</f>
        <v/>
      </c>
      <c r="DS241" s="111" t="str">
        <f aca="false">IF($DF241&gt;$DE$8,"",VLOOKUP($DF241,$DH$9:$DN$508,5,FALSE()))</f>
        <v/>
      </c>
      <c r="DT241" s="112" t="str">
        <f aca="false">IF($DF241&gt;$DE$8,"",VLOOKUP($DF241,$DH$9:$DN$508,6,FALSE()))</f>
        <v/>
      </c>
      <c r="DU241" s="62"/>
    </row>
    <row r="242" customFormat="false" ht="15.75" hidden="false" customHeight="false" outlineLevel="0" collapsed="false">
      <c r="A242" s="7"/>
      <c r="B242" s="90"/>
      <c r="C242" s="91"/>
      <c r="D242" s="126"/>
      <c r="E242" s="130"/>
      <c r="F242" s="135"/>
      <c r="G242" s="130"/>
      <c r="H242" s="135"/>
      <c r="I242" s="131"/>
      <c r="J242" s="131"/>
      <c r="K242" s="131"/>
      <c r="L242" s="130"/>
      <c r="M242" s="130"/>
      <c r="N242" s="130"/>
      <c r="O242" s="135"/>
      <c r="P242" s="130"/>
      <c r="Q242" s="130"/>
      <c r="R242" s="130"/>
      <c r="S242" s="130"/>
      <c r="T242" s="135"/>
      <c r="U242" s="130"/>
      <c r="V242" s="96"/>
      <c r="W242" s="130"/>
      <c r="X242" s="130"/>
      <c r="Y242" s="96"/>
      <c r="Z242" s="96"/>
      <c r="AA242" s="130"/>
      <c r="AB242" s="130"/>
      <c r="AC242" s="97"/>
      <c r="AD242" s="130"/>
      <c r="AE242" s="99"/>
      <c r="AF242" s="100"/>
      <c r="AG242" s="100"/>
      <c r="AH242" s="100" t="str">
        <f aca="false">IF(ISBLANK($C242),"",IF($E242=Constants!$B$2,TRUE(),IF($E242=Constants!$B$3,FALSE(),TRUE())))</f>
        <v/>
      </c>
      <c r="AI242" s="100" t="str">
        <f aca="false">IF(ISBLANK($C242),"",IF($F242=Constants!$B$2,TRUE(),IF($F242=Constants!$B$3,FALSE(),FALSE())))</f>
        <v/>
      </c>
      <c r="AJ242" s="100" t="str">
        <f aca="false">IF(ISBLANK($C242),"",IF($G242=Constants!$B$2,TRUE(),IF($G242=Constants!$B$3,FALSE(),TRUE())))</f>
        <v/>
      </c>
      <c r="AK242" s="100" t="str">
        <f aca="false">IF(ISBLANK($C242),"",IF($H242=Constants!$B$2,TRUE(),IF($H242=Constants!$B$3,FALSE(),TRUE())))</f>
        <v/>
      </c>
      <c r="AL242" s="100" t="str">
        <f aca="false">IF(ISBLANK($C242),"",IF(ISNUMBER($I242),IF($I242&gt;=0,$I242,""),""))</f>
        <v/>
      </c>
      <c r="AM242" s="100" t="str">
        <f aca="false">IF(ISBLANK($C242),"",IF(ISNUMBER($J242),IF($J242&gt;=0,$J242,""),""))</f>
        <v/>
      </c>
      <c r="AN242" s="100" t="str">
        <f aca="false">IF(ISBLANK($C242),"",IF(ISNUMBER($K242),IF($K242&gt;=0,$K242,""),""))</f>
        <v/>
      </c>
      <c r="AO242" s="100" t="str">
        <f aca="false">IF(ISBLANK($C242),"",IF($L242=Constants!$B$2,TRUE(),IF($L242=Constants!$B$3,FALSE(),TRUE())))</f>
        <v/>
      </c>
      <c r="AP242" s="100" t="str">
        <f aca="false">IF(ISBLANK($C242),"",IF($M242=Constants!$B$2,TRUE(),IF($M242=Constants!$B$3,FALSE(),TRUE())))</f>
        <v/>
      </c>
      <c r="AQ242" s="100" t="str">
        <f aca="false">IF(ISBLANK($C242),"",IF($N242=Constants!$B$2,TRUE(),IF($N242=Constants!$B$3,FALSE(),FALSE())))</f>
        <v/>
      </c>
      <c r="AR242" s="100" t="str">
        <f aca="false">IF(ISBLANK($C242),"",IF($O242=Constants!$B$2,TRUE(),IF($O242=Constants!$B$3,FALSE(),TRUE())))</f>
        <v/>
      </c>
      <c r="AS242" s="100" t="str">
        <f aca="false">IF(ISBLANK($C242),"",IF($P242=Constants!$B$2,TRUE(),IF($P242=Constants!$B$3,FALSE(),FALSE())))</f>
        <v/>
      </c>
      <c r="AT242" s="100" t="str">
        <f aca="false">IF(ISBLANK($C242),"",IF($Q242=Constants!$B$2,TRUE(),IF($Q242=Constants!$B$3,FALSE(),FALSE())))</f>
        <v/>
      </c>
      <c r="AU242" s="100" t="str">
        <f aca="false">IF(ISBLANK($C242),"",IF($R242=Constants!$B$2,TRUE(),IF($R242=Constants!$B$3,FALSE(),FALSE())))</f>
        <v/>
      </c>
      <c r="AV242" s="100" t="str">
        <f aca="false">IF(ISBLANK($C242),"",IF($S242=Constants!$B$2,TRUE(),IF($S242=Constants!$B$3,FALSE(),FALSE())))</f>
        <v/>
      </c>
      <c r="AW242" s="100" t="str">
        <f aca="false">IF(ISBLANK($C242),"",IF($T242=Constants!$B$2,TRUE(),IF($T242=Constants!$B$3,FALSE(),FALSE())))</f>
        <v/>
      </c>
      <c r="AX242" s="100" t="str">
        <f aca="false">IF(ISBLANK($C242),"",IF(OR($U242&amp;""="1",$U242&amp;""="2",$U242&amp;""="3",$U242&amp;""="4"),VALUE($U242&amp;""),IF($U242=Constants!$B$12,Constants!$B$12,"")))</f>
        <v/>
      </c>
      <c r="AY242" s="100" t="str">
        <f aca="false">IF(ISBLANK($C242),"",IF(ISBLANK($V242),0,IF(ISNUMBER($V242),IF(AND($V242&gt;=0,$V242&lt;=Constants!$B$21,$V242=INT($V242)),$V242,""),"")))</f>
        <v/>
      </c>
      <c r="AZ242" s="100" t="str">
        <f aca="false">IF(ISBLANK($C242),"",IF(ISBLANK($W242),0,IF(ISNUMBER($W242),IF($W242&gt;=0,$W242,""),"")))</f>
        <v/>
      </c>
      <c r="BA242" s="100" t="str">
        <f aca="false">IF(ISBLANK($C242),"",IF($X242=Constants!$B$2,TRUE(),IF($X242=Constants!$B$3,FALSE(),TRUE())))</f>
        <v/>
      </c>
      <c r="BB242" s="100" t="str">
        <f aca="false">IF(ISBLANK($C242),"",IF($Y242=Constants!$B$2,TRUE(),IF($Y242=Constants!$B$3,FALSE(),FALSE())))</f>
        <v/>
      </c>
      <c r="BC242" s="100" t="str">
        <f aca="false">IF(ISBLANK($C242),"",IF(ISBLANK($Z242),0,IF(ISNUMBER($Z242),IF(AND($Z242&gt;=0,$Z242&lt;=Constants!$B$35,$Z242=INT($Z242)),$Z242,""),"")))</f>
        <v/>
      </c>
      <c r="BD242" s="100" t="str">
        <f aca="false">IF(ISBLANK($C242),"",IF($AA242=Constants!$B$2,TRUE(),IF($AA242=Constants!$B$3,FALSE(),TRUE())))</f>
        <v/>
      </c>
      <c r="BE242" s="100" t="str">
        <f aca="false">IF(ISBLANK($C242),"",IF($AB242=Constants!$B$2,TRUE(),IF($AB242=Constants!$B$3,FALSE(),TRUE())))</f>
        <v/>
      </c>
      <c r="BF242" s="100" t="str">
        <f aca="false">IF(ISBLANK($C242),"",IF(ISNUMBER($AC242),IF($AC242&gt;=0,$AC242,""),""))</f>
        <v/>
      </c>
      <c r="BG242" s="100" t="str">
        <f aca="false">IF(ISBLANK($C242),"",IF($AD242=Constants!$B$2,TRUE(),IF($AD242=Constants!$B$3,FALSE(),FALSE())))</f>
        <v/>
      </c>
      <c r="BH242" s="99" t="str">
        <f aca="false">IF(ISBLANK($C242),"",IF($BG242,Constants!$B$7,IF(COUNTA($E242:$AC242)=0,Constants!$B$6,IF(OR(COUNTA($G242:$AC242)=0,NOT($AK242),$AQ242),Constants!$B$5,IF(OR($CI242&lt;&gt;"",$CJ242,$CK242,$CL242,$CM242,$CN242,$CO242),Constants!$B$8,Constants!$B$4)))))</f>
        <v/>
      </c>
      <c r="BI242" s="100" t="str">
        <f aca="false">IF(ISBLANK($C242),"",IF($BH242&lt;&gt;Constants!$B$4,$BH242,IF(OR(NOT($AH242),NOT($AJ242),NOT($AR242)),Constants!$B$11,IF(OR(NOT($AP242),MAX($AL242,$AM242,$AN242)&gt;Constants!$B$30),Constants!$B$10,Constants!$B$9))))</f>
        <v/>
      </c>
      <c r="BJ242" s="100" t="str">
        <f aca="false">IF($BH242&lt;&gt;Constants!$B$4,"",IF(NOT($AJ242),0,MIN(Constants!$B$35,$BC242)))</f>
        <v/>
      </c>
      <c r="BK242" s="100" t="str">
        <f aca="false">IF($BH242&lt;&gt;Constants!$B$4,"",IF(NOT($AJ242),0,IF($AT242,Constants!$B$18,IF($AS242,Constants!$B$17,0))))</f>
        <v/>
      </c>
      <c r="BL242" s="100" t="str">
        <f aca="false">IF($BH242&lt;&gt;Constants!$B$4,"",IF(NOT($AJ242),0,Constants!$B$19*($AI242+$AU242+$AV242+$AW242)))</f>
        <v/>
      </c>
      <c r="BM242" s="100" t="str">
        <f aca="false">IF($BH242&lt;&gt;Constants!$B$4,"",IF(OR(NOT($AJ242),NOT(ISNUMBER($AX242))),0,CHOOSE($AX242,Constants!$B$13,Constants!$B$14,Constants!$B$15,Constants!$B$16)))</f>
        <v/>
      </c>
      <c r="BN242" s="100" t="str">
        <f aca="false">IF($BH242&lt;&gt;Constants!$B$4,"",IF(NOT($AJ242),0,Constants!$B$20*$AY242))</f>
        <v/>
      </c>
      <c r="BO242" s="100" t="str">
        <f aca="false">IF($BH242&lt;&gt;Constants!$B$4,"",IF(AND($AJ242,$BA242,$BB242),Constants!$B$22,0))</f>
        <v/>
      </c>
      <c r="BP242" s="100" t="str">
        <f aca="false">IF($BH242&lt;&gt;Constants!$B$4,"",IF(OR(NOT($AJ242),NOT($BA242)),0,IF($BF242&gt;=2*$AF$9,0,Constants!$B$23*INT(ROUND(MIN($BF242,$AF$9),6)))))</f>
        <v/>
      </c>
      <c r="BQ242" s="100" t="str">
        <f aca="false">IF($BH242&lt;&gt;Constants!$B$4,"",IF(NOT($AJ242),0,Constants!$B$24*INT(ROUND(MIN($AZ242,$AF$9),6))))</f>
        <v/>
      </c>
      <c r="BR242" s="100" t="str">
        <f aca="false">IF($BH242&lt;&gt;Constants!$B$4,"",IF(AND($AJ242,$BJ242=0),Constants!$B$25,0))</f>
        <v/>
      </c>
      <c r="BS242" s="100" t="str">
        <f aca="false">IF($BH242&lt;&gt;Constants!$B$4,"",MIN(Constants!$B$29,MAX(0,Constants!$B$27*Constants!$B$28*INT(ROUND((Constants!$B$26-$AL242)/Constants!$B$28,6))))+MIN(Constants!$B$29,MAX(0,Constants!$B$27*Constants!$B$28*INT(ROUND((Constants!$B$26-$AM242)/Constants!$B$28,6))))+MIN(Constants!$B$29,MAX(0,Constants!$B$27*Constants!$B$28*INT(ROUND((Constants!$B$26-$AN242)/Constants!$B$28,6)))))</f>
        <v/>
      </c>
      <c r="BT242" s="100" t="str">
        <f aca="false">IF($BH242&lt;&gt;Constants!$B$4,"",IF(NOT($AJ242),0,Constants!$B$31*INT(ROUND(MAX(0,MIN($BF242,2*$AF$9)-$AF$9),6))))</f>
        <v/>
      </c>
      <c r="BU242" s="100" t="str">
        <f aca="false">IF($BH242&lt;&gt;Constants!$B$4,"",Constants!$B$32*(($AL242&gt;Constants!$B$26)+($AM242&gt;Constants!$B$26)+($AN242&gt;Constants!$B$26)))</f>
        <v/>
      </c>
      <c r="BV242" s="100" t="str">
        <f aca="false">IF($BH242&lt;&gt;Constants!$B$4,"",IF(OR(NOT($AJ242),$AO242),0,Constants!$B$33))</f>
        <v/>
      </c>
      <c r="BW242" s="100" t="str">
        <f aca="false">IF($BH242&lt;&gt;Constants!$B$4,"",Constants!$B$34*$BJ242)</f>
        <v/>
      </c>
      <c r="BX242" s="100" t="str">
        <f aca="false">IF($BH242&lt;&gt;Constants!$B$4,"",IF(OR(NOT($AJ242),$BE242),0,Constants!$B$36))</f>
        <v/>
      </c>
      <c r="BY242" s="100" t="str">
        <f aca="false">IF($BH242&lt;&gt;Constants!$B$4,"",IF(OR(NOT($AJ242),$BD242),0,Constants!$B$37))</f>
        <v/>
      </c>
      <c r="BZ242" s="100" t="str">
        <f aca="false">IF($BH242&lt;&gt;Constants!$B$4,"",SUM($BT242:$BY242))</f>
        <v/>
      </c>
      <c r="CA242" s="100" t="str">
        <f aca="false">IF(ISBLANK($C242),"",IF($BH242&lt;&gt;Constants!$B$4,$BH242,SUM($BK242:$BS242)-$BZ242))</f>
        <v/>
      </c>
      <c r="CB242" s="100" t="str">
        <f aca="false">IF(ISBLANK($C242),"",IF($BH242&lt;&gt;Constants!$B$4,$BH242,RANK($CA242,$CA$9:$CA$508)))</f>
        <v/>
      </c>
      <c r="CC242" s="100" t="str">
        <f aca="false">IF(ISBLANK($C242),"",IF($BH242&lt;&gt;Constants!$B$4,$BH242,COUNTIFS($BI$9:$BI$508,"&lt;"&amp;$BI242)+COUNTIFS($BI$9:$BI$508,$BI242,$CB$9:$CB$508,"&lt;"&amp;$CB242)+1))</f>
        <v/>
      </c>
      <c r="CD242" s="100" t="str">
        <f aca="false">IF(ISBLANK($C242),"",IF($BH242&lt;&gt;Constants!$B$4,$BH242,RANK($BZ242,$BZ$9:$BZ$508,1)))</f>
        <v/>
      </c>
      <c r="CE242" s="100" t="str">
        <f aca="false">IF($BH242&lt;&gt;Constants!$B$4,"",$AL242+$AM242+$AN242)</f>
        <v/>
      </c>
      <c r="CF242" s="100" t="str">
        <f aca="false">IF(ISBLANK($C242),"",IF($BH242&lt;&gt;Constants!$B$4,$BH242,RANK($CE242,$CE$9:$CE$508,1)))</f>
        <v/>
      </c>
      <c r="CG242" s="100" t="str">
        <f aca="false">IF(ISBLANK($C242),"",IF($BH242&lt;&gt;Constants!$B$4,$BH242,COUNTIFS($BI$9:$BI$508,"&lt;"&amp;$BI242)+COUNTIFS($BI$9:$BI$508,$BI242,$CB$9:$CB$508,"&lt;"&amp;$CB242)+COUNTIFS($BI$9:$BI$508,$BI242,$CB$9:$CB$508,$CB242,$CD$9:$CD$508,"&lt;"&amp;$CD242)+COUNTIFS($BI$9:$BI$508,$BI242,$CB$9:$CB$508,$CB242,$CD$9:$CD$508,$CD242,$CF$9:$CF$508,"&lt;"&amp;$CF242)+1))</f>
        <v/>
      </c>
      <c r="CH242" s="100" t="str">
        <f aca="false">IF(ISBLANK($C242),"",IF($BH242&lt;&gt;Constants!$B$4,$BH242,$CC242-$CG242))</f>
        <v/>
      </c>
      <c r="CI242" s="100" t="str">
        <f aca="false">IF(ISBLANK($C242),"",IF(NOT($AJ242),"",IF(ISBLANK($D$7),$CI$5,IF(NOT(ISNUMBER($D$7)),$CI$6,""))))</f>
        <v/>
      </c>
      <c r="CJ242" s="100" t="str">
        <f aca="false">IF(ISBLANK($C242),"",OR($AL242="",$AM242="",$AN242=""))</f>
        <v/>
      </c>
      <c r="CK242" s="100" t="str">
        <f aca="false">IF(ISBLANK($C242),"",AND($AJ242,$AX242=""))</f>
        <v/>
      </c>
      <c r="CL242" s="100" t="str">
        <f aca="false">IF(ISBLANK($C242),"",AND($AJ242,$AY242=""))</f>
        <v/>
      </c>
      <c r="CM242" s="100" t="str">
        <f aca="false">IF(ISBLANK($C242),"",AND($AJ242,$AZ242=""))</f>
        <v/>
      </c>
      <c r="CN242" s="100" t="str">
        <f aca="false">IF(ISBLANK($C242),"",AND($AJ242,$BC242=""))</f>
        <v/>
      </c>
      <c r="CO242" s="100" t="str">
        <f aca="false">IF(ISBLANK($C242),"",AND($AJ242,$BF242=""))</f>
        <v/>
      </c>
      <c r="CP242" s="101"/>
      <c r="CQ242" s="102"/>
      <c r="CR242" s="103" t="str">
        <f aca="false">IF(ISBLANK($C242),"",IF($BH242=Constants!$B$8,$CI242,""))</f>
        <v/>
      </c>
      <c r="CS242" s="102" t="str">
        <f aca="false">IF(ISBLANK($C242),"",IF($BH242&lt;&gt;Constants!$B$4,"",$BK242+$BL242))</f>
        <v/>
      </c>
      <c r="CT242" s="104" t="str">
        <f aca="false">IF(ISBLANK($C242),"",IF($BH242&lt;&gt;Constants!$B$4,"",$BM242+$BN242+$BO242))</f>
        <v/>
      </c>
      <c r="CU242" s="104" t="str">
        <f aca="false">IF(ISBLANK($C242),"",IF($BH242&lt;&gt;Constants!$B$4,"",$BP242))</f>
        <v/>
      </c>
      <c r="CV242" s="104" t="str">
        <f aca="false">IF(ISBLANK($C242),"",IF($BH242&lt;&gt;Constants!$B$4,"",$BQ242+$BR242))</f>
        <v/>
      </c>
      <c r="CW242" s="104" t="str">
        <f aca="false">IF(ISBLANK($C242),"",IF($BH242&lt;&gt;Constants!$B$4,"",$BS242))</f>
        <v/>
      </c>
      <c r="CX242" s="104" t="str">
        <f aca="false">IF(ISBLANK($C242),"",IF($BH242&lt;&gt;Constants!$B$4,"",-$BZ242))</f>
        <v/>
      </c>
      <c r="CY242" s="103" t="str">
        <f aca="false">IF(ISBLANK($C242),"",$CA242)</f>
        <v/>
      </c>
      <c r="CZ242" s="105" t="str">
        <f aca="false">IF(ISBLANK($C242),"",$BI242)</f>
        <v/>
      </c>
      <c r="DA242" s="104" t="str">
        <f aca="false">IF(ISBLANK($C242),"",$CH242)</f>
        <v/>
      </c>
      <c r="DB242" s="104" t="str">
        <f aca="false">IF(ISBLANK($C242),"",$CG242)</f>
        <v/>
      </c>
      <c r="DC242" s="106" t="str">
        <f aca="false">IF(ISBLANK($C242),"",IFERROR(_xlfn.SWITCH($DB242,Constants!$B$7,COUNTA($C$9:$C$508)+2,Constants!$B$6,COUNTA($C$9:$C$508)+1,Constants!$B$5,COUNTA($C$9:$C$508)),$DB242))</f>
        <v/>
      </c>
      <c r="DD242" s="7"/>
      <c r="DE242" s="107" t="n">
        <f aca="false">IF(OR(ISNUMBER($DB242),$DB242=Constants!$B$7,$DB242=Constants!$B$5,$DB242=Constants!$B$6),1,0)</f>
        <v>0</v>
      </c>
      <c r="DF242" s="107" t="n">
        <v>234</v>
      </c>
      <c r="DG242" s="107" t="str">
        <f aca="false">IF(ISBLANK($C242),"",IF(ISNUMBER($DC242),$DC242+ROW($B242)/1000,""))</f>
        <v/>
      </c>
      <c r="DH242" s="107" t="str">
        <f aca="false">IF(ISNUMBER($DG242),RANK($DG242,$DG$9:$DG$508,1),"")</f>
        <v/>
      </c>
      <c r="DI242" s="107" t="str">
        <f aca="false">IF(ISBLANK($C242),"",$B242)</f>
        <v/>
      </c>
      <c r="DJ242" s="107" t="str">
        <f aca="false">IF(ISBLANK($C242),"",$C242)</f>
        <v/>
      </c>
      <c r="DK242" s="107" t="str">
        <f aca="false">IF(ISBLANK($C242),"",$D242)</f>
        <v/>
      </c>
      <c r="DL242" s="108" t="str">
        <f aca="false">$CZ242</f>
        <v/>
      </c>
      <c r="DM242" s="109" t="str">
        <f aca="false">$CY242</f>
        <v/>
      </c>
      <c r="DN242" s="107" t="str">
        <f aca="false">IF(ISBLANK($C242),"",$DB242)</f>
        <v/>
      </c>
      <c r="DO242" s="110" t="str">
        <f aca="false">IF($DF242&gt;$DE$8,"",VLOOKUP($DF242,$DH$9:$DN$508,7,FALSE()))</f>
        <v/>
      </c>
      <c r="DP242" s="111" t="str">
        <f aca="false">IF($DF242&gt;$DE$8,"",VLOOKUP($DF242,$DH$9:$DN$508,2,FALSE()))</f>
        <v/>
      </c>
      <c r="DQ242" s="111" t="str">
        <f aca="false">IF($DF242&gt;$DE$8,"",VLOOKUP($DF242,$DH$9:$DN$508,3,FALSE()))</f>
        <v/>
      </c>
      <c r="DR242" s="111" t="str">
        <f aca="false">IF($DF242&gt;$DE$8,"",VLOOKUP($DF242,$DH$9:$DN$508,4,FALSE()))</f>
        <v/>
      </c>
      <c r="DS242" s="111" t="str">
        <f aca="false">IF($DF242&gt;$DE$8,"",VLOOKUP($DF242,$DH$9:$DN$508,5,FALSE()))</f>
        <v/>
      </c>
      <c r="DT242" s="112" t="str">
        <f aca="false">IF($DF242&gt;$DE$8,"",VLOOKUP($DF242,$DH$9:$DN$508,6,FALSE()))</f>
        <v/>
      </c>
      <c r="DU242" s="62"/>
    </row>
    <row r="243" customFormat="false" ht="15.75" hidden="false" customHeight="false" outlineLevel="0" collapsed="false">
      <c r="A243" s="7"/>
      <c r="B243" s="64"/>
      <c r="C243" s="65"/>
      <c r="D243" s="123"/>
      <c r="E243" s="88"/>
      <c r="F243" s="134"/>
      <c r="G243" s="88"/>
      <c r="H243" s="134"/>
      <c r="I243" s="119"/>
      <c r="J243" s="119"/>
      <c r="K243" s="119"/>
      <c r="L243" s="88"/>
      <c r="M243" s="88"/>
      <c r="N243" s="88"/>
      <c r="O243" s="134"/>
      <c r="P243" s="88"/>
      <c r="Q243" s="88"/>
      <c r="R243" s="88"/>
      <c r="S243" s="88"/>
      <c r="T243" s="134"/>
      <c r="U243" s="88"/>
      <c r="V243" s="70"/>
      <c r="W243" s="88"/>
      <c r="X243" s="88"/>
      <c r="Y243" s="70"/>
      <c r="Z243" s="70"/>
      <c r="AA243" s="88"/>
      <c r="AB243" s="88"/>
      <c r="AC243" s="71"/>
      <c r="AD243" s="88"/>
      <c r="AE243" s="73"/>
      <c r="AF243" s="74"/>
      <c r="AG243" s="74"/>
      <c r="AH243" s="74" t="str">
        <f aca="false">IF(ISBLANK($C243),"",IF($E243=Constants!$B$2,TRUE(),IF($E243=Constants!$B$3,FALSE(),TRUE())))</f>
        <v/>
      </c>
      <c r="AI243" s="74" t="str">
        <f aca="false">IF(ISBLANK($C243),"",IF($F243=Constants!$B$2,TRUE(),IF($F243=Constants!$B$3,FALSE(),FALSE())))</f>
        <v/>
      </c>
      <c r="AJ243" s="74" t="str">
        <f aca="false">IF(ISBLANK($C243),"",IF($G243=Constants!$B$2,TRUE(),IF($G243=Constants!$B$3,FALSE(),TRUE())))</f>
        <v/>
      </c>
      <c r="AK243" s="74" t="str">
        <f aca="false">IF(ISBLANK($C243),"",IF($H243=Constants!$B$2,TRUE(),IF($H243=Constants!$B$3,FALSE(),TRUE())))</f>
        <v/>
      </c>
      <c r="AL243" s="74" t="str">
        <f aca="false">IF(ISBLANK($C243),"",IF(ISNUMBER($I243),IF($I243&gt;=0,$I243,""),""))</f>
        <v/>
      </c>
      <c r="AM243" s="74" t="str">
        <f aca="false">IF(ISBLANK($C243),"",IF(ISNUMBER($J243),IF($J243&gt;=0,$J243,""),""))</f>
        <v/>
      </c>
      <c r="AN243" s="74" t="str">
        <f aca="false">IF(ISBLANK($C243),"",IF(ISNUMBER($K243),IF($K243&gt;=0,$K243,""),""))</f>
        <v/>
      </c>
      <c r="AO243" s="74" t="str">
        <f aca="false">IF(ISBLANK($C243),"",IF($L243=Constants!$B$2,TRUE(),IF($L243=Constants!$B$3,FALSE(),TRUE())))</f>
        <v/>
      </c>
      <c r="AP243" s="74" t="str">
        <f aca="false">IF(ISBLANK($C243),"",IF($M243=Constants!$B$2,TRUE(),IF($M243=Constants!$B$3,FALSE(),TRUE())))</f>
        <v/>
      </c>
      <c r="AQ243" s="74" t="str">
        <f aca="false">IF(ISBLANK($C243),"",IF($N243=Constants!$B$2,TRUE(),IF($N243=Constants!$B$3,FALSE(),FALSE())))</f>
        <v/>
      </c>
      <c r="AR243" s="74" t="str">
        <f aca="false">IF(ISBLANK($C243),"",IF($O243=Constants!$B$2,TRUE(),IF($O243=Constants!$B$3,FALSE(),TRUE())))</f>
        <v/>
      </c>
      <c r="AS243" s="74" t="str">
        <f aca="false">IF(ISBLANK($C243),"",IF($P243=Constants!$B$2,TRUE(),IF($P243=Constants!$B$3,FALSE(),FALSE())))</f>
        <v/>
      </c>
      <c r="AT243" s="74" t="str">
        <f aca="false">IF(ISBLANK($C243),"",IF($Q243=Constants!$B$2,TRUE(),IF($Q243=Constants!$B$3,FALSE(),FALSE())))</f>
        <v/>
      </c>
      <c r="AU243" s="74" t="str">
        <f aca="false">IF(ISBLANK($C243),"",IF($R243=Constants!$B$2,TRUE(),IF($R243=Constants!$B$3,FALSE(),FALSE())))</f>
        <v/>
      </c>
      <c r="AV243" s="74" t="str">
        <f aca="false">IF(ISBLANK($C243),"",IF($S243=Constants!$B$2,TRUE(),IF($S243=Constants!$B$3,FALSE(),FALSE())))</f>
        <v/>
      </c>
      <c r="AW243" s="74" t="str">
        <f aca="false">IF(ISBLANK($C243),"",IF($T243=Constants!$B$2,TRUE(),IF($T243=Constants!$B$3,FALSE(),FALSE())))</f>
        <v/>
      </c>
      <c r="AX243" s="74" t="str">
        <f aca="false">IF(ISBLANK($C243),"",IF(OR($U243&amp;""="1",$U243&amp;""="2",$U243&amp;""="3",$U243&amp;""="4"),VALUE($U243&amp;""),IF($U243=Constants!$B$12,Constants!$B$12,"")))</f>
        <v/>
      </c>
      <c r="AY243" s="74" t="str">
        <f aca="false">IF(ISBLANK($C243),"",IF(ISBLANK($V243),0,IF(ISNUMBER($V243),IF(AND($V243&gt;=0,$V243&lt;=Constants!$B$21,$V243=INT($V243)),$V243,""),"")))</f>
        <v/>
      </c>
      <c r="AZ243" s="74" t="str">
        <f aca="false">IF(ISBLANK($C243),"",IF(ISBLANK($W243),0,IF(ISNUMBER($W243),IF($W243&gt;=0,$W243,""),"")))</f>
        <v/>
      </c>
      <c r="BA243" s="74" t="str">
        <f aca="false">IF(ISBLANK($C243),"",IF($X243=Constants!$B$2,TRUE(),IF($X243=Constants!$B$3,FALSE(),TRUE())))</f>
        <v/>
      </c>
      <c r="BB243" s="74" t="str">
        <f aca="false">IF(ISBLANK($C243),"",IF($Y243=Constants!$B$2,TRUE(),IF($Y243=Constants!$B$3,FALSE(),FALSE())))</f>
        <v/>
      </c>
      <c r="BC243" s="74" t="str">
        <f aca="false">IF(ISBLANK($C243),"",IF(ISBLANK($Z243),0,IF(ISNUMBER($Z243),IF(AND($Z243&gt;=0,$Z243&lt;=Constants!$B$35,$Z243=INT($Z243)),$Z243,""),"")))</f>
        <v/>
      </c>
      <c r="BD243" s="74" t="str">
        <f aca="false">IF(ISBLANK($C243),"",IF($AA243=Constants!$B$2,TRUE(),IF($AA243=Constants!$B$3,FALSE(),TRUE())))</f>
        <v/>
      </c>
      <c r="BE243" s="74" t="str">
        <f aca="false">IF(ISBLANK($C243),"",IF($AB243=Constants!$B$2,TRUE(),IF($AB243=Constants!$B$3,FALSE(),TRUE())))</f>
        <v/>
      </c>
      <c r="BF243" s="74" t="str">
        <f aca="false">IF(ISBLANK($C243),"",IF(ISNUMBER($AC243),IF($AC243&gt;=0,$AC243,""),""))</f>
        <v/>
      </c>
      <c r="BG243" s="74" t="str">
        <f aca="false">IF(ISBLANK($C243),"",IF($AD243=Constants!$B$2,TRUE(),IF($AD243=Constants!$B$3,FALSE(),FALSE())))</f>
        <v/>
      </c>
      <c r="BH243" s="73" t="str">
        <f aca="false">IF(ISBLANK($C243),"",IF($BG243,Constants!$B$7,IF(COUNTA($E243:$AC243)=0,Constants!$B$6,IF(OR(COUNTA($G243:$AC243)=0,NOT($AK243),$AQ243),Constants!$B$5,IF(OR($CI243&lt;&gt;"",$CJ243,$CK243,$CL243,$CM243,$CN243,$CO243),Constants!$B$8,Constants!$B$4)))))</f>
        <v/>
      </c>
      <c r="BI243" s="74" t="str">
        <f aca="false">IF(ISBLANK($C243),"",IF($BH243&lt;&gt;Constants!$B$4,$BH243,IF(OR(NOT($AH243),NOT($AJ243),NOT($AR243)),Constants!$B$11,IF(OR(NOT($AP243),MAX($AL243,$AM243,$AN243)&gt;Constants!$B$30),Constants!$B$10,Constants!$B$9))))</f>
        <v/>
      </c>
      <c r="BJ243" s="74" t="str">
        <f aca="false">IF($BH243&lt;&gt;Constants!$B$4,"",IF(NOT($AJ243),0,MIN(Constants!$B$35,$BC243)))</f>
        <v/>
      </c>
      <c r="BK243" s="74" t="str">
        <f aca="false">IF($BH243&lt;&gt;Constants!$B$4,"",IF(NOT($AJ243),0,IF($AT243,Constants!$B$18,IF($AS243,Constants!$B$17,0))))</f>
        <v/>
      </c>
      <c r="BL243" s="74" t="str">
        <f aca="false">IF($BH243&lt;&gt;Constants!$B$4,"",IF(NOT($AJ243),0,Constants!$B$19*($AI243+$AU243+$AV243+$AW243)))</f>
        <v/>
      </c>
      <c r="BM243" s="74" t="str">
        <f aca="false">IF($BH243&lt;&gt;Constants!$B$4,"",IF(OR(NOT($AJ243),NOT(ISNUMBER($AX243))),0,CHOOSE($AX243,Constants!$B$13,Constants!$B$14,Constants!$B$15,Constants!$B$16)))</f>
        <v/>
      </c>
      <c r="BN243" s="74" t="str">
        <f aca="false">IF($BH243&lt;&gt;Constants!$B$4,"",IF(NOT($AJ243),0,Constants!$B$20*$AY243))</f>
        <v/>
      </c>
      <c r="BO243" s="74" t="str">
        <f aca="false">IF($BH243&lt;&gt;Constants!$B$4,"",IF(AND($AJ243,$BA243,$BB243),Constants!$B$22,0))</f>
        <v/>
      </c>
      <c r="BP243" s="74" t="str">
        <f aca="false">IF($BH243&lt;&gt;Constants!$B$4,"",IF(OR(NOT($AJ243),NOT($BA243)),0,IF($BF243&gt;=2*$AF$9,0,Constants!$B$23*INT(ROUND(MIN($BF243,$AF$9),6)))))</f>
        <v/>
      </c>
      <c r="BQ243" s="74" t="str">
        <f aca="false">IF($BH243&lt;&gt;Constants!$B$4,"",IF(NOT($AJ243),0,Constants!$B$24*INT(ROUND(MIN($AZ243,$AF$9),6))))</f>
        <v/>
      </c>
      <c r="BR243" s="74" t="str">
        <f aca="false">IF($BH243&lt;&gt;Constants!$B$4,"",IF(AND($AJ243,$BJ243=0),Constants!$B$25,0))</f>
        <v/>
      </c>
      <c r="BS243" s="74" t="str">
        <f aca="false">IF($BH243&lt;&gt;Constants!$B$4,"",MIN(Constants!$B$29,MAX(0,Constants!$B$27*Constants!$B$28*INT(ROUND((Constants!$B$26-$AL243)/Constants!$B$28,6))))+MIN(Constants!$B$29,MAX(0,Constants!$B$27*Constants!$B$28*INT(ROUND((Constants!$B$26-$AM243)/Constants!$B$28,6))))+MIN(Constants!$B$29,MAX(0,Constants!$B$27*Constants!$B$28*INT(ROUND((Constants!$B$26-$AN243)/Constants!$B$28,6)))))</f>
        <v/>
      </c>
      <c r="BT243" s="74" t="str">
        <f aca="false">IF($BH243&lt;&gt;Constants!$B$4,"",IF(NOT($AJ243),0,Constants!$B$31*INT(ROUND(MAX(0,MIN($BF243,2*$AF$9)-$AF$9),6))))</f>
        <v/>
      </c>
      <c r="BU243" s="74" t="str">
        <f aca="false">IF($BH243&lt;&gt;Constants!$B$4,"",Constants!$B$32*(($AL243&gt;Constants!$B$26)+($AM243&gt;Constants!$B$26)+($AN243&gt;Constants!$B$26)))</f>
        <v/>
      </c>
      <c r="BV243" s="74" t="str">
        <f aca="false">IF($BH243&lt;&gt;Constants!$B$4,"",IF(OR(NOT($AJ243),$AO243),0,Constants!$B$33))</f>
        <v/>
      </c>
      <c r="BW243" s="74" t="str">
        <f aca="false">IF($BH243&lt;&gt;Constants!$B$4,"",Constants!$B$34*$BJ243)</f>
        <v/>
      </c>
      <c r="BX243" s="74" t="str">
        <f aca="false">IF($BH243&lt;&gt;Constants!$B$4,"",IF(OR(NOT($AJ243),$BE243),0,Constants!$B$36))</f>
        <v/>
      </c>
      <c r="BY243" s="74" t="str">
        <f aca="false">IF($BH243&lt;&gt;Constants!$B$4,"",IF(OR(NOT($AJ243),$BD243),0,Constants!$B$37))</f>
        <v/>
      </c>
      <c r="BZ243" s="74" t="str">
        <f aca="false">IF($BH243&lt;&gt;Constants!$B$4,"",SUM($BT243:$BY243))</f>
        <v/>
      </c>
      <c r="CA243" s="74" t="str">
        <f aca="false">IF(ISBLANK($C243),"",IF($BH243&lt;&gt;Constants!$B$4,$BH243,SUM($BK243:$BS243)-$BZ243))</f>
        <v/>
      </c>
      <c r="CB243" s="74" t="str">
        <f aca="false">IF(ISBLANK($C243),"",IF($BH243&lt;&gt;Constants!$B$4,$BH243,RANK($CA243,$CA$9:$CA$508)))</f>
        <v/>
      </c>
      <c r="CC243" s="74" t="str">
        <f aca="false">IF(ISBLANK($C243),"",IF($BH243&lt;&gt;Constants!$B$4,$BH243,COUNTIFS($BI$9:$BI$508,"&lt;"&amp;$BI243)+COUNTIFS($BI$9:$BI$508,$BI243,$CB$9:$CB$508,"&lt;"&amp;$CB243)+1))</f>
        <v/>
      </c>
      <c r="CD243" s="74" t="str">
        <f aca="false">IF(ISBLANK($C243),"",IF($BH243&lt;&gt;Constants!$B$4,$BH243,RANK($BZ243,$BZ$9:$BZ$508,1)))</f>
        <v/>
      </c>
      <c r="CE243" s="74" t="str">
        <f aca="false">IF($BH243&lt;&gt;Constants!$B$4,"",$AL243+$AM243+$AN243)</f>
        <v/>
      </c>
      <c r="CF243" s="74" t="str">
        <f aca="false">IF(ISBLANK($C243),"",IF($BH243&lt;&gt;Constants!$B$4,$BH243,RANK($CE243,$CE$9:$CE$508,1)))</f>
        <v/>
      </c>
      <c r="CG243" s="74" t="str">
        <f aca="false">IF(ISBLANK($C243),"",IF($BH243&lt;&gt;Constants!$B$4,$BH243,COUNTIFS($BI$9:$BI$508,"&lt;"&amp;$BI243)+COUNTIFS($BI$9:$BI$508,$BI243,$CB$9:$CB$508,"&lt;"&amp;$CB243)+COUNTIFS($BI$9:$BI$508,$BI243,$CB$9:$CB$508,$CB243,$CD$9:$CD$508,"&lt;"&amp;$CD243)+COUNTIFS($BI$9:$BI$508,$BI243,$CB$9:$CB$508,$CB243,$CD$9:$CD$508,$CD243,$CF$9:$CF$508,"&lt;"&amp;$CF243)+1))</f>
        <v/>
      </c>
      <c r="CH243" s="74" t="str">
        <f aca="false">IF(ISBLANK($C243),"",IF($BH243&lt;&gt;Constants!$B$4,$BH243,$CC243-$CG243))</f>
        <v/>
      </c>
      <c r="CI243" s="74" t="str">
        <f aca="false">IF(ISBLANK($C243),"",IF(NOT($AJ243),"",IF(ISBLANK($D$7),$CI$5,IF(NOT(ISNUMBER($D$7)),$CI$6,""))))</f>
        <v/>
      </c>
      <c r="CJ243" s="74" t="str">
        <f aca="false">IF(ISBLANK($C243),"",OR($AL243="",$AM243="",$AN243=""))</f>
        <v/>
      </c>
      <c r="CK243" s="74" t="str">
        <f aca="false">IF(ISBLANK($C243),"",AND($AJ243,$AX243=""))</f>
        <v/>
      </c>
      <c r="CL243" s="74" t="str">
        <f aca="false">IF(ISBLANK($C243),"",AND($AJ243,$AY243=""))</f>
        <v/>
      </c>
      <c r="CM243" s="74" t="str">
        <f aca="false">IF(ISBLANK($C243),"",AND($AJ243,$AZ243=""))</f>
        <v/>
      </c>
      <c r="CN243" s="74" t="str">
        <f aca="false">IF(ISBLANK($C243),"",AND($AJ243,$BC243=""))</f>
        <v/>
      </c>
      <c r="CO243" s="74" t="str">
        <f aca="false">IF(ISBLANK($C243),"",AND($AJ243,$BF243=""))</f>
        <v/>
      </c>
      <c r="CP243" s="75"/>
      <c r="CQ243" s="76"/>
      <c r="CR243" s="79" t="str">
        <f aca="false">IF(ISBLANK($C243),"",IF($BH243=Constants!$B$8,$CI243,""))</f>
        <v/>
      </c>
      <c r="CS243" s="76" t="str">
        <f aca="false">IF(ISBLANK($C243),"",IF($BH243&lt;&gt;Constants!$B$4,"",$BK243+$BL243))</f>
        <v/>
      </c>
      <c r="CT243" s="78" t="str">
        <f aca="false">IF(ISBLANK($C243),"",IF($BH243&lt;&gt;Constants!$B$4,"",$BM243+$BN243+$BO243))</f>
        <v/>
      </c>
      <c r="CU243" s="78" t="str">
        <f aca="false">IF(ISBLANK($C243),"",IF($BH243&lt;&gt;Constants!$B$4,"",$BP243))</f>
        <v/>
      </c>
      <c r="CV243" s="78" t="str">
        <f aca="false">IF(ISBLANK($C243),"",IF($BH243&lt;&gt;Constants!$B$4,"",$BQ243+$BR243))</f>
        <v/>
      </c>
      <c r="CW243" s="78" t="str">
        <f aca="false">IF(ISBLANK($C243),"",IF($BH243&lt;&gt;Constants!$B$4,"",$BS243))</f>
        <v/>
      </c>
      <c r="CX243" s="78" t="str">
        <f aca="false">IF(ISBLANK($C243),"",IF($BH243&lt;&gt;Constants!$B$4,"",-$BZ243))</f>
        <v/>
      </c>
      <c r="CY243" s="79" t="str">
        <f aca="false">IF(ISBLANK($C243),"",$CA243)</f>
        <v/>
      </c>
      <c r="CZ243" s="80" t="str">
        <f aca="false">IF(ISBLANK($C243),"",$BI243)</f>
        <v/>
      </c>
      <c r="DA243" s="78" t="str">
        <f aca="false">IF(ISBLANK($C243),"",$CH243)</f>
        <v/>
      </c>
      <c r="DB243" s="78" t="str">
        <f aca="false">IF(ISBLANK($C243),"",$CG243)</f>
        <v/>
      </c>
      <c r="DC243" s="81" t="str">
        <f aca="false">IF(ISBLANK($C243),"",IFERROR(_xlfn.SWITCH($DB243,Constants!$B$7,COUNTA($C$9:$C$508)+2,Constants!$B$6,COUNTA($C$9:$C$508)+1,Constants!$B$5,COUNTA($C$9:$C$508)),$DB243))</f>
        <v/>
      </c>
      <c r="DD243" s="7"/>
      <c r="DE243" s="82" t="n">
        <f aca="false">IF(OR(ISNUMBER($DB243),$DB243=Constants!$B$7,$DB243=Constants!$B$5,$DB243=Constants!$B$6),1,0)</f>
        <v>0</v>
      </c>
      <c r="DF243" s="82" t="n">
        <v>235</v>
      </c>
      <c r="DG243" s="82" t="str">
        <f aca="false">IF(ISBLANK($C243),"",IF(ISNUMBER($DC243),$DC243+ROW($B243)/1000,""))</f>
        <v/>
      </c>
      <c r="DH243" s="82" t="str">
        <f aca="false">IF(ISNUMBER($DG243),RANK($DG243,$DG$9:$DG$508,1),"")</f>
        <v/>
      </c>
      <c r="DI243" s="82" t="str">
        <f aca="false">IF(ISBLANK($C243),"",$B243)</f>
        <v/>
      </c>
      <c r="DJ243" s="82" t="str">
        <f aca="false">IF(ISBLANK($C243),"",$C243)</f>
        <v/>
      </c>
      <c r="DK243" s="82" t="str">
        <f aca="false">IF(ISBLANK($C243),"",$D243)</f>
        <v/>
      </c>
      <c r="DL243" s="83" t="str">
        <f aca="false">$CZ243</f>
        <v/>
      </c>
      <c r="DM243" s="84" t="str">
        <f aca="false">$CY243</f>
        <v/>
      </c>
      <c r="DN243" s="82" t="str">
        <f aca="false">IF(ISBLANK($C243),"",$DB243)</f>
        <v/>
      </c>
      <c r="DO243" s="85" t="str">
        <f aca="false">IF($DF243&gt;$DE$8,"",VLOOKUP($DF243,$DH$9:$DN$508,7,FALSE()))</f>
        <v/>
      </c>
      <c r="DP243" s="86" t="str">
        <f aca="false">IF($DF243&gt;$DE$8,"",VLOOKUP($DF243,$DH$9:$DN$508,2,FALSE()))</f>
        <v/>
      </c>
      <c r="DQ243" s="86" t="str">
        <f aca="false">IF($DF243&gt;$DE$8,"",VLOOKUP($DF243,$DH$9:$DN$508,3,FALSE()))</f>
        <v/>
      </c>
      <c r="DR243" s="86" t="str">
        <f aca="false">IF($DF243&gt;$DE$8,"",VLOOKUP($DF243,$DH$9:$DN$508,4,FALSE()))</f>
        <v/>
      </c>
      <c r="DS243" s="86" t="str">
        <f aca="false">IF($DF243&gt;$DE$8,"",VLOOKUP($DF243,$DH$9:$DN$508,5,FALSE()))</f>
        <v/>
      </c>
      <c r="DT243" s="87" t="str">
        <f aca="false">IF($DF243&gt;$DE$8,"",VLOOKUP($DF243,$DH$9:$DN$508,6,FALSE()))</f>
        <v/>
      </c>
      <c r="DU243" s="62"/>
    </row>
    <row r="244" customFormat="false" ht="15.75" hidden="false" customHeight="false" outlineLevel="0" collapsed="false">
      <c r="A244" s="7"/>
      <c r="B244" s="64"/>
      <c r="C244" s="65"/>
      <c r="D244" s="123"/>
      <c r="E244" s="88"/>
      <c r="F244" s="134"/>
      <c r="G244" s="88"/>
      <c r="H244" s="134"/>
      <c r="I244" s="119"/>
      <c r="J244" s="119"/>
      <c r="K244" s="119"/>
      <c r="L244" s="88"/>
      <c r="M244" s="88"/>
      <c r="N244" s="88"/>
      <c r="O244" s="134"/>
      <c r="P244" s="88"/>
      <c r="Q244" s="88"/>
      <c r="R244" s="88"/>
      <c r="S244" s="88"/>
      <c r="T244" s="134"/>
      <c r="U244" s="88"/>
      <c r="V244" s="70"/>
      <c r="W244" s="88"/>
      <c r="X244" s="88"/>
      <c r="Y244" s="70"/>
      <c r="Z244" s="70"/>
      <c r="AA244" s="88"/>
      <c r="AB244" s="88"/>
      <c r="AC244" s="71"/>
      <c r="AD244" s="88"/>
      <c r="AE244" s="73"/>
      <c r="AF244" s="74"/>
      <c r="AG244" s="74"/>
      <c r="AH244" s="74" t="str">
        <f aca="false">IF(ISBLANK($C244),"",IF($E244=Constants!$B$2,TRUE(),IF($E244=Constants!$B$3,FALSE(),TRUE())))</f>
        <v/>
      </c>
      <c r="AI244" s="74" t="str">
        <f aca="false">IF(ISBLANK($C244),"",IF($F244=Constants!$B$2,TRUE(),IF($F244=Constants!$B$3,FALSE(),FALSE())))</f>
        <v/>
      </c>
      <c r="AJ244" s="74" t="str">
        <f aca="false">IF(ISBLANK($C244),"",IF($G244=Constants!$B$2,TRUE(),IF($G244=Constants!$B$3,FALSE(),TRUE())))</f>
        <v/>
      </c>
      <c r="AK244" s="74" t="str">
        <f aca="false">IF(ISBLANK($C244),"",IF($H244=Constants!$B$2,TRUE(),IF($H244=Constants!$B$3,FALSE(),TRUE())))</f>
        <v/>
      </c>
      <c r="AL244" s="74" t="str">
        <f aca="false">IF(ISBLANK($C244),"",IF(ISNUMBER($I244),IF($I244&gt;=0,$I244,""),""))</f>
        <v/>
      </c>
      <c r="AM244" s="74" t="str">
        <f aca="false">IF(ISBLANK($C244),"",IF(ISNUMBER($J244),IF($J244&gt;=0,$J244,""),""))</f>
        <v/>
      </c>
      <c r="AN244" s="74" t="str">
        <f aca="false">IF(ISBLANK($C244),"",IF(ISNUMBER($K244),IF($K244&gt;=0,$K244,""),""))</f>
        <v/>
      </c>
      <c r="AO244" s="74" t="str">
        <f aca="false">IF(ISBLANK($C244),"",IF($L244=Constants!$B$2,TRUE(),IF($L244=Constants!$B$3,FALSE(),TRUE())))</f>
        <v/>
      </c>
      <c r="AP244" s="74" t="str">
        <f aca="false">IF(ISBLANK($C244),"",IF($M244=Constants!$B$2,TRUE(),IF($M244=Constants!$B$3,FALSE(),TRUE())))</f>
        <v/>
      </c>
      <c r="AQ244" s="74" t="str">
        <f aca="false">IF(ISBLANK($C244),"",IF($N244=Constants!$B$2,TRUE(),IF($N244=Constants!$B$3,FALSE(),FALSE())))</f>
        <v/>
      </c>
      <c r="AR244" s="74" t="str">
        <f aca="false">IF(ISBLANK($C244),"",IF($O244=Constants!$B$2,TRUE(),IF($O244=Constants!$B$3,FALSE(),TRUE())))</f>
        <v/>
      </c>
      <c r="AS244" s="74" t="str">
        <f aca="false">IF(ISBLANK($C244),"",IF($P244=Constants!$B$2,TRUE(),IF($P244=Constants!$B$3,FALSE(),FALSE())))</f>
        <v/>
      </c>
      <c r="AT244" s="74" t="str">
        <f aca="false">IF(ISBLANK($C244),"",IF($Q244=Constants!$B$2,TRUE(),IF($Q244=Constants!$B$3,FALSE(),FALSE())))</f>
        <v/>
      </c>
      <c r="AU244" s="74" t="str">
        <f aca="false">IF(ISBLANK($C244),"",IF($R244=Constants!$B$2,TRUE(),IF($R244=Constants!$B$3,FALSE(),FALSE())))</f>
        <v/>
      </c>
      <c r="AV244" s="74" t="str">
        <f aca="false">IF(ISBLANK($C244),"",IF($S244=Constants!$B$2,TRUE(),IF($S244=Constants!$B$3,FALSE(),FALSE())))</f>
        <v/>
      </c>
      <c r="AW244" s="74" t="str">
        <f aca="false">IF(ISBLANK($C244),"",IF($T244=Constants!$B$2,TRUE(),IF($T244=Constants!$B$3,FALSE(),FALSE())))</f>
        <v/>
      </c>
      <c r="AX244" s="74" t="str">
        <f aca="false">IF(ISBLANK($C244),"",IF(OR($U244&amp;""="1",$U244&amp;""="2",$U244&amp;""="3",$U244&amp;""="4"),VALUE($U244&amp;""),IF($U244=Constants!$B$12,Constants!$B$12,"")))</f>
        <v/>
      </c>
      <c r="AY244" s="74" t="str">
        <f aca="false">IF(ISBLANK($C244),"",IF(ISBLANK($V244),0,IF(ISNUMBER($V244),IF(AND($V244&gt;=0,$V244&lt;=Constants!$B$21,$V244=INT($V244)),$V244,""),"")))</f>
        <v/>
      </c>
      <c r="AZ244" s="74" t="str">
        <f aca="false">IF(ISBLANK($C244),"",IF(ISBLANK($W244),0,IF(ISNUMBER($W244),IF($W244&gt;=0,$W244,""),"")))</f>
        <v/>
      </c>
      <c r="BA244" s="74" t="str">
        <f aca="false">IF(ISBLANK($C244),"",IF($X244=Constants!$B$2,TRUE(),IF($X244=Constants!$B$3,FALSE(),TRUE())))</f>
        <v/>
      </c>
      <c r="BB244" s="74" t="str">
        <f aca="false">IF(ISBLANK($C244),"",IF($Y244=Constants!$B$2,TRUE(),IF($Y244=Constants!$B$3,FALSE(),FALSE())))</f>
        <v/>
      </c>
      <c r="BC244" s="74" t="str">
        <f aca="false">IF(ISBLANK($C244),"",IF(ISBLANK($Z244),0,IF(ISNUMBER($Z244),IF(AND($Z244&gt;=0,$Z244&lt;=Constants!$B$35,$Z244=INT($Z244)),$Z244,""),"")))</f>
        <v/>
      </c>
      <c r="BD244" s="74" t="str">
        <f aca="false">IF(ISBLANK($C244),"",IF($AA244=Constants!$B$2,TRUE(),IF($AA244=Constants!$B$3,FALSE(),TRUE())))</f>
        <v/>
      </c>
      <c r="BE244" s="74" t="str">
        <f aca="false">IF(ISBLANK($C244),"",IF($AB244=Constants!$B$2,TRUE(),IF($AB244=Constants!$B$3,FALSE(),TRUE())))</f>
        <v/>
      </c>
      <c r="BF244" s="74" t="str">
        <f aca="false">IF(ISBLANK($C244),"",IF(ISNUMBER($AC244),IF($AC244&gt;=0,$AC244,""),""))</f>
        <v/>
      </c>
      <c r="BG244" s="74" t="str">
        <f aca="false">IF(ISBLANK($C244),"",IF($AD244=Constants!$B$2,TRUE(),IF($AD244=Constants!$B$3,FALSE(),FALSE())))</f>
        <v/>
      </c>
      <c r="BH244" s="73" t="str">
        <f aca="false">IF(ISBLANK($C244),"",IF($BG244,Constants!$B$7,IF(COUNTA($E244:$AC244)=0,Constants!$B$6,IF(OR(COUNTA($G244:$AC244)=0,NOT($AK244),$AQ244),Constants!$B$5,IF(OR($CI244&lt;&gt;"",$CJ244,$CK244,$CL244,$CM244,$CN244,$CO244),Constants!$B$8,Constants!$B$4)))))</f>
        <v/>
      </c>
      <c r="BI244" s="74" t="str">
        <f aca="false">IF(ISBLANK($C244),"",IF($BH244&lt;&gt;Constants!$B$4,$BH244,IF(OR(NOT($AH244),NOT($AJ244),NOT($AR244)),Constants!$B$11,IF(OR(NOT($AP244),MAX($AL244,$AM244,$AN244)&gt;Constants!$B$30),Constants!$B$10,Constants!$B$9))))</f>
        <v/>
      </c>
      <c r="BJ244" s="74" t="str">
        <f aca="false">IF($BH244&lt;&gt;Constants!$B$4,"",IF(NOT($AJ244),0,MIN(Constants!$B$35,$BC244)))</f>
        <v/>
      </c>
      <c r="BK244" s="74" t="str">
        <f aca="false">IF($BH244&lt;&gt;Constants!$B$4,"",IF(NOT($AJ244),0,IF($AT244,Constants!$B$18,IF($AS244,Constants!$B$17,0))))</f>
        <v/>
      </c>
      <c r="BL244" s="74" t="str">
        <f aca="false">IF($BH244&lt;&gt;Constants!$B$4,"",IF(NOT($AJ244),0,Constants!$B$19*($AI244+$AU244+$AV244+$AW244)))</f>
        <v/>
      </c>
      <c r="BM244" s="74" t="str">
        <f aca="false">IF($BH244&lt;&gt;Constants!$B$4,"",IF(OR(NOT($AJ244),NOT(ISNUMBER($AX244))),0,CHOOSE($AX244,Constants!$B$13,Constants!$B$14,Constants!$B$15,Constants!$B$16)))</f>
        <v/>
      </c>
      <c r="BN244" s="74" t="str">
        <f aca="false">IF($BH244&lt;&gt;Constants!$B$4,"",IF(NOT($AJ244),0,Constants!$B$20*$AY244))</f>
        <v/>
      </c>
      <c r="BO244" s="74" t="str">
        <f aca="false">IF($BH244&lt;&gt;Constants!$B$4,"",IF(AND($AJ244,$BA244,$BB244),Constants!$B$22,0))</f>
        <v/>
      </c>
      <c r="BP244" s="74" t="str">
        <f aca="false">IF($BH244&lt;&gt;Constants!$B$4,"",IF(OR(NOT($AJ244),NOT($BA244)),0,IF($BF244&gt;=2*$AF$9,0,Constants!$B$23*INT(ROUND(MIN($BF244,$AF$9),6)))))</f>
        <v/>
      </c>
      <c r="BQ244" s="74" t="str">
        <f aca="false">IF($BH244&lt;&gt;Constants!$B$4,"",IF(NOT($AJ244),0,Constants!$B$24*INT(ROUND(MIN($AZ244,$AF$9),6))))</f>
        <v/>
      </c>
      <c r="BR244" s="74" t="str">
        <f aca="false">IF($BH244&lt;&gt;Constants!$B$4,"",IF(AND($AJ244,$BJ244=0),Constants!$B$25,0))</f>
        <v/>
      </c>
      <c r="BS244" s="74" t="str">
        <f aca="false">IF($BH244&lt;&gt;Constants!$B$4,"",MIN(Constants!$B$29,MAX(0,Constants!$B$27*Constants!$B$28*INT(ROUND((Constants!$B$26-$AL244)/Constants!$B$28,6))))+MIN(Constants!$B$29,MAX(0,Constants!$B$27*Constants!$B$28*INT(ROUND((Constants!$B$26-$AM244)/Constants!$B$28,6))))+MIN(Constants!$B$29,MAX(0,Constants!$B$27*Constants!$B$28*INT(ROUND((Constants!$B$26-$AN244)/Constants!$B$28,6)))))</f>
        <v/>
      </c>
      <c r="BT244" s="74" t="str">
        <f aca="false">IF($BH244&lt;&gt;Constants!$B$4,"",IF(NOT($AJ244),0,Constants!$B$31*INT(ROUND(MAX(0,MIN($BF244,2*$AF$9)-$AF$9),6))))</f>
        <v/>
      </c>
      <c r="BU244" s="74" t="str">
        <f aca="false">IF($BH244&lt;&gt;Constants!$B$4,"",Constants!$B$32*(($AL244&gt;Constants!$B$26)+($AM244&gt;Constants!$B$26)+($AN244&gt;Constants!$B$26)))</f>
        <v/>
      </c>
      <c r="BV244" s="74" t="str">
        <f aca="false">IF($BH244&lt;&gt;Constants!$B$4,"",IF(OR(NOT($AJ244),$AO244),0,Constants!$B$33))</f>
        <v/>
      </c>
      <c r="BW244" s="74" t="str">
        <f aca="false">IF($BH244&lt;&gt;Constants!$B$4,"",Constants!$B$34*$BJ244)</f>
        <v/>
      </c>
      <c r="BX244" s="74" t="str">
        <f aca="false">IF($BH244&lt;&gt;Constants!$B$4,"",IF(OR(NOT($AJ244),$BE244),0,Constants!$B$36))</f>
        <v/>
      </c>
      <c r="BY244" s="74" t="str">
        <f aca="false">IF($BH244&lt;&gt;Constants!$B$4,"",IF(OR(NOT($AJ244),$BD244),0,Constants!$B$37))</f>
        <v/>
      </c>
      <c r="BZ244" s="74" t="str">
        <f aca="false">IF($BH244&lt;&gt;Constants!$B$4,"",SUM($BT244:$BY244))</f>
        <v/>
      </c>
      <c r="CA244" s="74" t="str">
        <f aca="false">IF(ISBLANK($C244),"",IF($BH244&lt;&gt;Constants!$B$4,$BH244,SUM($BK244:$BS244)-$BZ244))</f>
        <v/>
      </c>
      <c r="CB244" s="74" t="str">
        <f aca="false">IF(ISBLANK($C244),"",IF($BH244&lt;&gt;Constants!$B$4,$BH244,RANK($CA244,$CA$9:$CA$508)))</f>
        <v/>
      </c>
      <c r="CC244" s="74" t="str">
        <f aca="false">IF(ISBLANK($C244),"",IF($BH244&lt;&gt;Constants!$B$4,$BH244,COUNTIFS($BI$9:$BI$508,"&lt;"&amp;$BI244)+COUNTIFS($BI$9:$BI$508,$BI244,$CB$9:$CB$508,"&lt;"&amp;$CB244)+1))</f>
        <v/>
      </c>
      <c r="CD244" s="74" t="str">
        <f aca="false">IF(ISBLANK($C244),"",IF($BH244&lt;&gt;Constants!$B$4,$BH244,RANK($BZ244,$BZ$9:$BZ$508,1)))</f>
        <v/>
      </c>
      <c r="CE244" s="74" t="str">
        <f aca="false">IF($BH244&lt;&gt;Constants!$B$4,"",$AL244+$AM244+$AN244)</f>
        <v/>
      </c>
      <c r="CF244" s="74" t="str">
        <f aca="false">IF(ISBLANK($C244),"",IF($BH244&lt;&gt;Constants!$B$4,$BH244,RANK($CE244,$CE$9:$CE$508,1)))</f>
        <v/>
      </c>
      <c r="CG244" s="74" t="str">
        <f aca="false">IF(ISBLANK($C244),"",IF($BH244&lt;&gt;Constants!$B$4,$BH244,COUNTIFS($BI$9:$BI$508,"&lt;"&amp;$BI244)+COUNTIFS($BI$9:$BI$508,$BI244,$CB$9:$CB$508,"&lt;"&amp;$CB244)+COUNTIFS($BI$9:$BI$508,$BI244,$CB$9:$CB$508,$CB244,$CD$9:$CD$508,"&lt;"&amp;$CD244)+COUNTIFS($BI$9:$BI$508,$BI244,$CB$9:$CB$508,$CB244,$CD$9:$CD$508,$CD244,$CF$9:$CF$508,"&lt;"&amp;$CF244)+1))</f>
        <v/>
      </c>
      <c r="CH244" s="74" t="str">
        <f aca="false">IF(ISBLANK($C244),"",IF($BH244&lt;&gt;Constants!$B$4,$BH244,$CC244-$CG244))</f>
        <v/>
      </c>
      <c r="CI244" s="74" t="str">
        <f aca="false">IF(ISBLANK($C244),"",IF(NOT($AJ244),"",IF(ISBLANK($D$7),$CI$5,IF(NOT(ISNUMBER($D$7)),$CI$6,""))))</f>
        <v/>
      </c>
      <c r="CJ244" s="74" t="str">
        <f aca="false">IF(ISBLANK($C244),"",OR($AL244="",$AM244="",$AN244=""))</f>
        <v/>
      </c>
      <c r="CK244" s="74" t="str">
        <f aca="false">IF(ISBLANK($C244),"",AND($AJ244,$AX244=""))</f>
        <v/>
      </c>
      <c r="CL244" s="74" t="str">
        <f aca="false">IF(ISBLANK($C244),"",AND($AJ244,$AY244=""))</f>
        <v/>
      </c>
      <c r="CM244" s="74" t="str">
        <f aca="false">IF(ISBLANK($C244),"",AND($AJ244,$AZ244=""))</f>
        <v/>
      </c>
      <c r="CN244" s="74" t="str">
        <f aca="false">IF(ISBLANK($C244),"",AND($AJ244,$BC244=""))</f>
        <v/>
      </c>
      <c r="CO244" s="74" t="str">
        <f aca="false">IF(ISBLANK($C244),"",AND($AJ244,$BF244=""))</f>
        <v/>
      </c>
      <c r="CP244" s="75"/>
      <c r="CQ244" s="76"/>
      <c r="CR244" s="79" t="str">
        <f aca="false">IF(ISBLANK($C244),"",IF($BH244=Constants!$B$8,$CI244,""))</f>
        <v/>
      </c>
      <c r="CS244" s="76" t="str">
        <f aca="false">IF(ISBLANK($C244),"",IF($BH244&lt;&gt;Constants!$B$4,"",$BK244+$BL244))</f>
        <v/>
      </c>
      <c r="CT244" s="78" t="str">
        <f aca="false">IF(ISBLANK($C244),"",IF($BH244&lt;&gt;Constants!$B$4,"",$BM244+$BN244+$BO244))</f>
        <v/>
      </c>
      <c r="CU244" s="78" t="str">
        <f aca="false">IF(ISBLANK($C244),"",IF($BH244&lt;&gt;Constants!$B$4,"",$BP244))</f>
        <v/>
      </c>
      <c r="CV244" s="78" t="str">
        <f aca="false">IF(ISBLANK($C244),"",IF($BH244&lt;&gt;Constants!$B$4,"",$BQ244+$BR244))</f>
        <v/>
      </c>
      <c r="CW244" s="78" t="str">
        <f aca="false">IF(ISBLANK($C244),"",IF($BH244&lt;&gt;Constants!$B$4,"",$BS244))</f>
        <v/>
      </c>
      <c r="CX244" s="78" t="str">
        <f aca="false">IF(ISBLANK($C244),"",IF($BH244&lt;&gt;Constants!$B$4,"",-$BZ244))</f>
        <v/>
      </c>
      <c r="CY244" s="79" t="str">
        <f aca="false">IF(ISBLANK($C244),"",$CA244)</f>
        <v/>
      </c>
      <c r="CZ244" s="80" t="str">
        <f aca="false">IF(ISBLANK($C244),"",$BI244)</f>
        <v/>
      </c>
      <c r="DA244" s="78" t="str">
        <f aca="false">IF(ISBLANK($C244),"",$CH244)</f>
        <v/>
      </c>
      <c r="DB244" s="78" t="str">
        <f aca="false">IF(ISBLANK($C244),"",$CG244)</f>
        <v/>
      </c>
      <c r="DC244" s="81" t="str">
        <f aca="false">IF(ISBLANK($C244),"",IFERROR(_xlfn.SWITCH($DB244,Constants!$B$7,COUNTA($C$9:$C$508)+2,Constants!$B$6,COUNTA($C$9:$C$508)+1,Constants!$B$5,COUNTA($C$9:$C$508)),$DB244))</f>
        <v/>
      </c>
      <c r="DD244" s="7"/>
      <c r="DE244" s="82" t="n">
        <f aca="false">IF(OR(ISNUMBER($DB244),$DB244=Constants!$B$7,$DB244=Constants!$B$5,$DB244=Constants!$B$6),1,0)</f>
        <v>0</v>
      </c>
      <c r="DF244" s="82" t="n">
        <v>236</v>
      </c>
      <c r="DG244" s="82" t="str">
        <f aca="false">IF(ISBLANK($C244),"",IF(ISNUMBER($DC244),$DC244+ROW($B244)/1000,""))</f>
        <v/>
      </c>
      <c r="DH244" s="82" t="str">
        <f aca="false">IF(ISNUMBER($DG244),RANK($DG244,$DG$9:$DG$508,1),"")</f>
        <v/>
      </c>
      <c r="DI244" s="82" t="str">
        <f aca="false">IF(ISBLANK($C244),"",$B244)</f>
        <v/>
      </c>
      <c r="DJ244" s="82" t="str">
        <f aca="false">IF(ISBLANK($C244),"",$C244)</f>
        <v/>
      </c>
      <c r="DK244" s="82" t="str">
        <f aca="false">IF(ISBLANK($C244),"",$D244)</f>
        <v/>
      </c>
      <c r="DL244" s="83" t="str">
        <f aca="false">$CZ244</f>
        <v/>
      </c>
      <c r="DM244" s="84" t="str">
        <f aca="false">$CY244</f>
        <v/>
      </c>
      <c r="DN244" s="82" t="str">
        <f aca="false">IF(ISBLANK($C244),"",$DB244)</f>
        <v/>
      </c>
      <c r="DO244" s="85" t="str">
        <f aca="false">IF($DF244&gt;$DE$8,"",VLOOKUP($DF244,$DH$9:$DN$508,7,FALSE()))</f>
        <v/>
      </c>
      <c r="DP244" s="86" t="str">
        <f aca="false">IF($DF244&gt;$DE$8,"",VLOOKUP($DF244,$DH$9:$DN$508,2,FALSE()))</f>
        <v/>
      </c>
      <c r="DQ244" s="86" t="str">
        <f aca="false">IF($DF244&gt;$DE$8,"",VLOOKUP($DF244,$DH$9:$DN$508,3,FALSE()))</f>
        <v/>
      </c>
      <c r="DR244" s="86" t="str">
        <f aca="false">IF($DF244&gt;$DE$8,"",VLOOKUP($DF244,$DH$9:$DN$508,4,FALSE()))</f>
        <v/>
      </c>
      <c r="DS244" s="86" t="str">
        <f aca="false">IF($DF244&gt;$DE$8,"",VLOOKUP($DF244,$DH$9:$DN$508,5,FALSE()))</f>
        <v/>
      </c>
      <c r="DT244" s="87" t="str">
        <f aca="false">IF($DF244&gt;$DE$8,"",VLOOKUP($DF244,$DH$9:$DN$508,6,FALSE()))</f>
        <v/>
      </c>
      <c r="DU244" s="62"/>
    </row>
    <row r="245" customFormat="false" ht="15.75" hidden="false" customHeight="false" outlineLevel="0" collapsed="false">
      <c r="A245" s="7"/>
      <c r="B245" s="64"/>
      <c r="C245" s="65"/>
      <c r="D245" s="123"/>
      <c r="E245" s="88"/>
      <c r="F245" s="134"/>
      <c r="G245" s="88"/>
      <c r="H245" s="134"/>
      <c r="I245" s="119"/>
      <c r="J245" s="119"/>
      <c r="K245" s="119"/>
      <c r="L245" s="88"/>
      <c r="M245" s="88"/>
      <c r="N245" s="88"/>
      <c r="O245" s="134"/>
      <c r="P245" s="88"/>
      <c r="Q245" s="88"/>
      <c r="R245" s="88"/>
      <c r="S245" s="88"/>
      <c r="T245" s="134"/>
      <c r="U245" s="88"/>
      <c r="V245" s="70"/>
      <c r="W245" s="88"/>
      <c r="X245" s="88"/>
      <c r="Y245" s="70"/>
      <c r="Z245" s="70"/>
      <c r="AA245" s="88"/>
      <c r="AB245" s="88"/>
      <c r="AC245" s="71"/>
      <c r="AD245" s="88"/>
      <c r="AE245" s="73"/>
      <c r="AF245" s="74"/>
      <c r="AG245" s="74"/>
      <c r="AH245" s="74" t="str">
        <f aca="false">IF(ISBLANK($C245),"",IF($E245=Constants!$B$2,TRUE(),IF($E245=Constants!$B$3,FALSE(),TRUE())))</f>
        <v/>
      </c>
      <c r="AI245" s="74" t="str">
        <f aca="false">IF(ISBLANK($C245),"",IF($F245=Constants!$B$2,TRUE(),IF($F245=Constants!$B$3,FALSE(),FALSE())))</f>
        <v/>
      </c>
      <c r="AJ245" s="74" t="str">
        <f aca="false">IF(ISBLANK($C245),"",IF($G245=Constants!$B$2,TRUE(),IF($G245=Constants!$B$3,FALSE(),TRUE())))</f>
        <v/>
      </c>
      <c r="AK245" s="74" t="str">
        <f aca="false">IF(ISBLANK($C245),"",IF($H245=Constants!$B$2,TRUE(),IF($H245=Constants!$B$3,FALSE(),TRUE())))</f>
        <v/>
      </c>
      <c r="AL245" s="74" t="str">
        <f aca="false">IF(ISBLANK($C245),"",IF(ISNUMBER($I245),IF($I245&gt;=0,$I245,""),""))</f>
        <v/>
      </c>
      <c r="AM245" s="74" t="str">
        <f aca="false">IF(ISBLANK($C245),"",IF(ISNUMBER($J245),IF($J245&gt;=0,$J245,""),""))</f>
        <v/>
      </c>
      <c r="AN245" s="74" t="str">
        <f aca="false">IF(ISBLANK($C245),"",IF(ISNUMBER($K245),IF($K245&gt;=0,$K245,""),""))</f>
        <v/>
      </c>
      <c r="AO245" s="74" t="str">
        <f aca="false">IF(ISBLANK($C245),"",IF($L245=Constants!$B$2,TRUE(),IF($L245=Constants!$B$3,FALSE(),TRUE())))</f>
        <v/>
      </c>
      <c r="AP245" s="74" t="str">
        <f aca="false">IF(ISBLANK($C245),"",IF($M245=Constants!$B$2,TRUE(),IF($M245=Constants!$B$3,FALSE(),TRUE())))</f>
        <v/>
      </c>
      <c r="AQ245" s="74" t="str">
        <f aca="false">IF(ISBLANK($C245),"",IF($N245=Constants!$B$2,TRUE(),IF($N245=Constants!$B$3,FALSE(),FALSE())))</f>
        <v/>
      </c>
      <c r="AR245" s="74" t="str">
        <f aca="false">IF(ISBLANK($C245),"",IF($O245=Constants!$B$2,TRUE(),IF($O245=Constants!$B$3,FALSE(),TRUE())))</f>
        <v/>
      </c>
      <c r="AS245" s="74" t="str">
        <f aca="false">IF(ISBLANK($C245),"",IF($P245=Constants!$B$2,TRUE(),IF($P245=Constants!$B$3,FALSE(),FALSE())))</f>
        <v/>
      </c>
      <c r="AT245" s="74" t="str">
        <f aca="false">IF(ISBLANK($C245),"",IF($Q245=Constants!$B$2,TRUE(),IF($Q245=Constants!$B$3,FALSE(),FALSE())))</f>
        <v/>
      </c>
      <c r="AU245" s="74" t="str">
        <f aca="false">IF(ISBLANK($C245),"",IF($R245=Constants!$B$2,TRUE(),IF($R245=Constants!$B$3,FALSE(),FALSE())))</f>
        <v/>
      </c>
      <c r="AV245" s="74" t="str">
        <f aca="false">IF(ISBLANK($C245),"",IF($S245=Constants!$B$2,TRUE(),IF($S245=Constants!$B$3,FALSE(),FALSE())))</f>
        <v/>
      </c>
      <c r="AW245" s="74" t="str">
        <f aca="false">IF(ISBLANK($C245),"",IF($T245=Constants!$B$2,TRUE(),IF($T245=Constants!$B$3,FALSE(),FALSE())))</f>
        <v/>
      </c>
      <c r="AX245" s="74" t="str">
        <f aca="false">IF(ISBLANK($C245),"",IF(OR($U245&amp;""="1",$U245&amp;""="2",$U245&amp;""="3",$U245&amp;""="4"),VALUE($U245&amp;""),IF($U245=Constants!$B$12,Constants!$B$12,"")))</f>
        <v/>
      </c>
      <c r="AY245" s="74" t="str">
        <f aca="false">IF(ISBLANK($C245),"",IF(ISBLANK($V245),0,IF(ISNUMBER($V245),IF(AND($V245&gt;=0,$V245&lt;=Constants!$B$21,$V245=INT($V245)),$V245,""),"")))</f>
        <v/>
      </c>
      <c r="AZ245" s="74" t="str">
        <f aca="false">IF(ISBLANK($C245),"",IF(ISBLANK($W245),0,IF(ISNUMBER($W245),IF($W245&gt;=0,$W245,""),"")))</f>
        <v/>
      </c>
      <c r="BA245" s="74" t="str">
        <f aca="false">IF(ISBLANK($C245),"",IF($X245=Constants!$B$2,TRUE(),IF($X245=Constants!$B$3,FALSE(),TRUE())))</f>
        <v/>
      </c>
      <c r="BB245" s="74" t="str">
        <f aca="false">IF(ISBLANK($C245),"",IF($Y245=Constants!$B$2,TRUE(),IF($Y245=Constants!$B$3,FALSE(),FALSE())))</f>
        <v/>
      </c>
      <c r="BC245" s="74" t="str">
        <f aca="false">IF(ISBLANK($C245),"",IF(ISBLANK($Z245),0,IF(ISNUMBER($Z245),IF(AND($Z245&gt;=0,$Z245&lt;=Constants!$B$35,$Z245=INT($Z245)),$Z245,""),"")))</f>
        <v/>
      </c>
      <c r="BD245" s="74" t="str">
        <f aca="false">IF(ISBLANK($C245),"",IF($AA245=Constants!$B$2,TRUE(),IF($AA245=Constants!$B$3,FALSE(),TRUE())))</f>
        <v/>
      </c>
      <c r="BE245" s="74" t="str">
        <f aca="false">IF(ISBLANK($C245),"",IF($AB245=Constants!$B$2,TRUE(),IF($AB245=Constants!$B$3,FALSE(),TRUE())))</f>
        <v/>
      </c>
      <c r="BF245" s="74" t="str">
        <f aca="false">IF(ISBLANK($C245),"",IF(ISNUMBER($AC245),IF($AC245&gt;=0,$AC245,""),""))</f>
        <v/>
      </c>
      <c r="BG245" s="74" t="str">
        <f aca="false">IF(ISBLANK($C245),"",IF($AD245=Constants!$B$2,TRUE(),IF($AD245=Constants!$B$3,FALSE(),FALSE())))</f>
        <v/>
      </c>
      <c r="BH245" s="73" t="str">
        <f aca="false">IF(ISBLANK($C245),"",IF($BG245,Constants!$B$7,IF(COUNTA($E245:$AC245)=0,Constants!$B$6,IF(OR(COUNTA($G245:$AC245)=0,NOT($AK245),$AQ245),Constants!$B$5,IF(OR($CI245&lt;&gt;"",$CJ245,$CK245,$CL245,$CM245,$CN245,$CO245),Constants!$B$8,Constants!$B$4)))))</f>
        <v/>
      </c>
      <c r="BI245" s="74" t="str">
        <f aca="false">IF(ISBLANK($C245),"",IF($BH245&lt;&gt;Constants!$B$4,$BH245,IF(OR(NOT($AH245),NOT($AJ245),NOT($AR245)),Constants!$B$11,IF(OR(NOT($AP245),MAX($AL245,$AM245,$AN245)&gt;Constants!$B$30),Constants!$B$10,Constants!$B$9))))</f>
        <v/>
      </c>
      <c r="BJ245" s="74" t="str">
        <f aca="false">IF($BH245&lt;&gt;Constants!$B$4,"",IF(NOT($AJ245),0,MIN(Constants!$B$35,$BC245)))</f>
        <v/>
      </c>
      <c r="BK245" s="74" t="str">
        <f aca="false">IF($BH245&lt;&gt;Constants!$B$4,"",IF(NOT($AJ245),0,IF($AT245,Constants!$B$18,IF($AS245,Constants!$B$17,0))))</f>
        <v/>
      </c>
      <c r="BL245" s="74" t="str">
        <f aca="false">IF($BH245&lt;&gt;Constants!$B$4,"",IF(NOT($AJ245),0,Constants!$B$19*($AI245+$AU245+$AV245+$AW245)))</f>
        <v/>
      </c>
      <c r="BM245" s="74" t="str">
        <f aca="false">IF($BH245&lt;&gt;Constants!$B$4,"",IF(OR(NOT($AJ245),NOT(ISNUMBER($AX245))),0,CHOOSE($AX245,Constants!$B$13,Constants!$B$14,Constants!$B$15,Constants!$B$16)))</f>
        <v/>
      </c>
      <c r="BN245" s="74" t="str">
        <f aca="false">IF($BH245&lt;&gt;Constants!$B$4,"",IF(NOT($AJ245),0,Constants!$B$20*$AY245))</f>
        <v/>
      </c>
      <c r="BO245" s="74" t="str">
        <f aca="false">IF($BH245&lt;&gt;Constants!$B$4,"",IF(AND($AJ245,$BA245,$BB245),Constants!$B$22,0))</f>
        <v/>
      </c>
      <c r="BP245" s="74" t="str">
        <f aca="false">IF($BH245&lt;&gt;Constants!$B$4,"",IF(OR(NOT($AJ245),NOT($BA245)),0,IF($BF245&gt;=2*$AF$9,0,Constants!$B$23*INT(ROUND(MIN($BF245,$AF$9),6)))))</f>
        <v/>
      </c>
      <c r="BQ245" s="74" t="str">
        <f aca="false">IF($BH245&lt;&gt;Constants!$B$4,"",IF(NOT($AJ245),0,Constants!$B$24*INT(ROUND(MIN($AZ245,$AF$9),6))))</f>
        <v/>
      </c>
      <c r="BR245" s="74" t="str">
        <f aca="false">IF($BH245&lt;&gt;Constants!$B$4,"",IF(AND($AJ245,$BJ245=0),Constants!$B$25,0))</f>
        <v/>
      </c>
      <c r="BS245" s="74" t="str">
        <f aca="false">IF($BH245&lt;&gt;Constants!$B$4,"",MIN(Constants!$B$29,MAX(0,Constants!$B$27*Constants!$B$28*INT(ROUND((Constants!$B$26-$AL245)/Constants!$B$28,6))))+MIN(Constants!$B$29,MAX(0,Constants!$B$27*Constants!$B$28*INT(ROUND((Constants!$B$26-$AM245)/Constants!$B$28,6))))+MIN(Constants!$B$29,MAX(0,Constants!$B$27*Constants!$B$28*INT(ROUND((Constants!$B$26-$AN245)/Constants!$B$28,6)))))</f>
        <v/>
      </c>
      <c r="BT245" s="74" t="str">
        <f aca="false">IF($BH245&lt;&gt;Constants!$B$4,"",IF(NOT($AJ245),0,Constants!$B$31*INT(ROUND(MAX(0,MIN($BF245,2*$AF$9)-$AF$9),6))))</f>
        <v/>
      </c>
      <c r="BU245" s="74" t="str">
        <f aca="false">IF($BH245&lt;&gt;Constants!$B$4,"",Constants!$B$32*(($AL245&gt;Constants!$B$26)+($AM245&gt;Constants!$B$26)+($AN245&gt;Constants!$B$26)))</f>
        <v/>
      </c>
      <c r="BV245" s="74" t="str">
        <f aca="false">IF($BH245&lt;&gt;Constants!$B$4,"",IF(OR(NOT($AJ245),$AO245),0,Constants!$B$33))</f>
        <v/>
      </c>
      <c r="BW245" s="74" t="str">
        <f aca="false">IF($BH245&lt;&gt;Constants!$B$4,"",Constants!$B$34*$BJ245)</f>
        <v/>
      </c>
      <c r="BX245" s="74" t="str">
        <f aca="false">IF($BH245&lt;&gt;Constants!$B$4,"",IF(OR(NOT($AJ245),$BE245),0,Constants!$B$36))</f>
        <v/>
      </c>
      <c r="BY245" s="74" t="str">
        <f aca="false">IF($BH245&lt;&gt;Constants!$B$4,"",IF(OR(NOT($AJ245),$BD245),0,Constants!$B$37))</f>
        <v/>
      </c>
      <c r="BZ245" s="74" t="str">
        <f aca="false">IF($BH245&lt;&gt;Constants!$B$4,"",SUM($BT245:$BY245))</f>
        <v/>
      </c>
      <c r="CA245" s="74" t="str">
        <f aca="false">IF(ISBLANK($C245),"",IF($BH245&lt;&gt;Constants!$B$4,$BH245,SUM($BK245:$BS245)-$BZ245))</f>
        <v/>
      </c>
      <c r="CB245" s="74" t="str">
        <f aca="false">IF(ISBLANK($C245),"",IF($BH245&lt;&gt;Constants!$B$4,$BH245,RANK($CA245,$CA$9:$CA$508)))</f>
        <v/>
      </c>
      <c r="CC245" s="74" t="str">
        <f aca="false">IF(ISBLANK($C245),"",IF($BH245&lt;&gt;Constants!$B$4,$BH245,COUNTIFS($BI$9:$BI$508,"&lt;"&amp;$BI245)+COUNTIFS($BI$9:$BI$508,$BI245,$CB$9:$CB$508,"&lt;"&amp;$CB245)+1))</f>
        <v/>
      </c>
      <c r="CD245" s="74" t="str">
        <f aca="false">IF(ISBLANK($C245),"",IF($BH245&lt;&gt;Constants!$B$4,$BH245,RANK($BZ245,$BZ$9:$BZ$508,1)))</f>
        <v/>
      </c>
      <c r="CE245" s="74" t="str">
        <f aca="false">IF($BH245&lt;&gt;Constants!$B$4,"",$AL245+$AM245+$AN245)</f>
        <v/>
      </c>
      <c r="CF245" s="74" t="str">
        <f aca="false">IF(ISBLANK($C245),"",IF($BH245&lt;&gt;Constants!$B$4,$BH245,RANK($CE245,$CE$9:$CE$508,1)))</f>
        <v/>
      </c>
      <c r="CG245" s="74" t="str">
        <f aca="false">IF(ISBLANK($C245),"",IF($BH245&lt;&gt;Constants!$B$4,$BH245,COUNTIFS($BI$9:$BI$508,"&lt;"&amp;$BI245)+COUNTIFS($BI$9:$BI$508,$BI245,$CB$9:$CB$508,"&lt;"&amp;$CB245)+COUNTIFS($BI$9:$BI$508,$BI245,$CB$9:$CB$508,$CB245,$CD$9:$CD$508,"&lt;"&amp;$CD245)+COUNTIFS($BI$9:$BI$508,$BI245,$CB$9:$CB$508,$CB245,$CD$9:$CD$508,$CD245,$CF$9:$CF$508,"&lt;"&amp;$CF245)+1))</f>
        <v/>
      </c>
      <c r="CH245" s="74" t="str">
        <f aca="false">IF(ISBLANK($C245),"",IF($BH245&lt;&gt;Constants!$B$4,$BH245,$CC245-$CG245))</f>
        <v/>
      </c>
      <c r="CI245" s="74" t="str">
        <f aca="false">IF(ISBLANK($C245),"",IF(NOT($AJ245),"",IF(ISBLANK($D$7),$CI$5,IF(NOT(ISNUMBER($D$7)),$CI$6,""))))</f>
        <v/>
      </c>
      <c r="CJ245" s="74" t="str">
        <f aca="false">IF(ISBLANK($C245),"",OR($AL245="",$AM245="",$AN245=""))</f>
        <v/>
      </c>
      <c r="CK245" s="74" t="str">
        <f aca="false">IF(ISBLANK($C245),"",AND($AJ245,$AX245=""))</f>
        <v/>
      </c>
      <c r="CL245" s="74" t="str">
        <f aca="false">IF(ISBLANK($C245),"",AND($AJ245,$AY245=""))</f>
        <v/>
      </c>
      <c r="CM245" s="74" t="str">
        <f aca="false">IF(ISBLANK($C245),"",AND($AJ245,$AZ245=""))</f>
        <v/>
      </c>
      <c r="CN245" s="74" t="str">
        <f aca="false">IF(ISBLANK($C245),"",AND($AJ245,$BC245=""))</f>
        <v/>
      </c>
      <c r="CO245" s="74" t="str">
        <f aca="false">IF(ISBLANK($C245),"",AND($AJ245,$BF245=""))</f>
        <v/>
      </c>
      <c r="CP245" s="75"/>
      <c r="CQ245" s="76"/>
      <c r="CR245" s="79" t="str">
        <f aca="false">IF(ISBLANK($C245),"",IF($BH245=Constants!$B$8,$CI245,""))</f>
        <v/>
      </c>
      <c r="CS245" s="76" t="str">
        <f aca="false">IF(ISBLANK($C245),"",IF($BH245&lt;&gt;Constants!$B$4,"",$BK245+$BL245))</f>
        <v/>
      </c>
      <c r="CT245" s="78" t="str">
        <f aca="false">IF(ISBLANK($C245),"",IF($BH245&lt;&gt;Constants!$B$4,"",$BM245+$BN245+$BO245))</f>
        <v/>
      </c>
      <c r="CU245" s="78" t="str">
        <f aca="false">IF(ISBLANK($C245),"",IF($BH245&lt;&gt;Constants!$B$4,"",$BP245))</f>
        <v/>
      </c>
      <c r="CV245" s="78" t="str">
        <f aca="false">IF(ISBLANK($C245),"",IF($BH245&lt;&gt;Constants!$B$4,"",$BQ245+$BR245))</f>
        <v/>
      </c>
      <c r="CW245" s="78" t="str">
        <f aca="false">IF(ISBLANK($C245),"",IF($BH245&lt;&gt;Constants!$B$4,"",$BS245))</f>
        <v/>
      </c>
      <c r="CX245" s="78" t="str">
        <f aca="false">IF(ISBLANK($C245),"",IF($BH245&lt;&gt;Constants!$B$4,"",-$BZ245))</f>
        <v/>
      </c>
      <c r="CY245" s="79" t="str">
        <f aca="false">IF(ISBLANK($C245),"",$CA245)</f>
        <v/>
      </c>
      <c r="CZ245" s="80" t="str">
        <f aca="false">IF(ISBLANK($C245),"",$BI245)</f>
        <v/>
      </c>
      <c r="DA245" s="78" t="str">
        <f aca="false">IF(ISBLANK($C245),"",$CH245)</f>
        <v/>
      </c>
      <c r="DB245" s="78" t="str">
        <f aca="false">IF(ISBLANK($C245),"",$CG245)</f>
        <v/>
      </c>
      <c r="DC245" s="81" t="str">
        <f aca="false">IF(ISBLANK($C245),"",IFERROR(_xlfn.SWITCH($DB245,Constants!$B$7,COUNTA($C$9:$C$508)+2,Constants!$B$6,COUNTA($C$9:$C$508)+1,Constants!$B$5,COUNTA($C$9:$C$508)),$DB245))</f>
        <v/>
      </c>
      <c r="DD245" s="7"/>
      <c r="DE245" s="82" t="n">
        <f aca="false">IF(OR(ISNUMBER($DB245),$DB245=Constants!$B$7,$DB245=Constants!$B$5,$DB245=Constants!$B$6),1,0)</f>
        <v>0</v>
      </c>
      <c r="DF245" s="82" t="n">
        <v>237</v>
      </c>
      <c r="DG245" s="82" t="str">
        <f aca="false">IF(ISBLANK($C245),"",IF(ISNUMBER($DC245),$DC245+ROW($B245)/1000,""))</f>
        <v/>
      </c>
      <c r="DH245" s="82" t="str">
        <f aca="false">IF(ISNUMBER($DG245),RANK($DG245,$DG$9:$DG$508,1),"")</f>
        <v/>
      </c>
      <c r="DI245" s="82" t="str">
        <f aca="false">IF(ISBLANK($C245),"",$B245)</f>
        <v/>
      </c>
      <c r="DJ245" s="82" t="str">
        <f aca="false">IF(ISBLANK($C245),"",$C245)</f>
        <v/>
      </c>
      <c r="DK245" s="82" t="str">
        <f aca="false">IF(ISBLANK($C245),"",$D245)</f>
        <v/>
      </c>
      <c r="DL245" s="83" t="str">
        <f aca="false">$CZ245</f>
        <v/>
      </c>
      <c r="DM245" s="84" t="str">
        <f aca="false">$CY245</f>
        <v/>
      </c>
      <c r="DN245" s="82" t="str">
        <f aca="false">IF(ISBLANK($C245),"",$DB245)</f>
        <v/>
      </c>
      <c r="DO245" s="85" t="str">
        <f aca="false">IF($DF245&gt;$DE$8,"",VLOOKUP($DF245,$DH$9:$DN$508,7,FALSE()))</f>
        <v/>
      </c>
      <c r="DP245" s="86" t="str">
        <f aca="false">IF($DF245&gt;$DE$8,"",VLOOKUP($DF245,$DH$9:$DN$508,2,FALSE()))</f>
        <v/>
      </c>
      <c r="DQ245" s="86" t="str">
        <f aca="false">IF($DF245&gt;$DE$8,"",VLOOKUP($DF245,$DH$9:$DN$508,3,FALSE()))</f>
        <v/>
      </c>
      <c r="DR245" s="86" t="str">
        <f aca="false">IF($DF245&gt;$DE$8,"",VLOOKUP($DF245,$DH$9:$DN$508,4,FALSE()))</f>
        <v/>
      </c>
      <c r="DS245" s="86" t="str">
        <f aca="false">IF($DF245&gt;$DE$8,"",VLOOKUP($DF245,$DH$9:$DN$508,5,FALSE()))</f>
        <v/>
      </c>
      <c r="DT245" s="87" t="str">
        <f aca="false">IF($DF245&gt;$DE$8,"",VLOOKUP($DF245,$DH$9:$DN$508,6,FALSE()))</f>
        <v/>
      </c>
      <c r="DU245" s="62"/>
    </row>
    <row r="246" customFormat="false" ht="15.75" hidden="false" customHeight="false" outlineLevel="0" collapsed="false">
      <c r="A246" s="7"/>
      <c r="B246" s="90"/>
      <c r="C246" s="91"/>
      <c r="D246" s="126"/>
      <c r="E246" s="130"/>
      <c r="F246" s="135"/>
      <c r="G246" s="130"/>
      <c r="H246" s="135"/>
      <c r="I246" s="131"/>
      <c r="J246" s="131"/>
      <c r="K246" s="131"/>
      <c r="L246" s="130"/>
      <c r="M246" s="130"/>
      <c r="N246" s="130"/>
      <c r="O246" s="135"/>
      <c r="P246" s="130"/>
      <c r="Q246" s="130"/>
      <c r="R246" s="130"/>
      <c r="S246" s="130"/>
      <c r="T246" s="135"/>
      <c r="U246" s="130"/>
      <c r="V246" s="96"/>
      <c r="W246" s="130"/>
      <c r="X246" s="130"/>
      <c r="Y246" s="96"/>
      <c r="Z246" s="96"/>
      <c r="AA246" s="130"/>
      <c r="AB246" s="130"/>
      <c r="AC246" s="97"/>
      <c r="AD246" s="130"/>
      <c r="AE246" s="99"/>
      <c r="AF246" s="100"/>
      <c r="AG246" s="100"/>
      <c r="AH246" s="100" t="str">
        <f aca="false">IF(ISBLANK($C246),"",IF($E246=Constants!$B$2,TRUE(),IF($E246=Constants!$B$3,FALSE(),TRUE())))</f>
        <v/>
      </c>
      <c r="AI246" s="100" t="str">
        <f aca="false">IF(ISBLANK($C246),"",IF($F246=Constants!$B$2,TRUE(),IF($F246=Constants!$B$3,FALSE(),FALSE())))</f>
        <v/>
      </c>
      <c r="AJ246" s="100" t="str">
        <f aca="false">IF(ISBLANK($C246),"",IF($G246=Constants!$B$2,TRUE(),IF($G246=Constants!$B$3,FALSE(),TRUE())))</f>
        <v/>
      </c>
      <c r="AK246" s="100" t="str">
        <f aca="false">IF(ISBLANK($C246),"",IF($H246=Constants!$B$2,TRUE(),IF($H246=Constants!$B$3,FALSE(),TRUE())))</f>
        <v/>
      </c>
      <c r="AL246" s="100" t="str">
        <f aca="false">IF(ISBLANK($C246),"",IF(ISNUMBER($I246),IF($I246&gt;=0,$I246,""),""))</f>
        <v/>
      </c>
      <c r="AM246" s="100" t="str">
        <f aca="false">IF(ISBLANK($C246),"",IF(ISNUMBER($J246),IF($J246&gt;=0,$J246,""),""))</f>
        <v/>
      </c>
      <c r="AN246" s="100" t="str">
        <f aca="false">IF(ISBLANK($C246),"",IF(ISNUMBER($K246),IF($K246&gt;=0,$K246,""),""))</f>
        <v/>
      </c>
      <c r="AO246" s="100" t="str">
        <f aca="false">IF(ISBLANK($C246),"",IF($L246=Constants!$B$2,TRUE(),IF($L246=Constants!$B$3,FALSE(),TRUE())))</f>
        <v/>
      </c>
      <c r="AP246" s="100" t="str">
        <f aca="false">IF(ISBLANK($C246),"",IF($M246=Constants!$B$2,TRUE(),IF($M246=Constants!$B$3,FALSE(),TRUE())))</f>
        <v/>
      </c>
      <c r="AQ246" s="100" t="str">
        <f aca="false">IF(ISBLANK($C246),"",IF($N246=Constants!$B$2,TRUE(),IF($N246=Constants!$B$3,FALSE(),FALSE())))</f>
        <v/>
      </c>
      <c r="AR246" s="100" t="str">
        <f aca="false">IF(ISBLANK($C246),"",IF($O246=Constants!$B$2,TRUE(),IF($O246=Constants!$B$3,FALSE(),TRUE())))</f>
        <v/>
      </c>
      <c r="AS246" s="100" t="str">
        <f aca="false">IF(ISBLANK($C246),"",IF($P246=Constants!$B$2,TRUE(),IF($P246=Constants!$B$3,FALSE(),FALSE())))</f>
        <v/>
      </c>
      <c r="AT246" s="100" t="str">
        <f aca="false">IF(ISBLANK($C246),"",IF($Q246=Constants!$B$2,TRUE(),IF($Q246=Constants!$B$3,FALSE(),FALSE())))</f>
        <v/>
      </c>
      <c r="AU246" s="100" t="str">
        <f aca="false">IF(ISBLANK($C246),"",IF($R246=Constants!$B$2,TRUE(),IF($R246=Constants!$B$3,FALSE(),FALSE())))</f>
        <v/>
      </c>
      <c r="AV246" s="100" t="str">
        <f aca="false">IF(ISBLANK($C246),"",IF($S246=Constants!$B$2,TRUE(),IF($S246=Constants!$B$3,FALSE(),FALSE())))</f>
        <v/>
      </c>
      <c r="AW246" s="100" t="str">
        <f aca="false">IF(ISBLANK($C246),"",IF($T246=Constants!$B$2,TRUE(),IF($T246=Constants!$B$3,FALSE(),FALSE())))</f>
        <v/>
      </c>
      <c r="AX246" s="100" t="str">
        <f aca="false">IF(ISBLANK($C246),"",IF(OR($U246&amp;""="1",$U246&amp;""="2",$U246&amp;""="3",$U246&amp;""="4"),VALUE($U246&amp;""),IF($U246=Constants!$B$12,Constants!$B$12,"")))</f>
        <v/>
      </c>
      <c r="AY246" s="100" t="str">
        <f aca="false">IF(ISBLANK($C246),"",IF(ISBLANK($V246),0,IF(ISNUMBER($V246),IF(AND($V246&gt;=0,$V246&lt;=Constants!$B$21,$V246=INT($V246)),$V246,""),"")))</f>
        <v/>
      </c>
      <c r="AZ246" s="100" t="str">
        <f aca="false">IF(ISBLANK($C246),"",IF(ISBLANK($W246),0,IF(ISNUMBER($W246),IF($W246&gt;=0,$W246,""),"")))</f>
        <v/>
      </c>
      <c r="BA246" s="100" t="str">
        <f aca="false">IF(ISBLANK($C246),"",IF($X246=Constants!$B$2,TRUE(),IF($X246=Constants!$B$3,FALSE(),TRUE())))</f>
        <v/>
      </c>
      <c r="BB246" s="100" t="str">
        <f aca="false">IF(ISBLANK($C246),"",IF($Y246=Constants!$B$2,TRUE(),IF($Y246=Constants!$B$3,FALSE(),FALSE())))</f>
        <v/>
      </c>
      <c r="BC246" s="100" t="str">
        <f aca="false">IF(ISBLANK($C246),"",IF(ISBLANK($Z246),0,IF(ISNUMBER($Z246),IF(AND($Z246&gt;=0,$Z246&lt;=Constants!$B$35,$Z246=INT($Z246)),$Z246,""),"")))</f>
        <v/>
      </c>
      <c r="BD246" s="100" t="str">
        <f aca="false">IF(ISBLANK($C246),"",IF($AA246=Constants!$B$2,TRUE(),IF($AA246=Constants!$B$3,FALSE(),TRUE())))</f>
        <v/>
      </c>
      <c r="BE246" s="100" t="str">
        <f aca="false">IF(ISBLANK($C246),"",IF($AB246=Constants!$B$2,TRUE(),IF($AB246=Constants!$B$3,FALSE(),TRUE())))</f>
        <v/>
      </c>
      <c r="BF246" s="100" t="str">
        <f aca="false">IF(ISBLANK($C246),"",IF(ISNUMBER($AC246),IF($AC246&gt;=0,$AC246,""),""))</f>
        <v/>
      </c>
      <c r="BG246" s="100" t="str">
        <f aca="false">IF(ISBLANK($C246),"",IF($AD246=Constants!$B$2,TRUE(),IF($AD246=Constants!$B$3,FALSE(),FALSE())))</f>
        <v/>
      </c>
      <c r="BH246" s="99" t="str">
        <f aca="false">IF(ISBLANK($C246),"",IF($BG246,Constants!$B$7,IF(COUNTA($E246:$AC246)=0,Constants!$B$6,IF(OR(COUNTA($G246:$AC246)=0,NOT($AK246),$AQ246),Constants!$B$5,IF(OR($CI246&lt;&gt;"",$CJ246,$CK246,$CL246,$CM246,$CN246,$CO246),Constants!$B$8,Constants!$B$4)))))</f>
        <v/>
      </c>
      <c r="BI246" s="100" t="str">
        <f aca="false">IF(ISBLANK($C246),"",IF($BH246&lt;&gt;Constants!$B$4,$BH246,IF(OR(NOT($AH246),NOT($AJ246),NOT($AR246)),Constants!$B$11,IF(OR(NOT($AP246),MAX($AL246,$AM246,$AN246)&gt;Constants!$B$30),Constants!$B$10,Constants!$B$9))))</f>
        <v/>
      </c>
      <c r="BJ246" s="100" t="str">
        <f aca="false">IF($BH246&lt;&gt;Constants!$B$4,"",IF(NOT($AJ246),0,MIN(Constants!$B$35,$BC246)))</f>
        <v/>
      </c>
      <c r="BK246" s="100" t="str">
        <f aca="false">IF($BH246&lt;&gt;Constants!$B$4,"",IF(NOT($AJ246),0,IF($AT246,Constants!$B$18,IF($AS246,Constants!$B$17,0))))</f>
        <v/>
      </c>
      <c r="BL246" s="100" t="str">
        <f aca="false">IF($BH246&lt;&gt;Constants!$B$4,"",IF(NOT($AJ246),0,Constants!$B$19*($AI246+$AU246+$AV246+$AW246)))</f>
        <v/>
      </c>
      <c r="BM246" s="100" t="str">
        <f aca="false">IF($BH246&lt;&gt;Constants!$B$4,"",IF(OR(NOT($AJ246),NOT(ISNUMBER($AX246))),0,CHOOSE($AX246,Constants!$B$13,Constants!$B$14,Constants!$B$15,Constants!$B$16)))</f>
        <v/>
      </c>
      <c r="BN246" s="100" t="str">
        <f aca="false">IF($BH246&lt;&gt;Constants!$B$4,"",IF(NOT($AJ246),0,Constants!$B$20*$AY246))</f>
        <v/>
      </c>
      <c r="BO246" s="100" t="str">
        <f aca="false">IF($BH246&lt;&gt;Constants!$B$4,"",IF(AND($AJ246,$BA246,$BB246),Constants!$B$22,0))</f>
        <v/>
      </c>
      <c r="BP246" s="100" t="str">
        <f aca="false">IF($BH246&lt;&gt;Constants!$B$4,"",IF(OR(NOT($AJ246),NOT($BA246)),0,IF($BF246&gt;=2*$AF$9,0,Constants!$B$23*INT(ROUND(MIN($BF246,$AF$9),6)))))</f>
        <v/>
      </c>
      <c r="BQ246" s="100" t="str">
        <f aca="false">IF($BH246&lt;&gt;Constants!$B$4,"",IF(NOT($AJ246),0,Constants!$B$24*INT(ROUND(MIN($AZ246,$AF$9),6))))</f>
        <v/>
      </c>
      <c r="BR246" s="100" t="str">
        <f aca="false">IF($BH246&lt;&gt;Constants!$B$4,"",IF(AND($AJ246,$BJ246=0),Constants!$B$25,0))</f>
        <v/>
      </c>
      <c r="BS246" s="100" t="str">
        <f aca="false">IF($BH246&lt;&gt;Constants!$B$4,"",MIN(Constants!$B$29,MAX(0,Constants!$B$27*Constants!$B$28*INT(ROUND((Constants!$B$26-$AL246)/Constants!$B$28,6))))+MIN(Constants!$B$29,MAX(0,Constants!$B$27*Constants!$B$28*INT(ROUND((Constants!$B$26-$AM246)/Constants!$B$28,6))))+MIN(Constants!$B$29,MAX(0,Constants!$B$27*Constants!$B$28*INT(ROUND((Constants!$B$26-$AN246)/Constants!$B$28,6)))))</f>
        <v/>
      </c>
      <c r="BT246" s="100" t="str">
        <f aca="false">IF($BH246&lt;&gt;Constants!$B$4,"",IF(NOT($AJ246),0,Constants!$B$31*INT(ROUND(MAX(0,MIN($BF246,2*$AF$9)-$AF$9),6))))</f>
        <v/>
      </c>
      <c r="BU246" s="100" t="str">
        <f aca="false">IF($BH246&lt;&gt;Constants!$B$4,"",Constants!$B$32*(($AL246&gt;Constants!$B$26)+($AM246&gt;Constants!$B$26)+($AN246&gt;Constants!$B$26)))</f>
        <v/>
      </c>
      <c r="BV246" s="100" t="str">
        <f aca="false">IF($BH246&lt;&gt;Constants!$B$4,"",IF(OR(NOT($AJ246),$AO246),0,Constants!$B$33))</f>
        <v/>
      </c>
      <c r="BW246" s="100" t="str">
        <f aca="false">IF($BH246&lt;&gt;Constants!$B$4,"",Constants!$B$34*$BJ246)</f>
        <v/>
      </c>
      <c r="BX246" s="100" t="str">
        <f aca="false">IF($BH246&lt;&gt;Constants!$B$4,"",IF(OR(NOT($AJ246),$BE246),0,Constants!$B$36))</f>
        <v/>
      </c>
      <c r="BY246" s="100" t="str">
        <f aca="false">IF($BH246&lt;&gt;Constants!$B$4,"",IF(OR(NOT($AJ246),$BD246),0,Constants!$B$37))</f>
        <v/>
      </c>
      <c r="BZ246" s="100" t="str">
        <f aca="false">IF($BH246&lt;&gt;Constants!$B$4,"",SUM($BT246:$BY246))</f>
        <v/>
      </c>
      <c r="CA246" s="100" t="str">
        <f aca="false">IF(ISBLANK($C246),"",IF($BH246&lt;&gt;Constants!$B$4,$BH246,SUM($BK246:$BS246)-$BZ246))</f>
        <v/>
      </c>
      <c r="CB246" s="100" t="str">
        <f aca="false">IF(ISBLANK($C246),"",IF($BH246&lt;&gt;Constants!$B$4,$BH246,RANK($CA246,$CA$9:$CA$508)))</f>
        <v/>
      </c>
      <c r="CC246" s="100" t="str">
        <f aca="false">IF(ISBLANK($C246),"",IF($BH246&lt;&gt;Constants!$B$4,$BH246,COUNTIFS($BI$9:$BI$508,"&lt;"&amp;$BI246)+COUNTIFS($BI$9:$BI$508,$BI246,$CB$9:$CB$508,"&lt;"&amp;$CB246)+1))</f>
        <v/>
      </c>
      <c r="CD246" s="100" t="str">
        <f aca="false">IF(ISBLANK($C246),"",IF($BH246&lt;&gt;Constants!$B$4,$BH246,RANK($BZ246,$BZ$9:$BZ$508,1)))</f>
        <v/>
      </c>
      <c r="CE246" s="100" t="str">
        <f aca="false">IF($BH246&lt;&gt;Constants!$B$4,"",$AL246+$AM246+$AN246)</f>
        <v/>
      </c>
      <c r="CF246" s="100" t="str">
        <f aca="false">IF(ISBLANK($C246),"",IF($BH246&lt;&gt;Constants!$B$4,$BH246,RANK($CE246,$CE$9:$CE$508,1)))</f>
        <v/>
      </c>
      <c r="CG246" s="100" t="str">
        <f aca="false">IF(ISBLANK($C246),"",IF($BH246&lt;&gt;Constants!$B$4,$BH246,COUNTIFS($BI$9:$BI$508,"&lt;"&amp;$BI246)+COUNTIFS($BI$9:$BI$508,$BI246,$CB$9:$CB$508,"&lt;"&amp;$CB246)+COUNTIFS($BI$9:$BI$508,$BI246,$CB$9:$CB$508,$CB246,$CD$9:$CD$508,"&lt;"&amp;$CD246)+COUNTIFS($BI$9:$BI$508,$BI246,$CB$9:$CB$508,$CB246,$CD$9:$CD$508,$CD246,$CF$9:$CF$508,"&lt;"&amp;$CF246)+1))</f>
        <v/>
      </c>
      <c r="CH246" s="100" t="str">
        <f aca="false">IF(ISBLANK($C246),"",IF($BH246&lt;&gt;Constants!$B$4,$BH246,$CC246-$CG246))</f>
        <v/>
      </c>
      <c r="CI246" s="100" t="str">
        <f aca="false">IF(ISBLANK($C246),"",IF(NOT($AJ246),"",IF(ISBLANK($D$7),$CI$5,IF(NOT(ISNUMBER($D$7)),$CI$6,""))))</f>
        <v/>
      </c>
      <c r="CJ246" s="100" t="str">
        <f aca="false">IF(ISBLANK($C246),"",OR($AL246="",$AM246="",$AN246=""))</f>
        <v/>
      </c>
      <c r="CK246" s="100" t="str">
        <f aca="false">IF(ISBLANK($C246),"",AND($AJ246,$AX246=""))</f>
        <v/>
      </c>
      <c r="CL246" s="100" t="str">
        <f aca="false">IF(ISBLANK($C246),"",AND($AJ246,$AY246=""))</f>
        <v/>
      </c>
      <c r="CM246" s="100" t="str">
        <f aca="false">IF(ISBLANK($C246),"",AND($AJ246,$AZ246=""))</f>
        <v/>
      </c>
      <c r="CN246" s="100" t="str">
        <f aca="false">IF(ISBLANK($C246),"",AND($AJ246,$BC246=""))</f>
        <v/>
      </c>
      <c r="CO246" s="100" t="str">
        <f aca="false">IF(ISBLANK($C246),"",AND($AJ246,$BF246=""))</f>
        <v/>
      </c>
      <c r="CP246" s="101"/>
      <c r="CQ246" s="102"/>
      <c r="CR246" s="103" t="str">
        <f aca="false">IF(ISBLANK($C246),"",IF($BH246=Constants!$B$8,$CI246,""))</f>
        <v/>
      </c>
      <c r="CS246" s="102" t="str">
        <f aca="false">IF(ISBLANK($C246),"",IF($BH246&lt;&gt;Constants!$B$4,"",$BK246+$BL246))</f>
        <v/>
      </c>
      <c r="CT246" s="104" t="str">
        <f aca="false">IF(ISBLANK($C246),"",IF($BH246&lt;&gt;Constants!$B$4,"",$BM246+$BN246+$BO246))</f>
        <v/>
      </c>
      <c r="CU246" s="104" t="str">
        <f aca="false">IF(ISBLANK($C246),"",IF($BH246&lt;&gt;Constants!$B$4,"",$BP246))</f>
        <v/>
      </c>
      <c r="CV246" s="104" t="str">
        <f aca="false">IF(ISBLANK($C246),"",IF($BH246&lt;&gt;Constants!$B$4,"",$BQ246+$BR246))</f>
        <v/>
      </c>
      <c r="CW246" s="104" t="str">
        <f aca="false">IF(ISBLANK($C246),"",IF($BH246&lt;&gt;Constants!$B$4,"",$BS246))</f>
        <v/>
      </c>
      <c r="CX246" s="104" t="str">
        <f aca="false">IF(ISBLANK($C246),"",IF($BH246&lt;&gt;Constants!$B$4,"",-$BZ246))</f>
        <v/>
      </c>
      <c r="CY246" s="103" t="str">
        <f aca="false">IF(ISBLANK($C246),"",$CA246)</f>
        <v/>
      </c>
      <c r="CZ246" s="105" t="str">
        <f aca="false">IF(ISBLANK($C246),"",$BI246)</f>
        <v/>
      </c>
      <c r="DA246" s="104" t="str">
        <f aca="false">IF(ISBLANK($C246),"",$CH246)</f>
        <v/>
      </c>
      <c r="DB246" s="104" t="str">
        <f aca="false">IF(ISBLANK($C246),"",$CG246)</f>
        <v/>
      </c>
      <c r="DC246" s="106" t="str">
        <f aca="false">IF(ISBLANK($C246),"",IFERROR(_xlfn.SWITCH($DB246,Constants!$B$7,COUNTA($C$9:$C$508)+2,Constants!$B$6,COUNTA($C$9:$C$508)+1,Constants!$B$5,COUNTA($C$9:$C$508)),$DB246))</f>
        <v/>
      </c>
      <c r="DD246" s="7"/>
      <c r="DE246" s="107" t="n">
        <f aca="false">IF(OR(ISNUMBER($DB246),$DB246=Constants!$B$7,$DB246=Constants!$B$5,$DB246=Constants!$B$6),1,0)</f>
        <v>0</v>
      </c>
      <c r="DF246" s="107" t="n">
        <v>238</v>
      </c>
      <c r="DG246" s="107" t="str">
        <f aca="false">IF(ISBLANK($C246),"",IF(ISNUMBER($DC246),$DC246+ROW($B246)/1000,""))</f>
        <v/>
      </c>
      <c r="DH246" s="107" t="str">
        <f aca="false">IF(ISNUMBER($DG246),RANK($DG246,$DG$9:$DG$508,1),"")</f>
        <v/>
      </c>
      <c r="DI246" s="107" t="str">
        <f aca="false">IF(ISBLANK($C246),"",$B246)</f>
        <v/>
      </c>
      <c r="DJ246" s="107" t="str">
        <f aca="false">IF(ISBLANK($C246),"",$C246)</f>
        <v/>
      </c>
      <c r="DK246" s="107" t="str">
        <f aca="false">IF(ISBLANK($C246),"",$D246)</f>
        <v/>
      </c>
      <c r="DL246" s="108" t="str">
        <f aca="false">$CZ246</f>
        <v/>
      </c>
      <c r="DM246" s="109" t="str">
        <f aca="false">$CY246</f>
        <v/>
      </c>
      <c r="DN246" s="107" t="str">
        <f aca="false">IF(ISBLANK($C246),"",$DB246)</f>
        <v/>
      </c>
      <c r="DO246" s="110" t="str">
        <f aca="false">IF($DF246&gt;$DE$8,"",VLOOKUP($DF246,$DH$9:$DN$508,7,FALSE()))</f>
        <v/>
      </c>
      <c r="DP246" s="111" t="str">
        <f aca="false">IF($DF246&gt;$DE$8,"",VLOOKUP($DF246,$DH$9:$DN$508,2,FALSE()))</f>
        <v/>
      </c>
      <c r="DQ246" s="111" t="str">
        <f aca="false">IF($DF246&gt;$DE$8,"",VLOOKUP($DF246,$DH$9:$DN$508,3,FALSE()))</f>
        <v/>
      </c>
      <c r="DR246" s="111" t="str">
        <f aca="false">IF($DF246&gt;$DE$8,"",VLOOKUP($DF246,$DH$9:$DN$508,4,FALSE()))</f>
        <v/>
      </c>
      <c r="DS246" s="111" t="str">
        <f aca="false">IF($DF246&gt;$DE$8,"",VLOOKUP($DF246,$DH$9:$DN$508,5,FALSE()))</f>
        <v/>
      </c>
      <c r="DT246" s="112" t="str">
        <f aca="false">IF($DF246&gt;$DE$8,"",VLOOKUP($DF246,$DH$9:$DN$508,6,FALSE()))</f>
        <v/>
      </c>
      <c r="DU246" s="62"/>
    </row>
    <row r="247" customFormat="false" ht="15.75" hidden="false" customHeight="false" outlineLevel="0" collapsed="false">
      <c r="A247" s="7"/>
      <c r="B247" s="90"/>
      <c r="C247" s="91"/>
      <c r="D247" s="126"/>
      <c r="E247" s="130"/>
      <c r="F247" s="135"/>
      <c r="G247" s="130"/>
      <c r="H247" s="135"/>
      <c r="I247" s="131"/>
      <c r="J247" s="131"/>
      <c r="K247" s="131"/>
      <c r="L247" s="130"/>
      <c r="M247" s="130"/>
      <c r="N247" s="130"/>
      <c r="O247" s="135"/>
      <c r="P247" s="130"/>
      <c r="Q247" s="130"/>
      <c r="R247" s="130"/>
      <c r="S247" s="130"/>
      <c r="T247" s="135"/>
      <c r="U247" s="130"/>
      <c r="V247" s="96"/>
      <c r="W247" s="130"/>
      <c r="X247" s="130"/>
      <c r="Y247" s="96"/>
      <c r="Z247" s="96"/>
      <c r="AA247" s="130"/>
      <c r="AB247" s="130"/>
      <c r="AC247" s="97"/>
      <c r="AD247" s="130"/>
      <c r="AE247" s="99"/>
      <c r="AF247" s="100"/>
      <c r="AG247" s="100"/>
      <c r="AH247" s="100" t="str">
        <f aca="false">IF(ISBLANK($C247),"",IF($E247=Constants!$B$2,TRUE(),IF($E247=Constants!$B$3,FALSE(),TRUE())))</f>
        <v/>
      </c>
      <c r="AI247" s="100" t="str">
        <f aca="false">IF(ISBLANK($C247),"",IF($F247=Constants!$B$2,TRUE(),IF($F247=Constants!$B$3,FALSE(),FALSE())))</f>
        <v/>
      </c>
      <c r="AJ247" s="100" t="str">
        <f aca="false">IF(ISBLANK($C247),"",IF($G247=Constants!$B$2,TRUE(),IF($G247=Constants!$B$3,FALSE(),TRUE())))</f>
        <v/>
      </c>
      <c r="AK247" s="100" t="str">
        <f aca="false">IF(ISBLANK($C247),"",IF($H247=Constants!$B$2,TRUE(),IF($H247=Constants!$B$3,FALSE(),TRUE())))</f>
        <v/>
      </c>
      <c r="AL247" s="100" t="str">
        <f aca="false">IF(ISBLANK($C247),"",IF(ISNUMBER($I247),IF($I247&gt;=0,$I247,""),""))</f>
        <v/>
      </c>
      <c r="AM247" s="100" t="str">
        <f aca="false">IF(ISBLANK($C247),"",IF(ISNUMBER($J247),IF($J247&gt;=0,$J247,""),""))</f>
        <v/>
      </c>
      <c r="AN247" s="100" t="str">
        <f aca="false">IF(ISBLANK($C247),"",IF(ISNUMBER($K247),IF($K247&gt;=0,$K247,""),""))</f>
        <v/>
      </c>
      <c r="AO247" s="100" t="str">
        <f aca="false">IF(ISBLANK($C247),"",IF($L247=Constants!$B$2,TRUE(),IF($L247=Constants!$B$3,FALSE(),TRUE())))</f>
        <v/>
      </c>
      <c r="AP247" s="100" t="str">
        <f aca="false">IF(ISBLANK($C247),"",IF($M247=Constants!$B$2,TRUE(),IF($M247=Constants!$B$3,FALSE(),TRUE())))</f>
        <v/>
      </c>
      <c r="AQ247" s="100" t="str">
        <f aca="false">IF(ISBLANK($C247),"",IF($N247=Constants!$B$2,TRUE(),IF($N247=Constants!$B$3,FALSE(),FALSE())))</f>
        <v/>
      </c>
      <c r="AR247" s="100" t="str">
        <f aca="false">IF(ISBLANK($C247),"",IF($O247=Constants!$B$2,TRUE(),IF($O247=Constants!$B$3,FALSE(),TRUE())))</f>
        <v/>
      </c>
      <c r="AS247" s="100" t="str">
        <f aca="false">IF(ISBLANK($C247),"",IF($P247=Constants!$B$2,TRUE(),IF($P247=Constants!$B$3,FALSE(),FALSE())))</f>
        <v/>
      </c>
      <c r="AT247" s="100" t="str">
        <f aca="false">IF(ISBLANK($C247),"",IF($Q247=Constants!$B$2,TRUE(),IF($Q247=Constants!$B$3,FALSE(),FALSE())))</f>
        <v/>
      </c>
      <c r="AU247" s="100" t="str">
        <f aca="false">IF(ISBLANK($C247),"",IF($R247=Constants!$B$2,TRUE(),IF($R247=Constants!$B$3,FALSE(),FALSE())))</f>
        <v/>
      </c>
      <c r="AV247" s="100" t="str">
        <f aca="false">IF(ISBLANK($C247),"",IF($S247=Constants!$B$2,TRUE(),IF($S247=Constants!$B$3,FALSE(),FALSE())))</f>
        <v/>
      </c>
      <c r="AW247" s="100" t="str">
        <f aca="false">IF(ISBLANK($C247),"",IF($T247=Constants!$B$2,TRUE(),IF($T247=Constants!$B$3,FALSE(),FALSE())))</f>
        <v/>
      </c>
      <c r="AX247" s="100" t="str">
        <f aca="false">IF(ISBLANK($C247),"",IF(OR($U247&amp;""="1",$U247&amp;""="2",$U247&amp;""="3",$U247&amp;""="4"),VALUE($U247&amp;""),IF($U247=Constants!$B$12,Constants!$B$12,"")))</f>
        <v/>
      </c>
      <c r="AY247" s="100" t="str">
        <f aca="false">IF(ISBLANK($C247),"",IF(ISBLANK($V247),0,IF(ISNUMBER($V247),IF(AND($V247&gt;=0,$V247&lt;=Constants!$B$21,$V247=INT($V247)),$V247,""),"")))</f>
        <v/>
      </c>
      <c r="AZ247" s="100" t="str">
        <f aca="false">IF(ISBLANK($C247),"",IF(ISBLANK($W247),0,IF(ISNUMBER($W247),IF($W247&gt;=0,$W247,""),"")))</f>
        <v/>
      </c>
      <c r="BA247" s="100" t="str">
        <f aca="false">IF(ISBLANK($C247),"",IF($X247=Constants!$B$2,TRUE(),IF($X247=Constants!$B$3,FALSE(),TRUE())))</f>
        <v/>
      </c>
      <c r="BB247" s="100" t="str">
        <f aca="false">IF(ISBLANK($C247),"",IF($Y247=Constants!$B$2,TRUE(),IF($Y247=Constants!$B$3,FALSE(),FALSE())))</f>
        <v/>
      </c>
      <c r="BC247" s="100" t="str">
        <f aca="false">IF(ISBLANK($C247),"",IF(ISBLANK($Z247),0,IF(ISNUMBER($Z247),IF(AND($Z247&gt;=0,$Z247&lt;=Constants!$B$35,$Z247=INT($Z247)),$Z247,""),"")))</f>
        <v/>
      </c>
      <c r="BD247" s="100" t="str">
        <f aca="false">IF(ISBLANK($C247),"",IF($AA247=Constants!$B$2,TRUE(),IF($AA247=Constants!$B$3,FALSE(),TRUE())))</f>
        <v/>
      </c>
      <c r="BE247" s="100" t="str">
        <f aca="false">IF(ISBLANK($C247),"",IF($AB247=Constants!$B$2,TRUE(),IF($AB247=Constants!$B$3,FALSE(),TRUE())))</f>
        <v/>
      </c>
      <c r="BF247" s="100" t="str">
        <f aca="false">IF(ISBLANK($C247),"",IF(ISNUMBER($AC247),IF($AC247&gt;=0,$AC247,""),""))</f>
        <v/>
      </c>
      <c r="BG247" s="100" t="str">
        <f aca="false">IF(ISBLANK($C247),"",IF($AD247=Constants!$B$2,TRUE(),IF($AD247=Constants!$B$3,FALSE(),FALSE())))</f>
        <v/>
      </c>
      <c r="BH247" s="99" t="str">
        <f aca="false">IF(ISBLANK($C247),"",IF($BG247,Constants!$B$7,IF(COUNTA($E247:$AC247)=0,Constants!$B$6,IF(OR(COUNTA($G247:$AC247)=0,NOT($AK247),$AQ247),Constants!$B$5,IF(OR($CI247&lt;&gt;"",$CJ247,$CK247,$CL247,$CM247,$CN247,$CO247),Constants!$B$8,Constants!$B$4)))))</f>
        <v/>
      </c>
      <c r="BI247" s="100" t="str">
        <f aca="false">IF(ISBLANK($C247),"",IF($BH247&lt;&gt;Constants!$B$4,$BH247,IF(OR(NOT($AH247),NOT($AJ247),NOT($AR247)),Constants!$B$11,IF(OR(NOT($AP247),MAX($AL247,$AM247,$AN247)&gt;Constants!$B$30),Constants!$B$10,Constants!$B$9))))</f>
        <v/>
      </c>
      <c r="BJ247" s="100" t="str">
        <f aca="false">IF($BH247&lt;&gt;Constants!$B$4,"",IF(NOT($AJ247),0,MIN(Constants!$B$35,$BC247)))</f>
        <v/>
      </c>
      <c r="BK247" s="100" t="str">
        <f aca="false">IF($BH247&lt;&gt;Constants!$B$4,"",IF(NOT($AJ247),0,IF($AT247,Constants!$B$18,IF($AS247,Constants!$B$17,0))))</f>
        <v/>
      </c>
      <c r="BL247" s="100" t="str">
        <f aca="false">IF($BH247&lt;&gt;Constants!$B$4,"",IF(NOT($AJ247),0,Constants!$B$19*($AI247+$AU247+$AV247+$AW247)))</f>
        <v/>
      </c>
      <c r="BM247" s="100" t="str">
        <f aca="false">IF($BH247&lt;&gt;Constants!$B$4,"",IF(OR(NOT($AJ247),NOT(ISNUMBER($AX247))),0,CHOOSE($AX247,Constants!$B$13,Constants!$B$14,Constants!$B$15,Constants!$B$16)))</f>
        <v/>
      </c>
      <c r="BN247" s="100" t="str">
        <f aca="false">IF($BH247&lt;&gt;Constants!$B$4,"",IF(NOT($AJ247),0,Constants!$B$20*$AY247))</f>
        <v/>
      </c>
      <c r="BO247" s="100" t="str">
        <f aca="false">IF($BH247&lt;&gt;Constants!$B$4,"",IF(AND($AJ247,$BA247,$BB247),Constants!$B$22,0))</f>
        <v/>
      </c>
      <c r="BP247" s="100" t="str">
        <f aca="false">IF($BH247&lt;&gt;Constants!$B$4,"",IF(OR(NOT($AJ247),NOT($BA247)),0,IF($BF247&gt;=2*$AF$9,0,Constants!$B$23*INT(ROUND(MIN($BF247,$AF$9),6)))))</f>
        <v/>
      </c>
      <c r="BQ247" s="100" t="str">
        <f aca="false">IF($BH247&lt;&gt;Constants!$B$4,"",IF(NOT($AJ247),0,Constants!$B$24*INT(ROUND(MIN($AZ247,$AF$9),6))))</f>
        <v/>
      </c>
      <c r="BR247" s="100" t="str">
        <f aca="false">IF($BH247&lt;&gt;Constants!$B$4,"",IF(AND($AJ247,$BJ247=0),Constants!$B$25,0))</f>
        <v/>
      </c>
      <c r="BS247" s="100" t="str">
        <f aca="false">IF($BH247&lt;&gt;Constants!$B$4,"",MIN(Constants!$B$29,MAX(0,Constants!$B$27*Constants!$B$28*INT(ROUND((Constants!$B$26-$AL247)/Constants!$B$28,6))))+MIN(Constants!$B$29,MAX(0,Constants!$B$27*Constants!$B$28*INT(ROUND((Constants!$B$26-$AM247)/Constants!$B$28,6))))+MIN(Constants!$B$29,MAX(0,Constants!$B$27*Constants!$B$28*INT(ROUND((Constants!$B$26-$AN247)/Constants!$B$28,6)))))</f>
        <v/>
      </c>
      <c r="BT247" s="100" t="str">
        <f aca="false">IF($BH247&lt;&gt;Constants!$B$4,"",IF(NOT($AJ247),0,Constants!$B$31*INT(ROUND(MAX(0,MIN($BF247,2*$AF$9)-$AF$9),6))))</f>
        <v/>
      </c>
      <c r="BU247" s="100" t="str">
        <f aca="false">IF($BH247&lt;&gt;Constants!$B$4,"",Constants!$B$32*(($AL247&gt;Constants!$B$26)+($AM247&gt;Constants!$B$26)+($AN247&gt;Constants!$B$26)))</f>
        <v/>
      </c>
      <c r="BV247" s="100" t="str">
        <f aca="false">IF($BH247&lt;&gt;Constants!$B$4,"",IF(OR(NOT($AJ247),$AO247),0,Constants!$B$33))</f>
        <v/>
      </c>
      <c r="BW247" s="100" t="str">
        <f aca="false">IF($BH247&lt;&gt;Constants!$B$4,"",Constants!$B$34*$BJ247)</f>
        <v/>
      </c>
      <c r="BX247" s="100" t="str">
        <f aca="false">IF($BH247&lt;&gt;Constants!$B$4,"",IF(OR(NOT($AJ247),$BE247),0,Constants!$B$36))</f>
        <v/>
      </c>
      <c r="BY247" s="100" t="str">
        <f aca="false">IF($BH247&lt;&gt;Constants!$B$4,"",IF(OR(NOT($AJ247),$BD247),0,Constants!$B$37))</f>
        <v/>
      </c>
      <c r="BZ247" s="100" t="str">
        <f aca="false">IF($BH247&lt;&gt;Constants!$B$4,"",SUM($BT247:$BY247))</f>
        <v/>
      </c>
      <c r="CA247" s="100" t="str">
        <f aca="false">IF(ISBLANK($C247),"",IF($BH247&lt;&gt;Constants!$B$4,$BH247,SUM($BK247:$BS247)-$BZ247))</f>
        <v/>
      </c>
      <c r="CB247" s="100" t="str">
        <f aca="false">IF(ISBLANK($C247),"",IF($BH247&lt;&gt;Constants!$B$4,$BH247,RANK($CA247,$CA$9:$CA$508)))</f>
        <v/>
      </c>
      <c r="CC247" s="100" t="str">
        <f aca="false">IF(ISBLANK($C247),"",IF($BH247&lt;&gt;Constants!$B$4,$BH247,COUNTIFS($BI$9:$BI$508,"&lt;"&amp;$BI247)+COUNTIFS($BI$9:$BI$508,$BI247,$CB$9:$CB$508,"&lt;"&amp;$CB247)+1))</f>
        <v/>
      </c>
      <c r="CD247" s="100" t="str">
        <f aca="false">IF(ISBLANK($C247),"",IF($BH247&lt;&gt;Constants!$B$4,$BH247,RANK($BZ247,$BZ$9:$BZ$508,1)))</f>
        <v/>
      </c>
      <c r="CE247" s="100" t="str">
        <f aca="false">IF($BH247&lt;&gt;Constants!$B$4,"",$AL247+$AM247+$AN247)</f>
        <v/>
      </c>
      <c r="CF247" s="100" t="str">
        <f aca="false">IF(ISBLANK($C247),"",IF($BH247&lt;&gt;Constants!$B$4,$BH247,RANK($CE247,$CE$9:$CE$508,1)))</f>
        <v/>
      </c>
      <c r="CG247" s="100" t="str">
        <f aca="false">IF(ISBLANK($C247),"",IF($BH247&lt;&gt;Constants!$B$4,$BH247,COUNTIFS($BI$9:$BI$508,"&lt;"&amp;$BI247)+COUNTIFS($BI$9:$BI$508,$BI247,$CB$9:$CB$508,"&lt;"&amp;$CB247)+COUNTIFS($BI$9:$BI$508,$BI247,$CB$9:$CB$508,$CB247,$CD$9:$CD$508,"&lt;"&amp;$CD247)+COUNTIFS($BI$9:$BI$508,$BI247,$CB$9:$CB$508,$CB247,$CD$9:$CD$508,$CD247,$CF$9:$CF$508,"&lt;"&amp;$CF247)+1))</f>
        <v/>
      </c>
      <c r="CH247" s="100" t="str">
        <f aca="false">IF(ISBLANK($C247),"",IF($BH247&lt;&gt;Constants!$B$4,$BH247,$CC247-$CG247))</f>
        <v/>
      </c>
      <c r="CI247" s="100" t="str">
        <f aca="false">IF(ISBLANK($C247),"",IF(NOT($AJ247),"",IF(ISBLANK($D$7),$CI$5,IF(NOT(ISNUMBER($D$7)),$CI$6,""))))</f>
        <v/>
      </c>
      <c r="CJ247" s="100" t="str">
        <f aca="false">IF(ISBLANK($C247),"",OR($AL247="",$AM247="",$AN247=""))</f>
        <v/>
      </c>
      <c r="CK247" s="100" t="str">
        <f aca="false">IF(ISBLANK($C247),"",AND($AJ247,$AX247=""))</f>
        <v/>
      </c>
      <c r="CL247" s="100" t="str">
        <f aca="false">IF(ISBLANK($C247),"",AND($AJ247,$AY247=""))</f>
        <v/>
      </c>
      <c r="CM247" s="100" t="str">
        <f aca="false">IF(ISBLANK($C247),"",AND($AJ247,$AZ247=""))</f>
        <v/>
      </c>
      <c r="CN247" s="100" t="str">
        <f aca="false">IF(ISBLANK($C247),"",AND($AJ247,$BC247=""))</f>
        <v/>
      </c>
      <c r="CO247" s="100" t="str">
        <f aca="false">IF(ISBLANK($C247),"",AND($AJ247,$BF247=""))</f>
        <v/>
      </c>
      <c r="CP247" s="101"/>
      <c r="CQ247" s="102"/>
      <c r="CR247" s="103" t="str">
        <f aca="false">IF(ISBLANK($C247),"",IF($BH247=Constants!$B$8,$CI247,""))</f>
        <v/>
      </c>
      <c r="CS247" s="102" t="str">
        <f aca="false">IF(ISBLANK($C247),"",IF($BH247&lt;&gt;Constants!$B$4,"",$BK247+$BL247))</f>
        <v/>
      </c>
      <c r="CT247" s="104" t="str">
        <f aca="false">IF(ISBLANK($C247),"",IF($BH247&lt;&gt;Constants!$B$4,"",$BM247+$BN247+$BO247))</f>
        <v/>
      </c>
      <c r="CU247" s="104" t="str">
        <f aca="false">IF(ISBLANK($C247),"",IF($BH247&lt;&gt;Constants!$B$4,"",$BP247))</f>
        <v/>
      </c>
      <c r="CV247" s="104" t="str">
        <f aca="false">IF(ISBLANK($C247),"",IF($BH247&lt;&gt;Constants!$B$4,"",$BQ247+$BR247))</f>
        <v/>
      </c>
      <c r="CW247" s="104" t="str">
        <f aca="false">IF(ISBLANK($C247),"",IF($BH247&lt;&gt;Constants!$B$4,"",$BS247))</f>
        <v/>
      </c>
      <c r="CX247" s="104" t="str">
        <f aca="false">IF(ISBLANK($C247),"",IF($BH247&lt;&gt;Constants!$B$4,"",-$BZ247))</f>
        <v/>
      </c>
      <c r="CY247" s="103" t="str">
        <f aca="false">IF(ISBLANK($C247),"",$CA247)</f>
        <v/>
      </c>
      <c r="CZ247" s="105" t="str">
        <f aca="false">IF(ISBLANK($C247),"",$BI247)</f>
        <v/>
      </c>
      <c r="DA247" s="104" t="str">
        <f aca="false">IF(ISBLANK($C247),"",$CH247)</f>
        <v/>
      </c>
      <c r="DB247" s="104" t="str">
        <f aca="false">IF(ISBLANK($C247),"",$CG247)</f>
        <v/>
      </c>
      <c r="DC247" s="106" t="str">
        <f aca="false">IF(ISBLANK($C247),"",IFERROR(_xlfn.SWITCH($DB247,Constants!$B$7,COUNTA($C$9:$C$508)+2,Constants!$B$6,COUNTA($C$9:$C$508)+1,Constants!$B$5,COUNTA($C$9:$C$508)),$DB247))</f>
        <v/>
      </c>
      <c r="DD247" s="7"/>
      <c r="DE247" s="107" t="n">
        <f aca="false">IF(OR(ISNUMBER($DB247),$DB247=Constants!$B$7,$DB247=Constants!$B$5,$DB247=Constants!$B$6),1,0)</f>
        <v>0</v>
      </c>
      <c r="DF247" s="107" t="n">
        <v>239</v>
      </c>
      <c r="DG247" s="107" t="str">
        <f aca="false">IF(ISBLANK($C247),"",IF(ISNUMBER($DC247),$DC247+ROW($B247)/1000,""))</f>
        <v/>
      </c>
      <c r="DH247" s="107" t="str">
        <f aca="false">IF(ISNUMBER($DG247),RANK($DG247,$DG$9:$DG$508,1),"")</f>
        <v/>
      </c>
      <c r="DI247" s="107" t="str">
        <f aca="false">IF(ISBLANK($C247),"",$B247)</f>
        <v/>
      </c>
      <c r="DJ247" s="107" t="str">
        <f aca="false">IF(ISBLANK($C247),"",$C247)</f>
        <v/>
      </c>
      <c r="DK247" s="107" t="str">
        <f aca="false">IF(ISBLANK($C247),"",$D247)</f>
        <v/>
      </c>
      <c r="DL247" s="108" t="str">
        <f aca="false">$CZ247</f>
        <v/>
      </c>
      <c r="DM247" s="109" t="str">
        <f aca="false">$CY247</f>
        <v/>
      </c>
      <c r="DN247" s="107" t="str">
        <f aca="false">IF(ISBLANK($C247),"",$DB247)</f>
        <v/>
      </c>
      <c r="DO247" s="110" t="str">
        <f aca="false">IF($DF247&gt;$DE$8,"",VLOOKUP($DF247,$DH$9:$DN$508,7,FALSE()))</f>
        <v/>
      </c>
      <c r="DP247" s="111" t="str">
        <f aca="false">IF($DF247&gt;$DE$8,"",VLOOKUP($DF247,$DH$9:$DN$508,2,FALSE()))</f>
        <v/>
      </c>
      <c r="DQ247" s="111" t="str">
        <f aca="false">IF($DF247&gt;$DE$8,"",VLOOKUP($DF247,$DH$9:$DN$508,3,FALSE()))</f>
        <v/>
      </c>
      <c r="DR247" s="111" t="str">
        <f aca="false">IF($DF247&gt;$DE$8,"",VLOOKUP($DF247,$DH$9:$DN$508,4,FALSE()))</f>
        <v/>
      </c>
      <c r="DS247" s="111" t="str">
        <f aca="false">IF($DF247&gt;$DE$8,"",VLOOKUP($DF247,$DH$9:$DN$508,5,FALSE()))</f>
        <v/>
      </c>
      <c r="DT247" s="112" t="str">
        <f aca="false">IF($DF247&gt;$DE$8,"",VLOOKUP($DF247,$DH$9:$DN$508,6,FALSE()))</f>
        <v/>
      </c>
      <c r="DU247" s="62"/>
    </row>
    <row r="248" customFormat="false" ht="15.75" hidden="false" customHeight="false" outlineLevel="0" collapsed="false">
      <c r="A248" s="7"/>
      <c r="B248" s="90"/>
      <c r="C248" s="91"/>
      <c r="D248" s="126"/>
      <c r="E248" s="130"/>
      <c r="F248" s="135"/>
      <c r="G248" s="130"/>
      <c r="H248" s="135"/>
      <c r="I248" s="131"/>
      <c r="J248" s="131"/>
      <c r="K248" s="131"/>
      <c r="L248" s="130"/>
      <c r="M248" s="130"/>
      <c r="N248" s="130"/>
      <c r="O248" s="135"/>
      <c r="P248" s="130"/>
      <c r="Q248" s="130"/>
      <c r="R248" s="130"/>
      <c r="S248" s="130"/>
      <c r="T248" s="135"/>
      <c r="U248" s="130"/>
      <c r="V248" s="96"/>
      <c r="W248" s="130"/>
      <c r="X248" s="130"/>
      <c r="Y248" s="96"/>
      <c r="Z248" s="96"/>
      <c r="AA248" s="130"/>
      <c r="AB248" s="130"/>
      <c r="AC248" s="97"/>
      <c r="AD248" s="130"/>
      <c r="AE248" s="99"/>
      <c r="AF248" s="100"/>
      <c r="AG248" s="100"/>
      <c r="AH248" s="100" t="str">
        <f aca="false">IF(ISBLANK($C248),"",IF($E248=Constants!$B$2,TRUE(),IF($E248=Constants!$B$3,FALSE(),TRUE())))</f>
        <v/>
      </c>
      <c r="AI248" s="100" t="str">
        <f aca="false">IF(ISBLANK($C248),"",IF($F248=Constants!$B$2,TRUE(),IF($F248=Constants!$B$3,FALSE(),FALSE())))</f>
        <v/>
      </c>
      <c r="AJ248" s="100" t="str">
        <f aca="false">IF(ISBLANK($C248),"",IF($G248=Constants!$B$2,TRUE(),IF($G248=Constants!$B$3,FALSE(),TRUE())))</f>
        <v/>
      </c>
      <c r="AK248" s="100" t="str">
        <f aca="false">IF(ISBLANK($C248),"",IF($H248=Constants!$B$2,TRUE(),IF($H248=Constants!$B$3,FALSE(),TRUE())))</f>
        <v/>
      </c>
      <c r="AL248" s="100" t="str">
        <f aca="false">IF(ISBLANK($C248),"",IF(ISNUMBER($I248),IF($I248&gt;=0,$I248,""),""))</f>
        <v/>
      </c>
      <c r="AM248" s="100" t="str">
        <f aca="false">IF(ISBLANK($C248),"",IF(ISNUMBER($J248),IF($J248&gt;=0,$J248,""),""))</f>
        <v/>
      </c>
      <c r="AN248" s="100" t="str">
        <f aca="false">IF(ISBLANK($C248),"",IF(ISNUMBER($K248),IF($K248&gt;=0,$K248,""),""))</f>
        <v/>
      </c>
      <c r="AO248" s="100" t="str">
        <f aca="false">IF(ISBLANK($C248),"",IF($L248=Constants!$B$2,TRUE(),IF($L248=Constants!$B$3,FALSE(),TRUE())))</f>
        <v/>
      </c>
      <c r="AP248" s="100" t="str">
        <f aca="false">IF(ISBLANK($C248),"",IF($M248=Constants!$B$2,TRUE(),IF($M248=Constants!$B$3,FALSE(),TRUE())))</f>
        <v/>
      </c>
      <c r="AQ248" s="100" t="str">
        <f aca="false">IF(ISBLANK($C248),"",IF($N248=Constants!$B$2,TRUE(),IF($N248=Constants!$B$3,FALSE(),FALSE())))</f>
        <v/>
      </c>
      <c r="AR248" s="100" t="str">
        <f aca="false">IF(ISBLANK($C248),"",IF($O248=Constants!$B$2,TRUE(),IF($O248=Constants!$B$3,FALSE(),TRUE())))</f>
        <v/>
      </c>
      <c r="AS248" s="100" t="str">
        <f aca="false">IF(ISBLANK($C248),"",IF($P248=Constants!$B$2,TRUE(),IF($P248=Constants!$B$3,FALSE(),FALSE())))</f>
        <v/>
      </c>
      <c r="AT248" s="100" t="str">
        <f aca="false">IF(ISBLANK($C248),"",IF($Q248=Constants!$B$2,TRUE(),IF($Q248=Constants!$B$3,FALSE(),FALSE())))</f>
        <v/>
      </c>
      <c r="AU248" s="100" t="str">
        <f aca="false">IF(ISBLANK($C248),"",IF($R248=Constants!$B$2,TRUE(),IF($R248=Constants!$B$3,FALSE(),FALSE())))</f>
        <v/>
      </c>
      <c r="AV248" s="100" t="str">
        <f aca="false">IF(ISBLANK($C248),"",IF($S248=Constants!$B$2,TRUE(),IF($S248=Constants!$B$3,FALSE(),FALSE())))</f>
        <v/>
      </c>
      <c r="AW248" s="100" t="str">
        <f aca="false">IF(ISBLANK($C248),"",IF($T248=Constants!$B$2,TRUE(),IF($T248=Constants!$B$3,FALSE(),FALSE())))</f>
        <v/>
      </c>
      <c r="AX248" s="100" t="str">
        <f aca="false">IF(ISBLANK($C248),"",IF(OR($U248&amp;""="1",$U248&amp;""="2",$U248&amp;""="3",$U248&amp;""="4"),VALUE($U248&amp;""),IF($U248=Constants!$B$12,Constants!$B$12,"")))</f>
        <v/>
      </c>
      <c r="AY248" s="100" t="str">
        <f aca="false">IF(ISBLANK($C248),"",IF(ISBLANK($V248),0,IF(ISNUMBER($V248),IF(AND($V248&gt;=0,$V248&lt;=Constants!$B$21,$V248=INT($V248)),$V248,""),"")))</f>
        <v/>
      </c>
      <c r="AZ248" s="100" t="str">
        <f aca="false">IF(ISBLANK($C248),"",IF(ISBLANK($W248),0,IF(ISNUMBER($W248),IF($W248&gt;=0,$W248,""),"")))</f>
        <v/>
      </c>
      <c r="BA248" s="100" t="str">
        <f aca="false">IF(ISBLANK($C248),"",IF($X248=Constants!$B$2,TRUE(),IF($X248=Constants!$B$3,FALSE(),TRUE())))</f>
        <v/>
      </c>
      <c r="BB248" s="100" t="str">
        <f aca="false">IF(ISBLANK($C248),"",IF($Y248=Constants!$B$2,TRUE(),IF($Y248=Constants!$B$3,FALSE(),FALSE())))</f>
        <v/>
      </c>
      <c r="BC248" s="100" t="str">
        <f aca="false">IF(ISBLANK($C248),"",IF(ISBLANK($Z248),0,IF(ISNUMBER($Z248),IF(AND($Z248&gt;=0,$Z248&lt;=Constants!$B$35,$Z248=INT($Z248)),$Z248,""),"")))</f>
        <v/>
      </c>
      <c r="BD248" s="100" t="str">
        <f aca="false">IF(ISBLANK($C248),"",IF($AA248=Constants!$B$2,TRUE(),IF($AA248=Constants!$B$3,FALSE(),TRUE())))</f>
        <v/>
      </c>
      <c r="BE248" s="100" t="str">
        <f aca="false">IF(ISBLANK($C248),"",IF($AB248=Constants!$B$2,TRUE(),IF($AB248=Constants!$B$3,FALSE(),TRUE())))</f>
        <v/>
      </c>
      <c r="BF248" s="100" t="str">
        <f aca="false">IF(ISBLANK($C248),"",IF(ISNUMBER($AC248),IF($AC248&gt;=0,$AC248,""),""))</f>
        <v/>
      </c>
      <c r="BG248" s="100" t="str">
        <f aca="false">IF(ISBLANK($C248),"",IF($AD248=Constants!$B$2,TRUE(),IF($AD248=Constants!$B$3,FALSE(),FALSE())))</f>
        <v/>
      </c>
      <c r="BH248" s="99" t="str">
        <f aca="false">IF(ISBLANK($C248),"",IF($BG248,Constants!$B$7,IF(COUNTA($E248:$AC248)=0,Constants!$B$6,IF(OR(COUNTA($G248:$AC248)=0,NOT($AK248),$AQ248),Constants!$B$5,IF(OR($CI248&lt;&gt;"",$CJ248,$CK248,$CL248,$CM248,$CN248,$CO248),Constants!$B$8,Constants!$B$4)))))</f>
        <v/>
      </c>
      <c r="BI248" s="100" t="str">
        <f aca="false">IF(ISBLANK($C248),"",IF($BH248&lt;&gt;Constants!$B$4,$BH248,IF(OR(NOT($AH248),NOT($AJ248),NOT($AR248)),Constants!$B$11,IF(OR(NOT($AP248),MAX($AL248,$AM248,$AN248)&gt;Constants!$B$30),Constants!$B$10,Constants!$B$9))))</f>
        <v/>
      </c>
      <c r="BJ248" s="100" t="str">
        <f aca="false">IF($BH248&lt;&gt;Constants!$B$4,"",IF(NOT($AJ248),0,MIN(Constants!$B$35,$BC248)))</f>
        <v/>
      </c>
      <c r="BK248" s="100" t="str">
        <f aca="false">IF($BH248&lt;&gt;Constants!$B$4,"",IF(NOT($AJ248),0,IF($AT248,Constants!$B$18,IF($AS248,Constants!$B$17,0))))</f>
        <v/>
      </c>
      <c r="BL248" s="100" t="str">
        <f aca="false">IF($BH248&lt;&gt;Constants!$B$4,"",IF(NOT($AJ248),0,Constants!$B$19*($AI248+$AU248+$AV248+$AW248)))</f>
        <v/>
      </c>
      <c r="BM248" s="100" t="str">
        <f aca="false">IF($BH248&lt;&gt;Constants!$B$4,"",IF(OR(NOT($AJ248),NOT(ISNUMBER($AX248))),0,CHOOSE($AX248,Constants!$B$13,Constants!$B$14,Constants!$B$15,Constants!$B$16)))</f>
        <v/>
      </c>
      <c r="BN248" s="100" t="str">
        <f aca="false">IF($BH248&lt;&gt;Constants!$B$4,"",IF(NOT($AJ248),0,Constants!$B$20*$AY248))</f>
        <v/>
      </c>
      <c r="BO248" s="100" t="str">
        <f aca="false">IF($BH248&lt;&gt;Constants!$B$4,"",IF(AND($AJ248,$BA248,$BB248),Constants!$B$22,0))</f>
        <v/>
      </c>
      <c r="BP248" s="100" t="str">
        <f aca="false">IF($BH248&lt;&gt;Constants!$B$4,"",IF(OR(NOT($AJ248),NOT($BA248)),0,IF($BF248&gt;=2*$AF$9,0,Constants!$B$23*INT(ROUND(MIN($BF248,$AF$9),6)))))</f>
        <v/>
      </c>
      <c r="BQ248" s="100" t="str">
        <f aca="false">IF($BH248&lt;&gt;Constants!$B$4,"",IF(NOT($AJ248),0,Constants!$B$24*INT(ROUND(MIN($AZ248,$AF$9),6))))</f>
        <v/>
      </c>
      <c r="BR248" s="100" t="str">
        <f aca="false">IF($BH248&lt;&gt;Constants!$B$4,"",IF(AND($AJ248,$BJ248=0),Constants!$B$25,0))</f>
        <v/>
      </c>
      <c r="BS248" s="100" t="str">
        <f aca="false">IF($BH248&lt;&gt;Constants!$B$4,"",MIN(Constants!$B$29,MAX(0,Constants!$B$27*Constants!$B$28*INT(ROUND((Constants!$B$26-$AL248)/Constants!$B$28,6))))+MIN(Constants!$B$29,MAX(0,Constants!$B$27*Constants!$B$28*INT(ROUND((Constants!$B$26-$AM248)/Constants!$B$28,6))))+MIN(Constants!$B$29,MAX(0,Constants!$B$27*Constants!$B$28*INT(ROUND((Constants!$B$26-$AN248)/Constants!$B$28,6)))))</f>
        <v/>
      </c>
      <c r="BT248" s="100" t="str">
        <f aca="false">IF($BH248&lt;&gt;Constants!$B$4,"",IF(NOT($AJ248),0,Constants!$B$31*INT(ROUND(MAX(0,MIN($BF248,2*$AF$9)-$AF$9),6))))</f>
        <v/>
      </c>
      <c r="BU248" s="100" t="str">
        <f aca="false">IF($BH248&lt;&gt;Constants!$B$4,"",Constants!$B$32*(($AL248&gt;Constants!$B$26)+($AM248&gt;Constants!$B$26)+($AN248&gt;Constants!$B$26)))</f>
        <v/>
      </c>
      <c r="BV248" s="100" t="str">
        <f aca="false">IF($BH248&lt;&gt;Constants!$B$4,"",IF(OR(NOT($AJ248),$AO248),0,Constants!$B$33))</f>
        <v/>
      </c>
      <c r="BW248" s="100" t="str">
        <f aca="false">IF($BH248&lt;&gt;Constants!$B$4,"",Constants!$B$34*$BJ248)</f>
        <v/>
      </c>
      <c r="BX248" s="100" t="str">
        <f aca="false">IF($BH248&lt;&gt;Constants!$B$4,"",IF(OR(NOT($AJ248),$BE248),0,Constants!$B$36))</f>
        <v/>
      </c>
      <c r="BY248" s="100" t="str">
        <f aca="false">IF($BH248&lt;&gt;Constants!$B$4,"",IF(OR(NOT($AJ248),$BD248),0,Constants!$B$37))</f>
        <v/>
      </c>
      <c r="BZ248" s="100" t="str">
        <f aca="false">IF($BH248&lt;&gt;Constants!$B$4,"",SUM($BT248:$BY248))</f>
        <v/>
      </c>
      <c r="CA248" s="100" t="str">
        <f aca="false">IF(ISBLANK($C248),"",IF($BH248&lt;&gt;Constants!$B$4,$BH248,SUM($BK248:$BS248)-$BZ248))</f>
        <v/>
      </c>
      <c r="CB248" s="100" t="str">
        <f aca="false">IF(ISBLANK($C248),"",IF($BH248&lt;&gt;Constants!$B$4,$BH248,RANK($CA248,$CA$9:$CA$508)))</f>
        <v/>
      </c>
      <c r="CC248" s="100" t="str">
        <f aca="false">IF(ISBLANK($C248),"",IF($BH248&lt;&gt;Constants!$B$4,$BH248,COUNTIFS($BI$9:$BI$508,"&lt;"&amp;$BI248)+COUNTIFS($BI$9:$BI$508,$BI248,$CB$9:$CB$508,"&lt;"&amp;$CB248)+1))</f>
        <v/>
      </c>
      <c r="CD248" s="100" t="str">
        <f aca="false">IF(ISBLANK($C248),"",IF($BH248&lt;&gt;Constants!$B$4,$BH248,RANK($BZ248,$BZ$9:$BZ$508,1)))</f>
        <v/>
      </c>
      <c r="CE248" s="100" t="str">
        <f aca="false">IF($BH248&lt;&gt;Constants!$B$4,"",$AL248+$AM248+$AN248)</f>
        <v/>
      </c>
      <c r="CF248" s="100" t="str">
        <f aca="false">IF(ISBLANK($C248),"",IF($BH248&lt;&gt;Constants!$B$4,$BH248,RANK($CE248,$CE$9:$CE$508,1)))</f>
        <v/>
      </c>
      <c r="CG248" s="100" t="str">
        <f aca="false">IF(ISBLANK($C248),"",IF($BH248&lt;&gt;Constants!$B$4,$BH248,COUNTIFS($BI$9:$BI$508,"&lt;"&amp;$BI248)+COUNTIFS($BI$9:$BI$508,$BI248,$CB$9:$CB$508,"&lt;"&amp;$CB248)+COUNTIFS($BI$9:$BI$508,$BI248,$CB$9:$CB$508,$CB248,$CD$9:$CD$508,"&lt;"&amp;$CD248)+COUNTIFS($BI$9:$BI$508,$BI248,$CB$9:$CB$508,$CB248,$CD$9:$CD$508,$CD248,$CF$9:$CF$508,"&lt;"&amp;$CF248)+1))</f>
        <v/>
      </c>
      <c r="CH248" s="100" t="str">
        <f aca="false">IF(ISBLANK($C248),"",IF($BH248&lt;&gt;Constants!$B$4,$BH248,$CC248-$CG248))</f>
        <v/>
      </c>
      <c r="CI248" s="100" t="str">
        <f aca="false">IF(ISBLANK($C248),"",IF(NOT($AJ248),"",IF(ISBLANK($D$7),$CI$5,IF(NOT(ISNUMBER($D$7)),$CI$6,""))))</f>
        <v/>
      </c>
      <c r="CJ248" s="100" t="str">
        <f aca="false">IF(ISBLANK($C248),"",OR($AL248="",$AM248="",$AN248=""))</f>
        <v/>
      </c>
      <c r="CK248" s="100" t="str">
        <f aca="false">IF(ISBLANK($C248),"",AND($AJ248,$AX248=""))</f>
        <v/>
      </c>
      <c r="CL248" s="100" t="str">
        <f aca="false">IF(ISBLANK($C248),"",AND($AJ248,$AY248=""))</f>
        <v/>
      </c>
      <c r="CM248" s="100" t="str">
        <f aca="false">IF(ISBLANK($C248),"",AND($AJ248,$AZ248=""))</f>
        <v/>
      </c>
      <c r="CN248" s="100" t="str">
        <f aca="false">IF(ISBLANK($C248),"",AND($AJ248,$BC248=""))</f>
        <v/>
      </c>
      <c r="CO248" s="100" t="str">
        <f aca="false">IF(ISBLANK($C248),"",AND($AJ248,$BF248=""))</f>
        <v/>
      </c>
      <c r="CP248" s="101"/>
      <c r="CQ248" s="102"/>
      <c r="CR248" s="103" t="str">
        <f aca="false">IF(ISBLANK($C248),"",IF($BH248=Constants!$B$8,$CI248,""))</f>
        <v/>
      </c>
      <c r="CS248" s="102" t="str">
        <f aca="false">IF(ISBLANK($C248),"",IF($BH248&lt;&gt;Constants!$B$4,"",$BK248+$BL248))</f>
        <v/>
      </c>
      <c r="CT248" s="104" t="str">
        <f aca="false">IF(ISBLANK($C248),"",IF($BH248&lt;&gt;Constants!$B$4,"",$BM248+$BN248+$BO248))</f>
        <v/>
      </c>
      <c r="CU248" s="104" t="str">
        <f aca="false">IF(ISBLANK($C248),"",IF($BH248&lt;&gt;Constants!$B$4,"",$BP248))</f>
        <v/>
      </c>
      <c r="CV248" s="104" t="str">
        <f aca="false">IF(ISBLANK($C248),"",IF($BH248&lt;&gt;Constants!$B$4,"",$BQ248+$BR248))</f>
        <v/>
      </c>
      <c r="CW248" s="104" t="str">
        <f aca="false">IF(ISBLANK($C248),"",IF($BH248&lt;&gt;Constants!$B$4,"",$BS248))</f>
        <v/>
      </c>
      <c r="CX248" s="104" t="str">
        <f aca="false">IF(ISBLANK($C248),"",IF($BH248&lt;&gt;Constants!$B$4,"",-$BZ248))</f>
        <v/>
      </c>
      <c r="CY248" s="103" t="str">
        <f aca="false">IF(ISBLANK($C248),"",$CA248)</f>
        <v/>
      </c>
      <c r="CZ248" s="105" t="str">
        <f aca="false">IF(ISBLANK($C248),"",$BI248)</f>
        <v/>
      </c>
      <c r="DA248" s="104" t="str">
        <f aca="false">IF(ISBLANK($C248),"",$CH248)</f>
        <v/>
      </c>
      <c r="DB248" s="104" t="str">
        <f aca="false">IF(ISBLANK($C248),"",$CG248)</f>
        <v/>
      </c>
      <c r="DC248" s="106" t="str">
        <f aca="false">IF(ISBLANK($C248),"",IFERROR(_xlfn.SWITCH($DB248,Constants!$B$7,COUNTA($C$9:$C$508)+2,Constants!$B$6,COUNTA($C$9:$C$508)+1,Constants!$B$5,COUNTA($C$9:$C$508)),$DB248))</f>
        <v/>
      </c>
      <c r="DD248" s="7"/>
      <c r="DE248" s="107" t="n">
        <f aca="false">IF(OR(ISNUMBER($DB248),$DB248=Constants!$B$7,$DB248=Constants!$B$5,$DB248=Constants!$B$6),1,0)</f>
        <v>0</v>
      </c>
      <c r="DF248" s="107" t="n">
        <v>240</v>
      </c>
      <c r="DG248" s="107" t="str">
        <f aca="false">IF(ISBLANK($C248),"",IF(ISNUMBER($DC248),$DC248+ROW($B248)/1000,""))</f>
        <v/>
      </c>
      <c r="DH248" s="107" t="str">
        <f aca="false">IF(ISNUMBER($DG248),RANK($DG248,$DG$9:$DG$508,1),"")</f>
        <v/>
      </c>
      <c r="DI248" s="107" t="str">
        <f aca="false">IF(ISBLANK($C248),"",$B248)</f>
        <v/>
      </c>
      <c r="DJ248" s="107" t="str">
        <f aca="false">IF(ISBLANK($C248),"",$C248)</f>
        <v/>
      </c>
      <c r="DK248" s="107" t="str">
        <f aca="false">IF(ISBLANK($C248),"",$D248)</f>
        <v/>
      </c>
      <c r="DL248" s="108" t="str">
        <f aca="false">$CZ248</f>
        <v/>
      </c>
      <c r="DM248" s="109" t="str">
        <f aca="false">$CY248</f>
        <v/>
      </c>
      <c r="DN248" s="107" t="str">
        <f aca="false">IF(ISBLANK($C248),"",$DB248)</f>
        <v/>
      </c>
      <c r="DO248" s="110" t="str">
        <f aca="false">IF($DF248&gt;$DE$8,"",VLOOKUP($DF248,$DH$9:$DN$508,7,FALSE()))</f>
        <v/>
      </c>
      <c r="DP248" s="111" t="str">
        <f aca="false">IF($DF248&gt;$DE$8,"",VLOOKUP($DF248,$DH$9:$DN$508,2,FALSE()))</f>
        <v/>
      </c>
      <c r="DQ248" s="111" t="str">
        <f aca="false">IF($DF248&gt;$DE$8,"",VLOOKUP($DF248,$DH$9:$DN$508,3,FALSE()))</f>
        <v/>
      </c>
      <c r="DR248" s="111" t="str">
        <f aca="false">IF($DF248&gt;$DE$8,"",VLOOKUP($DF248,$DH$9:$DN$508,4,FALSE()))</f>
        <v/>
      </c>
      <c r="DS248" s="111" t="str">
        <f aca="false">IF($DF248&gt;$DE$8,"",VLOOKUP($DF248,$DH$9:$DN$508,5,FALSE()))</f>
        <v/>
      </c>
      <c r="DT248" s="112" t="str">
        <f aca="false">IF($DF248&gt;$DE$8,"",VLOOKUP($DF248,$DH$9:$DN$508,6,FALSE()))</f>
        <v/>
      </c>
      <c r="DU248" s="62"/>
    </row>
    <row r="249" customFormat="false" ht="15.75" hidden="false" customHeight="false" outlineLevel="0" collapsed="false">
      <c r="A249" s="7"/>
      <c r="B249" s="64"/>
      <c r="C249" s="65"/>
      <c r="D249" s="123"/>
      <c r="E249" s="88"/>
      <c r="F249" s="134"/>
      <c r="G249" s="88"/>
      <c r="H249" s="134"/>
      <c r="I249" s="119"/>
      <c r="J249" s="119"/>
      <c r="K249" s="119"/>
      <c r="L249" s="88"/>
      <c r="M249" s="88"/>
      <c r="N249" s="88"/>
      <c r="O249" s="134"/>
      <c r="P249" s="88"/>
      <c r="Q249" s="88"/>
      <c r="R249" s="88"/>
      <c r="S249" s="88"/>
      <c r="T249" s="134"/>
      <c r="U249" s="88"/>
      <c r="V249" s="70"/>
      <c r="W249" s="88"/>
      <c r="X249" s="88"/>
      <c r="Y249" s="70"/>
      <c r="Z249" s="70"/>
      <c r="AA249" s="88"/>
      <c r="AB249" s="88"/>
      <c r="AC249" s="71"/>
      <c r="AD249" s="88"/>
      <c r="AE249" s="73"/>
      <c r="AF249" s="74"/>
      <c r="AG249" s="74"/>
      <c r="AH249" s="74" t="str">
        <f aca="false">IF(ISBLANK($C249),"",IF($E249=Constants!$B$2,TRUE(),IF($E249=Constants!$B$3,FALSE(),TRUE())))</f>
        <v/>
      </c>
      <c r="AI249" s="74" t="str">
        <f aca="false">IF(ISBLANK($C249),"",IF($F249=Constants!$B$2,TRUE(),IF($F249=Constants!$B$3,FALSE(),FALSE())))</f>
        <v/>
      </c>
      <c r="AJ249" s="74" t="str">
        <f aca="false">IF(ISBLANK($C249),"",IF($G249=Constants!$B$2,TRUE(),IF($G249=Constants!$B$3,FALSE(),TRUE())))</f>
        <v/>
      </c>
      <c r="AK249" s="74" t="str">
        <f aca="false">IF(ISBLANK($C249),"",IF($H249=Constants!$B$2,TRUE(),IF($H249=Constants!$B$3,FALSE(),TRUE())))</f>
        <v/>
      </c>
      <c r="AL249" s="74" t="str">
        <f aca="false">IF(ISBLANK($C249),"",IF(ISNUMBER($I249),IF($I249&gt;=0,$I249,""),""))</f>
        <v/>
      </c>
      <c r="AM249" s="74" t="str">
        <f aca="false">IF(ISBLANK($C249),"",IF(ISNUMBER($J249),IF($J249&gt;=0,$J249,""),""))</f>
        <v/>
      </c>
      <c r="AN249" s="74" t="str">
        <f aca="false">IF(ISBLANK($C249),"",IF(ISNUMBER($K249),IF($K249&gt;=0,$K249,""),""))</f>
        <v/>
      </c>
      <c r="AO249" s="74" t="str">
        <f aca="false">IF(ISBLANK($C249),"",IF($L249=Constants!$B$2,TRUE(),IF($L249=Constants!$B$3,FALSE(),TRUE())))</f>
        <v/>
      </c>
      <c r="AP249" s="74" t="str">
        <f aca="false">IF(ISBLANK($C249),"",IF($M249=Constants!$B$2,TRUE(),IF($M249=Constants!$B$3,FALSE(),TRUE())))</f>
        <v/>
      </c>
      <c r="AQ249" s="74" t="str">
        <f aca="false">IF(ISBLANK($C249),"",IF($N249=Constants!$B$2,TRUE(),IF($N249=Constants!$B$3,FALSE(),FALSE())))</f>
        <v/>
      </c>
      <c r="AR249" s="74" t="str">
        <f aca="false">IF(ISBLANK($C249),"",IF($O249=Constants!$B$2,TRUE(),IF($O249=Constants!$B$3,FALSE(),TRUE())))</f>
        <v/>
      </c>
      <c r="AS249" s="74" t="str">
        <f aca="false">IF(ISBLANK($C249),"",IF($P249=Constants!$B$2,TRUE(),IF($P249=Constants!$B$3,FALSE(),FALSE())))</f>
        <v/>
      </c>
      <c r="AT249" s="74" t="str">
        <f aca="false">IF(ISBLANK($C249),"",IF($Q249=Constants!$B$2,TRUE(),IF($Q249=Constants!$B$3,FALSE(),FALSE())))</f>
        <v/>
      </c>
      <c r="AU249" s="74" t="str">
        <f aca="false">IF(ISBLANK($C249),"",IF($R249=Constants!$B$2,TRUE(),IF($R249=Constants!$B$3,FALSE(),FALSE())))</f>
        <v/>
      </c>
      <c r="AV249" s="74" t="str">
        <f aca="false">IF(ISBLANK($C249),"",IF($S249=Constants!$B$2,TRUE(),IF($S249=Constants!$B$3,FALSE(),FALSE())))</f>
        <v/>
      </c>
      <c r="AW249" s="74" t="str">
        <f aca="false">IF(ISBLANK($C249),"",IF($T249=Constants!$B$2,TRUE(),IF($T249=Constants!$B$3,FALSE(),FALSE())))</f>
        <v/>
      </c>
      <c r="AX249" s="74" t="str">
        <f aca="false">IF(ISBLANK($C249),"",IF(OR($U249&amp;""="1",$U249&amp;""="2",$U249&amp;""="3",$U249&amp;""="4"),VALUE($U249&amp;""),IF($U249=Constants!$B$12,Constants!$B$12,"")))</f>
        <v/>
      </c>
      <c r="AY249" s="74" t="str">
        <f aca="false">IF(ISBLANK($C249),"",IF(ISBLANK($V249),0,IF(ISNUMBER($V249),IF(AND($V249&gt;=0,$V249&lt;=Constants!$B$21,$V249=INT($V249)),$V249,""),"")))</f>
        <v/>
      </c>
      <c r="AZ249" s="74" t="str">
        <f aca="false">IF(ISBLANK($C249),"",IF(ISBLANK($W249),0,IF(ISNUMBER($W249),IF($W249&gt;=0,$W249,""),"")))</f>
        <v/>
      </c>
      <c r="BA249" s="74" t="str">
        <f aca="false">IF(ISBLANK($C249),"",IF($X249=Constants!$B$2,TRUE(),IF($X249=Constants!$B$3,FALSE(),TRUE())))</f>
        <v/>
      </c>
      <c r="BB249" s="74" t="str">
        <f aca="false">IF(ISBLANK($C249),"",IF($Y249=Constants!$B$2,TRUE(),IF($Y249=Constants!$B$3,FALSE(),FALSE())))</f>
        <v/>
      </c>
      <c r="BC249" s="74" t="str">
        <f aca="false">IF(ISBLANK($C249),"",IF(ISBLANK($Z249),0,IF(ISNUMBER($Z249),IF(AND($Z249&gt;=0,$Z249&lt;=Constants!$B$35,$Z249=INT($Z249)),$Z249,""),"")))</f>
        <v/>
      </c>
      <c r="BD249" s="74" t="str">
        <f aca="false">IF(ISBLANK($C249),"",IF($AA249=Constants!$B$2,TRUE(),IF($AA249=Constants!$B$3,FALSE(),TRUE())))</f>
        <v/>
      </c>
      <c r="BE249" s="74" t="str">
        <f aca="false">IF(ISBLANK($C249),"",IF($AB249=Constants!$B$2,TRUE(),IF($AB249=Constants!$B$3,FALSE(),TRUE())))</f>
        <v/>
      </c>
      <c r="BF249" s="74" t="str">
        <f aca="false">IF(ISBLANK($C249),"",IF(ISNUMBER($AC249),IF($AC249&gt;=0,$AC249,""),""))</f>
        <v/>
      </c>
      <c r="BG249" s="74" t="str">
        <f aca="false">IF(ISBLANK($C249),"",IF($AD249=Constants!$B$2,TRUE(),IF($AD249=Constants!$B$3,FALSE(),FALSE())))</f>
        <v/>
      </c>
      <c r="BH249" s="73" t="str">
        <f aca="false">IF(ISBLANK($C249),"",IF($BG249,Constants!$B$7,IF(COUNTA($E249:$AC249)=0,Constants!$B$6,IF(OR(COUNTA($G249:$AC249)=0,NOT($AK249),$AQ249),Constants!$B$5,IF(OR($CI249&lt;&gt;"",$CJ249,$CK249,$CL249,$CM249,$CN249,$CO249),Constants!$B$8,Constants!$B$4)))))</f>
        <v/>
      </c>
      <c r="BI249" s="74" t="str">
        <f aca="false">IF(ISBLANK($C249),"",IF($BH249&lt;&gt;Constants!$B$4,$BH249,IF(OR(NOT($AH249),NOT($AJ249),NOT($AR249)),Constants!$B$11,IF(OR(NOT($AP249),MAX($AL249,$AM249,$AN249)&gt;Constants!$B$30),Constants!$B$10,Constants!$B$9))))</f>
        <v/>
      </c>
      <c r="BJ249" s="74" t="str">
        <f aca="false">IF($BH249&lt;&gt;Constants!$B$4,"",IF(NOT($AJ249),0,MIN(Constants!$B$35,$BC249)))</f>
        <v/>
      </c>
      <c r="BK249" s="74" t="str">
        <f aca="false">IF($BH249&lt;&gt;Constants!$B$4,"",IF(NOT($AJ249),0,IF($AT249,Constants!$B$18,IF($AS249,Constants!$B$17,0))))</f>
        <v/>
      </c>
      <c r="BL249" s="74" t="str">
        <f aca="false">IF($BH249&lt;&gt;Constants!$B$4,"",IF(NOT($AJ249),0,Constants!$B$19*($AI249+$AU249+$AV249+$AW249)))</f>
        <v/>
      </c>
      <c r="BM249" s="74" t="str">
        <f aca="false">IF($BH249&lt;&gt;Constants!$B$4,"",IF(OR(NOT($AJ249),NOT(ISNUMBER($AX249))),0,CHOOSE($AX249,Constants!$B$13,Constants!$B$14,Constants!$B$15,Constants!$B$16)))</f>
        <v/>
      </c>
      <c r="BN249" s="74" t="str">
        <f aca="false">IF($BH249&lt;&gt;Constants!$B$4,"",IF(NOT($AJ249),0,Constants!$B$20*$AY249))</f>
        <v/>
      </c>
      <c r="BO249" s="74" t="str">
        <f aca="false">IF($BH249&lt;&gt;Constants!$B$4,"",IF(AND($AJ249,$BA249,$BB249),Constants!$B$22,0))</f>
        <v/>
      </c>
      <c r="BP249" s="74" t="str">
        <f aca="false">IF($BH249&lt;&gt;Constants!$B$4,"",IF(OR(NOT($AJ249),NOT($BA249)),0,IF($BF249&gt;=2*$AF$9,0,Constants!$B$23*INT(ROUND(MIN($BF249,$AF$9),6)))))</f>
        <v/>
      </c>
      <c r="BQ249" s="74" t="str">
        <f aca="false">IF($BH249&lt;&gt;Constants!$B$4,"",IF(NOT($AJ249),0,Constants!$B$24*INT(ROUND(MIN($AZ249,$AF$9),6))))</f>
        <v/>
      </c>
      <c r="BR249" s="74" t="str">
        <f aca="false">IF($BH249&lt;&gt;Constants!$B$4,"",IF(AND($AJ249,$BJ249=0),Constants!$B$25,0))</f>
        <v/>
      </c>
      <c r="BS249" s="74" t="str">
        <f aca="false">IF($BH249&lt;&gt;Constants!$B$4,"",MIN(Constants!$B$29,MAX(0,Constants!$B$27*Constants!$B$28*INT(ROUND((Constants!$B$26-$AL249)/Constants!$B$28,6))))+MIN(Constants!$B$29,MAX(0,Constants!$B$27*Constants!$B$28*INT(ROUND((Constants!$B$26-$AM249)/Constants!$B$28,6))))+MIN(Constants!$B$29,MAX(0,Constants!$B$27*Constants!$B$28*INT(ROUND((Constants!$B$26-$AN249)/Constants!$B$28,6)))))</f>
        <v/>
      </c>
      <c r="BT249" s="74" t="str">
        <f aca="false">IF($BH249&lt;&gt;Constants!$B$4,"",IF(NOT($AJ249),0,Constants!$B$31*INT(ROUND(MAX(0,MIN($BF249,2*$AF$9)-$AF$9),6))))</f>
        <v/>
      </c>
      <c r="BU249" s="74" t="str">
        <f aca="false">IF($BH249&lt;&gt;Constants!$B$4,"",Constants!$B$32*(($AL249&gt;Constants!$B$26)+($AM249&gt;Constants!$B$26)+($AN249&gt;Constants!$B$26)))</f>
        <v/>
      </c>
      <c r="BV249" s="74" t="str">
        <f aca="false">IF($BH249&lt;&gt;Constants!$B$4,"",IF(OR(NOT($AJ249),$AO249),0,Constants!$B$33))</f>
        <v/>
      </c>
      <c r="BW249" s="74" t="str">
        <f aca="false">IF($BH249&lt;&gt;Constants!$B$4,"",Constants!$B$34*$BJ249)</f>
        <v/>
      </c>
      <c r="BX249" s="74" t="str">
        <f aca="false">IF($BH249&lt;&gt;Constants!$B$4,"",IF(OR(NOT($AJ249),$BE249),0,Constants!$B$36))</f>
        <v/>
      </c>
      <c r="BY249" s="74" t="str">
        <f aca="false">IF($BH249&lt;&gt;Constants!$B$4,"",IF(OR(NOT($AJ249),$BD249),0,Constants!$B$37))</f>
        <v/>
      </c>
      <c r="BZ249" s="74" t="str">
        <f aca="false">IF($BH249&lt;&gt;Constants!$B$4,"",SUM($BT249:$BY249))</f>
        <v/>
      </c>
      <c r="CA249" s="74" t="str">
        <f aca="false">IF(ISBLANK($C249),"",IF($BH249&lt;&gt;Constants!$B$4,$BH249,SUM($BK249:$BS249)-$BZ249))</f>
        <v/>
      </c>
      <c r="CB249" s="74" t="str">
        <f aca="false">IF(ISBLANK($C249),"",IF($BH249&lt;&gt;Constants!$B$4,$BH249,RANK($CA249,$CA$9:$CA$508)))</f>
        <v/>
      </c>
      <c r="CC249" s="74" t="str">
        <f aca="false">IF(ISBLANK($C249),"",IF($BH249&lt;&gt;Constants!$B$4,$BH249,COUNTIFS($BI$9:$BI$508,"&lt;"&amp;$BI249)+COUNTIFS($BI$9:$BI$508,$BI249,$CB$9:$CB$508,"&lt;"&amp;$CB249)+1))</f>
        <v/>
      </c>
      <c r="CD249" s="74" t="str">
        <f aca="false">IF(ISBLANK($C249),"",IF($BH249&lt;&gt;Constants!$B$4,$BH249,RANK($BZ249,$BZ$9:$BZ$508,1)))</f>
        <v/>
      </c>
      <c r="CE249" s="74" t="str">
        <f aca="false">IF($BH249&lt;&gt;Constants!$B$4,"",$AL249+$AM249+$AN249)</f>
        <v/>
      </c>
      <c r="CF249" s="74" t="str">
        <f aca="false">IF(ISBLANK($C249),"",IF($BH249&lt;&gt;Constants!$B$4,$BH249,RANK($CE249,$CE$9:$CE$508,1)))</f>
        <v/>
      </c>
      <c r="CG249" s="74" t="str">
        <f aca="false">IF(ISBLANK($C249),"",IF($BH249&lt;&gt;Constants!$B$4,$BH249,COUNTIFS($BI$9:$BI$508,"&lt;"&amp;$BI249)+COUNTIFS($BI$9:$BI$508,$BI249,$CB$9:$CB$508,"&lt;"&amp;$CB249)+COUNTIFS($BI$9:$BI$508,$BI249,$CB$9:$CB$508,$CB249,$CD$9:$CD$508,"&lt;"&amp;$CD249)+COUNTIFS($BI$9:$BI$508,$BI249,$CB$9:$CB$508,$CB249,$CD$9:$CD$508,$CD249,$CF$9:$CF$508,"&lt;"&amp;$CF249)+1))</f>
        <v/>
      </c>
      <c r="CH249" s="74" t="str">
        <f aca="false">IF(ISBLANK($C249),"",IF($BH249&lt;&gt;Constants!$B$4,$BH249,$CC249-$CG249))</f>
        <v/>
      </c>
      <c r="CI249" s="74" t="str">
        <f aca="false">IF(ISBLANK($C249),"",IF(NOT($AJ249),"",IF(ISBLANK($D$7),$CI$5,IF(NOT(ISNUMBER($D$7)),$CI$6,""))))</f>
        <v/>
      </c>
      <c r="CJ249" s="74" t="str">
        <f aca="false">IF(ISBLANK($C249),"",OR($AL249="",$AM249="",$AN249=""))</f>
        <v/>
      </c>
      <c r="CK249" s="74" t="str">
        <f aca="false">IF(ISBLANK($C249),"",AND($AJ249,$AX249=""))</f>
        <v/>
      </c>
      <c r="CL249" s="74" t="str">
        <f aca="false">IF(ISBLANK($C249),"",AND($AJ249,$AY249=""))</f>
        <v/>
      </c>
      <c r="CM249" s="74" t="str">
        <f aca="false">IF(ISBLANK($C249),"",AND($AJ249,$AZ249=""))</f>
        <v/>
      </c>
      <c r="CN249" s="74" t="str">
        <f aca="false">IF(ISBLANK($C249),"",AND($AJ249,$BC249=""))</f>
        <v/>
      </c>
      <c r="CO249" s="74" t="str">
        <f aca="false">IF(ISBLANK($C249),"",AND($AJ249,$BF249=""))</f>
        <v/>
      </c>
      <c r="CP249" s="75"/>
      <c r="CQ249" s="76"/>
      <c r="CR249" s="79" t="str">
        <f aca="false">IF(ISBLANK($C249),"",IF($BH249=Constants!$B$8,$CI249,""))</f>
        <v/>
      </c>
      <c r="CS249" s="76" t="str">
        <f aca="false">IF(ISBLANK($C249),"",IF($BH249&lt;&gt;Constants!$B$4,"",$BK249+$BL249))</f>
        <v/>
      </c>
      <c r="CT249" s="78" t="str">
        <f aca="false">IF(ISBLANK($C249),"",IF($BH249&lt;&gt;Constants!$B$4,"",$BM249+$BN249+$BO249))</f>
        <v/>
      </c>
      <c r="CU249" s="78" t="str">
        <f aca="false">IF(ISBLANK($C249),"",IF($BH249&lt;&gt;Constants!$B$4,"",$BP249))</f>
        <v/>
      </c>
      <c r="CV249" s="78" t="str">
        <f aca="false">IF(ISBLANK($C249),"",IF($BH249&lt;&gt;Constants!$B$4,"",$BQ249+$BR249))</f>
        <v/>
      </c>
      <c r="CW249" s="78" t="str">
        <f aca="false">IF(ISBLANK($C249),"",IF($BH249&lt;&gt;Constants!$B$4,"",$BS249))</f>
        <v/>
      </c>
      <c r="CX249" s="78" t="str">
        <f aca="false">IF(ISBLANK($C249),"",IF($BH249&lt;&gt;Constants!$B$4,"",-$BZ249))</f>
        <v/>
      </c>
      <c r="CY249" s="79" t="str">
        <f aca="false">IF(ISBLANK($C249),"",$CA249)</f>
        <v/>
      </c>
      <c r="CZ249" s="80" t="str">
        <f aca="false">IF(ISBLANK($C249),"",$BI249)</f>
        <v/>
      </c>
      <c r="DA249" s="78" t="str">
        <f aca="false">IF(ISBLANK($C249),"",$CH249)</f>
        <v/>
      </c>
      <c r="DB249" s="78" t="str">
        <f aca="false">IF(ISBLANK($C249),"",$CG249)</f>
        <v/>
      </c>
      <c r="DC249" s="81" t="str">
        <f aca="false">IF(ISBLANK($C249),"",IFERROR(_xlfn.SWITCH($DB249,Constants!$B$7,COUNTA($C$9:$C$508)+2,Constants!$B$6,COUNTA($C$9:$C$508)+1,Constants!$B$5,COUNTA($C$9:$C$508)),$DB249))</f>
        <v/>
      </c>
      <c r="DD249" s="7"/>
      <c r="DE249" s="82" t="n">
        <f aca="false">IF(OR(ISNUMBER($DB249),$DB249=Constants!$B$7,$DB249=Constants!$B$5,$DB249=Constants!$B$6),1,0)</f>
        <v>0</v>
      </c>
      <c r="DF249" s="82" t="n">
        <v>241</v>
      </c>
      <c r="DG249" s="82" t="str">
        <f aca="false">IF(ISBLANK($C249),"",IF(ISNUMBER($DC249),$DC249+ROW($B249)/1000,""))</f>
        <v/>
      </c>
      <c r="DH249" s="82" t="str">
        <f aca="false">IF(ISNUMBER($DG249),RANK($DG249,$DG$9:$DG$508,1),"")</f>
        <v/>
      </c>
      <c r="DI249" s="82" t="str">
        <f aca="false">IF(ISBLANK($C249),"",$B249)</f>
        <v/>
      </c>
      <c r="DJ249" s="82" t="str">
        <f aca="false">IF(ISBLANK($C249),"",$C249)</f>
        <v/>
      </c>
      <c r="DK249" s="82" t="str">
        <f aca="false">IF(ISBLANK($C249),"",$D249)</f>
        <v/>
      </c>
      <c r="DL249" s="83" t="str">
        <f aca="false">$CZ249</f>
        <v/>
      </c>
      <c r="DM249" s="84" t="str">
        <f aca="false">$CY249</f>
        <v/>
      </c>
      <c r="DN249" s="82" t="str">
        <f aca="false">IF(ISBLANK($C249),"",$DB249)</f>
        <v/>
      </c>
      <c r="DO249" s="85" t="str">
        <f aca="false">IF($DF249&gt;$DE$8,"",VLOOKUP($DF249,$DH$9:$DN$508,7,FALSE()))</f>
        <v/>
      </c>
      <c r="DP249" s="86" t="str">
        <f aca="false">IF($DF249&gt;$DE$8,"",VLOOKUP($DF249,$DH$9:$DN$508,2,FALSE()))</f>
        <v/>
      </c>
      <c r="DQ249" s="86" t="str">
        <f aca="false">IF($DF249&gt;$DE$8,"",VLOOKUP($DF249,$DH$9:$DN$508,3,FALSE()))</f>
        <v/>
      </c>
      <c r="DR249" s="86" t="str">
        <f aca="false">IF($DF249&gt;$DE$8,"",VLOOKUP($DF249,$DH$9:$DN$508,4,FALSE()))</f>
        <v/>
      </c>
      <c r="DS249" s="86" t="str">
        <f aca="false">IF($DF249&gt;$DE$8,"",VLOOKUP($DF249,$DH$9:$DN$508,5,FALSE()))</f>
        <v/>
      </c>
      <c r="DT249" s="87" t="str">
        <f aca="false">IF($DF249&gt;$DE$8,"",VLOOKUP($DF249,$DH$9:$DN$508,6,FALSE()))</f>
        <v/>
      </c>
      <c r="DU249" s="62"/>
    </row>
    <row r="250" customFormat="false" ht="15.75" hidden="false" customHeight="false" outlineLevel="0" collapsed="false">
      <c r="A250" s="7"/>
      <c r="B250" s="64"/>
      <c r="C250" s="65"/>
      <c r="D250" s="123"/>
      <c r="E250" s="88"/>
      <c r="F250" s="134"/>
      <c r="G250" s="88"/>
      <c r="H250" s="134"/>
      <c r="I250" s="119"/>
      <c r="J250" s="119"/>
      <c r="K250" s="119"/>
      <c r="L250" s="88"/>
      <c r="M250" s="88"/>
      <c r="N250" s="88"/>
      <c r="O250" s="134"/>
      <c r="P250" s="88"/>
      <c r="Q250" s="88"/>
      <c r="R250" s="88"/>
      <c r="S250" s="88"/>
      <c r="T250" s="134"/>
      <c r="U250" s="88"/>
      <c r="V250" s="70"/>
      <c r="W250" s="88"/>
      <c r="X250" s="88"/>
      <c r="Y250" s="70"/>
      <c r="Z250" s="70"/>
      <c r="AA250" s="88"/>
      <c r="AB250" s="88"/>
      <c r="AC250" s="71"/>
      <c r="AD250" s="88"/>
      <c r="AE250" s="73"/>
      <c r="AF250" s="74"/>
      <c r="AG250" s="74"/>
      <c r="AH250" s="74" t="str">
        <f aca="false">IF(ISBLANK($C250),"",IF($E250=Constants!$B$2,TRUE(),IF($E250=Constants!$B$3,FALSE(),TRUE())))</f>
        <v/>
      </c>
      <c r="AI250" s="74" t="str">
        <f aca="false">IF(ISBLANK($C250),"",IF($F250=Constants!$B$2,TRUE(),IF($F250=Constants!$B$3,FALSE(),FALSE())))</f>
        <v/>
      </c>
      <c r="AJ250" s="74" t="str">
        <f aca="false">IF(ISBLANK($C250),"",IF($G250=Constants!$B$2,TRUE(),IF($G250=Constants!$B$3,FALSE(),TRUE())))</f>
        <v/>
      </c>
      <c r="AK250" s="74" t="str">
        <f aca="false">IF(ISBLANK($C250),"",IF($H250=Constants!$B$2,TRUE(),IF($H250=Constants!$B$3,FALSE(),TRUE())))</f>
        <v/>
      </c>
      <c r="AL250" s="74" t="str">
        <f aca="false">IF(ISBLANK($C250),"",IF(ISNUMBER($I250),IF($I250&gt;=0,$I250,""),""))</f>
        <v/>
      </c>
      <c r="AM250" s="74" t="str">
        <f aca="false">IF(ISBLANK($C250),"",IF(ISNUMBER($J250),IF($J250&gt;=0,$J250,""),""))</f>
        <v/>
      </c>
      <c r="AN250" s="74" t="str">
        <f aca="false">IF(ISBLANK($C250),"",IF(ISNUMBER($K250),IF($K250&gt;=0,$K250,""),""))</f>
        <v/>
      </c>
      <c r="AO250" s="74" t="str">
        <f aca="false">IF(ISBLANK($C250),"",IF($L250=Constants!$B$2,TRUE(),IF($L250=Constants!$B$3,FALSE(),TRUE())))</f>
        <v/>
      </c>
      <c r="AP250" s="74" t="str">
        <f aca="false">IF(ISBLANK($C250),"",IF($M250=Constants!$B$2,TRUE(),IF($M250=Constants!$B$3,FALSE(),TRUE())))</f>
        <v/>
      </c>
      <c r="AQ250" s="74" t="str">
        <f aca="false">IF(ISBLANK($C250),"",IF($N250=Constants!$B$2,TRUE(),IF($N250=Constants!$B$3,FALSE(),FALSE())))</f>
        <v/>
      </c>
      <c r="AR250" s="74" t="str">
        <f aca="false">IF(ISBLANK($C250),"",IF($O250=Constants!$B$2,TRUE(),IF($O250=Constants!$B$3,FALSE(),TRUE())))</f>
        <v/>
      </c>
      <c r="AS250" s="74" t="str">
        <f aca="false">IF(ISBLANK($C250),"",IF($P250=Constants!$B$2,TRUE(),IF($P250=Constants!$B$3,FALSE(),FALSE())))</f>
        <v/>
      </c>
      <c r="AT250" s="74" t="str">
        <f aca="false">IF(ISBLANK($C250),"",IF($Q250=Constants!$B$2,TRUE(),IF($Q250=Constants!$B$3,FALSE(),FALSE())))</f>
        <v/>
      </c>
      <c r="AU250" s="74" t="str">
        <f aca="false">IF(ISBLANK($C250),"",IF($R250=Constants!$B$2,TRUE(),IF($R250=Constants!$B$3,FALSE(),FALSE())))</f>
        <v/>
      </c>
      <c r="AV250" s="74" t="str">
        <f aca="false">IF(ISBLANK($C250),"",IF($S250=Constants!$B$2,TRUE(),IF($S250=Constants!$B$3,FALSE(),FALSE())))</f>
        <v/>
      </c>
      <c r="AW250" s="74" t="str">
        <f aca="false">IF(ISBLANK($C250),"",IF($T250=Constants!$B$2,TRUE(),IF($T250=Constants!$B$3,FALSE(),FALSE())))</f>
        <v/>
      </c>
      <c r="AX250" s="74" t="str">
        <f aca="false">IF(ISBLANK($C250),"",IF(OR($U250&amp;""="1",$U250&amp;""="2",$U250&amp;""="3",$U250&amp;""="4"),VALUE($U250&amp;""),IF($U250=Constants!$B$12,Constants!$B$12,"")))</f>
        <v/>
      </c>
      <c r="AY250" s="74" t="str">
        <f aca="false">IF(ISBLANK($C250),"",IF(ISBLANK($V250),0,IF(ISNUMBER($V250),IF(AND($V250&gt;=0,$V250&lt;=Constants!$B$21,$V250=INT($V250)),$V250,""),"")))</f>
        <v/>
      </c>
      <c r="AZ250" s="74" t="str">
        <f aca="false">IF(ISBLANK($C250),"",IF(ISBLANK($W250),0,IF(ISNUMBER($W250),IF($W250&gt;=0,$W250,""),"")))</f>
        <v/>
      </c>
      <c r="BA250" s="74" t="str">
        <f aca="false">IF(ISBLANK($C250),"",IF($X250=Constants!$B$2,TRUE(),IF($X250=Constants!$B$3,FALSE(),TRUE())))</f>
        <v/>
      </c>
      <c r="BB250" s="74" t="str">
        <f aca="false">IF(ISBLANK($C250),"",IF($Y250=Constants!$B$2,TRUE(),IF($Y250=Constants!$B$3,FALSE(),FALSE())))</f>
        <v/>
      </c>
      <c r="BC250" s="74" t="str">
        <f aca="false">IF(ISBLANK($C250),"",IF(ISBLANK($Z250),0,IF(ISNUMBER($Z250),IF(AND($Z250&gt;=0,$Z250&lt;=Constants!$B$35,$Z250=INT($Z250)),$Z250,""),"")))</f>
        <v/>
      </c>
      <c r="BD250" s="74" t="str">
        <f aca="false">IF(ISBLANK($C250),"",IF($AA250=Constants!$B$2,TRUE(),IF($AA250=Constants!$B$3,FALSE(),TRUE())))</f>
        <v/>
      </c>
      <c r="BE250" s="74" t="str">
        <f aca="false">IF(ISBLANK($C250),"",IF($AB250=Constants!$B$2,TRUE(),IF($AB250=Constants!$B$3,FALSE(),TRUE())))</f>
        <v/>
      </c>
      <c r="BF250" s="74" t="str">
        <f aca="false">IF(ISBLANK($C250),"",IF(ISNUMBER($AC250),IF($AC250&gt;=0,$AC250,""),""))</f>
        <v/>
      </c>
      <c r="BG250" s="74" t="str">
        <f aca="false">IF(ISBLANK($C250),"",IF($AD250=Constants!$B$2,TRUE(),IF($AD250=Constants!$B$3,FALSE(),FALSE())))</f>
        <v/>
      </c>
      <c r="BH250" s="73" t="str">
        <f aca="false">IF(ISBLANK($C250),"",IF($BG250,Constants!$B$7,IF(COUNTA($E250:$AC250)=0,Constants!$B$6,IF(OR(COUNTA($G250:$AC250)=0,NOT($AK250),$AQ250),Constants!$B$5,IF(OR($CI250&lt;&gt;"",$CJ250,$CK250,$CL250,$CM250,$CN250,$CO250),Constants!$B$8,Constants!$B$4)))))</f>
        <v/>
      </c>
      <c r="BI250" s="74" t="str">
        <f aca="false">IF(ISBLANK($C250),"",IF($BH250&lt;&gt;Constants!$B$4,$BH250,IF(OR(NOT($AH250),NOT($AJ250),NOT($AR250)),Constants!$B$11,IF(OR(NOT($AP250),MAX($AL250,$AM250,$AN250)&gt;Constants!$B$30),Constants!$B$10,Constants!$B$9))))</f>
        <v/>
      </c>
      <c r="BJ250" s="74" t="str">
        <f aca="false">IF($BH250&lt;&gt;Constants!$B$4,"",IF(NOT($AJ250),0,MIN(Constants!$B$35,$BC250)))</f>
        <v/>
      </c>
      <c r="BK250" s="74" t="str">
        <f aca="false">IF($BH250&lt;&gt;Constants!$B$4,"",IF(NOT($AJ250),0,IF($AT250,Constants!$B$18,IF($AS250,Constants!$B$17,0))))</f>
        <v/>
      </c>
      <c r="BL250" s="74" t="str">
        <f aca="false">IF($BH250&lt;&gt;Constants!$B$4,"",IF(NOT($AJ250),0,Constants!$B$19*($AI250+$AU250+$AV250+$AW250)))</f>
        <v/>
      </c>
      <c r="BM250" s="74" t="str">
        <f aca="false">IF($BH250&lt;&gt;Constants!$B$4,"",IF(OR(NOT($AJ250),NOT(ISNUMBER($AX250))),0,CHOOSE($AX250,Constants!$B$13,Constants!$B$14,Constants!$B$15,Constants!$B$16)))</f>
        <v/>
      </c>
      <c r="BN250" s="74" t="str">
        <f aca="false">IF($BH250&lt;&gt;Constants!$B$4,"",IF(NOT($AJ250),0,Constants!$B$20*$AY250))</f>
        <v/>
      </c>
      <c r="BO250" s="74" t="str">
        <f aca="false">IF($BH250&lt;&gt;Constants!$B$4,"",IF(AND($AJ250,$BA250,$BB250),Constants!$B$22,0))</f>
        <v/>
      </c>
      <c r="BP250" s="74" t="str">
        <f aca="false">IF($BH250&lt;&gt;Constants!$B$4,"",IF(OR(NOT($AJ250),NOT($BA250)),0,IF($BF250&gt;=2*$AF$9,0,Constants!$B$23*INT(ROUND(MIN($BF250,$AF$9),6)))))</f>
        <v/>
      </c>
      <c r="BQ250" s="74" t="str">
        <f aca="false">IF($BH250&lt;&gt;Constants!$B$4,"",IF(NOT($AJ250),0,Constants!$B$24*INT(ROUND(MIN($AZ250,$AF$9),6))))</f>
        <v/>
      </c>
      <c r="BR250" s="74" t="str">
        <f aca="false">IF($BH250&lt;&gt;Constants!$B$4,"",IF(AND($AJ250,$BJ250=0),Constants!$B$25,0))</f>
        <v/>
      </c>
      <c r="BS250" s="74" t="str">
        <f aca="false">IF($BH250&lt;&gt;Constants!$B$4,"",MIN(Constants!$B$29,MAX(0,Constants!$B$27*Constants!$B$28*INT(ROUND((Constants!$B$26-$AL250)/Constants!$B$28,6))))+MIN(Constants!$B$29,MAX(0,Constants!$B$27*Constants!$B$28*INT(ROUND((Constants!$B$26-$AM250)/Constants!$B$28,6))))+MIN(Constants!$B$29,MAX(0,Constants!$B$27*Constants!$B$28*INT(ROUND((Constants!$B$26-$AN250)/Constants!$B$28,6)))))</f>
        <v/>
      </c>
      <c r="BT250" s="74" t="str">
        <f aca="false">IF($BH250&lt;&gt;Constants!$B$4,"",IF(NOT($AJ250),0,Constants!$B$31*INT(ROUND(MAX(0,MIN($BF250,2*$AF$9)-$AF$9),6))))</f>
        <v/>
      </c>
      <c r="BU250" s="74" t="str">
        <f aca="false">IF($BH250&lt;&gt;Constants!$B$4,"",Constants!$B$32*(($AL250&gt;Constants!$B$26)+($AM250&gt;Constants!$B$26)+($AN250&gt;Constants!$B$26)))</f>
        <v/>
      </c>
      <c r="BV250" s="74" t="str">
        <f aca="false">IF($BH250&lt;&gt;Constants!$B$4,"",IF(OR(NOT($AJ250),$AO250),0,Constants!$B$33))</f>
        <v/>
      </c>
      <c r="BW250" s="74" t="str">
        <f aca="false">IF($BH250&lt;&gt;Constants!$B$4,"",Constants!$B$34*$BJ250)</f>
        <v/>
      </c>
      <c r="BX250" s="74" t="str">
        <f aca="false">IF($BH250&lt;&gt;Constants!$B$4,"",IF(OR(NOT($AJ250),$BE250),0,Constants!$B$36))</f>
        <v/>
      </c>
      <c r="BY250" s="74" t="str">
        <f aca="false">IF($BH250&lt;&gt;Constants!$B$4,"",IF(OR(NOT($AJ250),$BD250),0,Constants!$B$37))</f>
        <v/>
      </c>
      <c r="BZ250" s="74" t="str">
        <f aca="false">IF($BH250&lt;&gt;Constants!$B$4,"",SUM($BT250:$BY250))</f>
        <v/>
      </c>
      <c r="CA250" s="74" t="str">
        <f aca="false">IF(ISBLANK($C250),"",IF($BH250&lt;&gt;Constants!$B$4,$BH250,SUM($BK250:$BS250)-$BZ250))</f>
        <v/>
      </c>
      <c r="CB250" s="74" t="str">
        <f aca="false">IF(ISBLANK($C250),"",IF($BH250&lt;&gt;Constants!$B$4,$BH250,RANK($CA250,$CA$9:$CA$508)))</f>
        <v/>
      </c>
      <c r="CC250" s="74" t="str">
        <f aca="false">IF(ISBLANK($C250),"",IF($BH250&lt;&gt;Constants!$B$4,$BH250,COUNTIFS($BI$9:$BI$508,"&lt;"&amp;$BI250)+COUNTIFS($BI$9:$BI$508,$BI250,$CB$9:$CB$508,"&lt;"&amp;$CB250)+1))</f>
        <v/>
      </c>
      <c r="CD250" s="74" t="str">
        <f aca="false">IF(ISBLANK($C250),"",IF($BH250&lt;&gt;Constants!$B$4,$BH250,RANK($BZ250,$BZ$9:$BZ$508,1)))</f>
        <v/>
      </c>
      <c r="CE250" s="74" t="str">
        <f aca="false">IF($BH250&lt;&gt;Constants!$B$4,"",$AL250+$AM250+$AN250)</f>
        <v/>
      </c>
      <c r="CF250" s="74" t="str">
        <f aca="false">IF(ISBLANK($C250),"",IF($BH250&lt;&gt;Constants!$B$4,$BH250,RANK($CE250,$CE$9:$CE$508,1)))</f>
        <v/>
      </c>
      <c r="CG250" s="74" t="str">
        <f aca="false">IF(ISBLANK($C250),"",IF($BH250&lt;&gt;Constants!$B$4,$BH250,COUNTIFS($BI$9:$BI$508,"&lt;"&amp;$BI250)+COUNTIFS($BI$9:$BI$508,$BI250,$CB$9:$CB$508,"&lt;"&amp;$CB250)+COUNTIFS($BI$9:$BI$508,$BI250,$CB$9:$CB$508,$CB250,$CD$9:$CD$508,"&lt;"&amp;$CD250)+COUNTIFS($BI$9:$BI$508,$BI250,$CB$9:$CB$508,$CB250,$CD$9:$CD$508,$CD250,$CF$9:$CF$508,"&lt;"&amp;$CF250)+1))</f>
        <v/>
      </c>
      <c r="CH250" s="74" t="str">
        <f aca="false">IF(ISBLANK($C250),"",IF($BH250&lt;&gt;Constants!$B$4,$BH250,$CC250-$CG250))</f>
        <v/>
      </c>
      <c r="CI250" s="74" t="str">
        <f aca="false">IF(ISBLANK($C250),"",IF(NOT($AJ250),"",IF(ISBLANK($D$7),$CI$5,IF(NOT(ISNUMBER($D$7)),$CI$6,""))))</f>
        <v/>
      </c>
      <c r="CJ250" s="74" t="str">
        <f aca="false">IF(ISBLANK($C250),"",OR($AL250="",$AM250="",$AN250=""))</f>
        <v/>
      </c>
      <c r="CK250" s="74" t="str">
        <f aca="false">IF(ISBLANK($C250),"",AND($AJ250,$AX250=""))</f>
        <v/>
      </c>
      <c r="CL250" s="74" t="str">
        <f aca="false">IF(ISBLANK($C250),"",AND($AJ250,$AY250=""))</f>
        <v/>
      </c>
      <c r="CM250" s="74" t="str">
        <f aca="false">IF(ISBLANK($C250),"",AND($AJ250,$AZ250=""))</f>
        <v/>
      </c>
      <c r="CN250" s="74" t="str">
        <f aca="false">IF(ISBLANK($C250),"",AND($AJ250,$BC250=""))</f>
        <v/>
      </c>
      <c r="CO250" s="74" t="str">
        <f aca="false">IF(ISBLANK($C250),"",AND($AJ250,$BF250=""))</f>
        <v/>
      </c>
      <c r="CP250" s="75"/>
      <c r="CQ250" s="76"/>
      <c r="CR250" s="79" t="str">
        <f aca="false">IF(ISBLANK($C250),"",IF($BH250=Constants!$B$8,$CI250,""))</f>
        <v/>
      </c>
      <c r="CS250" s="76" t="str">
        <f aca="false">IF(ISBLANK($C250),"",IF($BH250&lt;&gt;Constants!$B$4,"",$BK250+$BL250))</f>
        <v/>
      </c>
      <c r="CT250" s="78" t="str">
        <f aca="false">IF(ISBLANK($C250),"",IF($BH250&lt;&gt;Constants!$B$4,"",$BM250+$BN250+$BO250))</f>
        <v/>
      </c>
      <c r="CU250" s="78" t="str">
        <f aca="false">IF(ISBLANK($C250),"",IF($BH250&lt;&gt;Constants!$B$4,"",$BP250))</f>
        <v/>
      </c>
      <c r="CV250" s="78" t="str">
        <f aca="false">IF(ISBLANK($C250),"",IF($BH250&lt;&gt;Constants!$B$4,"",$BQ250+$BR250))</f>
        <v/>
      </c>
      <c r="CW250" s="78" t="str">
        <f aca="false">IF(ISBLANK($C250),"",IF($BH250&lt;&gt;Constants!$B$4,"",$BS250))</f>
        <v/>
      </c>
      <c r="CX250" s="78" t="str">
        <f aca="false">IF(ISBLANK($C250),"",IF($BH250&lt;&gt;Constants!$B$4,"",-$BZ250))</f>
        <v/>
      </c>
      <c r="CY250" s="79" t="str">
        <f aca="false">IF(ISBLANK($C250),"",$CA250)</f>
        <v/>
      </c>
      <c r="CZ250" s="80" t="str">
        <f aca="false">IF(ISBLANK($C250),"",$BI250)</f>
        <v/>
      </c>
      <c r="DA250" s="78" t="str">
        <f aca="false">IF(ISBLANK($C250),"",$CH250)</f>
        <v/>
      </c>
      <c r="DB250" s="78" t="str">
        <f aca="false">IF(ISBLANK($C250),"",$CG250)</f>
        <v/>
      </c>
      <c r="DC250" s="81" t="str">
        <f aca="false">IF(ISBLANK($C250),"",IFERROR(_xlfn.SWITCH($DB250,Constants!$B$7,COUNTA($C$9:$C$508)+2,Constants!$B$6,COUNTA($C$9:$C$508)+1,Constants!$B$5,COUNTA($C$9:$C$508)),$DB250))</f>
        <v/>
      </c>
      <c r="DD250" s="7"/>
      <c r="DE250" s="82" t="n">
        <f aca="false">IF(OR(ISNUMBER($DB250),$DB250=Constants!$B$7,$DB250=Constants!$B$5,$DB250=Constants!$B$6),1,0)</f>
        <v>0</v>
      </c>
      <c r="DF250" s="82" t="n">
        <v>242</v>
      </c>
      <c r="DG250" s="82" t="str">
        <f aca="false">IF(ISBLANK($C250),"",IF(ISNUMBER($DC250),$DC250+ROW($B250)/1000,""))</f>
        <v/>
      </c>
      <c r="DH250" s="82" t="str">
        <f aca="false">IF(ISNUMBER($DG250),RANK($DG250,$DG$9:$DG$508,1),"")</f>
        <v/>
      </c>
      <c r="DI250" s="82" t="str">
        <f aca="false">IF(ISBLANK($C250),"",$B250)</f>
        <v/>
      </c>
      <c r="DJ250" s="82" t="str">
        <f aca="false">IF(ISBLANK($C250),"",$C250)</f>
        <v/>
      </c>
      <c r="DK250" s="82" t="str">
        <f aca="false">IF(ISBLANK($C250),"",$D250)</f>
        <v/>
      </c>
      <c r="DL250" s="83" t="str">
        <f aca="false">$CZ250</f>
        <v/>
      </c>
      <c r="DM250" s="84" t="str">
        <f aca="false">$CY250</f>
        <v/>
      </c>
      <c r="DN250" s="82" t="str">
        <f aca="false">IF(ISBLANK($C250),"",$DB250)</f>
        <v/>
      </c>
      <c r="DO250" s="85" t="str">
        <f aca="false">IF($DF250&gt;$DE$8,"",VLOOKUP($DF250,$DH$9:$DN$508,7,FALSE()))</f>
        <v/>
      </c>
      <c r="DP250" s="86" t="str">
        <f aca="false">IF($DF250&gt;$DE$8,"",VLOOKUP($DF250,$DH$9:$DN$508,2,FALSE()))</f>
        <v/>
      </c>
      <c r="DQ250" s="86" t="str">
        <f aca="false">IF($DF250&gt;$DE$8,"",VLOOKUP($DF250,$DH$9:$DN$508,3,FALSE()))</f>
        <v/>
      </c>
      <c r="DR250" s="86" t="str">
        <f aca="false">IF($DF250&gt;$DE$8,"",VLOOKUP($DF250,$DH$9:$DN$508,4,FALSE()))</f>
        <v/>
      </c>
      <c r="DS250" s="86" t="str">
        <f aca="false">IF($DF250&gt;$DE$8,"",VLOOKUP($DF250,$DH$9:$DN$508,5,FALSE()))</f>
        <v/>
      </c>
      <c r="DT250" s="87" t="str">
        <f aca="false">IF($DF250&gt;$DE$8,"",VLOOKUP($DF250,$DH$9:$DN$508,6,FALSE()))</f>
        <v/>
      </c>
      <c r="DU250" s="62"/>
    </row>
    <row r="251" customFormat="false" ht="15.75" hidden="false" customHeight="false" outlineLevel="0" collapsed="false">
      <c r="A251" s="7"/>
      <c r="B251" s="64"/>
      <c r="C251" s="65"/>
      <c r="D251" s="123"/>
      <c r="E251" s="88"/>
      <c r="F251" s="134"/>
      <c r="G251" s="88"/>
      <c r="H251" s="134"/>
      <c r="I251" s="119"/>
      <c r="J251" s="119"/>
      <c r="K251" s="119"/>
      <c r="L251" s="88"/>
      <c r="M251" s="88"/>
      <c r="N251" s="88"/>
      <c r="O251" s="134"/>
      <c r="P251" s="88"/>
      <c r="Q251" s="88"/>
      <c r="R251" s="88"/>
      <c r="S251" s="88"/>
      <c r="T251" s="134"/>
      <c r="U251" s="88"/>
      <c r="V251" s="70"/>
      <c r="W251" s="88"/>
      <c r="X251" s="88"/>
      <c r="Y251" s="70"/>
      <c r="Z251" s="70"/>
      <c r="AA251" s="88"/>
      <c r="AB251" s="88"/>
      <c r="AC251" s="71"/>
      <c r="AD251" s="88"/>
      <c r="AE251" s="73"/>
      <c r="AF251" s="74"/>
      <c r="AG251" s="74"/>
      <c r="AH251" s="74" t="str">
        <f aca="false">IF(ISBLANK($C251),"",IF($E251=Constants!$B$2,TRUE(),IF($E251=Constants!$B$3,FALSE(),TRUE())))</f>
        <v/>
      </c>
      <c r="AI251" s="74" t="str">
        <f aca="false">IF(ISBLANK($C251),"",IF($F251=Constants!$B$2,TRUE(),IF($F251=Constants!$B$3,FALSE(),FALSE())))</f>
        <v/>
      </c>
      <c r="AJ251" s="74" t="str">
        <f aca="false">IF(ISBLANK($C251),"",IF($G251=Constants!$B$2,TRUE(),IF($G251=Constants!$B$3,FALSE(),TRUE())))</f>
        <v/>
      </c>
      <c r="AK251" s="74" t="str">
        <f aca="false">IF(ISBLANK($C251),"",IF($H251=Constants!$B$2,TRUE(),IF($H251=Constants!$B$3,FALSE(),TRUE())))</f>
        <v/>
      </c>
      <c r="AL251" s="74" t="str">
        <f aca="false">IF(ISBLANK($C251),"",IF(ISNUMBER($I251),IF($I251&gt;=0,$I251,""),""))</f>
        <v/>
      </c>
      <c r="AM251" s="74" t="str">
        <f aca="false">IF(ISBLANK($C251),"",IF(ISNUMBER($J251),IF($J251&gt;=0,$J251,""),""))</f>
        <v/>
      </c>
      <c r="AN251" s="74" t="str">
        <f aca="false">IF(ISBLANK($C251),"",IF(ISNUMBER($K251),IF($K251&gt;=0,$K251,""),""))</f>
        <v/>
      </c>
      <c r="AO251" s="74" t="str">
        <f aca="false">IF(ISBLANK($C251),"",IF($L251=Constants!$B$2,TRUE(),IF($L251=Constants!$B$3,FALSE(),TRUE())))</f>
        <v/>
      </c>
      <c r="AP251" s="74" t="str">
        <f aca="false">IF(ISBLANK($C251),"",IF($M251=Constants!$B$2,TRUE(),IF($M251=Constants!$B$3,FALSE(),TRUE())))</f>
        <v/>
      </c>
      <c r="AQ251" s="74" t="str">
        <f aca="false">IF(ISBLANK($C251),"",IF($N251=Constants!$B$2,TRUE(),IF($N251=Constants!$B$3,FALSE(),FALSE())))</f>
        <v/>
      </c>
      <c r="AR251" s="74" t="str">
        <f aca="false">IF(ISBLANK($C251),"",IF($O251=Constants!$B$2,TRUE(),IF($O251=Constants!$B$3,FALSE(),TRUE())))</f>
        <v/>
      </c>
      <c r="AS251" s="74" t="str">
        <f aca="false">IF(ISBLANK($C251),"",IF($P251=Constants!$B$2,TRUE(),IF($P251=Constants!$B$3,FALSE(),FALSE())))</f>
        <v/>
      </c>
      <c r="AT251" s="74" t="str">
        <f aca="false">IF(ISBLANK($C251),"",IF($Q251=Constants!$B$2,TRUE(),IF($Q251=Constants!$B$3,FALSE(),FALSE())))</f>
        <v/>
      </c>
      <c r="AU251" s="74" t="str">
        <f aca="false">IF(ISBLANK($C251),"",IF($R251=Constants!$B$2,TRUE(),IF($R251=Constants!$B$3,FALSE(),FALSE())))</f>
        <v/>
      </c>
      <c r="AV251" s="74" t="str">
        <f aca="false">IF(ISBLANK($C251),"",IF($S251=Constants!$B$2,TRUE(),IF($S251=Constants!$B$3,FALSE(),FALSE())))</f>
        <v/>
      </c>
      <c r="AW251" s="74" t="str">
        <f aca="false">IF(ISBLANK($C251),"",IF($T251=Constants!$B$2,TRUE(),IF($T251=Constants!$B$3,FALSE(),FALSE())))</f>
        <v/>
      </c>
      <c r="AX251" s="74" t="str">
        <f aca="false">IF(ISBLANK($C251),"",IF(OR($U251&amp;""="1",$U251&amp;""="2",$U251&amp;""="3",$U251&amp;""="4"),VALUE($U251&amp;""),IF($U251=Constants!$B$12,Constants!$B$12,"")))</f>
        <v/>
      </c>
      <c r="AY251" s="74" t="str">
        <f aca="false">IF(ISBLANK($C251),"",IF(ISBLANK($V251),0,IF(ISNUMBER($V251),IF(AND($V251&gt;=0,$V251&lt;=Constants!$B$21,$V251=INT($V251)),$V251,""),"")))</f>
        <v/>
      </c>
      <c r="AZ251" s="74" t="str">
        <f aca="false">IF(ISBLANK($C251),"",IF(ISBLANK($W251),0,IF(ISNUMBER($W251),IF($W251&gt;=0,$W251,""),"")))</f>
        <v/>
      </c>
      <c r="BA251" s="74" t="str">
        <f aca="false">IF(ISBLANK($C251),"",IF($X251=Constants!$B$2,TRUE(),IF($X251=Constants!$B$3,FALSE(),TRUE())))</f>
        <v/>
      </c>
      <c r="BB251" s="74" t="str">
        <f aca="false">IF(ISBLANK($C251),"",IF($Y251=Constants!$B$2,TRUE(),IF($Y251=Constants!$B$3,FALSE(),FALSE())))</f>
        <v/>
      </c>
      <c r="BC251" s="74" t="str">
        <f aca="false">IF(ISBLANK($C251),"",IF(ISBLANK($Z251),0,IF(ISNUMBER($Z251),IF(AND($Z251&gt;=0,$Z251&lt;=Constants!$B$35,$Z251=INT($Z251)),$Z251,""),"")))</f>
        <v/>
      </c>
      <c r="BD251" s="74" t="str">
        <f aca="false">IF(ISBLANK($C251),"",IF($AA251=Constants!$B$2,TRUE(),IF($AA251=Constants!$B$3,FALSE(),TRUE())))</f>
        <v/>
      </c>
      <c r="BE251" s="74" t="str">
        <f aca="false">IF(ISBLANK($C251),"",IF($AB251=Constants!$B$2,TRUE(),IF($AB251=Constants!$B$3,FALSE(),TRUE())))</f>
        <v/>
      </c>
      <c r="BF251" s="74" t="str">
        <f aca="false">IF(ISBLANK($C251),"",IF(ISNUMBER($AC251),IF($AC251&gt;=0,$AC251,""),""))</f>
        <v/>
      </c>
      <c r="BG251" s="74" t="str">
        <f aca="false">IF(ISBLANK($C251),"",IF($AD251=Constants!$B$2,TRUE(),IF($AD251=Constants!$B$3,FALSE(),FALSE())))</f>
        <v/>
      </c>
      <c r="BH251" s="73" t="str">
        <f aca="false">IF(ISBLANK($C251),"",IF($BG251,Constants!$B$7,IF(COUNTA($E251:$AC251)=0,Constants!$B$6,IF(OR(COUNTA($G251:$AC251)=0,NOT($AK251),$AQ251),Constants!$B$5,IF(OR($CI251&lt;&gt;"",$CJ251,$CK251,$CL251,$CM251,$CN251,$CO251),Constants!$B$8,Constants!$B$4)))))</f>
        <v/>
      </c>
      <c r="BI251" s="74" t="str">
        <f aca="false">IF(ISBLANK($C251),"",IF($BH251&lt;&gt;Constants!$B$4,$BH251,IF(OR(NOT($AH251),NOT($AJ251),NOT($AR251)),Constants!$B$11,IF(OR(NOT($AP251),MAX($AL251,$AM251,$AN251)&gt;Constants!$B$30),Constants!$B$10,Constants!$B$9))))</f>
        <v/>
      </c>
      <c r="BJ251" s="74" t="str">
        <f aca="false">IF($BH251&lt;&gt;Constants!$B$4,"",IF(NOT($AJ251),0,MIN(Constants!$B$35,$BC251)))</f>
        <v/>
      </c>
      <c r="BK251" s="74" t="str">
        <f aca="false">IF($BH251&lt;&gt;Constants!$B$4,"",IF(NOT($AJ251),0,IF($AT251,Constants!$B$18,IF($AS251,Constants!$B$17,0))))</f>
        <v/>
      </c>
      <c r="BL251" s="74" t="str">
        <f aca="false">IF($BH251&lt;&gt;Constants!$B$4,"",IF(NOT($AJ251),0,Constants!$B$19*($AI251+$AU251+$AV251+$AW251)))</f>
        <v/>
      </c>
      <c r="BM251" s="74" t="str">
        <f aca="false">IF($BH251&lt;&gt;Constants!$B$4,"",IF(OR(NOT($AJ251),NOT(ISNUMBER($AX251))),0,CHOOSE($AX251,Constants!$B$13,Constants!$B$14,Constants!$B$15,Constants!$B$16)))</f>
        <v/>
      </c>
      <c r="BN251" s="74" t="str">
        <f aca="false">IF($BH251&lt;&gt;Constants!$B$4,"",IF(NOT($AJ251),0,Constants!$B$20*$AY251))</f>
        <v/>
      </c>
      <c r="BO251" s="74" t="str">
        <f aca="false">IF($BH251&lt;&gt;Constants!$B$4,"",IF(AND($AJ251,$BA251,$BB251),Constants!$B$22,0))</f>
        <v/>
      </c>
      <c r="BP251" s="74" t="str">
        <f aca="false">IF($BH251&lt;&gt;Constants!$B$4,"",IF(OR(NOT($AJ251),NOT($BA251)),0,IF($BF251&gt;=2*$AF$9,0,Constants!$B$23*INT(ROUND(MIN($BF251,$AF$9),6)))))</f>
        <v/>
      </c>
      <c r="BQ251" s="74" t="str">
        <f aca="false">IF($BH251&lt;&gt;Constants!$B$4,"",IF(NOT($AJ251),0,Constants!$B$24*INT(ROUND(MIN($AZ251,$AF$9),6))))</f>
        <v/>
      </c>
      <c r="BR251" s="74" t="str">
        <f aca="false">IF($BH251&lt;&gt;Constants!$B$4,"",IF(AND($AJ251,$BJ251=0),Constants!$B$25,0))</f>
        <v/>
      </c>
      <c r="BS251" s="74" t="str">
        <f aca="false">IF($BH251&lt;&gt;Constants!$B$4,"",MIN(Constants!$B$29,MAX(0,Constants!$B$27*Constants!$B$28*INT(ROUND((Constants!$B$26-$AL251)/Constants!$B$28,6))))+MIN(Constants!$B$29,MAX(0,Constants!$B$27*Constants!$B$28*INT(ROUND((Constants!$B$26-$AM251)/Constants!$B$28,6))))+MIN(Constants!$B$29,MAX(0,Constants!$B$27*Constants!$B$28*INT(ROUND((Constants!$B$26-$AN251)/Constants!$B$28,6)))))</f>
        <v/>
      </c>
      <c r="BT251" s="74" t="str">
        <f aca="false">IF($BH251&lt;&gt;Constants!$B$4,"",IF(NOT($AJ251),0,Constants!$B$31*INT(ROUND(MAX(0,MIN($BF251,2*$AF$9)-$AF$9),6))))</f>
        <v/>
      </c>
      <c r="BU251" s="74" t="str">
        <f aca="false">IF($BH251&lt;&gt;Constants!$B$4,"",Constants!$B$32*(($AL251&gt;Constants!$B$26)+($AM251&gt;Constants!$B$26)+($AN251&gt;Constants!$B$26)))</f>
        <v/>
      </c>
      <c r="BV251" s="74" t="str">
        <f aca="false">IF($BH251&lt;&gt;Constants!$B$4,"",IF(OR(NOT($AJ251),$AO251),0,Constants!$B$33))</f>
        <v/>
      </c>
      <c r="BW251" s="74" t="str">
        <f aca="false">IF($BH251&lt;&gt;Constants!$B$4,"",Constants!$B$34*$BJ251)</f>
        <v/>
      </c>
      <c r="BX251" s="74" t="str">
        <f aca="false">IF($BH251&lt;&gt;Constants!$B$4,"",IF(OR(NOT($AJ251),$BE251),0,Constants!$B$36))</f>
        <v/>
      </c>
      <c r="BY251" s="74" t="str">
        <f aca="false">IF($BH251&lt;&gt;Constants!$B$4,"",IF(OR(NOT($AJ251),$BD251),0,Constants!$B$37))</f>
        <v/>
      </c>
      <c r="BZ251" s="74" t="str">
        <f aca="false">IF($BH251&lt;&gt;Constants!$B$4,"",SUM($BT251:$BY251))</f>
        <v/>
      </c>
      <c r="CA251" s="74" t="str">
        <f aca="false">IF(ISBLANK($C251),"",IF($BH251&lt;&gt;Constants!$B$4,$BH251,SUM($BK251:$BS251)-$BZ251))</f>
        <v/>
      </c>
      <c r="CB251" s="74" t="str">
        <f aca="false">IF(ISBLANK($C251),"",IF($BH251&lt;&gt;Constants!$B$4,$BH251,RANK($CA251,$CA$9:$CA$508)))</f>
        <v/>
      </c>
      <c r="CC251" s="74" t="str">
        <f aca="false">IF(ISBLANK($C251),"",IF($BH251&lt;&gt;Constants!$B$4,$BH251,COUNTIFS($BI$9:$BI$508,"&lt;"&amp;$BI251)+COUNTIFS($BI$9:$BI$508,$BI251,$CB$9:$CB$508,"&lt;"&amp;$CB251)+1))</f>
        <v/>
      </c>
      <c r="CD251" s="74" t="str">
        <f aca="false">IF(ISBLANK($C251),"",IF($BH251&lt;&gt;Constants!$B$4,$BH251,RANK($BZ251,$BZ$9:$BZ$508,1)))</f>
        <v/>
      </c>
      <c r="CE251" s="74" t="str">
        <f aca="false">IF($BH251&lt;&gt;Constants!$B$4,"",$AL251+$AM251+$AN251)</f>
        <v/>
      </c>
      <c r="CF251" s="74" t="str">
        <f aca="false">IF(ISBLANK($C251),"",IF($BH251&lt;&gt;Constants!$B$4,$BH251,RANK($CE251,$CE$9:$CE$508,1)))</f>
        <v/>
      </c>
      <c r="CG251" s="74" t="str">
        <f aca="false">IF(ISBLANK($C251),"",IF($BH251&lt;&gt;Constants!$B$4,$BH251,COUNTIFS($BI$9:$BI$508,"&lt;"&amp;$BI251)+COUNTIFS($BI$9:$BI$508,$BI251,$CB$9:$CB$508,"&lt;"&amp;$CB251)+COUNTIFS($BI$9:$BI$508,$BI251,$CB$9:$CB$508,$CB251,$CD$9:$CD$508,"&lt;"&amp;$CD251)+COUNTIFS($BI$9:$BI$508,$BI251,$CB$9:$CB$508,$CB251,$CD$9:$CD$508,$CD251,$CF$9:$CF$508,"&lt;"&amp;$CF251)+1))</f>
        <v/>
      </c>
      <c r="CH251" s="74" t="str">
        <f aca="false">IF(ISBLANK($C251),"",IF($BH251&lt;&gt;Constants!$B$4,$BH251,$CC251-$CG251))</f>
        <v/>
      </c>
      <c r="CI251" s="74" t="str">
        <f aca="false">IF(ISBLANK($C251),"",IF(NOT($AJ251),"",IF(ISBLANK($D$7),$CI$5,IF(NOT(ISNUMBER($D$7)),$CI$6,""))))</f>
        <v/>
      </c>
      <c r="CJ251" s="74" t="str">
        <f aca="false">IF(ISBLANK($C251),"",OR($AL251="",$AM251="",$AN251=""))</f>
        <v/>
      </c>
      <c r="CK251" s="74" t="str">
        <f aca="false">IF(ISBLANK($C251),"",AND($AJ251,$AX251=""))</f>
        <v/>
      </c>
      <c r="CL251" s="74" t="str">
        <f aca="false">IF(ISBLANK($C251),"",AND($AJ251,$AY251=""))</f>
        <v/>
      </c>
      <c r="CM251" s="74" t="str">
        <f aca="false">IF(ISBLANK($C251),"",AND($AJ251,$AZ251=""))</f>
        <v/>
      </c>
      <c r="CN251" s="74" t="str">
        <f aca="false">IF(ISBLANK($C251),"",AND($AJ251,$BC251=""))</f>
        <v/>
      </c>
      <c r="CO251" s="74" t="str">
        <f aca="false">IF(ISBLANK($C251),"",AND($AJ251,$BF251=""))</f>
        <v/>
      </c>
      <c r="CP251" s="75"/>
      <c r="CQ251" s="76"/>
      <c r="CR251" s="79" t="str">
        <f aca="false">IF(ISBLANK($C251),"",IF($BH251=Constants!$B$8,$CI251,""))</f>
        <v/>
      </c>
      <c r="CS251" s="76" t="str">
        <f aca="false">IF(ISBLANK($C251),"",IF($BH251&lt;&gt;Constants!$B$4,"",$BK251+$BL251))</f>
        <v/>
      </c>
      <c r="CT251" s="78" t="str">
        <f aca="false">IF(ISBLANK($C251),"",IF($BH251&lt;&gt;Constants!$B$4,"",$BM251+$BN251+$BO251))</f>
        <v/>
      </c>
      <c r="CU251" s="78" t="str">
        <f aca="false">IF(ISBLANK($C251),"",IF($BH251&lt;&gt;Constants!$B$4,"",$BP251))</f>
        <v/>
      </c>
      <c r="CV251" s="78" t="str">
        <f aca="false">IF(ISBLANK($C251),"",IF($BH251&lt;&gt;Constants!$B$4,"",$BQ251+$BR251))</f>
        <v/>
      </c>
      <c r="CW251" s="78" t="str">
        <f aca="false">IF(ISBLANK($C251),"",IF($BH251&lt;&gt;Constants!$B$4,"",$BS251))</f>
        <v/>
      </c>
      <c r="CX251" s="78" t="str">
        <f aca="false">IF(ISBLANK($C251),"",IF($BH251&lt;&gt;Constants!$B$4,"",-$BZ251))</f>
        <v/>
      </c>
      <c r="CY251" s="79" t="str">
        <f aca="false">IF(ISBLANK($C251),"",$CA251)</f>
        <v/>
      </c>
      <c r="CZ251" s="80" t="str">
        <f aca="false">IF(ISBLANK($C251),"",$BI251)</f>
        <v/>
      </c>
      <c r="DA251" s="78" t="str">
        <f aca="false">IF(ISBLANK($C251),"",$CH251)</f>
        <v/>
      </c>
      <c r="DB251" s="78" t="str">
        <f aca="false">IF(ISBLANK($C251),"",$CG251)</f>
        <v/>
      </c>
      <c r="DC251" s="81" t="str">
        <f aca="false">IF(ISBLANK($C251),"",IFERROR(_xlfn.SWITCH($DB251,Constants!$B$7,COUNTA($C$9:$C$508)+2,Constants!$B$6,COUNTA($C$9:$C$508)+1,Constants!$B$5,COUNTA($C$9:$C$508)),$DB251))</f>
        <v/>
      </c>
      <c r="DD251" s="7"/>
      <c r="DE251" s="82" t="n">
        <f aca="false">IF(OR(ISNUMBER($DB251),$DB251=Constants!$B$7,$DB251=Constants!$B$5,$DB251=Constants!$B$6),1,0)</f>
        <v>0</v>
      </c>
      <c r="DF251" s="82" t="n">
        <v>243</v>
      </c>
      <c r="DG251" s="82" t="str">
        <f aca="false">IF(ISBLANK($C251),"",IF(ISNUMBER($DC251),$DC251+ROW($B251)/1000,""))</f>
        <v/>
      </c>
      <c r="DH251" s="82" t="str">
        <f aca="false">IF(ISNUMBER($DG251),RANK($DG251,$DG$9:$DG$508,1),"")</f>
        <v/>
      </c>
      <c r="DI251" s="82" t="str">
        <f aca="false">IF(ISBLANK($C251),"",$B251)</f>
        <v/>
      </c>
      <c r="DJ251" s="82" t="str">
        <f aca="false">IF(ISBLANK($C251),"",$C251)</f>
        <v/>
      </c>
      <c r="DK251" s="82" t="str">
        <f aca="false">IF(ISBLANK($C251),"",$D251)</f>
        <v/>
      </c>
      <c r="DL251" s="83" t="str">
        <f aca="false">$CZ251</f>
        <v/>
      </c>
      <c r="DM251" s="84" t="str">
        <f aca="false">$CY251</f>
        <v/>
      </c>
      <c r="DN251" s="82" t="str">
        <f aca="false">IF(ISBLANK($C251),"",$DB251)</f>
        <v/>
      </c>
      <c r="DO251" s="85" t="str">
        <f aca="false">IF($DF251&gt;$DE$8,"",VLOOKUP($DF251,$DH$9:$DN$508,7,FALSE()))</f>
        <v/>
      </c>
      <c r="DP251" s="86" t="str">
        <f aca="false">IF($DF251&gt;$DE$8,"",VLOOKUP($DF251,$DH$9:$DN$508,2,FALSE()))</f>
        <v/>
      </c>
      <c r="DQ251" s="86" t="str">
        <f aca="false">IF($DF251&gt;$DE$8,"",VLOOKUP($DF251,$DH$9:$DN$508,3,FALSE()))</f>
        <v/>
      </c>
      <c r="DR251" s="86" t="str">
        <f aca="false">IF($DF251&gt;$DE$8,"",VLOOKUP($DF251,$DH$9:$DN$508,4,FALSE()))</f>
        <v/>
      </c>
      <c r="DS251" s="86" t="str">
        <f aca="false">IF($DF251&gt;$DE$8,"",VLOOKUP($DF251,$DH$9:$DN$508,5,FALSE()))</f>
        <v/>
      </c>
      <c r="DT251" s="87" t="str">
        <f aca="false">IF($DF251&gt;$DE$8,"",VLOOKUP($DF251,$DH$9:$DN$508,6,FALSE()))</f>
        <v/>
      </c>
      <c r="DU251" s="62"/>
    </row>
    <row r="252" customFormat="false" ht="15.75" hidden="false" customHeight="false" outlineLevel="0" collapsed="false">
      <c r="A252" s="7"/>
      <c r="B252" s="90"/>
      <c r="C252" s="91"/>
      <c r="D252" s="126"/>
      <c r="E252" s="130"/>
      <c r="F252" s="135"/>
      <c r="G252" s="130"/>
      <c r="H252" s="135"/>
      <c r="I252" s="131"/>
      <c r="J252" s="131"/>
      <c r="K252" s="131"/>
      <c r="L252" s="130"/>
      <c r="M252" s="130"/>
      <c r="N252" s="130"/>
      <c r="O252" s="135"/>
      <c r="P252" s="130"/>
      <c r="Q252" s="130"/>
      <c r="R252" s="130"/>
      <c r="S252" s="130"/>
      <c r="T252" s="135"/>
      <c r="U252" s="130"/>
      <c r="V252" s="96"/>
      <c r="W252" s="130"/>
      <c r="X252" s="130"/>
      <c r="Y252" s="96"/>
      <c r="Z252" s="96"/>
      <c r="AA252" s="130"/>
      <c r="AB252" s="130"/>
      <c r="AC252" s="97"/>
      <c r="AD252" s="130"/>
      <c r="AE252" s="99"/>
      <c r="AF252" s="100"/>
      <c r="AG252" s="100"/>
      <c r="AH252" s="100" t="str">
        <f aca="false">IF(ISBLANK($C252),"",IF($E252=Constants!$B$2,TRUE(),IF($E252=Constants!$B$3,FALSE(),TRUE())))</f>
        <v/>
      </c>
      <c r="AI252" s="100" t="str">
        <f aca="false">IF(ISBLANK($C252),"",IF($F252=Constants!$B$2,TRUE(),IF($F252=Constants!$B$3,FALSE(),FALSE())))</f>
        <v/>
      </c>
      <c r="AJ252" s="100" t="str">
        <f aca="false">IF(ISBLANK($C252),"",IF($G252=Constants!$B$2,TRUE(),IF($G252=Constants!$B$3,FALSE(),TRUE())))</f>
        <v/>
      </c>
      <c r="AK252" s="100" t="str">
        <f aca="false">IF(ISBLANK($C252),"",IF($H252=Constants!$B$2,TRUE(),IF($H252=Constants!$B$3,FALSE(),TRUE())))</f>
        <v/>
      </c>
      <c r="AL252" s="100" t="str">
        <f aca="false">IF(ISBLANK($C252),"",IF(ISNUMBER($I252),IF($I252&gt;=0,$I252,""),""))</f>
        <v/>
      </c>
      <c r="AM252" s="100" t="str">
        <f aca="false">IF(ISBLANK($C252),"",IF(ISNUMBER($J252),IF($J252&gt;=0,$J252,""),""))</f>
        <v/>
      </c>
      <c r="AN252" s="100" t="str">
        <f aca="false">IF(ISBLANK($C252),"",IF(ISNUMBER($K252),IF($K252&gt;=0,$K252,""),""))</f>
        <v/>
      </c>
      <c r="AO252" s="100" t="str">
        <f aca="false">IF(ISBLANK($C252),"",IF($L252=Constants!$B$2,TRUE(),IF($L252=Constants!$B$3,FALSE(),TRUE())))</f>
        <v/>
      </c>
      <c r="AP252" s="100" t="str">
        <f aca="false">IF(ISBLANK($C252),"",IF($M252=Constants!$B$2,TRUE(),IF($M252=Constants!$B$3,FALSE(),TRUE())))</f>
        <v/>
      </c>
      <c r="AQ252" s="100" t="str">
        <f aca="false">IF(ISBLANK($C252),"",IF($N252=Constants!$B$2,TRUE(),IF($N252=Constants!$B$3,FALSE(),FALSE())))</f>
        <v/>
      </c>
      <c r="AR252" s="100" t="str">
        <f aca="false">IF(ISBLANK($C252),"",IF($O252=Constants!$B$2,TRUE(),IF($O252=Constants!$B$3,FALSE(),TRUE())))</f>
        <v/>
      </c>
      <c r="AS252" s="100" t="str">
        <f aca="false">IF(ISBLANK($C252),"",IF($P252=Constants!$B$2,TRUE(),IF($P252=Constants!$B$3,FALSE(),FALSE())))</f>
        <v/>
      </c>
      <c r="AT252" s="100" t="str">
        <f aca="false">IF(ISBLANK($C252),"",IF($Q252=Constants!$B$2,TRUE(),IF($Q252=Constants!$B$3,FALSE(),FALSE())))</f>
        <v/>
      </c>
      <c r="AU252" s="100" t="str">
        <f aca="false">IF(ISBLANK($C252),"",IF($R252=Constants!$B$2,TRUE(),IF($R252=Constants!$B$3,FALSE(),FALSE())))</f>
        <v/>
      </c>
      <c r="AV252" s="100" t="str">
        <f aca="false">IF(ISBLANK($C252),"",IF($S252=Constants!$B$2,TRUE(),IF($S252=Constants!$B$3,FALSE(),FALSE())))</f>
        <v/>
      </c>
      <c r="AW252" s="100" t="str">
        <f aca="false">IF(ISBLANK($C252),"",IF($T252=Constants!$B$2,TRUE(),IF($T252=Constants!$B$3,FALSE(),FALSE())))</f>
        <v/>
      </c>
      <c r="AX252" s="100" t="str">
        <f aca="false">IF(ISBLANK($C252),"",IF(OR($U252&amp;""="1",$U252&amp;""="2",$U252&amp;""="3",$U252&amp;""="4"),VALUE($U252&amp;""),IF($U252=Constants!$B$12,Constants!$B$12,"")))</f>
        <v/>
      </c>
      <c r="AY252" s="100" t="str">
        <f aca="false">IF(ISBLANK($C252),"",IF(ISBLANK($V252),0,IF(ISNUMBER($V252),IF(AND($V252&gt;=0,$V252&lt;=Constants!$B$21,$V252=INT($V252)),$V252,""),"")))</f>
        <v/>
      </c>
      <c r="AZ252" s="100" t="str">
        <f aca="false">IF(ISBLANK($C252),"",IF(ISBLANK($W252),0,IF(ISNUMBER($W252),IF($W252&gt;=0,$W252,""),"")))</f>
        <v/>
      </c>
      <c r="BA252" s="100" t="str">
        <f aca="false">IF(ISBLANK($C252),"",IF($X252=Constants!$B$2,TRUE(),IF($X252=Constants!$B$3,FALSE(),TRUE())))</f>
        <v/>
      </c>
      <c r="BB252" s="100" t="str">
        <f aca="false">IF(ISBLANK($C252),"",IF($Y252=Constants!$B$2,TRUE(),IF($Y252=Constants!$B$3,FALSE(),FALSE())))</f>
        <v/>
      </c>
      <c r="BC252" s="100" t="str">
        <f aca="false">IF(ISBLANK($C252),"",IF(ISBLANK($Z252),0,IF(ISNUMBER($Z252),IF(AND($Z252&gt;=0,$Z252&lt;=Constants!$B$35,$Z252=INT($Z252)),$Z252,""),"")))</f>
        <v/>
      </c>
      <c r="BD252" s="100" t="str">
        <f aca="false">IF(ISBLANK($C252),"",IF($AA252=Constants!$B$2,TRUE(),IF($AA252=Constants!$B$3,FALSE(),TRUE())))</f>
        <v/>
      </c>
      <c r="BE252" s="100" t="str">
        <f aca="false">IF(ISBLANK($C252),"",IF($AB252=Constants!$B$2,TRUE(),IF($AB252=Constants!$B$3,FALSE(),TRUE())))</f>
        <v/>
      </c>
      <c r="BF252" s="100" t="str">
        <f aca="false">IF(ISBLANK($C252),"",IF(ISNUMBER($AC252),IF($AC252&gt;=0,$AC252,""),""))</f>
        <v/>
      </c>
      <c r="BG252" s="100" t="str">
        <f aca="false">IF(ISBLANK($C252),"",IF($AD252=Constants!$B$2,TRUE(),IF($AD252=Constants!$B$3,FALSE(),FALSE())))</f>
        <v/>
      </c>
      <c r="BH252" s="99" t="str">
        <f aca="false">IF(ISBLANK($C252),"",IF($BG252,Constants!$B$7,IF(COUNTA($E252:$AC252)=0,Constants!$B$6,IF(OR(COUNTA($G252:$AC252)=0,NOT($AK252),$AQ252),Constants!$B$5,IF(OR($CI252&lt;&gt;"",$CJ252,$CK252,$CL252,$CM252,$CN252,$CO252),Constants!$B$8,Constants!$B$4)))))</f>
        <v/>
      </c>
      <c r="BI252" s="100" t="str">
        <f aca="false">IF(ISBLANK($C252),"",IF($BH252&lt;&gt;Constants!$B$4,$BH252,IF(OR(NOT($AH252),NOT($AJ252),NOT($AR252)),Constants!$B$11,IF(OR(NOT($AP252),MAX($AL252,$AM252,$AN252)&gt;Constants!$B$30),Constants!$B$10,Constants!$B$9))))</f>
        <v/>
      </c>
      <c r="BJ252" s="100" t="str">
        <f aca="false">IF($BH252&lt;&gt;Constants!$B$4,"",IF(NOT($AJ252),0,MIN(Constants!$B$35,$BC252)))</f>
        <v/>
      </c>
      <c r="BK252" s="100" t="str">
        <f aca="false">IF($BH252&lt;&gt;Constants!$B$4,"",IF(NOT($AJ252),0,IF($AT252,Constants!$B$18,IF($AS252,Constants!$B$17,0))))</f>
        <v/>
      </c>
      <c r="BL252" s="100" t="str">
        <f aca="false">IF($BH252&lt;&gt;Constants!$B$4,"",IF(NOT($AJ252),0,Constants!$B$19*($AI252+$AU252+$AV252+$AW252)))</f>
        <v/>
      </c>
      <c r="BM252" s="100" t="str">
        <f aca="false">IF($BH252&lt;&gt;Constants!$B$4,"",IF(OR(NOT($AJ252),NOT(ISNUMBER($AX252))),0,CHOOSE($AX252,Constants!$B$13,Constants!$B$14,Constants!$B$15,Constants!$B$16)))</f>
        <v/>
      </c>
      <c r="BN252" s="100" t="str">
        <f aca="false">IF($BH252&lt;&gt;Constants!$B$4,"",IF(NOT($AJ252),0,Constants!$B$20*$AY252))</f>
        <v/>
      </c>
      <c r="BO252" s="100" t="str">
        <f aca="false">IF($BH252&lt;&gt;Constants!$B$4,"",IF(AND($AJ252,$BA252,$BB252),Constants!$B$22,0))</f>
        <v/>
      </c>
      <c r="BP252" s="100" t="str">
        <f aca="false">IF($BH252&lt;&gt;Constants!$B$4,"",IF(OR(NOT($AJ252),NOT($BA252)),0,IF($BF252&gt;=2*$AF$9,0,Constants!$B$23*INT(ROUND(MIN($BF252,$AF$9),6)))))</f>
        <v/>
      </c>
      <c r="BQ252" s="100" t="str">
        <f aca="false">IF($BH252&lt;&gt;Constants!$B$4,"",IF(NOT($AJ252),0,Constants!$B$24*INT(ROUND(MIN($AZ252,$AF$9),6))))</f>
        <v/>
      </c>
      <c r="BR252" s="100" t="str">
        <f aca="false">IF($BH252&lt;&gt;Constants!$B$4,"",IF(AND($AJ252,$BJ252=0),Constants!$B$25,0))</f>
        <v/>
      </c>
      <c r="BS252" s="100" t="str">
        <f aca="false">IF($BH252&lt;&gt;Constants!$B$4,"",MIN(Constants!$B$29,MAX(0,Constants!$B$27*Constants!$B$28*INT(ROUND((Constants!$B$26-$AL252)/Constants!$B$28,6))))+MIN(Constants!$B$29,MAX(0,Constants!$B$27*Constants!$B$28*INT(ROUND((Constants!$B$26-$AM252)/Constants!$B$28,6))))+MIN(Constants!$B$29,MAX(0,Constants!$B$27*Constants!$B$28*INT(ROUND((Constants!$B$26-$AN252)/Constants!$B$28,6)))))</f>
        <v/>
      </c>
      <c r="BT252" s="100" t="str">
        <f aca="false">IF($BH252&lt;&gt;Constants!$B$4,"",IF(NOT($AJ252),0,Constants!$B$31*INT(ROUND(MAX(0,MIN($BF252,2*$AF$9)-$AF$9),6))))</f>
        <v/>
      </c>
      <c r="BU252" s="100" t="str">
        <f aca="false">IF($BH252&lt;&gt;Constants!$B$4,"",Constants!$B$32*(($AL252&gt;Constants!$B$26)+($AM252&gt;Constants!$B$26)+($AN252&gt;Constants!$B$26)))</f>
        <v/>
      </c>
      <c r="BV252" s="100" t="str">
        <f aca="false">IF($BH252&lt;&gt;Constants!$B$4,"",IF(OR(NOT($AJ252),$AO252),0,Constants!$B$33))</f>
        <v/>
      </c>
      <c r="BW252" s="100" t="str">
        <f aca="false">IF($BH252&lt;&gt;Constants!$B$4,"",Constants!$B$34*$BJ252)</f>
        <v/>
      </c>
      <c r="BX252" s="100" t="str">
        <f aca="false">IF($BH252&lt;&gt;Constants!$B$4,"",IF(OR(NOT($AJ252),$BE252),0,Constants!$B$36))</f>
        <v/>
      </c>
      <c r="BY252" s="100" t="str">
        <f aca="false">IF($BH252&lt;&gt;Constants!$B$4,"",IF(OR(NOT($AJ252),$BD252),0,Constants!$B$37))</f>
        <v/>
      </c>
      <c r="BZ252" s="100" t="str">
        <f aca="false">IF($BH252&lt;&gt;Constants!$B$4,"",SUM($BT252:$BY252))</f>
        <v/>
      </c>
      <c r="CA252" s="100" t="str">
        <f aca="false">IF(ISBLANK($C252),"",IF($BH252&lt;&gt;Constants!$B$4,$BH252,SUM($BK252:$BS252)-$BZ252))</f>
        <v/>
      </c>
      <c r="CB252" s="100" t="str">
        <f aca="false">IF(ISBLANK($C252),"",IF($BH252&lt;&gt;Constants!$B$4,$BH252,RANK($CA252,$CA$9:$CA$508)))</f>
        <v/>
      </c>
      <c r="CC252" s="100" t="str">
        <f aca="false">IF(ISBLANK($C252),"",IF($BH252&lt;&gt;Constants!$B$4,$BH252,COUNTIFS($BI$9:$BI$508,"&lt;"&amp;$BI252)+COUNTIFS($BI$9:$BI$508,$BI252,$CB$9:$CB$508,"&lt;"&amp;$CB252)+1))</f>
        <v/>
      </c>
      <c r="CD252" s="100" t="str">
        <f aca="false">IF(ISBLANK($C252),"",IF($BH252&lt;&gt;Constants!$B$4,$BH252,RANK($BZ252,$BZ$9:$BZ$508,1)))</f>
        <v/>
      </c>
      <c r="CE252" s="100" t="str">
        <f aca="false">IF($BH252&lt;&gt;Constants!$B$4,"",$AL252+$AM252+$AN252)</f>
        <v/>
      </c>
      <c r="CF252" s="100" t="str">
        <f aca="false">IF(ISBLANK($C252),"",IF($BH252&lt;&gt;Constants!$B$4,$BH252,RANK($CE252,$CE$9:$CE$508,1)))</f>
        <v/>
      </c>
      <c r="CG252" s="100" t="str">
        <f aca="false">IF(ISBLANK($C252),"",IF($BH252&lt;&gt;Constants!$B$4,$BH252,COUNTIFS($BI$9:$BI$508,"&lt;"&amp;$BI252)+COUNTIFS($BI$9:$BI$508,$BI252,$CB$9:$CB$508,"&lt;"&amp;$CB252)+COUNTIFS($BI$9:$BI$508,$BI252,$CB$9:$CB$508,$CB252,$CD$9:$CD$508,"&lt;"&amp;$CD252)+COUNTIFS($BI$9:$BI$508,$BI252,$CB$9:$CB$508,$CB252,$CD$9:$CD$508,$CD252,$CF$9:$CF$508,"&lt;"&amp;$CF252)+1))</f>
        <v/>
      </c>
      <c r="CH252" s="100" t="str">
        <f aca="false">IF(ISBLANK($C252),"",IF($BH252&lt;&gt;Constants!$B$4,$BH252,$CC252-$CG252))</f>
        <v/>
      </c>
      <c r="CI252" s="100" t="str">
        <f aca="false">IF(ISBLANK($C252),"",IF(NOT($AJ252),"",IF(ISBLANK($D$7),$CI$5,IF(NOT(ISNUMBER($D$7)),$CI$6,""))))</f>
        <v/>
      </c>
      <c r="CJ252" s="100" t="str">
        <f aca="false">IF(ISBLANK($C252),"",OR($AL252="",$AM252="",$AN252=""))</f>
        <v/>
      </c>
      <c r="CK252" s="100" t="str">
        <f aca="false">IF(ISBLANK($C252),"",AND($AJ252,$AX252=""))</f>
        <v/>
      </c>
      <c r="CL252" s="100" t="str">
        <f aca="false">IF(ISBLANK($C252),"",AND($AJ252,$AY252=""))</f>
        <v/>
      </c>
      <c r="CM252" s="100" t="str">
        <f aca="false">IF(ISBLANK($C252),"",AND($AJ252,$AZ252=""))</f>
        <v/>
      </c>
      <c r="CN252" s="100" t="str">
        <f aca="false">IF(ISBLANK($C252),"",AND($AJ252,$BC252=""))</f>
        <v/>
      </c>
      <c r="CO252" s="100" t="str">
        <f aca="false">IF(ISBLANK($C252),"",AND($AJ252,$BF252=""))</f>
        <v/>
      </c>
      <c r="CP252" s="101"/>
      <c r="CQ252" s="102"/>
      <c r="CR252" s="103" t="str">
        <f aca="false">IF(ISBLANK($C252),"",IF($BH252=Constants!$B$8,$CI252,""))</f>
        <v/>
      </c>
      <c r="CS252" s="102" t="str">
        <f aca="false">IF(ISBLANK($C252),"",IF($BH252&lt;&gt;Constants!$B$4,"",$BK252+$BL252))</f>
        <v/>
      </c>
      <c r="CT252" s="104" t="str">
        <f aca="false">IF(ISBLANK($C252),"",IF($BH252&lt;&gt;Constants!$B$4,"",$BM252+$BN252+$BO252))</f>
        <v/>
      </c>
      <c r="CU252" s="104" t="str">
        <f aca="false">IF(ISBLANK($C252),"",IF($BH252&lt;&gt;Constants!$B$4,"",$BP252))</f>
        <v/>
      </c>
      <c r="CV252" s="104" t="str">
        <f aca="false">IF(ISBLANK($C252),"",IF($BH252&lt;&gt;Constants!$B$4,"",$BQ252+$BR252))</f>
        <v/>
      </c>
      <c r="CW252" s="104" t="str">
        <f aca="false">IF(ISBLANK($C252),"",IF($BH252&lt;&gt;Constants!$B$4,"",$BS252))</f>
        <v/>
      </c>
      <c r="CX252" s="104" t="str">
        <f aca="false">IF(ISBLANK($C252),"",IF($BH252&lt;&gt;Constants!$B$4,"",-$BZ252))</f>
        <v/>
      </c>
      <c r="CY252" s="103" t="str">
        <f aca="false">IF(ISBLANK($C252),"",$CA252)</f>
        <v/>
      </c>
      <c r="CZ252" s="105" t="str">
        <f aca="false">IF(ISBLANK($C252),"",$BI252)</f>
        <v/>
      </c>
      <c r="DA252" s="104" t="str">
        <f aca="false">IF(ISBLANK($C252),"",$CH252)</f>
        <v/>
      </c>
      <c r="DB252" s="104" t="str">
        <f aca="false">IF(ISBLANK($C252),"",$CG252)</f>
        <v/>
      </c>
      <c r="DC252" s="106" t="str">
        <f aca="false">IF(ISBLANK($C252),"",IFERROR(_xlfn.SWITCH($DB252,Constants!$B$7,COUNTA($C$9:$C$508)+2,Constants!$B$6,COUNTA($C$9:$C$508)+1,Constants!$B$5,COUNTA($C$9:$C$508)),$DB252))</f>
        <v/>
      </c>
      <c r="DD252" s="7"/>
      <c r="DE252" s="107" t="n">
        <f aca="false">IF(OR(ISNUMBER($DB252),$DB252=Constants!$B$7,$DB252=Constants!$B$5,$DB252=Constants!$B$6),1,0)</f>
        <v>0</v>
      </c>
      <c r="DF252" s="107" t="n">
        <v>244</v>
      </c>
      <c r="DG252" s="107" t="str">
        <f aca="false">IF(ISBLANK($C252),"",IF(ISNUMBER($DC252),$DC252+ROW($B252)/1000,""))</f>
        <v/>
      </c>
      <c r="DH252" s="107" t="str">
        <f aca="false">IF(ISNUMBER($DG252),RANK($DG252,$DG$9:$DG$508,1),"")</f>
        <v/>
      </c>
      <c r="DI252" s="107" t="str">
        <f aca="false">IF(ISBLANK($C252),"",$B252)</f>
        <v/>
      </c>
      <c r="DJ252" s="107" t="str">
        <f aca="false">IF(ISBLANK($C252),"",$C252)</f>
        <v/>
      </c>
      <c r="DK252" s="107" t="str">
        <f aca="false">IF(ISBLANK($C252),"",$D252)</f>
        <v/>
      </c>
      <c r="DL252" s="108" t="str">
        <f aca="false">$CZ252</f>
        <v/>
      </c>
      <c r="DM252" s="109" t="str">
        <f aca="false">$CY252</f>
        <v/>
      </c>
      <c r="DN252" s="107" t="str">
        <f aca="false">IF(ISBLANK($C252),"",$DB252)</f>
        <v/>
      </c>
      <c r="DO252" s="110" t="str">
        <f aca="false">IF($DF252&gt;$DE$8,"",VLOOKUP($DF252,$DH$9:$DN$508,7,FALSE()))</f>
        <v/>
      </c>
      <c r="DP252" s="111" t="str">
        <f aca="false">IF($DF252&gt;$DE$8,"",VLOOKUP($DF252,$DH$9:$DN$508,2,FALSE()))</f>
        <v/>
      </c>
      <c r="DQ252" s="111" t="str">
        <f aca="false">IF($DF252&gt;$DE$8,"",VLOOKUP($DF252,$DH$9:$DN$508,3,FALSE()))</f>
        <v/>
      </c>
      <c r="DR252" s="111" t="str">
        <f aca="false">IF($DF252&gt;$DE$8,"",VLOOKUP($DF252,$DH$9:$DN$508,4,FALSE()))</f>
        <v/>
      </c>
      <c r="DS252" s="111" t="str">
        <f aca="false">IF($DF252&gt;$DE$8,"",VLOOKUP($DF252,$DH$9:$DN$508,5,FALSE()))</f>
        <v/>
      </c>
      <c r="DT252" s="112" t="str">
        <f aca="false">IF($DF252&gt;$DE$8,"",VLOOKUP($DF252,$DH$9:$DN$508,6,FALSE()))</f>
        <v/>
      </c>
      <c r="DU252" s="62"/>
    </row>
    <row r="253" customFormat="false" ht="15.75" hidden="false" customHeight="false" outlineLevel="0" collapsed="false">
      <c r="A253" s="7"/>
      <c r="B253" s="90"/>
      <c r="C253" s="91"/>
      <c r="D253" s="126"/>
      <c r="E253" s="130"/>
      <c r="F253" s="135"/>
      <c r="G253" s="130"/>
      <c r="H253" s="135"/>
      <c r="I253" s="131"/>
      <c r="J253" s="131"/>
      <c r="K253" s="131"/>
      <c r="L253" s="130"/>
      <c r="M253" s="130"/>
      <c r="N253" s="130"/>
      <c r="O253" s="135"/>
      <c r="P253" s="130"/>
      <c r="Q253" s="130"/>
      <c r="R253" s="130"/>
      <c r="S253" s="130"/>
      <c r="T253" s="135"/>
      <c r="U253" s="130"/>
      <c r="V253" s="96"/>
      <c r="W253" s="130"/>
      <c r="X253" s="130"/>
      <c r="Y253" s="96"/>
      <c r="Z253" s="96"/>
      <c r="AA253" s="130"/>
      <c r="AB253" s="130"/>
      <c r="AC253" s="97"/>
      <c r="AD253" s="130"/>
      <c r="AE253" s="99"/>
      <c r="AF253" s="100"/>
      <c r="AG253" s="100"/>
      <c r="AH253" s="100" t="str">
        <f aca="false">IF(ISBLANK($C253),"",IF($E253=Constants!$B$2,TRUE(),IF($E253=Constants!$B$3,FALSE(),TRUE())))</f>
        <v/>
      </c>
      <c r="AI253" s="100" t="str">
        <f aca="false">IF(ISBLANK($C253),"",IF($F253=Constants!$B$2,TRUE(),IF($F253=Constants!$B$3,FALSE(),FALSE())))</f>
        <v/>
      </c>
      <c r="AJ253" s="100" t="str">
        <f aca="false">IF(ISBLANK($C253),"",IF($G253=Constants!$B$2,TRUE(),IF($G253=Constants!$B$3,FALSE(),TRUE())))</f>
        <v/>
      </c>
      <c r="AK253" s="100" t="str">
        <f aca="false">IF(ISBLANK($C253),"",IF($H253=Constants!$B$2,TRUE(),IF($H253=Constants!$B$3,FALSE(),TRUE())))</f>
        <v/>
      </c>
      <c r="AL253" s="100" t="str">
        <f aca="false">IF(ISBLANK($C253),"",IF(ISNUMBER($I253),IF($I253&gt;=0,$I253,""),""))</f>
        <v/>
      </c>
      <c r="AM253" s="100" t="str">
        <f aca="false">IF(ISBLANK($C253),"",IF(ISNUMBER($J253),IF($J253&gt;=0,$J253,""),""))</f>
        <v/>
      </c>
      <c r="AN253" s="100" t="str">
        <f aca="false">IF(ISBLANK($C253),"",IF(ISNUMBER($K253),IF($K253&gt;=0,$K253,""),""))</f>
        <v/>
      </c>
      <c r="AO253" s="100" t="str">
        <f aca="false">IF(ISBLANK($C253),"",IF($L253=Constants!$B$2,TRUE(),IF($L253=Constants!$B$3,FALSE(),TRUE())))</f>
        <v/>
      </c>
      <c r="AP253" s="100" t="str">
        <f aca="false">IF(ISBLANK($C253),"",IF($M253=Constants!$B$2,TRUE(),IF($M253=Constants!$B$3,FALSE(),TRUE())))</f>
        <v/>
      </c>
      <c r="AQ253" s="100" t="str">
        <f aca="false">IF(ISBLANK($C253),"",IF($N253=Constants!$B$2,TRUE(),IF($N253=Constants!$B$3,FALSE(),FALSE())))</f>
        <v/>
      </c>
      <c r="AR253" s="100" t="str">
        <f aca="false">IF(ISBLANK($C253),"",IF($O253=Constants!$B$2,TRUE(),IF($O253=Constants!$B$3,FALSE(),TRUE())))</f>
        <v/>
      </c>
      <c r="AS253" s="100" t="str">
        <f aca="false">IF(ISBLANK($C253),"",IF($P253=Constants!$B$2,TRUE(),IF($P253=Constants!$B$3,FALSE(),FALSE())))</f>
        <v/>
      </c>
      <c r="AT253" s="100" t="str">
        <f aca="false">IF(ISBLANK($C253),"",IF($Q253=Constants!$B$2,TRUE(),IF($Q253=Constants!$B$3,FALSE(),FALSE())))</f>
        <v/>
      </c>
      <c r="AU253" s="100" t="str">
        <f aca="false">IF(ISBLANK($C253),"",IF($R253=Constants!$B$2,TRUE(),IF($R253=Constants!$B$3,FALSE(),FALSE())))</f>
        <v/>
      </c>
      <c r="AV253" s="100" t="str">
        <f aca="false">IF(ISBLANK($C253),"",IF($S253=Constants!$B$2,TRUE(),IF($S253=Constants!$B$3,FALSE(),FALSE())))</f>
        <v/>
      </c>
      <c r="AW253" s="100" t="str">
        <f aca="false">IF(ISBLANK($C253),"",IF($T253=Constants!$B$2,TRUE(),IF($T253=Constants!$B$3,FALSE(),FALSE())))</f>
        <v/>
      </c>
      <c r="AX253" s="100" t="str">
        <f aca="false">IF(ISBLANK($C253),"",IF(OR($U253&amp;""="1",$U253&amp;""="2",$U253&amp;""="3",$U253&amp;""="4"),VALUE($U253&amp;""),IF($U253=Constants!$B$12,Constants!$B$12,"")))</f>
        <v/>
      </c>
      <c r="AY253" s="100" t="str">
        <f aca="false">IF(ISBLANK($C253),"",IF(ISBLANK($V253),0,IF(ISNUMBER($V253),IF(AND($V253&gt;=0,$V253&lt;=Constants!$B$21,$V253=INT($V253)),$V253,""),"")))</f>
        <v/>
      </c>
      <c r="AZ253" s="100" t="str">
        <f aca="false">IF(ISBLANK($C253),"",IF(ISBLANK($W253),0,IF(ISNUMBER($W253),IF($W253&gt;=0,$W253,""),"")))</f>
        <v/>
      </c>
      <c r="BA253" s="100" t="str">
        <f aca="false">IF(ISBLANK($C253),"",IF($X253=Constants!$B$2,TRUE(),IF($X253=Constants!$B$3,FALSE(),TRUE())))</f>
        <v/>
      </c>
      <c r="BB253" s="100" t="str">
        <f aca="false">IF(ISBLANK($C253),"",IF($Y253=Constants!$B$2,TRUE(),IF($Y253=Constants!$B$3,FALSE(),FALSE())))</f>
        <v/>
      </c>
      <c r="BC253" s="100" t="str">
        <f aca="false">IF(ISBLANK($C253),"",IF(ISBLANK($Z253),0,IF(ISNUMBER($Z253),IF(AND($Z253&gt;=0,$Z253&lt;=Constants!$B$35,$Z253=INT($Z253)),$Z253,""),"")))</f>
        <v/>
      </c>
      <c r="BD253" s="100" t="str">
        <f aca="false">IF(ISBLANK($C253),"",IF($AA253=Constants!$B$2,TRUE(),IF($AA253=Constants!$B$3,FALSE(),TRUE())))</f>
        <v/>
      </c>
      <c r="BE253" s="100" t="str">
        <f aca="false">IF(ISBLANK($C253),"",IF($AB253=Constants!$B$2,TRUE(),IF($AB253=Constants!$B$3,FALSE(),TRUE())))</f>
        <v/>
      </c>
      <c r="BF253" s="100" t="str">
        <f aca="false">IF(ISBLANK($C253),"",IF(ISNUMBER($AC253),IF($AC253&gt;=0,$AC253,""),""))</f>
        <v/>
      </c>
      <c r="BG253" s="100" t="str">
        <f aca="false">IF(ISBLANK($C253),"",IF($AD253=Constants!$B$2,TRUE(),IF($AD253=Constants!$B$3,FALSE(),FALSE())))</f>
        <v/>
      </c>
      <c r="BH253" s="99" t="str">
        <f aca="false">IF(ISBLANK($C253),"",IF($BG253,Constants!$B$7,IF(COUNTA($E253:$AC253)=0,Constants!$B$6,IF(OR(COUNTA($G253:$AC253)=0,NOT($AK253),$AQ253),Constants!$B$5,IF(OR($CI253&lt;&gt;"",$CJ253,$CK253,$CL253,$CM253,$CN253,$CO253),Constants!$B$8,Constants!$B$4)))))</f>
        <v/>
      </c>
      <c r="BI253" s="100" t="str">
        <f aca="false">IF(ISBLANK($C253),"",IF($BH253&lt;&gt;Constants!$B$4,$BH253,IF(OR(NOT($AH253),NOT($AJ253),NOT($AR253)),Constants!$B$11,IF(OR(NOT($AP253),MAX($AL253,$AM253,$AN253)&gt;Constants!$B$30),Constants!$B$10,Constants!$B$9))))</f>
        <v/>
      </c>
      <c r="BJ253" s="100" t="str">
        <f aca="false">IF($BH253&lt;&gt;Constants!$B$4,"",IF(NOT($AJ253),0,MIN(Constants!$B$35,$BC253)))</f>
        <v/>
      </c>
      <c r="BK253" s="100" t="str">
        <f aca="false">IF($BH253&lt;&gt;Constants!$B$4,"",IF(NOT($AJ253),0,IF($AT253,Constants!$B$18,IF($AS253,Constants!$B$17,0))))</f>
        <v/>
      </c>
      <c r="BL253" s="100" t="str">
        <f aca="false">IF($BH253&lt;&gt;Constants!$B$4,"",IF(NOT($AJ253),0,Constants!$B$19*($AI253+$AU253+$AV253+$AW253)))</f>
        <v/>
      </c>
      <c r="BM253" s="100" t="str">
        <f aca="false">IF($BH253&lt;&gt;Constants!$B$4,"",IF(OR(NOT($AJ253),NOT(ISNUMBER($AX253))),0,CHOOSE($AX253,Constants!$B$13,Constants!$B$14,Constants!$B$15,Constants!$B$16)))</f>
        <v/>
      </c>
      <c r="BN253" s="100" t="str">
        <f aca="false">IF($BH253&lt;&gt;Constants!$B$4,"",IF(NOT($AJ253),0,Constants!$B$20*$AY253))</f>
        <v/>
      </c>
      <c r="BO253" s="100" t="str">
        <f aca="false">IF($BH253&lt;&gt;Constants!$B$4,"",IF(AND($AJ253,$BA253,$BB253),Constants!$B$22,0))</f>
        <v/>
      </c>
      <c r="BP253" s="100" t="str">
        <f aca="false">IF($BH253&lt;&gt;Constants!$B$4,"",IF(OR(NOT($AJ253),NOT($BA253)),0,IF($BF253&gt;=2*$AF$9,0,Constants!$B$23*INT(ROUND(MIN($BF253,$AF$9),6)))))</f>
        <v/>
      </c>
      <c r="BQ253" s="100" t="str">
        <f aca="false">IF($BH253&lt;&gt;Constants!$B$4,"",IF(NOT($AJ253),0,Constants!$B$24*INT(ROUND(MIN($AZ253,$AF$9),6))))</f>
        <v/>
      </c>
      <c r="BR253" s="100" t="str">
        <f aca="false">IF($BH253&lt;&gt;Constants!$B$4,"",IF(AND($AJ253,$BJ253=0),Constants!$B$25,0))</f>
        <v/>
      </c>
      <c r="BS253" s="100" t="str">
        <f aca="false">IF($BH253&lt;&gt;Constants!$B$4,"",MIN(Constants!$B$29,MAX(0,Constants!$B$27*Constants!$B$28*INT(ROUND((Constants!$B$26-$AL253)/Constants!$B$28,6))))+MIN(Constants!$B$29,MAX(0,Constants!$B$27*Constants!$B$28*INT(ROUND((Constants!$B$26-$AM253)/Constants!$B$28,6))))+MIN(Constants!$B$29,MAX(0,Constants!$B$27*Constants!$B$28*INT(ROUND((Constants!$B$26-$AN253)/Constants!$B$28,6)))))</f>
        <v/>
      </c>
      <c r="BT253" s="100" t="str">
        <f aca="false">IF($BH253&lt;&gt;Constants!$B$4,"",IF(NOT($AJ253),0,Constants!$B$31*INT(ROUND(MAX(0,MIN($BF253,2*$AF$9)-$AF$9),6))))</f>
        <v/>
      </c>
      <c r="BU253" s="100" t="str">
        <f aca="false">IF($BH253&lt;&gt;Constants!$B$4,"",Constants!$B$32*(($AL253&gt;Constants!$B$26)+($AM253&gt;Constants!$B$26)+($AN253&gt;Constants!$B$26)))</f>
        <v/>
      </c>
      <c r="BV253" s="100" t="str">
        <f aca="false">IF($BH253&lt;&gt;Constants!$B$4,"",IF(OR(NOT($AJ253),$AO253),0,Constants!$B$33))</f>
        <v/>
      </c>
      <c r="BW253" s="100" t="str">
        <f aca="false">IF($BH253&lt;&gt;Constants!$B$4,"",Constants!$B$34*$BJ253)</f>
        <v/>
      </c>
      <c r="BX253" s="100" t="str">
        <f aca="false">IF($BH253&lt;&gt;Constants!$B$4,"",IF(OR(NOT($AJ253),$BE253),0,Constants!$B$36))</f>
        <v/>
      </c>
      <c r="BY253" s="100" t="str">
        <f aca="false">IF($BH253&lt;&gt;Constants!$B$4,"",IF(OR(NOT($AJ253),$BD253),0,Constants!$B$37))</f>
        <v/>
      </c>
      <c r="BZ253" s="100" t="str">
        <f aca="false">IF($BH253&lt;&gt;Constants!$B$4,"",SUM($BT253:$BY253))</f>
        <v/>
      </c>
      <c r="CA253" s="100" t="str">
        <f aca="false">IF(ISBLANK($C253),"",IF($BH253&lt;&gt;Constants!$B$4,$BH253,SUM($BK253:$BS253)-$BZ253))</f>
        <v/>
      </c>
      <c r="CB253" s="100" t="str">
        <f aca="false">IF(ISBLANK($C253),"",IF($BH253&lt;&gt;Constants!$B$4,$BH253,RANK($CA253,$CA$9:$CA$508)))</f>
        <v/>
      </c>
      <c r="CC253" s="100" t="str">
        <f aca="false">IF(ISBLANK($C253),"",IF($BH253&lt;&gt;Constants!$B$4,$BH253,COUNTIFS($BI$9:$BI$508,"&lt;"&amp;$BI253)+COUNTIFS($BI$9:$BI$508,$BI253,$CB$9:$CB$508,"&lt;"&amp;$CB253)+1))</f>
        <v/>
      </c>
      <c r="CD253" s="100" t="str">
        <f aca="false">IF(ISBLANK($C253),"",IF($BH253&lt;&gt;Constants!$B$4,$BH253,RANK($BZ253,$BZ$9:$BZ$508,1)))</f>
        <v/>
      </c>
      <c r="CE253" s="100" t="str">
        <f aca="false">IF($BH253&lt;&gt;Constants!$B$4,"",$AL253+$AM253+$AN253)</f>
        <v/>
      </c>
      <c r="CF253" s="100" t="str">
        <f aca="false">IF(ISBLANK($C253),"",IF($BH253&lt;&gt;Constants!$B$4,$BH253,RANK($CE253,$CE$9:$CE$508,1)))</f>
        <v/>
      </c>
      <c r="CG253" s="100" t="str">
        <f aca="false">IF(ISBLANK($C253),"",IF($BH253&lt;&gt;Constants!$B$4,$BH253,COUNTIFS($BI$9:$BI$508,"&lt;"&amp;$BI253)+COUNTIFS($BI$9:$BI$508,$BI253,$CB$9:$CB$508,"&lt;"&amp;$CB253)+COUNTIFS($BI$9:$BI$508,$BI253,$CB$9:$CB$508,$CB253,$CD$9:$CD$508,"&lt;"&amp;$CD253)+COUNTIFS($BI$9:$BI$508,$BI253,$CB$9:$CB$508,$CB253,$CD$9:$CD$508,$CD253,$CF$9:$CF$508,"&lt;"&amp;$CF253)+1))</f>
        <v/>
      </c>
      <c r="CH253" s="100" t="str">
        <f aca="false">IF(ISBLANK($C253),"",IF($BH253&lt;&gt;Constants!$B$4,$BH253,$CC253-$CG253))</f>
        <v/>
      </c>
      <c r="CI253" s="100" t="str">
        <f aca="false">IF(ISBLANK($C253),"",IF(NOT($AJ253),"",IF(ISBLANK($D$7),$CI$5,IF(NOT(ISNUMBER($D$7)),$CI$6,""))))</f>
        <v/>
      </c>
      <c r="CJ253" s="100" t="str">
        <f aca="false">IF(ISBLANK($C253),"",OR($AL253="",$AM253="",$AN253=""))</f>
        <v/>
      </c>
      <c r="CK253" s="100" t="str">
        <f aca="false">IF(ISBLANK($C253),"",AND($AJ253,$AX253=""))</f>
        <v/>
      </c>
      <c r="CL253" s="100" t="str">
        <f aca="false">IF(ISBLANK($C253),"",AND($AJ253,$AY253=""))</f>
        <v/>
      </c>
      <c r="CM253" s="100" t="str">
        <f aca="false">IF(ISBLANK($C253),"",AND($AJ253,$AZ253=""))</f>
        <v/>
      </c>
      <c r="CN253" s="100" t="str">
        <f aca="false">IF(ISBLANK($C253),"",AND($AJ253,$BC253=""))</f>
        <v/>
      </c>
      <c r="CO253" s="100" t="str">
        <f aca="false">IF(ISBLANK($C253),"",AND($AJ253,$BF253=""))</f>
        <v/>
      </c>
      <c r="CP253" s="101"/>
      <c r="CQ253" s="102"/>
      <c r="CR253" s="103" t="str">
        <f aca="false">IF(ISBLANK($C253),"",IF($BH253=Constants!$B$8,$CI253,""))</f>
        <v/>
      </c>
      <c r="CS253" s="102" t="str">
        <f aca="false">IF(ISBLANK($C253),"",IF($BH253&lt;&gt;Constants!$B$4,"",$BK253+$BL253))</f>
        <v/>
      </c>
      <c r="CT253" s="104" t="str">
        <f aca="false">IF(ISBLANK($C253),"",IF($BH253&lt;&gt;Constants!$B$4,"",$BM253+$BN253+$BO253))</f>
        <v/>
      </c>
      <c r="CU253" s="104" t="str">
        <f aca="false">IF(ISBLANK($C253),"",IF($BH253&lt;&gt;Constants!$B$4,"",$BP253))</f>
        <v/>
      </c>
      <c r="CV253" s="104" t="str">
        <f aca="false">IF(ISBLANK($C253),"",IF($BH253&lt;&gt;Constants!$B$4,"",$BQ253+$BR253))</f>
        <v/>
      </c>
      <c r="CW253" s="104" t="str">
        <f aca="false">IF(ISBLANK($C253),"",IF($BH253&lt;&gt;Constants!$B$4,"",$BS253))</f>
        <v/>
      </c>
      <c r="CX253" s="104" t="str">
        <f aca="false">IF(ISBLANK($C253),"",IF($BH253&lt;&gt;Constants!$B$4,"",-$BZ253))</f>
        <v/>
      </c>
      <c r="CY253" s="103" t="str">
        <f aca="false">IF(ISBLANK($C253),"",$CA253)</f>
        <v/>
      </c>
      <c r="CZ253" s="105" t="str">
        <f aca="false">IF(ISBLANK($C253),"",$BI253)</f>
        <v/>
      </c>
      <c r="DA253" s="104" t="str">
        <f aca="false">IF(ISBLANK($C253),"",$CH253)</f>
        <v/>
      </c>
      <c r="DB253" s="104" t="str">
        <f aca="false">IF(ISBLANK($C253),"",$CG253)</f>
        <v/>
      </c>
      <c r="DC253" s="106" t="str">
        <f aca="false">IF(ISBLANK($C253),"",IFERROR(_xlfn.SWITCH($DB253,Constants!$B$7,COUNTA($C$9:$C$508)+2,Constants!$B$6,COUNTA($C$9:$C$508)+1,Constants!$B$5,COUNTA($C$9:$C$508)),$DB253))</f>
        <v/>
      </c>
      <c r="DD253" s="7"/>
      <c r="DE253" s="107" t="n">
        <f aca="false">IF(OR(ISNUMBER($DB253),$DB253=Constants!$B$7,$DB253=Constants!$B$5,$DB253=Constants!$B$6),1,0)</f>
        <v>0</v>
      </c>
      <c r="DF253" s="107" t="n">
        <v>245</v>
      </c>
      <c r="DG253" s="107" t="str">
        <f aca="false">IF(ISBLANK($C253),"",IF(ISNUMBER($DC253),$DC253+ROW($B253)/1000,""))</f>
        <v/>
      </c>
      <c r="DH253" s="107" t="str">
        <f aca="false">IF(ISNUMBER($DG253),RANK($DG253,$DG$9:$DG$508,1),"")</f>
        <v/>
      </c>
      <c r="DI253" s="107" t="str">
        <f aca="false">IF(ISBLANK($C253),"",$B253)</f>
        <v/>
      </c>
      <c r="DJ253" s="107" t="str">
        <f aca="false">IF(ISBLANK($C253),"",$C253)</f>
        <v/>
      </c>
      <c r="DK253" s="107" t="str">
        <f aca="false">IF(ISBLANK($C253),"",$D253)</f>
        <v/>
      </c>
      <c r="DL253" s="108" t="str">
        <f aca="false">$CZ253</f>
        <v/>
      </c>
      <c r="DM253" s="109" t="str">
        <f aca="false">$CY253</f>
        <v/>
      </c>
      <c r="DN253" s="107" t="str">
        <f aca="false">IF(ISBLANK($C253),"",$DB253)</f>
        <v/>
      </c>
      <c r="DO253" s="110" t="str">
        <f aca="false">IF($DF253&gt;$DE$8,"",VLOOKUP($DF253,$DH$9:$DN$508,7,FALSE()))</f>
        <v/>
      </c>
      <c r="DP253" s="111" t="str">
        <f aca="false">IF($DF253&gt;$DE$8,"",VLOOKUP($DF253,$DH$9:$DN$508,2,FALSE()))</f>
        <v/>
      </c>
      <c r="DQ253" s="111" t="str">
        <f aca="false">IF($DF253&gt;$DE$8,"",VLOOKUP($DF253,$DH$9:$DN$508,3,FALSE()))</f>
        <v/>
      </c>
      <c r="DR253" s="111" t="str">
        <f aca="false">IF($DF253&gt;$DE$8,"",VLOOKUP($DF253,$DH$9:$DN$508,4,FALSE()))</f>
        <v/>
      </c>
      <c r="DS253" s="111" t="str">
        <f aca="false">IF($DF253&gt;$DE$8,"",VLOOKUP($DF253,$DH$9:$DN$508,5,FALSE()))</f>
        <v/>
      </c>
      <c r="DT253" s="112" t="str">
        <f aca="false">IF($DF253&gt;$DE$8,"",VLOOKUP($DF253,$DH$9:$DN$508,6,FALSE()))</f>
        <v/>
      </c>
      <c r="DU253" s="62"/>
    </row>
    <row r="254" customFormat="false" ht="15.75" hidden="false" customHeight="false" outlineLevel="0" collapsed="false">
      <c r="A254" s="7"/>
      <c r="B254" s="90"/>
      <c r="C254" s="91"/>
      <c r="D254" s="126"/>
      <c r="E254" s="130"/>
      <c r="F254" s="135"/>
      <c r="G254" s="130"/>
      <c r="H254" s="135"/>
      <c r="I254" s="131"/>
      <c r="J254" s="131"/>
      <c r="K254" s="131"/>
      <c r="L254" s="130"/>
      <c r="M254" s="130"/>
      <c r="N254" s="130"/>
      <c r="O254" s="135"/>
      <c r="P254" s="130"/>
      <c r="Q254" s="130"/>
      <c r="R254" s="130"/>
      <c r="S254" s="130"/>
      <c r="T254" s="135"/>
      <c r="U254" s="130"/>
      <c r="V254" s="96"/>
      <c r="W254" s="130"/>
      <c r="X254" s="130"/>
      <c r="Y254" s="96"/>
      <c r="Z254" s="96"/>
      <c r="AA254" s="130"/>
      <c r="AB254" s="130"/>
      <c r="AC254" s="97"/>
      <c r="AD254" s="130"/>
      <c r="AE254" s="99"/>
      <c r="AF254" s="100"/>
      <c r="AG254" s="100"/>
      <c r="AH254" s="100" t="str">
        <f aca="false">IF(ISBLANK($C254),"",IF($E254=Constants!$B$2,TRUE(),IF($E254=Constants!$B$3,FALSE(),TRUE())))</f>
        <v/>
      </c>
      <c r="AI254" s="100" t="str">
        <f aca="false">IF(ISBLANK($C254),"",IF($F254=Constants!$B$2,TRUE(),IF($F254=Constants!$B$3,FALSE(),FALSE())))</f>
        <v/>
      </c>
      <c r="AJ254" s="100" t="str">
        <f aca="false">IF(ISBLANK($C254),"",IF($G254=Constants!$B$2,TRUE(),IF($G254=Constants!$B$3,FALSE(),TRUE())))</f>
        <v/>
      </c>
      <c r="AK254" s="100" t="str">
        <f aca="false">IF(ISBLANK($C254),"",IF($H254=Constants!$B$2,TRUE(),IF($H254=Constants!$B$3,FALSE(),TRUE())))</f>
        <v/>
      </c>
      <c r="AL254" s="100" t="str">
        <f aca="false">IF(ISBLANK($C254),"",IF(ISNUMBER($I254),IF($I254&gt;=0,$I254,""),""))</f>
        <v/>
      </c>
      <c r="AM254" s="100" t="str">
        <f aca="false">IF(ISBLANK($C254),"",IF(ISNUMBER($J254),IF($J254&gt;=0,$J254,""),""))</f>
        <v/>
      </c>
      <c r="AN254" s="100" t="str">
        <f aca="false">IF(ISBLANK($C254),"",IF(ISNUMBER($K254),IF($K254&gt;=0,$K254,""),""))</f>
        <v/>
      </c>
      <c r="AO254" s="100" t="str">
        <f aca="false">IF(ISBLANK($C254),"",IF($L254=Constants!$B$2,TRUE(),IF($L254=Constants!$B$3,FALSE(),TRUE())))</f>
        <v/>
      </c>
      <c r="AP254" s="100" t="str">
        <f aca="false">IF(ISBLANK($C254),"",IF($M254=Constants!$B$2,TRUE(),IF($M254=Constants!$B$3,FALSE(),TRUE())))</f>
        <v/>
      </c>
      <c r="AQ254" s="100" t="str">
        <f aca="false">IF(ISBLANK($C254),"",IF($N254=Constants!$B$2,TRUE(),IF($N254=Constants!$B$3,FALSE(),FALSE())))</f>
        <v/>
      </c>
      <c r="AR254" s="100" t="str">
        <f aca="false">IF(ISBLANK($C254),"",IF($O254=Constants!$B$2,TRUE(),IF($O254=Constants!$B$3,FALSE(),TRUE())))</f>
        <v/>
      </c>
      <c r="AS254" s="100" t="str">
        <f aca="false">IF(ISBLANK($C254),"",IF($P254=Constants!$B$2,TRUE(),IF($P254=Constants!$B$3,FALSE(),FALSE())))</f>
        <v/>
      </c>
      <c r="AT254" s="100" t="str">
        <f aca="false">IF(ISBLANK($C254),"",IF($Q254=Constants!$B$2,TRUE(),IF($Q254=Constants!$B$3,FALSE(),FALSE())))</f>
        <v/>
      </c>
      <c r="AU254" s="100" t="str">
        <f aca="false">IF(ISBLANK($C254),"",IF($R254=Constants!$B$2,TRUE(),IF($R254=Constants!$B$3,FALSE(),FALSE())))</f>
        <v/>
      </c>
      <c r="AV254" s="100" t="str">
        <f aca="false">IF(ISBLANK($C254),"",IF($S254=Constants!$B$2,TRUE(),IF($S254=Constants!$B$3,FALSE(),FALSE())))</f>
        <v/>
      </c>
      <c r="AW254" s="100" t="str">
        <f aca="false">IF(ISBLANK($C254),"",IF($T254=Constants!$B$2,TRUE(),IF($T254=Constants!$B$3,FALSE(),FALSE())))</f>
        <v/>
      </c>
      <c r="AX254" s="100" t="str">
        <f aca="false">IF(ISBLANK($C254),"",IF(OR($U254&amp;""="1",$U254&amp;""="2",$U254&amp;""="3",$U254&amp;""="4"),VALUE($U254&amp;""),IF($U254=Constants!$B$12,Constants!$B$12,"")))</f>
        <v/>
      </c>
      <c r="AY254" s="100" t="str">
        <f aca="false">IF(ISBLANK($C254),"",IF(ISBLANK($V254),0,IF(ISNUMBER($V254),IF(AND($V254&gt;=0,$V254&lt;=Constants!$B$21,$V254=INT($V254)),$V254,""),"")))</f>
        <v/>
      </c>
      <c r="AZ254" s="100" t="str">
        <f aca="false">IF(ISBLANK($C254),"",IF(ISBLANK($W254),0,IF(ISNUMBER($W254),IF($W254&gt;=0,$W254,""),"")))</f>
        <v/>
      </c>
      <c r="BA254" s="100" t="str">
        <f aca="false">IF(ISBLANK($C254),"",IF($X254=Constants!$B$2,TRUE(),IF($X254=Constants!$B$3,FALSE(),TRUE())))</f>
        <v/>
      </c>
      <c r="BB254" s="100" t="str">
        <f aca="false">IF(ISBLANK($C254),"",IF($Y254=Constants!$B$2,TRUE(),IF($Y254=Constants!$B$3,FALSE(),FALSE())))</f>
        <v/>
      </c>
      <c r="BC254" s="100" t="str">
        <f aca="false">IF(ISBLANK($C254),"",IF(ISBLANK($Z254),0,IF(ISNUMBER($Z254),IF(AND($Z254&gt;=0,$Z254&lt;=Constants!$B$35,$Z254=INT($Z254)),$Z254,""),"")))</f>
        <v/>
      </c>
      <c r="BD254" s="100" t="str">
        <f aca="false">IF(ISBLANK($C254),"",IF($AA254=Constants!$B$2,TRUE(),IF($AA254=Constants!$B$3,FALSE(),TRUE())))</f>
        <v/>
      </c>
      <c r="BE254" s="100" t="str">
        <f aca="false">IF(ISBLANK($C254),"",IF($AB254=Constants!$B$2,TRUE(),IF($AB254=Constants!$B$3,FALSE(),TRUE())))</f>
        <v/>
      </c>
      <c r="BF254" s="100" t="str">
        <f aca="false">IF(ISBLANK($C254),"",IF(ISNUMBER($AC254),IF($AC254&gt;=0,$AC254,""),""))</f>
        <v/>
      </c>
      <c r="BG254" s="100" t="str">
        <f aca="false">IF(ISBLANK($C254),"",IF($AD254=Constants!$B$2,TRUE(),IF($AD254=Constants!$B$3,FALSE(),FALSE())))</f>
        <v/>
      </c>
      <c r="BH254" s="99" t="str">
        <f aca="false">IF(ISBLANK($C254),"",IF($BG254,Constants!$B$7,IF(COUNTA($E254:$AC254)=0,Constants!$B$6,IF(OR(COUNTA($G254:$AC254)=0,NOT($AK254),$AQ254),Constants!$B$5,IF(OR($CI254&lt;&gt;"",$CJ254,$CK254,$CL254,$CM254,$CN254,$CO254),Constants!$B$8,Constants!$B$4)))))</f>
        <v/>
      </c>
      <c r="BI254" s="100" t="str">
        <f aca="false">IF(ISBLANK($C254),"",IF($BH254&lt;&gt;Constants!$B$4,$BH254,IF(OR(NOT($AH254),NOT($AJ254),NOT($AR254)),Constants!$B$11,IF(OR(NOT($AP254),MAX($AL254,$AM254,$AN254)&gt;Constants!$B$30),Constants!$B$10,Constants!$B$9))))</f>
        <v/>
      </c>
      <c r="BJ254" s="100" t="str">
        <f aca="false">IF($BH254&lt;&gt;Constants!$B$4,"",IF(NOT($AJ254),0,MIN(Constants!$B$35,$BC254)))</f>
        <v/>
      </c>
      <c r="BK254" s="100" t="str">
        <f aca="false">IF($BH254&lt;&gt;Constants!$B$4,"",IF(NOT($AJ254),0,IF($AT254,Constants!$B$18,IF($AS254,Constants!$B$17,0))))</f>
        <v/>
      </c>
      <c r="BL254" s="100" t="str">
        <f aca="false">IF($BH254&lt;&gt;Constants!$B$4,"",IF(NOT($AJ254),0,Constants!$B$19*($AI254+$AU254+$AV254+$AW254)))</f>
        <v/>
      </c>
      <c r="BM254" s="100" t="str">
        <f aca="false">IF($BH254&lt;&gt;Constants!$B$4,"",IF(OR(NOT($AJ254),NOT(ISNUMBER($AX254))),0,CHOOSE($AX254,Constants!$B$13,Constants!$B$14,Constants!$B$15,Constants!$B$16)))</f>
        <v/>
      </c>
      <c r="BN254" s="100" t="str">
        <f aca="false">IF($BH254&lt;&gt;Constants!$B$4,"",IF(NOT($AJ254),0,Constants!$B$20*$AY254))</f>
        <v/>
      </c>
      <c r="BO254" s="100" t="str">
        <f aca="false">IF($BH254&lt;&gt;Constants!$B$4,"",IF(AND($AJ254,$BA254,$BB254),Constants!$B$22,0))</f>
        <v/>
      </c>
      <c r="BP254" s="100" t="str">
        <f aca="false">IF($BH254&lt;&gt;Constants!$B$4,"",IF(OR(NOT($AJ254),NOT($BA254)),0,IF($BF254&gt;=2*$AF$9,0,Constants!$B$23*INT(ROUND(MIN($BF254,$AF$9),6)))))</f>
        <v/>
      </c>
      <c r="BQ254" s="100" t="str">
        <f aca="false">IF($BH254&lt;&gt;Constants!$B$4,"",IF(NOT($AJ254),0,Constants!$B$24*INT(ROUND(MIN($AZ254,$AF$9),6))))</f>
        <v/>
      </c>
      <c r="BR254" s="100" t="str">
        <f aca="false">IF($BH254&lt;&gt;Constants!$B$4,"",IF(AND($AJ254,$BJ254=0),Constants!$B$25,0))</f>
        <v/>
      </c>
      <c r="BS254" s="100" t="str">
        <f aca="false">IF($BH254&lt;&gt;Constants!$B$4,"",MIN(Constants!$B$29,MAX(0,Constants!$B$27*Constants!$B$28*INT(ROUND((Constants!$B$26-$AL254)/Constants!$B$28,6))))+MIN(Constants!$B$29,MAX(0,Constants!$B$27*Constants!$B$28*INT(ROUND((Constants!$B$26-$AM254)/Constants!$B$28,6))))+MIN(Constants!$B$29,MAX(0,Constants!$B$27*Constants!$B$28*INT(ROUND((Constants!$B$26-$AN254)/Constants!$B$28,6)))))</f>
        <v/>
      </c>
      <c r="BT254" s="100" t="str">
        <f aca="false">IF($BH254&lt;&gt;Constants!$B$4,"",IF(NOT($AJ254),0,Constants!$B$31*INT(ROUND(MAX(0,MIN($BF254,2*$AF$9)-$AF$9),6))))</f>
        <v/>
      </c>
      <c r="BU254" s="100" t="str">
        <f aca="false">IF($BH254&lt;&gt;Constants!$B$4,"",Constants!$B$32*(($AL254&gt;Constants!$B$26)+($AM254&gt;Constants!$B$26)+($AN254&gt;Constants!$B$26)))</f>
        <v/>
      </c>
      <c r="BV254" s="100" t="str">
        <f aca="false">IF($BH254&lt;&gt;Constants!$B$4,"",IF(OR(NOT($AJ254),$AO254),0,Constants!$B$33))</f>
        <v/>
      </c>
      <c r="BW254" s="100" t="str">
        <f aca="false">IF($BH254&lt;&gt;Constants!$B$4,"",Constants!$B$34*$BJ254)</f>
        <v/>
      </c>
      <c r="BX254" s="100" t="str">
        <f aca="false">IF($BH254&lt;&gt;Constants!$B$4,"",IF(OR(NOT($AJ254),$BE254),0,Constants!$B$36))</f>
        <v/>
      </c>
      <c r="BY254" s="100" t="str">
        <f aca="false">IF($BH254&lt;&gt;Constants!$B$4,"",IF(OR(NOT($AJ254),$BD254),0,Constants!$B$37))</f>
        <v/>
      </c>
      <c r="BZ254" s="100" t="str">
        <f aca="false">IF($BH254&lt;&gt;Constants!$B$4,"",SUM($BT254:$BY254))</f>
        <v/>
      </c>
      <c r="CA254" s="100" t="str">
        <f aca="false">IF(ISBLANK($C254),"",IF($BH254&lt;&gt;Constants!$B$4,$BH254,SUM($BK254:$BS254)-$BZ254))</f>
        <v/>
      </c>
      <c r="CB254" s="100" t="str">
        <f aca="false">IF(ISBLANK($C254),"",IF($BH254&lt;&gt;Constants!$B$4,$BH254,RANK($CA254,$CA$9:$CA$508)))</f>
        <v/>
      </c>
      <c r="CC254" s="100" t="str">
        <f aca="false">IF(ISBLANK($C254),"",IF($BH254&lt;&gt;Constants!$B$4,$BH254,COUNTIFS($BI$9:$BI$508,"&lt;"&amp;$BI254)+COUNTIFS($BI$9:$BI$508,$BI254,$CB$9:$CB$508,"&lt;"&amp;$CB254)+1))</f>
        <v/>
      </c>
      <c r="CD254" s="100" t="str">
        <f aca="false">IF(ISBLANK($C254),"",IF($BH254&lt;&gt;Constants!$B$4,$BH254,RANK($BZ254,$BZ$9:$BZ$508,1)))</f>
        <v/>
      </c>
      <c r="CE254" s="100" t="str">
        <f aca="false">IF($BH254&lt;&gt;Constants!$B$4,"",$AL254+$AM254+$AN254)</f>
        <v/>
      </c>
      <c r="CF254" s="100" t="str">
        <f aca="false">IF(ISBLANK($C254),"",IF($BH254&lt;&gt;Constants!$B$4,$BH254,RANK($CE254,$CE$9:$CE$508,1)))</f>
        <v/>
      </c>
      <c r="CG254" s="100" t="str">
        <f aca="false">IF(ISBLANK($C254),"",IF($BH254&lt;&gt;Constants!$B$4,$BH254,COUNTIFS($BI$9:$BI$508,"&lt;"&amp;$BI254)+COUNTIFS($BI$9:$BI$508,$BI254,$CB$9:$CB$508,"&lt;"&amp;$CB254)+COUNTIFS($BI$9:$BI$508,$BI254,$CB$9:$CB$508,$CB254,$CD$9:$CD$508,"&lt;"&amp;$CD254)+COUNTIFS($BI$9:$BI$508,$BI254,$CB$9:$CB$508,$CB254,$CD$9:$CD$508,$CD254,$CF$9:$CF$508,"&lt;"&amp;$CF254)+1))</f>
        <v/>
      </c>
      <c r="CH254" s="100" t="str">
        <f aca="false">IF(ISBLANK($C254),"",IF($BH254&lt;&gt;Constants!$B$4,$BH254,$CC254-$CG254))</f>
        <v/>
      </c>
      <c r="CI254" s="100" t="str">
        <f aca="false">IF(ISBLANK($C254),"",IF(NOT($AJ254),"",IF(ISBLANK($D$7),$CI$5,IF(NOT(ISNUMBER($D$7)),$CI$6,""))))</f>
        <v/>
      </c>
      <c r="CJ254" s="100" t="str">
        <f aca="false">IF(ISBLANK($C254),"",OR($AL254="",$AM254="",$AN254=""))</f>
        <v/>
      </c>
      <c r="CK254" s="100" t="str">
        <f aca="false">IF(ISBLANK($C254),"",AND($AJ254,$AX254=""))</f>
        <v/>
      </c>
      <c r="CL254" s="100" t="str">
        <f aca="false">IF(ISBLANK($C254),"",AND($AJ254,$AY254=""))</f>
        <v/>
      </c>
      <c r="CM254" s="100" t="str">
        <f aca="false">IF(ISBLANK($C254),"",AND($AJ254,$AZ254=""))</f>
        <v/>
      </c>
      <c r="CN254" s="100" t="str">
        <f aca="false">IF(ISBLANK($C254),"",AND($AJ254,$BC254=""))</f>
        <v/>
      </c>
      <c r="CO254" s="100" t="str">
        <f aca="false">IF(ISBLANK($C254),"",AND($AJ254,$BF254=""))</f>
        <v/>
      </c>
      <c r="CP254" s="101"/>
      <c r="CQ254" s="102"/>
      <c r="CR254" s="103" t="str">
        <f aca="false">IF(ISBLANK($C254),"",IF($BH254=Constants!$B$8,$CI254,""))</f>
        <v/>
      </c>
      <c r="CS254" s="102" t="str">
        <f aca="false">IF(ISBLANK($C254),"",IF($BH254&lt;&gt;Constants!$B$4,"",$BK254+$BL254))</f>
        <v/>
      </c>
      <c r="CT254" s="104" t="str">
        <f aca="false">IF(ISBLANK($C254),"",IF($BH254&lt;&gt;Constants!$B$4,"",$BM254+$BN254+$BO254))</f>
        <v/>
      </c>
      <c r="CU254" s="104" t="str">
        <f aca="false">IF(ISBLANK($C254),"",IF($BH254&lt;&gt;Constants!$B$4,"",$BP254))</f>
        <v/>
      </c>
      <c r="CV254" s="104" t="str">
        <f aca="false">IF(ISBLANK($C254),"",IF($BH254&lt;&gt;Constants!$B$4,"",$BQ254+$BR254))</f>
        <v/>
      </c>
      <c r="CW254" s="104" t="str">
        <f aca="false">IF(ISBLANK($C254),"",IF($BH254&lt;&gt;Constants!$B$4,"",$BS254))</f>
        <v/>
      </c>
      <c r="CX254" s="104" t="str">
        <f aca="false">IF(ISBLANK($C254),"",IF($BH254&lt;&gt;Constants!$B$4,"",-$BZ254))</f>
        <v/>
      </c>
      <c r="CY254" s="103" t="str">
        <f aca="false">IF(ISBLANK($C254),"",$CA254)</f>
        <v/>
      </c>
      <c r="CZ254" s="105" t="str">
        <f aca="false">IF(ISBLANK($C254),"",$BI254)</f>
        <v/>
      </c>
      <c r="DA254" s="104" t="str">
        <f aca="false">IF(ISBLANK($C254),"",$CH254)</f>
        <v/>
      </c>
      <c r="DB254" s="104" t="str">
        <f aca="false">IF(ISBLANK($C254),"",$CG254)</f>
        <v/>
      </c>
      <c r="DC254" s="106" t="str">
        <f aca="false">IF(ISBLANK($C254),"",IFERROR(_xlfn.SWITCH($DB254,Constants!$B$7,COUNTA($C$9:$C$508)+2,Constants!$B$6,COUNTA($C$9:$C$508)+1,Constants!$B$5,COUNTA($C$9:$C$508)),$DB254))</f>
        <v/>
      </c>
      <c r="DD254" s="7"/>
      <c r="DE254" s="107" t="n">
        <f aca="false">IF(OR(ISNUMBER($DB254),$DB254=Constants!$B$7,$DB254=Constants!$B$5,$DB254=Constants!$B$6),1,0)</f>
        <v>0</v>
      </c>
      <c r="DF254" s="107" t="n">
        <v>246</v>
      </c>
      <c r="DG254" s="107" t="str">
        <f aca="false">IF(ISBLANK($C254),"",IF(ISNUMBER($DC254),$DC254+ROW($B254)/1000,""))</f>
        <v/>
      </c>
      <c r="DH254" s="107" t="str">
        <f aca="false">IF(ISNUMBER($DG254),RANK($DG254,$DG$9:$DG$508,1),"")</f>
        <v/>
      </c>
      <c r="DI254" s="107" t="str">
        <f aca="false">IF(ISBLANK($C254),"",$B254)</f>
        <v/>
      </c>
      <c r="DJ254" s="107" t="str">
        <f aca="false">IF(ISBLANK($C254),"",$C254)</f>
        <v/>
      </c>
      <c r="DK254" s="107" t="str">
        <f aca="false">IF(ISBLANK($C254),"",$D254)</f>
        <v/>
      </c>
      <c r="DL254" s="108" t="str">
        <f aca="false">$CZ254</f>
        <v/>
      </c>
      <c r="DM254" s="109" t="str">
        <f aca="false">$CY254</f>
        <v/>
      </c>
      <c r="DN254" s="107" t="str">
        <f aca="false">IF(ISBLANK($C254),"",$DB254)</f>
        <v/>
      </c>
      <c r="DO254" s="110" t="str">
        <f aca="false">IF($DF254&gt;$DE$8,"",VLOOKUP($DF254,$DH$9:$DN$508,7,FALSE()))</f>
        <v/>
      </c>
      <c r="DP254" s="111" t="str">
        <f aca="false">IF($DF254&gt;$DE$8,"",VLOOKUP($DF254,$DH$9:$DN$508,2,FALSE()))</f>
        <v/>
      </c>
      <c r="DQ254" s="111" t="str">
        <f aca="false">IF($DF254&gt;$DE$8,"",VLOOKUP($DF254,$DH$9:$DN$508,3,FALSE()))</f>
        <v/>
      </c>
      <c r="DR254" s="111" t="str">
        <f aca="false">IF($DF254&gt;$DE$8,"",VLOOKUP($DF254,$DH$9:$DN$508,4,FALSE()))</f>
        <v/>
      </c>
      <c r="DS254" s="111" t="str">
        <f aca="false">IF($DF254&gt;$DE$8,"",VLOOKUP($DF254,$DH$9:$DN$508,5,FALSE()))</f>
        <v/>
      </c>
      <c r="DT254" s="112" t="str">
        <f aca="false">IF($DF254&gt;$DE$8,"",VLOOKUP($DF254,$DH$9:$DN$508,6,FALSE()))</f>
        <v/>
      </c>
      <c r="DU254" s="62"/>
    </row>
    <row r="255" customFormat="false" ht="15.75" hidden="false" customHeight="false" outlineLevel="0" collapsed="false">
      <c r="A255" s="7"/>
      <c r="B255" s="64"/>
      <c r="C255" s="65"/>
      <c r="D255" s="123"/>
      <c r="E255" s="88"/>
      <c r="F255" s="134"/>
      <c r="G255" s="88"/>
      <c r="H255" s="134"/>
      <c r="I255" s="119"/>
      <c r="J255" s="119"/>
      <c r="K255" s="119"/>
      <c r="L255" s="88"/>
      <c r="M255" s="88"/>
      <c r="N255" s="88"/>
      <c r="O255" s="134"/>
      <c r="P255" s="88"/>
      <c r="Q255" s="88"/>
      <c r="R255" s="88"/>
      <c r="S255" s="88"/>
      <c r="T255" s="134"/>
      <c r="U255" s="88"/>
      <c r="V255" s="70"/>
      <c r="W255" s="88"/>
      <c r="X255" s="88"/>
      <c r="Y255" s="70"/>
      <c r="Z255" s="70"/>
      <c r="AA255" s="88"/>
      <c r="AB255" s="88"/>
      <c r="AC255" s="71"/>
      <c r="AD255" s="88"/>
      <c r="AE255" s="73"/>
      <c r="AF255" s="74"/>
      <c r="AG255" s="74"/>
      <c r="AH255" s="74" t="str">
        <f aca="false">IF(ISBLANK($C255),"",IF($E255=Constants!$B$2,TRUE(),IF($E255=Constants!$B$3,FALSE(),TRUE())))</f>
        <v/>
      </c>
      <c r="AI255" s="74" t="str">
        <f aca="false">IF(ISBLANK($C255),"",IF($F255=Constants!$B$2,TRUE(),IF($F255=Constants!$B$3,FALSE(),FALSE())))</f>
        <v/>
      </c>
      <c r="AJ255" s="74" t="str">
        <f aca="false">IF(ISBLANK($C255),"",IF($G255=Constants!$B$2,TRUE(),IF($G255=Constants!$B$3,FALSE(),TRUE())))</f>
        <v/>
      </c>
      <c r="AK255" s="74" t="str">
        <f aca="false">IF(ISBLANK($C255),"",IF($H255=Constants!$B$2,TRUE(),IF($H255=Constants!$B$3,FALSE(),TRUE())))</f>
        <v/>
      </c>
      <c r="AL255" s="74" t="str">
        <f aca="false">IF(ISBLANK($C255),"",IF(ISNUMBER($I255),IF($I255&gt;=0,$I255,""),""))</f>
        <v/>
      </c>
      <c r="AM255" s="74" t="str">
        <f aca="false">IF(ISBLANK($C255),"",IF(ISNUMBER($J255),IF($J255&gt;=0,$J255,""),""))</f>
        <v/>
      </c>
      <c r="AN255" s="74" t="str">
        <f aca="false">IF(ISBLANK($C255),"",IF(ISNUMBER($K255),IF($K255&gt;=0,$K255,""),""))</f>
        <v/>
      </c>
      <c r="AO255" s="74" t="str">
        <f aca="false">IF(ISBLANK($C255),"",IF($L255=Constants!$B$2,TRUE(),IF($L255=Constants!$B$3,FALSE(),TRUE())))</f>
        <v/>
      </c>
      <c r="AP255" s="74" t="str">
        <f aca="false">IF(ISBLANK($C255),"",IF($M255=Constants!$B$2,TRUE(),IF($M255=Constants!$B$3,FALSE(),TRUE())))</f>
        <v/>
      </c>
      <c r="AQ255" s="74" t="str">
        <f aca="false">IF(ISBLANK($C255),"",IF($N255=Constants!$B$2,TRUE(),IF($N255=Constants!$B$3,FALSE(),FALSE())))</f>
        <v/>
      </c>
      <c r="AR255" s="74" t="str">
        <f aca="false">IF(ISBLANK($C255),"",IF($O255=Constants!$B$2,TRUE(),IF($O255=Constants!$B$3,FALSE(),TRUE())))</f>
        <v/>
      </c>
      <c r="AS255" s="74" t="str">
        <f aca="false">IF(ISBLANK($C255),"",IF($P255=Constants!$B$2,TRUE(),IF($P255=Constants!$B$3,FALSE(),FALSE())))</f>
        <v/>
      </c>
      <c r="AT255" s="74" t="str">
        <f aca="false">IF(ISBLANK($C255),"",IF($Q255=Constants!$B$2,TRUE(),IF($Q255=Constants!$B$3,FALSE(),FALSE())))</f>
        <v/>
      </c>
      <c r="AU255" s="74" t="str">
        <f aca="false">IF(ISBLANK($C255),"",IF($R255=Constants!$B$2,TRUE(),IF($R255=Constants!$B$3,FALSE(),FALSE())))</f>
        <v/>
      </c>
      <c r="AV255" s="74" t="str">
        <f aca="false">IF(ISBLANK($C255),"",IF($S255=Constants!$B$2,TRUE(),IF($S255=Constants!$B$3,FALSE(),FALSE())))</f>
        <v/>
      </c>
      <c r="AW255" s="74" t="str">
        <f aca="false">IF(ISBLANK($C255),"",IF($T255=Constants!$B$2,TRUE(),IF($T255=Constants!$B$3,FALSE(),FALSE())))</f>
        <v/>
      </c>
      <c r="AX255" s="74" t="str">
        <f aca="false">IF(ISBLANK($C255),"",IF(OR($U255&amp;""="1",$U255&amp;""="2",$U255&amp;""="3",$U255&amp;""="4"),VALUE($U255&amp;""),IF($U255=Constants!$B$12,Constants!$B$12,"")))</f>
        <v/>
      </c>
      <c r="AY255" s="74" t="str">
        <f aca="false">IF(ISBLANK($C255),"",IF(ISBLANK($V255),0,IF(ISNUMBER($V255),IF(AND($V255&gt;=0,$V255&lt;=Constants!$B$21,$V255=INT($V255)),$V255,""),"")))</f>
        <v/>
      </c>
      <c r="AZ255" s="74" t="str">
        <f aca="false">IF(ISBLANK($C255),"",IF(ISBLANK($W255),0,IF(ISNUMBER($W255),IF($W255&gt;=0,$W255,""),"")))</f>
        <v/>
      </c>
      <c r="BA255" s="74" t="str">
        <f aca="false">IF(ISBLANK($C255),"",IF($X255=Constants!$B$2,TRUE(),IF($X255=Constants!$B$3,FALSE(),TRUE())))</f>
        <v/>
      </c>
      <c r="BB255" s="74" t="str">
        <f aca="false">IF(ISBLANK($C255),"",IF($Y255=Constants!$B$2,TRUE(),IF($Y255=Constants!$B$3,FALSE(),FALSE())))</f>
        <v/>
      </c>
      <c r="BC255" s="74" t="str">
        <f aca="false">IF(ISBLANK($C255),"",IF(ISBLANK($Z255),0,IF(ISNUMBER($Z255),IF(AND($Z255&gt;=0,$Z255&lt;=Constants!$B$35,$Z255=INT($Z255)),$Z255,""),"")))</f>
        <v/>
      </c>
      <c r="BD255" s="74" t="str">
        <f aca="false">IF(ISBLANK($C255),"",IF($AA255=Constants!$B$2,TRUE(),IF($AA255=Constants!$B$3,FALSE(),TRUE())))</f>
        <v/>
      </c>
      <c r="BE255" s="74" t="str">
        <f aca="false">IF(ISBLANK($C255),"",IF($AB255=Constants!$B$2,TRUE(),IF($AB255=Constants!$B$3,FALSE(),TRUE())))</f>
        <v/>
      </c>
      <c r="BF255" s="74" t="str">
        <f aca="false">IF(ISBLANK($C255),"",IF(ISNUMBER($AC255),IF($AC255&gt;=0,$AC255,""),""))</f>
        <v/>
      </c>
      <c r="BG255" s="74" t="str">
        <f aca="false">IF(ISBLANK($C255),"",IF($AD255=Constants!$B$2,TRUE(),IF($AD255=Constants!$B$3,FALSE(),FALSE())))</f>
        <v/>
      </c>
      <c r="BH255" s="73" t="str">
        <f aca="false">IF(ISBLANK($C255),"",IF($BG255,Constants!$B$7,IF(COUNTA($E255:$AC255)=0,Constants!$B$6,IF(OR(COUNTA($G255:$AC255)=0,NOT($AK255),$AQ255),Constants!$B$5,IF(OR($CI255&lt;&gt;"",$CJ255,$CK255,$CL255,$CM255,$CN255,$CO255),Constants!$B$8,Constants!$B$4)))))</f>
        <v/>
      </c>
      <c r="BI255" s="74" t="str">
        <f aca="false">IF(ISBLANK($C255),"",IF($BH255&lt;&gt;Constants!$B$4,$BH255,IF(OR(NOT($AH255),NOT($AJ255),NOT($AR255)),Constants!$B$11,IF(OR(NOT($AP255),MAX($AL255,$AM255,$AN255)&gt;Constants!$B$30),Constants!$B$10,Constants!$B$9))))</f>
        <v/>
      </c>
      <c r="BJ255" s="74" t="str">
        <f aca="false">IF($BH255&lt;&gt;Constants!$B$4,"",IF(NOT($AJ255),0,MIN(Constants!$B$35,$BC255)))</f>
        <v/>
      </c>
      <c r="BK255" s="74" t="str">
        <f aca="false">IF($BH255&lt;&gt;Constants!$B$4,"",IF(NOT($AJ255),0,IF($AT255,Constants!$B$18,IF($AS255,Constants!$B$17,0))))</f>
        <v/>
      </c>
      <c r="BL255" s="74" t="str">
        <f aca="false">IF($BH255&lt;&gt;Constants!$B$4,"",IF(NOT($AJ255),0,Constants!$B$19*($AI255+$AU255+$AV255+$AW255)))</f>
        <v/>
      </c>
      <c r="BM255" s="74" t="str">
        <f aca="false">IF($BH255&lt;&gt;Constants!$B$4,"",IF(OR(NOT($AJ255),NOT(ISNUMBER($AX255))),0,CHOOSE($AX255,Constants!$B$13,Constants!$B$14,Constants!$B$15,Constants!$B$16)))</f>
        <v/>
      </c>
      <c r="BN255" s="74" t="str">
        <f aca="false">IF($BH255&lt;&gt;Constants!$B$4,"",IF(NOT($AJ255),0,Constants!$B$20*$AY255))</f>
        <v/>
      </c>
      <c r="BO255" s="74" t="str">
        <f aca="false">IF($BH255&lt;&gt;Constants!$B$4,"",IF(AND($AJ255,$BA255,$BB255),Constants!$B$22,0))</f>
        <v/>
      </c>
      <c r="BP255" s="74" t="str">
        <f aca="false">IF($BH255&lt;&gt;Constants!$B$4,"",IF(OR(NOT($AJ255),NOT($BA255)),0,IF($BF255&gt;=2*$AF$9,0,Constants!$B$23*INT(ROUND(MIN($BF255,$AF$9),6)))))</f>
        <v/>
      </c>
      <c r="BQ255" s="74" t="str">
        <f aca="false">IF($BH255&lt;&gt;Constants!$B$4,"",IF(NOT($AJ255),0,Constants!$B$24*INT(ROUND(MIN($AZ255,$AF$9),6))))</f>
        <v/>
      </c>
      <c r="BR255" s="74" t="str">
        <f aca="false">IF($BH255&lt;&gt;Constants!$B$4,"",IF(AND($AJ255,$BJ255=0),Constants!$B$25,0))</f>
        <v/>
      </c>
      <c r="BS255" s="74" t="str">
        <f aca="false">IF($BH255&lt;&gt;Constants!$B$4,"",MIN(Constants!$B$29,MAX(0,Constants!$B$27*Constants!$B$28*INT(ROUND((Constants!$B$26-$AL255)/Constants!$B$28,6))))+MIN(Constants!$B$29,MAX(0,Constants!$B$27*Constants!$B$28*INT(ROUND((Constants!$B$26-$AM255)/Constants!$B$28,6))))+MIN(Constants!$B$29,MAX(0,Constants!$B$27*Constants!$B$28*INT(ROUND((Constants!$B$26-$AN255)/Constants!$B$28,6)))))</f>
        <v/>
      </c>
      <c r="BT255" s="74" t="str">
        <f aca="false">IF($BH255&lt;&gt;Constants!$B$4,"",IF(NOT($AJ255),0,Constants!$B$31*INT(ROUND(MAX(0,MIN($BF255,2*$AF$9)-$AF$9),6))))</f>
        <v/>
      </c>
      <c r="BU255" s="74" t="str">
        <f aca="false">IF($BH255&lt;&gt;Constants!$B$4,"",Constants!$B$32*(($AL255&gt;Constants!$B$26)+($AM255&gt;Constants!$B$26)+($AN255&gt;Constants!$B$26)))</f>
        <v/>
      </c>
      <c r="BV255" s="74" t="str">
        <f aca="false">IF($BH255&lt;&gt;Constants!$B$4,"",IF(OR(NOT($AJ255),$AO255),0,Constants!$B$33))</f>
        <v/>
      </c>
      <c r="BW255" s="74" t="str">
        <f aca="false">IF($BH255&lt;&gt;Constants!$B$4,"",Constants!$B$34*$BJ255)</f>
        <v/>
      </c>
      <c r="BX255" s="74" t="str">
        <f aca="false">IF($BH255&lt;&gt;Constants!$B$4,"",IF(OR(NOT($AJ255),$BE255),0,Constants!$B$36))</f>
        <v/>
      </c>
      <c r="BY255" s="74" t="str">
        <f aca="false">IF($BH255&lt;&gt;Constants!$B$4,"",IF(OR(NOT($AJ255),$BD255),0,Constants!$B$37))</f>
        <v/>
      </c>
      <c r="BZ255" s="74" t="str">
        <f aca="false">IF($BH255&lt;&gt;Constants!$B$4,"",SUM($BT255:$BY255))</f>
        <v/>
      </c>
      <c r="CA255" s="74" t="str">
        <f aca="false">IF(ISBLANK($C255),"",IF($BH255&lt;&gt;Constants!$B$4,$BH255,SUM($BK255:$BS255)-$BZ255))</f>
        <v/>
      </c>
      <c r="CB255" s="74" t="str">
        <f aca="false">IF(ISBLANK($C255),"",IF($BH255&lt;&gt;Constants!$B$4,$BH255,RANK($CA255,$CA$9:$CA$508)))</f>
        <v/>
      </c>
      <c r="CC255" s="74" t="str">
        <f aca="false">IF(ISBLANK($C255),"",IF($BH255&lt;&gt;Constants!$B$4,$BH255,COUNTIFS($BI$9:$BI$508,"&lt;"&amp;$BI255)+COUNTIFS($BI$9:$BI$508,$BI255,$CB$9:$CB$508,"&lt;"&amp;$CB255)+1))</f>
        <v/>
      </c>
      <c r="CD255" s="74" t="str">
        <f aca="false">IF(ISBLANK($C255),"",IF($BH255&lt;&gt;Constants!$B$4,$BH255,RANK($BZ255,$BZ$9:$BZ$508,1)))</f>
        <v/>
      </c>
      <c r="CE255" s="74" t="str">
        <f aca="false">IF($BH255&lt;&gt;Constants!$B$4,"",$AL255+$AM255+$AN255)</f>
        <v/>
      </c>
      <c r="CF255" s="74" t="str">
        <f aca="false">IF(ISBLANK($C255),"",IF($BH255&lt;&gt;Constants!$B$4,$BH255,RANK($CE255,$CE$9:$CE$508,1)))</f>
        <v/>
      </c>
      <c r="CG255" s="74" t="str">
        <f aca="false">IF(ISBLANK($C255),"",IF($BH255&lt;&gt;Constants!$B$4,$BH255,COUNTIFS($BI$9:$BI$508,"&lt;"&amp;$BI255)+COUNTIFS($BI$9:$BI$508,$BI255,$CB$9:$CB$508,"&lt;"&amp;$CB255)+COUNTIFS($BI$9:$BI$508,$BI255,$CB$9:$CB$508,$CB255,$CD$9:$CD$508,"&lt;"&amp;$CD255)+COUNTIFS($BI$9:$BI$508,$BI255,$CB$9:$CB$508,$CB255,$CD$9:$CD$508,$CD255,$CF$9:$CF$508,"&lt;"&amp;$CF255)+1))</f>
        <v/>
      </c>
      <c r="CH255" s="74" t="str">
        <f aca="false">IF(ISBLANK($C255),"",IF($BH255&lt;&gt;Constants!$B$4,$BH255,$CC255-$CG255))</f>
        <v/>
      </c>
      <c r="CI255" s="74" t="str">
        <f aca="false">IF(ISBLANK($C255),"",IF(NOT($AJ255),"",IF(ISBLANK($D$7),$CI$5,IF(NOT(ISNUMBER($D$7)),$CI$6,""))))</f>
        <v/>
      </c>
      <c r="CJ255" s="74" t="str">
        <f aca="false">IF(ISBLANK($C255),"",OR($AL255="",$AM255="",$AN255=""))</f>
        <v/>
      </c>
      <c r="CK255" s="74" t="str">
        <f aca="false">IF(ISBLANK($C255),"",AND($AJ255,$AX255=""))</f>
        <v/>
      </c>
      <c r="CL255" s="74" t="str">
        <f aca="false">IF(ISBLANK($C255),"",AND($AJ255,$AY255=""))</f>
        <v/>
      </c>
      <c r="CM255" s="74" t="str">
        <f aca="false">IF(ISBLANK($C255),"",AND($AJ255,$AZ255=""))</f>
        <v/>
      </c>
      <c r="CN255" s="74" t="str">
        <f aca="false">IF(ISBLANK($C255),"",AND($AJ255,$BC255=""))</f>
        <v/>
      </c>
      <c r="CO255" s="74" t="str">
        <f aca="false">IF(ISBLANK($C255),"",AND($AJ255,$BF255=""))</f>
        <v/>
      </c>
      <c r="CP255" s="75"/>
      <c r="CQ255" s="76"/>
      <c r="CR255" s="79" t="str">
        <f aca="false">IF(ISBLANK($C255),"",IF($BH255=Constants!$B$8,$CI255,""))</f>
        <v/>
      </c>
      <c r="CS255" s="76" t="str">
        <f aca="false">IF(ISBLANK($C255),"",IF($BH255&lt;&gt;Constants!$B$4,"",$BK255+$BL255))</f>
        <v/>
      </c>
      <c r="CT255" s="78" t="str">
        <f aca="false">IF(ISBLANK($C255),"",IF($BH255&lt;&gt;Constants!$B$4,"",$BM255+$BN255+$BO255))</f>
        <v/>
      </c>
      <c r="CU255" s="78" t="str">
        <f aca="false">IF(ISBLANK($C255),"",IF($BH255&lt;&gt;Constants!$B$4,"",$BP255))</f>
        <v/>
      </c>
      <c r="CV255" s="78" t="str">
        <f aca="false">IF(ISBLANK($C255),"",IF($BH255&lt;&gt;Constants!$B$4,"",$BQ255+$BR255))</f>
        <v/>
      </c>
      <c r="CW255" s="78" t="str">
        <f aca="false">IF(ISBLANK($C255),"",IF($BH255&lt;&gt;Constants!$B$4,"",$BS255))</f>
        <v/>
      </c>
      <c r="CX255" s="78" t="str">
        <f aca="false">IF(ISBLANK($C255),"",IF($BH255&lt;&gt;Constants!$B$4,"",-$BZ255))</f>
        <v/>
      </c>
      <c r="CY255" s="79" t="str">
        <f aca="false">IF(ISBLANK($C255),"",$CA255)</f>
        <v/>
      </c>
      <c r="CZ255" s="80" t="str">
        <f aca="false">IF(ISBLANK($C255),"",$BI255)</f>
        <v/>
      </c>
      <c r="DA255" s="78" t="str">
        <f aca="false">IF(ISBLANK($C255),"",$CH255)</f>
        <v/>
      </c>
      <c r="DB255" s="78" t="str">
        <f aca="false">IF(ISBLANK($C255),"",$CG255)</f>
        <v/>
      </c>
      <c r="DC255" s="81" t="str">
        <f aca="false">IF(ISBLANK($C255),"",IFERROR(_xlfn.SWITCH($DB255,Constants!$B$7,COUNTA($C$9:$C$508)+2,Constants!$B$6,COUNTA($C$9:$C$508)+1,Constants!$B$5,COUNTA($C$9:$C$508)),$DB255))</f>
        <v/>
      </c>
      <c r="DD255" s="7"/>
      <c r="DE255" s="82" t="n">
        <f aca="false">IF(OR(ISNUMBER($DB255),$DB255=Constants!$B$7,$DB255=Constants!$B$5,$DB255=Constants!$B$6),1,0)</f>
        <v>0</v>
      </c>
      <c r="DF255" s="82" t="n">
        <v>247</v>
      </c>
      <c r="DG255" s="82" t="str">
        <f aca="false">IF(ISBLANK($C255),"",IF(ISNUMBER($DC255),$DC255+ROW($B255)/1000,""))</f>
        <v/>
      </c>
      <c r="DH255" s="82" t="str">
        <f aca="false">IF(ISNUMBER($DG255),RANK($DG255,$DG$9:$DG$508,1),"")</f>
        <v/>
      </c>
      <c r="DI255" s="82" t="str">
        <f aca="false">IF(ISBLANK($C255),"",$B255)</f>
        <v/>
      </c>
      <c r="DJ255" s="82" t="str">
        <f aca="false">IF(ISBLANK($C255),"",$C255)</f>
        <v/>
      </c>
      <c r="DK255" s="82" t="str">
        <f aca="false">IF(ISBLANK($C255),"",$D255)</f>
        <v/>
      </c>
      <c r="DL255" s="83" t="str">
        <f aca="false">$CZ255</f>
        <v/>
      </c>
      <c r="DM255" s="84" t="str">
        <f aca="false">$CY255</f>
        <v/>
      </c>
      <c r="DN255" s="82" t="str">
        <f aca="false">IF(ISBLANK($C255),"",$DB255)</f>
        <v/>
      </c>
      <c r="DO255" s="85" t="str">
        <f aca="false">IF($DF255&gt;$DE$8,"",VLOOKUP($DF255,$DH$9:$DN$508,7,FALSE()))</f>
        <v/>
      </c>
      <c r="DP255" s="86" t="str">
        <f aca="false">IF($DF255&gt;$DE$8,"",VLOOKUP($DF255,$DH$9:$DN$508,2,FALSE()))</f>
        <v/>
      </c>
      <c r="DQ255" s="86" t="str">
        <f aca="false">IF($DF255&gt;$DE$8,"",VLOOKUP($DF255,$DH$9:$DN$508,3,FALSE()))</f>
        <v/>
      </c>
      <c r="DR255" s="86" t="str">
        <f aca="false">IF($DF255&gt;$DE$8,"",VLOOKUP($DF255,$DH$9:$DN$508,4,FALSE()))</f>
        <v/>
      </c>
      <c r="DS255" s="86" t="str">
        <f aca="false">IF($DF255&gt;$DE$8,"",VLOOKUP($DF255,$DH$9:$DN$508,5,FALSE()))</f>
        <v/>
      </c>
      <c r="DT255" s="87" t="str">
        <f aca="false">IF($DF255&gt;$DE$8,"",VLOOKUP($DF255,$DH$9:$DN$508,6,FALSE()))</f>
        <v/>
      </c>
      <c r="DU255" s="62"/>
    </row>
    <row r="256" customFormat="false" ht="15.75" hidden="false" customHeight="false" outlineLevel="0" collapsed="false">
      <c r="A256" s="7"/>
      <c r="B256" s="64"/>
      <c r="C256" s="65"/>
      <c r="D256" s="123"/>
      <c r="E256" s="88"/>
      <c r="F256" s="134"/>
      <c r="G256" s="88"/>
      <c r="H256" s="134"/>
      <c r="I256" s="119"/>
      <c r="J256" s="119"/>
      <c r="K256" s="119"/>
      <c r="L256" s="88"/>
      <c r="M256" s="88"/>
      <c r="N256" s="88"/>
      <c r="O256" s="134"/>
      <c r="P256" s="88"/>
      <c r="Q256" s="88"/>
      <c r="R256" s="88"/>
      <c r="S256" s="88"/>
      <c r="T256" s="134"/>
      <c r="U256" s="88"/>
      <c r="V256" s="70"/>
      <c r="W256" s="88"/>
      <c r="X256" s="88"/>
      <c r="Y256" s="70"/>
      <c r="Z256" s="70"/>
      <c r="AA256" s="88"/>
      <c r="AB256" s="88"/>
      <c r="AC256" s="71"/>
      <c r="AD256" s="88"/>
      <c r="AE256" s="73"/>
      <c r="AF256" s="74"/>
      <c r="AG256" s="74"/>
      <c r="AH256" s="74" t="str">
        <f aca="false">IF(ISBLANK($C256),"",IF($E256=Constants!$B$2,TRUE(),IF($E256=Constants!$B$3,FALSE(),TRUE())))</f>
        <v/>
      </c>
      <c r="AI256" s="74" t="str">
        <f aca="false">IF(ISBLANK($C256),"",IF($F256=Constants!$B$2,TRUE(),IF($F256=Constants!$B$3,FALSE(),FALSE())))</f>
        <v/>
      </c>
      <c r="AJ256" s="74" t="str">
        <f aca="false">IF(ISBLANK($C256),"",IF($G256=Constants!$B$2,TRUE(),IF($G256=Constants!$B$3,FALSE(),TRUE())))</f>
        <v/>
      </c>
      <c r="AK256" s="74" t="str">
        <f aca="false">IF(ISBLANK($C256),"",IF($H256=Constants!$B$2,TRUE(),IF($H256=Constants!$B$3,FALSE(),TRUE())))</f>
        <v/>
      </c>
      <c r="AL256" s="74" t="str">
        <f aca="false">IF(ISBLANK($C256),"",IF(ISNUMBER($I256),IF($I256&gt;=0,$I256,""),""))</f>
        <v/>
      </c>
      <c r="AM256" s="74" t="str">
        <f aca="false">IF(ISBLANK($C256),"",IF(ISNUMBER($J256),IF($J256&gt;=0,$J256,""),""))</f>
        <v/>
      </c>
      <c r="AN256" s="74" t="str">
        <f aca="false">IF(ISBLANK($C256),"",IF(ISNUMBER($K256),IF($K256&gt;=0,$K256,""),""))</f>
        <v/>
      </c>
      <c r="AO256" s="74" t="str">
        <f aca="false">IF(ISBLANK($C256),"",IF($L256=Constants!$B$2,TRUE(),IF($L256=Constants!$B$3,FALSE(),TRUE())))</f>
        <v/>
      </c>
      <c r="AP256" s="74" t="str">
        <f aca="false">IF(ISBLANK($C256),"",IF($M256=Constants!$B$2,TRUE(),IF($M256=Constants!$B$3,FALSE(),TRUE())))</f>
        <v/>
      </c>
      <c r="AQ256" s="74" t="str">
        <f aca="false">IF(ISBLANK($C256),"",IF($N256=Constants!$B$2,TRUE(),IF($N256=Constants!$B$3,FALSE(),FALSE())))</f>
        <v/>
      </c>
      <c r="AR256" s="74" t="str">
        <f aca="false">IF(ISBLANK($C256),"",IF($O256=Constants!$B$2,TRUE(),IF($O256=Constants!$B$3,FALSE(),TRUE())))</f>
        <v/>
      </c>
      <c r="AS256" s="74" t="str">
        <f aca="false">IF(ISBLANK($C256),"",IF($P256=Constants!$B$2,TRUE(),IF($P256=Constants!$B$3,FALSE(),FALSE())))</f>
        <v/>
      </c>
      <c r="AT256" s="74" t="str">
        <f aca="false">IF(ISBLANK($C256),"",IF($Q256=Constants!$B$2,TRUE(),IF($Q256=Constants!$B$3,FALSE(),FALSE())))</f>
        <v/>
      </c>
      <c r="AU256" s="74" t="str">
        <f aca="false">IF(ISBLANK($C256),"",IF($R256=Constants!$B$2,TRUE(),IF($R256=Constants!$B$3,FALSE(),FALSE())))</f>
        <v/>
      </c>
      <c r="AV256" s="74" t="str">
        <f aca="false">IF(ISBLANK($C256),"",IF($S256=Constants!$B$2,TRUE(),IF($S256=Constants!$B$3,FALSE(),FALSE())))</f>
        <v/>
      </c>
      <c r="AW256" s="74" t="str">
        <f aca="false">IF(ISBLANK($C256),"",IF($T256=Constants!$B$2,TRUE(),IF($T256=Constants!$B$3,FALSE(),FALSE())))</f>
        <v/>
      </c>
      <c r="AX256" s="74" t="str">
        <f aca="false">IF(ISBLANK($C256),"",IF(OR($U256&amp;""="1",$U256&amp;""="2",$U256&amp;""="3",$U256&amp;""="4"),VALUE($U256&amp;""),IF($U256=Constants!$B$12,Constants!$B$12,"")))</f>
        <v/>
      </c>
      <c r="AY256" s="74" t="str">
        <f aca="false">IF(ISBLANK($C256),"",IF(ISBLANK($V256),0,IF(ISNUMBER($V256),IF(AND($V256&gt;=0,$V256&lt;=Constants!$B$21,$V256=INT($V256)),$V256,""),"")))</f>
        <v/>
      </c>
      <c r="AZ256" s="74" t="str">
        <f aca="false">IF(ISBLANK($C256),"",IF(ISBLANK($W256),0,IF(ISNUMBER($W256),IF($W256&gt;=0,$W256,""),"")))</f>
        <v/>
      </c>
      <c r="BA256" s="74" t="str">
        <f aca="false">IF(ISBLANK($C256),"",IF($X256=Constants!$B$2,TRUE(),IF($X256=Constants!$B$3,FALSE(),TRUE())))</f>
        <v/>
      </c>
      <c r="BB256" s="74" t="str">
        <f aca="false">IF(ISBLANK($C256),"",IF($Y256=Constants!$B$2,TRUE(),IF($Y256=Constants!$B$3,FALSE(),FALSE())))</f>
        <v/>
      </c>
      <c r="BC256" s="74" t="str">
        <f aca="false">IF(ISBLANK($C256),"",IF(ISBLANK($Z256),0,IF(ISNUMBER($Z256),IF(AND($Z256&gt;=0,$Z256&lt;=Constants!$B$35,$Z256=INT($Z256)),$Z256,""),"")))</f>
        <v/>
      </c>
      <c r="BD256" s="74" t="str">
        <f aca="false">IF(ISBLANK($C256),"",IF($AA256=Constants!$B$2,TRUE(),IF($AA256=Constants!$B$3,FALSE(),TRUE())))</f>
        <v/>
      </c>
      <c r="BE256" s="74" t="str">
        <f aca="false">IF(ISBLANK($C256),"",IF($AB256=Constants!$B$2,TRUE(),IF($AB256=Constants!$B$3,FALSE(),TRUE())))</f>
        <v/>
      </c>
      <c r="BF256" s="74" t="str">
        <f aca="false">IF(ISBLANK($C256),"",IF(ISNUMBER($AC256),IF($AC256&gt;=0,$AC256,""),""))</f>
        <v/>
      </c>
      <c r="BG256" s="74" t="str">
        <f aca="false">IF(ISBLANK($C256),"",IF($AD256=Constants!$B$2,TRUE(),IF($AD256=Constants!$B$3,FALSE(),FALSE())))</f>
        <v/>
      </c>
      <c r="BH256" s="73" t="str">
        <f aca="false">IF(ISBLANK($C256),"",IF($BG256,Constants!$B$7,IF(COUNTA($E256:$AC256)=0,Constants!$B$6,IF(OR(COUNTA($G256:$AC256)=0,NOT($AK256),$AQ256),Constants!$B$5,IF(OR($CI256&lt;&gt;"",$CJ256,$CK256,$CL256,$CM256,$CN256,$CO256),Constants!$B$8,Constants!$B$4)))))</f>
        <v/>
      </c>
      <c r="BI256" s="74" t="str">
        <f aca="false">IF(ISBLANK($C256),"",IF($BH256&lt;&gt;Constants!$B$4,$BH256,IF(OR(NOT($AH256),NOT($AJ256),NOT($AR256)),Constants!$B$11,IF(OR(NOT($AP256),MAX($AL256,$AM256,$AN256)&gt;Constants!$B$30),Constants!$B$10,Constants!$B$9))))</f>
        <v/>
      </c>
      <c r="BJ256" s="74" t="str">
        <f aca="false">IF($BH256&lt;&gt;Constants!$B$4,"",IF(NOT($AJ256),0,MIN(Constants!$B$35,$BC256)))</f>
        <v/>
      </c>
      <c r="BK256" s="74" t="str">
        <f aca="false">IF($BH256&lt;&gt;Constants!$B$4,"",IF(NOT($AJ256),0,IF($AT256,Constants!$B$18,IF($AS256,Constants!$B$17,0))))</f>
        <v/>
      </c>
      <c r="BL256" s="74" t="str">
        <f aca="false">IF($BH256&lt;&gt;Constants!$B$4,"",IF(NOT($AJ256),0,Constants!$B$19*($AI256+$AU256+$AV256+$AW256)))</f>
        <v/>
      </c>
      <c r="BM256" s="74" t="str">
        <f aca="false">IF($BH256&lt;&gt;Constants!$B$4,"",IF(OR(NOT($AJ256),NOT(ISNUMBER($AX256))),0,CHOOSE($AX256,Constants!$B$13,Constants!$B$14,Constants!$B$15,Constants!$B$16)))</f>
        <v/>
      </c>
      <c r="BN256" s="74" t="str">
        <f aca="false">IF($BH256&lt;&gt;Constants!$B$4,"",IF(NOT($AJ256),0,Constants!$B$20*$AY256))</f>
        <v/>
      </c>
      <c r="BO256" s="74" t="str">
        <f aca="false">IF($BH256&lt;&gt;Constants!$B$4,"",IF(AND($AJ256,$BA256,$BB256),Constants!$B$22,0))</f>
        <v/>
      </c>
      <c r="BP256" s="74" t="str">
        <f aca="false">IF($BH256&lt;&gt;Constants!$B$4,"",IF(OR(NOT($AJ256),NOT($BA256)),0,IF($BF256&gt;=2*$AF$9,0,Constants!$B$23*INT(ROUND(MIN($BF256,$AF$9),6)))))</f>
        <v/>
      </c>
      <c r="BQ256" s="74" t="str">
        <f aca="false">IF($BH256&lt;&gt;Constants!$B$4,"",IF(NOT($AJ256),0,Constants!$B$24*INT(ROUND(MIN($AZ256,$AF$9),6))))</f>
        <v/>
      </c>
      <c r="BR256" s="74" t="str">
        <f aca="false">IF($BH256&lt;&gt;Constants!$B$4,"",IF(AND($AJ256,$BJ256=0),Constants!$B$25,0))</f>
        <v/>
      </c>
      <c r="BS256" s="74" t="str">
        <f aca="false">IF($BH256&lt;&gt;Constants!$B$4,"",MIN(Constants!$B$29,MAX(0,Constants!$B$27*Constants!$B$28*INT(ROUND((Constants!$B$26-$AL256)/Constants!$B$28,6))))+MIN(Constants!$B$29,MAX(0,Constants!$B$27*Constants!$B$28*INT(ROUND((Constants!$B$26-$AM256)/Constants!$B$28,6))))+MIN(Constants!$B$29,MAX(0,Constants!$B$27*Constants!$B$28*INT(ROUND((Constants!$B$26-$AN256)/Constants!$B$28,6)))))</f>
        <v/>
      </c>
      <c r="BT256" s="74" t="str">
        <f aca="false">IF($BH256&lt;&gt;Constants!$B$4,"",IF(NOT($AJ256),0,Constants!$B$31*INT(ROUND(MAX(0,MIN($BF256,2*$AF$9)-$AF$9),6))))</f>
        <v/>
      </c>
      <c r="BU256" s="74" t="str">
        <f aca="false">IF($BH256&lt;&gt;Constants!$B$4,"",Constants!$B$32*(($AL256&gt;Constants!$B$26)+($AM256&gt;Constants!$B$26)+($AN256&gt;Constants!$B$26)))</f>
        <v/>
      </c>
      <c r="BV256" s="74" t="str">
        <f aca="false">IF($BH256&lt;&gt;Constants!$B$4,"",IF(OR(NOT($AJ256),$AO256),0,Constants!$B$33))</f>
        <v/>
      </c>
      <c r="BW256" s="74" t="str">
        <f aca="false">IF($BH256&lt;&gt;Constants!$B$4,"",Constants!$B$34*$BJ256)</f>
        <v/>
      </c>
      <c r="BX256" s="74" t="str">
        <f aca="false">IF($BH256&lt;&gt;Constants!$B$4,"",IF(OR(NOT($AJ256),$BE256),0,Constants!$B$36))</f>
        <v/>
      </c>
      <c r="BY256" s="74" t="str">
        <f aca="false">IF($BH256&lt;&gt;Constants!$B$4,"",IF(OR(NOT($AJ256),$BD256),0,Constants!$B$37))</f>
        <v/>
      </c>
      <c r="BZ256" s="74" t="str">
        <f aca="false">IF($BH256&lt;&gt;Constants!$B$4,"",SUM($BT256:$BY256))</f>
        <v/>
      </c>
      <c r="CA256" s="74" t="str">
        <f aca="false">IF(ISBLANK($C256),"",IF($BH256&lt;&gt;Constants!$B$4,$BH256,SUM($BK256:$BS256)-$BZ256))</f>
        <v/>
      </c>
      <c r="CB256" s="74" t="str">
        <f aca="false">IF(ISBLANK($C256),"",IF($BH256&lt;&gt;Constants!$B$4,$BH256,RANK($CA256,$CA$9:$CA$508)))</f>
        <v/>
      </c>
      <c r="CC256" s="74" t="str">
        <f aca="false">IF(ISBLANK($C256),"",IF($BH256&lt;&gt;Constants!$B$4,$BH256,COUNTIFS($BI$9:$BI$508,"&lt;"&amp;$BI256)+COUNTIFS($BI$9:$BI$508,$BI256,$CB$9:$CB$508,"&lt;"&amp;$CB256)+1))</f>
        <v/>
      </c>
      <c r="CD256" s="74" t="str">
        <f aca="false">IF(ISBLANK($C256),"",IF($BH256&lt;&gt;Constants!$B$4,$BH256,RANK($BZ256,$BZ$9:$BZ$508,1)))</f>
        <v/>
      </c>
      <c r="CE256" s="74" t="str">
        <f aca="false">IF($BH256&lt;&gt;Constants!$B$4,"",$AL256+$AM256+$AN256)</f>
        <v/>
      </c>
      <c r="CF256" s="74" t="str">
        <f aca="false">IF(ISBLANK($C256),"",IF($BH256&lt;&gt;Constants!$B$4,$BH256,RANK($CE256,$CE$9:$CE$508,1)))</f>
        <v/>
      </c>
      <c r="CG256" s="74" t="str">
        <f aca="false">IF(ISBLANK($C256),"",IF($BH256&lt;&gt;Constants!$B$4,$BH256,COUNTIFS($BI$9:$BI$508,"&lt;"&amp;$BI256)+COUNTIFS($BI$9:$BI$508,$BI256,$CB$9:$CB$508,"&lt;"&amp;$CB256)+COUNTIFS($BI$9:$BI$508,$BI256,$CB$9:$CB$508,$CB256,$CD$9:$CD$508,"&lt;"&amp;$CD256)+COUNTIFS($BI$9:$BI$508,$BI256,$CB$9:$CB$508,$CB256,$CD$9:$CD$508,$CD256,$CF$9:$CF$508,"&lt;"&amp;$CF256)+1))</f>
        <v/>
      </c>
      <c r="CH256" s="74" t="str">
        <f aca="false">IF(ISBLANK($C256),"",IF($BH256&lt;&gt;Constants!$B$4,$BH256,$CC256-$CG256))</f>
        <v/>
      </c>
      <c r="CI256" s="74" t="str">
        <f aca="false">IF(ISBLANK($C256),"",IF(NOT($AJ256),"",IF(ISBLANK($D$7),$CI$5,IF(NOT(ISNUMBER($D$7)),$CI$6,""))))</f>
        <v/>
      </c>
      <c r="CJ256" s="74" t="str">
        <f aca="false">IF(ISBLANK($C256),"",OR($AL256="",$AM256="",$AN256=""))</f>
        <v/>
      </c>
      <c r="CK256" s="74" t="str">
        <f aca="false">IF(ISBLANK($C256),"",AND($AJ256,$AX256=""))</f>
        <v/>
      </c>
      <c r="CL256" s="74" t="str">
        <f aca="false">IF(ISBLANK($C256),"",AND($AJ256,$AY256=""))</f>
        <v/>
      </c>
      <c r="CM256" s="74" t="str">
        <f aca="false">IF(ISBLANK($C256),"",AND($AJ256,$AZ256=""))</f>
        <v/>
      </c>
      <c r="CN256" s="74" t="str">
        <f aca="false">IF(ISBLANK($C256),"",AND($AJ256,$BC256=""))</f>
        <v/>
      </c>
      <c r="CO256" s="74" t="str">
        <f aca="false">IF(ISBLANK($C256),"",AND($AJ256,$BF256=""))</f>
        <v/>
      </c>
      <c r="CP256" s="75"/>
      <c r="CQ256" s="76"/>
      <c r="CR256" s="79" t="str">
        <f aca="false">IF(ISBLANK($C256),"",IF($BH256=Constants!$B$8,$CI256,""))</f>
        <v/>
      </c>
      <c r="CS256" s="76" t="str">
        <f aca="false">IF(ISBLANK($C256),"",IF($BH256&lt;&gt;Constants!$B$4,"",$BK256+$BL256))</f>
        <v/>
      </c>
      <c r="CT256" s="78" t="str">
        <f aca="false">IF(ISBLANK($C256),"",IF($BH256&lt;&gt;Constants!$B$4,"",$BM256+$BN256+$BO256))</f>
        <v/>
      </c>
      <c r="CU256" s="78" t="str">
        <f aca="false">IF(ISBLANK($C256),"",IF($BH256&lt;&gt;Constants!$B$4,"",$BP256))</f>
        <v/>
      </c>
      <c r="CV256" s="78" t="str">
        <f aca="false">IF(ISBLANK($C256),"",IF($BH256&lt;&gt;Constants!$B$4,"",$BQ256+$BR256))</f>
        <v/>
      </c>
      <c r="CW256" s="78" t="str">
        <f aca="false">IF(ISBLANK($C256),"",IF($BH256&lt;&gt;Constants!$B$4,"",$BS256))</f>
        <v/>
      </c>
      <c r="CX256" s="78" t="str">
        <f aca="false">IF(ISBLANK($C256),"",IF($BH256&lt;&gt;Constants!$B$4,"",-$BZ256))</f>
        <v/>
      </c>
      <c r="CY256" s="79" t="str">
        <f aca="false">IF(ISBLANK($C256),"",$CA256)</f>
        <v/>
      </c>
      <c r="CZ256" s="80" t="str">
        <f aca="false">IF(ISBLANK($C256),"",$BI256)</f>
        <v/>
      </c>
      <c r="DA256" s="78" t="str">
        <f aca="false">IF(ISBLANK($C256),"",$CH256)</f>
        <v/>
      </c>
      <c r="DB256" s="78" t="str">
        <f aca="false">IF(ISBLANK($C256),"",$CG256)</f>
        <v/>
      </c>
      <c r="DC256" s="81" t="str">
        <f aca="false">IF(ISBLANK($C256),"",IFERROR(_xlfn.SWITCH($DB256,Constants!$B$7,COUNTA($C$9:$C$508)+2,Constants!$B$6,COUNTA($C$9:$C$508)+1,Constants!$B$5,COUNTA($C$9:$C$508)),$DB256))</f>
        <v/>
      </c>
      <c r="DD256" s="7"/>
      <c r="DE256" s="82" t="n">
        <f aca="false">IF(OR(ISNUMBER($DB256),$DB256=Constants!$B$7,$DB256=Constants!$B$5,$DB256=Constants!$B$6),1,0)</f>
        <v>0</v>
      </c>
      <c r="DF256" s="82" t="n">
        <v>248</v>
      </c>
      <c r="DG256" s="82" t="str">
        <f aca="false">IF(ISBLANK($C256),"",IF(ISNUMBER($DC256),$DC256+ROW($B256)/1000,""))</f>
        <v/>
      </c>
      <c r="DH256" s="82" t="str">
        <f aca="false">IF(ISNUMBER($DG256),RANK($DG256,$DG$9:$DG$508,1),"")</f>
        <v/>
      </c>
      <c r="DI256" s="82" t="str">
        <f aca="false">IF(ISBLANK($C256),"",$B256)</f>
        <v/>
      </c>
      <c r="DJ256" s="82" t="str">
        <f aca="false">IF(ISBLANK($C256),"",$C256)</f>
        <v/>
      </c>
      <c r="DK256" s="82" t="str">
        <f aca="false">IF(ISBLANK($C256),"",$D256)</f>
        <v/>
      </c>
      <c r="DL256" s="83" t="str">
        <f aca="false">$CZ256</f>
        <v/>
      </c>
      <c r="DM256" s="84" t="str">
        <f aca="false">$CY256</f>
        <v/>
      </c>
      <c r="DN256" s="82" t="str">
        <f aca="false">IF(ISBLANK($C256),"",$DB256)</f>
        <v/>
      </c>
      <c r="DO256" s="85" t="str">
        <f aca="false">IF($DF256&gt;$DE$8,"",VLOOKUP($DF256,$DH$9:$DN$508,7,FALSE()))</f>
        <v/>
      </c>
      <c r="DP256" s="86" t="str">
        <f aca="false">IF($DF256&gt;$DE$8,"",VLOOKUP($DF256,$DH$9:$DN$508,2,FALSE()))</f>
        <v/>
      </c>
      <c r="DQ256" s="86" t="str">
        <f aca="false">IF($DF256&gt;$DE$8,"",VLOOKUP($DF256,$DH$9:$DN$508,3,FALSE()))</f>
        <v/>
      </c>
      <c r="DR256" s="86" t="str">
        <f aca="false">IF($DF256&gt;$DE$8,"",VLOOKUP($DF256,$DH$9:$DN$508,4,FALSE()))</f>
        <v/>
      </c>
      <c r="DS256" s="86" t="str">
        <f aca="false">IF($DF256&gt;$DE$8,"",VLOOKUP($DF256,$DH$9:$DN$508,5,FALSE()))</f>
        <v/>
      </c>
      <c r="DT256" s="87" t="str">
        <f aca="false">IF($DF256&gt;$DE$8,"",VLOOKUP($DF256,$DH$9:$DN$508,6,FALSE()))</f>
        <v/>
      </c>
      <c r="DU256" s="62"/>
    </row>
    <row r="257" customFormat="false" ht="15.75" hidden="false" customHeight="false" outlineLevel="0" collapsed="false">
      <c r="A257" s="7"/>
      <c r="B257" s="64"/>
      <c r="C257" s="65"/>
      <c r="D257" s="123"/>
      <c r="E257" s="88"/>
      <c r="F257" s="134"/>
      <c r="G257" s="88"/>
      <c r="H257" s="134"/>
      <c r="I257" s="119"/>
      <c r="J257" s="119"/>
      <c r="K257" s="119"/>
      <c r="L257" s="88"/>
      <c r="M257" s="88"/>
      <c r="N257" s="88"/>
      <c r="O257" s="134"/>
      <c r="P257" s="88"/>
      <c r="Q257" s="88"/>
      <c r="R257" s="88"/>
      <c r="S257" s="88"/>
      <c r="T257" s="134"/>
      <c r="U257" s="88"/>
      <c r="V257" s="70"/>
      <c r="W257" s="88"/>
      <c r="X257" s="88"/>
      <c r="Y257" s="70"/>
      <c r="Z257" s="70"/>
      <c r="AA257" s="88"/>
      <c r="AB257" s="88"/>
      <c r="AC257" s="71"/>
      <c r="AD257" s="88"/>
      <c r="AE257" s="73"/>
      <c r="AF257" s="74"/>
      <c r="AG257" s="74"/>
      <c r="AH257" s="74" t="str">
        <f aca="false">IF(ISBLANK($C257),"",IF($E257=Constants!$B$2,TRUE(),IF($E257=Constants!$B$3,FALSE(),TRUE())))</f>
        <v/>
      </c>
      <c r="AI257" s="74" t="str">
        <f aca="false">IF(ISBLANK($C257),"",IF($F257=Constants!$B$2,TRUE(),IF($F257=Constants!$B$3,FALSE(),FALSE())))</f>
        <v/>
      </c>
      <c r="AJ257" s="74" t="str">
        <f aca="false">IF(ISBLANK($C257),"",IF($G257=Constants!$B$2,TRUE(),IF($G257=Constants!$B$3,FALSE(),TRUE())))</f>
        <v/>
      </c>
      <c r="AK257" s="74" t="str">
        <f aca="false">IF(ISBLANK($C257),"",IF($H257=Constants!$B$2,TRUE(),IF($H257=Constants!$B$3,FALSE(),TRUE())))</f>
        <v/>
      </c>
      <c r="AL257" s="74" t="str">
        <f aca="false">IF(ISBLANK($C257),"",IF(ISNUMBER($I257),IF($I257&gt;=0,$I257,""),""))</f>
        <v/>
      </c>
      <c r="AM257" s="74" t="str">
        <f aca="false">IF(ISBLANK($C257),"",IF(ISNUMBER($J257),IF($J257&gt;=0,$J257,""),""))</f>
        <v/>
      </c>
      <c r="AN257" s="74" t="str">
        <f aca="false">IF(ISBLANK($C257),"",IF(ISNUMBER($K257),IF($K257&gt;=0,$K257,""),""))</f>
        <v/>
      </c>
      <c r="AO257" s="74" t="str">
        <f aca="false">IF(ISBLANK($C257),"",IF($L257=Constants!$B$2,TRUE(),IF($L257=Constants!$B$3,FALSE(),TRUE())))</f>
        <v/>
      </c>
      <c r="AP257" s="74" t="str">
        <f aca="false">IF(ISBLANK($C257),"",IF($M257=Constants!$B$2,TRUE(),IF($M257=Constants!$B$3,FALSE(),TRUE())))</f>
        <v/>
      </c>
      <c r="AQ257" s="74" t="str">
        <f aca="false">IF(ISBLANK($C257),"",IF($N257=Constants!$B$2,TRUE(),IF($N257=Constants!$B$3,FALSE(),FALSE())))</f>
        <v/>
      </c>
      <c r="AR257" s="74" t="str">
        <f aca="false">IF(ISBLANK($C257),"",IF($O257=Constants!$B$2,TRUE(),IF($O257=Constants!$B$3,FALSE(),TRUE())))</f>
        <v/>
      </c>
      <c r="AS257" s="74" t="str">
        <f aca="false">IF(ISBLANK($C257),"",IF($P257=Constants!$B$2,TRUE(),IF($P257=Constants!$B$3,FALSE(),FALSE())))</f>
        <v/>
      </c>
      <c r="AT257" s="74" t="str">
        <f aca="false">IF(ISBLANK($C257),"",IF($Q257=Constants!$B$2,TRUE(),IF($Q257=Constants!$B$3,FALSE(),FALSE())))</f>
        <v/>
      </c>
      <c r="AU257" s="74" t="str">
        <f aca="false">IF(ISBLANK($C257),"",IF($R257=Constants!$B$2,TRUE(),IF($R257=Constants!$B$3,FALSE(),FALSE())))</f>
        <v/>
      </c>
      <c r="AV257" s="74" t="str">
        <f aca="false">IF(ISBLANK($C257),"",IF($S257=Constants!$B$2,TRUE(),IF($S257=Constants!$B$3,FALSE(),FALSE())))</f>
        <v/>
      </c>
      <c r="AW257" s="74" t="str">
        <f aca="false">IF(ISBLANK($C257),"",IF($T257=Constants!$B$2,TRUE(),IF($T257=Constants!$B$3,FALSE(),FALSE())))</f>
        <v/>
      </c>
      <c r="AX257" s="74" t="str">
        <f aca="false">IF(ISBLANK($C257),"",IF(OR($U257&amp;""="1",$U257&amp;""="2",$U257&amp;""="3",$U257&amp;""="4"),VALUE($U257&amp;""),IF($U257=Constants!$B$12,Constants!$B$12,"")))</f>
        <v/>
      </c>
      <c r="AY257" s="74" t="str">
        <f aca="false">IF(ISBLANK($C257),"",IF(ISBLANK($V257),0,IF(ISNUMBER($V257),IF(AND($V257&gt;=0,$V257&lt;=Constants!$B$21,$V257=INT($V257)),$V257,""),"")))</f>
        <v/>
      </c>
      <c r="AZ257" s="74" t="str">
        <f aca="false">IF(ISBLANK($C257),"",IF(ISBLANK($W257),0,IF(ISNUMBER($W257),IF($W257&gt;=0,$W257,""),"")))</f>
        <v/>
      </c>
      <c r="BA257" s="74" t="str">
        <f aca="false">IF(ISBLANK($C257),"",IF($X257=Constants!$B$2,TRUE(),IF($X257=Constants!$B$3,FALSE(),TRUE())))</f>
        <v/>
      </c>
      <c r="BB257" s="74" t="str">
        <f aca="false">IF(ISBLANK($C257),"",IF($Y257=Constants!$B$2,TRUE(),IF($Y257=Constants!$B$3,FALSE(),FALSE())))</f>
        <v/>
      </c>
      <c r="BC257" s="74" t="str">
        <f aca="false">IF(ISBLANK($C257),"",IF(ISBLANK($Z257),0,IF(ISNUMBER($Z257),IF(AND($Z257&gt;=0,$Z257&lt;=Constants!$B$35,$Z257=INT($Z257)),$Z257,""),"")))</f>
        <v/>
      </c>
      <c r="BD257" s="74" t="str">
        <f aca="false">IF(ISBLANK($C257),"",IF($AA257=Constants!$B$2,TRUE(),IF($AA257=Constants!$B$3,FALSE(),TRUE())))</f>
        <v/>
      </c>
      <c r="BE257" s="74" t="str">
        <f aca="false">IF(ISBLANK($C257),"",IF($AB257=Constants!$B$2,TRUE(),IF($AB257=Constants!$B$3,FALSE(),TRUE())))</f>
        <v/>
      </c>
      <c r="BF257" s="74" t="str">
        <f aca="false">IF(ISBLANK($C257),"",IF(ISNUMBER($AC257),IF($AC257&gt;=0,$AC257,""),""))</f>
        <v/>
      </c>
      <c r="BG257" s="74" t="str">
        <f aca="false">IF(ISBLANK($C257),"",IF($AD257=Constants!$B$2,TRUE(),IF($AD257=Constants!$B$3,FALSE(),FALSE())))</f>
        <v/>
      </c>
      <c r="BH257" s="73" t="str">
        <f aca="false">IF(ISBLANK($C257),"",IF($BG257,Constants!$B$7,IF(COUNTA($E257:$AC257)=0,Constants!$B$6,IF(OR(COUNTA($G257:$AC257)=0,NOT($AK257),$AQ257),Constants!$B$5,IF(OR($CI257&lt;&gt;"",$CJ257,$CK257,$CL257,$CM257,$CN257,$CO257),Constants!$B$8,Constants!$B$4)))))</f>
        <v/>
      </c>
      <c r="BI257" s="74" t="str">
        <f aca="false">IF(ISBLANK($C257),"",IF($BH257&lt;&gt;Constants!$B$4,$BH257,IF(OR(NOT($AH257),NOT($AJ257),NOT($AR257)),Constants!$B$11,IF(OR(NOT($AP257),MAX($AL257,$AM257,$AN257)&gt;Constants!$B$30),Constants!$B$10,Constants!$B$9))))</f>
        <v/>
      </c>
      <c r="BJ257" s="74" t="str">
        <f aca="false">IF($BH257&lt;&gt;Constants!$B$4,"",IF(NOT($AJ257),0,MIN(Constants!$B$35,$BC257)))</f>
        <v/>
      </c>
      <c r="BK257" s="74" t="str">
        <f aca="false">IF($BH257&lt;&gt;Constants!$B$4,"",IF(NOT($AJ257),0,IF($AT257,Constants!$B$18,IF($AS257,Constants!$B$17,0))))</f>
        <v/>
      </c>
      <c r="BL257" s="74" t="str">
        <f aca="false">IF($BH257&lt;&gt;Constants!$B$4,"",IF(NOT($AJ257),0,Constants!$B$19*($AI257+$AU257+$AV257+$AW257)))</f>
        <v/>
      </c>
      <c r="BM257" s="74" t="str">
        <f aca="false">IF($BH257&lt;&gt;Constants!$B$4,"",IF(OR(NOT($AJ257),NOT(ISNUMBER($AX257))),0,CHOOSE($AX257,Constants!$B$13,Constants!$B$14,Constants!$B$15,Constants!$B$16)))</f>
        <v/>
      </c>
      <c r="BN257" s="74" t="str">
        <f aca="false">IF($BH257&lt;&gt;Constants!$B$4,"",IF(NOT($AJ257),0,Constants!$B$20*$AY257))</f>
        <v/>
      </c>
      <c r="BO257" s="74" t="str">
        <f aca="false">IF($BH257&lt;&gt;Constants!$B$4,"",IF(AND($AJ257,$BA257,$BB257),Constants!$B$22,0))</f>
        <v/>
      </c>
      <c r="BP257" s="74" t="str">
        <f aca="false">IF($BH257&lt;&gt;Constants!$B$4,"",IF(OR(NOT($AJ257),NOT($BA257)),0,IF($BF257&gt;=2*$AF$9,0,Constants!$B$23*INT(ROUND(MIN($BF257,$AF$9),6)))))</f>
        <v/>
      </c>
      <c r="BQ257" s="74" t="str">
        <f aca="false">IF($BH257&lt;&gt;Constants!$B$4,"",IF(NOT($AJ257),0,Constants!$B$24*INT(ROUND(MIN($AZ257,$AF$9),6))))</f>
        <v/>
      </c>
      <c r="BR257" s="74" t="str">
        <f aca="false">IF($BH257&lt;&gt;Constants!$B$4,"",IF(AND($AJ257,$BJ257=0),Constants!$B$25,0))</f>
        <v/>
      </c>
      <c r="BS257" s="74" t="str">
        <f aca="false">IF($BH257&lt;&gt;Constants!$B$4,"",MIN(Constants!$B$29,MAX(0,Constants!$B$27*Constants!$B$28*INT(ROUND((Constants!$B$26-$AL257)/Constants!$B$28,6))))+MIN(Constants!$B$29,MAX(0,Constants!$B$27*Constants!$B$28*INT(ROUND((Constants!$B$26-$AM257)/Constants!$B$28,6))))+MIN(Constants!$B$29,MAX(0,Constants!$B$27*Constants!$B$28*INT(ROUND((Constants!$B$26-$AN257)/Constants!$B$28,6)))))</f>
        <v/>
      </c>
      <c r="BT257" s="74" t="str">
        <f aca="false">IF($BH257&lt;&gt;Constants!$B$4,"",IF(NOT($AJ257),0,Constants!$B$31*INT(ROUND(MAX(0,MIN($BF257,2*$AF$9)-$AF$9),6))))</f>
        <v/>
      </c>
      <c r="BU257" s="74" t="str">
        <f aca="false">IF($BH257&lt;&gt;Constants!$B$4,"",Constants!$B$32*(($AL257&gt;Constants!$B$26)+($AM257&gt;Constants!$B$26)+($AN257&gt;Constants!$B$26)))</f>
        <v/>
      </c>
      <c r="BV257" s="74" t="str">
        <f aca="false">IF($BH257&lt;&gt;Constants!$B$4,"",IF(OR(NOT($AJ257),$AO257),0,Constants!$B$33))</f>
        <v/>
      </c>
      <c r="BW257" s="74" t="str">
        <f aca="false">IF($BH257&lt;&gt;Constants!$B$4,"",Constants!$B$34*$BJ257)</f>
        <v/>
      </c>
      <c r="BX257" s="74" t="str">
        <f aca="false">IF($BH257&lt;&gt;Constants!$B$4,"",IF(OR(NOT($AJ257),$BE257),0,Constants!$B$36))</f>
        <v/>
      </c>
      <c r="BY257" s="74" t="str">
        <f aca="false">IF($BH257&lt;&gt;Constants!$B$4,"",IF(OR(NOT($AJ257),$BD257),0,Constants!$B$37))</f>
        <v/>
      </c>
      <c r="BZ257" s="74" t="str">
        <f aca="false">IF($BH257&lt;&gt;Constants!$B$4,"",SUM($BT257:$BY257))</f>
        <v/>
      </c>
      <c r="CA257" s="74" t="str">
        <f aca="false">IF(ISBLANK($C257),"",IF($BH257&lt;&gt;Constants!$B$4,$BH257,SUM($BK257:$BS257)-$BZ257))</f>
        <v/>
      </c>
      <c r="CB257" s="74" t="str">
        <f aca="false">IF(ISBLANK($C257),"",IF($BH257&lt;&gt;Constants!$B$4,$BH257,RANK($CA257,$CA$9:$CA$508)))</f>
        <v/>
      </c>
      <c r="CC257" s="74" t="str">
        <f aca="false">IF(ISBLANK($C257),"",IF($BH257&lt;&gt;Constants!$B$4,$BH257,COUNTIFS($BI$9:$BI$508,"&lt;"&amp;$BI257)+COUNTIFS($BI$9:$BI$508,$BI257,$CB$9:$CB$508,"&lt;"&amp;$CB257)+1))</f>
        <v/>
      </c>
      <c r="CD257" s="74" t="str">
        <f aca="false">IF(ISBLANK($C257),"",IF($BH257&lt;&gt;Constants!$B$4,$BH257,RANK($BZ257,$BZ$9:$BZ$508,1)))</f>
        <v/>
      </c>
      <c r="CE257" s="74" t="str">
        <f aca="false">IF($BH257&lt;&gt;Constants!$B$4,"",$AL257+$AM257+$AN257)</f>
        <v/>
      </c>
      <c r="CF257" s="74" t="str">
        <f aca="false">IF(ISBLANK($C257),"",IF($BH257&lt;&gt;Constants!$B$4,$BH257,RANK($CE257,$CE$9:$CE$508,1)))</f>
        <v/>
      </c>
      <c r="CG257" s="74" t="str">
        <f aca="false">IF(ISBLANK($C257),"",IF($BH257&lt;&gt;Constants!$B$4,$BH257,COUNTIFS($BI$9:$BI$508,"&lt;"&amp;$BI257)+COUNTIFS($BI$9:$BI$508,$BI257,$CB$9:$CB$508,"&lt;"&amp;$CB257)+COUNTIFS($BI$9:$BI$508,$BI257,$CB$9:$CB$508,$CB257,$CD$9:$CD$508,"&lt;"&amp;$CD257)+COUNTIFS($BI$9:$BI$508,$BI257,$CB$9:$CB$508,$CB257,$CD$9:$CD$508,$CD257,$CF$9:$CF$508,"&lt;"&amp;$CF257)+1))</f>
        <v/>
      </c>
      <c r="CH257" s="74" t="str">
        <f aca="false">IF(ISBLANK($C257),"",IF($BH257&lt;&gt;Constants!$B$4,$BH257,$CC257-$CG257))</f>
        <v/>
      </c>
      <c r="CI257" s="74" t="str">
        <f aca="false">IF(ISBLANK($C257),"",IF(NOT($AJ257),"",IF(ISBLANK($D$7),$CI$5,IF(NOT(ISNUMBER($D$7)),$CI$6,""))))</f>
        <v/>
      </c>
      <c r="CJ257" s="74" t="str">
        <f aca="false">IF(ISBLANK($C257),"",OR($AL257="",$AM257="",$AN257=""))</f>
        <v/>
      </c>
      <c r="CK257" s="74" t="str">
        <f aca="false">IF(ISBLANK($C257),"",AND($AJ257,$AX257=""))</f>
        <v/>
      </c>
      <c r="CL257" s="74" t="str">
        <f aca="false">IF(ISBLANK($C257),"",AND($AJ257,$AY257=""))</f>
        <v/>
      </c>
      <c r="CM257" s="74" t="str">
        <f aca="false">IF(ISBLANK($C257),"",AND($AJ257,$AZ257=""))</f>
        <v/>
      </c>
      <c r="CN257" s="74" t="str">
        <f aca="false">IF(ISBLANK($C257),"",AND($AJ257,$BC257=""))</f>
        <v/>
      </c>
      <c r="CO257" s="74" t="str">
        <f aca="false">IF(ISBLANK($C257),"",AND($AJ257,$BF257=""))</f>
        <v/>
      </c>
      <c r="CP257" s="75"/>
      <c r="CQ257" s="76"/>
      <c r="CR257" s="79" t="str">
        <f aca="false">IF(ISBLANK($C257),"",IF($BH257=Constants!$B$8,$CI257,""))</f>
        <v/>
      </c>
      <c r="CS257" s="76" t="str">
        <f aca="false">IF(ISBLANK($C257),"",IF($BH257&lt;&gt;Constants!$B$4,"",$BK257+$BL257))</f>
        <v/>
      </c>
      <c r="CT257" s="78" t="str">
        <f aca="false">IF(ISBLANK($C257),"",IF($BH257&lt;&gt;Constants!$B$4,"",$BM257+$BN257+$BO257))</f>
        <v/>
      </c>
      <c r="CU257" s="78" t="str">
        <f aca="false">IF(ISBLANK($C257),"",IF($BH257&lt;&gt;Constants!$B$4,"",$BP257))</f>
        <v/>
      </c>
      <c r="CV257" s="78" t="str">
        <f aca="false">IF(ISBLANK($C257),"",IF($BH257&lt;&gt;Constants!$B$4,"",$BQ257+$BR257))</f>
        <v/>
      </c>
      <c r="CW257" s="78" t="str">
        <f aca="false">IF(ISBLANK($C257),"",IF($BH257&lt;&gt;Constants!$B$4,"",$BS257))</f>
        <v/>
      </c>
      <c r="CX257" s="78" t="str">
        <f aca="false">IF(ISBLANK($C257),"",IF($BH257&lt;&gt;Constants!$B$4,"",-$BZ257))</f>
        <v/>
      </c>
      <c r="CY257" s="79" t="str">
        <f aca="false">IF(ISBLANK($C257),"",$CA257)</f>
        <v/>
      </c>
      <c r="CZ257" s="80" t="str">
        <f aca="false">IF(ISBLANK($C257),"",$BI257)</f>
        <v/>
      </c>
      <c r="DA257" s="78" t="str">
        <f aca="false">IF(ISBLANK($C257),"",$CH257)</f>
        <v/>
      </c>
      <c r="DB257" s="78" t="str">
        <f aca="false">IF(ISBLANK($C257),"",$CG257)</f>
        <v/>
      </c>
      <c r="DC257" s="81" t="str">
        <f aca="false">IF(ISBLANK($C257),"",IFERROR(_xlfn.SWITCH($DB257,Constants!$B$7,COUNTA($C$9:$C$508)+2,Constants!$B$6,COUNTA($C$9:$C$508)+1,Constants!$B$5,COUNTA($C$9:$C$508)),$DB257))</f>
        <v/>
      </c>
      <c r="DD257" s="7"/>
      <c r="DE257" s="82" t="n">
        <f aca="false">IF(OR(ISNUMBER($DB257),$DB257=Constants!$B$7,$DB257=Constants!$B$5,$DB257=Constants!$B$6),1,0)</f>
        <v>0</v>
      </c>
      <c r="DF257" s="82" t="n">
        <v>249</v>
      </c>
      <c r="DG257" s="82" t="str">
        <f aca="false">IF(ISBLANK($C257),"",IF(ISNUMBER($DC257),$DC257+ROW($B257)/1000,""))</f>
        <v/>
      </c>
      <c r="DH257" s="82" t="str">
        <f aca="false">IF(ISNUMBER($DG257),RANK($DG257,$DG$9:$DG$508,1),"")</f>
        <v/>
      </c>
      <c r="DI257" s="82" t="str">
        <f aca="false">IF(ISBLANK($C257),"",$B257)</f>
        <v/>
      </c>
      <c r="DJ257" s="82" t="str">
        <f aca="false">IF(ISBLANK($C257),"",$C257)</f>
        <v/>
      </c>
      <c r="DK257" s="82" t="str">
        <f aca="false">IF(ISBLANK($C257),"",$D257)</f>
        <v/>
      </c>
      <c r="DL257" s="83" t="str">
        <f aca="false">$CZ257</f>
        <v/>
      </c>
      <c r="DM257" s="84" t="str">
        <f aca="false">$CY257</f>
        <v/>
      </c>
      <c r="DN257" s="82" t="str">
        <f aca="false">IF(ISBLANK($C257),"",$DB257)</f>
        <v/>
      </c>
      <c r="DO257" s="85" t="str">
        <f aca="false">IF($DF257&gt;$DE$8,"",VLOOKUP($DF257,$DH$9:$DN$508,7,FALSE()))</f>
        <v/>
      </c>
      <c r="DP257" s="86" t="str">
        <f aca="false">IF($DF257&gt;$DE$8,"",VLOOKUP($DF257,$DH$9:$DN$508,2,FALSE()))</f>
        <v/>
      </c>
      <c r="DQ257" s="86" t="str">
        <f aca="false">IF($DF257&gt;$DE$8,"",VLOOKUP($DF257,$DH$9:$DN$508,3,FALSE()))</f>
        <v/>
      </c>
      <c r="DR257" s="86" t="str">
        <f aca="false">IF($DF257&gt;$DE$8,"",VLOOKUP($DF257,$DH$9:$DN$508,4,FALSE()))</f>
        <v/>
      </c>
      <c r="DS257" s="86" t="str">
        <f aca="false">IF($DF257&gt;$DE$8,"",VLOOKUP($DF257,$DH$9:$DN$508,5,FALSE()))</f>
        <v/>
      </c>
      <c r="DT257" s="87" t="str">
        <f aca="false">IF($DF257&gt;$DE$8,"",VLOOKUP($DF257,$DH$9:$DN$508,6,FALSE()))</f>
        <v/>
      </c>
      <c r="DU257" s="62"/>
    </row>
    <row r="258" customFormat="false" ht="15.75" hidden="false" customHeight="false" outlineLevel="0" collapsed="false">
      <c r="A258" s="7"/>
      <c r="B258" s="90"/>
      <c r="C258" s="91"/>
      <c r="D258" s="126"/>
      <c r="E258" s="130"/>
      <c r="F258" s="135"/>
      <c r="G258" s="130"/>
      <c r="H258" s="135"/>
      <c r="I258" s="131"/>
      <c r="J258" s="131"/>
      <c r="K258" s="131"/>
      <c r="L258" s="130"/>
      <c r="M258" s="130"/>
      <c r="N258" s="130"/>
      <c r="O258" s="135"/>
      <c r="P258" s="130"/>
      <c r="Q258" s="130"/>
      <c r="R258" s="130"/>
      <c r="S258" s="130"/>
      <c r="T258" s="135"/>
      <c r="U258" s="130"/>
      <c r="V258" s="96"/>
      <c r="W258" s="130"/>
      <c r="X258" s="130"/>
      <c r="Y258" s="96"/>
      <c r="Z258" s="96"/>
      <c r="AA258" s="130"/>
      <c r="AB258" s="130"/>
      <c r="AC258" s="97"/>
      <c r="AD258" s="130"/>
      <c r="AE258" s="99"/>
      <c r="AF258" s="100"/>
      <c r="AG258" s="100"/>
      <c r="AH258" s="100" t="str">
        <f aca="false">IF(ISBLANK($C258),"",IF($E258=Constants!$B$2,TRUE(),IF($E258=Constants!$B$3,FALSE(),TRUE())))</f>
        <v/>
      </c>
      <c r="AI258" s="100" t="str">
        <f aca="false">IF(ISBLANK($C258),"",IF($F258=Constants!$B$2,TRUE(),IF($F258=Constants!$B$3,FALSE(),FALSE())))</f>
        <v/>
      </c>
      <c r="AJ258" s="100" t="str">
        <f aca="false">IF(ISBLANK($C258),"",IF($G258=Constants!$B$2,TRUE(),IF($G258=Constants!$B$3,FALSE(),TRUE())))</f>
        <v/>
      </c>
      <c r="AK258" s="100" t="str">
        <f aca="false">IF(ISBLANK($C258),"",IF($H258=Constants!$B$2,TRUE(),IF($H258=Constants!$B$3,FALSE(),TRUE())))</f>
        <v/>
      </c>
      <c r="AL258" s="100" t="str">
        <f aca="false">IF(ISBLANK($C258),"",IF(ISNUMBER($I258),IF($I258&gt;=0,$I258,""),""))</f>
        <v/>
      </c>
      <c r="AM258" s="100" t="str">
        <f aca="false">IF(ISBLANK($C258),"",IF(ISNUMBER($J258),IF($J258&gt;=0,$J258,""),""))</f>
        <v/>
      </c>
      <c r="AN258" s="100" t="str">
        <f aca="false">IF(ISBLANK($C258),"",IF(ISNUMBER($K258),IF($K258&gt;=0,$K258,""),""))</f>
        <v/>
      </c>
      <c r="AO258" s="100" t="str">
        <f aca="false">IF(ISBLANK($C258),"",IF($L258=Constants!$B$2,TRUE(),IF($L258=Constants!$B$3,FALSE(),TRUE())))</f>
        <v/>
      </c>
      <c r="AP258" s="100" t="str">
        <f aca="false">IF(ISBLANK($C258),"",IF($M258=Constants!$B$2,TRUE(),IF($M258=Constants!$B$3,FALSE(),TRUE())))</f>
        <v/>
      </c>
      <c r="AQ258" s="100" t="str">
        <f aca="false">IF(ISBLANK($C258),"",IF($N258=Constants!$B$2,TRUE(),IF($N258=Constants!$B$3,FALSE(),FALSE())))</f>
        <v/>
      </c>
      <c r="AR258" s="100" t="str">
        <f aca="false">IF(ISBLANK($C258),"",IF($O258=Constants!$B$2,TRUE(),IF($O258=Constants!$B$3,FALSE(),TRUE())))</f>
        <v/>
      </c>
      <c r="AS258" s="100" t="str">
        <f aca="false">IF(ISBLANK($C258),"",IF($P258=Constants!$B$2,TRUE(),IF($P258=Constants!$B$3,FALSE(),FALSE())))</f>
        <v/>
      </c>
      <c r="AT258" s="100" t="str">
        <f aca="false">IF(ISBLANK($C258),"",IF($Q258=Constants!$B$2,TRUE(),IF($Q258=Constants!$B$3,FALSE(),FALSE())))</f>
        <v/>
      </c>
      <c r="AU258" s="100" t="str">
        <f aca="false">IF(ISBLANK($C258),"",IF($R258=Constants!$B$2,TRUE(),IF($R258=Constants!$B$3,FALSE(),FALSE())))</f>
        <v/>
      </c>
      <c r="AV258" s="100" t="str">
        <f aca="false">IF(ISBLANK($C258),"",IF($S258=Constants!$B$2,TRUE(),IF($S258=Constants!$B$3,FALSE(),FALSE())))</f>
        <v/>
      </c>
      <c r="AW258" s="100" t="str">
        <f aca="false">IF(ISBLANK($C258),"",IF($T258=Constants!$B$2,TRUE(),IF($T258=Constants!$B$3,FALSE(),FALSE())))</f>
        <v/>
      </c>
      <c r="AX258" s="100" t="str">
        <f aca="false">IF(ISBLANK($C258),"",IF(OR($U258&amp;""="1",$U258&amp;""="2",$U258&amp;""="3",$U258&amp;""="4"),VALUE($U258&amp;""),IF($U258=Constants!$B$12,Constants!$B$12,"")))</f>
        <v/>
      </c>
      <c r="AY258" s="100" t="str">
        <f aca="false">IF(ISBLANK($C258),"",IF(ISBLANK($V258),0,IF(ISNUMBER($V258),IF(AND($V258&gt;=0,$V258&lt;=Constants!$B$21,$V258=INT($V258)),$V258,""),"")))</f>
        <v/>
      </c>
      <c r="AZ258" s="100" t="str">
        <f aca="false">IF(ISBLANK($C258),"",IF(ISBLANK($W258),0,IF(ISNUMBER($W258),IF($W258&gt;=0,$W258,""),"")))</f>
        <v/>
      </c>
      <c r="BA258" s="100" t="str">
        <f aca="false">IF(ISBLANK($C258),"",IF($X258=Constants!$B$2,TRUE(),IF($X258=Constants!$B$3,FALSE(),TRUE())))</f>
        <v/>
      </c>
      <c r="BB258" s="100" t="str">
        <f aca="false">IF(ISBLANK($C258),"",IF($Y258=Constants!$B$2,TRUE(),IF($Y258=Constants!$B$3,FALSE(),FALSE())))</f>
        <v/>
      </c>
      <c r="BC258" s="100" t="str">
        <f aca="false">IF(ISBLANK($C258),"",IF(ISBLANK($Z258),0,IF(ISNUMBER($Z258),IF(AND($Z258&gt;=0,$Z258&lt;=Constants!$B$35,$Z258=INT($Z258)),$Z258,""),"")))</f>
        <v/>
      </c>
      <c r="BD258" s="100" t="str">
        <f aca="false">IF(ISBLANK($C258),"",IF($AA258=Constants!$B$2,TRUE(),IF($AA258=Constants!$B$3,FALSE(),TRUE())))</f>
        <v/>
      </c>
      <c r="BE258" s="100" t="str">
        <f aca="false">IF(ISBLANK($C258),"",IF($AB258=Constants!$B$2,TRUE(),IF($AB258=Constants!$B$3,FALSE(),TRUE())))</f>
        <v/>
      </c>
      <c r="BF258" s="100" t="str">
        <f aca="false">IF(ISBLANK($C258),"",IF(ISNUMBER($AC258),IF($AC258&gt;=0,$AC258,""),""))</f>
        <v/>
      </c>
      <c r="BG258" s="100" t="str">
        <f aca="false">IF(ISBLANK($C258),"",IF($AD258=Constants!$B$2,TRUE(),IF($AD258=Constants!$B$3,FALSE(),FALSE())))</f>
        <v/>
      </c>
      <c r="BH258" s="99" t="str">
        <f aca="false">IF(ISBLANK($C258),"",IF($BG258,Constants!$B$7,IF(COUNTA($E258:$AC258)=0,Constants!$B$6,IF(OR(COUNTA($G258:$AC258)=0,NOT($AK258),$AQ258),Constants!$B$5,IF(OR($CI258&lt;&gt;"",$CJ258,$CK258,$CL258,$CM258,$CN258,$CO258),Constants!$B$8,Constants!$B$4)))))</f>
        <v/>
      </c>
      <c r="BI258" s="100" t="str">
        <f aca="false">IF(ISBLANK($C258),"",IF($BH258&lt;&gt;Constants!$B$4,$BH258,IF(OR(NOT($AH258),NOT($AJ258),NOT($AR258)),Constants!$B$11,IF(OR(NOT($AP258),MAX($AL258,$AM258,$AN258)&gt;Constants!$B$30),Constants!$B$10,Constants!$B$9))))</f>
        <v/>
      </c>
      <c r="BJ258" s="100" t="str">
        <f aca="false">IF($BH258&lt;&gt;Constants!$B$4,"",IF(NOT($AJ258),0,MIN(Constants!$B$35,$BC258)))</f>
        <v/>
      </c>
      <c r="BK258" s="100" t="str">
        <f aca="false">IF($BH258&lt;&gt;Constants!$B$4,"",IF(NOT($AJ258),0,IF($AT258,Constants!$B$18,IF($AS258,Constants!$B$17,0))))</f>
        <v/>
      </c>
      <c r="BL258" s="100" t="str">
        <f aca="false">IF($BH258&lt;&gt;Constants!$B$4,"",IF(NOT($AJ258),0,Constants!$B$19*($AI258+$AU258+$AV258+$AW258)))</f>
        <v/>
      </c>
      <c r="BM258" s="100" t="str">
        <f aca="false">IF($BH258&lt;&gt;Constants!$B$4,"",IF(OR(NOT($AJ258),NOT(ISNUMBER($AX258))),0,CHOOSE($AX258,Constants!$B$13,Constants!$B$14,Constants!$B$15,Constants!$B$16)))</f>
        <v/>
      </c>
      <c r="BN258" s="100" t="str">
        <f aca="false">IF($BH258&lt;&gt;Constants!$B$4,"",IF(NOT($AJ258),0,Constants!$B$20*$AY258))</f>
        <v/>
      </c>
      <c r="BO258" s="100" t="str">
        <f aca="false">IF($BH258&lt;&gt;Constants!$B$4,"",IF(AND($AJ258,$BA258,$BB258),Constants!$B$22,0))</f>
        <v/>
      </c>
      <c r="BP258" s="100" t="str">
        <f aca="false">IF($BH258&lt;&gt;Constants!$B$4,"",IF(OR(NOT($AJ258),NOT($BA258)),0,IF($BF258&gt;=2*$AF$9,0,Constants!$B$23*INT(ROUND(MIN($BF258,$AF$9),6)))))</f>
        <v/>
      </c>
      <c r="BQ258" s="100" t="str">
        <f aca="false">IF($BH258&lt;&gt;Constants!$B$4,"",IF(NOT($AJ258),0,Constants!$B$24*INT(ROUND(MIN($AZ258,$AF$9),6))))</f>
        <v/>
      </c>
      <c r="BR258" s="100" t="str">
        <f aca="false">IF($BH258&lt;&gt;Constants!$B$4,"",IF(AND($AJ258,$BJ258=0),Constants!$B$25,0))</f>
        <v/>
      </c>
      <c r="BS258" s="100" t="str">
        <f aca="false">IF($BH258&lt;&gt;Constants!$B$4,"",MIN(Constants!$B$29,MAX(0,Constants!$B$27*Constants!$B$28*INT(ROUND((Constants!$B$26-$AL258)/Constants!$B$28,6))))+MIN(Constants!$B$29,MAX(0,Constants!$B$27*Constants!$B$28*INT(ROUND((Constants!$B$26-$AM258)/Constants!$B$28,6))))+MIN(Constants!$B$29,MAX(0,Constants!$B$27*Constants!$B$28*INT(ROUND((Constants!$B$26-$AN258)/Constants!$B$28,6)))))</f>
        <v/>
      </c>
      <c r="BT258" s="100" t="str">
        <f aca="false">IF($BH258&lt;&gt;Constants!$B$4,"",IF(NOT($AJ258),0,Constants!$B$31*INT(ROUND(MAX(0,MIN($BF258,2*$AF$9)-$AF$9),6))))</f>
        <v/>
      </c>
      <c r="BU258" s="100" t="str">
        <f aca="false">IF($BH258&lt;&gt;Constants!$B$4,"",Constants!$B$32*(($AL258&gt;Constants!$B$26)+($AM258&gt;Constants!$B$26)+($AN258&gt;Constants!$B$26)))</f>
        <v/>
      </c>
      <c r="BV258" s="100" t="str">
        <f aca="false">IF($BH258&lt;&gt;Constants!$B$4,"",IF(OR(NOT($AJ258),$AO258),0,Constants!$B$33))</f>
        <v/>
      </c>
      <c r="BW258" s="100" t="str">
        <f aca="false">IF($BH258&lt;&gt;Constants!$B$4,"",Constants!$B$34*$BJ258)</f>
        <v/>
      </c>
      <c r="BX258" s="100" t="str">
        <f aca="false">IF($BH258&lt;&gt;Constants!$B$4,"",IF(OR(NOT($AJ258),$BE258),0,Constants!$B$36))</f>
        <v/>
      </c>
      <c r="BY258" s="100" t="str">
        <f aca="false">IF($BH258&lt;&gt;Constants!$B$4,"",IF(OR(NOT($AJ258),$BD258),0,Constants!$B$37))</f>
        <v/>
      </c>
      <c r="BZ258" s="100" t="str">
        <f aca="false">IF($BH258&lt;&gt;Constants!$B$4,"",SUM($BT258:$BY258))</f>
        <v/>
      </c>
      <c r="CA258" s="100" t="str">
        <f aca="false">IF(ISBLANK($C258),"",IF($BH258&lt;&gt;Constants!$B$4,$BH258,SUM($BK258:$BS258)-$BZ258))</f>
        <v/>
      </c>
      <c r="CB258" s="100" t="str">
        <f aca="false">IF(ISBLANK($C258),"",IF($BH258&lt;&gt;Constants!$B$4,$BH258,RANK($CA258,$CA$9:$CA$508)))</f>
        <v/>
      </c>
      <c r="CC258" s="100" t="str">
        <f aca="false">IF(ISBLANK($C258),"",IF($BH258&lt;&gt;Constants!$B$4,$BH258,COUNTIFS($BI$9:$BI$508,"&lt;"&amp;$BI258)+COUNTIFS($BI$9:$BI$508,$BI258,$CB$9:$CB$508,"&lt;"&amp;$CB258)+1))</f>
        <v/>
      </c>
      <c r="CD258" s="100" t="str">
        <f aca="false">IF(ISBLANK($C258),"",IF($BH258&lt;&gt;Constants!$B$4,$BH258,RANK($BZ258,$BZ$9:$BZ$508,1)))</f>
        <v/>
      </c>
      <c r="CE258" s="100" t="str">
        <f aca="false">IF($BH258&lt;&gt;Constants!$B$4,"",$AL258+$AM258+$AN258)</f>
        <v/>
      </c>
      <c r="CF258" s="100" t="str">
        <f aca="false">IF(ISBLANK($C258),"",IF($BH258&lt;&gt;Constants!$B$4,$BH258,RANK($CE258,$CE$9:$CE$508,1)))</f>
        <v/>
      </c>
      <c r="CG258" s="100" t="str">
        <f aca="false">IF(ISBLANK($C258),"",IF($BH258&lt;&gt;Constants!$B$4,$BH258,COUNTIFS($BI$9:$BI$508,"&lt;"&amp;$BI258)+COUNTIFS($BI$9:$BI$508,$BI258,$CB$9:$CB$508,"&lt;"&amp;$CB258)+COUNTIFS($BI$9:$BI$508,$BI258,$CB$9:$CB$508,$CB258,$CD$9:$CD$508,"&lt;"&amp;$CD258)+COUNTIFS($BI$9:$BI$508,$BI258,$CB$9:$CB$508,$CB258,$CD$9:$CD$508,$CD258,$CF$9:$CF$508,"&lt;"&amp;$CF258)+1))</f>
        <v/>
      </c>
      <c r="CH258" s="100" t="str">
        <f aca="false">IF(ISBLANK($C258),"",IF($BH258&lt;&gt;Constants!$B$4,$BH258,$CC258-$CG258))</f>
        <v/>
      </c>
      <c r="CI258" s="100" t="str">
        <f aca="false">IF(ISBLANK($C258),"",IF(NOT($AJ258),"",IF(ISBLANK($D$7),$CI$5,IF(NOT(ISNUMBER($D$7)),$CI$6,""))))</f>
        <v/>
      </c>
      <c r="CJ258" s="100" t="str">
        <f aca="false">IF(ISBLANK($C258),"",OR($AL258="",$AM258="",$AN258=""))</f>
        <v/>
      </c>
      <c r="CK258" s="100" t="str">
        <f aca="false">IF(ISBLANK($C258),"",AND($AJ258,$AX258=""))</f>
        <v/>
      </c>
      <c r="CL258" s="100" t="str">
        <f aca="false">IF(ISBLANK($C258),"",AND($AJ258,$AY258=""))</f>
        <v/>
      </c>
      <c r="CM258" s="100" t="str">
        <f aca="false">IF(ISBLANK($C258),"",AND($AJ258,$AZ258=""))</f>
        <v/>
      </c>
      <c r="CN258" s="100" t="str">
        <f aca="false">IF(ISBLANK($C258),"",AND($AJ258,$BC258=""))</f>
        <v/>
      </c>
      <c r="CO258" s="100" t="str">
        <f aca="false">IF(ISBLANK($C258),"",AND($AJ258,$BF258=""))</f>
        <v/>
      </c>
      <c r="CP258" s="101"/>
      <c r="CQ258" s="102"/>
      <c r="CR258" s="103" t="str">
        <f aca="false">IF(ISBLANK($C258),"",IF($BH258=Constants!$B$8,$CI258,""))</f>
        <v/>
      </c>
      <c r="CS258" s="102" t="str">
        <f aca="false">IF(ISBLANK($C258),"",IF($BH258&lt;&gt;Constants!$B$4,"",$BK258+$BL258))</f>
        <v/>
      </c>
      <c r="CT258" s="104" t="str">
        <f aca="false">IF(ISBLANK($C258),"",IF($BH258&lt;&gt;Constants!$B$4,"",$BM258+$BN258+$BO258))</f>
        <v/>
      </c>
      <c r="CU258" s="104" t="str">
        <f aca="false">IF(ISBLANK($C258),"",IF($BH258&lt;&gt;Constants!$B$4,"",$BP258))</f>
        <v/>
      </c>
      <c r="CV258" s="104" t="str">
        <f aca="false">IF(ISBLANK($C258),"",IF($BH258&lt;&gt;Constants!$B$4,"",$BQ258+$BR258))</f>
        <v/>
      </c>
      <c r="CW258" s="104" t="str">
        <f aca="false">IF(ISBLANK($C258),"",IF($BH258&lt;&gt;Constants!$B$4,"",$BS258))</f>
        <v/>
      </c>
      <c r="CX258" s="104" t="str">
        <f aca="false">IF(ISBLANK($C258),"",IF($BH258&lt;&gt;Constants!$B$4,"",-$BZ258))</f>
        <v/>
      </c>
      <c r="CY258" s="103" t="str">
        <f aca="false">IF(ISBLANK($C258),"",$CA258)</f>
        <v/>
      </c>
      <c r="CZ258" s="105" t="str">
        <f aca="false">IF(ISBLANK($C258),"",$BI258)</f>
        <v/>
      </c>
      <c r="DA258" s="104" t="str">
        <f aca="false">IF(ISBLANK($C258),"",$CH258)</f>
        <v/>
      </c>
      <c r="DB258" s="104" t="str">
        <f aca="false">IF(ISBLANK($C258),"",$CG258)</f>
        <v/>
      </c>
      <c r="DC258" s="106" t="str">
        <f aca="false">IF(ISBLANK($C258),"",IFERROR(_xlfn.SWITCH($DB258,Constants!$B$7,COUNTA($C$9:$C$508)+2,Constants!$B$6,COUNTA($C$9:$C$508)+1,Constants!$B$5,COUNTA($C$9:$C$508)),$DB258))</f>
        <v/>
      </c>
      <c r="DD258" s="7"/>
      <c r="DE258" s="107" t="n">
        <f aca="false">IF(OR(ISNUMBER($DB258),$DB258=Constants!$B$7,$DB258=Constants!$B$5,$DB258=Constants!$B$6),1,0)</f>
        <v>0</v>
      </c>
      <c r="DF258" s="107" t="n">
        <v>250</v>
      </c>
      <c r="DG258" s="107" t="str">
        <f aca="false">IF(ISBLANK($C258),"",IF(ISNUMBER($DC258),$DC258+ROW($B258)/1000,""))</f>
        <v/>
      </c>
      <c r="DH258" s="107" t="str">
        <f aca="false">IF(ISNUMBER($DG258),RANK($DG258,$DG$9:$DG$508,1),"")</f>
        <v/>
      </c>
      <c r="DI258" s="107" t="str">
        <f aca="false">IF(ISBLANK($C258),"",$B258)</f>
        <v/>
      </c>
      <c r="DJ258" s="107" t="str">
        <f aca="false">IF(ISBLANK($C258),"",$C258)</f>
        <v/>
      </c>
      <c r="DK258" s="107" t="str">
        <f aca="false">IF(ISBLANK($C258),"",$D258)</f>
        <v/>
      </c>
      <c r="DL258" s="108" t="str">
        <f aca="false">$CZ258</f>
        <v/>
      </c>
      <c r="DM258" s="109" t="str">
        <f aca="false">$CY258</f>
        <v/>
      </c>
      <c r="DN258" s="107" t="str">
        <f aca="false">IF(ISBLANK($C258),"",$DB258)</f>
        <v/>
      </c>
      <c r="DO258" s="110" t="str">
        <f aca="false">IF($DF258&gt;$DE$8,"",VLOOKUP($DF258,$DH$9:$DN$508,7,FALSE()))</f>
        <v/>
      </c>
      <c r="DP258" s="111" t="str">
        <f aca="false">IF($DF258&gt;$DE$8,"",VLOOKUP($DF258,$DH$9:$DN$508,2,FALSE()))</f>
        <v/>
      </c>
      <c r="DQ258" s="111" t="str">
        <f aca="false">IF($DF258&gt;$DE$8,"",VLOOKUP($DF258,$DH$9:$DN$508,3,FALSE()))</f>
        <v/>
      </c>
      <c r="DR258" s="111" t="str">
        <f aca="false">IF($DF258&gt;$DE$8,"",VLOOKUP($DF258,$DH$9:$DN$508,4,FALSE()))</f>
        <v/>
      </c>
      <c r="DS258" s="111" t="str">
        <f aca="false">IF($DF258&gt;$DE$8,"",VLOOKUP($DF258,$DH$9:$DN$508,5,FALSE()))</f>
        <v/>
      </c>
      <c r="DT258" s="112" t="str">
        <f aca="false">IF($DF258&gt;$DE$8,"",VLOOKUP($DF258,$DH$9:$DN$508,6,FALSE()))</f>
        <v/>
      </c>
      <c r="DU258" s="62"/>
    </row>
    <row r="259" customFormat="false" ht="15.75" hidden="false" customHeight="false" outlineLevel="0" collapsed="false">
      <c r="A259" s="7"/>
      <c r="B259" s="90"/>
      <c r="C259" s="91"/>
      <c r="D259" s="126"/>
      <c r="E259" s="130"/>
      <c r="F259" s="135"/>
      <c r="G259" s="130"/>
      <c r="H259" s="135"/>
      <c r="I259" s="131"/>
      <c r="J259" s="131"/>
      <c r="K259" s="131"/>
      <c r="L259" s="130"/>
      <c r="M259" s="130"/>
      <c r="N259" s="130"/>
      <c r="O259" s="135"/>
      <c r="P259" s="130"/>
      <c r="Q259" s="130"/>
      <c r="R259" s="130"/>
      <c r="S259" s="130"/>
      <c r="T259" s="135"/>
      <c r="U259" s="130"/>
      <c r="V259" s="96"/>
      <c r="W259" s="130"/>
      <c r="X259" s="130"/>
      <c r="Y259" s="96"/>
      <c r="Z259" s="96"/>
      <c r="AA259" s="130"/>
      <c r="AB259" s="130"/>
      <c r="AC259" s="97"/>
      <c r="AD259" s="130"/>
      <c r="AE259" s="99"/>
      <c r="AF259" s="100"/>
      <c r="AG259" s="100"/>
      <c r="AH259" s="100" t="str">
        <f aca="false">IF(ISBLANK($C259),"",IF($E259=Constants!$B$2,TRUE(),IF($E259=Constants!$B$3,FALSE(),TRUE())))</f>
        <v/>
      </c>
      <c r="AI259" s="100" t="str">
        <f aca="false">IF(ISBLANK($C259),"",IF($F259=Constants!$B$2,TRUE(),IF($F259=Constants!$B$3,FALSE(),FALSE())))</f>
        <v/>
      </c>
      <c r="AJ259" s="100" t="str">
        <f aca="false">IF(ISBLANK($C259),"",IF($G259=Constants!$B$2,TRUE(),IF($G259=Constants!$B$3,FALSE(),TRUE())))</f>
        <v/>
      </c>
      <c r="AK259" s="100" t="str">
        <f aca="false">IF(ISBLANK($C259),"",IF($H259=Constants!$B$2,TRUE(),IF($H259=Constants!$B$3,FALSE(),TRUE())))</f>
        <v/>
      </c>
      <c r="AL259" s="100" t="str">
        <f aca="false">IF(ISBLANK($C259),"",IF(ISNUMBER($I259),IF($I259&gt;=0,$I259,""),""))</f>
        <v/>
      </c>
      <c r="AM259" s="100" t="str">
        <f aca="false">IF(ISBLANK($C259),"",IF(ISNUMBER($J259),IF($J259&gt;=0,$J259,""),""))</f>
        <v/>
      </c>
      <c r="AN259" s="100" t="str">
        <f aca="false">IF(ISBLANK($C259),"",IF(ISNUMBER($K259),IF($K259&gt;=0,$K259,""),""))</f>
        <v/>
      </c>
      <c r="AO259" s="100" t="str">
        <f aca="false">IF(ISBLANK($C259),"",IF($L259=Constants!$B$2,TRUE(),IF($L259=Constants!$B$3,FALSE(),TRUE())))</f>
        <v/>
      </c>
      <c r="AP259" s="100" t="str">
        <f aca="false">IF(ISBLANK($C259),"",IF($M259=Constants!$B$2,TRUE(),IF($M259=Constants!$B$3,FALSE(),TRUE())))</f>
        <v/>
      </c>
      <c r="AQ259" s="100" t="str">
        <f aca="false">IF(ISBLANK($C259),"",IF($N259=Constants!$B$2,TRUE(),IF($N259=Constants!$B$3,FALSE(),FALSE())))</f>
        <v/>
      </c>
      <c r="AR259" s="100" t="str">
        <f aca="false">IF(ISBLANK($C259),"",IF($O259=Constants!$B$2,TRUE(),IF($O259=Constants!$B$3,FALSE(),TRUE())))</f>
        <v/>
      </c>
      <c r="AS259" s="100" t="str">
        <f aca="false">IF(ISBLANK($C259),"",IF($P259=Constants!$B$2,TRUE(),IF($P259=Constants!$B$3,FALSE(),FALSE())))</f>
        <v/>
      </c>
      <c r="AT259" s="100" t="str">
        <f aca="false">IF(ISBLANK($C259),"",IF($Q259=Constants!$B$2,TRUE(),IF($Q259=Constants!$B$3,FALSE(),FALSE())))</f>
        <v/>
      </c>
      <c r="AU259" s="100" t="str">
        <f aca="false">IF(ISBLANK($C259),"",IF($R259=Constants!$B$2,TRUE(),IF($R259=Constants!$B$3,FALSE(),FALSE())))</f>
        <v/>
      </c>
      <c r="AV259" s="100" t="str">
        <f aca="false">IF(ISBLANK($C259),"",IF($S259=Constants!$B$2,TRUE(),IF($S259=Constants!$B$3,FALSE(),FALSE())))</f>
        <v/>
      </c>
      <c r="AW259" s="100" t="str">
        <f aca="false">IF(ISBLANK($C259),"",IF($T259=Constants!$B$2,TRUE(),IF($T259=Constants!$B$3,FALSE(),FALSE())))</f>
        <v/>
      </c>
      <c r="AX259" s="100" t="str">
        <f aca="false">IF(ISBLANK($C259),"",IF(OR($U259&amp;""="1",$U259&amp;""="2",$U259&amp;""="3",$U259&amp;""="4"),VALUE($U259&amp;""),IF($U259=Constants!$B$12,Constants!$B$12,"")))</f>
        <v/>
      </c>
      <c r="AY259" s="100" t="str">
        <f aca="false">IF(ISBLANK($C259),"",IF(ISBLANK($V259),0,IF(ISNUMBER($V259),IF(AND($V259&gt;=0,$V259&lt;=Constants!$B$21,$V259=INT($V259)),$V259,""),"")))</f>
        <v/>
      </c>
      <c r="AZ259" s="100" t="str">
        <f aca="false">IF(ISBLANK($C259),"",IF(ISBLANK($W259),0,IF(ISNUMBER($W259),IF($W259&gt;=0,$W259,""),"")))</f>
        <v/>
      </c>
      <c r="BA259" s="100" t="str">
        <f aca="false">IF(ISBLANK($C259),"",IF($X259=Constants!$B$2,TRUE(),IF($X259=Constants!$B$3,FALSE(),TRUE())))</f>
        <v/>
      </c>
      <c r="BB259" s="100" t="str">
        <f aca="false">IF(ISBLANK($C259),"",IF($Y259=Constants!$B$2,TRUE(),IF($Y259=Constants!$B$3,FALSE(),FALSE())))</f>
        <v/>
      </c>
      <c r="BC259" s="100" t="str">
        <f aca="false">IF(ISBLANK($C259),"",IF(ISBLANK($Z259),0,IF(ISNUMBER($Z259),IF(AND($Z259&gt;=0,$Z259&lt;=Constants!$B$35,$Z259=INT($Z259)),$Z259,""),"")))</f>
        <v/>
      </c>
      <c r="BD259" s="100" t="str">
        <f aca="false">IF(ISBLANK($C259),"",IF($AA259=Constants!$B$2,TRUE(),IF($AA259=Constants!$B$3,FALSE(),TRUE())))</f>
        <v/>
      </c>
      <c r="BE259" s="100" t="str">
        <f aca="false">IF(ISBLANK($C259),"",IF($AB259=Constants!$B$2,TRUE(),IF($AB259=Constants!$B$3,FALSE(),TRUE())))</f>
        <v/>
      </c>
      <c r="BF259" s="100" t="str">
        <f aca="false">IF(ISBLANK($C259),"",IF(ISNUMBER($AC259),IF($AC259&gt;=0,$AC259,""),""))</f>
        <v/>
      </c>
      <c r="BG259" s="100" t="str">
        <f aca="false">IF(ISBLANK($C259),"",IF($AD259=Constants!$B$2,TRUE(),IF($AD259=Constants!$B$3,FALSE(),FALSE())))</f>
        <v/>
      </c>
      <c r="BH259" s="99" t="str">
        <f aca="false">IF(ISBLANK($C259),"",IF($BG259,Constants!$B$7,IF(COUNTA($E259:$AC259)=0,Constants!$B$6,IF(OR(COUNTA($G259:$AC259)=0,NOT($AK259),$AQ259),Constants!$B$5,IF(OR($CI259&lt;&gt;"",$CJ259,$CK259,$CL259,$CM259,$CN259,$CO259),Constants!$B$8,Constants!$B$4)))))</f>
        <v/>
      </c>
      <c r="BI259" s="100" t="str">
        <f aca="false">IF(ISBLANK($C259),"",IF($BH259&lt;&gt;Constants!$B$4,$BH259,IF(OR(NOT($AH259),NOT($AJ259),NOT($AR259)),Constants!$B$11,IF(OR(NOT($AP259),MAX($AL259,$AM259,$AN259)&gt;Constants!$B$30),Constants!$B$10,Constants!$B$9))))</f>
        <v/>
      </c>
      <c r="BJ259" s="100" t="str">
        <f aca="false">IF($BH259&lt;&gt;Constants!$B$4,"",IF(NOT($AJ259),0,MIN(Constants!$B$35,$BC259)))</f>
        <v/>
      </c>
      <c r="BK259" s="100" t="str">
        <f aca="false">IF($BH259&lt;&gt;Constants!$B$4,"",IF(NOT($AJ259),0,IF($AT259,Constants!$B$18,IF($AS259,Constants!$B$17,0))))</f>
        <v/>
      </c>
      <c r="BL259" s="100" t="str">
        <f aca="false">IF($BH259&lt;&gt;Constants!$B$4,"",IF(NOT($AJ259),0,Constants!$B$19*($AI259+$AU259+$AV259+$AW259)))</f>
        <v/>
      </c>
      <c r="BM259" s="100" t="str">
        <f aca="false">IF($BH259&lt;&gt;Constants!$B$4,"",IF(OR(NOT($AJ259),NOT(ISNUMBER($AX259))),0,CHOOSE($AX259,Constants!$B$13,Constants!$B$14,Constants!$B$15,Constants!$B$16)))</f>
        <v/>
      </c>
      <c r="BN259" s="100" t="str">
        <f aca="false">IF($BH259&lt;&gt;Constants!$B$4,"",IF(NOT($AJ259),0,Constants!$B$20*$AY259))</f>
        <v/>
      </c>
      <c r="BO259" s="100" t="str">
        <f aca="false">IF($BH259&lt;&gt;Constants!$B$4,"",IF(AND($AJ259,$BA259,$BB259),Constants!$B$22,0))</f>
        <v/>
      </c>
      <c r="BP259" s="100" t="str">
        <f aca="false">IF($BH259&lt;&gt;Constants!$B$4,"",IF(OR(NOT($AJ259),NOT($BA259)),0,IF($BF259&gt;=2*$AF$9,0,Constants!$B$23*INT(ROUND(MIN($BF259,$AF$9),6)))))</f>
        <v/>
      </c>
      <c r="BQ259" s="100" t="str">
        <f aca="false">IF($BH259&lt;&gt;Constants!$B$4,"",IF(NOT($AJ259),0,Constants!$B$24*INT(ROUND(MIN($AZ259,$AF$9),6))))</f>
        <v/>
      </c>
      <c r="BR259" s="100" t="str">
        <f aca="false">IF($BH259&lt;&gt;Constants!$B$4,"",IF(AND($AJ259,$BJ259=0),Constants!$B$25,0))</f>
        <v/>
      </c>
      <c r="BS259" s="100" t="str">
        <f aca="false">IF($BH259&lt;&gt;Constants!$B$4,"",MIN(Constants!$B$29,MAX(0,Constants!$B$27*Constants!$B$28*INT(ROUND((Constants!$B$26-$AL259)/Constants!$B$28,6))))+MIN(Constants!$B$29,MAX(0,Constants!$B$27*Constants!$B$28*INT(ROUND((Constants!$B$26-$AM259)/Constants!$B$28,6))))+MIN(Constants!$B$29,MAX(0,Constants!$B$27*Constants!$B$28*INT(ROUND((Constants!$B$26-$AN259)/Constants!$B$28,6)))))</f>
        <v/>
      </c>
      <c r="BT259" s="100" t="str">
        <f aca="false">IF($BH259&lt;&gt;Constants!$B$4,"",IF(NOT($AJ259),0,Constants!$B$31*INT(ROUND(MAX(0,MIN($BF259,2*$AF$9)-$AF$9),6))))</f>
        <v/>
      </c>
      <c r="BU259" s="100" t="str">
        <f aca="false">IF($BH259&lt;&gt;Constants!$B$4,"",Constants!$B$32*(($AL259&gt;Constants!$B$26)+($AM259&gt;Constants!$B$26)+($AN259&gt;Constants!$B$26)))</f>
        <v/>
      </c>
      <c r="BV259" s="100" t="str">
        <f aca="false">IF($BH259&lt;&gt;Constants!$B$4,"",IF(OR(NOT($AJ259),$AO259),0,Constants!$B$33))</f>
        <v/>
      </c>
      <c r="BW259" s="100" t="str">
        <f aca="false">IF($BH259&lt;&gt;Constants!$B$4,"",Constants!$B$34*$BJ259)</f>
        <v/>
      </c>
      <c r="BX259" s="100" t="str">
        <f aca="false">IF($BH259&lt;&gt;Constants!$B$4,"",IF(OR(NOT($AJ259),$BE259),0,Constants!$B$36))</f>
        <v/>
      </c>
      <c r="BY259" s="100" t="str">
        <f aca="false">IF($BH259&lt;&gt;Constants!$B$4,"",IF(OR(NOT($AJ259),$BD259),0,Constants!$B$37))</f>
        <v/>
      </c>
      <c r="BZ259" s="100" t="str">
        <f aca="false">IF($BH259&lt;&gt;Constants!$B$4,"",SUM($BT259:$BY259))</f>
        <v/>
      </c>
      <c r="CA259" s="100" t="str">
        <f aca="false">IF(ISBLANK($C259),"",IF($BH259&lt;&gt;Constants!$B$4,$BH259,SUM($BK259:$BS259)-$BZ259))</f>
        <v/>
      </c>
      <c r="CB259" s="100" t="str">
        <f aca="false">IF(ISBLANK($C259),"",IF($BH259&lt;&gt;Constants!$B$4,$BH259,RANK($CA259,$CA$9:$CA$508)))</f>
        <v/>
      </c>
      <c r="CC259" s="100" t="str">
        <f aca="false">IF(ISBLANK($C259),"",IF($BH259&lt;&gt;Constants!$B$4,$BH259,COUNTIFS($BI$9:$BI$508,"&lt;"&amp;$BI259)+COUNTIFS($BI$9:$BI$508,$BI259,$CB$9:$CB$508,"&lt;"&amp;$CB259)+1))</f>
        <v/>
      </c>
      <c r="CD259" s="100" t="str">
        <f aca="false">IF(ISBLANK($C259),"",IF($BH259&lt;&gt;Constants!$B$4,$BH259,RANK($BZ259,$BZ$9:$BZ$508,1)))</f>
        <v/>
      </c>
      <c r="CE259" s="100" t="str">
        <f aca="false">IF($BH259&lt;&gt;Constants!$B$4,"",$AL259+$AM259+$AN259)</f>
        <v/>
      </c>
      <c r="CF259" s="100" t="str">
        <f aca="false">IF(ISBLANK($C259),"",IF($BH259&lt;&gt;Constants!$B$4,$BH259,RANK($CE259,$CE$9:$CE$508,1)))</f>
        <v/>
      </c>
      <c r="CG259" s="100" t="str">
        <f aca="false">IF(ISBLANK($C259),"",IF($BH259&lt;&gt;Constants!$B$4,$BH259,COUNTIFS($BI$9:$BI$508,"&lt;"&amp;$BI259)+COUNTIFS($BI$9:$BI$508,$BI259,$CB$9:$CB$508,"&lt;"&amp;$CB259)+COUNTIFS($BI$9:$BI$508,$BI259,$CB$9:$CB$508,$CB259,$CD$9:$CD$508,"&lt;"&amp;$CD259)+COUNTIFS($BI$9:$BI$508,$BI259,$CB$9:$CB$508,$CB259,$CD$9:$CD$508,$CD259,$CF$9:$CF$508,"&lt;"&amp;$CF259)+1))</f>
        <v/>
      </c>
      <c r="CH259" s="100" t="str">
        <f aca="false">IF(ISBLANK($C259),"",IF($BH259&lt;&gt;Constants!$B$4,$BH259,$CC259-$CG259))</f>
        <v/>
      </c>
      <c r="CI259" s="100" t="str">
        <f aca="false">IF(ISBLANK($C259),"",IF(NOT($AJ259),"",IF(ISBLANK($D$7),$CI$5,IF(NOT(ISNUMBER($D$7)),$CI$6,""))))</f>
        <v/>
      </c>
      <c r="CJ259" s="100" t="str">
        <f aca="false">IF(ISBLANK($C259),"",OR($AL259="",$AM259="",$AN259=""))</f>
        <v/>
      </c>
      <c r="CK259" s="100" t="str">
        <f aca="false">IF(ISBLANK($C259),"",AND($AJ259,$AX259=""))</f>
        <v/>
      </c>
      <c r="CL259" s="100" t="str">
        <f aca="false">IF(ISBLANK($C259),"",AND($AJ259,$AY259=""))</f>
        <v/>
      </c>
      <c r="CM259" s="100" t="str">
        <f aca="false">IF(ISBLANK($C259),"",AND($AJ259,$AZ259=""))</f>
        <v/>
      </c>
      <c r="CN259" s="100" t="str">
        <f aca="false">IF(ISBLANK($C259),"",AND($AJ259,$BC259=""))</f>
        <v/>
      </c>
      <c r="CO259" s="100" t="str">
        <f aca="false">IF(ISBLANK($C259),"",AND($AJ259,$BF259=""))</f>
        <v/>
      </c>
      <c r="CP259" s="101"/>
      <c r="CQ259" s="102"/>
      <c r="CR259" s="103" t="str">
        <f aca="false">IF(ISBLANK($C259),"",IF($BH259=Constants!$B$8,$CI259,""))</f>
        <v/>
      </c>
      <c r="CS259" s="102" t="str">
        <f aca="false">IF(ISBLANK($C259),"",IF($BH259&lt;&gt;Constants!$B$4,"",$BK259+$BL259))</f>
        <v/>
      </c>
      <c r="CT259" s="104" t="str">
        <f aca="false">IF(ISBLANK($C259),"",IF($BH259&lt;&gt;Constants!$B$4,"",$BM259+$BN259+$BO259))</f>
        <v/>
      </c>
      <c r="CU259" s="104" t="str">
        <f aca="false">IF(ISBLANK($C259),"",IF($BH259&lt;&gt;Constants!$B$4,"",$BP259))</f>
        <v/>
      </c>
      <c r="CV259" s="104" t="str">
        <f aca="false">IF(ISBLANK($C259),"",IF($BH259&lt;&gt;Constants!$B$4,"",$BQ259+$BR259))</f>
        <v/>
      </c>
      <c r="CW259" s="104" t="str">
        <f aca="false">IF(ISBLANK($C259),"",IF($BH259&lt;&gt;Constants!$B$4,"",$BS259))</f>
        <v/>
      </c>
      <c r="CX259" s="104" t="str">
        <f aca="false">IF(ISBLANK($C259),"",IF($BH259&lt;&gt;Constants!$B$4,"",-$BZ259))</f>
        <v/>
      </c>
      <c r="CY259" s="103" t="str">
        <f aca="false">IF(ISBLANK($C259),"",$CA259)</f>
        <v/>
      </c>
      <c r="CZ259" s="105" t="str">
        <f aca="false">IF(ISBLANK($C259),"",$BI259)</f>
        <v/>
      </c>
      <c r="DA259" s="104" t="str">
        <f aca="false">IF(ISBLANK($C259),"",$CH259)</f>
        <v/>
      </c>
      <c r="DB259" s="104" t="str">
        <f aca="false">IF(ISBLANK($C259),"",$CG259)</f>
        <v/>
      </c>
      <c r="DC259" s="106" t="str">
        <f aca="false">IF(ISBLANK($C259),"",IFERROR(_xlfn.SWITCH($DB259,Constants!$B$7,COUNTA($C$9:$C$508)+2,Constants!$B$6,COUNTA($C$9:$C$508)+1,Constants!$B$5,COUNTA($C$9:$C$508)),$DB259))</f>
        <v/>
      </c>
      <c r="DD259" s="7"/>
      <c r="DE259" s="107" t="n">
        <f aca="false">IF(OR(ISNUMBER($DB259),$DB259=Constants!$B$7,$DB259=Constants!$B$5,$DB259=Constants!$B$6),1,0)</f>
        <v>0</v>
      </c>
      <c r="DF259" s="107" t="n">
        <v>251</v>
      </c>
      <c r="DG259" s="107" t="str">
        <f aca="false">IF(ISBLANK($C259),"",IF(ISNUMBER($DC259),$DC259+ROW($B259)/1000,""))</f>
        <v/>
      </c>
      <c r="DH259" s="107" t="str">
        <f aca="false">IF(ISNUMBER($DG259),RANK($DG259,$DG$9:$DG$508,1),"")</f>
        <v/>
      </c>
      <c r="DI259" s="107" t="str">
        <f aca="false">IF(ISBLANK($C259),"",$B259)</f>
        <v/>
      </c>
      <c r="DJ259" s="107" t="str">
        <f aca="false">IF(ISBLANK($C259),"",$C259)</f>
        <v/>
      </c>
      <c r="DK259" s="107" t="str">
        <f aca="false">IF(ISBLANK($C259),"",$D259)</f>
        <v/>
      </c>
      <c r="DL259" s="108" t="str">
        <f aca="false">$CZ259</f>
        <v/>
      </c>
      <c r="DM259" s="109" t="str">
        <f aca="false">$CY259</f>
        <v/>
      </c>
      <c r="DN259" s="107" t="str">
        <f aca="false">IF(ISBLANK($C259),"",$DB259)</f>
        <v/>
      </c>
      <c r="DO259" s="110" t="str">
        <f aca="false">IF($DF259&gt;$DE$8,"",VLOOKUP($DF259,$DH$9:$DN$508,7,FALSE()))</f>
        <v/>
      </c>
      <c r="DP259" s="111" t="str">
        <f aca="false">IF($DF259&gt;$DE$8,"",VLOOKUP($DF259,$DH$9:$DN$508,2,FALSE()))</f>
        <v/>
      </c>
      <c r="DQ259" s="111" t="str">
        <f aca="false">IF($DF259&gt;$DE$8,"",VLOOKUP($DF259,$DH$9:$DN$508,3,FALSE()))</f>
        <v/>
      </c>
      <c r="DR259" s="111" t="str">
        <f aca="false">IF($DF259&gt;$DE$8,"",VLOOKUP($DF259,$DH$9:$DN$508,4,FALSE()))</f>
        <v/>
      </c>
      <c r="DS259" s="111" t="str">
        <f aca="false">IF($DF259&gt;$DE$8,"",VLOOKUP($DF259,$DH$9:$DN$508,5,FALSE()))</f>
        <v/>
      </c>
      <c r="DT259" s="112" t="str">
        <f aca="false">IF($DF259&gt;$DE$8,"",VLOOKUP($DF259,$DH$9:$DN$508,6,FALSE()))</f>
        <v/>
      </c>
      <c r="DU259" s="62"/>
    </row>
    <row r="260" customFormat="false" ht="15.75" hidden="false" customHeight="false" outlineLevel="0" collapsed="false">
      <c r="A260" s="7"/>
      <c r="B260" s="90"/>
      <c r="C260" s="91"/>
      <c r="D260" s="126"/>
      <c r="E260" s="130"/>
      <c r="F260" s="135"/>
      <c r="G260" s="130"/>
      <c r="H260" s="135"/>
      <c r="I260" s="131"/>
      <c r="J260" s="131"/>
      <c r="K260" s="131"/>
      <c r="L260" s="130"/>
      <c r="M260" s="130"/>
      <c r="N260" s="130"/>
      <c r="O260" s="135"/>
      <c r="P260" s="130"/>
      <c r="Q260" s="130"/>
      <c r="R260" s="130"/>
      <c r="S260" s="130"/>
      <c r="T260" s="135"/>
      <c r="U260" s="130"/>
      <c r="V260" s="96"/>
      <c r="W260" s="130"/>
      <c r="X260" s="130"/>
      <c r="Y260" s="96"/>
      <c r="Z260" s="96"/>
      <c r="AA260" s="130"/>
      <c r="AB260" s="130"/>
      <c r="AC260" s="97"/>
      <c r="AD260" s="130"/>
      <c r="AE260" s="99"/>
      <c r="AF260" s="100"/>
      <c r="AG260" s="100"/>
      <c r="AH260" s="100" t="str">
        <f aca="false">IF(ISBLANK($C260),"",IF($E260=Constants!$B$2,TRUE(),IF($E260=Constants!$B$3,FALSE(),TRUE())))</f>
        <v/>
      </c>
      <c r="AI260" s="100" t="str">
        <f aca="false">IF(ISBLANK($C260),"",IF($F260=Constants!$B$2,TRUE(),IF($F260=Constants!$B$3,FALSE(),FALSE())))</f>
        <v/>
      </c>
      <c r="AJ260" s="100" t="str">
        <f aca="false">IF(ISBLANK($C260),"",IF($G260=Constants!$B$2,TRUE(),IF($G260=Constants!$B$3,FALSE(),TRUE())))</f>
        <v/>
      </c>
      <c r="AK260" s="100" t="str">
        <f aca="false">IF(ISBLANK($C260),"",IF($H260=Constants!$B$2,TRUE(),IF($H260=Constants!$B$3,FALSE(),TRUE())))</f>
        <v/>
      </c>
      <c r="AL260" s="100" t="str">
        <f aca="false">IF(ISBLANK($C260),"",IF(ISNUMBER($I260),IF($I260&gt;=0,$I260,""),""))</f>
        <v/>
      </c>
      <c r="AM260" s="100" t="str">
        <f aca="false">IF(ISBLANK($C260),"",IF(ISNUMBER($J260),IF($J260&gt;=0,$J260,""),""))</f>
        <v/>
      </c>
      <c r="AN260" s="100" t="str">
        <f aca="false">IF(ISBLANK($C260),"",IF(ISNUMBER($K260),IF($K260&gt;=0,$K260,""),""))</f>
        <v/>
      </c>
      <c r="AO260" s="100" t="str">
        <f aca="false">IF(ISBLANK($C260),"",IF($L260=Constants!$B$2,TRUE(),IF($L260=Constants!$B$3,FALSE(),TRUE())))</f>
        <v/>
      </c>
      <c r="AP260" s="100" t="str">
        <f aca="false">IF(ISBLANK($C260),"",IF($M260=Constants!$B$2,TRUE(),IF($M260=Constants!$B$3,FALSE(),TRUE())))</f>
        <v/>
      </c>
      <c r="AQ260" s="100" t="str">
        <f aca="false">IF(ISBLANK($C260),"",IF($N260=Constants!$B$2,TRUE(),IF($N260=Constants!$B$3,FALSE(),FALSE())))</f>
        <v/>
      </c>
      <c r="AR260" s="100" t="str">
        <f aca="false">IF(ISBLANK($C260),"",IF($O260=Constants!$B$2,TRUE(),IF($O260=Constants!$B$3,FALSE(),TRUE())))</f>
        <v/>
      </c>
      <c r="AS260" s="100" t="str">
        <f aca="false">IF(ISBLANK($C260),"",IF($P260=Constants!$B$2,TRUE(),IF($P260=Constants!$B$3,FALSE(),FALSE())))</f>
        <v/>
      </c>
      <c r="AT260" s="100" t="str">
        <f aca="false">IF(ISBLANK($C260),"",IF($Q260=Constants!$B$2,TRUE(),IF($Q260=Constants!$B$3,FALSE(),FALSE())))</f>
        <v/>
      </c>
      <c r="AU260" s="100" t="str">
        <f aca="false">IF(ISBLANK($C260),"",IF($R260=Constants!$B$2,TRUE(),IF($R260=Constants!$B$3,FALSE(),FALSE())))</f>
        <v/>
      </c>
      <c r="AV260" s="100" t="str">
        <f aca="false">IF(ISBLANK($C260),"",IF($S260=Constants!$B$2,TRUE(),IF($S260=Constants!$B$3,FALSE(),FALSE())))</f>
        <v/>
      </c>
      <c r="AW260" s="100" t="str">
        <f aca="false">IF(ISBLANK($C260),"",IF($T260=Constants!$B$2,TRUE(),IF($T260=Constants!$B$3,FALSE(),FALSE())))</f>
        <v/>
      </c>
      <c r="AX260" s="100" t="str">
        <f aca="false">IF(ISBLANK($C260),"",IF(OR($U260&amp;""="1",$U260&amp;""="2",$U260&amp;""="3",$U260&amp;""="4"),VALUE($U260&amp;""),IF($U260=Constants!$B$12,Constants!$B$12,"")))</f>
        <v/>
      </c>
      <c r="AY260" s="100" t="str">
        <f aca="false">IF(ISBLANK($C260),"",IF(ISBLANK($V260),0,IF(ISNUMBER($V260),IF(AND($V260&gt;=0,$V260&lt;=Constants!$B$21,$V260=INT($V260)),$V260,""),"")))</f>
        <v/>
      </c>
      <c r="AZ260" s="100" t="str">
        <f aca="false">IF(ISBLANK($C260),"",IF(ISBLANK($W260),0,IF(ISNUMBER($W260),IF($W260&gt;=0,$W260,""),"")))</f>
        <v/>
      </c>
      <c r="BA260" s="100" t="str">
        <f aca="false">IF(ISBLANK($C260),"",IF($X260=Constants!$B$2,TRUE(),IF($X260=Constants!$B$3,FALSE(),TRUE())))</f>
        <v/>
      </c>
      <c r="BB260" s="100" t="str">
        <f aca="false">IF(ISBLANK($C260),"",IF($Y260=Constants!$B$2,TRUE(),IF($Y260=Constants!$B$3,FALSE(),FALSE())))</f>
        <v/>
      </c>
      <c r="BC260" s="100" t="str">
        <f aca="false">IF(ISBLANK($C260),"",IF(ISBLANK($Z260),0,IF(ISNUMBER($Z260),IF(AND($Z260&gt;=0,$Z260&lt;=Constants!$B$35,$Z260=INT($Z260)),$Z260,""),"")))</f>
        <v/>
      </c>
      <c r="BD260" s="100" t="str">
        <f aca="false">IF(ISBLANK($C260),"",IF($AA260=Constants!$B$2,TRUE(),IF($AA260=Constants!$B$3,FALSE(),TRUE())))</f>
        <v/>
      </c>
      <c r="BE260" s="100" t="str">
        <f aca="false">IF(ISBLANK($C260),"",IF($AB260=Constants!$B$2,TRUE(),IF($AB260=Constants!$B$3,FALSE(),TRUE())))</f>
        <v/>
      </c>
      <c r="BF260" s="100" t="str">
        <f aca="false">IF(ISBLANK($C260),"",IF(ISNUMBER($AC260),IF($AC260&gt;=0,$AC260,""),""))</f>
        <v/>
      </c>
      <c r="BG260" s="100" t="str">
        <f aca="false">IF(ISBLANK($C260),"",IF($AD260=Constants!$B$2,TRUE(),IF($AD260=Constants!$B$3,FALSE(),FALSE())))</f>
        <v/>
      </c>
      <c r="BH260" s="99" t="str">
        <f aca="false">IF(ISBLANK($C260),"",IF($BG260,Constants!$B$7,IF(COUNTA($E260:$AC260)=0,Constants!$B$6,IF(OR(COUNTA($G260:$AC260)=0,NOT($AK260),$AQ260),Constants!$B$5,IF(OR($CI260&lt;&gt;"",$CJ260,$CK260,$CL260,$CM260,$CN260,$CO260),Constants!$B$8,Constants!$B$4)))))</f>
        <v/>
      </c>
      <c r="BI260" s="100" t="str">
        <f aca="false">IF(ISBLANK($C260),"",IF($BH260&lt;&gt;Constants!$B$4,$BH260,IF(OR(NOT($AH260),NOT($AJ260),NOT($AR260)),Constants!$B$11,IF(OR(NOT($AP260),MAX($AL260,$AM260,$AN260)&gt;Constants!$B$30),Constants!$B$10,Constants!$B$9))))</f>
        <v/>
      </c>
      <c r="BJ260" s="100" t="str">
        <f aca="false">IF($BH260&lt;&gt;Constants!$B$4,"",IF(NOT($AJ260),0,MIN(Constants!$B$35,$BC260)))</f>
        <v/>
      </c>
      <c r="BK260" s="100" t="str">
        <f aca="false">IF($BH260&lt;&gt;Constants!$B$4,"",IF(NOT($AJ260),0,IF($AT260,Constants!$B$18,IF($AS260,Constants!$B$17,0))))</f>
        <v/>
      </c>
      <c r="BL260" s="100" t="str">
        <f aca="false">IF($BH260&lt;&gt;Constants!$B$4,"",IF(NOT($AJ260),0,Constants!$B$19*($AI260+$AU260+$AV260+$AW260)))</f>
        <v/>
      </c>
      <c r="BM260" s="100" t="str">
        <f aca="false">IF($BH260&lt;&gt;Constants!$B$4,"",IF(OR(NOT($AJ260),NOT(ISNUMBER($AX260))),0,CHOOSE($AX260,Constants!$B$13,Constants!$B$14,Constants!$B$15,Constants!$B$16)))</f>
        <v/>
      </c>
      <c r="BN260" s="100" t="str">
        <f aca="false">IF($BH260&lt;&gt;Constants!$B$4,"",IF(NOT($AJ260),0,Constants!$B$20*$AY260))</f>
        <v/>
      </c>
      <c r="BO260" s="100" t="str">
        <f aca="false">IF($BH260&lt;&gt;Constants!$B$4,"",IF(AND($AJ260,$BA260,$BB260),Constants!$B$22,0))</f>
        <v/>
      </c>
      <c r="BP260" s="100" t="str">
        <f aca="false">IF($BH260&lt;&gt;Constants!$B$4,"",IF(OR(NOT($AJ260),NOT($BA260)),0,IF($BF260&gt;=2*$AF$9,0,Constants!$B$23*INT(ROUND(MIN($BF260,$AF$9),6)))))</f>
        <v/>
      </c>
      <c r="BQ260" s="100" t="str">
        <f aca="false">IF($BH260&lt;&gt;Constants!$B$4,"",IF(NOT($AJ260),0,Constants!$B$24*INT(ROUND(MIN($AZ260,$AF$9),6))))</f>
        <v/>
      </c>
      <c r="BR260" s="100" t="str">
        <f aca="false">IF($BH260&lt;&gt;Constants!$B$4,"",IF(AND($AJ260,$BJ260=0),Constants!$B$25,0))</f>
        <v/>
      </c>
      <c r="BS260" s="100" t="str">
        <f aca="false">IF($BH260&lt;&gt;Constants!$B$4,"",MIN(Constants!$B$29,MAX(0,Constants!$B$27*Constants!$B$28*INT(ROUND((Constants!$B$26-$AL260)/Constants!$B$28,6))))+MIN(Constants!$B$29,MAX(0,Constants!$B$27*Constants!$B$28*INT(ROUND((Constants!$B$26-$AM260)/Constants!$B$28,6))))+MIN(Constants!$B$29,MAX(0,Constants!$B$27*Constants!$B$28*INT(ROUND((Constants!$B$26-$AN260)/Constants!$B$28,6)))))</f>
        <v/>
      </c>
      <c r="BT260" s="100" t="str">
        <f aca="false">IF($BH260&lt;&gt;Constants!$B$4,"",IF(NOT($AJ260),0,Constants!$B$31*INT(ROUND(MAX(0,MIN($BF260,2*$AF$9)-$AF$9),6))))</f>
        <v/>
      </c>
      <c r="BU260" s="100" t="str">
        <f aca="false">IF($BH260&lt;&gt;Constants!$B$4,"",Constants!$B$32*(($AL260&gt;Constants!$B$26)+($AM260&gt;Constants!$B$26)+($AN260&gt;Constants!$B$26)))</f>
        <v/>
      </c>
      <c r="BV260" s="100" t="str">
        <f aca="false">IF($BH260&lt;&gt;Constants!$B$4,"",IF(OR(NOT($AJ260),$AO260),0,Constants!$B$33))</f>
        <v/>
      </c>
      <c r="BW260" s="100" t="str">
        <f aca="false">IF($BH260&lt;&gt;Constants!$B$4,"",Constants!$B$34*$BJ260)</f>
        <v/>
      </c>
      <c r="BX260" s="100" t="str">
        <f aca="false">IF($BH260&lt;&gt;Constants!$B$4,"",IF(OR(NOT($AJ260),$BE260),0,Constants!$B$36))</f>
        <v/>
      </c>
      <c r="BY260" s="100" t="str">
        <f aca="false">IF($BH260&lt;&gt;Constants!$B$4,"",IF(OR(NOT($AJ260),$BD260),0,Constants!$B$37))</f>
        <v/>
      </c>
      <c r="BZ260" s="100" t="str">
        <f aca="false">IF($BH260&lt;&gt;Constants!$B$4,"",SUM($BT260:$BY260))</f>
        <v/>
      </c>
      <c r="CA260" s="100" t="str">
        <f aca="false">IF(ISBLANK($C260),"",IF($BH260&lt;&gt;Constants!$B$4,$BH260,SUM($BK260:$BS260)-$BZ260))</f>
        <v/>
      </c>
      <c r="CB260" s="100" t="str">
        <f aca="false">IF(ISBLANK($C260),"",IF($BH260&lt;&gt;Constants!$B$4,$BH260,RANK($CA260,$CA$9:$CA$508)))</f>
        <v/>
      </c>
      <c r="CC260" s="100" t="str">
        <f aca="false">IF(ISBLANK($C260),"",IF($BH260&lt;&gt;Constants!$B$4,$BH260,COUNTIFS($BI$9:$BI$508,"&lt;"&amp;$BI260)+COUNTIFS($BI$9:$BI$508,$BI260,$CB$9:$CB$508,"&lt;"&amp;$CB260)+1))</f>
        <v/>
      </c>
      <c r="CD260" s="100" t="str">
        <f aca="false">IF(ISBLANK($C260),"",IF($BH260&lt;&gt;Constants!$B$4,$BH260,RANK($BZ260,$BZ$9:$BZ$508,1)))</f>
        <v/>
      </c>
      <c r="CE260" s="100" t="str">
        <f aca="false">IF($BH260&lt;&gt;Constants!$B$4,"",$AL260+$AM260+$AN260)</f>
        <v/>
      </c>
      <c r="CF260" s="100" t="str">
        <f aca="false">IF(ISBLANK($C260),"",IF($BH260&lt;&gt;Constants!$B$4,$BH260,RANK($CE260,$CE$9:$CE$508,1)))</f>
        <v/>
      </c>
      <c r="CG260" s="100" t="str">
        <f aca="false">IF(ISBLANK($C260),"",IF($BH260&lt;&gt;Constants!$B$4,$BH260,COUNTIFS($BI$9:$BI$508,"&lt;"&amp;$BI260)+COUNTIFS($BI$9:$BI$508,$BI260,$CB$9:$CB$508,"&lt;"&amp;$CB260)+COUNTIFS($BI$9:$BI$508,$BI260,$CB$9:$CB$508,$CB260,$CD$9:$CD$508,"&lt;"&amp;$CD260)+COUNTIFS($BI$9:$BI$508,$BI260,$CB$9:$CB$508,$CB260,$CD$9:$CD$508,$CD260,$CF$9:$CF$508,"&lt;"&amp;$CF260)+1))</f>
        <v/>
      </c>
      <c r="CH260" s="100" t="str">
        <f aca="false">IF(ISBLANK($C260),"",IF($BH260&lt;&gt;Constants!$B$4,$BH260,$CC260-$CG260))</f>
        <v/>
      </c>
      <c r="CI260" s="100" t="str">
        <f aca="false">IF(ISBLANK($C260),"",IF(NOT($AJ260),"",IF(ISBLANK($D$7),$CI$5,IF(NOT(ISNUMBER($D$7)),$CI$6,""))))</f>
        <v/>
      </c>
      <c r="CJ260" s="100" t="str">
        <f aca="false">IF(ISBLANK($C260),"",OR($AL260="",$AM260="",$AN260=""))</f>
        <v/>
      </c>
      <c r="CK260" s="100" t="str">
        <f aca="false">IF(ISBLANK($C260),"",AND($AJ260,$AX260=""))</f>
        <v/>
      </c>
      <c r="CL260" s="100" t="str">
        <f aca="false">IF(ISBLANK($C260),"",AND($AJ260,$AY260=""))</f>
        <v/>
      </c>
      <c r="CM260" s="100" t="str">
        <f aca="false">IF(ISBLANK($C260),"",AND($AJ260,$AZ260=""))</f>
        <v/>
      </c>
      <c r="CN260" s="100" t="str">
        <f aca="false">IF(ISBLANK($C260),"",AND($AJ260,$BC260=""))</f>
        <v/>
      </c>
      <c r="CO260" s="100" t="str">
        <f aca="false">IF(ISBLANK($C260),"",AND($AJ260,$BF260=""))</f>
        <v/>
      </c>
      <c r="CP260" s="101"/>
      <c r="CQ260" s="102"/>
      <c r="CR260" s="103" t="str">
        <f aca="false">IF(ISBLANK($C260),"",IF($BH260=Constants!$B$8,$CI260,""))</f>
        <v/>
      </c>
      <c r="CS260" s="102" t="str">
        <f aca="false">IF(ISBLANK($C260),"",IF($BH260&lt;&gt;Constants!$B$4,"",$BK260+$BL260))</f>
        <v/>
      </c>
      <c r="CT260" s="104" t="str">
        <f aca="false">IF(ISBLANK($C260),"",IF($BH260&lt;&gt;Constants!$B$4,"",$BM260+$BN260+$BO260))</f>
        <v/>
      </c>
      <c r="CU260" s="104" t="str">
        <f aca="false">IF(ISBLANK($C260),"",IF($BH260&lt;&gt;Constants!$B$4,"",$BP260))</f>
        <v/>
      </c>
      <c r="CV260" s="104" t="str">
        <f aca="false">IF(ISBLANK($C260),"",IF($BH260&lt;&gt;Constants!$B$4,"",$BQ260+$BR260))</f>
        <v/>
      </c>
      <c r="CW260" s="104" t="str">
        <f aca="false">IF(ISBLANK($C260),"",IF($BH260&lt;&gt;Constants!$B$4,"",$BS260))</f>
        <v/>
      </c>
      <c r="CX260" s="104" t="str">
        <f aca="false">IF(ISBLANK($C260),"",IF($BH260&lt;&gt;Constants!$B$4,"",-$BZ260))</f>
        <v/>
      </c>
      <c r="CY260" s="103" t="str">
        <f aca="false">IF(ISBLANK($C260),"",$CA260)</f>
        <v/>
      </c>
      <c r="CZ260" s="105" t="str">
        <f aca="false">IF(ISBLANK($C260),"",$BI260)</f>
        <v/>
      </c>
      <c r="DA260" s="104" t="str">
        <f aca="false">IF(ISBLANK($C260),"",$CH260)</f>
        <v/>
      </c>
      <c r="DB260" s="104" t="str">
        <f aca="false">IF(ISBLANK($C260),"",$CG260)</f>
        <v/>
      </c>
      <c r="DC260" s="106" t="str">
        <f aca="false">IF(ISBLANK($C260),"",IFERROR(_xlfn.SWITCH($DB260,Constants!$B$7,COUNTA($C$9:$C$508)+2,Constants!$B$6,COUNTA($C$9:$C$508)+1,Constants!$B$5,COUNTA($C$9:$C$508)),$DB260))</f>
        <v/>
      </c>
      <c r="DD260" s="7"/>
      <c r="DE260" s="107" t="n">
        <f aca="false">IF(OR(ISNUMBER($DB260),$DB260=Constants!$B$7,$DB260=Constants!$B$5,$DB260=Constants!$B$6),1,0)</f>
        <v>0</v>
      </c>
      <c r="DF260" s="107" t="n">
        <v>252</v>
      </c>
      <c r="DG260" s="107" t="str">
        <f aca="false">IF(ISBLANK($C260),"",IF(ISNUMBER($DC260),$DC260+ROW($B260)/1000,""))</f>
        <v/>
      </c>
      <c r="DH260" s="107" t="str">
        <f aca="false">IF(ISNUMBER($DG260),RANK($DG260,$DG$9:$DG$508,1),"")</f>
        <v/>
      </c>
      <c r="DI260" s="107" t="str">
        <f aca="false">IF(ISBLANK($C260),"",$B260)</f>
        <v/>
      </c>
      <c r="DJ260" s="107" t="str">
        <f aca="false">IF(ISBLANK($C260),"",$C260)</f>
        <v/>
      </c>
      <c r="DK260" s="107" t="str">
        <f aca="false">IF(ISBLANK($C260),"",$D260)</f>
        <v/>
      </c>
      <c r="DL260" s="108" t="str">
        <f aca="false">$CZ260</f>
        <v/>
      </c>
      <c r="DM260" s="109" t="str">
        <f aca="false">$CY260</f>
        <v/>
      </c>
      <c r="DN260" s="107" t="str">
        <f aca="false">IF(ISBLANK($C260),"",$DB260)</f>
        <v/>
      </c>
      <c r="DO260" s="110" t="str">
        <f aca="false">IF($DF260&gt;$DE$8,"",VLOOKUP($DF260,$DH$9:$DN$508,7,FALSE()))</f>
        <v/>
      </c>
      <c r="DP260" s="111" t="str">
        <f aca="false">IF($DF260&gt;$DE$8,"",VLOOKUP($DF260,$DH$9:$DN$508,2,FALSE()))</f>
        <v/>
      </c>
      <c r="DQ260" s="111" t="str">
        <f aca="false">IF($DF260&gt;$DE$8,"",VLOOKUP($DF260,$DH$9:$DN$508,3,FALSE()))</f>
        <v/>
      </c>
      <c r="DR260" s="111" t="str">
        <f aca="false">IF($DF260&gt;$DE$8,"",VLOOKUP($DF260,$DH$9:$DN$508,4,FALSE()))</f>
        <v/>
      </c>
      <c r="DS260" s="111" t="str">
        <f aca="false">IF($DF260&gt;$DE$8,"",VLOOKUP($DF260,$DH$9:$DN$508,5,FALSE()))</f>
        <v/>
      </c>
      <c r="DT260" s="112" t="str">
        <f aca="false">IF($DF260&gt;$DE$8,"",VLOOKUP($DF260,$DH$9:$DN$508,6,FALSE()))</f>
        <v/>
      </c>
      <c r="DU260" s="62"/>
    </row>
    <row r="261" customFormat="false" ht="15.75" hidden="false" customHeight="false" outlineLevel="0" collapsed="false">
      <c r="A261" s="7"/>
      <c r="B261" s="64"/>
      <c r="C261" s="65"/>
      <c r="D261" s="123"/>
      <c r="E261" s="88"/>
      <c r="F261" s="134"/>
      <c r="G261" s="88"/>
      <c r="H261" s="134"/>
      <c r="I261" s="119"/>
      <c r="J261" s="119"/>
      <c r="K261" s="119"/>
      <c r="L261" s="88"/>
      <c r="M261" s="88"/>
      <c r="N261" s="88"/>
      <c r="O261" s="134"/>
      <c r="P261" s="88"/>
      <c r="Q261" s="88"/>
      <c r="R261" s="88"/>
      <c r="S261" s="88"/>
      <c r="T261" s="134"/>
      <c r="U261" s="88"/>
      <c r="V261" s="70"/>
      <c r="W261" s="88"/>
      <c r="X261" s="88"/>
      <c r="Y261" s="70"/>
      <c r="Z261" s="70"/>
      <c r="AA261" s="88"/>
      <c r="AB261" s="88"/>
      <c r="AC261" s="71"/>
      <c r="AD261" s="88"/>
      <c r="AE261" s="73"/>
      <c r="AF261" s="74"/>
      <c r="AG261" s="74"/>
      <c r="AH261" s="74" t="str">
        <f aca="false">IF(ISBLANK($C261),"",IF($E261=Constants!$B$2,TRUE(),IF($E261=Constants!$B$3,FALSE(),TRUE())))</f>
        <v/>
      </c>
      <c r="AI261" s="74" t="str">
        <f aca="false">IF(ISBLANK($C261),"",IF($F261=Constants!$B$2,TRUE(),IF($F261=Constants!$B$3,FALSE(),FALSE())))</f>
        <v/>
      </c>
      <c r="AJ261" s="74" t="str">
        <f aca="false">IF(ISBLANK($C261),"",IF($G261=Constants!$B$2,TRUE(),IF($G261=Constants!$B$3,FALSE(),TRUE())))</f>
        <v/>
      </c>
      <c r="AK261" s="74" t="str">
        <f aca="false">IF(ISBLANK($C261),"",IF($H261=Constants!$B$2,TRUE(),IF($H261=Constants!$B$3,FALSE(),TRUE())))</f>
        <v/>
      </c>
      <c r="AL261" s="74" t="str">
        <f aca="false">IF(ISBLANK($C261),"",IF(ISNUMBER($I261),IF($I261&gt;=0,$I261,""),""))</f>
        <v/>
      </c>
      <c r="AM261" s="74" t="str">
        <f aca="false">IF(ISBLANK($C261),"",IF(ISNUMBER($J261),IF($J261&gt;=0,$J261,""),""))</f>
        <v/>
      </c>
      <c r="AN261" s="74" t="str">
        <f aca="false">IF(ISBLANK($C261),"",IF(ISNUMBER($K261),IF($K261&gt;=0,$K261,""),""))</f>
        <v/>
      </c>
      <c r="AO261" s="74" t="str">
        <f aca="false">IF(ISBLANK($C261),"",IF($L261=Constants!$B$2,TRUE(),IF($L261=Constants!$B$3,FALSE(),TRUE())))</f>
        <v/>
      </c>
      <c r="AP261" s="74" t="str">
        <f aca="false">IF(ISBLANK($C261),"",IF($M261=Constants!$B$2,TRUE(),IF($M261=Constants!$B$3,FALSE(),TRUE())))</f>
        <v/>
      </c>
      <c r="AQ261" s="74" t="str">
        <f aca="false">IF(ISBLANK($C261),"",IF($N261=Constants!$B$2,TRUE(),IF($N261=Constants!$B$3,FALSE(),FALSE())))</f>
        <v/>
      </c>
      <c r="AR261" s="74" t="str">
        <f aca="false">IF(ISBLANK($C261),"",IF($O261=Constants!$B$2,TRUE(),IF($O261=Constants!$B$3,FALSE(),TRUE())))</f>
        <v/>
      </c>
      <c r="AS261" s="74" t="str">
        <f aca="false">IF(ISBLANK($C261),"",IF($P261=Constants!$B$2,TRUE(),IF($P261=Constants!$B$3,FALSE(),FALSE())))</f>
        <v/>
      </c>
      <c r="AT261" s="74" t="str">
        <f aca="false">IF(ISBLANK($C261),"",IF($Q261=Constants!$B$2,TRUE(),IF($Q261=Constants!$B$3,FALSE(),FALSE())))</f>
        <v/>
      </c>
      <c r="AU261" s="74" t="str">
        <f aca="false">IF(ISBLANK($C261),"",IF($R261=Constants!$B$2,TRUE(),IF($R261=Constants!$B$3,FALSE(),FALSE())))</f>
        <v/>
      </c>
      <c r="AV261" s="74" t="str">
        <f aca="false">IF(ISBLANK($C261),"",IF($S261=Constants!$B$2,TRUE(),IF($S261=Constants!$B$3,FALSE(),FALSE())))</f>
        <v/>
      </c>
      <c r="AW261" s="74" t="str">
        <f aca="false">IF(ISBLANK($C261),"",IF($T261=Constants!$B$2,TRUE(),IF($T261=Constants!$B$3,FALSE(),FALSE())))</f>
        <v/>
      </c>
      <c r="AX261" s="74" t="str">
        <f aca="false">IF(ISBLANK($C261),"",IF(OR($U261&amp;""="1",$U261&amp;""="2",$U261&amp;""="3",$U261&amp;""="4"),VALUE($U261&amp;""),IF($U261=Constants!$B$12,Constants!$B$12,"")))</f>
        <v/>
      </c>
      <c r="AY261" s="74" t="str">
        <f aca="false">IF(ISBLANK($C261),"",IF(ISBLANK($V261),0,IF(ISNUMBER($V261),IF(AND($V261&gt;=0,$V261&lt;=Constants!$B$21,$V261=INT($V261)),$V261,""),"")))</f>
        <v/>
      </c>
      <c r="AZ261" s="74" t="str">
        <f aca="false">IF(ISBLANK($C261),"",IF(ISBLANK($W261),0,IF(ISNUMBER($W261),IF($W261&gt;=0,$W261,""),"")))</f>
        <v/>
      </c>
      <c r="BA261" s="74" t="str">
        <f aca="false">IF(ISBLANK($C261),"",IF($X261=Constants!$B$2,TRUE(),IF($X261=Constants!$B$3,FALSE(),TRUE())))</f>
        <v/>
      </c>
      <c r="BB261" s="74" t="str">
        <f aca="false">IF(ISBLANK($C261),"",IF($Y261=Constants!$B$2,TRUE(),IF($Y261=Constants!$B$3,FALSE(),FALSE())))</f>
        <v/>
      </c>
      <c r="BC261" s="74" t="str">
        <f aca="false">IF(ISBLANK($C261),"",IF(ISBLANK($Z261),0,IF(ISNUMBER($Z261),IF(AND($Z261&gt;=0,$Z261&lt;=Constants!$B$35,$Z261=INT($Z261)),$Z261,""),"")))</f>
        <v/>
      </c>
      <c r="BD261" s="74" t="str">
        <f aca="false">IF(ISBLANK($C261),"",IF($AA261=Constants!$B$2,TRUE(),IF($AA261=Constants!$B$3,FALSE(),TRUE())))</f>
        <v/>
      </c>
      <c r="BE261" s="74" t="str">
        <f aca="false">IF(ISBLANK($C261),"",IF($AB261=Constants!$B$2,TRUE(),IF($AB261=Constants!$B$3,FALSE(),TRUE())))</f>
        <v/>
      </c>
      <c r="BF261" s="74" t="str">
        <f aca="false">IF(ISBLANK($C261),"",IF(ISNUMBER($AC261),IF($AC261&gt;=0,$AC261,""),""))</f>
        <v/>
      </c>
      <c r="BG261" s="74" t="str">
        <f aca="false">IF(ISBLANK($C261),"",IF($AD261=Constants!$B$2,TRUE(),IF($AD261=Constants!$B$3,FALSE(),FALSE())))</f>
        <v/>
      </c>
      <c r="BH261" s="73" t="str">
        <f aca="false">IF(ISBLANK($C261),"",IF($BG261,Constants!$B$7,IF(COUNTA($E261:$AC261)=0,Constants!$B$6,IF(OR(COUNTA($G261:$AC261)=0,NOT($AK261),$AQ261),Constants!$B$5,IF(OR($CI261&lt;&gt;"",$CJ261,$CK261,$CL261,$CM261,$CN261,$CO261),Constants!$B$8,Constants!$B$4)))))</f>
        <v/>
      </c>
      <c r="BI261" s="74" t="str">
        <f aca="false">IF(ISBLANK($C261),"",IF($BH261&lt;&gt;Constants!$B$4,$BH261,IF(OR(NOT($AH261),NOT($AJ261),NOT($AR261)),Constants!$B$11,IF(OR(NOT($AP261),MAX($AL261,$AM261,$AN261)&gt;Constants!$B$30),Constants!$B$10,Constants!$B$9))))</f>
        <v/>
      </c>
      <c r="BJ261" s="74" t="str">
        <f aca="false">IF($BH261&lt;&gt;Constants!$B$4,"",IF(NOT($AJ261),0,MIN(Constants!$B$35,$BC261)))</f>
        <v/>
      </c>
      <c r="BK261" s="74" t="str">
        <f aca="false">IF($BH261&lt;&gt;Constants!$B$4,"",IF(NOT($AJ261),0,IF($AT261,Constants!$B$18,IF($AS261,Constants!$B$17,0))))</f>
        <v/>
      </c>
      <c r="BL261" s="74" t="str">
        <f aca="false">IF($BH261&lt;&gt;Constants!$B$4,"",IF(NOT($AJ261),0,Constants!$B$19*($AI261+$AU261+$AV261+$AW261)))</f>
        <v/>
      </c>
      <c r="BM261" s="74" t="str">
        <f aca="false">IF($BH261&lt;&gt;Constants!$B$4,"",IF(OR(NOT($AJ261),NOT(ISNUMBER($AX261))),0,CHOOSE($AX261,Constants!$B$13,Constants!$B$14,Constants!$B$15,Constants!$B$16)))</f>
        <v/>
      </c>
      <c r="BN261" s="74" t="str">
        <f aca="false">IF($BH261&lt;&gt;Constants!$B$4,"",IF(NOT($AJ261),0,Constants!$B$20*$AY261))</f>
        <v/>
      </c>
      <c r="BO261" s="74" t="str">
        <f aca="false">IF($BH261&lt;&gt;Constants!$B$4,"",IF(AND($AJ261,$BA261,$BB261),Constants!$B$22,0))</f>
        <v/>
      </c>
      <c r="BP261" s="74" t="str">
        <f aca="false">IF($BH261&lt;&gt;Constants!$B$4,"",IF(OR(NOT($AJ261),NOT($BA261)),0,IF($BF261&gt;=2*$AF$9,0,Constants!$B$23*INT(ROUND(MIN($BF261,$AF$9),6)))))</f>
        <v/>
      </c>
      <c r="BQ261" s="74" t="str">
        <f aca="false">IF($BH261&lt;&gt;Constants!$B$4,"",IF(NOT($AJ261),0,Constants!$B$24*INT(ROUND(MIN($AZ261,$AF$9),6))))</f>
        <v/>
      </c>
      <c r="BR261" s="74" t="str">
        <f aca="false">IF($BH261&lt;&gt;Constants!$B$4,"",IF(AND($AJ261,$BJ261=0),Constants!$B$25,0))</f>
        <v/>
      </c>
      <c r="BS261" s="74" t="str">
        <f aca="false">IF($BH261&lt;&gt;Constants!$B$4,"",MIN(Constants!$B$29,MAX(0,Constants!$B$27*Constants!$B$28*INT(ROUND((Constants!$B$26-$AL261)/Constants!$B$28,6))))+MIN(Constants!$B$29,MAX(0,Constants!$B$27*Constants!$B$28*INT(ROUND((Constants!$B$26-$AM261)/Constants!$B$28,6))))+MIN(Constants!$B$29,MAX(0,Constants!$B$27*Constants!$B$28*INT(ROUND((Constants!$B$26-$AN261)/Constants!$B$28,6)))))</f>
        <v/>
      </c>
      <c r="BT261" s="74" t="str">
        <f aca="false">IF($BH261&lt;&gt;Constants!$B$4,"",IF(NOT($AJ261),0,Constants!$B$31*INT(ROUND(MAX(0,MIN($BF261,2*$AF$9)-$AF$9),6))))</f>
        <v/>
      </c>
      <c r="BU261" s="74" t="str">
        <f aca="false">IF($BH261&lt;&gt;Constants!$B$4,"",Constants!$B$32*(($AL261&gt;Constants!$B$26)+($AM261&gt;Constants!$B$26)+($AN261&gt;Constants!$B$26)))</f>
        <v/>
      </c>
      <c r="BV261" s="74" t="str">
        <f aca="false">IF($BH261&lt;&gt;Constants!$B$4,"",IF(OR(NOT($AJ261),$AO261),0,Constants!$B$33))</f>
        <v/>
      </c>
      <c r="BW261" s="74" t="str">
        <f aca="false">IF($BH261&lt;&gt;Constants!$B$4,"",Constants!$B$34*$BJ261)</f>
        <v/>
      </c>
      <c r="BX261" s="74" t="str">
        <f aca="false">IF($BH261&lt;&gt;Constants!$B$4,"",IF(OR(NOT($AJ261),$BE261),0,Constants!$B$36))</f>
        <v/>
      </c>
      <c r="BY261" s="74" t="str">
        <f aca="false">IF($BH261&lt;&gt;Constants!$B$4,"",IF(OR(NOT($AJ261),$BD261),0,Constants!$B$37))</f>
        <v/>
      </c>
      <c r="BZ261" s="74" t="str">
        <f aca="false">IF($BH261&lt;&gt;Constants!$B$4,"",SUM($BT261:$BY261))</f>
        <v/>
      </c>
      <c r="CA261" s="74" t="str">
        <f aca="false">IF(ISBLANK($C261),"",IF($BH261&lt;&gt;Constants!$B$4,$BH261,SUM($BK261:$BS261)-$BZ261))</f>
        <v/>
      </c>
      <c r="CB261" s="74" t="str">
        <f aca="false">IF(ISBLANK($C261),"",IF($BH261&lt;&gt;Constants!$B$4,$BH261,RANK($CA261,$CA$9:$CA$508)))</f>
        <v/>
      </c>
      <c r="CC261" s="74" t="str">
        <f aca="false">IF(ISBLANK($C261),"",IF($BH261&lt;&gt;Constants!$B$4,$BH261,COUNTIFS($BI$9:$BI$508,"&lt;"&amp;$BI261)+COUNTIFS($BI$9:$BI$508,$BI261,$CB$9:$CB$508,"&lt;"&amp;$CB261)+1))</f>
        <v/>
      </c>
      <c r="CD261" s="74" t="str">
        <f aca="false">IF(ISBLANK($C261),"",IF($BH261&lt;&gt;Constants!$B$4,$BH261,RANK($BZ261,$BZ$9:$BZ$508,1)))</f>
        <v/>
      </c>
      <c r="CE261" s="74" t="str">
        <f aca="false">IF($BH261&lt;&gt;Constants!$B$4,"",$AL261+$AM261+$AN261)</f>
        <v/>
      </c>
      <c r="CF261" s="74" t="str">
        <f aca="false">IF(ISBLANK($C261),"",IF($BH261&lt;&gt;Constants!$B$4,$BH261,RANK($CE261,$CE$9:$CE$508,1)))</f>
        <v/>
      </c>
      <c r="CG261" s="74" t="str">
        <f aca="false">IF(ISBLANK($C261),"",IF($BH261&lt;&gt;Constants!$B$4,$BH261,COUNTIFS($BI$9:$BI$508,"&lt;"&amp;$BI261)+COUNTIFS($BI$9:$BI$508,$BI261,$CB$9:$CB$508,"&lt;"&amp;$CB261)+COUNTIFS($BI$9:$BI$508,$BI261,$CB$9:$CB$508,$CB261,$CD$9:$CD$508,"&lt;"&amp;$CD261)+COUNTIFS($BI$9:$BI$508,$BI261,$CB$9:$CB$508,$CB261,$CD$9:$CD$508,$CD261,$CF$9:$CF$508,"&lt;"&amp;$CF261)+1))</f>
        <v/>
      </c>
      <c r="CH261" s="74" t="str">
        <f aca="false">IF(ISBLANK($C261),"",IF($BH261&lt;&gt;Constants!$B$4,$BH261,$CC261-$CG261))</f>
        <v/>
      </c>
      <c r="CI261" s="74" t="str">
        <f aca="false">IF(ISBLANK($C261),"",IF(NOT($AJ261),"",IF(ISBLANK($D$7),$CI$5,IF(NOT(ISNUMBER($D$7)),$CI$6,""))))</f>
        <v/>
      </c>
      <c r="CJ261" s="74" t="str">
        <f aca="false">IF(ISBLANK($C261),"",OR($AL261="",$AM261="",$AN261=""))</f>
        <v/>
      </c>
      <c r="CK261" s="74" t="str">
        <f aca="false">IF(ISBLANK($C261),"",AND($AJ261,$AX261=""))</f>
        <v/>
      </c>
      <c r="CL261" s="74" t="str">
        <f aca="false">IF(ISBLANK($C261),"",AND($AJ261,$AY261=""))</f>
        <v/>
      </c>
      <c r="CM261" s="74" t="str">
        <f aca="false">IF(ISBLANK($C261),"",AND($AJ261,$AZ261=""))</f>
        <v/>
      </c>
      <c r="CN261" s="74" t="str">
        <f aca="false">IF(ISBLANK($C261),"",AND($AJ261,$BC261=""))</f>
        <v/>
      </c>
      <c r="CO261" s="74" t="str">
        <f aca="false">IF(ISBLANK($C261),"",AND($AJ261,$BF261=""))</f>
        <v/>
      </c>
      <c r="CP261" s="75"/>
      <c r="CQ261" s="76"/>
      <c r="CR261" s="79" t="str">
        <f aca="false">IF(ISBLANK($C261),"",IF($BH261=Constants!$B$8,$CI261,""))</f>
        <v/>
      </c>
      <c r="CS261" s="76" t="str">
        <f aca="false">IF(ISBLANK($C261),"",IF($BH261&lt;&gt;Constants!$B$4,"",$BK261+$BL261))</f>
        <v/>
      </c>
      <c r="CT261" s="78" t="str">
        <f aca="false">IF(ISBLANK($C261),"",IF($BH261&lt;&gt;Constants!$B$4,"",$BM261+$BN261+$BO261))</f>
        <v/>
      </c>
      <c r="CU261" s="78" t="str">
        <f aca="false">IF(ISBLANK($C261),"",IF($BH261&lt;&gt;Constants!$B$4,"",$BP261))</f>
        <v/>
      </c>
      <c r="CV261" s="78" t="str">
        <f aca="false">IF(ISBLANK($C261),"",IF($BH261&lt;&gt;Constants!$B$4,"",$BQ261+$BR261))</f>
        <v/>
      </c>
      <c r="CW261" s="78" t="str">
        <f aca="false">IF(ISBLANK($C261),"",IF($BH261&lt;&gt;Constants!$B$4,"",$BS261))</f>
        <v/>
      </c>
      <c r="CX261" s="78" t="str">
        <f aca="false">IF(ISBLANK($C261),"",IF($BH261&lt;&gt;Constants!$B$4,"",-$BZ261))</f>
        <v/>
      </c>
      <c r="CY261" s="79" t="str">
        <f aca="false">IF(ISBLANK($C261),"",$CA261)</f>
        <v/>
      </c>
      <c r="CZ261" s="80" t="str">
        <f aca="false">IF(ISBLANK($C261),"",$BI261)</f>
        <v/>
      </c>
      <c r="DA261" s="78" t="str">
        <f aca="false">IF(ISBLANK($C261),"",$CH261)</f>
        <v/>
      </c>
      <c r="DB261" s="78" t="str">
        <f aca="false">IF(ISBLANK($C261),"",$CG261)</f>
        <v/>
      </c>
      <c r="DC261" s="81" t="str">
        <f aca="false">IF(ISBLANK($C261),"",IFERROR(_xlfn.SWITCH($DB261,Constants!$B$7,COUNTA($C$9:$C$508)+2,Constants!$B$6,COUNTA($C$9:$C$508)+1,Constants!$B$5,COUNTA($C$9:$C$508)),$DB261))</f>
        <v/>
      </c>
      <c r="DD261" s="7"/>
      <c r="DE261" s="82" t="n">
        <f aca="false">IF(OR(ISNUMBER($DB261),$DB261=Constants!$B$7,$DB261=Constants!$B$5,$DB261=Constants!$B$6),1,0)</f>
        <v>0</v>
      </c>
      <c r="DF261" s="82" t="n">
        <v>253</v>
      </c>
      <c r="DG261" s="82" t="str">
        <f aca="false">IF(ISBLANK($C261),"",IF(ISNUMBER($DC261),$DC261+ROW($B261)/1000,""))</f>
        <v/>
      </c>
      <c r="DH261" s="82" t="str">
        <f aca="false">IF(ISNUMBER($DG261),RANK($DG261,$DG$9:$DG$508,1),"")</f>
        <v/>
      </c>
      <c r="DI261" s="82" t="str">
        <f aca="false">IF(ISBLANK($C261),"",$B261)</f>
        <v/>
      </c>
      <c r="DJ261" s="82" t="str">
        <f aca="false">IF(ISBLANK($C261),"",$C261)</f>
        <v/>
      </c>
      <c r="DK261" s="82" t="str">
        <f aca="false">IF(ISBLANK($C261),"",$D261)</f>
        <v/>
      </c>
      <c r="DL261" s="83" t="str">
        <f aca="false">$CZ261</f>
        <v/>
      </c>
      <c r="DM261" s="84" t="str">
        <f aca="false">$CY261</f>
        <v/>
      </c>
      <c r="DN261" s="82" t="str">
        <f aca="false">IF(ISBLANK($C261),"",$DB261)</f>
        <v/>
      </c>
      <c r="DO261" s="85" t="str">
        <f aca="false">IF($DF261&gt;$DE$8,"",VLOOKUP($DF261,$DH$9:$DN$508,7,FALSE()))</f>
        <v/>
      </c>
      <c r="DP261" s="86" t="str">
        <f aca="false">IF($DF261&gt;$DE$8,"",VLOOKUP($DF261,$DH$9:$DN$508,2,FALSE()))</f>
        <v/>
      </c>
      <c r="DQ261" s="86" t="str">
        <f aca="false">IF($DF261&gt;$DE$8,"",VLOOKUP($DF261,$DH$9:$DN$508,3,FALSE()))</f>
        <v/>
      </c>
      <c r="DR261" s="86" t="str">
        <f aca="false">IF($DF261&gt;$DE$8,"",VLOOKUP($DF261,$DH$9:$DN$508,4,FALSE()))</f>
        <v/>
      </c>
      <c r="DS261" s="86" t="str">
        <f aca="false">IF($DF261&gt;$DE$8,"",VLOOKUP($DF261,$DH$9:$DN$508,5,FALSE()))</f>
        <v/>
      </c>
      <c r="DT261" s="87" t="str">
        <f aca="false">IF($DF261&gt;$DE$8,"",VLOOKUP($DF261,$DH$9:$DN$508,6,FALSE()))</f>
        <v/>
      </c>
      <c r="DU261" s="62"/>
    </row>
    <row r="262" customFormat="false" ht="15.75" hidden="false" customHeight="false" outlineLevel="0" collapsed="false">
      <c r="A262" s="7"/>
      <c r="B262" s="64"/>
      <c r="C262" s="65"/>
      <c r="D262" s="123"/>
      <c r="E262" s="88"/>
      <c r="F262" s="134"/>
      <c r="G262" s="88"/>
      <c r="H262" s="134"/>
      <c r="I262" s="119"/>
      <c r="J262" s="119"/>
      <c r="K262" s="119"/>
      <c r="L262" s="88"/>
      <c r="M262" s="88"/>
      <c r="N262" s="88"/>
      <c r="O262" s="134"/>
      <c r="P262" s="88"/>
      <c r="Q262" s="88"/>
      <c r="R262" s="88"/>
      <c r="S262" s="88"/>
      <c r="T262" s="134"/>
      <c r="U262" s="88"/>
      <c r="V262" s="70"/>
      <c r="W262" s="88"/>
      <c r="X262" s="88"/>
      <c r="Y262" s="70"/>
      <c r="Z262" s="70"/>
      <c r="AA262" s="88"/>
      <c r="AB262" s="88"/>
      <c r="AC262" s="71"/>
      <c r="AD262" s="88"/>
      <c r="AE262" s="73"/>
      <c r="AF262" s="74"/>
      <c r="AG262" s="74"/>
      <c r="AH262" s="74" t="str">
        <f aca="false">IF(ISBLANK($C262),"",IF($E262=Constants!$B$2,TRUE(),IF($E262=Constants!$B$3,FALSE(),TRUE())))</f>
        <v/>
      </c>
      <c r="AI262" s="74" t="str">
        <f aca="false">IF(ISBLANK($C262),"",IF($F262=Constants!$B$2,TRUE(),IF($F262=Constants!$B$3,FALSE(),FALSE())))</f>
        <v/>
      </c>
      <c r="AJ262" s="74" t="str">
        <f aca="false">IF(ISBLANK($C262),"",IF($G262=Constants!$B$2,TRUE(),IF($G262=Constants!$B$3,FALSE(),TRUE())))</f>
        <v/>
      </c>
      <c r="AK262" s="74" t="str">
        <f aca="false">IF(ISBLANK($C262),"",IF($H262=Constants!$B$2,TRUE(),IF($H262=Constants!$B$3,FALSE(),TRUE())))</f>
        <v/>
      </c>
      <c r="AL262" s="74" t="str">
        <f aca="false">IF(ISBLANK($C262),"",IF(ISNUMBER($I262),IF($I262&gt;=0,$I262,""),""))</f>
        <v/>
      </c>
      <c r="AM262" s="74" t="str">
        <f aca="false">IF(ISBLANK($C262),"",IF(ISNUMBER($J262),IF($J262&gt;=0,$J262,""),""))</f>
        <v/>
      </c>
      <c r="AN262" s="74" t="str">
        <f aca="false">IF(ISBLANK($C262),"",IF(ISNUMBER($K262),IF($K262&gt;=0,$K262,""),""))</f>
        <v/>
      </c>
      <c r="AO262" s="74" t="str">
        <f aca="false">IF(ISBLANK($C262),"",IF($L262=Constants!$B$2,TRUE(),IF($L262=Constants!$B$3,FALSE(),TRUE())))</f>
        <v/>
      </c>
      <c r="AP262" s="74" t="str">
        <f aca="false">IF(ISBLANK($C262),"",IF($M262=Constants!$B$2,TRUE(),IF($M262=Constants!$B$3,FALSE(),TRUE())))</f>
        <v/>
      </c>
      <c r="AQ262" s="74" t="str">
        <f aca="false">IF(ISBLANK($C262),"",IF($N262=Constants!$B$2,TRUE(),IF($N262=Constants!$B$3,FALSE(),FALSE())))</f>
        <v/>
      </c>
      <c r="AR262" s="74" t="str">
        <f aca="false">IF(ISBLANK($C262),"",IF($O262=Constants!$B$2,TRUE(),IF($O262=Constants!$B$3,FALSE(),TRUE())))</f>
        <v/>
      </c>
      <c r="AS262" s="74" t="str">
        <f aca="false">IF(ISBLANK($C262),"",IF($P262=Constants!$B$2,TRUE(),IF($P262=Constants!$B$3,FALSE(),FALSE())))</f>
        <v/>
      </c>
      <c r="AT262" s="74" t="str">
        <f aca="false">IF(ISBLANK($C262),"",IF($Q262=Constants!$B$2,TRUE(),IF($Q262=Constants!$B$3,FALSE(),FALSE())))</f>
        <v/>
      </c>
      <c r="AU262" s="74" t="str">
        <f aca="false">IF(ISBLANK($C262),"",IF($R262=Constants!$B$2,TRUE(),IF($R262=Constants!$B$3,FALSE(),FALSE())))</f>
        <v/>
      </c>
      <c r="AV262" s="74" t="str">
        <f aca="false">IF(ISBLANK($C262),"",IF($S262=Constants!$B$2,TRUE(),IF($S262=Constants!$B$3,FALSE(),FALSE())))</f>
        <v/>
      </c>
      <c r="AW262" s="74" t="str">
        <f aca="false">IF(ISBLANK($C262),"",IF($T262=Constants!$B$2,TRUE(),IF($T262=Constants!$B$3,FALSE(),FALSE())))</f>
        <v/>
      </c>
      <c r="AX262" s="74" t="str">
        <f aca="false">IF(ISBLANK($C262),"",IF(OR($U262&amp;""="1",$U262&amp;""="2",$U262&amp;""="3",$U262&amp;""="4"),VALUE($U262&amp;""),IF($U262=Constants!$B$12,Constants!$B$12,"")))</f>
        <v/>
      </c>
      <c r="AY262" s="74" t="str">
        <f aca="false">IF(ISBLANK($C262),"",IF(ISBLANK($V262),0,IF(ISNUMBER($V262),IF(AND($V262&gt;=0,$V262&lt;=Constants!$B$21,$V262=INT($V262)),$V262,""),"")))</f>
        <v/>
      </c>
      <c r="AZ262" s="74" t="str">
        <f aca="false">IF(ISBLANK($C262),"",IF(ISBLANK($W262),0,IF(ISNUMBER($W262),IF($W262&gt;=0,$W262,""),"")))</f>
        <v/>
      </c>
      <c r="BA262" s="74" t="str">
        <f aca="false">IF(ISBLANK($C262),"",IF($X262=Constants!$B$2,TRUE(),IF($X262=Constants!$B$3,FALSE(),TRUE())))</f>
        <v/>
      </c>
      <c r="BB262" s="74" t="str">
        <f aca="false">IF(ISBLANK($C262),"",IF($Y262=Constants!$B$2,TRUE(),IF($Y262=Constants!$B$3,FALSE(),FALSE())))</f>
        <v/>
      </c>
      <c r="BC262" s="74" t="str">
        <f aca="false">IF(ISBLANK($C262),"",IF(ISBLANK($Z262),0,IF(ISNUMBER($Z262),IF(AND($Z262&gt;=0,$Z262&lt;=Constants!$B$35,$Z262=INT($Z262)),$Z262,""),"")))</f>
        <v/>
      </c>
      <c r="BD262" s="74" t="str">
        <f aca="false">IF(ISBLANK($C262),"",IF($AA262=Constants!$B$2,TRUE(),IF($AA262=Constants!$B$3,FALSE(),TRUE())))</f>
        <v/>
      </c>
      <c r="BE262" s="74" t="str">
        <f aca="false">IF(ISBLANK($C262),"",IF($AB262=Constants!$B$2,TRUE(),IF($AB262=Constants!$B$3,FALSE(),TRUE())))</f>
        <v/>
      </c>
      <c r="BF262" s="74" t="str">
        <f aca="false">IF(ISBLANK($C262),"",IF(ISNUMBER($AC262),IF($AC262&gt;=0,$AC262,""),""))</f>
        <v/>
      </c>
      <c r="BG262" s="74" t="str">
        <f aca="false">IF(ISBLANK($C262),"",IF($AD262=Constants!$B$2,TRUE(),IF($AD262=Constants!$B$3,FALSE(),FALSE())))</f>
        <v/>
      </c>
      <c r="BH262" s="73" t="str">
        <f aca="false">IF(ISBLANK($C262),"",IF($BG262,Constants!$B$7,IF(COUNTA($E262:$AC262)=0,Constants!$B$6,IF(OR(COUNTA($G262:$AC262)=0,NOT($AK262),$AQ262),Constants!$B$5,IF(OR($CI262&lt;&gt;"",$CJ262,$CK262,$CL262,$CM262,$CN262,$CO262),Constants!$B$8,Constants!$B$4)))))</f>
        <v/>
      </c>
      <c r="BI262" s="74" t="str">
        <f aca="false">IF(ISBLANK($C262),"",IF($BH262&lt;&gt;Constants!$B$4,$BH262,IF(OR(NOT($AH262),NOT($AJ262),NOT($AR262)),Constants!$B$11,IF(OR(NOT($AP262),MAX($AL262,$AM262,$AN262)&gt;Constants!$B$30),Constants!$B$10,Constants!$B$9))))</f>
        <v/>
      </c>
      <c r="BJ262" s="74" t="str">
        <f aca="false">IF($BH262&lt;&gt;Constants!$B$4,"",IF(NOT($AJ262),0,MIN(Constants!$B$35,$BC262)))</f>
        <v/>
      </c>
      <c r="BK262" s="74" t="str">
        <f aca="false">IF($BH262&lt;&gt;Constants!$B$4,"",IF(NOT($AJ262),0,IF($AT262,Constants!$B$18,IF($AS262,Constants!$B$17,0))))</f>
        <v/>
      </c>
      <c r="BL262" s="74" t="str">
        <f aca="false">IF($BH262&lt;&gt;Constants!$B$4,"",IF(NOT($AJ262),0,Constants!$B$19*($AI262+$AU262+$AV262+$AW262)))</f>
        <v/>
      </c>
      <c r="BM262" s="74" t="str">
        <f aca="false">IF($BH262&lt;&gt;Constants!$B$4,"",IF(OR(NOT($AJ262),NOT(ISNUMBER($AX262))),0,CHOOSE($AX262,Constants!$B$13,Constants!$B$14,Constants!$B$15,Constants!$B$16)))</f>
        <v/>
      </c>
      <c r="BN262" s="74" t="str">
        <f aca="false">IF($BH262&lt;&gt;Constants!$B$4,"",IF(NOT($AJ262),0,Constants!$B$20*$AY262))</f>
        <v/>
      </c>
      <c r="BO262" s="74" t="str">
        <f aca="false">IF($BH262&lt;&gt;Constants!$B$4,"",IF(AND($AJ262,$BA262,$BB262),Constants!$B$22,0))</f>
        <v/>
      </c>
      <c r="BP262" s="74" t="str">
        <f aca="false">IF($BH262&lt;&gt;Constants!$B$4,"",IF(OR(NOT($AJ262),NOT($BA262)),0,IF($BF262&gt;=2*$AF$9,0,Constants!$B$23*INT(ROUND(MIN($BF262,$AF$9),6)))))</f>
        <v/>
      </c>
      <c r="BQ262" s="74" t="str">
        <f aca="false">IF($BH262&lt;&gt;Constants!$B$4,"",IF(NOT($AJ262),0,Constants!$B$24*INT(ROUND(MIN($AZ262,$AF$9),6))))</f>
        <v/>
      </c>
      <c r="BR262" s="74" t="str">
        <f aca="false">IF($BH262&lt;&gt;Constants!$B$4,"",IF(AND($AJ262,$BJ262=0),Constants!$B$25,0))</f>
        <v/>
      </c>
      <c r="BS262" s="74" t="str">
        <f aca="false">IF($BH262&lt;&gt;Constants!$B$4,"",MIN(Constants!$B$29,MAX(0,Constants!$B$27*Constants!$B$28*INT(ROUND((Constants!$B$26-$AL262)/Constants!$B$28,6))))+MIN(Constants!$B$29,MAX(0,Constants!$B$27*Constants!$B$28*INT(ROUND((Constants!$B$26-$AM262)/Constants!$B$28,6))))+MIN(Constants!$B$29,MAX(0,Constants!$B$27*Constants!$B$28*INT(ROUND((Constants!$B$26-$AN262)/Constants!$B$28,6)))))</f>
        <v/>
      </c>
      <c r="BT262" s="74" t="str">
        <f aca="false">IF($BH262&lt;&gt;Constants!$B$4,"",IF(NOT($AJ262),0,Constants!$B$31*INT(ROUND(MAX(0,MIN($BF262,2*$AF$9)-$AF$9),6))))</f>
        <v/>
      </c>
      <c r="BU262" s="74" t="str">
        <f aca="false">IF($BH262&lt;&gt;Constants!$B$4,"",Constants!$B$32*(($AL262&gt;Constants!$B$26)+($AM262&gt;Constants!$B$26)+($AN262&gt;Constants!$B$26)))</f>
        <v/>
      </c>
      <c r="BV262" s="74" t="str">
        <f aca="false">IF($BH262&lt;&gt;Constants!$B$4,"",IF(OR(NOT($AJ262),$AO262),0,Constants!$B$33))</f>
        <v/>
      </c>
      <c r="BW262" s="74" t="str">
        <f aca="false">IF($BH262&lt;&gt;Constants!$B$4,"",Constants!$B$34*$BJ262)</f>
        <v/>
      </c>
      <c r="BX262" s="74" t="str">
        <f aca="false">IF($BH262&lt;&gt;Constants!$B$4,"",IF(OR(NOT($AJ262),$BE262),0,Constants!$B$36))</f>
        <v/>
      </c>
      <c r="BY262" s="74" t="str">
        <f aca="false">IF($BH262&lt;&gt;Constants!$B$4,"",IF(OR(NOT($AJ262),$BD262),0,Constants!$B$37))</f>
        <v/>
      </c>
      <c r="BZ262" s="74" t="str">
        <f aca="false">IF($BH262&lt;&gt;Constants!$B$4,"",SUM($BT262:$BY262))</f>
        <v/>
      </c>
      <c r="CA262" s="74" t="str">
        <f aca="false">IF(ISBLANK($C262),"",IF($BH262&lt;&gt;Constants!$B$4,$BH262,SUM($BK262:$BS262)-$BZ262))</f>
        <v/>
      </c>
      <c r="CB262" s="74" t="str">
        <f aca="false">IF(ISBLANK($C262),"",IF($BH262&lt;&gt;Constants!$B$4,$BH262,RANK($CA262,$CA$9:$CA$508)))</f>
        <v/>
      </c>
      <c r="CC262" s="74" t="str">
        <f aca="false">IF(ISBLANK($C262),"",IF($BH262&lt;&gt;Constants!$B$4,$BH262,COUNTIFS($BI$9:$BI$508,"&lt;"&amp;$BI262)+COUNTIFS($BI$9:$BI$508,$BI262,$CB$9:$CB$508,"&lt;"&amp;$CB262)+1))</f>
        <v/>
      </c>
      <c r="CD262" s="74" t="str">
        <f aca="false">IF(ISBLANK($C262),"",IF($BH262&lt;&gt;Constants!$B$4,$BH262,RANK($BZ262,$BZ$9:$BZ$508,1)))</f>
        <v/>
      </c>
      <c r="CE262" s="74" t="str">
        <f aca="false">IF($BH262&lt;&gt;Constants!$B$4,"",$AL262+$AM262+$AN262)</f>
        <v/>
      </c>
      <c r="CF262" s="74" t="str">
        <f aca="false">IF(ISBLANK($C262),"",IF($BH262&lt;&gt;Constants!$B$4,$BH262,RANK($CE262,$CE$9:$CE$508,1)))</f>
        <v/>
      </c>
      <c r="CG262" s="74" t="str">
        <f aca="false">IF(ISBLANK($C262),"",IF($BH262&lt;&gt;Constants!$B$4,$BH262,COUNTIFS($BI$9:$BI$508,"&lt;"&amp;$BI262)+COUNTIFS($BI$9:$BI$508,$BI262,$CB$9:$CB$508,"&lt;"&amp;$CB262)+COUNTIFS($BI$9:$BI$508,$BI262,$CB$9:$CB$508,$CB262,$CD$9:$CD$508,"&lt;"&amp;$CD262)+COUNTIFS($BI$9:$BI$508,$BI262,$CB$9:$CB$508,$CB262,$CD$9:$CD$508,$CD262,$CF$9:$CF$508,"&lt;"&amp;$CF262)+1))</f>
        <v/>
      </c>
      <c r="CH262" s="74" t="str">
        <f aca="false">IF(ISBLANK($C262),"",IF($BH262&lt;&gt;Constants!$B$4,$BH262,$CC262-$CG262))</f>
        <v/>
      </c>
      <c r="CI262" s="74" t="str">
        <f aca="false">IF(ISBLANK($C262),"",IF(NOT($AJ262),"",IF(ISBLANK($D$7),$CI$5,IF(NOT(ISNUMBER($D$7)),$CI$6,""))))</f>
        <v/>
      </c>
      <c r="CJ262" s="74" t="str">
        <f aca="false">IF(ISBLANK($C262),"",OR($AL262="",$AM262="",$AN262=""))</f>
        <v/>
      </c>
      <c r="CK262" s="74" t="str">
        <f aca="false">IF(ISBLANK($C262),"",AND($AJ262,$AX262=""))</f>
        <v/>
      </c>
      <c r="CL262" s="74" t="str">
        <f aca="false">IF(ISBLANK($C262),"",AND($AJ262,$AY262=""))</f>
        <v/>
      </c>
      <c r="CM262" s="74" t="str">
        <f aca="false">IF(ISBLANK($C262),"",AND($AJ262,$AZ262=""))</f>
        <v/>
      </c>
      <c r="CN262" s="74" t="str">
        <f aca="false">IF(ISBLANK($C262),"",AND($AJ262,$BC262=""))</f>
        <v/>
      </c>
      <c r="CO262" s="74" t="str">
        <f aca="false">IF(ISBLANK($C262),"",AND($AJ262,$BF262=""))</f>
        <v/>
      </c>
      <c r="CP262" s="75"/>
      <c r="CQ262" s="76"/>
      <c r="CR262" s="79" t="str">
        <f aca="false">IF(ISBLANK($C262),"",IF($BH262=Constants!$B$8,$CI262,""))</f>
        <v/>
      </c>
      <c r="CS262" s="76" t="str">
        <f aca="false">IF(ISBLANK($C262),"",IF($BH262&lt;&gt;Constants!$B$4,"",$BK262+$BL262))</f>
        <v/>
      </c>
      <c r="CT262" s="78" t="str">
        <f aca="false">IF(ISBLANK($C262),"",IF($BH262&lt;&gt;Constants!$B$4,"",$BM262+$BN262+$BO262))</f>
        <v/>
      </c>
      <c r="CU262" s="78" t="str">
        <f aca="false">IF(ISBLANK($C262),"",IF($BH262&lt;&gt;Constants!$B$4,"",$BP262))</f>
        <v/>
      </c>
      <c r="CV262" s="78" t="str">
        <f aca="false">IF(ISBLANK($C262),"",IF($BH262&lt;&gt;Constants!$B$4,"",$BQ262+$BR262))</f>
        <v/>
      </c>
      <c r="CW262" s="78" t="str">
        <f aca="false">IF(ISBLANK($C262),"",IF($BH262&lt;&gt;Constants!$B$4,"",$BS262))</f>
        <v/>
      </c>
      <c r="CX262" s="78" t="str">
        <f aca="false">IF(ISBLANK($C262),"",IF($BH262&lt;&gt;Constants!$B$4,"",-$BZ262))</f>
        <v/>
      </c>
      <c r="CY262" s="79" t="str">
        <f aca="false">IF(ISBLANK($C262),"",$CA262)</f>
        <v/>
      </c>
      <c r="CZ262" s="80" t="str">
        <f aca="false">IF(ISBLANK($C262),"",$BI262)</f>
        <v/>
      </c>
      <c r="DA262" s="78" t="str">
        <f aca="false">IF(ISBLANK($C262),"",$CH262)</f>
        <v/>
      </c>
      <c r="DB262" s="78" t="str">
        <f aca="false">IF(ISBLANK($C262),"",$CG262)</f>
        <v/>
      </c>
      <c r="DC262" s="81" t="str">
        <f aca="false">IF(ISBLANK($C262),"",IFERROR(_xlfn.SWITCH($DB262,Constants!$B$7,COUNTA($C$9:$C$508)+2,Constants!$B$6,COUNTA($C$9:$C$508)+1,Constants!$B$5,COUNTA($C$9:$C$508)),$DB262))</f>
        <v/>
      </c>
      <c r="DD262" s="7"/>
      <c r="DE262" s="82" t="n">
        <f aca="false">IF(OR(ISNUMBER($DB262),$DB262=Constants!$B$7,$DB262=Constants!$B$5,$DB262=Constants!$B$6),1,0)</f>
        <v>0</v>
      </c>
      <c r="DF262" s="82" t="n">
        <v>254</v>
      </c>
      <c r="DG262" s="82" t="str">
        <f aca="false">IF(ISBLANK($C262),"",IF(ISNUMBER($DC262),$DC262+ROW($B262)/1000,""))</f>
        <v/>
      </c>
      <c r="DH262" s="82" t="str">
        <f aca="false">IF(ISNUMBER($DG262),RANK($DG262,$DG$9:$DG$508,1),"")</f>
        <v/>
      </c>
      <c r="DI262" s="82" t="str">
        <f aca="false">IF(ISBLANK($C262),"",$B262)</f>
        <v/>
      </c>
      <c r="DJ262" s="82" t="str">
        <f aca="false">IF(ISBLANK($C262),"",$C262)</f>
        <v/>
      </c>
      <c r="DK262" s="82" t="str">
        <f aca="false">IF(ISBLANK($C262),"",$D262)</f>
        <v/>
      </c>
      <c r="DL262" s="83" t="str">
        <f aca="false">$CZ262</f>
        <v/>
      </c>
      <c r="DM262" s="84" t="str">
        <f aca="false">$CY262</f>
        <v/>
      </c>
      <c r="DN262" s="82" t="str">
        <f aca="false">IF(ISBLANK($C262),"",$DB262)</f>
        <v/>
      </c>
      <c r="DO262" s="85" t="str">
        <f aca="false">IF($DF262&gt;$DE$8,"",VLOOKUP($DF262,$DH$9:$DN$508,7,FALSE()))</f>
        <v/>
      </c>
      <c r="DP262" s="86" t="str">
        <f aca="false">IF($DF262&gt;$DE$8,"",VLOOKUP($DF262,$DH$9:$DN$508,2,FALSE()))</f>
        <v/>
      </c>
      <c r="DQ262" s="86" t="str">
        <f aca="false">IF($DF262&gt;$DE$8,"",VLOOKUP($DF262,$DH$9:$DN$508,3,FALSE()))</f>
        <v/>
      </c>
      <c r="DR262" s="86" t="str">
        <f aca="false">IF($DF262&gt;$DE$8,"",VLOOKUP($DF262,$DH$9:$DN$508,4,FALSE()))</f>
        <v/>
      </c>
      <c r="DS262" s="86" t="str">
        <f aca="false">IF($DF262&gt;$DE$8,"",VLOOKUP($DF262,$DH$9:$DN$508,5,FALSE()))</f>
        <v/>
      </c>
      <c r="DT262" s="87" t="str">
        <f aca="false">IF($DF262&gt;$DE$8,"",VLOOKUP($DF262,$DH$9:$DN$508,6,FALSE()))</f>
        <v/>
      </c>
      <c r="DU262" s="62"/>
    </row>
    <row r="263" customFormat="false" ht="15.75" hidden="false" customHeight="false" outlineLevel="0" collapsed="false">
      <c r="A263" s="7"/>
      <c r="B263" s="64"/>
      <c r="C263" s="65"/>
      <c r="D263" s="123"/>
      <c r="E263" s="88"/>
      <c r="F263" s="134"/>
      <c r="G263" s="88"/>
      <c r="H263" s="134"/>
      <c r="I263" s="119"/>
      <c r="J263" s="119"/>
      <c r="K263" s="119"/>
      <c r="L263" s="88"/>
      <c r="M263" s="88"/>
      <c r="N263" s="88"/>
      <c r="O263" s="134"/>
      <c r="P263" s="88"/>
      <c r="Q263" s="88"/>
      <c r="R263" s="88"/>
      <c r="S263" s="88"/>
      <c r="T263" s="134"/>
      <c r="U263" s="88"/>
      <c r="V263" s="70"/>
      <c r="W263" s="88"/>
      <c r="X263" s="88"/>
      <c r="Y263" s="70"/>
      <c r="Z263" s="70"/>
      <c r="AA263" s="88"/>
      <c r="AB263" s="88"/>
      <c r="AC263" s="71"/>
      <c r="AD263" s="88"/>
      <c r="AE263" s="73"/>
      <c r="AF263" s="74"/>
      <c r="AG263" s="74"/>
      <c r="AH263" s="74" t="str">
        <f aca="false">IF(ISBLANK($C263),"",IF($E263=Constants!$B$2,TRUE(),IF($E263=Constants!$B$3,FALSE(),TRUE())))</f>
        <v/>
      </c>
      <c r="AI263" s="74" t="str">
        <f aca="false">IF(ISBLANK($C263),"",IF($F263=Constants!$B$2,TRUE(),IF($F263=Constants!$B$3,FALSE(),FALSE())))</f>
        <v/>
      </c>
      <c r="AJ263" s="74" t="str">
        <f aca="false">IF(ISBLANK($C263),"",IF($G263=Constants!$B$2,TRUE(),IF($G263=Constants!$B$3,FALSE(),TRUE())))</f>
        <v/>
      </c>
      <c r="AK263" s="74" t="str">
        <f aca="false">IF(ISBLANK($C263),"",IF($H263=Constants!$B$2,TRUE(),IF($H263=Constants!$B$3,FALSE(),TRUE())))</f>
        <v/>
      </c>
      <c r="AL263" s="74" t="str">
        <f aca="false">IF(ISBLANK($C263),"",IF(ISNUMBER($I263),IF($I263&gt;=0,$I263,""),""))</f>
        <v/>
      </c>
      <c r="AM263" s="74" t="str">
        <f aca="false">IF(ISBLANK($C263),"",IF(ISNUMBER($J263),IF($J263&gt;=0,$J263,""),""))</f>
        <v/>
      </c>
      <c r="AN263" s="74" t="str">
        <f aca="false">IF(ISBLANK($C263),"",IF(ISNUMBER($K263),IF($K263&gt;=0,$K263,""),""))</f>
        <v/>
      </c>
      <c r="AO263" s="74" t="str">
        <f aca="false">IF(ISBLANK($C263),"",IF($L263=Constants!$B$2,TRUE(),IF($L263=Constants!$B$3,FALSE(),TRUE())))</f>
        <v/>
      </c>
      <c r="AP263" s="74" t="str">
        <f aca="false">IF(ISBLANK($C263),"",IF($M263=Constants!$B$2,TRUE(),IF($M263=Constants!$B$3,FALSE(),TRUE())))</f>
        <v/>
      </c>
      <c r="AQ263" s="74" t="str">
        <f aca="false">IF(ISBLANK($C263),"",IF($N263=Constants!$B$2,TRUE(),IF($N263=Constants!$B$3,FALSE(),FALSE())))</f>
        <v/>
      </c>
      <c r="AR263" s="74" t="str">
        <f aca="false">IF(ISBLANK($C263),"",IF($O263=Constants!$B$2,TRUE(),IF($O263=Constants!$B$3,FALSE(),TRUE())))</f>
        <v/>
      </c>
      <c r="AS263" s="74" t="str">
        <f aca="false">IF(ISBLANK($C263),"",IF($P263=Constants!$B$2,TRUE(),IF($P263=Constants!$B$3,FALSE(),FALSE())))</f>
        <v/>
      </c>
      <c r="AT263" s="74" t="str">
        <f aca="false">IF(ISBLANK($C263),"",IF($Q263=Constants!$B$2,TRUE(),IF($Q263=Constants!$B$3,FALSE(),FALSE())))</f>
        <v/>
      </c>
      <c r="AU263" s="74" t="str">
        <f aca="false">IF(ISBLANK($C263),"",IF($R263=Constants!$B$2,TRUE(),IF($R263=Constants!$B$3,FALSE(),FALSE())))</f>
        <v/>
      </c>
      <c r="AV263" s="74" t="str">
        <f aca="false">IF(ISBLANK($C263),"",IF($S263=Constants!$B$2,TRUE(),IF($S263=Constants!$B$3,FALSE(),FALSE())))</f>
        <v/>
      </c>
      <c r="AW263" s="74" t="str">
        <f aca="false">IF(ISBLANK($C263),"",IF($T263=Constants!$B$2,TRUE(),IF($T263=Constants!$B$3,FALSE(),FALSE())))</f>
        <v/>
      </c>
      <c r="AX263" s="74" t="str">
        <f aca="false">IF(ISBLANK($C263),"",IF(OR($U263&amp;""="1",$U263&amp;""="2",$U263&amp;""="3",$U263&amp;""="4"),VALUE($U263&amp;""),IF($U263=Constants!$B$12,Constants!$B$12,"")))</f>
        <v/>
      </c>
      <c r="AY263" s="74" t="str">
        <f aca="false">IF(ISBLANK($C263),"",IF(ISBLANK($V263),0,IF(ISNUMBER($V263),IF(AND($V263&gt;=0,$V263&lt;=Constants!$B$21,$V263=INT($V263)),$V263,""),"")))</f>
        <v/>
      </c>
      <c r="AZ263" s="74" t="str">
        <f aca="false">IF(ISBLANK($C263),"",IF(ISBLANK($W263),0,IF(ISNUMBER($W263),IF($W263&gt;=0,$W263,""),"")))</f>
        <v/>
      </c>
      <c r="BA263" s="74" t="str">
        <f aca="false">IF(ISBLANK($C263),"",IF($X263=Constants!$B$2,TRUE(),IF($X263=Constants!$B$3,FALSE(),TRUE())))</f>
        <v/>
      </c>
      <c r="BB263" s="74" t="str">
        <f aca="false">IF(ISBLANK($C263),"",IF($Y263=Constants!$B$2,TRUE(),IF($Y263=Constants!$B$3,FALSE(),FALSE())))</f>
        <v/>
      </c>
      <c r="BC263" s="74" t="str">
        <f aca="false">IF(ISBLANK($C263),"",IF(ISBLANK($Z263),0,IF(ISNUMBER($Z263),IF(AND($Z263&gt;=0,$Z263&lt;=Constants!$B$35,$Z263=INT($Z263)),$Z263,""),"")))</f>
        <v/>
      </c>
      <c r="BD263" s="74" t="str">
        <f aca="false">IF(ISBLANK($C263),"",IF($AA263=Constants!$B$2,TRUE(),IF($AA263=Constants!$B$3,FALSE(),TRUE())))</f>
        <v/>
      </c>
      <c r="BE263" s="74" t="str">
        <f aca="false">IF(ISBLANK($C263),"",IF($AB263=Constants!$B$2,TRUE(),IF($AB263=Constants!$B$3,FALSE(),TRUE())))</f>
        <v/>
      </c>
      <c r="BF263" s="74" t="str">
        <f aca="false">IF(ISBLANK($C263),"",IF(ISNUMBER($AC263),IF($AC263&gt;=0,$AC263,""),""))</f>
        <v/>
      </c>
      <c r="BG263" s="74" t="str">
        <f aca="false">IF(ISBLANK($C263),"",IF($AD263=Constants!$B$2,TRUE(),IF($AD263=Constants!$B$3,FALSE(),FALSE())))</f>
        <v/>
      </c>
      <c r="BH263" s="73" t="str">
        <f aca="false">IF(ISBLANK($C263),"",IF($BG263,Constants!$B$7,IF(COUNTA($E263:$AC263)=0,Constants!$B$6,IF(OR(COUNTA($G263:$AC263)=0,NOT($AK263),$AQ263),Constants!$B$5,IF(OR($CI263&lt;&gt;"",$CJ263,$CK263,$CL263,$CM263,$CN263,$CO263),Constants!$B$8,Constants!$B$4)))))</f>
        <v/>
      </c>
      <c r="BI263" s="74" t="str">
        <f aca="false">IF(ISBLANK($C263),"",IF($BH263&lt;&gt;Constants!$B$4,$BH263,IF(OR(NOT($AH263),NOT($AJ263),NOT($AR263)),Constants!$B$11,IF(OR(NOT($AP263),MAX($AL263,$AM263,$AN263)&gt;Constants!$B$30),Constants!$B$10,Constants!$B$9))))</f>
        <v/>
      </c>
      <c r="BJ263" s="74" t="str">
        <f aca="false">IF($BH263&lt;&gt;Constants!$B$4,"",IF(NOT($AJ263),0,MIN(Constants!$B$35,$BC263)))</f>
        <v/>
      </c>
      <c r="BK263" s="74" t="str">
        <f aca="false">IF($BH263&lt;&gt;Constants!$B$4,"",IF(NOT($AJ263),0,IF($AT263,Constants!$B$18,IF($AS263,Constants!$B$17,0))))</f>
        <v/>
      </c>
      <c r="BL263" s="74" t="str">
        <f aca="false">IF($BH263&lt;&gt;Constants!$B$4,"",IF(NOT($AJ263),0,Constants!$B$19*($AI263+$AU263+$AV263+$AW263)))</f>
        <v/>
      </c>
      <c r="BM263" s="74" t="str">
        <f aca="false">IF($BH263&lt;&gt;Constants!$B$4,"",IF(OR(NOT($AJ263),NOT(ISNUMBER($AX263))),0,CHOOSE($AX263,Constants!$B$13,Constants!$B$14,Constants!$B$15,Constants!$B$16)))</f>
        <v/>
      </c>
      <c r="BN263" s="74" t="str">
        <f aca="false">IF($BH263&lt;&gt;Constants!$B$4,"",IF(NOT($AJ263),0,Constants!$B$20*$AY263))</f>
        <v/>
      </c>
      <c r="BO263" s="74" t="str">
        <f aca="false">IF($BH263&lt;&gt;Constants!$B$4,"",IF(AND($AJ263,$BA263,$BB263),Constants!$B$22,0))</f>
        <v/>
      </c>
      <c r="BP263" s="74" t="str">
        <f aca="false">IF($BH263&lt;&gt;Constants!$B$4,"",IF(OR(NOT($AJ263),NOT($BA263)),0,IF($BF263&gt;=2*$AF$9,0,Constants!$B$23*INT(ROUND(MIN($BF263,$AF$9),6)))))</f>
        <v/>
      </c>
      <c r="BQ263" s="74" t="str">
        <f aca="false">IF($BH263&lt;&gt;Constants!$B$4,"",IF(NOT($AJ263),0,Constants!$B$24*INT(ROUND(MIN($AZ263,$AF$9),6))))</f>
        <v/>
      </c>
      <c r="BR263" s="74" t="str">
        <f aca="false">IF($BH263&lt;&gt;Constants!$B$4,"",IF(AND($AJ263,$BJ263=0),Constants!$B$25,0))</f>
        <v/>
      </c>
      <c r="BS263" s="74" t="str">
        <f aca="false">IF($BH263&lt;&gt;Constants!$B$4,"",MIN(Constants!$B$29,MAX(0,Constants!$B$27*Constants!$B$28*INT(ROUND((Constants!$B$26-$AL263)/Constants!$B$28,6))))+MIN(Constants!$B$29,MAX(0,Constants!$B$27*Constants!$B$28*INT(ROUND((Constants!$B$26-$AM263)/Constants!$B$28,6))))+MIN(Constants!$B$29,MAX(0,Constants!$B$27*Constants!$B$28*INT(ROUND((Constants!$B$26-$AN263)/Constants!$B$28,6)))))</f>
        <v/>
      </c>
      <c r="BT263" s="74" t="str">
        <f aca="false">IF($BH263&lt;&gt;Constants!$B$4,"",IF(NOT($AJ263),0,Constants!$B$31*INT(ROUND(MAX(0,MIN($BF263,2*$AF$9)-$AF$9),6))))</f>
        <v/>
      </c>
      <c r="BU263" s="74" t="str">
        <f aca="false">IF($BH263&lt;&gt;Constants!$B$4,"",Constants!$B$32*(($AL263&gt;Constants!$B$26)+($AM263&gt;Constants!$B$26)+($AN263&gt;Constants!$B$26)))</f>
        <v/>
      </c>
      <c r="BV263" s="74" t="str">
        <f aca="false">IF($BH263&lt;&gt;Constants!$B$4,"",IF(OR(NOT($AJ263),$AO263),0,Constants!$B$33))</f>
        <v/>
      </c>
      <c r="BW263" s="74" t="str">
        <f aca="false">IF($BH263&lt;&gt;Constants!$B$4,"",Constants!$B$34*$BJ263)</f>
        <v/>
      </c>
      <c r="BX263" s="74" t="str">
        <f aca="false">IF($BH263&lt;&gt;Constants!$B$4,"",IF(OR(NOT($AJ263),$BE263),0,Constants!$B$36))</f>
        <v/>
      </c>
      <c r="BY263" s="74" t="str">
        <f aca="false">IF($BH263&lt;&gt;Constants!$B$4,"",IF(OR(NOT($AJ263),$BD263),0,Constants!$B$37))</f>
        <v/>
      </c>
      <c r="BZ263" s="74" t="str">
        <f aca="false">IF($BH263&lt;&gt;Constants!$B$4,"",SUM($BT263:$BY263))</f>
        <v/>
      </c>
      <c r="CA263" s="74" t="str">
        <f aca="false">IF(ISBLANK($C263),"",IF($BH263&lt;&gt;Constants!$B$4,$BH263,SUM($BK263:$BS263)-$BZ263))</f>
        <v/>
      </c>
      <c r="CB263" s="74" t="str">
        <f aca="false">IF(ISBLANK($C263),"",IF($BH263&lt;&gt;Constants!$B$4,$BH263,RANK($CA263,$CA$9:$CA$508)))</f>
        <v/>
      </c>
      <c r="CC263" s="74" t="str">
        <f aca="false">IF(ISBLANK($C263),"",IF($BH263&lt;&gt;Constants!$B$4,$BH263,COUNTIFS($BI$9:$BI$508,"&lt;"&amp;$BI263)+COUNTIFS($BI$9:$BI$508,$BI263,$CB$9:$CB$508,"&lt;"&amp;$CB263)+1))</f>
        <v/>
      </c>
      <c r="CD263" s="74" t="str">
        <f aca="false">IF(ISBLANK($C263),"",IF($BH263&lt;&gt;Constants!$B$4,$BH263,RANK($BZ263,$BZ$9:$BZ$508,1)))</f>
        <v/>
      </c>
      <c r="CE263" s="74" t="str">
        <f aca="false">IF($BH263&lt;&gt;Constants!$B$4,"",$AL263+$AM263+$AN263)</f>
        <v/>
      </c>
      <c r="CF263" s="74" t="str">
        <f aca="false">IF(ISBLANK($C263),"",IF($BH263&lt;&gt;Constants!$B$4,$BH263,RANK($CE263,$CE$9:$CE$508,1)))</f>
        <v/>
      </c>
      <c r="CG263" s="74" t="str">
        <f aca="false">IF(ISBLANK($C263),"",IF($BH263&lt;&gt;Constants!$B$4,$BH263,COUNTIFS($BI$9:$BI$508,"&lt;"&amp;$BI263)+COUNTIFS($BI$9:$BI$508,$BI263,$CB$9:$CB$508,"&lt;"&amp;$CB263)+COUNTIFS($BI$9:$BI$508,$BI263,$CB$9:$CB$508,$CB263,$CD$9:$CD$508,"&lt;"&amp;$CD263)+COUNTIFS($BI$9:$BI$508,$BI263,$CB$9:$CB$508,$CB263,$CD$9:$CD$508,$CD263,$CF$9:$CF$508,"&lt;"&amp;$CF263)+1))</f>
        <v/>
      </c>
      <c r="CH263" s="74" t="str">
        <f aca="false">IF(ISBLANK($C263),"",IF($BH263&lt;&gt;Constants!$B$4,$BH263,$CC263-$CG263))</f>
        <v/>
      </c>
      <c r="CI263" s="74" t="str">
        <f aca="false">IF(ISBLANK($C263),"",IF(NOT($AJ263),"",IF(ISBLANK($D$7),$CI$5,IF(NOT(ISNUMBER($D$7)),$CI$6,""))))</f>
        <v/>
      </c>
      <c r="CJ263" s="74" t="str">
        <f aca="false">IF(ISBLANK($C263),"",OR($AL263="",$AM263="",$AN263=""))</f>
        <v/>
      </c>
      <c r="CK263" s="74" t="str">
        <f aca="false">IF(ISBLANK($C263),"",AND($AJ263,$AX263=""))</f>
        <v/>
      </c>
      <c r="CL263" s="74" t="str">
        <f aca="false">IF(ISBLANK($C263),"",AND($AJ263,$AY263=""))</f>
        <v/>
      </c>
      <c r="CM263" s="74" t="str">
        <f aca="false">IF(ISBLANK($C263),"",AND($AJ263,$AZ263=""))</f>
        <v/>
      </c>
      <c r="CN263" s="74" t="str">
        <f aca="false">IF(ISBLANK($C263),"",AND($AJ263,$BC263=""))</f>
        <v/>
      </c>
      <c r="CO263" s="74" t="str">
        <f aca="false">IF(ISBLANK($C263),"",AND($AJ263,$BF263=""))</f>
        <v/>
      </c>
      <c r="CP263" s="75"/>
      <c r="CQ263" s="76"/>
      <c r="CR263" s="79" t="str">
        <f aca="false">IF(ISBLANK($C263),"",IF($BH263=Constants!$B$8,$CI263,""))</f>
        <v/>
      </c>
      <c r="CS263" s="76" t="str">
        <f aca="false">IF(ISBLANK($C263),"",IF($BH263&lt;&gt;Constants!$B$4,"",$BK263+$BL263))</f>
        <v/>
      </c>
      <c r="CT263" s="78" t="str">
        <f aca="false">IF(ISBLANK($C263),"",IF($BH263&lt;&gt;Constants!$B$4,"",$BM263+$BN263+$BO263))</f>
        <v/>
      </c>
      <c r="CU263" s="78" t="str">
        <f aca="false">IF(ISBLANK($C263),"",IF($BH263&lt;&gt;Constants!$B$4,"",$BP263))</f>
        <v/>
      </c>
      <c r="CV263" s="78" t="str">
        <f aca="false">IF(ISBLANK($C263),"",IF($BH263&lt;&gt;Constants!$B$4,"",$BQ263+$BR263))</f>
        <v/>
      </c>
      <c r="CW263" s="78" t="str">
        <f aca="false">IF(ISBLANK($C263),"",IF($BH263&lt;&gt;Constants!$B$4,"",$BS263))</f>
        <v/>
      </c>
      <c r="CX263" s="78" t="str">
        <f aca="false">IF(ISBLANK($C263),"",IF($BH263&lt;&gt;Constants!$B$4,"",-$BZ263))</f>
        <v/>
      </c>
      <c r="CY263" s="79" t="str">
        <f aca="false">IF(ISBLANK($C263),"",$CA263)</f>
        <v/>
      </c>
      <c r="CZ263" s="80" t="str">
        <f aca="false">IF(ISBLANK($C263),"",$BI263)</f>
        <v/>
      </c>
      <c r="DA263" s="78" t="str">
        <f aca="false">IF(ISBLANK($C263),"",$CH263)</f>
        <v/>
      </c>
      <c r="DB263" s="78" t="str">
        <f aca="false">IF(ISBLANK($C263),"",$CG263)</f>
        <v/>
      </c>
      <c r="DC263" s="81" t="str">
        <f aca="false">IF(ISBLANK($C263),"",IFERROR(_xlfn.SWITCH($DB263,Constants!$B$7,COUNTA($C$9:$C$508)+2,Constants!$B$6,COUNTA($C$9:$C$508)+1,Constants!$B$5,COUNTA($C$9:$C$508)),$DB263))</f>
        <v/>
      </c>
      <c r="DD263" s="7"/>
      <c r="DE263" s="82" t="n">
        <f aca="false">IF(OR(ISNUMBER($DB263),$DB263=Constants!$B$7,$DB263=Constants!$B$5,$DB263=Constants!$B$6),1,0)</f>
        <v>0</v>
      </c>
      <c r="DF263" s="82" t="n">
        <v>255</v>
      </c>
      <c r="DG263" s="82" t="str">
        <f aca="false">IF(ISBLANK($C263),"",IF(ISNUMBER($DC263),$DC263+ROW($B263)/1000,""))</f>
        <v/>
      </c>
      <c r="DH263" s="82" t="str">
        <f aca="false">IF(ISNUMBER($DG263),RANK($DG263,$DG$9:$DG$508,1),"")</f>
        <v/>
      </c>
      <c r="DI263" s="82" t="str">
        <f aca="false">IF(ISBLANK($C263),"",$B263)</f>
        <v/>
      </c>
      <c r="DJ263" s="82" t="str">
        <f aca="false">IF(ISBLANK($C263),"",$C263)</f>
        <v/>
      </c>
      <c r="DK263" s="82" t="str">
        <f aca="false">IF(ISBLANK($C263),"",$D263)</f>
        <v/>
      </c>
      <c r="DL263" s="83" t="str">
        <f aca="false">$CZ263</f>
        <v/>
      </c>
      <c r="DM263" s="84" t="str">
        <f aca="false">$CY263</f>
        <v/>
      </c>
      <c r="DN263" s="82" t="str">
        <f aca="false">IF(ISBLANK($C263),"",$DB263)</f>
        <v/>
      </c>
      <c r="DO263" s="85" t="str">
        <f aca="false">IF($DF263&gt;$DE$8,"",VLOOKUP($DF263,$DH$9:$DN$508,7,FALSE()))</f>
        <v/>
      </c>
      <c r="DP263" s="86" t="str">
        <f aca="false">IF($DF263&gt;$DE$8,"",VLOOKUP($DF263,$DH$9:$DN$508,2,FALSE()))</f>
        <v/>
      </c>
      <c r="DQ263" s="86" t="str">
        <f aca="false">IF($DF263&gt;$DE$8,"",VLOOKUP($DF263,$DH$9:$DN$508,3,FALSE()))</f>
        <v/>
      </c>
      <c r="DR263" s="86" t="str">
        <f aca="false">IF($DF263&gt;$DE$8,"",VLOOKUP($DF263,$DH$9:$DN$508,4,FALSE()))</f>
        <v/>
      </c>
      <c r="DS263" s="86" t="str">
        <f aca="false">IF($DF263&gt;$DE$8,"",VLOOKUP($DF263,$DH$9:$DN$508,5,FALSE()))</f>
        <v/>
      </c>
      <c r="DT263" s="87" t="str">
        <f aca="false">IF($DF263&gt;$DE$8,"",VLOOKUP($DF263,$DH$9:$DN$508,6,FALSE()))</f>
        <v/>
      </c>
      <c r="DU263" s="62"/>
    </row>
    <row r="264" customFormat="false" ht="15.75" hidden="false" customHeight="false" outlineLevel="0" collapsed="false">
      <c r="A264" s="7"/>
      <c r="B264" s="90"/>
      <c r="C264" s="91"/>
      <c r="D264" s="126"/>
      <c r="E264" s="130"/>
      <c r="F264" s="135"/>
      <c r="G264" s="130"/>
      <c r="H264" s="135"/>
      <c r="I264" s="131"/>
      <c r="J264" s="131"/>
      <c r="K264" s="131"/>
      <c r="L264" s="130"/>
      <c r="M264" s="130"/>
      <c r="N264" s="130"/>
      <c r="O264" s="135"/>
      <c r="P264" s="130"/>
      <c r="Q264" s="130"/>
      <c r="R264" s="130"/>
      <c r="S264" s="130"/>
      <c r="T264" s="135"/>
      <c r="U264" s="130"/>
      <c r="V264" s="96"/>
      <c r="W264" s="130"/>
      <c r="X264" s="130"/>
      <c r="Y264" s="96"/>
      <c r="Z264" s="96"/>
      <c r="AA264" s="130"/>
      <c r="AB264" s="130"/>
      <c r="AC264" s="97"/>
      <c r="AD264" s="130"/>
      <c r="AE264" s="99"/>
      <c r="AF264" s="100"/>
      <c r="AG264" s="100"/>
      <c r="AH264" s="100" t="str">
        <f aca="false">IF(ISBLANK($C264),"",IF($E264=Constants!$B$2,TRUE(),IF($E264=Constants!$B$3,FALSE(),TRUE())))</f>
        <v/>
      </c>
      <c r="AI264" s="100" t="str">
        <f aca="false">IF(ISBLANK($C264),"",IF($F264=Constants!$B$2,TRUE(),IF($F264=Constants!$B$3,FALSE(),FALSE())))</f>
        <v/>
      </c>
      <c r="AJ264" s="100" t="str">
        <f aca="false">IF(ISBLANK($C264),"",IF($G264=Constants!$B$2,TRUE(),IF($G264=Constants!$B$3,FALSE(),TRUE())))</f>
        <v/>
      </c>
      <c r="AK264" s="100" t="str">
        <f aca="false">IF(ISBLANK($C264),"",IF($H264=Constants!$B$2,TRUE(),IF($H264=Constants!$B$3,FALSE(),TRUE())))</f>
        <v/>
      </c>
      <c r="AL264" s="100" t="str">
        <f aca="false">IF(ISBLANK($C264),"",IF(ISNUMBER($I264),IF($I264&gt;=0,$I264,""),""))</f>
        <v/>
      </c>
      <c r="AM264" s="100" t="str">
        <f aca="false">IF(ISBLANK($C264),"",IF(ISNUMBER($J264),IF($J264&gt;=0,$J264,""),""))</f>
        <v/>
      </c>
      <c r="AN264" s="100" t="str">
        <f aca="false">IF(ISBLANK($C264),"",IF(ISNUMBER($K264),IF($K264&gt;=0,$K264,""),""))</f>
        <v/>
      </c>
      <c r="AO264" s="100" t="str">
        <f aca="false">IF(ISBLANK($C264),"",IF($L264=Constants!$B$2,TRUE(),IF($L264=Constants!$B$3,FALSE(),TRUE())))</f>
        <v/>
      </c>
      <c r="AP264" s="100" t="str">
        <f aca="false">IF(ISBLANK($C264),"",IF($M264=Constants!$B$2,TRUE(),IF($M264=Constants!$B$3,FALSE(),TRUE())))</f>
        <v/>
      </c>
      <c r="AQ264" s="100" t="str">
        <f aca="false">IF(ISBLANK($C264),"",IF($N264=Constants!$B$2,TRUE(),IF($N264=Constants!$B$3,FALSE(),FALSE())))</f>
        <v/>
      </c>
      <c r="AR264" s="100" t="str">
        <f aca="false">IF(ISBLANK($C264),"",IF($O264=Constants!$B$2,TRUE(),IF($O264=Constants!$B$3,FALSE(),TRUE())))</f>
        <v/>
      </c>
      <c r="AS264" s="100" t="str">
        <f aca="false">IF(ISBLANK($C264),"",IF($P264=Constants!$B$2,TRUE(),IF($P264=Constants!$B$3,FALSE(),FALSE())))</f>
        <v/>
      </c>
      <c r="AT264" s="100" t="str">
        <f aca="false">IF(ISBLANK($C264),"",IF($Q264=Constants!$B$2,TRUE(),IF($Q264=Constants!$B$3,FALSE(),FALSE())))</f>
        <v/>
      </c>
      <c r="AU264" s="100" t="str">
        <f aca="false">IF(ISBLANK($C264),"",IF($R264=Constants!$B$2,TRUE(),IF($R264=Constants!$B$3,FALSE(),FALSE())))</f>
        <v/>
      </c>
      <c r="AV264" s="100" t="str">
        <f aca="false">IF(ISBLANK($C264),"",IF($S264=Constants!$B$2,TRUE(),IF($S264=Constants!$B$3,FALSE(),FALSE())))</f>
        <v/>
      </c>
      <c r="AW264" s="100" t="str">
        <f aca="false">IF(ISBLANK($C264),"",IF($T264=Constants!$B$2,TRUE(),IF($T264=Constants!$B$3,FALSE(),FALSE())))</f>
        <v/>
      </c>
      <c r="AX264" s="100" t="str">
        <f aca="false">IF(ISBLANK($C264),"",IF(OR($U264&amp;""="1",$U264&amp;""="2",$U264&amp;""="3",$U264&amp;""="4"),VALUE($U264&amp;""),IF($U264=Constants!$B$12,Constants!$B$12,"")))</f>
        <v/>
      </c>
      <c r="AY264" s="100" t="str">
        <f aca="false">IF(ISBLANK($C264),"",IF(ISBLANK($V264),0,IF(ISNUMBER($V264),IF(AND($V264&gt;=0,$V264&lt;=Constants!$B$21,$V264=INT($V264)),$V264,""),"")))</f>
        <v/>
      </c>
      <c r="AZ264" s="100" t="str">
        <f aca="false">IF(ISBLANK($C264),"",IF(ISBLANK($W264),0,IF(ISNUMBER($W264),IF($W264&gt;=0,$W264,""),"")))</f>
        <v/>
      </c>
      <c r="BA264" s="100" t="str">
        <f aca="false">IF(ISBLANK($C264),"",IF($X264=Constants!$B$2,TRUE(),IF($X264=Constants!$B$3,FALSE(),TRUE())))</f>
        <v/>
      </c>
      <c r="BB264" s="100" t="str">
        <f aca="false">IF(ISBLANK($C264),"",IF($Y264=Constants!$B$2,TRUE(),IF($Y264=Constants!$B$3,FALSE(),FALSE())))</f>
        <v/>
      </c>
      <c r="BC264" s="100" t="str">
        <f aca="false">IF(ISBLANK($C264),"",IF(ISBLANK($Z264),0,IF(ISNUMBER($Z264),IF(AND($Z264&gt;=0,$Z264&lt;=Constants!$B$35,$Z264=INT($Z264)),$Z264,""),"")))</f>
        <v/>
      </c>
      <c r="BD264" s="100" t="str">
        <f aca="false">IF(ISBLANK($C264),"",IF($AA264=Constants!$B$2,TRUE(),IF($AA264=Constants!$B$3,FALSE(),TRUE())))</f>
        <v/>
      </c>
      <c r="BE264" s="100" t="str">
        <f aca="false">IF(ISBLANK($C264),"",IF($AB264=Constants!$B$2,TRUE(),IF($AB264=Constants!$B$3,FALSE(),TRUE())))</f>
        <v/>
      </c>
      <c r="BF264" s="100" t="str">
        <f aca="false">IF(ISBLANK($C264),"",IF(ISNUMBER($AC264),IF($AC264&gt;=0,$AC264,""),""))</f>
        <v/>
      </c>
      <c r="BG264" s="100" t="str">
        <f aca="false">IF(ISBLANK($C264),"",IF($AD264=Constants!$B$2,TRUE(),IF($AD264=Constants!$B$3,FALSE(),FALSE())))</f>
        <v/>
      </c>
      <c r="BH264" s="99" t="str">
        <f aca="false">IF(ISBLANK($C264),"",IF($BG264,Constants!$B$7,IF(COUNTA($E264:$AC264)=0,Constants!$B$6,IF(OR(COUNTA($G264:$AC264)=0,NOT($AK264),$AQ264),Constants!$B$5,IF(OR($CI264&lt;&gt;"",$CJ264,$CK264,$CL264,$CM264,$CN264,$CO264),Constants!$B$8,Constants!$B$4)))))</f>
        <v/>
      </c>
      <c r="BI264" s="100" t="str">
        <f aca="false">IF(ISBLANK($C264),"",IF($BH264&lt;&gt;Constants!$B$4,$BH264,IF(OR(NOT($AH264),NOT($AJ264),NOT($AR264)),Constants!$B$11,IF(OR(NOT($AP264),MAX($AL264,$AM264,$AN264)&gt;Constants!$B$30),Constants!$B$10,Constants!$B$9))))</f>
        <v/>
      </c>
      <c r="BJ264" s="100" t="str">
        <f aca="false">IF($BH264&lt;&gt;Constants!$B$4,"",IF(NOT($AJ264),0,MIN(Constants!$B$35,$BC264)))</f>
        <v/>
      </c>
      <c r="BK264" s="100" t="str">
        <f aca="false">IF($BH264&lt;&gt;Constants!$B$4,"",IF(NOT($AJ264),0,IF($AT264,Constants!$B$18,IF($AS264,Constants!$B$17,0))))</f>
        <v/>
      </c>
      <c r="BL264" s="100" t="str">
        <f aca="false">IF($BH264&lt;&gt;Constants!$B$4,"",IF(NOT($AJ264),0,Constants!$B$19*($AI264+$AU264+$AV264+$AW264)))</f>
        <v/>
      </c>
      <c r="BM264" s="100" t="str">
        <f aca="false">IF($BH264&lt;&gt;Constants!$B$4,"",IF(OR(NOT($AJ264),NOT(ISNUMBER($AX264))),0,CHOOSE($AX264,Constants!$B$13,Constants!$B$14,Constants!$B$15,Constants!$B$16)))</f>
        <v/>
      </c>
      <c r="BN264" s="100" t="str">
        <f aca="false">IF($BH264&lt;&gt;Constants!$B$4,"",IF(NOT($AJ264),0,Constants!$B$20*$AY264))</f>
        <v/>
      </c>
      <c r="BO264" s="100" t="str">
        <f aca="false">IF($BH264&lt;&gt;Constants!$B$4,"",IF(AND($AJ264,$BA264,$BB264),Constants!$B$22,0))</f>
        <v/>
      </c>
      <c r="BP264" s="100" t="str">
        <f aca="false">IF($BH264&lt;&gt;Constants!$B$4,"",IF(OR(NOT($AJ264),NOT($BA264)),0,IF($BF264&gt;=2*$AF$9,0,Constants!$B$23*INT(ROUND(MIN($BF264,$AF$9),6)))))</f>
        <v/>
      </c>
      <c r="BQ264" s="100" t="str">
        <f aca="false">IF($BH264&lt;&gt;Constants!$B$4,"",IF(NOT($AJ264),0,Constants!$B$24*INT(ROUND(MIN($AZ264,$AF$9),6))))</f>
        <v/>
      </c>
      <c r="BR264" s="100" t="str">
        <f aca="false">IF($BH264&lt;&gt;Constants!$B$4,"",IF(AND($AJ264,$BJ264=0),Constants!$B$25,0))</f>
        <v/>
      </c>
      <c r="BS264" s="100" t="str">
        <f aca="false">IF($BH264&lt;&gt;Constants!$B$4,"",MIN(Constants!$B$29,MAX(0,Constants!$B$27*Constants!$B$28*INT(ROUND((Constants!$B$26-$AL264)/Constants!$B$28,6))))+MIN(Constants!$B$29,MAX(0,Constants!$B$27*Constants!$B$28*INT(ROUND((Constants!$B$26-$AM264)/Constants!$B$28,6))))+MIN(Constants!$B$29,MAX(0,Constants!$B$27*Constants!$B$28*INT(ROUND((Constants!$B$26-$AN264)/Constants!$B$28,6)))))</f>
        <v/>
      </c>
      <c r="BT264" s="100" t="str">
        <f aca="false">IF($BH264&lt;&gt;Constants!$B$4,"",IF(NOT($AJ264),0,Constants!$B$31*INT(ROUND(MAX(0,MIN($BF264,2*$AF$9)-$AF$9),6))))</f>
        <v/>
      </c>
      <c r="BU264" s="100" t="str">
        <f aca="false">IF($BH264&lt;&gt;Constants!$B$4,"",Constants!$B$32*(($AL264&gt;Constants!$B$26)+($AM264&gt;Constants!$B$26)+($AN264&gt;Constants!$B$26)))</f>
        <v/>
      </c>
      <c r="BV264" s="100" t="str">
        <f aca="false">IF($BH264&lt;&gt;Constants!$B$4,"",IF(OR(NOT($AJ264),$AO264),0,Constants!$B$33))</f>
        <v/>
      </c>
      <c r="BW264" s="100" t="str">
        <f aca="false">IF($BH264&lt;&gt;Constants!$B$4,"",Constants!$B$34*$BJ264)</f>
        <v/>
      </c>
      <c r="BX264" s="100" t="str">
        <f aca="false">IF($BH264&lt;&gt;Constants!$B$4,"",IF(OR(NOT($AJ264),$BE264),0,Constants!$B$36))</f>
        <v/>
      </c>
      <c r="BY264" s="100" t="str">
        <f aca="false">IF($BH264&lt;&gt;Constants!$B$4,"",IF(OR(NOT($AJ264),$BD264),0,Constants!$B$37))</f>
        <v/>
      </c>
      <c r="BZ264" s="100" t="str">
        <f aca="false">IF($BH264&lt;&gt;Constants!$B$4,"",SUM($BT264:$BY264))</f>
        <v/>
      </c>
      <c r="CA264" s="100" t="str">
        <f aca="false">IF(ISBLANK($C264),"",IF($BH264&lt;&gt;Constants!$B$4,$BH264,SUM($BK264:$BS264)-$BZ264))</f>
        <v/>
      </c>
      <c r="CB264" s="100" t="str">
        <f aca="false">IF(ISBLANK($C264),"",IF($BH264&lt;&gt;Constants!$B$4,$BH264,RANK($CA264,$CA$9:$CA$508)))</f>
        <v/>
      </c>
      <c r="CC264" s="100" t="str">
        <f aca="false">IF(ISBLANK($C264),"",IF($BH264&lt;&gt;Constants!$B$4,$BH264,COUNTIFS($BI$9:$BI$508,"&lt;"&amp;$BI264)+COUNTIFS($BI$9:$BI$508,$BI264,$CB$9:$CB$508,"&lt;"&amp;$CB264)+1))</f>
        <v/>
      </c>
      <c r="CD264" s="100" t="str">
        <f aca="false">IF(ISBLANK($C264),"",IF($BH264&lt;&gt;Constants!$B$4,$BH264,RANK($BZ264,$BZ$9:$BZ$508,1)))</f>
        <v/>
      </c>
      <c r="CE264" s="100" t="str">
        <f aca="false">IF($BH264&lt;&gt;Constants!$B$4,"",$AL264+$AM264+$AN264)</f>
        <v/>
      </c>
      <c r="CF264" s="100" t="str">
        <f aca="false">IF(ISBLANK($C264),"",IF($BH264&lt;&gt;Constants!$B$4,$BH264,RANK($CE264,$CE$9:$CE$508,1)))</f>
        <v/>
      </c>
      <c r="CG264" s="100" t="str">
        <f aca="false">IF(ISBLANK($C264),"",IF($BH264&lt;&gt;Constants!$B$4,$BH264,COUNTIFS($BI$9:$BI$508,"&lt;"&amp;$BI264)+COUNTIFS($BI$9:$BI$508,$BI264,$CB$9:$CB$508,"&lt;"&amp;$CB264)+COUNTIFS($BI$9:$BI$508,$BI264,$CB$9:$CB$508,$CB264,$CD$9:$CD$508,"&lt;"&amp;$CD264)+COUNTIFS($BI$9:$BI$508,$BI264,$CB$9:$CB$508,$CB264,$CD$9:$CD$508,$CD264,$CF$9:$CF$508,"&lt;"&amp;$CF264)+1))</f>
        <v/>
      </c>
      <c r="CH264" s="100" t="str">
        <f aca="false">IF(ISBLANK($C264),"",IF($BH264&lt;&gt;Constants!$B$4,$BH264,$CC264-$CG264))</f>
        <v/>
      </c>
      <c r="CI264" s="100" t="str">
        <f aca="false">IF(ISBLANK($C264),"",IF(NOT($AJ264),"",IF(ISBLANK($D$7),$CI$5,IF(NOT(ISNUMBER($D$7)),$CI$6,""))))</f>
        <v/>
      </c>
      <c r="CJ264" s="100" t="str">
        <f aca="false">IF(ISBLANK($C264),"",OR($AL264="",$AM264="",$AN264=""))</f>
        <v/>
      </c>
      <c r="CK264" s="100" t="str">
        <f aca="false">IF(ISBLANK($C264),"",AND($AJ264,$AX264=""))</f>
        <v/>
      </c>
      <c r="CL264" s="100" t="str">
        <f aca="false">IF(ISBLANK($C264),"",AND($AJ264,$AY264=""))</f>
        <v/>
      </c>
      <c r="CM264" s="100" t="str">
        <f aca="false">IF(ISBLANK($C264),"",AND($AJ264,$AZ264=""))</f>
        <v/>
      </c>
      <c r="CN264" s="100" t="str">
        <f aca="false">IF(ISBLANK($C264),"",AND($AJ264,$BC264=""))</f>
        <v/>
      </c>
      <c r="CO264" s="100" t="str">
        <f aca="false">IF(ISBLANK($C264),"",AND($AJ264,$BF264=""))</f>
        <v/>
      </c>
      <c r="CP264" s="101"/>
      <c r="CQ264" s="102"/>
      <c r="CR264" s="103" t="str">
        <f aca="false">IF(ISBLANK($C264),"",IF($BH264=Constants!$B$8,$CI264,""))</f>
        <v/>
      </c>
      <c r="CS264" s="102" t="str">
        <f aca="false">IF(ISBLANK($C264),"",IF($BH264&lt;&gt;Constants!$B$4,"",$BK264+$BL264))</f>
        <v/>
      </c>
      <c r="CT264" s="104" t="str">
        <f aca="false">IF(ISBLANK($C264),"",IF($BH264&lt;&gt;Constants!$B$4,"",$BM264+$BN264+$BO264))</f>
        <v/>
      </c>
      <c r="CU264" s="104" t="str">
        <f aca="false">IF(ISBLANK($C264),"",IF($BH264&lt;&gt;Constants!$B$4,"",$BP264))</f>
        <v/>
      </c>
      <c r="CV264" s="104" t="str">
        <f aca="false">IF(ISBLANK($C264),"",IF($BH264&lt;&gt;Constants!$B$4,"",$BQ264+$BR264))</f>
        <v/>
      </c>
      <c r="CW264" s="104" t="str">
        <f aca="false">IF(ISBLANK($C264),"",IF($BH264&lt;&gt;Constants!$B$4,"",$BS264))</f>
        <v/>
      </c>
      <c r="CX264" s="104" t="str">
        <f aca="false">IF(ISBLANK($C264),"",IF($BH264&lt;&gt;Constants!$B$4,"",-$BZ264))</f>
        <v/>
      </c>
      <c r="CY264" s="103" t="str">
        <f aca="false">IF(ISBLANK($C264),"",$CA264)</f>
        <v/>
      </c>
      <c r="CZ264" s="105" t="str">
        <f aca="false">IF(ISBLANK($C264),"",$BI264)</f>
        <v/>
      </c>
      <c r="DA264" s="104" t="str">
        <f aca="false">IF(ISBLANK($C264),"",$CH264)</f>
        <v/>
      </c>
      <c r="DB264" s="104" t="str">
        <f aca="false">IF(ISBLANK($C264),"",$CG264)</f>
        <v/>
      </c>
      <c r="DC264" s="106" t="str">
        <f aca="false">IF(ISBLANK($C264),"",IFERROR(_xlfn.SWITCH($DB264,Constants!$B$7,COUNTA($C$9:$C$508)+2,Constants!$B$6,COUNTA($C$9:$C$508)+1,Constants!$B$5,COUNTA($C$9:$C$508)),$DB264))</f>
        <v/>
      </c>
      <c r="DD264" s="7"/>
      <c r="DE264" s="107" t="n">
        <f aca="false">IF(OR(ISNUMBER($DB264),$DB264=Constants!$B$7,$DB264=Constants!$B$5,$DB264=Constants!$B$6),1,0)</f>
        <v>0</v>
      </c>
      <c r="DF264" s="107" t="n">
        <v>256</v>
      </c>
      <c r="DG264" s="107" t="str">
        <f aca="false">IF(ISBLANK($C264),"",IF(ISNUMBER($DC264),$DC264+ROW($B264)/1000,""))</f>
        <v/>
      </c>
      <c r="DH264" s="107" t="str">
        <f aca="false">IF(ISNUMBER($DG264),RANK($DG264,$DG$9:$DG$508,1),"")</f>
        <v/>
      </c>
      <c r="DI264" s="107" t="str">
        <f aca="false">IF(ISBLANK($C264),"",$B264)</f>
        <v/>
      </c>
      <c r="DJ264" s="107" t="str">
        <f aca="false">IF(ISBLANK($C264),"",$C264)</f>
        <v/>
      </c>
      <c r="DK264" s="107" t="str">
        <f aca="false">IF(ISBLANK($C264),"",$D264)</f>
        <v/>
      </c>
      <c r="DL264" s="108" t="str">
        <f aca="false">$CZ264</f>
        <v/>
      </c>
      <c r="DM264" s="109" t="str">
        <f aca="false">$CY264</f>
        <v/>
      </c>
      <c r="DN264" s="107" t="str">
        <f aca="false">IF(ISBLANK($C264),"",$DB264)</f>
        <v/>
      </c>
      <c r="DO264" s="110" t="str">
        <f aca="false">IF($DF264&gt;$DE$8,"",VLOOKUP($DF264,$DH$9:$DN$508,7,FALSE()))</f>
        <v/>
      </c>
      <c r="DP264" s="111" t="str">
        <f aca="false">IF($DF264&gt;$DE$8,"",VLOOKUP($DF264,$DH$9:$DN$508,2,FALSE()))</f>
        <v/>
      </c>
      <c r="DQ264" s="111" t="str">
        <f aca="false">IF($DF264&gt;$DE$8,"",VLOOKUP($DF264,$DH$9:$DN$508,3,FALSE()))</f>
        <v/>
      </c>
      <c r="DR264" s="111" t="str">
        <f aca="false">IF($DF264&gt;$DE$8,"",VLOOKUP($DF264,$DH$9:$DN$508,4,FALSE()))</f>
        <v/>
      </c>
      <c r="DS264" s="111" t="str">
        <f aca="false">IF($DF264&gt;$DE$8,"",VLOOKUP($DF264,$DH$9:$DN$508,5,FALSE()))</f>
        <v/>
      </c>
      <c r="DT264" s="112" t="str">
        <f aca="false">IF($DF264&gt;$DE$8,"",VLOOKUP($DF264,$DH$9:$DN$508,6,FALSE()))</f>
        <v/>
      </c>
      <c r="DU264" s="62"/>
    </row>
    <row r="265" customFormat="false" ht="15.75" hidden="false" customHeight="false" outlineLevel="0" collapsed="false">
      <c r="A265" s="7"/>
      <c r="B265" s="90"/>
      <c r="C265" s="91"/>
      <c r="D265" s="126"/>
      <c r="E265" s="130"/>
      <c r="F265" s="135"/>
      <c r="G265" s="130"/>
      <c r="H265" s="135"/>
      <c r="I265" s="131"/>
      <c r="J265" s="131"/>
      <c r="K265" s="131"/>
      <c r="L265" s="130"/>
      <c r="M265" s="130"/>
      <c r="N265" s="130"/>
      <c r="O265" s="135"/>
      <c r="P265" s="130"/>
      <c r="Q265" s="130"/>
      <c r="R265" s="130"/>
      <c r="S265" s="130"/>
      <c r="T265" s="135"/>
      <c r="U265" s="130"/>
      <c r="V265" s="96"/>
      <c r="W265" s="130"/>
      <c r="X265" s="130"/>
      <c r="Y265" s="96"/>
      <c r="Z265" s="96"/>
      <c r="AA265" s="130"/>
      <c r="AB265" s="130"/>
      <c r="AC265" s="97"/>
      <c r="AD265" s="130"/>
      <c r="AE265" s="99"/>
      <c r="AF265" s="100"/>
      <c r="AG265" s="100"/>
      <c r="AH265" s="100" t="str">
        <f aca="false">IF(ISBLANK($C265),"",IF($E265=Constants!$B$2,TRUE(),IF($E265=Constants!$B$3,FALSE(),TRUE())))</f>
        <v/>
      </c>
      <c r="AI265" s="100" t="str">
        <f aca="false">IF(ISBLANK($C265),"",IF($F265=Constants!$B$2,TRUE(),IF($F265=Constants!$B$3,FALSE(),FALSE())))</f>
        <v/>
      </c>
      <c r="AJ265" s="100" t="str">
        <f aca="false">IF(ISBLANK($C265),"",IF($G265=Constants!$B$2,TRUE(),IF($G265=Constants!$B$3,FALSE(),TRUE())))</f>
        <v/>
      </c>
      <c r="AK265" s="100" t="str">
        <f aca="false">IF(ISBLANK($C265),"",IF($H265=Constants!$B$2,TRUE(),IF($H265=Constants!$B$3,FALSE(),TRUE())))</f>
        <v/>
      </c>
      <c r="AL265" s="100" t="str">
        <f aca="false">IF(ISBLANK($C265),"",IF(ISNUMBER($I265),IF($I265&gt;=0,$I265,""),""))</f>
        <v/>
      </c>
      <c r="AM265" s="100" t="str">
        <f aca="false">IF(ISBLANK($C265),"",IF(ISNUMBER($J265),IF($J265&gt;=0,$J265,""),""))</f>
        <v/>
      </c>
      <c r="AN265" s="100" t="str">
        <f aca="false">IF(ISBLANK($C265),"",IF(ISNUMBER($K265),IF($K265&gt;=0,$K265,""),""))</f>
        <v/>
      </c>
      <c r="AO265" s="100" t="str">
        <f aca="false">IF(ISBLANK($C265),"",IF($L265=Constants!$B$2,TRUE(),IF($L265=Constants!$B$3,FALSE(),TRUE())))</f>
        <v/>
      </c>
      <c r="AP265" s="100" t="str">
        <f aca="false">IF(ISBLANK($C265),"",IF($M265=Constants!$B$2,TRUE(),IF($M265=Constants!$B$3,FALSE(),TRUE())))</f>
        <v/>
      </c>
      <c r="AQ265" s="100" t="str">
        <f aca="false">IF(ISBLANK($C265),"",IF($N265=Constants!$B$2,TRUE(),IF($N265=Constants!$B$3,FALSE(),FALSE())))</f>
        <v/>
      </c>
      <c r="AR265" s="100" t="str">
        <f aca="false">IF(ISBLANK($C265),"",IF($O265=Constants!$B$2,TRUE(),IF($O265=Constants!$B$3,FALSE(),TRUE())))</f>
        <v/>
      </c>
      <c r="AS265" s="100" t="str">
        <f aca="false">IF(ISBLANK($C265),"",IF($P265=Constants!$B$2,TRUE(),IF($P265=Constants!$B$3,FALSE(),FALSE())))</f>
        <v/>
      </c>
      <c r="AT265" s="100" t="str">
        <f aca="false">IF(ISBLANK($C265),"",IF($Q265=Constants!$B$2,TRUE(),IF($Q265=Constants!$B$3,FALSE(),FALSE())))</f>
        <v/>
      </c>
      <c r="AU265" s="100" t="str">
        <f aca="false">IF(ISBLANK($C265),"",IF($R265=Constants!$B$2,TRUE(),IF($R265=Constants!$B$3,FALSE(),FALSE())))</f>
        <v/>
      </c>
      <c r="AV265" s="100" t="str">
        <f aca="false">IF(ISBLANK($C265),"",IF($S265=Constants!$B$2,TRUE(),IF($S265=Constants!$B$3,FALSE(),FALSE())))</f>
        <v/>
      </c>
      <c r="AW265" s="100" t="str">
        <f aca="false">IF(ISBLANK($C265),"",IF($T265=Constants!$B$2,TRUE(),IF($T265=Constants!$B$3,FALSE(),FALSE())))</f>
        <v/>
      </c>
      <c r="AX265" s="100" t="str">
        <f aca="false">IF(ISBLANK($C265),"",IF(OR($U265&amp;""="1",$U265&amp;""="2",$U265&amp;""="3",$U265&amp;""="4"),VALUE($U265&amp;""),IF($U265=Constants!$B$12,Constants!$B$12,"")))</f>
        <v/>
      </c>
      <c r="AY265" s="100" t="str">
        <f aca="false">IF(ISBLANK($C265),"",IF(ISBLANK($V265),0,IF(ISNUMBER($V265),IF(AND($V265&gt;=0,$V265&lt;=Constants!$B$21,$V265=INT($V265)),$V265,""),"")))</f>
        <v/>
      </c>
      <c r="AZ265" s="100" t="str">
        <f aca="false">IF(ISBLANK($C265),"",IF(ISBLANK($W265),0,IF(ISNUMBER($W265),IF($W265&gt;=0,$W265,""),"")))</f>
        <v/>
      </c>
      <c r="BA265" s="100" t="str">
        <f aca="false">IF(ISBLANK($C265),"",IF($X265=Constants!$B$2,TRUE(),IF($X265=Constants!$B$3,FALSE(),TRUE())))</f>
        <v/>
      </c>
      <c r="BB265" s="100" t="str">
        <f aca="false">IF(ISBLANK($C265),"",IF($Y265=Constants!$B$2,TRUE(),IF($Y265=Constants!$B$3,FALSE(),FALSE())))</f>
        <v/>
      </c>
      <c r="BC265" s="100" t="str">
        <f aca="false">IF(ISBLANK($C265),"",IF(ISBLANK($Z265),0,IF(ISNUMBER($Z265),IF(AND($Z265&gt;=0,$Z265&lt;=Constants!$B$35,$Z265=INT($Z265)),$Z265,""),"")))</f>
        <v/>
      </c>
      <c r="BD265" s="100" t="str">
        <f aca="false">IF(ISBLANK($C265),"",IF($AA265=Constants!$B$2,TRUE(),IF($AA265=Constants!$B$3,FALSE(),TRUE())))</f>
        <v/>
      </c>
      <c r="BE265" s="100" t="str">
        <f aca="false">IF(ISBLANK($C265),"",IF($AB265=Constants!$B$2,TRUE(),IF($AB265=Constants!$B$3,FALSE(),TRUE())))</f>
        <v/>
      </c>
      <c r="BF265" s="100" t="str">
        <f aca="false">IF(ISBLANK($C265),"",IF(ISNUMBER($AC265),IF($AC265&gt;=0,$AC265,""),""))</f>
        <v/>
      </c>
      <c r="BG265" s="100" t="str">
        <f aca="false">IF(ISBLANK($C265),"",IF($AD265=Constants!$B$2,TRUE(),IF($AD265=Constants!$B$3,FALSE(),FALSE())))</f>
        <v/>
      </c>
      <c r="BH265" s="99" t="str">
        <f aca="false">IF(ISBLANK($C265),"",IF($BG265,Constants!$B$7,IF(COUNTA($E265:$AC265)=0,Constants!$B$6,IF(OR(COUNTA($G265:$AC265)=0,NOT($AK265),$AQ265),Constants!$B$5,IF(OR($CI265&lt;&gt;"",$CJ265,$CK265,$CL265,$CM265,$CN265,$CO265),Constants!$B$8,Constants!$B$4)))))</f>
        <v/>
      </c>
      <c r="BI265" s="100" t="str">
        <f aca="false">IF(ISBLANK($C265),"",IF($BH265&lt;&gt;Constants!$B$4,$BH265,IF(OR(NOT($AH265),NOT($AJ265),NOT($AR265)),Constants!$B$11,IF(OR(NOT($AP265),MAX($AL265,$AM265,$AN265)&gt;Constants!$B$30),Constants!$B$10,Constants!$B$9))))</f>
        <v/>
      </c>
      <c r="BJ265" s="100" t="str">
        <f aca="false">IF($BH265&lt;&gt;Constants!$B$4,"",IF(NOT($AJ265),0,MIN(Constants!$B$35,$BC265)))</f>
        <v/>
      </c>
      <c r="BK265" s="100" t="str">
        <f aca="false">IF($BH265&lt;&gt;Constants!$B$4,"",IF(NOT($AJ265),0,IF($AT265,Constants!$B$18,IF($AS265,Constants!$B$17,0))))</f>
        <v/>
      </c>
      <c r="BL265" s="100" t="str">
        <f aca="false">IF($BH265&lt;&gt;Constants!$B$4,"",IF(NOT($AJ265),0,Constants!$B$19*($AI265+$AU265+$AV265+$AW265)))</f>
        <v/>
      </c>
      <c r="BM265" s="100" t="str">
        <f aca="false">IF($BH265&lt;&gt;Constants!$B$4,"",IF(OR(NOT($AJ265),NOT(ISNUMBER($AX265))),0,CHOOSE($AX265,Constants!$B$13,Constants!$B$14,Constants!$B$15,Constants!$B$16)))</f>
        <v/>
      </c>
      <c r="BN265" s="100" t="str">
        <f aca="false">IF($BH265&lt;&gt;Constants!$B$4,"",IF(NOT($AJ265),0,Constants!$B$20*$AY265))</f>
        <v/>
      </c>
      <c r="BO265" s="100" t="str">
        <f aca="false">IF($BH265&lt;&gt;Constants!$B$4,"",IF(AND($AJ265,$BA265,$BB265),Constants!$B$22,0))</f>
        <v/>
      </c>
      <c r="BP265" s="100" t="str">
        <f aca="false">IF($BH265&lt;&gt;Constants!$B$4,"",IF(OR(NOT($AJ265),NOT($BA265)),0,IF($BF265&gt;=2*$AF$9,0,Constants!$B$23*INT(ROUND(MIN($BF265,$AF$9),6)))))</f>
        <v/>
      </c>
      <c r="BQ265" s="100" t="str">
        <f aca="false">IF($BH265&lt;&gt;Constants!$B$4,"",IF(NOT($AJ265),0,Constants!$B$24*INT(ROUND(MIN($AZ265,$AF$9),6))))</f>
        <v/>
      </c>
      <c r="BR265" s="100" t="str">
        <f aca="false">IF($BH265&lt;&gt;Constants!$B$4,"",IF(AND($AJ265,$BJ265=0),Constants!$B$25,0))</f>
        <v/>
      </c>
      <c r="BS265" s="100" t="str">
        <f aca="false">IF($BH265&lt;&gt;Constants!$B$4,"",MIN(Constants!$B$29,MAX(0,Constants!$B$27*Constants!$B$28*INT(ROUND((Constants!$B$26-$AL265)/Constants!$B$28,6))))+MIN(Constants!$B$29,MAX(0,Constants!$B$27*Constants!$B$28*INT(ROUND((Constants!$B$26-$AM265)/Constants!$B$28,6))))+MIN(Constants!$B$29,MAX(0,Constants!$B$27*Constants!$B$28*INT(ROUND((Constants!$B$26-$AN265)/Constants!$B$28,6)))))</f>
        <v/>
      </c>
      <c r="BT265" s="100" t="str">
        <f aca="false">IF($BH265&lt;&gt;Constants!$B$4,"",IF(NOT($AJ265),0,Constants!$B$31*INT(ROUND(MAX(0,MIN($BF265,2*$AF$9)-$AF$9),6))))</f>
        <v/>
      </c>
      <c r="BU265" s="100" t="str">
        <f aca="false">IF($BH265&lt;&gt;Constants!$B$4,"",Constants!$B$32*(($AL265&gt;Constants!$B$26)+($AM265&gt;Constants!$B$26)+($AN265&gt;Constants!$B$26)))</f>
        <v/>
      </c>
      <c r="BV265" s="100" t="str">
        <f aca="false">IF($BH265&lt;&gt;Constants!$B$4,"",IF(OR(NOT($AJ265),$AO265),0,Constants!$B$33))</f>
        <v/>
      </c>
      <c r="BW265" s="100" t="str">
        <f aca="false">IF($BH265&lt;&gt;Constants!$B$4,"",Constants!$B$34*$BJ265)</f>
        <v/>
      </c>
      <c r="BX265" s="100" t="str">
        <f aca="false">IF($BH265&lt;&gt;Constants!$B$4,"",IF(OR(NOT($AJ265),$BE265),0,Constants!$B$36))</f>
        <v/>
      </c>
      <c r="BY265" s="100" t="str">
        <f aca="false">IF($BH265&lt;&gt;Constants!$B$4,"",IF(OR(NOT($AJ265),$BD265),0,Constants!$B$37))</f>
        <v/>
      </c>
      <c r="BZ265" s="100" t="str">
        <f aca="false">IF($BH265&lt;&gt;Constants!$B$4,"",SUM($BT265:$BY265))</f>
        <v/>
      </c>
      <c r="CA265" s="100" t="str">
        <f aca="false">IF(ISBLANK($C265),"",IF($BH265&lt;&gt;Constants!$B$4,$BH265,SUM($BK265:$BS265)-$BZ265))</f>
        <v/>
      </c>
      <c r="CB265" s="100" t="str">
        <f aca="false">IF(ISBLANK($C265),"",IF($BH265&lt;&gt;Constants!$B$4,$BH265,RANK($CA265,$CA$9:$CA$508)))</f>
        <v/>
      </c>
      <c r="CC265" s="100" t="str">
        <f aca="false">IF(ISBLANK($C265),"",IF($BH265&lt;&gt;Constants!$B$4,$BH265,COUNTIFS($BI$9:$BI$508,"&lt;"&amp;$BI265)+COUNTIFS($BI$9:$BI$508,$BI265,$CB$9:$CB$508,"&lt;"&amp;$CB265)+1))</f>
        <v/>
      </c>
      <c r="CD265" s="100" t="str">
        <f aca="false">IF(ISBLANK($C265),"",IF($BH265&lt;&gt;Constants!$B$4,$BH265,RANK($BZ265,$BZ$9:$BZ$508,1)))</f>
        <v/>
      </c>
      <c r="CE265" s="100" t="str">
        <f aca="false">IF($BH265&lt;&gt;Constants!$B$4,"",$AL265+$AM265+$AN265)</f>
        <v/>
      </c>
      <c r="CF265" s="100" t="str">
        <f aca="false">IF(ISBLANK($C265),"",IF($BH265&lt;&gt;Constants!$B$4,$BH265,RANK($CE265,$CE$9:$CE$508,1)))</f>
        <v/>
      </c>
      <c r="CG265" s="100" t="str">
        <f aca="false">IF(ISBLANK($C265),"",IF($BH265&lt;&gt;Constants!$B$4,$BH265,COUNTIFS($BI$9:$BI$508,"&lt;"&amp;$BI265)+COUNTIFS($BI$9:$BI$508,$BI265,$CB$9:$CB$508,"&lt;"&amp;$CB265)+COUNTIFS($BI$9:$BI$508,$BI265,$CB$9:$CB$508,$CB265,$CD$9:$CD$508,"&lt;"&amp;$CD265)+COUNTIFS($BI$9:$BI$508,$BI265,$CB$9:$CB$508,$CB265,$CD$9:$CD$508,$CD265,$CF$9:$CF$508,"&lt;"&amp;$CF265)+1))</f>
        <v/>
      </c>
      <c r="CH265" s="100" t="str">
        <f aca="false">IF(ISBLANK($C265),"",IF($BH265&lt;&gt;Constants!$B$4,$BH265,$CC265-$CG265))</f>
        <v/>
      </c>
      <c r="CI265" s="100" t="str">
        <f aca="false">IF(ISBLANK($C265),"",IF(NOT($AJ265),"",IF(ISBLANK($D$7),$CI$5,IF(NOT(ISNUMBER($D$7)),$CI$6,""))))</f>
        <v/>
      </c>
      <c r="CJ265" s="100" t="str">
        <f aca="false">IF(ISBLANK($C265),"",OR($AL265="",$AM265="",$AN265=""))</f>
        <v/>
      </c>
      <c r="CK265" s="100" t="str">
        <f aca="false">IF(ISBLANK($C265),"",AND($AJ265,$AX265=""))</f>
        <v/>
      </c>
      <c r="CL265" s="100" t="str">
        <f aca="false">IF(ISBLANK($C265),"",AND($AJ265,$AY265=""))</f>
        <v/>
      </c>
      <c r="CM265" s="100" t="str">
        <f aca="false">IF(ISBLANK($C265),"",AND($AJ265,$AZ265=""))</f>
        <v/>
      </c>
      <c r="CN265" s="100" t="str">
        <f aca="false">IF(ISBLANK($C265),"",AND($AJ265,$BC265=""))</f>
        <v/>
      </c>
      <c r="CO265" s="100" t="str">
        <f aca="false">IF(ISBLANK($C265),"",AND($AJ265,$BF265=""))</f>
        <v/>
      </c>
      <c r="CP265" s="101"/>
      <c r="CQ265" s="102"/>
      <c r="CR265" s="103" t="str">
        <f aca="false">IF(ISBLANK($C265),"",IF($BH265=Constants!$B$8,$CI265,""))</f>
        <v/>
      </c>
      <c r="CS265" s="102" t="str">
        <f aca="false">IF(ISBLANK($C265),"",IF($BH265&lt;&gt;Constants!$B$4,"",$BK265+$BL265))</f>
        <v/>
      </c>
      <c r="CT265" s="104" t="str">
        <f aca="false">IF(ISBLANK($C265),"",IF($BH265&lt;&gt;Constants!$B$4,"",$BM265+$BN265+$BO265))</f>
        <v/>
      </c>
      <c r="CU265" s="104" t="str">
        <f aca="false">IF(ISBLANK($C265),"",IF($BH265&lt;&gt;Constants!$B$4,"",$BP265))</f>
        <v/>
      </c>
      <c r="CV265" s="104" t="str">
        <f aca="false">IF(ISBLANK($C265),"",IF($BH265&lt;&gt;Constants!$B$4,"",$BQ265+$BR265))</f>
        <v/>
      </c>
      <c r="CW265" s="104" t="str">
        <f aca="false">IF(ISBLANK($C265),"",IF($BH265&lt;&gt;Constants!$B$4,"",$BS265))</f>
        <v/>
      </c>
      <c r="CX265" s="104" t="str">
        <f aca="false">IF(ISBLANK($C265),"",IF($BH265&lt;&gt;Constants!$B$4,"",-$BZ265))</f>
        <v/>
      </c>
      <c r="CY265" s="103" t="str">
        <f aca="false">IF(ISBLANK($C265),"",$CA265)</f>
        <v/>
      </c>
      <c r="CZ265" s="105" t="str">
        <f aca="false">IF(ISBLANK($C265),"",$BI265)</f>
        <v/>
      </c>
      <c r="DA265" s="104" t="str">
        <f aca="false">IF(ISBLANK($C265),"",$CH265)</f>
        <v/>
      </c>
      <c r="DB265" s="104" t="str">
        <f aca="false">IF(ISBLANK($C265),"",$CG265)</f>
        <v/>
      </c>
      <c r="DC265" s="106" t="str">
        <f aca="false">IF(ISBLANK($C265),"",IFERROR(_xlfn.SWITCH($DB265,Constants!$B$7,COUNTA($C$9:$C$508)+2,Constants!$B$6,COUNTA($C$9:$C$508)+1,Constants!$B$5,COUNTA($C$9:$C$508)),$DB265))</f>
        <v/>
      </c>
      <c r="DD265" s="7"/>
      <c r="DE265" s="107" t="n">
        <f aca="false">IF(OR(ISNUMBER($DB265),$DB265=Constants!$B$7,$DB265=Constants!$B$5,$DB265=Constants!$B$6),1,0)</f>
        <v>0</v>
      </c>
      <c r="DF265" s="107" t="n">
        <v>257</v>
      </c>
      <c r="DG265" s="107" t="str">
        <f aca="false">IF(ISBLANK($C265),"",IF(ISNUMBER($DC265),$DC265+ROW($B265)/1000,""))</f>
        <v/>
      </c>
      <c r="DH265" s="107" t="str">
        <f aca="false">IF(ISNUMBER($DG265),RANK($DG265,$DG$9:$DG$508,1),"")</f>
        <v/>
      </c>
      <c r="DI265" s="107" t="str">
        <f aca="false">IF(ISBLANK($C265),"",$B265)</f>
        <v/>
      </c>
      <c r="DJ265" s="107" t="str">
        <f aca="false">IF(ISBLANK($C265),"",$C265)</f>
        <v/>
      </c>
      <c r="DK265" s="107" t="str">
        <f aca="false">IF(ISBLANK($C265),"",$D265)</f>
        <v/>
      </c>
      <c r="DL265" s="108" t="str">
        <f aca="false">$CZ265</f>
        <v/>
      </c>
      <c r="DM265" s="109" t="str">
        <f aca="false">$CY265</f>
        <v/>
      </c>
      <c r="DN265" s="107" t="str">
        <f aca="false">IF(ISBLANK($C265),"",$DB265)</f>
        <v/>
      </c>
      <c r="DO265" s="110" t="str">
        <f aca="false">IF($DF265&gt;$DE$8,"",VLOOKUP($DF265,$DH$9:$DN$508,7,FALSE()))</f>
        <v/>
      </c>
      <c r="DP265" s="111" t="str">
        <f aca="false">IF($DF265&gt;$DE$8,"",VLOOKUP($DF265,$DH$9:$DN$508,2,FALSE()))</f>
        <v/>
      </c>
      <c r="DQ265" s="111" t="str">
        <f aca="false">IF($DF265&gt;$DE$8,"",VLOOKUP($DF265,$DH$9:$DN$508,3,FALSE()))</f>
        <v/>
      </c>
      <c r="DR265" s="111" t="str">
        <f aca="false">IF($DF265&gt;$DE$8,"",VLOOKUP($DF265,$DH$9:$DN$508,4,FALSE()))</f>
        <v/>
      </c>
      <c r="DS265" s="111" t="str">
        <f aca="false">IF($DF265&gt;$DE$8,"",VLOOKUP($DF265,$DH$9:$DN$508,5,FALSE()))</f>
        <v/>
      </c>
      <c r="DT265" s="112" t="str">
        <f aca="false">IF($DF265&gt;$DE$8,"",VLOOKUP($DF265,$DH$9:$DN$508,6,FALSE()))</f>
        <v/>
      </c>
      <c r="DU265" s="62"/>
    </row>
    <row r="266" customFormat="false" ht="15.75" hidden="false" customHeight="false" outlineLevel="0" collapsed="false">
      <c r="A266" s="7"/>
      <c r="B266" s="90"/>
      <c r="C266" s="91"/>
      <c r="D266" s="126"/>
      <c r="E266" s="130"/>
      <c r="F266" s="135"/>
      <c r="G266" s="130"/>
      <c r="H266" s="135"/>
      <c r="I266" s="131"/>
      <c r="J266" s="131"/>
      <c r="K266" s="131"/>
      <c r="L266" s="130"/>
      <c r="M266" s="130"/>
      <c r="N266" s="130"/>
      <c r="O266" s="135"/>
      <c r="P266" s="130"/>
      <c r="Q266" s="130"/>
      <c r="R266" s="130"/>
      <c r="S266" s="130"/>
      <c r="T266" s="135"/>
      <c r="U266" s="130"/>
      <c r="V266" s="96"/>
      <c r="W266" s="130"/>
      <c r="X266" s="130"/>
      <c r="Y266" s="96"/>
      <c r="Z266" s="96"/>
      <c r="AA266" s="130"/>
      <c r="AB266" s="130"/>
      <c r="AC266" s="97"/>
      <c r="AD266" s="130"/>
      <c r="AE266" s="99"/>
      <c r="AF266" s="100"/>
      <c r="AG266" s="100"/>
      <c r="AH266" s="100" t="str">
        <f aca="false">IF(ISBLANK($C266),"",IF($E266=Constants!$B$2,TRUE(),IF($E266=Constants!$B$3,FALSE(),TRUE())))</f>
        <v/>
      </c>
      <c r="AI266" s="100" t="str">
        <f aca="false">IF(ISBLANK($C266),"",IF($F266=Constants!$B$2,TRUE(),IF($F266=Constants!$B$3,FALSE(),FALSE())))</f>
        <v/>
      </c>
      <c r="AJ266" s="100" t="str">
        <f aca="false">IF(ISBLANK($C266),"",IF($G266=Constants!$B$2,TRUE(),IF($G266=Constants!$B$3,FALSE(),TRUE())))</f>
        <v/>
      </c>
      <c r="AK266" s="100" t="str">
        <f aca="false">IF(ISBLANK($C266),"",IF($H266=Constants!$B$2,TRUE(),IF($H266=Constants!$B$3,FALSE(),TRUE())))</f>
        <v/>
      </c>
      <c r="AL266" s="100" t="str">
        <f aca="false">IF(ISBLANK($C266),"",IF(ISNUMBER($I266),IF($I266&gt;=0,$I266,""),""))</f>
        <v/>
      </c>
      <c r="AM266" s="100" t="str">
        <f aca="false">IF(ISBLANK($C266),"",IF(ISNUMBER($J266),IF($J266&gt;=0,$J266,""),""))</f>
        <v/>
      </c>
      <c r="AN266" s="100" t="str">
        <f aca="false">IF(ISBLANK($C266),"",IF(ISNUMBER($K266),IF($K266&gt;=0,$K266,""),""))</f>
        <v/>
      </c>
      <c r="AO266" s="100" t="str">
        <f aca="false">IF(ISBLANK($C266),"",IF($L266=Constants!$B$2,TRUE(),IF($L266=Constants!$B$3,FALSE(),TRUE())))</f>
        <v/>
      </c>
      <c r="AP266" s="100" t="str">
        <f aca="false">IF(ISBLANK($C266),"",IF($M266=Constants!$B$2,TRUE(),IF($M266=Constants!$B$3,FALSE(),TRUE())))</f>
        <v/>
      </c>
      <c r="AQ266" s="100" t="str">
        <f aca="false">IF(ISBLANK($C266),"",IF($N266=Constants!$B$2,TRUE(),IF($N266=Constants!$B$3,FALSE(),FALSE())))</f>
        <v/>
      </c>
      <c r="AR266" s="100" t="str">
        <f aca="false">IF(ISBLANK($C266),"",IF($O266=Constants!$B$2,TRUE(),IF($O266=Constants!$B$3,FALSE(),TRUE())))</f>
        <v/>
      </c>
      <c r="AS266" s="100" t="str">
        <f aca="false">IF(ISBLANK($C266),"",IF($P266=Constants!$B$2,TRUE(),IF($P266=Constants!$B$3,FALSE(),FALSE())))</f>
        <v/>
      </c>
      <c r="AT266" s="100" t="str">
        <f aca="false">IF(ISBLANK($C266),"",IF($Q266=Constants!$B$2,TRUE(),IF($Q266=Constants!$B$3,FALSE(),FALSE())))</f>
        <v/>
      </c>
      <c r="AU266" s="100" t="str">
        <f aca="false">IF(ISBLANK($C266),"",IF($R266=Constants!$B$2,TRUE(),IF($R266=Constants!$B$3,FALSE(),FALSE())))</f>
        <v/>
      </c>
      <c r="AV266" s="100" t="str">
        <f aca="false">IF(ISBLANK($C266),"",IF($S266=Constants!$B$2,TRUE(),IF($S266=Constants!$B$3,FALSE(),FALSE())))</f>
        <v/>
      </c>
      <c r="AW266" s="100" t="str">
        <f aca="false">IF(ISBLANK($C266),"",IF($T266=Constants!$B$2,TRUE(),IF($T266=Constants!$B$3,FALSE(),FALSE())))</f>
        <v/>
      </c>
      <c r="AX266" s="100" t="str">
        <f aca="false">IF(ISBLANK($C266),"",IF(OR($U266&amp;""="1",$U266&amp;""="2",$U266&amp;""="3",$U266&amp;""="4"),VALUE($U266&amp;""),IF($U266=Constants!$B$12,Constants!$B$12,"")))</f>
        <v/>
      </c>
      <c r="AY266" s="100" t="str">
        <f aca="false">IF(ISBLANK($C266),"",IF(ISBLANK($V266),0,IF(ISNUMBER($V266),IF(AND($V266&gt;=0,$V266&lt;=Constants!$B$21,$V266=INT($V266)),$V266,""),"")))</f>
        <v/>
      </c>
      <c r="AZ266" s="100" t="str">
        <f aca="false">IF(ISBLANK($C266),"",IF(ISBLANK($W266),0,IF(ISNUMBER($W266),IF($W266&gt;=0,$W266,""),"")))</f>
        <v/>
      </c>
      <c r="BA266" s="100" t="str">
        <f aca="false">IF(ISBLANK($C266),"",IF($X266=Constants!$B$2,TRUE(),IF($X266=Constants!$B$3,FALSE(),TRUE())))</f>
        <v/>
      </c>
      <c r="BB266" s="100" t="str">
        <f aca="false">IF(ISBLANK($C266),"",IF($Y266=Constants!$B$2,TRUE(),IF($Y266=Constants!$B$3,FALSE(),FALSE())))</f>
        <v/>
      </c>
      <c r="BC266" s="100" t="str">
        <f aca="false">IF(ISBLANK($C266),"",IF(ISBLANK($Z266),0,IF(ISNUMBER($Z266),IF(AND($Z266&gt;=0,$Z266&lt;=Constants!$B$35,$Z266=INT($Z266)),$Z266,""),"")))</f>
        <v/>
      </c>
      <c r="BD266" s="100" t="str">
        <f aca="false">IF(ISBLANK($C266),"",IF($AA266=Constants!$B$2,TRUE(),IF($AA266=Constants!$B$3,FALSE(),TRUE())))</f>
        <v/>
      </c>
      <c r="BE266" s="100" t="str">
        <f aca="false">IF(ISBLANK($C266),"",IF($AB266=Constants!$B$2,TRUE(),IF($AB266=Constants!$B$3,FALSE(),TRUE())))</f>
        <v/>
      </c>
      <c r="BF266" s="100" t="str">
        <f aca="false">IF(ISBLANK($C266),"",IF(ISNUMBER($AC266),IF($AC266&gt;=0,$AC266,""),""))</f>
        <v/>
      </c>
      <c r="BG266" s="100" t="str">
        <f aca="false">IF(ISBLANK($C266),"",IF($AD266=Constants!$B$2,TRUE(),IF($AD266=Constants!$B$3,FALSE(),FALSE())))</f>
        <v/>
      </c>
      <c r="BH266" s="99" t="str">
        <f aca="false">IF(ISBLANK($C266),"",IF($BG266,Constants!$B$7,IF(COUNTA($E266:$AC266)=0,Constants!$B$6,IF(OR(COUNTA($G266:$AC266)=0,NOT($AK266),$AQ266),Constants!$B$5,IF(OR($CI266&lt;&gt;"",$CJ266,$CK266,$CL266,$CM266,$CN266,$CO266),Constants!$B$8,Constants!$B$4)))))</f>
        <v/>
      </c>
      <c r="BI266" s="100" t="str">
        <f aca="false">IF(ISBLANK($C266),"",IF($BH266&lt;&gt;Constants!$B$4,$BH266,IF(OR(NOT($AH266),NOT($AJ266),NOT($AR266)),Constants!$B$11,IF(OR(NOT($AP266),MAX($AL266,$AM266,$AN266)&gt;Constants!$B$30),Constants!$B$10,Constants!$B$9))))</f>
        <v/>
      </c>
      <c r="BJ266" s="100" t="str">
        <f aca="false">IF($BH266&lt;&gt;Constants!$B$4,"",IF(NOT($AJ266),0,MIN(Constants!$B$35,$BC266)))</f>
        <v/>
      </c>
      <c r="BK266" s="100" t="str">
        <f aca="false">IF($BH266&lt;&gt;Constants!$B$4,"",IF(NOT($AJ266),0,IF($AT266,Constants!$B$18,IF($AS266,Constants!$B$17,0))))</f>
        <v/>
      </c>
      <c r="BL266" s="100" t="str">
        <f aca="false">IF($BH266&lt;&gt;Constants!$B$4,"",IF(NOT($AJ266),0,Constants!$B$19*($AI266+$AU266+$AV266+$AW266)))</f>
        <v/>
      </c>
      <c r="BM266" s="100" t="str">
        <f aca="false">IF($BH266&lt;&gt;Constants!$B$4,"",IF(OR(NOT($AJ266),NOT(ISNUMBER($AX266))),0,CHOOSE($AX266,Constants!$B$13,Constants!$B$14,Constants!$B$15,Constants!$B$16)))</f>
        <v/>
      </c>
      <c r="BN266" s="100" t="str">
        <f aca="false">IF($BH266&lt;&gt;Constants!$B$4,"",IF(NOT($AJ266),0,Constants!$B$20*$AY266))</f>
        <v/>
      </c>
      <c r="BO266" s="100" t="str">
        <f aca="false">IF($BH266&lt;&gt;Constants!$B$4,"",IF(AND($AJ266,$BA266,$BB266),Constants!$B$22,0))</f>
        <v/>
      </c>
      <c r="BP266" s="100" t="str">
        <f aca="false">IF($BH266&lt;&gt;Constants!$B$4,"",IF(OR(NOT($AJ266),NOT($BA266)),0,IF($BF266&gt;=2*$AF$9,0,Constants!$B$23*INT(ROUND(MIN($BF266,$AF$9),6)))))</f>
        <v/>
      </c>
      <c r="BQ266" s="100" t="str">
        <f aca="false">IF($BH266&lt;&gt;Constants!$B$4,"",IF(NOT($AJ266),0,Constants!$B$24*INT(ROUND(MIN($AZ266,$AF$9),6))))</f>
        <v/>
      </c>
      <c r="BR266" s="100" t="str">
        <f aca="false">IF($BH266&lt;&gt;Constants!$B$4,"",IF(AND($AJ266,$BJ266=0),Constants!$B$25,0))</f>
        <v/>
      </c>
      <c r="BS266" s="100" t="str">
        <f aca="false">IF($BH266&lt;&gt;Constants!$B$4,"",MIN(Constants!$B$29,MAX(0,Constants!$B$27*Constants!$B$28*INT(ROUND((Constants!$B$26-$AL266)/Constants!$B$28,6))))+MIN(Constants!$B$29,MAX(0,Constants!$B$27*Constants!$B$28*INT(ROUND((Constants!$B$26-$AM266)/Constants!$B$28,6))))+MIN(Constants!$B$29,MAX(0,Constants!$B$27*Constants!$B$28*INT(ROUND((Constants!$B$26-$AN266)/Constants!$B$28,6)))))</f>
        <v/>
      </c>
      <c r="BT266" s="100" t="str">
        <f aca="false">IF($BH266&lt;&gt;Constants!$B$4,"",IF(NOT($AJ266),0,Constants!$B$31*INT(ROUND(MAX(0,MIN($BF266,2*$AF$9)-$AF$9),6))))</f>
        <v/>
      </c>
      <c r="BU266" s="100" t="str">
        <f aca="false">IF($BH266&lt;&gt;Constants!$B$4,"",Constants!$B$32*(($AL266&gt;Constants!$B$26)+($AM266&gt;Constants!$B$26)+($AN266&gt;Constants!$B$26)))</f>
        <v/>
      </c>
      <c r="BV266" s="100" t="str">
        <f aca="false">IF($BH266&lt;&gt;Constants!$B$4,"",IF(OR(NOT($AJ266),$AO266),0,Constants!$B$33))</f>
        <v/>
      </c>
      <c r="BW266" s="100" t="str">
        <f aca="false">IF($BH266&lt;&gt;Constants!$B$4,"",Constants!$B$34*$BJ266)</f>
        <v/>
      </c>
      <c r="BX266" s="100" t="str">
        <f aca="false">IF($BH266&lt;&gt;Constants!$B$4,"",IF(OR(NOT($AJ266),$BE266),0,Constants!$B$36))</f>
        <v/>
      </c>
      <c r="BY266" s="100" t="str">
        <f aca="false">IF($BH266&lt;&gt;Constants!$B$4,"",IF(OR(NOT($AJ266),$BD266),0,Constants!$B$37))</f>
        <v/>
      </c>
      <c r="BZ266" s="100" t="str">
        <f aca="false">IF($BH266&lt;&gt;Constants!$B$4,"",SUM($BT266:$BY266))</f>
        <v/>
      </c>
      <c r="CA266" s="100" t="str">
        <f aca="false">IF(ISBLANK($C266),"",IF($BH266&lt;&gt;Constants!$B$4,$BH266,SUM($BK266:$BS266)-$BZ266))</f>
        <v/>
      </c>
      <c r="CB266" s="100" t="str">
        <f aca="false">IF(ISBLANK($C266),"",IF($BH266&lt;&gt;Constants!$B$4,$BH266,RANK($CA266,$CA$9:$CA$508)))</f>
        <v/>
      </c>
      <c r="CC266" s="100" t="str">
        <f aca="false">IF(ISBLANK($C266),"",IF($BH266&lt;&gt;Constants!$B$4,$BH266,COUNTIFS($BI$9:$BI$508,"&lt;"&amp;$BI266)+COUNTIFS($BI$9:$BI$508,$BI266,$CB$9:$CB$508,"&lt;"&amp;$CB266)+1))</f>
        <v/>
      </c>
      <c r="CD266" s="100" t="str">
        <f aca="false">IF(ISBLANK($C266),"",IF($BH266&lt;&gt;Constants!$B$4,$BH266,RANK($BZ266,$BZ$9:$BZ$508,1)))</f>
        <v/>
      </c>
      <c r="CE266" s="100" t="str">
        <f aca="false">IF($BH266&lt;&gt;Constants!$B$4,"",$AL266+$AM266+$AN266)</f>
        <v/>
      </c>
      <c r="CF266" s="100" t="str">
        <f aca="false">IF(ISBLANK($C266),"",IF($BH266&lt;&gt;Constants!$B$4,$BH266,RANK($CE266,$CE$9:$CE$508,1)))</f>
        <v/>
      </c>
      <c r="CG266" s="100" t="str">
        <f aca="false">IF(ISBLANK($C266),"",IF($BH266&lt;&gt;Constants!$B$4,$BH266,COUNTIFS($BI$9:$BI$508,"&lt;"&amp;$BI266)+COUNTIFS($BI$9:$BI$508,$BI266,$CB$9:$CB$508,"&lt;"&amp;$CB266)+COUNTIFS($BI$9:$BI$508,$BI266,$CB$9:$CB$508,$CB266,$CD$9:$CD$508,"&lt;"&amp;$CD266)+COUNTIFS($BI$9:$BI$508,$BI266,$CB$9:$CB$508,$CB266,$CD$9:$CD$508,$CD266,$CF$9:$CF$508,"&lt;"&amp;$CF266)+1))</f>
        <v/>
      </c>
      <c r="CH266" s="100" t="str">
        <f aca="false">IF(ISBLANK($C266),"",IF($BH266&lt;&gt;Constants!$B$4,$BH266,$CC266-$CG266))</f>
        <v/>
      </c>
      <c r="CI266" s="100" t="str">
        <f aca="false">IF(ISBLANK($C266),"",IF(NOT($AJ266),"",IF(ISBLANK($D$7),$CI$5,IF(NOT(ISNUMBER($D$7)),$CI$6,""))))</f>
        <v/>
      </c>
      <c r="CJ266" s="100" t="str">
        <f aca="false">IF(ISBLANK($C266),"",OR($AL266="",$AM266="",$AN266=""))</f>
        <v/>
      </c>
      <c r="CK266" s="100" t="str">
        <f aca="false">IF(ISBLANK($C266),"",AND($AJ266,$AX266=""))</f>
        <v/>
      </c>
      <c r="CL266" s="100" t="str">
        <f aca="false">IF(ISBLANK($C266),"",AND($AJ266,$AY266=""))</f>
        <v/>
      </c>
      <c r="CM266" s="100" t="str">
        <f aca="false">IF(ISBLANK($C266),"",AND($AJ266,$AZ266=""))</f>
        <v/>
      </c>
      <c r="CN266" s="100" t="str">
        <f aca="false">IF(ISBLANK($C266),"",AND($AJ266,$BC266=""))</f>
        <v/>
      </c>
      <c r="CO266" s="100" t="str">
        <f aca="false">IF(ISBLANK($C266),"",AND($AJ266,$BF266=""))</f>
        <v/>
      </c>
      <c r="CP266" s="101"/>
      <c r="CQ266" s="102"/>
      <c r="CR266" s="103" t="str">
        <f aca="false">IF(ISBLANK($C266),"",IF($BH266=Constants!$B$8,$CI266,""))</f>
        <v/>
      </c>
      <c r="CS266" s="102" t="str">
        <f aca="false">IF(ISBLANK($C266),"",IF($BH266&lt;&gt;Constants!$B$4,"",$BK266+$BL266))</f>
        <v/>
      </c>
      <c r="CT266" s="104" t="str">
        <f aca="false">IF(ISBLANK($C266),"",IF($BH266&lt;&gt;Constants!$B$4,"",$BM266+$BN266+$BO266))</f>
        <v/>
      </c>
      <c r="CU266" s="104" t="str">
        <f aca="false">IF(ISBLANK($C266),"",IF($BH266&lt;&gt;Constants!$B$4,"",$BP266))</f>
        <v/>
      </c>
      <c r="CV266" s="104" t="str">
        <f aca="false">IF(ISBLANK($C266),"",IF($BH266&lt;&gt;Constants!$B$4,"",$BQ266+$BR266))</f>
        <v/>
      </c>
      <c r="CW266" s="104" t="str">
        <f aca="false">IF(ISBLANK($C266),"",IF($BH266&lt;&gt;Constants!$B$4,"",$BS266))</f>
        <v/>
      </c>
      <c r="CX266" s="104" t="str">
        <f aca="false">IF(ISBLANK($C266),"",IF($BH266&lt;&gt;Constants!$B$4,"",-$BZ266))</f>
        <v/>
      </c>
      <c r="CY266" s="103" t="str">
        <f aca="false">IF(ISBLANK($C266),"",$CA266)</f>
        <v/>
      </c>
      <c r="CZ266" s="105" t="str">
        <f aca="false">IF(ISBLANK($C266),"",$BI266)</f>
        <v/>
      </c>
      <c r="DA266" s="104" t="str">
        <f aca="false">IF(ISBLANK($C266),"",$CH266)</f>
        <v/>
      </c>
      <c r="DB266" s="104" t="str">
        <f aca="false">IF(ISBLANK($C266),"",$CG266)</f>
        <v/>
      </c>
      <c r="DC266" s="106" t="str">
        <f aca="false">IF(ISBLANK($C266),"",IFERROR(_xlfn.SWITCH($DB266,Constants!$B$7,COUNTA($C$9:$C$508)+2,Constants!$B$6,COUNTA($C$9:$C$508)+1,Constants!$B$5,COUNTA($C$9:$C$508)),$DB266))</f>
        <v/>
      </c>
      <c r="DD266" s="7"/>
      <c r="DE266" s="107" t="n">
        <f aca="false">IF(OR(ISNUMBER($DB266),$DB266=Constants!$B$7,$DB266=Constants!$B$5,$DB266=Constants!$B$6),1,0)</f>
        <v>0</v>
      </c>
      <c r="DF266" s="107" t="n">
        <v>258</v>
      </c>
      <c r="DG266" s="107" t="str">
        <f aca="false">IF(ISBLANK($C266),"",IF(ISNUMBER($DC266),$DC266+ROW($B266)/1000,""))</f>
        <v/>
      </c>
      <c r="DH266" s="107" t="str">
        <f aca="false">IF(ISNUMBER($DG266),RANK($DG266,$DG$9:$DG$508,1),"")</f>
        <v/>
      </c>
      <c r="DI266" s="107" t="str">
        <f aca="false">IF(ISBLANK($C266),"",$B266)</f>
        <v/>
      </c>
      <c r="DJ266" s="107" t="str">
        <f aca="false">IF(ISBLANK($C266),"",$C266)</f>
        <v/>
      </c>
      <c r="DK266" s="107" t="str">
        <f aca="false">IF(ISBLANK($C266),"",$D266)</f>
        <v/>
      </c>
      <c r="DL266" s="108" t="str">
        <f aca="false">$CZ266</f>
        <v/>
      </c>
      <c r="DM266" s="109" t="str">
        <f aca="false">$CY266</f>
        <v/>
      </c>
      <c r="DN266" s="107" t="str">
        <f aca="false">IF(ISBLANK($C266),"",$DB266)</f>
        <v/>
      </c>
      <c r="DO266" s="110" t="str">
        <f aca="false">IF($DF266&gt;$DE$8,"",VLOOKUP($DF266,$DH$9:$DN$508,7,FALSE()))</f>
        <v/>
      </c>
      <c r="DP266" s="111" t="str">
        <f aca="false">IF($DF266&gt;$DE$8,"",VLOOKUP($DF266,$DH$9:$DN$508,2,FALSE()))</f>
        <v/>
      </c>
      <c r="DQ266" s="111" t="str">
        <f aca="false">IF($DF266&gt;$DE$8,"",VLOOKUP($DF266,$DH$9:$DN$508,3,FALSE()))</f>
        <v/>
      </c>
      <c r="DR266" s="111" t="str">
        <f aca="false">IF($DF266&gt;$DE$8,"",VLOOKUP($DF266,$DH$9:$DN$508,4,FALSE()))</f>
        <v/>
      </c>
      <c r="DS266" s="111" t="str">
        <f aca="false">IF($DF266&gt;$DE$8,"",VLOOKUP($DF266,$DH$9:$DN$508,5,FALSE()))</f>
        <v/>
      </c>
      <c r="DT266" s="112" t="str">
        <f aca="false">IF($DF266&gt;$DE$8,"",VLOOKUP($DF266,$DH$9:$DN$508,6,FALSE()))</f>
        <v/>
      </c>
      <c r="DU266" s="62"/>
    </row>
    <row r="267" customFormat="false" ht="15.75" hidden="false" customHeight="false" outlineLevel="0" collapsed="false">
      <c r="A267" s="7"/>
      <c r="B267" s="64"/>
      <c r="C267" s="65"/>
      <c r="D267" s="123"/>
      <c r="E267" s="88"/>
      <c r="F267" s="134"/>
      <c r="G267" s="88"/>
      <c r="H267" s="134"/>
      <c r="I267" s="119"/>
      <c r="J267" s="119"/>
      <c r="K267" s="119"/>
      <c r="L267" s="88"/>
      <c r="M267" s="88"/>
      <c r="N267" s="88"/>
      <c r="O267" s="134"/>
      <c r="P267" s="88"/>
      <c r="Q267" s="88"/>
      <c r="R267" s="88"/>
      <c r="S267" s="88"/>
      <c r="T267" s="134"/>
      <c r="U267" s="88"/>
      <c r="V267" s="70"/>
      <c r="W267" s="88"/>
      <c r="X267" s="88"/>
      <c r="Y267" s="70"/>
      <c r="Z267" s="70"/>
      <c r="AA267" s="88"/>
      <c r="AB267" s="88"/>
      <c r="AC267" s="71"/>
      <c r="AD267" s="88"/>
      <c r="AE267" s="73"/>
      <c r="AF267" s="74"/>
      <c r="AG267" s="74"/>
      <c r="AH267" s="74" t="str">
        <f aca="false">IF(ISBLANK($C267),"",IF($E267=Constants!$B$2,TRUE(),IF($E267=Constants!$B$3,FALSE(),TRUE())))</f>
        <v/>
      </c>
      <c r="AI267" s="74" t="str">
        <f aca="false">IF(ISBLANK($C267),"",IF($F267=Constants!$B$2,TRUE(),IF($F267=Constants!$B$3,FALSE(),FALSE())))</f>
        <v/>
      </c>
      <c r="AJ267" s="74" t="str">
        <f aca="false">IF(ISBLANK($C267),"",IF($G267=Constants!$B$2,TRUE(),IF($G267=Constants!$B$3,FALSE(),TRUE())))</f>
        <v/>
      </c>
      <c r="AK267" s="74" t="str">
        <f aca="false">IF(ISBLANK($C267),"",IF($H267=Constants!$B$2,TRUE(),IF($H267=Constants!$B$3,FALSE(),TRUE())))</f>
        <v/>
      </c>
      <c r="AL267" s="74" t="str">
        <f aca="false">IF(ISBLANK($C267),"",IF(ISNUMBER($I267),IF($I267&gt;=0,$I267,""),""))</f>
        <v/>
      </c>
      <c r="AM267" s="74" t="str">
        <f aca="false">IF(ISBLANK($C267),"",IF(ISNUMBER($J267),IF($J267&gt;=0,$J267,""),""))</f>
        <v/>
      </c>
      <c r="AN267" s="74" t="str">
        <f aca="false">IF(ISBLANK($C267),"",IF(ISNUMBER($K267),IF($K267&gt;=0,$K267,""),""))</f>
        <v/>
      </c>
      <c r="AO267" s="74" t="str">
        <f aca="false">IF(ISBLANK($C267),"",IF($L267=Constants!$B$2,TRUE(),IF($L267=Constants!$B$3,FALSE(),TRUE())))</f>
        <v/>
      </c>
      <c r="AP267" s="74" t="str">
        <f aca="false">IF(ISBLANK($C267),"",IF($M267=Constants!$B$2,TRUE(),IF($M267=Constants!$B$3,FALSE(),TRUE())))</f>
        <v/>
      </c>
      <c r="AQ267" s="74" t="str">
        <f aca="false">IF(ISBLANK($C267),"",IF($N267=Constants!$B$2,TRUE(),IF($N267=Constants!$B$3,FALSE(),FALSE())))</f>
        <v/>
      </c>
      <c r="AR267" s="74" t="str">
        <f aca="false">IF(ISBLANK($C267),"",IF($O267=Constants!$B$2,TRUE(),IF($O267=Constants!$B$3,FALSE(),TRUE())))</f>
        <v/>
      </c>
      <c r="AS267" s="74" t="str">
        <f aca="false">IF(ISBLANK($C267),"",IF($P267=Constants!$B$2,TRUE(),IF($P267=Constants!$B$3,FALSE(),FALSE())))</f>
        <v/>
      </c>
      <c r="AT267" s="74" t="str">
        <f aca="false">IF(ISBLANK($C267),"",IF($Q267=Constants!$B$2,TRUE(),IF($Q267=Constants!$B$3,FALSE(),FALSE())))</f>
        <v/>
      </c>
      <c r="AU267" s="74" t="str">
        <f aca="false">IF(ISBLANK($C267),"",IF($R267=Constants!$B$2,TRUE(),IF($R267=Constants!$B$3,FALSE(),FALSE())))</f>
        <v/>
      </c>
      <c r="AV267" s="74" t="str">
        <f aca="false">IF(ISBLANK($C267),"",IF($S267=Constants!$B$2,TRUE(),IF($S267=Constants!$B$3,FALSE(),FALSE())))</f>
        <v/>
      </c>
      <c r="AW267" s="74" t="str">
        <f aca="false">IF(ISBLANK($C267),"",IF($T267=Constants!$B$2,TRUE(),IF($T267=Constants!$B$3,FALSE(),FALSE())))</f>
        <v/>
      </c>
      <c r="AX267" s="74" t="str">
        <f aca="false">IF(ISBLANK($C267),"",IF(OR($U267&amp;""="1",$U267&amp;""="2",$U267&amp;""="3",$U267&amp;""="4"),VALUE($U267&amp;""),IF($U267=Constants!$B$12,Constants!$B$12,"")))</f>
        <v/>
      </c>
      <c r="AY267" s="74" t="str">
        <f aca="false">IF(ISBLANK($C267),"",IF(ISBLANK($V267),0,IF(ISNUMBER($V267),IF(AND($V267&gt;=0,$V267&lt;=Constants!$B$21,$V267=INT($V267)),$V267,""),"")))</f>
        <v/>
      </c>
      <c r="AZ267" s="74" t="str">
        <f aca="false">IF(ISBLANK($C267),"",IF(ISBLANK($W267),0,IF(ISNUMBER($W267),IF($W267&gt;=0,$W267,""),"")))</f>
        <v/>
      </c>
      <c r="BA267" s="74" t="str">
        <f aca="false">IF(ISBLANK($C267),"",IF($X267=Constants!$B$2,TRUE(),IF($X267=Constants!$B$3,FALSE(),TRUE())))</f>
        <v/>
      </c>
      <c r="BB267" s="74" t="str">
        <f aca="false">IF(ISBLANK($C267),"",IF($Y267=Constants!$B$2,TRUE(),IF($Y267=Constants!$B$3,FALSE(),FALSE())))</f>
        <v/>
      </c>
      <c r="BC267" s="74" t="str">
        <f aca="false">IF(ISBLANK($C267),"",IF(ISBLANK($Z267),0,IF(ISNUMBER($Z267),IF(AND($Z267&gt;=0,$Z267&lt;=Constants!$B$35,$Z267=INT($Z267)),$Z267,""),"")))</f>
        <v/>
      </c>
      <c r="BD267" s="74" t="str">
        <f aca="false">IF(ISBLANK($C267),"",IF($AA267=Constants!$B$2,TRUE(),IF($AA267=Constants!$B$3,FALSE(),TRUE())))</f>
        <v/>
      </c>
      <c r="BE267" s="74" t="str">
        <f aca="false">IF(ISBLANK($C267),"",IF($AB267=Constants!$B$2,TRUE(),IF($AB267=Constants!$B$3,FALSE(),TRUE())))</f>
        <v/>
      </c>
      <c r="BF267" s="74" t="str">
        <f aca="false">IF(ISBLANK($C267),"",IF(ISNUMBER($AC267),IF($AC267&gt;=0,$AC267,""),""))</f>
        <v/>
      </c>
      <c r="BG267" s="74" t="str">
        <f aca="false">IF(ISBLANK($C267),"",IF($AD267=Constants!$B$2,TRUE(),IF($AD267=Constants!$B$3,FALSE(),FALSE())))</f>
        <v/>
      </c>
      <c r="BH267" s="73" t="str">
        <f aca="false">IF(ISBLANK($C267),"",IF($BG267,Constants!$B$7,IF(COUNTA($E267:$AC267)=0,Constants!$B$6,IF(OR(COUNTA($G267:$AC267)=0,NOT($AK267),$AQ267),Constants!$B$5,IF(OR($CI267&lt;&gt;"",$CJ267,$CK267,$CL267,$CM267,$CN267,$CO267),Constants!$B$8,Constants!$B$4)))))</f>
        <v/>
      </c>
      <c r="BI267" s="74" t="str">
        <f aca="false">IF(ISBLANK($C267),"",IF($BH267&lt;&gt;Constants!$B$4,$BH267,IF(OR(NOT($AH267),NOT($AJ267),NOT($AR267)),Constants!$B$11,IF(OR(NOT($AP267),MAX($AL267,$AM267,$AN267)&gt;Constants!$B$30),Constants!$B$10,Constants!$B$9))))</f>
        <v/>
      </c>
      <c r="BJ267" s="74" t="str">
        <f aca="false">IF($BH267&lt;&gt;Constants!$B$4,"",IF(NOT($AJ267),0,MIN(Constants!$B$35,$BC267)))</f>
        <v/>
      </c>
      <c r="BK267" s="74" t="str">
        <f aca="false">IF($BH267&lt;&gt;Constants!$B$4,"",IF(NOT($AJ267),0,IF($AT267,Constants!$B$18,IF($AS267,Constants!$B$17,0))))</f>
        <v/>
      </c>
      <c r="BL267" s="74" t="str">
        <f aca="false">IF($BH267&lt;&gt;Constants!$B$4,"",IF(NOT($AJ267),0,Constants!$B$19*($AI267+$AU267+$AV267+$AW267)))</f>
        <v/>
      </c>
      <c r="BM267" s="74" t="str">
        <f aca="false">IF($BH267&lt;&gt;Constants!$B$4,"",IF(OR(NOT($AJ267),NOT(ISNUMBER($AX267))),0,CHOOSE($AX267,Constants!$B$13,Constants!$B$14,Constants!$B$15,Constants!$B$16)))</f>
        <v/>
      </c>
      <c r="BN267" s="74" t="str">
        <f aca="false">IF($BH267&lt;&gt;Constants!$B$4,"",IF(NOT($AJ267),0,Constants!$B$20*$AY267))</f>
        <v/>
      </c>
      <c r="BO267" s="74" t="str">
        <f aca="false">IF($BH267&lt;&gt;Constants!$B$4,"",IF(AND($AJ267,$BA267,$BB267),Constants!$B$22,0))</f>
        <v/>
      </c>
      <c r="BP267" s="74" t="str">
        <f aca="false">IF($BH267&lt;&gt;Constants!$B$4,"",IF(OR(NOT($AJ267),NOT($BA267)),0,IF($BF267&gt;=2*$AF$9,0,Constants!$B$23*INT(ROUND(MIN($BF267,$AF$9),6)))))</f>
        <v/>
      </c>
      <c r="BQ267" s="74" t="str">
        <f aca="false">IF($BH267&lt;&gt;Constants!$B$4,"",IF(NOT($AJ267),0,Constants!$B$24*INT(ROUND(MIN($AZ267,$AF$9),6))))</f>
        <v/>
      </c>
      <c r="BR267" s="74" t="str">
        <f aca="false">IF($BH267&lt;&gt;Constants!$B$4,"",IF(AND($AJ267,$BJ267=0),Constants!$B$25,0))</f>
        <v/>
      </c>
      <c r="BS267" s="74" t="str">
        <f aca="false">IF($BH267&lt;&gt;Constants!$B$4,"",MIN(Constants!$B$29,MAX(0,Constants!$B$27*Constants!$B$28*INT(ROUND((Constants!$B$26-$AL267)/Constants!$B$28,6))))+MIN(Constants!$B$29,MAX(0,Constants!$B$27*Constants!$B$28*INT(ROUND((Constants!$B$26-$AM267)/Constants!$B$28,6))))+MIN(Constants!$B$29,MAX(0,Constants!$B$27*Constants!$B$28*INT(ROUND((Constants!$B$26-$AN267)/Constants!$B$28,6)))))</f>
        <v/>
      </c>
      <c r="BT267" s="74" t="str">
        <f aca="false">IF($BH267&lt;&gt;Constants!$B$4,"",IF(NOT($AJ267),0,Constants!$B$31*INT(ROUND(MAX(0,MIN($BF267,2*$AF$9)-$AF$9),6))))</f>
        <v/>
      </c>
      <c r="BU267" s="74" t="str">
        <f aca="false">IF($BH267&lt;&gt;Constants!$B$4,"",Constants!$B$32*(($AL267&gt;Constants!$B$26)+($AM267&gt;Constants!$B$26)+($AN267&gt;Constants!$B$26)))</f>
        <v/>
      </c>
      <c r="BV267" s="74" t="str">
        <f aca="false">IF($BH267&lt;&gt;Constants!$B$4,"",IF(OR(NOT($AJ267),$AO267),0,Constants!$B$33))</f>
        <v/>
      </c>
      <c r="BW267" s="74" t="str">
        <f aca="false">IF($BH267&lt;&gt;Constants!$B$4,"",Constants!$B$34*$BJ267)</f>
        <v/>
      </c>
      <c r="BX267" s="74" t="str">
        <f aca="false">IF($BH267&lt;&gt;Constants!$B$4,"",IF(OR(NOT($AJ267),$BE267),0,Constants!$B$36))</f>
        <v/>
      </c>
      <c r="BY267" s="74" t="str">
        <f aca="false">IF($BH267&lt;&gt;Constants!$B$4,"",IF(OR(NOT($AJ267),$BD267),0,Constants!$B$37))</f>
        <v/>
      </c>
      <c r="BZ267" s="74" t="str">
        <f aca="false">IF($BH267&lt;&gt;Constants!$B$4,"",SUM($BT267:$BY267))</f>
        <v/>
      </c>
      <c r="CA267" s="74" t="str">
        <f aca="false">IF(ISBLANK($C267),"",IF($BH267&lt;&gt;Constants!$B$4,$BH267,SUM($BK267:$BS267)-$BZ267))</f>
        <v/>
      </c>
      <c r="CB267" s="74" t="str">
        <f aca="false">IF(ISBLANK($C267),"",IF($BH267&lt;&gt;Constants!$B$4,$BH267,RANK($CA267,$CA$9:$CA$508)))</f>
        <v/>
      </c>
      <c r="CC267" s="74" t="str">
        <f aca="false">IF(ISBLANK($C267),"",IF($BH267&lt;&gt;Constants!$B$4,$BH267,COUNTIFS($BI$9:$BI$508,"&lt;"&amp;$BI267)+COUNTIFS($BI$9:$BI$508,$BI267,$CB$9:$CB$508,"&lt;"&amp;$CB267)+1))</f>
        <v/>
      </c>
      <c r="CD267" s="74" t="str">
        <f aca="false">IF(ISBLANK($C267),"",IF($BH267&lt;&gt;Constants!$B$4,$BH267,RANK($BZ267,$BZ$9:$BZ$508,1)))</f>
        <v/>
      </c>
      <c r="CE267" s="74" t="str">
        <f aca="false">IF($BH267&lt;&gt;Constants!$B$4,"",$AL267+$AM267+$AN267)</f>
        <v/>
      </c>
      <c r="CF267" s="74" t="str">
        <f aca="false">IF(ISBLANK($C267),"",IF($BH267&lt;&gt;Constants!$B$4,$BH267,RANK($CE267,$CE$9:$CE$508,1)))</f>
        <v/>
      </c>
      <c r="CG267" s="74" t="str">
        <f aca="false">IF(ISBLANK($C267),"",IF($BH267&lt;&gt;Constants!$B$4,$BH267,COUNTIFS($BI$9:$BI$508,"&lt;"&amp;$BI267)+COUNTIFS($BI$9:$BI$508,$BI267,$CB$9:$CB$508,"&lt;"&amp;$CB267)+COUNTIFS($BI$9:$BI$508,$BI267,$CB$9:$CB$508,$CB267,$CD$9:$CD$508,"&lt;"&amp;$CD267)+COUNTIFS($BI$9:$BI$508,$BI267,$CB$9:$CB$508,$CB267,$CD$9:$CD$508,$CD267,$CF$9:$CF$508,"&lt;"&amp;$CF267)+1))</f>
        <v/>
      </c>
      <c r="CH267" s="74" t="str">
        <f aca="false">IF(ISBLANK($C267),"",IF($BH267&lt;&gt;Constants!$B$4,$BH267,$CC267-$CG267))</f>
        <v/>
      </c>
      <c r="CI267" s="74" t="str">
        <f aca="false">IF(ISBLANK($C267),"",IF(NOT($AJ267),"",IF(ISBLANK($D$7),$CI$5,IF(NOT(ISNUMBER($D$7)),$CI$6,""))))</f>
        <v/>
      </c>
      <c r="CJ267" s="74" t="str">
        <f aca="false">IF(ISBLANK($C267),"",OR($AL267="",$AM267="",$AN267=""))</f>
        <v/>
      </c>
      <c r="CK267" s="74" t="str">
        <f aca="false">IF(ISBLANK($C267),"",AND($AJ267,$AX267=""))</f>
        <v/>
      </c>
      <c r="CL267" s="74" t="str">
        <f aca="false">IF(ISBLANK($C267),"",AND($AJ267,$AY267=""))</f>
        <v/>
      </c>
      <c r="CM267" s="74" t="str">
        <f aca="false">IF(ISBLANK($C267),"",AND($AJ267,$AZ267=""))</f>
        <v/>
      </c>
      <c r="CN267" s="74" t="str">
        <f aca="false">IF(ISBLANK($C267),"",AND($AJ267,$BC267=""))</f>
        <v/>
      </c>
      <c r="CO267" s="74" t="str">
        <f aca="false">IF(ISBLANK($C267),"",AND($AJ267,$BF267=""))</f>
        <v/>
      </c>
      <c r="CP267" s="75"/>
      <c r="CQ267" s="76"/>
      <c r="CR267" s="79" t="str">
        <f aca="false">IF(ISBLANK($C267),"",IF($BH267=Constants!$B$8,$CI267,""))</f>
        <v/>
      </c>
      <c r="CS267" s="76" t="str">
        <f aca="false">IF(ISBLANK($C267),"",IF($BH267&lt;&gt;Constants!$B$4,"",$BK267+$BL267))</f>
        <v/>
      </c>
      <c r="CT267" s="78" t="str">
        <f aca="false">IF(ISBLANK($C267),"",IF($BH267&lt;&gt;Constants!$B$4,"",$BM267+$BN267+$BO267))</f>
        <v/>
      </c>
      <c r="CU267" s="78" t="str">
        <f aca="false">IF(ISBLANK($C267),"",IF($BH267&lt;&gt;Constants!$B$4,"",$BP267))</f>
        <v/>
      </c>
      <c r="CV267" s="78" t="str">
        <f aca="false">IF(ISBLANK($C267),"",IF($BH267&lt;&gt;Constants!$B$4,"",$BQ267+$BR267))</f>
        <v/>
      </c>
      <c r="CW267" s="78" t="str">
        <f aca="false">IF(ISBLANK($C267),"",IF($BH267&lt;&gt;Constants!$B$4,"",$BS267))</f>
        <v/>
      </c>
      <c r="CX267" s="78" t="str">
        <f aca="false">IF(ISBLANK($C267),"",IF($BH267&lt;&gt;Constants!$B$4,"",-$BZ267))</f>
        <v/>
      </c>
      <c r="CY267" s="79" t="str">
        <f aca="false">IF(ISBLANK($C267),"",$CA267)</f>
        <v/>
      </c>
      <c r="CZ267" s="80" t="str">
        <f aca="false">IF(ISBLANK($C267),"",$BI267)</f>
        <v/>
      </c>
      <c r="DA267" s="78" t="str">
        <f aca="false">IF(ISBLANK($C267),"",$CH267)</f>
        <v/>
      </c>
      <c r="DB267" s="78" t="str">
        <f aca="false">IF(ISBLANK($C267),"",$CG267)</f>
        <v/>
      </c>
      <c r="DC267" s="81" t="str">
        <f aca="false">IF(ISBLANK($C267),"",IFERROR(_xlfn.SWITCH($DB267,Constants!$B$7,COUNTA($C$9:$C$508)+2,Constants!$B$6,COUNTA($C$9:$C$508)+1,Constants!$B$5,COUNTA($C$9:$C$508)),$DB267))</f>
        <v/>
      </c>
      <c r="DD267" s="7"/>
      <c r="DE267" s="82" t="n">
        <f aca="false">IF(OR(ISNUMBER($DB267),$DB267=Constants!$B$7,$DB267=Constants!$B$5,$DB267=Constants!$B$6),1,0)</f>
        <v>0</v>
      </c>
      <c r="DF267" s="82" t="n">
        <v>259</v>
      </c>
      <c r="DG267" s="82" t="str">
        <f aca="false">IF(ISBLANK($C267),"",IF(ISNUMBER($DC267),$DC267+ROW($B267)/1000,""))</f>
        <v/>
      </c>
      <c r="DH267" s="82" t="str">
        <f aca="false">IF(ISNUMBER($DG267),RANK($DG267,$DG$9:$DG$508,1),"")</f>
        <v/>
      </c>
      <c r="DI267" s="82" t="str">
        <f aca="false">IF(ISBLANK($C267),"",$B267)</f>
        <v/>
      </c>
      <c r="DJ267" s="82" t="str">
        <f aca="false">IF(ISBLANK($C267),"",$C267)</f>
        <v/>
      </c>
      <c r="DK267" s="82" t="str">
        <f aca="false">IF(ISBLANK($C267),"",$D267)</f>
        <v/>
      </c>
      <c r="DL267" s="83" t="str">
        <f aca="false">$CZ267</f>
        <v/>
      </c>
      <c r="DM267" s="84" t="str">
        <f aca="false">$CY267</f>
        <v/>
      </c>
      <c r="DN267" s="82" t="str">
        <f aca="false">IF(ISBLANK($C267),"",$DB267)</f>
        <v/>
      </c>
      <c r="DO267" s="85" t="str">
        <f aca="false">IF($DF267&gt;$DE$8,"",VLOOKUP($DF267,$DH$9:$DN$508,7,FALSE()))</f>
        <v/>
      </c>
      <c r="DP267" s="86" t="str">
        <f aca="false">IF($DF267&gt;$DE$8,"",VLOOKUP($DF267,$DH$9:$DN$508,2,FALSE()))</f>
        <v/>
      </c>
      <c r="DQ267" s="86" t="str">
        <f aca="false">IF($DF267&gt;$DE$8,"",VLOOKUP($DF267,$DH$9:$DN$508,3,FALSE()))</f>
        <v/>
      </c>
      <c r="DR267" s="86" t="str">
        <f aca="false">IF($DF267&gt;$DE$8,"",VLOOKUP($DF267,$DH$9:$DN$508,4,FALSE()))</f>
        <v/>
      </c>
      <c r="DS267" s="86" t="str">
        <f aca="false">IF($DF267&gt;$DE$8,"",VLOOKUP($DF267,$DH$9:$DN$508,5,FALSE()))</f>
        <v/>
      </c>
      <c r="DT267" s="87" t="str">
        <f aca="false">IF($DF267&gt;$DE$8,"",VLOOKUP($DF267,$DH$9:$DN$508,6,FALSE()))</f>
        <v/>
      </c>
      <c r="DU267" s="62"/>
    </row>
    <row r="268" customFormat="false" ht="15.75" hidden="false" customHeight="false" outlineLevel="0" collapsed="false">
      <c r="A268" s="7"/>
      <c r="B268" s="64"/>
      <c r="C268" s="65"/>
      <c r="D268" s="123"/>
      <c r="E268" s="88"/>
      <c r="F268" s="134"/>
      <c r="G268" s="88"/>
      <c r="H268" s="134"/>
      <c r="I268" s="119"/>
      <c r="J268" s="119"/>
      <c r="K268" s="119"/>
      <c r="L268" s="88"/>
      <c r="M268" s="88"/>
      <c r="N268" s="88"/>
      <c r="O268" s="134"/>
      <c r="P268" s="88"/>
      <c r="Q268" s="88"/>
      <c r="R268" s="88"/>
      <c r="S268" s="88"/>
      <c r="T268" s="134"/>
      <c r="U268" s="88"/>
      <c r="V268" s="70"/>
      <c r="W268" s="88"/>
      <c r="X268" s="88"/>
      <c r="Y268" s="70"/>
      <c r="Z268" s="70"/>
      <c r="AA268" s="88"/>
      <c r="AB268" s="88"/>
      <c r="AC268" s="71"/>
      <c r="AD268" s="88"/>
      <c r="AE268" s="73"/>
      <c r="AF268" s="74"/>
      <c r="AG268" s="74"/>
      <c r="AH268" s="74" t="str">
        <f aca="false">IF(ISBLANK($C268),"",IF($E268=Constants!$B$2,TRUE(),IF($E268=Constants!$B$3,FALSE(),TRUE())))</f>
        <v/>
      </c>
      <c r="AI268" s="74" t="str">
        <f aca="false">IF(ISBLANK($C268),"",IF($F268=Constants!$B$2,TRUE(),IF($F268=Constants!$B$3,FALSE(),FALSE())))</f>
        <v/>
      </c>
      <c r="AJ268" s="74" t="str">
        <f aca="false">IF(ISBLANK($C268),"",IF($G268=Constants!$B$2,TRUE(),IF($G268=Constants!$B$3,FALSE(),TRUE())))</f>
        <v/>
      </c>
      <c r="AK268" s="74" t="str">
        <f aca="false">IF(ISBLANK($C268),"",IF($H268=Constants!$B$2,TRUE(),IF($H268=Constants!$B$3,FALSE(),TRUE())))</f>
        <v/>
      </c>
      <c r="AL268" s="74" t="str">
        <f aca="false">IF(ISBLANK($C268),"",IF(ISNUMBER($I268),IF($I268&gt;=0,$I268,""),""))</f>
        <v/>
      </c>
      <c r="AM268" s="74" t="str">
        <f aca="false">IF(ISBLANK($C268),"",IF(ISNUMBER($J268),IF($J268&gt;=0,$J268,""),""))</f>
        <v/>
      </c>
      <c r="AN268" s="74" t="str">
        <f aca="false">IF(ISBLANK($C268),"",IF(ISNUMBER($K268),IF($K268&gt;=0,$K268,""),""))</f>
        <v/>
      </c>
      <c r="AO268" s="74" t="str">
        <f aca="false">IF(ISBLANK($C268),"",IF($L268=Constants!$B$2,TRUE(),IF($L268=Constants!$B$3,FALSE(),TRUE())))</f>
        <v/>
      </c>
      <c r="AP268" s="74" t="str">
        <f aca="false">IF(ISBLANK($C268),"",IF($M268=Constants!$B$2,TRUE(),IF($M268=Constants!$B$3,FALSE(),TRUE())))</f>
        <v/>
      </c>
      <c r="AQ268" s="74" t="str">
        <f aca="false">IF(ISBLANK($C268),"",IF($N268=Constants!$B$2,TRUE(),IF($N268=Constants!$B$3,FALSE(),FALSE())))</f>
        <v/>
      </c>
      <c r="AR268" s="74" t="str">
        <f aca="false">IF(ISBLANK($C268),"",IF($O268=Constants!$B$2,TRUE(),IF($O268=Constants!$B$3,FALSE(),TRUE())))</f>
        <v/>
      </c>
      <c r="AS268" s="74" t="str">
        <f aca="false">IF(ISBLANK($C268),"",IF($P268=Constants!$B$2,TRUE(),IF($P268=Constants!$B$3,FALSE(),FALSE())))</f>
        <v/>
      </c>
      <c r="AT268" s="74" t="str">
        <f aca="false">IF(ISBLANK($C268),"",IF($Q268=Constants!$B$2,TRUE(),IF($Q268=Constants!$B$3,FALSE(),FALSE())))</f>
        <v/>
      </c>
      <c r="AU268" s="74" t="str">
        <f aca="false">IF(ISBLANK($C268),"",IF($R268=Constants!$B$2,TRUE(),IF($R268=Constants!$B$3,FALSE(),FALSE())))</f>
        <v/>
      </c>
      <c r="AV268" s="74" t="str">
        <f aca="false">IF(ISBLANK($C268),"",IF($S268=Constants!$B$2,TRUE(),IF($S268=Constants!$B$3,FALSE(),FALSE())))</f>
        <v/>
      </c>
      <c r="AW268" s="74" t="str">
        <f aca="false">IF(ISBLANK($C268),"",IF($T268=Constants!$B$2,TRUE(),IF($T268=Constants!$B$3,FALSE(),FALSE())))</f>
        <v/>
      </c>
      <c r="AX268" s="74" t="str">
        <f aca="false">IF(ISBLANK($C268),"",IF(OR($U268&amp;""="1",$U268&amp;""="2",$U268&amp;""="3",$U268&amp;""="4"),VALUE($U268&amp;""),IF($U268=Constants!$B$12,Constants!$B$12,"")))</f>
        <v/>
      </c>
      <c r="AY268" s="74" t="str">
        <f aca="false">IF(ISBLANK($C268),"",IF(ISBLANK($V268),0,IF(ISNUMBER($V268),IF(AND($V268&gt;=0,$V268&lt;=Constants!$B$21,$V268=INT($V268)),$V268,""),"")))</f>
        <v/>
      </c>
      <c r="AZ268" s="74" t="str">
        <f aca="false">IF(ISBLANK($C268),"",IF(ISBLANK($W268),0,IF(ISNUMBER($W268),IF($W268&gt;=0,$W268,""),"")))</f>
        <v/>
      </c>
      <c r="BA268" s="74" t="str">
        <f aca="false">IF(ISBLANK($C268),"",IF($X268=Constants!$B$2,TRUE(),IF($X268=Constants!$B$3,FALSE(),TRUE())))</f>
        <v/>
      </c>
      <c r="BB268" s="74" t="str">
        <f aca="false">IF(ISBLANK($C268),"",IF($Y268=Constants!$B$2,TRUE(),IF($Y268=Constants!$B$3,FALSE(),FALSE())))</f>
        <v/>
      </c>
      <c r="BC268" s="74" t="str">
        <f aca="false">IF(ISBLANK($C268),"",IF(ISBLANK($Z268),0,IF(ISNUMBER($Z268),IF(AND($Z268&gt;=0,$Z268&lt;=Constants!$B$35,$Z268=INT($Z268)),$Z268,""),"")))</f>
        <v/>
      </c>
      <c r="BD268" s="74" t="str">
        <f aca="false">IF(ISBLANK($C268),"",IF($AA268=Constants!$B$2,TRUE(),IF($AA268=Constants!$B$3,FALSE(),TRUE())))</f>
        <v/>
      </c>
      <c r="BE268" s="74" t="str">
        <f aca="false">IF(ISBLANK($C268),"",IF($AB268=Constants!$B$2,TRUE(),IF($AB268=Constants!$B$3,FALSE(),TRUE())))</f>
        <v/>
      </c>
      <c r="BF268" s="74" t="str">
        <f aca="false">IF(ISBLANK($C268),"",IF(ISNUMBER($AC268),IF($AC268&gt;=0,$AC268,""),""))</f>
        <v/>
      </c>
      <c r="BG268" s="74" t="str">
        <f aca="false">IF(ISBLANK($C268),"",IF($AD268=Constants!$B$2,TRUE(),IF($AD268=Constants!$B$3,FALSE(),FALSE())))</f>
        <v/>
      </c>
      <c r="BH268" s="73" t="str">
        <f aca="false">IF(ISBLANK($C268),"",IF($BG268,Constants!$B$7,IF(COUNTA($E268:$AC268)=0,Constants!$B$6,IF(OR(COUNTA($G268:$AC268)=0,NOT($AK268),$AQ268),Constants!$B$5,IF(OR($CI268&lt;&gt;"",$CJ268,$CK268,$CL268,$CM268,$CN268,$CO268),Constants!$B$8,Constants!$B$4)))))</f>
        <v/>
      </c>
      <c r="BI268" s="74" t="str">
        <f aca="false">IF(ISBLANK($C268),"",IF($BH268&lt;&gt;Constants!$B$4,$BH268,IF(OR(NOT($AH268),NOT($AJ268),NOT($AR268)),Constants!$B$11,IF(OR(NOT($AP268),MAX($AL268,$AM268,$AN268)&gt;Constants!$B$30),Constants!$B$10,Constants!$B$9))))</f>
        <v/>
      </c>
      <c r="BJ268" s="74" t="str">
        <f aca="false">IF($BH268&lt;&gt;Constants!$B$4,"",IF(NOT($AJ268),0,MIN(Constants!$B$35,$BC268)))</f>
        <v/>
      </c>
      <c r="BK268" s="74" t="str">
        <f aca="false">IF($BH268&lt;&gt;Constants!$B$4,"",IF(NOT($AJ268),0,IF($AT268,Constants!$B$18,IF($AS268,Constants!$B$17,0))))</f>
        <v/>
      </c>
      <c r="BL268" s="74" t="str">
        <f aca="false">IF($BH268&lt;&gt;Constants!$B$4,"",IF(NOT($AJ268),0,Constants!$B$19*($AI268+$AU268+$AV268+$AW268)))</f>
        <v/>
      </c>
      <c r="BM268" s="74" t="str">
        <f aca="false">IF($BH268&lt;&gt;Constants!$B$4,"",IF(OR(NOT($AJ268),NOT(ISNUMBER($AX268))),0,CHOOSE($AX268,Constants!$B$13,Constants!$B$14,Constants!$B$15,Constants!$B$16)))</f>
        <v/>
      </c>
      <c r="BN268" s="74" t="str">
        <f aca="false">IF($BH268&lt;&gt;Constants!$B$4,"",IF(NOT($AJ268),0,Constants!$B$20*$AY268))</f>
        <v/>
      </c>
      <c r="BO268" s="74" t="str">
        <f aca="false">IF($BH268&lt;&gt;Constants!$B$4,"",IF(AND($AJ268,$BA268,$BB268),Constants!$B$22,0))</f>
        <v/>
      </c>
      <c r="BP268" s="74" t="str">
        <f aca="false">IF($BH268&lt;&gt;Constants!$B$4,"",IF(OR(NOT($AJ268),NOT($BA268)),0,IF($BF268&gt;=2*$AF$9,0,Constants!$B$23*INT(ROUND(MIN($BF268,$AF$9),6)))))</f>
        <v/>
      </c>
      <c r="BQ268" s="74" t="str">
        <f aca="false">IF($BH268&lt;&gt;Constants!$B$4,"",IF(NOT($AJ268),0,Constants!$B$24*INT(ROUND(MIN($AZ268,$AF$9),6))))</f>
        <v/>
      </c>
      <c r="BR268" s="74" t="str">
        <f aca="false">IF($BH268&lt;&gt;Constants!$B$4,"",IF(AND($AJ268,$BJ268=0),Constants!$B$25,0))</f>
        <v/>
      </c>
      <c r="BS268" s="74" t="str">
        <f aca="false">IF($BH268&lt;&gt;Constants!$B$4,"",MIN(Constants!$B$29,MAX(0,Constants!$B$27*Constants!$B$28*INT(ROUND((Constants!$B$26-$AL268)/Constants!$B$28,6))))+MIN(Constants!$B$29,MAX(0,Constants!$B$27*Constants!$B$28*INT(ROUND((Constants!$B$26-$AM268)/Constants!$B$28,6))))+MIN(Constants!$B$29,MAX(0,Constants!$B$27*Constants!$B$28*INT(ROUND((Constants!$B$26-$AN268)/Constants!$B$28,6)))))</f>
        <v/>
      </c>
      <c r="BT268" s="74" t="str">
        <f aca="false">IF($BH268&lt;&gt;Constants!$B$4,"",IF(NOT($AJ268),0,Constants!$B$31*INT(ROUND(MAX(0,MIN($BF268,2*$AF$9)-$AF$9),6))))</f>
        <v/>
      </c>
      <c r="BU268" s="74" t="str">
        <f aca="false">IF($BH268&lt;&gt;Constants!$B$4,"",Constants!$B$32*(($AL268&gt;Constants!$B$26)+($AM268&gt;Constants!$B$26)+($AN268&gt;Constants!$B$26)))</f>
        <v/>
      </c>
      <c r="BV268" s="74" t="str">
        <f aca="false">IF($BH268&lt;&gt;Constants!$B$4,"",IF(OR(NOT($AJ268),$AO268),0,Constants!$B$33))</f>
        <v/>
      </c>
      <c r="BW268" s="74" t="str">
        <f aca="false">IF($BH268&lt;&gt;Constants!$B$4,"",Constants!$B$34*$BJ268)</f>
        <v/>
      </c>
      <c r="BX268" s="74" t="str">
        <f aca="false">IF($BH268&lt;&gt;Constants!$B$4,"",IF(OR(NOT($AJ268),$BE268),0,Constants!$B$36))</f>
        <v/>
      </c>
      <c r="BY268" s="74" t="str">
        <f aca="false">IF($BH268&lt;&gt;Constants!$B$4,"",IF(OR(NOT($AJ268),$BD268),0,Constants!$B$37))</f>
        <v/>
      </c>
      <c r="BZ268" s="74" t="str">
        <f aca="false">IF($BH268&lt;&gt;Constants!$B$4,"",SUM($BT268:$BY268))</f>
        <v/>
      </c>
      <c r="CA268" s="74" t="str">
        <f aca="false">IF(ISBLANK($C268),"",IF($BH268&lt;&gt;Constants!$B$4,$BH268,SUM($BK268:$BS268)-$BZ268))</f>
        <v/>
      </c>
      <c r="CB268" s="74" t="str">
        <f aca="false">IF(ISBLANK($C268),"",IF($BH268&lt;&gt;Constants!$B$4,$BH268,RANK($CA268,$CA$9:$CA$508)))</f>
        <v/>
      </c>
      <c r="CC268" s="74" t="str">
        <f aca="false">IF(ISBLANK($C268),"",IF($BH268&lt;&gt;Constants!$B$4,$BH268,COUNTIFS($BI$9:$BI$508,"&lt;"&amp;$BI268)+COUNTIFS($BI$9:$BI$508,$BI268,$CB$9:$CB$508,"&lt;"&amp;$CB268)+1))</f>
        <v/>
      </c>
      <c r="CD268" s="74" t="str">
        <f aca="false">IF(ISBLANK($C268),"",IF($BH268&lt;&gt;Constants!$B$4,$BH268,RANK($BZ268,$BZ$9:$BZ$508,1)))</f>
        <v/>
      </c>
      <c r="CE268" s="74" t="str">
        <f aca="false">IF($BH268&lt;&gt;Constants!$B$4,"",$AL268+$AM268+$AN268)</f>
        <v/>
      </c>
      <c r="CF268" s="74" t="str">
        <f aca="false">IF(ISBLANK($C268),"",IF($BH268&lt;&gt;Constants!$B$4,$BH268,RANK($CE268,$CE$9:$CE$508,1)))</f>
        <v/>
      </c>
      <c r="CG268" s="74" t="str">
        <f aca="false">IF(ISBLANK($C268),"",IF($BH268&lt;&gt;Constants!$B$4,$BH268,COUNTIFS($BI$9:$BI$508,"&lt;"&amp;$BI268)+COUNTIFS($BI$9:$BI$508,$BI268,$CB$9:$CB$508,"&lt;"&amp;$CB268)+COUNTIFS($BI$9:$BI$508,$BI268,$CB$9:$CB$508,$CB268,$CD$9:$CD$508,"&lt;"&amp;$CD268)+COUNTIFS($BI$9:$BI$508,$BI268,$CB$9:$CB$508,$CB268,$CD$9:$CD$508,$CD268,$CF$9:$CF$508,"&lt;"&amp;$CF268)+1))</f>
        <v/>
      </c>
      <c r="CH268" s="74" t="str">
        <f aca="false">IF(ISBLANK($C268),"",IF($BH268&lt;&gt;Constants!$B$4,$BH268,$CC268-$CG268))</f>
        <v/>
      </c>
      <c r="CI268" s="74" t="str">
        <f aca="false">IF(ISBLANK($C268),"",IF(NOT($AJ268),"",IF(ISBLANK($D$7),$CI$5,IF(NOT(ISNUMBER($D$7)),$CI$6,""))))</f>
        <v/>
      </c>
      <c r="CJ268" s="74" t="str">
        <f aca="false">IF(ISBLANK($C268),"",OR($AL268="",$AM268="",$AN268=""))</f>
        <v/>
      </c>
      <c r="CK268" s="74" t="str">
        <f aca="false">IF(ISBLANK($C268),"",AND($AJ268,$AX268=""))</f>
        <v/>
      </c>
      <c r="CL268" s="74" t="str">
        <f aca="false">IF(ISBLANK($C268),"",AND($AJ268,$AY268=""))</f>
        <v/>
      </c>
      <c r="CM268" s="74" t="str">
        <f aca="false">IF(ISBLANK($C268),"",AND($AJ268,$AZ268=""))</f>
        <v/>
      </c>
      <c r="CN268" s="74" t="str">
        <f aca="false">IF(ISBLANK($C268),"",AND($AJ268,$BC268=""))</f>
        <v/>
      </c>
      <c r="CO268" s="74" t="str">
        <f aca="false">IF(ISBLANK($C268),"",AND($AJ268,$BF268=""))</f>
        <v/>
      </c>
      <c r="CP268" s="75"/>
      <c r="CQ268" s="76"/>
      <c r="CR268" s="79" t="str">
        <f aca="false">IF(ISBLANK($C268),"",IF($BH268=Constants!$B$8,$CI268,""))</f>
        <v/>
      </c>
      <c r="CS268" s="76" t="str">
        <f aca="false">IF(ISBLANK($C268),"",IF($BH268&lt;&gt;Constants!$B$4,"",$BK268+$BL268))</f>
        <v/>
      </c>
      <c r="CT268" s="78" t="str">
        <f aca="false">IF(ISBLANK($C268),"",IF($BH268&lt;&gt;Constants!$B$4,"",$BM268+$BN268+$BO268))</f>
        <v/>
      </c>
      <c r="CU268" s="78" t="str">
        <f aca="false">IF(ISBLANK($C268),"",IF($BH268&lt;&gt;Constants!$B$4,"",$BP268))</f>
        <v/>
      </c>
      <c r="CV268" s="78" t="str">
        <f aca="false">IF(ISBLANK($C268),"",IF($BH268&lt;&gt;Constants!$B$4,"",$BQ268+$BR268))</f>
        <v/>
      </c>
      <c r="CW268" s="78" t="str">
        <f aca="false">IF(ISBLANK($C268),"",IF($BH268&lt;&gt;Constants!$B$4,"",$BS268))</f>
        <v/>
      </c>
      <c r="CX268" s="78" t="str">
        <f aca="false">IF(ISBLANK($C268),"",IF($BH268&lt;&gt;Constants!$B$4,"",-$BZ268))</f>
        <v/>
      </c>
      <c r="CY268" s="79" t="str">
        <f aca="false">IF(ISBLANK($C268),"",$CA268)</f>
        <v/>
      </c>
      <c r="CZ268" s="80" t="str">
        <f aca="false">IF(ISBLANK($C268),"",$BI268)</f>
        <v/>
      </c>
      <c r="DA268" s="78" t="str">
        <f aca="false">IF(ISBLANK($C268),"",$CH268)</f>
        <v/>
      </c>
      <c r="DB268" s="78" t="str">
        <f aca="false">IF(ISBLANK($C268),"",$CG268)</f>
        <v/>
      </c>
      <c r="DC268" s="81" t="str">
        <f aca="false">IF(ISBLANK($C268),"",IFERROR(_xlfn.SWITCH($DB268,Constants!$B$7,COUNTA($C$9:$C$508)+2,Constants!$B$6,COUNTA($C$9:$C$508)+1,Constants!$B$5,COUNTA($C$9:$C$508)),$DB268))</f>
        <v/>
      </c>
      <c r="DD268" s="7"/>
      <c r="DE268" s="82" t="n">
        <f aca="false">IF(OR(ISNUMBER($DB268),$DB268=Constants!$B$7,$DB268=Constants!$B$5,$DB268=Constants!$B$6),1,0)</f>
        <v>0</v>
      </c>
      <c r="DF268" s="82" t="n">
        <v>260</v>
      </c>
      <c r="DG268" s="82" t="str">
        <f aca="false">IF(ISBLANK($C268),"",IF(ISNUMBER($DC268),$DC268+ROW($B268)/1000,""))</f>
        <v/>
      </c>
      <c r="DH268" s="82" t="str">
        <f aca="false">IF(ISNUMBER($DG268),RANK($DG268,$DG$9:$DG$508,1),"")</f>
        <v/>
      </c>
      <c r="DI268" s="82" t="str">
        <f aca="false">IF(ISBLANK($C268),"",$B268)</f>
        <v/>
      </c>
      <c r="DJ268" s="82" t="str">
        <f aca="false">IF(ISBLANK($C268),"",$C268)</f>
        <v/>
      </c>
      <c r="DK268" s="82" t="str">
        <f aca="false">IF(ISBLANK($C268),"",$D268)</f>
        <v/>
      </c>
      <c r="DL268" s="83" t="str">
        <f aca="false">$CZ268</f>
        <v/>
      </c>
      <c r="DM268" s="84" t="str">
        <f aca="false">$CY268</f>
        <v/>
      </c>
      <c r="DN268" s="82" t="str">
        <f aca="false">IF(ISBLANK($C268),"",$DB268)</f>
        <v/>
      </c>
      <c r="DO268" s="85" t="str">
        <f aca="false">IF($DF268&gt;$DE$8,"",VLOOKUP($DF268,$DH$9:$DN$508,7,FALSE()))</f>
        <v/>
      </c>
      <c r="DP268" s="86" t="str">
        <f aca="false">IF($DF268&gt;$DE$8,"",VLOOKUP($DF268,$DH$9:$DN$508,2,FALSE()))</f>
        <v/>
      </c>
      <c r="DQ268" s="86" t="str">
        <f aca="false">IF($DF268&gt;$DE$8,"",VLOOKUP($DF268,$DH$9:$DN$508,3,FALSE()))</f>
        <v/>
      </c>
      <c r="DR268" s="86" t="str">
        <f aca="false">IF($DF268&gt;$DE$8,"",VLOOKUP($DF268,$DH$9:$DN$508,4,FALSE()))</f>
        <v/>
      </c>
      <c r="DS268" s="86" t="str">
        <f aca="false">IF($DF268&gt;$DE$8,"",VLOOKUP($DF268,$DH$9:$DN$508,5,FALSE()))</f>
        <v/>
      </c>
      <c r="DT268" s="87" t="str">
        <f aca="false">IF($DF268&gt;$DE$8,"",VLOOKUP($DF268,$DH$9:$DN$508,6,FALSE()))</f>
        <v/>
      </c>
      <c r="DU268" s="62"/>
    </row>
    <row r="269" customFormat="false" ht="15.75" hidden="false" customHeight="false" outlineLevel="0" collapsed="false">
      <c r="A269" s="7"/>
      <c r="B269" s="64"/>
      <c r="C269" s="65"/>
      <c r="D269" s="123"/>
      <c r="E269" s="88"/>
      <c r="F269" s="134"/>
      <c r="G269" s="88"/>
      <c r="H269" s="134"/>
      <c r="I269" s="119"/>
      <c r="J269" s="119"/>
      <c r="K269" s="119"/>
      <c r="L269" s="88"/>
      <c r="M269" s="88"/>
      <c r="N269" s="88"/>
      <c r="O269" s="134"/>
      <c r="P269" s="88"/>
      <c r="Q269" s="88"/>
      <c r="R269" s="88"/>
      <c r="S269" s="88"/>
      <c r="T269" s="134"/>
      <c r="U269" s="88"/>
      <c r="V269" s="70"/>
      <c r="W269" s="88"/>
      <c r="X269" s="88"/>
      <c r="Y269" s="70"/>
      <c r="Z269" s="70"/>
      <c r="AA269" s="88"/>
      <c r="AB269" s="88"/>
      <c r="AC269" s="71"/>
      <c r="AD269" s="88"/>
      <c r="AE269" s="73"/>
      <c r="AF269" s="74"/>
      <c r="AG269" s="74"/>
      <c r="AH269" s="74" t="str">
        <f aca="false">IF(ISBLANK($C269),"",IF($E269=Constants!$B$2,TRUE(),IF($E269=Constants!$B$3,FALSE(),TRUE())))</f>
        <v/>
      </c>
      <c r="AI269" s="74" t="str">
        <f aca="false">IF(ISBLANK($C269),"",IF($F269=Constants!$B$2,TRUE(),IF($F269=Constants!$B$3,FALSE(),FALSE())))</f>
        <v/>
      </c>
      <c r="AJ269" s="74" t="str">
        <f aca="false">IF(ISBLANK($C269),"",IF($G269=Constants!$B$2,TRUE(),IF($G269=Constants!$B$3,FALSE(),TRUE())))</f>
        <v/>
      </c>
      <c r="AK269" s="74" t="str">
        <f aca="false">IF(ISBLANK($C269),"",IF($H269=Constants!$B$2,TRUE(),IF($H269=Constants!$B$3,FALSE(),TRUE())))</f>
        <v/>
      </c>
      <c r="AL269" s="74" t="str">
        <f aca="false">IF(ISBLANK($C269),"",IF(ISNUMBER($I269),IF($I269&gt;=0,$I269,""),""))</f>
        <v/>
      </c>
      <c r="AM269" s="74" t="str">
        <f aca="false">IF(ISBLANK($C269),"",IF(ISNUMBER($J269),IF($J269&gt;=0,$J269,""),""))</f>
        <v/>
      </c>
      <c r="AN269" s="74" t="str">
        <f aca="false">IF(ISBLANK($C269),"",IF(ISNUMBER($K269),IF($K269&gt;=0,$K269,""),""))</f>
        <v/>
      </c>
      <c r="AO269" s="74" t="str">
        <f aca="false">IF(ISBLANK($C269),"",IF($L269=Constants!$B$2,TRUE(),IF($L269=Constants!$B$3,FALSE(),TRUE())))</f>
        <v/>
      </c>
      <c r="AP269" s="74" t="str">
        <f aca="false">IF(ISBLANK($C269),"",IF($M269=Constants!$B$2,TRUE(),IF($M269=Constants!$B$3,FALSE(),TRUE())))</f>
        <v/>
      </c>
      <c r="AQ269" s="74" t="str">
        <f aca="false">IF(ISBLANK($C269),"",IF($N269=Constants!$B$2,TRUE(),IF($N269=Constants!$B$3,FALSE(),FALSE())))</f>
        <v/>
      </c>
      <c r="AR269" s="74" t="str">
        <f aca="false">IF(ISBLANK($C269),"",IF($O269=Constants!$B$2,TRUE(),IF($O269=Constants!$B$3,FALSE(),TRUE())))</f>
        <v/>
      </c>
      <c r="AS269" s="74" t="str">
        <f aca="false">IF(ISBLANK($C269),"",IF($P269=Constants!$B$2,TRUE(),IF($P269=Constants!$B$3,FALSE(),FALSE())))</f>
        <v/>
      </c>
      <c r="AT269" s="74" t="str">
        <f aca="false">IF(ISBLANK($C269),"",IF($Q269=Constants!$B$2,TRUE(),IF($Q269=Constants!$B$3,FALSE(),FALSE())))</f>
        <v/>
      </c>
      <c r="AU269" s="74" t="str">
        <f aca="false">IF(ISBLANK($C269),"",IF($R269=Constants!$B$2,TRUE(),IF($R269=Constants!$B$3,FALSE(),FALSE())))</f>
        <v/>
      </c>
      <c r="AV269" s="74" t="str">
        <f aca="false">IF(ISBLANK($C269),"",IF($S269=Constants!$B$2,TRUE(),IF($S269=Constants!$B$3,FALSE(),FALSE())))</f>
        <v/>
      </c>
      <c r="AW269" s="74" t="str">
        <f aca="false">IF(ISBLANK($C269),"",IF($T269=Constants!$B$2,TRUE(),IF($T269=Constants!$B$3,FALSE(),FALSE())))</f>
        <v/>
      </c>
      <c r="AX269" s="74" t="str">
        <f aca="false">IF(ISBLANK($C269),"",IF(OR($U269&amp;""="1",$U269&amp;""="2",$U269&amp;""="3",$U269&amp;""="4"),VALUE($U269&amp;""),IF($U269=Constants!$B$12,Constants!$B$12,"")))</f>
        <v/>
      </c>
      <c r="AY269" s="74" t="str">
        <f aca="false">IF(ISBLANK($C269),"",IF(ISBLANK($V269),0,IF(ISNUMBER($V269),IF(AND($V269&gt;=0,$V269&lt;=Constants!$B$21,$V269=INT($V269)),$V269,""),"")))</f>
        <v/>
      </c>
      <c r="AZ269" s="74" t="str">
        <f aca="false">IF(ISBLANK($C269),"",IF(ISBLANK($W269),0,IF(ISNUMBER($W269),IF($W269&gt;=0,$W269,""),"")))</f>
        <v/>
      </c>
      <c r="BA269" s="74" t="str">
        <f aca="false">IF(ISBLANK($C269),"",IF($X269=Constants!$B$2,TRUE(),IF($X269=Constants!$B$3,FALSE(),TRUE())))</f>
        <v/>
      </c>
      <c r="BB269" s="74" t="str">
        <f aca="false">IF(ISBLANK($C269),"",IF($Y269=Constants!$B$2,TRUE(),IF($Y269=Constants!$B$3,FALSE(),FALSE())))</f>
        <v/>
      </c>
      <c r="BC269" s="74" t="str">
        <f aca="false">IF(ISBLANK($C269),"",IF(ISBLANK($Z269),0,IF(ISNUMBER($Z269),IF(AND($Z269&gt;=0,$Z269&lt;=Constants!$B$35,$Z269=INT($Z269)),$Z269,""),"")))</f>
        <v/>
      </c>
      <c r="BD269" s="74" t="str">
        <f aca="false">IF(ISBLANK($C269),"",IF($AA269=Constants!$B$2,TRUE(),IF($AA269=Constants!$B$3,FALSE(),TRUE())))</f>
        <v/>
      </c>
      <c r="BE269" s="74" t="str">
        <f aca="false">IF(ISBLANK($C269),"",IF($AB269=Constants!$B$2,TRUE(),IF($AB269=Constants!$B$3,FALSE(),TRUE())))</f>
        <v/>
      </c>
      <c r="BF269" s="74" t="str">
        <f aca="false">IF(ISBLANK($C269),"",IF(ISNUMBER($AC269),IF($AC269&gt;=0,$AC269,""),""))</f>
        <v/>
      </c>
      <c r="BG269" s="74" t="str">
        <f aca="false">IF(ISBLANK($C269),"",IF($AD269=Constants!$B$2,TRUE(),IF($AD269=Constants!$B$3,FALSE(),FALSE())))</f>
        <v/>
      </c>
      <c r="BH269" s="73" t="str">
        <f aca="false">IF(ISBLANK($C269),"",IF($BG269,Constants!$B$7,IF(COUNTA($E269:$AC269)=0,Constants!$B$6,IF(OR(COUNTA($G269:$AC269)=0,NOT($AK269),$AQ269),Constants!$B$5,IF(OR($CI269&lt;&gt;"",$CJ269,$CK269,$CL269,$CM269,$CN269,$CO269),Constants!$B$8,Constants!$B$4)))))</f>
        <v/>
      </c>
      <c r="BI269" s="74" t="str">
        <f aca="false">IF(ISBLANK($C269),"",IF($BH269&lt;&gt;Constants!$B$4,$BH269,IF(OR(NOT($AH269),NOT($AJ269),NOT($AR269)),Constants!$B$11,IF(OR(NOT($AP269),MAX($AL269,$AM269,$AN269)&gt;Constants!$B$30),Constants!$B$10,Constants!$B$9))))</f>
        <v/>
      </c>
      <c r="BJ269" s="74" t="str">
        <f aca="false">IF($BH269&lt;&gt;Constants!$B$4,"",IF(NOT($AJ269),0,MIN(Constants!$B$35,$BC269)))</f>
        <v/>
      </c>
      <c r="BK269" s="74" t="str">
        <f aca="false">IF($BH269&lt;&gt;Constants!$B$4,"",IF(NOT($AJ269),0,IF($AT269,Constants!$B$18,IF($AS269,Constants!$B$17,0))))</f>
        <v/>
      </c>
      <c r="BL269" s="74" t="str">
        <f aca="false">IF($BH269&lt;&gt;Constants!$B$4,"",IF(NOT($AJ269),0,Constants!$B$19*($AI269+$AU269+$AV269+$AW269)))</f>
        <v/>
      </c>
      <c r="BM269" s="74" t="str">
        <f aca="false">IF($BH269&lt;&gt;Constants!$B$4,"",IF(OR(NOT($AJ269),NOT(ISNUMBER($AX269))),0,CHOOSE($AX269,Constants!$B$13,Constants!$B$14,Constants!$B$15,Constants!$B$16)))</f>
        <v/>
      </c>
      <c r="BN269" s="74" t="str">
        <f aca="false">IF($BH269&lt;&gt;Constants!$B$4,"",IF(NOT($AJ269),0,Constants!$B$20*$AY269))</f>
        <v/>
      </c>
      <c r="BO269" s="74" t="str">
        <f aca="false">IF($BH269&lt;&gt;Constants!$B$4,"",IF(AND($AJ269,$BA269,$BB269),Constants!$B$22,0))</f>
        <v/>
      </c>
      <c r="BP269" s="74" t="str">
        <f aca="false">IF($BH269&lt;&gt;Constants!$B$4,"",IF(OR(NOT($AJ269),NOT($BA269)),0,IF($BF269&gt;=2*$AF$9,0,Constants!$B$23*INT(ROUND(MIN($BF269,$AF$9),6)))))</f>
        <v/>
      </c>
      <c r="BQ269" s="74" t="str">
        <f aca="false">IF($BH269&lt;&gt;Constants!$B$4,"",IF(NOT($AJ269),0,Constants!$B$24*INT(ROUND(MIN($AZ269,$AF$9),6))))</f>
        <v/>
      </c>
      <c r="BR269" s="74" t="str">
        <f aca="false">IF($BH269&lt;&gt;Constants!$B$4,"",IF(AND($AJ269,$BJ269=0),Constants!$B$25,0))</f>
        <v/>
      </c>
      <c r="BS269" s="74" t="str">
        <f aca="false">IF($BH269&lt;&gt;Constants!$B$4,"",MIN(Constants!$B$29,MAX(0,Constants!$B$27*Constants!$B$28*INT(ROUND((Constants!$B$26-$AL269)/Constants!$B$28,6))))+MIN(Constants!$B$29,MAX(0,Constants!$B$27*Constants!$B$28*INT(ROUND((Constants!$B$26-$AM269)/Constants!$B$28,6))))+MIN(Constants!$B$29,MAX(0,Constants!$B$27*Constants!$B$28*INT(ROUND((Constants!$B$26-$AN269)/Constants!$B$28,6)))))</f>
        <v/>
      </c>
      <c r="BT269" s="74" t="str">
        <f aca="false">IF($BH269&lt;&gt;Constants!$B$4,"",IF(NOT($AJ269),0,Constants!$B$31*INT(ROUND(MAX(0,MIN($BF269,2*$AF$9)-$AF$9),6))))</f>
        <v/>
      </c>
      <c r="BU269" s="74" t="str">
        <f aca="false">IF($BH269&lt;&gt;Constants!$B$4,"",Constants!$B$32*(($AL269&gt;Constants!$B$26)+($AM269&gt;Constants!$B$26)+($AN269&gt;Constants!$B$26)))</f>
        <v/>
      </c>
      <c r="BV269" s="74" t="str">
        <f aca="false">IF($BH269&lt;&gt;Constants!$B$4,"",IF(OR(NOT($AJ269),$AO269),0,Constants!$B$33))</f>
        <v/>
      </c>
      <c r="BW269" s="74" t="str">
        <f aca="false">IF($BH269&lt;&gt;Constants!$B$4,"",Constants!$B$34*$BJ269)</f>
        <v/>
      </c>
      <c r="BX269" s="74" t="str">
        <f aca="false">IF($BH269&lt;&gt;Constants!$B$4,"",IF(OR(NOT($AJ269),$BE269),0,Constants!$B$36))</f>
        <v/>
      </c>
      <c r="BY269" s="74" t="str">
        <f aca="false">IF($BH269&lt;&gt;Constants!$B$4,"",IF(OR(NOT($AJ269),$BD269),0,Constants!$B$37))</f>
        <v/>
      </c>
      <c r="BZ269" s="74" t="str">
        <f aca="false">IF($BH269&lt;&gt;Constants!$B$4,"",SUM($BT269:$BY269))</f>
        <v/>
      </c>
      <c r="CA269" s="74" t="str">
        <f aca="false">IF(ISBLANK($C269),"",IF($BH269&lt;&gt;Constants!$B$4,$BH269,SUM($BK269:$BS269)-$BZ269))</f>
        <v/>
      </c>
      <c r="CB269" s="74" t="str">
        <f aca="false">IF(ISBLANK($C269),"",IF($BH269&lt;&gt;Constants!$B$4,$BH269,RANK($CA269,$CA$9:$CA$508)))</f>
        <v/>
      </c>
      <c r="CC269" s="74" t="str">
        <f aca="false">IF(ISBLANK($C269),"",IF($BH269&lt;&gt;Constants!$B$4,$BH269,COUNTIFS($BI$9:$BI$508,"&lt;"&amp;$BI269)+COUNTIFS($BI$9:$BI$508,$BI269,$CB$9:$CB$508,"&lt;"&amp;$CB269)+1))</f>
        <v/>
      </c>
      <c r="CD269" s="74" t="str">
        <f aca="false">IF(ISBLANK($C269),"",IF($BH269&lt;&gt;Constants!$B$4,$BH269,RANK($BZ269,$BZ$9:$BZ$508,1)))</f>
        <v/>
      </c>
      <c r="CE269" s="74" t="str">
        <f aca="false">IF($BH269&lt;&gt;Constants!$B$4,"",$AL269+$AM269+$AN269)</f>
        <v/>
      </c>
      <c r="CF269" s="74" t="str">
        <f aca="false">IF(ISBLANK($C269),"",IF($BH269&lt;&gt;Constants!$B$4,$BH269,RANK($CE269,$CE$9:$CE$508,1)))</f>
        <v/>
      </c>
      <c r="CG269" s="74" t="str">
        <f aca="false">IF(ISBLANK($C269),"",IF($BH269&lt;&gt;Constants!$B$4,$BH269,COUNTIFS($BI$9:$BI$508,"&lt;"&amp;$BI269)+COUNTIFS($BI$9:$BI$508,$BI269,$CB$9:$CB$508,"&lt;"&amp;$CB269)+COUNTIFS($BI$9:$BI$508,$BI269,$CB$9:$CB$508,$CB269,$CD$9:$CD$508,"&lt;"&amp;$CD269)+COUNTIFS($BI$9:$BI$508,$BI269,$CB$9:$CB$508,$CB269,$CD$9:$CD$508,$CD269,$CF$9:$CF$508,"&lt;"&amp;$CF269)+1))</f>
        <v/>
      </c>
      <c r="CH269" s="74" t="str">
        <f aca="false">IF(ISBLANK($C269),"",IF($BH269&lt;&gt;Constants!$B$4,$BH269,$CC269-$CG269))</f>
        <v/>
      </c>
      <c r="CI269" s="74" t="str">
        <f aca="false">IF(ISBLANK($C269),"",IF(NOT($AJ269),"",IF(ISBLANK($D$7),$CI$5,IF(NOT(ISNUMBER($D$7)),$CI$6,""))))</f>
        <v/>
      </c>
      <c r="CJ269" s="74" t="str">
        <f aca="false">IF(ISBLANK($C269),"",OR($AL269="",$AM269="",$AN269=""))</f>
        <v/>
      </c>
      <c r="CK269" s="74" t="str">
        <f aca="false">IF(ISBLANK($C269),"",AND($AJ269,$AX269=""))</f>
        <v/>
      </c>
      <c r="CL269" s="74" t="str">
        <f aca="false">IF(ISBLANK($C269),"",AND($AJ269,$AY269=""))</f>
        <v/>
      </c>
      <c r="CM269" s="74" t="str">
        <f aca="false">IF(ISBLANK($C269),"",AND($AJ269,$AZ269=""))</f>
        <v/>
      </c>
      <c r="CN269" s="74" t="str">
        <f aca="false">IF(ISBLANK($C269),"",AND($AJ269,$BC269=""))</f>
        <v/>
      </c>
      <c r="CO269" s="74" t="str">
        <f aca="false">IF(ISBLANK($C269),"",AND($AJ269,$BF269=""))</f>
        <v/>
      </c>
      <c r="CP269" s="75"/>
      <c r="CQ269" s="76"/>
      <c r="CR269" s="79" t="str">
        <f aca="false">IF(ISBLANK($C269),"",IF($BH269=Constants!$B$8,$CI269,""))</f>
        <v/>
      </c>
      <c r="CS269" s="76" t="str">
        <f aca="false">IF(ISBLANK($C269),"",IF($BH269&lt;&gt;Constants!$B$4,"",$BK269+$BL269))</f>
        <v/>
      </c>
      <c r="CT269" s="78" t="str">
        <f aca="false">IF(ISBLANK($C269),"",IF($BH269&lt;&gt;Constants!$B$4,"",$BM269+$BN269+$BO269))</f>
        <v/>
      </c>
      <c r="CU269" s="78" t="str">
        <f aca="false">IF(ISBLANK($C269),"",IF($BH269&lt;&gt;Constants!$B$4,"",$BP269))</f>
        <v/>
      </c>
      <c r="CV269" s="78" t="str">
        <f aca="false">IF(ISBLANK($C269),"",IF($BH269&lt;&gt;Constants!$B$4,"",$BQ269+$BR269))</f>
        <v/>
      </c>
      <c r="CW269" s="78" t="str">
        <f aca="false">IF(ISBLANK($C269),"",IF($BH269&lt;&gt;Constants!$B$4,"",$BS269))</f>
        <v/>
      </c>
      <c r="CX269" s="78" t="str">
        <f aca="false">IF(ISBLANK($C269),"",IF($BH269&lt;&gt;Constants!$B$4,"",-$BZ269))</f>
        <v/>
      </c>
      <c r="CY269" s="79" t="str">
        <f aca="false">IF(ISBLANK($C269),"",$CA269)</f>
        <v/>
      </c>
      <c r="CZ269" s="80" t="str">
        <f aca="false">IF(ISBLANK($C269),"",$BI269)</f>
        <v/>
      </c>
      <c r="DA269" s="78" t="str">
        <f aca="false">IF(ISBLANK($C269),"",$CH269)</f>
        <v/>
      </c>
      <c r="DB269" s="78" t="str">
        <f aca="false">IF(ISBLANK($C269),"",$CG269)</f>
        <v/>
      </c>
      <c r="DC269" s="81" t="str">
        <f aca="false">IF(ISBLANK($C269),"",IFERROR(_xlfn.SWITCH($DB269,Constants!$B$7,COUNTA($C$9:$C$508)+2,Constants!$B$6,COUNTA($C$9:$C$508)+1,Constants!$B$5,COUNTA($C$9:$C$508)),$DB269))</f>
        <v/>
      </c>
      <c r="DD269" s="7"/>
      <c r="DE269" s="82" t="n">
        <f aca="false">IF(OR(ISNUMBER($DB269),$DB269=Constants!$B$7,$DB269=Constants!$B$5,$DB269=Constants!$B$6),1,0)</f>
        <v>0</v>
      </c>
      <c r="DF269" s="82" t="n">
        <v>261</v>
      </c>
      <c r="DG269" s="82" t="str">
        <f aca="false">IF(ISBLANK($C269),"",IF(ISNUMBER($DC269),$DC269+ROW($B269)/1000,""))</f>
        <v/>
      </c>
      <c r="DH269" s="82" t="str">
        <f aca="false">IF(ISNUMBER($DG269),RANK($DG269,$DG$9:$DG$508,1),"")</f>
        <v/>
      </c>
      <c r="DI269" s="82" t="str">
        <f aca="false">IF(ISBLANK($C269),"",$B269)</f>
        <v/>
      </c>
      <c r="DJ269" s="82" t="str">
        <f aca="false">IF(ISBLANK($C269),"",$C269)</f>
        <v/>
      </c>
      <c r="DK269" s="82" t="str">
        <f aca="false">IF(ISBLANK($C269),"",$D269)</f>
        <v/>
      </c>
      <c r="DL269" s="83" t="str">
        <f aca="false">$CZ269</f>
        <v/>
      </c>
      <c r="DM269" s="84" t="str">
        <f aca="false">$CY269</f>
        <v/>
      </c>
      <c r="DN269" s="82" t="str">
        <f aca="false">IF(ISBLANK($C269),"",$DB269)</f>
        <v/>
      </c>
      <c r="DO269" s="85" t="str">
        <f aca="false">IF($DF269&gt;$DE$8,"",VLOOKUP($DF269,$DH$9:$DN$508,7,FALSE()))</f>
        <v/>
      </c>
      <c r="DP269" s="86" t="str">
        <f aca="false">IF($DF269&gt;$DE$8,"",VLOOKUP($DF269,$DH$9:$DN$508,2,FALSE()))</f>
        <v/>
      </c>
      <c r="DQ269" s="86" t="str">
        <f aca="false">IF($DF269&gt;$DE$8,"",VLOOKUP($DF269,$DH$9:$DN$508,3,FALSE()))</f>
        <v/>
      </c>
      <c r="DR269" s="86" t="str">
        <f aca="false">IF($DF269&gt;$DE$8,"",VLOOKUP($DF269,$DH$9:$DN$508,4,FALSE()))</f>
        <v/>
      </c>
      <c r="DS269" s="86" t="str">
        <f aca="false">IF($DF269&gt;$DE$8,"",VLOOKUP($DF269,$DH$9:$DN$508,5,FALSE()))</f>
        <v/>
      </c>
      <c r="DT269" s="87" t="str">
        <f aca="false">IF($DF269&gt;$DE$8,"",VLOOKUP($DF269,$DH$9:$DN$508,6,FALSE()))</f>
        <v/>
      </c>
      <c r="DU269" s="62"/>
    </row>
    <row r="270" customFormat="false" ht="15.75" hidden="false" customHeight="false" outlineLevel="0" collapsed="false">
      <c r="A270" s="7"/>
      <c r="B270" s="90"/>
      <c r="C270" s="91"/>
      <c r="D270" s="126"/>
      <c r="E270" s="130"/>
      <c r="F270" s="135"/>
      <c r="G270" s="130"/>
      <c r="H270" s="135"/>
      <c r="I270" s="131"/>
      <c r="J270" s="131"/>
      <c r="K270" s="131"/>
      <c r="L270" s="130"/>
      <c r="M270" s="130"/>
      <c r="N270" s="130"/>
      <c r="O270" s="135"/>
      <c r="P270" s="130"/>
      <c r="Q270" s="130"/>
      <c r="R270" s="130"/>
      <c r="S270" s="130"/>
      <c r="T270" s="135"/>
      <c r="U270" s="130"/>
      <c r="V270" s="96"/>
      <c r="W270" s="130"/>
      <c r="X270" s="130"/>
      <c r="Y270" s="96"/>
      <c r="Z270" s="96"/>
      <c r="AA270" s="130"/>
      <c r="AB270" s="130"/>
      <c r="AC270" s="97"/>
      <c r="AD270" s="130"/>
      <c r="AE270" s="99"/>
      <c r="AF270" s="100"/>
      <c r="AG270" s="100"/>
      <c r="AH270" s="100" t="str">
        <f aca="false">IF(ISBLANK($C270),"",IF($E270=Constants!$B$2,TRUE(),IF($E270=Constants!$B$3,FALSE(),TRUE())))</f>
        <v/>
      </c>
      <c r="AI270" s="100" t="str">
        <f aca="false">IF(ISBLANK($C270),"",IF($F270=Constants!$B$2,TRUE(),IF($F270=Constants!$B$3,FALSE(),FALSE())))</f>
        <v/>
      </c>
      <c r="AJ270" s="100" t="str">
        <f aca="false">IF(ISBLANK($C270),"",IF($G270=Constants!$B$2,TRUE(),IF($G270=Constants!$B$3,FALSE(),TRUE())))</f>
        <v/>
      </c>
      <c r="AK270" s="100" t="str">
        <f aca="false">IF(ISBLANK($C270),"",IF($H270=Constants!$B$2,TRUE(),IF($H270=Constants!$B$3,FALSE(),TRUE())))</f>
        <v/>
      </c>
      <c r="AL270" s="100" t="str">
        <f aca="false">IF(ISBLANK($C270),"",IF(ISNUMBER($I270),IF($I270&gt;=0,$I270,""),""))</f>
        <v/>
      </c>
      <c r="AM270" s="100" t="str">
        <f aca="false">IF(ISBLANK($C270),"",IF(ISNUMBER($J270),IF($J270&gt;=0,$J270,""),""))</f>
        <v/>
      </c>
      <c r="AN270" s="100" t="str">
        <f aca="false">IF(ISBLANK($C270),"",IF(ISNUMBER($K270),IF($K270&gt;=0,$K270,""),""))</f>
        <v/>
      </c>
      <c r="AO270" s="100" t="str">
        <f aca="false">IF(ISBLANK($C270),"",IF($L270=Constants!$B$2,TRUE(),IF($L270=Constants!$B$3,FALSE(),TRUE())))</f>
        <v/>
      </c>
      <c r="AP270" s="100" t="str">
        <f aca="false">IF(ISBLANK($C270),"",IF($M270=Constants!$B$2,TRUE(),IF($M270=Constants!$B$3,FALSE(),TRUE())))</f>
        <v/>
      </c>
      <c r="AQ270" s="100" t="str">
        <f aca="false">IF(ISBLANK($C270),"",IF($N270=Constants!$B$2,TRUE(),IF($N270=Constants!$B$3,FALSE(),FALSE())))</f>
        <v/>
      </c>
      <c r="AR270" s="100" t="str">
        <f aca="false">IF(ISBLANK($C270),"",IF($O270=Constants!$B$2,TRUE(),IF($O270=Constants!$B$3,FALSE(),TRUE())))</f>
        <v/>
      </c>
      <c r="AS270" s="100" t="str">
        <f aca="false">IF(ISBLANK($C270),"",IF($P270=Constants!$B$2,TRUE(),IF($P270=Constants!$B$3,FALSE(),FALSE())))</f>
        <v/>
      </c>
      <c r="AT270" s="100" t="str">
        <f aca="false">IF(ISBLANK($C270),"",IF($Q270=Constants!$B$2,TRUE(),IF($Q270=Constants!$B$3,FALSE(),FALSE())))</f>
        <v/>
      </c>
      <c r="AU270" s="100" t="str">
        <f aca="false">IF(ISBLANK($C270),"",IF($R270=Constants!$B$2,TRUE(),IF($R270=Constants!$B$3,FALSE(),FALSE())))</f>
        <v/>
      </c>
      <c r="AV270" s="100" t="str">
        <f aca="false">IF(ISBLANK($C270),"",IF($S270=Constants!$B$2,TRUE(),IF($S270=Constants!$B$3,FALSE(),FALSE())))</f>
        <v/>
      </c>
      <c r="AW270" s="100" t="str">
        <f aca="false">IF(ISBLANK($C270),"",IF($T270=Constants!$B$2,TRUE(),IF($T270=Constants!$B$3,FALSE(),FALSE())))</f>
        <v/>
      </c>
      <c r="AX270" s="100" t="str">
        <f aca="false">IF(ISBLANK($C270),"",IF(OR($U270&amp;""="1",$U270&amp;""="2",$U270&amp;""="3",$U270&amp;""="4"),VALUE($U270&amp;""),IF($U270=Constants!$B$12,Constants!$B$12,"")))</f>
        <v/>
      </c>
      <c r="AY270" s="100" t="str">
        <f aca="false">IF(ISBLANK($C270),"",IF(ISBLANK($V270),0,IF(ISNUMBER($V270),IF(AND($V270&gt;=0,$V270&lt;=Constants!$B$21,$V270=INT($V270)),$V270,""),"")))</f>
        <v/>
      </c>
      <c r="AZ270" s="100" t="str">
        <f aca="false">IF(ISBLANK($C270),"",IF(ISBLANK($W270),0,IF(ISNUMBER($W270),IF($W270&gt;=0,$W270,""),"")))</f>
        <v/>
      </c>
      <c r="BA270" s="100" t="str">
        <f aca="false">IF(ISBLANK($C270),"",IF($X270=Constants!$B$2,TRUE(),IF($X270=Constants!$B$3,FALSE(),TRUE())))</f>
        <v/>
      </c>
      <c r="BB270" s="100" t="str">
        <f aca="false">IF(ISBLANK($C270),"",IF($Y270=Constants!$B$2,TRUE(),IF($Y270=Constants!$B$3,FALSE(),FALSE())))</f>
        <v/>
      </c>
      <c r="BC270" s="100" t="str">
        <f aca="false">IF(ISBLANK($C270),"",IF(ISBLANK($Z270),0,IF(ISNUMBER($Z270),IF(AND($Z270&gt;=0,$Z270&lt;=Constants!$B$35,$Z270=INT($Z270)),$Z270,""),"")))</f>
        <v/>
      </c>
      <c r="BD270" s="100" t="str">
        <f aca="false">IF(ISBLANK($C270),"",IF($AA270=Constants!$B$2,TRUE(),IF($AA270=Constants!$B$3,FALSE(),TRUE())))</f>
        <v/>
      </c>
      <c r="BE270" s="100" t="str">
        <f aca="false">IF(ISBLANK($C270),"",IF($AB270=Constants!$B$2,TRUE(),IF($AB270=Constants!$B$3,FALSE(),TRUE())))</f>
        <v/>
      </c>
      <c r="BF270" s="100" t="str">
        <f aca="false">IF(ISBLANK($C270),"",IF(ISNUMBER($AC270),IF($AC270&gt;=0,$AC270,""),""))</f>
        <v/>
      </c>
      <c r="BG270" s="100" t="str">
        <f aca="false">IF(ISBLANK($C270),"",IF($AD270=Constants!$B$2,TRUE(),IF($AD270=Constants!$B$3,FALSE(),FALSE())))</f>
        <v/>
      </c>
      <c r="BH270" s="99" t="str">
        <f aca="false">IF(ISBLANK($C270),"",IF($BG270,Constants!$B$7,IF(COUNTA($E270:$AC270)=0,Constants!$B$6,IF(OR(COUNTA($G270:$AC270)=0,NOT($AK270),$AQ270),Constants!$B$5,IF(OR($CI270&lt;&gt;"",$CJ270,$CK270,$CL270,$CM270,$CN270,$CO270),Constants!$B$8,Constants!$B$4)))))</f>
        <v/>
      </c>
      <c r="BI270" s="100" t="str">
        <f aca="false">IF(ISBLANK($C270),"",IF($BH270&lt;&gt;Constants!$B$4,$BH270,IF(OR(NOT($AH270),NOT($AJ270),NOT($AR270)),Constants!$B$11,IF(OR(NOT($AP270),MAX($AL270,$AM270,$AN270)&gt;Constants!$B$30),Constants!$B$10,Constants!$B$9))))</f>
        <v/>
      </c>
      <c r="BJ270" s="100" t="str">
        <f aca="false">IF($BH270&lt;&gt;Constants!$B$4,"",IF(NOT($AJ270),0,MIN(Constants!$B$35,$BC270)))</f>
        <v/>
      </c>
      <c r="BK270" s="100" t="str">
        <f aca="false">IF($BH270&lt;&gt;Constants!$B$4,"",IF(NOT($AJ270),0,IF($AT270,Constants!$B$18,IF($AS270,Constants!$B$17,0))))</f>
        <v/>
      </c>
      <c r="BL270" s="100" t="str">
        <f aca="false">IF($BH270&lt;&gt;Constants!$B$4,"",IF(NOT($AJ270),0,Constants!$B$19*($AI270+$AU270+$AV270+$AW270)))</f>
        <v/>
      </c>
      <c r="BM270" s="100" t="str">
        <f aca="false">IF($BH270&lt;&gt;Constants!$B$4,"",IF(OR(NOT($AJ270),NOT(ISNUMBER($AX270))),0,CHOOSE($AX270,Constants!$B$13,Constants!$B$14,Constants!$B$15,Constants!$B$16)))</f>
        <v/>
      </c>
      <c r="BN270" s="100" t="str">
        <f aca="false">IF($BH270&lt;&gt;Constants!$B$4,"",IF(NOT($AJ270),0,Constants!$B$20*$AY270))</f>
        <v/>
      </c>
      <c r="BO270" s="100" t="str">
        <f aca="false">IF($BH270&lt;&gt;Constants!$B$4,"",IF(AND($AJ270,$BA270,$BB270),Constants!$B$22,0))</f>
        <v/>
      </c>
      <c r="BP270" s="100" t="str">
        <f aca="false">IF($BH270&lt;&gt;Constants!$B$4,"",IF(OR(NOT($AJ270),NOT($BA270)),0,IF($BF270&gt;=2*$AF$9,0,Constants!$B$23*INT(ROUND(MIN($BF270,$AF$9),6)))))</f>
        <v/>
      </c>
      <c r="BQ270" s="100" t="str">
        <f aca="false">IF($BH270&lt;&gt;Constants!$B$4,"",IF(NOT($AJ270),0,Constants!$B$24*INT(ROUND(MIN($AZ270,$AF$9),6))))</f>
        <v/>
      </c>
      <c r="BR270" s="100" t="str">
        <f aca="false">IF($BH270&lt;&gt;Constants!$B$4,"",IF(AND($AJ270,$BJ270=0),Constants!$B$25,0))</f>
        <v/>
      </c>
      <c r="BS270" s="100" t="str">
        <f aca="false">IF($BH270&lt;&gt;Constants!$B$4,"",MIN(Constants!$B$29,MAX(0,Constants!$B$27*Constants!$B$28*INT(ROUND((Constants!$B$26-$AL270)/Constants!$B$28,6))))+MIN(Constants!$B$29,MAX(0,Constants!$B$27*Constants!$B$28*INT(ROUND((Constants!$B$26-$AM270)/Constants!$B$28,6))))+MIN(Constants!$B$29,MAX(0,Constants!$B$27*Constants!$B$28*INT(ROUND((Constants!$B$26-$AN270)/Constants!$B$28,6)))))</f>
        <v/>
      </c>
      <c r="BT270" s="100" t="str">
        <f aca="false">IF($BH270&lt;&gt;Constants!$B$4,"",IF(NOT($AJ270),0,Constants!$B$31*INT(ROUND(MAX(0,MIN($BF270,2*$AF$9)-$AF$9),6))))</f>
        <v/>
      </c>
      <c r="BU270" s="100" t="str">
        <f aca="false">IF($BH270&lt;&gt;Constants!$B$4,"",Constants!$B$32*(($AL270&gt;Constants!$B$26)+($AM270&gt;Constants!$B$26)+($AN270&gt;Constants!$B$26)))</f>
        <v/>
      </c>
      <c r="BV270" s="100" t="str">
        <f aca="false">IF($BH270&lt;&gt;Constants!$B$4,"",IF(OR(NOT($AJ270),$AO270),0,Constants!$B$33))</f>
        <v/>
      </c>
      <c r="BW270" s="100" t="str">
        <f aca="false">IF($BH270&lt;&gt;Constants!$B$4,"",Constants!$B$34*$BJ270)</f>
        <v/>
      </c>
      <c r="BX270" s="100" t="str">
        <f aca="false">IF($BH270&lt;&gt;Constants!$B$4,"",IF(OR(NOT($AJ270),$BE270),0,Constants!$B$36))</f>
        <v/>
      </c>
      <c r="BY270" s="100" t="str">
        <f aca="false">IF($BH270&lt;&gt;Constants!$B$4,"",IF(OR(NOT($AJ270),$BD270),0,Constants!$B$37))</f>
        <v/>
      </c>
      <c r="BZ270" s="100" t="str">
        <f aca="false">IF($BH270&lt;&gt;Constants!$B$4,"",SUM($BT270:$BY270))</f>
        <v/>
      </c>
      <c r="CA270" s="100" t="str">
        <f aca="false">IF(ISBLANK($C270),"",IF($BH270&lt;&gt;Constants!$B$4,$BH270,SUM($BK270:$BS270)-$BZ270))</f>
        <v/>
      </c>
      <c r="CB270" s="100" t="str">
        <f aca="false">IF(ISBLANK($C270),"",IF($BH270&lt;&gt;Constants!$B$4,$BH270,RANK($CA270,$CA$9:$CA$508)))</f>
        <v/>
      </c>
      <c r="CC270" s="100" t="str">
        <f aca="false">IF(ISBLANK($C270),"",IF($BH270&lt;&gt;Constants!$B$4,$BH270,COUNTIFS($BI$9:$BI$508,"&lt;"&amp;$BI270)+COUNTIFS($BI$9:$BI$508,$BI270,$CB$9:$CB$508,"&lt;"&amp;$CB270)+1))</f>
        <v/>
      </c>
      <c r="CD270" s="100" t="str">
        <f aca="false">IF(ISBLANK($C270),"",IF($BH270&lt;&gt;Constants!$B$4,$BH270,RANK($BZ270,$BZ$9:$BZ$508,1)))</f>
        <v/>
      </c>
      <c r="CE270" s="100" t="str">
        <f aca="false">IF($BH270&lt;&gt;Constants!$B$4,"",$AL270+$AM270+$AN270)</f>
        <v/>
      </c>
      <c r="CF270" s="100" t="str">
        <f aca="false">IF(ISBLANK($C270),"",IF($BH270&lt;&gt;Constants!$B$4,$BH270,RANK($CE270,$CE$9:$CE$508,1)))</f>
        <v/>
      </c>
      <c r="CG270" s="100" t="str">
        <f aca="false">IF(ISBLANK($C270),"",IF($BH270&lt;&gt;Constants!$B$4,$BH270,COUNTIFS($BI$9:$BI$508,"&lt;"&amp;$BI270)+COUNTIFS($BI$9:$BI$508,$BI270,$CB$9:$CB$508,"&lt;"&amp;$CB270)+COUNTIFS($BI$9:$BI$508,$BI270,$CB$9:$CB$508,$CB270,$CD$9:$CD$508,"&lt;"&amp;$CD270)+COUNTIFS($BI$9:$BI$508,$BI270,$CB$9:$CB$508,$CB270,$CD$9:$CD$508,$CD270,$CF$9:$CF$508,"&lt;"&amp;$CF270)+1))</f>
        <v/>
      </c>
      <c r="CH270" s="100" t="str">
        <f aca="false">IF(ISBLANK($C270),"",IF($BH270&lt;&gt;Constants!$B$4,$BH270,$CC270-$CG270))</f>
        <v/>
      </c>
      <c r="CI270" s="100" t="str">
        <f aca="false">IF(ISBLANK($C270),"",IF(NOT($AJ270),"",IF(ISBLANK($D$7),$CI$5,IF(NOT(ISNUMBER($D$7)),$CI$6,""))))</f>
        <v/>
      </c>
      <c r="CJ270" s="100" t="str">
        <f aca="false">IF(ISBLANK($C270),"",OR($AL270="",$AM270="",$AN270=""))</f>
        <v/>
      </c>
      <c r="CK270" s="100" t="str">
        <f aca="false">IF(ISBLANK($C270),"",AND($AJ270,$AX270=""))</f>
        <v/>
      </c>
      <c r="CL270" s="100" t="str">
        <f aca="false">IF(ISBLANK($C270),"",AND($AJ270,$AY270=""))</f>
        <v/>
      </c>
      <c r="CM270" s="100" t="str">
        <f aca="false">IF(ISBLANK($C270),"",AND($AJ270,$AZ270=""))</f>
        <v/>
      </c>
      <c r="CN270" s="100" t="str">
        <f aca="false">IF(ISBLANK($C270),"",AND($AJ270,$BC270=""))</f>
        <v/>
      </c>
      <c r="CO270" s="100" t="str">
        <f aca="false">IF(ISBLANK($C270),"",AND($AJ270,$BF270=""))</f>
        <v/>
      </c>
      <c r="CP270" s="101"/>
      <c r="CQ270" s="102"/>
      <c r="CR270" s="103" t="str">
        <f aca="false">IF(ISBLANK($C270),"",IF($BH270=Constants!$B$8,$CI270,""))</f>
        <v/>
      </c>
      <c r="CS270" s="102" t="str">
        <f aca="false">IF(ISBLANK($C270),"",IF($BH270&lt;&gt;Constants!$B$4,"",$BK270+$BL270))</f>
        <v/>
      </c>
      <c r="CT270" s="104" t="str">
        <f aca="false">IF(ISBLANK($C270),"",IF($BH270&lt;&gt;Constants!$B$4,"",$BM270+$BN270+$BO270))</f>
        <v/>
      </c>
      <c r="CU270" s="104" t="str">
        <f aca="false">IF(ISBLANK($C270),"",IF($BH270&lt;&gt;Constants!$B$4,"",$BP270))</f>
        <v/>
      </c>
      <c r="CV270" s="104" t="str">
        <f aca="false">IF(ISBLANK($C270),"",IF($BH270&lt;&gt;Constants!$B$4,"",$BQ270+$BR270))</f>
        <v/>
      </c>
      <c r="CW270" s="104" t="str">
        <f aca="false">IF(ISBLANK($C270),"",IF($BH270&lt;&gt;Constants!$B$4,"",$BS270))</f>
        <v/>
      </c>
      <c r="CX270" s="104" t="str">
        <f aca="false">IF(ISBLANK($C270),"",IF($BH270&lt;&gt;Constants!$B$4,"",-$BZ270))</f>
        <v/>
      </c>
      <c r="CY270" s="103" t="str">
        <f aca="false">IF(ISBLANK($C270),"",$CA270)</f>
        <v/>
      </c>
      <c r="CZ270" s="105" t="str">
        <f aca="false">IF(ISBLANK($C270),"",$BI270)</f>
        <v/>
      </c>
      <c r="DA270" s="104" t="str">
        <f aca="false">IF(ISBLANK($C270),"",$CH270)</f>
        <v/>
      </c>
      <c r="DB270" s="104" t="str">
        <f aca="false">IF(ISBLANK($C270),"",$CG270)</f>
        <v/>
      </c>
      <c r="DC270" s="106" t="str">
        <f aca="false">IF(ISBLANK($C270),"",IFERROR(_xlfn.SWITCH($DB270,Constants!$B$7,COUNTA($C$9:$C$508)+2,Constants!$B$6,COUNTA($C$9:$C$508)+1,Constants!$B$5,COUNTA($C$9:$C$508)),$DB270))</f>
        <v/>
      </c>
      <c r="DD270" s="7"/>
      <c r="DE270" s="107" t="n">
        <f aca="false">IF(OR(ISNUMBER($DB270),$DB270=Constants!$B$7,$DB270=Constants!$B$5,$DB270=Constants!$B$6),1,0)</f>
        <v>0</v>
      </c>
      <c r="DF270" s="107" t="n">
        <v>262</v>
      </c>
      <c r="DG270" s="107" t="str">
        <f aca="false">IF(ISBLANK($C270),"",IF(ISNUMBER($DC270),$DC270+ROW($B270)/1000,""))</f>
        <v/>
      </c>
      <c r="DH270" s="107" t="str">
        <f aca="false">IF(ISNUMBER($DG270),RANK($DG270,$DG$9:$DG$508,1),"")</f>
        <v/>
      </c>
      <c r="DI270" s="107" t="str">
        <f aca="false">IF(ISBLANK($C270),"",$B270)</f>
        <v/>
      </c>
      <c r="DJ270" s="107" t="str">
        <f aca="false">IF(ISBLANK($C270),"",$C270)</f>
        <v/>
      </c>
      <c r="DK270" s="107" t="str">
        <f aca="false">IF(ISBLANK($C270),"",$D270)</f>
        <v/>
      </c>
      <c r="DL270" s="108" t="str">
        <f aca="false">$CZ270</f>
        <v/>
      </c>
      <c r="DM270" s="109" t="str">
        <f aca="false">$CY270</f>
        <v/>
      </c>
      <c r="DN270" s="107" t="str">
        <f aca="false">IF(ISBLANK($C270),"",$DB270)</f>
        <v/>
      </c>
      <c r="DO270" s="110" t="str">
        <f aca="false">IF($DF270&gt;$DE$8,"",VLOOKUP($DF270,$DH$9:$DN$508,7,FALSE()))</f>
        <v/>
      </c>
      <c r="DP270" s="111" t="str">
        <f aca="false">IF($DF270&gt;$DE$8,"",VLOOKUP($DF270,$DH$9:$DN$508,2,FALSE()))</f>
        <v/>
      </c>
      <c r="DQ270" s="111" t="str">
        <f aca="false">IF($DF270&gt;$DE$8,"",VLOOKUP($DF270,$DH$9:$DN$508,3,FALSE()))</f>
        <v/>
      </c>
      <c r="DR270" s="111" t="str">
        <f aca="false">IF($DF270&gt;$DE$8,"",VLOOKUP($DF270,$DH$9:$DN$508,4,FALSE()))</f>
        <v/>
      </c>
      <c r="DS270" s="111" t="str">
        <f aca="false">IF($DF270&gt;$DE$8,"",VLOOKUP($DF270,$DH$9:$DN$508,5,FALSE()))</f>
        <v/>
      </c>
      <c r="DT270" s="112" t="str">
        <f aca="false">IF($DF270&gt;$DE$8,"",VLOOKUP($DF270,$DH$9:$DN$508,6,FALSE()))</f>
        <v/>
      </c>
      <c r="DU270" s="62"/>
    </row>
    <row r="271" customFormat="false" ht="15.75" hidden="false" customHeight="false" outlineLevel="0" collapsed="false">
      <c r="A271" s="7"/>
      <c r="B271" s="90"/>
      <c r="C271" s="91"/>
      <c r="D271" s="126"/>
      <c r="E271" s="130"/>
      <c r="F271" s="135"/>
      <c r="G271" s="130"/>
      <c r="H271" s="135"/>
      <c r="I271" s="131"/>
      <c r="J271" s="131"/>
      <c r="K271" s="131"/>
      <c r="L271" s="130"/>
      <c r="M271" s="130"/>
      <c r="N271" s="130"/>
      <c r="O271" s="135"/>
      <c r="P271" s="130"/>
      <c r="Q271" s="130"/>
      <c r="R271" s="130"/>
      <c r="S271" s="130"/>
      <c r="T271" s="135"/>
      <c r="U271" s="130"/>
      <c r="V271" s="96"/>
      <c r="W271" s="130"/>
      <c r="X271" s="130"/>
      <c r="Y271" s="96"/>
      <c r="Z271" s="96"/>
      <c r="AA271" s="130"/>
      <c r="AB271" s="130"/>
      <c r="AC271" s="97"/>
      <c r="AD271" s="130"/>
      <c r="AE271" s="99"/>
      <c r="AF271" s="100"/>
      <c r="AG271" s="100"/>
      <c r="AH271" s="100" t="str">
        <f aca="false">IF(ISBLANK($C271),"",IF($E271=Constants!$B$2,TRUE(),IF($E271=Constants!$B$3,FALSE(),TRUE())))</f>
        <v/>
      </c>
      <c r="AI271" s="100" t="str">
        <f aca="false">IF(ISBLANK($C271),"",IF($F271=Constants!$B$2,TRUE(),IF($F271=Constants!$B$3,FALSE(),FALSE())))</f>
        <v/>
      </c>
      <c r="AJ271" s="100" t="str">
        <f aca="false">IF(ISBLANK($C271),"",IF($G271=Constants!$B$2,TRUE(),IF($G271=Constants!$B$3,FALSE(),TRUE())))</f>
        <v/>
      </c>
      <c r="AK271" s="100" t="str">
        <f aca="false">IF(ISBLANK($C271),"",IF($H271=Constants!$B$2,TRUE(),IF($H271=Constants!$B$3,FALSE(),TRUE())))</f>
        <v/>
      </c>
      <c r="AL271" s="100" t="str">
        <f aca="false">IF(ISBLANK($C271),"",IF(ISNUMBER($I271),IF($I271&gt;=0,$I271,""),""))</f>
        <v/>
      </c>
      <c r="AM271" s="100" t="str">
        <f aca="false">IF(ISBLANK($C271),"",IF(ISNUMBER($J271),IF($J271&gt;=0,$J271,""),""))</f>
        <v/>
      </c>
      <c r="AN271" s="100" t="str">
        <f aca="false">IF(ISBLANK($C271),"",IF(ISNUMBER($K271),IF($K271&gt;=0,$K271,""),""))</f>
        <v/>
      </c>
      <c r="AO271" s="100" t="str">
        <f aca="false">IF(ISBLANK($C271),"",IF($L271=Constants!$B$2,TRUE(),IF($L271=Constants!$B$3,FALSE(),TRUE())))</f>
        <v/>
      </c>
      <c r="AP271" s="100" t="str">
        <f aca="false">IF(ISBLANK($C271),"",IF($M271=Constants!$B$2,TRUE(),IF($M271=Constants!$B$3,FALSE(),TRUE())))</f>
        <v/>
      </c>
      <c r="AQ271" s="100" t="str">
        <f aca="false">IF(ISBLANK($C271),"",IF($N271=Constants!$B$2,TRUE(),IF($N271=Constants!$B$3,FALSE(),FALSE())))</f>
        <v/>
      </c>
      <c r="AR271" s="100" t="str">
        <f aca="false">IF(ISBLANK($C271),"",IF($O271=Constants!$B$2,TRUE(),IF($O271=Constants!$B$3,FALSE(),TRUE())))</f>
        <v/>
      </c>
      <c r="AS271" s="100" t="str">
        <f aca="false">IF(ISBLANK($C271),"",IF($P271=Constants!$B$2,TRUE(),IF($P271=Constants!$B$3,FALSE(),FALSE())))</f>
        <v/>
      </c>
      <c r="AT271" s="100" t="str">
        <f aca="false">IF(ISBLANK($C271),"",IF($Q271=Constants!$B$2,TRUE(),IF($Q271=Constants!$B$3,FALSE(),FALSE())))</f>
        <v/>
      </c>
      <c r="AU271" s="100" t="str">
        <f aca="false">IF(ISBLANK($C271),"",IF($R271=Constants!$B$2,TRUE(),IF($R271=Constants!$B$3,FALSE(),FALSE())))</f>
        <v/>
      </c>
      <c r="AV271" s="100" t="str">
        <f aca="false">IF(ISBLANK($C271),"",IF($S271=Constants!$B$2,TRUE(),IF($S271=Constants!$B$3,FALSE(),FALSE())))</f>
        <v/>
      </c>
      <c r="AW271" s="100" t="str">
        <f aca="false">IF(ISBLANK($C271),"",IF($T271=Constants!$B$2,TRUE(),IF($T271=Constants!$B$3,FALSE(),FALSE())))</f>
        <v/>
      </c>
      <c r="AX271" s="100" t="str">
        <f aca="false">IF(ISBLANK($C271),"",IF(OR($U271&amp;""="1",$U271&amp;""="2",$U271&amp;""="3",$U271&amp;""="4"),VALUE($U271&amp;""),IF($U271=Constants!$B$12,Constants!$B$12,"")))</f>
        <v/>
      </c>
      <c r="AY271" s="100" t="str">
        <f aca="false">IF(ISBLANK($C271),"",IF(ISBLANK($V271),0,IF(ISNUMBER($V271),IF(AND($V271&gt;=0,$V271&lt;=Constants!$B$21,$V271=INT($V271)),$V271,""),"")))</f>
        <v/>
      </c>
      <c r="AZ271" s="100" t="str">
        <f aca="false">IF(ISBLANK($C271),"",IF(ISBLANK($W271),0,IF(ISNUMBER($W271),IF($W271&gt;=0,$W271,""),"")))</f>
        <v/>
      </c>
      <c r="BA271" s="100" t="str">
        <f aca="false">IF(ISBLANK($C271),"",IF($X271=Constants!$B$2,TRUE(),IF($X271=Constants!$B$3,FALSE(),TRUE())))</f>
        <v/>
      </c>
      <c r="BB271" s="100" t="str">
        <f aca="false">IF(ISBLANK($C271),"",IF($Y271=Constants!$B$2,TRUE(),IF($Y271=Constants!$B$3,FALSE(),FALSE())))</f>
        <v/>
      </c>
      <c r="BC271" s="100" t="str">
        <f aca="false">IF(ISBLANK($C271),"",IF(ISBLANK($Z271),0,IF(ISNUMBER($Z271),IF(AND($Z271&gt;=0,$Z271&lt;=Constants!$B$35,$Z271=INT($Z271)),$Z271,""),"")))</f>
        <v/>
      </c>
      <c r="BD271" s="100" t="str">
        <f aca="false">IF(ISBLANK($C271),"",IF($AA271=Constants!$B$2,TRUE(),IF($AA271=Constants!$B$3,FALSE(),TRUE())))</f>
        <v/>
      </c>
      <c r="BE271" s="100" t="str">
        <f aca="false">IF(ISBLANK($C271),"",IF($AB271=Constants!$B$2,TRUE(),IF($AB271=Constants!$B$3,FALSE(),TRUE())))</f>
        <v/>
      </c>
      <c r="BF271" s="100" t="str">
        <f aca="false">IF(ISBLANK($C271),"",IF(ISNUMBER($AC271),IF($AC271&gt;=0,$AC271,""),""))</f>
        <v/>
      </c>
      <c r="BG271" s="100" t="str">
        <f aca="false">IF(ISBLANK($C271),"",IF($AD271=Constants!$B$2,TRUE(),IF($AD271=Constants!$B$3,FALSE(),FALSE())))</f>
        <v/>
      </c>
      <c r="BH271" s="99" t="str">
        <f aca="false">IF(ISBLANK($C271),"",IF($BG271,Constants!$B$7,IF(COUNTA($E271:$AC271)=0,Constants!$B$6,IF(OR(COUNTA($G271:$AC271)=0,NOT($AK271),$AQ271),Constants!$B$5,IF(OR($CI271&lt;&gt;"",$CJ271,$CK271,$CL271,$CM271,$CN271,$CO271),Constants!$B$8,Constants!$B$4)))))</f>
        <v/>
      </c>
      <c r="BI271" s="100" t="str">
        <f aca="false">IF(ISBLANK($C271),"",IF($BH271&lt;&gt;Constants!$B$4,$BH271,IF(OR(NOT($AH271),NOT($AJ271),NOT($AR271)),Constants!$B$11,IF(OR(NOT($AP271),MAX($AL271,$AM271,$AN271)&gt;Constants!$B$30),Constants!$B$10,Constants!$B$9))))</f>
        <v/>
      </c>
      <c r="BJ271" s="100" t="str">
        <f aca="false">IF($BH271&lt;&gt;Constants!$B$4,"",IF(NOT($AJ271),0,MIN(Constants!$B$35,$BC271)))</f>
        <v/>
      </c>
      <c r="BK271" s="100" t="str">
        <f aca="false">IF($BH271&lt;&gt;Constants!$B$4,"",IF(NOT($AJ271),0,IF($AT271,Constants!$B$18,IF($AS271,Constants!$B$17,0))))</f>
        <v/>
      </c>
      <c r="BL271" s="100" t="str">
        <f aca="false">IF($BH271&lt;&gt;Constants!$B$4,"",IF(NOT($AJ271),0,Constants!$B$19*($AI271+$AU271+$AV271+$AW271)))</f>
        <v/>
      </c>
      <c r="BM271" s="100" t="str">
        <f aca="false">IF($BH271&lt;&gt;Constants!$B$4,"",IF(OR(NOT($AJ271),NOT(ISNUMBER($AX271))),0,CHOOSE($AX271,Constants!$B$13,Constants!$B$14,Constants!$B$15,Constants!$B$16)))</f>
        <v/>
      </c>
      <c r="BN271" s="100" t="str">
        <f aca="false">IF($BH271&lt;&gt;Constants!$B$4,"",IF(NOT($AJ271),0,Constants!$B$20*$AY271))</f>
        <v/>
      </c>
      <c r="BO271" s="100" t="str">
        <f aca="false">IF($BH271&lt;&gt;Constants!$B$4,"",IF(AND($AJ271,$BA271,$BB271),Constants!$B$22,0))</f>
        <v/>
      </c>
      <c r="BP271" s="100" t="str">
        <f aca="false">IF($BH271&lt;&gt;Constants!$B$4,"",IF(OR(NOT($AJ271),NOT($BA271)),0,IF($BF271&gt;=2*$AF$9,0,Constants!$B$23*INT(ROUND(MIN($BF271,$AF$9),6)))))</f>
        <v/>
      </c>
      <c r="BQ271" s="100" t="str">
        <f aca="false">IF($BH271&lt;&gt;Constants!$B$4,"",IF(NOT($AJ271),0,Constants!$B$24*INT(ROUND(MIN($AZ271,$AF$9),6))))</f>
        <v/>
      </c>
      <c r="BR271" s="100" t="str">
        <f aca="false">IF($BH271&lt;&gt;Constants!$B$4,"",IF(AND($AJ271,$BJ271=0),Constants!$B$25,0))</f>
        <v/>
      </c>
      <c r="BS271" s="100" t="str">
        <f aca="false">IF($BH271&lt;&gt;Constants!$B$4,"",MIN(Constants!$B$29,MAX(0,Constants!$B$27*Constants!$B$28*INT(ROUND((Constants!$B$26-$AL271)/Constants!$B$28,6))))+MIN(Constants!$B$29,MAX(0,Constants!$B$27*Constants!$B$28*INT(ROUND((Constants!$B$26-$AM271)/Constants!$B$28,6))))+MIN(Constants!$B$29,MAX(0,Constants!$B$27*Constants!$B$28*INT(ROUND((Constants!$B$26-$AN271)/Constants!$B$28,6)))))</f>
        <v/>
      </c>
      <c r="BT271" s="100" t="str">
        <f aca="false">IF($BH271&lt;&gt;Constants!$B$4,"",IF(NOT($AJ271),0,Constants!$B$31*INT(ROUND(MAX(0,MIN($BF271,2*$AF$9)-$AF$9),6))))</f>
        <v/>
      </c>
      <c r="BU271" s="100" t="str">
        <f aca="false">IF($BH271&lt;&gt;Constants!$B$4,"",Constants!$B$32*(($AL271&gt;Constants!$B$26)+($AM271&gt;Constants!$B$26)+($AN271&gt;Constants!$B$26)))</f>
        <v/>
      </c>
      <c r="BV271" s="100" t="str">
        <f aca="false">IF($BH271&lt;&gt;Constants!$B$4,"",IF(OR(NOT($AJ271),$AO271),0,Constants!$B$33))</f>
        <v/>
      </c>
      <c r="BW271" s="100" t="str">
        <f aca="false">IF($BH271&lt;&gt;Constants!$B$4,"",Constants!$B$34*$BJ271)</f>
        <v/>
      </c>
      <c r="BX271" s="100" t="str">
        <f aca="false">IF($BH271&lt;&gt;Constants!$B$4,"",IF(OR(NOT($AJ271),$BE271),0,Constants!$B$36))</f>
        <v/>
      </c>
      <c r="BY271" s="100" t="str">
        <f aca="false">IF($BH271&lt;&gt;Constants!$B$4,"",IF(OR(NOT($AJ271),$BD271),0,Constants!$B$37))</f>
        <v/>
      </c>
      <c r="BZ271" s="100" t="str">
        <f aca="false">IF($BH271&lt;&gt;Constants!$B$4,"",SUM($BT271:$BY271))</f>
        <v/>
      </c>
      <c r="CA271" s="100" t="str">
        <f aca="false">IF(ISBLANK($C271),"",IF($BH271&lt;&gt;Constants!$B$4,$BH271,SUM($BK271:$BS271)-$BZ271))</f>
        <v/>
      </c>
      <c r="CB271" s="100" t="str">
        <f aca="false">IF(ISBLANK($C271),"",IF($BH271&lt;&gt;Constants!$B$4,$BH271,RANK($CA271,$CA$9:$CA$508)))</f>
        <v/>
      </c>
      <c r="CC271" s="100" t="str">
        <f aca="false">IF(ISBLANK($C271),"",IF($BH271&lt;&gt;Constants!$B$4,$BH271,COUNTIFS($BI$9:$BI$508,"&lt;"&amp;$BI271)+COUNTIFS($BI$9:$BI$508,$BI271,$CB$9:$CB$508,"&lt;"&amp;$CB271)+1))</f>
        <v/>
      </c>
      <c r="CD271" s="100" t="str">
        <f aca="false">IF(ISBLANK($C271),"",IF($BH271&lt;&gt;Constants!$B$4,$BH271,RANK($BZ271,$BZ$9:$BZ$508,1)))</f>
        <v/>
      </c>
      <c r="CE271" s="100" t="str">
        <f aca="false">IF($BH271&lt;&gt;Constants!$B$4,"",$AL271+$AM271+$AN271)</f>
        <v/>
      </c>
      <c r="CF271" s="100" t="str">
        <f aca="false">IF(ISBLANK($C271),"",IF($BH271&lt;&gt;Constants!$B$4,$BH271,RANK($CE271,$CE$9:$CE$508,1)))</f>
        <v/>
      </c>
      <c r="CG271" s="100" t="str">
        <f aca="false">IF(ISBLANK($C271),"",IF($BH271&lt;&gt;Constants!$B$4,$BH271,COUNTIFS($BI$9:$BI$508,"&lt;"&amp;$BI271)+COUNTIFS($BI$9:$BI$508,$BI271,$CB$9:$CB$508,"&lt;"&amp;$CB271)+COUNTIFS($BI$9:$BI$508,$BI271,$CB$9:$CB$508,$CB271,$CD$9:$CD$508,"&lt;"&amp;$CD271)+COUNTIFS($BI$9:$BI$508,$BI271,$CB$9:$CB$508,$CB271,$CD$9:$CD$508,$CD271,$CF$9:$CF$508,"&lt;"&amp;$CF271)+1))</f>
        <v/>
      </c>
      <c r="CH271" s="100" t="str">
        <f aca="false">IF(ISBLANK($C271),"",IF($BH271&lt;&gt;Constants!$B$4,$BH271,$CC271-$CG271))</f>
        <v/>
      </c>
      <c r="CI271" s="100" t="str">
        <f aca="false">IF(ISBLANK($C271),"",IF(NOT($AJ271),"",IF(ISBLANK($D$7),$CI$5,IF(NOT(ISNUMBER($D$7)),$CI$6,""))))</f>
        <v/>
      </c>
      <c r="CJ271" s="100" t="str">
        <f aca="false">IF(ISBLANK($C271),"",OR($AL271="",$AM271="",$AN271=""))</f>
        <v/>
      </c>
      <c r="CK271" s="100" t="str">
        <f aca="false">IF(ISBLANK($C271),"",AND($AJ271,$AX271=""))</f>
        <v/>
      </c>
      <c r="CL271" s="100" t="str">
        <f aca="false">IF(ISBLANK($C271),"",AND($AJ271,$AY271=""))</f>
        <v/>
      </c>
      <c r="CM271" s="100" t="str">
        <f aca="false">IF(ISBLANK($C271),"",AND($AJ271,$AZ271=""))</f>
        <v/>
      </c>
      <c r="CN271" s="100" t="str">
        <f aca="false">IF(ISBLANK($C271),"",AND($AJ271,$BC271=""))</f>
        <v/>
      </c>
      <c r="CO271" s="100" t="str">
        <f aca="false">IF(ISBLANK($C271),"",AND($AJ271,$BF271=""))</f>
        <v/>
      </c>
      <c r="CP271" s="101"/>
      <c r="CQ271" s="102"/>
      <c r="CR271" s="103" t="str">
        <f aca="false">IF(ISBLANK($C271),"",IF($BH271=Constants!$B$8,$CI271,""))</f>
        <v/>
      </c>
      <c r="CS271" s="102" t="str">
        <f aca="false">IF(ISBLANK($C271),"",IF($BH271&lt;&gt;Constants!$B$4,"",$BK271+$BL271))</f>
        <v/>
      </c>
      <c r="CT271" s="104" t="str">
        <f aca="false">IF(ISBLANK($C271),"",IF($BH271&lt;&gt;Constants!$B$4,"",$BM271+$BN271+$BO271))</f>
        <v/>
      </c>
      <c r="CU271" s="104" t="str">
        <f aca="false">IF(ISBLANK($C271),"",IF($BH271&lt;&gt;Constants!$B$4,"",$BP271))</f>
        <v/>
      </c>
      <c r="CV271" s="104" t="str">
        <f aca="false">IF(ISBLANK($C271),"",IF($BH271&lt;&gt;Constants!$B$4,"",$BQ271+$BR271))</f>
        <v/>
      </c>
      <c r="CW271" s="104" t="str">
        <f aca="false">IF(ISBLANK($C271),"",IF($BH271&lt;&gt;Constants!$B$4,"",$BS271))</f>
        <v/>
      </c>
      <c r="CX271" s="104" t="str">
        <f aca="false">IF(ISBLANK($C271),"",IF($BH271&lt;&gt;Constants!$B$4,"",-$BZ271))</f>
        <v/>
      </c>
      <c r="CY271" s="103" t="str">
        <f aca="false">IF(ISBLANK($C271),"",$CA271)</f>
        <v/>
      </c>
      <c r="CZ271" s="105" t="str">
        <f aca="false">IF(ISBLANK($C271),"",$BI271)</f>
        <v/>
      </c>
      <c r="DA271" s="104" t="str">
        <f aca="false">IF(ISBLANK($C271),"",$CH271)</f>
        <v/>
      </c>
      <c r="DB271" s="104" t="str">
        <f aca="false">IF(ISBLANK($C271),"",$CG271)</f>
        <v/>
      </c>
      <c r="DC271" s="106" t="str">
        <f aca="false">IF(ISBLANK($C271),"",IFERROR(_xlfn.SWITCH($DB271,Constants!$B$7,COUNTA($C$9:$C$508)+2,Constants!$B$6,COUNTA($C$9:$C$508)+1,Constants!$B$5,COUNTA($C$9:$C$508)),$DB271))</f>
        <v/>
      </c>
      <c r="DD271" s="7"/>
      <c r="DE271" s="107" t="n">
        <f aca="false">IF(OR(ISNUMBER($DB271),$DB271=Constants!$B$7,$DB271=Constants!$B$5,$DB271=Constants!$B$6),1,0)</f>
        <v>0</v>
      </c>
      <c r="DF271" s="107" t="n">
        <v>263</v>
      </c>
      <c r="DG271" s="107" t="str">
        <f aca="false">IF(ISBLANK($C271),"",IF(ISNUMBER($DC271),$DC271+ROW($B271)/1000,""))</f>
        <v/>
      </c>
      <c r="DH271" s="107" t="str">
        <f aca="false">IF(ISNUMBER($DG271),RANK($DG271,$DG$9:$DG$508,1),"")</f>
        <v/>
      </c>
      <c r="DI271" s="107" t="str">
        <f aca="false">IF(ISBLANK($C271),"",$B271)</f>
        <v/>
      </c>
      <c r="DJ271" s="107" t="str">
        <f aca="false">IF(ISBLANK($C271),"",$C271)</f>
        <v/>
      </c>
      <c r="DK271" s="107" t="str">
        <f aca="false">IF(ISBLANK($C271),"",$D271)</f>
        <v/>
      </c>
      <c r="DL271" s="108" t="str">
        <f aca="false">$CZ271</f>
        <v/>
      </c>
      <c r="DM271" s="109" t="str">
        <f aca="false">$CY271</f>
        <v/>
      </c>
      <c r="DN271" s="107" t="str">
        <f aca="false">IF(ISBLANK($C271),"",$DB271)</f>
        <v/>
      </c>
      <c r="DO271" s="110" t="str">
        <f aca="false">IF($DF271&gt;$DE$8,"",VLOOKUP($DF271,$DH$9:$DN$508,7,FALSE()))</f>
        <v/>
      </c>
      <c r="DP271" s="111" t="str">
        <f aca="false">IF($DF271&gt;$DE$8,"",VLOOKUP($DF271,$DH$9:$DN$508,2,FALSE()))</f>
        <v/>
      </c>
      <c r="DQ271" s="111" t="str">
        <f aca="false">IF($DF271&gt;$DE$8,"",VLOOKUP($DF271,$DH$9:$DN$508,3,FALSE()))</f>
        <v/>
      </c>
      <c r="DR271" s="111" t="str">
        <f aca="false">IF($DF271&gt;$DE$8,"",VLOOKUP($DF271,$DH$9:$DN$508,4,FALSE()))</f>
        <v/>
      </c>
      <c r="DS271" s="111" t="str">
        <f aca="false">IF($DF271&gt;$DE$8,"",VLOOKUP($DF271,$DH$9:$DN$508,5,FALSE()))</f>
        <v/>
      </c>
      <c r="DT271" s="112" t="str">
        <f aca="false">IF($DF271&gt;$DE$8,"",VLOOKUP($DF271,$DH$9:$DN$508,6,FALSE()))</f>
        <v/>
      </c>
      <c r="DU271" s="62"/>
    </row>
    <row r="272" customFormat="false" ht="15.75" hidden="false" customHeight="false" outlineLevel="0" collapsed="false">
      <c r="A272" s="7"/>
      <c r="B272" s="90"/>
      <c r="C272" s="91"/>
      <c r="D272" s="126"/>
      <c r="E272" s="130"/>
      <c r="F272" s="135"/>
      <c r="G272" s="130"/>
      <c r="H272" s="135"/>
      <c r="I272" s="131"/>
      <c r="J272" s="131"/>
      <c r="K272" s="131"/>
      <c r="L272" s="130"/>
      <c r="M272" s="130"/>
      <c r="N272" s="130"/>
      <c r="O272" s="135"/>
      <c r="P272" s="130"/>
      <c r="Q272" s="130"/>
      <c r="R272" s="130"/>
      <c r="S272" s="130"/>
      <c r="T272" s="135"/>
      <c r="U272" s="130"/>
      <c r="V272" s="96"/>
      <c r="W272" s="130"/>
      <c r="X272" s="130"/>
      <c r="Y272" s="96"/>
      <c r="Z272" s="96"/>
      <c r="AA272" s="130"/>
      <c r="AB272" s="130"/>
      <c r="AC272" s="97"/>
      <c r="AD272" s="130"/>
      <c r="AE272" s="99"/>
      <c r="AF272" s="100"/>
      <c r="AG272" s="100"/>
      <c r="AH272" s="100" t="str">
        <f aca="false">IF(ISBLANK($C272),"",IF($E272=Constants!$B$2,TRUE(),IF($E272=Constants!$B$3,FALSE(),TRUE())))</f>
        <v/>
      </c>
      <c r="AI272" s="100" t="str">
        <f aca="false">IF(ISBLANK($C272),"",IF($F272=Constants!$B$2,TRUE(),IF($F272=Constants!$B$3,FALSE(),FALSE())))</f>
        <v/>
      </c>
      <c r="AJ272" s="100" t="str">
        <f aca="false">IF(ISBLANK($C272),"",IF($G272=Constants!$B$2,TRUE(),IF($G272=Constants!$B$3,FALSE(),TRUE())))</f>
        <v/>
      </c>
      <c r="AK272" s="100" t="str">
        <f aca="false">IF(ISBLANK($C272),"",IF($H272=Constants!$B$2,TRUE(),IF($H272=Constants!$B$3,FALSE(),TRUE())))</f>
        <v/>
      </c>
      <c r="AL272" s="100" t="str">
        <f aca="false">IF(ISBLANK($C272),"",IF(ISNUMBER($I272),IF($I272&gt;=0,$I272,""),""))</f>
        <v/>
      </c>
      <c r="AM272" s="100" t="str">
        <f aca="false">IF(ISBLANK($C272),"",IF(ISNUMBER($J272),IF($J272&gt;=0,$J272,""),""))</f>
        <v/>
      </c>
      <c r="AN272" s="100" t="str">
        <f aca="false">IF(ISBLANK($C272),"",IF(ISNUMBER($K272),IF($K272&gt;=0,$K272,""),""))</f>
        <v/>
      </c>
      <c r="AO272" s="100" t="str">
        <f aca="false">IF(ISBLANK($C272),"",IF($L272=Constants!$B$2,TRUE(),IF($L272=Constants!$B$3,FALSE(),TRUE())))</f>
        <v/>
      </c>
      <c r="AP272" s="100" t="str">
        <f aca="false">IF(ISBLANK($C272),"",IF($M272=Constants!$B$2,TRUE(),IF($M272=Constants!$B$3,FALSE(),TRUE())))</f>
        <v/>
      </c>
      <c r="AQ272" s="100" t="str">
        <f aca="false">IF(ISBLANK($C272),"",IF($N272=Constants!$B$2,TRUE(),IF($N272=Constants!$B$3,FALSE(),FALSE())))</f>
        <v/>
      </c>
      <c r="AR272" s="100" t="str">
        <f aca="false">IF(ISBLANK($C272),"",IF($O272=Constants!$B$2,TRUE(),IF($O272=Constants!$B$3,FALSE(),TRUE())))</f>
        <v/>
      </c>
      <c r="AS272" s="100" t="str">
        <f aca="false">IF(ISBLANK($C272),"",IF($P272=Constants!$B$2,TRUE(),IF($P272=Constants!$B$3,FALSE(),FALSE())))</f>
        <v/>
      </c>
      <c r="AT272" s="100" t="str">
        <f aca="false">IF(ISBLANK($C272),"",IF($Q272=Constants!$B$2,TRUE(),IF($Q272=Constants!$B$3,FALSE(),FALSE())))</f>
        <v/>
      </c>
      <c r="AU272" s="100" t="str">
        <f aca="false">IF(ISBLANK($C272),"",IF($R272=Constants!$B$2,TRUE(),IF($R272=Constants!$B$3,FALSE(),FALSE())))</f>
        <v/>
      </c>
      <c r="AV272" s="100" t="str">
        <f aca="false">IF(ISBLANK($C272),"",IF($S272=Constants!$B$2,TRUE(),IF($S272=Constants!$B$3,FALSE(),FALSE())))</f>
        <v/>
      </c>
      <c r="AW272" s="100" t="str">
        <f aca="false">IF(ISBLANK($C272),"",IF($T272=Constants!$B$2,TRUE(),IF($T272=Constants!$B$3,FALSE(),FALSE())))</f>
        <v/>
      </c>
      <c r="AX272" s="100" t="str">
        <f aca="false">IF(ISBLANK($C272),"",IF(OR($U272&amp;""="1",$U272&amp;""="2",$U272&amp;""="3",$U272&amp;""="4"),VALUE($U272&amp;""),IF($U272=Constants!$B$12,Constants!$B$12,"")))</f>
        <v/>
      </c>
      <c r="AY272" s="100" t="str">
        <f aca="false">IF(ISBLANK($C272),"",IF(ISBLANK($V272),0,IF(ISNUMBER($V272),IF(AND($V272&gt;=0,$V272&lt;=Constants!$B$21,$V272=INT($V272)),$V272,""),"")))</f>
        <v/>
      </c>
      <c r="AZ272" s="100" t="str">
        <f aca="false">IF(ISBLANK($C272),"",IF(ISBLANK($W272),0,IF(ISNUMBER($W272),IF($W272&gt;=0,$W272,""),"")))</f>
        <v/>
      </c>
      <c r="BA272" s="100" t="str">
        <f aca="false">IF(ISBLANK($C272),"",IF($X272=Constants!$B$2,TRUE(),IF($X272=Constants!$B$3,FALSE(),TRUE())))</f>
        <v/>
      </c>
      <c r="BB272" s="100" t="str">
        <f aca="false">IF(ISBLANK($C272),"",IF($Y272=Constants!$B$2,TRUE(),IF($Y272=Constants!$B$3,FALSE(),FALSE())))</f>
        <v/>
      </c>
      <c r="BC272" s="100" t="str">
        <f aca="false">IF(ISBLANK($C272),"",IF(ISBLANK($Z272),0,IF(ISNUMBER($Z272),IF(AND($Z272&gt;=0,$Z272&lt;=Constants!$B$35,$Z272=INT($Z272)),$Z272,""),"")))</f>
        <v/>
      </c>
      <c r="BD272" s="100" t="str">
        <f aca="false">IF(ISBLANK($C272),"",IF($AA272=Constants!$B$2,TRUE(),IF($AA272=Constants!$B$3,FALSE(),TRUE())))</f>
        <v/>
      </c>
      <c r="BE272" s="100" t="str">
        <f aca="false">IF(ISBLANK($C272),"",IF($AB272=Constants!$B$2,TRUE(),IF($AB272=Constants!$B$3,FALSE(),TRUE())))</f>
        <v/>
      </c>
      <c r="BF272" s="100" t="str">
        <f aca="false">IF(ISBLANK($C272),"",IF(ISNUMBER($AC272),IF($AC272&gt;=0,$AC272,""),""))</f>
        <v/>
      </c>
      <c r="BG272" s="100" t="str">
        <f aca="false">IF(ISBLANK($C272),"",IF($AD272=Constants!$B$2,TRUE(),IF($AD272=Constants!$B$3,FALSE(),FALSE())))</f>
        <v/>
      </c>
      <c r="BH272" s="99" t="str">
        <f aca="false">IF(ISBLANK($C272),"",IF($BG272,Constants!$B$7,IF(COUNTA($E272:$AC272)=0,Constants!$B$6,IF(OR(COUNTA($G272:$AC272)=0,NOT($AK272),$AQ272),Constants!$B$5,IF(OR($CI272&lt;&gt;"",$CJ272,$CK272,$CL272,$CM272,$CN272,$CO272),Constants!$B$8,Constants!$B$4)))))</f>
        <v/>
      </c>
      <c r="BI272" s="100" t="str">
        <f aca="false">IF(ISBLANK($C272),"",IF($BH272&lt;&gt;Constants!$B$4,$BH272,IF(OR(NOT($AH272),NOT($AJ272),NOT($AR272)),Constants!$B$11,IF(OR(NOT($AP272),MAX($AL272,$AM272,$AN272)&gt;Constants!$B$30),Constants!$B$10,Constants!$B$9))))</f>
        <v/>
      </c>
      <c r="BJ272" s="100" t="str">
        <f aca="false">IF($BH272&lt;&gt;Constants!$B$4,"",IF(NOT($AJ272),0,MIN(Constants!$B$35,$BC272)))</f>
        <v/>
      </c>
      <c r="BK272" s="100" t="str">
        <f aca="false">IF($BH272&lt;&gt;Constants!$B$4,"",IF(NOT($AJ272),0,IF($AT272,Constants!$B$18,IF($AS272,Constants!$B$17,0))))</f>
        <v/>
      </c>
      <c r="BL272" s="100" t="str">
        <f aca="false">IF($BH272&lt;&gt;Constants!$B$4,"",IF(NOT($AJ272),0,Constants!$B$19*($AI272+$AU272+$AV272+$AW272)))</f>
        <v/>
      </c>
      <c r="BM272" s="100" t="str">
        <f aca="false">IF($BH272&lt;&gt;Constants!$B$4,"",IF(OR(NOT($AJ272),NOT(ISNUMBER($AX272))),0,CHOOSE($AX272,Constants!$B$13,Constants!$B$14,Constants!$B$15,Constants!$B$16)))</f>
        <v/>
      </c>
      <c r="BN272" s="100" t="str">
        <f aca="false">IF($BH272&lt;&gt;Constants!$B$4,"",IF(NOT($AJ272),0,Constants!$B$20*$AY272))</f>
        <v/>
      </c>
      <c r="BO272" s="100" t="str">
        <f aca="false">IF($BH272&lt;&gt;Constants!$B$4,"",IF(AND($AJ272,$BA272,$BB272),Constants!$B$22,0))</f>
        <v/>
      </c>
      <c r="BP272" s="100" t="str">
        <f aca="false">IF($BH272&lt;&gt;Constants!$B$4,"",IF(OR(NOT($AJ272),NOT($BA272)),0,IF($BF272&gt;=2*$AF$9,0,Constants!$B$23*INT(ROUND(MIN($BF272,$AF$9),6)))))</f>
        <v/>
      </c>
      <c r="BQ272" s="100" t="str">
        <f aca="false">IF($BH272&lt;&gt;Constants!$B$4,"",IF(NOT($AJ272),0,Constants!$B$24*INT(ROUND(MIN($AZ272,$AF$9),6))))</f>
        <v/>
      </c>
      <c r="BR272" s="100" t="str">
        <f aca="false">IF($BH272&lt;&gt;Constants!$B$4,"",IF(AND($AJ272,$BJ272=0),Constants!$B$25,0))</f>
        <v/>
      </c>
      <c r="BS272" s="100" t="str">
        <f aca="false">IF($BH272&lt;&gt;Constants!$B$4,"",MIN(Constants!$B$29,MAX(0,Constants!$B$27*Constants!$B$28*INT(ROUND((Constants!$B$26-$AL272)/Constants!$B$28,6))))+MIN(Constants!$B$29,MAX(0,Constants!$B$27*Constants!$B$28*INT(ROUND((Constants!$B$26-$AM272)/Constants!$B$28,6))))+MIN(Constants!$B$29,MAX(0,Constants!$B$27*Constants!$B$28*INT(ROUND((Constants!$B$26-$AN272)/Constants!$B$28,6)))))</f>
        <v/>
      </c>
      <c r="BT272" s="100" t="str">
        <f aca="false">IF($BH272&lt;&gt;Constants!$B$4,"",IF(NOT($AJ272),0,Constants!$B$31*INT(ROUND(MAX(0,MIN($BF272,2*$AF$9)-$AF$9),6))))</f>
        <v/>
      </c>
      <c r="BU272" s="100" t="str">
        <f aca="false">IF($BH272&lt;&gt;Constants!$B$4,"",Constants!$B$32*(($AL272&gt;Constants!$B$26)+($AM272&gt;Constants!$B$26)+($AN272&gt;Constants!$B$26)))</f>
        <v/>
      </c>
      <c r="BV272" s="100" t="str">
        <f aca="false">IF($BH272&lt;&gt;Constants!$B$4,"",IF(OR(NOT($AJ272),$AO272),0,Constants!$B$33))</f>
        <v/>
      </c>
      <c r="BW272" s="100" t="str">
        <f aca="false">IF($BH272&lt;&gt;Constants!$B$4,"",Constants!$B$34*$BJ272)</f>
        <v/>
      </c>
      <c r="BX272" s="100" t="str">
        <f aca="false">IF($BH272&lt;&gt;Constants!$B$4,"",IF(OR(NOT($AJ272),$BE272),0,Constants!$B$36))</f>
        <v/>
      </c>
      <c r="BY272" s="100" t="str">
        <f aca="false">IF($BH272&lt;&gt;Constants!$B$4,"",IF(OR(NOT($AJ272),$BD272),0,Constants!$B$37))</f>
        <v/>
      </c>
      <c r="BZ272" s="100" t="str">
        <f aca="false">IF($BH272&lt;&gt;Constants!$B$4,"",SUM($BT272:$BY272))</f>
        <v/>
      </c>
      <c r="CA272" s="100" t="str">
        <f aca="false">IF(ISBLANK($C272),"",IF($BH272&lt;&gt;Constants!$B$4,$BH272,SUM($BK272:$BS272)-$BZ272))</f>
        <v/>
      </c>
      <c r="CB272" s="100" t="str">
        <f aca="false">IF(ISBLANK($C272),"",IF($BH272&lt;&gt;Constants!$B$4,$BH272,RANK($CA272,$CA$9:$CA$508)))</f>
        <v/>
      </c>
      <c r="CC272" s="100" t="str">
        <f aca="false">IF(ISBLANK($C272),"",IF($BH272&lt;&gt;Constants!$B$4,$BH272,COUNTIFS($BI$9:$BI$508,"&lt;"&amp;$BI272)+COUNTIFS($BI$9:$BI$508,$BI272,$CB$9:$CB$508,"&lt;"&amp;$CB272)+1))</f>
        <v/>
      </c>
      <c r="CD272" s="100" t="str">
        <f aca="false">IF(ISBLANK($C272),"",IF($BH272&lt;&gt;Constants!$B$4,$BH272,RANK($BZ272,$BZ$9:$BZ$508,1)))</f>
        <v/>
      </c>
      <c r="CE272" s="100" t="str">
        <f aca="false">IF($BH272&lt;&gt;Constants!$B$4,"",$AL272+$AM272+$AN272)</f>
        <v/>
      </c>
      <c r="CF272" s="100" t="str">
        <f aca="false">IF(ISBLANK($C272),"",IF($BH272&lt;&gt;Constants!$B$4,$BH272,RANK($CE272,$CE$9:$CE$508,1)))</f>
        <v/>
      </c>
      <c r="CG272" s="100" t="str">
        <f aca="false">IF(ISBLANK($C272),"",IF($BH272&lt;&gt;Constants!$B$4,$BH272,COUNTIFS($BI$9:$BI$508,"&lt;"&amp;$BI272)+COUNTIFS($BI$9:$BI$508,$BI272,$CB$9:$CB$508,"&lt;"&amp;$CB272)+COUNTIFS($BI$9:$BI$508,$BI272,$CB$9:$CB$508,$CB272,$CD$9:$CD$508,"&lt;"&amp;$CD272)+COUNTIFS($BI$9:$BI$508,$BI272,$CB$9:$CB$508,$CB272,$CD$9:$CD$508,$CD272,$CF$9:$CF$508,"&lt;"&amp;$CF272)+1))</f>
        <v/>
      </c>
      <c r="CH272" s="100" t="str">
        <f aca="false">IF(ISBLANK($C272),"",IF($BH272&lt;&gt;Constants!$B$4,$BH272,$CC272-$CG272))</f>
        <v/>
      </c>
      <c r="CI272" s="100" t="str">
        <f aca="false">IF(ISBLANK($C272),"",IF(NOT($AJ272),"",IF(ISBLANK($D$7),$CI$5,IF(NOT(ISNUMBER($D$7)),$CI$6,""))))</f>
        <v/>
      </c>
      <c r="CJ272" s="100" t="str">
        <f aca="false">IF(ISBLANK($C272),"",OR($AL272="",$AM272="",$AN272=""))</f>
        <v/>
      </c>
      <c r="CK272" s="100" t="str">
        <f aca="false">IF(ISBLANK($C272),"",AND($AJ272,$AX272=""))</f>
        <v/>
      </c>
      <c r="CL272" s="100" t="str">
        <f aca="false">IF(ISBLANK($C272),"",AND($AJ272,$AY272=""))</f>
        <v/>
      </c>
      <c r="CM272" s="100" t="str">
        <f aca="false">IF(ISBLANK($C272),"",AND($AJ272,$AZ272=""))</f>
        <v/>
      </c>
      <c r="CN272" s="100" t="str">
        <f aca="false">IF(ISBLANK($C272),"",AND($AJ272,$BC272=""))</f>
        <v/>
      </c>
      <c r="CO272" s="100" t="str">
        <f aca="false">IF(ISBLANK($C272),"",AND($AJ272,$BF272=""))</f>
        <v/>
      </c>
      <c r="CP272" s="101"/>
      <c r="CQ272" s="102"/>
      <c r="CR272" s="103" t="str">
        <f aca="false">IF(ISBLANK($C272),"",IF($BH272=Constants!$B$8,$CI272,""))</f>
        <v/>
      </c>
      <c r="CS272" s="102" t="str">
        <f aca="false">IF(ISBLANK($C272),"",IF($BH272&lt;&gt;Constants!$B$4,"",$BK272+$BL272))</f>
        <v/>
      </c>
      <c r="CT272" s="104" t="str">
        <f aca="false">IF(ISBLANK($C272),"",IF($BH272&lt;&gt;Constants!$B$4,"",$BM272+$BN272+$BO272))</f>
        <v/>
      </c>
      <c r="CU272" s="104" t="str">
        <f aca="false">IF(ISBLANK($C272),"",IF($BH272&lt;&gt;Constants!$B$4,"",$BP272))</f>
        <v/>
      </c>
      <c r="CV272" s="104" t="str">
        <f aca="false">IF(ISBLANK($C272),"",IF($BH272&lt;&gt;Constants!$B$4,"",$BQ272+$BR272))</f>
        <v/>
      </c>
      <c r="CW272" s="104" t="str">
        <f aca="false">IF(ISBLANK($C272),"",IF($BH272&lt;&gt;Constants!$B$4,"",$BS272))</f>
        <v/>
      </c>
      <c r="CX272" s="104" t="str">
        <f aca="false">IF(ISBLANK($C272),"",IF($BH272&lt;&gt;Constants!$B$4,"",-$BZ272))</f>
        <v/>
      </c>
      <c r="CY272" s="103" t="str">
        <f aca="false">IF(ISBLANK($C272),"",$CA272)</f>
        <v/>
      </c>
      <c r="CZ272" s="105" t="str">
        <f aca="false">IF(ISBLANK($C272),"",$BI272)</f>
        <v/>
      </c>
      <c r="DA272" s="104" t="str">
        <f aca="false">IF(ISBLANK($C272),"",$CH272)</f>
        <v/>
      </c>
      <c r="DB272" s="104" t="str">
        <f aca="false">IF(ISBLANK($C272),"",$CG272)</f>
        <v/>
      </c>
      <c r="DC272" s="106" t="str">
        <f aca="false">IF(ISBLANK($C272),"",IFERROR(_xlfn.SWITCH($DB272,Constants!$B$7,COUNTA($C$9:$C$508)+2,Constants!$B$6,COUNTA($C$9:$C$508)+1,Constants!$B$5,COUNTA($C$9:$C$508)),$DB272))</f>
        <v/>
      </c>
      <c r="DD272" s="7"/>
      <c r="DE272" s="107" t="n">
        <f aca="false">IF(OR(ISNUMBER($DB272),$DB272=Constants!$B$7,$DB272=Constants!$B$5,$DB272=Constants!$B$6),1,0)</f>
        <v>0</v>
      </c>
      <c r="DF272" s="107" t="n">
        <v>264</v>
      </c>
      <c r="DG272" s="107" t="str">
        <f aca="false">IF(ISBLANK($C272),"",IF(ISNUMBER($DC272),$DC272+ROW($B272)/1000,""))</f>
        <v/>
      </c>
      <c r="DH272" s="107" t="str">
        <f aca="false">IF(ISNUMBER($DG272),RANK($DG272,$DG$9:$DG$508,1),"")</f>
        <v/>
      </c>
      <c r="DI272" s="107" t="str">
        <f aca="false">IF(ISBLANK($C272),"",$B272)</f>
        <v/>
      </c>
      <c r="DJ272" s="107" t="str">
        <f aca="false">IF(ISBLANK($C272),"",$C272)</f>
        <v/>
      </c>
      <c r="DK272" s="107" t="str">
        <f aca="false">IF(ISBLANK($C272),"",$D272)</f>
        <v/>
      </c>
      <c r="DL272" s="108" t="str">
        <f aca="false">$CZ272</f>
        <v/>
      </c>
      <c r="DM272" s="109" t="str">
        <f aca="false">$CY272</f>
        <v/>
      </c>
      <c r="DN272" s="107" t="str">
        <f aca="false">IF(ISBLANK($C272),"",$DB272)</f>
        <v/>
      </c>
      <c r="DO272" s="110" t="str">
        <f aca="false">IF($DF272&gt;$DE$8,"",VLOOKUP($DF272,$DH$9:$DN$508,7,FALSE()))</f>
        <v/>
      </c>
      <c r="DP272" s="111" t="str">
        <f aca="false">IF($DF272&gt;$DE$8,"",VLOOKUP($DF272,$DH$9:$DN$508,2,FALSE()))</f>
        <v/>
      </c>
      <c r="DQ272" s="111" t="str">
        <f aca="false">IF($DF272&gt;$DE$8,"",VLOOKUP($DF272,$DH$9:$DN$508,3,FALSE()))</f>
        <v/>
      </c>
      <c r="DR272" s="111" t="str">
        <f aca="false">IF($DF272&gt;$DE$8,"",VLOOKUP($DF272,$DH$9:$DN$508,4,FALSE()))</f>
        <v/>
      </c>
      <c r="DS272" s="111" t="str">
        <f aca="false">IF($DF272&gt;$DE$8,"",VLOOKUP($DF272,$DH$9:$DN$508,5,FALSE()))</f>
        <v/>
      </c>
      <c r="DT272" s="112" t="str">
        <f aca="false">IF($DF272&gt;$DE$8,"",VLOOKUP($DF272,$DH$9:$DN$508,6,FALSE()))</f>
        <v/>
      </c>
      <c r="DU272" s="62"/>
    </row>
    <row r="273" customFormat="false" ht="15.75" hidden="false" customHeight="false" outlineLevel="0" collapsed="false">
      <c r="A273" s="7"/>
      <c r="B273" s="64"/>
      <c r="C273" s="65"/>
      <c r="D273" s="123"/>
      <c r="E273" s="88"/>
      <c r="F273" s="134"/>
      <c r="G273" s="88"/>
      <c r="H273" s="134"/>
      <c r="I273" s="119"/>
      <c r="J273" s="119"/>
      <c r="K273" s="119"/>
      <c r="L273" s="88"/>
      <c r="M273" s="88"/>
      <c r="N273" s="88"/>
      <c r="O273" s="134"/>
      <c r="P273" s="88"/>
      <c r="Q273" s="88"/>
      <c r="R273" s="88"/>
      <c r="S273" s="88"/>
      <c r="T273" s="134"/>
      <c r="U273" s="88"/>
      <c r="V273" s="70"/>
      <c r="W273" s="88"/>
      <c r="X273" s="88"/>
      <c r="Y273" s="70"/>
      <c r="Z273" s="70"/>
      <c r="AA273" s="88"/>
      <c r="AB273" s="88"/>
      <c r="AC273" s="71"/>
      <c r="AD273" s="88"/>
      <c r="AE273" s="73"/>
      <c r="AF273" s="74"/>
      <c r="AG273" s="74"/>
      <c r="AH273" s="74" t="str">
        <f aca="false">IF(ISBLANK($C273),"",IF($E273=Constants!$B$2,TRUE(),IF($E273=Constants!$B$3,FALSE(),TRUE())))</f>
        <v/>
      </c>
      <c r="AI273" s="74" t="str">
        <f aca="false">IF(ISBLANK($C273),"",IF($F273=Constants!$B$2,TRUE(),IF($F273=Constants!$B$3,FALSE(),FALSE())))</f>
        <v/>
      </c>
      <c r="AJ273" s="74" t="str">
        <f aca="false">IF(ISBLANK($C273),"",IF($G273=Constants!$B$2,TRUE(),IF($G273=Constants!$B$3,FALSE(),TRUE())))</f>
        <v/>
      </c>
      <c r="AK273" s="74" t="str">
        <f aca="false">IF(ISBLANK($C273),"",IF($H273=Constants!$B$2,TRUE(),IF($H273=Constants!$B$3,FALSE(),TRUE())))</f>
        <v/>
      </c>
      <c r="AL273" s="74" t="str">
        <f aca="false">IF(ISBLANK($C273),"",IF(ISNUMBER($I273),IF($I273&gt;=0,$I273,""),""))</f>
        <v/>
      </c>
      <c r="AM273" s="74" t="str">
        <f aca="false">IF(ISBLANK($C273),"",IF(ISNUMBER($J273),IF($J273&gt;=0,$J273,""),""))</f>
        <v/>
      </c>
      <c r="AN273" s="74" t="str">
        <f aca="false">IF(ISBLANK($C273),"",IF(ISNUMBER($K273),IF($K273&gt;=0,$K273,""),""))</f>
        <v/>
      </c>
      <c r="AO273" s="74" t="str">
        <f aca="false">IF(ISBLANK($C273),"",IF($L273=Constants!$B$2,TRUE(),IF($L273=Constants!$B$3,FALSE(),TRUE())))</f>
        <v/>
      </c>
      <c r="AP273" s="74" t="str">
        <f aca="false">IF(ISBLANK($C273),"",IF($M273=Constants!$B$2,TRUE(),IF($M273=Constants!$B$3,FALSE(),TRUE())))</f>
        <v/>
      </c>
      <c r="AQ273" s="74" t="str">
        <f aca="false">IF(ISBLANK($C273),"",IF($N273=Constants!$B$2,TRUE(),IF($N273=Constants!$B$3,FALSE(),FALSE())))</f>
        <v/>
      </c>
      <c r="AR273" s="74" t="str">
        <f aca="false">IF(ISBLANK($C273),"",IF($O273=Constants!$B$2,TRUE(),IF($O273=Constants!$B$3,FALSE(),TRUE())))</f>
        <v/>
      </c>
      <c r="AS273" s="74" t="str">
        <f aca="false">IF(ISBLANK($C273),"",IF($P273=Constants!$B$2,TRUE(),IF($P273=Constants!$B$3,FALSE(),FALSE())))</f>
        <v/>
      </c>
      <c r="AT273" s="74" t="str">
        <f aca="false">IF(ISBLANK($C273),"",IF($Q273=Constants!$B$2,TRUE(),IF($Q273=Constants!$B$3,FALSE(),FALSE())))</f>
        <v/>
      </c>
      <c r="AU273" s="74" t="str">
        <f aca="false">IF(ISBLANK($C273),"",IF($R273=Constants!$B$2,TRUE(),IF($R273=Constants!$B$3,FALSE(),FALSE())))</f>
        <v/>
      </c>
      <c r="AV273" s="74" t="str">
        <f aca="false">IF(ISBLANK($C273),"",IF($S273=Constants!$B$2,TRUE(),IF($S273=Constants!$B$3,FALSE(),FALSE())))</f>
        <v/>
      </c>
      <c r="AW273" s="74" t="str">
        <f aca="false">IF(ISBLANK($C273),"",IF($T273=Constants!$B$2,TRUE(),IF($T273=Constants!$B$3,FALSE(),FALSE())))</f>
        <v/>
      </c>
      <c r="AX273" s="74" t="str">
        <f aca="false">IF(ISBLANK($C273),"",IF(OR($U273&amp;""="1",$U273&amp;""="2",$U273&amp;""="3",$U273&amp;""="4"),VALUE($U273&amp;""),IF($U273=Constants!$B$12,Constants!$B$12,"")))</f>
        <v/>
      </c>
      <c r="AY273" s="74" t="str">
        <f aca="false">IF(ISBLANK($C273),"",IF(ISBLANK($V273),0,IF(ISNUMBER($V273),IF(AND($V273&gt;=0,$V273&lt;=Constants!$B$21,$V273=INT($V273)),$V273,""),"")))</f>
        <v/>
      </c>
      <c r="AZ273" s="74" t="str">
        <f aca="false">IF(ISBLANK($C273),"",IF(ISBLANK($W273),0,IF(ISNUMBER($W273),IF($W273&gt;=0,$W273,""),"")))</f>
        <v/>
      </c>
      <c r="BA273" s="74" t="str">
        <f aca="false">IF(ISBLANK($C273),"",IF($X273=Constants!$B$2,TRUE(),IF($X273=Constants!$B$3,FALSE(),TRUE())))</f>
        <v/>
      </c>
      <c r="BB273" s="74" t="str">
        <f aca="false">IF(ISBLANK($C273),"",IF($Y273=Constants!$B$2,TRUE(),IF($Y273=Constants!$B$3,FALSE(),FALSE())))</f>
        <v/>
      </c>
      <c r="BC273" s="74" t="str">
        <f aca="false">IF(ISBLANK($C273),"",IF(ISBLANK($Z273),0,IF(ISNUMBER($Z273),IF(AND($Z273&gt;=0,$Z273&lt;=Constants!$B$35,$Z273=INT($Z273)),$Z273,""),"")))</f>
        <v/>
      </c>
      <c r="BD273" s="74" t="str">
        <f aca="false">IF(ISBLANK($C273),"",IF($AA273=Constants!$B$2,TRUE(),IF($AA273=Constants!$B$3,FALSE(),TRUE())))</f>
        <v/>
      </c>
      <c r="BE273" s="74" t="str">
        <f aca="false">IF(ISBLANK($C273),"",IF($AB273=Constants!$B$2,TRUE(),IF($AB273=Constants!$B$3,FALSE(),TRUE())))</f>
        <v/>
      </c>
      <c r="BF273" s="74" t="str">
        <f aca="false">IF(ISBLANK($C273),"",IF(ISNUMBER($AC273),IF($AC273&gt;=0,$AC273,""),""))</f>
        <v/>
      </c>
      <c r="BG273" s="74" t="str">
        <f aca="false">IF(ISBLANK($C273),"",IF($AD273=Constants!$B$2,TRUE(),IF($AD273=Constants!$B$3,FALSE(),FALSE())))</f>
        <v/>
      </c>
      <c r="BH273" s="73" t="str">
        <f aca="false">IF(ISBLANK($C273),"",IF($BG273,Constants!$B$7,IF(COUNTA($E273:$AC273)=0,Constants!$B$6,IF(OR(COUNTA($G273:$AC273)=0,NOT($AK273),$AQ273),Constants!$B$5,IF(OR($CI273&lt;&gt;"",$CJ273,$CK273,$CL273,$CM273,$CN273,$CO273),Constants!$B$8,Constants!$B$4)))))</f>
        <v/>
      </c>
      <c r="BI273" s="74" t="str">
        <f aca="false">IF(ISBLANK($C273),"",IF($BH273&lt;&gt;Constants!$B$4,$BH273,IF(OR(NOT($AH273),NOT($AJ273),NOT($AR273)),Constants!$B$11,IF(OR(NOT($AP273),MAX($AL273,$AM273,$AN273)&gt;Constants!$B$30),Constants!$B$10,Constants!$B$9))))</f>
        <v/>
      </c>
      <c r="BJ273" s="74" t="str">
        <f aca="false">IF($BH273&lt;&gt;Constants!$B$4,"",IF(NOT($AJ273),0,MIN(Constants!$B$35,$BC273)))</f>
        <v/>
      </c>
      <c r="BK273" s="74" t="str">
        <f aca="false">IF($BH273&lt;&gt;Constants!$B$4,"",IF(NOT($AJ273),0,IF($AT273,Constants!$B$18,IF($AS273,Constants!$B$17,0))))</f>
        <v/>
      </c>
      <c r="BL273" s="74" t="str">
        <f aca="false">IF($BH273&lt;&gt;Constants!$B$4,"",IF(NOT($AJ273),0,Constants!$B$19*($AI273+$AU273+$AV273+$AW273)))</f>
        <v/>
      </c>
      <c r="BM273" s="74" t="str">
        <f aca="false">IF($BH273&lt;&gt;Constants!$B$4,"",IF(OR(NOT($AJ273),NOT(ISNUMBER($AX273))),0,CHOOSE($AX273,Constants!$B$13,Constants!$B$14,Constants!$B$15,Constants!$B$16)))</f>
        <v/>
      </c>
      <c r="BN273" s="74" t="str">
        <f aca="false">IF($BH273&lt;&gt;Constants!$B$4,"",IF(NOT($AJ273),0,Constants!$B$20*$AY273))</f>
        <v/>
      </c>
      <c r="BO273" s="74" t="str">
        <f aca="false">IF($BH273&lt;&gt;Constants!$B$4,"",IF(AND($AJ273,$BA273,$BB273),Constants!$B$22,0))</f>
        <v/>
      </c>
      <c r="BP273" s="74" t="str">
        <f aca="false">IF($BH273&lt;&gt;Constants!$B$4,"",IF(OR(NOT($AJ273),NOT($BA273)),0,IF($BF273&gt;=2*$AF$9,0,Constants!$B$23*INT(ROUND(MIN($BF273,$AF$9),6)))))</f>
        <v/>
      </c>
      <c r="BQ273" s="74" t="str">
        <f aca="false">IF($BH273&lt;&gt;Constants!$B$4,"",IF(NOT($AJ273),0,Constants!$B$24*INT(ROUND(MIN($AZ273,$AF$9),6))))</f>
        <v/>
      </c>
      <c r="BR273" s="74" t="str">
        <f aca="false">IF($BH273&lt;&gt;Constants!$B$4,"",IF(AND($AJ273,$BJ273=0),Constants!$B$25,0))</f>
        <v/>
      </c>
      <c r="BS273" s="74" t="str">
        <f aca="false">IF($BH273&lt;&gt;Constants!$B$4,"",MIN(Constants!$B$29,MAX(0,Constants!$B$27*Constants!$B$28*INT(ROUND((Constants!$B$26-$AL273)/Constants!$B$28,6))))+MIN(Constants!$B$29,MAX(0,Constants!$B$27*Constants!$B$28*INT(ROUND((Constants!$B$26-$AM273)/Constants!$B$28,6))))+MIN(Constants!$B$29,MAX(0,Constants!$B$27*Constants!$B$28*INT(ROUND((Constants!$B$26-$AN273)/Constants!$B$28,6)))))</f>
        <v/>
      </c>
      <c r="BT273" s="74" t="str">
        <f aca="false">IF($BH273&lt;&gt;Constants!$B$4,"",IF(NOT($AJ273),0,Constants!$B$31*INT(ROUND(MAX(0,MIN($BF273,2*$AF$9)-$AF$9),6))))</f>
        <v/>
      </c>
      <c r="BU273" s="74" t="str">
        <f aca="false">IF($BH273&lt;&gt;Constants!$B$4,"",Constants!$B$32*(($AL273&gt;Constants!$B$26)+($AM273&gt;Constants!$B$26)+($AN273&gt;Constants!$B$26)))</f>
        <v/>
      </c>
      <c r="BV273" s="74" t="str">
        <f aca="false">IF($BH273&lt;&gt;Constants!$B$4,"",IF(OR(NOT($AJ273),$AO273),0,Constants!$B$33))</f>
        <v/>
      </c>
      <c r="BW273" s="74" t="str">
        <f aca="false">IF($BH273&lt;&gt;Constants!$B$4,"",Constants!$B$34*$BJ273)</f>
        <v/>
      </c>
      <c r="BX273" s="74" t="str">
        <f aca="false">IF($BH273&lt;&gt;Constants!$B$4,"",IF(OR(NOT($AJ273),$BE273),0,Constants!$B$36))</f>
        <v/>
      </c>
      <c r="BY273" s="74" t="str">
        <f aca="false">IF($BH273&lt;&gt;Constants!$B$4,"",IF(OR(NOT($AJ273),$BD273),0,Constants!$B$37))</f>
        <v/>
      </c>
      <c r="BZ273" s="74" t="str">
        <f aca="false">IF($BH273&lt;&gt;Constants!$B$4,"",SUM($BT273:$BY273))</f>
        <v/>
      </c>
      <c r="CA273" s="74" t="str">
        <f aca="false">IF(ISBLANK($C273),"",IF($BH273&lt;&gt;Constants!$B$4,$BH273,SUM($BK273:$BS273)-$BZ273))</f>
        <v/>
      </c>
      <c r="CB273" s="74" t="str">
        <f aca="false">IF(ISBLANK($C273),"",IF($BH273&lt;&gt;Constants!$B$4,$BH273,RANK($CA273,$CA$9:$CA$508)))</f>
        <v/>
      </c>
      <c r="CC273" s="74" t="str">
        <f aca="false">IF(ISBLANK($C273),"",IF($BH273&lt;&gt;Constants!$B$4,$BH273,COUNTIFS($BI$9:$BI$508,"&lt;"&amp;$BI273)+COUNTIFS($BI$9:$BI$508,$BI273,$CB$9:$CB$508,"&lt;"&amp;$CB273)+1))</f>
        <v/>
      </c>
      <c r="CD273" s="74" t="str">
        <f aca="false">IF(ISBLANK($C273),"",IF($BH273&lt;&gt;Constants!$B$4,$BH273,RANK($BZ273,$BZ$9:$BZ$508,1)))</f>
        <v/>
      </c>
      <c r="CE273" s="74" t="str">
        <f aca="false">IF($BH273&lt;&gt;Constants!$B$4,"",$AL273+$AM273+$AN273)</f>
        <v/>
      </c>
      <c r="CF273" s="74" t="str">
        <f aca="false">IF(ISBLANK($C273),"",IF($BH273&lt;&gt;Constants!$B$4,$BH273,RANK($CE273,$CE$9:$CE$508,1)))</f>
        <v/>
      </c>
      <c r="CG273" s="74" t="str">
        <f aca="false">IF(ISBLANK($C273),"",IF($BH273&lt;&gt;Constants!$B$4,$BH273,COUNTIFS($BI$9:$BI$508,"&lt;"&amp;$BI273)+COUNTIFS($BI$9:$BI$508,$BI273,$CB$9:$CB$508,"&lt;"&amp;$CB273)+COUNTIFS($BI$9:$BI$508,$BI273,$CB$9:$CB$508,$CB273,$CD$9:$CD$508,"&lt;"&amp;$CD273)+COUNTIFS($BI$9:$BI$508,$BI273,$CB$9:$CB$508,$CB273,$CD$9:$CD$508,$CD273,$CF$9:$CF$508,"&lt;"&amp;$CF273)+1))</f>
        <v/>
      </c>
      <c r="CH273" s="74" t="str">
        <f aca="false">IF(ISBLANK($C273),"",IF($BH273&lt;&gt;Constants!$B$4,$BH273,$CC273-$CG273))</f>
        <v/>
      </c>
      <c r="CI273" s="74" t="str">
        <f aca="false">IF(ISBLANK($C273),"",IF(NOT($AJ273),"",IF(ISBLANK($D$7),$CI$5,IF(NOT(ISNUMBER($D$7)),$CI$6,""))))</f>
        <v/>
      </c>
      <c r="CJ273" s="74" t="str">
        <f aca="false">IF(ISBLANK($C273),"",OR($AL273="",$AM273="",$AN273=""))</f>
        <v/>
      </c>
      <c r="CK273" s="74" t="str">
        <f aca="false">IF(ISBLANK($C273),"",AND($AJ273,$AX273=""))</f>
        <v/>
      </c>
      <c r="CL273" s="74" t="str">
        <f aca="false">IF(ISBLANK($C273),"",AND($AJ273,$AY273=""))</f>
        <v/>
      </c>
      <c r="CM273" s="74" t="str">
        <f aca="false">IF(ISBLANK($C273),"",AND($AJ273,$AZ273=""))</f>
        <v/>
      </c>
      <c r="CN273" s="74" t="str">
        <f aca="false">IF(ISBLANK($C273),"",AND($AJ273,$BC273=""))</f>
        <v/>
      </c>
      <c r="CO273" s="74" t="str">
        <f aca="false">IF(ISBLANK($C273),"",AND($AJ273,$BF273=""))</f>
        <v/>
      </c>
      <c r="CP273" s="75"/>
      <c r="CQ273" s="76"/>
      <c r="CR273" s="79" t="str">
        <f aca="false">IF(ISBLANK($C273),"",IF($BH273=Constants!$B$8,$CI273,""))</f>
        <v/>
      </c>
      <c r="CS273" s="76" t="str">
        <f aca="false">IF(ISBLANK($C273),"",IF($BH273&lt;&gt;Constants!$B$4,"",$BK273+$BL273))</f>
        <v/>
      </c>
      <c r="CT273" s="78" t="str">
        <f aca="false">IF(ISBLANK($C273),"",IF($BH273&lt;&gt;Constants!$B$4,"",$BM273+$BN273+$BO273))</f>
        <v/>
      </c>
      <c r="CU273" s="78" t="str">
        <f aca="false">IF(ISBLANK($C273),"",IF($BH273&lt;&gt;Constants!$B$4,"",$BP273))</f>
        <v/>
      </c>
      <c r="CV273" s="78" t="str">
        <f aca="false">IF(ISBLANK($C273),"",IF($BH273&lt;&gt;Constants!$B$4,"",$BQ273+$BR273))</f>
        <v/>
      </c>
      <c r="CW273" s="78" t="str">
        <f aca="false">IF(ISBLANK($C273),"",IF($BH273&lt;&gt;Constants!$B$4,"",$BS273))</f>
        <v/>
      </c>
      <c r="CX273" s="78" t="str">
        <f aca="false">IF(ISBLANK($C273),"",IF($BH273&lt;&gt;Constants!$B$4,"",-$BZ273))</f>
        <v/>
      </c>
      <c r="CY273" s="79" t="str">
        <f aca="false">IF(ISBLANK($C273),"",$CA273)</f>
        <v/>
      </c>
      <c r="CZ273" s="80" t="str">
        <f aca="false">IF(ISBLANK($C273),"",$BI273)</f>
        <v/>
      </c>
      <c r="DA273" s="78" t="str">
        <f aca="false">IF(ISBLANK($C273),"",$CH273)</f>
        <v/>
      </c>
      <c r="DB273" s="78" t="str">
        <f aca="false">IF(ISBLANK($C273),"",$CG273)</f>
        <v/>
      </c>
      <c r="DC273" s="81" t="str">
        <f aca="false">IF(ISBLANK($C273),"",IFERROR(_xlfn.SWITCH($DB273,Constants!$B$7,COUNTA($C$9:$C$508)+2,Constants!$B$6,COUNTA($C$9:$C$508)+1,Constants!$B$5,COUNTA($C$9:$C$508)),$DB273))</f>
        <v/>
      </c>
      <c r="DD273" s="7"/>
      <c r="DE273" s="82" t="n">
        <f aca="false">IF(OR(ISNUMBER($DB273),$DB273=Constants!$B$7,$DB273=Constants!$B$5,$DB273=Constants!$B$6),1,0)</f>
        <v>0</v>
      </c>
      <c r="DF273" s="82" t="n">
        <v>265</v>
      </c>
      <c r="DG273" s="82" t="str">
        <f aca="false">IF(ISBLANK($C273),"",IF(ISNUMBER($DC273),$DC273+ROW($B273)/1000,""))</f>
        <v/>
      </c>
      <c r="DH273" s="82" t="str">
        <f aca="false">IF(ISNUMBER($DG273),RANK($DG273,$DG$9:$DG$508,1),"")</f>
        <v/>
      </c>
      <c r="DI273" s="82" t="str">
        <f aca="false">IF(ISBLANK($C273),"",$B273)</f>
        <v/>
      </c>
      <c r="DJ273" s="82" t="str">
        <f aca="false">IF(ISBLANK($C273),"",$C273)</f>
        <v/>
      </c>
      <c r="DK273" s="82" t="str">
        <f aca="false">IF(ISBLANK($C273),"",$D273)</f>
        <v/>
      </c>
      <c r="DL273" s="83" t="str">
        <f aca="false">$CZ273</f>
        <v/>
      </c>
      <c r="DM273" s="84" t="str">
        <f aca="false">$CY273</f>
        <v/>
      </c>
      <c r="DN273" s="82" t="str">
        <f aca="false">IF(ISBLANK($C273),"",$DB273)</f>
        <v/>
      </c>
      <c r="DO273" s="85" t="str">
        <f aca="false">IF($DF273&gt;$DE$8,"",VLOOKUP($DF273,$DH$9:$DN$508,7,FALSE()))</f>
        <v/>
      </c>
      <c r="DP273" s="86" t="str">
        <f aca="false">IF($DF273&gt;$DE$8,"",VLOOKUP($DF273,$DH$9:$DN$508,2,FALSE()))</f>
        <v/>
      </c>
      <c r="DQ273" s="86" t="str">
        <f aca="false">IF($DF273&gt;$DE$8,"",VLOOKUP($DF273,$DH$9:$DN$508,3,FALSE()))</f>
        <v/>
      </c>
      <c r="DR273" s="86" t="str">
        <f aca="false">IF($DF273&gt;$DE$8,"",VLOOKUP($DF273,$DH$9:$DN$508,4,FALSE()))</f>
        <v/>
      </c>
      <c r="DS273" s="86" t="str">
        <f aca="false">IF($DF273&gt;$DE$8,"",VLOOKUP($DF273,$DH$9:$DN$508,5,FALSE()))</f>
        <v/>
      </c>
      <c r="DT273" s="87" t="str">
        <f aca="false">IF($DF273&gt;$DE$8,"",VLOOKUP($DF273,$DH$9:$DN$508,6,FALSE()))</f>
        <v/>
      </c>
      <c r="DU273" s="62"/>
    </row>
    <row r="274" customFormat="false" ht="15.75" hidden="false" customHeight="false" outlineLevel="0" collapsed="false">
      <c r="A274" s="7"/>
      <c r="B274" s="64"/>
      <c r="C274" s="65"/>
      <c r="D274" s="123"/>
      <c r="E274" s="88"/>
      <c r="F274" s="134"/>
      <c r="G274" s="88"/>
      <c r="H274" s="134"/>
      <c r="I274" s="119"/>
      <c r="J274" s="119"/>
      <c r="K274" s="119"/>
      <c r="L274" s="88"/>
      <c r="M274" s="88"/>
      <c r="N274" s="88"/>
      <c r="O274" s="134"/>
      <c r="P274" s="88"/>
      <c r="Q274" s="88"/>
      <c r="R274" s="88"/>
      <c r="S274" s="88"/>
      <c r="T274" s="134"/>
      <c r="U274" s="88"/>
      <c r="V274" s="70"/>
      <c r="W274" s="88"/>
      <c r="X274" s="88"/>
      <c r="Y274" s="70"/>
      <c r="Z274" s="70"/>
      <c r="AA274" s="88"/>
      <c r="AB274" s="88"/>
      <c r="AC274" s="71"/>
      <c r="AD274" s="88"/>
      <c r="AE274" s="73"/>
      <c r="AF274" s="74"/>
      <c r="AG274" s="74"/>
      <c r="AH274" s="74" t="str">
        <f aca="false">IF(ISBLANK($C274),"",IF($E274=Constants!$B$2,TRUE(),IF($E274=Constants!$B$3,FALSE(),TRUE())))</f>
        <v/>
      </c>
      <c r="AI274" s="74" t="str">
        <f aca="false">IF(ISBLANK($C274),"",IF($F274=Constants!$B$2,TRUE(),IF($F274=Constants!$B$3,FALSE(),FALSE())))</f>
        <v/>
      </c>
      <c r="AJ274" s="74" t="str">
        <f aca="false">IF(ISBLANK($C274),"",IF($G274=Constants!$B$2,TRUE(),IF($G274=Constants!$B$3,FALSE(),TRUE())))</f>
        <v/>
      </c>
      <c r="AK274" s="74" t="str">
        <f aca="false">IF(ISBLANK($C274),"",IF($H274=Constants!$B$2,TRUE(),IF($H274=Constants!$B$3,FALSE(),TRUE())))</f>
        <v/>
      </c>
      <c r="AL274" s="74" t="str">
        <f aca="false">IF(ISBLANK($C274),"",IF(ISNUMBER($I274),IF($I274&gt;=0,$I274,""),""))</f>
        <v/>
      </c>
      <c r="AM274" s="74" t="str">
        <f aca="false">IF(ISBLANK($C274),"",IF(ISNUMBER($J274),IF($J274&gt;=0,$J274,""),""))</f>
        <v/>
      </c>
      <c r="AN274" s="74" t="str">
        <f aca="false">IF(ISBLANK($C274),"",IF(ISNUMBER($K274),IF($K274&gt;=0,$K274,""),""))</f>
        <v/>
      </c>
      <c r="AO274" s="74" t="str">
        <f aca="false">IF(ISBLANK($C274),"",IF($L274=Constants!$B$2,TRUE(),IF($L274=Constants!$B$3,FALSE(),TRUE())))</f>
        <v/>
      </c>
      <c r="AP274" s="74" t="str">
        <f aca="false">IF(ISBLANK($C274),"",IF($M274=Constants!$B$2,TRUE(),IF($M274=Constants!$B$3,FALSE(),TRUE())))</f>
        <v/>
      </c>
      <c r="AQ274" s="74" t="str">
        <f aca="false">IF(ISBLANK($C274),"",IF($N274=Constants!$B$2,TRUE(),IF($N274=Constants!$B$3,FALSE(),FALSE())))</f>
        <v/>
      </c>
      <c r="AR274" s="74" t="str">
        <f aca="false">IF(ISBLANK($C274),"",IF($O274=Constants!$B$2,TRUE(),IF($O274=Constants!$B$3,FALSE(),TRUE())))</f>
        <v/>
      </c>
      <c r="AS274" s="74" t="str">
        <f aca="false">IF(ISBLANK($C274),"",IF($P274=Constants!$B$2,TRUE(),IF($P274=Constants!$B$3,FALSE(),FALSE())))</f>
        <v/>
      </c>
      <c r="AT274" s="74" t="str">
        <f aca="false">IF(ISBLANK($C274),"",IF($Q274=Constants!$B$2,TRUE(),IF($Q274=Constants!$B$3,FALSE(),FALSE())))</f>
        <v/>
      </c>
      <c r="AU274" s="74" t="str">
        <f aca="false">IF(ISBLANK($C274),"",IF($R274=Constants!$B$2,TRUE(),IF($R274=Constants!$B$3,FALSE(),FALSE())))</f>
        <v/>
      </c>
      <c r="AV274" s="74" t="str">
        <f aca="false">IF(ISBLANK($C274),"",IF($S274=Constants!$B$2,TRUE(),IF($S274=Constants!$B$3,FALSE(),FALSE())))</f>
        <v/>
      </c>
      <c r="AW274" s="74" t="str">
        <f aca="false">IF(ISBLANK($C274),"",IF($T274=Constants!$B$2,TRUE(),IF($T274=Constants!$B$3,FALSE(),FALSE())))</f>
        <v/>
      </c>
      <c r="AX274" s="74" t="str">
        <f aca="false">IF(ISBLANK($C274),"",IF(OR($U274&amp;""="1",$U274&amp;""="2",$U274&amp;""="3",$U274&amp;""="4"),VALUE($U274&amp;""),IF($U274=Constants!$B$12,Constants!$B$12,"")))</f>
        <v/>
      </c>
      <c r="AY274" s="74" t="str">
        <f aca="false">IF(ISBLANK($C274),"",IF(ISBLANK($V274),0,IF(ISNUMBER($V274),IF(AND($V274&gt;=0,$V274&lt;=Constants!$B$21,$V274=INT($V274)),$V274,""),"")))</f>
        <v/>
      </c>
      <c r="AZ274" s="74" t="str">
        <f aca="false">IF(ISBLANK($C274),"",IF(ISBLANK($W274),0,IF(ISNUMBER($W274),IF($W274&gt;=0,$W274,""),"")))</f>
        <v/>
      </c>
      <c r="BA274" s="74" t="str">
        <f aca="false">IF(ISBLANK($C274),"",IF($X274=Constants!$B$2,TRUE(),IF($X274=Constants!$B$3,FALSE(),TRUE())))</f>
        <v/>
      </c>
      <c r="BB274" s="74" t="str">
        <f aca="false">IF(ISBLANK($C274),"",IF($Y274=Constants!$B$2,TRUE(),IF($Y274=Constants!$B$3,FALSE(),FALSE())))</f>
        <v/>
      </c>
      <c r="BC274" s="74" t="str">
        <f aca="false">IF(ISBLANK($C274),"",IF(ISBLANK($Z274),0,IF(ISNUMBER($Z274),IF(AND($Z274&gt;=0,$Z274&lt;=Constants!$B$35,$Z274=INT($Z274)),$Z274,""),"")))</f>
        <v/>
      </c>
      <c r="BD274" s="74" t="str">
        <f aca="false">IF(ISBLANK($C274),"",IF($AA274=Constants!$B$2,TRUE(),IF($AA274=Constants!$B$3,FALSE(),TRUE())))</f>
        <v/>
      </c>
      <c r="BE274" s="74" t="str">
        <f aca="false">IF(ISBLANK($C274),"",IF($AB274=Constants!$B$2,TRUE(),IF($AB274=Constants!$B$3,FALSE(),TRUE())))</f>
        <v/>
      </c>
      <c r="BF274" s="74" t="str">
        <f aca="false">IF(ISBLANK($C274),"",IF(ISNUMBER($AC274),IF($AC274&gt;=0,$AC274,""),""))</f>
        <v/>
      </c>
      <c r="BG274" s="74" t="str">
        <f aca="false">IF(ISBLANK($C274),"",IF($AD274=Constants!$B$2,TRUE(),IF($AD274=Constants!$B$3,FALSE(),FALSE())))</f>
        <v/>
      </c>
      <c r="BH274" s="73" t="str">
        <f aca="false">IF(ISBLANK($C274),"",IF($BG274,Constants!$B$7,IF(COUNTA($E274:$AC274)=0,Constants!$B$6,IF(OR(COUNTA($G274:$AC274)=0,NOT($AK274),$AQ274),Constants!$B$5,IF(OR($CI274&lt;&gt;"",$CJ274,$CK274,$CL274,$CM274,$CN274,$CO274),Constants!$B$8,Constants!$B$4)))))</f>
        <v/>
      </c>
      <c r="BI274" s="74" t="str">
        <f aca="false">IF(ISBLANK($C274),"",IF($BH274&lt;&gt;Constants!$B$4,$BH274,IF(OR(NOT($AH274),NOT($AJ274),NOT($AR274)),Constants!$B$11,IF(OR(NOT($AP274),MAX($AL274,$AM274,$AN274)&gt;Constants!$B$30),Constants!$B$10,Constants!$B$9))))</f>
        <v/>
      </c>
      <c r="BJ274" s="74" t="str">
        <f aca="false">IF($BH274&lt;&gt;Constants!$B$4,"",IF(NOT($AJ274),0,MIN(Constants!$B$35,$BC274)))</f>
        <v/>
      </c>
      <c r="BK274" s="74" t="str">
        <f aca="false">IF($BH274&lt;&gt;Constants!$B$4,"",IF(NOT($AJ274),0,IF($AT274,Constants!$B$18,IF($AS274,Constants!$B$17,0))))</f>
        <v/>
      </c>
      <c r="BL274" s="74" t="str">
        <f aca="false">IF($BH274&lt;&gt;Constants!$B$4,"",IF(NOT($AJ274),0,Constants!$B$19*($AI274+$AU274+$AV274+$AW274)))</f>
        <v/>
      </c>
      <c r="BM274" s="74" t="str">
        <f aca="false">IF($BH274&lt;&gt;Constants!$B$4,"",IF(OR(NOT($AJ274),NOT(ISNUMBER($AX274))),0,CHOOSE($AX274,Constants!$B$13,Constants!$B$14,Constants!$B$15,Constants!$B$16)))</f>
        <v/>
      </c>
      <c r="BN274" s="74" t="str">
        <f aca="false">IF($BH274&lt;&gt;Constants!$B$4,"",IF(NOT($AJ274),0,Constants!$B$20*$AY274))</f>
        <v/>
      </c>
      <c r="BO274" s="74" t="str">
        <f aca="false">IF($BH274&lt;&gt;Constants!$B$4,"",IF(AND($AJ274,$BA274,$BB274),Constants!$B$22,0))</f>
        <v/>
      </c>
      <c r="BP274" s="74" t="str">
        <f aca="false">IF($BH274&lt;&gt;Constants!$B$4,"",IF(OR(NOT($AJ274),NOT($BA274)),0,IF($BF274&gt;=2*$AF$9,0,Constants!$B$23*INT(ROUND(MIN($BF274,$AF$9),6)))))</f>
        <v/>
      </c>
      <c r="BQ274" s="74" t="str">
        <f aca="false">IF($BH274&lt;&gt;Constants!$B$4,"",IF(NOT($AJ274),0,Constants!$B$24*INT(ROUND(MIN($AZ274,$AF$9),6))))</f>
        <v/>
      </c>
      <c r="BR274" s="74" t="str">
        <f aca="false">IF($BH274&lt;&gt;Constants!$B$4,"",IF(AND($AJ274,$BJ274=0),Constants!$B$25,0))</f>
        <v/>
      </c>
      <c r="BS274" s="74" t="str">
        <f aca="false">IF($BH274&lt;&gt;Constants!$B$4,"",MIN(Constants!$B$29,MAX(0,Constants!$B$27*Constants!$B$28*INT(ROUND((Constants!$B$26-$AL274)/Constants!$B$28,6))))+MIN(Constants!$B$29,MAX(0,Constants!$B$27*Constants!$B$28*INT(ROUND((Constants!$B$26-$AM274)/Constants!$B$28,6))))+MIN(Constants!$B$29,MAX(0,Constants!$B$27*Constants!$B$28*INT(ROUND((Constants!$B$26-$AN274)/Constants!$B$28,6)))))</f>
        <v/>
      </c>
      <c r="BT274" s="74" t="str">
        <f aca="false">IF($BH274&lt;&gt;Constants!$B$4,"",IF(NOT($AJ274),0,Constants!$B$31*INT(ROUND(MAX(0,MIN($BF274,2*$AF$9)-$AF$9),6))))</f>
        <v/>
      </c>
      <c r="BU274" s="74" t="str">
        <f aca="false">IF($BH274&lt;&gt;Constants!$B$4,"",Constants!$B$32*(($AL274&gt;Constants!$B$26)+($AM274&gt;Constants!$B$26)+($AN274&gt;Constants!$B$26)))</f>
        <v/>
      </c>
      <c r="BV274" s="74" t="str">
        <f aca="false">IF($BH274&lt;&gt;Constants!$B$4,"",IF(OR(NOT($AJ274),$AO274),0,Constants!$B$33))</f>
        <v/>
      </c>
      <c r="BW274" s="74" t="str">
        <f aca="false">IF($BH274&lt;&gt;Constants!$B$4,"",Constants!$B$34*$BJ274)</f>
        <v/>
      </c>
      <c r="BX274" s="74" t="str">
        <f aca="false">IF($BH274&lt;&gt;Constants!$B$4,"",IF(OR(NOT($AJ274),$BE274),0,Constants!$B$36))</f>
        <v/>
      </c>
      <c r="BY274" s="74" t="str">
        <f aca="false">IF($BH274&lt;&gt;Constants!$B$4,"",IF(OR(NOT($AJ274),$BD274),0,Constants!$B$37))</f>
        <v/>
      </c>
      <c r="BZ274" s="74" t="str">
        <f aca="false">IF($BH274&lt;&gt;Constants!$B$4,"",SUM($BT274:$BY274))</f>
        <v/>
      </c>
      <c r="CA274" s="74" t="str">
        <f aca="false">IF(ISBLANK($C274),"",IF($BH274&lt;&gt;Constants!$B$4,$BH274,SUM($BK274:$BS274)-$BZ274))</f>
        <v/>
      </c>
      <c r="CB274" s="74" t="str">
        <f aca="false">IF(ISBLANK($C274),"",IF($BH274&lt;&gt;Constants!$B$4,$BH274,RANK($CA274,$CA$9:$CA$508)))</f>
        <v/>
      </c>
      <c r="CC274" s="74" t="str">
        <f aca="false">IF(ISBLANK($C274),"",IF($BH274&lt;&gt;Constants!$B$4,$BH274,COUNTIFS($BI$9:$BI$508,"&lt;"&amp;$BI274)+COUNTIFS($BI$9:$BI$508,$BI274,$CB$9:$CB$508,"&lt;"&amp;$CB274)+1))</f>
        <v/>
      </c>
      <c r="CD274" s="74" t="str">
        <f aca="false">IF(ISBLANK($C274),"",IF($BH274&lt;&gt;Constants!$B$4,$BH274,RANK($BZ274,$BZ$9:$BZ$508,1)))</f>
        <v/>
      </c>
      <c r="CE274" s="74" t="str">
        <f aca="false">IF($BH274&lt;&gt;Constants!$B$4,"",$AL274+$AM274+$AN274)</f>
        <v/>
      </c>
      <c r="CF274" s="74" t="str">
        <f aca="false">IF(ISBLANK($C274),"",IF($BH274&lt;&gt;Constants!$B$4,$BH274,RANK($CE274,$CE$9:$CE$508,1)))</f>
        <v/>
      </c>
      <c r="CG274" s="74" t="str">
        <f aca="false">IF(ISBLANK($C274),"",IF($BH274&lt;&gt;Constants!$B$4,$BH274,COUNTIFS($BI$9:$BI$508,"&lt;"&amp;$BI274)+COUNTIFS($BI$9:$BI$508,$BI274,$CB$9:$CB$508,"&lt;"&amp;$CB274)+COUNTIFS($BI$9:$BI$508,$BI274,$CB$9:$CB$508,$CB274,$CD$9:$CD$508,"&lt;"&amp;$CD274)+COUNTIFS($BI$9:$BI$508,$BI274,$CB$9:$CB$508,$CB274,$CD$9:$CD$508,$CD274,$CF$9:$CF$508,"&lt;"&amp;$CF274)+1))</f>
        <v/>
      </c>
      <c r="CH274" s="74" t="str">
        <f aca="false">IF(ISBLANK($C274),"",IF($BH274&lt;&gt;Constants!$B$4,$BH274,$CC274-$CG274))</f>
        <v/>
      </c>
      <c r="CI274" s="74" t="str">
        <f aca="false">IF(ISBLANK($C274),"",IF(NOT($AJ274),"",IF(ISBLANK($D$7),$CI$5,IF(NOT(ISNUMBER($D$7)),$CI$6,""))))</f>
        <v/>
      </c>
      <c r="CJ274" s="74" t="str">
        <f aca="false">IF(ISBLANK($C274),"",OR($AL274="",$AM274="",$AN274=""))</f>
        <v/>
      </c>
      <c r="CK274" s="74" t="str">
        <f aca="false">IF(ISBLANK($C274),"",AND($AJ274,$AX274=""))</f>
        <v/>
      </c>
      <c r="CL274" s="74" t="str">
        <f aca="false">IF(ISBLANK($C274),"",AND($AJ274,$AY274=""))</f>
        <v/>
      </c>
      <c r="CM274" s="74" t="str">
        <f aca="false">IF(ISBLANK($C274),"",AND($AJ274,$AZ274=""))</f>
        <v/>
      </c>
      <c r="CN274" s="74" t="str">
        <f aca="false">IF(ISBLANK($C274),"",AND($AJ274,$BC274=""))</f>
        <v/>
      </c>
      <c r="CO274" s="74" t="str">
        <f aca="false">IF(ISBLANK($C274),"",AND($AJ274,$BF274=""))</f>
        <v/>
      </c>
      <c r="CP274" s="75"/>
      <c r="CQ274" s="76"/>
      <c r="CR274" s="79" t="str">
        <f aca="false">IF(ISBLANK($C274),"",IF($BH274=Constants!$B$8,$CI274,""))</f>
        <v/>
      </c>
      <c r="CS274" s="76" t="str">
        <f aca="false">IF(ISBLANK($C274),"",IF($BH274&lt;&gt;Constants!$B$4,"",$BK274+$BL274))</f>
        <v/>
      </c>
      <c r="CT274" s="78" t="str">
        <f aca="false">IF(ISBLANK($C274),"",IF($BH274&lt;&gt;Constants!$B$4,"",$BM274+$BN274+$BO274))</f>
        <v/>
      </c>
      <c r="CU274" s="78" t="str">
        <f aca="false">IF(ISBLANK($C274),"",IF($BH274&lt;&gt;Constants!$B$4,"",$BP274))</f>
        <v/>
      </c>
      <c r="CV274" s="78" t="str">
        <f aca="false">IF(ISBLANK($C274),"",IF($BH274&lt;&gt;Constants!$B$4,"",$BQ274+$BR274))</f>
        <v/>
      </c>
      <c r="CW274" s="78" t="str">
        <f aca="false">IF(ISBLANK($C274),"",IF($BH274&lt;&gt;Constants!$B$4,"",$BS274))</f>
        <v/>
      </c>
      <c r="CX274" s="78" t="str">
        <f aca="false">IF(ISBLANK($C274),"",IF($BH274&lt;&gt;Constants!$B$4,"",-$BZ274))</f>
        <v/>
      </c>
      <c r="CY274" s="79" t="str">
        <f aca="false">IF(ISBLANK($C274),"",$CA274)</f>
        <v/>
      </c>
      <c r="CZ274" s="80" t="str">
        <f aca="false">IF(ISBLANK($C274),"",$BI274)</f>
        <v/>
      </c>
      <c r="DA274" s="78" t="str">
        <f aca="false">IF(ISBLANK($C274),"",$CH274)</f>
        <v/>
      </c>
      <c r="DB274" s="78" t="str">
        <f aca="false">IF(ISBLANK($C274),"",$CG274)</f>
        <v/>
      </c>
      <c r="DC274" s="81" t="str">
        <f aca="false">IF(ISBLANK($C274),"",IFERROR(_xlfn.SWITCH($DB274,Constants!$B$7,COUNTA($C$9:$C$508)+2,Constants!$B$6,COUNTA($C$9:$C$508)+1,Constants!$B$5,COUNTA($C$9:$C$508)),$DB274))</f>
        <v/>
      </c>
      <c r="DD274" s="7"/>
      <c r="DE274" s="82" t="n">
        <f aca="false">IF(OR(ISNUMBER($DB274),$DB274=Constants!$B$7,$DB274=Constants!$B$5,$DB274=Constants!$B$6),1,0)</f>
        <v>0</v>
      </c>
      <c r="DF274" s="82" t="n">
        <v>266</v>
      </c>
      <c r="DG274" s="82" t="str">
        <f aca="false">IF(ISBLANK($C274),"",IF(ISNUMBER($DC274),$DC274+ROW($B274)/1000,""))</f>
        <v/>
      </c>
      <c r="DH274" s="82" t="str">
        <f aca="false">IF(ISNUMBER($DG274),RANK($DG274,$DG$9:$DG$508,1),"")</f>
        <v/>
      </c>
      <c r="DI274" s="82" t="str">
        <f aca="false">IF(ISBLANK($C274),"",$B274)</f>
        <v/>
      </c>
      <c r="DJ274" s="82" t="str">
        <f aca="false">IF(ISBLANK($C274),"",$C274)</f>
        <v/>
      </c>
      <c r="DK274" s="82" t="str">
        <f aca="false">IF(ISBLANK($C274),"",$D274)</f>
        <v/>
      </c>
      <c r="DL274" s="83" t="str">
        <f aca="false">$CZ274</f>
        <v/>
      </c>
      <c r="DM274" s="84" t="str">
        <f aca="false">$CY274</f>
        <v/>
      </c>
      <c r="DN274" s="82" t="str">
        <f aca="false">IF(ISBLANK($C274),"",$DB274)</f>
        <v/>
      </c>
      <c r="DO274" s="85" t="str">
        <f aca="false">IF($DF274&gt;$DE$8,"",VLOOKUP($DF274,$DH$9:$DN$508,7,FALSE()))</f>
        <v/>
      </c>
      <c r="DP274" s="86" t="str">
        <f aca="false">IF($DF274&gt;$DE$8,"",VLOOKUP($DF274,$DH$9:$DN$508,2,FALSE()))</f>
        <v/>
      </c>
      <c r="DQ274" s="86" t="str">
        <f aca="false">IF($DF274&gt;$DE$8,"",VLOOKUP($DF274,$DH$9:$DN$508,3,FALSE()))</f>
        <v/>
      </c>
      <c r="DR274" s="86" t="str">
        <f aca="false">IF($DF274&gt;$DE$8,"",VLOOKUP($DF274,$DH$9:$DN$508,4,FALSE()))</f>
        <v/>
      </c>
      <c r="DS274" s="86" t="str">
        <f aca="false">IF($DF274&gt;$DE$8,"",VLOOKUP($DF274,$DH$9:$DN$508,5,FALSE()))</f>
        <v/>
      </c>
      <c r="DT274" s="87" t="str">
        <f aca="false">IF($DF274&gt;$DE$8,"",VLOOKUP($DF274,$DH$9:$DN$508,6,FALSE()))</f>
        <v/>
      </c>
      <c r="DU274" s="62"/>
    </row>
    <row r="275" customFormat="false" ht="15.75" hidden="false" customHeight="false" outlineLevel="0" collapsed="false">
      <c r="A275" s="7"/>
      <c r="B275" s="64"/>
      <c r="C275" s="65"/>
      <c r="D275" s="123"/>
      <c r="E275" s="88"/>
      <c r="F275" s="134"/>
      <c r="G275" s="88"/>
      <c r="H275" s="134"/>
      <c r="I275" s="119"/>
      <c r="J275" s="119"/>
      <c r="K275" s="119"/>
      <c r="L275" s="88"/>
      <c r="M275" s="88"/>
      <c r="N275" s="88"/>
      <c r="O275" s="134"/>
      <c r="P275" s="88"/>
      <c r="Q275" s="88"/>
      <c r="R275" s="88"/>
      <c r="S275" s="88"/>
      <c r="T275" s="134"/>
      <c r="U275" s="88"/>
      <c r="V275" s="70"/>
      <c r="W275" s="88"/>
      <c r="X275" s="88"/>
      <c r="Y275" s="70"/>
      <c r="Z275" s="70"/>
      <c r="AA275" s="88"/>
      <c r="AB275" s="88"/>
      <c r="AC275" s="71"/>
      <c r="AD275" s="88"/>
      <c r="AE275" s="73"/>
      <c r="AF275" s="74"/>
      <c r="AG275" s="74"/>
      <c r="AH275" s="74" t="str">
        <f aca="false">IF(ISBLANK($C275),"",IF($E275=Constants!$B$2,TRUE(),IF($E275=Constants!$B$3,FALSE(),TRUE())))</f>
        <v/>
      </c>
      <c r="AI275" s="74" t="str">
        <f aca="false">IF(ISBLANK($C275),"",IF($F275=Constants!$B$2,TRUE(),IF($F275=Constants!$B$3,FALSE(),FALSE())))</f>
        <v/>
      </c>
      <c r="AJ275" s="74" t="str">
        <f aca="false">IF(ISBLANK($C275),"",IF($G275=Constants!$B$2,TRUE(),IF($G275=Constants!$B$3,FALSE(),TRUE())))</f>
        <v/>
      </c>
      <c r="AK275" s="74" t="str">
        <f aca="false">IF(ISBLANK($C275),"",IF($H275=Constants!$B$2,TRUE(),IF($H275=Constants!$B$3,FALSE(),TRUE())))</f>
        <v/>
      </c>
      <c r="AL275" s="74" t="str">
        <f aca="false">IF(ISBLANK($C275),"",IF(ISNUMBER($I275),IF($I275&gt;=0,$I275,""),""))</f>
        <v/>
      </c>
      <c r="AM275" s="74" t="str">
        <f aca="false">IF(ISBLANK($C275),"",IF(ISNUMBER($J275),IF($J275&gt;=0,$J275,""),""))</f>
        <v/>
      </c>
      <c r="AN275" s="74" t="str">
        <f aca="false">IF(ISBLANK($C275),"",IF(ISNUMBER($K275),IF($K275&gt;=0,$K275,""),""))</f>
        <v/>
      </c>
      <c r="AO275" s="74" t="str">
        <f aca="false">IF(ISBLANK($C275),"",IF($L275=Constants!$B$2,TRUE(),IF($L275=Constants!$B$3,FALSE(),TRUE())))</f>
        <v/>
      </c>
      <c r="AP275" s="74" t="str">
        <f aca="false">IF(ISBLANK($C275),"",IF($M275=Constants!$B$2,TRUE(),IF($M275=Constants!$B$3,FALSE(),TRUE())))</f>
        <v/>
      </c>
      <c r="AQ275" s="74" t="str">
        <f aca="false">IF(ISBLANK($C275),"",IF($N275=Constants!$B$2,TRUE(),IF($N275=Constants!$B$3,FALSE(),FALSE())))</f>
        <v/>
      </c>
      <c r="AR275" s="74" t="str">
        <f aca="false">IF(ISBLANK($C275),"",IF($O275=Constants!$B$2,TRUE(),IF($O275=Constants!$B$3,FALSE(),TRUE())))</f>
        <v/>
      </c>
      <c r="AS275" s="74" t="str">
        <f aca="false">IF(ISBLANK($C275),"",IF($P275=Constants!$B$2,TRUE(),IF($P275=Constants!$B$3,FALSE(),FALSE())))</f>
        <v/>
      </c>
      <c r="AT275" s="74" t="str">
        <f aca="false">IF(ISBLANK($C275),"",IF($Q275=Constants!$B$2,TRUE(),IF($Q275=Constants!$B$3,FALSE(),FALSE())))</f>
        <v/>
      </c>
      <c r="AU275" s="74" t="str">
        <f aca="false">IF(ISBLANK($C275),"",IF($R275=Constants!$B$2,TRUE(),IF($R275=Constants!$B$3,FALSE(),FALSE())))</f>
        <v/>
      </c>
      <c r="AV275" s="74" t="str">
        <f aca="false">IF(ISBLANK($C275),"",IF($S275=Constants!$B$2,TRUE(),IF($S275=Constants!$B$3,FALSE(),FALSE())))</f>
        <v/>
      </c>
      <c r="AW275" s="74" t="str">
        <f aca="false">IF(ISBLANK($C275),"",IF($T275=Constants!$B$2,TRUE(),IF($T275=Constants!$B$3,FALSE(),FALSE())))</f>
        <v/>
      </c>
      <c r="AX275" s="74" t="str">
        <f aca="false">IF(ISBLANK($C275),"",IF(OR($U275&amp;""="1",$U275&amp;""="2",$U275&amp;""="3",$U275&amp;""="4"),VALUE($U275&amp;""),IF($U275=Constants!$B$12,Constants!$B$12,"")))</f>
        <v/>
      </c>
      <c r="AY275" s="74" t="str">
        <f aca="false">IF(ISBLANK($C275),"",IF(ISBLANK($V275),0,IF(ISNUMBER($V275),IF(AND($V275&gt;=0,$V275&lt;=Constants!$B$21,$V275=INT($V275)),$V275,""),"")))</f>
        <v/>
      </c>
      <c r="AZ275" s="74" t="str">
        <f aca="false">IF(ISBLANK($C275),"",IF(ISBLANK($W275),0,IF(ISNUMBER($W275),IF($W275&gt;=0,$W275,""),"")))</f>
        <v/>
      </c>
      <c r="BA275" s="74" t="str">
        <f aca="false">IF(ISBLANK($C275),"",IF($X275=Constants!$B$2,TRUE(),IF($X275=Constants!$B$3,FALSE(),TRUE())))</f>
        <v/>
      </c>
      <c r="BB275" s="74" t="str">
        <f aca="false">IF(ISBLANK($C275),"",IF($Y275=Constants!$B$2,TRUE(),IF($Y275=Constants!$B$3,FALSE(),FALSE())))</f>
        <v/>
      </c>
      <c r="BC275" s="74" t="str">
        <f aca="false">IF(ISBLANK($C275),"",IF(ISBLANK($Z275),0,IF(ISNUMBER($Z275),IF(AND($Z275&gt;=0,$Z275&lt;=Constants!$B$35,$Z275=INT($Z275)),$Z275,""),"")))</f>
        <v/>
      </c>
      <c r="BD275" s="74" t="str">
        <f aca="false">IF(ISBLANK($C275),"",IF($AA275=Constants!$B$2,TRUE(),IF($AA275=Constants!$B$3,FALSE(),TRUE())))</f>
        <v/>
      </c>
      <c r="BE275" s="74" t="str">
        <f aca="false">IF(ISBLANK($C275),"",IF($AB275=Constants!$B$2,TRUE(),IF($AB275=Constants!$B$3,FALSE(),TRUE())))</f>
        <v/>
      </c>
      <c r="BF275" s="74" t="str">
        <f aca="false">IF(ISBLANK($C275),"",IF(ISNUMBER($AC275),IF($AC275&gt;=0,$AC275,""),""))</f>
        <v/>
      </c>
      <c r="BG275" s="74" t="str">
        <f aca="false">IF(ISBLANK($C275),"",IF($AD275=Constants!$B$2,TRUE(),IF($AD275=Constants!$B$3,FALSE(),FALSE())))</f>
        <v/>
      </c>
      <c r="BH275" s="73" t="str">
        <f aca="false">IF(ISBLANK($C275),"",IF($BG275,Constants!$B$7,IF(COUNTA($E275:$AC275)=0,Constants!$B$6,IF(OR(COUNTA($G275:$AC275)=0,NOT($AK275),$AQ275),Constants!$B$5,IF(OR($CI275&lt;&gt;"",$CJ275,$CK275,$CL275,$CM275,$CN275,$CO275),Constants!$B$8,Constants!$B$4)))))</f>
        <v/>
      </c>
      <c r="BI275" s="74" t="str">
        <f aca="false">IF(ISBLANK($C275),"",IF($BH275&lt;&gt;Constants!$B$4,$BH275,IF(OR(NOT($AH275),NOT($AJ275),NOT($AR275)),Constants!$B$11,IF(OR(NOT($AP275),MAX($AL275,$AM275,$AN275)&gt;Constants!$B$30),Constants!$B$10,Constants!$B$9))))</f>
        <v/>
      </c>
      <c r="BJ275" s="74" t="str">
        <f aca="false">IF($BH275&lt;&gt;Constants!$B$4,"",IF(NOT($AJ275),0,MIN(Constants!$B$35,$BC275)))</f>
        <v/>
      </c>
      <c r="BK275" s="74" t="str">
        <f aca="false">IF($BH275&lt;&gt;Constants!$B$4,"",IF(NOT($AJ275),0,IF($AT275,Constants!$B$18,IF($AS275,Constants!$B$17,0))))</f>
        <v/>
      </c>
      <c r="BL275" s="74" t="str">
        <f aca="false">IF($BH275&lt;&gt;Constants!$B$4,"",IF(NOT($AJ275),0,Constants!$B$19*($AI275+$AU275+$AV275+$AW275)))</f>
        <v/>
      </c>
      <c r="BM275" s="74" t="str">
        <f aca="false">IF($BH275&lt;&gt;Constants!$B$4,"",IF(OR(NOT($AJ275),NOT(ISNUMBER($AX275))),0,CHOOSE($AX275,Constants!$B$13,Constants!$B$14,Constants!$B$15,Constants!$B$16)))</f>
        <v/>
      </c>
      <c r="BN275" s="74" t="str">
        <f aca="false">IF($BH275&lt;&gt;Constants!$B$4,"",IF(NOT($AJ275),0,Constants!$B$20*$AY275))</f>
        <v/>
      </c>
      <c r="BO275" s="74" t="str">
        <f aca="false">IF($BH275&lt;&gt;Constants!$B$4,"",IF(AND($AJ275,$BA275,$BB275),Constants!$B$22,0))</f>
        <v/>
      </c>
      <c r="BP275" s="74" t="str">
        <f aca="false">IF($BH275&lt;&gt;Constants!$B$4,"",IF(OR(NOT($AJ275),NOT($BA275)),0,IF($BF275&gt;=2*$AF$9,0,Constants!$B$23*INT(ROUND(MIN($BF275,$AF$9),6)))))</f>
        <v/>
      </c>
      <c r="BQ275" s="74" t="str">
        <f aca="false">IF($BH275&lt;&gt;Constants!$B$4,"",IF(NOT($AJ275),0,Constants!$B$24*INT(ROUND(MIN($AZ275,$AF$9),6))))</f>
        <v/>
      </c>
      <c r="BR275" s="74" t="str">
        <f aca="false">IF($BH275&lt;&gt;Constants!$B$4,"",IF(AND($AJ275,$BJ275=0),Constants!$B$25,0))</f>
        <v/>
      </c>
      <c r="BS275" s="74" t="str">
        <f aca="false">IF($BH275&lt;&gt;Constants!$B$4,"",MIN(Constants!$B$29,MAX(0,Constants!$B$27*Constants!$B$28*INT(ROUND((Constants!$B$26-$AL275)/Constants!$B$28,6))))+MIN(Constants!$B$29,MAX(0,Constants!$B$27*Constants!$B$28*INT(ROUND((Constants!$B$26-$AM275)/Constants!$B$28,6))))+MIN(Constants!$B$29,MAX(0,Constants!$B$27*Constants!$B$28*INT(ROUND((Constants!$B$26-$AN275)/Constants!$B$28,6)))))</f>
        <v/>
      </c>
      <c r="BT275" s="74" t="str">
        <f aca="false">IF($BH275&lt;&gt;Constants!$B$4,"",IF(NOT($AJ275),0,Constants!$B$31*INT(ROUND(MAX(0,MIN($BF275,2*$AF$9)-$AF$9),6))))</f>
        <v/>
      </c>
      <c r="BU275" s="74" t="str">
        <f aca="false">IF($BH275&lt;&gt;Constants!$B$4,"",Constants!$B$32*(($AL275&gt;Constants!$B$26)+($AM275&gt;Constants!$B$26)+($AN275&gt;Constants!$B$26)))</f>
        <v/>
      </c>
      <c r="BV275" s="74" t="str">
        <f aca="false">IF($BH275&lt;&gt;Constants!$B$4,"",IF(OR(NOT($AJ275),$AO275),0,Constants!$B$33))</f>
        <v/>
      </c>
      <c r="BW275" s="74" t="str">
        <f aca="false">IF($BH275&lt;&gt;Constants!$B$4,"",Constants!$B$34*$BJ275)</f>
        <v/>
      </c>
      <c r="BX275" s="74" t="str">
        <f aca="false">IF($BH275&lt;&gt;Constants!$B$4,"",IF(OR(NOT($AJ275),$BE275),0,Constants!$B$36))</f>
        <v/>
      </c>
      <c r="BY275" s="74" t="str">
        <f aca="false">IF($BH275&lt;&gt;Constants!$B$4,"",IF(OR(NOT($AJ275),$BD275),0,Constants!$B$37))</f>
        <v/>
      </c>
      <c r="BZ275" s="74" t="str">
        <f aca="false">IF($BH275&lt;&gt;Constants!$B$4,"",SUM($BT275:$BY275))</f>
        <v/>
      </c>
      <c r="CA275" s="74" t="str">
        <f aca="false">IF(ISBLANK($C275),"",IF($BH275&lt;&gt;Constants!$B$4,$BH275,SUM($BK275:$BS275)-$BZ275))</f>
        <v/>
      </c>
      <c r="CB275" s="74" t="str">
        <f aca="false">IF(ISBLANK($C275),"",IF($BH275&lt;&gt;Constants!$B$4,$BH275,RANK($CA275,$CA$9:$CA$508)))</f>
        <v/>
      </c>
      <c r="CC275" s="74" t="str">
        <f aca="false">IF(ISBLANK($C275),"",IF($BH275&lt;&gt;Constants!$B$4,$BH275,COUNTIFS($BI$9:$BI$508,"&lt;"&amp;$BI275)+COUNTIFS($BI$9:$BI$508,$BI275,$CB$9:$CB$508,"&lt;"&amp;$CB275)+1))</f>
        <v/>
      </c>
      <c r="CD275" s="74" t="str">
        <f aca="false">IF(ISBLANK($C275),"",IF($BH275&lt;&gt;Constants!$B$4,$BH275,RANK($BZ275,$BZ$9:$BZ$508,1)))</f>
        <v/>
      </c>
      <c r="CE275" s="74" t="str">
        <f aca="false">IF($BH275&lt;&gt;Constants!$B$4,"",$AL275+$AM275+$AN275)</f>
        <v/>
      </c>
      <c r="CF275" s="74" t="str">
        <f aca="false">IF(ISBLANK($C275),"",IF($BH275&lt;&gt;Constants!$B$4,$BH275,RANK($CE275,$CE$9:$CE$508,1)))</f>
        <v/>
      </c>
      <c r="CG275" s="74" t="str">
        <f aca="false">IF(ISBLANK($C275),"",IF($BH275&lt;&gt;Constants!$B$4,$BH275,COUNTIFS($BI$9:$BI$508,"&lt;"&amp;$BI275)+COUNTIFS($BI$9:$BI$508,$BI275,$CB$9:$CB$508,"&lt;"&amp;$CB275)+COUNTIFS($BI$9:$BI$508,$BI275,$CB$9:$CB$508,$CB275,$CD$9:$CD$508,"&lt;"&amp;$CD275)+COUNTIFS($BI$9:$BI$508,$BI275,$CB$9:$CB$508,$CB275,$CD$9:$CD$508,$CD275,$CF$9:$CF$508,"&lt;"&amp;$CF275)+1))</f>
        <v/>
      </c>
      <c r="CH275" s="74" t="str">
        <f aca="false">IF(ISBLANK($C275),"",IF($BH275&lt;&gt;Constants!$B$4,$BH275,$CC275-$CG275))</f>
        <v/>
      </c>
      <c r="CI275" s="74" t="str">
        <f aca="false">IF(ISBLANK($C275),"",IF(NOT($AJ275),"",IF(ISBLANK($D$7),$CI$5,IF(NOT(ISNUMBER($D$7)),$CI$6,""))))</f>
        <v/>
      </c>
      <c r="CJ275" s="74" t="str">
        <f aca="false">IF(ISBLANK($C275),"",OR($AL275="",$AM275="",$AN275=""))</f>
        <v/>
      </c>
      <c r="CK275" s="74" t="str">
        <f aca="false">IF(ISBLANK($C275),"",AND($AJ275,$AX275=""))</f>
        <v/>
      </c>
      <c r="CL275" s="74" t="str">
        <f aca="false">IF(ISBLANK($C275),"",AND($AJ275,$AY275=""))</f>
        <v/>
      </c>
      <c r="CM275" s="74" t="str">
        <f aca="false">IF(ISBLANK($C275),"",AND($AJ275,$AZ275=""))</f>
        <v/>
      </c>
      <c r="CN275" s="74" t="str">
        <f aca="false">IF(ISBLANK($C275),"",AND($AJ275,$BC275=""))</f>
        <v/>
      </c>
      <c r="CO275" s="74" t="str">
        <f aca="false">IF(ISBLANK($C275),"",AND($AJ275,$BF275=""))</f>
        <v/>
      </c>
      <c r="CP275" s="75"/>
      <c r="CQ275" s="76"/>
      <c r="CR275" s="79" t="str">
        <f aca="false">IF(ISBLANK($C275),"",IF($BH275=Constants!$B$8,$CI275,""))</f>
        <v/>
      </c>
      <c r="CS275" s="76" t="str">
        <f aca="false">IF(ISBLANK($C275),"",IF($BH275&lt;&gt;Constants!$B$4,"",$BK275+$BL275))</f>
        <v/>
      </c>
      <c r="CT275" s="78" t="str">
        <f aca="false">IF(ISBLANK($C275),"",IF($BH275&lt;&gt;Constants!$B$4,"",$BM275+$BN275+$BO275))</f>
        <v/>
      </c>
      <c r="CU275" s="78" t="str">
        <f aca="false">IF(ISBLANK($C275),"",IF($BH275&lt;&gt;Constants!$B$4,"",$BP275))</f>
        <v/>
      </c>
      <c r="CV275" s="78" t="str">
        <f aca="false">IF(ISBLANK($C275),"",IF($BH275&lt;&gt;Constants!$B$4,"",$BQ275+$BR275))</f>
        <v/>
      </c>
      <c r="CW275" s="78" t="str">
        <f aca="false">IF(ISBLANK($C275),"",IF($BH275&lt;&gt;Constants!$B$4,"",$BS275))</f>
        <v/>
      </c>
      <c r="CX275" s="78" t="str">
        <f aca="false">IF(ISBLANK($C275),"",IF($BH275&lt;&gt;Constants!$B$4,"",-$BZ275))</f>
        <v/>
      </c>
      <c r="CY275" s="79" t="str">
        <f aca="false">IF(ISBLANK($C275),"",$CA275)</f>
        <v/>
      </c>
      <c r="CZ275" s="80" t="str">
        <f aca="false">IF(ISBLANK($C275),"",$BI275)</f>
        <v/>
      </c>
      <c r="DA275" s="78" t="str">
        <f aca="false">IF(ISBLANK($C275),"",$CH275)</f>
        <v/>
      </c>
      <c r="DB275" s="78" t="str">
        <f aca="false">IF(ISBLANK($C275),"",$CG275)</f>
        <v/>
      </c>
      <c r="DC275" s="81" t="str">
        <f aca="false">IF(ISBLANK($C275),"",IFERROR(_xlfn.SWITCH($DB275,Constants!$B$7,COUNTA($C$9:$C$508)+2,Constants!$B$6,COUNTA($C$9:$C$508)+1,Constants!$B$5,COUNTA($C$9:$C$508)),$DB275))</f>
        <v/>
      </c>
      <c r="DD275" s="7"/>
      <c r="DE275" s="82" t="n">
        <f aca="false">IF(OR(ISNUMBER($DB275),$DB275=Constants!$B$7,$DB275=Constants!$B$5,$DB275=Constants!$B$6),1,0)</f>
        <v>0</v>
      </c>
      <c r="DF275" s="82" t="n">
        <v>267</v>
      </c>
      <c r="DG275" s="82" t="str">
        <f aca="false">IF(ISBLANK($C275),"",IF(ISNUMBER($DC275),$DC275+ROW($B275)/1000,""))</f>
        <v/>
      </c>
      <c r="DH275" s="82" t="str">
        <f aca="false">IF(ISNUMBER($DG275),RANK($DG275,$DG$9:$DG$508,1),"")</f>
        <v/>
      </c>
      <c r="DI275" s="82" t="str">
        <f aca="false">IF(ISBLANK($C275),"",$B275)</f>
        <v/>
      </c>
      <c r="DJ275" s="82" t="str">
        <f aca="false">IF(ISBLANK($C275),"",$C275)</f>
        <v/>
      </c>
      <c r="DK275" s="82" t="str">
        <f aca="false">IF(ISBLANK($C275),"",$D275)</f>
        <v/>
      </c>
      <c r="DL275" s="83" t="str">
        <f aca="false">$CZ275</f>
        <v/>
      </c>
      <c r="DM275" s="84" t="str">
        <f aca="false">$CY275</f>
        <v/>
      </c>
      <c r="DN275" s="82" t="str">
        <f aca="false">IF(ISBLANK($C275),"",$DB275)</f>
        <v/>
      </c>
      <c r="DO275" s="85" t="str">
        <f aca="false">IF($DF275&gt;$DE$8,"",VLOOKUP($DF275,$DH$9:$DN$508,7,FALSE()))</f>
        <v/>
      </c>
      <c r="DP275" s="86" t="str">
        <f aca="false">IF($DF275&gt;$DE$8,"",VLOOKUP($DF275,$DH$9:$DN$508,2,FALSE()))</f>
        <v/>
      </c>
      <c r="DQ275" s="86" t="str">
        <f aca="false">IF($DF275&gt;$DE$8,"",VLOOKUP($DF275,$DH$9:$DN$508,3,FALSE()))</f>
        <v/>
      </c>
      <c r="DR275" s="86" t="str">
        <f aca="false">IF($DF275&gt;$DE$8,"",VLOOKUP($DF275,$DH$9:$DN$508,4,FALSE()))</f>
        <v/>
      </c>
      <c r="DS275" s="86" t="str">
        <f aca="false">IF($DF275&gt;$DE$8,"",VLOOKUP($DF275,$DH$9:$DN$508,5,FALSE()))</f>
        <v/>
      </c>
      <c r="DT275" s="87" t="str">
        <f aca="false">IF($DF275&gt;$DE$8,"",VLOOKUP($DF275,$DH$9:$DN$508,6,FALSE()))</f>
        <v/>
      </c>
      <c r="DU275" s="62"/>
    </row>
    <row r="276" customFormat="false" ht="15.75" hidden="false" customHeight="false" outlineLevel="0" collapsed="false">
      <c r="A276" s="7"/>
      <c r="B276" s="90"/>
      <c r="C276" s="91"/>
      <c r="D276" s="126"/>
      <c r="E276" s="130"/>
      <c r="F276" s="135"/>
      <c r="G276" s="130"/>
      <c r="H276" s="135"/>
      <c r="I276" s="131"/>
      <c r="J276" s="131"/>
      <c r="K276" s="131"/>
      <c r="L276" s="130"/>
      <c r="M276" s="130"/>
      <c r="N276" s="130"/>
      <c r="O276" s="135"/>
      <c r="P276" s="130"/>
      <c r="Q276" s="130"/>
      <c r="R276" s="130"/>
      <c r="S276" s="130"/>
      <c r="T276" s="135"/>
      <c r="U276" s="130"/>
      <c r="V276" s="96"/>
      <c r="W276" s="130"/>
      <c r="X276" s="130"/>
      <c r="Y276" s="96"/>
      <c r="Z276" s="96"/>
      <c r="AA276" s="130"/>
      <c r="AB276" s="130"/>
      <c r="AC276" s="97"/>
      <c r="AD276" s="130"/>
      <c r="AE276" s="99"/>
      <c r="AF276" s="100"/>
      <c r="AG276" s="100"/>
      <c r="AH276" s="100" t="str">
        <f aca="false">IF(ISBLANK($C276),"",IF($E276=Constants!$B$2,TRUE(),IF($E276=Constants!$B$3,FALSE(),TRUE())))</f>
        <v/>
      </c>
      <c r="AI276" s="100" t="str">
        <f aca="false">IF(ISBLANK($C276),"",IF($F276=Constants!$B$2,TRUE(),IF($F276=Constants!$B$3,FALSE(),FALSE())))</f>
        <v/>
      </c>
      <c r="AJ276" s="100" t="str">
        <f aca="false">IF(ISBLANK($C276),"",IF($G276=Constants!$B$2,TRUE(),IF($G276=Constants!$B$3,FALSE(),TRUE())))</f>
        <v/>
      </c>
      <c r="AK276" s="100" t="str">
        <f aca="false">IF(ISBLANK($C276),"",IF($H276=Constants!$B$2,TRUE(),IF($H276=Constants!$B$3,FALSE(),TRUE())))</f>
        <v/>
      </c>
      <c r="AL276" s="100" t="str">
        <f aca="false">IF(ISBLANK($C276),"",IF(ISNUMBER($I276),IF($I276&gt;=0,$I276,""),""))</f>
        <v/>
      </c>
      <c r="AM276" s="100" t="str">
        <f aca="false">IF(ISBLANK($C276),"",IF(ISNUMBER($J276),IF($J276&gt;=0,$J276,""),""))</f>
        <v/>
      </c>
      <c r="AN276" s="100" t="str">
        <f aca="false">IF(ISBLANK($C276),"",IF(ISNUMBER($K276),IF($K276&gt;=0,$K276,""),""))</f>
        <v/>
      </c>
      <c r="AO276" s="100" t="str">
        <f aca="false">IF(ISBLANK($C276),"",IF($L276=Constants!$B$2,TRUE(),IF($L276=Constants!$B$3,FALSE(),TRUE())))</f>
        <v/>
      </c>
      <c r="AP276" s="100" t="str">
        <f aca="false">IF(ISBLANK($C276),"",IF($M276=Constants!$B$2,TRUE(),IF($M276=Constants!$B$3,FALSE(),TRUE())))</f>
        <v/>
      </c>
      <c r="AQ276" s="100" t="str">
        <f aca="false">IF(ISBLANK($C276),"",IF($N276=Constants!$B$2,TRUE(),IF($N276=Constants!$B$3,FALSE(),FALSE())))</f>
        <v/>
      </c>
      <c r="AR276" s="100" t="str">
        <f aca="false">IF(ISBLANK($C276),"",IF($O276=Constants!$B$2,TRUE(),IF($O276=Constants!$B$3,FALSE(),TRUE())))</f>
        <v/>
      </c>
      <c r="AS276" s="100" t="str">
        <f aca="false">IF(ISBLANK($C276),"",IF($P276=Constants!$B$2,TRUE(),IF($P276=Constants!$B$3,FALSE(),FALSE())))</f>
        <v/>
      </c>
      <c r="AT276" s="100" t="str">
        <f aca="false">IF(ISBLANK($C276),"",IF($Q276=Constants!$B$2,TRUE(),IF($Q276=Constants!$B$3,FALSE(),FALSE())))</f>
        <v/>
      </c>
      <c r="AU276" s="100" t="str">
        <f aca="false">IF(ISBLANK($C276),"",IF($R276=Constants!$B$2,TRUE(),IF($R276=Constants!$B$3,FALSE(),FALSE())))</f>
        <v/>
      </c>
      <c r="AV276" s="100" t="str">
        <f aca="false">IF(ISBLANK($C276),"",IF($S276=Constants!$B$2,TRUE(),IF($S276=Constants!$B$3,FALSE(),FALSE())))</f>
        <v/>
      </c>
      <c r="AW276" s="100" t="str">
        <f aca="false">IF(ISBLANK($C276),"",IF($T276=Constants!$B$2,TRUE(),IF($T276=Constants!$B$3,FALSE(),FALSE())))</f>
        <v/>
      </c>
      <c r="AX276" s="100" t="str">
        <f aca="false">IF(ISBLANK($C276),"",IF(OR($U276&amp;""="1",$U276&amp;""="2",$U276&amp;""="3",$U276&amp;""="4"),VALUE($U276&amp;""),IF($U276=Constants!$B$12,Constants!$B$12,"")))</f>
        <v/>
      </c>
      <c r="AY276" s="100" t="str">
        <f aca="false">IF(ISBLANK($C276),"",IF(ISBLANK($V276),0,IF(ISNUMBER($V276),IF(AND($V276&gt;=0,$V276&lt;=Constants!$B$21,$V276=INT($V276)),$V276,""),"")))</f>
        <v/>
      </c>
      <c r="AZ276" s="100" t="str">
        <f aca="false">IF(ISBLANK($C276),"",IF(ISBLANK($W276),0,IF(ISNUMBER($W276),IF($W276&gt;=0,$W276,""),"")))</f>
        <v/>
      </c>
      <c r="BA276" s="100" t="str">
        <f aca="false">IF(ISBLANK($C276),"",IF($X276=Constants!$B$2,TRUE(),IF($X276=Constants!$B$3,FALSE(),TRUE())))</f>
        <v/>
      </c>
      <c r="BB276" s="100" t="str">
        <f aca="false">IF(ISBLANK($C276),"",IF($Y276=Constants!$B$2,TRUE(),IF($Y276=Constants!$B$3,FALSE(),FALSE())))</f>
        <v/>
      </c>
      <c r="BC276" s="100" t="str">
        <f aca="false">IF(ISBLANK($C276),"",IF(ISBLANK($Z276),0,IF(ISNUMBER($Z276),IF(AND($Z276&gt;=0,$Z276&lt;=Constants!$B$35,$Z276=INT($Z276)),$Z276,""),"")))</f>
        <v/>
      </c>
      <c r="BD276" s="100" t="str">
        <f aca="false">IF(ISBLANK($C276),"",IF($AA276=Constants!$B$2,TRUE(),IF($AA276=Constants!$B$3,FALSE(),TRUE())))</f>
        <v/>
      </c>
      <c r="BE276" s="100" t="str">
        <f aca="false">IF(ISBLANK($C276),"",IF($AB276=Constants!$B$2,TRUE(),IF($AB276=Constants!$B$3,FALSE(),TRUE())))</f>
        <v/>
      </c>
      <c r="BF276" s="100" t="str">
        <f aca="false">IF(ISBLANK($C276),"",IF(ISNUMBER($AC276),IF($AC276&gt;=0,$AC276,""),""))</f>
        <v/>
      </c>
      <c r="BG276" s="100" t="str">
        <f aca="false">IF(ISBLANK($C276),"",IF($AD276=Constants!$B$2,TRUE(),IF($AD276=Constants!$B$3,FALSE(),FALSE())))</f>
        <v/>
      </c>
      <c r="BH276" s="99" t="str">
        <f aca="false">IF(ISBLANK($C276),"",IF($BG276,Constants!$B$7,IF(COUNTA($E276:$AC276)=0,Constants!$B$6,IF(OR(COUNTA($G276:$AC276)=0,NOT($AK276),$AQ276),Constants!$B$5,IF(OR($CI276&lt;&gt;"",$CJ276,$CK276,$CL276,$CM276,$CN276,$CO276),Constants!$B$8,Constants!$B$4)))))</f>
        <v/>
      </c>
      <c r="BI276" s="100" t="str">
        <f aca="false">IF(ISBLANK($C276),"",IF($BH276&lt;&gt;Constants!$B$4,$BH276,IF(OR(NOT($AH276),NOT($AJ276),NOT($AR276)),Constants!$B$11,IF(OR(NOT($AP276),MAX($AL276,$AM276,$AN276)&gt;Constants!$B$30),Constants!$B$10,Constants!$B$9))))</f>
        <v/>
      </c>
      <c r="BJ276" s="100" t="str">
        <f aca="false">IF($BH276&lt;&gt;Constants!$B$4,"",IF(NOT($AJ276),0,MIN(Constants!$B$35,$BC276)))</f>
        <v/>
      </c>
      <c r="BK276" s="100" t="str">
        <f aca="false">IF($BH276&lt;&gt;Constants!$B$4,"",IF(NOT($AJ276),0,IF($AT276,Constants!$B$18,IF($AS276,Constants!$B$17,0))))</f>
        <v/>
      </c>
      <c r="BL276" s="100" t="str">
        <f aca="false">IF($BH276&lt;&gt;Constants!$B$4,"",IF(NOT($AJ276),0,Constants!$B$19*($AI276+$AU276+$AV276+$AW276)))</f>
        <v/>
      </c>
      <c r="BM276" s="100" t="str">
        <f aca="false">IF($BH276&lt;&gt;Constants!$B$4,"",IF(OR(NOT($AJ276),NOT(ISNUMBER($AX276))),0,CHOOSE($AX276,Constants!$B$13,Constants!$B$14,Constants!$B$15,Constants!$B$16)))</f>
        <v/>
      </c>
      <c r="BN276" s="100" t="str">
        <f aca="false">IF($BH276&lt;&gt;Constants!$B$4,"",IF(NOT($AJ276),0,Constants!$B$20*$AY276))</f>
        <v/>
      </c>
      <c r="BO276" s="100" t="str">
        <f aca="false">IF($BH276&lt;&gt;Constants!$B$4,"",IF(AND($AJ276,$BA276,$BB276),Constants!$B$22,0))</f>
        <v/>
      </c>
      <c r="BP276" s="100" t="str">
        <f aca="false">IF($BH276&lt;&gt;Constants!$B$4,"",IF(OR(NOT($AJ276),NOT($BA276)),0,IF($BF276&gt;=2*$AF$9,0,Constants!$B$23*INT(ROUND(MIN($BF276,$AF$9),6)))))</f>
        <v/>
      </c>
      <c r="BQ276" s="100" t="str">
        <f aca="false">IF($BH276&lt;&gt;Constants!$B$4,"",IF(NOT($AJ276),0,Constants!$B$24*INT(ROUND(MIN($AZ276,$AF$9),6))))</f>
        <v/>
      </c>
      <c r="BR276" s="100" t="str">
        <f aca="false">IF($BH276&lt;&gt;Constants!$B$4,"",IF(AND($AJ276,$BJ276=0),Constants!$B$25,0))</f>
        <v/>
      </c>
      <c r="BS276" s="100" t="str">
        <f aca="false">IF($BH276&lt;&gt;Constants!$B$4,"",MIN(Constants!$B$29,MAX(0,Constants!$B$27*Constants!$B$28*INT(ROUND((Constants!$B$26-$AL276)/Constants!$B$28,6))))+MIN(Constants!$B$29,MAX(0,Constants!$B$27*Constants!$B$28*INT(ROUND((Constants!$B$26-$AM276)/Constants!$B$28,6))))+MIN(Constants!$B$29,MAX(0,Constants!$B$27*Constants!$B$28*INT(ROUND((Constants!$B$26-$AN276)/Constants!$B$28,6)))))</f>
        <v/>
      </c>
      <c r="BT276" s="100" t="str">
        <f aca="false">IF($BH276&lt;&gt;Constants!$B$4,"",IF(NOT($AJ276),0,Constants!$B$31*INT(ROUND(MAX(0,MIN($BF276,2*$AF$9)-$AF$9),6))))</f>
        <v/>
      </c>
      <c r="BU276" s="100" t="str">
        <f aca="false">IF($BH276&lt;&gt;Constants!$B$4,"",Constants!$B$32*(($AL276&gt;Constants!$B$26)+($AM276&gt;Constants!$B$26)+($AN276&gt;Constants!$B$26)))</f>
        <v/>
      </c>
      <c r="BV276" s="100" t="str">
        <f aca="false">IF($BH276&lt;&gt;Constants!$B$4,"",IF(OR(NOT($AJ276),$AO276),0,Constants!$B$33))</f>
        <v/>
      </c>
      <c r="BW276" s="100" t="str">
        <f aca="false">IF($BH276&lt;&gt;Constants!$B$4,"",Constants!$B$34*$BJ276)</f>
        <v/>
      </c>
      <c r="BX276" s="100" t="str">
        <f aca="false">IF($BH276&lt;&gt;Constants!$B$4,"",IF(OR(NOT($AJ276),$BE276),0,Constants!$B$36))</f>
        <v/>
      </c>
      <c r="BY276" s="100" t="str">
        <f aca="false">IF($BH276&lt;&gt;Constants!$B$4,"",IF(OR(NOT($AJ276),$BD276),0,Constants!$B$37))</f>
        <v/>
      </c>
      <c r="BZ276" s="100" t="str">
        <f aca="false">IF($BH276&lt;&gt;Constants!$B$4,"",SUM($BT276:$BY276))</f>
        <v/>
      </c>
      <c r="CA276" s="100" t="str">
        <f aca="false">IF(ISBLANK($C276),"",IF($BH276&lt;&gt;Constants!$B$4,$BH276,SUM($BK276:$BS276)-$BZ276))</f>
        <v/>
      </c>
      <c r="CB276" s="100" t="str">
        <f aca="false">IF(ISBLANK($C276),"",IF($BH276&lt;&gt;Constants!$B$4,$BH276,RANK($CA276,$CA$9:$CA$508)))</f>
        <v/>
      </c>
      <c r="CC276" s="100" t="str">
        <f aca="false">IF(ISBLANK($C276),"",IF($BH276&lt;&gt;Constants!$B$4,$BH276,COUNTIFS($BI$9:$BI$508,"&lt;"&amp;$BI276)+COUNTIFS($BI$9:$BI$508,$BI276,$CB$9:$CB$508,"&lt;"&amp;$CB276)+1))</f>
        <v/>
      </c>
      <c r="CD276" s="100" t="str">
        <f aca="false">IF(ISBLANK($C276),"",IF($BH276&lt;&gt;Constants!$B$4,$BH276,RANK($BZ276,$BZ$9:$BZ$508,1)))</f>
        <v/>
      </c>
      <c r="CE276" s="100" t="str">
        <f aca="false">IF($BH276&lt;&gt;Constants!$B$4,"",$AL276+$AM276+$AN276)</f>
        <v/>
      </c>
      <c r="CF276" s="100" t="str">
        <f aca="false">IF(ISBLANK($C276),"",IF($BH276&lt;&gt;Constants!$B$4,$BH276,RANK($CE276,$CE$9:$CE$508,1)))</f>
        <v/>
      </c>
      <c r="CG276" s="100" t="str">
        <f aca="false">IF(ISBLANK($C276),"",IF($BH276&lt;&gt;Constants!$B$4,$BH276,COUNTIFS($BI$9:$BI$508,"&lt;"&amp;$BI276)+COUNTIFS($BI$9:$BI$508,$BI276,$CB$9:$CB$508,"&lt;"&amp;$CB276)+COUNTIFS($BI$9:$BI$508,$BI276,$CB$9:$CB$508,$CB276,$CD$9:$CD$508,"&lt;"&amp;$CD276)+COUNTIFS($BI$9:$BI$508,$BI276,$CB$9:$CB$508,$CB276,$CD$9:$CD$508,$CD276,$CF$9:$CF$508,"&lt;"&amp;$CF276)+1))</f>
        <v/>
      </c>
      <c r="CH276" s="100" t="str">
        <f aca="false">IF(ISBLANK($C276),"",IF($BH276&lt;&gt;Constants!$B$4,$BH276,$CC276-$CG276))</f>
        <v/>
      </c>
      <c r="CI276" s="100" t="str">
        <f aca="false">IF(ISBLANK($C276),"",IF(NOT($AJ276),"",IF(ISBLANK($D$7),$CI$5,IF(NOT(ISNUMBER($D$7)),$CI$6,""))))</f>
        <v/>
      </c>
      <c r="CJ276" s="100" t="str">
        <f aca="false">IF(ISBLANK($C276),"",OR($AL276="",$AM276="",$AN276=""))</f>
        <v/>
      </c>
      <c r="CK276" s="100" t="str">
        <f aca="false">IF(ISBLANK($C276),"",AND($AJ276,$AX276=""))</f>
        <v/>
      </c>
      <c r="CL276" s="100" t="str">
        <f aca="false">IF(ISBLANK($C276),"",AND($AJ276,$AY276=""))</f>
        <v/>
      </c>
      <c r="CM276" s="100" t="str">
        <f aca="false">IF(ISBLANK($C276),"",AND($AJ276,$AZ276=""))</f>
        <v/>
      </c>
      <c r="CN276" s="100" t="str">
        <f aca="false">IF(ISBLANK($C276),"",AND($AJ276,$BC276=""))</f>
        <v/>
      </c>
      <c r="CO276" s="100" t="str">
        <f aca="false">IF(ISBLANK($C276),"",AND($AJ276,$BF276=""))</f>
        <v/>
      </c>
      <c r="CP276" s="101"/>
      <c r="CQ276" s="102"/>
      <c r="CR276" s="103" t="str">
        <f aca="false">IF(ISBLANK($C276),"",IF($BH276=Constants!$B$8,$CI276,""))</f>
        <v/>
      </c>
      <c r="CS276" s="102" t="str">
        <f aca="false">IF(ISBLANK($C276),"",IF($BH276&lt;&gt;Constants!$B$4,"",$BK276+$BL276))</f>
        <v/>
      </c>
      <c r="CT276" s="104" t="str">
        <f aca="false">IF(ISBLANK($C276),"",IF($BH276&lt;&gt;Constants!$B$4,"",$BM276+$BN276+$BO276))</f>
        <v/>
      </c>
      <c r="CU276" s="104" t="str">
        <f aca="false">IF(ISBLANK($C276),"",IF($BH276&lt;&gt;Constants!$B$4,"",$BP276))</f>
        <v/>
      </c>
      <c r="CV276" s="104" t="str">
        <f aca="false">IF(ISBLANK($C276),"",IF($BH276&lt;&gt;Constants!$B$4,"",$BQ276+$BR276))</f>
        <v/>
      </c>
      <c r="CW276" s="104" t="str">
        <f aca="false">IF(ISBLANK($C276),"",IF($BH276&lt;&gt;Constants!$B$4,"",$BS276))</f>
        <v/>
      </c>
      <c r="CX276" s="104" t="str">
        <f aca="false">IF(ISBLANK($C276),"",IF($BH276&lt;&gt;Constants!$B$4,"",-$BZ276))</f>
        <v/>
      </c>
      <c r="CY276" s="103" t="str">
        <f aca="false">IF(ISBLANK($C276),"",$CA276)</f>
        <v/>
      </c>
      <c r="CZ276" s="105" t="str">
        <f aca="false">IF(ISBLANK($C276),"",$BI276)</f>
        <v/>
      </c>
      <c r="DA276" s="104" t="str">
        <f aca="false">IF(ISBLANK($C276),"",$CH276)</f>
        <v/>
      </c>
      <c r="DB276" s="104" t="str">
        <f aca="false">IF(ISBLANK($C276),"",$CG276)</f>
        <v/>
      </c>
      <c r="DC276" s="106" t="str">
        <f aca="false">IF(ISBLANK($C276),"",IFERROR(_xlfn.SWITCH($DB276,Constants!$B$7,COUNTA($C$9:$C$508)+2,Constants!$B$6,COUNTA($C$9:$C$508)+1,Constants!$B$5,COUNTA($C$9:$C$508)),$DB276))</f>
        <v/>
      </c>
      <c r="DD276" s="7"/>
      <c r="DE276" s="107" t="n">
        <f aca="false">IF(OR(ISNUMBER($DB276),$DB276=Constants!$B$7,$DB276=Constants!$B$5,$DB276=Constants!$B$6),1,0)</f>
        <v>0</v>
      </c>
      <c r="DF276" s="107" t="n">
        <v>268</v>
      </c>
      <c r="DG276" s="107" t="str">
        <f aca="false">IF(ISBLANK($C276),"",IF(ISNUMBER($DC276),$DC276+ROW($B276)/1000,""))</f>
        <v/>
      </c>
      <c r="DH276" s="107" t="str">
        <f aca="false">IF(ISNUMBER($DG276),RANK($DG276,$DG$9:$DG$508,1),"")</f>
        <v/>
      </c>
      <c r="DI276" s="107" t="str">
        <f aca="false">IF(ISBLANK($C276),"",$B276)</f>
        <v/>
      </c>
      <c r="DJ276" s="107" t="str">
        <f aca="false">IF(ISBLANK($C276),"",$C276)</f>
        <v/>
      </c>
      <c r="DK276" s="107" t="str">
        <f aca="false">IF(ISBLANK($C276),"",$D276)</f>
        <v/>
      </c>
      <c r="DL276" s="108" t="str">
        <f aca="false">$CZ276</f>
        <v/>
      </c>
      <c r="DM276" s="109" t="str">
        <f aca="false">$CY276</f>
        <v/>
      </c>
      <c r="DN276" s="107" t="str">
        <f aca="false">IF(ISBLANK($C276),"",$DB276)</f>
        <v/>
      </c>
      <c r="DO276" s="110" t="str">
        <f aca="false">IF($DF276&gt;$DE$8,"",VLOOKUP($DF276,$DH$9:$DN$508,7,FALSE()))</f>
        <v/>
      </c>
      <c r="DP276" s="111" t="str">
        <f aca="false">IF($DF276&gt;$DE$8,"",VLOOKUP($DF276,$DH$9:$DN$508,2,FALSE()))</f>
        <v/>
      </c>
      <c r="DQ276" s="111" t="str">
        <f aca="false">IF($DF276&gt;$DE$8,"",VLOOKUP($DF276,$DH$9:$DN$508,3,FALSE()))</f>
        <v/>
      </c>
      <c r="DR276" s="111" t="str">
        <f aca="false">IF($DF276&gt;$DE$8,"",VLOOKUP($DF276,$DH$9:$DN$508,4,FALSE()))</f>
        <v/>
      </c>
      <c r="DS276" s="111" t="str">
        <f aca="false">IF($DF276&gt;$DE$8,"",VLOOKUP($DF276,$DH$9:$DN$508,5,FALSE()))</f>
        <v/>
      </c>
      <c r="DT276" s="112" t="str">
        <f aca="false">IF($DF276&gt;$DE$8,"",VLOOKUP($DF276,$DH$9:$DN$508,6,FALSE()))</f>
        <v/>
      </c>
      <c r="DU276" s="62"/>
    </row>
    <row r="277" customFormat="false" ht="15.75" hidden="false" customHeight="false" outlineLevel="0" collapsed="false">
      <c r="A277" s="7"/>
      <c r="B277" s="90"/>
      <c r="C277" s="91"/>
      <c r="D277" s="126"/>
      <c r="E277" s="130"/>
      <c r="F277" s="135"/>
      <c r="G277" s="130"/>
      <c r="H277" s="135"/>
      <c r="I277" s="131"/>
      <c r="J277" s="131"/>
      <c r="K277" s="131"/>
      <c r="L277" s="130"/>
      <c r="M277" s="130"/>
      <c r="N277" s="130"/>
      <c r="O277" s="135"/>
      <c r="P277" s="130"/>
      <c r="Q277" s="130"/>
      <c r="R277" s="130"/>
      <c r="S277" s="130"/>
      <c r="T277" s="135"/>
      <c r="U277" s="130"/>
      <c r="V277" s="96"/>
      <c r="W277" s="130"/>
      <c r="X277" s="130"/>
      <c r="Y277" s="96"/>
      <c r="Z277" s="96"/>
      <c r="AA277" s="130"/>
      <c r="AB277" s="130"/>
      <c r="AC277" s="97"/>
      <c r="AD277" s="130"/>
      <c r="AE277" s="99"/>
      <c r="AF277" s="100"/>
      <c r="AG277" s="100"/>
      <c r="AH277" s="100" t="str">
        <f aca="false">IF(ISBLANK($C277),"",IF($E277=Constants!$B$2,TRUE(),IF($E277=Constants!$B$3,FALSE(),TRUE())))</f>
        <v/>
      </c>
      <c r="AI277" s="100" t="str">
        <f aca="false">IF(ISBLANK($C277),"",IF($F277=Constants!$B$2,TRUE(),IF($F277=Constants!$B$3,FALSE(),FALSE())))</f>
        <v/>
      </c>
      <c r="AJ277" s="100" t="str">
        <f aca="false">IF(ISBLANK($C277),"",IF($G277=Constants!$B$2,TRUE(),IF($G277=Constants!$B$3,FALSE(),TRUE())))</f>
        <v/>
      </c>
      <c r="AK277" s="100" t="str">
        <f aca="false">IF(ISBLANK($C277),"",IF($H277=Constants!$B$2,TRUE(),IF($H277=Constants!$B$3,FALSE(),TRUE())))</f>
        <v/>
      </c>
      <c r="AL277" s="100" t="str">
        <f aca="false">IF(ISBLANK($C277),"",IF(ISNUMBER($I277),IF($I277&gt;=0,$I277,""),""))</f>
        <v/>
      </c>
      <c r="AM277" s="100" t="str">
        <f aca="false">IF(ISBLANK($C277),"",IF(ISNUMBER($J277),IF($J277&gt;=0,$J277,""),""))</f>
        <v/>
      </c>
      <c r="AN277" s="100" t="str">
        <f aca="false">IF(ISBLANK($C277),"",IF(ISNUMBER($K277),IF($K277&gt;=0,$K277,""),""))</f>
        <v/>
      </c>
      <c r="AO277" s="100" t="str">
        <f aca="false">IF(ISBLANK($C277),"",IF($L277=Constants!$B$2,TRUE(),IF($L277=Constants!$B$3,FALSE(),TRUE())))</f>
        <v/>
      </c>
      <c r="AP277" s="100" t="str">
        <f aca="false">IF(ISBLANK($C277),"",IF($M277=Constants!$B$2,TRUE(),IF($M277=Constants!$B$3,FALSE(),TRUE())))</f>
        <v/>
      </c>
      <c r="AQ277" s="100" t="str">
        <f aca="false">IF(ISBLANK($C277),"",IF($N277=Constants!$B$2,TRUE(),IF($N277=Constants!$B$3,FALSE(),FALSE())))</f>
        <v/>
      </c>
      <c r="AR277" s="100" t="str">
        <f aca="false">IF(ISBLANK($C277),"",IF($O277=Constants!$B$2,TRUE(),IF($O277=Constants!$B$3,FALSE(),TRUE())))</f>
        <v/>
      </c>
      <c r="AS277" s="100" t="str">
        <f aca="false">IF(ISBLANK($C277),"",IF($P277=Constants!$B$2,TRUE(),IF($P277=Constants!$B$3,FALSE(),FALSE())))</f>
        <v/>
      </c>
      <c r="AT277" s="100" t="str">
        <f aca="false">IF(ISBLANK($C277),"",IF($Q277=Constants!$B$2,TRUE(),IF($Q277=Constants!$B$3,FALSE(),FALSE())))</f>
        <v/>
      </c>
      <c r="AU277" s="100" t="str">
        <f aca="false">IF(ISBLANK($C277),"",IF($R277=Constants!$B$2,TRUE(),IF($R277=Constants!$B$3,FALSE(),FALSE())))</f>
        <v/>
      </c>
      <c r="AV277" s="100" t="str">
        <f aca="false">IF(ISBLANK($C277),"",IF($S277=Constants!$B$2,TRUE(),IF($S277=Constants!$B$3,FALSE(),FALSE())))</f>
        <v/>
      </c>
      <c r="AW277" s="100" t="str">
        <f aca="false">IF(ISBLANK($C277),"",IF($T277=Constants!$B$2,TRUE(),IF($T277=Constants!$B$3,FALSE(),FALSE())))</f>
        <v/>
      </c>
      <c r="AX277" s="100" t="str">
        <f aca="false">IF(ISBLANK($C277),"",IF(OR($U277&amp;""="1",$U277&amp;""="2",$U277&amp;""="3",$U277&amp;""="4"),VALUE($U277&amp;""),IF($U277=Constants!$B$12,Constants!$B$12,"")))</f>
        <v/>
      </c>
      <c r="AY277" s="100" t="str">
        <f aca="false">IF(ISBLANK($C277),"",IF(ISBLANK($V277),0,IF(ISNUMBER($V277),IF(AND($V277&gt;=0,$V277&lt;=Constants!$B$21,$V277=INT($V277)),$V277,""),"")))</f>
        <v/>
      </c>
      <c r="AZ277" s="100" t="str">
        <f aca="false">IF(ISBLANK($C277),"",IF(ISBLANK($W277),0,IF(ISNUMBER($W277),IF($W277&gt;=0,$W277,""),"")))</f>
        <v/>
      </c>
      <c r="BA277" s="100" t="str">
        <f aca="false">IF(ISBLANK($C277),"",IF($X277=Constants!$B$2,TRUE(),IF($X277=Constants!$B$3,FALSE(),TRUE())))</f>
        <v/>
      </c>
      <c r="BB277" s="100" t="str">
        <f aca="false">IF(ISBLANK($C277),"",IF($Y277=Constants!$B$2,TRUE(),IF($Y277=Constants!$B$3,FALSE(),FALSE())))</f>
        <v/>
      </c>
      <c r="BC277" s="100" t="str">
        <f aca="false">IF(ISBLANK($C277),"",IF(ISBLANK($Z277),0,IF(ISNUMBER($Z277),IF(AND($Z277&gt;=0,$Z277&lt;=Constants!$B$35,$Z277=INT($Z277)),$Z277,""),"")))</f>
        <v/>
      </c>
      <c r="BD277" s="100" t="str">
        <f aca="false">IF(ISBLANK($C277),"",IF($AA277=Constants!$B$2,TRUE(),IF($AA277=Constants!$B$3,FALSE(),TRUE())))</f>
        <v/>
      </c>
      <c r="BE277" s="100" t="str">
        <f aca="false">IF(ISBLANK($C277),"",IF($AB277=Constants!$B$2,TRUE(),IF($AB277=Constants!$B$3,FALSE(),TRUE())))</f>
        <v/>
      </c>
      <c r="BF277" s="100" t="str">
        <f aca="false">IF(ISBLANK($C277),"",IF(ISNUMBER($AC277),IF($AC277&gt;=0,$AC277,""),""))</f>
        <v/>
      </c>
      <c r="BG277" s="100" t="str">
        <f aca="false">IF(ISBLANK($C277),"",IF($AD277=Constants!$B$2,TRUE(),IF($AD277=Constants!$B$3,FALSE(),FALSE())))</f>
        <v/>
      </c>
      <c r="BH277" s="99" t="str">
        <f aca="false">IF(ISBLANK($C277),"",IF($BG277,Constants!$B$7,IF(COUNTA($E277:$AC277)=0,Constants!$B$6,IF(OR(COUNTA($G277:$AC277)=0,NOT($AK277),$AQ277),Constants!$B$5,IF(OR($CI277&lt;&gt;"",$CJ277,$CK277,$CL277,$CM277,$CN277,$CO277),Constants!$B$8,Constants!$B$4)))))</f>
        <v/>
      </c>
      <c r="BI277" s="100" t="str">
        <f aca="false">IF(ISBLANK($C277),"",IF($BH277&lt;&gt;Constants!$B$4,$BH277,IF(OR(NOT($AH277),NOT($AJ277),NOT($AR277)),Constants!$B$11,IF(OR(NOT($AP277),MAX($AL277,$AM277,$AN277)&gt;Constants!$B$30),Constants!$B$10,Constants!$B$9))))</f>
        <v/>
      </c>
      <c r="BJ277" s="100" t="str">
        <f aca="false">IF($BH277&lt;&gt;Constants!$B$4,"",IF(NOT($AJ277),0,MIN(Constants!$B$35,$BC277)))</f>
        <v/>
      </c>
      <c r="BK277" s="100" t="str">
        <f aca="false">IF($BH277&lt;&gt;Constants!$B$4,"",IF(NOT($AJ277),0,IF($AT277,Constants!$B$18,IF($AS277,Constants!$B$17,0))))</f>
        <v/>
      </c>
      <c r="BL277" s="100" t="str">
        <f aca="false">IF($BH277&lt;&gt;Constants!$B$4,"",IF(NOT($AJ277),0,Constants!$B$19*($AI277+$AU277+$AV277+$AW277)))</f>
        <v/>
      </c>
      <c r="BM277" s="100" t="str">
        <f aca="false">IF($BH277&lt;&gt;Constants!$B$4,"",IF(OR(NOT($AJ277),NOT(ISNUMBER($AX277))),0,CHOOSE($AX277,Constants!$B$13,Constants!$B$14,Constants!$B$15,Constants!$B$16)))</f>
        <v/>
      </c>
      <c r="BN277" s="100" t="str">
        <f aca="false">IF($BH277&lt;&gt;Constants!$B$4,"",IF(NOT($AJ277),0,Constants!$B$20*$AY277))</f>
        <v/>
      </c>
      <c r="BO277" s="100" t="str">
        <f aca="false">IF($BH277&lt;&gt;Constants!$B$4,"",IF(AND($AJ277,$BA277,$BB277),Constants!$B$22,0))</f>
        <v/>
      </c>
      <c r="BP277" s="100" t="str">
        <f aca="false">IF($BH277&lt;&gt;Constants!$B$4,"",IF(OR(NOT($AJ277),NOT($BA277)),0,IF($BF277&gt;=2*$AF$9,0,Constants!$B$23*INT(ROUND(MIN($BF277,$AF$9),6)))))</f>
        <v/>
      </c>
      <c r="BQ277" s="100" t="str">
        <f aca="false">IF($BH277&lt;&gt;Constants!$B$4,"",IF(NOT($AJ277),0,Constants!$B$24*INT(ROUND(MIN($AZ277,$AF$9),6))))</f>
        <v/>
      </c>
      <c r="BR277" s="100" t="str">
        <f aca="false">IF($BH277&lt;&gt;Constants!$B$4,"",IF(AND($AJ277,$BJ277=0),Constants!$B$25,0))</f>
        <v/>
      </c>
      <c r="BS277" s="100" t="str">
        <f aca="false">IF($BH277&lt;&gt;Constants!$B$4,"",MIN(Constants!$B$29,MAX(0,Constants!$B$27*Constants!$B$28*INT(ROUND((Constants!$B$26-$AL277)/Constants!$B$28,6))))+MIN(Constants!$B$29,MAX(0,Constants!$B$27*Constants!$B$28*INT(ROUND((Constants!$B$26-$AM277)/Constants!$B$28,6))))+MIN(Constants!$B$29,MAX(0,Constants!$B$27*Constants!$B$28*INT(ROUND((Constants!$B$26-$AN277)/Constants!$B$28,6)))))</f>
        <v/>
      </c>
      <c r="BT277" s="100" t="str">
        <f aca="false">IF($BH277&lt;&gt;Constants!$B$4,"",IF(NOT($AJ277),0,Constants!$B$31*INT(ROUND(MAX(0,MIN($BF277,2*$AF$9)-$AF$9),6))))</f>
        <v/>
      </c>
      <c r="BU277" s="100" t="str">
        <f aca="false">IF($BH277&lt;&gt;Constants!$B$4,"",Constants!$B$32*(($AL277&gt;Constants!$B$26)+($AM277&gt;Constants!$B$26)+($AN277&gt;Constants!$B$26)))</f>
        <v/>
      </c>
      <c r="BV277" s="100" t="str">
        <f aca="false">IF($BH277&lt;&gt;Constants!$B$4,"",IF(OR(NOT($AJ277),$AO277),0,Constants!$B$33))</f>
        <v/>
      </c>
      <c r="BW277" s="100" t="str">
        <f aca="false">IF($BH277&lt;&gt;Constants!$B$4,"",Constants!$B$34*$BJ277)</f>
        <v/>
      </c>
      <c r="BX277" s="100" t="str">
        <f aca="false">IF($BH277&lt;&gt;Constants!$B$4,"",IF(OR(NOT($AJ277),$BE277),0,Constants!$B$36))</f>
        <v/>
      </c>
      <c r="BY277" s="100" t="str">
        <f aca="false">IF($BH277&lt;&gt;Constants!$B$4,"",IF(OR(NOT($AJ277),$BD277),0,Constants!$B$37))</f>
        <v/>
      </c>
      <c r="BZ277" s="100" t="str">
        <f aca="false">IF($BH277&lt;&gt;Constants!$B$4,"",SUM($BT277:$BY277))</f>
        <v/>
      </c>
      <c r="CA277" s="100" t="str">
        <f aca="false">IF(ISBLANK($C277),"",IF($BH277&lt;&gt;Constants!$B$4,$BH277,SUM($BK277:$BS277)-$BZ277))</f>
        <v/>
      </c>
      <c r="CB277" s="100" t="str">
        <f aca="false">IF(ISBLANK($C277),"",IF($BH277&lt;&gt;Constants!$B$4,$BH277,RANK($CA277,$CA$9:$CA$508)))</f>
        <v/>
      </c>
      <c r="CC277" s="100" t="str">
        <f aca="false">IF(ISBLANK($C277),"",IF($BH277&lt;&gt;Constants!$B$4,$BH277,COUNTIFS($BI$9:$BI$508,"&lt;"&amp;$BI277)+COUNTIFS($BI$9:$BI$508,$BI277,$CB$9:$CB$508,"&lt;"&amp;$CB277)+1))</f>
        <v/>
      </c>
      <c r="CD277" s="100" t="str">
        <f aca="false">IF(ISBLANK($C277),"",IF($BH277&lt;&gt;Constants!$B$4,$BH277,RANK($BZ277,$BZ$9:$BZ$508,1)))</f>
        <v/>
      </c>
      <c r="CE277" s="100" t="str">
        <f aca="false">IF($BH277&lt;&gt;Constants!$B$4,"",$AL277+$AM277+$AN277)</f>
        <v/>
      </c>
      <c r="CF277" s="100" t="str">
        <f aca="false">IF(ISBLANK($C277),"",IF($BH277&lt;&gt;Constants!$B$4,$BH277,RANK($CE277,$CE$9:$CE$508,1)))</f>
        <v/>
      </c>
      <c r="CG277" s="100" t="str">
        <f aca="false">IF(ISBLANK($C277),"",IF($BH277&lt;&gt;Constants!$B$4,$BH277,COUNTIFS($BI$9:$BI$508,"&lt;"&amp;$BI277)+COUNTIFS($BI$9:$BI$508,$BI277,$CB$9:$CB$508,"&lt;"&amp;$CB277)+COUNTIFS($BI$9:$BI$508,$BI277,$CB$9:$CB$508,$CB277,$CD$9:$CD$508,"&lt;"&amp;$CD277)+COUNTIFS($BI$9:$BI$508,$BI277,$CB$9:$CB$508,$CB277,$CD$9:$CD$508,$CD277,$CF$9:$CF$508,"&lt;"&amp;$CF277)+1))</f>
        <v/>
      </c>
      <c r="CH277" s="100" t="str">
        <f aca="false">IF(ISBLANK($C277),"",IF($BH277&lt;&gt;Constants!$B$4,$BH277,$CC277-$CG277))</f>
        <v/>
      </c>
      <c r="CI277" s="100" t="str">
        <f aca="false">IF(ISBLANK($C277),"",IF(NOT($AJ277),"",IF(ISBLANK($D$7),$CI$5,IF(NOT(ISNUMBER($D$7)),$CI$6,""))))</f>
        <v/>
      </c>
      <c r="CJ277" s="100" t="str">
        <f aca="false">IF(ISBLANK($C277),"",OR($AL277="",$AM277="",$AN277=""))</f>
        <v/>
      </c>
      <c r="CK277" s="100" t="str">
        <f aca="false">IF(ISBLANK($C277),"",AND($AJ277,$AX277=""))</f>
        <v/>
      </c>
      <c r="CL277" s="100" t="str">
        <f aca="false">IF(ISBLANK($C277),"",AND($AJ277,$AY277=""))</f>
        <v/>
      </c>
      <c r="CM277" s="100" t="str">
        <f aca="false">IF(ISBLANK($C277),"",AND($AJ277,$AZ277=""))</f>
        <v/>
      </c>
      <c r="CN277" s="100" t="str">
        <f aca="false">IF(ISBLANK($C277),"",AND($AJ277,$BC277=""))</f>
        <v/>
      </c>
      <c r="CO277" s="100" t="str">
        <f aca="false">IF(ISBLANK($C277),"",AND($AJ277,$BF277=""))</f>
        <v/>
      </c>
      <c r="CP277" s="101"/>
      <c r="CQ277" s="102"/>
      <c r="CR277" s="103" t="str">
        <f aca="false">IF(ISBLANK($C277),"",IF($BH277=Constants!$B$8,$CI277,""))</f>
        <v/>
      </c>
      <c r="CS277" s="102" t="str">
        <f aca="false">IF(ISBLANK($C277),"",IF($BH277&lt;&gt;Constants!$B$4,"",$BK277+$BL277))</f>
        <v/>
      </c>
      <c r="CT277" s="104" t="str">
        <f aca="false">IF(ISBLANK($C277),"",IF($BH277&lt;&gt;Constants!$B$4,"",$BM277+$BN277+$BO277))</f>
        <v/>
      </c>
      <c r="CU277" s="104" t="str">
        <f aca="false">IF(ISBLANK($C277),"",IF($BH277&lt;&gt;Constants!$B$4,"",$BP277))</f>
        <v/>
      </c>
      <c r="CV277" s="104" t="str">
        <f aca="false">IF(ISBLANK($C277),"",IF($BH277&lt;&gt;Constants!$B$4,"",$BQ277+$BR277))</f>
        <v/>
      </c>
      <c r="CW277" s="104" t="str">
        <f aca="false">IF(ISBLANK($C277),"",IF($BH277&lt;&gt;Constants!$B$4,"",$BS277))</f>
        <v/>
      </c>
      <c r="CX277" s="104" t="str">
        <f aca="false">IF(ISBLANK($C277),"",IF($BH277&lt;&gt;Constants!$B$4,"",-$BZ277))</f>
        <v/>
      </c>
      <c r="CY277" s="103" t="str">
        <f aca="false">IF(ISBLANK($C277),"",$CA277)</f>
        <v/>
      </c>
      <c r="CZ277" s="105" t="str">
        <f aca="false">IF(ISBLANK($C277),"",$BI277)</f>
        <v/>
      </c>
      <c r="DA277" s="104" t="str">
        <f aca="false">IF(ISBLANK($C277),"",$CH277)</f>
        <v/>
      </c>
      <c r="DB277" s="104" t="str">
        <f aca="false">IF(ISBLANK($C277),"",$CG277)</f>
        <v/>
      </c>
      <c r="DC277" s="106" t="str">
        <f aca="false">IF(ISBLANK($C277),"",IFERROR(_xlfn.SWITCH($DB277,Constants!$B$7,COUNTA($C$9:$C$508)+2,Constants!$B$6,COUNTA($C$9:$C$508)+1,Constants!$B$5,COUNTA($C$9:$C$508)),$DB277))</f>
        <v/>
      </c>
      <c r="DD277" s="7"/>
      <c r="DE277" s="107" t="n">
        <f aca="false">IF(OR(ISNUMBER($DB277),$DB277=Constants!$B$7,$DB277=Constants!$B$5,$DB277=Constants!$B$6),1,0)</f>
        <v>0</v>
      </c>
      <c r="DF277" s="107" t="n">
        <v>269</v>
      </c>
      <c r="DG277" s="107" t="str">
        <f aca="false">IF(ISBLANK($C277),"",IF(ISNUMBER($DC277),$DC277+ROW($B277)/1000,""))</f>
        <v/>
      </c>
      <c r="DH277" s="107" t="str">
        <f aca="false">IF(ISNUMBER($DG277),RANK($DG277,$DG$9:$DG$508,1),"")</f>
        <v/>
      </c>
      <c r="DI277" s="107" t="str">
        <f aca="false">IF(ISBLANK($C277),"",$B277)</f>
        <v/>
      </c>
      <c r="DJ277" s="107" t="str">
        <f aca="false">IF(ISBLANK($C277),"",$C277)</f>
        <v/>
      </c>
      <c r="DK277" s="107" t="str">
        <f aca="false">IF(ISBLANK($C277),"",$D277)</f>
        <v/>
      </c>
      <c r="DL277" s="108" t="str">
        <f aca="false">$CZ277</f>
        <v/>
      </c>
      <c r="DM277" s="109" t="str">
        <f aca="false">$CY277</f>
        <v/>
      </c>
      <c r="DN277" s="107" t="str">
        <f aca="false">IF(ISBLANK($C277),"",$DB277)</f>
        <v/>
      </c>
      <c r="DO277" s="110" t="str">
        <f aca="false">IF($DF277&gt;$DE$8,"",VLOOKUP($DF277,$DH$9:$DN$508,7,FALSE()))</f>
        <v/>
      </c>
      <c r="DP277" s="111" t="str">
        <f aca="false">IF($DF277&gt;$DE$8,"",VLOOKUP($DF277,$DH$9:$DN$508,2,FALSE()))</f>
        <v/>
      </c>
      <c r="DQ277" s="111" t="str">
        <f aca="false">IF($DF277&gt;$DE$8,"",VLOOKUP($DF277,$DH$9:$DN$508,3,FALSE()))</f>
        <v/>
      </c>
      <c r="DR277" s="111" t="str">
        <f aca="false">IF($DF277&gt;$DE$8,"",VLOOKUP($DF277,$DH$9:$DN$508,4,FALSE()))</f>
        <v/>
      </c>
      <c r="DS277" s="111" t="str">
        <f aca="false">IF($DF277&gt;$DE$8,"",VLOOKUP($DF277,$DH$9:$DN$508,5,FALSE()))</f>
        <v/>
      </c>
      <c r="DT277" s="112" t="str">
        <f aca="false">IF($DF277&gt;$DE$8,"",VLOOKUP($DF277,$DH$9:$DN$508,6,FALSE()))</f>
        <v/>
      </c>
      <c r="DU277" s="62"/>
    </row>
    <row r="278" customFormat="false" ht="15.75" hidden="false" customHeight="false" outlineLevel="0" collapsed="false">
      <c r="A278" s="7"/>
      <c r="B278" s="90"/>
      <c r="C278" s="91"/>
      <c r="D278" s="126"/>
      <c r="E278" s="130"/>
      <c r="F278" s="135"/>
      <c r="G278" s="130"/>
      <c r="H278" s="135"/>
      <c r="I278" s="131"/>
      <c r="J278" s="131"/>
      <c r="K278" s="131"/>
      <c r="L278" s="130"/>
      <c r="M278" s="130"/>
      <c r="N278" s="130"/>
      <c r="O278" s="135"/>
      <c r="P278" s="130"/>
      <c r="Q278" s="130"/>
      <c r="R278" s="130"/>
      <c r="S278" s="130"/>
      <c r="T278" s="135"/>
      <c r="U278" s="130"/>
      <c r="V278" s="96"/>
      <c r="W278" s="130"/>
      <c r="X278" s="130"/>
      <c r="Y278" s="96"/>
      <c r="Z278" s="96"/>
      <c r="AA278" s="130"/>
      <c r="AB278" s="130"/>
      <c r="AC278" s="97"/>
      <c r="AD278" s="130"/>
      <c r="AE278" s="99"/>
      <c r="AF278" s="100"/>
      <c r="AG278" s="100"/>
      <c r="AH278" s="100" t="str">
        <f aca="false">IF(ISBLANK($C278),"",IF($E278=Constants!$B$2,TRUE(),IF($E278=Constants!$B$3,FALSE(),TRUE())))</f>
        <v/>
      </c>
      <c r="AI278" s="100" t="str">
        <f aca="false">IF(ISBLANK($C278),"",IF($F278=Constants!$B$2,TRUE(),IF($F278=Constants!$B$3,FALSE(),FALSE())))</f>
        <v/>
      </c>
      <c r="AJ278" s="100" t="str">
        <f aca="false">IF(ISBLANK($C278),"",IF($G278=Constants!$B$2,TRUE(),IF($G278=Constants!$B$3,FALSE(),TRUE())))</f>
        <v/>
      </c>
      <c r="AK278" s="100" t="str">
        <f aca="false">IF(ISBLANK($C278),"",IF($H278=Constants!$B$2,TRUE(),IF($H278=Constants!$B$3,FALSE(),TRUE())))</f>
        <v/>
      </c>
      <c r="AL278" s="100" t="str">
        <f aca="false">IF(ISBLANK($C278),"",IF(ISNUMBER($I278),IF($I278&gt;=0,$I278,""),""))</f>
        <v/>
      </c>
      <c r="AM278" s="100" t="str">
        <f aca="false">IF(ISBLANK($C278),"",IF(ISNUMBER($J278),IF($J278&gt;=0,$J278,""),""))</f>
        <v/>
      </c>
      <c r="AN278" s="100" t="str">
        <f aca="false">IF(ISBLANK($C278),"",IF(ISNUMBER($K278),IF($K278&gt;=0,$K278,""),""))</f>
        <v/>
      </c>
      <c r="AO278" s="100" t="str">
        <f aca="false">IF(ISBLANK($C278),"",IF($L278=Constants!$B$2,TRUE(),IF($L278=Constants!$B$3,FALSE(),TRUE())))</f>
        <v/>
      </c>
      <c r="AP278" s="100" t="str">
        <f aca="false">IF(ISBLANK($C278),"",IF($M278=Constants!$B$2,TRUE(),IF($M278=Constants!$B$3,FALSE(),TRUE())))</f>
        <v/>
      </c>
      <c r="AQ278" s="100" t="str">
        <f aca="false">IF(ISBLANK($C278),"",IF($N278=Constants!$B$2,TRUE(),IF($N278=Constants!$B$3,FALSE(),FALSE())))</f>
        <v/>
      </c>
      <c r="AR278" s="100" t="str">
        <f aca="false">IF(ISBLANK($C278),"",IF($O278=Constants!$B$2,TRUE(),IF($O278=Constants!$B$3,FALSE(),TRUE())))</f>
        <v/>
      </c>
      <c r="AS278" s="100" t="str">
        <f aca="false">IF(ISBLANK($C278),"",IF($P278=Constants!$B$2,TRUE(),IF($P278=Constants!$B$3,FALSE(),FALSE())))</f>
        <v/>
      </c>
      <c r="AT278" s="100" t="str">
        <f aca="false">IF(ISBLANK($C278),"",IF($Q278=Constants!$B$2,TRUE(),IF($Q278=Constants!$B$3,FALSE(),FALSE())))</f>
        <v/>
      </c>
      <c r="AU278" s="100" t="str">
        <f aca="false">IF(ISBLANK($C278),"",IF($R278=Constants!$B$2,TRUE(),IF($R278=Constants!$B$3,FALSE(),FALSE())))</f>
        <v/>
      </c>
      <c r="AV278" s="100" t="str">
        <f aca="false">IF(ISBLANK($C278),"",IF($S278=Constants!$B$2,TRUE(),IF($S278=Constants!$B$3,FALSE(),FALSE())))</f>
        <v/>
      </c>
      <c r="AW278" s="100" t="str">
        <f aca="false">IF(ISBLANK($C278),"",IF($T278=Constants!$B$2,TRUE(),IF($T278=Constants!$B$3,FALSE(),FALSE())))</f>
        <v/>
      </c>
      <c r="AX278" s="100" t="str">
        <f aca="false">IF(ISBLANK($C278),"",IF(OR($U278&amp;""="1",$U278&amp;""="2",$U278&amp;""="3",$U278&amp;""="4"),VALUE($U278&amp;""),IF($U278=Constants!$B$12,Constants!$B$12,"")))</f>
        <v/>
      </c>
      <c r="AY278" s="100" t="str">
        <f aca="false">IF(ISBLANK($C278),"",IF(ISBLANK($V278),0,IF(ISNUMBER($V278),IF(AND($V278&gt;=0,$V278&lt;=Constants!$B$21,$V278=INT($V278)),$V278,""),"")))</f>
        <v/>
      </c>
      <c r="AZ278" s="100" t="str">
        <f aca="false">IF(ISBLANK($C278),"",IF(ISBLANK($W278),0,IF(ISNUMBER($W278),IF($W278&gt;=0,$W278,""),"")))</f>
        <v/>
      </c>
      <c r="BA278" s="100" t="str">
        <f aca="false">IF(ISBLANK($C278),"",IF($X278=Constants!$B$2,TRUE(),IF($X278=Constants!$B$3,FALSE(),TRUE())))</f>
        <v/>
      </c>
      <c r="BB278" s="100" t="str">
        <f aca="false">IF(ISBLANK($C278),"",IF($Y278=Constants!$B$2,TRUE(),IF($Y278=Constants!$B$3,FALSE(),FALSE())))</f>
        <v/>
      </c>
      <c r="BC278" s="100" t="str">
        <f aca="false">IF(ISBLANK($C278),"",IF(ISBLANK($Z278),0,IF(ISNUMBER($Z278),IF(AND($Z278&gt;=0,$Z278&lt;=Constants!$B$35,$Z278=INT($Z278)),$Z278,""),"")))</f>
        <v/>
      </c>
      <c r="BD278" s="100" t="str">
        <f aca="false">IF(ISBLANK($C278),"",IF($AA278=Constants!$B$2,TRUE(),IF($AA278=Constants!$B$3,FALSE(),TRUE())))</f>
        <v/>
      </c>
      <c r="BE278" s="100" t="str">
        <f aca="false">IF(ISBLANK($C278),"",IF($AB278=Constants!$B$2,TRUE(),IF($AB278=Constants!$B$3,FALSE(),TRUE())))</f>
        <v/>
      </c>
      <c r="BF278" s="100" t="str">
        <f aca="false">IF(ISBLANK($C278),"",IF(ISNUMBER($AC278),IF($AC278&gt;=0,$AC278,""),""))</f>
        <v/>
      </c>
      <c r="BG278" s="100" t="str">
        <f aca="false">IF(ISBLANK($C278),"",IF($AD278=Constants!$B$2,TRUE(),IF($AD278=Constants!$B$3,FALSE(),FALSE())))</f>
        <v/>
      </c>
      <c r="BH278" s="99" t="str">
        <f aca="false">IF(ISBLANK($C278),"",IF($BG278,Constants!$B$7,IF(COUNTA($E278:$AC278)=0,Constants!$B$6,IF(OR(COUNTA($G278:$AC278)=0,NOT($AK278),$AQ278),Constants!$B$5,IF(OR($CI278&lt;&gt;"",$CJ278,$CK278,$CL278,$CM278,$CN278,$CO278),Constants!$B$8,Constants!$B$4)))))</f>
        <v/>
      </c>
      <c r="BI278" s="100" t="str">
        <f aca="false">IF(ISBLANK($C278),"",IF($BH278&lt;&gt;Constants!$B$4,$BH278,IF(OR(NOT($AH278),NOT($AJ278),NOT($AR278)),Constants!$B$11,IF(OR(NOT($AP278),MAX($AL278,$AM278,$AN278)&gt;Constants!$B$30),Constants!$B$10,Constants!$B$9))))</f>
        <v/>
      </c>
      <c r="BJ278" s="100" t="str">
        <f aca="false">IF($BH278&lt;&gt;Constants!$B$4,"",IF(NOT($AJ278),0,MIN(Constants!$B$35,$BC278)))</f>
        <v/>
      </c>
      <c r="BK278" s="100" t="str">
        <f aca="false">IF($BH278&lt;&gt;Constants!$B$4,"",IF(NOT($AJ278),0,IF($AT278,Constants!$B$18,IF($AS278,Constants!$B$17,0))))</f>
        <v/>
      </c>
      <c r="BL278" s="100" t="str">
        <f aca="false">IF($BH278&lt;&gt;Constants!$B$4,"",IF(NOT($AJ278),0,Constants!$B$19*($AI278+$AU278+$AV278+$AW278)))</f>
        <v/>
      </c>
      <c r="BM278" s="100" t="str">
        <f aca="false">IF($BH278&lt;&gt;Constants!$B$4,"",IF(OR(NOT($AJ278),NOT(ISNUMBER($AX278))),0,CHOOSE($AX278,Constants!$B$13,Constants!$B$14,Constants!$B$15,Constants!$B$16)))</f>
        <v/>
      </c>
      <c r="BN278" s="100" t="str">
        <f aca="false">IF($BH278&lt;&gt;Constants!$B$4,"",IF(NOT($AJ278),0,Constants!$B$20*$AY278))</f>
        <v/>
      </c>
      <c r="BO278" s="100" t="str">
        <f aca="false">IF($BH278&lt;&gt;Constants!$B$4,"",IF(AND($AJ278,$BA278,$BB278),Constants!$B$22,0))</f>
        <v/>
      </c>
      <c r="BP278" s="100" t="str">
        <f aca="false">IF($BH278&lt;&gt;Constants!$B$4,"",IF(OR(NOT($AJ278),NOT($BA278)),0,IF($BF278&gt;=2*$AF$9,0,Constants!$B$23*INT(ROUND(MIN($BF278,$AF$9),6)))))</f>
        <v/>
      </c>
      <c r="BQ278" s="100" t="str">
        <f aca="false">IF($BH278&lt;&gt;Constants!$B$4,"",IF(NOT($AJ278),0,Constants!$B$24*INT(ROUND(MIN($AZ278,$AF$9),6))))</f>
        <v/>
      </c>
      <c r="BR278" s="100" t="str">
        <f aca="false">IF($BH278&lt;&gt;Constants!$B$4,"",IF(AND($AJ278,$BJ278=0),Constants!$B$25,0))</f>
        <v/>
      </c>
      <c r="BS278" s="100" t="str">
        <f aca="false">IF($BH278&lt;&gt;Constants!$B$4,"",MIN(Constants!$B$29,MAX(0,Constants!$B$27*Constants!$B$28*INT(ROUND((Constants!$B$26-$AL278)/Constants!$B$28,6))))+MIN(Constants!$B$29,MAX(0,Constants!$B$27*Constants!$B$28*INT(ROUND((Constants!$B$26-$AM278)/Constants!$B$28,6))))+MIN(Constants!$B$29,MAX(0,Constants!$B$27*Constants!$B$28*INT(ROUND((Constants!$B$26-$AN278)/Constants!$B$28,6)))))</f>
        <v/>
      </c>
      <c r="BT278" s="100" t="str">
        <f aca="false">IF($BH278&lt;&gt;Constants!$B$4,"",IF(NOT($AJ278),0,Constants!$B$31*INT(ROUND(MAX(0,MIN($BF278,2*$AF$9)-$AF$9),6))))</f>
        <v/>
      </c>
      <c r="BU278" s="100" t="str">
        <f aca="false">IF($BH278&lt;&gt;Constants!$B$4,"",Constants!$B$32*(($AL278&gt;Constants!$B$26)+($AM278&gt;Constants!$B$26)+($AN278&gt;Constants!$B$26)))</f>
        <v/>
      </c>
      <c r="BV278" s="100" t="str">
        <f aca="false">IF($BH278&lt;&gt;Constants!$B$4,"",IF(OR(NOT($AJ278),$AO278),0,Constants!$B$33))</f>
        <v/>
      </c>
      <c r="BW278" s="100" t="str">
        <f aca="false">IF($BH278&lt;&gt;Constants!$B$4,"",Constants!$B$34*$BJ278)</f>
        <v/>
      </c>
      <c r="BX278" s="100" t="str">
        <f aca="false">IF($BH278&lt;&gt;Constants!$B$4,"",IF(OR(NOT($AJ278),$BE278),0,Constants!$B$36))</f>
        <v/>
      </c>
      <c r="BY278" s="100" t="str">
        <f aca="false">IF($BH278&lt;&gt;Constants!$B$4,"",IF(OR(NOT($AJ278),$BD278),0,Constants!$B$37))</f>
        <v/>
      </c>
      <c r="BZ278" s="100" t="str">
        <f aca="false">IF($BH278&lt;&gt;Constants!$B$4,"",SUM($BT278:$BY278))</f>
        <v/>
      </c>
      <c r="CA278" s="100" t="str">
        <f aca="false">IF(ISBLANK($C278),"",IF($BH278&lt;&gt;Constants!$B$4,$BH278,SUM($BK278:$BS278)-$BZ278))</f>
        <v/>
      </c>
      <c r="CB278" s="100" t="str">
        <f aca="false">IF(ISBLANK($C278),"",IF($BH278&lt;&gt;Constants!$B$4,$BH278,RANK($CA278,$CA$9:$CA$508)))</f>
        <v/>
      </c>
      <c r="CC278" s="100" t="str">
        <f aca="false">IF(ISBLANK($C278),"",IF($BH278&lt;&gt;Constants!$B$4,$BH278,COUNTIFS($BI$9:$BI$508,"&lt;"&amp;$BI278)+COUNTIFS($BI$9:$BI$508,$BI278,$CB$9:$CB$508,"&lt;"&amp;$CB278)+1))</f>
        <v/>
      </c>
      <c r="CD278" s="100" t="str">
        <f aca="false">IF(ISBLANK($C278),"",IF($BH278&lt;&gt;Constants!$B$4,$BH278,RANK($BZ278,$BZ$9:$BZ$508,1)))</f>
        <v/>
      </c>
      <c r="CE278" s="100" t="str">
        <f aca="false">IF($BH278&lt;&gt;Constants!$B$4,"",$AL278+$AM278+$AN278)</f>
        <v/>
      </c>
      <c r="CF278" s="100" t="str">
        <f aca="false">IF(ISBLANK($C278),"",IF($BH278&lt;&gt;Constants!$B$4,$BH278,RANK($CE278,$CE$9:$CE$508,1)))</f>
        <v/>
      </c>
      <c r="CG278" s="100" t="str">
        <f aca="false">IF(ISBLANK($C278),"",IF($BH278&lt;&gt;Constants!$B$4,$BH278,COUNTIFS($BI$9:$BI$508,"&lt;"&amp;$BI278)+COUNTIFS($BI$9:$BI$508,$BI278,$CB$9:$CB$508,"&lt;"&amp;$CB278)+COUNTIFS($BI$9:$BI$508,$BI278,$CB$9:$CB$508,$CB278,$CD$9:$CD$508,"&lt;"&amp;$CD278)+COUNTIFS($BI$9:$BI$508,$BI278,$CB$9:$CB$508,$CB278,$CD$9:$CD$508,$CD278,$CF$9:$CF$508,"&lt;"&amp;$CF278)+1))</f>
        <v/>
      </c>
      <c r="CH278" s="100" t="str">
        <f aca="false">IF(ISBLANK($C278),"",IF($BH278&lt;&gt;Constants!$B$4,$BH278,$CC278-$CG278))</f>
        <v/>
      </c>
      <c r="CI278" s="100" t="str">
        <f aca="false">IF(ISBLANK($C278),"",IF(NOT($AJ278),"",IF(ISBLANK($D$7),$CI$5,IF(NOT(ISNUMBER($D$7)),$CI$6,""))))</f>
        <v/>
      </c>
      <c r="CJ278" s="100" t="str">
        <f aca="false">IF(ISBLANK($C278),"",OR($AL278="",$AM278="",$AN278=""))</f>
        <v/>
      </c>
      <c r="CK278" s="100" t="str">
        <f aca="false">IF(ISBLANK($C278),"",AND($AJ278,$AX278=""))</f>
        <v/>
      </c>
      <c r="CL278" s="100" t="str">
        <f aca="false">IF(ISBLANK($C278),"",AND($AJ278,$AY278=""))</f>
        <v/>
      </c>
      <c r="CM278" s="100" t="str">
        <f aca="false">IF(ISBLANK($C278),"",AND($AJ278,$AZ278=""))</f>
        <v/>
      </c>
      <c r="CN278" s="100" t="str">
        <f aca="false">IF(ISBLANK($C278),"",AND($AJ278,$BC278=""))</f>
        <v/>
      </c>
      <c r="CO278" s="100" t="str">
        <f aca="false">IF(ISBLANK($C278),"",AND($AJ278,$BF278=""))</f>
        <v/>
      </c>
      <c r="CP278" s="101"/>
      <c r="CQ278" s="102"/>
      <c r="CR278" s="103" t="str">
        <f aca="false">IF(ISBLANK($C278),"",IF($BH278=Constants!$B$8,$CI278,""))</f>
        <v/>
      </c>
      <c r="CS278" s="102" t="str">
        <f aca="false">IF(ISBLANK($C278),"",IF($BH278&lt;&gt;Constants!$B$4,"",$BK278+$BL278))</f>
        <v/>
      </c>
      <c r="CT278" s="104" t="str">
        <f aca="false">IF(ISBLANK($C278),"",IF($BH278&lt;&gt;Constants!$B$4,"",$BM278+$BN278+$BO278))</f>
        <v/>
      </c>
      <c r="CU278" s="104" t="str">
        <f aca="false">IF(ISBLANK($C278),"",IF($BH278&lt;&gt;Constants!$B$4,"",$BP278))</f>
        <v/>
      </c>
      <c r="CV278" s="104" t="str">
        <f aca="false">IF(ISBLANK($C278),"",IF($BH278&lt;&gt;Constants!$B$4,"",$BQ278+$BR278))</f>
        <v/>
      </c>
      <c r="CW278" s="104" t="str">
        <f aca="false">IF(ISBLANK($C278),"",IF($BH278&lt;&gt;Constants!$B$4,"",$BS278))</f>
        <v/>
      </c>
      <c r="CX278" s="104" t="str">
        <f aca="false">IF(ISBLANK($C278),"",IF($BH278&lt;&gt;Constants!$B$4,"",-$BZ278))</f>
        <v/>
      </c>
      <c r="CY278" s="103" t="str">
        <f aca="false">IF(ISBLANK($C278),"",$CA278)</f>
        <v/>
      </c>
      <c r="CZ278" s="105" t="str">
        <f aca="false">IF(ISBLANK($C278),"",$BI278)</f>
        <v/>
      </c>
      <c r="DA278" s="104" t="str">
        <f aca="false">IF(ISBLANK($C278),"",$CH278)</f>
        <v/>
      </c>
      <c r="DB278" s="104" t="str">
        <f aca="false">IF(ISBLANK($C278),"",$CG278)</f>
        <v/>
      </c>
      <c r="DC278" s="106" t="str">
        <f aca="false">IF(ISBLANK($C278),"",IFERROR(_xlfn.SWITCH($DB278,Constants!$B$7,COUNTA($C$9:$C$508)+2,Constants!$B$6,COUNTA($C$9:$C$508)+1,Constants!$B$5,COUNTA($C$9:$C$508)),$DB278))</f>
        <v/>
      </c>
      <c r="DD278" s="7"/>
      <c r="DE278" s="107" t="n">
        <f aca="false">IF(OR(ISNUMBER($DB278),$DB278=Constants!$B$7,$DB278=Constants!$B$5,$DB278=Constants!$B$6),1,0)</f>
        <v>0</v>
      </c>
      <c r="DF278" s="107" t="n">
        <v>270</v>
      </c>
      <c r="DG278" s="107" t="str">
        <f aca="false">IF(ISBLANK($C278),"",IF(ISNUMBER($DC278),$DC278+ROW($B278)/1000,""))</f>
        <v/>
      </c>
      <c r="DH278" s="107" t="str">
        <f aca="false">IF(ISNUMBER($DG278),RANK($DG278,$DG$9:$DG$508,1),"")</f>
        <v/>
      </c>
      <c r="DI278" s="107" t="str">
        <f aca="false">IF(ISBLANK($C278),"",$B278)</f>
        <v/>
      </c>
      <c r="DJ278" s="107" t="str">
        <f aca="false">IF(ISBLANK($C278),"",$C278)</f>
        <v/>
      </c>
      <c r="DK278" s="107" t="str">
        <f aca="false">IF(ISBLANK($C278),"",$D278)</f>
        <v/>
      </c>
      <c r="DL278" s="108" t="str">
        <f aca="false">$CZ278</f>
        <v/>
      </c>
      <c r="DM278" s="109" t="str">
        <f aca="false">$CY278</f>
        <v/>
      </c>
      <c r="DN278" s="107" t="str">
        <f aca="false">IF(ISBLANK($C278),"",$DB278)</f>
        <v/>
      </c>
      <c r="DO278" s="110" t="str">
        <f aca="false">IF($DF278&gt;$DE$8,"",VLOOKUP($DF278,$DH$9:$DN$508,7,FALSE()))</f>
        <v/>
      </c>
      <c r="DP278" s="111" t="str">
        <f aca="false">IF($DF278&gt;$DE$8,"",VLOOKUP($DF278,$DH$9:$DN$508,2,FALSE()))</f>
        <v/>
      </c>
      <c r="DQ278" s="111" t="str">
        <f aca="false">IF($DF278&gt;$DE$8,"",VLOOKUP($DF278,$DH$9:$DN$508,3,FALSE()))</f>
        <v/>
      </c>
      <c r="DR278" s="111" t="str">
        <f aca="false">IF($DF278&gt;$DE$8,"",VLOOKUP($DF278,$DH$9:$DN$508,4,FALSE()))</f>
        <v/>
      </c>
      <c r="DS278" s="111" t="str">
        <f aca="false">IF($DF278&gt;$DE$8,"",VLOOKUP($DF278,$DH$9:$DN$508,5,FALSE()))</f>
        <v/>
      </c>
      <c r="DT278" s="112" t="str">
        <f aca="false">IF($DF278&gt;$DE$8,"",VLOOKUP($DF278,$DH$9:$DN$508,6,FALSE()))</f>
        <v/>
      </c>
      <c r="DU278" s="62"/>
    </row>
    <row r="279" customFormat="false" ht="15.75" hidden="false" customHeight="false" outlineLevel="0" collapsed="false">
      <c r="A279" s="7"/>
      <c r="B279" s="64"/>
      <c r="C279" s="65"/>
      <c r="D279" s="123"/>
      <c r="E279" s="88"/>
      <c r="F279" s="134"/>
      <c r="G279" s="88"/>
      <c r="H279" s="134"/>
      <c r="I279" s="119"/>
      <c r="J279" s="119"/>
      <c r="K279" s="119"/>
      <c r="L279" s="88"/>
      <c r="M279" s="88"/>
      <c r="N279" s="88"/>
      <c r="O279" s="134"/>
      <c r="P279" s="88"/>
      <c r="Q279" s="88"/>
      <c r="R279" s="88"/>
      <c r="S279" s="88"/>
      <c r="T279" s="134"/>
      <c r="U279" s="88"/>
      <c r="V279" s="70"/>
      <c r="W279" s="88"/>
      <c r="X279" s="88"/>
      <c r="Y279" s="70"/>
      <c r="Z279" s="70"/>
      <c r="AA279" s="88"/>
      <c r="AB279" s="88"/>
      <c r="AC279" s="71"/>
      <c r="AD279" s="88"/>
      <c r="AE279" s="73"/>
      <c r="AF279" s="74"/>
      <c r="AG279" s="74"/>
      <c r="AH279" s="74" t="str">
        <f aca="false">IF(ISBLANK($C279),"",IF($E279=Constants!$B$2,TRUE(),IF($E279=Constants!$B$3,FALSE(),TRUE())))</f>
        <v/>
      </c>
      <c r="AI279" s="74" t="str">
        <f aca="false">IF(ISBLANK($C279),"",IF($F279=Constants!$B$2,TRUE(),IF($F279=Constants!$B$3,FALSE(),FALSE())))</f>
        <v/>
      </c>
      <c r="AJ279" s="74" t="str">
        <f aca="false">IF(ISBLANK($C279),"",IF($G279=Constants!$B$2,TRUE(),IF($G279=Constants!$B$3,FALSE(),TRUE())))</f>
        <v/>
      </c>
      <c r="AK279" s="74" t="str">
        <f aca="false">IF(ISBLANK($C279),"",IF($H279=Constants!$B$2,TRUE(),IF($H279=Constants!$B$3,FALSE(),TRUE())))</f>
        <v/>
      </c>
      <c r="AL279" s="74" t="str">
        <f aca="false">IF(ISBLANK($C279),"",IF(ISNUMBER($I279),IF($I279&gt;=0,$I279,""),""))</f>
        <v/>
      </c>
      <c r="AM279" s="74" t="str">
        <f aca="false">IF(ISBLANK($C279),"",IF(ISNUMBER($J279),IF($J279&gt;=0,$J279,""),""))</f>
        <v/>
      </c>
      <c r="AN279" s="74" t="str">
        <f aca="false">IF(ISBLANK($C279),"",IF(ISNUMBER($K279),IF($K279&gt;=0,$K279,""),""))</f>
        <v/>
      </c>
      <c r="AO279" s="74" t="str">
        <f aca="false">IF(ISBLANK($C279),"",IF($L279=Constants!$B$2,TRUE(),IF($L279=Constants!$B$3,FALSE(),TRUE())))</f>
        <v/>
      </c>
      <c r="AP279" s="74" t="str">
        <f aca="false">IF(ISBLANK($C279),"",IF($M279=Constants!$B$2,TRUE(),IF($M279=Constants!$B$3,FALSE(),TRUE())))</f>
        <v/>
      </c>
      <c r="AQ279" s="74" t="str">
        <f aca="false">IF(ISBLANK($C279),"",IF($N279=Constants!$B$2,TRUE(),IF($N279=Constants!$B$3,FALSE(),FALSE())))</f>
        <v/>
      </c>
      <c r="AR279" s="74" t="str">
        <f aca="false">IF(ISBLANK($C279),"",IF($O279=Constants!$B$2,TRUE(),IF($O279=Constants!$B$3,FALSE(),TRUE())))</f>
        <v/>
      </c>
      <c r="AS279" s="74" t="str">
        <f aca="false">IF(ISBLANK($C279),"",IF($P279=Constants!$B$2,TRUE(),IF($P279=Constants!$B$3,FALSE(),FALSE())))</f>
        <v/>
      </c>
      <c r="AT279" s="74" t="str">
        <f aca="false">IF(ISBLANK($C279),"",IF($Q279=Constants!$B$2,TRUE(),IF($Q279=Constants!$B$3,FALSE(),FALSE())))</f>
        <v/>
      </c>
      <c r="AU279" s="74" t="str">
        <f aca="false">IF(ISBLANK($C279),"",IF($R279=Constants!$B$2,TRUE(),IF($R279=Constants!$B$3,FALSE(),FALSE())))</f>
        <v/>
      </c>
      <c r="AV279" s="74" t="str">
        <f aca="false">IF(ISBLANK($C279),"",IF($S279=Constants!$B$2,TRUE(),IF($S279=Constants!$B$3,FALSE(),FALSE())))</f>
        <v/>
      </c>
      <c r="AW279" s="74" t="str">
        <f aca="false">IF(ISBLANK($C279),"",IF($T279=Constants!$B$2,TRUE(),IF($T279=Constants!$B$3,FALSE(),FALSE())))</f>
        <v/>
      </c>
      <c r="AX279" s="74" t="str">
        <f aca="false">IF(ISBLANK($C279),"",IF(OR($U279&amp;""="1",$U279&amp;""="2",$U279&amp;""="3",$U279&amp;""="4"),VALUE($U279&amp;""),IF($U279=Constants!$B$12,Constants!$B$12,"")))</f>
        <v/>
      </c>
      <c r="AY279" s="74" t="str">
        <f aca="false">IF(ISBLANK($C279),"",IF(ISBLANK($V279),0,IF(ISNUMBER($V279),IF(AND($V279&gt;=0,$V279&lt;=Constants!$B$21,$V279=INT($V279)),$V279,""),"")))</f>
        <v/>
      </c>
      <c r="AZ279" s="74" t="str">
        <f aca="false">IF(ISBLANK($C279),"",IF(ISBLANK($W279),0,IF(ISNUMBER($W279),IF($W279&gt;=0,$W279,""),"")))</f>
        <v/>
      </c>
      <c r="BA279" s="74" t="str">
        <f aca="false">IF(ISBLANK($C279),"",IF($X279=Constants!$B$2,TRUE(),IF($X279=Constants!$B$3,FALSE(),TRUE())))</f>
        <v/>
      </c>
      <c r="BB279" s="74" t="str">
        <f aca="false">IF(ISBLANK($C279),"",IF($Y279=Constants!$B$2,TRUE(),IF($Y279=Constants!$B$3,FALSE(),FALSE())))</f>
        <v/>
      </c>
      <c r="BC279" s="74" t="str">
        <f aca="false">IF(ISBLANK($C279),"",IF(ISBLANK($Z279),0,IF(ISNUMBER($Z279),IF(AND($Z279&gt;=0,$Z279&lt;=Constants!$B$35,$Z279=INT($Z279)),$Z279,""),"")))</f>
        <v/>
      </c>
      <c r="BD279" s="74" t="str">
        <f aca="false">IF(ISBLANK($C279),"",IF($AA279=Constants!$B$2,TRUE(),IF($AA279=Constants!$B$3,FALSE(),TRUE())))</f>
        <v/>
      </c>
      <c r="BE279" s="74" t="str">
        <f aca="false">IF(ISBLANK($C279),"",IF($AB279=Constants!$B$2,TRUE(),IF($AB279=Constants!$B$3,FALSE(),TRUE())))</f>
        <v/>
      </c>
      <c r="BF279" s="74" t="str">
        <f aca="false">IF(ISBLANK($C279),"",IF(ISNUMBER($AC279),IF($AC279&gt;=0,$AC279,""),""))</f>
        <v/>
      </c>
      <c r="BG279" s="74" t="str">
        <f aca="false">IF(ISBLANK($C279),"",IF($AD279=Constants!$B$2,TRUE(),IF($AD279=Constants!$B$3,FALSE(),FALSE())))</f>
        <v/>
      </c>
      <c r="BH279" s="73" t="str">
        <f aca="false">IF(ISBLANK($C279),"",IF($BG279,Constants!$B$7,IF(COUNTA($E279:$AC279)=0,Constants!$B$6,IF(OR(COUNTA($G279:$AC279)=0,NOT($AK279),$AQ279),Constants!$B$5,IF(OR($CI279&lt;&gt;"",$CJ279,$CK279,$CL279,$CM279,$CN279,$CO279),Constants!$B$8,Constants!$B$4)))))</f>
        <v/>
      </c>
      <c r="BI279" s="74" t="str">
        <f aca="false">IF(ISBLANK($C279),"",IF($BH279&lt;&gt;Constants!$B$4,$BH279,IF(OR(NOT($AH279),NOT($AJ279),NOT($AR279)),Constants!$B$11,IF(OR(NOT($AP279),MAX($AL279,$AM279,$AN279)&gt;Constants!$B$30),Constants!$B$10,Constants!$B$9))))</f>
        <v/>
      </c>
      <c r="BJ279" s="74" t="str">
        <f aca="false">IF($BH279&lt;&gt;Constants!$B$4,"",IF(NOT($AJ279),0,MIN(Constants!$B$35,$BC279)))</f>
        <v/>
      </c>
      <c r="BK279" s="74" t="str">
        <f aca="false">IF($BH279&lt;&gt;Constants!$B$4,"",IF(NOT($AJ279),0,IF($AT279,Constants!$B$18,IF($AS279,Constants!$B$17,0))))</f>
        <v/>
      </c>
      <c r="BL279" s="74" t="str">
        <f aca="false">IF($BH279&lt;&gt;Constants!$B$4,"",IF(NOT($AJ279),0,Constants!$B$19*($AI279+$AU279+$AV279+$AW279)))</f>
        <v/>
      </c>
      <c r="BM279" s="74" t="str">
        <f aca="false">IF($BH279&lt;&gt;Constants!$B$4,"",IF(OR(NOT($AJ279),NOT(ISNUMBER($AX279))),0,CHOOSE($AX279,Constants!$B$13,Constants!$B$14,Constants!$B$15,Constants!$B$16)))</f>
        <v/>
      </c>
      <c r="BN279" s="74" t="str">
        <f aca="false">IF($BH279&lt;&gt;Constants!$B$4,"",IF(NOT($AJ279),0,Constants!$B$20*$AY279))</f>
        <v/>
      </c>
      <c r="BO279" s="74" t="str">
        <f aca="false">IF($BH279&lt;&gt;Constants!$B$4,"",IF(AND($AJ279,$BA279,$BB279),Constants!$B$22,0))</f>
        <v/>
      </c>
      <c r="BP279" s="74" t="str">
        <f aca="false">IF($BH279&lt;&gt;Constants!$B$4,"",IF(OR(NOT($AJ279),NOT($BA279)),0,IF($BF279&gt;=2*$AF$9,0,Constants!$B$23*INT(ROUND(MIN($BF279,$AF$9),6)))))</f>
        <v/>
      </c>
      <c r="BQ279" s="74" t="str">
        <f aca="false">IF($BH279&lt;&gt;Constants!$B$4,"",IF(NOT($AJ279),0,Constants!$B$24*INT(ROUND(MIN($AZ279,$AF$9),6))))</f>
        <v/>
      </c>
      <c r="BR279" s="74" t="str">
        <f aca="false">IF($BH279&lt;&gt;Constants!$B$4,"",IF(AND($AJ279,$BJ279=0),Constants!$B$25,0))</f>
        <v/>
      </c>
      <c r="BS279" s="74" t="str">
        <f aca="false">IF($BH279&lt;&gt;Constants!$B$4,"",MIN(Constants!$B$29,MAX(0,Constants!$B$27*Constants!$B$28*INT(ROUND((Constants!$B$26-$AL279)/Constants!$B$28,6))))+MIN(Constants!$B$29,MAX(0,Constants!$B$27*Constants!$B$28*INT(ROUND((Constants!$B$26-$AM279)/Constants!$B$28,6))))+MIN(Constants!$B$29,MAX(0,Constants!$B$27*Constants!$B$28*INT(ROUND((Constants!$B$26-$AN279)/Constants!$B$28,6)))))</f>
        <v/>
      </c>
      <c r="BT279" s="74" t="str">
        <f aca="false">IF($BH279&lt;&gt;Constants!$B$4,"",IF(NOT($AJ279),0,Constants!$B$31*INT(ROUND(MAX(0,MIN($BF279,2*$AF$9)-$AF$9),6))))</f>
        <v/>
      </c>
      <c r="BU279" s="74" t="str">
        <f aca="false">IF($BH279&lt;&gt;Constants!$B$4,"",Constants!$B$32*(($AL279&gt;Constants!$B$26)+($AM279&gt;Constants!$B$26)+($AN279&gt;Constants!$B$26)))</f>
        <v/>
      </c>
      <c r="BV279" s="74" t="str">
        <f aca="false">IF($BH279&lt;&gt;Constants!$B$4,"",IF(OR(NOT($AJ279),$AO279),0,Constants!$B$33))</f>
        <v/>
      </c>
      <c r="BW279" s="74" t="str">
        <f aca="false">IF($BH279&lt;&gt;Constants!$B$4,"",Constants!$B$34*$BJ279)</f>
        <v/>
      </c>
      <c r="BX279" s="74" t="str">
        <f aca="false">IF($BH279&lt;&gt;Constants!$B$4,"",IF(OR(NOT($AJ279),$BE279),0,Constants!$B$36))</f>
        <v/>
      </c>
      <c r="BY279" s="74" t="str">
        <f aca="false">IF($BH279&lt;&gt;Constants!$B$4,"",IF(OR(NOT($AJ279),$BD279),0,Constants!$B$37))</f>
        <v/>
      </c>
      <c r="BZ279" s="74" t="str">
        <f aca="false">IF($BH279&lt;&gt;Constants!$B$4,"",SUM($BT279:$BY279))</f>
        <v/>
      </c>
      <c r="CA279" s="74" t="str">
        <f aca="false">IF(ISBLANK($C279),"",IF($BH279&lt;&gt;Constants!$B$4,$BH279,SUM($BK279:$BS279)-$BZ279))</f>
        <v/>
      </c>
      <c r="CB279" s="74" t="str">
        <f aca="false">IF(ISBLANK($C279),"",IF($BH279&lt;&gt;Constants!$B$4,$BH279,RANK($CA279,$CA$9:$CA$508)))</f>
        <v/>
      </c>
      <c r="CC279" s="74" t="str">
        <f aca="false">IF(ISBLANK($C279),"",IF($BH279&lt;&gt;Constants!$B$4,$BH279,COUNTIFS($BI$9:$BI$508,"&lt;"&amp;$BI279)+COUNTIFS($BI$9:$BI$508,$BI279,$CB$9:$CB$508,"&lt;"&amp;$CB279)+1))</f>
        <v/>
      </c>
      <c r="CD279" s="74" t="str">
        <f aca="false">IF(ISBLANK($C279),"",IF($BH279&lt;&gt;Constants!$B$4,$BH279,RANK($BZ279,$BZ$9:$BZ$508,1)))</f>
        <v/>
      </c>
      <c r="CE279" s="74" t="str">
        <f aca="false">IF($BH279&lt;&gt;Constants!$B$4,"",$AL279+$AM279+$AN279)</f>
        <v/>
      </c>
      <c r="CF279" s="74" t="str">
        <f aca="false">IF(ISBLANK($C279),"",IF($BH279&lt;&gt;Constants!$B$4,$BH279,RANK($CE279,$CE$9:$CE$508,1)))</f>
        <v/>
      </c>
      <c r="CG279" s="74" t="str">
        <f aca="false">IF(ISBLANK($C279),"",IF($BH279&lt;&gt;Constants!$B$4,$BH279,COUNTIFS($BI$9:$BI$508,"&lt;"&amp;$BI279)+COUNTIFS($BI$9:$BI$508,$BI279,$CB$9:$CB$508,"&lt;"&amp;$CB279)+COUNTIFS($BI$9:$BI$508,$BI279,$CB$9:$CB$508,$CB279,$CD$9:$CD$508,"&lt;"&amp;$CD279)+COUNTIFS($BI$9:$BI$508,$BI279,$CB$9:$CB$508,$CB279,$CD$9:$CD$508,$CD279,$CF$9:$CF$508,"&lt;"&amp;$CF279)+1))</f>
        <v/>
      </c>
      <c r="CH279" s="74" t="str">
        <f aca="false">IF(ISBLANK($C279),"",IF($BH279&lt;&gt;Constants!$B$4,$BH279,$CC279-$CG279))</f>
        <v/>
      </c>
      <c r="CI279" s="74" t="str">
        <f aca="false">IF(ISBLANK($C279),"",IF(NOT($AJ279),"",IF(ISBLANK($D$7),$CI$5,IF(NOT(ISNUMBER($D$7)),$CI$6,""))))</f>
        <v/>
      </c>
      <c r="CJ279" s="74" t="str">
        <f aca="false">IF(ISBLANK($C279),"",OR($AL279="",$AM279="",$AN279=""))</f>
        <v/>
      </c>
      <c r="CK279" s="74" t="str">
        <f aca="false">IF(ISBLANK($C279),"",AND($AJ279,$AX279=""))</f>
        <v/>
      </c>
      <c r="CL279" s="74" t="str">
        <f aca="false">IF(ISBLANK($C279),"",AND($AJ279,$AY279=""))</f>
        <v/>
      </c>
      <c r="CM279" s="74" t="str">
        <f aca="false">IF(ISBLANK($C279),"",AND($AJ279,$AZ279=""))</f>
        <v/>
      </c>
      <c r="CN279" s="74" t="str">
        <f aca="false">IF(ISBLANK($C279),"",AND($AJ279,$BC279=""))</f>
        <v/>
      </c>
      <c r="CO279" s="74" t="str">
        <f aca="false">IF(ISBLANK($C279),"",AND($AJ279,$BF279=""))</f>
        <v/>
      </c>
      <c r="CP279" s="75"/>
      <c r="CQ279" s="76"/>
      <c r="CR279" s="79" t="str">
        <f aca="false">IF(ISBLANK($C279),"",IF($BH279=Constants!$B$8,$CI279,""))</f>
        <v/>
      </c>
      <c r="CS279" s="76" t="str">
        <f aca="false">IF(ISBLANK($C279),"",IF($BH279&lt;&gt;Constants!$B$4,"",$BK279+$BL279))</f>
        <v/>
      </c>
      <c r="CT279" s="78" t="str">
        <f aca="false">IF(ISBLANK($C279),"",IF($BH279&lt;&gt;Constants!$B$4,"",$BM279+$BN279+$BO279))</f>
        <v/>
      </c>
      <c r="CU279" s="78" t="str">
        <f aca="false">IF(ISBLANK($C279),"",IF($BH279&lt;&gt;Constants!$B$4,"",$BP279))</f>
        <v/>
      </c>
      <c r="CV279" s="78" t="str">
        <f aca="false">IF(ISBLANK($C279),"",IF($BH279&lt;&gt;Constants!$B$4,"",$BQ279+$BR279))</f>
        <v/>
      </c>
      <c r="CW279" s="78" t="str">
        <f aca="false">IF(ISBLANK($C279),"",IF($BH279&lt;&gt;Constants!$B$4,"",$BS279))</f>
        <v/>
      </c>
      <c r="CX279" s="78" t="str">
        <f aca="false">IF(ISBLANK($C279),"",IF($BH279&lt;&gt;Constants!$B$4,"",-$BZ279))</f>
        <v/>
      </c>
      <c r="CY279" s="79" t="str">
        <f aca="false">IF(ISBLANK($C279),"",$CA279)</f>
        <v/>
      </c>
      <c r="CZ279" s="80" t="str">
        <f aca="false">IF(ISBLANK($C279),"",$BI279)</f>
        <v/>
      </c>
      <c r="DA279" s="78" t="str">
        <f aca="false">IF(ISBLANK($C279),"",$CH279)</f>
        <v/>
      </c>
      <c r="DB279" s="78" t="str">
        <f aca="false">IF(ISBLANK($C279),"",$CG279)</f>
        <v/>
      </c>
      <c r="DC279" s="81" t="str">
        <f aca="false">IF(ISBLANK($C279),"",IFERROR(_xlfn.SWITCH($DB279,Constants!$B$7,COUNTA($C$9:$C$508)+2,Constants!$B$6,COUNTA($C$9:$C$508)+1,Constants!$B$5,COUNTA($C$9:$C$508)),$DB279))</f>
        <v/>
      </c>
      <c r="DD279" s="7"/>
      <c r="DE279" s="82" t="n">
        <f aca="false">IF(OR(ISNUMBER($DB279),$DB279=Constants!$B$7,$DB279=Constants!$B$5,$DB279=Constants!$B$6),1,0)</f>
        <v>0</v>
      </c>
      <c r="DF279" s="82" t="n">
        <v>271</v>
      </c>
      <c r="DG279" s="82" t="str">
        <f aca="false">IF(ISBLANK($C279),"",IF(ISNUMBER($DC279),$DC279+ROW($B279)/1000,""))</f>
        <v/>
      </c>
      <c r="DH279" s="82" t="str">
        <f aca="false">IF(ISNUMBER($DG279),RANK($DG279,$DG$9:$DG$508,1),"")</f>
        <v/>
      </c>
      <c r="DI279" s="82" t="str">
        <f aca="false">IF(ISBLANK($C279),"",$B279)</f>
        <v/>
      </c>
      <c r="DJ279" s="82" t="str">
        <f aca="false">IF(ISBLANK($C279),"",$C279)</f>
        <v/>
      </c>
      <c r="DK279" s="82" t="str">
        <f aca="false">IF(ISBLANK($C279),"",$D279)</f>
        <v/>
      </c>
      <c r="DL279" s="83" t="str">
        <f aca="false">$CZ279</f>
        <v/>
      </c>
      <c r="DM279" s="84" t="str">
        <f aca="false">$CY279</f>
        <v/>
      </c>
      <c r="DN279" s="82" t="str">
        <f aca="false">IF(ISBLANK($C279),"",$DB279)</f>
        <v/>
      </c>
      <c r="DO279" s="85" t="str">
        <f aca="false">IF($DF279&gt;$DE$8,"",VLOOKUP($DF279,$DH$9:$DN$508,7,FALSE()))</f>
        <v/>
      </c>
      <c r="DP279" s="86" t="str">
        <f aca="false">IF($DF279&gt;$DE$8,"",VLOOKUP($DF279,$DH$9:$DN$508,2,FALSE()))</f>
        <v/>
      </c>
      <c r="DQ279" s="86" t="str">
        <f aca="false">IF($DF279&gt;$DE$8,"",VLOOKUP($DF279,$DH$9:$DN$508,3,FALSE()))</f>
        <v/>
      </c>
      <c r="DR279" s="86" t="str">
        <f aca="false">IF($DF279&gt;$DE$8,"",VLOOKUP($DF279,$DH$9:$DN$508,4,FALSE()))</f>
        <v/>
      </c>
      <c r="DS279" s="86" t="str">
        <f aca="false">IF($DF279&gt;$DE$8,"",VLOOKUP($DF279,$DH$9:$DN$508,5,FALSE()))</f>
        <v/>
      </c>
      <c r="DT279" s="87" t="str">
        <f aca="false">IF($DF279&gt;$DE$8,"",VLOOKUP($DF279,$DH$9:$DN$508,6,FALSE()))</f>
        <v/>
      </c>
      <c r="DU279" s="62"/>
    </row>
    <row r="280" customFormat="false" ht="15.75" hidden="false" customHeight="false" outlineLevel="0" collapsed="false">
      <c r="A280" s="7"/>
      <c r="B280" s="64"/>
      <c r="C280" s="65"/>
      <c r="D280" s="123"/>
      <c r="E280" s="88"/>
      <c r="F280" s="134"/>
      <c r="G280" s="88"/>
      <c r="H280" s="134"/>
      <c r="I280" s="119"/>
      <c r="J280" s="119"/>
      <c r="K280" s="119"/>
      <c r="L280" s="88"/>
      <c r="M280" s="88"/>
      <c r="N280" s="88"/>
      <c r="O280" s="134"/>
      <c r="P280" s="88"/>
      <c r="Q280" s="88"/>
      <c r="R280" s="88"/>
      <c r="S280" s="88"/>
      <c r="T280" s="134"/>
      <c r="U280" s="88"/>
      <c r="V280" s="70"/>
      <c r="W280" s="88"/>
      <c r="X280" s="88"/>
      <c r="Y280" s="70"/>
      <c r="Z280" s="70"/>
      <c r="AA280" s="88"/>
      <c r="AB280" s="88"/>
      <c r="AC280" s="71"/>
      <c r="AD280" s="88"/>
      <c r="AE280" s="73"/>
      <c r="AF280" s="74"/>
      <c r="AG280" s="74"/>
      <c r="AH280" s="74" t="str">
        <f aca="false">IF(ISBLANK($C280),"",IF($E280=Constants!$B$2,TRUE(),IF($E280=Constants!$B$3,FALSE(),TRUE())))</f>
        <v/>
      </c>
      <c r="AI280" s="74" t="str">
        <f aca="false">IF(ISBLANK($C280),"",IF($F280=Constants!$B$2,TRUE(),IF($F280=Constants!$B$3,FALSE(),FALSE())))</f>
        <v/>
      </c>
      <c r="AJ280" s="74" t="str">
        <f aca="false">IF(ISBLANK($C280),"",IF($G280=Constants!$B$2,TRUE(),IF($G280=Constants!$B$3,FALSE(),TRUE())))</f>
        <v/>
      </c>
      <c r="AK280" s="74" t="str">
        <f aca="false">IF(ISBLANK($C280),"",IF($H280=Constants!$B$2,TRUE(),IF($H280=Constants!$B$3,FALSE(),TRUE())))</f>
        <v/>
      </c>
      <c r="AL280" s="74" t="str">
        <f aca="false">IF(ISBLANK($C280),"",IF(ISNUMBER($I280),IF($I280&gt;=0,$I280,""),""))</f>
        <v/>
      </c>
      <c r="AM280" s="74" t="str">
        <f aca="false">IF(ISBLANK($C280),"",IF(ISNUMBER($J280),IF($J280&gt;=0,$J280,""),""))</f>
        <v/>
      </c>
      <c r="AN280" s="74" t="str">
        <f aca="false">IF(ISBLANK($C280),"",IF(ISNUMBER($K280),IF($K280&gt;=0,$K280,""),""))</f>
        <v/>
      </c>
      <c r="AO280" s="74" t="str">
        <f aca="false">IF(ISBLANK($C280),"",IF($L280=Constants!$B$2,TRUE(),IF($L280=Constants!$B$3,FALSE(),TRUE())))</f>
        <v/>
      </c>
      <c r="AP280" s="74" t="str">
        <f aca="false">IF(ISBLANK($C280),"",IF($M280=Constants!$B$2,TRUE(),IF($M280=Constants!$B$3,FALSE(),TRUE())))</f>
        <v/>
      </c>
      <c r="AQ280" s="74" t="str">
        <f aca="false">IF(ISBLANK($C280),"",IF($N280=Constants!$B$2,TRUE(),IF($N280=Constants!$B$3,FALSE(),FALSE())))</f>
        <v/>
      </c>
      <c r="AR280" s="74" t="str">
        <f aca="false">IF(ISBLANK($C280),"",IF($O280=Constants!$B$2,TRUE(),IF($O280=Constants!$B$3,FALSE(),TRUE())))</f>
        <v/>
      </c>
      <c r="AS280" s="74" t="str">
        <f aca="false">IF(ISBLANK($C280),"",IF($P280=Constants!$B$2,TRUE(),IF($P280=Constants!$B$3,FALSE(),FALSE())))</f>
        <v/>
      </c>
      <c r="AT280" s="74" t="str">
        <f aca="false">IF(ISBLANK($C280),"",IF($Q280=Constants!$B$2,TRUE(),IF($Q280=Constants!$B$3,FALSE(),FALSE())))</f>
        <v/>
      </c>
      <c r="AU280" s="74" t="str">
        <f aca="false">IF(ISBLANK($C280),"",IF($R280=Constants!$B$2,TRUE(),IF($R280=Constants!$B$3,FALSE(),FALSE())))</f>
        <v/>
      </c>
      <c r="AV280" s="74" t="str">
        <f aca="false">IF(ISBLANK($C280),"",IF($S280=Constants!$B$2,TRUE(),IF($S280=Constants!$B$3,FALSE(),FALSE())))</f>
        <v/>
      </c>
      <c r="AW280" s="74" t="str">
        <f aca="false">IF(ISBLANK($C280),"",IF($T280=Constants!$B$2,TRUE(),IF($T280=Constants!$B$3,FALSE(),FALSE())))</f>
        <v/>
      </c>
      <c r="AX280" s="74" t="str">
        <f aca="false">IF(ISBLANK($C280),"",IF(OR($U280&amp;""="1",$U280&amp;""="2",$U280&amp;""="3",$U280&amp;""="4"),VALUE($U280&amp;""),IF($U280=Constants!$B$12,Constants!$B$12,"")))</f>
        <v/>
      </c>
      <c r="AY280" s="74" t="str">
        <f aca="false">IF(ISBLANK($C280),"",IF(ISBLANK($V280),0,IF(ISNUMBER($V280),IF(AND($V280&gt;=0,$V280&lt;=Constants!$B$21,$V280=INT($V280)),$V280,""),"")))</f>
        <v/>
      </c>
      <c r="AZ280" s="74" t="str">
        <f aca="false">IF(ISBLANK($C280),"",IF(ISBLANK($W280),0,IF(ISNUMBER($W280),IF($W280&gt;=0,$W280,""),"")))</f>
        <v/>
      </c>
      <c r="BA280" s="74" t="str">
        <f aca="false">IF(ISBLANK($C280),"",IF($X280=Constants!$B$2,TRUE(),IF($X280=Constants!$B$3,FALSE(),TRUE())))</f>
        <v/>
      </c>
      <c r="BB280" s="74" t="str">
        <f aca="false">IF(ISBLANK($C280),"",IF($Y280=Constants!$B$2,TRUE(),IF($Y280=Constants!$B$3,FALSE(),FALSE())))</f>
        <v/>
      </c>
      <c r="BC280" s="74" t="str">
        <f aca="false">IF(ISBLANK($C280),"",IF(ISBLANK($Z280),0,IF(ISNUMBER($Z280),IF(AND($Z280&gt;=0,$Z280&lt;=Constants!$B$35,$Z280=INT($Z280)),$Z280,""),"")))</f>
        <v/>
      </c>
      <c r="BD280" s="74" t="str">
        <f aca="false">IF(ISBLANK($C280),"",IF($AA280=Constants!$B$2,TRUE(),IF($AA280=Constants!$B$3,FALSE(),TRUE())))</f>
        <v/>
      </c>
      <c r="BE280" s="74" t="str">
        <f aca="false">IF(ISBLANK($C280),"",IF($AB280=Constants!$B$2,TRUE(),IF($AB280=Constants!$B$3,FALSE(),TRUE())))</f>
        <v/>
      </c>
      <c r="BF280" s="74" t="str">
        <f aca="false">IF(ISBLANK($C280),"",IF(ISNUMBER($AC280),IF($AC280&gt;=0,$AC280,""),""))</f>
        <v/>
      </c>
      <c r="BG280" s="74" t="str">
        <f aca="false">IF(ISBLANK($C280),"",IF($AD280=Constants!$B$2,TRUE(),IF($AD280=Constants!$B$3,FALSE(),FALSE())))</f>
        <v/>
      </c>
      <c r="BH280" s="73" t="str">
        <f aca="false">IF(ISBLANK($C280),"",IF($BG280,Constants!$B$7,IF(COUNTA($E280:$AC280)=0,Constants!$B$6,IF(OR(COUNTA($G280:$AC280)=0,NOT($AK280),$AQ280),Constants!$B$5,IF(OR($CI280&lt;&gt;"",$CJ280,$CK280,$CL280,$CM280,$CN280,$CO280),Constants!$B$8,Constants!$B$4)))))</f>
        <v/>
      </c>
      <c r="BI280" s="74" t="str">
        <f aca="false">IF(ISBLANK($C280),"",IF($BH280&lt;&gt;Constants!$B$4,$BH280,IF(OR(NOT($AH280),NOT($AJ280),NOT($AR280)),Constants!$B$11,IF(OR(NOT($AP280),MAX($AL280,$AM280,$AN280)&gt;Constants!$B$30),Constants!$B$10,Constants!$B$9))))</f>
        <v/>
      </c>
      <c r="BJ280" s="74" t="str">
        <f aca="false">IF($BH280&lt;&gt;Constants!$B$4,"",IF(NOT($AJ280),0,MIN(Constants!$B$35,$BC280)))</f>
        <v/>
      </c>
      <c r="BK280" s="74" t="str">
        <f aca="false">IF($BH280&lt;&gt;Constants!$B$4,"",IF(NOT($AJ280),0,IF($AT280,Constants!$B$18,IF($AS280,Constants!$B$17,0))))</f>
        <v/>
      </c>
      <c r="BL280" s="74" t="str">
        <f aca="false">IF($BH280&lt;&gt;Constants!$B$4,"",IF(NOT($AJ280),0,Constants!$B$19*($AI280+$AU280+$AV280+$AW280)))</f>
        <v/>
      </c>
      <c r="BM280" s="74" t="str">
        <f aca="false">IF($BH280&lt;&gt;Constants!$B$4,"",IF(OR(NOT($AJ280),NOT(ISNUMBER($AX280))),0,CHOOSE($AX280,Constants!$B$13,Constants!$B$14,Constants!$B$15,Constants!$B$16)))</f>
        <v/>
      </c>
      <c r="BN280" s="74" t="str">
        <f aca="false">IF($BH280&lt;&gt;Constants!$B$4,"",IF(NOT($AJ280),0,Constants!$B$20*$AY280))</f>
        <v/>
      </c>
      <c r="BO280" s="74" t="str">
        <f aca="false">IF($BH280&lt;&gt;Constants!$B$4,"",IF(AND($AJ280,$BA280,$BB280),Constants!$B$22,0))</f>
        <v/>
      </c>
      <c r="BP280" s="74" t="str">
        <f aca="false">IF($BH280&lt;&gt;Constants!$B$4,"",IF(OR(NOT($AJ280),NOT($BA280)),0,IF($BF280&gt;=2*$AF$9,0,Constants!$B$23*INT(ROUND(MIN($BF280,$AF$9),6)))))</f>
        <v/>
      </c>
      <c r="BQ280" s="74" t="str">
        <f aca="false">IF($BH280&lt;&gt;Constants!$B$4,"",IF(NOT($AJ280),0,Constants!$B$24*INT(ROUND(MIN($AZ280,$AF$9),6))))</f>
        <v/>
      </c>
      <c r="BR280" s="74" t="str">
        <f aca="false">IF($BH280&lt;&gt;Constants!$B$4,"",IF(AND($AJ280,$BJ280=0),Constants!$B$25,0))</f>
        <v/>
      </c>
      <c r="BS280" s="74" t="str">
        <f aca="false">IF($BH280&lt;&gt;Constants!$B$4,"",MIN(Constants!$B$29,MAX(0,Constants!$B$27*Constants!$B$28*INT(ROUND((Constants!$B$26-$AL280)/Constants!$B$28,6))))+MIN(Constants!$B$29,MAX(0,Constants!$B$27*Constants!$B$28*INT(ROUND((Constants!$B$26-$AM280)/Constants!$B$28,6))))+MIN(Constants!$B$29,MAX(0,Constants!$B$27*Constants!$B$28*INT(ROUND((Constants!$B$26-$AN280)/Constants!$B$28,6)))))</f>
        <v/>
      </c>
      <c r="BT280" s="74" t="str">
        <f aca="false">IF($BH280&lt;&gt;Constants!$B$4,"",IF(NOT($AJ280),0,Constants!$B$31*INT(ROUND(MAX(0,MIN($BF280,2*$AF$9)-$AF$9),6))))</f>
        <v/>
      </c>
      <c r="BU280" s="74" t="str">
        <f aca="false">IF($BH280&lt;&gt;Constants!$B$4,"",Constants!$B$32*(($AL280&gt;Constants!$B$26)+($AM280&gt;Constants!$B$26)+($AN280&gt;Constants!$B$26)))</f>
        <v/>
      </c>
      <c r="BV280" s="74" t="str">
        <f aca="false">IF($BH280&lt;&gt;Constants!$B$4,"",IF(OR(NOT($AJ280),$AO280),0,Constants!$B$33))</f>
        <v/>
      </c>
      <c r="BW280" s="74" t="str">
        <f aca="false">IF($BH280&lt;&gt;Constants!$B$4,"",Constants!$B$34*$BJ280)</f>
        <v/>
      </c>
      <c r="BX280" s="74" t="str">
        <f aca="false">IF($BH280&lt;&gt;Constants!$B$4,"",IF(OR(NOT($AJ280),$BE280),0,Constants!$B$36))</f>
        <v/>
      </c>
      <c r="BY280" s="74" t="str">
        <f aca="false">IF($BH280&lt;&gt;Constants!$B$4,"",IF(OR(NOT($AJ280),$BD280),0,Constants!$B$37))</f>
        <v/>
      </c>
      <c r="BZ280" s="74" t="str">
        <f aca="false">IF($BH280&lt;&gt;Constants!$B$4,"",SUM($BT280:$BY280))</f>
        <v/>
      </c>
      <c r="CA280" s="74" t="str">
        <f aca="false">IF(ISBLANK($C280),"",IF($BH280&lt;&gt;Constants!$B$4,$BH280,SUM($BK280:$BS280)-$BZ280))</f>
        <v/>
      </c>
      <c r="CB280" s="74" t="str">
        <f aca="false">IF(ISBLANK($C280),"",IF($BH280&lt;&gt;Constants!$B$4,$BH280,RANK($CA280,$CA$9:$CA$508)))</f>
        <v/>
      </c>
      <c r="CC280" s="74" t="str">
        <f aca="false">IF(ISBLANK($C280),"",IF($BH280&lt;&gt;Constants!$B$4,$BH280,COUNTIFS($BI$9:$BI$508,"&lt;"&amp;$BI280)+COUNTIFS($BI$9:$BI$508,$BI280,$CB$9:$CB$508,"&lt;"&amp;$CB280)+1))</f>
        <v/>
      </c>
      <c r="CD280" s="74" t="str">
        <f aca="false">IF(ISBLANK($C280),"",IF($BH280&lt;&gt;Constants!$B$4,$BH280,RANK($BZ280,$BZ$9:$BZ$508,1)))</f>
        <v/>
      </c>
      <c r="CE280" s="74" t="str">
        <f aca="false">IF($BH280&lt;&gt;Constants!$B$4,"",$AL280+$AM280+$AN280)</f>
        <v/>
      </c>
      <c r="CF280" s="74" t="str">
        <f aca="false">IF(ISBLANK($C280),"",IF($BH280&lt;&gt;Constants!$B$4,$BH280,RANK($CE280,$CE$9:$CE$508,1)))</f>
        <v/>
      </c>
      <c r="CG280" s="74" t="str">
        <f aca="false">IF(ISBLANK($C280),"",IF($BH280&lt;&gt;Constants!$B$4,$BH280,COUNTIFS($BI$9:$BI$508,"&lt;"&amp;$BI280)+COUNTIFS($BI$9:$BI$508,$BI280,$CB$9:$CB$508,"&lt;"&amp;$CB280)+COUNTIFS($BI$9:$BI$508,$BI280,$CB$9:$CB$508,$CB280,$CD$9:$CD$508,"&lt;"&amp;$CD280)+COUNTIFS($BI$9:$BI$508,$BI280,$CB$9:$CB$508,$CB280,$CD$9:$CD$508,$CD280,$CF$9:$CF$508,"&lt;"&amp;$CF280)+1))</f>
        <v/>
      </c>
      <c r="CH280" s="74" t="str">
        <f aca="false">IF(ISBLANK($C280),"",IF($BH280&lt;&gt;Constants!$B$4,$BH280,$CC280-$CG280))</f>
        <v/>
      </c>
      <c r="CI280" s="74" t="str">
        <f aca="false">IF(ISBLANK($C280),"",IF(NOT($AJ280),"",IF(ISBLANK($D$7),$CI$5,IF(NOT(ISNUMBER($D$7)),$CI$6,""))))</f>
        <v/>
      </c>
      <c r="CJ280" s="74" t="str">
        <f aca="false">IF(ISBLANK($C280),"",OR($AL280="",$AM280="",$AN280=""))</f>
        <v/>
      </c>
      <c r="CK280" s="74" t="str">
        <f aca="false">IF(ISBLANK($C280),"",AND($AJ280,$AX280=""))</f>
        <v/>
      </c>
      <c r="CL280" s="74" t="str">
        <f aca="false">IF(ISBLANK($C280),"",AND($AJ280,$AY280=""))</f>
        <v/>
      </c>
      <c r="CM280" s="74" t="str">
        <f aca="false">IF(ISBLANK($C280),"",AND($AJ280,$AZ280=""))</f>
        <v/>
      </c>
      <c r="CN280" s="74" t="str">
        <f aca="false">IF(ISBLANK($C280),"",AND($AJ280,$BC280=""))</f>
        <v/>
      </c>
      <c r="CO280" s="74" t="str">
        <f aca="false">IF(ISBLANK($C280),"",AND($AJ280,$BF280=""))</f>
        <v/>
      </c>
      <c r="CP280" s="75"/>
      <c r="CQ280" s="76"/>
      <c r="CR280" s="79" t="str">
        <f aca="false">IF(ISBLANK($C280),"",IF($BH280=Constants!$B$8,$CI280,""))</f>
        <v/>
      </c>
      <c r="CS280" s="76" t="str">
        <f aca="false">IF(ISBLANK($C280),"",IF($BH280&lt;&gt;Constants!$B$4,"",$BK280+$BL280))</f>
        <v/>
      </c>
      <c r="CT280" s="78" t="str">
        <f aca="false">IF(ISBLANK($C280),"",IF($BH280&lt;&gt;Constants!$B$4,"",$BM280+$BN280+$BO280))</f>
        <v/>
      </c>
      <c r="CU280" s="78" t="str">
        <f aca="false">IF(ISBLANK($C280),"",IF($BH280&lt;&gt;Constants!$B$4,"",$BP280))</f>
        <v/>
      </c>
      <c r="CV280" s="78" t="str">
        <f aca="false">IF(ISBLANK($C280),"",IF($BH280&lt;&gt;Constants!$B$4,"",$BQ280+$BR280))</f>
        <v/>
      </c>
      <c r="CW280" s="78" t="str">
        <f aca="false">IF(ISBLANK($C280),"",IF($BH280&lt;&gt;Constants!$B$4,"",$BS280))</f>
        <v/>
      </c>
      <c r="CX280" s="78" t="str">
        <f aca="false">IF(ISBLANK($C280),"",IF($BH280&lt;&gt;Constants!$B$4,"",-$BZ280))</f>
        <v/>
      </c>
      <c r="CY280" s="79" t="str">
        <f aca="false">IF(ISBLANK($C280),"",$CA280)</f>
        <v/>
      </c>
      <c r="CZ280" s="80" t="str">
        <f aca="false">IF(ISBLANK($C280),"",$BI280)</f>
        <v/>
      </c>
      <c r="DA280" s="78" t="str">
        <f aca="false">IF(ISBLANK($C280),"",$CH280)</f>
        <v/>
      </c>
      <c r="DB280" s="78" t="str">
        <f aca="false">IF(ISBLANK($C280),"",$CG280)</f>
        <v/>
      </c>
      <c r="DC280" s="81" t="str">
        <f aca="false">IF(ISBLANK($C280),"",IFERROR(_xlfn.SWITCH($DB280,Constants!$B$7,COUNTA($C$9:$C$508)+2,Constants!$B$6,COUNTA($C$9:$C$508)+1,Constants!$B$5,COUNTA($C$9:$C$508)),$DB280))</f>
        <v/>
      </c>
      <c r="DD280" s="7"/>
      <c r="DE280" s="82" t="n">
        <f aca="false">IF(OR(ISNUMBER($DB280),$DB280=Constants!$B$7,$DB280=Constants!$B$5,$DB280=Constants!$B$6),1,0)</f>
        <v>0</v>
      </c>
      <c r="DF280" s="82" t="n">
        <v>272</v>
      </c>
      <c r="DG280" s="82" t="str">
        <f aca="false">IF(ISBLANK($C280),"",IF(ISNUMBER($DC280),$DC280+ROW($B280)/1000,""))</f>
        <v/>
      </c>
      <c r="DH280" s="82" t="str">
        <f aca="false">IF(ISNUMBER($DG280),RANK($DG280,$DG$9:$DG$508,1),"")</f>
        <v/>
      </c>
      <c r="DI280" s="82" t="str">
        <f aca="false">IF(ISBLANK($C280),"",$B280)</f>
        <v/>
      </c>
      <c r="DJ280" s="82" t="str">
        <f aca="false">IF(ISBLANK($C280),"",$C280)</f>
        <v/>
      </c>
      <c r="DK280" s="82" t="str">
        <f aca="false">IF(ISBLANK($C280),"",$D280)</f>
        <v/>
      </c>
      <c r="DL280" s="83" t="str">
        <f aca="false">$CZ280</f>
        <v/>
      </c>
      <c r="DM280" s="84" t="str">
        <f aca="false">$CY280</f>
        <v/>
      </c>
      <c r="DN280" s="82" t="str">
        <f aca="false">IF(ISBLANK($C280),"",$DB280)</f>
        <v/>
      </c>
      <c r="DO280" s="85" t="str">
        <f aca="false">IF($DF280&gt;$DE$8,"",VLOOKUP($DF280,$DH$9:$DN$508,7,FALSE()))</f>
        <v/>
      </c>
      <c r="DP280" s="86" t="str">
        <f aca="false">IF($DF280&gt;$DE$8,"",VLOOKUP($DF280,$DH$9:$DN$508,2,FALSE()))</f>
        <v/>
      </c>
      <c r="DQ280" s="86" t="str">
        <f aca="false">IF($DF280&gt;$DE$8,"",VLOOKUP($DF280,$DH$9:$DN$508,3,FALSE()))</f>
        <v/>
      </c>
      <c r="DR280" s="86" t="str">
        <f aca="false">IF($DF280&gt;$DE$8,"",VLOOKUP($DF280,$DH$9:$DN$508,4,FALSE()))</f>
        <v/>
      </c>
      <c r="DS280" s="86" t="str">
        <f aca="false">IF($DF280&gt;$DE$8,"",VLOOKUP($DF280,$DH$9:$DN$508,5,FALSE()))</f>
        <v/>
      </c>
      <c r="DT280" s="87" t="str">
        <f aca="false">IF($DF280&gt;$DE$8,"",VLOOKUP($DF280,$DH$9:$DN$508,6,FALSE()))</f>
        <v/>
      </c>
      <c r="DU280" s="62"/>
    </row>
    <row r="281" customFormat="false" ht="15.75" hidden="false" customHeight="false" outlineLevel="0" collapsed="false">
      <c r="A281" s="7"/>
      <c r="B281" s="64"/>
      <c r="C281" s="65"/>
      <c r="D281" s="123"/>
      <c r="E281" s="88"/>
      <c r="F281" s="134"/>
      <c r="G281" s="88"/>
      <c r="H281" s="134"/>
      <c r="I281" s="119"/>
      <c r="J281" s="119"/>
      <c r="K281" s="119"/>
      <c r="L281" s="88"/>
      <c r="M281" s="88"/>
      <c r="N281" s="88"/>
      <c r="O281" s="134"/>
      <c r="P281" s="88"/>
      <c r="Q281" s="88"/>
      <c r="R281" s="88"/>
      <c r="S281" s="88"/>
      <c r="T281" s="134"/>
      <c r="U281" s="88"/>
      <c r="V281" s="70"/>
      <c r="W281" s="88"/>
      <c r="X281" s="88"/>
      <c r="Y281" s="70"/>
      <c r="Z281" s="70"/>
      <c r="AA281" s="88"/>
      <c r="AB281" s="88"/>
      <c r="AC281" s="71"/>
      <c r="AD281" s="88"/>
      <c r="AE281" s="73"/>
      <c r="AF281" s="74"/>
      <c r="AG281" s="74"/>
      <c r="AH281" s="74" t="str">
        <f aca="false">IF(ISBLANK($C281),"",IF($E281=Constants!$B$2,TRUE(),IF($E281=Constants!$B$3,FALSE(),TRUE())))</f>
        <v/>
      </c>
      <c r="AI281" s="74" t="str">
        <f aca="false">IF(ISBLANK($C281),"",IF($F281=Constants!$B$2,TRUE(),IF($F281=Constants!$B$3,FALSE(),FALSE())))</f>
        <v/>
      </c>
      <c r="AJ281" s="74" t="str">
        <f aca="false">IF(ISBLANK($C281),"",IF($G281=Constants!$B$2,TRUE(),IF($G281=Constants!$B$3,FALSE(),TRUE())))</f>
        <v/>
      </c>
      <c r="AK281" s="74" t="str">
        <f aca="false">IF(ISBLANK($C281),"",IF($H281=Constants!$B$2,TRUE(),IF($H281=Constants!$B$3,FALSE(),TRUE())))</f>
        <v/>
      </c>
      <c r="AL281" s="74" t="str">
        <f aca="false">IF(ISBLANK($C281),"",IF(ISNUMBER($I281),IF($I281&gt;=0,$I281,""),""))</f>
        <v/>
      </c>
      <c r="AM281" s="74" t="str">
        <f aca="false">IF(ISBLANK($C281),"",IF(ISNUMBER($J281),IF($J281&gt;=0,$J281,""),""))</f>
        <v/>
      </c>
      <c r="AN281" s="74" t="str">
        <f aca="false">IF(ISBLANK($C281),"",IF(ISNUMBER($K281),IF($K281&gt;=0,$K281,""),""))</f>
        <v/>
      </c>
      <c r="AO281" s="74" t="str">
        <f aca="false">IF(ISBLANK($C281),"",IF($L281=Constants!$B$2,TRUE(),IF($L281=Constants!$B$3,FALSE(),TRUE())))</f>
        <v/>
      </c>
      <c r="AP281" s="74" t="str">
        <f aca="false">IF(ISBLANK($C281),"",IF($M281=Constants!$B$2,TRUE(),IF($M281=Constants!$B$3,FALSE(),TRUE())))</f>
        <v/>
      </c>
      <c r="AQ281" s="74" t="str">
        <f aca="false">IF(ISBLANK($C281),"",IF($N281=Constants!$B$2,TRUE(),IF($N281=Constants!$B$3,FALSE(),FALSE())))</f>
        <v/>
      </c>
      <c r="AR281" s="74" t="str">
        <f aca="false">IF(ISBLANK($C281),"",IF($O281=Constants!$B$2,TRUE(),IF($O281=Constants!$B$3,FALSE(),TRUE())))</f>
        <v/>
      </c>
      <c r="AS281" s="74" t="str">
        <f aca="false">IF(ISBLANK($C281),"",IF($P281=Constants!$B$2,TRUE(),IF($P281=Constants!$B$3,FALSE(),FALSE())))</f>
        <v/>
      </c>
      <c r="AT281" s="74" t="str">
        <f aca="false">IF(ISBLANK($C281),"",IF($Q281=Constants!$B$2,TRUE(),IF($Q281=Constants!$B$3,FALSE(),FALSE())))</f>
        <v/>
      </c>
      <c r="AU281" s="74" t="str">
        <f aca="false">IF(ISBLANK($C281),"",IF($R281=Constants!$B$2,TRUE(),IF($R281=Constants!$B$3,FALSE(),FALSE())))</f>
        <v/>
      </c>
      <c r="AV281" s="74" t="str">
        <f aca="false">IF(ISBLANK($C281),"",IF($S281=Constants!$B$2,TRUE(),IF($S281=Constants!$B$3,FALSE(),FALSE())))</f>
        <v/>
      </c>
      <c r="AW281" s="74" t="str">
        <f aca="false">IF(ISBLANK($C281),"",IF($T281=Constants!$B$2,TRUE(),IF($T281=Constants!$B$3,FALSE(),FALSE())))</f>
        <v/>
      </c>
      <c r="AX281" s="74" t="str">
        <f aca="false">IF(ISBLANK($C281),"",IF(OR($U281&amp;""="1",$U281&amp;""="2",$U281&amp;""="3",$U281&amp;""="4"),VALUE($U281&amp;""),IF($U281=Constants!$B$12,Constants!$B$12,"")))</f>
        <v/>
      </c>
      <c r="AY281" s="74" t="str">
        <f aca="false">IF(ISBLANK($C281),"",IF(ISBLANK($V281),0,IF(ISNUMBER($V281),IF(AND($V281&gt;=0,$V281&lt;=Constants!$B$21,$V281=INT($V281)),$V281,""),"")))</f>
        <v/>
      </c>
      <c r="AZ281" s="74" t="str">
        <f aca="false">IF(ISBLANK($C281),"",IF(ISBLANK($W281),0,IF(ISNUMBER($W281),IF($W281&gt;=0,$W281,""),"")))</f>
        <v/>
      </c>
      <c r="BA281" s="74" t="str">
        <f aca="false">IF(ISBLANK($C281),"",IF($X281=Constants!$B$2,TRUE(),IF($X281=Constants!$B$3,FALSE(),TRUE())))</f>
        <v/>
      </c>
      <c r="BB281" s="74" t="str">
        <f aca="false">IF(ISBLANK($C281),"",IF($Y281=Constants!$B$2,TRUE(),IF($Y281=Constants!$B$3,FALSE(),FALSE())))</f>
        <v/>
      </c>
      <c r="BC281" s="74" t="str">
        <f aca="false">IF(ISBLANK($C281),"",IF(ISBLANK($Z281),0,IF(ISNUMBER($Z281),IF(AND($Z281&gt;=0,$Z281&lt;=Constants!$B$35,$Z281=INT($Z281)),$Z281,""),"")))</f>
        <v/>
      </c>
      <c r="BD281" s="74" t="str">
        <f aca="false">IF(ISBLANK($C281),"",IF($AA281=Constants!$B$2,TRUE(),IF($AA281=Constants!$B$3,FALSE(),TRUE())))</f>
        <v/>
      </c>
      <c r="BE281" s="74" t="str">
        <f aca="false">IF(ISBLANK($C281),"",IF($AB281=Constants!$B$2,TRUE(),IF($AB281=Constants!$B$3,FALSE(),TRUE())))</f>
        <v/>
      </c>
      <c r="BF281" s="74" t="str">
        <f aca="false">IF(ISBLANK($C281),"",IF(ISNUMBER($AC281),IF($AC281&gt;=0,$AC281,""),""))</f>
        <v/>
      </c>
      <c r="BG281" s="74" t="str">
        <f aca="false">IF(ISBLANK($C281),"",IF($AD281=Constants!$B$2,TRUE(),IF($AD281=Constants!$B$3,FALSE(),FALSE())))</f>
        <v/>
      </c>
      <c r="BH281" s="73" t="str">
        <f aca="false">IF(ISBLANK($C281),"",IF($BG281,Constants!$B$7,IF(COUNTA($E281:$AC281)=0,Constants!$B$6,IF(OR(COUNTA($G281:$AC281)=0,NOT($AK281),$AQ281),Constants!$B$5,IF(OR($CI281&lt;&gt;"",$CJ281,$CK281,$CL281,$CM281,$CN281,$CO281),Constants!$B$8,Constants!$B$4)))))</f>
        <v/>
      </c>
      <c r="BI281" s="74" t="str">
        <f aca="false">IF(ISBLANK($C281),"",IF($BH281&lt;&gt;Constants!$B$4,$BH281,IF(OR(NOT($AH281),NOT($AJ281),NOT($AR281)),Constants!$B$11,IF(OR(NOT($AP281),MAX($AL281,$AM281,$AN281)&gt;Constants!$B$30),Constants!$B$10,Constants!$B$9))))</f>
        <v/>
      </c>
      <c r="BJ281" s="74" t="str">
        <f aca="false">IF($BH281&lt;&gt;Constants!$B$4,"",IF(NOT($AJ281),0,MIN(Constants!$B$35,$BC281)))</f>
        <v/>
      </c>
      <c r="BK281" s="74" t="str">
        <f aca="false">IF($BH281&lt;&gt;Constants!$B$4,"",IF(NOT($AJ281),0,IF($AT281,Constants!$B$18,IF($AS281,Constants!$B$17,0))))</f>
        <v/>
      </c>
      <c r="BL281" s="74" t="str">
        <f aca="false">IF($BH281&lt;&gt;Constants!$B$4,"",IF(NOT($AJ281),0,Constants!$B$19*($AI281+$AU281+$AV281+$AW281)))</f>
        <v/>
      </c>
      <c r="BM281" s="74" t="str">
        <f aca="false">IF($BH281&lt;&gt;Constants!$B$4,"",IF(OR(NOT($AJ281),NOT(ISNUMBER($AX281))),0,CHOOSE($AX281,Constants!$B$13,Constants!$B$14,Constants!$B$15,Constants!$B$16)))</f>
        <v/>
      </c>
      <c r="BN281" s="74" t="str">
        <f aca="false">IF($BH281&lt;&gt;Constants!$B$4,"",IF(NOT($AJ281),0,Constants!$B$20*$AY281))</f>
        <v/>
      </c>
      <c r="BO281" s="74" t="str">
        <f aca="false">IF($BH281&lt;&gt;Constants!$B$4,"",IF(AND($AJ281,$BA281,$BB281),Constants!$B$22,0))</f>
        <v/>
      </c>
      <c r="BP281" s="74" t="str">
        <f aca="false">IF($BH281&lt;&gt;Constants!$B$4,"",IF(OR(NOT($AJ281),NOT($BA281)),0,IF($BF281&gt;=2*$AF$9,0,Constants!$B$23*INT(ROUND(MIN($BF281,$AF$9),6)))))</f>
        <v/>
      </c>
      <c r="BQ281" s="74" t="str">
        <f aca="false">IF($BH281&lt;&gt;Constants!$B$4,"",IF(NOT($AJ281),0,Constants!$B$24*INT(ROUND(MIN($AZ281,$AF$9),6))))</f>
        <v/>
      </c>
      <c r="BR281" s="74" t="str">
        <f aca="false">IF($BH281&lt;&gt;Constants!$B$4,"",IF(AND($AJ281,$BJ281=0),Constants!$B$25,0))</f>
        <v/>
      </c>
      <c r="BS281" s="74" t="str">
        <f aca="false">IF($BH281&lt;&gt;Constants!$B$4,"",MIN(Constants!$B$29,MAX(0,Constants!$B$27*Constants!$B$28*INT(ROUND((Constants!$B$26-$AL281)/Constants!$B$28,6))))+MIN(Constants!$B$29,MAX(0,Constants!$B$27*Constants!$B$28*INT(ROUND((Constants!$B$26-$AM281)/Constants!$B$28,6))))+MIN(Constants!$B$29,MAX(0,Constants!$B$27*Constants!$B$28*INT(ROUND((Constants!$B$26-$AN281)/Constants!$B$28,6)))))</f>
        <v/>
      </c>
      <c r="BT281" s="74" t="str">
        <f aca="false">IF($BH281&lt;&gt;Constants!$B$4,"",IF(NOT($AJ281),0,Constants!$B$31*INT(ROUND(MAX(0,MIN($BF281,2*$AF$9)-$AF$9),6))))</f>
        <v/>
      </c>
      <c r="BU281" s="74" t="str">
        <f aca="false">IF($BH281&lt;&gt;Constants!$B$4,"",Constants!$B$32*(($AL281&gt;Constants!$B$26)+($AM281&gt;Constants!$B$26)+($AN281&gt;Constants!$B$26)))</f>
        <v/>
      </c>
      <c r="BV281" s="74" t="str">
        <f aca="false">IF($BH281&lt;&gt;Constants!$B$4,"",IF(OR(NOT($AJ281),$AO281),0,Constants!$B$33))</f>
        <v/>
      </c>
      <c r="BW281" s="74" t="str">
        <f aca="false">IF($BH281&lt;&gt;Constants!$B$4,"",Constants!$B$34*$BJ281)</f>
        <v/>
      </c>
      <c r="BX281" s="74" t="str">
        <f aca="false">IF($BH281&lt;&gt;Constants!$B$4,"",IF(OR(NOT($AJ281),$BE281),0,Constants!$B$36))</f>
        <v/>
      </c>
      <c r="BY281" s="74" t="str">
        <f aca="false">IF($BH281&lt;&gt;Constants!$B$4,"",IF(OR(NOT($AJ281),$BD281),0,Constants!$B$37))</f>
        <v/>
      </c>
      <c r="BZ281" s="74" t="str">
        <f aca="false">IF($BH281&lt;&gt;Constants!$B$4,"",SUM($BT281:$BY281))</f>
        <v/>
      </c>
      <c r="CA281" s="74" t="str">
        <f aca="false">IF(ISBLANK($C281),"",IF($BH281&lt;&gt;Constants!$B$4,$BH281,SUM($BK281:$BS281)-$BZ281))</f>
        <v/>
      </c>
      <c r="CB281" s="74" t="str">
        <f aca="false">IF(ISBLANK($C281),"",IF($BH281&lt;&gt;Constants!$B$4,$BH281,RANK($CA281,$CA$9:$CA$508)))</f>
        <v/>
      </c>
      <c r="CC281" s="74" t="str">
        <f aca="false">IF(ISBLANK($C281),"",IF($BH281&lt;&gt;Constants!$B$4,$BH281,COUNTIFS($BI$9:$BI$508,"&lt;"&amp;$BI281)+COUNTIFS($BI$9:$BI$508,$BI281,$CB$9:$CB$508,"&lt;"&amp;$CB281)+1))</f>
        <v/>
      </c>
      <c r="CD281" s="74" t="str">
        <f aca="false">IF(ISBLANK($C281),"",IF($BH281&lt;&gt;Constants!$B$4,$BH281,RANK($BZ281,$BZ$9:$BZ$508,1)))</f>
        <v/>
      </c>
      <c r="CE281" s="74" t="str">
        <f aca="false">IF($BH281&lt;&gt;Constants!$B$4,"",$AL281+$AM281+$AN281)</f>
        <v/>
      </c>
      <c r="CF281" s="74" t="str">
        <f aca="false">IF(ISBLANK($C281),"",IF($BH281&lt;&gt;Constants!$B$4,$BH281,RANK($CE281,$CE$9:$CE$508,1)))</f>
        <v/>
      </c>
      <c r="CG281" s="74" t="str">
        <f aca="false">IF(ISBLANK($C281),"",IF($BH281&lt;&gt;Constants!$B$4,$BH281,COUNTIFS($BI$9:$BI$508,"&lt;"&amp;$BI281)+COUNTIFS($BI$9:$BI$508,$BI281,$CB$9:$CB$508,"&lt;"&amp;$CB281)+COUNTIFS($BI$9:$BI$508,$BI281,$CB$9:$CB$508,$CB281,$CD$9:$CD$508,"&lt;"&amp;$CD281)+COUNTIFS($BI$9:$BI$508,$BI281,$CB$9:$CB$508,$CB281,$CD$9:$CD$508,$CD281,$CF$9:$CF$508,"&lt;"&amp;$CF281)+1))</f>
        <v/>
      </c>
      <c r="CH281" s="74" t="str">
        <f aca="false">IF(ISBLANK($C281),"",IF($BH281&lt;&gt;Constants!$B$4,$BH281,$CC281-$CG281))</f>
        <v/>
      </c>
      <c r="CI281" s="74" t="str">
        <f aca="false">IF(ISBLANK($C281),"",IF(NOT($AJ281),"",IF(ISBLANK($D$7),$CI$5,IF(NOT(ISNUMBER($D$7)),$CI$6,""))))</f>
        <v/>
      </c>
      <c r="CJ281" s="74" t="str">
        <f aca="false">IF(ISBLANK($C281),"",OR($AL281="",$AM281="",$AN281=""))</f>
        <v/>
      </c>
      <c r="CK281" s="74" t="str">
        <f aca="false">IF(ISBLANK($C281),"",AND($AJ281,$AX281=""))</f>
        <v/>
      </c>
      <c r="CL281" s="74" t="str">
        <f aca="false">IF(ISBLANK($C281),"",AND($AJ281,$AY281=""))</f>
        <v/>
      </c>
      <c r="CM281" s="74" t="str">
        <f aca="false">IF(ISBLANK($C281),"",AND($AJ281,$AZ281=""))</f>
        <v/>
      </c>
      <c r="CN281" s="74" t="str">
        <f aca="false">IF(ISBLANK($C281),"",AND($AJ281,$BC281=""))</f>
        <v/>
      </c>
      <c r="CO281" s="74" t="str">
        <f aca="false">IF(ISBLANK($C281),"",AND($AJ281,$BF281=""))</f>
        <v/>
      </c>
      <c r="CP281" s="75"/>
      <c r="CQ281" s="76"/>
      <c r="CR281" s="79" t="str">
        <f aca="false">IF(ISBLANK($C281),"",IF($BH281=Constants!$B$8,$CI281,""))</f>
        <v/>
      </c>
      <c r="CS281" s="76" t="str">
        <f aca="false">IF(ISBLANK($C281),"",IF($BH281&lt;&gt;Constants!$B$4,"",$BK281+$BL281))</f>
        <v/>
      </c>
      <c r="CT281" s="78" t="str">
        <f aca="false">IF(ISBLANK($C281),"",IF($BH281&lt;&gt;Constants!$B$4,"",$BM281+$BN281+$BO281))</f>
        <v/>
      </c>
      <c r="CU281" s="78" t="str">
        <f aca="false">IF(ISBLANK($C281),"",IF($BH281&lt;&gt;Constants!$B$4,"",$BP281))</f>
        <v/>
      </c>
      <c r="CV281" s="78" t="str">
        <f aca="false">IF(ISBLANK($C281),"",IF($BH281&lt;&gt;Constants!$B$4,"",$BQ281+$BR281))</f>
        <v/>
      </c>
      <c r="CW281" s="78" t="str">
        <f aca="false">IF(ISBLANK($C281),"",IF($BH281&lt;&gt;Constants!$B$4,"",$BS281))</f>
        <v/>
      </c>
      <c r="CX281" s="78" t="str">
        <f aca="false">IF(ISBLANK($C281),"",IF($BH281&lt;&gt;Constants!$B$4,"",-$BZ281))</f>
        <v/>
      </c>
      <c r="CY281" s="79" t="str">
        <f aca="false">IF(ISBLANK($C281),"",$CA281)</f>
        <v/>
      </c>
      <c r="CZ281" s="80" t="str">
        <f aca="false">IF(ISBLANK($C281),"",$BI281)</f>
        <v/>
      </c>
      <c r="DA281" s="78" t="str">
        <f aca="false">IF(ISBLANK($C281),"",$CH281)</f>
        <v/>
      </c>
      <c r="DB281" s="78" t="str">
        <f aca="false">IF(ISBLANK($C281),"",$CG281)</f>
        <v/>
      </c>
      <c r="DC281" s="81" t="str">
        <f aca="false">IF(ISBLANK($C281),"",IFERROR(_xlfn.SWITCH($DB281,Constants!$B$7,COUNTA($C$9:$C$508)+2,Constants!$B$6,COUNTA($C$9:$C$508)+1,Constants!$B$5,COUNTA($C$9:$C$508)),$DB281))</f>
        <v/>
      </c>
      <c r="DD281" s="7"/>
      <c r="DE281" s="82" t="n">
        <f aca="false">IF(OR(ISNUMBER($DB281),$DB281=Constants!$B$7,$DB281=Constants!$B$5,$DB281=Constants!$B$6),1,0)</f>
        <v>0</v>
      </c>
      <c r="DF281" s="82" t="n">
        <v>273</v>
      </c>
      <c r="DG281" s="82" t="str">
        <f aca="false">IF(ISBLANK($C281),"",IF(ISNUMBER($DC281),$DC281+ROW($B281)/1000,""))</f>
        <v/>
      </c>
      <c r="DH281" s="82" t="str">
        <f aca="false">IF(ISNUMBER($DG281),RANK($DG281,$DG$9:$DG$508,1),"")</f>
        <v/>
      </c>
      <c r="DI281" s="82" t="str">
        <f aca="false">IF(ISBLANK($C281),"",$B281)</f>
        <v/>
      </c>
      <c r="DJ281" s="82" t="str">
        <f aca="false">IF(ISBLANK($C281),"",$C281)</f>
        <v/>
      </c>
      <c r="DK281" s="82" t="str">
        <f aca="false">IF(ISBLANK($C281),"",$D281)</f>
        <v/>
      </c>
      <c r="DL281" s="83" t="str">
        <f aca="false">$CZ281</f>
        <v/>
      </c>
      <c r="DM281" s="84" t="str">
        <f aca="false">$CY281</f>
        <v/>
      </c>
      <c r="DN281" s="82" t="str">
        <f aca="false">IF(ISBLANK($C281),"",$DB281)</f>
        <v/>
      </c>
      <c r="DO281" s="85" t="str">
        <f aca="false">IF($DF281&gt;$DE$8,"",VLOOKUP($DF281,$DH$9:$DN$508,7,FALSE()))</f>
        <v/>
      </c>
      <c r="DP281" s="86" t="str">
        <f aca="false">IF($DF281&gt;$DE$8,"",VLOOKUP($DF281,$DH$9:$DN$508,2,FALSE()))</f>
        <v/>
      </c>
      <c r="DQ281" s="86" t="str">
        <f aca="false">IF($DF281&gt;$DE$8,"",VLOOKUP($DF281,$DH$9:$DN$508,3,FALSE()))</f>
        <v/>
      </c>
      <c r="DR281" s="86" t="str">
        <f aca="false">IF($DF281&gt;$DE$8,"",VLOOKUP($DF281,$DH$9:$DN$508,4,FALSE()))</f>
        <v/>
      </c>
      <c r="DS281" s="86" t="str">
        <f aca="false">IF($DF281&gt;$DE$8,"",VLOOKUP($DF281,$DH$9:$DN$508,5,FALSE()))</f>
        <v/>
      </c>
      <c r="DT281" s="87" t="str">
        <f aca="false">IF($DF281&gt;$DE$8,"",VLOOKUP($DF281,$DH$9:$DN$508,6,FALSE()))</f>
        <v/>
      </c>
      <c r="DU281" s="62"/>
    </row>
    <row r="282" customFormat="false" ht="15.75" hidden="false" customHeight="false" outlineLevel="0" collapsed="false">
      <c r="A282" s="7"/>
      <c r="B282" s="90"/>
      <c r="C282" s="91"/>
      <c r="D282" s="126"/>
      <c r="E282" s="130"/>
      <c r="F282" s="135"/>
      <c r="G282" s="130"/>
      <c r="H282" s="135"/>
      <c r="I282" s="131"/>
      <c r="J282" s="131"/>
      <c r="K282" s="131"/>
      <c r="L282" s="130"/>
      <c r="M282" s="130"/>
      <c r="N282" s="130"/>
      <c r="O282" s="135"/>
      <c r="P282" s="130"/>
      <c r="Q282" s="130"/>
      <c r="R282" s="130"/>
      <c r="S282" s="130"/>
      <c r="T282" s="135"/>
      <c r="U282" s="130"/>
      <c r="V282" s="96"/>
      <c r="W282" s="130"/>
      <c r="X282" s="130"/>
      <c r="Y282" s="96"/>
      <c r="Z282" s="96"/>
      <c r="AA282" s="130"/>
      <c r="AB282" s="130"/>
      <c r="AC282" s="97"/>
      <c r="AD282" s="130"/>
      <c r="AE282" s="99"/>
      <c r="AF282" s="100"/>
      <c r="AG282" s="100"/>
      <c r="AH282" s="100" t="str">
        <f aca="false">IF(ISBLANK($C282),"",IF($E282=Constants!$B$2,TRUE(),IF($E282=Constants!$B$3,FALSE(),TRUE())))</f>
        <v/>
      </c>
      <c r="AI282" s="100" t="str">
        <f aca="false">IF(ISBLANK($C282),"",IF($F282=Constants!$B$2,TRUE(),IF($F282=Constants!$B$3,FALSE(),FALSE())))</f>
        <v/>
      </c>
      <c r="AJ282" s="100" t="str">
        <f aca="false">IF(ISBLANK($C282),"",IF($G282=Constants!$B$2,TRUE(),IF($G282=Constants!$B$3,FALSE(),TRUE())))</f>
        <v/>
      </c>
      <c r="AK282" s="100" t="str">
        <f aca="false">IF(ISBLANK($C282),"",IF($H282=Constants!$B$2,TRUE(),IF($H282=Constants!$B$3,FALSE(),TRUE())))</f>
        <v/>
      </c>
      <c r="AL282" s="100" t="str">
        <f aca="false">IF(ISBLANK($C282),"",IF(ISNUMBER($I282),IF($I282&gt;=0,$I282,""),""))</f>
        <v/>
      </c>
      <c r="AM282" s="100" t="str">
        <f aca="false">IF(ISBLANK($C282),"",IF(ISNUMBER($J282),IF($J282&gt;=0,$J282,""),""))</f>
        <v/>
      </c>
      <c r="AN282" s="100" t="str">
        <f aca="false">IF(ISBLANK($C282),"",IF(ISNUMBER($K282),IF($K282&gt;=0,$K282,""),""))</f>
        <v/>
      </c>
      <c r="AO282" s="100" t="str">
        <f aca="false">IF(ISBLANK($C282),"",IF($L282=Constants!$B$2,TRUE(),IF($L282=Constants!$B$3,FALSE(),TRUE())))</f>
        <v/>
      </c>
      <c r="AP282" s="100" t="str">
        <f aca="false">IF(ISBLANK($C282),"",IF($M282=Constants!$B$2,TRUE(),IF($M282=Constants!$B$3,FALSE(),TRUE())))</f>
        <v/>
      </c>
      <c r="AQ282" s="100" t="str">
        <f aca="false">IF(ISBLANK($C282),"",IF($N282=Constants!$B$2,TRUE(),IF($N282=Constants!$B$3,FALSE(),FALSE())))</f>
        <v/>
      </c>
      <c r="AR282" s="100" t="str">
        <f aca="false">IF(ISBLANK($C282),"",IF($O282=Constants!$B$2,TRUE(),IF($O282=Constants!$B$3,FALSE(),TRUE())))</f>
        <v/>
      </c>
      <c r="AS282" s="100" t="str">
        <f aca="false">IF(ISBLANK($C282),"",IF($P282=Constants!$B$2,TRUE(),IF($P282=Constants!$B$3,FALSE(),FALSE())))</f>
        <v/>
      </c>
      <c r="AT282" s="100" t="str">
        <f aca="false">IF(ISBLANK($C282),"",IF($Q282=Constants!$B$2,TRUE(),IF($Q282=Constants!$B$3,FALSE(),FALSE())))</f>
        <v/>
      </c>
      <c r="AU282" s="100" t="str">
        <f aca="false">IF(ISBLANK($C282),"",IF($R282=Constants!$B$2,TRUE(),IF($R282=Constants!$B$3,FALSE(),FALSE())))</f>
        <v/>
      </c>
      <c r="AV282" s="100" t="str">
        <f aca="false">IF(ISBLANK($C282),"",IF($S282=Constants!$B$2,TRUE(),IF($S282=Constants!$B$3,FALSE(),FALSE())))</f>
        <v/>
      </c>
      <c r="AW282" s="100" t="str">
        <f aca="false">IF(ISBLANK($C282),"",IF($T282=Constants!$B$2,TRUE(),IF($T282=Constants!$B$3,FALSE(),FALSE())))</f>
        <v/>
      </c>
      <c r="AX282" s="100" t="str">
        <f aca="false">IF(ISBLANK($C282),"",IF(OR($U282&amp;""="1",$U282&amp;""="2",$U282&amp;""="3",$U282&amp;""="4"),VALUE($U282&amp;""),IF($U282=Constants!$B$12,Constants!$B$12,"")))</f>
        <v/>
      </c>
      <c r="AY282" s="100" t="str">
        <f aca="false">IF(ISBLANK($C282),"",IF(ISBLANK($V282),0,IF(ISNUMBER($V282),IF(AND($V282&gt;=0,$V282&lt;=Constants!$B$21,$V282=INT($V282)),$V282,""),"")))</f>
        <v/>
      </c>
      <c r="AZ282" s="100" t="str">
        <f aca="false">IF(ISBLANK($C282),"",IF(ISBLANK($W282),0,IF(ISNUMBER($W282),IF($W282&gt;=0,$W282,""),"")))</f>
        <v/>
      </c>
      <c r="BA282" s="100" t="str">
        <f aca="false">IF(ISBLANK($C282),"",IF($X282=Constants!$B$2,TRUE(),IF($X282=Constants!$B$3,FALSE(),TRUE())))</f>
        <v/>
      </c>
      <c r="BB282" s="100" t="str">
        <f aca="false">IF(ISBLANK($C282),"",IF($Y282=Constants!$B$2,TRUE(),IF($Y282=Constants!$B$3,FALSE(),FALSE())))</f>
        <v/>
      </c>
      <c r="BC282" s="100" t="str">
        <f aca="false">IF(ISBLANK($C282),"",IF(ISBLANK($Z282),0,IF(ISNUMBER($Z282),IF(AND($Z282&gt;=0,$Z282&lt;=Constants!$B$35,$Z282=INT($Z282)),$Z282,""),"")))</f>
        <v/>
      </c>
      <c r="BD282" s="100" t="str">
        <f aca="false">IF(ISBLANK($C282),"",IF($AA282=Constants!$B$2,TRUE(),IF($AA282=Constants!$B$3,FALSE(),TRUE())))</f>
        <v/>
      </c>
      <c r="BE282" s="100" t="str">
        <f aca="false">IF(ISBLANK($C282),"",IF($AB282=Constants!$B$2,TRUE(),IF($AB282=Constants!$B$3,FALSE(),TRUE())))</f>
        <v/>
      </c>
      <c r="BF282" s="100" t="str">
        <f aca="false">IF(ISBLANK($C282),"",IF(ISNUMBER($AC282),IF($AC282&gt;=0,$AC282,""),""))</f>
        <v/>
      </c>
      <c r="BG282" s="100" t="str">
        <f aca="false">IF(ISBLANK($C282),"",IF($AD282=Constants!$B$2,TRUE(),IF($AD282=Constants!$B$3,FALSE(),FALSE())))</f>
        <v/>
      </c>
      <c r="BH282" s="99" t="str">
        <f aca="false">IF(ISBLANK($C282),"",IF($BG282,Constants!$B$7,IF(COUNTA($E282:$AC282)=0,Constants!$B$6,IF(OR(COUNTA($G282:$AC282)=0,NOT($AK282),$AQ282),Constants!$B$5,IF(OR($CI282&lt;&gt;"",$CJ282,$CK282,$CL282,$CM282,$CN282,$CO282),Constants!$B$8,Constants!$B$4)))))</f>
        <v/>
      </c>
      <c r="BI282" s="100" t="str">
        <f aca="false">IF(ISBLANK($C282),"",IF($BH282&lt;&gt;Constants!$B$4,$BH282,IF(OR(NOT($AH282),NOT($AJ282),NOT($AR282)),Constants!$B$11,IF(OR(NOT($AP282),MAX($AL282,$AM282,$AN282)&gt;Constants!$B$30),Constants!$B$10,Constants!$B$9))))</f>
        <v/>
      </c>
      <c r="BJ282" s="100" t="str">
        <f aca="false">IF($BH282&lt;&gt;Constants!$B$4,"",IF(NOT($AJ282),0,MIN(Constants!$B$35,$BC282)))</f>
        <v/>
      </c>
      <c r="BK282" s="100" t="str">
        <f aca="false">IF($BH282&lt;&gt;Constants!$B$4,"",IF(NOT($AJ282),0,IF($AT282,Constants!$B$18,IF($AS282,Constants!$B$17,0))))</f>
        <v/>
      </c>
      <c r="BL282" s="100" t="str">
        <f aca="false">IF($BH282&lt;&gt;Constants!$B$4,"",IF(NOT($AJ282),0,Constants!$B$19*($AI282+$AU282+$AV282+$AW282)))</f>
        <v/>
      </c>
      <c r="BM282" s="100" t="str">
        <f aca="false">IF($BH282&lt;&gt;Constants!$B$4,"",IF(OR(NOT($AJ282),NOT(ISNUMBER($AX282))),0,CHOOSE($AX282,Constants!$B$13,Constants!$B$14,Constants!$B$15,Constants!$B$16)))</f>
        <v/>
      </c>
      <c r="BN282" s="100" t="str">
        <f aca="false">IF($BH282&lt;&gt;Constants!$B$4,"",IF(NOT($AJ282),0,Constants!$B$20*$AY282))</f>
        <v/>
      </c>
      <c r="BO282" s="100" t="str">
        <f aca="false">IF($BH282&lt;&gt;Constants!$B$4,"",IF(AND($AJ282,$BA282,$BB282),Constants!$B$22,0))</f>
        <v/>
      </c>
      <c r="BP282" s="100" t="str">
        <f aca="false">IF($BH282&lt;&gt;Constants!$B$4,"",IF(OR(NOT($AJ282),NOT($BA282)),0,IF($BF282&gt;=2*$AF$9,0,Constants!$B$23*INT(ROUND(MIN($BF282,$AF$9),6)))))</f>
        <v/>
      </c>
      <c r="BQ282" s="100" t="str">
        <f aca="false">IF($BH282&lt;&gt;Constants!$B$4,"",IF(NOT($AJ282),0,Constants!$B$24*INT(ROUND(MIN($AZ282,$AF$9),6))))</f>
        <v/>
      </c>
      <c r="BR282" s="100" t="str">
        <f aca="false">IF($BH282&lt;&gt;Constants!$B$4,"",IF(AND($AJ282,$BJ282=0),Constants!$B$25,0))</f>
        <v/>
      </c>
      <c r="BS282" s="100" t="str">
        <f aca="false">IF($BH282&lt;&gt;Constants!$B$4,"",MIN(Constants!$B$29,MAX(0,Constants!$B$27*Constants!$B$28*INT(ROUND((Constants!$B$26-$AL282)/Constants!$B$28,6))))+MIN(Constants!$B$29,MAX(0,Constants!$B$27*Constants!$B$28*INT(ROUND((Constants!$B$26-$AM282)/Constants!$B$28,6))))+MIN(Constants!$B$29,MAX(0,Constants!$B$27*Constants!$B$28*INT(ROUND((Constants!$B$26-$AN282)/Constants!$B$28,6)))))</f>
        <v/>
      </c>
      <c r="BT282" s="100" t="str">
        <f aca="false">IF($BH282&lt;&gt;Constants!$B$4,"",IF(NOT($AJ282),0,Constants!$B$31*INT(ROUND(MAX(0,MIN($BF282,2*$AF$9)-$AF$9),6))))</f>
        <v/>
      </c>
      <c r="BU282" s="100" t="str">
        <f aca="false">IF($BH282&lt;&gt;Constants!$B$4,"",Constants!$B$32*(($AL282&gt;Constants!$B$26)+($AM282&gt;Constants!$B$26)+($AN282&gt;Constants!$B$26)))</f>
        <v/>
      </c>
      <c r="BV282" s="100" t="str">
        <f aca="false">IF($BH282&lt;&gt;Constants!$B$4,"",IF(OR(NOT($AJ282),$AO282),0,Constants!$B$33))</f>
        <v/>
      </c>
      <c r="BW282" s="100" t="str">
        <f aca="false">IF($BH282&lt;&gt;Constants!$B$4,"",Constants!$B$34*$BJ282)</f>
        <v/>
      </c>
      <c r="BX282" s="100" t="str">
        <f aca="false">IF($BH282&lt;&gt;Constants!$B$4,"",IF(OR(NOT($AJ282),$BE282),0,Constants!$B$36))</f>
        <v/>
      </c>
      <c r="BY282" s="100" t="str">
        <f aca="false">IF($BH282&lt;&gt;Constants!$B$4,"",IF(OR(NOT($AJ282),$BD282),0,Constants!$B$37))</f>
        <v/>
      </c>
      <c r="BZ282" s="100" t="str">
        <f aca="false">IF($BH282&lt;&gt;Constants!$B$4,"",SUM($BT282:$BY282))</f>
        <v/>
      </c>
      <c r="CA282" s="100" t="str">
        <f aca="false">IF(ISBLANK($C282),"",IF($BH282&lt;&gt;Constants!$B$4,$BH282,SUM($BK282:$BS282)-$BZ282))</f>
        <v/>
      </c>
      <c r="CB282" s="100" t="str">
        <f aca="false">IF(ISBLANK($C282),"",IF($BH282&lt;&gt;Constants!$B$4,$BH282,RANK($CA282,$CA$9:$CA$508)))</f>
        <v/>
      </c>
      <c r="CC282" s="100" t="str">
        <f aca="false">IF(ISBLANK($C282),"",IF($BH282&lt;&gt;Constants!$B$4,$BH282,COUNTIFS($BI$9:$BI$508,"&lt;"&amp;$BI282)+COUNTIFS($BI$9:$BI$508,$BI282,$CB$9:$CB$508,"&lt;"&amp;$CB282)+1))</f>
        <v/>
      </c>
      <c r="CD282" s="100" t="str">
        <f aca="false">IF(ISBLANK($C282),"",IF($BH282&lt;&gt;Constants!$B$4,$BH282,RANK($BZ282,$BZ$9:$BZ$508,1)))</f>
        <v/>
      </c>
      <c r="CE282" s="100" t="str">
        <f aca="false">IF($BH282&lt;&gt;Constants!$B$4,"",$AL282+$AM282+$AN282)</f>
        <v/>
      </c>
      <c r="CF282" s="100" t="str">
        <f aca="false">IF(ISBLANK($C282),"",IF($BH282&lt;&gt;Constants!$B$4,$BH282,RANK($CE282,$CE$9:$CE$508,1)))</f>
        <v/>
      </c>
      <c r="CG282" s="100" t="str">
        <f aca="false">IF(ISBLANK($C282),"",IF($BH282&lt;&gt;Constants!$B$4,$BH282,COUNTIFS($BI$9:$BI$508,"&lt;"&amp;$BI282)+COUNTIFS($BI$9:$BI$508,$BI282,$CB$9:$CB$508,"&lt;"&amp;$CB282)+COUNTIFS($BI$9:$BI$508,$BI282,$CB$9:$CB$508,$CB282,$CD$9:$CD$508,"&lt;"&amp;$CD282)+COUNTIFS($BI$9:$BI$508,$BI282,$CB$9:$CB$508,$CB282,$CD$9:$CD$508,$CD282,$CF$9:$CF$508,"&lt;"&amp;$CF282)+1))</f>
        <v/>
      </c>
      <c r="CH282" s="100" t="str">
        <f aca="false">IF(ISBLANK($C282),"",IF($BH282&lt;&gt;Constants!$B$4,$BH282,$CC282-$CG282))</f>
        <v/>
      </c>
      <c r="CI282" s="100" t="str">
        <f aca="false">IF(ISBLANK($C282),"",IF(NOT($AJ282),"",IF(ISBLANK($D$7),$CI$5,IF(NOT(ISNUMBER($D$7)),$CI$6,""))))</f>
        <v/>
      </c>
      <c r="CJ282" s="100" t="str">
        <f aca="false">IF(ISBLANK($C282),"",OR($AL282="",$AM282="",$AN282=""))</f>
        <v/>
      </c>
      <c r="CK282" s="100" t="str">
        <f aca="false">IF(ISBLANK($C282),"",AND($AJ282,$AX282=""))</f>
        <v/>
      </c>
      <c r="CL282" s="100" t="str">
        <f aca="false">IF(ISBLANK($C282),"",AND($AJ282,$AY282=""))</f>
        <v/>
      </c>
      <c r="CM282" s="100" t="str">
        <f aca="false">IF(ISBLANK($C282),"",AND($AJ282,$AZ282=""))</f>
        <v/>
      </c>
      <c r="CN282" s="100" t="str">
        <f aca="false">IF(ISBLANK($C282),"",AND($AJ282,$BC282=""))</f>
        <v/>
      </c>
      <c r="CO282" s="100" t="str">
        <f aca="false">IF(ISBLANK($C282),"",AND($AJ282,$BF282=""))</f>
        <v/>
      </c>
      <c r="CP282" s="101"/>
      <c r="CQ282" s="102"/>
      <c r="CR282" s="103" t="str">
        <f aca="false">IF(ISBLANK($C282),"",IF($BH282=Constants!$B$8,$CI282,""))</f>
        <v/>
      </c>
      <c r="CS282" s="102" t="str">
        <f aca="false">IF(ISBLANK($C282),"",IF($BH282&lt;&gt;Constants!$B$4,"",$BK282+$BL282))</f>
        <v/>
      </c>
      <c r="CT282" s="104" t="str">
        <f aca="false">IF(ISBLANK($C282),"",IF($BH282&lt;&gt;Constants!$B$4,"",$BM282+$BN282+$BO282))</f>
        <v/>
      </c>
      <c r="CU282" s="104" t="str">
        <f aca="false">IF(ISBLANK($C282),"",IF($BH282&lt;&gt;Constants!$B$4,"",$BP282))</f>
        <v/>
      </c>
      <c r="CV282" s="104" t="str">
        <f aca="false">IF(ISBLANK($C282),"",IF($BH282&lt;&gt;Constants!$B$4,"",$BQ282+$BR282))</f>
        <v/>
      </c>
      <c r="CW282" s="104" t="str">
        <f aca="false">IF(ISBLANK($C282),"",IF($BH282&lt;&gt;Constants!$B$4,"",$BS282))</f>
        <v/>
      </c>
      <c r="CX282" s="104" t="str">
        <f aca="false">IF(ISBLANK($C282),"",IF($BH282&lt;&gt;Constants!$B$4,"",-$BZ282))</f>
        <v/>
      </c>
      <c r="CY282" s="103" t="str">
        <f aca="false">IF(ISBLANK($C282),"",$CA282)</f>
        <v/>
      </c>
      <c r="CZ282" s="105" t="str">
        <f aca="false">IF(ISBLANK($C282),"",$BI282)</f>
        <v/>
      </c>
      <c r="DA282" s="104" t="str">
        <f aca="false">IF(ISBLANK($C282),"",$CH282)</f>
        <v/>
      </c>
      <c r="DB282" s="104" t="str">
        <f aca="false">IF(ISBLANK($C282),"",$CG282)</f>
        <v/>
      </c>
      <c r="DC282" s="106" t="str">
        <f aca="false">IF(ISBLANK($C282),"",IFERROR(_xlfn.SWITCH($DB282,Constants!$B$7,COUNTA($C$9:$C$508)+2,Constants!$B$6,COUNTA($C$9:$C$508)+1,Constants!$B$5,COUNTA($C$9:$C$508)),$DB282))</f>
        <v/>
      </c>
      <c r="DD282" s="7"/>
      <c r="DE282" s="107" t="n">
        <f aca="false">IF(OR(ISNUMBER($DB282),$DB282=Constants!$B$7,$DB282=Constants!$B$5,$DB282=Constants!$B$6),1,0)</f>
        <v>0</v>
      </c>
      <c r="DF282" s="107" t="n">
        <v>274</v>
      </c>
      <c r="DG282" s="107" t="str">
        <f aca="false">IF(ISBLANK($C282),"",IF(ISNUMBER($DC282),$DC282+ROW($B282)/1000,""))</f>
        <v/>
      </c>
      <c r="DH282" s="107" t="str">
        <f aca="false">IF(ISNUMBER($DG282),RANK($DG282,$DG$9:$DG$508,1),"")</f>
        <v/>
      </c>
      <c r="DI282" s="107" t="str">
        <f aca="false">IF(ISBLANK($C282),"",$B282)</f>
        <v/>
      </c>
      <c r="DJ282" s="107" t="str">
        <f aca="false">IF(ISBLANK($C282),"",$C282)</f>
        <v/>
      </c>
      <c r="DK282" s="107" t="str">
        <f aca="false">IF(ISBLANK($C282),"",$D282)</f>
        <v/>
      </c>
      <c r="DL282" s="108" t="str">
        <f aca="false">$CZ282</f>
        <v/>
      </c>
      <c r="DM282" s="109" t="str">
        <f aca="false">$CY282</f>
        <v/>
      </c>
      <c r="DN282" s="107" t="str">
        <f aca="false">IF(ISBLANK($C282),"",$DB282)</f>
        <v/>
      </c>
      <c r="DO282" s="110" t="str">
        <f aca="false">IF($DF282&gt;$DE$8,"",VLOOKUP($DF282,$DH$9:$DN$508,7,FALSE()))</f>
        <v/>
      </c>
      <c r="DP282" s="111" t="str">
        <f aca="false">IF($DF282&gt;$DE$8,"",VLOOKUP($DF282,$DH$9:$DN$508,2,FALSE()))</f>
        <v/>
      </c>
      <c r="DQ282" s="111" t="str">
        <f aca="false">IF($DF282&gt;$DE$8,"",VLOOKUP($DF282,$DH$9:$DN$508,3,FALSE()))</f>
        <v/>
      </c>
      <c r="DR282" s="111" t="str">
        <f aca="false">IF($DF282&gt;$DE$8,"",VLOOKUP($DF282,$DH$9:$DN$508,4,FALSE()))</f>
        <v/>
      </c>
      <c r="DS282" s="111" t="str">
        <f aca="false">IF($DF282&gt;$DE$8,"",VLOOKUP($DF282,$DH$9:$DN$508,5,FALSE()))</f>
        <v/>
      </c>
      <c r="DT282" s="112" t="str">
        <f aca="false">IF($DF282&gt;$DE$8,"",VLOOKUP($DF282,$DH$9:$DN$508,6,FALSE()))</f>
        <v/>
      </c>
      <c r="DU282" s="62"/>
    </row>
    <row r="283" customFormat="false" ht="15.75" hidden="false" customHeight="false" outlineLevel="0" collapsed="false">
      <c r="A283" s="7"/>
      <c r="B283" s="90"/>
      <c r="C283" s="91"/>
      <c r="D283" s="126"/>
      <c r="E283" s="130"/>
      <c r="F283" s="135"/>
      <c r="G283" s="130"/>
      <c r="H283" s="135"/>
      <c r="I283" s="131"/>
      <c r="J283" s="131"/>
      <c r="K283" s="131"/>
      <c r="L283" s="130"/>
      <c r="M283" s="130"/>
      <c r="N283" s="130"/>
      <c r="O283" s="135"/>
      <c r="P283" s="130"/>
      <c r="Q283" s="130"/>
      <c r="R283" s="130"/>
      <c r="S283" s="130"/>
      <c r="T283" s="135"/>
      <c r="U283" s="130"/>
      <c r="V283" s="96"/>
      <c r="W283" s="130"/>
      <c r="X283" s="130"/>
      <c r="Y283" s="96"/>
      <c r="Z283" s="96"/>
      <c r="AA283" s="130"/>
      <c r="AB283" s="130"/>
      <c r="AC283" s="97"/>
      <c r="AD283" s="130"/>
      <c r="AE283" s="99"/>
      <c r="AF283" s="100"/>
      <c r="AG283" s="100"/>
      <c r="AH283" s="100" t="str">
        <f aca="false">IF(ISBLANK($C283),"",IF($E283=Constants!$B$2,TRUE(),IF($E283=Constants!$B$3,FALSE(),TRUE())))</f>
        <v/>
      </c>
      <c r="AI283" s="100" t="str">
        <f aca="false">IF(ISBLANK($C283),"",IF($F283=Constants!$B$2,TRUE(),IF($F283=Constants!$B$3,FALSE(),FALSE())))</f>
        <v/>
      </c>
      <c r="AJ283" s="100" t="str">
        <f aca="false">IF(ISBLANK($C283),"",IF($G283=Constants!$B$2,TRUE(),IF($G283=Constants!$B$3,FALSE(),TRUE())))</f>
        <v/>
      </c>
      <c r="AK283" s="100" t="str">
        <f aca="false">IF(ISBLANK($C283),"",IF($H283=Constants!$B$2,TRUE(),IF($H283=Constants!$B$3,FALSE(),TRUE())))</f>
        <v/>
      </c>
      <c r="AL283" s="100" t="str">
        <f aca="false">IF(ISBLANK($C283),"",IF(ISNUMBER($I283),IF($I283&gt;=0,$I283,""),""))</f>
        <v/>
      </c>
      <c r="AM283" s="100" t="str">
        <f aca="false">IF(ISBLANK($C283),"",IF(ISNUMBER($J283),IF($J283&gt;=0,$J283,""),""))</f>
        <v/>
      </c>
      <c r="AN283" s="100" t="str">
        <f aca="false">IF(ISBLANK($C283),"",IF(ISNUMBER($K283),IF($K283&gt;=0,$K283,""),""))</f>
        <v/>
      </c>
      <c r="AO283" s="100" t="str">
        <f aca="false">IF(ISBLANK($C283),"",IF($L283=Constants!$B$2,TRUE(),IF($L283=Constants!$B$3,FALSE(),TRUE())))</f>
        <v/>
      </c>
      <c r="AP283" s="100" t="str">
        <f aca="false">IF(ISBLANK($C283),"",IF($M283=Constants!$B$2,TRUE(),IF($M283=Constants!$B$3,FALSE(),TRUE())))</f>
        <v/>
      </c>
      <c r="AQ283" s="100" t="str">
        <f aca="false">IF(ISBLANK($C283),"",IF($N283=Constants!$B$2,TRUE(),IF($N283=Constants!$B$3,FALSE(),FALSE())))</f>
        <v/>
      </c>
      <c r="AR283" s="100" t="str">
        <f aca="false">IF(ISBLANK($C283),"",IF($O283=Constants!$B$2,TRUE(),IF($O283=Constants!$B$3,FALSE(),TRUE())))</f>
        <v/>
      </c>
      <c r="AS283" s="100" t="str">
        <f aca="false">IF(ISBLANK($C283),"",IF($P283=Constants!$B$2,TRUE(),IF($P283=Constants!$B$3,FALSE(),FALSE())))</f>
        <v/>
      </c>
      <c r="AT283" s="100" t="str">
        <f aca="false">IF(ISBLANK($C283),"",IF($Q283=Constants!$B$2,TRUE(),IF($Q283=Constants!$B$3,FALSE(),FALSE())))</f>
        <v/>
      </c>
      <c r="AU283" s="100" t="str">
        <f aca="false">IF(ISBLANK($C283),"",IF($R283=Constants!$B$2,TRUE(),IF($R283=Constants!$B$3,FALSE(),FALSE())))</f>
        <v/>
      </c>
      <c r="AV283" s="100" t="str">
        <f aca="false">IF(ISBLANK($C283),"",IF($S283=Constants!$B$2,TRUE(),IF($S283=Constants!$B$3,FALSE(),FALSE())))</f>
        <v/>
      </c>
      <c r="AW283" s="100" t="str">
        <f aca="false">IF(ISBLANK($C283),"",IF($T283=Constants!$B$2,TRUE(),IF($T283=Constants!$B$3,FALSE(),FALSE())))</f>
        <v/>
      </c>
      <c r="AX283" s="100" t="str">
        <f aca="false">IF(ISBLANK($C283),"",IF(OR($U283&amp;""="1",$U283&amp;""="2",$U283&amp;""="3",$U283&amp;""="4"),VALUE($U283&amp;""),IF($U283=Constants!$B$12,Constants!$B$12,"")))</f>
        <v/>
      </c>
      <c r="AY283" s="100" t="str">
        <f aca="false">IF(ISBLANK($C283),"",IF(ISBLANK($V283),0,IF(ISNUMBER($V283),IF(AND($V283&gt;=0,$V283&lt;=Constants!$B$21,$V283=INT($V283)),$V283,""),"")))</f>
        <v/>
      </c>
      <c r="AZ283" s="100" t="str">
        <f aca="false">IF(ISBLANK($C283),"",IF(ISBLANK($W283),0,IF(ISNUMBER($W283),IF($W283&gt;=0,$W283,""),"")))</f>
        <v/>
      </c>
      <c r="BA283" s="100" t="str">
        <f aca="false">IF(ISBLANK($C283),"",IF($X283=Constants!$B$2,TRUE(),IF($X283=Constants!$B$3,FALSE(),TRUE())))</f>
        <v/>
      </c>
      <c r="BB283" s="100" t="str">
        <f aca="false">IF(ISBLANK($C283),"",IF($Y283=Constants!$B$2,TRUE(),IF($Y283=Constants!$B$3,FALSE(),FALSE())))</f>
        <v/>
      </c>
      <c r="BC283" s="100" t="str">
        <f aca="false">IF(ISBLANK($C283),"",IF(ISBLANK($Z283),0,IF(ISNUMBER($Z283),IF(AND($Z283&gt;=0,$Z283&lt;=Constants!$B$35,$Z283=INT($Z283)),$Z283,""),"")))</f>
        <v/>
      </c>
      <c r="BD283" s="100" t="str">
        <f aca="false">IF(ISBLANK($C283),"",IF($AA283=Constants!$B$2,TRUE(),IF($AA283=Constants!$B$3,FALSE(),TRUE())))</f>
        <v/>
      </c>
      <c r="BE283" s="100" t="str">
        <f aca="false">IF(ISBLANK($C283),"",IF($AB283=Constants!$B$2,TRUE(),IF($AB283=Constants!$B$3,FALSE(),TRUE())))</f>
        <v/>
      </c>
      <c r="BF283" s="100" t="str">
        <f aca="false">IF(ISBLANK($C283),"",IF(ISNUMBER($AC283),IF($AC283&gt;=0,$AC283,""),""))</f>
        <v/>
      </c>
      <c r="BG283" s="100" t="str">
        <f aca="false">IF(ISBLANK($C283),"",IF($AD283=Constants!$B$2,TRUE(),IF($AD283=Constants!$B$3,FALSE(),FALSE())))</f>
        <v/>
      </c>
      <c r="BH283" s="99" t="str">
        <f aca="false">IF(ISBLANK($C283),"",IF($BG283,Constants!$B$7,IF(COUNTA($E283:$AC283)=0,Constants!$B$6,IF(OR(COUNTA($G283:$AC283)=0,NOT($AK283),$AQ283),Constants!$B$5,IF(OR($CI283&lt;&gt;"",$CJ283,$CK283,$CL283,$CM283,$CN283,$CO283),Constants!$B$8,Constants!$B$4)))))</f>
        <v/>
      </c>
      <c r="BI283" s="100" t="str">
        <f aca="false">IF(ISBLANK($C283),"",IF($BH283&lt;&gt;Constants!$B$4,$BH283,IF(OR(NOT($AH283),NOT($AJ283),NOT($AR283)),Constants!$B$11,IF(OR(NOT($AP283),MAX($AL283,$AM283,$AN283)&gt;Constants!$B$30),Constants!$B$10,Constants!$B$9))))</f>
        <v/>
      </c>
      <c r="BJ283" s="100" t="str">
        <f aca="false">IF($BH283&lt;&gt;Constants!$B$4,"",IF(NOT($AJ283),0,MIN(Constants!$B$35,$BC283)))</f>
        <v/>
      </c>
      <c r="BK283" s="100" t="str">
        <f aca="false">IF($BH283&lt;&gt;Constants!$B$4,"",IF(NOT($AJ283),0,IF($AT283,Constants!$B$18,IF($AS283,Constants!$B$17,0))))</f>
        <v/>
      </c>
      <c r="BL283" s="100" t="str">
        <f aca="false">IF($BH283&lt;&gt;Constants!$B$4,"",IF(NOT($AJ283),0,Constants!$B$19*($AI283+$AU283+$AV283+$AW283)))</f>
        <v/>
      </c>
      <c r="BM283" s="100" t="str">
        <f aca="false">IF($BH283&lt;&gt;Constants!$B$4,"",IF(OR(NOT($AJ283),NOT(ISNUMBER($AX283))),0,CHOOSE($AX283,Constants!$B$13,Constants!$B$14,Constants!$B$15,Constants!$B$16)))</f>
        <v/>
      </c>
      <c r="BN283" s="100" t="str">
        <f aca="false">IF($BH283&lt;&gt;Constants!$B$4,"",IF(NOT($AJ283),0,Constants!$B$20*$AY283))</f>
        <v/>
      </c>
      <c r="BO283" s="100" t="str">
        <f aca="false">IF($BH283&lt;&gt;Constants!$B$4,"",IF(AND($AJ283,$BA283,$BB283),Constants!$B$22,0))</f>
        <v/>
      </c>
      <c r="BP283" s="100" t="str">
        <f aca="false">IF($BH283&lt;&gt;Constants!$B$4,"",IF(OR(NOT($AJ283),NOT($BA283)),0,IF($BF283&gt;=2*$AF$9,0,Constants!$B$23*INT(ROUND(MIN($BF283,$AF$9),6)))))</f>
        <v/>
      </c>
      <c r="BQ283" s="100" t="str">
        <f aca="false">IF($BH283&lt;&gt;Constants!$B$4,"",IF(NOT($AJ283),0,Constants!$B$24*INT(ROUND(MIN($AZ283,$AF$9),6))))</f>
        <v/>
      </c>
      <c r="BR283" s="100" t="str">
        <f aca="false">IF($BH283&lt;&gt;Constants!$B$4,"",IF(AND($AJ283,$BJ283=0),Constants!$B$25,0))</f>
        <v/>
      </c>
      <c r="BS283" s="100" t="str">
        <f aca="false">IF($BH283&lt;&gt;Constants!$B$4,"",MIN(Constants!$B$29,MAX(0,Constants!$B$27*Constants!$B$28*INT(ROUND((Constants!$B$26-$AL283)/Constants!$B$28,6))))+MIN(Constants!$B$29,MAX(0,Constants!$B$27*Constants!$B$28*INT(ROUND((Constants!$B$26-$AM283)/Constants!$B$28,6))))+MIN(Constants!$B$29,MAX(0,Constants!$B$27*Constants!$B$28*INT(ROUND((Constants!$B$26-$AN283)/Constants!$B$28,6)))))</f>
        <v/>
      </c>
      <c r="BT283" s="100" t="str">
        <f aca="false">IF($BH283&lt;&gt;Constants!$B$4,"",IF(NOT($AJ283),0,Constants!$B$31*INT(ROUND(MAX(0,MIN($BF283,2*$AF$9)-$AF$9),6))))</f>
        <v/>
      </c>
      <c r="BU283" s="100" t="str">
        <f aca="false">IF($BH283&lt;&gt;Constants!$B$4,"",Constants!$B$32*(($AL283&gt;Constants!$B$26)+($AM283&gt;Constants!$B$26)+($AN283&gt;Constants!$B$26)))</f>
        <v/>
      </c>
      <c r="BV283" s="100" t="str">
        <f aca="false">IF($BH283&lt;&gt;Constants!$B$4,"",IF(OR(NOT($AJ283),$AO283),0,Constants!$B$33))</f>
        <v/>
      </c>
      <c r="BW283" s="100" t="str">
        <f aca="false">IF($BH283&lt;&gt;Constants!$B$4,"",Constants!$B$34*$BJ283)</f>
        <v/>
      </c>
      <c r="BX283" s="100" t="str">
        <f aca="false">IF($BH283&lt;&gt;Constants!$B$4,"",IF(OR(NOT($AJ283),$BE283),0,Constants!$B$36))</f>
        <v/>
      </c>
      <c r="BY283" s="100" t="str">
        <f aca="false">IF($BH283&lt;&gt;Constants!$B$4,"",IF(OR(NOT($AJ283),$BD283),0,Constants!$B$37))</f>
        <v/>
      </c>
      <c r="BZ283" s="100" t="str">
        <f aca="false">IF($BH283&lt;&gt;Constants!$B$4,"",SUM($BT283:$BY283))</f>
        <v/>
      </c>
      <c r="CA283" s="100" t="str">
        <f aca="false">IF(ISBLANK($C283),"",IF($BH283&lt;&gt;Constants!$B$4,$BH283,SUM($BK283:$BS283)-$BZ283))</f>
        <v/>
      </c>
      <c r="CB283" s="100" t="str">
        <f aca="false">IF(ISBLANK($C283),"",IF($BH283&lt;&gt;Constants!$B$4,$BH283,RANK($CA283,$CA$9:$CA$508)))</f>
        <v/>
      </c>
      <c r="CC283" s="100" t="str">
        <f aca="false">IF(ISBLANK($C283),"",IF($BH283&lt;&gt;Constants!$B$4,$BH283,COUNTIFS($BI$9:$BI$508,"&lt;"&amp;$BI283)+COUNTIFS($BI$9:$BI$508,$BI283,$CB$9:$CB$508,"&lt;"&amp;$CB283)+1))</f>
        <v/>
      </c>
      <c r="CD283" s="100" t="str">
        <f aca="false">IF(ISBLANK($C283),"",IF($BH283&lt;&gt;Constants!$B$4,$BH283,RANK($BZ283,$BZ$9:$BZ$508,1)))</f>
        <v/>
      </c>
      <c r="CE283" s="100" t="str">
        <f aca="false">IF($BH283&lt;&gt;Constants!$B$4,"",$AL283+$AM283+$AN283)</f>
        <v/>
      </c>
      <c r="CF283" s="100" t="str">
        <f aca="false">IF(ISBLANK($C283),"",IF($BH283&lt;&gt;Constants!$B$4,$BH283,RANK($CE283,$CE$9:$CE$508,1)))</f>
        <v/>
      </c>
      <c r="CG283" s="100" t="str">
        <f aca="false">IF(ISBLANK($C283),"",IF($BH283&lt;&gt;Constants!$B$4,$BH283,COUNTIFS($BI$9:$BI$508,"&lt;"&amp;$BI283)+COUNTIFS($BI$9:$BI$508,$BI283,$CB$9:$CB$508,"&lt;"&amp;$CB283)+COUNTIFS($BI$9:$BI$508,$BI283,$CB$9:$CB$508,$CB283,$CD$9:$CD$508,"&lt;"&amp;$CD283)+COUNTIFS($BI$9:$BI$508,$BI283,$CB$9:$CB$508,$CB283,$CD$9:$CD$508,$CD283,$CF$9:$CF$508,"&lt;"&amp;$CF283)+1))</f>
        <v/>
      </c>
      <c r="CH283" s="100" t="str">
        <f aca="false">IF(ISBLANK($C283),"",IF($BH283&lt;&gt;Constants!$B$4,$BH283,$CC283-$CG283))</f>
        <v/>
      </c>
      <c r="CI283" s="100" t="str">
        <f aca="false">IF(ISBLANK($C283),"",IF(NOT($AJ283),"",IF(ISBLANK($D$7),$CI$5,IF(NOT(ISNUMBER($D$7)),$CI$6,""))))</f>
        <v/>
      </c>
      <c r="CJ283" s="100" t="str">
        <f aca="false">IF(ISBLANK($C283),"",OR($AL283="",$AM283="",$AN283=""))</f>
        <v/>
      </c>
      <c r="CK283" s="100" t="str">
        <f aca="false">IF(ISBLANK($C283),"",AND($AJ283,$AX283=""))</f>
        <v/>
      </c>
      <c r="CL283" s="100" t="str">
        <f aca="false">IF(ISBLANK($C283),"",AND($AJ283,$AY283=""))</f>
        <v/>
      </c>
      <c r="CM283" s="100" t="str">
        <f aca="false">IF(ISBLANK($C283),"",AND($AJ283,$AZ283=""))</f>
        <v/>
      </c>
      <c r="CN283" s="100" t="str">
        <f aca="false">IF(ISBLANK($C283),"",AND($AJ283,$BC283=""))</f>
        <v/>
      </c>
      <c r="CO283" s="100" t="str">
        <f aca="false">IF(ISBLANK($C283),"",AND($AJ283,$BF283=""))</f>
        <v/>
      </c>
      <c r="CP283" s="101"/>
      <c r="CQ283" s="102"/>
      <c r="CR283" s="103" t="str">
        <f aca="false">IF(ISBLANK($C283),"",IF($BH283=Constants!$B$8,$CI283,""))</f>
        <v/>
      </c>
      <c r="CS283" s="102" t="str">
        <f aca="false">IF(ISBLANK($C283),"",IF($BH283&lt;&gt;Constants!$B$4,"",$BK283+$BL283))</f>
        <v/>
      </c>
      <c r="CT283" s="104" t="str">
        <f aca="false">IF(ISBLANK($C283),"",IF($BH283&lt;&gt;Constants!$B$4,"",$BM283+$BN283+$BO283))</f>
        <v/>
      </c>
      <c r="CU283" s="104" t="str">
        <f aca="false">IF(ISBLANK($C283),"",IF($BH283&lt;&gt;Constants!$B$4,"",$BP283))</f>
        <v/>
      </c>
      <c r="CV283" s="104" t="str">
        <f aca="false">IF(ISBLANK($C283),"",IF($BH283&lt;&gt;Constants!$B$4,"",$BQ283+$BR283))</f>
        <v/>
      </c>
      <c r="CW283" s="104" t="str">
        <f aca="false">IF(ISBLANK($C283),"",IF($BH283&lt;&gt;Constants!$B$4,"",$BS283))</f>
        <v/>
      </c>
      <c r="CX283" s="104" t="str">
        <f aca="false">IF(ISBLANK($C283),"",IF($BH283&lt;&gt;Constants!$B$4,"",-$BZ283))</f>
        <v/>
      </c>
      <c r="CY283" s="103" t="str">
        <f aca="false">IF(ISBLANK($C283),"",$CA283)</f>
        <v/>
      </c>
      <c r="CZ283" s="105" t="str">
        <f aca="false">IF(ISBLANK($C283),"",$BI283)</f>
        <v/>
      </c>
      <c r="DA283" s="104" t="str">
        <f aca="false">IF(ISBLANK($C283),"",$CH283)</f>
        <v/>
      </c>
      <c r="DB283" s="104" t="str">
        <f aca="false">IF(ISBLANK($C283),"",$CG283)</f>
        <v/>
      </c>
      <c r="DC283" s="106" t="str">
        <f aca="false">IF(ISBLANK($C283),"",IFERROR(_xlfn.SWITCH($DB283,Constants!$B$7,COUNTA($C$9:$C$508)+2,Constants!$B$6,COUNTA($C$9:$C$508)+1,Constants!$B$5,COUNTA($C$9:$C$508)),$DB283))</f>
        <v/>
      </c>
      <c r="DD283" s="7"/>
      <c r="DE283" s="107" t="n">
        <f aca="false">IF(OR(ISNUMBER($DB283),$DB283=Constants!$B$7,$DB283=Constants!$B$5,$DB283=Constants!$B$6),1,0)</f>
        <v>0</v>
      </c>
      <c r="DF283" s="107" t="n">
        <v>275</v>
      </c>
      <c r="DG283" s="107" t="str">
        <f aca="false">IF(ISBLANK($C283),"",IF(ISNUMBER($DC283),$DC283+ROW($B283)/1000,""))</f>
        <v/>
      </c>
      <c r="DH283" s="107" t="str">
        <f aca="false">IF(ISNUMBER($DG283),RANK($DG283,$DG$9:$DG$508,1),"")</f>
        <v/>
      </c>
      <c r="DI283" s="107" t="str">
        <f aca="false">IF(ISBLANK($C283),"",$B283)</f>
        <v/>
      </c>
      <c r="DJ283" s="107" t="str">
        <f aca="false">IF(ISBLANK($C283),"",$C283)</f>
        <v/>
      </c>
      <c r="DK283" s="107" t="str">
        <f aca="false">IF(ISBLANK($C283),"",$D283)</f>
        <v/>
      </c>
      <c r="DL283" s="108" t="str">
        <f aca="false">$CZ283</f>
        <v/>
      </c>
      <c r="DM283" s="109" t="str">
        <f aca="false">$CY283</f>
        <v/>
      </c>
      <c r="DN283" s="107" t="str">
        <f aca="false">IF(ISBLANK($C283),"",$DB283)</f>
        <v/>
      </c>
      <c r="DO283" s="110" t="str">
        <f aca="false">IF($DF283&gt;$DE$8,"",VLOOKUP($DF283,$DH$9:$DN$508,7,FALSE()))</f>
        <v/>
      </c>
      <c r="DP283" s="111" t="str">
        <f aca="false">IF($DF283&gt;$DE$8,"",VLOOKUP($DF283,$DH$9:$DN$508,2,FALSE()))</f>
        <v/>
      </c>
      <c r="DQ283" s="111" t="str">
        <f aca="false">IF($DF283&gt;$DE$8,"",VLOOKUP($DF283,$DH$9:$DN$508,3,FALSE()))</f>
        <v/>
      </c>
      <c r="DR283" s="111" t="str">
        <f aca="false">IF($DF283&gt;$DE$8,"",VLOOKUP($DF283,$DH$9:$DN$508,4,FALSE()))</f>
        <v/>
      </c>
      <c r="DS283" s="111" t="str">
        <f aca="false">IF($DF283&gt;$DE$8,"",VLOOKUP($DF283,$DH$9:$DN$508,5,FALSE()))</f>
        <v/>
      </c>
      <c r="DT283" s="112" t="str">
        <f aca="false">IF($DF283&gt;$DE$8,"",VLOOKUP($DF283,$DH$9:$DN$508,6,FALSE()))</f>
        <v/>
      </c>
      <c r="DU283" s="62"/>
    </row>
    <row r="284" customFormat="false" ht="15.75" hidden="false" customHeight="false" outlineLevel="0" collapsed="false">
      <c r="A284" s="7"/>
      <c r="B284" s="90"/>
      <c r="C284" s="91"/>
      <c r="D284" s="126"/>
      <c r="E284" s="130"/>
      <c r="F284" s="135"/>
      <c r="G284" s="130"/>
      <c r="H284" s="135"/>
      <c r="I284" s="131"/>
      <c r="J284" s="131"/>
      <c r="K284" s="131"/>
      <c r="L284" s="130"/>
      <c r="M284" s="130"/>
      <c r="N284" s="130"/>
      <c r="O284" s="135"/>
      <c r="P284" s="130"/>
      <c r="Q284" s="130"/>
      <c r="R284" s="130"/>
      <c r="S284" s="130"/>
      <c r="T284" s="135"/>
      <c r="U284" s="130"/>
      <c r="V284" s="96"/>
      <c r="W284" s="130"/>
      <c r="X284" s="130"/>
      <c r="Y284" s="96"/>
      <c r="Z284" s="96"/>
      <c r="AA284" s="130"/>
      <c r="AB284" s="130"/>
      <c r="AC284" s="97"/>
      <c r="AD284" s="130"/>
      <c r="AE284" s="99"/>
      <c r="AF284" s="100"/>
      <c r="AG284" s="100"/>
      <c r="AH284" s="100" t="str">
        <f aca="false">IF(ISBLANK($C284),"",IF($E284=Constants!$B$2,TRUE(),IF($E284=Constants!$B$3,FALSE(),TRUE())))</f>
        <v/>
      </c>
      <c r="AI284" s="100" t="str">
        <f aca="false">IF(ISBLANK($C284),"",IF($F284=Constants!$B$2,TRUE(),IF($F284=Constants!$B$3,FALSE(),FALSE())))</f>
        <v/>
      </c>
      <c r="AJ284" s="100" t="str">
        <f aca="false">IF(ISBLANK($C284),"",IF($G284=Constants!$B$2,TRUE(),IF($G284=Constants!$B$3,FALSE(),TRUE())))</f>
        <v/>
      </c>
      <c r="AK284" s="100" t="str">
        <f aca="false">IF(ISBLANK($C284),"",IF($H284=Constants!$B$2,TRUE(),IF($H284=Constants!$B$3,FALSE(),TRUE())))</f>
        <v/>
      </c>
      <c r="AL284" s="100" t="str">
        <f aca="false">IF(ISBLANK($C284),"",IF(ISNUMBER($I284),IF($I284&gt;=0,$I284,""),""))</f>
        <v/>
      </c>
      <c r="AM284" s="100" t="str">
        <f aca="false">IF(ISBLANK($C284),"",IF(ISNUMBER($J284),IF($J284&gt;=0,$J284,""),""))</f>
        <v/>
      </c>
      <c r="AN284" s="100" t="str">
        <f aca="false">IF(ISBLANK($C284),"",IF(ISNUMBER($K284),IF($K284&gt;=0,$K284,""),""))</f>
        <v/>
      </c>
      <c r="AO284" s="100" t="str">
        <f aca="false">IF(ISBLANK($C284),"",IF($L284=Constants!$B$2,TRUE(),IF($L284=Constants!$B$3,FALSE(),TRUE())))</f>
        <v/>
      </c>
      <c r="AP284" s="100" t="str">
        <f aca="false">IF(ISBLANK($C284),"",IF($M284=Constants!$B$2,TRUE(),IF($M284=Constants!$B$3,FALSE(),TRUE())))</f>
        <v/>
      </c>
      <c r="AQ284" s="100" t="str">
        <f aca="false">IF(ISBLANK($C284),"",IF($N284=Constants!$B$2,TRUE(),IF($N284=Constants!$B$3,FALSE(),FALSE())))</f>
        <v/>
      </c>
      <c r="AR284" s="100" t="str">
        <f aca="false">IF(ISBLANK($C284),"",IF($O284=Constants!$B$2,TRUE(),IF($O284=Constants!$B$3,FALSE(),TRUE())))</f>
        <v/>
      </c>
      <c r="AS284" s="100" t="str">
        <f aca="false">IF(ISBLANK($C284),"",IF($P284=Constants!$B$2,TRUE(),IF($P284=Constants!$B$3,FALSE(),FALSE())))</f>
        <v/>
      </c>
      <c r="AT284" s="100" t="str">
        <f aca="false">IF(ISBLANK($C284),"",IF($Q284=Constants!$B$2,TRUE(),IF($Q284=Constants!$B$3,FALSE(),FALSE())))</f>
        <v/>
      </c>
      <c r="AU284" s="100" t="str">
        <f aca="false">IF(ISBLANK($C284),"",IF($R284=Constants!$B$2,TRUE(),IF($R284=Constants!$B$3,FALSE(),FALSE())))</f>
        <v/>
      </c>
      <c r="AV284" s="100" t="str">
        <f aca="false">IF(ISBLANK($C284),"",IF($S284=Constants!$B$2,TRUE(),IF($S284=Constants!$B$3,FALSE(),FALSE())))</f>
        <v/>
      </c>
      <c r="AW284" s="100" t="str">
        <f aca="false">IF(ISBLANK($C284),"",IF($T284=Constants!$B$2,TRUE(),IF($T284=Constants!$B$3,FALSE(),FALSE())))</f>
        <v/>
      </c>
      <c r="AX284" s="100" t="str">
        <f aca="false">IF(ISBLANK($C284),"",IF(OR($U284&amp;""="1",$U284&amp;""="2",$U284&amp;""="3",$U284&amp;""="4"),VALUE($U284&amp;""),IF($U284=Constants!$B$12,Constants!$B$12,"")))</f>
        <v/>
      </c>
      <c r="AY284" s="100" t="str">
        <f aca="false">IF(ISBLANK($C284),"",IF(ISBLANK($V284),0,IF(ISNUMBER($V284),IF(AND($V284&gt;=0,$V284&lt;=Constants!$B$21,$V284=INT($V284)),$V284,""),"")))</f>
        <v/>
      </c>
      <c r="AZ284" s="100" t="str">
        <f aca="false">IF(ISBLANK($C284),"",IF(ISBLANK($W284),0,IF(ISNUMBER($W284),IF($W284&gt;=0,$W284,""),"")))</f>
        <v/>
      </c>
      <c r="BA284" s="100" t="str">
        <f aca="false">IF(ISBLANK($C284),"",IF($X284=Constants!$B$2,TRUE(),IF($X284=Constants!$B$3,FALSE(),TRUE())))</f>
        <v/>
      </c>
      <c r="BB284" s="100" t="str">
        <f aca="false">IF(ISBLANK($C284),"",IF($Y284=Constants!$B$2,TRUE(),IF($Y284=Constants!$B$3,FALSE(),FALSE())))</f>
        <v/>
      </c>
      <c r="BC284" s="100" t="str">
        <f aca="false">IF(ISBLANK($C284),"",IF(ISBLANK($Z284),0,IF(ISNUMBER($Z284),IF(AND($Z284&gt;=0,$Z284&lt;=Constants!$B$35,$Z284=INT($Z284)),$Z284,""),"")))</f>
        <v/>
      </c>
      <c r="BD284" s="100" t="str">
        <f aca="false">IF(ISBLANK($C284),"",IF($AA284=Constants!$B$2,TRUE(),IF($AA284=Constants!$B$3,FALSE(),TRUE())))</f>
        <v/>
      </c>
      <c r="BE284" s="100" t="str">
        <f aca="false">IF(ISBLANK($C284),"",IF($AB284=Constants!$B$2,TRUE(),IF($AB284=Constants!$B$3,FALSE(),TRUE())))</f>
        <v/>
      </c>
      <c r="BF284" s="100" t="str">
        <f aca="false">IF(ISBLANK($C284),"",IF(ISNUMBER($AC284),IF($AC284&gt;=0,$AC284,""),""))</f>
        <v/>
      </c>
      <c r="BG284" s="100" t="str">
        <f aca="false">IF(ISBLANK($C284),"",IF($AD284=Constants!$B$2,TRUE(),IF($AD284=Constants!$B$3,FALSE(),FALSE())))</f>
        <v/>
      </c>
      <c r="BH284" s="99" t="str">
        <f aca="false">IF(ISBLANK($C284),"",IF($BG284,Constants!$B$7,IF(COUNTA($E284:$AC284)=0,Constants!$B$6,IF(OR(COUNTA($G284:$AC284)=0,NOT($AK284),$AQ284),Constants!$B$5,IF(OR($CI284&lt;&gt;"",$CJ284,$CK284,$CL284,$CM284,$CN284,$CO284),Constants!$B$8,Constants!$B$4)))))</f>
        <v/>
      </c>
      <c r="BI284" s="100" t="str">
        <f aca="false">IF(ISBLANK($C284),"",IF($BH284&lt;&gt;Constants!$B$4,$BH284,IF(OR(NOT($AH284),NOT($AJ284),NOT($AR284)),Constants!$B$11,IF(OR(NOT($AP284),MAX($AL284,$AM284,$AN284)&gt;Constants!$B$30),Constants!$B$10,Constants!$B$9))))</f>
        <v/>
      </c>
      <c r="BJ284" s="100" t="str">
        <f aca="false">IF($BH284&lt;&gt;Constants!$B$4,"",IF(NOT($AJ284),0,MIN(Constants!$B$35,$BC284)))</f>
        <v/>
      </c>
      <c r="BK284" s="100" t="str">
        <f aca="false">IF($BH284&lt;&gt;Constants!$B$4,"",IF(NOT($AJ284),0,IF($AT284,Constants!$B$18,IF($AS284,Constants!$B$17,0))))</f>
        <v/>
      </c>
      <c r="BL284" s="100" t="str">
        <f aca="false">IF($BH284&lt;&gt;Constants!$B$4,"",IF(NOT($AJ284),0,Constants!$B$19*($AI284+$AU284+$AV284+$AW284)))</f>
        <v/>
      </c>
      <c r="BM284" s="100" t="str">
        <f aca="false">IF($BH284&lt;&gt;Constants!$B$4,"",IF(OR(NOT($AJ284),NOT(ISNUMBER($AX284))),0,CHOOSE($AX284,Constants!$B$13,Constants!$B$14,Constants!$B$15,Constants!$B$16)))</f>
        <v/>
      </c>
      <c r="BN284" s="100" t="str">
        <f aca="false">IF($BH284&lt;&gt;Constants!$B$4,"",IF(NOT($AJ284),0,Constants!$B$20*$AY284))</f>
        <v/>
      </c>
      <c r="BO284" s="100" t="str">
        <f aca="false">IF($BH284&lt;&gt;Constants!$B$4,"",IF(AND($AJ284,$BA284,$BB284),Constants!$B$22,0))</f>
        <v/>
      </c>
      <c r="BP284" s="100" t="str">
        <f aca="false">IF($BH284&lt;&gt;Constants!$B$4,"",IF(OR(NOT($AJ284),NOT($BA284)),0,IF($BF284&gt;=2*$AF$9,0,Constants!$B$23*INT(ROUND(MIN($BF284,$AF$9),6)))))</f>
        <v/>
      </c>
      <c r="BQ284" s="100" t="str">
        <f aca="false">IF($BH284&lt;&gt;Constants!$B$4,"",IF(NOT($AJ284),0,Constants!$B$24*INT(ROUND(MIN($AZ284,$AF$9),6))))</f>
        <v/>
      </c>
      <c r="BR284" s="100" t="str">
        <f aca="false">IF($BH284&lt;&gt;Constants!$B$4,"",IF(AND($AJ284,$BJ284=0),Constants!$B$25,0))</f>
        <v/>
      </c>
      <c r="BS284" s="100" t="str">
        <f aca="false">IF($BH284&lt;&gt;Constants!$B$4,"",MIN(Constants!$B$29,MAX(0,Constants!$B$27*Constants!$B$28*INT(ROUND((Constants!$B$26-$AL284)/Constants!$B$28,6))))+MIN(Constants!$B$29,MAX(0,Constants!$B$27*Constants!$B$28*INT(ROUND((Constants!$B$26-$AM284)/Constants!$B$28,6))))+MIN(Constants!$B$29,MAX(0,Constants!$B$27*Constants!$B$28*INT(ROUND((Constants!$B$26-$AN284)/Constants!$B$28,6)))))</f>
        <v/>
      </c>
      <c r="BT284" s="100" t="str">
        <f aca="false">IF($BH284&lt;&gt;Constants!$B$4,"",IF(NOT($AJ284),0,Constants!$B$31*INT(ROUND(MAX(0,MIN($BF284,2*$AF$9)-$AF$9),6))))</f>
        <v/>
      </c>
      <c r="BU284" s="100" t="str">
        <f aca="false">IF($BH284&lt;&gt;Constants!$B$4,"",Constants!$B$32*(($AL284&gt;Constants!$B$26)+($AM284&gt;Constants!$B$26)+($AN284&gt;Constants!$B$26)))</f>
        <v/>
      </c>
      <c r="BV284" s="100" t="str">
        <f aca="false">IF($BH284&lt;&gt;Constants!$B$4,"",IF(OR(NOT($AJ284),$AO284),0,Constants!$B$33))</f>
        <v/>
      </c>
      <c r="BW284" s="100" t="str">
        <f aca="false">IF($BH284&lt;&gt;Constants!$B$4,"",Constants!$B$34*$BJ284)</f>
        <v/>
      </c>
      <c r="BX284" s="100" t="str">
        <f aca="false">IF($BH284&lt;&gt;Constants!$B$4,"",IF(OR(NOT($AJ284),$BE284),0,Constants!$B$36))</f>
        <v/>
      </c>
      <c r="BY284" s="100" t="str">
        <f aca="false">IF($BH284&lt;&gt;Constants!$B$4,"",IF(OR(NOT($AJ284),$BD284),0,Constants!$B$37))</f>
        <v/>
      </c>
      <c r="BZ284" s="100" t="str">
        <f aca="false">IF($BH284&lt;&gt;Constants!$B$4,"",SUM($BT284:$BY284))</f>
        <v/>
      </c>
      <c r="CA284" s="100" t="str">
        <f aca="false">IF(ISBLANK($C284),"",IF($BH284&lt;&gt;Constants!$B$4,$BH284,SUM($BK284:$BS284)-$BZ284))</f>
        <v/>
      </c>
      <c r="CB284" s="100" t="str">
        <f aca="false">IF(ISBLANK($C284),"",IF($BH284&lt;&gt;Constants!$B$4,$BH284,RANK($CA284,$CA$9:$CA$508)))</f>
        <v/>
      </c>
      <c r="CC284" s="100" t="str">
        <f aca="false">IF(ISBLANK($C284),"",IF($BH284&lt;&gt;Constants!$B$4,$BH284,COUNTIFS($BI$9:$BI$508,"&lt;"&amp;$BI284)+COUNTIFS($BI$9:$BI$508,$BI284,$CB$9:$CB$508,"&lt;"&amp;$CB284)+1))</f>
        <v/>
      </c>
      <c r="CD284" s="100" t="str">
        <f aca="false">IF(ISBLANK($C284),"",IF($BH284&lt;&gt;Constants!$B$4,$BH284,RANK($BZ284,$BZ$9:$BZ$508,1)))</f>
        <v/>
      </c>
      <c r="CE284" s="100" t="str">
        <f aca="false">IF($BH284&lt;&gt;Constants!$B$4,"",$AL284+$AM284+$AN284)</f>
        <v/>
      </c>
      <c r="CF284" s="100" t="str">
        <f aca="false">IF(ISBLANK($C284),"",IF($BH284&lt;&gt;Constants!$B$4,$BH284,RANK($CE284,$CE$9:$CE$508,1)))</f>
        <v/>
      </c>
      <c r="CG284" s="100" t="str">
        <f aca="false">IF(ISBLANK($C284),"",IF($BH284&lt;&gt;Constants!$B$4,$BH284,COUNTIFS($BI$9:$BI$508,"&lt;"&amp;$BI284)+COUNTIFS($BI$9:$BI$508,$BI284,$CB$9:$CB$508,"&lt;"&amp;$CB284)+COUNTIFS($BI$9:$BI$508,$BI284,$CB$9:$CB$508,$CB284,$CD$9:$CD$508,"&lt;"&amp;$CD284)+COUNTIFS($BI$9:$BI$508,$BI284,$CB$9:$CB$508,$CB284,$CD$9:$CD$508,$CD284,$CF$9:$CF$508,"&lt;"&amp;$CF284)+1))</f>
        <v/>
      </c>
      <c r="CH284" s="100" t="str">
        <f aca="false">IF(ISBLANK($C284),"",IF($BH284&lt;&gt;Constants!$B$4,$BH284,$CC284-$CG284))</f>
        <v/>
      </c>
      <c r="CI284" s="100" t="str">
        <f aca="false">IF(ISBLANK($C284),"",IF(NOT($AJ284),"",IF(ISBLANK($D$7),$CI$5,IF(NOT(ISNUMBER($D$7)),$CI$6,""))))</f>
        <v/>
      </c>
      <c r="CJ284" s="100" t="str">
        <f aca="false">IF(ISBLANK($C284),"",OR($AL284="",$AM284="",$AN284=""))</f>
        <v/>
      </c>
      <c r="CK284" s="100" t="str">
        <f aca="false">IF(ISBLANK($C284),"",AND($AJ284,$AX284=""))</f>
        <v/>
      </c>
      <c r="CL284" s="100" t="str">
        <f aca="false">IF(ISBLANK($C284),"",AND($AJ284,$AY284=""))</f>
        <v/>
      </c>
      <c r="CM284" s="100" t="str">
        <f aca="false">IF(ISBLANK($C284),"",AND($AJ284,$AZ284=""))</f>
        <v/>
      </c>
      <c r="CN284" s="100" t="str">
        <f aca="false">IF(ISBLANK($C284),"",AND($AJ284,$BC284=""))</f>
        <v/>
      </c>
      <c r="CO284" s="100" t="str">
        <f aca="false">IF(ISBLANK($C284),"",AND($AJ284,$BF284=""))</f>
        <v/>
      </c>
      <c r="CP284" s="101"/>
      <c r="CQ284" s="102"/>
      <c r="CR284" s="103" t="str">
        <f aca="false">IF(ISBLANK($C284),"",IF($BH284=Constants!$B$8,$CI284,""))</f>
        <v/>
      </c>
      <c r="CS284" s="102" t="str">
        <f aca="false">IF(ISBLANK($C284),"",IF($BH284&lt;&gt;Constants!$B$4,"",$BK284+$BL284))</f>
        <v/>
      </c>
      <c r="CT284" s="104" t="str">
        <f aca="false">IF(ISBLANK($C284),"",IF($BH284&lt;&gt;Constants!$B$4,"",$BM284+$BN284+$BO284))</f>
        <v/>
      </c>
      <c r="CU284" s="104" t="str">
        <f aca="false">IF(ISBLANK($C284),"",IF($BH284&lt;&gt;Constants!$B$4,"",$BP284))</f>
        <v/>
      </c>
      <c r="CV284" s="104" t="str">
        <f aca="false">IF(ISBLANK($C284),"",IF($BH284&lt;&gt;Constants!$B$4,"",$BQ284+$BR284))</f>
        <v/>
      </c>
      <c r="CW284" s="104" t="str">
        <f aca="false">IF(ISBLANK($C284),"",IF($BH284&lt;&gt;Constants!$B$4,"",$BS284))</f>
        <v/>
      </c>
      <c r="CX284" s="104" t="str">
        <f aca="false">IF(ISBLANK($C284),"",IF($BH284&lt;&gt;Constants!$B$4,"",-$BZ284))</f>
        <v/>
      </c>
      <c r="CY284" s="103" t="str">
        <f aca="false">IF(ISBLANK($C284),"",$CA284)</f>
        <v/>
      </c>
      <c r="CZ284" s="105" t="str">
        <f aca="false">IF(ISBLANK($C284),"",$BI284)</f>
        <v/>
      </c>
      <c r="DA284" s="104" t="str">
        <f aca="false">IF(ISBLANK($C284),"",$CH284)</f>
        <v/>
      </c>
      <c r="DB284" s="104" t="str">
        <f aca="false">IF(ISBLANK($C284),"",$CG284)</f>
        <v/>
      </c>
      <c r="DC284" s="106" t="str">
        <f aca="false">IF(ISBLANK($C284),"",IFERROR(_xlfn.SWITCH($DB284,Constants!$B$7,COUNTA($C$9:$C$508)+2,Constants!$B$6,COUNTA($C$9:$C$508)+1,Constants!$B$5,COUNTA($C$9:$C$508)),$DB284))</f>
        <v/>
      </c>
      <c r="DD284" s="7"/>
      <c r="DE284" s="107" t="n">
        <f aca="false">IF(OR(ISNUMBER($DB284),$DB284=Constants!$B$7,$DB284=Constants!$B$5,$DB284=Constants!$B$6),1,0)</f>
        <v>0</v>
      </c>
      <c r="DF284" s="107" t="n">
        <v>276</v>
      </c>
      <c r="DG284" s="107" t="str">
        <f aca="false">IF(ISBLANK($C284),"",IF(ISNUMBER($DC284),$DC284+ROW($B284)/1000,""))</f>
        <v/>
      </c>
      <c r="DH284" s="107" t="str">
        <f aca="false">IF(ISNUMBER($DG284),RANK($DG284,$DG$9:$DG$508,1),"")</f>
        <v/>
      </c>
      <c r="DI284" s="107" t="str">
        <f aca="false">IF(ISBLANK($C284),"",$B284)</f>
        <v/>
      </c>
      <c r="DJ284" s="107" t="str">
        <f aca="false">IF(ISBLANK($C284),"",$C284)</f>
        <v/>
      </c>
      <c r="DK284" s="107" t="str">
        <f aca="false">IF(ISBLANK($C284),"",$D284)</f>
        <v/>
      </c>
      <c r="DL284" s="108" t="str">
        <f aca="false">$CZ284</f>
        <v/>
      </c>
      <c r="DM284" s="109" t="str">
        <f aca="false">$CY284</f>
        <v/>
      </c>
      <c r="DN284" s="107" t="str">
        <f aca="false">IF(ISBLANK($C284),"",$DB284)</f>
        <v/>
      </c>
      <c r="DO284" s="110" t="str">
        <f aca="false">IF($DF284&gt;$DE$8,"",VLOOKUP($DF284,$DH$9:$DN$508,7,FALSE()))</f>
        <v/>
      </c>
      <c r="DP284" s="111" t="str">
        <f aca="false">IF($DF284&gt;$DE$8,"",VLOOKUP($DF284,$DH$9:$DN$508,2,FALSE()))</f>
        <v/>
      </c>
      <c r="DQ284" s="111" t="str">
        <f aca="false">IF($DF284&gt;$DE$8,"",VLOOKUP($DF284,$DH$9:$DN$508,3,FALSE()))</f>
        <v/>
      </c>
      <c r="DR284" s="111" t="str">
        <f aca="false">IF($DF284&gt;$DE$8,"",VLOOKUP($DF284,$DH$9:$DN$508,4,FALSE()))</f>
        <v/>
      </c>
      <c r="DS284" s="111" t="str">
        <f aca="false">IF($DF284&gt;$DE$8,"",VLOOKUP($DF284,$DH$9:$DN$508,5,FALSE()))</f>
        <v/>
      </c>
      <c r="DT284" s="112" t="str">
        <f aca="false">IF($DF284&gt;$DE$8,"",VLOOKUP($DF284,$DH$9:$DN$508,6,FALSE()))</f>
        <v/>
      </c>
      <c r="DU284" s="62"/>
    </row>
    <row r="285" customFormat="false" ht="15.75" hidden="false" customHeight="false" outlineLevel="0" collapsed="false">
      <c r="A285" s="7"/>
      <c r="B285" s="64"/>
      <c r="C285" s="65"/>
      <c r="D285" s="123"/>
      <c r="E285" s="88"/>
      <c r="F285" s="134"/>
      <c r="G285" s="88"/>
      <c r="H285" s="134"/>
      <c r="I285" s="119"/>
      <c r="J285" s="119"/>
      <c r="K285" s="119"/>
      <c r="L285" s="88"/>
      <c r="M285" s="88"/>
      <c r="N285" s="88"/>
      <c r="O285" s="134"/>
      <c r="P285" s="88"/>
      <c r="Q285" s="88"/>
      <c r="R285" s="88"/>
      <c r="S285" s="88"/>
      <c r="T285" s="134"/>
      <c r="U285" s="88"/>
      <c r="V285" s="70"/>
      <c r="W285" s="88"/>
      <c r="X285" s="88"/>
      <c r="Y285" s="70"/>
      <c r="Z285" s="70"/>
      <c r="AA285" s="88"/>
      <c r="AB285" s="88"/>
      <c r="AC285" s="71"/>
      <c r="AD285" s="88"/>
      <c r="AE285" s="73"/>
      <c r="AF285" s="74"/>
      <c r="AG285" s="74"/>
      <c r="AH285" s="74" t="str">
        <f aca="false">IF(ISBLANK($C285),"",IF($E285=Constants!$B$2,TRUE(),IF($E285=Constants!$B$3,FALSE(),TRUE())))</f>
        <v/>
      </c>
      <c r="AI285" s="74" t="str">
        <f aca="false">IF(ISBLANK($C285),"",IF($F285=Constants!$B$2,TRUE(),IF($F285=Constants!$B$3,FALSE(),FALSE())))</f>
        <v/>
      </c>
      <c r="AJ285" s="74" t="str">
        <f aca="false">IF(ISBLANK($C285),"",IF($G285=Constants!$B$2,TRUE(),IF($G285=Constants!$B$3,FALSE(),TRUE())))</f>
        <v/>
      </c>
      <c r="AK285" s="74" t="str">
        <f aca="false">IF(ISBLANK($C285),"",IF($H285=Constants!$B$2,TRUE(),IF($H285=Constants!$B$3,FALSE(),TRUE())))</f>
        <v/>
      </c>
      <c r="AL285" s="74" t="str">
        <f aca="false">IF(ISBLANK($C285),"",IF(ISNUMBER($I285),IF($I285&gt;=0,$I285,""),""))</f>
        <v/>
      </c>
      <c r="AM285" s="74" t="str">
        <f aca="false">IF(ISBLANK($C285),"",IF(ISNUMBER($J285),IF($J285&gt;=0,$J285,""),""))</f>
        <v/>
      </c>
      <c r="AN285" s="74" t="str">
        <f aca="false">IF(ISBLANK($C285),"",IF(ISNUMBER($K285),IF($K285&gt;=0,$K285,""),""))</f>
        <v/>
      </c>
      <c r="AO285" s="74" t="str">
        <f aca="false">IF(ISBLANK($C285),"",IF($L285=Constants!$B$2,TRUE(),IF($L285=Constants!$B$3,FALSE(),TRUE())))</f>
        <v/>
      </c>
      <c r="AP285" s="74" t="str">
        <f aca="false">IF(ISBLANK($C285),"",IF($M285=Constants!$B$2,TRUE(),IF($M285=Constants!$B$3,FALSE(),TRUE())))</f>
        <v/>
      </c>
      <c r="AQ285" s="74" t="str">
        <f aca="false">IF(ISBLANK($C285),"",IF($N285=Constants!$B$2,TRUE(),IF($N285=Constants!$B$3,FALSE(),FALSE())))</f>
        <v/>
      </c>
      <c r="AR285" s="74" t="str">
        <f aca="false">IF(ISBLANK($C285),"",IF($O285=Constants!$B$2,TRUE(),IF($O285=Constants!$B$3,FALSE(),TRUE())))</f>
        <v/>
      </c>
      <c r="AS285" s="74" t="str">
        <f aca="false">IF(ISBLANK($C285),"",IF($P285=Constants!$B$2,TRUE(),IF($P285=Constants!$B$3,FALSE(),FALSE())))</f>
        <v/>
      </c>
      <c r="AT285" s="74" t="str">
        <f aca="false">IF(ISBLANK($C285),"",IF($Q285=Constants!$B$2,TRUE(),IF($Q285=Constants!$B$3,FALSE(),FALSE())))</f>
        <v/>
      </c>
      <c r="AU285" s="74" t="str">
        <f aca="false">IF(ISBLANK($C285),"",IF($R285=Constants!$B$2,TRUE(),IF($R285=Constants!$B$3,FALSE(),FALSE())))</f>
        <v/>
      </c>
      <c r="AV285" s="74" t="str">
        <f aca="false">IF(ISBLANK($C285),"",IF($S285=Constants!$B$2,TRUE(),IF($S285=Constants!$B$3,FALSE(),FALSE())))</f>
        <v/>
      </c>
      <c r="AW285" s="74" t="str">
        <f aca="false">IF(ISBLANK($C285),"",IF($T285=Constants!$B$2,TRUE(),IF($T285=Constants!$B$3,FALSE(),FALSE())))</f>
        <v/>
      </c>
      <c r="AX285" s="74" t="str">
        <f aca="false">IF(ISBLANK($C285),"",IF(OR($U285&amp;""="1",$U285&amp;""="2",$U285&amp;""="3",$U285&amp;""="4"),VALUE($U285&amp;""),IF($U285=Constants!$B$12,Constants!$B$12,"")))</f>
        <v/>
      </c>
      <c r="AY285" s="74" t="str">
        <f aca="false">IF(ISBLANK($C285),"",IF(ISBLANK($V285),0,IF(ISNUMBER($V285),IF(AND($V285&gt;=0,$V285&lt;=Constants!$B$21,$V285=INT($V285)),$V285,""),"")))</f>
        <v/>
      </c>
      <c r="AZ285" s="74" t="str">
        <f aca="false">IF(ISBLANK($C285),"",IF(ISBLANK($W285),0,IF(ISNUMBER($W285),IF($W285&gt;=0,$W285,""),"")))</f>
        <v/>
      </c>
      <c r="BA285" s="74" t="str">
        <f aca="false">IF(ISBLANK($C285),"",IF($X285=Constants!$B$2,TRUE(),IF($X285=Constants!$B$3,FALSE(),TRUE())))</f>
        <v/>
      </c>
      <c r="BB285" s="74" t="str">
        <f aca="false">IF(ISBLANK($C285),"",IF($Y285=Constants!$B$2,TRUE(),IF($Y285=Constants!$B$3,FALSE(),FALSE())))</f>
        <v/>
      </c>
      <c r="BC285" s="74" t="str">
        <f aca="false">IF(ISBLANK($C285),"",IF(ISBLANK($Z285),0,IF(ISNUMBER($Z285),IF(AND($Z285&gt;=0,$Z285&lt;=Constants!$B$35,$Z285=INT($Z285)),$Z285,""),"")))</f>
        <v/>
      </c>
      <c r="BD285" s="74" t="str">
        <f aca="false">IF(ISBLANK($C285),"",IF($AA285=Constants!$B$2,TRUE(),IF($AA285=Constants!$B$3,FALSE(),TRUE())))</f>
        <v/>
      </c>
      <c r="BE285" s="74" t="str">
        <f aca="false">IF(ISBLANK($C285),"",IF($AB285=Constants!$B$2,TRUE(),IF($AB285=Constants!$B$3,FALSE(),TRUE())))</f>
        <v/>
      </c>
      <c r="BF285" s="74" t="str">
        <f aca="false">IF(ISBLANK($C285),"",IF(ISNUMBER($AC285),IF($AC285&gt;=0,$AC285,""),""))</f>
        <v/>
      </c>
      <c r="BG285" s="74" t="str">
        <f aca="false">IF(ISBLANK($C285),"",IF($AD285=Constants!$B$2,TRUE(),IF($AD285=Constants!$B$3,FALSE(),FALSE())))</f>
        <v/>
      </c>
      <c r="BH285" s="73" t="str">
        <f aca="false">IF(ISBLANK($C285),"",IF($BG285,Constants!$B$7,IF(COUNTA($E285:$AC285)=0,Constants!$B$6,IF(OR(COUNTA($G285:$AC285)=0,NOT($AK285),$AQ285),Constants!$B$5,IF(OR($CI285&lt;&gt;"",$CJ285,$CK285,$CL285,$CM285,$CN285,$CO285),Constants!$B$8,Constants!$B$4)))))</f>
        <v/>
      </c>
      <c r="BI285" s="74" t="str">
        <f aca="false">IF(ISBLANK($C285),"",IF($BH285&lt;&gt;Constants!$B$4,$BH285,IF(OR(NOT($AH285),NOT($AJ285),NOT($AR285)),Constants!$B$11,IF(OR(NOT($AP285),MAX($AL285,$AM285,$AN285)&gt;Constants!$B$30),Constants!$B$10,Constants!$B$9))))</f>
        <v/>
      </c>
      <c r="BJ285" s="74" t="str">
        <f aca="false">IF($BH285&lt;&gt;Constants!$B$4,"",IF(NOT($AJ285),0,MIN(Constants!$B$35,$BC285)))</f>
        <v/>
      </c>
      <c r="BK285" s="74" t="str">
        <f aca="false">IF($BH285&lt;&gt;Constants!$B$4,"",IF(NOT($AJ285),0,IF($AT285,Constants!$B$18,IF($AS285,Constants!$B$17,0))))</f>
        <v/>
      </c>
      <c r="BL285" s="74" t="str">
        <f aca="false">IF($BH285&lt;&gt;Constants!$B$4,"",IF(NOT($AJ285),0,Constants!$B$19*($AI285+$AU285+$AV285+$AW285)))</f>
        <v/>
      </c>
      <c r="BM285" s="74" t="str">
        <f aca="false">IF($BH285&lt;&gt;Constants!$B$4,"",IF(OR(NOT($AJ285),NOT(ISNUMBER($AX285))),0,CHOOSE($AX285,Constants!$B$13,Constants!$B$14,Constants!$B$15,Constants!$B$16)))</f>
        <v/>
      </c>
      <c r="BN285" s="74" t="str">
        <f aca="false">IF($BH285&lt;&gt;Constants!$B$4,"",IF(NOT($AJ285),0,Constants!$B$20*$AY285))</f>
        <v/>
      </c>
      <c r="BO285" s="74" t="str">
        <f aca="false">IF($BH285&lt;&gt;Constants!$B$4,"",IF(AND($AJ285,$BA285,$BB285),Constants!$B$22,0))</f>
        <v/>
      </c>
      <c r="BP285" s="74" t="str">
        <f aca="false">IF($BH285&lt;&gt;Constants!$B$4,"",IF(OR(NOT($AJ285),NOT($BA285)),0,IF($BF285&gt;=2*$AF$9,0,Constants!$B$23*INT(ROUND(MIN($BF285,$AF$9),6)))))</f>
        <v/>
      </c>
      <c r="BQ285" s="74" t="str">
        <f aca="false">IF($BH285&lt;&gt;Constants!$B$4,"",IF(NOT($AJ285),0,Constants!$B$24*INT(ROUND(MIN($AZ285,$AF$9),6))))</f>
        <v/>
      </c>
      <c r="BR285" s="74" t="str">
        <f aca="false">IF($BH285&lt;&gt;Constants!$B$4,"",IF(AND($AJ285,$BJ285=0),Constants!$B$25,0))</f>
        <v/>
      </c>
      <c r="BS285" s="74" t="str">
        <f aca="false">IF($BH285&lt;&gt;Constants!$B$4,"",MIN(Constants!$B$29,MAX(0,Constants!$B$27*Constants!$B$28*INT(ROUND((Constants!$B$26-$AL285)/Constants!$B$28,6))))+MIN(Constants!$B$29,MAX(0,Constants!$B$27*Constants!$B$28*INT(ROUND((Constants!$B$26-$AM285)/Constants!$B$28,6))))+MIN(Constants!$B$29,MAX(0,Constants!$B$27*Constants!$B$28*INT(ROUND((Constants!$B$26-$AN285)/Constants!$B$28,6)))))</f>
        <v/>
      </c>
      <c r="BT285" s="74" t="str">
        <f aca="false">IF($BH285&lt;&gt;Constants!$B$4,"",IF(NOT($AJ285),0,Constants!$B$31*INT(ROUND(MAX(0,MIN($BF285,2*$AF$9)-$AF$9),6))))</f>
        <v/>
      </c>
      <c r="BU285" s="74" t="str">
        <f aca="false">IF($BH285&lt;&gt;Constants!$B$4,"",Constants!$B$32*(($AL285&gt;Constants!$B$26)+($AM285&gt;Constants!$B$26)+($AN285&gt;Constants!$B$26)))</f>
        <v/>
      </c>
      <c r="BV285" s="74" t="str">
        <f aca="false">IF($BH285&lt;&gt;Constants!$B$4,"",IF(OR(NOT($AJ285),$AO285),0,Constants!$B$33))</f>
        <v/>
      </c>
      <c r="BW285" s="74" t="str">
        <f aca="false">IF($BH285&lt;&gt;Constants!$B$4,"",Constants!$B$34*$BJ285)</f>
        <v/>
      </c>
      <c r="BX285" s="74" t="str">
        <f aca="false">IF($BH285&lt;&gt;Constants!$B$4,"",IF(OR(NOT($AJ285),$BE285),0,Constants!$B$36))</f>
        <v/>
      </c>
      <c r="BY285" s="74" t="str">
        <f aca="false">IF($BH285&lt;&gt;Constants!$B$4,"",IF(OR(NOT($AJ285),$BD285),0,Constants!$B$37))</f>
        <v/>
      </c>
      <c r="BZ285" s="74" t="str">
        <f aca="false">IF($BH285&lt;&gt;Constants!$B$4,"",SUM($BT285:$BY285))</f>
        <v/>
      </c>
      <c r="CA285" s="74" t="str">
        <f aca="false">IF(ISBLANK($C285),"",IF($BH285&lt;&gt;Constants!$B$4,$BH285,SUM($BK285:$BS285)-$BZ285))</f>
        <v/>
      </c>
      <c r="CB285" s="74" t="str">
        <f aca="false">IF(ISBLANK($C285),"",IF($BH285&lt;&gt;Constants!$B$4,$BH285,RANK($CA285,$CA$9:$CA$508)))</f>
        <v/>
      </c>
      <c r="CC285" s="74" t="str">
        <f aca="false">IF(ISBLANK($C285),"",IF($BH285&lt;&gt;Constants!$B$4,$BH285,COUNTIFS($BI$9:$BI$508,"&lt;"&amp;$BI285)+COUNTIFS($BI$9:$BI$508,$BI285,$CB$9:$CB$508,"&lt;"&amp;$CB285)+1))</f>
        <v/>
      </c>
      <c r="CD285" s="74" t="str">
        <f aca="false">IF(ISBLANK($C285),"",IF($BH285&lt;&gt;Constants!$B$4,$BH285,RANK($BZ285,$BZ$9:$BZ$508,1)))</f>
        <v/>
      </c>
      <c r="CE285" s="74" t="str">
        <f aca="false">IF($BH285&lt;&gt;Constants!$B$4,"",$AL285+$AM285+$AN285)</f>
        <v/>
      </c>
      <c r="CF285" s="74" t="str">
        <f aca="false">IF(ISBLANK($C285),"",IF($BH285&lt;&gt;Constants!$B$4,$BH285,RANK($CE285,$CE$9:$CE$508,1)))</f>
        <v/>
      </c>
      <c r="CG285" s="74" t="str">
        <f aca="false">IF(ISBLANK($C285),"",IF($BH285&lt;&gt;Constants!$B$4,$BH285,COUNTIFS($BI$9:$BI$508,"&lt;"&amp;$BI285)+COUNTIFS($BI$9:$BI$508,$BI285,$CB$9:$CB$508,"&lt;"&amp;$CB285)+COUNTIFS($BI$9:$BI$508,$BI285,$CB$9:$CB$508,$CB285,$CD$9:$CD$508,"&lt;"&amp;$CD285)+COUNTIFS($BI$9:$BI$508,$BI285,$CB$9:$CB$508,$CB285,$CD$9:$CD$508,$CD285,$CF$9:$CF$508,"&lt;"&amp;$CF285)+1))</f>
        <v/>
      </c>
      <c r="CH285" s="74" t="str">
        <f aca="false">IF(ISBLANK($C285),"",IF($BH285&lt;&gt;Constants!$B$4,$BH285,$CC285-$CG285))</f>
        <v/>
      </c>
      <c r="CI285" s="74" t="str">
        <f aca="false">IF(ISBLANK($C285),"",IF(NOT($AJ285),"",IF(ISBLANK($D$7),$CI$5,IF(NOT(ISNUMBER($D$7)),$CI$6,""))))</f>
        <v/>
      </c>
      <c r="CJ285" s="74" t="str">
        <f aca="false">IF(ISBLANK($C285),"",OR($AL285="",$AM285="",$AN285=""))</f>
        <v/>
      </c>
      <c r="CK285" s="74" t="str">
        <f aca="false">IF(ISBLANK($C285),"",AND($AJ285,$AX285=""))</f>
        <v/>
      </c>
      <c r="CL285" s="74" t="str">
        <f aca="false">IF(ISBLANK($C285),"",AND($AJ285,$AY285=""))</f>
        <v/>
      </c>
      <c r="CM285" s="74" t="str">
        <f aca="false">IF(ISBLANK($C285),"",AND($AJ285,$AZ285=""))</f>
        <v/>
      </c>
      <c r="CN285" s="74" t="str">
        <f aca="false">IF(ISBLANK($C285),"",AND($AJ285,$BC285=""))</f>
        <v/>
      </c>
      <c r="CO285" s="74" t="str">
        <f aca="false">IF(ISBLANK($C285),"",AND($AJ285,$BF285=""))</f>
        <v/>
      </c>
      <c r="CP285" s="75"/>
      <c r="CQ285" s="76"/>
      <c r="CR285" s="79" t="str">
        <f aca="false">IF(ISBLANK($C285),"",IF($BH285=Constants!$B$8,$CI285,""))</f>
        <v/>
      </c>
      <c r="CS285" s="76" t="str">
        <f aca="false">IF(ISBLANK($C285),"",IF($BH285&lt;&gt;Constants!$B$4,"",$BK285+$BL285))</f>
        <v/>
      </c>
      <c r="CT285" s="78" t="str">
        <f aca="false">IF(ISBLANK($C285),"",IF($BH285&lt;&gt;Constants!$B$4,"",$BM285+$BN285+$BO285))</f>
        <v/>
      </c>
      <c r="CU285" s="78" t="str">
        <f aca="false">IF(ISBLANK($C285),"",IF($BH285&lt;&gt;Constants!$B$4,"",$BP285))</f>
        <v/>
      </c>
      <c r="CV285" s="78" t="str">
        <f aca="false">IF(ISBLANK($C285),"",IF($BH285&lt;&gt;Constants!$B$4,"",$BQ285+$BR285))</f>
        <v/>
      </c>
      <c r="CW285" s="78" t="str">
        <f aca="false">IF(ISBLANK($C285),"",IF($BH285&lt;&gt;Constants!$B$4,"",$BS285))</f>
        <v/>
      </c>
      <c r="CX285" s="78" t="str">
        <f aca="false">IF(ISBLANK($C285),"",IF($BH285&lt;&gt;Constants!$B$4,"",-$BZ285))</f>
        <v/>
      </c>
      <c r="CY285" s="79" t="str">
        <f aca="false">IF(ISBLANK($C285),"",$CA285)</f>
        <v/>
      </c>
      <c r="CZ285" s="80" t="str">
        <f aca="false">IF(ISBLANK($C285),"",$BI285)</f>
        <v/>
      </c>
      <c r="DA285" s="78" t="str">
        <f aca="false">IF(ISBLANK($C285),"",$CH285)</f>
        <v/>
      </c>
      <c r="DB285" s="78" t="str">
        <f aca="false">IF(ISBLANK($C285),"",$CG285)</f>
        <v/>
      </c>
      <c r="DC285" s="81" t="str">
        <f aca="false">IF(ISBLANK($C285),"",IFERROR(_xlfn.SWITCH($DB285,Constants!$B$7,COUNTA($C$9:$C$508)+2,Constants!$B$6,COUNTA($C$9:$C$508)+1,Constants!$B$5,COUNTA($C$9:$C$508)),$DB285))</f>
        <v/>
      </c>
      <c r="DD285" s="7"/>
      <c r="DE285" s="82" t="n">
        <f aca="false">IF(OR(ISNUMBER($DB285),$DB285=Constants!$B$7,$DB285=Constants!$B$5,$DB285=Constants!$B$6),1,0)</f>
        <v>0</v>
      </c>
      <c r="DF285" s="82" t="n">
        <v>277</v>
      </c>
      <c r="DG285" s="82" t="str">
        <f aca="false">IF(ISBLANK($C285),"",IF(ISNUMBER($DC285),$DC285+ROW($B285)/1000,""))</f>
        <v/>
      </c>
      <c r="DH285" s="82" t="str">
        <f aca="false">IF(ISNUMBER($DG285),RANK($DG285,$DG$9:$DG$508,1),"")</f>
        <v/>
      </c>
      <c r="DI285" s="82" t="str">
        <f aca="false">IF(ISBLANK($C285),"",$B285)</f>
        <v/>
      </c>
      <c r="DJ285" s="82" t="str">
        <f aca="false">IF(ISBLANK($C285),"",$C285)</f>
        <v/>
      </c>
      <c r="DK285" s="82" t="str">
        <f aca="false">IF(ISBLANK($C285),"",$D285)</f>
        <v/>
      </c>
      <c r="DL285" s="83" t="str">
        <f aca="false">$CZ285</f>
        <v/>
      </c>
      <c r="DM285" s="84" t="str">
        <f aca="false">$CY285</f>
        <v/>
      </c>
      <c r="DN285" s="82" t="str">
        <f aca="false">IF(ISBLANK($C285),"",$DB285)</f>
        <v/>
      </c>
      <c r="DO285" s="85" t="str">
        <f aca="false">IF($DF285&gt;$DE$8,"",VLOOKUP($DF285,$DH$9:$DN$508,7,FALSE()))</f>
        <v/>
      </c>
      <c r="DP285" s="86" t="str">
        <f aca="false">IF($DF285&gt;$DE$8,"",VLOOKUP($DF285,$DH$9:$DN$508,2,FALSE()))</f>
        <v/>
      </c>
      <c r="DQ285" s="86" t="str">
        <f aca="false">IF($DF285&gt;$DE$8,"",VLOOKUP($DF285,$DH$9:$DN$508,3,FALSE()))</f>
        <v/>
      </c>
      <c r="DR285" s="86" t="str">
        <f aca="false">IF($DF285&gt;$DE$8,"",VLOOKUP($DF285,$DH$9:$DN$508,4,FALSE()))</f>
        <v/>
      </c>
      <c r="DS285" s="86" t="str">
        <f aca="false">IF($DF285&gt;$DE$8,"",VLOOKUP($DF285,$DH$9:$DN$508,5,FALSE()))</f>
        <v/>
      </c>
      <c r="DT285" s="87" t="str">
        <f aca="false">IF($DF285&gt;$DE$8,"",VLOOKUP($DF285,$DH$9:$DN$508,6,FALSE()))</f>
        <v/>
      </c>
      <c r="DU285" s="62"/>
    </row>
    <row r="286" customFormat="false" ht="15.75" hidden="false" customHeight="false" outlineLevel="0" collapsed="false">
      <c r="A286" s="7"/>
      <c r="B286" s="64"/>
      <c r="C286" s="65"/>
      <c r="D286" s="123"/>
      <c r="E286" s="88"/>
      <c r="F286" s="134"/>
      <c r="G286" s="88"/>
      <c r="H286" s="134"/>
      <c r="I286" s="119"/>
      <c r="J286" s="119"/>
      <c r="K286" s="119"/>
      <c r="L286" s="88"/>
      <c r="M286" s="88"/>
      <c r="N286" s="88"/>
      <c r="O286" s="134"/>
      <c r="P286" s="88"/>
      <c r="Q286" s="88"/>
      <c r="R286" s="88"/>
      <c r="S286" s="88"/>
      <c r="T286" s="134"/>
      <c r="U286" s="88"/>
      <c r="V286" s="70"/>
      <c r="W286" s="88"/>
      <c r="X286" s="88"/>
      <c r="Y286" s="70"/>
      <c r="Z286" s="70"/>
      <c r="AA286" s="88"/>
      <c r="AB286" s="88"/>
      <c r="AC286" s="71"/>
      <c r="AD286" s="88"/>
      <c r="AE286" s="73"/>
      <c r="AF286" s="74"/>
      <c r="AG286" s="74"/>
      <c r="AH286" s="74" t="str">
        <f aca="false">IF(ISBLANK($C286),"",IF($E286=Constants!$B$2,TRUE(),IF($E286=Constants!$B$3,FALSE(),TRUE())))</f>
        <v/>
      </c>
      <c r="AI286" s="74" t="str">
        <f aca="false">IF(ISBLANK($C286),"",IF($F286=Constants!$B$2,TRUE(),IF($F286=Constants!$B$3,FALSE(),FALSE())))</f>
        <v/>
      </c>
      <c r="AJ286" s="74" t="str">
        <f aca="false">IF(ISBLANK($C286),"",IF($G286=Constants!$B$2,TRUE(),IF($G286=Constants!$B$3,FALSE(),TRUE())))</f>
        <v/>
      </c>
      <c r="AK286" s="74" t="str">
        <f aca="false">IF(ISBLANK($C286),"",IF($H286=Constants!$B$2,TRUE(),IF($H286=Constants!$B$3,FALSE(),TRUE())))</f>
        <v/>
      </c>
      <c r="AL286" s="74" t="str">
        <f aca="false">IF(ISBLANK($C286),"",IF(ISNUMBER($I286),IF($I286&gt;=0,$I286,""),""))</f>
        <v/>
      </c>
      <c r="AM286" s="74" t="str">
        <f aca="false">IF(ISBLANK($C286),"",IF(ISNUMBER($J286),IF($J286&gt;=0,$J286,""),""))</f>
        <v/>
      </c>
      <c r="AN286" s="74" t="str">
        <f aca="false">IF(ISBLANK($C286),"",IF(ISNUMBER($K286),IF($K286&gt;=0,$K286,""),""))</f>
        <v/>
      </c>
      <c r="AO286" s="74" t="str">
        <f aca="false">IF(ISBLANK($C286),"",IF($L286=Constants!$B$2,TRUE(),IF($L286=Constants!$B$3,FALSE(),TRUE())))</f>
        <v/>
      </c>
      <c r="AP286" s="74" t="str">
        <f aca="false">IF(ISBLANK($C286),"",IF($M286=Constants!$B$2,TRUE(),IF($M286=Constants!$B$3,FALSE(),TRUE())))</f>
        <v/>
      </c>
      <c r="AQ286" s="74" t="str">
        <f aca="false">IF(ISBLANK($C286),"",IF($N286=Constants!$B$2,TRUE(),IF($N286=Constants!$B$3,FALSE(),FALSE())))</f>
        <v/>
      </c>
      <c r="AR286" s="74" t="str">
        <f aca="false">IF(ISBLANK($C286),"",IF($O286=Constants!$B$2,TRUE(),IF($O286=Constants!$B$3,FALSE(),TRUE())))</f>
        <v/>
      </c>
      <c r="AS286" s="74" t="str">
        <f aca="false">IF(ISBLANK($C286),"",IF($P286=Constants!$B$2,TRUE(),IF($P286=Constants!$B$3,FALSE(),FALSE())))</f>
        <v/>
      </c>
      <c r="AT286" s="74" t="str">
        <f aca="false">IF(ISBLANK($C286),"",IF($Q286=Constants!$B$2,TRUE(),IF($Q286=Constants!$B$3,FALSE(),FALSE())))</f>
        <v/>
      </c>
      <c r="AU286" s="74" t="str">
        <f aca="false">IF(ISBLANK($C286),"",IF($R286=Constants!$B$2,TRUE(),IF($R286=Constants!$B$3,FALSE(),FALSE())))</f>
        <v/>
      </c>
      <c r="AV286" s="74" t="str">
        <f aca="false">IF(ISBLANK($C286),"",IF($S286=Constants!$B$2,TRUE(),IF($S286=Constants!$B$3,FALSE(),FALSE())))</f>
        <v/>
      </c>
      <c r="AW286" s="74" t="str">
        <f aca="false">IF(ISBLANK($C286),"",IF($T286=Constants!$B$2,TRUE(),IF($T286=Constants!$B$3,FALSE(),FALSE())))</f>
        <v/>
      </c>
      <c r="AX286" s="74" t="str">
        <f aca="false">IF(ISBLANK($C286),"",IF(OR($U286&amp;""="1",$U286&amp;""="2",$U286&amp;""="3",$U286&amp;""="4"),VALUE($U286&amp;""),IF($U286=Constants!$B$12,Constants!$B$12,"")))</f>
        <v/>
      </c>
      <c r="AY286" s="74" t="str">
        <f aca="false">IF(ISBLANK($C286),"",IF(ISBLANK($V286),0,IF(ISNUMBER($V286),IF(AND($V286&gt;=0,$V286&lt;=Constants!$B$21,$V286=INT($V286)),$V286,""),"")))</f>
        <v/>
      </c>
      <c r="AZ286" s="74" t="str">
        <f aca="false">IF(ISBLANK($C286),"",IF(ISBLANK($W286),0,IF(ISNUMBER($W286),IF($W286&gt;=0,$W286,""),"")))</f>
        <v/>
      </c>
      <c r="BA286" s="74" t="str">
        <f aca="false">IF(ISBLANK($C286),"",IF($X286=Constants!$B$2,TRUE(),IF($X286=Constants!$B$3,FALSE(),TRUE())))</f>
        <v/>
      </c>
      <c r="BB286" s="74" t="str">
        <f aca="false">IF(ISBLANK($C286),"",IF($Y286=Constants!$B$2,TRUE(),IF($Y286=Constants!$B$3,FALSE(),FALSE())))</f>
        <v/>
      </c>
      <c r="BC286" s="74" t="str">
        <f aca="false">IF(ISBLANK($C286),"",IF(ISBLANK($Z286),0,IF(ISNUMBER($Z286),IF(AND($Z286&gt;=0,$Z286&lt;=Constants!$B$35,$Z286=INT($Z286)),$Z286,""),"")))</f>
        <v/>
      </c>
      <c r="BD286" s="74" t="str">
        <f aca="false">IF(ISBLANK($C286),"",IF($AA286=Constants!$B$2,TRUE(),IF($AA286=Constants!$B$3,FALSE(),TRUE())))</f>
        <v/>
      </c>
      <c r="BE286" s="74" t="str">
        <f aca="false">IF(ISBLANK($C286),"",IF($AB286=Constants!$B$2,TRUE(),IF($AB286=Constants!$B$3,FALSE(),TRUE())))</f>
        <v/>
      </c>
      <c r="BF286" s="74" t="str">
        <f aca="false">IF(ISBLANK($C286),"",IF(ISNUMBER($AC286),IF($AC286&gt;=0,$AC286,""),""))</f>
        <v/>
      </c>
      <c r="BG286" s="74" t="str">
        <f aca="false">IF(ISBLANK($C286),"",IF($AD286=Constants!$B$2,TRUE(),IF($AD286=Constants!$B$3,FALSE(),FALSE())))</f>
        <v/>
      </c>
      <c r="BH286" s="73" t="str">
        <f aca="false">IF(ISBLANK($C286),"",IF($BG286,Constants!$B$7,IF(COUNTA($E286:$AC286)=0,Constants!$B$6,IF(OR(COUNTA($G286:$AC286)=0,NOT($AK286),$AQ286),Constants!$B$5,IF(OR($CI286&lt;&gt;"",$CJ286,$CK286,$CL286,$CM286,$CN286,$CO286),Constants!$B$8,Constants!$B$4)))))</f>
        <v/>
      </c>
      <c r="BI286" s="74" t="str">
        <f aca="false">IF(ISBLANK($C286),"",IF($BH286&lt;&gt;Constants!$B$4,$BH286,IF(OR(NOT($AH286),NOT($AJ286),NOT($AR286)),Constants!$B$11,IF(OR(NOT($AP286),MAX($AL286,$AM286,$AN286)&gt;Constants!$B$30),Constants!$B$10,Constants!$B$9))))</f>
        <v/>
      </c>
      <c r="BJ286" s="74" t="str">
        <f aca="false">IF($BH286&lt;&gt;Constants!$B$4,"",IF(NOT($AJ286),0,MIN(Constants!$B$35,$BC286)))</f>
        <v/>
      </c>
      <c r="BK286" s="74" t="str">
        <f aca="false">IF($BH286&lt;&gt;Constants!$B$4,"",IF(NOT($AJ286),0,IF($AT286,Constants!$B$18,IF($AS286,Constants!$B$17,0))))</f>
        <v/>
      </c>
      <c r="BL286" s="74" t="str">
        <f aca="false">IF($BH286&lt;&gt;Constants!$B$4,"",IF(NOT($AJ286),0,Constants!$B$19*($AI286+$AU286+$AV286+$AW286)))</f>
        <v/>
      </c>
      <c r="BM286" s="74" t="str">
        <f aca="false">IF($BH286&lt;&gt;Constants!$B$4,"",IF(OR(NOT($AJ286),NOT(ISNUMBER($AX286))),0,CHOOSE($AX286,Constants!$B$13,Constants!$B$14,Constants!$B$15,Constants!$B$16)))</f>
        <v/>
      </c>
      <c r="BN286" s="74" t="str">
        <f aca="false">IF($BH286&lt;&gt;Constants!$B$4,"",IF(NOT($AJ286),0,Constants!$B$20*$AY286))</f>
        <v/>
      </c>
      <c r="BO286" s="74" t="str">
        <f aca="false">IF($BH286&lt;&gt;Constants!$B$4,"",IF(AND($AJ286,$BA286,$BB286),Constants!$B$22,0))</f>
        <v/>
      </c>
      <c r="BP286" s="74" t="str">
        <f aca="false">IF($BH286&lt;&gt;Constants!$B$4,"",IF(OR(NOT($AJ286),NOT($BA286)),0,IF($BF286&gt;=2*$AF$9,0,Constants!$B$23*INT(ROUND(MIN($BF286,$AF$9),6)))))</f>
        <v/>
      </c>
      <c r="BQ286" s="74" t="str">
        <f aca="false">IF($BH286&lt;&gt;Constants!$B$4,"",IF(NOT($AJ286),0,Constants!$B$24*INT(ROUND(MIN($AZ286,$AF$9),6))))</f>
        <v/>
      </c>
      <c r="BR286" s="74" t="str">
        <f aca="false">IF($BH286&lt;&gt;Constants!$B$4,"",IF(AND($AJ286,$BJ286=0),Constants!$B$25,0))</f>
        <v/>
      </c>
      <c r="BS286" s="74" t="str">
        <f aca="false">IF($BH286&lt;&gt;Constants!$B$4,"",MIN(Constants!$B$29,MAX(0,Constants!$B$27*Constants!$B$28*INT(ROUND((Constants!$B$26-$AL286)/Constants!$B$28,6))))+MIN(Constants!$B$29,MAX(0,Constants!$B$27*Constants!$B$28*INT(ROUND((Constants!$B$26-$AM286)/Constants!$B$28,6))))+MIN(Constants!$B$29,MAX(0,Constants!$B$27*Constants!$B$28*INT(ROUND((Constants!$B$26-$AN286)/Constants!$B$28,6)))))</f>
        <v/>
      </c>
      <c r="BT286" s="74" t="str">
        <f aca="false">IF($BH286&lt;&gt;Constants!$B$4,"",IF(NOT($AJ286),0,Constants!$B$31*INT(ROUND(MAX(0,MIN($BF286,2*$AF$9)-$AF$9),6))))</f>
        <v/>
      </c>
      <c r="BU286" s="74" t="str">
        <f aca="false">IF($BH286&lt;&gt;Constants!$B$4,"",Constants!$B$32*(($AL286&gt;Constants!$B$26)+($AM286&gt;Constants!$B$26)+($AN286&gt;Constants!$B$26)))</f>
        <v/>
      </c>
      <c r="BV286" s="74" t="str">
        <f aca="false">IF($BH286&lt;&gt;Constants!$B$4,"",IF(OR(NOT($AJ286),$AO286),0,Constants!$B$33))</f>
        <v/>
      </c>
      <c r="BW286" s="74" t="str">
        <f aca="false">IF($BH286&lt;&gt;Constants!$B$4,"",Constants!$B$34*$BJ286)</f>
        <v/>
      </c>
      <c r="BX286" s="74" t="str">
        <f aca="false">IF($BH286&lt;&gt;Constants!$B$4,"",IF(OR(NOT($AJ286),$BE286),0,Constants!$B$36))</f>
        <v/>
      </c>
      <c r="BY286" s="74" t="str">
        <f aca="false">IF($BH286&lt;&gt;Constants!$B$4,"",IF(OR(NOT($AJ286),$BD286),0,Constants!$B$37))</f>
        <v/>
      </c>
      <c r="BZ286" s="74" t="str">
        <f aca="false">IF($BH286&lt;&gt;Constants!$B$4,"",SUM($BT286:$BY286))</f>
        <v/>
      </c>
      <c r="CA286" s="74" t="str">
        <f aca="false">IF(ISBLANK($C286),"",IF($BH286&lt;&gt;Constants!$B$4,$BH286,SUM($BK286:$BS286)-$BZ286))</f>
        <v/>
      </c>
      <c r="CB286" s="74" t="str">
        <f aca="false">IF(ISBLANK($C286),"",IF($BH286&lt;&gt;Constants!$B$4,$BH286,RANK($CA286,$CA$9:$CA$508)))</f>
        <v/>
      </c>
      <c r="CC286" s="74" t="str">
        <f aca="false">IF(ISBLANK($C286),"",IF($BH286&lt;&gt;Constants!$B$4,$BH286,COUNTIFS($BI$9:$BI$508,"&lt;"&amp;$BI286)+COUNTIFS($BI$9:$BI$508,$BI286,$CB$9:$CB$508,"&lt;"&amp;$CB286)+1))</f>
        <v/>
      </c>
      <c r="CD286" s="74" t="str">
        <f aca="false">IF(ISBLANK($C286),"",IF($BH286&lt;&gt;Constants!$B$4,$BH286,RANK($BZ286,$BZ$9:$BZ$508,1)))</f>
        <v/>
      </c>
      <c r="CE286" s="74" t="str">
        <f aca="false">IF($BH286&lt;&gt;Constants!$B$4,"",$AL286+$AM286+$AN286)</f>
        <v/>
      </c>
      <c r="CF286" s="74" t="str">
        <f aca="false">IF(ISBLANK($C286),"",IF($BH286&lt;&gt;Constants!$B$4,$BH286,RANK($CE286,$CE$9:$CE$508,1)))</f>
        <v/>
      </c>
      <c r="CG286" s="74" t="str">
        <f aca="false">IF(ISBLANK($C286),"",IF($BH286&lt;&gt;Constants!$B$4,$BH286,COUNTIFS($BI$9:$BI$508,"&lt;"&amp;$BI286)+COUNTIFS($BI$9:$BI$508,$BI286,$CB$9:$CB$508,"&lt;"&amp;$CB286)+COUNTIFS($BI$9:$BI$508,$BI286,$CB$9:$CB$508,$CB286,$CD$9:$CD$508,"&lt;"&amp;$CD286)+COUNTIFS($BI$9:$BI$508,$BI286,$CB$9:$CB$508,$CB286,$CD$9:$CD$508,$CD286,$CF$9:$CF$508,"&lt;"&amp;$CF286)+1))</f>
        <v/>
      </c>
      <c r="CH286" s="74" t="str">
        <f aca="false">IF(ISBLANK($C286),"",IF($BH286&lt;&gt;Constants!$B$4,$BH286,$CC286-$CG286))</f>
        <v/>
      </c>
      <c r="CI286" s="74" t="str">
        <f aca="false">IF(ISBLANK($C286),"",IF(NOT($AJ286),"",IF(ISBLANK($D$7),$CI$5,IF(NOT(ISNUMBER($D$7)),$CI$6,""))))</f>
        <v/>
      </c>
      <c r="CJ286" s="74" t="str">
        <f aca="false">IF(ISBLANK($C286),"",OR($AL286="",$AM286="",$AN286=""))</f>
        <v/>
      </c>
      <c r="CK286" s="74" t="str">
        <f aca="false">IF(ISBLANK($C286),"",AND($AJ286,$AX286=""))</f>
        <v/>
      </c>
      <c r="CL286" s="74" t="str">
        <f aca="false">IF(ISBLANK($C286),"",AND($AJ286,$AY286=""))</f>
        <v/>
      </c>
      <c r="CM286" s="74" t="str">
        <f aca="false">IF(ISBLANK($C286),"",AND($AJ286,$AZ286=""))</f>
        <v/>
      </c>
      <c r="CN286" s="74" t="str">
        <f aca="false">IF(ISBLANK($C286),"",AND($AJ286,$BC286=""))</f>
        <v/>
      </c>
      <c r="CO286" s="74" t="str">
        <f aca="false">IF(ISBLANK($C286),"",AND($AJ286,$BF286=""))</f>
        <v/>
      </c>
      <c r="CP286" s="75"/>
      <c r="CQ286" s="76"/>
      <c r="CR286" s="79" t="str">
        <f aca="false">IF(ISBLANK($C286),"",IF($BH286=Constants!$B$8,$CI286,""))</f>
        <v/>
      </c>
      <c r="CS286" s="76" t="str">
        <f aca="false">IF(ISBLANK($C286),"",IF($BH286&lt;&gt;Constants!$B$4,"",$BK286+$BL286))</f>
        <v/>
      </c>
      <c r="CT286" s="78" t="str">
        <f aca="false">IF(ISBLANK($C286),"",IF($BH286&lt;&gt;Constants!$B$4,"",$BM286+$BN286+$BO286))</f>
        <v/>
      </c>
      <c r="CU286" s="78" t="str">
        <f aca="false">IF(ISBLANK($C286),"",IF($BH286&lt;&gt;Constants!$B$4,"",$BP286))</f>
        <v/>
      </c>
      <c r="CV286" s="78" t="str">
        <f aca="false">IF(ISBLANK($C286),"",IF($BH286&lt;&gt;Constants!$B$4,"",$BQ286+$BR286))</f>
        <v/>
      </c>
      <c r="CW286" s="78" t="str">
        <f aca="false">IF(ISBLANK($C286),"",IF($BH286&lt;&gt;Constants!$B$4,"",$BS286))</f>
        <v/>
      </c>
      <c r="CX286" s="78" t="str">
        <f aca="false">IF(ISBLANK($C286),"",IF($BH286&lt;&gt;Constants!$B$4,"",-$BZ286))</f>
        <v/>
      </c>
      <c r="CY286" s="79" t="str">
        <f aca="false">IF(ISBLANK($C286),"",$CA286)</f>
        <v/>
      </c>
      <c r="CZ286" s="80" t="str">
        <f aca="false">IF(ISBLANK($C286),"",$BI286)</f>
        <v/>
      </c>
      <c r="DA286" s="78" t="str">
        <f aca="false">IF(ISBLANK($C286),"",$CH286)</f>
        <v/>
      </c>
      <c r="DB286" s="78" t="str">
        <f aca="false">IF(ISBLANK($C286),"",$CG286)</f>
        <v/>
      </c>
      <c r="DC286" s="81" t="str">
        <f aca="false">IF(ISBLANK($C286),"",IFERROR(_xlfn.SWITCH($DB286,Constants!$B$7,COUNTA($C$9:$C$508)+2,Constants!$B$6,COUNTA($C$9:$C$508)+1,Constants!$B$5,COUNTA($C$9:$C$508)),$DB286))</f>
        <v/>
      </c>
      <c r="DD286" s="7"/>
      <c r="DE286" s="82" t="n">
        <f aca="false">IF(OR(ISNUMBER($DB286),$DB286=Constants!$B$7,$DB286=Constants!$B$5,$DB286=Constants!$B$6),1,0)</f>
        <v>0</v>
      </c>
      <c r="DF286" s="82" t="n">
        <v>278</v>
      </c>
      <c r="DG286" s="82" t="str">
        <f aca="false">IF(ISBLANK($C286),"",IF(ISNUMBER($DC286),$DC286+ROW($B286)/1000,""))</f>
        <v/>
      </c>
      <c r="DH286" s="82" t="str">
        <f aca="false">IF(ISNUMBER($DG286),RANK($DG286,$DG$9:$DG$508,1),"")</f>
        <v/>
      </c>
      <c r="DI286" s="82" t="str">
        <f aca="false">IF(ISBLANK($C286),"",$B286)</f>
        <v/>
      </c>
      <c r="DJ286" s="82" t="str">
        <f aca="false">IF(ISBLANK($C286),"",$C286)</f>
        <v/>
      </c>
      <c r="DK286" s="82" t="str">
        <f aca="false">IF(ISBLANK($C286),"",$D286)</f>
        <v/>
      </c>
      <c r="DL286" s="83" t="str">
        <f aca="false">$CZ286</f>
        <v/>
      </c>
      <c r="DM286" s="84" t="str">
        <f aca="false">$CY286</f>
        <v/>
      </c>
      <c r="DN286" s="82" t="str">
        <f aca="false">IF(ISBLANK($C286),"",$DB286)</f>
        <v/>
      </c>
      <c r="DO286" s="85" t="str">
        <f aca="false">IF($DF286&gt;$DE$8,"",VLOOKUP($DF286,$DH$9:$DN$508,7,FALSE()))</f>
        <v/>
      </c>
      <c r="DP286" s="86" t="str">
        <f aca="false">IF($DF286&gt;$DE$8,"",VLOOKUP($DF286,$DH$9:$DN$508,2,FALSE()))</f>
        <v/>
      </c>
      <c r="DQ286" s="86" t="str">
        <f aca="false">IF($DF286&gt;$DE$8,"",VLOOKUP($DF286,$DH$9:$DN$508,3,FALSE()))</f>
        <v/>
      </c>
      <c r="DR286" s="86" t="str">
        <f aca="false">IF($DF286&gt;$DE$8,"",VLOOKUP($DF286,$DH$9:$DN$508,4,FALSE()))</f>
        <v/>
      </c>
      <c r="DS286" s="86" t="str">
        <f aca="false">IF($DF286&gt;$DE$8,"",VLOOKUP($DF286,$DH$9:$DN$508,5,FALSE()))</f>
        <v/>
      </c>
      <c r="DT286" s="87" t="str">
        <f aca="false">IF($DF286&gt;$DE$8,"",VLOOKUP($DF286,$DH$9:$DN$508,6,FALSE()))</f>
        <v/>
      </c>
      <c r="DU286" s="62"/>
    </row>
    <row r="287" customFormat="false" ht="15.75" hidden="false" customHeight="false" outlineLevel="0" collapsed="false">
      <c r="A287" s="7"/>
      <c r="B287" s="64"/>
      <c r="C287" s="65"/>
      <c r="D287" s="123"/>
      <c r="E287" s="88"/>
      <c r="F287" s="134"/>
      <c r="G287" s="88"/>
      <c r="H287" s="134"/>
      <c r="I287" s="119"/>
      <c r="J287" s="119"/>
      <c r="K287" s="119"/>
      <c r="L287" s="88"/>
      <c r="M287" s="88"/>
      <c r="N287" s="88"/>
      <c r="O287" s="134"/>
      <c r="P287" s="88"/>
      <c r="Q287" s="88"/>
      <c r="R287" s="88"/>
      <c r="S287" s="88"/>
      <c r="T287" s="134"/>
      <c r="U287" s="88"/>
      <c r="V287" s="70"/>
      <c r="W287" s="88"/>
      <c r="X287" s="88"/>
      <c r="Y287" s="70"/>
      <c r="Z287" s="70"/>
      <c r="AA287" s="88"/>
      <c r="AB287" s="88"/>
      <c r="AC287" s="71"/>
      <c r="AD287" s="88"/>
      <c r="AE287" s="73"/>
      <c r="AF287" s="74"/>
      <c r="AG287" s="74"/>
      <c r="AH287" s="74" t="str">
        <f aca="false">IF(ISBLANK($C287),"",IF($E287=Constants!$B$2,TRUE(),IF($E287=Constants!$B$3,FALSE(),TRUE())))</f>
        <v/>
      </c>
      <c r="AI287" s="74" t="str">
        <f aca="false">IF(ISBLANK($C287),"",IF($F287=Constants!$B$2,TRUE(),IF($F287=Constants!$B$3,FALSE(),FALSE())))</f>
        <v/>
      </c>
      <c r="AJ287" s="74" t="str">
        <f aca="false">IF(ISBLANK($C287),"",IF($G287=Constants!$B$2,TRUE(),IF($G287=Constants!$B$3,FALSE(),TRUE())))</f>
        <v/>
      </c>
      <c r="AK287" s="74" t="str">
        <f aca="false">IF(ISBLANK($C287),"",IF($H287=Constants!$B$2,TRUE(),IF($H287=Constants!$B$3,FALSE(),TRUE())))</f>
        <v/>
      </c>
      <c r="AL287" s="74" t="str">
        <f aca="false">IF(ISBLANK($C287),"",IF(ISNUMBER($I287),IF($I287&gt;=0,$I287,""),""))</f>
        <v/>
      </c>
      <c r="AM287" s="74" t="str">
        <f aca="false">IF(ISBLANK($C287),"",IF(ISNUMBER($J287),IF($J287&gt;=0,$J287,""),""))</f>
        <v/>
      </c>
      <c r="AN287" s="74" t="str">
        <f aca="false">IF(ISBLANK($C287),"",IF(ISNUMBER($K287),IF($K287&gt;=0,$K287,""),""))</f>
        <v/>
      </c>
      <c r="AO287" s="74" t="str">
        <f aca="false">IF(ISBLANK($C287),"",IF($L287=Constants!$B$2,TRUE(),IF($L287=Constants!$B$3,FALSE(),TRUE())))</f>
        <v/>
      </c>
      <c r="AP287" s="74" t="str">
        <f aca="false">IF(ISBLANK($C287),"",IF($M287=Constants!$B$2,TRUE(),IF($M287=Constants!$B$3,FALSE(),TRUE())))</f>
        <v/>
      </c>
      <c r="AQ287" s="74" t="str">
        <f aca="false">IF(ISBLANK($C287),"",IF($N287=Constants!$B$2,TRUE(),IF($N287=Constants!$B$3,FALSE(),FALSE())))</f>
        <v/>
      </c>
      <c r="AR287" s="74" t="str">
        <f aca="false">IF(ISBLANK($C287),"",IF($O287=Constants!$B$2,TRUE(),IF($O287=Constants!$B$3,FALSE(),TRUE())))</f>
        <v/>
      </c>
      <c r="AS287" s="74" t="str">
        <f aca="false">IF(ISBLANK($C287),"",IF($P287=Constants!$B$2,TRUE(),IF($P287=Constants!$B$3,FALSE(),FALSE())))</f>
        <v/>
      </c>
      <c r="AT287" s="74" t="str">
        <f aca="false">IF(ISBLANK($C287),"",IF($Q287=Constants!$B$2,TRUE(),IF($Q287=Constants!$B$3,FALSE(),FALSE())))</f>
        <v/>
      </c>
      <c r="AU287" s="74" t="str">
        <f aca="false">IF(ISBLANK($C287),"",IF($R287=Constants!$B$2,TRUE(),IF($R287=Constants!$B$3,FALSE(),FALSE())))</f>
        <v/>
      </c>
      <c r="AV287" s="74" t="str">
        <f aca="false">IF(ISBLANK($C287),"",IF($S287=Constants!$B$2,TRUE(),IF($S287=Constants!$B$3,FALSE(),FALSE())))</f>
        <v/>
      </c>
      <c r="AW287" s="74" t="str">
        <f aca="false">IF(ISBLANK($C287),"",IF($T287=Constants!$B$2,TRUE(),IF($T287=Constants!$B$3,FALSE(),FALSE())))</f>
        <v/>
      </c>
      <c r="AX287" s="74" t="str">
        <f aca="false">IF(ISBLANK($C287),"",IF(OR($U287&amp;""="1",$U287&amp;""="2",$U287&amp;""="3",$U287&amp;""="4"),VALUE($U287&amp;""),IF($U287=Constants!$B$12,Constants!$B$12,"")))</f>
        <v/>
      </c>
      <c r="AY287" s="74" t="str">
        <f aca="false">IF(ISBLANK($C287),"",IF(ISBLANK($V287),0,IF(ISNUMBER($V287),IF(AND($V287&gt;=0,$V287&lt;=Constants!$B$21,$V287=INT($V287)),$V287,""),"")))</f>
        <v/>
      </c>
      <c r="AZ287" s="74" t="str">
        <f aca="false">IF(ISBLANK($C287),"",IF(ISBLANK($W287),0,IF(ISNUMBER($W287),IF($W287&gt;=0,$W287,""),"")))</f>
        <v/>
      </c>
      <c r="BA287" s="74" t="str">
        <f aca="false">IF(ISBLANK($C287),"",IF($X287=Constants!$B$2,TRUE(),IF($X287=Constants!$B$3,FALSE(),TRUE())))</f>
        <v/>
      </c>
      <c r="BB287" s="74" t="str">
        <f aca="false">IF(ISBLANK($C287),"",IF($Y287=Constants!$B$2,TRUE(),IF($Y287=Constants!$B$3,FALSE(),FALSE())))</f>
        <v/>
      </c>
      <c r="BC287" s="74" t="str">
        <f aca="false">IF(ISBLANK($C287),"",IF(ISBLANK($Z287),0,IF(ISNUMBER($Z287),IF(AND($Z287&gt;=0,$Z287&lt;=Constants!$B$35,$Z287=INT($Z287)),$Z287,""),"")))</f>
        <v/>
      </c>
      <c r="BD287" s="74" t="str">
        <f aca="false">IF(ISBLANK($C287),"",IF($AA287=Constants!$B$2,TRUE(),IF($AA287=Constants!$B$3,FALSE(),TRUE())))</f>
        <v/>
      </c>
      <c r="BE287" s="74" t="str">
        <f aca="false">IF(ISBLANK($C287),"",IF($AB287=Constants!$B$2,TRUE(),IF($AB287=Constants!$B$3,FALSE(),TRUE())))</f>
        <v/>
      </c>
      <c r="BF287" s="74" t="str">
        <f aca="false">IF(ISBLANK($C287),"",IF(ISNUMBER($AC287),IF($AC287&gt;=0,$AC287,""),""))</f>
        <v/>
      </c>
      <c r="BG287" s="74" t="str">
        <f aca="false">IF(ISBLANK($C287),"",IF($AD287=Constants!$B$2,TRUE(),IF($AD287=Constants!$B$3,FALSE(),FALSE())))</f>
        <v/>
      </c>
      <c r="BH287" s="73" t="str">
        <f aca="false">IF(ISBLANK($C287),"",IF($BG287,Constants!$B$7,IF(COUNTA($E287:$AC287)=0,Constants!$B$6,IF(OR(COUNTA($G287:$AC287)=0,NOT($AK287),$AQ287),Constants!$B$5,IF(OR($CI287&lt;&gt;"",$CJ287,$CK287,$CL287,$CM287,$CN287,$CO287),Constants!$B$8,Constants!$B$4)))))</f>
        <v/>
      </c>
      <c r="BI287" s="74" t="str">
        <f aca="false">IF(ISBLANK($C287),"",IF($BH287&lt;&gt;Constants!$B$4,$BH287,IF(OR(NOT($AH287),NOT($AJ287),NOT($AR287)),Constants!$B$11,IF(OR(NOT($AP287),MAX($AL287,$AM287,$AN287)&gt;Constants!$B$30),Constants!$B$10,Constants!$B$9))))</f>
        <v/>
      </c>
      <c r="BJ287" s="74" t="str">
        <f aca="false">IF($BH287&lt;&gt;Constants!$B$4,"",IF(NOT($AJ287),0,MIN(Constants!$B$35,$BC287)))</f>
        <v/>
      </c>
      <c r="BK287" s="74" t="str">
        <f aca="false">IF($BH287&lt;&gt;Constants!$B$4,"",IF(NOT($AJ287),0,IF($AT287,Constants!$B$18,IF($AS287,Constants!$B$17,0))))</f>
        <v/>
      </c>
      <c r="BL287" s="74" t="str">
        <f aca="false">IF($BH287&lt;&gt;Constants!$B$4,"",IF(NOT($AJ287),0,Constants!$B$19*($AI287+$AU287+$AV287+$AW287)))</f>
        <v/>
      </c>
      <c r="BM287" s="74" t="str">
        <f aca="false">IF($BH287&lt;&gt;Constants!$B$4,"",IF(OR(NOT($AJ287),NOT(ISNUMBER($AX287))),0,CHOOSE($AX287,Constants!$B$13,Constants!$B$14,Constants!$B$15,Constants!$B$16)))</f>
        <v/>
      </c>
      <c r="BN287" s="74" t="str">
        <f aca="false">IF($BH287&lt;&gt;Constants!$B$4,"",IF(NOT($AJ287),0,Constants!$B$20*$AY287))</f>
        <v/>
      </c>
      <c r="BO287" s="74" t="str">
        <f aca="false">IF($BH287&lt;&gt;Constants!$B$4,"",IF(AND($AJ287,$BA287,$BB287),Constants!$B$22,0))</f>
        <v/>
      </c>
      <c r="BP287" s="74" t="str">
        <f aca="false">IF($BH287&lt;&gt;Constants!$B$4,"",IF(OR(NOT($AJ287),NOT($BA287)),0,IF($BF287&gt;=2*$AF$9,0,Constants!$B$23*INT(ROUND(MIN($BF287,$AF$9),6)))))</f>
        <v/>
      </c>
      <c r="BQ287" s="74" t="str">
        <f aca="false">IF($BH287&lt;&gt;Constants!$B$4,"",IF(NOT($AJ287),0,Constants!$B$24*INT(ROUND(MIN($AZ287,$AF$9),6))))</f>
        <v/>
      </c>
      <c r="BR287" s="74" t="str">
        <f aca="false">IF($BH287&lt;&gt;Constants!$B$4,"",IF(AND($AJ287,$BJ287=0),Constants!$B$25,0))</f>
        <v/>
      </c>
      <c r="BS287" s="74" t="str">
        <f aca="false">IF($BH287&lt;&gt;Constants!$B$4,"",MIN(Constants!$B$29,MAX(0,Constants!$B$27*Constants!$B$28*INT(ROUND((Constants!$B$26-$AL287)/Constants!$B$28,6))))+MIN(Constants!$B$29,MAX(0,Constants!$B$27*Constants!$B$28*INT(ROUND((Constants!$B$26-$AM287)/Constants!$B$28,6))))+MIN(Constants!$B$29,MAX(0,Constants!$B$27*Constants!$B$28*INT(ROUND((Constants!$B$26-$AN287)/Constants!$B$28,6)))))</f>
        <v/>
      </c>
      <c r="BT287" s="74" t="str">
        <f aca="false">IF($BH287&lt;&gt;Constants!$B$4,"",IF(NOT($AJ287),0,Constants!$B$31*INT(ROUND(MAX(0,MIN($BF287,2*$AF$9)-$AF$9),6))))</f>
        <v/>
      </c>
      <c r="BU287" s="74" t="str">
        <f aca="false">IF($BH287&lt;&gt;Constants!$B$4,"",Constants!$B$32*(($AL287&gt;Constants!$B$26)+($AM287&gt;Constants!$B$26)+($AN287&gt;Constants!$B$26)))</f>
        <v/>
      </c>
      <c r="BV287" s="74" t="str">
        <f aca="false">IF($BH287&lt;&gt;Constants!$B$4,"",IF(OR(NOT($AJ287),$AO287),0,Constants!$B$33))</f>
        <v/>
      </c>
      <c r="BW287" s="74" t="str">
        <f aca="false">IF($BH287&lt;&gt;Constants!$B$4,"",Constants!$B$34*$BJ287)</f>
        <v/>
      </c>
      <c r="BX287" s="74" t="str">
        <f aca="false">IF($BH287&lt;&gt;Constants!$B$4,"",IF(OR(NOT($AJ287),$BE287),0,Constants!$B$36))</f>
        <v/>
      </c>
      <c r="BY287" s="74" t="str">
        <f aca="false">IF($BH287&lt;&gt;Constants!$B$4,"",IF(OR(NOT($AJ287),$BD287),0,Constants!$B$37))</f>
        <v/>
      </c>
      <c r="BZ287" s="74" t="str">
        <f aca="false">IF($BH287&lt;&gt;Constants!$B$4,"",SUM($BT287:$BY287))</f>
        <v/>
      </c>
      <c r="CA287" s="74" t="str">
        <f aca="false">IF(ISBLANK($C287),"",IF($BH287&lt;&gt;Constants!$B$4,$BH287,SUM($BK287:$BS287)-$BZ287))</f>
        <v/>
      </c>
      <c r="CB287" s="74" t="str">
        <f aca="false">IF(ISBLANK($C287),"",IF($BH287&lt;&gt;Constants!$B$4,$BH287,RANK($CA287,$CA$9:$CA$508)))</f>
        <v/>
      </c>
      <c r="CC287" s="74" t="str">
        <f aca="false">IF(ISBLANK($C287),"",IF($BH287&lt;&gt;Constants!$B$4,$BH287,COUNTIFS($BI$9:$BI$508,"&lt;"&amp;$BI287)+COUNTIFS($BI$9:$BI$508,$BI287,$CB$9:$CB$508,"&lt;"&amp;$CB287)+1))</f>
        <v/>
      </c>
      <c r="CD287" s="74" t="str">
        <f aca="false">IF(ISBLANK($C287),"",IF($BH287&lt;&gt;Constants!$B$4,$BH287,RANK($BZ287,$BZ$9:$BZ$508,1)))</f>
        <v/>
      </c>
      <c r="CE287" s="74" t="str">
        <f aca="false">IF($BH287&lt;&gt;Constants!$B$4,"",$AL287+$AM287+$AN287)</f>
        <v/>
      </c>
      <c r="CF287" s="74" t="str">
        <f aca="false">IF(ISBLANK($C287),"",IF($BH287&lt;&gt;Constants!$B$4,$BH287,RANK($CE287,$CE$9:$CE$508,1)))</f>
        <v/>
      </c>
      <c r="CG287" s="74" t="str">
        <f aca="false">IF(ISBLANK($C287),"",IF($BH287&lt;&gt;Constants!$B$4,$BH287,COUNTIFS($BI$9:$BI$508,"&lt;"&amp;$BI287)+COUNTIFS($BI$9:$BI$508,$BI287,$CB$9:$CB$508,"&lt;"&amp;$CB287)+COUNTIFS($BI$9:$BI$508,$BI287,$CB$9:$CB$508,$CB287,$CD$9:$CD$508,"&lt;"&amp;$CD287)+COUNTIFS($BI$9:$BI$508,$BI287,$CB$9:$CB$508,$CB287,$CD$9:$CD$508,$CD287,$CF$9:$CF$508,"&lt;"&amp;$CF287)+1))</f>
        <v/>
      </c>
      <c r="CH287" s="74" t="str">
        <f aca="false">IF(ISBLANK($C287),"",IF($BH287&lt;&gt;Constants!$B$4,$BH287,$CC287-$CG287))</f>
        <v/>
      </c>
      <c r="CI287" s="74" t="str">
        <f aca="false">IF(ISBLANK($C287),"",IF(NOT($AJ287),"",IF(ISBLANK($D$7),$CI$5,IF(NOT(ISNUMBER($D$7)),$CI$6,""))))</f>
        <v/>
      </c>
      <c r="CJ287" s="74" t="str">
        <f aca="false">IF(ISBLANK($C287),"",OR($AL287="",$AM287="",$AN287=""))</f>
        <v/>
      </c>
      <c r="CK287" s="74" t="str">
        <f aca="false">IF(ISBLANK($C287),"",AND($AJ287,$AX287=""))</f>
        <v/>
      </c>
      <c r="CL287" s="74" t="str">
        <f aca="false">IF(ISBLANK($C287),"",AND($AJ287,$AY287=""))</f>
        <v/>
      </c>
      <c r="CM287" s="74" t="str">
        <f aca="false">IF(ISBLANK($C287),"",AND($AJ287,$AZ287=""))</f>
        <v/>
      </c>
      <c r="CN287" s="74" t="str">
        <f aca="false">IF(ISBLANK($C287),"",AND($AJ287,$BC287=""))</f>
        <v/>
      </c>
      <c r="CO287" s="74" t="str">
        <f aca="false">IF(ISBLANK($C287),"",AND($AJ287,$BF287=""))</f>
        <v/>
      </c>
      <c r="CP287" s="75"/>
      <c r="CQ287" s="76"/>
      <c r="CR287" s="79" t="str">
        <f aca="false">IF(ISBLANK($C287),"",IF($BH287=Constants!$B$8,$CI287,""))</f>
        <v/>
      </c>
      <c r="CS287" s="76" t="str">
        <f aca="false">IF(ISBLANK($C287),"",IF($BH287&lt;&gt;Constants!$B$4,"",$BK287+$BL287))</f>
        <v/>
      </c>
      <c r="CT287" s="78" t="str">
        <f aca="false">IF(ISBLANK($C287),"",IF($BH287&lt;&gt;Constants!$B$4,"",$BM287+$BN287+$BO287))</f>
        <v/>
      </c>
      <c r="CU287" s="78" t="str">
        <f aca="false">IF(ISBLANK($C287),"",IF($BH287&lt;&gt;Constants!$B$4,"",$BP287))</f>
        <v/>
      </c>
      <c r="CV287" s="78" t="str">
        <f aca="false">IF(ISBLANK($C287),"",IF($BH287&lt;&gt;Constants!$B$4,"",$BQ287+$BR287))</f>
        <v/>
      </c>
      <c r="CW287" s="78" t="str">
        <f aca="false">IF(ISBLANK($C287),"",IF($BH287&lt;&gt;Constants!$B$4,"",$BS287))</f>
        <v/>
      </c>
      <c r="CX287" s="78" t="str">
        <f aca="false">IF(ISBLANK($C287),"",IF($BH287&lt;&gt;Constants!$B$4,"",-$BZ287))</f>
        <v/>
      </c>
      <c r="CY287" s="79" t="str">
        <f aca="false">IF(ISBLANK($C287),"",$CA287)</f>
        <v/>
      </c>
      <c r="CZ287" s="80" t="str">
        <f aca="false">IF(ISBLANK($C287),"",$BI287)</f>
        <v/>
      </c>
      <c r="DA287" s="78" t="str">
        <f aca="false">IF(ISBLANK($C287),"",$CH287)</f>
        <v/>
      </c>
      <c r="DB287" s="78" t="str">
        <f aca="false">IF(ISBLANK($C287),"",$CG287)</f>
        <v/>
      </c>
      <c r="DC287" s="81" t="str">
        <f aca="false">IF(ISBLANK($C287),"",IFERROR(_xlfn.SWITCH($DB287,Constants!$B$7,COUNTA($C$9:$C$508)+2,Constants!$B$6,COUNTA($C$9:$C$508)+1,Constants!$B$5,COUNTA($C$9:$C$508)),$DB287))</f>
        <v/>
      </c>
      <c r="DD287" s="7"/>
      <c r="DE287" s="82" t="n">
        <f aca="false">IF(OR(ISNUMBER($DB287),$DB287=Constants!$B$7,$DB287=Constants!$B$5,$DB287=Constants!$B$6),1,0)</f>
        <v>0</v>
      </c>
      <c r="DF287" s="82" t="n">
        <v>279</v>
      </c>
      <c r="DG287" s="82" t="str">
        <f aca="false">IF(ISBLANK($C287),"",IF(ISNUMBER($DC287),$DC287+ROW($B287)/1000,""))</f>
        <v/>
      </c>
      <c r="DH287" s="82" t="str">
        <f aca="false">IF(ISNUMBER($DG287),RANK($DG287,$DG$9:$DG$508,1),"")</f>
        <v/>
      </c>
      <c r="DI287" s="82" t="str">
        <f aca="false">IF(ISBLANK($C287),"",$B287)</f>
        <v/>
      </c>
      <c r="DJ287" s="82" t="str">
        <f aca="false">IF(ISBLANK($C287),"",$C287)</f>
        <v/>
      </c>
      <c r="DK287" s="82" t="str">
        <f aca="false">IF(ISBLANK($C287),"",$D287)</f>
        <v/>
      </c>
      <c r="DL287" s="83" t="str">
        <f aca="false">$CZ287</f>
        <v/>
      </c>
      <c r="DM287" s="84" t="str">
        <f aca="false">$CY287</f>
        <v/>
      </c>
      <c r="DN287" s="82" t="str">
        <f aca="false">IF(ISBLANK($C287),"",$DB287)</f>
        <v/>
      </c>
      <c r="DO287" s="85" t="str">
        <f aca="false">IF($DF287&gt;$DE$8,"",VLOOKUP($DF287,$DH$9:$DN$508,7,FALSE()))</f>
        <v/>
      </c>
      <c r="DP287" s="86" t="str">
        <f aca="false">IF($DF287&gt;$DE$8,"",VLOOKUP($DF287,$DH$9:$DN$508,2,FALSE()))</f>
        <v/>
      </c>
      <c r="DQ287" s="86" t="str">
        <f aca="false">IF($DF287&gt;$DE$8,"",VLOOKUP($DF287,$DH$9:$DN$508,3,FALSE()))</f>
        <v/>
      </c>
      <c r="DR287" s="86" t="str">
        <f aca="false">IF($DF287&gt;$DE$8,"",VLOOKUP($DF287,$DH$9:$DN$508,4,FALSE()))</f>
        <v/>
      </c>
      <c r="DS287" s="86" t="str">
        <f aca="false">IF($DF287&gt;$DE$8,"",VLOOKUP($DF287,$DH$9:$DN$508,5,FALSE()))</f>
        <v/>
      </c>
      <c r="DT287" s="87" t="str">
        <f aca="false">IF($DF287&gt;$DE$8,"",VLOOKUP($DF287,$DH$9:$DN$508,6,FALSE()))</f>
        <v/>
      </c>
      <c r="DU287" s="62"/>
    </row>
    <row r="288" customFormat="false" ht="15.75" hidden="false" customHeight="false" outlineLevel="0" collapsed="false">
      <c r="A288" s="7"/>
      <c r="B288" s="90"/>
      <c r="C288" s="91"/>
      <c r="D288" s="126"/>
      <c r="E288" s="130"/>
      <c r="F288" s="135"/>
      <c r="G288" s="130"/>
      <c r="H288" s="135"/>
      <c r="I288" s="131"/>
      <c r="J288" s="131"/>
      <c r="K288" s="131"/>
      <c r="L288" s="130"/>
      <c r="M288" s="130"/>
      <c r="N288" s="130"/>
      <c r="O288" s="135"/>
      <c r="P288" s="130"/>
      <c r="Q288" s="130"/>
      <c r="R288" s="130"/>
      <c r="S288" s="130"/>
      <c r="T288" s="135"/>
      <c r="U288" s="130"/>
      <c r="V288" s="96"/>
      <c r="W288" s="130"/>
      <c r="X288" s="130"/>
      <c r="Y288" s="96"/>
      <c r="Z288" s="96"/>
      <c r="AA288" s="130"/>
      <c r="AB288" s="130"/>
      <c r="AC288" s="97"/>
      <c r="AD288" s="130"/>
      <c r="AE288" s="99"/>
      <c r="AF288" s="100"/>
      <c r="AG288" s="100"/>
      <c r="AH288" s="100" t="str">
        <f aca="false">IF(ISBLANK($C288),"",IF($E288=Constants!$B$2,TRUE(),IF($E288=Constants!$B$3,FALSE(),TRUE())))</f>
        <v/>
      </c>
      <c r="AI288" s="100" t="str">
        <f aca="false">IF(ISBLANK($C288),"",IF($F288=Constants!$B$2,TRUE(),IF($F288=Constants!$B$3,FALSE(),FALSE())))</f>
        <v/>
      </c>
      <c r="AJ288" s="100" t="str">
        <f aca="false">IF(ISBLANK($C288),"",IF($G288=Constants!$B$2,TRUE(),IF($G288=Constants!$B$3,FALSE(),TRUE())))</f>
        <v/>
      </c>
      <c r="AK288" s="100" t="str">
        <f aca="false">IF(ISBLANK($C288),"",IF($H288=Constants!$B$2,TRUE(),IF($H288=Constants!$B$3,FALSE(),TRUE())))</f>
        <v/>
      </c>
      <c r="AL288" s="100" t="str">
        <f aca="false">IF(ISBLANK($C288),"",IF(ISNUMBER($I288),IF($I288&gt;=0,$I288,""),""))</f>
        <v/>
      </c>
      <c r="AM288" s="100" t="str">
        <f aca="false">IF(ISBLANK($C288),"",IF(ISNUMBER($J288),IF($J288&gt;=0,$J288,""),""))</f>
        <v/>
      </c>
      <c r="AN288" s="100" t="str">
        <f aca="false">IF(ISBLANK($C288),"",IF(ISNUMBER($K288),IF($K288&gt;=0,$K288,""),""))</f>
        <v/>
      </c>
      <c r="AO288" s="100" t="str">
        <f aca="false">IF(ISBLANK($C288),"",IF($L288=Constants!$B$2,TRUE(),IF($L288=Constants!$B$3,FALSE(),TRUE())))</f>
        <v/>
      </c>
      <c r="AP288" s="100" t="str">
        <f aca="false">IF(ISBLANK($C288),"",IF($M288=Constants!$B$2,TRUE(),IF($M288=Constants!$B$3,FALSE(),TRUE())))</f>
        <v/>
      </c>
      <c r="AQ288" s="100" t="str">
        <f aca="false">IF(ISBLANK($C288),"",IF($N288=Constants!$B$2,TRUE(),IF($N288=Constants!$B$3,FALSE(),FALSE())))</f>
        <v/>
      </c>
      <c r="AR288" s="100" t="str">
        <f aca="false">IF(ISBLANK($C288),"",IF($O288=Constants!$B$2,TRUE(),IF($O288=Constants!$B$3,FALSE(),TRUE())))</f>
        <v/>
      </c>
      <c r="AS288" s="100" t="str">
        <f aca="false">IF(ISBLANK($C288),"",IF($P288=Constants!$B$2,TRUE(),IF($P288=Constants!$B$3,FALSE(),FALSE())))</f>
        <v/>
      </c>
      <c r="AT288" s="100" t="str">
        <f aca="false">IF(ISBLANK($C288),"",IF($Q288=Constants!$B$2,TRUE(),IF($Q288=Constants!$B$3,FALSE(),FALSE())))</f>
        <v/>
      </c>
      <c r="AU288" s="100" t="str">
        <f aca="false">IF(ISBLANK($C288),"",IF($R288=Constants!$B$2,TRUE(),IF($R288=Constants!$B$3,FALSE(),FALSE())))</f>
        <v/>
      </c>
      <c r="AV288" s="100" t="str">
        <f aca="false">IF(ISBLANK($C288),"",IF($S288=Constants!$B$2,TRUE(),IF($S288=Constants!$B$3,FALSE(),FALSE())))</f>
        <v/>
      </c>
      <c r="AW288" s="100" t="str">
        <f aca="false">IF(ISBLANK($C288),"",IF($T288=Constants!$B$2,TRUE(),IF($T288=Constants!$B$3,FALSE(),FALSE())))</f>
        <v/>
      </c>
      <c r="AX288" s="100" t="str">
        <f aca="false">IF(ISBLANK($C288),"",IF(OR($U288&amp;""="1",$U288&amp;""="2",$U288&amp;""="3",$U288&amp;""="4"),VALUE($U288&amp;""),IF($U288=Constants!$B$12,Constants!$B$12,"")))</f>
        <v/>
      </c>
      <c r="AY288" s="100" t="str">
        <f aca="false">IF(ISBLANK($C288),"",IF(ISBLANK($V288),0,IF(ISNUMBER($V288),IF(AND($V288&gt;=0,$V288&lt;=Constants!$B$21,$V288=INT($V288)),$V288,""),"")))</f>
        <v/>
      </c>
      <c r="AZ288" s="100" t="str">
        <f aca="false">IF(ISBLANK($C288),"",IF(ISBLANK($W288),0,IF(ISNUMBER($W288),IF($W288&gt;=0,$W288,""),"")))</f>
        <v/>
      </c>
      <c r="BA288" s="100" t="str">
        <f aca="false">IF(ISBLANK($C288),"",IF($X288=Constants!$B$2,TRUE(),IF($X288=Constants!$B$3,FALSE(),TRUE())))</f>
        <v/>
      </c>
      <c r="BB288" s="100" t="str">
        <f aca="false">IF(ISBLANK($C288),"",IF($Y288=Constants!$B$2,TRUE(),IF($Y288=Constants!$B$3,FALSE(),FALSE())))</f>
        <v/>
      </c>
      <c r="BC288" s="100" t="str">
        <f aca="false">IF(ISBLANK($C288),"",IF(ISBLANK($Z288),0,IF(ISNUMBER($Z288),IF(AND($Z288&gt;=0,$Z288&lt;=Constants!$B$35,$Z288=INT($Z288)),$Z288,""),"")))</f>
        <v/>
      </c>
      <c r="BD288" s="100" t="str">
        <f aca="false">IF(ISBLANK($C288),"",IF($AA288=Constants!$B$2,TRUE(),IF($AA288=Constants!$B$3,FALSE(),TRUE())))</f>
        <v/>
      </c>
      <c r="BE288" s="100" t="str">
        <f aca="false">IF(ISBLANK($C288),"",IF($AB288=Constants!$B$2,TRUE(),IF($AB288=Constants!$B$3,FALSE(),TRUE())))</f>
        <v/>
      </c>
      <c r="BF288" s="100" t="str">
        <f aca="false">IF(ISBLANK($C288),"",IF(ISNUMBER($AC288),IF($AC288&gt;=0,$AC288,""),""))</f>
        <v/>
      </c>
      <c r="BG288" s="100" t="str">
        <f aca="false">IF(ISBLANK($C288),"",IF($AD288=Constants!$B$2,TRUE(),IF($AD288=Constants!$B$3,FALSE(),FALSE())))</f>
        <v/>
      </c>
      <c r="BH288" s="99" t="str">
        <f aca="false">IF(ISBLANK($C288),"",IF($BG288,Constants!$B$7,IF(COUNTA($E288:$AC288)=0,Constants!$B$6,IF(OR(COUNTA($G288:$AC288)=0,NOT($AK288),$AQ288),Constants!$B$5,IF(OR($CI288&lt;&gt;"",$CJ288,$CK288,$CL288,$CM288,$CN288,$CO288),Constants!$B$8,Constants!$B$4)))))</f>
        <v/>
      </c>
      <c r="BI288" s="100" t="str">
        <f aca="false">IF(ISBLANK($C288),"",IF($BH288&lt;&gt;Constants!$B$4,$BH288,IF(OR(NOT($AH288),NOT($AJ288),NOT($AR288)),Constants!$B$11,IF(OR(NOT($AP288),MAX($AL288,$AM288,$AN288)&gt;Constants!$B$30),Constants!$B$10,Constants!$B$9))))</f>
        <v/>
      </c>
      <c r="BJ288" s="100" t="str">
        <f aca="false">IF($BH288&lt;&gt;Constants!$B$4,"",IF(NOT($AJ288),0,MIN(Constants!$B$35,$BC288)))</f>
        <v/>
      </c>
      <c r="BK288" s="100" t="str">
        <f aca="false">IF($BH288&lt;&gt;Constants!$B$4,"",IF(NOT($AJ288),0,IF($AT288,Constants!$B$18,IF($AS288,Constants!$B$17,0))))</f>
        <v/>
      </c>
      <c r="BL288" s="100" t="str">
        <f aca="false">IF($BH288&lt;&gt;Constants!$B$4,"",IF(NOT($AJ288),0,Constants!$B$19*($AI288+$AU288+$AV288+$AW288)))</f>
        <v/>
      </c>
      <c r="BM288" s="100" t="str">
        <f aca="false">IF($BH288&lt;&gt;Constants!$B$4,"",IF(OR(NOT($AJ288),NOT(ISNUMBER($AX288))),0,CHOOSE($AX288,Constants!$B$13,Constants!$B$14,Constants!$B$15,Constants!$B$16)))</f>
        <v/>
      </c>
      <c r="BN288" s="100" t="str">
        <f aca="false">IF($BH288&lt;&gt;Constants!$B$4,"",IF(NOT($AJ288),0,Constants!$B$20*$AY288))</f>
        <v/>
      </c>
      <c r="BO288" s="100" t="str">
        <f aca="false">IF($BH288&lt;&gt;Constants!$B$4,"",IF(AND($AJ288,$BA288,$BB288),Constants!$B$22,0))</f>
        <v/>
      </c>
      <c r="BP288" s="100" t="str">
        <f aca="false">IF($BH288&lt;&gt;Constants!$B$4,"",IF(OR(NOT($AJ288),NOT($BA288)),0,IF($BF288&gt;=2*$AF$9,0,Constants!$B$23*INT(ROUND(MIN($BF288,$AF$9),6)))))</f>
        <v/>
      </c>
      <c r="BQ288" s="100" t="str">
        <f aca="false">IF($BH288&lt;&gt;Constants!$B$4,"",IF(NOT($AJ288),0,Constants!$B$24*INT(ROUND(MIN($AZ288,$AF$9),6))))</f>
        <v/>
      </c>
      <c r="BR288" s="100" t="str">
        <f aca="false">IF($BH288&lt;&gt;Constants!$B$4,"",IF(AND($AJ288,$BJ288=0),Constants!$B$25,0))</f>
        <v/>
      </c>
      <c r="BS288" s="100" t="str">
        <f aca="false">IF($BH288&lt;&gt;Constants!$B$4,"",MIN(Constants!$B$29,MAX(0,Constants!$B$27*Constants!$B$28*INT(ROUND((Constants!$B$26-$AL288)/Constants!$B$28,6))))+MIN(Constants!$B$29,MAX(0,Constants!$B$27*Constants!$B$28*INT(ROUND((Constants!$B$26-$AM288)/Constants!$B$28,6))))+MIN(Constants!$B$29,MAX(0,Constants!$B$27*Constants!$B$28*INT(ROUND((Constants!$B$26-$AN288)/Constants!$B$28,6)))))</f>
        <v/>
      </c>
      <c r="BT288" s="100" t="str">
        <f aca="false">IF($BH288&lt;&gt;Constants!$B$4,"",IF(NOT($AJ288),0,Constants!$B$31*INT(ROUND(MAX(0,MIN($BF288,2*$AF$9)-$AF$9),6))))</f>
        <v/>
      </c>
      <c r="BU288" s="100" t="str">
        <f aca="false">IF($BH288&lt;&gt;Constants!$B$4,"",Constants!$B$32*(($AL288&gt;Constants!$B$26)+($AM288&gt;Constants!$B$26)+($AN288&gt;Constants!$B$26)))</f>
        <v/>
      </c>
      <c r="BV288" s="100" t="str">
        <f aca="false">IF($BH288&lt;&gt;Constants!$B$4,"",IF(OR(NOT($AJ288),$AO288),0,Constants!$B$33))</f>
        <v/>
      </c>
      <c r="BW288" s="100" t="str">
        <f aca="false">IF($BH288&lt;&gt;Constants!$B$4,"",Constants!$B$34*$BJ288)</f>
        <v/>
      </c>
      <c r="BX288" s="100" t="str">
        <f aca="false">IF($BH288&lt;&gt;Constants!$B$4,"",IF(OR(NOT($AJ288),$BE288),0,Constants!$B$36))</f>
        <v/>
      </c>
      <c r="BY288" s="100" t="str">
        <f aca="false">IF($BH288&lt;&gt;Constants!$B$4,"",IF(OR(NOT($AJ288),$BD288),0,Constants!$B$37))</f>
        <v/>
      </c>
      <c r="BZ288" s="100" t="str">
        <f aca="false">IF($BH288&lt;&gt;Constants!$B$4,"",SUM($BT288:$BY288))</f>
        <v/>
      </c>
      <c r="CA288" s="100" t="str">
        <f aca="false">IF(ISBLANK($C288),"",IF($BH288&lt;&gt;Constants!$B$4,$BH288,SUM($BK288:$BS288)-$BZ288))</f>
        <v/>
      </c>
      <c r="CB288" s="100" t="str">
        <f aca="false">IF(ISBLANK($C288),"",IF($BH288&lt;&gt;Constants!$B$4,$BH288,RANK($CA288,$CA$9:$CA$508)))</f>
        <v/>
      </c>
      <c r="CC288" s="100" t="str">
        <f aca="false">IF(ISBLANK($C288),"",IF($BH288&lt;&gt;Constants!$B$4,$BH288,COUNTIFS($BI$9:$BI$508,"&lt;"&amp;$BI288)+COUNTIFS($BI$9:$BI$508,$BI288,$CB$9:$CB$508,"&lt;"&amp;$CB288)+1))</f>
        <v/>
      </c>
      <c r="CD288" s="100" t="str">
        <f aca="false">IF(ISBLANK($C288),"",IF($BH288&lt;&gt;Constants!$B$4,$BH288,RANK($BZ288,$BZ$9:$BZ$508,1)))</f>
        <v/>
      </c>
      <c r="CE288" s="100" t="str">
        <f aca="false">IF($BH288&lt;&gt;Constants!$B$4,"",$AL288+$AM288+$AN288)</f>
        <v/>
      </c>
      <c r="CF288" s="100" t="str">
        <f aca="false">IF(ISBLANK($C288),"",IF($BH288&lt;&gt;Constants!$B$4,$BH288,RANK($CE288,$CE$9:$CE$508,1)))</f>
        <v/>
      </c>
      <c r="CG288" s="100" t="str">
        <f aca="false">IF(ISBLANK($C288),"",IF($BH288&lt;&gt;Constants!$B$4,$BH288,COUNTIFS($BI$9:$BI$508,"&lt;"&amp;$BI288)+COUNTIFS($BI$9:$BI$508,$BI288,$CB$9:$CB$508,"&lt;"&amp;$CB288)+COUNTIFS($BI$9:$BI$508,$BI288,$CB$9:$CB$508,$CB288,$CD$9:$CD$508,"&lt;"&amp;$CD288)+COUNTIFS($BI$9:$BI$508,$BI288,$CB$9:$CB$508,$CB288,$CD$9:$CD$508,$CD288,$CF$9:$CF$508,"&lt;"&amp;$CF288)+1))</f>
        <v/>
      </c>
      <c r="CH288" s="100" t="str">
        <f aca="false">IF(ISBLANK($C288),"",IF($BH288&lt;&gt;Constants!$B$4,$BH288,$CC288-$CG288))</f>
        <v/>
      </c>
      <c r="CI288" s="100" t="str">
        <f aca="false">IF(ISBLANK($C288),"",IF(NOT($AJ288),"",IF(ISBLANK($D$7),$CI$5,IF(NOT(ISNUMBER($D$7)),$CI$6,""))))</f>
        <v/>
      </c>
      <c r="CJ288" s="100" t="str">
        <f aca="false">IF(ISBLANK($C288),"",OR($AL288="",$AM288="",$AN288=""))</f>
        <v/>
      </c>
      <c r="CK288" s="100" t="str">
        <f aca="false">IF(ISBLANK($C288),"",AND($AJ288,$AX288=""))</f>
        <v/>
      </c>
      <c r="CL288" s="100" t="str">
        <f aca="false">IF(ISBLANK($C288),"",AND($AJ288,$AY288=""))</f>
        <v/>
      </c>
      <c r="CM288" s="100" t="str">
        <f aca="false">IF(ISBLANK($C288),"",AND($AJ288,$AZ288=""))</f>
        <v/>
      </c>
      <c r="CN288" s="100" t="str">
        <f aca="false">IF(ISBLANK($C288),"",AND($AJ288,$BC288=""))</f>
        <v/>
      </c>
      <c r="CO288" s="100" t="str">
        <f aca="false">IF(ISBLANK($C288),"",AND($AJ288,$BF288=""))</f>
        <v/>
      </c>
      <c r="CP288" s="101"/>
      <c r="CQ288" s="102"/>
      <c r="CR288" s="103" t="str">
        <f aca="false">IF(ISBLANK($C288),"",IF($BH288=Constants!$B$8,$CI288,""))</f>
        <v/>
      </c>
      <c r="CS288" s="102" t="str">
        <f aca="false">IF(ISBLANK($C288),"",IF($BH288&lt;&gt;Constants!$B$4,"",$BK288+$BL288))</f>
        <v/>
      </c>
      <c r="CT288" s="104" t="str">
        <f aca="false">IF(ISBLANK($C288),"",IF($BH288&lt;&gt;Constants!$B$4,"",$BM288+$BN288+$BO288))</f>
        <v/>
      </c>
      <c r="CU288" s="104" t="str">
        <f aca="false">IF(ISBLANK($C288),"",IF($BH288&lt;&gt;Constants!$B$4,"",$BP288))</f>
        <v/>
      </c>
      <c r="CV288" s="104" t="str">
        <f aca="false">IF(ISBLANK($C288),"",IF($BH288&lt;&gt;Constants!$B$4,"",$BQ288+$BR288))</f>
        <v/>
      </c>
      <c r="CW288" s="104" t="str">
        <f aca="false">IF(ISBLANK($C288),"",IF($BH288&lt;&gt;Constants!$B$4,"",$BS288))</f>
        <v/>
      </c>
      <c r="CX288" s="104" t="str">
        <f aca="false">IF(ISBLANK($C288),"",IF($BH288&lt;&gt;Constants!$B$4,"",-$BZ288))</f>
        <v/>
      </c>
      <c r="CY288" s="103" t="str">
        <f aca="false">IF(ISBLANK($C288),"",$CA288)</f>
        <v/>
      </c>
      <c r="CZ288" s="105" t="str">
        <f aca="false">IF(ISBLANK($C288),"",$BI288)</f>
        <v/>
      </c>
      <c r="DA288" s="104" t="str">
        <f aca="false">IF(ISBLANK($C288),"",$CH288)</f>
        <v/>
      </c>
      <c r="DB288" s="104" t="str">
        <f aca="false">IF(ISBLANK($C288),"",$CG288)</f>
        <v/>
      </c>
      <c r="DC288" s="106" t="str">
        <f aca="false">IF(ISBLANK($C288),"",IFERROR(_xlfn.SWITCH($DB288,Constants!$B$7,COUNTA($C$9:$C$508)+2,Constants!$B$6,COUNTA($C$9:$C$508)+1,Constants!$B$5,COUNTA($C$9:$C$508)),$DB288))</f>
        <v/>
      </c>
      <c r="DD288" s="7"/>
      <c r="DE288" s="107" t="n">
        <f aca="false">IF(OR(ISNUMBER($DB288),$DB288=Constants!$B$7,$DB288=Constants!$B$5,$DB288=Constants!$B$6),1,0)</f>
        <v>0</v>
      </c>
      <c r="DF288" s="107" t="n">
        <v>280</v>
      </c>
      <c r="DG288" s="107" t="str">
        <f aca="false">IF(ISBLANK($C288),"",IF(ISNUMBER($DC288),$DC288+ROW($B288)/1000,""))</f>
        <v/>
      </c>
      <c r="DH288" s="107" t="str">
        <f aca="false">IF(ISNUMBER($DG288),RANK($DG288,$DG$9:$DG$508,1),"")</f>
        <v/>
      </c>
      <c r="DI288" s="107" t="str">
        <f aca="false">IF(ISBLANK($C288),"",$B288)</f>
        <v/>
      </c>
      <c r="DJ288" s="107" t="str">
        <f aca="false">IF(ISBLANK($C288),"",$C288)</f>
        <v/>
      </c>
      <c r="DK288" s="107" t="str">
        <f aca="false">IF(ISBLANK($C288),"",$D288)</f>
        <v/>
      </c>
      <c r="DL288" s="108" t="str">
        <f aca="false">$CZ288</f>
        <v/>
      </c>
      <c r="DM288" s="109" t="str">
        <f aca="false">$CY288</f>
        <v/>
      </c>
      <c r="DN288" s="107" t="str">
        <f aca="false">IF(ISBLANK($C288),"",$DB288)</f>
        <v/>
      </c>
      <c r="DO288" s="110" t="str">
        <f aca="false">IF($DF288&gt;$DE$8,"",VLOOKUP($DF288,$DH$9:$DN$508,7,FALSE()))</f>
        <v/>
      </c>
      <c r="DP288" s="111" t="str">
        <f aca="false">IF($DF288&gt;$DE$8,"",VLOOKUP($DF288,$DH$9:$DN$508,2,FALSE()))</f>
        <v/>
      </c>
      <c r="DQ288" s="111" t="str">
        <f aca="false">IF($DF288&gt;$DE$8,"",VLOOKUP($DF288,$DH$9:$DN$508,3,FALSE()))</f>
        <v/>
      </c>
      <c r="DR288" s="111" t="str">
        <f aca="false">IF($DF288&gt;$DE$8,"",VLOOKUP($DF288,$DH$9:$DN$508,4,FALSE()))</f>
        <v/>
      </c>
      <c r="DS288" s="111" t="str">
        <f aca="false">IF($DF288&gt;$DE$8,"",VLOOKUP($DF288,$DH$9:$DN$508,5,FALSE()))</f>
        <v/>
      </c>
      <c r="DT288" s="112" t="str">
        <f aca="false">IF($DF288&gt;$DE$8,"",VLOOKUP($DF288,$DH$9:$DN$508,6,FALSE()))</f>
        <v/>
      </c>
      <c r="DU288" s="62"/>
    </row>
    <row r="289" customFormat="false" ht="15.75" hidden="false" customHeight="false" outlineLevel="0" collapsed="false">
      <c r="A289" s="7"/>
      <c r="B289" s="90"/>
      <c r="C289" s="91"/>
      <c r="D289" s="126"/>
      <c r="E289" s="130"/>
      <c r="F289" s="135"/>
      <c r="G289" s="130"/>
      <c r="H289" s="135"/>
      <c r="I289" s="131"/>
      <c r="J289" s="131"/>
      <c r="K289" s="131"/>
      <c r="L289" s="130"/>
      <c r="M289" s="130"/>
      <c r="N289" s="130"/>
      <c r="O289" s="135"/>
      <c r="P289" s="130"/>
      <c r="Q289" s="130"/>
      <c r="R289" s="130"/>
      <c r="S289" s="130"/>
      <c r="T289" s="135"/>
      <c r="U289" s="130"/>
      <c r="V289" s="96"/>
      <c r="W289" s="130"/>
      <c r="X289" s="130"/>
      <c r="Y289" s="96"/>
      <c r="Z289" s="96"/>
      <c r="AA289" s="130"/>
      <c r="AB289" s="130"/>
      <c r="AC289" s="97"/>
      <c r="AD289" s="130"/>
      <c r="AE289" s="99"/>
      <c r="AF289" s="100"/>
      <c r="AG289" s="100"/>
      <c r="AH289" s="100" t="str">
        <f aca="false">IF(ISBLANK($C289),"",IF($E289=Constants!$B$2,TRUE(),IF($E289=Constants!$B$3,FALSE(),TRUE())))</f>
        <v/>
      </c>
      <c r="AI289" s="100" t="str">
        <f aca="false">IF(ISBLANK($C289),"",IF($F289=Constants!$B$2,TRUE(),IF($F289=Constants!$B$3,FALSE(),FALSE())))</f>
        <v/>
      </c>
      <c r="AJ289" s="100" t="str">
        <f aca="false">IF(ISBLANK($C289),"",IF($G289=Constants!$B$2,TRUE(),IF($G289=Constants!$B$3,FALSE(),TRUE())))</f>
        <v/>
      </c>
      <c r="AK289" s="100" t="str">
        <f aca="false">IF(ISBLANK($C289),"",IF($H289=Constants!$B$2,TRUE(),IF($H289=Constants!$B$3,FALSE(),TRUE())))</f>
        <v/>
      </c>
      <c r="AL289" s="100" t="str">
        <f aca="false">IF(ISBLANK($C289),"",IF(ISNUMBER($I289),IF($I289&gt;=0,$I289,""),""))</f>
        <v/>
      </c>
      <c r="AM289" s="100" t="str">
        <f aca="false">IF(ISBLANK($C289),"",IF(ISNUMBER($J289),IF($J289&gt;=0,$J289,""),""))</f>
        <v/>
      </c>
      <c r="AN289" s="100" t="str">
        <f aca="false">IF(ISBLANK($C289),"",IF(ISNUMBER($K289),IF($K289&gt;=0,$K289,""),""))</f>
        <v/>
      </c>
      <c r="AO289" s="100" t="str">
        <f aca="false">IF(ISBLANK($C289),"",IF($L289=Constants!$B$2,TRUE(),IF($L289=Constants!$B$3,FALSE(),TRUE())))</f>
        <v/>
      </c>
      <c r="AP289" s="100" t="str">
        <f aca="false">IF(ISBLANK($C289),"",IF($M289=Constants!$B$2,TRUE(),IF($M289=Constants!$B$3,FALSE(),TRUE())))</f>
        <v/>
      </c>
      <c r="AQ289" s="100" t="str">
        <f aca="false">IF(ISBLANK($C289),"",IF($N289=Constants!$B$2,TRUE(),IF($N289=Constants!$B$3,FALSE(),FALSE())))</f>
        <v/>
      </c>
      <c r="AR289" s="100" t="str">
        <f aca="false">IF(ISBLANK($C289),"",IF($O289=Constants!$B$2,TRUE(),IF($O289=Constants!$B$3,FALSE(),TRUE())))</f>
        <v/>
      </c>
      <c r="AS289" s="100" t="str">
        <f aca="false">IF(ISBLANK($C289),"",IF($P289=Constants!$B$2,TRUE(),IF($P289=Constants!$B$3,FALSE(),FALSE())))</f>
        <v/>
      </c>
      <c r="AT289" s="100" t="str">
        <f aca="false">IF(ISBLANK($C289),"",IF($Q289=Constants!$B$2,TRUE(),IF($Q289=Constants!$B$3,FALSE(),FALSE())))</f>
        <v/>
      </c>
      <c r="AU289" s="100" t="str">
        <f aca="false">IF(ISBLANK($C289),"",IF($R289=Constants!$B$2,TRUE(),IF($R289=Constants!$B$3,FALSE(),FALSE())))</f>
        <v/>
      </c>
      <c r="AV289" s="100" t="str">
        <f aca="false">IF(ISBLANK($C289),"",IF($S289=Constants!$B$2,TRUE(),IF($S289=Constants!$B$3,FALSE(),FALSE())))</f>
        <v/>
      </c>
      <c r="AW289" s="100" t="str">
        <f aca="false">IF(ISBLANK($C289),"",IF($T289=Constants!$B$2,TRUE(),IF($T289=Constants!$B$3,FALSE(),FALSE())))</f>
        <v/>
      </c>
      <c r="AX289" s="100" t="str">
        <f aca="false">IF(ISBLANK($C289),"",IF(OR($U289&amp;""="1",$U289&amp;""="2",$U289&amp;""="3",$U289&amp;""="4"),VALUE($U289&amp;""),IF($U289=Constants!$B$12,Constants!$B$12,"")))</f>
        <v/>
      </c>
      <c r="AY289" s="100" t="str">
        <f aca="false">IF(ISBLANK($C289),"",IF(ISBLANK($V289),0,IF(ISNUMBER($V289),IF(AND($V289&gt;=0,$V289&lt;=Constants!$B$21,$V289=INT($V289)),$V289,""),"")))</f>
        <v/>
      </c>
      <c r="AZ289" s="100" t="str">
        <f aca="false">IF(ISBLANK($C289),"",IF(ISBLANK($W289),0,IF(ISNUMBER($W289),IF($W289&gt;=0,$W289,""),"")))</f>
        <v/>
      </c>
      <c r="BA289" s="100" t="str">
        <f aca="false">IF(ISBLANK($C289),"",IF($X289=Constants!$B$2,TRUE(),IF($X289=Constants!$B$3,FALSE(),TRUE())))</f>
        <v/>
      </c>
      <c r="BB289" s="100" t="str">
        <f aca="false">IF(ISBLANK($C289),"",IF($Y289=Constants!$B$2,TRUE(),IF($Y289=Constants!$B$3,FALSE(),FALSE())))</f>
        <v/>
      </c>
      <c r="BC289" s="100" t="str">
        <f aca="false">IF(ISBLANK($C289),"",IF(ISBLANK($Z289),0,IF(ISNUMBER($Z289),IF(AND($Z289&gt;=0,$Z289&lt;=Constants!$B$35,$Z289=INT($Z289)),$Z289,""),"")))</f>
        <v/>
      </c>
      <c r="BD289" s="100" t="str">
        <f aca="false">IF(ISBLANK($C289),"",IF($AA289=Constants!$B$2,TRUE(),IF($AA289=Constants!$B$3,FALSE(),TRUE())))</f>
        <v/>
      </c>
      <c r="BE289" s="100" t="str">
        <f aca="false">IF(ISBLANK($C289),"",IF($AB289=Constants!$B$2,TRUE(),IF($AB289=Constants!$B$3,FALSE(),TRUE())))</f>
        <v/>
      </c>
      <c r="BF289" s="100" t="str">
        <f aca="false">IF(ISBLANK($C289),"",IF(ISNUMBER($AC289),IF($AC289&gt;=0,$AC289,""),""))</f>
        <v/>
      </c>
      <c r="BG289" s="100" t="str">
        <f aca="false">IF(ISBLANK($C289),"",IF($AD289=Constants!$B$2,TRUE(),IF($AD289=Constants!$B$3,FALSE(),FALSE())))</f>
        <v/>
      </c>
      <c r="BH289" s="99" t="str">
        <f aca="false">IF(ISBLANK($C289),"",IF($BG289,Constants!$B$7,IF(COUNTA($E289:$AC289)=0,Constants!$B$6,IF(OR(COUNTA($G289:$AC289)=0,NOT($AK289),$AQ289),Constants!$B$5,IF(OR($CI289&lt;&gt;"",$CJ289,$CK289,$CL289,$CM289,$CN289,$CO289),Constants!$B$8,Constants!$B$4)))))</f>
        <v/>
      </c>
      <c r="BI289" s="100" t="str">
        <f aca="false">IF(ISBLANK($C289),"",IF($BH289&lt;&gt;Constants!$B$4,$BH289,IF(OR(NOT($AH289),NOT($AJ289),NOT($AR289)),Constants!$B$11,IF(OR(NOT($AP289),MAX($AL289,$AM289,$AN289)&gt;Constants!$B$30),Constants!$B$10,Constants!$B$9))))</f>
        <v/>
      </c>
      <c r="BJ289" s="100" t="str">
        <f aca="false">IF($BH289&lt;&gt;Constants!$B$4,"",IF(NOT($AJ289),0,MIN(Constants!$B$35,$BC289)))</f>
        <v/>
      </c>
      <c r="BK289" s="100" t="str">
        <f aca="false">IF($BH289&lt;&gt;Constants!$B$4,"",IF(NOT($AJ289),0,IF($AT289,Constants!$B$18,IF($AS289,Constants!$B$17,0))))</f>
        <v/>
      </c>
      <c r="BL289" s="100" t="str">
        <f aca="false">IF($BH289&lt;&gt;Constants!$B$4,"",IF(NOT($AJ289),0,Constants!$B$19*($AI289+$AU289+$AV289+$AW289)))</f>
        <v/>
      </c>
      <c r="BM289" s="100" t="str">
        <f aca="false">IF($BH289&lt;&gt;Constants!$B$4,"",IF(OR(NOT($AJ289),NOT(ISNUMBER($AX289))),0,CHOOSE($AX289,Constants!$B$13,Constants!$B$14,Constants!$B$15,Constants!$B$16)))</f>
        <v/>
      </c>
      <c r="BN289" s="100" t="str">
        <f aca="false">IF($BH289&lt;&gt;Constants!$B$4,"",IF(NOT($AJ289),0,Constants!$B$20*$AY289))</f>
        <v/>
      </c>
      <c r="BO289" s="100" t="str">
        <f aca="false">IF($BH289&lt;&gt;Constants!$B$4,"",IF(AND($AJ289,$BA289,$BB289),Constants!$B$22,0))</f>
        <v/>
      </c>
      <c r="BP289" s="100" t="str">
        <f aca="false">IF($BH289&lt;&gt;Constants!$B$4,"",IF(OR(NOT($AJ289),NOT($BA289)),0,IF($BF289&gt;=2*$AF$9,0,Constants!$B$23*INT(ROUND(MIN($BF289,$AF$9),6)))))</f>
        <v/>
      </c>
      <c r="BQ289" s="100" t="str">
        <f aca="false">IF($BH289&lt;&gt;Constants!$B$4,"",IF(NOT($AJ289),0,Constants!$B$24*INT(ROUND(MIN($AZ289,$AF$9),6))))</f>
        <v/>
      </c>
      <c r="BR289" s="100" t="str">
        <f aca="false">IF($BH289&lt;&gt;Constants!$B$4,"",IF(AND($AJ289,$BJ289=0),Constants!$B$25,0))</f>
        <v/>
      </c>
      <c r="BS289" s="100" t="str">
        <f aca="false">IF($BH289&lt;&gt;Constants!$B$4,"",MIN(Constants!$B$29,MAX(0,Constants!$B$27*Constants!$B$28*INT(ROUND((Constants!$B$26-$AL289)/Constants!$B$28,6))))+MIN(Constants!$B$29,MAX(0,Constants!$B$27*Constants!$B$28*INT(ROUND((Constants!$B$26-$AM289)/Constants!$B$28,6))))+MIN(Constants!$B$29,MAX(0,Constants!$B$27*Constants!$B$28*INT(ROUND((Constants!$B$26-$AN289)/Constants!$B$28,6)))))</f>
        <v/>
      </c>
      <c r="BT289" s="100" t="str">
        <f aca="false">IF($BH289&lt;&gt;Constants!$B$4,"",IF(NOT($AJ289),0,Constants!$B$31*INT(ROUND(MAX(0,MIN($BF289,2*$AF$9)-$AF$9),6))))</f>
        <v/>
      </c>
      <c r="BU289" s="100" t="str">
        <f aca="false">IF($BH289&lt;&gt;Constants!$B$4,"",Constants!$B$32*(($AL289&gt;Constants!$B$26)+($AM289&gt;Constants!$B$26)+($AN289&gt;Constants!$B$26)))</f>
        <v/>
      </c>
      <c r="BV289" s="100" t="str">
        <f aca="false">IF($BH289&lt;&gt;Constants!$B$4,"",IF(OR(NOT($AJ289),$AO289),0,Constants!$B$33))</f>
        <v/>
      </c>
      <c r="BW289" s="100" t="str">
        <f aca="false">IF($BH289&lt;&gt;Constants!$B$4,"",Constants!$B$34*$BJ289)</f>
        <v/>
      </c>
      <c r="BX289" s="100" t="str">
        <f aca="false">IF($BH289&lt;&gt;Constants!$B$4,"",IF(OR(NOT($AJ289),$BE289),0,Constants!$B$36))</f>
        <v/>
      </c>
      <c r="BY289" s="100" t="str">
        <f aca="false">IF($BH289&lt;&gt;Constants!$B$4,"",IF(OR(NOT($AJ289),$BD289),0,Constants!$B$37))</f>
        <v/>
      </c>
      <c r="BZ289" s="100" t="str">
        <f aca="false">IF($BH289&lt;&gt;Constants!$B$4,"",SUM($BT289:$BY289))</f>
        <v/>
      </c>
      <c r="CA289" s="100" t="str">
        <f aca="false">IF(ISBLANK($C289),"",IF($BH289&lt;&gt;Constants!$B$4,$BH289,SUM($BK289:$BS289)-$BZ289))</f>
        <v/>
      </c>
      <c r="CB289" s="100" t="str">
        <f aca="false">IF(ISBLANK($C289),"",IF($BH289&lt;&gt;Constants!$B$4,$BH289,RANK($CA289,$CA$9:$CA$508)))</f>
        <v/>
      </c>
      <c r="CC289" s="100" t="str">
        <f aca="false">IF(ISBLANK($C289),"",IF($BH289&lt;&gt;Constants!$B$4,$BH289,COUNTIFS($BI$9:$BI$508,"&lt;"&amp;$BI289)+COUNTIFS($BI$9:$BI$508,$BI289,$CB$9:$CB$508,"&lt;"&amp;$CB289)+1))</f>
        <v/>
      </c>
      <c r="CD289" s="100" t="str">
        <f aca="false">IF(ISBLANK($C289),"",IF($BH289&lt;&gt;Constants!$B$4,$BH289,RANK($BZ289,$BZ$9:$BZ$508,1)))</f>
        <v/>
      </c>
      <c r="CE289" s="100" t="str">
        <f aca="false">IF($BH289&lt;&gt;Constants!$B$4,"",$AL289+$AM289+$AN289)</f>
        <v/>
      </c>
      <c r="CF289" s="100" t="str">
        <f aca="false">IF(ISBLANK($C289),"",IF($BH289&lt;&gt;Constants!$B$4,$BH289,RANK($CE289,$CE$9:$CE$508,1)))</f>
        <v/>
      </c>
      <c r="CG289" s="100" t="str">
        <f aca="false">IF(ISBLANK($C289),"",IF($BH289&lt;&gt;Constants!$B$4,$BH289,COUNTIFS($BI$9:$BI$508,"&lt;"&amp;$BI289)+COUNTIFS($BI$9:$BI$508,$BI289,$CB$9:$CB$508,"&lt;"&amp;$CB289)+COUNTIFS($BI$9:$BI$508,$BI289,$CB$9:$CB$508,$CB289,$CD$9:$CD$508,"&lt;"&amp;$CD289)+COUNTIFS($BI$9:$BI$508,$BI289,$CB$9:$CB$508,$CB289,$CD$9:$CD$508,$CD289,$CF$9:$CF$508,"&lt;"&amp;$CF289)+1))</f>
        <v/>
      </c>
      <c r="CH289" s="100" t="str">
        <f aca="false">IF(ISBLANK($C289),"",IF($BH289&lt;&gt;Constants!$B$4,$BH289,$CC289-$CG289))</f>
        <v/>
      </c>
      <c r="CI289" s="100" t="str">
        <f aca="false">IF(ISBLANK($C289),"",IF(NOT($AJ289),"",IF(ISBLANK($D$7),$CI$5,IF(NOT(ISNUMBER($D$7)),$CI$6,""))))</f>
        <v/>
      </c>
      <c r="CJ289" s="100" t="str">
        <f aca="false">IF(ISBLANK($C289),"",OR($AL289="",$AM289="",$AN289=""))</f>
        <v/>
      </c>
      <c r="CK289" s="100" t="str">
        <f aca="false">IF(ISBLANK($C289),"",AND($AJ289,$AX289=""))</f>
        <v/>
      </c>
      <c r="CL289" s="100" t="str">
        <f aca="false">IF(ISBLANK($C289),"",AND($AJ289,$AY289=""))</f>
        <v/>
      </c>
      <c r="CM289" s="100" t="str">
        <f aca="false">IF(ISBLANK($C289),"",AND($AJ289,$AZ289=""))</f>
        <v/>
      </c>
      <c r="CN289" s="100" t="str">
        <f aca="false">IF(ISBLANK($C289),"",AND($AJ289,$BC289=""))</f>
        <v/>
      </c>
      <c r="CO289" s="100" t="str">
        <f aca="false">IF(ISBLANK($C289),"",AND($AJ289,$BF289=""))</f>
        <v/>
      </c>
      <c r="CP289" s="101"/>
      <c r="CQ289" s="102"/>
      <c r="CR289" s="103" t="str">
        <f aca="false">IF(ISBLANK($C289),"",IF($BH289=Constants!$B$8,$CI289,""))</f>
        <v/>
      </c>
      <c r="CS289" s="102" t="str">
        <f aca="false">IF(ISBLANK($C289),"",IF($BH289&lt;&gt;Constants!$B$4,"",$BK289+$BL289))</f>
        <v/>
      </c>
      <c r="CT289" s="104" t="str">
        <f aca="false">IF(ISBLANK($C289),"",IF($BH289&lt;&gt;Constants!$B$4,"",$BM289+$BN289+$BO289))</f>
        <v/>
      </c>
      <c r="CU289" s="104" t="str">
        <f aca="false">IF(ISBLANK($C289),"",IF($BH289&lt;&gt;Constants!$B$4,"",$BP289))</f>
        <v/>
      </c>
      <c r="CV289" s="104" t="str">
        <f aca="false">IF(ISBLANK($C289),"",IF($BH289&lt;&gt;Constants!$B$4,"",$BQ289+$BR289))</f>
        <v/>
      </c>
      <c r="CW289" s="104" t="str">
        <f aca="false">IF(ISBLANK($C289),"",IF($BH289&lt;&gt;Constants!$B$4,"",$BS289))</f>
        <v/>
      </c>
      <c r="CX289" s="104" t="str">
        <f aca="false">IF(ISBLANK($C289),"",IF($BH289&lt;&gt;Constants!$B$4,"",-$BZ289))</f>
        <v/>
      </c>
      <c r="CY289" s="103" t="str">
        <f aca="false">IF(ISBLANK($C289),"",$CA289)</f>
        <v/>
      </c>
      <c r="CZ289" s="105" t="str">
        <f aca="false">IF(ISBLANK($C289),"",$BI289)</f>
        <v/>
      </c>
      <c r="DA289" s="104" t="str">
        <f aca="false">IF(ISBLANK($C289),"",$CH289)</f>
        <v/>
      </c>
      <c r="DB289" s="104" t="str">
        <f aca="false">IF(ISBLANK($C289),"",$CG289)</f>
        <v/>
      </c>
      <c r="DC289" s="106" t="str">
        <f aca="false">IF(ISBLANK($C289),"",IFERROR(_xlfn.SWITCH($DB289,Constants!$B$7,COUNTA($C$9:$C$508)+2,Constants!$B$6,COUNTA($C$9:$C$508)+1,Constants!$B$5,COUNTA($C$9:$C$508)),$DB289))</f>
        <v/>
      </c>
      <c r="DD289" s="7"/>
      <c r="DE289" s="107" t="n">
        <f aca="false">IF(OR(ISNUMBER($DB289),$DB289=Constants!$B$7,$DB289=Constants!$B$5,$DB289=Constants!$B$6),1,0)</f>
        <v>0</v>
      </c>
      <c r="DF289" s="107" t="n">
        <v>281</v>
      </c>
      <c r="DG289" s="107" t="str">
        <f aca="false">IF(ISBLANK($C289),"",IF(ISNUMBER($DC289),$DC289+ROW($B289)/1000,""))</f>
        <v/>
      </c>
      <c r="DH289" s="107" t="str">
        <f aca="false">IF(ISNUMBER($DG289),RANK($DG289,$DG$9:$DG$508,1),"")</f>
        <v/>
      </c>
      <c r="DI289" s="107" t="str">
        <f aca="false">IF(ISBLANK($C289),"",$B289)</f>
        <v/>
      </c>
      <c r="DJ289" s="107" t="str">
        <f aca="false">IF(ISBLANK($C289),"",$C289)</f>
        <v/>
      </c>
      <c r="DK289" s="107" t="str">
        <f aca="false">IF(ISBLANK($C289),"",$D289)</f>
        <v/>
      </c>
      <c r="DL289" s="108" t="str">
        <f aca="false">$CZ289</f>
        <v/>
      </c>
      <c r="DM289" s="109" t="str">
        <f aca="false">$CY289</f>
        <v/>
      </c>
      <c r="DN289" s="107" t="str">
        <f aca="false">IF(ISBLANK($C289),"",$DB289)</f>
        <v/>
      </c>
      <c r="DO289" s="110" t="str">
        <f aca="false">IF($DF289&gt;$DE$8,"",VLOOKUP($DF289,$DH$9:$DN$508,7,FALSE()))</f>
        <v/>
      </c>
      <c r="DP289" s="111" t="str">
        <f aca="false">IF($DF289&gt;$DE$8,"",VLOOKUP($DF289,$DH$9:$DN$508,2,FALSE()))</f>
        <v/>
      </c>
      <c r="DQ289" s="111" t="str">
        <f aca="false">IF($DF289&gt;$DE$8,"",VLOOKUP($DF289,$DH$9:$DN$508,3,FALSE()))</f>
        <v/>
      </c>
      <c r="DR289" s="111" t="str">
        <f aca="false">IF($DF289&gt;$DE$8,"",VLOOKUP($DF289,$DH$9:$DN$508,4,FALSE()))</f>
        <v/>
      </c>
      <c r="DS289" s="111" t="str">
        <f aca="false">IF($DF289&gt;$DE$8,"",VLOOKUP($DF289,$DH$9:$DN$508,5,FALSE()))</f>
        <v/>
      </c>
      <c r="DT289" s="112" t="str">
        <f aca="false">IF($DF289&gt;$DE$8,"",VLOOKUP($DF289,$DH$9:$DN$508,6,FALSE()))</f>
        <v/>
      </c>
      <c r="DU289" s="62"/>
    </row>
    <row r="290" customFormat="false" ht="15.75" hidden="false" customHeight="false" outlineLevel="0" collapsed="false">
      <c r="A290" s="7"/>
      <c r="B290" s="90"/>
      <c r="C290" s="91"/>
      <c r="D290" s="126"/>
      <c r="E290" s="130"/>
      <c r="F290" s="135"/>
      <c r="G290" s="130"/>
      <c r="H290" s="135"/>
      <c r="I290" s="131"/>
      <c r="J290" s="131"/>
      <c r="K290" s="131"/>
      <c r="L290" s="130"/>
      <c r="M290" s="130"/>
      <c r="N290" s="130"/>
      <c r="O290" s="135"/>
      <c r="P290" s="130"/>
      <c r="Q290" s="130"/>
      <c r="R290" s="130"/>
      <c r="S290" s="130"/>
      <c r="T290" s="135"/>
      <c r="U290" s="130"/>
      <c r="V290" s="96"/>
      <c r="W290" s="130"/>
      <c r="X290" s="130"/>
      <c r="Y290" s="96"/>
      <c r="Z290" s="96"/>
      <c r="AA290" s="130"/>
      <c r="AB290" s="130"/>
      <c r="AC290" s="97"/>
      <c r="AD290" s="130"/>
      <c r="AE290" s="99"/>
      <c r="AF290" s="100"/>
      <c r="AG290" s="100"/>
      <c r="AH290" s="100" t="str">
        <f aca="false">IF(ISBLANK($C290),"",IF($E290=Constants!$B$2,TRUE(),IF($E290=Constants!$B$3,FALSE(),TRUE())))</f>
        <v/>
      </c>
      <c r="AI290" s="100" t="str">
        <f aca="false">IF(ISBLANK($C290),"",IF($F290=Constants!$B$2,TRUE(),IF($F290=Constants!$B$3,FALSE(),FALSE())))</f>
        <v/>
      </c>
      <c r="AJ290" s="100" t="str">
        <f aca="false">IF(ISBLANK($C290),"",IF($G290=Constants!$B$2,TRUE(),IF($G290=Constants!$B$3,FALSE(),TRUE())))</f>
        <v/>
      </c>
      <c r="AK290" s="100" t="str">
        <f aca="false">IF(ISBLANK($C290),"",IF($H290=Constants!$B$2,TRUE(),IF($H290=Constants!$B$3,FALSE(),TRUE())))</f>
        <v/>
      </c>
      <c r="AL290" s="100" t="str">
        <f aca="false">IF(ISBLANK($C290),"",IF(ISNUMBER($I290),IF($I290&gt;=0,$I290,""),""))</f>
        <v/>
      </c>
      <c r="AM290" s="100" t="str">
        <f aca="false">IF(ISBLANK($C290),"",IF(ISNUMBER($J290),IF($J290&gt;=0,$J290,""),""))</f>
        <v/>
      </c>
      <c r="AN290" s="100" t="str">
        <f aca="false">IF(ISBLANK($C290),"",IF(ISNUMBER($K290),IF($K290&gt;=0,$K290,""),""))</f>
        <v/>
      </c>
      <c r="AO290" s="100" t="str">
        <f aca="false">IF(ISBLANK($C290),"",IF($L290=Constants!$B$2,TRUE(),IF($L290=Constants!$B$3,FALSE(),TRUE())))</f>
        <v/>
      </c>
      <c r="AP290" s="100" t="str">
        <f aca="false">IF(ISBLANK($C290),"",IF($M290=Constants!$B$2,TRUE(),IF($M290=Constants!$B$3,FALSE(),TRUE())))</f>
        <v/>
      </c>
      <c r="AQ290" s="100" t="str">
        <f aca="false">IF(ISBLANK($C290),"",IF($N290=Constants!$B$2,TRUE(),IF($N290=Constants!$B$3,FALSE(),FALSE())))</f>
        <v/>
      </c>
      <c r="AR290" s="100" t="str">
        <f aca="false">IF(ISBLANK($C290),"",IF($O290=Constants!$B$2,TRUE(),IF($O290=Constants!$B$3,FALSE(),TRUE())))</f>
        <v/>
      </c>
      <c r="AS290" s="100" t="str">
        <f aca="false">IF(ISBLANK($C290),"",IF($P290=Constants!$B$2,TRUE(),IF($P290=Constants!$B$3,FALSE(),FALSE())))</f>
        <v/>
      </c>
      <c r="AT290" s="100" t="str">
        <f aca="false">IF(ISBLANK($C290),"",IF($Q290=Constants!$B$2,TRUE(),IF($Q290=Constants!$B$3,FALSE(),FALSE())))</f>
        <v/>
      </c>
      <c r="AU290" s="100" t="str">
        <f aca="false">IF(ISBLANK($C290),"",IF($R290=Constants!$B$2,TRUE(),IF($R290=Constants!$B$3,FALSE(),FALSE())))</f>
        <v/>
      </c>
      <c r="AV290" s="100" t="str">
        <f aca="false">IF(ISBLANK($C290),"",IF($S290=Constants!$B$2,TRUE(),IF($S290=Constants!$B$3,FALSE(),FALSE())))</f>
        <v/>
      </c>
      <c r="AW290" s="100" t="str">
        <f aca="false">IF(ISBLANK($C290),"",IF($T290=Constants!$B$2,TRUE(),IF($T290=Constants!$B$3,FALSE(),FALSE())))</f>
        <v/>
      </c>
      <c r="AX290" s="100" t="str">
        <f aca="false">IF(ISBLANK($C290),"",IF(OR($U290&amp;""="1",$U290&amp;""="2",$U290&amp;""="3",$U290&amp;""="4"),VALUE($U290&amp;""),IF($U290=Constants!$B$12,Constants!$B$12,"")))</f>
        <v/>
      </c>
      <c r="AY290" s="100" t="str">
        <f aca="false">IF(ISBLANK($C290),"",IF(ISBLANK($V290),0,IF(ISNUMBER($V290),IF(AND($V290&gt;=0,$V290&lt;=Constants!$B$21,$V290=INT($V290)),$V290,""),"")))</f>
        <v/>
      </c>
      <c r="AZ290" s="100" t="str">
        <f aca="false">IF(ISBLANK($C290),"",IF(ISBLANK($W290),0,IF(ISNUMBER($W290),IF($W290&gt;=0,$W290,""),"")))</f>
        <v/>
      </c>
      <c r="BA290" s="100" t="str">
        <f aca="false">IF(ISBLANK($C290),"",IF($X290=Constants!$B$2,TRUE(),IF($X290=Constants!$B$3,FALSE(),TRUE())))</f>
        <v/>
      </c>
      <c r="BB290" s="100" t="str">
        <f aca="false">IF(ISBLANK($C290),"",IF($Y290=Constants!$B$2,TRUE(),IF($Y290=Constants!$B$3,FALSE(),FALSE())))</f>
        <v/>
      </c>
      <c r="BC290" s="100" t="str">
        <f aca="false">IF(ISBLANK($C290),"",IF(ISBLANK($Z290),0,IF(ISNUMBER($Z290),IF(AND($Z290&gt;=0,$Z290&lt;=Constants!$B$35,$Z290=INT($Z290)),$Z290,""),"")))</f>
        <v/>
      </c>
      <c r="BD290" s="100" t="str">
        <f aca="false">IF(ISBLANK($C290),"",IF($AA290=Constants!$B$2,TRUE(),IF($AA290=Constants!$B$3,FALSE(),TRUE())))</f>
        <v/>
      </c>
      <c r="BE290" s="100" t="str">
        <f aca="false">IF(ISBLANK($C290),"",IF($AB290=Constants!$B$2,TRUE(),IF($AB290=Constants!$B$3,FALSE(),TRUE())))</f>
        <v/>
      </c>
      <c r="BF290" s="100" t="str">
        <f aca="false">IF(ISBLANK($C290),"",IF(ISNUMBER($AC290),IF($AC290&gt;=0,$AC290,""),""))</f>
        <v/>
      </c>
      <c r="BG290" s="100" t="str">
        <f aca="false">IF(ISBLANK($C290),"",IF($AD290=Constants!$B$2,TRUE(),IF($AD290=Constants!$B$3,FALSE(),FALSE())))</f>
        <v/>
      </c>
      <c r="BH290" s="99" t="str">
        <f aca="false">IF(ISBLANK($C290),"",IF($BG290,Constants!$B$7,IF(COUNTA($E290:$AC290)=0,Constants!$B$6,IF(OR(COUNTA($G290:$AC290)=0,NOT($AK290),$AQ290),Constants!$B$5,IF(OR($CI290&lt;&gt;"",$CJ290,$CK290,$CL290,$CM290,$CN290,$CO290),Constants!$B$8,Constants!$B$4)))))</f>
        <v/>
      </c>
      <c r="BI290" s="100" t="str">
        <f aca="false">IF(ISBLANK($C290),"",IF($BH290&lt;&gt;Constants!$B$4,$BH290,IF(OR(NOT($AH290),NOT($AJ290),NOT($AR290)),Constants!$B$11,IF(OR(NOT($AP290),MAX($AL290,$AM290,$AN290)&gt;Constants!$B$30),Constants!$B$10,Constants!$B$9))))</f>
        <v/>
      </c>
      <c r="BJ290" s="100" t="str">
        <f aca="false">IF($BH290&lt;&gt;Constants!$B$4,"",IF(NOT($AJ290),0,MIN(Constants!$B$35,$BC290)))</f>
        <v/>
      </c>
      <c r="BK290" s="100" t="str">
        <f aca="false">IF($BH290&lt;&gt;Constants!$B$4,"",IF(NOT($AJ290),0,IF($AT290,Constants!$B$18,IF($AS290,Constants!$B$17,0))))</f>
        <v/>
      </c>
      <c r="BL290" s="100" t="str">
        <f aca="false">IF($BH290&lt;&gt;Constants!$B$4,"",IF(NOT($AJ290),0,Constants!$B$19*($AI290+$AU290+$AV290+$AW290)))</f>
        <v/>
      </c>
      <c r="BM290" s="100" t="str">
        <f aca="false">IF($BH290&lt;&gt;Constants!$B$4,"",IF(OR(NOT($AJ290),NOT(ISNUMBER($AX290))),0,CHOOSE($AX290,Constants!$B$13,Constants!$B$14,Constants!$B$15,Constants!$B$16)))</f>
        <v/>
      </c>
      <c r="BN290" s="100" t="str">
        <f aca="false">IF($BH290&lt;&gt;Constants!$B$4,"",IF(NOT($AJ290),0,Constants!$B$20*$AY290))</f>
        <v/>
      </c>
      <c r="BO290" s="100" t="str">
        <f aca="false">IF($BH290&lt;&gt;Constants!$B$4,"",IF(AND($AJ290,$BA290,$BB290),Constants!$B$22,0))</f>
        <v/>
      </c>
      <c r="BP290" s="100" t="str">
        <f aca="false">IF($BH290&lt;&gt;Constants!$B$4,"",IF(OR(NOT($AJ290),NOT($BA290)),0,IF($BF290&gt;=2*$AF$9,0,Constants!$B$23*INT(ROUND(MIN($BF290,$AF$9),6)))))</f>
        <v/>
      </c>
      <c r="BQ290" s="100" t="str">
        <f aca="false">IF($BH290&lt;&gt;Constants!$B$4,"",IF(NOT($AJ290),0,Constants!$B$24*INT(ROUND(MIN($AZ290,$AF$9),6))))</f>
        <v/>
      </c>
      <c r="BR290" s="100" t="str">
        <f aca="false">IF($BH290&lt;&gt;Constants!$B$4,"",IF(AND($AJ290,$BJ290=0),Constants!$B$25,0))</f>
        <v/>
      </c>
      <c r="BS290" s="100" t="str">
        <f aca="false">IF($BH290&lt;&gt;Constants!$B$4,"",MIN(Constants!$B$29,MAX(0,Constants!$B$27*Constants!$B$28*INT(ROUND((Constants!$B$26-$AL290)/Constants!$B$28,6))))+MIN(Constants!$B$29,MAX(0,Constants!$B$27*Constants!$B$28*INT(ROUND((Constants!$B$26-$AM290)/Constants!$B$28,6))))+MIN(Constants!$B$29,MAX(0,Constants!$B$27*Constants!$B$28*INT(ROUND((Constants!$B$26-$AN290)/Constants!$B$28,6)))))</f>
        <v/>
      </c>
      <c r="BT290" s="100" t="str">
        <f aca="false">IF($BH290&lt;&gt;Constants!$B$4,"",IF(NOT($AJ290),0,Constants!$B$31*INT(ROUND(MAX(0,MIN($BF290,2*$AF$9)-$AF$9),6))))</f>
        <v/>
      </c>
      <c r="BU290" s="100" t="str">
        <f aca="false">IF($BH290&lt;&gt;Constants!$B$4,"",Constants!$B$32*(($AL290&gt;Constants!$B$26)+($AM290&gt;Constants!$B$26)+($AN290&gt;Constants!$B$26)))</f>
        <v/>
      </c>
      <c r="BV290" s="100" t="str">
        <f aca="false">IF($BH290&lt;&gt;Constants!$B$4,"",IF(OR(NOT($AJ290),$AO290),0,Constants!$B$33))</f>
        <v/>
      </c>
      <c r="BW290" s="100" t="str">
        <f aca="false">IF($BH290&lt;&gt;Constants!$B$4,"",Constants!$B$34*$BJ290)</f>
        <v/>
      </c>
      <c r="BX290" s="100" t="str">
        <f aca="false">IF($BH290&lt;&gt;Constants!$B$4,"",IF(OR(NOT($AJ290),$BE290),0,Constants!$B$36))</f>
        <v/>
      </c>
      <c r="BY290" s="100" t="str">
        <f aca="false">IF($BH290&lt;&gt;Constants!$B$4,"",IF(OR(NOT($AJ290),$BD290),0,Constants!$B$37))</f>
        <v/>
      </c>
      <c r="BZ290" s="100" t="str">
        <f aca="false">IF($BH290&lt;&gt;Constants!$B$4,"",SUM($BT290:$BY290))</f>
        <v/>
      </c>
      <c r="CA290" s="100" t="str">
        <f aca="false">IF(ISBLANK($C290),"",IF($BH290&lt;&gt;Constants!$B$4,$BH290,SUM($BK290:$BS290)-$BZ290))</f>
        <v/>
      </c>
      <c r="CB290" s="100" t="str">
        <f aca="false">IF(ISBLANK($C290),"",IF($BH290&lt;&gt;Constants!$B$4,$BH290,RANK($CA290,$CA$9:$CA$508)))</f>
        <v/>
      </c>
      <c r="CC290" s="100" t="str">
        <f aca="false">IF(ISBLANK($C290),"",IF($BH290&lt;&gt;Constants!$B$4,$BH290,COUNTIFS($BI$9:$BI$508,"&lt;"&amp;$BI290)+COUNTIFS($BI$9:$BI$508,$BI290,$CB$9:$CB$508,"&lt;"&amp;$CB290)+1))</f>
        <v/>
      </c>
      <c r="CD290" s="100" t="str">
        <f aca="false">IF(ISBLANK($C290),"",IF($BH290&lt;&gt;Constants!$B$4,$BH290,RANK($BZ290,$BZ$9:$BZ$508,1)))</f>
        <v/>
      </c>
      <c r="CE290" s="100" t="str">
        <f aca="false">IF($BH290&lt;&gt;Constants!$B$4,"",$AL290+$AM290+$AN290)</f>
        <v/>
      </c>
      <c r="CF290" s="100" t="str">
        <f aca="false">IF(ISBLANK($C290),"",IF($BH290&lt;&gt;Constants!$B$4,$BH290,RANK($CE290,$CE$9:$CE$508,1)))</f>
        <v/>
      </c>
      <c r="CG290" s="100" t="str">
        <f aca="false">IF(ISBLANK($C290),"",IF($BH290&lt;&gt;Constants!$B$4,$BH290,COUNTIFS($BI$9:$BI$508,"&lt;"&amp;$BI290)+COUNTIFS($BI$9:$BI$508,$BI290,$CB$9:$CB$508,"&lt;"&amp;$CB290)+COUNTIFS($BI$9:$BI$508,$BI290,$CB$9:$CB$508,$CB290,$CD$9:$CD$508,"&lt;"&amp;$CD290)+COUNTIFS($BI$9:$BI$508,$BI290,$CB$9:$CB$508,$CB290,$CD$9:$CD$508,$CD290,$CF$9:$CF$508,"&lt;"&amp;$CF290)+1))</f>
        <v/>
      </c>
      <c r="CH290" s="100" t="str">
        <f aca="false">IF(ISBLANK($C290),"",IF($BH290&lt;&gt;Constants!$B$4,$BH290,$CC290-$CG290))</f>
        <v/>
      </c>
      <c r="CI290" s="100" t="str">
        <f aca="false">IF(ISBLANK($C290),"",IF(NOT($AJ290),"",IF(ISBLANK($D$7),$CI$5,IF(NOT(ISNUMBER($D$7)),$CI$6,""))))</f>
        <v/>
      </c>
      <c r="CJ290" s="100" t="str">
        <f aca="false">IF(ISBLANK($C290),"",OR($AL290="",$AM290="",$AN290=""))</f>
        <v/>
      </c>
      <c r="CK290" s="100" t="str">
        <f aca="false">IF(ISBLANK($C290),"",AND($AJ290,$AX290=""))</f>
        <v/>
      </c>
      <c r="CL290" s="100" t="str">
        <f aca="false">IF(ISBLANK($C290),"",AND($AJ290,$AY290=""))</f>
        <v/>
      </c>
      <c r="CM290" s="100" t="str">
        <f aca="false">IF(ISBLANK($C290),"",AND($AJ290,$AZ290=""))</f>
        <v/>
      </c>
      <c r="CN290" s="100" t="str">
        <f aca="false">IF(ISBLANK($C290),"",AND($AJ290,$BC290=""))</f>
        <v/>
      </c>
      <c r="CO290" s="100" t="str">
        <f aca="false">IF(ISBLANK($C290),"",AND($AJ290,$BF290=""))</f>
        <v/>
      </c>
      <c r="CP290" s="101"/>
      <c r="CQ290" s="102"/>
      <c r="CR290" s="103" t="str">
        <f aca="false">IF(ISBLANK($C290),"",IF($BH290=Constants!$B$8,$CI290,""))</f>
        <v/>
      </c>
      <c r="CS290" s="102" t="str">
        <f aca="false">IF(ISBLANK($C290),"",IF($BH290&lt;&gt;Constants!$B$4,"",$BK290+$BL290))</f>
        <v/>
      </c>
      <c r="CT290" s="104" t="str">
        <f aca="false">IF(ISBLANK($C290),"",IF($BH290&lt;&gt;Constants!$B$4,"",$BM290+$BN290+$BO290))</f>
        <v/>
      </c>
      <c r="CU290" s="104" t="str">
        <f aca="false">IF(ISBLANK($C290),"",IF($BH290&lt;&gt;Constants!$B$4,"",$BP290))</f>
        <v/>
      </c>
      <c r="CV290" s="104" t="str">
        <f aca="false">IF(ISBLANK($C290),"",IF($BH290&lt;&gt;Constants!$B$4,"",$BQ290+$BR290))</f>
        <v/>
      </c>
      <c r="CW290" s="104" t="str">
        <f aca="false">IF(ISBLANK($C290),"",IF($BH290&lt;&gt;Constants!$B$4,"",$BS290))</f>
        <v/>
      </c>
      <c r="CX290" s="104" t="str">
        <f aca="false">IF(ISBLANK($C290),"",IF($BH290&lt;&gt;Constants!$B$4,"",-$BZ290))</f>
        <v/>
      </c>
      <c r="CY290" s="103" t="str">
        <f aca="false">IF(ISBLANK($C290),"",$CA290)</f>
        <v/>
      </c>
      <c r="CZ290" s="105" t="str">
        <f aca="false">IF(ISBLANK($C290),"",$BI290)</f>
        <v/>
      </c>
      <c r="DA290" s="104" t="str">
        <f aca="false">IF(ISBLANK($C290),"",$CH290)</f>
        <v/>
      </c>
      <c r="DB290" s="104" t="str">
        <f aca="false">IF(ISBLANK($C290),"",$CG290)</f>
        <v/>
      </c>
      <c r="DC290" s="106" t="str">
        <f aca="false">IF(ISBLANK($C290),"",IFERROR(_xlfn.SWITCH($DB290,Constants!$B$7,COUNTA($C$9:$C$508)+2,Constants!$B$6,COUNTA($C$9:$C$508)+1,Constants!$B$5,COUNTA($C$9:$C$508)),$DB290))</f>
        <v/>
      </c>
      <c r="DD290" s="7"/>
      <c r="DE290" s="107" t="n">
        <f aca="false">IF(OR(ISNUMBER($DB290),$DB290=Constants!$B$7,$DB290=Constants!$B$5,$DB290=Constants!$B$6),1,0)</f>
        <v>0</v>
      </c>
      <c r="DF290" s="107" t="n">
        <v>282</v>
      </c>
      <c r="DG290" s="107" t="str">
        <f aca="false">IF(ISBLANK($C290),"",IF(ISNUMBER($DC290),$DC290+ROW($B290)/1000,""))</f>
        <v/>
      </c>
      <c r="DH290" s="107" t="str">
        <f aca="false">IF(ISNUMBER($DG290),RANK($DG290,$DG$9:$DG$508,1),"")</f>
        <v/>
      </c>
      <c r="DI290" s="107" t="str">
        <f aca="false">IF(ISBLANK($C290),"",$B290)</f>
        <v/>
      </c>
      <c r="DJ290" s="107" t="str">
        <f aca="false">IF(ISBLANK($C290),"",$C290)</f>
        <v/>
      </c>
      <c r="DK290" s="107" t="str">
        <f aca="false">IF(ISBLANK($C290),"",$D290)</f>
        <v/>
      </c>
      <c r="DL290" s="108" t="str">
        <f aca="false">$CZ290</f>
        <v/>
      </c>
      <c r="DM290" s="109" t="str">
        <f aca="false">$CY290</f>
        <v/>
      </c>
      <c r="DN290" s="107" t="str">
        <f aca="false">IF(ISBLANK($C290),"",$DB290)</f>
        <v/>
      </c>
      <c r="DO290" s="110" t="str">
        <f aca="false">IF($DF290&gt;$DE$8,"",VLOOKUP($DF290,$DH$9:$DN$508,7,FALSE()))</f>
        <v/>
      </c>
      <c r="DP290" s="111" t="str">
        <f aca="false">IF($DF290&gt;$DE$8,"",VLOOKUP($DF290,$DH$9:$DN$508,2,FALSE()))</f>
        <v/>
      </c>
      <c r="DQ290" s="111" t="str">
        <f aca="false">IF($DF290&gt;$DE$8,"",VLOOKUP($DF290,$DH$9:$DN$508,3,FALSE()))</f>
        <v/>
      </c>
      <c r="DR290" s="111" t="str">
        <f aca="false">IF($DF290&gt;$DE$8,"",VLOOKUP($DF290,$DH$9:$DN$508,4,FALSE()))</f>
        <v/>
      </c>
      <c r="DS290" s="111" t="str">
        <f aca="false">IF($DF290&gt;$DE$8,"",VLOOKUP($DF290,$DH$9:$DN$508,5,FALSE()))</f>
        <v/>
      </c>
      <c r="DT290" s="112" t="str">
        <f aca="false">IF($DF290&gt;$DE$8,"",VLOOKUP($DF290,$DH$9:$DN$508,6,FALSE()))</f>
        <v/>
      </c>
      <c r="DU290" s="62"/>
    </row>
    <row r="291" customFormat="false" ht="15.75" hidden="false" customHeight="false" outlineLevel="0" collapsed="false">
      <c r="A291" s="7"/>
      <c r="B291" s="64"/>
      <c r="C291" s="65"/>
      <c r="D291" s="123"/>
      <c r="E291" s="88"/>
      <c r="F291" s="134"/>
      <c r="G291" s="88"/>
      <c r="H291" s="134"/>
      <c r="I291" s="119"/>
      <c r="J291" s="119"/>
      <c r="K291" s="119"/>
      <c r="L291" s="88"/>
      <c r="M291" s="88"/>
      <c r="N291" s="88"/>
      <c r="O291" s="134"/>
      <c r="P291" s="88"/>
      <c r="Q291" s="88"/>
      <c r="R291" s="88"/>
      <c r="S291" s="88"/>
      <c r="T291" s="134"/>
      <c r="U291" s="88"/>
      <c r="V291" s="70"/>
      <c r="W291" s="88"/>
      <c r="X291" s="88"/>
      <c r="Y291" s="70"/>
      <c r="Z291" s="70"/>
      <c r="AA291" s="88"/>
      <c r="AB291" s="88"/>
      <c r="AC291" s="71"/>
      <c r="AD291" s="88"/>
      <c r="AE291" s="73"/>
      <c r="AF291" s="74"/>
      <c r="AG291" s="74"/>
      <c r="AH291" s="74" t="str">
        <f aca="false">IF(ISBLANK($C291),"",IF($E291=Constants!$B$2,TRUE(),IF($E291=Constants!$B$3,FALSE(),TRUE())))</f>
        <v/>
      </c>
      <c r="AI291" s="74" t="str">
        <f aca="false">IF(ISBLANK($C291),"",IF($F291=Constants!$B$2,TRUE(),IF($F291=Constants!$B$3,FALSE(),FALSE())))</f>
        <v/>
      </c>
      <c r="AJ291" s="74" t="str">
        <f aca="false">IF(ISBLANK($C291),"",IF($G291=Constants!$B$2,TRUE(),IF($G291=Constants!$B$3,FALSE(),TRUE())))</f>
        <v/>
      </c>
      <c r="AK291" s="74" t="str">
        <f aca="false">IF(ISBLANK($C291),"",IF($H291=Constants!$B$2,TRUE(),IF($H291=Constants!$B$3,FALSE(),TRUE())))</f>
        <v/>
      </c>
      <c r="AL291" s="74" t="str">
        <f aca="false">IF(ISBLANK($C291),"",IF(ISNUMBER($I291),IF($I291&gt;=0,$I291,""),""))</f>
        <v/>
      </c>
      <c r="AM291" s="74" t="str">
        <f aca="false">IF(ISBLANK($C291),"",IF(ISNUMBER($J291),IF($J291&gt;=0,$J291,""),""))</f>
        <v/>
      </c>
      <c r="AN291" s="74" t="str">
        <f aca="false">IF(ISBLANK($C291),"",IF(ISNUMBER($K291),IF($K291&gt;=0,$K291,""),""))</f>
        <v/>
      </c>
      <c r="AO291" s="74" t="str">
        <f aca="false">IF(ISBLANK($C291),"",IF($L291=Constants!$B$2,TRUE(),IF($L291=Constants!$B$3,FALSE(),TRUE())))</f>
        <v/>
      </c>
      <c r="AP291" s="74" t="str">
        <f aca="false">IF(ISBLANK($C291),"",IF($M291=Constants!$B$2,TRUE(),IF($M291=Constants!$B$3,FALSE(),TRUE())))</f>
        <v/>
      </c>
      <c r="AQ291" s="74" t="str">
        <f aca="false">IF(ISBLANK($C291),"",IF($N291=Constants!$B$2,TRUE(),IF($N291=Constants!$B$3,FALSE(),FALSE())))</f>
        <v/>
      </c>
      <c r="AR291" s="74" t="str">
        <f aca="false">IF(ISBLANK($C291),"",IF($O291=Constants!$B$2,TRUE(),IF($O291=Constants!$B$3,FALSE(),TRUE())))</f>
        <v/>
      </c>
      <c r="AS291" s="74" t="str">
        <f aca="false">IF(ISBLANK($C291),"",IF($P291=Constants!$B$2,TRUE(),IF($P291=Constants!$B$3,FALSE(),FALSE())))</f>
        <v/>
      </c>
      <c r="AT291" s="74" t="str">
        <f aca="false">IF(ISBLANK($C291),"",IF($Q291=Constants!$B$2,TRUE(),IF($Q291=Constants!$B$3,FALSE(),FALSE())))</f>
        <v/>
      </c>
      <c r="AU291" s="74" t="str">
        <f aca="false">IF(ISBLANK($C291),"",IF($R291=Constants!$B$2,TRUE(),IF($R291=Constants!$B$3,FALSE(),FALSE())))</f>
        <v/>
      </c>
      <c r="AV291" s="74" t="str">
        <f aca="false">IF(ISBLANK($C291),"",IF($S291=Constants!$B$2,TRUE(),IF($S291=Constants!$B$3,FALSE(),FALSE())))</f>
        <v/>
      </c>
      <c r="AW291" s="74" t="str">
        <f aca="false">IF(ISBLANK($C291),"",IF($T291=Constants!$B$2,TRUE(),IF($T291=Constants!$B$3,FALSE(),FALSE())))</f>
        <v/>
      </c>
      <c r="AX291" s="74" t="str">
        <f aca="false">IF(ISBLANK($C291),"",IF(OR($U291&amp;""="1",$U291&amp;""="2",$U291&amp;""="3",$U291&amp;""="4"),VALUE($U291&amp;""),IF($U291=Constants!$B$12,Constants!$B$12,"")))</f>
        <v/>
      </c>
      <c r="AY291" s="74" t="str">
        <f aca="false">IF(ISBLANK($C291),"",IF(ISBLANK($V291),0,IF(ISNUMBER($V291),IF(AND($V291&gt;=0,$V291&lt;=Constants!$B$21,$V291=INT($V291)),$V291,""),"")))</f>
        <v/>
      </c>
      <c r="AZ291" s="74" t="str">
        <f aca="false">IF(ISBLANK($C291),"",IF(ISBLANK($W291),0,IF(ISNUMBER($W291),IF($W291&gt;=0,$W291,""),"")))</f>
        <v/>
      </c>
      <c r="BA291" s="74" t="str">
        <f aca="false">IF(ISBLANK($C291),"",IF($X291=Constants!$B$2,TRUE(),IF($X291=Constants!$B$3,FALSE(),TRUE())))</f>
        <v/>
      </c>
      <c r="BB291" s="74" t="str">
        <f aca="false">IF(ISBLANK($C291),"",IF($Y291=Constants!$B$2,TRUE(),IF($Y291=Constants!$B$3,FALSE(),FALSE())))</f>
        <v/>
      </c>
      <c r="BC291" s="74" t="str">
        <f aca="false">IF(ISBLANK($C291),"",IF(ISBLANK($Z291),0,IF(ISNUMBER($Z291),IF(AND($Z291&gt;=0,$Z291&lt;=Constants!$B$35,$Z291=INT($Z291)),$Z291,""),"")))</f>
        <v/>
      </c>
      <c r="BD291" s="74" t="str">
        <f aca="false">IF(ISBLANK($C291),"",IF($AA291=Constants!$B$2,TRUE(),IF($AA291=Constants!$B$3,FALSE(),TRUE())))</f>
        <v/>
      </c>
      <c r="BE291" s="74" t="str">
        <f aca="false">IF(ISBLANK($C291),"",IF($AB291=Constants!$B$2,TRUE(),IF($AB291=Constants!$B$3,FALSE(),TRUE())))</f>
        <v/>
      </c>
      <c r="BF291" s="74" t="str">
        <f aca="false">IF(ISBLANK($C291),"",IF(ISNUMBER($AC291),IF($AC291&gt;=0,$AC291,""),""))</f>
        <v/>
      </c>
      <c r="BG291" s="74" t="str">
        <f aca="false">IF(ISBLANK($C291),"",IF($AD291=Constants!$B$2,TRUE(),IF($AD291=Constants!$B$3,FALSE(),FALSE())))</f>
        <v/>
      </c>
      <c r="BH291" s="73" t="str">
        <f aca="false">IF(ISBLANK($C291),"",IF($BG291,Constants!$B$7,IF(COUNTA($E291:$AC291)=0,Constants!$B$6,IF(OR(COUNTA($G291:$AC291)=0,NOT($AK291),$AQ291),Constants!$B$5,IF(OR($CI291&lt;&gt;"",$CJ291,$CK291,$CL291,$CM291,$CN291,$CO291),Constants!$B$8,Constants!$B$4)))))</f>
        <v/>
      </c>
      <c r="BI291" s="74" t="str">
        <f aca="false">IF(ISBLANK($C291),"",IF($BH291&lt;&gt;Constants!$B$4,$BH291,IF(OR(NOT($AH291),NOT($AJ291),NOT($AR291)),Constants!$B$11,IF(OR(NOT($AP291),MAX($AL291,$AM291,$AN291)&gt;Constants!$B$30),Constants!$B$10,Constants!$B$9))))</f>
        <v/>
      </c>
      <c r="BJ291" s="74" t="str">
        <f aca="false">IF($BH291&lt;&gt;Constants!$B$4,"",IF(NOT($AJ291),0,MIN(Constants!$B$35,$BC291)))</f>
        <v/>
      </c>
      <c r="BK291" s="74" t="str">
        <f aca="false">IF($BH291&lt;&gt;Constants!$B$4,"",IF(NOT($AJ291),0,IF($AT291,Constants!$B$18,IF($AS291,Constants!$B$17,0))))</f>
        <v/>
      </c>
      <c r="BL291" s="74" t="str">
        <f aca="false">IF($BH291&lt;&gt;Constants!$B$4,"",IF(NOT($AJ291),0,Constants!$B$19*($AI291+$AU291+$AV291+$AW291)))</f>
        <v/>
      </c>
      <c r="BM291" s="74" t="str">
        <f aca="false">IF($BH291&lt;&gt;Constants!$B$4,"",IF(OR(NOT($AJ291),NOT(ISNUMBER($AX291))),0,CHOOSE($AX291,Constants!$B$13,Constants!$B$14,Constants!$B$15,Constants!$B$16)))</f>
        <v/>
      </c>
      <c r="BN291" s="74" t="str">
        <f aca="false">IF($BH291&lt;&gt;Constants!$B$4,"",IF(NOT($AJ291),0,Constants!$B$20*$AY291))</f>
        <v/>
      </c>
      <c r="BO291" s="74" t="str">
        <f aca="false">IF($BH291&lt;&gt;Constants!$B$4,"",IF(AND($AJ291,$BA291,$BB291),Constants!$B$22,0))</f>
        <v/>
      </c>
      <c r="BP291" s="74" t="str">
        <f aca="false">IF($BH291&lt;&gt;Constants!$B$4,"",IF(OR(NOT($AJ291),NOT($BA291)),0,IF($BF291&gt;=2*$AF$9,0,Constants!$B$23*INT(ROUND(MIN($BF291,$AF$9),6)))))</f>
        <v/>
      </c>
      <c r="BQ291" s="74" t="str">
        <f aca="false">IF($BH291&lt;&gt;Constants!$B$4,"",IF(NOT($AJ291),0,Constants!$B$24*INT(ROUND(MIN($AZ291,$AF$9),6))))</f>
        <v/>
      </c>
      <c r="BR291" s="74" t="str">
        <f aca="false">IF($BH291&lt;&gt;Constants!$B$4,"",IF(AND($AJ291,$BJ291=0),Constants!$B$25,0))</f>
        <v/>
      </c>
      <c r="BS291" s="74" t="str">
        <f aca="false">IF($BH291&lt;&gt;Constants!$B$4,"",MIN(Constants!$B$29,MAX(0,Constants!$B$27*Constants!$B$28*INT(ROUND((Constants!$B$26-$AL291)/Constants!$B$28,6))))+MIN(Constants!$B$29,MAX(0,Constants!$B$27*Constants!$B$28*INT(ROUND((Constants!$B$26-$AM291)/Constants!$B$28,6))))+MIN(Constants!$B$29,MAX(0,Constants!$B$27*Constants!$B$28*INT(ROUND((Constants!$B$26-$AN291)/Constants!$B$28,6)))))</f>
        <v/>
      </c>
      <c r="BT291" s="74" t="str">
        <f aca="false">IF($BH291&lt;&gt;Constants!$B$4,"",IF(NOT($AJ291),0,Constants!$B$31*INT(ROUND(MAX(0,MIN($BF291,2*$AF$9)-$AF$9),6))))</f>
        <v/>
      </c>
      <c r="BU291" s="74" t="str">
        <f aca="false">IF($BH291&lt;&gt;Constants!$B$4,"",Constants!$B$32*(($AL291&gt;Constants!$B$26)+($AM291&gt;Constants!$B$26)+($AN291&gt;Constants!$B$26)))</f>
        <v/>
      </c>
      <c r="BV291" s="74" t="str">
        <f aca="false">IF($BH291&lt;&gt;Constants!$B$4,"",IF(OR(NOT($AJ291),$AO291),0,Constants!$B$33))</f>
        <v/>
      </c>
      <c r="BW291" s="74" t="str">
        <f aca="false">IF($BH291&lt;&gt;Constants!$B$4,"",Constants!$B$34*$BJ291)</f>
        <v/>
      </c>
      <c r="BX291" s="74" t="str">
        <f aca="false">IF($BH291&lt;&gt;Constants!$B$4,"",IF(OR(NOT($AJ291),$BE291),0,Constants!$B$36))</f>
        <v/>
      </c>
      <c r="BY291" s="74" t="str">
        <f aca="false">IF($BH291&lt;&gt;Constants!$B$4,"",IF(OR(NOT($AJ291),$BD291),0,Constants!$B$37))</f>
        <v/>
      </c>
      <c r="BZ291" s="74" t="str">
        <f aca="false">IF($BH291&lt;&gt;Constants!$B$4,"",SUM($BT291:$BY291))</f>
        <v/>
      </c>
      <c r="CA291" s="74" t="str">
        <f aca="false">IF(ISBLANK($C291),"",IF($BH291&lt;&gt;Constants!$B$4,$BH291,SUM($BK291:$BS291)-$BZ291))</f>
        <v/>
      </c>
      <c r="CB291" s="74" t="str">
        <f aca="false">IF(ISBLANK($C291),"",IF($BH291&lt;&gt;Constants!$B$4,$BH291,RANK($CA291,$CA$9:$CA$508)))</f>
        <v/>
      </c>
      <c r="CC291" s="74" t="str">
        <f aca="false">IF(ISBLANK($C291),"",IF($BH291&lt;&gt;Constants!$B$4,$BH291,COUNTIFS($BI$9:$BI$508,"&lt;"&amp;$BI291)+COUNTIFS($BI$9:$BI$508,$BI291,$CB$9:$CB$508,"&lt;"&amp;$CB291)+1))</f>
        <v/>
      </c>
      <c r="CD291" s="74" t="str">
        <f aca="false">IF(ISBLANK($C291),"",IF($BH291&lt;&gt;Constants!$B$4,$BH291,RANK($BZ291,$BZ$9:$BZ$508,1)))</f>
        <v/>
      </c>
      <c r="CE291" s="74" t="str">
        <f aca="false">IF($BH291&lt;&gt;Constants!$B$4,"",$AL291+$AM291+$AN291)</f>
        <v/>
      </c>
      <c r="CF291" s="74" t="str">
        <f aca="false">IF(ISBLANK($C291),"",IF($BH291&lt;&gt;Constants!$B$4,$BH291,RANK($CE291,$CE$9:$CE$508,1)))</f>
        <v/>
      </c>
      <c r="CG291" s="74" t="str">
        <f aca="false">IF(ISBLANK($C291),"",IF($BH291&lt;&gt;Constants!$B$4,$BH291,COUNTIFS($BI$9:$BI$508,"&lt;"&amp;$BI291)+COUNTIFS($BI$9:$BI$508,$BI291,$CB$9:$CB$508,"&lt;"&amp;$CB291)+COUNTIFS($BI$9:$BI$508,$BI291,$CB$9:$CB$508,$CB291,$CD$9:$CD$508,"&lt;"&amp;$CD291)+COUNTIFS($BI$9:$BI$508,$BI291,$CB$9:$CB$508,$CB291,$CD$9:$CD$508,$CD291,$CF$9:$CF$508,"&lt;"&amp;$CF291)+1))</f>
        <v/>
      </c>
      <c r="CH291" s="74" t="str">
        <f aca="false">IF(ISBLANK($C291),"",IF($BH291&lt;&gt;Constants!$B$4,$BH291,$CC291-$CG291))</f>
        <v/>
      </c>
      <c r="CI291" s="74" t="str">
        <f aca="false">IF(ISBLANK($C291),"",IF(NOT($AJ291),"",IF(ISBLANK($D$7),$CI$5,IF(NOT(ISNUMBER($D$7)),$CI$6,""))))</f>
        <v/>
      </c>
      <c r="CJ291" s="74" t="str">
        <f aca="false">IF(ISBLANK($C291),"",OR($AL291="",$AM291="",$AN291=""))</f>
        <v/>
      </c>
      <c r="CK291" s="74" t="str">
        <f aca="false">IF(ISBLANK($C291),"",AND($AJ291,$AX291=""))</f>
        <v/>
      </c>
      <c r="CL291" s="74" t="str">
        <f aca="false">IF(ISBLANK($C291),"",AND($AJ291,$AY291=""))</f>
        <v/>
      </c>
      <c r="CM291" s="74" t="str">
        <f aca="false">IF(ISBLANK($C291),"",AND($AJ291,$AZ291=""))</f>
        <v/>
      </c>
      <c r="CN291" s="74" t="str">
        <f aca="false">IF(ISBLANK($C291),"",AND($AJ291,$BC291=""))</f>
        <v/>
      </c>
      <c r="CO291" s="74" t="str">
        <f aca="false">IF(ISBLANK($C291),"",AND($AJ291,$BF291=""))</f>
        <v/>
      </c>
      <c r="CP291" s="75"/>
      <c r="CQ291" s="76"/>
      <c r="CR291" s="79" t="str">
        <f aca="false">IF(ISBLANK($C291),"",IF($BH291=Constants!$B$8,$CI291,""))</f>
        <v/>
      </c>
      <c r="CS291" s="76" t="str">
        <f aca="false">IF(ISBLANK($C291),"",IF($BH291&lt;&gt;Constants!$B$4,"",$BK291+$BL291))</f>
        <v/>
      </c>
      <c r="CT291" s="78" t="str">
        <f aca="false">IF(ISBLANK($C291),"",IF($BH291&lt;&gt;Constants!$B$4,"",$BM291+$BN291+$BO291))</f>
        <v/>
      </c>
      <c r="CU291" s="78" t="str">
        <f aca="false">IF(ISBLANK($C291),"",IF($BH291&lt;&gt;Constants!$B$4,"",$BP291))</f>
        <v/>
      </c>
      <c r="CV291" s="78" t="str">
        <f aca="false">IF(ISBLANK($C291),"",IF($BH291&lt;&gt;Constants!$B$4,"",$BQ291+$BR291))</f>
        <v/>
      </c>
      <c r="CW291" s="78" t="str">
        <f aca="false">IF(ISBLANK($C291),"",IF($BH291&lt;&gt;Constants!$B$4,"",$BS291))</f>
        <v/>
      </c>
      <c r="CX291" s="78" t="str">
        <f aca="false">IF(ISBLANK($C291),"",IF($BH291&lt;&gt;Constants!$B$4,"",-$BZ291))</f>
        <v/>
      </c>
      <c r="CY291" s="79" t="str">
        <f aca="false">IF(ISBLANK($C291),"",$CA291)</f>
        <v/>
      </c>
      <c r="CZ291" s="80" t="str">
        <f aca="false">IF(ISBLANK($C291),"",$BI291)</f>
        <v/>
      </c>
      <c r="DA291" s="78" t="str">
        <f aca="false">IF(ISBLANK($C291),"",$CH291)</f>
        <v/>
      </c>
      <c r="DB291" s="78" t="str">
        <f aca="false">IF(ISBLANK($C291),"",$CG291)</f>
        <v/>
      </c>
      <c r="DC291" s="81" t="str">
        <f aca="false">IF(ISBLANK($C291),"",IFERROR(_xlfn.SWITCH($DB291,Constants!$B$7,COUNTA($C$9:$C$508)+2,Constants!$B$6,COUNTA($C$9:$C$508)+1,Constants!$B$5,COUNTA($C$9:$C$508)),$DB291))</f>
        <v/>
      </c>
      <c r="DD291" s="7"/>
      <c r="DE291" s="82" t="n">
        <f aca="false">IF(OR(ISNUMBER($DB291),$DB291=Constants!$B$7,$DB291=Constants!$B$5,$DB291=Constants!$B$6),1,0)</f>
        <v>0</v>
      </c>
      <c r="DF291" s="82" t="n">
        <v>283</v>
      </c>
      <c r="DG291" s="82" t="str">
        <f aca="false">IF(ISBLANK($C291),"",IF(ISNUMBER($DC291),$DC291+ROW($B291)/1000,""))</f>
        <v/>
      </c>
      <c r="DH291" s="82" t="str">
        <f aca="false">IF(ISNUMBER($DG291),RANK($DG291,$DG$9:$DG$508,1),"")</f>
        <v/>
      </c>
      <c r="DI291" s="82" t="str">
        <f aca="false">IF(ISBLANK($C291),"",$B291)</f>
        <v/>
      </c>
      <c r="DJ291" s="82" t="str">
        <f aca="false">IF(ISBLANK($C291),"",$C291)</f>
        <v/>
      </c>
      <c r="DK291" s="82" t="str">
        <f aca="false">IF(ISBLANK($C291),"",$D291)</f>
        <v/>
      </c>
      <c r="DL291" s="83" t="str">
        <f aca="false">$CZ291</f>
        <v/>
      </c>
      <c r="DM291" s="84" t="str">
        <f aca="false">$CY291</f>
        <v/>
      </c>
      <c r="DN291" s="82" t="str">
        <f aca="false">IF(ISBLANK($C291),"",$DB291)</f>
        <v/>
      </c>
      <c r="DO291" s="85" t="str">
        <f aca="false">IF($DF291&gt;$DE$8,"",VLOOKUP($DF291,$DH$9:$DN$508,7,FALSE()))</f>
        <v/>
      </c>
      <c r="DP291" s="86" t="str">
        <f aca="false">IF($DF291&gt;$DE$8,"",VLOOKUP($DF291,$DH$9:$DN$508,2,FALSE()))</f>
        <v/>
      </c>
      <c r="DQ291" s="86" t="str">
        <f aca="false">IF($DF291&gt;$DE$8,"",VLOOKUP($DF291,$DH$9:$DN$508,3,FALSE()))</f>
        <v/>
      </c>
      <c r="DR291" s="86" t="str">
        <f aca="false">IF($DF291&gt;$DE$8,"",VLOOKUP($DF291,$DH$9:$DN$508,4,FALSE()))</f>
        <v/>
      </c>
      <c r="DS291" s="86" t="str">
        <f aca="false">IF($DF291&gt;$DE$8,"",VLOOKUP($DF291,$DH$9:$DN$508,5,FALSE()))</f>
        <v/>
      </c>
      <c r="DT291" s="87" t="str">
        <f aca="false">IF($DF291&gt;$DE$8,"",VLOOKUP($DF291,$DH$9:$DN$508,6,FALSE()))</f>
        <v/>
      </c>
      <c r="DU291" s="62"/>
    </row>
    <row r="292" customFormat="false" ht="15.75" hidden="false" customHeight="false" outlineLevel="0" collapsed="false">
      <c r="A292" s="7"/>
      <c r="B292" s="64"/>
      <c r="C292" s="65"/>
      <c r="D292" s="123"/>
      <c r="E292" s="88"/>
      <c r="F292" s="134"/>
      <c r="G292" s="88"/>
      <c r="H292" s="134"/>
      <c r="I292" s="119"/>
      <c r="J292" s="119"/>
      <c r="K292" s="119"/>
      <c r="L292" s="88"/>
      <c r="M292" s="88"/>
      <c r="N292" s="88"/>
      <c r="O292" s="134"/>
      <c r="P292" s="88"/>
      <c r="Q292" s="88"/>
      <c r="R292" s="88"/>
      <c r="S292" s="88"/>
      <c r="T292" s="134"/>
      <c r="U292" s="88"/>
      <c r="V292" s="70"/>
      <c r="W292" s="88"/>
      <c r="X292" s="88"/>
      <c r="Y292" s="70"/>
      <c r="Z292" s="70"/>
      <c r="AA292" s="88"/>
      <c r="AB292" s="88"/>
      <c r="AC292" s="71"/>
      <c r="AD292" s="88"/>
      <c r="AE292" s="73"/>
      <c r="AF292" s="74"/>
      <c r="AG292" s="74"/>
      <c r="AH292" s="74" t="str">
        <f aca="false">IF(ISBLANK($C292),"",IF($E292=Constants!$B$2,TRUE(),IF($E292=Constants!$B$3,FALSE(),TRUE())))</f>
        <v/>
      </c>
      <c r="AI292" s="74" t="str">
        <f aca="false">IF(ISBLANK($C292),"",IF($F292=Constants!$B$2,TRUE(),IF($F292=Constants!$B$3,FALSE(),FALSE())))</f>
        <v/>
      </c>
      <c r="AJ292" s="74" t="str">
        <f aca="false">IF(ISBLANK($C292),"",IF($G292=Constants!$B$2,TRUE(),IF($G292=Constants!$B$3,FALSE(),TRUE())))</f>
        <v/>
      </c>
      <c r="AK292" s="74" t="str">
        <f aca="false">IF(ISBLANK($C292),"",IF($H292=Constants!$B$2,TRUE(),IF($H292=Constants!$B$3,FALSE(),TRUE())))</f>
        <v/>
      </c>
      <c r="AL292" s="74" t="str">
        <f aca="false">IF(ISBLANK($C292),"",IF(ISNUMBER($I292),IF($I292&gt;=0,$I292,""),""))</f>
        <v/>
      </c>
      <c r="AM292" s="74" t="str">
        <f aca="false">IF(ISBLANK($C292),"",IF(ISNUMBER($J292),IF($J292&gt;=0,$J292,""),""))</f>
        <v/>
      </c>
      <c r="AN292" s="74" t="str">
        <f aca="false">IF(ISBLANK($C292),"",IF(ISNUMBER($K292),IF($K292&gt;=0,$K292,""),""))</f>
        <v/>
      </c>
      <c r="AO292" s="74" t="str">
        <f aca="false">IF(ISBLANK($C292),"",IF($L292=Constants!$B$2,TRUE(),IF($L292=Constants!$B$3,FALSE(),TRUE())))</f>
        <v/>
      </c>
      <c r="AP292" s="74" t="str">
        <f aca="false">IF(ISBLANK($C292),"",IF($M292=Constants!$B$2,TRUE(),IF($M292=Constants!$B$3,FALSE(),TRUE())))</f>
        <v/>
      </c>
      <c r="AQ292" s="74" t="str">
        <f aca="false">IF(ISBLANK($C292),"",IF($N292=Constants!$B$2,TRUE(),IF($N292=Constants!$B$3,FALSE(),FALSE())))</f>
        <v/>
      </c>
      <c r="AR292" s="74" t="str">
        <f aca="false">IF(ISBLANK($C292),"",IF($O292=Constants!$B$2,TRUE(),IF($O292=Constants!$B$3,FALSE(),TRUE())))</f>
        <v/>
      </c>
      <c r="AS292" s="74" t="str">
        <f aca="false">IF(ISBLANK($C292),"",IF($P292=Constants!$B$2,TRUE(),IF($P292=Constants!$B$3,FALSE(),FALSE())))</f>
        <v/>
      </c>
      <c r="AT292" s="74" t="str">
        <f aca="false">IF(ISBLANK($C292),"",IF($Q292=Constants!$B$2,TRUE(),IF($Q292=Constants!$B$3,FALSE(),FALSE())))</f>
        <v/>
      </c>
      <c r="AU292" s="74" t="str">
        <f aca="false">IF(ISBLANK($C292),"",IF($R292=Constants!$B$2,TRUE(),IF($R292=Constants!$B$3,FALSE(),FALSE())))</f>
        <v/>
      </c>
      <c r="AV292" s="74" t="str">
        <f aca="false">IF(ISBLANK($C292),"",IF($S292=Constants!$B$2,TRUE(),IF($S292=Constants!$B$3,FALSE(),FALSE())))</f>
        <v/>
      </c>
      <c r="AW292" s="74" t="str">
        <f aca="false">IF(ISBLANK($C292),"",IF($T292=Constants!$B$2,TRUE(),IF($T292=Constants!$B$3,FALSE(),FALSE())))</f>
        <v/>
      </c>
      <c r="AX292" s="74" t="str">
        <f aca="false">IF(ISBLANK($C292),"",IF(OR($U292&amp;""="1",$U292&amp;""="2",$U292&amp;""="3",$U292&amp;""="4"),VALUE($U292&amp;""),IF($U292=Constants!$B$12,Constants!$B$12,"")))</f>
        <v/>
      </c>
      <c r="AY292" s="74" t="str">
        <f aca="false">IF(ISBLANK($C292),"",IF(ISBLANK($V292),0,IF(ISNUMBER($V292),IF(AND($V292&gt;=0,$V292&lt;=Constants!$B$21,$V292=INT($V292)),$V292,""),"")))</f>
        <v/>
      </c>
      <c r="AZ292" s="74" t="str">
        <f aca="false">IF(ISBLANK($C292),"",IF(ISBLANK($W292),0,IF(ISNUMBER($W292),IF($W292&gt;=0,$W292,""),"")))</f>
        <v/>
      </c>
      <c r="BA292" s="74" t="str">
        <f aca="false">IF(ISBLANK($C292),"",IF($X292=Constants!$B$2,TRUE(),IF($X292=Constants!$B$3,FALSE(),TRUE())))</f>
        <v/>
      </c>
      <c r="BB292" s="74" t="str">
        <f aca="false">IF(ISBLANK($C292),"",IF($Y292=Constants!$B$2,TRUE(),IF($Y292=Constants!$B$3,FALSE(),FALSE())))</f>
        <v/>
      </c>
      <c r="BC292" s="74" t="str">
        <f aca="false">IF(ISBLANK($C292),"",IF(ISBLANK($Z292),0,IF(ISNUMBER($Z292),IF(AND($Z292&gt;=0,$Z292&lt;=Constants!$B$35,$Z292=INT($Z292)),$Z292,""),"")))</f>
        <v/>
      </c>
      <c r="BD292" s="74" t="str">
        <f aca="false">IF(ISBLANK($C292),"",IF($AA292=Constants!$B$2,TRUE(),IF($AA292=Constants!$B$3,FALSE(),TRUE())))</f>
        <v/>
      </c>
      <c r="BE292" s="74" t="str">
        <f aca="false">IF(ISBLANK($C292),"",IF($AB292=Constants!$B$2,TRUE(),IF($AB292=Constants!$B$3,FALSE(),TRUE())))</f>
        <v/>
      </c>
      <c r="BF292" s="74" t="str">
        <f aca="false">IF(ISBLANK($C292),"",IF(ISNUMBER($AC292),IF($AC292&gt;=0,$AC292,""),""))</f>
        <v/>
      </c>
      <c r="BG292" s="74" t="str">
        <f aca="false">IF(ISBLANK($C292),"",IF($AD292=Constants!$B$2,TRUE(),IF($AD292=Constants!$B$3,FALSE(),FALSE())))</f>
        <v/>
      </c>
      <c r="BH292" s="73" t="str">
        <f aca="false">IF(ISBLANK($C292),"",IF($BG292,Constants!$B$7,IF(COUNTA($E292:$AC292)=0,Constants!$B$6,IF(OR(COUNTA($G292:$AC292)=0,NOT($AK292),$AQ292),Constants!$B$5,IF(OR($CI292&lt;&gt;"",$CJ292,$CK292,$CL292,$CM292,$CN292,$CO292),Constants!$B$8,Constants!$B$4)))))</f>
        <v/>
      </c>
      <c r="BI292" s="74" t="str">
        <f aca="false">IF(ISBLANK($C292),"",IF($BH292&lt;&gt;Constants!$B$4,$BH292,IF(OR(NOT($AH292),NOT($AJ292),NOT($AR292)),Constants!$B$11,IF(OR(NOT($AP292),MAX($AL292,$AM292,$AN292)&gt;Constants!$B$30),Constants!$B$10,Constants!$B$9))))</f>
        <v/>
      </c>
      <c r="BJ292" s="74" t="str">
        <f aca="false">IF($BH292&lt;&gt;Constants!$B$4,"",IF(NOT($AJ292),0,MIN(Constants!$B$35,$BC292)))</f>
        <v/>
      </c>
      <c r="BK292" s="74" t="str">
        <f aca="false">IF($BH292&lt;&gt;Constants!$B$4,"",IF(NOT($AJ292),0,IF($AT292,Constants!$B$18,IF($AS292,Constants!$B$17,0))))</f>
        <v/>
      </c>
      <c r="BL292" s="74" t="str">
        <f aca="false">IF($BH292&lt;&gt;Constants!$B$4,"",IF(NOT($AJ292),0,Constants!$B$19*($AI292+$AU292+$AV292+$AW292)))</f>
        <v/>
      </c>
      <c r="BM292" s="74" t="str">
        <f aca="false">IF($BH292&lt;&gt;Constants!$B$4,"",IF(OR(NOT($AJ292),NOT(ISNUMBER($AX292))),0,CHOOSE($AX292,Constants!$B$13,Constants!$B$14,Constants!$B$15,Constants!$B$16)))</f>
        <v/>
      </c>
      <c r="BN292" s="74" t="str">
        <f aca="false">IF($BH292&lt;&gt;Constants!$B$4,"",IF(NOT($AJ292),0,Constants!$B$20*$AY292))</f>
        <v/>
      </c>
      <c r="BO292" s="74" t="str">
        <f aca="false">IF($BH292&lt;&gt;Constants!$B$4,"",IF(AND($AJ292,$BA292,$BB292),Constants!$B$22,0))</f>
        <v/>
      </c>
      <c r="BP292" s="74" t="str">
        <f aca="false">IF($BH292&lt;&gt;Constants!$B$4,"",IF(OR(NOT($AJ292),NOT($BA292)),0,IF($BF292&gt;=2*$AF$9,0,Constants!$B$23*INT(ROUND(MIN($BF292,$AF$9),6)))))</f>
        <v/>
      </c>
      <c r="BQ292" s="74" t="str">
        <f aca="false">IF($BH292&lt;&gt;Constants!$B$4,"",IF(NOT($AJ292),0,Constants!$B$24*INT(ROUND(MIN($AZ292,$AF$9),6))))</f>
        <v/>
      </c>
      <c r="BR292" s="74" t="str">
        <f aca="false">IF($BH292&lt;&gt;Constants!$B$4,"",IF(AND($AJ292,$BJ292=0),Constants!$B$25,0))</f>
        <v/>
      </c>
      <c r="BS292" s="74" t="str">
        <f aca="false">IF($BH292&lt;&gt;Constants!$B$4,"",MIN(Constants!$B$29,MAX(0,Constants!$B$27*Constants!$B$28*INT(ROUND((Constants!$B$26-$AL292)/Constants!$B$28,6))))+MIN(Constants!$B$29,MAX(0,Constants!$B$27*Constants!$B$28*INT(ROUND((Constants!$B$26-$AM292)/Constants!$B$28,6))))+MIN(Constants!$B$29,MAX(0,Constants!$B$27*Constants!$B$28*INT(ROUND((Constants!$B$26-$AN292)/Constants!$B$28,6)))))</f>
        <v/>
      </c>
      <c r="BT292" s="74" t="str">
        <f aca="false">IF($BH292&lt;&gt;Constants!$B$4,"",IF(NOT($AJ292),0,Constants!$B$31*INT(ROUND(MAX(0,MIN($BF292,2*$AF$9)-$AF$9),6))))</f>
        <v/>
      </c>
      <c r="BU292" s="74" t="str">
        <f aca="false">IF($BH292&lt;&gt;Constants!$B$4,"",Constants!$B$32*(($AL292&gt;Constants!$B$26)+($AM292&gt;Constants!$B$26)+($AN292&gt;Constants!$B$26)))</f>
        <v/>
      </c>
      <c r="BV292" s="74" t="str">
        <f aca="false">IF($BH292&lt;&gt;Constants!$B$4,"",IF(OR(NOT($AJ292),$AO292),0,Constants!$B$33))</f>
        <v/>
      </c>
      <c r="BW292" s="74" t="str">
        <f aca="false">IF($BH292&lt;&gt;Constants!$B$4,"",Constants!$B$34*$BJ292)</f>
        <v/>
      </c>
      <c r="BX292" s="74" t="str">
        <f aca="false">IF($BH292&lt;&gt;Constants!$B$4,"",IF(OR(NOT($AJ292),$BE292),0,Constants!$B$36))</f>
        <v/>
      </c>
      <c r="BY292" s="74" t="str">
        <f aca="false">IF($BH292&lt;&gt;Constants!$B$4,"",IF(OR(NOT($AJ292),$BD292),0,Constants!$B$37))</f>
        <v/>
      </c>
      <c r="BZ292" s="74" t="str">
        <f aca="false">IF($BH292&lt;&gt;Constants!$B$4,"",SUM($BT292:$BY292))</f>
        <v/>
      </c>
      <c r="CA292" s="74" t="str">
        <f aca="false">IF(ISBLANK($C292),"",IF($BH292&lt;&gt;Constants!$B$4,$BH292,SUM($BK292:$BS292)-$BZ292))</f>
        <v/>
      </c>
      <c r="CB292" s="74" t="str">
        <f aca="false">IF(ISBLANK($C292),"",IF($BH292&lt;&gt;Constants!$B$4,$BH292,RANK($CA292,$CA$9:$CA$508)))</f>
        <v/>
      </c>
      <c r="CC292" s="74" t="str">
        <f aca="false">IF(ISBLANK($C292),"",IF($BH292&lt;&gt;Constants!$B$4,$BH292,COUNTIFS($BI$9:$BI$508,"&lt;"&amp;$BI292)+COUNTIFS($BI$9:$BI$508,$BI292,$CB$9:$CB$508,"&lt;"&amp;$CB292)+1))</f>
        <v/>
      </c>
      <c r="CD292" s="74" t="str">
        <f aca="false">IF(ISBLANK($C292),"",IF($BH292&lt;&gt;Constants!$B$4,$BH292,RANK($BZ292,$BZ$9:$BZ$508,1)))</f>
        <v/>
      </c>
      <c r="CE292" s="74" t="str">
        <f aca="false">IF($BH292&lt;&gt;Constants!$B$4,"",$AL292+$AM292+$AN292)</f>
        <v/>
      </c>
      <c r="CF292" s="74" t="str">
        <f aca="false">IF(ISBLANK($C292),"",IF($BH292&lt;&gt;Constants!$B$4,$BH292,RANK($CE292,$CE$9:$CE$508,1)))</f>
        <v/>
      </c>
      <c r="CG292" s="74" t="str">
        <f aca="false">IF(ISBLANK($C292),"",IF($BH292&lt;&gt;Constants!$B$4,$BH292,COUNTIFS($BI$9:$BI$508,"&lt;"&amp;$BI292)+COUNTIFS($BI$9:$BI$508,$BI292,$CB$9:$CB$508,"&lt;"&amp;$CB292)+COUNTIFS($BI$9:$BI$508,$BI292,$CB$9:$CB$508,$CB292,$CD$9:$CD$508,"&lt;"&amp;$CD292)+COUNTIFS($BI$9:$BI$508,$BI292,$CB$9:$CB$508,$CB292,$CD$9:$CD$508,$CD292,$CF$9:$CF$508,"&lt;"&amp;$CF292)+1))</f>
        <v/>
      </c>
      <c r="CH292" s="74" t="str">
        <f aca="false">IF(ISBLANK($C292),"",IF($BH292&lt;&gt;Constants!$B$4,$BH292,$CC292-$CG292))</f>
        <v/>
      </c>
      <c r="CI292" s="74" t="str">
        <f aca="false">IF(ISBLANK($C292),"",IF(NOT($AJ292),"",IF(ISBLANK($D$7),$CI$5,IF(NOT(ISNUMBER($D$7)),$CI$6,""))))</f>
        <v/>
      </c>
      <c r="CJ292" s="74" t="str">
        <f aca="false">IF(ISBLANK($C292),"",OR($AL292="",$AM292="",$AN292=""))</f>
        <v/>
      </c>
      <c r="CK292" s="74" t="str">
        <f aca="false">IF(ISBLANK($C292),"",AND($AJ292,$AX292=""))</f>
        <v/>
      </c>
      <c r="CL292" s="74" t="str">
        <f aca="false">IF(ISBLANK($C292),"",AND($AJ292,$AY292=""))</f>
        <v/>
      </c>
      <c r="CM292" s="74" t="str">
        <f aca="false">IF(ISBLANK($C292),"",AND($AJ292,$AZ292=""))</f>
        <v/>
      </c>
      <c r="CN292" s="74" t="str">
        <f aca="false">IF(ISBLANK($C292),"",AND($AJ292,$BC292=""))</f>
        <v/>
      </c>
      <c r="CO292" s="74" t="str">
        <f aca="false">IF(ISBLANK($C292),"",AND($AJ292,$BF292=""))</f>
        <v/>
      </c>
      <c r="CP292" s="75"/>
      <c r="CQ292" s="76"/>
      <c r="CR292" s="79" t="str">
        <f aca="false">IF(ISBLANK($C292),"",IF($BH292=Constants!$B$8,$CI292,""))</f>
        <v/>
      </c>
      <c r="CS292" s="76" t="str">
        <f aca="false">IF(ISBLANK($C292),"",IF($BH292&lt;&gt;Constants!$B$4,"",$BK292+$BL292))</f>
        <v/>
      </c>
      <c r="CT292" s="78" t="str">
        <f aca="false">IF(ISBLANK($C292),"",IF($BH292&lt;&gt;Constants!$B$4,"",$BM292+$BN292+$BO292))</f>
        <v/>
      </c>
      <c r="CU292" s="78" t="str">
        <f aca="false">IF(ISBLANK($C292),"",IF($BH292&lt;&gt;Constants!$B$4,"",$BP292))</f>
        <v/>
      </c>
      <c r="CV292" s="78" t="str">
        <f aca="false">IF(ISBLANK($C292),"",IF($BH292&lt;&gt;Constants!$B$4,"",$BQ292+$BR292))</f>
        <v/>
      </c>
      <c r="CW292" s="78" t="str">
        <f aca="false">IF(ISBLANK($C292),"",IF($BH292&lt;&gt;Constants!$B$4,"",$BS292))</f>
        <v/>
      </c>
      <c r="CX292" s="78" t="str">
        <f aca="false">IF(ISBLANK($C292),"",IF($BH292&lt;&gt;Constants!$B$4,"",-$BZ292))</f>
        <v/>
      </c>
      <c r="CY292" s="79" t="str">
        <f aca="false">IF(ISBLANK($C292),"",$CA292)</f>
        <v/>
      </c>
      <c r="CZ292" s="80" t="str">
        <f aca="false">IF(ISBLANK($C292),"",$BI292)</f>
        <v/>
      </c>
      <c r="DA292" s="78" t="str">
        <f aca="false">IF(ISBLANK($C292),"",$CH292)</f>
        <v/>
      </c>
      <c r="DB292" s="78" t="str">
        <f aca="false">IF(ISBLANK($C292),"",$CG292)</f>
        <v/>
      </c>
      <c r="DC292" s="81" t="str">
        <f aca="false">IF(ISBLANK($C292),"",IFERROR(_xlfn.SWITCH($DB292,Constants!$B$7,COUNTA($C$9:$C$508)+2,Constants!$B$6,COUNTA($C$9:$C$508)+1,Constants!$B$5,COUNTA($C$9:$C$508)),$DB292))</f>
        <v/>
      </c>
      <c r="DD292" s="7"/>
      <c r="DE292" s="82" t="n">
        <f aca="false">IF(OR(ISNUMBER($DB292),$DB292=Constants!$B$7,$DB292=Constants!$B$5,$DB292=Constants!$B$6),1,0)</f>
        <v>0</v>
      </c>
      <c r="DF292" s="82" t="n">
        <v>284</v>
      </c>
      <c r="DG292" s="82" t="str">
        <f aca="false">IF(ISBLANK($C292),"",IF(ISNUMBER($DC292),$DC292+ROW($B292)/1000,""))</f>
        <v/>
      </c>
      <c r="DH292" s="82" t="str">
        <f aca="false">IF(ISNUMBER($DG292),RANK($DG292,$DG$9:$DG$508,1),"")</f>
        <v/>
      </c>
      <c r="DI292" s="82" t="str">
        <f aca="false">IF(ISBLANK($C292),"",$B292)</f>
        <v/>
      </c>
      <c r="DJ292" s="82" t="str">
        <f aca="false">IF(ISBLANK($C292),"",$C292)</f>
        <v/>
      </c>
      <c r="DK292" s="82" t="str">
        <f aca="false">IF(ISBLANK($C292),"",$D292)</f>
        <v/>
      </c>
      <c r="DL292" s="83" t="str">
        <f aca="false">$CZ292</f>
        <v/>
      </c>
      <c r="DM292" s="84" t="str">
        <f aca="false">$CY292</f>
        <v/>
      </c>
      <c r="DN292" s="82" t="str">
        <f aca="false">IF(ISBLANK($C292),"",$DB292)</f>
        <v/>
      </c>
      <c r="DO292" s="85" t="str">
        <f aca="false">IF($DF292&gt;$DE$8,"",VLOOKUP($DF292,$DH$9:$DN$508,7,FALSE()))</f>
        <v/>
      </c>
      <c r="DP292" s="86" t="str">
        <f aca="false">IF($DF292&gt;$DE$8,"",VLOOKUP($DF292,$DH$9:$DN$508,2,FALSE()))</f>
        <v/>
      </c>
      <c r="DQ292" s="86" t="str">
        <f aca="false">IF($DF292&gt;$DE$8,"",VLOOKUP($DF292,$DH$9:$DN$508,3,FALSE()))</f>
        <v/>
      </c>
      <c r="DR292" s="86" t="str">
        <f aca="false">IF($DF292&gt;$DE$8,"",VLOOKUP($DF292,$DH$9:$DN$508,4,FALSE()))</f>
        <v/>
      </c>
      <c r="DS292" s="86" t="str">
        <f aca="false">IF($DF292&gt;$DE$8,"",VLOOKUP($DF292,$DH$9:$DN$508,5,FALSE()))</f>
        <v/>
      </c>
      <c r="DT292" s="87" t="str">
        <f aca="false">IF($DF292&gt;$DE$8,"",VLOOKUP($DF292,$DH$9:$DN$508,6,FALSE()))</f>
        <v/>
      </c>
      <c r="DU292" s="62"/>
    </row>
    <row r="293" customFormat="false" ht="15.75" hidden="false" customHeight="false" outlineLevel="0" collapsed="false">
      <c r="A293" s="7"/>
      <c r="B293" s="64"/>
      <c r="C293" s="65"/>
      <c r="D293" s="123"/>
      <c r="E293" s="88"/>
      <c r="F293" s="134"/>
      <c r="G293" s="88"/>
      <c r="H293" s="134"/>
      <c r="I293" s="119"/>
      <c r="J293" s="119"/>
      <c r="K293" s="119"/>
      <c r="L293" s="88"/>
      <c r="M293" s="88"/>
      <c r="N293" s="88"/>
      <c r="O293" s="134"/>
      <c r="P293" s="88"/>
      <c r="Q293" s="88"/>
      <c r="R293" s="88"/>
      <c r="S293" s="88"/>
      <c r="T293" s="134"/>
      <c r="U293" s="88"/>
      <c r="V293" s="70"/>
      <c r="W293" s="88"/>
      <c r="X293" s="88"/>
      <c r="Y293" s="70"/>
      <c r="Z293" s="70"/>
      <c r="AA293" s="88"/>
      <c r="AB293" s="88"/>
      <c r="AC293" s="71"/>
      <c r="AD293" s="88"/>
      <c r="AE293" s="73"/>
      <c r="AF293" s="74"/>
      <c r="AG293" s="74"/>
      <c r="AH293" s="74" t="str">
        <f aca="false">IF(ISBLANK($C293),"",IF($E293=Constants!$B$2,TRUE(),IF($E293=Constants!$B$3,FALSE(),TRUE())))</f>
        <v/>
      </c>
      <c r="AI293" s="74" t="str">
        <f aca="false">IF(ISBLANK($C293),"",IF($F293=Constants!$B$2,TRUE(),IF($F293=Constants!$B$3,FALSE(),FALSE())))</f>
        <v/>
      </c>
      <c r="AJ293" s="74" t="str">
        <f aca="false">IF(ISBLANK($C293),"",IF($G293=Constants!$B$2,TRUE(),IF($G293=Constants!$B$3,FALSE(),TRUE())))</f>
        <v/>
      </c>
      <c r="AK293" s="74" t="str">
        <f aca="false">IF(ISBLANK($C293),"",IF($H293=Constants!$B$2,TRUE(),IF($H293=Constants!$B$3,FALSE(),TRUE())))</f>
        <v/>
      </c>
      <c r="AL293" s="74" t="str">
        <f aca="false">IF(ISBLANK($C293),"",IF(ISNUMBER($I293),IF($I293&gt;=0,$I293,""),""))</f>
        <v/>
      </c>
      <c r="AM293" s="74" t="str">
        <f aca="false">IF(ISBLANK($C293),"",IF(ISNUMBER($J293),IF($J293&gt;=0,$J293,""),""))</f>
        <v/>
      </c>
      <c r="AN293" s="74" t="str">
        <f aca="false">IF(ISBLANK($C293),"",IF(ISNUMBER($K293),IF($K293&gt;=0,$K293,""),""))</f>
        <v/>
      </c>
      <c r="AO293" s="74" t="str">
        <f aca="false">IF(ISBLANK($C293),"",IF($L293=Constants!$B$2,TRUE(),IF($L293=Constants!$B$3,FALSE(),TRUE())))</f>
        <v/>
      </c>
      <c r="AP293" s="74" t="str">
        <f aca="false">IF(ISBLANK($C293),"",IF($M293=Constants!$B$2,TRUE(),IF($M293=Constants!$B$3,FALSE(),TRUE())))</f>
        <v/>
      </c>
      <c r="AQ293" s="74" t="str">
        <f aca="false">IF(ISBLANK($C293),"",IF($N293=Constants!$B$2,TRUE(),IF($N293=Constants!$B$3,FALSE(),FALSE())))</f>
        <v/>
      </c>
      <c r="AR293" s="74" t="str">
        <f aca="false">IF(ISBLANK($C293),"",IF($O293=Constants!$B$2,TRUE(),IF($O293=Constants!$B$3,FALSE(),TRUE())))</f>
        <v/>
      </c>
      <c r="AS293" s="74" t="str">
        <f aca="false">IF(ISBLANK($C293),"",IF($P293=Constants!$B$2,TRUE(),IF($P293=Constants!$B$3,FALSE(),FALSE())))</f>
        <v/>
      </c>
      <c r="AT293" s="74" t="str">
        <f aca="false">IF(ISBLANK($C293),"",IF($Q293=Constants!$B$2,TRUE(),IF($Q293=Constants!$B$3,FALSE(),FALSE())))</f>
        <v/>
      </c>
      <c r="AU293" s="74" t="str">
        <f aca="false">IF(ISBLANK($C293),"",IF($R293=Constants!$B$2,TRUE(),IF($R293=Constants!$B$3,FALSE(),FALSE())))</f>
        <v/>
      </c>
      <c r="AV293" s="74" t="str">
        <f aca="false">IF(ISBLANK($C293),"",IF($S293=Constants!$B$2,TRUE(),IF($S293=Constants!$B$3,FALSE(),FALSE())))</f>
        <v/>
      </c>
      <c r="AW293" s="74" t="str">
        <f aca="false">IF(ISBLANK($C293),"",IF($T293=Constants!$B$2,TRUE(),IF($T293=Constants!$B$3,FALSE(),FALSE())))</f>
        <v/>
      </c>
      <c r="AX293" s="74" t="str">
        <f aca="false">IF(ISBLANK($C293),"",IF(OR($U293&amp;""="1",$U293&amp;""="2",$U293&amp;""="3",$U293&amp;""="4"),VALUE($U293&amp;""),IF($U293=Constants!$B$12,Constants!$B$12,"")))</f>
        <v/>
      </c>
      <c r="AY293" s="74" t="str">
        <f aca="false">IF(ISBLANK($C293),"",IF(ISBLANK($V293),0,IF(ISNUMBER($V293),IF(AND($V293&gt;=0,$V293&lt;=Constants!$B$21,$V293=INT($V293)),$V293,""),"")))</f>
        <v/>
      </c>
      <c r="AZ293" s="74" t="str">
        <f aca="false">IF(ISBLANK($C293),"",IF(ISBLANK($W293),0,IF(ISNUMBER($W293),IF($W293&gt;=0,$W293,""),"")))</f>
        <v/>
      </c>
      <c r="BA293" s="74" t="str">
        <f aca="false">IF(ISBLANK($C293),"",IF($X293=Constants!$B$2,TRUE(),IF($X293=Constants!$B$3,FALSE(),TRUE())))</f>
        <v/>
      </c>
      <c r="BB293" s="74" t="str">
        <f aca="false">IF(ISBLANK($C293),"",IF($Y293=Constants!$B$2,TRUE(),IF($Y293=Constants!$B$3,FALSE(),FALSE())))</f>
        <v/>
      </c>
      <c r="BC293" s="74" t="str">
        <f aca="false">IF(ISBLANK($C293),"",IF(ISBLANK($Z293),0,IF(ISNUMBER($Z293),IF(AND($Z293&gt;=0,$Z293&lt;=Constants!$B$35,$Z293=INT($Z293)),$Z293,""),"")))</f>
        <v/>
      </c>
      <c r="BD293" s="74" t="str">
        <f aca="false">IF(ISBLANK($C293),"",IF($AA293=Constants!$B$2,TRUE(),IF($AA293=Constants!$B$3,FALSE(),TRUE())))</f>
        <v/>
      </c>
      <c r="BE293" s="74" t="str">
        <f aca="false">IF(ISBLANK($C293),"",IF($AB293=Constants!$B$2,TRUE(),IF($AB293=Constants!$B$3,FALSE(),TRUE())))</f>
        <v/>
      </c>
      <c r="BF293" s="74" t="str">
        <f aca="false">IF(ISBLANK($C293),"",IF(ISNUMBER($AC293),IF($AC293&gt;=0,$AC293,""),""))</f>
        <v/>
      </c>
      <c r="BG293" s="74" t="str">
        <f aca="false">IF(ISBLANK($C293),"",IF($AD293=Constants!$B$2,TRUE(),IF($AD293=Constants!$B$3,FALSE(),FALSE())))</f>
        <v/>
      </c>
      <c r="BH293" s="73" t="str">
        <f aca="false">IF(ISBLANK($C293),"",IF($BG293,Constants!$B$7,IF(COUNTA($E293:$AC293)=0,Constants!$B$6,IF(OR(COUNTA($G293:$AC293)=0,NOT($AK293),$AQ293),Constants!$B$5,IF(OR($CI293&lt;&gt;"",$CJ293,$CK293,$CL293,$CM293,$CN293,$CO293),Constants!$B$8,Constants!$B$4)))))</f>
        <v/>
      </c>
      <c r="BI293" s="74" t="str">
        <f aca="false">IF(ISBLANK($C293),"",IF($BH293&lt;&gt;Constants!$B$4,$BH293,IF(OR(NOT($AH293),NOT($AJ293),NOT($AR293)),Constants!$B$11,IF(OR(NOT($AP293),MAX($AL293,$AM293,$AN293)&gt;Constants!$B$30),Constants!$B$10,Constants!$B$9))))</f>
        <v/>
      </c>
      <c r="BJ293" s="74" t="str">
        <f aca="false">IF($BH293&lt;&gt;Constants!$B$4,"",IF(NOT($AJ293),0,MIN(Constants!$B$35,$BC293)))</f>
        <v/>
      </c>
      <c r="BK293" s="74" t="str">
        <f aca="false">IF($BH293&lt;&gt;Constants!$B$4,"",IF(NOT($AJ293),0,IF($AT293,Constants!$B$18,IF($AS293,Constants!$B$17,0))))</f>
        <v/>
      </c>
      <c r="BL293" s="74" t="str">
        <f aca="false">IF($BH293&lt;&gt;Constants!$B$4,"",IF(NOT($AJ293),0,Constants!$B$19*($AI293+$AU293+$AV293+$AW293)))</f>
        <v/>
      </c>
      <c r="BM293" s="74" t="str">
        <f aca="false">IF($BH293&lt;&gt;Constants!$B$4,"",IF(OR(NOT($AJ293),NOT(ISNUMBER($AX293))),0,CHOOSE($AX293,Constants!$B$13,Constants!$B$14,Constants!$B$15,Constants!$B$16)))</f>
        <v/>
      </c>
      <c r="BN293" s="74" t="str">
        <f aca="false">IF($BH293&lt;&gt;Constants!$B$4,"",IF(NOT($AJ293),0,Constants!$B$20*$AY293))</f>
        <v/>
      </c>
      <c r="BO293" s="74" t="str">
        <f aca="false">IF($BH293&lt;&gt;Constants!$B$4,"",IF(AND($AJ293,$BA293,$BB293),Constants!$B$22,0))</f>
        <v/>
      </c>
      <c r="BP293" s="74" t="str">
        <f aca="false">IF($BH293&lt;&gt;Constants!$B$4,"",IF(OR(NOT($AJ293),NOT($BA293)),0,IF($BF293&gt;=2*$AF$9,0,Constants!$B$23*INT(ROUND(MIN($BF293,$AF$9),6)))))</f>
        <v/>
      </c>
      <c r="BQ293" s="74" t="str">
        <f aca="false">IF($BH293&lt;&gt;Constants!$B$4,"",IF(NOT($AJ293),0,Constants!$B$24*INT(ROUND(MIN($AZ293,$AF$9),6))))</f>
        <v/>
      </c>
      <c r="BR293" s="74" t="str">
        <f aca="false">IF($BH293&lt;&gt;Constants!$B$4,"",IF(AND($AJ293,$BJ293=0),Constants!$B$25,0))</f>
        <v/>
      </c>
      <c r="BS293" s="74" t="str">
        <f aca="false">IF($BH293&lt;&gt;Constants!$B$4,"",MIN(Constants!$B$29,MAX(0,Constants!$B$27*Constants!$B$28*INT(ROUND((Constants!$B$26-$AL293)/Constants!$B$28,6))))+MIN(Constants!$B$29,MAX(0,Constants!$B$27*Constants!$B$28*INT(ROUND((Constants!$B$26-$AM293)/Constants!$B$28,6))))+MIN(Constants!$B$29,MAX(0,Constants!$B$27*Constants!$B$28*INT(ROUND((Constants!$B$26-$AN293)/Constants!$B$28,6)))))</f>
        <v/>
      </c>
      <c r="BT293" s="74" t="str">
        <f aca="false">IF($BH293&lt;&gt;Constants!$B$4,"",IF(NOT($AJ293),0,Constants!$B$31*INT(ROUND(MAX(0,MIN($BF293,2*$AF$9)-$AF$9),6))))</f>
        <v/>
      </c>
      <c r="BU293" s="74" t="str">
        <f aca="false">IF($BH293&lt;&gt;Constants!$B$4,"",Constants!$B$32*(($AL293&gt;Constants!$B$26)+($AM293&gt;Constants!$B$26)+($AN293&gt;Constants!$B$26)))</f>
        <v/>
      </c>
      <c r="BV293" s="74" t="str">
        <f aca="false">IF($BH293&lt;&gt;Constants!$B$4,"",IF(OR(NOT($AJ293),$AO293),0,Constants!$B$33))</f>
        <v/>
      </c>
      <c r="BW293" s="74" t="str">
        <f aca="false">IF($BH293&lt;&gt;Constants!$B$4,"",Constants!$B$34*$BJ293)</f>
        <v/>
      </c>
      <c r="BX293" s="74" t="str">
        <f aca="false">IF($BH293&lt;&gt;Constants!$B$4,"",IF(OR(NOT($AJ293),$BE293),0,Constants!$B$36))</f>
        <v/>
      </c>
      <c r="BY293" s="74" t="str">
        <f aca="false">IF($BH293&lt;&gt;Constants!$B$4,"",IF(OR(NOT($AJ293),$BD293),0,Constants!$B$37))</f>
        <v/>
      </c>
      <c r="BZ293" s="74" t="str">
        <f aca="false">IF($BH293&lt;&gt;Constants!$B$4,"",SUM($BT293:$BY293))</f>
        <v/>
      </c>
      <c r="CA293" s="74" t="str">
        <f aca="false">IF(ISBLANK($C293),"",IF($BH293&lt;&gt;Constants!$B$4,$BH293,SUM($BK293:$BS293)-$BZ293))</f>
        <v/>
      </c>
      <c r="CB293" s="74" t="str">
        <f aca="false">IF(ISBLANK($C293),"",IF($BH293&lt;&gt;Constants!$B$4,$BH293,RANK($CA293,$CA$9:$CA$508)))</f>
        <v/>
      </c>
      <c r="CC293" s="74" t="str">
        <f aca="false">IF(ISBLANK($C293),"",IF($BH293&lt;&gt;Constants!$B$4,$BH293,COUNTIFS($BI$9:$BI$508,"&lt;"&amp;$BI293)+COUNTIFS($BI$9:$BI$508,$BI293,$CB$9:$CB$508,"&lt;"&amp;$CB293)+1))</f>
        <v/>
      </c>
      <c r="CD293" s="74" t="str">
        <f aca="false">IF(ISBLANK($C293),"",IF($BH293&lt;&gt;Constants!$B$4,$BH293,RANK($BZ293,$BZ$9:$BZ$508,1)))</f>
        <v/>
      </c>
      <c r="CE293" s="74" t="str">
        <f aca="false">IF($BH293&lt;&gt;Constants!$B$4,"",$AL293+$AM293+$AN293)</f>
        <v/>
      </c>
      <c r="CF293" s="74" t="str">
        <f aca="false">IF(ISBLANK($C293),"",IF($BH293&lt;&gt;Constants!$B$4,$BH293,RANK($CE293,$CE$9:$CE$508,1)))</f>
        <v/>
      </c>
      <c r="CG293" s="74" t="str">
        <f aca="false">IF(ISBLANK($C293),"",IF($BH293&lt;&gt;Constants!$B$4,$BH293,COUNTIFS($BI$9:$BI$508,"&lt;"&amp;$BI293)+COUNTIFS($BI$9:$BI$508,$BI293,$CB$9:$CB$508,"&lt;"&amp;$CB293)+COUNTIFS($BI$9:$BI$508,$BI293,$CB$9:$CB$508,$CB293,$CD$9:$CD$508,"&lt;"&amp;$CD293)+COUNTIFS($BI$9:$BI$508,$BI293,$CB$9:$CB$508,$CB293,$CD$9:$CD$508,$CD293,$CF$9:$CF$508,"&lt;"&amp;$CF293)+1))</f>
        <v/>
      </c>
      <c r="CH293" s="74" t="str">
        <f aca="false">IF(ISBLANK($C293),"",IF($BH293&lt;&gt;Constants!$B$4,$BH293,$CC293-$CG293))</f>
        <v/>
      </c>
      <c r="CI293" s="74" t="str">
        <f aca="false">IF(ISBLANK($C293),"",IF(NOT($AJ293),"",IF(ISBLANK($D$7),$CI$5,IF(NOT(ISNUMBER($D$7)),$CI$6,""))))</f>
        <v/>
      </c>
      <c r="CJ293" s="74" t="str">
        <f aca="false">IF(ISBLANK($C293),"",OR($AL293="",$AM293="",$AN293=""))</f>
        <v/>
      </c>
      <c r="CK293" s="74" t="str">
        <f aca="false">IF(ISBLANK($C293),"",AND($AJ293,$AX293=""))</f>
        <v/>
      </c>
      <c r="CL293" s="74" t="str">
        <f aca="false">IF(ISBLANK($C293),"",AND($AJ293,$AY293=""))</f>
        <v/>
      </c>
      <c r="CM293" s="74" t="str">
        <f aca="false">IF(ISBLANK($C293),"",AND($AJ293,$AZ293=""))</f>
        <v/>
      </c>
      <c r="CN293" s="74" t="str">
        <f aca="false">IF(ISBLANK($C293),"",AND($AJ293,$BC293=""))</f>
        <v/>
      </c>
      <c r="CO293" s="74" t="str">
        <f aca="false">IF(ISBLANK($C293),"",AND($AJ293,$BF293=""))</f>
        <v/>
      </c>
      <c r="CP293" s="75"/>
      <c r="CQ293" s="76"/>
      <c r="CR293" s="79" t="str">
        <f aca="false">IF(ISBLANK($C293),"",IF($BH293=Constants!$B$8,$CI293,""))</f>
        <v/>
      </c>
      <c r="CS293" s="76" t="str">
        <f aca="false">IF(ISBLANK($C293),"",IF($BH293&lt;&gt;Constants!$B$4,"",$BK293+$BL293))</f>
        <v/>
      </c>
      <c r="CT293" s="78" t="str">
        <f aca="false">IF(ISBLANK($C293),"",IF($BH293&lt;&gt;Constants!$B$4,"",$BM293+$BN293+$BO293))</f>
        <v/>
      </c>
      <c r="CU293" s="78" t="str">
        <f aca="false">IF(ISBLANK($C293),"",IF($BH293&lt;&gt;Constants!$B$4,"",$BP293))</f>
        <v/>
      </c>
      <c r="CV293" s="78" t="str">
        <f aca="false">IF(ISBLANK($C293),"",IF($BH293&lt;&gt;Constants!$B$4,"",$BQ293+$BR293))</f>
        <v/>
      </c>
      <c r="CW293" s="78" t="str">
        <f aca="false">IF(ISBLANK($C293),"",IF($BH293&lt;&gt;Constants!$B$4,"",$BS293))</f>
        <v/>
      </c>
      <c r="CX293" s="78" t="str">
        <f aca="false">IF(ISBLANK($C293),"",IF($BH293&lt;&gt;Constants!$B$4,"",-$BZ293))</f>
        <v/>
      </c>
      <c r="CY293" s="79" t="str">
        <f aca="false">IF(ISBLANK($C293),"",$CA293)</f>
        <v/>
      </c>
      <c r="CZ293" s="80" t="str">
        <f aca="false">IF(ISBLANK($C293),"",$BI293)</f>
        <v/>
      </c>
      <c r="DA293" s="78" t="str">
        <f aca="false">IF(ISBLANK($C293),"",$CH293)</f>
        <v/>
      </c>
      <c r="DB293" s="78" t="str">
        <f aca="false">IF(ISBLANK($C293),"",$CG293)</f>
        <v/>
      </c>
      <c r="DC293" s="81" t="str">
        <f aca="false">IF(ISBLANK($C293),"",IFERROR(_xlfn.SWITCH($DB293,Constants!$B$7,COUNTA($C$9:$C$508)+2,Constants!$B$6,COUNTA($C$9:$C$508)+1,Constants!$B$5,COUNTA($C$9:$C$508)),$DB293))</f>
        <v/>
      </c>
      <c r="DD293" s="7"/>
      <c r="DE293" s="82" t="n">
        <f aca="false">IF(OR(ISNUMBER($DB293),$DB293=Constants!$B$7,$DB293=Constants!$B$5,$DB293=Constants!$B$6),1,0)</f>
        <v>0</v>
      </c>
      <c r="DF293" s="82" t="n">
        <v>285</v>
      </c>
      <c r="DG293" s="82" t="str">
        <f aca="false">IF(ISBLANK($C293),"",IF(ISNUMBER($DC293),$DC293+ROW($B293)/1000,""))</f>
        <v/>
      </c>
      <c r="DH293" s="82" t="str">
        <f aca="false">IF(ISNUMBER($DG293),RANK($DG293,$DG$9:$DG$508,1),"")</f>
        <v/>
      </c>
      <c r="DI293" s="82" t="str">
        <f aca="false">IF(ISBLANK($C293),"",$B293)</f>
        <v/>
      </c>
      <c r="DJ293" s="82" t="str">
        <f aca="false">IF(ISBLANK($C293),"",$C293)</f>
        <v/>
      </c>
      <c r="DK293" s="82" t="str">
        <f aca="false">IF(ISBLANK($C293),"",$D293)</f>
        <v/>
      </c>
      <c r="DL293" s="83" t="str">
        <f aca="false">$CZ293</f>
        <v/>
      </c>
      <c r="DM293" s="84" t="str">
        <f aca="false">$CY293</f>
        <v/>
      </c>
      <c r="DN293" s="82" t="str">
        <f aca="false">IF(ISBLANK($C293),"",$DB293)</f>
        <v/>
      </c>
      <c r="DO293" s="85" t="str">
        <f aca="false">IF($DF293&gt;$DE$8,"",VLOOKUP($DF293,$DH$9:$DN$508,7,FALSE()))</f>
        <v/>
      </c>
      <c r="DP293" s="86" t="str">
        <f aca="false">IF($DF293&gt;$DE$8,"",VLOOKUP($DF293,$DH$9:$DN$508,2,FALSE()))</f>
        <v/>
      </c>
      <c r="DQ293" s="86" t="str">
        <f aca="false">IF($DF293&gt;$DE$8,"",VLOOKUP($DF293,$DH$9:$DN$508,3,FALSE()))</f>
        <v/>
      </c>
      <c r="DR293" s="86" t="str">
        <f aca="false">IF($DF293&gt;$DE$8,"",VLOOKUP($DF293,$DH$9:$DN$508,4,FALSE()))</f>
        <v/>
      </c>
      <c r="DS293" s="86" t="str">
        <f aca="false">IF($DF293&gt;$DE$8,"",VLOOKUP($DF293,$DH$9:$DN$508,5,FALSE()))</f>
        <v/>
      </c>
      <c r="DT293" s="87" t="str">
        <f aca="false">IF($DF293&gt;$DE$8,"",VLOOKUP($DF293,$DH$9:$DN$508,6,FALSE()))</f>
        <v/>
      </c>
      <c r="DU293" s="62"/>
    </row>
    <row r="294" customFormat="false" ht="15.75" hidden="false" customHeight="false" outlineLevel="0" collapsed="false">
      <c r="A294" s="7"/>
      <c r="B294" s="90"/>
      <c r="C294" s="91"/>
      <c r="D294" s="126"/>
      <c r="E294" s="130"/>
      <c r="F294" s="135"/>
      <c r="G294" s="130"/>
      <c r="H294" s="135"/>
      <c r="I294" s="131"/>
      <c r="J294" s="131"/>
      <c r="K294" s="131"/>
      <c r="L294" s="130"/>
      <c r="M294" s="130"/>
      <c r="N294" s="130"/>
      <c r="O294" s="135"/>
      <c r="P294" s="130"/>
      <c r="Q294" s="130"/>
      <c r="R294" s="130"/>
      <c r="S294" s="130"/>
      <c r="T294" s="135"/>
      <c r="U294" s="130"/>
      <c r="V294" s="96"/>
      <c r="W294" s="130"/>
      <c r="X294" s="130"/>
      <c r="Y294" s="96"/>
      <c r="Z294" s="96"/>
      <c r="AA294" s="130"/>
      <c r="AB294" s="130"/>
      <c r="AC294" s="97"/>
      <c r="AD294" s="130"/>
      <c r="AE294" s="99"/>
      <c r="AF294" s="100"/>
      <c r="AG294" s="100"/>
      <c r="AH294" s="100" t="str">
        <f aca="false">IF(ISBLANK($C294),"",IF($E294=Constants!$B$2,TRUE(),IF($E294=Constants!$B$3,FALSE(),TRUE())))</f>
        <v/>
      </c>
      <c r="AI294" s="100" t="str">
        <f aca="false">IF(ISBLANK($C294),"",IF($F294=Constants!$B$2,TRUE(),IF($F294=Constants!$B$3,FALSE(),FALSE())))</f>
        <v/>
      </c>
      <c r="AJ294" s="100" t="str">
        <f aca="false">IF(ISBLANK($C294),"",IF($G294=Constants!$B$2,TRUE(),IF($G294=Constants!$B$3,FALSE(),TRUE())))</f>
        <v/>
      </c>
      <c r="AK294" s="100" t="str">
        <f aca="false">IF(ISBLANK($C294),"",IF($H294=Constants!$B$2,TRUE(),IF($H294=Constants!$B$3,FALSE(),TRUE())))</f>
        <v/>
      </c>
      <c r="AL294" s="100" t="str">
        <f aca="false">IF(ISBLANK($C294),"",IF(ISNUMBER($I294),IF($I294&gt;=0,$I294,""),""))</f>
        <v/>
      </c>
      <c r="AM294" s="100" t="str">
        <f aca="false">IF(ISBLANK($C294),"",IF(ISNUMBER($J294),IF($J294&gt;=0,$J294,""),""))</f>
        <v/>
      </c>
      <c r="AN294" s="100" t="str">
        <f aca="false">IF(ISBLANK($C294),"",IF(ISNUMBER($K294),IF($K294&gt;=0,$K294,""),""))</f>
        <v/>
      </c>
      <c r="AO294" s="100" t="str">
        <f aca="false">IF(ISBLANK($C294),"",IF($L294=Constants!$B$2,TRUE(),IF($L294=Constants!$B$3,FALSE(),TRUE())))</f>
        <v/>
      </c>
      <c r="AP294" s="100" t="str">
        <f aca="false">IF(ISBLANK($C294),"",IF($M294=Constants!$B$2,TRUE(),IF($M294=Constants!$B$3,FALSE(),TRUE())))</f>
        <v/>
      </c>
      <c r="AQ294" s="100" t="str">
        <f aca="false">IF(ISBLANK($C294),"",IF($N294=Constants!$B$2,TRUE(),IF($N294=Constants!$B$3,FALSE(),FALSE())))</f>
        <v/>
      </c>
      <c r="AR294" s="100" t="str">
        <f aca="false">IF(ISBLANK($C294),"",IF($O294=Constants!$B$2,TRUE(),IF($O294=Constants!$B$3,FALSE(),TRUE())))</f>
        <v/>
      </c>
      <c r="AS294" s="100" t="str">
        <f aca="false">IF(ISBLANK($C294),"",IF($P294=Constants!$B$2,TRUE(),IF($P294=Constants!$B$3,FALSE(),FALSE())))</f>
        <v/>
      </c>
      <c r="AT294" s="100" t="str">
        <f aca="false">IF(ISBLANK($C294),"",IF($Q294=Constants!$B$2,TRUE(),IF($Q294=Constants!$B$3,FALSE(),FALSE())))</f>
        <v/>
      </c>
      <c r="AU294" s="100" t="str">
        <f aca="false">IF(ISBLANK($C294),"",IF($R294=Constants!$B$2,TRUE(),IF($R294=Constants!$B$3,FALSE(),FALSE())))</f>
        <v/>
      </c>
      <c r="AV294" s="100" t="str">
        <f aca="false">IF(ISBLANK($C294),"",IF($S294=Constants!$B$2,TRUE(),IF($S294=Constants!$B$3,FALSE(),FALSE())))</f>
        <v/>
      </c>
      <c r="AW294" s="100" t="str">
        <f aca="false">IF(ISBLANK($C294),"",IF($T294=Constants!$B$2,TRUE(),IF($T294=Constants!$B$3,FALSE(),FALSE())))</f>
        <v/>
      </c>
      <c r="AX294" s="100" t="str">
        <f aca="false">IF(ISBLANK($C294),"",IF(OR($U294&amp;""="1",$U294&amp;""="2",$U294&amp;""="3",$U294&amp;""="4"),VALUE($U294&amp;""),IF($U294=Constants!$B$12,Constants!$B$12,"")))</f>
        <v/>
      </c>
      <c r="AY294" s="100" t="str">
        <f aca="false">IF(ISBLANK($C294),"",IF(ISBLANK($V294),0,IF(ISNUMBER($V294),IF(AND($V294&gt;=0,$V294&lt;=Constants!$B$21,$V294=INT($V294)),$V294,""),"")))</f>
        <v/>
      </c>
      <c r="AZ294" s="100" t="str">
        <f aca="false">IF(ISBLANK($C294),"",IF(ISBLANK($W294),0,IF(ISNUMBER($W294),IF($W294&gt;=0,$W294,""),"")))</f>
        <v/>
      </c>
      <c r="BA294" s="100" t="str">
        <f aca="false">IF(ISBLANK($C294),"",IF($X294=Constants!$B$2,TRUE(),IF($X294=Constants!$B$3,FALSE(),TRUE())))</f>
        <v/>
      </c>
      <c r="BB294" s="100" t="str">
        <f aca="false">IF(ISBLANK($C294),"",IF($Y294=Constants!$B$2,TRUE(),IF($Y294=Constants!$B$3,FALSE(),FALSE())))</f>
        <v/>
      </c>
      <c r="BC294" s="100" t="str">
        <f aca="false">IF(ISBLANK($C294),"",IF(ISBLANK($Z294),0,IF(ISNUMBER($Z294),IF(AND($Z294&gt;=0,$Z294&lt;=Constants!$B$35,$Z294=INT($Z294)),$Z294,""),"")))</f>
        <v/>
      </c>
      <c r="BD294" s="100" t="str">
        <f aca="false">IF(ISBLANK($C294),"",IF($AA294=Constants!$B$2,TRUE(),IF($AA294=Constants!$B$3,FALSE(),TRUE())))</f>
        <v/>
      </c>
      <c r="BE294" s="100" t="str">
        <f aca="false">IF(ISBLANK($C294),"",IF($AB294=Constants!$B$2,TRUE(),IF($AB294=Constants!$B$3,FALSE(),TRUE())))</f>
        <v/>
      </c>
      <c r="BF294" s="100" t="str">
        <f aca="false">IF(ISBLANK($C294),"",IF(ISNUMBER($AC294),IF($AC294&gt;=0,$AC294,""),""))</f>
        <v/>
      </c>
      <c r="BG294" s="100" t="str">
        <f aca="false">IF(ISBLANK($C294),"",IF($AD294=Constants!$B$2,TRUE(),IF($AD294=Constants!$B$3,FALSE(),FALSE())))</f>
        <v/>
      </c>
      <c r="BH294" s="99" t="str">
        <f aca="false">IF(ISBLANK($C294),"",IF($BG294,Constants!$B$7,IF(COUNTA($E294:$AC294)=0,Constants!$B$6,IF(OR(COUNTA($G294:$AC294)=0,NOT($AK294),$AQ294),Constants!$B$5,IF(OR($CI294&lt;&gt;"",$CJ294,$CK294,$CL294,$CM294,$CN294,$CO294),Constants!$B$8,Constants!$B$4)))))</f>
        <v/>
      </c>
      <c r="BI294" s="100" t="str">
        <f aca="false">IF(ISBLANK($C294),"",IF($BH294&lt;&gt;Constants!$B$4,$BH294,IF(OR(NOT($AH294),NOT($AJ294),NOT($AR294)),Constants!$B$11,IF(OR(NOT($AP294),MAX($AL294,$AM294,$AN294)&gt;Constants!$B$30),Constants!$B$10,Constants!$B$9))))</f>
        <v/>
      </c>
      <c r="BJ294" s="100" t="str">
        <f aca="false">IF($BH294&lt;&gt;Constants!$B$4,"",IF(NOT($AJ294),0,MIN(Constants!$B$35,$BC294)))</f>
        <v/>
      </c>
      <c r="BK294" s="100" t="str">
        <f aca="false">IF($BH294&lt;&gt;Constants!$B$4,"",IF(NOT($AJ294),0,IF($AT294,Constants!$B$18,IF($AS294,Constants!$B$17,0))))</f>
        <v/>
      </c>
      <c r="BL294" s="100" t="str">
        <f aca="false">IF($BH294&lt;&gt;Constants!$B$4,"",IF(NOT($AJ294),0,Constants!$B$19*($AI294+$AU294+$AV294+$AW294)))</f>
        <v/>
      </c>
      <c r="BM294" s="100" t="str">
        <f aca="false">IF($BH294&lt;&gt;Constants!$B$4,"",IF(OR(NOT($AJ294),NOT(ISNUMBER($AX294))),0,CHOOSE($AX294,Constants!$B$13,Constants!$B$14,Constants!$B$15,Constants!$B$16)))</f>
        <v/>
      </c>
      <c r="BN294" s="100" t="str">
        <f aca="false">IF($BH294&lt;&gt;Constants!$B$4,"",IF(NOT($AJ294),0,Constants!$B$20*$AY294))</f>
        <v/>
      </c>
      <c r="BO294" s="100" t="str">
        <f aca="false">IF($BH294&lt;&gt;Constants!$B$4,"",IF(AND($AJ294,$BA294,$BB294),Constants!$B$22,0))</f>
        <v/>
      </c>
      <c r="BP294" s="100" t="str">
        <f aca="false">IF($BH294&lt;&gt;Constants!$B$4,"",IF(OR(NOT($AJ294),NOT($BA294)),0,IF($BF294&gt;=2*$AF$9,0,Constants!$B$23*INT(ROUND(MIN($BF294,$AF$9),6)))))</f>
        <v/>
      </c>
      <c r="BQ294" s="100" t="str">
        <f aca="false">IF($BH294&lt;&gt;Constants!$B$4,"",IF(NOT($AJ294),0,Constants!$B$24*INT(ROUND(MIN($AZ294,$AF$9),6))))</f>
        <v/>
      </c>
      <c r="BR294" s="100" t="str">
        <f aca="false">IF($BH294&lt;&gt;Constants!$B$4,"",IF(AND($AJ294,$BJ294=0),Constants!$B$25,0))</f>
        <v/>
      </c>
      <c r="BS294" s="100" t="str">
        <f aca="false">IF($BH294&lt;&gt;Constants!$B$4,"",MIN(Constants!$B$29,MAX(0,Constants!$B$27*Constants!$B$28*INT(ROUND((Constants!$B$26-$AL294)/Constants!$B$28,6))))+MIN(Constants!$B$29,MAX(0,Constants!$B$27*Constants!$B$28*INT(ROUND((Constants!$B$26-$AM294)/Constants!$B$28,6))))+MIN(Constants!$B$29,MAX(0,Constants!$B$27*Constants!$B$28*INT(ROUND((Constants!$B$26-$AN294)/Constants!$B$28,6)))))</f>
        <v/>
      </c>
      <c r="BT294" s="100" t="str">
        <f aca="false">IF($BH294&lt;&gt;Constants!$B$4,"",IF(NOT($AJ294),0,Constants!$B$31*INT(ROUND(MAX(0,MIN($BF294,2*$AF$9)-$AF$9),6))))</f>
        <v/>
      </c>
      <c r="BU294" s="100" t="str">
        <f aca="false">IF($BH294&lt;&gt;Constants!$B$4,"",Constants!$B$32*(($AL294&gt;Constants!$B$26)+($AM294&gt;Constants!$B$26)+($AN294&gt;Constants!$B$26)))</f>
        <v/>
      </c>
      <c r="BV294" s="100" t="str">
        <f aca="false">IF($BH294&lt;&gt;Constants!$B$4,"",IF(OR(NOT($AJ294),$AO294),0,Constants!$B$33))</f>
        <v/>
      </c>
      <c r="BW294" s="100" t="str">
        <f aca="false">IF($BH294&lt;&gt;Constants!$B$4,"",Constants!$B$34*$BJ294)</f>
        <v/>
      </c>
      <c r="BX294" s="100" t="str">
        <f aca="false">IF($BH294&lt;&gt;Constants!$B$4,"",IF(OR(NOT($AJ294),$BE294),0,Constants!$B$36))</f>
        <v/>
      </c>
      <c r="BY294" s="100" t="str">
        <f aca="false">IF($BH294&lt;&gt;Constants!$B$4,"",IF(OR(NOT($AJ294),$BD294),0,Constants!$B$37))</f>
        <v/>
      </c>
      <c r="BZ294" s="100" t="str">
        <f aca="false">IF($BH294&lt;&gt;Constants!$B$4,"",SUM($BT294:$BY294))</f>
        <v/>
      </c>
      <c r="CA294" s="100" t="str">
        <f aca="false">IF(ISBLANK($C294),"",IF($BH294&lt;&gt;Constants!$B$4,$BH294,SUM($BK294:$BS294)-$BZ294))</f>
        <v/>
      </c>
      <c r="CB294" s="100" t="str">
        <f aca="false">IF(ISBLANK($C294),"",IF($BH294&lt;&gt;Constants!$B$4,$BH294,RANK($CA294,$CA$9:$CA$508)))</f>
        <v/>
      </c>
      <c r="CC294" s="100" t="str">
        <f aca="false">IF(ISBLANK($C294),"",IF($BH294&lt;&gt;Constants!$B$4,$BH294,COUNTIFS($BI$9:$BI$508,"&lt;"&amp;$BI294)+COUNTIFS($BI$9:$BI$508,$BI294,$CB$9:$CB$508,"&lt;"&amp;$CB294)+1))</f>
        <v/>
      </c>
      <c r="CD294" s="100" t="str">
        <f aca="false">IF(ISBLANK($C294),"",IF($BH294&lt;&gt;Constants!$B$4,$BH294,RANK($BZ294,$BZ$9:$BZ$508,1)))</f>
        <v/>
      </c>
      <c r="CE294" s="100" t="str">
        <f aca="false">IF($BH294&lt;&gt;Constants!$B$4,"",$AL294+$AM294+$AN294)</f>
        <v/>
      </c>
      <c r="CF294" s="100" t="str">
        <f aca="false">IF(ISBLANK($C294),"",IF($BH294&lt;&gt;Constants!$B$4,$BH294,RANK($CE294,$CE$9:$CE$508,1)))</f>
        <v/>
      </c>
      <c r="CG294" s="100" t="str">
        <f aca="false">IF(ISBLANK($C294),"",IF($BH294&lt;&gt;Constants!$B$4,$BH294,COUNTIFS($BI$9:$BI$508,"&lt;"&amp;$BI294)+COUNTIFS($BI$9:$BI$508,$BI294,$CB$9:$CB$508,"&lt;"&amp;$CB294)+COUNTIFS($BI$9:$BI$508,$BI294,$CB$9:$CB$508,$CB294,$CD$9:$CD$508,"&lt;"&amp;$CD294)+COUNTIFS($BI$9:$BI$508,$BI294,$CB$9:$CB$508,$CB294,$CD$9:$CD$508,$CD294,$CF$9:$CF$508,"&lt;"&amp;$CF294)+1))</f>
        <v/>
      </c>
      <c r="CH294" s="100" t="str">
        <f aca="false">IF(ISBLANK($C294),"",IF($BH294&lt;&gt;Constants!$B$4,$BH294,$CC294-$CG294))</f>
        <v/>
      </c>
      <c r="CI294" s="100" t="str">
        <f aca="false">IF(ISBLANK($C294),"",IF(NOT($AJ294),"",IF(ISBLANK($D$7),$CI$5,IF(NOT(ISNUMBER($D$7)),$CI$6,""))))</f>
        <v/>
      </c>
      <c r="CJ294" s="100" t="str">
        <f aca="false">IF(ISBLANK($C294),"",OR($AL294="",$AM294="",$AN294=""))</f>
        <v/>
      </c>
      <c r="CK294" s="100" t="str">
        <f aca="false">IF(ISBLANK($C294),"",AND($AJ294,$AX294=""))</f>
        <v/>
      </c>
      <c r="CL294" s="100" t="str">
        <f aca="false">IF(ISBLANK($C294),"",AND($AJ294,$AY294=""))</f>
        <v/>
      </c>
      <c r="CM294" s="100" t="str">
        <f aca="false">IF(ISBLANK($C294),"",AND($AJ294,$AZ294=""))</f>
        <v/>
      </c>
      <c r="CN294" s="100" t="str">
        <f aca="false">IF(ISBLANK($C294),"",AND($AJ294,$BC294=""))</f>
        <v/>
      </c>
      <c r="CO294" s="100" t="str">
        <f aca="false">IF(ISBLANK($C294),"",AND($AJ294,$BF294=""))</f>
        <v/>
      </c>
      <c r="CP294" s="101"/>
      <c r="CQ294" s="102"/>
      <c r="CR294" s="103" t="str">
        <f aca="false">IF(ISBLANK($C294),"",IF($BH294=Constants!$B$8,$CI294,""))</f>
        <v/>
      </c>
      <c r="CS294" s="102" t="str">
        <f aca="false">IF(ISBLANK($C294),"",IF($BH294&lt;&gt;Constants!$B$4,"",$BK294+$BL294))</f>
        <v/>
      </c>
      <c r="CT294" s="104" t="str">
        <f aca="false">IF(ISBLANK($C294),"",IF($BH294&lt;&gt;Constants!$B$4,"",$BM294+$BN294+$BO294))</f>
        <v/>
      </c>
      <c r="CU294" s="104" t="str">
        <f aca="false">IF(ISBLANK($C294),"",IF($BH294&lt;&gt;Constants!$B$4,"",$BP294))</f>
        <v/>
      </c>
      <c r="CV294" s="104" t="str">
        <f aca="false">IF(ISBLANK($C294),"",IF($BH294&lt;&gt;Constants!$B$4,"",$BQ294+$BR294))</f>
        <v/>
      </c>
      <c r="CW294" s="104" t="str">
        <f aca="false">IF(ISBLANK($C294),"",IF($BH294&lt;&gt;Constants!$B$4,"",$BS294))</f>
        <v/>
      </c>
      <c r="CX294" s="104" t="str">
        <f aca="false">IF(ISBLANK($C294),"",IF($BH294&lt;&gt;Constants!$B$4,"",-$BZ294))</f>
        <v/>
      </c>
      <c r="CY294" s="103" t="str">
        <f aca="false">IF(ISBLANK($C294),"",$CA294)</f>
        <v/>
      </c>
      <c r="CZ294" s="105" t="str">
        <f aca="false">IF(ISBLANK($C294),"",$BI294)</f>
        <v/>
      </c>
      <c r="DA294" s="104" t="str">
        <f aca="false">IF(ISBLANK($C294),"",$CH294)</f>
        <v/>
      </c>
      <c r="DB294" s="104" t="str">
        <f aca="false">IF(ISBLANK($C294),"",$CG294)</f>
        <v/>
      </c>
      <c r="DC294" s="106" t="str">
        <f aca="false">IF(ISBLANK($C294),"",IFERROR(_xlfn.SWITCH($DB294,Constants!$B$7,COUNTA($C$9:$C$508)+2,Constants!$B$6,COUNTA($C$9:$C$508)+1,Constants!$B$5,COUNTA($C$9:$C$508)),$DB294))</f>
        <v/>
      </c>
      <c r="DD294" s="7"/>
      <c r="DE294" s="107" t="n">
        <f aca="false">IF(OR(ISNUMBER($DB294),$DB294=Constants!$B$7,$DB294=Constants!$B$5,$DB294=Constants!$B$6),1,0)</f>
        <v>0</v>
      </c>
      <c r="DF294" s="107" t="n">
        <v>286</v>
      </c>
      <c r="DG294" s="107" t="str">
        <f aca="false">IF(ISBLANK($C294),"",IF(ISNUMBER($DC294),$DC294+ROW($B294)/1000,""))</f>
        <v/>
      </c>
      <c r="DH294" s="107" t="str">
        <f aca="false">IF(ISNUMBER($DG294),RANK($DG294,$DG$9:$DG$508,1),"")</f>
        <v/>
      </c>
      <c r="DI294" s="107" t="str">
        <f aca="false">IF(ISBLANK($C294),"",$B294)</f>
        <v/>
      </c>
      <c r="DJ294" s="107" t="str">
        <f aca="false">IF(ISBLANK($C294),"",$C294)</f>
        <v/>
      </c>
      <c r="DK294" s="107" t="str">
        <f aca="false">IF(ISBLANK($C294),"",$D294)</f>
        <v/>
      </c>
      <c r="DL294" s="108" t="str">
        <f aca="false">$CZ294</f>
        <v/>
      </c>
      <c r="DM294" s="109" t="str">
        <f aca="false">$CY294</f>
        <v/>
      </c>
      <c r="DN294" s="107" t="str">
        <f aca="false">IF(ISBLANK($C294),"",$DB294)</f>
        <v/>
      </c>
      <c r="DO294" s="110" t="str">
        <f aca="false">IF($DF294&gt;$DE$8,"",VLOOKUP($DF294,$DH$9:$DN$508,7,FALSE()))</f>
        <v/>
      </c>
      <c r="DP294" s="111" t="str">
        <f aca="false">IF($DF294&gt;$DE$8,"",VLOOKUP($DF294,$DH$9:$DN$508,2,FALSE()))</f>
        <v/>
      </c>
      <c r="DQ294" s="111" t="str">
        <f aca="false">IF($DF294&gt;$DE$8,"",VLOOKUP($DF294,$DH$9:$DN$508,3,FALSE()))</f>
        <v/>
      </c>
      <c r="DR294" s="111" t="str">
        <f aca="false">IF($DF294&gt;$DE$8,"",VLOOKUP($DF294,$DH$9:$DN$508,4,FALSE()))</f>
        <v/>
      </c>
      <c r="DS294" s="111" t="str">
        <f aca="false">IF($DF294&gt;$DE$8,"",VLOOKUP($DF294,$DH$9:$DN$508,5,FALSE()))</f>
        <v/>
      </c>
      <c r="DT294" s="112" t="str">
        <f aca="false">IF($DF294&gt;$DE$8,"",VLOOKUP($DF294,$DH$9:$DN$508,6,FALSE()))</f>
        <v/>
      </c>
      <c r="DU294" s="62"/>
    </row>
    <row r="295" customFormat="false" ht="15.75" hidden="false" customHeight="false" outlineLevel="0" collapsed="false">
      <c r="A295" s="7"/>
      <c r="B295" s="90"/>
      <c r="C295" s="91"/>
      <c r="D295" s="126"/>
      <c r="E295" s="130"/>
      <c r="F295" s="135"/>
      <c r="G295" s="130"/>
      <c r="H295" s="135"/>
      <c r="I295" s="131"/>
      <c r="J295" s="131"/>
      <c r="K295" s="131"/>
      <c r="L295" s="130"/>
      <c r="M295" s="130"/>
      <c r="N295" s="130"/>
      <c r="O295" s="135"/>
      <c r="P295" s="130"/>
      <c r="Q295" s="130"/>
      <c r="R295" s="130"/>
      <c r="S295" s="130"/>
      <c r="T295" s="135"/>
      <c r="U295" s="130"/>
      <c r="V295" s="96"/>
      <c r="W295" s="130"/>
      <c r="X295" s="130"/>
      <c r="Y295" s="96"/>
      <c r="Z295" s="96"/>
      <c r="AA295" s="130"/>
      <c r="AB295" s="130"/>
      <c r="AC295" s="97"/>
      <c r="AD295" s="130"/>
      <c r="AE295" s="99"/>
      <c r="AF295" s="100"/>
      <c r="AG295" s="100"/>
      <c r="AH295" s="100" t="str">
        <f aca="false">IF(ISBLANK($C295),"",IF($E295=Constants!$B$2,TRUE(),IF($E295=Constants!$B$3,FALSE(),TRUE())))</f>
        <v/>
      </c>
      <c r="AI295" s="100" t="str">
        <f aca="false">IF(ISBLANK($C295),"",IF($F295=Constants!$B$2,TRUE(),IF($F295=Constants!$B$3,FALSE(),FALSE())))</f>
        <v/>
      </c>
      <c r="AJ295" s="100" t="str">
        <f aca="false">IF(ISBLANK($C295),"",IF($G295=Constants!$B$2,TRUE(),IF($G295=Constants!$B$3,FALSE(),TRUE())))</f>
        <v/>
      </c>
      <c r="AK295" s="100" t="str">
        <f aca="false">IF(ISBLANK($C295),"",IF($H295=Constants!$B$2,TRUE(),IF($H295=Constants!$B$3,FALSE(),TRUE())))</f>
        <v/>
      </c>
      <c r="AL295" s="100" t="str">
        <f aca="false">IF(ISBLANK($C295),"",IF(ISNUMBER($I295),IF($I295&gt;=0,$I295,""),""))</f>
        <v/>
      </c>
      <c r="AM295" s="100" t="str">
        <f aca="false">IF(ISBLANK($C295),"",IF(ISNUMBER($J295),IF($J295&gt;=0,$J295,""),""))</f>
        <v/>
      </c>
      <c r="AN295" s="100" t="str">
        <f aca="false">IF(ISBLANK($C295),"",IF(ISNUMBER($K295),IF($K295&gt;=0,$K295,""),""))</f>
        <v/>
      </c>
      <c r="AO295" s="100" t="str">
        <f aca="false">IF(ISBLANK($C295),"",IF($L295=Constants!$B$2,TRUE(),IF($L295=Constants!$B$3,FALSE(),TRUE())))</f>
        <v/>
      </c>
      <c r="AP295" s="100" t="str">
        <f aca="false">IF(ISBLANK($C295),"",IF($M295=Constants!$B$2,TRUE(),IF($M295=Constants!$B$3,FALSE(),TRUE())))</f>
        <v/>
      </c>
      <c r="AQ295" s="100" t="str">
        <f aca="false">IF(ISBLANK($C295),"",IF($N295=Constants!$B$2,TRUE(),IF($N295=Constants!$B$3,FALSE(),FALSE())))</f>
        <v/>
      </c>
      <c r="AR295" s="100" t="str">
        <f aca="false">IF(ISBLANK($C295),"",IF($O295=Constants!$B$2,TRUE(),IF($O295=Constants!$B$3,FALSE(),TRUE())))</f>
        <v/>
      </c>
      <c r="AS295" s="100" t="str">
        <f aca="false">IF(ISBLANK($C295),"",IF($P295=Constants!$B$2,TRUE(),IF($P295=Constants!$B$3,FALSE(),FALSE())))</f>
        <v/>
      </c>
      <c r="AT295" s="100" t="str">
        <f aca="false">IF(ISBLANK($C295),"",IF($Q295=Constants!$B$2,TRUE(),IF($Q295=Constants!$B$3,FALSE(),FALSE())))</f>
        <v/>
      </c>
      <c r="AU295" s="100" t="str">
        <f aca="false">IF(ISBLANK($C295),"",IF($R295=Constants!$B$2,TRUE(),IF($R295=Constants!$B$3,FALSE(),FALSE())))</f>
        <v/>
      </c>
      <c r="AV295" s="100" t="str">
        <f aca="false">IF(ISBLANK($C295),"",IF($S295=Constants!$B$2,TRUE(),IF($S295=Constants!$B$3,FALSE(),FALSE())))</f>
        <v/>
      </c>
      <c r="AW295" s="100" t="str">
        <f aca="false">IF(ISBLANK($C295),"",IF($T295=Constants!$B$2,TRUE(),IF($T295=Constants!$B$3,FALSE(),FALSE())))</f>
        <v/>
      </c>
      <c r="AX295" s="100" t="str">
        <f aca="false">IF(ISBLANK($C295),"",IF(OR($U295&amp;""="1",$U295&amp;""="2",$U295&amp;""="3",$U295&amp;""="4"),VALUE($U295&amp;""),IF($U295=Constants!$B$12,Constants!$B$12,"")))</f>
        <v/>
      </c>
      <c r="AY295" s="100" t="str">
        <f aca="false">IF(ISBLANK($C295),"",IF(ISBLANK($V295),0,IF(ISNUMBER($V295),IF(AND($V295&gt;=0,$V295&lt;=Constants!$B$21,$V295=INT($V295)),$V295,""),"")))</f>
        <v/>
      </c>
      <c r="AZ295" s="100" t="str">
        <f aca="false">IF(ISBLANK($C295),"",IF(ISBLANK($W295),0,IF(ISNUMBER($W295),IF($W295&gt;=0,$W295,""),"")))</f>
        <v/>
      </c>
      <c r="BA295" s="100" t="str">
        <f aca="false">IF(ISBLANK($C295),"",IF($X295=Constants!$B$2,TRUE(),IF($X295=Constants!$B$3,FALSE(),TRUE())))</f>
        <v/>
      </c>
      <c r="BB295" s="100" t="str">
        <f aca="false">IF(ISBLANK($C295),"",IF($Y295=Constants!$B$2,TRUE(),IF($Y295=Constants!$B$3,FALSE(),FALSE())))</f>
        <v/>
      </c>
      <c r="BC295" s="100" t="str">
        <f aca="false">IF(ISBLANK($C295),"",IF(ISBLANK($Z295),0,IF(ISNUMBER($Z295),IF(AND($Z295&gt;=0,$Z295&lt;=Constants!$B$35,$Z295=INT($Z295)),$Z295,""),"")))</f>
        <v/>
      </c>
      <c r="BD295" s="100" t="str">
        <f aca="false">IF(ISBLANK($C295),"",IF($AA295=Constants!$B$2,TRUE(),IF($AA295=Constants!$B$3,FALSE(),TRUE())))</f>
        <v/>
      </c>
      <c r="BE295" s="100" t="str">
        <f aca="false">IF(ISBLANK($C295),"",IF($AB295=Constants!$B$2,TRUE(),IF($AB295=Constants!$B$3,FALSE(),TRUE())))</f>
        <v/>
      </c>
      <c r="BF295" s="100" t="str">
        <f aca="false">IF(ISBLANK($C295),"",IF(ISNUMBER($AC295),IF($AC295&gt;=0,$AC295,""),""))</f>
        <v/>
      </c>
      <c r="BG295" s="100" t="str">
        <f aca="false">IF(ISBLANK($C295),"",IF($AD295=Constants!$B$2,TRUE(),IF($AD295=Constants!$B$3,FALSE(),FALSE())))</f>
        <v/>
      </c>
      <c r="BH295" s="99" t="str">
        <f aca="false">IF(ISBLANK($C295),"",IF($BG295,Constants!$B$7,IF(COUNTA($E295:$AC295)=0,Constants!$B$6,IF(OR(COUNTA($G295:$AC295)=0,NOT($AK295),$AQ295),Constants!$B$5,IF(OR($CI295&lt;&gt;"",$CJ295,$CK295,$CL295,$CM295,$CN295,$CO295),Constants!$B$8,Constants!$B$4)))))</f>
        <v/>
      </c>
      <c r="BI295" s="100" t="str">
        <f aca="false">IF(ISBLANK($C295),"",IF($BH295&lt;&gt;Constants!$B$4,$BH295,IF(OR(NOT($AH295),NOT($AJ295),NOT($AR295)),Constants!$B$11,IF(OR(NOT($AP295),MAX($AL295,$AM295,$AN295)&gt;Constants!$B$30),Constants!$B$10,Constants!$B$9))))</f>
        <v/>
      </c>
      <c r="BJ295" s="100" t="str">
        <f aca="false">IF($BH295&lt;&gt;Constants!$B$4,"",IF(NOT($AJ295),0,MIN(Constants!$B$35,$BC295)))</f>
        <v/>
      </c>
      <c r="BK295" s="100" t="str">
        <f aca="false">IF($BH295&lt;&gt;Constants!$B$4,"",IF(NOT($AJ295),0,IF($AT295,Constants!$B$18,IF($AS295,Constants!$B$17,0))))</f>
        <v/>
      </c>
      <c r="BL295" s="100" t="str">
        <f aca="false">IF($BH295&lt;&gt;Constants!$B$4,"",IF(NOT($AJ295),0,Constants!$B$19*($AI295+$AU295+$AV295+$AW295)))</f>
        <v/>
      </c>
      <c r="BM295" s="100" t="str">
        <f aca="false">IF($BH295&lt;&gt;Constants!$B$4,"",IF(OR(NOT($AJ295),NOT(ISNUMBER($AX295))),0,CHOOSE($AX295,Constants!$B$13,Constants!$B$14,Constants!$B$15,Constants!$B$16)))</f>
        <v/>
      </c>
      <c r="BN295" s="100" t="str">
        <f aca="false">IF($BH295&lt;&gt;Constants!$B$4,"",IF(NOT($AJ295),0,Constants!$B$20*$AY295))</f>
        <v/>
      </c>
      <c r="BO295" s="100" t="str">
        <f aca="false">IF($BH295&lt;&gt;Constants!$B$4,"",IF(AND($AJ295,$BA295,$BB295),Constants!$B$22,0))</f>
        <v/>
      </c>
      <c r="BP295" s="100" t="str">
        <f aca="false">IF($BH295&lt;&gt;Constants!$B$4,"",IF(OR(NOT($AJ295),NOT($BA295)),0,IF($BF295&gt;=2*$AF$9,0,Constants!$B$23*INT(ROUND(MIN($BF295,$AF$9),6)))))</f>
        <v/>
      </c>
      <c r="BQ295" s="100" t="str">
        <f aca="false">IF($BH295&lt;&gt;Constants!$B$4,"",IF(NOT($AJ295),0,Constants!$B$24*INT(ROUND(MIN($AZ295,$AF$9),6))))</f>
        <v/>
      </c>
      <c r="BR295" s="100" t="str">
        <f aca="false">IF($BH295&lt;&gt;Constants!$B$4,"",IF(AND($AJ295,$BJ295=0),Constants!$B$25,0))</f>
        <v/>
      </c>
      <c r="BS295" s="100" t="str">
        <f aca="false">IF($BH295&lt;&gt;Constants!$B$4,"",MIN(Constants!$B$29,MAX(0,Constants!$B$27*Constants!$B$28*INT(ROUND((Constants!$B$26-$AL295)/Constants!$B$28,6))))+MIN(Constants!$B$29,MAX(0,Constants!$B$27*Constants!$B$28*INT(ROUND((Constants!$B$26-$AM295)/Constants!$B$28,6))))+MIN(Constants!$B$29,MAX(0,Constants!$B$27*Constants!$B$28*INT(ROUND((Constants!$B$26-$AN295)/Constants!$B$28,6)))))</f>
        <v/>
      </c>
      <c r="BT295" s="100" t="str">
        <f aca="false">IF($BH295&lt;&gt;Constants!$B$4,"",IF(NOT($AJ295),0,Constants!$B$31*INT(ROUND(MAX(0,MIN($BF295,2*$AF$9)-$AF$9),6))))</f>
        <v/>
      </c>
      <c r="BU295" s="100" t="str">
        <f aca="false">IF($BH295&lt;&gt;Constants!$B$4,"",Constants!$B$32*(($AL295&gt;Constants!$B$26)+($AM295&gt;Constants!$B$26)+($AN295&gt;Constants!$B$26)))</f>
        <v/>
      </c>
      <c r="BV295" s="100" t="str">
        <f aca="false">IF($BH295&lt;&gt;Constants!$B$4,"",IF(OR(NOT($AJ295),$AO295),0,Constants!$B$33))</f>
        <v/>
      </c>
      <c r="BW295" s="100" t="str">
        <f aca="false">IF($BH295&lt;&gt;Constants!$B$4,"",Constants!$B$34*$BJ295)</f>
        <v/>
      </c>
      <c r="BX295" s="100" t="str">
        <f aca="false">IF($BH295&lt;&gt;Constants!$B$4,"",IF(OR(NOT($AJ295),$BE295),0,Constants!$B$36))</f>
        <v/>
      </c>
      <c r="BY295" s="100" t="str">
        <f aca="false">IF($BH295&lt;&gt;Constants!$B$4,"",IF(OR(NOT($AJ295),$BD295),0,Constants!$B$37))</f>
        <v/>
      </c>
      <c r="BZ295" s="100" t="str">
        <f aca="false">IF($BH295&lt;&gt;Constants!$B$4,"",SUM($BT295:$BY295))</f>
        <v/>
      </c>
      <c r="CA295" s="100" t="str">
        <f aca="false">IF(ISBLANK($C295),"",IF($BH295&lt;&gt;Constants!$B$4,$BH295,SUM($BK295:$BS295)-$BZ295))</f>
        <v/>
      </c>
      <c r="CB295" s="100" t="str">
        <f aca="false">IF(ISBLANK($C295),"",IF($BH295&lt;&gt;Constants!$B$4,$BH295,RANK($CA295,$CA$9:$CA$508)))</f>
        <v/>
      </c>
      <c r="CC295" s="100" t="str">
        <f aca="false">IF(ISBLANK($C295),"",IF($BH295&lt;&gt;Constants!$B$4,$BH295,COUNTIFS($BI$9:$BI$508,"&lt;"&amp;$BI295)+COUNTIFS($BI$9:$BI$508,$BI295,$CB$9:$CB$508,"&lt;"&amp;$CB295)+1))</f>
        <v/>
      </c>
      <c r="CD295" s="100" t="str">
        <f aca="false">IF(ISBLANK($C295),"",IF($BH295&lt;&gt;Constants!$B$4,$BH295,RANK($BZ295,$BZ$9:$BZ$508,1)))</f>
        <v/>
      </c>
      <c r="CE295" s="100" t="str">
        <f aca="false">IF($BH295&lt;&gt;Constants!$B$4,"",$AL295+$AM295+$AN295)</f>
        <v/>
      </c>
      <c r="CF295" s="100" t="str">
        <f aca="false">IF(ISBLANK($C295),"",IF($BH295&lt;&gt;Constants!$B$4,$BH295,RANK($CE295,$CE$9:$CE$508,1)))</f>
        <v/>
      </c>
      <c r="CG295" s="100" t="str">
        <f aca="false">IF(ISBLANK($C295),"",IF($BH295&lt;&gt;Constants!$B$4,$BH295,COUNTIFS($BI$9:$BI$508,"&lt;"&amp;$BI295)+COUNTIFS($BI$9:$BI$508,$BI295,$CB$9:$CB$508,"&lt;"&amp;$CB295)+COUNTIFS($BI$9:$BI$508,$BI295,$CB$9:$CB$508,$CB295,$CD$9:$CD$508,"&lt;"&amp;$CD295)+COUNTIFS($BI$9:$BI$508,$BI295,$CB$9:$CB$508,$CB295,$CD$9:$CD$508,$CD295,$CF$9:$CF$508,"&lt;"&amp;$CF295)+1))</f>
        <v/>
      </c>
      <c r="CH295" s="100" t="str">
        <f aca="false">IF(ISBLANK($C295),"",IF($BH295&lt;&gt;Constants!$B$4,$BH295,$CC295-$CG295))</f>
        <v/>
      </c>
      <c r="CI295" s="100" t="str">
        <f aca="false">IF(ISBLANK($C295),"",IF(NOT($AJ295),"",IF(ISBLANK($D$7),$CI$5,IF(NOT(ISNUMBER($D$7)),$CI$6,""))))</f>
        <v/>
      </c>
      <c r="CJ295" s="100" t="str">
        <f aca="false">IF(ISBLANK($C295),"",OR($AL295="",$AM295="",$AN295=""))</f>
        <v/>
      </c>
      <c r="CK295" s="100" t="str">
        <f aca="false">IF(ISBLANK($C295),"",AND($AJ295,$AX295=""))</f>
        <v/>
      </c>
      <c r="CL295" s="100" t="str">
        <f aca="false">IF(ISBLANK($C295),"",AND($AJ295,$AY295=""))</f>
        <v/>
      </c>
      <c r="CM295" s="100" t="str">
        <f aca="false">IF(ISBLANK($C295),"",AND($AJ295,$AZ295=""))</f>
        <v/>
      </c>
      <c r="CN295" s="100" t="str">
        <f aca="false">IF(ISBLANK($C295),"",AND($AJ295,$BC295=""))</f>
        <v/>
      </c>
      <c r="CO295" s="100" t="str">
        <f aca="false">IF(ISBLANK($C295),"",AND($AJ295,$BF295=""))</f>
        <v/>
      </c>
      <c r="CP295" s="101"/>
      <c r="CQ295" s="102"/>
      <c r="CR295" s="103" t="str">
        <f aca="false">IF(ISBLANK($C295),"",IF($BH295=Constants!$B$8,$CI295,""))</f>
        <v/>
      </c>
      <c r="CS295" s="102" t="str">
        <f aca="false">IF(ISBLANK($C295),"",IF($BH295&lt;&gt;Constants!$B$4,"",$BK295+$BL295))</f>
        <v/>
      </c>
      <c r="CT295" s="104" t="str">
        <f aca="false">IF(ISBLANK($C295),"",IF($BH295&lt;&gt;Constants!$B$4,"",$BM295+$BN295+$BO295))</f>
        <v/>
      </c>
      <c r="CU295" s="104" t="str">
        <f aca="false">IF(ISBLANK($C295),"",IF($BH295&lt;&gt;Constants!$B$4,"",$BP295))</f>
        <v/>
      </c>
      <c r="CV295" s="104" t="str">
        <f aca="false">IF(ISBLANK($C295),"",IF($BH295&lt;&gt;Constants!$B$4,"",$BQ295+$BR295))</f>
        <v/>
      </c>
      <c r="CW295" s="104" t="str">
        <f aca="false">IF(ISBLANK($C295),"",IF($BH295&lt;&gt;Constants!$B$4,"",$BS295))</f>
        <v/>
      </c>
      <c r="CX295" s="104" t="str">
        <f aca="false">IF(ISBLANK($C295),"",IF($BH295&lt;&gt;Constants!$B$4,"",-$BZ295))</f>
        <v/>
      </c>
      <c r="CY295" s="103" t="str">
        <f aca="false">IF(ISBLANK($C295),"",$CA295)</f>
        <v/>
      </c>
      <c r="CZ295" s="105" t="str">
        <f aca="false">IF(ISBLANK($C295),"",$BI295)</f>
        <v/>
      </c>
      <c r="DA295" s="104" t="str">
        <f aca="false">IF(ISBLANK($C295),"",$CH295)</f>
        <v/>
      </c>
      <c r="DB295" s="104" t="str">
        <f aca="false">IF(ISBLANK($C295),"",$CG295)</f>
        <v/>
      </c>
      <c r="DC295" s="106" t="str">
        <f aca="false">IF(ISBLANK($C295),"",IFERROR(_xlfn.SWITCH($DB295,Constants!$B$7,COUNTA($C$9:$C$508)+2,Constants!$B$6,COUNTA($C$9:$C$508)+1,Constants!$B$5,COUNTA($C$9:$C$508)),$DB295))</f>
        <v/>
      </c>
      <c r="DD295" s="7"/>
      <c r="DE295" s="107" t="n">
        <f aca="false">IF(OR(ISNUMBER($DB295),$DB295=Constants!$B$7,$DB295=Constants!$B$5,$DB295=Constants!$B$6),1,0)</f>
        <v>0</v>
      </c>
      <c r="DF295" s="107" t="n">
        <v>287</v>
      </c>
      <c r="DG295" s="107" t="str">
        <f aca="false">IF(ISBLANK($C295),"",IF(ISNUMBER($DC295),$DC295+ROW($B295)/1000,""))</f>
        <v/>
      </c>
      <c r="DH295" s="107" t="str">
        <f aca="false">IF(ISNUMBER($DG295),RANK($DG295,$DG$9:$DG$508,1),"")</f>
        <v/>
      </c>
      <c r="DI295" s="107" t="str">
        <f aca="false">IF(ISBLANK($C295),"",$B295)</f>
        <v/>
      </c>
      <c r="DJ295" s="107" t="str">
        <f aca="false">IF(ISBLANK($C295),"",$C295)</f>
        <v/>
      </c>
      <c r="DK295" s="107" t="str">
        <f aca="false">IF(ISBLANK($C295),"",$D295)</f>
        <v/>
      </c>
      <c r="DL295" s="108" t="str">
        <f aca="false">$CZ295</f>
        <v/>
      </c>
      <c r="DM295" s="109" t="str">
        <f aca="false">$CY295</f>
        <v/>
      </c>
      <c r="DN295" s="107" t="str">
        <f aca="false">IF(ISBLANK($C295),"",$DB295)</f>
        <v/>
      </c>
      <c r="DO295" s="110" t="str">
        <f aca="false">IF($DF295&gt;$DE$8,"",VLOOKUP($DF295,$DH$9:$DN$508,7,FALSE()))</f>
        <v/>
      </c>
      <c r="DP295" s="111" t="str">
        <f aca="false">IF($DF295&gt;$DE$8,"",VLOOKUP($DF295,$DH$9:$DN$508,2,FALSE()))</f>
        <v/>
      </c>
      <c r="DQ295" s="111" t="str">
        <f aca="false">IF($DF295&gt;$DE$8,"",VLOOKUP($DF295,$DH$9:$DN$508,3,FALSE()))</f>
        <v/>
      </c>
      <c r="DR295" s="111" t="str">
        <f aca="false">IF($DF295&gt;$DE$8,"",VLOOKUP($DF295,$DH$9:$DN$508,4,FALSE()))</f>
        <v/>
      </c>
      <c r="DS295" s="111" t="str">
        <f aca="false">IF($DF295&gt;$DE$8,"",VLOOKUP($DF295,$DH$9:$DN$508,5,FALSE()))</f>
        <v/>
      </c>
      <c r="DT295" s="112" t="str">
        <f aca="false">IF($DF295&gt;$DE$8,"",VLOOKUP($DF295,$DH$9:$DN$508,6,FALSE()))</f>
        <v/>
      </c>
      <c r="DU295" s="62"/>
    </row>
    <row r="296" customFormat="false" ht="15.75" hidden="false" customHeight="false" outlineLevel="0" collapsed="false">
      <c r="A296" s="7"/>
      <c r="B296" s="90"/>
      <c r="C296" s="91"/>
      <c r="D296" s="126"/>
      <c r="E296" s="130"/>
      <c r="F296" s="135"/>
      <c r="G296" s="130"/>
      <c r="H296" s="135"/>
      <c r="I296" s="131"/>
      <c r="J296" s="131"/>
      <c r="K296" s="131"/>
      <c r="L296" s="130"/>
      <c r="M296" s="130"/>
      <c r="N296" s="130"/>
      <c r="O296" s="135"/>
      <c r="P296" s="130"/>
      <c r="Q296" s="130"/>
      <c r="R296" s="130"/>
      <c r="S296" s="130"/>
      <c r="T296" s="135"/>
      <c r="U296" s="130"/>
      <c r="V296" s="96"/>
      <c r="W296" s="130"/>
      <c r="X296" s="130"/>
      <c r="Y296" s="96"/>
      <c r="Z296" s="96"/>
      <c r="AA296" s="130"/>
      <c r="AB296" s="130"/>
      <c r="AC296" s="97"/>
      <c r="AD296" s="130"/>
      <c r="AE296" s="99"/>
      <c r="AF296" s="100"/>
      <c r="AG296" s="100"/>
      <c r="AH296" s="100" t="str">
        <f aca="false">IF(ISBLANK($C296),"",IF($E296=Constants!$B$2,TRUE(),IF($E296=Constants!$B$3,FALSE(),TRUE())))</f>
        <v/>
      </c>
      <c r="AI296" s="100" t="str">
        <f aca="false">IF(ISBLANK($C296),"",IF($F296=Constants!$B$2,TRUE(),IF($F296=Constants!$B$3,FALSE(),FALSE())))</f>
        <v/>
      </c>
      <c r="AJ296" s="100" t="str">
        <f aca="false">IF(ISBLANK($C296),"",IF($G296=Constants!$B$2,TRUE(),IF($G296=Constants!$B$3,FALSE(),TRUE())))</f>
        <v/>
      </c>
      <c r="AK296" s="100" t="str">
        <f aca="false">IF(ISBLANK($C296),"",IF($H296=Constants!$B$2,TRUE(),IF($H296=Constants!$B$3,FALSE(),TRUE())))</f>
        <v/>
      </c>
      <c r="AL296" s="100" t="str">
        <f aca="false">IF(ISBLANK($C296),"",IF(ISNUMBER($I296),IF($I296&gt;=0,$I296,""),""))</f>
        <v/>
      </c>
      <c r="AM296" s="100" t="str">
        <f aca="false">IF(ISBLANK($C296),"",IF(ISNUMBER($J296),IF($J296&gt;=0,$J296,""),""))</f>
        <v/>
      </c>
      <c r="AN296" s="100" t="str">
        <f aca="false">IF(ISBLANK($C296),"",IF(ISNUMBER($K296),IF($K296&gt;=0,$K296,""),""))</f>
        <v/>
      </c>
      <c r="AO296" s="100" t="str">
        <f aca="false">IF(ISBLANK($C296),"",IF($L296=Constants!$B$2,TRUE(),IF($L296=Constants!$B$3,FALSE(),TRUE())))</f>
        <v/>
      </c>
      <c r="AP296" s="100" t="str">
        <f aca="false">IF(ISBLANK($C296),"",IF($M296=Constants!$B$2,TRUE(),IF($M296=Constants!$B$3,FALSE(),TRUE())))</f>
        <v/>
      </c>
      <c r="AQ296" s="100" t="str">
        <f aca="false">IF(ISBLANK($C296),"",IF($N296=Constants!$B$2,TRUE(),IF($N296=Constants!$B$3,FALSE(),FALSE())))</f>
        <v/>
      </c>
      <c r="AR296" s="100" t="str">
        <f aca="false">IF(ISBLANK($C296),"",IF($O296=Constants!$B$2,TRUE(),IF($O296=Constants!$B$3,FALSE(),TRUE())))</f>
        <v/>
      </c>
      <c r="AS296" s="100" t="str">
        <f aca="false">IF(ISBLANK($C296),"",IF($P296=Constants!$B$2,TRUE(),IF($P296=Constants!$B$3,FALSE(),FALSE())))</f>
        <v/>
      </c>
      <c r="AT296" s="100" t="str">
        <f aca="false">IF(ISBLANK($C296),"",IF($Q296=Constants!$B$2,TRUE(),IF($Q296=Constants!$B$3,FALSE(),FALSE())))</f>
        <v/>
      </c>
      <c r="AU296" s="100" t="str">
        <f aca="false">IF(ISBLANK($C296),"",IF($R296=Constants!$B$2,TRUE(),IF($R296=Constants!$B$3,FALSE(),FALSE())))</f>
        <v/>
      </c>
      <c r="AV296" s="100" t="str">
        <f aca="false">IF(ISBLANK($C296),"",IF($S296=Constants!$B$2,TRUE(),IF($S296=Constants!$B$3,FALSE(),FALSE())))</f>
        <v/>
      </c>
      <c r="AW296" s="100" t="str">
        <f aca="false">IF(ISBLANK($C296),"",IF($T296=Constants!$B$2,TRUE(),IF($T296=Constants!$B$3,FALSE(),FALSE())))</f>
        <v/>
      </c>
      <c r="AX296" s="100" t="str">
        <f aca="false">IF(ISBLANK($C296),"",IF(OR($U296&amp;""="1",$U296&amp;""="2",$U296&amp;""="3",$U296&amp;""="4"),VALUE($U296&amp;""),IF($U296=Constants!$B$12,Constants!$B$12,"")))</f>
        <v/>
      </c>
      <c r="AY296" s="100" t="str">
        <f aca="false">IF(ISBLANK($C296),"",IF(ISBLANK($V296),0,IF(ISNUMBER($V296),IF(AND($V296&gt;=0,$V296&lt;=Constants!$B$21,$V296=INT($V296)),$V296,""),"")))</f>
        <v/>
      </c>
      <c r="AZ296" s="100" t="str">
        <f aca="false">IF(ISBLANK($C296),"",IF(ISBLANK($W296),0,IF(ISNUMBER($W296),IF($W296&gt;=0,$W296,""),"")))</f>
        <v/>
      </c>
      <c r="BA296" s="100" t="str">
        <f aca="false">IF(ISBLANK($C296),"",IF($X296=Constants!$B$2,TRUE(),IF($X296=Constants!$B$3,FALSE(),TRUE())))</f>
        <v/>
      </c>
      <c r="BB296" s="100" t="str">
        <f aca="false">IF(ISBLANK($C296),"",IF($Y296=Constants!$B$2,TRUE(),IF($Y296=Constants!$B$3,FALSE(),FALSE())))</f>
        <v/>
      </c>
      <c r="BC296" s="100" t="str">
        <f aca="false">IF(ISBLANK($C296),"",IF(ISBLANK($Z296),0,IF(ISNUMBER($Z296),IF(AND($Z296&gt;=0,$Z296&lt;=Constants!$B$35,$Z296=INT($Z296)),$Z296,""),"")))</f>
        <v/>
      </c>
      <c r="BD296" s="100" t="str">
        <f aca="false">IF(ISBLANK($C296),"",IF($AA296=Constants!$B$2,TRUE(),IF($AA296=Constants!$B$3,FALSE(),TRUE())))</f>
        <v/>
      </c>
      <c r="BE296" s="100" t="str">
        <f aca="false">IF(ISBLANK($C296),"",IF($AB296=Constants!$B$2,TRUE(),IF($AB296=Constants!$B$3,FALSE(),TRUE())))</f>
        <v/>
      </c>
      <c r="BF296" s="100" t="str">
        <f aca="false">IF(ISBLANK($C296),"",IF(ISNUMBER($AC296),IF($AC296&gt;=0,$AC296,""),""))</f>
        <v/>
      </c>
      <c r="BG296" s="100" t="str">
        <f aca="false">IF(ISBLANK($C296),"",IF($AD296=Constants!$B$2,TRUE(),IF($AD296=Constants!$B$3,FALSE(),FALSE())))</f>
        <v/>
      </c>
      <c r="BH296" s="99" t="str">
        <f aca="false">IF(ISBLANK($C296),"",IF($BG296,Constants!$B$7,IF(COUNTA($E296:$AC296)=0,Constants!$B$6,IF(OR(COUNTA($G296:$AC296)=0,NOT($AK296),$AQ296),Constants!$B$5,IF(OR($CI296&lt;&gt;"",$CJ296,$CK296,$CL296,$CM296,$CN296,$CO296),Constants!$B$8,Constants!$B$4)))))</f>
        <v/>
      </c>
      <c r="BI296" s="100" t="str">
        <f aca="false">IF(ISBLANK($C296),"",IF($BH296&lt;&gt;Constants!$B$4,$BH296,IF(OR(NOT($AH296),NOT($AJ296),NOT($AR296)),Constants!$B$11,IF(OR(NOT($AP296),MAX($AL296,$AM296,$AN296)&gt;Constants!$B$30),Constants!$B$10,Constants!$B$9))))</f>
        <v/>
      </c>
      <c r="BJ296" s="100" t="str">
        <f aca="false">IF($BH296&lt;&gt;Constants!$B$4,"",IF(NOT($AJ296),0,MIN(Constants!$B$35,$BC296)))</f>
        <v/>
      </c>
      <c r="BK296" s="100" t="str">
        <f aca="false">IF($BH296&lt;&gt;Constants!$B$4,"",IF(NOT($AJ296),0,IF($AT296,Constants!$B$18,IF($AS296,Constants!$B$17,0))))</f>
        <v/>
      </c>
      <c r="BL296" s="100" t="str">
        <f aca="false">IF($BH296&lt;&gt;Constants!$B$4,"",IF(NOT($AJ296),0,Constants!$B$19*($AI296+$AU296+$AV296+$AW296)))</f>
        <v/>
      </c>
      <c r="BM296" s="100" t="str">
        <f aca="false">IF($BH296&lt;&gt;Constants!$B$4,"",IF(OR(NOT($AJ296),NOT(ISNUMBER($AX296))),0,CHOOSE($AX296,Constants!$B$13,Constants!$B$14,Constants!$B$15,Constants!$B$16)))</f>
        <v/>
      </c>
      <c r="BN296" s="100" t="str">
        <f aca="false">IF($BH296&lt;&gt;Constants!$B$4,"",IF(NOT($AJ296),0,Constants!$B$20*$AY296))</f>
        <v/>
      </c>
      <c r="BO296" s="100" t="str">
        <f aca="false">IF($BH296&lt;&gt;Constants!$B$4,"",IF(AND($AJ296,$BA296,$BB296),Constants!$B$22,0))</f>
        <v/>
      </c>
      <c r="BP296" s="100" t="str">
        <f aca="false">IF($BH296&lt;&gt;Constants!$B$4,"",IF(OR(NOT($AJ296),NOT($BA296)),0,IF($BF296&gt;=2*$AF$9,0,Constants!$B$23*INT(ROUND(MIN($BF296,$AF$9),6)))))</f>
        <v/>
      </c>
      <c r="BQ296" s="100" t="str">
        <f aca="false">IF($BH296&lt;&gt;Constants!$B$4,"",IF(NOT($AJ296),0,Constants!$B$24*INT(ROUND(MIN($AZ296,$AF$9),6))))</f>
        <v/>
      </c>
      <c r="BR296" s="100" t="str">
        <f aca="false">IF($BH296&lt;&gt;Constants!$B$4,"",IF(AND($AJ296,$BJ296=0),Constants!$B$25,0))</f>
        <v/>
      </c>
      <c r="BS296" s="100" t="str">
        <f aca="false">IF($BH296&lt;&gt;Constants!$B$4,"",MIN(Constants!$B$29,MAX(0,Constants!$B$27*Constants!$B$28*INT(ROUND((Constants!$B$26-$AL296)/Constants!$B$28,6))))+MIN(Constants!$B$29,MAX(0,Constants!$B$27*Constants!$B$28*INT(ROUND((Constants!$B$26-$AM296)/Constants!$B$28,6))))+MIN(Constants!$B$29,MAX(0,Constants!$B$27*Constants!$B$28*INT(ROUND((Constants!$B$26-$AN296)/Constants!$B$28,6)))))</f>
        <v/>
      </c>
      <c r="BT296" s="100" t="str">
        <f aca="false">IF($BH296&lt;&gt;Constants!$B$4,"",IF(NOT($AJ296),0,Constants!$B$31*INT(ROUND(MAX(0,MIN($BF296,2*$AF$9)-$AF$9),6))))</f>
        <v/>
      </c>
      <c r="BU296" s="100" t="str">
        <f aca="false">IF($BH296&lt;&gt;Constants!$B$4,"",Constants!$B$32*(($AL296&gt;Constants!$B$26)+($AM296&gt;Constants!$B$26)+($AN296&gt;Constants!$B$26)))</f>
        <v/>
      </c>
      <c r="BV296" s="100" t="str">
        <f aca="false">IF($BH296&lt;&gt;Constants!$B$4,"",IF(OR(NOT($AJ296),$AO296),0,Constants!$B$33))</f>
        <v/>
      </c>
      <c r="BW296" s="100" t="str">
        <f aca="false">IF($BH296&lt;&gt;Constants!$B$4,"",Constants!$B$34*$BJ296)</f>
        <v/>
      </c>
      <c r="BX296" s="100" t="str">
        <f aca="false">IF($BH296&lt;&gt;Constants!$B$4,"",IF(OR(NOT($AJ296),$BE296),0,Constants!$B$36))</f>
        <v/>
      </c>
      <c r="BY296" s="100" t="str">
        <f aca="false">IF($BH296&lt;&gt;Constants!$B$4,"",IF(OR(NOT($AJ296),$BD296),0,Constants!$B$37))</f>
        <v/>
      </c>
      <c r="BZ296" s="100" t="str">
        <f aca="false">IF($BH296&lt;&gt;Constants!$B$4,"",SUM($BT296:$BY296))</f>
        <v/>
      </c>
      <c r="CA296" s="100" t="str">
        <f aca="false">IF(ISBLANK($C296),"",IF($BH296&lt;&gt;Constants!$B$4,$BH296,SUM($BK296:$BS296)-$BZ296))</f>
        <v/>
      </c>
      <c r="CB296" s="100" t="str">
        <f aca="false">IF(ISBLANK($C296),"",IF($BH296&lt;&gt;Constants!$B$4,$BH296,RANK($CA296,$CA$9:$CA$508)))</f>
        <v/>
      </c>
      <c r="CC296" s="100" t="str">
        <f aca="false">IF(ISBLANK($C296),"",IF($BH296&lt;&gt;Constants!$B$4,$BH296,COUNTIFS($BI$9:$BI$508,"&lt;"&amp;$BI296)+COUNTIFS($BI$9:$BI$508,$BI296,$CB$9:$CB$508,"&lt;"&amp;$CB296)+1))</f>
        <v/>
      </c>
      <c r="CD296" s="100" t="str">
        <f aca="false">IF(ISBLANK($C296),"",IF($BH296&lt;&gt;Constants!$B$4,$BH296,RANK($BZ296,$BZ$9:$BZ$508,1)))</f>
        <v/>
      </c>
      <c r="CE296" s="100" t="str">
        <f aca="false">IF($BH296&lt;&gt;Constants!$B$4,"",$AL296+$AM296+$AN296)</f>
        <v/>
      </c>
      <c r="CF296" s="100" t="str">
        <f aca="false">IF(ISBLANK($C296),"",IF($BH296&lt;&gt;Constants!$B$4,$BH296,RANK($CE296,$CE$9:$CE$508,1)))</f>
        <v/>
      </c>
      <c r="CG296" s="100" t="str">
        <f aca="false">IF(ISBLANK($C296),"",IF($BH296&lt;&gt;Constants!$B$4,$BH296,COUNTIFS($BI$9:$BI$508,"&lt;"&amp;$BI296)+COUNTIFS($BI$9:$BI$508,$BI296,$CB$9:$CB$508,"&lt;"&amp;$CB296)+COUNTIFS($BI$9:$BI$508,$BI296,$CB$9:$CB$508,$CB296,$CD$9:$CD$508,"&lt;"&amp;$CD296)+COUNTIFS($BI$9:$BI$508,$BI296,$CB$9:$CB$508,$CB296,$CD$9:$CD$508,$CD296,$CF$9:$CF$508,"&lt;"&amp;$CF296)+1))</f>
        <v/>
      </c>
      <c r="CH296" s="100" t="str">
        <f aca="false">IF(ISBLANK($C296),"",IF($BH296&lt;&gt;Constants!$B$4,$BH296,$CC296-$CG296))</f>
        <v/>
      </c>
      <c r="CI296" s="100" t="str">
        <f aca="false">IF(ISBLANK($C296),"",IF(NOT($AJ296),"",IF(ISBLANK($D$7),$CI$5,IF(NOT(ISNUMBER($D$7)),$CI$6,""))))</f>
        <v/>
      </c>
      <c r="CJ296" s="100" t="str">
        <f aca="false">IF(ISBLANK($C296),"",OR($AL296="",$AM296="",$AN296=""))</f>
        <v/>
      </c>
      <c r="CK296" s="100" t="str">
        <f aca="false">IF(ISBLANK($C296),"",AND($AJ296,$AX296=""))</f>
        <v/>
      </c>
      <c r="CL296" s="100" t="str">
        <f aca="false">IF(ISBLANK($C296),"",AND($AJ296,$AY296=""))</f>
        <v/>
      </c>
      <c r="CM296" s="100" t="str">
        <f aca="false">IF(ISBLANK($C296),"",AND($AJ296,$AZ296=""))</f>
        <v/>
      </c>
      <c r="CN296" s="100" t="str">
        <f aca="false">IF(ISBLANK($C296),"",AND($AJ296,$BC296=""))</f>
        <v/>
      </c>
      <c r="CO296" s="100" t="str">
        <f aca="false">IF(ISBLANK($C296),"",AND($AJ296,$BF296=""))</f>
        <v/>
      </c>
      <c r="CP296" s="101"/>
      <c r="CQ296" s="102"/>
      <c r="CR296" s="103" t="str">
        <f aca="false">IF(ISBLANK($C296),"",IF($BH296=Constants!$B$8,$CI296,""))</f>
        <v/>
      </c>
      <c r="CS296" s="102" t="str">
        <f aca="false">IF(ISBLANK($C296),"",IF($BH296&lt;&gt;Constants!$B$4,"",$BK296+$BL296))</f>
        <v/>
      </c>
      <c r="CT296" s="104" t="str">
        <f aca="false">IF(ISBLANK($C296),"",IF($BH296&lt;&gt;Constants!$B$4,"",$BM296+$BN296+$BO296))</f>
        <v/>
      </c>
      <c r="CU296" s="104" t="str">
        <f aca="false">IF(ISBLANK($C296),"",IF($BH296&lt;&gt;Constants!$B$4,"",$BP296))</f>
        <v/>
      </c>
      <c r="CV296" s="104" t="str">
        <f aca="false">IF(ISBLANK($C296),"",IF($BH296&lt;&gt;Constants!$B$4,"",$BQ296+$BR296))</f>
        <v/>
      </c>
      <c r="CW296" s="104" t="str">
        <f aca="false">IF(ISBLANK($C296),"",IF($BH296&lt;&gt;Constants!$B$4,"",$BS296))</f>
        <v/>
      </c>
      <c r="CX296" s="104" t="str">
        <f aca="false">IF(ISBLANK($C296),"",IF($BH296&lt;&gt;Constants!$B$4,"",-$BZ296))</f>
        <v/>
      </c>
      <c r="CY296" s="103" t="str">
        <f aca="false">IF(ISBLANK($C296),"",$CA296)</f>
        <v/>
      </c>
      <c r="CZ296" s="105" t="str">
        <f aca="false">IF(ISBLANK($C296),"",$BI296)</f>
        <v/>
      </c>
      <c r="DA296" s="104" t="str">
        <f aca="false">IF(ISBLANK($C296),"",$CH296)</f>
        <v/>
      </c>
      <c r="DB296" s="104" t="str">
        <f aca="false">IF(ISBLANK($C296),"",$CG296)</f>
        <v/>
      </c>
      <c r="DC296" s="106" t="str">
        <f aca="false">IF(ISBLANK($C296),"",IFERROR(_xlfn.SWITCH($DB296,Constants!$B$7,COUNTA($C$9:$C$508)+2,Constants!$B$6,COUNTA($C$9:$C$508)+1,Constants!$B$5,COUNTA($C$9:$C$508)),$DB296))</f>
        <v/>
      </c>
      <c r="DD296" s="7"/>
      <c r="DE296" s="107" t="n">
        <f aca="false">IF(OR(ISNUMBER($DB296),$DB296=Constants!$B$7,$DB296=Constants!$B$5,$DB296=Constants!$B$6),1,0)</f>
        <v>0</v>
      </c>
      <c r="DF296" s="107" t="n">
        <v>288</v>
      </c>
      <c r="DG296" s="107" t="str">
        <f aca="false">IF(ISBLANK($C296),"",IF(ISNUMBER($DC296),$DC296+ROW($B296)/1000,""))</f>
        <v/>
      </c>
      <c r="DH296" s="107" t="str">
        <f aca="false">IF(ISNUMBER($DG296),RANK($DG296,$DG$9:$DG$508,1),"")</f>
        <v/>
      </c>
      <c r="DI296" s="107" t="str">
        <f aca="false">IF(ISBLANK($C296),"",$B296)</f>
        <v/>
      </c>
      <c r="DJ296" s="107" t="str">
        <f aca="false">IF(ISBLANK($C296),"",$C296)</f>
        <v/>
      </c>
      <c r="DK296" s="107" t="str">
        <f aca="false">IF(ISBLANK($C296),"",$D296)</f>
        <v/>
      </c>
      <c r="DL296" s="108" t="str">
        <f aca="false">$CZ296</f>
        <v/>
      </c>
      <c r="DM296" s="109" t="str">
        <f aca="false">$CY296</f>
        <v/>
      </c>
      <c r="DN296" s="107" t="str">
        <f aca="false">IF(ISBLANK($C296),"",$DB296)</f>
        <v/>
      </c>
      <c r="DO296" s="110" t="str">
        <f aca="false">IF($DF296&gt;$DE$8,"",VLOOKUP($DF296,$DH$9:$DN$508,7,FALSE()))</f>
        <v/>
      </c>
      <c r="DP296" s="111" t="str">
        <f aca="false">IF($DF296&gt;$DE$8,"",VLOOKUP($DF296,$DH$9:$DN$508,2,FALSE()))</f>
        <v/>
      </c>
      <c r="DQ296" s="111" t="str">
        <f aca="false">IF($DF296&gt;$DE$8,"",VLOOKUP($DF296,$DH$9:$DN$508,3,FALSE()))</f>
        <v/>
      </c>
      <c r="DR296" s="111" t="str">
        <f aca="false">IF($DF296&gt;$DE$8,"",VLOOKUP($DF296,$DH$9:$DN$508,4,FALSE()))</f>
        <v/>
      </c>
      <c r="DS296" s="111" t="str">
        <f aca="false">IF($DF296&gt;$DE$8,"",VLOOKUP($DF296,$DH$9:$DN$508,5,FALSE()))</f>
        <v/>
      </c>
      <c r="DT296" s="112" t="str">
        <f aca="false">IF($DF296&gt;$DE$8,"",VLOOKUP($DF296,$DH$9:$DN$508,6,FALSE()))</f>
        <v/>
      </c>
      <c r="DU296" s="62"/>
    </row>
    <row r="297" customFormat="false" ht="15.75" hidden="false" customHeight="false" outlineLevel="0" collapsed="false">
      <c r="A297" s="7"/>
      <c r="B297" s="64"/>
      <c r="C297" s="65"/>
      <c r="D297" s="123"/>
      <c r="E297" s="88"/>
      <c r="F297" s="134"/>
      <c r="G297" s="88"/>
      <c r="H297" s="134"/>
      <c r="I297" s="119"/>
      <c r="J297" s="119"/>
      <c r="K297" s="119"/>
      <c r="L297" s="88"/>
      <c r="M297" s="88"/>
      <c r="N297" s="88"/>
      <c r="O297" s="134"/>
      <c r="P297" s="88"/>
      <c r="Q297" s="88"/>
      <c r="R297" s="88"/>
      <c r="S297" s="88"/>
      <c r="T297" s="134"/>
      <c r="U297" s="88"/>
      <c r="V297" s="70"/>
      <c r="W297" s="88"/>
      <c r="X297" s="88"/>
      <c r="Y297" s="70"/>
      <c r="Z297" s="70"/>
      <c r="AA297" s="88"/>
      <c r="AB297" s="88"/>
      <c r="AC297" s="71"/>
      <c r="AD297" s="88"/>
      <c r="AE297" s="73"/>
      <c r="AF297" s="74"/>
      <c r="AG297" s="74"/>
      <c r="AH297" s="74" t="str">
        <f aca="false">IF(ISBLANK($C297),"",IF($E297=Constants!$B$2,TRUE(),IF($E297=Constants!$B$3,FALSE(),TRUE())))</f>
        <v/>
      </c>
      <c r="AI297" s="74" t="str">
        <f aca="false">IF(ISBLANK($C297),"",IF($F297=Constants!$B$2,TRUE(),IF($F297=Constants!$B$3,FALSE(),FALSE())))</f>
        <v/>
      </c>
      <c r="AJ297" s="74" t="str">
        <f aca="false">IF(ISBLANK($C297),"",IF($G297=Constants!$B$2,TRUE(),IF($G297=Constants!$B$3,FALSE(),TRUE())))</f>
        <v/>
      </c>
      <c r="AK297" s="74" t="str">
        <f aca="false">IF(ISBLANK($C297),"",IF($H297=Constants!$B$2,TRUE(),IF($H297=Constants!$B$3,FALSE(),TRUE())))</f>
        <v/>
      </c>
      <c r="AL297" s="74" t="str">
        <f aca="false">IF(ISBLANK($C297),"",IF(ISNUMBER($I297),IF($I297&gt;=0,$I297,""),""))</f>
        <v/>
      </c>
      <c r="AM297" s="74" t="str">
        <f aca="false">IF(ISBLANK($C297),"",IF(ISNUMBER($J297),IF($J297&gt;=0,$J297,""),""))</f>
        <v/>
      </c>
      <c r="AN297" s="74" t="str">
        <f aca="false">IF(ISBLANK($C297),"",IF(ISNUMBER($K297),IF($K297&gt;=0,$K297,""),""))</f>
        <v/>
      </c>
      <c r="AO297" s="74" t="str">
        <f aca="false">IF(ISBLANK($C297),"",IF($L297=Constants!$B$2,TRUE(),IF($L297=Constants!$B$3,FALSE(),TRUE())))</f>
        <v/>
      </c>
      <c r="AP297" s="74" t="str">
        <f aca="false">IF(ISBLANK($C297),"",IF($M297=Constants!$B$2,TRUE(),IF($M297=Constants!$B$3,FALSE(),TRUE())))</f>
        <v/>
      </c>
      <c r="AQ297" s="74" t="str">
        <f aca="false">IF(ISBLANK($C297),"",IF($N297=Constants!$B$2,TRUE(),IF($N297=Constants!$B$3,FALSE(),FALSE())))</f>
        <v/>
      </c>
      <c r="AR297" s="74" t="str">
        <f aca="false">IF(ISBLANK($C297),"",IF($O297=Constants!$B$2,TRUE(),IF($O297=Constants!$B$3,FALSE(),TRUE())))</f>
        <v/>
      </c>
      <c r="AS297" s="74" t="str">
        <f aca="false">IF(ISBLANK($C297),"",IF($P297=Constants!$B$2,TRUE(),IF($P297=Constants!$B$3,FALSE(),FALSE())))</f>
        <v/>
      </c>
      <c r="AT297" s="74" t="str">
        <f aca="false">IF(ISBLANK($C297),"",IF($Q297=Constants!$B$2,TRUE(),IF($Q297=Constants!$B$3,FALSE(),FALSE())))</f>
        <v/>
      </c>
      <c r="AU297" s="74" t="str">
        <f aca="false">IF(ISBLANK($C297),"",IF($R297=Constants!$B$2,TRUE(),IF($R297=Constants!$B$3,FALSE(),FALSE())))</f>
        <v/>
      </c>
      <c r="AV297" s="74" t="str">
        <f aca="false">IF(ISBLANK($C297),"",IF($S297=Constants!$B$2,TRUE(),IF($S297=Constants!$B$3,FALSE(),FALSE())))</f>
        <v/>
      </c>
      <c r="AW297" s="74" t="str">
        <f aca="false">IF(ISBLANK($C297),"",IF($T297=Constants!$B$2,TRUE(),IF($T297=Constants!$B$3,FALSE(),FALSE())))</f>
        <v/>
      </c>
      <c r="AX297" s="74" t="str">
        <f aca="false">IF(ISBLANK($C297),"",IF(OR($U297&amp;""="1",$U297&amp;""="2",$U297&amp;""="3",$U297&amp;""="4"),VALUE($U297&amp;""),IF($U297=Constants!$B$12,Constants!$B$12,"")))</f>
        <v/>
      </c>
      <c r="AY297" s="74" t="str">
        <f aca="false">IF(ISBLANK($C297),"",IF(ISBLANK($V297),0,IF(ISNUMBER($V297),IF(AND($V297&gt;=0,$V297&lt;=Constants!$B$21,$V297=INT($V297)),$V297,""),"")))</f>
        <v/>
      </c>
      <c r="AZ297" s="74" t="str">
        <f aca="false">IF(ISBLANK($C297),"",IF(ISBLANK($W297),0,IF(ISNUMBER($W297),IF($W297&gt;=0,$W297,""),"")))</f>
        <v/>
      </c>
      <c r="BA297" s="74" t="str">
        <f aca="false">IF(ISBLANK($C297),"",IF($X297=Constants!$B$2,TRUE(),IF($X297=Constants!$B$3,FALSE(),TRUE())))</f>
        <v/>
      </c>
      <c r="BB297" s="74" t="str">
        <f aca="false">IF(ISBLANK($C297),"",IF($Y297=Constants!$B$2,TRUE(),IF($Y297=Constants!$B$3,FALSE(),FALSE())))</f>
        <v/>
      </c>
      <c r="BC297" s="74" t="str">
        <f aca="false">IF(ISBLANK($C297),"",IF(ISBLANK($Z297),0,IF(ISNUMBER($Z297),IF(AND($Z297&gt;=0,$Z297&lt;=Constants!$B$35,$Z297=INT($Z297)),$Z297,""),"")))</f>
        <v/>
      </c>
      <c r="BD297" s="74" t="str">
        <f aca="false">IF(ISBLANK($C297),"",IF($AA297=Constants!$B$2,TRUE(),IF($AA297=Constants!$B$3,FALSE(),TRUE())))</f>
        <v/>
      </c>
      <c r="BE297" s="74" t="str">
        <f aca="false">IF(ISBLANK($C297),"",IF($AB297=Constants!$B$2,TRUE(),IF($AB297=Constants!$B$3,FALSE(),TRUE())))</f>
        <v/>
      </c>
      <c r="BF297" s="74" t="str">
        <f aca="false">IF(ISBLANK($C297),"",IF(ISNUMBER($AC297),IF($AC297&gt;=0,$AC297,""),""))</f>
        <v/>
      </c>
      <c r="BG297" s="74" t="str">
        <f aca="false">IF(ISBLANK($C297),"",IF($AD297=Constants!$B$2,TRUE(),IF($AD297=Constants!$B$3,FALSE(),FALSE())))</f>
        <v/>
      </c>
      <c r="BH297" s="73" t="str">
        <f aca="false">IF(ISBLANK($C297),"",IF($BG297,Constants!$B$7,IF(COUNTA($E297:$AC297)=0,Constants!$B$6,IF(OR(COUNTA($G297:$AC297)=0,NOT($AK297),$AQ297),Constants!$B$5,IF(OR($CI297&lt;&gt;"",$CJ297,$CK297,$CL297,$CM297,$CN297,$CO297),Constants!$B$8,Constants!$B$4)))))</f>
        <v/>
      </c>
      <c r="BI297" s="74" t="str">
        <f aca="false">IF(ISBLANK($C297),"",IF($BH297&lt;&gt;Constants!$B$4,$BH297,IF(OR(NOT($AH297),NOT($AJ297),NOT($AR297)),Constants!$B$11,IF(OR(NOT($AP297),MAX($AL297,$AM297,$AN297)&gt;Constants!$B$30),Constants!$B$10,Constants!$B$9))))</f>
        <v/>
      </c>
      <c r="BJ297" s="74" t="str">
        <f aca="false">IF($BH297&lt;&gt;Constants!$B$4,"",IF(NOT($AJ297),0,MIN(Constants!$B$35,$BC297)))</f>
        <v/>
      </c>
      <c r="BK297" s="74" t="str">
        <f aca="false">IF($BH297&lt;&gt;Constants!$B$4,"",IF(NOT($AJ297),0,IF($AT297,Constants!$B$18,IF($AS297,Constants!$B$17,0))))</f>
        <v/>
      </c>
      <c r="BL297" s="74" t="str">
        <f aca="false">IF($BH297&lt;&gt;Constants!$B$4,"",IF(NOT($AJ297),0,Constants!$B$19*($AI297+$AU297+$AV297+$AW297)))</f>
        <v/>
      </c>
      <c r="BM297" s="74" t="str">
        <f aca="false">IF($BH297&lt;&gt;Constants!$B$4,"",IF(OR(NOT($AJ297),NOT(ISNUMBER($AX297))),0,CHOOSE($AX297,Constants!$B$13,Constants!$B$14,Constants!$B$15,Constants!$B$16)))</f>
        <v/>
      </c>
      <c r="BN297" s="74" t="str">
        <f aca="false">IF($BH297&lt;&gt;Constants!$B$4,"",IF(NOT($AJ297),0,Constants!$B$20*$AY297))</f>
        <v/>
      </c>
      <c r="BO297" s="74" t="str">
        <f aca="false">IF($BH297&lt;&gt;Constants!$B$4,"",IF(AND($AJ297,$BA297,$BB297),Constants!$B$22,0))</f>
        <v/>
      </c>
      <c r="BP297" s="74" t="str">
        <f aca="false">IF($BH297&lt;&gt;Constants!$B$4,"",IF(OR(NOT($AJ297),NOT($BA297)),0,IF($BF297&gt;=2*$AF$9,0,Constants!$B$23*INT(ROUND(MIN($BF297,$AF$9),6)))))</f>
        <v/>
      </c>
      <c r="BQ297" s="74" t="str">
        <f aca="false">IF($BH297&lt;&gt;Constants!$B$4,"",IF(NOT($AJ297),0,Constants!$B$24*INT(ROUND(MIN($AZ297,$AF$9),6))))</f>
        <v/>
      </c>
      <c r="BR297" s="74" t="str">
        <f aca="false">IF($BH297&lt;&gt;Constants!$B$4,"",IF(AND($AJ297,$BJ297=0),Constants!$B$25,0))</f>
        <v/>
      </c>
      <c r="BS297" s="74" t="str">
        <f aca="false">IF($BH297&lt;&gt;Constants!$B$4,"",MIN(Constants!$B$29,MAX(0,Constants!$B$27*Constants!$B$28*INT(ROUND((Constants!$B$26-$AL297)/Constants!$B$28,6))))+MIN(Constants!$B$29,MAX(0,Constants!$B$27*Constants!$B$28*INT(ROUND((Constants!$B$26-$AM297)/Constants!$B$28,6))))+MIN(Constants!$B$29,MAX(0,Constants!$B$27*Constants!$B$28*INT(ROUND((Constants!$B$26-$AN297)/Constants!$B$28,6)))))</f>
        <v/>
      </c>
      <c r="BT297" s="74" t="str">
        <f aca="false">IF($BH297&lt;&gt;Constants!$B$4,"",IF(NOT($AJ297),0,Constants!$B$31*INT(ROUND(MAX(0,MIN($BF297,2*$AF$9)-$AF$9),6))))</f>
        <v/>
      </c>
      <c r="BU297" s="74" t="str">
        <f aca="false">IF($BH297&lt;&gt;Constants!$B$4,"",Constants!$B$32*(($AL297&gt;Constants!$B$26)+($AM297&gt;Constants!$B$26)+($AN297&gt;Constants!$B$26)))</f>
        <v/>
      </c>
      <c r="BV297" s="74" t="str">
        <f aca="false">IF($BH297&lt;&gt;Constants!$B$4,"",IF(OR(NOT($AJ297),$AO297),0,Constants!$B$33))</f>
        <v/>
      </c>
      <c r="BW297" s="74" t="str">
        <f aca="false">IF($BH297&lt;&gt;Constants!$B$4,"",Constants!$B$34*$BJ297)</f>
        <v/>
      </c>
      <c r="BX297" s="74" t="str">
        <f aca="false">IF($BH297&lt;&gt;Constants!$B$4,"",IF(OR(NOT($AJ297),$BE297),0,Constants!$B$36))</f>
        <v/>
      </c>
      <c r="BY297" s="74" t="str">
        <f aca="false">IF($BH297&lt;&gt;Constants!$B$4,"",IF(OR(NOT($AJ297),$BD297),0,Constants!$B$37))</f>
        <v/>
      </c>
      <c r="BZ297" s="74" t="str">
        <f aca="false">IF($BH297&lt;&gt;Constants!$B$4,"",SUM($BT297:$BY297))</f>
        <v/>
      </c>
      <c r="CA297" s="74" t="str">
        <f aca="false">IF(ISBLANK($C297),"",IF($BH297&lt;&gt;Constants!$B$4,$BH297,SUM($BK297:$BS297)-$BZ297))</f>
        <v/>
      </c>
      <c r="CB297" s="74" t="str">
        <f aca="false">IF(ISBLANK($C297),"",IF($BH297&lt;&gt;Constants!$B$4,$BH297,RANK($CA297,$CA$9:$CA$508)))</f>
        <v/>
      </c>
      <c r="CC297" s="74" t="str">
        <f aca="false">IF(ISBLANK($C297),"",IF($BH297&lt;&gt;Constants!$B$4,$BH297,COUNTIFS($BI$9:$BI$508,"&lt;"&amp;$BI297)+COUNTIFS($BI$9:$BI$508,$BI297,$CB$9:$CB$508,"&lt;"&amp;$CB297)+1))</f>
        <v/>
      </c>
      <c r="CD297" s="74" t="str">
        <f aca="false">IF(ISBLANK($C297),"",IF($BH297&lt;&gt;Constants!$B$4,$BH297,RANK($BZ297,$BZ$9:$BZ$508,1)))</f>
        <v/>
      </c>
      <c r="CE297" s="74" t="str">
        <f aca="false">IF($BH297&lt;&gt;Constants!$B$4,"",$AL297+$AM297+$AN297)</f>
        <v/>
      </c>
      <c r="CF297" s="74" t="str">
        <f aca="false">IF(ISBLANK($C297),"",IF($BH297&lt;&gt;Constants!$B$4,$BH297,RANK($CE297,$CE$9:$CE$508,1)))</f>
        <v/>
      </c>
      <c r="CG297" s="74" t="str">
        <f aca="false">IF(ISBLANK($C297),"",IF($BH297&lt;&gt;Constants!$B$4,$BH297,COUNTIFS($BI$9:$BI$508,"&lt;"&amp;$BI297)+COUNTIFS($BI$9:$BI$508,$BI297,$CB$9:$CB$508,"&lt;"&amp;$CB297)+COUNTIFS($BI$9:$BI$508,$BI297,$CB$9:$CB$508,$CB297,$CD$9:$CD$508,"&lt;"&amp;$CD297)+COUNTIFS($BI$9:$BI$508,$BI297,$CB$9:$CB$508,$CB297,$CD$9:$CD$508,$CD297,$CF$9:$CF$508,"&lt;"&amp;$CF297)+1))</f>
        <v/>
      </c>
      <c r="CH297" s="74" t="str">
        <f aca="false">IF(ISBLANK($C297),"",IF($BH297&lt;&gt;Constants!$B$4,$BH297,$CC297-$CG297))</f>
        <v/>
      </c>
      <c r="CI297" s="74" t="str">
        <f aca="false">IF(ISBLANK($C297),"",IF(NOT($AJ297),"",IF(ISBLANK($D$7),$CI$5,IF(NOT(ISNUMBER($D$7)),$CI$6,""))))</f>
        <v/>
      </c>
      <c r="CJ297" s="74" t="str">
        <f aca="false">IF(ISBLANK($C297),"",OR($AL297="",$AM297="",$AN297=""))</f>
        <v/>
      </c>
      <c r="CK297" s="74" t="str">
        <f aca="false">IF(ISBLANK($C297),"",AND($AJ297,$AX297=""))</f>
        <v/>
      </c>
      <c r="CL297" s="74" t="str">
        <f aca="false">IF(ISBLANK($C297),"",AND($AJ297,$AY297=""))</f>
        <v/>
      </c>
      <c r="CM297" s="74" t="str">
        <f aca="false">IF(ISBLANK($C297),"",AND($AJ297,$AZ297=""))</f>
        <v/>
      </c>
      <c r="CN297" s="74" t="str">
        <f aca="false">IF(ISBLANK($C297),"",AND($AJ297,$BC297=""))</f>
        <v/>
      </c>
      <c r="CO297" s="74" t="str">
        <f aca="false">IF(ISBLANK($C297),"",AND($AJ297,$BF297=""))</f>
        <v/>
      </c>
      <c r="CP297" s="75"/>
      <c r="CQ297" s="76"/>
      <c r="CR297" s="79" t="str">
        <f aca="false">IF(ISBLANK($C297),"",IF($BH297=Constants!$B$8,$CI297,""))</f>
        <v/>
      </c>
      <c r="CS297" s="76" t="str">
        <f aca="false">IF(ISBLANK($C297),"",IF($BH297&lt;&gt;Constants!$B$4,"",$BK297+$BL297))</f>
        <v/>
      </c>
      <c r="CT297" s="78" t="str">
        <f aca="false">IF(ISBLANK($C297),"",IF($BH297&lt;&gt;Constants!$B$4,"",$BM297+$BN297+$BO297))</f>
        <v/>
      </c>
      <c r="CU297" s="78" t="str">
        <f aca="false">IF(ISBLANK($C297),"",IF($BH297&lt;&gt;Constants!$B$4,"",$BP297))</f>
        <v/>
      </c>
      <c r="CV297" s="78" t="str">
        <f aca="false">IF(ISBLANK($C297),"",IF($BH297&lt;&gt;Constants!$B$4,"",$BQ297+$BR297))</f>
        <v/>
      </c>
      <c r="CW297" s="78" t="str">
        <f aca="false">IF(ISBLANK($C297),"",IF($BH297&lt;&gt;Constants!$B$4,"",$BS297))</f>
        <v/>
      </c>
      <c r="CX297" s="78" t="str">
        <f aca="false">IF(ISBLANK($C297),"",IF($BH297&lt;&gt;Constants!$B$4,"",-$BZ297))</f>
        <v/>
      </c>
      <c r="CY297" s="79" t="str">
        <f aca="false">IF(ISBLANK($C297),"",$CA297)</f>
        <v/>
      </c>
      <c r="CZ297" s="80" t="str">
        <f aca="false">IF(ISBLANK($C297),"",$BI297)</f>
        <v/>
      </c>
      <c r="DA297" s="78" t="str">
        <f aca="false">IF(ISBLANK($C297),"",$CH297)</f>
        <v/>
      </c>
      <c r="DB297" s="78" t="str">
        <f aca="false">IF(ISBLANK($C297),"",$CG297)</f>
        <v/>
      </c>
      <c r="DC297" s="81" t="str">
        <f aca="false">IF(ISBLANK($C297),"",IFERROR(_xlfn.SWITCH($DB297,Constants!$B$7,COUNTA($C$9:$C$508)+2,Constants!$B$6,COUNTA($C$9:$C$508)+1,Constants!$B$5,COUNTA($C$9:$C$508)),$DB297))</f>
        <v/>
      </c>
      <c r="DD297" s="7"/>
      <c r="DE297" s="82" t="n">
        <f aca="false">IF(OR(ISNUMBER($DB297),$DB297=Constants!$B$7,$DB297=Constants!$B$5,$DB297=Constants!$B$6),1,0)</f>
        <v>0</v>
      </c>
      <c r="DF297" s="82" t="n">
        <v>289</v>
      </c>
      <c r="DG297" s="82" t="str">
        <f aca="false">IF(ISBLANK($C297),"",IF(ISNUMBER($DC297),$DC297+ROW($B297)/1000,""))</f>
        <v/>
      </c>
      <c r="DH297" s="82" t="str">
        <f aca="false">IF(ISNUMBER($DG297),RANK($DG297,$DG$9:$DG$508,1),"")</f>
        <v/>
      </c>
      <c r="DI297" s="82" t="str">
        <f aca="false">IF(ISBLANK($C297),"",$B297)</f>
        <v/>
      </c>
      <c r="DJ297" s="82" t="str">
        <f aca="false">IF(ISBLANK($C297),"",$C297)</f>
        <v/>
      </c>
      <c r="DK297" s="82" t="str">
        <f aca="false">IF(ISBLANK($C297),"",$D297)</f>
        <v/>
      </c>
      <c r="DL297" s="83" t="str">
        <f aca="false">$CZ297</f>
        <v/>
      </c>
      <c r="DM297" s="84" t="str">
        <f aca="false">$CY297</f>
        <v/>
      </c>
      <c r="DN297" s="82" t="str">
        <f aca="false">IF(ISBLANK($C297),"",$DB297)</f>
        <v/>
      </c>
      <c r="DO297" s="85" t="str">
        <f aca="false">IF($DF297&gt;$DE$8,"",VLOOKUP($DF297,$DH$9:$DN$508,7,FALSE()))</f>
        <v/>
      </c>
      <c r="DP297" s="86" t="str">
        <f aca="false">IF($DF297&gt;$DE$8,"",VLOOKUP($DF297,$DH$9:$DN$508,2,FALSE()))</f>
        <v/>
      </c>
      <c r="DQ297" s="86" t="str">
        <f aca="false">IF($DF297&gt;$DE$8,"",VLOOKUP($DF297,$DH$9:$DN$508,3,FALSE()))</f>
        <v/>
      </c>
      <c r="DR297" s="86" t="str">
        <f aca="false">IF($DF297&gt;$DE$8,"",VLOOKUP($DF297,$DH$9:$DN$508,4,FALSE()))</f>
        <v/>
      </c>
      <c r="DS297" s="86" t="str">
        <f aca="false">IF($DF297&gt;$DE$8,"",VLOOKUP($DF297,$DH$9:$DN$508,5,FALSE()))</f>
        <v/>
      </c>
      <c r="DT297" s="87" t="str">
        <f aca="false">IF($DF297&gt;$DE$8,"",VLOOKUP($DF297,$DH$9:$DN$508,6,FALSE()))</f>
        <v/>
      </c>
      <c r="DU297" s="62"/>
    </row>
    <row r="298" customFormat="false" ht="15.75" hidden="false" customHeight="false" outlineLevel="0" collapsed="false">
      <c r="A298" s="7"/>
      <c r="B298" s="64"/>
      <c r="C298" s="65"/>
      <c r="D298" s="123"/>
      <c r="E298" s="88"/>
      <c r="F298" s="134"/>
      <c r="G298" s="88"/>
      <c r="H298" s="134"/>
      <c r="I298" s="119"/>
      <c r="J298" s="119"/>
      <c r="K298" s="119"/>
      <c r="L298" s="88"/>
      <c r="M298" s="88"/>
      <c r="N298" s="88"/>
      <c r="O298" s="134"/>
      <c r="P298" s="88"/>
      <c r="Q298" s="88"/>
      <c r="R298" s="88"/>
      <c r="S298" s="88"/>
      <c r="T298" s="134"/>
      <c r="U298" s="88"/>
      <c r="V298" s="70"/>
      <c r="W298" s="88"/>
      <c r="X298" s="88"/>
      <c r="Y298" s="70"/>
      <c r="Z298" s="70"/>
      <c r="AA298" s="88"/>
      <c r="AB298" s="88"/>
      <c r="AC298" s="71"/>
      <c r="AD298" s="88"/>
      <c r="AE298" s="73"/>
      <c r="AF298" s="74"/>
      <c r="AG298" s="74"/>
      <c r="AH298" s="74" t="str">
        <f aca="false">IF(ISBLANK($C298),"",IF($E298=Constants!$B$2,TRUE(),IF($E298=Constants!$B$3,FALSE(),TRUE())))</f>
        <v/>
      </c>
      <c r="AI298" s="74" t="str">
        <f aca="false">IF(ISBLANK($C298),"",IF($F298=Constants!$B$2,TRUE(),IF($F298=Constants!$B$3,FALSE(),FALSE())))</f>
        <v/>
      </c>
      <c r="AJ298" s="74" t="str">
        <f aca="false">IF(ISBLANK($C298),"",IF($G298=Constants!$B$2,TRUE(),IF($G298=Constants!$B$3,FALSE(),TRUE())))</f>
        <v/>
      </c>
      <c r="AK298" s="74" t="str">
        <f aca="false">IF(ISBLANK($C298),"",IF($H298=Constants!$B$2,TRUE(),IF($H298=Constants!$B$3,FALSE(),TRUE())))</f>
        <v/>
      </c>
      <c r="AL298" s="74" t="str">
        <f aca="false">IF(ISBLANK($C298),"",IF(ISNUMBER($I298),IF($I298&gt;=0,$I298,""),""))</f>
        <v/>
      </c>
      <c r="AM298" s="74" t="str">
        <f aca="false">IF(ISBLANK($C298),"",IF(ISNUMBER($J298),IF($J298&gt;=0,$J298,""),""))</f>
        <v/>
      </c>
      <c r="AN298" s="74" t="str">
        <f aca="false">IF(ISBLANK($C298),"",IF(ISNUMBER($K298),IF($K298&gt;=0,$K298,""),""))</f>
        <v/>
      </c>
      <c r="AO298" s="74" t="str">
        <f aca="false">IF(ISBLANK($C298),"",IF($L298=Constants!$B$2,TRUE(),IF($L298=Constants!$B$3,FALSE(),TRUE())))</f>
        <v/>
      </c>
      <c r="AP298" s="74" t="str">
        <f aca="false">IF(ISBLANK($C298),"",IF($M298=Constants!$B$2,TRUE(),IF($M298=Constants!$B$3,FALSE(),TRUE())))</f>
        <v/>
      </c>
      <c r="AQ298" s="74" t="str">
        <f aca="false">IF(ISBLANK($C298),"",IF($N298=Constants!$B$2,TRUE(),IF($N298=Constants!$B$3,FALSE(),FALSE())))</f>
        <v/>
      </c>
      <c r="AR298" s="74" t="str">
        <f aca="false">IF(ISBLANK($C298),"",IF($O298=Constants!$B$2,TRUE(),IF($O298=Constants!$B$3,FALSE(),TRUE())))</f>
        <v/>
      </c>
      <c r="AS298" s="74" t="str">
        <f aca="false">IF(ISBLANK($C298),"",IF($P298=Constants!$B$2,TRUE(),IF($P298=Constants!$B$3,FALSE(),FALSE())))</f>
        <v/>
      </c>
      <c r="AT298" s="74" t="str">
        <f aca="false">IF(ISBLANK($C298),"",IF($Q298=Constants!$B$2,TRUE(),IF($Q298=Constants!$B$3,FALSE(),FALSE())))</f>
        <v/>
      </c>
      <c r="AU298" s="74" t="str">
        <f aca="false">IF(ISBLANK($C298),"",IF($R298=Constants!$B$2,TRUE(),IF($R298=Constants!$B$3,FALSE(),FALSE())))</f>
        <v/>
      </c>
      <c r="AV298" s="74" t="str">
        <f aca="false">IF(ISBLANK($C298),"",IF($S298=Constants!$B$2,TRUE(),IF($S298=Constants!$B$3,FALSE(),FALSE())))</f>
        <v/>
      </c>
      <c r="AW298" s="74" t="str">
        <f aca="false">IF(ISBLANK($C298),"",IF($T298=Constants!$B$2,TRUE(),IF($T298=Constants!$B$3,FALSE(),FALSE())))</f>
        <v/>
      </c>
      <c r="AX298" s="74" t="str">
        <f aca="false">IF(ISBLANK($C298),"",IF(OR($U298&amp;""="1",$U298&amp;""="2",$U298&amp;""="3",$U298&amp;""="4"),VALUE($U298&amp;""),IF($U298=Constants!$B$12,Constants!$B$12,"")))</f>
        <v/>
      </c>
      <c r="AY298" s="74" t="str">
        <f aca="false">IF(ISBLANK($C298),"",IF(ISBLANK($V298),0,IF(ISNUMBER($V298),IF(AND($V298&gt;=0,$V298&lt;=Constants!$B$21,$V298=INT($V298)),$V298,""),"")))</f>
        <v/>
      </c>
      <c r="AZ298" s="74" t="str">
        <f aca="false">IF(ISBLANK($C298),"",IF(ISBLANK($W298),0,IF(ISNUMBER($W298),IF($W298&gt;=0,$W298,""),"")))</f>
        <v/>
      </c>
      <c r="BA298" s="74" t="str">
        <f aca="false">IF(ISBLANK($C298),"",IF($X298=Constants!$B$2,TRUE(),IF($X298=Constants!$B$3,FALSE(),TRUE())))</f>
        <v/>
      </c>
      <c r="BB298" s="74" t="str">
        <f aca="false">IF(ISBLANK($C298),"",IF($Y298=Constants!$B$2,TRUE(),IF($Y298=Constants!$B$3,FALSE(),FALSE())))</f>
        <v/>
      </c>
      <c r="BC298" s="74" t="str">
        <f aca="false">IF(ISBLANK($C298),"",IF(ISBLANK($Z298),0,IF(ISNUMBER($Z298),IF(AND($Z298&gt;=0,$Z298&lt;=Constants!$B$35,$Z298=INT($Z298)),$Z298,""),"")))</f>
        <v/>
      </c>
      <c r="BD298" s="74" t="str">
        <f aca="false">IF(ISBLANK($C298),"",IF($AA298=Constants!$B$2,TRUE(),IF($AA298=Constants!$B$3,FALSE(),TRUE())))</f>
        <v/>
      </c>
      <c r="BE298" s="74" t="str">
        <f aca="false">IF(ISBLANK($C298),"",IF($AB298=Constants!$B$2,TRUE(),IF($AB298=Constants!$B$3,FALSE(),TRUE())))</f>
        <v/>
      </c>
      <c r="BF298" s="74" t="str">
        <f aca="false">IF(ISBLANK($C298),"",IF(ISNUMBER($AC298),IF($AC298&gt;=0,$AC298,""),""))</f>
        <v/>
      </c>
      <c r="BG298" s="74" t="str">
        <f aca="false">IF(ISBLANK($C298),"",IF($AD298=Constants!$B$2,TRUE(),IF($AD298=Constants!$B$3,FALSE(),FALSE())))</f>
        <v/>
      </c>
      <c r="BH298" s="73" t="str">
        <f aca="false">IF(ISBLANK($C298),"",IF($BG298,Constants!$B$7,IF(COUNTA($E298:$AC298)=0,Constants!$B$6,IF(OR(COUNTA($G298:$AC298)=0,NOT($AK298),$AQ298),Constants!$B$5,IF(OR($CI298&lt;&gt;"",$CJ298,$CK298,$CL298,$CM298,$CN298,$CO298),Constants!$B$8,Constants!$B$4)))))</f>
        <v/>
      </c>
      <c r="BI298" s="74" t="str">
        <f aca="false">IF(ISBLANK($C298),"",IF($BH298&lt;&gt;Constants!$B$4,$BH298,IF(OR(NOT($AH298),NOT($AJ298),NOT($AR298)),Constants!$B$11,IF(OR(NOT($AP298),MAX($AL298,$AM298,$AN298)&gt;Constants!$B$30),Constants!$B$10,Constants!$B$9))))</f>
        <v/>
      </c>
      <c r="BJ298" s="74" t="str">
        <f aca="false">IF($BH298&lt;&gt;Constants!$B$4,"",IF(NOT($AJ298),0,MIN(Constants!$B$35,$BC298)))</f>
        <v/>
      </c>
      <c r="BK298" s="74" t="str">
        <f aca="false">IF($BH298&lt;&gt;Constants!$B$4,"",IF(NOT($AJ298),0,IF($AT298,Constants!$B$18,IF($AS298,Constants!$B$17,0))))</f>
        <v/>
      </c>
      <c r="BL298" s="74" t="str">
        <f aca="false">IF($BH298&lt;&gt;Constants!$B$4,"",IF(NOT($AJ298),0,Constants!$B$19*($AI298+$AU298+$AV298+$AW298)))</f>
        <v/>
      </c>
      <c r="BM298" s="74" t="str">
        <f aca="false">IF($BH298&lt;&gt;Constants!$B$4,"",IF(OR(NOT($AJ298),NOT(ISNUMBER($AX298))),0,CHOOSE($AX298,Constants!$B$13,Constants!$B$14,Constants!$B$15,Constants!$B$16)))</f>
        <v/>
      </c>
      <c r="BN298" s="74" t="str">
        <f aca="false">IF($BH298&lt;&gt;Constants!$B$4,"",IF(NOT($AJ298),0,Constants!$B$20*$AY298))</f>
        <v/>
      </c>
      <c r="BO298" s="74" t="str">
        <f aca="false">IF($BH298&lt;&gt;Constants!$B$4,"",IF(AND($AJ298,$BA298,$BB298),Constants!$B$22,0))</f>
        <v/>
      </c>
      <c r="BP298" s="74" t="str">
        <f aca="false">IF($BH298&lt;&gt;Constants!$B$4,"",IF(OR(NOT($AJ298),NOT($BA298)),0,IF($BF298&gt;=2*$AF$9,0,Constants!$B$23*INT(ROUND(MIN($BF298,$AF$9),6)))))</f>
        <v/>
      </c>
      <c r="BQ298" s="74" t="str">
        <f aca="false">IF($BH298&lt;&gt;Constants!$B$4,"",IF(NOT($AJ298),0,Constants!$B$24*INT(ROUND(MIN($AZ298,$AF$9),6))))</f>
        <v/>
      </c>
      <c r="BR298" s="74" t="str">
        <f aca="false">IF($BH298&lt;&gt;Constants!$B$4,"",IF(AND($AJ298,$BJ298=0),Constants!$B$25,0))</f>
        <v/>
      </c>
      <c r="BS298" s="74" t="str">
        <f aca="false">IF($BH298&lt;&gt;Constants!$B$4,"",MIN(Constants!$B$29,MAX(0,Constants!$B$27*Constants!$B$28*INT(ROUND((Constants!$B$26-$AL298)/Constants!$B$28,6))))+MIN(Constants!$B$29,MAX(0,Constants!$B$27*Constants!$B$28*INT(ROUND((Constants!$B$26-$AM298)/Constants!$B$28,6))))+MIN(Constants!$B$29,MAX(0,Constants!$B$27*Constants!$B$28*INT(ROUND((Constants!$B$26-$AN298)/Constants!$B$28,6)))))</f>
        <v/>
      </c>
      <c r="BT298" s="74" t="str">
        <f aca="false">IF($BH298&lt;&gt;Constants!$B$4,"",IF(NOT($AJ298),0,Constants!$B$31*INT(ROUND(MAX(0,MIN($BF298,2*$AF$9)-$AF$9),6))))</f>
        <v/>
      </c>
      <c r="BU298" s="74" t="str">
        <f aca="false">IF($BH298&lt;&gt;Constants!$B$4,"",Constants!$B$32*(($AL298&gt;Constants!$B$26)+($AM298&gt;Constants!$B$26)+($AN298&gt;Constants!$B$26)))</f>
        <v/>
      </c>
      <c r="BV298" s="74" t="str">
        <f aca="false">IF($BH298&lt;&gt;Constants!$B$4,"",IF(OR(NOT($AJ298),$AO298),0,Constants!$B$33))</f>
        <v/>
      </c>
      <c r="BW298" s="74" t="str">
        <f aca="false">IF($BH298&lt;&gt;Constants!$B$4,"",Constants!$B$34*$BJ298)</f>
        <v/>
      </c>
      <c r="BX298" s="74" t="str">
        <f aca="false">IF($BH298&lt;&gt;Constants!$B$4,"",IF(OR(NOT($AJ298),$BE298),0,Constants!$B$36))</f>
        <v/>
      </c>
      <c r="BY298" s="74" t="str">
        <f aca="false">IF($BH298&lt;&gt;Constants!$B$4,"",IF(OR(NOT($AJ298),$BD298),0,Constants!$B$37))</f>
        <v/>
      </c>
      <c r="BZ298" s="74" t="str">
        <f aca="false">IF($BH298&lt;&gt;Constants!$B$4,"",SUM($BT298:$BY298))</f>
        <v/>
      </c>
      <c r="CA298" s="74" t="str">
        <f aca="false">IF(ISBLANK($C298),"",IF($BH298&lt;&gt;Constants!$B$4,$BH298,SUM($BK298:$BS298)-$BZ298))</f>
        <v/>
      </c>
      <c r="CB298" s="74" t="str">
        <f aca="false">IF(ISBLANK($C298),"",IF($BH298&lt;&gt;Constants!$B$4,$BH298,RANK($CA298,$CA$9:$CA$508)))</f>
        <v/>
      </c>
      <c r="CC298" s="74" t="str">
        <f aca="false">IF(ISBLANK($C298),"",IF($BH298&lt;&gt;Constants!$B$4,$BH298,COUNTIFS($BI$9:$BI$508,"&lt;"&amp;$BI298)+COUNTIFS($BI$9:$BI$508,$BI298,$CB$9:$CB$508,"&lt;"&amp;$CB298)+1))</f>
        <v/>
      </c>
      <c r="CD298" s="74" t="str">
        <f aca="false">IF(ISBLANK($C298),"",IF($BH298&lt;&gt;Constants!$B$4,$BH298,RANK($BZ298,$BZ$9:$BZ$508,1)))</f>
        <v/>
      </c>
      <c r="CE298" s="74" t="str">
        <f aca="false">IF($BH298&lt;&gt;Constants!$B$4,"",$AL298+$AM298+$AN298)</f>
        <v/>
      </c>
      <c r="CF298" s="74" t="str">
        <f aca="false">IF(ISBLANK($C298),"",IF($BH298&lt;&gt;Constants!$B$4,$BH298,RANK($CE298,$CE$9:$CE$508,1)))</f>
        <v/>
      </c>
      <c r="CG298" s="74" t="str">
        <f aca="false">IF(ISBLANK($C298),"",IF($BH298&lt;&gt;Constants!$B$4,$BH298,COUNTIFS($BI$9:$BI$508,"&lt;"&amp;$BI298)+COUNTIFS($BI$9:$BI$508,$BI298,$CB$9:$CB$508,"&lt;"&amp;$CB298)+COUNTIFS($BI$9:$BI$508,$BI298,$CB$9:$CB$508,$CB298,$CD$9:$CD$508,"&lt;"&amp;$CD298)+COUNTIFS($BI$9:$BI$508,$BI298,$CB$9:$CB$508,$CB298,$CD$9:$CD$508,$CD298,$CF$9:$CF$508,"&lt;"&amp;$CF298)+1))</f>
        <v/>
      </c>
      <c r="CH298" s="74" t="str">
        <f aca="false">IF(ISBLANK($C298),"",IF($BH298&lt;&gt;Constants!$B$4,$BH298,$CC298-$CG298))</f>
        <v/>
      </c>
      <c r="CI298" s="74" t="str">
        <f aca="false">IF(ISBLANK($C298),"",IF(NOT($AJ298),"",IF(ISBLANK($D$7),$CI$5,IF(NOT(ISNUMBER($D$7)),$CI$6,""))))</f>
        <v/>
      </c>
      <c r="CJ298" s="74" t="str">
        <f aca="false">IF(ISBLANK($C298),"",OR($AL298="",$AM298="",$AN298=""))</f>
        <v/>
      </c>
      <c r="CK298" s="74" t="str">
        <f aca="false">IF(ISBLANK($C298),"",AND($AJ298,$AX298=""))</f>
        <v/>
      </c>
      <c r="CL298" s="74" t="str">
        <f aca="false">IF(ISBLANK($C298),"",AND($AJ298,$AY298=""))</f>
        <v/>
      </c>
      <c r="CM298" s="74" t="str">
        <f aca="false">IF(ISBLANK($C298),"",AND($AJ298,$AZ298=""))</f>
        <v/>
      </c>
      <c r="CN298" s="74" t="str">
        <f aca="false">IF(ISBLANK($C298),"",AND($AJ298,$BC298=""))</f>
        <v/>
      </c>
      <c r="CO298" s="74" t="str">
        <f aca="false">IF(ISBLANK($C298),"",AND($AJ298,$BF298=""))</f>
        <v/>
      </c>
      <c r="CP298" s="75"/>
      <c r="CQ298" s="76"/>
      <c r="CR298" s="79" t="str">
        <f aca="false">IF(ISBLANK($C298),"",IF($BH298=Constants!$B$8,$CI298,""))</f>
        <v/>
      </c>
      <c r="CS298" s="76" t="str">
        <f aca="false">IF(ISBLANK($C298),"",IF($BH298&lt;&gt;Constants!$B$4,"",$BK298+$BL298))</f>
        <v/>
      </c>
      <c r="CT298" s="78" t="str">
        <f aca="false">IF(ISBLANK($C298),"",IF($BH298&lt;&gt;Constants!$B$4,"",$BM298+$BN298+$BO298))</f>
        <v/>
      </c>
      <c r="CU298" s="78" t="str">
        <f aca="false">IF(ISBLANK($C298),"",IF($BH298&lt;&gt;Constants!$B$4,"",$BP298))</f>
        <v/>
      </c>
      <c r="CV298" s="78" t="str">
        <f aca="false">IF(ISBLANK($C298),"",IF($BH298&lt;&gt;Constants!$B$4,"",$BQ298+$BR298))</f>
        <v/>
      </c>
      <c r="CW298" s="78" t="str">
        <f aca="false">IF(ISBLANK($C298),"",IF($BH298&lt;&gt;Constants!$B$4,"",$BS298))</f>
        <v/>
      </c>
      <c r="CX298" s="78" t="str">
        <f aca="false">IF(ISBLANK($C298),"",IF($BH298&lt;&gt;Constants!$B$4,"",-$BZ298))</f>
        <v/>
      </c>
      <c r="CY298" s="79" t="str">
        <f aca="false">IF(ISBLANK($C298),"",$CA298)</f>
        <v/>
      </c>
      <c r="CZ298" s="80" t="str">
        <f aca="false">IF(ISBLANK($C298),"",$BI298)</f>
        <v/>
      </c>
      <c r="DA298" s="78" t="str">
        <f aca="false">IF(ISBLANK($C298),"",$CH298)</f>
        <v/>
      </c>
      <c r="DB298" s="78" t="str">
        <f aca="false">IF(ISBLANK($C298),"",$CG298)</f>
        <v/>
      </c>
      <c r="DC298" s="81" t="str">
        <f aca="false">IF(ISBLANK($C298),"",IFERROR(_xlfn.SWITCH($DB298,Constants!$B$7,COUNTA($C$9:$C$508)+2,Constants!$B$6,COUNTA($C$9:$C$508)+1,Constants!$B$5,COUNTA($C$9:$C$508)),$DB298))</f>
        <v/>
      </c>
      <c r="DD298" s="7"/>
      <c r="DE298" s="82" t="n">
        <f aca="false">IF(OR(ISNUMBER($DB298),$DB298=Constants!$B$7,$DB298=Constants!$B$5,$DB298=Constants!$B$6),1,0)</f>
        <v>0</v>
      </c>
      <c r="DF298" s="82" t="n">
        <v>290</v>
      </c>
      <c r="DG298" s="82" t="str">
        <f aca="false">IF(ISBLANK($C298),"",IF(ISNUMBER($DC298),$DC298+ROW($B298)/1000,""))</f>
        <v/>
      </c>
      <c r="DH298" s="82" t="str">
        <f aca="false">IF(ISNUMBER($DG298),RANK($DG298,$DG$9:$DG$508,1),"")</f>
        <v/>
      </c>
      <c r="DI298" s="82" t="str">
        <f aca="false">IF(ISBLANK($C298),"",$B298)</f>
        <v/>
      </c>
      <c r="DJ298" s="82" t="str">
        <f aca="false">IF(ISBLANK($C298),"",$C298)</f>
        <v/>
      </c>
      <c r="DK298" s="82" t="str">
        <f aca="false">IF(ISBLANK($C298),"",$D298)</f>
        <v/>
      </c>
      <c r="DL298" s="83" t="str">
        <f aca="false">$CZ298</f>
        <v/>
      </c>
      <c r="DM298" s="84" t="str">
        <f aca="false">$CY298</f>
        <v/>
      </c>
      <c r="DN298" s="82" t="str">
        <f aca="false">IF(ISBLANK($C298),"",$DB298)</f>
        <v/>
      </c>
      <c r="DO298" s="85" t="str">
        <f aca="false">IF($DF298&gt;$DE$8,"",VLOOKUP($DF298,$DH$9:$DN$508,7,FALSE()))</f>
        <v/>
      </c>
      <c r="DP298" s="86" t="str">
        <f aca="false">IF($DF298&gt;$DE$8,"",VLOOKUP($DF298,$DH$9:$DN$508,2,FALSE()))</f>
        <v/>
      </c>
      <c r="DQ298" s="86" t="str">
        <f aca="false">IF($DF298&gt;$DE$8,"",VLOOKUP($DF298,$DH$9:$DN$508,3,FALSE()))</f>
        <v/>
      </c>
      <c r="DR298" s="86" t="str">
        <f aca="false">IF($DF298&gt;$DE$8,"",VLOOKUP($DF298,$DH$9:$DN$508,4,FALSE()))</f>
        <v/>
      </c>
      <c r="DS298" s="86" t="str">
        <f aca="false">IF($DF298&gt;$DE$8,"",VLOOKUP($DF298,$DH$9:$DN$508,5,FALSE()))</f>
        <v/>
      </c>
      <c r="DT298" s="87" t="str">
        <f aca="false">IF($DF298&gt;$DE$8,"",VLOOKUP($DF298,$DH$9:$DN$508,6,FALSE()))</f>
        <v/>
      </c>
      <c r="DU298" s="62"/>
    </row>
    <row r="299" customFormat="false" ht="15.75" hidden="false" customHeight="false" outlineLevel="0" collapsed="false">
      <c r="A299" s="7"/>
      <c r="B299" s="64"/>
      <c r="C299" s="65"/>
      <c r="D299" s="123"/>
      <c r="E299" s="88"/>
      <c r="F299" s="134"/>
      <c r="G299" s="88"/>
      <c r="H299" s="134"/>
      <c r="I299" s="119"/>
      <c r="J299" s="119"/>
      <c r="K299" s="119"/>
      <c r="L299" s="88"/>
      <c r="M299" s="88"/>
      <c r="N299" s="88"/>
      <c r="O299" s="134"/>
      <c r="P299" s="88"/>
      <c r="Q299" s="88"/>
      <c r="R299" s="88"/>
      <c r="S299" s="88"/>
      <c r="T299" s="134"/>
      <c r="U299" s="88"/>
      <c r="V299" s="70"/>
      <c r="W299" s="88"/>
      <c r="X299" s="88"/>
      <c r="Y299" s="70"/>
      <c r="Z299" s="70"/>
      <c r="AA299" s="88"/>
      <c r="AB299" s="88"/>
      <c r="AC299" s="71"/>
      <c r="AD299" s="88"/>
      <c r="AE299" s="73"/>
      <c r="AF299" s="74"/>
      <c r="AG299" s="74"/>
      <c r="AH299" s="74" t="str">
        <f aca="false">IF(ISBLANK($C299),"",IF($E299=Constants!$B$2,TRUE(),IF($E299=Constants!$B$3,FALSE(),TRUE())))</f>
        <v/>
      </c>
      <c r="AI299" s="74" t="str">
        <f aca="false">IF(ISBLANK($C299),"",IF($F299=Constants!$B$2,TRUE(),IF($F299=Constants!$B$3,FALSE(),FALSE())))</f>
        <v/>
      </c>
      <c r="AJ299" s="74" t="str">
        <f aca="false">IF(ISBLANK($C299),"",IF($G299=Constants!$B$2,TRUE(),IF($G299=Constants!$B$3,FALSE(),TRUE())))</f>
        <v/>
      </c>
      <c r="AK299" s="74" t="str">
        <f aca="false">IF(ISBLANK($C299),"",IF($H299=Constants!$B$2,TRUE(),IF($H299=Constants!$B$3,FALSE(),TRUE())))</f>
        <v/>
      </c>
      <c r="AL299" s="74" t="str">
        <f aca="false">IF(ISBLANK($C299),"",IF(ISNUMBER($I299),IF($I299&gt;=0,$I299,""),""))</f>
        <v/>
      </c>
      <c r="AM299" s="74" t="str">
        <f aca="false">IF(ISBLANK($C299),"",IF(ISNUMBER($J299),IF($J299&gt;=0,$J299,""),""))</f>
        <v/>
      </c>
      <c r="AN299" s="74" t="str">
        <f aca="false">IF(ISBLANK($C299),"",IF(ISNUMBER($K299),IF($K299&gt;=0,$K299,""),""))</f>
        <v/>
      </c>
      <c r="AO299" s="74" t="str">
        <f aca="false">IF(ISBLANK($C299),"",IF($L299=Constants!$B$2,TRUE(),IF($L299=Constants!$B$3,FALSE(),TRUE())))</f>
        <v/>
      </c>
      <c r="AP299" s="74" t="str">
        <f aca="false">IF(ISBLANK($C299),"",IF($M299=Constants!$B$2,TRUE(),IF($M299=Constants!$B$3,FALSE(),TRUE())))</f>
        <v/>
      </c>
      <c r="AQ299" s="74" t="str">
        <f aca="false">IF(ISBLANK($C299),"",IF($N299=Constants!$B$2,TRUE(),IF($N299=Constants!$B$3,FALSE(),FALSE())))</f>
        <v/>
      </c>
      <c r="AR299" s="74" t="str">
        <f aca="false">IF(ISBLANK($C299),"",IF($O299=Constants!$B$2,TRUE(),IF($O299=Constants!$B$3,FALSE(),TRUE())))</f>
        <v/>
      </c>
      <c r="AS299" s="74" t="str">
        <f aca="false">IF(ISBLANK($C299),"",IF($P299=Constants!$B$2,TRUE(),IF($P299=Constants!$B$3,FALSE(),FALSE())))</f>
        <v/>
      </c>
      <c r="AT299" s="74" t="str">
        <f aca="false">IF(ISBLANK($C299),"",IF($Q299=Constants!$B$2,TRUE(),IF($Q299=Constants!$B$3,FALSE(),FALSE())))</f>
        <v/>
      </c>
      <c r="AU299" s="74" t="str">
        <f aca="false">IF(ISBLANK($C299),"",IF($R299=Constants!$B$2,TRUE(),IF($R299=Constants!$B$3,FALSE(),FALSE())))</f>
        <v/>
      </c>
      <c r="AV299" s="74" t="str">
        <f aca="false">IF(ISBLANK($C299),"",IF($S299=Constants!$B$2,TRUE(),IF($S299=Constants!$B$3,FALSE(),FALSE())))</f>
        <v/>
      </c>
      <c r="AW299" s="74" t="str">
        <f aca="false">IF(ISBLANK($C299),"",IF($T299=Constants!$B$2,TRUE(),IF($T299=Constants!$B$3,FALSE(),FALSE())))</f>
        <v/>
      </c>
      <c r="AX299" s="74" t="str">
        <f aca="false">IF(ISBLANK($C299),"",IF(OR($U299&amp;""="1",$U299&amp;""="2",$U299&amp;""="3",$U299&amp;""="4"),VALUE($U299&amp;""),IF($U299=Constants!$B$12,Constants!$B$12,"")))</f>
        <v/>
      </c>
      <c r="AY299" s="74" t="str">
        <f aca="false">IF(ISBLANK($C299),"",IF(ISBLANK($V299),0,IF(ISNUMBER($V299),IF(AND($V299&gt;=0,$V299&lt;=Constants!$B$21,$V299=INT($V299)),$V299,""),"")))</f>
        <v/>
      </c>
      <c r="AZ299" s="74" t="str">
        <f aca="false">IF(ISBLANK($C299),"",IF(ISBLANK($W299),0,IF(ISNUMBER($W299),IF($W299&gt;=0,$W299,""),"")))</f>
        <v/>
      </c>
      <c r="BA299" s="74" t="str">
        <f aca="false">IF(ISBLANK($C299),"",IF($X299=Constants!$B$2,TRUE(),IF($X299=Constants!$B$3,FALSE(),TRUE())))</f>
        <v/>
      </c>
      <c r="BB299" s="74" t="str">
        <f aca="false">IF(ISBLANK($C299),"",IF($Y299=Constants!$B$2,TRUE(),IF($Y299=Constants!$B$3,FALSE(),FALSE())))</f>
        <v/>
      </c>
      <c r="BC299" s="74" t="str">
        <f aca="false">IF(ISBLANK($C299),"",IF(ISBLANK($Z299),0,IF(ISNUMBER($Z299),IF(AND($Z299&gt;=0,$Z299&lt;=Constants!$B$35,$Z299=INT($Z299)),$Z299,""),"")))</f>
        <v/>
      </c>
      <c r="BD299" s="74" t="str">
        <f aca="false">IF(ISBLANK($C299),"",IF($AA299=Constants!$B$2,TRUE(),IF($AA299=Constants!$B$3,FALSE(),TRUE())))</f>
        <v/>
      </c>
      <c r="BE299" s="74" t="str">
        <f aca="false">IF(ISBLANK($C299),"",IF($AB299=Constants!$B$2,TRUE(),IF($AB299=Constants!$B$3,FALSE(),TRUE())))</f>
        <v/>
      </c>
      <c r="BF299" s="74" t="str">
        <f aca="false">IF(ISBLANK($C299),"",IF(ISNUMBER($AC299),IF($AC299&gt;=0,$AC299,""),""))</f>
        <v/>
      </c>
      <c r="BG299" s="74" t="str">
        <f aca="false">IF(ISBLANK($C299),"",IF($AD299=Constants!$B$2,TRUE(),IF($AD299=Constants!$B$3,FALSE(),FALSE())))</f>
        <v/>
      </c>
      <c r="BH299" s="73" t="str">
        <f aca="false">IF(ISBLANK($C299),"",IF($BG299,Constants!$B$7,IF(COUNTA($E299:$AC299)=0,Constants!$B$6,IF(OR(COUNTA($G299:$AC299)=0,NOT($AK299),$AQ299),Constants!$B$5,IF(OR($CI299&lt;&gt;"",$CJ299,$CK299,$CL299,$CM299,$CN299,$CO299),Constants!$B$8,Constants!$B$4)))))</f>
        <v/>
      </c>
      <c r="BI299" s="74" t="str">
        <f aca="false">IF(ISBLANK($C299),"",IF($BH299&lt;&gt;Constants!$B$4,$BH299,IF(OR(NOT($AH299),NOT($AJ299),NOT($AR299)),Constants!$B$11,IF(OR(NOT($AP299),MAX($AL299,$AM299,$AN299)&gt;Constants!$B$30),Constants!$B$10,Constants!$B$9))))</f>
        <v/>
      </c>
      <c r="BJ299" s="74" t="str">
        <f aca="false">IF($BH299&lt;&gt;Constants!$B$4,"",IF(NOT($AJ299),0,MIN(Constants!$B$35,$BC299)))</f>
        <v/>
      </c>
      <c r="BK299" s="74" t="str">
        <f aca="false">IF($BH299&lt;&gt;Constants!$B$4,"",IF(NOT($AJ299),0,IF($AT299,Constants!$B$18,IF($AS299,Constants!$B$17,0))))</f>
        <v/>
      </c>
      <c r="BL299" s="74" t="str">
        <f aca="false">IF($BH299&lt;&gt;Constants!$B$4,"",IF(NOT($AJ299),0,Constants!$B$19*($AI299+$AU299+$AV299+$AW299)))</f>
        <v/>
      </c>
      <c r="BM299" s="74" t="str">
        <f aca="false">IF($BH299&lt;&gt;Constants!$B$4,"",IF(OR(NOT($AJ299),NOT(ISNUMBER($AX299))),0,CHOOSE($AX299,Constants!$B$13,Constants!$B$14,Constants!$B$15,Constants!$B$16)))</f>
        <v/>
      </c>
      <c r="BN299" s="74" t="str">
        <f aca="false">IF($BH299&lt;&gt;Constants!$B$4,"",IF(NOT($AJ299),0,Constants!$B$20*$AY299))</f>
        <v/>
      </c>
      <c r="BO299" s="74" t="str">
        <f aca="false">IF($BH299&lt;&gt;Constants!$B$4,"",IF(AND($AJ299,$BA299,$BB299),Constants!$B$22,0))</f>
        <v/>
      </c>
      <c r="BP299" s="74" t="str">
        <f aca="false">IF($BH299&lt;&gt;Constants!$B$4,"",IF(OR(NOT($AJ299),NOT($BA299)),0,IF($BF299&gt;=2*$AF$9,0,Constants!$B$23*INT(ROUND(MIN($BF299,$AF$9),6)))))</f>
        <v/>
      </c>
      <c r="BQ299" s="74" t="str">
        <f aca="false">IF($BH299&lt;&gt;Constants!$B$4,"",IF(NOT($AJ299),0,Constants!$B$24*INT(ROUND(MIN($AZ299,$AF$9),6))))</f>
        <v/>
      </c>
      <c r="BR299" s="74" t="str">
        <f aca="false">IF($BH299&lt;&gt;Constants!$B$4,"",IF(AND($AJ299,$BJ299=0),Constants!$B$25,0))</f>
        <v/>
      </c>
      <c r="BS299" s="74" t="str">
        <f aca="false">IF($BH299&lt;&gt;Constants!$B$4,"",MIN(Constants!$B$29,MAX(0,Constants!$B$27*Constants!$B$28*INT(ROUND((Constants!$B$26-$AL299)/Constants!$B$28,6))))+MIN(Constants!$B$29,MAX(0,Constants!$B$27*Constants!$B$28*INT(ROUND((Constants!$B$26-$AM299)/Constants!$B$28,6))))+MIN(Constants!$B$29,MAX(0,Constants!$B$27*Constants!$B$28*INT(ROUND((Constants!$B$26-$AN299)/Constants!$B$28,6)))))</f>
        <v/>
      </c>
      <c r="BT299" s="74" t="str">
        <f aca="false">IF($BH299&lt;&gt;Constants!$B$4,"",IF(NOT($AJ299),0,Constants!$B$31*INT(ROUND(MAX(0,MIN($BF299,2*$AF$9)-$AF$9),6))))</f>
        <v/>
      </c>
      <c r="BU299" s="74" t="str">
        <f aca="false">IF($BH299&lt;&gt;Constants!$B$4,"",Constants!$B$32*(($AL299&gt;Constants!$B$26)+($AM299&gt;Constants!$B$26)+($AN299&gt;Constants!$B$26)))</f>
        <v/>
      </c>
      <c r="BV299" s="74" t="str">
        <f aca="false">IF($BH299&lt;&gt;Constants!$B$4,"",IF(OR(NOT($AJ299),$AO299),0,Constants!$B$33))</f>
        <v/>
      </c>
      <c r="BW299" s="74" t="str">
        <f aca="false">IF($BH299&lt;&gt;Constants!$B$4,"",Constants!$B$34*$BJ299)</f>
        <v/>
      </c>
      <c r="BX299" s="74" t="str">
        <f aca="false">IF($BH299&lt;&gt;Constants!$B$4,"",IF(OR(NOT($AJ299),$BE299),0,Constants!$B$36))</f>
        <v/>
      </c>
      <c r="BY299" s="74" t="str">
        <f aca="false">IF($BH299&lt;&gt;Constants!$B$4,"",IF(OR(NOT($AJ299),$BD299),0,Constants!$B$37))</f>
        <v/>
      </c>
      <c r="BZ299" s="74" t="str">
        <f aca="false">IF($BH299&lt;&gt;Constants!$B$4,"",SUM($BT299:$BY299))</f>
        <v/>
      </c>
      <c r="CA299" s="74" t="str">
        <f aca="false">IF(ISBLANK($C299),"",IF($BH299&lt;&gt;Constants!$B$4,$BH299,SUM($BK299:$BS299)-$BZ299))</f>
        <v/>
      </c>
      <c r="CB299" s="74" t="str">
        <f aca="false">IF(ISBLANK($C299),"",IF($BH299&lt;&gt;Constants!$B$4,$BH299,RANK($CA299,$CA$9:$CA$508)))</f>
        <v/>
      </c>
      <c r="CC299" s="74" t="str">
        <f aca="false">IF(ISBLANK($C299),"",IF($BH299&lt;&gt;Constants!$B$4,$BH299,COUNTIFS($BI$9:$BI$508,"&lt;"&amp;$BI299)+COUNTIFS($BI$9:$BI$508,$BI299,$CB$9:$CB$508,"&lt;"&amp;$CB299)+1))</f>
        <v/>
      </c>
      <c r="CD299" s="74" t="str">
        <f aca="false">IF(ISBLANK($C299),"",IF($BH299&lt;&gt;Constants!$B$4,$BH299,RANK($BZ299,$BZ$9:$BZ$508,1)))</f>
        <v/>
      </c>
      <c r="CE299" s="74" t="str">
        <f aca="false">IF($BH299&lt;&gt;Constants!$B$4,"",$AL299+$AM299+$AN299)</f>
        <v/>
      </c>
      <c r="CF299" s="74" t="str">
        <f aca="false">IF(ISBLANK($C299),"",IF($BH299&lt;&gt;Constants!$B$4,$BH299,RANK($CE299,$CE$9:$CE$508,1)))</f>
        <v/>
      </c>
      <c r="CG299" s="74" t="str">
        <f aca="false">IF(ISBLANK($C299),"",IF($BH299&lt;&gt;Constants!$B$4,$BH299,COUNTIFS($BI$9:$BI$508,"&lt;"&amp;$BI299)+COUNTIFS($BI$9:$BI$508,$BI299,$CB$9:$CB$508,"&lt;"&amp;$CB299)+COUNTIFS($BI$9:$BI$508,$BI299,$CB$9:$CB$508,$CB299,$CD$9:$CD$508,"&lt;"&amp;$CD299)+COUNTIFS($BI$9:$BI$508,$BI299,$CB$9:$CB$508,$CB299,$CD$9:$CD$508,$CD299,$CF$9:$CF$508,"&lt;"&amp;$CF299)+1))</f>
        <v/>
      </c>
      <c r="CH299" s="74" t="str">
        <f aca="false">IF(ISBLANK($C299),"",IF($BH299&lt;&gt;Constants!$B$4,$BH299,$CC299-$CG299))</f>
        <v/>
      </c>
      <c r="CI299" s="74" t="str">
        <f aca="false">IF(ISBLANK($C299),"",IF(NOT($AJ299),"",IF(ISBLANK($D$7),$CI$5,IF(NOT(ISNUMBER($D$7)),$CI$6,""))))</f>
        <v/>
      </c>
      <c r="CJ299" s="74" t="str">
        <f aca="false">IF(ISBLANK($C299),"",OR($AL299="",$AM299="",$AN299=""))</f>
        <v/>
      </c>
      <c r="CK299" s="74" t="str">
        <f aca="false">IF(ISBLANK($C299),"",AND($AJ299,$AX299=""))</f>
        <v/>
      </c>
      <c r="CL299" s="74" t="str">
        <f aca="false">IF(ISBLANK($C299),"",AND($AJ299,$AY299=""))</f>
        <v/>
      </c>
      <c r="CM299" s="74" t="str">
        <f aca="false">IF(ISBLANK($C299),"",AND($AJ299,$AZ299=""))</f>
        <v/>
      </c>
      <c r="CN299" s="74" t="str">
        <f aca="false">IF(ISBLANK($C299),"",AND($AJ299,$BC299=""))</f>
        <v/>
      </c>
      <c r="CO299" s="74" t="str">
        <f aca="false">IF(ISBLANK($C299),"",AND($AJ299,$BF299=""))</f>
        <v/>
      </c>
      <c r="CP299" s="75"/>
      <c r="CQ299" s="76"/>
      <c r="CR299" s="79" t="str">
        <f aca="false">IF(ISBLANK($C299),"",IF($BH299=Constants!$B$8,$CI299,""))</f>
        <v/>
      </c>
      <c r="CS299" s="76" t="str">
        <f aca="false">IF(ISBLANK($C299),"",IF($BH299&lt;&gt;Constants!$B$4,"",$BK299+$BL299))</f>
        <v/>
      </c>
      <c r="CT299" s="78" t="str">
        <f aca="false">IF(ISBLANK($C299),"",IF($BH299&lt;&gt;Constants!$B$4,"",$BM299+$BN299+$BO299))</f>
        <v/>
      </c>
      <c r="CU299" s="78" t="str">
        <f aca="false">IF(ISBLANK($C299),"",IF($BH299&lt;&gt;Constants!$B$4,"",$BP299))</f>
        <v/>
      </c>
      <c r="CV299" s="78" t="str">
        <f aca="false">IF(ISBLANK($C299),"",IF($BH299&lt;&gt;Constants!$B$4,"",$BQ299+$BR299))</f>
        <v/>
      </c>
      <c r="CW299" s="78" t="str">
        <f aca="false">IF(ISBLANK($C299),"",IF($BH299&lt;&gt;Constants!$B$4,"",$BS299))</f>
        <v/>
      </c>
      <c r="CX299" s="78" t="str">
        <f aca="false">IF(ISBLANK($C299),"",IF($BH299&lt;&gt;Constants!$B$4,"",-$BZ299))</f>
        <v/>
      </c>
      <c r="CY299" s="79" t="str">
        <f aca="false">IF(ISBLANK($C299),"",$CA299)</f>
        <v/>
      </c>
      <c r="CZ299" s="80" t="str">
        <f aca="false">IF(ISBLANK($C299),"",$BI299)</f>
        <v/>
      </c>
      <c r="DA299" s="78" t="str">
        <f aca="false">IF(ISBLANK($C299),"",$CH299)</f>
        <v/>
      </c>
      <c r="DB299" s="78" t="str">
        <f aca="false">IF(ISBLANK($C299),"",$CG299)</f>
        <v/>
      </c>
      <c r="DC299" s="81" t="str">
        <f aca="false">IF(ISBLANK($C299),"",IFERROR(_xlfn.SWITCH($DB299,Constants!$B$7,COUNTA($C$9:$C$508)+2,Constants!$B$6,COUNTA($C$9:$C$508)+1,Constants!$B$5,COUNTA($C$9:$C$508)),$DB299))</f>
        <v/>
      </c>
      <c r="DD299" s="7"/>
      <c r="DE299" s="82" t="n">
        <f aca="false">IF(OR(ISNUMBER($DB299),$DB299=Constants!$B$7,$DB299=Constants!$B$5,$DB299=Constants!$B$6),1,0)</f>
        <v>0</v>
      </c>
      <c r="DF299" s="82" t="n">
        <v>291</v>
      </c>
      <c r="DG299" s="82" t="str">
        <f aca="false">IF(ISBLANK($C299),"",IF(ISNUMBER($DC299),$DC299+ROW($B299)/1000,""))</f>
        <v/>
      </c>
      <c r="DH299" s="82" t="str">
        <f aca="false">IF(ISNUMBER($DG299),RANK($DG299,$DG$9:$DG$508,1),"")</f>
        <v/>
      </c>
      <c r="DI299" s="82" t="str">
        <f aca="false">IF(ISBLANK($C299),"",$B299)</f>
        <v/>
      </c>
      <c r="DJ299" s="82" t="str">
        <f aca="false">IF(ISBLANK($C299),"",$C299)</f>
        <v/>
      </c>
      <c r="DK299" s="82" t="str">
        <f aca="false">IF(ISBLANK($C299),"",$D299)</f>
        <v/>
      </c>
      <c r="DL299" s="83" t="str">
        <f aca="false">$CZ299</f>
        <v/>
      </c>
      <c r="DM299" s="84" t="str">
        <f aca="false">$CY299</f>
        <v/>
      </c>
      <c r="DN299" s="82" t="str">
        <f aca="false">IF(ISBLANK($C299),"",$DB299)</f>
        <v/>
      </c>
      <c r="DO299" s="85" t="str">
        <f aca="false">IF($DF299&gt;$DE$8,"",VLOOKUP($DF299,$DH$9:$DN$508,7,FALSE()))</f>
        <v/>
      </c>
      <c r="DP299" s="86" t="str">
        <f aca="false">IF($DF299&gt;$DE$8,"",VLOOKUP($DF299,$DH$9:$DN$508,2,FALSE()))</f>
        <v/>
      </c>
      <c r="DQ299" s="86" t="str">
        <f aca="false">IF($DF299&gt;$DE$8,"",VLOOKUP($DF299,$DH$9:$DN$508,3,FALSE()))</f>
        <v/>
      </c>
      <c r="DR299" s="86" t="str">
        <f aca="false">IF($DF299&gt;$DE$8,"",VLOOKUP($DF299,$DH$9:$DN$508,4,FALSE()))</f>
        <v/>
      </c>
      <c r="DS299" s="86" t="str">
        <f aca="false">IF($DF299&gt;$DE$8,"",VLOOKUP($DF299,$DH$9:$DN$508,5,FALSE()))</f>
        <v/>
      </c>
      <c r="DT299" s="87" t="str">
        <f aca="false">IF($DF299&gt;$DE$8,"",VLOOKUP($DF299,$DH$9:$DN$508,6,FALSE()))</f>
        <v/>
      </c>
      <c r="DU299" s="62"/>
    </row>
    <row r="300" customFormat="false" ht="15.75" hidden="false" customHeight="false" outlineLevel="0" collapsed="false">
      <c r="A300" s="7"/>
      <c r="B300" s="90"/>
      <c r="C300" s="91"/>
      <c r="D300" s="126"/>
      <c r="E300" s="130"/>
      <c r="F300" s="135"/>
      <c r="G300" s="130"/>
      <c r="H300" s="135"/>
      <c r="I300" s="131"/>
      <c r="J300" s="131"/>
      <c r="K300" s="131"/>
      <c r="L300" s="130"/>
      <c r="M300" s="130"/>
      <c r="N300" s="130"/>
      <c r="O300" s="135"/>
      <c r="P300" s="130"/>
      <c r="Q300" s="130"/>
      <c r="R300" s="130"/>
      <c r="S300" s="130"/>
      <c r="T300" s="135"/>
      <c r="U300" s="130"/>
      <c r="V300" s="96"/>
      <c r="W300" s="130"/>
      <c r="X300" s="130"/>
      <c r="Y300" s="96"/>
      <c r="Z300" s="96"/>
      <c r="AA300" s="130"/>
      <c r="AB300" s="130"/>
      <c r="AC300" s="97"/>
      <c r="AD300" s="130"/>
      <c r="AE300" s="99"/>
      <c r="AF300" s="100"/>
      <c r="AG300" s="100"/>
      <c r="AH300" s="100" t="str">
        <f aca="false">IF(ISBLANK($C300),"",IF($E300=Constants!$B$2,TRUE(),IF($E300=Constants!$B$3,FALSE(),TRUE())))</f>
        <v/>
      </c>
      <c r="AI300" s="100" t="str">
        <f aca="false">IF(ISBLANK($C300),"",IF($F300=Constants!$B$2,TRUE(),IF($F300=Constants!$B$3,FALSE(),FALSE())))</f>
        <v/>
      </c>
      <c r="AJ300" s="100" t="str">
        <f aca="false">IF(ISBLANK($C300),"",IF($G300=Constants!$B$2,TRUE(),IF($G300=Constants!$B$3,FALSE(),TRUE())))</f>
        <v/>
      </c>
      <c r="AK300" s="100" t="str">
        <f aca="false">IF(ISBLANK($C300),"",IF($H300=Constants!$B$2,TRUE(),IF($H300=Constants!$B$3,FALSE(),TRUE())))</f>
        <v/>
      </c>
      <c r="AL300" s="100" t="str">
        <f aca="false">IF(ISBLANK($C300),"",IF(ISNUMBER($I300),IF($I300&gt;=0,$I300,""),""))</f>
        <v/>
      </c>
      <c r="AM300" s="100" t="str">
        <f aca="false">IF(ISBLANK($C300),"",IF(ISNUMBER($J300),IF($J300&gt;=0,$J300,""),""))</f>
        <v/>
      </c>
      <c r="AN300" s="100" t="str">
        <f aca="false">IF(ISBLANK($C300),"",IF(ISNUMBER($K300),IF($K300&gt;=0,$K300,""),""))</f>
        <v/>
      </c>
      <c r="AO300" s="100" t="str">
        <f aca="false">IF(ISBLANK($C300),"",IF($L300=Constants!$B$2,TRUE(),IF($L300=Constants!$B$3,FALSE(),TRUE())))</f>
        <v/>
      </c>
      <c r="AP300" s="100" t="str">
        <f aca="false">IF(ISBLANK($C300),"",IF($M300=Constants!$B$2,TRUE(),IF($M300=Constants!$B$3,FALSE(),TRUE())))</f>
        <v/>
      </c>
      <c r="AQ300" s="100" t="str">
        <f aca="false">IF(ISBLANK($C300),"",IF($N300=Constants!$B$2,TRUE(),IF($N300=Constants!$B$3,FALSE(),FALSE())))</f>
        <v/>
      </c>
      <c r="AR300" s="100" t="str">
        <f aca="false">IF(ISBLANK($C300),"",IF($O300=Constants!$B$2,TRUE(),IF($O300=Constants!$B$3,FALSE(),TRUE())))</f>
        <v/>
      </c>
      <c r="AS300" s="100" t="str">
        <f aca="false">IF(ISBLANK($C300),"",IF($P300=Constants!$B$2,TRUE(),IF($P300=Constants!$B$3,FALSE(),FALSE())))</f>
        <v/>
      </c>
      <c r="AT300" s="100" t="str">
        <f aca="false">IF(ISBLANK($C300),"",IF($Q300=Constants!$B$2,TRUE(),IF($Q300=Constants!$B$3,FALSE(),FALSE())))</f>
        <v/>
      </c>
      <c r="AU300" s="100" t="str">
        <f aca="false">IF(ISBLANK($C300),"",IF($R300=Constants!$B$2,TRUE(),IF($R300=Constants!$B$3,FALSE(),FALSE())))</f>
        <v/>
      </c>
      <c r="AV300" s="100" t="str">
        <f aca="false">IF(ISBLANK($C300),"",IF($S300=Constants!$B$2,TRUE(),IF($S300=Constants!$B$3,FALSE(),FALSE())))</f>
        <v/>
      </c>
      <c r="AW300" s="100" t="str">
        <f aca="false">IF(ISBLANK($C300),"",IF($T300=Constants!$B$2,TRUE(),IF($T300=Constants!$B$3,FALSE(),FALSE())))</f>
        <v/>
      </c>
      <c r="AX300" s="100" t="str">
        <f aca="false">IF(ISBLANK($C300),"",IF(OR($U300&amp;""="1",$U300&amp;""="2",$U300&amp;""="3",$U300&amp;""="4"),VALUE($U300&amp;""),IF($U300=Constants!$B$12,Constants!$B$12,"")))</f>
        <v/>
      </c>
      <c r="AY300" s="100" t="str">
        <f aca="false">IF(ISBLANK($C300),"",IF(ISBLANK($V300),0,IF(ISNUMBER($V300),IF(AND($V300&gt;=0,$V300&lt;=Constants!$B$21,$V300=INT($V300)),$V300,""),"")))</f>
        <v/>
      </c>
      <c r="AZ300" s="100" t="str">
        <f aca="false">IF(ISBLANK($C300),"",IF(ISBLANK($W300),0,IF(ISNUMBER($W300),IF($W300&gt;=0,$W300,""),"")))</f>
        <v/>
      </c>
      <c r="BA300" s="100" t="str">
        <f aca="false">IF(ISBLANK($C300),"",IF($X300=Constants!$B$2,TRUE(),IF($X300=Constants!$B$3,FALSE(),TRUE())))</f>
        <v/>
      </c>
      <c r="BB300" s="100" t="str">
        <f aca="false">IF(ISBLANK($C300),"",IF($Y300=Constants!$B$2,TRUE(),IF($Y300=Constants!$B$3,FALSE(),FALSE())))</f>
        <v/>
      </c>
      <c r="BC300" s="100" t="str">
        <f aca="false">IF(ISBLANK($C300),"",IF(ISBLANK($Z300),0,IF(ISNUMBER($Z300),IF(AND($Z300&gt;=0,$Z300&lt;=Constants!$B$35,$Z300=INT($Z300)),$Z300,""),"")))</f>
        <v/>
      </c>
      <c r="BD300" s="100" t="str">
        <f aca="false">IF(ISBLANK($C300),"",IF($AA300=Constants!$B$2,TRUE(),IF($AA300=Constants!$B$3,FALSE(),TRUE())))</f>
        <v/>
      </c>
      <c r="BE300" s="100" t="str">
        <f aca="false">IF(ISBLANK($C300),"",IF($AB300=Constants!$B$2,TRUE(),IF($AB300=Constants!$B$3,FALSE(),TRUE())))</f>
        <v/>
      </c>
      <c r="BF300" s="100" t="str">
        <f aca="false">IF(ISBLANK($C300),"",IF(ISNUMBER($AC300),IF($AC300&gt;=0,$AC300,""),""))</f>
        <v/>
      </c>
      <c r="BG300" s="100" t="str">
        <f aca="false">IF(ISBLANK($C300),"",IF($AD300=Constants!$B$2,TRUE(),IF($AD300=Constants!$B$3,FALSE(),FALSE())))</f>
        <v/>
      </c>
      <c r="BH300" s="99" t="str">
        <f aca="false">IF(ISBLANK($C300),"",IF($BG300,Constants!$B$7,IF(COUNTA($E300:$AC300)=0,Constants!$B$6,IF(OR(COUNTA($G300:$AC300)=0,NOT($AK300),$AQ300),Constants!$B$5,IF(OR($CI300&lt;&gt;"",$CJ300,$CK300,$CL300,$CM300,$CN300,$CO300),Constants!$B$8,Constants!$B$4)))))</f>
        <v/>
      </c>
      <c r="BI300" s="100" t="str">
        <f aca="false">IF(ISBLANK($C300),"",IF($BH300&lt;&gt;Constants!$B$4,$BH300,IF(OR(NOT($AH300),NOT($AJ300),NOT($AR300)),Constants!$B$11,IF(OR(NOT($AP300),MAX($AL300,$AM300,$AN300)&gt;Constants!$B$30),Constants!$B$10,Constants!$B$9))))</f>
        <v/>
      </c>
      <c r="BJ300" s="100" t="str">
        <f aca="false">IF($BH300&lt;&gt;Constants!$B$4,"",IF(NOT($AJ300),0,MIN(Constants!$B$35,$BC300)))</f>
        <v/>
      </c>
      <c r="BK300" s="100" t="str">
        <f aca="false">IF($BH300&lt;&gt;Constants!$B$4,"",IF(NOT($AJ300),0,IF($AT300,Constants!$B$18,IF($AS300,Constants!$B$17,0))))</f>
        <v/>
      </c>
      <c r="BL300" s="100" t="str">
        <f aca="false">IF($BH300&lt;&gt;Constants!$B$4,"",IF(NOT($AJ300),0,Constants!$B$19*($AI300+$AU300+$AV300+$AW300)))</f>
        <v/>
      </c>
      <c r="BM300" s="100" t="str">
        <f aca="false">IF($BH300&lt;&gt;Constants!$B$4,"",IF(OR(NOT($AJ300),NOT(ISNUMBER($AX300))),0,CHOOSE($AX300,Constants!$B$13,Constants!$B$14,Constants!$B$15,Constants!$B$16)))</f>
        <v/>
      </c>
      <c r="BN300" s="100" t="str">
        <f aca="false">IF($BH300&lt;&gt;Constants!$B$4,"",IF(NOT($AJ300),0,Constants!$B$20*$AY300))</f>
        <v/>
      </c>
      <c r="BO300" s="100" t="str">
        <f aca="false">IF($BH300&lt;&gt;Constants!$B$4,"",IF(AND($AJ300,$BA300,$BB300),Constants!$B$22,0))</f>
        <v/>
      </c>
      <c r="BP300" s="100" t="str">
        <f aca="false">IF($BH300&lt;&gt;Constants!$B$4,"",IF(OR(NOT($AJ300),NOT($BA300)),0,IF($BF300&gt;=2*$AF$9,0,Constants!$B$23*INT(ROUND(MIN($BF300,$AF$9),6)))))</f>
        <v/>
      </c>
      <c r="BQ300" s="100" t="str">
        <f aca="false">IF($BH300&lt;&gt;Constants!$B$4,"",IF(NOT($AJ300),0,Constants!$B$24*INT(ROUND(MIN($AZ300,$AF$9),6))))</f>
        <v/>
      </c>
      <c r="BR300" s="100" t="str">
        <f aca="false">IF($BH300&lt;&gt;Constants!$B$4,"",IF(AND($AJ300,$BJ300=0),Constants!$B$25,0))</f>
        <v/>
      </c>
      <c r="BS300" s="100" t="str">
        <f aca="false">IF($BH300&lt;&gt;Constants!$B$4,"",MIN(Constants!$B$29,MAX(0,Constants!$B$27*Constants!$B$28*INT(ROUND((Constants!$B$26-$AL300)/Constants!$B$28,6))))+MIN(Constants!$B$29,MAX(0,Constants!$B$27*Constants!$B$28*INT(ROUND((Constants!$B$26-$AM300)/Constants!$B$28,6))))+MIN(Constants!$B$29,MAX(0,Constants!$B$27*Constants!$B$28*INT(ROUND((Constants!$B$26-$AN300)/Constants!$B$28,6)))))</f>
        <v/>
      </c>
      <c r="BT300" s="100" t="str">
        <f aca="false">IF($BH300&lt;&gt;Constants!$B$4,"",IF(NOT($AJ300),0,Constants!$B$31*INT(ROUND(MAX(0,MIN($BF300,2*$AF$9)-$AF$9),6))))</f>
        <v/>
      </c>
      <c r="BU300" s="100" t="str">
        <f aca="false">IF($BH300&lt;&gt;Constants!$B$4,"",Constants!$B$32*(($AL300&gt;Constants!$B$26)+($AM300&gt;Constants!$B$26)+($AN300&gt;Constants!$B$26)))</f>
        <v/>
      </c>
      <c r="BV300" s="100" t="str">
        <f aca="false">IF($BH300&lt;&gt;Constants!$B$4,"",IF(OR(NOT($AJ300),$AO300),0,Constants!$B$33))</f>
        <v/>
      </c>
      <c r="BW300" s="100" t="str">
        <f aca="false">IF($BH300&lt;&gt;Constants!$B$4,"",Constants!$B$34*$BJ300)</f>
        <v/>
      </c>
      <c r="BX300" s="100" t="str">
        <f aca="false">IF($BH300&lt;&gt;Constants!$B$4,"",IF(OR(NOT($AJ300),$BE300),0,Constants!$B$36))</f>
        <v/>
      </c>
      <c r="BY300" s="100" t="str">
        <f aca="false">IF($BH300&lt;&gt;Constants!$B$4,"",IF(OR(NOT($AJ300),$BD300),0,Constants!$B$37))</f>
        <v/>
      </c>
      <c r="BZ300" s="100" t="str">
        <f aca="false">IF($BH300&lt;&gt;Constants!$B$4,"",SUM($BT300:$BY300))</f>
        <v/>
      </c>
      <c r="CA300" s="100" t="str">
        <f aca="false">IF(ISBLANK($C300),"",IF($BH300&lt;&gt;Constants!$B$4,$BH300,SUM($BK300:$BS300)-$BZ300))</f>
        <v/>
      </c>
      <c r="CB300" s="100" t="str">
        <f aca="false">IF(ISBLANK($C300),"",IF($BH300&lt;&gt;Constants!$B$4,$BH300,RANK($CA300,$CA$9:$CA$508)))</f>
        <v/>
      </c>
      <c r="CC300" s="100" t="str">
        <f aca="false">IF(ISBLANK($C300),"",IF($BH300&lt;&gt;Constants!$B$4,$BH300,COUNTIFS($BI$9:$BI$508,"&lt;"&amp;$BI300)+COUNTIFS($BI$9:$BI$508,$BI300,$CB$9:$CB$508,"&lt;"&amp;$CB300)+1))</f>
        <v/>
      </c>
      <c r="CD300" s="100" t="str">
        <f aca="false">IF(ISBLANK($C300),"",IF($BH300&lt;&gt;Constants!$B$4,$BH300,RANK($BZ300,$BZ$9:$BZ$508,1)))</f>
        <v/>
      </c>
      <c r="CE300" s="100" t="str">
        <f aca="false">IF($BH300&lt;&gt;Constants!$B$4,"",$AL300+$AM300+$AN300)</f>
        <v/>
      </c>
      <c r="CF300" s="100" t="str">
        <f aca="false">IF(ISBLANK($C300),"",IF($BH300&lt;&gt;Constants!$B$4,$BH300,RANK($CE300,$CE$9:$CE$508,1)))</f>
        <v/>
      </c>
      <c r="CG300" s="100" t="str">
        <f aca="false">IF(ISBLANK($C300),"",IF($BH300&lt;&gt;Constants!$B$4,$BH300,COUNTIFS($BI$9:$BI$508,"&lt;"&amp;$BI300)+COUNTIFS($BI$9:$BI$508,$BI300,$CB$9:$CB$508,"&lt;"&amp;$CB300)+COUNTIFS($BI$9:$BI$508,$BI300,$CB$9:$CB$508,$CB300,$CD$9:$CD$508,"&lt;"&amp;$CD300)+COUNTIFS($BI$9:$BI$508,$BI300,$CB$9:$CB$508,$CB300,$CD$9:$CD$508,$CD300,$CF$9:$CF$508,"&lt;"&amp;$CF300)+1))</f>
        <v/>
      </c>
      <c r="CH300" s="100" t="str">
        <f aca="false">IF(ISBLANK($C300),"",IF($BH300&lt;&gt;Constants!$B$4,$BH300,$CC300-$CG300))</f>
        <v/>
      </c>
      <c r="CI300" s="100" t="str">
        <f aca="false">IF(ISBLANK($C300),"",IF(NOT($AJ300),"",IF(ISBLANK($D$7),$CI$5,IF(NOT(ISNUMBER($D$7)),$CI$6,""))))</f>
        <v/>
      </c>
      <c r="CJ300" s="100" t="str">
        <f aca="false">IF(ISBLANK($C300),"",OR($AL300="",$AM300="",$AN300=""))</f>
        <v/>
      </c>
      <c r="CK300" s="100" t="str">
        <f aca="false">IF(ISBLANK($C300),"",AND($AJ300,$AX300=""))</f>
        <v/>
      </c>
      <c r="CL300" s="100" t="str">
        <f aca="false">IF(ISBLANK($C300),"",AND($AJ300,$AY300=""))</f>
        <v/>
      </c>
      <c r="CM300" s="100" t="str">
        <f aca="false">IF(ISBLANK($C300),"",AND($AJ300,$AZ300=""))</f>
        <v/>
      </c>
      <c r="CN300" s="100" t="str">
        <f aca="false">IF(ISBLANK($C300),"",AND($AJ300,$BC300=""))</f>
        <v/>
      </c>
      <c r="CO300" s="100" t="str">
        <f aca="false">IF(ISBLANK($C300),"",AND($AJ300,$BF300=""))</f>
        <v/>
      </c>
      <c r="CP300" s="101"/>
      <c r="CQ300" s="102"/>
      <c r="CR300" s="103" t="str">
        <f aca="false">IF(ISBLANK($C300),"",IF($BH300=Constants!$B$8,$CI300,""))</f>
        <v/>
      </c>
      <c r="CS300" s="102" t="str">
        <f aca="false">IF(ISBLANK($C300),"",IF($BH300&lt;&gt;Constants!$B$4,"",$BK300+$BL300))</f>
        <v/>
      </c>
      <c r="CT300" s="104" t="str">
        <f aca="false">IF(ISBLANK($C300),"",IF($BH300&lt;&gt;Constants!$B$4,"",$BM300+$BN300+$BO300))</f>
        <v/>
      </c>
      <c r="CU300" s="104" t="str">
        <f aca="false">IF(ISBLANK($C300),"",IF($BH300&lt;&gt;Constants!$B$4,"",$BP300))</f>
        <v/>
      </c>
      <c r="CV300" s="104" t="str">
        <f aca="false">IF(ISBLANK($C300),"",IF($BH300&lt;&gt;Constants!$B$4,"",$BQ300+$BR300))</f>
        <v/>
      </c>
      <c r="CW300" s="104" t="str">
        <f aca="false">IF(ISBLANK($C300),"",IF($BH300&lt;&gt;Constants!$B$4,"",$BS300))</f>
        <v/>
      </c>
      <c r="CX300" s="104" t="str">
        <f aca="false">IF(ISBLANK($C300),"",IF($BH300&lt;&gt;Constants!$B$4,"",-$BZ300))</f>
        <v/>
      </c>
      <c r="CY300" s="103" t="str">
        <f aca="false">IF(ISBLANK($C300),"",$CA300)</f>
        <v/>
      </c>
      <c r="CZ300" s="105" t="str">
        <f aca="false">IF(ISBLANK($C300),"",$BI300)</f>
        <v/>
      </c>
      <c r="DA300" s="104" t="str">
        <f aca="false">IF(ISBLANK($C300),"",$CH300)</f>
        <v/>
      </c>
      <c r="DB300" s="104" t="str">
        <f aca="false">IF(ISBLANK($C300),"",$CG300)</f>
        <v/>
      </c>
      <c r="DC300" s="106" t="str">
        <f aca="false">IF(ISBLANK($C300),"",IFERROR(_xlfn.SWITCH($DB300,Constants!$B$7,COUNTA($C$9:$C$508)+2,Constants!$B$6,COUNTA($C$9:$C$508)+1,Constants!$B$5,COUNTA($C$9:$C$508)),$DB300))</f>
        <v/>
      </c>
      <c r="DD300" s="7"/>
      <c r="DE300" s="107" t="n">
        <f aca="false">IF(OR(ISNUMBER($DB300),$DB300=Constants!$B$7,$DB300=Constants!$B$5,$DB300=Constants!$B$6),1,0)</f>
        <v>0</v>
      </c>
      <c r="DF300" s="107" t="n">
        <v>292</v>
      </c>
      <c r="DG300" s="107" t="str">
        <f aca="false">IF(ISBLANK($C300),"",IF(ISNUMBER($DC300),$DC300+ROW($B300)/1000,""))</f>
        <v/>
      </c>
      <c r="DH300" s="107" t="str">
        <f aca="false">IF(ISNUMBER($DG300),RANK($DG300,$DG$9:$DG$508,1),"")</f>
        <v/>
      </c>
      <c r="DI300" s="107" t="str">
        <f aca="false">IF(ISBLANK($C300),"",$B300)</f>
        <v/>
      </c>
      <c r="DJ300" s="107" t="str">
        <f aca="false">IF(ISBLANK($C300),"",$C300)</f>
        <v/>
      </c>
      <c r="DK300" s="107" t="str">
        <f aca="false">IF(ISBLANK($C300),"",$D300)</f>
        <v/>
      </c>
      <c r="DL300" s="108" t="str">
        <f aca="false">$CZ300</f>
        <v/>
      </c>
      <c r="DM300" s="109" t="str">
        <f aca="false">$CY300</f>
        <v/>
      </c>
      <c r="DN300" s="107" t="str">
        <f aca="false">IF(ISBLANK($C300),"",$DB300)</f>
        <v/>
      </c>
      <c r="DO300" s="110" t="str">
        <f aca="false">IF($DF300&gt;$DE$8,"",VLOOKUP($DF300,$DH$9:$DN$508,7,FALSE()))</f>
        <v/>
      </c>
      <c r="DP300" s="111" t="str">
        <f aca="false">IF($DF300&gt;$DE$8,"",VLOOKUP($DF300,$DH$9:$DN$508,2,FALSE()))</f>
        <v/>
      </c>
      <c r="DQ300" s="111" t="str">
        <f aca="false">IF($DF300&gt;$DE$8,"",VLOOKUP($DF300,$DH$9:$DN$508,3,FALSE()))</f>
        <v/>
      </c>
      <c r="DR300" s="111" t="str">
        <f aca="false">IF($DF300&gt;$DE$8,"",VLOOKUP($DF300,$DH$9:$DN$508,4,FALSE()))</f>
        <v/>
      </c>
      <c r="DS300" s="111" t="str">
        <f aca="false">IF($DF300&gt;$DE$8,"",VLOOKUP($DF300,$DH$9:$DN$508,5,FALSE()))</f>
        <v/>
      </c>
      <c r="DT300" s="112" t="str">
        <f aca="false">IF($DF300&gt;$DE$8,"",VLOOKUP($DF300,$DH$9:$DN$508,6,FALSE()))</f>
        <v/>
      </c>
      <c r="DU300" s="62"/>
    </row>
    <row r="301" customFormat="false" ht="15.75" hidden="false" customHeight="false" outlineLevel="0" collapsed="false">
      <c r="A301" s="7"/>
      <c r="B301" s="90"/>
      <c r="C301" s="91"/>
      <c r="D301" s="126"/>
      <c r="E301" s="130"/>
      <c r="F301" s="135"/>
      <c r="G301" s="130"/>
      <c r="H301" s="135"/>
      <c r="I301" s="131"/>
      <c r="J301" s="131"/>
      <c r="K301" s="131"/>
      <c r="L301" s="130"/>
      <c r="M301" s="130"/>
      <c r="N301" s="130"/>
      <c r="O301" s="135"/>
      <c r="P301" s="130"/>
      <c r="Q301" s="130"/>
      <c r="R301" s="130"/>
      <c r="S301" s="130"/>
      <c r="T301" s="135"/>
      <c r="U301" s="130"/>
      <c r="V301" s="96"/>
      <c r="W301" s="130"/>
      <c r="X301" s="130"/>
      <c r="Y301" s="96"/>
      <c r="Z301" s="96"/>
      <c r="AA301" s="130"/>
      <c r="AB301" s="130"/>
      <c r="AC301" s="97"/>
      <c r="AD301" s="130"/>
      <c r="AE301" s="99"/>
      <c r="AF301" s="100"/>
      <c r="AG301" s="100"/>
      <c r="AH301" s="100" t="str">
        <f aca="false">IF(ISBLANK($C301),"",IF($E301=Constants!$B$2,TRUE(),IF($E301=Constants!$B$3,FALSE(),TRUE())))</f>
        <v/>
      </c>
      <c r="AI301" s="100" t="str">
        <f aca="false">IF(ISBLANK($C301),"",IF($F301=Constants!$B$2,TRUE(),IF($F301=Constants!$B$3,FALSE(),FALSE())))</f>
        <v/>
      </c>
      <c r="AJ301" s="100" t="str">
        <f aca="false">IF(ISBLANK($C301),"",IF($G301=Constants!$B$2,TRUE(),IF($G301=Constants!$B$3,FALSE(),TRUE())))</f>
        <v/>
      </c>
      <c r="AK301" s="100" t="str">
        <f aca="false">IF(ISBLANK($C301),"",IF($H301=Constants!$B$2,TRUE(),IF($H301=Constants!$B$3,FALSE(),TRUE())))</f>
        <v/>
      </c>
      <c r="AL301" s="100" t="str">
        <f aca="false">IF(ISBLANK($C301),"",IF(ISNUMBER($I301),IF($I301&gt;=0,$I301,""),""))</f>
        <v/>
      </c>
      <c r="AM301" s="100" t="str">
        <f aca="false">IF(ISBLANK($C301),"",IF(ISNUMBER($J301),IF($J301&gt;=0,$J301,""),""))</f>
        <v/>
      </c>
      <c r="AN301" s="100" t="str">
        <f aca="false">IF(ISBLANK($C301),"",IF(ISNUMBER($K301),IF($K301&gt;=0,$K301,""),""))</f>
        <v/>
      </c>
      <c r="AO301" s="100" t="str">
        <f aca="false">IF(ISBLANK($C301),"",IF($L301=Constants!$B$2,TRUE(),IF($L301=Constants!$B$3,FALSE(),TRUE())))</f>
        <v/>
      </c>
      <c r="AP301" s="100" t="str">
        <f aca="false">IF(ISBLANK($C301),"",IF($M301=Constants!$B$2,TRUE(),IF($M301=Constants!$B$3,FALSE(),TRUE())))</f>
        <v/>
      </c>
      <c r="AQ301" s="100" t="str">
        <f aca="false">IF(ISBLANK($C301),"",IF($N301=Constants!$B$2,TRUE(),IF($N301=Constants!$B$3,FALSE(),FALSE())))</f>
        <v/>
      </c>
      <c r="AR301" s="100" t="str">
        <f aca="false">IF(ISBLANK($C301),"",IF($O301=Constants!$B$2,TRUE(),IF($O301=Constants!$B$3,FALSE(),TRUE())))</f>
        <v/>
      </c>
      <c r="AS301" s="100" t="str">
        <f aca="false">IF(ISBLANK($C301),"",IF($P301=Constants!$B$2,TRUE(),IF($P301=Constants!$B$3,FALSE(),FALSE())))</f>
        <v/>
      </c>
      <c r="AT301" s="100" t="str">
        <f aca="false">IF(ISBLANK($C301),"",IF($Q301=Constants!$B$2,TRUE(),IF($Q301=Constants!$B$3,FALSE(),FALSE())))</f>
        <v/>
      </c>
      <c r="AU301" s="100" t="str">
        <f aca="false">IF(ISBLANK($C301),"",IF($R301=Constants!$B$2,TRUE(),IF($R301=Constants!$B$3,FALSE(),FALSE())))</f>
        <v/>
      </c>
      <c r="AV301" s="100" t="str">
        <f aca="false">IF(ISBLANK($C301),"",IF($S301=Constants!$B$2,TRUE(),IF($S301=Constants!$B$3,FALSE(),FALSE())))</f>
        <v/>
      </c>
      <c r="AW301" s="100" t="str">
        <f aca="false">IF(ISBLANK($C301),"",IF($T301=Constants!$B$2,TRUE(),IF($T301=Constants!$B$3,FALSE(),FALSE())))</f>
        <v/>
      </c>
      <c r="AX301" s="100" t="str">
        <f aca="false">IF(ISBLANK($C301),"",IF(OR($U301&amp;""="1",$U301&amp;""="2",$U301&amp;""="3",$U301&amp;""="4"),VALUE($U301&amp;""),IF($U301=Constants!$B$12,Constants!$B$12,"")))</f>
        <v/>
      </c>
      <c r="AY301" s="100" t="str">
        <f aca="false">IF(ISBLANK($C301),"",IF(ISBLANK($V301),0,IF(ISNUMBER($V301),IF(AND($V301&gt;=0,$V301&lt;=Constants!$B$21,$V301=INT($V301)),$V301,""),"")))</f>
        <v/>
      </c>
      <c r="AZ301" s="100" t="str">
        <f aca="false">IF(ISBLANK($C301),"",IF(ISBLANK($W301),0,IF(ISNUMBER($W301),IF($W301&gt;=0,$W301,""),"")))</f>
        <v/>
      </c>
      <c r="BA301" s="100" t="str">
        <f aca="false">IF(ISBLANK($C301),"",IF($X301=Constants!$B$2,TRUE(),IF($X301=Constants!$B$3,FALSE(),TRUE())))</f>
        <v/>
      </c>
      <c r="BB301" s="100" t="str">
        <f aca="false">IF(ISBLANK($C301),"",IF($Y301=Constants!$B$2,TRUE(),IF($Y301=Constants!$B$3,FALSE(),FALSE())))</f>
        <v/>
      </c>
      <c r="BC301" s="100" t="str">
        <f aca="false">IF(ISBLANK($C301),"",IF(ISBLANK($Z301),0,IF(ISNUMBER($Z301),IF(AND($Z301&gt;=0,$Z301&lt;=Constants!$B$35,$Z301=INT($Z301)),$Z301,""),"")))</f>
        <v/>
      </c>
      <c r="BD301" s="100" t="str">
        <f aca="false">IF(ISBLANK($C301),"",IF($AA301=Constants!$B$2,TRUE(),IF($AA301=Constants!$B$3,FALSE(),TRUE())))</f>
        <v/>
      </c>
      <c r="BE301" s="100" t="str">
        <f aca="false">IF(ISBLANK($C301),"",IF($AB301=Constants!$B$2,TRUE(),IF($AB301=Constants!$B$3,FALSE(),TRUE())))</f>
        <v/>
      </c>
      <c r="BF301" s="100" t="str">
        <f aca="false">IF(ISBLANK($C301),"",IF(ISNUMBER($AC301),IF($AC301&gt;=0,$AC301,""),""))</f>
        <v/>
      </c>
      <c r="BG301" s="100" t="str">
        <f aca="false">IF(ISBLANK($C301),"",IF($AD301=Constants!$B$2,TRUE(),IF($AD301=Constants!$B$3,FALSE(),FALSE())))</f>
        <v/>
      </c>
      <c r="BH301" s="99" t="str">
        <f aca="false">IF(ISBLANK($C301),"",IF($BG301,Constants!$B$7,IF(COUNTA($E301:$AC301)=0,Constants!$B$6,IF(OR(COUNTA($G301:$AC301)=0,NOT($AK301),$AQ301),Constants!$B$5,IF(OR($CI301&lt;&gt;"",$CJ301,$CK301,$CL301,$CM301,$CN301,$CO301),Constants!$B$8,Constants!$B$4)))))</f>
        <v/>
      </c>
      <c r="BI301" s="100" t="str">
        <f aca="false">IF(ISBLANK($C301),"",IF($BH301&lt;&gt;Constants!$B$4,$BH301,IF(OR(NOT($AH301),NOT($AJ301),NOT($AR301)),Constants!$B$11,IF(OR(NOT($AP301),MAX($AL301,$AM301,$AN301)&gt;Constants!$B$30),Constants!$B$10,Constants!$B$9))))</f>
        <v/>
      </c>
      <c r="BJ301" s="100" t="str">
        <f aca="false">IF($BH301&lt;&gt;Constants!$B$4,"",IF(NOT($AJ301),0,MIN(Constants!$B$35,$BC301)))</f>
        <v/>
      </c>
      <c r="BK301" s="100" t="str">
        <f aca="false">IF($BH301&lt;&gt;Constants!$B$4,"",IF(NOT($AJ301),0,IF($AT301,Constants!$B$18,IF($AS301,Constants!$B$17,0))))</f>
        <v/>
      </c>
      <c r="BL301" s="100" t="str">
        <f aca="false">IF($BH301&lt;&gt;Constants!$B$4,"",IF(NOT($AJ301),0,Constants!$B$19*($AI301+$AU301+$AV301+$AW301)))</f>
        <v/>
      </c>
      <c r="BM301" s="100" t="str">
        <f aca="false">IF($BH301&lt;&gt;Constants!$B$4,"",IF(OR(NOT($AJ301),NOT(ISNUMBER($AX301))),0,CHOOSE($AX301,Constants!$B$13,Constants!$B$14,Constants!$B$15,Constants!$B$16)))</f>
        <v/>
      </c>
      <c r="BN301" s="100" t="str">
        <f aca="false">IF($BH301&lt;&gt;Constants!$B$4,"",IF(NOT($AJ301),0,Constants!$B$20*$AY301))</f>
        <v/>
      </c>
      <c r="BO301" s="100" t="str">
        <f aca="false">IF($BH301&lt;&gt;Constants!$B$4,"",IF(AND($AJ301,$BA301,$BB301),Constants!$B$22,0))</f>
        <v/>
      </c>
      <c r="BP301" s="100" t="str">
        <f aca="false">IF($BH301&lt;&gt;Constants!$B$4,"",IF(OR(NOT($AJ301),NOT($BA301)),0,IF($BF301&gt;=2*$AF$9,0,Constants!$B$23*INT(ROUND(MIN($BF301,$AF$9),6)))))</f>
        <v/>
      </c>
      <c r="BQ301" s="100" t="str">
        <f aca="false">IF($BH301&lt;&gt;Constants!$B$4,"",IF(NOT($AJ301),0,Constants!$B$24*INT(ROUND(MIN($AZ301,$AF$9),6))))</f>
        <v/>
      </c>
      <c r="BR301" s="100" t="str">
        <f aca="false">IF($BH301&lt;&gt;Constants!$B$4,"",IF(AND($AJ301,$BJ301=0),Constants!$B$25,0))</f>
        <v/>
      </c>
      <c r="BS301" s="100" t="str">
        <f aca="false">IF($BH301&lt;&gt;Constants!$B$4,"",MIN(Constants!$B$29,MAX(0,Constants!$B$27*Constants!$B$28*INT(ROUND((Constants!$B$26-$AL301)/Constants!$B$28,6))))+MIN(Constants!$B$29,MAX(0,Constants!$B$27*Constants!$B$28*INT(ROUND((Constants!$B$26-$AM301)/Constants!$B$28,6))))+MIN(Constants!$B$29,MAX(0,Constants!$B$27*Constants!$B$28*INT(ROUND((Constants!$B$26-$AN301)/Constants!$B$28,6)))))</f>
        <v/>
      </c>
      <c r="BT301" s="100" t="str">
        <f aca="false">IF($BH301&lt;&gt;Constants!$B$4,"",IF(NOT($AJ301),0,Constants!$B$31*INT(ROUND(MAX(0,MIN($BF301,2*$AF$9)-$AF$9),6))))</f>
        <v/>
      </c>
      <c r="BU301" s="100" t="str">
        <f aca="false">IF($BH301&lt;&gt;Constants!$B$4,"",Constants!$B$32*(($AL301&gt;Constants!$B$26)+($AM301&gt;Constants!$B$26)+($AN301&gt;Constants!$B$26)))</f>
        <v/>
      </c>
      <c r="BV301" s="100" t="str">
        <f aca="false">IF($BH301&lt;&gt;Constants!$B$4,"",IF(OR(NOT($AJ301),$AO301),0,Constants!$B$33))</f>
        <v/>
      </c>
      <c r="BW301" s="100" t="str">
        <f aca="false">IF($BH301&lt;&gt;Constants!$B$4,"",Constants!$B$34*$BJ301)</f>
        <v/>
      </c>
      <c r="BX301" s="100" t="str">
        <f aca="false">IF($BH301&lt;&gt;Constants!$B$4,"",IF(OR(NOT($AJ301),$BE301),0,Constants!$B$36))</f>
        <v/>
      </c>
      <c r="BY301" s="100" t="str">
        <f aca="false">IF($BH301&lt;&gt;Constants!$B$4,"",IF(OR(NOT($AJ301),$BD301),0,Constants!$B$37))</f>
        <v/>
      </c>
      <c r="BZ301" s="100" t="str">
        <f aca="false">IF($BH301&lt;&gt;Constants!$B$4,"",SUM($BT301:$BY301))</f>
        <v/>
      </c>
      <c r="CA301" s="100" t="str">
        <f aca="false">IF(ISBLANK($C301),"",IF($BH301&lt;&gt;Constants!$B$4,$BH301,SUM($BK301:$BS301)-$BZ301))</f>
        <v/>
      </c>
      <c r="CB301" s="100" t="str">
        <f aca="false">IF(ISBLANK($C301),"",IF($BH301&lt;&gt;Constants!$B$4,$BH301,RANK($CA301,$CA$9:$CA$508)))</f>
        <v/>
      </c>
      <c r="CC301" s="100" t="str">
        <f aca="false">IF(ISBLANK($C301),"",IF($BH301&lt;&gt;Constants!$B$4,$BH301,COUNTIFS($BI$9:$BI$508,"&lt;"&amp;$BI301)+COUNTIFS($BI$9:$BI$508,$BI301,$CB$9:$CB$508,"&lt;"&amp;$CB301)+1))</f>
        <v/>
      </c>
      <c r="CD301" s="100" t="str">
        <f aca="false">IF(ISBLANK($C301),"",IF($BH301&lt;&gt;Constants!$B$4,$BH301,RANK($BZ301,$BZ$9:$BZ$508,1)))</f>
        <v/>
      </c>
      <c r="CE301" s="100" t="str">
        <f aca="false">IF($BH301&lt;&gt;Constants!$B$4,"",$AL301+$AM301+$AN301)</f>
        <v/>
      </c>
      <c r="CF301" s="100" t="str">
        <f aca="false">IF(ISBLANK($C301),"",IF($BH301&lt;&gt;Constants!$B$4,$BH301,RANK($CE301,$CE$9:$CE$508,1)))</f>
        <v/>
      </c>
      <c r="CG301" s="100" t="str">
        <f aca="false">IF(ISBLANK($C301),"",IF($BH301&lt;&gt;Constants!$B$4,$BH301,COUNTIFS($BI$9:$BI$508,"&lt;"&amp;$BI301)+COUNTIFS($BI$9:$BI$508,$BI301,$CB$9:$CB$508,"&lt;"&amp;$CB301)+COUNTIFS($BI$9:$BI$508,$BI301,$CB$9:$CB$508,$CB301,$CD$9:$CD$508,"&lt;"&amp;$CD301)+COUNTIFS($BI$9:$BI$508,$BI301,$CB$9:$CB$508,$CB301,$CD$9:$CD$508,$CD301,$CF$9:$CF$508,"&lt;"&amp;$CF301)+1))</f>
        <v/>
      </c>
      <c r="CH301" s="100" t="str">
        <f aca="false">IF(ISBLANK($C301),"",IF($BH301&lt;&gt;Constants!$B$4,$BH301,$CC301-$CG301))</f>
        <v/>
      </c>
      <c r="CI301" s="100" t="str">
        <f aca="false">IF(ISBLANK($C301),"",IF(NOT($AJ301),"",IF(ISBLANK($D$7),$CI$5,IF(NOT(ISNUMBER($D$7)),$CI$6,""))))</f>
        <v/>
      </c>
      <c r="CJ301" s="100" t="str">
        <f aca="false">IF(ISBLANK($C301),"",OR($AL301="",$AM301="",$AN301=""))</f>
        <v/>
      </c>
      <c r="CK301" s="100" t="str">
        <f aca="false">IF(ISBLANK($C301),"",AND($AJ301,$AX301=""))</f>
        <v/>
      </c>
      <c r="CL301" s="100" t="str">
        <f aca="false">IF(ISBLANK($C301),"",AND($AJ301,$AY301=""))</f>
        <v/>
      </c>
      <c r="CM301" s="100" t="str">
        <f aca="false">IF(ISBLANK($C301),"",AND($AJ301,$AZ301=""))</f>
        <v/>
      </c>
      <c r="CN301" s="100" t="str">
        <f aca="false">IF(ISBLANK($C301),"",AND($AJ301,$BC301=""))</f>
        <v/>
      </c>
      <c r="CO301" s="100" t="str">
        <f aca="false">IF(ISBLANK($C301),"",AND($AJ301,$BF301=""))</f>
        <v/>
      </c>
      <c r="CP301" s="101"/>
      <c r="CQ301" s="102"/>
      <c r="CR301" s="103" t="str">
        <f aca="false">IF(ISBLANK($C301),"",IF($BH301=Constants!$B$8,$CI301,""))</f>
        <v/>
      </c>
      <c r="CS301" s="102" t="str">
        <f aca="false">IF(ISBLANK($C301),"",IF($BH301&lt;&gt;Constants!$B$4,"",$BK301+$BL301))</f>
        <v/>
      </c>
      <c r="CT301" s="104" t="str">
        <f aca="false">IF(ISBLANK($C301),"",IF($BH301&lt;&gt;Constants!$B$4,"",$BM301+$BN301+$BO301))</f>
        <v/>
      </c>
      <c r="CU301" s="104" t="str">
        <f aca="false">IF(ISBLANK($C301),"",IF($BH301&lt;&gt;Constants!$B$4,"",$BP301))</f>
        <v/>
      </c>
      <c r="CV301" s="104" t="str">
        <f aca="false">IF(ISBLANK($C301),"",IF($BH301&lt;&gt;Constants!$B$4,"",$BQ301+$BR301))</f>
        <v/>
      </c>
      <c r="CW301" s="104" t="str">
        <f aca="false">IF(ISBLANK($C301),"",IF($BH301&lt;&gt;Constants!$B$4,"",$BS301))</f>
        <v/>
      </c>
      <c r="CX301" s="104" t="str">
        <f aca="false">IF(ISBLANK($C301),"",IF($BH301&lt;&gt;Constants!$B$4,"",-$BZ301))</f>
        <v/>
      </c>
      <c r="CY301" s="103" t="str">
        <f aca="false">IF(ISBLANK($C301),"",$CA301)</f>
        <v/>
      </c>
      <c r="CZ301" s="105" t="str">
        <f aca="false">IF(ISBLANK($C301),"",$BI301)</f>
        <v/>
      </c>
      <c r="DA301" s="104" t="str">
        <f aca="false">IF(ISBLANK($C301),"",$CH301)</f>
        <v/>
      </c>
      <c r="DB301" s="104" t="str">
        <f aca="false">IF(ISBLANK($C301),"",$CG301)</f>
        <v/>
      </c>
      <c r="DC301" s="106" t="str">
        <f aca="false">IF(ISBLANK($C301),"",IFERROR(_xlfn.SWITCH($DB301,Constants!$B$7,COUNTA($C$9:$C$508)+2,Constants!$B$6,COUNTA($C$9:$C$508)+1,Constants!$B$5,COUNTA($C$9:$C$508)),$DB301))</f>
        <v/>
      </c>
      <c r="DD301" s="7"/>
      <c r="DE301" s="107" t="n">
        <f aca="false">IF(OR(ISNUMBER($DB301),$DB301=Constants!$B$7,$DB301=Constants!$B$5,$DB301=Constants!$B$6),1,0)</f>
        <v>0</v>
      </c>
      <c r="DF301" s="107" t="n">
        <v>293</v>
      </c>
      <c r="DG301" s="107" t="str">
        <f aca="false">IF(ISBLANK($C301),"",IF(ISNUMBER($DC301),$DC301+ROW($B301)/1000,""))</f>
        <v/>
      </c>
      <c r="DH301" s="107" t="str">
        <f aca="false">IF(ISNUMBER($DG301),RANK($DG301,$DG$9:$DG$508,1),"")</f>
        <v/>
      </c>
      <c r="DI301" s="107" t="str">
        <f aca="false">IF(ISBLANK($C301),"",$B301)</f>
        <v/>
      </c>
      <c r="DJ301" s="107" t="str">
        <f aca="false">IF(ISBLANK($C301),"",$C301)</f>
        <v/>
      </c>
      <c r="DK301" s="107" t="str">
        <f aca="false">IF(ISBLANK($C301),"",$D301)</f>
        <v/>
      </c>
      <c r="DL301" s="108" t="str">
        <f aca="false">$CZ301</f>
        <v/>
      </c>
      <c r="DM301" s="109" t="str">
        <f aca="false">$CY301</f>
        <v/>
      </c>
      <c r="DN301" s="107" t="str">
        <f aca="false">IF(ISBLANK($C301),"",$DB301)</f>
        <v/>
      </c>
      <c r="DO301" s="110" t="str">
        <f aca="false">IF($DF301&gt;$DE$8,"",VLOOKUP($DF301,$DH$9:$DN$508,7,FALSE()))</f>
        <v/>
      </c>
      <c r="DP301" s="111" t="str">
        <f aca="false">IF($DF301&gt;$DE$8,"",VLOOKUP($DF301,$DH$9:$DN$508,2,FALSE()))</f>
        <v/>
      </c>
      <c r="DQ301" s="111" t="str">
        <f aca="false">IF($DF301&gt;$DE$8,"",VLOOKUP($DF301,$DH$9:$DN$508,3,FALSE()))</f>
        <v/>
      </c>
      <c r="DR301" s="111" t="str">
        <f aca="false">IF($DF301&gt;$DE$8,"",VLOOKUP($DF301,$DH$9:$DN$508,4,FALSE()))</f>
        <v/>
      </c>
      <c r="DS301" s="111" t="str">
        <f aca="false">IF($DF301&gt;$DE$8,"",VLOOKUP($DF301,$DH$9:$DN$508,5,FALSE()))</f>
        <v/>
      </c>
      <c r="DT301" s="112" t="str">
        <f aca="false">IF($DF301&gt;$DE$8,"",VLOOKUP($DF301,$DH$9:$DN$508,6,FALSE()))</f>
        <v/>
      </c>
      <c r="DU301" s="62"/>
    </row>
    <row r="302" customFormat="false" ht="15.75" hidden="false" customHeight="false" outlineLevel="0" collapsed="false">
      <c r="A302" s="7"/>
      <c r="B302" s="90"/>
      <c r="C302" s="91"/>
      <c r="D302" s="126"/>
      <c r="E302" s="130"/>
      <c r="F302" s="135"/>
      <c r="G302" s="130"/>
      <c r="H302" s="135"/>
      <c r="I302" s="131"/>
      <c r="J302" s="131"/>
      <c r="K302" s="131"/>
      <c r="L302" s="130"/>
      <c r="M302" s="130"/>
      <c r="N302" s="130"/>
      <c r="O302" s="135"/>
      <c r="P302" s="130"/>
      <c r="Q302" s="130"/>
      <c r="R302" s="130"/>
      <c r="S302" s="130"/>
      <c r="T302" s="135"/>
      <c r="U302" s="130"/>
      <c r="V302" s="96"/>
      <c r="W302" s="130"/>
      <c r="X302" s="130"/>
      <c r="Y302" s="96"/>
      <c r="Z302" s="96"/>
      <c r="AA302" s="130"/>
      <c r="AB302" s="130"/>
      <c r="AC302" s="97"/>
      <c r="AD302" s="130"/>
      <c r="AE302" s="99"/>
      <c r="AF302" s="100"/>
      <c r="AG302" s="100"/>
      <c r="AH302" s="100" t="str">
        <f aca="false">IF(ISBLANK($C302),"",IF($E302=Constants!$B$2,TRUE(),IF($E302=Constants!$B$3,FALSE(),TRUE())))</f>
        <v/>
      </c>
      <c r="AI302" s="100" t="str">
        <f aca="false">IF(ISBLANK($C302),"",IF($F302=Constants!$B$2,TRUE(),IF($F302=Constants!$B$3,FALSE(),FALSE())))</f>
        <v/>
      </c>
      <c r="AJ302" s="100" t="str">
        <f aca="false">IF(ISBLANK($C302),"",IF($G302=Constants!$B$2,TRUE(),IF($G302=Constants!$B$3,FALSE(),TRUE())))</f>
        <v/>
      </c>
      <c r="AK302" s="100" t="str">
        <f aca="false">IF(ISBLANK($C302),"",IF($H302=Constants!$B$2,TRUE(),IF($H302=Constants!$B$3,FALSE(),TRUE())))</f>
        <v/>
      </c>
      <c r="AL302" s="100" t="str">
        <f aca="false">IF(ISBLANK($C302),"",IF(ISNUMBER($I302),IF($I302&gt;=0,$I302,""),""))</f>
        <v/>
      </c>
      <c r="AM302" s="100" t="str">
        <f aca="false">IF(ISBLANK($C302),"",IF(ISNUMBER($J302),IF($J302&gt;=0,$J302,""),""))</f>
        <v/>
      </c>
      <c r="AN302" s="100" t="str">
        <f aca="false">IF(ISBLANK($C302),"",IF(ISNUMBER($K302),IF($K302&gt;=0,$K302,""),""))</f>
        <v/>
      </c>
      <c r="AO302" s="100" t="str">
        <f aca="false">IF(ISBLANK($C302),"",IF($L302=Constants!$B$2,TRUE(),IF($L302=Constants!$B$3,FALSE(),TRUE())))</f>
        <v/>
      </c>
      <c r="AP302" s="100" t="str">
        <f aca="false">IF(ISBLANK($C302),"",IF($M302=Constants!$B$2,TRUE(),IF($M302=Constants!$B$3,FALSE(),TRUE())))</f>
        <v/>
      </c>
      <c r="AQ302" s="100" t="str">
        <f aca="false">IF(ISBLANK($C302),"",IF($N302=Constants!$B$2,TRUE(),IF($N302=Constants!$B$3,FALSE(),FALSE())))</f>
        <v/>
      </c>
      <c r="AR302" s="100" t="str">
        <f aca="false">IF(ISBLANK($C302),"",IF($O302=Constants!$B$2,TRUE(),IF($O302=Constants!$B$3,FALSE(),TRUE())))</f>
        <v/>
      </c>
      <c r="AS302" s="100" t="str">
        <f aca="false">IF(ISBLANK($C302),"",IF($P302=Constants!$B$2,TRUE(),IF($P302=Constants!$B$3,FALSE(),FALSE())))</f>
        <v/>
      </c>
      <c r="AT302" s="100" t="str">
        <f aca="false">IF(ISBLANK($C302),"",IF($Q302=Constants!$B$2,TRUE(),IF($Q302=Constants!$B$3,FALSE(),FALSE())))</f>
        <v/>
      </c>
      <c r="AU302" s="100" t="str">
        <f aca="false">IF(ISBLANK($C302),"",IF($R302=Constants!$B$2,TRUE(),IF($R302=Constants!$B$3,FALSE(),FALSE())))</f>
        <v/>
      </c>
      <c r="AV302" s="100" t="str">
        <f aca="false">IF(ISBLANK($C302),"",IF($S302=Constants!$B$2,TRUE(),IF($S302=Constants!$B$3,FALSE(),FALSE())))</f>
        <v/>
      </c>
      <c r="AW302" s="100" t="str">
        <f aca="false">IF(ISBLANK($C302),"",IF($T302=Constants!$B$2,TRUE(),IF($T302=Constants!$B$3,FALSE(),FALSE())))</f>
        <v/>
      </c>
      <c r="AX302" s="100" t="str">
        <f aca="false">IF(ISBLANK($C302),"",IF(OR($U302&amp;""="1",$U302&amp;""="2",$U302&amp;""="3",$U302&amp;""="4"),VALUE($U302&amp;""),IF($U302=Constants!$B$12,Constants!$B$12,"")))</f>
        <v/>
      </c>
      <c r="AY302" s="100" t="str">
        <f aca="false">IF(ISBLANK($C302),"",IF(ISBLANK($V302),0,IF(ISNUMBER($V302),IF(AND($V302&gt;=0,$V302&lt;=Constants!$B$21,$V302=INT($V302)),$V302,""),"")))</f>
        <v/>
      </c>
      <c r="AZ302" s="100" t="str">
        <f aca="false">IF(ISBLANK($C302),"",IF(ISBLANK($W302),0,IF(ISNUMBER($W302),IF($W302&gt;=0,$W302,""),"")))</f>
        <v/>
      </c>
      <c r="BA302" s="100" t="str">
        <f aca="false">IF(ISBLANK($C302),"",IF($X302=Constants!$B$2,TRUE(),IF($X302=Constants!$B$3,FALSE(),TRUE())))</f>
        <v/>
      </c>
      <c r="BB302" s="100" t="str">
        <f aca="false">IF(ISBLANK($C302),"",IF($Y302=Constants!$B$2,TRUE(),IF($Y302=Constants!$B$3,FALSE(),FALSE())))</f>
        <v/>
      </c>
      <c r="BC302" s="100" t="str">
        <f aca="false">IF(ISBLANK($C302),"",IF(ISBLANK($Z302),0,IF(ISNUMBER($Z302),IF(AND($Z302&gt;=0,$Z302&lt;=Constants!$B$35,$Z302=INT($Z302)),$Z302,""),"")))</f>
        <v/>
      </c>
      <c r="BD302" s="100" t="str">
        <f aca="false">IF(ISBLANK($C302),"",IF($AA302=Constants!$B$2,TRUE(),IF($AA302=Constants!$B$3,FALSE(),TRUE())))</f>
        <v/>
      </c>
      <c r="BE302" s="100" t="str">
        <f aca="false">IF(ISBLANK($C302),"",IF($AB302=Constants!$B$2,TRUE(),IF($AB302=Constants!$B$3,FALSE(),TRUE())))</f>
        <v/>
      </c>
      <c r="BF302" s="100" t="str">
        <f aca="false">IF(ISBLANK($C302),"",IF(ISNUMBER($AC302),IF($AC302&gt;=0,$AC302,""),""))</f>
        <v/>
      </c>
      <c r="BG302" s="100" t="str">
        <f aca="false">IF(ISBLANK($C302),"",IF($AD302=Constants!$B$2,TRUE(),IF($AD302=Constants!$B$3,FALSE(),FALSE())))</f>
        <v/>
      </c>
      <c r="BH302" s="99" t="str">
        <f aca="false">IF(ISBLANK($C302),"",IF($BG302,Constants!$B$7,IF(COUNTA($E302:$AC302)=0,Constants!$B$6,IF(OR(COUNTA($G302:$AC302)=0,NOT($AK302),$AQ302),Constants!$B$5,IF(OR($CI302&lt;&gt;"",$CJ302,$CK302,$CL302,$CM302,$CN302,$CO302),Constants!$B$8,Constants!$B$4)))))</f>
        <v/>
      </c>
      <c r="BI302" s="100" t="str">
        <f aca="false">IF(ISBLANK($C302),"",IF($BH302&lt;&gt;Constants!$B$4,$BH302,IF(OR(NOT($AH302),NOT($AJ302),NOT($AR302)),Constants!$B$11,IF(OR(NOT($AP302),MAX($AL302,$AM302,$AN302)&gt;Constants!$B$30),Constants!$B$10,Constants!$B$9))))</f>
        <v/>
      </c>
      <c r="BJ302" s="100" t="str">
        <f aca="false">IF($BH302&lt;&gt;Constants!$B$4,"",IF(NOT($AJ302),0,MIN(Constants!$B$35,$BC302)))</f>
        <v/>
      </c>
      <c r="BK302" s="100" t="str">
        <f aca="false">IF($BH302&lt;&gt;Constants!$B$4,"",IF(NOT($AJ302),0,IF($AT302,Constants!$B$18,IF($AS302,Constants!$B$17,0))))</f>
        <v/>
      </c>
      <c r="BL302" s="100" t="str">
        <f aca="false">IF($BH302&lt;&gt;Constants!$B$4,"",IF(NOT($AJ302),0,Constants!$B$19*($AI302+$AU302+$AV302+$AW302)))</f>
        <v/>
      </c>
      <c r="BM302" s="100" t="str">
        <f aca="false">IF($BH302&lt;&gt;Constants!$B$4,"",IF(OR(NOT($AJ302),NOT(ISNUMBER($AX302))),0,CHOOSE($AX302,Constants!$B$13,Constants!$B$14,Constants!$B$15,Constants!$B$16)))</f>
        <v/>
      </c>
      <c r="BN302" s="100" t="str">
        <f aca="false">IF($BH302&lt;&gt;Constants!$B$4,"",IF(NOT($AJ302),0,Constants!$B$20*$AY302))</f>
        <v/>
      </c>
      <c r="BO302" s="100" t="str">
        <f aca="false">IF($BH302&lt;&gt;Constants!$B$4,"",IF(AND($AJ302,$BA302,$BB302),Constants!$B$22,0))</f>
        <v/>
      </c>
      <c r="BP302" s="100" t="str">
        <f aca="false">IF($BH302&lt;&gt;Constants!$B$4,"",IF(OR(NOT($AJ302),NOT($BA302)),0,IF($BF302&gt;=2*$AF$9,0,Constants!$B$23*INT(ROUND(MIN($BF302,$AF$9),6)))))</f>
        <v/>
      </c>
      <c r="BQ302" s="100" t="str">
        <f aca="false">IF($BH302&lt;&gt;Constants!$B$4,"",IF(NOT($AJ302),0,Constants!$B$24*INT(ROUND(MIN($AZ302,$AF$9),6))))</f>
        <v/>
      </c>
      <c r="BR302" s="100" t="str">
        <f aca="false">IF($BH302&lt;&gt;Constants!$B$4,"",IF(AND($AJ302,$BJ302=0),Constants!$B$25,0))</f>
        <v/>
      </c>
      <c r="BS302" s="100" t="str">
        <f aca="false">IF($BH302&lt;&gt;Constants!$B$4,"",MIN(Constants!$B$29,MAX(0,Constants!$B$27*Constants!$B$28*INT(ROUND((Constants!$B$26-$AL302)/Constants!$B$28,6))))+MIN(Constants!$B$29,MAX(0,Constants!$B$27*Constants!$B$28*INT(ROUND((Constants!$B$26-$AM302)/Constants!$B$28,6))))+MIN(Constants!$B$29,MAX(0,Constants!$B$27*Constants!$B$28*INT(ROUND((Constants!$B$26-$AN302)/Constants!$B$28,6)))))</f>
        <v/>
      </c>
      <c r="BT302" s="100" t="str">
        <f aca="false">IF($BH302&lt;&gt;Constants!$B$4,"",IF(NOT($AJ302),0,Constants!$B$31*INT(ROUND(MAX(0,MIN($BF302,2*$AF$9)-$AF$9),6))))</f>
        <v/>
      </c>
      <c r="BU302" s="100" t="str">
        <f aca="false">IF($BH302&lt;&gt;Constants!$B$4,"",Constants!$B$32*(($AL302&gt;Constants!$B$26)+($AM302&gt;Constants!$B$26)+($AN302&gt;Constants!$B$26)))</f>
        <v/>
      </c>
      <c r="BV302" s="100" t="str">
        <f aca="false">IF($BH302&lt;&gt;Constants!$B$4,"",IF(OR(NOT($AJ302),$AO302),0,Constants!$B$33))</f>
        <v/>
      </c>
      <c r="BW302" s="100" t="str">
        <f aca="false">IF($BH302&lt;&gt;Constants!$B$4,"",Constants!$B$34*$BJ302)</f>
        <v/>
      </c>
      <c r="BX302" s="100" t="str">
        <f aca="false">IF($BH302&lt;&gt;Constants!$B$4,"",IF(OR(NOT($AJ302),$BE302),0,Constants!$B$36))</f>
        <v/>
      </c>
      <c r="BY302" s="100" t="str">
        <f aca="false">IF($BH302&lt;&gt;Constants!$B$4,"",IF(OR(NOT($AJ302),$BD302),0,Constants!$B$37))</f>
        <v/>
      </c>
      <c r="BZ302" s="100" t="str">
        <f aca="false">IF($BH302&lt;&gt;Constants!$B$4,"",SUM($BT302:$BY302))</f>
        <v/>
      </c>
      <c r="CA302" s="100" t="str">
        <f aca="false">IF(ISBLANK($C302),"",IF($BH302&lt;&gt;Constants!$B$4,$BH302,SUM($BK302:$BS302)-$BZ302))</f>
        <v/>
      </c>
      <c r="CB302" s="100" t="str">
        <f aca="false">IF(ISBLANK($C302),"",IF($BH302&lt;&gt;Constants!$B$4,$BH302,RANK($CA302,$CA$9:$CA$508)))</f>
        <v/>
      </c>
      <c r="CC302" s="100" t="str">
        <f aca="false">IF(ISBLANK($C302),"",IF($BH302&lt;&gt;Constants!$B$4,$BH302,COUNTIFS($BI$9:$BI$508,"&lt;"&amp;$BI302)+COUNTIFS($BI$9:$BI$508,$BI302,$CB$9:$CB$508,"&lt;"&amp;$CB302)+1))</f>
        <v/>
      </c>
      <c r="CD302" s="100" t="str">
        <f aca="false">IF(ISBLANK($C302),"",IF($BH302&lt;&gt;Constants!$B$4,$BH302,RANK($BZ302,$BZ$9:$BZ$508,1)))</f>
        <v/>
      </c>
      <c r="CE302" s="100" t="str">
        <f aca="false">IF($BH302&lt;&gt;Constants!$B$4,"",$AL302+$AM302+$AN302)</f>
        <v/>
      </c>
      <c r="CF302" s="100" t="str">
        <f aca="false">IF(ISBLANK($C302),"",IF($BH302&lt;&gt;Constants!$B$4,$BH302,RANK($CE302,$CE$9:$CE$508,1)))</f>
        <v/>
      </c>
      <c r="CG302" s="100" t="str">
        <f aca="false">IF(ISBLANK($C302),"",IF($BH302&lt;&gt;Constants!$B$4,$BH302,COUNTIFS($BI$9:$BI$508,"&lt;"&amp;$BI302)+COUNTIFS($BI$9:$BI$508,$BI302,$CB$9:$CB$508,"&lt;"&amp;$CB302)+COUNTIFS($BI$9:$BI$508,$BI302,$CB$9:$CB$508,$CB302,$CD$9:$CD$508,"&lt;"&amp;$CD302)+COUNTIFS($BI$9:$BI$508,$BI302,$CB$9:$CB$508,$CB302,$CD$9:$CD$508,$CD302,$CF$9:$CF$508,"&lt;"&amp;$CF302)+1))</f>
        <v/>
      </c>
      <c r="CH302" s="100" t="str">
        <f aca="false">IF(ISBLANK($C302),"",IF($BH302&lt;&gt;Constants!$B$4,$BH302,$CC302-$CG302))</f>
        <v/>
      </c>
      <c r="CI302" s="100" t="str">
        <f aca="false">IF(ISBLANK($C302),"",IF(NOT($AJ302),"",IF(ISBLANK($D$7),$CI$5,IF(NOT(ISNUMBER($D$7)),$CI$6,""))))</f>
        <v/>
      </c>
      <c r="CJ302" s="100" t="str">
        <f aca="false">IF(ISBLANK($C302),"",OR($AL302="",$AM302="",$AN302=""))</f>
        <v/>
      </c>
      <c r="CK302" s="100" t="str">
        <f aca="false">IF(ISBLANK($C302),"",AND($AJ302,$AX302=""))</f>
        <v/>
      </c>
      <c r="CL302" s="100" t="str">
        <f aca="false">IF(ISBLANK($C302),"",AND($AJ302,$AY302=""))</f>
        <v/>
      </c>
      <c r="CM302" s="100" t="str">
        <f aca="false">IF(ISBLANK($C302),"",AND($AJ302,$AZ302=""))</f>
        <v/>
      </c>
      <c r="CN302" s="100" t="str">
        <f aca="false">IF(ISBLANK($C302),"",AND($AJ302,$BC302=""))</f>
        <v/>
      </c>
      <c r="CO302" s="100" t="str">
        <f aca="false">IF(ISBLANK($C302),"",AND($AJ302,$BF302=""))</f>
        <v/>
      </c>
      <c r="CP302" s="101"/>
      <c r="CQ302" s="102"/>
      <c r="CR302" s="103" t="str">
        <f aca="false">IF(ISBLANK($C302),"",IF($BH302=Constants!$B$8,$CI302,""))</f>
        <v/>
      </c>
      <c r="CS302" s="102" t="str">
        <f aca="false">IF(ISBLANK($C302),"",IF($BH302&lt;&gt;Constants!$B$4,"",$BK302+$BL302))</f>
        <v/>
      </c>
      <c r="CT302" s="104" t="str">
        <f aca="false">IF(ISBLANK($C302),"",IF($BH302&lt;&gt;Constants!$B$4,"",$BM302+$BN302+$BO302))</f>
        <v/>
      </c>
      <c r="CU302" s="104" t="str">
        <f aca="false">IF(ISBLANK($C302),"",IF($BH302&lt;&gt;Constants!$B$4,"",$BP302))</f>
        <v/>
      </c>
      <c r="CV302" s="104" t="str">
        <f aca="false">IF(ISBLANK($C302),"",IF($BH302&lt;&gt;Constants!$B$4,"",$BQ302+$BR302))</f>
        <v/>
      </c>
      <c r="CW302" s="104" t="str">
        <f aca="false">IF(ISBLANK($C302),"",IF($BH302&lt;&gt;Constants!$B$4,"",$BS302))</f>
        <v/>
      </c>
      <c r="CX302" s="104" t="str">
        <f aca="false">IF(ISBLANK($C302),"",IF($BH302&lt;&gt;Constants!$B$4,"",-$BZ302))</f>
        <v/>
      </c>
      <c r="CY302" s="103" t="str">
        <f aca="false">IF(ISBLANK($C302),"",$CA302)</f>
        <v/>
      </c>
      <c r="CZ302" s="105" t="str">
        <f aca="false">IF(ISBLANK($C302),"",$BI302)</f>
        <v/>
      </c>
      <c r="DA302" s="104" t="str">
        <f aca="false">IF(ISBLANK($C302),"",$CH302)</f>
        <v/>
      </c>
      <c r="DB302" s="104" t="str">
        <f aca="false">IF(ISBLANK($C302),"",$CG302)</f>
        <v/>
      </c>
      <c r="DC302" s="106" t="str">
        <f aca="false">IF(ISBLANK($C302),"",IFERROR(_xlfn.SWITCH($DB302,Constants!$B$7,COUNTA($C$9:$C$508)+2,Constants!$B$6,COUNTA($C$9:$C$508)+1,Constants!$B$5,COUNTA($C$9:$C$508)),$DB302))</f>
        <v/>
      </c>
      <c r="DD302" s="7"/>
      <c r="DE302" s="107" t="n">
        <f aca="false">IF(OR(ISNUMBER($DB302),$DB302=Constants!$B$7,$DB302=Constants!$B$5,$DB302=Constants!$B$6),1,0)</f>
        <v>0</v>
      </c>
      <c r="DF302" s="107" t="n">
        <v>294</v>
      </c>
      <c r="DG302" s="107" t="str">
        <f aca="false">IF(ISBLANK($C302),"",IF(ISNUMBER($DC302),$DC302+ROW($B302)/1000,""))</f>
        <v/>
      </c>
      <c r="DH302" s="107" t="str">
        <f aca="false">IF(ISNUMBER($DG302),RANK($DG302,$DG$9:$DG$508,1),"")</f>
        <v/>
      </c>
      <c r="DI302" s="107" t="str">
        <f aca="false">IF(ISBLANK($C302),"",$B302)</f>
        <v/>
      </c>
      <c r="DJ302" s="107" t="str">
        <f aca="false">IF(ISBLANK($C302),"",$C302)</f>
        <v/>
      </c>
      <c r="DK302" s="107" t="str">
        <f aca="false">IF(ISBLANK($C302),"",$D302)</f>
        <v/>
      </c>
      <c r="DL302" s="108" t="str">
        <f aca="false">$CZ302</f>
        <v/>
      </c>
      <c r="DM302" s="109" t="str">
        <f aca="false">$CY302</f>
        <v/>
      </c>
      <c r="DN302" s="107" t="str">
        <f aca="false">IF(ISBLANK($C302),"",$DB302)</f>
        <v/>
      </c>
      <c r="DO302" s="110" t="str">
        <f aca="false">IF($DF302&gt;$DE$8,"",VLOOKUP($DF302,$DH$9:$DN$508,7,FALSE()))</f>
        <v/>
      </c>
      <c r="DP302" s="111" t="str">
        <f aca="false">IF($DF302&gt;$DE$8,"",VLOOKUP($DF302,$DH$9:$DN$508,2,FALSE()))</f>
        <v/>
      </c>
      <c r="DQ302" s="111" t="str">
        <f aca="false">IF($DF302&gt;$DE$8,"",VLOOKUP($DF302,$DH$9:$DN$508,3,FALSE()))</f>
        <v/>
      </c>
      <c r="DR302" s="111" t="str">
        <f aca="false">IF($DF302&gt;$DE$8,"",VLOOKUP($DF302,$DH$9:$DN$508,4,FALSE()))</f>
        <v/>
      </c>
      <c r="DS302" s="111" t="str">
        <f aca="false">IF($DF302&gt;$DE$8,"",VLOOKUP($DF302,$DH$9:$DN$508,5,FALSE()))</f>
        <v/>
      </c>
      <c r="DT302" s="112" t="str">
        <f aca="false">IF($DF302&gt;$DE$8,"",VLOOKUP($DF302,$DH$9:$DN$508,6,FALSE()))</f>
        <v/>
      </c>
      <c r="DU302" s="62"/>
    </row>
    <row r="303" customFormat="false" ht="15.75" hidden="false" customHeight="false" outlineLevel="0" collapsed="false">
      <c r="A303" s="7"/>
      <c r="B303" s="64"/>
      <c r="C303" s="65"/>
      <c r="D303" s="123"/>
      <c r="E303" s="88"/>
      <c r="F303" s="134"/>
      <c r="G303" s="88"/>
      <c r="H303" s="134"/>
      <c r="I303" s="119"/>
      <c r="J303" s="119"/>
      <c r="K303" s="119"/>
      <c r="L303" s="88"/>
      <c r="M303" s="88"/>
      <c r="N303" s="88"/>
      <c r="O303" s="134"/>
      <c r="P303" s="88"/>
      <c r="Q303" s="88"/>
      <c r="R303" s="88"/>
      <c r="S303" s="88"/>
      <c r="T303" s="134"/>
      <c r="U303" s="88"/>
      <c r="V303" s="70"/>
      <c r="W303" s="88"/>
      <c r="X303" s="88"/>
      <c r="Y303" s="70"/>
      <c r="Z303" s="70"/>
      <c r="AA303" s="88"/>
      <c r="AB303" s="88"/>
      <c r="AC303" s="71"/>
      <c r="AD303" s="88"/>
      <c r="AE303" s="73"/>
      <c r="AF303" s="74"/>
      <c r="AG303" s="74"/>
      <c r="AH303" s="74" t="str">
        <f aca="false">IF(ISBLANK($C303),"",IF($E303=Constants!$B$2,TRUE(),IF($E303=Constants!$B$3,FALSE(),TRUE())))</f>
        <v/>
      </c>
      <c r="AI303" s="74" t="str">
        <f aca="false">IF(ISBLANK($C303),"",IF($F303=Constants!$B$2,TRUE(),IF($F303=Constants!$B$3,FALSE(),FALSE())))</f>
        <v/>
      </c>
      <c r="AJ303" s="74" t="str">
        <f aca="false">IF(ISBLANK($C303),"",IF($G303=Constants!$B$2,TRUE(),IF($G303=Constants!$B$3,FALSE(),TRUE())))</f>
        <v/>
      </c>
      <c r="AK303" s="74" t="str">
        <f aca="false">IF(ISBLANK($C303),"",IF($H303=Constants!$B$2,TRUE(),IF($H303=Constants!$B$3,FALSE(),TRUE())))</f>
        <v/>
      </c>
      <c r="AL303" s="74" t="str">
        <f aca="false">IF(ISBLANK($C303),"",IF(ISNUMBER($I303),IF($I303&gt;=0,$I303,""),""))</f>
        <v/>
      </c>
      <c r="AM303" s="74" t="str">
        <f aca="false">IF(ISBLANK($C303),"",IF(ISNUMBER($J303),IF($J303&gt;=0,$J303,""),""))</f>
        <v/>
      </c>
      <c r="AN303" s="74" t="str">
        <f aca="false">IF(ISBLANK($C303),"",IF(ISNUMBER($K303),IF($K303&gt;=0,$K303,""),""))</f>
        <v/>
      </c>
      <c r="AO303" s="74" t="str">
        <f aca="false">IF(ISBLANK($C303),"",IF($L303=Constants!$B$2,TRUE(),IF($L303=Constants!$B$3,FALSE(),TRUE())))</f>
        <v/>
      </c>
      <c r="AP303" s="74" t="str">
        <f aca="false">IF(ISBLANK($C303),"",IF($M303=Constants!$B$2,TRUE(),IF($M303=Constants!$B$3,FALSE(),TRUE())))</f>
        <v/>
      </c>
      <c r="AQ303" s="74" t="str">
        <f aca="false">IF(ISBLANK($C303),"",IF($N303=Constants!$B$2,TRUE(),IF($N303=Constants!$B$3,FALSE(),FALSE())))</f>
        <v/>
      </c>
      <c r="AR303" s="74" t="str">
        <f aca="false">IF(ISBLANK($C303),"",IF($O303=Constants!$B$2,TRUE(),IF($O303=Constants!$B$3,FALSE(),TRUE())))</f>
        <v/>
      </c>
      <c r="AS303" s="74" t="str">
        <f aca="false">IF(ISBLANK($C303),"",IF($P303=Constants!$B$2,TRUE(),IF($P303=Constants!$B$3,FALSE(),FALSE())))</f>
        <v/>
      </c>
      <c r="AT303" s="74" t="str">
        <f aca="false">IF(ISBLANK($C303),"",IF($Q303=Constants!$B$2,TRUE(),IF($Q303=Constants!$B$3,FALSE(),FALSE())))</f>
        <v/>
      </c>
      <c r="AU303" s="74" t="str">
        <f aca="false">IF(ISBLANK($C303),"",IF($R303=Constants!$B$2,TRUE(),IF($R303=Constants!$B$3,FALSE(),FALSE())))</f>
        <v/>
      </c>
      <c r="AV303" s="74" t="str">
        <f aca="false">IF(ISBLANK($C303),"",IF($S303=Constants!$B$2,TRUE(),IF($S303=Constants!$B$3,FALSE(),FALSE())))</f>
        <v/>
      </c>
      <c r="AW303" s="74" t="str">
        <f aca="false">IF(ISBLANK($C303),"",IF($T303=Constants!$B$2,TRUE(),IF($T303=Constants!$B$3,FALSE(),FALSE())))</f>
        <v/>
      </c>
      <c r="AX303" s="74" t="str">
        <f aca="false">IF(ISBLANK($C303),"",IF(OR($U303&amp;""="1",$U303&amp;""="2",$U303&amp;""="3",$U303&amp;""="4"),VALUE($U303&amp;""),IF($U303=Constants!$B$12,Constants!$B$12,"")))</f>
        <v/>
      </c>
      <c r="AY303" s="74" t="str">
        <f aca="false">IF(ISBLANK($C303),"",IF(ISBLANK($V303),0,IF(ISNUMBER($V303),IF(AND($V303&gt;=0,$V303&lt;=Constants!$B$21,$V303=INT($V303)),$V303,""),"")))</f>
        <v/>
      </c>
      <c r="AZ303" s="74" t="str">
        <f aca="false">IF(ISBLANK($C303),"",IF(ISBLANK($W303),0,IF(ISNUMBER($W303),IF($W303&gt;=0,$W303,""),"")))</f>
        <v/>
      </c>
      <c r="BA303" s="74" t="str">
        <f aca="false">IF(ISBLANK($C303),"",IF($X303=Constants!$B$2,TRUE(),IF($X303=Constants!$B$3,FALSE(),TRUE())))</f>
        <v/>
      </c>
      <c r="BB303" s="74" t="str">
        <f aca="false">IF(ISBLANK($C303),"",IF($Y303=Constants!$B$2,TRUE(),IF($Y303=Constants!$B$3,FALSE(),FALSE())))</f>
        <v/>
      </c>
      <c r="BC303" s="74" t="str">
        <f aca="false">IF(ISBLANK($C303),"",IF(ISBLANK($Z303),0,IF(ISNUMBER($Z303),IF(AND($Z303&gt;=0,$Z303&lt;=Constants!$B$35,$Z303=INT($Z303)),$Z303,""),"")))</f>
        <v/>
      </c>
      <c r="BD303" s="74" t="str">
        <f aca="false">IF(ISBLANK($C303),"",IF($AA303=Constants!$B$2,TRUE(),IF($AA303=Constants!$B$3,FALSE(),TRUE())))</f>
        <v/>
      </c>
      <c r="BE303" s="74" t="str">
        <f aca="false">IF(ISBLANK($C303),"",IF($AB303=Constants!$B$2,TRUE(),IF($AB303=Constants!$B$3,FALSE(),TRUE())))</f>
        <v/>
      </c>
      <c r="BF303" s="74" t="str">
        <f aca="false">IF(ISBLANK($C303),"",IF(ISNUMBER($AC303),IF($AC303&gt;=0,$AC303,""),""))</f>
        <v/>
      </c>
      <c r="BG303" s="74" t="str">
        <f aca="false">IF(ISBLANK($C303),"",IF($AD303=Constants!$B$2,TRUE(),IF($AD303=Constants!$B$3,FALSE(),FALSE())))</f>
        <v/>
      </c>
      <c r="BH303" s="73" t="str">
        <f aca="false">IF(ISBLANK($C303),"",IF($BG303,Constants!$B$7,IF(COUNTA($E303:$AC303)=0,Constants!$B$6,IF(OR(COUNTA($G303:$AC303)=0,NOT($AK303),$AQ303),Constants!$B$5,IF(OR($CI303&lt;&gt;"",$CJ303,$CK303,$CL303,$CM303,$CN303,$CO303),Constants!$B$8,Constants!$B$4)))))</f>
        <v/>
      </c>
      <c r="BI303" s="74" t="str">
        <f aca="false">IF(ISBLANK($C303),"",IF($BH303&lt;&gt;Constants!$B$4,$BH303,IF(OR(NOT($AH303),NOT($AJ303),NOT($AR303)),Constants!$B$11,IF(OR(NOT($AP303),MAX($AL303,$AM303,$AN303)&gt;Constants!$B$30),Constants!$B$10,Constants!$B$9))))</f>
        <v/>
      </c>
      <c r="BJ303" s="74" t="str">
        <f aca="false">IF($BH303&lt;&gt;Constants!$B$4,"",IF(NOT($AJ303),0,MIN(Constants!$B$35,$BC303)))</f>
        <v/>
      </c>
      <c r="BK303" s="74" t="str">
        <f aca="false">IF($BH303&lt;&gt;Constants!$B$4,"",IF(NOT($AJ303),0,IF($AT303,Constants!$B$18,IF($AS303,Constants!$B$17,0))))</f>
        <v/>
      </c>
      <c r="BL303" s="74" t="str">
        <f aca="false">IF($BH303&lt;&gt;Constants!$B$4,"",IF(NOT($AJ303),0,Constants!$B$19*($AI303+$AU303+$AV303+$AW303)))</f>
        <v/>
      </c>
      <c r="BM303" s="74" t="str">
        <f aca="false">IF($BH303&lt;&gt;Constants!$B$4,"",IF(OR(NOT($AJ303),NOT(ISNUMBER($AX303))),0,CHOOSE($AX303,Constants!$B$13,Constants!$B$14,Constants!$B$15,Constants!$B$16)))</f>
        <v/>
      </c>
      <c r="BN303" s="74" t="str">
        <f aca="false">IF($BH303&lt;&gt;Constants!$B$4,"",IF(NOT($AJ303),0,Constants!$B$20*$AY303))</f>
        <v/>
      </c>
      <c r="BO303" s="74" t="str">
        <f aca="false">IF($BH303&lt;&gt;Constants!$B$4,"",IF(AND($AJ303,$BA303,$BB303),Constants!$B$22,0))</f>
        <v/>
      </c>
      <c r="BP303" s="74" t="str">
        <f aca="false">IF($BH303&lt;&gt;Constants!$B$4,"",IF(OR(NOT($AJ303),NOT($BA303)),0,IF($BF303&gt;=2*$AF$9,0,Constants!$B$23*INT(ROUND(MIN($BF303,$AF$9),6)))))</f>
        <v/>
      </c>
      <c r="BQ303" s="74" t="str">
        <f aca="false">IF($BH303&lt;&gt;Constants!$B$4,"",IF(NOT($AJ303),0,Constants!$B$24*INT(ROUND(MIN($AZ303,$AF$9),6))))</f>
        <v/>
      </c>
      <c r="BR303" s="74" t="str">
        <f aca="false">IF($BH303&lt;&gt;Constants!$B$4,"",IF(AND($AJ303,$BJ303=0),Constants!$B$25,0))</f>
        <v/>
      </c>
      <c r="BS303" s="74" t="str">
        <f aca="false">IF($BH303&lt;&gt;Constants!$B$4,"",MIN(Constants!$B$29,MAX(0,Constants!$B$27*Constants!$B$28*INT(ROUND((Constants!$B$26-$AL303)/Constants!$B$28,6))))+MIN(Constants!$B$29,MAX(0,Constants!$B$27*Constants!$B$28*INT(ROUND((Constants!$B$26-$AM303)/Constants!$B$28,6))))+MIN(Constants!$B$29,MAX(0,Constants!$B$27*Constants!$B$28*INT(ROUND((Constants!$B$26-$AN303)/Constants!$B$28,6)))))</f>
        <v/>
      </c>
      <c r="BT303" s="74" t="str">
        <f aca="false">IF($BH303&lt;&gt;Constants!$B$4,"",IF(NOT($AJ303),0,Constants!$B$31*INT(ROUND(MAX(0,MIN($BF303,2*$AF$9)-$AF$9),6))))</f>
        <v/>
      </c>
      <c r="BU303" s="74" t="str">
        <f aca="false">IF($BH303&lt;&gt;Constants!$B$4,"",Constants!$B$32*(($AL303&gt;Constants!$B$26)+($AM303&gt;Constants!$B$26)+($AN303&gt;Constants!$B$26)))</f>
        <v/>
      </c>
      <c r="BV303" s="74" t="str">
        <f aca="false">IF($BH303&lt;&gt;Constants!$B$4,"",IF(OR(NOT($AJ303),$AO303),0,Constants!$B$33))</f>
        <v/>
      </c>
      <c r="BW303" s="74" t="str">
        <f aca="false">IF($BH303&lt;&gt;Constants!$B$4,"",Constants!$B$34*$BJ303)</f>
        <v/>
      </c>
      <c r="BX303" s="74" t="str">
        <f aca="false">IF($BH303&lt;&gt;Constants!$B$4,"",IF(OR(NOT($AJ303),$BE303),0,Constants!$B$36))</f>
        <v/>
      </c>
      <c r="BY303" s="74" t="str">
        <f aca="false">IF($BH303&lt;&gt;Constants!$B$4,"",IF(OR(NOT($AJ303),$BD303),0,Constants!$B$37))</f>
        <v/>
      </c>
      <c r="BZ303" s="74" t="str">
        <f aca="false">IF($BH303&lt;&gt;Constants!$B$4,"",SUM($BT303:$BY303))</f>
        <v/>
      </c>
      <c r="CA303" s="74" t="str">
        <f aca="false">IF(ISBLANK($C303),"",IF($BH303&lt;&gt;Constants!$B$4,$BH303,SUM($BK303:$BS303)-$BZ303))</f>
        <v/>
      </c>
      <c r="CB303" s="74" t="str">
        <f aca="false">IF(ISBLANK($C303),"",IF($BH303&lt;&gt;Constants!$B$4,$BH303,RANK($CA303,$CA$9:$CA$508)))</f>
        <v/>
      </c>
      <c r="CC303" s="74" t="str">
        <f aca="false">IF(ISBLANK($C303),"",IF($BH303&lt;&gt;Constants!$B$4,$BH303,COUNTIFS($BI$9:$BI$508,"&lt;"&amp;$BI303)+COUNTIFS($BI$9:$BI$508,$BI303,$CB$9:$CB$508,"&lt;"&amp;$CB303)+1))</f>
        <v/>
      </c>
      <c r="CD303" s="74" t="str">
        <f aca="false">IF(ISBLANK($C303),"",IF($BH303&lt;&gt;Constants!$B$4,$BH303,RANK($BZ303,$BZ$9:$BZ$508,1)))</f>
        <v/>
      </c>
      <c r="CE303" s="74" t="str">
        <f aca="false">IF($BH303&lt;&gt;Constants!$B$4,"",$AL303+$AM303+$AN303)</f>
        <v/>
      </c>
      <c r="CF303" s="74" t="str">
        <f aca="false">IF(ISBLANK($C303),"",IF($BH303&lt;&gt;Constants!$B$4,$BH303,RANK($CE303,$CE$9:$CE$508,1)))</f>
        <v/>
      </c>
      <c r="CG303" s="74" t="str">
        <f aca="false">IF(ISBLANK($C303),"",IF($BH303&lt;&gt;Constants!$B$4,$BH303,COUNTIFS($BI$9:$BI$508,"&lt;"&amp;$BI303)+COUNTIFS($BI$9:$BI$508,$BI303,$CB$9:$CB$508,"&lt;"&amp;$CB303)+COUNTIFS($BI$9:$BI$508,$BI303,$CB$9:$CB$508,$CB303,$CD$9:$CD$508,"&lt;"&amp;$CD303)+COUNTIFS($BI$9:$BI$508,$BI303,$CB$9:$CB$508,$CB303,$CD$9:$CD$508,$CD303,$CF$9:$CF$508,"&lt;"&amp;$CF303)+1))</f>
        <v/>
      </c>
      <c r="CH303" s="74" t="str">
        <f aca="false">IF(ISBLANK($C303),"",IF($BH303&lt;&gt;Constants!$B$4,$BH303,$CC303-$CG303))</f>
        <v/>
      </c>
      <c r="CI303" s="74" t="str">
        <f aca="false">IF(ISBLANK($C303),"",IF(NOT($AJ303),"",IF(ISBLANK($D$7),$CI$5,IF(NOT(ISNUMBER($D$7)),$CI$6,""))))</f>
        <v/>
      </c>
      <c r="CJ303" s="74" t="str">
        <f aca="false">IF(ISBLANK($C303),"",OR($AL303="",$AM303="",$AN303=""))</f>
        <v/>
      </c>
      <c r="CK303" s="74" t="str">
        <f aca="false">IF(ISBLANK($C303),"",AND($AJ303,$AX303=""))</f>
        <v/>
      </c>
      <c r="CL303" s="74" t="str">
        <f aca="false">IF(ISBLANK($C303),"",AND($AJ303,$AY303=""))</f>
        <v/>
      </c>
      <c r="CM303" s="74" t="str">
        <f aca="false">IF(ISBLANK($C303),"",AND($AJ303,$AZ303=""))</f>
        <v/>
      </c>
      <c r="CN303" s="74" t="str">
        <f aca="false">IF(ISBLANK($C303),"",AND($AJ303,$BC303=""))</f>
        <v/>
      </c>
      <c r="CO303" s="74" t="str">
        <f aca="false">IF(ISBLANK($C303),"",AND($AJ303,$BF303=""))</f>
        <v/>
      </c>
      <c r="CP303" s="75"/>
      <c r="CQ303" s="76"/>
      <c r="CR303" s="79" t="str">
        <f aca="false">IF(ISBLANK($C303),"",IF($BH303=Constants!$B$8,$CI303,""))</f>
        <v/>
      </c>
      <c r="CS303" s="76" t="str">
        <f aca="false">IF(ISBLANK($C303),"",IF($BH303&lt;&gt;Constants!$B$4,"",$BK303+$BL303))</f>
        <v/>
      </c>
      <c r="CT303" s="78" t="str">
        <f aca="false">IF(ISBLANK($C303),"",IF($BH303&lt;&gt;Constants!$B$4,"",$BM303+$BN303+$BO303))</f>
        <v/>
      </c>
      <c r="CU303" s="78" t="str">
        <f aca="false">IF(ISBLANK($C303),"",IF($BH303&lt;&gt;Constants!$B$4,"",$BP303))</f>
        <v/>
      </c>
      <c r="CV303" s="78" t="str">
        <f aca="false">IF(ISBLANK($C303),"",IF($BH303&lt;&gt;Constants!$B$4,"",$BQ303+$BR303))</f>
        <v/>
      </c>
      <c r="CW303" s="78" t="str">
        <f aca="false">IF(ISBLANK($C303),"",IF($BH303&lt;&gt;Constants!$B$4,"",$BS303))</f>
        <v/>
      </c>
      <c r="CX303" s="78" t="str">
        <f aca="false">IF(ISBLANK($C303),"",IF($BH303&lt;&gt;Constants!$B$4,"",-$BZ303))</f>
        <v/>
      </c>
      <c r="CY303" s="79" t="str">
        <f aca="false">IF(ISBLANK($C303),"",$CA303)</f>
        <v/>
      </c>
      <c r="CZ303" s="80" t="str">
        <f aca="false">IF(ISBLANK($C303),"",$BI303)</f>
        <v/>
      </c>
      <c r="DA303" s="78" t="str">
        <f aca="false">IF(ISBLANK($C303),"",$CH303)</f>
        <v/>
      </c>
      <c r="DB303" s="78" t="str">
        <f aca="false">IF(ISBLANK($C303),"",$CG303)</f>
        <v/>
      </c>
      <c r="DC303" s="81" t="str">
        <f aca="false">IF(ISBLANK($C303),"",IFERROR(_xlfn.SWITCH($DB303,Constants!$B$7,COUNTA($C$9:$C$508)+2,Constants!$B$6,COUNTA($C$9:$C$508)+1,Constants!$B$5,COUNTA($C$9:$C$508)),$DB303))</f>
        <v/>
      </c>
      <c r="DD303" s="7"/>
      <c r="DE303" s="82" t="n">
        <f aca="false">IF(OR(ISNUMBER($DB303),$DB303=Constants!$B$7,$DB303=Constants!$B$5,$DB303=Constants!$B$6),1,0)</f>
        <v>0</v>
      </c>
      <c r="DF303" s="82" t="n">
        <v>295</v>
      </c>
      <c r="DG303" s="82" t="str">
        <f aca="false">IF(ISBLANK($C303),"",IF(ISNUMBER($DC303),$DC303+ROW($B303)/1000,""))</f>
        <v/>
      </c>
      <c r="DH303" s="82" t="str">
        <f aca="false">IF(ISNUMBER($DG303),RANK($DG303,$DG$9:$DG$508,1),"")</f>
        <v/>
      </c>
      <c r="DI303" s="82" t="str">
        <f aca="false">IF(ISBLANK($C303),"",$B303)</f>
        <v/>
      </c>
      <c r="DJ303" s="82" t="str">
        <f aca="false">IF(ISBLANK($C303),"",$C303)</f>
        <v/>
      </c>
      <c r="DK303" s="82" t="str">
        <f aca="false">IF(ISBLANK($C303),"",$D303)</f>
        <v/>
      </c>
      <c r="DL303" s="83" t="str">
        <f aca="false">$CZ303</f>
        <v/>
      </c>
      <c r="DM303" s="84" t="str">
        <f aca="false">$CY303</f>
        <v/>
      </c>
      <c r="DN303" s="82" t="str">
        <f aca="false">IF(ISBLANK($C303),"",$DB303)</f>
        <v/>
      </c>
      <c r="DO303" s="85" t="str">
        <f aca="false">IF($DF303&gt;$DE$8,"",VLOOKUP($DF303,$DH$9:$DN$508,7,FALSE()))</f>
        <v/>
      </c>
      <c r="DP303" s="86" t="str">
        <f aca="false">IF($DF303&gt;$DE$8,"",VLOOKUP($DF303,$DH$9:$DN$508,2,FALSE()))</f>
        <v/>
      </c>
      <c r="DQ303" s="86" t="str">
        <f aca="false">IF($DF303&gt;$DE$8,"",VLOOKUP($DF303,$DH$9:$DN$508,3,FALSE()))</f>
        <v/>
      </c>
      <c r="DR303" s="86" t="str">
        <f aca="false">IF($DF303&gt;$DE$8,"",VLOOKUP($DF303,$DH$9:$DN$508,4,FALSE()))</f>
        <v/>
      </c>
      <c r="DS303" s="86" t="str">
        <f aca="false">IF($DF303&gt;$DE$8,"",VLOOKUP($DF303,$DH$9:$DN$508,5,FALSE()))</f>
        <v/>
      </c>
      <c r="DT303" s="87" t="str">
        <f aca="false">IF($DF303&gt;$DE$8,"",VLOOKUP($DF303,$DH$9:$DN$508,6,FALSE()))</f>
        <v/>
      </c>
      <c r="DU303" s="62"/>
    </row>
    <row r="304" customFormat="false" ht="15.75" hidden="false" customHeight="false" outlineLevel="0" collapsed="false">
      <c r="A304" s="7"/>
      <c r="B304" s="64"/>
      <c r="C304" s="65"/>
      <c r="D304" s="123"/>
      <c r="E304" s="88"/>
      <c r="F304" s="134"/>
      <c r="G304" s="88"/>
      <c r="H304" s="134"/>
      <c r="I304" s="119"/>
      <c r="J304" s="119"/>
      <c r="K304" s="119"/>
      <c r="L304" s="88"/>
      <c r="M304" s="88"/>
      <c r="N304" s="88"/>
      <c r="O304" s="134"/>
      <c r="P304" s="88"/>
      <c r="Q304" s="88"/>
      <c r="R304" s="88"/>
      <c r="S304" s="88"/>
      <c r="T304" s="134"/>
      <c r="U304" s="88"/>
      <c r="V304" s="70"/>
      <c r="W304" s="88"/>
      <c r="X304" s="88"/>
      <c r="Y304" s="70"/>
      <c r="Z304" s="70"/>
      <c r="AA304" s="88"/>
      <c r="AB304" s="88"/>
      <c r="AC304" s="71"/>
      <c r="AD304" s="88"/>
      <c r="AE304" s="73"/>
      <c r="AF304" s="74"/>
      <c r="AG304" s="74"/>
      <c r="AH304" s="74" t="str">
        <f aca="false">IF(ISBLANK($C304),"",IF($E304=Constants!$B$2,TRUE(),IF($E304=Constants!$B$3,FALSE(),TRUE())))</f>
        <v/>
      </c>
      <c r="AI304" s="74" t="str">
        <f aca="false">IF(ISBLANK($C304),"",IF($F304=Constants!$B$2,TRUE(),IF($F304=Constants!$B$3,FALSE(),FALSE())))</f>
        <v/>
      </c>
      <c r="AJ304" s="74" t="str">
        <f aca="false">IF(ISBLANK($C304),"",IF($G304=Constants!$B$2,TRUE(),IF($G304=Constants!$B$3,FALSE(),TRUE())))</f>
        <v/>
      </c>
      <c r="AK304" s="74" t="str">
        <f aca="false">IF(ISBLANK($C304),"",IF($H304=Constants!$B$2,TRUE(),IF($H304=Constants!$B$3,FALSE(),TRUE())))</f>
        <v/>
      </c>
      <c r="AL304" s="74" t="str">
        <f aca="false">IF(ISBLANK($C304),"",IF(ISNUMBER($I304),IF($I304&gt;=0,$I304,""),""))</f>
        <v/>
      </c>
      <c r="AM304" s="74" t="str">
        <f aca="false">IF(ISBLANK($C304),"",IF(ISNUMBER($J304),IF($J304&gt;=0,$J304,""),""))</f>
        <v/>
      </c>
      <c r="AN304" s="74" t="str">
        <f aca="false">IF(ISBLANK($C304),"",IF(ISNUMBER($K304),IF($K304&gt;=0,$K304,""),""))</f>
        <v/>
      </c>
      <c r="AO304" s="74" t="str">
        <f aca="false">IF(ISBLANK($C304),"",IF($L304=Constants!$B$2,TRUE(),IF($L304=Constants!$B$3,FALSE(),TRUE())))</f>
        <v/>
      </c>
      <c r="AP304" s="74" t="str">
        <f aca="false">IF(ISBLANK($C304),"",IF($M304=Constants!$B$2,TRUE(),IF($M304=Constants!$B$3,FALSE(),TRUE())))</f>
        <v/>
      </c>
      <c r="AQ304" s="74" t="str">
        <f aca="false">IF(ISBLANK($C304),"",IF($N304=Constants!$B$2,TRUE(),IF($N304=Constants!$B$3,FALSE(),FALSE())))</f>
        <v/>
      </c>
      <c r="AR304" s="74" t="str">
        <f aca="false">IF(ISBLANK($C304),"",IF($O304=Constants!$B$2,TRUE(),IF($O304=Constants!$B$3,FALSE(),TRUE())))</f>
        <v/>
      </c>
      <c r="AS304" s="74" t="str">
        <f aca="false">IF(ISBLANK($C304),"",IF($P304=Constants!$B$2,TRUE(),IF($P304=Constants!$B$3,FALSE(),FALSE())))</f>
        <v/>
      </c>
      <c r="AT304" s="74" t="str">
        <f aca="false">IF(ISBLANK($C304),"",IF($Q304=Constants!$B$2,TRUE(),IF($Q304=Constants!$B$3,FALSE(),FALSE())))</f>
        <v/>
      </c>
      <c r="AU304" s="74" t="str">
        <f aca="false">IF(ISBLANK($C304),"",IF($R304=Constants!$B$2,TRUE(),IF($R304=Constants!$B$3,FALSE(),FALSE())))</f>
        <v/>
      </c>
      <c r="AV304" s="74" t="str">
        <f aca="false">IF(ISBLANK($C304),"",IF($S304=Constants!$B$2,TRUE(),IF($S304=Constants!$B$3,FALSE(),FALSE())))</f>
        <v/>
      </c>
      <c r="AW304" s="74" t="str">
        <f aca="false">IF(ISBLANK($C304),"",IF($T304=Constants!$B$2,TRUE(),IF($T304=Constants!$B$3,FALSE(),FALSE())))</f>
        <v/>
      </c>
      <c r="AX304" s="74" t="str">
        <f aca="false">IF(ISBLANK($C304),"",IF(OR($U304&amp;""="1",$U304&amp;""="2",$U304&amp;""="3",$U304&amp;""="4"),VALUE($U304&amp;""),IF($U304=Constants!$B$12,Constants!$B$12,"")))</f>
        <v/>
      </c>
      <c r="AY304" s="74" t="str">
        <f aca="false">IF(ISBLANK($C304),"",IF(ISBLANK($V304),0,IF(ISNUMBER($V304),IF(AND($V304&gt;=0,$V304&lt;=Constants!$B$21,$V304=INT($V304)),$V304,""),"")))</f>
        <v/>
      </c>
      <c r="AZ304" s="74" t="str">
        <f aca="false">IF(ISBLANK($C304),"",IF(ISBLANK($W304),0,IF(ISNUMBER($W304),IF($W304&gt;=0,$W304,""),"")))</f>
        <v/>
      </c>
      <c r="BA304" s="74" t="str">
        <f aca="false">IF(ISBLANK($C304),"",IF($X304=Constants!$B$2,TRUE(),IF($X304=Constants!$B$3,FALSE(),TRUE())))</f>
        <v/>
      </c>
      <c r="BB304" s="74" t="str">
        <f aca="false">IF(ISBLANK($C304),"",IF($Y304=Constants!$B$2,TRUE(),IF($Y304=Constants!$B$3,FALSE(),FALSE())))</f>
        <v/>
      </c>
      <c r="BC304" s="74" t="str">
        <f aca="false">IF(ISBLANK($C304),"",IF(ISBLANK($Z304),0,IF(ISNUMBER($Z304),IF(AND($Z304&gt;=0,$Z304&lt;=Constants!$B$35,$Z304=INT($Z304)),$Z304,""),"")))</f>
        <v/>
      </c>
      <c r="BD304" s="74" t="str">
        <f aca="false">IF(ISBLANK($C304),"",IF($AA304=Constants!$B$2,TRUE(),IF($AA304=Constants!$B$3,FALSE(),TRUE())))</f>
        <v/>
      </c>
      <c r="BE304" s="74" t="str">
        <f aca="false">IF(ISBLANK($C304),"",IF($AB304=Constants!$B$2,TRUE(),IF($AB304=Constants!$B$3,FALSE(),TRUE())))</f>
        <v/>
      </c>
      <c r="BF304" s="74" t="str">
        <f aca="false">IF(ISBLANK($C304),"",IF(ISNUMBER($AC304),IF($AC304&gt;=0,$AC304,""),""))</f>
        <v/>
      </c>
      <c r="BG304" s="74" t="str">
        <f aca="false">IF(ISBLANK($C304),"",IF($AD304=Constants!$B$2,TRUE(),IF($AD304=Constants!$B$3,FALSE(),FALSE())))</f>
        <v/>
      </c>
      <c r="BH304" s="73" t="str">
        <f aca="false">IF(ISBLANK($C304),"",IF($BG304,Constants!$B$7,IF(COUNTA($E304:$AC304)=0,Constants!$B$6,IF(OR(COUNTA($G304:$AC304)=0,NOT($AK304),$AQ304),Constants!$B$5,IF(OR($CI304&lt;&gt;"",$CJ304,$CK304,$CL304,$CM304,$CN304,$CO304),Constants!$B$8,Constants!$B$4)))))</f>
        <v/>
      </c>
      <c r="BI304" s="74" t="str">
        <f aca="false">IF(ISBLANK($C304),"",IF($BH304&lt;&gt;Constants!$B$4,$BH304,IF(OR(NOT($AH304),NOT($AJ304),NOT($AR304)),Constants!$B$11,IF(OR(NOT($AP304),MAX($AL304,$AM304,$AN304)&gt;Constants!$B$30),Constants!$B$10,Constants!$B$9))))</f>
        <v/>
      </c>
      <c r="BJ304" s="74" t="str">
        <f aca="false">IF($BH304&lt;&gt;Constants!$B$4,"",IF(NOT($AJ304),0,MIN(Constants!$B$35,$BC304)))</f>
        <v/>
      </c>
      <c r="BK304" s="74" t="str">
        <f aca="false">IF($BH304&lt;&gt;Constants!$B$4,"",IF(NOT($AJ304),0,IF($AT304,Constants!$B$18,IF($AS304,Constants!$B$17,0))))</f>
        <v/>
      </c>
      <c r="BL304" s="74" t="str">
        <f aca="false">IF($BH304&lt;&gt;Constants!$B$4,"",IF(NOT($AJ304),0,Constants!$B$19*($AI304+$AU304+$AV304+$AW304)))</f>
        <v/>
      </c>
      <c r="BM304" s="74" t="str">
        <f aca="false">IF($BH304&lt;&gt;Constants!$B$4,"",IF(OR(NOT($AJ304),NOT(ISNUMBER($AX304))),0,CHOOSE($AX304,Constants!$B$13,Constants!$B$14,Constants!$B$15,Constants!$B$16)))</f>
        <v/>
      </c>
      <c r="BN304" s="74" t="str">
        <f aca="false">IF($BH304&lt;&gt;Constants!$B$4,"",IF(NOT($AJ304),0,Constants!$B$20*$AY304))</f>
        <v/>
      </c>
      <c r="BO304" s="74" t="str">
        <f aca="false">IF($BH304&lt;&gt;Constants!$B$4,"",IF(AND($AJ304,$BA304,$BB304),Constants!$B$22,0))</f>
        <v/>
      </c>
      <c r="BP304" s="74" t="str">
        <f aca="false">IF($BH304&lt;&gt;Constants!$B$4,"",IF(OR(NOT($AJ304),NOT($BA304)),0,IF($BF304&gt;=2*$AF$9,0,Constants!$B$23*INT(ROUND(MIN($BF304,$AF$9),6)))))</f>
        <v/>
      </c>
      <c r="BQ304" s="74" t="str">
        <f aca="false">IF($BH304&lt;&gt;Constants!$B$4,"",IF(NOT($AJ304),0,Constants!$B$24*INT(ROUND(MIN($AZ304,$AF$9),6))))</f>
        <v/>
      </c>
      <c r="BR304" s="74" t="str">
        <f aca="false">IF($BH304&lt;&gt;Constants!$B$4,"",IF(AND($AJ304,$BJ304=0),Constants!$B$25,0))</f>
        <v/>
      </c>
      <c r="BS304" s="74" t="str">
        <f aca="false">IF($BH304&lt;&gt;Constants!$B$4,"",MIN(Constants!$B$29,MAX(0,Constants!$B$27*Constants!$B$28*INT(ROUND((Constants!$B$26-$AL304)/Constants!$B$28,6))))+MIN(Constants!$B$29,MAX(0,Constants!$B$27*Constants!$B$28*INT(ROUND((Constants!$B$26-$AM304)/Constants!$B$28,6))))+MIN(Constants!$B$29,MAX(0,Constants!$B$27*Constants!$B$28*INT(ROUND((Constants!$B$26-$AN304)/Constants!$B$28,6)))))</f>
        <v/>
      </c>
      <c r="BT304" s="74" t="str">
        <f aca="false">IF($BH304&lt;&gt;Constants!$B$4,"",IF(NOT($AJ304),0,Constants!$B$31*INT(ROUND(MAX(0,MIN($BF304,2*$AF$9)-$AF$9),6))))</f>
        <v/>
      </c>
      <c r="BU304" s="74" t="str">
        <f aca="false">IF($BH304&lt;&gt;Constants!$B$4,"",Constants!$B$32*(($AL304&gt;Constants!$B$26)+($AM304&gt;Constants!$B$26)+($AN304&gt;Constants!$B$26)))</f>
        <v/>
      </c>
      <c r="BV304" s="74" t="str">
        <f aca="false">IF($BH304&lt;&gt;Constants!$B$4,"",IF(OR(NOT($AJ304),$AO304),0,Constants!$B$33))</f>
        <v/>
      </c>
      <c r="BW304" s="74" t="str">
        <f aca="false">IF($BH304&lt;&gt;Constants!$B$4,"",Constants!$B$34*$BJ304)</f>
        <v/>
      </c>
      <c r="BX304" s="74" t="str">
        <f aca="false">IF($BH304&lt;&gt;Constants!$B$4,"",IF(OR(NOT($AJ304),$BE304),0,Constants!$B$36))</f>
        <v/>
      </c>
      <c r="BY304" s="74" t="str">
        <f aca="false">IF($BH304&lt;&gt;Constants!$B$4,"",IF(OR(NOT($AJ304),$BD304),0,Constants!$B$37))</f>
        <v/>
      </c>
      <c r="BZ304" s="74" t="str">
        <f aca="false">IF($BH304&lt;&gt;Constants!$B$4,"",SUM($BT304:$BY304))</f>
        <v/>
      </c>
      <c r="CA304" s="74" t="str">
        <f aca="false">IF(ISBLANK($C304),"",IF($BH304&lt;&gt;Constants!$B$4,$BH304,SUM($BK304:$BS304)-$BZ304))</f>
        <v/>
      </c>
      <c r="CB304" s="74" t="str">
        <f aca="false">IF(ISBLANK($C304),"",IF($BH304&lt;&gt;Constants!$B$4,$BH304,RANK($CA304,$CA$9:$CA$508)))</f>
        <v/>
      </c>
      <c r="CC304" s="74" t="str">
        <f aca="false">IF(ISBLANK($C304),"",IF($BH304&lt;&gt;Constants!$B$4,$BH304,COUNTIFS($BI$9:$BI$508,"&lt;"&amp;$BI304)+COUNTIFS($BI$9:$BI$508,$BI304,$CB$9:$CB$508,"&lt;"&amp;$CB304)+1))</f>
        <v/>
      </c>
      <c r="CD304" s="74" t="str">
        <f aca="false">IF(ISBLANK($C304),"",IF($BH304&lt;&gt;Constants!$B$4,$BH304,RANK($BZ304,$BZ$9:$BZ$508,1)))</f>
        <v/>
      </c>
      <c r="CE304" s="74" t="str">
        <f aca="false">IF($BH304&lt;&gt;Constants!$B$4,"",$AL304+$AM304+$AN304)</f>
        <v/>
      </c>
      <c r="CF304" s="74" t="str">
        <f aca="false">IF(ISBLANK($C304),"",IF($BH304&lt;&gt;Constants!$B$4,$BH304,RANK($CE304,$CE$9:$CE$508,1)))</f>
        <v/>
      </c>
      <c r="CG304" s="74" t="str">
        <f aca="false">IF(ISBLANK($C304),"",IF($BH304&lt;&gt;Constants!$B$4,$BH304,COUNTIFS($BI$9:$BI$508,"&lt;"&amp;$BI304)+COUNTIFS($BI$9:$BI$508,$BI304,$CB$9:$CB$508,"&lt;"&amp;$CB304)+COUNTIFS($BI$9:$BI$508,$BI304,$CB$9:$CB$508,$CB304,$CD$9:$CD$508,"&lt;"&amp;$CD304)+COUNTIFS($BI$9:$BI$508,$BI304,$CB$9:$CB$508,$CB304,$CD$9:$CD$508,$CD304,$CF$9:$CF$508,"&lt;"&amp;$CF304)+1))</f>
        <v/>
      </c>
      <c r="CH304" s="74" t="str">
        <f aca="false">IF(ISBLANK($C304),"",IF($BH304&lt;&gt;Constants!$B$4,$BH304,$CC304-$CG304))</f>
        <v/>
      </c>
      <c r="CI304" s="74" t="str">
        <f aca="false">IF(ISBLANK($C304),"",IF(NOT($AJ304),"",IF(ISBLANK($D$7),$CI$5,IF(NOT(ISNUMBER($D$7)),$CI$6,""))))</f>
        <v/>
      </c>
      <c r="CJ304" s="74" t="str">
        <f aca="false">IF(ISBLANK($C304),"",OR($AL304="",$AM304="",$AN304=""))</f>
        <v/>
      </c>
      <c r="CK304" s="74" t="str">
        <f aca="false">IF(ISBLANK($C304),"",AND($AJ304,$AX304=""))</f>
        <v/>
      </c>
      <c r="CL304" s="74" t="str">
        <f aca="false">IF(ISBLANK($C304),"",AND($AJ304,$AY304=""))</f>
        <v/>
      </c>
      <c r="CM304" s="74" t="str">
        <f aca="false">IF(ISBLANK($C304),"",AND($AJ304,$AZ304=""))</f>
        <v/>
      </c>
      <c r="CN304" s="74" t="str">
        <f aca="false">IF(ISBLANK($C304),"",AND($AJ304,$BC304=""))</f>
        <v/>
      </c>
      <c r="CO304" s="74" t="str">
        <f aca="false">IF(ISBLANK($C304),"",AND($AJ304,$BF304=""))</f>
        <v/>
      </c>
      <c r="CP304" s="75"/>
      <c r="CQ304" s="76"/>
      <c r="CR304" s="79" t="str">
        <f aca="false">IF(ISBLANK($C304),"",IF($BH304=Constants!$B$8,$CI304,""))</f>
        <v/>
      </c>
      <c r="CS304" s="76" t="str">
        <f aca="false">IF(ISBLANK($C304),"",IF($BH304&lt;&gt;Constants!$B$4,"",$BK304+$BL304))</f>
        <v/>
      </c>
      <c r="CT304" s="78" t="str">
        <f aca="false">IF(ISBLANK($C304),"",IF($BH304&lt;&gt;Constants!$B$4,"",$BM304+$BN304+$BO304))</f>
        <v/>
      </c>
      <c r="CU304" s="78" t="str">
        <f aca="false">IF(ISBLANK($C304),"",IF($BH304&lt;&gt;Constants!$B$4,"",$BP304))</f>
        <v/>
      </c>
      <c r="CV304" s="78" t="str">
        <f aca="false">IF(ISBLANK($C304),"",IF($BH304&lt;&gt;Constants!$B$4,"",$BQ304+$BR304))</f>
        <v/>
      </c>
      <c r="CW304" s="78" t="str">
        <f aca="false">IF(ISBLANK($C304),"",IF($BH304&lt;&gt;Constants!$B$4,"",$BS304))</f>
        <v/>
      </c>
      <c r="CX304" s="78" t="str">
        <f aca="false">IF(ISBLANK($C304),"",IF($BH304&lt;&gt;Constants!$B$4,"",-$BZ304))</f>
        <v/>
      </c>
      <c r="CY304" s="79" t="str">
        <f aca="false">IF(ISBLANK($C304),"",$CA304)</f>
        <v/>
      </c>
      <c r="CZ304" s="80" t="str">
        <f aca="false">IF(ISBLANK($C304),"",$BI304)</f>
        <v/>
      </c>
      <c r="DA304" s="78" t="str">
        <f aca="false">IF(ISBLANK($C304),"",$CH304)</f>
        <v/>
      </c>
      <c r="DB304" s="78" t="str">
        <f aca="false">IF(ISBLANK($C304),"",$CG304)</f>
        <v/>
      </c>
      <c r="DC304" s="81" t="str">
        <f aca="false">IF(ISBLANK($C304),"",IFERROR(_xlfn.SWITCH($DB304,Constants!$B$7,COUNTA($C$9:$C$508)+2,Constants!$B$6,COUNTA($C$9:$C$508)+1,Constants!$B$5,COUNTA($C$9:$C$508)),$DB304))</f>
        <v/>
      </c>
      <c r="DD304" s="7"/>
      <c r="DE304" s="82" t="n">
        <f aca="false">IF(OR(ISNUMBER($DB304),$DB304=Constants!$B$7,$DB304=Constants!$B$5,$DB304=Constants!$B$6),1,0)</f>
        <v>0</v>
      </c>
      <c r="DF304" s="82" t="n">
        <v>296</v>
      </c>
      <c r="DG304" s="82" t="str">
        <f aca="false">IF(ISBLANK($C304),"",IF(ISNUMBER($DC304),$DC304+ROW($B304)/1000,""))</f>
        <v/>
      </c>
      <c r="DH304" s="82" t="str">
        <f aca="false">IF(ISNUMBER($DG304),RANK($DG304,$DG$9:$DG$508,1),"")</f>
        <v/>
      </c>
      <c r="DI304" s="82" t="str">
        <f aca="false">IF(ISBLANK($C304),"",$B304)</f>
        <v/>
      </c>
      <c r="DJ304" s="82" t="str">
        <f aca="false">IF(ISBLANK($C304),"",$C304)</f>
        <v/>
      </c>
      <c r="DK304" s="82" t="str">
        <f aca="false">IF(ISBLANK($C304),"",$D304)</f>
        <v/>
      </c>
      <c r="DL304" s="83" t="str">
        <f aca="false">$CZ304</f>
        <v/>
      </c>
      <c r="DM304" s="84" t="str">
        <f aca="false">$CY304</f>
        <v/>
      </c>
      <c r="DN304" s="82" t="str">
        <f aca="false">IF(ISBLANK($C304),"",$DB304)</f>
        <v/>
      </c>
      <c r="DO304" s="85" t="str">
        <f aca="false">IF($DF304&gt;$DE$8,"",VLOOKUP($DF304,$DH$9:$DN$508,7,FALSE()))</f>
        <v/>
      </c>
      <c r="DP304" s="86" t="str">
        <f aca="false">IF($DF304&gt;$DE$8,"",VLOOKUP($DF304,$DH$9:$DN$508,2,FALSE()))</f>
        <v/>
      </c>
      <c r="DQ304" s="86" t="str">
        <f aca="false">IF($DF304&gt;$DE$8,"",VLOOKUP($DF304,$DH$9:$DN$508,3,FALSE()))</f>
        <v/>
      </c>
      <c r="DR304" s="86" t="str">
        <f aca="false">IF($DF304&gt;$DE$8,"",VLOOKUP($DF304,$DH$9:$DN$508,4,FALSE()))</f>
        <v/>
      </c>
      <c r="DS304" s="86" t="str">
        <f aca="false">IF($DF304&gt;$DE$8,"",VLOOKUP($DF304,$DH$9:$DN$508,5,FALSE()))</f>
        <v/>
      </c>
      <c r="DT304" s="87" t="str">
        <f aca="false">IF($DF304&gt;$DE$8,"",VLOOKUP($DF304,$DH$9:$DN$508,6,FALSE()))</f>
        <v/>
      </c>
      <c r="DU304" s="62"/>
    </row>
    <row r="305" customFormat="false" ht="15.75" hidden="false" customHeight="false" outlineLevel="0" collapsed="false">
      <c r="A305" s="7"/>
      <c r="B305" s="64"/>
      <c r="C305" s="65"/>
      <c r="D305" s="123"/>
      <c r="E305" s="88"/>
      <c r="F305" s="134"/>
      <c r="G305" s="88"/>
      <c r="H305" s="134"/>
      <c r="I305" s="119"/>
      <c r="J305" s="119"/>
      <c r="K305" s="119"/>
      <c r="L305" s="88"/>
      <c r="M305" s="88"/>
      <c r="N305" s="88"/>
      <c r="O305" s="134"/>
      <c r="P305" s="88"/>
      <c r="Q305" s="88"/>
      <c r="R305" s="88"/>
      <c r="S305" s="88"/>
      <c r="T305" s="134"/>
      <c r="U305" s="88"/>
      <c r="V305" s="70"/>
      <c r="W305" s="88"/>
      <c r="X305" s="88"/>
      <c r="Y305" s="70"/>
      <c r="Z305" s="70"/>
      <c r="AA305" s="88"/>
      <c r="AB305" s="88"/>
      <c r="AC305" s="71"/>
      <c r="AD305" s="88"/>
      <c r="AE305" s="73"/>
      <c r="AF305" s="74"/>
      <c r="AG305" s="74"/>
      <c r="AH305" s="74" t="str">
        <f aca="false">IF(ISBLANK($C305),"",IF($E305=Constants!$B$2,TRUE(),IF($E305=Constants!$B$3,FALSE(),TRUE())))</f>
        <v/>
      </c>
      <c r="AI305" s="74" t="str">
        <f aca="false">IF(ISBLANK($C305),"",IF($F305=Constants!$B$2,TRUE(),IF($F305=Constants!$B$3,FALSE(),FALSE())))</f>
        <v/>
      </c>
      <c r="AJ305" s="74" t="str">
        <f aca="false">IF(ISBLANK($C305),"",IF($G305=Constants!$B$2,TRUE(),IF($G305=Constants!$B$3,FALSE(),TRUE())))</f>
        <v/>
      </c>
      <c r="AK305" s="74" t="str">
        <f aca="false">IF(ISBLANK($C305),"",IF($H305=Constants!$B$2,TRUE(),IF($H305=Constants!$B$3,FALSE(),TRUE())))</f>
        <v/>
      </c>
      <c r="AL305" s="74" t="str">
        <f aca="false">IF(ISBLANK($C305),"",IF(ISNUMBER($I305),IF($I305&gt;=0,$I305,""),""))</f>
        <v/>
      </c>
      <c r="AM305" s="74" t="str">
        <f aca="false">IF(ISBLANK($C305),"",IF(ISNUMBER($J305),IF($J305&gt;=0,$J305,""),""))</f>
        <v/>
      </c>
      <c r="AN305" s="74" t="str">
        <f aca="false">IF(ISBLANK($C305),"",IF(ISNUMBER($K305),IF($K305&gt;=0,$K305,""),""))</f>
        <v/>
      </c>
      <c r="AO305" s="74" t="str">
        <f aca="false">IF(ISBLANK($C305),"",IF($L305=Constants!$B$2,TRUE(),IF($L305=Constants!$B$3,FALSE(),TRUE())))</f>
        <v/>
      </c>
      <c r="AP305" s="74" t="str">
        <f aca="false">IF(ISBLANK($C305),"",IF($M305=Constants!$B$2,TRUE(),IF($M305=Constants!$B$3,FALSE(),TRUE())))</f>
        <v/>
      </c>
      <c r="AQ305" s="74" t="str">
        <f aca="false">IF(ISBLANK($C305),"",IF($N305=Constants!$B$2,TRUE(),IF($N305=Constants!$B$3,FALSE(),FALSE())))</f>
        <v/>
      </c>
      <c r="AR305" s="74" t="str">
        <f aca="false">IF(ISBLANK($C305),"",IF($O305=Constants!$B$2,TRUE(),IF($O305=Constants!$B$3,FALSE(),TRUE())))</f>
        <v/>
      </c>
      <c r="AS305" s="74" t="str">
        <f aca="false">IF(ISBLANK($C305),"",IF($P305=Constants!$B$2,TRUE(),IF($P305=Constants!$B$3,FALSE(),FALSE())))</f>
        <v/>
      </c>
      <c r="AT305" s="74" t="str">
        <f aca="false">IF(ISBLANK($C305),"",IF($Q305=Constants!$B$2,TRUE(),IF($Q305=Constants!$B$3,FALSE(),FALSE())))</f>
        <v/>
      </c>
      <c r="AU305" s="74" t="str">
        <f aca="false">IF(ISBLANK($C305),"",IF($R305=Constants!$B$2,TRUE(),IF($R305=Constants!$B$3,FALSE(),FALSE())))</f>
        <v/>
      </c>
      <c r="AV305" s="74" t="str">
        <f aca="false">IF(ISBLANK($C305),"",IF($S305=Constants!$B$2,TRUE(),IF($S305=Constants!$B$3,FALSE(),FALSE())))</f>
        <v/>
      </c>
      <c r="AW305" s="74" t="str">
        <f aca="false">IF(ISBLANK($C305),"",IF($T305=Constants!$B$2,TRUE(),IF($T305=Constants!$B$3,FALSE(),FALSE())))</f>
        <v/>
      </c>
      <c r="AX305" s="74" t="str">
        <f aca="false">IF(ISBLANK($C305),"",IF(OR($U305&amp;""="1",$U305&amp;""="2",$U305&amp;""="3",$U305&amp;""="4"),VALUE($U305&amp;""),IF($U305=Constants!$B$12,Constants!$B$12,"")))</f>
        <v/>
      </c>
      <c r="AY305" s="74" t="str">
        <f aca="false">IF(ISBLANK($C305),"",IF(ISBLANK($V305),0,IF(ISNUMBER($V305),IF(AND($V305&gt;=0,$V305&lt;=Constants!$B$21,$V305=INT($V305)),$V305,""),"")))</f>
        <v/>
      </c>
      <c r="AZ305" s="74" t="str">
        <f aca="false">IF(ISBLANK($C305),"",IF(ISBLANK($W305),0,IF(ISNUMBER($W305),IF($W305&gt;=0,$W305,""),"")))</f>
        <v/>
      </c>
      <c r="BA305" s="74" t="str">
        <f aca="false">IF(ISBLANK($C305),"",IF($X305=Constants!$B$2,TRUE(),IF($X305=Constants!$B$3,FALSE(),TRUE())))</f>
        <v/>
      </c>
      <c r="BB305" s="74" t="str">
        <f aca="false">IF(ISBLANK($C305),"",IF($Y305=Constants!$B$2,TRUE(),IF($Y305=Constants!$B$3,FALSE(),FALSE())))</f>
        <v/>
      </c>
      <c r="BC305" s="74" t="str">
        <f aca="false">IF(ISBLANK($C305),"",IF(ISBLANK($Z305),0,IF(ISNUMBER($Z305),IF(AND($Z305&gt;=0,$Z305&lt;=Constants!$B$35,$Z305=INT($Z305)),$Z305,""),"")))</f>
        <v/>
      </c>
      <c r="BD305" s="74" t="str">
        <f aca="false">IF(ISBLANK($C305),"",IF($AA305=Constants!$B$2,TRUE(),IF($AA305=Constants!$B$3,FALSE(),TRUE())))</f>
        <v/>
      </c>
      <c r="BE305" s="74" t="str">
        <f aca="false">IF(ISBLANK($C305),"",IF($AB305=Constants!$B$2,TRUE(),IF($AB305=Constants!$B$3,FALSE(),TRUE())))</f>
        <v/>
      </c>
      <c r="BF305" s="74" t="str">
        <f aca="false">IF(ISBLANK($C305),"",IF(ISNUMBER($AC305),IF($AC305&gt;=0,$AC305,""),""))</f>
        <v/>
      </c>
      <c r="BG305" s="74" t="str">
        <f aca="false">IF(ISBLANK($C305),"",IF($AD305=Constants!$B$2,TRUE(),IF($AD305=Constants!$B$3,FALSE(),FALSE())))</f>
        <v/>
      </c>
      <c r="BH305" s="73" t="str">
        <f aca="false">IF(ISBLANK($C305),"",IF($BG305,Constants!$B$7,IF(COUNTA($E305:$AC305)=0,Constants!$B$6,IF(OR(COUNTA($G305:$AC305)=0,NOT($AK305),$AQ305),Constants!$B$5,IF(OR($CI305&lt;&gt;"",$CJ305,$CK305,$CL305,$CM305,$CN305,$CO305),Constants!$B$8,Constants!$B$4)))))</f>
        <v/>
      </c>
      <c r="BI305" s="74" t="str">
        <f aca="false">IF(ISBLANK($C305),"",IF($BH305&lt;&gt;Constants!$B$4,$BH305,IF(OR(NOT($AH305),NOT($AJ305),NOT($AR305)),Constants!$B$11,IF(OR(NOT($AP305),MAX($AL305,$AM305,$AN305)&gt;Constants!$B$30),Constants!$B$10,Constants!$B$9))))</f>
        <v/>
      </c>
      <c r="BJ305" s="74" t="str">
        <f aca="false">IF($BH305&lt;&gt;Constants!$B$4,"",IF(NOT($AJ305),0,MIN(Constants!$B$35,$BC305)))</f>
        <v/>
      </c>
      <c r="BK305" s="74" t="str">
        <f aca="false">IF($BH305&lt;&gt;Constants!$B$4,"",IF(NOT($AJ305),0,IF($AT305,Constants!$B$18,IF($AS305,Constants!$B$17,0))))</f>
        <v/>
      </c>
      <c r="BL305" s="74" t="str">
        <f aca="false">IF($BH305&lt;&gt;Constants!$B$4,"",IF(NOT($AJ305),0,Constants!$B$19*($AI305+$AU305+$AV305+$AW305)))</f>
        <v/>
      </c>
      <c r="BM305" s="74" t="str">
        <f aca="false">IF($BH305&lt;&gt;Constants!$B$4,"",IF(OR(NOT($AJ305),NOT(ISNUMBER($AX305))),0,CHOOSE($AX305,Constants!$B$13,Constants!$B$14,Constants!$B$15,Constants!$B$16)))</f>
        <v/>
      </c>
      <c r="BN305" s="74" t="str">
        <f aca="false">IF($BH305&lt;&gt;Constants!$B$4,"",IF(NOT($AJ305),0,Constants!$B$20*$AY305))</f>
        <v/>
      </c>
      <c r="BO305" s="74" t="str">
        <f aca="false">IF($BH305&lt;&gt;Constants!$B$4,"",IF(AND($AJ305,$BA305,$BB305),Constants!$B$22,0))</f>
        <v/>
      </c>
      <c r="BP305" s="74" t="str">
        <f aca="false">IF($BH305&lt;&gt;Constants!$B$4,"",IF(OR(NOT($AJ305),NOT($BA305)),0,IF($BF305&gt;=2*$AF$9,0,Constants!$B$23*INT(ROUND(MIN($BF305,$AF$9),6)))))</f>
        <v/>
      </c>
      <c r="BQ305" s="74" t="str">
        <f aca="false">IF($BH305&lt;&gt;Constants!$B$4,"",IF(NOT($AJ305),0,Constants!$B$24*INT(ROUND(MIN($AZ305,$AF$9),6))))</f>
        <v/>
      </c>
      <c r="BR305" s="74" t="str">
        <f aca="false">IF($BH305&lt;&gt;Constants!$B$4,"",IF(AND($AJ305,$BJ305=0),Constants!$B$25,0))</f>
        <v/>
      </c>
      <c r="BS305" s="74" t="str">
        <f aca="false">IF($BH305&lt;&gt;Constants!$B$4,"",MIN(Constants!$B$29,MAX(0,Constants!$B$27*Constants!$B$28*INT(ROUND((Constants!$B$26-$AL305)/Constants!$B$28,6))))+MIN(Constants!$B$29,MAX(0,Constants!$B$27*Constants!$B$28*INT(ROUND((Constants!$B$26-$AM305)/Constants!$B$28,6))))+MIN(Constants!$B$29,MAX(0,Constants!$B$27*Constants!$B$28*INT(ROUND((Constants!$B$26-$AN305)/Constants!$B$28,6)))))</f>
        <v/>
      </c>
      <c r="BT305" s="74" t="str">
        <f aca="false">IF($BH305&lt;&gt;Constants!$B$4,"",IF(NOT($AJ305),0,Constants!$B$31*INT(ROUND(MAX(0,MIN($BF305,2*$AF$9)-$AF$9),6))))</f>
        <v/>
      </c>
      <c r="BU305" s="74" t="str">
        <f aca="false">IF($BH305&lt;&gt;Constants!$B$4,"",Constants!$B$32*(($AL305&gt;Constants!$B$26)+($AM305&gt;Constants!$B$26)+($AN305&gt;Constants!$B$26)))</f>
        <v/>
      </c>
      <c r="BV305" s="74" t="str">
        <f aca="false">IF($BH305&lt;&gt;Constants!$B$4,"",IF(OR(NOT($AJ305),$AO305),0,Constants!$B$33))</f>
        <v/>
      </c>
      <c r="BW305" s="74" t="str">
        <f aca="false">IF($BH305&lt;&gt;Constants!$B$4,"",Constants!$B$34*$BJ305)</f>
        <v/>
      </c>
      <c r="BX305" s="74" t="str">
        <f aca="false">IF($BH305&lt;&gt;Constants!$B$4,"",IF(OR(NOT($AJ305),$BE305),0,Constants!$B$36))</f>
        <v/>
      </c>
      <c r="BY305" s="74" t="str">
        <f aca="false">IF($BH305&lt;&gt;Constants!$B$4,"",IF(OR(NOT($AJ305),$BD305),0,Constants!$B$37))</f>
        <v/>
      </c>
      <c r="BZ305" s="74" t="str">
        <f aca="false">IF($BH305&lt;&gt;Constants!$B$4,"",SUM($BT305:$BY305))</f>
        <v/>
      </c>
      <c r="CA305" s="74" t="str">
        <f aca="false">IF(ISBLANK($C305),"",IF($BH305&lt;&gt;Constants!$B$4,$BH305,SUM($BK305:$BS305)-$BZ305))</f>
        <v/>
      </c>
      <c r="CB305" s="74" t="str">
        <f aca="false">IF(ISBLANK($C305),"",IF($BH305&lt;&gt;Constants!$B$4,$BH305,RANK($CA305,$CA$9:$CA$508)))</f>
        <v/>
      </c>
      <c r="CC305" s="74" t="str">
        <f aca="false">IF(ISBLANK($C305),"",IF($BH305&lt;&gt;Constants!$B$4,$BH305,COUNTIFS($BI$9:$BI$508,"&lt;"&amp;$BI305)+COUNTIFS($BI$9:$BI$508,$BI305,$CB$9:$CB$508,"&lt;"&amp;$CB305)+1))</f>
        <v/>
      </c>
      <c r="CD305" s="74" t="str">
        <f aca="false">IF(ISBLANK($C305),"",IF($BH305&lt;&gt;Constants!$B$4,$BH305,RANK($BZ305,$BZ$9:$BZ$508,1)))</f>
        <v/>
      </c>
      <c r="CE305" s="74" t="str">
        <f aca="false">IF($BH305&lt;&gt;Constants!$B$4,"",$AL305+$AM305+$AN305)</f>
        <v/>
      </c>
      <c r="CF305" s="74" t="str">
        <f aca="false">IF(ISBLANK($C305),"",IF($BH305&lt;&gt;Constants!$B$4,$BH305,RANK($CE305,$CE$9:$CE$508,1)))</f>
        <v/>
      </c>
      <c r="CG305" s="74" t="str">
        <f aca="false">IF(ISBLANK($C305),"",IF($BH305&lt;&gt;Constants!$B$4,$BH305,COUNTIFS($BI$9:$BI$508,"&lt;"&amp;$BI305)+COUNTIFS($BI$9:$BI$508,$BI305,$CB$9:$CB$508,"&lt;"&amp;$CB305)+COUNTIFS($BI$9:$BI$508,$BI305,$CB$9:$CB$508,$CB305,$CD$9:$CD$508,"&lt;"&amp;$CD305)+COUNTIFS($BI$9:$BI$508,$BI305,$CB$9:$CB$508,$CB305,$CD$9:$CD$508,$CD305,$CF$9:$CF$508,"&lt;"&amp;$CF305)+1))</f>
        <v/>
      </c>
      <c r="CH305" s="74" t="str">
        <f aca="false">IF(ISBLANK($C305),"",IF($BH305&lt;&gt;Constants!$B$4,$BH305,$CC305-$CG305))</f>
        <v/>
      </c>
      <c r="CI305" s="74" t="str">
        <f aca="false">IF(ISBLANK($C305),"",IF(NOT($AJ305),"",IF(ISBLANK($D$7),$CI$5,IF(NOT(ISNUMBER($D$7)),$CI$6,""))))</f>
        <v/>
      </c>
      <c r="CJ305" s="74" t="str">
        <f aca="false">IF(ISBLANK($C305),"",OR($AL305="",$AM305="",$AN305=""))</f>
        <v/>
      </c>
      <c r="CK305" s="74" t="str">
        <f aca="false">IF(ISBLANK($C305),"",AND($AJ305,$AX305=""))</f>
        <v/>
      </c>
      <c r="CL305" s="74" t="str">
        <f aca="false">IF(ISBLANK($C305),"",AND($AJ305,$AY305=""))</f>
        <v/>
      </c>
      <c r="CM305" s="74" t="str">
        <f aca="false">IF(ISBLANK($C305),"",AND($AJ305,$AZ305=""))</f>
        <v/>
      </c>
      <c r="CN305" s="74" t="str">
        <f aca="false">IF(ISBLANK($C305),"",AND($AJ305,$BC305=""))</f>
        <v/>
      </c>
      <c r="CO305" s="74" t="str">
        <f aca="false">IF(ISBLANK($C305),"",AND($AJ305,$BF305=""))</f>
        <v/>
      </c>
      <c r="CP305" s="75"/>
      <c r="CQ305" s="76"/>
      <c r="CR305" s="79" t="str">
        <f aca="false">IF(ISBLANK($C305),"",IF($BH305=Constants!$B$8,$CI305,""))</f>
        <v/>
      </c>
      <c r="CS305" s="76" t="str">
        <f aca="false">IF(ISBLANK($C305),"",IF($BH305&lt;&gt;Constants!$B$4,"",$BK305+$BL305))</f>
        <v/>
      </c>
      <c r="CT305" s="78" t="str">
        <f aca="false">IF(ISBLANK($C305),"",IF($BH305&lt;&gt;Constants!$B$4,"",$BM305+$BN305+$BO305))</f>
        <v/>
      </c>
      <c r="CU305" s="78" t="str">
        <f aca="false">IF(ISBLANK($C305),"",IF($BH305&lt;&gt;Constants!$B$4,"",$BP305))</f>
        <v/>
      </c>
      <c r="CV305" s="78" t="str">
        <f aca="false">IF(ISBLANK($C305),"",IF($BH305&lt;&gt;Constants!$B$4,"",$BQ305+$BR305))</f>
        <v/>
      </c>
      <c r="CW305" s="78" t="str">
        <f aca="false">IF(ISBLANK($C305),"",IF($BH305&lt;&gt;Constants!$B$4,"",$BS305))</f>
        <v/>
      </c>
      <c r="CX305" s="78" t="str">
        <f aca="false">IF(ISBLANK($C305),"",IF($BH305&lt;&gt;Constants!$B$4,"",-$BZ305))</f>
        <v/>
      </c>
      <c r="CY305" s="79" t="str">
        <f aca="false">IF(ISBLANK($C305),"",$CA305)</f>
        <v/>
      </c>
      <c r="CZ305" s="80" t="str">
        <f aca="false">IF(ISBLANK($C305),"",$BI305)</f>
        <v/>
      </c>
      <c r="DA305" s="78" t="str">
        <f aca="false">IF(ISBLANK($C305),"",$CH305)</f>
        <v/>
      </c>
      <c r="DB305" s="78" t="str">
        <f aca="false">IF(ISBLANK($C305),"",$CG305)</f>
        <v/>
      </c>
      <c r="DC305" s="81" t="str">
        <f aca="false">IF(ISBLANK($C305),"",IFERROR(_xlfn.SWITCH($DB305,Constants!$B$7,COUNTA($C$9:$C$508)+2,Constants!$B$6,COUNTA($C$9:$C$508)+1,Constants!$B$5,COUNTA($C$9:$C$508)),$DB305))</f>
        <v/>
      </c>
      <c r="DD305" s="7"/>
      <c r="DE305" s="82" t="n">
        <f aca="false">IF(OR(ISNUMBER($DB305),$DB305=Constants!$B$7,$DB305=Constants!$B$5,$DB305=Constants!$B$6),1,0)</f>
        <v>0</v>
      </c>
      <c r="DF305" s="82" t="n">
        <v>297</v>
      </c>
      <c r="DG305" s="82" t="str">
        <f aca="false">IF(ISBLANK($C305),"",IF(ISNUMBER($DC305),$DC305+ROW($B305)/1000,""))</f>
        <v/>
      </c>
      <c r="DH305" s="82" t="str">
        <f aca="false">IF(ISNUMBER($DG305),RANK($DG305,$DG$9:$DG$508,1),"")</f>
        <v/>
      </c>
      <c r="DI305" s="82" t="str">
        <f aca="false">IF(ISBLANK($C305),"",$B305)</f>
        <v/>
      </c>
      <c r="DJ305" s="82" t="str">
        <f aca="false">IF(ISBLANK($C305),"",$C305)</f>
        <v/>
      </c>
      <c r="DK305" s="82" t="str">
        <f aca="false">IF(ISBLANK($C305),"",$D305)</f>
        <v/>
      </c>
      <c r="DL305" s="83" t="str">
        <f aca="false">$CZ305</f>
        <v/>
      </c>
      <c r="DM305" s="84" t="str">
        <f aca="false">$CY305</f>
        <v/>
      </c>
      <c r="DN305" s="82" t="str">
        <f aca="false">IF(ISBLANK($C305),"",$DB305)</f>
        <v/>
      </c>
      <c r="DO305" s="85" t="str">
        <f aca="false">IF($DF305&gt;$DE$8,"",VLOOKUP($DF305,$DH$9:$DN$508,7,FALSE()))</f>
        <v/>
      </c>
      <c r="DP305" s="86" t="str">
        <f aca="false">IF($DF305&gt;$DE$8,"",VLOOKUP($DF305,$DH$9:$DN$508,2,FALSE()))</f>
        <v/>
      </c>
      <c r="DQ305" s="86" t="str">
        <f aca="false">IF($DF305&gt;$DE$8,"",VLOOKUP($DF305,$DH$9:$DN$508,3,FALSE()))</f>
        <v/>
      </c>
      <c r="DR305" s="86" t="str">
        <f aca="false">IF($DF305&gt;$DE$8,"",VLOOKUP($DF305,$DH$9:$DN$508,4,FALSE()))</f>
        <v/>
      </c>
      <c r="DS305" s="86" t="str">
        <f aca="false">IF($DF305&gt;$DE$8,"",VLOOKUP($DF305,$DH$9:$DN$508,5,FALSE()))</f>
        <v/>
      </c>
      <c r="DT305" s="87" t="str">
        <f aca="false">IF($DF305&gt;$DE$8,"",VLOOKUP($DF305,$DH$9:$DN$508,6,FALSE()))</f>
        <v/>
      </c>
      <c r="DU305" s="62"/>
    </row>
    <row r="306" customFormat="false" ht="15.75" hidden="false" customHeight="false" outlineLevel="0" collapsed="false">
      <c r="A306" s="7"/>
      <c r="B306" s="90"/>
      <c r="C306" s="91"/>
      <c r="D306" s="126"/>
      <c r="E306" s="130"/>
      <c r="F306" s="135"/>
      <c r="G306" s="130"/>
      <c r="H306" s="135"/>
      <c r="I306" s="131"/>
      <c r="J306" s="131"/>
      <c r="K306" s="131"/>
      <c r="L306" s="130"/>
      <c r="M306" s="130"/>
      <c r="N306" s="130"/>
      <c r="O306" s="135"/>
      <c r="P306" s="130"/>
      <c r="Q306" s="130"/>
      <c r="R306" s="130"/>
      <c r="S306" s="130"/>
      <c r="T306" s="135"/>
      <c r="U306" s="130"/>
      <c r="V306" s="96"/>
      <c r="W306" s="130"/>
      <c r="X306" s="130"/>
      <c r="Y306" s="96"/>
      <c r="Z306" s="96"/>
      <c r="AA306" s="130"/>
      <c r="AB306" s="130"/>
      <c r="AC306" s="97"/>
      <c r="AD306" s="130"/>
      <c r="AE306" s="99"/>
      <c r="AF306" s="100"/>
      <c r="AG306" s="100"/>
      <c r="AH306" s="100" t="str">
        <f aca="false">IF(ISBLANK($C306),"",IF($E306=Constants!$B$2,TRUE(),IF($E306=Constants!$B$3,FALSE(),TRUE())))</f>
        <v/>
      </c>
      <c r="AI306" s="100" t="str">
        <f aca="false">IF(ISBLANK($C306),"",IF($F306=Constants!$B$2,TRUE(),IF($F306=Constants!$B$3,FALSE(),FALSE())))</f>
        <v/>
      </c>
      <c r="AJ306" s="100" t="str">
        <f aca="false">IF(ISBLANK($C306),"",IF($G306=Constants!$B$2,TRUE(),IF($G306=Constants!$B$3,FALSE(),TRUE())))</f>
        <v/>
      </c>
      <c r="AK306" s="100" t="str">
        <f aca="false">IF(ISBLANK($C306),"",IF($H306=Constants!$B$2,TRUE(),IF($H306=Constants!$B$3,FALSE(),TRUE())))</f>
        <v/>
      </c>
      <c r="AL306" s="100" t="str">
        <f aca="false">IF(ISBLANK($C306),"",IF(ISNUMBER($I306),IF($I306&gt;=0,$I306,""),""))</f>
        <v/>
      </c>
      <c r="AM306" s="100" t="str">
        <f aca="false">IF(ISBLANK($C306),"",IF(ISNUMBER($J306),IF($J306&gt;=0,$J306,""),""))</f>
        <v/>
      </c>
      <c r="AN306" s="100" t="str">
        <f aca="false">IF(ISBLANK($C306),"",IF(ISNUMBER($K306),IF($K306&gt;=0,$K306,""),""))</f>
        <v/>
      </c>
      <c r="AO306" s="100" t="str">
        <f aca="false">IF(ISBLANK($C306),"",IF($L306=Constants!$B$2,TRUE(),IF($L306=Constants!$B$3,FALSE(),TRUE())))</f>
        <v/>
      </c>
      <c r="AP306" s="100" t="str">
        <f aca="false">IF(ISBLANK($C306),"",IF($M306=Constants!$B$2,TRUE(),IF($M306=Constants!$B$3,FALSE(),TRUE())))</f>
        <v/>
      </c>
      <c r="AQ306" s="100" t="str">
        <f aca="false">IF(ISBLANK($C306),"",IF($N306=Constants!$B$2,TRUE(),IF($N306=Constants!$B$3,FALSE(),FALSE())))</f>
        <v/>
      </c>
      <c r="AR306" s="100" t="str">
        <f aca="false">IF(ISBLANK($C306),"",IF($O306=Constants!$B$2,TRUE(),IF($O306=Constants!$B$3,FALSE(),TRUE())))</f>
        <v/>
      </c>
      <c r="AS306" s="100" t="str">
        <f aca="false">IF(ISBLANK($C306),"",IF($P306=Constants!$B$2,TRUE(),IF($P306=Constants!$B$3,FALSE(),FALSE())))</f>
        <v/>
      </c>
      <c r="AT306" s="100" t="str">
        <f aca="false">IF(ISBLANK($C306),"",IF($Q306=Constants!$B$2,TRUE(),IF($Q306=Constants!$B$3,FALSE(),FALSE())))</f>
        <v/>
      </c>
      <c r="AU306" s="100" t="str">
        <f aca="false">IF(ISBLANK($C306),"",IF($R306=Constants!$B$2,TRUE(),IF($R306=Constants!$B$3,FALSE(),FALSE())))</f>
        <v/>
      </c>
      <c r="AV306" s="100" t="str">
        <f aca="false">IF(ISBLANK($C306),"",IF($S306=Constants!$B$2,TRUE(),IF($S306=Constants!$B$3,FALSE(),FALSE())))</f>
        <v/>
      </c>
      <c r="AW306" s="100" t="str">
        <f aca="false">IF(ISBLANK($C306),"",IF($T306=Constants!$B$2,TRUE(),IF($T306=Constants!$B$3,FALSE(),FALSE())))</f>
        <v/>
      </c>
      <c r="AX306" s="100" t="str">
        <f aca="false">IF(ISBLANK($C306),"",IF(OR($U306&amp;""="1",$U306&amp;""="2",$U306&amp;""="3",$U306&amp;""="4"),VALUE($U306&amp;""),IF($U306=Constants!$B$12,Constants!$B$12,"")))</f>
        <v/>
      </c>
      <c r="AY306" s="100" t="str">
        <f aca="false">IF(ISBLANK($C306),"",IF(ISBLANK($V306),0,IF(ISNUMBER($V306),IF(AND($V306&gt;=0,$V306&lt;=Constants!$B$21,$V306=INT($V306)),$V306,""),"")))</f>
        <v/>
      </c>
      <c r="AZ306" s="100" t="str">
        <f aca="false">IF(ISBLANK($C306),"",IF(ISBLANK($W306),0,IF(ISNUMBER($W306),IF($W306&gt;=0,$W306,""),"")))</f>
        <v/>
      </c>
      <c r="BA306" s="100" t="str">
        <f aca="false">IF(ISBLANK($C306),"",IF($X306=Constants!$B$2,TRUE(),IF($X306=Constants!$B$3,FALSE(),TRUE())))</f>
        <v/>
      </c>
      <c r="BB306" s="100" t="str">
        <f aca="false">IF(ISBLANK($C306),"",IF($Y306=Constants!$B$2,TRUE(),IF($Y306=Constants!$B$3,FALSE(),FALSE())))</f>
        <v/>
      </c>
      <c r="BC306" s="100" t="str">
        <f aca="false">IF(ISBLANK($C306),"",IF(ISBLANK($Z306),0,IF(ISNUMBER($Z306),IF(AND($Z306&gt;=0,$Z306&lt;=Constants!$B$35,$Z306=INT($Z306)),$Z306,""),"")))</f>
        <v/>
      </c>
      <c r="BD306" s="100" t="str">
        <f aca="false">IF(ISBLANK($C306),"",IF($AA306=Constants!$B$2,TRUE(),IF($AA306=Constants!$B$3,FALSE(),TRUE())))</f>
        <v/>
      </c>
      <c r="BE306" s="100" t="str">
        <f aca="false">IF(ISBLANK($C306),"",IF($AB306=Constants!$B$2,TRUE(),IF($AB306=Constants!$B$3,FALSE(),TRUE())))</f>
        <v/>
      </c>
      <c r="BF306" s="100" t="str">
        <f aca="false">IF(ISBLANK($C306),"",IF(ISNUMBER($AC306),IF($AC306&gt;=0,$AC306,""),""))</f>
        <v/>
      </c>
      <c r="BG306" s="100" t="str">
        <f aca="false">IF(ISBLANK($C306),"",IF($AD306=Constants!$B$2,TRUE(),IF($AD306=Constants!$B$3,FALSE(),FALSE())))</f>
        <v/>
      </c>
      <c r="BH306" s="99" t="str">
        <f aca="false">IF(ISBLANK($C306),"",IF($BG306,Constants!$B$7,IF(COUNTA($E306:$AC306)=0,Constants!$B$6,IF(OR(COUNTA($G306:$AC306)=0,NOT($AK306),$AQ306),Constants!$B$5,IF(OR($CI306&lt;&gt;"",$CJ306,$CK306,$CL306,$CM306,$CN306,$CO306),Constants!$B$8,Constants!$B$4)))))</f>
        <v/>
      </c>
      <c r="BI306" s="100" t="str">
        <f aca="false">IF(ISBLANK($C306),"",IF($BH306&lt;&gt;Constants!$B$4,$BH306,IF(OR(NOT($AH306),NOT($AJ306),NOT($AR306)),Constants!$B$11,IF(OR(NOT($AP306),MAX($AL306,$AM306,$AN306)&gt;Constants!$B$30),Constants!$B$10,Constants!$B$9))))</f>
        <v/>
      </c>
      <c r="BJ306" s="100" t="str">
        <f aca="false">IF($BH306&lt;&gt;Constants!$B$4,"",IF(NOT($AJ306),0,MIN(Constants!$B$35,$BC306)))</f>
        <v/>
      </c>
      <c r="BK306" s="100" t="str">
        <f aca="false">IF($BH306&lt;&gt;Constants!$B$4,"",IF(NOT($AJ306),0,IF($AT306,Constants!$B$18,IF($AS306,Constants!$B$17,0))))</f>
        <v/>
      </c>
      <c r="BL306" s="100" t="str">
        <f aca="false">IF($BH306&lt;&gt;Constants!$B$4,"",IF(NOT($AJ306),0,Constants!$B$19*($AI306+$AU306+$AV306+$AW306)))</f>
        <v/>
      </c>
      <c r="BM306" s="100" t="str">
        <f aca="false">IF($BH306&lt;&gt;Constants!$B$4,"",IF(OR(NOT($AJ306),NOT(ISNUMBER($AX306))),0,CHOOSE($AX306,Constants!$B$13,Constants!$B$14,Constants!$B$15,Constants!$B$16)))</f>
        <v/>
      </c>
      <c r="BN306" s="100" t="str">
        <f aca="false">IF($BH306&lt;&gt;Constants!$B$4,"",IF(NOT($AJ306),0,Constants!$B$20*$AY306))</f>
        <v/>
      </c>
      <c r="BO306" s="100" t="str">
        <f aca="false">IF($BH306&lt;&gt;Constants!$B$4,"",IF(AND($AJ306,$BA306,$BB306),Constants!$B$22,0))</f>
        <v/>
      </c>
      <c r="BP306" s="100" t="str">
        <f aca="false">IF($BH306&lt;&gt;Constants!$B$4,"",IF(OR(NOT($AJ306),NOT($BA306)),0,IF($BF306&gt;=2*$AF$9,0,Constants!$B$23*INT(ROUND(MIN($BF306,$AF$9),6)))))</f>
        <v/>
      </c>
      <c r="BQ306" s="100" t="str">
        <f aca="false">IF($BH306&lt;&gt;Constants!$B$4,"",IF(NOT($AJ306),0,Constants!$B$24*INT(ROUND(MIN($AZ306,$AF$9),6))))</f>
        <v/>
      </c>
      <c r="BR306" s="100" t="str">
        <f aca="false">IF($BH306&lt;&gt;Constants!$B$4,"",IF(AND($AJ306,$BJ306=0),Constants!$B$25,0))</f>
        <v/>
      </c>
      <c r="BS306" s="100" t="str">
        <f aca="false">IF($BH306&lt;&gt;Constants!$B$4,"",MIN(Constants!$B$29,MAX(0,Constants!$B$27*Constants!$B$28*INT(ROUND((Constants!$B$26-$AL306)/Constants!$B$28,6))))+MIN(Constants!$B$29,MAX(0,Constants!$B$27*Constants!$B$28*INT(ROUND((Constants!$B$26-$AM306)/Constants!$B$28,6))))+MIN(Constants!$B$29,MAX(0,Constants!$B$27*Constants!$B$28*INT(ROUND((Constants!$B$26-$AN306)/Constants!$B$28,6)))))</f>
        <v/>
      </c>
      <c r="BT306" s="100" t="str">
        <f aca="false">IF($BH306&lt;&gt;Constants!$B$4,"",IF(NOT($AJ306),0,Constants!$B$31*INT(ROUND(MAX(0,MIN($BF306,2*$AF$9)-$AF$9),6))))</f>
        <v/>
      </c>
      <c r="BU306" s="100" t="str">
        <f aca="false">IF($BH306&lt;&gt;Constants!$B$4,"",Constants!$B$32*(($AL306&gt;Constants!$B$26)+($AM306&gt;Constants!$B$26)+($AN306&gt;Constants!$B$26)))</f>
        <v/>
      </c>
      <c r="BV306" s="100" t="str">
        <f aca="false">IF($BH306&lt;&gt;Constants!$B$4,"",IF(OR(NOT($AJ306),$AO306),0,Constants!$B$33))</f>
        <v/>
      </c>
      <c r="BW306" s="100" t="str">
        <f aca="false">IF($BH306&lt;&gt;Constants!$B$4,"",Constants!$B$34*$BJ306)</f>
        <v/>
      </c>
      <c r="BX306" s="100" t="str">
        <f aca="false">IF($BH306&lt;&gt;Constants!$B$4,"",IF(OR(NOT($AJ306),$BE306),0,Constants!$B$36))</f>
        <v/>
      </c>
      <c r="BY306" s="100" t="str">
        <f aca="false">IF($BH306&lt;&gt;Constants!$B$4,"",IF(OR(NOT($AJ306),$BD306),0,Constants!$B$37))</f>
        <v/>
      </c>
      <c r="BZ306" s="100" t="str">
        <f aca="false">IF($BH306&lt;&gt;Constants!$B$4,"",SUM($BT306:$BY306))</f>
        <v/>
      </c>
      <c r="CA306" s="100" t="str">
        <f aca="false">IF(ISBLANK($C306),"",IF($BH306&lt;&gt;Constants!$B$4,$BH306,SUM($BK306:$BS306)-$BZ306))</f>
        <v/>
      </c>
      <c r="CB306" s="100" t="str">
        <f aca="false">IF(ISBLANK($C306),"",IF($BH306&lt;&gt;Constants!$B$4,$BH306,RANK($CA306,$CA$9:$CA$508)))</f>
        <v/>
      </c>
      <c r="CC306" s="100" t="str">
        <f aca="false">IF(ISBLANK($C306),"",IF($BH306&lt;&gt;Constants!$B$4,$BH306,COUNTIFS($BI$9:$BI$508,"&lt;"&amp;$BI306)+COUNTIFS($BI$9:$BI$508,$BI306,$CB$9:$CB$508,"&lt;"&amp;$CB306)+1))</f>
        <v/>
      </c>
      <c r="CD306" s="100" t="str">
        <f aca="false">IF(ISBLANK($C306),"",IF($BH306&lt;&gt;Constants!$B$4,$BH306,RANK($BZ306,$BZ$9:$BZ$508,1)))</f>
        <v/>
      </c>
      <c r="CE306" s="100" t="str">
        <f aca="false">IF($BH306&lt;&gt;Constants!$B$4,"",$AL306+$AM306+$AN306)</f>
        <v/>
      </c>
      <c r="CF306" s="100" t="str">
        <f aca="false">IF(ISBLANK($C306),"",IF($BH306&lt;&gt;Constants!$B$4,$BH306,RANK($CE306,$CE$9:$CE$508,1)))</f>
        <v/>
      </c>
      <c r="CG306" s="100" t="str">
        <f aca="false">IF(ISBLANK($C306),"",IF($BH306&lt;&gt;Constants!$B$4,$BH306,COUNTIFS($BI$9:$BI$508,"&lt;"&amp;$BI306)+COUNTIFS($BI$9:$BI$508,$BI306,$CB$9:$CB$508,"&lt;"&amp;$CB306)+COUNTIFS($BI$9:$BI$508,$BI306,$CB$9:$CB$508,$CB306,$CD$9:$CD$508,"&lt;"&amp;$CD306)+COUNTIFS($BI$9:$BI$508,$BI306,$CB$9:$CB$508,$CB306,$CD$9:$CD$508,$CD306,$CF$9:$CF$508,"&lt;"&amp;$CF306)+1))</f>
        <v/>
      </c>
      <c r="CH306" s="100" t="str">
        <f aca="false">IF(ISBLANK($C306),"",IF($BH306&lt;&gt;Constants!$B$4,$BH306,$CC306-$CG306))</f>
        <v/>
      </c>
      <c r="CI306" s="100" t="str">
        <f aca="false">IF(ISBLANK($C306),"",IF(NOT($AJ306),"",IF(ISBLANK($D$7),$CI$5,IF(NOT(ISNUMBER($D$7)),$CI$6,""))))</f>
        <v/>
      </c>
      <c r="CJ306" s="100" t="str">
        <f aca="false">IF(ISBLANK($C306),"",OR($AL306="",$AM306="",$AN306=""))</f>
        <v/>
      </c>
      <c r="CK306" s="100" t="str">
        <f aca="false">IF(ISBLANK($C306),"",AND($AJ306,$AX306=""))</f>
        <v/>
      </c>
      <c r="CL306" s="100" t="str">
        <f aca="false">IF(ISBLANK($C306),"",AND($AJ306,$AY306=""))</f>
        <v/>
      </c>
      <c r="CM306" s="100" t="str">
        <f aca="false">IF(ISBLANK($C306),"",AND($AJ306,$AZ306=""))</f>
        <v/>
      </c>
      <c r="CN306" s="100" t="str">
        <f aca="false">IF(ISBLANK($C306),"",AND($AJ306,$BC306=""))</f>
        <v/>
      </c>
      <c r="CO306" s="100" t="str">
        <f aca="false">IF(ISBLANK($C306),"",AND($AJ306,$BF306=""))</f>
        <v/>
      </c>
      <c r="CP306" s="101"/>
      <c r="CQ306" s="102"/>
      <c r="CR306" s="103" t="str">
        <f aca="false">IF(ISBLANK($C306),"",IF($BH306=Constants!$B$8,$CI306,""))</f>
        <v/>
      </c>
      <c r="CS306" s="102" t="str">
        <f aca="false">IF(ISBLANK($C306),"",IF($BH306&lt;&gt;Constants!$B$4,"",$BK306+$BL306))</f>
        <v/>
      </c>
      <c r="CT306" s="104" t="str">
        <f aca="false">IF(ISBLANK($C306),"",IF($BH306&lt;&gt;Constants!$B$4,"",$BM306+$BN306+$BO306))</f>
        <v/>
      </c>
      <c r="CU306" s="104" t="str">
        <f aca="false">IF(ISBLANK($C306),"",IF($BH306&lt;&gt;Constants!$B$4,"",$BP306))</f>
        <v/>
      </c>
      <c r="CV306" s="104" t="str">
        <f aca="false">IF(ISBLANK($C306),"",IF($BH306&lt;&gt;Constants!$B$4,"",$BQ306+$BR306))</f>
        <v/>
      </c>
      <c r="CW306" s="104" t="str">
        <f aca="false">IF(ISBLANK($C306),"",IF($BH306&lt;&gt;Constants!$B$4,"",$BS306))</f>
        <v/>
      </c>
      <c r="CX306" s="104" t="str">
        <f aca="false">IF(ISBLANK($C306),"",IF($BH306&lt;&gt;Constants!$B$4,"",-$BZ306))</f>
        <v/>
      </c>
      <c r="CY306" s="103" t="str">
        <f aca="false">IF(ISBLANK($C306),"",$CA306)</f>
        <v/>
      </c>
      <c r="CZ306" s="105" t="str">
        <f aca="false">IF(ISBLANK($C306),"",$BI306)</f>
        <v/>
      </c>
      <c r="DA306" s="104" t="str">
        <f aca="false">IF(ISBLANK($C306),"",$CH306)</f>
        <v/>
      </c>
      <c r="DB306" s="104" t="str">
        <f aca="false">IF(ISBLANK($C306),"",$CG306)</f>
        <v/>
      </c>
      <c r="DC306" s="106" t="str">
        <f aca="false">IF(ISBLANK($C306),"",IFERROR(_xlfn.SWITCH($DB306,Constants!$B$7,COUNTA($C$9:$C$508)+2,Constants!$B$6,COUNTA($C$9:$C$508)+1,Constants!$B$5,COUNTA($C$9:$C$508)),$DB306))</f>
        <v/>
      </c>
      <c r="DD306" s="7"/>
      <c r="DE306" s="107" t="n">
        <f aca="false">IF(OR(ISNUMBER($DB306),$DB306=Constants!$B$7,$DB306=Constants!$B$5,$DB306=Constants!$B$6),1,0)</f>
        <v>0</v>
      </c>
      <c r="DF306" s="107" t="n">
        <v>298</v>
      </c>
      <c r="DG306" s="107" t="str">
        <f aca="false">IF(ISBLANK($C306),"",IF(ISNUMBER($DC306),$DC306+ROW($B306)/1000,""))</f>
        <v/>
      </c>
      <c r="DH306" s="107" t="str">
        <f aca="false">IF(ISNUMBER($DG306),RANK($DG306,$DG$9:$DG$508,1),"")</f>
        <v/>
      </c>
      <c r="DI306" s="107" t="str">
        <f aca="false">IF(ISBLANK($C306),"",$B306)</f>
        <v/>
      </c>
      <c r="DJ306" s="107" t="str">
        <f aca="false">IF(ISBLANK($C306),"",$C306)</f>
        <v/>
      </c>
      <c r="DK306" s="107" t="str">
        <f aca="false">IF(ISBLANK($C306),"",$D306)</f>
        <v/>
      </c>
      <c r="DL306" s="108" t="str">
        <f aca="false">$CZ306</f>
        <v/>
      </c>
      <c r="DM306" s="109" t="str">
        <f aca="false">$CY306</f>
        <v/>
      </c>
      <c r="DN306" s="107" t="str">
        <f aca="false">IF(ISBLANK($C306),"",$DB306)</f>
        <v/>
      </c>
      <c r="DO306" s="110" t="str">
        <f aca="false">IF($DF306&gt;$DE$8,"",VLOOKUP($DF306,$DH$9:$DN$508,7,FALSE()))</f>
        <v/>
      </c>
      <c r="DP306" s="111" t="str">
        <f aca="false">IF($DF306&gt;$DE$8,"",VLOOKUP($DF306,$DH$9:$DN$508,2,FALSE()))</f>
        <v/>
      </c>
      <c r="DQ306" s="111" t="str">
        <f aca="false">IF($DF306&gt;$DE$8,"",VLOOKUP($DF306,$DH$9:$DN$508,3,FALSE()))</f>
        <v/>
      </c>
      <c r="DR306" s="111" t="str">
        <f aca="false">IF($DF306&gt;$DE$8,"",VLOOKUP($DF306,$DH$9:$DN$508,4,FALSE()))</f>
        <v/>
      </c>
      <c r="DS306" s="111" t="str">
        <f aca="false">IF($DF306&gt;$DE$8,"",VLOOKUP($DF306,$DH$9:$DN$508,5,FALSE()))</f>
        <v/>
      </c>
      <c r="DT306" s="112" t="str">
        <f aca="false">IF($DF306&gt;$DE$8,"",VLOOKUP($DF306,$DH$9:$DN$508,6,FALSE()))</f>
        <v/>
      </c>
      <c r="DU306" s="62"/>
    </row>
    <row r="307" customFormat="false" ht="15.75" hidden="false" customHeight="false" outlineLevel="0" collapsed="false">
      <c r="A307" s="7"/>
      <c r="B307" s="90"/>
      <c r="C307" s="91"/>
      <c r="D307" s="126"/>
      <c r="E307" s="130"/>
      <c r="F307" s="135"/>
      <c r="G307" s="130"/>
      <c r="H307" s="135"/>
      <c r="I307" s="131"/>
      <c r="J307" s="131"/>
      <c r="K307" s="131"/>
      <c r="L307" s="130"/>
      <c r="M307" s="130"/>
      <c r="N307" s="130"/>
      <c r="O307" s="135"/>
      <c r="P307" s="130"/>
      <c r="Q307" s="130"/>
      <c r="R307" s="130"/>
      <c r="S307" s="130"/>
      <c r="T307" s="135"/>
      <c r="U307" s="130"/>
      <c r="V307" s="96"/>
      <c r="W307" s="130"/>
      <c r="X307" s="130"/>
      <c r="Y307" s="96"/>
      <c r="Z307" s="96"/>
      <c r="AA307" s="130"/>
      <c r="AB307" s="130"/>
      <c r="AC307" s="97"/>
      <c r="AD307" s="130"/>
      <c r="AE307" s="99"/>
      <c r="AF307" s="100"/>
      <c r="AG307" s="100"/>
      <c r="AH307" s="100" t="str">
        <f aca="false">IF(ISBLANK($C307),"",IF($E307=Constants!$B$2,TRUE(),IF($E307=Constants!$B$3,FALSE(),TRUE())))</f>
        <v/>
      </c>
      <c r="AI307" s="100" t="str">
        <f aca="false">IF(ISBLANK($C307),"",IF($F307=Constants!$B$2,TRUE(),IF($F307=Constants!$B$3,FALSE(),FALSE())))</f>
        <v/>
      </c>
      <c r="AJ307" s="100" t="str">
        <f aca="false">IF(ISBLANK($C307),"",IF($G307=Constants!$B$2,TRUE(),IF($G307=Constants!$B$3,FALSE(),TRUE())))</f>
        <v/>
      </c>
      <c r="AK307" s="100" t="str">
        <f aca="false">IF(ISBLANK($C307),"",IF($H307=Constants!$B$2,TRUE(),IF($H307=Constants!$B$3,FALSE(),TRUE())))</f>
        <v/>
      </c>
      <c r="AL307" s="100" t="str">
        <f aca="false">IF(ISBLANK($C307),"",IF(ISNUMBER($I307),IF($I307&gt;=0,$I307,""),""))</f>
        <v/>
      </c>
      <c r="AM307" s="100" t="str">
        <f aca="false">IF(ISBLANK($C307),"",IF(ISNUMBER($J307),IF($J307&gt;=0,$J307,""),""))</f>
        <v/>
      </c>
      <c r="AN307" s="100" t="str">
        <f aca="false">IF(ISBLANK($C307),"",IF(ISNUMBER($K307),IF($K307&gt;=0,$K307,""),""))</f>
        <v/>
      </c>
      <c r="AO307" s="100" t="str">
        <f aca="false">IF(ISBLANK($C307),"",IF($L307=Constants!$B$2,TRUE(),IF($L307=Constants!$B$3,FALSE(),TRUE())))</f>
        <v/>
      </c>
      <c r="AP307" s="100" t="str">
        <f aca="false">IF(ISBLANK($C307),"",IF($M307=Constants!$B$2,TRUE(),IF($M307=Constants!$B$3,FALSE(),TRUE())))</f>
        <v/>
      </c>
      <c r="AQ307" s="100" t="str">
        <f aca="false">IF(ISBLANK($C307),"",IF($N307=Constants!$B$2,TRUE(),IF($N307=Constants!$B$3,FALSE(),FALSE())))</f>
        <v/>
      </c>
      <c r="AR307" s="100" t="str">
        <f aca="false">IF(ISBLANK($C307),"",IF($O307=Constants!$B$2,TRUE(),IF($O307=Constants!$B$3,FALSE(),TRUE())))</f>
        <v/>
      </c>
      <c r="AS307" s="100" t="str">
        <f aca="false">IF(ISBLANK($C307),"",IF($P307=Constants!$B$2,TRUE(),IF($P307=Constants!$B$3,FALSE(),FALSE())))</f>
        <v/>
      </c>
      <c r="AT307" s="100" t="str">
        <f aca="false">IF(ISBLANK($C307),"",IF($Q307=Constants!$B$2,TRUE(),IF($Q307=Constants!$B$3,FALSE(),FALSE())))</f>
        <v/>
      </c>
      <c r="AU307" s="100" t="str">
        <f aca="false">IF(ISBLANK($C307),"",IF($R307=Constants!$B$2,TRUE(),IF($R307=Constants!$B$3,FALSE(),FALSE())))</f>
        <v/>
      </c>
      <c r="AV307" s="100" t="str">
        <f aca="false">IF(ISBLANK($C307),"",IF($S307=Constants!$B$2,TRUE(),IF($S307=Constants!$B$3,FALSE(),FALSE())))</f>
        <v/>
      </c>
      <c r="AW307" s="100" t="str">
        <f aca="false">IF(ISBLANK($C307),"",IF($T307=Constants!$B$2,TRUE(),IF($T307=Constants!$B$3,FALSE(),FALSE())))</f>
        <v/>
      </c>
      <c r="AX307" s="100" t="str">
        <f aca="false">IF(ISBLANK($C307),"",IF(OR($U307&amp;""="1",$U307&amp;""="2",$U307&amp;""="3",$U307&amp;""="4"),VALUE($U307&amp;""),IF($U307=Constants!$B$12,Constants!$B$12,"")))</f>
        <v/>
      </c>
      <c r="AY307" s="100" t="str">
        <f aca="false">IF(ISBLANK($C307),"",IF(ISBLANK($V307),0,IF(ISNUMBER($V307),IF(AND($V307&gt;=0,$V307&lt;=Constants!$B$21,$V307=INT($V307)),$V307,""),"")))</f>
        <v/>
      </c>
      <c r="AZ307" s="100" t="str">
        <f aca="false">IF(ISBLANK($C307),"",IF(ISBLANK($W307),0,IF(ISNUMBER($W307),IF($W307&gt;=0,$W307,""),"")))</f>
        <v/>
      </c>
      <c r="BA307" s="100" t="str">
        <f aca="false">IF(ISBLANK($C307),"",IF($X307=Constants!$B$2,TRUE(),IF($X307=Constants!$B$3,FALSE(),TRUE())))</f>
        <v/>
      </c>
      <c r="BB307" s="100" t="str">
        <f aca="false">IF(ISBLANK($C307),"",IF($Y307=Constants!$B$2,TRUE(),IF($Y307=Constants!$B$3,FALSE(),FALSE())))</f>
        <v/>
      </c>
      <c r="BC307" s="100" t="str">
        <f aca="false">IF(ISBLANK($C307),"",IF(ISBLANK($Z307),0,IF(ISNUMBER($Z307),IF(AND($Z307&gt;=0,$Z307&lt;=Constants!$B$35,$Z307=INT($Z307)),$Z307,""),"")))</f>
        <v/>
      </c>
      <c r="BD307" s="100" t="str">
        <f aca="false">IF(ISBLANK($C307),"",IF($AA307=Constants!$B$2,TRUE(),IF($AA307=Constants!$B$3,FALSE(),TRUE())))</f>
        <v/>
      </c>
      <c r="BE307" s="100" t="str">
        <f aca="false">IF(ISBLANK($C307),"",IF($AB307=Constants!$B$2,TRUE(),IF($AB307=Constants!$B$3,FALSE(),TRUE())))</f>
        <v/>
      </c>
      <c r="BF307" s="100" t="str">
        <f aca="false">IF(ISBLANK($C307),"",IF(ISNUMBER($AC307),IF($AC307&gt;=0,$AC307,""),""))</f>
        <v/>
      </c>
      <c r="BG307" s="100" t="str">
        <f aca="false">IF(ISBLANK($C307),"",IF($AD307=Constants!$B$2,TRUE(),IF($AD307=Constants!$B$3,FALSE(),FALSE())))</f>
        <v/>
      </c>
      <c r="BH307" s="99" t="str">
        <f aca="false">IF(ISBLANK($C307),"",IF($BG307,Constants!$B$7,IF(COUNTA($E307:$AC307)=0,Constants!$B$6,IF(OR(COUNTA($G307:$AC307)=0,NOT($AK307),$AQ307),Constants!$B$5,IF(OR($CI307&lt;&gt;"",$CJ307,$CK307,$CL307,$CM307,$CN307,$CO307),Constants!$B$8,Constants!$B$4)))))</f>
        <v/>
      </c>
      <c r="BI307" s="100" t="str">
        <f aca="false">IF(ISBLANK($C307),"",IF($BH307&lt;&gt;Constants!$B$4,$BH307,IF(OR(NOT($AH307),NOT($AJ307),NOT($AR307)),Constants!$B$11,IF(OR(NOT($AP307),MAX($AL307,$AM307,$AN307)&gt;Constants!$B$30),Constants!$B$10,Constants!$B$9))))</f>
        <v/>
      </c>
      <c r="BJ307" s="100" t="str">
        <f aca="false">IF($BH307&lt;&gt;Constants!$B$4,"",IF(NOT($AJ307),0,MIN(Constants!$B$35,$BC307)))</f>
        <v/>
      </c>
      <c r="BK307" s="100" t="str">
        <f aca="false">IF($BH307&lt;&gt;Constants!$B$4,"",IF(NOT($AJ307),0,IF($AT307,Constants!$B$18,IF($AS307,Constants!$B$17,0))))</f>
        <v/>
      </c>
      <c r="BL307" s="100" t="str">
        <f aca="false">IF($BH307&lt;&gt;Constants!$B$4,"",IF(NOT($AJ307),0,Constants!$B$19*($AI307+$AU307+$AV307+$AW307)))</f>
        <v/>
      </c>
      <c r="BM307" s="100" t="str">
        <f aca="false">IF($BH307&lt;&gt;Constants!$B$4,"",IF(OR(NOT($AJ307),NOT(ISNUMBER($AX307))),0,CHOOSE($AX307,Constants!$B$13,Constants!$B$14,Constants!$B$15,Constants!$B$16)))</f>
        <v/>
      </c>
      <c r="BN307" s="100" t="str">
        <f aca="false">IF($BH307&lt;&gt;Constants!$B$4,"",IF(NOT($AJ307),0,Constants!$B$20*$AY307))</f>
        <v/>
      </c>
      <c r="BO307" s="100" t="str">
        <f aca="false">IF($BH307&lt;&gt;Constants!$B$4,"",IF(AND($AJ307,$BA307,$BB307),Constants!$B$22,0))</f>
        <v/>
      </c>
      <c r="BP307" s="100" t="str">
        <f aca="false">IF($BH307&lt;&gt;Constants!$B$4,"",IF(OR(NOT($AJ307),NOT($BA307)),0,IF($BF307&gt;=2*$AF$9,0,Constants!$B$23*INT(ROUND(MIN($BF307,$AF$9),6)))))</f>
        <v/>
      </c>
      <c r="BQ307" s="100" t="str">
        <f aca="false">IF($BH307&lt;&gt;Constants!$B$4,"",IF(NOT($AJ307),0,Constants!$B$24*INT(ROUND(MIN($AZ307,$AF$9),6))))</f>
        <v/>
      </c>
      <c r="BR307" s="100" t="str">
        <f aca="false">IF($BH307&lt;&gt;Constants!$B$4,"",IF(AND($AJ307,$BJ307=0),Constants!$B$25,0))</f>
        <v/>
      </c>
      <c r="BS307" s="100" t="str">
        <f aca="false">IF($BH307&lt;&gt;Constants!$B$4,"",MIN(Constants!$B$29,MAX(0,Constants!$B$27*Constants!$B$28*INT(ROUND((Constants!$B$26-$AL307)/Constants!$B$28,6))))+MIN(Constants!$B$29,MAX(0,Constants!$B$27*Constants!$B$28*INT(ROUND((Constants!$B$26-$AM307)/Constants!$B$28,6))))+MIN(Constants!$B$29,MAX(0,Constants!$B$27*Constants!$B$28*INT(ROUND((Constants!$B$26-$AN307)/Constants!$B$28,6)))))</f>
        <v/>
      </c>
      <c r="BT307" s="100" t="str">
        <f aca="false">IF($BH307&lt;&gt;Constants!$B$4,"",IF(NOT($AJ307),0,Constants!$B$31*INT(ROUND(MAX(0,MIN($BF307,2*$AF$9)-$AF$9),6))))</f>
        <v/>
      </c>
      <c r="BU307" s="100" t="str">
        <f aca="false">IF($BH307&lt;&gt;Constants!$B$4,"",Constants!$B$32*(($AL307&gt;Constants!$B$26)+($AM307&gt;Constants!$B$26)+($AN307&gt;Constants!$B$26)))</f>
        <v/>
      </c>
      <c r="BV307" s="100" t="str">
        <f aca="false">IF($BH307&lt;&gt;Constants!$B$4,"",IF(OR(NOT($AJ307),$AO307),0,Constants!$B$33))</f>
        <v/>
      </c>
      <c r="BW307" s="100" t="str">
        <f aca="false">IF($BH307&lt;&gt;Constants!$B$4,"",Constants!$B$34*$BJ307)</f>
        <v/>
      </c>
      <c r="BX307" s="100" t="str">
        <f aca="false">IF($BH307&lt;&gt;Constants!$B$4,"",IF(OR(NOT($AJ307),$BE307),0,Constants!$B$36))</f>
        <v/>
      </c>
      <c r="BY307" s="100" t="str">
        <f aca="false">IF($BH307&lt;&gt;Constants!$B$4,"",IF(OR(NOT($AJ307),$BD307),0,Constants!$B$37))</f>
        <v/>
      </c>
      <c r="BZ307" s="100" t="str">
        <f aca="false">IF($BH307&lt;&gt;Constants!$B$4,"",SUM($BT307:$BY307))</f>
        <v/>
      </c>
      <c r="CA307" s="100" t="str">
        <f aca="false">IF(ISBLANK($C307),"",IF($BH307&lt;&gt;Constants!$B$4,$BH307,SUM($BK307:$BS307)-$BZ307))</f>
        <v/>
      </c>
      <c r="CB307" s="100" t="str">
        <f aca="false">IF(ISBLANK($C307),"",IF($BH307&lt;&gt;Constants!$B$4,$BH307,RANK($CA307,$CA$9:$CA$508)))</f>
        <v/>
      </c>
      <c r="CC307" s="100" t="str">
        <f aca="false">IF(ISBLANK($C307),"",IF($BH307&lt;&gt;Constants!$B$4,$BH307,COUNTIFS($BI$9:$BI$508,"&lt;"&amp;$BI307)+COUNTIFS($BI$9:$BI$508,$BI307,$CB$9:$CB$508,"&lt;"&amp;$CB307)+1))</f>
        <v/>
      </c>
      <c r="CD307" s="100" t="str">
        <f aca="false">IF(ISBLANK($C307),"",IF($BH307&lt;&gt;Constants!$B$4,$BH307,RANK($BZ307,$BZ$9:$BZ$508,1)))</f>
        <v/>
      </c>
      <c r="CE307" s="100" t="str">
        <f aca="false">IF($BH307&lt;&gt;Constants!$B$4,"",$AL307+$AM307+$AN307)</f>
        <v/>
      </c>
      <c r="CF307" s="100" t="str">
        <f aca="false">IF(ISBLANK($C307),"",IF($BH307&lt;&gt;Constants!$B$4,$BH307,RANK($CE307,$CE$9:$CE$508,1)))</f>
        <v/>
      </c>
      <c r="CG307" s="100" t="str">
        <f aca="false">IF(ISBLANK($C307),"",IF($BH307&lt;&gt;Constants!$B$4,$BH307,COUNTIFS($BI$9:$BI$508,"&lt;"&amp;$BI307)+COUNTIFS($BI$9:$BI$508,$BI307,$CB$9:$CB$508,"&lt;"&amp;$CB307)+COUNTIFS($BI$9:$BI$508,$BI307,$CB$9:$CB$508,$CB307,$CD$9:$CD$508,"&lt;"&amp;$CD307)+COUNTIFS($BI$9:$BI$508,$BI307,$CB$9:$CB$508,$CB307,$CD$9:$CD$508,$CD307,$CF$9:$CF$508,"&lt;"&amp;$CF307)+1))</f>
        <v/>
      </c>
      <c r="CH307" s="100" t="str">
        <f aca="false">IF(ISBLANK($C307),"",IF($BH307&lt;&gt;Constants!$B$4,$BH307,$CC307-$CG307))</f>
        <v/>
      </c>
      <c r="CI307" s="100" t="str">
        <f aca="false">IF(ISBLANK($C307),"",IF(NOT($AJ307),"",IF(ISBLANK($D$7),$CI$5,IF(NOT(ISNUMBER($D$7)),$CI$6,""))))</f>
        <v/>
      </c>
      <c r="CJ307" s="100" t="str">
        <f aca="false">IF(ISBLANK($C307),"",OR($AL307="",$AM307="",$AN307=""))</f>
        <v/>
      </c>
      <c r="CK307" s="100" t="str">
        <f aca="false">IF(ISBLANK($C307),"",AND($AJ307,$AX307=""))</f>
        <v/>
      </c>
      <c r="CL307" s="100" t="str">
        <f aca="false">IF(ISBLANK($C307),"",AND($AJ307,$AY307=""))</f>
        <v/>
      </c>
      <c r="CM307" s="100" t="str">
        <f aca="false">IF(ISBLANK($C307),"",AND($AJ307,$AZ307=""))</f>
        <v/>
      </c>
      <c r="CN307" s="100" t="str">
        <f aca="false">IF(ISBLANK($C307),"",AND($AJ307,$BC307=""))</f>
        <v/>
      </c>
      <c r="CO307" s="100" t="str">
        <f aca="false">IF(ISBLANK($C307),"",AND($AJ307,$BF307=""))</f>
        <v/>
      </c>
      <c r="CP307" s="101"/>
      <c r="CQ307" s="102"/>
      <c r="CR307" s="103" t="str">
        <f aca="false">IF(ISBLANK($C307),"",IF($BH307=Constants!$B$8,$CI307,""))</f>
        <v/>
      </c>
      <c r="CS307" s="102" t="str">
        <f aca="false">IF(ISBLANK($C307),"",IF($BH307&lt;&gt;Constants!$B$4,"",$BK307+$BL307))</f>
        <v/>
      </c>
      <c r="CT307" s="104" t="str">
        <f aca="false">IF(ISBLANK($C307),"",IF($BH307&lt;&gt;Constants!$B$4,"",$BM307+$BN307+$BO307))</f>
        <v/>
      </c>
      <c r="CU307" s="104" t="str">
        <f aca="false">IF(ISBLANK($C307),"",IF($BH307&lt;&gt;Constants!$B$4,"",$BP307))</f>
        <v/>
      </c>
      <c r="CV307" s="104" t="str">
        <f aca="false">IF(ISBLANK($C307),"",IF($BH307&lt;&gt;Constants!$B$4,"",$BQ307+$BR307))</f>
        <v/>
      </c>
      <c r="CW307" s="104" t="str">
        <f aca="false">IF(ISBLANK($C307),"",IF($BH307&lt;&gt;Constants!$B$4,"",$BS307))</f>
        <v/>
      </c>
      <c r="CX307" s="104" t="str">
        <f aca="false">IF(ISBLANK($C307),"",IF($BH307&lt;&gt;Constants!$B$4,"",-$BZ307))</f>
        <v/>
      </c>
      <c r="CY307" s="103" t="str">
        <f aca="false">IF(ISBLANK($C307),"",$CA307)</f>
        <v/>
      </c>
      <c r="CZ307" s="105" t="str">
        <f aca="false">IF(ISBLANK($C307),"",$BI307)</f>
        <v/>
      </c>
      <c r="DA307" s="104" t="str">
        <f aca="false">IF(ISBLANK($C307),"",$CH307)</f>
        <v/>
      </c>
      <c r="DB307" s="104" t="str">
        <f aca="false">IF(ISBLANK($C307),"",$CG307)</f>
        <v/>
      </c>
      <c r="DC307" s="106" t="str">
        <f aca="false">IF(ISBLANK($C307),"",IFERROR(_xlfn.SWITCH($DB307,Constants!$B$7,COUNTA($C$9:$C$508)+2,Constants!$B$6,COUNTA($C$9:$C$508)+1,Constants!$B$5,COUNTA($C$9:$C$508)),$DB307))</f>
        <v/>
      </c>
      <c r="DD307" s="7"/>
      <c r="DE307" s="107" t="n">
        <f aca="false">IF(OR(ISNUMBER($DB307),$DB307=Constants!$B$7,$DB307=Constants!$B$5,$DB307=Constants!$B$6),1,0)</f>
        <v>0</v>
      </c>
      <c r="DF307" s="107" t="n">
        <v>299</v>
      </c>
      <c r="DG307" s="107" t="str">
        <f aca="false">IF(ISBLANK($C307),"",IF(ISNUMBER($DC307),$DC307+ROW($B307)/1000,""))</f>
        <v/>
      </c>
      <c r="DH307" s="107" t="str">
        <f aca="false">IF(ISNUMBER($DG307),RANK($DG307,$DG$9:$DG$508,1),"")</f>
        <v/>
      </c>
      <c r="DI307" s="107" t="str">
        <f aca="false">IF(ISBLANK($C307),"",$B307)</f>
        <v/>
      </c>
      <c r="DJ307" s="107" t="str">
        <f aca="false">IF(ISBLANK($C307),"",$C307)</f>
        <v/>
      </c>
      <c r="DK307" s="107" t="str">
        <f aca="false">IF(ISBLANK($C307),"",$D307)</f>
        <v/>
      </c>
      <c r="DL307" s="108" t="str">
        <f aca="false">$CZ307</f>
        <v/>
      </c>
      <c r="DM307" s="109" t="str">
        <f aca="false">$CY307</f>
        <v/>
      </c>
      <c r="DN307" s="107" t="str">
        <f aca="false">IF(ISBLANK($C307),"",$DB307)</f>
        <v/>
      </c>
      <c r="DO307" s="110" t="str">
        <f aca="false">IF($DF307&gt;$DE$8,"",VLOOKUP($DF307,$DH$9:$DN$508,7,FALSE()))</f>
        <v/>
      </c>
      <c r="DP307" s="111" t="str">
        <f aca="false">IF($DF307&gt;$DE$8,"",VLOOKUP($DF307,$DH$9:$DN$508,2,FALSE()))</f>
        <v/>
      </c>
      <c r="DQ307" s="111" t="str">
        <f aca="false">IF($DF307&gt;$DE$8,"",VLOOKUP($DF307,$DH$9:$DN$508,3,FALSE()))</f>
        <v/>
      </c>
      <c r="DR307" s="111" t="str">
        <f aca="false">IF($DF307&gt;$DE$8,"",VLOOKUP($DF307,$DH$9:$DN$508,4,FALSE()))</f>
        <v/>
      </c>
      <c r="DS307" s="111" t="str">
        <f aca="false">IF($DF307&gt;$DE$8,"",VLOOKUP($DF307,$DH$9:$DN$508,5,FALSE()))</f>
        <v/>
      </c>
      <c r="DT307" s="112" t="str">
        <f aca="false">IF($DF307&gt;$DE$8,"",VLOOKUP($DF307,$DH$9:$DN$508,6,FALSE()))</f>
        <v/>
      </c>
      <c r="DU307" s="62"/>
    </row>
    <row r="308" customFormat="false" ht="15.75" hidden="false" customHeight="false" outlineLevel="0" collapsed="false">
      <c r="A308" s="7"/>
      <c r="B308" s="90"/>
      <c r="C308" s="91"/>
      <c r="D308" s="126"/>
      <c r="E308" s="130"/>
      <c r="F308" s="135"/>
      <c r="G308" s="130"/>
      <c r="H308" s="135"/>
      <c r="I308" s="131"/>
      <c r="J308" s="131"/>
      <c r="K308" s="131"/>
      <c r="L308" s="130"/>
      <c r="M308" s="130"/>
      <c r="N308" s="130"/>
      <c r="O308" s="135"/>
      <c r="P308" s="130"/>
      <c r="Q308" s="130"/>
      <c r="R308" s="130"/>
      <c r="S308" s="130"/>
      <c r="T308" s="135"/>
      <c r="U308" s="130"/>
      <c r="V308" s="96"/>
      <c r="W308" s="130"/>
      <c r="X308" s="130"/>
      <c r="Y308" s="96"/>
      <c r="Z308" s="96"/>
      <c r="AA308" s="130"/>
      <c r="AB308" s="130"/>
      <c r="AC308" s="97"/>
      <c r="AD308" s="130"/>
      <c r="AE308" s="99"/>
      <c r="AF308" s="100"/>
      <c r="AG308" s="100"/>
      <c r="AH308" s="100" t="str">
        <f aca="false">IF(ISBLANK($C308),"",IF($E308=Constants!$B$2,TRUE(),IF($E308=Constants!$B$3,FALSE(),TRUE())))</f>
        <v/>
      </c>
      <c r="AI308" s="100" t="str">
        <f aca="false">IF(ISBLANK($C308),"",IF($F308=Constants!$B$2,TRUE(),IF($F308=Constants!$B$3,FALSE(),FALSE())))</f>
        <v/>
      </c>
      <c r="AJ308" s="100" t="str">
        <f aca="false">IF(ISBLANK($C308),"",IF($G308=Constants!$B$2,TRUE(),IF($G308=Constants!$B$3,FALSE(),TRUE())))</f>
        <v/>
      </c>
      <c r="AK308" s="100" t="str">
        <f aca="false">IF(ISBLANK($C308),"",IF($H308=Constants!$B$2,TRUE(),IF($H308=Constants!$B$3,FALSE(),TRUE())))</f>
        <v/>
      </c>
      <c r="AL308" s="100" t="str">
        <f aca="false">IF(ISBLANK($C308),"",IF(ISNUMBER($I308),IF($I308&gt;=0,$I308,""),""))</f>
        <v/>
      </c>
      <c r="AM308" s="100" t="str">
        <f aca="false">IF(ISBLANK($C308),"",IF(ISNUMBER($J308),IF($J308&gt;=0,$J308,""),""))</f>
        <v/>
      </c>
      <c r="AN308" s="100" t="str">
        <f aca="false">IF(ISBLANK($C308),"",IF(ISNUMBER($K308),IF($K308&gt;=0,$K308,""),""))</f>
        <v/>
      </c>
      <c r="AO308" s="100" t="str">
        <f aca="false">IF(ISBLANK($C308),"",IF($L308=Constants!$B$2,TRUE(),IF($L308=Constants!$B$3,FALSE(),TRUE())))</f>
        <v/>
      </c>
      <c r="AP308" s="100" t="str">
        <f aca="false">IF(ISBLANK($C308),"",IF($M308=Constants!$B$2,TRUE(),IF($M308=Constants!$B$3,FALSE(),TRUE())))</f>
        <v/>
      </c>
      <c r="AQ308" s="100" t="str">
        <f aca="false">IF(ISBLANK($C308),"",IF($N308=Constants!$B$2,TRUE(),IF($N308=Constants!$B$3,FALSE(),FALSE())))</f>
        <v/>
      </c>
      <c r="AR308" s="100" t="str">
        <f aca="false">IF(ISBLANK($C308),"",IF($O308=Constants!$B$2,TRUE(),IF($O308=Constants!$B$3,FALSE(),TRUE())))</f>
        <v/>
      </c>
      <c r="AS308" s="100" t="str">
        <f aca="false">IF(ISBLANK($C308),"",IF($P308=Constants!$B$2,TRUE(),IF($P308=Constants!$B$3,FALSE(),FALSE())))</f>
        <v/>
      </c>
      <c r="AT308" s="100" t="str">
        <f aca="false">IF(ISBLANK($C308),"",IF($Q308=Constants!$B$2,TRUE(),IF($Q308=Constants!$B$3,FALSE(),FALSE())))</f>
        <v/>
      </c>
      <c r="AU308" s="100" t="str">
        <f aca="false">IF(ISBLANK($C308),"",IF($R308=Constants!$B$2,TRUE(),IF($R308=Constants!$B$3,FALSE(),FALSE())))</f>
        <v/>
      </c>
      <c r="AV308" s="100" t="str">
        <f aca="false">IF(ISBLANK($C308),"",IF($S308=Constants!$B$2,TRUE(),IF($S308=Constants!$B$3,FALSE(),FALSE())))</f>
        <v/>
      </c>
      <c r="AW308" s="100" t="str">
        <f aca="false">IF(ISBLANK($C308),"",IF($T308=Constants!$B$2,TRUE(),IF($T308=Constants!$B$3,FALSE(),FALSE())))</f>
        <v/>
      </c>
      <c r="AX308" s="100" t="str">
        <f aca="false">IF(ISBLANK($C308),"",IF(OR($U308&amp;""="1",$U308&amp;""="2",$U308&amp;""="3",$U308&amp;""="4"),VALUE($U308&amp;""),IF($U308=Constants!$B$12,Constants!$B$12,"")))</f>
        <v/>
      </c>
      <c r="AY308" s="100" t="str">
        <f aca="false">IF(ISBLANK($C308),"",IF(ISBLANK($V308),0,IF(ISNUMBER($V308),IF(AND($V308&gt;=0,$V308&lt;=Constants!$B$21,$V308=INT($V308)),$V308,""),"")))</f>
        <v/>
      </c>
      <c r="AZ308" s="100" t="str">
        <f aca="false">IF(ISBLANK($C308),"",IF(ISBLANK($W308),0,IF(ISNUMBER($W308),IF($W308&gt;=0,$W308,""),"")))</f>
        <v/>
      </c>
      <c r="BA308" s="100" t="str">
        <f aca="false">IF(ISBLANK($C308),"",IF($X308=Constants!$B$2,TRUE(),IF($X308=Constants!$B$3,FALSE(),TRUE())))</f>
        <v/>
      </c>
      <c r="BB308" s="100" t="str">
        <f aca="false">IF(ISBLANK($C308),"",IF($Y308=Constants!$B$2,TRUE(),IF($Y308=Constants!$B$3,FALSE(),FALSE())))</f>
        <v/>
      </c>
      <c r="BC308" s="100" t="str">
        <f aca="false">IF(ISBLANK($C308),"",IF(ISBLANK($Z308),0,IF(ISNUMBER($Z308),IF(AND($Z308&gt;=0,$Z308&lt;=Constants!$B$35,$Z308=INT($Z308)),$Z308,""),"")))</f>
        <v/>
      </c>
      <c r="BD308" s="100" t="str">
        <f aca="false">IF(ISBLANK($C308),"",IF($AA308=Constants!$B$2,TRUE(),IF($AA308=Constants!$B$3,FALSE(),TRUE())))</f>
        <v/>
      </c>
      <c r="BE308" s="100" t="str">
        <f aca="false">IF(ISBLANK($C308),"",IF($AB308=Constants!$B$2,TRUE(),IF($AB308=Constants!$B$3,FALSE(),TRUE())))</f>
        <v/>
      </c>
      <c r="BF308" s="100" t="str">
        <f aca="false">IF(ISBLANK($C308),"",IF(ISNUMBER($AC308),IF($AC308&gt;=0,$AC308,""),""))</f>
        <v/>
      </c>
      <c r="BG308" s="100" t="str">
        <f aca="false">IF(ISBLANK($C308),"",IF($AD308=Constants!$B$2,TRUE(),IF($AD308=Constants!$B$3,FALSE(),FALSE())))</f>
        <v/>
      </c>
      <c r="BH308" s="99" t="str">
        <f aca="false">IF(ISBLANK($C308),"",IF($BG308,Constants!$B$7,IF(COUNTA($E308:$AC308)=0,Constants!$B$6,IF(OR(COUNTA($G308:$AC308)=0,NOT($AK308),$AQ308),Constants!$B$5,IF(OR($CI308&lt;&gt;"",$CJ308,$CK308,$CL308,$CM308,$CN308,$CO308),Constants!$B$8,Constants!$B$4)))))</f>
        <v/>
      </c>
      <c r="BI308" s="100" t="str">
        <f aca="false">IF(ISBLANK($C308),"",IF($BH308&lt;&gt;Constants!$B$4,$BH308,IF(OR(NOT($AH308),NOT($AJ308),NOT($AR308)),Constants!$B$11,IF(OR(NOT($AP308),MAX($AL308,$AM308,$AN308)&gt;Constants!$B$30),Constants!$B$10,Constants!$B$9))))</f>
        <v/>
      </c>
      <c r="BJ308" s="100" t="str">
        <f aca="false">IF($BH308&lt;&gt;Constants!$B$4,"",IF(NOT($AJ308),0,MIN(Constants!$B$35,$BC308)))</f>
        <v/>
      </c>
      <c r="BK308" s="100" t="str">
        <f aca="false">IF($BH308&lt;&gt;Constants!$B$4,"",IF(NOT($AJ308),0,IF($AT308,Constants!$B$18,IF($AS308,Constants!$B$17,0))))</f>
        <v/>
      </c>
      <c r="BL308" s="100" t="str">
        <f aca="false">IF($BH308&lt;&gt;Constants!$B$4,"",IF(NOT($AJ308),0,Constants!$B$19*($AI308+$AU308+$AV308+$AW308)))</f>
        <v/>
      </c>
      <c r="BM308" s="100" t="str">
        <f aca="false">IF($BH308&lt;&gt;Constants!$B$4,"",IF(OR(NOT($AJ308),NOT(ISNUMBER($AX308))),0,CHOOSE($AX308,Constants!$B$13,Constants!$B$14,Constants!$B$15,Constants!$B$16)))</f>
        <v/>
      </c>
      <c r="BN308" s="100" t="str">
        <f aca="false">IF($BH308&lt;&gt;Constants!$B$4,"",IF(NOT($AJ308),0,Constants!$B$20*$AY308))</f>
        <v/>
      </c>
      <c r="BO308" s="100" t="str">
        <f aca="false">IF($BH308&lt;&gt;Constants!$B$4,"",IF(AND($AJ308,$BA308,$BB308),Constants!$B$22,0))</f>
        <v/>
      </c>
      <c r="BP308" s="100" t="str">
        <f aca="false">IF($BH308&lt;&gt;Constants!$B$4,"",IF(OR(NOT($AJ308),NOT($BA308)),0,IF($BF308&gt;=2*$AF$9,0,Constants!$B$23*INT(ROUND(MIN($BF308,$AF$9),6)))))</f>
        <v/>
      </c>
      <c r="BQ308" s="100" t="str">
        <f aca="false">IF($BH308&lt;&gt;Constants!$B$4,"",IF(NOT($AJ308),0,Constants!$B$24*INT(ROUND(MIN($AZ308,$AF$9),6))))</f>
        <v/>
      </c>
      <c r="BR308" s="100" t="str">
        <f aca="false">IF($BH308&lt;&gt;Constants!$B$4,"",IF(AND($AJ308,$BJ308=0),Constants!$B$25,0))</f>
        <v/>
      </c>
      <c r="BS308" s="100" t="str">
        <f aca="false">IF($BH308&lt;&gt;Constants!$B$4,"",MIN(Constants!$B$29,MAX(0,Constants!$B$27*Constants!$B$28*INT(ROUND((Constants!$B$26-$AL308)/Constants!$B$28,6))))+MIN(Constants!$B$29,MAX(0,Constants!$B$27*Constants!$B$28*INT(ROUND((Constants!$B$26-$AM308)/Constants!$B$28,6))))+MIN(Constants!$B$29,MAX(0,Constants!$B$27*Constants!$B$28*INT(ROUND((Constants!$B$26-$AN308)/Constants!$B$28,6)))))</f>
        <v/>
      </c>
      <c r="BT308" s="100" t="str">
        <f aca="false">IF($BH308&lt;&gt;Constants!$B$4,"",IF(NOT($AJ308),0,Constants!$B$31*INT(ROUND(MAX(0,MIN($BF308,2*$AF$9)-$AF$9),6))))</f>
        <v/>
      </c>
      <c r="BU308" s="100" t="str">
        <f aca="false">IF($BH308&lt;&gt;Constants!$B$4,"",Constants!$B$32*(($AL308&gt;Constants!$B$26)+($AM308&gt;Constants!$B$26)+($AN308&gt;Constants!$B$26)))</f>
        <v/>
      </c>
      <c r="BV308" s="100" t="str">
        <f aca="false">IF($BH308&lt;&gt;Constants!$B$4,"",IF(OR(NOT($AJ308),$AO308),0,Constants!$B$33))</f>
        <v/>
      </c>
      <c r="BW308" s="100" t="str">
        <f aca="false">IF($BH308&lt;&gt;Constants!$B$4,"",Constants!$B$34*$BJ308)</f>
        <v/>
      </c>
      <c r="BX308" s="100" t="str">
        <f aca="false">IF($BH308&lt;&gt;Constants!$B$4,"",IF(OR(NOT($AJ308),$BE308),0,Constants!$B$36))</f>
        <v/>
      </c>
      <c r="BY308" s="100" t="str">
        <f aca="false">IF($BH308&lt;&gt;Constants!$B$4,"",IF(OR(NOT($AJ308),$BD308),0,Constants!$B$37))</f>
        <v/>
      </c>
      <c r="BZ308" s="100" t="str">
        <f aca="false">IF($BH308&lt;&gt;Constants!$B$4,"",SUM($BT308:$BY308))</f>
        <v/>
      </c>
      <c r="CA308" s="100" t="str">
        <f aca="false">IF(ISBLANK($C308),"",IF($BH308&lt;&gt;Constants!$B$4,$BH308,SUM($BK308:$BS308)-$BZ308))</f>
        <v/>
      </c>
      <c r="CB308" s="100" t="str">
        <f aca="false">IF(ISBLANK($C308),"",IF($BH308&lt;&gt;Constants!$B$4,$BH308,RANK($CA308,$CA$9:$CA$508)))</f>
        <v/>
      </c>
      <c r="CC308" s="100" t="str">
        <f aca="false">IF(ISBLANK($C308),"",IF($BH308&lt;&gt;Constants!$B$4,$BH308,COUNTIFS($BI$9:$BI$508,"&lt;"&amp;$BI308)+COUNTIFS($BI$9:$BI$508,$BI308,$CB$9:$CB$508,"&lt;"&amp;$CB308)+1))</f>
        <v/>
      </c>
      <c r="CD308" s="100" t="str">
        <f aca="false">IF(ISBLANK($C308),"",IF($BH308&lt;&gt;Constants!$B$4,$BH308,RANK($BZ308,$BZ$9:$BZ$508,1)))</f>
        <v/>
      </c>
      <c r="CE308" s="100" t="str">
        <f aca="false">IF($BH308&lt;&gt;Constants!$B$4,"",$AL308+$AM308+$AN308)</f>
        <v/>
      </c>
      <c r="CF308" s="100" t="str">
        <f aca="false">IF(ISBLANK($C308),"",IF($BH308&lt;&gt;Constants!$B$4,$BH308,RANK($CE308,$CE$9:$CE$508,1)))</f>
        <v/>
      </c>
      <c r="CG308" s="100" t="str">
        <f aca="false">IF(ISBLANK($C308),"",IF($BH308&lt;&gt;Constants!$B$4,$BH308,COUNTIFS($BI$9:$BI$508,"&lt;"&amp;$BI308)+COUNTIFS($BI$9:$BI$508,$BI308,$CB$9:$CB$508,"&lt;"&amp;$CB308)+COUNTIFS($BI$9:$BI$508,$BI308,$CB$9:$CB$508,$CB308,$CD$9:$CD$508,"&lt;"&amp;$CD308)+COUNTIFS($BI$9:$BI$508,$BI308,$CB$9:$CB$508,$CB308,$CD$9:$CD$508,$CD308,$CF$9:$CF$508,"&lt;"&amp;$CF308)+1))</f>
        <v/>
      </c>
      <c r="CH308" s="100" t="str">
        <f aca="false">IF(ISBLANK($C308),"",IF($BH308&lt;&gt;Constants!$B$4,$BH308,$CC308-$CG308))</f>
        <v/>
      </c>
      <c r="CI308" s="100" t="str">
        <f aca="false">IF(ISBLANK($C308),"",IF(NOT($AJ308),"",IF(ISBLANK($D$7),$CI$5,IF(NOT(ISNUMBER($D$7)),$CI$6,""))))</f>
        <v/>
      </c>
      <c r="CJ308" s="100" t="str">
        <f aca="false">IF(ISBLANK($C308),"",OR($AL308="",$AM308="",$AN308=""))</f>
        <v/>
      </c>
      <c r="CK308" s="100" t="str">
        <f aca="false">IF(ISBLANK($C308),"",AND($AJ308,$AX308=""))</f>
        <v/>
      </c>
      <c r="CL308" s="100" t="str">
        <f aca="false">IF(ISBLANK($C308),"",AND($AJ308,$AY308=""))</f>
        <v/>
      </c>
      <c r="CM308" s="100" t="str">
        <f aca="false">IF(ISBLANK($C308),"",AND($AJ308,$AZ308=""))</f>
        <v/>
      </c>
      <c r="CN308" s="100" t="str">
        <f aca="false">IF(ISBLANK($C308),"",AND($AJ308,$BC308=""))</f>
        <v/>
      </c>
      <c r="CO308" s="100" t="str">
        <f aca="false">IF(ISBLANK($C308),"",AND($AJ308,$BF308=""))</f>
        <v/>
      </c>
      <c r="CP308" s="101"/>
      <c r="CQ308" s="102"/>
      <c r="CR308" s="103" t="str">
        <f aca="false">IF(ISBLANK($C308),"",IF($BH308=Constants!$B$8,$CI308,""))</f>
        <v/>
      </c>
      <c r="CS308" s="102" t="str">
        <f aca="false">IF(ISBLANK($C308),"",IF($BH308&lt;&gt;Constants!$B$4,"",$BK308+$BL308))</f>
        <v/>
      </c>
      <c r="CT308" s="104" t="str">
        <f aca="false">IF(ISBLANK($C308),"",IF($BH308&lt;&gt;Constants!$B$4,"",$BM308+$BN308+$BO308))</f>
        <v/>
      </c>
      <c r="CU308" s="104" t="str">
        <f aca="false">IF(ISBLANK($C308),"",IF($BH308&lt;&gt;Constants!$B$4,"",$BP308))</f>
        <v/>
      </c>
      <c r="CV308" s="104" t="str">
        <f aca="false">IF(ISBLANK($C308),"",IF($BH308&lt;&gt;Constants!$B$4,"",$BQ308+$BR308))</f>
        <v/>
      </c>
      <c r="CW308" s="104" t="str">
        <f aca="false">IF(ISBLANK($C308),"",IF($BH308&lt;&gt;Constants!$B$4,"",$BS308))</f>
        <v/>
      </c>
      <c r="CX308" s="104" t="str">
        <f aca="false">IF(ISBLANK($C308),"",IF($BH308&lt;&gt;Constants!$B$4,"",-$BZ308))</f>
        <v/>
      </c>
      <c r="CY308" s="103" t="str">
        <f aca="false">IF(ISBLANK($C308),"",$CA308)</f>
        <v/>
      </c>
      <c r="CZ308" s="105" t="str">
        <f aca="false">IF(ISBLANK($C308),"",$BI308)</f>
        <v/>
      </c>
      <c r="DA308" s="104" t="str">
        <f aca="false">IF(ISBLANK($C308),"",$CH308)</f>
        <v/>
      </c>
      <c r="DB308" s="104" t="str">
        <f aca="false">IF(ISBLANK($C308),"",$CG308)</f>
        <v/>
      </c>
      <c r="DC308" s="106" t="str">
        <f aca="false">IF(ISBLANK($C308),"",IFERROR(_xlfn.SWITCH($DB308,Constants!$B$7,COUNTA($C$9:$C$508)+2,Constants!$B$6,COUNTA($C$9:$C$508)+1,Constants!$B$5,COUNTA($C$9:$C$508)),$DB308))</f>
        <v/>
      </c>
      <c r="DD308" s="7"/>
      <c r="DE308" s="107" t="n">
        <f aca="false">IF(OR(ISNUMBER($DB308),$DB308=Constants!$B$7,$DB308=Constants!$B$5,$DB308=Constants!$B$6),1,0)</f>
        <v>0</v>
      </c>
      <c r="DF308" s="107" t="n">
        <v>300</v>
      </c>
      <c r="DG308" s="107" t="str">
        <f aca="false">IF(ISBLANK($C308),"",IF(ISNUMBER($DC308),$DC308+ROW($B308)/1000,""))</f>
        <v/>
      </c>
      <c r="DH308" s="107" t="str">
        <f aca="false">IF(ISNUMBER($DG308),RANK($DG308,$DG$9:$DG$508,1),"")</f>
        <v/>
      </c>
      <c r="DI308" s="107" t="str">
        <f aca="false">IF(ISBLANK($C308),"",$B308)</f>
        <v/>
      </c>
      <c r="DJ308" s="107" t="str">
        <f aca="false">IF(ISBLANK($C308),"",$C308)</f>
        <v/>
      </c>
      <c r="DK308" s="107" t="str">
        <f aca="false">IF(ISBLANK($C308),"",$D308)</f>
        <v/>
      </c>
      <c r="DL308" s="108" t="str">
        <f aca="false">$CZ308</f>
        <v/>
      </c>
      <c r="DM308" s="109" t="str">
        <f aca="false">$CY308</f>
        <v/>
      </c>
      <c r="DN308" s="107" t="str">
        <f aca="false">IF(ISBLANK($C308),"",$DB308)</f>
        <v/>
      </c>
      <c r="DO308" s="110" t="str">
        <f aca="false">IF($DF308&gt;$DE$8,"",VLOOKUP($DF308,$DH$9:$DN$508,7,FALSE()))</f>
        <v/>
      </c>
      <c r="DP308" s="111" t="str">
        <f aca="false">IF($DF308&gt;$DE$8,"",VLOOKUP($DF308,$DH$9:$DN$508,2,FALSE()))</f>
        <v/>
      </c>
      <c r="DQ308" s="111" t="str">
        <f aca="false">IF($DF308&gt;$DE$8,"",VLOOKUP($DF308,$DH$9:$DN$508,3,FALSE()))</f>
        <v/>
      </c>
      <c r="DR308" s="111" t="str">
        <f aca="false">IF($DF308&gt;$DE$8,"",VLOOKUP($DF308,$DH$9:$DN$508,4,FALSE()))</f>
        <v/>
      </c>
      <c r="DS308" s="111" t="str">
        <f aca="false">IF($DF308&gt;$DE$8,"",VLOOKUP($DF308,$DH$9:$DN$508,5,FALSE()))</f>
        <v/>
      </c>
      <c r="DT308" s="112" t="str">
        <f aca="false">IF($DF308&gt;$DE$8,"",VLOOKUP($DF308,$DH$9:$DN$508,6,FALSE()))</f>
        <v/>
      </c>
      <c r="DU308" s="62"/>
    </row>
    <row r="309" customFormat="false" ht="15.75" hidden="false" customHeight="false" outlineLevel="0" collapsed="false">
      <c r="A309" s="7"/>
      <c r="B309" s="64"/>
      <c r="C309" s="65"/>
      <c r="D309" s="123"/>
      <c r="E309" s="88"/>
      <c r="F309" s="134"/>
      <c r="G309" s="88"/>
      <c r="H309" s="134"/>
      <c r="I309" s="119"/>
      <c r="J309" s="119"/>
      <c r="K309" s="119"/>
      <c r="L309" s="88"/>
      <c r="M309" s="88"/>
      <c r="N309" s="88"/>
      <c r="O309" s="134"/>
      <c r="P309" s="88"/>
      <c r="Q309" s="88"/>
      <c r="R309" s="88"/>
      <c r="S309" s="88"/>
      <c r="T309" s="134"/>
      <c r="U309" s="88"/>
      <c r="V309" s="70"/>
      <c r="W309" s="88"/>
      <c r="X309" s="88"/>
      <c r="Y309" s="70"/>
      <c r="Z309" s="70"/>
      <c r="AA309" s="88"/>
      <c r="AB309" s="88"/>
      <c r="AC309" s="71"/>
      <c r="AD309" s="88"/>
      <c r="AE309" s="73"/>
      <c r="AF309" s="74"/>
      <c r="AG309" s="74"/>
      <c r="AH309" s="74" t="str">
        <f aca="false">IF(ISBLANK($C309),"",IF($E309=Constants!$B$2,TRUE(),IF($E309=Constants!$B$3,FALSE(),TRUE())))</f>
        <v/>
      </c>
      <c r="AI309" s="74" t="str">
        <f aca="false">IF(ISBLANK($C309),"",IF($F309=Constants!$B$2,TRUE(),IF($F309=Constants!$B$3,FALSE(),FALSE())))</f>
        <v/>
      </c>
      <c r="AJ309" s="74" t="str">
        <f aca="false">IF(ISBLANK($C309),"",IF($G309=Constants!$B$2,TRUE(),IF($G309=Constants!$B$3,FALSE(),TRUE())))</f>
        <v/>
      </c>
      <c r="AK309" s="74" t="str">
        <f aca="false">IF(ISBLANK($C309),"",IF($H309=Constants!$B$2,TRUE(),IF($H309=Constants!$B$3,FALSE(),TRUE())))</f>
        <v/>
      </c>
      <c r="AL309" s="74" t="str">
        <f aca="false">IF(ISBLANK($C309),"",IF(ISNUMBER($I309),IF($I309&gt;=0,$I309,""),""))</f>
        <v/>
      </c>
      <c r="AM309" s="74" t="str">
        <f aca="false">IF(ISBLANK($C309),"",IF(ISNUMBER($J309),IF($J309&gt;=0,$J309,""),""))</f>
        <v/>
      </c>
      <c r="AN309" s="74" t="str">
        <f aca="false">IF(ISBLANK($C309),"",IF(ISNUMBER($K309),IF($K309&gt;=0,$K309,""),""))</f>
        <v/>
      </c>
      <c r="AO309" s="74" t="str">
        <f aca="false">IF(ISBLANK($C309),"",IF($L309=Constants!$B$2,TRUE(),IF($L309=Constants!$B$3,FALSE(),TRUE())))</f>
        <v/>
      </c>
      <c r="AP309" s="74" t="str">
        <f aca="false">IF(ISBLANK($C309),"",IF($M309=Constants!$B$2,TRUE(),IF($M309=Constants!$B$3,FALSE(),TRUE())))</f>
        <v/>
      </c>
      <c r="AQ309" s="74" t="str">
        <f aca="false">IF(ISBLANK($C309),"",IF($N309=Constants!$B$2,TRUE(),IF($N309=Constants!$B$3,FALSE(),FALSE())))</f>
        <v/>
      </c>
      <c r="AR309" s="74" t="str">
        <f aca="false">IF(ISBLANK($C309),"",IF($O309=Constants!$B$2,TRUE(),IF($O309=Constants!$B$3,FALSE(),TRUE())))</f>
        <v/>
      </c>
      <c r="AS309" s="74" t="str">
        <f aca="false">IF(ISBLANK($C309),"",IF($P309=Constants!$B$2,TRUE(),IF($P309=Constants!$B$3,FALSE(),FALSE())))</f>
        <v/>
      </c>
      <c r="AT309" s="74" t="str">
        <f aca="false">IF(ISBLANK($C309),"",IF($Q309=Constants!$B$2,TRUE(),IF($Q309=Constants!$B$3,FALSE(),FALSE())))</f>
        <v/>
      </c>
      <c r="AU309" s="74" t="str">
        <f aca="false">IF(ISBLANK($C309),"",IF($R309=Constants!$B$2,TRUE(),IF($R309=Constants!$B$3,FALSE(),FALSE())))</f>
        <v/>
      </c>
      <c r="AV309" s="74" t="str">
        <f aca="false">IF(ISBLANK($C309),"",IF($S309=Constants!$B$2,TRUE(),IF($S309=Constants!$B$3,FALSE(),FALSE())))</f>
        <v/>
      </c>
      <c r="AW309" s="74" t="str">
        <f aca="false">IF(ISBLANK($C309),"",IF($T309=Constants!$B$2,TRUE(),IF($T309=Constants!$B$3,FALSE(),FALSE())))</f>
        <v/>
      </c>
      <c r="AX309" s="74" t="str">
        <f aca="false">IF(ISBLANK($C309),"",IF(OR($U309&amp;""="1",$U309&amp;""="2",$U309&amp;""="3",$U309&amp;""="4"),VALUE($U309&amp;""),IF($U309=Constants!$B$12,Constants!$B$12,"")))</f>
        <v/>
      </c>
      <c r="AY309" s="74" t="str">
        <f aca="false">IF(ISBLANK($C309),"",IF(ISBLANK($V309),0,IF(ISNUMBER($V309),IF(AND($V309&gt;=0,$V309&lt;=Constants!$B$21,$V309=INT($V309)),$V309,""),"")))</f>
        <v/>
      </c>
      <c r="AZ309" s="74" t="str">
        <f aca="false">IF(ISBLANK($C309),"",IF(ISBLANK($W309),0,IF(ISNUMBER($W309),IF($W309&gt;=0,$W309,""),"")))</f>
        <v/>
      </c>
      <c r="BA309" s="74" t="str">
        <f aca="false">IF(ISBLANK($C309),"",IF($X309=Constants!$B$2,TRUE(),IF($X309=Constants!$B$3,FALSE(),TRUE())))</f>
        <v/>
      </c>
      <c r="BB309" s="74" t="str">
        <f aca="false">IF(ISBLANK($C309),"",IF($Y309=Constants!$B$2,TRUE(),IF($Y309=Constants!$B$3,FALSE(),FALSE())))</f>
        <v/>
      </c>
      <c r="BC309" s="74" t="str">
        <f aca="false">IF(ISBLANK($C309),"",IF(ISBLANK($Z309),0,IF(ISNUMBER($Z309),IF(AND($Z309&gt;=0,$Z309&lt;=Constants!$B$35,$Z309=INT($Z309)),$Z309,""),"")))</f>
        <v/>
      </c>
      <c r="BD309" s="74" t="str">
        <f aca="false">IF(ISBLANK($C309),"",IF($AA309=Constants!$B$2,TRUE(),IF($AA309=Constants!$B$3,FALSE(),TRUE())))</f>
        <v/>
      </c>
      <c r="BE309" s="74" t="str">
        <f aca="false">IF(ISBLANK($C309),"",IF($AB309=Constants!$B$2,TRUE(),IF($AB309=Constants!$B$3,FALSE(),TRUE())))</f>
        <v/>
      </c>
      <c r="BF309" s="74" t="str">
        <f aca="false">IF(ISBLANK($C309),"",IF(ISNUMBER($AC309),IF($AC309&gt;=0,$AC309,""),""))</f>
        <v/>
      </c>
      <c r="BG309" s="74" t="str">
        <f aca="false">IF(ISBLANK($C309),"",IF($AD309=Constants!$B$2,TRUE(),IF($AD309=Constants!$B$3,FALSE(),FALSE())))</f>
        <v/>
      </c>
      <c r="BH309" s="73" t="str">
        <f aca="false">IF(ISBLANK($C309),"",IF($BG309,Constants!$B$7,IF(COUNTA($E309:$AC309)=0,Constants!$B$6,IF(OR(COUNTA($G309:$AC309)=0,NOT($AK309),$AQ309),Constants!$B$5,IF(OR($CI309&lt;&gt;"",$CJ309,$CK309,$CL309,$CM309,$CN309,$CO309),Constants!$B$8,Constants!$B$4)))))</f>
        <v/>
      </c>
      <c r="BI309" s="74" t="str">
        <f aca="false">IF(ISBLANK($C309),"",IF($BH309&lt;&gt;Constants!$B$4,$BH309,IF(OR(NOT($AH309),NOT($AJ309),NOT($AR309)),Constants!$B$11,IF(OR(NOT($AP309),MAX($AL309,$AM309,$AN309)&gt;Constants!$B$30),Constants!$B$10,Constants!$B$9))))</f>
        <v/>
      </c>
      <c r="BJ309" s="74" t="str">
        <f aca="false">IF($BH309&lt;&gt;Constants!$B$4,"",IF(NOT($AJ309),0,MIN(Constants!$B$35,$BC309)))</f>
        <v/>
      </c>
      <c r="BK309" s="74" t="str">
        <f aca="false">IF($BH309&lt;&gt;Constants!$B$4,"",IF(NOT($AJ309),0,IF($AT309,Constants!$B$18,IF($AS309,Constants!$B$17,0))))</f>
        <v/>
      </c>
      <c r="BL309" s="74" t="str">
        <f aca="false">IF($BH309&lt;&gt;Constants!$B$4,"",IF(NOT($AJ309),0,Constants!$B$19*($AI309+$AU309+$AV309+$AW309)))</f>
        <v/>
      </c>
      <c r="BM309" s="74" t="str">
        <f aca="false">IF($BH309&lt;&gt;Constants!$B$4,"",IF(OR(NOT($AJ309),NOT(ISNUMBER($AX309))),0,CHOOSE($AX309,Constants!$B$13,Constants!$B$14,Constants!$B$15,Constants!$B$16)))</f>
        <v/>
      </c>
      <c r="BN309" s="74" t="str">
        <f aca="false">IF($BH309&lt;&gt;Constants!$B$4,"",IF(NOT($AJ309),0,Constants!$B$20*$AY309))</f>
        <v/>
      </c>
      <c r="BO309" s="74" t="str">
        <f aca="false">IF($BH309&lt;&gt;Constants!$B$4,"",IF(AND($AJ309,$BA309,$BB309),Constants!$B$22,0))</f>
        <v/>
      </c>
      <c r="BP309" s="74" t="str">
        <f aca="false">IF($BH309&lt;&gt;Constants!$B$4,"",IF(OR(NOT($AJ309),NOT($BA309)),0,IF($BF309&gt;=2*$AF$9,0,Constants!$B$23*INT(ROUND(MIN($BF309,$AF$9),6)))))</f>
        <v/>
      </c>
      <c r="BQ309" s="74" t="str">
        <f aca="false">IF($BH309&lt;&gt;Constants!$B$4,"",IF(NOT($AJ309),0,Constants!$B$24*INT(ROUND(MIN($AZ309,$AF$9),6))))</f>
        <v/>
      </c>
      <c r="BR309" s="74" t="str">
        <f aca="false">IF($BH309&lt;&gt;Constants!$B$4,"",IF(AND($AJ309,$BJ309=0),Constants!$B$25,0))</f>
        <v/>
      </c>
      <c r="BS309" s="74" t="str">
        <f aca="false">IF($BH309&lt;&gt;Constants!$B$4,"",MIN(Constants!$B$29,MAX(0,Constants!$B$27*Constants!$B$28*INT(ROUND((Constants!$B$26-$AL309)/Constants!$B$28,6))))+MIN(Constants!$B$29,MAX(0,Constants!$B$27*Constants!$B$28*INT(ROUND((Constants!$B$26-$AM309)/Constants!$B$28,6))))+MIN(Constants!$B$29,MAX(0,Constants!$B$27*Constants!$B$28*INT(ROUND((Constants!$B$26-$AN309)/Constants!$B$28,6)))))</f>
        <v/>
      </c>
      <c r="BT309" s="74" t="str">
        <f aca="false">IF($BH309&lt;&gt;Constants!$B$4,"",IF(NOT($AJ309),0,Constants!$B$31*INT(ROUND(MAX(0,MIN($BF309,2*$AF$9)-$AF$9),6))))</f>
        <v/>
      </c>
      <c r="BU309" s="74" t="str">
        <f aca="false">IF($BH309&lt;&gt;Constants!$B$4,"",Constants!$B$32*(($AL309&gt;Constants!$B$26)+($AM309&gt;Constants!$B$26)+($AN309&gt;Constants!$B$26)))</f>
        <v/>
      </c>
      <c r="BV309" s="74" t="str">
        <f aca="false">IF($BH309&lt;&gt;Constants!$B$4,"",IF(OR(NOT($AJ309),$AO309),0,Constants!$B$33))</f>
        <v/>
      </c>
      <c r="BW309" s="74" t="str">
        <f aca="false">IF($BH309&lt;&gt;Constants!$B$4,"",Constants!$B$34*$BJ309)</f>
        <v/>
      </c>
      <c r="BX309" s="74" t="str">
        <f aca="false">IF($BH309&lt;&gt;Constants!$B$4,"",IF(OR(NOT($AJ309),$BE309),0,Constants!$B$36))</f>
        <v/>
      </c>
      <c r="BY309" s="74" t="str">
        <f aca="false">IF($BH309&lt;&gt;Constants!$B$4,"",IF(OR(NOT($AJ309),$BD309),0,Constants!$B$37))</f>
        <v/>
      </c>
      <c r="BZ309" s="74" t="str">
        <f aca="false">IF($BH309&lt;&gt;Constants!$B$4,"",SUM($BT309:$BY309))</f>
        <v/>
      </c>
      <c r="CA309" s="74" t="str">
        <f aca="false">IF(ISBLANK($C309),"",IF($BH309&lt;&gt;Constants!$B$4,$BH309,SUM($BK309:$BS309)-$BZ309))</f>
        <v/>
      </c>
      <c r="CB309" s="74" t="str">
        <f aca="false">IF(ISBLANK($C309),"",IF($BH309&lt;&gt;Constants!$B$4,$BH309,RANK($CA309,$CA$9:$CA$508)))</f>
        <v/>
      </c>
      <c r="CC309" s="74" t="str">
        <f aca="false">IF(ISBLANK($C309),"",IF($BH309&lt;&gt;Constants!$B$4,$BH309,COUNTIFS($BI$9:$BI$508,"&lt;"&amp;$BI309)+COUNTIFS($BI$9:$BI$508,$BI309,$CB$9:$CB$508,"&lt;"&amp;$CB309)+1))</f>
        <v/>
      </c>
      <c r="CD309" s="74" t="str">
        <f aca="false">IF(ISBLANK($C309),"",IF($BH309&lt;&gt;Constants!$B$4,$BH309,RANK($BZ309,$BZ$9:$BZ$508,1)))</f>
        <v/>
      </c>
      <c r="CE309" s="74" t="str">
        <f aca="false">IF($BH309&lt;&gt;Constants!$B$4,"",$AL309+$AM309+$AN309)</f>
        <v/>
      </c>
      <c r="CF309" s="74" t="str">
        <f aca="false">IF(ISBLANK($C309),"",IF($BH309&lt;&gt;Constants!$B$4,$BH309,RANK($CE309,$CE$9:$CE$508,1)))</f>
        <v/>
      </c>
      <c r="CG309" s="74" t="str">
        <f aca="false">IF(ISBLANK($C309),"",IF($BH309&lt;&gt;Constants!$B$4,$BH309,COUNTIFS($BI$9:$BI$508,"&lt;"&amp;$BI309)+COUNTIFS($BI$9:$BI$508,$BI309,$CB$9:$CB$508,"&lt;"&amp;$CB309)+COUNTIFS($BI$9:$BI$508,$BI309,$CB$9:$CB$508,$CB309,$CD$9:$CD$508,"&lt;"&amp;$CD309)+COUNTIFS($BI$9:$BI$508,$BI309,$CB$9:$CB$508,$CB309,$CD$9:$CD$508,$CD309,$CF$9:$CF$508,"&lt;"&amp;$CF309)+1))</f>
        <v/>
      </c>
      <c r="CH309" s="74" t="str">
        <f aca="false">IF(ISBLANK($C309),"",IF($BH309&lt;&gt;Constants!$B$4,$BH309,$CC309-$CG309))</f>
        <v/>
      </c>
      <c r="CI309" s="74" t="str">
        <f aca="false">IF(ISBLANK($C309),"",IF(NOT($AJ309),"",IF(ISBLANK($D$7),$CI$5,IF(NOT(ISNUMBER($D$7)),$CI$6,""))))</f>
        <v/>
      </c>
      <c r="CJ309" s="74" t="str">
        <f aca="false">IF(ISBLANK($C309),"",OR($AL309="",$AM309="",$AN309=""))</f>
        <v/>
      </c>
      <c r="CK309" s="74" t="str">
        <f aca="false">IF(ISBLANK($C309),"",AND($AJ309,$AX309=""))</f>
        <v/>
      </c>
      <c r="CL309" s="74" t="str">
        <f aca="false">IF(ISBLANK($C309),"",AND($AJ309,$AY309=""))</f>
        <v/>
      </c>
      <c r="CM309" s="74" t="str">
        <f aca="false">IF(ISBLANK($C309),"",AND($AJ309,$AZ309=""))</f>
        <v/>
      </c>
      <c r="CN309" s="74" t="str">
        <f aca="false">IF(ISBLANK($C309),"",AND($AJ309,$BC309=""))</f>
        <v/>
      </c>
      <c r="CO309" s="74" t="str">
        <f aca="false">IF(ISBLANK($C309),"",AND($AJ309,$BF309=""))</f>
        <v/>
      </c>
      <c r="CP309" s="75"/>
      <c r="CQ309" s="76"/>
      <c r="CR309" s="79" t="str">
        <f aca="false">IF(ISBLANK($C309),"",IF($BH309=Constants!$B$8,$CI309,""))</f>
        <v/>
      </c>
      <c r="CS309" s="76" t="str">
        <f aca="false">IF(ISBLANK($C309),"",IF($BH309&lt;&gt;Constants!$B$4,"",$BK309+$BL309))</f>
        <v/>
      </c>
      <c r="CT309" s="78" t="str">
        <f aca="false">IF(ISBLANK($C309),"",IF($BH309&lt;&gt;Constants!$B$4,"",$BM309+$BN309+$BO309))</f>
        <v/>
      </c>
      <c r="CU309" s="78" t="str">
        <f aca="false">IF(ISBLANK($C309),"",IF($BH309&lt;&gt;Constants!$B$4,"",$BP309))</f>
        <v/>
      </c>
      <c r="CV309" s="78" t="str">
        <f aca="false">IF(ISBLANK($C309),"",IF($BH309&lt;&gt;Constants!$B$4,"",$BQ309+$BR309))</f>
        <v/>
      </c>
      <c r="CW309" s="78" t="str">
        <f aca="false">IF(ISBLANK($C309),"",IF($BH309&lt;&gt;Constants!$B$4,"",$BS309))</f>
        <v/>
      </c>
      <c r="CX309" s="78" t="str">
        <f aca="false">IF(ISBLANK($C309),"",IF($BH309&lt;&gt;Constants!$B$4,"",-$BZ309))</f>
        <v/>
      </c>
      <c r="CY309" s="79" t="str">
        <f aca="false">IF(ISBLANK($C309),"",$CA309)</f>
        <v/>
      </c>
      <c r="CZ309" s="80" t="str">
        <f aca="false">IF(ISBLANK($C309),"",$BI309)</f>
        <v/>
      </c>
      <c r="DA309" s="78" t="str">
        <f aca="false">IF(ISBLANK($C309),"",$CH309)</f>
        <v/>
      </c>
      <c r="DB309" s="78" t="str">
        <f aca="false">IF(ISBLANK($C309),"",$CG309)</f>
        <v/>
      </c>
      <c r="DC309" s="81" t="str">
        <f aca="false">IF(ISBLANK($C309),"",IFERROR(_xlfn.SWITCH($DB309,Constants!$B$7,COUNTA($C$9:$C$508)+2,Constants!$B$6,COUNTA($C$9:$C$508)+1,Constants!$B$5,COUNTA($C$9:$C$508)),$DB309))</f>
        <v/>
      </c>
      <c r="DD309" s="7"/>
      <c r="DE309" s="82" t="n">
        <f aca="false">IF(OR(ISNUMBER($DB309),$DB309=Constants!$B$7,$DB309=Constants!$B$5,$DB309=Constants!$B$6),1,0)</f>
        <v>0</v>
      </c>
      <c r="DF309" s="82" t="n">
        <v>301</v>
      </c>
      <c r="DG309" s="82" t="str">
        <f aca="false">IF(ISBLANK($C309),"",IF(ISNUMBER($DC309),$DC309+ROW($B309)/1000,""))</f>
        <v/>
      </c>
      <c r="DH309" s="82" t="str">
        <f aca="false">IF(ISNUMBER($DG309),RANK($DG309,$DG$9:$DG$508,1),"")</f>
        <v/>
      </c>
      <c r="DI309" s="82" t="str">
        <f aca="false">IF(ISBLANK($C309),"",$B309)</f>
        <v/>
      </c>
      <c r="DJ309" s="82" t="str">
        <f aca="false">IF(ISBLANK($C309),"",$C309)</f>
        <v/>
      </c>
      <c r="DK309" s="82" t="str">
        <f aca="false">IF(ISBLANK($C309),"",$D309)</f>
        <v/>
      </c>
      <c r="DL309" s="83" t="str">
        <f aca="false">$CZ309</f>
        <v/>
      </c>
      <c r="DM309" s="84" t="str">
        <f aca="false">$CY309</f>
        <v/>
      </c>
      <c r="DN309" s="82" t="str">
        <f aca="false">IF(ISBLANK($C309),"",$DB309)</f>
        <v/>
      </c>
      <c r="DO309" s="85" t="str">
        <f aca="false">IF($DF309&gt;$DE$8,"",VLOOKUP($DF309,$DH$9:$DN$508,7,FALSE()))</f>
        <v/>
      </c>
      <c r="DP309" s="86" t="str">
        <f aca="false">IF($DF309&gt;$DE$8,"",VLOOKUP($DF309,$DH$9:$DN$508,2,FALSE()))</f>
        <v/>
      </c>
      <c r="DQ309" s="86" t="str">
        <f aca="false">IF($DF309&gt;$DE$8,"",VLOOKUP($DF309,$DH$9:$DN$508,3,FALSE()))</f>
        <v/>
      </c>
      <c r="DR309" s="86" t="str">
        <f aca="false">IF($DF309&gt;$DE$8,"",VLOOKUP($DF309,$DH$9:$DN$508,4,FALSE()))</f>
        <v/>
      </c>
      <c r="DS309" s="86" t="str">
        <f aca="false">IF($DF309&gt;$DE$8,"",VLOOKUP($DF309,$DH$9:$DN$508,5,FALSE()))</f>
        <v/>
      </c>
      <c r="DT309" s="87" t="str">
        <f aca="false">IF($DF309&gt;$DE$8,"",VLOOKUP($DF309,$DH$9:$DN$508,6,FALSE()))</f>
        <v/>
      </c>
      <c r="DU309" s="62"/>
    </row>
    <row r="310" customFormat="false" ht="15.75" hidden="false" customHeight="false" outlineLevel="0" collapsed="false">
      <c r="A310" s="7"/>
      <c r="B310" s="64"/>
      <c r="C310" s="65"/>
      <c r="D310" s="123"/>
      <c r="E310" s="88"/>
      <c r="F310" s="134"/>
      <c r="G310" s="88"/>
      <c r="H310" s="134"/>
      <c r="I310" s="119"/>
      <c r="J310" s="119"/>
      <c r="K310" s="119"/>
      <c r="L310" s="88"/>
      <c r="M310" s="88"/>
      <c r="N310" s="88"/>
      <c r="O310" s="134"/>
      <c r="P310" s="88"/>
      <c r="Q310" s="88"/>
      <c r="R310" s="88"/>
      <c r="S310" s="88"/>
      <c r="T310" s="134"/>
      <c r="U310" s="88"/>
      <c r="V310" s="70"/>
      <c r="W310" s="88"/>
      <c r="X310" s="88"/>
      <c r="Y310" s="70"/>
      <c r="Z310" s="70"/>
      <c r="AA310" s="88"/>
      <c r="AB310" s="88"/>
      <c r="AC310" s="71"/>
      <c r="AD310" s="88"/>
      <c r="AE310" s="73"/>
      <c r="AF310" s="74"/>
      <c r="AG310" s="74"/>
      <c r="AH310" s="74" t="str">
        <f aca="false">IF(ISBLANK($C310),"",IF($E310=Constants!$B$2,TRUE(),IF($E310=Constants!$B$3,FALSE(),TRUE())))</f>
        <v/>
      </c>
      <c r="AI310" s="74" t="str">
        <f aca="false">IF(ISBLANK($C310),"",IF($F310=Constants!$B$2,TRUE(),IF($F310=Constants!$B$3,FALSE(),FALSE())))</f>
        <v/>
      </c>
      <c r="AJ310" s="74" t="str">
        <f aca="false">IF(ISBLANK($C310),"",IF($G310=Constants!$B$2,TRUE(),IF($G310=Constants!$B$3,FALSE(),TRUE())))</f>
        <v/>
      </c>
      <c r="AK310" s="74" t="str">
        <f aca="false">IF(ISBLANK($C310),"",IF($H310=Constants!$B$2,TRUE(),IF($H310=Constants!$B$3,FALSE(),TRUE())))</f>
        <v/>
      </c>
      <c r="AL310" s="74" t="str">
        <f aca="false">IF(ISBLANK($C310),"",IF(ISNUMBER($I310),IF($I310&gt;=0,$I310,""),""))</f>
        <v/>
      </c>
      <c r="AM310" s="74" t="str">
        <f aca="false">IF(ISBLANK($C310),"",IF(ISNUMBER($J310),IF($J310&gt;=0,$J310,""),""))</f>
        <v/>
      </c>
      <c r="AN310" s="74" t="str">
        <f aca="false">IF(ISBLANK($C310),"",IF(ISNUMBER($K310),IF($K310&gt;=0,$K310,""),""))</f>
        <v/>
      </c>
      <c r="AO310" s="74" t="str">
        <f aca="false">IF(ISBLANK($C310),"",IF($L310=Constants!$B$2,TRUE(),IF($L310=Constants!$B$3,FALSE(),TRUE())))</f>
        <v/>
      </c>
      <c r="AP310" s="74" t="str">
        <f aca="false">IF(ISBLANK($C310),"",IF($M310=Constants!$B$2,TRUE(),IF($M310=Constants!$B$3,FALSE(),TRUE())))</f>
        <v/>
      </c>
      <c r="AQ310" s="74" t="str">
        <f aca="false">IF(ISBLANK($C310),"",IF($N310=Constants!$B$2,TRUE(),IF($N310=Constants!$B$3,FALSE(),FALSE())))</f>
        <v/>
      </c>
      <c r="AR310" s="74" t="str">
        <f aca="false">IF(ISBLANK($C310),"",IF($O310=Constants!$B$2,TRUE(),IF($O310=Constants!$B$3,FALSE(),TRUE())))</f>
        <v/>
      </c>
      <c r="AS310" s="74" t="str">
        <f aca="false">IF(ISBLANK($C310),"",IF($P310=Constants!$B$2,TRUE(),IF($P310=Constants!$B$3,FALSE(),FALSE())))</f>
        <v/>
      </c>
      <c r="AT310" s="74" t="str">
        <f aca="false">IF(ISBLANK($C310),"",IF($Q310=Constants!$B$2,TRUE(),IF($Q310=Constants!$B$3,FALSE(),FALSE())))</f>
        <v/>
      </c>
      <c r="AU310" s="74" t="str">
        <f aca="false">IF(ISBLANK($C310),"",IF($R310=Constants!$B$2,TRUE(),IF($R310=Constants!$B$3,FALSE(),FALSE())))</f>
        <v/>
      </c>
      <c r="AV310" s="74" t="str">
        <f aca="false">IF(ISBLANK($C310),"",IF($S310=Constants!$B$2,TRUE(),IF($S310=Constants!$B$3,FALSE(),FALSE())))</f>
        <v/>
      </c>
      <c r="AW310" s="74" t="str">
        <f aca="false">IF(ISBLANK($C310),"",IF($T310=Constants!$B$2,TRUE(),IF($T310=Constants!$B$3,FALSE(),FALSE())))</f>
        <v/>
      </c>
      <c r="AX310" s="74" t="str">
        <f aca="false">IF(ISBLANK($C310),"",IF(OR($U310&amp;""="1",$U310&amp;""="2",$U310&amp;""="3",$U310&amp;""="4"),VALUE($U310&amp;""),IF($U310=Constants!$B$12,Constants!$B$12,"")))</f>
        <v/>
      </c>
      <c r="AY310" s="74" t="str">
        <f aca="false">IF(ISBLANK($C310),"",IF(ISBLANK($V310),0,IF(ISNUMBER($V310),IF(AND($V310&gt;=0,$V310&lt;=Constants!$B$21,$V310=INT($V310)),$V310,""),"")))</f>
        <v/>
      </c>
      <c r="AZ310" s="74" t="str">
        <f aca="false">IF(ISBLANK($C310),"",IF(ISBLANK($W310),0,IF(ISNUMBER($W310),IF($W310&gt;=0,$W310,""),"")))</f>
        <v/>
      </c>
      <c r="BA310" s="74" t="str">
        <f aca="false">IF(ISBLANK($C310),"",IF($X310=Constants!$B$2,TRUE(),IF($X310=Constants!$B$3,FALSE(),TRUE())))</f>
        <v/>
      </c>
      <c r="BB310" s="74" t="str">
        <f aca="false">IF(ISBLANK($C310),"",IF($Y310=Constants!$B$2,TRUE(),IF($Y310=Constants!$B$3,FALSE(),FALSE())))</f>
        <v/>
      </c>
      <c r="BC310" s="74" t="str">
        <f aca="false">IF(ISBLANK($C310),"",IF(ISBLANK($Z310),0,IF(ISNUMBER($Z310),IF(AND($Z310&gt;=0,$Z310&lt;=Constants!$B$35,$Z310=INT($Z310)),$Z310,""),"")))</f>
        <v/>
      </c>
      <c r="BD310" s="74" t="str">
        <f aca="false">IF(ISBLANK($C310),"",IF($AA310=Constants!$B$2,TRUE(),IF($AA310=Constants!$B$3,FALSE(),TRUE())))</f>
        <v/>
      </c>
      <c r="BE310" s="74" t="str">
        <f aca="false">IF(ISBLANK($C310),"",IF($AB310=Constants!$B$2,TRUE(),IF($AB310=Constants!$B$3,FALSE(),TRUE())))</f>
        <v/>
      </c>
      <c r="BF310" s="74" t="str">
        <f aca="false">IF(ISBLANK($C310),"",IF(ISNUMBER($AC310),IF($AC310&gt;=0,$AC310,""),""))</f>
        <v/>
      </c>
      <c r="BG310" s="74" t="str">
        <f aca="false">IF(ISBLANK($C310),"",IF($AD310=Constants!$B$2,TRUE(),IF($AD310=Constants!$B$3,FALSE(),FALSE())))</f>
        <v/>
      </c>
      <c r="BH310" s="73" t="str">
        <f aca="false">IF(ISBLANK($C310),"",IF($BG310,Constants!$B$7,IF(COUNTA($E310:$AC310)=0,Constants!$B$6,IF(OR(COUNTA($G310:$AC310)=0,NOT($AK310),$AQ310),Constants!$B$5,IF(OR($CI310&lt;&gt;"",$CJ310,$CK310,$CL310,$CM310,$CN310,$CO310),Constants!$B$8,Constants!$B$4)))))</f>
        <v/>
      </c>
      <c r="BI310" s="74" t="str">
        <f aca="false">IF(ISBLANK($C310),"",IF($BH310&lt;&gt;Constants!$B$4,$BH310,IF(OR(NOT($AH310),NOT($AJ310),NOT($AR310)),Constants!$B$11,IF(OR(NOT($AP310),MAX($AL310,$AM310,$AN310)&gt;Constants!$B$30),Constants!$B$10,Constants!$B$9))))</f>
        <v/>
      </c>
      <c r="BJ310" s="74" t="str">
        <f aca="false">IF($BH310&lt;&gt;Constants!$B$4,"",IF(NOT($AJ310),0,MIN(Constants!$B$35,$BC310)))</f>
        <v/>
      </c>
      <c r="BK310" s="74" t="str">
        <f aca="false">IF($BH310&lt;&gt;Constants!$B$4,"",IF(NOT($AJ310),0,IF($AT310,Constants!$B$18,IF($AS310,Constants!$B$17,0))))</f>
        <v/>
      </c>
      <c r="BL310" s="74" t="str">
        <f aca="false">IF($BH310&lt;&gt;Constants!$B$4,"",IF(NOT($AJ310),0,Constants!$B$19*($AI310+$AU310+$AV310+$AW310)))</f>
        <v/>
      </c>
      <c r="BM310" s="74" t="str">
        <f aca="false">IF($BH310&lt;&gt;Constants!$B$4,"",IF(OR(NOT($AJ310),NOT(ISNUMBER($AX310))),0,CHOOSE($AX310,Constants!$B$13,Constants!$B$14,Constants!$B$15,Constants!$B$16)))</f>
        <v/>
      </c>
      <c r="BN310" s="74" t="str">
        <f aca="false">IF($BH310&lt;&gt;Constants!$B$4,"",IF(NOT($AJ310),0,Constants!$B$20*$AY310))</f>
        <v/>
      </c>
      <c r="BO310" s="74" t="str">
        <f aca="false">IF($BH310&lt;&gt;Constants!$B$4,"",IF(AND($AJ310,$BA310,$BB310),Constants!$B$22,0))</f>
        <v/>
      </c>
      <c r="BP310" s="74" t="str">
        <f aca="false">IF($BH310&lt;&gt;Constants!$B$4,"",IF(OR(NOT($AJ310),NOT($BA310)),0,IF($BF310&gt;=2*$AF$9,0,Constants!$B$23*INT(ROUND(MIN($BF310,$AF$9),6)))))</f>
        <v/>
      </c>
      <c r="BQ310" s="74" t="str">
        <f aca="false">IF($BH310&lt;&gt;Constants!$B$4,"",IF(NOT($AJ310),0,Constants!$B$24*INT(ROUND(MIN($AZ310,$AF$9),6))))</f>
        <v/>
      </c>
      <c r="BR310" s="74" t="str">
        <f aca="false">IF($BH310&lt;&gt;Constants!$B$4,"",IF(AND($AJ310,$BJ310=0),Constants!$B$25,0))</f>
        <v/>
      </c>
      <c r="BS310" s="74" t="str">
        <f aca="false">IF($BH310&lt;&gt;Constants!$B$4,"",MIN(Constants!$B$29,MAX(0,Constants!$B$27*Constants!$B$28*INT(ROUND((Constants!$B$26-$AL310)/Constants!$B$28,6))))+MIN(Constants!$B$29,MAX(0,Constants!$B$27*Constants!$B$28*INT(ROUND((Constants!$B$26-$AM310)/Constants!$B$28,6))))+MIN(Constants!$B$29,MAX(0,Constants!$B$27*Constants!$B$28*INT(ROUND((Constants!$B$26-$AN310)/Constants!$B$28,6)))))</f>
        <v/>
      </c>
      <c r="BT310" s="74" t="str">
        <f aca="false">IF($BH310&lt;&gt;Constants!$B$4,"",IF(NOT($AJ310),0,Constants!$B$31*INT(ROUND(MAX(0,MIN($BF310,2*$AF$9)-$AF$9),6))))</f>
        <v/>
      </c>
      <c r="BU310" s="74" t="str">
        <f aca="false">IF($BH310&lt;&gt;Constants!$B$4,"",Constants!$B$32*(($AL310&gt;Constants!$B$26)+($AM310&gt;Constants!$B$26)+($AN310&gt;Constants!$B$26)))</f>
        <v/>
      </c>
      <c r="BV310" s="74" t="str">
        <f aca="false">IF($BH310&lt;&gt;Constants!$B$4,"",IF(OR(NOT($AJ310),$AO310),0,Constants!$B$33))</f>
        <v/>
      </c>
      <c r="BW310" s="74" t="str">
        <f aca="false">IF($BH310&lt;&gt;Constants!$B$4,"",Constants!$B$34*$BJ310)</f>
        <v/>
      </c>
      <c r="BX310" s="74" t="str">
        <f aca="false">IF($BH310&lt;&gt;Constants!$B$4,"",IF(OR(NOT($AJ310),$BE310),0,Constants!$B$36))</f>
        <v/>
      </c>
      <c r="BY310" s="74" t="str">
        <f aca="false">IF($BH310&lt;&gt;Constants!$B$4,"",IF(OR(NOT($AJ310),$BD310),0,Constants!$B$37))</f>
        <v/>
      </c>
      <c r="BZ310" s="74" t="str">
        <f aca="false">IF($BH310&lt;&gt;Constants!$B$4,"",SUM($BT310:$BY310))</f>
        <v/>
      </c>
      <c r="CA310" s="74" t="str">
        <f aca="false">IF(ISBLANK($C310),"",IF($BH310&lt;&gt;Constants!$B$4,$BH310,SUM($BK310:$BS310)-$BZ310))</f>
        <v/>
      </c>
      <c r="CB310" s="74" t="str">
        <f aca="false">IF(ISBLANK($C310),"",IF($BH310&lt;&gt;Constants!$B$4,$BH310,RANK($CA310,$CA$9:$CA$508)))</f>
        <v/>
      </c>
      <c r="CC310" s="74" t="str">
        <f aca="false">IF(ISBLANK($C310),"",IF($BH310&lt;&gt;Constants!$B$4,$BH310,COUNTIFS($BI$9:$BI$508,"&lt;"&amp;$BI310)+COUNTIFS($BI$9:$BI$508,$BI310,$CB$9:$CB$508,"&lt;"&amp;$CB310)+1))</f>
        <v/>
      </c>
      <c r="CD310" s="74" t="str">
        <f aca="false">IF(ISBLANK($C310),"",IF($BH310&lt;&gt;Constants!$B$4,$BH310,RANK($BZ310,$BZ$9:$BZ$508,1)))</f>
        <v/>
      </c>
      <c r="CE310" s="74" t="str">
        <f aca="false">IF($BH310&lt;&gt;Constants!$B$4,"",$AL310+$AM310+$AN310)</f>
        <v/>
      </c>
      <c r="CF310" s="74" t="str">
        <f aca="false">IF(ISBLANK($C310),"",IF($BH310&lt;&gt;Constants!$B$4,$BH310,RANK($CE310,$CE$9:$CE$508,1)))</f>
        <v/>
      </c>
      <c r="CG310" s="74" t="str">
        <f aca="false">IF(ISBLANK($C310),"",IF($BH310&lt;&gt;Constants!$B$4,$BH310,COUNTIFS($BI$9:$BI$508,"&lt;"&amp;$BI310)+COUNTIFS($BI$9:$BI$508,$BI310,$CB$9:$CB$508,"&lt;"&amp;$CB310)+COUNTIFS($BI$9:$BI$508,$BI310,$CB$9:$CB$508,$CB310,$CD$9:$CD$508,"&lt;"&amp;$CD310)+COUNTIFS($BI$9:$BI$508,$BI310,$CB$9:$CB$508,$CB310,$CD$9:$CD$508,$CD310,$CF$9:$CF$508,"&lt;"&amp;$CF310)+1))</f>
        <v/>
      </c>
      <c r="CH310" s="74" t="str">
        <f aca="false">IF(ISBLANK($C310),"",IF($BH310&lt;&gt;Constants!$B$4,$BH310,$CC310-$CG310))</f>
        <v/>
      </c>
      <c r="CI310" s="74" t="str">
        <f aca="false">IF(ISBLANK($C310),"",IF(NOT($AJ310),"",IF(ISBLANK($D$7),$CI$5,IF(NOT(ISNUMBER($D$7)),$CI$6,""))))</f>
        <v/>
      </c>
      <c r="CJ310" s="74" t="str">
        <f aca="false">IF(ISBLANK($C310),"",OR($AL310="",$AM310="",$AN310=""))</f>
        <v/>
      </c>
      <c r="CK310" s="74" t="str">
        <f aca="false">IF(ISBLANK($C310),"",AND($AJ310,$AX310=""))</f>
        <v/>
      </c>
      <c r="CL310" s="74" t="str">
        <f aca="false">IF(ISBLANK($C310),"",AND($AJ310,$AY310=""))</f>
        <v/>
      </c>
      <c r="CM310" s="74" t="str">
        <f aca="false">IF(ISBLANK($C310),"",AND($AJ310,$AZ310=""))</f>
        <v/>
      </c>
      <c r="CN310" s="74" t="str">
        <f aca="false">IF(ISBLANK($C310),"",AND($AJ310,$BC310=""))</f>
        <v/>
      </c>
      <c r="CO310" s="74" t="str">
        <f aca="false">IF(ISBLANK($C310),"",AND($AJ310,$BF310=""))</f>
        <v/>
      </c>
      <c r="CP310" s="75"/>
      <c r="CQ310" s="76"/>
      <c r="CR310" s="79" t="str">
        <f aca="false">IF(ISBLANK($C310),"",IF($BH310=Constants!$B$8,$CI310,""))</f>
        <v/>
      </c>
      <c r="CS310" s="76" t="str">
        <f aca="false">IF(ISBLANK($C310),"",IF($BH310&lt;&gt;Constants!$B$4,"",$BK310+$BL310))</f>
        <v/>
      </c>
      <c r="CT310" s="78" t="str">
        <f aca="false">IF(ISBLANK($C310),"",IF($BH310&lt;&gt;Constants!$B$4,"",$BM310+$BN310+$BO310))</f>
        <v/>
      </c>
      <c r="CU310" s="78" t="str">
        <f aca="false">IF(ISBLANK($C310),"",IF($BH310&lt;&gt;Constants!$B$4,"",$BP310))</f>
        <v/>
      </c>
      <c r="CV310" s="78" t="str">
        <f aca="false">IF(ISBLANK($C310),"",IF($BH310&lt;&gt;Constants!$B$4,"",$BQ310+$BR310))</f>
        <v/>
      </c>
      <c r="CW310" s="78" t="str">
        <f aca="false">IF(ISBLANK($C310),"",IF($BH310&lt;&gt;Constants!$B$4,"",$BS310))</f>
        <v/>
      </c>
      <c r="CX310" s="78" t="str">
        <f aca="false">IF(ISBLANK($C310),"",IF($BH310&lt;&gt;Constants!$B$4,"",-$BZ310))</f>
        <v/>
      </c>
      <c r="CY310" s="79" t="str">
        <f aca="false">IF(ISBLANK($C310),"",$CA310)</f>
        <v/>
      </c>
      <c r="CZ310" s="80" t="str">
        <f aca="false">IF(ISBLANK($C310),"",$BI310)</f>
        <v/>
      </c>
      <c r="DA310" s="78" t="str">
        <f aca="false">IF(ISBLANK($C310),"",$CH310)</f>
        <v/>
      </c>
      <c r="DB310" s="78" t="str">
        <f aca="false">IF(ISBLANK($C310),"",$CG310)</f>
        <v/>
      </c>
      <c r="DC310" s="81" t="str">
        <f aca="false">IF(ISBLANK($C310),"",IFERROR(_xlfn.SWITCH($DB310,Constants!$B$7,COUNTA($C$9:$C$508)+2,Constants!$B$6,COUNTA($C$9:$C$508)+1,Constants!$B$5,COUNTA($C$9:$C$508)),$DB310))</f>
        <v/>
      </c>
      <c r="DD310" s="7"/>
      <c r="DE310" s="82" t="n">
        <f aca="false">IF(OR(ISNUMBER($DB310),$DB310=Constants!$B$7,$DB310=Constants!$B$5,$DB310=Constants!$B$6),1,0)</f>
        <v>0</v>
      </c>
      <c r="DF310" s="82" t="n">
        <v>302</v>
      </c>
      <c r="DG310" s="82" t="str">
        <f aca="false">IF(ISBLANK($C310),"",IF(ISNUMBER($DC310),$DC310+ROW($B310)/1000,""))</f>
        <v/>
      </c>
      <c r="DH310" s="82" t="str">
        <f aca="false">IF(ISNUMBER($DG310),RANK($DG310,$DG$9:$DG$508,1),"")</f>
        <v/>
      </c>
      <c r="DI310" s="82" t="str">
        <f aca="false">IF(ISBLANK($C310),"",$B310)</f>
        <v/>
      </c>
      <c r="DJ310" s="82" t="str">
        <f aca="false">IF(ISBLANK($C310),"",$C310)</f>
        <v/>
      </c>
      <c r="DK310" s="82" t="str">
        <f aca="false">IF(ISBLANK($C310),"",$D310)</f>
        <v/>
      </c>
      <c r="DL310" s="83" t="str">
        <f aca="false">$CZ310</f>
        <v/>
      </c>
      <c r="DM310" s="84" t="str">
        <f aca="false">$CY310</f>
        <v/>
      </c>
      <c r="DN310" s="82" t="str">
        <f aca="false">IF(ISBLANK($C310),"",$DB310)</f>
        <v/>
      </c>
      <c r="DO310" s="85" t="str">
        <f aca="false">IF($DF310&gt;$DE$8,"",VLOOKUP($DF310,$DH$9:$DN$508,7,FALSE()))</f>
        <v/>
      </c>
      <c r="DP310" s="86" t="str">
        <f aca="false">IF($DF310&gt;$DE$8,"",VLOOKUP($DF310,$DH$9:$DN$508,2,FALSE()))</f>
        <v/>
      </c>
      <c r="DQ310" s="86" t="str">
        <f aca="false">IF($DF310&gt;$DE$8,"",VLOOKUP($DF310,$DH$9:$DN$508,3,FALSE()))</f>
        <v/>
      </c>
      <c r="DR310" s="86" t="str">
        <f aca="false">IF($DF310&gt;$DE$8,"",VLOOKUP($DF310,$DH$9:$DN$508,4,FALSE()))</f>
        <v/>
      </c>
      <c r="DS310" s="86" t="str">
        <f aca="false">IF($DF310&gt;$DE$8,"",VLOOKUP($DF310,$DH$9:$DN$508,5,FALSE()))</f>
        <v/>
      </c>
      <c r="DT310" s="87" t="str">
        <f aca="false">IF($DF310&gt;$DE$8,"",VLOOKUP($DF310,$DH$9:$DN$508,6,FALSE()))</f>
        <v/>
      </c>
      <c r="DU310" s="62"/>
    </row>
    <row r="311" customFormat="false" ht="15.75" hidden="false" customHeight="false" outlineLevel="0" collapsed="false">
      <c r="A311" s="7"/>
      <c r="B311" s="64"/>
      <c r="C311" s="65"/>
      <c r="D311" s="123"/>
      <c r="E311" s="88"/>
      <c r="F311" s="134"/>
      <c r="G311" s="88"/>
      <c r="H311" s="134"/>
      <c r="I311" s="119"/>
      <c r="J311" s="119"/>
      <c r="K311" s="119"/>
      <c r="L311" s="88"/>
      <c r="M311" s="88"/>
      <c r="N311" s="88"/>
      <c r="O311" s="134"/>
      <c r="P311" s="88"/>
      <c r="Q311" s="88"/>
      <c r="R311" s="88"/>
      <c r="S311" s="88"/>
      <c r="T311" s="134"/>
      <c r="U311" s="88"/>
      <c r="V311" s="70"/>
      <c r="W311" s="88"/>
      <c r="X311" s="88"/>
      <c r="Y311" s="70"/>
      <c r="Z311" s="70"/>
      <c r="AA311" s="88"/>
      <c r="AB311" s="88"/>
      <c r="AC311" s="71"/>
      <c r="AD311" s="88"/>
      <c r="AE311" s="73"/>
      <c r="AF311" s="74"/>
      <c r="AG311" s="74"/>
      <c r="AH311" s="74" t="str">
        <f aca="false">IF(ISBLANK($C311),"",IF($E311=Constants!$B$2,TRUE(),IF($E311=Constants!$B$3,FALSE(),TRUE())))</f>
        <v/>
      </c>
      <c r="AI311" s="74" t="str">
        <f aca="false">IF(ISBLANK($C311),"",IF($F311=Constants!$B$2,TRUE(),IF($F311=Constants!$B$3,FALSE(),FALSE())))</f>
        <v/>
      </c>
      <c r="AJ311" s="74" t="str">
        <f aca="false">IF(ISBLANK($C311),"",IF($G311=Constants!$B$2,TRUE(),IF($G311=Constants!$B$3,FALSE(),TRUE())))</f>
        <v/>
      </c>
      <c r="AK311" s="74" t="str">
        <f aca="false">IF(ISBLANK($C311),"",IF($H311=Constants!$B$2,TRUE(),IF($H311=Constants!$B$3,FALSE(),TRUE())))</f>
        <v/>
      </c>
      <c r="AL311" s="74" t="str">
        <f aca="false">IF(ISBLANK($C311),"",IF(ISNUMBER($I311),IF($I311&gt;=0,$I311,""),""))</f>
        <v/>
      </c>
      <c r="AM311" s="74" t="str">
        <f aca="false">IF(ISBLANK($C311),"",IF(ISNUMBER($J311),IF($J311&gt;=0,$J311,""),""))</f>
        <v/>
      </c>
      <c r="AN311" s="74" t="str">
        <f aca="false">IF(ISBLANK($C311),"",IF(ISNUMBER($K311),IF($K311&gt;=0,$K311,""),""))</f>
        <v/>
      </c>
      <c r="AO311" s="74" t="str">
        <f aca="false">IF(ISBLANK($C311),"",IF($L311=Constants!$B$2,TRUE(),IF($L311=Constants!$B$3,FALSE(),TRUE())))</f>
        <v/>
      </c>
      <c r="AP311" s="74" t="str">
        <f aca="false">IF(ISBLANK($C311),"",IF($M311=Constants!$B$2,TRUE(),IF($M311=Constants!$B$3,FALSE(),TRUE())))</f>
        <v/>
      </c>
      <c r="AQ311" s="74" t="str">
        <f aca="false">IF(ISBLANK($C311),"",IF($N311=Constants!$B$2,TRUE(),IF($N311=Constants!$B$3,FALSE(),FALSE())))</f>
        <v/>
      </c>
      <c r="AR311" s="74" t="str">
        <f aca="false">IF(ISBLANK($C311),"",IF($O311=Constants!$B$2,TRUE(),IF($O311=Constants!$B$3,FALSE(),TRUE())))</f>
        <v/>
      </c>
      <c r="AS311" s="74" t="str">
        <f aca="false">IF(ISBLANK($C311),"",IF($P311=Constants!$B$2,TRUE(),IF($P311=Constants!$B$3,FALSE(),FALSE())))</f>
        <v/>
      </c>
      <c r="AT311" s="74" t="str">
        <f aca="false">IF(ISBLANK($C311),"",IF($Q311=Constants!$B$2,TRUE(),IF($Q311=Constants!$B$3,FALSE(),FALSE())))</f>
        <v/>
      </c>
      <c r="AU311" s="74" t="str">
        <f aca="false">IF(ISBLANK($C311),"",IF($R311=Constants!$B$2,TRUE(),IF($R311=Constants!$B$3,FALSE(),FALSE())))</f>
        <v/>
      </c>
      <c r="AV311" s="74" t="str">
        <f aca="false">IF(ISBLANK($C311),"",IF($S311=Constants!$B$2,TRUE(),IF($S311=Constants!$B$3,FALSE(),FALSE())))</f>
        <v/>
      </c>
      <c r="AW311" s="74" t="str">
        <f aca="false">IF(ISBLANK($C311),"",IF($T311=Constants!$B$2,TRUE(),IF($T311=Constants!$B$3,FALSE(),FALSE())))</f>
        <v/>
      </c>
      <c r="AX311" s="74" t="str">
        <f aca="false">IF(ISBLANK($C311),"",IF(OR($U311&amp;""="1",$U311&amp;""="2",$U311&amp;""="3",$U311&amp;""="4"),VALUE($U311&amp;""),IF($U311=Constants!$B$12,Constants!$B$12,"")))</f>
        <v/>
      </c>
      <c r="AY311" s="74" t="str">
        <f aca="false">IF(ISBLANK($C311),"",IF(ISBLANK($V311),0,IF(ISNUMBER($V311),IF(AND($V311&gt;=0,$V311&lt;=Constants!$B$21,$V311=INT($V311)),$V311,""),"")))</f>
        <v/>
      </c>
      <c r="AZ311" s="74" t="str">
        <f aca="false">IF(ISBLANK($C311),"",IF(ISBLANK($W311),0,IF(ISNUMBER($W311),IF($W311&gt;=0,$W311,""),"")))</f>
        <v/>
      </c>
      <c r="BA311" s="74" t="str">
        <f aca="false">IF(ISBLANK($C311),"",IF($X311=Constants!$B$2,TRUE(),IF($X311=Constants!$B$3,FALSE(),TRUE())))</f>
        <v/>
      </c>
      <c r="BB311" s="74" t="str">
        <f aca="false">IF(ISBLANK($C311),"",IF($Y311=Constants!$B$2,TRUE(),IF($Y311=Constants!$B$3,FALSE(),FALSE())))</f>
        <v/>
      </c>
      <c r="BC311" s="74" t="str">
        <f aca="false">IF(ISBLANK($C311),"",IF(ISBLANK($Z311),0,IF(ISNUMBER($Z311),IF(AND($Z311&gt;=0,$Z311&lt;=Constants!$B$35,$Z311=INT($Z311)),$Z311,""),"")))</f>
        <v/>
      </c>
      <c r="BD311" s="74" t="str">
        <f aca="false">IF(ISBLANK($C311),"",IF($AA311=Constants!$B$2,TRUE(),IF($AA311=Constants!$B$3,FALSE(),TRUE())))</f>
        <v/>
      </c>
      <c r="BE311" s="74" t="str">
        <f aca="false">IF(ISBLANK($C311),"",IF($AB311=Constants!$B$2,TRUE(),IF($AB311=Constants!$B$3,FALSE(),TRUE())))</f>
        <v/>
      </c>
      <c r="BF311" s="74" t="str">
        <f aca="false">IF(ISBLANK($C311),"",IF(ISNUMBER($AC311),IF($AC311&gt;=0,$AC311,""),""))</f>
        <v/>
      </c>
      <c r="BG311" s="74" t="str">
        <f aca="false">IF(ISBLANK($C311),"",IF($AD311=Constants!$B$2,TRUE(),IF($AD311=Constants!$B$3,FALSE(),FALSE())))</f>
        <v/>
      </c>
      <c r="BH311" s="73" t="str">
        <f aca="false">IF(ISBLANK($C311),"",IF($BG311,Constants!$B$7,IF(COUNTA($E311:$AC311)=0,Constants!$B$6,IF(OR(COUNTA($G311:$AC311)=0,NOT($AK311),$AQ311),Constants!$B$5,IF(OR($CI311&lt;&gt;"",$CJ311,$CK311,$CL311,$CM311,$CN311,$CO311),Constants!$B$8,Constants!$B$4)))))</f>
        <v/>
      </c>
      <c r="BI311" s="74" t="str">
        <f aca="false">IF(ISBLANK($C311),"",IF($BH311&lt;&gt;Constants!$B$4,$BH311,IF(OR(NOT($AH311),NOT($AJ311),NOT($AR311)),Constants!$B$11,IF(OR(NOT($AP311),MAX($AL311,$AM311,$AN311)&gt;Constants!$B$30),Constants!$B$10,Constants!$B$9))))</f>
        <v/>
      </c>
      <c r="BJ311" s="74" t="str">
        <f aca="false">IF($BH311&lt;&gt;Constants!$B$4,"",IF(NOT($AJ311),0,MIN(Constants!$B$35,$BC311)))</f>
        <v/>
      </c>
      <c r="BK311" s="74" t="str">
        <f aca="false">IF($BH311&lt;&gt;Constants!$B$4,"",IF(NOT($AJ311),0,IF($AT311,Constants!$B$18,IF($AS311,Constants!$B$17,0))))</f>
        <v/>
      </c>
      <c r="BL311" s="74" t="str">
        <f aca="false">IF($BH311&lt;&gt;Constants!$B$4,"",IF(NOT($AJ311),0,Constants!$B$19*($AI311+$AU311+$AV311+$AW311)))</f>
        <v/>
      </c>
      <c r="BM311" s="74" t="str">
        <f aca="false">IF($BH311&lt;&gt;Constants!$B$4,"",IF(OR(NOT($AJ311),NOT(ISNUMBER($AX311))),0,CHOOSE($AX311,Constants!$B$13,Constants!$B$14,Constants!$B$15,Constants!$B$16)))</f>
        <v/>
      </c>
      <c r="BN311" s="74" t="str">
        <f aca="false">IF($BH311&lt;&gt;Constants!$B$4,"",IF(NOT($AJ311),0,Constants!$B$20*$AY311))</f>
        <v/>
      </c>
      <c r="BO311" s="74" t="str">
        <f aca="false">IF($BH311&lt;&gt;Constants!$B$4,"",IF(AND($AJ311,$BA311,$BB311),Constants!$B$22,0))</f>
        <v/>
      </c>
      <c r="BP311" s="74" t="str">
        <f aca="false">IF($BH311&lt;&gt;Constants!$B$4,"",IF(OR(NOT($AJ311),NOT($BA311)),0,IF($BF311&gt;=2*$AF$9,0,Constants!$B$23*INT(ROUND(MIN($BF311,$AF$9),6)))))</f>
        <v/>
      </c>
      <c r="BQ311" s="74" t="str">
        <f aca="false">IF($BH311&lt;&gt;Constants!$B$4,"",IF(NOT($AJ311),0,Constants!$B$24*INT(ROUND(MIN($AZ311,$AF$9),6))))</f>
        <v/>
      </c>
      <c r="BR311" s="74" t="str">
        <f aca="false">IF($BH311&lt;&gt;Constants!$B$4,"",IF(AND($AJ311,$BJ311=0),Constants!$B$25,0))</f>
        <v/>
      </c>
      <c r="BS311" s="74" t="str">
        <f aca="false">IF($BH311&lt;&gt;Constants!$B$4,"",MIN(Constants!$B$29,MAX(0,Constants!$B$27*Constants!$B$28*INT(ROUND((Constants!$B$26-$AL311)/Constants!$B$28,6))))+MIN(Constants!$B$29,MAX(0,Constants!$B$27*Constants!$B$28*INT(ROUND((Constants!$B$26-$AM311)/Constants!$B$28,6))))+MIN(Constants!$B$29,MAX(0,Constants!$B$27*Constants!$B$28*INT(ROUND((Constants!$B$26-$AN311)/Constants!$B$28,6)))))</f>
        <v/>
      </c>
      <c r="BT311" s="74" t="str">
        <f aca="false">IF($BH311&lt;&gt;Constants!$B$4,"",IF(NOT($AJ311),0,Constants!$B$31*INT(ROUND(MAX(0,MIN($BF311,2*$AF$9)-$AF$9),6))))</f>
        <v/>
      </c>
      <c r="BU311" s="74" t="str">
        <f aca="false">IF($BH311&lt;&gt;Constants!$B$4,"",Constants!$B$32*(($AL311&gt;Constants!$B$26)+($AM311&gt;Constants!$B$26)+($AN311&gt;Constants!$B$26)))</f>
        <v/>
      </c>
      <c r="BV311" s="74" t="str">
        <f aca="false">IF($BH311&lt;&gt;Constants!$B$4,"",IF(OR(NOT($AJ311),$AO311),0,Constants!$B$33))</f>
        <v/>
      </c>
      <c r="BW311" s="74" t="str">
        <f aca="false">IF($BH311&lt;&gt;Constants!$B$4,"",Constants!$B$34*$BJ311)</f>
        <v/>
      </c>
      <c r="BX311" s="74" t="str">
        <f aca="false">IF($BH311&lt;&gt;Constants!$B$4,"",IF(OR(NOT($AJ311),$BE311),0,Constants!$B$36))</f>
        <v/>
      </c>
      <c r="BY311" s="74" t="str">
        <f aca="false">IF($BH311&lt;&gt;Constants!$B$4,"",IF(OR(NOT($AJ311),$BD311),0,Constants!$B$37))</f>
        <v/>
      </c>
      <c r="BZ311" s="74" t="str">
        <f aca="false">IF($BH311&lt;&gt;Constants!$B$4,"",SUM($BT311:$BY311))</f>
        <v/>
      </c>
      <c r="CA311" s="74" t="str">
        <f aca="false">IF(ISBLANK($C311),"",IF($BH311&lt;&gt;Constants!$B$4,$BH311,SUM($BK311:$BS311)-$BZ311))</f>
        <v/>
      </c>
      <c r="CB311" s="74" t="str">
        <f aca="false">IF(ISBLANK($C311),"",IF($BH311&lt;&gt;Constants!$B$4,$BH311,RANK($CA311,$CA$9:$CA$508)))</f>
        <v/>
      </c>
      <c r="CC311" s="74" t="str">
        <f aca="false">IF(ISBLANK($C311),"",IF($BH311&lt;&gt;Constants!$B$4,$BH311,COUNTIFS($BI$9:$BI$508,"&lt;"&amp;$BI311)+COUNTIFS($BI$9:$BI$508,$BI311,$CB$9:$CB$508,"&lt;"&amp;$CB311)+1))</f>
        <v/>
      </c>
      <c r="CD311" s="74" t="str">
        <f aca="false">IF(ISBLANK($C311),"",IF($BH311&lt;&gt;Constants!$B$4,$BH311,RANK($BZ311,$BZ$9:$BZ$508,1)))</f>
        <v/>
      </c>
      <c r="CE311" s="74" t="str">
        <f aca="false">IF($BH311&lt;&gt;Constants!$B$4,"",$AL311+$AM311+$AN311)</f>
        <v/>
      </c>
      <c r="CF311" s="74" t="str">
        <f aca="false">IF(ISBLANK($C311),"",IF($BH311&lt;&gt;Constants!$B$4,$BH311,RANK($CE311,$CE$9:$CE$508,1)))</f>
        <v/>
      </c>
      <c r="CG311" s="74" t="str">
        <f aca="false">IF(ISBLANK($C311),"",IF($BH311&lt;&gt;Constants!$B$4,$BH311,COUNTIFS($BI$9:$BI$508,"&lt;"&amp;$BI311)+COUNTIFS($BI$9:$BI$508,$BI311,$CB$9:$CB$508,"&lt;"&amp;$CB311)+COUNTIFS($BI$9:$BI$508,$BI311,$CB$9:$CB$508,$CB311,$CD$9:$CD$508,"&lt;"&amp;$CD311)+COUNTIFS($BI$9:$BI$508,$BI311,$CB$9:$CB$508,$CB311,$CD$9:$CD$508,$CD311,$CF$9:$CF$508,"&lt;"&amp;$CF311)+1))</f>
        <v/>
      </c>
      <c r="CH311" s="74" t="str">
        <f aca="false">IF(ISBLANK($C311),"",IF($BH311&lt;&gt;Constants!$B$4,$BH311,$CC311-$CG311))</f>
        <v/>
      </c>
      <c r="CI311" s="74" t="str">
        <f aca="false">IF(ISBLANK($C311),"",IF(NOT($AJ311),"",IF(ISBLANK($D$7),$CI$5,IF(NOT(ISNUMBER($D$7)),$CI$6,""))))</f>
        <v/>
      </c>
      <c r="CJ311" s="74" t="str">
        <f aca="false">IF(ISBLANK($C311),"",OR($AL311="",$AM311="",$AN311=""))</f>
        <v/>
      </c>
      <c r="CK311" s="74" t="str">
        <f aca="false">IF(ISBLANK($C311),"",AND($AJ311,$AX311=""))</f>
        <v/>
      </c>
      <c r="CL311" s="74" t="str">
        <f aca="false">IF(ISBLANK($C311),"",AND($AJ311,$AY311=""))</f>
        <v/>
      </c>
      <c r="CM311" s="74" t="str">
        <f aca="false">IF(ISBLANK($C311),"",AND($AJ311,$AZ311=""))</f>
        <v/>
      </c>
      <c r="CN311" s="74" t="str">
        <f aca="false">IF(ISBLANK($C311),"",AND($AJ311,$BC311=""))</f>
        <v/>
      </c>
      <c r="CO311" s="74" t="str">
        <f aca="false">IF(ISBLANK($C311),"",AND($AJ311,$BF311=""))</f>
        <v/>
      </c>
      <c r="CP311" s="75"/>
      <c r="CQ311" s="76"/>
      <c r="CR311" s="79" t="str">
        <f aca="false">IF(ISBLANK($C311),"",IF($BH311=Constants!$B$8,$CI311,""))</f>
        <v/>
      </c>
      <c r="CS311" s="76" t="str">
        <f aca="false">IF(ISBLANK($C311),"",IF($BH311&lt;&gt;Constants!$B$4,"",$BK311+$BL311))</f>
        <v/>
      </c>
      <c r="CT311" s="78" t="str">
        <f aca="false">IF(ISBLANK($C311),"",IF($BH311&lt;&gt;Constants!$B$4,"",$BM311+$BN311+$BO311))</f>
        <v/>
      </c>
      <c r="CU311" s="78" t="str">
        <f aca="false">IF(ISBLANK($C311),"",IF($BH311&lt;&gt;Constants!$B$4,"",$BP311))</f>
        <v/>
      </c>
      <c r="CV311" s="78" t="str">
        <f aca="false">IF(ISBLANK($C311),"",IF($BH311&lt;&gt;Constants!$B$4,"",$BQ311+$BR311))</f>
        <v/>
      </c>
      <c r="CW311" s="78" t="str">
        <f aca="false">IF(ISBLANK($C311),"",IF($BH311&lt;&gt;Constants!$B$4,"",$BS311))</f>
        <v/>
      </c>
      <c r="CX311" s="78" t="str">
        <f aca="false">IF(ISBLANK($C311),"",IF($BH311&lt;&gt;Constants!$B$4,"",-$BZ311))</f>
        <v/>
      </c>
      <c r="CY311" s="79" t="str">
        <f aca="false">IF(ISBLANK($C311),"",$CA311)</f>
        <v/>
      </c>
      <c r="CZ311" s="80" t="str">
        <f aca="false">IF(ISBLANK($C311),"",$BI311)</f>
        <v/>
      </c>
      <c r="DA311" s="78" t="str">
        <f aca="false">IF(ISBLANK($C311),"",$CH311)</f>
        <v/>
      </c>
      <c r="DB311" s="78" t="str">
        <f aca="false">IF(ISBLANK($C311),"",$CG311)</f>
        <v/>
      </c>
      <c r="DC311" s="81" t="str">
        <f aca="false">IF(ISBLANK($C311),"",IFERROR(_xlfn.SWITCH($DB311,Constants!$B$7,COUNTA($C$9:$C$508)+2,Constants!$B$6,COUNTA($C$9:$C$508)+1,Constants!$B$5,COUNTA($C$9:$C$508)),$DB311))</f>
        <v/>
      </c>
      <c r="DD311" s="7"/>
      <c r="DE311" s="82" t="n">
        <f aca="false">IF(OR(ISNUMBER($DB311),$DB311=Constants!$B$7,$DB311=Constants!$B$5,$DB311=Constants!$B$6),1,0)</f>
        <v>0</v>
      </c>
      <c r="DF311" s="82" t="n">
        <v>303</v>
      </c>
      <c r="DG311" s="82" t="str">
        <f aca="false">IF(ISBLANK($C311),"",IF(ISNUMBER($DC311),$DC311+ROW($B311)/1000,""))</f>
        <v/>
      </c>
      <c r="DH311" s="82" t="str">
        <f aca="false">IF(ISNUMBER($DG311),RANK($DG311,$DG$9:$DG$508,1),"")</f>
        <v/>
      </c>
      <c r="DI311" s="82" t="str">
        <f aca="false">IF(ISBLANK($C311),"",$B311)</f>
        <v/>
      </c>
      <c r="DJ311" s="82" t="str">
        <f aca="false">IF(ISBLANK($C311),"",$C311)</f>
        <v/>
      </c>
      <c r="DK311" s="82" t="str">
        <f aca="false">IF(ISBLANK($C311),"",$D311)</f>
        <v/>
      </c>
      <c r="DL311" s="83" t="str">
        <f aca="false">$CZ311</f>
        <v/>
      </c>
      <c r="DM311" s="84" t="str">
        <f aca="false">$CY311</f>
        <v/>
      </c>
      <c r="DN311" s="82" t="str">
        <f aca="false">IF(ISBLANK($C311),"",$DB311)</f>
        <v/>
      </c>
      <c r="DO311" s="85" t="str">
        <f aca="false">IF($DF311&gt;$DE$8,"",VLOOKUP($DF311,$DH$9:$DN$508,7,FALSE()))</f>
        <v/>
      </c>
      <c r="DP311" s="86" t="str">
        <f aca="false">IF($DF311&gt;$DE$8,"",VLOOKUP($DF311,$DH$9:$DN$508,2,FALSE()))</f>
        <v/>
      </c>
      <c r="DQ311" s="86" t="str">
        <f aca="false">IF($DF311&gt;$DE$8,"",VLOOKUP($DF311,$DH$9:$DN$508,3,FALSE()))</f>
        <v/>
      </c>
      <c r="DR311" s="86" t="str">
        <f aca="false">IF($DF311&gt;$DE$8,"",VLOOKUP($DF311,$DH$9:$DN$508,4,FALSE()))</f>
        <v/>
      </c>
      <c r="DS311" s="86" t="str">
        <f aca="false">IF($DF311&gt;$DE$8,"",VLOOKUP($DF311,$DH$9:$DN$508,5,FALSE()))</f>
        <v/>
      </c>
      <c r="DT311" s="87" t="str">
        <f aca="false">IF($DF311&gt;$DE$8,"",VLOOKUP($DF311,$DH$9:$DN$508,6,FALSE()))</f>
        <v/>
      </c>
      <c r="DU311" s="62"/>
    </row>
    <row r="312" customFormat="false" ht="15.75" hidden="false" customHeight="false" outlineLevel="0" collapsed="false">
      <c r="A312" s="7"/>
      <c r="B312" s="90"/>
      <c r="C312" s="91"/>
      <c r="D312" s="126"/>
      <c r="E312" s="130"/>
      <c r="F312" s="135"/>
      <c r="G312" s="130"/>
      <c r="H312" s="135"/>
      <c r="I312" s="131"/>
      <c r="J312" s="131"/>
      <c r="K312" s="131"/>
      <c r="L312" s="130"/>
      <c r="M312" s="130"/>
      <c r="N312" s="130"/>
      <c r="O312" s="135"/>
      <c r="P312" s="130"/>
      <c r="Q312" s="130"/>
      <c r="R312" s="130"/>
      <c r="S312" s="130"/>
      <c r="T312" s="135"/>
      <c r="U312" s="130"/>
      <c r="V312" s="96"/>
      <c r="W312" s="130"/>
      <c r="X312" s="130"/>
      <c r="Y312" s="96"/>
      <c r="Z312" s="96"/>
      <c r="AA312" s="130"/>
      <c r="AB312" s="130"/>
      <c r="AC312" s="97"/>
      <c r="AD312" s="130"/>
      <c r="AE312" s="99"/>
      <c r="AF312" s="100"/>
      <c r="AG312" s="100"/>
      <c r="AH312" s="100" t="str">
        <f aca="false">IF(ISBLANK($C312),"",IF($E312=Constants!$B$2,TRUE(),IF($E312=Constants!$B$3,FALSE(),TRUE())))</f>
        <v/>
      </c>
      <c r="AI312" s="100" t="str">
        <f aca="false">IF(ISBLANK($C312),"",IF($F312=Constants!$B$2,TRUE(),IF($F312=Constants!$B$3,FALSE(),FALSE())))</f>
        <v/>
      </c>
      <c r="AJ312" s="100" t="str">
        <f aca="false">IF(ISBLANK($C312),"",IF($G312=Constants!$B$2,TRUE(),IF($G312=Constants!$B$3,FALSE(),TRUE())))</f>
        <v/>
      </c>
      <c r="AK312" s="100" t="str">
        <f aca="false">IF(ISBLANK($C312),"",IF($H312=Constants!$B$2,TRUE(),IF($H312=Constants!$B$3,FALSE(),TRUE())))</f>
        <v/>
      </c>
      <c r="AL312" s="100" t="str">
        <f aca="false">IF(ISBLANK($C312),"",IF(ISNUMBER($I312),IF($I312&gt;=0,$I312,""),""))</f>
        <v/>
      </c>
      <c r="AM312" s="100" t="str">
        <f aca="false">IF(ISBLANK($C312),"",IF(ISNUMBER($J312),IF($J312&gt;=0,$J312,""),""))</f>
        <v/>
      </c>
      <c r="AN312" s="100" t="str">
        <f aca="false">IF(ISBLANK($C312),"",IF(ISNUMBER($K312),IF($K312&gt;=0,$K312,""),""))</f>
        <v/>
      </c>
      <c r="AO312" s="100" t="str">
        <f aca="false">IF(ISBLANK($C312),"",IF($L312=Constants!$B$2,TRUE(),IF($L312=Constants!$B$3,FALSE(),TRUE())))</f>
        <v/>
      </c>
      <c r="AP312" s="100" t="str">
        <f aca="false">IF(ISBLANK($C312),"",IF($M312=Constants!$B$2,TRUE(),IF($M312=Constants!$B$3,FALSE(),TRUE())))</f>
        <v/>
      </c>
      <c r="AQ312" s="100" t="str">
        <f aca="false">IF(ISBLANK($C312),"",IF($N312=Constants!$B$2,TRUE(),IF($N312=Constants!$B$3,FALSE(),FALSE())))</f>
        <v/>
      </c>
      <c r="AR312" s="100" t="str">
        <f aca="false">IF(ISBLANK($C312),"",IF($O312=Constants!$B$2,TRUE(),IF($O312=Constants!$B$3,FALSE(),TRUE())))</f>
        <v/>
      </c>
      <c r="AS312" s="100" t="str">
        <f aca="false">IF(ISBLANK($C312),"",IF($P312=Constants!$B$2,TRUE(),IF($P312=Constants!$B$3,FALSE(),FALSE())))</f>
        <v/>
      </c>
      <c r="AT312" s="100" t="str">
        <f aca="false">IF(ISBLANK($C312),"",IF($Q312=Constants!$B$2,TRUE(),IF($Q312=Constants!$B$3,FALSE(),FALSE())))</f>
        <v/>
      </c>
      <c r="AU312" s="100" t="str">
        <f aca="false">IF(ISBLANK($C312),"",IF($R312=Constants!$B$2,TRUE(),IF($R312=Constants!$B$3,FALSE(),FALSE())))</f>
        <v/>
      </c>
      <c r="AV312" s="100" t="str">
        <f aca="false">IF(ISBLANK($C312),"",IF($S312=Constants!$B$2,TRUE(),IF($S312=Constants!$B$3,FALSE(),FALSE())))</f>
        <v/>
      </c>
      <c r="AW312" s="100" t="str">
        <f aca="false">IF(ISBLANK($C312),"",IF($T312=Constants!$B$2,TRUE(),IF($T312=Constants!$B$3,FALSE(),FALSE())))</f>
        <v/>
      </c>
      <c r="AX312" s="100" t="str">
        <f aca="false">IF(ISBLANK($C312),"",IF(OR($U312&amp;""="1",$U312&amp;""="2",$U312&amp;""="3",$U312&amp;""="4"),VALUE($U312&amp;""),IF($U312=Constants!$B$12,Constants!$B$12,"")))</f>
        <v/>
      </c>
      <c r="AY312" s="100" t="str">
        <f aca="false">IF(ISBLANK($C312),"",IF(ISBLANK($V312),0,IF(ISNUMBER($V312),IF(AND($V312&gt;=0,$V312&lt;=Constants!$B$21,$V312=INT($V312)),$V312,""),"")))</f>
        <v/>
      </c>
      <c r="AZ312" s="100" t="str">
        <f aca="false">IF(ISBLANK($C312),"",IF(ISBLANK($W312),0,IF(ISNUMBER($W312),IF($W312&gt;=0,$W312,""),"")))</f>
        <v/>
      </c>
      <c r="BA312" s="100" t="str">
        <f aca="false">IF(ISBLANK($C312),"",IF($X312=Constants!$B$2,TRUE(),IF($X312=Constants!$B$3,FALSE(),TRUE())))</f>
        <v/>
      </c>
      <c r="BB312" s="100" t="str">
        <f aca="false">IF(ISBLANK($C312),"",IF($Y312=Constants!$B$2,TRUE(),IF($Y312=Constants!$B$3,FALSE(),FALSE())))</f>
        <v/>
      </c>
      <c r="BC312" s="100" t="str">
        <f aca="false">IF(ISBLANK($C312),"",IF(ISBLANK($Z312),0,IF(ISNUMBER($Z312),IF(AND($Z312&gt;=0,$Z312&lt;=Constants!$B$35,$Z312=INT($Z312)),$Z312,""),"")))</f>
        <v/>
      </c>
      <c r="BD312" s="100" t="str">
        <f aca="false">IF(ISBLANK($C312),"",IF($AA312=Constants!$B$2,TRUE(),IF($AA312=Constants!$B$3,FALSE(),TRUE())))</f>
        <v/>
      </c>
      <c r="BE312" s="100" t="str">
        <f aca="false">IF(ISBLANK($C312),"",IF($AB312=Constants!$B$2,TRUE(),IF($AB312=Constants!$B$3,FALSE(),TRUE())))</f>
        <v/>
      </c>
      <c r="BF312" s="100" t="str">
        <f aca="false">IF(ISBLANK($C312),"",IF(ISNUMBER($AC312),IF($AC312&gt;=0,$AC312,""),""))</f>
        <v/>
      </c>
      <c r="BG312" s="100" t="str">
        <f aca="false">IF(ISBLANK($C312),"",IF($AD312=Constants!$B$2,TRUE(),IF($AD312=Constants!$B$3,FALSE(),FALSE())))</f>
        <v/>
      </c>
      <c r="BH312" s="99" t="str">
        <f aca="false">IF(ISBLANK($C312),"",IF($BG312,Constants!$B$7,IF(COUNTA($E312:$AC312)=0,Constants!$B$6,IF(OR(COUNTA($G312:$AC312)=0,NOT($AK312),$AQ312),Constants!$B$5,IF(OR($CI312&lt;&gt;"",$CJ312,$CK312,$CL312,$CM312,$CN312,$CO312),Constants!$B$8,Constants!$B$4)))))</f>
        <v/>
      </c>
      <c r="BI312" s="100" t="str">
        <f aca="false">IF(ISBLANK($C312),"",IF($BH312&lt;&gt;Constants!$B$4,$BH312,IF(OR(NOT($AH312),NOT($AJ312),NOT($AR312)),Constants!$B$11,IF(OR(NOT($AP312),MAX($AL312,$AM312,$AN312)&gt;Constants!$B$30),Constants!$B$10,Constants!$B$9))))</f>
        <v/>
      </c>
      <c r="BJ312" s="100" t="str">
        <f aca="false">IF($BH312&lt;&gt;Constants!$B$4,"",IF(NOT($AJ312),0,MIN(Constants!$B$35,$BC312)))</f>
        <v/>
      </c>
      <c r="BK312" s="100" t="str">
        <f aca="false">IF($BH312&lt;&gt;Constants!$B$4,"",IF(NOT($AJ312),0,IF($AT312,Constants!$B$18,IF($AS312,Constants!$B$17,0))))</f>
        <v/>
      </c>
      <c r="BL312" s="100" t="str">
        <f aca="false">IF($BH312&lt;&gt;Constants!$B$4,"",IF(NOT($AJ312),0,Constants!$B$19*($AI312+$AU312+$AV312+$AW312)))</f>
        <v/>
      </c>
      <c r="BM312" s="100" t="str">
        <f aca="false">IF($BH312&lt;&gt;Constants!$B$4,"",IF(OR(NOT($AJ312),NOT(ISNUMBER($AX312))),0,CHOOSE($AX312,Constants!$B$13,Constants!$B$14,Constants!$B$15,Constants!$B$16)))</f>
        <v/>
      </c>
      <c r="BN312" s="100" t="str">
        <f aca="false">IF($BH312&lt;&gt;Constants!$B$4,"",IF(NOT($AJ312),0,Constants!$B$20*$AY312))</f>
        <v/>
      </c>
      <c r="BO312" s="100" t="str">
        <f aca="false">IF($BH312&lt;&gt;Constants!$B$4,"",IF(AND($AJ312,$BA312,$BB312),Constants!$B$22,0))</f>
        <v/>
      </c>
      <c r="BP312" s="100" t="str">
        <f aca="false">IF($BH312&lt;&gt;Constants!$B$4,"",IF(OR(NOT($AJ312),NOT($BA312)),0,IF($BF312&gt;=2*$AF$9,0,Constants!$B$23*INT(ROUND(MIN($BF312,$AF$9),6)))))</f>
        <v/>
      </c>
      <c r="BQ312" s="100" t="str">
        <f aca="false">IF($BH312&lt;&gt;Constants!$B$4,"",IF(NOT($AJ312),0,Constants!$B$24*INT(ROUND(MIN($AZ312,$AF$9),6))))</f>
        <v/>
      </c>
      <c r="BR312" s="100" t="str">
        <f aca="false">IF($BH312&lt;&gt;Constants!$B$4,"",IF(AND($AJ312,$BJ312=0),Constants!$B$25,0))</f>
        <v/>
      </c>
      <c r="BS312" s="100" t="str">
        <f aca="false">IF($BH312&lt;&gt;Constants!$B$4,"",MIN(Constants!$B$29,MAX(0,Constants!$B$27*Constants!$B$28*INT(ROUND((Constants!$B$26-$AL312)/Constants!$B$28,6))))+MIN(Constants!$B$29,MAX(0,Constants!$B$27*Constants!$B$28*INT(ROUND((Constants!$B$26-$AM312)/Constants!$B$28,6))))+MIN(Constants!$B$29,MAX(0,Constants!$B$27*Constants!$B$28*INT(ROUND((Constants!$B$26-$AN312)/Constants!$B$28,6)))))</f>
        <v/>
      </c>
      <c r="BT312" s="100" t="str">
        <f aca="false">IF($BH312&lt;&gt;Constants!$B$4,"",IF(NOT($AJ312),0,Constants!$B$31*INT(ROUND(MAX(0,MIN($BF312,2*$AF$9)-$AF$9),6))))</f>
        <v/>
      </c>
      <c r="BU312" s="100" t="str">
        <f aca="false">IF($BH312&lt;&gt;Constants!$B$4,"",Constants!$B$32*(($AL312&gt;Constants!$B$26)+($AM312&gt;Constants!$B$26)+($AN312&gt;Constants!$B$26)))</f>
        <v/>
      </c>
      <c r="BV312" s="100" t="str">
        <f aca="false">IF($BH312&lt;&gt;Constants!$B$4,"",IF(OR(NOT($AJ312),$AO312),0,Constants!$B$33))</f>
        <v/>
      </c>
      <c r="BW312" s="100" t="str">
        <f aca="false">IF($BH312&lt;&gt;Constants!$B$4,"",Constants!$B$34*$BJ312)</f>
        <v/>
      </c>
      <c r="BX312" s="100" t="str">
        <f aca="false">IF($BH312&lt;&gt;Constants!$B$4,"",IF(OR(NOT($AJ312),$BE312),0,Constants!$B$36))</f>
        <v/>
      </c>
      <c r="BY312" s="100" t="str">
        <f aca="false">IF($BH312&lt;&gt;Constants!$B$4,"",IF(OR(NOT($AJ312),$BD312),0,Constants!$B$37))</f>
        <v/>
      </c>
      <c r="BZ312" s="100" t="str">
        <f aca="false">IF($BH312&lt;&gt;Constants!$B$4,"",SUM($BT312:$BY312))</f>
        <v/>
      </c>
      <c r="CA312" s="100" t="str">
        <f aca="false">IF(ISBLANK($C312),"",IF($BH312&lt;&gt;Constants!$B$4,$BH312,SUM($BK312:$BS312)-$BZ312))</f>
        <v/>
      </c>
      <c r="CB312" s="100" t="str">
        <f aca="false">IF(ISBLANK($C312),"",IF($BH312&lt;&gt;Constants!$B$4,$BH312,RANK($CA312,$CA$9:$CA$508)))</f>
        <v/>
      </c>
      <c r="CC312" s="100" t="str">
        <f aca="false">IF(ISBLANK($C312),"",IF($BH312&lt;&gt;Constants!$B$4,$BH312,COUNTIFS($BI$9:$BI$508,"&lt;"&amp;$BI312)+COUNTIFS($BI$9:$BI$508,$BI312,$CB$9:$CB$508,"&lt;"&amp;$CB312)+1))</f>
        <v/>
      </c>
      <c r="CD312" s="100" t="str">
        <f aca="false">IF(ISBLANK($C312),"",IF($BH312&lt;&gt;Constants!$B$4,$BH312,RANK($BZ312,$BZ$9:$BZ$508,1)))</f>
        <v/>
      </c>
      <c r="CE312" s="100" t="str">
        <f aca="false">IF($BH312&lt;&gt;Constants!$B$4,"",$AL312+$AM312+$AN312)</f>
        <v/>
      </c>
      <c r="CF312" s="100" t="str">
        <f aca="false">IF(ISBLANK($C312),"",IF($BH312&lt;&gt;Constants!$B$4,$BH312,RANK($CE312,$CE$9:$CE$508,1)))</f>
        <v/>
      </c>
      <c r="CG312" s="100" t="str">
        <f aca="false">IF(ISBLANK($C312),"",IF($BH312&lt;&gt;Constants!$B$4,$BH312,COUNTIFS($BI$9:$BI$508,"&lt;"&amp;$BI312)+COUNTIFS($BI$9:$BI$508,$BI312,$CB$9:$CB$508,"&lt;"&amp;$CB312)+COUNTIFS($BI$9:$BI$508,$BI312,$CB$9:$CB$508,$CB312,$CD$9:$CD$508,"&lt;"&amp;$CD312)+COUNTIFS($BI$9:$BI$508,$BI312,$CB$9:$CB$508,$CB312,$CD$9:$CD$508,$CD312,$CF$9:$CF$508,"&lt;"&amp;$CF312)+1))</f>
        <v/>
      </c>
      <c r="CH312" s="100" t="str">
        <f aca="false">IF(ISBLANK($C312),"",IF($BH312&lt;&gt;Constants!$B$4,$BH312,$CC312-$CG312))</f>
        <v/>
      </c>
      <c r="CI312" s="100" t="str">
        <f aca="false">IF(ISBLANK($C312),"",IF(NOT($AJ312),"",IF(ISBLANK($D$7),$CI$5,IF(NOT(ISNUMBER($D$7)),$CI$6,""))))</f>
        <v/>
      </c>
      <c r="CJ312" s="100" t="str">
        <f aca="false">IF(ISBLANK($C312),"",OR($AL312="",$AM312="",$AN312=""))</f>
        <v/>
      </c>
      <c r="CK312" s="100" t="str">
        <f aca="false">IF(ISBLANK($C312),"",AND($AJ312,$AX312=""))</f>
        <v/>
      </c>
      <c r="CL312" s="100" t="str">
        <f aca="false">IF(ISBLANK($C312),"",AND($AJ312,$AY312=""))</f>
        <v/>
      </c>
      <c r="CM312" s="100" t="str">
        <f aca="false">IF(ISBLANK($C312),"",AND($AJ312,$AZ312=""))</f>
        <v/>
      </c>
      <c r="CN312" s="100" t="str">
        <f aca="false">IF(ISBLANK($C312),"",AND($AJ312,$BC312=""))</f>
        <v/>
      </c>
      <c r="CO312" s="100" t="str">
        <f aca="false">IF(ISBLANK($C312),"",AND($AJ312,$BF312=""))</f>
        <v/>
      </c>
      <c r="CP312" s="101"/>
      <c r="CQ312" s="102"/>
      <c r="CR312" s="103" t="str">
        <f aca="false">IF(ISBLANK($C312),"",IF($BH312=Constants!$B$8,$CI312,""))</f>
        <v/>
      </c>
      <c r="CS312" s="102" t="str">
        <f aca="false">IF(ISBLANK($C312),"",IF($BH312&lt;&gt;Constants!$B$4,"",$BK312+$BL312))</f>
        <v/>
      </c>
      <c r="CT312" s="104" t="str">
        <f aca="false">IF(ISBLANK($C312),"",IF($BH312&lt;&gt;Constants!$B$4,"",$BM312+$BN312+$BO312))</f>
        <v/>
      </c>
      <c r="CU312" s="104" t="str">
        <f aca="false">IF(ISBLANK($C312),"",IF($BH312&lt;&gt;Constants!$B$4,"",$BP312))</f>
        <v/>
      </c>
      <c r="CV312" s="104" t="str">
        <f aca="false">IF(ISBLANK($C312),"",IF($BH312&lt;&gt;Constants!$B$4,"",$BQ312+$BR312))</f>
        <v/>
      </c>
      <c r="CW312" s="104" t="str">
        <f aca="false">IF(ISBLANK($C312),"",IF($BH312&lt;&gt;Constants!$B$4,"",$BS312))</f>
        <v/>
      </c>
      <c r="CX312" s="104" t="str">
        <f aca="false">IF(ISBLANK($C312),"",IF($BH312&lt;&gt;Constants!$B$4,"",-$BZ312))</f>
        <v/>
      </c>
      <c r="CY312" s="103" t="str">
        <f aca="false">IF(ISBLANK($C312),"",$CA312)</f>
        <v/>
      </c>
      <c r="CZ312" s="105" t="str">
        <f aca="false">IF(ISBLANK($C312),"",$BI312)</f>
        <v/>
      </c>
      <c r="DA312" s="104" t="str">
        <f aca="false">IF(ISBLANK($C312),"",$CH312)</f>
        <v/>
      </c>
      <c r="DB312" s="104" t="str">
        <f aca="false">IF(ISBLANK($C312),"",$CG312)</f>
        <v/>
      </c>
      <c r="DC312" s="106" t="str">
        <f aca="false">IF(ISBLANK($C312),"",IFERROR(_xlfn.SWITCH($DB312,Constants!$B$7,COUNTA($C$9:$C$508)+2,Constants!$B$6,COUNTA($C$9:$C$508)+1,Constants!$B$5,COUNTA($C$9:$C$508)),$DB312))</f>
        <v/>
      </c>
      <c r="DD312" s="7"/>
      <c r="DE312" s="107" t="n">
        <f aca="false">IF(OR(ISNUMBER($DB312),$DB312=Constants!$B$7,$DB312=Constants!$B$5,$DB312=Constants!$B$6),1,0)</f>
        <v>0</v>
      </c>
      <c r="DF312" s="107" t="n">
        <v>304</v>
      </c>
      <c r="DG312" s="107" t="str">
        <f aca="false">IF(ISBLANK($C312),"",IF(ISNUMBER($DC312),$DC312+ROW($B312)/1000,""))</f>
        <v/>
      </c>
      <c r="DH312" s="107" t="str">
        <f aca="false">IF(ISNUMBER($DG312),RANK($DG312,$DG$9:$DG$508,1),"")</f>
        <v/>
      </c>
      <c r="DI312" s="107" t="str">
        <f aca="false">IF(ISBLANK($C312),"",$B312)</f>
        <v/>
      </c>
      <c r="DJ312" s="107" t="str">
        <f aca="false">IF(ISBLANK($C312),"",$C312)</f>
        <v/>
      </c>
      <c r="DK312" s="107" t="str">
        <f aca="false">IF(ISBLANK($C312),"",$D312)</f>
        <v/>
      </c>
      <c r="DL312" s="108" t="str">
        <f aca="false">$CZ312</f>
        <v/>
      </c>
      <c r="DM312" s="109" t="str">
        <f aca="false">$CY312</f>
        <v/>
      </c>
      <c r="DN312" s="107" t="str">
        <f aca="false">IF(ISBLANK($C312),"",$DB312)</f>
        <v/>
      </c>
      <c r="DO312" s="110" t="str">
        <f aca="false">IF($DF312&gt;$DE$8,"",VLOOKUP($DF312,$DH$9:$DN$508,7,FALSE()))</f>
        <v/>
      </c>
      <c r="DP312" s="111" t="str">
        <f aca="false">IF($DF312&gt;$DE$8,"",VLOOKUP($DF312,$DH$9:$DN$508,2,FALSE()))</f>
        <v/>
      </c>
      <c r="DQ312" s="111" t="str">
        <f aca="false">IF($DF312&gt;$DE$8,"",VLOOKUP($DF312,$DH$9:$DN$508,3,FALSE()))</f>
        <v/>
      </c>
      <c r="DR312" s="111" t="str">
        <f aca="false">IF($DF312&gt;$DE$8,"",VLOOKUP($DF312,$DH$9:$DN$508,4,FALSE()))</f>
        <v/>
      </c>
      <c r="DS312" s="111" t="str">
        <f aca="false">IF($DF312&gt;$DE$8,"",VLOOKUP($DF312,$DH$9:$DN$508,5,FALSE()))</f>
        <v/>
      </c>
      <c r="DT312" s="112" t="str">
        <f aca="false">IF($DF312&gt;$DE$8,"",VLOOKUP($DF312,$DH$9:$DN$508,6,FALSE()))</f>
        <v/>
      </c>
      <c r="DU312" s="62"/>
    </row>
    <row r="313" customFormat="false" ht="15.75" hidden="false" customHeight="false" outlineLevel="0" collapsed="false">
      <c r="A313" s="7"/>
      <c r="B313" s="90"/>
      <c r="C313" s="91"/>
      <c r="D313" s="126"/>
      <c r="E313" s="130"/>
      <c r="F313" s="135"/>
      <c r="G313" s="130"/>
      <c r="H313" s="135"/>
      <c r="I313" s="131"/>
      <c r="J313" s="131"/>
      <c r="K313" s="131"/>
      <c r="L313" s="130"/>
      <c r="M313" s="130"/>
      <c r="N313" s="130"/>
      <c r="O313" s="135"/>
      <c r="P313" s="130"/>
      <c r="Q313" s="130"/>
      <c r="R313" s="130"/>
      <c r="S313" s="130"/>
      <c r="T313" s="135"/>
      <c r="U313" s="130"/>
      <c r="V313" s="96"/>
      <c r="W313" s="130"/>
      <c r="X313" s="130"/>
      <c r="Y313" s="96"/>
      <c r="Z313" s="96"/>
      <c r="AA313" s="130"/>
      <c r="AB313" s="130"/>
      <c r="AC313" s="97"/>
      <c r="AD313" s="130"/>
      <c r="AE313" s="99"/>
      <c r="AF313" s="100"/>
      <c r="AG313" s="100"/>
      <c r="AH313" s="100" t="str">
        <f aca="false">IF(ISBLANK($C313),"",IF($E313=Constants!$B$2,TRUE(),IF($E313=Constants!$B$3,FALSE(),TRUE())))</f>
        <v/>
      </c>
      <c r="AI313" s="100" t="str">
        <f aca="false">IF(ISBLANK($C313),"",IF($F313=Constants!$B$2,TRUE(),IF($F313=Constants!$B$3,FALSE(),FALSE())))</f>
        <v/>
      </c>
      <c r="AJ313" s="100" t="str">
        <f aca="false">IF(ISBLANK($C313),"",IF($G313=Constants!$B$2,TRUE(),IF($G313=Constants!$B$3,FALSE(),TRUE())))</f>
        <v/>
      </c>
      <c r="AK313" s="100" t="str">
        <f aca="false">IF(ISBLANK($C313),"",IF($H313=Constants!$B$2,TRUE(),IF($H313=Constants!$B$3,FALSE(),TRUE())))</f>
        <v/>
      </c>
      <c r="AL313" s="100" t="str">
        <f aca="false">IF(ISBLANK($C313),"",IF(ISNUMBER($I313),IF($I313&gt;=0,$I313,""),""))</f>
        <v/>
      </c>
      <c r="AM313" s="100" t="str">
        <f aca="false">IF(ISBLANK($C313),"",IF(ISNUMBER($J313),IF($J313&gt;=0,$J313,""),""))</f>
        <v/>
      </c>
      <c r="AN313" s="100" t="str">
        <f aca="false">IF(ISBLANK($C313),"",IF(ISNUMBER($K313),IF($K313&gt;=0,$K313,""),""))</f>
        <v/>
      </c>
      <c r="AO313" s="100" t="str">
        <f aca="false">IF(ISBLANK($C313),"",IF($L313=Constants!$B$2,TRUE(),IF($L313=Constants!$B$3,FALSE(),TRUE())))</f>
        <v/>
      </c>
      <c r="AP313" s="100" t="str">
        <f aca="false">IF(ISBLANK($C313),"",IF($M313=Constants!$B$2,TRUE(),IF($M313=Constants!$B$3,FALSE(),TRUE())))</f>
        <v/>
      </c>
      <c r="AQ313" s="100" t="str">
        <f aca="false">IF(ISBLANK($C313),"",IF($N313=Constants!$B$2,TRUE(),IF($N313=Constants!$B$3,FALSE(),FALSE())))</f>
        <v/>
      </c>
      <c r="AR313" s="100" t="str">
        <f aca="false">IF(ISBLANK($C313),"",IF($O313=Constants!$B$2,TRUE(),IF($O313=Constants!$B$3,FALSE(),TRUE())))</f>
        <v/>
      </c>
      <c r="AS313" s="100" t="str">
        <f aca="false">IF(ISBLANK($C313),"",IF($P313=Constants!$B$2,TRUE(),IF($P313=Constants!$B$3,FALSE(),FALSE())))</f>
        <v/>
      </c>
      <c r="AT313" s="100" t="str">
        <f aca="false">IF(ISBLANK($C313),"",IF($Q313=Constants!$B$2,TRUE(),IF($Q313=Constants!$B$3,FALSE(),FALSE())))</f>
        <v/>
      </c>
      <c r="AU313" s="100" t="str">
        <f aca="false">IF(ISBLANK($C313),"",IF($R313=Constants!$B$2,TRUE(),IF($R313=Constants!$B$3,FALSE(),FALSE())))</f>
        <v/>
      </c>
      <c r="AV313" s="100" t="str">
        <f aca="false">IF(ISBLANK($C313),"",IF($S313=Constants!$B$2,TRUE(),IF($S313=Constants!$B$3,FALSE(),FALSE())))</f>
        <v/>
      </c>
      <c r="AW313" s="100" t="str">
        <f aca="false">IF(ISBLANK($C313),"",IF($T313=Constants!$B$2,TRUE(),IF($T313=Constants!$B$3,FALSE(),FALSE())))</f>
        <v/>
      </c>
      <c r="AX313" s="100" t="str">
        <f aca="false">IF(ISBLANK($C313),"",IF(OR($U313&amp;""="1",$U313&amp;""="2",$U313&amp;""="3",$U313&amp;""="4"),VALUE($U313&amp;""),IF($U313=Constants!$B$12,Constants!$B$12,"")))</f>
        <v/>
      </c>
      <c r="AY313" s="100" t="str">
        <f aca="false">IF(ISBLANK($C313),"",IF(ISBLANK($V313),0,IF(ISNUMBER($V313),IF(AND($V313&gt;=0,$V313&lt;=Constants!$B$21,$V313=INT($V313)),$V313,""),"")))</f>
        <v/>
      </c>
      <c r="AZ313" s="100" t="str">
        <f aca="false">IF(ISBLANK($C313),"",IF(ISBLANK($W313),0,IF(ISNUMBER($W313),IF($W313&gt;=0,$W313,""),"")))</f>
        <v/>
      </c>
      <c r="BA313" s="100" t="str">
        <f aca="false">IF(ISBLANK($C313),"",IF($X313=Constants!$B$2,TRUE(),IF($X313=Constants!$B$3,FALSE(),TRUE())))</f>
        <v/>
      </c>
      <c r="BB313" s="100" t="str">
        <f aca="false">IF(ISBLANK($C313),"",IF($Y313=Constants!$B$2,TRUE(),IF($Y313=Constants!$B$3,FALSE(),FALSE())))</f>
        <v/>
      </c>
      <c r="BC313" s="100" t="str">
        <f aca="false">IF(ISBLANK($C313),"",IF(ISBLANK($Z313),0,IF(ISNUMBER($Z313),IF(AND($Z313&gt;=0,$Z313&lt;=Constants!$B$35,$Z313=INT($Z313)),$Z313,""),"")))</f>
        <v/>
      </c>
      <c r="BD313" s="100" t="str">
        <f aca="false">IF(ISBLANK($C313),"",IF($AA313=Constants!$B$2,TRUE(),IF($AA313=Constants!$B$3,FALSE(),TRUE())))</f>
        <v/>
      </c>
      <c r="BE313" s="100" t="str">
        <f aca="false">IF(ISBLANK($C313),"",IF($AB313=Constants!$B$2,TRUE(),IF($AB313=Constants!$B$3,FALSE(),TRUE())))</f>
        <v/>
      </c>
      <c r="BF313" s="100" t="str">
        <f aca="false">IF(ISBLANK($C313),"",IF(ISNUMBER($AC313),IF($AC313&gt;=0,$AC313,""),""))</f>
        <v/>
      </c>
      <c r="BG313" s="100" t="str">
        <f aca="false">IF(ISBLANK($C313),"",IF($AD313=Constants!$B$2,TRUE(),IF($AD313=Constants!$B$3,FALSE(),FALSE())))</f>
        <v/>
      </c>
      <c r="BH313" s="99" t="str">
        <f aca="false">IF(ISBLANK($C313),"",IF($BG313,Constants!$B$7,IF(COUNTA($E313:$AC313)=0,Constants!$B$6,IF(OR(COUNTA($G313:$AC313)=0,NOT($AK313),$AQ313),Constants!$B$5,IF(OR($CI313&lt;&gt;"",$CJ313,$CK313,$CL313,$CM313,$CN313,$CO313),Constants!$B$8,Constants!$B$4)))))</f>
        <v/>
      </c>
      <c r="BI313" s="100" t="str">
        <f aca="false">IF(ISBLANK($C313),"",IF($BH313&lt;&gt;Constants!$B$4,$BH313,IF(OR(NOT($AH313),NOT($AJ313),NOT($AR313)),Constants!$B$11,IF(OR(NOT($AP313),MAX($AL313,$AM313,$AN313)&gt;Constants!$B$30),Constants!$B$10,Constants!$B$9))))</f>
        <v/>
      </c>
      <c r="BJ313" s="100" t="str">
        <f aca="false">IF($BH313&lt;&gt;Constants!$B$4,"",IF(NOT($AJ313),0,MIN(Constants!$B$35,$BC313)))</f>
        <v/>
      </c>
      <c r="BK313" s="100" t="str">
        <f aca="false">IF($BH313&lt;&gt;Constants!$B$4,"",IF(NOT($AJ313),0,IF($AT313,Constants!$B$18,IF($AS313,Constants!$B$17,0))))</f>
        <v/>
      </c>
      <c r="BL313" s="100" t="str">
        <f aca="false">IF($BH313&lt;&gt;Constants!$B$4,"",IF(NOT($AJ313),0,Constants!$B$19*($AI313+$AU313+$AV313+$AW313)))</f>
        <v/>
      </c>
      <c r="BM313" s="100" t="str">
        <f aca="false">IF($BH313&lt;&gt;Constants!$B$4,"",IF(OR(NOT($AJ313),NOT(ISNUMBER($AX313))),0,CHOOSE($AX313,Constants!$B$13,Constants!$B$14,Constants!$B$15,Constants!$B$16)))</f>
        <v/>
      </c>
      <c r="BN313" s="100" t="str">
        <f aca="false">IF($BH313&lt;&gt;Constants!$B$4,"",IF(NOT($AJ313),0,Constants!$B$20*$AY313))</f>
        <v/>
      </c>
      <c r="BO313" s="100" t="str">
        <f aca="false">IF($BH313&lt;&gt;Constants!$B$4,"",IF(AND($AJ313,$BA313,$BB313),Constants!$B$22,0))</f>
        <v/>
      </c>
      <c r="BP313" s="100" t="str">
        <f aca="false">IF($BH313&lt;&gt;Constants!$B$4,"",IF(OR(NOT($AJ313),NOT($BA313)),0,IF($BF313&gt;=2*$AF$9,0,Constants!$B$23*INT(ROUND(MIN($BF313,$AF$9),6)))))</f>
        <v/>
      </c>
      <c r="BQ313" s="100" t="str">
        <f aca="false">IF($BH313&lt;&gt;Constants!$B$4,"",IF(NOT($AJ313),0,Constants!$B$24*INT(ROUND(MIN($AZ313,$AF$9),6))))</f>
        <v/>
      </c>
      <c r="BR313" s="100" t="str">
        <f aca="false">IF($BH313&lt;&gt;Constants!$B$4,"",IF(AND($AJ313,$BJ313=0),Constants!$B$25,0))</f>
        <v/>
      </c>
      <c r="BS313" s="100" t="str">
        <f aca="false">IF($BH313&lt;&gt;Constants!$B$4,"",MIN(Constants!$B$29,MAX(0,Constants!$B$27*Constants!$B$28*INT(ROUND((Constants!$B$26-$AL313)/Constants!$B$28,6))))+MIN(Constants!$B$29,MAX(0,Constants!$B$27*Constants!$B$28*INT(ROUND((Constants!$B$26-$AM313)/Constants!$B$28,6))))+MIN(Constants!$B$29,MAX(0,Constants!$B$27*Constants!$B$28*INT(ROUND((Constants!$B$26-$AN313)/Constants!$B$28,6)))))</f>
        <v/>
      </c>
      <c r="BT313" s="100" t="str">
        <f aca="false">IF($BH313&lt;&gt;Constants!$B$4,"",IF(NOT($AJ313),0,Constants!$B$31*INT(ROUND(MAX(0,MIN($BF313,2*$AF$9)-$AF$9),6))))</f>
        <v/>
      </c>
      <c r="BU313" s="100" t="str">
        <f aca="false">IF($BH313&lt;&gt;Constants!$B$4,"",Constants!$B$32*(($AL313&gt;Constants!$B$26)+($AM313&gt;Constants!$B$26)+($AN313&gt;Constants!$B$26)))</f>
        <v/>
      </c>
      <c r="BV313" s="100" t="str">
        <f aca="false">IF($BH313&lt;&gt;Constants!$B$4,"",IF(OR(NOT($AJ313),$AO313),0,Constants!$B$33))</f>
        <v/>
      </c>
      <c r="BW313" s="100" t="str">
        <f aca="false">IF($BH313&lt;&gt;Constants!$B$4,"",Constants!$B$34*$BJ313)</f>
        <v/>
      </c>
      <c r="BX313" s="100" t="str">
        <f aca="false">IF($BH313&lt;&gt;Constants!$B$4,"",IF(OR(NOT($AJ313),$BE313),0,Constants!$B$36))</f>
        <v/>
      </c>
      <c r="BY313" s="100" t="str">
        <f aca="false">IF($BH313&lt;&gt;Constants!$B$4,"",IF(OR(NOT($AJ313),$BD313),0,Constants!$B$37))</f>
        <v/>
      </c>
      <c r="BZ313" s="100" t="str">
        <f aca="false">IF($BH313&lt;&gt;Constants!$B$4,"",SUM($BT313:$BY313))</f>
        <v/>
      </c>
      <c r="CA313" s="100" t="str">
        <f aca="false">IF(ISBLANK($C313),"",IF($BH313&lt;&gt;Constants!$B$4,$BH313,SUM($BK313:$BS313)-$BZ313))</f>
        <v/>
      </c>
      <c r="CB313" s="100" t="str">
        <f aca="false">IF(ISBLANK($C313),"",IF($BH313&lt;&gt;Constants!$B$4,$BH313,RANK($CA313,$CA$9:$CA$508)))</f>
        <v/>
      </c>
      <c r="CC313" s="100" t="str">
        <f aca="false">IF(ISBLANK($C313),"",IF($BH313&lt;&gt;Constants!$B$4,$BH313,COUNTIFS($BI$9:$BI$508,"&lt;"&amp;$BI313)+COUNTIFS($BI$9:$BI$508,$BI313,$CB$9:$CB$508,"&lt;"&amp;$CB313)+1))</f>
        <v/>
      </c>
      <c r="CD313" s="100" t="str">
        <f aca="false">IF(ISBLANK($C313),"",IF($BH313&lt;&gt;Constants!$B$4,$BH313,RANK($BZ313,$BZ$9:$BZ$508,1)))</f>
        <v/>
      </c>
      <c r="CE313" s="100" t="str">
        <f aca="false">IF($BH313&lt;&gt;Constants!$B$4,"",$AL313+$AM313+$AN313)</f>
        <v/>
      </c>
      <c r="CF313" s="100" t="str">
        <f aca="false">IF(ISBLANK($C313),"",IF($BH313&lt;&gt;Constants!$B$4,$BH313,RANK($CE313,$CE$9:$CE$508,1)))</f>
        <v/>
      </c>
      <c r="CG313" s="100" t="str">
        <f aca="false">IF(ISBLANK($C313),"",IF($BH313&lt;&gt;Constants!$B$4,$BH313,COUNTIFS($BI$9:$BI$508,"&lt;"&amp;$BI313)+COUNTIFS($BI$9:$BI$508,$BI313,$CB$9:$CB$508,"&lt;"&amp;$CB313)+COUNTIFS($BI$9:$BI$508,$BI313,$CB$9:$CB$508,$CB313,$CD$9:$CD$508,"&lt;"&amp;$CD313)+COUNTIFS($BI$9:$BI$508,$BI313,$CB$9:$CB$508,$CB313,$CD$9:$CD$508,$CD313,$CF$9:$CF$508,"&lt;"&amp;$CF313)+1))</f>
        <v/>
      </c>
      <c r="CH313" s="100" t="str">
        <f aca="false">IF(ISBLANK($C313),"",IF($BH313&lt;&gt;Constants!$B$4,$BH313,$CC313-$CG313))</f>
        <v/>
      </c>
      <c r="CI313" s="100" t="str">
        <f aca="false">IF(ISBLANK($C313),"",IF(NOT($AJ313),"",IF(ISBLANK($D$7),$CI$5,IF(NOT(ISNUMBER($D$7)),$CI$6,""))))</f>
        <v/>
      </c>
      <c r="CJ313" s="100" t="str">
        <f aca="false">IF(ISBLANK($C313),"",OR($AL313="",$AM313="",$AN313=""))</f>
        <v/>
      </c>
      <c r="CK313" s="100" t="str">
        <f aca="false">IF(ISBLANK($C313),"",AND($AJ313,$AX313=""))</f>
        <v/>
      </c>
      <c r="CL313" s="100" t="str">
        <f aca="false">IF(ISBLANK($C313),"",AND($AJ313,$AY313=""))</f>
        <v/>
      </c>
      <c r="CM313" s="100" t="str">
        <f aca="false">IF(ISBLANK($C313),"",AND($AJ313,$AZ313=""))</f>
        <v/>
      </c>
      <c r="CN313" s="100" t="str">
        <f aca="false">IF(ISBLANK($C313),"",AND($AJ313,$BC313=""))</f>
        <v/>
      </c>
      <c r="CO313" s="100" t="str">
        <f aca="false">IF(ISBLANK($C313),"",AND($AJ313,$BF313=""))</f>
        <v/>
      </c>
      <c r="CP313" s="101"/>
      <c r="CQ313" s="102"/>
      <c r="CR313" s="103" t="str">
        <f aca="false">IF(ISBLANK($C313),"",IF($BH313=Constants!$B$8,$CI313,""))</f>
        <v/>
      </c>
      <c r="CS313" s="102" t="str">
        <f aca="false">IF(ISBLANK($C313),"",IF($BH313&lt;&gt;Constants!$B$4,"",$BK313+$BL313))</f>
        <v/>
      </c>
      <c r="CT313" s="104" t="str">
        <f aca="false">IF(ISBLANK($C313),"",IF($BH313&lt;&gt;Constants!$B$4,"",$BM313+$BN313+$BO313))</f>
        <v/>
      </c>
      <c r="CU313" s="104" t="str">
        <f aca="false">IF(ISBLANK($C313),"",IF($BH313&lt;&gt;Constants!$B$4,"",$BP313))</f>
        <v/>
      </c>
      <c r="CV313" s="104" t="str">
        <f aca="false">IF(ISBLANK($C313),"",IF($BH313&lt;&gt;Constants!$B$4,"",$BQ313+$BR313))</f>
        <v/>
      </c>
      <c r="CW313" s="104" t="str">
        <f aca="false">IF(ISBLANK($C313),"",IF($BH313&lt;&gt;Constants!$B$4,"",$BS313))</f>
        <v/>
      </c>
      <c r="CX313" s="104" t="str">
        <f aca="false">IF(ISBLANK($C313),"",IF($BH313&lt;&gt;Constants!$B$4,"",-$BZ313))</f>
        <v/>
      </c>
      <c r="CY313" s="103" t="str">
        <f aca="false">IF(ISBLANK($C313),"",$CA313)</f>
        <v/>
      </c>
      <c r="CZ313" s="105" t="str">
        <f aca="false">IF(ISBLANK($C313),"",$BI313)</f>
        <v/>
      </c>
      <c r="DA313" s="104" t="str">
        <f aca="false">IF(ISBLANK($C313),"",$CH313)</f>
        <v/>
      </c>
      <c r="DB313" s="104" t="str">
        <f aca="false">IF(ISBLANK($C313),"",$CG313)</f>
        <v/>
      </c>
      <c r="DC313" s="106" t="str">
        <f aca="false">IF(ISBLANK($C313),"",IFERROR(_xlfn.SWITCH($DB313,Constants!$B$7,COUNTA($C$9:$C$508)+2,Constants!$B$6,COUNTA($C$9:$C$508)+1,Constants!$B$5,COUNTA($C$9:$C$508)),$DB313))</f>
        <v/>
      </c>
      <c r="DD313" s="7"/>
      <c r="DE313" s="107" t="n">
        <f aca="false">IF(OR(ISNUMBER($DB313),$DB313=Constants!$B$7,$DB313=Constants!$B$5,$DB313=Constants!$B$6),1,0)</f>
        <v>0</v>
      </c>
      <c r="DF313" s="107" t="n">
        <v>305</v>
      </c>
      <c r="DG313" s="107" t="str">
        <f aca="false">IF(ISBLANK($C313),"",IF(ISNUMBER($DC313),$DC313+ROW($B313)/1000,""))</f>
        <v/>
      </c>
      <c r="DH313" s="107" t="str">
        <f aca="false">IF(ISNUMBER($DG313),RANK($DG313,$DG$9:$DG$508,1),"")</f>
        <v/>
      </c>
      <c r="DI313" s="107" t="str">
        <f aca="false">IF(ISBLANK($C313),"",$B313)</f>
        <v/>
      </c>
      <c r="DJ313" s="107" t="str">
        <f aca="false">IF(ISBLANK($C313),"",$C313)</f>
        <v/>
      </c>
      <c r="DK313" s="107" t="str">
        <f aca="false">IF(ISBLANK($C313),"",$D313)</f>
        <v/>
      </c>
      <c r="DL313" s="108" t="str">
        <f aca="false">$CZ313</f>
        <v/>
      </c>
      <c r="DM313" s="109" t="str">
        <f aca="false">$CY313</f>
        <v/>
      </c>
      <c r="DN313" s="107" t="str">
        <f aca="false">IF(ISBLANK($C313),"",$DB313)</f>
        <v/>
      </c>
      <c r="DO313" s="110" t="str">
        <f aca="false">IF($DF313&gt;$DE$8,"",VLOOKUP($DF313,$DH$9:$DN$508,7,FALSE()))</f>
        <v/>
      </c>
      <c r="DP313" s="111" t="str">
        <f aca="false">IF($DF313&gt;$DE$8,"",VLOOKUP($DF313,$DH$9:$DN$508,2,FALSE()))</f>
        <v/>
      </c>
      <c r="DQ313" s="111" t="str">
        <f aca="false">IF($DF313&gt;$DE$8,"",VLOOKUP($DF313,$DH$9:$DN$508,3,FALSE()))</f>
        <v/>
      </c>
      <c r="DR313" s="111" t="str">
        <f aca="false">IF($DF313&gt;$DE$8,"",VLOOKUP($DF313,$DH$9:$DN$508,4,FALSE()))</f>
        <v/>
      </c>
      <c r="DS313" s="111" t="str">
        <f aca="false">IF($DF313&gt;$DE$8,"",VLOOKUP($DF313,$DH$9:$DN$508,5,FALSE()))</f>
        <v/>
      </c>
      <c r="DT313" s="112" t="str">
        <f aca="false">IF($DF313&gt;$DE$8,"",VLOOKUP($DF313,$DH$9:$DN$508,6,FALSE()))</f>
        <v/>
      </c>
      <c r="DU313" s="62"/>
    </row>
    <row r="314" customFormat="false" ht="15.75" hidden="false" customHeight="false" outlineLevel="0" collapsed="false">
      <c r="A314" s="7"/>
      <c r="B314" s="90"/>
      <c r="C314" s="91"/>
      <c r="D314" s="126"/>
      <c r="E314" s="130"/>
      <c r="F314" s="135"/>
      <c r="G314" s="130"/>
      <c r="H314" s="135"/>
      <c r="I314" s="131"/>
      <c r="J314" s="131"/>
      <c r="K314" s="131"/>
      <c r="L314" s="130"/>
      <c r="M314" s="130"/>
      <c r="N314" s="130"/>
      <c r="O314" s="135"/>
      <c r="P314" s="130"/>
      <c r="Q314" s="130"/>
      <c r="R314" s="130"/>
      <c r="S314" s="130"/>
      <c r="T314" s="135"/>
      <c r="U314" s="130"/>
      <c r="V314" s="96"/>
      <c r="W314" s="130"/>
      <c r="X314" s="130"/>
      <c r="Y314" s="96"/>
      <c r="Z314" s="96"/>
      <c r="AA314" s="130"/>
      <c r="AB314" s="130"/>
      <c r="AC314" s="97"/>
      <c r="AD314" s="130"/>
      <c r="AE314" s="99"/>
      <c r="AF314" s="100"/>
      <c r="AG314" s="100"/>
      <c r="AH314" s="100" t="str">
        <f aca="false">IF(ISBLANK($C314),"",IF($E314=Constants!$B$2,TRUE(),IF($E314=Constants!$B$3,FALSE(),TRUE())))</f>
        <v/>
      </c>
      <c r="AI314" s="100" t="str">
        <f aca="false">IF(ISBLANK($C314),"",IF($F314=Constants!$B$2,TRUE(),IF($F314=Constants!$B$3,FALSE(),FALSE())))</f>
        <v/>
      </c>
      <c r="AJ314" s="100" t="str">
        <f aca="false">IF(ISBLANK($C314),"",IF($G314=Constants!$B$2,TRUE(),IF($G314=Constants!$B$3,FALSE(),TRUE())))</f>
        <v/>
      </c>
      <c r="AK314" s="100" t="str">
        <f aca="false">IF(ISBLANK($C314),"",IF($H314=Constants!$B$2,TRUE(),IF($H314=Constants!$B$3,FALSE(),TRUE())))</f>
        <v/>
      </c>
      <c r="AL314" s="100" t="str">
        <f aca="false">IF(ISBLANK($C314),"",IF(ISNUMBER($I314),IF($I314&gt;=0,$I314,""),""))</f>
        <v/>
      </c>
      <c r="AM314" s="100" t="str">
        <f aca="false">IF(ISBLANK($C314),"",IF(ISNUMBER($J314),IF($J314&gt;=0,$J314,""),""))</f>
        <v/>
      </c>
      <c r="AN314" s="100" t="str">
        <f aca="false">IF(ISBLANK($C314),"",IF(ISNUMBER($K314),IF($K314&gt;=0,$K314,""),""))</f>
        <v/>
      </c>
      <c r="AO314" s="100" t="str">
        <f aca="false">IF(ISBLANK($C314),"",IF($L314=Constants!$B$2,TRUE(),IF($L314=Constants!$B$3,FALSE(),TRUE())))</f>
        <v/>
      </c>
      <c r="AP314" s="100" t="str">
        <f aca="false">IF(ISBLANK($C314),"",IF($M314=Constants!$B$2,TRUE(),IF($M314=Constants!$B$3,FALSE(),TRUE())))</f>
        <v/>
      </c>
      <c r="AQ314" s="100" t="str">
        <f aca="false">IF(ISBLANK($C314),"",IF($N314=Constants!$B$2,TRUE(),IF($N314=Constants!$B$3,FALSE(),FALSE())))</f>
        <v/>
      </c>
      <c r="AR314" s="100" t="str">
        <f aca="false">IF(ISBLANK($C314),"",IF($O314=Constants!$B$2,TRUE(),IF($O314=Constants!$B$3,FALSE(),TRUE())))</f>
        <v/>
      </c>
      <c r="AS314" s="100" t="str">
        <f aca="false">IF(ISBLANK($C314),"",IF($P314=Constants!$B$2,TRUE(),IF($P314=Constants!$B$3,FALSE(),FALSE())))</f>
        <v/>
      </c>
      <c r="AT314" s="100" t="str">
        <f aca="false">IF(ISBLANK($C314),"",IF($Q314=Constants!$B$2,TRUE(),IF($Q314=Constants!$B$3,FALSE(),FALSE())))</f>
        <v/>
      </c>
      <c r="AU314" s="100" t="str">
        <f aca="false">IF(ISBLANK($C314),"",IF($R314=Constants!$B$2,TRUE(),IF($R314=Constants!$B$3,FALSE(),FALSE())))</f>
        <v/>
      </c>
      <c r="AV314" s="100" t="str">
        <f aca="false">IF(ISBLANK($C314),"",IF($S314=Constants!$B$2,TRUE(),IF($S314=Constants!$B$3,FALSE(),FALSE())))</f>
        <v/>
      </c>
      <c r="AW314" s="100" t="str">
        <f aca="false">IF(ISBLANK($C314),"",IF($T314=Constants!$B$2,TRUE(),IF($T314=Constants!$B$3,FALSE(),FALSE())))</f>
        <v/>
      </c>
      <c r="AX314" s="100" t="str">
        <f aca="false">IF(ISBLANK($C314),"",IF(OR($U314&amp;""="1",$U314&amp;""="2",$U314&amp;""="3",$U314&amp;""="4"),VALUE($U314&amp;""),IF($U314=Constants!$B$12,Constants!$B$12,"")))</f>
        <v/>
      </c>
      <c r="AY314" s="100" t="str">
        <f aca="false">IF(ISBLANK($C314),"",IF(ISBLANK($V314),0,IF(ISNUMBER($V314),IF(AND($V314&gt;=0,$V314&lt;=Constants!$B$21,$V314=INT($V314)),$V314,""),"")))</f>
        <v/>
      </c>
      <c r="AZ314" s="100" t="str">
        <f aca="false">IF(ISBLANK($C314),"",IF(ISBLANK($W314),0,IF(ISNUMBER($W314),IF($W314&gt;=0,$W314,""),"")))</f>
        <v/>
      </c>
      <c r="BA314" s="100" t="str">
        <f aca="false">IF(ISBLANK($C314),"",IF($X314=Constants!$B$2,TRUE(),IF($X314=Constants!$B$3,FALSE(),TRUE())))</f>
        <v/>
      </c>
      <c r="BB314" s="100" t="str">
        <f aca="false">IF(ISBLANK($C314),"",IF($Y314=Constants!$B$2,TRUE(),IF($Y314=Constants!$B$3,FALSE(),FALSE())))</f>
        <v/>
      </c>
      <c r="BC314" s="100" t="str">
        <f aca="false">IF(ISBLANK($C314),"",IF(ISBLANK($Z314),0,IF(ISNUMBER($Z314),IF(AND($Z314&gt;=0,$Z314&lt;=Constants!$B$35,$Z314=INT($Z314)),$Z314,""),"")))</f>
        <v/>
      </c>
      <c r="BD314" s="100" t="str">
        <f aca="false">IF(ISBLANK($C314),"",IF($AA314=Constants!$B$2,TRUE(),IF($AA314=Constants!$B$3,FALSE(),TRUE())))</f>
        <v/>
      </c>
      <c r="BE314" s="100" t="str">
        <f aca="false">IF(ISBLANK($C314),"",IF($AB314=Constants!$B$2,TRUE(),IF($AB314=Constants!$B$3,FALSE(),TRUE())))</f>
        <v/>
      </c>
      <c r="BF314" s="100" t="str">
        <f aca="false">IF(ISBLANK($C314),"",IF(ISNUMBER($AC314),IF($AC314&gt;=0,$AC314,""),""))</f>
        <v/>
      </c>
      <c r="BG314" s="100" t="str">
        <f aca="false">IF(ISBLANK($C314),"",IF($AD314=Constants!$B$2,TRUE(),IF($AD314=Constants!$B$3,FALSE(),FALSE())))</f>
        <v/>
      </c>
      <c r="BH314" s="99" t="str">
        <f aca="false">IF(ISBLANK($C314),"",IF($BG314,Constants!$B$7,IF(COUNTA($E314:$AC314)=0,Constants!$B$6,IF(OR(COUNTA($G314:$AC314)=0,NOT($AK314),$AQ314),Constants!$B$5,IF(OR($CI314&lt;&gt;"",$CJ314,$CK314,$CL314,$CM314,$CN314,$CO314),Constants!$B$8,Constants!$B$4)))))</f>
        <v/>
      </c>
      <c r="BI314" s="100" t="str">
        <f aca="false">IF(ISBLANK($C314),"",IF($BH314&lt;&gt;Constants!$B$4,$BH314,IF(OR(NOT($AH314),NOT($AJ314),NOT($AR314)),Constants!$B$11,IF(OR(NOT($AP314),MAX($AL314,$AM314,$AN314)&gt;Constants!$B$30),Constants!$B$10,Constants!$B$9))))</f>
        <v/>
      </c>
      <c r="BJ314" s="100" t="str">
        <f aca="false">IF($BH314&lt;&gt;Constants!$B$4,"",IF(NOT($AJ314),0,MIN(Constants!$B$35,$BC314)))</f>
        <v/>
      </c>
      <c r="BK314" s="100" t="str">
        <f aca="false">IF($BH314&lt;&gt;Constants!$B$4,"",IF(NOT($AJ314),0,IF($AT314,Constants!$B$18,IF($AS314,Constants!$B$17,0))))</f>
        <v/>
      </c>
      <c r="BL314" s="100" t="str">
        <f aca="false">IF($BH314&lt;&gt;Constants!$B$4,"",IF(NOT($AJ314),0,Constants!$B$19*($AI314+$AU314+$AV314+$AW314)))</f>
        <v/>
      </c>
      <c r="BM314" s="100" t="str">
        <f aca="false">IF($BH314&lt;&gt;Constants!$B$4,"",IF(OR(NOT($AJ314),NOT(ISNUMBER($AX314))),0,CHOOSE($AX314,Constants!$B$13,Constants!$B$14,Constants!$B$15,Constants!$B$16)))</f>
        <v/>
      </c>
      <c r="BN314" s="100" t="str">
        <f aca="false">IF($BH314&lt;&gt;Constants!$B$4,"",IF(NOT($AJ314),0,Constants!$B$20*$AY314))</f>
        <v/>
      </c>
      <c r="BO314" s="100" t="str">
        <f aca="false">IF($BH314&lt;&gt;Constants!$B$4,"",IF(AND($AJ314,$BA314,$BB314),Constants!$B$22,0))</f>
        <v/>
      </c>
      <c r="BP314" s="100" t="str">
        <f aca="false">IF($BH314&lt;&gt;Constants!$B$4,"",IF(OR(NOT($AJ314),NOT($BA314)),0,IF($BF314&gt;=2*$AF$9,0,Constants!$B$23*INT(ROUND(MIN($BF314,$AF$9),6)))))</f>
        <v/>
      </c>
      <c r="BQ314" s="100" t="str">
        <f aca="false">IF($BH314&lt;&gt;Constants!$B$4,"",IF(NOT($AJ314),0,Constants!$B$24*INT(ROUND(MIN($AZ314,$AF$9),6))))</f>
        <v/>
      </c>
      <c r="BR314" s="100" t="str">
        <f aca="false">IF($BH314&lt;&gt;Constants!$B$4,"",IF(AND($AJ314,$BJ314=0),Constants!$B$25,0))</f>
        <v/>
      </c>
      <c r="BS314" s="100" t="str">
        <f aca="false">IF($BH314&lt;&gt;Constants!$B$4,"",MIN(Constants!$B$29,MAX(0,Constants!$B$27*Constants!$B$28*INT(ROUND((Constants!$B$26-$AL314)/Constants!$B$28,6))))+MIN(Constants!$B$29,MAX(0,Constants!$B$27*Constants!$B$28*INT(ROUND((Constants!$B$26-$AM314)/Constants!$B$28,6))))+MIN(Constants!$B$29,MAX(0,Constants!$B$27*Constants!$B$28*INT(ROUND((Constants!$B$26-$AN314)/Constants!$B$28,6)))))</f>
        <v/>
      </c>
      <c r="BT314" s="100" t="str">
        <f aca="false">IF($BH314&lt;&gt;Constants!$B$4,"",IF(NOT($AJ314),0,Constants!$B$31*INT(ROUND(MAX(0,MIN($BF314,2*$AF$9)-$AF$9),6))))</f>
        <v/>
      </c>
      <c r="BU314" s="100" t="str">
        <f aca="false">IF($BH314&lt;&gt;Constants!$B$4,"",Constants!$B$32*(($AL314&gt;Constants!$B$26)+($AM314&gt;Constants!$B$26)+($AN314&gt;Constants!$B$26)))</f>
        <v/>
      </c>
      <c r="BV314" s="100" t="str">
        <f aca="false">IF($BH314&lt;&gt;Constants!$B$4,"",IF(OR(NOT($AJ314),$AO314),0,Constants!$B$33))</f>
        <v/>
      </c>
      <c r="BW314" s="100" t="str">
        <f aca="false">IF($BH314&lt;&gt;Constants!$B$4,"",Constants!$B$34*$BJ314)</f>
        <v/>
      </c>
      <c r="BX314" s="100" t="str">
        <f aca="false">IF($BH314&lt;&gt;Constants!$B$4,"",IF(OR(NOT($AJ314),$BE314),0,Constants!$B$36))</f>
        <v/>
      </c>
      <c r="BY314" s="100" t="str">
        <f aca="false">IF($BH314&lt;&gt;Constants!$B$4,"",IF(OR(NOT($AJ314),$BD314),0,Constants!$B$37))</f>
        <v/>
      </c>
      <c r="BZ314" s="100" t="str">
        <f aca="false">IF($BH314&lt;&gt;Constants!$B$4,"",SUM($BT314:$BY314))</f>
        <v/>
      </c>
      <c r="CA314" s="100" t="str">
        <f aca="false">IF(ISBLANK($C314),"",IF($BH314&lt;&gt;Constants!$B$4,$BH314,SUM($BK314:$BS314)-$BZ314))</f>
        <v/>
      </c>
      <c r="CB314" s="100" t="str">
        <f aca="false">IF(ISBLANK($C314),"",IF($BH314&lt;&gt;Constants!$B$4,$BH314,RANK($CA314,$CA$9:$CA$508)))</f>
        <v/>
      </c>
      <c r="CC314" s="100" t="str">
        <f aca="false">IF(ISBLANK($C314),"",IF($BH314&lt;&gt;Constants!$B$4,$BH314,COUNTIFS($BI$9:$BI$508,"&lt;"&amp;$BI314)+COUNTIFS($BI$9:$BI$508,$BI314,$CB$9:$CB$508,"&lt;"&amp;$CB314)+1))</f>
        <v/>
      </c>
      <c r="CD314" s="100" t="str">
        <f aca="false">IF(ISBLANK($C314),"",IF($BH314&lt;&gt;Constants!$B$4,$BH314,RANK($BZ314,$BZ$9:$BZ$508,1)))</f>
        <v/>
      </c>
      <c r="CE314" s="100" t="str">
        <f aca="false">IF($BH314&lt;&gt;Constants!$B$4,"",$AL314+$AM314+$AN314)</f>
        <v/>
      </c>
      <c r="CF314" s="100" t="str">
        <f aca="false">IF(ISBLANK($C314),"",IF($BH314&lt;&gt;Constants!$B$4,$BH314,RANK($CE314,$CE$9:$CE$508,1)))</f>
        <v/>
      </c>
      <c r="CG314" s="100" t="str">
        <f aca="false">IF(ISBLANK($C314),"",IF($BH314&lt;&gt;Constants!$B$4,$BH314,COUNTIFS($BI$9:$BI$508,"&lt;"&amp;$BI314)+COUNTIFS($BI$9:$BI$508,$BI314,$CB$9:$CB$508,"&lt;"&amp;$CB314)+COUNTIFS($BI$9:$BI$508,$BI314,$CB$9:$CB$508,$CB314,$CD$9:$CD$508,"&lt;"&amp;$CD314)+COUNTIFS($BI$9:$BI$508,$BI314,$CB$9:$CB$508,$CB314,$CD$9:$CD$508,$CD314,$CF$9:$CF$508,"&lt;"&amp;$CF314)+1))</f>
        <v/>
      </c>
      <c r="CH314" s="100" t="str">
        <f aca="false">IF(ISBLANK($C314),"",IF($BH314&lt;&gt;Constants!$B$4,$BH314,$CC314-$CG314))</f>
        <v/>
      </c>
      <c r="CI314" s="100" t="str">
        <f aca="false">IF(ISBLANK($C314),"",IF(NOT($AJ314),"",IF(ISBLANK($D$7),$CI$5,IF(NOT(ISNUMBER($D$7)),$CI$6,""))))</f>
        <v/>
      </c>
      <c r="CJ314" s="100" t="str">
        <f aca="false">IF(ISBLANK($C314),"",OR($AL314="",$AM314="",$AN314=""))</f>
        <v/>
      </c>
      <c r="CK314" s="100" t="str">
        <f aca="false">IF(ISBLANK($C314),"",AND($AJ314,$AX314=""))</f>
        <v/>
      </c>
      <c r="CL314" s="100" t="str">
        <f aca="false">IF(ISBLANK($C314),"",AND($AJ314,$AY314=""))</f>
        <v/>
      </c>
      <c r="CM314" s="100" t="str">
        <f aca="false">IF(ISBLANK($C314),"",AND($AJ314,$AZ314=""))</f>
        <v/>
      </c>
      <c r="CN314" s="100" t="str">
        <f aca="false">IF(ISBLANK($C314),"",AND($AJ314,$BC314=""))</f>
        <v/>
      </c>
      <c r="CO314" s="100" t="str">
        <f aca="false">IF(ISBLANK($C314),"",AND($AJ314,$BF314=""))</f>
        <v/>
      </c>
      <c r="CP314" s="101"/>
      <c r="CQ314" s="102"/>
      <c r="CR314" s="103" t="str">
        <f aca="false">IF(ISBLANK($C314),"",IF($BH314=Constants!$B$8,$CI314,""))</f>
        <v/>
      </c>
      <c r="CS314" s="102" t="str">
        <f aca="false">IF(ISBLANK($C314),"",IF($BH314&lt;&gt;Constants!$B$4,"",$BK314+$BL314))</f>
        <v/>
      </c>
      <c r="CT314" s="104" t="str">
        <f aca="false">IF(ISBLANK($C314),"",IF($BH314&lt;&gt;Constants!$B$4,"",$BM314+$BN314+$BO314))</f>
        <v/>
      </c>
      <c r="CU314" s="104" t="str">
        <f aca="false">IF(ISBLANK($C314),"",IF($BH314&lt;&gt;Constants!$B$4,"",$BP314))</f>
        <v/>
      </c>
      <c r="CV314" s="104" t="str">
        <f aca="false">IF(ISBLANK($C314),"",IF($BH314&lt;&gt;Constants!$B$4,"",$BQ314+$BR314))</f>
        <v/>
      </c>
      <c r="CW314" s="104" t="str">
        <f aca="false">IF(ISBLANK($C314),"",IF($BH314&lt;&gt;Constants!$B$4,"",$BS314))</f>
        <v/>
      </c>
      <c r="CX314" s="104" t="str">
        <f aca="false">IF(ISBLANK($C314),"",IF($BH314&lt;&gt;Constants!$B$4,"",-$BZ314))</f>
        <v/>
      </c>
      <c r="CY314" s="103" t="str">
        <f aca="false">IF(ISBLANK($C314),"",$CA314)</f>
        <v/>
      </c>
      <c r="CZ314" s="105" t="str">
        <f aca="false">IF(ISBLANK($C314),"",$BI314)</f>
        <v/>
      </c>
      <c r="DA314" s="104" t="str">
        <f aca="false">IF(ISBLANK($C314),"",$CH314)</f>
        <v/>
      </c>
      <c r="DB314" s="104" t="str">
        <f aca="false">IF(ISBLANK($C314),"",$CG314)</f>
        <v/>
      </c>
      <c r="DC314" s="106" t="str">
        <f aca="false">IF(ISBLANK($C314),"",IFERROR(_xlfn.SWITCH($DB314,Constants!$B$7,COUNTA($C$9:$C$508)+2,Constants!$B$6,COUNTA($C$9:$C$508)+1,Constants!$B$5,COUNTA($C$9:$C$508)),$DB314))</f>
        <v/>
      </c>
      <c r="DD314" s="7"/>
      <c r="DE314" s="107" t="n">
        <f aca="false">IF(OR(ISNUMBER($DB314),$DB314=Constants!$B$7,$DB314=Constants!$B$5,$DB314=Constants!$B$6),1,0)</f>
        <v>0</v>
      </c>
      <c r="DF314" s="107" t="n">
        <v>306</v>
      </c>
      <c r="DG314" s="107" t="str">
        <f aca="false">IF(ISBLANK($C314),"",IF(ISNUMBER($DC314),$DC314+ROW($B314)/1000,""))</f>
        <v/>
      </c>
      <c r="DH314" s="107" t="str">
        <f aca="false">IF(ISNUMBER($DG314),RANK($DG314,$DG$9:$DG$508,1),"")</f>
        <v/>
      </c>
      <c r="DI314" s="107" t="str">
        <f aca="false">IF(ISBLANK($C314),"",$B314)</f>
        <v/>
      </c>
      <c r="DJ314" s="107" t="str">
        <f aca="false">IF(ISBLANK($C314),"",$C314)</f>
        <v/>
      </c>
      <c r="DK314" s="107" t="str">
        <f aca="false">IF(ISBLANK($C314),"",$D314)</f>
        <v/>
      </c>
      <c r="DL314" s="108" t="str">
        <f aca="false">$CZ314</f>
        <v/>
      </c>
      <c r="DM314" s="109" t="str">
        <f aca="false">$CY314</f>
        <v/>
      </c>
      <c r="DN314" s="107" t="str">
        <f aca="false">IF(ISBLANK($C314),"",$DB314)</f>
        <v/>
      </c>
      <c r="DO314" s="110" t="str">
        <f aca="false">IF($DF314&gt;$DE$8,"",VLOOKUP($DF314,$DH$9:$DN$508,7,FALSE()))</f>
        <v/>
      </c>
      <c r="DP314" s="111" t="str">
        <f aca="false">IF($DF314&gt;$DE$8,"",VLOOKUP($DF314,$DH$9:$DN$508,2,FALSE()))</f>
        <v/>
      </c>
      <c r="DQ314" s="111" t="str">
        <f aca="false">IF($DF314&gt;$DE$8,"",VLOOKUP($DF314,$DH$9:$DN$508,3,FALSE()))</f>
        <v/>
      </c>
      <c r="DR314" s="111" t="str">
        <f aca="false">IF($DF314&gt;$DE$8,"",VLOOKUP($DF314,$DH$9:$DN$508,4,FALSE()))</f>
        <v/>
      </c>
      <c r="DS314" s="111" t="str">
        <f aca="false">IF($DF314&gt;$DE$8,"",VLOOKUP($DF314,$DH$9:$DN$508,5,FALSE()))</f>
        <v/>
      </c>
      <c r="DT314" s="112" t="str">
        <f aca="false">IF($DF314&gt;$DE$8,"",VLOOKUP($DF314,$DH$9:$DN$508,6,FALSE()))</f>
        <v/>
      </c>
      <c r="DU314" s="62"/>
    </row>
    <row r="315" customFormat="false" ht="15.75" hidden="false" customHeight="false" outlineLevel="0" collapsed="false">
      <c r="A315" s="7"/>
      <c r="B315" s="64"/>
      <c r="C315" s="65"/>
      <c r="D315" s="123"/>
      <c r="E315" s="88"/>
      <c r="F315" s="134"/>
      <c r="G315" s="88"/>
      <c r="H315" s="134"/>
      <c r="I315" s="119"/>
      <c r="J315" s="119"/>
      <c r="K315" s="119"/>
      <c r="L315" s="88"/>
      <c r="M315" s="88"/>
      <c r="N315" s="88"/>
      <c r="O315" s="134"/>
      <c r="P315" s="88"/>
      <c r="Q315" s="88"/>
      <c r="R315" s="88"/>
      <c r="S315" s="88"/>
      <c r="T315" s="134"/>
      <c r="U315" s="88"/>
      <c r="V315" s="70"/>
      <c r="W315" s="88"/>
      <c r="X315" s="88"/>
      <c r="Y315" s="70"/>
      <c r="Z315" s="70"/>
      <c r="AA315" s="88"/>
      <c r="AB315" s="88"/>
      <c r="AC315" s="71"/>
      <c r="AD315" s="88"/>
      <c r="AE315" s="73"/>
      <c r="AF315" s="74"/>
      <c r="AG315" s="74"/>
      <c r="AH315" s="74" t="str">
        <f aca="false">IF(ISBLANK($C315),"",IF($E315=Constants!$B$2,TRUE(),IF($E315=Constants!$B$3,FALSE(),TRUE())))</f>
        <v/>
      </c>
      <c r="AI315" s="74" t="str">
        <f aca="false">IF(ISBLANK($C315),"",IF($F315=Constants!$B$2,TRUE(),IF($F315=Constants!$B$3,FALSE(),FALSE())))</f>
        <v/>
      </c>
      <c r="AJ315" s="74" t="str">
        <f aca="false">IF(ISBLANK($C315),"",IF($G315=Constants!$B$2,TRUE(),IF($G315=Constants!$B$3,FALSE(),TRUE())))</f>
        <v/>
      </c>
      <c r="AK315" s="74" t="str">
        <f aca="false">IF(ISBLANK($C315),"",IF($H315=Constants!$B$2,TRUE(),IF($H315=Constants!$B$3,FALSE(),TRUE())))</f>
        <v/>
      </c>
      <c r="AL315" s="74" t="str">
        <f aca="false">IF(ISBLANK($C315),"",IF(ISNUMBER($I315),IF($I315&gt;=0,$I315,""),""))</f>
        <v/>
      </c>
      <c r="AM315" s="74" t="str">
        <f aca="false">IF(ISBLANK($C315),"",IF(ISNUMBER($J315),IF($J315&gt;=0,$J315,""),""))</f>
        <v/>
      </c>
      <c r="AN315" s="74" t="str">
        <f aca="false">IF(ISBLANK($C315),"",IF(ISNUMBER($K315),IF($K315&gt;=0,$K315,""),""))</f>
        <v/>
      </c>
      <c r="AO315" s="74" t="str">
        <f aca="false">IF(ISBLANK($C315),"",IF($L315=Constants!$B$2,TRUE(),IF($L315=Constants!$B$3,FALSE(),TRUE())))</f>
        <v/>
      </c>
      <c r="AP315" s="74" t="str">
        <f aca="false">IF(ISBLANK($C315),"",IF($M315=Constants!$B$2,TRUE(),IF($M315=Constants!$B$3,FALSE(),TRUE())))</f>
        <v/>
      </c>
      <c r="AQ315" s="74" t="str">
        <f aca="false">IF(ISBLANK($C315),"",IF($N315=Constants!$B$2,TRUE(),IF($N315=Constants!$B$3,FALSE(),FALSE())))</f>
        <v/>
      </c>
      <c r="AR315" s="74" t="str">
        <f aca="false">IF(ISBLANK($C315),"",IF($O315=Constants!$B$2,TRUE(),IF($O315=Constants!$B$3,FALSE(),TRUE())))</f>
        <v/>
      </c>
      <c r="AS315" s="74" t="str">
        <f aca="false">IF(ISBLANK($C315),"",IF($P315=Constants!$B$2,TRUE(),IF($P315=Constants!$B$3,FALSE(),FALSE())))</f>
        <v/>
      </c>
      <c r="AT315" s="74" t="str">
        <f aca="false">IF(ISBLANK($C315),"",IF($Q315=Constants!$B$2,TRUE(),IF($Q315=Constants!$B$3,FALSE(),FALSE())))</f>
        <v/>
      </c>
      <c r="AU315" s="74" t="str">
        <f aca="false">IF(ISBLANK($C315),"",IF($R315=Constants!$B$2,TRUE(),IF($R315=Constants!$B$3,FALSE(),FALSE())))</f>
        <v/>
      </c>
      <c r="AV315" s="74" t="str">
        <f aca="false">IF(ISBLANK($C315),"",IF($S315=Constants!$B$2,TRUE(),IF($S315=Constants!$B$3,FALSE(),FALSE())))</f>
        <v/>
      </c>
      <c r="AW315" s="74" t="str">
        <f aca="false">IF(ISBLANK($C315),"",IF($T315=Constants!$B$2,TRUE(),IF($T315=Constants!$B$3,FALSE(),FALSE())))</f>
        <v/>
      </c>
      <c r="AX315" s="74" t="str">
        <f aca="false">IF(ISBLANK($C315),"",IF(OR($U315&amp;""="1",$U315&amp;""="2",$U315&amp;""="3",$U315&amp;""="4"),VALUE($U315&amp;""),IF($U315=Constants!$B$12,Constants!$B$12,"")))</f>
        <v/>
      </c>
      <c r="AY315" s="74" t="str">
        <f aca="false">IF(ISBLANK($C315),"",IF(ISBLANK($V315),0,IF(ISNUMBER($V315),IF(AND($V315&gt;=0,$V315&lt;=Constants!$B$21,$V315=INT($V315)),$V315,""),"")))</f>
        <v/>
      </c>
      <c r="AZ315" s="74" t="str">
        <f aca="false">IF(ISBLANK($C315),"",IF(ISBLANK($W315),0,IF(ISNUMBER($W315),IF($W315&gt;=0,$W315,""),"")))</f>
        <v/>
      </c>
      <c r="BA315" s="74" t="str">
        <f aca="false">IF(ISBLANK($C315),"",IF($X315=Constants!$B$2,TRUE(),IF($X315=Constants!$B$3,FALSE(),TRUE())))</f>
        <v/>
      </c>
      <c r="BB315" s="74" t="str">
        <f aca="false">IF(ISBLANK($C315),"",IF($Y315=Constants!$B$2,TRUE(),IF($Y315=Constants!$B$3,FALSE(),FALSE())))</f>
        <v/>
      </c>
      <c r="BC315" s="74" t="str">
        <f aca="false">IF(ISBLANK($C315),"",IF(ISBLANK($Z315),0,IF(ISNUMBER($Z315),IF(AND($Z315&gt;=0,$Z315&lt;=Constants!$B$35,$Z315=INT($Z315)),$Z315,""),"")))</f>
        <v/>
      </c>
      <c r="BD315" s="74" t="str">
        <f aca="false">IF(ISBLANK($C315),"",IF($AA315=Constants!$B$2,TRUE(),IF($AA315=Constants!$B$3,FALSE(),TRUE())))</f>
        <v/>
      </c>
      <c r="BE315" s="74" t="str">
        <f aca="false">IF(ISBLANK($C315),"",IF($AB315=Constants!$B$2,TRUE(),IF($AB315=Constants!$B$3,FALSE(),TRUE())))</f>
        <v/>
      </c>
      <c r="BF315" s="74" t="str">
        <f aca="false">IF(ISBLANK($C315),"",IF(ISNUMBER($AC315),IF($AC315&gt;=0,$AC315,""),""))</f>
        <v/>
      </c>
      <c r="BG315" s="74" t="str">
        <f aca="false">IF(ISBLANK($C315),"",IF($AD315=Constants!$B$2,TRUE(),IF($AD315=Constants!$B$3,FALSE(),FALSE())))</f>
        <v/>
      </c>
      <c r="BH315" s="73" t="str">
        <f aca="false">IF(ISBLANK($C315),"",IF($BG315,Constants!$B$7,IF(COUNTA($E315:$AC315)=0,Constants!$B$6,IF(OR(COUNTA($G315:$AC315)=0,NOT($AK315),$AQ315),Constants!$B$5,IF(OR($CI315&lt;&gt;"",$CJ315,$CK315,$CL315,$CM315,$CN315,$CO315),Constants!$B$8,Constants!$B$4)))))</f>
        <v/>
      </c>
      <c r="BI315" s="74" t="str">
        <f aca="false">IF(ISBLANK($C315),"",IF($BH315&lt;&gt;Constants!$B$4,$BH315,IF(OR(NOT($AH315),NOT($AJ315),NOT($AR315)),Constants!$B$11,IF(OR(NOT($AP315),MAX($AL315,$AM315,$AN315)&gt;Constants!$B$30),Constants!$B$10,Constants!$B$9))))</f>
        <v/>
      </c>
      <c r="BJ315" s="74" t="str">
        <f aca="false">IF($BH315&lt;&gt;Constants!$B$4,"",IF(NOT($AJ315),0,MIN(Constants!$B$35,$BC315)))</f>
        <v/>
      </c>
      <c r="BK315" s="74" t="str">
        <f aca="false">IF($BH315&lt;&gt;Constants!$B$4,"",IF(NOT($AJ315),0,IF($AT315,Constants!$B$18,IF($AS315,Constants!$B$17,0))))</f>
        <v/>
      </c>
      <c r="BL315" s="74" t="str">
        <f aca="false">IF($BH315&lt;&gt;Constants!$B$4,"",IF(NOT($AJ315),0,Constants!$B$19*($AI315+$AU315+$AV315+$AW315)))</f>
        <v/>
      </c>
      <c r="BM315" s="74" t="str">
        <f aca="false">IF($BH315&lt;&gt;Constants!$B$4,"",IF(OR(NOT($AJ315),NOT(ISNUMBER($AX315))),0,CHOOSE($AX315,Constants!$B$13,Constants!$B$14,Constants!$B$15,Constants!$B$16)))</f>
        <v/>
      </c>
      <c r="BN315" s="74" t="str">
        <f aca="false">IF($BH315&lt;&gt;Constants!$B$4,"",IF(NOT($AJ315),0,Constants!$B$20*$AY315))</f>
        <v/>
      </c>
      <c r="BO315" s="74" t="str">
        <f aca="false">IF($BH315&lt;&gt;Constants!$B$4,"",IF(AND($AJ315,$BA315,$BB315),Constants!$B$22,0))</f>
        <v/>
      </c>
      <c r="BP315" s="74" t="str">
        <f aca="false">IF($BH315&lt;&gt;Constants!$B$4,"",IF(OR(NOT($AJ315),NOT($BA315)),0,IF($BF315&gt;=2*$AF$9,0,Constants!$B$23*INT(ROUND(MIN($BF315,$AF$9),6)))))</f>
        <v/>
      </c>
      <c r="BQ315" s="74" t="str">
        <f aca="false">IF($BH315&lt;&gt;Constants!$B$4,"",IF(NOT($AJ315),0,Constants!$B$24*INT(ROUND(MIN($AZ315,$AF$9),6))))</f>
        <v/>
      </c>
      <c r="BR315" s="74" t="str">
        <f aca="false">IF($BH315&lt;&gt;Constants!$B$4,"",IF(AND($AJ315,$BJ315=0),Constants!$B$25,0))</f>
        <v/>
      </c>
      <c r="BS315" s="74" t="str">
        <f aca="false">IF($BH315&lt;&gt;Constants!$B$4,"",MIN(Constants!$B$29,MAX(0,Constants!$B$27*Constants!$B$28*INT(ROUND((Constants!$B$26-$AL315)/Constants!$B$28,6))))+MIN(Constants!$B$29,MAX(0,Constants!$B$27*Constants!$B$28*INT(ROUND((Constants!$B$26-$AM315)/Constants!$B$28,6))))+MIN(Constants!$B$29,MAX(0,Constants!$B$27*Constants!$B$28*INT(ROUND((Constants!$B$26-$AN315)/Constants!$B$28,6)))))</f>
        <v/>
      </c>
      <c r="BT315" s="74" t="str">
        <f aca="false">IF($BH315&lt;&gt;Constants!$B$4,"",IF(NOT($AJ315),0,Constants!$B$31*INT(ROUND(MAX(0,MIN($BF315,2*$AF$9)-$AF$9),6))))</f>
        <v/>
      </c>
      <c r="BU315" s="74" t="str">
        <f aca="false">IF($BH315&lt;&gt;Constants!$B$4,"",Constants!$B$32*(($AL315&gt;Constants!$B$26)+($AM315&gt;Constants!$B$26)+($AN315&gt;Constants!$B$26)))</f>
        <v/>
      </c>
      <c r="BV315" s="74" t="str">
        <f aca="false">IF($BH315&lt;&gt;Constants!$B$4,"",IF(OR(NOT($AJ315),$AO315),0,Constants!$B$33))</f>
        <v/>
      </c>
      <c r="BW315" s="74" t="str">
        <f aca="false">IF($BH315&lt;&gt;Constants!$B$4,"",Constants!$B$34*$BJ315)</f>
        <v/>
      </c>
      <c r="BX315" s="74" t="str">
        <f aca="false">IF($BH315&lt;&gt;Constants!$B$4,"",IF(OR(NOT($AJ315),$BE315),0,Constants!$B$36))</f>
        <v/>
      </c>
      <c r="BY315" s="74" t="str">
        <f aca="false">IF($BH315&lt;&gt;Constants!$B$4,"",IF(OR(NOT($AJ315),$BD315),0,Constants!$B$37))</f>
        <v/>
      </c>
      <c r="BZ315" s="74" t="str">
        <f aca="false">IF($BH315&lt;&gt;Constants!$B$4,"",SUM($BT315:$BY315))</f>
        <v/>
      </c>
      <c r="CA315" s="74" t="str">
        <f aca="false">IF(ISBLANK($C315),"",IF($BH315&lt;&gt;Constants!$B$4,$BH315,SUM($BK315:$BS315)-$BZ315))</f>
        <v/>
      </c>
      <c r="CB315" s="74" t="str">
        <f aca="false">IF(ISBLANK($C315),"",IF($BH315&lt;&gt;Constants!$B$4,$BH315,RANK($CA315,$CA$9:$CA$508)))</f>
        <v/>
      </c>
      <c r="CC315" s="74" t="str">
        <f aca="false">IF(ISBLANK($C315),"",IF($BH315&lt;&gt;Constants!$B$4,$BH315,COUNTIFS($BI$9:$BI$508,"&lt;"&amp;$BI315)+COUNTIFS($BI$9:$BI$508,$BI315,$CB$9:$CB$508,"&lt;"&amp;$CB315)+1))</f>
        <v/>
      </c>
      <c r="CD315" s="74" t="str">
        <f aca="false">IF(ISBLANK($C315),"",IF($BH315&lt;&gt;Constants!$B$4,$BH315,RANK($BZ315,$BZ$9:$BZ$508,1)))</f>
        <v/>
      </c>
      <c r="CE315" s="74" t="str">
        <f aca="false">IF($BH315&lt;&gt;Constants!$B$4,"",$AL315+$AM315+$AN315)</f>
        <v/>
      </c>
      <c r="CF315" s="74" t="str">
        <f aca="false">IF(ISBLANK($C315),"",IF($BH315&lt;&gt;Constants!$B$4,$BH315,RANK($CE315,$CE$9:$CE$508,1)))</f>
        <v/>
      </c>
      <c r="CG315" s="74" t="str">
        <f aca="false">IF(ISBLANK($C315),"",IF($BH315&lt;&gt;Constants!$B$4,$BH315,COUNTIFS($BI$9:$BI$508,"&lt;"&amp;$BI315)+COUNTIFS($BI$9:$BI$508,$BI315,$CB$9:$CB$508,"&lt;"&amp;$CB315)+COUNTIFS($BI$9:$BI$508,$BI315,$CB$9:$CB$508,$CB315,$CD$9:$CD$508,"&lt;"&amp;$CD315)+COUNTIFS($BI$9:$BI$508,$BI315,$CB$9:$CB$508,$CB315,$CD$9:$CD$508,$CD315,$CF$9:$CF$508,"&lt;"&amp;$CF315)+1))</f>
        <v/>
      </c>
      <c r="CH315" s="74" t="str">
        <f aca="false">IF(ISBLANK($C315),"",IF($BH315&lt;&gt;Constants!$B$4,$BH315,$CC315-$CG315))</f>
        <v/>
      </c>
      <c r="CI315" s="74" t="str">
        <f aca="false">IF(ISBLANK($C315),"",IF(NOT($AJ315),"",IF(ISBLANK($D$7),$CI$5,IF(NOT(ISNUMBER($D$7)),$CI$6,""))))</f>
        <v/>
      </c>
      <c r="CJ315" s="74" t="str">
        <f aca="false">IF(ISBLANK($C315),"",OR($AL315="",$AM315="",$AN315=""))</f>
        <v/>
      </c>
      <c r="CK315" s="74" t="str">
        <f aca="false">IF(ISBLANK($C315),"",AND($AJ315,$AX315=""))</f>
        <v/>
      </c>
      <c r="CL315" s="74" t="str">
        <f aca="false">IF(ISBLANK($C315),"",AND($AJ315,$AY315=""))</f>
        <v/>
      </c>
      <c r="CM315" s="74" t="str">
        <f aca="false">IF(ISBLANK($C315),"",AND($AJ315,$AZ315=""))</f>
        <v/>
      </c>
      <c r="CN315" s="74" t="str">
        <f aca="false">IF(ISBLANK($C315),"",AND($AJ315,$BC315=""))</f>
        <v/>
      </c>
      <c r="CO315" s="74" t="str">
        <f aca="false">IF(ISBLANK($C315),"",AND($AJ315,$BF315=""))</f>
        <v/>
      </c>
      <c r="CP315" s="75"/>
      <c r="CQ315" s="76"/>
      <c r="CR315" s="79" t="str">
        <f aca="false">IF(ISBLANK($C315),"",IF($BH315=Constants!$B$8,$CI315,""))</f>
        <v/>
      </c>
      <c r="CS315" s="76" t="str">
        <f aca="false">IF(ISBLANK($C315),"",IF($BH315&lt;&gt;Constants!$B$4,"",$BK315+$BL315))</f>
        <v/>
      </c>
      <c r="CT315" s="78" t="str">
        <f aca="false">IF(ISBLANK($C315),"",IF($BH315&lt;&gt;Constants!$B$4,"",$BM315+$BN315+$BO315))</f>
        <v/>
      </c>
      <c r="CU315" s="78" t="str">
        <f aca="false">IF(ISBLANK($C315),"",IF($BH315&lt;&gt;Constants!$B$4,"",$BP315))</f>
        <v/>
      </c>
      <c r="CV315" s="78" t="str">
        <f aca="false">IF(ISBLANK($C315),"",IF($BH315&lt;&gt;Constants!$B$4,"",$BQ315+$BR315))</f>
        <v/>
      </c>
      <c r="CW315" s="78" t="str">
        <f aca="false">IF(ISBLANK($C315),"",IF($BH315&lt;&gt;Constants!$B$4,"",$BS315))</f>
        <v/>
      </c>
      <c r="CX315" s="78" t="str">
        <f aca="false">IF(ISBLANK($C315),"",IF($BH315&lt;&gt;Constants!$B$4,"",-$BZ315))</f>
        <v/>
      </c>
      <c r="CY315" s="79" t="str">
        <f aca="false">IF(ISBLANK($C315),"",$CA315)</f>
        <v/>
      </c>
      <c r="CZ315" s="80" t="str">
        <f aca="false">IF(ISBLANK($C315),"",$BI315)</f>
        <v/>
      </c>
      <c r="DA315" s="78" t="str">
        <f aca="false">IF(ISBLANK($C315),"",$CH315)</f>
        <v/>
      </c>
      <c r="DB315" s="78" t="str">
        <f aca="false">IF(ISBLANK($C315),"",$CG315)</f>
        <v/>
      </c>
      <c r="DC315" s="81" t="str">
        <f aca="false">IF(ISBLANK($C315),"",IFERROR(_xlfn.SWITCH($DB315,Constants!$B$7,COUNTA($C$9:$C$508)+2,Constants!$B$6,COUNTA($C$9:$C$508)+1,Constants!$B$5,COUNTA($C$9:$C$508)),$DB315))</f>
        <v/>
      </c>
      <c r="DD315" s="7"/>
      <c r="DE315" s="82" t="n">
        <f aca="false">IF(OR(ISNUMBER($DB315),$DB315=Constants!$B$7,$DB315=Constants!$B$5,$DB315=Constants!$B$6),1,0)</f>
        <v>0</v>
      </c>
      <c r="DF315" s="82" t="n">
        <v>307</v>
      </c>
      <c r="DG315" s="82" t="str">
        <f aca="false">IF(ISBLANK($C315),"",IF(ISNUMBER($DC315),$DC315+ROW($B315)/1000,""))</f>
        <v/>
      </c>
      <c r="DH315" s="82" t="str">
        <f aca="false">IF(ISNUMBER($DG315),RANK($DG315,$DG$9:$DG$508,1),"")</f>
        <v/>
      </c>
      <c r="DI315" s="82" t="str">
        <f aca="false">IF(ISBLANK($C315),"",$B315)</f>
        <v/>
      </c>
      <c r="DJ315" s="82" t="str">
        <f aca="false">IF(ISBLANK($C315),"",$C315)</f>
        <v/>
      </c>
      <c r="DK315" s="82" t="str">
        <f aca="false">IF(ISBLANK($C315),"",$D315)</f>
        <v/>
      </c>
      <c r="DL315" s="83" t="str">
        <f aca="false">$CZ315</f>
        <v/>
      </c>
      <c r="DM315" s="84" t="str">
        <f aca="false">$CY315</f>
        <v/>
      </c>
      <c r="DN315" s="82" t="str">
        <f aca="false">IF(ISBLANK($C315),"",$DB315)</f>
        <v/>
      </c>
      <c r="DO315" s="85" t="str">
        <f aca="false">IF($DF315&gt;$DE$8,"",VLOOKUP($DF315,$DH$9:$DN$508,7,FALSE()))</f>
        <v/>
      </c>
      <c r="DP315" s="86" t="str">
        <f aca="false">IF($DF315&gt;$DE$8,"",VLOOKUP($DF315,$DH$9:$DN$508,2,FALSE()))</f>
        <v/>
      </c>
      <c r="DQ315" s="86" t="str">
        <f aca="false">IF($DF315&gt;$DE$8,"",VLOOKUP($DF315,$DH$9:$DN$508,3,FALSE()))</f>
        <v/>
      </c>
      <c r="DR315" s="86" t="str">
        <f aca="false">IF($DF315&gt;$DE$8,"",VLOOKUP($DF315,$DH$9:$DN$508,4,FALSE()))</f>
        <v/>
      </c>
      <c r="DS315" s="86" t="str">
        <f aca="false">IF($DF315&gt;$DE$8,"",VLOOKUP($DF315,$DH$9:$DN$508,5,FALSE()))</f>
        <v/>
      </c>
      <c r="DT315" s="87" t="str">
        <f aca="false">IF($DF315&gt;$DE$8,"",VLOOKUP($DF315,$DH$9:$DN$508,6,FALSE()))</f>
        <v/>
      </c>
      <c r="DU315" s="62"/>
    </row>
    <row r="316" customFormat="false" ht="15.75" hidden="false" customHeight="false" outlineLevel="0" collapsed="false">
      <c r="A316" s="7"/>
      <c r="B316" s="64"/>
      <c r="C316" s="65"/>
      <c r="D316" s="123"/>
      <c r="E316" s="88"/>
      <c r="F316" s="134"/>
      <c r="G316" s="88"/>
      <c r="H316" s="134"/>
      <c r="I316" s="119"/>
      <c r="J316" s="119"/>
      <c r="K316" s="119"/>
      <c r="L316" s="88"/>
      <c r="M316" s="88"/>
      <c r="N316" s="88"/>
      <c r="O316" s="134"/>
      <c r="P316" s="88"/>
      <c r="Q316" s="88"/>
      <c r="R316" s="88"/>
      <c r="S316" s="88"/>
      <c r="T316" s="134"/>
      <c r="U316" s="88"/>
      <c r="V316" s="70"/>
      <c r="W316" s="88"/>
      <c r="X316" s="88"/>
      <c r="Y316" s="70"/>
      <c r="Z316" s="70"/>
      <c r="AA316" s="88"/>
      <c r="AB316" s="88"/>
      <c r="AC316" s="71"/>
      <c r="AD316" s="88"/>
      <c r="AE316" s="73"/>
      <c r="AF316" s="74"/>
      <c r="AG316" s="74"/>
      <c r="AH316" s="74" t="str">
        <f aca="false">IF(ISBLANK($C316),"",IF($E316=Constants!$B$2,TRUE(),IF($E316=Constants!$B$3,FALSE(),TRUE())))</f>
        <v/>
      </c>
      <c r="AI316" s="74" t="str">
        <f aca="false">IF(ISBLANK($C316),"",IF($F316=Constants!$B$2,TRUE(),IF($F316=Constants!$B$3,FALSE(),FALSE())))</f>
        <v/>
      </c>
      <c r="AJ316" s="74" t="str">
        <f aca="false">IF(ISBLANK($C316),"",IF($G316=Constants!$B$2,TRUE(),IF($G316=Constants!$B$3,FALSE(),TRUE())))</f>
        <v/>
      </c>
      <c r="AK316" s="74" t="str">
        <f aca="false">IF(ISBLANK($C316),"",IF($H316=Constants!$B$2,TRUE(),IF($H316=Constants!$B$3,FALSE(),TRUE())))</f>
        <v/>
      </c>
      <c r="AL316" s="74" t="str">
        <f aca="false">IF(ISBLANK($C316),"",IF(ISNUMBER($I316),IF($I316&gt;=0,$I316,""),""))</f>
        <v/>
      </c>
      <c r="AM316" s="74" t="str">
        <f aca="false">IF(ISBLANK($C316),"",IF(ISNUMBER($J316),IF($J316&gt;=0,$J316,""),""))</f>
        <v/>
      </c>
      <c r="AN316" s="74" t="str">
        <f aca="false">IF(ISBLANK($C316),"",IF(ISNUMBER($K316),IF($K316&gt;=0,$K316,""),""))</f>
        <v/>
      </c>
      <c r="AO316" s="74" t="str">
        <f aca="false">IF(ISBLANK($C316),"",IF($L316=Constants!$B$2,TRUE(),IF($L316=Constants!$B$3,FALSE(),TRUE())))</f>
        <v/>
      </c>
      <c r="AP316" s="74" t="str">
        <f aca="false">IF(ISBLANK($C316),"",IF($M316=Constants!$B$2,TRUE(),IF($M316=Constants!$B$3,FALSE(),TRUE())))</f>
        <v/>
      </c>
      <c r="AQ316" s="74" t="str">
        <f aca="false">IF(ISBLANK($C316),"",IF($N316=Constants!$B$2,TRUE(),IF($N316=Constants!$B$3,FALSE(),FALSE())))</f>
        <v/>
      </c>
      <c r="AR316" s="74" t="str">
        <f aca="false">IF(ISBLANK($C316),"",IF($O316=Constants!$B$2,TRUE(),IF($O316=Constants!$B$3,FALSE(),TRUE())))</f>
        <v/>
      </c>
      <c r="AS316" s="74" t="str">
        <f aca="false">IF(ISBLANK($C316),"",IF($P316=Constants!$B$2,TRUE(),IF($P316=Constants!$B$3,FALSE(),FALSE())))</f>
        <v/>
      </c>
      <c r="AT316" s="74" t="str">
        <f aca="false">IF(ISBLANK($C316),"",IF($Q316=Constants!$B$2,TRUE(),IF($Q316=Constants!$B$3,FALSE(),FALSE())))</f>
        <v/>
      </c>
      <c r="AU316" s="74" t="str">
        <f aca="false">IF(ISBLANK($C316),"",IF($R316=Constants!$B$2,TRUE(),IF($R316=Constants!$B$3,FALSE(),FALSE())))</f>
        <v/>
      </c>
      <c r="AV316" s="74" t="str">
        <f aca="false">IF(ISBLANK($C316),"",IF($S316=Constants!$B$2,TRUE(),IF($S316=Constants!$B$3,FALSE(),FALSE())))</f>
        <v/>
      </c>
      <c r="AW316" s="74" t="str">
        <f aca="false">IF(ISBLANK($C316),"",IF($T316=Constants!$B$2,TRUE(),IF($T316=Constants!$B$3,FALSE(),FALSE())))</f>
        <v/>
      </c>
      <c r="AX316" s="74" t="str">
        <f aca="false">IF(ISBLANK($C316),"",IF(OR($U316&amp;""="1",$U316&amp;""="2",$U316&amp;""="3",$U316&amp;""="4"),VALUE($U316&amp;""),IF($U316=Constants!$B$12,Constants!$B$12,"")))</f>
        <v/>
      </c>
      <c r="AY316" s="74" t="str">
        <f aca="false">IF(ISBLANK($C316),"",IF(ISBLANK($V316),0,IF(ISNUMBER($V316),IF(AND($V316&gt;=0,$V316&lt;=Constants!$B$21,$V316=INT($V316)),$V316,""),"")))</f>
        <v/>
      </c>
      <c r="AZ316" s="74" t="str">
        <f aca="false">IF(ISBLANK($C316),"",IF(ISBLANK($W316),0,IF(ISNUMBER($W316),IF($W316&gt;=0,$W316,""),"")))</f>
        <v/>
      </c>
      <c r="BA316" s="74" t="str">
        <f aca="false">IF(ISBLANK($C316),"",IF($X316=Constants!$B$2,TRUE(),IF($X316=Constants!$B$3,FALSE(),TRUE())))</f>
        <v/>
      </c>
      <c r="BB316" s="74" t="str">
        <f aca="false">IF(ISBLANK($C316),"",IF($Y316=Constants!$B$2,TRUE(),IF($Y316=Constants!$B$3,FALSE(),FALSE())))</f>
        <v/>
      </c>
      <c r="BC316" s="74" t="str">
        <f aca="false">IF(ISBLANK($C316),"",IF(ISBLANK($Z316),0,IF(ISNUMBER($Z316),IF(AND($Z316&gt;=0,$Z316&lt;=Constants!$B$35,$Z316=INT($Z316)),$Z316,""),"")))</f>
        <v/>
      </c>
      <c r="BD316" s="74" t="str">
        <f aca="false">IF(ISBLANK($C316),"",IF($AA316=Constants!$B$2,TRUE(),IF($AA316=Constants!$B$3,FALSE(),TRUE())))</f>
        <v/>
      </c>
      <c r="BE316" s="74" t="str">
        <f aca="false">IF(ISBLANK($C316),"",IF($AB316=Constants!$B$2,TRUE(),IF($AB316=Constants!$B$3,FALSE(),TRUE())))</f>
        <v/>
      </c>
      <c r="BF316" s="74" t="str">
        <f aca="false">IF(ISBLANK($C316),"",IF(ISNUMBER($AC316),IF($AC316&gt;=0,$AC316,""),""))</f>
        <v/>
      </c>
      <c r="BG316" s="74" t="str">
        <f aca="false">IF(ISBLANK($C316),"",IF($AD316=Constants!$B$2,TRUE(),IF($AD316=Constants!$B$3,FALSE(),FALSE())))</f>
        <v/>
      </c>
      <c r="BH316" s="73" t="str">
        <f aca="false">IF(ISBLANK($C316),"",IF($BG316,Constants!$B$7,IF(COUNTA($E316:$AC316)=0,Constants!$B$6,IF(OR(COUNTA($G316:$AC316)=0,NOT($AK316),$AQ316),Constants!$B$5,IF(OR($CI316&lt;&gt;"",$CJ316,$CK316,$CL316,$CM316,$CN316,$CO316),Constants!$B$8,Constants!$B$4)))))</f>
        <v/>
      </c>
      <c r="BI316" s="74" t="str">
        <f aca="false">IF(ISBLANK($C316),"",IF($BH316&lt;&gt;Constants!$B$4,$BH316,IF(OR(NOT($AH316),NOT($AJ316),NOT($AR316)),Constants!$B$11,IF(OR(NOT($AP316),MAX($AL316,$AM316,$AN316)&gt;Constants!$B$30),Constants!$B$10,Constants!$B$9))))</f>
        <v/>
      </c>
      <c r="BJ316" s="74" t="str">
        <f aca="false">IF($BH316&lt;&gt;Constants!$B$4,"",IF(NOT($AJ316),0,MIN(Constants!$B$35,$BC316)))</f>
        <v/>
      </c>
      <c r="BK316" s="74" t="str">
        <f aca="false">IF($BH316&lt;&gt;Constants!$B$4,"",IF(NOT($AJ316),0,IF($AT316,Constants!$B$18,IF($AS316,Constants!$B$17,0))))</f>
        <v/>
      </c>
      <c r="BL316" s="74" t="str">
        <f aca="false">IF($BH316&lt;&gt;Constants!$B$4,"",IF(NOT($AJ316),0,Constants!$B$19*($AI316+$AU316+$AV316+$AW316)))</f>
        <v/>
      </c>
      <c r="BM316" s="74" t="str">
        <f aca="false">IF($BH316&lt;&gt;Constants!$B$4,"",IF(OR(NOT($AJ316),NOT(ISNUMBER($AX316))),0,CHOOSE($AX316,Constants!$B$13,Constants!$B$14,Constants!$B$15,Constants!$B$16)))</f>
        <v/>
      </c>
      <c r="BN316" s="74" t="str">
        <f aca="false">IF($BH316&lt;&gt;Constants!$B$4,"",IF(NOT($AJ316),0,Constants!$B$20*$AY316))</f>
        <v/>
      </c>
      <c r="BO316" s="74" t="str">
        <f aca="false">IF($BH316&lt;&gt;Constants!$B$4,"",IF(AND($AJ316,$BA316,$BB316),Constants!$B$22,0))</f>
        <v/>
      </c>
      <c r="BP316" s="74" t="str">
        <f aca="false">IF($BH316&lt;&gt;Constants!$B$4,"",IF(OR(NOT($AJ316),NOT($BA316)),0,IF($BF316&gt;=2*$AF$9,0,Constants!$B$23*INT(ROUND(MIN($BF316,$AF$9),6)))))</f>
        <v/>
      </c>
      <c r="BQ316" s="74" t="str">
        <f aca="false">IF($BH316&lt;&gt;Constants!$B$4,"",IF(NOT($AJ316),0,Constants!$B$24*INT(ROUND(MIN($AZ316,$AF$9),6))))</f>
        <v/>
      </c>
      <c r="BR316" s="74" t="str">
        <f aca="false">IF($BH316&lt;&gt;Constants!$B$4,"",IF(AND($AJ316,$BJ316=0),Constants!$B$25,0))</f>
        <v/>
      </c>
      <c r="BS316" s="74" t="str">
        <f aca="false">IF($BH316&lt;&gt;Constants!$B$4,"",MIN(Constants!$B$29,MAX(0,Constants!$B$27*Constants!$B$28*INT(ROUND((Constants!$B$26-$AL316)/Constants!$B$28,6))))+MIN(Constants!$B$29,MAX(0,Constants!$B$27*Constants!$B$28*INT(ROUND((Constants!$B$26-$AM316)/Constants!$B$28,6))))+MIN(Constants!$B$29,MAX(0,Constants!$B$27*Constants!$B$28*INT(ROUND((Constants!$B$26-$AN316)/Constants!$B$28,6)))))</f>
        <v/>
      </c>
      <c r="BT316" s="74" t="str">
        <f aca="false">IF($BH316&lt;&gt;Constants!$B$4,"",IF(NOT($AJ316),0,Constants!$B$31*INT(ROUND(MAX(0,MIN($BF316,2*$AF$9)-$AF$9),6))))</f>
        <v/>
      </c>
      <c r="BU316" s="74" t="str">
        <f aca="false">IF($BH316&lt;&gt;Constants!$B$4,"",Constants!$B$32*(($AL316&gt;Constants!$B$26)+($AM316&gt;Constants!$B$26)+($AN316&gt;Constants!$B$26)))</f>
        <v/>
      </c>
      <c r="BV316" s="74" t="str">
        <f aca="false">IF($BH316&lt;&gt;Constants!$B$4,"",IF(OR(NOT($AJ316),$AO316),0,Constants!$B$33))</f>
        <v/>
      </c>
      <c r="BW316" s="74" t="str">
        <f aca="false">IF($BH316&lt;&gt;Constants!$B$4,"",Constants!$B$34*$BJ316)</f>
        <v/>
      </c>
      <c r="BX316" s="74" t="str">
        <f aca="false">IF($BH316&lt;&gt;Constants!$B$4,"",IF(OR(NOT($AJ316),$BE316),0,Constants!$B$36))</f>
        <v/>
      </c>
      <c r="BY316" s="74" t="str">
        <f aca="false">IF($BH316&lt;&gt;Constants!$B$4,"",IF(OR(NOT($AJ316),$BD316),0,Constants!$B$37))</f>
        <v/>
      </c>
      <c r="BZ316" s="74" t="str">
        <f aca="false">IF($BH316&lt;&gt;Constants!$B$4,"",SUM($BT316:$BY316))</f>
        <v/>
      </c>
      <c r="CA316" s="74" t="str">
        <f aca="false">IF(ISBLANK($C316),"",IF($BH316&lt;&gt;Constants!$B$4,$BH316,SUM($BK316:$BS316)-$BZ316))</f>
        <v/>
      </c>
      <c r="CB316" s="74" t="str">
        <f aca="false">IF(ISBLANK($C316),"",IF($BH316&lt;&gt;Constants!$B$4,$BH316,RANK($CA316,$CA$9:$CA$508)))</f>
        <v/>
      </c>
      <c r="CC316" s="74" t="str">
        <f aca="false">IF(ISBLANK($C316),"",IF($BH316&lt;&gt;Constants!$B$4,$BH316,COUNTIFS($BI$9:$BI$508,"&lt;"&amp;$BI316)+COUNTIFS($BI$9:$BI$508,$BI316,$CB$9:$CB$508,"&lt;"&amp;$CB316)+1))</f>
        <v/>
      </c>
      <c r="CD316" s="74" t="str">
        <f aca="false">IF(ISBLANK($C316),"",IF($BH316&lt;&gt;Constants!$B$4,$BH316,RANK($BZ316,$BZ$9:$BZ$508,1)))</f>
        <v/>
      </c>
      <c r="CE316" s="74" t="str">
        <f aca="false">IF($BH316&lt;&gt;Constants!$B$4,"",$AL316+$AM316+$AN316)</f>
        <v/>
      </c>
      <c r="CF316" s="74" t="str">
        <f aca="false">IF(ISBLANK($C316),"",IF($BH316&lt;&gt;Constants!$B$4,$BH316,RANK($CE316,$CE$9:$CE$508,1)))</f>
        <v/>
      </c>
      <c r="CG316" s="74" t="str">
        <f aca="false">IF(ISBLANK($C316),"",IF($BH316&lt;&gt;Constants!$B$4,$BH316,COUNTIFS($BI$9:$BI$508,"&lt;"&amp;$BI316)+COUNTIFS($BI$9:$BI$508,$BI316,$CB$9:$CB$508,"&lt;"&amp;$CB316)+COUNTIFS($BI$9:$BI$508,$BI316,$CB$9:$CB$508,$CB316,$CD$9:$CD$508,"&lt;"&amp;$CD316)+COUNTIFS($BI$9:$BI$508,$BI316,$CB$9:$CB$508,$CB316,$CD$9:$CD$508,$CD316,$CF$9:$CF$508,"&lt;"&amp;$CF316)+1))</f>
        <v/>
      </c>
      <c r="CH316" s="74" t="str">
        <f aca="false">IF(ISBLANK($C316),"",IF($BH316&lt;&gt;Constants!$B$4,$BH316,$CC316-$CG316))</f>
        <v/>
      </c>
      <c r="CI316" s="74" t="str">
        <f aca="false">IF(ISBLANK($C316),"",IF(NOT($AJ316),"",IF(ISBLANK($D$7),$CI$5,IF(NOT(ISNUMBER($D$7)),$CI$6,""))))</f>
        <v/>
      </c>
      <c r="CJ316" s="74" t="str">
        <f aca="false">IF(ISBLANK($C316),"",OR($AL316="",$AM316="",$AN316=""))</f>
        <v/>
      </c>
      <c r="CK316" s="74" t="str">
        <f aca="false">IF(ISBLANK($C316),"",AND($AJ316,$AX316=""))</f>
        <v/>
      </c>
      <c r="CL316" s="74" t="str">
        <f aca="false">IF(ISBLANK($C316),"",AND($AJ316,$AY316=""))</f>
        <v/>
      </c>
      <c r="CM316" s="74" t="str">
        <f aca="false">IF(ISBLANK($C316),"",AND($AJ316,$AZ316=""))</f>
        <v/>
      </c>
      <c r="CN316" s="74" t="str">
        <f aca="false">IF(ISBLANK($C316),"",AND($AJ316,$BC316=""))</f>
        <v/>
      </c>
      <c r="CO316" s="74" t="str">
        <f aca="false">IF(ISBLANK($C316),"",AND($AJ316,$BF316=""))</f>
        <v/>
      </c>
      <c r="CP316" s="75"/>
      <c r="CQ316" s="76"/>
      <c r="CR316" s="79" t="str">
        <f aca="false">IF(ISBLANK($C316),"",IF($BH316=Constants!$B$8,$CI316,""))</f>
        <v/>
      </c>
      <c r="CS316" s="76" t="str">
        <f aca="false">IF(ISBLANK($C316),"",IF($BH316&lt;&gt;Constants!$B$4,"",$BK316+$BL316))</f>
        <v/>
      </c>
      <c r="CT316" s="78" t="str">
        <f aca="false">IF(ISBLANK($C316),"",IF($BH316&lt;&gt;Constants!$B$4,"",$BM316+$BN316+$BO316))</f>
        <v/>
      </c>
      <c r="CU316" s="78" t="str">
        <f aca="false">IF(ISBLANK($C316),"",IF($BH316&lt;&gt;Constants!$B$4,"",$BP316))</f>
        <v/>
      </c>
      <c r="CV316" s="78" t="str">
        <f aca="false">IF(ISBLANK($C316),"",IF($BH316&lt;&gt;Constants!$B$4,"",$BQ316+$BR316))</f>
        <v/>
      </c>
      <c r="CW316" s="78" t="str">
        <f aca="false">IF(ISBLANK($C316),"",IF($BH316&lt;&gt;Constants!$B$4,"",$BS316))</f>
        <v/>
      </c>
      <c r="CX316" s="78" t="str">
        <f aca="false">IF(ISBLANK($C316),"",IF($BH316&lt;&gt;Constants!$B$4,"",-$BZ316))</f>
        <v/>
      </c>
      <c r="CY316" s="79" t="str">
        <f aca="false">IF(ISBLANK($C316),"",$CA316)</f>
        <v/>
      </c>
      <c r="CZ316" s="80" t="str">
        <f aca="false">IF(ISBLANK($C316),"",$BI316)</f>
        <v/>
      </c>
      <c r="DA316" s="78" t="str">
        <f aca="false">IF(ISBLANK($C316),"",$CH316)</f>
        <v/>
      </c>
      <c r="DB316" s="78" t="str">
        <f aca="false">IF(ISBLANK($C316),"",$CG316)</f>
        <v/>
      </c>
      <c r="DC316" s="81" t="str">
        <f aca="false">IF(ISBLANK($C316),"",IFERROR(_xlfn.SWITCH($DB316,Constants!$B$7,COUNTA($C$9:$C$508)+2,Constants!$B$6,COUNTA($C$9:$C$508)+1,Constants!$B$5,COUNTA($C$9:$C$508)),$DB316))</f>
        <v/>
      </c>
      <c r="DD316" s="7"/>
      <c r="DE316" s="82" t="n">
        <f aca="false">IF(OR(ISNUMBER($DB316),$DB316=Constants!$B$7,$DB316=Constants!$B$5,$DB316=Constants!$B$6),1,0)</f>
        <v>0</v>
      </c>
      <c r="DF316" s="82" t="n">
        <v>308</v>
      </c>
      <c r="DG316" s="82" t="str">
        <f aca="false">IF(ISBLANK($C316),"",IF(ISNUMBER($DC316),$DC316+ROW($B316)/1000,""))</f>
        <v/>
      </c>
      <c r="DH316" s="82" t="str">
        <f aca="false">IF(ISNUMBER($DG316),RANK($DG316,$DG$9:$DG$508,1),"")</f>
        <v/>
      </c>
      <c r="DI316" s="82" t="str">
        <f aca="false">IF(ISBLANK($C316),"",$B316)</f>
        <v/>
      </c>
      <c r="DJ316" s="82" t="str">
        <f aca="false">IF(ISBLANK($C316),"",$C316)</f>
        <v/>
      </c>
      <c r="DK316" s="82" t="str">
        <f aca="false">IF(ISBLANK($C316),"",$D316)</f>
        <v/>
      </c>
      <c r="DL316" s="83" t="str">
        <f aca="false">$CZ316</f>
        <v/>
      </c>
      <c r="DM316" s="84" t="str">
        <f aca="false">$CY316</f>
        <v/>
      </c>
      <c r="DN316" s="82" t="str">
        <f aca="false">IF(ISBLANK($C316),"",$DB316)</f>
        <v/>
      </c>
      <c r="DO316" s="85" t="str">
        <f aca="false">IF($DF316&gt;$DE$8,"",VLOOKUP($DF316,$DH$9:$DN$508,7,FALSE()))</f>
        <v/>
      </c>
      <c r="DP316" s="86" t="str">
        <f aca="false">IF($DF316&gt;$DE$8,"",VLOOKUP($DF316,$DH$9:$DN$508,2,FALSE()))</f>
        <v/>
      </c>
      <c r="DQ316" s="86" t="str">
        <f aca="false">IF($DF316&gt;$DE$8,"",VLOOKUP($DF316,$DH$9:$DN$508,3,FALSE()))</f>
        <v/>
      </c>
      <c r="DR316" s="86" t="str">
        <f aca="false">IF($DF316&gt;$DE$8,"",VLOOKUP($DF316,$DH$9:$DN$508,4,FALSE()))</f>
        <v/>
      </c>
      <c r="DS316" s="86" t="str">
        <f aca="false">IF($DF316&gt;$DE$8,"",VLOOKUP($DF316,$DH$9:$DN$508,5,FALSE()))</f>
        <v/>
      </c>
      <c r="DT316" s="87" t="str">
        <f aca="false">IF($DF316&gt;$DE$8,"",VLOOKUP($DF316,$DH$9:$DN$508,6,FALSE()))</f>
        <v/>
      </c>
      <c r="DU316" s="62"/>
    </row>
    <row r="317" customFormat="false" ht="15.75" hidden="false" customHeight="false" outlineLevel="0" collapsed="false">
      <c r="A317" s="7"/>
      <c r="B317" s="64"/>
      <c r="C317" s="65"/>
      <c r="D317" s="123"/>
      <c r="E317" s="88"/>
      <c r="F317" s="134"/>
      <c r="G317" s="88"/>
      <c r="H317" s="134"/>
      <c r="I317" s="119"/>
      <c r="J317" s="119"/>
      <c r="K317" s="119"/>
      <c r="L317" s="88"/>
      <c r="M317" s="88"/>
      <c r="N317" s="88"/>
      <c r="O317" s="134"/>
      <c r="P317" s="88"/>
      <c r="Q317" s="88"/>
      <c r="R317" s="88"/>
      <c r="S317" s="88"/>
      <c r="T317" s="134"/>
      <c r="U317" s="88"/>
      <c r="V317" s="70"/>
      <c r="W317" s="88"/>
      <c r="X317" s="88"/>
      <c r="Y317" s="70"/>
      <c r="Z317" s="70"/>
      <c r="AA317" s="88"/>
      <c r="AB317" s="88"/>
      <c r="AC317" s="71"/>
      <c r="AD317" s="88"/>
      <c r="AE317" s="73"/>
      <c r="AF317" s="74"/>
      <c r="AG317" s="74"/>
      <c r="AH317" s="74" t="str">
        <f aca="false">IF(ISBLANK($C317),"",IF($E317=Constants!$B$2,TRUE(),IF($E317=Constants!$B$3,FALSE(),TRUE())))</f>
        <v/>
      </c>
      <c r="AI317" s="74" t="str">
        <f aca="false">IF(ISBLANK($C317),"",IF($F317=Constants!$B$2,TRUE(),IF($F317=Constants!$B$3,FALSE(),FALSE())))</f>
        <v/>
      </c>
      <c r="AJ317" s="74" t="str">
        <f aca="false">IF(ISBLANK($C317),"",IF($G317=Constants!$B$2,TRUE(),IF($G317=Constants!$B$3,FALSE(),TRUE())))</f>
        <v/>
      </c>
      <c r="AK317" s="74" t="str">
        <f aca="false">IF(ISBLANK($C317),"",IF($H317=Constants!$B$2,TRUE(),IF($H317=Constants!$B$3,FALSE(),TRUE())))</f>
        <v/>
      </c>
      <c r="AL317" s="74" t="str">
        <f aca="false">IF(ISBLANK($C317),"",IF(ISNUMBER($I317),IF($I317&gt;=0,$I317,""),""))</f>
        <v/>
      </c>
      <c r="AM317" s="74" t="str">
        <f aca="false">IF(ISBLANK($C317),"",IF(ISNUMBER($J317),IF($J317&gt;=0,$J317,""),""))</f>
        <v/>
      </c>
      <c r="AN317" s="74" t="str">
        <f aca="false">IF(ISBLANK($C317),"",IF(ISNUMBER($K317),IF($K317&gt;=0,$K317,""),""))</f>
        <v/>
      </c>
      <c r="AO317" s="74" t="str">
        <f aca="false">IF(ISBLANK($C317),"",IF($L317=Constants!$B$2,TRUE(),IF($L317=Constants!$B$3,FALSE(),TRUE())))</f>
        <v/>
      </c>
      <c r="AP317" s="74" t="str">
        <f aca="false">IF(ISBLANK($C317),"",IF($M317=Constants!$B$2,TRUE(),IF($M317=Constants!$B$3,FALSE(),TRUE())))</f>
        <v/>
      </c>
      <c r="AQ317" s="74" t="str">
        <f aca="false">IF(ISBLANK($C317),"",IF($N317=Constants!$B$2,TRUE(),IF($N317=Constants!$B$3,FALSE(),FALSE())))</f>
        <v/>
      </c>
      <c r="AR317" s="74" t="str">
        <f aca="false">IF(ISBLANK($C317),"",IF($O317=Constants!$B$2,TRUE(),IF($O317=Constants!$B$3,FALSE(),TRUE())))</f>
        <v/>
      </c>
      <c r="AS317" s="74" t="str">
        <f aca="false">IF(ISBLANK($C317),"",IF($P317=Constants!$B$2,TRUE(),IF($P317=Constants!$B$3,FALSE(),FALSE())))</f>
        <v/>
      </c>
      <c r="AT317" s="74" t="str">
        <f aca="false">IF(ISBLANK($C317),"",IF($Q317=Constants!$B$2,TRUE(),IF($Q317=Constants!$B$3,FALSE(),FALSE())))</f>
        <v/>
      </c>
      <c r="AU317" s="74" t="str">
        <f aca="false">IF(ISBLANK($C317),"",IF($R317=Constants!$B$2,TRUE(),IF($R317=Constants!$B$3,FALSE(),FALSE())))</f>
        <v/>
      </c>
      <c r="AV317" s="74" t="str">
        <f aca="false">IF(ISBLANK($C317),"",IF($S317=Constants!$B$2,TRUE(),IF($S317=Constants!$B$3,FALSE(),FALSE())))</f>
        <v/>
      </c>
      <c r="AW317" s="74" t="str">
        <f aca="false">IF(ISBLANK($C317),"",IF($T317=Constants!$B$2,TRUE(),IF($T317=Constants!$B$3,FALSE(),FALSE())))</f>
        <v/>
      </c>
      <c r="AX317" s="74" t="str">
        <f aca="false">IF(ISBLANK($C317),"",IF(OR($U317&amp;""="1",$U317&amp;""="2",$U317&amp;""="3",$U317&amp;""="4"),VALUE($U317&amp;""),IF($U317=Constants!$B$12,Constants!$B$12,"")))</f>
        <v/>
      </c>
      <c r="AY317" s="74" t="str">
        <f aca="false">IF(ISBLANK($C317),"",IF(ISBLANK($V317),0,IF(ISNUMBER($V317),IF(AND($V317&gt;=0,$V317&lt;=Constants!$B$21,$V317=INT($V317)),$V317,""),"")))</f>
        <v/>
      </c>
      <c r="AZ317" s="74" t="str">
        <f aca="false">IF(ISBLANK($C317),"",IF(ISBLANK($W317),0,IF(ISNUMBER($W317),IF($W317&gt;=0,$W317,""),"")))</f>
        <v/>
      </c>
      <c r="BA317" s="74" t="str">
        <f aca="false">IF(ISBLANK($C317),"",IF($X317=Constants!$B$2,TRUE(),IF($X317=Constants!$B$3,FALSE(),TRUE())))</f>
        <v/>
      </c>
      <c r="BB317" s="74" t="str">
        <f aca="false">IF(ISBLANK($C317),"",IF($Y317=Constants!$B$2,TRUE(),IF($Y317=Constants!$B$3,FALSE(),FALSE())))</f>
        <v/>
      </c>
      <c r="BC317" s="74" t="str">
        <f aca="false">IF(ISBLANK($C317),"",IF(ISBLANK($Z317),0,IF(ISNUMBER($Z317),IF(AND($Z317&gt;=0,$Z317&lt;=Constants!$B$35,$Z317=INT($Z317)),$Z317,""),"")))</f>
        <v/>
      </c>
      <c r="BD317" s="74" t="str">
        <f aca="false">IF(ISBLANK($C317),"",IF($AA317=Constants!$B$2,TRUE(),IF($AA317=Constants!$B$3,FALSE(),TRUE())))</f>
        <v/>
      </c>
      <c r="BE317" s="74" t="str">
        <f aca="false">IF(ISBLANK($C317),"",IF($AB317=Constants!$B$2,TRUE(),IF($AB317=Constants!$B$3,FALSE(),TRUE())))</f>
        <v/>
      </c>
      <c r="BF317" s="74" t="str">
        <f aca="false">IF(ISBLANK($C317),"",IF(ISNUMBER($AC317),IF($AC317&gt;=0,$AC317,""),""))</f>
        <v/>
      </c>
      <c r="BG317" s="74" t="str">
        <f aca="false">IF(ISBLANK($C317),"",IF($AD317=Constants!$B$2,TRUE(),IF($AD317=Constants!$B$3,FALSE(),FALSE())))</f>
        <v/>
      </c>
      <c r="BH317" s="73" t="str">
        <f aca="false">IF(ISBLANK($C317),"",IF($BG317,Constants!$B$7,IF(COUNTA($E317:$AC317)=0,Constants!$B$6,IF(OR(COUNTA($G317:$AC317)=0,NOT($AK317),$AQ317),Constants!$B$5,IF(OR($CI317&lt;&gt;"",$CJ317,$CK317,$CL317,$CM317,$CN317,$CO317),Constants!$B$8,Constants!$B$4)))))</f>
        <v/>
      </c>
      <c r="BI317" s="74" t="str">
        <f aca="false">IF(ISBLANK($C317),"",IF($BH317&lt;&gt;Constants!$B$4,$BH317,IF(OR(NOT($AH317),NOT($AJ317),NOT($AR317)),Constants!$B$11,IF(OR(NOT($AP317),MAX($AL317,$AM317,$AN317)&gt;Constants!$B$30),Constants!$B$10,Constants!$B$9))))</f>
        <v/>
      </c>
      <c r="BJ317" s="74" t="str">
        <f aca="false">IF($BH317&lt;&gt;Constants!$B$4,"",IF(NOT($AJ317),0,MIN(Constants!$B$35,$BC317)))</f>
        <v/>
      </c>
      <c r="BK317" s="74" t="str">
        <f aca="false">IF($BH317&lt;&gt;Constants!$B$4,"",IF(NOT($AJ317),0,IF($AT317,Constants!$B$18,IF($AS317,Constants!$B$17,0))))</f>
        <v/>
      </c>
      <c r="BL317" s="74" t="str">
        <f aca="false">IF($BH317&lt;&gt;Constants!$B$4,"",IF(NOT($AJ317),0,Constants!$B$19*($AI317+$AU317+$AV317+$AW317)))</f>
        <v/>
      </c>
      <c r="BM317" s="74" t="str">
        <f aca="false">IF($BH317&lt;&gt;Constants!$B$4,"",IF(OR(NOT($AJ317),NOT(ISNUMBER($AX317))),0,CHOOSE($AX317,Constants!$B$13,Constants!$B$14,Constants!$B$15,Constants!$B$16)))</f>
        <v/>
      </c>
      <c r="BN317" s="74" t="str">
        <f aca="false">IF($BH317&lt;&gt;Constants!$B$4,"",IF(NOT($AJ317),0,Constants!$B$20*$AY317))</f>
        <v/>
      </c>
      <c r="BO317" s="74" t="str">
        <f aca="false">IF($BH317&lt;&gt;Constants!$B$4,"",IF(AND($AJ317,$BA317,$BB317),Constants!$B$22,0))</f>
        <v/>
      </c>
      <c r="BP317" s="74" t="str">
        <f aca="false">IF($BH317&lt;&gt;Constants!$B$4,"",IF(OR(NOT($AJ317),NOT($BA317)),0,IF($BF317&gt;=2*$AF$9,0,Constants!$B$23*INT(ROUND(MIN($BF317,$AF$9),6)))))</f>
        <v/>
      </c>
      <c r="BQ317" s="74" t="str">
        <f aca="false">IF($BH317&lt;&gt;Constants!$B$4,"",IF(NOT($AJ317),0,Constants!$B$24*INT(ROUND(MIN($AZ317,$AF$9),6))))</f>
        <v/>
      </c>
      <c r="BR317" s="74" t="str">
        <f aca="false">IF($BH317&lt;&gt;Constants!$B$4,"",IF(AND($AJ317,$BJ317=0),Constants!$B$25,0))</f>
        <v/>
      </c>
      <c r="BS317" s="74" t="str">
        <f aca="false">IF($BH317&lt;&gt;Constants!$B$4,"",MIN(Constants!$B$29,MAX(0,Constants!$B$27*Constants!$B$28*INT(ROUND((Constants!$B$26-$AL317)/Constants!$B$28,6))))+MIN(Constants!$B$29,MAX(0,Constants!$B$27*Constants!$B$28*INT(ROUND((Constants!$B$26-$AM317)/Constants!$B$28,6))))+MIN(Constants!$B$29,MAX(0,Constants!$B$27*Constants!$B$28*INT(ROUND((Constants!$B$26-$AN317)/Constants!$B$28,6)))))</f>
        <v/>
      </c>
      <c r="BT317" s="74" t="str">
        <f aca="false">IF($BH317&lt;&gt;Constants!$B$4,"",IF(NOT($AJ317),0,Constants!$B$31*INT(ROUND(MAX(0,MIN($BF317,2*$AF$9)-$AF$9),6))))</f>
        <v/>
      </c>
      <c r="BU317" s="74" t="str">
        <f aca="false">IF($BH317&lt;&gt;Constants!$B$4,"",Constants!$B$32*(($AL317&gt;Constants!$B$26)+($AM317&gt;Constants!$B$26)+($AN317&gt;Constants!$B$26)))</f>
        <v/>
      </c>
      <c r="BV317" s="74" t="str">
        <f aca="false">IF($BH317&lt;&gt;Constants!$B$4,"",IF(OR(NOT($AJ317),$AO317),0,Constants!$B$33))</f>
        <v/>
      </c>
      <c r="BW317" s="74" t="str">
        <f aca="false">IF($BH317&lt;&gt;Constants!$B$4,"",Constants!$B$34*$BJ317)</f>
        <v/>
      </c>
      <c r="BX317" s="74" t="str">
        <f aca="false">IF($BH317&lt;&gt;Constants!$B$4,"",IF(OR(NOT($AJ317),$BE317),0,Constants!$B$36))</f>
        <v/>
      </c>
      <c r="BY317" s="74" t="str">
        <f aca="false">IF($BH317&lt;&gt;Constants!$B$4,"",IF(OR(NOT($AJ317),$BD317),0,Constants!$B$37))</f>
        <v/>
      </c>
      <c r="BZ317" s="74" t="str">
        <f aca="false">IF($BH317&lt;&gt;Constants!$B$4,"",SUM($BT317:$BY317))</f>
        <v/>
      </c>
      <c r="CA317" s="74" t="str">
        <f aca="false">IF(ISBLANK($C317),"",IF($BH317&lt;&gt;Constants!$B$4,$BH317,SUM($BK317:$BS317)-$BZ317))</f>
        <v/>
      </c>
      <c r="CB317" s="74" t="str">
        <f aca="false">IF(ISBLANK($C317),"",IF($BH317&lt;&gt;Constants!$B$4,$BH317,RANK($CA317,$CA$9:$CA$508)))</f>
        <v/>
      </c>
      <c r="CC317" s="74" t="str">
        <f aca="false">IF(ISBLANK($C317),"",IF($BH317&lt;&gt;Constants!$B$4,$BH317,COUNTIFS($BI$9:$BI$508,"&lt;"&amp;$BI317)+COUNTIFS($BI$9:$BI$508,$BI317,$CB$9:$CB$508,"&lt;"&amp;$CB317)+1))</f>
        <v/>
      </c>
      <c r="CD317" s="74" t="str">
        <f aca="false">IF(ISBLANK($C317),"",IF($BH317&lt;&gt;Constants!$B$4,$BH317,RANK($BZ317,$BZ$9:$BZ$508,1)))</f>
        <v/>
      </c>
      <c r="CE317" s="74" t="str">
        <f aca="false">IF($BH317&lt;&gt;Constants!$B$4,"",$AL317+$AM317+$AN317)</f>
        <v/>
      </c>
      <c r="CF317" s="74" t="str">
        <f aca="false">IF(ISBLANK($C317),"",IF($BH317&lt;&gt;Constants!$B$4,$BH317,RANK($CE317,$CE$9:$CE$508,1)))</f>
        <v/>
      </c>
      <c r="CG317" s="74" t="str">
        <f aca="false">IF(ISBLANK($C317),"",IF($BH317&lt;&gt;Constants!$B$4,$BH317,COUNTIFS($BI$9:$BI$508,"&lt;"&amp;$BI317)+COUNTIFS($BI$9:$BI$508,$BI317,$CB$9:$CB$508,"&lt;"&amp;$CB317)+COUNTIFS($BI$9:$BI$508,$BI317,$CB$9:$CB$508,$CB317,$CD$9:$CD$508,"&lt;"&amp;$CD317)+COUNTIFS($BI$9:$BI$508,$BI317,$CB$9:$CB$508,$CB317,$CD$9:$CD$508,$CD317,$CF$9:$CF$508,"&lt;"&amp;$CF317)+1))</f>
        <v/>
      </c>
      <c r="CH317" s="74" t="str">
        <f aca="false">IF(ISBLANK($C317),"",IF($BH317&lt;&gt;Constants!$B$4,$BH317,$CC317-$CG317))</f>
        <v/>
      </c>
      <c r="CI317" s="74" t="str">
        <f aca="false">IF(ISBLANK($C317),"",IF(NOT($AJ317),"",IF(ISBLANK($D$7),$CI$5,IF(NOT(ISNUMBER($D$7)),$CI$6,""))))</f>
        <v/>
      </c>
      <c r="CJ317" s="74" t="str">
        <f aca="false">IF(ISBLANK($C317),"",OR($AL317="",$AM317="",$AN317=""))</f>
        <v/>
      </c>
      <c r="CK317" s="74" t="str">
        <f aca="false">IF(ISBLANK($C317),"",AND($AJ317,$AX317=""))</f>
        <v/>
      </c>
      <c r="CL317" s="74" t="str">
        <f aca="false">IF(ISBLANK($C317),"",AND($AJ317,$AY317=""))</f>
        <v/>
      </c>
      <c r="CM317" s="74" t="str">
        <f aca="false">IF(ISBLANK($C317),"",AND($AJ317,$AZ317=""))</f>
        <v/>
      </c>
      <c r="CN317" s="74" t="str">
        <f aca="false">IF(ISBLANK($C317),"",AND($AJ317,$BC317=""))</f>
        <v/>
      </c>
      <c r="CO317" s="74" t="str">
        <f aca="false">IF(ISBLANK($C317),"",AND($AJ317,$BF317=""))</f>
        <v/>
      </c>
      <c r="CP317" s="75"/>
      <c r="CQ317" s="76"/>
      <c r="CR317" s="79" t="str">
        <f aca="false">IF(ISBLANK($C317),"",IF($BH317=Constants!$B$8,$CI317,""))</f>
        <v/>
      </c>
      <c r="CS317" s="76" t="str">
        <f aca="false">IF(ISBLANK($C317),"",IF($BH317&lt;&gt;Constants!$B$4,"",$BK317+$BL317))</f>
        <v/>
      </c>
      <c r="CT317" s="78" t="str">
        <f aca="false">IF(ISBLANK($C317),"",IF($BH317&lt;&gt;Constants!$B$4,"",$BM317+$BN317+$BO317))</f>
        <v/>
      </c>
      <c r="CU317" s="78" t="str">
        <f aca="false">IF(ISBLANK($C317),"",IF($BH317&lt;&gt;Constants!$B$4,"",$BP317))</f>
        <v/>
      </c>
      <c r="CV317" s="78" t="str">
        <f aca="false">IF(ISBLANK($C317),"",IF($BH317&lt;&gt;Constants!$B$4,"",$BQ317+$BR317))</f>
        <v/>
      </c>
      <c r="CW317" s="78" t="str">
        <f aca="false">IF(ISBLANK($C317),"",IF($BH317&lt;&gt;Constants!$B$4,"",$BS317))</f>
        <v/>
      </c>
      <c r="CX317" s="78" t="str">
        <f aca="false">IF(ISBLANK($C317),"",IF($BH317&lt;&gt;Constants!$B$4,"",-$BZ317))</f>
        <v/>
      </c>
      <c r="CY317" s="79" t="str">
        <f aca="false">IF(ISBLANK($C317),"",$CA317)</f>
        <v/>
      </c>
      <c r="CZ317" s="80" t="str">
        <f aca="false">IF(ISBLANK($C317),"",$BI317)</f>
        <v/>
      </c>
      <c r="DA317" s="78" t="str">
        <f aca="false">IF(ISBLANK($C317),"",$CH317)</f>
        <v/>
      </c>
      <c r="DB317" s="78" t="str">
        <f aca="false">IF(ISBLANK($C317),"",$CG317)</f>
        <v/>
      </c>
      <c r="DC317" s="81" t="str">
        <f aca="false">IF(ISBLANK($C317),"",IFERROR(_xlfn.SWITCH($DB317,Constants!$B$7,COUNTA($C$9:$C$508)+2,Constants!$B$6,COUNTA($C$9:$C$508)+1,Constants!$B$5,COUNTA($C$9:$C$508)),$DB317))</f>
        <v/>
      </c>
      <c r="DD317" s="7"/>
      <c r="DE317" s="82" t="n">
        <f aca="false">IF(OR(ISNUMBER($DB317),$DB317=Constants!$B$7,$DB317=Constants!$B$5,$DB317=Constants!$B$6),1,0)</f>
        <v>0</v>
      </c>
      <c r="DF317" s="82" t="n">
        <v>309</v>
      </c>
      <c r="DG317" s="82" t="str">
        <f aca="false">IF(ISBLANK($C317),"",IF(ISNUMBER($DC317),$DC317+ROW($B317)/1000,""))</f>
        <v/>
      </c>
      <c r="DH317" s="82" t="str">
        <f aca="false">IF(ISNUMBER($DG317),RANK($DG317,$DG$9:$DG$508,1),"")</f>
        <v/>
      </c>
      <c r="DI317" s="82" t="str">
        <f aca="false">IF(ISBLANK($C317),"",$B317)</f>
        <v/>
      </c>
      <c r="DJ317" s="82" t="str">
        <f aca="false">IF(ISBLANK($C317),"",$C317)</f>
        <v/>
      </c>
      <c r="DK317" s="82" t="str">
        <f aca="false">IF(ISBLANK($C317),"",$D317)</f>
        <v/>
      </c>
      <c r="DL317" s="83" t="str">
        <f aca="false">$CZ317</f>
        <v/>
      </c>
      <c r="DM317" s="84" t="str">
        <f aca="false">$CY317</f>
        <v/>
      </c>
      <c r="DN317" s="82" t="str">
        <f aca="false">IF(ISBLANK($C317),"",$DB317)</f>
        <v/>
      </c>
      <c r="DO317" s="85" t="str">
        <f aca="false">IF($DF317&gt;$DE$8,"",VLOOKUP($DF317,$DH$9:$DN$508,7,FALSE()))</f>
        <v/>
      </c>
      <c r="DP317" s="86" t="str">
        <f aca="false">IF($DF317&gt;$DE$8,"",VLOOKUP($DF317,$DH$9:$DN$508,2,FALSE()))</f>
        <v/>
      </c>
      <c r="DQ317" s="86" t="str">
        <f aca="false">IF($DF317&gt;$DE$8,"",VLOOKUP($DF317,$DH$9:$DN$508,3,FALSE()))</f>
        <v/>
      </c>
      <c r="DR317" s="86" t="str">
        <f aca="false">IF($DF317&gt;$DE$8,"",VLOOKUP($DF317,$DH$9:$DN$508,4,FALSE()))</f>
        <v/>
      </c>
      <c r="DS317" s="86" t="str">
        <f aca="false">IF($DF317&gt;$DE$8,"",VLOOKUP($DF317,$DH$9:$DN$508,5,FALSE()))</f>
        <v/>
      </c>
      <c r="DT317" s="87" t="str">
        <f aca="false">IF($DF317&gt;$DE$8,"",VLOOKUP($DF317,$DH$9:$DN$508,6,FALSE()))</f>
        <v/>
      </c>
      <c r="DU317" s="62"/>
    </row>
    <row r="318" customFormat="false" ht="15.75" hidden="false" customHeight="false" outlineLevel="0" collapsed="false">
      <c r="A318" s="7"/>
      <c r="B318" s="90"/>
      <c r="C318" s="91"/>
      <c r="D318" s="126"/>
      <c r="E318" s="130"/>
      <c r="F318" s="135"/>
      <c r="G318" s="130"/>
      <c r="H318" s="135"/>
      <c r="I318" s="131"/>
      <c r="J318" s="131"/>
      <c r="K318" s="131"/>
      <c r="L318" s="130"/>
      <c r="M318" s="130"/>
      <c r="N318" s="130"/>
      <c r="O318" s="135"/>
      <c r="P318" s="130"/>
      <c r="Q318" s="130"/>
      <c r="R318" s="130"/>
      <c r="S318" s="130"/>
      <c r="T318" s="135"/>
      <c r="U318" s="130"/>
      <c r="V318" s="96"/>
      <c r="W318" s="130"/>
      <c r="X318" s="130"/>
      <c r="Y318" s="96"/>
      <c r="Z318" s="96"/>
      <c r="AA318" s="130"/>
      <c r="AB318" s="130"/>
      <c r="AC318" s="97"/>
      <c r="AD318" s="130"/>
      <c r="AE318" s="99"/>
      <c r="AF318" s="100"/>
      <c r="AG318" s="100"/>
      <c r="AH318" s="100" t="str">
        <f aca="false">IF(ISBLANK($C318),"",IF($E318=Constants!$B$2,TRUE(),IF($E318=Constants!$B$3,FALSE(),TRUE())))</f>
        <v/>
      </c>
      <c r="AI318" s="100" t="str">
        <f aca="false">IF(ISBLANK($C318),"",IF($F318=Constants!$B$2,TRUE(),IF($F318=Constants!$B$3,FALSE(),FALSE())))</f>
        <v/>
      </c>
      <c r="AJ318" s="100" t="str">
        <f aca="false">IF(ISBLANK($C318),"",IF($G318=Constants!$B$2,TRUE(),IF($G318=Constants!$B$3,FALSE(),TRUE())))</f>
        <v/>
      </c>
      <c r="AK318" s="100" t="str">
        <f aca="false">IF(ISBLANK($C318),"",IF($H318=Constants!$B$2,TRUE(),IF($H318=Constants!$B$3,FALSE(),TRUE())))</f>
        <v/>
      </c>
      <c r="AL318" s="100" t="str">
        <f aca="false">IF(ISBLANK($C318),"",IF(ISNUMBER($I318),IF($I318&gt;=0,$I318,""),""))</f>
        <v/>
      </c>
      <c r="AM318" s="100" t="str">
        <f aca="false">IF(ISBLANK($C318),"",IF(ISNUMBER($J318),IF($J318&gt;=0,$J318,""),""))</f>
        <v/>
      </c>
      <c r="AN318" s="100" t="str">
        <f aca="false">IF(ISBLANK($C318),"",IF(ISNUMBER($K318),IF($K318&gt;=0,$K318,""),""))</f>
        <v/>
      </c>
      <c r="AO318" s="100" t="str">
        <f aca="false">IF(ISBLANK($C318),"",IF($L318=Constants!$B$2,TRUE(),IF($L318=Constants!$B$3,FALSE(),TRUE())))</f>
        <v/>
      </c>
      <c r="AP318" s="100" t="str">
        <f aca="false">IF(ISBLANK($C318),"",IF($M318=Constants!$B$2,TRUE(),IF($M318=Constants!$B$3,FALSE(),TRUE())))</f>
        <v/>
      </c>
      <c r="AQ318" s="100" t="str">
        <f aca="false">IF(ISBLANK($C318),"",IF($N318=Constants!$B$2,TRUE(),IF($N318=Constants!$B$3,FALSE(),FALSE())))</f>
        <v/>
      </c>
      <c r="AR318" s="100" t="str">
        <f aca="false">IF(ISBLANK($C318),"",IF($O318=Constants!$B$2,TRUE(),IF($O318=Constants!$B$3,FALSE(),TRUE())))</f>
        <v/>
      </c>
      <c r="AS318" s="100" t="str">
        <f aca="false">IF(ISBLANK($C318),"",IF($P318=Constants!$B$2,TRUE(),IF($P318=Constants!$B$3,FALSE(),FALSE())))</f>
        <v/>
      </c>
      <c r="AT318" s="100" t="str">
        <f aca="false">IF(ISBLANK($C318),"",IF($Q318=Constants!$B$2,TRUE(),IF($Q318=Constants!$B$3,FALSE(),FALSE())))</f>
        <v/>
      </c>
      <c r="AU318" s="100" t="str">
        <f aca="false">IF(ISBLANK($C318),"",IF($R318=Constants!$B$2,TRUE(),IF($R318=Constants!$B$3,FALSE(),FALSE())))</f>
        <v/>
      </c>
      <c r="AV318" s="100" t="str">
        <f aca="false">IF(ISBLANK($C318),"",IF($S318=Constants!$B$2,TRUE(),IF($S318=Constants!$B$3,FALSE(),FALSE())))</f>
        <v/>
      </c>
      <c r="AW318" s="100" t="str">
        <f aca="false">IF(ISBLANK($C318),"",IF($T318=Constants!$B$2,TRUE(),IF($T318=Constants!$B$3,FALSE(),FALSE())))</f>
        <v/>
      </c>
      <c r="AX318" s="100" t="str">
        <f aca="false">IF(ISBLANK($C318),"",IF(OR($U318&amp;""="1",$U318&amp;""="2",$U318&amp;""="3",$U318&amp;""="4"),VALUE($U318&amp;""),IF($U318=Constants!$B$12,Constants!$B$12,"")))</f>
        <v/>
      </c>
      <c r="AY318" s="100" t="str">
        <f aca="false">IF(ISBLANK($C318),"",IF(ISBLANK($V318),0,IF(ISNUMBER($V318),IF(AND($V318&gt;=0,$V318&lt;=Constants!$B$21,$V318=INT($V318)),$V318,""),"")))</f>
        <v/>
      </c>
      <c r="AZ318" s="100" t="str">
        <f aca="false">IF(ISBLANK($C318),"",IF(ISBLANK($W318),0,IF(ISNUMBER($W318),IF($W318&gt;=0,$W318,""),"")))</f>
        <v/>
      </c>
      <c r="BA318" s="100" t="str">
        <f aca="false">IF(ISBLANK($C318),"",IF($X318=Constants!$B$2,TRUE(),IF($X318=Constants!$B$3,FALSE(),TRUE())))</f>
        <v/>
      </c>
      <c r="BB318" s="100" t="str">
        <f aca="false">IF(ISBLANK($C318),"",IF($Y318=Constants!$B$2,TRUE(),IF($Y318=Constants!$B$3,FALSE(),FALSE())))</f>
        <v/>
      </c>
      <c r="BC318" s="100" t="str">
        <f aca="false">IF(ISBLANK($C318),"",IF(ISBLANK($Z318),0,IF(ISNUMBER($Z318),IF(AND($Z318&gt;=0,$Z318&lt;=Constants!$B$35,$Z318=INT($Z318)),$Z318,""),"")))</f>
        <v/>
      </c>
      <c r="BD318" s="100" t="str">
        <f aca="false">IF(ISBLANK($C318),"",IF($AA318=Constants!$B$2,TRUE(),IF($AA318=Constants!$B$3,FALSE(),TRUE())))</f>
        <v/>
      </c>
      <c r="BE318" s="100" t="str">
        <f aca="false">IF(ISBLANK($C318),"",IF($AB318=Constants!$B$2,TRUE(),IF($AB318=Constants!$B$3,FALSE(),TRUE())))</f>
        <v/>
      </c>
      <c r="BF318" s="100" t="str">
        <f aca="false">IF(ISBLANK($C318),"",IF(ISNUMBER($AC318),IF($AC318&gt;=0,$AC318,""),""))</f>
        <v/>
      </c>
      <c r="BG318" s="100" t="str">
        <f aca="false">IF(ISBLANK($C318),"",IF($AD318=Constants!$B$2,TRUE(),IF($AD318=Constants!$B$3,FALSE(),FALSE())))</f>
        <v/>
      </c>
      <c r="BH318" s="99" t="str">
        <f aca="false">IF(ISBLANK($C318),"",IF($BG318,Constants!$B$7,IF(COUNTA($E318:$AC318)=0,Constants!$B$6,IF(OR(COUNTA($G318:$AC318)=0,NOT($AK318),$AQ318),Constants!$B$5,IF(OR($CI318&lt;&gt;"",$CJ318,$CK318,$CL318,$CM318,$CN318,$CO318),Constants!$B$8,Constants!$B$4)))))</f>
        <v/>
      </c>
      <c r="BI318" s="100" t="str">
        <f aca="false">IF(ISBLANK($C318),"",IF($BH318&lt;&gt;Constants!$B$4,$BH318,IF(OR(NOT($AH318),NOT($AJ318),NOT($AR318)),Constants!$B$11,IF(OR(NOT($AP318),MAX($AL318,$AM318,$AN318)&gt;Constants!$B$30),Constants!$B$10,Constants!$B$9))))</f>
        <v/>
      </c>
      <c r="BJ318" s="100" t="str">
        <f aca="false">IF($BH318&lt;&gt;Constants!$B$4,"",IF(NOT($AJ318),0,MIN(Constants!$B$35,$BC318)))</f>
        <v/>
      </c>
      <c r="BK318" s="100" t="str">
        <f aca="false">IF($BH318&lt;&gt;Constants!$B$4,"",IF(NOT($AJ318),0,IF($AT318,Constants!$B$18,IF($AS318,Constants!$B$17,0))))</f>
        <v/>
      </c>
      <c r="BL318" s="100" t="str">
        <f aca="false">IF($BH318&lt;&gt;Constants!$B$4,"",IF(NOT($AJ318),0,Constants!$B$19*($AI318+$AU318+$AV318+$AW318)))</f>
        <v/>
      </c>
      <c r="BM318" s="100" t="str">
        <f aca="false">IF($BH318&lt;&gt;Constants!$B$4,"",IF(OR(NOT($AJ318),NOT(ISNUMBER($AX318))),0,CHOOSE($AX318,Constants!$B$13,Constants!$B$14,Constants!$B$15,Constants!$B$16)))</f>
        <v/>
      </c>
      <c r="BN318" s="100" t="str">
        <f aca="false">IF($BH318&lt;&gt;Constants!$B$4,"",IF(NOT($AJ318),0,Constants!$B$20*$AY318))</f>
        <v/>
      </c>
      <c r="BO318" s="100" t="str">
        <f aca="false">IF($BH318&lt;&gt;Constants!$B$4,"",IF(AND($AJ318,$BA318,$BB318),Constants!$B$22,0))</f>
        <v/>
      </c>
      <c r="BP318" s="100" t="str">
        <f aca="false">IF($BH318&lt;&gt;Constants!$B$4,"",IF(OR(NOT($AJ318),NOT($BA318)),0,IF($BF318&gt;=2*$AF$9,0,Constants!$B$23*INT(ROUND(MIN($BF318,$AF$9),6)))))</f>
        <v/>
      </c>
      <c r="BQ318" s="100" t="str">
        <f aca="false">IF($BH318&lt;&gt;Constants!$B$4,"",IF(NOT($AJ318),0,Constants!$B$24*INT(ROUND(MIN($AZ318,$AF$9),6))))</f>
        <v/>
      </c>
      <c r="BR318" s="100" t="str">
        <f aca="false">IF($BH318&lt;&gt;Constants!$B$4,"",IF(AND($AJ318,$BJ318=0),Constants!$B$25,0))</f>
        <v/>
      </c>
      <c r="BS318" s="100" t="str">
        <f aca="false">IF($BH318&lt;&gt;Constants!$B$4,"",MIN(Constants!$B$29,MAX(0,Constants!$B$27*Constants!$B$28*INT(ROUND((Constants!$B$26-$AL318)/Constants!$B$28,6))))+MIN(Constants!$B$29,MAX(0,Constants!$B$27*Constants!$B$28*INT(ROUND((Constants!$B$26-$AM318)/Constants!$B$28,6))))+MIN(Constants!$B$29,MAX(0,Constants!$B$27*Constants!$B$28*INT(ROUND((Constants!$B$26-$AN318)/Constants!$B$28,6)))))</f>
        <v/>
      </c>
      <c r="BT318" s="100" t="str">
        <f aca="false">IF($BH318&lt;&gt;Constants!$B$4,"",IF(NOT($AJ318),0,Constants!$B$31*INT(ROUND(MAX(0,MIN($BF318,2*$AF$9)-$AF$9),6))))</f>
        <v/>
      </c>
      <c r="BU318" s="100" t="str">
        <f aca="false">IF($BH318&lt;&gt;Constants!$B$4,"",Constants!$B$32*(($AL318&gt;Constants!$B$26)+($AM318&gt;Constants!$B$26)+($AN318&gt;Constants!$B$26)))</f>
        <v/>
      </c>
      <c r="BV318" s="100" t="str">
        <f aca="false">IF($BH318&lt;&gt;Constants!$B$4,"",IF(OR(NOT($AJ318),$AO318),0,Constants!$B$33))</f>
        <v/>
      </c>
      <c r="BW318" s="100" t="str">
        <f aca="false">IF($BH318&lt;&gt;Constants!$B$4,"",Constants!$B$34*$BJ318)</f>
        <v/>
      </c>
      <c r="BX318" s="100" t="str">
        <f aca="false">IF($BH318&lt;&gt;Constants!$B$4,"",IF(OR(NOT($AJ318),$BE318),0,Constants!$B$36))</f>
        <v/>
      </c>
      <c r="BY318" s="100" t="str">
        <f aca="false">IF($BH318&lt;&gt;Constants!$B$4,"",IF(OR(NOT($AJ318),$BD318),0,Constants!$B$37))</f>
        <v/>
      </c>
      <c r="BZ318" s="100" t="str">
        <f aca="false">IF($BH318&lt;&gt;Constants!$B$4,"",SUM($BT318:$BY318))</f>
        <v/>
      </c>
      <c r="CA318" s="100" t="str">
        <f aca="false">IF(ISBLANK($C318),"",IF($BH318&lt;&gt;Constants!$B$4,$BH318,SUM($BK318:$BS318)-$BZ318))</f>
        <v/>
      </c>
      <c r="CB318" s="100" t="str">
        <f aca="false">IF(ISBLANK($C318),"",IF($BH318&lt;&gt;Constants!$B$4,$BH318,RANK($CA318,$CA$9:$CA$508)))</f>
        <v/>
      </c>
      <c r="CC318" s="100" t="str">
        <f aca="false">IF(ISBLANK($C318),"",IF($BH318&lt;&gt;Constants!$B$4,$BH318,COUNTIFS($BI$9:$BI$508,"&lt;"&amp;$BI318)+COUNTIFS($BI$9:$BI$508,$BI318,$CB$9:$CB$508,"&lt;"&amp;$CB318)+1))</f>
        <v/>
      </c>
      <c r="CD318" s="100" t="str">
        <f aca="false">IF(ISBLANK($C318),"",IF($BH318&lt;&gt;Constants!$B$4,$BH318,RANK($BZ318,$BZ$9:$BZ$508,1)))</f>
        <v/>
      </c>
      <c r="CE318" s="100" t="str">
        <f aca="false">IF($BH318&lt;&gt;Constants!$B$4,"",$AL318+$AM318+$AN318)</f>
        <v/>
      </c>
      <c r="CF318" s="100" t="str">
        <f aca="false">IF(ISBLANK($C318),"",IF($BH318&lt;&gt;Constants!$B$4,$BH318,RANK($CE318,$CE$9:$CE$508,1)))</f>
        <v/>
      </c>
      <c r="CG318" s="100" t="str">
        <f aca="false">IF(ISBLANK($C318),"",IF($BH318&lt;&gt;Constants!$B$4,$BH318,COUNTIFS($BI$9:$BI$508,"&lt;"&amp;$BI318)+COUNTIFS($BI$9:$BI$508,$BI318,$CB$9:$CB$508,"&lt;"&amp;$CB318)+COUNTIFS($BI$9:$BI$508,$BI318,$CB$9:$CB$508,$CB318,$CD$9:$CD$508,"&lt;"&amp;$CD318)+COUNTIFS($BI$9:$BI$508,$BI318,$CB$9:$CB$508,$CB318,$CD$9:$CD$508,$CD318,$CF$9:$CF$508,"&lt;"&amp;$CF318)+1))</f>
        <v/>
      </c>
      <c r="CH318" s="100" t="str">
        <f aca="false">IF(ISBLANK($C318),"",IF($BH318&lt;&gt;Constants!$B$4,$BH318,$CC318-$CG318))</f>
        <v/>
      </c>
      <c r="CI318" s="100" t="str">
        <f aca="false">IF(ISBLANK($C318),"",IF(NOT($AJ318),"",IF(ISBLANK($D$7),$CI$5,IF(NOT(ISNUMBER($D$7)),$CI$6,""))))</f>
        <v/>
      </c>
      <c r="CJ318" s="100" t="str">
        <f aca="false">IF(ISBLANK($C318),"",OR($AL318="",$AM318="",$AN318=""))</f>
        <v/>
      </c>
      <c r="CK318" s="100" t="str">
        <f aca="false">IF(ISBLANK($C318),"",AND($AJ318,$AX318=""))</f>
        <v/>
      </c>
      <c r="CL318" s="100" t="str">
        <f aca="false">IF(ISBLANK($C318),"",AND($AJ318,$AY318=""))</f>
        <v/>
      </c>
      <c r="CM318" s="100" t="str">
        <f aca="false">IF(ISBLANK($C318),"",AND($AJ318,$AZ318=""))</f>
        <v/>
      </c>
      <c r="CN318" s="100" t="str">
        <f aca="false">IF(ISBLANK($C318),"",AND($AJ318,$BC318=""))</f>
        <v/>
      </c>
      <c r="CO318" s="100" t="str">
        <f aca="false">IF(ISBLANK($C318),"",AND($AJ318,$BF318=""))</f>
        <v/>
      </c>
      <c r="CP318" s="101"/>
      <c r="CQ318" s="102"/>
      <c r="CR318" s="103" t="str">
        <f aca="false">IF(ISBLANK($C318),"",IF($BH318=Constants!$B$8,$CI318,""))</f>
        <v/>
      </c>
      <c r="CS318" s="102" t="str">
        <f aca="false">IF(ISBLANK($C318),"",IF($BH318&lt;&gt;Constants!$B$4,"",$BK318+$BL318))</f>
        <v/>
      </c>
      <c r="CT318" s="104" t="str">
        <f aca="false">IF(ISBLANK($C318),"",IF($BH318&lt;&gt;Constants!$B$4,"",$BM318+$BN318+$BO318))</f>
        <v/>
      </c>
      <c r="CU318" s="104" t="str">
        <f aca="false">IF(ISBLANK($C318),"",IF($BH318&lt;&gt;Constants!$B$4,"",$BP318))</f>
        <v/>
      </c>
      <c r="CV318" s="104" t="str">
        <f aca="false">IF(ISBLANK($C318),"",IF($BH318&lt;&gt;Constants!$B$4,"",$BQ318+$BR318))</f>
        <v/>
      </c>
      <c r="CW318" s="104" t="str">
        <f aca="false">IF(ISBLANK($C318),"",IF($BH318&lt;&gt;Constants!$B$4,"",$BS318))</f>
        <v/>
      </c>
      <c r="CX318" s="104" t="str">
        <f aca="false">IF(ISBLANK($C318),"",IF($BH318&lt;&gt;Constants!$B$4,"",-$BZ318))</f>
        <v/>
      </c>
      <c r="CY318" s="103" t="str">
        <f aca="false">IF(ISBLANK($C318),"",$CA318)</f>
        <v/>
      </c>
      <c r="CZ318" s="105" t="str">
        <f aca="false">IF(ISBLANK($C318),"",$BI318)</f>
        <v/>
      </c>
      <c r="DA318" s="104" t="str">
        <f aca="false">IF(ISBLANK($C318),"",$CH318)</f>
        <v/>
      </c>
      <c r="DB318" s="104" t="str">
        <f aca="false">IF(ISBLANK($C318),"",$CG318)</f>
        <v/>
      </c>
      <c r="DC318" s="106" t="str">
        <f aca="false">IF(ISBLANK($C318),"",IFERROR(_xlfn.SWITCH($DB318,Constants!$B$7,COUNTA($C$9:$C$508)+2,Constants!$B$6,COUNTA($C$9:$C$508)+1,Constants!$B$5,COUNTA($C$9:$C$508)),$DB318))</f>
        <v/>
      </c>
      <c r="DD318" s="7"/>
      <c r="DE318" s="107" t="n">
        <f aca="false">IF(OR(ISNUMBER($DB318),$DB318=Constants!$B$7,$DB318=Constants!$B$5,$DB318=Constants!$B$6),1,0)</f>
        <v>0</v>
      </c>
      <c r="DF318" s="107" t="n">
        <v>310</v>
      </c>
      <c r="DG318" s="107" t="str">
        <f aca="false">IF(ISBLANK($C318),"",IF(ISNUMBER($DC318),$DC318+ROW($B318)/1000,""))</f>
        <v/>
      </c>
      <c r="DH318" s="107" t="str">
        <f aca="false">IF(ISNUMBER($DG318),RANK($DG318,$DG$9:$DG$508,1),"")</f>
        <v/>
      </c>
      <c r="DI318" s="107" t="str">
        <f aca="false">IF(ISBLANK($C318),"",$B318)</f>
        <v/>
      </c>
      <c r="DJ318" s="107" t="str">
        <f aca="false">IF(ISBLANK($C318),"",$C318)</f>
        <v/>
      </c>
      <c r="DK318" s="107" t="str">
        <f aca="false">IF(ISBLANK($C318),"",$D318)</f>
        <v/>
      </c>
      <c r="DL318" s="108" t="str">
        <f aca="false">$CZ318</f>
        <v/>
      </c>
      <c r="DM318" s="109" t="str">
        <f aca="false">$CY318</f>
        <v/>
      </c>
      <c r="DN318" s="107" t="str">
        <f aca="false">IF(ISBLANK($C318),"",$DB318)</f>
        <v/>
      </c>
      <c r="DO318" s="110" t="str">
        <f aca="false">IF($DF318&gt;$DE$8,"",VLOOKUP($DF318,$DH$9:$DN$508,7,FALSE()))</f>
        <v/>
      </c>
      <c r="DP318" s="111" t="str">
        <f aca="false">IF($DF318&gt;$DE$8,"",VLOOKUP($DF318,$DH$9:$DN$508,2,FALSE()))</f>
        <v/>
      </c>
      <c r="DQ318" s="111" t="str">
        <f aca="false">IF($DF318&gt;$DE$8,"",VLOOKUP($DF318,$DH$9:$DN$508,3,FALSE()))</f>
        <v/>
      </c>
      <c r="DR318" s="111" t="str">
        <f aca="false">IF($DF318&gt;$DE$8,"",VLOOKUP($DF318,$DH$9:$DN$508,4,FALSE()))</f>
        <v/>
      </c>
      <c r="DS318" s="111" t="str">
        <f aca="false">IF($DF318&gt;$DE$8,"",VLOOKUP($DF318,$DH$9:$DN$508,5,FALSE()))</f>
        <v/>
      </c>
      <c r="DT318" s="112" t="str">
        <f aca="false">IF($DF318&gt;$DE$8,"",VLOOKUP($DF318,$DH$9:$DN$508,6,FALSE()))</f>
        <v/>
      </c>
      <c r="DU318" s="62"/>
    </row>
    <row r="319" customFormat="false" ht="15.75" hidden="false" customHeight="false" outlineLevel="0" collapsed="false">
      <c r="A319" s="7"/>
      <c r="B319" s="90"/>
      <c r="C319" s="91"/>
      <c r="D319" s="126"/>
      <c r="E319" s="130"/>
      <c r="F319" s="135"/>
      <c r="G319" s="130"/>
      <c r="H319" s="135"/>
      <c r="I319" s="131"/>
      <c r="J319" s="131"/>
      <c r="K319" s="131"/>
      <c r="L319" s="130"/>
      <c r="M319" s="130"/>
      <c r="N319" s="130"/>
      <c r="O319" s="135"/>
      <c r="P319" s="130"/>
      <c r="Q319" s="130"/>
      <c r="R319" s="130"/>
      <c r="S319" s="130"/>
      <c r="T319" s="135"/>
      <c r="U319" s="130"/>
      <c r="V319" s="96"/>
      <c r="W319" s="130"/>
      <c r="X319" s="130"/>
      <c r="Y319" s="96"/>
      <c r="Z319" s="96"/>
      <c r="AA319" s="130"/>
      <c r="AB319" s="130"/>
      <c r="AC319" s="97"/>
      <c r="AD319" s="130"/>
      <c r="AE319" s="99"/>
      <c r="AF319" s="100"/>
      <c r="AG319" s="100"/>
      <c r="AH319" s="100" t="str">
        <f aca="false">IF(ISBLANK($C319),"",IF($E319=Constants!$B$2,TRUE(),IF($E319=Constants!$B$3,FALSE(),TRUE())))</f>
        <v/>
      </c>
      <c r="AI319" s="100" t="str">
        <f aca="false">IF(ISBLANK($C319),"",IF($F319=Constants!$B$2,TRUE(),IF($F319=Constants!$B$3,FALSE(),FALSE())))</f>
        <v/>
      </c>
      <c r="AJ319" s="100" t="str">
        <f aca="false">IF(ISBLANK($C319),"",IF($G319=Constants!$B$2,TRUE(),IF($G319=Constants!$B$3,FALSE(),TRUE())))</f>
        <v/>
      </c>
      <c r="AK319" s="100" t="str">
        <f aca="false">IF(ISBLANK($C319),"",IF($H319=Constants!$B$2,TRUE(),IF($H319=Constants!$B$3,FALSE(),TRUE())))</f>
        <v/>
      </c>
      <c r="AL319" s="100" t="str">
        <f aca="false">IF(ISBLANK($C319),"",IF(ISNUMBER($I319),IF($I319&gt;=0,$I319,""),""))</f>
        <v/>
      </c>
      <c r="AM319" s="100" t="str">
        <f aca="false">IF(ISBLANK($C319),"",IF(ISNUMBER($J319),IF($J319&gt;=0,$J319,""),""))</f>
        <v/>
      </c>
      <c r="AN319" s="100" t="str">
        <f aca="false">IF(ISBLANK($C319),"",IF(ISNUMBER($K319),IF($K319&gt;=0,$K319,""),""))</f>
        <v/>
      </c>
      <c r="AO319" s="100" t="str">
        <f aca="false">IF(ISBLANK($C319),"",IF($L319=Constants!$B$2,TRUE(),IF($L319=Constants!$B$3,FALSE(),TRUE())))</f>
        <v/>
      </c>
      <c r="AP319" s="100" t="str">
        <f aca="false">IF(ISBLANK($C319),"",IF($M319=Constants!$B$2,TRUE(),IF($M319=Constants!$B$3,FALSE(),TRUE())))</f>
        <v/>
      </c>
      <c r="AQ319" s="100" t="str">
        <f aca="false">IF(ISBLANK($C319),"",IF($N319=Constants!$B$2,TRUE(),IF($N319=Constants!$B$3,FALSE(),FALSE())))</f>
        <v/>
      </c>
      <c r="AR319" s="100" t="str">
        <f aca="false">IF(ISBLANK($C319),"",IF($O319=Constants!$B$2,TRUE(),IF($O319=Constants!$B$3,FALSE(),TRUE())))</f>
        <v/>
      </c>
      <c r="AS319" s="100" t="str">
        <f aca="false">IF(ISBLANK($C319),"",IF($P319=Constants!$B$2,TRUE(),IF($P319=Constants!$B$3,FALSE(),FALSE())))</f>
        <v/>
      </c>
      <c r="AT319" s="100" t="str">
        <f aca="false">IF(ISBLANK($C319),"",IF($Q319=Constants!$B$2,TRUE(),IF($Q319=Constants!$B$3,FALSE(),FALSE())))</f>
        <v/>
      </c>
      <c r="AU319" s="100" t="str">
        <f aca="false">IF(ISBLANK($C319),"",IF($R319=Constants!$B$2,TRUE(),IF($R319=Constants!$B$3,FALSE(),FALSE())))</f>
        <v/>
      </c>
      <c r="AV319" s="100" t="str">
        <f aca="false">IF(ISBLANK($C319),"",IF($S319=Constants!$B$2,TRUE(),IF($S319=Constants!$B$3,FALSE(),FALSE())))</f>
        <v/>
      </c>
      <c r="AW319" s="100" t="str">
        <f aca="false">IF(ISBLANK($C319),"",IF($T319=Constants!$B$2,TRUE(),IF($T319=Constants!$B$3,FALSE(),FALSE())))</f>
        <v/>
      </c>
      <c r="AX319" s="100" t="str">
        <f aca="false">IF(ISBLANK($C319),"",IF(OR($U319&amp;""="1",$U319&amp;""="2",$U319&amp;""="3",$U319&amp;""="4"),VALUE($U319&amp;""),IF($U319=Constants!$B$12,Constants!$B$12,"")))</f>
        <v/>
      </c>
      <c r="AY319" s="100" t="str">
        <f aca="false">IF(ISBLANK($C319),"",IF(ISBLANK($V319),0,IF(ISNUMBER($V319),IF(AND($V319&gt;=0,$V319&lt;=Constants!$B$21,$V319=INT($V319)),$V319,""),"")))</f>
        <v/>
      </c>
      <c r="AZ319" s="100" t="str">
        <f aca="false">IF(ISBLANK($C319),"",IF(ISBLANK($W319),0,IF(ISNUMBER($W319),IF($W319&gt;=0,$W319,""),"")))</f>
        <v/>
      </c>
      <c r="BA319" s="100" t="str">
        <f aca="false">IF(ISBLANK($C319),"",IF($X319=Constants!$B$2,TRUE(),IF($X319=Constants!$B$3,FALSE(),TRUE())))</f>
        <v/>
      </c>
      <c r="BB319" s="100" t="str">
        <f aca="false">IF(ISBLANK($C319),"",IF($Y319=Constants!$B$2,TRUE(),IF($Y319=Constants!$B$3,FALSE(),FALSE())))</f>
        <v/>
      </c>
      <c r="BC319" s="100" t="str">
        <f aca="false">IF(ISBLANK($C319),"",IF(ISBLANK($Z319),0,IF(ISNUMBER($Z319),IF(AND($Z319&gt;=0,$Z319&lt;=Constants!$B$35,$Z319=INT($Z319)),$Z319,""),"")))</f>
        <v/>
      </c>
      <c r="BD319" s="100" t="str">
        <f aca="false">IF(ISBLANK($C319),"",IF($AA319=Constants!$B$2,TRUE(),IF($AA319=Constants!$B$3,FALSE(),TRUE())))</f>
        <v/>
      </c>
      <c r="BE319" s="100" t="str">
        <f aca="false">IF(ISBLANK($C319),"",IF($AB319=Constants!$B$2,TRUE(),IF($AB319=Constants!$B$3,FALSE(),TRUE())))</f>
        <v/>
      </c>
      <c r="BF319" s="100" t="str">
        <f aca="false">IF(ISBLANK($C319),"",IF(ISNUMBER($AC319),IF($AC319&gt;=0,$AC319,""),""))</f>
        <v/>
      </c>
      <c r="BG319" s="100" t="str">
        <f aca="false">IF(ISBLANK($C319),"",IF($AD319=Constants!$B$2,TRUE(),IF($AD319=Constants!$B$3,FALSE(),FALSE())))</f>
        <v/>
      </c>
      <c r="BH319" s="99" t="str">
        <f aca="false">IF(ISBLANK($C319),"",IF($BG319,Constants!$B$7,IF(COUNTA($E319:$AC319)=0,Constants!$B$6,IF(OR(COUNTA($G319:$AC319)=0,NOT($AK319),$AQ319),Constants!$B$5,IF(OR($CI319&lt;&gt;"",$CJ319,$CK319,$CL319,$CM319,$CN319,$CO319),Constants!$B$8,Constants!$B$4)))))</f>
        <v/>
      </c>
      <c r="BI319" s="100" t="str">
        <f aca="false">IF(ISBLANK($C319),"",IF($BH319&lt;&gt;Constants!$B$4,$BH319,IF(OR(NOT($AH319),NOT($AJ319),NOT($AR319)),Constants!$B$11,IF(OR(NOT($AP319),MAX($AL319,$AM319,$AN319)&gt;Constants!$B$30),Constants!$B$10,Constants!$B$9))))</f>
        <v/>
      </c>
      <c r="BJ319" s="100" t="str">
        <f aca="false">IF($BH319&lt;&gt;Constants!$B$4,"",IF(NOT($AJ319),0,MIN(Constants!$B$35,$BC319)))</f>
        <v/>
      </c>
      <c r="BK319" s="100" t="str">
        <f aca="false">IF($BH319&lt;&gt;Constants!$B$4,"",IF(NOT($AJ319),0,IF($AT319,Constants!$B$18,IF($AS319,Constants!$B$17,0))))</f>
        <v/>
      </c>
      <c r="BL319" s="100" t="str">
        <f aca="false">IF($BH319&lt;&gt;Constants!$B$4,"",IF(NOT($AJ319),0,Constants!$B$19*($AI319+$AU319+$AV319+$AW319)))</f>
        <v/>
      </c>
      <c r="BM319" s="100" t="str">
        <f aca="false">IF($BH319&lt;&gt;Constants!$B$4,"",IF(OR(NOT($AJ319),NOT(ISNUMBER($AX319))),0,CHOOSE($AX319,Constants!$B$13,Constants!$B$14,Constants!$B$15,Constants!$B$16)))</f>
        <v/>
      </c>
      <c r="BN319" s="100" t="str">
        <f aca="false">IF($BH319&lt;&gt;Constants!$B$4,"",IF(NOT($AJ319),0,Constants!$B$20*$AY319))</f>
        <v/>
      </c>
      <c r="BO319" s="100" t="str">
        <f aca="false">IF($BH319&lt;&gt;Constants!$B$4,"",IF(AND($AJ319,$BA319,$BB319),Constants!$B$22,0))</f>
        <v/>
      </c>
      <c r="BP319" s="100" t="str">
        <f aca="false">IF($BH319&lt;&gt;Constants!$B$4,"",IF(OR(NOT($AJ319),NOT($BA319)),0,IF($BF319&gt;=2*$AF$9,0,Constants!$B$23*INT(ROUND(MIN($BF319,$AF$9),6)))))</f>
        <v/>
      </c>
      <c r="BQ319" s="100" t="str">
        <f aca="false">IF($BH319&lt;&gt;Constants!$B$4,"",IF(NOT($AJ319),0,Constants!$B$24*INT(ROUND(MIN($AZ319,$AF$9),6))))</f>
        <v/>
      </c>
      <c r="BR319" s="100" t="str">
        <f aca="false">IF($BH319&lt;&gt;Constants!$B$4,"",IF(AND($AJ319,$BJ319=0),Constants!$B$25,0))</f>
        <v/>
      </c>
      <c r="BS319" s="100" t="str">
        <f aca="false">IF($BH319&lt;&gt;Constants!$B$4,"",MIN(Constants!$B$29,MAX(0,Constants!$B$27*Constants!$B$28*INT(ROUND((Constants!$B$26-$AL319)/Constants!$B$28,6))))+MIN(Constants!$B$29,MAX(0,Constants!$B$27*Constants!$B$28*INT(ROUND((Constants!$B$26-$AM319)/Constants!$B$28,6))))+MIN(Constants!$B$29,MAX(0,Constants!$B$27*Constants!$B$28*INT(ROUND((Constants!$B$26-$AN319)/Constants!$B$28,6)))))</f>
        <v/>
      </c>
      <c r="BT319" s="100" t="str">
        <f aca="false">IF($BH319&lt;&gt;Constants!$B$4,"",IF(NOT($AJ319),0,Constants!$B$31*INT(ROUND(MAX(0,MIN($BF319,2*$AF$9)-$AF$9),6))))</f>
        <v/>
      </c>
      <c r="BU319" s="100" t="str">
        <f aca="false">IF($BH319&lt;&gt;Constants!$B$4,"",Constants!$B$32*(($AL319&gt;Constants!$B$26)+($AM319&gt;Constants!$B$26)+($AN319&gt;Constants!$B$26)))</f>
        <v/>
      </c>
      <c r="BV319" s="100" t="str">
        <f aca="false">IF($BH319&lt;&gt;Constants!$B$4,"",IF(OR(NOT($AJ319),$AO319),0,Constants!$B$33))</f>
        <v/>
      </c>
      <c r="BW319" s="100" t="str">
        <f aca="false">IF($BH319&lt;&gt;Constants!$B$4,"",Constants!$B$34*$BJ319)</f>
        <v/>
      </c>
      <c r="BX319" s="100" t="str">
        <f aca="false">IF($BH319&lt;&gt;Constants!$B$4,"",IF(OR(NOT($AJ319),$BE319),0,Constants!$B$36))</f>
        <v/>
      </c>
      <c r="BY319" s="100" t="str">
        <f aca="false">IF($BH319&lt;&gt;Constants!$B$4,"",IF(OR(NOT($AJ319),$BD319),0,Constants!$B$37))</f>
        <v/>
      </c>
      <c r="BZ319" s="100" t="str">
        <f aca="false">IF($BH319&lt;&gt;Constants!$B$4,"",SUM($BT319:$BY319))</f>
        <v/>
      </c>
      <c r="CA319" s="100" t="str">
        <f aca="false">IF(ISBLANK($C319),"",IF($BH319&lt;&gt;Constants!$B$4,$BH319,SUM($BK319:$BS319)-$BZ319))</f>
        <v/>
      </c>
      <c r="CB319" s="100" t="str">
        <f aca="false">IF(ISBLANK($C319),"",IF($BH319&lt;&gt;Constants!$B$4,$BH319,RANK($CA319,$CA$9:$CA$508)))</f>
        <v/>
      </c>
      <c r="CC319" s="100" t="str">
        <f aca="false">IF(ISBLANK($C319),"",IF($BH319&lt;&gt;Constants!$B$4,$BH319,COUNTIFS($BI$9:$BI$508,"&lt;"&amp;$BI319)+COUNTIFS($BI$9:$BI$508,$BI319,$CB$9:$CB$508,"&lt;"&amp;$CB319)+1))</f>
        <v/>
      </c>
      <c r="CD319" s="100" t="str">
        <f aca="false">IF(ISBLANK($C319),"",IF($BH319&lt;&gt;Constants!$B$4,$BH319,RANK($BZ319,$BZ$9:$BZ$508,1)))</f>
        <v/>
      </c>
      <c r="CE319" s="100" t="str">
        <f aca="false">IF($BH319&lt;&gt;Constants!$B$4,"",$AL319+$AM319+$AN319)</f>
        <v/>
      </c>
      <c r="CF319" s="100" t="str">
        <f aca="false">IF(ISBLANK($C319),"",IF($BH319&lt;&gt;Constants!$B$4,$BH319,RANK($CE319,$CE$9:$CE$508,1)))</f>
        <v/>
      </c>
      <c r="CG319" s="100" t="str">
        <f aca="false">IF(ISBLANK($C319),"",IF($BH319&lt;&gt;Constants!$B$4,$BH319,COUNTIFS($BI$9:$BI$508,"&lt;"&amp;$BI319)+COUNTIFS($BI$9:$BI$508,$BI319,$CB$9:$CB$508,"&lt;"&amp;$CB319)+COUNTIFS($BI$9:$BI$508,$BI319,$CB$9:$CB$508,$CB319,$CD$9:$CD$508,"&lt;"&amp;$CD319)+COUNTIFS($BI$9:$BI$508,$BI319,$CB$9:$CB$508,$CB319,$CD$9:$CD$508,$CD319,$CF$9:$CF$508,"&lt;"&amp;$CF319)+1))</f>
        <v/>
      </c>
      <c r="CH319" s="100" t="str">
        <f aca="false">IF(ISBLANK($C319),"",IF($BH319&lt;&gt;Constants!$B$4,$BH319,$CC319-$CG319))</f>
        <v/>
      </c>
      <c r="CI319" s="100" t="str">
        <f aca="false">IF(ISBLANK($C319),"",IF(NOT($AJ319),"",IF(ISBLANK($D$7),$CI$5,IF(NOT(ISNUMBER($D$7)),$CI$6,""))))</f>
        <v/>
      </c>
      <c r="CJ319" s="100" t="str">
        <f aca="false">IF(ISBLANK($C319),"",OR($AL319="",$AM319="",$AN319=""))</f>
        <v/>
      </c>
      <c r="CK319" s="100" t="str">
        <f aca="false">IF(ISBLANK($C319),"",AND($AJ319,$AX319=""))</f>
        <v/>
      </c>
      <c r="CL319" s="100" t="str">
        <f aca="false">IF(ISBLANK($C319),"",AND($AJ319,$AY319=""))</f>
        <v/>
      </c>
      <c r="CM319" s="100" t="str">
        <f aca="false">IF(ISBLANK($C319),"",AND($AJ319,$AZ319=""))</f>
        <v/>
      </c>
      <c r="CN319" s="100" t="str">
        <f aca="false">IF(ISBLANK($C319),"",AND($AJ319,$BC319=""))</f>
        <v/>
      </c>
      <c r="CO319" s="100" t="str">
        <f aca="false">IF(ISBLANK($C319),"",AND($AJ319,$BF319=""))</f>
        <v/>
      </c>
      <c r="CP319" s="101"/>
      <c r="CQ319" s="102"/>
      <c r="CR319" s="103" t="str">
        <f aca="false">IF(ISBLANK($C319),"",IF($BH319=Constants!$B$8,$CI319,""))</f>
        <v/>
      </c>
      <c r="CS319" s="102" t="str">
        <f aca="false">IF(ISBLANK($C319),"",IF($BH319&lt;&gt;Constants!$B$4,"",$BK319+$BL319))</f>
        <v/>
      </c>
      <c r="CT319" s="104" t="str">
        <f aca="false">IF(ISBLANK($C319),"",IF($BH319&lt;&gt;Constants!$B$4,"",$BM319+$BN319+$BO319))</f>
        <v/>
      </c>
      <c r="CU319" s="104" t="str">
        <f aca="false">IF(ISBLANK($C319),"",IF($BH319&lt;&gt;Constants!$B$4,"",$BP319))</f>
        <v/>
      </c>
      <c r="CV319" s="104" t="str">
        <f aca="false">IF(ISBLANK($C319),"",IF($BH319&lt;&gt;Constants!$B$4,"",$BQ319+$BR319))</f>
        <v/>
      </c>
      <c r="CW319" s="104" t="str">
        <f aca="false">IF(ISBLANK($C319),"",IF($BH319&lt;&gt;Constants!$B$4,"",$BS319))</f>
        <v/>
      </c>
      <c r="CX319" s="104" t="str">
        <f aca="false">IF(ISBLANK($C319),"",IF($BH319&lt;&gt;Constants!$B$4,"",-$BZ319))</f>
        <v/>
      </c>
      <c r="CY319" s="103" t="str">
        <f aca="false">IF(ISBLANK($C319),"",$CA319)</f>
        <v/>
      </c>
      <c r="CZ319" s="105" t="str">
        <f aca="false">IF(ISBLANK($C319),"",$BI319)</f>
        <v/>
      </c>
      <c r="DA319" s="104" t="str">
        <f aca="false">IF(ISBLANK($C319),"",$CH319)</f>
        <v/>
      </c>
      <c r="DB319" s="104" t="str">
        <f aca="false">IF(ISBLANK($C319),"",$CG319)</f>
        <v/>
      </c>
      <c r="DC319" s="106" t="str">
        <f aca="false">IF(ISBLANK($C319),"",IFERROR(_xlfn.SWITCH($DB319,Constants!$B$7,COUNTA($C$9:$C$508)+2,Constants!$B$6,COUNTA($C$9:$C$508)+1,Constants!$B$5,COUNTA($C$9:$C$508)),$DB319))</f>
        <v/>
      </c>
      <c r="DD319" s="7"/>
      <c r="DE319" s="107" t="n">
        <f aca="false">IF(OR(ISNUMBER($DB319),$DB319=Constants!$B$7,$DB319=Constants!$B$5,$DB319=Constants!$B$6),1,0)</f>
        <v>0</v>
      </c>
      <c r="DF319" s="107" t="n">
        <v>311</v>
      </c>
      <c r="DG319" s="107" t="str">
        <f aca="false">IF(ISBLANK($C319),"",IF(ISNUMBER($DC319),$DC319+ROW($B319)/1000,""))</f>
        <v/>
      </c>
      <c r="DH319" s="107" t="str">
        <f aca="false">IF(ISNUMBER($DG319),RANK($DG319,$DG$9:$DG$508,1),"")</f>
        <v/>
      </c>
      <c r="DI319" s="107" t="str">
        <f aca="false">IF(ISBLANK($C319),"",$B319)</f>
        <v/>
      </c>
      <c r="DJ319" s="107" t="str">
        <f aca="false">IF(ISBLANK($C319),"",$C319)</f>
        <v/>
      </c>
      <c r="DK319" s="107" t="str">
        <f aca="false">IF(ISBLANK($C319),"",$D319)</f>
        <v/>
      </c>
      <c r="DL319" s="108" t="str">
        <f aca="false">$CZ319</f>
        <v/>
      </c>
      <c r="DM319" s="109" t="str">
        <f aca="false">$CY319</f>
        <v/>
      </c>
      <c r="DN319" s="107" t="str">
        <f aca="false">IF(ISBLANK($C319),"",$DB319)</f>
        <v/>
      </c>
      <c r="DO319" s="110" t="str">
        <f aca="false">IF($DF319&gt;$DE$8,"",VLOOKUP($DF319,$DH$9:$DN$508,7,FALSE()))</f>
        <v/>
      </c>
      <c r="DP319" s="111" t="str">
        <f aca="false">IF($DF319&gt;$DE$8,"",VLOOKUP($DF319,$DH$9:$DN$508,2,FALSE()))</f>
        <v/>
      </c>
      <c r="DQ319" s="111" t="str">
        <f aca="false">IF($DF319&gt;$DE$8,"",VLOOKUP($DF319,$DH$9:$DN$508,3,FALSE()))</f>
        <v/>
      </c>
      <c r="DR319" s="111" t="str">
        <f aca="false">IF($DF319&gt;$DE$8,"",VLOOKUP($DF319,$DH$9:$DN$508,4,FALSE()))</f>
        <v/>
      </c>
      <c r="DS319" s="111" t="str">
        <f aca="false">IF($DF319&gt;$DE$8,"",VLOOKUP($DF319,$DH$9:$DN$508,5,FALSE()))</f>
        <v/>
      </c>
      <c r="DT319" s="112" t="str">
        <f aca="false">IF($DF319&gt;$DE$8,"",VLOOKUP($DF319,$DH$9:$DN$508,6,FALSE()))</f>
        <v/>
      </c>
      <c r="DU319" s="62"/>
    </row>
    <row r="320" customFormat="false" ht="15.75" hidden="false" customHeight="false" outlineLevel="0" collapsed="false">
      <c r="A320" s="7"/>
      <c r="B320" s="90"/>
      <c r="C320" s="91"/>
      <c r="D320" s="126"/>
      <c r="E320" s="130"/>
      <c r="F320" s="135"/>
      <c r="G320" s="130"/>
      <c r="H320" s="135"/>
      <c r="I320" s="131"/>
      <c r="J320" s="131"/>
      <c r="K320" s="131"/>
      <c r="L320" s="130"/>
      <c r="M320" s="130"/>
      <c r="N320" s="130"/>
      <c r="O320" s="135"/>
      <c r="P320" s="130"/>
      <c r="Q320" s="130"/>
      <c r="R320" s="130"/>
      <c r="S320" s="130"/>
      <c r="T320" s="135"/>
      <c r="U320" s="130"/>
      <c r="V320" s="96"/>
      <c r="W320" s="130"/>
      <c r="X320" s="130"/>
      <c r="Y320" s="96"/>
      <c r="Z320" s="96"/>
      <c r="AA320" s="130"/>
      <c r="AB320" s="130"/>
      <c r="AC320" s="97"/>
      <c r="AD320" s="130"/>
      <c r="AE320" s="99"/>
      <c r="AF320" s="100"/>
      <c r="AG320" s="100"/>
      <c r="AH320" s="100" t="str">
        <f aca="false">IF(ISBLANK($C320),"",IF($E320=Constants!$B$2,TRUE(),IF($E320=Constants!$B$3,FALSE(),TRUE())))</f>
        <v/>
      </c>
      <c r="AI320" s="100" t="str">
        <f aca="false">IF(ISBLANK($C320),"",IF($F320=Constants!$B$2,TRUE(),IF($F320=Constants!$B$3,FALSE(),FALSE())))</f>
        <v/>
      </c>
      <c r="AJ320" s="100" t="str">
        <f aca="false">IF(ISBLANK($C320),"",IF($G320=Constants!$B$2,TRUE(),IF($G320=Constants!$B$3,FALSE(),TRUE())))</f>
        <v/>
      </c>
      <c r="AK320" s="100" t="str">
        <f aca="false">IF(ISBLANK($C320),"",IF($H320=Constants!$B$2,TRUE(),IF($H320=Constants!$B$3,FALSE(),TRUE())))</f>
        <v/>
      </c>
      <c r="AL320" s="100" t="str">
        <f aca="false">IF(ISBLANK($C320),"",IF(ISNUMBER($I320),IF($I320&gt;=0,$I320,""),""))</f>
        <v/>
      </c>
      <c r="AM320" s="100" t="str">
        <f aca="false">IF(ISBLANK($C320),"",IF(ISNUMBER($J320),IF($J320&gt;=0,$J320,""),""))</f>
        <v/>
      </c>
      <c r="AN320" s="100" t="str">
        <f aca="false">IF(ISBLANK($C320),"",IF(ISNUMBER($K320),IF($K320&gt;=0,$K320,""),""))</f>
        <v/>
      </c>
      <c r="AO320" s="100" t="str">
        <f aca="false">IF(ISBLANK($C320),"",IF($L320=Constants!$B$2,TRUE(),IF($L320=Constants!$B$3,FALSE(),TRUE())))</f>
        <v/>
      </c>
      <c r="AP320" s="100" t="str">
        <f aca="false">IF(ISBLANK($C320),"",IF($M320=Constants!$B$2,TRUE(),IF($M320=Constants!$B$3,FALSE(),TRUE())))</f>
        <v/>
      </c>
      <c r="AQ320" s="100" t="str">
        <f aca="false">IF(ISBLANK($C320),"",IF($N320=Constants!$B$2,TRUE(),IF($N320=Constants!$B$3,FALSE(),FALSE())))</f>
        <v/>
      </c>
      <c r="AR320" s="100" t="str">
        <f aca="false">IF(ISBLANK($C320),"",IF($O320=Constants!$B$2,TRUE(),IF($O320=Constants!$B$3,FALSE(),TRUE())))</f>
        <v/>
      </c>
      <c r="AS320" s="100" t="str">
        <f aca="false">IF(ISBLANK($C320),"",IF($P320=Constants!$B$2,TRUE(),IF($P320=Constants!$B$3,FALSE(),FALSE())))</f>
        <v/>
      </c>
      <c r="AT320" s="100" t="str">
        <f aca="false">IF(ISBLANK($C320),"",IF($Q320=Constants!$B$2,TRUE(),IF($Q320=Constants!$B$3,FALSE(),FALSE())))</f>
        <v/>
      </c>
      <c r="AU320" s="100" t="str">
        <f aca="false">IF(ISBLANK($C320),"",IF($R320=Constants!$B$2,TRUE(),IF($R320=Constants!$B$3,FALSE(),FALSE())))</f>
        <v/>
      </c>
      <c r="AV320" s="100" t="str">
        <f aca="false">IF(ISBLANK($C320),"",IF($S320=Constants!$B$2,TRUE(),IF($S320=Constants!$B$3,FALSE(),FALSE())))</f>
        <v/>
      </c>
      <c r="AW320" s="100" t="str">
        <f aca="false">IF(ISBLANK($C320),"",IF($T320=Constants!$B$2,TRUE(),IF($T320=Constants!$B$3,FALSE(),FALSE())))</f>
        <v/>
      </c>
      <c r="AX320" s="100" t="str">
        <f aca="false">IF(ISBLANK($C320),"",IF(OR($U320&amp;""="1",$U320&amp;""="2",$U320&amp;""="3",$U320&amp;""="4"),VALUE($U320&amp;""),IF($U320=Constants!$B$12,Constants!$B$12,"")))</f>
        <v/>
      </c>
      <c r="AY320" s="100" t="str">
        <f aca="false">IF(ISBLANK($C320),"",IF(ISBLANK($V320),0,IF(ISNUMBER($V320),IF(AND($V320&gt;=0,$V320&lt;=Constants!$B$21,$V320=INT($V320)),$V320,""),"")))</f>
        <v/>
      </c>
      <c r="AZ320" s="100" t="str">
        <f aca="false">IF(ISBLANK($C320),"",IF(ISBLANK($W320),0,IF(ISNUMBER($W320),IF($W320&gt;=0,$W320,""),"")))</f>
        <v/>
      </c>
      <c r="BA320" s="100" t="str">
        <f aca="false">IF(ISBLANK($C320),"",IF($X320=Constants!$B$2,TRUE(),IF($X320=Constants!$B$3,FALSE(),TRUE())))</f>
        <v/>
      </c>
      <c r="BB320" s="100" t="str">
        <f aca="false">IF(ISBLANK($C320),"",IF($Y320=Constants!$B$2,TRUE(),IF($Y320=Constants!$B$3,FALSE(),FALSE())))</f>
        <v/>
      </c>
      <c r="BC320" s="100" t="str">
        <f aca="false">IF(ISBLANK($C320),"",IF(ISBLANK($Z320),0,IF(ISNUMBER($Z320),IF(AND($Z320&gt;=0,$Z320&lt;=Constants!$B$35,$Z320=INT($Z320)),$Z320,""),"")))</f>
        <v/>
      </c>
      <c r="BD320" s="100" t="str">
        <f aca="false">IF(ISBLANK($C320),"",IF($AA320=Constants!$B$2,TRUE(),IF($AA320=Constants!$B$3,FALSE(),TRUE())))</f>
        <v/>
      </c>
      <c r="BE320" s="100" t="str">
        <f aca="false">IF(ISBLANK($C320),"",IF($AB320=Constants!$B$2,TRUE(),IF($AB320=Constants!$B$3,FALSE(),TRUE())))</f>
        <v/>
      </c>
      <c r="BF320" s="100" t="str">
        <f aca="false">IF(ISBLANK($C320),"",IF(ISNUMBER($AC320),IF($AC320&gt;=0,$AC320,""),""))</f>
        <v/>
      </c>
      <c r="BG320" s="100" t="str">
        <f aca="false">IF(ISBLANK($C320),"",IF($AD320=Constants!$B$2,TRUE(),IF($AD320=Constants!$B$3,FALSE(),FALSE())))</f>
        <v/>
      </c>
      <c r="BH320" s="99" t="str">
        <f aca="false">IF(ISBLANK($C320),"",IF($BG320,Constants!$B$7,IF(COUNTA($E320:$AC320)=0,Constants!$B$6,IF(OR(COUNTA($G320:$AC320)=0,NOT($AK320),$AQ320),Constants!$B$5,IF(OR($CI320&lt;&gt;"",$CJ320,$CK320,$CL320,$CM320,$CN320,$CO320),Constants!$B$8,Constants!$B$4)))))</f>
        <v/>
      </c>
      <c r="BI320" s="100" t="str">
        <f aca="false">IF(ISBLANK($C320),"",IF($BH320&lt;&gt;Constants!$B$4,$BH320,IF(OR(NOT($AH320),NOT($AJ320),NOT($AR320)),Constants!$B$11,IF(OR(NOT($AP320),MAX($AL320,$AM320,$AN320)&gt;Constants!$B$30),Constants!$B$10,Constants!$B$9))))</f>
        <v/>
      </c>
      <c r="BJ320" s="100" t="str">
        <f aca="false">IF($BH320&lt;&gt;Constants!$B$4,"",IF(NOT($AJ320),0,MIN(Constants!$B$35,$BC320)))</f>
        <v/>
      </c>
      <c r="BK320" s="100" t="str">
        <f aca="false">IF($BH320&lt;&gt;Constants!$B$4,"",IF(NOT($AJ320),0,IF($AT320,Constants!$B$18,IF($AS320,Constants!$B$17,0))))</f>
        <v/>
      </c>
      <c r="BL320" s="100" t="str">
        <f aca="false">IF($BH320&lt;&gt;Constants!$B$4,"",IF(NOT($AJ320),0,Constants!$B$19*($AI320+$AU320+$AV320+$AW320)))</f>
        <v/>
      </c>
      <c r="BM320" s="100" t="str">
        <f aca="false">IF($BH320&lt;&gt;Constants!$B$4,"",IF(OR(NOT($AJ320),NOT(ISNUMBER($AX320))),0,CHOOSE($AX320,Constants!$B$13,Constants!$B$14,Constants!$B$15,Constants!$B$16)))</f>
        <v/>
      </c>
      <c r="BN320" s="100" t="str">
        <f aca="false">IF($BH320&lt;&gt;Constants!$B$4,"",IF(NOT($AJ320),0,Constants!$B$20*$AY320))</f>
        <v/>
      </c>
      <c r="BO320" s="100" t="str">
        <f aca="false">IF($BH320&lt;&gt;Constants!$B$4,"",IF(AND($AJ320,$BA320,$BB320),Constants!$B$22,0))</f>
        <v/>
      </c>
      <c r="BP320" s="100" t="str">
        <f aca="false">IF($BH320&lt;&gt;Constants!$B$4,"",IF(OR(NOT($AJ320),NOT($BA320)),0,IF($BF320&gt;=2*$AF$9,0,Constants!$B$23*INT(ROUND(MIN($BF320,$AF$9),6)))))</f>
        <v/>
      </c>
      <c r="BQ320" s="100" t="str">
        <f aca="false">IF($BH320&lt;&gt;Constants!$B$4,"",IF(NOT($AJ320),0,Constants!$B$24*INT(ROUND(MIN($AZ320,$AF$9),6))))</f>
        <v/>
      </c>
      <c r="BR320" s="100" t="str">
        <f aca="false">IF($BH320&lt;&gt;Constants!$B$4,"",IF(AND($AJ320,$BJ320=0),Constants!$B$25,0))</f>
        <v/>
      </c>
      <c r="BS320" s="100" t="str">
        <f aca="false">IF($BH320&lt;&gt;Constants!$B$4,"",MIN(Constants!$B$29,MAX(0,Constants!$B$27*Constants!$B$28*INT(ROUND((Constants!$B$26-$AL320)/Constants!$B$28,6))))+MIN(Constants!$B$29,MAX(0,Constants!$B$27*Constants!$B$28*INT(ROUND((Constants!$B$26-$AM320)/Constants!$B$28,6))))+MIN(Constants!$B$29,MAX(0,Constants!$B$27*Constants!$B$28*INT(ROUND((Constants!$B$26-$AN320)/Constants!$B$28,6)))))</f>
        <v/>
      </c>
      <c r="BT320" s="100" t="str">
        <f aca="false">IF($BH320&lt;&gt;Constants!$B$4,"",IF(NOT($AJ320),0,Constants!$B$31*INT(ROUND(MAX(0,MIN($BF320,2*$AF$9)-$AF$9),6))))</f>
        <v/>
      </c>
      <c r="BU320" s="100" t="str">
        <f aca="false">IF($BH320&lt;&gt;Constants!$B$4,"",Constants!$B$32*(($AL320&gt;Constants!$B$26)+($AM320&gt;Constants!$B$26)+($AN320&gt;Constants!$B$26)))</f>
        <v/>
      </c>
      <c r="BV320" s="100" t="str">
        <f aca="false">IF($BH320&lt;&gt;Constants!$B$4,"",IF(OR(NOT($AJ320),$AO320),0,Constants!$B$33))</f>
        <v/>
      </c>
      <c r="BW320" s="100" t="str">
        <f aca="false">IF($BH320&lt;&gt;Constants!$B$4,"",Constants!$B$34*$BJ320)</f>
        <v/>
      </c>
      <c r="BX320" s="100" t="str">
        <f aca="false">IF($BH320&lt;&gt;Constants!$B$4,"",IF(OR(NOT($AJ320),$BE320),0,Constants!$B$36))</f>
        <v/>
      </c>
      <c r="BY320" s="100" t="str">
        <f aca="false">IF($BH320&lt;&gt;Constants!$B$4,"",IF(OR(NOT($AJ320),$BD320),0,Constants!$B$37))</f>
        <v/>
      </c>
      <c r="BZ320" s="100" t="str">
        <f aca="false">IF($BH320&lt;&gt;Constants!$B$4,"",SUM($BT320:$BY320))</f>
        <v/>
      </c>
      <c r="CA320" s="100" t="str">
        <f aca="false">IF(ISBLANK($C320),"",IF($BH320&lt;&gt;Constants!$B$4,$BH320,SUM($BK320:$BS320)-$BZ320))</f>
        <v/>
      </c>
      <c r="CB320" s="100" t="str">
        <f aca="false">IF(ISBLANK($C320),"",IF($BH320&lt;&gt;Constants!$B$4,$BH320,RANK($CA320,$CA$9:$CA$508)))</f>
        <v/>
      </c>
      <c r="CC320" s="100" t="str">
        <f aca="false">IF(ISBLANK($C320),"",IF($BH320&lt;&gt;Constants!$B$4,$BH320,COUNTIFS($BI$9:$BI$508,"&lt;"&amp;$BI320)+COUNTIFS($BI$9:$BI$508,$BI320,$CB$9:$CB$508,"&lt;"&amp;$CB320)+1))</f>
        <v/>
      </c>
      <c r="CD320" s="100" t="str">
        <f aca="false">IF(ISBLANK($C320),"",IF($BH320&lt;&gt;Constants!$B$4,$BH320,RANK($BZ320,$BZ$9:$BZ$508,1)))</f>
        <v/>
      </c>
      <c r="CE320" s="100" t="str">
        <f aca="false">IF($BH320&lt;&gt;Constants!$B$4,"",$AL320+$AM320+$AN320)</f>
        <v/>
      </c>
      <c r="CF320" s="100" t="str">
        <f aca="false">IF(ISBLANK($C320),"",IF($BH320&lt;&gt;Constants!$B$4,$BH320,RANK($CE320,$CE$9:$CE$508,1)))</f>
        <v/>
      </c>
      <c r="CG320" s="100" t="str">
        <f aca="false">IF(ISBLANK($C320),"",IF($BH320&lt;&gt;Constants!$B$4,$BH320,COUNTIFS($BI$9:$BI$508,"&lt;"&amp;$BI320)+COUNTIFS($BI$9:$BI$508,$BI320,$CB$9:$CB$508,"&lt;"&amp;$CB320)+COUNTIFS($BI$9:$BI$508,$BI320,$CB$9:$CB$508,$CB320,$CD$9:$CD$508,"&lt;"&amp;$CD320)+COUNTIFS($BI$9:$BI$508,$BI320,$CB$9:$CB$508,$CB320,$CD$9:$CD$508,$CD320,$CF$9:$CF$508,"&lt;"&amp;$CF320)+1))</f>
        <v/>
      </c>
      <c r="CH320" s="100" t="str">
        <f aca="false">IF(ISBLANK($C320),"",IF($BH320&lt;&gt;Constants!$B$4,$BH320,$CC320-$CG320))</f>
        <v/>
      </c>
      <c r="CI320" s="100" t="str">
        <f aca="false">IF(ISBLANK($C320),"",IF(NOT($AJ320),"",IF(ISBLANK($D$7),$CI$5,IF(NOT(ISNUMBER($D$7)),$CI$6,""))))</f>
        <v/>
      </c>
      <c r="CJ320" s="100" t="str">
        <f aca="false">IF(ISBLANK($C320),"",OR($AL320="",$AM320="",$AN320=""))</f>
        <v/>
      </c>
      <c r="CK320" s="100" t="str">
        <f aca="false">IF(ISBLANK($C320),"",AND($AJ320,$AX320=""))</f>
        <v/>
      </c>
      <c r="CL320" s="100" t="str">
        <f aca="false">IF(ISBLANK($C320),"",AND($AJ320,$AY320=""))</f>
        <v/>
      </c>
      <c r="CM320" s="100" t="str">
        <f aca="false">IF(ISBLANK($C320),"",AND($AJ320,$AZ320=""))</f>
        <v/>
      </c>
      <c r="CN320" s="100" t="str">
        <f aca="false">IF(ISBLANK($C320),"",AND($AJ320,$BC320=""))</f>
        <v/>
      </c>
      <c r="CO320" s="100" t="str">
        <f aca="false">IF(ISBLANK($C320),"",AND($AJ320,$BF320=""))</f>
        <v/>
      </c>
      <c r="CP320" s="101"/>
      <c r="CQ320" s="102"/>
      <c r="CR320" s="103" t="str">
        <f aca="false">IF(ISBLANK($C320),"",IF($BH320=Constants!$B$8,$CI320,""))</f>
        <v/>
      </c>
      <c r="CS320" s="102" t="str">
        <f aca="false">IF(ISBLANK($C320),"",IF($BH320&lt;&gt;Constants!$B$4,"",$BK320+$BL320))</f>
        <v/>
      </c>
      <c r="CT320" s="104" t="str">
        <f aca="false">IF(ISBLANK($C320),"",IF($BH320&lt;&gt;Constants!$B$4,"",$BM320+$BN320+$BO320))</f>
        <v/>
      </c>
      <c r="CU320" s="104" t="str">
        <f aca="false">IF(ISBLANK($C320),"",IF($BH320&lt;&gt;Constants!$B$4,"",$BP320))</f>
        <v/>
      </c>
      <c r="CV320" s="104" t="str">
        <f aca="false">IF(ISBLANK($C320),"",IF($BH320&lt;&gt;Constants!$B$4,"",$BQ320+$BR320))</f>
        <v/>
      </c>
      <c r="CW320" s="104" t="str">
        <f aca="false">IF(ISBLANK($C320),"",IF($BH320&lt;&gt;Constants!$B$4,"",$BS320))</f>
        <v/>
      </c>
      <c r="CX320" s="104" t="str">
        <f aca="false">IF(ISBLANK($C320),"",IF($BH320&lt;&gt;Constants!$B$4,"",-$BZ320))</f>
        <v/>
      </c>
      <c r="CY320" s="103" t="str">
        <f aca="false">IF(ISBLANK($C320),"",$CA320)</f>
        <v/>
      </c>
      <c r="CZ320" s="105" t="str">
        <f aca="false">IF(ISBLANK($C320),"",$BI320)</f>
        <v/>
      </c>
      <c r="DA320" s="104" t="str">
        <f aca="false">IF(ISBLANK($C320),"",$CH320)</f>
        <v/>
      </c>
      <c r="DB320" s="104" t="str">
        <f aca="false">IF(ISBLANK($C320),"",$CG320)</f>
        <v/>
      </c>
      <c r="DC320" s="106" t="str">
        <f aca="false">IF(ISBLANK($C320),"",IFERROR(_xlfn.SWITCH($DB320,Constants!$B$7,COUNTA($C$9:$C$508)+2,Constants!$B$6,COUNTA($C$9:$C$508)+1,Constants!$B$5,COUNTA($C$9:$C$508)),$DB320))</f>
        <v/>
      </c>
      <c r="DD320" s="7"/>
      <c r="DE320" s="107" t="n">
        <f aca="false">IF(OR(ISNUMBER($DB320),$DB320=Constants!$B$7,$DB320=Constants!$B$5,$DB320=Constants!$B$6),1,0)</f>
        <v>0</v>
      </c>
      <c r="DF320" s="107" t="n">
        <v>312</v>
      </c>
      <c r="DG320" s="107" t="str">
        <f aca="false">IF(ISBLANK($C320),"",IF(ISNUMBER($DC320),$DC320+ROW($B320)/1000,""))</f>
        <v/>
      </c>
      <c r="DH320" s="107" t="str">
        <f aca="false">IF(ISNUMBER($DG320),RANK($DG320,$DG$9:$DG$508,1),"")</f>
        <v/>
      </c>
      <c r="DI320" s="107" t="str">
        <f aca="false">IF(ISBLANK($C320),"",$B320)</f>
        <v/>
      </c>
      <c r="DJ320" s="107" t="str">
        <f aca="false">IF(ISBLANK($C320),"",$C320)</f>
        <v/>
      </c>
      <c r="DK320" s="107" t="str">
        <f aca="false">IF(ISBLANK($C320),"",$D320)</f>
        <v/>
      </c>
      <c r="DL320" s="108" t="str">
        <f aca="false">$CZ320</f>
        <v/>
      </c>
      <c r="DM320" s="109" t="str">
        <f aca="false">$CY320</f>
        <v/>
      </c>
      <c r="DN320" s="107" t="str">
        <f aca="false">IF(ISBLANK($C320),"",$DB320)</f>
        <v/>
      </c>
      <c r="DO320" s="110" t="str">
        <f aca="false">IF($DF320&gt;$DE$8,"",VLOOKUP($DF320,$DH$9:$DN$508,7,FALSE()))</f>
        <v/>
      </c>
      <c r="DP320" s="111" t="str">
        <f aca="false">IF($DF320&gt;$DE$8,"",VLOOKUP($DF320,$DH$9:$DN$508,2,FALSE()))</f>
        <v/>
      </c>
      <c r="DQ320" s="111" t="str">
        <f aca="false">IF($DF320&gt;$DE$8,"",VLOOKUP($DF320,$DH$9:$DN$508,3,FALSE()))</f>
        <v/>
      </c>
      <c r="DR320" s="111" t="str">
        <f aca="false">IF($DF320&gt;$DE$8,"",VLOOKUP($DF320,$DH$9:$DN$508,4,FALSE()))</f>
        <v/>
      </c>
      <c r="DS320" s="111" t="str">
        <f aca="false">IF($DF320&gt;$DE$8,"",VLOOKUP($DF320,$DH$9:$DN$508,5,FALSE()))</f>
        <v/>
      </c>
      <c r="DT320" s="112" t="str">
        <f aca="false">IF($DF320&gt;$DE$8,"",VLOOKUP($DF320,$DH$9:$DN$508,6,FALSE()))</f>
        <v/>
      </c>
      <c r="DU320" s="62"/>
    </row>
    <row r="321" customFormat="false" ht="15.75" hidden="false" customHeight="false" outlineLevel="0" collapsed="false">
      <c r="A321" s="7"/>
      <c r="B321" s="64"/>
      <c r="C321" s="65"/>
      <c r="D321" s="123"/>
      <c r="E321" s="88"/>
      <c r="F321" s="134"/>
      <c r="G321" s="88"/>
      <c r="H321" s="134"/>
      <c r="I321" s="119"/>
      <c r="J321" s="119"/>
      <c r="K321" s="119"/>
      <c r="L321" s="88"/>
      <c r="M321" s="88"/>
      <c r="N321" s="88"/>
      <c r="O321" s="134"/>
      <c r="P321" s="88"/>
      <c r="Q321" s="88"/>
      <c r="R321" s="88"/>
      <c r="S321" s="88"/>
      <c r="T321" s="134"/>
      <c r="U321" s="88"/>
      <c r="V321" s="70"/>
      <c r="W321" s="88"/>
      <c r="X321" s="88"/>
      <c r="Y321" s="70"/>
      <c r="Z321" s="70"/>
      <c r="AA321" s="88"/>
      <c r="AB321" s="88"/>
      <c r="AC321" s="71"/>
      <c r="AD321" s="88"/>
      <c r="AE321" s="73"/>
      <c r="AF321" s="74"/>
      <c r="AG321" s="74"/>
      <c r="AH321" s="74" t="str">
        <f aca="false">IF(ISBLANK($C321),"",IF($E321=Constants!$B$2,TRUE(),IF($E321=Constants!$B$3,FALSE(),TRUE())))</f>
        <v/>
      </c>
      <c r="AI321" s="74" t="str">
        <f aca="false">IF(ISBLANK($C321),"",IF($F321=Constants!$B$2,TRUE(),IF($F321=Constants!$B$3,FALSE(),FALSE())))</f>
        <v/>
      </c>
      <c r="AJ321" s="74" t="str">
        <f aca="false">IF(ISBLANK($C321),"",IF($G321=Constants!$B$2,TRUE(),IF($G321=Constants!$B$3,FALSE(),TRUE())))</f>
        <v/>
      </c>
      <c r="AK321" s="74" t="str">
        <f aca="false">IF(ISBLANK($C321),"",IF($H321=Constants!$B$2,TRUE(),IF($H321=Constants!$B$3,FALSE(),TRUE())))</f>
        <v/>
      </c>
      <c r="AL321" s="74" t="str">
        <f aca="false">IF(ISBLANK($C321),"",IF(ISNUMBER($I321),IF($I321&gt;=0,$I321,""),""))</f>
        <v/>
      </c>
      <c r="AM321" s="74" t="str">
        <f aca="false">IF(ISBLANK($C321),"",IF(ISNUMBER($J321),IF($J321&gt;=0,$J321,""),""))</f>
        <v/>
      </c>
      <c r="AN321" s="74" t="str">
        <f aca="false">IF(ISBLANK($C321),"",IF(ISNUMBER($K321),IF($K321&gt;=0,$K321,""),""))</f>
        <v/>
      </c>
      <c r="AO321" s="74" t="str">
        <f aca="false">IF(ISBLANK($C321),"",IF($L321=Constants!$B$2,TRUE(),IF($L321=Constants!$B$3,FALSE(),TRUE())))</f>
        <v/>
      </c>
      <c r="AP321" s="74" t="str">
        <f aca="false">IF(ISBLANK($C321),"",IF($M321=Constants!$B$2,TRUE(),IF($M321=Constants!$B$3,FALSE(),TRUE())))</f>
        <v/>
      </c>
      <c r="AQ321" s="74" t="str">
        <f aca="false">IF(ISBLANK($C321),"",IF($N321=Constants!$B$2,TRUE(),IF($N321=Constants!$B$3,FALSE(),FALSE())))</f>
        <v/>
      </c>
      <c r="AR321" s="74" t="str">
        <f aca="false">IF(ISBLANK($C321),"",IF($O321=Constants!$B$2,TRUE(),IF($O321=Constants!$B$3,FALSE(),TRUE())))</f>
        <v/>
      </c>
      <c r="AS321" s="74" t="str">
        <f aca="false">IF(ISBLANK($C321),"",IF($P321=Constants!$B$2,TRUE(),IF($P321=Constants!$B$3,FALSE(),FALSE())))</f>
        <v/>
      </c>
      <c r="AT321" s="74" t="str">
        <f aca="false">IF(ISBLANK($C321),"",IF($Q321=Constants!$B$2,TRUE(),IF($Q321=Constants!$B$3,FALSE(),FALSE())))</f>
        <v/>
      </c>
      <c r="AU321" s="74" t="str">
        <f aca="false">IF(ISBLANK($C321),"",IF($R321=Constants!$B$2,TRUE(),IF($R321=Constants!$B$3,FALSE(),FALSE())))</f>
        <v/>
      </c>
      <c r="AV321" s="74" t="str">
        <f aca="false">IF(ISBLANK($C321),"",IF($S321=Constants!$B$2,TRUE(),IF($S321=Constants!$B$3,FALSE(),FALSE())))</f>
        <v/>
      </c>
      <c r="AW321" s="74" t="str">
        <f aca="false">IF(ISBLANK($C321),"",IF($T321=Constants!$B$2,TRUE(),IF($T321=Constants!$B$3,FALSE(),FALSE())))</f>
        <v/>
      </c>
      <c r="AX321" s="74" t="str">
        <f aca="false">IF(ISBLANK($C321),"",IF(OR($U321&amp;""="1",$U321&amp;""="2",$U321&amp;""="3",$U321&amp;""="4"),VALUE($U321&amp;""),IF($U321=Constants!$B$12,Constants!$B$12,"")))</f>
        <v/>
      </c>
      <c r="AY321" s="74" t="str">
        <f aca="false">IF(ISBLANK($C321),"",IF(ISBLANK($V321),0,IF(ISNUMBER($V321),IF(AND($V321&gt;=0,$V321&lt;=Constants!$B$21,$V321=INT($V321)),$V321,""),"")))</f>
        <v/>
      </c>
      <c r="AZ321" s="74" t="str">
        <f aca="false">IF(ISBLANK($C321),"",IF(ISBLANK($W321),0,IF(ISNUMBER($W321),IF($W321&gt;=0,$W321,""),"")))</f>
        <v/>
      </c>
      <c r="BA321" s="74" t="str">
        <f aca="false">IF(ISBLANK($C321),"",IF($X321=Constants!$B$2,TRUE(),IF($X321=Constants!$B$3,FALSE(),TRUE())))</f>
        <v/>
      </c>
      <c r="BB321" s="74" t="str">
        <f aca="false">IF(ISBLANK($C321),"",IF($Y321=Constants!$B$2,TRUE(),IF($Y321=Constants!$B$3,FALSE(),FALSE())))</f>
        <v/>
      </c>
      <c r="BC321" s="74" t="str">
        <f aca="false">IF(ISBLANK($C321),"",IF(ISBLANK($Z321),0,IF(ISNUMBER($Z321),IF(AND($Z321&gt;=0,$Z321&lt;=Constants!$B$35,$Z321=INT($Z321)),$Z321,""),"")))</f>
        <v/>
      </c>
      <c r="BD321" s="74" t="str">
        <f aca="false">IF(ISBLANK($C321),"",IF($AA321=Constants!$B$2,TRUE(),IF($AA321=Constants!$B$3,FALSE(),TRUE())))</f>
        <v/>
      </c>
      <c r="BE321" s="74" t="str">
        <f aca="false">IF(ISBLANK($C321),"",IF($AB321=Constants!$B$2,TRUE(),IF($AB321=Constants!$B$3,FALSE(),TRUE())))</f>
        <v/>
      </c>
      <c r="BF321" s="74" t="str">
        <f aca="false">IF(ISBLANK($C321),"",IF(ISNUMBER($AC321),IF($AC321&gt;=0,$AC321,""),""))</f>
        <v/>
      </c>
      <c r="BG321" s="74" t="str">
        <f aca="false">IF(ISBLANK($C321),"",IF($AD321=Constants!$B$2,TRUE(),IF($AD321=Constants!$B$3,FALSE(),FALSE())))</f>
        <v/>
      </c>
      <c r="BH321" s="73" t="str">
        <f aca="false">IF(ISBLANK($C321),"",IF($BG321,Constants!$B$7,IF(COUNTA($E321:$AC321)=0,Constants!$B$6,IF(OR(COUNTA($G321:$AC321)=0,NOT($AK321),$AQ321),Constants!$B$5,IF(OR($CI321&lt;&gt;"",$CJ321,$CK321,$CL321,$CM321,$CN321,$CO321),Constants!$B$8,Constants!$B$4)))))</f>
        <v/>
      </c>
      <c r="BI321" s="74" t="str">
        <f aca="false">IF(ISBLANK($C321),"",IF($BH321&lt;&gt;Constants!$B$4,$BH321,IF(OR(NOT($AH321),NOT($AJ321),NOT($AR321)),Constants!$B$11,IF(OR(NOT($AP321),MAX($AL321,$AM321,$AN321)&gt;Constants!$B$30),Constants!$B$10,Constants!$B$9))))</f>
        <v/>
      </c>
      <c r="BJ321" s="74" t="str">
        <f aca="false">IF($BH321&lt;&gt;Constants!$B$4,"",IF(NOT($AJ321),0,MIN(Constants!$B$35,$BC321)))</f>
        <v/>
      </c>
      <c r="BK321" s="74" t="str">
        <f aca="false">IF($BH321&lt;&gt;Constants!$B$4,"",IF(NOT($AJ321),0,IF($AT321,Constants!$B$18,IF($AS321,Constants!$B$17,0))))</f>
        <v/>
      </c>
      <c r="BL321" s="74" t="str">
        <f aca="false">IF($BH321&lt;&gt;Constants!$B$4,"",IF(NOT($AJ321),0,Constants!$B$19*($AI321+$AU321+$AV321+$AW321)))</f>
        <v/>
      </c>
      <c r="BM321" s="74" t="str">
        <f aca="false">IF($BH321&lt;&gt;Constants!$B$4,"",IF(OR(NOT($AJ321),NOT(ISNUMBER($AX321))),0,CHOOSE($AX321,Constants!$B$13,Constants!$B$14,Constants!$B$15,Constants!$B$16)))</f>
        <v/>
      </c>
      <c r="BN321" s="74" t="str">
        <f aca="false">IF($BH321&lt;&gt;Constants!$B$4,"",IF(NOT($AJ321),0,Constants!$B$20*$AY321))</f>
        <v/>
      </c>
      <c r="BO321" s="74" t="str">
        <f aca="false">IF($BH321&lt;&gt;Constants!$B$4,"",IF(AND($AJ321,$BA321,$BB321),Constants!$B$22,0))</f>
        <v/>
      </c>
      <c r="BP321" s="74" t="str">
        <f aca="false">IF($BH321&lt;&gt;Constants!$B$4,"",IF(OR(NOT($AJ321),NOT($BA321)),0,IF($BF321&gt;=2*$AF$9,0,Constants!$B$23*INT(ROUND(MIN($BF321,$AF$9),6)))))</f>
        <v/>
      </c>
      <c r="BQ321" s="74" t="str">
        <f aca="false">IF($BH321&lt;&gt;Constants!$B$4,"",IF(NOT($AJ321),0,Constants!$B$24*INT(ROUND(MIN($AZ321,$AF$9),6))))</f>
        <v/>
      </c>
      <c r="BR321" s="74" t="str">
        <f aca="false">IF($BH321&lt;&gt;Constants!$B$4,"",IF(AND($AJ321,$BJ321=0),Constants!$B$25,0))</f>
        <v/>
      </c>
      <c r="BS321" s="74" t="str">
        <f aca="false">IF($BH321&lt;&gt;Constants!$B$4,"",MIN(Constants!$B$29,MAX(0,Constants!$B$27*Constants!$B$28*INT(ROUND((Constants!$B$26-$AL321)/Constants!$B$28,6))))+MIN(Constants!$B$29,MAX(0,Constants!$B$27*Constants!$B$28*INT(ROUND((Constants!$B$26-$AM321)/Constants!$B$28,6))))+MIN(Constants!$B$29,MAX(0,Constants!$B$27*Constants!$B$28*INT(ROUND((Constants!$B$26-$AN321)/Constants!$B$28,6)))))</f>
        <v/>
      </c>
      <c r="BT321" s="74" t="str">
        <f aca="false">IF($BH321&lt;&gt;Constants!$B$4,"",IF(NOT($AJ321),0,Constants!$B$31*INT(ROUND(MAX(0,MIN($BF321,2*$AF$9)-$AF$9),6))))</f>
        <v/>
      </c>
      <c r="BU321" s="74" t="str">
        <f aca="false">IF($BH321&lt;&gt;Constants!$B$4,"",Constants!$B$32*(($AL321&gt;Constants!$B$26)+($AM321&gt;Constants!$B$26)+($AN321&gt;Constants!$B$26)))</f>
        <v/>
      </c>
      <c r="BV321" s="74" t="str">
        <f aca="false">IF($BH321&lt;&gt;Constants!$B$4,"",IF(OR(NOT($AJ321),$AO321),0,Constants!$B$33))</f>
        <v/>
      </c>
      <c r="BW321" s="74" t="str">
        <f aca="false">IF($BH321&lt;&gt;Constants!$B$4,"",Constants!$B$34*$BJ321)</f>
        <v/>
      </c>
      <c r="BX321" s="74" t="str">
        <f aca="false">IF($BH321&lt;&gt;Constants!$B$4,"",IF(OR(NOT($AJ321),$BE321),0,Constants!$B$36))</f>
        <v/>
      </c>
      <c r="BY321" s="74" t="str">
        <f aca="false">IF($BH321&lt;&gt;Constants!$B$4,"",IF(OR(NOT($AJ321),$BD321),0,Constants!$B$37))</f>
        <v/>
      </c>
      <c r="BZ321" s="74" t="str">
        <f aca="false">IF($BH321&lt;&gt;Constants!$B$4,"",SUM($BT321:$BY321))</f>
        <v/>
      </c>
      <c r="CA321" s="74" t="str">
        <f aca="false">IF(ISBLANK($C321),"",IF($BH321&lt;&gt;Constants!$B$4,$BH321,SUM($BK321:$BS321)-$BZ321))</f>
        <v/>
      </c>
      <c r="CB321" s="74" t="str">
        <f aca="false">IF(ISBLANK($C321),"",IF($BH321&lt;&gt;Constants!$B$4,$BH321,RANK($CA321,$CA$9:$CA$508)))</f>
        <v/>
      </c>
      <c r="CC321" s="74" t="str">
        <f aca="false">IF(ISBLANK($C321),"",IF($BH321&lt;&gt;Constants!$B$4,$BH321,COUNTIFS($BI$9:$BI$508,"&lt;"&amp;$BI321)+COUNTIFS($BI$9:$BI$508,$BI321,$CB$9:$CB$508,"&lt;"&amp;$CB321)+1))</f>
        <v/>
      </c>
      <c r="CD321" s="74" t="str">
        <f aca="false">IF(ISBLANK($C321),"",IF($BH321&lt;&gt;Constants!$B$4,$BH321,RANK($BZ321,$BZ$9:$BZ$508,1)))</f>
        <v/>
      </c>
      <c r="CE321" s="74" t="str">
        <f aca="false">IF($BH321&lt;&gt;Constants!$B$4,"",$AL321+$AM321+$AN321)</f>
        <v/>
      </c>
      <c r="CF321" s="74" t="str">
        <f aca="false">IF(ISBLANK($C321),"",IF($BH321&lt;&gt;Constants!$B$4,$BH321,RANK($CE321,$CE$9:$CE$508,1)))</f>
        <v/>
      </c>
      <c r="CG321" s="74" t="str">
        <f aca="false">IF(ISBLANK($C321),"",IF($BH321&lt;&gt;Constants!$B$4,$BH321,COUNTIFS($BI$9:$BI$508,"&lt;"&amp;$BI321)+COUNTIFS($BI$9:$BI$508,$BI321,$CB$9:$CB$508,"&lt;"&amp;$CB321)+COUNTIFS($BI$9:$BI$508,$BI321,$CB$9:$CB$508,$CB321,$CD$9:$CD$508,"&lt;"&amp;$CD321)+COUNTIFS($BI$9:$BI$508,$BI321,$CB$9:$CB$508,$CB321,$CD$9:$CD$508,$CD321,$CF$9:$CF$508,"&lt;"&amp;$CF321)+1))</f>
        <v/>
      </c>
      <c r="CH321" s="74" t="str">
        <f aca="false">IF(ISBLANK($C321),"",IF($BH321&lt;&gt;Constants!$B$4,$BH321,$CC321-$CG321))</f>
        <v/>
      </c>
      <c r="CI321" s="74" t="str">
        <f aca="false">IF(ISBLANK($C321),"",IF(NOT($AJ321),"",IF(ISBLANK($D$7),$CI$5,IF(NOT(ISNUMBER($D$7)),$CI$6,""))))</f>
        <v/>
      </c>
      <c r="CJ321" s="74" t="str">
        <f aca="false">IF(ISBLANK($C321),"",OR($AL321="",$AM321="",$AN321=""))</f>
        <v/>
      </c>
      <c r="CK321" s="74" t="str">
        <f aca="false">IF(ISBLANK($C321),"",AND($AJ321,$AX321=""))</f>
        <v/>
      </c>
      <c r="CL321" s="74" t="str">
        <f aca="false">IF(ISBLANK($C321),"",AND($AJ321,$AY321=""))</f>
        <v/>
      </c>
      <c r="CM321" s="74" t="str">
        <f aca="false">IF(ISBLANK($C321),"",AND($AJ321,$AZ321=""))</f>
        <v/>
      </c>
      <c r="CN321" s="74" t="str">
        <f aca="false">IF(ISBLANK($C321),"",AND($AJ321,$BC321=""))</f>
        <v/>
      </c>
      <c r="CO321" s="74" t="str">
        <f aca="false">IF(ISBLANK($C321),"",AND($AJ321,$BF321=""))</f>
        <v/>
      </c>
      <c r="CP321" s="75"/>
      <c r="CQ321" s="76"/>
      <c r="CR321" s="79" t="str">
        <f aca="false">IF(ISBLANK($C321),"",IF($BH321=Constants!$B$8,$CI321,""))</f>
        <v/>
      </c>
      <c r="CS321" s="76" t="str">
        <f aca="false">IF(ISBLANK($C321),"",IF($BH321&lt;&gt;Constants!$B$4,"",$BK321+$BL321))</f>
        <v/>
      </c>
      <c r="CT321" s="78" t="str">
        <f aca="false">IF(ISBLANK($C321),"",IF($BH321&lt;&gt;Constants!$B$4,"",$BM321+$BN321+$BO321))</f>
        <v/>
      </c>
      <c r="CU321" s="78" t="str">
        <f aca="false">IF(ISBLANK($C321),"",IF($BH321&lt;&gt;Constants!$B$4,"",$BP321))</f>
        <v/>
      </c>
      <c r="CV321" s="78" t="str">
        <f aca="false">IF(ISBLANK($C321),"",IF($BH321&lt;&gt;Constants!$B$4,"",$BQ321+$BR321))</f>
        <v/>
      </c>
      <c r="CW321" s="78" t="str">
        <f aca="false">IF(ISBLANK($C321),"",IF($BH321&lt;&gt;Constants!$B$4,"",$BS321))</f>
        <v/>
      </c>
      <c r="CX321" s="78" t="str">
        <f aca="false">IF(ISBLANK($C321),"",IF($BH321&lt;&gt;Constants!$B$4,"",-$BZ321))</f>
        <v/>
      </c>
      <c r="CY321" s="79" t="str">
        <f aca="false">IF(ISBLANK($C321),"",$CA321)</f>
        <v/>
      </c>
      <c r="CZ321" s="80" t="str">
        <f aca="false">IF(ISBLANK($C321),"",$BI321)</f>
        <v/>
      </c>
      <c r="DA321" s="78" t="str">
        <f aca="false">IF(ISBLANK($C321),"",$CH321)</f>
        <v/>
      </c>
      <c r="DB321" s="78" t="str">
        <f aca="false">IF(ISBLANK($C321),"",$CG321)</f>
        <v/>
      </c>
      <c r="DC321" s="81" t="str">
        <f aca="false">IF(ISBLANK($C321),"",IFERROR(_xlfn.SWITCH($DB321,Constants!$B$7,COUNTA($C$9:$C$508)+2,Constants!$B$6,COUNTA($C$9:$C$508)+1,Constants!$B$5,COUNTA($C$9:$C$508)),$DB321))</f>
        <v/>
      </c>
      <c r="DD321" s="7"/>
      <c r="DE321" s="82" t="n">
        <f aca="false">IF(OR(ISNUMBER($DB321),$DB321=Constants!$B$7,$DB321=Constants!$B$5,$DB321=Constants!$B$6),1,0)</f>
        <v>0</v>
      </c>
      <c r="DF321" s="82" t="n">
        <v>313</v>
      </c>
      <c r="DG321" s="82" t="str">
        <f aca="false">IF(ISBLANK($C321),"",IF(ISNUMBER($DC321),$DC321+ROW($B321)/1000,""))</f>
        <v/>
      </c>
      <c r="DH321" s="82" t="str">
        <f aca="false">IF(ISNUMBER($DG321),RANK($DG321,$DG$9:$DG$508,1),"")</f>
        <v/>
      </c>
      <c r="DI321" s="82" t="str">
        <f aca="false">IF(ISBLANK($C321),"",$B321)</f>
        <v/>
      </c>
      <c r="DJ321" s="82" t="str">
        <f aca="false">IF(ISBLANK($C321),"",$C321)</f>
        <v/>
      </c>
      <c r="DK321" s="82" t="str">
        <f aca="false">IF(ISBLANK($C321),"",$D321)</f>
        <v/>
      </c>
      <c r="DL321" s="83" t="str">
        <f aca="false">$CZ321</f>
        <v/>
      </c>
      <c r="DM321" s="84" t="str">
        <f aca="false">$CY321</f>
        <v/>
      </c>
      <c r="DN321" s="82" t="str">
        <f aca="false">IF(ISBLANK($C321),"",$DB321)</f>
        <v/>
      </c>
      <c r="DO321" s="85" t="str">
        <f aca="false">IF($DF321&gt;$DE$8,"",VLOOKUP($DF321,$DH$9:$DN$508,7,FALSE()))</f>
        <v/>
      </c>
      <c r="DP321" s="86" t="str">
        <f aca="false">IF($DF321&gt;$DE$8,"",VLOOKUP($DF321,$DH$9:$DN$508,2,FALSE()))</f>
        <v/>
      </c>
      <c r="DQ321" s="86" t="str">
        <f aca="false">IF($DF321&gt;$DE$8,"",VLOOKUP($DF321,$DH$9:$DN$508,3,FALSE()))</f>
        <v/>
      </c>
      <c r="DR321" s="86" t="str">
        <f aca="false">IF($DF321&gt;$DE$8,"",VLOOKUP($DF321,$DH$9:$DN$508,4,FALSE()))</f>
        <v/>
      </c>
      <c r="DS321" s="86" t="str">
        <f aca="false">IF($DF321&gt;$DE$8,"",VLOOKUP($DF321,$DH$9:$DN$508,5,FALSE()))</f>
        <v/>
      </c>
      <c r="DT321" s="87" t="str">
        <f aca="false">IF($DF321&gt;$DE$8,"",VLOOKUP($DF321,$DH$9:$DN$508,6,FALSE()))</f>
        <v/>
      </c>
      <c r="DU321" s="62"/>
    </row>
    <row r="322" customFormat="false" ht="15.75" hidden="false" customHeight="false" outlineLevel="0" collapsed="false">
      <c r="A322" s="7"/>
      <c r="B322" s="64"/>
      <c r="C322" s="65"/>
      <c r="D322" s="123"/>
      <c r="E322" s="88"/>
      <c r="F322" s="134"/>
      <c r="G322" s="88"/>
      <c r="H322" s="134"/>
      <c r="I322" s="119"/>
      <c r="J322" s="119"/>
      <c r="K322" s="119"/>
      <c r="L322" s="88"/>
      <c r="M322" s="88"/>
      <c r="N322" s="88"/>
      <c r="O322" s="134"/>
      <c r="P322" s="88"/>
      <c r="Q322" s="88"/>
      <c r="R322" s="88"/>
      <c r="S322" s="88"/>
      <c r="T322" s="134"/>
      <c r="U322" s="88"/>
      <c r="V322" s="70"/>
      <c r="W322" s="88"/>
      <c r="X322" s="88"/>
      <c r="Y322" s="70"/>
      <c r="Z322" s="70"/>
      <c r="AA322" s="88"/>
      <c r="AB322" s="88"/>
      <c r="AC322" s="71"/>
      <c r="AD322" s="88"/>
      <c r="AE322" s="73"/>
      <c r="AF322" s="74"/>
      <c r="AG322" s="74"/>
      <c r="AH322" s="74" t="str">
        <f aca="false">IF(ISBLANK($C322),"",IF($E322=Constants!$B$2,TRUE(),IF($E322=Constants!$B$3,FALSE(),TRUE())))</f>
        <v/>
      </c>
      <c r="AI322" s="74" t="str">
        <f aca="false">IF(ISBLANK($C322),"",IF($F322=Constants!$B$2,TRUE(),IF($F322=Constants!$B$3,FALSE(),FALSE())))</f>
        <v/>
      </c>
      <c r="AJ322" s="74" t="str">
        <f aca="false">IF(ISBLANK($C322),"",IF($G322=Constants!$B$2,TRUE(),IF($G322=Constants!$B$3,FALSE(),TRUE())))</f>
        <v/>
      </c>
      <c r="AK322" s="74" t="str">
        <f aca="false">IF(ISBLANK($C322),"",IF($H322=Constants!$B$2,TRUE(),IF($H322=Constants!$B$3,FALSE(),TRUE())))</f>
        <v/>
      </c>
      <c r="AL322" s="74" t="str">
        <f aca="false">IF(ISBLANK($C322),"",IF(ISNUMBER($I322),IF($I322&gt;=0,$I322,""),""))</f>
        <v/>
      </c>
      <c r="AM322" s="74" t="str">
        <f aca="false">IF(ISBLANK($C322),"",IF(ISNUMBER($J322),IF($J322&gt;=0,$J322,""),""))</f>
        <v/>
      </c>
      <c r="AN322" s="74" t="str">
        <f aca="false">IF(ISBLANK($C322),"",IF(ISNUMBER($K322),IF($K322&gt;=0,$K322,""),""))</f>
        <v/>
      </c>
      <c r="AO322" s="74" t="str">
        <f aca="false">IF(ISBLANK($C322),"",IF($L322=Constants!$B$2,TRUE(),IF($L322=Constants!$B$3,FALSE(),TRUE())))</f>
        <v/>
      </c>
      <c r="AP322" s="74" t="str">
        <f aca="false">IF(ISBLANK($C322),"",IF($M322=Constants!$B$2,TRUE(),IF($M322=Constants!$B$3,FALSE(),TRUE())))</f>
        <v/>
      </c>
      <c r="AQ322" s="74" t="str">
        <f aca="false">IF(ISBLANK($C322),"",IF($N322=Constants!$B$2,TRUE(),IF($N322=Constants!$B$3,FALSE(),FALSE())))</f>
        <v/>
      </c>
      <c r="AR322" s="74" t="str">
        <f aca="false">IF(ISBLANK($C322),"",IF($O322=Constants!$B$2,TRUE(),IF($O322=Constants!$B$3,FALSE(),TRUE())))</f>
        <v/>
      </c>
      <c r="AS322" s="74" t="str">
        <f aca="false">IF(ISBLANK($C322),"",IF($P322=Constants!$B$2,TRUE(),IF($P322=Constants!$B$3,FALSE(),FALSE())))</f>
        <v/>
      </c>
      <c r="AT322" s="74" t="str">
        <f aca="false">IF(ISBLANK($C322),"",IF($Q322=Constants!$B$2,TRUE(),IF($Q322=Constants!$B$3,FALSE(),FALSE())))</f>
        <v/>
      </c>
      <c r="AU322" s="74" t="str">
        <f aca="false">IF(ISBLANK($C322),"",IF($R322=Constants!$B$2,TRUE(),IF($R322=Constants!$B$3,FALSE(),FALSE())))</f>
        <v/>
      </c>
      <c r="AV322" s="74" t="str">
        <f aca="false">IF(ISBLANK($C322),"",IF($S322=Constants!$B$2,TRUE(),IF($S322=Constants!$B$3,FALSE(),FALSE())))</f>
        <v/>
      </c>
      <c r="AW322" s="74" t="str">
        <f aca="false">IF(ISBLANK($C322),"",IF($T322=Constants!$B$2,TRUE(),IF($T322=Constants!$B$3,FALSE(),FALSE())))</f>
        <v/>
      </c>
      <c r="AX322" s="74" t="str">
        <f aca="false">IF(ISBLANK($C322),"",IF(OR($U322&amp;""="1",$U322&amp;""="2",$U322&amp;""="3",$U322&amp;""="4"),VALUE($U322&amp;""),IF($U322=Constants!$B$12,Constants!$B$12,"")))</f>
        <v/>
      </c>
      <c r="AY322" s="74" t="str">
        <f aca="false">IF(ISBLANK($C322),"",IF(ISBLANK($V322),0,IF(ISNUMBER($V322),IF(AND($V322&gt;=0,$V322&lt;=Constants!$B$21,$V322=INT($V322)),$V322,""),"")))</f>
        <v/>
      </c>
      <c r="AZ322" s="74" t="str">
        <f aca="false">IF(ISBLANK($C322),"",IF(ISBLANK($W322),0,IF(ISNUMBER($W322),IF($W322&gt;=0,$W322,""),"")))</f>
        <v/>
      </c>
      <c r="BA322" s="74" t="str">
        <f aca="false">IF(ISBLANK($C322),"",IF($X322=Constants!$B$2,TRUE(),IF($X322=Constants!$B$3,FALSE(),TRUE())))</f>
        <v/>
      </c>
      <c r="BB322" s="74" t="str">
        <f aca="false">IF(ISBLANK($C322),"",IF($Y322=Constants!$B$2,TRUE(),IF($Y322=Constants!$B$3,FALSE(),FALSE())))</f>
        <v/>
      </c>
      <c r="BC322" s="74" t="str">
        <f aca="false">IF(ISBLANK($C322),"",IF(ISBLANK($Z322),0,IF(ISNUMBER($Z322),IF(AND($Z322&gt;=0,$Z322&lt;=Constants!$B$35,$Z322=INT($Z322)),$Z322,""),"")))</f>
        <v/>
      </c>
      <c r="BD322" s="74" t="str">
        <f aca="false">IF(ISBLANK($C322),"",IF($AA322=Constants!$B$2,TRUE(),IF($AA322=Constants!$B$3,FALSE(),TRUE())))</f>
        <v/>
      </c>
      <c r="BE322" s="74" t="str">
        <f aca="false">IF(ISBLANK($C322),"",IF($AB322=Constants!$B$2,TRUE(),IF($AB322=Constants!$B$3,FALSE(),TRUE())))</f>
        <v/>
      </c>
      <c r="BF322" s="74" t="str">
        <f aca="false">IF(ISBLANK($C322),"",IF(ISNUMBER($AC322),IF($AC322&gt;=0,$AC322,""),""))</f>
        <v/>
      </c>
      <c r="BG322" s="74" t="str">
        <f aca="false">IF(ISBLANK($C322),"",IF($AD322=Constants!$B$2,TRUE(),IF($AD322=Constants!$B$3,FALSE(),FALSE())))</f>
        <v/>
      </c>
      <c r="BH322" s="73" t="str">
        <f aca="false">IF(ISBLANK($C322),"",IF($BG322,Constants!$B$7,IF(COUNTA($E322:$AC322)=0,Constants!$B$6,IF(OR(COUNTA($G322:$AC322)=0,NOT($AK322),$AQ322),Constants!$B$5,IF(OR($CI322&lt;&gt;"",$CJ322,$CK322,$CL322,$CM322,$CN322,$CO322),Constants!$B$8,Constants!$B$4)))))</f>
        <v/>
      </c>
      <c r="BI322" s="74" t="str">
        <f aca="false">IF(ISBLANK($C322),"",IF($BH322&lt;&gt;Constants!$B$4,$BH322,IF(OR(NOT($AH322),NOT($AJ322),NOT($AR322)),Constants!$B$11,IF(OR(NOT($AP322),MAX($AL322,$AM322,$AN322)&gt;Constants!$B$30),Constants!$B$10,Constants!$B$9))))</f>
        <v/>
      </c>
      <c r="BJ322" s="74" t="str">
        <f aca="false">IF($BH322&lt;&gt;Constants!$B$4,"",IF(NOT($AJ322),0,MIN(Constants!$B$35,$BC322)))</f>
        <v/>
      </c>
      <c r="BK322" s="74" t="str">
        <f aca="false">IF($BH322&lt;&gt;Constants!$B$4,"",IF(NOT($AJ322),0,IF($AT322,Constants!$B$18,IF($AS322,Constants!$B$17,0))))</f>
        <v/>
      </c>
      <c r="BL322" s="74" t="str">
        <f aca="false">IF($BH322&lt;&gt;Constants!$B$4,"",IF(NOT($AJ322),0,Constants!$B$19*($AI322+$AU322+$AV322+$AW322)))</f>
        <v/>
      </c>
      <c r="BM322" s="74" t="str">
        <f aca="false">IF($BH322&lt;&gt;Constants!$B$4,"",IF(OR(NOT($AJ322),NOT(ISNUMBER($AX322))),0,CHOOSE($AX322,Constants!$B$13,Constants!$B$14,Constants!$B$15,Constants!$B$16)))</f>
        <v/>
      </c>
      <c r="BN322" s="74" t="str">
        <f aca="false">IF($BH322&lt;&gt;Constants!$B$4,"",IF(NOT($AJ322),0,Constants!$B$20*$AY322))</f>
        <v/>
      </c>
      <c r="BO322" s="74" t="str">
        <f aca="false">IF($BH322&lt;&gt;Constants!$B$4,"",IF(AND($AJ322,$BA322,$BB322),Constants!$B$22,0))</f>
        <v/>
      </c>
      <c r="BP322" s="74" t="str">
        <f aca="false">IF($BH322&lt;&gt;Constants!$B$4,"",IF(OR(NOT($AJ322),NOT($BA322)),0,IF($BF322&gt;=2*$AF$9,0,Constants!$B$23*INT(ROUND(MIN($BF322,$AF$9),6)))))</f>
        <v/>
      </c>
      <c r="BQ322" s="74" t="str">
        <f aca="false">IF($BH322&lt;&gt;Constants!$B$4,"",IF(NOT($AJ322),0,Constants!$B$24*INT(ROUND(MIN($AZ322,$AF$9),6))))</f>
        <v/>
      </c>
      <c r="BR322" s="74" t="str">
        <f aca="false">IF($BH322&lt;&gt;Constants!$B$4,"",IF(AND($AJ322,$BJ322=0),Constants!$B$25,0))</f>
        <v/>
      </c>
      <c r="BS322" s="74" t="str">
        <f aca="false">IF($BH322&lt;&gt;Constants!$B$4,"",MIN(Constants!$B$29,MAX(0,Constants!$B$27*Constants!$B$28*INT(ROUND((Constants!$B$26-$AL322)/Constants!$B$28,6))))+MIN(Constants!$B$29,MAX(0,Constants!$B$27*Constants!$B$28*INT(ROUND((Constants!$B$26-$AM322)/Constants!$B$28,6))))+MIN(Constants!$B$29,MAX(0,Constants!$B$27*Constants!$B$28*INT(ROUND((Constants!$B$26-$AN322)/Constants!$B$28,6)))))</f>
        <v/>
      </c>
      <c r="BT322" s="74" t="str">
        <f aca="false">IF($BH322&lt;&gt;Constants!$B$4,"",IF(NOT($AJ322),0,Constants!$B$31*INT(ROUND(MAX(0,MIN($BF322,2*$AF$9)-$AF$9),6))))</f>
        <v/>
      </c>
      <c r="BU322" s="74" t="str">
        <f aca="false">IF($BH322&lt;&gt;Constants!$B$4,"",Constants!$B$32*(($AL322&gt;Constants!$B$26)+($AM322&gt;Constants!$B$26)+($AN322&gt;Constants!$B$26)))</f>
        <v/>
      </c>
      <c r="BV322" s="74" t="str">
        <f aca="false">IF($BH322&lt;&gt;Constants!$B$4,"",IF(OR(NOT($AJ322),$AO322),0,Constants!$B$33))</f>
        <v/>
      </c>
      <c r="BW322" s="74" t="str">
        <f aca="false">IF($BH322&lt;&gt;Constants!$B$4,"",Constants!$B$34*$BJ322)</f>
        <v/>
      </c>
      <c r="BX322" s="74" t="str">
        <f aca="false">IF($BH322&lt;&gt;Constants!$B$4,"",IF(OR(NOT($AJ322),$BE322),0,Constants!$B$36))</f>
        <v/>
      </c>
      <c r="BY322" s="74" t="str">
        <f aca="false">IF($BH322&lt;&gt;Constants!$B$4,"",IF(OR(NOT($AJ322),$BD322),0,Constants!$B$37))</f>
        <v/>
      </c>
      <c r="BZ322" s="74" t="str">
        <f aca="false">IF($BH322&lt;&gt;Constants!$B$4,"",SUM($BT322:$BY322))</f>
        <v/>
      </c>
      <c r="CA322" s="74" t="str">
        <f aca="false">IF(ISBLANK($C322),"",IF($BH322&lt;&gt;Constants!$B$4,$BH322,SUM($BK322:$BS322)-$BZ322))</f>
        <v/>
      </c>
      <c r="CB322" s="74" t="str">
        <f aca="false">IF(ISBLANK($C322),"",IF($BH322&lt;&gt;Constants!$B$4,$BH322,RANK($CA322,$CA$9:$CA$508)))</f>
        <v/>
      </c>
      <c r="CC322" s="74" t="str">
        <f aca="false">IF(ISBLANK($C322),"",IF($BH322&lt;&gt;Constants!$B$4,$BH322,COUNTIFS($BI$9:$BI$508,"&lt;"&amp;$BI322)+COUNTIFS($BI$9:$BI$508,$BI322,$CB$9:$CB$508,"&lt;"&amp;$CB322)+1))</f>
        <v/>
      </c>
      <c r="CD322" s="74" t="str">
        <f aca="false">IF(ISBLANK($C322),"",IF($BH322&lt;&gt;Constants!$B$4,$BH322,RANK($BZ322,$BZ$9:$BZ$508,1)))</f>
        <v/>
      </c>
      <c r="CE322" s="74" t="str">
        <f aca="false">IF($BH322&lt;&gt;Constants!$B$4,"",$AL322+$AM322+$AN322)</f>
        <v/>
      </c>
      <c r="CF322" s="74" t="str">
        <f aca="false">IF(ISBLANK($C322),"",IF($BH322&lt;&gt;Constants!$B$4,$BH322,RANK($CE322,$CE$9:$CE$508,1)))</f>
        <v/>
      </c>
      <c r="CG322" s="74" t="str">
        <f aca="false">IF(ISBLANK($C322),"",IF($BH322&lt;&gt;Constants!$B$4,$BH322,COUNTIFS($BI$9:$BI$508,"&lt;"&amp;$BI322)+COUNTIFS($BI$9:$BI$508,$BI322,$CB$9:$CB$508,"&lt;"&amp;$CB322)+COUNTIFS($BI$9:$BI$508,$BI322,$CB$9:$CB$508,$CB322,$CD$9:$CD$508,"&lt;"&amp;$CD322)+COUNTIFS($BI$9:$BI$508,$BI322,$CB$9:$CB$508,$CB322,$CD$9:$CD$508,$CD322,$CF$9:$CF$508,"&lt;"&amp;$CF322)+1))</f>
        <v/>
      </c>
      <c r="CH322" s="74" t="str">
        <f aca="false">IF(ISBLANK($C322),"",IF($BH322&lt;&gt;Constants!$B$4,$BH322,$CC322-$CG322))</f>
        <v/>
      </c>
      <c r="CI322" s="74" t="str">
        <f aca="false">IF(ISBLANK($C322),"",IF(NOT($AJ322),"",IF(ISBLANK($D$7),$CI$5,IF(NOT(ISNUMBER($D$7)),$CI$6,""))))</f>
        <v/>
      </c>
      <c r="CJ322" s="74" t="str">
        <f aca="false">IF(ISBLANK($C322),"",OR($AL322="",$AM322="",$AN322=""))</f>
        <v/>
      </c>
      <c r="CK322" s="74" t="str">
        <f aca="false">IF(ISBLANK($C322),"",AND($AJ322,$AX322=""))</f>
        <v/>
      </c>
      <c r="CL322" s="74" t="str">
        <f aca="false">IF(ISBLANK($C322),"",AND($AJ322,$AY322=""))</f>
        <v/>
      </c>
      <c r="CM322" s="74" t="str">
        <f aca="false">IF(ISBLANK($C322),"",AND($AJ322,$AZ322=""))</f>
        <v/>
      </c>
      <c r="CN322" s="74" t="str">
        <f aca="false">IF(ISBLANK($C322),"",AND($AJ322,$BC322=""))</f>
        <v/>
      </c>
      <c r="CO322" s="74" t="str">
        <f aca="false">IF(ISBLANK($C322),"",AND($AJ322,$BF322=""))</f>
        <v/>
      </c>
      <c r="CP322" s="75"/>
      <c r="CQ322" s="76"/>
      <c r="CR322" s="79" t="str">
        <f aca="false">IF(ISBLANK($C322),"",IF($BH322=Constants!$B$8,$CI322,""))</f>
        <v/>
      </c>
      <c r="CS322" s="76" t="str">
        <f aca="false">IF(ISBLANK($C322),"",IF($BH322&lt;&gt;Constants!$B$4,"",$BK322+$BL322))</f>
        <v/>
      </c>
      <c r="CT322" s="78" t="str">
        <f aca="false">IF(ISBLANK($C322),"",IF($BH322&lt;&gt;Constants!$B$4,"",$BM322+$BN322+$BO322))</f>
        <v/>
      </c>
      <c r="CU322" s="78" t="str">
        <f aca="false">IF(ISBLANK($C322),"",IF($BH322&lt;&gt;Constants!$B$4,"",$BP322))</f>
        <v/>
      </c>
      <c r="CV322" s="78" t="str">
        <f aca="false">IF(ISBLANK($C322),"",IF($BH322&lt;&gt;Constants!$B$4,"",$BQ322+$BR322))</f>
        <v/>
      </c>
      <c r="CW322" s="78" t="str">
        <f aca="false">IF(ISBLANK($C322),"",IF($BH322&lt;&gt;Constants!$B$4,"",$BS322))</f>
        <v/>
      </c>
      <c r="CX322" s="78" t="str">
        <f aca="false">IF(ISBLANK($C322),"",IF($BH322&lt;&gt;Constants!$B$4,"",-$BZ322))</f>
        <v/>
      </c>
      <c r="CY322" s="79" t="str">
        <f aca="false">IF(ISBLANK($C322),"",$CA322)</f>
        <v/>
      </c>
      <c r="CZ322" s="80" t="str">
        <f aca="false">IF(ISBLANK($C322),"",$BI322)</f>
        <v/>
      </c>
      <c r="DA322" s="78" t="str">
        <f aca="false">IF(ISBLANK($C322),"",$CH322)</f>
        <v/>
      </c>
      <c r="DB322" s="78" t="str">
        <f aca="false">IF(ISBLANK($C322),"",$CG322)</f>
        <v/>
      </c>
      <c r="DC322" s="81" t="str">
        <f aca="false">IF(ISBLANK($C322),"",IFERROR(_xlfn.SWITCH($DB322,Constants!$B$7,COUNTA($C$9:$C$508)+2,Constants!$B$6,COUNTA($C$9:$C$508)+1,Constants!$B$5,COUNTA($C$9:$C$508)),$DB322))</f>
        <v/>
      </c>
      <c r="DD322" s="7"/>
      <c r="DE322" s="82" t="n">
        <f aca="false">IF(OR(ISNUMBER($DB322),$DB322=Constants!$B$7,$DB322=Constants!$B$5,$DB322=Constants!$B$6),1,0)</f>
        <v>0</v>
      </c>
      <c r="DF322" s="82" t="n">
        <v>314</v>
      </c>
      <c r="DG322" s="82" t="str">
        <f aca="false">IF(ISBLANK($C322),"",IF(ISNUMBER($DC322),$DC322+ROW($B322)/1000,""))</f>
        <v/>
      </c>
      <c r="DH322" s="82" t="str">
        <f aca="false">IF(ISNUMBER($DG322),RANK($DG322,$DG$9:$DG$508,1),"")</f>
        <v/>
      </c>
      <c r="DI322" s="82" t="str">
        <f aca="false">IF(ISBLANK($C322),"",$B322)</f>
        <v/>
      </c>
      <c r="DJ322" s="82" t="str">
        <f aca="false">IF(ISBLANK($C322),"",$C322)</f>
        <v/>
      </c>
      <c r="DK322" s="82" t="str">
        <f aca="false">IF(ISBLANK($C322),"",$D322)</f>
        <v/>
      </c>
      <c r="DL322" s="83" t="str">
        <f aca="false">$CZ322</f>
        <v/>
      </c>
      <c r="DM322" s="84" t="str">
        <f aca="false">$CY322</f>
        <v/>
      </c>
      <c r="DN322" s="82" t="str">
        <f aca="false">IF(ISBLANK($C322),"",$DB322)</f>
        <v/>
      </c>
      <c r="DO322" s="85" t="str">
        <f aca="false">IF($DF322&gt;$DE$8,"",VLOOKUP($DF322,$DH$9:$DN$508,7,FALSE()))</f>
        <v/>
      </c>
      <c r="DP322" s="86" t="str">
        <f aca="false">IF($DF322&gt;$DE$8,"",VLOOKUP($DF322,$DH$9:$DN$508,2,FALSE()))</f>
        <v/>
      </c>
      <c r="DQ322" s="86" t="str">
        <f aca="false">IF($DF322&gt;$DE$8,"",VLOOKUP($DF322,$DH$9:$DN$508,3,FALSE()))</f>
        <v/>
      </c>
      <c r="DR322" s="86" t="str">
        <f aca="false">IF($DF322&gt;$DE$8,"",VLOOKUP($DF322,$DH$9:$DN$508,4,FALSE()))</f>
        <v/>
      </c>
      <c r="DS322" s="86" t="str">
        <f aca="false">IF($DF322&gt;$DE$8,"",VLOOKUP($DF322,$DH$9:$DN$508,5,FALSE()))</f>
        <v/>
      </c>
      <c r="DT322" s="87" t="str">
        <f aca="false">IF($DF322&gt;$DE$8,"",VLOOKUP($DF322,$DH$9:$DN$508,6,FALSE()))</f>
        <v/>
      </c>
      <c r="DU322" s="62"/>
    </row>
    <row r="323" customFormat="false" ht="15.75" hidden="false" customHeight="false" outlineLevel="0" collapsed="false">
      <c r="A323" s="7"/>
      <c r="B323" s="64"/>
      <c r="C323" s="65"/>
      <c r="D323" s="123"/>
      <c r="E323" s="88"/>
      <c r="F323" s="134"/>
      <c r="G323" s="88"/>
      <c r="H323" s="134"/>
      <c r="I323" s="119"/>
      <c r="J323" s="119"/>
      <c r="K323" s="119"/>
      <c r="L323" s="88"/>
      <c r="M323" s="88"/>
      <c r="N323" s="88"/>
      <c r="O323" s="134"/>
      <c r="P323" s="88"/>
      <c r="Q323" s="88"/>
      <c r="R323" s="88"/>
      <c r="S323" s="88"/>
      <c r="T323" s="134"/>
      <c r="U323" s="88"/>
      <c r="V323" s="70"/>
      <c r="W323" s="88"/>
      <c r="X323" s="88"/>
      <c r="Y323" s="70"/>
      <c r="Z323" s="70"/>
      <c r="AA323" s="88"/>
      <c r="AB323" s="88"/>
      <c r="AC323" s="71"/>
      <c r="AD323" s="88"/>
      <c r="AE323" s="73"/>
      <c r="AF323" s="74"/>
      <c r="AG323" s="74"/>
      <c r="AH323" s="74" t="str">
        <f aca="false">IF(ISBLANK($C323),"",IF($E323=Constants!$B$2,TRUE(),IF($E323=Constants!$B$3,FALSE(),TRUE())))</f>
        <v/>
      </c>
      <c r="AI323" s="74" t="str">
        <f aca="false">IF(ISBLANK($C323),"",IF($F323=Constants!$B$2,TRUE(),IF($F323=Constants!$B$3,FALSE(),FALSE())))</f>
        <v/>
      </c>
      <c r="AJ323" s="74" t="str">
        <f aca="false">IF(ISBLANK($C323),"",IF($G323=Constants!$B$2,TRUE(),IF($G323=Constants!$B$3,FALSE(),TRUE())))</f>
        <v/>
      </c>
      <c r="AK323" s="74" t="str">
        <f aca="false">IF(ISBLANK($C323),"",IF($H323=Constants!$B$2,TRUE(),IF($H323=Constants!$B$3,FALSE(),TRUE())))</f>
        <v/>
      </c>
      <c r="AL323" s="74" t="str">
        <f aca="false">IF(ISBLANK($C323),"",IF(ISNUMBER($I323),IF($I323&gt;=0,$I323,""),""))</f>
        <v/>
      </c>
      <c r="AM323" s="74" t="str">
        <f aca="false">IF(ISBLANK($C323),"",IF(ISNUMBER($J323),IF($J323&gt;=0,$J323,""),""))</f>
        <v/>
      </c>
      <c r="AN323" s="74" t="str">
        <f aca="false">IF(ISBLANK($C323),"",IF(ISNUMBER($K323),IF($K323&gt;=0,$K323,""),""))</f>
        <v/>
      </c>
      <c r="AO323" s="74" t="str">
        <f aca="false">IF(ISBLANK($C323),"",IF($L323=Constants!$B$2,TRUE(),IF($L323=Constants!$B$3,FALSE(),TRUE())))</f>
        <v/>
      </c>
      <c r="AP323" s="74" t="str">
        <f aca="false">IF(ISBLANK($C323),"",IF($M323=Constants!$B$2,TRUE(),IF($M323=Constants!$B$3,FALSE(),TRUE())))</f>
        <v/>
      </c>
      <c r="AQ323" s="74" t="str">
        <f aca="false">IF(ISBLANK($C323),"",IF($N323=Constants!$B$2,TRUE(),IF($N323=Constants!$B$3,FALSE(),FALSE())))</f>
        <v/>
      </c>
      <c r="AR323" s="74" t="str">
        <f aca="false">IF(ISBLANK($C323),"",IF($O323=Constants!$B$2,TRUE(),IF($O323=Constants!$B$3,FALSE(),TRUE())))</f>
        <v/>
      </c>
      <c r="AS323" s="74" t="str">
        <f aca="false">IF(ISBLANK($C323),"",IF($P323=Constants!$B$2,TRUE(),IF($P323=Constants!$B$3,FALSE(),FALSE())))</f>
        <v/>
      </c>
      <c r="AT323" s="74" t="str">
        <f aca="false">IF(ISBLANK($C323),"",IF($Q323=Constants!$B$2,TRUE(),IF($Q323=Constants!$B$3,FALSE(),FALSE())))</f>
        <v/>
      </c>
      <c r="AU323" s="74" t="str">
        <f aca="false">IF(ISBLANK($C323),"",IF($R323=Constants!$B$2,TRUE(),IF($R323=Constants!$B$3,FALSE(),FALSE())))</f>
        <v/>
      </c>
      <c r="AV323" s="74" t="str">
        <f aca="false">IF(ISBLANK($C323),"",IF($S323=Constants!$B$2,TRUE(),IF($S323=Constants!$B$3,FALSE(),FALSE())))</f>
        <v/>
      </c>
      <c r="AW323" s="74" t="str">
        <f aca="false">IF(ISBLANK($C323),"",IF($T323=Constants!$B$2,TRUE(),IF($T323=Constants!$B$3,FALSE(),FALSE())))</f>
        <v/>
      </c>
      <c r="AX323" s="74" t="str">
        <f aca="false">IF(ISBLANK($C323),"",IF(OR($U323&amp;""="1",$U323&amp;""="2",$U323&amp;""="3",$U323&amp;""="4"),VALUE($U323&amp;""),IF($U323=Constants!$B$12,Constants!$B$12,"")))</f>
        <v/>
      </c>
      <c r="AY323" s="74" t="str">
        <f aca="false">IF(ISBLANK($C323),"",IF(ISBLANK($V323),0,IF(ISNUMBER($V323),IF(AND($V323&gt;=0,$V323&lt;=Constants!$B$21,$V323=INT($V323)),$V323,""),"")))</f>
        <v/>
      </c>
      <c r="AZ323" s="74" t="str">
        <f aca="false">IF(ISBLANK($C323),"",IF(ISBLANK($W323),0,IF(ISNUMBER($W323),IF($W323&gt;=0,$W323,""),"")))</f>
        <v/>
      </c>
      <c r="BA323" s="74" t="str">
        <f aca="false">IF(ISBLANK($C323),"",IF($X323=Constants!$B$2,TRUE(),IF($X323=Constants!$B$3,FALSE(),TRUE())))</f>
        <v/>
      </c>
      <c r="BB323" s="74" t="str">
        <f aca="false">IF(ISBLANK($C323),"",IF($Y323=Constants!$B$2,TRUE(),IF($Y323=Constants!$B$3,FALSE(),FALSE())))</f>
        <v/>
      </c>
      <c r="BC323" s="74" t="str">
        <f aca="false">IF(ISBLANK($C323),"",IF(ISBLANK($Z323),0,IF(ISNUMBER($Z323),IF(AND($Z323&gt;=0,$Z323&lt;=Constants!$B$35,$Z323=INT($Z323)),$Z323,""),"")))</f>
        <v/>
      </c>
      <c r="BD323" s="74" t="str">
        <f aca="false">IF(ISBLANK($C323),"",IF($AA323=Constants!$B$2,TRUE(),IF($AA323=Constants!$B$3,FALSE(),TRUE())))</f>
        <v/>
      </c>
      <c r="BE323" s="74" t="str">
        <f aca="false">IF(ISBLANK($C323),"",IF($AB323=Constants!$B$2,TRUE(),IF($AB323=Constants!$B$3,FALSE(),TRUE())))</f>
        <v/>
      </c>
      <c r="BF323" s="74" t="str">
        <f aca="false">IF(ISBLANK($C323),"",IF(ISNUMBER($AC323),IF($AC323&gt;=0,$AC323,""),""))</f>
        <v/>
      </c>
      <c r="BG323" s="74" t="str">
        <f aca="false">IF(ISBLANK($C323),"",IF($AD323=Constants!$B$2,TRUE(),IF($AD323=Constants!$B$3,FALSE(),FALSE())))</f>
        <v/>
      </c>
      <c r="BH323" s="73" t="str">
        <f aca="false">IF(ISBLANK($C323),"",IF($BG323,Constants!$B$7,IF(COUNTA($E323:$AC323)=0,Constants!$B$6,IF(OR(COUNTA($G323:$AC323)=0,NOT($AK323),$AQ323),Constants!$B$5,IF(OR($CI323&lt;&gt;"",$CJ323,$CK323,$CL323,$CM323,$CN323,$CO323),Constants!$B$8,Constants!$B$4)))))</f>
        <v/>
      </c>
      <c r="BI323" s="74" t="str">
        <f aca="false">IF(ISBLANK($C323),"",IF($BH323&lt;&gt;Constants!$B$4,$BH323,IF(OR(NOT($AH323),NOT($AJ323),NOT($AR323)),Constants!$B$11,IF(OR(NOT($AP323),MAX($AL323,$AM323,$AN323)&gt;Constants!$B$30),Constants!$B$10,Constants!$B$9))))</f>
        <v/>
      </c>
      <c r="BJ323" s="74" t="str">
        <f aca="false">IF($BH323&lt;&gt;Constants!$B$4,"",IF(NOT($AJ323),0,MIN(Constants!$B$35,$BC323)))</f>
        <v/>
      </c>
      <c r="BK323" s="74" t="str">
        <f aca="false">IF($BH323&lt;&gt;Constants!$B$4,"",IF(NOT($AJ323),0,IF($AT323,Constants!$B$18,IF($AS323,Constants!$B$17,0))))</f>
        <v/>
      </c>
      <c r="BL323" s="74" t="str">
        <f aca="false">IF($BH323&lt;&gt;Constants!$B$4,"",IF(NOT($AJ323),0,Constants!$B$19*($AI323+$AU323+$AV323+$AW323)))</f>
        <v/>
      </c>
      <c r="BM323" s="74" t="str">
        <f aca="false">IF($BH323&lt;&gt;Constants!$B$4,"",IF(OR(NOT($AJ323),NOT(ISNUMBER($AX323))),0,CHOOSE($AX323,Constants!$B$13,Constants!$B$14,Constants!$B$15,Constants!$B$16)))</f>
        <v/>
      </c>
      <c r="BN323" s="74" t="str">
        <f aca="false">IF($BH323&lt;&gt;Constants!$B$4,"",IF(NOT($AJ323),0,Constants!$B$20*$AY323))</f>
        <v/>
      </c>
      <c r="BO323" s="74" t="str">
        <f aca="false">IF($BH323&lt;&gt;Constants!$B$4,"",IF(AND($AJ323,$BA323,$BB323),Constants!$B$22,0))</f>
        <v/>
      </c>
      <c r="BP323" s="74" t="str">
        <f aca="false">IF($BH323&lt;&gt;Constants!$B$4,"",IF(OR(NOT($AJ323),NOT($BA323)),0,IF($BF323&gt;=2*$AF$9,0,Constants!$B$23*INT(ROUND(MIN($BF323,$AF$9),6)))))</f>
        <v/>
      </c>
      <c r="BQ323" s="74" t="str">
        <f aca="false">IF($BH323&lt;&gt;Constants!$B$4,"",IF(NOT($AJ323),0,Constants!$B$24*INT(ROUND(MIN($AZ323,$AF$9),6))))</f>
        <v/>
      </c>
      <c r="BR323" s="74" t="str">
        <f aca="false">IF($BH323&lt;&gt;Constants!$B$4,"",IF(AND($AJ323,$BJ323=0),Constants!$B$25,0))</f>
        <v/>
      </c>
      <c r="BS323" s="74" t="str">
        <f aca="false">IF($BH323&lt;&gt;Constants!$B$4,"",MIN(Constants!$B$29,MAX(0,Constants!$B$27*Constants!$B$28*INT(ROUND((Constants!$B$26-$AL323)/Constants!$B$28,6))))+MIN(Constants!$B$29,MAX(0,Constants!$B$27*Constants!$B$28*INT(ROUND((Constants!$B$26-$AM323)/Constants!$B$28,6))))+MIN(Constants!$B$29,MAX(0,Constants!$B$27*Constants!$B$28*INT(ROUND((Constants!$B$26-$AN323)/Constants!$B$28,6)))))</f>
        <v/>
      </c>
      <c r="BT323" s="74" t="str">
        <f aca="false">IF($BH323&lt;&gt;Constants!$B$4,"",IF(NOT($AJ323),0,Constants!$B$31*INT(ROUND(MAX(0,MIN($BF323,2*$AF$9)-$AF$9),6))))</f>
        <v/>
      </c>
      <c r="BU323" s="74" t="str">
        <f aca="false">IF($BH323&lt;&gt;Constants!$B$4,"",Constants!$B$32*(($AL323&gt;Constants!$B$26)+($AM323&gt;Constants!$B$26)+($AN323&gt;Constants!$B$26)))</f>
        <v/>
      </c>
      <c r="BV323" s="74" t="str">
        <f aca="false">IF($BH323&lt;&gt;Constants!$B$4,"",IF(OR(NOT($AJ323),$AO323),0,Constants!$B$33))</f>
        <v/>
      </c>
      <c r="BW323" s="74" t="str">
        <f aca="false">IF($BH323&lt;&gt;Constants!$B$4,"",Constants!$B$34*$BJ323)</f>
        <v/>
      </c>
      <c r="BX323" s="74" t="str">
        <f aca="false">IF($BH323&lt;&gt;Constants!$B$4,"",IF(OR(NOT($AJ323),$BE323),0,Constants!$B$36))</f>
        <v/>
      </c>
      <c r="BY323" s="74" t="str">
        <f aca="false">IF($BH323&lt;&gt;Constants!$B$4,"",IF(OR(NOT($AJ323),$BD323),0,Constants!$B$37))</f>
        <v/>
      </c>
      <c r="BZ323" s="74" t="str">
        <f aca="false">IF($BH323&lt;&gt;Constants!$B$4,"",SUM($BT323:$BY323))</f>
        <v/>
      </c>
      <c r="CA323" s="74" t="str">
        <f aca="false">IF(ISBLANK($C323),"",IF($BH323&lt;&gt;Constants!$B$4,$BH323,SUM($BK323:$BS323)-$BZ323))</f>
        <v/>
      </c>
      <c r="CB323" s="74" t="str">
        <f aca="false">IF(ISBLANK($C323),"",IF($BH323&lt;&gt;Constants!$B$4,$BH323,RANK($CA323,$CA$9:$CA$508)))</f>
        <v/>
      </c>
      <c r="CC323" s="74" t="str">
        <f aca="false">IF(ISBLANK($C323),"",IF($BH323&lt;&gt;Constants!$B$4,$BH323,COUNTIFS($BI$9:$BI$508,"&lt;"&amp;$BI323)+COUNTIFS($BI$9:$BI$508,$BI323,$CB$9:$CB$508,"&lt;"&amp;$CB323)+1))</f>
        <v/>
      </c>
      <c r="CD323" s="74" t="str">
        <f aca="false">IF(ISBLANK($C323),"",IF($BH323&lt;&gt;Constants!$B$4,$BH323,RANK($BZ323,$BZ$9:$BZ$508,1)))</f>
        <v/>
      </c>
      <c r="CE323" s="74" t="str">
        <f aca="false">IF($BH323&lt;&gt;Constants!$B$4,"",$AL323+$AM323+$AN323)</f>
        <v/>
      </c>
      <c r="CF323" s="74" t="str">
        <f aca="false">IF(ISBLANK($C323),"",IF($BH323&lt;&gt;Constants!$B$4,$BH323,RANK($CE323,$CE$9:$CE$508,1)))</f>
        <v/>
      </c>
      <c r="CG323" s="74" t="str">
        <f aca="false">IF(ISBLANK($C323),"",IF($BH323&lt;&gt;Constants!$B$4,$BH323,COUNTIFS($BI$9:$BI$508,"&lt;"&amp;$BI323)+COUNTIFS($BI$9:$BI$508,$BI323,$CB$9:$CB$508,"&lt;"&amp;$CB323)+COUNTIFS($BI$9:$BI$508,$BI323,$CB$9:$CB$508,$CB323,$CD$9:$CD$508,"&lt;"&amp;$CD323)+COUNTIFS($BI$9:$BI$508,$BI323,$CB$9:$CB$508,$CB323,$CD$9:$CD$508,$CD323,$CF$9:$CF$508,"&lt;"&amp;$CF323)+1))</f>
        <v/>
      </c>
      <c r="CH323" s="74" t="str">
        <f aca="false">IF(ISBLANK($C323),"",IF($BH323&lt;&gt;Constants!$B$4,$BH323,$CC323-$CG323))</f>
        <v/>
      </c>
      <c r="CI323" s="74" t="str">
        <f aca="false">IF(ISBLANK($C323),"",IF(NOT($AJ323),"",IF(ISBLANK($D$7),$CI$5,IF(NOT(ISNUMBER($D$7)),$CI$6,""))))</f>
        <v/>
      </c>
      <c r="CJ323" s="74" t="str">
        <f aca="false">IF(ISBLANK($C323),"",OR($AL323="",$AM323="",$AN323=""))</f>
        <v/>
      </c>
      <c r="CK323" s="74" t="str">
        <f aca="false">IF(ISBLANK($C323),"",AND($AJ323,$AX323=""))</f>
        <v/>
      </c>
      <c r="CL323" s="74" t="str">
        <f aca="false">IF(ISBLANK($C323),"",AND($AJ323,$AY323=""))</f>
        <v/>
      </c>
      <c r="CM323" s="74" t="str">
        <f aca="false">IF(ISBLANK($C323),"",AND($AJ323,$AZ323=""))</f>
        <v/>
      </c>
      <c r="CN323" s="74" t="str">
        <f aca="false">IF(ISBLANK($C323),"",AND($AJ323,$BC323=""))</f>
        <v/>
      </c>
      <c r="CO323" s="74" t="str">
        <f aca="false">IF(ISBLANK($C323),"",AND($AJ323,$BF323=""))</f>
        <v/>
      </c>
      <c r="CP323" s="75"/>
      <c r="CQ323" s="76"/>
      <c r="CR323" s="79" t="str">
        <f aca="false">IF(ISBLANK($C323),"",IF($BH323=Constants!$B$8,$CI323,""))</f>
        <v/>
      </c>
      <c r="CS323" s="76" t="str">
        <f aca="false">IF(ISBLANK($C323),"",IF($BH323&lt;&gt;Constants!$B$4,"",$BK323+$BL323))</f>
        <v/>
      </c>
      <c r="CT323" s="78" t="str">
        <f aca="false">IF(ISBLANK($C323),"",IF($BH323&lt;&gt;Constants!$B$4,"",$BM323+$BN323+$BO323))</f>
        <v/>
      </c>
      <c r="CU323" s="78" t="str">
        <f aca="false">IF(ISBLANK($C323),"",IF($BH323&lt;&gt;Constants!$B$4,"",$BP323))</f>
        <v/>
      </c>
      <c r="CV323" s="78" t="str">
        <f aca="false">IF(ISBLANK($C323),"",IF($BH323&lt;&gt;Constants!$B$4,"",$BQ323+$BR323))</f>
        <v/>
      </c>
      <c r="CW323" s="78" t="str">
        <f aca="false">IF(ISBLANK($C323),"",IF($BH323&lt;&gt;Constants!$B$4,"",$BS323))</f>
        <v/>
      </c>
      <c r="CX323" s="78" t="str">
        <f aca="false">IF(ISBLANK($C323),"",IF($BH323&lt;&gt;Constants!$B$4,"",-$BZ323))</f>
        <v/>
      </c>
      <c r="CY323" s="79" t="str">
        <f aca="false">IF(ISBLANK($C323),"",$CA323)</f>
        <v/>
      </c>
      <c r="CZ323" s="80" t="str">
        <f aca="false">IF(ISBLANK($C323),"",$BI323)</f>
        <v/>
      </c>
      <c r="DA323" s="78" t="str">
        <f aca="false">IF(ISBLANK($C323),"",$CH323)</f>
        <v/>
      </c>
      <c r="DB323" s="78" t="str">
        <f aca="false">IF(ISBLANK($C323),"",$CG323)</f>
        <v/>
      </c>
      <c r="DC323" s="81" t="str">
        <f aca="false">IF(ISBLANK($C323),"",IFERROR(_xlfn.SWITCH($DB323,Constants!$B$7,COUNTA($C$9:$C$508)+2,Constants!$B$6,COUNTA($C$9:$C$508)+1,Constants!$B$5,COUNTA($C$9:$C$508)),$DB323))</f>
        <v/>
      </c>
      <c r="DD323" s="7"/>
      <c r="DE323" s="82" t="n">
        <f aca="false">IF(OR(ISNUMBER($DB323),$DB323=Constants!$B$7,$DB323=Constants!$B$5,$DB323=Constants!$B$6),1,0)</f>
        <v>0</v>
      </c>
      <c r="DF323" s="82" t="n">
        <v>315</v>
      </c>
      <c r="DG323" s="82" t="str">
        <f aca="false">IF(ISBLANK($C323),"",IF(ISNUMBER($DC323),$DC323+ROW($B323)/1000,""))</f>
        <v/>
      </c>
      <c r="DH323" s="82" t="str">
        <f aca="false">IF(ISNUMBER($DG323),RANK($DG323,$DG$9:$DG$508,1),"")</f>
        <v/>
      </c>
      <c r="DI323" s="82" t="str">
        <f aca="false">IF(ISBLANK($C323),"",$B323)</f>
        <v/>
      </c>
      <c r="DJ323" s="82" t="str">
        <f aca="false">IF(ISBLANK($C323),"",$C323)</f>
        <v/>
      </c>
      <c r="DK323" s="82" t="str">
        <f aca="false">IF(ISBLANK($C323),"",$D323)</f>
        <v/>
      </c>
      <c r="DL323" s="83" t="str">
        <f aca="false">$CZ323</f>
        <v/>
      </c>
      <c r="DM323" s="84" t="str">
        <f aca="false">$CY323</f>
        <v/>
      </c>
      <c r="DN323" s="82" t="str">
        <f aca="false">IF(ISBLANK($C323),"",$DB323)</f>
        <v/>
      </c>
      <c r="DO323" s="85" t="str">
        <f aca="false">IF($DF323&gt;$DE$8,"",VLOOKUP($DF323,$DH$9:$DN$508,7,FALSE()))</f>
        <v/>
      </c>
      <c r="DP323" s="86" t="str">
        <f aca="false">IF($DF323&gt;$DE$8,"",VLOOKUP($DF323,$DH$9:$DN$508,2,FALSE()))</f>
        <v/>
      </c>
      <c r="DQ323" s="86" t="str">
        <f aca="false">IF($DF323&gt;$DE$8,"",VLOOKUP($DF323,$DH$9:$DN$508,3,FALSE()))</f>
        <v/>
      </c>
      <c r="DR323" s="86" t="str">
        <f aca="false">IF($DF323&gt;$DE$8,"",VLOOKUP($DF323,$DH$9:$DN$508,4,FALSE()))</f>
        <v/>
      </c>
      <c r="DS323" s="86" t="str">
        <f aca="false">IF($DF323&gt;$DE$8,"",VLOOKUP($DF323,$DH$9:$DN$508,5,FALSE()))</f>
        <v/>
      </c>
      <c r="DT323" s="87" t="str">
        <f aca="false">IF($DF323&gt;$DE$8,"",VLOOKUP($DF323,$DH$9:$DN$508,6,FALSE()))</f>
        <v/>
      </c>
      <c r="DU323" s="62"/>
    </row>
    <row r="324" customFormat="false" ht="15.75" hidden="false" customHeight="false" outlineLevel="0" collapsed="false">
      <c r="A324" s="7"/>
      <c r="B324" s="90"/>
      <c r="C324" s="91"/>
      <c r="D324" s="126"/>
      <c r="E324" s="130"/>
      <c r="F324" s="135"/>
      <c r="G324" s="130"/>
      <c r="H324" s="135"/>
      <c r="I324" s="131"/>
      <c r="J324" s="131"/>
      <c r="K324" s="131"/>
      <c r="L324" s="130"/>
      <c r="M324" s="130"/>
      <c r="N324" s="130"/>
      <c r="O324" s="135"/>
      <c r="P324" s="130"/>
      <c r="Q324" s="130"/>
      <c r="R324" s="130"/>
      <c r="S324" s="130"/>
      <c r="T324" s="135"/>
      <c r="U324" s="130"/>
      <c r="V324" s="96"/>
      <c r="W324" s="130"/>
      <c r="X324" s="130"/>
      <c r="Y324" s="96"/>
      <c r="Z324" s="96"/>
      <c r="AA324" s="130"/>
      <c r="AB324" s="130"/>
      <c r="AC324" s="97"/>
      <c r="AD324" s="130"/>
      <c r="AE324" s="99"/>
      <c r="AF324" s="100"/>
      <c r="AG324" s="100"/>
      <c r="AH324" s="100" t="str">
        <f aca="false">IF(ISBLANK($C324),"",IF($E324=Constants!$B$2,TRUE(),IF($E324=Constants!$B$3,FALSE(),TRUE())))</f>
        <v/>
      </c>
      <c r="AI324" s="100" t="str">
        <f aca="false">IF(ISBLANK($C324),"",IF($F324=Constants!$B$2,TRUE(),IF($F324=Constants!$B$3,FALSE(),FALSE())))</f>
        <v/>
      </c>
      <c r="AJ324" s="100" t="str">
        <f aca="false">IF(ISBLANK($C324),"",IF($G324=Constants!$B$2,TRUE(),IF($G324=Constants!$B$3,FALSE(),TRUE())))</f>
        <v/>
      </c>
      <c r="AK324" s="100" t="str">
        <f aca="false">IF(ISBLANK($C324),"",IF($H324=Constants!$B$2,TRUE(),IF($H324=Constants!$B$3,FALSE(),TRUE())))</f>
        <v/>
      </c>
      <c r="AL324" s="100" t="str">
        <f aca="false">IF(ISBLANK($C324),"",IF(ISNUMBER($I324),IF($I324&gt;=0,$I324,""),""))</f>
        <v/>
      </c>
      <c r="AM324" s="100" t="str">
        <f aca="false">IF(ISBLANK($C324),"",IF(ISNUMBER($J324),IF($J324&gt;=0,$J324,""),""))</f>
        <v/>
      </c>
      <c r="AN324" s="100" t="str">
        <f aca="false">IF(ISBLANK($C324),"",IF(ISNUMBER($K324),IF($K324&gt;=0,$K324,""),""))</f>
        <v/>
      </c>
      <c r="AO324" s="100" t="str">
        <f aca="false">IF(ISBLANK($C324),"",IF($L324=Constants!$B$2,TRUE(),IF($L324=Constants!$B$3,FALSE(),TRUE())))</f>
        <v/>
      </c>
      <c r="AP324" s="100" t="str">
        <f aca="false">IF(ISBLANK($C324),"",IF($M324=Constants!$B$2,TRUE(),IF($M324=Constants!$B$3,FALSE(),TRUE())))</f>
        <v/>
      </c>
      <c r="AQ324" s="100" t="str">
        <f aca="false">IF(ISBLANK($C324),"",IF($N324=Constants!$B$2,TRUE(),IF($N324=Constants!$B$3,FALSE(),FALSE())))</f>
        <v/>
      </c>
      <c r="AR324" s="100" t="str">
        <f aca="false">IF(ISBLANK($C324),"",IF($O324=Constants!$B$2,TRUE(),IF($O324=Constants!$B$3,FALSE(),TRUE())))</f>
        <v/>
      </c>
      <c r="AS324" s="100" t="str">
        <f aca="false">IF(ISBLANK($C324),"",IF($P324=Constants!$B$2,TRUE(),IF($P324=Constants!$B$3,FALSE(),FALSE())))</f>
        <v/>
      </c>
      <c r="AT324" s="100" t="str">
        <f aca="false">IF(ISBLANK($C324),"",IF($Q324=Constants!$B$2,TRUE(),IF($Q324=Constants!$B$3,FALSE(),FALSE())))</f>
        <v/>
      </c>
      <c r="AU324" s="100" t="str">
        <f aca="false">IF(ISBLANK($C324),"",IF($R324=Constants!$B$2,TRUE(),IF($R324=Constants!$B$3,FALSE(),FALSE())))</f>
        <v/>
      </c>
      <c r="AV324" s="100" t="str">
        <f aca="false">IF(ISBLANK($C324),"",IF($S324=Constants!$B$2,TRUE(),IF($S324=Constants!$B$3,FALSE(),FALSE())))</f>
        <v/>
      </c>
      <c r="AW324" s="100" t="str">
        <f aca="false">IF(ISBLANK($C324),"",IF($T324=Constants!$B$2,TRUE(),IF($T324=Constants!$B$3,FALSE(),FALSE())))</f>
        <v/>
      </c>
      <c r="AX324" s="100" t="str">
        <f aca="false">IF(ISBLANK($C324),"",IF(OR($U324&amp;""="1",$U324&amp;""="2",$U324&amp;""="3",$U324&amp;""="4"),VALUE($U324&amp;""),IF($U324=Constants!$B$12,Constants!$B$12,"")))</f>
        <v/>
      </c>
      <c r="AY324" s="100" t="str">
        <f aca="false">IF(ISBLANK($C324),"",IF(ISBLANK($V324),0,IF(ISNUMBER($V324),IF(AND($V324&gt;=0,$V324&lt;=Constants!$B$21,$V324=INT($V324)),$V324,""),"")))</f>
        <v/>
      </c>
      <c r="AZ324" s="100" t="str">
        <f aca="false">IF(ISBLANK($C324),"",IF(ISBLANK($W324),0,IF(ISNUMBER($W324),IF($W324&gt;=0,$W324,""),"")))</f>
        <v/>
      </c>
      <c r="BA324" s="100" t="str">
        <f aca="false">IF(ISBLANK($C324),"",IF($X324=Constants!$B$2,TRUE(),IF($X324=Constants!$B$3,FALSE(),TRUE())))</f>
        <v/>
      </c>
      <c r="BB324" s="100" t="str">
        <f aca="false">IF(ISBLANK($C324),"",IF($Y324=Constants!$B$2,TRUE(),IF($Y324=Constants!$B$3,FALSE(),FALSE())))</f>
        <v/>
      </c>
      <c r="BC324" s="100" t="str">
        <f aca="false">IF(ISBLANK($C324),"",IF(ISBLANK($Z324),0,IF(ISNUMBER($Z324),IF(AND($Z324&gt;=0,$Z324&lt;=Constants!$B$35,$Z324=INT($Z324)),$Z324,""),"")))</f>
        <v/>
      </c>
      <c r="BD324" s="100" t="str">
        <f aca="false">IF(ISBLANK($C324),"",IF($AA324=Constants!$B$2,TRUE(),IF($AA324=Constants!$B$3,FALSE(),TRUE())))</f>
        <v/>
      </c>
      <c r="BE324" s="100" t="str">
        <f aca="false">IF(ISBLANK($C324),"",IF($AB324=Constants!$B$2,TRUE(),IF($AB324=Constants!$B$3,FALSE(),TRUE())))</f>
        <v/>
      </c>
      <c r="BF324" s="100" t="str">
        <f aca="false">IF(ISBLANK($C324),"",IF(ISNUMBER($AC324),IF($AC324&gt;=0,$AC324,""),""))</f>
        <v/>
      </c>
      <c r="BG324" s="100" t="str">
        <f aca="false">IF(ISBLANK($C324),"",IF($AD324=Constants!$B$2,TRUE(),IF($AD324=Constants!$B$3,FALSE(),FALSE())))</f>
        <v/>
      </c>
      <c r="BH324" s="99" t="str">
        <f aca="false">IF(ISBLANK($C324),"",IF($BG324,Constants!$B$7,IF(COUNTA($E324:$AC324)=0,Constants!$B$6,IF(OR(COUNTA($G324:$AC324)=0,NOT($AK324),$AQ324),Constants!$B$5,IF(OR($CI324&lt;&gt;"",$CJ324,$CK324,$CL324,$CM324,$CN324,$CO324),Constants!$B$8,Constants!$B$4)))))</f>
        <v/>
      </c>
      <c r="BI324" s="100" t="str">
        <f aca="false">IF(ISBLANK($C324),"",IF($BH324&lt;&gt;Constants!$B$4,$BH324,IF(OR(NOT($AH324),NOT($AJ324),NOT($AR324)),Constants!$B$11,IF(OR(NOT($AP324),MAX($AL324,$AM324,$AN324)&gt;Constants!$B$30),Constants!$B$10,Constants!$B$9))))</f>
        <v/>
      </c>
      <c r="BJ324" s="100" t="str">
        <f aca="false">IF($BH324&lt;&gt;Constants!$B$4,"",IF(NOT($AJ324),0,MIN(Constants!$B$35,$BC324)))</f>
        <v/>
      </c>
      <c r="BK324" s="100" t="str">
        <f aca="false">IF($BH324&lt;&gt;Constants!$B$4,"",IF(NOT($AJ324),0,IF($AT324,Constants!$B$18,IF($AS324,Constants!$B$17,0))))</f>
        <v/>
      </c>
      <c r="BL324" s="100" t="str">
        <f aca="false">IF($BH324&lt;&gt;Constants!$B$4,"",IF(NOT($AJ324),0,Constants!$B$19*($AI324+$AU324+$AV324+$AW324)))</f>
        <v/>
      </c>
      <c r="BM324" s="100" t="str">
        <f aca="false">IF($BH324&lt;&gt;Constants!$B$4,"",IF(OR(NOT($AJ324),NOT(ISNUMBER($AX324))),0,CHOOSE($AX324,Constants!$B$13,Constants!$B$14,Constants!$B$15,Constants!$B$16)))</f>
        <v/>
      </c>
      <c r="BN324" s="100" t="str">
        <f aca="false">IF($BH324&lt;&gt;Constants!$B$4,"",IF(NOT($AJ324),0,Constants!$B$20*$AY324))</f>
        <v/>
      </c>
      <c r="BO324" s="100" t="str">
        <f aca="false">IF($BH324&lt;&gt;Constants!$B$4,"",IF(AND($AJ324,$BA324,$BB324),Constants!$B$22,0))</f>
        <v/>
      </c>
      <c r="BP324" s="100" t="str">
        <f aca="false">IF($BH324&lt;&gt;Constants!$B$4,"",IF(OR(NOT($AJ324),NOT($BA324)),0,IF($BF324&gt;=2*$AF$9,0,Constants!$B$23*INT(ROUND(MIN($BF324,$AF$9),6)))))</f>
        <v/>
      </c>
      <c r="BQ324" s="100" t="str">
        <f aca="false">IF($BH324&lt;&gt;Constants!$B$4,"",IF(NOT($AJ324),0,Constants!$B$24*INT(ROUND(MIN($AZ324,$AF$9),6))))</f>
        <v/>
      </c>
      <c r="BR324" s="100" t="str">
        <f aca="false">IF($BH324&lt;&gt;Constants!$B$4,"",IF(AND($AJ324,$BJ324=0),Constants!$B$25,0))</f>
        <v/>
      </c>
      <c r="BS324" s="100" t="str">
        <f aca="false">IF($BH324&lt;&gt;Constants!$B$4,"",MIN(Constants!$B$29,MAX(0,Constants!$B$27*Constants!$B$28*INT(ROUND((Constants!$B$26-$AL324)/Constants!$B$28,6))))+MIN(Constants!$B$29,MAX(0,Constants!$B$27*Constants!$B$28*INT(ROUND((Constants!$B$26-$AM324)/Constants!$B$28,6))))+MIN(Constants!$B$29,MAX(0,Constants!$B$27*Constants!$B$28*INT(ROUND((Constants!$B$26-$AN324)/Constants!$B$28,6)))))</f>
        <v/>
      </c>
      <c r="BT324" s="100" t="str">
        <f aca="false">IF($BH324&lt;&gt;Constants!$B$4,"",IF(NOT($AJ324),0,Constants!$B$31*INT(ROUND(MAX(0,MIN($BF324,2*$AF$9)-$AF$9),6))))</f>
        <v/>
      </c>
      <c r="BU324" s="100" t="str">
        <f aca="false">IF($BH324&lt;&gt;Constants!$B$4,"",Constants!$B$32*(($AL324&gt;Constants!$B$26)+($AM324&gt;Constants!$B$26)+($AN324&gt;Constants!$B$26)))</f>
        <v/>
      </c>
      <c r="BV324" s="100" t="str">
        <f aca="false">IF($BH324&lt;&gt;Constants!$B$4,"",IF(OR(NOT($AJ324),$AO324),0,Constants!$B$33))</f>
        <v/>
      </c>
      <c r="BW324" s="100" t="str">
        <f aca="false">IF($BH324&lt;&gt;Constants!$B$4,"",Constants!$B$34*$BJ324)</f>
        <v/>
      </c>
      <c r="BX324" s="100" t="str">
        <f aca="false">IF($BH324&lt;&gt;Constants!$B$4,"",IF(OR(NOT($AJ324),$BE324),0,Constants!$B$36))</f>
        <v/>
      </c>
      <c r="BY324" s="100" t="str">
        <f aca="false">IF($BH324&lt;&gt;Constants!$B$4,"",IF(OR(NOT($AJ324),$BD324),0,Constants!$B$37))</f>
        <v/>
      </c>
      <c r="BZ324" s="100" t="str">
        <f aca="false">IF($BH324&lt;&gt;Constants!$B$4,"",SUM($BT324:$BY324))</f>
        <v/>
      </c>
      <c r="CA324" s="100" t="str">
        <f aca="false">IF(ISBLANK($C324),"",IF($BH324&lt;&gt;Constants!$B$4,$BH324,SUM($BK324:$BS324)-$BZ324))</f>
        <v/>
      </c>
      <c r="CB324" s="100" t="str">
        <f aca="false">IF(ISBLANK($C324),"",IF($BH324&lt;&gt;Constants!$B$4,$BH324,RANK($CA324,$CA$9:$CA$508)))</f>
        <v/>
      </c>
      <c r="CC324" s="100" t="str">
        <f aca="false">IF(ISBLANK($C324),"",IF($BH324&lt;&gt;Constants!$B$4,$BH324,COUNTIFS($BI$9:$BI$508,"&lt;"&amp;$BI324)+COUNTIFS($BI$9:$BI$508,$BI324,$CB$9:$CB$508,"&lt;"&amp;$CB324)+1))</f>
        <v/>
      </c>
      <c r="CD324" s="100" t="str">
        <f aca="false">IF(ISBLANK($C324),"",IF($BH324&lt;&gt;Constants!$B$4,$BH324,RANK($BZ324,$BZ$9:$BZ$508,1)))</f>
        <v/>
      </c>
      <c r="CE324" s="100" t="str">
        <f aca="false">IF($BH324&lt;&gt;Constants!$B$4,"",$AL324+$AM324+$AN324)</f>
        <v/>
      </c>
      <c r="CF324" s="100" t="str">
        <f aca="false">IF(ISBLANK($C324),"",IF($BH324&lt;&gt;Constants!$B$4,$BH324,RANK($CE324,$CE$9:$CE$508,1)))</f>
        <v/>
      </c>
      <c r="CG324" s="100" t="str">
        <f aca="false">IF(ISBLANK($C324),"",IF($BH324&lt;&gt;Constants!$B$4,$BH324,COUNTIFS($BI$9:$BI$508,"&lt;"&amp;$BI324)+COUNTIFS($BI$9:$BI$508,$BI324,$CB$9:$CB$508,"&lt;"&amp;$CB324)+COUNTIFS($BI$9:$BI$508,$BI324,$CB$9:$CB$508,$CB324,$CD$9:$CD$508,"&lt;"&amp;$CD324)+COUNTIFS($BI$9:$BI$508,$BI324,$CB$9:$CB$508,$CB324,$CD$9:$CD$508,$CD324,$CF$9:$CF$508,"&lt;"&amp;$CF324)+1))</f>
        <v/>
      </c>
      <c r="CH324" s="100" t="str">
        <f aca="false">IF(ISBLANK($C324),"",IF($BH324&lt;&gt;Constants!$B$4,$BH324,$CC324-$CG324))</f>
        <v/>
      </c>
      <c r="CI324" s="100" t="str">
        <f aca="false">IF(ISBLANK($C324),"",IF(NOT($AJ324),"",IF(ISBLANK($D$7),$CI$5,IF(NOT(ISNUMBER($D$7)),$CI$6,""))))</f>
        <v/>
      </c>
      <c r="CJ324" s="100" t="str">
        <f aca="false">IF(ISBLANK($C324),"",OR($AL324="",$AM324="",$AN324=""))</f>
        <v/>
      </c>
      <c r="CK324" s="100" t="str">
        <f aca="false">IF(ISBLANK($C324),"",AND($AJ324,$AX324=""))</f>
        <v/>
      </c>
      <c r="CL324" s="100" t="str">
        <f aca="false">IF(ISBLANK($C324),"",AND($AJ324,$AY324=""))</f>
        <v/>
      </c>
      <c r="CM324" s="100" t="str">
        <f aca="false">IF(ISBLANK($C324),"",AND($AJ324,$AZ324=""))</f>
        <v/>
      </c>
      <c r="CN324" s="100" t="str">
        <f aca="false">IF(ISBLANK($C324),"",AND($AJ324,$BC324=""))</f>
        <v/>
      </c>
      <c r="CO324" s="100" t="str">
        <f aca="false">IF(ISBLANK($C324),"",AND($AJ324,$BF324=""))</f>
        <v/>
      </c>
      <c r="CP324" s="101"/>
      <c r="CQ324" s="102"/>
      <c r="CR324" s="103" t="str">
        <f aca="false">IF(ISBLANK($C324),"",IF($BH324=Constants!$B$8,$CI324,""))</f>
        <v/>
      </c>
      <c r="CS324" s="102" t="str">
        <f aca="false">IF(ISBLANK($C324),"",IF($BH324&lt;&gt;Constants!$B$4,"",$BK324+$BL324))</f>
        <v/>
      </c>
      <c r="CT324" s="104" t="str">
        <f aca="false">IF(ISBLANK($C324),"",IF($BH324&lt;&gt;Constants!$B$4,"",$BM324+$BN324+$BO324))</f>
        <v/>
      </c>
      <c r="CU324" s="104" t="str">
        <f aca="false">IF(ISBLANK($C324),"",IF($BH324&lt;&gt;Constants!$B$4,"",$BP324))</f>
        <v/>
      </c>
      <c r="CV324" s="104" t="str">
        <f aca="false">IF(ISBLANK($C324),"",IF($BH324&lt;&gt;Constants!$B$4,"",$BQ324+$BR324))</f>
        <v/>
      </c>
      <c r="CW324" s="104" t="str">
        <f aca="false">IF(ISBLANK($C324),"",IF($BH324&lt;&gt;Constants!$B$4,"",$BS324))</f>
        <v/>
      </c>
      <c r="CX324" s="104" t="str">
        <f aca="false">IF(ISBLANK($C324),"",IF($BH324&lt;&gt;Constants!$B$4,"",-$BZ324))</f>
        <v/>
      </c>
      <c r="CY324" s="103" t="str">
        <f aca="false">IF(ISBLANK($C324),"",$CA324)</f>
        <v/>
      </c>
      <c r="CZ324" s="105" t="str">
        <f aca="false">IF(ISBLANK($C324),"",$BI324)</f>
        <v/>
      </c>
      <c r="DA324" s="104" t="str">
        <f aca="false">IF(ISBLANK($C324),"",$CH324)</f>
        <v/>
      </c>
      <c r="DB324" s="104" t="str">
        <f aca="false">IF(ISBLANK($C324),"",$CG324)</f>
        <v/>
      </c>
      <c r="DC324" s="106" t="str">
        <f aca="false">IF(ISBLANK($C324),"",IFERROR(_xlfn.SWITCH($DB324,Constants!$B$7,COUNTA($C$9:$C$508)+2,Constants!$B$6,COUNTA($C$9:$C$508)+1,Constants!$B$5,COUNTA($C$9:$C$508)),$DB324))</f>
        <v/>
      </c>
      <c r="DD324" s="7"/>
      <c r="DE324" s="107" t="n">
        <f aca="false">IF(OR(ISNUMBER($DB324),$DB324=Constants!$B$7,$DB324=Constants!$B$5,$DB324=Constants!$B$6),1,0)</f>
        <v>0</v>
      </c>
      <c r="DF324" s="107" t="n">
        <v>316</v>
      </c>
      <c r="DG324" s="107" t="str">
        <f aca="false">IF(ISBLANK($C324),"",IF(ISNUMBER($DC324),$DC324+ROW($B324)/1000,""))</f>
        <v/>
      </c>
      <c r="DH324" s="107" t="str">
        <f aca="false">IF(ISNUMBER($DG324),RANK($DG324,$DG$9:$DG$508,1),"")</f>
        <v/>
      </c>
      <c r="DI324" s="107" t="str">
        <f aca="false">IF(ISBLANK($C324),"",$B324)</f>
        <v/>
      </c>
      <c r="DJ324" s="107" t="str">
        <f aca="false">IF(ISBLANK($C324),"",$C324)</f>
        <v/>
      </c>
      <c r="DK324" s="107" t="str">
        <f aca="false">IF(ISBLANK($C324),"",$D324)</f>
        <v/>
      </c>
      <c r="DL324" s="108" t="str">
        <f aca="false">$CZ324</f>
        <v/>
      </c>
      <c r="DM324" s="109" t="str">
        <f aca="false">$CY324</f>
        <v/>
      </c>
      <c r="DN324" s="107" t="str">
        <f aca="false">IF(ISBLANK($C324),"",$DB324)</f>
        <v/>
      </c>
      <c r="DO324" s="110" t="str">
        <f aca="false">IF($DF324&gt;$DE$8,"",VLOOKUP($DF324,$DH$9:$DN$508,7,FALSE()))</f>
        <v/>
      </c>
      <c r="DP324" s="111" t="str">
        <f aca="false">IF($DF324&gt;$DE$8,"",VLOOKUP($DF324,$DH$9:$DN$508,2,FALSE()))</f>
        <v/>
      </c>
      <c r="DQ324" s="111" t="str">
        <f aca="false">IF($DF324&gt;$DE$8,"",VLOOKUP($DF324,$DH$9:$DN$508,3,FALSE()))</f>
        <v/>
      </c>
      <c r="DR324" s="111" t="str">
        <f aca="false">IF($DF324&gt;$DE$8,"",VLOOKUP($DF324,$DH$9:$DN$508,4,FALSE()))</f>
        <v/>
      </c>
      <c r="DS324" s="111" t="str">
        <f aca="false">IF($DF324&gt;$DE$8,"",VLOOKUP($DF324,$DH$9:$DN$508,5,FALSE()))</f>
        <v/>
      </c>
      <c r="DT324" s="112" t="str">
        <f aca="false">IF($DF324&gt;$DE$8,"",VLOOKUP($DF324,$DH$9:$DN$508,6,FALSE()))</f>
        <v/>
      </c>
      <c r="DU324" s="62"/>
    </row>
    <row r="325" customFormat="false" ht="15.75" hidden="false" customHeight="false" outlineLevel="0" collapsed="false">
      <c r="A325" s="7"/>
      <c r="B325" s="90"/>
      <c r="C325" s="91"/>
      <c r="D325" s="126"/>
      <c r="E325" s="130"/>
      <c r="F325" s="135"/>
      <c r="G325" s="130"/>
      <c r="H325" s="135"/>
      <c r="I325" s="131"/>
      <c r="J325" s="131"/>
      <c r="K325" s="131"/>
      <c r="L325" s="130"/>
      <c r="M325" s="130"/>
      <c r="N325" s="130"/>
      <c r="O325" s="135"/>
      <c r="P325" s="130"/>
      <c r="Q325" s="130"/>
      <c r="R325" s="130"/>
      <c r="S325" s="130"/>
      <c r="T325" s="135"/>
      <c r="U325" s="130"/>
      <c r="V325" s="96"/>
      <c r="W325" s="130"/>
      <c r="X325" s="130"/>
      <c r="Y325" s="96"/>
      <c r="Z325" s="96"/>
      <c r="AA325" s="130"/>
      <c r="AB325" s="130"/>
      <c r="AC325" s="97"/>
      <c r="AD325" s="130"/>
      <c r="AE325" s="99"/>
      <c r="AF325" s="100"/>
      <c r="AG325" s="100"/>
      <c r="AH325" s="100" t="str">
        <f aca="false">IF(ISBLANK($C325),"",IF($E325=Constants!$B$2,TRUE(),IF($E325=Constants!$B$3,FALSE(),TRUE())))</f>
        <v/>
      </c>
      <c r="AI325" s="100" t="str">
        <f aca="false">IF(ISBLANK($C325),"",IF($F325=Constants!$B$2,TRUE(),IF($F325=Constants!$B$3,FALSE(),FALSE())))</f>
        <v/>
      </c>
      <c r="AJ325" s="100" t="str">
        <f aca="false">IF(ISBLANK($C325),"",IF($G325=Constants!$B$2,TRUE(),IF($G325=Constants!$B$3,FALSE(),TRUE())))</f>
        <v/>
      </c>
      <c r="AK325" s="100" t="str">
        <f aca="false">IF(ISBLANK($C325),"",IF($H325=Constants!$B$2,TRUE(),IF($H325=Constants!$B$3,FALSE(),TRUE())))</f>
        <v/>
      </c>
      <c r="AL325" s="100" t="str">
        <f aca="false">IF(ISBLANK($C325),"",IF(ISNUMBER($I325),IF($I325&gt;=0,$I325,""),""))</f>
        <v/>
      </c>
      <c r="AM325" s="100" t="str">
        <f aca="false">IF(ISBLANK($C325),"",IF(ISNUMBER($J325),IF($J325&gt;=0,$J325,""),""))</f>
        <v/>
      </c>
      <c r="AN325" s="100" t="str">
        <f aca="false">IF(ISBLANK($C325),"",IF(ISNUMBER($K325),IF($K325&gt;=0,$K325,""),""))</f>
        <v/>
      </c>
      <c r="AO325" s="100" t="str">
        <f aca="false">IF(ISBLANK($C325),"",IF($L325=Constants!$B$2,TRUE(),IF($L325=Constants!$B$3,FALSE(),TRUE())))</f>
        <v/>
      </c>
      <c r="AP325" s="100" t="str">
        <f aca="false">IF(ISBLANK($C325),"",IF($M325=Constants!$B$2,TRUE(),IF($M325=Constants!$B$3,FALSE(),TRUE())))</f>
        <v/>
      </c>
      <c r="AQ325" s="100" t="str">
        <f aca="false">IF(ISBLANK($C325),"",IF($N325=Constants!$B$2,TRUE(),IF($N325=Constants!$B$3,FALSE(),FALSE())))</f>
        <v/>
      </c>
      <c r="AR325" s="100" t="str">
        <f aca="false">IF(ISBLANK($C325),"",IF($O325=Constants!$B$2,TRUE(),IF($O325=Constants!$B$3,FALSE(),TRUE())))</f>
        <v/>
      </c>
      <c r="AS325" s="100" t="str">
        <f aca="false">IF(ISBLANK($C325),"",IF($P325=Constants!$B$2,TRUE(),IF($P325=Constants!$B$3,FALSE(),FALSE())))</f>
        <v/>
      </c>
      <c r="AT325" s="100" t="str">
        <f aca="false">IF(ISBLANK($C325),"",IF($Q325=Constants!$B$2,TRUE(),IF($Q325=Constants!$B$3,FALSE(),FALSE())))</f>
        <v/>
      </c>
      <c r="AU325" s="100" t="str">
        <f aca="false">IF(ISBLANK($C325),"",IF($R325=Constants!$B$2,TRUE(),IF($R325=Constants!$B$3,FALSE(),FALSE())))</f>
        <v/>
      </c>
      <c r="AV325" s="100" t="str">
        <f aca="false">IF(ISBLANK($C325),"",IF($S325=Constants!$B$2,TRUE(),IF($S325=Constants!$B$3,FALSE(),FALSE())))</f>
        <v/>
      </c>
      <c r="AW325" s="100" t="str">
        <f aca="false">IF(ISBLANK($C325),"",IF($T325=Constants!$B$2,TRUE(),IF($T325=Constants!$B$3,FALSE(),FALSE())))</f>
        <v/>
      </c>
      <c r="AX325" s="100" t="str">
        <f aca="false">IF(ISBLANK($C325),"",IF(OR($U325&amp;""="1",$U325&amp;""="2",$U325&amp;""="3",$U325&amp;""="4"),VALUE($U325&amp;""),IF($U325=Constants!$B$12,Constants!$B$12,"")))</f>
        <v/>
      </c>
      <c r="AY325" s="100" t="str">
        <f aca="false">IF(ISBLANK($C325),"",IF(ISBLANK($V325),0,IF(ISNUMBER($V325),IF(AND($V325&gt;=0,$V325&lt;=Constants!$B$21,$V325=INT($V325)),$V325,""),"")))</f>
        <v/>
      </c>
      <c r="AZ325" s="100" t="str">
        <f aca="false">IF(ISBLANK($C325),"",IF(ISBLANK($W325),0,IF(ISNUMBER($W325),IF($W325&gt;=0,$W325,""),"")))</f>
        <v/>
      </c>
      <c r="BA325" s="100" t="str">
        <f aca="false">IF(ISBLANK($C325),"",IF($X325=Constants!$B$2,TRUE(),IF($X325=Constants!$B$3,FALSE(),TRUE())))</f>
        <v/>
      </c>
      <c r="BB325" s="100" t="str">
        <f aca="false">IF(ISBLANK($C325),"",IF($Y325=Constants!$B$2,TRUE(),IF($Y325=Constants!$B$3,FALSE(),FALSE())))</f>
        <v/>
      </c>
      <c r="BC325" s="100" t="str">
        <f aca="false">IF(ISBLANK($C325),"",IF(ISBLANK($Z325),0,IF(ISNUMBER($Z325),IF(AND($Z325&gt;=0,$Z325&lt;=Constants!$B$35,$Z325=INT($Z325)),$Z325,""),"")))</f>
        <v/>
      </c>
      <c r="BD325" s="100" t="str">
        <f aca="false">IF(ISBLANK($C325),"",IF($AA325=Constants!$B$2,TRUE(),IF($AA325=Constants!$B$3,FALSE(),TRUE())))</f>
        <v/>
      </c>
      <c r="BE325" s="100" t="str">
        <f aca="false">IF(ISBLANK($C325),"",IF($AB325=Constants!$B$2,TRUE(),IF($AB325=Constants!$B$3,FALSE(),TRUE())))</f>
        <v/>
      </c>
      <c r="BF325" s="100" t="str">
        <f aca="false">IF(ISBLANK($C325),"",IF(ISNUMBER($AC325),IF($AC325&gt;=0,$AC325,""),""))</f>
        <v/>
      </c>
      <c r="BG325" s="100" t="str">
        <f aca="false">IF(ISBLANK($C325),"",IF($AD325=Constants!$B$2,TRUE(),IF($AD325=Constants!$B$3,FALSE(),FALSE())))</f>
        <v/>
      </c>
      <c r="BH325" s="99" t="str">
        <f aca="false">IF(ISBLANK($C325),"",IF($BG325,Constants!$B$7,IF(COUNTA($E325:$AC325)=0,Constants!$B$6,IF(OR(COUNTA($G325:$AC325)=0,NOT($AK325),$AQ325),Constants!$B$5,IF(OR($CI325&lt;&gt;"",$CJ325,$CK325,$CL325,$CM325,$CN325,$CO325),Constants!$B$8,Constants!$B$4)))))</f>
        <v/>
      </c>
      <c r="BI325" s="100" t="str">
        <f aca="false">IF(ISBLANK($C325),"",IF($BH325&lt;&gt;Constants!$B$4,$BH325,IF(OR(NOT($AH325),NOT($AJ325),NOT($AR325)),Constants!$B$11,IF(OR(NOT($AP325),MAX($AL325,$AM325,$AN325)&gt;Constants!$B$30),Constants!$B$10,Constants!$B$9))))</f>
        <v/>
      </c>
      <c r="BJ325" s="100" t="str">
        <f aca="false">IF($BH325&lt;&gt;Constants!$B$4,"",IF(NOT($AJ325),0,MIN(Constants!$B$35,$BC325)))</f>
        <v/>
      </c>
      <c r="BK325" s="100" t="str">
        <f aca="false">IF($BH325&lt;&gt;Constants!$B$4,"",IF(NOT($AJ325),0,IF($AT325,Constants!$B$18,IF($AS325,Constants!$B$17,0))))</f>
        <v/>
      </c>
      <c r="BL325" s="100" t="str">
        <f aca="false">IF($BH325&lt;&gt;Constants!$B$4,"",IF(NOT($AJ325),0,Constants!$B$19*($AI325+$AU325+$AV325+$AW325)))</f>
        <v/>
      </c>
      <c r="BM325" s="100" t="str">
        <f aca="false">IF($BH325&lt;&gt;Constants!$B$4,"",IF(OR(NOT($AJ325),NOT(ISNUMBER($AX325))),0,CHOOSE($AX325,Constants!$B$13,Constants!$B$14,Constants!$B$15,Constants!$B$16)))</f>
        <v/>
      </c>
      <c r="BN325" s="100" t="str">
        <f aca="false">IF($BH325&lt;&gt;Constants!$B$4,"",IF(NOT($AJ325),0,Constants!$B$20*$AY325))</f>
        <v/>
      </c>
      <c r="BO325" s="100" t="str">
        <f aca="false">IF($BH325&lt;&gt;Constants!$B$4,"",IF(AND($AJ325,$BA325,$BB325),Constants!$B$22,0))</f>
        <v/>
      </c>
      <c r="BP325" s="100" t="str">
        <f aca="false">IF($BH325&lt;&gt;Constants!$B$4,"",IF(OR(NOT($AJ325),NOT($BA325)),0,IF($BF325&gt;=2*$AF$9,0,Constants!$B$23*INT(ROUND(MIN($BF325,$AF$9),6)))))</f>
        <v/>
      </c>
      <c r="BQ325" s="100" t="str">
        <f aca="false">IF($BH325&lt;&gt;Constants!$B$4,"",IF(NOT($AJ325),0,Constants!$B$24*INT(ROUND(MIN($AZ325,$AF$9),6))))</f>
        <v/>
      </c>
      <c r="BR325" s="100" t="str">
        <f aca="false">IF($BH325&lt;&gt;Constants!$B$4,"",IF(AND($AJ325,$BJ325=0),Constants!$B$25,0))</f>
        <v/>
      </c>
      <c r="BS325" s="100" t="str">
        <f aca="false">IF($BH325&lt;&gt;Constants!$B$4,"",MIN(Constants!$B$29,MAX(0,Constants!$B$27*Constants!$B$28*INT(ROUND((Constants!$B$26-$AL325)/Constants!$B$28,6))))+MIN(Constants!$B$29,MAX(0,Constants!$B$27*Constants!$B$28*INT(ROUND((Constants!$B$26-$AM325)/Constants!$B$28,6))))+MIN(Constants!$B$29,MAX(0,Constants!$B$27*Constants!$B$28*INT(ROUND((Constants!$B$26-$AN325)/Constants!$B$28,6)))))</f>
        <v/>
      </c>
      <c r="BT325" s="100" t="str">
        <f aca="false">IF($BH325&lt;&gt;Constants!$B$4,"",IF(NOT($AJ325),0,Constants!$B$31*INT(ROUND(MAX(0,MIN($BF325,2*$AF$9)-$AF$9),6))))</f>
        <v/>
      </c>
      <c r="BU325" s="100" t="str">
        <f aca="false">IF($BH325&lt;&gt;Constants!$B$4,"",Constants!$B$32*(($AL325&gt;Constants!$B$26)+($AM325&gt;Constants!$B$26)+($AN325&gt;Constants!$B$26)))</f>
        <v/>
      </c>
      <c r="BV325" s="100" t="str">
        <f aca="false">IF($BH325&lt;&gt;Constants!$B$4,"",IF(OR(NOT($AJ325),$AO325),0,Constants!$B$33))</f>
        <v/>
      </c>
      <c r="BW325" s="100" t="str">
        <f aca="false">IF($BH325&lt;&gt;Constants!$B$4,"",Constants!$B$34*$BJ325)</f>
        <v/>
      </c>
      <c r="BX325" s="100" t="str">
        <f aca="false">IF($BH325&lt;&gt;Constants!$B$4,"",IF(OR(NOT($AJ325),$BE325),0,Constants!$B$36))</f>
        <v/>
      </c>
      <c r="BY325" s="100" t="str">
        <f aca="false">IF($BH325&lt;&gt;Constants!$B$4,"",IF(OR(NOT($AJ325),$BD325),0,Constants!$B$37))</f>
        <v/>
      </c>
      <c r="BZ325" s="100" t="str">
        <f aca="false">IF($BH325&lt;&gt;Constants!$B$4,"",SUM($BT325:$BY325))</f>
        <v/>
      </c>
      <c r="CA325" s="100" t="str">
        <f aca="false">IF(ISBLANK($C325),"",IF($BH325&lt;&gt;Constants!$B$4,$BH325,SUM($BK325:$BS325)-$BZ325))</f>
        <v/>
      </c>
      <c r="CB325" s="100" t="str">
        <f aca="false">IF(ISBLANK($C325),"",IF($BH325&lt;&gt;Constants!$B$4,$BH325,RANK($CA325,$CA$9:$CA$508)))</f>
        <v/>
      </c>
      <c r="CC325" s="100" t="str">
        <f aca="false">IF(ISBLANK($C325),"",IF($BH325&lt;&gt;Constants!$B$4,$BH325,COUNTIFS($BI$9:$BI$508,"&lt;"&amp;$BI325)+COUNTIFS($BI$9:$BI$508,$BI325,$CB$9:$CB$508,"&lt;"&amp;$CB325)+1))</f>
        <v/>
      </c>
      <c r="CD325" s="100" t="str">
        <f aca="false">IF(ISBLANK($C325),"",IF($BH325&lt;&gt;Constants!$B$4,$BH325,RANK($BZ325,$BZ$9:$BZ$508,1)))</f>
        <v/>
      </c>
      <c r="CE325" s="100" t="str">
        <f aca="false">IF($BH325&lt;&gt;Constants!$B$4,"",$AL325+$AM325+$AN325)</f>
        <v/>
      </c>
      <c r="CF325" s="100" t="str">
        <f aca="false">IF(ISBLANK($C325),"",IF($BH325&lt;&gt;Constants!$B$4,$BH325,RANK($CE325,$CE$9:$CE$508,1)))</f>
        <v/>
      </c>
      <c r="CG325" s="100" t="str">
        <f aca="false">IF(ISBLANK($C325),"",IF($BH325&lt;&gt;Constants!$B$4,$BH325,COUNTIFS($BI$9:$BI$508,"&lt;"&amp;$BI325)+COUNTIFS($BI$9:$BI$508,$BI325,$CB$9:$CB$508,"&lt;"&amp;$CB325)+COUNTIFS($BI$9:$BI$508,$BI325,$CB$9:$CB$508,$CB325,$CD$9:$CD$508,"&lt;"&amp;$CD325)+COUNTIFS($BI$9:$BI$508,$BI325,$CB$9:$CB$508,$CB325,$CD$9:$CD$508,$CD325,$CF$9:$CF$508,"&lt;"&amp;$CF325)+1))</f>
        <v/>
      </c>
      <c r="CH325" s="100" t="str">
        <f aca="false">IF(ISBLANK($C325),"",IF($BH325&lt;&gt;Constants!$B$4,$BH325,$CC325-$CG325))</f>
        <v/>
      </c>
      <c r="CI325" s="100" t="str">
        <f aca="false">IF(ISBLANK($C325),"",IF(NOT($AJ325),"",IF(ISBLANK($D$7),$CI$5,IF(NOT(ISNUMBER($D$7)),$CI$6,""))))</f>
        <v/>
      </c>
      <c r="CJ325" s="100" t="str">
        <f aca="false">IF(ISBLANK($C325),"",OR($AL325="",$AM325="",$AN325=""))</f>
        <v/>
      </c>
      <c r="CK325" s="100" t="str">
        <f aca="false">IF(ISBLANK($C325),"",AND($AJ325,$AX325=""))</f>
        <v/>
      </c>
      <c r="CL325" s="100" t="str">
        <f aca="false">IF(ISBLANK($C325),"",AND($AJ325,$AY325=""))</f>
        <v/>
      </c>
      <c r="CM325" s="100" t="str">
        <f aca="false">IF(ISBLANK($C325),"",AND($AJ325,$AZ325=""))</f>
        <v/>
      </c>
      <c r="CN325" s="100" t="str">
        <f aca="false">IF(ISBLANK($C325),"",AND($AJ325,$BC325=""))</f>
        <v/>
      </c>
      <c r="CO325" s="100" t="str">
        <f aca="false">IF(ISBLANK($C325),"",AND($AJ325,$BF325=""))</f>
        <v/>
      </c>
      <c r="CP325" s="101"/>
      <c r="CQ325" s="102"/>
      <c r="CR325" s="103" t="str">
        <f aca="false">IF(ISBLANK($C325),"",IF($BH325=Constants!$B$8,$CI325,""))</f>
        <v/>
      </c>
      <c r="CS325" s="102" t="str">
        <f aca="false">IF(ISBLANK($C325),"",IF($BH325&lt;&gt;Constants!$B$4,"",$BK325+$BL325))</f>
        <v/>
      </c>
      <c r="CT325" s="104" t="str">
        <f aca="false">IF(ISBLANK($C325),"",IF($BH325&lt;&gt;Constants!$B$4,"",$BM325+$BN325+$BO325))</f>
        <v/>
      </c>
      <c r="CU325" s="104" t="str">
        <f aca="false">IF(ISBLANK($C325),"",IF($BH325&lt;&gt;Constants!$B$4,"",$BP325))</f>
        <v/>
      </c>
      <c r="CV325" s="104" t="str">
        <f aca="false">IF(ISBLANK($C325),"",IF($BH325&lt;&gt;Constants!$B$4,"",$BQ325+$BR325))</f>
        <v/>
      </c>
      <c r="CW325" s="104" t="str">
        <f aca="false">IF(ISBLANK($C325),"",IF($BH325&lt;&gt;Constants!$B$4,"",$BS325))</f>
        <v/>
      </c>
      <c r="CX325" s="104" t="str">
        <f aca="false">IF(ISBLANK($C325),"",IF($BH325&lt;&gt;Constants!$B$4,"",-$BZ325))</f>
        <v/>
      </c>
      <c r="CY325" s="103" t="str">
        <f aca="false">IF(ISBLANK($C325),"",$CA325)</f>
        <v/>
      </c>
      <c r="CZ325" s="105" t="str">
        <f aca="false">IF(ISBLANK($C325),"",$BI325)</f>
        <v/>
      </c>
      <c r="DA325" s="104" t="str">
        <f aca="false">IF(ISBLANK($C325),"",$CH325)</f>
        <v/>
      </c>
      <c r="DB325" s="104" t="str">
        <f aca="false">IF(ISBLANK($C325),"",$CG325)</f>
        <v/>
      </c>
      <c r="DC325" s="106" t="str">
        <f aca="false">IF(ISBLANK($C325),"",IFERROR(_xlfn.SWITCH($DB325,Constants!$B$7,COUNTA($C$9:$C$508)+2,Constants!$B$6,COUNTA($C$9:$C$508)+1,Constants!$B$5,COUNTA($C$9:$C$508)),$DB325))</f>
        <v/>
      </c>
      <c r="DD325" s="7"/>
      <c r="DE325" s="107" t="n">
        <f aca="false">IF(OR(ISNUMBER($DB325),$DB325=Constants!$B$7,$DB325=Constants!$B$5,$DB325=Constants!$B$6),1,0)</f>
        <v>0</v>
      </c>
      <c r="DF325" s="107" t="n">
        <v>317</v>
      </c>
      <c r="DG325" s="107" t="str">
        <f aca="false">IF(ISBLANK($C325),"",IF(ISNUMBER($DC325),$DC325+ROW($B325)/1000,""))</f>
        <v/>
      </c>
      <c r="DH325" s="107" t="str">
        <f aca="false">IF(ISNUMBER($DG325),RANK($DG325,$DG$9:$DG$508,1),"")</f>
        <v/>
      </c>
      <c r="DI325" s="107" t="str">
        <f aca="false">IF(ISBLANK($C325),"",$B325)</f>
        <v/>
      </c>
      <c r="DJ325" s="107" t="str">
        <f aca="false">IF(ISBLANK($C325),"",$C325)</f>
        <v/>
      </c>
      <c r="DK325" s="107" t="str">
        <f aca="false">IF(ISBLANK($C325),"",$D325)</f>
        <v/>
      </c>
      <c r="DL325" s="108" t="str">
        <f aca="false">$CZ325</f>
        <v/>
      </c>
      <c r="DM325" s="109" t="str">
        <f aca="false">$CY325</f>
        <v/>
      </c>
      <c r="DN325" s="107" t="str">
        <f aca="false">IF(ISBLANK($C325),"",$DB325)</f>
        <v/>
      </c>
      <c r="DO325" s="110" t="str">
        <f aca="false">IF($DF325&gt;$DE$8,"",VLOOKUP($DF325,$DH$9:$DN$508,7,FALSE()))</f>
        <v/>
      </c>
      <c r="DP325" s="111" t="str">
        <f aca="false">IF($DF325&gt;$DE$8,"",VLOOKUP($DF325,$DH$9:$DN$508,2,FALSE()))</f>
        <v/>
      </c>
      <c r="DQ325" s="111" t="str">
        <f aca="false">IF($DF325&gt;$DE$8,"",VLOOKUP($DF325,$DH$9:$DN$508,3,FALSE()))</f>
        <v/>
      </c>
      <c r="DR325" s="111" t="str">
        <f aca="false">IF($DF325&gt;$DE$8,"",VLOOKUP($DF325,$DH$9:$DN$508,4,FALSE()))</f>
        <v/>
      </c>
      <c r="DS325" s="111" t="str">
        <f aca="false">IF($DF325&gt;$DE$8,"",VLOOKUP($DF325,$DH$9:$DN$508,5,FALSE()))</f>
        <v/>
      </c>
      <c r="DT325" s="112" t="str">
        <f aca="false">IF($DF325&gt;$DE$8,"",VLOOKUP($DF325,$DH$9:$DN$508,6,FALSE()))</f>
        <v/>
      </c>
      <c r="DU325" s="62"/>
    </row>
    <row r="326" customFormat="false" ht="15.75" hidden="false" customHeight="false" outlineLevel="0" collapsed="false">
      <c r="A326" s="7"/>
      <c r="B326" s="90"/>
      <c r="C326" s="91"/>
      <c r="D326" s="126"/>
      <c r="E326" s="130"/>
      <c r="F326" s="135"/>
      <c r="G326" s="130"/>
      <c r="H326" s="135"/>
      <c r="I326" s="131"/>
      <c r="J326" s="131"/>
      <c r="K326" s="131"/>
      <c r="L326" s="130"/>
      <c r="M326" s="130"/>
      <c r="N326" s="130"/>
      <c r="O326" s="135"/>
      <c r="P326" s="130"/>
      <c r="Q326" s="130"/>
      <c r="R326" s="130"/>
      <c r="S326" s="130"/>
      <c r="T326" s="135"/>
      <c r="U326" s="130"/>
      <c r="V326" s="96"/>
      <c r="W326" s="130"/>
      <c r="X326" s="130"/>
      <c r="Y326" s="96"/>
      <c r="Z326" s="96"/>
      <c r="AA326" s="130"/>
      <c r="AB326" s="130"/>
      <c r="AC326" s="97"/>
      <c r="AD326" s="130"/>
      <c r="AE326" s="99"/>
      <c r="AF326" s="100"/>
      <c r="AG326" s="100"/>
      <c r="AH326" s="100" t="str">
        <f aca="false">IF(ISBLANK($C326),"",IF($E326=Constants!$B$2,TRUE(),IF($E326=Constants!$B$3,FALSE(),TRUE())))</f>
        <v/>
      </c>
      <c r="AI326" s="100" t="str">
        <f aca="false">IF(ISBLANK($C326),"",IF($F326=Constants!$B$2,TRUE(),IF($F326=Constants!$B$3,FALSE(),FALSE())))</f>
        <v/>
      </c>
      <c r="AJ326" s="100" t="str">
        <f aca="false">IF(ISBLANK($C326),"",IF($G326=Constants!$B$2,TRUE(),IF($G326=Constants!$B$3,FALSE(),TRUE())))</f>
        <v/>
      </c>
      <c r="AK326" s="100" t="str">
        <f aca="false">IF(ISBLANK($C326),"",IF($H326=Constants!$B$2,TRUE(),IF($H326=Constants!$B$3,FALSE(),TRUE())))</f>
        <v/>
      </c>
      <c r="AL326" s="100" t="str">
        <f aca="false">IF(ISBLANK($C326),"",IF(ISNUMBER($I326),IF($I326&gt;=0,$I326,""),""))</f>
        <v/>
      </c>
      <c r="AM326" s="100" t="str">
        <f aca="false">IF(ISBLANK($C326),"",IF(ISNUMBER($J326),IF($J326&gt;=0,$J326,""),""))</f>
        <v/>
      </c>
      <c r="AN326" s="100" t="str">
        <f aca="false">IF(ISBLANK($C326),"",IF(ISNUMBER($K326),IF($K326&gt;=0,$K326,""),""))</f>
        <v/>
      </c>
      <c r="AO326" s="100" t="str">
        <f aca="false">IF(ISBLANK($C326),"",IF($L326=Constants!$B$2,TRUE(),IF($L326=Constants!$B$3,FALSE(),TRUE())))</f>
        <v/>
      </c>
      <c r="AP326" s="100" t="str">
        <f aca="false">IF(ISBLANK($C326),"",IF($M326=Constants!$B$2,TRUE(),IF($M326=Constants!$B$3,FALSE(),TRUE())))</f>
        <v/>
      </c>
      <c r="AQ326" s="100" t="str">
        <f aca="false">IF(ISBLANK($C326),"",IF($N326=Constants!$B$2,TRUE(),IF($N326=Constants!$B$3,FALSE(),FALSE())))</f>
        <v/>
      </c>
      <c r="AR326" s="100" t="str">
        <f aca="false">IF(ISBLANK($C326),"",IF($O326=Constants!$B$2,TRUE(),IF($O326=Constants!$B$3,FALSE(),TRUE())))</f>
        <v/>
      </c>
      <c r="AS326" s="100" t="str">
        <f aca="false">IF(ISBLANK($C326),"",IF($P326=Constants!$B$2,TRUE(),IF($P326=Constants!$B$3,FALSE(),FALSE())))</f>
        <v/>
      </c>
      <c r="AT326" s="100" t="str">
        <f aca="false">IF(ISBLANK($C326),"",IF($Q326=Constants!$B$2,TRUE(),IF($Q326=Constants!$B$3,FALSE(),FALSE())))</f>
        <v/>
      </c>
      <c r="AU326" s="100" t="str">
        <f aca="false">IF(ISBLANK($C326),"",IF($R326=Constants!$B$2,TRUE(),IF($R326=Constants!$B$3,FALSE(),FALSE())))</f>
        <v/>
      </c>
      <c r="AV326" s="100" t="str">
        <f aca="false">IF(ISBLANK($C326),"",IF($S326=Constants!$B$2,TRUE(),IF($S326=Constants!$B$3,FALSE(),FALSE())))</f>
        <v/>
      </c>
      <c r="AW326" s="100" t="str">
        <f aca="false">IF(ISBLANK($C326),"",IF($T326=Constants!$B$2,TRUE(),IF($T326=Constants!$B$3,FALSE(),FALSE())))</f>
        <v/>
      </c>
      <c r="AX326" s="100" t="str">
        <f aca="false">IF(ISBLANK($C326),"",IF(OR($U326&amp;""="1",$U326&amp;""="2",$U326&amp;""="3",$U326&amp;""="4"),VALUE($U326&amp;""),IF($U326=Constants!$B$12,Constants!$B$12,"")))</f>
        <v/>
      </c>
      <c r="AY326" s="100" t="str">
        <f aca="false">IF(ISBLANK($C326),"",IF(ISBLANK($V326),0,IF(ISNUMBER($V326),IF(AND($V326&gt;=0,$V326&lt;=Constants!$B$21,$V326=INT($V326)),$V326,""),"")))</f>
        <v/>
      </c>
      <c r="AZ326" s="100" t="str">
        <f aca="false">IF(ISBLANK($C326),"",IF(ISBLANK($W326),0,IF(ISNUMBER($W326),IF($W326&gt;=0,$W326,""),"")))</f>
        <v/>
      </c>
      <c r="BA326" s="100" t="str">
        <f aca="false">IF(ISBLANK($C326),"",IF($X326=Constants!$B$2,TRUE(),IF($X326=Constants!$B$3,FALSE(),TRUE())))</f>
        <v/>
      </c>
      <c r="BB326" s="100" t="str">
        <f aca="false">IF(ISBLANK($C326),"",IF($Y326=Constants!$B$2,TRUE(),IF($Y326=Constants!$B$3,FALSE(),FALSE())))</f>
        <v/>
      </c>
      <c r="BC326" s="100" t="str">
        <f aca="false">IF(ISBLANK($C326),"",IF(ISBLANK($Z326),0,IF(ISNUMBER($Z326),IF(AND($Z326&gt;=0,$Z326&lt;=Constants!$B$35,$Z326=INT($Z326)),$Z326,""),"")))</f>
        <v/>
      </c>
      <c r="BD326" s="100" t="str">
        <f aca="false">IF(ISBLANK($C326),"",IF($AA326=Constants!$B$2,TRUE(),IF($AA326=Constants!$B$3,FALSE(),TRUE())))</f>
        <v/>
      </c>
      <c r="BE326" s="100" t="str">
        <f aca="false">IF(ISBLANK($C326),"",IF($AB326=Constants!$B$2,TRUE(),IF($AB326=Constants!$B$3,FALSE(),TRUE())))</f>
        <v/>
      </c>
      <c r="BF326" s="100" t="str">
        <f aca="false">IF(ISBLANK($C326),"",IF(ISNUMBER($AC326),IF($AC326&gt;=0,$AC326,""),""))</f>
        <v/>
      </c>
      <c r="BG326" s="100" t="str">
        <f aca="false">IF(ISBLANK($C326),"",IF($AD326=Constants!$B$2,TRUE(),IF($AD326=Constants!$B$3,FALSE(),FALSE())))</f>
        <v/>
      </c>
      <c r="BH326" s="99" t="str">
        <f aca="false">IF(ISBLANK($C326),"",IF($BG326,Constants!$B$7,IF(COUNTA($E326:$AC326)=0,Constants!$B$6,IF(OR(COUNTA($G326:$AC326)=0,NOT($AK326),$AQ326),Constants!$B$5,IF(OR($CI326&lt;&gt;"",$CJ326,$CK326,$CL326,$CM326,$CN326,$CO326),Constants!$B$8,Constants!$B$4)))))</f>
        <v/>
      </c>
      <c r="BI326" s="100" t="str">
        <f aca="false">IF(ISBLANK($C326),"",IF($BH326&lt;&gt;Constants!$B$4,$BH326,IF(OR(NOT($AH326),NOT($AJ326),NOT($AR326)),Constants!$B$11,IF(OR(NOT($AP326),MAX($AL326,$AM326,$AN326)&gt;Constants!$B$30),Constants!$B$10,Constants!$B$9))))</f>
        <v/>
      </c>
      <c r="BJ326" s="100" t="str">
        <f aca="false">IF($BH326&lt;&gt;Constants!$B$4,"",IF(NOT($AJ326),0,MIN(Constants!$B$35,$BC326)))</f>
        <v/>
      </c>
      <c r="BK326" s="100" t="str">
        <f aca="false">IF($BH326&lt;&gt;Constants!$B$4,"",IF(NOT($AJ326),0,IF($AT326,Constants!$B$18,IF($AS326,Constants!$B$17,0))))</f>
        <v/>
      </c>
      <c r="BL326" s="100" t="str">
        <f aca="false">IF($BH326&lt;&gt;Constants!$B$4,"",IF(NOT($AJ326),0,Constants!$B$19*($AI326+$AU326+$AV326+$AW326)))</f>
        <v/>
      </c>
      <c r="BM326" s="100" t="str">
        <f aca="false">IF($BH326&lt;&gt;Constants!$B$4,"",IF(OR(NOT($AJ326),NOT(ISNUMBER($AX326))),0,CHOOSE($AX326,Constants!$B$13,Constants!$B$14,Constants!$B$15,Constants!$B$16)))</f>
        <v/>
      </c>
      <c r="BN326" s="100" t="str">
        <f aca="false">IF($BH326&lt;&gt;Constants!$B$4,"",IF(NOT($AJ326),0,Constants!$B$20*$AY326))</f>
        <v/>
      </c>
      <c r="BO326" s="100" t="str">
        <f aca="false">IF($BH326&lt;&gt;Constants!$B$4,"",IF(AND($AJ326,$BA326,$BB326),Constants!$B$22,0))</f>
        <v/>
      </c>
      <c r="BP326" s="100" t="str">
        <f aca="false">IF($BH326&lt;&gt;Constants!$B$4,"",IF(OR(NOT($AJ326),NOT($BA326)),0,IF($BF326&gt;=2*$AF$9,0,Constants!$B$23*INT(ROUND(MIN($BF326,$AF$9),6)))))</f>
        <v/>
      </c>
      <c r="BQ326" s="100" t="str">
        <f aca="false">IF($BH326&lt;&gt;Constants!$B$4,"",IF(NOT($AJ326),0,Constants!$B$24*INT(ROUND(MIN($AZ326,$AF$9),6))))</f>
        <v/>
      </c>
      <c r="BR326" s="100" t="str">
        <f aca="false">IF($BH326&lt;&gt;Constants!$B$4,"",IF(AND($AJ326,$BJ326=0),Constants!$B$25,0))</f>
        <v/>
      </c>
      <c r="BS326" s="100" t="str">
        <f aca="false">IF($BH326&lt;&gt;Constants!$B$4,"",MIN(Constants!$B$29,MAX(0,Constants!$B$27*Constants!$B$28*INT(ROUND((Constants!$B$26-$AL326)/Constants!$B$28,6))))+MIN(Constants!$B$29,MAX(0,Constants!$B$27*Constants!$B$28*INT(ROUND((Constants!$B$26-$AM326)/Constants!$B$28,6))))+MIN(Constants!$B$29,MAX(0,Constants!$B$27*Constants!$B$28*INT(ROUND((Constants!$B$26-$AN326)/Constants!$B$28,6)))))</f>
        <v/>
      </c>
      <c r="BT326" s="100" t="str">
        <f aca="false">IF($BH326&lt;&gt;Constants!$B$4,"",IF(NOT($AJ326),0,Constants!$B$31*INT(ROUND(MAX(0,MIN($BF326,2*$AF$9)-$AF$9),6))))</f>
        <v/>
      </c>
      <c r="BU326" s="100" t="str">
        <f aca="false">IF($BH326&lt;&gt;Constants!$B$4,"",Constants!$B$32*(($AL326&gt;Constants!$B$26)+($AM326&gt;Constants!$B$26)+($AN326&gt;Constants!$B$26)))</f>
        <v/>
      </c>
      <c r="BV326" s="100" t="str">
        <f aca="false">IF($BH326&lt;&gt;Constants!$B$4,"",IF(OR(NOT($AJ326),$AO326),0,Constants!$B$33))</f>
        <v/>
      </c>
      <c r="BW326" s="100" t="str">
        <f aca="false">IF($BH326&lt;&gt;Constants!$B$4,"",Constants!$B$34*$BJ326)</f>
        <v/>
      </c>
      <c r="BX326" s="100" t="str">
        <f aca="false">IF($BH326&lt;&gt;Constants!$B$4,"",IF(OR(NOT($AJ326),$BE326),0,Constants!$B$36))</f>
        <v/>
      </c>
      <c r="BY326" s="100" t="str">
        <f aca="false">IF($BH326&lt;&gt;Constants!$B$4,"",IF(OR(NOT($AJ326),$BD326),0,Constants!$B$37))</f>
        <v/>
      </c>
      <c r="BZ326" s="100" t="str">
        <f aca="false">IF($BH326&lt;&gt;Constants!$B$4,"",SUM($BT326:$BY326))</f>
        <v/>
      </c>
      <c r="CA326" s="100" t="str">
        <f aca="false">IF(ISBLANK($C326),"",IF($BH326&lt;&gt;Constants!$B$4,$BH326,SUM($BK326:$BS326)-$BZ326))</f>
        <v/>
      </c>
      <c r="CB326" s="100" t="str">
        <f aca="false">IF(ISBLANK($C326),"",IF($BH326&lt;&gt;Constants!$B$4,$BH326,RANK($CA326,$CA$9:$CA$508)))</f>
        <v/>
      </c>
      <c r="CC326" s="100" t="str">
        <f aca="false">IF(ISBLANK($C326),"",IF($BH326&lt;&gt;Constants!$B$4,$BH326,COUNTIFS($BI$9:$BI$508,"&lt;"&amp;$BI326)+COUNTIFS($BI$9:$BI$508,$BI326,$CB$9:$CB$508,"&lt;"&amp;$CB326)+1))</f>
        <v/>
      </c>
      <c r="CD326" s="100" t="str">
        <f aca="false">IF(ISBLANK($C326),"",IF($BH326&lt;&gt;Constants!$B$4,$BH326,RANK($BZ326,$BZ$9:$BZ$508,1)))</f>
        <v/>
      </c>
      <c r="CE326" s="100" t="str">
        <f aca="false">IF($BH326&lt;&gt;Constants!$B$4,"",$AL326+$AM326+$AN326)</f>
        <v/>
      </c>
      <c r="CF326" s="100" t="str">
        <f aca="false">IF(ISBLANK($C326),"",IF($BH326&lt;&gt;Constants!$B$4,$BH326,RANK($CE326,$CE$9:$CE$508,1)))</f>
        <v/>
      </c>
      <c r="CG326" s="100" t="str">
        <f aca="false">IF(ISBLANK($C326),"",IF($BH326&lt;&gt;Constants!$B$4,$BH326,COUNTIFS($BI$9:$BI$508,"&lt;"&amp;$BI326)+COUNTIFS($BI$9:$BI$508,$BI326,$CB$9:$CB$508,"&lt;"&amp;$CB326)+COUNTIFS($BI$9:$BI$508,$BI326,$CB$9:$CB$508,$CB326,$CD$9:$CD$508,"&lt;"&amp;$CD326)+COUNTIFS($BI$9:$BI$508,$BI326,$CB$9:$CB$508,$CB326,$CD$9:$CD$508,$CD326,$CF$9:$CF$508,"&lt;"&amp;$CF326)+1))</f>
        <v/>
      </c>
      <c r="CH326" s="100" t="str">
        <f aca="false">IF(ISBLANK($C326),"",IF($BH326&lt;&gt;Constants!$B$4,$BH326,$CC326-$CG326))</f>
        <v/>
      </c>
      <c r="CI326" s="100" t="str">
        <f aca="false">IF(ISBLANK($C326),"",IF(NOT($AJ326),"",IF(ISBLANK($D$7),$CI$5,IF(NOT(ISNUMBER($D$7)),$CI$6,""))))</f>
        <v/>
      </c>
      <c r="CJ326" s="100" t="str">
        <f aca="false">IF(ISBLANK($C326),"",OR($AL326="",$AM326="",$AN326=""))</f>
        <v/>
      </c>
      <c r="CK326" s="100" t="str">
        <f aca="false">IF(ISBLANK($C326),"",AND($AJ326,$AX326=""))</f>
        <v/>
      </c>
      <c r="CL326" s="100" t="str">
        <f aca="false">IF(ISBLANK($C326),"",AND($AJ326,$AY326=""))</f>
        <v/>
      </c>
      <c r="CM326" s="100" t="str">
        <f aca="false">IF(ISBLANK($C326),"",AND($AJ326,$AZ326=""))</f>
        <v/>
      </c>
      <c r="CN326" s="100" t="str">
        <f aca="false">IF(ISBLANK($C326),"",AND($AJ326,$BC326=""))</f>
        <v/>
      </c>
      <c r="CO326" s="100" t="str">
        <f aca="false">IF(ISBLANK($C326),"",AND($AJ326,$BF326=""))</f>
        <v/>
      </c>
      <c r="CP326" s="101"/>
      <c r="CQ326" s="102"/>
      <c r="CR326" s="103" t="str">
        <f aca="false">IF(ISBLANK($C326),"",IF($BH326=Constants!$B$8,$CI326,""))</f>
        <v/>
      </c>
      <c r="CS326" s="102" t="str">
        <f aca="false">IF(ISBLANK($C326),"",IF($BH326&lt;&gt;Constants!$B$4,"",$BK326+$BL326))</f>
        <v/>
      </c>
      <c r="CT326" s="104" t="str">
        <f aca="false">IF(ISBLANK($C326),"",IF($BH326&lt;&gt;Constants!$B$4,"",$BM326+$BN326+$BO326))</f>
        <v/>
      </c>
      <c r="CU326" s="104" t="str">
        <f aca="false">IF(ISBLANK($C326),"",IF($BH326&lt;&gt;Constants!$B$4,"",$BP326))</f>
        <v/>
      </c>
      <c r="CV326" s="104" t="str">
        <f aca="false">IF(ISBLANK($C326),"",IF($BH326&lt;&gt;Constants!$B$4,"",$BQ326+$BR326))</f>
        <v/>
      </c>
      <c r="CW326" s="104" t="str">
        <f aca="false">IF(ISBLANK($C326),"",IF($BH326&lt;&gt;Constants!$B$4,"",$BS326))</f>
        <v/>
      </c>
      <c r="CX326" s="104" t="str">
        <f aca="false">IF(ISBLANK($C326),"",IF($BH326&lt;&gt;Constants!$B$4,"",-$BZ326))</f>
        <v/>
      </c>
      <c r="CY326" s="103" t="str">
        <f aca="false">IF(ISBLANK($C326),"",$CA326)</f>
        <v/>
      </c>
      <c r="CZ326" s="105" t="str">
        <f aca="false">IF(ISBLANK($C326),"",$BI326)</f>
        <v/>
      </c>
      <c r="DA326" s="104" t="str">
        <f aca="false">IF(ISBLANK($C326),"",$CH326)</f>
        <v/>
      </c>
      <c r="DB326" s="104" t="str">
        <f aca="false">IF(ISBLANK($C326),"",$CG326)</f>
        <v/>
      </c>
      <c r="DC326" s="106" t="str">
        <f aca="false">IF(ISBLANK($C326),"",IFERROR(_xlfn.SWITCH($DB326,Constants!$B$7,COUNTA($C$9:$C$508)+2,Constants!$B$6,COUNTA($C$9:$C$508)+1,Constants!$B$5,COUNTA($C$9:$C$508)),$DB326))</f>
        <v/>
      </c>
      <c r="DD326" s="7"/>
      <c r="DE326" s="107" t="n">
        <f aca="false">IF(OR(ISNUMBER($DB326),$DB326=Constants!$B$7,$DB326=Constants!$B$5,$DB326=Constants!$B$6),1,0)</f>
        <v>0</v>
      </c>
      <c r="DF326" s="107" t="n">
        <v>318</v>
      </c>
      <c r="DG326" s="107" t="str">
        <f aca="false">IF(ISBLANK($C326),"",IF(ISNUMBER($DC326),$DC326+ROW($B326)/1000,""))</f>
        <v/>
      </c>
      <c r="DH326" s="107" t="str">
        <f aca="false">IF(ISNUMBER($DG326),RANK($DG326,$DG$9:$DG$508,1),"")</f>
        <v/>
      </c>
      <c r="DI326" s="107" t="str">
        <f aca="false">IF(ISBLANK($C326),"",$B326)</f>
        <v/>
      </c>
      <c r="DJ326" s="107" t="str">
        <f aca="false">IF(ISBLANK($C326),"",$C326)</f>
        <v/>
      </c>
      <c r="DK326" s="107" t="str">
        <f aca="false">IF(ISBLANK($C326),"",$D326)</f>
        <v/>
      </c>
      <c r="DL326" s="108" t="str">
        <f aca="false">$CZ326</f>
        <v/>
      </c>
      <c r="DM326" s="109" t="str">
        <f aca="false">$CY326</f>
        <v/>
      </c>
      <c r="DN326" s="107" t="str">
        <f aca="false">IF(ISBLANK($C326),"",$DB326)</f>
        <v/>
      </c>
      <c r="DO326" s="110" t="str">
        <f aca="false">IF($DF326&gt;$DE$8,"",VLOOKUP($DF326,$DH$9:$DN$508,7,FALSE()))</f>
        <v/>
      </c>
      <c r="DP326" s="111" t="str">
        <f aca="false">IF($DF326&gt;$DE$8,"",VLOOKUP($DF326,$DH$9:$DN$508,2,FALSE()))</f>
        <v/>
      </c>
      <c r="DQ326" s="111" t="str">
        <f aca="false">IF($DF326&gt;$DE$8,"",VLOOKUP($DF326,$DH$9:$DN$508,3,FALSE()))</f>
        <v/>
      </c>
      <c r="DR326" s="111" t="str">
        <f aca="false">IF($DF326&gt;$DE$8,"",VLOOKUP($DF326,$DH$9:$DN$508,4,FALSE()))</f>
        <v/>
      </c>
      <c r="DS326" s="111" t="str">
        <f aca="false">IF($DF326&gt;$DE$8,"",VLOOKUP($DF326,$DH$9:$DN$508,5,FALSE()))</f>
        <v/>
      </c>
      <c r="DT326" s="112" t="str">
        <f aca="false">IF($DF326&gt;$DE$8,"",VLOOKUP($DF326,$DH$9:$DN$508,6,FALSE()))</f>
        <v/>
      </c>
      <c r="DU326" s="62"/>
    </row>
    <row r="327" customFormat="false" ht="15.75" hidden="false" customHeight="false" outlineLevel="0" collapsed="false">
      <c r="A327" s="7"/>
      <c r="B327" s="64"/>
      <c r="C327" s="65"/>
      <c r="D327" s="123"/>
      <c r="E327" s="88"/>
      <c r="F327" s="134"/>
      <c r="G327" s="88"/>
      <c r="H327" s="134"/>
      <c r="I327" s="119"/>
      <c r="J327" s="119"/>
      <c r="K327" s="119"/>
      <c r="L327" s="88"/>
      <c r="M327" s="88"/>
      <c r="N327" s="88"/>
      <c r="O327" s="134"/>
      <c r="P327" s="88"/>
      <c r="Q327" s="88"/>
      <c r="R327" s="88"/>
      <c r="S327" s="88"/>
      <c r="T327" s="134"/>
      <c r="U327" s="88"/>
      <c r="V327" s="70"/>
      <c r="W327" s="88"/>
      <c r="X327" s="88"/>
      <c r="Y327" s="70"/>
      <c r="Z327" s="70"/>
      <c r="AA327" s="88"/>
      <c r="AB327" s="88"/>
      <c r="AC327" s="71"/>
      <c r="AD327" s="88"/>
      <c r="AE327" s="73"/>
      <c r="AF327" s="74"/>
      <c r="AG327" s="74"/>
      <c r="AH327" s="74" t="str">
        <f aca="false">IF(ISBLANK($C327),"",IF($E327=Constants!$B$2,TRUE(),IF($E327=Constants!$B$3,FALSE(),TRUE())))</f>
        <v/>
      </c>
      <c r="AI327" s="74" t="str">
        <f aca="false">IF(ISBLANK($C327),"",IF($F327=Constants!$B$2,TRUE(),IF($F327=Constants!$B$3,FALSE(),FALSE())))</f>
        <v/>
      </c>
      <c r="AJ327" s="74" t="str">
        <f aca="false">IF(ISBLANK($C327),"",IF($G327=Constants!$B$2,TRUE(),IF($G327=Constants!$B$3,FALSE(),TRUE())))</f>
        <v/>
      </c>
      <c r="AK327" s="74" t="str">
        <f aca="false">IF(ISBLANK($C327),"",IF($H327=Constants!$B$2,TRUE(),IF($H327=Constants!$B$3,FALSE(),TRUE())))</f>
        <v/>
      </c>
      <c r="AL327" s="74" t="str">
        <f aca="false">IF(ISBLANK($C327),"",IF(ISNUMBER($I327),IF($I327&gt;=0,$I327,""),""))</f>
        <v/>
      </c>
      <c r="AM327" s="74" t="str">
        <f aca="false">IF(ISBLANK($C327),"",IF(ISNUMBER($J327),IF($J327&gt;=0,$J327,""),""))</f>
        <v/>
      </c>
      <c r="AN327" s="74" t="str">
        <f aca="false">IF(ISBLANK($C327),"",IF(ISNUMBER($K327),IF($K327&gt;=0,$K327,""),""))</f>
        <v/>
      </c>
      <c r="AO327" s="74" t="str">
        <f aca="false">IF(ISBLANK($C327),"",IF($L327=Constants!$B$2,TRUE(),IF($L327=Constants!$B$3,FALSE(),TRUE())))</f>
        <v/>
      </c>
      <c r="AP327" s="74" t="str">
        <f aca="false">IF(ISBLANK($C327),"",IF($M327=Constants!$B$2,TRUE(),IF($M327=Constants!$B$3,FALSE(),TRUE())))</f>
        <v/>
      </c>
      <c r="AQ327" s="74" t="str">
        <f aca="false">IF(ISBLANK($C327),"",IF($N327=Constants!$B$2,TRUE(),IF($N327=Constants!$B$3,FALSE(),FALSE())))</f>
        <v/>
      </c>
      <c r="AR327" s="74" t="str">
        <f aca="false">IF(ISBLANK($C327),"",IF($O327=Constants!$B$2,TRUE(),IF($O327=Constants!$B$3,FALSE(),TRUE())))</f>
        <v/>
      </c>
      <c r="AS327" s="74" t="str">
        <f aca="false">IF(ISBLANK($C327),"",IF($P327=Constants!$B$2,TRUE(),IF($P327=Constants!$B$3,FALSE(),FALSE())))</f>
        <v/>
      </c>
      <c r="AT327" s="74" t="str">
        <f aca="false">IF(ISBLANK($C327),"",IF($Q327=Constants!$B$2,TRUE(),IF($Q327=Constants!$B$3,FALSE(),FALSE())))</f>
        <v/>
      </c>
      <c r="AU327" s="74" t="str">
        <f aca="false">IF(ISBLANK($C327),"",IF($R327=Constants!$B$2,TRUE(),IF($R327=Constants!$B$3,FALSE(),FALSE())))</f>
        <v/>
      </c>
      <c r="AV327" s="74" t="str">
        <f aca="false">IF(ISBLANK($C327),"",IF($S327=Constants!$B$2,TRUE(),IF($S327=Constants!$B$3,FALSE(),FALSE())))</f>
        <v/>
      </c>
      <c r="AW327" s="74" t="str">
        <f aca="false">IF(ISBLANK($C327),"",IF($T327=Constants!$B$2,TRUE(),IF($T327=Constants!$B$3,FALSE(),FALSE())))</f>
        <v/>
      </c>
      <c r="AX327" s="74" t="str">
        <f aca="false">IF(ISBLANK($C327),"",IF(OR($U327&amp;""="1",$U327&amp;""="2",$U327&amp;""="3",$U327&amp;""="4"),VALUE($U327&amp;""),IF($U327=Constants!$B$12,Constants!$B$12,"")))</f>
        <v/>
      </c>
      <c r="AY327" s="74" t="str">
        <f aca="false">IF(ISBLANK($C327),"",IF(ISBLANK($V327),0,IF(ISNUMBER($V327),IF(AND($V327&gt;=0,$V327&lt;=Constants!$B$21,$V327=INT($V327)),$V327,""),"")))</f>
        <v/>
      </c>
      <c r="AZ327" s="74" t="str">
        <f aca="false">IF(ISBLANK($C327),"",IF(ISBLANK($W327),0,IF(ISNUMBER($W327),IF($W327&gt;=0,$W327,""),"")))</f>
        <v/>
      </c>
      <c r="BA327" s="74" t="str">
        <f aca="false">IF(ISBLANK($C327),"",IF($X327=Constants!$B$2,TRUE(),IF($X327=Constants!$B$3,FALSE(),TRUE())))</f>
        <v/>
      </c>
      <c r="BB327" s="74" t="str">
        <f aca="false">IF(ISBLANK($C327),"",IF($Y327=Constants!$B$2,TRUE(),IF($Y327=Constants!$B$3,FALSE(),FALSE())))</f>
        <v/>
      </c>
      <c r="BC327" s="74" t="str">
        <f aca="false">IF(ISBLANK($C327),"",IF(ISBLANK($Z327),0,IF(ISNUMBER($Z327),IF(AND($Z327&gt;=0,$Z327&lt;=Constants!$B$35,$Z327=INT($Z327)),$Z327,""),"")))</f>
        <v/>
      </c>
      <c r="BD327" s="74" t="str">
        <f aca="false">IF(ISBLANK($C327),"",IF($AA327=Constants!$B$2,TRUE(),IF($AA327=Constants!$B$3,FALSE(),TRUE())))</f>
        <v/>
      </c>
      <c r="BE327" s="74" t="str">
        <f aca="false">IF(ISBLANK($C327),"",IF($AB327=Constants!$B$2,TRUE(),IF($AB327=Constants!$B$3,FALSE(),TRUE())))</f>
        <v/>
      </c>
      <c r="BF327" s="74" t="str">
        <f aca="false">IF(ISBLANK($C327),"",IF(ISNUMBER($AC327),IF($AC327&gt;=0,$AC327,""),""))</f>
        <v/>
      </c>
      <c r="BG327" s="74" t="str">
        <f aca="false">IF(ISBLANK($C327),"",IF($AD327=Constants!$B$2,TRUE(),IF($AD327=Constants!$B$3,FALSE(),FALSE())))</f>
        <v/>
      </c>
      <c r="BH327" s="73" t="str">
        <f aca="false">IF(ISBLANK($C327),"",IF($BG327,Constants!$B$7,IF(COUNTA($E327:$AC327)=0,Constants!$B$6,IF(OR(COUNTA($G327:$AC327)=0,NOT($AK327),$AQ327),Constants!$B$5,IF(OR($CI327&lt;&gt;"",$CJ327,$CK327,$CL327,$CM327,$CN327,$CO327),Constants!$B$8,Constants!$B$4)))))</f>
        <v/>
      </c>
      <c r="BI327" s="74" t="str">
        <f aca="false">IF(ISBLANK($C327),"",IF($BH327&lt;&gt;Constants!$B$4,$BH327,IF(OR(NOT($AH327),NOT($AJ327),NOT($AR327)),Constants!$B$11,IF(OR(NOT($AP327),MAX($AL327,$AM327,$AN327)&gt;Constants!$B$30),Constants!$B$10,Constants!$B$9))))</f>
        <v/>
      </c>
      <c r="BJ327" s="74" t="str">
        <f aca="false">IF($BH327&lt;&gt;Constants!$B$4,"",IF(NOT($AJ327),0,MIN(Constants!$B$35,$BC327)))</f>
        <v/>
      </c>
      <c r="BK327" s="74" t="str">
        <f aca="false">IF($BH327&lt;&gt;Constants!$B$4,"",IF(NOT($AJ327),0,IF($AT327,Constants!$B$18,IF($AS327,Constants!$B$17,0))))</f>
        <v/>
      </c>
      <c r="BL327" s="74" t="str">
        <f aca="false">IF($BH327&lt;&gt;Constants!$B$4,"",IF(NOT($AJ327),0,Constants!$B$19*($AI327+$AU327+$AV327+$AW327)))</f>
        <v/>
      </c>
      <c r="BM327" s="74" t="str">
        <f aca="false">IF($BH327&lt;&gt;Constants!$B$4,"",IF(OR(NOT($AJ327),NOT(ISNUMBER($AX327))),0,CHOOSE($AX327,Constants!$B$13,Constants!$B$14,Constants!$B$15,Constants!$B$16)))</f>
        <v/>
      </c>
      <c r="BN327" s="74" t="str">
        <f aca="false">IF($BH327&lt;&gt;Constants!$B$4,"",IF(NOT($AJ327),0,Constants!$B$20*$AY327))</f>
        <v/>
      </c>
      <c r="BO327" s="74" t="str">
        <f aca="false">IF($BH327&lt;&gt;Constants!$B$4,"",IF(AND($AJ327,$BA327,$BB327),Constants!$B$22,0))</f>
        <v/>
      </c>
      <c r="BP327" s="74" t="str">
        <f aca="false">IF($BH327&lt;&gt;Constants!$B$4,"",IF(OR(NOT($AJ327),NOT($BA327)),0,IF($BF327&gt;=2*$AF$9,0,Constants!$B$23*INT(ROUND(MIN($BF327,$AF$9),6)))))</f>
        <v/>
      </c>
      <c r="BQ327" s="74" t="str">
        <f aca="false">IF($BH327&lt;&gt;Constants!$B$4,"",IF(NOT($AJ327),0,Constants!$B$24*INT(ROUND(MIN($AZ327,$AF$9),6))))</f>
        <v/>
      </c>
      <c r="BR327" s="74" t="str">
        <f aca="false">IF($BH327&lt;&gt;Constants!$B$4,"",IF(AND($AJ327,$BJ327=0),Constants!$B$25,0))</f>
        <v/>
      </c>
      <c r="BS327" s="74" t="str">
        <f aca="false">IF($BH327&lt;&gt;Constants!$B$4,"",MIN(Constants!$B$29,MAX(0,Constants!$B$27*Constants!$B$28*INT(ROUND((Constants!$B$26-$AL327)/Constants!$B$28,6))))+MIN(Constants!$B$29,MAX(0,Constants!$B$27*Constants!$B$28*INT(ROUND((Constants!$B$26-$AM327)/Constants!$B$28,6))))+MIN(Constants!$B$29,MAX(0,Constants!$B$27*Constants!$B$28*INT(ROUND((Constants!$B$26-$AN327)/Constants!$B$28,6)))))</f>
        <v/>
      </c>
      <c r="BT327" s="74" t="str">
        <f aca="false">IF($BH327&lt;&gt;Constants!$B$4,"",IF(NOT($AJ327),0,Constants!$B$31*INT(ROUND(MAX(0,MIN($BF327,2*$AF$9)-$AF$9),6))))</f>
        <v/>
      </c>
      <c r="BU327" s="74" t="str">
        <f aca="false">IF($BH327&lt;&gt;Constants!$B$4,"",Constants!$B$32*(($AL327&gt;Constants!$B$26)+($AM327&gt;Constants!$B$26)+($AN327&gt;Constants!$B$26)))</f>
        <v/>
      </c>
      <c r="BV327" s="74" t="str">
        <f aca="false">IF($BH327&lt;&gt;Constants!$B$4,"",IF(OR(NOT($AJ327),$AO327),0,Constants!$B$33))</f>
        <v/>
      </c>
      <c r="BW327" s="74" t="str">
        <f aca="false">IF($BH327&lt;&gt;Constants!$B$4,"",Constants!$B$34*$BJ327)</f>
        <v/>
      </c>
      <c r="BX327" s="74" t="str">
        <f aca="false">IF($BH327&lt;&gt;Constants!$B$4,"",IF(OR(NOT($AJ327),$BE327),0,Constants!$B$36))</f>
        <v/>
      </c>
      <c r="BY327" s="74" t="str">
        <f aca="false">IF($BH327&lt;&gt;Constants!$B$4,"",IF(OR(NOT($AJ327),$BD327),0,Constants!$B$37))</f>
        <v/>
      </c>
      <c r="BZ327" s="74" t="str">
        <f aca="false">IF($BH327&lt;&gt;Constants!$B$4,"",SUM($BT327:$BY327))</f>
        <v/>
      </c>
      <c r="CA327" s="74" t="str">
        <f aca="false">IF(ISBLANK($C327),"",IF($BH327&lt;&gt;Constants!$B$4,$BH327,SUM($BK327:$BS327)-$BZ327))</f>
        <v/>
      </c>
      <c r="CB327" s="74" t="str">
        <f aca="false">IF(ISBLANK($C327),"",IF($BH327&lt;&gt;Constants!$B$4,$BH327,RANK($CA327,$CA$9:$CA$508)))</f>
        <v/>
      </c>
      <c r="CC327" s="74" t="str">
        <f aca="false">IF(ISBLANK($C327),"",IF($BH327&lt;&gt;Constants!$B$4,$BH327,COUNTIFS($BI$9:$BI$508,"&lt;"&amp;$BI327)+COUNTIFS($BI$9:$BI$508,$BI327,$CB$9:$CB$508,"&lt;"&amp;$CB327)+1))</f>
        <v/>
      </c>
      <c r="CD327" s="74" t="str">
        <f aca="false">IF(ISBLANK($C327),"",IF($BH327&lt;&gt;Constants!$B$4,$BH327,RANK($BZ327,$BZ$9:$BZ$508,1)))</f>
        <v/>
      </c>
      <c r="CE327" s="74" t="str">
        <f aca="false">IF($BH327&lt;&gt;Constants!$B$4,"",$AL327+$AM327+$AN327)</f>
        <v/>
      </c>
      <c r="CF327" s="74" t="str">
        <f aca="false">IF(ISBLANK($C327),"",IF($BH327&lt;&gt;Constants!$B$4,$BH327,RANK($CE327,$CE$9:$CE$508,1)))</f>
        <v/>
      </c>
      <c r="CG327" s="74" t="str">
        <f aca="false">IF(ISBLANK($C327),"",IF($BH327&lt;&gt;Constants!$B$4,$BH327,COUNTIFS($BI$9:$BI$508,"&lt;"&amp;$BI327)+COUNTIFS($BI$9:$BI$508,$BI327,$CB$9:$CB$508,"&lt;"&amp;$CB327)+COUNTIFS($BI$9:$BI$508,$BI327,$CB$9:$CB$508,$CB327,$CD$9:$CD$508,"&lt;"&amp;$CD327)+COUNTIFS($BI$9:$BI$508,$BI327,$CB$9:$CB$508,$CB327,$CD$9:$CD$508,$CD327,$CF$9:$CF$508,"&lt;"&amp;$CF327)+1))</f>
        <v/>
      </c>
      <c r="CH327" s="74" t="str">
        <f aca="false">IF(ISBLANK($C327),"",IF($BH327&lt;&gt;Constants!$B$4,$BH327,$CC327-$CG327))</f>
        <v/>
      </c>
      <c r="CI327" s="74" t="str">
        <f aca="false">IF(ISBLANK($C327),"",IF(NOT($AJ327),"",IF(ISBLANK($D$7),$CI$5,IF(NOT(ISNUMBER($D$7)),$CI$6,""))))</f>
        <v/>
      </c>
      <c r="CJ327" s="74" t="str">
        <f aca="false">IF(ISBLANK($C327),"",OR($AL327="",$AM327="",$AN327=""))</f>
        <v/>
      </c>
      <c r="CK327" s="74" t="str">
        <f aca="false">IF(ISBLANK($C327),"",AND($AJ327,$AX327=""))</f>
        <v/>
      </c>
      <c r="CL327" s="74" t="str">
        <f aca="false">IF(ISBLANK($C327),"",AND($AJ327,$AY327=""))</f>
        <v/>
      </c>
      <c r="CM327" s="74" t="str">
        <f aca="false">IF(ISBLANK($C327),"",AND($AJ327,$AZ327=""))</f>
        <v/>
      </c>
      <c r="CN327" s="74" t="str">
        <f aca="false">IF(ISBLANK($C327),"",AND($AJ327,$BC327=""))</f>
        <v/>
      </c>
      <c r="CO327" s="74" t="str">
        <f aca="false">IF(ISBLANK($C327),"",AND($AJ327,$BF327=""))</f>
        <v/>
      </c>
      <c r="CP327" s="75"/>
      <c r="CQ327" s="76"/>
      <c r="CR327" s="79" t="str">
        <f aca="false">IF(ISBLANK($C327),"",IF($BH327=Constants!$B$8,$CI327,""))</f>
        <v/>
      </c>
      <c r="CS327" s="76" t="str">
        <f aca="false">IF(ISBLANK($C327),"",IF($BH327&lt;&gt;Constants!$B$4,"",$BK327+$BL327))</f>
        <v/>
      </c>
      <c r="CT327" s="78" t="str">
        <f aca="false">IF(ISBLANK($C327),"",IF($BH327&lt;&gt;Constants!$B$4,"",$BM327+$BN327+$BO327))</f>
        <v/>
      </c>
      <c r="CU327" s="78" t="str">
        <f aca="false">IF(ISBLANK($C327),"",IF($BH327&lt;&gt;Constants!$B$4,"",$BP327))</f>
        <v/>
      </c>
      <c r="CV327" s="78" t="str">
        <f aca="false">IF(ISBLANK($C327),"",IF($BH327&lt;&gt;Constants!$B$4,"",$BQ327+$BR327))</f>
        <v/>
      </c>
      <c r="CW327" s="78" t="str">
        <f aca="false">IF(ISBLANK($C327),"",IF($BH327&lt;&gt;Constants!$B$4,"",$BS327))</f>
        <v/>
      </c>
      <c r="CX327" s="78" t="str">
        <f aca="false">IF(ISBLANK($C327),"",IF($BH327&lt;&gt;Constants!$B$4,"",-$BZ327))</f>
        <v/>
      </c>
      <c r="CY327" s="79" t="str">
        <f aca="false">IF(ISBLANK($C327),"",$CA327)</f>
        <v/>
      </c>
      <c r="CZ327" s="80" t="str">
        <f aca="false">IF(ISBLANK($C327),"",$BI327)</f>
        <v/>
      </c>
      <c r="DA327" s="78" t="str">
        <f aca="false">IF(ISBLANK($C327),"",$CH327)</f>
        <v/>
      </c>
      <c r="DB327" s="78" t="str">
        <f aca="false">IF(ISBLANK($C327),"",$CG327)</f>
        <v/>
      </c>
      <c r="DC327" s="81" t="str">
        <f aca="false">IF(ISBLANK($C327),"",IFERROR(_xlfn.SWITCH($DB327,Constants!$B$7,COUNTA($C$9:$C$508)+2,Constants!$B$6,COUNTA($C$9:$C$508)+1,Constants!$B$5,COUNTA($C$9:$C$508)),$DB327))</f>
        <v/>
      </c>
      <c r="DD327" s="7"/>
      <c r="DE327" s="82" t="n">
        <f aca="false">IF(OR(ISNUMBER($DB327),$DB327=Constants!$B$7,$DB327=Constants!$B$5,$DB327=Constants!$B$6),1,0)</f>
        <v>0</v>
      </c>
      <c r="DF327" s="82" t="n">
        <v>319</v>
      </c>
      <c r="DG327" s="82" t="str">
        <f aca="false">IF(ISBLANK($C327),"",IF(ISNUMBER($DC327),$DC327+ROW($B327)/1000,""))</f>
        <v/>
      </c>
      <c r="DH327" s="82" t="str">
        <f aca="false">IF(ISNUMBER($DG327),RANK($DG327,$DG$9:$DG$508,1),"")</f>
        <v/>
      </c>
      <c r="DI327" s="82" t="str">
        <f aca="false">IF(ISBLANK($C327),"",$B327)</f>
        <v/>
      </c>
      <c r="DJ327" s="82" t="str">
        <f aca="false">IF(ISBLANK($C327),"",$C327)</f>
        <v/>
      </c>
      <c r="DK327" s="82" t="str">
        <f aca="false">IF(ISBLANK($C327),"",$D327)</f>
        <v/>
      </c>
      <c r="DL327" s="83" t="str">
        <f aca="false">$CZ327</f>
        <v/>
      </c>
      <c r="DM327" s="84" t="str">
        <f aca="false">$CY327</f>
        <v/>
      </c>
      <c r="DN327" s="82" t="str">
        <f aca="false">IF(ISBLANK($C327),"",$DB327)</f>
        <v/>
      </c>
      <c r="DO327" s="85" t="str">
        <f aca="false">IF($DF327&gt;$DE$8,"",VLOOKUP($DF327,$DH$9:$DN$508,7,FALSE()))</f>
        <v/>
      </c>
      <c r="DP327" s="86" t="str">
        <f aca="false">IF($DF327&gt;$DE$8,"",VLOOKUP($DF327,$DH$9:$DN$508,2,FALSE()))</f>
        <v/>
      </c>
      <c r="DQ327" s="86" t="str">
        <f aca="false">IF($DF327&gt;$DE$8,"",VLOOKUP($DF327,$DH$9:$DN$508,3,FALSE()))</f>
        <v/>
      </c>
      <c r="DR327" s="86" t="str">
        <f aca="false">IF($DF327&gt;$DE$8,"",VLOOKUP($DF327,$DH$9:$DN$508,4,FALSE()))</f>
        <v/>
      </c>
      <c r="DS327" s="86" t="str">
        <f aca="false">IF($DF327&gt;$DE$8,"",VLOOKUP($DF327,$DH$9:$DN$508,5,FALSE()))</f>
        <v/>
      </c>
      <c r="DT327" s="87" t="str">
        <f aca="false">IF($DF327&gt;$DE$8,"",VLOOKUP($DF327,$DH$9:$DN$508,6,FALSE()))</f>
        <v/>
      </c>
      <c r="DU327" s="62"/>
    </row>
    <row r="328" customFormat="false" ht="15.75" hidden="false" customHeight="false" outlineLevel="0" collapsed="false">
      <c r="A328" s="7"/>
      <c r="B328" s="64"/>
      <c r="C328" s="65"/>
      <c r="D328" s="123"/>
      <c r="E328" s="88"/>
      <c r="F328" s="134"/>
      <c r="G328" s="88"/>
      <c r="H328" s="134"/>
      <c r="I328" s="119"/>
      <c r="J328" s="119"/>
      <c r="K328" s="119"/>
      <c r="L328" s="88"/>
      <c r="M328" s="88"/>
      <c r="N328" s="88"/>
      <c r="O328" s="134"/>
      <c r="P328" s="88"/>
      <c r="Q328" s="88"/>
      <c r="R328" s="88"/>
      <c r="S328" s="88"/>
      <c r="T328" s="134"/>
      <c r="U328" s="88"/>
      <c r="V328" s="70"/>
      <c r="W328" s="88"/>
      <c r="X328" s="88"/>
      <c r="Y328" s="70"/>
      <c r="Z328" s="70"/>
      <c r="AA328" s="88"/>
      <c r="AB328" s="88"/>
      <c r="AC328" s="71"/>
      <c r="AD328" s="88"/>
      <c r="AE328" s="73"/>
      <c r="AF328" s="74"/>
      <c r="AG328" s="74"/>
      <c r="AH328" s="74" t="str">
        <f aca="false">IF(ISBLANK($C328),"",IF($E328=Constants!$B$2,TRUE(),IF($E328=Constants!$B$3,FALSE(),TRUE())))</f>
        <v/>
      </c>
      <c r="AI328" s="74" t="str">
        <f aca="false">IF(ISBLANK($C328),"",IF($F328=Constants!$B$2,TRUE(),IF($F328=Constants!$B$3,FALSE(),FALSE())))</f>
        <v/>
      </c>
      <c r="AJ328" s="74" t="str">
        <f aca="false">IF(ISBLANK($C328),"",IF($G328=Constants!$B$2,TRUE(),IF($G328=Constants!$B$3,FALSE(),TRUE())))</f>
        <v/>
      </c>
      <c r="AK328" s="74" t="str">
        <f aca="false">IF(ISBLANK($C328),"",IF($H328=Constants!$B$2,TRUE(),IF($H328=Constants!$B$3,FALSE(),TRUE())))</f>
        <v/>
      </c>
      <c r="AL328" s="74" t="str">
        <f aca="false">IF(ISBLANK($C328),"",IF(ISNUMBER($I328),IF($I328&gt;=0,$I328,""),""))</f>
        <v/>
      </c>
      <c r="AM328" s="74" t="str">
        <f aca="false">IF(ISBLANK($C328),"",IF(ISNUMBER($J328),IF($J328&gt;=0,$J328,""),""))</f>
        <v/>
      </c>
      <c r="AN328" s="74" t="str">
        <f aca="false">IF(ISBLANK($C328),"",IF(ISNUMBER($K328),IF($K328&gt;=0,$K328,""),""))</f>
        <v/>
      </c>
      <c r="AO328" s="74" t="str">
        <f aca="false">IF(ISBLANK($C328),"",IF($L328=Constants!$B$2,TRUE(),IF($L328=Constants!$B$3,FALSE(),TRUE())))</f>
        <v/>
      </c>
      <c r="AP328" s="74" t="str">
        <f aca="false">IF(ISBLANK($C328),"",IF($M328=Constants!$B$2,TRUE(),IF($M328=Constants!$B$3,FALSE(),TRUE())))</f>
        <v/>
      </c>
      <c r="AQ328" s="74" t="str">
        <f aca="false">IF(ISBLANK($C328),"",IF($N328=Constants!$B$2,TRUE(),IF($N328=Constants!$B$3,FALSE(),FALSE())))</f>
        <v/>
      </c>
      <c r="AR328" s="74" t="str">
        <f aca="false">IF(ISBLANK($C328),"",IF($O328=Constants!$B$2,TRUE(),IF($O328=Constants!$B$3,FALSE(),TRUE())))</f>
        <v/>
      </c>
      <c r="AS328" s="74" t="str">
        <f aca="false">IF(ISBLANK($C328),"",IF($P328=Constants!$B$2,TRUE(),IF($P328=Constants!$B$3,FALSE(),FALSE())))</f>
        <v/>
      </c>
      <c r="AT328" s="74" t="str">
        <f aca="false">IF(ISBLANK($C328),"",IF($Q328=Constants!$B$2,TRUE(),IF($Q328=Constants!$B$3,FALSE(),FALSE())))</f>
        <v/>
      </c>
      <c r="AU328" s="74" t="str">
        <f aca="false">IF(ISBLANK($C328),"",IF($R328=Constants!$B$2,TRUE(),IF($R328=Constants!$B$3,FALSE(),FALSE())))</f>
        <v/>
      </c>
      <c r="AV328" s="74" t="str">
        <f aca="false">IF(ISBLANK($C328),"",IF($S328=Constants!$B$2,TRUE(),IF($S328=Constants!$B$3,FALSE(),FALSE())))</f>
        <v/>
      </c>
      <c r="AW328" s="74" t="str">
        <f aca="false">IF(ISBLANK($C328),"",IF($T328=Constants!$B$2,TRUE(),IF($T328=Constants!$B$3,FALSE(),FALSE())))</f>
        <v/>
      </c>
      <c r="AX328" s="74" t="str">
        <f aca="false">IF(ISBLANK($C328),"",IF(OR($U328&amp;""="1",$U328&amp;""="2",$U328&amp;""="3",$U328&amp;""="4"),VALUE($U328&amp;""),IF($U328=Constants!$B$12,Constants!$B$12,"")))</f>
        <v/>
      </c>
      <c r="AY328" s="74" t="str">
        <f aca="false">IF(ISBLANK($C328),"",IF(ISBLANK($V328),0,IF(ISNUMBER($V328),IF(AND($V328&gt;=0,$V328&lt;=Constants!$B$21,$V328=INT($V328)),$V328,""),"")))</f>
        <v/>
      </c>
      <c r="AZ328" s="74" t="str">
        <f aca="false">IF(ISBLANK($C328),"",IF(ISBLANK($W328),0,IF(ISNUMBER($W328),IF($W328&gt;=0,$W328,""),"")))</f>
        <v/>
      </c>
      <c r="BA328" s="74" t="str">
        <f aca="false">IF(ISBLANK($C328),"",IF($X328=Constants!$B$2,TRUE(),IF($X328=Constants!$B$3,FALSE(),TRUE())))</f>
        <v/>
      </c>
      <c r="BB328" s="74" t="str">
        <f aca="false">IF(ISBLANK($C328),"",IF($Y328=Constants!$B$2,TRUE(),IF($Y328=Constants!$B$3,FALSE(),FALSE())))</f>
        <v/>
      </c>
      <c r="BC328" s="74" t="str">
        <f aca="false">IF(ISBLANK($C328),"",IF(ISBLANK($Z328),0,IF(ISNUMBER($Z328),IF(AND($Z328&gt;=0,$Z328&lt;=Constants!$B$35,$Z328=INT($Z328)),$Z328,""),"")))</f>
        <v/>
      </c>
      <c r="BD328" s="74" t="str">
        <f aca="false">IF(ISBLANK($C328),"",IF($AA328=Constants!$B$2,TRUE(),IF($AA328=Constants!$B$3,FALSE(),TRUE())))</f>
        <v/>
      </c>
      <c r="BE328" s="74" t="str">
        <f aca="false">IF(ISBLANK($C328),"",IF($AB328=Constants!$B$2,TRUE(),IF($AB328=Constants!$B$3,FALSE(),TRUE())))</f>
        <v/>
      </c>
      <c r="BF328" s="74" t="str">
        <f aca="false">IF(ISBLANK($C328),"",IF(ISNUMBER($AC328),IF($AC328&gt;=0,$AC328,""),""))</f>
        <v/>
      </c>
      <c r="BG328" s="74" t="str">
        <f aca="false">IF(ISBLANK($C328),"",IF($AD328=Constants!$B$2,TRUE(),IF($AD328=Constants!$B$3,FALSE(),FALSE())))</f>
        <v/>
      </c>
      <c r="BH328" s="73" t="str">
        <f aca="false">IF(ISBLANK($C328),"",IF($BG328,Constants!$B$7,IF(COUNTA($E328:$AC328)=0,Constants!$B$6,IF(OR(COUNTA($G328:$AC328)=0,NOT($AK328),$AQ328),Constants!$B$5,IF(OR($CI328&lt;&gt;"",$CJ328,$CK328,$CL328,$CM328,$CN328,$CO328),Constants!$B$8,Constants!$B$4)))))</f>
        <v/>
      </c>
      <c r="BI328" s="74" t="str">
        <f aca="false">IF(ISBLANK($C328),"",IF($BH328&lt;&gt;Constants!$B$4,$BH328,IF(OR(NOT($AH328),NOT($AJ328),NOT($AR328)),Constants!$B$11,IF(OR(NOT($AP328),MAX($AL328,$AM328,$AN328)&gt;Constants!$B$30),Constants!$B$10,Constants!$B$9))))</f>
        <v/>
      </c>
      <c r="BJ328" s="74" t="str">
        <f aca="false">IF($BH328&lt;&gt;Constants!$B$4,"",IF(NOT($AJ328),0,MIN(Constants!$B$35,$BC328)))</f>
        <v/>
      </c>
      <c r="BK328" s="74" t="str">
        <f aca="false">IF($BH328&lt;&gt;Constants!$B$4,"",IF(NOT($AJ328),0,IF($AT328,Constants!$B$18,IF($AS328,Constants!$B$17,0))))</f>
        <v/>
      </c>
      <c r="BL328" s="74" t="str">
        <f aca="false">IF($BH328&lt;&gt;Constants!$B$4,"",IF(NOT($AJ328),0,Constants!$B$19*($AI328+$AU328+$AV328+$AW328)))</f>
        <v/>
      </c>
      <c r="BM328" s="74" t="str">
        <f aca="false">IF($BH328&lt;&gt;Constants!$B$4,"",IF(OR(NOT($AJ328),NOT(ISNUMBER($AX328))),0,CHOOSE($AX328,Constants!$B$13,Constants!$B$14,Constants!$B$15,Constants!$B$16)))</f>
        <v/>
      </c>
      <c r="BN328" s="74" t="str">
        <f aca="false">IF($BH328&lt;&gt;Constants!$B$4,"",IF(NOT($AJ328),0,Constants!$B$20*$AY328))</f>
        <v/>
      </c>
      <c r="BO328" s="74" t="str">
        <f aca="false">IF($BH328&lt;&gt;Constants!$B$4,"",IF(AND($AJ328,$BA328,$BB328),Constants!$B$22,0))</f>
        <v/>
      </c>
      <c r="BP328" s="74" t="str">
        <f aca="false">IF($BH328&lt;&gt;Constants!$B$4,"",IF(OR(NOT($AJ328),NOT($BA328)),0,IF($BF328&gt;=2*$AF$9,0,Constants!$B$23*INT(ROUND(MIN($BF328,$AF$9),6)))))</f>
        <v/>
      </c>
      <c r="BQ328" s="74" t="str">
        <f aca="false">IF($BH328&lt;&gt;Constants!$B$4,"",IF(NOT($AJ328),0,Constants!$B$24*INT(ROUND(MIN($AZ328,$AF$9),6))))</f>
        <v/>
      </c>
      <c r="BR328" s="74" t="str">
        <f aca="false">IF($BH328&lt;&gt;Constants!$B$4,"",IF(AND($AJ328,$BJ328=0),Constants!$B$25,0))</f>
        <v/>
      </c>
      <c r="BS328" s="74" t="str">
        <f aca="false">IF($BH328&lt;&gt;Constants!$B$4,"",MIN(Constants!$B$29,MAX(0,Constants!$B$27*Constants!$B$28*INT(ROUND((Constants!$B$26-$AL328)/Constants!$B$28,6))))+MIN(Constants!$B$29,MAX(0,Constants!$B$27*Constants!$B$28*INT(ROUND((Constants!$B$26-$AM328)/Constants!$B$28,6))))+MIN(Constants!$B$29,MAX(0,Constants!$B$27*Constants!$B$28*INT(ROUND((Constants!$B$26-$AN328)/Constants!$B$28,6)))))</f>
        <v/>
      </c>
      <c r="BT328" s="74" t="str">
        <f aca="false">IF($BH328&lt;&gt;Constants!$B$4,"",IF(NOT($AJ328),0,Constants!$B$31*INT(ROUND(MAX(0,MIN($BF328,2*$AF$9)-$AF$9),6))))</f>
        <v/>
      </c>
      <c r="BU328" s="74" t="str">
        <f aca="false">IF($BH328&lt;&gt;Constants!$B$4,"",Constants!$B$32*(($AL328&gt;Constants!$B$26)+($AM328&gt;Constants!$B$26)+($AN328&gt;Constants!$B$26)))</f>
        <v/>
      </c>
      <c r="BV328" s="74" t="str">
        <f aca="false">IF($BH328&lt;&gt;Constants!$B$4,"",IF(OR(NOT($AJ328),$AO328),0,Constants!$B$33))</f>
        <v/>
      </c>
      <c r="BW328" s="74" t="str">
        <f aca="false">IF($BH328&lt;&gt;Constants!$B$4,"",Constants!$B$34*$BJ328)</f>
        <v/>
      </c>
      <c r="BX328" s="74" t="str">
        <f aca="false">IF($BH328&lt;&gt;Constants!$B$4,"",IF(OR(NOT($AJ328),$BE328),0,Constants!$B$36))</f>
        <v/>
      </c>
      <c r="BY328" s="74" t="str">
        <f aca="false">IF($BH328&lt;&gt;Constants!$B$4,"",IF(OR(NOT($AJ328),$BD328),0,Constants!$B$37))</f>
        <v/>
      </c>
      <c r="BZ328" s="74" t="str">
        <f aca="false">IF($BH328&lt;&gt;Constants!$B$4,"",SUM($BT328:$BY328))</f>
        <v/>
      </c>
      <c r="CA328" s="74" t="str">
        <f aca="false">IF(ISBLANK($C328),"",IF($BH328&lt;&gt;Constants!$B$4,$BH328,SUM($BK328:$BS328)-$BZ328))</f>
        <v/>
      </c>
      <c r="CB328" s="74" t="str">
        <f aca="false">IF(ISBLANK($C328),"",IF($BH328&lt;&gt;Constants!$B$4,$BH328,RANK($CA328,$CA$9:$CA$508)))</f>
        <v/>
      </c>
      <c r="CC328" s="74" t="str">
        <f aca="false">IF(ISBLANK($C328),"",IF($BH328&lt;&gt;Constants!$B$4,$BH328,COUNTIFS($BI$9:$BI$508,"&lt;"&amp;$BI328)+COUNTIFS($BI$9:$BI$508,$BI328,$CB$9:$CB$508,"&lt;"&amp;$CB328)+1))</f>
        <v/>
      </c>
      <c r="CD328" s="74" t="str">
        <f aca="false">IF(ISBLANK($C328),"",IF($BH328&lt;&gt;Constants!$B$4,$BH328,RANK($BZ328,$BZ$9:$BZ$508,1)))</f>
        <v/>
      </c>
      <c r="CE328" s="74" t="str">
        <f aca="false">IF($BH328&lt;&gt;Constants!$B$4,"",$AL328+$AM328+$AN328)</f>
        <v/>
      </c>
      <c r="CF328" s="74" t="str">
        <f aca="false">IF(ISBLANK($C328),"",IF($BH328&lt;&gt;Constants!$B$4,$BH328,RANK($CE328,$CE$9:$CE$508,1)))</f>
        <v/>
      </c>
      <c r="CG328" s="74" t="str">
        <f aca="false">IF(ISBLANK($C328),"",IF($BH328&lt;&gt;Constants!$B$4,$BH328,COUNTIFS($BI$9:$BI$508,"&lt;"&amp;$BI328)+COUNTIFS($BI$9:$BI$508,$BI328,$CB$9:$CB$508,"&lt;"&amp;$CB328)+COUNTIFS($BI$9:$BI$508,$BI328,$CB$9:$CB$508,$CB328,$CD$9:$CD$508,"&lt;"&amp;$CD328)+COUNTIFS($BI$9:$BI$508,$BI328,$CB$9:$CB$508,$CB328,$CD$9:$CD$508,$CD328,$CF$9:$CF$508,"&lt;"&amp;$CF328)+1))</f>
        <v/>
      </c>
      <c r="CH328" s="74" t="str">
        <f aca="false">IF(ISBLANK($C328),"",IF($BH328&lt;&gt;Constants!$B$4,$BH328,$CC328-$CG328))</f>
        <v/>
      </c>
      <c r="CI328" s="74" t="str">
        <f aca="false">IF(ISBLANK($C328),"",IF(NOT($AJ328),"",IF(ISBLANK($D$7),$CI$5,IF(NOT(ISNUMBER($D$7)),$CI$6,""))))</f>
        <v/>
      </c>
      <c r="CJ328" s="74" t="str">
        <f aca="false">IF(ISBLANK($C328),"",OR($AL328="",$AM328="",$AN328=""))</f>
        <v/>
      </c>
      <c r="CK328" s="74" t="str">
        <f aca="false">IF(ISBLANK($C328),"",AND($AJ328,$AX328=""))</f>
        <v/>
      </c>
      <c r="CL328" s="74" t="str">
        <f aca="false">IF(ISBLANK($C328),"",AND($AJ328,$AY328=""))</f>
        <v/>
      </c>
      <c r="CM328" s="74" t="str">
        <f aca="false">IF(ISBLANK($C328),"",AND($AJ328,$AZ328=""))</f>
        <v/>
      </c>
      <c r="CN328" s="74" t="str">
        <f aca="false">IF(ISBLANK($C328),"",AND($AJ328,$BC328=""))</f>
        <v/>
      </c>
      <c r="CO328" s="74" t="str">
        <f aca="false">IF(ISBLANK($C328),"",AND($AJ328,$BF328=""))</f>
        <v/>
      </c>
      <c r="CP328" s="75"/>
      <c r="CQ328" s="76"/>
      <c r="CR328" s="79" t="str">
        <f aca="false">IF(ISBLANK($C328),"",IF($BH328=Constants!$B$8,$CI328,""))</f>
        <v/>
      </c>
      <c r="CS328" s="76" t="str">
        <f aca="false">IF(ISBLANK($C328),"",IF($BH328&lt;&gt;Constants!$B$4,"",$BK328+$BL328))</f>
        <v/>
      </c>
      <c r="CT328" s="78" t="str">
        <f aca="false">IF(ISBLANK($C328),"",IF($BH328&lt;&gt;Constants!$B$4,"",$BM328+$BN328+$BO328))</f>
        <v/>
      </c>
      <c r="CU328" s="78" t="str">
        <f aca="false">IF(ISBLANK($C328),"",IF($BH328&lt;&gt;Constants!$B$4,"",$BP328))</f>
        <v/>
      </c>
      <c r="CV328" s="78" t="str">
        <f aca="false">IF(ISBLANK($C328),"",IF($BH328&lt;&gt;Constants!$B$4,"",$BQ328+$BR328))</f>
        <v/>
      </c>
      <c r="CW328" s="78" t="str">
        <f aca="false">IF(ISBLANK($C328),"",IF($BH328&lt;&gt;Constants!$B$4,"",$BS328))</f>
        <v/>
      </c>
      <c r="CX328" s="78" t="str">
        <f aca="false">IF(ISBLANK($C328),"",IF($BH328&lt;&gt;Constants!$B$4,"",-$BZ328))</f>
        <v/>
      </c>
      <c r="CY328" s="79" t="str">
        <f aca="false">IF(ISBLANK($C328),"",$CA328)</f>
        <v/>
      </c>
      <c r="CZ328" s="80" t="str">
        <f aca="false">IF(ISBLANK($C328),"",$BI328)</f>
        <v/>
      </c>
      <c r="DA328" s="78" t="str">
        <f aca="false">IF(ISBLANK($C328),"",$CH328)</f>
        <v/>
      </c>
      <c r="DB328" s="78" t="str">
        <f aca="false">IF(ISBLANK($C328),"",$CG328)</f>
        <v/>
      </c>
      <c r="DC328" s="81" t="str">
        <f aca="false">IF(ISBLANK($C328),"",IFERROR(_xlfn.SWITCH($DB328,Constants!$B$7,COUNTA($C$9:$C$508)+2,Constants!$B$6,COUNTA($C$9:$C$508)+1,Constants!$B$5,COUNTA($C$9:$C$508)),$DB328))</f>
        <v/>
      </c>
      <c r="DD328" s="7"/>
      <c r="DE328" s="82" t="n">
        <f aca="false">IF(OR(ISNUMBER($DB328),$DB328=Constants!$B$7,$DB328=Constants!$B$5,$DB328=Constants!$B$6),1,0)</f>
        <v>0</v>
      </c>
      <c r="DF328" s="82" t="n">
        <v>320</v>
      </c>
      <c r="DG328" s="82" t="str">
        <f aca="false">IF(ISBLANK($C328),"",IF(ISNUMBER($DC328),$DC328+ROW($B328)/1000,""))</f>
        <v/>
      </c>
      <c r="DH328" s="82" t="str">
        <f aca="false">IF(ISNUMBER($DG328),RANK($DG328,$DG$9:$DG$508,1),"")</f>
        <v/>
      </c>
      <c r="DI328" s="82" t="str">
        <f aca="false">IF(ISBLANK($C328),"",$B328)</f>
        <v/>
      </c>
      <c r="DJ328" s="82" t="str">
        <f aca="false">IF(ISBLANK($C328),"",$C328)</f>
        <v/>
      </c>
      <c r="DK328" s="82" t="str">
        <f aca="false">IF(ISBLANK($C328),"",$D328)</f>
        <v/>
      </c>
      <c r="DL328" s="83" t="str">
        <f aca="false">$CZ328</f>
        <v/>
      </c>
      <c r="DM328" s="84" t="str">
        <f aca="false">$CY328</f>
        <v/>
      </c>
      <c r="DN328" s="82" t="str">
        <f aca="false">IF(ISBLANK($C328),"",$DB328)</f>
        <v/>
      </c>
      <c r="DO328" s="85" t="str">
        <f aca="false">IF($DF328&gt;$DE$8,"",VLOOKUP($DF328,$DH$9:$DN$508,7,FALSE()))</f>
        <v/>
      </c>
      <c r="DP328" s="86" t="str">
        <f aca="false">IF($DF328&gt;$DE$8,"",VLOOKUP($DF328,$DH$9:$DN$508,2,FALSE()))</f>
        <v/>
      </c>
      <c r="DQ328" s="86" t="str">
        <f aca="false">IF($DF328&gt;$DE$8,"",VLOOKUP($DF328,$DH$9:$DN$508,3,FALSE()))</f>
        <v/>
      </c>
      <c r="DR328" s="86" t="str">
        <f aca="false">IF($DF328&gt;$DE$8,"",VLOOKUP($DF328,$DH$9:$DN$508,4,FALSE()))</f>
        <v/>
      </c>
      <c r="DS328" s="86" t="str">
        <f aca="false">IF($DF328&gt;$DE$8,"",VLOOKUP($DF328,$DH$9:$DN$508,5,FALSE()))</f>
        <v/>
      </c>
      <c r="DT328" s="87" t="str">
        <f aca="false">IF($DF328&gt;$DE$8,"",VLOOKUP($DF328,$DH$9:$DN$508,6,FALSE()))</f>
        <v/>
      </c>
      <c r="DU328" s="62"/>
    </row>
    <row r="329" customFormat="false" ht="15.75" hidden="false" customHeight="false" outlineLevel="0" collapsed="false">
      <c r="A329" s="7"/>
      <c r="B329" s="64"/>
      <c r="C329" s="65"/>
      <c r="D329" s="123"/>
      <c r="E329" s="88"/>
      <c r="F329" s="134"/>
      <c r="G329" s="88"/>
      <c r="H329" s="134"/>
      <c r="I329" s="119"/>
      <c r="J329" s="119"/>
      <c r="K329" s="119"/>
      <c r="L329" s="88"/>
      <c r="M329" s="88"/>
      <c r="N329" s="88"/>
      <c r="O329" s="134"/>
      <c r="P329" s="88"/>
      <c r="Q329" s="88"/>
      <c r="R329" s="88"/>
      <c r="S329" s="88"/>
      <c r="T329" s="134"/>
      <c r="U329" s="88"/>
      <c r="V329" s="70"/>
      <c r="W329" s="88"/>
      <c r="X329" s="88"/>
      <c r="Y329" s="70"/>
      <c r="Z329" s="70"/>
      <c r="AA329" s="88"/>
      <c r="AB329" s="88"/>
      <c r="AC329" s="71"/>
      <c r="AD329" s="88"/>
      <c r="AE329" s="73"/>
      <c r="AF329" s="74"/>
      <c r="AG329" s="74"/>
      <c r="AH329" s="74" t="str">
        <f aca="false">IF(ISBLANK($C329),"",IF($E329=Constants!$B$2,TRUE(),IF($E329=Constants!$B$3,FALSE(),TRUE())))</f>
        <v/>
      </c>
      <c r="AI329" s="74" t="str">
        <f aca="false">IF(ISBLANK($C329),"",IF($F329=Constants!$B$2,TRUE(),IF($F329=Constants!$B$3,FALSE(),FALSE())))</f>
        <v/>
      </c>
      <c r="AJ329" s="74" t="str">
        <f aca="false">IF(ISBLANK($C329),"",IF($G329=Constants!$B$2,TRUE(),IF($G329=Constants!$B$3,FALSE(),TRUE())))</f>
        <v/>
      </c>
      <c r="AK329" s="74" t="str">
        <f aca="false">IF(ISBLANK($C329),"",IF($H329=Constants!$B$2,TRUE(),IF($H329=Constants!$B$3,FALSE(),TRUE())))</f>
        <v/>
      </c>
      <c r="AL329" s="74" t="str">
        <f aca="false">IF(ISBLANK($C329),"",IF(ISNUMBER($I329),IF($I329&gt;=0,$I329,""),""))</f>
        <v/>
      </c>
      <c r="AM329" s="74" t="str">
        <f aca="false">IF(ISBLANK($C329),"",IF(ISNUMBER($J329),IF($J329&gt;=0,$J329,""),""))</f>
        <v/>
      </c>
      <c r="AN329" s="74" t="str">
        <f aca="false">IF(ISBLANK($C329),"",IF(ISNUMBER($K329),IF($K329&gt;=0,$K329,""),""))</f>
        <v/>
      </c>
      <c r="AO329" s="74" t="str">
        <f aca="false">IF(ISBLANK($C329),"",IF($L329=Constants!$B$2,TRUE(),IF($L329=Constants!$B$3,FALSE(),TRUE())))</f>
        <v/>
      </c>
      <c r="AP329" s="74" t="str">
        <f aca="false">IF(ISBLANK($C329),"",IF($M329=Constants!$B$2,TRUE(),IF($M329=Constants!$B$3,FALSE(),TRUE())))</f>
        <v/>
      </c>
      <c r="AQ329" s="74" t="str">
        <f aca="false">IF(ISBLANK($C329),"",IF($N329=Constants!$B$2,TRUE(),IF($N329=Constants!$B$3,FALSE(),FALSE())))</f>
        <v/>
      </c>
      <c r="AR329" s="74" t="str">
        <f aca="false">IF(ISBLANK($C329),"",IF($O329=Constants!$B$2,TRUE(),IF($O329=Constants!$B$3,FALSE(),TRUE())))</f>
        <v/>
      </c>
      <c r="AS329" s="74" t="str">
        <f aca="false">IF(ISBLANK($C329),"",IF($P329=Constants!$B$2,TRUE(),IF($P329=Constants!$B$3,FALSE(),FALSE())))</f>
        <v/>
      </c>
      <c r="AT329" s="74" t="str">
        <f aca="false">IF(ISBLANK($C329),"",IF($Q329=Constants!$B$2,TRUE(),IF($Q329=Constants!$B$3,FALSE(),FALSE())))</f>
        <v/>
      </c>
      <c r="AU329" s="74" t="str">
        <f aca="false">IF(ISBLANK($C329),"",IF($R329=Constants!$B$2,TRUE(),IF($R329=Constants!$B$3,FALSE(),FALSE())))</f>
        <v/>
      </c>
      <c r="AV329" s="74" t="str">
        <f aca="false">IF(ISBLANK($C329),"",IF($S329=Constants!$B$2,TRUE(),IF($S329=Constants!$B$3,FALSE(),FALSE())))</f>
        <v/>
      </c>
      <c r="AW329" s="74" t="str">
        <f aca="false">IF(ISBLANK($C329),"",IF($T329=Constants!$B$2,TRUE(),IF($T329=Constants!$B$3,FALSE(),FALSE())))</f>
        <v/>
      </c>
      <c r="AX329" s="74" t="str">
        <f aca="false">IF(ISBLANK($C329),"",IF(OR($U329&amp;""="1",$U329&amp;""="2",$U329&amp;""="3",$U329&amp;""="4"),VALUE($U329&amp;""),IF($U329=Constants!$B$12,Constants!$B$12,"")))</f>
        <v/>
      </c>
      <c r="AY329" s="74" t="str">
        <f aca="false">IF(ISBLANK($C329),"",IF(ISBLANK($V329),0,IF(ISNUMBER($V329),IF(AND($V329&gt;=0,$V329&lt;=Constants!$B$21,$V329=INT($V329)),$V329,""),"")))</f>
        <v/>
      </c>
      <c r="AZ329" s="74" t="str">
        <f aca="false">IF(ISBLANK($C329),"",IF(ISBLANK($W329),0,IF(ISNUMBER($W329),IF($W329&gt;=0,$W329,""),"")))</f>
        <v/>
      </c>
      <c r="BA329" s="74" t="str">
        <f aca="false">IF(ISBLANK($C329),"",IF($X329=Constants!$B$2,TRUE(),IF($X329=Constants!$B$3,FALSE(),TRUE())))</f>
        <v/>
      </c>
      <c r="BB329" s="74" t="str">
        <f aca="false">IF(ISBLANK($C329),"",IF($Y329=Constants!$B$2,TRUE(),IF($Y329=Constants!$B$3,FALSE(),FALSE())))</f>
        <v/>
      </c>
      <c r="BC329" s="74" t="str">
        <f aca="false">IF(ISBLANK($C329),"",IF(ISBLANK($Z329),0,IF(ISNUMBER($Z329),IF(AND($Z329&gt;=0,$Z329&lt;=Constants!$B$35,$Z329=INT($Z329)),$Z329,""),"")))</f>
        <v/>
      </c>
      <c r="BD329" s="74" t="str">
        <f aca="false">IF(ISBLANK($C329),"",IF($AA329=Constants!$B$2,TRUE(),IF($AA329=Constants!$B$3,FALSE(),TRUE())))</f>
        <v/>
      </c>
      <c r="BE329" s="74" t="str">
        <f aca="false">IF(ISBLANK($C329),"",IF($AB329=Constants!$B$2,TRUE(),IF($AB329=Constants!$B$3,FALSE(),TRUE())))</f>
        <v/>
      </c>
      <c r="BF329" s="74" t="str">
        <f aca="false">IF(ISBLANK($C329),"",IF(ISNUMBER($AC329),IF($AC329&gt;=0,$AC329,""),""))</f>
        <v/>
      </c>
      <c r="BG329" s="74" t="str">
        <f aca="false">IF(ISBLANK($C329),"",IF($AD329=Constants!$B$2,TRUE(),IF($AD329=Constants!$B$3,FALSE(),FALSE())))</f>
        <v/>
      </c>
      <c r="BH329" s="73" t="str">
        <f aca="false">IF(ISBLANK($C329),"",IF($BG329,Constants!$B$7,IF(COUNTA($E329:$AC329)=0,Constants!$B$6,IF(OR(COUNTA($G329:$AC329)=0,NOT($AK329),$AQ329),Constants!$B$5,IF(OR($CI329&lt;&gt;"",$CJ329,$CK329,$CL329,$CM329,$CN329,$CO329),Constants!$B$8,Constants!$B$4)))))</f>
        <v/>
      </c>
      <c r="BI329" s="74" t="str">
        <f aca="false">IF(ISBLANK($C329),"",IF($BH329&lt;&gt;Constants!$B$4,$BH329,IF(OR(NOT($AH329),NOT($AJ329),NOT($AR329)),Constants!$B$11,IF(OR(NOT($AP329),MAX($AL329,$AM329,$AN329)&gt;Constants!$B$30),Constants!$B$10,Constants!$B$9))))</f>
        <v/>
      </c>
      <c r="BJ329" s="74" t="str">
        <f aca="false">IF($BH329&lt;&gt;Constants!$B$4,"",IF(NOT($AJ329),0,MIN(Constants!$B$35,$BC329)))</f>
        <v/>
      </c>
      <c r="BK329" s="74" t="str">
        <f aca="false">IF($BH329&lt;&gt;Constants!$B$4,"",IF(NOT($AJ329),0,IF($AT329,Constants!$B$18,IF($AS329,Constants!$B$17,0))))</f>
        <v/>
      </c>
      <c r="BL329" s="74" t="str">
        <f aca="false">IF($BH329&lt;&gt;Constants!$B$4,"",IF(NOT($AJ329),0,Constants!$B$19*($AI329+$AU329+$AV329+$AW329)))</f>
        <v/>
      </c>
      <c r="BM329" s="74" t="str">
        <f aca="false">IF($BH329&lt;&gt;Constants!$B$4,"",IF(OR(NOT($AJ329),NOT(ISNUMBER($AX329))),0,CHOOSE($AX329,Constants!$B$13,Constants!$B$14,Constants!$B$15,Constants!$B$16)))</f>
        <v/>
      </c>
      <c r="BN329" s="74" t="str">
        <f aca="false">IF($BH329&lt;&gt;Constants!$B$4,"",IF(NOT($AJ329),0,Constants!$B$20*$AY329))</f>
        <v/>
      </c>
      <c r="BO329" s="74" t="str">
        <f aca="false">IF($BH329&lt;&gt;Constants!$B$4,"",IF(AND($AJ329,$BA329,$BB329),Constants!$B$22,0))</f>
        <v/>
      </c>
      <c r="BP329" s="74" t="str">
        <f aca="false">IF($BH329&lt;&gt;Constants!$B$4,"",IF(OR(NOT($AJ329),NOT($BA329)),0,IF($BF329&gt;=2*$AF$9,0,Constants!$B$23*INT(ROUND(MIN($BF329,$AF$9),6)))))</f>
        <v/>
      </c>
      <c r="BQ329" s="74" t="str">
        <f aca="false">IF($BH329&lt;&gt;Constants!$B$4,"",IF(NOT($AJ329),0,Constants!$B$24*INT(ROUND(MIN($AZ329,$AF$9),6))))</f>
        <v/>
      </c>
      <c r="BR329" s="74" t="str">
        <f aca="false">IF($BH329&lt;&gt;Constants!$B$4,"",IF(AND($AJ329,$BJ329=0),Constants!$B$25,0))</f>
        <v/>
      </c>
      <c r="BS329" s="74" t="str">
        <f aca="false">IF($BH329&lt;&gt;Constants!$B$4,"",MIN(Constants!$B$29,MAX(0,Constants!$B$27*Constants!$B$28*INT(ROUND((Constants!$B$26-$AL329)/Constants!$B$28,6))))+MIN(Constants!$B$29,MAX(0,Constants!$B$27*Constants!$B$28*INT(ROUND((Constants!$B$26-$AM329)/Constants!$B$28,6))))+MIN(Constants!$B$29,MAX(0,Constants!$B$27*Constants!$B$28*INT(ROUND((Constants!$B$26-$AN329)/Constants!$B$28,6)))))</f>
        <v/>
      </c>
      <c r="BT329" s="74" t="str">
        <f aca="false">IF($BH329&lt;&gt;Constants!$B$4,"",IF(NOT($AJ329),0,Constants!$B$31*INT(ROUND(MAX(0,MIN($BF329,2*$AF$9)-$AF$9),6))))</f>
        <v/>
      </c>
      <c r="BU329" s="74" t="str">
        <f aca="false">IF($BH329&lt;&gt;Constants!$B$4,"",Constants!$B$32*(($AL329&gt;Constants!$B$26)+($AM329&gt;Constants!$B$26)+($AN329&gt;Constants!$B$26)))</f>
        <v/>
      </c>
      <c r="BV329" s="74" t="str">
        <f aca="false">IF($BH329&lt;&gt;Constants!$B$4,"",IF(OR(NOT($AJ329),$AO329),0,Constants!$B$33))</f>
        <v/>
      </c>
      <c r="BW329" s="74" t="str">
        <f aca="false">IF($BH329&lt;&gt;Constants!$B$4,"",Constants!$B$34*$BJ329)</f>
        <v/>
      </c>
      <c r="BX329" s="74" t="str">
        <f aca="false">IF($BH329&lt;&gt;Constants!$B$4,"",IF(OR(NOT($AJ329),$BE329),0,Constants!$B$36))</f>
        <v/>
      </c>
      <c r="BY329" s="74" t="str">
        <f aca="false">IF($BH329&lt;&gt;Constants!$B$4,"",IF(OR(NOT($AJ329),$BD329),0,Constants!$B$37))</f>
        <v/>
      </c>
      <c r="BZ329" s="74" t="str">
        <f aca="false">IF($BH329&lt;&gt;Constants!$B$4,"",SUM($BT329:$BY329))</f>
        <v/>
      </c>
      <c r="CA329" s="74" t="str">
        <f aca="false">IF(ISBLANK($C329),"",IF($BH329&lt;&gt;Constants!$B$4,$BH329,SUM($BK329:$BS329)-$BZ329))</f>
        <v/>
      </c>
      <c r="CB329" s="74" t="str">
        <f aca="false">IF(ISBLANK($C329),"",IF($BH329&lt;&gt;Constants!$B$4,$BH329,RANK($CA329,$CA$9:$CA$508)))</f>
        <v/>
      </c>
      <c r="CC329" s="74" t="str">
        <f aca="false">IF(ISBLANK($C329),"",IF($BH329&lt;&gt;Constants!$B$4,$BH329,COUNTIFS($BI$9:$BI$508,"&lt;"&amp;$BI329)+COUNTIFS($BI$9:$BI$508,$BI329,$CB$9:$CB$508,"&lt;"&amp;$CB329)+1))</f>
        <v/>
      </c>
      <c r="CD329" s="74" t="str">
        <f aca="false">IF(ISBLANK($C329),"",IF($BH329&lt;&gt;Constants!$B$4,$BH329,RANK($BZ329,$BZ$9:$BZ$508,1)))</f>
        <v/>
      </c>
      <c r="CE329" s="74" t="str">
        <f aca="false">IF($BH329&lt;&gt;Constants!$B$4,"",$AL329+$AM329+$AN329)</f>
        <v/>
      </c>
      <c r="CF329" s="74" t="str">
        <f aca="false">IF(ISBLANK($C329),"",IF($BH329&lt;&gt;Constants!$B$4,$BH329,RANK($CE329,$CE$9:$CE$508,1)))</f>
        <v/>
      </c>
      <c r="CG329" s="74" t="str">
        <f aca="false">IF(ISBLANK($C329),"",IF($BH329&lt;&gt;Constants!$B$4,$BH329,COUNTIFS($BI$9:$BI$508,"&lt;"&amp;$BI329)+COUNTIFS($BI$9:$BI$508,$BI329,$CB$9:$CB$508,"&lt;"&amp;$CB329)+COUNTIFS($BI$9:$BI$508,$BI329,$CB$9:$CB$508,$CB329,$CD$9:$CD$508,"&lt;"&amp;$CD329)+COUNTIFS($BI$9:$BI$508,$BI329,$CB$9:$CB$508,$CB329,$CD$9:$CD$508,$CD329,$CF$9:$CF$508,"&lt;"&amp;$CF329)+1))</f>
        <v/>
      </c>
      <c r="CH329" s="74" t="str">
        <f aca="false">IF(ISBLANK($C329),"",IF($BH329&lt;&gt;Constants!$B$4,$BH329,$CC329-$CG329))</f>
        <v/>
      </c>
      <c r="CI329" s="74" t="str">
        <f aca="false">IF(ISBLANK($C329),"",IF(NOT($AJ329),"",IF(ISBLANK($D$7),$CI$5,IF(NOT(ISNUMBER($D$7)),$CI$6,""))))</f>
        <v/>
      </c>
      <c r="CJ329" s="74" t="str">
        <f aca="false">IF(ISBLANK($C329),"",OR($AL329="",$AM329="",$AN329=""))</f>
        <v/>
      </c>
      <c r="CK329" s="74" t="str">
        <f aca="false">IF(ISBLANK($C329),"",AND($AJ329,$AX329=""))</f>
        <v/>
      </c>
      <c r="CL329" s="74" t="str">
        <f aca="false">IF(ISBLANK($C329),"",AND($AJ329,$AY329=""))</f>
        <v/>
      </c>
      <c r="CM329" s="74" t="str">
        <f aca="false">IF(ISBLANK($C329),"",AND($AJ329,$AZ329=""))</f>
        <v/>
      </c>
      <c r="CN329" s="74" t="str">
        <f aca="false">IF(ISBLANK($C329),"",AND($AJ329,$BC329=""))</f>
        <v/>
      </c>
      <c r="CO329" s="74" t="str">
        <f aca="false">IF(ISBLANK($C329),"",AND($AJ329,$BF329=""))</f>
        <v/>
      </c>
      <c r="CP329" s="75"/>
      <c r="CQ329" s="76"/>
      <c r="CR329" s="79" t="str">
        <f aca="false">IF(ISBLANK($C329),"",IF($BH329=Constants!$B$8,$CI329,""))</f>
        <v/>
      </c>
      <c r="CS329" s="76" t="str">
        <f aca="false">IF(ISBLANK($C329),"",IF($BH329&lt;&gt;Constants!$B$4,"",$BK329+$BL329))</f>
        <v/>
      </c>
      <c r="CT329" s="78" t="str">
        <f aca="false">IF(ISBLANK($C329),"",IF($BH329&lt;&gt;Constants!$B$4,"",$BM329+$BN329+$BO329))</f>
        <v/>
      </c>
      <c r="CU329" s="78" t="str">
        <f aca="false">IF(ISBLANK($C329),"",IF($BH329&lt;&gt;Constants!$B$4,"",$BP329))</f>
        <v/>
      </c>
      <c r="CV329" s="78" t="str">
        <f aca="false">IF(ISBLANK($C329),"",IF($BH329&lt;&gt;Constants!$B$4,"",$BQ329+$BR329))</f>
        <v/>
      </c>
      <c r="CW329" s="78" t="str">
        <f aca="false">IF(ISBLANK($C329),"",IF($BH329&lt;&gt;Constants!$B$4,"",$BS329))</f>
        <v/>
      </c>
      <c r="CX329" s="78" t="str">
        <f aca="false">IF(ISBLANK($C329),"",IF($BH329&lt;&gt;Constants!$B$4,"",-$BZ329))</f>
        <v/>
      </c>
      <c r="CY329" s="79" t="str">
        <f aca="false">IF(ISBLANK($C329),"",$CA329)</f>
        <v/>
      </c>
      <c r="CZ329" s="80" t="str">
        <f aca="false">IF(ISBLANK($C329),"",$BI329)</f>
        <v/>
      </c>
      <c r="DA329" s="78" t="str">
        <f aca="false">IF(ISBLANK($C329),"",$CH329)</f>
        <v/>
      </c>
      <c r="DB329" s="78" t="str">
        <f aca="false">IF(ISBLANK($C329),"",$CG329)</f>
        <v/>
      </c>
      <c r="DC329" s="81" t="str">
        <f aca="false">IF(ISBLANK($C329),"",IFERROR(_xlfn.SWITCH($DB329,Constants!$B$7,COUNTA($C$9:$C$508)+2,Constants!$B$6,COUNTA($C$9:$C$508)+1,Constants!$B$5,COUNTA($C$9:$C$508)),$DB329))</f>
        <v/>
      </c>
      <c r="DD329" s="7"/>
      <c r="DE329" s="82" t="n">
        <f aca="false">IF(OR(ISNUMBER($DB329),$DB329=Constants!$B$7,$DB329=Constants!$B$5,$DB329=Constants!$B$6),1,0)</f>
        <v>0</v>
      </c>
      <c r="DF329" s="82" t="n">
        <v>321</v>
      </c>
      <c r="DG329" s="82" t="str">
        <f aca="false">IF(ISBLANK($C329),"",IF(ISNUMBER($DC329),$DC329+ROW($B329)/1000,""))</f>
        <v/>
      </c>
      <c r="DH329" s="82" t="str">
        <f aca="false">IF(ISNUMBER($DG329),RANK($DG329,$DG$9:$DG$508,1),"")</f>
        <v/>
      </c>
      <c r="DI329" s="82" t="str">
        <f aca="false">IF(ISBLANK($C329),"",$B329)</f>
        <v/>
      </c>
      <c r="DJ329" s="82" t="str">
        <f aca="false">IF(ISBLANK($C329),"",$C329)</f>
        <v/>
      </c>
      <c r="DK329" s="82" t="str">
        <f aca="false">IF(ISBLANK($C329),"",$D329)</f>
        <v/>
      </c>
      <c r="DL329" s="83" t="str">
        <f aca="false">$CZ329</f>
        <v/>
      </c>
      <c r="DM329" s="84" t="str">
        <f aca="false">$CY329</f>
        <v/>
      </c>
      <c r="DN329" s="82" t="str">
        <f aca="false">IF(ISBLANK($C329),"",$DB329)</f>
        <v/>
      </c>
      <c r="DO329" s="85" t="str">
        <f aca="false">IF($DF329&gt;$DE$8,"",VLOOKUP($DF329,$DH$9:$DN$508,7,FALSE()))</f>
        <v/>
      </c>
      <c r="DP329" s="86" t="str">
        <f aca="false">IF($DF329&gt;$DE$8,"",VLOOKUP($DF329,$DH$9:$DN$508,2,FALSE()))</f>
        <v/>
      </c>
      <c r="DQ329" s="86" t="str">
        <f aca="false">IF($DF329&gt;$DE$8,"",VLOOKUP($DF329,$DH$9:$DN$508,3,FALSE()))</f>
        <v/>
      </c>
      <c r="DR329" s="86" t="str">
        <f aca="false">IF($DF329&gt;$DE$8,"",VLOOKUP($DF329,$DH$9:$DN$508,4,FALSE()))</f>
        <v/>
      </c>
      <c r="DS329" s="86" t="str">
        <f aca="false">IF($DF329&gt;$DE$8,"",VLOOKUP($DF329,$DH$9:$DN$508,5,FALSE()))</f>
        <v/>
      </c>
      <c r="DT329" s="87" t="str">
        <f aca="false">IF($DF329&gt;$DE$8,"",VLOOKUP($DF329,$DH$9:$DN$508,6,FALSE()))</f>
        <v/>
      </c>
      <c r="DU329" s="62"/>
    </row>
    <row r="330" customFormat="false" ht="15.75" hidden="false" customHeight="false" outlineLevel="0" collapsed="false">
      <c r="A330" s="7"/>
      <c r="B330" s="90"/>
      <c r="C330" s="91"/>
      <c r="D330" s="126"/>
      <c r="E330" s="130"/>
      <c r="F330" s="135"/>
      <c r="G330" s="130"/>
      <c r="H330" s="135"/>
      <c r="I330" s="131"/>
      <c r="J330" s="131"/>
      <c r="K330" s="131"/>
      <c r="L330" s="130"/>
      <c r="M330" s="130"/>
      <c r="N330" s="130"/>
      <c r="O330" s="135"/>
      <c r="P330" s="130"/>
      <c r="Q330" s="130"/>
      <c r="R330" s="130"/>
      <c r="S330" s="130"/>
      <c r="T330" s="135"/>
      <c r="U330" s="130"/>
      <c r="V330" s="96"/>
      <c r="W330" s="130"/>
      <c r="X330" s="130"/>
      <c r="Y330" s="96"/>
      <c r="Z330" s="96"/>
      <c r="AA330" s="130"/>
      <c r="AB330" s="130"/>
      <c r="AC330" s="97"/>
      <c r="AD330" s="130"/>
      <c r="AE330" s="99"/>
      <c r="AF330" s="100"/>
      <c r="AG330" s="100"/>
      <c r="AH330" s="100" t="str">
        <f aca="false">IF(ISBLANK($C330),"",IF($E330=Constants!$B$2,TRUE(),IF($E330=Constants!$B$3,FALSE(),TRUE())))</f>
        <v/>
      </c>
      <c r="AI330" s="100" t="str">
        <f aca="false">IF(ISBLANK($C330),"",IF($F330=Constants!$B$2,TRUE(),IF($F330=Constants!$B$3,FALSE(),FALSE())))</f>
        <v/>
      </c>
      <c r="AJ330" s="100" t="str">
        <f aca="false">IF(ISBLANK($C330),"",IF($G330=Constants!$B$2,TRUE(),IF($G330=Constants!$B$3,FALSE(),TRUE())))</f>
        <v/>
      </c>
      <c r="AK330" s="100" t="str">
        <f aca="false">IF(ISBLANK($C330),"",IF($H330=Constants!$B$2,TRUE(),IF($H330=Constants!$B$3,FALSE(),TRUE())))</f>
        <v/>
      </c>
      <c r="AL330" s="100" t="str">
        <f aca="false">IF(ISBLANK($C330),"",IF(ISNUMBER($I330),IF($I330&gt;=0,$I330,""),""))</f>
        <v/>
      </c>
      <c r="AM330" s="100" t="str">
        <f aca="false">IF(ISBLANK($C330),"",IF(ISNUMBER($J330),IF($J330&gt;=0,$J330,""),""))</f>
        <v/>
      </c>
      <c r="AN330" s="100" t="str">
        <f aca="false">IF(ISBLANK($C330),"",IF(ISNUMBER($K330),IF($K330&gt;=0,$K330,""),""))</f>
        <v/>
      </c>
      <c r="AO330" s="100" t="str">
        <f aca="false">IF(ISBLANK($C330),"",IF($L330=Constants!$B$2,TRUE(),IF($L330=Constants!$B$3,FALSE(),TRUE())))</f>
        <v/>
      </c>
      <c r="AP330" s="100" t="str">
        <f aca="false">IF(ISBLANK($C330),"",IF($M330=Constants!$B$2,TRUE(),IF($M330=Constants!$B$3,FALSE(),TRUE())))</f>
        <v/>
      </c>
      <c r="AQ330" s="100" t="str">
        <f aca="false">IF(ISBLANK($C330),"",IF($N330=Constants!$B$2,TRUE(),IF($N330=Constants!$B$3,FALSE(),FALSE())))</f>
        <v/>
      </c>
      <c r="AR330" s="100" t="str">
        <f aca="false">IF(ISBLANK($C330),"",IF($O330=Constants!$B$2,TRUE(),IF($O330=Constants!$B$3,FALSE(),TRUE())))</f>
        <v/>
      </c>
      <c r="AS330" s="100" t="str">
        <f aca="false">IF(ISBLANK($C330),"",IF($P330=Constants!$B$2,TRUE(),IF($P330=Constants!$B$3,FALSE(),FALSE())))</f>
        <v/>
      </c>
      <c r="AT330" s="100" t="str">
        <f aca="false">IF(ISBLANK($C330),"",IF($Q330=Constants!$B$2,TRUE(),IF($Q330=Constants!$B$3,FALSE(),FALSE())))</f>
        <v/>
      </c>
      <c r="AU330" s="100" t="str">
        <f aca="false">IF(ISBLANK($C330),"",IF($R330=Constants!$B$2,TRUE(),IF($R330=Constants!$B$3,FALSE(),FALSE())))</f>
        <v/>
      </c>
      <c r="AV330" s="100" t="str">
        <f aca="false">IF(ISBLANK($C330),"",IF($S330=Constants!$B$2,TRUE(),IF($S330=Constants!$B$3,FALSE(),FALSE())))</f>
        <v/>
      </c>
      <c r="AW330" s="100" t="str">
        <f aca="false">IF(ISBLANK($C330),"",IF($T330=Constants!$B$2,TRUE(),IF($T330=Constants!$B$3,FALSE(),FALSE())))</f>
        <v/>
      </c>
      <c r="AX330" s="100" t="str">
        <f aca="false">IF(ISBLANK($C330),"",IF(OR($U330&amp;""="1",$U330&amp;""="2",$U330&amp;""="3",$U330&amp;""="4"),VALUE($U330&amp;""),IF($U330=Constants!$B$12,Constants!$B$12,"")))</f>
        <v/>
      </c>
      <c r="AY330" s="100" t="str">
        <f aca="false">IF(ISBLANK($C330),"",IF(ISBLANK($V330),0,IF(ISNUMBER($V330),IF(AND($V330&gt;=0,$V330&lt;=Constants!$B$21,$V330=INT($V330)),$V330,""),"")))</f>
        <v/>
      </c>
      <c r="AZ330" s="100" t="str">
        <f aca="false">IF(ISBLANK($C330),"",IF(ISBLANK($W330),0,IF(ISNUMBER($W330),IF($W330&gt;=0,$W330,""),"")))</f>
        <v/>
      </c>
      <c r="BA330" s="100" t="str">
        <f aca="false">IF(ISBLANK($C330),"",IF($X330=Constants!$B$2,TRUE(),IF($X330=Constants!$B$3,FALSE(),TRUE())))</f>
        <v/>
      </c>
      <c r="BB330" s="100" t="str">
        <f aca="false">IF(ISBLANK($C330),"",IF($Y330=Constants!$B$2,TRUE(),IF($Y330=Constants!$B$3,FALSE(),FALSE())))</f>
        <v/>
      </c>
      <c r="BC330" s="100" t="str">
        <f aca="false">IF(ISBLANK($C330),"",IF(ISBLANK($Z330),0,IF(ISNUMBER($Z330),IF(AND($Z330&gt;=0,$Z330&lt;=Constants!$B$35,$Z330=INT($Z330)),$Z330,""),"")))</f>
        <v/>
      </c>
      <c r="BD330" s="100" t="str">
        <f aca="false">IF(ISBLANK($C330),"",IF($AA330=Constants!$B$2,TRUE(),IF($AA330=Constants!$B$3,FALSE(),TRUE())))</f>
        <v/>
      </c>
      <c r="BE330" s="100" t="str">
        <f aca="false">IF(ISBLANK($C330),"",IF($AB330=Constants!$B$2,TRUE(),IF($AB330=Constants!$B$3,FALSE(),TRUE())))</f>
        <v/>
      </c>
      <c r="BF330" s="100" t="str">
        <f aca="false">IF(ISBLANK($C330),"",IF(ISNUMBER($AC330),IF($AC330&gt;=0,$AC330,""),""))</f>
        <v/>
      </c>
      <c r="BG330" s="100" t="str">
        <f aca="false">IF(ISBLANK($C330),"",IF($AD330=Constants!$B$2,TRUE(),IF($AD330=Constants!$B$3,FALSE(),FALSE())))</f>
        <v/>
      </c>
      <c r="BH330" s="99" t="str">
        <f aca="false">IF(ISBLANK($C330),"",IF($BG330,Constants!$B$7,IF(COUNTA($E330:$AC330)=0,Constants!$B$6,IF(OR(COUNTA($G330:$AC330)=0,NOT($AK330),$AQ330),Constants!$B$5,IF(OR($CI330&lt;&gt;"",$CJ330,$CK330,$CL330,$CM330,$CN330,$CO330),Constants!$B$8,Constants!$B$4)))))</f>
        <v/>
      </c>
      <c r="BI330" s="100" t="str">
        <f aca="false">IF(ISBLANK($C330),"",IF($BH330&lt;&gt;Constants!$B$4,$BH330,IF(OR(NOT($AH330),NOT($AJ330),NOT($AR330)),Constants!$B$11,IF(OR(NOT($AP330),MAX($AL330,$AM330,$AN330)&gt;Constants!$B$30),Constants!$B$10,Constants!$B$9))))</f>
        <v/>
      </c>
      <c r="BJ330" s="100" t="str">
        <f aca="false">IF($BH330&lt;&gt;Constants!$B$4,"",IF(NOT($AJ330),0,MIN(Constants!$B$35,$BC330)))</f>
        <v/>
      </c>
      <c r="BK330" s="100" t="str">
        <f aca="false">IF($BH330&lt;&gt;Constants!$B$4,"",IF(NOT($AJ330),0,IF($AT330,Constants!$B$18,IF($AS330,Constants!$B$17,0))))</f>
        <v/>
      </c>
      <c r="BL330" s="100" t="str">
        <f aca="false">IF($BH330&lt;&gt;Constants!$B$4,"",IF(NOT($AJ330),0,Constants!$B$19*($AI330+$AU330+$AV330+$AW330)))</f>
        <v/>
      </c>
      <c r="BM330" s="100" t="str">
        <f aca="false">IF($BH330&lt;&gt;Constants!$B$4,"",IF(OR(NOT($AJ330),NOT(ISNUMBER($AX330))),0,CHOOSE($AX330,Constants!$B$13,Constants!$B$14,Constants!$B$15,Constants!$B$16)))</f>
        <v/>
      </c>
      <c r="BN330" s="100" t="str">
        <f aca="false">IF($BH330&lt;&gt;Constants!$B$4,"",IF(NOT($AJ330),0,Constants!$B$20*$AY330))</f>
        <v/>
      </c>
      <c r="BO330" s="100" t="str">
        <f aca="false">IF($BH330&lt;&gt;Constants!$B$4,"",IF(AND($AJ330,$BA330,$BB330),Constants!$B$22,0))</f>
        <v/>
      </c>
      <c r="BP330" s="100" t="str">
        <f aca="false">IF($BH330&lt;&gt;Constants!$B$4,"",IF(OR(NOT($AJ330),NOT($BA330)),0,IF($BF330&gt;=2*$AF$9,0,Constants!$B$23*INT(ROUND(MIN($BF330,$AF$9),6)))))</f>
        <v/>
      </c>
      <c r="BQ330" s="100" t="str">
        <f aca="false">IF($BH330&lt;&gt;Constants!$B$4,"",IF(NOT($AJ330),0,Constants!$B$24*INT(ROUND(MIN($AZ330,$AF$9),6))))</f>
        <v/>
      </c>
      <c r="BR330" s="100" t="str">
        <f aca="false">IF($BH330&lt;&gt;Constants!$B$4,"",IF(AND($AJ330,$BJ330=0),Constants!$B$25,0))</f>
        <v/>
      </c>
      <c r="BS330" s="100" t="str">
        <f aca="false">IF($BH330&lt;&gt;Constants!$B$4,"",MIN(Constants!$B$29,MAX(0,Constants!$B$27*Constants!$B$28*INT(ROUND((Constants!$B$26-$AL330)/Constants!$B$28,6))))+MIN(Constants!$B$29,MAX(0,Constants!$B$27*Constants!$B$28*INT(ROUND((Constants!$B$26-$AM330)/Constants!$B$28,6))))+MIN(Constants!$B$29,MAX(0,Constants!$B$27*Constants!$B$28*INT(ROUND((Constants!$B$26-$AN330)/Constants!$B$28,6)))))</f>
        <v/>
      </c>
      <c r="BT330" s="100" t="str">
        <f aca="false">IF($BH330&lt;&gt;Constants!$B$4,"",IF(NOT($AJ330),0,Constants!$B$31*INT(ROUND(MAX(0,MIN($BF330,2*$AF$9)-$AF$9),6))))</f>
        <v/>
      </c>
      <c r="BU330" s="100" t="str">
        <f aca="false">IF($BH330&lt;&gt;Constants!$B$4,"",Constants!$B$32*(($AL330&gt;Constants!$B$26)+($AM330&gt;Constants!$B$26)+($AN330&gt;Constants!$B$26)))</f>
        <v/>
      </c>
      <c r="BV330" s="100" t="str">
        <f aca="false">IF($BH330&lt;&gt;Constants!$B$4,"",IF(OR(NOT($AJ330),$AO330),0,Constants!$B$33))</f>
        <v/>
      </c>
      <c r="BW330" s="100" t="str">
        <f aca="false">IF($BH330&lt;&gt;Constants!$B$4,"",Constants!$B$34*$BJ330)</f>
        <v/>
      </c>
      <c r="BX330" s="100" t="str">
        <f aca="false">IF($BH330&lt;&gt;Constants!$B$4,"",IF(OR(NOT($AJ330),$BE330),0,Constants!$B$36))</f>
        <v/>
      </c>
      <c r="BY330" s="100" t="str">
        <f aca="false">IF($BH330&lt;&gt;Constants!$B$4,"",IF(OR(NOT($AJ330),$BD330),0,Constants!$B$37))</f>
        <v/>
      </c>
      <c r="BZ330" s="100" t="str">
        <f aca="false">IF($BH330&lt;&gt;Constants!$B$4,"",SUM($BT330:$BY330))</f>
        <v/>
      </c>
      <c r="CA330" s="100" t="str">
        <f aca="false">IF(ISBLANK($C330),"",IF($BH330&lt;&gt;Constants!$B$4,$BH330,SUM($BK330:$BS330)-$BZ330))</f>
        <v/>
      </c>
      <c r="CB330" s="100" t="str">
        <f aca="false">IF(ISBLANK($C330),"",IF($BH330&lt;&gt;Constants!$B$4,$BH330,RANK($CA330,$CA$9:$CA$508)))</f>
        <v/>
      </c>
      <c r="CC330" s="100" t="str">
        <f aca="false">IF(ISBLANK($C330),"",IF($BH330&lt;&gt;Constants!$B$4,$BH330,COUNTIFS($BI$9:$BI$508,"&lt;"&amp;$BI330)+COUNTIFS($BI$9:$BI$508,$BI330,$CB$9:$CB$508,"&lt;"&amp;$CB330)+1))</f>
        <v/>
      </c>
      <c r="CD330" s="100" t="str">
        <f aca="false">IF(ISBLANK($C330),"",IF($BH330&lt;&gt;Constants!$B$4,$BH330,RANK($BZ330,$BZ$9:$BZ$508,1)))</f>
        <v/>
      </c>
      <c r="CE330" s="100" t="str">
        <f aca="false">IF($BH330&lt;&gt;Constants!$B$4,"",$AL330+$AM330+$AN330)</f>
        <v/>
      </c>
      <c r="CF330" s="100" t="str">
        <f aca="false">IF(ISBLANK($C330),"",IF($BH330&lt;&gt;Constants!$B$4,$BH330,RANK($CE330,$CE$9:$CE$508,1)))</f>
        <v/>
      </c>
      <c r="CG330" s="100" t="str">
        <f aca="false">IF(ISBLANK($C330),"",IF($BH330&lt;&gt;Constants!$B$4,$BH330,COUNTIFS($BI$9:$BI$508,"&lt;"&amp;$BI330)+COUNTIFS($BI$9:$BI$508,$BI330,$CB$9:$CB$508,"&lt;"&amp;$CB330)+COUNTIFS($BI$9:$BI$508,$BI330,$CB$9:$CB$508,$CB330,$CD$9:$CD$508,"&lt;"&amp;$CD330)+COUNTIFS($BI$9:$BI$508,$BI330,$CB$9:$CB$508,$CB330,$CD$9:$CD$508,$CD330,$CF$9:$CF$508,"&lt;"&amp;$CF330)+1))</f>
        <v/>
      </c>
      <c r="CH330" s="100" t="str">
        <f aca="false">IF(ISBLANK($C330),"",IF($BH330&lt;&gt;Constants!$B$4,$BH330,$CC330-$CG330))</f>
        <v/>
      </c>
      <c r="CI330" s="100" t="str">
        <f aca="false">IF(ISBLANK($C330),"",IF(NOT($AJ330),"",IF(ISBLANK($D$7),$CI$5,IF(NOT(ISNUMBER($D$7)),$CI$6,""))))</f>
        <v/>
      </c>
      <c r="CJ330" s="100" t="str">
        <f aca="false">IF(ISBLANK($C330),"",OR($AL330="",$AM330="",$AN330=""))</f>
        <v/>
      </c>
      <c r="CK330" s="100" t="str">
        <f aca="false">IF(ISBLANK($C330),"",AND($AJ330,$AX330=""))</f>
        <v/>
      </c>
      <c r="CL330" s="100" t="str">
        <f aca="false">IF(ISBLANK($C330),"",AND($AJ330,$AY330=""))</f>
        <v/>
      </c>
      <c r="CM330" s="100" t="str">
        <f aca="false">IF(ISBLANK($C330),"",AND($AJ330,$AZ330=""))</f>
        <v/>
      </c>
      <c r="CN330" s="100" t="str">
        <f aca="false">IF(ISBLANK($C330),"",AND($AJ330,$BC330=""))</f>
        <v/>
      </c>
      <c r="CO330" s="100" t="str">
        <f aca="false">IF(ISBLANK($C330),"",AND($AJ330,$BF330=""))</f>
        <v/>
      </c>
      <c r="CP330" s="101"/>
      <c r="CQ330" s="102"/>
      <c r="CR330" s="103" t="str">
        <f aca="false">IF(ISBLANK($C330),"",IF($BH330=Constants!$B$8,$CI330,""))</f>
        <v/>
      </c>
      <c r="CS330" s="102" t="str">
        <f aca="false">IF(ISBLANK($C330),"",IF($BH330&lt;&gt;Constants!$B$4,"",$BK330+$BL330))</f>
        <v/>
      </c>
      <c r="CT330" s="104" t="str">
        <f aca="false">IF(ISBLANK($C330),"",IF($BH330&lt;&gt;Constants!$B$4,"",$BM330+$BN330+$BO330))</f>
        <v/>
      </c>
      <c r="CU330" s="104" t="str">
        <f aca="false">IF(ISBLANK($C330),"",IF($BH330&lt;&gt;Constants!$B$4,"",$BP330))</f>
        <v/>
      </c>
      <c r="CV330" s="104" t="str">
        <f aca="false">IF(ISBLANK($C330),"",IF($BH330&lt;&gt;Constants!$B$4,"",$BQ330+$BR330))</f>
        <v/>
      </c>
      <c r="CW330" s="104" t="str">
        <f aca="false">IF(ISBLANK($C330),"",IF($BH330&lt;&gt;Constants!$B$4,"",$BS330))</f>
        <v/>
      </c>
      <c r="CX330" s="104" t="str">
        <f aca="false">IF(ISBLANK($C330),"",IF($BH330&lt;&gt;Constants!$B$4,"",-$BZ330))</f>
        <v/>
      </c>
      <c r="CY330" s="103" t="str">
        <f aca="false">IF(ISBLANK($C330),"",$CA330)</f>
        <v/>
      </c>
      <c r="CZ330" s="105" t="str">
        <f aca="false">IF(ISBLANK($C330),"",$BI330)</f>
        <v/>
      </c>
      <c r="DA330" s="104" t="str">
        <f aca="false">IF(ISBLANK($C330),"",$CH330)</f>
        <v/>
      </c>
      <c r="DB330" s="104" t="str">
        <f aca="false">IF(ISBLANK($C330),"",$CG330)</f>
        <v/>
      </c>
      <c r="DC330" s="106" t="str">
        <f aca="false">IF(ISBLANK($C330),"",IFERROR(_xlfn.SWITCH($DB330,Constants!$B$7,COUNTA($C$9:$C$508)+2,Constants!$B$6,COUNTA($C$9:$C$508)+1,Constants!$B$5,COUNTA($C$9:$C$508)),$DB330))</f>
        <v/>
      </c>
      <c r="DD330" s="7"/>
      <c r="DE330" s="107" t="n">
        <f aca="false">IF(OR(ISNUMBER($DB330),$DB330=Constants!$B$7,$DB330=Constants!$B$5,$DB330=Constants!$B$6),1,0)</f>
        <v>0</v>
      </c>
      <c r="DF330" s="107" t="n">
        <v>322</v>
      </c>
      <c r="DG330" s="107" t="str">
        <f aca="false">IF(ISBLANK($C330),"",IF(ISNUMBER($DC330),$DC330+ROW($B330)/1000,""))</f>
        <v/>
      </c>
      <c r="DH330" s="107" t="str">
        <f aca="false">IF(ISNUMBER($DG330),RANK($DG330,$DG$9:$DG$508,1),"")</f>
        <v/>
      </c>
      <c r="DI330" s="107" t="str">
        <f aca="false">IF(ISBLANK($C330),"",$B330)</f>
        <v/>
      </c>
      <c r="DJ330" s="107" t="str">
        <f aca="false">IF(ISBLANK($C330),"",$C330)</f>
        <v/>
      </c>
      <c r="DK330" s="107" t="str">
        <f aca="false">IF(ISBLANK($C330),"",$D330)</f>
        <v/>
      </c>
      <c r="DL330" s="108" t="str">
        <f aca="false">$CZ330</f>
        <v/>
      </c>
      <c r="DM330" s="109" t="str">
        <f aca="false">$CY330</f>
        <v/>
      </c>
      <c r="DN330" s="107" t="str">
        <f aca="false">IF(ISBLANK($C330),"",$DB330)</f>
        <v/>
      </c>
      <c r="DO330" s="110" t="str">
        <f aca="false">IF($DF330&gt;$DE$8,"",VLOOKUP($DF330,$DH$9:$DN$508,7,FALSE()))</f>
        <v/>
      </c>
      <c r="DP330" s="111" t="str">
        <f aca="false">IF($DF330&gt;$DE$8,"",VLOOKUP($DF330,$DH$9:$DN$508,2,FALSE()))</f>
        <v/>
      </c>
      <c r="DQ330" s="111" t="str">
        <f aca="false">IF($DF330&gt;$DE$8,"",VLOOKUP($DF330,$DH$9:$DN$508,3,FALSE()))</f>
        <v/>
      </c>
      <c r="DR330" s="111" t="str">
        <f aca="false">IF($DF330&gt;$DE$8,"",VLOOKUP($DF330,$DH$9:$DN$508,4,FALSE()))</f>
        <v/>
      </c>
      <c r="DS330" s="111" t="str">
        <f aca="false">IF($DF330&gt;$DE$8,"",VLOOKUP($DF330,$DH$9:$DN$508,5,FALSE()))</f>
        <v/>
      </c>
      <c r="DT330" s="112" t="str">
        <f aca="false">IF($DF330&gt;$DE$8,"",VLOOKUP($DF330,$DH$9:$DN$508,6,FALSE()))</f>
        <v/>
      </c>
      <c r="DU330" s="62"/>
    </row>
    <row r="331" customFormat="false" ht="15.75" hidden="false" customHeight="false" outlineLevel="0" collapsed="false">
      <c r="A331" s="7"/>
      <c r="B331" s="90"/>
      <c r="C331" s="91"/>
      <c r="D331" s="126"/>
      <c r="E331" s="130"/>
      <c r="F331" s="135"/>
      <c r="G331" s="130"/>
      <c r="H331" s="135"/>
      <c r="I331" s="131"/>
      <c r="J331" s="131"/>
      <c r="K331" s="131"/>
      <c r="L331" s="130"/>
      <c r="M331" s="130"/>
      <c r="N331" s="130"/>
      <c r="O331" s="135"/>
      <c r="P331" s="130"/>
      <c r="Q331" s="130"/>
      <c r="R331" s="130"/>
      <c r="S331" s="130"/>
      <c r="T331" s="135"/>
      <c r="U331" s="130"/>
      <c r="V331" s="96"/>
      <c r="W331" s="130"/>
      <c r="X331" s="130"/>
      <c r="Y331" s="96"/>
      <c r="Z331" s="96"/>
      <c r="AA331" s="130"/>
      <c r="AB331" s="130"/>
      <c r="AC331" s="97"/>
      <c r="AD331" s="130"/>
      <c r="AE331" s="99"/>
      <c r="AF331" s="100"/>
      <c r="AG331" s="100"/>
      <c r="AH331" s="100" t="str">
        <f aca="false">IF(ISBLANK($C331),"",IF($E331=Constants!$B$2,TRUE(),IF($E331=Constants!$B$3,FALSE(),TRUE())))</f>
        <v/>
      </c>
      <c r="AI331" s="100" t="str">
        <f aca="false">IF(ISBLANK($C331),"",IF($F331=Constants!$B$2,TRUE(),IF($F331=Constants!$B$3,FALSE(),FALSE())))</f>
        <v/>
      </c>
      <c r="AJ331" s="100" t="str">
        <f aca="false">IF(ISBLANK($C331),"",IF($G331=Constants!$B$2,TRUE(),IF($G331=Constants!$B$3,FALSE(),TRUE())))</f>
        <v/>
      </c>
      <c r="AK331" s="100" t="str">
        <f aca="false">IF(ISBLANK($C331),"",IF($H331=Constants!$B$2,TRUE(),IF($H331=Constants!$B$3,FALSE(),TRUE())))</f>
        <v/>
      </c>
      <c r="AL331" s="100" t="str">
        <f aca="false">IF(ISBLANK($C331),"",IF(ISNUMBER($I331),IF($I331&gt;=0,$I331,""),""))</f>
        <v/>
      </c>
      <c r="AM331" s="100" t="str">
        <f aca="false">IF(ISBLANK($C331),"",IF(ISNUMBER($J331),IF($J331&gt;=0,$J331,""),""))</f>
        <v/>
      </c>
      <c r="AN331" s="100" t="str">
        <f aca="false">IF(ISBLANK($C331),"",IF(ISNUMBER($K331),IF($K331&gt;=0,$K331,""),""))</f>
        <v/>
      </c>
      <c r="AO331" s="100" t="str">
        <f aca="false">IF(ISBLANK($C331),"",IF($L331=Constants!$B$2,TRUE(),IF($L331=Constants!$B$3,FALSE(),TRUE())))</f>
        <v/>
      </c>
      <c r="AP331" s="100" t="str">
        <f aca="false">IF(ISBLANK($C331),"",IF($M331=Constants!$B$2,TRUE(),IF($M331=Constants!$B$3,FALSE(),TRUE())))</f>
        <v/>
      </c>
      <c r="AQ331" s="100" t="str">
        <f aca="false">IF(ISBLANK($C331),"",IF($N331=Constants!$B$2,TRUE(),IF($N331=Constants!$B$3,FALSE(),FALSE())))</f>
        <v/>
      </c>
      <c r="AR331" s="100" t="str">
        <f aca="false">IF(ISBLANK($C331),"",IF($O331=Constants!$B$2,TRUE(),IF($O331=Constants!$B$3,FALSE(),TRUE())))</f>
        <v/>
      </c>
      <c r="AS331" s="100" t="str">
        <f aca="false">IF(ISBLANK($C331),"",IF($P331=Constants!$B$2,TRUE(),IF($P331=Constants!$B$3,FALSE(),FALSE())))</f>
        <v/>
      </c>
      <c r="AT331" s="100" t="str">
        <f aca="false">IF(ISBLANK($C331),"",IF($Q331=Constants!$B$2,TRUE(),IF($Q331=Constants!$B$3,FALSE(),FALSE())))</f>
        <v/>
      </c>
      <c r="AU331" s="100" t="str">
        <f aca="false">IF(ISBLANK($C331),"",IF($R331=Constants!$B$2,TRUE(),IF($R331=Constants!$B$3,FALSE(),FALSE())))</f>
        <v/>
      </c>
      <c r="AV331" s="100" t="str">
        <f aca="false">IF(ISBLANK($C331),"",IF($S331=Constants!$B$2,TRUE(),IF($S331=Constants!$B$3,FALSE(),FALSE())))</f>
        <v/>
      </c>
      <c r="AW331" s="100" t="str">
        <f aca="false">IF(ISBLANK($C331),"",IF($T331=Constants!$B$2,TRUE(),IF($T331=Constants!$B$3,FALSE(),FALSE())))</f>
        <v/>
      </c>
      <c r="AX331" s="100" t="str">
        <f aca="false">IF(ISBLANK($C331),"",IF(OR($U331&amp;""="1",$U331&amp;""="2",$U331&amp;""="3",$U331&amp;""="4"),VALUE($U331&amp;""),IF($U331=Constants!$B$12,Constants!$B$12,"")))</f>
        <v/>
      </c>
      <c r="AY331" s="100" t="str">
        <f aca="false">IF(ISBLANK($C331),"",IF(ISBLANK($V331),0,IF(ISNUMBER($V331),IF(AND($V331&gt;=0,$V331&lt;=Constants!$B$21,$V331=INT($V331)),$V331,""),"")))</f>
        <v/>
      </c>
      <c r="AZ331" s="100" t="str">
        <f aca="false">IF(ISBLANK($C331),"",IF(ISBLANK($W331),0,IF(ISNUMBER($W331),IF($W331&gt;=0,$W331,""),"")))</f>
        <v/>
      </c>
      <c r="BA331" s="100" t="str">
        <f aca="false">IF(ISBLANK($C331),"",IF($X331=Constants!$B$2,TRUE(),IF($X331=Constants!$B$3,FALSE(),TRUE())))</f>
        <v/>
      </c>
      <c r="BB331" s="100" t="str">
        <f aca="false">IF(ISBLANK($C331),"",IF($Y331=Constants!$B$2,TRUE(),IF($Y331=Constants!$B$3,FALSE(),FALSE())))</f>
        <v/>
      </c>
      <c r="BC331" s="100" t="str">
        <f aca="false">IF(ISBLANK($C331),"",IF(ISBLANK($Z331),0,IF(ISNUMBER($Z331),IF(AND($Z331&gt;=0,$Z331&lt;=Constants!$B$35,$Z331=INT($Z331)),$Z331,""),"")))</f>
        <v/>
      </c>
      <c r="BD331" s="100" t="str">
        <f aca="false">IF(ISBLANK($C331),"",IF($AA331=Constants!$B$2,TRUE(),IF($AA331=Constants!$B$3,FALSE(),TRUE())))</f>
        <v/>
      </c>
      <c r="BE331" s="100" t="str">
        <f aca="false">IF(ISBLANK($C331),"",IF($AB331=Constants!$B$2,TRUE(),IF($AB331=Constants!$B$3,FALSE(),TRUE())))</f>
        <v/>
      </c>
      <c r="BF331" s="100" t="str">
        <f aca="false">IF(ISBLANK($C331),"",IF(ISNUMBER($AC331),IF($AC331&gt;=0,$AC331,""),""))</f>
        <v/>
      </c>
      <c r="BG331" s="100" t="str">
        <f aca="false">IF(ISBLANK($C331),"",IF($AD331=Constants!$B$2,TRUE(),IF($AD331=Constants!$B$3,FALSE(),FALSE())))</f>
        <v/>
      </c>
      <c r="BH331" s="99" t="str">
        <f aca="false">IF(ISBLANK($C331),"",IF($BG331,Constants!$B$7,IF(COUNTA($E331:$AC331)=0,Constants!$B$6,IF(OR(COUNTA($G331:$AC331)=0,NOT($AK331),$AQ331),Constants!$B$5,IF(OR($CI331&lt;&gt;"",$CJ331,$CK331,$CL331,$CM331,$CN331,$CO331),Constants!$B$8,Constants!$B$4)))))</f>
        <v/>
      </c>
      <c r="BI331" s="100" t="str">
        <f aca="false">IF(ISBLANK($C331),"",IF($BH331&lt;&gt;Constants!$B$4,$BH331,IF(OR(NOT($AH331),NOT($AJ331),NOT($AR331)),Constants!$B$11,IF(OR(NOT($AP331),MAX($AL331,$AM331,$AN331)&gt;Constants!$B$30),Constants!$B$10,Constants!$B$9))))</f>
        <v/>
      </c>
      <c r="BJ331" s="100" t="str">
        <f aca="false">IF($BH331&lt;&gt;Constants!$B$4,"",IF(NOT($AJ331),0,MIN(Constants!$B$35,$BC331)))</f>
        <v/>
      </c>
      <c r="BK331" s="100" t="str">
        <f aca="false">IF($BH331&lt;&gt;Constants!$B$4,"",IF(NOT($AJ331),0,IF($AT331,Constants!$B$18,IF($AS331,Constants!$B$17,0))))</f>
        <v/>
      </c>
      <c r="BL331" s="100" t="str">
        <f aca="false">IF($BH331&lt;&gt;Constants!$B$4,"",IF(NOT($AJ331),0,Constants!$B$19*($AI331+$AU331+$AV331+$AW331)))</f>
        <v/>
      </c>
      <c r="BM331" s="100" t="str">
        <f aca="false">IF($BH331&lt;&gt;Constants!$B$4,"",IF(OR(NOT($AJ331),NOT(ISNUMBER($AX331))),0,CHOOSE($AX331,Constants!$B$13,Constants!$B$14,Constants!$B$15,Constants!$B$16)))</f>
        <v/>
      </c>
      <c r="BN331" s="100" t="str">
        <f aca="false">IF($BH331&lt;&gt;Constants!$B$4,"",IF(NOT($AJ331),0,Constants!$B$20*$AY331))</f>
        <v/>
      </c>
      <c r="BO331" s="100" t="str">
        <f aca="false">IF($BH331&lt;&gt;Constants!$B$4,"",IF(AND($AJ331,$BA331,$BB331),Constants!$B$22,0))</f>
        <v/>
      </c>
      <c r="BP331" s="100" t="str">
        <f aca="false">IF($BH331&lt;&gt;Constants!$B$4,"",IF(OR(NOT($AJ331),NOT($BA331)),0,IF($BF331&gt;=2*$AF$9,0,Constants!$B$23*INT(ROUND(MIN($BF331,$AF$9),6)))))</f>
        <v/>
      </c>
      <c r="BQ331" s="100" t="str">
        <f aca="false">IF($BH331&lt;&gt;Constants!$B$4,"",IF(NOT($AJ331),0,Constants!$B$24*INT(ROUND(MIN($AZ331,$AF$9),6))))</f>
        <v/>
      </c>
      <c r="BR331" s="100" t="str">
        <f aca="false">IF($BH331&lt;&gt;Constants!$B$4,"",IF(AND($AJ331,$BJ331=0),Constants!$B$25,0))</f>
        <v/>
      </c>
      <c r="BS331" s="100" t="str">
        <f aca="false">IF($BH331&lt;&gt;Constants!$B$4,"",MIN(Constants!$B$29,MAX(0,Constants!$B$27*Constants!$B$28*INT(ROUND((Constants!$B$26-$AL331)/Constants!$B$28,6))))+MIN(Constants!$B$29,MAX(0,Constants!$B$27*Constants!$B$28*INT(ROUND((Constants!$B$26-$AM331)/Constants!$B$28,6))))+MIN(Constants!$B$29,MAX(0,Constants!$B$27*Constants!$B$28*INT(ROUND((Constants!$B$26-$AN331)/Constants!$B$28,6)))))</f>
        <v/>
      </c>
      <c r="BT331" s="100" t="str">
        <f aca="false">IF($BH331&lt;&gt;Constants!$B$4,"",IF(NOT($AJ331),0,Constants!$B$31*INT(ROUND(MAX(0,MIN($BF331,2*$AF$9)-$AF$9),6))))</f>
        <v/>
      </c>
      <c r="BU331" s="100" t="str">
        <f aca="false">IF($BH331&lt;&gt;Constants!$B$4,"",Constants!$B$32*(($AL331&gt;Constants!$B$26)+($AM331&gt;Constants!$B$26)+($AN331&gt;Constants!$B$26)))</f>
        <v/>
      </c>
      <c r="BV331" s="100" t="str">
        <f aca="false">IF($BH331&lt;&gt;Constants!$B$4,"",IF(OR(NOT($AJ331),$AO331),0,Constants!$B$33))</f>
        <v/>
      </c>
      <c r="BW331" s="100" t="str">
        <f aca="false">IF($BH331&lt;&gt;Constants!$B$4,"",Constants!$B$34*$BJ331)</f>
        <v/>
      </c>
      <c r="BX331" s="100" t="str">
        <f aca="false">IF($BH331&lt;&gt;Constants!$B$4,"",IF(OR(NOT($AJ331),$BE331),0,Constants!$B$36))</f>
        <v/>
      </c>
      <c r="BY331" s="100" t="str">
        <f aca="false">IF($BH331&lt;&gt;Constants!$B$4,"",IF(OR(NOT($AJ331),$BD331),0,Constants!$B$37))</f>
        <v/>
      </c>
      <c r="BZ331" s="100" t="str">
        <f aca="false">IF($BH331&lt;&gt;Constants!$B$4,"",SUM($BT331:$BY331))</f>
        <v/>
      </c>
      <c r="CA331" s="100" t="str">
        <f aca="false">IF(ISBLANK($C331),"",IF($BH331&lt;&gt;Constants!$B$4,$BH331,SUM($BK331:$BS331)-$BZ331))</f>
        <v/>
      </c>
      <c r="CB331" s="100" t="str">
        <f aca="false">IF(ISBLANK($C331),"",IF($BH331&lt;&gt;Constants!$B$4,$BH331,RANK($CA331,$CA$9:$CA$508)))</f>
        <v/>
      </c>
      <c r="CC331" s="100" t="str">
        <f aca="false">IF(ISBLANK($C331),"",IF($BH331&lt;&gt;Constants!$B$4,$BH331,COUNTIFS($BI$9:$BI$508,"&lt;"&amp;$BI331)+COUNTIFS($BI$9:$BI$508,$BI331,$CB$9:$CB$508,"&lt;"&amp;$CB331)+1))</f>
        <v/>
      </c>
      <c r="CD331" s="100" t="str">
        <f aca="false">IF(ISBLANK($C331),"",IF($BH331&lt;&gt;Constants!$B$4,$BH331,RANK($BZ331,$BZ$9:$BZ$508,1)))</f>
        <v/>
      </c>
      <c r="CE331" s="100" t="str">
        <f aca="false">IF($BH331&lt;&gt;Constants!$B$4,"",$AL331+$AM331+$AN331)</f>
        <v/>
      </c>
      <c r="CF331" s="100" t="str">
        <f aca="false">IF(ISBLANK($C331),"",IF($BH331&lt;&gt;Constants!$B$4,$BH331,RANK($CE331,$CE$9:$CE$508,1)))</f>
        <v/>
      </c>
      <c r="CG331" s="100" t="str">
        <f aca="false">IF(ISBLANK($C331),"",IF($BH331&lt;&gt;Constants!$B$4,$BH331,COUNTIFS($BI$9:$BI$508,"&lt;"&amp;$BI331)+COUNTIFS($BI$9:$BI$508,$BI331,$CB$9:$CB$508,"&lt;"&amp;$CB331)+COUNTIFS($BI$9:$BI$508,$BI331,$CB$9:$CB$508,$CB331,$CD$9:$CD$508,"&lt;"&amp;$CD331)+COUNTIFS($BI$9:$BI$508,$BI331,$CB$9:$CB$508,$CB331,$CD$9:$CD$508,$CD331,$CF$9:$CF$508,"&lt;"&amp;$CF331)+1))</f>
        <v/>
      </c>
      <c r="CH331" s="100" t="str">
        <f aca="false">IF(ISBLANK($C331),"",IF($BH331&lt;&gt;Constants!$B$4,$BH331,$CC331-$CG331))</f>
        <v/>
      </c>
      <c r="CI331" s="100" t="str">
        <f aca="false">IF(ISBLANK($C331),"",IF(NOT($AJ331),"",IF(ISBLANK($D$7),$CI$5,IF(NOT(ISNUMBER($D$7)),$CI$6,""))))</f>
        <v/>
      </c>
      <c r="CJ331" s="100" t="str">
        <f aca="false">IF(ISBLANK($C331),"",OR($AL331="",$AM331="",$AN331=""))</f>
        <v/>
      </c>
      <c r="CK331" s="100" t="str">
        <f aca="false">IF(ISBLANK($C331),"",AND($AJ331,$AX331=""))</f>
        <v/>
      </c>
      <c r="CL331" s="100" t="str">
        <f aca="false">IF(ISBLANK($C331),"",AND($AJ331,$AY331=""))</f>
        <v/>
      </c>
      <c r="CM331" s="100" t="str">
        <f aca="false">IF(ISBLANK($C331),"",AND($AJ331,$AZ331=""))</f>
        <v/>
      </c>
      <c r="CN331" s="100" t="str">
        <f aca="false">IF(ISBLANK($C331),"",AND($AJ331,$BC331=""))</f>
        <v/>
      </c>
      <c r="CO331" s="100" t="str">
        <f aca="false">IF(ISBLANK($C331),"",AND($AJ331,$BF331=""))</f>
        <v/>
      </c>
      <c r="CP331" s="101"/>
      <c r="CQ331" s="102"/>
      <c r="CR331" s="103" t="str">
        <f aca="false">IF(ISBLANK($C331),"",IF($BH331=Constants!$B$8,$CI331,""))</f>
        <v/>
      </c>
      <c r="CS331" s="102" t="str">
        <f aca="false">IF(ISBLANK($C331),"",IF($BH331&lt;&gt;Constants!$B$4,"",$BK331+$BL331))</f>
        <v/>
      </c>
      <c r="CT331" s="104" t="str">
        <f aca="false">IF(ISBLANK($C331),"",IF($BH331&lt;&gt;Constants!$B$4,"",$BM331+$BN331+$BO331))</f>
        <v/>
      </c>
      <c r="CU331" s="104" t="str">
        <f aca="false">IF(ISBLANK($C331),"",IF($BH331&lt;&gt;Constants!$B$4,"",$BP331))</f>
        <v/>
      </c>
      <c r="CV331" s="104" t="str">
        <f aca="false">IF(ISBLANK($C331),"",IF($BH331&lt;&gt;Constants!$B$4,"",$BQ331+$BR331))</f>
        <v/>
      </c>
      <c r="CW331" s="104" t="str">
        <f aca="false">IF(ISBLANK($C331),"",IF($BH331&lt;&gt;Constants!$B$4,"",$BS331))</f>
        <v/>
      </c>
      <c r="CX331" s="104" t="str">
        <f aca="false">IF(ISBLANK($C331),"",IF($BH331&lt;&gt;Constants!$B$4,"",-$BZ331))</f>
        <v/>
      </c>
      <c r="CY331" s="103" t="str">
        <f aca="false">IF(ISBLANK($C331),"",$CA331)</f>
        <v/>
      </c>
      <c r="CZ331" s="105" t="str">
        <f aca="false">IF(ISBLANK($C331),"",$BI331)</f>
        <v/>
      </c>
      <c r="DA331" s="104" t="str">
        <f aca="false">IF(ISBLANK($C331),"",$CH331)</f>
        <v/>
      </c>
      <c r="DB331" s="104" t="str">
        <f aca="false">IF(ISBLANK($C331),"",$CG331)</f>
        <v/>
      </c>
      <c r="DC331" s="106" t="str">
        <f aca="false">IF(ISBLANK($C331),"",IFERROR(_xlfn.SWITCH($DB331,Constants!$B$7,COUNTA($C$9:$C$508)+2,Constants!$B$6,COUNTA($C$9:$C$508)+1,Constants!$B$5,COUNTA($C$9:$C$508)),$DB331))</f>
        <v/>
      </c>
      <c r="DD331" s="7"/>
      <c r="DE331" s="107" t="n">
        <f aca="false">IF(OR(ISNUMBER($DB331),$DB331=Constants!$B$7,$DB331=Constants!$B$5,$DB331=Constants!$B$6),1,0)</f>
        <v>0</v>
      </c>
      <c r="DF331" s="107" t="n">
        <v>323</v>
      </c>
      <c r="DG331" s="107" t="str">
        <f aca="false">IF(ISBLANK($C331),"",IF(ISNUMBER($DC331),$DC331+ROW($B331)/1000,""))</f>
        <v/>
      </c>
      <c r="DH331" s="107" t="str">
        <f aca="false">IF(ISNUMBER($DG331),RANK($DG331,$DG$9:$DG$508,1),"")</f>
        <v/>
      </c>
      <c r="DI331" s="107" t="str">
        <f aca="false">IF(ISBLANK($C331),"",$B331)</f>
        <v/>
      </c>
      <c r="DJ331" s="107" t="str">
        <f aca="false">IF(ISBLANK($C331),"",$C331)</f>
        <v/>
      </c>
      <c r="DK331" s="107" t="str">
        <f aca="false">IF(ISBLANK($C331),"",$D331)</f>
        <v/>
      </c>
      <c r="DL331" s="108" t="str">
        <f aca="false">$CZ331</f>
        <v/>
      </c>
      <c r="DM331" s="109" t="str">
        <f aca="false">$CY331</f>
        <v/>
      </c>
      <c r="DN331" s="107" t="str">
        <f aca="false">IF(ISBLANK($C331),"",$DB331)</f>
        <v/>
      </c>
      <c r="DO331" s="110" t="str">
        <f aca="false">IF($DF331&gt;$DE$8,"",VLOOKUP($DF331,$DH$9:$DN$508,7,FALSE()))</f>
        <v/>
      </c>
      <c r="DP331" s="111" t="str">
        <f aca="false">IF($DF331&gt;$DE$8,"",VLOOKUP($DF331,$DH$9:$DN$508,2,FALSE()))</f>
        <v/>
      </c>
      <c r="DQ331" s="111" t="str">
        <f aca="false">IF($DF331&gt;$DE$8,"",VLOOKUP($DF331,$DH$9:$DN$508,3,FALSE()))</f>
        <v/>
      </c>
      <c r="DR331" s="111" t="str">
        <f aca="false">IF($DF331&gt;$DE$8,"",VLOOKUP($DF331,$DH$9:$DN$508,4,FALSE()))</f>
        <v/>
      </c>
      <c r="DS331" s="111" t="str">
        <f aca="false">IF($DF331&gt;$DE$8,"",VLOOKUP($DF331,$DH$9:$DN$508,5,FALSE()))</f>
        <v/>
      </c>
      <c r="DT331" s="112" t="str">
        <f aca="false">IF($DF331&gt;$DE$8,"",VLOOKUP($DF331,$DH$9:$DN$508,6,FALSE()))</f>
        <v/>
      </c>
      <c r="DU331" s="62"/>
    </row>
    <row r="332" customFormat="false" ht="15.75" hidden="false" customHeight="false" outlineLevel="0" collapsed="false">
      <c r="A332" s="7"/>
      <c r="B332" s="90"/>
      <c r="C332" s="91"/>
      <c r="D332" s="126"/>
      <c r="E332" s="130"/>
      <c r="F332" s="135"/>
      <c r="G332" s="130"/>
      <c r="H332" s="135"/>
      <c r="I332" s="131"/>
      <c r="J332" s="131"/>
      <c r="K332" s="131"/>
      <c r="L332" s="130"/>
      <c r="M332" s="130"/>
      <c r="N332" s="130"/>
      <c r="O332" s="135"/>
      <c r="P332" s="130"/>
      <c r="Q332" s="130"/>
      <c r="R332" s="130"/>
      <c r="S332" s="130"/>
      <c r="T332" s="135"/>
      <c r="U332" s="130"/>
      <c r="V332" s="96"/>
      <c r="W332" s="130"/>
      <c r="X332" s="130"/>
      <c r="Y332" s="96"/>
      <c r="Z332" s="96"/>
      <c r="AA332" s="130"/>
      <c r="AB332" s="130"/>
      <c r="AC332" s="97"/>
      <c r="AD332" s="130"/>
      <c r="AE332" s="99"/>
      <c r="AF332" s="100"/>
      <c r="AG332" s="100"/>
      <c r="AH332" s="100" t="str">
        <f aca="false">IF(ISBLANK($C332),"",IF($E332=Constants!$B$2,TRUE(),IF($E332=Constants!$B$3,FALSE(),TRUE())))</f>
        <v/>
      </c>
      <c r="AI332" s="100" t="str">
        <f aca="false">IF(ISBLANK($C332),"",IF($F332=Constants!$B$2,TRUE(),IF($F332=Constants!$B$3,FALSE(),FALSE())))</f>
        <v/>
      </c>
      <c r="AJ332" s="100" t="str">
        <f aca="false">IF(ISBLANK($C332),"",IF($G332=Constants!$B$2,TRUE(),IF($G332=Constants!$B$3,FALSE(),TRUE())))</f>
        <v/>
      </c>
      <c r="AK332" s="100" t="str">
        <f aca="false">IF(ISBLANK($C332),"",IF($H332=Constants!$B$2,TRUE(),IF($H332=Constants!$B$3,FALSE(),TRUE())))</f>
        <v/>
      </c>
      <c r="AL332" s="100" t="str">
        <f aca="false">IF(ISBLANK($C332),"",IF(ISNUMBER($I332),IF($I332&gt;=0,$I332,""),""))</f>
        <v/>
      </c>
      <c r="AM332" s="100" t="str">
        <f aca="false">IF(ISBLANK($C332),"",IF(ISNUMBER($J332),IF($J332&gt;=0,$J332,""),""))</f>
        <v/>
      </c>
      <c r="AN332" s="100" t="str">
        <f aca="false">IF(ISBLANK($C332),"",IF(ISNUMBER($K332),IF($K332&gt;=0,$K332,""),""))</f>
        <v/>
      </c>
      <c r="AO332" s="100" t="str">
        <f aca="false">IF(ISBLANK($C332),"",IF($L332=Constants!$B$2,TRUE(),IF($L332=Constants!$B$3,FALSE(),TRUE())))</f>
        <v/>
      </c>
      <c r="AP332" s="100" t="str">
        <f aca="false">IF(ISBLANK($C332),"",IF($M332=Constants!$B$2,TRUE(),IF($M332=Constants!$B$3,FALSE(),TRUE())))</f>
        <v/>
      </c>
      <c r="AQ332" s="100" t="str">
        <f aca="false">IF(ISBLANK($C332),"",IF($N332=Constants!$B$2,TRUE(),IF($N332=Constants!$B$3,FALSE(),FALSE())))</f>
        <v/>
      </c>
      <c r="AR332" s="100" t="str">
        <f aca="false">IF(ISBLANK($C332),"",IF($O332=Constants!$B$2,TRUE(),IF($O332=Constants!$B$3,FALSE(),TRUE())))</f>
        <v/>
      </c>
      <c r="AS332" s="100" t="str">
        <f aca="false">IF(ISBLANK($C332),"",IF($P332=Constants!$B$2,TRUE(),IF($P332=Constants!$B$3,FALSE(),FALSE())))</f>
        <v/>
      </c>
      <c r="AT332" s="100" t="str">
        <f aca="false">IF(ISBLANK($C332),"",IF($Q332=Constants!$B$2,TRUE(),IF($Q332=Constants!$B$3,FALSE(),FALSE())))</f>
        <v/>
      </c>
      <c r="AU332" s="100" t="str">
        <f aca="false">IF(ISBLANK($C332),"",IF($R332=Constants!$B$2,TRUE(),IF($R332=Constants!$B$3,FALSE(),FALSE())))</f>
        <v/>
      </c>
      <c r="AV332" s="100" t="str">
        <f aca="false">IF(ISBLANK($C332),"",IF($S332=Constants!$B$2,TRUE(),IF($S332=Constants!$B$3,FALSE(),FALSE())))</f>
        <v/>
      </c>
      <c r="AW332" s="100" t="str">
        <f aca="false">IF(ISBLANK($C332),"",IF($T332=Constants!$B$2,TRUE(),IF($T332=Constants!$B$3,FALSE(),FALSE())))</f>
        <v/>
      </c>
      <c r="AX332" s="100" t="str">
        <f aca="false">IF(ISBLANK($C332),"",IF(OR($U332&amp;""="1",$U332&amp;""="2",$U332&amp;""="3",$U332&amp;""="4"),VALUE($U332&amp;""),IF($U332=Constants!$B$12,Constants!$B$12,"")))</f>
        <v/>
      </c>
      <c r="AY332" s="100" t="str">
        <f aca="false">IF(ISBLANK($C332),"",IF(ISBLANK($V332),0,IF(ISNUMBER($V332),IF(AND($V332&gt;=0,$V332&lt;=Constants!$B$21,$V332=INT($V332)),$V332,""),"")))</f>
        <v/>
      </c>
      <c r="AZ332" s="100" t="str">
        <f aca="false">IF(ISBLANK($C332),"",IF(ISBLANK($W332),0,IF(ISNUMBER($W332),IF($W332&gt;=0,$W332,""),"")))</f>
        <v/>
      </c>
      <c r="BA332" s="100" t="str">
        <f aca="false">IF(ISBLANK($C332),"",IF($X332=Constants!$B$2,TRUE(),IF($X332=Constants!$B$3,FALSE(),TRUE())))</f>
        <v/>
      </c>
      <c r="BB332" s="100" t="str">
        <f aca="false">IF(ISBLANK($C332),"",IF($Y332=Constants!$B$2,TRUE(),IF($Y332=Constants!$B$3,FALSE(),FALSE())))</f>
        <v/>
      </c>
      <c r="BC332" s="100" t="str">
        <f aca="false">IF(ISBLANK($C332),"",IF(ISBLANK($Z332),0,IF(ISNUMBER($Z332),IF(AND($Z332&gt;=0,$Z332&lt;=Constants!$B$35,$Z332=INT($Z332)),$Z332,""),"")))</f>
        <v/>
      </c>
      <c r="BD332" s="100" t="str">
        <f aca="false">IF(ISBLANK($C332),"",IF($AA332=Constants!$B$2,TRUE(),IF($AA332=Constants!$B$3,FALSE(),TRUE())))</f>
        <v/>
      </c>
      <c r="BE332" s="100" t="str">
        <f aca="false">IF(ISBLANK($C332),"",IF($AB332=Constants!$B$2,TRUE(),IF($AB332=Constants!$B$3,FALSE(),TRUE())))</f>
        <v/>
      </c>
      <c r="BF332" s="100" t="str">
        <f aca="false">IF(ISBLANK($C332),"",IF(ISNUMBER($AC332),IF($AC332&gt;=0,$AC332,""),""))</f>
        <v/>
      </c>
      <c r="BG332" s="100" t="str">
        <f aca="false">IF(ISBLANK($C332),"",IF($AD332=Constants!$B$2,TRUE(),IF($AD332=Constants!$B$3,FALSE(),FALSE())))</f>
        <v/>
      </c>
      <c r="BH332" s="99" t="str">
        <f aca="false">IF(ISBLANK($C332),"",IF($BG332,Constants!$B$7,IF(COUNTA($E332:$AC332)=0,Constants!$B$6,IF(OR(COUNTA($G332:$AC332)=0,NOT($AK332),$AQ332),Constants!$B$5,IF(OR($CI332&lt;&gt;"",$CJ332,$CK332,$CL332,$CM332,$CN332,$CO332),Constants!$B$8,Constants!$B$4)))))</f>
        <v/>
      </c>
      <c r="BI332" s="100" t="str">
        <f aca="false">IF(ISBLANK($C332),"",IF($BH332&lt;&gt;Constants!$B$4,$BH332,IF(OR(NOT($AH332),NOT($AJ332),NOT($AR332)),Constants!$B$11,IF(OR(NOT($AP332),MAX($AL332,$AM332,$AN332)&gt;Constants!$B$30),Constants!$B$10,Constants!$B$9))))</f>
        <v/>
      </c>
      <c r="BJ332" s="100" t="str">
        <f aca="false">IF($BH332&lt;&gt;Constants!$B$4,"",IF(NOT($AJ332),0,MIN(Constants!$B$35,$BC332)))</f>
        <v/>
      </c>
      <c r="BK332" s="100" t="str">
        <f aca="false">IF($BH332&lt;&gt;Constants!$B$4,"",IF(NOT($AJ332),0,IF($AT332,Constants!$B$18,IF($AS332,Constants!$B$17,0))))</f>
        <v/>
      </c>
      <c r="BL332" s="100" t="str">
        <f aca="false">IF($BH332&lt;&gt;Constants!$B$4,"",IF(NOT($AJ332),0,Constants!$B$19*($AI332+$AU332+$AV332+$AW332)))</f>
        <v/>
      </c>
      <c r="BM332" s="100" t="str">
        <f aca="false">IF($BH332&lt;&gt;Constants!$B$4,"",IF(OR(NOT($AJ332),NOT(ISNUMBER($AX332))),0,CHOOSE($AX332,Constants!$B$13,Constants!$B$14,Constants!$B$15,Constants!$B$16)))</f>
        <v/>
      </c>
      <c r="BN332" s="100" t="str">
        <f aca="false">IF($BH332&lt;&gt;Constants!$B$4,"",IF(NOT($AJ332),0,Constants!$B$20*$AY332))</f>
        <v/>
      </c>
      <c r="BO332" s="100" t="str">
        <f aca="false">IF($BH332&lt;&gt;Constants!$B$4,"",IF(AND($AJ332,$BA332,$BB332),Constants!$B$22,0))</f>
        <v/>
      </c>
      <c r="BP332" s="100" t="str">
        <f aca="false">IF($BH332&lt;&gt;Constants!$B$4,"",IF(OR(NOT($AJ332),NOT($BA332)),0,IF($BF332&gt;=2*$AF$9,0,Constants!$B$23*INT(ROUND(MIN($BF332,$AF$9),6)))))</f>
        <v/>
      </c>
      <c r="BQ332" s="100" t="str">
        <f aca="false">IF($BH332&lt;&gt;Constants!$B$4,"",IF(NOT($AJ332),0,Constants!$B$24*INT(ROUND(MIN($AZ332,$AF$9),6))))</f>
        <v/>
      </c>
      <c r="BR332" s="100" t="str">
        <f aca="false">IF($BH332&lt;&gt;Constants!$B$4,"",IF(AND($AJ332,$BJ332=0),Constants!$B$25,0))</f>
        <v/>
      </c>
      <c r="BS332" s="100" t="str">
        <f aca="false">IF($BH332&lt;&gt;Constants!$B$4,"",MIN(Constants!$B$29,MAX(0,Constants!$B$27*Constants!$B$28*INT(ROUND((Constants!$B$26-$AL332)/Constants!$B$28,6))))+MIN(Constants!$B$29,MAX(0,Constants!$B$27*Constants!$B$28*INT(ROUND((Constants!$B$26-$AM332)/Constants!$B$28,6))))+MIN(Constants!$B$29,MAX(0,Constants!$B$27*Constants!$B$28*INT(ROUND((Constants!$B$26-$AN332)/Constants!$B$28,6)))))</f>
        <v/>
      </c>
      <c r="BT332" s="100" t="str">
        <f aca="false">IF($BH332&lt;&gt;Constants!$B$4,"",IF(NOT($AJ332),0,Constants!$B$31*INT(ROUND(MAX(0,MIN($BF332,2*$AF$9)-$AF$9),6))))</f>
        <v/>
      </c>
      <c r="BU332" s="100" t="str">
        <f aca="false">IF($BH332&lt;&gt;Constants!$B$4,"",Constants!$B$32*(($AL332&gt;Constants!$B$26)+($AM332&gt;Constants!$B$26)+($AN332&gt;Constants!$B$26)))</f>
        <v/>
      </c>
      <c r="BV332" s="100" t="str">
        <f aca="false">IF($BH332&lt;&gt;Constants!$B$4,"",IF(OR(NOT($AJ332),$AO332),0,Constants!$B$33))</f>
        <v/>
      </c>
      <c r="BW332" s="100" t="str">
        <f aca="false">IF($BH332&lt;&gt;Constants!$B$4,"",Constants!$B$34*$BJ332)</f>
        <v/>
      </c>
      <c r="BX332" s="100" t="str">
        <f aca="false">IF($BH332&lt;&gt;Constants!$B$4,"",IF(OR(NOT($AJ332),$BE332),0,Constants!$B$36))</f>
        <v/>
      </c>
      <c r="BY332" s="100" t="str">
        <f aca="false">IF($BH332&lt;&gt;Constants!$B$4,"",IF(OR(NOT($AJ332),$BD332),0,Constants!$B$37))</f>
        <v/>
      </c>
      <c r="BZ332" s="100" t="str">
        <f aca="false">IF($BH332&lt;&gt;Constants!$B$4,"",SUM($BT332:$BY332))</f>
        <v/>
      </c>
      <c r="CA332" s="100" t="str">
        <f aca="false">IF(ISBLANK($C332),"",IF($BH332&lt;&gt;Constants!$B$4,$BH332,SUM($BK332:$BS332)-$BZ332))</f>
        <v/>
      </c>
      <c r="CB332" s="100" t="str">
        <f aca="false">IF(ISBLANK($C332),"",IF($BH332&lt;&gt;Constants!$B$4,$BH332,RANK($CA332,$CA$9:$CA$508)))</f>
        <v/>
      </c>
      <c r="CC332" s="100" t="str">
        <f aca="false">IF(ISBLANK($C332),"",IF($BH332&lt;&gt;Constants!$B$4,$BH332,COUNTIFS($BI$9:$BI$508,"&lt;"&amp;$BI332)+COUNTIFS($BI$9:$BI$508,$BI332,$CB$9:$CB$508,"&lt;"&amp;$CB332)+1))</f>
        <v/>
      </c>
      <c r="CD332" s="100" t="str">
        <f aca="false">IF(ISBLANK($C332),"",IF($BH332&lt;&gt;Constants!$B$4,$BH332,RANK($BZ332,$BZ$9:$BZ$508,1)))</f>
        <v/>
      </c>
      <c r="CE332" s="100" t="str">
        <f aca="false">IF($BH332&lt;&gt;Constants!$B$4,"",$AL332+$AM332+$AN332)</f>
        <v/>
      </c>
      <c r="CF332" s="100" t="str">
        <f aca="false">IF(ISBLANK($C332),"",IF($BH332&lt;&gt;Constants!$B$4,$BH332,RANK($CE332,$CE$9:$CE$508,1)))</f>
        <v/>
      </c>
      <c r="CG332" s="100" t="str">
        <f aca="false">IF(ISBLANK($C332),"",IF($BH332&lt;&gt;Constants!$B$4,$BH332,COUNTIFS($BI$9:$BI$508,"&lt;"&amp;$BI332)+COUNTIFS($BI$9:$BI$508,$BI332,$CB$9:$CB$508,"&lt;"&amp;$CB332)+COUNTIFS($BI$9:$BI$508,$BI332,$CB$9:$CB$508,$CB332,$CD$9:$CD$508,"&lt;"&amp;$CD332)+COUNTIFS($BI$9:$BI$508,$BI332,$CB$9:$CB$508,$CB332,$CD$9:$CD$508,$CD332,$CF$9:$CF$508,"&lt;"&amp;$CF332)+1))</f>
        <v/>
      </c>
      <c r="CH332" s="100" t="str">
        <f aca="false">IF(ISBLANK($C332),"",IF($BH332&lt;&gt;Constants!$B$4,$BH332,$CC332-$CG332))</f>
        <v/>
      </c>
      <c r="CI332" s="100" t="str">
        <f aca="false">IF(ISBLANK($C332),"",IF(NOT($AJ332),"",IF(ISBLANK($D$7),$CI$5,IF(NOT(ISNUMBER($D$7)),$CI$6,""))))</f>
        <v/>
      </c>
      <c r="CJ332" s="100" t="str">
        <f aca="false">IF(ISBLANK($C332),"",OR($AL332="",$AM332="",$AN332=""))</f>
        <v/>
      </c>
      <c r="CK332" s="100" t="str">
        <f aca="false">IF(ISBLANK($C332),"",AND($AJ332,$AX332=""))</f>
        <v/>
      </c>
      <c r="CL332" s="100" t="str">
        <f aca="false">IF(ISBLANK($C332),"",AND($AJ332,$AY332=""))</f>
        <v/>
      </c>
      <c r="CM332" s="100" t="str">
        <f aca="false">IF(ISBLANK($C332),"",AND($AJ332,$AZ332=""))</f>
        <v/>
      </c>
      <c r="CN332" s="100" t="str">
        <f aca="false">IF(ISBLANK($C332),"",AND($AJ332,$BC332=""))</f>
        <v/>
      </c>
      <c r="CO332" s="100" t="str">
        <f aca="false">IF(ISBLANK($C332),"",AND($AJ332,$BF332=""))</f>
        <v/>
      </c>
      <c r="CP332" s="101"/>
      <c r="CQ332" s="102"/>
      <c r="CR332" s="103" t="str">
        <f aca="false">IF(ISBLANK($C332),"",IF($BH332=Constants!$B$8,$CI332,""))</f>
        <v/>
      </c>
      <c r="CS332" s="102" t="str">
        <f aca="false">IF(ISBLANK($C332),"",IF($BH332&lt;&gt;Constants!$B$4,"",$BK332+$BL332))</f>
        <v/>
      </c>
      <c r="CT332" s="104" t="str">
        <f aca="false">IF(ISBLANK($C332),"",IF($BH332&lt;&gt;Constants!$B$4,"",$BM332+$BN332+$BO332))</f>
        <v/>
      </c>
      <c r="CU332" s="104" t="str">
        <f aca="false">IF(ISBLANK($C332),"",IF($BH332&lt;&gt;Constants!$B$4,"",$BP332))</f>
        <v/>
      </c>
      <c r="CV332" s="104" t="str">
        <f aca="false">IF(ISBLANK($C332),"",IF($BH332&lt;&gt;Constants!$B$4,"",$BQ332+$BR332))</f>
        <v/>
      </c>
      <c r="CW332" s="104" t="str">
        <f aca="false">IF(ISBLANK($C332),"",IF($BH332&lt;&gt;Constants!$B$4,"",$BS332))</f>
        <v/>
      </c>
      <c r="CX332" s="104" t="str">
        <f aca="false">IF(ISBLANK($C332),"",IF($BH332&lt;&gt;Constants!$B$4,"",-$BZ332))</f>
        <v/>
      </c>
      <c r="CY332" s="103" t="str">
        <f aca="false">IF(ISBLANK($C332),"",$CA332)</f>
        <v/>
      </c>
      <c r="CZ332" s="105" t="str">
        <f aca="false">IF(ISBLANK($C332),"",$BI332)</f>
        <v/>
      </c>
      <c r="DA332" s="104" t="str">
        <f aca="false">IF(ISBLANK($C332),"",$CH332)</f>
        <v/>
      </c>
      <c r="DB332" s="104" t="str">
        <f aca="false">IF(ISBLANK($C332),"",$CG332)</f>
        <v/>
      </c>
      <c r="DC332" s="106" t="str">
        <f aca="false">IF(ISBLANK($C332),"",IFERROR(_xlfn.SWITCH($DB332,Constants!$B$7,COUNTA($C$9:$C$508)+2,Constants!$B$6,COUNTA($C$9:$C$508)+1,Constants!$B$5,COUNTA($C$9:$C$508)),$DB332))</f>
        <v/>
      </c>
      <c r="DD332" s="7"/>
      <c r="DE332" s="107" t="n">
        <f aca="false">IF(OR(ISNUMBER($DB332),$DB332=Constants!$B$7,$DB332=Constants!$B$5,$DB332=Constants!$B$6),1,0)</f>
        <v>0</v>
      </c>
      <c r="DF332" s="107" t="n">
        <v>324</v>
      </c>
      <c r="DG332" s="107" t="str">
        <f aca="false">IF(ISBLANK($C332),"",IF(ISNUMBER($DC332),$DC332+ROW($B332)/1000,""))</f>
        <v/>
      </c>
      <c r="DH332" s="107" t="str">
        <f aca="false">IF(ISNUMBER($DG332),RANK($DG332,$DG$9:$DG$508,1),"")</f>
        <v/>
      </c>
      <c r="DI332" s="107" t="str">
        <f aca="false">IF(ISBLANK($C332),"",$B332)</f>
        <v/>
      </c>
      <c r="DJ332" s="107" t="str">
        <f aca="false">IF(ISBLANK($C332),"",$C332)</f>
        <v/>
      </c>
      <c r="DK332" s="107" t="str">
        <f aca="false">IF(ISBLANK($C332),"",$D332)</f>
        <v/>
      </c>
      <c r="DL332" s="108" t="str">
        <f aca="false">$CZ332</f>
        <v/>
      </c>
      <c r="DM332" s="109" t="str">
        <f aca="false">$CY332</f>
        <v/>
      </c>
      <c r="DN332" s="107" t="str">
        <f aca="false">IF(ISBLANK($C332),"",$DB332)</f>
        <v/>
      </c>
      <c r="DO332" s="110" t="str">
        <f aca="false">IF($DF332&gt;$DE$8,"",VLOOKUP($DF332,$DH$9:$DN$508,7,FALSE()))</f>
        <v/>
      </c>
      <c r="DP332" s="111" t="str">
        <f aca="false">IF($DF332&gt;$DE$8,"",VLOOKUP($DF332,$DH$9:$DN$508,2,FALSE()))</f>
        <v/>
      </c>
      <c r="DQ332" s="111" t="str">
        <f aca="false">IF($DF332&gt;$DE$8,"",VLOOKUP($DF332,$DH$9:$DN$508,3,FALSE()))</f>
        <v/>
      </c>
      <c r="DR332" s="111" t="str">
        <f aca="false">IF($DF332&gt;$DE$8,"",VLOOKUP($DF332,$DH$9:$DN$508,4,FALSE()))</f>
        <v/>
      </c>
      <c r="DS332" s="111" t="str">
        <f aca="false">IF($DF332&gt;$DE$8,"",VLOOKUP($DF332,$DH$9:$DN$508,5,FALSE()))</f>
        <v/>
      </c>
      <c r="DT332" s="112" t="str">
        <f aca="false">IF($DF332&gt;$DE$8,"",VLOOKUP($DF332,$DH$9:$DN$508,6,FALSE()))</f>
        <v/>
      </c>
      <c r="DU332" s="62"/>
    </row>
    <row r="333" customFormat="false" ht="15.75" hidden="false" customHeight="false" outlineLevel="0" collapsed="false">
      <c r="A333" s="7"/>
      <c r="B333" s="64"/>
      <c r="C333" s="65"/>
      <c r="D333" s="123"/>
      <c r="E333" s="88"/>
      <c r="F333" s="134"/>
      <c r="G333" s="88"/>
      <c r="H333" s="134"/>
      <c r="I333" s="119"/>
      <c r="J333" s="119"/>
      <c r="K333" s="119"/>
      <c r="L333" s="88"/>
      <c r="M333" s="88"/>
      <c r="N333" s="88"/>
      <c r="O333" s="134"/>
      <c r="P333" s="88"/>
      <c r="Q333" s="88"/>
      <c r="R333" s="88"/>
      <c r="S333" s="88"/>
      <c r="T333" s="134"/>
      <c r="U333" s="88"/>
      <c r="V333" s="70"/>
      <c r="W333" s="88"/>
      <c r="X333" s="88"/>
      <c r="Y333" s="70"/>
      <c r="Z333" s="70"/>
      <c r="AA333" s="88"/>
      <c r="AB333" s="88"/>
      <c r="AC333" s="71"/>
      <c r="AD333" s="88"/>
      <c r="AE333" s="73"/>
      <c r="AF333" s="74"/>
      <c r="AG333" s="74"/>
      <c r="AH333" s="74" t="str">
        <f aca="false">IF(ISBLANK($C333),"",IF($E333=Constants!$B$2,TRUE(),IF($E333=Constants!$B$3,FALSE(),TRUE())))</f>
        <v/>
      </c>
      <c r="AI333" s="74" t="str">
        <f aca="false">IF(ISBLANK($C333),"",IF($F333=Constants!$B$2,TRUE(),IF($F333=Constants!$B$3,FALSE(),FALSE())))</f>
        <v/>
      </c>
      <c r="AJ333" s="74" t="str">
        <f aca="false">IF(ISBLANK($C333),"",IF($G333=Constants!$B$2,TRUE(),IF($G333=Constants!$B$3,FALSE(),TRUE())))</f>
        <v/>
      </c>
      <c r="AK333" s="74" t="str">
        <f aca="false">IF(ISBLANK($C333),"",IF($H333=Constants!$B$2,TRUE(),IF($H333=Constants!$B$3,FALSE(),TRUE())))</f>
        <v/>
      </c>
      <c r="AL333" s="74" t="str">
        <f aca="false">IF(ISBLANK($C333),"",IF(ISNUMBER($I333),IF($I333&gt;=0,$I333,""),""))</f>
        <v/>
      </c>
      <c r="AM333" s="74" t="str">
        <f aca="false">IF(ISBLANK($C333),"",IF(ISNUMBER($J333),IF($J333&gt;=0,$J333,""),""))</f>
        <v/>
      </c>
      <c r="AN333" s="74" t="str">
        <f aca="false">IF(ISBLANK($C333),"",IF(ISNUMBER($K333),IF($K333&gt;=0,$K333,""),""))</f>
        <v/>
      </c>
      <c r="AO333" s="74" t="str">
        <f aca="false">IF(ISBLANK($C333),"",IF($L333=Constants!$B$2,TRUE(),IF($L333=Constants!$B$3,FALSE(),TRUE())))</f>
        <v/>
      </c>
      <c r="AP333" s="74" t="str">
        <f aca="false">IF(ISBLANK($C333),"",IF($M333=Constants!$B$2,TRUE(),IF($M333=Constants!$B$3,FALSE(),TRUE())))</f>
        <v/>
      </c>
      <c r="AQ333" s="74" t="str">
        <f aca="false">IF(ISBLANK($C333),"",IF($N333=Constants!$B$2,TRUE(),IF($N333=Constants!$B$3,FALSE(),FALSE())))</f>
        <v/>
      </c>
      <c r="AR333" s="74" t="str">
        <f aca="false">IF(ISBLANK($C333),"",IF($O333=Constants!$B$2,TRUE(),IF($O333=Constants!$B$3,FALSE(),TRUE())))</f>
        <v/>
      </c>
      <c r="AS333" s="74" t="str">
        <f aca="false">IF(ISBLANK($C333),"",IF($P333=Constants!$B$2,TRUE(),IF($P333=Constants!$B$3,FALSE(),FALSE())))</f>
        <v/>
      </c>
      <c r="AT333" s="74" t="str">
        <f aca="false">IF(ISBLANK($C333),"",IF($Q333=Constants!$B$2,TRUE(),IF($Q333=Constants!$B$3,FALSE(),FALSE())))</f>
        <v/>
      </c>
      <c r="AU333" s="74" t="str">
        <f aca="false">IF(ISBLANK($C333),"",IF($R333=Constants!$B$2,TRUE(),IF($R333=Constants!$B$3,FALSE(),FALSE())))</f>
        <v/>
      </c>
      <c r="AV333" s="74" t="str">
        <f aca="false">IF(ISBLANK($C333),"",IF($S333=Constants!$B$2,TRUE(),IF($S333=Constants!$B$3,FALSE(),FALSE())))</f>
        <v/>
      </c>
      <c r="AW333" s="74" t="str">
        <f aca="false">IF(ISBLANK($C333),"",IF($T333=Constants!$B$2,TRUE(),IF($T333=Constants!$B$3,FALSE(),FALSE())))</f>
        <v/>
      </c>
      <c r="AX333" s="74" t="str">
        <f aca="false">IF(ISBLANK($C333),"",IF(OR($U333&amp;""="1",$U333&amp;""="2",$U333&amp;""="3",$U333&amp;""="4"),VALUE($U333&amp;""),IF($U333=Constants!$B$12,Constants!$B$12,"")))</f>
        <v/>
      </c>
      <c r="AY333" s="74" t="str">
        <f aca="false">IF(ISBLANK($C333),"",IF(ISBLANK($V333),0,IF(ISNUMBER($V333),IF(AND($V333&gt;=0,$V333&lt;=Constants!$B$21,$V333=INT($V333)),$V333,""),"")))</f>
        <v/>
      </c>
      <c r="AZ333" s="74" t="str">
        <f aca="false">IF(ISBLANK($C333),"",IF(ISBLANK($W333),0,IF(ISNUMBER($W333),IF($W333&gt;=0,$W333,""),"")))</f>
        <v/>
      </c>
      <c r="BA333" s="74" t="str">
        <f aca="false">IF(ISBLANK($C333),"",IF($X333=Constants!$B$2,TRUE(),IF($X333=Constants!$B$3,FALSE(),TRUE())))</f>
        <v/>
      </c>
      <c r="BB333" s="74" t="str">
        <f aca="false">IF(ISBLANK($C333),"",IF($Y333=Constants!$B$2,TRUE(),IF($Y333=Constants!$B$3,FALSE(),FALSE())))</f>
        <v/>
      </c>
      <c r="BC333" s="74" t="str">
        <f aca="false">IF(ISBLANK($C333),"",IF(ISBLANK($Z333),0,IF(ISNUMBER($Z333),IF(AND($Z333&gt;=0,$Z333&lt;=Constants!$B$35,$Z333=INT($Z333)),$Z333,""),"")))</f>
        <v/>
      </c>
      <c r="BD333" s="74" t="str">
        <f aca="false">IF(ISBLANK($C333),"",IF($AA333=Constants!$B$2,TRUE(),IF($AA333=Constants!$B$3,FALSE(),TRUE())))</f>
        <v/>
      </c>
      <c r="BE333" s="74" t="str">
        <f aca="false">IF(ISBLANK($C333),"",IF($AB333=Constants!$B$2,TRUE(),IF($AB333=Constants!$B$3,FALSE(),TRUE())))</f>
        <v/>
      </c>
      <c r="BF333" s="74" t="str">
        <f aca="false">IF(ISBLANK($C333),"",IF(ISNUMBER($AC333),IF($AC333&gt;=0,$AC333,""),""))</f>
        <v/>
      </c>
      <c r="BG333" s="74" t="str">
        <f aca="false">IF(ISBLANK($C333),"",IF($AD333=Constants!$B$2,TRUE(),IF($AD333=Constants!$B$3,FALSE(),FALSE())))</f>
        <v/>
      </c>
      <c r="BH333" s="73" t="str">
        <f aca="false">IF(ISBLANK($C333),"",IF($BG333,Constants!$B$7,IF(COUNTA($E333:$AC333)=0,Constants!$B$6,IF(OR(COUNTA($G333:$AC333)=0,NOT($AK333),$AQ333),Constants!$B$5,IF(OR($CI333&lt;&gt;"",$CJ333,$CK333,$CL333,$CM333,$CN333,$CO333),Constants!$B$8,Constants!$B$4)))))</f>
        <v/>
      </c>
      <c r="BI333" s="74" t="str">
        <f aca="false">IF(ISBLANK($C333),"",IF($BH333&lt;&gt;Constants!$B$4,$BH333,IF(OR(NOT($AH333),NOT($AJ333),NOT($AR333)),Constants!$B$11,IF(OR(NOT($AP333),MAX($AL333,$AM333,$AN333)&gt;Constants!$B$30),Constants!$B$10,Constants!$B$9))))</f>
        <v/>
      </c>
      <c r="BJ333" s="74" t="str">
        <f aca="false">IF($BH333&lt;&gt;Constants!$B$4,"",IF(NOT($AJ333),0,MIN(Constants!$B$35,$BC333)))</f>
        <v/>
      </c>
      <c r="BK333" s="74" t="str">
        <f aca="false">IF($BH333&lt;&gt;Constants!$B$4,"",IF(NOT($AJ333),0,IF($AT333,Constants!$B$18,IF($AS333,Constants!$B$17,0))))</f>
        <v/>
      </c>
      <c r="BL333" s="74" t="str">
        <f aca="false">IF($BH333&lt;&gt;Constants!$B$4,"",IF(NOT($AJ333),0,Constants!$B$19*($AI333+$AU333+$AV333+$AW333)))</f>
        <v/>
      </c>
      <c r="BM333" s="74" t="str">
        <f aca="false">IF($BH333&lt;&gt;Constants!$B$4,"",IF(OR(NOT($AJ333),NOT(ISNUMBER($AX333))),0,CHOOSE($AX333,Constants!$B$13,Constants!$B$14,Constants!$B$15,Constants!$B$16)))</f>
        <v/>
      </c>
      <c r="BN333" s="74" t="str">
        <f aca="false">IF($BH333&lt;&gt;Constants!$B$4,"",IF(NOT($AJ333),0,Constants!$B$20*$AY333))</f>
        <v/>
      </c>
      <c r="BO333" s="74" t="str">
        <f aca="false">IF($BH333&lt;&gt;Constants!$B$4,"",IF(AND($AJ333,$BA333,$BB333),Constants!$B$22,0))</f>
        <v/>
      </c>
      <c r="BP333" s="74" t="str">
        <f aca="false">IF($BH333&lt;&gt;Constants!$B$4,"",IF(OR(NOT($AJ333),NOT($BA333)),0,IF($BF333&gt;=2*$AF$9,0,Constants!$B$23*INT(ROUND(MIN($BF333,$AF$9),6)))))</f>
        <v/>
      </c>
      <c r="BQ333" s="74" t="str">
        <f aca="false">IF($BH333&lt;&gt;Constants!$B$4,"",IF(NOT($AJ333),0,Constants!$B$24*INT(ROUND(MIN($AZ333,$AF$9),6))))</f>
        <v/>
      </c>
      <c r="BR333" s="74" t="str">
        <f aca="false">IF($BH333&lt;&gt;Constants!$B$4,"",IF(AND($AJ333,$BJ333=0),Constants!$B$25,0))</f>
        <v/>
      </c>
      <c r="BS333" s="74" t="str">
        <f aca="false">IF($BH333&lt;&gt;Constants!$B$4,"",MIN(Constants!$B$29,MAX(0,Constants!$B$27*Constants!$B$28*INT(ROUND((Constants!$B$26-$AL333)/Constants!$B$28,6))))+MIN(Constants!$B$29,MAX(0,Constants!$B$27*Constants!$B$28*INT(ROUND((Constants!$B$26-$AM333)/Constants!$B$28,6))))+MIN(Constants!$B$29,MAX(0,Constants!$B$27*Constants!$B$28*INT(ROUND((Constants!$B$26-$AN333)/Constants!$B$28,6)))))</f>
        <v/>
      </c>
      <c r="BT333" s="74" t="str">
        <f aca="false">IF($BH333&lt;&gt;Constants!$B$4,"",IF(NOT($AJ333),0,Constants!$B$31*INT(ROUND(MAX(0,MIN($BF333,2*$AF$9)-$AF$9),6))))</f>
        <v/>
      </c>
      <c r="BU333" s="74" t="str">
        <f aca="false">IF($BH333&lt;&gt;Constants!$B$4,"",Constants!$B$32*(($AL333&gt;Constants!$B$26)+($AM333&gt;Constants!$B$26)+($AN333&gt;Constants!$B$26)))</f>
        <v/>
      </c>
      <c r="BV333" s="74" t="str">
        <f aca="false">IF($BH333&lt;&gt;Constants!$B$4,"",IF(OR(NOT($AJ333),$AO333),0,Constants!$B$33))</f>
        <v/>
      </c>
      <c r="BW333" s="74" t="str">
        <f aca="false">IF($BH333&lt;&gt;Constants!$B$4,"",Constants!$B$34*$BJ333)</f>
        <v/>
      </c>
      <c r="BX333" s="74" t="str">
        <f aca="false">IF($BH333&lt;&gt;Constants!$B$4,"",IF(OR(NOT($AJ333),$BE333),0,Constants!$B$36))</f>
        <v/>
      </c>
      <c r="BY333" s="74" t="str">
        <f aca="false">IF($BH333&lt;&gt;Constants!$B$4,"",IF(OR(NOT($AJ333),$BD333),0,Constants!$B$37))</f>
        <v/>
      </c>
      <c r="BZ333" s="74" t="str">
        <f aca="false">IF($BH333&lt;&gt;Constants!$B$4,"",SUM($BT333:$BY333))</f>
        <v/>
      </c>
      <c r="CA333" s="74" t="str">
        <f aca="false">IF(ISBLANK($C333),"",IF($BH333&lt;&gt;Constants!$B$4,$BH333,SUM($BK333:$BS333)-$BZ333))</f>
        <v/>
      </c>
      <c r="CB333" s="74" t="str">
        <f aca="false">IF(ISBLANK($C333),"",IF($BH333&lt;&gt;Constants!$B$4,$BH333,RANK($CA333,$CA$9:$CA$508)))</f>
        <v/>
      </c>
      <c r="CC333" s="74" t="str">
        <f aca="false">IF(ISBLANK($C333),"",IF($BH333&lt;&gt;Constants!$B$4,$BH333,COUNTIFS($BI$9:$BI$508,"&lt;"&amp;$BI333)+COUNTIFS($BI$9:$BI$508,$BI333,$CB$9:$CB$508,"&lt;"&amp;$CB333)+1))</f>
        <v/>
      </c>
      <c r="CD333" s="74" t="str">
        <f aca="false">IF(ISBLANK($C333),"",IF($BH333&lt;&gt;Constants!$B$4,$BH333,RANK($BZ333,$BZ$9:$BZ$508,1)))</f>
        <v/>
      </c>
      <c r="CE333" s="74" t="str">
        <f aca="false">IF($BH333&lt;&gt;Constants!$B$4,"",$AL333+$AM333+$AN333)</f>
        <v/>
      </c>
      <c r="CF333" s="74" t="str">
        <f aca="false">IF(ISBLANK($C333),"",IF($BH333&lt;&gt;Constants!$B$4,$BH333,RANK($CE333,$CE$9:$CE$508,1)))</f>
        <v/>
      </c>
      <c r="CG333" s="74" t="str">
        <f aca="false">IF(ISBLANK($C333),"",IF($BH333&lt;&gt;Constants!$B$4,$BH333,COUNTIFS($BI$9:$BI$508,"&lt;"&amp;$BI333)+COUNTIFS($BI$9:$BI$508,$BI333,$CB$9:$CB$508,"&lt;"&amp;$CB333)+COUNTIFS($BI$9:$BI$508,$BI333,$CB$9:$CB$508,$CB333,$CD$9:$CD$508,"&lt;"&amp;$CD333)+COUNTIFS($BI$9:$BI$508,$BI333,$CB$9:$CB$508,$CB333,$CD$9:$CD$508,$CD333,$CF$9:$CF$508,"&lt;"&amp;$CF333)+1))</f>
        <v/>
      </c>
      <c r="CH333" s="74" t="str">
        <f aca="false">IF(ISBLANK($C333),"",IF($BH333&lt;&gt;Constants!$B$4,$BH333,$CC333-$CG333))</f>
        <v/>
      </c>
      <c r="CI333" s="74" t="str">
        <f aca="false">IF(ISBLANK($C333),"",IF(NOT($AJ333),"",IF(ISBLANK($D$7),$CI$5,IF(NOT(ISNUMBER($D$7)),$CI$6,""))))</f>
        <v/>
      </c>
      <c r="CJ333" s="74" t="str">
        <f aca="false">IF(ISBLANK($C333),"",OR($AL333="",$AM333="",$AN333=""))</f>
        <v/>
      </c>
      <c r="CK333" s="74" t="str">
        <f aca="false">IF(ISBLANK($C333),"",AND($AJ333,$AX333=""))</f>
        <v/>
      </c>
      <c r="CL333" s="74" t="str">
        <f aca="false">IF(ISBLANK($C333),"",AND($AJ333,$AY333=""))</f>
        <v/>
      </c>
      <c r="CM333" s="74" t="str">
        <f aca="false">IF(ISBLANK($C333),"",AND($AJ333,$AZ333=""))</f>
        <v/>
      </c>
      <c r="CN333" s="74" t="str">
        <f aca="false">IF(ISBLANK($C333),"",AND($AJ333,$BC333=""))</f>
        <v/>
      </c>
      <c r="CO333" s="74" t="str">
        <f aca="false">IF(ISBLANK($C333),"",AND($AJ333,$BF333=""))</f>
        <v/>
      </c>
      <c r="CP333" s="75"/>
      <c r="CQ333" s="76"/>
      <c r="CR333" s="79" t="str">
        <f aca="false">IF(ISBLANK($C333),"",IF($BH333=Constants!$B$8,$CI333,""))</f>
        <v/>
      </c>
      <c r="CS333" s="76" t="str">
        <f aca="false">IF(ISBLANK($C333),"",IF($BH333&lt;&gt;Constants!$B$4,"",$BK333+$BL333))</f>
        <v/>
      </c>
      <c r="CT333" s="78" t="str">
        <f aca="false">IF(ISBLANK($C333),"",IF($BH333&lt;&gt;Constants!$B$4,"",$BM333+$BN333+$BO333))</f>
        <v/>
      </c>
      <c r="CU333" s="78" t="str">
        <f aca="false">IF(ISBLANK($C333),"",IF($BH333&lt;&gt;Constants!$B$4,"",$BP333))</f>
        <v/>
      </c>
      <c r="CV333" s="78" t="str">
        <f aca="false">IF(ISBLANK($C333),"",IF($BH333&lt;&gt;Constants!$B$4,"",$BQ333+$BR333))</f>
        <v/>
      </c>
      <c r="CW333" s="78" t="str">
        <f aca="false">IF(ISBLANK($C333),"",IF($BH333&lt;&gt;Constants!$B$4,"",$BS333))</f>
        <v/>
      </c>
      <c r="CX333" s="78" t="str">
        <f aca="false">IF(ISBLANK($C333),"",IF($BH333&lt;&gt;Constants!$B$4,"",-$BZ333))</f>
        <v/>
      </c>
      <c r="CY333" s="79" t="str">
        <f aca="false">IF(ISBLANK($C333),"",$CA333)</f>
        <v/>
      </c>
      <c r="CZ333" s="80" t="str">
        <f aca="false">IF(ISBLANK($C333),"",$BI333)</f>
        <v/>
      </c>
      <c r="DA333" s="78" t="str">
        <f aca="false">IF(ISBLANK($C333),"",$CH333)</f>
        <v/>
      </c>
      <c r="DB333" s="78" t="str">
        <f aca="false">IF(ISBLANK($C333),"",$CG333)</f>
        <v/>
      </c>
      <c r="DC333" s="81" t="str">
        <f aca="false">IF(ISBLANK($C333),"",IFERROR(_xlfn.SWITCH($DB333,Constants!$B$7,COUNTA($C$9:$C$508)+2,Constants!$B$6,COUNTA($C$9:$C$508)+1,Constants!$B$5,COUNTA($C$9:$C$508)),$DB333))</f>
        <v/>
      </c>
      <c r="DD333" s="7"/>
      <c r="DE333" s="82" t="n">
        <f aca="false">IF(OR(ISNUMBER($DB333),$DB333=Constants!$B$7,$DB333=Constants!$B$5,$DB333=Constants!$B$6),1,0)</f>
        <v>0</v>
      </c>
      <c r="DF333" s="82" t="n">
        <v>325</v>
      </c>
      <c r="DG333" s="82" t="str">
        <f aca="false">IF(ISBLANK($C333),"",IF(ISNUMBER($DC333),$DC333+ROW($B333)/1000,""))</f>
        <v/>
      </c>
      <c r="DH333" s="82" t="str">
        <f aca="false">IF(ISNUMBER($DG333),RANK($DG333,$DG$9:$DG$508,1),"")</f>
        <v/>
      </c>
      <c r="DI333" s="82" t="str">
        <f aca="false">IF(ISBLANK($C333),"",$B333)</f>
        <v/>
      </c>
      <c r="DJ333" s="82" t="str">
        <f aca="false">IF(ISBLANK($C333),"",$C333)</f>
        <v/>
      </c>
      <c r="DK333" s="82" t="str">
        <f aca="false">IF(ISBLANK($C333),"",$D333)</f>
        <v/>
      </c>
      <c r="DL333" s="83" t="str">
        <f aca="false">$CZ333</f>
        <v/>
      </c>
      <c r="DM333" s="84" t="str">
        <f aca="false">$CY333</f>
        <v/>
      </c>
      <c r="DN333" s="82" t="str">
        <f aca="false">IF(ISBLANK($C333),"",$DB333)</f>
        <v/>
      </c>
      <c r="DO333" s="85" t="str">
        <f aca="false">IF($DF333&gt;$DE$8,"",VLOOKUP($DF333,$DH$9:$DN$508,7,FALSE()))</f>
        <v/>
      </c>
      <c r="DP333" s="86" t="str">
        <f aca="false">IF($DF333&gt;$DE$8,"",VLOOKUP($DF333,$DH$9:$DN$508,2,FALSE()))</f>
        <v/>
      </c>
      <c r="DQ333" s="86" t="str">
        <f aca="false">IF($DF333&gt;$DE$8,"",VLOOKUP($DF333,$DH$9:$DN$508,3,FALSE()))</f>
        <v/>
      </c>
      <c r="DR333" s="86" t="str">
        <f aca="false">IF($DF333&gt;$DE$8,"",VLOOKUP($DF333,$DH$9:$DN$508,4,FALSE()))</f>
        <v/>
      </c>
      <c r="DS333" s="86" t="str">
        <f aca="false">IF($DF333&gt;$DE$8,"",VLOOKUP($DF333,$DH$9:$DN$508,5,FALSE()))</f>
        <v/>
      </c>
      <c r="DT333" s="87" t="str">
        <f aca="false">IF($DF333&gt;$DE$8,"",VLOOKUP($DF333,$DH$9:$DN$508,6,FALSE()))</f>
        <v/>
      </c>
      <c r="DU333" s="62"/>
    </row>
    <row r="334" customFormat="false" ht="15.75" hidden="false" customHeight="false" outlineLevel="0" collapsed="false">
      <c r="A334" s="7"/>
      <c r="B334" s="64"/>
      <c r="C334" s="65"/>
      <c r="D334" s="123"/>
      <c r="E334" s="88"/>
      <c r="F334" s="134"/>
      <c r="G334" s="88"/>
      <c r="H334" s="134"/>
      <c r="I334" s="119"/>
      <c r="J334" s="119"/>
      <c r="K334" s="119"/>
      <c r="L334" s="88"/>
      <c r="M334" s="88"/>
      <c r="N334" s="88"/>
      <c r="O334" s="134"/>
      <c r="P334" s="88"/>
      <c r="Q334" s="88"/>
      <c r="R334" s="88"/>
      <c r="S334" s="88"/>
      <c r="T334" s="134"/>
      <c r="U334" s="88"/>
      <c r="V334" s="70"/>
      <c r="W334" s="88"/>
      <c r="X334" s="88"/>
      <c r="Y334" s="70"/>
      <c r="Z334" s="70"/>
      <c r="AA334" s="88"/>
      <c r="AB334" s="88"/>
      <c r="AC334" s="71"/>
      <c r="AD334" s="88"/>
      <c r="AE334" s="73"/>
      <c r="AF334" s="74"/>
      <c r="AG334" s="74"/>
      <c r="AH334" s="74" t="str">
        <f aca="false">IF(ISBLANK($C334),"",IF($E334=Constants!$B$2,TRUE(),IF($E334=Constants!$B$3,FALSE(),TRUE())))</f>
        <v/>
      </c>
      <c r="AI334" s="74" t="str">
        <f aca="false">IF(ISBLANK($C334),"",IF($F334=Constants!$B$2,TRUE(),IF($F334=Constants!$B$3,FALSE(),FALSE())))</f>
        <v/>
      </c>
      <c r="AJ334" s="74" t="str">
        <f aca="false">IF(ISBLANK($C334),"",IF($G334=Constants!$B$2,TRUE(),IF($G334=Constants!$B$3,FALSE(),TRUE())))</f>
        <v/>
      </c>
      <c r="AK334" s="74" t="str">
        <f aca="false">IF(ISBLANK($C334),"",IF($H334=Constants!$B$2,TRUE(),IF($H334=Constants!$B$3,FALSE(),TRUE())))</f>
        <v/>
      </c>
      <c r="AL334" s="74" t="str">
        <f aca="false">IF(ISBLANK($C334),"",IF(ISNUMBER($I334),IF($I334&gt;=0,$I334,""),""))</f>
        <v/>
      </c>
      <c r="AM334" s="74" t="str">
        <f aca="false">IF(ISBLANK($C334),"",IF(ISNUMBER($J334),IF($J334&gt;=0,$J334,""),""))</f>
        <v/>
      </c>
      <c r="AN334" s="74" t="str">
        <f aca="false">IF(ISBLANK($C334),"",IF(ISNUMBER($K334),IF($K334&gt;=0,$K334,""),""))</f>
        <v/>
      </c>
      <c r="AO334" s="74" t="str">
        <f aca="false">IF(ISBLANK($C334),"",IF($L334=Constants!$B$2,TRUE(),IF($L334=Constants!$B$3,FALSE(),TRUE())))</f>
        <v/>
      </c>
      <c r="AP334" s="74" t="str">
        <f aca="false">IF(ISBLANK($C334),"",IF($M334=Constants!$B$2,TRUE(),IF($M334=Constants!$B$3,FALSE(),TRUE())))</f>
        <v/>
      </c>
      <c r="AQ334" s="74" t="str">
        <f aca="false">IF(ISBLANK($C334),"",IF($N334=Constants!$B$2,TRUE(),IF($N334=Constants!$B$3,FALSE(),FALSE())))</f>
        <v/>
      </c>
      <c r="AR334" s="74" t="str">
        <f aca="false">IF(ISBLANK($C334),"",IF($O334=Constants!$B$2,TRUE(),IF($O334=Constants!$B$3,FALSE(),TRUE())))</f>
        <v/>
      </c>
      <c r="AS334" s="74" t="str">
        <f aca="false">IF(ISBLANK($C334),"",IF($P334=Constants!$B$2,TRUE(),IF($P334=Constants!$B$3,FALSE(),FALSE())))</f>
        <v/>
      </c>
      <c r="AT334" s="74" t="str">
        <f aca="false">IF(ISBLANK($C334),"",IF($Q334=Constants!$B$2,TRUE(),IF($Q334=Constants!$B$3,FALSE(),FALSE())))</f>
        <v/>
      </c>
      <c r="AU334" s="74" t="str">
        <f aca="false">IF(ISBLANK($C334),"",IF($R334=Constants!$B$2,TRUE(),IF($R334=Constants!$B$3,FALSE(),FALSE())))</f>
        <v/>
      </c>
      <c r="AV334" s="74" t="str">
        <f aca="false">IF(ISBLANK($C334),"",IF($S334=Constants!$B$2,TRUE(),IF($S334=Constants!$B$3,FALSE(),FALSE())))</f>
        <v/>
      </c>
      <c r="AW334" s="74" t="str">
        <f aca="false">IF(ISBLANK($C334),"",IF($T334=Constants!$B$2,TRUE(),IF($T334=Constants!$B$3,FALSE(),FALSE())))</f>
        <v/>
      </c>
      <c r="AX334" s="74" t="str">
        <f aca="false">IF(ISBLANK($C334),"",IF(OR($U334&amp;""="1",$U334&amp;""="2",$U334&amp;""="3",$U334&amp;""="4"),VALUE($U334&amp;""),IF($U334=Constants!$B$12,Constants!$B$12,"")))</f>
        <v/>
      </c>
      <c r="AY334" s="74" t="str">
        <f aca="false">IF(ISBLANK($C334),"",IF(ISBLANK($V334),0,IF(ISNUMBER($V334),IF(AND($V334&gt;=0,$V334&lt;=Constants!$B$21,$V334=INT($V334)),$V334,""),"")))</f>
        <v/>
      </c>
      <c r="AZ334" s="74" t="str">
        <f aca="false">IF(ISBLANK($C334),"",IF(ISBLANK($W334),0,IF(ISNUMBER($W334),IF($W334&gt;=0,$W334,""),"")))</f>
        <v/>
      </c>
      <c r="BA334" s="74" t="str">
        <f aca="false">IF(ISBLANK($C334),"",IF($X334=Constants!$B$2,TRUE(),IF($X334=Constants!$B$3,FALSE(),TRUE())))</f>
        <v/>
      </c>
      <c r="BB334" s="74" t="str">
        <f aca="false">IF(ISBLANK($C334),"",IF($Y334=Constants!$B$2,TRUE(),IF($Y334=Constants!$B$3,FALSE(),FALSE())))</f>
        <v/>
      </c>
      <c r="BC334" s="74" t="str">
        <f aca="false">IF(ISBLANK($C334),"",IF(ISBLANK($Z334),0,IF(ISNUMBER($Z334),IF(AND($Z334&gt;=0,$Z334&lt;=Constants!$B$35,$Z334=INT($Z334)),$Z334,""),"")))</f>
        <v/>
      </c>
      <c r="BD334" s="74" t="str">
        <f aca="false">IF(ISBLANK($C334),"",IF($AA334=Constants!$B$2,TRUE(),IF($AA334=Constants!$B$3,FALSE(),TRUE())))</f>
        <v/>
      </c>
      <c r="BE334" s="74" t="str">
        <f aca="false">IF(ISBLANK($C334),"",IF($AB334=Constants!$B$2,TRUE(),IF($AB334=Constants!$B$3,FALSE(),TRUE())))</f>
        <v/>
      </c>
      <c r="BF334" s="74" t="str">
        <f aca="false">IF(ISBLANK($C334),"",IF(ISNUMBER($AC334),IF($AC334&gt;=0,$AC334,""),""))</f>
        <v/>
      </c>
      <c r="BG334" s="74" t="str">
        <f aca="false">IF(ISBLANK($C334),"",IF($AD334=Constants!$B$2,TRUE(),IF($AD334=Constants!$B$3,FALSE(),FALSE())))</f>
        <v/>
      </c>
      <c r="BH334" s="73" t="str">
        <f aca="false">IF(ISBLANK($C334),"",IF($BG334,Constants!$B$7,IF(COUNTA($E334:$AC334)=0,Constants!$B$6,IF(OR(COUNTA($G334:$AC334)=0,NOT($AK334),$AQ334),Constants!$B$5,IF(OR($CI334&lt;&gt;"",$CJ334,$CK334,$CL334,$CM334,$CN334,$CO334),Constants!$B$8,Constants!$B$4)))))</f>
        <v/>
      </c>
      <c r="BI334" s="74" t="str">
        <f aca="false">IF(ISBLANK($C334),"",IF($BH334&lt;&gt;Constants!$B$4,$BH334,IF(OR(NOT($AH334),NOT($AJ334),NOT($AR334)),Constants!$B$11,IF(OR(NOT($AP334),MAX($AL334,$AM334,$AN334)&gt;Constants!$B$30),Constants!$B$10,Constants!$B$9))))</f>
        <v/>
      </c>
      <c r="BJ334" s="74" t="str">
        <f aca="false">IF($BH334&lt;&gt;Constants!$B$4,"",IF(NOT($AJ334),0,MIN(Constants!$B$35,$BC334)))</f>
        <v/>
      </c>
      <c r="BK334" s="74" t="str">
        <f aca="false">IF($BH334&lt;&gt;Constants!$B$4,"",IF(NOT($AJ334),0,IF($AT334,Constants!$B$18,IF($AS334,Constants!$B$17,0))))</f>
        <v/>
      </c>
      <c r="BL334" s="74" t="str">
        <f aca="false">IF($BH334&lt;&gt;Constants!$B$4,"",IF(NOT($AJ334),0,Constants!$B$19*($AI334+$AU334+$AV334+$AW334)))</f>
        <v/>
      </c>
      <c r="BM334" s="74" t="str">
        <f aca="false">IF($BH334&lt;&gt;Constants!$B$4,"",IF(OR(NOT($AJ334),NOT(ISNUMBER($AX334))),0,CHOOSE($AX334,Constants!$B$13,Constants!$B$14,Constants!$B$15,Constants!$B$16)))</f>
        <v/>
      </c>
      <c r="BN334" s="74" t="str">
        <f aca="false">IF($BH334&lt;&gt;Constants!$B$4,"",IF(NOT($AJ334),0,Constants!$B$20*$AY334))</f>
        <v/>
      </c>
      <c r="BO334" s="74" t="str">
        <f aca="false">IF($BH334&lt;&gt;Constants!$B$4,"",IF(AND($AJ334,$BA334,$BB334),Constants!$B$22,0))</f>
        <v/>
      </c>
      <c r="BP334" s="74" t="str">
        <f aca="false">IF($BH334&lt;&gt;Constants!$B$4,"",IF(OR(NOT($AJ334),NOT($BA334)),0,IF($BF334&gt;=2*$AF$9,0,Constants!$B$23*INT(ROUND(MIN($BF334,$AF$9),6)))))</f>
        <v/>
      </c>
      <c r="BQ334" s="74" t="str">
        <f aca="false">IF($BH334&lt;&gt;Constants!$B$4,"",IF(NOT($AJ334),0,Constants!$B$24*INT(ROUND(MIN($AZ334,$AF$9),6))))</f>
        <v/>
      </c>
      <c r="BR334" s="74" t="str">
        <f aca="false">IF($BH334&lt;&gt;Constants!$B$4,"",IF(AND($AJ334,$BJ334=0),Constants!$B$25,0))</f>
        <v/>
      </c>
      <c r="BS334" s="74" t="str">
        <f aca="false">IF($BH334&lt;&gt;Constants!$B$4,"",MIN(Constants!$B$29,MAX(0,Constants!$B$27*Constants!$B$28*INT(ROUND((Constants!$B$26-$AL334)/Constants!$B$28,6))))+MIN(Constants!$B$29,MAX(0,Constants!$B$27*Constants!$B$28*INT(ROUND((Constants!$B$26-$AM334)/Constants!$B$28,6))))+MIN(Constants!$B$29,MAX(0,Constants!$B$27*Constants!$B$28*INT(ROUND((Constants!$B$26-$AN334)/Constants!$B$28,6)))))</f>
        <v/>
      </c>
      <c r="BT334" s="74" t="str">
        <f aca="false">IF($BH334&lt;&gt;Constants!$B$4,"",IF(NOT($AJ334),0,Constants!$B$31*INT(ROUND(MAX(0,MIN($BF334,2*$AF$9)-$AF$9),6))))</f>
        <v/>
      </c>
      <c r="BU334" s="74" t="str">
        <f aca="false">IF($BH334&lt;&gt;Constants!$B$4,"",Constants!$B$32*(($AL334&gt;Constants!$B$26)+($AM334&gt;Constants!$B$26)+($AN334&gt;Constants!$B$26)))</f>
        <v/>
      </c>
      <c r="BV334" s="74" t="str">
        <f aca="false">IF($BH334&lt;&gt;Constants!$B$4,"",IF(OR(NOT($AJ334),$AO334),0,Constants!$B$33))</f>
        <v/>
      </c>
      <c r="BW334" s="74" t="str">
        <f aca="false">IF($BH334&lt;&gt;Constants!$B$4,"",Constants!$B$34*$BJ334)</f>
        <v/>
      </c>
      <c r="BX334" s="74" t="str">
        <f aca="false">IF($BH334&lt;&gt;Constants!$B$4,"",IF(OR(NOT($AJ334),$BE334),0,Constants!$B$36))</f>
        <v/>
      </c>
      <c r="BY334" s="74" t="str">
        <f aca="false">IF($BH334&lt;&gt;Constants!$B$4,"",IF(OR(NOT($AJ334),$BD334),0,Constants!$B$37))</f>
        <v/>
      </c>
      <c r="BZ334" s="74" t="str">
        <f aca="false">IF($BH334&lt;&gt;Constants!$B$4,"",SUM($BT334:$BY334))</f>
        <v/>
      </c>
      <c r="CA334" s="74" t="str">
        <f aca="false">IF(ISBLANK($C334),"",IF($BH334&lt;&gt;Constants!$B$4,$BH334,SUM($BK334:$BS334)-$BZ334))</f>
        <v/>
      </c>
      <c r="CB334" s="74" t="str">
        <f aca="false">IF(ISBLANK($C334),"",IF($BH334&lt;&gt;Constants!$B$4,$BH334,RANK($CA334,$CA$9:$CA$508)))</f>
        <v/>
      </c>
      <c r="CC334" s="74" t="str">
        <f aca="false">IF(ISBLANK($C334),"",IF($BH334&lt;&gt;Constants!$B$4,$BH334,COUNTIFS($BI$9:$BI$508,"&lt;"&amp;$BI334)+COUNTIFS($BI$9:$BI$508,$BI334,$CB$9:$CB$508,"&lt;"&amp;$CB334)+1))</f>
        <v/>
      </c>
      <c r="CD334" s="74" t="str">
        <f aca="false">IF(ISBLANK($C334),"",IF($BH334&lt;&gt;Constants!$B$4,$BH334,RANK($BZ334,$BZ$9:$BZ$508,1)))</f>
        <v/>
      </c>
      <c r="CE334" s="74" t="str">
        <f aca="false">IF($BH334&lt;&gt;Constants!$B$4,"",$AL334+$AM334+$AN334)</f>
        <v/>
      </c>
      <c r="CF334" s="74" t="str">
        <f aca="false">IF(ISBLANK($C334),"",IF($BH334&lt;&gt;Constants!$B$4,$BH334,RANK($CE334,$CE$9:$CE$508,1)))</f>
        <v/>
      </c>
      <c r="CG334" s="74" t="str">
        <f aca="false">IF(ISBLANK($C334),"",IF($BH334&lt;&gt;Constants!$B$4,$BH334,COUNTIFS($BI$9:$BI$508,"&lt;"&amp;$BI334)+COUNTIFS($BI$9:$BI$508,$BI334,$CB$9:$CB$508,"&lt;"&amp;$CB334)+COUNTIFS($BI$9:$BI$508,$BI334,$CB$9:$CB$508,$CB334,$CD$9:$CD$508,"&lt;"&amp;$CD334)+COUNTIFS($BI$9:$BI$508,$BI334,$CB$9:$CB$508,$CB334,$CD$9:$CD$508,$CD334,$CF$9:$CF$508,"&lt;"&amp;$CF334)+1))</f>
        <v/>
      </c>
      <c r="CH334" s="74" t="str">
        <f aca="false">IF(ISBLANK($C334),"",IF($BH334&lt;&gt;Constants!$B$4,$BH334,$CC334-$CG334))</f>
        <v/>
      </c>
      <c r="CI334" s="74" t="str">
        <f aca="false">IF(ISBLANK($C334),"",IF(NOT($AJ334),"",IF(ISBLANK($D$7),$CI$5,IF(NOT(ISNUMBER($D$7)),$CI$6,""))))</f>
        <v/>
      </c>
      <c r="CJ334" s="74" t="str">
        <f aca="false">IF(ISBLANK($C334),"",OR($AL334="",$AM334="",$AN334=""))</f>
        <v/>
      </c>
      <c r="CK334" s="74" t="str">
        <f aca="false">IF(ISBLANK($C334),"",AND($AJ334,$AX334=""))</f>
        <v/>
      </c>
      <c r="CL334" s="74" t="str">
        <f aca="false">IF(ISBLANK($C334),"",AND($AJ334,$AY334=""))</f>
        <v/>
      </c>
      <c r="CM334" s="74" t="str">
        <f aca="false">IF(ISBLANK($C334),"",AND($AJ334,$AZ334=""))</f>
        <v/>
      </c>
      <c r="CN334" s="74" t="str">
        <f aca="false">IF(ISBLANK($C334),"",AND($AJ334,$BC334=""))</f>
        <v/>
      </c>
      <c r="CO334" s="74" t="str">
        <f aca="false">IF(ISBLANK($C334),"",AND($AJ334,$BF334=""))</f>
        <v/>
      </c>
      <c r="CP334" s="75"/>
      <c r="CQ334" s="76"/>
      <c r="CR334" s="79" t="str">
        <f aca="false">IF(ISBLANK($C334),"",IF($BH334=Constants!$B$8,$CI334,""))</f>
        <v/>
      </c>
      <c r="CS334" s="76" t="str">
        <f aca="false">IF(ISBLANK($C334),"",IF($BH334&lt;&gt;Constants!$B$4,"",$BK334+$BL334))</f>
        <v/>
      </c>
      <c r="CT334" s="78" t="str">
        <f aca="false">IF(ISBLANK($C334),"",IF($BH334&lt;&gt;Constants!$B$4,"",$BM334+$BN334+$BO334))</f>
        <v/>
      </c>
      <c r="CU334" s="78" t="str">
        <f aca="false">IF(ISBLANK($C334),"",IF($BH334&lt;&gt;Constants!$B$4,"",$BP334))</f>
        <v/>
      </c>
      <c r="CV334" s="78" t="str">
        <f aca="false">IF(ISBLANK($C334),"",IF($BH334&lt;&gt;Constants!$B$4,"",$BQ334+$BR334))</f>
        <v/>
      </c>
      <c r="CW334" s="78" t="str">
        <f aca="false">IF(ISBLANK($C334),"",IF($BH334&lt;&gt;Constants!$B$4,"",$BS334))</f>
        <v/>
      </c>
      <c r="CX334" s="78" t="str">
        <f aca="false">IF(ISBLANK($C334),"",IF($BH334&lt;&gt;Constants!$B$4,"",-$BZ334))</f>
        <v/>
      </c>
      <c r="CY334" s="79" t="str">
        <f aca="false">IF(ISBLANK($C334),"",$CA334)</f>
        <v/>
      </c>
      <c r="CZ334" s="80" t="str">
        <f aca="false">IF(ISBLANK($C334),"",$BI334)</f>
        <v/>
      </c>
      <c r="DA334" s="78" t="str">
        <f aca="false">IF(ISBLANK($C334),"",$CH334)</f>
        <v/>
      </c>
      <c r="DB334" s="78" t="str">
        <f aca="false">IF(ISBLANK($C334),"",$CG334)</f>
        <v/>
      </c>
      <c r="DC334" s="81" t="str">
        <f aca="false">IF(ISBLANK($C334),"",IFERROR(_xlfn.SWITCH($DB334,Constants!$B$7,COUNTA($C$9:$C$508)+2,Constants!$B$6,COUNTA($C$9:$C$508)+1,Constants!$B$5,COUNTA($C$9:$C$508)),$DB334))</f>
        <v/>
      </c>
      <c r="DD334" s="7"/>
      <c r="DE334" s="82" t="n">
        <f aca="false">IF(OR(ISNUMBER($DB334),$DB334=Constants!$B$7,$DB334=Constants!$B$5,$DB334=Constants!$B$6),1,0)</f>
        <v>0</v>
      </c>
      <c r="DF334" s="82" t="n">
        <v>326</v>
      </c>
      <c r="DG334" s="82" t="str">
        <f aca="false">IF(ISBLANK($C334),"",IF(ISNUMBER($DC334),$DC334+ROW($B334)/1000,""))</f>
        <v/>
      </c>
      <c r="DH334" s="82" t="str">
        <f aca="false">IF(ISNUMBER($DG334),RANK($DG334,$DG$9:$DG$508,1),"")</f>
        <v/>
      </c>
      <c r="DI334" s="82" t="str">
        <f aca="false">IF(ISBLANK($C334),"",$B334)</f>
        <v/>
      </c>
      <c r="DJ334" s="82" t="str">
        <f aca="false">IF(ISBLANK($C334),"",$C334)</f>
        <v/>
      </c>
      <c r="DK334" s="82" t="str">
        <f aca="false">IF(ISBLANK($C334),"",$D334)</f>
        <v/>
      </c>
      <c r="DL334" s="83" t="str">
        <f aca="false">$CZ334</f>
        <v/>
      </c>
      <c r="DM334" s="84" t="str">
        <f aca="false">$CY334</f>
        <v/>
      </c>
      <c r="DN334" s="82" t="str">
        <f aca="false">IF(ISBLANK($C334),"",$DB334)</f>
        <v/>
      </c>
      <c r="DO334" s="85" t="str">
        <f aca="false">IF($DF334&gt;$DE$8,"",VLOOKUP($DF334,$DH$9:$DN$508,7,FALSE()))</f>
        <v/>
      </c>
      <c r="DP334" s="86" t="str">
        <f aca="false">IF($DF334&gt;$DE$8,"",VLOOKUP($DF334,$DH$9:$DN$508,2,FALSE()))</f>
        <v/>
      </c>
      <c r="DQ334" s="86" t="str">
        <f aca="false">IF($DF334&gt;$DE$8,"",VLOOKUP($DF334,$DH$9:$DN$508,3,FALSE()))</f>
        <v/>
      </c>
      <c r="DR334" s="86" t="str">
        <f aca="false">IF($DF334&gt;$DE$8,"",VLOOKUP($DF334,$DH$9:$DN$508,4,FALSE()))</f>
        <v/>
      </c>
      <c r="DS334" s="86" t="str">
        <f aca="false">IF($DF334&gt;$DE$8,"",VLOOKUP($DF334,$DH$9:$DN$508,5,FALSE()))</f>
        <v/>
      </c>
      <c r="DT334" s="87" t="str">
        <f aca="false">IF($DF334&gt;$DE$8,"",VLOOKUP($DF334,$DH$9:$DN$508,6,FALSE()))</f>
        <v/>
      </c>
      <c r="DU334" s="62"/>
    </row>
    <row r="335" customFormat="false" ht="15.75" hidden="false" customHeight="false" outlineLevel="0" collapsed="false">
      <c r="A335" s="7"/>
      <c r="B335" s="64"/>
      <c r="C335" s="65"/>
      <c r="D335" s="123"/>
      <c r="E335" s="88"/>
      <c r="F335" s="134"/>
      <c r="G335" s="88"/>
      <c r="H335" s="134"/>
      <c r="I335" s="119"/>
      <c r="J335" s="119"/>
      <c r="K335" s="119"/>
      <c r="L335" s="88"/>
      <c r="M335" s="88"/>
      <c r="N335" s="88"/>
      <c r="O335" s="134"/>
      <c r="P335" s="88"/>
      <c r="Q335" s="88"/>
      <c r="R335" s="88"/>
      <c r="S335" s="88"/>
      <c r="T335" s="134"/>
      <c r="U335" s="88"/>
      <c r="V335" s="70"/>
      <c r="W335" s="88"/>
      <c r="X335" s="88"/>
      <c r="Y335" s="70"/>
      <c r="Z335" s="70"/>
      <c r="AA335" s="88"/>
      <c r="AB335" s="88"/>
      <c r="AC335" s="71"/>
      <c r="AD335" s="88"/>
      <c r="AE335" s="73"/>
      <c r="AF335" s="74"/>
      <c r="AG335" s="74"/>
      <c r="AH335" s="74" t="str">
        <f aca="false">IF(ISBLANK($C335),"",IF($E335=Constants!$B$2,TRUE(),IF($E335=Constants!$B$3,FALSE(),TRUE())))</f>
        <v/>
      </c>
      <c r="AI335" s="74" t="str">
        <f aca="false">IF(ISBLANK($C335),"",IF($F335=Constants!$B$2,TRUE(),IF($F335=Constants!$B$3,FALSE(),FALSE())))</f>
        <v/>
      </c>
      <c r="AJ335" s="74" t="str">
        <f aca="false">IF(ISBLANK($C335),"",IF($G335=Constants!$B$2,TRUE(),IF($G335=Constants!$B$3,FALSE(),TRUE())))</f>
        <v/>
      </c>
      <c r="AK335" s="74" t="str">
        <f aca="false">IF(ISBLANK($C335),"",IF($H335=Constants!$B$2,TRUE(),IF($H335=Constants!$B$3,FALSE(),TRUE())))</f>
        <v/>
      </c>
      <c r="AL335" s="74" t="str">
        <f aca="false">IF(ISBLANK($C335),"",IF(ISNUMBER($I335),IF($I335&gt;=0,$I335,""),""))</f>
        <v/>
      </c>
      <c r="AM335" s="74" t="str">
        <f aca="false">IF(ISBLANK($C335),"",IF(ISNUMBER($J335),IF($J335&gt;=0,$J335,""),""))</f>
        <v/>
      </c>
      <c r="AN335" s="74" t="str">
        <f aca="false">IF(ISBLANK($C335),"",IF(ISNUMBER($K335),IF($K335&gt;=0,$K335,""),""))</f>
        <v/>
      </c>
      <c r="AO335" s="74" t="str">
        <f aca="false">IF(ISBLANK($C335),"",IF($L335=Constants!$B$2,TRUE(),IF($L335=Constants!$B$3,FALSE(),TRUE())))</f>
        <v/>
      </c>
      <c r="AP335" s="74" t="str">
        <f aca="false">IF(ISBLANK($C335),"",IF($M335=Constants!$B$2,TRUE(),IF($M335=Constants!$B$3,FALSE(),TRUE())))</f>
        <v/>
      </c>
      <c r="AQ335" s="74" t="str">
        <f aca="false">IF(ISBLANK($C335),"",IF($N335=Constants!$B$2,TRUE(),IF($N335=Constants!$B$3,FALSE(),FALSE())))</f>
        <v/>
      </c>
      <c r="AR335" s="74" t="str">
        <f aca="false">IF(ISBLANK($C335),"",IF($O335=Constants!$B$2,TRUE(),IF($O335=Constants!$B$3,FALSE(),TRUE())))</f>
        <v/>
      </c>
      <c r="AS335" s="74" t="str">
        <f aca="false">IF(ISBLANK($C335),"",IF($P335=Constants!$B$2,TRUE(),IF($P335=Constants!$B$3,FALSE(),FALSE())))</f>
        <v/>
      </c>
      <c r="AT335" s="74" t="str">
        <f aca="false">IF(ISBLANK($C335),"",IF($Q335=Constants!$B$2,TRUE(),IF($Q335=Constants!$B$3,FALSE(),FALSE())))</f>
        <v/>
      </c>
      <c r="AU335" s="74" t="str">
        <f aca="false">IF(ISBLANK($C335),"",IF($R335=Constants!$B$2,TRUE(),IF($R335=Constants!$B$3,FALSE(),FALSE())))</f>
        <v/>
      </c>
      <c r="AV335" s="74" t="str">
        <f aca="false">IF(ISBLANK($C335),"",IF($S335=Constants!$B$2,TRUE(),IF($S335=Constants!$B$3,FALSE(),FALSE())))</f>
        <v/>
      </c>
      <c r="AW335" s="74" t="str">
        <f aca="false">IF(ISBLANK($C335),"",IF($T335=Constants!$B$2,TRUE(),IF($T335=Constants!$B$3,FALSE(),FALSE())))</f>
        <v/>
      </c>
      <c r="AX335" s="74" t="str">
        <f aca="false">IF(ISBLANK($C335),"",IF(OR($U335&amp;""="1",$U335&amp;""="2",$U335&amp;""="3",$U335&amp;""="4"),VALUE($U335&amp;""),IF($U335=Constants!$B$12,Constants!$B$12,"")))</f>
        <v/>
      </c>
      <c r="AY335" s="74" t="str">
        <f aca="false">IF(ISBLANK($C335),"",IF(ISBLANK($V335),0,IF(ISNUMBER($V335),IF(AND($V335&gt;=0,$V335&lt;=Constants!$B$21,$V335=INT($V335)),$V335,""),"")))</f>
        <v/>
      </c>
      <c r="AZ335" s="74" t="str">
        <f aca="false">IF(ISBLANK($C335),"",IF(ISBLANK($W335),0,IF(ISNUMBER($W335),IF($W335&gt;=0,$W335,""),"")))</f>
        <v/>
      </c>
      <c r="BA335" s="74" t="str">
        <f aca="false">IF(ISBLANK($C335),"",IF($X335=Constants!$B$2,TRUE(),IF($X335=Constants!$B$3,FALSE(),TRUE())))</f>
        <v/>
      </c>
      <c r="BB335" s="74" t="str">
        <f aca="false">IF(ISBLANK($C335),"",IF($Y335=Constants!$B$2,TRUE(),IF($Y335=Constants!$B$3,FALSE(),FALSE())))</f>
        <v/>
      </c>
      <c r="BC335" s="74" t="str">
        <f aca="false">IF(ISBLANK($C335),"",IF(ISBLANK($Z335),0,IF(ISNUMBER($Z335),IF(AND($Z335&gt;=0,$Z335&lt;=Constants!$B$35,$Z335=INT($Z335)),$Z335,""),"")))</f>
        <v/>
      </c>
      <c r="BD335" s="74" t="str">
        <f aca="false">IF(ISBLANK($C335),"",IF($AA335=Constants!$B$2,TRUE(),IF($AA335=Constants!$B$3,FALSE(),TRUE())))</f>
        <v/>
      </c>
      <c r="BE335" s="74" t="str">
        <f aca="false">IF(ISBLANK($C335),"",IF($AB335=Constants!$B$2,TRUE(),IF($AB335=Constants!$B$3,FALSE(),TRUE())))</f>
        <v/>
      </c>
      <c r="BF335" s="74" t="str">
        <f aca="false">IF(ISBLANK($C335),"",IF(ISNUMBER($AC335),IF($AC335&gt;=0,$AC335,""),""))</f>
        <v/>
      </c>
      <c r="BG335" s="74" t="str">
        <f aca="false">IF(ISBLANK($C335),"",IF($AD335=Constants!$B$2,TRUE(),IF($AD335=Constants!$B$3,FALSE(),FALSE())))</f>
        <v/>
      </c>
      <c r="BH335" s="73" t="str">
        <f aca="false">IF(ISBLANK($C335),"",IF($BG335,Constants!$B$7,IF(COUNTA($E335:$AC335)=0,Constants!$B$6,IF(OR(COUNTA($G335:$AC335)=0,NOT($AK335),$AQ335),Constants!$B$5,IF(OR($CI335&lt;&gt;"",$CJ335,$CK335,$CL335,$CM335,$CN335,$CO335),Constants!$B$8,Constants!$B$4)))))</f>
        <v/>
      </c>
      <c r="BI335" s="74" t="str">
        <f aca="false">IF(ISBLANK($C335),"",IF($BH335&lt;&gt;Constants!$B$4,$BH335,IF(OR(NOT($AH335),NOT($AJ335),NOT($AR335)),Constants!$B$11,IF(OR(NOT($AP335),MAX($AL335,$AM335,$AN335)&gt;Constants!$B$30),Constants!$B$10,Constants!$B$9))))</f>
        <v/>
      </c>
      <c r="BJ335" s="74" t="str">
        <f aca="false">IF($BH335&lt;&gt;Constants!$B$4,"",IF(NOT($AJ335),0,MIN(Constants!$B$35,$BC335)))</f>
        <v/>
      </c>
      <c r="BK335" s="74" t="str">
        <f aca="false">IF($BH335&lt;&gt;Constants!$B$4,"",IF(NOT($AJ335),0,IF($AT335,Constants!$B$18,IF($AS335,Constants!$B$17,0))))</f>
        <v/>
      </c>
      <c r="BL335" s="74" t="str">
        <f aca="false">IF($BH335&lt;&gt;Constants!$B$4,"",IF(NOT($AJ335),0,Constants!$B$19*($AI335+$AU335+$AV335+$AW335)))</f>
        <v/>
      </c>
      <c r="BM335" s="74" t="str">
        <f aca="false">IF($BH335&lt;&gt;Constants!$B$4,"",IF(OR(NOT($AJ335),NOT(ISNUMBER($AX335))),0,CHOOSE($AX335,Constants!$B$13,Constants!$B$14,Constants!$B$15,Constants!$B$16)))</f>
        <v/>
      </c>
      <c r="BN335" s="74" t="str">
        <f aca="false">IF($BH335&lt;&gt;Constants!$B$4,"",IF(NOT($AJ335),0,Constants!$B$20*$AY335))</f>
        <v/>
      </c>
      <c r="BO335" s="74" t="str">
        <f aca="false">IF($BH335&lt;&gt;Constants!$B$4,"",IF(AND($AJ335,$BA335,$BB335),Constants!$B$22,0))</f>
        <v/>
      </c>
      <c r="BP335" s="74" t="str">
        <f aca="false">IF($BH335&lt;&gt;Constants!$B$4,"",IF(OR(NOT($AJ335),NOT($BA335)),0,IF($BF335&gt;=2*$AF$9,0,Constants!$B$23*INT(ROUND(MIN($BF335,$AF$9),6)))))</f>
        <v/>
      </c>
      <c r="BQ335" s="74" t="str">
        <f aca="false">IF($BH335&lt;&gt;Constants!$B$4,"",IF(NOT($AJ335),0,Constants!$B$24*INT(ROUND(MIN($AZ335,$AF$9),6))))</f>
        <v/>
      </c>
      <c r="BR335" s="74" t="str">
        <f aca="false">IF($BH335&lt;&gt;Constants!$B$4,"",IF(AND($AJ335,$BJ335=0),Constants!$B$25,0))</f>
        <v/>
      </c>
      <c r="BS335" s="74" t="str">
        <f aca="false">IF($BH335&lt;&gt;Constants!$B$4,"",MIN(Constants!$B$29,MAX(0,Constants!$B$27*Constants!$B$28*INT(ROUND((Constants!$B$26-$AL335)/Constants!$B$28,6))))+MIN(Constants!$B$29,MAX(0,Constants!$B$27*Constants!$B$28*INT(ROUND((Constants!$B$26-$AM335)/Constants!$B$28,6))))+MIN(Constants!$B$29,MAX(0,Constants!$B$27*Constants!$B$28*INT(ROUND((Constants!$B$26-$AN335)/Constants!$B$28,6)))))</f>
        <v/>
      </c>
      <c r="BT335" s="74" t="str">
        <f aca="false">IF($BH335&lt;&gt;Constants!$B$4,"",IF(NOT($AJ335),0,Constants!$B$31*INT(ROUND(MAX(0,MIN($BF335,2*$AF$9)-$AF$9),6))))</f>
        <v/>
      </c>
      <c r="BU335" s="74" t="str">
        <f aca="false">IF($BH335&lt;&gt;Constants!$B$4,"",Constants!$B$32*(($AL335&gt;Constants!$B$26)+($AM335&gt;Constants!$B$26)+($AN335&gt;Constants!$B$26)))</f>
        <v/>
      </c>
      <c r="BV335" s="74" t="str">
        <f aca="false">IF($BH335&lt;&gt;Constants!$B$4,"",IF(OR(NOT($AJ335),$AO335),0,Constants!$B$33))</f>
        <v/>
      </c>
      <c r="BW335" s="74" t="str">
        <f aca="false">IF($BH335&lt;&gt;Constants!$B$4,"",Constants!$B$34*$BJ335)</f>
        <v/>
      </c>
      <c r="BX335" s="74" t="str">
        <f aca="false">IF($BH335&lt;&gt;Constants!$B$4,"",IF(OR(NOT($AJ335),$BE335),0,Constants!$B$36))</f>
        <v/>
      </c>
      <c r="BY335" s="74" t="str">
        <f aca="false">IF($BH335&lt;&gt;Constants!$B$4,"",IF(OR(NOT($AJ335),$BD335),0,Constants!$B$37))</f>
        <v/>
      </c>
      <c r="BZ335" s="74" t="str">
        <f aca="false">IF($BH335&lt;&gt;Constants!$B$4,"",SUM($BT335:$BY335))</f>
        <v/>
      </c>
      <c r="CA335" s="74" t="str">
        <f aca="false">IF(ISBLANK($C335),"",IF($BH335&lt;&gt;Constants!$B$4,$BH335,SUM($BK335:$BS335)-$BZ335))</f>
        <v/>
      </c>
      <c r="CB335" s="74" t="str">
        <f aca="false">IF(ISBLANK($C335),"",IF($BH335&lt;&gt;Constants!$B$4,$BH335,RANK($CA335,$CA$9:$CA$508)))</f>
        <v/>
      </c>
      <c r="CC335" s="74" t="str">
        <f aca="false">IF(ISBLANK($C335),"",IF($BH335&lt;&gt;Constants!$B$4,$BH335,COUNTIFS($BI$9:$BI$508,"&lt;"&amp;$BI335)+COUNTIFS($BI$9:$BI$508,$BI335,$CB$9:$CB$508,"&lt;"&amp;$CB335)+1))</f>
        <v/>
      </c>
      <c r="CD335" s="74" t="str">
        <f aca="false">IF(ISBLANK($C335),"",IF($BH335&lt;&gt;Constants!$B$4,$BH335,RANK($BZ335,$BZ$9:$BZ$508,1)))</f>
        <v/>
      </c>
      <c r="CE335" s="74" t="str">
        <f aca="false">IF($BH335&lt;&gt;Constants!$B$4,"",$AL335+$AM335+$AN335)</f>
        <v/>
      </c>
      <c r="CF335" s="74" t="str">
        <f aca="false">IF(ISBLANK($C335),"",IF($BH335&lt;&gt;Constants!$B$4,$BH335,RANK($CE335,$CE$9:$CE$508,1)))</f>
        <v/>
      </c>
      <c r="CG335" s="74" t="str">
        <f aca="false">IF(ISBLANK($C335),"",IF($BH335&lt;&gt;Constants!$B$4,$BH335,COUNTIFS($BI$9:$BI$508,"&lt;"&amp;$BI335)+COUNTIFS($BI$9:$BI$508,$BI335,$CB$9:$CB$508,"&lt;"&amp;$CB335)+COUNTIFS($BI$9:$BI$508,$BI335,$CB$9:$CB$508,$CB335,$CD$9:$CD$508,"&lt;"&amp;$CD335)+COUNTIFS($BI$9:$BI$508,$BI335,$CB$9:$CB$508,$CB335,$CD$9:$CD$508,$CD335,$CF$9:$CF$508,"&lt;"&amp;$CF335)+1))</f>
        <v/>
      </c>
      <c r="CH335" s="74" t="str">
        <f aca="false">IF(ISBLANK($C335),"",IF($BH335&lt;&gt;Constants!$B$4,$BH335,$CC335-$CG335))</f>
        <v/>
      </c>
      <c r="CI335" s="74" t="str">
        <f aca="false">IF(ISBLANK($C335),"",IF(NOT($AJ335),"",IF(ISBLANK($D$7),$CI$5,IF(NOT(ISNUMBER($D$7)),$CI$6,""))))</f>
        <v/>
      </c>
      <c r="CJ335" s="74" t="str">
        <f aca="false">IF(ISBLANK($C335),"",OR($AL335="",$AM335="",$AN335=""))</f>
        <v/>
      </c>
      <c r="CK335" s="74" t="str">
        <f aca="false">IF(ISBLANK($C335),"",AND($AJ335,$AX335=""))</f>
        <v/>
      </c>
      <c r="CL335" s="74" t="str">
        <f aca="false">IF(ISBLANK($C335),"",AND($AJ335,$AY335=""))</f>
        <v/>
      </c>
      <c r="CM335" s="74" t="str">
        <f aca="false">IF(ISBLANK($C335),"",AND($AJ335,$AZ335=""))</f>
        <v/>
      </c>
      <c r="CN335" s="74" t="str">
        <f aca="false">IF(ISBLANK($C335),"",AND($AJ335,$BC335=""))</f>
        <v/>
      </c>
      <c r="CO335" s="74" t="str">
        <f aca="false">IF(ISBLANK($C335),"",AND($AJ335,$BF335=""))</f>
        <v/>
      </c>
      <c r="CP335" s="75"/>
      <c r="CQ335" s="76"/>
      <c r="CR335" s="79" t="str">
        <f aca="false">IF(ISBLANK($C335),"",IF($BH335=Constants!$B$8,$CI335,""))</f>
        <v/>
      </c>
      <c r="CS335" s="76" t="str">
        <f aca="false">IF(ISBLANK($C335),"",IF($BH335&lt;&gt;Constants!$B$4,"",$BK335+$BL335))</f>
        <v/>
      </c>
      <c r="CT335" s="78" t="str">
        <f aca="false">IF(ISBLANK($C335),"",IF($BH335&lt;&gt;Constants!$B$4,"",$BM335+$BN335+$BO335))</f>
        <v/>
      </c>
      <c r="CU335" s="78" t="str">
        <f aca="false">IF(ISBLANK($C335),"",IF($BH335&lt;&gt;Constants!$B$4,"",$BP335))</f>
        <v/>
      </c>
      <c r="CV335" s="78" t="str">
        <f aca="false">IF(ISBLANK($C335),"",IF($BH335&lt;&gt;Constants!$B$4,"",$BQ335+$BR335))</f>
        <v/>
      </c>
      <c r="CW335" s="78" t="str">
        <f aca="false">IF(ISBLANK($C335),"",IF($BH335&lt;&gt;Constants!$B$4,"",$BS335))</f>
        <v/>
      </c>
      <c r="CX335" s="78" t="str">
        <f aca="false">IF(ISBLANK($C335),"",IF($BH335&lt;&gt;Constants!$B$4,"",-$BZ335))</f>
        <v/>
      </c>
      <c r="CY335" s="79" t="str">
        <f aca="false">IF(ISBLANK($C335),"",$CA335)</f>
        <v/>
      </c>
      <c r="CZ335" s="80" t="str">
        <f aca="false">IF(ISBLANK($C335),"",$BI335)</f>
        <v/>
      </c>
      <c r="DA335" s="78" t="str">
        <f aca="false">IF(ISBLANK($C335),"",$CH335)</f>
        <v/>
      </c>
      <c r="DB335" s="78" t="str">
        <f aca="false">IF(ISBLANK($C335),"",$CG335)</f>
        <v/>
      </c>
      <c r="DC335" s="81" t="str">
        <f aca="false">IF(ISBLANK($C335),"",IFERROR(_xlfn.SWITCH($DB335,Constants!$B$7,COUNTA($C$9:$C$508)+2,Constants!$B$6,COUNTA($C$9:$C$508)+1,Constants!$B$5,COUNTA($C$9:$C$508)),$DB335))</f>
        <v/>
      </c>
      <c r="DD335" s="7"/>
      <c r="DE335" s="82" t="n">
        <f aca="false">IF(OR(ISNUMBER($DB335),$DB335=Constants!$B$7,$DB335=Constants!$B$5,$DB335=Constants!$B$6),1,0)</f>
        <v>0</v>
      </c>
      <c r="DF335" s="82" t="n">
        <v>327</v>
      </c>
      <c r="DG335" s="82" t="str">
        <f aca="false">IF(ISBLANK($C335),"",IF(ISNUMBER($DC335),$DC335+ROW($B335)/1000,""))</f>
        <v/>
      </c>
      <c r="DH335" s="82" t="str">
        <f aca="false">IF(ISNUMBER($DG335),RANK($DG335,$DG$9:$DG$508,1),"")</f>
        <v/>
      </c>
      <c r="DI335" s="82" t="str">
        <f aca="false">IF(ISBLANK($C335),"",$B335)</f>
        <v/>
      </c>
      <c r="DJ335" s="82" t="str">
        <f aca="false">IF(ISBLANK($C335),"",$C335)</f>
        <v/>
      </c>
      <c r="DK335" s="82" t="str">
        <f aca="false">IF(ISBLANK($C335),"",$D335)</f>
        <v/>
      </c>
      <c r="DL335" s="83" t="str">
        <f aca="false">$CZ335</f>
        <v/>
      </c>
      <c r="DM335" s="84" t="str">
        <f aca="false">$CY335</f>
        <v/>
      </c>
      <c r="DN335" s="82" t="str">
        <f aca="false">IF(ISBLANK($C335),"",$DB335)</f>
        <v/>
      </c>
      <c r="DO335" s="85" t="str">
        <f aca="false">IF($DF335&gt;$DE$8,"",VLOOKUP($DF335,$DH$9:$DN$508,7,FALSE()))</f>
        <v/>
      </c>
      <c r="DP335" s="86" t="str">
        <f aca="false">IF($DF335&gt;$DE$8,"",VLOOKUP($DF335,$DH$9:$DN$508,2,FALSE()))</f>
        <v/>
      </c>
      <c r="DQ335" s="86" t="str">
        <f aca="false">IF($DF335&gt;$DE$8,"",VLOOKUP($DF335,$DH$9:$DN$508,3,FALSE()))</f>
        <v/>
      </c>
      <c r="DR335" s="86" t="str">
        <f aca="false">IF($DF335&gt;$DE$8,"",VLOOKUP($DF335,$DH$9:$DN$508,4,FALSE()))</f>
        <v/>
      </c>
      <c r="DS335" s="86" t="str">
        <f aca="false">IF($DF335&gt;$DE$8,"",VLOOKUP($DF335,$DH$9:$DN$508,5,FALSE()))</f>
        <v/>
      </c>
      <c r="DT335" s="87" t="str">
        <f aca="false">IF($DF335&gt;$DE$8,"",VLOOKUP($DF335,$DH$9:$DN$508,6,FALSE()))</f>
        <v/>
      </c>
      <c r="DU335" s="62"/>
    </row>
    <row r="336" customFormat="false" ht="15.75" hidden="false" customHeight="false" outlineLevel="0" collapsed="false">
      <c r="A336" s="7"/>
      <c r="B336" s="90"/>
      <c r="C336" s="91"/>
      <c r="D336" s="126"/>
      <c r="E336" s="130"/>
      <c r="F336" s="135"/>
      <c r="G336" s="130"/>
      <c r="H336" s="135"/>
      <c r="I336" s="131"/>
      <c r="J336" s="131"/>
      <c r="K336" s="131"/>
      <c r="L336" s="130"/>
      <c r="M336" s="130"/>
      <c r="N336" s="130"/>
      <c r="O336" s="135"/>
      <c r="P336" s="130"/>
      <c r="Q336" s="130"/>
      <c r="R336" s="130"/>
      <c r="S336" s="130"/>
      <c r="T336" s="135"/>
      <c r="U336" s="130"/>
      <c r="V336" s="96"/>
      <c r="W336" s="130"/>
      <c r="X336" s="130"/>
      <c r="Y336" s="96"/>
      <c r="Z336" s="96"/>
      <c r="AA336" s="130"/>
      <c r="AB336" s="130"/>
      <c r="AC336" s="97"/>
      <c r="AD336" s="130"/>
      <c r="AE336" s="99"/>
      <c r="AF336" s="100"/>
      <c r="AG336" s="100"/>
      <c r="AH336" s="100" t="str">
        <f aca="false">IF(ISBLANK($C336),"",IF($E336=Constants!$B$2,TRUE(),IF($E336=Constants!$B$3,FALSE(),TRUE())))</f>
        <v/>
      </c>
      <c r="AI336" s="100" t="str">
        <f aca="false">IF(ISBLANK($C336),"",IF($F336=Constants!$B$2,TRUE(),IF($F336=Constants!$B$3,FALSE(),FALSE())))</f>
        <v/>
      </c>
      <c r="AJ336" s="100" t="str">
        <f aca="false">IF(ISBLANK($C336),"",IF($G336=Constants!$B$2,TRUE(),IF($G336=Constants!$B$3,FALSE(),TRUE())))</f>
        <v/>
      </c>
      <c r="AK336" s="100" t="str">
        <f aca="false">IF(ISBLANK($C336),"",IF($H336=Constants!$B$2,TRUE(),IF($H336=Constants!$B$3,FALSE(),TRUE())))</f>
        <v/>
      </c>
      <c r="AL336" s="100" t="str">
        <f aca="false">IF(ISBLANK($C336),"",IF(ISNUMBER($I336),IF($I336&gt;=0,$I336,""),""))</f>
        <v/>
      </c>
      <c r="AM336" s="100" t="str">
        <f aca="false">IF(ISBLANK($C336),"",IF(ISNUMBER($J336),IF($J336&gt;=0,$J336,""),""))</f>
        <v/>
      </c>
      <c r="AN336" s="100" t="str">
        <f aca="false">IF(ISBLANK($C336),"",IF(ISNUMBER($K336),IF($K336&gt;=0,$K336,""),""))</f>
        <v/>
      </c>
      <c r="AO336" s="100" t="str">
        <f aca="false">IF(ISBLANK($C336),"",IF($L336=Constants!$B$2,TRUE(),IF($L336=Constants!$B$3,FALSE(),TRUE())))</f>
        <v/>
      </c>
      <c r="AP336" s="100" t="str">
        <f aca="false">IF(ISBLANK($C336),"",IF($M336=Constants!$B$2,TRUE(),IF($M336=Constants!$B$3,FALSE(),TRUE())))</f>
        <v/>
      </c>
      <c r="AQ336" s="100" t="str">
        <f aca="false">IF(ISBLANK($C336),"",IF($N336=Constants!$B$2,TRUE(),IF($N336=Constants!$B$3,FALSE(),FALSE())))</f>
        <v/>
      </c>
      <c r="AR336" s="100" t="str">
        <f aca="false">IF(ISBLANK($C336),"",IF($O336=Constants!$B$2,TRUE(),IF($O336=Constants!$B$3,FALSE(),TRUE())))</f>
        <v/>
      </c>
      <c r="AS336" s="100" t="str">
        <f aca="false">IF(ISBLANK($C336),"",IF($P336=Constants!$B$2,TRUE(),IF($P336=Constants!$B$3,FALSE(),FALSE())))</f>
        <v/>
      </c>
      <c r="AT336" s="100" t="str">
        <f aca="false">IF(ISBLANK($C336),"",IF($Q336=Constants!$B$2,TRUE(),IF($Q336=Constants!$B$3,FALSE(),FALSE())))</f>
        <v/>
      </c>
      <c r="AU336" s="100" t="str">
        <f aca="false">IF(ISBLANK($C336),"",IF($R336=Constants!$B$2,TRUE(),IF($R336=Constants!$B$3,FALSE(),FALSE())))</f>
        <v/>
      </c>
      <c r="AV336" s="100" t="str">
        <f aca="false">IF(ISBLANK($C336),"",IF($S336=Constants!$B$2,TRUE(),IF($S336=Constants!$B$3,FALSE(),FALSE())))</f>
        <v/>
      </c>
      <c r="AW336" s="100" t="str">
        <f aca="false">IF(ISBLANK($C336),"",IF($T336=Constants!$B$2,TRUE(),IF($T336=Constants!$B$3,FALSE(),FALSE())))</f>
        <v/>
      </c>
      <c r="AX336" s="100" t="str">
        <f aca="false">IF(ISBLANK($C336),"",IF(OR($U336&amp;""="1",$U336&amp;""="2",$U336&amp;""="3",$U336&amp;""="4"),VALUE($U336&amp;""),IF($U336=Constants!$B$12,Constants!$B$12,"")))</f>
        <v/>
      </c>
      <c r="AY336" s="100" t="str">
        <f aca="false">IF(ISBLANK($C336),"",IF(ISBLANK($V336),0,IF(ISNUMBER($V336),IF(AND($V336&gt;=0,$V336&lt;=Constants!$B$21,$V336=INT($V336)),$V336,""),"")))</f>
        <v/>
      </c>
      <c r="AZ336" s="100" t="str">
        <f aca="false">IF(ISBLANK($C336),"",IF(ISBLANK($W336),0,IF(ISNUMBER($W336),IF($W336&gt;=0,$W336,""),"")))</f>
        <v/>
      </c>
      <c r="BA336" s="100" t="str">
        <f aca="false">IF(ISBLANK($C336),"",IF($X336=Constants!$B$2,TRUE(),IF($X336=Constants!$B$3,FALSE(),TRUE())))</f>
        <v/>
      </c>
      <c r="BB336" s="100" t="str">
        <f aca="false">IF(ISBLANK($C336),"",IF($Y336=Constants!$B$2,TRUE(),IF($Y336=Constants!$B$3,FALSE(),FALSE())))</f>
        <v/>
      </c>
      <c r="BC336" s="100" t="str">
        <f aca="false">IF(ISBLANK($C336),"",IF(ISBLANK($Z336),0,IF(ISNUMBER($Z336),IF(AND($Z336&gt;=0,$Z336&lt;=Constants!$B$35,$Z336=INT($Z336)),$Z336,""),"")))</f>
        <v/>
      </c>
      <c r="BD336" s="100" t="str">
        <f aca="false">IF(ISBLANK($C336),"",IF($AA336=Constants!$B$2,TRUE(),IF($AA336=Constants!$B$3,FALSE(),TRUE())))</f>
        <v/>
      </c>
      <c r="BE336" s="100" t="str">
        <f aca="false">IF(ISBLANK($C336),"",IF($AB336=Constants!$B$2,TRUE(),IF($AB336=Constants!$B$3,FALSE(),TRUE())))</f>
        <v/>
      </c>
      <c r="BF336" s="100" t="str">
        <f aca="false">IF(ISBLANK($C336),"",IF(ISNUMBER($AC336),IF($AC336&gt;=0,$AC336,""),""))</f>
        <v/>
      </c>
      <c r="BG336" s="100" t="str">
        <f aca="false">IF(ISBLANK($C336),"",IF($AD336=Constants!$B$2,TRUE(),IF($AD336=Constants!$B$3,FALSE(),FALSE())))</f>
        <v/>
      </c>
      <c r="BH336" s="99" t="str">
        <f aca="false">IF(ISBLANK($C336),"",IF($BG336,Constants!$B$7,IF(COUNTA($E336:$AC336)=0,Constants!$B$6,IF(OR(COUNTA($G336:$AC336)=0,NOT($AK336),$AQ336),Constants!$B$5,IF(OR($CI336&lt;&gt;"",$CJ336,$CK336,$CL336,$CM336,$CN336,$CO336),Constants!$B$8,Constants!$B$4)))))</f>
        <v/>
      </c>
      <c r="BI336" s="100" t="str">
        <f aca="false">IF(ISBLANK($C336),"",IF($BH336&lt;&gt;Constants!$B$4,$BH336,IF(OR(NOT($AH336),NOT($AJ336),NOT($AR336)),Constants!$B$11,IF(OR(NOT($AP336),MAX($AL336,$AM336,$AN336)&gt;Constants!$B$30),Constants!$B$10,Constants!$B$9))))</f>
        <v/>
      </c>
      <c r="BJ336" s="100" t="str">
        <f aca="false">IF($BH336&lt;&gt;Constants!$B$4,"",IF(NOT($AJ336),0,MIN(Constants!$B$35,$BC336)))</f>
        <v/>
      </c>
      <c r="BK336" s="100" t="str">
        <f aca="false">IF($BH336&lt;&gt;Constants!$B$4,"",IF(NOT($AJ336),0,IF($AT336,Constants!$B$18,IF($AS336,Constants!$B$17,0))))</f>
        <v/>
      </c>
      <c r="BL336" s="100" t="str">
        <f aca="false">IF($BH336&lt;&gt;Constants!$B$4,"",IF(NOT($AJ336),0,Constants!$B$19*($AI336+$AU336+$AV336+$AW336)))</f>
        <v/>
      </c>
      <c r="BM336" s="100" t="str">
        <f aca="false">IF($BH336&lt;&gt;Constants!$B$4,"",IF(OR(NOT($AJ336),NOT(ISNUMBER($AX336))),0,CHOOSE($AX336,Constants!$B$13,Constants!$B$14,Constants!$B$15,Constants!$B$16)))</f>
        <v/>
      </c>
      <c r="BN336" s="100" t="str">
        <f aca="false">IF($BH336&lt;&gt;Constants!$B$4,"",IF(NOT($AJ336),0,Constants!$B$20*$AY336))</f>
        <v/>
      </c>
      <c r="BO336" s="100" t="str">
        <f aca="false">IF($BH336&lt;&gt;Constants!$B$4,"",IF(AND($AJ336,$BA336,$BB336),Constants!$B$22,0))</f>
        <v/>
      </c>
      <c r="BP336" s="100" t="str">
        <f aca="false">IF($BH336&lt;&gt;Constants!$B$4,"",IF(OR(NOT($AJ336),NOT($BA336)),0,IF($BF336&gt;=2*$AF$9,0,Constants!$B$23*INT(ROUND(MIN($BF336,$AF$9),6)))))</f>
        <v/>
      </c>
      <c r="BQ336" s="100" t="str">
        <f aca="false">IF($BH336&lt;&gt;Constants!$B$4,"",IF(NOT($AJ336),0,Constants!$B$24*INT(ROUND(MIN($AZ336,$AF$9),6))))</f>
        <v/>
      </c>
      <c r="BR336" s="100" t="str">
        <f aca="false">IF($BH336&lt;&gt;Constants!$B$4,"",IF(AND($AJ336,$BJ336=0),Constants!$B$25,0))</f>
        <v/>
      </c>
      <c r="BS336" s="100" t="str">
        <f aca="false">IF($BH336&lt;&gt;Constants!$B$4,"",MIN(Constants!$B$29,MAX(0,Constants!$B$27*Constants!$B$28*INT(ROUND((Constants!$B$26-$AL336)/Constants!$B$28,6))))+MIN(Constants!$B$29,MAX(0,Constants!$B$27*Constants!$B$28*INT(ROUND((Constants!$B$26-$AM336)/Constants!$B$28,6))))+MIN(Constants!$B$29,MAX(0,Constants!$B$27*Constants!$B$28*INT(ROUND((Constants!$B$26-$AN336)/Constants!$B$28,6)))))</f>
        <v/>
      </c>
      <c r="BT336" s="100" t="str">
        <f aca="false">IF($BH336&lt;&gt;Constants!$B$4,"",IF(NOT($AJ336),0,Constants!$B$31*INT(ROUND(MAX(0,MIN($BF336,2*$AF$9)-$AF$9),6))))</f>
        <v/>
      </c>
      <c r="BU336" s="100" t="str">
        <f aca="false">IF($BH336&lt;&gt;Constants!$B$4,"",Constants!$B$32*(($AL336&gt;Constants!$B$26)+($AM336&gt;Constants!$B$26)+($AN336&gt;Constants!$B$26)))</f>
        <v/>
      </c>
      <c r="BV336" s="100" t="str">
        <f aca="false">IF($BH336&lt;&gt;Constants!$B$4,"",IF(OR(NOT($AJ336),$AO336),0,Constants!$B$33))</f>
        <v/>
      </c>
      <c r="BW336" s="100" t="str">
        <f aca="false">IF($BH336&lt;&gt;Constants!$B$4,"",Constants!$B$34*$BJ336)</f>
        <v/>
      </c>
      <c r="BX336" s="100" t="str">
        <f aca="false">IF($BH336&lt;&gt;Constants!$B$4,"",IF(OR(NOT($AJ336),$BE336),0,Constants!$B$36))</f>
        <v/>
      </c>
      <c r="BY336" s="100" t="str">
        <f aca="false">IF($BH336&lt;&gt;Constants!$B$4,"",IF(OR(NOT($AJ336),$BD336),0,Constants!$B$37))</f>
        <v/>
      </c>
      <c r="BZ336" s="100" t="str">
        <f aca="false">IF($BH336&lt;&gt;Constants!$B$4,"",SUM($BT336:$BY336))</f>
        <v/>
      </c>
      <c r="CA336" s="100" t="str">
        <f aca="false">IF(ISBLANK($C336),"",IF($BH336&lt;&gt;Constants!$B$4,$BH336,SUM($BK336:$BS336)-$BZ336))</f>
        <v/>
      </c>
      <c r="CB336" s="100" t="str">
        <f aca="false">IF(ISBLANK($C336),"",IF($BH336&lt;&gt;Constants!$B$4,$BH336,RANK($CA336,$CA$9:$CA$508)))</f>
        <v/>
      </c>
      <c r="CC336" s="100" t="str">
        <f aca="false">IF(ISBLANK($C336),"",IF($BH336&lt;&gt;Constants!$B$4,$BH336,COUNTIFS($BI$9:$BI$508,"&lt;"&amp;$BI336)+COUNTIFS($BI$9:$BI$508,$BI336,$CB$9:$CB$508,"&lt;"&amp;$CB336)+1))</f>
        <v/>
      </c>
      <c r="CD336" s="100" t="str">
        <f aca="false">IF(ISBLANK($C336),"",IF($BH336&lt;&gt;Constants!$B$4,$BH336,RANK($BZ336,$BZ$9:$BZ$508,1)))</f>
        <v/>
      </c>
      <c r="CE336" s="100" t="str">
        <f aca="false">IF($BH336&lt;&gt;Constants!$B$4,"",$AL336+$AM336+$AN336)</f>
        <v/>
      </c>
      <c r="CF336" s="100" t="str">
        <f aca="false">IF(ISBLANK($C336),"",IF($BH336&lt;&gt;Constants!$B$4,$BH336,RANK($CE336,$CE$9:$CE$508,1)))</f>
        <v/>
      </c>
      <c r="CG336" s="100" t="str">
        <f aca="false">IF(ISBLANK($C336),"",IF($BH336&lt;&gt;Constants!$B$4,$BH336,COUNTIFS($BI$9:$BI$508,"&lt;"&amp;$BI336)+COUNTIFS($BI$9:$BI$508,$BI336,$CB$9:$CB$508,"&lt;"&amp;$CB336)+COUNTIFS($BI$9:$BI$508,$BI336,$CB$9:$CB$508,$CB336,$CD$9:$CD$508,"&lt;"&amp;$CD336)+COUNTIFS($BI$9:$BI$508,$BI336,$CB$9:$CB$508,$CB336,$CD$9:$CD$508,$CD336,$CF$9:$CF$508,"&lt;"&amp;$CF336)+1))</f>
        <v/>
      </c>
      <c r="CH336" s="100" t="str">
        <f aca="false">IF(ISBLANK($C336),"",IF($BH336&lt;&gt;Constants!$B$4,$BH336,$CC336-$CG336))</f>
        <v/>
      </c>
      <c r="CI336" s="100" t="str">
        <f aca="false">IF(ISBLANK($C336),"",IF(NOT($AJ336),"",IF(ISBLANK($D$7),$CI$5,IF(NOT(ISNUMBER($D$7)),$CI$6,""))))</f>
        <v/>
      </c>
      <c r="CJ336" s="100" t="str">
        <f aca="false">IF(ISBLANK($C336),"",OR($AL336="",$AM336="",$AN336=""))</f>
        <v/>
      </c>
      <c r="CK336" s="100" t="str">
        <f aca="false">IF(ISBLANK($C336),"",AND($AJ336,$AX336=""))</f>
        <v/>
      </c>
      <c r="CL336" s="100" t="str">
        <f aca="false">IF(ISBLANK($C336),"",AND($AJ336,$AY336=""))</f>
        <v/>
      </c>
      <c r="CM336" s="100" t="str">
        <f aca="false">IF(ISBLANK($C336),"",AND($AJ336,$AZ336=""))</f>
        <v/>
      </c>
      <c r="CN336" s="100" t="str">
        <f aca="false">IF(ISBLANK($C336),"",AND($AJ336,$BC336=""))</f>
        <v/>
      </c>
      <c r="CO336" s="100" t="str">
        <f aca="false">IF(ISBLANK($C336),"",AND($AJ336,$BF336=""))</f>
        <v/>
      </c>
      <c r="CP336" s="101"/>
      <c r="CQ336" s="102"/>
      <c r="CR336" s="103" t="str">
        <f aca="false">IF(ISBLANK($C336),"",IF($BH336=Constants!$B$8,$CI336,""))</f>
        <v/>
      </c>
      <c r="CS336" s="102" t="str">
        <f aca="false">IF(ISBLANK($C336),"",IF($BH336&lt;&gt;Constants!$B$4,"",$BK336+$BL336))</f>
        <v/>
      </c>
      <c r="CT336" s="104" t="str">
        <f aca="false">IF(ISBLANK($C336),"",IF($BH336&lt;&gt;Constants!$B$4,"",$BM336+$BN336+$BO336))</f>
        <v/>
      </c>
      <c r="CU336" s="104" t="str">
        <f aca="false">IF(ISBLANK($C336),"",IF($BH336&lt;&gt;Constants!$B$4,"",$BP336))</f>
        <v/>
      </c>
      <c r="CV336" s="104" t="str">
        <f aca="false">IF(ISBLANK($C336),"",IF($BH336&lt;&gt;Constants!$B$4,"",$BQ336+$BR336))</f>
        <v/>
      </c>
      <c r="CW336" s="104" t="str">
        <f aca="false">IF(ISBLANK($C336),"",IF($BH336&lt;&gt;Constants!$B$4,"",$BS336))</f>
        <v/>
      </c>
      <c r="CX336" s="104" t="str">
        <f aca="false">IF(ISBLANK($C336),"",IF($BH336&lt;&gt;Constants!$B$4,"",-$BZ336))</f>
        <v/>
      </c>
      <c r="CY336" s="103" t="str">
        <f aca="false">IF(ISBLANK($C336),"",$CA336)</f>
        <v/>
      </c>
      <c r="CZ336" s="105" t="str">
        <f aca="false">IF(ISBLANK($C336),"",$BI336)</f>
        <v/>
      </c>
      <c r="DA336" s="104" t="str">
        <f aca="false">IF(ISBLANK($C336),"",$CH336)</f>
        <v/>
      </c>
      <c r="DB336" s="104" t="str">
        <f aca="false">IF(ISBLANK($C336),"",$CG336)</f>
        <v/>
      </c>
      <c r="DC336" s="106" t="str">
        <f aca="false">IF(ISBLANK($C336),"",IFERROR(_xlfn.SWITCH($DB336,Constants!$B$7,COUNTA($C$9:$C$508)+2,Constants!$B$6,COUNTA($C$9:$C$508)+1,Constants!$B$5,COUNTA($C$9:$C$508)),$DB336))</f>
        <v/>
      </c>
      <c r="DD336" s="7"/>
      <c r="DE336" s="107" t="n">
        <f aca="false">IF(OR(ISNUMBER($DB336),$DB336=Constants!$B$7,$DB336=Constants!$B$5,$DB336=Constants!$B$6),1,0)</f>
        <v>0</v>
      </c>
      <c r="DF336" s="107" t="n">
        <v>328</v>
      </c>
      <c r="DG336" s="107" t="str">
        <f aca="false">IF(ISBLANK($C336),"",IF(ISNUMBER($DC336),$DC336+ROW($B336)/1000,""))</f>
        <v/>
      </c>
      <c r="DH336" s="107" t="str">
        <f aca="false">IF(ISNUMBER($DG336),RANK($DG336,$DG$9:$DG$508,1),"")</f>
        <v/>
      </c>
      <c r="DI336" s="107" t="str">
        <f aca="false">IF(ISBLANK($C336),"",$B336)</f>
        <v/>
      </c>
      <c r="DJ336" s="107" t="str">
        <f aca="false">IF(ISBLANK($C336),"",$C336)</f>
        <v/>
      </c>
      <c r="DK336" s="107" t="str">
        <f aca="false">IF(ISBLANK($C336),"",$D336)</f>
        <v/>
      </c>
      <c r="DL336" s="108" t="str">
        <f aca="false">$CZ336</f>
        <v/>
      </c>
      <c r="DM336" s="109" t="str">
        <f aca="false">$CY336</f>
        <v/>
      </c>
      <c r="DN336" s="107" t="str">
        <f aca="false">IF(ISBLANK($C336),"",$DB336)</f>
        <v/>
      </c>
      <c r="DO336" s="110" t="str">
        <f aca="false">IF($DF336&gt;$DE$8,"",VLOOKUP($DF336,$DH$9:$DN$508,7,FALSE()))</f>
        <v/>
      </c>
      <c r="DP336" s="111" t="str">
        <f aca="false">IF($DF336&gt;$DE$8,"",VLOOKUP($DF336,$DH$9:$DN$508,2,FALSE()))</f>
        <v/>
      </c>
      <c r="DQ336" s="111" t="str">
        <f aca="false">IF($DF336&gt;$DE$8,"",VLOOKUP($DF336,$DH$9:$DN$508,3,FALSE()))</f>
        <v/>
      </c>
      <c r="DR336" s="111" t="str">
        <f aca="false">IF($DF336&gt;$DE$8,"",VLOOKUP($DF336,$DH$9:$DN$508,4,FALSE()))</f>
        <v/>
      </c>
      <c r="DS336" s="111" t="str">
        <f aca="false">IF($DF336&gt;$DE$8,"",VLOOKUP($DF336,$DH$9:$DN$508,5,FALSE()))</f>
        <v/>
      </c>
      <c r="DT336" s="112" t="str">
        <f aca="false">IF($DF336&gt;$DE$8,"",VLOOKUP($DF336,$DH$9:$DN$508,6,FALSE()))</f>
        <v/>
      </c>
      <c r="DU336" s="62"/>
    </row>
    <row r="337" customFormat="false" ht="15.75" hidden="false" customHeight="false" outlineLevel="0" collapsed="false">
      <c r="A337" s="7"/>
      <c r="B337" s="90"/>
      <c r="C337" s="91"/>
      <c r="D337" s="126"/>
      <c r="E337" s="130"/>
      <c r="F337" s="135"/>
      <c r="G337" s="130"/>
      <c r="H337" s="135"/>
      <c r="I337" s="131"/>
      <c r="J337" s="131"/>
      <c r="K337" s="131"/>
      <c r="L337" s="130"/>
      <c r="M337" s="130"/>
      <c r="N337" s="130"/>
      <c r="O337" s="135"/>
      <c r="P337" s="130"/>
      <c r="Q337" s="130"/>
      <c r="R337" s="130"/>
      <c r="S337" s="130"/>
      <c r="T337" s="135"/>
      <c r="U337" s="130"/>
      <c r="V337" s="96"/>
      <c r="W337" s="130"/>
      <c r="X337" s="130"/>
      <c r="Y337" s="96"/>
      <c r="Z337" s="96"/>
      <c r="AA337" s="130"/>
      <c r="AB337" s="130"/>
      <c r="AC337" s="97"/>
      <c r="AD337" s="130"/>
      <c r="AE337" s="99"/>
      <c r="AF337" s="100"/>
      <c r="AG337" s="100"/>
      <c r="AH337" s="100" t="str">
        <f aca="false">IF(ISBLANK($C337),"",IF($E337=Constants!$B$2,TRUE(),IF($E337=Constants!$B$3,FALSE(),TRUE())))</f>
        <v/>
      </c>
      <c r="AI337" s="100" t="str">
        <f aca="false">IF(ISBLANK($C337),"",IF($F337=Constants!$B$2,TRUE(),IF($F337=Constants!$B$3,FALSE(),FALSE())))</f>
        <v/>
      </c>
      <c r="AJ337" s="100" t="str">
        <f aca="false">IF(ISBLANK($C337),"",IF($G337=Constants!$B$2,TRUE(),IF($G337=Constants!$B$3,FALSE(),TRUE())))</f>
        <v/>
      </c>
      <c r="AK337" s="100" t="str">
        <f aca="false">IF(ISBLANK($C337),"",IF($H337=Constants!$B$2,TRUE(),IF($H337=Constants!$B$3,FALSE(),TRUE())))</f>
        <v/>
      </c>
      <c r="AL337" s="100" t="str">
        <f aca="false">IF(ISBLANK($C337),"",IF(ISNUMBER($I337),IF($I337&gt;=0,$I337,""),""))</f>
        <v/>
      </c>
      <c r="AM337" s="100" t="str">
        <f aca="false">IF(ISBLANK($C337),"",IF(ISNUMBER($J337),IF($J337&gt;=0,$J337,""),""))</f>
        <v/>
      </c>
      <c r="AN337" s="100" t="str">
        <f aca="false">IF(ISBLANK($C337),"",IF(ISNUMBER($K337),IF($K337&gt;=0,$K337,""),""))</f>
        <v/>
      </c>
      <c r="AO337" s="100" t="str">
        <f aca="false">IF(ISBLANK($C337),"",IF($L337=Constants!$B$2,TRUE(),IF($L337=Constants!$B$3,FALSE(),TRUE())))</f>
        <v/>
      </c>
      <c r="AP337" s="100" t="str">
        <f aca="false">IF(ISBLANK($C337),"",IF($M337=Constants!$B$2,TRUE(),IF($M337=Constants!$B$3,FALSE(),TRUE())))</f>
        <v/>
      </c>
      <c r="AQ337" s="100" t="str">
        <f aca="false">IF(ISBLANK($C337),"",IF($N337=Constants!$B$2,TRUE(),IF($N337=Constants!$B$3,FALSE(),FALSE())))</f>
        <v/>
      </c>
      <c r="AR337" s="100" t="str">
        <f aca="false">IF(ISBLANK($C337),"",IF($O337=Constants!$B$2,TRUE(),IF($O337=Constants!$B$3,FALSE(),TRUE())))</f>
        <v/>
      </c>
      <c r="AS337" s="100" t="str">
        <f aca="false">IF(ISBLANK($C337),"",IF($P337=Constants!$B$2,TRUE(),IF($P337=Constants!$B$3,FALSE(),FALSE())))</f>
        <v/>
      </c>
      <c r="AT337" s="100" t="str">
        <f aca="false">IF(ISBLANK($C337),"",IF($Q337=Constants!$B$2,TRUE(),IF($Q337=Constants!$B$3,FALSE(),FALSE())))</f>
        <v/>
      </c>
      <c r="AU337" s="100" t="str">
        <f aca="false">IF(ISBLANK($C337),"",IF($R337=Constants!$B$2,TRUE(),IF($R337=Constants!$B$3,FALSE(),FALSE())))</f>
        <v/>
      </c>
      <c r="AV337" s="100" t="str">
        <f aca="false">IF(ISBLANK($C337),"",IF($S337=Constants!$B$2,TRUE(),IF($S337=Constants!$B$3,FALSE(),FALSE())))</f>
        <v/>
      </c>
      <c r="AW337" s="100" t="str">
        <f aca="false">IF(ISBLANK($C337),"",IF($T337=Constants!$B$2,TRUE(),IF($T337=Constants!$B$3,FALSE(),FALSE())))</f>
        <v/>
      </c>
      <c r="AX337" s="100" t="str">
        <f aca="false">IF(ISBLANK($C337),"",IF(OR($U337&amp;""="1",$U337&amp;""="2",$U337&amp;""="3",$U337&amp;""="4"),VALUE($U337&amp;""),IF($U337=Constants!$B$12,Constants!$B$12,"")))</f>
        <v/>
      </c>
      <c r="AY337" s="100" t="str">
        <f aca="false">IF(ISBLANK($C337),"",IF(ISBLANK($V337),0,IF(ISNUMBER($V337),IF(AND($V337&gt;=0,$V337&lt;=Constants!$B$21,$V337=INT($V337)),$V337,""),"")))</f>
        <v/>
      </c>
      <c r="AZ337" s="100" t="str">
        <f aca="false">IF(ISBLANK($C337),"",IF(ISBLANK($W337),0,IF(ISNUMBER($W337),IF($W337&gt;=0,$W337,""),"")))</f>
        <v/>
      </c>
      <c r="BA337" s="100" t="str">
        <f aca="false">IF(ISBLANK($C337),"",IF($X337=Constants!$B$2,TRUE(),IF($X337=Constants!$B$3,FALSE(),TRUE())))</f>
        <v/>
      </c>
      <c r="BB337" s="100" t="str">
        <f aca="false">IF(ISBLANK($C337),"",IF($Y337=Constants!$B$2,TRUE(),IF($Y337=Constants!$B$3,FALSE(),FALSE())))</f>
        <v/>
      </c>
      <c r="BC337" s="100" t="str">
        <f aca="false">IF(ISBLANK($C337),"",IF(ISBLANK($Z337),0,IF(ISNUMBER($Z337),IF(AND($Z337&gt;=0,$Z337&lt;=Constants!$B$35,$Z337=INT($Z337)),$Z337,""),"")))</f>
        <v/>
      </c>
      <c r="BD337" s="100" t="str">
        <f aca="false">IF(ISBLANK($C337),"",IF($AA337=Constants!$B$2,TRUE(),IF($AA337=Constants!$B$3,FALSE(),TRUE())))</f>
        <v/>
      </c>
      <c r="BE337" s="100" t="str">
        <f aca="false">IF(ISBLANK($C337),"",IF($AB337=Constants!$B$2,TRUE(),IF($AB337=Constants!$B$3,FALSE(),TRUE())))</f>
        <v/>
      </c>
      <c r="BF337" s="100" t="str">
        <f aca="false">IF(ISBLANK($C337),"",IF(ISNUMBER($AC337),IF($AC337&gt;=0,$AC337,""),""))</f>
        <v/>
      </c>
      <c r="BG337" s="100" t="str">
        <f aca="false">IF(ISBLANK($C337),"",IF($AD337=Constants!$B$2,TRUE(),IF($AD337=Constants!$B$3,FALSE(),FALSE())))</f>
        <v/>
      </c>
      <c r="BH337" s="99" t="str">
        <f aca="false">IF(ISBLANK($C337),"",IF($BG337,Constants!$B$7,IF(COUNTA($E337:$AC337)=0,Constants!$B$6,IF(OR(COUNTA($G337:$AC337)=0,NOT($AK337),$AQ337),Constants!$B$5,IF(OR($CI337&lt;&gt;"",$CJ337,$CK337,$CL337,$CM337,$CN337,$CO337),Constants!$B$8,Constants!$B$4)))))</f>
        <v/>
      </c>
      <c r="BI337" s="100" t="str">
        <f aca="false">IF(ISBLANK($C337),"",IF($BH337&lt;&gt;Constants!$B$4,$BH337,IF(OR(NOT($AH337),NOT($AJ337),NOT($AR337)),Constants!$B$11,IF(OR(NOT($AP337),MAX($AL337,$AM337,$AN337)&gt;Constants!$B$30),Constants!$B$10,Constants!$B$9))))</f>
        <v/>
      </c>
      <c r="BJ337" s="100" t="str">
        <f aca="false">IF($BH337&lt;&gt;Constants!$B$4,"",IF(NOT($AJ337),0,MIN(Constants!$B$35,$BC337)))</f>
        <v/>
      </c>
      <c r="BK337" s="100" t="str">
        <f aca="false">IF($BH337&lt;&gt;Constants!$B$4,"",IF(NOT($AJ337),0,IF($AT337,Constants!$B$18,IF($AS337,Constants!$B$17,0))))</f>
        <v/>
      </c>
      <c r="BL337" s="100" t="str">
        <f aca="false">IF($BH337&lt;&gt;Constants!$B$4,"",IF(NOT($AJ337),0,Constants!$B$19*($AI337+$AU337+$AV337+$AW337)))</f>
        <v/>
      </c>
      <c r="BM337" s="100" t="str">
        <f aca="false">IF($BH337&lt;&gt;Constants!$B$4,"",IF(OR(NOT($AJ337),NOT(ISNUMBER($AX337))),0,CHOOSE($AX337,Constants!$B$13,Constants!$B$14,Constants!$B$15,Constants!$B$16)))</f>
        <v/>
      </c>
      <c r="BN337" s="100" t="str">
        <f aca="false">IF($BH337&lt;&gt;Constants!$B$4,"",IF(NOT($AJ337),0,Constants!$B$20*$AY337))</f>
        <v/>
      </c>
      <c r="BO337" s="100" t="str">
        <f aca="false">IF($BH337&lt;&gt;Constants!$B$4,"",IF(AND($AJ337,$BA337,$BB337),Constants!$B$22,0))</f>
        <v/>
      </c>
      <c r="BP337" s="100" t="str">
        <f aca="false">IF($BH337&lt;&gt;Constants!$B$4,"",IF(OR(NOT($AJ337),NOT($BA337)),0,IF($BF337&gt;=2*$AF$9,0,Constants!$B$23*INT(ROUND(MIN($BF337,$AF$9),6)))))</f>
        <v/>
      </c>
      <c r="BQ337" s="100" t="str">
        <f aca="false">IF($BH337&lt;&gt;Constants!$B$4,"",IF(NOT($AJ337),0,Constants!$B$24*INT(ROUND(MIN($AZ337,$AF$9),6))))</f>
        <v/>
      </c>
      <c r="BR337" s="100" t="str">
        <f aca="false">IF($BH337&lt;&gt;Constants!$B$4,"",IF(AND($AJ337,$BJ337=0),Constants!$B$25,0))</f>
        <v/>
      </c>
      <c r="BS337" s="100" t="str">
        <f aca="false">IF($BH337&lt;&gt;Constants!$B$4,"",MIN(Constants!$B$29,MAX(0,Constants!$B$27*Constants!$B$28*INT(ROUND((Constants!$B$26-$AL337)/Constants!$B$28,6))))+MIN(Constants!$B$29,MAX(0,Constants!$B$27*Constants!$B$28*INT(ROUND((Constants!$B$26-$AM337)/Constants!$B$28,6))))+MIN(Constants!$B$29,MAX(0,Constants!$B$27*Constants!$B$28*INT(ROUND((Constants!$B$26-$AN337)/Constants!$B$28,6)))))</f>
        <v/>
      </c>
      <c r="BT337" s="100" t="str">
        <f aca="false">IF($BH337&lt;&gt;Constants!$B$4,"",IF(NOT($AJ337),0,Constants!$B$31*INT(ROUND(MAX(0,MIN($BF337,2*$AF$9)-$AF$9),6))))</f>
        <v/>
      </c>
      <c r="BU337" s="100" t="str">
        <f aca="false">IF($BH337&lt;&gt;Constants!$B$4,"",Constants!$B$32*(($AL337&gt;Constants!$B$26)+($AM337&gt;Constants!$B$26)+($AN337&gt;Constants!$B$26)))</f>
        <v/>
      </c>
      <c r="BV337" s="100" t="str">
        <f aca="false">IF($BH337&lt;&gt;Constants!$B$4,"",IF(OR(NOT($AJ337),$AO337),0,Constants!$B$33))</f>
        <v/>
      </c>
      <c r="BW337" s="100" t="str">
        <f aca="false">IF($BH337&lt;&gt;Constants!$B$4,"",Constants!$B$34*$BJ337)</f>
        <v/>
      </c>
      <c r="BX337" s="100" t="str">
        <f aca="false">IF($BH337&lt;&gt;Constants!$B$4,"",IF(OR(NOT($AJ337),$BE337),0,Constants!$B$36))</f>
        <v/>
      </c>
      <c r="BY337" s="100" t="str">
        <f aca="false">IF($BH337&lt;&gt;Constants!$B$4,"",IF(OR(NOT($AJ337),$BD337),0,Constants!$B$37))</f>
        <v/>
      </c>
      <c r="BZ337" s="100" t="str">
        <f aca="false">IF($BH337&lt;&gt;Constants!$B$4,"",SUM($BT337:$BY337))</f>
        <v/>
      </c>
      <c r="CA337" s="100" t="str">
        <f aca="false">IF(ISBLANK($C337),"",IF($BH337&lt;&gt;Constants!$B$4,$BH337,SUM($BK337:$BS337)-$BZ337))</f>
        <v/>
      </c>
      <c r="CB337" s="100" t="str">
        <f aca="false">IF(ISBLANK($C337),"",IF($BH337&lt;&gt;Constants!$B$4,$BH337,RANK($CA337,$CA$9:$CA$508)))</f>
        <v/>
      </c>
      <c r="CC337" s="100" t="str">
        <f aca="false">IF(ISBLANK($C337),"",IF($BH337&lt;&gt;Constants!$B$4,$BH337,COUNTIFS($BI$9:$BI$508,"&lt;"&amp;$BI337)+COUNTIFS($BI$9:$BI$508,$BI337,$CB$9:$CB$508,"&lt;"&amp;$CB337)+1))</f>
        <v/>
      </c>
      <c r="CD337" s="100" t="str">
        <f aca="false">IF(ISBLANK($C337),"",IF($BH337&lt;&gt;Constants!$B$4,$BH337,RANK($BZ337,$BZ$9:$BZ$508,1)))</f>
        <v/>
      </c>
      <c r="CE337" s="100" t="str">
        <f aca="false">IF($BH337&lt;&gt;Constants!$B$4,"",$AL337+$AM337+$AN337)</f>
        <v/>
      </c>
      <c r="CF337" s="100" t="str">
        <f aca="false">IF(ISBLANK($C337),"",IF($BH337&lt;&gt;Constants!$B$4,$BH337,RANK($CE337,$CE$9:$CE$508,1)))</f>
        <v/>
      </c>
      <c r="CG337" s="100" t="str">
        <f aca="false">IF(ISBLANK($C337),"",IF($BH337&lt;&gt;Constants!$B$4,$BH337,COUNTIFS($BI$9:$BI$508,"&lt;"&amp;$BI337)+COUNTIFS($BI$9:$BI$508,$BI337,$CB$9:$CB$508,"&lt;"&amp;$CB337)+COUNTIFS($BI$9:$BI$508,$BI337,$CB$9:$CB$508,$CB337,$CD$9:$CD$508,"&lt;"&amp;$CD337)+COUNTIFS($BI$9:$BI$508,$BI337,$CB$9:$CB$508,$CB337,$CD$9:$CD$508,$CD337,$CF$9:$CF$508,"&lt;"&amp;$CF337)+1))</f>
        <v/>
      </c>
      <c r="CH337" s="100" t="str">
        <f aca="false">IF(ISBLANK($C337),"",IF($BH337&lt;&gt;Constants!$B$4,$BH337,$CC337-$CG337))</f>
        <v/>
      </c>
      <c r="CI337" s="100" t="str">
        <f aca="false">IF(ISBLANK($C337),"",IF(NOT($AJ337),"",IF(ISBLANK($D$7),$CI$5,IF(NOT(ISNUMBER($D$7)),$CI$6,""))))</f>
        <v/>
      </c>
      <c r="CJ337" s="100" t="str">
        <f aca="false">IF(ISBLANK($C337),"",OR($AL337="",$AM337="",$AN337=""))</f>
        <v/>
      </c>
      <c r="CK337" s="100" t="str">
        <f aca="false">IF(ISBLANK($C337),"",AND($AJ337,$AX337=""))</f>
        <v/>
      </c>
      <c r="CL337" s="100" t="str">
        <f aca="false">IF(ISBLANK($C337),"",AND($AJ337,$AY337=""))</f>
        <v/>
      </c>
      <c r="CM337" s="100" t="str">
        <f aca="false">IF(ISBLANK($C337),"",AND($AJ337,$AZ337=""))</f>
        <v/>
      </c>
      <c r="CN337" s="100" t="str">
        <f aca="false">IF(ISBLANK($C337),"",AND($AJ337,$BC337=""))</f>
        <v/>
      </c>
      <c r="CO337" s="100" t="str">
        <f aca="false">IF(ISBLANK($C337),"",AND($AJ337,$BF337=""))</f>
        <v/>
      </c>
      <c r="CP337" s="101"/>
      <c r="CQ337" s="102"/>
      <c r="CR337" s="103" t="str">
        <f aca="false">IF(ISBLANK($C337),"",IF($BH337=Constants!$B$8,$CI337,""))</f>
        <v/>
      </c>
      <c r="CS337" s="102" t="str">
        <f aca="false">IF(ISBLANK($C337),"",IF($BH337&lt;&gt;Constants!$B$4,"",$BK337+$BL337))</f>
        <v/>
      </c>
      <c r="CT337" s="104" t="str">
        <f aca="false">IF(ISBLANK($C337),"",IF($BH337&lt;&gt;Constants!$B$4,"",$BM337+$BN337+$BO337))</f>
        <v/>
      </c>
      <c r="CU337" s="104" t="str">
        <f aca="false">IF(ISBLANK($C337),"",IF($BH337&lt;&gt;Constants!$B$4,"",$BP337))</f>
        <v/>
      </c>
      <c r="CV337" s="104" t="str">
        <f aca="false">IF(ISBLANK($C337),"",IF($BH337&lt;&gt;Constants!$B$4,"",$BQ337+$BR337))</f>
        <v/>
      </c>
      <c r="CW337" s="104" t="str">
        <f aca="false">IF(ISBLANK($C337),"",IF($BH337&lt;&gt;Constants!$B$4,"",$BS337))</f>
        <v/>
      </c>
      <c r="CX337" s="104" t="str">
        <f aca="false">IF(ISBLANK($C337),"",IF($BH337&lt;&gt;Constants!$B$4,"",-$BZ337))</f>
        <v/>
      </c>
      <c r="CY337" s="103" t="str">
        <f aca="false">IF(ISBLANK($C337),"",$CA337)</f>
        <v/>
      </c>
      <c r="CZ337" s="105" t="str">
        <f aca="false">IF(ISBLANK($C337),"",$BI337)</f>
        <v/>
      </c>
      <c r="DA337" s="104" t="str">
        <f aca="false">IF(ISBLANK($C337),"",$CH337)</f>
        <v/>
      </c>
      <c r="DB337" s="104" t="str">
        <f aca="false">IF(ISBLANK($C337),"",$CG337)</f>
        <v/>
      </c>
      <c r="DC337" s="106" t="str">
        <f aca="false">IF(ISBLANK($C337),"",IFERROR(_xlfn.SWITCH($DB337,Constants!$B$7,COUNTA($C$9:$C$508)+2,Constants!$B$6,COUNTA($C$9:$C$508)+1,Constants!$B$5,COUNTA($C$9:$C$508)),$DB337))</f>
        <v/>
      </c>
      <c r="DD337" s="7"/>
      <c r="DE337" s="107" t="n">
        <f aca="false">IF(OR(ISNUMBER($DB337),$DB337=Constants!$B$7,$DB337=Constants!$B$5,$DB337=Constants!$B$6),1,0)</f>
        <v>0</v>
      </c>
      <c r="DF337" s="107" t="n">
        <v>329</v>
      </c>
      <c r="DG337" s="107" t="str">
        <f aca="false">IF(ISBLANK($C337),"",IF(ISNUMBER($DC337),$DC337+ROW($B337)/1000,""))</f>
        <v/>
      </c>
      <c r="DH337" s="107" t="str">
        <f aca="false">IF(ISNUMBER($DG337),RANK($DG337,$DG$9:$DG$508,1),"")</f>
        <v/>
      </c>
      <c r="DI337" s="107" t="str">
        <f aca="false">IF(ISBLANK($C337),"",$B337)</f>
        <v/>
      </c>
      <c r="DJ337" s="107" t="str">
        <f aca="false">IF(ISBLANK($C337),"",$C337)</f>
        <v/>
      </c>
      <c r="DK337" s="107" t="str">
        <f aca="false">IF(ISBLANK($C337),"",$D337)</f>
        <v/>
      </c>
      <c r="DL337" s="108" t="str">
        <f aca="false">$CZ337</f>
        <v/>
      </c>
      <c r="DM337" s="109" t="str">
        <f aca="false">$CY337</f>
        <v/>
      </c>
      <c r="DN337" s="107" t="str">
        <f aca="false">IF(ISBLANK($C337),"",$DB337)</f>
        <v/>
      </c>
      <c r="DO337" s="110" t="str">
        <f aca="false">IF($DF337&gt;$DE$8,"",VLOOKUP($DF337,$DH$9:$DN$508,7,FALSE()))</f>
        <v/>
      </c>
      <c r="DP337" s="111" t="str">
        <f aca="false">IF($DF337&gt;$DE$8,"",VLOOKUP($DF337,$DH$9:$DN$508,2,FALSE()))</f>
        <v/>
      </c>
      <c r="DQ337" s="111" t="str">
        <f aca="false">IF($DF337&gt;$DE$8,"",VLOOKUP($DF337,$DH$9:$DN$508,3,FALSE()))</f>
        <v/>
      </c>
      <c r="DR337" s="111" t="str">
        <f aca="false">IF($DF337&gt;$DE$8,"",VLOOKUP($DF337,$DH$9:$DN$508,4,FALSE()))</f>
        <v/>
      </c>
      <c r="DS337" s="111" t="str">
        <f aca="false">IF($DF337&gt;$DE$8,"",VLOOKUP($DF337,$DH$9:$DN$508,5,FALSE()))</f>
        <v/>
      </c>
      <c r="DT337" s="112" t="str">
        <f aca="false">IF($DF337&gt;$DE$8,"",VLOOKUP($DF337,$DH$9:$DN$508,6,FALSE()))</f>
        <v/>
      </c>
      <c r="DU337" s="62"/>
    </row>
    <row r="338" customFormat="false" ht="15.75" hidden="false" customHeight="false" outlineLevel="0" collapsed="false">
      <c r="A338" s="7"/>
      <c r="B338" s="90"/>
      <c r="C338" s="91"/>
      <c r="D338" s="126"/>
      <c r="E338" s="130"/>
      <c r="F338" s="135"/>
      <c r="G338" s="130"/>
      <c r="H338" s="135"/>
      <c r="I338" s="131"/>
      <c r="J338" s="131"/>
      <c r="K338" s="131"/>
      <c r="L338" s="130"/>
      <c r="M338" s="130"/>
      <c r="N338" s="130"/>
      <c r="O338" s="135"/>
      <c r="P338" s="130"/>
      <c r="Q338" s="130"/>
      <c r="R338" s="130"/>
      <c r="S338" s="130"/>
      <c r="T338" s="135"/>
      <c r="U338" s="130"/>
      <c r="V338" s="96"/>
      <c r="W338" s="130"/>
      <c r="X338" s="130"/>
      <c r="Y338" s="96"/>
      <c r="Z338" s="96"/>
      <c r="AA338" s="130"/>
      <c r="AB338" s="130"/>
      <c r="AC338" s="97"/>
      <c r="AD338" s="130"/>
      <c r="AE338" s="99"/>
      <c r="AF338" s="100"/>
      <c r="AG338" s="100"/>
      <c r="AH338" s="100" t="str">
        <f aca="false">IF(ISBLANK($C338),"",IF($E338=Constants!$B$2,TRUE(),IF($E338=Constants!$B$3,FALSE(),TRUE())))</f>
        <v/>
      </c>
      <c r="AI338" s="100" t="str">
        <f aca="false">IF(ISBLANK($C338),"",IF($F338=Constants!$B$2,TRUE(),IF($F338=Constants!$B$3,FALSE(),FALSE())))</f>
        <v/>
      </c>
      <c r="AJ338" s="100" t="str">
        <f aca="false">IF(ISBLANK($C338),"",IF($G338=Constants!$B$2,TRUE(),IF($G338=Constants!$B$3,FALSE(),TRUE())))</f>
        <v/>
      </c>
      <c r="AK338" s="100" t="str">
        <f aca="false">IF(ISBLANK($C338),"",IF($H338=Constants!$B$2,TRUE(),IF($H338=Constants!$B$3,FALSE(),TRUE())))</f>
        <v/>
      </c>
      <c r="AL338" s="100" t="str">
        <f aca="false">IF(ISBLANK($C338),"",IF(ISNUMBER($I338),IF($I338&gt;=0,$I338,""),""))</f>
        <v/>
      </c>
      <c r="AM338" s="100" t="str">
        <f aca="false">IF(ISBLANK($C338),"",IF(ISNUMBER($J338),IF($J338&gt;=0,$J338,""),""))</f>
        <v/>
      </c>
      <c r="AN338" s="100" t="str">
        <f aca="false">IF(ISBLANK($C338),"",IF(ISNUMBER($K338),IF($K338&gt;=0,$K338,""),""))</f>
        <v/>
      </c>
      <c r="AO338" s="100" t="str">
        <f aca="false">IF(ISBLANK($C338),"",IF($L338=Constants!$B$2,TRUE(),IF($L338=Constants!$B$3,FALSE(),TRUE())))</f>
        <v/>
      </c>
      <c r="AP338" s="100" t="str">
        <f aca="false">IF(ISBLANK($C338),"",IF($M338=Constants!$B$2,TRUE(),IF($M338=Constants!$B$3,FALSE(),TRUE())))</f>
        <v/>
      </c>
      <c r="AQ338" s="100" t="str">
        <f aca="false">IF(ISBLANK($C338),"",IF($N338=Constants!$B$2,TRUE(),IF($N338=Constants!$B$3,FALSE(),FALSE())))</f>
        <v/>
      </c>
      <c r="AR338" s="100" t="str">
        <f aca="false">IF(ISBLANK($C338),"",IF($O338=Constants!$B$2,TRUE(),IF($O338=Constants!$B$3,FALSE(),TRUE())))</f>
        <v/>
      </c>
      <c r="AS338" s="100" t="str">
        <f aca="false">IF(ISBLANK($C338),"",IF($P338=Constants!$B$2,TRUE(),IF($P338=Constants!$B$3,FALSE(),FALSE())))</f>
        <v/>
      </c>
      <c r="AT338" s="100" t="str">
        <f aca="false">IF(ISBLANK($C338),"",IF($Q338=Constants!$B$2,TRUE(),IF($Q338=Constants!$B$3,FALSE(),FALSE())))</f>
        <v/>
      </c>
      <c r="AU338" s="100" t="str">
        <f aca="false">IF(ISBLANK($C338),"",IF($R338=Constants!$B$2,TRUE(),IF($R338=Constants!$B$3,FALSE(),FALSE())))</f>
        <v/>
      </c>
      <c r="AV338" s="100" t="str">
        <f aca="false">IF(ISBLANK($C338),"",IF($S338=Constants!$B$2,TRUE(),IF($S338=Constants!$B$3,FALSE(),FALSE())))</f>
        <v/>
      </c>
      <c r="AW338" s="100" t="str">
        <f aca="false">IF(ISBLANK($C338),"",IF($T338=Constants!$B$2,TRUE(),IF($T338=Constants!$B$3,FALSE(),FALSE())))</f>
        <v/>
      </c>
      <c r="AX338" s="100" t="str">
        <f aca="false">IF(ISBLANK($C338),"",IF(OR($U338&amp;""="1",$U338&amp;""="2",$U338&amp;""="3",$U338&amp;""="4"),VALUE($U338&amp;""),IF($U338=Constants!$B$12,Constants!$B$12,"")))</f>
        <v/>
      </c>
      <c r="AY338" s="100" t="str">
        <f aca="false">IF(ISBLANK($C338),"",IF(ISBLANK($V338),0,IF(ISNUMBER($V338),IF(AND($V338&gt;=0,$V338&lt;=Constants!$B$21,$V338=INT($V338)),$V338,""),"")))</f>
        <v/>
      </c>
      <c r="AZ338" s="100" t="str">
        <f aca="false">IF(ISBLANK($C338),"",IF(ISBLANK($W338),0,IF(ISNUMBER($W338),IF($W338&gt;=0,$W338,""),"")))</f>
        <v/>
      </c>
      <c r="BA338" s="100" t="str">
        <f aca="false">IF(ISBLANK($C338),"",IF($X338=Constants!$B$2,TRUE(),IF($X338=Constants!$B$3,FALSE(),TRUE())))</f>
        <v/>
      </c>
      <c r="BB338" s="100" t="str">
        <f aca="false">IF(ISBLANK($C338),"",IF($Y338=Constants!$B$2,TRUE(),IF($Y338=Constants!$B$3,FALSE(),FALSE())))</f>
        <v/>
      </c>
      <c r="BC338" s="100" t="str">
        <f aca="false">IF(ISBLANK($C338),"",IF(ISBLANK($Z338),0,IF(ISNUMBER($Z338),IF(AND($Z338&gt;=0,$Z338&lt;=Constants!$B$35,$Z338=INT($Z338)),$Z338,""),"")))</f>
        <v/>
      </c>
      <c r="BD338" s="100" t="str">
        <f aca="false">IF(ISBLANK($C338),"",IF($AA338=Constants!$B$2,TRUE(),IF($AA338=Constants!$B$3,FALSE(),TRUE())))</f>
        <v/>
      </c>
      <c r="BE338" s="100" t="str">
        <f aca="false">IF(ISBLANK($C338),"",IF($AB338=Constants!$B$2,TRUE(),IF($AB338=Constants!$B$3,FALSE(),TRUE())))</f>
        <v/>
      </c>
      <c r="BF338" s="100" t="str">
        <f aca="false">IF(ISBLANK($C338),"",IF(ISNUMBER($AC338),IF($AC338&gt;=0,$AC338,""),""))</f>
        <v/>
      </c>
      <c r="BG338" s="100" t="str">
        <f aca="false">IF(ISBLANK($C338),"",IF($AD338=Constants!$B$2,TRUE(),IF($AD338=Constants!$B$3,FALSE(),FALSE())))</f>
        <v/>
      </c>
      <c r="BH338" s="99" t="str">
        <f aca="false">IF(ISBLANK($C338),"",IF($BG338,Constants!$B$7,IF(COUNTA($E338:$AC338)=0,Constants!$B$6,IF(OR(COUNTA($G338:$AC338)=0,NOT($AK338),$AQ338),Constants!$B$5,IF(OR($CI338&lt;&gt;"",$CJ338,$CK338,$CL338,$CM338,$CN338,$CO338),Constants!$B$8,Constants!$B$4)))))</f>
        <v/>
      </c>
      <c r="BI338" s="100" t="str">
        <f aca="false">IF(ISBLANK($C338),"",IF($BH338&lt;&gt;Constants!$B$4,$BH338,IF(OR(NOT($AH338),NOT($AJ338),NOT($AR338)),Constants!$B$11,IF(OR(NOT($AP338),MAX($AL338,$AM338,$AN338)&gt;Constants!$B$30),Constants!$B$10,Constants!$B$9))))</f>
        <v/>
      </c>
      <c r="BJ338" s="100" t="str">
        <f aca="false">IF($BH338&lt;&gt;Constants!$B$4,"",IF(NOT($AJ338),0,MIN(Constants!$B$35,$BC338)))</f>
        <v/>
      </c>
      <c r="BK338" s="100" t="str">
        <f aca="false">IF($BH338&lt;&gt;Constants!$B$4,"",IF(NOT($AJ338),0,IF($AT338,Constants!$B$18,IF($AS338,Constants!$B$17,0))))</f>
        <v/>
      </c>
      <c r="BL338" s="100" t="str">
        <f aca="false">IF($BH338&lt;&gt;Constants!$B$4,"",IF(NOT($AJ338),0,Constants!$B$19*($AI338+$AU338+$AV338+$AW338)))</f>
        <v/>
      </c>
      <c r="BM338" s="100" t="str">
        <f aca="false">IF($BH338&lt;&gt;Constants!$B$4,"",IF(OR(NOT($AJ338),NOT(ISNUMBER($AX338))),0,CHOOSE($AX338,Constants!$B$13,Constants!$B$14,Constants!$B$15,Constants!$B$16)))</f>
        <v/>
      </c>
      <c r="BN338" s="100" t="str">
        <f aca="false">IF($BH338&lt;&gt;Constants!$B$4,"",IF(NOT($AJ338),0,Constants!$B$20*$AY338))</f>
        <v/>
      </c>
      <c r="BO338" s="100" t="str">
        <f aca="false">IF($BH338&lt;&gt;Constants!$B$4,"",IF(AND($AJ338,$BA338,$BB338),Constants!$B$22,0))</f>
        <v/>
      </c>
      <c r="BP338" s="100" t="str">
        <f aca="false">IF($BH338&lt;&gt;Constants!$B$4,"",IF(OR(NOT($AJ338),NOT($BA338)),0,IF($BF338&gt;=2*$AF$9,0,Constants!$B$23*INT(ROUND(MIN($BF338,$AF$9),6)))))</f>
        <v/>
      </c>
      <c r="BQ338" s="100" t="str">
        <f aca="false">IF($BH338&lt;&gt;Constants!$B$4,"",IF(NOT($AJ338),0,Constants!$B$24*INT(ROUND(MIN($AZ338,$AF$9),6))))</f>
        <v/>
      </c>
      <c r="BR338" s="100" t="str">
        <f aca="false">IF($BH338&lt;&gt;Constants!$B$4,"",IF(AND($AJ338,$BJ338=0),Constants!$B$25,0))</f>
        <v/>
      </c>
      <c r="BS338" s="100" t="str">
        <f aca="false">IF($BH338&lt;&gt;Constants!$B$4,"",MIN(Constants!$B$29,MAX(0,Constants!$B$27*Constants!$B$28*INT(ROUND((Constants!$B$26-$AL338)/Constants!$B$28,6))))+MIN(Constants!$B$29,MAX(0,Constants!$B$27*Constants!$B$28*INT(ROUND((Constants!$B$26-$AM338)/Constants!$B$28,6))))+MIN(Constants!$B$29,MAX(0,Constants!$B$27*Constants!$B$28*INT(ROUND((Constants!$B$26-$AN338)/Constants!$B$28,6)))))</f>
        <v/>
      </c>
      <c r="BT338" s="100" t="str">
        <f aca="false">IF($BH338&lt;&gt;Constants!$B$4,"",IF(NOT($AJ338),0,Constants!$B$31*INT(ROUND(MAX(0,MIN($BF338,2*$AF$9)-$AF$9),6))))</f>
        <v/>
      </c>
      <c r="BU338" s="100" t="str">
        <f aca="false">IF($BH338&lt;&gt;Constants!$B$4,"",Constants!$B$32*(($AL338&gt;Constants!$B$26)+($AM338&gt;Constants!$B$26)+($AN338&gt;Constants!$B$26)))</f>
        <v/>
      </c>
      <c r="BV338" s="100" t="str">
        <f aca="false">IF($BH338&lt;&gt;Constants!$B$4,"",IF(OR(NOT($AJ338),$AO338),0,Constants!$B$33))</f>
        <v/>
      </c>
      <c r="BW338" s="100" t="str">
        <f aca="false">IF($BH338&lt;&gt;Constants!$B$4,"",Constants!$B$34*$BJ338)</f>
        <v/>
      </c>
      <c r="BX338" s="100" t="str">
        <f aca="false">IF($BH338&lt;&gt;Constants!$B$4,"",IF(OR(NOT($AJ338),$BE338),0,Constants!$B$36))</f>
        <v/>
      </c>
      <c r="BY338" s="100" t="str">
        <f aca="false">IF($BH338&lt;&gt;Constants!$B$4,"",IF(OR(NOT($AJ338),$BD338),0,Constants!$B$37))</f>
        <v/>
      </c>
      <c r="BZ338" s="100" t="str">
        <f aca="false">IF($BH338&lt;&gt;Constants!$B$4,"",SUM($BT338:$BY338))</f>
        <v/>
      </c>
      <c r="CA338" s="100" t="str">
        <f aca="false">IF(ISBLANK($C338),"",IF($BH338&lt;&gt;Constants!$B$4,$BH338,SUM($BK338:$BS338)-$BZ338))</f>
        <v/>
      </c>
      <c r="CB338" s="100" t="str">
        <f aca="false">IF(ISBLANK($C338),"",IF($BH338&lt;&gt;Constants!$B$4,$BH338,RANK($CA338,$CA$9:$CA$508)))</f>
        <v/>
      </c>
      <c r="CC338" s="100" t="str">
        <f aca="false">IF(ISBLANK($C338),"",IF($BH338&lt;&gt;Constants!$B$4,$BH338,COUNTIFS($BI$9:$BI$508,"&lt;"&amp;$BI338)+COUNTIFS($BI$9:$BI$508,$BI338,$CB$9:$CB$508,"&lt;"&amp;$CB338)+1))</f>
        <v/>
      </c>
      <c r="CD338" s="100" t="str">
        <f aca="false">IF(ISBLANK($C338),"",IF($BH338&lt;&gt;Constants!$B$4,$BH338,RANK($BZ338,$BZ$9:$BZ$508,1)))</f>
        <v/>
      </c>
      <c r="CE338" s="100" t="str">
        <f aca="false">IF($BH338&lt;&gt;Constants!$B$4,"",$AL338+$AM338+$AN338)</f>
        <v/>
      </c>
      <c r="CF338" s="100" t="str">
        <f aca="false">IF(ISBLANK($C338),"",IF($BH338&lt;&gt;Constants!$B$4,$BH338,RANK($CE338,$CE$9:$CE$508,1)))</f>
        <v/>
      </c>
      <c r="CG338" s="100" t="str">
        <f aca="false">IF(ISBLANK($C338),"",IF($BH338&lt;&gt;Constants!$B$4,$BH338,COUNTIFS($BI$9:$BI$508,"&lt;"&amp;$BI338)+COUNTIFS($BI$9:$BI$508,$BI338,$CB$9:$CB$508,"&lt;"&amp;$CB338)+COUNTIFS($BI$9:$BI$508,$BI338,$CB$9:$CB$508,$CB338,$CD$9:$CD$508,"&lt;"&amp;$CD338)+COUNTIFS($BI$9:$BI$508,$BI338,$CB$9:$CB$508,$CB338,$CD$9:$CD$508,$CD338,$CF$9:$CF$508,"&lt;"&amp;$CF338)+1))</f>
        <v/>
      </c>
      <c r="CH338" s="100" t="str">
        <f aca="false">IF(ISBLANK($C338),"",IF($BH338&lt;&gt;Constants!$B$4,$BH338,$CC338-$CG338))</f>
        <v/>
      </c>
      <c r="CI338" s="100" t="str">
        <f aca="false">IF(ISBLANK($C338),"",IF(NOT($AJ338),"",IF(ISBLANK($D$7),$CI$5,IF(NOT(ISNUMBER($D$7)),$CI$6,""))))</f>
        <v/>
      </c>
      <c r="CJ338" s="100" t="str">
        <f aca="false">IF(ISBLANK($C338),"",OR($AL338="",$AM338="",$AN338=""))</f>
        <v/>
      </c>
      <c r="CK338" s="100" t="str">
        <f aca="false">IF(ISBLANK($C338),"",AND($AJ338,$AX338=""))</f>
        <v/>
      </c>
      <c r="CL338" s="100" t="str">
        <f aca="false">IF(ISBLANK($C338),"",AND($AJ338,$AY338=""))</f>
        <v/>
      </c>
      <c r="CM338" s="100" t="str">
        <f aca="false">IF(ISBLANK($C338),"",AND($AJ338,$AZ338=""))</f>
        <v/>
      </c>
      <c r="CN338" s="100" t="str">
        <f aca="false">IF(ISBLANK($C338),"",AND($AJ338,$BC338=""))</f>
        <v/>
      </c>
      <c r="CO338" s="100" t="str">
        <f aca="false">IF(ISBLANK($C338),"",AND($AJ338,$BF338=""))</f>
        <v/>
      </c>
      <c r="CP338" s="101"/>
      <c r="CQ338" s="102"/>
      <c r="CR338" s="103" t="str">
        <f aca="false">IF(ISBLANK($C338),"",IF($BH338=Constants!$B$8,$CI338,""))</f>
        <v/>
      </c>
      <c r="CS338" s="102" t="str">
        <f aca="false">IF(ISBLANK($C338),"",IF($BH338&lt;&gt;Constants!$B$4,"",$BK338+$BL338))</f>
        <v/>
      </c>
      <c r="CT338" s="104" t="str">
        <f aca="false">IF(ISBLANK($C338),"",IF($BH338&lt;&gt;Constants!$B$4,"",$BM338+$BN338+$BO338))</f>
        <v/>
      </c>
      <c r="CU338" s="104" t="str">
        <f aca="false">IF(ISBLANK($C338),"",IF($BH338&lt;&gt;Constants!$B$4,"",$BP338))</f>
        <v/>
      </c>
      <c r="CV338" s="104" t="str">
        <f aca="false">IF(ISBLANK($C338),"",IF($BH338&lt;&gt;Constants!$B$4,"",$BQ338+$BR338))</f>
        <v/>
      </c>
      <c r="CW338" s="104" t="str">
        <f aca="false">IF(ISBLANK($C338),"",IF($BH338&lt;&gt;Constants!$B$4,"",$BS338))</f>
        <v/>
      </c>
      <c r="CX338" s="104" t="str">
        <f aca="false">IF(ISBLANK($C338),"",IF($BH338&lt;&gt;Constants!$B$4,"",-$BZ338))</f>
        <v/>
      </c>
      <c r="CY338" s="103" t="str">
        <f aca="false">IF(ISBLANK($C338),"",$CA338)</f>
        <v/>
      </c>
      <c r="CZ338" s="105" t="str">
        <f aca="false">IF(ISBLANK($C338),"",$BI338)</f>
        <v/>
      </c>
      <c r="DA338" s="104" t="str">
        <f aca="false">IF(ISBLANK($C338),"",$CH338)</f>
        <v/>
      </c>
      <c r="DB338" s="104" t="str">
        <f aca="false">IF(ISBLANK($C338),"",$CG338)</f>
        <v/>
      </c>
      <c r="DC338" s="106" t="str">
        <f aca="false">IF(ISBLANK($C338),"",IFERROR(_xlfn.SWITCH($DB338,Constants!$B$7,COUNTA($C$9:$C$508)+2,Constants!$B$6,COUNTA($C$9:$C$508)+1,Constants!$B$5,COUNTA($C$9:$C$508)),$DB338))</f>
        <v/>
      </c>
      <c r="DD338" s="7"/>
      <c r="DE338" s="107" t="n">
        <f aca="false">IF(OR(ISNUMBER($DB338),$DB338=Constants!$B$7,$DB338=Constants!$B$5,$DB338=Constants!$B$6),1,0)</f>
        <v>0</v>
      </c>
      <c r="DF338" s="107" t="n">
        <v>330</v>
      </c>
      <c r="DG338" s="107" t="str">
        <f aca="false">IF(ISBLANK($C338),"",IF(ISNUMBER($DC338),$DC338+ROW($B338)/1000,""))</f>
        <v/>
      </c>
      <c r="DH338" s="107" t="str">
        <f aca="false">IF(ISNUMBER($DG338),RANK($DG338,$DG$9:$DG$508,1),"")</f>
        <v/>
      </c>
      <c r="DI338" s="107" t="str">
        <f aca="false">IF(ISBLANK($C338),"",$B338)</f>
        <v/>
      </c>
      <c r="DJ338" s="107" t="str">
        <f aca="false">IF(ISBLANK($C338),"",$C338)</f>
        <v/>
      </c>
      <c r="DK338" s="107" t="str">
        <f aca="false">IF(ISBLANK($C338),"",$D338)</f>
        <v/>
      </c>
      <c r="DL338" s="108" t="str">
        <f aca="false">$CZ338</f>
        <v/>
      </c>
      <c r="DM338" s="109" t="str">
        <f aca="false">$CY338</f>
        <v/>
      </c>
      <c r="DN338" s="107" t="str">
        <f aca="false">IF(ISBLANK($C338),"",$DB338)</f>
        <v/>
      </c>
      <c r="DO338" s="110" t="str">
        <f aca="false">IF($DF338&gt;$DE$8,"",VLOOKUP($DF338,$DH$9:$DN$508,7,FALSE()))</f>
        <v/>
      </c>
      <c r="DP338" s="111" t="str">
        <f aca="false">IF($DF338&gt;$DE$8,"",VLOOKUP($DF338,$DH$9:$DN$508,2,FALSE()))</f>
        <v/>
      </c>
      <c r="DQ338" s="111" t="str">
        <f aca="false">IF($DF338&gt;$DE$8,"",VLOOKUP($DF338,$DH$9:$DN$508,3,FALSE()))</f>
        <v/>
      </c>
      <c r="DR338" s="111" t="str">
        <f aca="false">IF($DF338&gt;$DE$8,"",VLOOKUP($DF338,$DH$9:$DN$508,4,FALSE()))</f>
        <v/>
      </c>
      <c r="DS338" s="111" t="str">
        <f aca="false">IF($DF338&gt;$DE$8,"",VLOOKUP($DF338,$DH$9:$DN$508,5,FALSE()))</f>
        <v/>
      </c>
      <c r="DT338" s="112" t="str">
        <f aca="false">IF($DF338&gt;$DE$8,"",VLOOKUP($DF338,$DH$9:$DN$508,6,FALSE()))</f>
        <v/>
      </c>
      <c r="DU338" s="62"/>
    </row>
    <row r="339" customFormat="false" ht="15.75" hidden="false" customHeight="false" outlineLevel="0" collapsed="false">
      <c r="A339" s="7"/>
      <c r="B339" s="64"/>
      <c r="C339" s="65"/>
      <c r="D339" s="123"/>
      <c r="E339" s="88"/>
      <c r="F339" s="134"/>
      <c r="G339" s="88"/>
      <c r="H339" s="134"/>
      <c r="I339" s="119"/>
      <c r="J339" s="119"/>
      <c r="K339" s="119"/>
      <c r="L339" s="88"/>
      <c r="M339" s="88"/>
      <c r="N339" s="88"/>
      <c r="O339" s="134"/>
      <c r="P339" s="88"/>
      <c r="Q339" s="88"/>
      <c r="R339" s="88"/>
      <c r="S339" s="88"/>
      <c r="T339" s="134"/>
      <c r="U339" s="88"/>
      <c r="V339" s="70"/>
      <c r="W339" s="88"/>
      <c r="X339" s="88"/>
      <c r="Y339" s="70"/>
      <c r="Z339" s="70"/>
      <c r="AA339" s="88"/>
      <c r="AB339" s="88"/>
      <c r="AC339" s="71"/>
      <c r="AD339" s="88"/>
      <c r="AE339" s="73"/>
      <c r="AF339" s="74"/>
      <c r="AG339" s="74"/>
      <c r="AH339" s="74" t="str">
        <f aca="false">IF(ISBLANK($C339),"",IF($E339=Constants!$B$2,TRUE(),IF($E339=Constants!$B$3,FALSE(),TRUE())))</f>
        <v/>
      </c>
      <c r="AI339" s="74" t="str">
        <f aca="false">IF(ISBLANK($C339),"",IF($F339=Constants!$B$2,TRUE(),IF($F339=Constants!$B$3,FALSE(),FALSE())))</f>
        <v/>
      </c>
      <c r="AJ339" s="74" t="str">
        <f aca="false">IF(ISBLANK($C339),"",IF($G339=Constants!$B$2,TRUE(),IF($G339=Constants!$B$3,FALSE(),TRUE())))</f>
        <v/>
      </c>
      <c r="AK339" s="74" t="str">
        <f aca="false">IF(ISBLANK($C339),"",IF($H339=Constants!$B$2,TRUE(),IF($H339=Constants!$B$3,FALSE(),TRUE())))</f>
        <v/>
      </c>
      <c r="AL339" s="74" t="str">
        <f aca="false">IF(ISBLANK($C339),"",IF(ISNUMBER($I339),IF($I339&gt;=0,$I339,""),""))</f>
        <v/>
      </c>
      <c r="AM339" s="74" t="str">
        <f aca="false">IF(ISBLANK($C339),"",IF(ISNUMBER($J339),IF($J339&gt;=0,$J339,""),""))</f>
        <v/>
      </c>
      <c r="AN339" s="74" t="str">
        <f aca="false">IF(ISBLANK($C339),"",IF(ISNUMBER($K339),IF($K339&gt;=0,$K339,""),""))</f>
        <v/>
      </c>
      <c r="AO339" s="74" t="str">
        <f aca="false">IF(ISBLANK($C339),"",IF($L339=Constants!$B$2,TRUE(),IF($L339=Constants!$B$3,FALSE(),TRUE())))</f>
        <v/>
      </c>
      <c r="AP339" s="74" t="str">
        <f aca="false">IF(ISBLANK($C339),"",IF($M339=Constants!$B$2,TRUE(),IF($M339=Constants!$B$3,FALSE(),TRUE())))</f>
        <v/>
      </c>
      <c r="AQ339" s="74" t="str">
        <f aca="false">IF(ISBLANK($C339),"",IF($N339=Constants!$B$2,TRUE(),IF($N339=Constants!$B$3,FALSE(),FALSE())))</f>
        <v/>
      </c>
      <c r="AR339" s="74" t="str">
        <f aca="false">IF(ISBLANK($C339),"",IF($O339=Constants!$B$2,TRUE(),IF($O339=Constants!$B$3,FALSE(),TRUE())))</f>
        <v/>
      </c>
      <c r="AS339" s="74" t="str">
        <f aca="false">IF(ISBLANK($C339),"",IF($P339=Constants!$B$2,TRUE(),IF($P339=Constants!$B$3,FALSE(),FALSE())))</f>
        <v/>
      </c>
      <c r="AT339" s="74" t="str">
        <f aca="false">IF(ISBLANK($C339),"",IF($Q339=Constants!$B$2,TRUE(),IF($Q339=Constants!$B$3,FALSE(),FALSE())))</f>
        <v/>
      </c>
      <c r="AU339" s="74" t="str">
        <f aca="false">IF(ISBLANK($C339),"",IF($R339=Constants!$B$2,TRUE(),IF($R339=Constants!$B$3,FALSE(),FALSE())))</f>
        <v/>
      </c>
      <c r="AV339" s="74" t="str">
        <f aca="false">IF(ISBLANK($C339),"",IF($S339=Constants!$B$2,TRUE(),IF($S339=Constants!$B$3,FALSE(),FALSE())))</f>
        <v/>
      </c>
      <c r="AW339" s="74" t="str">
        <f aca="false">IF(ISBLANK($C339),"",IF($T339=Constants!$B$2,TRUE(),IF($T339=Constants!$B$3,FALSE(),FALSE())))</f>
        <v/>
      </c>
      <c r="AX339" s="74" t="str">
        <f aca="false">IF(ISBLANK($C339),"",IF(OR($U339&amp;""="1",$U339&amp;""="2",$U339&amp;""="3",$U339&amp;""="4"),VALUE($U339&amp;""),IF($U339=Constants!$B$12,Constants!$B$12,"")))</f>
        <v/>
      </c>
      <c r="AY339" s="74" t="str">
        <f aca="false">IF(ISBLANK($C339),"",IF(ISBLANK($V339),0,IF(ISNUMBER($V339),IF(AND($V339&gt;=0,$V339&lt;=Constants!$B$21,$V339=INT($V339)),$V339,""),"")))</f>
        <v/>
      </c>
      <c r="AZ339" s="74" t="str">
        <f aca="false">IF(ISBLANK($C339),"",IF(ISBLANK($W339),0,IF(ISNUMBER($W339),IF($W339&gt;=0,$W339,""),"")))</f>
        <v/>
      </c>
      <c r="BA339" s="74" t="str">
        <f aca="false">IF(ISBLANK($C339),"",IF($X339=Constants!$B$2,TRUE(),IF($X339=Constants!$B$3,FALSE(),TRUE())))</f>
        <v/>
      </c>
      <c r="BB339" s="74" t="str">
        <f aca="false">IF(ISBLANK($C339),"",IF($Y339=Constants!$B$2,TRUE(),IF($Y339=Constants!$B$3,FALSE(),FALSE())))</f>
        <v/>
      </c>
      <c r="BC339" s="74" t="str">
        <f aca="false">IF(ISBLANK($C339),"",IF(ISBLANK($Z339),0,IF(ISNUMBER($Z339),IF(AND($Z339&gt;=0,$Z339&lt;=Constants!$B$35,$Z339=INT($Z339)),$Z339,""),"")))</f>
        <v/>
      </c>
      <c r="BD339" s="74" t="str">
        <f aca="false">IF(ISBLANK($C339),"",IF($AA339=Constants!$B$2,TRUE(),IF($AA339=Constants!$B$3,FALSE(),TRUE())))</f>
        <v/>
      </c>
      <c r="BE339" s="74" t="str">
        <f aca="false">IF(ISBLANK($C339),"",IF($AB339=Constants!$B$2,TRUE(),IF($AB339=Constants!$B$3,FALSE(),TRUE())))</f>
        <v/>
      </c>
      <c r="BF339" s="74" t="str">
        <f aca="false">IF(ISBLANK($C339),"",IF(ISNUMBER($AC339),IF($AC339&gt;=0,$AC339,""),""))</f>
        <v/>
      </c>
      <c r="BG339" s="74" t="str">
        <f aca="false">IF(ISBLANK($C339),"",IF($AD339=Constants!$B$2,TRUE(),IF($AD339=Constants!$B$3,FALSE(),FALSE())))</f>
        <v/>
      </c>
      <c r="BH339" s="73" t="str">
        <f aca="false">IF(ISBLANK($C339),"",IF($BG339,Constants!$B$7,IF(COUNTA($E339:$AC339)=0,Constants!$B$6,IF(OR(COUNTA($G339:$AC339)=0,NOT($AK339),$AQ339),Constants!$B$5,IF(OR($CI339&lt;&gt;"",$CJ339,$CK339,$CL339,$CM339,$CN339,$CO339),Constants!$B$8,Constants!$B$4)))))</f>
        <v/>
      </c>
      <c r="BI339" s="74" t="str">
        <f aca="false">IF(ISBLANK($C339),"",IF($BH339&lt;&gt;Constants!$B$4,$BH339,IF(OR(NOT($AH339),NOT($AJ339),NOT($AR339)),Constants!$B$11,IF(OR(NOT($AP339),MAX($AL339,$AM339,$AN339)&gt;Constants!$B$30),Constants!$B$10,Constants!$B$9))))</f>
        <v/>
      </c>
      <c r="BJ339" s="74" t="str">
        <f aca="false">IF($BH339&lt;&gt;Constants!$B$4,"",IF(NOT($AJ339),0,MIN(Constants!$B$35,$BC339)))</f>
        <v/>
      </c>
      <c r="BK339" s="74" t="str">
        <f aca="false">IF($BH339&lt;&gt;Constants!$B$4,"",IF(NOT($AJ339),0,IF($AT339,Constants!$B$18,IF($AS339,Constants!$B$17,0))))</f>
        <v/>
      </c>
      <c r="BL339" s="74" t="str">
        <f aca="false">IF($BH339&lt;&gt;Constants!$B$4,"",IF(NOT($AJ339),0,Constants!$B$19*($AI339+$AU339+$AV339+$AW339)))</f>
        <v/>
      </c>
      <c r="BM339" s="74" t="str">
        <f aca="false">IF($BH339&lt;&gt;Constants!$B$4,"",IF(OR(NOT($AJ339),NOT(ISNUMBER($AX339))),0,CHOOSE($AX339,Constants!$B$13,Constants!$B$14,Constants!$B$15,Constants!$B$16)))</f>
        <v/>
      </c>
      <c r="BN339" s="74" t="str">
        <f aca="false">IF($BH339&lt;&gt;Constants!$B$4,"",IF(NOT($AJ339),0,Constants!$B$20*$AY339))</f>
        <v/>
      </c>
      <c r="BO339" s="74" t="str">
        <f aca="false">IF($BH339&lt;&gt;Constants!$B$4,"",IF(AND($AJ339,$BA339,$BB339),Constants!$B$22,0))</f>
        <v/>
      </c>
      <c r="BP339" s="74" t="str">
        <f aca="false">IF($BH339&lt;&gt;Constants!$B$4,"",IF(OR(NOT($AJ339),NOT($BA339)),0,IF($BF339&gt;=2*$AF$9,0,Constants!$B$23*INT(ROUND(MIN($BF339,$AF$9),6)))))</f>
        <v/>
      </c>
      <c r="BQ339" s="74" t="str">
        <f aca="false">IF($BH339&lt;&gt;Constants!$B$4,"",IF(NOT($AJ339),0,Constants!$B$24*INT(ROUND(MIN($AZ339,$AF$9),6))))</f>
        <v/>
      </c>
      <c r="BR339" s="74" t="str">
        <f aca="false">IF($BH339&lt;&gt;Constants!$B$4,"",IF(AND($AJ339,$BJ339=0),Constants!$B$25,0))</f>
        <v/>
      </c>
      <c r="BS339" s="74" t="str">
        <f aca="false">IF($BH339&lt;&gt;Constants!$B$4,"",MIN(Constants!$B$29,MAX(0,Constants!$B$27*Constants!$B$28*INT(ROUND((Constants!$B$26-$AL339)/Constants!$B$28,6))))+MIN(Constants!$B$29,MAX(0,Constants!$B$27*Constants!$B$28*INT(ROUND((Constants!$B$26-$AM339)/Constants!$B$28,6))))+MIN(Constants!$B$29,MAX(0,Constants!$B$27*Constants!$B$28*INT(ROUND((Constants!$B$26-$AN339)/Constants!$B$28,6)))))</f>
        <v/>
      </c>
      <c r="BT339" s="74" t="str">
        <f aca="false">IF($BH339&lt;&gt;Constants!$B$4,"",IF(NOT($AJ339),0,Constants!$B$31*INT(ROUND(MAX(0,MIN($BF339,2*$AF$9)-$AF$9),6))))</f>
        <v/>
      </c>
      <c r="BU339" s="74" t="str">
        <f aca="false">IF($BH339&lt;&gt;Constants!$B$4,"",Constants!$B$32*(($AL339&gt;Constants!$B$26)+($AM339&gt;Constants!$B$26)+($AN339&gt;Constants!$B$26)))</f>
        <v/>
      </c>
      <c r="BV339" s="74" t="str">
        <f aca="false">IF($BH339&lt;&gt;Constants!$B$4,"",IF(OR(NOT($AJ339),$AO339),0,Constants!$B$33))</f>
        <v/>
      </c>
      <c r="BW339" s="74" t="str">
        <f aca="false">IF($BH339&lt;&gt;Constants!$B$4,"",Constants!$B$34*$BJ339)</f>
        <v/>
      </c>
      <c r="BX339" s="74" t="str">
        <f aca="false">IF($BH339&lt;&gt;Constants!$B$4,"",IF(OR(NOT($AJ339),$BE339),0,Constants!$B$36))</f>
        <v/>
      </c>
      <c r="BY339" s="74" t="str">
        <f aca="false">IF($BH339&lt;&gt;Constants!$B$4,"",IF(OR(NOT($AJ339),$BD339),0,Constants!$B$37))</f>
        <v/>
      </c>
      <c r="BZ339" s="74" t="str">
        <f aca="false">IF($BH339&lt;&gt;Constants!$B$4,"",SUM($BT339:$BY339))</f>
        <v/>
      </c>
      <c r="CA339" s="74" t="str">
        <f aca="false">IF(ISBLANK($C339),"",IF($BH339&lt;&gt;Constants!$B$4,$BH339,SUM($BK339:$BS339)-$BZ339))</f>
        <v/>
      </c>
      <c r="CB339" s="74" t="str">
        <f aca="false">IF(ISBLANK($C339),"",IF($BH339&lt;&gt;Constants!$B$4,$BH339,RANK($CA339,$CA$9:$CA$508)))</f>
        <v/>
      </c>
      <c r="CC339" s="74" t="str">
        <f aca="false">IF(ISBLANK($C339),"",IF($BH339&lt;&gt;Constants!$B$4,$BH339,COUNTIFS($BI$9:$BI$508,"&lt;"&amp;$BI339)+COUNTIFS($BI$9:$BI$508,$BI339,$CB$9:$CB$508,"&lt;"&amp;$CB339)+1))</f>
        <v/>
      </c>
      <c r="CD339" s="74" t="str">
        <f aca="false">IF(ISBLANK($C339),"",IF($BH339&lt;&gt;Constants!$B$4,$BH339,RANK($BZ339,$BZ$9:$BZ$508,1)))</f>
        <v/>
      </c>
      <c r="CE339" s="74" t="str">
        <f aca="false">IF($BH339&lt;&gt;Constants!$B$4,"",$AL339+$AM339+$AN339)</f>
        <v/>
      </c>
      <c r="CF339" s="74" t="str">
        <f aca="false">IF(ISBLANK($C339),"",IF($BH339&lt;&gt;Constants!$B$4,$BH339,RANK($CE339,$CE$9:$CE$508,1)))</f>
        <v/>
      </c>
      <c r="CG339" s="74" t="str">
        <f aca="false">IF(ISBLANK($C339),"",IF($BH339&lt;&gt;Constants!$B$4,$BH339,COUNTIFS($BI$9:$BI$508,"&lt;"&amp;$BI339)+COUNTIFS($BI$9:$BI$508,$BI339,$CB$9:$CB$508,"&lt;"&amp;$CB339)+COUNTIFS($BI$9:$BI$508,$BI339,$CB$9:$CB$508,$CB339,$CD$9:$CD$508,"&lt;"&amp;$CD339)+COUNTIFS($BI$9:$BI$508,$BI339,$CB$9:$CB$508,$CB339,$CD$9:$CD$508,$CD339,$CF$9:$CF$508,"&lt;"&amp;$CF339)+1))</f>
        <v/>
      </c>
      <c r="CH339" s="74" t="str">
        <f aca="false">IF(ISBLANK($C339),"",IF($BH339&lt;&gt;Constants!$B$4,$BH339,$CC339-$CG339))</f>
        <v/>
      </c>
      <c r="CI339" s="74" t="str">
        <f aca="false">IF(ISBLANK($C339),"",IF(NOT($AJ339),"",IF(ISBLANK($D$7),$CI$5,IF(NOT(ISNUMBER($D$7)),$CI$6,""))))</f>
        <v/>
      </c>
      <c r="CJ339" s="74" t="str">
        <f aca="false">IF(ISBLANK($C339),"",OR($AL339="",$AM339="",$AN339=""))</f>
        <v/>
      </c>
      <c r="CK339" s="74" t="str">
        <f aca="false">IF(ISBLANK($C339),"",AND($AJ339,$AX339=""))</f>
        <v/>
      </c>
      <c r="CL339" s="74" t="str">
        <f aca="false">IF(ISBLANK($C339),"",AND($AJ339,$AY339=""))</f>
        <v/>
      </c>
      <c r="CM339" s="74" t="str">
        <f aca="false">IF(ISBLANK($C339),"",AND($AJ339,$AZ339=""))</f>
        <v/>
      </c>
      <c r="CN339" s="74" t="str">
        <f aca="false">IF(ISBLANK($C339),"",AND($AJ339,$BC339=""))</f>
        <v/>
      </c>
      <c r="CO339" s="74" t="str">
        <f aca="false">IF(ISBLANK($C339),"",AND($AJ339,$BF339=""))</f>
        <v/>
      </c>
      <c r="CP339" s="75"/>
      <c r="CQ339" s="76"/>
      <c r="CR339" s="79" t="str">
        <f aca="false">IF(ISBLANK($C339),"",IF($BH339=Constants!$B$8,$CI339,""))</f>
        <v/>
      </c>
      <c r="CS339" s="76" t="str">
        <f aca="false">IF(ISBLANK($C339),"",IF($BH339&lt;&gt;Constants!$B$4,"",$BK339+$BL339))</f>
        <v/>
      </c>
      <c r="CT339" s="78" t="str">
        <f aca="false">IF(ISBLANK($C339),"",IF($BH339&lt;&gt;Constants!$B$4,"",$BM339+$BN339+$BO339))</f>
        <v/>
      </c>
      <c r="CU339" s="78" t="str">
        <f aca="false">IF(ISBLANK($C339),"",IF($BH339&lt;&gt;Constants!$B$4,"",$BP339))</f>
        <v/>
      </c>
      <c r="CV339" s="78" t="str">
        <f aca="false">IF(ISBLANK($C339),"",IF($BH339&lt;&gt;Constants!$B$4,"",$BQ339+$BR339))</f>
        <v/>
      </c>
      <c r="CW339" s="78" t="str">
        <f aca="false">IF(ISBLANK($C339),"",IF($BH339&lt;&gt;Constants!$B$4,"",$BS339))</f>
        <v/>
      </c>
      <c r="CX339" s="78" t="str">
        <f aca="false">IF(ISBLANK($C339),"",IF($BH339&lt;&gt;Constants!$B$4,"",-$BZ339))</f>
        <v/>
      </c>
      <c r="CY339" s="79" t="str">
        <f aca="false">IF(ISBLANK($C339),"",$CA339)</f>
        <v/>
      </c>
      <c r="CZ339" s="80" t="str">
        <f aca="false">IF(ISBLANK($C339),"",$BI339)</f>
        <v/>
      </c>
      <c r="DA339" s="78" t="str">
        <f aca="false">IF(ISBLANK($C339),"",$CH339)</f>
        <v/>
      </c>
      <c r="DB339" s="78" t="str">
        <f aca="false">IF(ISBLANK($C339),"",$CG339)</f>
        <v/>
      </c>
      <c r="DC339" s="81" t="str">
        <f aca="false">IF(ISBLANK($C339),"",IFERROR(_xlfn.SWITCH($DB339,Constants!$B$7,COUNTA($C$9:$C$508)+2,Constants!$B$6,COUNTA($C$9:$C$508)+1,Constants!$B$5,COUNTA($C$9:$C$508)),$DB339))</f>
        <v/>
      </c>
      <c r="DD339" s="7"/>
      <c r="DE339" s="82" t="n">
        <f aca="false">IF(OR(ISNUMBER($DB339),$DB339=Constants!$B$7,$DB339=Constants!$B$5,$DB339=Constants!$B$6),1,0)</f>
        <v>0</v>
      </c>
      <c r="DF339" s="82" t="n">
        <v>331</v>
      </c>
      <c r="DG339" s="82" t="str">
        <f aca="false">IF(ISBLANK($C339),"",IF(ISNUMBER($DC339),$DC339+ROW($B339)/1000,""))</f>
        <v/>
      </c>
      <c r="DH339" s="82" t="str">
        <f aca="false">IF(ISNUMBER($DG339),RANK($DG339,$DG$9:$DG$508,1),"")</f>
        <v/>
      </c>
      <c r="DI339" s="82" t="str">
        <f aca="false">IF(ISBLANK($C339),"",$B339)</f>
        <v/>
      </c>
      <c r="DJ339" s="82" t="str">
        <f aca="false">IF(ISBLANK($C339),"",$C339)</f>
        <v/>
      </c>
      <c r="DK339" s="82" t="str">
        <f aca="false">IF(ISBLANK($C339),"",$D339)</f>
        <v/>
      </c>
      <c r="DL339" s="83" t="str">
        <f aca="false">$CZ339</f>
        <v/>
      </c>
      <c r="DM339" s="84" t="str">
        <f aca="false">$CY339</f>
        <v/>
      </c>
      <c r="DN339" s="82" t="str">
        <f aca="false">IF(ISBLANK($C339),"",$DB339)</f>
        <v/>
      </c>
      <c r="DO339" s="85" t="str">
        <f aca="false">IF($DF339&gt;$DE$8,"",VLOOKUP($DF339,$DH$9:$DN$508,7,FALSE()))</f>
        <v/>
      </c>
      <c r="DP339" s="86" t="str">
        <f aca="false">IF($DF339&gt;$DE$8,"",VLOOKUP($DF339,$DH$9:$DN$508,2,FALSE()))</f>
        <v/>
      </c>
      <c r="DQ339" s="86" t="str">
        <f aca="false">IF($DF339&gt;$DE$8,"",VLOOKUP($DF339,$DH$9:$DN$508,3,FALSE()))</f>
        <v/>
      </c>
      <c r="DR339" s="86" t="str">
        <f aca="false">IF($DF339&gt;$DE$8,"",VLOOKUP($DF339,$DH$9:$DN$508,4,FALSE()))</f>
        <v/>
      </c>
      <c r="DS339" s="86" t="str">
        <f aca="false">IF($DF339&gt;$DE$8,"",VLOOKUP($DF339,$DH$9:$DN$508,5,FALSE()))</f>
        <v/>
      </c>
      <c r="DT339" s="87" t="str">
        <f aca="false">IF($DF339&gt;$DE$8,"",VLOOKUP($DF339,$DH$9:$DN$508,6,FALSE()))</f>
        <v/>
      </c>
      <c r="DU339" s="62"/>
    </row>
    <row r="340" customFormat="false" ht="15.75" hidden="false" customHeight="false" outlineLevel="0" collapsed="false">
      <c r="A340" s="7"/>
      <c r="B340" s="64"/>
      <c r="C340" s="65"/>
      <c r="D340" s="123"/>
      <c r="E340" s="88"/>
      <c r="F340" s="134"/>
      <c r="G340" s="88"/>
      <c r="H340" s="134"/>
      <c r="I340" s="119"/>
      <c r="J340" s="119"/>
      <c r="K340" s="119"/>
      <c r="L340" s="88"/>
      <c r="M340" s="88"/>
      <c r="N340" s="88"/>
      <c r="O340" s="134"/>
      <c r="P340" s="88"/>
      <c r="Q340" s="88"/>
      <c r="R340" s="88"/>
      <c r="S340" s="88"/>
      <c r="T340" s="134"/>
      <c r="U340" s="88"/>
      <c r="V340" s="70"/>
      <c r="W340" s="88"/>
      <c r="X340" s="88"/>
      <c r="Y340" s="70"/>
      <c r="Z340" s="70"/>
      <c r="AA340" s="88"/>
      <c r="AB340" s="88"/>
      <c r="AC340" s="71"/>
      <c r="AD340" s="88"/>
      <c r="AE340" s="73"/>
      <c r="AF340" s="74"/>
      <c r="AG340" s="74"/>
      <c r="AH340" s="74" t="str">
        <f aca="false">IF(ISBLANK($C340),"",IF($E340=Constants!$B$2,TRUE(),IF($E340=Constants!$B$3,FALSE(),TRUE())))</f>
        <v/>
      </c>
      <c r="AI340" s="74" t="str">
        <f aca="false">IF(ISBLANK($C340),"",IF($F340=Constants!$B$2,TRUE(),IF($F340=Constants!$B$3,FALSE(),FALSE())))</f>
        <v/>
      </c>
      <c r="AJ340" s="74" t="str">
        <f aca="false">IF(ISBLANK($C340),"",IF($G340=Constants!$B$2,TRUE(),IF($G340=Constants!$B$3,FALSE(),TRUE())))</f>
        <v/>
      </c>
      <c r="AK340" s="74" t="str">
        <f aca="false">IF(ISBLANK($C340),"",IF($H340=Constants!$B$2,TRUE(),IF($H340=Constants!$B$3,FALSE(),TRUE())))</f>
        <v/>
      </c>
      <c r="AL340" s="74" t="str">
        <f aca="false">IF(ISBLANK($C340),"",IF(ISNUMBER($I340),IF($I340&gt;=0,$I340,""),""))</f>
        <v/>
      </c>
      <c r="AM340" s="74" t="str">
        <f aca="false">IF(ISBLANK($C340),"",IF(ISNUMBER($J340),IF($J340&gt;=0,$J340,""),""))</f>
        <v/>
      </c>
      <c r="AN340" s="74" t="str">
        <f aca="false">IF(ISBLANK($C340),"",IF(ISNUMBER($K340),IF($K340&gt;=0,$K340,""),""))</f>
        <v/>
      </c>
      <c r="AO340" s="74" t="str">
        <f aca="false">IF(ISBLANK($C340),"",IF($L340=Constants!$B$2,TRUE(),IF($L340=Constants!$B$3,FALSE(),TRUE())))</f>
        <v/>
      </c>
      <c r="AP340" s="74" t="str">
        <f aca="false">IF(ISBLANK($C340),"",IF($M340=Constants!$B$2,TRUE(),IF($M340=Constants!$B$3,FALSE(),TRUE())))</f>
        <v/>
      </c>
      <c r="AQ340" s="74" t="str">
        <f aca="false">IF(ISBLANK($C340),"",IF($N340=Constants!$B$2,TRUE(),IF($N340=Constants!$B$3,FALSE(),FALSE())))</f>
        <v/>
      </c>
      <c r="AR340" s="74" t="str">
        <f aca="false">IF(ISBLANK($C340),"",IF($O340=Constants!$B$2,TRUE(),IF($O340=Constants!$B$3,FALSE(),TRUE())))</f>
        <v/>
      </c>
      <c r="AS340" s="74" t="str">
        <f aca="false">IF(ISBLANK($C340),"",IF($P340=Constants!$B$2,TRUE(),IF($P340=Constants!$B$3,FALSE(),FALSE())))</f>
        <v/>
      </c>
      <c r="AT340" s="74" t="str">
        <f aca="false">IF(ISBLANK($C340),"",IF($Q340=Constants!$B$2,TRUE(),IF($Q340=Constants!$B$3,FALSE(),FALSE())))</f>
        <v/>
      </c>
      <c r="AU340" s="74" t="str">
        <f aca="false">IF(ISBLANK($C340),"",IF($R340=Constants!$B$2,TRUE(),IF($R340=Constants!$B$3,FALSE(),FALSE())))</f>
        <v/>
      </c>
      <c r="AV340" s="74" t="str">
        <f aca="false">IF(ISBLANK($C340),"",IF($S340=Constants!$B$2,TRUE(),IF($S340=Constants!$B$3,FALSE(),FALSE())))</f>
        <v/>
      </c>
      <c r="AW340" s="74" t="str">
        <f aca="false">IF(ISBLANK($C340),"",IF($T340=Constants!$B$2,TRUE(),IF($T340=Constants!$B$3,FALSE(),FALSE())))</f>
        <v/>
      </c>
      <c r="AX340" s="74" t="str">
        <f aca="false">IF(ISBLANK($C340),"",IF(OR($U340&amp;""="1",$U340&amp;""="2",$U340&amp;""="3",$U340&amp;""="4"),VALUE($U340&amp;""),IF($U340=Constants!$B$12,Constants!$B$12,"")))</f>
        <v/>
      </c>
      <c r="AY340" s="74" t="str">
        <f aca="false">IF(ISBLANK($C340),"",IF(ISBLANK($V340),0,IF(ISNUMBER($V340),IF(AND($V340&gt;=0,$V340&lt;=Constants!$B$21,$V340=INT($V340)),$V340,""),"")))</f>
        <v/>
      </c>
      <c r="AZ340" s="74" t="str">
        <f aca="false">IF(ISBLANK($C340),"",IF(ISBLANK($W340),0,IF(ISNUMBER($W340),IF($W340&gt;=0,$W340,""),"")))</f>
        <v/>
      </c>
      <c r="BA340" s="74" t="str">
        <f aca="false">IF(ISBLANK($C340),"",IF($X340=Constants!$B$2,TRUE(),IF($X340=Constants!$B$3,FALSE(),TRUE())))</f>
        <v/>
      </c>
      <c r="BB340" s="74" t="str">
        <f aca="false">IF(ISBLANK($C340),"",IF($Y340=Constants!$B$2,TRUE(),IF($Y340=Constants!$B$3,FALSE(),FALSE())))</f>
        <v/>
      </c>
      <c r="BC340" s="74" t="str">
        <f aca="false">IF(ISBLANK($C340),"",IF(ISBLANK($Z340),0,IF(ISNUMBER($Z340),IF(AND($Z340&gt;=0,$Z340&lt;=Constants!$B$35,$Z340=INT($Z340)),$Z340,""),"")))</f>
        <v/>
      </c>
      <c r="BD340" s="74" t="str">
        <f aca="false">IF(ISBLANK($C340),"",IF($AA340=Constants!$B$2,TRUE(),IF($AA340=Constants!$B$3,FALSE(),TRUE())))</f>
        <v/>
      </c>
      <c r="BE340" s="74" t="str">
        <f aca="false">IF(ISBLANK($C340),"",IF($AB340=Constants!$B$2,TRUE(),IF($AB340=Constants!$B$3,FALSE(),TRUE())))</f>
        <v/>
      </c>
      <c r="BF340" s="74" t="str">
        <f aca="false">IF(ISBLANK($C340),"",IF(ISNUMBER($AC340),IF($AC340&gt;=0,$AC340,""),""))</f>
        <v/>
      </c>
      <c r="BG340" s="74" t="str">
        <f aca="false">IF(ISBLANK($C340),"",IF($AD340=Constants!$B$2,TRUE(),IF($AD340=Constants!$B$3,FALSE(),FALSE())))</f>
        <v/>
      </c>
      <c r="BH340" s="73" t="str">
        <f aca="false">IF(ISBLANK($C340),"",IF($BG340,Constants!$B$7,IF(COUNTA($E340:$AC340)=0,Constants!$B$6,IF(OR(COUNTA($G340:$AC340)=0,NOT($AK340),$AQ340),Constants!$B$5,IF(OR($CI340&lt;&gt;"",$CJ340,$CK340,$CL340,$CM340,$CN340,$CO340),Constants!$B$8,Constants!$B$4)))))</f>
        <v/>
      </c>
      <c r="BI340" s="74" t="str">
        <f aca="false">IF(ISBLANK($C340),"",IF($BH340&lt;&gt;Constants!$B$4,$BH340,IF(OR(NOT($AH340),NOT($AJ340),NOT($AR340)),Constants!$B$11,IF(OR(NOT($AP340),MAX($AL340,$AM340,$AN340)&gt;Constants!$B$30),Constants!$B$10,Constants!$B$9))))</f>
        <v/>
      </c>
      <c r="BJ340" s="74" t="str">
        <f aca="false">IF($BH340&lt;&gt;Constants!$B$4,"",IF(NOT($AJ340),0,MIN(Constants!$B$35,$BC340)))</f>
        <v/>
      </c>
      <c r="BK340" s="74" t="str">
        <f aca="false">IF($BH340&lt;&gt;Constants!$B$4,"",IF(NOT($AJ340),0,IF($AT340,Constants!$B$18,IF($AS340,Constants!$B$17,0))))</f>
        <v/>
      </c>
      <c r="BL340" s="74" t="str">
        <f aca="false">IF($BH340&lt;&gt;Constants!$B$4,"",IF(NOT($AJ340),0,Constants!$B$19*($AI340+$AU340+$AV340+$AW340)))</f>
        <v/>
      </c>
      <c r="BM340" s="74" t="str">
        <f aca="false">IF($BH340&lt;&gt;Constants!$B$4,"",IF(OR(NOT($AJ340),NOT(ISNUMBER($AX340))),0,CHOOSE($AX340,Constants!$B$13,Constants!$B$14,Constants!$B$15,Constants!$B$16)))</f>
        <v/>
      </c>
      <c r="BN340" s="74" t="str">
        <f aca="false">IF($BH340&lt;&gt;Constants!$B$4,"",IF(NOT($AJ340),0,Constants!$B$20*$AY340))</f>
        <v/>
      </c>
      <c r="BO340" s="74" t="str">
        <f aca="false">IF($BH340&lt;&gt;Constants!$B$4,"",IF(AND($AJ340,$BA340,$BB340),Constants!$B$22,0))</f>
        <v/>
      </c>
      <c r="BP340" s="74" t="str">
        <f aca="false">IF($BH340&lt;&gt;Constants!$B$4,"",IF(OR(NOT($AJ340),NOT($BA340)),0,IF($BF340&gt;=2*$AF$9,0,Constants!$B$23*INT(ROUND(MIN($BF340,$AF$9),6)))))</f>
        <v/>
      </c>
      <c r="BQ340" s="74" t="str">
        <f aca="false">IF($BH340&lt;&gt;Constants!$B$4,"",IF(NOT($AJ340),0,Constants!$B$24*INT(ROUND(MIN($AZ340,$AF$9),6))))</f>
        <v/>
      </c>
      <c r="BR340" s="74" t="str">
        <f aca="false">IF($BH340&lt;&gt;Constants!$B$4,"",IF(AND($AJ340,$BJ340=0),Constants!$B$25,0))</f>
        <v/>
      </c>
      <c r="BS340" s="74" t="str">
        <f aca="false">IF($BH340&lt;&gt;Constants!$B$4,"",MIN(Constants!$B$29,MAX(0,Constants!$B$27*Constants!$B$28*INT(ROUND((Constants!$B$26-$AL340)/Constants!$B$28,6))))+MIN(Constants!$B$29,MAX(0,Constants!$B$27*Constants!$B$28*INT(ROUND((Constants!$B$26-$AM340)/Constants!$B$28,6))))+MIN(Constants!$B$29,MAX(0,Constants!$B$27*Constants!$B$28*INT(ROUND((Constants!$B$26-$AN340)/Constants!$B$28,6)))))</f>
        <v/>
      </c>
      <c r="BT340" s="74" t="str">
        <f aca="false">IF($BH340&lt;&gt;Constants!$B$4,"",IF(NOT($AJ340),0,Constants!$B$31*INT(ROUND(MAX(0,MIN($BF340,2*$AF$9)-$AF$9),6))))</f>
        <v/>
      </c>
      <c r="BU340" s="74" t="str">
        <f aca="false">IF($BH340&lt;&gt;Constants!$B$4,"",Constants!$B$32*(($AL340&gt;Constants!$B$26)+($AM340&gt;Constants!$B$26)+($AN340&gt;Constants!$B$26)))</f>
        <v/>
      </c>
      <c r="BV340" s="74" t="str">
        <f aca="false">IF($BH340&lt;&gt;Constants!$B$4,"",IF(OR(NOT($AJ340),$AO340),0,Constants!$B$33))</f>
        <v/>
      </c>
      <c r="BW340" s="74" t="str">
        <f aca="false">IF($BH340&lt;&gt;Constants!$B$4,"",Constants!$B$34*$BJ340)</f>
        <v/>
      </c>
      <c r="BX340" s="74" t="str">
        <f aca="false">IF($BH340&lt;&gt;Constants!$B$4,"",IF(OR(NOT($AJ340),$BE340),0,Constants!$B$36))</f>
        <v/>
      </c>
      <c r="BY340" s="74" t="str">
        <f aca="false">IF($BH340&lt;&gt;Constants!$B$4,"",IF(OR(NOT($AJ340),$BD340),0,Constants!$B$37))</f>
        <v/>
      </c>
      <c r="BZ340" s="74" t="str">
        <f aca="false">IF($BH340&lt;&gt;Constants!$B$4,"",SUM($BT340:$BY340))</f>
        <v/>
      </c>
      <c r="CA340" s="74" t="str">
        <f aca="false">IF(ISBLANK($C340),"",IF($BH340&lt;&gt;Constants!$B$4,$BH340,SUM($BK340:$BS340)-$BZ340))</f>
        <v/>
      </c>
      <c r="CB340" s="74" t="str">
        <f aca="false">IF(ISBLANK($C340),"",IF($BH340&lt;&gt;Constants!$B$4,$BH340,RANK($CA340,$CA$9:$CA$508)))</f>
        <v/>
      </c>
      <c r="CC340" s="74" t="str">
        <f aca="false">IF(ISBLANK($C340),"",IF($BH340&lt;&gt;Constants!$B$4,$BH340,COUNTIFS($BI$9:$BI$508,"&lt;"&amp;$BI340)+COUNTIFS($BI$9:$BI$508,$BI340,$CB$9:$CB$508,"&lt;"&amp;$CB340)+1))</f>
        <v/>
      </c>
      <c r="CD340" s="74" t="str">
        <f aca="false">IF(ISBLANK($C340),"",IF($BH340&lt;&gt;Constants!$B$4,$BH340,RANK($BZ340,$BZ$9:$BZ$508,1)))</f>
        <v/>
      </c>
      <c r="CE340" s="74" t="str">
        <f aca="false">IF($BH340&lt;&gt;Constants!$B$4,"",$AL340+$AM340+$AN340)</f>
        <v/>
      </c>
      <c r="CF340" s="74" t="str">
        <f aca="false">IF(ISBLANK($C340),"",IF($BH340&lt;&gt;Constants!$B$4,$BH340,RANK($CE340,$CE$9:$CE$508,1)))</f>
        <v/>
      </c>
      <c r="CG340" s="74" t="str">
        <f aca="false">IF(ISBLANK($C340),"",IF($BH340&lt;&gt;Constants!$B$4,$BH340,COUNTIFS($BI$9:$BI$508,"&lt;"&amp;$BI340)+COUNTIFS($BI$9:$BI$508,$BI340,$CB$9:$CB$508,"&lt;"&amp;$CB340)+COUNTIFS($BI$9:$BI$508,$BI340,$CB$9:$CB$508,$CB340,$CD$9:$CD$508,"&lt;"&amp;$CD340)+COUNTIFS($BI$9:$BI$508,$BI340,$CB$9:$CB$508,$CB340,$CD$9:$CD$508,$CD340,$CF$9:$CF$508,"&lt;"&amp;$CF340)+1))</f>
        <v/>
      </c>
      <c r="CH340" s="74" t="str">
        <f aca="false">IF(ISBLANK($C340),"",IF($BH340&lt;&gt;Constants!$B$4,$BH340,$CC340-$CG340))</f>
        <v/>
      </c>
      <c r="CI340" s="74" t="str">
        <f aca="false">IF(ISBLANK($C340),"",IF(NOT($AJ340),"",IF(ISBLANK($D$7),$CI$5,IF(NOT(ISNUMBER($D$7)),$CI$6,""))))</f>
        <v/>
      </c>
      <c r="CJ340" s="74" t="str">
        <f aca="false">IF(ISBLANK($C340),"",OR($AL340="",$AM340="",$AN340=""))</f>
        <v/>
      </c>
      <c r="CK340" s="74" t="str">
        <f aca="false">IF(ISBLANK($C340),"",AND($AJ340,$AX340=""))</f>
        <v/>
      </c>
      <c r="CL340" s="74" t="str">
        <f aca="false">IF(ISBLANK($C340),"",AND($AJ340,$AY340=""))</f>
        <v/>
      </c>
      <c r="CM340" s="74" t="str">
        <f aca="false">IF(ISBLANK($C340),"",AND($AJ340,$AZ340=""))</f>
        <v/>
      </c>
      <c r="CN340" s="74" t="str">
        <f aca="false">IF(ISBLANK($C340),"",AND($AJ340,$BC340=""))</f>
        <v/>
      </c>
      <c r="CO340" s="74" t="str">
        <f aca="false">IF(ISBLANK($C340),"",AND($AJ340,$BF340=""))</f>
        <v/>
      </c>
      <c r="CP340" s="75"/>
      <c r="CQ340" s="76"/>
      <c r="CR340" s="79" t="str">
        <f aca="false">IF(ISBLANK($C340),"",IF($BH340=Constants!$B$8,$CI340,""))</f>
        <v/>
      </c>
      <c r="CS340" s="76" t="str">
        <f aca="false">IF(ISBLANK($C340),"",IF($BH340&lt;&gt;Constants!$B$4,"",$BK340+$BL340))</f>
        <v/>
      </c>
      <c r="CT340" s="78" t="str">
        <f aca="false">IF(ISBLANK($C340),"",IF($BH340&lt;&gt;Constants!$B$4,"",$BM340+$BN340+$BO340))</f>
        <v/>
      </c>
      <c r="CU340" s="78" t="str">
        <f aca="false">IF(ISBLANK($C340),"",IF($BH340&lt;&gt;Constants!$B$4,"",$BP340))</f>
        <v/>
      </c>
      <c r="CV340" s="78" t="str">
        <f aca="false">IF(ISBLANK($C340),"",IF($BH340&lt;&gt;Constants!$B$4,"",$BQ340+$BR340))</f>
        <v/>
      </c>
      <c r="CW340" s="78" t="str">
        <f aca="false">IF(ISBLANK($C340),"",IF($BH340&lt;&gt;Constants!$B$4,"",$BS340))</f>
        <v/>
      </c>
      <c r="CX340" s="78" t="str">
        <f aca="false">IF(ISBLANK($C340),"",IF($BH340&lt;&gt;Constants!$B$4,"",-$BZ340))</f>
        <v/>
      </c>
      <c r="CY340" s="79" t="str">
        <f aca="false">IF(ISBLANK($C340),"",$CA340)</f>
        <v/>
      </c>
      <c r="CZ340" s="80" t="str">
        <f aca="false">IF(ISBLANK($C340),"",$BI340)</f>
        <v/>
      </c>
      <c r="DA340" s="78" t="str">
        <f aca="false">IF(ISBLANK($C340),"",$CH340)</f>
        <v/>
      </c>
      <c r="DB340" s="78" t="str">
        <f aca="false">IF(ISBLANK($C340),"",$CG340)</f>
        <v/>
      </c>
      <c r="DC340" s="81" t="str">
        <f aca="false">IF(ISBLANK($C340),"",IFERROR(_xlfn.SWITCH($DB340,Constants!$B$7,COUNTA($C$9:$C$508)+2,Constants!$B$6,COUNTA($C$9:$C$508)+1,Constants!$B$5,COUNTA($C$9:$C$508)),$DB340))</f>
        <v/>
      </c>
      <c r="DD340" s="7"/>
      <c r="DE340" s="82" t="n">
        <f aca="false">IF(OR(ISNUMBER($DB340),$DB340=Constants!$B$7,$DB340=Constants!$B$5,$DB340=Constants!$B$6),1,0)</f>
        <v>0</v>
      </c>
      <c r="DF340" s="82" t="n">
        <v>332</v>
      </c>
      <c r="DG340" s="82" t="str">
        <f aca="false">IF(ISBLANK($C340),"",IF(ISNUMBER($DC340),$DC340+ROW($B340)/1000,""))</f>
        <v/>
      </c>
      <c r="DH340" s="82" t="str">
        <f aca="false">IF(ISNUMBER($DG340),RANK($DG340,$DG$9:$DG$508,1),"")</f>
        <v/>
      </c>
      <c r="DI340" s="82" t="str">
        <f aca="false">IF(ISBLANK($C340),"",$B340)</f>
        <v/>
      </c>
      <c r="DJ340" s="82" t="str">
        <f aca="false">IF(ISBLANK($C340),"",$C340)</f>
        <v/>
      </c>
      <c r="DK340" s="82" t="str">
        <f aca="false">IF(ISBLANK($C340),"",$D340)</f>
        <v/>
      </c>
      <c r="DL340" s="83" t="str">
        <f aca="false">$CZ340</f>
        <v/>
      </c>
      <c r="DM340" s="84" t="str">
        <f aca="false">$CY340</f>
        <v/>
      </c>
      <c r="DN340" s="82" t="str">
        <f aca="false">IF(ISBLANK($C340),"",$DB340)</f>
        <v/>
      </c>
      <c r="DO340" s="85" t="str">
        <f aca="false">IF($DF340&gt;$DE$8,"",VLOOKUP($DF340,$DH$9:$DN$508,7,FALSE()))</f>
        <v/>
      </c>
      <c r="DP340" s="86" t="str">
        <f aca="false">IF($DF340&gt;$DE$8,"",VLOOKUP($DF340,$DH$9:$DN$508,2,FALSE()))</f>
        <v/>
      </c>
      <c r="DQ340" s="86" t="str">
        <f aca="false">IF($DF340&gt;$DE$8,"",VLOOKUP($DF340,$DH$9:$DN$508,3,FALSE()))</f>
        <v/>
      </c>
      <c r="DR340" s="86" t="str">
        <f aca="false">IF($DF340&gt;$DE$8,"",VLOOKUP($DF340,$DH$9:$DN$508,4,FALSE()))</f>
        <v/>
      </c>
      <c r="DS340" s="86" t="str">
        <f aca="false">IF($DF340&gt;$DE$8,"",VLOOKUP($DF340,$DH$9:$DN$508,5,FALSE()))</f>
        <v/>
      </c>
      <c r="DT340" s="87" t="str">
        <f aca="false">IF($DF340&gt;$DE$8,"",VLOOKUP($DF340,$DH$9:$DN$508,6,FALSE()))</f>
        <v/>
      </c>
      <c r="DU340" s="62"/>
    </row>
    <row r="341" customFormat="false" ht="15.75" hidden="false" customHeight="false" outlineLevel="0" collapsed="false">
      <c r="A341" s="7"/>
      <c r="B341" s="64"/>
      <c r="C341" s="65"/>
      <c r="D341" s="123"/>
      <c r="E341" s="88"/>
      <c r="F341" s="134"/>
      <c r="G341" s="88"/>
      <c r="H341" s="134"/>
      <c r="I341" s="119"/>
      <c r="J341" s="119"/>
      <c r="K341" s="119"/>
      <c r="L341" s="88"/>
      <c r="M341" s="88"/>
      <c r="N341" s="88"/>
      <c r="O341" s="134"/>
      <c r="P341" s="88"/>
      <c r="Q341" s="88"/>
      <c r="R341" s="88"/>
      <c r="S341" s="88"/>
      <c r="T341" s="134"/>
      <c r="U341" s="88"/>
      <c r="V341" s="70"/>
      <c r="W341" s="88"/>
      <c r="X341" s="88"/>
      <c r="Y341" s="70"/>
      <c r="Z341" s="70"/>
      <c r="AA341" s="88"/>
      <c r="AB341" s="88"/>
      <c r="AC341" s="71"/>
      <c r="AD341" s="88"/>
      <c r="AE341" s="73"/>
      <c r="AF341" s="74"/>
      <c r="AG341" s="74"/>
      <c r="AH341" s="74" t="str">
        <f aca="false">IF(ISBLANK($C341),"",IF($E341=Constants!$B$2,TRUE(),IF($E341=Constants!$B$3,FALSE(),TRUE())))</f>
        <v/>
      </c>
      <c r="AI341" s="74" t="str">
        <f aca="false">IF(ISBLANK($C341),"",IF($F341=Constants!$B$2,TRUE(),IF($F341=Constants!$B$3,FALSE(),FALSE())))</f>
        <v/>
      </c>
      <c r="AJ341" s="74" t="str">
        <f aca="false">IF(ISBLANK($C341),"",IF($G341=Constants!$B$2,TRUE(),IF($G341=Constants!$B$3,FALSE(),TRUE())))</f>
        <v/>
      </c>
      <c r="AK341" s="74" t="str">
        <f aca="false">IF(ISBLANK($C341),"",IF($H341=Constants!$B$2,TRUE(),IF($H341=Constants!$B$3,FALSE(),TRUE())))</f>
        <v/>
      </c>
      <c r="AL341" s="74" t="str">
        <f aca="false">IF(ISBLANK($C341),"",IF(ISNUMBER($I341),IF($I341&gt;=0,$I341,""),""))</f>
        <v/>
      </c>
      <c r="AM341" s="74" t="str">
        <f aca="false">IF(ISBLANK($C341),"",IF(ISNUMBER($J341),IF($J341&gt;=0,$J341,""),""))</f>
        <v/>
      </c>
      <c r="AN341" s="74" t="str">
        <f aca="false">IF(ISBLANK($C341),"",IF(ISNUMBER($K341),IF($K341&gt;=0,$K341,""),""))</f>
        <v/>
      </c>
      <c r="AO341" s="74" t="str">
        <f aca="false">IF(ISBLANK($C341),"",IF($L341=Constants!$B$2,TRUE(),IF($L341=Constants!$B$3,FALSE(),TRUE())))</f>
        <v/>
      </c>
      <c r="AP341" s="74" t="str">
        <f aca="false">IF(ISBLANK($C341),"",IF($M341=Constants!$B$2,TRUE(),IF($M341=Constants!$B$3,FALSE(),TRUE())))</f>
        <v/>
      </c>
      <c r="AQ341" s="74" t="str">
        <f aca="false">IF(ISBLANK($C341),"",IF($N341=Constants!$B$2,TRUE(),IF($N341=Constants!$B$3,FALSE(),FALSE())))</f>
        <v/>
      </c>
      <c r="AR341" s="74" t="str">
        <f aca="false">IF(ISBLANK($C341),"",IF($O341=Constants!$B$2,TRUE(),IF($O341=Constants!$B$3,FALSE(),TRUE())))</f>
        <v/>
      </c>
      <c r="AS341" s="74" t="str">
        <f aca="false">IF(ISBLANK($C341),"",IF($P341=Constants!$B$2,TRUE(),IF($P341=Constants!$B$3,FALSE(),FALSE())))</f>
        <v/>
      </c>
      <c r="AT341" s="74" t="str">
        <f aca="false">IF(ISBLANK($C341),"",IF($Q341=Constants!$B$2,TRUE(),IF($Q341=Constants!$B$3,FALSE(),FALSE())))</f>
        <v/>
      </c>
      <c r="AU341" s="74" t="str">
        <f aca="false">IF(ISBLANK($C341),"",IF($R341=Constants!$B$2,TRUE(),IF($R341=Constants!$B$3,FALSE(),FALSE())))</f>
        <v/>
      </c>
      <c r="AV341" s="74" t="str">
        <f aca="false">IF(ISBLANK($C341),"",IF($S341=Constants!$B$2,TRUE(),IF($S341=Constants!$B$3,FALSE(),FALSE())))</f>
        <v/>
      </c>
      <c r="AW341" s="74" t="str">
        <f aca="false">IF(ISBLANK($C341),"",IF($T341=Constants!$B$2,TRUE(),IF($T341=Constants!$B$3,FALSE(),FALSE())))</f>
        <v/>
      </c>
      <c r="AX341" s="74" t="str">
        <f aca="false">IF(ISBLANK($C341),"",IF(OR($U341&amp;""="1",$U341&amp;""="2",$U341&amp;""="3",$U341&amp;""="4"),VALUE($U341&amp;""),IF($U341=Constants!$B$12,Constants!$B$12,"")))</f>
        <v/>
      </c>
      <c r="AY341" s="74" t="str">
        <f aca="false">IF(ISBLANK($C341),"",IF(ISBLANK($V341),0,IF(ISNUMBER($V341),IF(AND($V341&gt;=0,$V341&lt;=Constants!$B$21,$V341=INT($V341)),$V341,""),"")))</f>
        <v/>
      </c>
      <c r="AZ341" s="74" t="str">
        <f aca="false">IF(ISBLANK($C341),"",IF(ISBLANK($W341),0,IF(ISNUMBER($W341),IF($W341&gt;=0,$W341,""),"")))</f>
        <v/>
      </c>
      <c r="BA341" s="74" t="str">
        <f aca="false">IF(ISBLANK($C341),"",IF($X341=Constants!$B$2,TRUE(),IF($X341=Constants!$B$3,FALSE(),TRUE())))</f>
        <v/>
      </c>
      <c r="BB341" s="74" t="str">
        <f aca="false">IF(ISBLANK($C341),"",IF($Y341=Constants!$B$2,TRUE(),IF($Y341=Constants!$B$3,FALSE(),FALSE())))</f>
        <v/>
      </c>
      <c r="BC341" s="74" t="str">
        <f aca="false">IF(ISBLANK($C341),"",IF(ISBLANK($Z341),0,IF(ISNUMBER($Z341),IF(AND($Z341&gt;=0,$Z341&lt;=Constants!$B$35,$Z341=INT($Z341)),$Z341,""),"")))</f>
        <v/>
      </c>
      <c r="BD341" s="74" t="str">
        <f aca="false">IF(ISBLANK($C341),"",IF($AA341=Constants!$B$2,TRUE(),IF($AA341=Constants!$B$3,FALSE(),TRUE())))</f>
        <v/>
      </c>
      <c r="BE341" s="74" t="str">
        <f aca="false">IF(ISBLANK($C341),"",IF($AB341=Constants!$B$2,TRUE(),IF($AB341=Constants!$B$3,FALSE(),TRUE())))</f>
        <v/>
      </c>
      <c r="BF341" s="74" t="str">
        <f aca="false">IF(ISBLANK($C341),"",IF(ISNUMBER($AC341),IF($AC341&gt;=0,$AC341,""),""))</f>
        <v/>
      </c>
      <c r="BG341" s="74" t="str">
        <f aca="false">IF(ISBLANK($C341),"",IF($AD341=Constants!$B$2,TRUE(),IF($AD341=Constants!$B$3,FALSE(),FALSE())))</f>
        <v/>
      </c>
      <c r="BH341" s="73" t="str">
        <f aca="false">IF(ISBLANK($C341),"",IF($BG341,Constants!$B$7,IF(COUNTA($E341:$AC341)=0,Constants!$B$6,IF(OR(COUNTA($G341:$AC341)=0,NOT($AK341),$AQ341),Constants!$B$5,IF(OR($CI341&lt;&gt;"",$CJ341,$CK341,$CL341,$CM341,$CN341,$CO341),Constants!$B$8,Constants!$B$4)))))</f>
        <v/>
      </c>
      <c r="BI341" s="74" t="str">
        <f aca="false">IF(ISBLANK($C341),"",IF($BH341&lt;&gt;Constants!$B$4,$BH341,IF(OR(NOT($AH341),NOT($AJ341),NOT($AR341)),Constants!$B$11,IF(OR(NOT($AP341),MAX($AL341,$AM341,$AN341)&gt;Constants!$B$30),Constants!$B$10,Constants!$B$9))))</f>
        <v/>
      </c>
      <c r="BJ341" s="74" t="str">
        <f aca="false">IF($BH341&lt;&gt;Constants!$B$4,"",IF(NOT($AJ341),0,MIN(Constants!$B$35,$BC341)))</f>
        <v/>
      </c>
      <c r="BK341" s="74" t="str">
        <f aca="false">IF($BH341&lt;&gt;Constants!$B$4,"",IF(NOT($AJ341),0,IF($AT341,Constants!$B$18,IF($AS341,Constants!$B$17,0))))</f>
        <v/>
      </c>
      <c r="BL341" s="74" t="str">
        <f aca="false">IF($BH341&lt;&gt;Constants!$B$4,"",IF(NOT($AJ341),0,Constants!$B$19*($AI341+$AU341+$AV341+$AW341)))</f>
        <v/>
      </c>
      <c r="BM341" s="74" t="str">
        <f aca="false">IF($BH341&lt;&gt;Constants!$B$4,"",IF(OR(NOT($AJ341),NOT(ISNUMBER($AX341))),0,CHOOSE($AX341,Constants!$B$13,Constants!$B$14,Constants!$B$15,Constants!$B$16)))</f>
        <v/>
      </c>
      <c r="BN341" s="74" t="str">
        <f aca="false">IF($BH341&lt;&gt;Constants!$B$4,"",IF(NOT($AJ341),0,Constants!$B$20*$AY341))</f>
        <v/>
      </c>
      <c r="BO341" s="74" t="str">
        <f aca="false">IF($BH341&lt;&gt;Constants!$B$4,"",IF(AND($AJ341,$BA341,$BB341),Constants!$B$22,0))</f>
        <v/>
      </c>
      <c r="BP341" s="74" t="str">
        <f aca="false">IF($BH341&lt;&gt;Constants!$B$4,"",IF(OR(NOT($AJ341),NOT($BA341)),0,IF($BF341&gt;=2*$AF$9,0,Constants!$B$23*INT(ROUND(MIN($BF341,$AF$9),6)))))</f>
        <v/>
      </c>
      <c r="BQ341" s="74" t="str">
        <f aca="false">IF($BH341&lt;&gt;Constants!$B$4,"",IF(NOT($AJ341),0,Constants!$B$24*INT(ROUND(MIN($AZ341,$AF$9),6))))</f>
        <v/>
      </c>
      <c r="BR341" s="74" t="str">
        <f aca="false">IF($BH341&lt;&gt;Constants!$B$4,"",IF(AND($AJ341,$BJ341=0),Constants!$B$25,0))</f>
        <v/>
      </c>
      <c r="BS341" s="74" t="str">
        <f aca="false">IF($BH341&lt;&gt;Constants!$B$4,"",MIN(Constants!$B$29,MAX(0,Constants!$B$27*Constants!$B$28*INT(ROUND((Constants!$B$26-$AL341)/Constants!$B$28,6))))+MIN(Constants!$B$29,MAX(0,Constants!$B$27*Constants!$B$28*INT(ROUND((Constants!$B$26-$AM341)/Constants!$B$28,6))))+MIN(Constants!$B$29,MAX(0,Constants!$B$27*Constants!$B$28*INT(ROUND((Constants!$B$26-$AN341)/Constants!$B$28,6)))))</f>
        <v/>
      </c>
      <c r="BT341" s="74" t="str">
        <f aca="false">IF($BH341&lt;&gt;Constants!$B$4,"",IF(NOT($AJ341),0,Constants!$B$31*INT(ROUND(MAX(0,MIN($BF341,2*$AF$9)-$AF$9),6))))</f>
        <v/>
      </c>
      <c r="BU341" s="74" t="str">
        <f aca="false">IF($BH341&lt;&gt;Constants!$B$4,"",Constants!$B$32*(($AL341&gt;Constants!$B$26)+($AM341&gt;Constants!$B$26)+($AN341&gt;Constants!$B$26)))</f>
        <v/>
      </c>
      <c r="BV341" s="74" t="str">
        <f aca="false">IF($BH341&lt;&gt;Constants!$B$4,"",IF(OR(NOT($AJ341),$AO341),0,Constants!$B$33))</f>
        <v/>
      </c>
      <c r="BW341" s="74" t="str">
        <f aca="false">IF($BH341&lt;&gt;Constants!$B$4,"",Constants!$B$34*$BJ341)</f>
        <v/>
      </c>
      <c r="BX341" s="74" t="str">
        <f aca="false">IF($BH341&lt;&gt;Constants!$B$4,"",IF(OR(NOT($AJ341),$BE341),0,Constants!$B$36))</f>
        <v/>
      </c>
      <c r="BY341" s="74" t="str">
        <f aca="false">IF($BH341&lt;&gt;Constants!$B$4,"",IF(OR(NOT($AJ341),$BD341),0,Constants!$B$37))</f>
        <v/>
      </c>
      <c r="BZ341" s="74" t="str">
        <f aca="false">IF($BH341&lt;&gt;Constants!$B$4,"",SUM($BT341:$BY341))</f>
        <v/>
      </c>
      <c r="CA341" s="74" t="str">
        <f aca="false">IF(ISBLANK($C341),"",IF($BH341&lt;&gt;Constants!$B$4,$BH341,SUM($BK341:$BS341)-$BZ341))</f>
        <v/>
      </c>
      <c r="CB341" s="74" t="str">
        <f aca="false">IF(ISBLANK($C341),"",IF($BH341&lt;&gt;Constants!$B$4,$BH341,RANK($CA341,$CA$9:$CA$508)))</f>
        <v/>
      </c>
      <c r="CC341" s="74" t="str">
        <f aca="false">IF(ISBLANK($C341),"",IF($BH341&lt;&gt;Constants!$B$4,$BH341,COUNTIFS($BI$9:$BI$508,"&lt;"&amp;$BI341)+COUNTIFS($BI$9:$BI$508,$BI341,$CB$9:$CB$508,"&lt;"&amp;$CB341)+1))</f>
        <v/>
      </c>
      <c r="CD341" s="74" t="str">
        <f aca="false">IF(ISBLANK($C341),"",IF($BH341&lt;&gt;Constants!$B$4,$BH341,RANK($BZ341,$BZ$9:$BZ$508,1)))</f>
        <v/>
      </c>
      <c r="CE341" s="74" t="str">
        <f aca="false">IF($BH341&lt;&gt;Constants!$B$4,"",$AL341+$AM341+$AN341)</f>
        <v/>
      </c>
      <c r="CF341" s="74" t="str">
        <f aca="false">IF(ISBLANK($C341),"",IF($BH341&lt;&gt;Constants!$B$4,$BH341,RANK($CE341,$CE$9:$CE$508,1)))</f>
        <v/>
      </c>
      <c r="CG341" s="74" t="str">
        <f aca="false">IF(ISBLANK($C341),"",IF($BH341&lt;&gt;Constants!$B$4,$BH341,COUNTIFS($BI$9:$BI$508,"&lt;"&amp;$BI341)+COUNTIFS($BI$9:$BI$508,$BI341,$CB$9:$CB$508,"&lt;"&amp;$CB341)+COUNTIFS($BI$9:$BI$508,$BI341,$CB$9:$CB$508,$CB341,$CD$9:$CD$508,"&lt;"&amp;$CD341)+COUNTIFS($BI$9:$BI$508,$BI341,$CB$9:$CB$508,$CB341,$CD$9:$CD$508,$CD341,$CF$9:$CF$508,"&lt;"&amp;$CF341)+1))</f>
        <v/>
      </c>
      <c r="CH341" s="74" t="str">
        <f aca="false">IF(ISBLANK($C341),"",IF($BH341&lt;&gt;Constants!$B$4,$BH341,$CC341-$CG341))</f>
        <v/>
      </c>
      <c r="CI341" s="74" t="str">
        <f aca="false">IF(ISBLANK($C341),"",IF(NOT($AJ341),"",IF(ISBLANK($D$7),$CI$5,IF(NOT(ISNUMBER($D$7)),$CI$6,""))))</f>
        <v/>
      </c>
      <c r="CJ341" s="74" t="str">
        <f aca="false">IF(ISBLANK($C341),"",OR($AL341="",$AM341="",$AN341=""))</f>
        <v/>
      </c>
      <c r="CK341" s="74" t="str">
        <f aca="false">IF(ISBLANK($C341),"",AND($AJ341,$AX341=""))</f>
        <v/>
      </c>
      <c r="CL341" s="74" t="str">
        <f aca="false">IF(ISBLANK($C341),"",AND($AJ341,$AY341=""))</f>
        <v/>
      </c>
      <c r="CM341" s="74" t="str">
        <f aca="false">IF(ISBLANK($C341),"",AND($AJ341,$AZ341=""))</f>
        <v/>
      </c>
      <c r="CN341" s="74" t="str">
        <f aca="false">IF(ISBLANK($C341),"",AND($AJ341,$BC341=""))</f>
        <v/>
      </c>
      <c r="CO341" s="74" t="str">
        <f aca="false">IF(ISBLANK($C341),"",AND($AJ341,$BF341=""))</f>
        <v/>
      </c>
      <c r="CP341" s="75"/>
      <c r="CQ341" s="76"/>
      <c r="CR341" s="79" t="str">
        <f aca="false">IF(ISBLANK($C341),"",IF($BH341=Constants!$B$8,$CI341,""))</f>
        <v/>
      </c>
      <c r="CS341" s="76" t="str">
        <f aca="false">IF(ISBLANK($C341),"",IF($BH341&lt;&gt;Constants!$B$4,"",$BK341+$BL341))</f>
        <v/>
      </c>
      <c r="CT341" s="78" t="str">
        <f aca="false">IF(ISBLANK($C341),"",IF($BH341&lt;&gt;Constants!$B$4,"",$BM341+$BN341+$BO341))</f>
        <v/>
      </c>
      <c r="CU341" s="78" t="str">
        <f aca="false">IF(ISBLANK($C341),"",IF($BH341&lt;&gt;Constants!$B$4,"",$BP341))</f>
        <v/>
      </c>
      <c r="CV341" s="78" t="str">
        <f aca="false">IF(ISBLANK($C341),"",IF($BH341&lt;&gt;Constants!$B$4,"",$BQ341+$BR341))</f>
        <v/>
      </c>
      <c r="CW341" s="78" t="str">
        <f aca="false">IF(ISBLANK($C341),"",IF($BH341&lt;&gt;Constants!$B$4,"",$BS341))</f>
        <v/>
      </c>
      <c r="CX341" s="78" t="str">
        <f aca="false">IF(ISBLANK($C341),"",IF($BH341&lt;&gt;Constants!$B$4,"",-$BZ341))</f>
        <v/>
      </c>
      <c r="CY341" s="79" t="str">
        <f aca="false">IF(ISBLANK($C341),"",$CA341)</f>
        <v/>
      </c>
      <c r="CZ341" s="80" t="str">
        <f aca="false">IF(ISBLANK($C341),"",$BI341)</f>
        <v/>
      </c>
      <c r="DA341" s="78" t="str">
        <f aca="false">IF(ISBLANK($C341),"",$CH341)</f>
        <v/>
      </c>
      <c r="DB341" s="78" t="str">
        <f aca="false">IF(ISBLANK($C341),"",$CG341)</f>
        <v/>
      </c>
      <c r="DC341" s="81" t="str">
        <f aca="false">IF(ISBLANK($C341),"",IFERROR(_xlfn.SWITCH($DB341,Constants!$B$7,COUNTA($C$9:$C$508)+2,Constants!$B$6,COUNTA($C$9:$C$508)+1,Constants!$B$5,COUNTA($C$9:$C$508)),$DB341))</f>
        <v/>
      </c>
      <c r="DD341" s="7"/>
      <c r="DE341" s="82" t="n">
        <f aca="false">IF(OR(ISNUMBER($DB341),$DB341=Constants!$B$7,$DB341=Constants!$B$5,$DB341=Constants!$B$6),1,0)</f>
        <v>0</v>
      </c>
      <c r="DF341" s="82" t="n">
        <v>333</v>
      </c>
      <c r="DG341" s="82" t="str">
        <f aca="false">IF(ISBLANK($C341),"",IF(ISNUMBER($DC341),$DC341+ROW($B341)/1000,""))</f>
        <v/>
      </c>
      <c r="DH341" s="82" t="str">
        <f aca="false">IF(ISNUMBER($DG341),RANK($DG341,$DG$9:$DG$508,1),"")</f>
        <v/>
      </c>
      <c r="DI341" s="82" t="str">
        <f aca="false">IF(ISBLANK($C341),"",$B341)</f>
        <v/>
      </c>
      <c r="DJ341" s="82" t="str">
        <f aca="false">IF(ISBLANK($C341),"",$C341)</f>
        <v/>
      </c>
      <c r="DK341" s="82" t="str">
        <f aca="false">IF(ISBLANK($C341),"",$D341)</f>
        <v/>
      </c>
      <c r="DL341" s="83" t="str">
        <f aca="false">$CZ341</f>
        <v/>
      </c>
      <c r="DM341" s="84" t="str">
        <f aca="false">$CY341</f>
        <v/>
      </c>
      <c r="DN341" s="82" t="str">
        <f aca="false">IF(ISBLANK($C341),"",$DB341)</f>
        <v/>
      </c>
      <c r="DO341" s="85" t="str">
        <f aca="false">IF($DF341&gt;$DE$8,"",VLOOKUP($DF341,$DH$9:$DN$508,7,FALSE()))</f>
        <v/>
      </c>
      <c r="DP341" s="86" t="str">
        <f aca="false">IF($DF341&gt;$DE$8,"",VLOOKUP($DF341,$DH$9:$DN$508,2,FALSE()))</f>
        <v/>
      </c>
      <c r="DQ341" s="86" t="str">
        <f aca="false">IF($DF341&gt;$DE$8,"",VLOOKUP($DF341,$DH$9:$DN$508,3,FALSE()))</f>
        <v/>
      </c>
      <c r="DR341" s="86" t="str">
        <f aca="false">IF($DF341&gt;$DE$8,"",VLOOKUP($DF341,$DH$9:$DN$508,4,FALSE()))</f>
        <v/>
      </c>
      <c r="DS341" s="86" t="str">
        <f aca="false">IF($DF341&gt;$DE$8,"",VLOOKUP($DF341,$DH$9:$DN$508,5,FALSE()))</f>
        <v/>
      </c>
      <c r="DT341" s="87" t="str">
        <f aca="false">IF($DF341&gt;$DE$8,"",VLOOKUP($DF341,$DH$9:$DN$508,6,FALSE()))</f>
        <v/>
      </c>
      <c r="DU341" s="62"/>
    </row>
    <row r="342" customFormat="false" ht="15.75" hidden="false" customHeight="false" outlineLevel="0" collapsed="false">
      <c r="A342" s="7"/>
      <c r="B342" s="90"/>
      <c r="C342" s="91"/>
      <c r="D342" s="126"/>
      <c r="E342" s="130"/>
      <c r="F342" s="135"/>
      <c r="G342" s="130"/>
      <c r="H342" s="135"/>
      <c r="I342" s="131"/>
      <c r="J342" s="131"/>
      <c r="K342" s="131"/>
      <c r="L342" s="130"/>
      <c r="M342" s="130"/>
      <c r="N342" s="130"/>
      <c r="O342" s="135"/>
      <c r="P342" s="130"/>
      <c r="Q342" s="130"/>
      <c r="R342" s="130"/>
      <c r="S342" s="130"/>
      <c r="T342" s="135"/>
      <c r="U342" s="130"/>
      <c r="V342" s="96"/>
      <c r="W342" s="130"/>
      <c r="X342" s="130"/>
      <c r="Y342" s="96"/>
      <c r="Z342" s="96"/>
      <c r="AA342" s="130"/>
      <c r="AB342" s="130"/>
      <c r="AC342" s="97"/>
      <c r="AD342" s="130"/>
      <c r="AE342" s="99"/>
      <c r="AF342" s="100"/>
      <c r="AG342" s="100"/>
      <c r="AH342" s="100" t="str">
        <f aca="false">IF(ISBLANK($C342),"",IF($E342=Constants!$B$2,TRUE(),IF($E342=Constants!$B$3,FALSE(),TRUE())))</f>
        <v/>
      </c>
      <c r="AI342" s="100" t="str">
        <f aca="false">IF(ISBLANK($C342),"",IF($F342=Constants!$B$2,TRUE(),IF($F342=Constants!$B$3,FALSE(),FALSE())))</f>
        <v/>
      </c>
      <c r="AJ342" s="100" t="str">
        <f aca="false">IF(ISBLANK($C342),"",IF($G342=Constants!$B$2,TRUE(),IF($G342=Constants!$B$3,FALSE(),TRUE())))</f>
        <v/>
      </c>
      <c r="AK342" s="100" t="str">
        <f aca="false">IF(ISBLANK($C342),"",IF($H342=Constants!$B$2,TRUE(),IF($H342=Constants!$B$3,FALSE(),TRUE())))</f>
        <v/>
      </c>
      <c r="AL342" s="100" t="str">
        <f aca="false">IF(ISBLANK($C342),"",IF(ISNUMBER($I342),IF($I342&gt;=0,$I342,""),""))</f>
        <v/>
      </c>
      <c r="AM342" s="100" t="str">
        <f aca="false">IF(ISBLANK($C342),"",IF(ISNUMBER($J342),IF($J342&gt;=0,$J342,""),""))</f>
        <v/>
      </c>
      <c r="AN342" s="100" t="str">
        <f aca="false">IF(ISBLANK($C342),"",IF(ISNUMBER($K342),IF($K342&gt;=0,$K342,""),""))</f>
        <v/>
      </c>
      <c r="AO342" s="100" t="str">
        <f aca="false">IF(ISBLANK($C342),"",IF($L342=Constants!$B$2,TRUE(),IF($L342=Constants!$B$3,FALSE(),TRUE())))</f>
        <v/>
      </c>
      <c r="AP342" s="100" t="str">
        <f aca="false">IF(ISBLANK($C342),"",IF($M342=Constants!$B$2,TRUE(),IF($M342=Constants!$B$3,FALSE(),TRUE())))</f>
        <v/>
      </c>
      <c r="AQ342" s="100" t="str">
        <f aca="false">IF(ISBLANK($C342),"",IF($N342=Constants!$B$2,TRUE(),IF($N342=Constants!$B$3,FALSE(),FALSE())))</f>
        <v/>
      </c>
      <c r="AR342" s="100" t="str">
        <f aca="false">IF(ISBLANK($C342),"",IF($O342=Constants!$B$2,TRUE(),IF($O342=Constants!$B$3,FALSE(),TRUE())))</f>
        <v/>
      </c>
      <c r="AS342" s="100" t="str">
        <f aca="false">IF(ISBLANK($C342),"",IF($P342=Constants!$B$2,TRUE(),IF($P342=Constants!$B$3,FALSE(),FALSE())))</f>
        <v/>
      </c>
      <c r="AT342" s="100" t="str">
        <f aca="false">IF(ISBLANK($C342),"",IF($Q342=Constants!$B$2,TRUE(),IF($Q342=Constants!$B$3,FALSE(),FALSE())))</f>
        <v/>
      </c>
      <c r="AU342" s="100" t="str">
        <f aca="false">IF(ISBLANK($C342),"",IF($R342=Constants!$B$2,TRUE(),IF($R342=Constants!$B$3,FALSE(),FALSE())))</f>
        <v/>
      </c>
      <c r="AV342" s="100" t="str">
        <f aca="false">IF(ISBLANK($C342),"",IF($S342=Constants!$B$2,TRUE(),IF($S342=Constants!$B$3,FALSE(),FALSE())))</f>
        <v/>
      </c>
      <c r="AW342" s="100" t="str">
        <f aca="false">IF(ISBLANK($C342),"",IF($T342=Constants!$B$2,TRUE(),IF($T342=Constants!$B$3,FALSE(),FALSE())))</f>
        <v/>
      </c>
      <c r="AX342" s="100" t="str">
        <f aca="false">IF(ISBLANK($C342),"",IF(OR($U342&amp;""="1",$U342&amp;""="2",$U342&amp;""="3",$U342&amp;""="4"),VALUE($U342&amp;""),IF($U342=Constants!$B$12,Constants!$B$12,"")))</f>
        <v/>
      </c>
      <c r="AY342" s="100" t="str">
        <f aca="false">IF(ISBLANK($C342),"",IF(ISBLANK($V342),0,IF(ISNUMBER($V342),IF(AND($V342&gt;=0,$V342&lt;=Constants!$B$21,$V342=INT($V342)),$V342,""),"")))</f>
        <v/>
      </c>
      <c r="AZ342" s="100" t="str">
        <f aca="false">IF(ISBLANK($C342),"",IF(ISBLANK($W342),0,IF(ISNUMBER($W342),IF($W342&gt;=0,$W342,""),"")))</f>
        <v/>
      </c>
      <c r="BA342" s="100" t="str">
        <f aca="false">IF(ISBLANK($C342),"",IF($X342=Constants!$B$2,TRUE(),IF($X342=Constants!$B$3,FALSE(),TRUE())))</f>
        <v/>
      </c>
      <c r="BB342" s="100" t="str">
        <f aca="false">IF(ISBLANK($C342),"",IF($Y342=Constants!$B$2,TRUE(),IF($Y342=Constants!$B$3,FALSE(),FALSE())))</f>
        <v/>
      </c>
      <c r="BC342" s="100" t="str">
        <f aca="false">IF(ISBLANK($C342),"",IF(ISBLANK($Z342),0,IF(ISNUMBER($Z342),IF(AND($Z342&gt;=0,$Z342&lt;=Constants!$B$35,$Z342=INT($Z342)),$Z342,""),"")))</f>
        <v/>
      </c>
      <c r="BD342" s="100" t="str">
        <f aca="false">IF(ISBLANK($C342),"",IF($AA342=Constants!$B$2,TRUE(),IF($AA342=Constants!$B$3,FALSE(),TRUE())))</f>
        <v/>
      </c>
      <c r="BE342" s="100" t="str">
        <f aca="false">IF(ISBLANK($C342),"",IF($AB342=Constants!$B$2,TRUE(),IF($AB342=Constants!$B$3,FALSE(),TRUE())))</f>
        <v/>
      </c>
      <c r="BF342" s="100" t="str">
        <f aca="false">IF(ISBLANK($C342),"",IF(ISNUMBER($AC342),IF($AC342&gt;=0,$AC342,""),""))</f>
        <v/>
      </c>
      <c r="BG342" s="100" t="str">
        <f aca="false">IF(ISBLANK($C342),"",IF($AD342=Constants!$B$2,TRUE(),IF($AD342=Constants!$B$3,FALSE(),FALSE())))</f>
        <v/>
      </c>
      <c r="BH342" s="99" t="str">
        <f aca="false">IF(ISBLANK($C342),"",IF($BG342,Constants!$B$7,IF(COUNTA($E342:$AC342)=0,Constants!$B$6,IF(OR(COUNTA($G342:$AC342)=0,NOT($AK342),$AQ342),Constants!$B$5,IF(OR($CI342&lt;&gt;"",$CJ342,$CK342,$CL342,$CM342,$CN342,$CO342),Constants!$B$8,Constants!$B$4)))))</f>
        <v/>
      </c>
      <c r="BI342" s="100" t="str">
        <f aca="false">IF(ISBLANK($C342),"",IF($BH342&lt;&gt;Constants!$B$4,$BH342,IF(OR(NOT($AH342),NOT($AJ342),NOT($AR342)),Constants!$B$11,IF(OR(NOT($AP342),MAX($AL342,$AM342,$AN342)&gt;Constants!$B$30),Constants!$B$10,Constants!$B$9))))</f>
        <v/>
      </c>
      <c r="BJ342" s="100" t="str">
        <f aca="false">IF($BH342&lt;&gt;Constants!$B$4,"",IF(NOT($AJ342),0,MIN(Constants!$B$35,$BC342)))</f>
        <v/>
      </c>
      <c r="BK342" s="100" t="str">
        <f aca="false">IF($BH342&lt;&gt;Constants!$B$4,"",IF(NOT($AJ342),0,IF($AT342,Constants!$B$18,IF($AS342,Constants!$B$17,0))))</f>
        <v/>
      </c>
      <c r="BL342" s="100" t="str">
        <f aca="false">IF($BH342&lt;&gt;Constants!$B$4,"",IF(NOT($AJ342),0,Constants!$B$19*($AI342+$AU342+$AV342+$AW342)))</f>
        <v/>
      </c>
      <c r="BM342" s="100" t="str">
        <f aca="false">IF($BH342&lt;&gt;Constants!$B$4,"",IF(OR(NOT($AJ342),NOT(ISNUMBER($AX342))),0,CHOOSE($AX342,Constants!$B$13,Constants!$B$14,Constants!$B$15,Constants!$B$16)))</f>
        <v/>
      </c>
      <c r="BN342" s="100" t="str">
        <f aca="false">IF($BH342&lt;&gt;Constants!$B$4,"",IF(NOT($AJ342),0,Constants!$B$20*$AY342))</f>
        <v/>
      </c>
      <c r="BO342" s="100" t="str">
        <f aca="false">IF($BH342&lt;&gt;Constants!$B$4,"",IF(AND($AJ342,$BA342,$BB342),Constants!$B$22,0))</f>
        <v/>
      </c>
      <c r="BP342" s="100" t="str">
        <f aca="false">IF($BH342&lt;&gt;Constants!$B$4,"",IF(OR(NOT($AJ342),NOT($BA342)),0,IF($BF342&gt;=2*$AF$9,0,Constants!$B$23*INT(ROUND(MIN($BF342,$AF$9),6)))))</f>
        <v/>
      </c>
      <c r="BQ342" s="100" t="str">
        <f aca="false">IF($BH342&lt;&gt;Constants!$B$4,"",IF(NOT($AJ342),0,Constants!$B$24*INT(ROUND(MIN($AZ342,$AF$9),6))))</f>
        <v/>
      </c>
      <c r="BR342" s="100" t="str">
        <f aca="false">IF($BH342&lt;&gt;Constants!$B$4,"",IF(AND($AJ342,$BJ342=0),Constants!$B$25,0))</f>
        <v/>
      </c>
      <c r="BS342" s="100" t="str">
        <f aca="false">IF($BH342&lt;&gt;Constants!$B$4,"",MIN(Constants!$B$29,MAX(0,Constants!$B$27*Constants!$B$28*INT(ROUND((Constants!$B$26-$AL342)/Constants!$B$28,6))))+MIN(Constants!$B$29,MAX(0,Constants!$B$27*Constants!$B$28*INT(ROUND((Constants!$B$26-$AM342)/Constants!$B$28,6))))+MIN(Constants!$B$29,MAX(0,Constants!$B$27*Constants!$B$28*INT(ROUND((Constants!$B$26-$AN342)/Constants!$B$28,6)))))</f>
        <v/>
      </c>
      <c r="BT342" s="100" t="str">
        <f aca="false">IF($BH342&lt;&gt;Constants!$B$4,"",IF(NOT($AJ342),0,Constants!$B$31*INT(ROUND(MAX(0,MIN($BF342,2*$AF$9)-$AF$9),6))))</f>
        <v/>
      </c>
      <c r="BU342" s="100" t="str">
        <f aca="false">IF($BH342&lt;&gt;Constants!$B$4,"",Constants!$B$32*(($AL342&gt;Constants!$B$26)+($AM342&gt;Constants!$B$26)+($AN342&gt;Constants!$B$26)))</f>
        <v/>
      </c>
      <c r="BV342" s="100" t="str">
        <f aca="false">IF($BH342&lt;&gt;Constants!$B$4,"",IF(OR(NOT($AJ342),$AO342),0,Constants!$B$33))</f>
        <v/>
      </c>
      <c r="BW342" s="100" t="str">
        <f aca="false">IF($BH342&lt;&gt;Constants!$B$4,"",Constants!$B$34*$BJ342)</f>
        <v/>
      </c>
      <c r="BX342" s="100" t="str">
        <f aca="false">IF($BH342&lt;&gt;Constants!$B$4,"",IF(OR(NOT($AJ342),$BE342),0,Constants!$B$36))</f>
        <v/>
      </c>
      <c r="BY342" s="100" t="str">
        <f aca="false">IF($BH342&lt;&gt;Constants!$B$4,"",IF(OR(NOT($AJ342),$BD342),0,Constants!$B$37))</f>
        <v/>
      </c>
      <c r="BZ342" s="100" t="str">
        <f aca="false">IF($BH342&lt;&gt;Constants!$B$4,"",SUM($BT342:$BY342))</f>
        <v/>
      </c>
      <c r="CA342" s="100" t="str">
        <f aca="false">IF(ISBLANK($C342),"",IF($BH342&lt;&gt;Constants!$B$4,$BH342,SUM($BK342:$BS342)-$BZ342))</f>
        <v/>
      </c>
      <c r="CB342" s="100" t="str">
        <f aca="false">IF(ISBLANK($C342),"",IF($BH342&lt;&gt;Constants!$B$4,$BH342,RANK($CA342,$CA$9:$CA$508)))</f>
        <v/>
      </c>
      <c r="CC342" s="100" t="str">
        <f aca="false">IF(ISBLANK($C342),"",IF($BH342&lt;&gt;Constants!$B$4,$BH342,COUNTIFS($BI$9:$BI$508,"&lt;"&amp;$BI342)+COUNTIFS($BI$9:$BI$508,$BI342,$CB$9:$CB$508,"&lt;"&amp;$CB342)+1))</f>
        <v/>
      </c>
      <c r="CD342" s="100" t="str">
        <f aca="false">IF(ISBLANK($C342),"",IF($BH342&lt;&gt;Constants!$B$4,$BH342,RANK($BZ342,$BZ$9:$BZ$508,1)))</f>
        <v/>
      </c>
      <c r="CE342" s="100" t="str">
        <f aca="false">IF($BH342&lt;&gt;Constants!$B$4,"",$AL342+$AM342+$AN342)</f>
        <v/>
      </c>
      <c r="CF342" s="100" t="str">
        <f aca="false">IF(ISBLANK($C342),"",IF($BH342&lt;&gt;Constants!$B$4,$BH342,RANK($CE342,$CE$9:$CE$508,1)))</f>
        <v/>
      </c>
      <c r="CG342" s="100" t="str">
        <f aca="false">IF(ISBLANK($C342),"",IF($BH342&lt;&gt;Constants!$B$4,$BH342,COUNTIFS($BI$9:$BI$508,"&lt;"&amp;$BI342)+COUNTIFS($BI$9:$BI$508,$BI342,$CB$9:$CB$508,"&lt;"&amp;$CB342)+COUNTIFS($BI$9:$BI$508,$BI342,$CB$9:$CB$508,$CB342,$CD$9:$CD$508,"&lt;"&amp;$CD342)+COUNTIFS($BI$9:$BI$508,$BI342,$CB$9:$CB$508,$CB342,$CD$9:$CD$508,$CD342,$CF$9:$CF$508,"&lt;"&amp;$CF342)+1))</f>
        <v/>
      </c>
      <c r="CH342" s="100" t="str">
        <f aca="false">IF(ISBLANK($C342),"",IF($BH342&lt;&gt;Constants!$B$4,$BH342,$CC342-$CG342))</f>
        <v/>
      </c>
      <c r="CI342" s="100" t="str">
        <f aca="false">IF(ISBLANK($C342),"",IF(NOT($AJ342),"",IF(ISBLANK($D$7),$CI$5,IF(NOT(ISNUMBER($D$7)),$CI$6,""))))</f>
        <v/>
      </c>
      <c r="CJ342" s="100" t="str">
        <f aca="false">IF(ISBLANK($C342),"",OR($AL342="",$AM342="",$AN342=""))</f>
        <v/>
      </c>
      <c r="CK342" s="100" t="str">
        <f aca="false">IF(ISBLANK($C342),"",AND($AJ342,$AX342=""))</f>
        <v/>
      </c>
      <c r="CL342" s="100" t="str">
        <f aca="false">IF(ISBLANK($C342),"",AND($AJ342,$AY342=""))</f>
        <v/>
      </c>
      <c r="CM342" s="100" t="str">
        <f aca="false">IF(ISBLANK($C342),"",AND($AJ342,$AZ342=""))</f>
        <v/>
      </c>
      <c r="CN342" s="100" t="str">
        <f aca="false">IF(ISBLANK($C342),"",AND($AJ342,$BC342=""))</f>
        <v/>
      </c>
      <c r="CO342" s="100" t="str">
        <f aca="false">IF(ISBLANK($C342),"",AND($AJ342,$BF342=""))</f>
        <v/>
      </c>
      <c r="CP342" s="101"/>
      <c r="CQ342" s="102"/>
      <c r="CR342" s="103" t="str">
        <f aca="false">IF(ISBLANK($C342),"",IF($BH342=Constants!$B$8,$CI342,""))</f>
        <v/>
      </c>
      <c r="CS342" s="102" t="str">
        <f aca="false">IF(ISBLANK($C342),"",IF($BH342&lt;&gt;Constants!$B$4,"",$BK342+$BL342))</f>
        <v/>
      </c>
      <c r="CT342" s="104" t="str">
        <f aca="false">IF(ISBLANK($C342),"",IF($BH342&lt;&gt;Constants!$B$4,"",$BM342+$BN342+$BO342))</f>
        <v/>
      </c>
      <c r="CU342" s="104" t="str">
        <f aca="false">IF(ISBLANK($C342),"",IF($BH342&lt;&gt;Constants!$B$4,"",$BP342))</f>
        <v/>
      </c>
      <c r="CV342" s="104" t="str">
        <f aca="false">IF(ISBLANK($C342),"",IF($BH342&lt;&gt;Constants!$B$4,"",$BQ342+$BR342))</f>
        <v/>
      </c>
      <c r="CW342" s="104" t="str">
        <f aca="false">IF(ISBLANK($C342),"",IF($BH342&lt;&gt;Constants!$B$4,"",$BS342))</f>
        <v/>
      </c>
      <c r="CX342" s="104" t="str">
        <f aca="false">IF(ISBLANK($C342),"",IF($BH342&lt;&gt;Constants!$B$4,"",-$BZ342))</f>
        <v/>
      </c>
      <c r="CY342" s="103" t="str">
        <f aca="false">IF(ISBLANK($C342),"",$CA342)</f>
        <v/>
      </c>
      <c r="CZ342" s="105" t="str">
        <f aca="false">IF(ISBLANK($C342),"",$BI342)</f>
        <v/>
      </c>
      <c r="DA342" s="104" t="str">
        <f aca="false">IF(ISBLANK($C342),"",$CH342)</f>
        <v/>
      </c>
      <c r="DB342" s="104" t="str">
        <f aca="false">IF(ISBLANK($C342),"",$CG342)</f>
        <v/>
      </c>
      <c r="DC342" s="106" t="str">
        <f aca="false">IF(ISBLANK($C342),"",IFERROR(_xlfn.SWITCH($DB342,Constants!$B$7,COUNTA($C$9:$C$508)+2,Constants!$B$6,COUNTA($C$9:$C$508)+1,Constants!$B$5,COUNTA($C$9:$C$508)),$DB342))</f>
        <v/>
      </c>
      <c r="DD342" s="7"/>
      <c r="DE342" s="107" t="n">
        <f aca="false">IF(OR(ISNUMBER($DB342),$DB342=Constants!$B$7,$DB342=Constants!$B$5,$DB342=Constants!$B$6),1,0)</f>
        <v>0</v>
      </c>
      <c r="DF342" s="107" t="n">
        <v>334</v>
      </c>
      <c r="DG342" s="107" t="str">
        <f aca="false">IF(ISBLANK($C342),"",IF(ISNUMBER($DC342),$DC342+ROW($B342)/1000,""))</f>
        <v/>
      </c>
      <c r="DH342" s="107" t="str">
        <f aca="false">IF(ISNUMBER($DG342),RANK($DG342,$DG$9:$DG$508,1),"")</f>
        <v/>
      </c>
      <c r="DI342" s="107" t="str">
        <f aca="false">IF(ISBLANK($C342),"",$B342)</f>
        <v/>
      </c>
      <c r="DJ342" s="107" t="str">
        <f aca="false">IF(ISBLANK($C342),"",$C342)</f>
        <v/>
      </c>
      <c r="DK342" s="107" t="str">
        <f aca="false">IF(ISBLANK($C342),"",$D342)</f>
        <v/>
      </c>
      <c r="DL342" s="108" t="str">
        <f aca="false">$CZ342</f>
        <v/>
      </c>
      <c r="DM342" s="109" t="str">
        <f aca="false">$CY342</f>
        <v/>
      </c>
      <c r="DN342" s="107" t="str">
        <f aca="false">IF(ISBLANK($C342),"",$DB342)</f>
        <v/>
      </c>
      <c r="DO342" s="110" t="str">
        <f aca="false">IF($DF342&gt;$DE$8,"",VLOOKUP($DF342,$DH$9:$DN$508,7,FALSE()))</f>
        <v/>
      </c>
      <c r="DP342" s="111" t="str">
        <f aca="false">IF($DF342&gt;$DE$8,"",VLOOKUP($DF342,$DH$9:$DN$508,2,FALSE()))</f>
        <v/>
      </c>
      <c r="DQ342" s="111" t="str">
        <f aca="false">IF($DF342&gt;$DE$8,"",VLOOKUP($DF342,$DH$9:$DN$508,3,FALSE()))</f>
        <v/>
      </c>
      <c r="DR342" s="111" t="str">
        <f aca="false">IF($DF342&gt;$DE$8,"",VLOOKUP($DF342,$DH$9:$DN$508,4,FALSE()))</f>
        <v/>
      </c>
      <c r="DS342" s="111" t="str">
        <f aca="false">IF($DF342&gt;$DE$8,"",VLOOKUP($DF342,$DH$9:$DN$508,5,FALSE()))</f>
        <v/>
      </c>
      <c r="DT342" s="112" t="str">
        <f aca="false">IF($DF342&gt;$DE$8,"",VLOOKUP($DF342,$DH$9:$DN$508,6,FALSE()))</f>
        <v/>
      </c>
      <c r="DU342" s="62"/>
    </row>
    <row r="343" customFormat="false" ht="15.75" hidden="false" customHeight="false" outlineLevel="0" collapsed="false">
      <c r="A343" s="7"/>
      <c r="B343" s="90"/>
      <c r="C343" s="91"/>
      <c r="D343" s="126"/>
      <c r="E343" s="130"/>
      <c r="F343" s="135"/>
      <c r="G343" s="130"/>
      <c r="H343" s="135"/>
      <c r="I343" s="131"/>
      <c r="J343" s="131"/>
      <c r="K343" s="131"/>
      <c r="L343" s="130"/>
      <c r="M343" s="130"/>
      <c r="N343" s="130"/>
      <c r="O343" s="135"/>
      <c r="P343" s="130"/>
      <c r="Q343" s="130"/>
      <c r="R343" s="130"/>
      <c r="S343" s="130"/>
      <c r="T343" s="135"/>
      <c r="U343" s="130"/>
      <c r="V343" s="96"/>
      <c r="W343" s="130"/>
      <c r="X343" s="130"/>
      <c r="Y343" s="96"/>
      <c r="Z343" s="96"/>
      <c r="AA343" s="130"/>
      <c r="AB343" s="130"/>
      <c r="AC343" s="97"/>
      <c r="AD343" s="130"/>
      <c r="AE343" s="99"/>
      <c r="AF343" s="100"/>
      <c r="AG343" s="100"/>
      <c r="AH343" s="100" t="str">
        <f aca="false">IF(ISBLANK($C343),"",IF($E343=Constants!$B$2,TRUE(),IF($E343=Constants!$B$3,FALSE(),TRUE())))</f>
        <v/>
      </c>
      <c r="AI343" s="100" t="str">
        <f aca="false">IF(ISBLANK($C343),"",IF($F343=Constants!$B$2,TRUE(),IF($F343=Constants!$B$3,FALSE(),FALSE())))</f>
        <v/>
      </c>
      <c r="AJ343" s="100" t="str">
        <f aca="false">IF(ISBLANK($C343),"",IF($G343=Constants!$B$2,TRUE(),IF($G343=Constants!$B$3,FALSE(),TRUE())))</f>
        <v/>
      </c>
      <c r="AK343" s="100" t="str">
        <f aca="false">IF(ISBLANK($C343),"",IF($H343=Constants!$B$2,TRUE(),IF($H343=Constants!$B$3,FALSE(),TRUE())))</f>
        <v/>
      </c>
      <c r="AL343" s="100" t="str">
        <f aca="false">IF(ISBLANK($C343),"",IF(ISNUMBER($I343),IF($I343&gt;=0,$I343,""),""))</f>
        <v/>
      </c>
      <c r="AM343" s="100" t="str">
        <f aca="false">IF(ISBLANK($C343),"",IF(ISNUMBER($J343),IF($J343&gt;=0,$J343,""),""))</f>
        <v/>
      </c>
      <c r="AN343" s="100" t="str">
        <f aca="false">IF(ISBLANK($C343),"",IF(ISNUMBER($K343),IF($K343&gt;=0,$K343,""),""))</f>
        <v/>
      </c>
      <c r="AO343" s="100" t="str">
        <f aca="false">IF(ISBLANK($C343),"",IF($L343=Constants!$B$2,TRUE(),IF($L343=Constants!$B$3,FALSE(),TRUE())))</f>
        <v/>
      </c>
      <c r="AP343" s="100" t="str">
        <f aca="false">IF(ISBLANK($C343),"",IF($M343=Constants!$B$2,TRUE(),IF($M343=Constants!$B$3,FALSE(),TRUE())))</f>
        <v/>
      </c>
      <c r="AQ343" s="100" t="str">
        <f aca="false">IF(ISBLANK($C343),"",IF($N343=Constants!$B$2,TRUE(),IF($N343=Constants!$B$3,FALSE(),FALSE())))</f>
        <v/>
      </c>
      <c r="AR343" s="100" t="str">
        <f aca="false">IF(ISBLANK($C343),"",IF($O343=Constants!$B$2,TRUE(),IF($O343=Constants!$B$3,FALSE(),TRUE())))</f>
        <v/>
      </c>
      <c r="AS343" s="100" t="str">
        <f aca="false">IF(ISBLANK($C343),"",IF($P343=Constants!$B$2,TRUE(),IF($P343=Constants!$B$3,FALSE(),FALSE())))</f>
        <v/>
      </c>
      <c r="AT343" s="100" t="str">
        <f aca="false">IF(ISBLANK($C343),"",IF($Q343=Constants!$B$2,TRUE(),IF($Q343=Constants!$B$3,FALSE(),FALSE())))</f>
        <v/>
      </c>
      <c r="AU343" s="100" t="str">
        <f aca="false">IF(ISBLANK($C343),"",IF($R343=Constants!$B$2,TRUE(),IF($R343=Constants!$B$3,FALSE(),FALSE())))</f>
        <v/>
      </c>
      <c r="AV343" s="100" t="str">
        <f aca="false">IF(ISBLANK($C343),"",IF($S343=Constants!$B$2,TRUE(),IF($S343=Constants!$B$3,FALSE(),FALSE())))</f>
        <v/>
      </c>
      <c r="AW343" s="100" t="str">
        <f aca="false">IF(ISBLANK($C343),"",IF($T343=Constants!$B$2,TRUE(),IF($T343=Constants!$B$3,FALSE(),FALSE())))</f>
        <v/>
      </c>
      <c r="AX343" s="100" t="str">
        <f aca="false">IF(ISBLANK($C343),"",IF(OR($U343&amp;""="1",$U343&amp;""="2",$U343&amp;""="3",$U343&amp;""="4"),VALUE($U343&amp;""),IF($U343=Constants!$B$12,Constants!$B$12,"")))</f>
        <v/>
      </c>
      <c r="AY343" s="100" t="str">
        <f aca="false">IF(ISBLANK($C343),"",IF(ISBLANK($V343),0,IF(ISNUMBER($V343),IF(AND($V343&gt;=0,$V343&lt;=Constants!$B$21,$V343=INT($V343)),$V343,""),"")))</f>
        <v/>
      </c>
      <c r="AZ343" s="100" t="str">
        <f aca="false">IF(ISBLANK($C343),"",IF(ISBLANK($W343),0,IF(ISNUMBER($W343),IF($W343&gt;=0,$W343,""),"")))</f>
        <v/>
      </c>
      <c r="BA343" s="100" t="str">
        <f aca="false">IF(ISBLANK($C343),"",IF($X343=Constants!$B$2,TRUE(),IF($X343=Constants!$B$3,FALSE(),TRUE())))</f>
        <v/>
      </c>
      <c r="BB343" s="100" t="str">
        <f aca="false">IF(ISBLANK($C343),"",IF($Y343=Constants!$B$2,TRUE(),IF($Y343=Constants!$B$3,FALSE(),FALSE())))</f>
        <v/>
      </c>
      <c r="BC343" s="100" t="str">
        <f aca="false">IF(ISBLANK($C343),"",IF(ISBLANK($Z343),0,IF(ISNUMBER($Z343),IF(AND($Z343&gt;=0,$Z343&lt;=Constants!$B$35,$Z343=INT($Z343)),$Z343,""),"")))</f>
        <v/>
      </c>
      <c r="BD343" s="100" t="str">
        <f aca="false">IF(ISBLANK($C343),"",IF($AA343=Constants!$B$2,TRUE(),IF($AA343=Constants!$B$3,FALSE(),TRUE())))</f>
        <v/>
      </c>
      <c r="BE343" s="100" t="str">
        <f aca="false">IF(ISBLANK($C343),"",IF($AB343=Constants!$B$2,TRUE(),IF($AB343=Constants!$B$3,FALSE(),TRUE())))</f>
        <v/>
      </c>
      <c r="BF343" s="100" t="str">
        <f aca="false">IF(ISBLANK($C343),"",IF(ISNUMBER($AC343),IF($AC343&gt;=0,$AC343,""),""))</f>
        <v/>
      </c>
      <c r="BG343" s="100" t="str">
        <f aca="false">IF(ISBLANK($C343),"",IF($AD343=Constants!$B$2,TRUE(),IF($AD343=Constants!$B$3,FALSE(),FALSE())))</f>
        <v/>
      </c>
      <c r="BH343" s="99" t="str">
        <f aca="false">IF(ISBLANK($C343),"",IF($BG343,Constants!$B$7,IF(COUNTA($E343:$AC343)=0,Constants!$B$6,IF(OR(COUNTA($G343:$AC343)=0,NOT($AK343),$AQ343),Constants!$B$5,IF(OR($CI343&lt;&gt;"",$CJ343,$CK343,$CL343,$CM343,$CN343,$CO343),Constants!$B$8,Constants!$B$4)))))</f>
        <v/>
      </c>
      <c r="BI343" s="100" t="str">
        <f aca="false">IF(ISBLANK($C343),"",IF($BH343&lt;&gt;Constants!$B$4,$BH343,IF(OR(NOT($AH343),NOT($AJ343),NOT($AR343)),Constants!$B$11,IF(OR(NOT($AP343),MAX($AL343,$AM343,$AN343)&gt;Constants!$B$30),Constants!$B$10,Constants!$B$9))))</f>
        <v/>
      </c>
      <c r="BJ343" s="100" t="str">
        <f aca="false">IF($BH343&lt;&gt;Constants!$B$4,"",IF(NOT($AJ343),0,MIN(Constants!$B$35,$BC343)))</f>
        <v/>
      </c>
      <c r="BK343" s="100" t="str">
        <f aca="false">IF($BH343&lt;&gt;Constants!$B$4,"",IF(NOT($AJ343),0,IF($AT343,Constants!$B$18,IF($AS343,Constants!$B$17,0))))</f>
        <v/>
      </c>
      <c r="BL343" s="100" t="str">
        <f aca="false">IF($BH343&lt;&gt;Constants!$B$4,"",IF(NOT($AJ343),0,Constants!$B$19*($AI343+$AU343+$AV343+$AW343)))</f>
        <v/>
      </c>
      <c r="BM343" s="100" t="str">
        <f aca="false">IF($BH343&lt;&gt;Constants!$B$4,"",IF(OR(NOT($AJ343),NOT(ISNUMBER($AX343))),0,CHOOSE($AX343,Constants!$B$13,Constants!$B$14,Constants!$B$15,Constants!$B$16)))</f>
        <v/>
      </c>
      <c r="BN343" s="100" t="str">
        <f aca="false">IF($BH343&lt;&gt;Constants!$B$4,"",IF(NOT($AJ343),0,Constants!$B$20*$AY343))</f>
        <v/>
      </c>
      <c r="BO343" s="100" t="str">
        <f aca="false">IF($BH343&lt;&gt;Constants!$B$4,"",IF(AND($AJ343,$BA343,$BB343),Constants!$B$22,0))</f>
        <v/>
      </c>
      <c r="BP343" s="100" t="str">
        <f aca="false">IF($BH343&lt;&gt;Constants!$B$4,"",IF(OR(NOT($AJ343),NOT($BA343)),0,IF($BF343&gt;=2*$AF$9,0,Constants!$B$23*INT(ROUND(MIN($BF343,$AF$9),6)))))</f>
        <v/>
      </c>
      <c r="BQ343" s="100" t="str">
        <f aca="false">IF($BH343&lt;&gt;Constants!$B$4,"",IF(NOT($AJ343),0,Constants!$B$24*INT(ROUND(MIN($AZ343,$AF$9),6))))</f>
        <v/>
      </c>
      <c r="BR343" s="100" t="str">
        <f aca="false">IF($BH343&lt;&gt;Constants!$B$4,"",IF(AND($AJ343,$BJ343=0),Constants!$B$25,0))</f>
        <v/>
      </c>
      <c r="BS343" s="100" t="str">
        <f aca="false">IF($BH343&lt;&gt;Constants!$B$4,"",MIN(Constants!$B$29,MAX(0,Constants!$B$27*Constants!$B$28*INT(ROUND((Constants!$B$26-$AL343)/Constants!$B$28,6))))+MIN(Constants!$B$29,MAX(0,Constants!$B$27*Constants!$B$28*INT(ROUND((Constants!$B$26-$AM343)/Constants!$B$28,6))))+MIN(Constants!$B$29,MAX(0,Constants!$B$27*Constants!$B$28*INT(ROUND((Constants!$B$26-$AN343)/Constants!$B$28,6)))))</f>
        <v/>
      </c>
      <c r="BT343" s="100" t="str">
        <f aca="false">IF($BH343&lt;&gt;Constants!$B$4,"",IF(NOT($AJ343),0,Constants!$B$31*INT(ROUND(MAX(0,MIN($BF343,2*$AF$9)-$AF$9),6))))</f>
        <v/>
      </c>
      <c r="BU343" s="100" t="str">
        <f aca="false">IF($BH343&lt;&gt;Constants!$B$4,"",Constants!$B$32*(($AL343&gt;Constants!$B$26)+($AM343&gt;Constants!$B$26)+($AN343&gt;Constants!$B$26)))</f>
        <v/>
      </c>
      <c r="BV343" s="100" t="str">
        <f aca="false">IF($BH343&lt;&gt;Constants!$B$4,"",IF(OR(NOT($AJ343),$AO343),0,Constants!$B$33))</f>
        <v/>
      </c>
      <c r="BW343" s="100" t="str">
        <f aca="false">IF($BH343&lt;&gt;Constants!$B$4,"",Constants!$B$34*$BJ343)</f>
        <v/>
      </c>
      <c r="BX343" s="100" t="str">
        <f aca="false">IF($BH343&lt;&gt;Constants!$B$4,"",IF(OR(NOT($AJ343),$BE343),0,Constants!$B$36))</f>
        <v/>
      </c>
      <c r="BY343" s="100" t="str">
        <f aca="false">IF($BH343&lt;&gt;Constants!$B$4,"",IF(OR(NOT($AJ343),$BD343),0,Constants!$B$37))</f>
        <v/>
      </c>
      <c r="BZ343" s="100" t="str">
        <f aca="false">IF($BH343&lt;&gt;Constants!$B$4,"",SUM($BT343:$BY343))</f>
        <v/>
      </c>
      <c r="CA343" s="100" t="str">
        <f aca="false">IF(ISBLANK($C343),"",IF($BH343&lt;&gt;Constants!$B$4,$BH343,SUM($BK343:$BS343)-$BZ343))</f>
        <v/>
      </c>
      <c r="CB343" s="100" t="str">
        <f aca="false">IF(ISBLANK($C343),"",IF($BH343&lt;&gt;Constants!$B$4,$BH343,RANK($CA343,$CA$9:$CA$508)))</f>
        <v/>
      </c>
      <c r="CC343" s="100" t="str">
        <f aca="false">IF(ISBLANK($C343),"",IF($BH343&lt;&gt;Constants!$B$4,$BH343,COUNTIFS($BI$9:$BI$508,"&lt;"&amp;$BI343)+COUNTIFS($BI$9:$BI$508,$BI343,$CB$9:$CB$508,"&lt;"&amp;$CB343)+1))</f>
        <v/>
      </c>
      <c r="CD343" s="100" t="str">
        <f aca="false">IF(ISBLANK($C343),"",IF($BH343&lt;&gt;Constants!$B$4,$BH343,RANK($BZ343,$BZ$9:$BZ$508,1)))</f>
        <v/>
      </c>
      <c r="CE343" s="100" t="str">
        <f aca="false">IF($BH343&lt;&gt;Constants!$B$4,"",$AL343+$AM343+$AN343)</f>
        <v/>
      </c>
      <c r="CF343" s="100" t="str">
        <f aca="false">IF(ISBLANK($C343),"",IF($BH343&lt;&gt;Constants!$B$4,$BH343,RANK($CE343,$CE$9:$CE$508,1)))</f>
        <v/>
      </c>
      <c r="CG343" s="100" t="str">
        <f aca="false">IF(ISBLANK($C343),"",IF($BH343&lt;&gt;Constants!$B$4,$BH343,COUNTIFS($BI$9:$BI$508,"&lt;"&amp;$BI343)+COUNTIFS($BI$9:$BI$508,$BI343,$CB$9:$CB$508,"&lt;"&amp;$CB343)+COUNTIFS($BI$9:$BI$508,$BI343,$CB$9:$CB$508,$CB343,$CD$9:$CD$508,"&lt;"&amp;$CD343)+COUNTIFS($BI$9:$BI$508,$BI343,$CB$9:$CB$508,$CB343,$CD$9:$CD$508,$CD343,$CF$9:$CF$508,"&lt;"&amp;$CF343)+1))</f>
        <v/>
      </c>
      <c r="CH343" s="100" t="str">
        <f aca="false">IF(ISBLANK($C343),"",IF($BH343&lt;&gt;Constants!$B$4,$BH343,$CC343-$CG343))</f>
        <v/>
      </c>
      <c r="CI343" s="100" t="str">
        <f aca="false">IF(ISBLANK($C343),"",IF(NOT($AJ343),"",IF(ISBLANK($D$7),$CI$5,IF(NOT(ISNUMBER($D$7)),$CI$6,""))))</f>
        <v/>
      </c>
      <c r="CJ343" s="100" t="str">
        <f aca="false">IF(ISBLANK($C343),"",OR($AL343="",$AM343="",$AN343=""))</f>
        <v/>
      </c>
      <c r="CK343" s="100" t="str">
        <f aca="false">IF(ISBLANK($C343),"",AND($AJ343,$AX343=""))</f>
        <v/>
      </c>
      <c r="CL343" s="100" t="str">
        <f aca="false">IF(ISBLANK($C343),"",AND($AJ343,$AY343=""))</f>
        <v/>
      </c>
      <c r="CM343" s="100" t="str">
        <f aca="false">IF(ISBLANK($C343),"",AND($AJ343,$AZ343=""))</f>
        <v/>
      </c>
      <c r="CN343" s="100" t="str">
        <f aca="false">IF(ISBLANK($C343),"",AND($AJ343,$BC343=""))</f>
        <v/>
      </c>
      <c r="CO343" s="100" t="str">
        <f aca="false">IF(ISBLANK($C343),"",AND($AJ343,$BF343=""))</f>
        <v/>
      </c>
      <c r="CP343" s="101"/>
      <c r="CQ343" s="102"/>
      <c r="CR343" s="103" t="str">
        <f aca="false">IF(ISBLANK($C343),"",IF($BH343=Constants!$B$8,$CI343,""))</f>
        <v/>
      </c>
      <c r="CS343" s="102" t="str">
        <f aca="false">IF(ISBLANK($C343),"",IF($BH343&lt;&gt;Constants!$B$4,"",$BK343+$BL343))</f>
        <v/>
      </c>
      <c r="CT343" s="104" t="str">
        <f aca="false">IF(ISBLANK($C343),"",IF($BH343&lt;&gt;Constants!$B$4,"",$BM343+$BN343+$BO343))</f>
        <v/>
      </c>
      <c r="CU343" s="104" t="str">
        <f aca="false">IF(ISBLANK($C343),"",IF($BH343&lt;&gt;Constants!$B$4,"",$BP343))</f>
        <v/>
      </c>
      <c r="CV343" s="104" t="str">
        <f aca="false">IF(ISBLANK($C343),"",IF($BH343&lt;&gt;Constants!$B$4,"",$BQ343+$BR343))</f>
        <v/>
      </c>
      <c r="CW343" s="104" t="str">
        <f aca="false">IF(ISBLANK($C343),"",IF($BH343&lt;&gt;Constants!$B$4,"",$BS343))</f>
        <v/>
      </c>
      <c r="CX343" s="104" t="str">
        <f aca="false">IF(ISBLANK($C343),"",IF($BH343&lt;&gt;Constants!$B$4,"",-$BZ343))</f>
        <v/>
      </c>
      <c r="CY343" s="103" t="str">
        <f aca="false">IF(ISBLANK($C343),"",$CA343)</f>
        <v/>
      </c>
      <c r="CZ343" s="105" t="str">
        <f aca="false">IF(ISBLANK($C343),"",$BI343)</f>
        <v/>
      </c>
      <c r="DA343" s="104" t="str">
        <f aca="false">IF(ISBLANK($C343),"",$CH343)</f>
        <v/>
      </c>
      <c r="DB343" s="104" t="str">
        <f aca="false">IF(ISBLANK($C343),"",$CG343)</f>
        <v/>
      </c>
      <c r="DC343" s="106" t="str">
        <f aca="false">IF(ISBLANK($C343),"",IFERROR(_xlfn.SWITCH($DB343,Constants!$B$7,COUNTA($C$9:$C$508)+2,Constants!$B$6,COUNTA($C$9:$C$508)+1,Constants!$B$5,COUNTA($C$9:$C$508)),$DB343))</f>
        <v/>
      </c>
      <c r="DD343" s="7"/>
      <c r="DE343" s="107" t="n">
        <f aca="false">IF(OR(ISNUMBER($DB343),$DB343=Constants!$B$7,$DB343=Constants!$B$5,$DB343=Constants!$B$6),1,0)</f>
        <v>0</v>
      </c>
      <c r="DF343" s="107" t="n">
        <v>335</v>
      </c>
      <c r="DG343" s="107" t="str">
        <f aca="false">IF(ISBLANK($C343),"",IF(ISNUMBER($DC343),$DC343+ROW($B343)/1000,""))</f>
        <v/>
      </c>
      <c r="DH343" s="107" t="str">
        <f aca="false">IF(ISNUMBER($DG343),RANK($DG343,$DG$9:$DG$508,1),"")</f>
        <v/>
      </c>
      <c r="DI343" s="107" t="str">
        <f aca="false">IF(ISBLANK($C343),"",$B343)</f>
        <v/>
      </c>
      <c r="DJ343" s="107" t="str">
        <f aca="false">IF(ISBLANK($C343),"",$C343)</f>
        <v/>
      </c>
      <c r="DK343" s="107" t="str">
        <f aca="false">IF(ISBLANK($C343),"",$D343)</f>
        <v/>
      </c>
      <c r="DL343" s="108" t="str">
        <f aca="false">$CZ343</f>
        <v/>
      </c>
      <c r="DM343" s="109" t="str">
        <f aca="false">$CY343</f>
        <v/>
      </c>
      <c r="DN343" s="107" t="str">
        <f aca="false">IF(ISBLANK($C343),"",$DB343)</f>
        <v/>
      </c>
      <c r="DO343" s="110" t="str">
        <f aca="false">IF($DF343&gt;$DE$8,"",VLOOKUP($DF343,$DH$9:$DN$508,7,FALSE()))</f>
        <v/>
      </c>
      <c r="DP343" s="111" t="str">
        <f aca="false">IF($DF343&gt;$DE$8,"",VLOOKUP($DF343,$DH$9:$DN$508,2,FALSE()))</f>
        <v/>
      </c>
      <c r="DQ343" s="111" t="str">
        <f aca="false">IF($DF343&gt;$DE$8,"",VLOOKUP($DF343,$DH$9:$DN$508,3,FALSE()))</f>
        <v/>
      </c>
      <c r="DR343" s="111" t="str">
        <f aca="false">IF($DF343&gt;$DE$8,"",VLOOKUP($DF343,$DH$9:$DN$508,4,FALSE()))</f>
        <v/>
      </c>
      <c r="DS343" s="111" t="str">
        <f aca="false">IF($DF343&gt;$DE$8,"",VLOOKUP($DF343,$DH$9:$DN$508,5,FALSE()))</f>
        <v/>
      </c>
      <c r="DT343" s="112" t="str">
        <f aca="false">IF($DF343&gt;$DE$8,"",VLOOKUP($DF343,$DH$9:$DN$508,6,FALSE()))</f>
        <v/>
      </c>
      <c r="DU343" s="62"/>
    </row>
    <row r="344" customFormat="false" ht="15.75" hidden="false" customHeight="false" outlineLevel="0" collapsed="false">
      <c r="A344" s="7"/>
      <c r="B344" s="90"/>
      <c r="C344" s="91"/>
      <c r="D344" s="126"/>
      <c r="E344" s="130"/>
      <c r="F344" s="135"/>
      <c r="G344" s="130"/>
      <c r="H344" s="135"/>
      <c r="I344" s="131"/>
      <c r="J344" s="131"/>
      <c r="K344" s="131"/>
      <c r="L344" s="130"/>
      <c r="M344" s="130"/>
      <c r="N344" s="130"/>
      <c r="O344" s="135"/>
      <c r="P344" s="130"/>
      <c r="Q344" s="130"/>
      <c r="R344" s="130"/>
      <c r="S344" s="130"/>
      <c r="T344" s="135"/>
      <c r="U344" s="130"/>
      <c r="V344" s="96"/>
      <c r="W344" s="130"/>
      <c r="X344" s="130"/>
      <c r="Y344" s="96"/>
      <c r="Z344" s="96"/>
      <c r="AA344" s="130"/>
      <c r="AB344" s="130"/>
      <c r="AC344" s="97"/>
      <c r="AD344" s="130"/>
      <c r="AE344" s="99"/>
      <c r="AF344" s="100"/>
      <c r="AG344" s="100"/>
      <c r="AH344" s="100" t="str">
        <f aca="false">IF(ISBLANK($C344),"",IF($E344=Constants!$B$2,TRUE(),IF($E344=Constants!$B$3,FALSE(),TRUE())))</f>
        <v/>
      </c>
      <c r="AI344" s="100" t="str">
        <f aca="false">IF(ISBLANK($C344),"",IF($F344=Constants!$B$2,TRUE(),IF($F344=Constants!$B$3,FALSE(),FALSE())))</f>
        <v/>
      </c>
      <c r="AJ344" s="100" t="str">
        <f aca="false">IF(ISBLANK($C344),"",IF($G344=Constants!$B$2,TRUE(),IF($G344=Constants!$B$3,FALSE(),TRUE())))</f>
        <v/>
      </c>
      <c r="AK344" s="100" t="str">
        <f aca="false">IF(ISBLANK($C344),"",IF($H344=Constants!$B$2,TRUE(),IF($H344=Constants!$B$3,FALSE(),TRUE())))</f>
        <v/>
      </c>
      <c r="AL344" s="100" t="str">
        <f aca="false">IF(ISBLANK($C344),"",IF(ISNUMBER($I344),IF($I344&gt;=0,$I344,""),""))</f>
        <v/>
      </c>
      <c r="AM344" s="100" t="str">
        <f aca="false">IF(ISBLANK($C344),"",IF(ISNUMBER($J344),IF($J344&gt;=0,$J344,""),""))</f>
        <v/>
      </c>
      <c r="AN344" s="100" t="str">
        <f aca="false">IF(ISBLANK($C344),"",IF(ISNUMBER($K344),IF($K344&gt;=0,$K344,""),""))</f>
        <v/>
      </c>
      <c r="AO344" s="100" t="str">
        <f aca="false">IF(ISBLANK($C344),"",IF($L344=Constants!$B$2,TRUE(),IF($L344=Constants!$B$3,FALSE(),TRUE())))</f>
        <v/>
      </c>
      <c r="AP344" s="100" t="str">
        <f aca="false">IF(ISBLANK($C344),"",IF($M344=Constants!$B$2,TRUE(),IF($M344=Constants!$B$3,FALSE(),TRUE())))</f>
        <v/>
      </c>
      <c r="AQ344" s="100" t="str">
        <f aca="false">IF(ISBLANK($C344),"",IF($N344=Constants!$B$2,TRUE(),IF($N344=Constants!$B$3,FALSE(),FALSE())))</f>
        <v/>
      </c>
      <c r="AR344" s="100" t="str">
        <f aca="false">IF(ISBLANK($C344),"",IF($O344=Constants!$B$2,TRUE(),IF($O344=Constants!$B$3,FALSE(),TRUE())))</f>
        <v/>
      </c>
      <c r="AS344" s="100" t="str">
        <f aca="false">IF(ISBLANK($C344),"",IF($P344=Constants!$B$2,TRUE(),IF($P344=Constants!$B$3,FALSE(),FALSE())))</f>
        <v/>
      </c>
      <c r="AT344" s="100" t="str">
        <f aca="false">IF(ISBLANK($C344),"",IF($Q344=Constants!$B$2,TRUE(),IF($Q344=Constants!$B$3,FALSE(),FALSE())))</f>
        <v/>
      </c>
      <c r="AU344" s="100" t="str">
        <f aca="false">IF(ISBLANK($C344),"",IF($R344=Constants!$B$2,TRUE(),IF($R344=Constants!$B$3,FALSE(),FALSE())))</f>
        <v/>
      </c>
      <c r="AV344" s="100" t="str">
        <f aca="false">IF(ISBLANK($C344),"",IF($S344=Constants!$B$2,TRUE(),IF($S344=Constants!$B$3,FALSE(),FALSE())))</f>
        <v/>
      </c>
      <c r="AW344" s="100" t="str">
        <f aca="false">IF(ISBLANK($C344),"",IF($T344=Constants!$B$2,TRUE(),IF($T344=Constants!$B$3,FALSE(),FALSE())))</f>
        <v/>
      </c>
      <c r="AX344" s="100" t="str">
        <f aca="false">IF(ISBLANK($C344),"",IF(OR($U344&amp;""="1",$U344&amp;""="2",$U344&amp;""="3",$U344&amp;""="4"),VALUE($U344&amp;""),IF($U344=Constants!$B$12,Constants!$B$12,"")))</f>
        <v/>
      </c>
      <c r="AY344" s="100" t="str">
        <f aca="false">IF(ISBLANK($C344),"",IF(ISBLANK($V344),0,IF(ISNUMBER($V344),IF(AND($V344&gt;=0,$V344&lt;=Constants!$B$21,$V344=INT($V344)),$V344,""),"")))</f>
        <v/>
      </c>
      <c r="AZ344" s="100" t="str">
        <f aca="false">IF(ISBLANK($C344),"",IF(ISBLANK($W344),0,IF(ISNUMBER($W344),IF($W344&gt;=0,$W344,""),"")))</f>
        <v/>
      </c>
      <c r="BA344" s="100" t="str">
        <f aca="false">IF(ISBLANK($C344),"",IF($X344=Constants!$B$2,TRUE(),IF($X344=Constants!$B$3,FALSE(),TRUE())))</f>
        <v/>
      </c>
      <c r="BB344" s="100" t="str">
        <f aca="false">IF(ISBLANK($C344),"",IF($Y344=Constants!$B$2,TRUE(),IF($Y344=Constants!$B$3,FALSE(),FALSE())))</f>
        <v/>
      </c>
      <c r="BC344" s="100" t="str">
        <f aca="false">IF(ISBLANK($C344),"",IF(ISBLANK($Z344),0,IF(ISNUMBER($Z344),IF(AND($Z344&gt;=0,$Z344&lt;=Constants!$B$35,$Z344=INT($Z344)),$Z344,""),"")))</f>
        <v/>
      </c>
      <c r="BD344" s="100" t="str">
        <f aca="false">IF(ISBLANK($C344),"",IF($AA344=Constants!$B$2,TRUE(),IF($AA344=Constants!$B$3,FALSE(),TRUE())))</f>
        <v/>
      </c>
      <c r="BE344" s="100" t="str">
        <f aca="false">IF(ISBLANK($C344),"",IF($AB344=Constants!$B$2,TRUE(),IF($AB344=Constants!$B$3,FALSE(),TRUE())))</f>
        <v/>
      </c>
      <c r="BF344" s="100" t="str">
        <f aca="false">IF(ISBLANK($C344),"",IF(ISNUMBER($AC344),IF($AC344&gt;=0,$AC344,""),""))</f>
        <v/>
      </c>
      <c r="BG344" s="100" t="str">
        <f aca="false">IF(ISBLANK($C344),"",IF($AD344=Constants!$B$2,TRUE(),IF($AD344=Constants!$B$3,FALSE(),FALSE())))</f>
        <v/>
      </c>
      <c r="BH344" s="99" t="str">
        <f aca="false">IF(ISBLANK($C344),"",IF($BG344,Constants!$B$7,IF(COUNTA($E344:$AC344)=0,Constants!$B$6,IF(OR(COUNTA($G344:$AC344)=0,NOT($AK344),$AQ344),Constants!$B$5,IF(OR($CI344&lt;&gt;"",$CJ344,$CK344,$CL344,$CM344,$CN344,$CO344),Constants!$B$8,Constants!$B$4)))))</f>
        <v/>
      </c>
      <c r="BI344" s="100" t="str">
        <f aca="false">IF(ISBLANK($C344),"",IF($BH344&lt;&gt;Constants!$B$4,$BH344,IF(OR(NOT($AH344),NOT($AJ344),NOT($AR344)),Constants!$B$11,IF(OR(NOT($AP344),MAX($AL344,$AM344,$AN344)&gt;Constants!$B$30),Constants!$B$10,Constants!$B$9))))</f>
        <v/>
      </c>
      <c r="BJ344" s="100" t="str">
        <f aca="false">IF($BH344&lt;&gt;Constants!$B$4,"",IF(NOT($AJ344),0,MIN(Constants!$B$35,$BC344)))</f>
        <v/>
      </c>
      <c r="BK344" s="100" t="str">
        <f aca="false">IF($BH344&lt;&gt;Constants!$B$4,"",IF(NOT($AJ344),0,IF($AT344,Constants!$B$18,IF($AS344,Constants!$B$17,0))))</f>
        <v/>
      </c>
      <c r="BL344" s="100" t="str">
        <f aca="false">IF($BH344&lt;&gt;Constants!$B$4,"",IF(NOT($AJ344),0,Constants!$B$19*($AI344+$AU344+$AV344+$AW344)))</f>
        <v/>
      </c>
      <c r="BM344" s="100" t="str">
        <f aca="false">IF($BH344&lt;&gt;Constants!$B$4,"",IF(OR(NOT($AJ344),NOT(ISNUMBER($AX344))),0,CHOOSE($AX344,Constants!$B$13,Constants!$B$14,Constants!$B$15,Constants!$B$16)))</f>
        <v/>
      </c>
      <c r="BN344" s="100" t="str">
        <f aca="false">IF($BH344&lt;&gt;Constants!$B$4,"",IF(NOT($AJ344),0,Constants!$B$20*$AY344))</f>
        <v/>
      </c>
      <c r="BO344" s="100" t="str">
        <f aca="false">IF($BH344&lt;&gt;Constants!$B$4,"",IF(AND($AJ344,$BA344,$BB344),Constants!$B$22,0))</f>
        <v/>
      </c>
      <c r="BP344" s="100" t="str">
        <f aca="false">IF($BH344&lt;&gt;Constants!$B$4,"",IF(OR(NOT($AJ344),NOT($BA344)),0,IF($BF344&gt;=2*$AF$9,0,Constants!$B$23*INT(ROUND(MIN($BF344,$AF$9),6)))))</f>
        <v/>
      </c>
      <c r="BQ344" s="100" t="str">
        <f aca="false">IF($BH344&lt;&gt;Constants!$B$4,"",IF(NOT($AJ344),0,Constants!$B$24*INT(ROUND(MIN($AZ344,$AF$9),6))))</f>
        <v/>
      </c>
      <c r="BR344" s="100" t="str">
        <f aca="false">IF($BH344&lt;&gt;Constants!$B$4,"",IF(AND($AJ344,$BJ344=0),Constants!$B$25,0))</f>
        <v/>
      </c>
      <c r="BS344" s="100" t="str">
        <f aca="false">IF($BH344&lt;&gt;Constants!$B$4,"",MIN(Constants!$B$29,MAX(0,Constants!$B$27*Constants!$B$28*INT(ROUND((Constants!$B$26-$AL344)/Constants!$B$28,6))))+MIN(Constants!$B$29,MAX(0,Constants!$B$27*Constants!$B$28*INT(ROUND((Constants!$B$26-$AM344)/Constants!$B$28,6))))+MIN(Constants!$B$29,MAX(0,Constants!$B$27*Constants!$B$28*INT(ROUND((Constants!$B$26-$AN344)/Constants!$B$28,6)))))</f>
        <v/>
      </c>
      <c r="BT344" s="100" t="str">
        <f aca="false">IF($BH344&lt;&gt;Constants!$B$4,"",IF(NOT($AJ344),0,Constants!$B$31*INT(ROUND(MAX(0,MIN($BF344,2*$AF$9)-$AF$9),6))))</f>
        <v/>
      </c>
      <c r="BU344" s="100" t="str">
        <f aca="false">IF($BH344&lt;&gt;Constants!$B$4,"",Constants!$B$32*(($AL344&gt;Constants!$B$26)+($AM344&gt;Constants!$B$26)+($AN344&gt;Constants!$B$26)))</f>
        <v/>
      </c>
      <c r="BV344" s="100" t="str">
        <f aca="false">IF($BH344&lt;&gt;Constants!$B$4,"",IF(OR(NOT($AJ344),$AO344),0,Constants!$B$33))</f>
        <v/>
      </c>
      <c r="BW344" s="100" t="str">
        <f aca="false">IF($BH344&lt;&gt;Constants!$B$4,"",Constants!$B$34*$BJ344)</f>
        <v/>
      </c>
      <c r="BX344" s="100" t="str">
        <f aca="false">IF($BH344&lt;&gt;Constants!$B$4,"",IF(OR(NOT($AJ344),$BE344),0,Constants!$B$36))</f>
        <v/>
      </c>
      <c r="BY344" s="100" t="str">
        <f aca="false">IF($BH344&lt;&gt;Constants!$B$4,"",IF(OR(NOT($AJ344),$BD344),0,Constants!$B$37))</f>
        <v/>
      </c>
      <c r="BZ344" s="100" t="str">
        <f aca="false">IF($BH344&lt;&gt;Constants!$B$4,"",SUM($BT344:$BY344))</f>
        <v/>
      </c>
      <c r="CA344" s="100" t="str">
        <f aca="false">IF(ISBLANK($C344),"",IF($BH344&lt;&gt;Constants!$B$4,$BH344,SUM($BK344:$BS344)-$BZ344))</f>
        <v/>
      </c>
      <c r="CB344" s="100" t="str">
        <f aca="false">IF(ISBLANK($C344),"",IF($BH344&lt;&gt;Constants!$B$4,$BH344,RANK($CA344,$CA$9:$CA$508)))</f>
        <v/>
      </c>
      <c r="CC344" s="100" t="str">
        <f aca="false">IF(ISBLANK($C344),"",IF($BH344&lt;&gt;Constants!$B$4,$BH344,COUNTIFS($BI$9:$BI$508,"&lt;"&amp;$BI344)+COUNTIFS($BI$9:$BI$508,$BI344,$CB$9:$CB$508,"&lt;"&amp;$CB344)+1))</f>
        <v/>
      </c>
      <c r="CD344" s="100" t="str">
        <f aca="false">IF(ISBLANK($C344),"",IF($BH344&lt;&gt;Constants!$B$4,$BH344,RANK($BZ344,$BZ$9:$BZ$508,1)))</f>
        <v/>
      </c>
      <c r="CE344" s="100" t="str">
        <f aca="false">IF($BH344&lt;&gt;Constants!$B$4,"",$AL344+$AM344+$AN344)</f>
        <v/>
      </c>
      <c r="CF344" s="100" t="str">
        <f aca="false">IF(ISBLANK($C344),"",IF($BH344&lt;&gt;Constants!$B$4,$BH344,RANK($CE344,$CE$9:$CE$508,1)))</f>
        <v/>
      </c>
      <c r="CG344" s="100" t="str">
        <f aca="false">IF(ISBLANK($C344),"",IF($BH344&lt;&gt;Constants!$B$4,$BH344,COUNTIFS($BI$9:$BI$508,"&lt;"&amp;$BI344)+COUNTIFS($BI$9:$BI$508,$BI344,$CB$9:$CB$508,"&lt;"&amp;$CB344)+COUNTIFS($BI$9:$BI$508,$BI344,$CB$9:$CB$508,$CB344,$CD$9:$CD$508,"&lt;"&amp;$CD344)+COUNTIFS($BI$9:$BI$508,$BI344,$CB$9:$CB$508,$CB344,$CD$9:$CD$508,$CD344,$CF$9:$CF$508,"&lt;"&amp;$CF344)+1))</f>
        <v/>
      </c>
      <c r="CH344" s="100" t="str">
        <f aca="false">IF(ISBLANK($C344),"",IF($BH344&lt;&gt;Constants!$B$4,$BH344,$CC344-$CG344))</f>
        <v/>
      </c>
      <c r="CI344" s="100" t="str">
        <f aca="false">IF(ISBLANK($C344),"",IF(NOT($AJ344),"",IF(ISBLANK($D$7),$CI$5,IF(NOT(ISNUMBER($D$7)),$CI$6,""))))</f>
        <v/>
      </c>
      <c r="CJ344" s="100" t="str">
        <f aca="false">IF(ISBLANK($C344),"",OR($AL344="",$AM344="",$AN344=""))</f>
        <v/>
      </c>
      <c r="CK344" s="100" t="str">
        <f aca="false">IF(ISBLANK($C344),"",AND($AJ344,$AX344=""))</f>
        <v/>
      </c>
      <c r="CL344" s="100" t="str">
        <f aca="false">IF(ISBLANK($C344),"",AND($AJ344,$AY344=""))</f>
        <v/>
      </c>
      <c r="CM344" s="100" t="str">
        <f aca="false">IF(ISBLANK($C344),"",AND($AJ344,$AZ344=""))</f>
        <v/>
      </c>
      <c r="CN344" s="100" t="str">
        <f aca="false">IF(ISBLANK($C344),"",AND($AJ344,$BC344=""))</f>
        <v/>
      </c>
      <c r="CO344" s="100" t="str">
        <f aca="false">IF(ISBLANK($C344),"",AND($AJ344,$BF344=""))</f>
        <v/>
      </c>
      <c r="CP344" s="101"/>
      <c r="CQ344" s="102"/>
      <c r="CR344" s="103" t="str">
        <f aca="false">IF(ISBLANK($C344),"",IF($BH344=Constants!$B$8,$CI344,""))</f>
        <v/>
      </c>
      <c r="CS344" s="102" t="str">
        <f aca="false">IF(ISBLANK($C344),"",IF($BH344&lt;&gt;Constants!$B$4,"",$BK344+$BL344))</f>
        <v/>
      </c>
      <c r="CT344" s="104" t="str">
        <f aca="false">IF(ISBLANK($C344),"",IF($BH344&lt;&gt;Constants!$B$4,"",$BM344+$BN344+$BO344))</f>
        <v/>
      </c>
      <c r="CU344" s="104" t="str">
        <f aca="false">IF(ISBLANK($C344),"",IF($BH344&lt;&gt;Constants!$B$4,"",$BP344))</f>
        <v/>
      </c>
      <c r="CV344" s="104" t="str">
        <f aca="false">IF(ISBLANK($C344),"",IF($BH344&lt;&gt;Constants!$B$4,"",$BQ344+$BR344))</f>
        <v/>
      </c>
      <c r="CW344" s="104" t="str">
        <f aca="false">IF(ISBLANK($C344),"",IF($BH344&lt;&gt;Constants!$B$4,"",$BS344))</f>
        <v/>
      </c>
      <c r="CX344" s="104" t="str">
        <f aca="false">IF(ISBLANK($C344),"",IF($BH344&lt;&gt;Constants!$B$4,"",-$BZ344))</f>
        <v/>
      </c>
      <c r="CY344" s="103" t="str">
        <f aca="false">IF(ISBLANK($C344),"",$CA344)</f>
        <v/>
      </c>
      <c r="CZ344" s="105" t="str">
        <f aca="false">IF(ISBLANK($C344),"",$BI344)</f>
        <v/>
      </c>
      <c r="DA344" s="104" t="str">
        <f aca="false">IF(ISBLANK($C344),"",$CH344)</f>
        <v/>
      </c>
      <c r="DB344" s="104" t="str">
        <f aca="false">IF(ISBLANK($C344),"",$CG344)</f>
        <v/>
      </c>
      <c r="DC344" s="106" t="str">
        <f aca="false">IF(ISBLANK($C344),"",IFERROR(_xlfn.SWITCH($DB344,Constants!$B$7,COUNTA($C$9:$C$508)+2,Constants!$B$6,COUNTA($C$9:$C$508)+1,Constants!$B$5,COUNTA($C$9:$C$508)),$DB344))</f>
        <v/>
      </c>
      <c r="DD344" s="7"/>
      <c r="DE344" s="107" t="n">
        <f aca="false">IF(OR(ISNUMBER($DB344),$DB344=Constants!$B$7,$DB344=Constants!$B$5,$DB344=Constants!$B$6),1,0)</f>
        <v>0</v>
      </c>
      <c r="DF344" s="107" t="n">
        <v>336</v>
      </c>
      <c r="DG344" s="107" t="str">
        <f aca="false">IF(ISBLANK($C344),"",IF(ISNUMBER($DC344),$DC344+ROW($B344)/1000,""))</f>
        <v/>
      </c>
      <c r="DH344" s="107" t="str">
        <f aca="false">IF(ISNUMBER($DG344),RANK($DG344,$DG$9:$DG$508,1),"")</f>
        <v/>
      </c>
      <c r="DI344" s="107" t="str">
        <f aca="false">IF(ISBLANK($C344),"",$B344)</f>
        <v/>
      </c>
      <c r="DJ344" s="107" t="str">
        <f aca="false">IF(ISBLANK($C344),"",$C344)</f>
        <v/>
      </c>
      <c r="DK344" s="107" t="str">
        <f aca="false">IF(ISBLANK($C344),"",$D344)</f>
        <v/>
      </c>
      <c r="DL344" s="108" t="str">
        <f aca="false">$CZ344</f>
        <v/>
      </c>
      <c r="DM344" s="109" t="str">
        <f aca="false">$CY344</f>
        <v/>
      </c>
      <c r="DN344" s="107" t="str">
        <f aca="false">IF(ISBLANK($C344),"",$DB344)</f>
        <v/>
      </c>
      <c r="DO344" s="110" t="str">
        <f aca="false">IF($DF344&gt;$DE$8,"",VLOOKUP($DF344,$DH$9:$DN$508,7,FALSE()))</f>
        <v/>
      </c>
      <c r="DP344" s="111" t="str">
        <f aca="false">IF($DF344&gt;$DE$8,"",VLOOKUP($DF344,$DH$9:$DN$508,2,FALSE()))</f>
        <v/>
      </c>
      <c r="DQ344" s="111" t="str">
        <f aca="false">IF($DF344&gt;$DE$8,"",VLOOKUP($DF344,$DH$9:$DN$508,3,FALSE()))</f>
        <v/>
      </c>
      <c r="DR344" s="111" t="str">
        <f aca="false">IF($DF344&gt;$DE$8,"",VLOOKUP($DF344,$DH$9:$DN$508,4,FALSE()))</f>
        <v/>
      </c>
      <c r="DS344" s="111" t="str">
        <f aca="false">IF($DF344&gt;$DE$8,"",VLOOKUP($DF344,$DH$9:$DN$508,5,FALSE()))</f>
        <v/>
      </c>
      <c r="DT344" s="112" t="str">
        <f aca="false">IF($DF344&gt;$DE$8,"",VLOOKUP($DF344,$DH$9:$DN$508,6,FALSE()))</f>
        <v/>
      </c>
      <c r="DU344" s="62"/>
    </row>
    <row r="345" customFormat="false" ht="15.75" hidden="false" customHeight="false" outlineLevel="0" collapsed="false">
      <c r="A345" s="7"/>
      <c r="B345" s="64"/>
      <c r="C345" s="65"/>
      <c r="D345" s="123"/>
      <c r="E345" s="88"/>
      <c r="F345" s="134"/>
      <c r="G345" s="88"/>
      <c r="H345" s="134"/>
      <c r="I345" s="119"/>
      <c r="J345" s="119"/>
      <c r="K345" s="119"/>
      <c r="L345" s="88"/>
      <c r="M345" s="88"/>
      <c r="N345" s="88"/>
      <c r="O345" s="134"/>
      <c r="P345" s="88"/>
      <c r="Q345" s="88"/>
      <c r="R345" s="88"/>
      <c r="S345" s="88"/>
      <c r="T345" s="134"/>
      <c r="U345" s="88"/>
      <c r="V345" s="70"/>
      <c r="W345" s="88"/>
      <c r="X345" s="88"/>
      <c r="Y345" s="70"/>
      <c r="Z345" s="70"/>
      <c r="AA345" s="88"/>
      <c r="AB345" s="88"/>
      <c r="AC345" s="71"/>
      <c r="AD345" s="88"/>
      <c r="AE345" s="73"/>
      <c r="AF345" s="74"/>
      <c r="AG345" s="74"/>
      <c r="AH345" s="74" t="str">
        <f aca="false">IF(ISBLANK($C345),"",IF($E345=Constants!$B$2,TRUE(),IF($E345=Constants!$B$3,FALSE(),TRUE())))</f>
        <v/>
      </c>
      <c r="AI345" s="74" t="str">
        <f aca="false">IF(ISBLANK($C345),"",IF($F345=Constants!$B$2,TRUE(),IF($F345=Constants!$B$3,FALSE(),FALSE())))</f>
        <v/>
      </c>
      <c r="AJ345" s="74" t="str">
        <f aca="false">IF(ISBLANK($C345),"",IF($G345=Constants!$B$2,TRUE(),IF($G345=Constants!$B$3,FALSE(),TRUE())))</f>
        <v/>
      </c>
      <c r="AK345" s="74" t="str">
        <f aca="false">IF(ISBLANK($C345),"",IF($H345=Constants!$B$2,TRUE(),IF($H345=Constants!$B$3,FALSE(),TRUE())))</f>
        <v/>
      </c>
      <c r="AL345" s="74" t="str">
        <f aca="false">IF(ISBLANK($C345),"",IF(ISNUMBER($I345),IF($I345&gt;=0,$I345,""),""))</f>
        <v/>
      </c>
      <c r="AM345" s="74" t="str">
        <f aca="false">IF(ISBLANK($C345),"",IF(ISNUMBER($J345),IF($J345&gt;=0,$J345,""),""))</f>
        <v/>
      </c>
      <c r="AN345" s="74" t="str">
        <f aca="false">IF(ISBLANK($C345),"",IF(ISNUMBER($K345),IF($K345&gt;=0,$K345,""),""))</f>
        <v/>
      </c>
      <c r="AO345" s="74" t="str">
        <f aca="false">IF(ISBLANK($C345),"",IF($L345=Constants!$B$2,TRUE(),IF($L345=Constants!$B$3,FALSE(),TRUE())))</f>
        <v/>
      </c>
      <c r="AP345" s="74" t="str">
        <f aca="false">IF(ISBLANK($C345),"",IF($M345=Constants!$B$2,TRUE(),IF($M345=Constants!$B$3,FALSE(),TRUE())))</f>
        <v/>
      </c>
      <c r="AQ345" s="74" t="str">
        <f aca="false">IF(ISBLANK($C345),"",IF($N345=Constants!$B$2,TRUE(),IF($N345=Constants!$B$3,FALSE(),FALSE())))</f>
        <v/>
      </c>
      <c r="AR345" s="74" t="str">
        <f aca="false">IF(ISBLANK($C345),"",IF($O345=Constants!$B$2,TRUE(),IF($O345=Constants!$B$3,FALSE(),TRUE())))</f>
        <v/>
      </c>
      <c r="AS345" s="74" t="str">
        <f aca="false">IF(ISBLANK($C345),"",IF($P345=Constants!$B$2,TRUE(),IF($P345=Constants!$B$3,FALSE(),FALSE())))</f>
        <v/>
      </c>
      <c r="AT345" s="74" t="str">
        <f aca="false">IF(ISBLANK($C345),"",IF($Q345=Constants!$B$2,TRUE(),IF($Q345=Constants!$B$3,FALSE(),FALSE())))</f>
        <v/>
      </c>
      <c r="AU345" s="74" t="str">
        <f aca="false">IF(ISBLANK($C345),"",IF($R345=Constants!$B$2,TRUE(),IF($R345=Constants!$B$3,FALSE(),FALSE())))</f>
        <v/>
      </c>
      <c r="AV345" s="74" t="str">
        <f aca="false">IF(ISBLANK($C345),"",IF($S345=Constants!$B$2,TRUE(),IF($S345=Constants!$B$3,FALSE(),FALSE())))</f>
        <v/>
      </c>
      <c r="AW345" s="74" t="str">
        <f aca="false">IF(ISBLANK($C345),"",IF($T345=Constants!$B$2,TRUE(),IF($T345=Constants!$B$3,FALSE(),FALSE())))</f>
        <v/>
      </c>
      <c r="AX345" s="74" t="str">
        <f aca="false">IF(ISBLANK($C345),"",IF(OR($U345&amp;""="1",$U345&amp;""="2",$U345&amp;""="3",$U345&amp;""="4"),VALUE($U345&amp;""),IF($U345=Constants!$B$12,Constants!$B$12,"")))</f>
        <v/>
      </c>
      <c r="AY345" s="74" t="str">
        <f aca="false">IF(ISBLANK($C345),"",IF(ISBLANK($V345),0,IF(ISNUMBER($V345),IF(AND($V345&gt;=0,$V345&lt;=Constants!$B$21,$V345=INT($V345)),$V345,""),"")))</f>
        <v/>
      </c>
      <c r="AZ345" s="74" t="str">
        <f aca="false">IF(ISBLANK($C345),"",IF(ISBLANK($W345),0,IF(ISNUMBER($W345),IF($W345&gt;=0,$W345,""),"")))</f>
        <v/>
      </c>
      <c r="BA345" s="74" t="str">
        <f aca="false">IF(ISBLANK($C345),"",IF($X345=Constants!$B$2,TRUE(),IF($X345=Constants!$B$3,FALSE(),TRUE())))</f>
        <v/>
      </c>
      <c r="BB345" s="74" t="str">
        <f aca="false">IF(ISBLANK($C345),"",IF($Y345=Constants!$B$2,TRUE(),IF($Y345=Constants!$B$3,FALSE(),FALSE())))</f>
        <v/>
      </c>
      <c r="BC345" s="74" t="str">
        <f aca="false">IF(ISBLANK($C345),"",IF(ISBLANK($Z345),0,IF(ISNUMBER($Z345),IF(AND($Z345&gt;=0,$Z345&lt;=Constants!$B$35,$Z345=INT($Z345)),$Z345,""),"")))</f>
        <v/>
      </c>
      <c r="BD345" s="74" t="str">
        <f aca="false">IF(ISBLANK($C345),"",IF($AA345=Constants!$B$2,TRUE(),IF($AA345=Constants!$B$3,FALSE(),TRUE())))</f>
        <v/>
      </c>
      <c r="BE345" s="74" t="str">
        <f aca="false">IF(ISBLANK($C345),"",IF($AB345=Constants!$B$2,TRUE(),IF($AB345=Constants!$B$3,FALSE(),TRUE())))</f>
        <v/>
      </c>
      <c r="BF345" s="74" t="str">
        <f aca="false">IF(ISBLANK($C345),"",IF(ISNUMBER($AC345),IF($AC345&gt;=0,$AC345,""),""))</f>
        <v/>
      </c>
      <c r="BG345" s="74" t="str">
        <f aca="false">IF(ISBLANK($C345),"",IF($AD345=Constants!$B$2,TRUE(),IF($AD345=Constants!$B$3,FALSE(),FALSE())))</f>
        <v/>
      </c>
      <c r="BH345" s="73" t="str">
        <f aca="false">IF(ISBLANK($C345),"",IF($BG345,Constants!$B$7,IF(COUNTA($E345:$AC345)=0,Constants!$B$6,IF(OR(COUNTA($G345:$AC345)=0,NOT($AK345),$AQ345),Constants!$B$5,IF(OR($CI345&lt;&gt;"",$CJ345,$CK345,$CL345,$CM345,$CN345,$CO345),Constants!$B$8,Constants!$B$4)))))</f>
        <v/>
      </c>
      <c r="BI345" s="74" t="str">
        <f aca="false">IF(ISBLANK($C345),"",IF($BH345&lt;&gt;Constants!$B$4,$BH345,IF(OR(NOT($AH345),NOT($AJ345),NOT($AR345)),Constants!$B$11,IF(OR(NOT($AP345),MAX($AL345,$AM345,$AN345)&gt;Constants!$B$30),Constants!$B$10,Constants!$B$9))))</f>
        <v/>
      </c>
      <c r="BJ345" s="74" t="str">
        <f aca="false">IF($BH345&lt;&gt;Constants!$B$4,"",IF(NOT($AJ345),0,MIN(Constants!$B$35,$BC345)))</f>
        <v/>
      </c>
      <c r="BK345" s="74" t="str">
        <f aca="false">IF($BH345&lt;&gt;Constants!$B$4,"",IF(NOT($AJ345),0,IF($AT345,Constants!$B$18,IF($AS345,Constants!$B$17,0))))</f>
        <v/>
      </c>
      <c r="BL345" s="74" t="str">
        <f aca="false">IF($BH345&lt;&gt;Constants!$B$4,"",IF(NOT($AJ345),0,Constants!$B$19*($AI345+$AU345+$AV345+$AW345)))</f>
        <v/>
      </c>
      <c r="BM345" s="74" t="str">
        <f aca="false">IF($BH345&lt;&gt;Constants!$B$4,"",IF(OR(NOT($AJ345),NOT(ISNUMBER($AX345))),0,CHOOSE($AX345,Constants!$B$13,Constants!$B$14,Constants!$B$15,Constants!$B$16)))</f>
        <v/>
      </c>
      <c r="BN345" s="74" t="str">
        <f aca="false">IF($BH345&lt;&gt;Constants!$B$4,"",IF(NOT($AJ345),0,Constants!$B$20*$AY345))</f>
        <v/>
      </c>
      <c r="BO345" s="74" t="str">
        <f aca="false">IF($BH345&lt;&gt;Constants!$B$4,"",IF(AND($AJ345,$BA345,$BB345),Constants!$B$22,0))</f>
        <v/>
      </c>
      <c r="BP345" s="74" t="str">
        <f aca="false">IF($BH345&lt;&gt;Constants!$B$4,"",IF(OR(NOT($AJ345),NOT($BA345)),0,IF($BF345&gt;=2*$AF$9,0,Constants!$B$23*INT(ROUND(MIN($BF345,$AF$9),6)))))</f>
        <v/>
      </c>
      <c r="BQ345" s="74" t="str">
        <f aca="false">IF($BH345&lt;&gt;Constants!$B$4,"",IF(NOT($AJ345),0,Constants!$B$24*INT(ROUND(MIN($AZ345,$AF$9),6))))</f>
        <v/>
      </c>
      <c r="BR345" s="74" t="str">
        <f aca="false">IF($BH345&lt;&gt;Constants!$B$4,"",IF(AND($AJ345,$BJ345=0),Constants!$B$25,0))</f>
        <v/>
      </c>
      <c r="BS345" s="74" t="str">
        <f aca="false">IF($BH345&lt;&gt;Constants!$B$4,"",MIN(Constants!$B$29,MAX(0,Constants!$B$27*Constants!$B$28*INT(ROUND((Constants!$B$26-$AL345)/Constants!$B$28,6))))+MIN(Constants!$B$29,MAX(0,Constants!$B$27*Constants!$B$28*INT(ROUND((Constants!$B$26-$AM345)/Constants!$B$28,6))))+MIN(Constants!$B$29,MAX(0,Constants!$B$27*Constants!$B$28*INT(ROUND((Constants!$B$26-$AN345)/Constants!$B$28,6)))))</f>
        <v/>
      </c>
      <c r="BT345" s="74" t="str">
        <f aca="false">IF($BH345&lt;&gt;Constants!$B$4,"",IF(NOT($AJ345),0,Constants!$B$31*INT(ROUND(MAX(0,MIN($BF345,2*$AF$9)-$AF$9),6))))</f>
        <v/>
      </c>
      <c r="BU345" s="74" t="str">
        <f aca="false">IF($BH345&lt;&gt;Constants!$B$4,"",Constants!$B$32*(($AL345&gt;Constants!$B$26)+($AM345&gt;Constants!$B$26)+($AN345&gt;Constants!$B$26)))</f>
        <v/>
      </c>
      <c r="BV345" s="74" t="str">
        <f aca="false">IF($BH345&lt;&gt;Constants!$B$4,"",IF(OR(NOT($AJ345),$AO345),0,Constants!$B$33))</f>
        <v/>
      </c>
      <c r="BW345" s="74" t="str">
        <f aca="false">IF($BH345&lt;&gt;Constants!$B$4,"",Constants!$B$34*$BJ345)</f>
        <v/>
      </c>
      <c r="BX345" s="74" t="str">
        <f aca="false">IF($BH345&lt;&gt;Constants!$B$4,"",IF(OR(NOT($AJ345),$BE345),0,Constants!$B$36))</f>
        <v/>
      </c>
      <c r="BY345" s="74" t="str">
        <f aca="false">IF($BH345&lt;&gt;Constants!$B$4,"",IF(OR(NOT($AJ345),$BD345),0,Constants!$B$37))</f>
        <v/>
      </c>
      <c r="BZ345" s="74" t="str">
        <f aca="false">IF($BH345&lt;&gt;Constants!$B$4,"",SUM($BT345:$BY345))</f>
        <v/>
      </c>
      <c r="CA345" s="74" t="str">
        <f aca="false">IF(ISBLANK($C345),"",IF($BH345&lt;&gt;Constants!$B$4,$BH345,SUM($BK345:$BS345)-$BZ345))</f>
        <v/>
      </c>
      <c r="CB345" s="74" t="str">
        <f aca="false">IF(ISBLANK($C345),"",IF($BH345&lt;&gt;Constants!$B$4,$BH345,RANK($CA345,$CA$9:$CA$508)))</f>
        <v/>
      </c>
      <c r="CC345" s="74" t="str">
        <f aca="false">IF(ISBLANK($C345),"",IF($BH345&lt;&gt;Constants!$B$4,$BH345,COUNTIFS($BI$9:$BI$508,"&lt;"&amp;$BI345)+COUNTIFS($BI$9:$BI$508,$BI345,$CB$9:$CB$508,"&lt;"&amp;$CB345)+1))</f>
        <v/>
      </c>
      <c r="CD345" s="74" t="str">
        <f aca="false">IF(ISBLANK($C345),"",IF($BH345&lt;&gt;Constants!$B$4,$BH345,RANK($BZ345,$BZ$9:$BZ$508,1)))</f>
        <v/>
      </c>
      <c r="CE345" s="74" t="str">
        <f aca="false">IF($BH345&lt;&gt;Constants!$B$4,"",$AL345+$AM345+$AN345)</f>
        <v/>
      </c>
      <c r="CF345" s="74" t="str">
        <f aca="false">IF(ISBLANK($C345),"",IF($BH345&lt;&gt;Constants!$B$4,$BH345,RANK($CE345,$CE$9:$CE$508,1)))</f>
        <v/>
      </c>
      <c r="CG345" s="74" t="str">
        <f aca="false">IF(ISBLANK($C345),"",IF($BH345&lt;&gt;Constants!$B$4,$BH345,COUNTIFS($BI$9:$BI$508,"&lt;"&amp;$BI345)+COUNTIFS($BI$9:$BI$508,$BI345,$CB$9:$CB$508,"&lt;"&amp;$CB345)+COUNTIFS($BI$9:$BI$508,$BI345,$CB$9:$CB$508,$CB345,$CD$9:$CD$508,"&lt;"&amp;$CD345)+COUNTIFS($BI$9:$BI$508,$BI345,$CB$9:$CB$508,$CB345,$CD$9:$CD$508,$CD345,$CF$9:$CF$508,"&lt;"&amp;$CF345)+1))</f>
        <v/>
      </c>
      <c r="CH345" s="74" t="str">
        <f aca="false">IF(ISBLANK($C345),"",IF($BH345&lt;&gt;Constants!$B$4,$BH345,$CC345-$CG345))</f>
        <v/>
      </c>
      <c r="CI345" s="74" t="str">
        <f aca="false">IF(ISBLANK($C345),"",IF(NOT($AJ345),"",IF(ISBLANK($D$7),$CI$5,IF(NOT(ISNUMBER($D$7)),$CI$6,""))))</f>
        <v/>
      </c>
      <c r="CJ345" s="74" t="str">
        <f aca="false">IF(ISBLANK($C345),"",OR($AL345="",$AM345="",$AN345=""))</f>
        <v/>
      </c>
      <c r="CK345" s="74" t="str">
        <f aca="false">IF(ISBLANK($C345),"",AND($AJ345,$AX345=""))</f>
        <v/>
      </c>
      <c r="CL345" s="74" t="str">
        <f aca="false">IF(ISBLANK($C345),"",AND($AJ345,$AY345=""))</f>
        <v/>
      </c>
      <c r="CM345" s="74" t="str">
        <f aca="false">IF(ISBLANK($C345),"",AND($AJ345,$AZ345=""))</f>
        <v/>
      </c>
      <c r="CN345" s="74" t="str">
        <f aca="false">IF(ISBLANK($C345),"",AND($AJ345,$BC345=""))</f>
        <v/>
      </c>
      <c r="CO345" s="74" t="str">
        <f aca="false">IF(ISBLANK($C345),"",AND($AJ345,$BF345=""))</f>
        <v/>
      </c>
      <c r="CP345" s="75"/>
      <c r="CQ345" s="76"/>
      <c r="CR345" s="79" t="str">
        <f aca="false">IF(ISBLANK($C345),"",IF($BH345=Constants!$B$8,$CI345,""))</f>
        <v/>
      </c>
      <c r="CS345" s="76" t="str">
        <f aca="false">IF(ISBLANK($C345),"",IF($BH345&lt;&gt;Constants!$B$4,"",$BK345+$BL345))</f>
        <v/>
      </c>
      <c r="CT345" s="78" t="str">
        <f aca="false">IF(ISBLANK($C345),"",IF($BH345&lt;&gt;Constants!$B$4,"",$BM345+$BN345+$BO345))</f>
        <v/>
      </c>
      <c r="CU345" s="78" t="str">
        <f aca="false">IF(ISBLANK($C345),"",IF($BH345&lt;&gt;Constants!$B$4,"",$BP345))</f>
        <v/>
      </c>
      <c r="CV345" s="78" t="str">
        <f aca="false">IF(ISBLANK($C345),"",IF($BH345&lt;&gt;Constants!$B$4,"",$BQ345+$BR345))</f>
        <v/>
      </c>
      <c r="CW345" s="78" t="str">
        <f aca="false">IF(ISBLANK($C345),"",IF($BH345&lt;&gt;Constants!$B$4,"",$BS345))</f>
        <v/>
      </c>
      <c r="CX345" s="78" t="str">
        <f aca="false">IF(ISBLANK($C345),"",IF($BH345&lt;&gt;Constants!$B$4,"",-$BZ345))</f>
        <v/>
      </c>
      <c r="CY345" s="79" t="str">
        <f aca="false">IF(ISBLANK($C345),"",$CA345)</f>
        <v/>
      </c>
      <c r="CZ345" s="80" t="str">
        <f aca="false">IF(ISBLANK($C345),"",$BI345)</f>
        <v/>
      </c>
      <c r="DA345" s="78" t="str">
        <f aca="false">IF(ISBLANK($C345),"",$CH345)</f>
        <v/>
      </c>
      <c r="DB345" s="78" t="str">
        <f aca="false">IF(ISBLANK($C345),"",$CG345)</f>
        <v/>
      </c>
      <c r="DC345" s="81" t="str">
        <f aca="false">IF(ISBLANK($C345),"",IFERROR(_xlfn.SWITCH($DB345,Constants!$B$7,COUNTA($C$9:$C$508)+2,Constants!$B$6,COUNTA($C$9:$C$508)+1,Constants!$B$5,COUNTA($C$9:$C$508)),$DB345))</f>
        <v/>
      </c>
      <c r="DD345" s="7"/>
      <c r="DE345" s="82" t="n">
        <f aca="false">IF(OR(ISNUMBER($DB345),$DB345=Constants!$B$7,$DB345=Constants!$B$5,$DB345=Constants!$B$6),1,0)</f>
        <v>0</v>
      </c>
      <c r="DF345" s="82" t="n">
        <v>337</v>
      </c>
      <c r="DG345" s="82" t="str">
        <f aca="false">IF(ISBLANK($C345),"",IF(ISNUMBER($DC345),$DC345+ROW($B345)/1000,""))</f>
        <v/>
      </c>
      <c r="DH345" s="82" t="str">
        <f aca="false">IF(ISNUMBER($DG345),RANK($DG345,$DG$9:$DG$508,1),"")</f>
        <v/>
      </c>
      <c r="DI345" s="82" t="str">
        <f aca="false">IF(ISBLANK($C345),"",$B345)</f>
        <v/>
      </c>
      <c r="DJ345" s="82" t="str">
        <f aca="false">IF(ISBLANK($C345),"",$C345)</f>
        <v/>
      </c>
      <c r="DK345" s="82" t="str">
        <f aca="false">IF(ISBLANK($C345),"",$D345)</f>
        <v/>
      </c>
      <c r="DL345" s="83" t="str">
        <f aca="false">$CZ345</f>
        <v/>
      </c>
      <c r="DM345" s="84" t="str">
        <f aca="false">$CY345</f>
        <v/>
      </c>
      <c r="DN345" s="82" t="str">
        <f aca="false">IF(ISBLANK($C345),"",$DB345)</f>
        <v/>
      </c>
      <c r="DO345" s="85" t="str">
        <f aca="false">IF($DF345&gt;$DE$8,"",VLOOKUP($DF345,$DH$9:$DN$508,7,FALSE()))</f>
        <v/>
      </c>
      <c r="DP345" s="86" t="str">
        <f aca="false">IF($DF345&gt;$DE$8,"",VLOOKUP($DF345,$DH$9:$DN$508,2,FALSE()))</f>
        <v/>
      </c>
      <c r="DQ345" s="86" t="str">
        <f aca="false">IF($DF345&gt;$DE$8,"",VLOOKUP($DF345,$DH$9:$DN$508,3,FALSE()))</f>
        <v/>
      </c>
      <c r="DR345" s="86" t="str">
        <f aca="false">IF($DF345&gt;$DE$8,"",VLOOKUP($DF345,$DH$9:$DN$508,4,FALSE()))</f>
        <v/>
      </c>
      <c r="DS345" s="86" t="str">
        <f aca="false">IF($DF345&gt;$DE$8,"",VLOOKUP($DF345,$DH$9:$DN$508,5,FALSE()))</f>
        <v/>
      </c>
      <c r="DT345" s="87" t="str">
        <f aca="false">IF($DF345&gt;$DE$8,"",VLOOKUP($DF345,$DH$9:$DN$508,6,FALSE()))</f>
        <v/>
      </c>
      <c r="DU345" s="62"/>
    </row>
    <row r="346" customFormat="false" ht="15.75" hidden="false" customHeight="false" outlineLevel="0" collapsed="false">
      <c r="A346" s="7"/>
      <c r="B346" s="64"/>
      <c r="C346" s="65"/>
      <c r="D346" s="123"/>
      <c r="E346" s="88"/>
      <c r="F346" s="134"/>
      <c r="G346" s="88"/>
      <c r="H346" s="134"/>
      <c r="I346" s="119"/>
      <c r="J346" s="119"/>
      <c r="K346" s="119"/>
      <c r="L346" s="88"/>
      <c r="M346" s="88"/>
      <c r="N346" s="88"/>
      <c r="O346" s="134"/>
      <c r="P346" s="88"/>
      <c r="Q346" s="88"/>
      <c r="R346" s="88"/>
      <c r="S346" s="88"/>
      <c r="T346" s="134"/>
      <c r="U346" s="88"/>
      <c r="V346" s="70"/>
      <c r="W346" s="88"/>
      <c r="X346" s="88"/>
      <c r="Y346" s="70"/>
      <c r="Z346" s="70"/>
      <c r="AA346" s="88"/>
      <c r="AB346" s="88"/>
      <c r="AC346" s="71"/>
      <c r="AD346" s="88"/>
      <c r="AE346" s="73"/>
      <c r="AF346" s="74"/>
      <c r="AG346" s="74"/>
      <c r="AH346" s="74" t="str">
        <f aca="false">IF(ISBLANK($C346),"",IF($E346=Constants!$B$2,TRUE(),IF($E346=Constants!$B$3,FALSE(),TRUE())))</f>
        <v/>
      </c>
      <c r="AI346" s="74" t="str">
        <f aca="false">IF(ISBLANK($C346),"",IF($F346=Constants!$B$2,TRUE(),IF($F346=Constants!$B$3,FALSE(),FALSE())))</f>
        <v/>
      </c>
      <c r="AJ346" s="74" t="str">
        <f aca="false">IF(ISBLANK($C346),"",IF($G346=Constants!$B$2,TRUE(),IF($G346=Constants!$B$3,FALSE(),TRUE())))</f>
        <v/>
      </c>
      <c r="AK346" s="74" t="str">
        <f aca="false">IF(ISBLANK($C346),"",IF($H346=Constants!$B$2,TRUE(),IF($H346=Constants!$B$3,FALSE(),TRUE())))</f>
        <v/>
      </c>
      <c r="AL346" s="74" t="str">
        <f aca="false">IF(ISBLANK($C346),"",IF(ISNUMBER($I346),IF($I346&gt;=0,$I346,""),""))</f>
        <v/>
      </c>
      <c r="AM346" s="74" t="str">
        <f aca="false">IF(ISBLANK($C346),"",IF(ISNUMBER($J346),IF($J346&gt;=0,$J346,""),""))</f>
        <v/>
      </c>
      <c r="AN346" s="74" t="str">
        <f aca="false">IF(ISBLANK($C346),"",IF(ISNUMBER($K346),IF($K346&gt;=0,$K346,""),""))</f>
        <v/>
      </c>
      <c r="AO346" s="74" t="str">
        <f aca="false">IF(ISBLANK($C346),"",IF($L346=Constants!$B$2,TRUE(),IF($L346=Constants!$B$3,FALSE(),TRUE())))</f>
        <v/>
      </c>
      <c r="AP346" s="74" t="str">
        <f aca="false">IF(ISBLANK($C346),"",IF($M346=Constants!$B$2,TRUE(),IF($M346=Constants!$B$3,FALSE(),TRUE())))</f>
        <v/>
      </c>
      <c r="AQ346" s="74" t="str">
        <f aca="false">IF(ISBLANK($C346),"",IF($N346=Constants!$B$2,TRUE(),IF($N346=Constants!$B$3,FALSE(),FALSE())))</f>
        <v/>
      </c>
      <c r="AR346" s="74" t="str">
        <f aca="false">IF(ISBLANK($C346),"",IF($O346=Constants!$B$2,TRUE(),IF($O346=Constants!$B$3,FALSE(),TRUE())))</f>
        <v/>
      </c>
      <c r="AS346" s="74" t="str">
        <f aca="false">IF(ISBLANK($C346),"",IF($P346=Constants!$B$2,TRUE(),IF($P346=Constants!$B$3,FALSE(),FALSE())))</f>
        <v/>
      </c>
      <c r="AT346" s="74" t="str">
        <f aca="false">IF(ISBLANK($C346),"",IF($Q346=Constants!$B$2,TRUE(),IF($Q346=Constants!$B$3,FALSE(),FALSE())))</f>
        <v/>
      </c>
      <c r="AU346" s="74" t="str">
        <f aca="false">IF(ISBLANK($C346),"",IF($R346=Constants!$B$2,TRUE(),IF($R346=Constants!$B$3,FALSE(),FALSE())))</f>
        <v/>
      </c>
      <c r="AV346" s="74" t="str">
        <f aca="false">IF(ISBLANK($C346),"",IF($S346=Constants!$B$2,TRUE(),IF($S346=Constants!$B$3,FALSE(),FALSE())))</f>
        <v/>
      </c>
      <c r="AW346" s="74" t="str">
        <f aca="false">IF(ISBLANK($C346),"",IF($T346=Constants!$B$2,TRUE(),IF($T346=Constants!$B$3,FALSE(),FALSE())))</f>
        <v/>
      </c>
      <c r="AX346" s="74" t="str">
        <f aca="false">IF(ISBLANK($C346),"",IF(OR($U346&amp;""="1",$U346&amp;""="2",$U346&amp;""="3",$U346&amp;""="4"),VALUE($U346&amp;""),IF($U346=Constants!$B$12,Constants!$B$12,"")))</f>
        <v/>
      </c>
      <c r="AY346" s="74" t="str">
        <f aca="false">IF(ISBLANK($C346),"",IF(ISBLANK($V346),0,IF(ISNUMBER($V346),IF(AND($V346&gt;=0,$V346&lt;=Constants!$B$21,$V346=INT($V346)),$V346,""),"")))</f>
        <v/>
      </c>
      <c r="AZ346" s="74" t="str">
        <f aca="false">IF(ISBLANK($C346),"",IF(ISBLANK($W346),0,IF(ISNUMBER($W346),IF($W346&gt;=0,$W346,""),"")))</f>
        <v/>
      </c>
      <c r="BA346" s="74" t="str">
        <f aca="false">IF(ISBLANK($C346),"",IF($X346=Constants!$B$2,TRUE(),IF($X346=Constants!$B$3,FALSE(),TRUE())))</f>
        <v/>
      </c>
      <c r="BB346" s="74" t="str">
        <f aca="false">IF(ISBLANK($C346),"",IF($Y346=Constants!$B$2,TRUE(),IF($Y346=Constants!$B$3,FALSE(),FALSE())))</f>
        <v/>
      </c>
      <c r="BC346" s="74" t="str">
        <f aca="false">IF(ISBLANK($C346),"",IF(ISBLANK($Z346),0,IF(ISNUMBER($Z346),IF(AND($Z346&gt;=0,$Z346&lt;=Constants!$B$35,$Z346=INT($Z346)),$Z346,""),"")))</f>
        <v/>
      </c>
      <c r="BD346" s="74" t="str">
        <f aca="false">IF(ISBLANK($C346),"",IF($AA346=Constants!$B$2,TRUE(),IF($AA346=Constants!$B$3,FALSE(),TRUE())))</f>
        <v/>
      </c>
      <c r="BE346" s="74" t="str">
        <f aca="false">IF(ISBLANK($C346),"",IF($AB346=Constants!$B$2,TRUE(),IF($AB346=Constants!$B$3,FALSE(),TRUE())))</f>
        <v/>
      </c>
      <c r="BF346" s="74" t="str">
        <f aca="false">IF(ISBLANK($C346),"",IF(ISNUMBER($AC346),IF($AC346&gt;=0,$AC346,""),""))</f>
        <v/>
      </c>
      <c r="BG346" s="74" t="str">
        <f aca="false">IF(ISBLANK($C346),"",IF($AD346=Constants!$B$2,TRUE(),IF($AD346=Constants!$B$3,FALSE(),FALSE())))</f>
        <v/>
      </c>
      <c r="BH346" s="73" t="str">
        <f aca="false">IF(ISBLANK($C346),"",IF($BG346,Constants!$B$7,IF(COUNTA($E346:$AC346)=0,Constants!$B$6,IF(OR(COUNTA($G346:$AC346)=0,NOT($AK346),$AQ346),Constants!$B$5,IF(OR($CI346&lt;&gt;"",$CJ346,$CK346,$CL346,$CM346,$CN346,$CO346),Constants!$B$8,Constants!$B$4)))))</f>
        <v/>
      </c>
      <c r="BI346" s="74" t="str">
        <f aca="false">IF(ISBLANK($C346),"",IF($BH346&lt;&gt;Constants!$B$4,$BH346,IF(OR(NOT($AH346),NOT($AJ346),NOT($AR346)),Constants!$B$11,IF(OR(NOT($AP346),MAX($AL346,$AM346,$AN346)&gt;Constants!$B$30),Constants!$B$10,Constants!$B$9))))</f>
        <v/>
      </c>
      <c r="BJ346" s="74" t="str">
        <f aca="false">IF($BH346&lt;&gt;Constants!$B$4,"",IF(NOT($AJ346),0,MIN(Constants!$B$35,$BC346)))</f>
        <v/>
      </c>
      <c r="BK346" s="74" t="str">
        <f aca="false">IF($BH346&lt;&gt;Constants!$B$4,"",IF(NOT($AJ346),0,IF($AT346,Constants!$B$18,IF($AS346,Constants!$B$17,0))))</f>
        <v/>
      </c>
      <c r="BL346" s="74" t="str">
        <f aca="false">IF($BH346&lt;&gt;Constants!$B$4,"",IF(NOT($AJ346),0,Constants!$B$19*($AI346+$AU346+$AV346+$AW346)))</f>
        <v/>
      </c>
      <c r="BM346" s="74" t="str">
        <f aca="false">IF($BH346&lt;&gt;Constants!$B$4,"",IF(OR(NOT($AJ346),NOT(ISNUMBER($AX346))),0,CHOOSE($AX346,Constants!$B$13,Constants!$B$14,Constants!$B$15,Constants!$B$16)))</f>
        <v/>
      </c>
      <c r="BN346" s="74" t="str">
        <f aca="false">IF($BH346&lt;&gt;Constants!$B$4,"",IF(NOT($AJ346),0,Constants!$B$20*$AY346))</f>
        <v/>
      </c>
      <c r="BO346" s="74" t="str">
        <f aca="false">IF($BH346&lt;&gt;Constants!$B$4,"",IF(AND($AJ346,$BA346,$BB346),Constants!$B$22,0))</f>
        <v/>
      </c>
      <c r="BP346" s="74" t="str">
        <f aca="false">IF($BH346&lt;&gt;Constants!$B$4,"",IF(OR(NOT($AJ346),NOT($BA346)),0,IF($BF346&gt;=2*$AF$9,0,Constants!$B$23*INT(ROUND(MIN($BF346,$AF$9),6)))))</f>
        <v/>
      </c>
      <c r="BQ346" s="74" t="str">
        <f aca="false">IF($BH346&lt;&gt;Constants!$B$4,"",IF(NOT($AJ346),0,Constants!$B$24*INT(ROUND(MIN($AZ346,$AF$9),6))))</f>
        <v/>
      </c>
      <c r="BR346" s="74" t="str">
        <f aca="false">IF($BH346&lt;&gt;Constants!$B$4,"",IF(AND($AJ346,$BJ346=0),Constants!$B$25,0))</f>
        <v/>
      </c>
      <c r="BS346" s="74" t="str">
        <f aca="false">IF($BH346&lt;&gt;Constants!$B$4,"",MIN(Constants!$B$29,MAX(0,Constants!$B$27*Constants!$B$28*INT(ROUND((Constants!$B$26-$AL346)/Constants!$B$28,6))))+MIN(Constants!$B$29,MAX(0,Constants!$B$27*Constants!$B$28*INT(ROUND((Constants!$B$26-$AM346)/Constants!$B$28,6))))+MIN(Constants!$B$29,MAX(0,Constants!$B$27*Constants!$B$28*INT(ROUND((Constants!$B$26-$AN346)/Constants!$B$28,6)))))</f>
        <v/>
      </c>
      <c r="BT346" s="74" t="str">
        <f aca="false">IF($BH346&lt;&gt;Constants!$B$4,"",IF(NOT($AJ346),0,Constants!$B$31*INT(ROUND(MAX(0,MIN($BF346,2*$AF$9)-$AF$9),6))))</f>
        <v/>
      </c>
      <c r="BU346" s="74" t="str">
        <f aca="false">IF($BH346&lt;&gt;Constants!$B$4,"",Constants!$B$32*(($AL346&gt;Constants!$B$26)+($AM346&gt;Constants!$B$26)+($AN346&gt;Constants!$B$26)))</f>
        <v/>
      </c>
      <c r="BV346" s="74" t="str">
        <f aca="false">IF($BH346&lt;&gt;Constants!$B$4,"",IF(OR(NOT($AJ346),$AO346),0,Constants!$B$33))</f>
        <v/>
      </c>
      <c r="BW346" s="74" t="str">
        <f aca="false">IF($BH346&lt;&gt;Constants!$B$4,"",Constants!$B$34*$BJ346)</f>
        <v/>
      </c>
      <c r="BX346" s="74" t="str">
        <f aca="false">IF($BH346&lt;&gt;Constants!$B$4,"",IF(OR(NOT($AJ346),$BE346),0,Constants!$B$36))</f>
        <v/>
      </c>
      <c r="BY346" s="74" t="str">
        <f aca="false">IF($BH346&lt;&gt;Constants!$B$4,"",IF(OR(NOT($AJ346),$BD346),0,Constants!$B$37))</f>
        <v/>
      </c>
      <c r="BZ346" s="74" t="str">
        <f aca="false">IF($BH346&lt;&gt;Constants!$B$4,"",SUM($BT346:$BY346))</f>
        <v/>
      </c>
      <c r="CA346" s="74" t="str">
        <f aca="false">IF(ISBLANK($C346),"",IF($BH346&lt;&gt;Constants!$B$4,$BH346,SUM($BK346:$BS346)-$BZ346))</f>
        <v/>
      </c>
      <c r="CB346" s="74" t="str">
        <f aca="false">IF(ISBLANK($C346),"",IF($BH346&lt;&gt;Constants!$B$4,$BH346,RANK($CA346,$CA$9:$CA$508)))</f>
        <v/>
      </c>
      <c r="CC346" s="74" t="str">
        <f aca="false">IF(ISBLANK($C346),"",IF($BH346&lt;&gt;Constants!$B$4,$BH346,COUNTIFS($BI$9:$BI$508,"&lt;"&amp;$BI346)+COUNTIFS($BI$9:$BI$508,$BI346,$CB$9:$CB$508,"&lt;"&amp;$CB346)+1))</f>
        <v/>
      </c>
      <c r="CD346" s="74" t="str">
        <f aca="false">IF(ISBLANK($C346),"",IF($BH346&lt;&gt;Constants!$B$4,$BH346,RANK($BZ346,$BZ$9:$BZ$508,1)))</f>
        <v/>
      </c>
      <c r="CE346" s="74" t="str">
        <f aca="false">IF($BH346&lt;&gt;Constants!$B$4,"",$AL346+$AM346+$AN346)</f>
        <v/>
      </c>
      <c r="CF346" s="74" t="str">
        <f aca="false">IF(ISBLANK($C346),"",IF($BH346&lt;&gt;Constants!$B$4,$BH346,RANK($CE346,$CE$9:$CE$508,1)))</f>
        <v/>
      </c>
      <c r="CG346" s="74" t="str">
        <f aca="false">IF(ISBLANK($C346),"",IF($BH346&lt;&gt;Constants!$B$4,$BH346,COUNTIFS($BI$9:$BI$508,"&lt;"&amp;$BI346)+COUNTIFS($BI$9:$BI$508,$BI346,$CB$9:$CB$508,"&lt;"&amp;$CB346)+COUNTIFS($BI$9:$BI$508,$BI346,$CB$9:$CB$508,$CB346,$CD$9:$CD$508,"&lt;"&amp;$CD346)+COUNTIFS($BI$9:$BI$508,$BI346,$CB$9:$CB$508,$CB346,$CD$9:$CD$508,$CD346,$CF$9:$CF$508,"&lt;"&amp;$CF346)+1))</f>
        <v/>
      </c>
      <c r="CH346" s="74" t="str">
        <f aca="false">IF(ISBLANK($C346),"",IF($BH346&lt;&gt;Constants!$B$4,$BH346,$CC346-$CG346))</f>
        <v/>
      </c>
      <c r="CI346" s="74" t="str">
        <f aca="false">IF(ISBLANK($C346),"",IF(NOT($AJ346),"",IF(ISBLANK($D$7),$CI$5,IF(NOT(ISNUMBER($D$7)),$CI$6,""))))</f>
        <v/>
      </c>
      <c r="CJ346" s="74" t="str">
        <f aca="false">IF(ISBLANK($C346),"",OR($AL346="",$AM346="",$AN346=""))</f>
        <v/>
      </c>
      <c r="CK346" s="74" t="str">
        <f aca="false">IF(ISBLANK($C346),"",AND($AJ346,$AX346=""))</f>
        <v/>
      </c>
      <c r="CL346" s="74" t="str">
        <f aca="false">IF(ISBLANK($C346),"",AND($AJ346,$AY346=""))</f>
        <v/>
      </c>
      <c r="CM346" s="74" t="str">
        <f aca="false">IF(ISBLANK($C346),"",AND($AJ346,$AZ346=""))</f>
        <v/>
      </c>
      <c r="CN346" s="74" t="str">
        <f aca="false">IF(ISBLANK($C346),"",AND($AJ346,$BC346=""))</f>
        <v/>
      </c>
      <c r="CO346" s="74" t="str">
        <f aca="false">IF(ISBLANK($C346),"",AND($AJ346,$BF346=""))</f>
        <v/>
      </c>
      <c r="CP346" s="75"/>
      <c r="CQ346" s="76"/>
      <c r="CR346" s="79" t="str">
        <f aca="false">IF(ISBLANK($C346),"",IF($BH346=Constants!$B$8,$CI346,""))</f>
        <v/>
      </c>
      <c r="CS346" s="76" t="str">
        <f aca="false">IF(ISBLANK($C346),"",IF($BH346&lt;&gt;Constants!$B$4,"",$BK346+$BL346))</f>
        <v/>
      </c>
      <c r="CT346" s="78" t="str">
        <f aca="false">IF(ISBLANK($C346),"",IF($BH346&lt;&gt;Constants!$B$4,"",$BM346+$BN346+$BO346))</f>
        <v/>
      </c>
      <c r="CU346" s="78" t="str">
        <f aca="false">IF(ISBLANK($C346),"",IF($BH346&lt;&gt;Constants!$B$4,"",$BP346))</f>
        <v/>
      </c>
      <c r="CV346" s="78" t="str">
        <f aca="false">IF(ISBLANK($C346),"",IF($BH346&lt;&gt;Constants!$B$4,"",$BQ346+$BR346))</f>
        <v/>
      </c>
      <c r="CW346" s="78" t="str">
        <f aca="false">IF(ISBLANK($C346),"",IF($BH346&lt;&gt;Constants!$B$4,"",$BS346))</f>
        <v/>
      </c>
      <c r="CX346" s="78" t="str">
        <f aca="false">IF(ISBLANK($C346),"",IF($BH346&lt;&gt;Constants!$B$4,"",-$BZ346))</f>
        <v/>
      </c>
      <c r="CY346" s="79" t="str">
        <f aca="false">IF(ISBLANK($C346),"",$CA346)</f>
        <v/>
      </c>
      <c r="CZ346" s="80" t="str">
        <f aca="false">IF(ISBLANK($C346),"",$BI346)</f>
        <v/>
      </c>
      <c r="DA346" s="78" t="str">
        <f aca="false">IF(ISBLANK($C346),"",$CH346)</f>
        <v/>
      </c>
      <c r="DB346" s="78" t="str">
        <f aca="false">IF(ISBLANK($C346),"",$CG346)</f>
        <v/>
      </c>
      <c r="DC346" s="81" t="str">
        <f aca="false">IF(ISBLANK($C346),"",IFERROR(_xlfn.SWITCH($DB346,Constants!$B$7,COUNTA($C$9:$C$508)+2,Constants!$B$6,COUNTA($C$9:$C$508)+1,Constants!$B$5,COUNTA($C$9:$C$508)),$DB346))</f>
        <v/>
      </c>
      <c r="DD346" s="7"/>
      <c r="DE346" s="82" t="n">
        <f aca="false">IF(OR(ISNUMBER($DB346),$DB346=Constants!$B$7,$DB346=Constants!$B$5,$DB346=Constants!$B$6),1,0)</f>
        <v>0</v>
      </c>
      <c r="DF346" s="82" t="n">
        <v>338</v>
      </c>
      <c r="DG346" s="82" t="str">
        <f aca="false">IF(ISBLANK($C346),"",IF(ISNUMBER($DC346),$DC346+ROW($B346)/1000,""))</f>
        <v/>
      </c>
      <c r="DH346" s="82" t="str">
        <f aca="false">IF(ISNUMBER($DG346),RANK($DG346,$DG$9:$DG$508,1),"")</f>
        <v/>
      </c>
      <c r="DI346" s="82" t="str">
        <f aca="false">IF(ISBLANK($C346),"",$B346)</f>
        <v/>
      </c>
      <c r="DJ346" s="82" t="str">
        <f aca="false">IF(ISBLANK($C346),"",$C346)</f>
        <v/>
      </c>
      <c r="DK346" s="82" t="str">
        <f aca="false">IF(ISBLANK($C346),"",$D346)</f>
        <v/>
      </c>
      <c r="DL346" s="83" t="str">
        <f aca="false">$CZ346</f>
        <v/>
      </c>
      <c r="DM346" s="84" t="str">
        <f aca="false">$CY346</f>
        <v/>
      </c>
      <c r="DN346" s="82" t="str">
        <f aca="false">IF(ISBLANK($C346),"",$DB346)</f>
        <v/>
      </c>
      <c r="DO346" s="85" t="str">
        <f aca="false">IF($DF346&gt;$DE$8,"",VLOOKUP($DF346,$DH$9:$DN$508,7,FALSE()))</f>
        <v/>
      </c>
      <c r="DP346" s="86" t="str">
        <f aca="false">IF($DF346&gt;$DE$8,"",VLOOKUP($DF346,$DH$9:$DN$508,2,FALSE()))</f>
        <v/>
      </c>
      <c r="DQ346" s="86" t="str">
        <f aca="false">IF($DF346&gt;$DE$8,"",VLOOKUP($DF346,$DH$9:$DN$508,3,FALSE()))</f>
        <v/>
      </c>
      <c r="DR346" s="86" t="str">
        <f aca="false">IF($DF346&gt;$DE$8,"",VLOOKUP($DF346,$DH$9:$DN$508,4,FALSE()))</f>
        <v/>
      </c>
      <c r="DS346" s="86" t="str">
        <f aca="false">IF($DF346&gt;$DE$8,"",VLOOKUP($DF346,$DH$9:$DN$508,5,FALSE()))</f>
        <v/>
      </c>
      <c r="DT346" s="87" t="str">
        <f aca="false">IF($DF346&gt;$DE$8,"",VLOOKUP($DF346,$DH$9:$DN$508,6,FALSE()))</f>
        <v/>
      </c>
      <c r="DU346" s="62"/>
    </row>
    <row r="347" customFormat="false" ht="15.75" hidden="false" customHeight="false" outlineLevel="0" collapsed="false">
      <c r="A347" s="7"/>
      <c r="B347" s="64"/>
      <c r="C347" s="65"/>
      <c r="D347" s="123"/>
      <c r="E347" s="88"/>
      <c r="F347" s="134"/>
      <c r="G347" s="88"/>
      <c r="H347" s="134"/>
      <c r="I347" s="119"/>
      <c r="J347" s="119"/>
      <c r="K347" s="119"/>
      <c r="L347" s="88"/>
      <c r="M347" s="88"/>
      <c r="N347" s="88"/>
      <c r="O347" s="134"/>
      <c r="P347" s="88"/>
      <c r="Q347" s="88"/>
      <c r="R347" s="88"/>
      <c r="S347" s="88"/>
      <c r="T347" s="134"/>
      <c r="U347" s="88"/>
      <c r="V347" s="70"/>
      <c r="W347" s="88"/>
      <c r="X347" s="88"/>
      <c r="Y347" s="70"/>
      <c r="Z347" s="70"/>
      <c r="AA347" s="88"/>
      <c r="AB347" s="88"/>
      <c r="AC347" s="71"/>
      <c r="AD347" s="88"/>
      <c r="AE347" s="73"/>
      <c r="AF347" s="74"/>
      <c r="AG347" s="74"/>
      <c r="AH347" s="74" t="str">
        <f aca="false">IF(ISBLANK($C347),"",IF($E347=Constants!$B$2,TRUE(),IF($E347=Constants!$B$3,FALSE(),TRUE())))</f>
        <v/>
      </c>
      <c r="AI347" s="74" t="str">
        <f aca="false">IF(ISBLANK($C347),"",IF($F347=Constants!$B$2,TRUE(),IF($F347=Constants!$B$3,FALSE(),FALSE())))</f>
        <v/>
      </c>
      <c r="AJ347" s="74" t="str">
        <f aca="false">IF(ISBLANK($C347),"",IF($G347=Constants!$B$2,TRUE(),IF($G347=Constants!$B$3,FALSE(),TRUE())))</f>
        <v/>
      </c>
      <c r="AK347" s="74" t="str">
        <f aca="false">IF(ISBLANK($C347),"",IF($H347=Constants!$B$2,TRUE(),IF($H347=Constants!$B$3,FALSE(),TRUE())))</f>
        <v/>
      </c>
      <c r="AL347" s="74" t="str">
        <f aca="false">IF(ISBLANK($C347),"",IF(ISNUMBER($I347),IF($I347&gt;=0,$I347,""),""))</f>
        <v/>
      </c>
      <c r="AM347" s="74" t="str">
        <f aca="false">IF(ISBLANK($C347),"",IF(ISNUMBER($J347),IF($J347&gt;=0,$J347,""),""))</f>
        <v/>
      </c>
      <c r="AN347" s="74" t="str">
        <f aca="false">IF(ISBLANK($C347),"",IF(ISNUMBER($K347),IF($K347&gt;=0,$K347,""),""))</f>
        <v/>
      </c>
      <c r="AO347" s="74" t="str">
        <f aca="false">IF(ISBLANK($C347),"",IF($L347=Constants!$B$2,TRUE(),IF($L347=Constants!$B$3,FALSE(),TRUE())))</f>
        <v/>
      </c>
      <c r="AP347" s="74" t="str">
        <f aca="false">IF(ISBLANK($C347),"",IF($M347=Constants!$B$2,TRUE(),IF($M347=Constants!$B$3,FALSE(),TRUE())))</f>
        <v/>
      </c>
      <c r="AQ347" s="74" t="str">
        <f aca="false">IF(ISBLANK($C347),"",IF($N347=Constants!$B$2,TRUE(),IF($N347=Constants!$B$3,FALSE(),FALSE())))</f>
        <v/>
      </c>
      <c r="AR347" s="74" t="str">
        <f aca="false">IF(ISBLANK($C347),"",IF($O347=Constants!$B$2,TRUE(),IF($O347=Constants!$B$3,FALSE(),TRUE())))</f>
        <v/>
      </c>
      <c r="AS347" s="74" t="str">
        <f aca="false">IF(ISBLANK($C347),"",IF($P347=Constants!$B$2,TRUE(),IF($P347=Constants!$B$3,FALSE(),FALSE())))</f>
        <v/>
      </c>
      <c r="AT347" s="74" t="str">
        <f aca="false">IF(ISBLANK($C347),"",IF($Q347=Constants!$B$2,TRUE(),IF($Q347=Constants!$B$3,FALSE(),FALSE())))</f>
        <v/>
      </c>
      <c r="AU347" s="74" t="str">
        <f aca="false">IF(ISBLANK($C347),"",IF($R347=Constants!$B$2,TRUE(),IF($R347=Constants!$B$3,FALSE(),FALSE())))</f>
        <v/>
      </c>
      <c r="AV347" s="74" t="str">
        <f aca="false">IF(ISBLANK($C347),"",IF($S347=Constants!$B$2,TRUE(),IF($S347=Constants!$B$3,FALSE(),FALSE())))</f>
        <v/>
      </c>
      <c r="AW347" s="74" t="str">
        <f aca="false">IF(ISBLANK($C347),"",IF($T347=Constants!$B$2,TRUE(),IF($T347=Constants!$B$3,FALSE(),FALSE())))</f>
        <v/>
      </c>
      <c r="AX347" s="74" t="str">
        <f aca="false">IF(ISBLANK($C347),"",IF(OR($U347&amp;""="1",$U347&amp;""="2",$U347&amp;""="3",$U347&amp;""="4"),VALUE($U347&amp;""),IF($U347=Constants!$B$12,Constants!$B$12,"")))</f>
        <v/>
      </c>
      <c r="AY347" s="74" t="str">
        <f aca="false">IF(ISBLANK($C347),"",IF(ISBLANK($V347),0,IF(ISNUMBER($V347),IF(AND($V347&gt;=0,$V347&lt;=Constants!$B$21,$V347=INT($V347)),$V347,""),"")))</f>
        <v/>
      </c>
      <c r="AZ347" s="74" t="str">
        <f aca="false">IF(ISBLANK($C347),"",IF(ISBLANK($W347),0,IF(ISNUMBER($W347),IF($W347&gt;=0,$W347,""),"")))</f>
        <v/>
      </c>
      <c r="BA347" s="74" t="str">
        <f aca="false">IF(ISBLANK($C347),"",IF($X347=Constants!$B$2,TRUE(),IF($X347=Constants!$B$3,FALSE(),TRUE())))</f>
        <v/>
      </c>
      <c r="BB347" s="74" t="str">
        <f aca="false">IF(ISBLANK($C347),"",IF($Y347=Constants!$B$2,TRUE(),IF($Y347=Constants!$B$3,FALSE(),FALSE())))</f>
        <v/>
      </c>
      <c r="BC347" s="74" t="str">
        <f aca="false">IF(ISBLANK($C347),"",IF(ISBLANK($Z347),0,IF(ISNUMBER($Z347),IF(AND($Z347&gt;=0,$Z347&lt;=Constants!$B$35,$Z347=INT($Z347)),$Z347,""),"")))</f>
        <v/>
      </c>
      <c r="BD347" s="74" t="str">
        <f aca="false">IF(ISBLANK($C347),"",IF($AA347=Constants!$B$2,TRUE(),IF($AA347=Constants!$B$3,FALSE(),TRUE())))</f>
        <v/>
      </c>
      <c r="BE347" s="74" t="str">
        <f aca="false">IF(ISBLANK($C347),"",IF($AB347=Constants!$B$2,TRUE(),IF($AB347=Constants!$B$3,FALSE(),TRUE())))</f>
        <v/>
      </c>
      <c r="BF347" s="74" t="str">
        <f aca="false">IF(ISBLANK($C347),"",IF(ISNUMBER($AC347),IF($AC347&gt;=0,$AC347,""),""))</f>
        <v/>
      </c>
      <c r="BG347" s="74" t="str">
        <f aca="false">IF(ISBLANK($C347),"",IF($AD347=Constants!$B$2,TRUE(),IF($AD347=Constants!$B$3,FALSE(),FALSE())))</f>
        <v/>
      </c>
      <c r="BH347" s="73" t="str">
        <f aca="false">IF(ISBLANK($C347),"",IF($BG347,Constants!$B$7,IF(COUNTA($E347:$AC347)=0,Constants!$B$6,IF(OR(COUNTA($G347:$AC347)=0,NOT($AK347),$AQ347),Constants!$B$5,IF(OR($CI347&lt;&gt;"",$CJ347,$CK347,$CL347,$CM347,$CN347,$CO347),Constants!$B$8,Constants!$B$4)))))</f>
        <v/>
      </c>
      <c r="BI347" s="74" t="str">
        <f aca="false">IF(ISBLANK($C347),"",IF($BH347&lt;&gt;Constants!$B$4,$BH347,IF(OR(NOT($AH347),NOT($AJ347),NOT($AR347)),Constants!$B$11,IF(OR(NOT($AP347),MAX($AL347,$AM347,$AN347)&gt;Constants!$B$30),Constants!$B$10,Constants!$B$9))))</f>
        <v/>
      </c>
      <c r="BJ347" s="74" t="str">
        <f aca="false">IF($BH347&lt;&gt;Constants!$B$4,"",IF(NOT($AJ347),0,MIN(Constants!$B$35,$BC347)))</f>
        <v/>
      </c>
      <c r="BK347" s="74" t="str">
        <f aca="false">IF($BH347&lt;&gt;Constants!$B$4,"",IF(NOT($AJ347),0,IF($AT347,Constants!$B$18,IF($AS347,Constants!$B$17,0))))</f>
        <v/>
      </c>
      <c r="BL347" s="74" t="str">
        <f aca="false">IF($BH347&lt;&gt;Constants!$B$4,"",IF(NOT($AJ347),0,Constants!$B$19*($AI347+$AU347+$AV347+$AW347)))</f>
        <v/>
      </c>
      <c r="BM347" s="74" t="str">
        <f aca="false">IF($BH347&lt;&gt;Constants!$B$4,"",IF(OR(NOT($AJ347),NOT(ISNUMBER($AX347))),0,CHOOSE($AX347,Constants!$B$13,Constants!$B$14,Constants!$B$15,Constants!$B$16)))</f>
        <v/>
      </c>
      <c r="BN347" s="74" t="str">
        <f aca="false">IF($BH347&lt;&gt;Constants!$B$4,"",IF(NOT($AJ347),0,Constants!$B$20*$AY347))</f>
        <v/>
      </c>
      <c r="BO347" s="74" t="str">
        <f aca="false">IF($BH347&lt;&gt;Constants!$B$4,"",IF(AND($AJ347,$BA347,$BB347),Constants!$B$22,0))</f>
        <v/>
      </c>
      <c r="BP347" s="74" t="str">
        <f aca="false">IF($BH347&lt;&gt;Constants!$B$4,"",IF(OR(NOT($AJ347),NOT($BA347)),0,IF($BF347&gt;=2*$AF$9,0,Constants!$B$23*INT(ROUND(MIN($BF347,$AF$9),6)))))</f>
        <v/>
      </c>
      <c r="BQ347" s="74" t="str">
        <f aca="false">IF($BH347&lt;&gt;Constants!$B$4,"",IF(NOT($AJ347),0,Constants!$B$24*INT(ROUND(MIN($AZ347,$AF$9),6))))</f>
        <v/>
      </c>
      <c r="BR347" s="74" t="str">
        <f aca="false">IF($BH347&lt;&gt;Constants!$B$4,"",IF(AND($AJ347,$BJ347=0),Constants!$B$25,0))</f>
        <v/>
      </c>
      <c r="BS347" s="74" t="str">
        <f aca="false">IF($BH347&lt;&gt;Constants!$B$4,"",MIN(Constants!$B$29,MAX(0,Constants!$B$27*Constants!$B$28*INT(ROUND((Constants!$B$26-$AL347)/Constants!$B$28,6))))+MIN(Constants!$B$29,MAX(0,Constants!$B$27*Constants!$B$28*INT(ROUND((Constants!$B$26-$AM347)/Constants!$B$28,6))))+MIN(Constants!$B$29,MAX(0,Constants!$B$27*Constants!$B$28*INT(ROUND((Constants!$B$26-$AN347)/Constants!$B$28,6)))))</f>
        <v/>
      </c>
      <c r="BT347" s="74" t="str">
        <f aca="false">IF($BH347&lt;&gt;Constants!$B$4,"",IF(NOT($AJ347),0,Constants!$B$31*INT(ROUND(MAX(0,MIN($BF347,2*$AF$9)-$AF$9),6))))</f>
        <v/>
      </c>
      <c r="BU347" s="74" t="str">
        <f aca="false">IF($BH347&lt;&gt;Constants!$B$4,"",Constants!$B$32*(($AL347&gt;Constants!$B$26)+($AM347&gt;Constants!$B$26)+($AN347&gt;Constants!$B$26)))</f>
        <v/>
      </c>
      <c r="BV347" s="74" t="str">
        <f aca="false">IF($BH347&lt;&gt;Constants!$B$4,"",IF(OR(NOT($AJ347),$AO347),0,Constants!$B$33))</f>
        <v/>
      </c>
      <c r="BW347" s="74" t="str">
        <f aca="false">IF($BH347&lt;&gt;Constants!$B$4,"",Constants!$B$34*$BJ347)</f>
        <v/>
      </c>
      <c r="BX347" s="74" t="str">
        <f aca="false">IF($BH347&lt;&gt;Constants!$B$4,"",IF(OR(NOT($AJ347),$BE347),0,Constants!$B$36))</f>
        <v/>
      </c>
      <c r="BY347" s="74" t="str">
        <f aca="false">IF($BH347&lt;&gt;Constants!$B$4,"",IF(OR(NOT($AJ347),$BD347),0,Constants!$B$37))</f>
        <v/>
      </c>
      <c r="BZ347" s="74" t="str">
        <f aca="false">IF($BH347&lt;&gt;Constants!$B$4,"",SUM($BT347:$BY347))</f>
        <v/>
      </c>
      <c r="CA347" s="74" t="str">
        <f aca="false">IF(ISBLANK($C347),"",IF($BH347&lt;&gt;Constants!$B$4,$BH347,SUM($BK347:$BS347)-$BZ347))</f>
        <v/>
      </c>
      <c r="CB347" s="74" t="str">
        <f aca="false">IF(ISBLANK($C347),"",IF($BH347&lt;&gt;Constants!$B$4,$BH347,RANK($CA347,$CA$9:$CA$508)))</f>
        <v/>
      </c>
      <c r="CC347" s="74" t="str">
        <f aca="false">IF(ISBLANK($C347),"",IF($BH347&lt;&gt;Constants!$B$4,$BH347,COUNTIFS($BI$9:$BI$508,"&lt;"&amp;$BI347)+COUNTIFS($BI$9:$BI$508,$BI347,$CB$9:$CB$508,"&lt;"&amp;$CB347)+1))</f>
        <v/>
      </c>
      <c r="CD347" s="74" t="str">
        <f aca="false">IF(ISBLANK($C347),"",IF($BH347&lt;&gt;Constants!$B$4,$BH347,RANK($BZ347,$BZ$9:$BZ$508,1)))</f>
        <v/>
      </c>
      <c r="CE347" s="74" t="str">
        <f aca="false">IF($BH347&lt;&gt;Constants!$B$4,"",$AL347+$AM347+$AN347)</f>
        <v/>
      </c>
      <c r="CF347" s="74" t="str">
        <f aca="false">IF(ISBLANK($C347),"",IF($BH347&lt;&gt;Constants!$B$4,$BH347,RANK($CE347,$CE$9:$CE$508,1)))</f>
        <v/>
      </c>
      <c r="CG347" s="74" t="str">
        <f aca="false">IF(ISBLANK($C347),"",IF($BH347&lt;&gt;Constants!$B$4,$BH347,COUNTIFS($BI$9:$BI$508,"&lt;"&amp;$BI347)+COUNTIFS($BI$9:$BI$508,$BI347,$CB$9:$CB$508,"&lt;"&amp;$CB347)+COUNTIFS($BI$9:$BI$508,$BI347,$CB$9:$CB$508,$CB347,$CD$9:$CD$508,"&lt;"&amp;$CD347)+COUNTIFS($BI$9:$BI$508,$BI347,$CB$9:$CB$508,$CB347,$CD$9:$CD$508,$CD347,$CF$9:$CF$508,"&lt;"&amp;$CF347)+1))</f>
        <v/>
      </c>
      <c r="CH347" s="74" t="str">
        <f aca="false">IF(ISBLANK($C347),"",IF($BH347&lt;&gt;Constants!$B$4,$BH347,$CC347-$CG347))</f>
        <v/>
      </c>
      <c r="CI347" s="74" t="str">
        <f aca="false">IF(ISBLANK($C347),"",IF(NOT($AJ347),"",IF(ISBLANK($D$7),$CI$5,IF(NOT(ISNUMBER($D$7)),$CI$6,""))))</f>
        <v/>
      </c>
      <c r="CJ347" s="74" t="str">
        <f aca="false">IF(ISBLANK($C347),"",OR($AL347="",$AM347="",$AN347=""))</f>
        <v/>
      </c>
      <c r="CK347" s="74" t="str">
        <f aca="false">IF(ISBLANK($C347),"",AND($AJ347,$AX347=""))</f>
        <v/>
      </c>
      <c r="CL347" s="74" t="str">
        <f aca="false">IF(ISBLANK($C347),"",AND($AJ347,$AY347=""))</f>
        <v/>
      </c>
      <c r="CM347" s="74" t="str">
        <f aca="false">IF(ISBLANK($C347),"",AND($AJ347,$AZ347=""))</f>
        <v/>
      </c>
      <c r="CN347" s="74" t="str">
        <f aca="false">IF(ISBLANK($C347),"",AND($AJ347,$BC347=""))</f>
        <v/>
      </c>
      <c r="CO347" s="74" t="str">
        <f aca="false">IF(ISBLANK($C347),"",AND($AJ347,$BF347=""))</f>
        <v/>
      </c>
      <c r="CP347" s="75"/>
      <c r="CQ347" s="76"/>
      <c r="CR347" s="79" t="str">
        <f aca="false">IF(ISBLANK($C347),"",IF($BH347=Constants!$B$8,$CI347,""))</f>
        <v/>
      </c>
      <c r="CS347" s="76" t="str">
        <f aca="false">IF(ISBLANK($C347),"",IF($BH347&lt;&gt;Constants!$B$4,"",$BK347+$BL347))</f>
        <v/>
      </c>
      <c r="CT347" s="78" t="str">
        <f aca="false">IF(ISBLANK($C347),"",IF($BH347&lt;&gt;Constants!$B$4,"",$BM347+$BN347+$BO347))</f>
        <v/>
      </c>
      <c r="CU347" s="78" t="str">
        <f aca="false">IF(ISBLANK($C347),"",IF($BH347&lt;&gt;Constants!$B$4,"",$BP347))</f>
        <v/>
      </c>
      <c r="CV347" s="78" t="str">
        <f aca="false">IF(ISBLANK($C347),"",IF($BH347&lt;&gt;Constants!$B$4,"",$BQ347+$BR347))</f>
        <v/>
      </c>
      <c r="CW347" s="78" t="str">
        <f aca="false">IF(ISBLANK($C347),"",IF($BH347&lt;&gt;Constants!$B$4,"",$BS347))</f>
        <v/>
      </c>
      <c r="CX347" s="78" t="str">
        <f aca="false">IF(ISBLANK($C347),"",IF($BH347&lt;&gt;Constants!$B$4,"",-$BZ347))</f>
        <v/>
      </c>
      <c r="CY347" s="79" t="str">
        <f aca="false">IF(ISBLANK($C347),"",$CA347)</f>
        <v/>
      </c>
      <c r="CZ347" s="80" t="str">
        <f aca="false">IF(ISBLANK($C347),"",$BI347)</f>
        <v/>
      </c>
      <c r="DA347" s="78" t="str">
        <f aca="false">IF(ISBLANK($C347),"",$CH347)</f>
        <v/>
      </c>
      <c r="DB347" s="78" t="str">
        <f aca="false">IF(ISBLANK($C347),"",$CG347)</f>
        <v/>
      </c>
      <c r="DC347" s="81" t="str">
        <f aca="false">IF(ISBLANK($C347),"",IFERROR(_xlfn.SWITCH($DB347,Constants!$B$7,COUNTA($C$9:$C$508)+2,Constants!$B$6,COUNTA($C$9:$C$508)+1,Constants!$B$5,COUNTA($C$9:$C$508)),$DB347))</f>
        <v/>
      </c>
      <c r="DD347" s="7"/>
      <c r="DE347" s="82" t="n">
        <f aca="false">IF(OR(ISNUMBER($DB347),$DB347=Constants!$B$7,$DB347=Constants!$B$5,$DB347=Constants!$B$6),1,0)</f>
        <v>0</v>
      </c>
      <c r="DF347" s="82" t="n">
        <v>339</v>
      </c>
      <c r="DG347" s="82" t="str">
        <f aca="false">IF(ISBLANK($C347),"",IF(ISNUMBER($DC347),$DC347+ROW($B347)/1000,""))</f>
        <v/>
      </c>
      <c r="DH347" s="82" t="str">
        <f aca="false">IF(ISNUMBER($DG347),RANK($DG347,$DG$9:$DG$508,1),"")</f>
        <v/>
      </c>
      <c r="DI347" s="82" t="str">
        <f aca="false">IF(ISBLANK($C347),"",$B347)</f>
        <v/>
      </c>
      <c r="DJ347" s="82" t="str">
        <f aca="false">IF(ISBLANK($C347),"",$C347)</f>
        <v/>
      </c>
      <c r="DK347" s="82" t="str">
        <f aca="false">IF(ISBLANK($C347),"",$D347)</f>
        <v/>
      </c>
      <c r="DL347" s="83" t="str">
        <f aca="false">$CZ347</f>
        <v/>
      </c>
      <c r="DM347" s="84" t="str">
        <f aca="false">$CY347</f>
        <v/>
      </c>
      <c r="DN347" s="82" t="str">
        <f aca="false">IF(ISBLANK($C347),"",$DB347)</f>
        <v/>
      </c>
      <c r="DO347" s="85" t="str">
        <f aca="false">IF($DF347&gt;$DE$8,"",VLOOKUP($DF347,$DH$9:$DN$508,7,FALSE()))</f>
        <v/>
      </c>
      <c r="DP347" s="86" t="str">
        <f aca="false">IF($DF347&gt;$DE$8,"",VLOOKUP($DF347,$DH$9:$DN$508,2,FALSE()))</f>
        <v/>
      </c>
      <c r="DQ347" s="86" t="str">
        <f aca="false">IF($DF347&gt;$DE$8,"",VLOOKUP($DF347,$DH$9:$DN$508,3,FALSE()))</f>
        <v/>
      </c>
      <c r="DR347" s="86" t="str">
        <f aca="false">IF($DF347&gt;$DE$8,"",VLOOKUP($DF347,$DH$9:$DN$508,4,FALSE()))</f>
        <v/>
      </c>
      <c r="DS347" s="86" t="str">
        <f aca="false">IF($DF347&gt;$DE$8,"",VLOOKUP($DF347,$DH$9:$DN$508,5,FALSE()))</f>
        <v/>
      </c>
      <c r="DT347" s="87" t="str">
        <f aca="false">IF($DF347&gt;$DE$8,"",VLOOKUP($DF347,$DH$9:$DN$508,6,FALSE()))</f>
        <v/>
      </c>
      <c r="DU347" s="62"/>
    </row>
    <row r="348" customFormat="false" ht="15.75" hidden="false" customHeight="false" outlineLevel="0" collapsed="false">
      <c r="A348" s="7"/>
      <c r="B348" s="90"/>
      <c r="C348" s="91"/>
      <c r="D348" s="126"/>
      <c r="E348" s="130"/>
      <c r="F348" s="135"/>
      <c r="G348" s="130"/>
      <c r="H348" s="135"/>
      <c r="I348" s="131"/>
      <c r="J348" s="131"/>
      <c r="K348" s="131"/>
      <c r="L348" s="130"/>
      <c r="M348" s="130"/>
      <c r="N348" s="130"/>
      <c r="O348" s="135"/>
      <c r="P348" s="130"/>
      <c r="Q348" s="130"/>
      <c r="R348" s="130"/>
      <c r="S348" s="130"/>
      <c r="T348" s="135"/>
      <c r="U348" s="130"/>
      <c r="V348" s="96"/>
      <c r="W348" s="130"/>
      <c r="X348" s="130"/>
      <c r="Y348" s="96"/>
      <c r="Z348" s="96"/>
      <c r="AA348" s="130"/>
      <c r="AB348" s="130"/>
      <c r="AC348" s="97"/>
      <c r="AD348" s="130"/>
      <c r="AE348" s="99"/>
      <c r="AF348" s="100"/>
      <c r="AG348" s="100"/>
      <c r="AH348" s="100" t="str">
        <f aca="false">IF(ISBLANK($C348),"",IF($E348=Constants!$B$2,TRUE(),IF($E348=Constants!$B$3,FALSE(),TRUE())))</f>
        <v/>
      </c>
      <c r="AI348" s="100" t="str">
        <f aca="false">IF(ISBLANK($C348),"",IF($F348=Constants!$B$2,TRUE(),IF($F348=Constants!$B$3,FALSE(),FALSE())))</f>
        <v/>
      </c>
      <c r="AJ348" s="100" t="str">
        <f aca="false">IF(ISBLANK($C348),"",IF($G348=Constants!$B$2,TRUE(),IF($G348=Constants!$B$3,FALSE(),TRUE())))</f>
        <v/>
      </c>
      <c r="AK348" s="100" t="str">
        <f aca="false">IF(ISBLANK($C348),"",IF($H348=Constants!$B$2,TRUE(),IF($H348=Constants!$B$3,FALSE(),TRUE())))</f>
        <v/>
      </c>
      <c r="AL348" s="100" t="str">
        <f aca="false">IF(ISBLANK($C348),"",IF(ISNUMBER($I348),IF($I348&gt;=0,$I348,""),""))</f>
        <v/>
      </c>
      <c r="AM348" s="100" t="str">
        <f aca="false">IF(ISBLANK($C348),"",IF(ISNUMBER($J348),IF($J348&gt;=0,$J348,""),""))</f>
        <v/>
      </c>
      <c r="AN348" s="100" t="str">
        <f aca="false">IF(ISBLANK($C348),"",IF(ISNUMBER($K348),IF($K348&gt;=0,$K348,""),""))</f>
        <v/>
      </c>
      <c r="AO348" s="100" t="str">
        <f aca="false">IF(ISBLANK($C348),"",IF($L348=Constants!$B$2,TRUE(),IF($L348=Constants!$B$3,FALSE(),TRUE())))</f>
        <v/>
      </c>
      <c r="AP348" s="100" t="str">
        <f aca="false">IF(ISBLANK($C348),"",IF($M348=Constants!$B$2,TRUE(),IF($M348=Constants!$B$3,FALSE(),TRUE())))</f>
        <v/>
      </c>
      <c r="AQ348" s="100" t="str">
        <f aca="false">IF(ISBLANK($C348),"",IF($N348=Constants!$B$2,TRUE(),IF($N348=Constants!$B$3,FALSE(),FALSE())))</f>
        <v/>
      </c>
      <c r="AR348" s="100" t="str">
        <f aca="false">IF(ISBLANK($C348),"",IF($O348=Constants!$B$2,TRUE(),IF($O348=Constants!$B$3,FALSE(),TRUE())))</f>
        <v/>
      </c>
      <c r="AS348" s="100" t="str">
        <f aca="false">IF(ISBLANK($C348),"",IF($P348=Constants!$B$2,TRUE(),IF($P348=Constants!$B$3,FALSE(),FALSE())))</f>
        <v/>
      </c>
      <c r="AT348" s="100" t="str">
        <f aca="false">IF(ISBLANK($C348),"",IF($Q348=Constants!$B$2,TRUE(),IF($Q348=Constants!$B$3,FALSE(),FALSE())))</f>
        <v/>
      </c>
      <c r="AU348" s="100" t="str">
        <f aca="false">IF(ISBLANK($C348),"",IF($R348=Constants!$B$2,TRUE(),IF($R348=Constants!$B$3,FALSE(),FALSE())))</f>
        <v/>
      </c>
      <c r="AV348" s="100" t="str">
        <f aca="false">IF(ISBLANK($C348),"",IF($S348=Constants!$B$2,TRUE(),IF($S348=Constants!$B$3,FALSE(),FALSE())))</f>
        <v/>
      </c>
      <c r="AW348" s="100" t="str">
        <f aca="false">IF(ISBLANK($C348),"",IF($T348=Constants!$B$2,TRUE(),IF($T348=Constants!$B$3,FALSE(),FALSE())))</f>
        <v/>
      </c>
      <c r="AX348" s="100" t="str">
        <f aca="false">IF(ISBLANK($C348),"",IF(OR($U348&amp;""="1",$U348&amp;""="2",$U348&amp;""="3",$U348&amp;""="4"),VALUE($U348&amp;""),IF($U348=Constants!$B$12,Constants!$B$12,"")))</f>
        <v/>
      </c>
      <c r="AY348" s="100" t="str">
        <f aca="false">IF(ISBLANK($C348),"",IF(ISBLANK($V348),0,IF(ISNUMBER($V348),IF(AND($V348&gt;=0,$V348&lt;=Constants!$B$21,$V348=INT($V348)),$V348,""),"")))</f>
        <v/>
      </c>
      <c r="AZ348" s="100" t="str">
        <f aca="false">IF(ISBLANK($C348),"",IF(ISBLANK($W348),0,IF(ISNUMBER($W348),IF($W348&gt;=0,$W348,""),"")))</f>
        <v/>
      </c>
      <c r="BA348" s="100" t="str">
        <f aca="false">IF(ISBLANK($C348),"",IF($X348=Constants!$B$2,TRUE(),IF($X348=Constants!$B$3,FALSE(),TRUE())))</f>
        <v/>
      </c>
      <c r="BB348" s="100" t="str">
        <f aca="false">IF(ISBLANK($C348),"",IF($Y348=Constants!$B$2,TRUE(),IF($Y348=Constants!$B$3,FALSE(),FALSE())))</f>
        <v/>
      </c>
      <c r="BC348" s="100" t="str">
        <f aca="false">IF(ISBLANK($C348),"",IF(ISBLANK($Z348),0,IF(ISNUMBER($Z348),IF(AND($Z348&gt;=0,$Z348&lt;=Constants!$B$35,$Z348=INT($Z348)),$Z348,""),"")))</f>
        <v/>
      </c>
      <c r="BD348" s="100" t="str">
        <f aca="false">IF(ISBLANK($C348),"",IF($AA348=Constants!$B$2,TRUE(),IF($AA348=Constants!$B$3,FALSE(),TRUE())))</f>
        <v/>
      </c>
      <c r="BE348" s="100" t="str">
        <f aca="false">IF(ISBLANK($C348),"",IF($AB348=Constants!$B$2,TRUE(),IF($AB348=Constants!$B$3,FALSE(),TRUE())))</f>
        <v/>
      </c>
      <c r="BF348" s="100" t="str">
        <f aca="false">IF(ISBLANK($C348),"",IF(ISNUMBER($AC348),IF($AC348&gt;=0,$AC348,""),""))</f>
        <v/>
      </c>
      <c r="BG348" s="100" t="str">
        <f aca="false">IF(ISBLANK($C348),"",IF($AD348=Constants!$B$2,TRUE(),IF($AD348=Constants!$B$3,FALSE(),FALSE())))</f>
        <v/>
      </c>
      <c r="BH348" s="99" t="str">
        <f aca="false">IF(ISBLANK($C348),"",IF($BG348,Constants!$B$7,IF(COUNTA($E348:$AC348)=0,Constants!$B$6,IF(OR(COUNTA($G348:$AC348)=0,NOT($AK348),$AQ348),Constants!$B$5,IF(OR($CI348&lt;&gt;"",$CJ348,$CK348,$CL348,$CM348,$CN348,$CO348),Constants!$B$8,Constants!$B$4)))))</f>
        <v/>
      </c>
      <c r="BI348" s="100" t="str">
        <f aca="false">IF(ISBLANK($C348),"",IF($BH348&lt;&gt;Constants!$B$4,$BH348,IF(OR(NOT($AH348),NOT($AJ348),NOT($AR348)),Constants!$B$11,IF(OR(NOT($AP348),MAX($AL348,$AM348,$AN348)&gt;Constants!$B$30),Constants!$B$10,Constants!$B$9))))</f>
        <v/>
      </c>
      <c r="BJ348" s="100" t="str">
        <f aca="false">IF($BH348&lt;&gt;Constants!$B$4,"",IF(NOT($AJ348),0,MIN(Constants!$B$35,$BC348)))</f>
        <v/>
      </c>
      <c r="BK348" s="100" t="str">
        <f aca="false">IF($BH348&lt;&gt;Constants!$B$4,"",IF(NOT($AJ348),0,IF($AT348,Constants!$B$18,IF($AS348,Constants!$B$17,0))))</f>
        <v/>
      </c>
      <c r="BL348" s="100" t="str">
        <f aca="false">IF($BH348&lt;&gt;Constants!$B$4,"",IF(NOT($AJ348),0,Constants!$B$19*($AI348+$AU348+$AV348+$AW348)))</f>
        <v/>
      </c>
      <c r="BM348" s="100" t="str">
        <f aca="false">IF($BH348&lt;&gt;Constants!$B$4,"",IF(OR(NOT($AJ348),NOT(ISNUMBER($AX348))),0,CHOOSE($AX348,Constants!$B$13,Constants!$B$14,Constants!$B$15,Constants!$B$16)))</f>
        <v/>
      </c>
      <c r="BN348" s="100" t="str">
        <f aca="false">IF($BH348&lt;&gt;Constants!$B$4,"",IF(NOT($AJ348),0,Constants!$B$20*$AY348))</f>
        <v/>
      </c>
      <c r="BO348" s="100" t="str">
        <f aca="false">IF($BH348&lt;&gt;Constants!$B$4,"",IF(AND($AJ348,$BA348,$BB348),Constants!$B$22,0))</f>
        <v/>
      </c>
      <c r="BP348" s="100" t="str">
        <f aca="false">IF($BH348&lt;&gt;Constants!$B$4,"",IF(OR(NOT($AJ348),NOT($BA348)),0,IF($BF348&gt;=2*$AF$9,0,Constants!$B$23*INT(ROUND(MIN($BF348,$AF$9),6)))))</f>
        <v/>
      </c>
      <c r="BQ348" s="100" t="str">
        <f aca="false">IF($BH348&lt;&gt;Constants!$B$4,"",IF(NOT($AJ348),0,Constants!$B$24*INT(ROUND(MIN($AZ348,$AF$9),6))))</f>
        <v/>
      </c>
      <c r="BR348" s="100" t="str">
        <f aca="false">IF($BH348&lt;&gt;Constants!$B$4,"",IF(AND($AJ348,$BJ348=0),Constants!$B$25,0))</f>
        <v/>
      </c>
      <c r="BS348" s="100" t="str">
        <f aca="false">IF($BH348&lt;&gt;Constants!$B$4,"",MIN(Constants!$B$29,MAX(0,Constants!$B$27*Constants!$B$28*INT(ROUND((Constants!$B$26-$AL348)/Constants!$B$28,6))))+MIN(Constants!$B$29,MAX(0,Constants!$B$27*Constants!$B$28*INT(ROUND((Constants!$B$26-$AM348)/Constants!$B$28,6))))+MIN(Constants!$B$29,MAX(0,Constants!$B$27*Constants!$B$28*INT(ROUND((Constants!$B$26-$AN348)/Constants!$B$28,6)))))</f>
        <v/>
      </c>
      <c r="BT348" s="100" t="str">
        <f aca="false">IF($BH348&lt;&gt;Constants!$B$4,"",IF(NOT($AJ348),0,Constants!$B$31*INT(ROUND(MAX(0,MIN($BF348,2*$AF$9)-$AF$9),6))))</f>
        <v/>
      </c>
      <c r="BU348" s="100" t="str">
        <f aca="false">IF($BH348&lt;&gt;Constants!$B$4,"",Constants!$B$32*(($AL348&gt;Constants!$B$26)+($AM348&gt;Constants!$B$26)+($AN348&gt;Constants!$B$26)))</f>
        <v/>
      </c>
      <c r="BV348" s="100" t="str">
        <f aca="false">IF($BH348&lt;&gt;Constants!$B$4,"",IF(OR(NOT($AJ348),$AO348),0,Constants!$B$33))</f>
        <v/>
      </c>
      <c r="BW348" s="100" t="str">
        <f aca="false">IF($BH348&lt;&gt;Constants!$B$4,"",Constants!$B$34*$BJ348)</f>
        <v/>
      </c>
      <c r="BX348" s="100" t="str">
        <f aca="false">IF($BH348&lt;&gt;Constants!$B$4,"",IF(OR(NOT($AJ348),$BE348),0,Constants!$B$36))</f>
        <v/>
      </c>
      <c r="BY348" s="100" t="str">
        <f aca="false">IF($BH348&lt;&gt;Constants!$B$4,"",IF(OR(NOT($AJ348),$BD348),0,Constants!$B$37))</f>
        <v/>
      </c>
      <c r="BZ348" s="100" t="str">
        <f aca="false">IF($BH348&lt;&gt;Constants!$B$4,"",SUM($BT348:$BY348))</f>
        <v/>
      </c>
      <c r="CA348" s="100" t="str">
        <f aca="false">IF(ISBLANK($C348),"",IF($BH348&lt;&gt;Constants!$B$4,$BH348,SUM($BK348:$BS348)-$BZ348))</f>
        <v/>
      </c>
      <c r="CB348" s="100" t="str">
        <f aca="false">IF(ISBLANK($C348),"",IF($BH348&lt;&gt;Constants!$B$4,$BH348,RANK($CA348,$CA$9:$CA$508)))</f>
        <v/>
      </c>
      <c r="CC348" s="100" t="str">
        <f aca="false">IF(ISBLANK($C348),"",IF($BH348&lt;&gt;Constants!$B$4,$BH348,COUNTIFS($BI$9:$BI$508,"&lt;"&amp;$BI348)+COUNTIFS($BI$9:$BI$508,$BI348,$CB$9:$CB$508,"&lt;"&amp;$CB348)+1))</f>
        <v/>
      </c>
      <c r="CD348" s="100" t="str">
        <f aca="false">IF(ISBLANK($C348),"",IF($BH348&lt;&gt;Constants!$B$4,$BH348,RANK($BZ348,$BZ$9:$BZ$508,1)))</f>
        <v/>
      </c>
      <c r="CE348" s="100" t="str">
        <f aca="false">IF($BH348&lt;&gt;Constants!$B$4,"",$AL348+$AM348+$AN348)</f>
        <v/>
      </c>
      <c r="CF348" s="100" t="str">
        <f aca="false">IF(ISBLANK($C348),"",IF($BH348&lt;&gt;Constants!$B$4,$BH348,RANK($CE348,$CE$9:$CE$508,1)))</f>
        <v/>
      </c>
      <c r="CG348" s="100" t="str">
        <f aca="false">IF(ISBLANK($C348),"",IF($BH348&lt;&gt;Constants!$B$4,$BH348,COUNTIFS($BI$9:$BI$508,"&lt;"&amp;$BI348)+COUNTIFS($BI$9:$BI$508,$BI348,$CB$9:$CB$508,"&lt;"&amp;$CB348)+COUNTIFS($BI$9:$BI$508,$BI348,$CB$9:$CB$508,$CB348,$CD$9:$CD$508,"&lt;"&amp;$CD348)+COUNTIFS($BI$9:$BI$508,$BI348,$CB$9:$CB$508,$CB348,$CD$9:$CD$508,$CD348,$CF$9:$CF$508,"&lt;"&amp;$CF348)+1))</f>
        <v/>
      </c>
      <c r="CH348" s="100" t="str">
        <f aca="false">IF(ISBLANK($C348),"",IF($BH348&lt;&gt;Constants!$B$4,$BH348,$CC348-$CG348))</f>
        <v/>
      </c>
      <c r="CI348" s="100" t="str">
        <f aca="false">IF(ISBLANK($C348),"",IF(NOT($AJ348),"",IF(ISBLANK($D$7),$CI$5,IF(NOT(ISNUMBER($D$7)),$CI$6,""))))</f>
        <v/>
      </c>
      <c r="CJ348" s="100" t="str">
        <f aca="false">IF(ISBLANK($C348),"",OR($AL348="",$AM348="",$AN348=""))</f>
        <v/>
      </c>
      <c r="CK348" s="100" t="str">
        <f aca="false">IF(ISBLANK($C348),"",AND($AJ348,$AX348=""))</f>
        <v/>
      </c>
      <c r="CL348" s="100" t="str">
        <f aca="false">IF(ISBLANK($C348),"",AND($AJ348,$AY348=""))</f>
        <v/>
      </c>
      <c r="CM348" s="100" t="str">
        <f aca="false">IF(ISBLANK($C348),"",AND($AJ348,$AZ348=""))</f>
        <v/>
      </c>
      <c r="CN348" s="100" t="str">
        <f aca="false">IF(ISBLANK($C348),"",AND($AJ348,$BC348=""))</f>
        <v/>
      </c>
      <c r="CO348" s="100" t="str">
        <f aca="false">IF(ISBLANK($C348),"",AND($AJ348,$BF348=""))</f>
        <v/>
      </c>
      <c r="CP348" s="101"/>
      <c r="CQ348" s="102"/>
      <c r="CR348" s="103" t="str">
        <f aca="false">IF(ISBLANK($C348),"",IF($BH348=Constants!$B$8,$CI348,""))</f>
        <v/>
      </c>
      <c r="CS348" s="102" t="str">
        <f aca="false">IF(ISBLANK($C348),"",IF($BH348&lt;&gt;Constants!$B$4,"",$BK348+$BL348))</f>
        <v/>
      </c>
      <c r="CT348" s="104" t="str">
        <f aca="false">IF(ISBLANK($C348),"",IF($BH348&lt;&gt;Constants!$B$4,"",$BM348+$BN348+$BO348))</f>
        <v/>
      </c>
      <c r="CU348" s="104" t="str">
        <f aca="false">IF(ISBLANK($C348),"",IF($BH348&lt;&gt;Constants!$B$4,"",$BP348))</f>
        <v/>
      </c>
      <c r="CV348" s="104" t="str">
        <f aca="false">IF(ISBLANK($C348),"",IF($BH348&lt;&gt;Constants!$B$4,"",$BQ348+$BR348))</f>
        <v/>
      </c>
      <c r="CW348" s="104" t="str">
        <f aca="false">IF(ISBLANK($C348),"",IF($BH348&lt;&gt;Constants!$B$4,"",$BS348))</f>
        <v/>
      </c>
      <c r="CX348" s="104" t="str">
        <f aca="false">IF(ISBLANK($C348),"",IF($BH348&lt;&gt;Constants!$B$4,"",-$BZ348))</f>
        <v/>
      </c>
      <c r="CY348" s="103" t="str">
        <f aca="false">IF(ISBLANK($C348),"",$CA348)</f>
        <v/>
      </c>
      <c r="CZ348" s="105" t="str">
        <f aca="false">IF(ISBLANK($C348),"",$BI348)</f>
        <v/>
      </c>
      <c r="DA348" s="104" t="str">
        <f aca="false">IF(ISBLANK($C348),"",$CH348)</f>
        <v/>
      </c>
      <c r="DB348" s="104" t="str">
        <f aca="false">IF(ISBLANK($C348),"",$CG348)</f>
        <v/>
      </c>
      <c r="DC348" s="106" t="str">
        <f aca="false">IF(ISBLANK($C348),"",IFERROR(_xlfn.SWITCH($DB348,Constants!$B$7,COUNTA($C$9:$C$508)+2,Constants!$B$6,COUNTA($C$9:$C$508)+1,Constants!$B$5,COUNTA($C$9:$C$508)),$DB348))</f>
        <v/>
      </c>
      <c r="DD348" s="7"/>
      <c r="DE348" s="107" t="n">
        <f aca="false">IF(OR(ISNUMBER($DB348),$DB348=Constants!$B$7,$DB348=Constants!$B$5,$DB348=Constants!$B$6),1,0)</f>
        <v>0</v>
      </c>
      <c r="DF348" s="107" t="n">
        <v>340</v>
      </c>
      <c r="DG348" s="107" t="str">
        <f aca="false">IF(ISBLANK($C348),"",IF(ISNUMBER($DC348),$DC348+ROW($B348)/1000,""))</f>
        <v/>
      </c>
      <c r="DH348" s="107" t="str">
        <f aca="false">IF(ISNUMBER($DG348),RANK($DG348,$DG$9:$DG$508,1),"")</f>
        <v/>
      </c>
      <c r="DI348" s="107" t="str">
        <f aca="false">IF(ISBLANK($C348),"",$B348)</f>
        <v/>
      </c>
      <c r="DJ348" s="107" t="str">
        <f aca="false">IF(ISBLANK($C348),"",$C348)</f>
        <v/>
      </c>
      <c r="DK348" s="107" t="str">
        <f aca="false">IF(ISBLANK($C348),"",$D348)</f>
        <v/>
      </c>
      <c r="DL348" s="108" t="str">
        <f aca="false">$CZ348</f>
        <v/>
      </c>
      <c r="DM348" s="109" t="str">
        <f aca="false">$CY348</f>
        <v/>
      </c>
      <c r="DN348" s="107" t="str">
        <f aca="false">IF(ISBLANK($C348),"",$DB348)</f>
        <v/>
      </c>
      <c r="DO348" s="110" t="str">
        <f aca="false">IF($DF348&gt;$DE$8,"",VLOOKUP($DF348,$DH$9:$DN$508,7,FALSE()))</f>
        <v/>
      </c>
      <c r="DP348" s="111" t="str">
        <f aca="false">IF($DF348&gt;$DE$8,"",VLOOKUP($DF348,$DH$9:$DN$508,2,FALSE()))</f>
        <v/>
      </c>
      <c r="DQ348" s="111" t="str">
        <f aca="false">IF($DF348&gt;$DE$8,"",VLOOKUP($DF348,$DH$9:$DN$508,3,FALSE()))</f>
        <v/>
      </c>
      <c r="DR348" s="111" t="str">
        <f aca="false">IF($DF348&gt;$DE$8,"",VLOOKUP($DF348,$DH$9:$DN$508,4,FALSE()))</f>
        <v/>
      </c>
      <c r="DS348" s="111" t="str">
        <f aca="false">IF($DF348&gt;$DE$8,"",VLOOKUP($DF348,$DH$9:$DN$508,5,FALSE()))</f>
        <v/>
      </c>
      <c r="DT348" s="112" t="str">
        <f aca="false">IF($DF348&gt;$DE$8,"",VLOOKUP($DF348,$DH$9:$DN$508,6,FALSE()))</f>
        <v/>
      </c>
      <c r="DU348" s="62"/>
    </row>
    <row r="349" customFormat="false" ht="15.75" hidden="false" customHeight="false" outlineLevel="0" collapsed="false">
      <c r="A349" s="7"/>
      <c r="B349" s="90"/>
      <c r="C349" s="91"/>
      <c r="D349" s="126"/>
      <c r="E349" s="130"/>
      <c r="F349" s="135"/>
      <c r="G349" s="130"/>
      <c r="H349" s="135"/>
      <c r="I349" s="131"/>
      <c r="J349" s="131"/>
      <c r="K349" s="131"/>
      <c r="L349" s="130"/>
      <c r="M349" s="130"/>
      <c r="N349" s="130"/>
      <c r="O349" s="135"/>
      <c r="P349" s="130"/>
      <c r="Q349" s="130"/>
      <c r="R349" s="130"/>
      <c r="S349" s="130"/>
      <c r="T349" s="135"/>
      <c r="U349" s="130"/>
      <c r="V349" s="96"/>
      <c r="W349" s="130"/>
      <c r="X349" s="130"/>
      <c r="Y349" s="96"/>
      <c r="Z349" s="96"/>
      <c r="AA349" s="130"/>
      <c r="AB349" s="130"/>
      <c r="AC349" s="97"/>
      <c r="AD349" s="130"/>
      <c r="AE349" s="99"/>
      <c r="AF349" s="100"/>
      <c r="AG349" s="100"/>
      <c r="AH349" s="100" t="str">
        <f aca="false">IF(ISBLANK($C349),"",IF($E349=Constants!$B$2,TRUE(),IF($E349=Constants!$B$3,FALSE(),TRUE())))</f>
        <v/>
      </c>
      <c r="AI349" s="100" t="str">
        <f aca="false">IF(ISBLANK($C349),"",IF($F349=Constants!$B$2,TRUE(),IF($F349=Constants!$B$3,FALSE(),FALSE())))</f>
        <v/>
      </c>
      <c r="AJ349" s="100" t="str">
        <f aca="false">IF(ISBLANK($C349),"",IF($G349=Constants!$B$2,TRUE(),IF($G349=Constants!$B$3,FALSE(),TRUE())))</f>
        <v/>
      </c>
      <c r="AK349" s="100" t="str">
        <f aca="false">IF(ISBLANK($C349),"",IF($H349=Constants!$B$2,TRUE(),IF($H349=Constants!$B$3,FALSE(),TRUE())))</f>
        <v/>
      </c>
      <c r="AL349" s="100" t="str">
        <f aca="false">IF(ISBLANK($C349),"",IF(ISNUMBER($I349),IF($I349&gt;=0,$I349,""),""))</f>
        <v/>
      </c>
      <c r="AM349" s="100" t="str">
        <f aca="false">IF(ISBLANK($C349),"",IF(ISNUMBER($J349),IF($J349&gt;=0,$J349,""),""))</f>
        <v/>
      </c>
      <c r="AN349" s="100" t="str">
        <f aca="false">IF(ISBLANK($C349),"",IF(ISNUMBER($K349),IF($K349&gt;=0,$K349,""),""))</f>
        <v/>
      </c>
      <c r="AO349" s="100" t="str">
        <f aca="false">IF(ISBLANK($C349),"",IF($L349=Constants!$B$2,TRUE(),IF($L349=Constants!$B$3,FALSE(),TRUE())))</f>
        <v/>
      </c>
      <c r="AP349" s="100" t="str">
        <f aca="false">IF(ISBLANK($C349),"",IF($M349=Constants!$B$2,TRUE(),IF($M349=Constants!$B$3,FALSE(),TRUE())))</f>
        <v/>
      </c>
      <c r="AQ349" s="100" t="str">
        <f aca="false">IF(ISBLANK($C349),"",IF($N349=Constants!$B$2,TRUE(),IF($N349=Constants!$B$3,FALSE(),FALSE())))</f>
        <v/>
      </c>
      <c r="AR349" s="100" t="str">
        <f aca="false">IF(ISBLANK($C349),"",IF($O349=Constants!$B$2,TRUE(),IF($O349=Constants!$B$3,FALSE(),TRUE())))</f>
        <v/>
      </c>
      <c r="AS349" s="100" t="str">
        <f aca="false">IF(ISBLANK($C349),"",IF($P349=Constants!$B$2,TRUE(),IF($P349=Constants!$B$3,FALSE(),FALSE())))</f>
        <v/>
      </c>
      <c r="AT349" s="100" t="str">
        <f aca="false">IF(ISBLANK($C349),"",IF($Q349=Constants!$B$2,TRUE(),IF($Q349=Constants!$B$3,FALSE(),FALSE())))</f>
        <v/>
      </c>
      <c r="AU349" s="100" t="str">
        <f aca="false">IF(ISBLANK($C349),"",IF($R349=Constants!$B$2,TRUE(),IF($R349=Constants!$B$3,FALSE(),FALSE())))</f>
        <v/>
      </c>
      <c r="AV349" s="100" t="str">
        <f aca="false">IF(ISBLANK($C349),"",IF($S349=Constants!$B$2,TRUE(),IF($S349=Constants!$B$3,FALSE(),FALSE())))</f>
        <v/>
      </c>
      <c r="AW349" s="100" t="str">
        <f aca="false">IF(ISBLANK($C349),"",IF($T349=Constants!$B$2,TRUE(),IF($T349=Constants!$B$3,FALSE(),FALSE())))</f>
        <v/>
      </c>
      <c r="AX349" s="100" t="str">
        <f aca="false">IF(ISBLANK($C349),"",IF(OR($U349&amp;""="1",$U349&amp;""="2",$U349&amp;""="3",$U349&amp;""="4"),VALUE($U349&amp;""),IF($U349=Constants!$B$12,Constants!$B$12,"")))</f>
        <v/>
      </c>
      <c r="AY349" s="100" t="str">
        <f aca="false">IF(ISBLANK($C349),"",IF(ISBLANK($V349),0,IF(ISNUMBER($V349),IF(AND($V349&gt;=0,$V349&lt;=Constants!$B$21,$V349=INT($V349)),$V349,""),"")))</f>
        <v/>
      </c>
      <c r="AZ349" s="100" t="str">
        <f aca="false">IF(ISBLANK($C349),"",IF(ISBLANK($W349),0,IF(ISNUMBER($W349),IF($W349&gt;=0,$W349,""),"")))</f>
        <v/>
      </c>
      <c r="BA349" s="100" t="str">
        <f aca="false">IF(ISBLANK($C349),"",IF($X349=Constants!$B$2,TRUE(),IF($X349=Constants!$B$3,FALSE(),TRUE())))</f>
        <v/>
      </c>
      <c r="BB349" s="100" t="str">
        <f aca="false">IF(ISBLANK($C349),"",IF($Y349=Constants!$B$2,TRUE(),IF($Y349=Constants!$B$3,FALSE(),FALSE())))</f>
        <v/>
      </c>
      <c r="BC349" s="100" t="str">
        <f aca="false">IF(ISBLANK($C349),"",IF(ISBLANK($Z349),0,IF(ISNUMBER($Z349),IF(AND($Z349&gt;=0,$Z349&lt;=Constants!$B$35,$Z349=INT($Z349)),$Z349,""),"")))</f>
        <v/>
      </c>
      <c r="BD349" s="100" t="str">
        <f aca="false">IF(ISBLANK($C349),"",IF($AA349=Constants!$B$2,TRUE(),IF($AA349=Constants!$B$3,FALSE(),TRUE())))</f>
        <v/>
      </c>
      <c r="BE349" s="100" t="str">
        <f aca="false">IF(ISBLANK($C349),"",IF($AB349=Constants!$B$2,TRUE(),IF($AB349=Constants!$B$3,FALSE(),TRUE())))</f>
        <v/>
      </c>
      <c r="BF349" s="100" t="str">
        <f aca="false">IF(ISBLANK($C349),"",IF(ISNUMBER($AC349),IF($AC349&gt;=0,$AC349,""),""))</f>
        <v/>
      </c>
      <c r="BG349" s="100" t="str">
        <f aca="false">IF(ISBLANK($C349),"",IF($AD349=Constants!$B$2,TRUE(),IF($AD349=Constants!$B$3,FALSE(),FALSE())))</f>
        <v/>
      </c>
      <c r="BH349" s="99" t="str">
        <f aca="false">IF(ISBLANK($C349),"",IF($BG349,Constants!$B$7,IF(COUNTA($E349:$AC349)=0,Constants!$B$6,IF(OR(COUNTA($G349:$AC349)=0,NOT($AK349),$AQ349),Constants!$B$5,IF(OR($CI349&lt;&gt;"",$CJ349,$CK349,$CL349,$CM349,$CN349,$CO349),Constants!$B$8,Constants!$B$4)))))</f>
        <v/>
      </c>
      <c r="BI349" s="100" t="str">
        <f aca="false">IF(ISBLANK($C349),"",IF($BH349&lt;&gt;Constants!$B$4,$BH349,IF(OR(NOT($AH349),NOT($AJ349),NOT($AR349)),Constants!$B$11,IF(OR(NOT($AP349),MAX($AL349,$AM349,$AN349)&gt;Constants!$B$30),Constants!$B$10,Constants!$B$9))))</f>
        <v/>
      </c>
      <c r="BJ349" s="100" t="str">
        <f aca="false">IF($BH349&lt;&gt;Constants!$B$4,"",IF(NOT($AJ349),0,MIN(Constants!$B$35,$BC349)))</f>
        <v/>
      </c>
      <c r="BK349" s="100" t="str">
        <f aca="false">IF($BH349&lt;&gt;Constants!$B$4,"",IF(NOT($AJ349),0,IF($AT349,Constants!$B$18,IF($AS349,Constants!$B$17,0))))</f>
        <v/>
      </c>
      <c r="BL349" s="100" t="str">
        <f aca="false">IF($BH349&lt;&gt;Constants!$B$4,"",IF(NOT($AJ349),0,Constants!$B$19*($AI349+$AU349+$AV349+$AW349)))</f>
        <v/>
      </c>
      <c r="BM349" s="100" t="str">
        <f aca="false">IF($BH349&lt;&gt;Constants!$B$4,"",IF(OR(NOT($AJ349),NOT(ISNUMBER($AX349))),0,CHOOSE($AX349,Constants!$B$13,Constants!$B$14,Constants!$B$15,Constants!$B$16)))</f>
        <v/>
      </c>
      <c r="BN349" s="100" t="str">
        <f aca="false">IF($BH349&lt;&gt;Constants!$B$4,"",IF(NOT($AJ349),0,Constants!$B$20*$AY349))</f>
        <v/>
      </c>
      <c r="BO349" s="100" t="str">
        <f aca="false">IF($BH349&lt;&gt;Constants!$B$4,"",IF(AND($AJ349,$BA349,$BB349),Constants!$B$22,0))</f>
        <v/>
      </c>
      <c r="BP349" s="100" t="str">
        <f aca="false">IF($BH349&lt;&gt;Constants!$B$4,"",IF(OR(NOT($AJ349),NOT($BA349)),0,IF($BF349&gt;=2*$AF$9,0,Constants!$B$23*INT(ROUND(MIN($BF349,$AF$9),6)))))</f>
        <v/>
      </c>
      <c r="BQ349" s="100" t="str">
        <f aca="false">IF($BH349&lt;&gt;Constants!$B$4,"",IF(NOT($AJ349),0,Constants!$B$24*INT(ROUND(MIN($AZ349,$AF$9),6))))</f>
        <v/>
      </c>
      <c r="BR349" s="100" t="str">
        <f aca="false">IF($BH349&lt;&gt;Constants!$B$4,"",IF(AND($AJ349,$BJ349=0),Constants!$B$25,0))</f>
        <v/>
      </c>
      <c r="BS349" s="100" t="str">
        <f aca="false">IF($BH349&lt;&gt;Constants!$B$4,"",MIN(Constants!$B$29,MAX(0,Constants!$B$27*Constants!$B$28*INT(ROUND((Constants!$B$26-$AL349)/Constants!$B$28,6))))+MIN(Constants!$B$29,MAX(0,Constants!$B$27*Constants!$B$28*INT(ROUND((Constants!$B$26-$AM349)/Constants!$B$28,6))))+MIN(Constants!$B$29,MAX(0,Constants!$B$27*Constants!$B$28*INT(ROUND((Constants!$B$26-$AN349)/Constants!$B$28,6)))))</f>
        <v/>
      </c>
      <c r="BT349" s="100" t="str">
        <f aca="false">IF($BH349&lt;&gt;Constants!$B$4,"",IF(NOT($AJ349),0,Constants!$B$31*INT(ROUND(MAX(0,MIN($BF349,2*$AF$9)-$AF$9),6))))</f>
        <v/>
      </c>
      <c r="BU349" s="100" t="str">
        <f aca="false">IF($BH349&lt;&gt;Constants!$B$4,"",Constants!$B$32*(($AL349&gt;Constants!$B$26)+($AM349&gt;Constants!$B$26)+($AN349&gt;Constants!$B$26)))</f>
        <v/>
      </c>
      <c r="BV349" s="100" t="str">
        <f aca="false">IF($BH349&lt;&gt;Constants!$B$4,"",IF(OR(NOT($AJ349),$AO349),0,Constants!$B$33))</f>
        <v/>
      </c>
      <c r="BW349" s="100" t="str">
        <f aca="false">IF($BH349&lt;&gt;Constants!$B$4,"",Constants!$B$34*$BJ349)</f>
        <v/>
      </c>
      <c r="BX349" s="100" t="str">
        <f aca="false">IF($BH349&lt;&gt;Constants!$B$4,"",IF(OR(NOT($AJ349),$BE349),0,Constants!$B$36))</f>
        <v/>
      </c>
      <c r="BY349" s="100" t="str">
        <f aca="false">IF($BH349&lt;&gt;Constants!$B$4,"",IF(OR(NOT($AJ349),$BD349),0,Constants!$B$37))</f>
        <v/>
      </c>
      <c r="BZ349" s="100" t="str">
        <f aca="false">IF($BH349&lt;&gt;Constants!$B$4,"",SUM($BT349:$BY349))</f>
        <v/>
      </c>
      <c r="CA349" s="100" t="str">
        <f aca="false">IF(ISBLANK($C349),"",IF($BH349&lt;&gt;Constants!$B$4,$BH349,SUM($BK349:$BS349)-$BZ349))</f>
        <v/>
      </c>
      <c r="CB349" s="100" t="str">
        <f aca="false">IF(ISBLANK($C349),"",IF($BH349&lt;&gt;Constants!$B$4,$BH349,RANK($CA349,$CA$9:$CA$508)))</f>
        <v/>
      </c>
      <c r="CC349" s="100" t="str">
        <f aca="false">IF(ISBLANK($C349),"",IF($BH349&lt;&gt;Constants!$B$4,$BH349,COUNTIFS($BI$9:$BI$508,"&lt;"&amp;$BI349)+COUNTIFS($BI$9:$BI$508,$BI349,$CB$9:$CB$508,"&lt;"&amp;$CB349)+1))</f>
        <v/>
      </c>
      <c r="CD349" s="100" t="str">
        <f aca="false">IF(ISBLANK($C349),"",IF($BH349&lt;&gt;Constants!$B$4,$BH349,RANK($BZ349,$BZ$9:$BZ$508,1)))</f>
        <v/>
      </c>
      <c r="CE349" s="100" t="str">
        <f aca="false">IF($BH349&lt;&gt;Constants!$B$4,"",$AL349+$AM349+$AN349)</f>
        <v/>
      </c>
      <c r="CF349" s="100" t="str">
        <f aca="false">IF(ISBLANK($C349),"",IF($BH349&lt;&gt;Constants!$B$4,$BH349,RANK($CE349,$CE$9:$CE$508,1)))</f>
        <v/>
      </c>
      <c r="CG349" s="100" t="str">
        <f aca="false">IF(ISBLANK($C349),"",IF($BH349&lt;&gt;Constants!$B$4,$BH349,COUNTIFS($BI$9:$BI$508,"&lt;"&amp;$BI349)+COUNTIFS($BI$9:$BI$508,$BI349,$CB$9:$CB$508,"&lt;"&amp;$CB349)+COUNTIFS($BI$9:$BI$508,$BI349,$CB$9:$CB$508,$CB349,$CD$9:$CD$508,"&lt;"&amp;$CD349)+COUNTIFS($BI$9:$BI$508,$BI349,$CB$9:$CB$508,$CB349,$CD$9:$CD$508,$CD349,$CF$9:$CF$508,"&lt;"&amp;$CF349)+1))</f>
        <v/>
      </c>
      <c r="CH349" s="100" t="str">
        <f aca="false">IF(ISBLANK($C349),"",IF($BH349&lt;&gt;Constants!$B$4,$BH349,$CC349-$CG349))</f>
        <v/>
      </c>
      <c r="CI349" s="100" t="str">
        <f aca="false">IF(ISBLANK($C349),"",IF(NOT($AJ349),"",IF(ISBLANK($D$7),$CI$5,IF(NOT(ISNUMBER($D$7)),$CI$6,""))))</f>
        <v/>
      </c>
      <c r="CJ349" s="100" t="str">
        <f aca="false">IF(ISBLANK($C349),"",OR($AL349="",$AM349="",$AN349=""))</f>
        <v/>
      </c>
      <c r="CK349" s="100" t="str">
        <f aca="false">IF(ISBLANK($C349),"",AND($AJ349,$AX349=""))</f>
        <v/>
      </c>
      <c r="CL349" s="100" t="str">
        <f aca="false">IF(ISBLANK($C349),"",AND($AJ349,$AY349=""))</f>
        <v/>
      </c>
      <c r="CM349" s="100" t="str">
        <f aca="false">IF(ISBLANK($C349),"",AND($AJ349,$AZ349=""))</f>
        <v/>
      </c>
      <c r="CN349" s="100" t="str">
        <f aca="false">IF(ISBLANK($C349),"",AND($AJ349,$BC349=""))</f>
        <v/>
      </c>
      <c r="CO349" s="100" t="str">
        <f aca="false">IF(ISBLANK($C349),"",AND($AJ349,$BF349=""))</f>
        <v/>
      </c>
      <c r="CP349" s="101"/>
      <c r="CQ349" s="102"/>
      <c r="CR349" s="103" t="str">
        <f aca="false">IF(ISBLANK($C349),"",IF($BH349=Constants!$B$8,$CI349,""))</f>
        <v/>
      </c>
      <c r="CS349" s="102" t="str">
        <f aca="false">IF(ISBLANK($C349),"",IF($BH349&lt;&gt;Constants!$B$4,"",$BK349+$BL349))</f>
        <v/>
      </c>
      <c r="CT349" s="104" t="str">
        <f aca="false">IF(ISBLANK($C349),"",IF($BH349&lt;&gt;Constants!$B$4,"",$BM349+$BN349+$BO349))</f>
        <v/>
      </c>
      <c r="CU349" s="104" t="str">
        <f aca="false">IF(ISBLANK($C349),"",IF($BH349&lt;&gt;Constants!$B$4,"",$BP349))</f>
        <v/>
      </c>
      <c r="CV349" s="104" t="str">
        <f aca="false">IF(ISBLANK($C349),"",IF($BH349&lt;&gt;Constants!$B$4,"",$BQ349+$BR349))</f>
        <v/>
      </c>
      <c r="CW349" s="104" t="str">
        <f aca="false">IF(ISBLANK($C349),"",IF($BH349&lt;&gt;Constants!$B$4,"",$BS349))</f>
        <v/>
      </c>
      <c r="CX349" s="104" t="str">
        <f aca="false">IF(ISBLANK($C349),"",IF($BH349&lt;&gt;Constants!$B$4,"",-$BZ349))</f>
        <v/>
      </c>
      <c r="CY349" s="103" t="str">
        <f aca="false">IF(ISBLANK($C349),"",$CA349)</f>
        <v/>
      </c>
      <c r="CZ349" s="105" t="str">
        <f aca="false">IF(ISBLANK($C349),"",$BI349)</f>
        <v/>
      </c>
      <c r="DA349" s="104" t="str">
        <f aca="false">IF(ISBLANK($C349),"",$CH349)</f>
        <v/>
      </c>
      <c r="DB349" s="104" t="str">
        <f aca="false">IF(ISBLANK($C349),"",$CG349)</f>
        <v/>
      </c>
      <c r="DC349" s="106" t="str">
        <f aca="false">IF(ISBLANK($C349),"",IFERROR(_xlfn.SWITCH($DB349,Constants!$B$7,COUNTA($C$9:$C$508)+2,Constants!$B$6,COUNTA($C$9:$C$508)+1,Constants!$B$5,COUNTA($C$9:$C$508)),$DB349))</f>
        <v/>
      </c>
      <c r="DD349" s="7"/>
      <c r="DE349" s="107" t="n">
        <f aca="false">IF(OR(ISNUMBER($DB349),$DB349=Constants!$B$7,$DB349=Constants!$B$5,$DB349=Constants!$B$6),1,0)</f>
        <v>0</v>
      </c>
      <c r="DF349" s="107" t="n">
        <v>341</v>
      </c>
      <c r="DG349" s="107" t="str">
        <f aca="false">IF(ISBLANK($C349),"",IF(ISNUMBER($DC349),$DC349+ROW($B349)/1000,""))</f>
        <v/>
      </c>
      <c r="DH349" s="107" t="str">
        <f aca="false">IF(ISNUMBER($DG349),RANK($DG349,$DG$9:$DG$508,1),"")</f>
        <v/>
      </c>
      <c r="DI349" s="107" t="str">
        <f aca="false">IF(ISBLANK($C349),"",$B349)</f>
        <v/>
      </c>
      <c r="DJ349" s="107" t="str">
        <f aca="false">IF(ISBLANK($C349),"",$C349)</f>
        <v/>
      </c>
      <c r="DK349" s="107" t="str">
        <f aca="false">IF(ISBLANK($C349),"",$D349)</f>
        <v/>
      </c>
      <c r="DL349" s="108" t="str">
        <f aca="false">$CZ349</f>
        <v/>
      </c>
      <c r="DM349" s="109" t="str">
        <f aca="false">$CY349</f>
        <v/>
      </c>
      <c r="DN349" s="107" t="str">
        <f aca="false">IF(ISBLANK($C349),"",$DB349)</f>
        <v/>
      </c>
      <c r="DO349" s="110" t="str">
        <f aca="false">IF($DF349&gt;$DE$8,"",VLOOKUP($DF349,$DH$9:$DN$508,7,FALSE()))</f>
        <v/>
      </c>
      <c r="DP349" s="111" t="str">
        <f aca="false">IF($DF349&gt;$DE$8,"",VLOOKUP($DF349,$DH$9:$DN$508,2,FALSE()))</f>
        <v/>
      </c>
      <c r="DQ349" s="111" t="str">
        <f aca="false">IF($DF349&gt;$DE$8,"",VLOOKUP($DF349,$DH$9:$DN$508,3,FALSE()))</f>
        <v/>
      </c>
      <c r="DR349" s="111" t="str">
        <f aca="false">IF($DF349&gt;$DE$8,"",VLOOKUP($DF349,$DH$9:$DN$508,4,FALSE()))</f>
        <v/>
      </c>
      <c r="DS349" s="111" t="str">
        <f aca="false">IF($DF349&gt;$DE$8,"",VLOOKUP($DF349,$DH$9:$DN$508,5,FALSE()))</f>
        <v/>
      </c>
      <c r="DT349" s="112" t="str">
        <f aca="false">IF($DF349&gt;$DE$8,"",VLOOKUP($DF349,$DH$9:$DN$508,6,FALSE()))</f>
        <v/>
      </c>
      <c r="DU349" s="62"/>
    </row>
    <row r="350" customFormat="false" ht="15.75" hidden="false" customHeight="false" outlineLevel="0" collapsed="false">
      <c r="A350" s="7"/>
      <c r="B350" s="90"/>
      <c r="C350" s="91"/>
      <c r="D350" s="126"/>
      <c r="E350" s="130"/>
      <c r="F350" s="135"/>
      <c r="G350" s="130"/>
      <c r="H350" s="135"/>
      <c r="I350" s="131"/>
      <c r="J350" s="131"/>
      <c r="K350" s="131"/>
      <c r="L350" s="130"/>
      <c r="M350" s="130"/>
      <c r="N350" s="130"/>
      <c r="O350" s="135"/>
      <c r="P350" s="130"/>
      <c r="Q350" s="130"/>
      <c r="R350" s="130"/>
      <c r="S350" s="130"/>
      <c r="T350" s="135"/>
      <c r="U350" s="130"/>
      <c r="V350" s="96"/>
      <c r="W350" s="130"/>
      <c r="X350" s="130"/>
      <c r="Y350" s="96"/>
      <c r="Z350" s="96"/>
      <c r="AA350" s="130"/>
      <c r="AB350" s="130"/>
      <c r="AC350" s="97"/>
      <c r="AD350" s="130"/>
      <c r="AE350" s="99"/>
      <c r="AF350" s="100"/>
      <c r="AG350" s="100"/>
      <c r="AH350" s="100" t="str">
        <f aca="false">IF(ISBLANK($C350),"",IF($E350=Constants!$B$2,TRUE(),IF($E350=Constants!$B$3,FALSE(),TRUE())))</f>
        <v/>
      </c>
      <c r="AI350" s="100" t="str">
        <f aca="false">IF(ISBLANK($C350),"",IF($F350=Constants!$B$2,TRUE(),IF($F350=Constants!$B$3,FALSE(),FALSE())))</f>
        <v/>
      </c>
      <c r="AJ350" s="100" t="str">
        <f aca="false">IF(ISBLANK($C350),"",IF($G350=Constants!$B$2,TRUE(),IF($G350=Constants!$B$3,FALSE(),TRUE())))</f>
        <v/>
      </c>
      <c r="AK350" s="100" t="str">
        <f aca="false">IF(ISBLANK($C350),"",IF($H350=Constants!$B$2,TRUE(),IF($H350=Constants!$B$3,FALSE(),TRUE())))</f>
        <v/>
      </c>
      <c r="AL350" s="100" t="str">
        <f aca="false">IF(ISBLANK($C350),"",IF(ISNUMBER($I350),IF($I350&gt;=0,$I350,""),""))</f>
        <v/>
      </c>
      <c r="AM350" s="100" t="str">
        <f aca="false">IF(ISBLANK($C350),"",IF(ISNUMBER($J350),IF($J350&gt;=0,$J350,""),""))</f>
        <v/>
      </c>
      <c r="AN350" s="100" t="str">
        <f aca="false">IF(ISBLANK($C350),"",IF(ISNUMBER($K350),IF($K350&gt;=0,$K350,""),""))</f>
        <v/>
      </c>
      <c r="AO350" s="100" t="str">
        <f aca="false">IF(ISBLANK($C350),"",IF($L350=Constants!$B$2,TRUE(),IF($L350=Constants!$B$3,FALSE(),TRUE())))</f>
        <v/>
      </c>
      <c r="AP350" s="100" t="str">
        <f aca="false">IF(ISBLANK($C350),"",IF($M350=Constants!$B$2,TRUE(),IF($M350=Constants!$B$3,FALSE(),TRUE())))</f>
        <v/>
      </c>
      <c r="AQ350" s="100" t="str">
        <f aca="false">IF(ISBLANK($C350),"",IF($N350=Constants!$B$2,TRUE(),IF($N350=Constants!$B$3,FALSE(),FALSE())))</f>
        <v/>
      </c>
      <c r="AR350" s="100" t="str">
        <f aca="false">IF(ISBLANK($C350),"",IF($O350=Constants!$B$2,TRUE(),IF($O350=Constants!$B$3,FALSE(),TRUE())))</f>
        <v/>
      </c>
      <c r="AS350" s="100" t="str">
        <f aca="false">IF(ISBLANK($C350),"",IF($P350=Constants!$B$2,TRUE(),IF($P350=Constants!$B$3,FALSE(),FALSE())))</f>
        <v/>
      </c>
      <c r="AT350" s="100" t="str">
        <f aca="false">IF(ISBLANK($C350),"",IF($Q350=Constants!$B$2,TRUE(),IF($Q350=Constants!$B$3,FALSE(),FALSE())))</f>
        <v/>
      </c>
      <c r="AU350" s="100" t="str">
        <f aca="false">IF(ISBLANK($C350),"",IF($R350=Constants!$B$2,TRUE(),IF($R350=Constants!$B$3,FALSE(),FALSE())))</f>
        <v/>
      </c>
      <c r="AV350" s="100" t="str">
        <f aca="false">IF(ISBLANK($C350),"",IF($S350=Constants!$B$2,TRUE(),IF($S350=Constants!$B$3,FALSE(),FALSE())))</f>
        <v/>
      </c>
      <c r="AW350" s="100" t="str">
        <f aca="false">IF(ISBLANK($C350),"",IF($T350=Constants!$B$2,TRUE(),IF($T350=Constants!$B$3,FALSE(),FALSE())))</f>
        <v/>
      </c>
      <c r="AX350" s="100" t="str">
        <f aca="false">IF(ISBLANK($C350),"",IF(OR($U350&amp;""="1",$U350&amp;""="2",$U350&amp;""="3",$U350&amp;""="4"),VALUE($U350&amp;""),IF($U350=Constants!$B$12,Constants!$B$12,"")))</f>
        <v/>
      </c>
      <c r="AY350" s="100" t="str">
        <f aca="false">IF(ISBLANK($C350),"",IF(ISBLANK($V350),0,IF(ISNUMBER($V350),IF(AND($V350&gt;=0,$V350&lt;=Constants!$B$21,$V350=INT($V350)),$V350,""),"")))</f>
        <v/>
      </c>
      <c r="AZ350" s="100" t="str">
        <f aca="false">IF(ISBLANK($C350),"",IF(ISBLANK($W350),0,IF(ISNUMBER($W350),IF($W350&gt;=0,$W350,""),"")))</f>
        <v/>
      </c>
      <c r="BA350" s="100" t="str">
        <f aca="false">IF(ISBLANK($C350),"",IF($X350=Constants!$B$2,TRUE(),IF($X350=Constants!$B$3,FALSE(),TRUE())))</f>
        <v/>
      </c>
      <c r="BB350" s="100" t="str">
        <f aca="false">IF(ISBLANK($C350),"",IF($Y350=Constants!$B$2,TRUE(),IF($Y350=Constants!$B$3,FALSE(),FALSE())))</f>
        <v/>
      </c>
      <c r="BC350" s="100" t="str">
        <f aca="false">IF(ISBLANK($C350),"",IF(ISBLANK($Z350),0,IF(ISNUMBER($Z350),IF(AND($Z350&gt;=0,$Z350&lt;=Constants!$B$35,$Z350=INT($Z350)),$Z350,""),"")))</f>
        <v/>
      </c>
      <c r="BD350" s="100" t="str">
        <f aca="false">IF(ISBLANK($C350),"",IF($AA350=Constants!$B$2,TRUE(),IF($AA350=Constants!$B$3,FALSE(),TRUE())))</f>
        <v/>
      </c>
      <c r="BE350" s="100" t="str">
        <f aca="false">IF(ISBLANK($C350),"",IF($AB350=Constants!$B$2,TRUE(),IF($AB350=Constants!$B$3,FALSE(),TRUE())))</f>
        <v/>
      </c>
      <c r="BF350" s="100" t="str">
        <f aca="false">IF(ISBLANK($C350),"",IF(ISNUMBER($AC350),IF($AC350&gt;=0,$AC350,""),""))</f>
        <v/>
      </c>
      <c r="BG350" s="100" t="str">
        <f aca="false">IF(ISBLANK($C350),"",IF($AD350=Constants!$B$2,TRUE(),IF($AD350=Constants!$B$3,FALSE(),FALSE())))</f>
        <v/>
      </c>
      <c r="BH350" s="99" t="str">
        <f aca="false">IF(ISBLANK($C350),"",IF($BG350,Constants!$B$7,IF(COUNTA($E350:$AC350)=0,Constants!$B$6,IF(OR(COUNTA($G350:$AC350)=0,NOT($AK350),$AQ350),Constants!$B$5,IF(OR($CI350&lt;&gt;"",$CJ350,$CK350,$CL350,$CM350,$CN350,$CO350),Constants!$B$8,Constants!$B$4)))))</f>
        <v/>
      </c>
      <c r="BI350" s="100" t="str">
        <f aca="false">IF(ISBLANK($C350),"",IF($BH350&lt;&gt;Constants!$B$4,$BH350,IF(OR(NOT($AH350),NOT($AJ350),NOT($AR350)),Constants!$B$11,IF(OR(NOT($AP350),MAX($AL350,$AM350,$AN350)&gt;Constants!$B$30),Constants!$B$10,Constants!$B$9))))</f>
        <v/>
      </c>
      <c r="BJ350" s="100" t="str">
        <f aca="false">IF($BH350&lt;&gt;Constants!$B$4,"",IF(NOT($AJ350),0,MIN(Constants!$B$35,$BC350)))</f>
        <v/>
      </c>
      <c r="BK350" s="100" t="str">
        <f aca="false">IF($BH350&lt;&gt;Constants!$B$4,"",IF(NOT($AJ350),0,IF($AT350,Constants!$B$18,IF($AS350,Constants!$B$17,0))))</f>
        <v/>
      </c>
      <c r="BL350" s="100" t="str">
        <f aca="false">IF($BH350&lt;&gt;Constants!$B$4,"",IF(NOT($AJ350),0,Constants!$B$19*($AI350+$AU350+$AV350+$AW350)))</f>
        <v/>
      </c>
      <c r="BM350" s="100" t="str">
        <f aca="false">IF($BH350&lt;&gt;Constants!$B$4,"",IF(OR(NOT($AJ350),NOT(ISNUMBER($AX350))),0,CHOOSE($AX350,Constants!$B$13,Constants!$B$14,Constants!$B$15,Constants!$B$16)))</f>
        <v/>
      </c>
      <c r="BN350" s="100" t="str">
        <f aca="false">IF($BH350&lt;&gt;Constants!$B$4,"",IF(NOT($AJ350),0,Constants!$B$20*$AY350))</f>
        <v/>
      </c>
      <c r="BO350" s="100" t="str">
        <f aca="false">IF($BH350&lt;&gt;Constants!$B$4,"",IF(AND($AJ350,$BA350,$BB350),Constants!$B$22,0))</f>
        <v/>
      </c>
      <c r="BP350" s="100" t="str">
        <f aca="false">IF($BH350&lt;&gt;Constants!$B$4,"",IF(OR(NOT($AJ350),NOT($BA350)),0,IF($BF350&gt;=2*$AF$9,0,Constants!$B$23*INT(ROUND(MIN($BF350,$AF$9),6)))))</f>
        <v/>
      </c>
      <c r="BQ350" s="100" t="str">
        <f aca="false">IF($BH350&lt;&gt;Constants!$B$4,"",IF(NOT($AJ350),0,Constants!$B$24*INT(ROUND(MIN($AZ350,$AF$9),6))))</f>
        <v/>
      </c>
      <c r="BR350" s="100" t="str">
        <f aca="false">IF($BH350&lt;&gt;Constants!$B$4,"",IF(AND($AJ350,$BJ350=0),Constants!$B$25,0))</f>
        <v/>
      </c>
      <c r="BS350" s="100" t="str">
        <f aca="false">IF($BH350&lt;&gt;Constants!$B$4,"",MIN(Constants!$B$29,MAX(0,Constants!$B$27*Constants!$B$28*INT(ROUND((Constants!$B$26-$AL350)/Constants!$B$28,6))))+MIN(Constants!$B$29,MAX(0,Constants!$B$27*Constants!$B$28*INT(ROUND((Constants!$B$26-$AM350)/Constants!$B$28,6))))+MIN(Constants!$B$29,MAX(0,Constants!$B$27*Constants!$B$28*INT(ROUND((Constants!$B$26-$AN350)/Constants!$B$28,6)))))</f>
        <v/>
      </c>
      <c r="BT350" s="100" t="str">
        <f aca="false">IF($BH350&lt;&gt;Constants!$B$4,"",IF(NOT($AJ350),0,Constants!$B$31*INT(ROUND(MAX(0,MIN($BF350,2*$AF$9)-$AF$9),6))))</f>
        <v/>
      </c>
      <c r="BU350" s="100" t="str">
        <f aca="false">IF($BH350&lt;&gt;Constants!$B$4,"",Constants!$B$32*(($AL350&gt;Constants!$B$26)+($AM350&gt;Constants!$B$26)+($AN350&gt;Constants!$B$26)))</f>
        <v/>
      </c>
      <c r="BV350" s="100" t="str">
        <f aca="false">IF($BH350&lt;&gt;Constants!$B$4,"",IF(OR(NOT($AJ350),$AO350),0,Constants!$B$33))</f>
        <v/>
      </c>
      <c r="BW350" s="100" t="str">
        <f aca="false">IF($BH350&lt;&gt;Constants!$B$4,"",Constants!$B$34*$BJ350)</f>
        <v/>
      </c>
      <c r="BX350" s="100" t="str">
        <f aca="false">IF($BH350&lt;&gt;Constants!$B$4,"",IF(OR(NOT($AJ350),$BE350),0,Constants!$B$36))</f>
        <v/>
      </c>
      <c r="BY350" s="100" t="str">
        <f aca="false">IF($BH350&lt;&gt;Constants!$B$4,"",IF(OR(NOT($AJ350),$BD350),0,Constants!$B$37))</f>
        <v/>
      </c>
      <c r="BZ350" s="100" t="str">
        <f aca="false">IF($BH350&lt;&gt;Constants!$B$4,"",SUM($BT350:$BY350))</f>
        <v/>
      </c>
      <c r="CA350" s="100" t="str">
        <f aca="false">IF(ISBLANK($C350),"",IF($BH350&lt;&gt;Constants!$B$4,$BH350,SUM($BK350:$BS350)-$BZ350))</f>
        <v/>
      </c>
      <c r="CB350" s="100" t="str">
        <f aca="false">IF(ISBLANK($C350),"",IF($BH350&lt;&gt;Constants!$B$4,$BH350,RANK($CA350,$CA$9:$CA$508)))</f>
        <v/>
      </c>
      <c r="CC350" s="100" t="str">
        <f aca="false">IF(ISBLANK($C350),"",IF($BH350&lt;&gt;Constants!$B$4,$BH350,COUNTIFS($BI$9:$BI$508,"&lt;"&amp;$BI350)+COUNTIFS($BI$9:$BI$508,$BI350,$CB$9:$CB$508,"&lt;"&amp;$CB350)+1))</f>
        <v/>
      </c>
      <c r="CD350" s="100" t="str">
        <f aca="false">IF(ISBLANK($C350),"",IF($BH350&lt;&gt;Constants!$B$4,$BH350,RANK($BZ350,$BZ$9:$BZ$508,1)))</f>
        <v/>
      </c>
      <c r="CE350" s="100" t="str">
        <f aca="false">IF($BH350&lt;&gt;Constants!$B$4,"",$AL350+$AM350+$AN350)</f>
        <v/>
      </c>
      <c r="CF350" s="100" t="str">
        <f aca="false">IF(ISBLANK($C350),"",IF($BH350&lt;&gt;Constants!$B$4,$BH350,RANK($CE350,$CE$9:$CE$508,1)))</f>
        <v/>
      </c>
      <c r="CG350" s="100" t="str">
        <f aca="false">IF(ISBLANK($C350),"",IF($BH350&lt;&gt;Constants!$B$4,$BH350,COUNTIFS($BI$9:$BI$508,"&lt;"&amp;$BI350)+COUNTIFS($BI$9:$BI$508,$BI350,$CB$9:$CB$508,"&lt;"&amp;$CB350)+COUNTIFS($BI$9:$BI$508,$BI350,$CB$9:$CB$508,$CB350,$CD$9:$CD$508,"&lt;"&amp;$CD350)+COUNTIFS($BI$9:$BI$508,$BI350,$CB$9:$CB$508,$CB350,$CD$9:$CD$508,$CD350,$CF$9:$CF$508,"&lt;"&amp;$CF350)+1))</f>
        <v/>
      </c>
      <c r="CH350" s="100" t="str">
        <f aca="false">IF(ISBLANK($C350),"",IF($BH350&lt;&gt;Constants!$B$4,$BH350,$CC350-$CG350))</f>
        <v/>
      </c>
      <c r="CI350" s="100" t="str">
        <f aca="false">IF(ISBLANK($C350),"",IF(NOT($AJ350),"",IF(ISBLANK($D$7),$CI$5,IF(NOT(ISNUMBER($D$7)),$CI$6,""))))</f>
        <v/>
      </c>
      <c r="CJ350" s="100" t="str">
        <f aca="false">IF(ISBLANK($C350),"",OR($AL350="",$AM350="",$AN350=""))</f>
        <v/>
      </c>
      <c r="CK350" s="100" t="str">
        <f aca="false">IF(ISBLANK($C350),"",AND($AJ350,$AX350=""))</f>
        <v/>
      </c>
      <c r="CL350" s="100" t="str">
        <f aca="false">IF(ISBLANK($C350),"",AND($AJ350,$AY350=""))</f>
        <v/>
      </c>
      <c r="CM350" s="100" t="str">
        <f aca="false">IF(ISBLANK($C350),"",AND($AJ350,$AZ350=""))</f>
        <v/>
      </c>
      <c r="CN350" s="100" t="str">
        <f aca="false">IF(ISBLANK($C350),"",AND($AJ350,$BC350=""))</f>
        <v/>
      </c>
      <c r="CO350" s="100" t="str">
        <f aca="false">IF(ISBLANK($C350),"",AND($AJ350,$BF350=""))</f>
        <v/>
      </c>
      <c r="CP350" s="101"/>
      <c r="CQ350" s="102"/>
      <c r="CR350" s="103" t="str">
        <f aca="false">IF(ISBLANK($C350),"",IF($BH350=Constants!$B$8,$CI350,""))</f>
        <v/>
      </c>
      <c r="CS350" s="102" t="str">
        <f aca="false">IF(ISBLANK($C350),"",IF($BH350&lt;&gt;Constants!$B$4,"",$BK350+$BL350))</f>
        <v/>
      </c>
      <c r="CT350" s="104" t="str">
        <f aca="false">IF(ISBLANK($C350),"",IF($BH350&lt;&gt;Constants!$B$4,"",$BM350+$BN350+$BO350))</f>
        <v/>
      </c>
      <c r="CU350" s="104" t="str">
        <f aca="false">IF(ISBLANK($C350),"",IF($BH350&lt;&gt;Constants!$B$4,"",$BP350))</f>
        <v/>
      </c>
      <c r="CV350" s="104" t="str">
        <f aca="false">IF(ISBLANK($C350),"",IF($BH350&lt;&gt;Constants!$B$4,"",$BQ350+$BR350))</f>
        <v/>
      </c>
      <c r="CW350" s="104" t="str">
        <f aca="false">IF(ISBLANK($C350),"",IF($BH350&lt;&gt;Constants!$B$4,"",$BS350))</f>
        <v/>
      </c>
      <c r="CX350" s="104" t="str">
        <f aca="false">IF(ISBLANK($C350),"",IF($BH350&lt;&gt;Constants!$B$4,"",-$BZ350))</f>
        <v/>
      </c>
      <c r="CY350" s="103" t="str">
        <f aca="false">IF(ISBLANK($C350),"",$CA350)</f>
        <v/>
      </c>
      <c r="CZ350" s="105" t="str">
        <f aca="false">IF(ISBLANK($C350),"",$BI350)</f>
        <v/>
      </c>
      <c r="DA350" s="104" t="str">
        <f aca="false">IF(ISBLANK($C350),"",$CH350)</f>
        <v/>
      </c>
      <c r="DB350" s="104" t="str">
        <f aca="false">IF(ISBLANK($C350),"",$CG350)</f>
        <v/>
      </c>
      <c r="DC350" s="106" t="str">
        <f aca="false">IF(ISBLANK($C350),"",IFERROR(_xlfn.SWITCH($DB350,Constants!$B$7,COUNTA($C$9:$C$508)+2,Constants!$B$6,COUNTA($C$9:$C$508)+1,Constants!$B$5,COUNTA($C$9:$C$508)),$DB350))</f>
        <v/>
      </c>
      <c r="DD350" s="7"/>
      <c r="DE350" s="107" t="n">
        <f aca="false">IF(OR(ISNUMBER($DB350),$DB350=Constants!$B$7,$DB350=Constants!$B$5,$DB350=Constants!$B$6),1,0)</f>
        <v>0</v>
      </c>
      <c r="DF350" s="107" t="n">
        <v>342</v>
      </c>
      <c r="DG350" s="107" t="str">
        <f aca="false">IF(ISBLANK($C350),"",IF(ISNUMBER($DC350),$DC350+ROW($B350)/1000,""))</f>
        <v/>
      </c>
      <c r="DH350" s="107" t="str">
        <f aca="false">IF(ISNUMBER($DG350),RANK($DG350,$DG$9:$DG$508,1),"")</f>
        <v/>
      </c>
      <c r="DI350" s="107" t="str">
        <f aca="false">IF(ISBLANK($C350),"",$B350)</f>
        <v/>
      </c>
      <c r="DJ350" s="107" t="str">
        <f aca="false">IF(ISBLANK($C350),"",$C350)</f>
        <v/>
      </c>
      <c r="DK350" s="107" t="str">
        <f aca="false">IF(ISBLANK($C350),"",$D350)</f>
        <v/>
      </c>
      <c r="DL350" s="108" t="str">
        <f aca="false">$CZ350</f>
        <v/>
      </c>
      <c r="DM350" s="109" t="str">
        <f aca="false">$CY350</f>
        <v/>
      </c>
      <c r="DN350" s="107" t="str">
        <f aca="false">IF(ISBLANK($C350),"",$DB350)</f>
        <v/>
      </c>
      <c r="DO350" s="110" t="str">
        <f aca="false">IF($DF350&gt;$DE$8,"",VLOOKUP($DF350,$DH$9:$DN$508,7,FALSE()))</f>
        <v/>
      </c>
      <c r="DP350" s="111" t="str">
        <f aca="false">IF($DF350&gt;$DE$8,"",VLOOKUP($DF350,$DH$9:$DN$508,2,FALSE()))</f>
        <v/>
      </c>
      <c r="DQ350" s="111" t="str">
        <f aca="false">IF($DF350&gt;$DE$8,"",VLOOKUP($DF350,$DH$9:$DN$508,3,FALSE()))</f>
        <v/>
      </c>
      <c r="DR350" s="111" t="str">
        <f aca="false">IF($DF350&gt;$DE$8,"",VLOOKUP($DF350,$DH$9:$DN$508,4,FALSE()))</f>
        <v/>
      </c>
      <c r="DS350" s="111" t="str">
        <f aca="false">IF($DF350&gt;$DE$8,"",VLOOKUP($DF350,$DH$9:$DN$508,5,FALSE()))</f>
        <v/>
      </c>
      <c r="DT350" s="112" t="str">
        <f aca="false">IF($DF350&gt;$DE$8,"",VLOOKUP($DF350,$DH$9:$DN$508,6,FALSE()))</f>
        <v/>
      </c>
      <c r="DU350" s="62"/>
    </row>
    <row r="351" customFormat="false" ht="15.75" hidden="false" customHeight="false" outlineLevel="0" collapsed="false">
      <c r="A351" s="7"/>
      <c r="B351" s="64"/>
      <c r="C351" s="65"/>
      <c r="D351" s="123"/>
      <c r="E351" s="88"/>
      <c r="F351" s="134"/>
      <c r="G351" s="88"/>
      <c r="H351" s="134"/>
      <c r="I351" s="119"/>
      <c r="J351" s="119"/>
      <c r="K351" s="119"/>
      <c r="L351" s="88"/>
      <c r="M351" s="88"/>
      <c r="N351" s="88"/>
      <c r="O351" s="134"/>
      <c r="P351" s="88"/>
      <c r="Q351" s="88"/>
      <c r="R351" s="88"/>
      <c r="S351" s="88"/>
      <c r="T351" s="134"/>
      <c r="U351" s="88"/>
      <c r="V351" s="70"/>
      <c r="W351" s="88"/>
      <c r="X351" s="88"/>
      <c r="Y351" s="70"/>
      <c r="Z351" s="70"/>
      <c r="AA351" s="88"/>
      <c r="AB351" s="88"/>
      <c r="AC351" s="71"/>
      <c r="AD351" s="88"/>
      <c r="AE351" s="73"/>
      <c r="AF351" s="74"/>
      <c r="AG351" s="74"/>
      <c r="AH351" s="74" t="str">
        <f aca="false">IF(ISBLANK($C351),"",IF($E351=Constants!$B$2,TRUE(),IF($E351=Constants!$B$3,FALSE(),TRUE())))</f>
        <v/>
      </c>
      <c r="AI351" s="74" t="str">
        <f aca="false">IF(ISBLANK($C351),"",IF($F351=Constants!$B$2,TRUE(),IF($F351=Constants!$B$3,FALSE(),FALSE())))</f>
        <v/>
      </c>
      <c r="AJ351" s="74" t="str">
        <f aca="false">IF(ISBLANK($C351),"",IF($G351=Constants!$B$2,TRUE(),IF($G351=Constants!$B$3,FALSE(),TRUE())))</f>
        <v/>
      </c>
      <c r="AK351" s="74" t="str">
        <f aca="false">IF(ISBLANK($C351),"",IF($H351=Constants!$B$2,TRUE(),IF($H351=Constants!$B$3,FALSE(),TRUE())))</f>
        <v/>
      </c>
      <c r="AL351" s="74" t="str">
        <f aca="false">IF(ISBLANK($C351),"",IF(ISNUMBER($I351),IF($I351&gt;=0,$I351,""),""))</f>
        <v/>
      </c>
      <c r="AM351" s="74" t="str">
        <f aca="false">IF(ISBLANK($C351),"",IF(ISNUMBER($J351),IF($J351&gt;=0,$J351,""),""))</f>
        <v/>
      </c>
      <c r="AN351" s="74" t="str">
        <f aca="false">IF(ISBLANK($C351),"",IF(ISNUMBER($K351),IF($K351&gt;=0,$K351,""),""))</f>
        <v/>
      </c>
      <c r="AO351" s="74" t="str">
        <f aca="false">IF(ISBLANK($C351),"",IF($L351=Constants!$B$2,TRUE(),IF($L351=Constants!$B$3,FALSE(),TRUE())))</f>
        <v/>
      </c>
      <c r="AP351" s="74" t="str">
        <f aca="false">IF(ISBLANK($C351),"",IF($M351=Constants!$B$2,TRUE(),IF($M351=Constants!$B$3,FALSE(),TRUE())))</f>
        <v/>
      </c>
      <c r="AQ351" s="74" t="str">
        <f aca="false">IF(ISBLANK($C351),"",IF($N351=Constants!$B$2,TRUE(),IF($N351=Constants!$B$3,FALSE(),FALSE())))</f>
        <v/>
      </c>
      <c r="AR351" s="74" t="str">
        <f aca="false">IF(ISBLANK($C351),"",IF($O351=Constants!$B$2,TRUE(),IF($O351=Constants!$B$3,FALSE(),TRUE())))</f>
        <v/>
      </c>
      <c r="AS351" s="74" t="str">
        <f aca="false">IF(ISBLANK($C351),"",IF($P351=Constants!$B$2,TRUE(),IF($P351=Constants!$B$3,FALSE(),FALSE())))</f>
        <v/>
      </c>
      <c r="AT351" s="74" t="str">
        <f aca="false">IF(ISBLANK($C351),"",IF($Q351=Constants!$B$2,TRUE(),IF($Q351=Constants!$B$3,FALSE(),FALSE())))</f>
        <v/>
      </c>
      <c r="AU351" s="74" t="str">
        <f aca="false">IF(ISBLANK($C351),"",IF($R351=Constants!$B$2,TRUE(),IF($R351=Constants!$B$3,FALSE(),FALSE())))</f>
        <v/>
      </c>
      <c r="AV351" s="74" t="str">
        <f aca="false">IF(ISBLANK($C351),"",IF($S351=Constants!$B$2,TRUE(),IF($S351=Constants!$B$3,FALSE(),FALSE())))</f>
        <v/>
      </c>
      <c r="AW351" s="74" t="str">
        <f aca="false">IF(ISBLANK($C351),"",IF($T351=Constants!$B$2,TRUE(),IF($T351=Constants!$B$3,FALSE(),FALSE())))</f>
        <v/>
      </c>
      <c r="AX351" s="74" t="str">
        <f aca="false">IF(ISBLANK($C351),"",IF(OR($U351&amp;""="1",$U351&amp;""="2",$U351&amp;""="3",$U351&amp;""="4"),VALUE($U351&amp;""),IF($U351=Constants!$B$12,Constants!$B$12,"")))</f>
        <v/>
      </c>
      <c r="AY351" s="74" t="str">
        <f aca="false">IF(ISBLANK($C351),"",IF(ISBLANK($V351),0,IF(ISNUMBER($V351),IF(AND($V351&gt;=0,$V351&lt;=Constants!$B$21,$V351=INT($V351)),$V351,""),"")))</f>
        <v/>
      </c>
      <c r="AZ351" s="74" t="str">
        <f aca="false">IF(ISBLANK($C351),"",IF(ISBLANK($W351),0,IF(ISNUMBER($W351),IF($W351&gt;=0,$W351,""),"")))</f>
        <v/>
      </c>
      <c r="BA351" s="74" t="str">
        <f aca="false">IF(ISBLANK($C351),"",IF($X351=Constants!$B$2,TRUE(),IF($X351=Constants!$B$3,FALSE(),TRUE())))</f>
        <v/>
      </c>
      <c r="BB351" s="74" t="str">
        <f aca="false">IF(ISBLANK($C351),"",IF($Y351=Constants!$B$2,TRUE(),IF($Y351=Constants!$B$3,FALSE(),FALSE())))</f>
        <v/>
      </c>
      <c r="BC351" s="74" t="str">
        <f aca="false">IF(ISBLANK($C351),"",IF(ISBLANK($Z351),0,IF(ISNUMBER($Z351),IF(AND($Z351&gt;=0,$Z351&lt;=Constants!$B$35,$Z351=INT($Z351)),$Z351,""),"")))</f>
        <v/>
      </c>
      <c r="BD351" s="74" t="str">
        <f aca="false">IF(ISBLANK($C351),"",IF($AA351=Constants!$B$2,TRUE(),IF($AA351=Constants!$B$3,FALSE(),TRUE())))</f>
        <v/>
      </c>
      <c r="BE351" s="74" t="str">
        <f aca="false">IF(ISBLANK($C351),"",IF($AB351=Constants!$B$2,TRUE(),IF($AB351=Constants!$B$3,FALSE(),TRUE())))</f>
        <v/>
      </c>
      <c r="BF351" s="74" t="str">
        <f aca="false">IF(ISBLANK($C351),"",IF(ISNUMBER($AC351),IF($AC351&gt;=0,$AC351,""),""))</f>
        <v/>
      </c>
      <c r="BG351" s="74" t="str">
        <f aca="false">IF(ISBLANK($C351),"",IF($AD351=Constants!$B$2,TRUE(),IF($AD351=Constants!$B$3,FALSE(),FALSE())))</f>
        <v/>
      </c>
      <c r="BH351" s="73" t="str">
        <f aca="false">IF(ISBLANK($C351),"",IF($BG351,Constants!$B$7,IF(COUNTA($E351:$AC351)=0,Constants!$B$6,IF(OR(COUNTA($G351:$AC351)=0,NOT($AK351),$AQ351),Constants!$B$5,IF(OR($CI351&lt;&gt;"",$CJ351,$CK351,$CL351,$CM351,$CN351,$CO351),Constants!$B$8,Constants!$B$4)))))</f>
        <v/>
      </c>
      <c r="BI351" s="74" t="str">
        <f aca="false">IF(ISBLANK($C351),"",IF($BH351&lt;&gt;Constants!$B$4,$BH351,IF(OR(NOT($AH351),NOT($AJ351),NOT($AR351)),Constants!$B$11,IF(OR(NOT($AP351),MAX($AL351,$AM351,$AN351)&gt;Constants!$B$30),Constants!$B$10,Constants!$B$9))))</f>
        <v/>
      </c>
      <c r="BJ351" s="74" t="str">
        <f aca="false">IF($BH351&lt;&gt;Constants!$B$4,"",IF(NOT($AJ351),0,MIN(Constants!$B$35,$BC351)))</f>
        <v/>
      </c>
      <c r="BK351" s="74" t="str">
        <f aca="false">IF($BH351&lt;&gt;Constants!$B$4,"",IF(NOT($AJ351),0,IF($AT351,Constants!$B$18,IF($AS351,Constants!$B$17,0))))</f>
        <v/>
      </c>
      <c r="BL351" s="74" t="str">
        <f aca="false">IF($BH351&lt;&gt;Constants!$B$4,"",IF(NOT($AJ351),0,Constants!$B$19*($AI351+$AU351+$AV351+$AW351)))</f>
        <v/>
      </c>
      <c r="BM351" s="74" t="str">
        <f aca="false">IF($BH351&lt;&gt;Constants!$B$4,"",IF(OR(NOT($AJ351),NOT(ISNUMBER($AX351))),0,CHOOSE($AX351,Constants!$B$13,Constants!$B$14,Constants!$B$15,Constants!$B$16)))</f>
        <v/>
      </c>
      <c r="BN351" s="74" t="str">
        <f aca="false">IF($BH351&lt;&gt;Constants!$B$4,"",IF(NOT($AJ351),0,Constants!$B$20*$AY351))</f>
        <v/>
      </c>
      <c r="BO351" s="74" t="str">
        <f aca="false">IF($BH351&lt;&gt;Constants!$B$4,"",IF(AND($AJ351,$BA351,$BB351),Constants!$B$22,0))</f>
        <v/>
      </c>
      <c r="BP351" s="74" t="str">
        <f aca="false">IF($BH351&lt;&gt;Constants!$B$4,"",IF(OR(NOT($AJ351),NOT($BA351)),0,IF($BF351&gt;=2*$AF$9,0,Constants!$B$23*INT(ROUND(MIN($BF351,$AF$9),6)))))</f>
        <v/>
      </c>
      <c r="BQ351" s="74" t="str">
        <f aca="false">IF($BH351&lt;&gt;Constants!$B$4,"",IF(NOT($AJ351),0,Constants!$B$24*INT(ROUND(MIN($AZ351,$AF$9),6))))</f>
        <v/>
      </c>
      <c r="BR351" s="74" t="str">
        <f aca="false">IF($BH351&lt;&gt;Constants!$B$4,"",IF(AND($AJ351,$BJ351=0),Constants!$B$25,0))</f>
        <v/>
      </c>
      <c r="BS351" s="74" t="str">
        <f aca="false">IF($BH351&lt;&gt;Constants!$B$4,"",MIN(Constants!$B$29,MAX(0,Constants!$B$27*Constants!$B$28*INT(ROUND((Constants!$B$26-$AL351)/Constants!$B$28,6))))+MIN(Constants!$B$29,MAX(0,Constants!$B$27*Constants!$B$28*INT(ROUND((Constants!$B$26-$AM351)/Constants!$B$28,6))))+MIN(Constants!$B$29,MAX(0,Constants!$B$27*Constants!$B$28*INT(ROUND((Constants!$B$26-$AN351)/Constants!$B$28,6)))))</f>
        <v/>
      </c>
      <c r="BT351" s="74" t="str">
        <f aca="false">IF($BH351&lt;&gt;Constants!$B$4,"",IF(NOT($AJ351),0,Constants!$B$31*INT(ROUND(MAX(0,MIN($BF351,2*$AF$9)-$AF$9),6))))</f>
        <v/>
      </c>
      <c r="BU351" s="74" t="str">
        <f aca="false">IF($BH351&lt;&gt;Constants!$B$4,"",Constants!$B$32*(($AL351&gt;Constants!$B$26)+($AM351&gt;Constants!$B$26)+($AN351&gt;Constants!$B$26)))</f>
        <v/>
      </c>
      <c r="BV351" s="74" t="str">
        <f aca="false">IF($BH351&lt;&gt;Constants!$B$4,"",IF(OR(NOT($AJ351),$AO351),0,Constants!$B$33))</f>
        <v/>
      </c>
      <c r="BW351" s="74" t="str">
        <f aca="false">IF($BH351&lt;&gt;Constants!$B$4,"",Constants!$B$34*$BJ351)</f>
        <v/>
      </c>
      <c r="BX351" s="74" t="str">
        <f aca="false">IF($BH351&lt;&gt;Constants!$B$4,"",IF(OR(NOT($AJ351),$BE351),0,Constants!$B$36))</f>
        <v/>
      </c>
      <c r="BY351" s="74" t="str">
        <f aca="false">IF($BH351&lt;&gt;Constants!$B$4,"",IF(OR(NOT($AJ351),$BD351),0,Constants!$B$37))</f>
        <v/>
      </c>
      <c r="BZ351" s="74" t="str">
        <f aca="false">IF($BH351&lt;&gt;Constants!$B$4,"",SUM($BT351:$BY351))</f>
        <v/>
      </c>
      <c r="CA351" s="74" t="str">
        <f aca="false">IF(ISBLANK($C351),"",IF($BH351&lt;&gt;Constants!$B$4,$BH351,SUM($BK351:$BS351)-$BZ351))</f>
        <v/>
      </c>
      <c r="CB351" s="74" t="str">
        <f aca="false">IF(ISBLANK($C351),"",IF($BH351&lt;&gt;Constants!$B$4,$BH351,RANK($CA351,$CA$9:$CA$508)))</f>
        <v/>
      </c>
      <c r="CC351" s="74" t="str">
        <f aca="false">IF(ISBLANK($C351),"",IF($BH351&lt;&gt;Constants!$B$4,$BH351,COUNTIFS($BI$9:$BI$508,"&lt;"&amp;$BI351)+COUNTIFS($BI$9:$BI$508,$BI351,$CB$9:$CB$508,"&lt;"&amp;$CB351)+1))</f>
        <v/>
      </c>
      <c r="CD351" s="74" t="str">
        <f aca="false">IF(ISBLANK($C351),"",IF($BH351&lt;&gt;Constants!$B$4,$BH351,RANK($BZ351,$BZ$9:$BZ$508,1)))</f>
        <v/>
      </c>
      <c r="CE351" s="74" t="str">
        <f aca="false">IF($BH351&lt;&gt;Constants!$B$4,"",$AL351+$AM351+$AN351)</f>
        <v/>
      </c>
      <c r="CF351" s="74" t="str">
        <f aca="false">IF(ISBLANK($C351),"",IF($BH351&lt;&gt;Constants!$B$4,$BH351,RANK($CE351,$CE$9:$CE$508,1)))</f>
        <v/>
      </c>
      <c r="CG351" s="74" t="str">
        <f aca="false">IF(ISBLANK($C351),"",IF($BH351&lt;&gt;Constants!$B$4,$BH351,COUNTIFS($BI$9:$BI$508,"&lt;"&amp;$BI351)+COUNTIFS($BI$9:$BI$508,$BI351,$CB$9:$CB$508,"&lt;"&amp;$CB351)+COUNTIFS($BI$9:$BI$508,$BI351,$CB$9:$CB$508,$CB351,$CD$9:$CD$508,"&lt;"&amp;$CD351)+COUNTIFS($BI$9:$BI$508,$BI351,$CB$9:$CB$508,$CB351,$CD$9:$CD$508,$CD351,$CF$9:$CF$508,"&lt;"&amp;$CF351)+1))</f>
        <v/>
      </c>
      <c r="CH351" s="74" t="str">
        <f aca="false">IF(ISBLANK($C351),"",IF($BH351&lt;&gt;Constants!$B$4,$BH351,$CC351-$CG351))</f>
        <v/>
      </c>
      <c r="CI351" s="74" t="str">
        <f aca="false">IF(ISBLANK($C351),"",IF(NOT($AJ351),"",IF(ISBLANK($D$7),$CI$5,IF(NOT(ISNUMBER($D$7)),$CI$6,""))))</f>
        <v/>
      </c>
      <c r="CJ351" s="74" t="str">
        <f aca="false">IF(ISBLANK($C351),"",OR($AL351="",$AM351="",$AN351=""))</f>
        <v/>
      </c>
      <c r="CK351" s="74" t="str">
        <f aca="false">IF(ISBLANK($C351),"",AND($AJ351,$AX351=""))</f>
        <v/>
      </c>
      <c r="CL351" s="74" t="str">
        <f aca="false">IF(ISBLANK($C351),"",AND($AJ351,$AY351=""))</f>
        <v/>
      </c>
      <c r="CM351" s="74" t="str">
        <f aca="false">IF(ISBLANK($C351),"",AND($AJ351,$AZ351=""))</f>
        <v/>
      </c>
      <c r="CN351" s="74" t="str">
        <f aca="false">IF(ISBLANK($C351),"",AND($AJ351,$BC351=""))</f>
        <v/>
      </c>
      <c r="CO351" s="74" t="str">
        <f aca="false">IF(ISBLANK($C351),"",AND($AJ351,$BF351=""))</f>
        <v/>
      </c>
      <c r="CP351" s="75"/>
      <c r="CQ351" s="76"/>
      <c r="CR351" s="79" t="str">
        <f aca="false">IF(ISBLANK($C351),"",IF($BH351=Constants!$B$8,$CI351,""))</f>
        <v/>
      </c>
      <c r="CS351" s="76" t="str">
        <f aca="false">IF(ISBLANK($C351),"",IF($BH351&lt;&gt;Constants!$B$4,"",$BK351+$BL351))</f>
        <v/>
      </c>
      <c r="CT351" s="78" t="str">
        <f aca="false">IF(ISBLANK($C351),"",IF($BH351&lt;&gt;Constants!$B$4,"",$BM351+$BN351+$BO351))</f>
        <v/>
      </c>
      <c r="CU351" s="78" t="str">
        <f aca="false">IF(ISBLANK($C351),"",IF($BH351&lt;&gt;Constants!$B$4,"",$BP351))</f>
        <v/>
      </c>
      <c r="CV351" s="78" t="str">
        <f aca="false">IF(ISBLANK($C351),"",IF($BH351&lt;&gt;Constants!$B$4,"",$BQ351+$BR351))</f>
        <v/>
      </c>
      <c r="CW351" s="78" t="str">
        <f aca="false">IF(ISBLANK($C351),"",IF($BH351&lt;&gt;Constants!$B$4,"",$BS351))</f>
        <v/>
      </c>
      <c r="CX351" s="78" t="str">
        <f aca="false">IF(ISBLANK($C351),"",IF($BH351&lt;&gt;Constants!$B$4,"",-$BZ351))</f>
        <v/>
      </c>
      <c r="CY351" s="79" t="str">
        <f aca="false">IF(ISBLANK($C351),"",$CA351)</f>
        <v/>
      </c>
      <c r="CZ351" s="80" t="str">
        <f aca="false">IF(ISBLANK($C351),"",$BI351)</f>
        <v/>
      </c>
      <c r="DA351" s="78" t="str">
        <f aca="false">IF(ISBLANK($C351),"",$CH351)</f>
        <v/>
      </c>
      <c r="DB351" s="78" t="str">
        <f aca="false">IF(ISBLANK($C351),"",$CG351)</f>
        <v/>
      </c>
      <c r="DC351" s="81" t="str">
        <f aca="false">IF(ISBLANK($C351),"",IFERROR(_xlfn.SWITCH($DB351,Constants!$B$7,COUNTA($C$9:$C$508)+2,Constants!$B$6,COUNTA($C$9:$C$508)+1,Constants!$B$5,COUNTA($C$9:$C$508)),$DB351))</f>
        <v/>
      </c>
      <c r="DD351" s="7"/>
      <c r="DE351" s="82" t="n">
        <f aca="false">IF(OR(ISNUMBER($DB351),$DB351=Constants!$B$7,$DB351=Constants!$B$5,$DB351=Constants!$B$6),1,0)</f>
        <v>0</v>
      </c>
      <c r="DF351" s="82" t="n">
        <v>343</v>
      </c>
      <c r="DG351" s="82" t="str">
        <f aca="false">IF(ISBLANK($C351),"",IF(ISNUMBER($DC351),$DC351+ROW($B351)/1000,""))</f>
        <v/>
      </c>
      <c r="DH351" s="82" t="str">
        <f aca="false">IF(ISNUMBER($DG351),RANK($DG351,$DG$9:$DG$508,1),"")</f>
        <v/>
      </c>
      <c r="DI351" s="82" t="str">
        <f aca="false">IF(ISBLANK($C351),"",$B351)</f>
        <v/>
      </c>
      <c r="DJ351" s="82" t="str">
        <f aca="false">IF(ISBLANK($C351),"",$C351)</f>
        <v/>
      </c>
      <c r="DK351" s="82" t="str">
        <f aca="false">IF(ISBLANK($C351),"",$D351)</f>
        <v/>
      </c>
      <c r="DL351" s="83" t="str">
        <f aca="false">$CZ351</f>
        <v/>
      </c>
      <c r="DM351" s="84" t="str">
        <f aca="false">$CY351</f>
        <v/>
      </c>
      <c r="DN351" s="82" t="str">
        <f aca="false">IF(ISBLANK($C351),"",$DB351)</f>
        <v/>
      </c>
      <c r="DO351" s="85" t="str">
        <f aca="false">IF($DF351&gt;$DE$8,"",VLOOKUP($DF351,$DH$9:$DN$508,7,FALSE()))</f>
        <v/>
      </c>
      <c r="DP351" s="86" t="str">
        <f aca="false">IF($DF351&gt;$DE$8,"",VLOOKUP($DF351,$DH$9:$DN$508,2,FALSE()))</f>
        <v/>
      </c>
      <c r="DQ351" s="86" t="str">
        <f aca="false">IF($DF351&gt;$DE$8,"",VLOOKUP($DF351,$DH$9:$DN$508,3,FALSE()))</f>
        <v/>
      </c>
      <c r="DR351" s="86" t="str">
        <f aca="false">IF($DF351&gt;$DE$8,"",VLOOKUP($DF351,$DH$9:$DN$508,4,FALSE()))</f>
        <v/>
      </c>
      <c r="DS351" s="86" t="str">
        <f aca="false">IF($DF351&gt;$DE$8,"",VLOOKUP($DF351,$DH$9:$DN$508,5,FALSE()))</f>
        <v/>
      </c>
      <c r="DT351" s="87" t="str">
        <f aca="false">IF($DF351&gt;$DE$8,"",VLOOKUP($DF351,$DH$9:$DN$508,6,FALSE()))</f>
        <v/>
      </c>
      <c r="DU351" s="62"/>
    </row>
    <row r="352" customFormat="false" ht="15.75" hidden="false" customHeight="false" outlineLevel="0" collapsed="false">
      <c r="A352" s="7"/>
      <c r="B352" s="64"/>
      <c r="C352" s="65"/>
      <c r="D352" s="123"/>
      <c r="E352" s="88"/>
      <c r="F352" s="134"/>
      <c r="G352" s="88"/>
      <c r="H352" s="134"/>
      <c r="I352" s="119"/>
      <c r="J352" s="119"/>
      <c r="K352" s="119"/>
      <c r="L352" s="88"/>
      <c r="M352" s="88"/>
      <c r="N352" s="88"/>
      <c r="O352" s="134"/>
      <c r="P352" s="88"/>
      <c r="Q352" s="88"/>
      <c r="R352" s="88"/>
      <c r="S352" s="88"/>
      <c r="T352" s="134"/>
      <c r="U352" s="88"/>
      <c r="V352" s="70"/>
      <c r="W352" s="88"/>
      <c r="X352" s="88"/>
      <c r="Y352" s="70"/>
      <c r="Z352" s="70"/>
      <c r="AA352" s="88"/>
      <c r="AB352" s="88"/>
      <c r="AC352" s="71"/>
      <c r="AD352" s="88"/>
      <c r="AE352" s="73"/>
      <c r="AF352" s="74"/>
      <c r="AG352" s="74"/>
      <c r="AH352" s="74" t="str">
        <f aca="false">IF(ISBLANK($C352),"",IF($E352=Constants!$B$2,TRUE(),IF($E352=Constants!$B$3,FALSE(),TRUE())))</f>
        <v/>
      </c>
      <c r="AI352" s="74" t="str">
        <f aca="false">IF(ISBLANK($C352),"",IF($F352=Constants!$B$2,TRUE(),IF($F352=Constants!$B$3,FALSE(),FALSE())))</f>
        <v/>
      </c>
      <c r="AJ352" s="74" t="str">
        <f aca="false">IF(ISBLANK($C352),"",IF($G352=Constants!$B$2,TRUE(),IF($G352=Constants!$B$3,FALSE(),TRUE())))</f>
        <v/>
      </c>
      <c r="AK352" s="74" t="str">
        <f aca="false">IF(ISBLANK($C352),"",IF($H352=Constants!$B$2,TRUE(),IF($H352=Constants!$B$3,FALSE(),TRUE())))</f>
        <v/>
      </c>
      <c r="AL352" s="74" t="str">
        <f aca="false">IF(ISBLANK($C352),"",IF(ISNUMBER($I352),IF($I352&gt;=0,$I352,""),""))</f>
        <v/>
      </c>
      <c r="AM352" s="74" t="str">
        <f aca="false">IF(ISBLANK($C352),"",IF(ISNUMBER($J352),IF($J352&gt;=0,$J352,""),""))</f>
        <v/>
      </c>
      <c r="AN352" s="74" t="str">
        <f aca="false">IF(ISBLANK($C352),"",IF(ISNUMBER($K352),IF($K352&gt;=0,$K352,""),""))</f>
        <v/>
      </c>
      <c r="AO352" s="74" t="str">
        <f aca="false">IF(ISBLANK($C352),"",IF($L352=Constants!$B$2,TRUE(),IF($L352=Constants!$B$3,FALSE(),TRUE())))</f>
        <v/>
      </c>
      <c r="AP352" s="74" t="str">
        <f aca="false">IF(ISBLANK($C352),"",IF($M352=Constants!$B$2,TRUE(),IF($M352=Constants!$B$3,FALSE(),TRUE())))</f>
        <v/>
      </c>
      <c r="AQ352" s="74" t="str">
        <f aca="false">IF(ISBLANK($C352),"",IF($N352=Constants!$B$2,TRUE(),IF($N352=Constants!$B$3,FALSE(),FALSE())))</f>
        <v/>
      </c>
      <c r="AR352" s="74" t="str">
        <f aca="false">IF(ISBLANK($C352),"",IF($O352=Constants!$B$2,TRUE(),IF($O352=Constants!$B$3,FALSE(),TRUE())))</f>
        <v/>
      </c>
      <c r="AS352" s="74" t="str">
        <f aca="false">IF(ISBLANK($C352),"",IF($P352=Constants!$B$2,TRUE(),IF($P352=Constants!$B$3,FALSE(),FALSE())))</f>
        <v/>
      </c>
      <c r="AT352" s="74" t="str">
        <f aca="false">IF(ISBLANK($C352),"",IF($Q352=Constants!$B$2,TRUE(),IF($Q352=Constants!$B$3,FALSE(),FALSE())))</f>
        <v/>
      </c>
      <c r="AU352" s="74" t="str">
        <f aca="false">IF(ISBLANK($C352),"",IF($R352=Constants!$B$2,TRUE(),IF($R352=Constants!$B$3,FALSE(),FALSE())))</f>
        <v/>
      </c>
      <c r="AV352" s="74" t="str">
        <f aca="false">IF(ISBLANK($C352),"",IF($S352=Constants!$B$2,TRUE(),IF($S352=Constants!$B$3,FALSE(),FALSE())))</f>
        <v/>
      </c>
      <c r="AW352" s="74" t="str">
        <f aca="false">IF(ISBLANK($C352),"",IF($T352=Constants!$B$2,TRUE(),IF($T352=Constants!$B$3,FALSE(),FALSE())))</f>
        <v/>
      </c>
      <c r="AX352" s="74" t="str">
        <f aca="false">IF(ISBLANK($C352),"",IF(OR($U352&amp;""="1",$U352&amp;""="2",$U352&amp;""="3",$U352&amp;""="4"),VALUE($U352&amp;""),IF($U352=Constants!$B$12,Constants!$B$12,"")))</f>
        <v/>
      </c>
      <c r="AY352" s="74" t="str">
        <f aca="false">IF(ISBLANK($C352),"",IF(ISBLANK($V352),0,IF(ISNUMBER($V352),IF(AND($V352&gt;=0,$V352&lt;=Constants!$B$21,$V352=INT($V352)),$V352,""),"")))</f>
        <v/>
      </c>
      <c r="AZ352" s="74" t="str">
        <f aca="false">IF(ISBLANK($C352),"",IF(ISBLANK($W352),0,IF(ISNUMBER($W352),IF($W352&gt;=0,$W352,""),"")))</f>
        <v/>
      </c>
      <c r="BA352" s="74" t="str">
        <f aca="false">IF(ISBLANK($C352),"",IF($X352=Constants!$B$2,TRUE(),IF($X352=Constants!$B$3,FALSE(),TRUE())))</f>
        <v/>
      </c>
      <c r="BB352" s="74" t="str">
        <f aca="false">IF(ISBLANK($C352),"",IF($Y352=Constants!$B$2,TRUE(),IF($Y352=Constants!$B$3,FALSE(),FALSE())))</f>
        <v/>
      </c>
      <c r="BC352" s="74" t="str">
        <f aca="false">IF(ISBLANK($C352),"",IF(ISBLANK($Z352),0,IF(ISNUMBER($Z352),IF(AND($Z352&gt;=0,$Z352&lt;=Constants!$B$35,$Z352=INT($Z352)),$Z352,""),"")))</f>
        <v/>
      </c>
      <c r="BD352" s="74" t="str">
        <f aca="false">IF(ISBLANK($C352),"",IF($AA352=Constants!$B$2,TRUE(),IF($AA352=Constants!$B$3,FALSE(),TRUE())))</f>
        <v/>
      </c>
      <c r="BE352" s="74" t="str">
        <f aca="false">IF(ISBLANK($C352),"",IF($AB352=Constants!$B$2,TRUE(),IF($AB352=Constants!$B$3,FALSE(),TRUE())))</f>
        <v/>
      </c>
      <c r="BF352" s="74" t="str">
        <f aca="false">IF(ISBLANK($C352),"",IF(ISNUMBER($AC352),IF($AC352&gt;=0,$AC352,""),""))</f>
        <v/>
      </c>
      <c r="BG352" s="74" t="str">
        <f aca="false">IF(ISBLANK($C352),"",IF($AD352=Constants!$B$2,TRUE(),IF($AD352=Constants!$B$3,FALSE(),FALSE())))</f>
        <v/>
      </c>
      <c r="BH352" s="73" t="str">
        <f aca="false">IF(ISBLANK($C352),"",IF($BG352,Constants!$B$7,IF(COUNTA($E352:$AC352)=0,Constants!$B$6,IF(OR(COUNTA($G352:$AC352)=0,NOT($AK352),$AQ352),Constants!$B$5,IF(OR($CI352&lt;&gt;"",$CJ352,$CK352,$CL352,$CM352,$CN352,$CO352),Constants!$B$8,Constants!$B$4)))))</f>
        <v/>
      </c>
      <c r="BI352" s="74" t="str">
        <f aca="false">IF(ISBLANK($C352),"",IF($BH352&lt;&gt;Constants!$B$4,$BH352,IF(OR(NOT($AH352),NOT($AJ352),NOT($AR352)),Constants!$B$11,IF(OR(NOT($AP352),MAX($AL352,$AM352,$AN352)&gt;Constants!$B$30),Constants!$B$10,Constants!$B$9))))</f>
        <v/>
      </c>
      <c r="BJ352" s="74" t="str">
        <f aca="false">IF($BH352&lt;&gt;Constants!$B$4,"",IF(NOT($AJ352),0,MIN(Constants!$B$35,$BC352)))</f>
        <v/>
      </c>
      <c r="BK352" s="74" t="str">
        <f aca="false">IF($BH352&lt;&gt;Constants!$B$4,"",IF(NOT($AJ352),0,IF($AT352,Constants!$B$18,IF($AS352,Constants!$B$17,0))))</f>
        <v/>
      </c>
      <c r="BL352" s="74" t="str">
        <f aca="false">IF($BH352&lt;&gt;Constants!$B$4,"",IF(NOT($AJ352),0,Constants!$B$19*($AI352+$AU352+$AV352+$AW352)))</f>
        <v/>
      </c>
      <c r="BM352" s="74" t="str">
        <f aca="false">IF($BH352&lt;&gt;Constants!$B$4,"",IF(OR(NOT($AJ352),NOT(ISNUMBER($AX352))),0,CHOOSE($AX352,Constants!$B$13,Constants!$B$14,Constants!$B$15,Constants!$B$16)))</f>
        <v/>
      </c>
      <c r="BN352" s="74" t="str">
        <f aca="false">IF($BH352&lt;&gt;Constants!$B$4,"",IF(NOT($AJ352),0,Constants!$B$20*$AY352))</f>
        <v/>
      </c>
      <c r="BO352" s="74" t="str">
        <f aca="false">IF($BH352&lt;&gt;Constants!$B$4,"",IF(AND($AJ352,$BA352,$BB352),Constants!$B$22,0))</f>
        <v/>
      </c>
      <c r="BP352" s="74" t="str">
        <f aca="false">IF($BH352&lt;&gt;Constants!$B$4,"",IF(OR(NOT($AJ352),NOT($BA352)),0,IF($BF352&gt;=2*$AF$9,0,Constants!$B$23*INT(ROUND(MIN($BF352,$AF$9),6)))))</f>
        <v/>
      </c>
      <c r="BQ352" s="74" t="str">
        <f aca="false">IF($BH352&lt;&gt;Constants!$B$4,"",IF(NOT($AJ352),0,Constants!$B$24*INT(ROUND(MIN($AZ352,$AF$9),6))))</f>
        <v/>
      </c>
      <c r="BR352" s="74" t="str">
        <f aca="false">IF($BH352&lt;&gt;Constants!$B$4,"",IF(AND($AJ352,$BJ352=0),Constants!$B$25,0))</f>
        <v/>
      </c>
      <c r="BS352" s="74" t="str">
        <f aca="false">IF($BH352&lt;&gt;Constants!$B$4,"",MIN(Constants!$B$29,MAX(0,Constants!$B$27*Constants!$B$28*INT(ROUND((Constants!$B$26-$AL352)/Constants!$B$28,6))))+MIN(Constants!$B$29,MAX(0,Constants!$B$27*Constants!$B$28*INT(ROUND((Constants!$B$26-$AM352)/Constants!$B$28,6))))+MIN(Constants!$B$29,MAX(0,Constants!$B$27*Constants!$B$28*INT(ROUND((Constants!$B$26-$AN352)/Constants!$B$28,6)))))</f>
        <v/>
      </c>
      <c r="BT352" s="74" t="str">
        <f aca="false">IF($BH352&lt;&gt;Constants!$B$4,"",IF(NOT($AJ352),0,Constants!$B$31*INT(ROUND(MAX(0,MIN($BF352,2*$AF$9)-$AF$9),6))))</f>
        <v/>
      </c>
      <c r="BU352" s="74" t="str">
        <f aca="false">IF($BH352&lt;&gt;Constants!$B$4,"",Constants!$B$32*(($AL352&gt;Constants!$B$26)+($AM352&gt;Constants!$B$26)+($AN352&gt;Constants!$B$26)))</f>
        <v/>
      </c>
      <c r="BV352" s="74" t="str">
        <f aca="false">IF($BH352&lt;&gt;Constants!$B$4,"",IF(OR(NOT($AJ352),$AO352),0,Constants!$B$33))</f>
        <v/>
      </c>
      <c r="BW352" s="74" t="str">
        <f aca="false">IF($BH352&lt;&gt;Constants!$B$4,"",Constants!$B$34*$BJ352)</f>
        <v/>
      </c>
      <c r="BX352" s="74" t="str">
        <f aca="false">IF($BH352&lt;&gt;Constants!$B$4,"",IF(OR(NOT($AJ352),$BE352),0,Constants!$B$36))</f>
        <v/>
      </c>
      <c r="BY352" s="74" t="str">
        <f aca="false">IF($BH352&lt;&gt;Constants!$B$4,"",IF(OR(NOT($AJ352),$BD352),0,Constants!$B$37))</f>
        <v/>
      </c>
      <c r="BZ352" s="74" t="str">
        <f aca="false">IF($BH352&lt;&gt;Constants!$B$4,"",SUM($BT352:$BY352))</f>
        <v/>
      </c>
      <c r="CA352" s="74" t="str">
        <f aca="false">IF(ISBLANK($C352),"",IF($BH352&lt;&gt;Constants!$B$4,$BH352,SUM($BK352:$BS352)-$BZ352))</f>
        <v/>
      </c>
      <c r="CB352" s="74" t="str">
        <f aca="false">IF(ISBLANK($C352),"",IF($BH352&lt;&gt;Constants!$B$4,$BH352,RANK($CA352,$CA$9:$CA$508)))</f>
        <v/>
      </c>
      <c r="CC352" s="74" t="str">
        <f aca="false">IF(ISBLANK($C352),"",IF($BH352&lt;&gt;Constants!$B$4,$BH352,COUNTIFS($BI$9:$BI$508,"&lt;"&amp;$BI352)+COUNTIFS($BI$9:$BI$508,$BI352,$CB$9:$CB$508,"&lt;"&amp;$CB352)+1))</f>
        <v/>
      </c>
      <c r="CD352" s="74" t="str">
        <f aca="false">IF(ISBLANK($C352),"",IF($BH352&lt;&gt;Constants!$B$4,$BH352,RANK($BZ352,$BZ$9:$BZ$508,1)))</f>
        <v/>
      </c>
      <c r="CE352" s="74" t="str">
        <f aca="false">IF($BH352&lt;&gt;Constants!$B$4,"",$AL352+$AM352+$AN352)</f>
        <v/>
      </c>
      <c r="CF352" s="74" t="str">
        <f aca="false">IF(ISBLANK($C352),"",IF($BH352&lt;&gt;Constants!$B$4,$BH352,RANK($CE352,$CE$9:$CE$508,1)))</f>
        <v/>
      </c>
      <c r="CG352" s="74" t="str">
        <f aca="false">IF(ISBLANK($C352),"",IF($BH352&lt;&gt;Constants!$B$4,$BH352,COUNTIFS($BI$9:$BI$508,"&lt;"&amp;$BI352)+COUNTIFS($BI$9:$BI$508,$BI352,$CB$9:$CB$508,"&lt;"&amp;$CB352)+COUNTIFS($BI$9:$BI$508,$BI352,$CB$9:$CB$508,$CB352,$CD$9:$CD$508,"&lt;"&amp;$CD352)+COUNTIFS($BI$9:$BI$508,$BI352,$CB$9:$CB$508,$CB352,$CD$9:$CD$508,$CD352,$CF$9:$CF$508,"&lt;"&amp;$CF352)+1))</f>
        <v/>
      </c>
      <c r="CH352" s="74" t="str">
        <f aca="false">IF(ISBLANK($C352),"",IF($BH352&lt;&gt;Constants!$B$4,$BH352,$CC352-$CG352))</f>
        <v/>
      </c>
      <c r="CI352" s="74" t="str">
        <f aca="false">IF(ISBLANK($C352),"",IF(NOT($AJ352),"",IF(ISBLANK($D$7),$CI$5,IF(NOT(ISNUMBER($D$7)),$CI$6,""))))</f>
        <v/>
      </c>
      <c r="CJ352" s="74" t="str">
        <f aca="false">IF(ISBLANK($C352),"",OR($AL352="",$AM352="",$AN352=""))</f>
        <v/>
      </c>
      <c r="CK352" s="74" t="str">
        <f aca="false">IF(ISBLANK($C352),"",AND($AJ352,$AX352=""))</f>
        <v/>
      </c>
      <c r="CL352" s="74" t="str">
        <f aca="false">IF(ISBLANK($C352),"",AND($AJ352,$AY352=""))</f>
        <v/>
      </c>
      <c r="CM352" s="74" t="str">
        <f aca="false">IF(ISBLANK($C352),"",AND($AJ352,$AZ352=""))</f>
        <v/>
      </c>
      <c r="CN352" s="74" t="str">
        <f aca="false">IF(ISBLANK($C352),"",AND($AJ352,$BC352=""))</f>
        <v/>
      </c>
      <c r="CO352" s="74" t="str">
        <f aca="false">IF(ISBLANK($C352),"",AND($AJ352,$BF352=""))</f>
        <v/>
      </c>
      <c r="CP352" s="75"/>
      <c r="CQ352" s="76"/>
      <c r="CR352" s="79" t="str">
        <f aca="false">IF(ISBLANK($C352),"",IF($BH352=Constants!$B$8,$CI352,""))</f>
        <v/>
      </c>
      <c r="CS352" s="76" t="str">
        <f aca="false">IF(ISBLANK($C352),"",IF($BH352&lt;&gt;Constants!$B$4,"",$BK352+$BL352))</f>
        <v/>
      </c>
      <c r="CT352" s="78" t="str">
        <f aca="false">IF(ISBLANK($C352),"",IF($BH352&lt;&gt;Constants!$B$4,"",$BM352+$BN352+$BO352))</f>
        <v/>
      </c>
      <c r="CU352" s="78" t="str">
        <f aca="false">IF(ISBLANK($C352),"",IF($BH352&lt;&gt;Constants!$B$4,"",$BP352))</f>
        <v/>
      </c>
      <c r="CV352" s="78" t="str">
        <f aca="false">IF(ISBLANK($C352),"",IF($BH352&lt;&gt;Constants!$B$4,"",$BQ352+$BR352))</f>
        <v/>
      </c>
      <c r="CW352" s="78" t="str">
        <f aca="false">IF(ISBLANK($C352),"",IF($BH352&lt;&gt;Constants!$B$4,"",$BS352))</f>
        <v/>
      </c>
      <c r="CX352" s="78" t="str">
        <f aca="false">IF(ISBLANK($C352),"",IF($BH352&lt;&gt;Constants!$B$4,"",-$BZ352))</f>
        <v/>
      </c>
      <c r="CY352" s="79" t="str">
        <f aca="false">IF(ISBLANK($C352),"",$CA352)</f>
        <v/>
      </c>
      <c r="CZ352" s="80" t="str">
        <f aca="false">IF(ISBLANK($C352),"",$BI352)</f>
        <v/>
      </c>
      <c r="DA352" s="78" t="str">
        <f aca="false">IF(ISBLANK($C352),"",$CH352)</f>
        <v/>
      </c>
      <c r="DB352" s="78" t="str">
        <f aca="false">IF(ISBLANK($C352),"",$CG352)</f>
        <v/>
      </c>
      <c r="DC352" s="81" t="str">
        <f aca="false">IF(ISBLANK($C352),"",IFERROR(_xlfn.SWITCH($DB352,Constants!$B$7,COUNTA($C$9:$C$508)+2,Constants!$B$6,COUNTA($C$9:$C$508)+1,Constants!$B$5,COUNTA($C$9:$C$508)),$DB352))</f>
        <v/>
      </c>
      <c r="DD352" s="7"/>
      <c r="DE352" s="82" t="n">
        <f aca="false">IF(OR(ISNUMBER($DB352),$DB352=Constants!$B$7,$DB352=Constants!$B$5,$DB352=Constants!$B$6),1,0)</f>
        <v>0</v>
      </c>
      <c r="DF352" s="82" t="n">
        <v>344</v>
      </c>
      <c r="DG352" s="82" t="str">
        <f aca="false">IF(ISBLANK($C352),"",IF(ISNUMBER($DC352),$DC352+ROW($B352)/1000,""))</f>
        <v/>
      </c>
      <c r="DH352" s="82" t="str">
        <f aca="false">IF(ISNUMBER($DG352),RANK($DG352,$DG$9:$DG$508,1),"")</f>
        <v/>
      </c>
      <c r="DI352" s="82" t="str">
        <f aca="false">IF(ISBLANK($C352),"",$B352)</f>
        <v/>
      </c>
      <c r="DJ352" s="82" t="str">
        <f aca="false">IF(ISBLANK($C352),"",$C352)</f>
        <v/>
      </c>
      <c r="DK352" s="82" t="str">
        <f aca="false">IF(ISBLANK($C352),"",$D352)</f>
        <v/>
      </c>
      <c r="DL352" s="83" t="str">
        <f aca="false">$CZ352</f>
        <v/>
      </c>
      <c r="DM352" s="84" t="str">
        <f aca="false">$CY352</f>
        <v/>
      </c>
      <c r="DN352" s="82" t="str">
        <f aca="false">IF(ISBLANK($C352),"",$DB352)</f>
        <v/>
      </c>
      <c r="DO352" s="85" t="str">
        <f aca="false">IF($DF352&gt;$DE$8,"",VLOOKUP($DF352,$DH$9:$DN$508,7,FALSE()))</f>
        <v/>
      </c>
      <c r="DP352" s="86" t="str">
        <f aca="false">IF($DF352&gt;$DE$8,"",VLOOKUP($DF352,$DH$9:$DN$508,2,FALSE()))</f>
        <v/>
      </c>
      <c r="DQ352" s="86" t="str">
        <f aca="false">IF($DF352&gt;$DE$8,"",VLOOKUP($DF352,$DH$9:$DN$508,3,FALSE()))</f>
        <v/>
      </c>
      <c r="DR352" s="86" t="str">
        <f aca="false">IF($DF352&gt;$DE$8,"",VLOOKUP($DF352,$DH$9:$DN$508,4,FALSE()))</f>
        <v/>
      </c>
      <c r="DS352" s="86" t="str">
        <f aca="false">IF($DF352&gt;$DE$8,"",VLOOKUP($DF352,$DH$9:$DN$508,5,FALSE()))</f>
        <v/>
      </c>
      <c r="DT352" s="87" t="str">
        <f aca="false">IF($DF352&gt;$DE$8,"",VLOOKUP($DF352,$DH$9:$DN$508,6,FALSE()))</f>
        <v/>
      </c>
      <c r="DU352" s="62"/>
    </row>
    <row r="353" customFormat="false" ht="15.75" hidden="false" customHeight="false" outlineLevel="0" collapsed="false">
      <c r="A353" s="7"/>
      <c r="B353" s="64"/>
      <c r="C353" s="65"/>
      <c r="D353" s="123"/>
      <c r="E353" s="88"/>
      <c r="F353" s="134"/>
      <c r="G353" s="88"/>
      <c r="H353" s="134"/>
      <c r="I353" s="119"/>
      <c r="J353" s="119"/>
      <c r="K353" s="119"/>
      <c r="L353" s="88"/>
      <c r="M353" s="88"/>
      <c r="N353" s="88"/>
      <c r="O353" s="134"/>
      <c r="P353" s="88"/>
      <c r="Q353" s="88"/>
      <c r="R353" s="88"/>
      <c r="S353" s="88"/>
      <c r="T353" s="134"/>
      <c r="U353" s="88"/>
      <c r="V353" s="70"/>
      <c r="W353" s="88"/>
      <c r="X353" s="88"/>
      <c r="Y353" s="70"/>
      <c r="Z353" s="70"/>
      <c r="AA353" s="88"/>
      <c r="AB353" s="88"/>
      <c r="AC353" s="71"/>
      <c r="AD353" s="88"/>
      <c r="AE353" s="73"/>
      <c r="AF353" s="74"/>
      <c r="AG353" s="74"/>
      <c r="AH353" s="74" t="str">
        <f aca="false">IF(ISBLANK($C353),"",IF($E353=Constants!$B$2,TRUE(),IF($E353=Constants!$B$3,FALSE(),TRUE())))</f>
        <v/>
      </c>
      <c r="AI353" s="74" t="str">
        <f aca="false">IF(ISBLANK($C353),"",IF($F353=Constants!$B$2,TRUE(),IF($F353=Constants!$B$3,FALSE(),FALSE())))</f>
        <v/>
      </c>
      <c r="AJ353" s="74" t="str">
        <f aca="false">IF(ISBLANK($C353),"",IF($G353=Constants!$B$2,TRUE(),IF($G353=Constants!$B$3,FALSE(),TRUE())))</f>
        <v/>
      </c>
      <c r="AK353" s="74" t="str">
        <f aca="false">IF(ISBLANK($C353),"",IF($H353=Constants!$B$2,TRUE(),IF($H353=Constants!$B$3,FALSE(),TRUE())))</f>
        <v/>
      </c>
      <c r="AL353" s="74" t="str">
        <f aca="false">IF(ISBLANK($C353),"",IF(ISNUMBER($I353),IF($I353&gt;=0,$I353,""),""))</f>
        <v/>
      </c>
      <c r="AM353" s="74" t="str">
        <f aca="false">IF(ISBLANK($C353),"",IF(ISNUMBER($J353),IF($J353&gt;=0,$J353,""),""))</f>
        <v/>
      </c>
      <c r="AN353" s="74" t="str">
        <f aca="false">IF(ISBLANK($C353),"",IF(ISNUMBER($K353),IF($K353&gt;=0,$K353,""),""))</f>
        <v/>
      </c>
      <c r="AO353" s="74" t="str">
        <f aca="false">IF(ISBLANK($C353),"",IF($L353=Constants!$B$2,TRUE(),IF($L353=Constants!$B$3,FALSE(),TRUE())))</f>
        <v/>
      </c>
      <c r="AP353" s="74" t="str">
        <f aca="false">IF(ISBLANK($C353),"",IF($M353=Constants!$B$2,TRUE(),IF($M353=Constants!$B$3,FALSE(),TRUE())))</f>
        <v/>
      </c>
      <c r="AQ353" s="74" t="str">
        <f aca="false">IF(ISBLANK($C353),"",IF($N353=Constants!$B$2,TRUE(),IF($N353=Constants!$B$3,FALSE(),FALSE())))</f>
        <v/>
      </c>
      <c r="AR353" s="74" t="str">
        <f aca="false">IF(ISBLANK($C353),"",IF($O353=Constants!$B$2,TRUE(),IF($O353=Constants!$B$3,FALSE(),TRUE())))</f>
        <v/>
      </c>
      <c r="AS353" s="74" t="str">
        <f aca="false">IF(ISBLANK($C353),"",IF($P353=Constants!$B$2,TRUE(),IF($P353=Constants!$B$3,FALSE(),FALSE())))</f>
        <v/>
      </c>
      <c r="AT353" s="74" t="str">
        <f aca="false">IF(ISBLANK($C353),"",IF($Q353=Constants!$B$2,TRUE(),IF($Q353=Constants!$B$3,FALSE(),FALSE())))</f>
        <v/>
      </c>
      <c r="AU353" s="74" t="str">
        <f aca="false">IF(ISBLANK($C353),"",IF($R353=Constants!$B$2,TRUE(),IF($R353=Constants!$B$3,FALSE(),FALSE())))</f>
        <v/>
      </c>
      <c r="AV353" s="74" t="str">
        <f aca="false">IF(ISBLANK($C353),"",IF($S353=Constants!$B$2,TRUE(),IF($S353=Constants!$B$3,FALSE(),FALSE())))</f>
        <v/>
      </c>
      <c r="AW353" s="74" t="str">
        <f aca="false">IF(ISBLANK($C353),"",IF($T353=Constants!$B$2,TRUE(),IF($T353=Constants!$B$3,FALSE(),FALSE())))</f>
        <v/>
      </c>
      <c r="AX353" s="74" t="str">
        <f aca="false">IF(ISBLANK($C353),"",IF(OR($U353&amp;""="1",$U353&amp;""="2",$U353&amp;""="3",$U353&amp;""="4"),VALUE($U353&amp;""),IF($U353=Constants!$B$12,Constants!$B$12,"")))</f>
        <v/>
      </c>
      <c r="AY353" s="74" t="str">
        <f aca="false">IF(ISBLANK($C353),"",IF(ISBLANK($V353),0,IF(ISNUMBER($V353),IF(AND($V353&gt;=0,$V353&lt;=Constants!$B$21,$V353=INT($V353)),$V353,""),"")))</f>
        <v/>
      </c>
      <c r="AZ353" s="74" t="str">
        <f aca="false">IF(ISBLANK($C353),"",IF(ISBLANK($W353),0,IF(ISNUMBER($W353),IF($W353&gt;=0,$W353,""),"")))</f>
        <v/>
      </c>
      <c r="BA353" s="74" t="str">
        <f aca="false">IF(ISBLANK($C353),"",IF($X353=Constants!$B$2,TRUE(),IF($X353=Constants!$B$3,FALSE(),TRUE())))</f>
        <v/>
      </c>
      <c r="BB353" s="74" t="str">
        <f aca="false">IF(ISBLANK($C353),"",IF($Y353=Constants!$B$2,TRUE(),IF($Y353=Constants!$B$3,FALSE(),FALSE())))</f>
        <v/>
      </c>
      <c r="BC353" s="74" t="str">
        <f aca="false">IF(ISBLANK($C353),"",IF(ISBLANK($Z353),0,IF(ISNUMBER($Z353),IF(AND($Z353&gt;=0,$Z353&lt;=Constants!$B$35,$Z353=INT($Z353)),$Z353,""),"")))</f>
        <v/>
      </c>
      <c r="BD353" s="74" t="str">
        <f aca="false">IF(ISBLANK($C353),"",IF($AA353=Constants!$B$2,TRUE(),IF($AA353=Constants!$B$3,FALSE(),TRUE())))</f>
        <v/>
      </c>
      <c r="BE353" s="74" t="str">
        <f aca="false">IF(ISBLANK($C353),"",IF($AB353=Constants!$B$2,TRUE(),IF($AB353=Constants!$B$3,FALSE(),TRUE())))</f>
        <v/>
      </c>
      <c r="BF353" s="74" t="str">
        <f aca="false">IF(ISBLANK($C353),"",IF(ISNUMBER($AC353),IF($AC353&gt;=0,$AC353,""),""))</f>
        <v/>
      </c>
      <c r="BG353" s="74" t="str">
        <f aca="false">IF(ISBLANK($C353),"",IF($AD353=Constants!$B$2,TRUE(),IF($AD353=Constants!$B$3,FALSE(),FALSE())))</f>
        <v/>
      </c>
      <c r="BH353" s="73" t="str">
        <f aca="false">IF(ISBLANK($C353),"",IF($BG353,Constants!$B$7,IF(COUNTA($E353:$AC353)=0,Constants!$B$6,IF(OR(COUNTA($G353:$AC353)=0,NOT($AK353),$AQ353),Constants!$B$5,IF(OR($CI353&lt;&gt;"",$CJ353,$CK353,$CL353,$CM353,$CN353,$CO353),Constants!$B$8,Constants!$B$4)))))</f>
        <v/>
      </c>
      <c r="BI353" s="74" t="str">
        <f aca="false">IF(ISBLANK($C353),"",IF($BH353&lt;&gt;Constants!$B$4,$BH353,IF(OR(NOT($AH353),NOT($AJ353),NOT($AR353)),Constants!$B$11,IF(OR(NOT($AP353),MAX($AL353,$AM353,$AN353)&gt;Constants!$B$30),Constants!$B$10,Constants!$B$9))))</f>
        <v/>
      </c>
      <c r="BJ353" s="74" t="str">
        <f aca="false">IF($BH353&lt;&gt;Constants!$B$4,"",IF(NOT($AJ353),0,MIN(Constants!$B$35,$BC353)))</f>
        <v/>
      </c>
      <c r="BK353" s="74" t="str">
        <f aca="false">IF($BH353&lt;&gt;Constants!$B$4,"",IF(NOT($AJ353),0,IF($AT353,Constants!$B$18,IF($AS353,Constants!$B$17,0))))</f>
        <v/>
      </c>
      <c r="BL353" s="74" t="str">
        <f aca="false">IF($BH353&lt;&gt;Constants!$B$4,"",IF(NOT($AJ353),0,Constants!$B$19*($AI353+$AU353+$AV353+$AW353)))</f>
        <v/>
      </c>
      <c r="BM353" s="74" t="str">
        <f aca="false">IF($BH353&lt;&gt;Constants!$B$4,"",IF(OR(NOT($AJ353),NOT(ISNUMBER($AX353))),0,CHOOSE($AX353,Constants!$B$13,Constants!$B$14,Constants!$B$15,Constants!$B$16)))</f>
        <v/>
      </c>
      <c r="BN353" s="74" t="str">
        <f aca="false">IF($BH353&lt;&gt;Constants!$B$4,"",IF(NOT($AJ353),0,Constants!$B$20*$AY353))</f>
        <v/>
      </c>
      <c r="BO353" s="74" t="str">
        <f aca="false">IF($BH353&lt;&gt;Constants!$B$4,"",IF(AND($AJ353,$BA353,$BB353),Constants!$B$22,0))</f>
        <v/>
      </c>
      <c r="BP353" s="74" t="str">
        <f aca="false">IF($BH353&lt;&gt;Constants!$B$4,"",IF(OR(NOT($AJ353),NOT($BA353)),0,IF($BF353&gt;=2*$AF$9,0,Constants!$B$23*INT(ROUND(MIN($BF353,$AF$9),6)))))</f>
        <v/>
      </c>
      <c r="BQ353" s="74" t="str">
        <f aca="false">IF($BH353&lt;&gt;Constants!$B$4,"",IF(NOT($AJ353),0,Constants!$B$24*INT(ROUND(MIN($AZ353,$AF$9),6))))</f>
        <v/>
      </c>
      <c r="BR353" s="74" t="str">
        <f aca="false">IF($BH353&lt;&gt;Constants!$B$4,"",IF(AND($AJ353,$BJ353=0),Constants!$B$25,0))</f>
        <v/>
      </c>
      <c r="BS353" s="74" t="str">
        <f aca="false">IF($BH353&lt;&gt;Constants!$B$4,"",MIN(Constants!$B$29,MAX(0,Constants!$B$27*Constants!$B$28*INT(ROUND((Constants!$B$26-$AL353)/Constants!$B$28,6))))+MIN(Constants!$B$29,MAX(0,Constants!$B$27*Constants!$B$28*INT(ROUND((Constants!$B$26-$AM353)/Constants!$B$28,6))))+MIN(Constants!$B$29,MAX(0,Constants!$B$27*Constants!$B$28*INT(ROUND((Constants!$B$26-$AN353)/Constants!$B$28,6)))))</f>
        <v/>
      </c>
      <c r="BT353" s="74" t="str">
        <f aca="false">IF($BH353&lt;&gt;Constants!$B$4,"",IF(NOT($AJ353),0,Constants!$B$31*INT(ROUND(MAX(0,MIN($BF353,2*$AF$9)-$AF$9),6))))</f>
        <v/>
      </c>
      <c r="BU353" s="74" t="str">
        <f aca="false">IF($BH353&lt;&gt;Constants!$B$4,"",Constants!$B$32*(($AL353&gt;Constants!$B$26)+($AM353&gt;Constants!$B$26)+($AN353&gt;Constants!$B$26)))</f>
        <v/>
      </c>
      <c r="BV353" s="74" t="str">
        <f aca="false">IF($BH353&lt;&gt;Constants!$B$4,"",IF(OR(NOT($AJ353),$AO353),0,Constants!$B$33))</f>
        <v/>
      </c>
      <c r="BW353" s="74" t="str">
        <f aca="false">IF($BH353&lt;&gt;Constants!$B$4,"",Constants!$B$34*$BJ353)</f>
        <v/>
      </c>
      <c r="BX353" s="74" t="str">
        <f aca="false">IF($BH353&lt;&gt;Constants!$B$4,"",IF(OR(NOT($AJ353),$BE353),0,Constants!$B$36))</f>
        <v/>
      </c>
      <c r="BY353" s="74" t="str">
        <f aca="false">IF($BH353&lt;&gt;Constants!$B$4,"",IF(OR(NOT($AJ353),$BD353),0,Constants!$B$37))</f>
        <v/>
      </c>
      <c r="BZ353" s="74" t="str">
        <f aca="false">IF($BH353&lt;&gt;Constants!$B$4,"",SUM($BT353:$BY353))</f>
        <v/>
      </c>
      <c r="CA353" s="74" t="str">
        <f aca="false">IF(ISBLANK($C353),"",IF($BH353&lt;&gt;Constants!$B$4,$BH353,SUM($BK353:$BS353)-$BZ353))</f>
        <v/>
      </c>
      <c r="CB353" s="74" t="str">
        <f aca="false">IF(ISBLANK($C353),"",IF($BH353&lt;&gt;Constants!$B$4,$BH353,RANK($CA353,$CA$9:$CA$508)))</f>
        <v/>
      </c>
      <c r="CC353" s="74" t="str">
        <f aca="false">IF(ISBLANK($C353),"",IF($BH353&lt;&gt;Constants!$B$4,$BH353,COUNTIFS($BI$9:$BI$508,"&lt;"&amp;$BI353)+COUNTIFS($BI$9:$BI$508,$BI353,$CB$9:$CB$508,"&lt;"&amp;$CB353)+1))</f>
        <v/>
      </c>
      <c r="CD353" s="74" t="str">
        <f aca="false">IF(ISBLANK($C353),"",IF($BH353&lt;&gt;Constants!$B$4,$BH353,RANK($BZ353,$BZ$9:$BZ$508,1)))</f>
        <v/>
      </c>
      <c r="CE353" s="74" t="str">
        <f aca="false">IF($BH353&lt;&gt;Constants!$B$4,"",$AL353+$AM353+$AN353)</f>
        <v/>
      </c>
      <c r="CF353" s="74" t="str">
        <f aca="false">IF(ISBLANK($C353),"",IF($BH353&lt;&gt;Constants!$B$4,$BH353,RANK($CE353,$CE$9:$CE$508,1)))</f>
        <v/>
      </c>
      <c r="CG353" s="74" t="str">
        <f aca="false">IF(ISBLANK($C353),"",IF($BH353&lt;&gt;Constants!$B$4,$BH353,COUNTIFS($BI$9:$BI$508,"&lt;"&amp;$BI353)+COUNTIFS($BI$9:$BI$508,$BI353,$CB$9:$CB$508,"&lt;"&amp;$CB353)+COUNTIFS($BI$9:$BI$508,$BI353,$CB$9:$CB$508,$CB353,$CD$9:$CD$508,"&lt;"&amp;$CD353)+COUNTIFS($BI$9:$BI$508,$BI353,$CB$9:$CB$508,$CB353,$CD$9:$CD$508,$CD353,$CF$9:$CF$508,"&lt;"&amp;$CF353)+1))</f>
        <v/>
      </c>
      <c r="CH353" s="74" t="str">
        <f aca="false">IF(ISBLANK($C353),"",IF($BH353&lt;&gt;Constants!$B$4,$BH353,$CC353-$CG353))</f>
        <v/>
      </c>
      <c r="CI353" s="74" t="str">
        <f aca="false">IF(ISBLANK($C353),"",IF(NOT($AJ353),"",IF(ISBLANK($D$7),$CI$5,IF(NOT(ISNUMBER($D$7)),$CI$6,""))))</f>
        <v/>
      </c>
      <c r="CJ353" s="74" t="str">
        <f aca="false">IF(ISBLANK($C353),"",OR($AL353="",$AM353="",$AN353=""))</f>
        <v/>
      </c>
      <c r="CK353" s="74" t="str">
        <f aca="false">IF(ISBLANK($C353),"",AND($AJ353,$AX353=""))</f>
        <v/>
      </c>
      <c r="CL353" s="74" t="str">
        <f aca="false">IF(ISBLANK($C353),"",AND($AJ353,$AY353=""))</f>
        <v/>
      </c>
      <c r="CM353" s="74" t="str">
        <f aca="false">IF(ISBLANK($C353),"",AND($AJ353,$AZ353=""))</f>
        <v/>
      </c>
      <c r="CN353" s="74" t="str">
        <f aca="false">IF(ISBLANK($C353),"",AND($AJ353,$BC353=""))</f>
        <v/>
      </c>
      <c r="CO353" s="74" t="str">
        <f aca="false">IF(ISBLANK($C353),"",AND($AJ353,$BF353=""))</f>
        <v/>
      </c>
      <c r="CP353" s="75"/>
      <c r="CQ353" s="76"/>
      <c r="CR353" s="79" t="str">
        <f aca="false">IF(ISBLANK($C353),"",IF($BH353=Constants!$B$8,$CI353,""))</f>
        <v/>
      </c>
      <c r="CS353" s="76" t="str">
        <f aca="false">IF(ISBLANK($C353),"",IF($BH353&lt;&gt;Constants!$B$4,"",$BK353+$BL353))</f>
        <v/>
      </c>
      <c r="CT353" s="78" t="str">
        <f aca="false">IF(ISBLANK($C353),"",IF($BH353&lt;&gt;Constants!$B$4,"",$BM353+$BN353+$BO353))</f>
        <v/>
      </c>
      <c r="CU353" s="78" t="str">
        <f aca="false">IF(ISBLANK($C353),"",IF($BH353&lt;&gt;Constants!$B$4,"",$BP353))</f>
        <v/>
      </c>
      <c r="CV353" s="78" t="str">
        <f aca="false">IF(ISBLANK($C353),"",IF($BH353&lt;&gt;Constants!$B$4,"",$BQ353+$BR353))</f>
        <v/>
      </c>
      <c r="CW353" s="78" t="str">
        <f aca="false">IF(ISBLANK($C353),"",IF($BH353&lt;&gt;Constants!$B$4,"",$BS353))</f>
        <v/>
      </c>
      <c r="CX353" s="78" t="str">
        <f aca="false">IF(ISBLANK($C353),"",IF($BH353&lt;&gt;Constants!$B$4,"",-$BZ353))</f>
        <v/>
      </c>
      <c r="CY353" s="79" t="str">
        <f aca="false">IF(ISBLANK($C353),"",$CA353)</f>
        <v/>
      </c>
      <c r="CZ353" s="80" t="str">
        <f aca="false">IF(ISBLANK($C353),"",$BI353)</f>
        <v/>
      </c>
      <c r="DA353" s="78" t="str">
        <f aca="false">IF(ISBLANK($C353),"",$CH353)</f>
        <v/>
      </c>
      <c r="DB353" s="78" t="str">
        <f aca="false">IF(ISBLANK($C353),"",$CG353)</f>
        <v/>
      </c>
      <c r="DC353" s="81" t="str">
        <f aca="false">IF(ISBLANK($C353),"",IFERROR(_xlfn.SWITCH($DB353,Constants!$B$7,COUNTA($C$9:$C$508)+2,Constants!$B$6,COUNTA($C$9:$C$508)+1,Constants!$B$5,COUNTA($C$9:$C$508)),$DB353))</f>
        <v/>
      </c>
      <c r="DD353" s="7"/>
      <c r="DE353" s="82" t="n">
        <f aca="false">IF(OR(ISNUMBER($DB353),$DB353=Constants!$B$7,$DB353=Constants!$B$5,$DB353=Constants!$B$6),1,0)</f>
        <v>0</v>
      </c>
      <c r="DF353" s="82" t="n">
        <v>345</v>
      </c>
      <c r="DG353" s="82" t="str">
        <f aca="false">IF(ISBLANK($C353),"",IF(ISNUMBER($DC353),$DC353+ROW($B353)/1000,""))</f>
        <v/>
      </c>
      <c r="DH353" s="82" t="str">
        <f aca="false">IF(ISNUMBER($DG353),RANK($DG353,$DG$9:$DG$508,1),"")</f>
        <v/>
      </c>
      <c r="DI353" s="82" t="str">
        <f aca="false">IF(ISBLANK($C353),"",$B353)</f>
        <v/>
      </c>
      <c r="DJ353" s="82" t="str">
        <f aca="false">IF(ISBLANK($C353),"",$C353)</f>
        <v/>
      </c>
      <c r="DK353" s="82" t="str">
        <f aca="false">IF(ISBLANK($C353),"",$D353)</f>
        <v/>
      </c>
      <c r="DL353" s="83" t="str">
        <f aca="false">$CZ353</f>
        <v/>
      </c>
      <c r="DM353" s="84" t="str">
        <f aca="false">$CY353</f>
        <v/>
      </c>
      <c r="DN353" s="82" t="str">
        <f aca="false">IF(ISBLANK($C353),"",$DB353)</f>
        <v/>
      </c>
      <c r="DO353" s="85" t="str">
        <f aca="false">IF($DF353&gt;$DE$8,"",VLOOKUP($DF353,$DH$9:$DN$508,7,FALSE()))</f>
        <v/>
      </c>
      <c r="DP353" s="86" t="str">
        <f aca="false">IF($DF353&gt;$DE$8,"",VLOOKUP($DF353,$DH$9:$DN$508,2,FALSE()))</f>
        <v/>
      </c>
      <c r="DQ353" s="86" t="str">
        <f aca="false">IF($DF353&gt;$DE$8,"",VLOOKUP($DF353,$DH$9:$DN$508,3,FALSE()))</f>
        <v/>
      </c>
      <c r="DR353" s="86" t="str">
        <f aca="false">IF($DF353&gt;$DE$8,"",VLOOKUP($DF353,$DH$9:$DN$508,4,FALSE()))</f>
        <v/>
      </c>
      <c r="DS353" s="86" t="str">
        <f aca="false">IF($DF353&gt;$DE$8,"",VLOOKUP($DF353,$DH$9:$DN$508,5,FALSE()))</f>
        <v/>
      </c>
      <c r="DT353" s="87" t="str">
        <f aca="false">IF($DF353&gt;$DE$8,"",VLOOKUP($DF353,$DH$9:$DN$508,6,FALSE()))</f>
        <v/>
      </c>
      <c r="DU353" s="62"/>
    </row>
    <row r="354" customFormat="false" ht="15.75" hidden="false" customHeight="false" outlineLevel="0" collapsed="false">
      <c r="A354" s="7"/>
      <c r="B354" s="90"/>
      <c r="C354" s="91"/>
      <c r="D354" s="126"/>
      <c r="E354" s="130"/>
      <c r="F354" s="135"/>
      <c r="G354" s="130"/>
      <c r="H354" s="135"/>
      <c r="I354" s="131"/>
      <c r="J354" s="131"/>
      <c r="K354" s="131"/>
      <c r="L354" s="130"/>
      <c r="M354" s="130"/>
      <c r="N354" s="130"/>
      <c r="O354" s="135"/>
      <c r="P354" s="130"/>
      <c r="Q354" s="130"/>
      <c r="R354" s="130"/>
      <c r="S354" s="130"/>
      <c r="T354" s="135"/>
      <c r="U354" s="130"/>
      <c r="V354" s="96"/>
      <c r="W354" s="130"/>
      <c r="X354" s="130"/>
      <c r="Y354" s="96"/>
      <c r="Z354" s="96"/>
      <c r="AA354" s="130"/>
      <c r="AB354" s="130"/>
      <c r="AC354" s="97"/>
      <c r="AD354" s="130"/>
      <c r="AE354" s="99"/>
      <c r="AF354" s="100"/>
      <c r="AG354" s="100"/>
      <c r="AH354" s="100" t="str">
        <f aca="false">IF(ISBLANK($C354),"",IF($E354=Constants!$B$2,TRUE(),IF($E354=Constants!$B$3,FALSE(),TRUE())))</f>
        <v/>
      </c>
      <c r="AI354" s="100" t="str">
        <f aca="false">IF(ISBLANK($C354),"",IF($F354=Constants!$B$2,TRUE(),IF($F354=Constants!$B$3,FALSE(),FALSE())))</f>
        <v/>
      </c>
      <c r="AJ354" s="100" t="str">
        <f aca="false">IF(ISBLANK($C354),"",IF($G354=Constants!$B$2,TRUE(),IF($G354=Constants!$B$3,FALSE(),TRUE())))</f>
        <v/>
      </c>
      <c r="AK354" s="100" t="str">
        <f aca="false">IF(ISBLANK($C354),"",IF($H354=Constants!$B$2,TRUE(),IF($H354=Constants!$B$3,FALSE(),TRUE())))</f>
        <v/>
      </c>
      <c r="AL354" s="100" t="str">
        <f aca="false">IF(ISBLANK($C354),"",IF(ISNUMBER($I354),IF($I354&gt;=0,$I354,""),""))</f>
        <v/>
      </c>
      <c r="AM354" s="100" t="str">
        <f aca="false">IF(ISBLANK($C354),"",IF(ISNUMBER($J354),IF($J354&gt;=0,$J354,""),""))</f>
        <v/>
      </c>
      <c r="AN354" s="100" t="str">
        <f aca="false">IF(ISBLANK($C354),"",IF(ISNUMBER($K354),IF($K354&gt;=0,$K354,""),""))</f>
        <v/>
      </c>
      <c r="AO354" s="100" t="str">
        <f aca="false">IF(ISBLANK($C354),"",IF($L354=Constants!$B$2,TRUE(),IF($L354=Constants!$B$3,FALSE(),TRUE())))</f>
        <v/>
      </c>
      <c r="AP354" s="100" t="str">
        <f aca="false">IF(ISBLANK($C354),"",IF($M354=Constants!$B$2,TRUE(),IF($M354=Constants!$B$3,FALSE(),TRUE())))</f>
        <v/>
      </c>
      <c r="AQ354" s="100" t="str">
        <f aca="false">IF(ISBLANK($C354),"",IF($N354=Constants!$B$2,TRUE(),IF($N354=Constants!$B$3,FALSE(),FALSE())))</f>
        <v/>
      </c>
      <c r="AR354" s="100" t="str">
        <f aca="false">IF(ISBLANK($C354),"",IF($O354=Constants!$B$2,TRUE(),IF($O354=Constants!$B$3,FALSE(),TRUE())))</f>
        <v/>
      </c>
      <c r="AS354" s="100" t="str">
        <f aca="false">IF(ISBLANK($C354),"",IF($P354=Constants!$B$2,TRUE(),IF($P354=Constants!$B$3,FALSE(),FALSE())))</f>
        <v/>
      </c>
      <c r="AT354" s="100" t="str">
        <f aca="false">IF(ISBLANK($C354),"",IF($Q354=Constants!$B$2,TRUE(),IF($Q354=Constants!$B$3,FALSE(),FALSE())))</f>
        <v/>
      </c>
      <c r="AU354" s="100" t="str">
        <f aca="false">IF(ISBLANK($C354),"",IF($R354=Constants!$B$2,TRUE(),IF($R354=Constants!$B$3,FALSE(),FALSE())))</f>
        <v/>
      </c>
      <c r="AV354" s="100" t="str">
        <f aca="false">IF(ISBLANK($C354),"",IF($S354=Constants!$B$2,TRUE(),IF($S354=Constants!$B$3,FALSE(),FALSE())))</f>
        <v/>
      </c>
      <c r="AW354" s="100" t="str">
        <f aca="false">IF(ISBLANK($C354),"",IF($T354=Constants!$B$2,TRUE(),IF($T354=Constants!$B$3,FALSE(),FALSE())))</f>
        <v/>
      </c>
      <c r="AX354" s="100" t="str">
        <f aca="false">IF(ISBLANK($C354),"",IF(OR($U354&amp;""="1",$U354&amp;""="2",$U354&amp;""="3",$U354&amp;""="4"),VALUE($U354&amp;""),IF($U354=Constants!$B$12,Constants!$B$12,"")))</f>
        <v/>
      </c>
      <c r="AY354" s="100" t="str">
        <f aca="false">IF(ISBLANK($C354),"",IF(ISBLANK($V354),0,IF(ISNUMBER($V354),IF(AND($V354&gt;=0,$V354&lt;=Constants!$B$21,$V354=INT($V354)),$V354,""),"")))</f>
        <v/>
      </c>
      <c r="AZ354" s="100" t="str">
        <f aca="false">IF(ISBLANK($C354),"",IF(ISBLANK($W354),0,IF(ISNUMBER($W354),IF($W354&gt;=0,$W354,""),"")))</f>
        <v/>
      </c>
      <c r="BA354" s="100" t="str">
        <f aca="false">IF(ISBLANK($C354),"",IF($X354=Constants!$B$2,TRUE(),IF($X354=Constants!$B$3,FALSE(),TRUE())))</f>
        <v/>
      </c>
      <c r="BB354" s="100" t="str">
        <f aca="false">IF(ISBLANK($C354),"",IF($Y354=Constants!$B$2,TRUE(),IF($Y354=Constants!$B$3,FALSE(),FALSE())))</f>
        <v/>
      </c>
      <c r="BC354" s="100" t="str">
        <f aca="false">IF(ISBLANK($C354),"",IF(ISBLANK($Z354),0,IF(ISNUMBER($Z354),IF(AND($Z354&gt;=0,$Z354&lt;=Constants!$B$35,$Z354=INT($Z354)),$Z354,""),"")))</f>
        <v/>
      </c>
      <c r="BD354" s="100" t="str">
        <f aca="false">IF(ISBLANK($C354),"",IF($AA354=Constants!$B$2,TRUE(),IF($AA354=Constants!$B$3,FALSE(),TRUE())))</f>
        <v/>
      </c>
      <c r="BE354" s="100" t="str">
        <f aca="false">IF(ISBLANK($C354),"",IF($AB354=Constants!$B$2,TRUE(),IF($AB354=Constants!$B$3,FALSE(),TRUE())))</f>
        <v/>
      </c>
      <c r="BF354" s="100" t="str">
        <f aca="false">IF(ISBLANK($C354),"",IF(ISNUMBER($AC354),IF($AC354&gt;=0,$AC354,""),""))</f>
        <v/>
      </c>
      <c r="BG354" s="100" t="str">
        <f aca="false">IF(ISBLANK($C354),"",IF($AD354=Constants!$B$2,TRUE(),IF($AD354=Constants!$B$3,FALSE(),FALSE())))</f>
        <v/>
      </c>
      <c r="BH354" s="99" t="str">
        <f aca="false">IF(ISBLANK($C354),"",IF($BG354,Constants!$B$7,IF(COUNTA($E354:$AC354)=0,Constants!$B$6,IF(OR(COUNTA($G354:$AC354)=0,NOT($AK354),$AQ354),Constants!$B$5,IF(OR($CI354&lt;&gt;"",$CJ354,$CK354,$CL354,$CM354,$CN354,$CO354),Constants!$B$8,Constants!$B$4)))))</f>
        <v/>
      </c>
      <c r="BI354" s="100" t="str">
        <f aca="false">IF(ISBLANK($C354),"",IF($BH354&lt;&gt;Constants!$B$4,$BH354,IF(OR(NOT($AH354),NOT($AJ354),NOT($AR354)),Constants!$B$11,IF(OR(NOT($AP354),MAX($AL354,$AM354,$AN354)&gt;Constants!$B$30),Constants!$B$10,Constants!$B$9))))</f>
        <v/>
      </c>
      <c r="BJ354" s="100" t="str">
        <f aca="false">IF($BH354&lt;&gt;Constants!$B$4,"",IF(NOT($AJ354),0,MIN(Constants!$B$35,$BC354)))</f>
        <v/>
      </c>
      <c r="BK354" s="100" t="str">
        <f aca="false">IF($BH354&lt;&gt;Constants!$B$4,"",IF(NOT($AJ354),0,IF($AT354,Constants!$B$18,IF($AS354,Constants!$B$17,0))))</f>
        <v/>
      </c>
      <c r="BL354" s="100" t="str">
        <f aca="false">IF($BH354&lt;&gt;Constants!$B$4,"",IF(NOT($AJ354),0,Constants!$B$19*($AI354+$AU354+$AV354+$AW354)))</f>
        <v/>
      </c>
      <c r="BM354" s="100" t="str">
        <f aca="false">IF($BH354&lt;&gt;Constants!$B$4,"",IF(OR(NOT($AJ354),NOT(ISNUMBER($AX354))),0,CHOOSE($AX354,Constants!$B$13,Constants!$B$14,Constants!$B$15,Constants!$B$16)))</f>
        <v/>
      </c>
      <c r="BN354" s="100" t="str">
        <f aca="false">IF($BH354&lt;&gt;Constants!$B$4,"",IF(NOT($AJ354),0,Constants!$B$20*$AY354))</f>
        <v/>
      </c>
      <c r="BO354" s="100" t="str">
        <f aca="false">IF($BH354&lt;&gt;Constants!$B$4,"",IF(AND($AJ354,$BA354,$BB354),Constants!$B$22,0))</f>
        <v/>
      </c>
      <c r="BP354" s="100" t="str">
        <f aca="false">IF($BH354&lt;&gt;Constants!$B$4,"",IF(OR(NOT($AJ354),NOT($BA354)),0,IF($BF354&gt;=2*$AF$9,0,Constants!$B$23*INT(ROUND(MIN($BF354,$AF$9),6)))))</f>
        <v/>
      </c>
      <c r="BQ354" s="100" t="str">
        <f aca="false">IF($BH354&lt;&gt;Constants!$B$4,"",IF(NOT($AJ354),0,Constants!$B$24*INT(ROUND(MIN($AZ354,$AF$9),6))))</f>
        <v/>
      </c>
      <c r="BR354" s="100" t="str">
        <f aca="false">IF($BH354&lt;&gt;Constants!$B$4,"",IF(AND($AJ354,$BJ354=0),Constants!$B$25,0))</f>
        <v/>
      </c>
      <c r="BS354" s="100" t="str">
        <f aca="false">IF($BH354&lt;&gt;Constants!$B$4,"",MIN(Constants!$B$29,MAX(0,Constants!$B$27*Constants!$B$28*INT(ROUND((Constants!$B$26-$AL354)/Constants!$B$28,6))))+MIN(Constants!$B$29,MAX(0,Constants!$B$27*Constants!$B$28*INT(ROUND((Constants!$B$26-$AM354)/Constants!$B$28,6))))+MIN(Constants!$B$29,MAX(0,Constants!$B$27*Constants!$B$28*INT(ROUND((Constants!$B$26-$AN354)/Constants!$B$28,6)))))</f>
        <v/>
      </c>
      <c r="BT354" s="100" t="str">
        <f aca="false">IF($BH354&lt;&gt;Constants!$B$4,"",IF(NOT($AJ354),0,Constants!$B$31*INT(ROUND(MAX(0,MIN($BF354,2*$AF$9)-$AF$9),6))))</f>
        <v/>
      </c>
      <c r="BU354" s="100" t="str">
        <f aca="false">IF($BH354&lt;&gt;Constants!$B$4,"",Constants!$B$32*(($AL354&gt;Constants!$B$26)+($AM354&gt;Constants!$B$26)+($AN354&gt;Constants!$B$26)))</f>
        <v/>
      </c>
      <c r="BV354" s="100" t="str">
        <f aca="false">IF($BH354&lt;&gt;Constants!$B$4,"",IF(OR(NOT($AJ354),$AO354),0,Constants!$B$33))</f>
        <v/>
      </c>
      <c r="BW354" s="100" t="str">
        <f aca="false">IF($BH354&lt;&gt;Constants!$B$4,"",Constants!$B$34*$BJ354)</f>
        <v/>
      </c>
      <c r="BX354" s="100" t="str">
        <f aca="false">IF($BH354&lt;&gt;Constants!$B$4,"",IF(OR(NOT($AJ354),$BE354),0,Constants!$B$36))</f>
        <v/>
      </c>
      <c r="BY354" s="100" t="str">
        <f aca="false">IF($BH354&lt;&gt;Constants!$B$4,"",IF(OR(NOT($AJ354),$BD354),0,Constants!$B$37))</f>
        <v/>
      </c>
      <c r="BZ354" s="100" t="str">
        <f aca="false">IF($BH354&lt;&gt;Constants!$B$4,"",SUM($BT354:$BY354))</f>
        <v/>
      </c>
      <c r="CA354" s="100" t="str">
        <f aca="false">IF(ISBLANK($C354),"",IF($BH354&lt;&gt;Constants!$B$4,$BH354,SUM($BK354:$BS354)-$BZ354))</f>
        <v/>
      </c>
      <c r="CB354" s="100" t="str">
        <f aca="false">IF(ISBLANK($C354),"",IF($BH354&lt;&gt;Constants!$B$4,$BH354,RANK($CA354,$CA$9:$CA$508)))</f>
        <v/>
      </c>
      <c r="CC354" s="100" t="str">
        <f aca="false">IF(ISBLANK($C354),"",IF($BH354&lt;&gt;Constants!$B$4,$BH354,COUNTIFS($BI$9:$BI$508,"&lt;"&amp;$BI354)+COUNTIFS($BI$9:$BI$508,$BI354,$CB$9:$CB$508,"&lt;"&amp;$CB354)+1))</f>
        <v/>
      </c>
      <c r="CD354" s="100" t="str">
        <f aca="false">IF(ISBLANK($C354),"",IF($BH354&lt;&gt;Constants!$B$4,$BH354,RANK($BZ354,$BZ$9:$BZ$508,1)))</f>
        <v/>
      </c>
      <c r="CE354" s="100" t="str">
        <f aca="false">IF($BH354&lt;&gt;Constants!$B$4,"",$AL354+$AM354+$AN354)</f>
        <v/>
      </c>
      <c r="CF354" s="100" t="str">
        <f aca="false">IF(ISBLANK($C354),"",IF($BH354&lt;&gt;Constants!$B$4,$BH354,RANK($CE354,$CE$9:$CE$508,1)))</f>
        <v/>
      </c>
      <c r="CG354" s="100" t="str">
        <f aca="false">IF(ISBLANK($C354),"",IF($BH354&lt;&gt;Constants!$B$4,$BH354,COUNTIFS($BI$9:$BI$508,"&lt;"&amp;$BI354)+COUNTIFS($BI$9:$BI$508,$BI354,$CB$9:$CB$508,"&lt;"&amp;$CB354)+COUNTIFS($BI$9:$BI$508,$BI354,$CB$9:$CB$508,$CB354,$CD$9:$CD$508,"&lt;"&amp;$CD354)+COUNTIFS($BI$9:$BI$508,$BI354,$CB$9:$CB$508,$CB354,$CD$9:$CD$508,$CD354,$CF$9:$CF$508,"&lt;"&amp;$CF354)+1))</f>
        <v/>
      </c>
      <c r="CH354" s="100" t="str">
        <f aca="false">IF(ISBLANK($C354),"",IF($BH354&lt;&gt;Constants!$B$4,$BH354,$CC354-$CG354))</f>
        <v/>
      </c>
      <c r="CI354" s="100" t="str">
        <f aca="false">IF(ISBLANK($C354),"",IF(NOT($AJ354),"",IF(ISBLANK($D$7),$CI$5,IF(NOT(ISNUMBER($D$7)),$CI$6,""))))</f>
        <v/>
      </c>
      <c r="CJ354" s="100" t="str">
        <f aca="false">IF(ISBLANK($C354),"",OR($AL354="",$AM354="",$AN354=""))</f>
        <v/>
      </c>
      <c r="CK354" s="100" t="str">
        <f aca="false">IF(ISBLANK($C354),"",AND($AJ354,$AX354=""))</f>
        <v/>
      </c>
      <c r="CL354" s="100" t="str">
        <f aca="false">IF(ISBLANK($C354),"",AND($AJ354,$AY354=""))</f>
        <v/>
      </c>
      <c r="CM354" s="100" t="str">
        <f aca="false">IF(ISBLANK($C354),"",AND($AJ354,$AZ354=""))</f>
        <v/>
      </c>
      <c r="CN354" s="100" t="str">
        <f aca="false">IF(ISBLANK($C354),"",AND($AJ354,$BC354=""))</f>
        <v/>
      </c>
      <c r="CO354" s="100" t="str">
        <f aca="false">IF(ISBLANK($C354),"",AND($AJ354,$BF354=""))</f>
        <v/>
      </c>
      <c r="CP354" s="101"/>
      <c r="CQ354" s="102"/>
      <c r="CR354" s="103" t="str">
        <f aca="false">IF(ISBLANK($C354),"",IF($BH354=Constants!$B$8,$CI354,""))</f>
        <v/>
      </c>
      <c r="CS354" s="102" t="str">
        <f aca="false">IF(ISBLANK($C354),"",IF($BH354&lt;&gt;Constants!$B$4,"",$BK354+$BL354))</f>
        <v/>
      </c>
      <c r="CT354" s="104" t="str">
        <f aca="false">IF(ISBLANK($C354),"",IF($BH354&lt;&gt;Constants!$B$4,"",$BM354+$BN354+$BO354))</f>
        <v/>
      </c>
      <c r="CU354" s="104" t="str">
        <f aca="false">IF(ISBLANK($C354),"",IF($BH354&lt;&gt;Constants!$B$4,"",$BP354))</f>
        <v/>
      </c>
      <c r="CV354" s="104" t="str">
        <f aca="false">IF(ISBLANK($C354),"",IF($BH354&lt;&gt;Constants!$B$4,"",$BQ354+$BR354))</f>
        <v/>
      </c>
      <c r="CW354" s="104" t="str">
        <f aca="false">IF(ISBLANK($C354),"",IF($BH354&lt;&gt;Constants!$B$4,"",$BS354))</f>
        <v/>
      </c>
      <c r="CX354" s="104" t="str">
        <f aca="false">IF(ISBLANK($C354),"",IF($BH354&lt;&gt;Constants!$B$4,"",-$BZ354))</f>
        <v/>
      </c>
      <c r="CY354" s="103" t="str">
        <f aca="false">IF(ISBLANK($C354),"",$CA354)</f>
        <v/>
      </c>
      <c r="CZ354" s="105" t="str">
        <f aca="false">IF(ISBLANK($C354),"",$BI354)</f>
        <v/>
      </c>
      <c r="DA354" s="104" t="str">
        <f aca="false">IF(ISBLANK($C354),"",$CH354)</f>
        <v/>
      </c>
      <c r="DB354" s="104" t="str">
        <f aca="false">IF(ISBLANK($C354),"",$CG354)</f>
        <v/>
      </c>
      <c r="DC354" s="106" t="str">
        <f aca="false">IF(ISBLANK($C354),"",IFERROR(_xlfn.SWITCH($DB354,Constants!$B$7,COUNTA($C$9:$C$508)+2,Constants!$B$6,COUNTA($C$9:$C$508)+1,Constants!$B$5,COUNTA($C$9:$C$508)),$DB354))</f>
        <v/>
      </c>
      <c r="DD354" s="7"/>
      <c r="DE354" s="107" t="n">
        <f aca="false">IF(OR(ISNUMBER($DB354),$DB354=Constants!$B$7,$DB354=Constants!$B$5,$DB354=Constants!$B$6),1,0)</f>
        <v>0</v>
      </c>
      <c r="DF354" s="107" t="n">
        <v>346</v>
      </c>
      <c r="DG354" s="107" t="str">
        <f aca="false">IF(ISBLANK($C354),"",IF(ISNUMBER($DC354),$DC354+ROW($B354)/1000,""))</f>
        <v/>
      </c>
      <c r="DH354" s="107" t="str">
        <f aca="false">IF(ISNUMBER($DG354),RANK($DG354,$DG$9:$DG$508,1),"")</f>
        <v/>
      </c>
      <c r="DI354" s="107" t="str">
        <f aca="false">IF(ISBLANK($C354),"",$B354)</f>
        <v/>
      </c>
      <c r="DJ354" s="107" t="str">
        <f aca="false">IF(ISBLANK($C354),"",$C354)</f>
        <v/>
      </c>
      <c r="DK354" s="107" t="str">
        <f aca="false">IF(ISBLANK($C354),"",$D354)</f>
        <v/>
      </c>
      <c r="DL354" s="108" t="str">
        <f aca="false">$CZ354</f>
        <v/>
      </c>
      <c r="DM354" s="109" t="str">
        <f aca="false">$CY354</f>
        <v/>
      </c>
      <c r="DN354" s="107" t="str">
        <f aca="false">IF(ISBLANK($C354),"",$DB354)</f>
        <v/>
      </c>
      <c r="DO354" s="110" t="str">
        <f aca="false">IF($DF354&gt;$DE$8,"",VLOOKUP($DF354,$DH$9:$DN$508,7,FALSE()))</f>
        <v/>
      </c>
      <c r="DP354" s="111" t="str">
        <f aca="false">IF($DF354&gt;$DE$8,"",VLOOKUP($DF354,$DH$9:$DN$508,2,FALSE()))</f>
        <v/>
      </c>
      <c r="DQ354" s="111" t="str">
        <f aca="false">IF($DF354&gt;$DE$8,"",VLOOKUP($DF354,$DH$9:$DN$508,3,FALSE()))</f>
        <v/>
      </c>
      <c r="DR354" s="111" t="str">
        <f aca="false">IF($DF354&gt;$DE$8,"",VLOOKUP($DF354,$DH$9:$DN$508,4,FALSE()))</f>
        <v/>
      </c>
      <c r="DS354" s="111" t="str">
        <f aca="false">IF($DF354&gt;$DE$8,"",VLOOKUP($DF354,$DH$9:$DN$508,5,FALSE()))</f>
        <v/>
      </c>
      <c r="DT354" s="112" t="str">
        <f aca="false">IF($DF354&gt;$DE$8,"",VLOOKUP($DF354,$DH$9:$DN$508,6,FALSE()))</f>
        <v/>
      </c>
      <c r="DU354" s="62"/>
    </row>
    <row r="355" customFormat="false" ht="15.75" hidden="false" customHeight="false" outlineLevel="0" collapsed="false">
      <c r="A355" s="7"/>
      <c r="B355" s="90"/>
      <c r="C355" s="91"/>
      <c r="D355" s="126"/>
      <c r="E355" s="130"/>
      <c r="F355" s="135"/>
      <c r="G355" s="130"/>
      <c r="H355" s="135"/>
      <c r="I355" s="131"/>
      <c r="J355" s="131"/>
      <c r="K355" s="131"/>
      <c r="L355" s="130"/>
      <c r="M355" s="130"/>
      <c r="N355" s="130"/>
      <c r="O355" s="135"/>
      <c r="P355" s="130"/>
      <c r="Q355" s="130"/>
      <c r="R355" s="130"/>
      <c r="S355" s="130"/>
      <c r="T355" s="135"/>
      <c r="U355" s="130"/>
      <c r="V355" s="96"/>
      <c r="W355" s="130"/>
      <c r="X355" s="130"/>
      <c r="Y355" s="96"/>
      <c r="Z355" s="96"/>
      <c r="AA355" s="130"/>
      <c r="AB355" s="130"/>
      <c r="AC355" s="97"/>
      <c r="AD355" s="130"/>
      <c r="AE355" s="99"/>
      <c r="AF355" s="100"/>
      <c r="AG355" s="100"/>
      <c r="AH355" s="100" t="str">
        <f aca="false">IF(ISBLANK($C355),"",IF($E355=Constants!$B$2,TRUE(),IF($E355=Constants!$B$3,FALSE(),TRUE())))</f>
        <v/>
      </c>
      <c r="AI355" s="100" t="str">
        <f aca="false">IF(ISBLANK($C355),"",IF($F355=Constants!$B$2,TRUE(),IF($F355=Constants!$B$3,FALSE(),FALSE())))</f>
        <v/>
      </c>
      <c r="AJ355" s="100" t="str">
        <f aca="false">IF(ISBLANK($C355),"",IF($G355=Constants!$B$2,TRUE(),IF($G355=Constants!$B$3,FALSE(),TRUE())))</f>
        <v/>
      </c>
      <c r="AK355" s="100" t="str">
        <f aca="false">IF(ISBLANK($C355),"",IF($H355=Constants!$B$2,TRUE(),IF($H355=Constants!$B$3,FALSE(),TRUE())))</f>
        <v/>
      </c>
      <c r="AL355" s="100" t="str">
        <f aca="false">IF(ISBLANK($C355),"",IF(ISNUMBER($I355),IF($I355&gt;=0,$I355,""),""))</f>
        <v/>
      </c>
      <c r="AM355" s="100" t="str">
        <f aca="false">IF(ISBLANK($C355),"",IF(ISNUMBER($J355),IF($J355&gt;=0,$J355,""),""))</f>
        <v/>
      </c>
      <c r="AN355" s="100" t="str">
        <f aca="false">IF(ISBLANK($C355),"",IF(ISNUMBER($K355),IF($K355&gt;=0,$K355,""),""))</f>
        <v/>
      </c>
      <c r="AO355" s="100" t="str">
        <f aca="false">IF(ISBLANK($C355),"",IF($L355=Constants!$B$2,TRUE(),IF($L355=Constants!$B$3,FALSE(),TRUE())))</f>
        <v/>
      </c>
      <c r="AP355" s="100" t="str">
        <f aca="false">IF(ISBLANK($C355),"",IF($M355=Constants!$B$2,TRUE(),IF($M355=Constants!$B$3,FALSE(),TRUE())))</f>
        <v/>
      </c>
      <c r="AQ355" s="100" t="str">
        <f aca="false">IF(ISBLANK($C355),"",IF($N355=Constants!$B$2,TRUE(),IF($N355=Constants!$B$3,FALSE(),FALSE())))</f>
        <v/>
      </c>
      <c r="AR355" s="100" t="str">
        <f aca="false">IF(ISBLANK($C355),"",IF($O355=Constants!$B$2,TRUE(),IF($O355=Constants!$B$3,FALSE(),TRUE())))</f>
        <v/>
      </c>
      <c r="AS355" s="100" t="str">
        <f aca="false">IF(ISBLANK($C355),"",IF($P355=Constants!$B$2,TRUE(),IF($P355=Constants!$B$3,FALSE(),FALSE())))</f>
        <v/>
      </c>
      <c r="AT355" s="100" t="str">
        <f aca="false">IF(ISBLANK($C355),"",IF($Q355=Constants!$B$2,TRUE(),IF($Q355=Constants!$B$3,FALSE(),FALSE())))</f>
        <v/>
      </c>
      <c r="AU355" s="100" t="str">
        <f aca="false">IF(ISBLANK($C355),"",IF($R355=Constants!$B$2,TRUE(),IF($R355=Constants!$B$3,FALSE(),FALSE())))</f>
        <v/>
      </c>
      <c r="AV355" s="100" t="str">
        <f aca="false">IF(ISBLANK($C355),"",IF($S355=Constants!$B$2,TRUE(),IF($S355=Constants!$B$3,FALSE(),FALSE())))</f>
        <v/>
      </c>
      <c r="AW355" s="100" t="str">
        <f aca="false">IF(ISBLANK($C355),"",IF($T355=Constants!$B$2,TRUE(),IF($T355=Constants!$B$3,FALSE(),FALSE())))</f>
        <v/>
      </c>
      <c r="AX355" s="100" t="str">
        <f aca="false">IF(ISBLANK($C355),"",IF(OR($U355&amp;""="1",$U355&amp;""="2",$U355&amp;""="3",$U355&amp;""="4"),VALUE($U355&amp;""),IF($U355=Constants!$B$12,Constants!$B$12,"")))</f>
        <v/>
      </c>
      <c r="AY355" s="100" t="str">
        <f aca="false">IF(ISBLANK($C355),"",IF(ISBLANK($V355),0,IF(ISNUMBER($V355),IF(AND($V355&gt;=0,$V355&lt;=Constants!$B$21,$V355=INT($V355)),$V355,""),"")))</f>
        <v/>
      </c>
      <c r="AZ355" s="100" t="str">
        <f aca="false">IF(ISBLANK($C355),"",IF(ISBLANK($W355),0,IF(ISNUMBER($W355),IF($W355&gt;=0,$W355,""),"")))</f>
        <v/>
      </c>
      <c r="BA355" s="100" t="str">
        <f aca="false">IF(ISBLANK($C355),"",IF($X355=Constants!$B$2,TRUE(),IF($X355=Constants!$B$3,FALSE(),TRUE())))</f>
        <v/>
      </c>
      <c r="BB355" s="100" t="str">
        <f aca="false">IF(ISBLANK($C355),"",IF($Y355=Constants!$B$2,TRUE(),IF($Y355=Constants!$B$3,FALSE(),FALSE())))</f>
        <v/>
      </c>
      <c r="BC355" s="100" t="str">
        <f aca="false">IF(ISBLANK($C355),"",IF(ISBLANK($Z355),0,IF(ISNUMBER($Z355),IF(AND($Z355&gt;=0,$Z355&lt;=Constants!$B$35,$Z355=INT($Z355)),$Z355,""),"")))</f>
        <v/>
      </c>
      <c r="BD355" s="100" t="str">
        <f aca="false">IF(ISBLANK($C355),"",IF($AA355=Constants!$B$2,TRUE(),IF($AA355=Constants!$B$3,FALSE(),TRUE())))</f>
        <v/>
      </c>
      <c r="BE355" s="100" t="str">
        <f aca="false">IF(ISBLANK($C355),"",IF($AB355=Constants!$B$2,TRUE(),IF($AB355=Constants!$B$3,FALSE(),TRUE())))</f>
        <v/>
      </c>
      <c r="BF355" s="100" t="str">
        <f aca="false">IF(ISBLANK($C355),"",IF(ISNUMBER($AC355),IF($AC355&gt;=0,$AC355,""),""))</f>
        <v/>
      </c>
      <c r="BG355" s="100" t="str">
        <f aca="false">IF(ISBLANK($C355),"",IF($AD355=Constants!$B$2,TRUE(),IF($AD355=Constants!$B$3,FALSE(),FALSE())))</f>
        <v/>
      </c>
      <c r="BH355" s="99" t="str">
        <f aca="false">IF(ISBLANK($C355),"",IF($BG355,Constants!$B$7,IF(COUNTA($E355:$AC355)=0,Constants!$B$6,IF(OR(COUNTA($G355:$AC355)=0,NOT($AK355),$AQ355),Constants!$B$5,IF(OR($CI355&lt;&gt;"",$CJ355,$CK355,$CL355,$CM355,$CN355,$CO355),Constants!$B$8,Constants!$B$4)))))</f>
        <v/>
      </c>
      <c r="BI355" s="100" t="str">
        <f aca="false">IF(ISBLANK($C355),"",IF($BH355&lt;&gt;Constants!$B$4,$BH355,IF(OR(NOT($AH355),NOT($AJ355),NOT($AR355)),Constants!$B$11,IF(OR(NOT($AP355),MAX($AL355,$AM355,$AN355)&gt;Constants!$B$30),Constants!$B$10,Constants!$B$9))))</f>
        <v/>
      </c>
      <c r="BJ355" s="100" t="str">
        <f aca="false">IF($BH355&lt;&gt;Constants!$B$4,"",IF(NOT($AJ355),0,MIN(Constants!$B$35,$BC355)))</f>
        <v/>
      </c>
      <c r="BK355" s="100" t="str">
        <f aca="false">IF($BH355&lt;&gt;Constants!$B$4,"",IF(NOT($AJ355),0,IF($AT355,Constants!$B$18,IF($AS355,Constants!$B$17,0))))</f>
        <v/>
      </c>
      <c r="BL355" s="100" t="str">
        <f aca="false">IF($BH355&lt;&gt;Constants!$B$4,"",IF(NOT($AJ355),0,Constants!$B$19*($AI355+$AU355+$AV355+$AW355)))</f>
        <v/>
      </c>
      <c r="BM355" s="100" t="str">
        <f aca="false">IF($BH355&lt;&gt;Constants!$B$4,"",IF(OR(NOT($AJ355),NOT(ISNUMBER($AX355))),0,CHOOSE($AX355,Constants!$B$13,Constants!$B$14,Constants!$B$15,Constants!$B$16)))</f>
        <v/>
      </c>
      <c r="BN355" s="100" t="str">
        <f aca="false">IF($BH355&lt;&gt;Constants!$B$4,"",IF(NOT($AJ355),0,Constants!$B$20*$AY355))</f>
        <v/>
      </c>
      <c r="BO355" s="100" t="str">
        <f aca="false">IF($BH355&lt;&gt;Constants!$B$4,"",IF(AND($AJ355,$BA355,$BB355),Constants!$B$22,0))</f>
        <v/>
      </c>
      <c r="BP355" s="100" t="str">
        <f aca="false">IF($BH355&lt;&gt;Constants!$B$4,"",IF(OR(NOT($AJ355),NOT($BA355)),0,IF($BF355&gt;=2*$AF$9,0,Constants!$B$23*INT(ROUND(MIN($BF355,$AF$9),6)))))</f>
        <v/>
      </c>
      <c r="BQ355" s="100" t="str">
        <f aca="false">IF($BH355&lt;&gt;Constants!$B$4,"",IF(NOT($AJ355),0,Constants!$B$24*INT(ROUND(MIN($AZ355,$AF$9),6))))</f>
        <v/>
      </c>
      <c r="BR355" s="100" t="str">
        <f aca="false">IF($BH355&lt;&gt;Constants!$B$4,"",IF(AND($AJ355,$BJ355=0),Constants!$B$25,0))</f>
        <v/>
      </c>
      <c r="BS355" s="100" t="str">
        <f aca="false">IF($BH355&lt;&gt;Constants!$B$4,"",MIN(Constants!$B$29,MAX(0,Constants!$B$27*Constants!$B$28*INT(ROUND((Constants!$B$26-$AL355)/Constants!$B$28,6))))+MIN(Constants!$B$29,MAX(0,Constants!$B$27*Constants!$B$28*INT(ROUND((Constants!$B$26-$AM355)/Constants!$B$28,6))))+MIN(Constants!$B$29,MAX(0,Constants!$B$27*Constants!$B$28*INT(ROUND((Constants!$B$26-$AN355)/Constants!$B$28,6)))))</f>
        <v/>
      </c>
      <c r="BT355" s="100" t="str">
        <f aca="false">IF($BH355&lt;&gt;Constants!$B$4,"",IF(NOT($AJ355),0,Constants!$B$31*INT(ROUND(MAX(0,MIN($BF355,2*$AF$9)-$AF$9),6))))</f>
        <v/>
      </c>
      <c r="BU355" s="100" t="str">
        <f aca="false">IF($BH355&lt;&gt;Constants!$B$4,"",Constants!$B$32*(($AL355&gt;Constants!$B$26)+($AM355&gt;Constants!$B$26)+($AN355&gt;Constants!$B$26)))</f>
        <v/>
      </c>
      <c r="BV355" s="100" t="str">
        <f aca="false">IF($BH355&lt;&gt;Constants!$B$4,"",IF(OR(NOT($AJ355),$AO355),0,Constants!$B$33))</f>
        <v/>
      </c>
      <c r="BW355" s="100" t="str">
        <f aca="false">IF($BH355&lt;&gt;Constants!$B$4,"",Constants!$B$34*$BJ355)</f>
        <v/>
      </c>
      <c r="BX355" s="100" t="str">
        <f aca="false">IF($BH355&lt;&gt;Constants!$B$4,"",IF(OR(NOT($AJ355),$BE355),0,Constants!$B$36))</f>
        <v/>
      </c>
      <c r="BY355" s="100" t="str">
        <f aca="false">IF($BH355&lt;&gt;Constants!$B$4,"",IF(OR(NOT($AJ355),$BD355),0,Constants!$B$37))</f>
        <v/>
      </c>
      <c r="BZ355" s="100" t="str">
        <f aca="false">IF($BH355&lt;&gt;Constants!$B$4,"",SUM($BT355:$BY355))</f>
        <v/>
      </c>
      <c r="CA355" s="100" t="str">
        <f aca="false">IF(ISBLANK($C355),"",IF($BH355&lt;&gt;Constants!$B$4,$BH355,SUM($BK355:$BS355)-$BZ355))</f>
        <v/>
      </c>
      <c r="CB355" s="100" t="str">
        <f aca="false">IF(ISBLANK($C355),"",IF($BH355&lt;&gt;Constants!$B$4,$BH355,RANK($CA355,$CA$9:$CA$508)))</f>
        <v/>
      </c>
      <c r="CC355" s="100" t="str">
        <f aca="false">IF(ISBLANK($C355),"",IF($BH355&lt;&gt;Constants!$B$4,$BH355,COUNTIFS($BI$9:$BI$508,"&lt;"&amp;$BI355)+COUNTIFS($BI$9:$BI$508,$BI355,$CB$9:$CB$508,"&lt;"&amp;$CB355)+1))</f>
        <v/>
      </c>
      <c r="CD355" s="100" t="str">
        <f aca="false">IF(ISBLANK($C355),"",IF($BH355&lt;&gt;Constants!$B$4,$BH355,RANK($BZ355,$BZ$9:$BZ$508,1)))</f>
        <v/>
      </c>
      <c r="CE355" s="100" t="str">
        <f aca="false">IF($BH355&lt;&gt;Constants!$B$4,"",$AL355+$AM355+$AN355)</f>
        <v/>
      </c>
      <c r="CF355" s="100" t="str">
        <f aca="false">IF(ISBLANK($C355),"",IF($BH355&lt;&gt;Constants!$B$4,$BH355,RANK($CE355,$CE$9:$CE$508,1)))</f>
        <v/>
      </c>
      <c r="CG355" s="100" t="str">
        <f aca="false">IF(ISBLANK($C355),"",IF($BH355&lt;&gt;Constants!$B$4,$BH355,COUNTIFS($BI$9:$BI$508,"&lt;"&amp;$BI355)+COUNTIFS($BI$9:$BI$508,$BI355,$CB$9:$CB$508,"&lt;"&amp;$CB355)+COUNTIFS($BI$9:$BI$508,$BI355,$CB$9:$CB$508,$CB355,$CD$9:$CD$508,"&lt;"&amp;$CD355)+COUNTIFS($BI$9:$BI$508,$BI355,$CB$9:$CB$508,$CB355,$CD$9:$CD$508,$CD355,$CF$9:$CF$508,"&lt;"&amp;$CF355)+1))</f>
        <v/>
      </c>
      <c r="CH355" s="100" t="str">
        <f aca="false">IF(ISBLANK($C355),"",IF($BH355&lt;&gt;Constants!$B$4,$BH355,$CC355-$CG355))</f>
        <v/>
      </c>
      <c r="CI355" s="100" t="str">
        <f aca="false">IF(ISBLANK($C355),"",IF(NOT($AJ355),"",IF(ISBLANK($D$7),$CI$5,IF(NOT(ISNUMBER($D$7)),$CI$6,""))))</f>
        <v/>
      </c>
      <c r="CJ355" s="100" t="str">
        <f aca="false">IF(ISBLANK($C355),"",OR($AL355="",$AM355="",$AN355=""))</f>
        <v/>
      </c>
      <c r="CK355" s="100" t="str">
        <f aca="false">IF(ISBLANK($C355),"",AND($AJ355,$AX355=""))</f>
        <v/>
      </c>
      <c r="CL355" s="100" t="str">
        <f aca="false">IF(ISBLANK($C355),"",AND($AJ355,$AY355=""))</f>
        <v/>
      </c>
      <c r="CM355" s="100" t="str">
        <f aca="false">IF(ISBLANK($C355),"",AND($AJ355,$AZ355=""))</f>
        <v/>
      </c>
      <c r="CN355" s="100" t="str">
        <f aca="false">IF(ISBLANK($C355),"",AND($AJ355,$BC355=""))</f>
        <v/>
      </c>
      <c r="CO355" s="100" t="str">
        <f aca="false">IF(ISBLANK($C355),"",AND($AJ355,$BF355=""))</f>
        <v/>
      </c>
      <c r="CP355" s="101"/>
      <c r="CQ355" s="102"/>
      <c r="CR355" s="103" t="str">
        <f aca="false">IF(ISBLANK($C355),"",IF($BH355=Constants!$B$8,$CI355,""))</f>
        <v/>
      </c>
      <c r="CS355" s="102" t="str">
        <f aca="false">IF(ISBLANK($C355),"",IF($BH355&lt;&gt;Constants!$B$4,"",$BK355+$BL355))</f>
        <v/>
      </c>
      <c r="CT355" s="104" t="str">
        <f aca="false">IF(ISBLANK($C355),"",IF($BH355&lt;&gt;Constants!$B$4,"",$BM355+$BN355+$BO355))</f>
        <v/>
      </c>
      <c r="CU355" s="104" t="str">
        <f aca="false">IF(ISBLANK($C355),"",IF($BH355&lt;&gt;Constants!$B$4,"",$BP355))</f>
        <v/>
      </c>
      <c r="CV355" s="104" t="str">
        <f aca="false">IF(ISBLANK($C355),"",IF($BH355&lt;&gt;Constants!$B$4,"",$BQ355+$BR355))</f>
        <v/>
      </c>
      <c r="CW355" s="104" t="str">
        <f aca="false">IF(ISBLANK($C355),"",IF($BH355&lt;&gt;Constants!$B$4,"",$BS355))</f>
        <v/>
      </c>
      <c r="CX355" s="104" t="str">
        <f aca="false">IF(ISBLANK($C355),"",IF($BH355&lt;&gt;Constants!$B$4,"",-$BZ355))</f>
        <v/>
      </c>
      <c r="CY355" s="103" t="str">
        <f aca="false">IF(ISBLANK($C355),"",$CA355)</f>
        <v/>
      </c>
      <c r="CZ355" s="105" t="str">
        <f aca="false">IF(ISBLANK($C355),"",$BI355)</f>
        <v/>
      </c>
      <c r="DA355" s="104" t="str">
        <f aca="false">IF(ISBLANK($C355),"",$CH355)</f>
        <v/>
      </c>
      <c r="DB355" s="104" t="str">
        <f aca="false">IF(ISBLANK($C355),"",$CG355)</f>
        <v/>
      </c>
      <c r="DC355" s="106" t="str">
        <f aca="false">IF(ISBLANK($C355),"",IFERROR(_xlfn.SWITCH($DB355,Constants!$B$7,COUNTA($C$9:$C$508)+2,Constants!$B$6,COUNTA($C$9:$C$508)+1,Constants!$B$5,COUNTA($C$9:$C$508)),$DB355))</f>
        <v/>
      </c>
      <c r="DD355" s="7"/>
      <c r="DE355" s="107" t="n">
        <f aca="false">IF(OR(ISNUMBER($DB355),$DB355=Constants!$B$7,$DB355=Constants!$B$5,$DB355=Constants!$B$6),1,0)</f>
        <v>0</v>
      </c>
      <c r="DF355" s="107" t="n">
        <v>347</v>
      </c>
      <c r="DG355" s="107" t="str">
        <f aca="false">IF(ISBLANK($C355),"",IF(ISNUMBER($DC355),$DC355+ROW($B355)/1000,""))</f>
        <v/>
      </c>
      <c r="DH355" s="107" t="str">
        <f aca="false">IF(ISNUMBER($DG355),RANK($DG355,$DG$9:$DG$508,1),"")</f>
        <v/>
      </c>
      <c r="DI355" s="107" t="str">
        <f aca="false">IF(ISBLANK($C355),"",$B355)</f>
        <v/>
      </c>
      <c r="DJ355" s="107" t="str">
        <f aca="false">IF(ISBLANK($C355),"",$C355)</f>
        <v/>
      </c>
      <c r="DK355" s="107" t="str">
        <f aca="false">IF(ISBLANK($C355),"",$D355)</f>
        <v/>
      </c>
      <c r="DL355" s="108" t="str">
        <f aca="false">$CZ355</f>
        <v/>
      </c>
      <c r="DM355" s="109" t="str">
        <f aca="false">$CY355</f>
        <v/>
      </c>
      <c r="DN355" s="107" t="str">
        <f aca="false">IF(ISBLANK($C355),"",$DB355)</f>
        <v/>
      </c>
      <c r="DO355" s="110" t="str">
        <f aca="false">IF($DF355&gt;$DE$8,"",VLOOKUP($DF355,$DH$9:$DN$508,7,FALSE()))</f>
        <v/>
      </c>
      <c r="DP355" s="111" t="str">
        <f aca="false">IF($DF355&gt;$DE$8,"",VLOOKUP($DF355,$DH$9:$DN$508,2,FALSE()))</f>
        <v/>
      </c>
      <c r="DQ355" s="111" t="str">
        <f aca="false">IF($DF355&gt;$DE$8,"",VLOOKUP($DF355,$DH$9:$DN$508,3,FALSE()))</f>
        <v/>
      </c>
      <c r="DR355" s="111" t="str">
        <f aca="false">IF($DF355&gt;$DE$8,"",VLOOKUP($DF355,$DH$9:$DN$508,4,FALSE()))</f>
        <v/>
      </c>
      <c r="DS355" s="111" t="str">
        <f aca="false">IF($DF355&gt;$DE$8,"",VLOOKUP($DF355,$DH$9:$DN$508,5,FALSE()))</f>
        <v/>
      </c>
      <c r="DT355" s="112" t="str">
        <f aca="false">IF($DF355&gt;$DE$8,"",VLOOKUP($DF355,$DH$9:$DN$508,6,FALSE()))</f>
        <v/>
      </c>
      <c r="DU355" s="62"/>
    </row>
    <row r="356" customFormat="false" ht="15.75" hidden="false" customHeight="false" outlineLevel="0" collapsed="false">
      <c r="A356" s="7"/>
      <c r="B356" s="90"/>
      <c r="C356" s="91"/>
      <c r="D356" s="126"/>
      <c r="E356" s="130"/>
      <c r="F356" s="135"/>
      <c r="G356" s="130"/>
      <c r="H356" s="135"/>
      <c r="I356" s="131"/>
      <c r="J356" s="131"/>
      <c r="K356" s="131"/>
      <c r="L356" s="130"/>
      <c r="M356" s="130"/>
      <c r="N356" s="130"/>
      <c r="O356" s="135"/>
      <c r="P356" s="130"/>
      <c r="Q356" s="130"/>
      <c r="R356" s="130"/>
      <c r="S356" s="130"/>
      <c r="T356" s="135"/>
      <c r="U356" s="130"/>
      <c r="V356" s="96"/>
      <c r="W356" s="130"/>
      <c r="X356" s="130"/>
      <c r="Y356" s="96"/>
      <c r="Z356" s="96"/>
      <c r="AA356" s="130"/>
      <c r="AB356" s="130"/>
      <c r="AC356" s="97"/>
      <c r="AD356" s="130"/>
      <c r="AE356" s="99"/>
      <c r="AF356" s="100"/>
      <c r="AG356" s="100"/>
      <c r="AH356" s="100" t="str">
        <f aca="false">IF(ISBLANK($C356),"",IF($E356=Constants!$B$2,TRUE(),IF($E356=Constants!$B$3,FALSE(),TRUE())))</f>
        <v/>
      </c>
      <c r="AI356" s="100" t="str">
        <f aca="false">IF(ISBLANK($C356),"",IF($F356=Constants!$B$2,TRUE(),IF($F356=Constants!$B$3,FALSE(),FALSE())))</f>
        <v/>
      </c>
      <c r="AJ356" s="100" t="str">
        <f aca="false">IF(ISBLANK($C356),"",IF($G356=Constants!$B$2,TRUE(),IF($G356=Constants!$B$3,FALSE(),TRUE())))</f>
        <v/>
      </c>
      <c r="AK356" s="100" t="str">
        <f aca="false">IF(ISBLANK($C356),"",IF($H356=Constants!$B$2,TRUE(),IF($H356=Constants!$B$3,FALSE(),TRUE())))</f>
        <v/>
      </c>
      <c r="AL356" s="100" t="str">
        <f aca="false">IF(ISBLANK($C356),"",IF(ISNUMBER($I356),IF($I356&gt;=0,$I356,""),""))</f>
        <v/>
      </c>
      <c r="AM356" s="100" t="str">
        <f aca="false">IF(ISBLANK($C356),"",IF(ISNUMBER($J356),IF($J356&gt;=0,$J356,""),""))</f>
        <v/>
      </c>
      <c r="AN356" s="100" t="str">
        <f aca="false">IF(ISBLANK($C356),"",IF(ISNUMBER($K356),IF($K356&gt;=0,$K356,""),""))</f>
        <v/>
      </c>
      <c r="AO356" s="100" t="str">
        <f aca="false">IF(ISBLANK($C356),"",IF($L356=Constants!$B$2,TRUE(),IF($L356=Constants!$B$3,FALSE(),TRUE())))</f>
        <v/>
      </c>
      <c r="AP356" s="100" t="str">
        <f aca="false">IF(ISBLANK($C356),"",IF($M356=Constants!$B$2,TRUE(),IF($M356=Constants!$B$3,FALSE(),TRUE())))</f>
        <v/>
      </c>
      <c r="AQ356" s="100" t="str">
        <f aca="false">IF(ISBLANK($C356),"",IF($N356=Constants!$B$2,TRUE(),IF($N356=Constants!$B$3,FALSE(),FALSE())))</f>
        <v/>
      </c>
      <c r="AR356" s="100" t="str">
        <f aca="false">IF(ISBLANK($C356),"",IF($O356=Constants!$B$2,TRUE(),IF($O356=Constants!$B$3,FALSE(),TRUE())))</f>
        <v/>
      </c>
      <c r="AS356" s="100" t="str">
        <f aca="false">IF(ISBLANK($C356),"",IF($P356=Constants!$B$2,TRUE(),IF($P356=Constants!$B$3,FALSE(),FALSE())))</f>
        <v/>
      </c>
      <c r="AT356" s="100" t="str">
        <f aca="false">IF(ISBLANK($C356),"",IF($Q356=Constants!$B$2,TRUE(),IF($Q356=Constants!$B$3,FALSE(),FALSE())))</f>
        <v/>
      </c>
      <c r="AU356" s="100" t="str">
        <f aca="false">IF(ISBLANK($C356),"",IF($R356=Constants!$B$2,TRUE(),IF($R356=Constants!$B$3,FALSE(),FALSE())))</f>
        <v/>
      </c>
      <c r="AV356" s="100" t="str">
        <f aca="false">IF(ISBLANK($C356),"",IF($S356=Constants!$B$2,TRUE(),IF($S356=Constants!$B$3,FALSE(),FALSE())))</f>
        <v/>
      </c>
      <c r="AW356" s="100" t="str">
        <f aca="false">IF(ISBLANK($C356),"",IF($T356=Constants!$B$2,TRUE(),IF($T356=Constants!$B$3,FALSE(),FALSE())))</f>
        <v/>
      </c>
      <c r="AX356" s="100" t="str">
        <f aca="false">IF(ISBLANK($C356),"",IF(OR($U356&amp;""="1",$U356&amp;""="2",$U356&amp;""="3",$U356&amp;""="4"),VALUE($U356&amp;""),IF($U356=Constants!$B$12,Constants!$B$12,"")))</f>
        <v/>
      </c>
      <c r="AY356" s="100" t="str">
        <f aca="false">IF(ISBLANK($C356),"",IF(ISBLANK($V356),0,IF(ISNUMBER($V356),IF(AND($V356&gt;=0,$V356&lt;=Constants!$B$21,$V356=INT($V356)),$V356,""),"")))</f>
        <v/>
      </c>
      <c r="AZ356" s="100" t="str">
        <f aca="false">IF(ISBLANK($C356),"",IF(ISBLANK($W356),0,IF(ISNUMBER($W356),IF($W356&gt;=0,$W356,""),"")))</f>
        <v/>
      </c>
      <c r="BA356" s="100" t="str">
        <f aca="false">IF(ISBLANK($C356),"",IF($X356=Constants!$B$2,TRUE(),IF($X356=Constants!$B$3,FALSE(),TRUE())))</f>
        <v/>
      </c>
      <c r="BB356" s="100" t="str">
        <f aca="false">IF(ISBLANK($C356),"",IF($Y356=Constants!$B$2,TRUE(),IF($Y356=Constants!$B$3,FALSE(),FALSE())))</f>
        <v/>
      </c>
      <c r="BC356" s="100" t="str">
        <f aca="false">IF(ISBLANK($C356),"",IF(ISBLANK($Z356),0,IF(ISNUMBER($Z356),IF(AND($Z356&gt;=0,$Z356&lt;=Constants!$B$35,$Z356=INT($Z356)),$Z356,""),"")))</f>
        <v/>
      </c>
      <c r="BD356" s="100" t="str">
        <f aca="false">IF(ISBLANK($C356),"",IF($AA356=Constants!$B$2,TRUE(),IF($AA356=Constants!$B$3,FALSE(),TRUE())))</f>
        <v/>
      </c>
      <c r="BE356" s="100" t="str">
        <f aca="false">IF(ISBLANK($C356),"",IF($AB356=Constants!$B$2,TRUE(),IF($AB356=Constants!$B$3,FALSE(),TRUE())))</f>
        <v/>
      </c>
      <c r="BF356" s="100" t="str">
        <f aca="false">IF(ISBLANK($C356),"",IF(ISNUMBER($AC356),IF($AC356&gt;=0,$AC356,""),""))</f>
        <v/>
      </c>
      <c r="BG356" s="100" t="str">
        <f aca="false">IF(ISBLANK($C356),"",IF($AD356=Constants!$B$2,TRUE(),IF($AD356=Constants!$B$3,FALSE(),FALSE())))</f>
        <v/>
      </c>
      <c r="BH356" s="99" t="str">
        <f aca="false">IF(ISBLANK($C356),"",IF($BG356,Constants!$B$7,IF(COUNTA($E356:$AC356)=0,Constants!$B$6,IF(OR(COUNTA($G356:$AC356)=0,NOT($AK356),$AQ356),Constants!$B$5,IF(OR($CI356&lt;&gt;"",$CJ356,$CK356,$CL356,$CM356,$CN356,$CO356),Constants!$B$8,Constants!$B$4)))))</f>
        <v/>
      </c>
      <c r="BI356" s="100" t="str">
        <f aca="false">IF(ISBLANK($C356),"",IF($BH356&lt;&gt;Constants!$B$4,$BH356,IF(OR(NOT($AH356),NOT($AJ356),NOT($AR356)),Constants!$B$11,IF(OR(NOT($AP356),MAX($AL356,$AM356,$AN356)&gt;Constants!$B$30),Constants!$B$10,Constants!$B$9))))</f>
        <v/>
      </c>
      <c r="BJ356" s="100" t="str">
        <f aca="false">IF($BH356&lt;&gt;Constants!$B$4,"",IF(NOT($AJ356),0,MIN(Constants!$B$35,$BC356)))</f>
        <v/>
      </c>
      <c r="BK356" s="100" t="str">
        <f aca="false">IF($BH356&lt;&gt;Constants!$B$4,"",IF(NOT($AJ356),0,IF($AT356,Constants!$B$18,IF($AS356,Constants!$B$17,0))))</f>
        <v/>
      </c>
      <c r="BL356" s="100" t="str">
        <f aca="false">IF($BH356&lt;&gt;Constants!$B$4,"",IF(NOT($AJ356),0,Constants!$B$19*($AI356+$AU356+$AV356+$AW356)))</f>
        <v/>
      </c>
      <c r="BM356" s="100" t="str">
        <f aca="false">IF($BH356&lt;&gt;Constants!$B$4,"",IF(OR(NOT($AJ356),NOT(ISNUMBER($AX356))),0,CHOOSE($AX356,Constants!$B$13,Constants!$B$14,Constants!$B$15,Constants!$B$16)))</f>
        <v/>
      </c>
      <c r="BN356" s="100" t="str">
        <f aca="false">IF($BH356&lt;&gt;Constants!$B$4,"",IF(NOT($AJ356),0,Constants!$B$20*$AY356))</f>
        <v/>
      </c>
      <c r="BO356" s="100" t="str">
        <f aca="false">IF($BH356&lt;&gt;Constants!$B$4,"",IF(AND($AJ356,$BA356,$BB356),Constants!$B$22,0))</f>
        <v/>
      </c>
      <c r="BP356" s="100" t="str">
        <f aca="false">IF($BH356&lt;&gt;Constants!$B$4,"",IF(OR(NOT($AJ356),NOT($BA356)),0,IF($BF356&gt;=2*$AF$9,0,Constants!$B$23*INT(ROUND(MIN($BF356,$AF$9),6)))))</f>
        <v/>
      </c>
      <c r="BQ356" s="100" t="str">
        <f aca="false">IF($BH356&lt;&gt;Constants!$B$4,"",IF(NOT($AJ356),0,Constants!$B$24*INT(ROUND(MIN($AZ356,$AF$9),6))))</f>
        <v/>
      </c>
      <c r="BR356" s="100" t="str">
        <f aca="false">IF($BH356&lt;&gt;Constants!$B$4,"",IF(AND($AJ356,$BJ356=0),Constants!$B$25,0))</f>
        <v/>
      </c>
      <c r="BS356" s="100" t="str">
        <f aca="false">IF($BH356&lt;&gt;Constants!$B$4,"",MIN(Constants!$B$29,MAX(0,Constants!$B$27*Constants!$B$28*INT(ROUND((Constants!$B$26-$AL356)/Constants!$B$28,6))))+MIN(Constants!$B$29,MAX(0,Constants!$B$27*Constants!$B$28*INT(ROUND((Constants!$B$26-$AM356)/Constants!$B$28,6))))+MIN(Constants!$B$29,MAX(0,Constants!$B$27*Constants!$B$28*INT(ROUND((Constants!$B$26-$AN356)/Constants!$B$28,6)))))</f>
        <v/>
      </c>
      <c r="BT356" s="100" t="str">
        <f aca="false">IF($BH356&lt;&gt;Constants!$B$4,"",IF(NOT($AJ356),0,Constants!$B$31*INT(ROUND(MAX(0,MIN($BF356,2*$AF$9)-$AF$9),6))))</f>
        <v/>
      </c>
      <c r="BU356" s="100" t="str">
        <f aca="false">IF($BH356&lt;&gt;Constants!$B$4,"",Constants!$B$32*(($AL356&gt;Constants!$B$26)+($AM356&gt;Constants!$B$26)+($AN356&gt;Constants!$B$26)))</f>
        <v/>
      </c>
      <c r="BV356" s="100" t="str">
        <f aca="false">IF($BH356&lt;&gt;Constants!$B$4,"",IF(OR(NOT($AJ356),$AO356),0,Constants!$B$33))</f>
        <v/>
      </c>
      <c r="BW356" s="100" t="str">
        <f aca="false">IF($BH356&lt;&gt;Constants!$B$4,"",Constants!$B$34*$BJ356)</f>
        <v/>
      </c>
      <c r="BX356" s="100" t="str">
        <f aca="false">IF($BH356&lt;&gt;Constants!$B$4,"",IF(OR(NOT($AJ356),$BE356),0,Constants!$B$36))</f>
        <v/>
      </c>
      <c r="BY356" s="100" t="str">
        <f aca="false">IF($BH356&lt;&gt;Constants!$B$4,"",IF(OR(NOT($AJ356),$BD356),0,Constants!$B$37))</f>
        <v/>
      </c>
      <c r="BZ356" s="100" t="str">
        <f aca="false">IF($BH356&lt;&gt;Constants!$B$4,"",SUM($BT356:$BY356))</f>
        <v/>
      </c>
      <c r="CA356" s="100" t="str">
        <f aca="false">IF(ISBLANK($C356),"",IF($BH356&lt;&gt;Constants!$B$4,$BH356,SUM($BK356:$BS356)-$BZ356))</f>
        <v/>
      </c>
      <c r="CB356" s="100" t="str">
        <f aca="false">IF(ISBLANK($C356),"",IF($BH356&lt;&gt;Constants!$B$4,$BH356,RANK($CA356,$CA$9:$CA$508)))</f>
        <v/>
      </c>
      <c r="CC356" s="100" t="str">
        <f aca="false">IF(ISBLANK($C356),"",IF($BH356&lt;&gt;Constants!$B$4,$BH356,COUNTIFS($BI$9:$BI$508,"&lt;"&amp;$BI356)+COUNTIFS($BI$9:$BI$508,$BI356,$CB$9:$CB$508,"&lt;"&amp;$CB356)+1))</f>
        <v/>
      </c>
      <c r="CD356" s="100" t="str">
        <f aca="false">IF(ISBLANK($C356),"",IF($BH356&lt;&gt;Constants!$B$4,$BH356,RANK($BZ356,$BZ$9:$BZ$508,1)))</f>
        <v/>
      </c>
      <c r="CE356" s="100" t="str">
        <f aca="false">IF($BH356&lt;&gt;Constants!$B$4,"",$AL356+$AM356+$AN356)</f>
        <v/>
      </c>
      <c r="CF356" s="100" t="str">
        <f aca="false">IF(ISBLANK($C356),"",IF($BH356&lt;&gt;Constants!$B$4,$BH356,RANK($CE356,$CE$9:$CE$508,1)))</f>
        <v/>
      </c>
      <c r="CG356" s="100" t="str">
        <f aca="false">IF(ISBLANK($C356),"",IF($BH356&lt;&gt;Constants!$B$4,$BH356,COUNTIFS($BI$9:$BI$508,"&lt;"&amp;$BI356)+COUNTIFS($BI$9:$BI$508,$BI356,$CB$9:$CB$508,"&lt;"&amp;$CB356)+COUNTIFS($BI$9:$BI$508,$BI356,$CB$9:$CB$508,$CB356,$CD$9:$CD$508,"&lt;"&amp;$CD356)+COUNTIFS($BI$9:$BI$508,$BI356,$CB$9:$CB$508,$CB356,$CD$9:$CD$508,$CD356,$CF$9:$CF$508,"&lt;"&amp;$CF356)+1))</f>
        <v/>
      </c>
      <c r="CH356" s="100" t="str">
        <f aca="false">IF(ISBLANK($C356),"",IF($BH356&lt;&gt;Constants!$B$4,$BH356,$CC356-$CG356))</f>
        <v/>
      </c>
      <c r="CI356" s="100" t="str">
        <f aca="false">IF(ISBLANK($C356),"",IF(NOT($AJ356),"",IF(ISBLANK($D$7),$CI$5,IF(NOT(ISNUMBER($D$7)),$CI$6,""))))</f>
        <v/>
      </c>
      <c r="CJ356" s="100" t="str">
        <f aca="false">IF(ISBLANK($C356),"",OR($AL356="",$AM356="",$AN356=""))</f>
        <v/>
      </c>
      <c r="CK356" s="100" t="str">
        <f aca="false">IF(ISBLANK($C356),"",AND($AJ356,$AX356=""))</f>
        <v/>
      </c>
      <c r="CL356" s="100" t="str">
        <f aca="false">IF(ISBLANK($C356),"",AND($AJ356,$AY356=""))</f>
        <v/>
      </c>
      <c r="CM356" s="100" t="str">
        <f aca="false">IF(ISBLANK($C356),"",AND($AJ356,$AZ356=""))</f>
        <v/>
      </c>
      <c r="CN356" s="100" t="str">
        <f aca="false">IF(ISBLANK($C356),"",AND($AJ356,$BC356=""))</f>
        <v/>
      </c>
      <c r="CO356" s="100" t="str">
        <f aca="false">IF(ISBLANK($C356),"",AND($AJ356,$BF356=""))</f>
        <v/>
      </c>
      <c r="CP356" s="101"/>
      <c r="CQ356" s="102"/>
      <c r="CR356" s="103" t="str">
        <f aca="false">IF(ISBLANK($C356),"",IF($BH356=Constants!$B$8,$CI356,""))</f>
        <v/>
      </c>
      <c r="CS356" s="102" t="str">
        <f aca="false">IF(ISBLANK($C356),"",IF($BH356&lt;&gt;Constants!$B$4,"",$BK356+$BL356))</f>
        <v/>
      </c>
      <c r="CT356" s="104" t="str">
        <f aca="false">IF(ISBLANK($C356),"",IF($BH356&lt;&gt;Constants!$B$4,"",$BM356+$BN356+$BO356))</f>
        <v/>
      </c>
      <c r="CU356" s="104" t="str">
        <f aca="false">IF(ISBLANK($C356),"",IF($BH356&lt;&gt;Constants!$B$4,"",$BP356))</f>
        <v/>
      </c>
      <c r="CV356" s="104" t="str">
        <f aca="false">IF(ISBLANK($C356),"",IF($BH356&lt;&gt;Constants!$B$4,"",$BQ356+$BR356))</f>
        <v/>
      </c>
      <c r="CW356" s="104" t="str">
        <f aca="false">IF(ISBLANK($C356),"",IF($BH356&lt;&gt;Constants!$B$4,"",$BS356))</f>
        <v/>
      </c>
      <c r="CX356" s="104" t="str">
        <f aca="false">IF(ISBLANK($C356),"",IF($BH356&lt;&gt;Constants!$B$4,"",-$BZ356))</f>
        <v/>
      </c>
      <c r="CY356" s="103" t="str">
        <f aca="false">IF(ISBLANK($C356),"",$CA356)</f>
        <v/>
      </c>
      <c r="CZ356" s="105" t="str">
        <f aca="false">IF(ISBLANK($C356),"",$BI356)</f>
        <v/>
      </c>
      <c r="DA356" s="104" t="str">
        <f aca="false">IF(ISBLANK($C356),"",$CH356)</f>
        <v/>
      </c>
      <c r="DB356" s="104" t="str">
        <f aca="false">IF(ISBLANK($C356),"",$CG356)</f>
        <v/>
      </c>
      <c r="DC356" s="106" t="str">
        <f aca="false">IF(ISBLANK($C356),"",IFERROR(_xlfn.SWITCH($DB356,Constants!$B$7,COUNTA($C$9:$C$508)+2,Constants!$B$6,COUNTA($C$9:$C$508)+1,Constants!$B$5,COUNTA($C$9:$C$508)),$DB356))</f>
        <v/>
      </c>
      <c r="DD356" s="7"/>
      <c r="DE356" s="107" t="n">
        <f aca="false">IF(OR(ISNUMBER($DB356),$DB356=Constants!$B$7,$DB356=Constants!$B$5,$DB356=Constants!$B$6),1,0)</f>
        <v>0</v>
      </c>
      <c r="DF356" s="107" t="n">
        <v>348</v>
      </c>
      <c r="DG356" s="107" t="str">
        <f aca="false">IF(ISBLANK($C356),"",IF(ISNUMBER($DC356),$DC356+ROW($B356)/1000,""))</f>
        <v/>
      </c>
      <c r="DH356" s="107" t="str">
        <f aca="false">IF(ISNUMBER($DG356),RANK($DG356,$DG$9:$DG$508,1),"")</f>
        <v/>
      </c>
      <c r="DI356" s="107" t="str">
        <f aca="false">IF(ISBLANK($C356),"",$B356)</f>
        <v/>
      </c>
      <c r="DJ356" s="107" t="str">
        <f aca="false">IF(ISBLANK($C356),"",$C356)</f>
        <v/>
      </c>
      <c r="DK356" s="107" t="str">
        <f aca="false">IF(ISBLANK($C356),"",$D356)</f>
        <v/>
      </c>
      <c r="DL356" s="108" t="str">
        <f aca="false">$CZ356</f>
        <v/>
      </c>
      <c r="DM356" s="109" t="str">
        <f aca="false">$CY356</f>
        <v/>
      </c>
      <c r="DN356" s="107" t="str">
        <f aca="false">IF(ISBLANK($C356),"",$DB356)</f>
        <v/>
      </c>
      <c r="DO356" s="110" t="str">
        <f aca="false">IF($DF356&gt;$DE$8,"",VLOOKUP($DF356,$DH$9:$DN$508,7,FALSE()))</f>
        <v/>
      </c>
      <c r="DP356" s="111" t="str">
        <f aca="false">IF($DF356&gt;$DE$8,"",VLOOKUP($DF356,$DH$9:$DN$508,2,FALSE()))</f>
        <v/>
      </c>
      <c r="DQ356" s="111" t="str">
        <f aca="false">IF($DF356&gt;$DE$8,"",VLOOKUP($DF356,$DH$9:$DN$508,3,FALSE()))</f>
        <v/>
      </c>
      <c r="DR356" s="111" t="str">
        <f aca="false">IF($DF356&gt;$DE$8,"",VLOOKUP($DF356,$DH$9:$DN$508,4,FALSE()))</f>
        <v/>
      </c>
      <c r="DS356" s="111" t="str">
        <f aca="false">IF($DF356&gt;$DE$8,"",VLOOKUP($DF356,$DH$9:$DN$508,5,FALSE()))</f>
        <v/>
      </c>
      <c r="DT356" s="112" t="str">
        <f aca="false">IF($DF356&gt;$DE$8,"",VLOOKUP($DF356,$DH$9:$DN$508,6,FALSE()))</f>
        <v/>
      </c>
      <c r="DU356" s="62"/>
    </row>
    <row r="357" customFormat="false" ht="15.75" hidden="false" customHeight="false" outlineLevel="0" collapsed="false">
      <c r="A357" s="7"/>
      <c r="B357" s="64"/>
      <c r="C357" s="65"/>
      <c r="D357" s="123"/>
      <c r="E357" s="88"/>
      <c r="F357" s="134"/>
      <c r="G357" s="88"/>
      <c r="H357" s="134"/>
      <c r="I357" s="119"/>
      <c r="J357" s="119"/>
      <c r="K357" s="119"/>
      <c r="L357" s="88"/>
      <c r="M357" s="88"/>
      <c r="N357" s="88"/>
      <c r="O357" s="134"/>
      <c r="P357" s="88"/>
      <c r="Q357" s="88"/>
      <c r="R357" s="88"/>
      <c r="S357" s="88"/>
      <c r="T357" s="134"/>
      <c r="U357" s="88"/>
      <c r="V357" s="70"/>
      <c r="W357" s="88"/>
      <c r="X357" s="88"/>
      <c r="Y357" s="70"/>
      <c r="Z357" s="70"/>
      <c r="AA357" s="88"/>
      <c r="AB357" s="88"/>
      <c r="AC357" s="71"/>
      <c r="AD357" s="88"/>
      <c r="AE357" s="73"/>
      <c r="AF357" s="74"/>
      <c r="AG357" s="74"/>
      <c r="AH357" s="74" t="str">
        <f aca="false">IF(ISBLANK($C357),"",IF($E357=Constants!$B$2,TRUE(),IF($E357=Constants!$B$3,FALSE(),TRUE())))</f>
        <v/>
      </c>
      <c r="AI357" s="74" t="str">
        <f aca="false">IF(ISBLANK($C357),"",IF($F357=Constants!$B$2,TRUE(),IF($F357=Constants!$B$3,FALSE(),FALSE())))</f>
        <v/>
      </c>
      <c r="AJ357" s="74" t="str">
        <f aca="false">IF(ISBLANK($C357),"",IF($G357=Constants!$B$2,TRUE(),IF($G357=Constants!$B$3,FALSE(),TRUE())))</f>
        <v/>
      </c>
      <c r="AK357" s="74" t="str">
        <f aca="false">IF(ISBLANK($C357),"",IF($H357=Constants!$B$2,TRUE(),IF($H357=Constants!$B$3,FALSE(),TRUE())))</f>
        <v/>
      </c>
      <c r="AL357" s="74" t="str">
        <f aca="false">IF(ISBLANK($C357),"",IF(ISNUMBER($I357),IF($I357&gt;=0,$I357,""),""))</f>
        <v/>
      </c>
      <c r="AM357" s="74" t="str">
        <f aca="false">IF(ISBLANK($C357),"",IF(ISNUMBER($J357),IF($J357&gt;=0,$J357,""),""))</f>
        <v/>
      </c>
      <c r="AN357" s="74" t="str">
        <f aca="false">IF(ISBLANK($C357),"",IF(ISNUMBER($K357),IF($K357&gt;=0,$K357,""),""))</f>
        <v/>
      </c>
      <c r="AO357" s="74" t="str">
        <f aca="false">IF(ISBLANK($C357),"",IF($L357=Constants!$B$2,TRUE(),IF($L357=Constants!$B$3,FALSE(),TRUE())))</f>
        <v/>
      </c>
      <c r="AP357" s="74" t="str">
        <f aca="false">IF(ISBLANK($C357),"",IF($M357=Constants!$B$2,TRUE(),IF($M357=Constants!$B$3,FALSE(),TRUE())))</f>
        <v/>
      </c>
      <c r="AQ357" s="74" t="str">
        <f aca="false">IF(ISBLANK($C357),"",IF($N357=Constants!$B$2,TRUE(),IF($N357=Constants!$B$3,FALSE(),FALSE())))</f>
        <v/>
      </c>
      <c r="AR357" s="74" t="str">
        <f aca="false">IF(ISBLANK($C357),"",IF($O357=Constants!$B$2,TRUE(),IF($O357=Constants!$B$3,FALSE(),TRUE())))</f>
        <v/>
      </c>
      <c r="AS357" s="74" t="str">
        <f aca="false">IF(ISBLANK($C357),"",IF($P357=Constants!$B$2,TRUE(),IF($P357=Constants!$B$3,FALSE(),FALSE())))</f>
        <v/>
      </c>
      <c r="AT357" s="74" t="str">
        <f aca="false">IF(ISBLANK($C357),"",IF($Q357=Constants!$B$2,TRUE(),IF($Q357=Constants!$B$3,FALSE(),FALSE())))</f>
        <v/>
      </c>
      <c r="AU357" s="74" t="str">
        <f aca="false">IF(ISBLANK($C357),"",IF($R357=Constants!$B$2,TRUE(),IF($R357=Constants!$B$3,FALSE(),FALSE())))</f>
        <v/>
      </c>
      <c r="AV357" s="74" t="str">
        <f aca="false">IF(ISBLANK($C357),"",IF($S357=Constants!$B$2,TRUE(),IF($S357=Constants!$B$3,FALSE(),FALSE())))</f>
        <v/>
      </c>
      <c r="AW357" s="74" t="str">
        <f aca="false">IF(ISBLANK($C357),"",IF($T357=Constants!$B$2,TRUE(),IF($T357=Constants!$B$3,FALSE(),FALSE())))</f>
        <v/>
      </c>
      <c r="AX357" s="74" t="str">
        <f aca="false">IF(ISBLANK($C357),"",IF(OR($U357&amp;""="1",$U357&amp;""="2",$U357&amp;""="3",$U357&amp;""="4"),VALUE($U357&amp;""),IF($U357=Constants!$B$12,Constants!$B$12,"")))</f>
        <v/>
      </c>
      <c r="AY357" s="74" t="str">
        <f aca="false">IF(ISBLANK($C357),"",IF(ISBLANK($V357),0,IF(ISNUMBER($V357),IF(AND($V357&gt;=0,$V357&lt;=Constants!$B$21,$V357=INT($V357)),$V357,""),"")))</f>
        <v/>
      </c>
      <c r="AZ357" s="74" t="str">
        <f aca="false">IF(ISBLANK($C357),"",IF(ISBLANK($W357),0,IF(ISNUMBER($W357),IF($W357&gt;=0,$W357,""),"")))</f>
        <v/>
      </c>
      <c r="BA357" s="74" t="str">
        <f aca="false">IF(ISBLANK($C357),"",IF($X357=Constants!$B$2,TRUE(),IF($X357=Constants!$B$3,FALSE(),TRUE())))</f>
        <v/>
      </c>
      <c r="BB357" s="74" t="str">
        <f aca="false">IF(ISBLANK($C357),"",IF($Y357=Constants!$B$2,TRUE(),IF($Y357=Constants!$B$3,FALSE(),FALSE())))</f>
        <v/>
      </c>
      <c r="BC357" s="74" t="str">
        <f aca="false">IF(ISBLANK($C357),"",IF(ISBLANK($Z357),0,IF(ISNUMBER($Z357),IF(AND($Z357&gt;=0,$Z357&lt;=Constants!$B$35,$Z357=INT($Z357)),$Z357,""),"")))</f>
        <v/>
      </c>
      <c r="BD357" s="74" t="str">
        <f aca="false">IF(ISBLANK($C357),"",IF($AA357=Constants!$B$2,TRUE(),IF($AA357=Constants!$B$3,FALSE(),TRUE())))</f>
        <v/>
      </c>
      <c r="BE357" s="74" t="str">
        <f aca="false">IF(ISBLANK($C357),"",IF($AB357=Constants!$B$2,TRUE(),IF($AB357=Constants!$B$3,FALSE(),TRUE())))</f>
        <v/>
      </c>
      <c r="BF357" s="74" t="str">
        <f aca="false">IF(ISBLANK($C357),"",IF(ISNUMBER($AC357),IF($AC357&gt;=0,$AC357,""),""))</f>
        <v/>
      </c>
      <c r="BG357" s="74" t="str">
        <f aca="false">IF(ISBLANK($C357),"",IF($AD357=Constants!$B$2,TRUE(),IF($AD357=Constants!$B$3,FALSE(),FALSE())))</f>
        <v/>
      </c>
      <c r="BH357" s="73" t="str">
        <f aca="false">IF(ISBLANK($C357),"",IF($BG357,Constants!$B$7,IF(COUNTA($E357:$AC357)=0,Constants!$B$6,IF(OR(COUNTA($G357:$AC357)=0,NOT($AK357),$AQ357),Constants!$B$5,IF(OR($CI357&lt;&gt;"",$CJ357,$CK357,$CL357,$CM357,$CN357,$CO357),Constants!$B$8,Constants!$B$4)))))</f>
        <v/>
      </c>
      <c r="BI357" s="74" t="str">
        <f aca="false">IF(ISBLANK($C357),"",IF($BH357&lt;&gt;Constants!$B$4,$BH357,IF(OR(NOT($AH357),NOT($AJ357),NOT($AR357)),Constants!$B$11,IF(OR(NOT($AP357),MAX($AL357,$AM357,$AN357)&gt;Constants!$B$30),Constants!$B$10,Constants!$B$9))))</f>
        <v/>
      </c>
      <c r="BJ357" s="74" t="str">
        <f aca="false">IF($BH357&lt;&gt;Constants!$B$4,"",IF(NOT($AJ357),0,MIN(Constants!$B$35,$BC357)))</f>
        <v/>
      </c>
      <c r="BK357" s="74" t="str">
        <f aca="false">IF($BH357&lt;&gt;Constants!$B$4,"",IF(NOT($AJ357),0,IF($AT357,Constants!$B$18,IF($AS357,Constants!$B$17,0))))</f>
        <v/>
      </c>
      <c r="BL357" s="74" t="str">
        <f aca="false">IF($BH357&lt;&gt;Constants!$B$4,"",IF(NOT($AJ357),0,Constants!$B$19*($AI357+$AU357+$AV357+$AW357)))</f>
        <v/>
      </c>
      <c r="BM357" s="74" t="str">
        <f aca="false">IF($BH357&lt;&gt;Constants!$B$4,"",IF(OR(NOT($AJ357),NOT(ISNUMBER($AX357))),0,CHOOSE($AX357,Constants!$B$13,Constants!$B$14,Constants!$B$15,Constants!$B$16)))</f>
        <v/>
      </c>
      <c r="BN357" s="74" t="str">
        <f aca="false">IF($BH357&lt;&gt;Constants!$B$4,"",IF(NOT($AJ357),0,Constants!$B$20*$AY357))</f>
        <v/>
      </c>
      <c r="BO357" s="74" t="str">
        <f aca="false">IF($BH357&lt;&gt;Constants!$B$4,"",IF(AND($AJ357,$BA357,$BB357),Constants!$B$22,0))</f>
        <v/>
      </c>
      <c r="BP357" s="74" t="str">
        <f aca="false">IF($BH357&lt;&gt;Constants!$B$4,"",IF(OR(NOT($AJ357),NOT($BA357)),0,IF($BF357&gt;=2*$AF$9,0,Constants!$B$23*INT(ROUND(MIN($BF357,$AF$9),6)))))</f>
        <v/>
      </c>
      <c r="BQ357" s="74" t="str">
        <f aca="false">IF($BH357&lt;&gt;Constants!$B$4,"",IF(NOT($AJ357),0,Constants!$B$24*INT(ROUND(MIN($AZ357,$AF$9),6))))</f>
        <v/>
      </c>
      <c r="BR357" s="74" t="str">
        <f aca="false">IF($BH357&lt;&gt;Constants!$B$4,"",IF(AND($AJ357,$BJ357=0),Constants!$B$25,0))</f>
        <v/>
      </c>
      <c r="BS357" s="74" t="str">
        <f aca="false">IF($BH357&lt;&gt;Constants!$B$4,"",MIN(Constants!$B$29,MAX(0,Constants!$B$27*Constants!$B$28*INT(ROUND((Constants!$B$26-$AL357)/Constants!$B$28,6))))+MIN(Constants!$B$29,MAX(0,Constants!$B$27*Constants!$B$28*INT(ROUND((Constants!$B$26-$AM357)/Constants!$B$28,6))))+MIN(Constants!$B$29,MAX(0,Constants!$B$27*Constants!$B$28*INT(ROUND((Constants!$B$26-$AN357)/Constants!$B$28,6)))))</f>
        <v/>
      </c>
      <c r="BT357" s="74" t="str">
        <f aca="false">IF($BH357&lt;&gt;Constants!$B$4,"",IF(NOT($AJ357),0,Constants!$B$31*INT(ROUND(MAX(0,MIN($BF357,2*$AF$9)-$AF$9),6))))</f>
        <v/>
      </c>
      <c r="BU357" s="74" t="str">
        <f aca="false">IF($BH357&lt;&gt;Constants!$B$4,"",Constants!$B$32*(($AL357&gt;Constants!$B$26)+($AM357&gt;Constants!$B$26)+($AN357&gt;Constants!$B$26)))</f>
        <v/>
      </c>
      <c r="BV357" s="74" t="str">
        <f aca="false">IF($BH357&lt;&gt;Constants!$B$4,"",IF(OR(NOT($AJ357),$AO357),0,Constants!$B$33))</f>
        <v/>
      </c>
      <c r="BW357" s="74" t="str">
        <f aca="false">IF($BH357&lt;&gt;Constants!$B$4,"",Constants!$B$34*$BJ357)</f>
        <v/>
      </c>
      <c r="BX357" s="74" t="str">
        <f aca="false">IF($BH357&lt;&gt;Constants!$B$4,"",IF(OR(NOT($AJ357),$BE357),0,Constants!$B$36))</f>
        <v/>
      </c>
      <c r="BY357" s="74" t="str">
        <f aca="false">IF($BH357&lt;&gt;Constants!$B$4,"",IF(OR(NOT($AJ357),$BD357),0,Constants!$B$37))</f>
        <v/>
      </c>
      <c r="BZ357" s="74" t="str">
        <f aca="false">IF($BH357&lt;&gt;Constants!$B$4,"",SUM($BT357:$BY357))</f>
        <v/>
      </c>
      <c r="CA357" s="74" t="str">
        <f aca="false">IF(ISBLANK($C357),"",IF($BH357&lt;&gt;Constants!$B$4,$BH357,SUM($BK357:$BS357)-$BZ357))</f>
        <v/>
      </c>
      <c r="CB357" s="74" t="str">
        <f aca="false">IF(ISBLANK($C357),"",IF($BH357&lt;&gt;Constants!$B$4,$BH357,RANK($CA357,$CA$9:$CA$508)))</f>
        <v/>
      </c>
      <c r="CC357" s="74" t="str">
        <f aca="false">IF(ISBLANK($C357),"",IF($BH357&lt;&gt;Constants!$B$4,$BH357,COUNTIFS($BI$9:$BI$508,"&lt;"&amp;$BI357)+COUNTIFS($BI$9:$BI$508,$BI357,$CB$9:$CB$508,"&lt;"&amp;$CB357)+1))</f>
        <v/>
      </c>
      <c r="CD357" s="74" t="str">
        <f aca="false">IF(ISBLANK($C357),"",IF($BH357&lt;&gt;Constants!$B$4,$BH357,RANK($BZ357,$BZ$9:$BZ$508,1)))</f>
        <v/>
      </c>
      <c r="CE357" s="74" t="str">
        <f aca="false">IF($BH357&lt;&gt;Constants!$B$4,"",$AL357+$AM357+$AN357)</f>
        <v/>
      </c>
      <c r="CF357" s="74" t="str">
        <f aca="false">IF(ISBLANK($C357),"",IF($BH357&lt;&gt;Constants!$B$4,$BH357,RANK($CE357,$CE$9:$CE$508,1)))</f>
        <v/>
      </c>
      <c r="CG357" s="74" t="str">
        <f aca="false">IF(ISBLANK($C357),"",IF($BH357&lt;&gt;Constants!$B$4,$BH357,COUNTIFS($BI$9:$BI$508,"&lt;"&amp;$BI357)+COUNTIFS($BI$9:$BI$508,$BI357,$CB$9:$CB$508,"&lt;"&amp;$CB357)+COUNTIFS($BI$9:$BI$508,$BI357,$CB$9:$CB$508,$CB357,$CD$9:$CD$508,"&lt;"&amp;$CD357)+COUNTIFS($BI$9:$BI$508,$BI357,$CB$9:$CB$508,$CB357,$CD$9:$CD$508,$CD357,$CF$9:$CF$508,"&lt;"&amp;$CF357)+1))</f>
        <v/>
      </c>
      <c r="CH357" s="74" t="str">
        <f aca="false">IF(ISBLANK($C357),"",IF($BH357&lt;&gt;Constants!$B$4,$BH357,$CC357-$CG357))</f>
        <v/>
      </c>
      <c r="CI357" s="74" t="str">
        <f aca="false">IF(ISBLANK($C357),"",IF(NOT($AJ357),"",IF(ISBLANK($D$7),$CI$5,IF(NOT(ISNUMBER($D$7)),$CI$6,""))))</f>
        <v/>
      </c>
      <c r="CJ357" s="74" t="str">
        <f aca="false">IF(ISBLANK($C357),"",OR($AL357="",$AM357="",$AN357=""))</f>
        <v/>
      </c>
      <c r="CK357" s="74" t="str">
        <f aca="false">IF(ISBLANK($C357),"",AND($AJ357,$AX357=""))</f>
        <v/>
      </c>
      <c r="CL357" s="74" t="str">
        <f aca="false">IF(ISBLANK($C357),"",AND($AJ357,$AY357=""))</f>
        <v/>
      </c>
      <c r="CM357" s="74" t="str">
        <f aca="false">IF(ISBLANK($C357),"",AND($AJ357,$AZ357=""))</f>
        <v/>
      </c>
      <c r="CN357" s="74" t="str">
        <f aca="false">IF(ISBLANK($C357),"",AND($AJ357,$BC357=""))</f>
        <v/>
      </c>
      <c r="CO357" s="74" t="str">
        <f aca="false">IF(ISBLANK($C357),"",AND($AJ357,$BF357=""))</f>
        <v/>
      </c>
      <c r="CP357" s="75"/>
      <c r="CQ357" s="76"/>
      <c r="CR357" s="79" t="str">
        <f aca="false">IF(ISBLANK($C357),"",IF($BH357=Constants!$B$8,$CI357,""))</f>
        <v/>
      </c>
      <c r="CS357" s="76" t="str">
        <f aca="false">IF(ISBLANK($C357),"",IF($BH357&lt;&gt;Constants!$B$4,"",$BK357+$BL357))</f>
        <v/>
      </c>
      <c r="CT357" s="78" t="str">
        <f aca="false">IF(ISBLANK($C357),"",IF($BH357&lt;&gt;Constants!$B$4,"",$BM357+$BN357+$BO357))</f>
        <v/>
      </c>
      <c r="CU357" s="78" t="str">
        <f aca="false">IF(ISBLANK($C357),"",IF($BH357&lt;&gt;Constants!$B$4,"",$BP357))</f>
        <v/>
      </c>
      <c r="CV357" s="78" t="str">
        <f aca="false">IF(ISBLANK($C357),"",IF($BH357&lt;&gt;Constants!$B$4,"",$BQ357+$BR357))</f>
        <v/>
      </c>
      <c r="CW357" s="78" t="str">
        <f aca="false">IF(ISBLANK($C357),"",IF($BH357&lt;&gt;Constants!$B$4,"",$BS357))</f>
        <v/>
      </c>
      <c r="CX357" s="78" t="str">
        <f aca="false">IF(ISBLANK($C357),"",IF($BH357&lt;&gt;Constants!$B$4,"",-$BZ357))</f>
        <v/>
      </c>
      <c r="CY357" s="79" t="str">
        <f aca="false">IF(ISBLANK($C357),"",$CA357)</f>
        <v/>
      </c>
      <c r="CZ357" s="80" t="str">
        <f aca="false">IF(ISBLANK($C357),"",$BI357)</f>
        <v/>
      </c>
      <c r="DA357" s="78" t="str">
        <f aca="false">IF(ISBLANK($C357),"",$CH357)</f>
        <v/>
      </c>
      <c r="DB357" s="78" t="str">
        <f aca="false">IF(ISBLANK($C357),"",$CG357)</f>
        <v/>
      </c>
      <c r="DC357" s="81" t="str">
        <f aca="false">IF(ISBLANK($C357),"",IFERROR(_xlfn.SWITCH($DB357,Constants!$B$7,COUNTA($C$9:$C$508)+2,Constants!$B$6,COUNTA($C$9:$C$508)+1,Constants!$B$5,COUNTA($C$9:$C$508)),$DB357))</f>
        <v/>
      </c>
      <c r="DD357" s="7"/>
      <c r="DE357" s="82" t="n">
        <f aca="false">IF(OR(ISNUMBER($DB357),$DB357=Constants!$B$7,$DB357=Constants!$B$5,$DB357=Constants!$B$6),1,0)</f>
        <v>0</v>
      </c>
      <c r="DF357" s="82" t="n">
        <v>349</v>
      </c>
      <c r="DG357" s="82" t="str">
        <f aca="false">IF(ISBLANK($C357),"",IF(ISNUMBER($DC357),$DC357+ROW($B357)/1000,""))</f>
        <v/>
      </c>
      <c r="DH357" s="82" t="str">
        <f aca="false">IF(ISNUMBER($DG357),RANK($DG357,$DG$9:$DG$508,1),"")</f>
        <v/>
      </c>
      <c r="DI357" s="82" t="str">
        <f aca="false">IF(ISBLANK($C357),"",$B357)</f>
        <v/>
      </c>
      <c r="DJ357" s="82" t="str">
        <f aca="false">IF(ISBLANK($C357),"",$C357)</f>
        <v/>
      </c>
      <c r="DK357" s="82" t="str">
        <f aca="false">IF(ISBLANK($C357),"",$D357)</f>
        <v/>
      </c>
      <c r="DL357" s="83" t="str">
        <f aca="false">$CZ357</f>
        <v/>
      </c>
      <c r="DM357" s="84" t="str">
        <f aca="false">$CY357</f>
        <v/>
      </c>
      <c r="DN357" s="82" t="str">
        <f aca="false">IF(ISBLANK($C357),"",$DB357)</f>
        <v/>
      </c>
      <c r="DO357" s="85" t="str">
        <f aca="false">IF($DF357&gt;$DE$8,"",VLOOKUP($DF357,$DH$9:$DN$508,7,FALSE()))</f>
        <v/>
      </c>
      <c r="DP357" s="86" t="str">
        <f aca="false">IF($DF357&gt;$DE$8,"",VLOOKUP($DF357,$DH$9:$DN$508,2,FALSE()))</f>
        <v/>
      </c>
      <c r="DQ357" s="86" t="str">
        <f aca="false">IF($DF357&gt;$DE$8,"",VLOOKUP($DF357,$DH$9:$DN$508,3,FALSE()))</f>
        <v/>
      </c>
      <c r="DR357" s="86" t="str">
        <f aca="false">IF($DF357&gt;$DE$8,"",VLOOKUP($DF357,$DH$9:$DN$508,4,FALSE()))</f>
        <v/>
      </c>
      <c r="DS357" s="86" t="str">
        <f aca="false">IF($DF357&gt;$DE$8,"",VLOOKUP($DF357,$DH$9:$DN$508,5,FALSE()))</f>
        <v/>
      </c>
      <c r="DT357" s="87" t="str">
        <f aca="false">IF($DF357&gt;$DE$8,"",VLOOKUP($DF357,$DH$9:$DN$508,6,FALSE()))</f>
        <v/>
      </c>
      <c r="DU357" s="62"/>
    </row>
    <row r="358" customFormat="false" ht="15.75" hidden="false" customHeight="false" outlineLevel="0" collapsed="false">
      <c r="A358" s="7"/>
      <c r="B358" s="64"/>
      <c r="C358" s="65"/>
      <c r="D358" s="123"/>
      <c r="E358" s="88"/>
      <c r="F358" s="134"/>
      <c r="G358" s="88"/>
      <c r="H358" s="134"/>
      <c r="I358" s="119"/>
      <c r="J358" s="119"/>
      <c r="K358" s="119"/>
      <c r="L358" s="88"/>
      <c r="M358" s="88"/>
      <c r="N358" s="88"/>
      <c r="O358" s="134"/>
      <c r="P358" s="88"/>
      <c r="Q358" s="88"/>
      <c r="R358" s="88"/>
      <c r="S358" s="88"/>
      <c r="T358" s="134"/>
      <c r="U358" s="88"/>
      <c r="V358" s="70"/>
      <c r="W358" s="88"/>
      <c r="X358" s="88"/>
      <c r="Y358" s="70"/>
      <c r="Z358" s="70"/>
      <c r="AA358" s="88"/>
      <c r="AB358" s="88"/>
      <c r="AC358" s="71"/>
      <c r="AD358" s="88"/>
      <c r="AE358" s="73"/>
      <c r="AF358" s="74"/>
      <c r="AG358" s="74"/>
      <c r="AH358" s="74" t="str">
        <f aca="false">IF(ISBLANK($C358),"",IF($E358=Constants!$B$2,TRUE(),IF($E358=Constants!$B$3,FALSE(),TRUE())))</f>
        <v/>
      </c>
      <c r="AI358" s="74" t="str">
        <f aca="false">IF(ISBLANK($C358),"",IF($F358=Constants!$B$2,TRUE(),IF($F358=Constants!$B$3,FALSE(),FALSE())))</f>
        <v/>
      </c>
      <c r="AJ358" s="74" t="str">
        <f aca="false">IF(ISBLANK($C358),"",IF($G358=Constants!$B$2,TRUE(),IF($G358=Constants!$B$3,FALSE(),TRUE())))</f>
        <v/>
      </c>
      <c r="AK358" s="74" t="str">
        <f aca="false">IF(ISBLANK($C358),"",IF($H358=Constants!$B$2,TRUE(),IF($H358=Constants!$B$3,FALSE(),TRUE())))</f>
        <v/>
      </c>
      <c r="AL358" s="74" t="str">
        <f aca="false">IF(ISBLANK($C358),"",IF(ISNUMBER($I358),IF($I358&gt;=0,$I358,""),""))</f>
        <v/>
      </c>
      <c r="AM358" s="74" t="str">
        <f aca="false">IF(ISBLANK($C358),"",IF(ISNUMBER($J358),IF($J358&gt;=0,$J358,""),""))</f>
        <v/>
      </c>
      <c r="AN358" s="74" t="str">
        <f aca="false">IF(ISBLANK($C358),"",IF(ISNUMBER($K358),IF($K358&gt;=0,$K358,""),""))</f>
        <v/>
      </c>
      <c r="AO358" s="74" t="str">
        <f aca="false">IF(ISBLANK($C358),"",IF($L358=Constants!$B$2,TRUE(),IF($L358=Constants!$B$3,FALSE(),TRUE())))</f>
        <v/>
      </c>
      <c r="AP358" s="74" t="str">
        <f aca="false">IF(ISBLANK($C358),"",IF($M358=Constants!$B$2,TRUE(),IF($M358=Constants!$B$3,FALSE(),TRUE())))</f>
        <v/>
      </c>
      <c r="AQ358" s="74" t="str">
        <f aca="false">IF(ISBLANK($C358),"",IF($N358=Constants!$B$2,TRUE(),IF($N358=Constants!$B$3,FALSE(),FALSE())))</f>
        <v/>
      </c>
      <c r="AR358" s="74" t="str">
        <f aca="false">IF(ISBLANK($C358),"",IF($O358=Constants!$B$2,TRUE(),IF($O358=Constants!$B$3,FALSE(),TRUE())))</f>
        <v/>
      </c>
      <c r="AS358" s="74" t="str">
        <f aca="false">IF(ISBLANK($C358),"",IF($P358=Constants!$B$2,TRUE(),IF($P358=Constants!$B$3,FALSE(),FALSE())))</f>
        <v/>
      </c>
      <c r="AT358" s="74" t="str">
        <f aca="false">IF(ISBLANK($C358),"",IF($Q358=Constants!$B$2,TRUE(),IF($Q358=Constants!$B$3,FALSE(),FALSE())))</f>
        <v/>
      </c>
      <c r="AU358" s="74" t="str">
        <f aca="false">IF(ISBLANK($C358),"",IF($R358=Constants!$B$2,TRUE(),IF($R358=Constants!$B$3,FALSE(),FALSE())))</f>
        <v/>
      </c>
      <c r="AV358" s="74" t="str">
        <f aca="false">IF(ISBLANK($C358),"",IF($S358=Constants!$B$2,TRUE(),IF($S358=Constants!$B$3,FALSE(),FALSE())))</f>
        <v/>
      </c>
      <c r="AW358" s="74" t="str">
        <f aca="false">IF(ISBLANK($C358),"",IF($T358=Constants!$B$2,TRUE(),IF($T358=Constants!$B$3,FALSE(),FALSE())))</f>
        <v/>
      </c>
      <c r="AX358" s="74" t="str">
        <f aca="false">IF(ISBLANK($C358),"",IF(OR($U358&amp;""="1",$U358&amp;""="2",$U358&amp;""="3",$U358&amp;""="4"),VALUE($U358&amp;""),IF($U358=Constants!$B$12,Constants!$B$12,"")))</f>
        <v/>
      </c>
      <c r="AY358" s="74" t="str">
        <f aca="false">IF(ISBLANK($C358),"",IF(ISBLANK($V358),0,IF(ISNUMBER($V358),IF(AND($V358&gt;=0,$V358&lt;=Constants!$B$21,$V358=INT($V358)),$V358,""),"")))</f>
        <v/>
      </c>
      <c r="AZ358" s="74" t="str">
        <f aca="false">IF(ISBLANK($C358),"",IF(ISBLANK($W358),0,IF(ISNUMBER($W358),IF($W358&gt;=0,$W358,""),"")))</f>
        <v/>
      </c>
      <c r="BA358" s="74" t="str">
        <f aca="false">IF(ISBLANK($C358),"",IF($X358=Constants!$B$2,TRUE(),IF($X358=Constants!$B$3,FALSE(),TRUE())))</f>
        <v/>
      </c>
      <c r="BB358" s="74" t="str">
        <f aca="false">IF(ISBLANK($C358),"",IF($Y358=Constants!$B$2,TRUE(),IF($Y358=Constants!$B$3,FALSE(),FALSE())))</f>
        <v/>
      </c>
      <c r="BC358" s="74" t="str">
        <f aca="false">IF(ISBLANK($C358),"",IF(ISBLANK($Z358),0,IF(ISNUMBER($Z358),IF(AND($Z358&gt;=0,$Z358&lt;=Constants!$B$35,$Z358=INT($Z358)),$Z358,""),"")))</f>
        <v/>
      </c>
      <c r="BD358" s="74" t="str">
        <f aca="false">IF(ISBLANK($C358),"",IF($AA358=Constants!$B$2,TRUE(),IF($AA358=Constants!$B$3,FALSE(),TRUE())))</f>
        <v/>
      </c>
      <c r="BE358" s="74" t="str">
        <f aca="false">IF(ISBLANK($C358),"",IF($AB358=Constants!$B$2,TRUE(),IF($AB358=Constants!$B$3,FALSE(),TRUE())))</f>
        <v/>
      </c>
      <c r="BF358" s="74" t="str">
        <f aca="false">IF(ISBLANK($C358),"",IF(ISNUMBER($AC358),IF($AC358&gt;=0,$AC358,""),""))</f>
        <v/>
      </c>
      <c r="BG358" s="74" t="str">
        <f aca="false">IF(ISBLANK($C358),"",IF($AD358=Constants!$B$2,TRUE(),IF($AD358=Constants!$B$3,FALSE(),FALSE())))</f>
        <v/>
      </c>
      <c r="BH358" s="73" t="str">
        <f aca="false">IF(ISBLANK($C358),"",IF($BG358,Constants!$B$7,IF(COUNTA($E358:$AC358)=0,Constants!$B$6,IF(OR(COUNTA($G358:$AC358)=0,NOT($AK358),$AQ358),Constants!$B$5,IF(OR($CI358&lt;&gt;"",$CJ358,$CK358,$CL358,$CM358,$CN358,$CO358),Constants!$B$8,Constants!$B$4)))))</f>
        <v/>
      </c>
      <c r="BI358" s="74" t="str">
        <f aca="false">IF(ISBLANK($C358),"",IF($BH358&lt;&gt;Constants!$B$4,$BH358,IF(OR(NOT($AH358),NOT($AJ358),NOT($AR358)),Constants!$B$11,IF(OR(NOT($AP358),MAX($AL358,$AM358,$AN358)&gt;Constants!$B$30),Constants!$B$10,Constants!$B$9))))</f>
        <v/>
      </c>
      <c r="BJ358" s="74" t="str">
        <f aca="false">IF($BH358&lt;&gt;Constants!$B$4,"",IF(NOT($AJ358),0,MIN(Constants!$B$35,$BC358)))</f>
        <v/>
      </c>
      <c r="BK358" s="74" t="str">
        <f aca="false">IF($BH358&lt;&gt;Constants!$B$4,"",IF(NOT($AJ358),0,IF($AT358,Constants!$B$18,IF($AS358,Constants!$B$17,0))))</f>
        <v/>
      </c>
      <c r="BL358" s="74" t="str">
        <f aca="false">IF($BH358&lt;&gt;Constants!$B$4,"",IF(NOT($AJ358),0,Constants!$B$19*($AI358+$AU358+$AV358+$AW358)))</f>
        <v/>
      </c>
      <c r="BM358" s="74" t="str">
        <f aca="false">IF($BH358&lt;&gt;Constants!$B$4,"",IF(OR(NOT($AJ358),NOT(ISNUMBER($AX358))),0,CHOOSE($AX358,Constants!$B$13,Constants!$B$14,Constants!$B$15,Constants!$B$16)))</f>
        <v/>
      </c>
      <c r="BN358" s="74" t="str">
        <f aca="false">IF($BH358&lt;&gt;Constants!$B$4,"",IF(NOT($AJ358),0,Constants!$B$20*$AY358))</f>
        <v/>
      </c>
      <c r="BO358" s="74" t="str">
        <f aca="false">IF($BH358&lt;&gt;Constants!$B$4,"",IF(AND($AJ358,$BA358,$BB358),Constants!$B$22,0))</f>
        <v/>
      </c>
      <c r="BP358" s="74" t="str">
        <f aca="false">IF($BH358&lt;&gt;Constants!$B$4,"",IF(OR(NOT($AJ358),NOT($BA358)),0,IF($BF358&gt;=2*$AF$9,0,Constants!$B$23*INT(ROUND(MIN($BF358,$AF$9),6)))))</f>
        <v/>
      </c>
      <c r="BQ358" s="74" t="str">
        <f aca="false">IF($BH358&lt;&gt;Constants!$B$4,"",IF(NOT($AJ358),0,Constants!$B$24*INT(ROUND(MIN($AZ358,$AF$9),6))))</f>
        <v/>
      </c>
      <c r="BR358" s="74" t="str">
        <f aca="false">IF($BH358&lt;&gt;Constants!$B$4,"",IF(AND($AJ358,$BJ358=0),Constants!$B$25,0))</f>
        <v/>
      </c>
      <c r="BS358" s="74" t="str">
        <f aca="false">IF($BH358&lt;&gt;Constants!$B$4,"",MIN(Constants!$B$29,MAX(0,Constants!$B$27*Constants!$B$28*INT(ROUND((Constants!$B$26-$AL358)/Constants!$B$28,6))))+MIN(Constants!$B$29,MAX(0,Constants!$B$27*Constants!$B$28*INT(ROUND((Constants!$B$26-$AM358)/Constants!$B$28,6))))+MIN(Constants!$B$29,MAX(0,Constants!$B$27*Constants!$B$28*INT(ROUND((Constants!$B$26-$AN358)/Constants!$B$28,6)))))</f>
        <v/>
      </c>
      <c r="BT358" s="74" t="str">
        <f aca="false">IF($BH358&lt;&gt;Constants!$B$4,"",IF(NOT($AJ358),0,Constants!$B$31*INT(ROUND(MAX(0,MIN($BF358,2*$AF$9)-$AF$9),6))))</f>
        <v/>
      </c>
      <c r="BU358" s="74" t="str">
        <f aca="false">IF($BH358&lt;&gt;Constants!$B$4,"",Constants!$B$32*(($AL358&gt;Constants!$B$26)+($AM358&gt;Constants!$B$26)+($AN358&gt;Constants!$B$26)))</f>
        <v/>
      </c>
      <c r="BV358" s="74" t="str">
        <f aca="false">IF($BH358&lt;&gt;Constants!$B$4,"",IF(OR(NOT($AJ358),$AO358),0,Constants!$B$33))</f>
        <v/>
      </c>
      <c r="BW358" s="74" t="str">
        <f aca="false">IF($BH358&lt;&gt;Constants!$B$4,"",Constants!$B$34*$BJ358)</f>
        <v/>
      </c>
      <c r="BX358" s="74" t="str">
        <f aca="false">IF($BH358&lt;&gt;Constants!$B$4,"",IF(OR(NOT($AJ358),$BE358),0,Constants!$B$36))</f>
        <v/>
      </c>
      <c r="BY358" s="74" t="str">
        <f aca="false">IF($BH358&lt;&gt;Constants!$B$4,"",IF(OR(NOT($AJ358),$BD358),0,Constants!$B$37))</f>
        <v/>
      </c>
      <c r="BZ358" s="74" t="str">
        <f aca="false">IF($BH358&lt;&gt;Constants!$B$4,"",SUM($BT358:$BY358))</f>
        <v/>
      </c>
      <c r="CA358" s="74" t="str">
        <f aca="false">IF(ISBLANK($C358),"",IF($BH358&lt;&gt;Constants!$B$4,$BH358,SUM($BK358:$BS358)-$BZ358))</f>
        <v/>
      </c>
      <c r="CB358" s="74" t="str">
        <f aca="false">IF(ISBLANK($C358),"",IF($BH358&lt;&gt;Constants!$B$4,$BH358,RANK($CA358,$CA$9:$CA$508)))</f>
        <v/>
      </c>
      <c r="CC358" s="74" t="str">
        <f aca="false">IF(ISBLANK($C358),"",IF($BH358&lt;&gt;Constants!$B$4,$BH358,COUNTIFS($BI$9:$BI$508,"&lt;"&amp;$BI358)+COUNTIFS($BI$9:$BI$508,$BI358,$CB$9:$CB$508,"&lt;"&amp;$CB358)+1))</f>
        <v/>
      </c>
      <c r="CD358" s="74" t="str">
        <f aca="false">IF(ISBLANK($C358),"",IF($BH358&lt;&gt;Constants!$B$4,$BH358,RANK($BZ358,$BZ$9:$BZ$508,1)))</f>
        <v/>
      </c>
      <c r="CE358" s="74" t="str">
        <f aca="false">IF($BH358&lt;&gt;Constants!$B$4,"",$AL358+$AM358+$AN358)</f>
        <v/>
      </c>
      <c r="CF358" s="74" t="str">
        <f aca="false">IF(ISBLANK($C358),"",IF($BH358&lt;&gt;Constants!$B$4,$BH358,RANK($CE358,$CE$9:$CE$508,1)))</f>
        <v/>
      </c>
      <c r="CG358" s="74" t="str">
        <f aca="false">IF(ISBLANK($C358),"",IF($BH358&lt;&gt;Constants!$B$4,$BH358,COUNTIFS($BI$9:$BI$508,"&lt;"&amp;$BI358)+COUNTIFS($BI$9:$BI$508,$BI358,$CB$9:$CB$508,"&lt;"&amp;$CB358)+COUNTIFS($BI$9:$BI$508,$BI358,$CB$9:$CB$508,$CB358,$CD$9:$CD$508,"&lt;"&amp;$CD358)+COUNTIFS($BI$9:$BI$508,$BI358,$CB$9:$CB$508,$CB358,$CD$9:$CD$508,$CD358,$CF$9:$CF$508,"&lt;"&amp;$CF358)+1))</f>
        <v/>
      </c>
      <c r="CH358" s="74" t="str">
        <f aca="false">IF(ISBLANK($C358),"",IF($BH358&lt;&gt;Constants!$B$4,$BH358,$CC358-$CG358))</f>
        <v/>
      </c>
      <c r="CI358" s="74" t="str">
        <f aca="false">IF(ISBLANK($C358),"",IF(NOT($AJ358),"",IF(ISBLANK($D$7),$CI$5,IF(NOT(ISNUMBER($D$7)),$CI$6,""))))</f>
        <v/>
      </c>
      <c r="CJ358" s="74" t="str">
        <f aca="false">IF(ISBLANK($C358),"",OR($AL358="",$AM358="",$AN358=""))</f>
        <v/>
      </c>
      <c r="CK358" s="74" t="str">
        <f aca="false">IF(ISBLANK($C358),"",AND($AJ358,$AX358=""))</f>
        <v/>
      </c>
      <c r="CL358" s="74" t="str">
        <f aca="false">IF(ISBLANK($C358),"",AND($AJ358,$AY358=""))</f>
        <v/>
      </c>
      <c r="CM358" s="74" t="str">
        <f aca="false">IF(ISBLANK($C358),"",AND($AJ358,$AZ358=""))</f>
        <v/>
      </c>
      <c r="CN358" s="74" t="str">
        <f aca="false">IF(ISBLANK($C358),"",AND($AJ358,$BC358=""))</f>
        <v/>
      </c>
      <c r="CO358" s="74" t="str">
        <f aca="false">IF(ISBLANK($C358),"",AND($AJ358,$BF358=""))</f>
        <v/>
      </c>
      <c r="CP358" s="75"/>
      <c r="CQ358" s="76"/>
      <c r="CR358" s="79" t="str">
        <f aca="false">IF(ISBLANK($C358),"",IF($BH358=Constants!$B$8,$CI358,""))</f>
        <v/>
      </c>
      <c r="CS358" s="76" t="str">
        <f aca="false">IF(ISBLANK($C358),"",IF($BH358&lt;&gt;Constants!$B$4,"",$BK358+$BL358))</f>
        <v/>
      </c>
      <c r="CT358" s="78" t="str">
        <f aca="false">IF(ISBLANK($C358),"",IF($BH358&lt;&gt;Constants!$B$4,"",$BM358+$BN358+$BO358))</f>
        <v/>
      </c>
      <c r="CU358" s="78" t="str">
        <f aca="false">IF(ISBLANK($C358),"",IF($BH358&lt;&gt;Constants!$B$4,"",$BP358))</f>
        <v/>
      </c>
      <c r="CV358" s="78" t="str">
        <f aca="false">IF(ISBLANK($C358),"",IF($BH358&lt;&gt;Constants!$B$4,"",$BQ358+$BR358))</f>
        <v/>
      </c>
      <c r="CW358" s="78" t="str">
        <f aca="false">IF(ISBLANK($C358),"",IF($BH358&lt;&gt;Constants!$B$4,"",$BS358))</f>
        <v/>
      </c>
      <c r="CX358" s="78" t="str">
        <f aca="false">IF(ISBLANK($C358),"",IF($BH358&lt;&gt;Constants!$B$4,"",-$BZ358))</f>
        <v/>
      </c>
      <c r="CY358" s="79" t="str">
        <f aca="false">IF(ISBLANK($C358),"",$CA358)</f>
        <v/>
      </c>
      <c r="CZ358" s="80" t="str">
        <f aca="false">IF(ISBLANK($C358),"",$BI358)</f>
        <v/>
      </c>
      <c r="DA358" s="78" t="str">
        <f aca="false">IF(ISBLANK($C358),"",$CH358)</f>
        <v/>
      </c>
      <c r="DB358" s="78" t="str">
        <f aca="false">IF(ISBLANK($C358),"",$CG358)</f>
        <v/>
      </c>
      <c r="DC358" s="81" t="str">
        <f aca="false">IF(ISBLANK($C358),"",IFERROR(_xlfn.SWITCH($DB358,Constants!$B$7,COUNTA($C$9:$C$508)+2,Constants!$B$6,COUNTA($C$9:$C$508)+1,Constants!$B$5,COUNTA($C$9:$C$508)),$DB358))</f>
        <v/>
      </c>
      <c r="DD358" s="7"/>
      <c r="DE358" s="82" t="n">
        <f aca="false">IF(OR(ISNUMBER($DB358),$DB358=Constants!$B$7,$DB358=Constants!$B$5,$DB358=Constants!$B$6),1,0)</f>
        <v>0</v>
      </c>
      <c r="DF358" s="82" t="n">
        <v>350</v>
      </c>
      <c r="DG358" s="82" t="str">
        <f aca="false">IF(ISBLANK($C358),"",IF(ISNUMBER($DC358),$DC358+ROW($B358)/1000,""))</f>
        <v/>
      </c>
      <c r="DH358" s="82" t="str">
        <f aca="false">IF(ISNUMBER($DG358),RANK($DG358,$DG$9:$DG$508,1),"")</f>
        <v/>
      </c>
      <c r="DI358" s="82" t="str">
        <f aca="false">IF(ISBLANK($C358),"",$B358)</f>
        <v/>
      </c>
      <c r="DJ358" s="82" t="str">
        <f aca="false">IF(ISBLANK($C358),"",$C358)</f>
        <v/>
      </c>
      <c r="DK358" s="82" t="str">
        <f aca="false">IF(ISBLANK($C358),"",$D358)</f>
        <v/>
      </c>
      <c r="DL358" s="83" t="str">
        <f aca="false">$CZ358</f>
        <v/>
      </c>
      <c r="DM358" s="84" t="str">
        <f aca="false">$CY358</f>
        <v/>
      </c>
      <c r="DN358" s="82" t="str">
        <f aca="false">IF(ISBLANK($C358),"",$DB358)</f>
        <v/>
      </c>
      <c r="DO358" s="85" t="str">
        <f aca="false">IF($DF358&gt;$DE$8,"",VLOOKUP($DF358,$DH$9:$DN$508,7,FALSE()))</f>
        <v/>
      </c>
      <c r="DP358" s="86" t="str">
        <f aca="false">IF($DF358&gt;$DE$8,"",VLOOKUP($DF358,$DH$9:$DN$508,2,FALSE()))</f>
        <v/>
      </c>
      <c r="DQ358" s="86" t="str">
        <f aca="false">IF($DF358&gt;$DE$8,"",VLOOKUP($DF358,$DH$9:$DN$508,3,FALSE()))</f>
        <v/>
      </c>
      <c r="DR358" s="86" t="str">
        <f aca="false">IF($DF358&gt;$DE$8,"",VLOOKUP($DF358,$DH$9:$DN$508,4,FALSE()))</f>
        <v/>
      </c>
      <c r="DS358" s="86" t="str">
        <f aca="false">IF($DF358&gt;$DE$8,"",VLOOKUP($DF358,$DH$9:$DN$508,5,FALSE()))</f>
        <v/>
      </c>
      <c r="DT358" s="87" t="str">
        <f aca="false">IF($DF358&gt;$DE$8,"",VLOOKUP($DF358,$DH$9:$DN$508,6,FALSE()))</f>
        <v/>
      </c>
      <c r="DU358" s="62"/>
    </row>
    <row r="359" customFormat="false" ht="15.75" hidden="false" customHeight="false" outlineLevel="0" collapsed="false">
      <c r="A359" s="7"/>
      <c r="B359" s="64"/>
      <c r="C359" s="65"/>
      <c r="D359" s="123"/>
      <c r="E359" s="88"/>
      <c r="F359" s="134"/>
      <c r="G359" s="88"/>
      <c r="H359" s="134"/>
      <c r="I359" s="119"/>
      <c r="J359" s="119"/>
      <c r="K359" s="119"/>
      <c r="L359" s="88"/>
      <c r="M359" s="88"/>
      <c r="N359" s="88"/>
      <c r="O359" s="134"/>
      <c r="P359" s="88"/>
      <c r="Q359" s="88"/>
      <c r="R359" s="88"/>
      <c r="S359" s="88"/>
      <c r="T359" s="134"/>
      <c r="U359" s="88"/>
      <c r="V359" s="70"/>
      <c r="W359" s="88"/>
      <c r="X359" s="88"/>
      <c r="Y359" s="70"/>
      <c r="Z359" s="70"/>
      <c r="AA359" s="88"/>
      <c r="AB359" s="88"/>
      <c r="AC359" s="71"/>
      <c r="AD359" s="88"/>
      <c r="AE359" s="73"/>
      <c r="AF359" s="74"/>
      <c r="AG359" s="74"/>
      <c r="AH359" s="74" t="str">
        <f aca="false">IF(ISBLANK($C359),"",IF($E359=Constants!$B$2,TRUE(),IF($E359=Constants!$B$3,FALSE(),TRUE())))</f>
        <v/>
      </c>
      <c r="AI359" s="74" t="str">
        <f aca="false">IF(ISBLANK($C359),"",IF($F359=Constants!$B$2,TRUE(),IF($F359=Constants!$B$3,FALSE(),FALSE())))</f>
        <v/>
      </c>
      <c r="AJ359" s="74" t="str">
        <f aca="false">IF(ISBLANK($C359),"",IF($G359=Constants!$B$2,TRUE(),IF($G359=Constants!$B$3,FALSE(),TRUE())))</f>
        <v/>
      </c>
      <c r="AK359" s="74" t="str">
        <f aca="false">IF(ISBLANK($C359),"",IF($H359=Constants!$B$2,TRUE(),IF($H359=Constants!$B$3,FALSE(),TRUE())))</f>
        <v/>
      </c>
      <c r="AL359" s="74" t="str">
        <f aca="false">IF(ISBLANK($C359),"",IF(ISNUMBER($I359),IF($I359&gt;=0,$I359,""),""))</f>
        <v/>
      </c>
      <c r="AM359" s="74" t="str">
        <f aca="false">IF(ISBLANK($C359),"",IF(ISNUMBER($J359),IF($J359&gt;=0,$J359,""),""))</f>
        <v/>
      </c>
      <c r="AN359" s="74" t="str">
        <f aca="false">IF(ISBLANK($C359),"",IF(ISNUMBER($K359),IF($K359&gt;=0,$K359,""),""))</f>
        <v/>
      </c>
      <c r="AO359" s="74" t="str">
        <f aca="false">IF(ISBLANK($C359),"",IF($L359=Constants!$B$2,TRUE(),IF($L359=Constants!$B$3,FALSE(),TRUE())))</f>
        <v/>
      </c>
      <c r="AP359" s="74" t="str">
        <f aca="false">IF(ISBLANK($C359),"",IF($M359=Constants!$B$2,TRUE(),IF($M359=Constants!$B$3,FALSE(),TRUE())))</f>
        <v/>
      </c>
      <c r="AQ359" s="74" t="str">
        <f aca="false">IF(ISBLANK($C359),"",IF($N359=Constants!$B$2,TRUE(),IF($N359=Constants!$B$3,FALSE(),FALSE())))</f>
        <v/>
      </c>
      <c r="AR359" s="74" t="str">
        <f aca="false">IF(ISBLANK($C359),"",IF($O359=Constants!$B$2,TRUE(),IF($O359=Constants!$B$3,FALSE(),TRUE())))</f>
        <v/>
      </c>
      <c r="AS359" s="74" t="str">
        <f aca="false">IF(ISBLANK($C359),"",IF($P359=Constants!$B$2,TRUE(),IF($P359=Constants!$B$3,FALSE(),FALSE())))</f>
        <v/>
      </c>
      <c r="AT359" s="74" t="str">
        <f aca="false">IF(ISBLANK($C359),"",IF($Q359=Constants!$B$2,TRUE(),IF($Q359=Constants!$B$3,FALSE(),FALSE())))</f>
        <v/>
      </c>
      <c r="AU359" s="74" t="str">
        <f aca="false">IF(ISBLANK($C359),"",IF($R359=Constants!$B$2,TRUE(),IF($R359=Constants!$B$3,FALSE(),FALSE())))</f>
        <v/>
      </c>
      <c r="AV359" s="74" t="str">
        <f aca="false">IF(ISBLANK($C359),"",IF($S359=Constants!$B$2,TRUE(),IF($S359=Constants!$B$3,FALSE(),FALSE())))</f>
        <v/>
      </c>
      <c r="AW359" s="74" t="str">
        <f aca="false">IF(ISBLANK($C359),"",IF($T359=Constants!$B$2,TRUE(),IF($T359=Constants!$B$3,FALSE(),FALSE())))</f>
        <v/>
      </c>
      <c r="AX359" s="74" t="str">
        <f aca="false">IF(ISBLANK($C359),"",IF(OR($U359&amp;""="1",$U359&amp;""="2",$U359&amp;""="3",$U359&amp;""="4"),VALUE($U359&amp;""),IF($U359=Constants!$B$12,Constants!$B$12,"")))</f>
        <v/>
      </c>
      <c r="AY359" s="74" t="str">
        <f aca="false">IF(ISBLANK($C359),"",IF(ISBLANK($V359),0,IF(ISNUMBER($V359),IF(AND($V359&gt;=0,$V359&lt;=Constants!$B$21,$V359=INT($V359)),$V359,""),"")))</f>
        <v/>
      </c>
      <c r="AZ359" s="74" t="str">
        <f aca="false">IF(ISBLANK($C359),"",IF(ISBLANK($W359),0,IF(ISNUMBER($W359),IF($W359&gt;=0,$W359,""),"")))</f>
        <v/>
      </c>
      <c r="BA359" s="74" t="str">
        <f aca="false">IF(ISBLANK($C359),"",IF($X359=Constants!$B$2,TRUE(),IF($X359=Constants!$B$3,FALSE(),TRUE())))</f>
        <v/>
      </c>
      <c r="BB359" s="74" t="str">
        <f aca="false">IF(ISBLANK($C359),"",IF($Y359=Constants!$B$2,TRUE(),IF($Y359=Constants!$B$3,FALSE(),FALSE())))</f>
        <v/>
      </c>
      <c r="BC359" s="74" t="str">
        <f aca="false">IF(ISBLANK($C359),"",IF(ISBLANK($Z359),0,IF(ISNUMBER($Z359),IF(AND($Z359&gt;=0,$Z359&lt;=Constants!$B$35,$Z359=INT($Z359)),$Z359,""),"")))</f>
        <v/>
      </c>
      <c r="BD359" s="74" t="str">
        <f aca="false">IF(ISBLANK($C359),"",IF($AA359=Constants!$B$2,TRUE(),IF($AA359=Constants!$B$3,FALSE(),TRUE())))</f>
        <v/>
      </c>
      <c r="BE359" s="74" t="str">
        <f aca="false">IF(ISBLANK($C359),"",IF($AB359=Constants!$B$2,TRUE(),IF($AB359=Constants!$B$3,FALSE(),TRUE())))</f>
        <v/>
      </c>
      <c r="BF359" s="74" t="str">
        <f aca="false">IF(ISBLANK($C359),"",IF(ISNUMBER($AC359),IF($AC359&gt;=0,$AC359,""),""))</f>
        <v/>
      </c>
      <c r="BG359" s="74" t="str">
        <f aca="false">IF(ISBLANK($C359),"",IF($AD359=Constants!$B$2,TRUE(),IF($AD359=Constants!$B$3,FALSE(),FALSE())))</f>
        <v/>
      </c>
      <c r="BH359" s="73" t="str">
        <f aca="false">IF(ISBLANK($C359),"",IF($BG359,Constants!$B$7,IF(COUNTA($E359:$AC359)=0,Constants!$B$6,IF(OR(COUNTA($G359:$AC359)=0,NOT($AK359),$AQ359),Constants!$B$5,IF(OR($CI359&lt;&gt;"",$CJ359,$CK359,$CL359,$CM359,$CN359,$CO359),Constants!$B$8,Constants!$B$4)))))</f>
        <v/>
      </c>
      <c r="BI359" s="74" t="str">
        <f aca="false">IF(ISBLANK($C359),"",IF($BH359&lt;&gt;Constants!$B$4,$BH359,IF(OR(NOT($AH359),NOT($AJ359),NOT($AR359)),Constants!$B$11,IF(OR(NOT($AP359),MAX($AL359,$AM359,$AN359)&gt;Constants!$B$30),Constants!$B$10,Constants!$B$9))))</f>
        <v/>
      </c>
      <c r="BJ359" s="74" t="str">
        <f aca="false">IF($BH359&lt;&gt;Constants!$B$4,"",IF(NOT($AJ359),0,MIN(Constants!$B$35,$BC359)))</f>
        <v/>
      </c>
      <c r="BK359" s="74" t="str">
        <f aca="false">IF($BH359&lt;&gt;Constants!$B$4,"",IF(NOT($AJ359),0,IF($AT359,Constants!$B$18,IF($AS359,Constants!$B$17,0))))</f>
        <v/>
      </c>
      <c r="BL359" s="74" t="str">
        <f aca="false">IF($BH359&lt;&gt;Constants!$B$4,"",IF(NOT($AJ359),0,Constants!$B$19*($AI359+$AU359+$AV359+$AW359)))</f>
        <v/>
      </c>
      <c r="BM359" s="74" t="str">
        <f aca="false">IF($BH359&lt;&gt;Constants!$B$4,"",IF(OR(NOT($AJ359),NOT(ISNUMBER($AX359))),0,CHOOSE($AX359,Constants!$B$13,Constants!$B$14,Constants!$B$15,Constants!$B$16)))</f>
        <v/>
      </c>
      <c r="BN359" s="74" t="str">
        <f aca="false">IF($BH359&lt;&gt;Constants!$B$4,"",IF(NOT($AJ359),0,Constants!$B$20*$AY359))</f>
        <v/>
      </c>
      <c r="BO359" s="74" t="str">
        <f aca="false">IF($BH359&lt;&gt;Constants!$B$4,"",IF(AND($AJ359,$BA359,$BB359),Constants!$B$22,0))</f>
        <v/>
      </c>
      <c r="BP359" s="74" t="str">
        <f aca="false">IF($BH359&lt;&gt;Constants!$B$4,"",IF(OR(NOT($AJ359),NOT($BA359)),0,IF($BF359&gt;=2*$AF$9,0,Constants!$B$23*INT(ROUND(MIN($BF359,$AF$9),6)))))</f>
        <v/>
      </c>
      <c r="BQ359" s="74" t="str">
        <f aca="false">IF($BH359&lt;&gt;Constants!$B$4,"",IF(NOT($AJ359),0,Constants!$B$24*INT(ROUND(MIN($AZ359,$AF$9),6))))</f>
        <v/>
      </c>
      <c r="BR359" s="74" t="str">
        <f aca="false">IF($BH359&lt;&gt;Constants!$B$4,"",IF(AND($AJ359,$BJ359=0),Constants!$B$25,0))</f>
        <v/>
      </c>
      <c r="BS359" s="74" t="str">
        <f aca="false">IF($BH359&lt;&gt;Constants!$B$4,"",MIN(Constants!$B$29,MAX(0,Constants!$B$27*Constants!$B$28*INT(ROUND((Constants!$B$26-$AL359)/Constants!$B$28,6))))+MIN(Constants!$B$29,MAX(0,Constants!$B$27*Constants!$B$28*INT(ROUND((Constants!$B$26-$AM359)/Constants!$B$28,6))))+MIN(Constants!$B$29,MAX(0,Constants!$B$27*Constants!$B$28*INT(ROUND((Constants!$B$26-$AN359)/Constants!$B$28,6)))))</f>
        <v/>
      </c>
      <c r="BT359" s="74" t="str">
        <f aca="false">IF($BH359&lt;&gt;Constants!$B$4,"",IF(NOT($AJ359),0,Constants!$B$31*INT(ROUND(MAX(0,MIN($BF359,2*$AF$9)-$AF$9),6))))</f>
        <v/>
      </c>
      <c r="BU359" s="74" t="str">
        <f aca="false">IF($BH359&lt;&gt;Constants!$B$4,"",Constants!$B$32*(($AL359&gt;Constants!$B$26)+($AM359&gt;Constants!$B$26)+($AN359&gt;Constants!$B$26)))</f>
        <v/>
      </c>
      <c r="BV359" s="74" t="str">
        <f aca="false">IF($BH359&lt;&gt;Constants!$B$4,"",IF(OR(NOT($AJ359),$AO359),0,Constants!$B$33))</f>
        <v/>
      </c>
      <c r="BW359" s="74" t="str">
        <f aca="false">IF($BH359&lt;&gt;Constants!$B$4,"",Constants!$B$34*$BJ359)</f>
        <v/>
      </c>
      <c r="BX359" s="74" t="str">
        <f aca="false">IF($BH359&lt;&gt;Constants!$B$4,"",IF(OR(NOT($AJ359),$BE359),0,Constants!$B$36))</f>
        <v/>
      </c>
      <c r="BY359" s="74" t="str">
        <f aca="false">IF($BH359&lt;&gt;Constants!$B$4,"",IF(OR(NOT($AJ359),$BD359),0,Constants!$B$37))</f>
        <v/>
      </c>
      <c r="BZ359" s="74" t="str">
        <f aca="false">IF($BH359&lt;&gt;Constants!$B$4,"",SUM($BT359:$BY359))</f>
        <v/>
      </c>
      <c r="CA359" s="74" t="str">
        <f aca="false">IF(ISBLANK($C359),"",IF($BH359&lt;&gt;Constants!$B$4,$BH359,SUM($BK359:$BS359)-$BZ359))</f>
        <v/>
      </c>
      <c r="CB359" s="74" t="str">
        <f aca="false">IF(ISBLANK($C359),"",IF($BH359&lt;&gt;Constants!$B$4,$BH359,RANK($CA359,$CA$9:$CA$508)))</f>
        <v/>
      </c>
      <c r="CC359" s="74" t="str">
        <f aca="false">IF(ISBLANK($C359),"",IF($BH359&lt;&gt;Constants!$B$4,$BH359,COUNTIFS($BI$9:$BI$508,"&lt;"&amp;$BI359)+COUNTIFS($BI$9:$BI$508,$BI359,$CB$9:$CB$508,"&lt;"&amp;$CB359)+1))</f>
        <v/>
      </c>
      <c r="CD359" s="74" t="str">
        <f aca="false">IF(ISBLANK($C359),"",IF($BH359&lt;&gt;Constants!$B$4,$BH359,RANK($BZ359,$BZ$9:$BZ$508,1)))</f>
        <v/>
      </c>
      <c r="CE359" s="74" t="str">
        <f aca="false">IF($BH359&lt;&gt;Constants!$B$4,"",$AL359+$AM359+$AN359)</f>
        <v/>
      </c>
      <c r="CF359" s="74" t="str">
        <f aca="false">IF(ISBLANK($C359),"",IF($BH359&lt;&gt;Constants!$B$4,$BH359,RANK($CE359,$CE$9:$CE$508,1)))</f>
        <v/>
      </c>
      <c r="CG359" s="74" t="str">
        <f aca="false">IF(ISBLANK($C359),"",IF($BH359&lt;&gt;Constants!$B$4,$BH359,COUNTIFS($BI$9:$BI$508,"&lt;"&amp;$BI359)+COUNTIFS($BI$9:$BI$508,$BI359,$CB$9:$CB$508,"&lt;"&amp;$CB359)+COUNTIFS($BI$9:$BI$508,$BI359,$CB$9:$CB$508,$CB359,$CD$9:$CD$508,"&lt;"&amp;$CD359)+COUNTIFS($BI$9:$BI$508,$BI359,$CB$9:$CB$508,$CB359,$CD$9:$CD$508,$CD359,$CF$9:$CF$508,"&lt;"&amp;$CF359)+1))</f>
        <v/>
      </c>
      <c r="CH359" s="74" t="str">
        <f aca="false">IF(ISBLANK($C359),"",IF($BH359&lt;&gt;Constants!$B$4,$BH359,$CC359-$CG359))</f>
        <v/>
      </c>
      <c r="CI359" s="74" t="str">
        <f aca="false">IF(ISBLANK($C359),"",IF(NOT($AJ359),"",IF(ISBLANK($D$7),$CI$5,IF(NOT(ISNUMBER($D$7)),$CI$6,""))))</f>
        <v/>
      </c>
      <c r="CJ359" s="74" t="str">
        <f aca="false">IF(ISBLANK($C359),"",OR($AL359="",$AM359="",$AN359=""))</f>
        <v/>
      </c>
      <c r="CK359" s="74" t="str">
        <f aca="false">IF(ISBLANK($C359),"",AND($AJ359,$AX359=""))</f>
        <v/>
      </c>
      <c r="CL359" s="74" t="str">
        <f aca="false">IF(ISBLANK($C359),"",AND($AJ359,$AY359=""))</f>
        <v/>
      </c>
      <c r="CM359" s="74" t="str">
        <f aca="false">IF(ISBLANK($C359),"",AND($AJ359,$AZ359=""))</f>
        <v/>
      </c>
      <c r="CN359" s="74" t="str">
        <f aca="false">IF(ISBLANK($C359),"",AND($AJ359,$BC359=""))</f>
        <v/>
      </c>
      <c r="CO359" s="74" t="str">
        <f aca="false">IF(ISBLANK($C359),"",AND($AJ359,$BF359=""))</f>
        <v/>
      </c>
      <c r="CP359" s="75"/>
      <c r="CQ359" s="76"/>
      <c r="CR359" s="79" t="str">
        <f aca="false">IF(ISBLANK($C359),"",IF($BH359=Constants!$B$8,$CI359,""))</f>
        <v/>
      </c>
      <c r="CS359" s="76" t="str">
        <f aca="false">IF(ISBLANK($C359),"",IF($BH359&lt;&gt;Constants!$B$4,"",$BK359+$BL359))</f>
        <v/>
      </c>
      <c r="CT359" s="78" t="str">
        <f aca="false">IF(ISBLANK($C359),"",IF($BH359&lt;&gt;Constants!$B$4,"",$BM359+$BN359+$BO359))</f>
        <v/>
      </c>
      <c r="CU359" s="78" t="str">
        <f aca="false">IF(ISBLANK($C359),"",IF($BH359&lt;&gt;Constants!$B$4,"",$BP359))</f>
        <v/>
      </c>
      <c r="CV359" s="78" t="str">
        <f aca="false">IF(ISBLANK($C359),"",IF($BH359&lt;&gt;Constants!$B$4,"",$BQ359+$BR359))</f>
        <v/>
      </c>
      <c r="CW359" s="78" t="str">
        <f aca="false">IF(ISBLANK($C359),"",IF($BH359&lt;&gt;Constants!$B$4,"",$BS359))</f>
        <v/>
      </c>
      <c r="CX359" s="78" t="str">
        <f aca="false">IF(ISBLANK($C359),"",IF($BH359&lt;&gt;Constants!$B$4,"",-$BZ359))</f>
        <v/>
      </c>
      <c r="CY359" s="79" t="str">
        <f aca="false">IF(ISBLANK($C359),"",$CA359)</f>
        <v/>
      </c>
      <c r="CZ359" s="80" t="str">
        <f aca="false">IF(ISBLANK($C359),"",$BI359)</f>
        <v/>
      </c>
      <c r="DA359" s="78" t="str">
        <f aca="false">IF(ISBLANK($C359),"",$CH359)</f>
        <v/>
      </c>
      <c r="DB359" s="78" t="str">
        <f aca="false">IF(ISBLANK($C359),"",$CG359)</f>
        <v/>
      </c>
      <c r="DC359" s="81" t="str">
        <f aca="false">IF(ISBLANK($C359),"",IFERROR(_xlfn.SWITCH($DB359,Constants!$B$7,COUNTA($C$9:$C$508)+2,Constants!$B$6,COUNTA($C$9:$C$508)+1,Constants!$B$5,COUNTA($C$9:$C$508)),$DB359))</f>
        <v/>
      </c>
      <c r="DD359" s="7"/>
      <c r="DE359" s="82" t="n">
        <f aca="false">IF(OR(ISNUMBER($DB359),$DB359=Constants!$B$7,$DB359=Constants!$B$5,$DB359=Constants!$B$6),1,0)</f>
        <v>0</v>
      </c>
      <c r="DF359" s="82" t="n">
        <v>351</v>
      </c>
      <c r="DG359" s="82" t="str">
        <f aca="false">IF(ISBLANK($C359),"",IF(ISNUMBER($DC359),$DC359+ROW($B359)/1000,""))</f>
        <v/>
      </c>
      <c r="DH359" s="82" t="str">
        <f aca="false">IF(ISNUMBER($DG359),RANK($DG359,$DG$9:$DG$508,1),"")</f>
        <v/>
      </c>
      <c r="DI359" s="82" t="str">
        <f aca="false">IF(ISBLANK($C359),"",$B359)</f>
        <v/>
      </c>
      <c r="DJ359" s="82" t="str">
        <f aca="false">IF(ISBLANK($C359),"",$C359)</f>
        <v/>
      </c>
      <c r="DK359" s="82" t="str">
        <f aca="false">IF(ISBLANK($C359),"",$D359)</f>
        <v/>
      </c>
      <c r="DL359" s="83" t="str">
        <f aca="false">$CZ359</f>
        <v/>
      </c>
      <c r="DM359" s="84" t="str">
        <f aca="false">$CY359</f>
        <v/>
      </c>
      <c r="DN359" s="82" t="str">
        <f aca="false">IF(ISBLANK($C359),"",$DB359)</f>
        <v/>
      </c>
      <c r="DO359" s="85" t="str">
        <f aca="false">IF($DF359&gt;$DE$8,"",VLOOKUP($DF359,$DH$9:$DN$508,7,FALSE()))</f>
        <v/>
      </c>
      <c r="DP359" s="86" t="str">
        <f aca="false">IF($DF359&gt;$DE$8,"",VLOOKUP($DF359,$DH$9:$DN$508,2,FALSE()))</f>
        <v/>
      </c>
      <c r="DQ359" s="86" t="str">
        <f aca="false">IF($DF359&gt;$DE$8,"",VLOOKUP($DF359,$DH$9:$DN$508,3,FALSE()))</f>
        <v/>
      </c>
      <c r="DR359" s="86" t="str">
        <f aca="false">IF($DF359&gt;$DE$8,"",VLOOKUP($DF359,$DH$9:$DN$508,4,FALSE()))</f>
        <v/>
      </c>
      <c r="DS359" s="86" t="str">
        <f aca="false">IF($DF359&gt;$DE$8,"",VLOOKUP($DF359,$DH$9:$DN$508,5,FALSE()))</f>
        <v/>
      </c>
      <c r="DT359" s="87" t="str">
        <f aca="false">IF($DF359&gt;$DE$8,"",VLOOKUP($DF359,$DH$9:$DN$508,6,FALSE()))</f>
        <v/>
      </c>
      <c r="DU359" s="62"/>
    </row>
    <row r="360" customFormat="false" ht="15.75" hidden="false" customHeight="false" outlineLevel="0" collapsed="false">
      <c r="A360" s="7"/>
      <c r="B360" s="90"/>
      <c r="C360" s="91"/>
      <c r="D360" s="126"/>
      <c r="E360" s="130"/>
      <c r="F360" s="135"/>
      <c r="G360" s="130"/>
      <c r="H360" s="135"/>
      <c r="I360" s="131"/>
      <c r="J360" s="131"/>
      <c r="K360" s="131"/>
      <c r="L360" s="130"/>
      <c r="M360" s="130"/>
      <c r="N360" s="130"/>
      <c r="O360" s="135"/>
      <c r="P360" s="130"/>
      <c r="Q360" s="130"/>
      <c r="R360" s="130"/>
      <c r="S360" s="130"/>
      <c r="T360" s="135"/>
      <c r="U360" s="130"/>
      <c r="V360" s="96"/>
      <c r="W360" s="130"/>
      <c r="X360" s="130"/>
      <c r="Y360" s="96"/>
      <c r="Z360" s="96"/>
      <c r="AA360" s="130"/>
      <c r="AB360" s="130"/>
      <c r="AC360" s="97"/>
      <c r="AD360" s="130"/>
      <c r="AE360" s="99"/>
      <c r="AF360" s="100"/>
      <c r="AG360" s="100"/>
      <c r="AH360" s="100" t="str">
        <f aca="false">IF(ISBLANK($C360),"",IF($E360=Constants!$B$2,TRUE(),IF($E360=Constants!$B$3,FALSE(),TRUE())))</f>
        <v/>
      </c>
      <c r="AI360" s="100" t="str">
        <f aca="false">IF(ISBLANK($C360),"",IF($F360=Constants!$B$2,TRUE(),IF($F360=Constants!$B$3,FALSE(),FALSE())))</f>
        <v/>
      </c>
      <c r="AJ360" s="100" t="str">
        <f aca="false">IF(ISBLANK($C360),"",IF($G360=Constants!$B$2,TRUE(),IF($G360=Constants!$B$3,FALSE(),TRUE())))</f>
        <v/>
      </c>
      <c r="AK360" s="100" t="str">
        <f aca="false">IF(ISBLANK($C360),"",IF($H360=Constants!$B$2,TRUE(),IF($H360=Constants!$B$3,FALSE(),TRUE())))</f>
        <v/>
      </c>
      <c r="AL360" s="100" t="str">
        <f aca="false">IF(ISBLANK($C360),"",IF(ISNUMBER($I360),IF($I360&gt;=0,$I360,""),""))</f>
        <v/>
      </c>
      <c r="AM360" s="100" t="str">
        <f aca="false">IF(ISBLANK($C360),"",IF(ISNUMBER($J360),IF($J360&gt;=0,$J360,""),""))</f>
        <v/>
      </c>
      <c r="AN360" s="100" t="str">
        <f aca="false">IF(ISBLANK($C360),"",IF(ISNUMBER($K360),IF($K360&gt;=0,$K360,""),""))</f>
        <v/>
      </c>
      <c r="AO360" s="100" t="str">
        <f aca="false">IF(ISBLANK($C360),"",IF($L360=Constants!$B$2,TRUE(),IF($L360=Constants!$B$3,FALSE(),TRUE())))</f>
        <v/>
      </c>
      <c r="AP360" s="100" t="str">
        <f aca="false">IF(ISBLANK($C360),"",IF($M360=Constants!$B$2,TRUE(),IF($M360=Constants!$B$3,FALSE(),TRUE())))</f>
        <v/>
      </c>
      <c r="AQ360" s="100" t="str">
        <f aca="false">IF(ISBLANK($C360),"",IF($N360=Constants!$B$2,TRUE(),IF($N360=Constants!$B$3,FALSE(),FALSE())))</f>
        <v/>
      </c>
      <c r="AR360" s="100" t="str">
        <f aca="false">IF(ISBLANK($C360),"",IF($O360=Constants!$B$2,TRUE(),IF($O360=Constants!$B$3,FALSE(),TRUE())))</f>
        <v/>
      </c>
      <c r="AS360" s="100" t="str">
        <f aca="false">IF(ISBLANK($C360),"",IF($P360=Constants!$B$2,TRUE(),IF($P360=Constants!$B$3,FALSE(),FALSE())))</f>
        <v/>
      </c>
      <c r="AT360" s="100" t="str">
        <f aca="false">IF(ISBLANK($C360),"",IF($Q360=Constants!$B$2,TRUE(),IF($Q360=Constants!$B$3,FALSE(),FALSE())))</f>
        <v/>
      </c>
      <c r="AU360" s="100" t="str">
        <f aca="false">IF(ISBLANK($C360),"",IF($R360=Constants!$B$2,TRUE(),IF($R360=Constants!$B$3,FALSE(),FALSE())))</f>
        <v/>
      </c>
      <c r="AV360" s="100" t="str">
        <f aca="false">IF(ISBLANK($C360),"",IF($S360=Constants!$B$2,TRUE(),IF($S360=Constants!$B$3,FALSE(),FALSE())))</f>
        <v/>
      </c>
      <c r="AW360" s="100" t="str">
        <f aca="false">IF(ISBLANK($C360),"",IF($T360=Constants!$B$2,TRUE(),IF($T360=Constants!$B$3,FALSE(),FALSE())))</f>
        <v/>
      </c>
      <c r="AX360" s="100" t="str">
        <f aca="false">IF(ISBLANK($C360),"",IF(OR($U360&amp;""="1",$U360&amp;""="2",$U360&amp;""="3",$U360&amp;""="4"),VALUE($U360&amp;""),IF($U360=Constants!$B$12,Constants!$B$12,"")))</f>
        <v/>
      </c>
      <c r="AY360" s="100" t="str">
        <f aca="false">IF(ISBLANK($C360),"",IF(ISBLANK($V360),0,IF(ISNUMBER($V360),IF(AND($V360&gt;=0,$V360&lt;=Constants!$B$21,$V360=INT($V360)),$V360,""),"")))</f>
        <v/>
      </c>
      <c r="AZ360" s="100" t="str">
        <f aca="false">IF(ISBLANK($C360),"",IF(ISBLANK($W360),0,IF(ISNUMBER($W360),IF($W360&gt;=0,$W360,""),"")))</f>
        <v/>
      </c>
      <c r="BA360" s="100" t="str">
        <f aca="false">IF(ISBLANK($C360),"",IF($X360=Constants!$B$2,TRUE(),IF($X360=Constants!$B$3,FALSE(),TRUE())))</f>
        <v/>
      </c>
      <c r="BB360" s="100" t="str">
        <f aca="false">IF(ISBLANK($C360),"",IF($Y360=Constants!$B$2,TRUE(),IF($Y360=Constants!$B$3,FALSE(),FALSE())))</f>
        <v/>
      </c>
      <c r="BC360" s="100" t="str">
        <f aca="false">IF(ISBLANK($C360),"",IF(ISBLANK($Z360),0,IF(ISNUMBER($Z360),IF(AND($Z360&gt;=0,$Z360&lt;=Constants!$B$35,$Z360=INT($Z360)),$Z360,""),"")))</f>
        <v/>
      </c>
      <c r="BD360" s="100" t="str">
        <f aca="false">IF(ISBLANK($C360),"",IF($AA360=Constants!$B$2,TRUE(),IF($AA360=Constants!$B$3,FALSE(),TRUE())))</f>
        <v/>
      </c>
      <c r="BE360" s="100" t="str">
        <f aca="false">IF(ISBLANK($C360),"",IF($AB360=Constants!$B$2,TRUE(),IF($AB360=Constants!$B$3,FALSE(),TRUE())))</f>
        <v/>
      </c>
      <c r="BF360" s="100" t="str">
        <f aca="false">IF(ISBLANK($C360),"",IF(ISNUMBER($AC360),IF($AC360&gt;=0,$AC360,""),""))</f>
        <v/>
      </c>
      <c r="BG360" s="100" t="str">
        <f aca="false">IF(ISBLANK($C360),"",IF($AD360=Constants!$B$2,TRUE(),IF($AD360=Constants!$B$3,FALSE(),FALSE())))</f>
        <v/>
      </c>
      <c r="BH360" s="99" t="str">
        <f aca="false">IF(ISBLANK($C360),"",IF($BG360,Constants!$B$7,IF(COUNTA($E360:$AC360)=0,Constants!$B$6,IF(OR(COUNTA($G360:$AC360)=0,NOT($AK360),$AQ360),Constants!$B$5,IF(OR($CI360&lt;&gt;"",$CJ360,$CK360,$CL360,$CM360,$CN360,$CO360),Constants!$B$8,Constants!$B$4)))))</f>
        <v/>
      </c>
      <c r="BI360" s="100" t="str">
        <f aca="false">IF(ISBLANK($C360),"",IF($BH360&lt;&gt;Constants!$B$4,$BH360,IF(OR(NOT($AH360),NOT($AJ360),NOT($AR360)),Constants!$B$11,IF(OR(NOT($AP360),MAX($AL360,$AM360,$AN360)&gt;Constants!$B$30),Constants!$B$10,Constants!$B$9))))</f>
        <v/>
      </c>
      <c r="BJ360" s="100" t="str">
        <f aca="false">IF($BH360&lt;&gt;Constants!$B$4,"",IF(NOT($AJ360),0,MIN(Constants!$B$35,$BC360)))</f>
        <v/>
      </c>
      <c r="BK360" s="100" t="str">
        <f aca="false">IF($BH360&lt;&gt;Constants!$B$4,"",IF(NOT($AJ360),0,IF($AT360,Constants!$B$18,IF($AS360,Constants!$B$17,0))))</f>
        <v/>
      </c>
      <c r="BL360" s="100" t="str">
        <f aca="false">IF($BH360&lt;&gt;Constants!$B$4,"",IF(NOT($AJ360),0,Constants!$B$19*($AI360+$AU360+$AV360+$AW360)))</f>
        <v/>
      </c>
      <c r="BM360" s="100" t="str">
        <f aca="false">IF($BH360&lt;&gt;Constants!$B$4,"",IF(OR(NOT($AJ360),NOT(ISNUMBER($AX360))),0,CHOOSE($AX360,Constants!$B$13,Constants!$B$14,Constants!$B$15,Constants!$B$16)))</f>
        <v/>
      </c>
      <c r="BN360" s="100" t="str">
        <f aca="false">IF($BH360&lt;&gt;Constants!$B$4,"",IF(NOT($AJ360),0,Constants!$B$20*$AY360))</f>
        <v/>
      </c>
      <c r="BO360" s="100" t="str">
        <f aca="false">IF($BH360&lt;&gt;Constants!$B$4,"",IF(AND($AJ360,$BA360,$BB360),Constants!$B$22,0))</f>
        <v/>
      </c>
      <c r="BP360" s="100" t="str">
        <f aca="false">IF($BH360&lt;&gt;Constants!$B$4,"",IF(OR(NOT($AJ360),NOT($BA360)),0,IF($BF360&gt;=2*$AF$9,0,Constants!$B$23*INT(ROUND(MIN($BF360,$AF$9),6)))))</f>
        <v/>
      </c>
      <c r="BQ360" s="100" t="str">
        <f aca="false">IF($BH360&lt;&gt;Constants!$B$4,"",IF(NOT($AJ360),0,Constants!$B$24*INT(ROUND(MIN($AZ360,$AF$9),6))))</f>
        <v/>
      </c>
      <c r="BR360" s="100" t="str">
        <f aca="false">IF($BH360&lt;&gt;Constants!$B$4,"",IF(AND($AJ360,$BJ360=0),Constants!$B$25,0))</f>
        <v/>
      </c>
      <c r="BS360" s="100" t="str">
        <f aca="false">IF($BH360&lt;&gt;Constants!$B$4,"",MIN(Constants!$B$29,MAX(0,Constants!$B$27*Constants!$B$28*INT(ROUND((Constants!$B$26-$AL360)/Constants!$B$28,6))))+MIN(Constants!$B$29,MAX(0,Constants!$B$27*Constants!$B$28*INT(ROUND((Constants!$B$26-$AM360)/Constants!$B$28,6))))+MIN(Constants!$B$29,MAX(0,Constants!$B$27*Constants!$B$28*INT(ROUND((Constants!$B$26-$AN360)/Constants!$B$28,6)))))</f>
        <v/>
      </c>
      <c r="BT360" s="100" t="str">
        <f aca="false">IF($BH360&lt;&gt;Constants!$B$4,"",IF(NOT($AJ360),0,Constants!$B$31*INT(ROUND(MAX(0,MIN($BF360,2*$AF$9)-$AF$9),6))))</f>
        <v/>
      </c>
      <c r="BU360" s="100" t="str">
        <f aca="false">IF($BH360&lt;&gt;Constants!$B$4,"",Constants!$B$32*(($AL360&gt;Constants!$B$26)+($AM360&gt;Constants!$B$26)+($AN360&gt;Constants!$B$26)))</f>
        <v/>
      </c>
      <c r="BV360" s="100" t="str">
        <f aca="false">IF($BH360&lt;&gt;Constants!$B$4,"",IF(OR(NOT($AJ360),$AO360),0,Constants!$B$33))</f>
        <v/>
      </c>
      <c r="BW360" s="100" t="str">
        <f aca="false">IF($BH360&lt;&gt;Constants!$B$4,"",Constants!$B$34*$BJ360)</f>
        <v/>
      </c>
      <c r="BX360" s="100" t="str">
        <f aca="false">IF($BH360&lt;&gt;Constants!$B$4,"",IF(OR(NOT($AJ360),$BE360),0,Constants!$B$36))</f>
        <v/>
      </c>
      <c r="BY360" s="100" t="str">
        <f aca="false">IF($BH360&lt;&gt;Constants!$B$4,"",IF(OR(NOT($AJ360),$BD360),0,Constants!$B$37))</f>
        <v/>
      </c>
      <c r="BZ360" s="100" t="str">
        <f aca="false">IF($BH360&lt;&gt;Constants!$B$4,"",SUM($BT360:$BY360))</f>
        <v/>
      </c>
      <c r="CA360" s="100" t="str">
        <f aca="false">IF(ISBLANK($C360),"",IF($BH360&lt;&gt;Constants!$B$4,$BH360,SUM($BK360:$BS360)-$BZ360))</f>
        <v/>
      </c>
      <c r="CB360" s="100" t="str">
        <f aca="false">IF(ISBLANK($C360),"",IF($BH360&lt;&gt;Constants!$B$4,$BH360,RANK($CA360,$CA$9:$CA$508)))</f>
        <v/>
      </c>
      <c r="CC360" s="100" t="str">
        <f aca="false">IF(ISBLANK($C360),"",IF($BH360&lt;&gt;Constants!$B$4,$BH360,COUNTIFS($BI$9:$BI$508,"&lt;"&amp;$BI360)+COUNTIFS($BI$9:$BI$508,$BI360,$CB$9:$CB$508,"&lt;"&amp;$CB360)+1))</f>
        <v/>
      </c>
      <c r="CD360" s="100" t="str">
        <f aca="false">IF(ISBLANK($C360),"",IF($BH360&lt;&gt;Constants!$B$4,$BH360,RANK($BZ360,$BZ$9:$BZ$508,1)))</f>
        <v/>
      </c>
      <c r="CE360" s="100" t="str">
        <f aca="false">IF($BH360&lt;&gt;Constants!$B$4,"",$AL360+$AM360+$AN360)</f>
        <v/>
      </c>
      <c r="CF360" s="100" t="str">
        <f aca="false">IF(ISBLANK($C360),"",IF($BH360&lt;&gt;Constants!$B$4,$BH360,RANK($CE360,$CE$9:$CE$508,1)))</f>
        <v/>
      </c>
      <c r="CG360" s="100" t="str">
        <f aca="false">IF(ISBLANK($C360),"",IF($BH360&lt;&gt;Constants!$B$4,$BH360,COUNTIFS($BI$9:$BI$508,"&lt;"&amp;$BI360)+COUNTIFS($BI$9:$BI$508,$BI360,$CB$9:$CB$508,"&lt;"&amp;$CB360)+COUNTIFS($BI$9:$BI$508,$BI360,$CB$9:$CB$508,$CB360,$CD$9:$CD$508,"&lt;"&amp;$CD360)+COUNTIFS($BI$9:$BI$508,$BI360,$CB$9:$CB$508,$CB360,$CD$9:$CD$508,$CD360,$CF$9:$CF$508,"&lt;"&amp;$CF360)+1))</f>
        <v/>
      </c>
      <c r="CH360" s="100" t="str">
        <f aca="false">IF(ISBLANK($C360),"",IF($BH360&lt;&gt;Constants!$B$4,$BH360,$CC360-$CG360))</f>
        <v/>
      </c>
      <c r="CI360" s="100" t="str">
        <f aca="false">IF(ISBLANK($C360),"",IF(NOT($AJ360),"",IF(ISBLANK($D$7),$CI$5,IF(NOT(ISNUMBER($D$7)),$CI$6,""))))</f>
        <v/>
      </c>
      <c r="CJ360" s="100" t="str">
        <f aca="false">IF(ISBLANK($C360),"",OR($AL360="",$AM360="",$AN360=""))</f>
        <v/>
      </c>
      <c r="CK360" s="100" t="str">
        <f aca="false">IF(ISBLANK($C360),"",AND($AJ360,$AX360=""))</f>
        <v/>
      </c>
      <c r="CL360" s="100" t="str">
        <f aca="false">IF(ISBLANK($C360),"",AND($AJ360,$AY360=""))</f>
        <v/>
      </c>
      <c r="CM360" s="100" t="str">
        <f aca="false">IF(ISBLANK($C360),"",AND($AJ360,$AZ360=""))</f>
        <v/>
      </c>
      <c r="CN360" s="100" t="str">
        <f aca="false">IF(ISBLANK($C360),"",AND($AJ360,$BC360=""))</f>
        <v/>
      </c>
      <c r="CO360" s="100" t="str">
        <f aca="false">IF(ISBLANK($C360),"",AND($AJ360,$BF360=""))</f>
        <v/>
      </c>
      <c r="CP360" s="101"/>
      <c r="CQ360" s="102"/>
      <c r="CR360" s="103" t="str">
        <f aca="false">IF(ISBLANK($C360),"",IF($BH360=Constants!$B$8,$CI360,""))</f>
        <v/>
      </c>
      <c r="CS360" s="102" t="str">
        <f aca="false">IF(ISBLANK($C360),"",IF($BH360&lt;&gt;Constants!$B$4,"",$BK360+$BL360))</f>
        <v/>
      </c>
      <c r="CT360" s="104" t="str">
        <f aca="false">IF(ISBLANK($C360),"",IF($BH360&lt;&gt;Constants!$B$4,"",$BM360+$BN360+$BO360))</f>
        <v/>
      </c>
      <c r="CU360" s="104" t="str">
        <f aca="false">IF(ISBLANK($C360),"",IF($BH360&lt;&gt;Constants!$B$4,"",$BP360))</f>
        <v/>
      </c>
      <c r="CV360" s="104" t="str">
        <f aca="false">IF(ISBLANK($C360),"",IF($BH360&lt;&gt;Constants!$B$4,"",$BQ360+$BR360))</f>
        <v/>
      </c>
      <c r="CW360" s="104" t="str">
        <f aca="false">IF(ISBLANK($C360),"",IF($BH360&lt;&gt;Constants!$B$4,"",$BS360))</f>
        <v/>
      </c>
      <c r="CX360" s="104" t="str">
        <f aca="false">IF(ISBLANK($C360),"",IF($BH360&lt;&gt;Constants!$B$4,"",-$BZ360))</f>
        <v/>
      </c>
      <c r="CY360" s="103" t="str">
        <f aca="false">IF(ISBLANK($C360),"",$CA360)</f>
        <v/>
      </c>
      <c r="CZ360" s="105" t="str">
        <f aca="false">IF(ISBLANK($C360),"",$BI360)</f>
        <v/>
      </c>
      <c r="DA360" s="104" t="str">
        <f aca="false">IF(ISBLANK($C360),"",$CH360)</f>
        <v/>
      </c>
      <c r="DB360" s="104" t="str">
        <f aca="false">IF(ISBLANK($C360),"",$CG360)</f>
        <v/>
      </c>
      <c r="DC360" s="106" t="str">
        <f aca="false">IF(ISBLANK($C360),"",IFERROR(_xlfn.SWITCH($DB360,Constants!$B$7,COUNTA($C$9:$C$508)+2,Constants!$B$6,COUNTA($C$9:$C$508)+1,Constants!$B$5,COUNTA($C$9:$C$508)),$DB360))</f>
        <v/>
      </c>
      <c r="DD360" s="7"/>
      <c r="DE360" s="107" t="n">
        <f aca="false">IF(OR(ISNUMBER($DB360),$DB360=Constants!$B$7,$DB360=Constants!$B$5,$DB360=Constants!$B$6),1,0)</f>
        <v>0</v>
      </c>
      <c r="DF360" s="107" t="n">
        <v>352</v>
      </c>
      <c r="DG360" s="107" t="str">
        <f aca="false">IF(ISBLANK($C360),"",IF(ISNUMBER($DC360),$DC360+ROW($B360)/1000,""))</f>
        <v/>
      </c>
      <c r="DH360" s="107" t="str">
        <f aca="false">IF(ISNUMBER($DG360),RANK($DG360,$DG$9:$DG$508,1),"")</f>
        <v/>
      </c>
      <c r="DI360" s="107" t="str">
        <f aca="false">IF(ISBLANK($C360),"",$B360)</f>
        <v/>
      </c>
      <c r="DJ360" s="107" t="str">
        <f aca="false">IF(ISBLANK($C360),"",$C360)</f>
        <v/>
      </c>
      <c r="DK360" s="107" t="str">
        <f aca="false">IF(ISBLANK($C360),"",$D360)</f>
        <v/>
      </c>
      <c r="DL360" s="108" t="str">
        <f aca="false">$CZ360</f>
        <v/>
      </c>
      <c r="DM360" s="109" t="str">
        <f aca="false">$CY360</f>
        <v/>
      </c>
      <c r="DN360" s="107" t="str">
        <f aca="false">IF(ISBLANK($C360),"",$DB360)</f>
        <v/>
      </c>
      <c r="DO360" s="110" t="str">
        <f aca="false">IF($DF360&gt;$DE$8,"",VLOOKUP($DF360,$DH$9:$DN$508,7,FALSE()))</f>
        <v/>
      </c>
      <c r="DP360" s="111" t="str">
        <f aca="false">IF($DF360&gt;$DE$8,"",VLOOKUP($DF360,$DH$9:$DN$508,2,FALSE()))</f>
        <v/>
      </c>
      <c r="DQ360" s="111" t="str">
        <f aca="false">IF($DF360&gt;$DE$8,"",VLOOKUP($DF360,$DH$9:$DN$508,3,FALSE()))</f>
        <v/>
      </c>
      <c r="DR360" s="111" t="str">
        <f aca="false">IF($DF360&gt;$DE$8,"",VLOOKUP($DF360,$DH$9:$DN$508,4,FALSE()))</f>
        <v/>
      </c>
      <c r="DS360" s="111" t="str">
        <f aca="false">IF($DF360&gt;$DE$8,"",VLOOKUP($DF360,$DH$9:$DN$508,5,FALSE()))</f>
        <v/>
      </c>
      <c r="DT360" s="112" t="str">
        <f aca="false">IF($DF360&gt;$DE$8,"",VLOOKUP($DF360,$DH$9:$DN$508,6,FALSE()))</f>
        <v/>
      </c>
      <c r="DU360" s="62"/>
    </row>
    <row r="361" customFormat="false" ht="15.75" hidden="false" customHeight="false" outlineLevel="0" collapsed="false">
      <c r="A361" s="7"/>
      <c r="B361" s="90"/>
      <c r="C361" s="91"/>
      <c r="D361" s="126"/>
      <c r="E361" s="130"/>
      <c r="F361" s="135"/>
      <c r="G361" s="130"/>
      <c r="H361" s="135"/>
      <c r="I361" s="131"/>
      <c r="J361" s="131"/>
      <c r="K361" s="131"/>
      <c r="L361" s="130"/>
      <c r="M361" s="130"/>
      <c r="N361" s="130"/>
      <c r="O361" s="135"/>
      <c r="P361" s="130"/>
      <c r="Q361" s="130"/>
      <c r="R361" s="130"/>
      <c r="S361" s="130"/>
      <c r="T361" s="135"/>
      <c r="U361" s="130"/>
      <c r="V361" s="96"/>
      <c r="W361" s="130"/>
      <c r="X361" s="130"/>
      <c r="Y361" s="96"/>
      <c r="Z361" s="96"/>
      <c r="AA361" s="130"/>
      <c r="AB361" s="130"/>
      <c r="AC361" s="97"/>
      <c r="AD361" s="130"/>
      <c r="AE361" s="99"/>
      <c r="AF361" s="100"/>
      <c r="AG361" s="100"/>
      <c r="AH361" s="100" t="str">
        <f aca="false">IF(ISBLANK($C361),"",IF($E361=Constants!$B$2,TRUE(),IF($E361=Constants!$B$3,FALSE(),TRUE())))</f>
        <v/>
      </c>
      <c r="AI361" s="100" t="str">
        <f aca="false">IF(ISBLANK($C361),"",IF($F361=Constants!$B$2,TRUE(),IF($F361=Constants!$B$3,FALSE(),FALSE())))</f>
        <v/>
      </c>
      <c r="AJ361" s="100" t="str">
        <f aca="false">IF(ISBLANK($C361),"",IF($G361=Constants!$B$2,TRUE(),IF($G361=Constants!$B$3,FALSE(),TRUE())))</f>
        <v/>
      </c>
      <c r="AK361" s="100" t="str">
        <f aca="false">IF(ISBLANK($C361),"",IF($H361=Constants!$B$2,TRUE(),IF($H361=Constants!$B$3,FALSE(),TRUE())))</f>
        <v/>
      </c>
      <c r="AL361" s="100" t="str">
        <f aca="false">IF(ISBLANK($C361),"",IF(ISNUMBER($I361),IF($I361&gt;=0,$I361,""),""))</f>
        <v/>
      </c>
      <c r="AM361" s="100" t="str">
        <f aca="false">IF(ISBLANK($C361),"",IF(ISNUMBER($J361),IF($J361&gt;=0,$J361,""),""))</f>
        <v/>
      </c>
      <c r="AN361" s="100" t="str">
        <f aca="false">IF(ISBLANK($C361),"",IF(ISNUMBER($K361),IF($K361&gt;=0,$K361,""),""))</f>
        <v/>
      </c>
      <c r="AO361" s="100" t="str">
        <f aca="false">IF(ISBLANK($C361),"",IF($L361=Constants!$B$2,TRUE(),IF($L361=Constants!$B$3,FALSE(),TRUE())))</f>
        <v/>
      </c>
      <c r="AP361" s="100" t="str">
        <f aca="false">IF(ISBLANK($C361),"",IF($M361=Constants!$B$2,TRUE(),IF($M361=Constants!$B$3,FALSE(),TRUE())))</f>
        <v/>
      </c>
      <c r="AQ361" s="100" t="str">
        <f aca="false">IF(ISBLANK($C361),"",IF($N361=Constants!$B$2,TRUE(),IF($N361=Constants!$B$3,FALSE(),FALSE())))</f>
        <v/>
      </c>
      <c r="AR361" s="100" t="str">
        <f aca="false">IF(ISBLANK($C361),"",IF($O361=Constants!$B$2,TRUE(),IF($O361=Constants!$B$3,FALSE(),TRUE())))</f>
        <v/>
      </c>
      <c r="AS361" s="100" t="str">
        <f aca="false">IF(ISBLANK($C361),"",IF($P361=Constants!$B$2,TRUE(),IF($P361=Constants!$B$3,FALSE(),FALSE())))</f>
        <v/>
      </c>
      <c r="AT361" s="100" t="str">
        <f aca="false">IF(ISBLANK($C361),"",IF($Q361=Constants!$B$2,TRUE(),IF($Q361=Constants!$B$3,FALSE(),FALSE())))</f>
        <v/>
      </c>
      <c r="AU361" s="100" t="str">
        <f aca="false">IF(ISBLANK($C361),"",IF($R361=Constants!$B$2,TRUE(),IF($R361=Constants!$B$3,FALSE(),FALSE())))</f>
        <v/>
      </c>
      <c r="AV361" s="100" t="str">
        <f aca="false">IF(ISBLANK($C361),"",IF($S361=Constants!$B$2,TRUE(),IF($S361=Constants!$B$3,FALSE(),FALSE())))</f>
        <v/>
      </c>
      <c r="AW361" s="100" t="str">
        <f aca="false">IF(ISBLANK($C361),"",IF($T361=Constants!$B$2,TRUE(),IF($T361=Constants!$B$3,FALSE(),FALSE())))</f>
        <v/>
      </c>
      <c r="AX361" s="100" t="str">
        <f aca="false">IF(ISBLANK($C361),"",IF(OR($U361&amp;""="1",$U361&amp;""="2",$U361&amp;""="3",$U361&amp;""="4"),VALUE($U361&amp;""),IF($U361=Constants!$B$12,Constants!$B$12,"")))</f>
        <v/>
      </c>
      <c r="AY361" s="100" t="str">
        <f aca="false">IF(ISBLANK($C361),"",IF(ISBLANK($V361),0,IF(ISNUMBER($V361),IF(AND($V361&gt;=0,$V361&lt;=Constants!$B$21,$V361=INT($V361)),$V361,""),"")))</f>
        <v/>
      </c>
      <c r="AZ361" s="100" t="str">
        <f aca="false">IF(ISBLANK($C361),"",IF(ISBLANK($W361),0,IF(ISNUMBER($W361),IF($W361&gt;=0,$W361,""),"")))</f>
        <v/>
      </c>
      <c r="BA361" s="100" t="str">
        <f aca="false">IF(ISBLANK($C361),"",IF($X361=Constants!$B$2,TRUE(),IF($X361=Constants!$B$3,FALSE(),TRUE())))</f>
        <v/>
      </c>
      <c r="BB361" s="100" t="str">
        <f aca="false">IF(ISBLANK($C361),"",IF($Y361=Constants!$B$2,TRUE(),IF($Y361=Constants!$B$3,FALSE(),FALSE())))</f>
        <v/>
      </c>
      <c r="BC361" s="100" t="str">
        <f aca="false">IF(ISBLANK($C361),"",IF(ISBLANK($Z361),0,IF(ISNUMBER($Z361),IF(AND($Z361&gt;=0,$Z361&lt;=Constants!$B$35,$Z361=INT($Z361)),$Z361,""),"")))</f>
        <v/>
      </c>
      <c r="BD361" s="100" t="str">
        <f aca="false">IF(ISBLANK($C361),"",IF($AA361=Constants!$B$2,TRUE(),IF($AA361=Constants!$B$3,FALSE(),TRUE())))</f>
        <v/>
      </c>
      <c r="BE361" s="100" t="str">
        <f aca="false">IF(ISBLANK($C361),"",IF($AB361=Constants!$B$2,TRUE(),IF($AB361=Constants!$B$3,FALSE(),TRUE())))</f>
        <v/>
      </c>
      <c r="BF361" s="100" t="str">
        <f aca="false">IF(ISBLANK($C361),"",IF(ISNUMBER($AC361),IF($AC361&gt;=0,$AC361,""),""))</f>
        <v/>
      </c>
      <c r="BG361" s="100" t="str">
        <f aca="false">IF(ISBLANK($C361),"",IF($AD361=Constants!$B$2,TRUE(),IF($AD361=Constants!$B$3,FALSE(),FALSE())))</f>
        <v/>
      </c>
      <c r="BH361" s="99" t="str">
        <f aca="false">IF(ISBLANK($C361),"",IF($BG361,Constants!$B$7,IF(COUNTA($E361:$AC361)=0,Constants!$B$6,IF(OR(COUNTA($G361:$AC361)=0,NOT($AK361),$AQ361),Constants!$B$5,IF(OR($CI361&lt;&gt;"",$CJ361,$CK361,$CL361,$CM361,$CN361,$CO361),Constants!$B$8,Constants!$B$4)))))</f>
        <v/>
      </c>
      <c r="BI361" s="100" t="str">
        <f aca="false">IF(ISBLANK($C361),"",IF($BH361&lt;&gt;Constants!$B$4,$BH361,IF(OR(NOT($AH361),NOT($AJ361),NOT($AR361)),Constants!$B$11,IF(OR(NOT($AP361),MAX($AL361,$AM361,$AN361)&gt;Constants!$B$30),Constants!$B$10,Constants!$B$9))))</f>
        <v/>
      </c>
      <c r="BJ361" s="100" t="str">
        <f aca="false">IF($BH361&lt;&gt;Constants!$B$4,"",IF(NOT($AJ361),0,MIN(Constants!$B$35,$BC361)))</f>
        <v/>
      </c>
      <c r="BK361" s="100" t="str">
        <f aca="false">IF($BH361&lt;&gt;Constants!$B$4,"",IF(NOT($AJ361),0,IF($AT361,Constants!$B$18,IF($AS361,Constants!$B$17,0))))</f>
        <v/>
      </c>
      <c r="BL361" s="100" t="str">
        <f aca="false">IF($BH361&lt;&gt;Constants!$B$4,"",IF(NOT($AJ361),0,Constants!$B$19*($AI361+$AU361+$AV361+$AW361)))</f>
        <v/>
      </c>
      <c r="BM361" s="100" t="str">
        <f aca="false">IF($BH361&lt;&gt;Constants!$B$4,"",IF(OR(NOT($AJ361),NOT(ISNUMBER($AX361))),0,CHOOSE($AX361,Constants!$B$13,Constants!$B$14,Constants!$B$15,Constants!$B$16)))</f>
        <v/>
      </c>
      <c r="BN361" s="100" t="str">
        <f aca="false">IF($BH361&lt;&gt;Constants!$B$4,"",IF(NOT($AJ361),0,Constants!$B$20*$AY361))</f>
        <v/>
      </c>
      <c r="BO361" s="100" t="str">
        <f aca="false">IF($BH361&lt;&gt;Constants!$B$4,"",IF(AND($AJ361,$BA361,$BB361),Constants!$B$22,0))</f>
        <v/>
      </c>
      <c r="BP361" s="100" t="str">
        <f aca="false">IF($BH361&lt;&gt;Constants!$B$4,"",IF(OR(NOT($AJ361),NOT($BA361)),0,IF($BF361&gt;=2*$AF$9,0,Constants!$B$23*INT(ROUND(MIN($BF361,$AF$9),6)))))</f>
        <v/>
      </c>
      <c r="BQ361" s="100" t="str">
        <f aca="false">IF($BH361&lt;&gt;Constants!$B$4,"",IF(NOT($AJ361),0,Constants!$B$24*INT(ROUND(MIN($AZ361,$AF$9),6))))</f>
        <v/>
      </c>
      <c r="BR361" s="100" t="str">
        <f aca="false">IF($BH361&lt;&gt;Constants!$B$4,"",IF(AND($AJ361,$BJ361=0),Constants!$B$25,0))</f>
        <v/>
      </c>
      <c r="BS361" s="100" t="str">
        <f aca="false">IF($BH361&lt;&gt;Constants!$B$4,"",MIN(Constants!$B$29,MAX(0,Constants!$B$27*Constants!$B$28*INT(ROUND((Constants!$B$26-$AL361)/Constants!$B$28,6))))+MIN(Constants!$B$29,MAX(0,Constants!$B$27*Constants!$B$28*INT(ROUND((Constants!$B$26-$AM361)/Constants!$B$28,6))))+MIN(Constants!$B$29,MAX(0,Constants!$B$27*Constants!$B$28*INT(ROUND((Constants!$B$26-$AN361)/Constants!$B$28,6)))))</f>
        <v/>
      </c>
      <c r="BT361" s="100" t="str">
        <f aca="false">IF($BH361&lt;&gt;Constants!$B$4,"",IF(NOT($AJ361),0,Constants!$B$31*INT(ROUND(MAX(0,MIN($BF361,2*$AF$9)-$AF$9),6))))</f>
        <v/>
      </c>
      <c r="BU361" s="100" t="str">
        <f aca="false">IF($BH361&lt;&gt;Constants!$B$4,"",Constants!$B$32*(($AL361&gt;Constants!$B$26)+($AM361&gt;Constants!$B$26)+($AN361&gt;Constants!$B$26)))</f>
        <v/>
      </c>
      <c r="BV361" s="100" t="str">
        <f aca="false">IF($BH361&lt;&gt;Constants!$B$4,"",IF(OR(NOT($AJ361),$AO361),0,Constants!$B$33))</f>
        <v/>
      </c>
      <c r="BW361" s="100" t="str">
        <f aca="false">IF($BH361&lt;&gt;Constants!$B$4,"",Constants!$B$34*$BJ361)</f>
        <v/>
      </c>
      <c r="BX361" s="100" t="str">
        <f aca="false">IF($BH361&lt;&gt;Constants!$B$4,"",IF(OR(NOT($AJ361),$BE361),0,Constants!$B$36))</f>
        <v/>
      </c>
      <c r="BY361" s="100" t="str">
        <f aca="false">IF($BH361&lt;&gt;Constants!$B$4,"",IF(OR(NOT($AJ361),$BD361),0,Constants!$B$37))</f>
        <v/>
      </c>
      <c r="BZ361" s="100" t="str">
        <f aca="false">IF($BH361&lt;&gt;Constants!$B$4,"",SUM($BT361:$BY361))</f>
        <v/>
      </c>
      <c r="CA361" s="100" t="str">
        <f aca="false">IF(ISBLANK($C361),"",IF($BH361&lt;&gt;Constants!$B$4,$BH361,SUM($BK361:$BS361)-$BZ361))</f>
        <v/>
      </c>
      <c r="CB361" s="100" t="str">
        <f aca="false">IF(ISBLANK($C361),"",IF($BH361&lt;&gt;Constants!$B$4,$BH361,RANK($CA361,$CA$9:$CA$508)))</f>
        <v/>
      </c>
      <c r="CC361" s="100" t="str">
        <f aca="false">IF(ISBLANK($C361),"",IF($BH361&lt;&gt;Constants!$B$4,$BH361,COUNTIFS($BI$9:$BI$508,"&lt;"&amp;$BI361)+COUNTIFS($BI$9:$BI$508,$BI361,$CB$9:$CB$508,"&lt;"&amp;$CB361)+1))</f>
        <v/>
      </c>
      <c r="CD361" s="100" t="str">
        <f aca="false">IF(ISBLANK($C361),"",IF($BH361&lt;&gt;Constants!$B$4,$BH361,RANK($BZ361,$BZ$9:$BZ$508,1)))</f>
        <v/>
      </c>
      <c r="CE361" s="100" t="str">
        <f aca="false">IF($BH361&lt;&gt;Constants!$B$4,"",$AL361+$AM361+$AN361)</f>
        <v/>
      </c>
      <c r="CF361" s="100" t="str">
        <f aca="false">IF(ISBLANK($C361),"",IF($BH361&lt;&gt;Constants!$B$4,$BH361,RANK($CE361,$CE$9:$CE$508,1)))</f>
        <v/>
      </c>
      <c r="CG361" s="100" t="str">
        <f aca="false">IF(ISBLANK($C361),"",IF($BH361&lt;&gt;Constants!$B$4,$BH361,COUNTIFS($BI$9:$BI$508,"&lt;"&amp;$BI361)+COUNTIFS($BI$9:$BI$508,$BI361,$CB$9:$CB$508,"&lt;"&amp;$CB361)+COUNTIFS($BI$9:$BI$508,$BI361,$CB$9:$CB$508,$CB361,$CD$9:$CD$508,"&lt;"&amp;$CD361)+COUNTIFS($BI$9:$BI$508,$BI361,$CB$9:$CB$508,$CB361,$CD$9:$CD$508,$CD361,$CF$9:$CF$508,"&lt;"&amp;$CF361)+1))</f>
        <v/>
      </c>
      <c r="CH361" s="100" t="str">
        <f aca="false">IF(ISBLANK($C361),"",IF($BH361&lt;&gt;Constants!$B$4,$BH361,$CC361-$CG361))</f>
        <v/>
      </c>
      <c r="CI361" s="100" t="str">
        <f aca="false">IF(ISBLANK($C361),"",IF(NOT($AJ361),"",IF(ISBLANK($D$7),$CI$5,IF(NOT(ISNUMBER($D$7)),$CI$6,""))))</f>
        <v/>
      </c>
      <c r="CJ361" s="100" t="str">
        <f aca="false">IF(ISBLANK($C361),"",OR($AL361="",$AM361="",$AN361=""))</f>
        <v/>
      </c>
      <c r="CK361" s="100" t="str">
        <f aca="false">IF(ISBLANK($C361),"",AND($AJ361,$AX361=""))</f>
        <v/>
      </c>
      <c r="CL361" s="100" t="str">
        <f aca="false">IF(ISBLANK($C361),"",AND($AJ361,$AY361=""))</f>
        <v/>
      </c>
      <c r="CM361" s="100" t="str">
        <f aca="false">IF(ISBLANK($C361),"",AND($AJ361,$AZ361=""))</f>
        <v/>
      </c>
      <c r="CN361" s="100" t="str">
        <f aca="false">IF(ISBLANK($C361),"",AND($AJ361,$BC361=""))</f>
        <v/>
      </c>
      <c r="CO361" s="100" t="str">
        <f aca="false">IF(ISBLANK($C361),"",AND($AJ361,$BF361=""))</f>
        <v/>
      </c>
      <c r="CP361" s="101"/>
      <c r="CQ361" s="102"/>
      <c r="CR361" s="103" t="str">
        <f aca="false">IF(ISBLANK($C361),"",IF($BH361=Constants!$B$8,$CI361,""))</f>
        <v/>
      </c>
      <c r="CS361" s="102" t="str">
        <f aca="false">IF(ISBLANK($C361),"",IF($BH361&lt;&gt;Constants!$B$4,"",$BK361+$BL361))</f>
        <v/>
      </c>
      <c r="CT361" s="104" t="str">
        <f aca="false">IF(ISBLANK($C361),"",IF($BH361&lt;&gt;Constants!$B$4,"",$BM361+$BN361+$BO361))</f>
        <v/>
      </c>
      <c r="CU361" s="104" t="str">
        <f aca="false">IF(ISBLANK($C361),"",IF($BH361&lt;&gt;Constants!$B$4,"",$BP361))</f>
        <v/>
      </c>
      <c r="CV361" s="104" t="str">
        <f aca="false">IF(ISBLANK($C361),"",IF($BH361&lt;&gt;Constants!$B$4,"",$BQ361+$BR361))</f>
        <v/>
      </c>
      <c r="CW361" s="104" t="str">
        <f aca="false">IF(ISBLANK($C361),"",IF($BH361&lt;&gt;Constants!$B$4,"",$BS361))</f>
        <v/>
      </c>
      <c r="CX361" s="104" t="str">
        <f aca="false">IF(ISBLANK($C361),"",IF($BH361&lt;&gt;Constants!$B$4,"",-$BZ361))</f>
        <v/>
      </c>
      <c r="CY361" s="103" t="str">
        <f aca="false">IF(ISBLANK($C361),"",$CA361)</f>
        <v/>
      </c>
      <c r="CZ361" s="105" t="str">
        <f aca="false">IF(ISBLANK($C361),"",$BI361)</f>
        <v/>
      </c>
      <c r="DA361" s="104" t="str">
        <f aca="false">IF(ISBLANK($C361),"",$CH361)</f>
        <v/>
      </c>
      <c r="DB361" s="104" t="str">
        <f aca="false">IF(ISBLANK($C361),"",$CG361)</f>
        <v/>
      </c>
      <c r="DC361" s="106" t="str">
        <f aca="false">IF(ISBLANK($C361),"",IFERROR(_xlfn.SWITCH($DB361,Constants!$B$7,COUNTA($C$9:$C$508)+2,Constants!$B$6,COUNTA($C$9:$C$508)+1,Constants!$B$5,COUNTA($C$9:$C$508)),$DB361))</f>
        <v/>
      </c>
      <c r="DD361" s="7"/>
      <c r="DE361" s="107" t="n">
        <f aca="false">IF(OR(ISNUMBER($DB361),$DB361=Constants!$B$7,$DB361=Constants!$B$5,$DB361=Constants!$B$6),1,0)</f>
        <v>0</v>
      </c>
      <c r="DF361" s="107" t="n">
        <v>353</v>
      </c>
      <c r="DG361" s="107" t="str">
        <f aca="false">IF(ISBLANK($C361),"",IF(ISNUMBER($DC361),$DC361+ROW($B361)/1000,""))</f>
        <v/>
      </c>
      <c r="DH361" s="107" t="str">
        <f aca="false">IF(ISNUMBER($DG361),RANK($DG361,$DG$9:$DG$508,1),"")</f>
        <v/>
      </c>
      <c r="DI361" s="107" t="str">
        <f aca="false">IF(ISBLANK($C361),"",$B361)</f>
        <v/>
      </c>
      <c r="DJ361" s="107" t="str">
        <f aca="false">IF(ISBLANK($C361),"",$C361)</f>
        <v/>
      </c>
      <c r="DK361" s="107" t="str">
        <f aca="false">IF(ISBLANK($C361),"",$D361)</f>
        <v/>
      </c>
      <c r="DL361" s="108" t="str">
        <f aca="false">$CZ361</f>
        <v/>
      </c>
      <c r="DM361" s="109" t="str">
        <f aca="false">$CY361</f>
        <v/>
      </c>
      <c r="DN361" s="107" t="str">
        <f aca="false">IF(ISBLANK($C361),"",$DB361)</f>
        <v/>
      </c>
      <c r="DO361" s="110" t="str">
        <f aca="false">IF($DF361&gt;$DE$8,"",VLOOKUP($DF361,$DH$9:$DN$508,7,FALSE()))</f>
        <v/>
      </c>
      <c r="DP361" s="111" t="str">
        <f aca="false">IF($DF361&gt;$DE$8,"",VLOOKUP($DF361,$DH$9:$DN$508,2,FALSE()))</f>
        <v/>
      </c>
      <c r="DQ361" s="111" t="str">
        <f aca="false">IF($DF361&gt;$DE$8,"",VLOOKUP($DF361,$DH$9:$DN$508,3,FALSE()))</f>
        <v/>
      </c>
      <c r="DR361" s="111" t="str">
        <f aca="false">IF($DF361&gt;$DE$8,"",VLOOKUP($DF361,$DH$9:$DN$508,4,FALSE()))</f>
        <v/>
      </c>
      <c r="DS361" s="111" t="str">
        <f aca="false">IF($DF361&gt;$DE$8,"",VLOOKUP($DF361,$DH$9:$DN$508,5,FALSE()))</f>
        <v/>
      </c>
      <c r="DT361" s="112" t="str">
        <f aca="false">IF($DF361&gt;$DE$8,"",VLOOKUP($DF361,$DH$9:$DN$508,6,FALSE()))</f>
        <v/>
      </c>
      <c r="DU361" s="62"/>
    </row>
    <row r="362" customFormat="false" ht="15.75" hidden="false" customHeight="false" outlineLevel="0" collapsed="false">
      <c r="A362" s="7"/>
      <c r="B362" s="90"/>
      <c r="C362" s="91"/>
      <c r="D362" s="126"/>
      <c r="E362" s="130"/>
      <c r="F362" s="135"/>
      <c r="G362" s="130"/>
      <c r="H362" s="135"/>
      <c r="I362" s="131"/>
      <c r="J362" s="131"/>
      <c r="K362" s="131"/>
      <c r="L362" s="130"/>
      <c r="M362" s="130"/>
      <c r="N362" s="130"/>
      <c r="O362" s="135"/>
      <c r="P362" s="130"/>
      <c r="Q362" s="130"/>
      <c r="R362" s="130"/>
      <c r="S362" s="130"/>
      <c r="T362" s="135"/>
      <c r="U362" s="130"/>
      <c r="V362" s="96"/>
      <c r="W362" s="130"/>
      <c r="X362" s="130"/>
      <c r="Y362" s="96"/>
      <c r="Z362" s="96"/>
      <c r="AA362" s="130"/>
      <c r="AB362" s="130"/>
      <c r="AC362" s="97"/>
      <c r="AD362" s="130"/>
      <c r="AE362" s="99"/>
      <c r="AF362" s="100"/>
      <c r="AG362" s="100"/>
      <c r="AH362" s="100" t="str">
        <f aca="false">IF(ISBLANK($C362),"",IF($E362=Constants!$B$2,TRUE(),IF($E362=Constants!$B$3,FALSE(),TRUE())))</f>
        <v/>
      </c>
      <c r="AI362" s="100" t="str">
        <f aca="false">IF(ISBLANK($C362),"",IF($F362=Constants!$B$2,TRUE(),IF($F362=Constants!$B$3,FALSE(),FALSE())))</f>
        <v/>
      </c>
      <c r="AJ362" s="100" t="str">
        <f aca="false">IF(ISBLANK($C362),"",IF($G362=Constants!$B$2,TRUE(),IF($G362=Constants!$B$3,FALSE(),TRUE())))</f>
        <v/>
      </c>
      <c r="AK362" s="100" t="str">
        <f aca="false">IF(ISBLANK($C362),"",IF($H362=Constants!$B$2,TRUE(),IF($H362=Constants!$B$3,FALSE(),TRUE())))</f>
        <v/>
      </c>
      <c r="AL362" s="100" t="str">
        <f aca="false">IF(ISBLANK($C362),"",IF(ISNUMBER($I362),IF($I362&gt;=0,$I362,""),""))</f>
        <v/>
      </c>
      <c r="AM362" s="100" t="str">
        <f aca="false">IF(ISBLANK($C362),"",IF(ISNUMBER($J362),IF($J362&gt;=0,$J362,""),""))</f>
        <v/>
      </c>
      <c r="AN362" s="100" t="str">
        <f aca="false">IF(ISBLANK($C362),"",IF(ISNUMBER($K362),IF($K362&gt;=0,$K362,""),""))</f>
        <v/>
      </c>
      <c r="AO362" s="100" t="str">
        <f aca="false">IF(ISBLANK($C362),"",IF($L362=Constants!$B$2,TRUE(),IF($L362=Constants!$B$3,FALSE(),TRUE())))</f>
        <v/>
      </c>
      <c r="AP362" s="100" t="str">
        <f aca="false">IF(ISBLANK($C362),"",IF($M362=Constants!$B$2,TRUE(),IF($M362=Constants!$B$3,FALSE(),TRUE())))</f>
        <v/>
      </c>
      <c r="AQ362" s="100" t="str">
        <f aca="false">IF(ISBLANK($C362),"",IF($N362=Constants!$B$2,TRUE(),IF($N362=Constants!$B$3,FALSE(),FALSE())))</f>
        <v/>
      </c>
      <c r="AR362" s="100" t="str">
        <f aca="false">IF(ISBLANK($C362),"",IF($O362=Constants!$B$2,TRUE(),IF($O362=Constants!$B$3,FALSE(),TRUE())))</f>
        <v/>
      </c>
      <c r="AS362" s="100" t="str">
        <f aca="false">IF(ISBLANK($C362),"",IF($P362=Constants!$B$2,TRUE(),IF($P362=Constants!$B$3,FALSE(),FALSE())))</f>
        <v/>
      </c>
      <c r="AT362" s="100" t="str">
        <f aca="false">IF(ISBLANK($C362),"",IF($Q362=Constants!$B$2,TRUE(),IF($Q362=Constants!$B$3,FALSE(),FALSE())))</f>
        <v/>
      </c>
      <c r="AU362" s="100" t="str">
        <f aca="false">IF(ISBLANK($C362),"",IF($R362=Constants!$B$2,TRUE(),IF($R362=Constants!$B$3,FALSE(),FALSE())))</f>
        <v/>
      </c>
      <c r="AV362" s="100" t="str">
        <f aca="false">IF(ISBLANK($C362),"",IF($S362=Constants!$B$2,TRUE(),IF($S362=Constants!$B$3,FALSE(),FALSE())))</f>
        <v/>
      </c>
      <c r="AW362" s="100" t="str">
        <f aca="false">IF(ISBLANK($C362),"",IF($T362=Constants!$B$2,TRUE(),IF($T362=Constants!$B$3,FALSE(),FALSE())))</f>
        <v/>
      </c>
      <c r="AX362" s="100" t="str">
        <f aca="false">IF(ISBLANK($C362),"",IF(OR($U362&amp;""="1",$U362&amp;""="2",$U362&amp;""="3",$U362&amp;""="4"),VALUE($U362&amp;""),IF($U362=Constants!$B$12,Constants!$B$12,"")))</f>
        <v/>
      </c>
      <c r="AY362" s="100" t="str">
        <f aca="false">IF(ISBLANK($C362),"",IF(ISBLANK($V362),0,IF(ISNUMBER($V362),IF(AND($V362&gt;=0,$V362&lt;=Constants!$B$21,$V362=INT($V362)),$V362,""),"")))</f>
        <v/>
      </c>
      <c r="AZ362" s="100" t="str">
        <f aca="false">IF(ISBLANK($C362),"",IF(ISBLANK($W362),0,IF(ISNUMBER($W362),IF($W362&gt;=0,$W362,""),"")))</f>
        <v/>
      </c>
      <c r="BA362" s="100" t="str">
        <f aca="false">IF(ISBLANK($C362),"",IF($X362=Constants!$B$2,TRUE(),IF($X362=Constants!$B$3,FALSE(),TRUE())))</f>
        <v/>
      </c>
      <c r="BB362" s="100" t="str">
        <f aca="false">IF(ISBLANK($C362),"",IF($Y362=Constants!$B$2,TRUE(),IF($Y362=Constants!$B$3,FALSE(),FALSE())))</f>
        <v/>
      </c>
      <c r="BC362" s="100" t="str">
        <f aca="false">IF(ISBLANK($C362),"",IF(ISBLANK($Z362),0,IF(ISNUMBER($Z362),IF(AND($Z362&gt;=0,$Z362&lt;=Constants!$B$35,$Z362=INT($Z362)),$Z362,""),"")))</f>
        <v/>
      </c>
      <c r="BD362" s="100" t="str">
        <f aca="false">IF(ISBLANK($C362),"",IF($AA362=Constants!$B$2,TRUE(),IF($AA362=Constants!$B$3,FALSE(),TRUE())))</f>
        <v/>
      </c>
      <c r="BE362" s="100" t="str">
        <f aca="false">IF(ISBLANK($C362),"",IF($AB362=Constants!$B$2,TRUE(),IF($AB362=Constants!$B$3,FALSE(),TRUE())))</f>
        <v/>
      </c>
      <c r="BF362" s="100" t="str">
        <f aca="false">IF(ISBLANK($C362),"",IF(ISNUMBER($AC362),IF($AC362&gt;=0,$AC362,""),""))</f>
        <v/>
      </c>
      <c r="BG362" s="100" t="str">
        <f aca="false">IF(ISBLANK($C362),"",IF($AD362=Constants!$B$2,TRUE(),IF($AD362=Constants!$B$3,FALSE(),FALSE())))</f>
        <v/>
      </c>
      <c r="BH362" s="99" t="str">
        <f aca="false">IF(ISBLANK($C362),"",IF($BG362,Constants!$B$7,IF(COUNTA($E362:$AC362)=0,Constants!$B$6,IF(OR(COUNTA($G362:$AC362)=0,NOT($AK362),$AQ362),Constants!$B$5,IF(OR($CI362&lt;&gt;"",$CJ362,$CK362,$CL362,$CM362,$CN362,$CO362),Constants!$B$8,Constants!$B$4)))))</f>
        <v/>
      </c>
      <c r="BI362" s="100" t="str">
        <f aca="false">IF(ISBLANK($C362),"",IF($BH362&lt;&gt;Constants!$B$4,$BH362,IF(OR(NOT($AH362),NOT($AJ362),NOT($AR362)),Constants!$B$11,IF(OR(NOT($AP362),MAX($AL362,$AM362,$AN362)&gt;Constants!$B$30),Constants!$B$10,Constants!$B$9))))</f>
        <v/>
      </c>
      <c r="BJ362" s="100" t="str">
        <f aca="false">IF($BH362&lt;&gt;Constants!$B$4,"",IF(NOT($AJ362),0,MIN(Constants!$B$35,$BC362)))</f>
        <v/>
      </c>
      <c r="BK362" s="100" t="str">
        <f aca="false">IF($BH362&lt;&gt;Constants!$B$4,"",IF(NOT($AJ362),0,IF($AT362,Constants!$B$18,IF($AS362,Constants!$B$17,0))))</f>
        <v/>
      </c>
      <c r="BL362" s="100" t="str">
        <f aca="false">IF($BH362&lt;&gt;Constants!$B$4,"",IF(NOT($AJ362),0,Constants!$B$19*($AI362+$AU362+$AV362+$AW362)))</f>
        <v/>
      </c>
      <c r="BM362" s="100" t="str">
        <f aca="false">IF($BH362&lt;&gt;Constants!$B$4,"",IF(OR(NOT($AJ362),NOT(ISNUMBER($AX362))),0,CHOOSE($AX362,Constants!$B$13,Constants!$B$14,Constants!$B$15,Constants!$B$16)))</f>
        <v/>
      </c>
      <c r="BN362" s="100" t="str">
        <f aca="false">IF($BH362&lt;&gt;Constants!$B$4,"",IF(NOT($AJ362),0,Constants!$B$20*$AY362))</f>
        <v/>
      </c>
      <c r="BO362" s="100" t="str">
        <f aca="false">IF($BH362&lt;&gt;Constants!$B$4,"",IF(AND($AJ362,$BA362,$BB362),Constants!$B$22,0))</f>
        <v/>
      </c>
      <c r="BP362" s="100" t="str">
        <f aca="false">IF($BH362&lt;&gt;Constants!$B$4,"",IF(OR(NOT($AJ362),NOT($BA362)),0,IF($BF362&gt;=2*$AF$9,0,Constants!$B$23*INT(ROUND(MIN($BF362,$AF$9),6)))))</f>
        <v/>
      </c>
      <c r="BQ362" s="100" t="str">
        <f aca="false">IF($BH362&lt;&gt;Constants!$B$4,"",IF(NOT($AJ362),0,Constants!$B$24*INT(ROUND(MIN($AZ362,$AF$9),6))))</f>
        <v/>
      </c>
      <c r="BR362" s="100" t="str">
        <f aca="false">IF($BH362&lt;&gt;Constants!$B$4,"",IF(AND($AJ362,$BJ362=0),Constants!$B$25,0))</f>
        <v/>
      </c>
      <c r="BS362" s="100" t="str">
        <f aca="false">IF($BH362&lt;&gt;Constants!$B$4,"",MIN(Constants!$B$29,MAX(0,Constants!$B$27*Constants!$B$28*INT(ROUND((Constants!$B$26-$AL362)/Constants!$B$28,6))))+MIN(Constants!$B$29,MAX(0,Constants!$B$27*Constants!$B$28*INT(ROUND((Constants!$B$26-$AM362)/Constants!$B$28,6))))+MIN(Constants!$B$29,MAX(0,Constants!$B$27*Constants!$B$28*INT(ROUND((Constants!$B$26-$AN362)/Constants!$B$28,6)))))</f>
        <v/>
      </c>
      <c r="BT362" s="100" t="str">
        <f aca="false">IF($BH362&lt;&gt;Constants!$B$4,"",IF(NOT($AJ362),0,Constants!$B$31*INT(ROUND(MAX(0,MIN($BF362,2*$AF$9)-$AF$9),6))))</f>
        <v/>
      </c>
      <c r="BU362" s="100" t="str">
        <f aca="false">IF($BH362&lt;&gt;Constants!$B$4,"",Constants!$B$32*(($AL362&gt;Constants!$B$26)+($AM362&gt;Constants!$B$26)+($AN362&gt;Constants!$B$26)))</f>
        <v/>
      </c>
      <c r="BV362" s="100" t="str">
        <f aca="false">IF($BH362&lt;&gt;Constants!$B$4,"",IF(OR(NOT($AJ362),$AO362),0,Constants!$B$33))</f>
        <v/>
      </c>
      <c r="BW362" s="100" t="str">
        <f aca="false">IF($BH362&lt;&gt;Constants!$B$4,"",Constants!$B$34*$BJ362)</f>
        <v/>
      </c>
      <c r="BX362" s="100" t="str">
        <f aca="false">IF($BH362&lt;&gt;Constants!$B$4,"",IF(OR(NOT($AJ362),$BE362),0,Constants!$B$36))</f>
        <v/>
      </c>
      <c r="BY362" s="100" t="str">
        <f aca="false">IF($BH362&lt;&gt;Constants!$B$4,"",IF(OR(NOT($AJ362),$BD362),0,Constants!$B$37))</f>
        <v/>
      </c>
      <c r="BZ362" s="100" t="str">
        <f aca="false">IF($BH362&lt;&gt;Constants!$B$4,"",SUM($BT362:$BY362))</f>
        <v/>
      </c>
      <c r="CA362" s="100" t="str">
        <f aca="false">IF(ISBLANK($C362),"",IF($BH362&lt;&gt;Constants!$B$4,$BH362,SUM($BK362:$BS362)-$BZ362))</f>
        <v/>
      </c>
      <c r="CB362" s="100" t="str">
        <f aca="false">IF(ISBLANK($C362),"",IF($BH362&lt;&gt;Constants!$B$4,$BH362,RANK($CA362,$CA$9:$CA$508)))</f>
        <v/>
      </c>
      <c r="CC362" s="100" t="str">
        <f aca="false">IF(ISBLANK($C362),"",IF($BH362&lt;&gt;Constants!$B$4,$BH362,COUNTIFS($BI$9:$BI$508,"&lt;"&amp;$BI362)+COUNTIFS($BI$9:$BI$508,$BI362,$CB$9:$CB$508,"&lt;"&amp;$CB362)+1))</f>
        <v/>
      </c>
      <c r="CD362" s="100" t="str">
        <f aca="false">IF(ISBLANK($C362),"",IF($BH362&lt;&gt;Constants!$B$4,$BH362,RANK($BZ362,$BZ$9:$BZ$508,1)))</f>
        <v/>
      </c>
      <c r="CE362" s="100" t="str">
        <f aca="false">IF($BH362&lt;&gt;Constants!$B$4,"",$AL362+$AM362+$AN362)</f>
        <v/>
      </c>
      <c r="CF362" s="100" t="str">
        <f aca="false">IF(ISBLANK($C362),"",IF($BH362&lt;&gt;Constants!$B$4,$BH362,RANK($CE362,$CE$9:$CE$508,1)))</f>
        <v/>
      </c>
      <c r="CG362" s="100" t="str">
        <f aca="false">IF(ISBLANK($C362),"",IF($BH362&lt;&gt;Constants!$B$4,$BH362,COUNTIFS($BI$9:$BI$508,"&lt;"&amp;$BI362)+COUNTIFS($BI$9:$BI$508,$BI362,$CB$9:$CB$508,"&lt;"&amp;$CB362)+COUNTIFS($BI$9:$BI$508,$BI362,$CB$9:$CB$508,$CB362,$CD$9:$CD$508,"&lt;"&amp;$CD362)+COUNTIFS($BI$9:$BI$508,$BI362,$CB$9:$CB$508,$CB362,$CD$9:$CD$508,$CD362,$CF$9:$CF$508,"&lt;"&amp;$CF362)+1))</f>
        <v/>
      </c>
      <c r="CH362" s="100" t="str">
        <f aca="false">IF(ISBLANK($C362),"",IF($BH362&lt;&gt;Constants!$B$4,$BH362,$CC362-$CG362))</f>
        <v/>
      </c>
      <c r="CI362" s="100" t="str">
        <f aca="false">IF(ISBLANK($C362),"",IF(NOT($AJ362),"",IF(ISBLANK($D$7),$CI$5,IF(NOT(ISNUMBER($D$7)),$CI$6,""))))</f>
        <v/>
      </c>
      <c r="CJ362" s="100" t="str">
        <f aca="false">IF(ISBLANK($C362),"",OR($AL362="",$AM362="",$AN362=""))</f>
        <v/>
      </c>
      <c r="CK362" s="100" t="str">
        <f aca="false">IF(ISBLANK($C362),"",AND($AJ362,$AX362=""))</f>
        <v/>
      </c>
      <c r="CL362" s="100" t="str">
        <f aca="false">IF(ISBLANK($C362),"",AND($AJ362,$AY362=""))</f>
        <v/>
      </c>
      <c r="CM362" s="100" t="str">
        <f aca="false">IF(ISBLANK($C362),"",AND($AJ362,$AZ362=""))</f>
        <v/>
      </c>
      <c r="CN362" s="100" t="str">
        <f aca="false">IF(ISBLANK($C362),"",AND($AJ362,$BC362=""))</f>
        <v/>
      </c>
      <c r="CO362" s="100" t="str">
        <f aca="false">IF(ISBLANK($C362),"",AND($AJ362,$BF362=""))</f>
        <v/>
      </c>
      <c r="CP362" s="101"/>
      <c r="CQ362" s="102"/>
      <c r="CR362" s="103" t="str">
        <f aca="false">IF(ISBLANK($C362),"",IF($BH362=Constants!$B$8,$CI362,""))</f>
        <v/>
      </c>
      <c r="CS362" s="102" t="str">
        <f aca="false">IF(ISBLANK($C362),"",IF($BH362&lt;&gt;Constants!$B$4,"",$BK362+$BL362))</f>
        <v/>
      </c>
      <c r="CT362" s="104" t="str">
        <f aca="false">IF(ISBLANK($C362),"",IF($BH362&lt;&gt;Constants!$B$4,"",$BM362+$BN362+$BO362))</f>
        <v/>
      </c>
      <c r="CU362" s="104" t="str">
        <f aca="false">IF(ISBLANK($C362),"",IF($BH362&lt;&gt;Constants!$B$4,"",$BP362))</f>
        <v/>
      </c>
      <c r="CV362" s="104" t="str">
        <f aca="false">IF(ISBLANK($C362),"",IF($BH362&lt;&gt;Constants!$B$4,"",$BQ362+$BR362))</f>
        <v/>
      </c>
      <c r="CW362" s="104" t="str">
        <f aca="false">IF(ISBLANK($C362),"",IF($BH362&lt;&gt;Constants!$B$4,"",$BS362))</f>
        <v/>
      </c>
      <c r="CX362" s="104" t="str">
        <f aca="false">IF(ISBLANK($C362),"",IF($BH362&lt;&gt;Constants!$B$4,"",-$BZ362))</f>
        <v/>
      </c>
      <c r="CY362" s="103" t="str">
        <f aca="false">IF(ISBLANK($C362),"",$CA362)</f>
        <v/>
      </c>
      <c r="CZ362" s="105" t="str">
        <f aca="false">IF(ISBLANK($C362),"",$BI362)</f>
        <v/>
      </c>
      <c r="DA362" s="104" t="str">
        <f aca="false">IF(ISBLANK($C362),"",$CH362)</f>
        <v/>
      </c>
      <c r="DB362" s="104" t="str">
        <f aca="false">IF(ISBLANK($C362),"",$CG362)</f>
        <v/>
      </c>
      <c r="DC362" s="106" t="str">
        <f aca="false">IF(ISBLANK($C362),"",IFERROR(_xlfn.SWITCH($DB362,Constants!$B$7,COUNTA($C$9:$C$508)+2,Constants!$B$6,COUNTA($C$9:$C$508)+1,Constants!$B$5,COUNTA($C$9:$C$508)),$DB362))</f>
        <v/>
      </c>
      <c r="DD362" s="7"/>
      <c r="DE362" s="107" t="n">
        <f aca="false">IF(OR(ISNUMBER($DB362),$DB362=Constants!$B$7,$DB362=Constants!$B$5,$DB362=Constants!$B$6),1,0)</f>
        <v>0</v>
      </c>
      <c r="DF362" s="107" t="n">
        <v>354</v>
      </c>
      <c r="DG362" s="107" t="str">
        <f aca="false">IF(ISBLANK($C362),"",IF(ISNUMBER($DC362),$DC362+ROW($B362)/1000,""))</f>
        <v/>
      </c>
      <c r="DH362" s="107" t="str">
        <f aca="false">IF(ISNUMBER($DG362),RANK($DG362,$DG$9:$DG$508,1),"")</f>
        <v/>
      </c>
      <c r="DI362" s="107" t="str">
        <f aca="false">IF(ISBLANK($C362),"",$B362)</f>
        <v/>
      </c>
      <c r="DJ362" s="107" t="str">
        <f aca="false">IF(ISBLANK($C362),"",$C362)</f>
        <v/>
      </c>
      <c r="DK362" s="107" t="str">
        <f aca="false">IF(ISBLANK($C362),"",$D362)</f>
        <v/>
      </c>
      <c r="DL362" s="108" t="str">
        <f aca="false">$CZ362</f>
        <v/>
      </c>
      <c r="DM362" s="109" t="str">
        <f aca="false">$CY362</f>
        <v/>
      </c>
      <c r="DN362" s="107" t="str">
        <f aca="false">IF(ISBLANK($C362),"",$DB362)</f>
        <v/>
      </c>
      <c r="DO362" s="110" t="str">
        <f aca="false">IF($DF362&gt;$DE$8,"",VLOOKUP($DF362,$DH$9:$DN$508,7,FALSE()))</f>
        <v/>
      </c>
      <c r="DP362" s="111" t="str">
        <f aca="false">IF($DF362&gt;$DE$8,"",VLOOKUP($DF362,$DH$9:$DN$508,2,FALSE()))</f>
        <v/>
      </c>
      <c r="DQ362" s="111" t="str">
        <f aca="false">IF($DF362&gt;$DE$8,"",VLOOKUP($DF362,$DH$9:$DN$508,3,FALSE()))</f>
        <v/>
      </c>
      <c r="DR362" s="111" t="str">
        <f aca="false">IF($DF362&gt;$DE$8,"",VLOOKUP($DF362,$DH$9:$DN$508,4,FALSE()))</f>
        <v/>
      </c>
      <c r="DS362" s="111" t="str">
        <f aca="false">IF($DF362&gt;$DE$8,"",VLOOKUP($DF362,$DH$9:$DN$508,5,FALSE()))</f>
        <v/>
      </c>
      <c r="DT362" s="112" t="str">
        <f aca="false">IF($DF362&gt;$DE$8,"",VLOOKUP($DF362,$DH$9:$DN$508,6,FALSE()))</f>
        <v/>
      </c>
      <c r="DU362" s="62"/>
    </row>
    <row r="363" customFormat="false" ht="15.75" hidden="false" customHeight="false" outlineLevel="0" collapsed="false">
      <c r="A363" s="7"/>
      <c r="B363" s="64"/>
      <c r="C363" s="65"/>
      <c r="D363" s="123"/>
      <c r="E363" s="88"/>
      <c r="F363" s="134"/>
      <c r="G363" s="88"/>
      <c r="H363" s="134"/>
      <c r="I363" s="119"/>
      <c r="J363" s="119"/>
      <c r="K363" s="119"/>
      <c r="L363" s="88"/>
      <c r="M363" s="88"/>
      <c r="N363" s="88"/>
      <c r="O363" s="134"/>
      <c r="P363" s="88"/>
      <c r="Q363" s="88"/>
      <c r="R363" s="88"/>
      <c r="S363" s="88"/>
      <c r="T363" s="134"/>
      <c r="U363" s="88"/>
      <c r="V363" s="70"/>
      <c r="W363" s="88"/>
      <c r="X363" s="88"/>
      <c r="Y363" s="70"/>
      <c r="Z363" s="70"/>
      <c r="AA363" s="88"/>
      <c r="AB363" s="88"/>
      <c r="AC363" s="71"/>
      <c r="AD363" s="88"/>
      <c r="AE363" s="73"/>
      <c r="AF363" s="74"/>
      <c r="AG363" s="74"/>
      <c r="AH363" s="74" t="str">
        <f aca="false">IF(ISBLANK($C363),"",IF($E363=Constants!$B$2,TRUE(),IF($E363=Constants!$B$3,FALSE(),TRUE())))</f>
        <v/>
      </c>
      <c r="AI363" s="74" t="str">
        <f aca="false">IF(ISBLANK($C363),"",IF($F363=Constants!$B$2,TRUE(),IF($F363=Constants!$B$3,FALSE(),FALSE())))</f>
        <v/>
      </c>
      <c r="AJ363" s="74" t="str">
        <f aca="false">IF(ISBLANK($C363),"",IF($G363=Constants!$B$2,TRUE(),IF($G363=Constants!$B$3,FALSE(),TRUE())))</f>
        <v/>
      </c>
      <c r="AK363" s="74" t="str">
        <f aca="false">IF(ISBLANK($C363),"",IF($H363=Constants!$B$2,TRUE(),IF($H363=Constants!$B$3,FALSE(),TRUE())))</f>
        <v/>
      </c>
      <c r="AL363" s="74" t="str">
        <f aca="false">IF(ISBLANK($C363),"",IF(ISNUMBER($I363),IF($I363&gt;=0,$I363,""),""))</f>
        <v/>
      </c>
      <c r="AM363" s="74" t="str">
        <f aca="false">IF(ISBLANK($C363),"",IF(ISNUMBER($J363),IF($J363&gt;=0,$J363,""),""))</f>
        <v/>
      </c>
      <c r="AN363" s="74" t="str">
        <f aca="false">IF(ISBLANK($C363),"",IF(ISNUMBER($K363),IF($K363&gt;=0,$K363,""),""))</f>
        <v/>
      </c>
      <c r="AO363" s="74" t="str">
        <f aca="false">IF(ISBLANK($C363),"",IF($L363=Constants!$B$2,TRUE(),IF($L363=Constants!$B$3,FALSE(),TRUE())))</f>
        <v/>
      </c>
      <c r="AP363" s="74" t="str">
        <f aca="false">IF(ISBLANK($C363),"",IF($M363=Constants!$B$2,TRUE(),IF($M363=Constants!$B$3,FALSE(),TRUE())))</f>
        <v/>
      </c>
      <c r="AQ363" s="74" t="str">
        <f aca="false">IF(ISBLANK($C363),"",IF($N363=Constants!$B$2,TRUE(),IF($N363=Constants!$B$3,FALSE(),FALSE())))</f>
        <v/>
      </c>
      <c r="AR363" s="74" t="str">
        <f aca="false">IF(ISBLANK($C363),"",IF($O363=Constants!$B$2,TRUE(),IF($O363=Constants!$B$3,FALSE(),TRUE())))</f>
        <v/>
      </c>
      <c r="AS363" s="74" t="str">
        <f aca="false">IF(ISBLANK($C363),"",IF($P363=Constants!$B$2,TRUE(),IF($P363=Constants!$B$3,FALSE(),FALSE())))</f>
        <v/>
      </c>
      <c r="AT363" s="74" t="str">
        <f aca="false">IF(ISBLANK($C363),"",IF($Q363=Constants!$B$2,TRUE(),IF($Q363=Constants!$B$3,FALSE(),FALSE())))</f>
        <v/>
      </c>
      <c r="AU363" s="74" t="str">
        <f aca="false">IF(ISBLANK($C363),"",IF($R363=Constants!$B$2,TRUE(),IF($R363=Constants!$B$3,FALSE(),FALSE())))</f>
        <v/>
      </c>
      <c r="AV363" s="74" t="str">
        <f aca="false">IF(ISBLANK($C363),"",IF($S363=Constants!$B$2,TRUE(),IF($S363=Constants!$B$3,FALSE(),FALSE())))</f>
        <v/>
      </c>
      <c r="AW363" s="74" t="str">
        <f aca="false">IF(ISBLANK($C363),"",IF($T363=Constants!$B$2,TRUE(),IF($T363=Constants!$B$3,FALSE(),FALSE())))</f>
        <v/>
      </c>
      <c r="AX363" s="74" t="str">
        <f aca="false">IF(ISBLANK($C363),"",IF(OR($U363&amp;""="1",$U363&amp;""="2",$U363&amp;""="3",$U363&amp;""="4"),VALUE($U363&amp;""),IF($U363=Constants!$B$12,Constants!$B$12,"")))</f>
        <v/>
      </c>
      <c r="AY363" s="74" t="str">
        <f aca="false">IF(ISBLANK($C363),"",IF(ISBLANK($V363),0,IF(ISNUMBER($V363),IF(AND($V363&gt;=0,$V363&lt;=Constants!$B$21,$V363=INT($V363)),$V363,""),"")))</f>
        <v/>
      </c>
      <c r="AZ363" s="74" t="str">
        <f aca="false">IF(ISBLANK($C363),"",IF(ISBLANK($W363),0,IF(ISNUMBER($W363),IF($W363&gt;=0,$W363,""),"")))</f>
        <v/>
      </c>
      <c r="BA363" s="74" t="str">
        <f aca="false">IF(ISBLANK($C363),"",IF($X363=Constants!$B$2,TRUE(),IF($X363=Constants!$B$3,FALSE(),TRUE())))</f>
        <v/>
      </c>
      <c r="BB363" s="74" t="str">
        <f aca="false">IF(ISBLANK($C363),"",IF($Y363=Constants!$B$2,TRUE(),IF($Y363=Constants!$B$3,FALSE(),FALSE())))</f>
        <v/>
      </c>
      <c r="BC363" s="74" t="str">
        <f aca="false">IF(ISBLANK($C363),"",IF(ISBLANK($Z363),0,IF(ISNUMBER($Z363),IF(AND($Z363&gt;=0,$Z363&lt;=Constants!$B$35,$Z363=INT($Z363)),$Z363,""),"")))</f>
        <v/>
      </c>
      <c r="BD363" s="74" t="str">
        <f aca="false">IF(ISBLANK($C363),"",IF($AA363=Constants!$B$2,TRUE(),IF($AA363=Constants!$B$3,FALSE(),TRUE())))</f>
        <v/>
      </c>
      <c r="BE363" s="74" t="str">
        <f aca="false">IF(ISBLANK($C363),"",IF($AB363=Constants!$B$2,TRUE(),IF($AB363=Constants!$B$3,FALSE(),TRUE())))</f>
        <v/>
      </c>
      <c r="BF363" s="74" t="str">
        <f aca="false">IF(ISBLANK($C363),"",IF(ISNUMBER($AC363),IF($AC363&gt;=0,$AC363,""),""))</f>
        <v/>
      </c>
      <c r="BG363" s="74" t="str">
        <f aca="false">IF(ISBLANK($C363),"",IF($AD363=Constants!$B$2,TRUE(),IF($AD363=Constants!$B$3,FALSE(),FALSE())))</f>
        <v/>
      </c>
      <c r="BH363" s="73" t="str">
        <f aca="false">IF(ISBLANK($C363),"",IF($BG363,Constants!$B$7,IF(COUNTA($E363:$AC363)=0,Constants!$B$6,IF(OR(COUNTA($G363:$AC363)=0,NOT($AK363),$AQ363),Constants!$B$5,IF(OR($CI363&lt;&gt;"",$CJ363,$CK363,$CL363,$CM363,$CN363,$CO363),Constants!$B$8,Constants!$B$4)))))</f>
        <v/>
      </c>
      <c r="BI363" s="74" t="str">
        <f aca="false">IF(ISBLANK($C363),"",IF($BH363&lt;&gt;Constants!$B$4,$BH363,IF(OR(NOT($AH363),NOT($AJ363),NOT($AR363)),Constants!$B$11,IF(OR(NOT($AP363),MAX($AL363,$AM363,$AN363)&gt;Constants!$B$30),Constants!$B$10,Constants!$B$9))))</f>
        <v/>
      </c>
      <c r="BJ363" s="74" t="str">
        <f aca="false">IF($BH363&lt;&gt;Constants!$B$4,"",IF(NOT($AJ363),0,MIN(Constants!$B$35,$BC363)))</f>
        <v/>
      </c>
      <c r="BK363" s="74" t="str">
        <f aca="false">IF($BH363&lt;&gt;Constants!$B$4,"",IF(NOT($AJ363),0,IF($AT363,Constants!$B$18,IF($AS363,Constants!$B$17,0))))</f>
        <v/>
      </c>
      <c r="BL363" s="74" t="str">
        <f aca="false">IF($BH363&lt;&gt;Constants!$B$4,"",IF(NOT($AJ363),0,Constants!$B$19*($AI363+$AU363+$AV363+$AW363)))</f>
        <v/>
      </c>
      <c r="BM363" s="74" t="str">
        <f aca="false">IF($BH363&lt;&gt;Constants!$B$4,"",IF(OR(NOT($AJ363),NOT(ISNUMBER($AX363))),0,CHOOSE($AX363,Constants!$B$13,Constants!$B$14,Constants!$B$15,Constants!$B$16)))</f>
        <v/>
      </c>
      <c r="BN363" s="74" t="str">
        <f aca="false">IF($BH363&lt;&gt;Constants!$B$4,"",IF(NOT($AJ363),0,Constants!$B$20*$AY363))</f>
        <v/>
      </c>
      <c r="BO363" s="74" t="str">
        <f aca="false">IF($BH363&lt;&gt;Constants!$B$4,"",IF(AND($AJ363,$BA363,$BB363),Constants!$B$22,0))</f>
        <v/>
      </c>
      <c r="BP363" s="74" t="str">
        <f aca="false">IF($BH363&lt;&gt;Constants!$B$4,"",IF(OR(NOT($AJ363),NOT($BA363)),0,IF($BF363&gt;=2*$AF$9,0,Constants!$B$23*INT(ROUND(MIN($BF363,$AF$9),6)))))</f>
        <v/>
      </c>
      <c r="BQ363" s="74" t="str">
        <f aca="false">IF($BH363&lt;&gt;Constants!$B$4,"",IF(NOT($AJ363),0,Constants!$B$24*INT(ROUND(MIN($AZ363,$AF$9),6))))</f>
        <v/>
      </c>
      <c r="BR363" s="74" t="str">
        <f aca="false">IF($BH363&lt;&gt;Constants!$B$4,"",IF(AND($AJ363,$BJ363=0),Constants!$B$25,0))</f>
        <v/>
      </c>
      <c r="BS363" s="74" t="str">
        <f aca="false">IF($BH363&lt;&gt;Constants!$B$4,"",MIN(Constants!$B$29,MAX(0,Constants!$B$27*Constants!$B$28*INT(ROUND((Constants!$B$26-$AL363)/Constants!$B$28,6))))+MIN(Constants!$B$29,MAX(0,Constants!$B$27*Constants!$B$28*INT(ROUND((Constants!$B$26-$AM363)/Constants!$B$28,6))))+MIN(Constants!$B$29,MAX(0,Constants!$B$27*Constants!$B$28*INT(ROUND((Constants!$B$26-$AN363)/Constants!$B$28,6)))))</f>
        <v/>
      </c>
      <c r="BT363" s="74" t="str">
        <f aca="false">IF($BH363&lt;&gt;Constants!$B$4,"",IF(NOT($AJ363),0,Constants!$B$31*INT(ROUND(MAX(0,MIN($BF363,2*$AF$9)-$AF$9),6))))</f>
        <v/>
      </c>
      <c r="BU363" s="74" t="str">
        <f aca="false">IF($BH363&lt;&gt;Constants!$B$4,"",Constants!$B$32*(($AL363&gt;Constants!$B$26)+($AM363&gt;Constants!$B$26)+($AN363&gt;Constants!$B$26)))</f>
        <v/>
      </c>
      <c r="BV363" s="74" t="str">
        <f aca="false">IF($BH363&lt;&gt;Constants!$B$4,"",IF(OR(NOT($AJ363),$AO363),0,Constants!$B$33))</f>
        <v/>
      </c>
      <c r="BW363" s="74" t="str">
        <f aca="false">IF($BH363&lt;&gt;Constants!$B$4,"",Constants!$B$34*$BJ363)</f>
        <v/>
      </c>
      <c r="BX363" s="74" t="str">
        <f aca="false">IF($BH363&lt;&gt;Constants!$B$4,"",IF(OR(NOT($AJ363),$BE363),0,Constants!$B$36))</f>
        <v/>
      </c>
      <c r="BY363" s="74" t="str">
        <f aca="false">IF($BH363&lt;&gt;Constants!$B$4,"",IF(OR(NOT($AJ363),$BD363),0,Constants!$B$37))</f>
        <v/>
      </c>
      <c r="BZ363" s="74" t="str">
        <f aca="false">IF($BH363&lt;&gt;Constants!$B$4,"",SUM($BT363:$BY363))</f>
        <v/>
      </c>
      <c r="CA363" s="74" t="str">
        <f aca="false">IF(ISBLANK($C363),"",IF($BH363&lt;&gt;Constants!$B$4,$BH363,SUM($BK363:$BS363)-$BZ363))</f>
        <v/>
      </c>
      <c r="CB363" s="74" t="str">
        <f aca="false">IF(ISBLANK($C363),"",IF($BH363&lt;&gt;Constants!$B$4,$BH363,RANK($CA363,$CA$9:$CA$508)))</f>
        <v/>
      </c>
      <c r="CC363" s="74" t="str">
        <f aca="false">IF(ISBLANK($C363),"",IF($BH363&lt;&gt;Constants!$B$4,$BH363,COUNTIFS($BI$9:$BI$508,"&lt;"&amp;$BI363)+COUNTIFS($BI$9:$BI$508,$BI363,$CB$9:$CB$508,"&lt;"&amp;$CB363)+1))</f>
        <v/>
      </c>
      <c r="CD363" s="74" t="str">
        <f aca="false">IF(ISBLANK($C363),"",IF($BH363&lt;&gt;Constants!$B$4,$BH363,RANK($BZ363,$BZ$9:$BZ$508,1)))</f>
        <v/>
      </c>
      <c r="CE363" s="74" t="str">
        <f aca="false">IF($BH363&lt;&gt;Constants!$B$4,"",$AL363+$AM363+$AN363)</f>
        <v/>
      </c>
      <c r="CF363" s="74" t="str">
        <f aca="false">IF(ISBLANK($C363),"",IF($BH363&lt;&gt;Constants!$B$4,$BH363,RANK($CE363,$CE$9:$CE$508,1)))</f>
        <v/>
      </c>
      <c r="CG363" s="74" t="str">
        <f aca="false">IF(ISBLANK($C363),"",IF($BH363&lt;&gt;Constants!$B$4,$BH363,COUNTIFS($BI$9:$BI$508,"&lt;"&amp;$BI363)+COUNTIFS($BI$9:$BI$508,$BI363,$CB$9:$CB$508,"&lt;"&amp;$CB363)+COUNTIFS($BI$9:$BI$508,$BI363,$CB$9:$CB$508,$CB363,$CD$9:$CD$508,"&lt;"&amp;$CD363)+COUNTIFS($BI$9:$BI$508,$BI363,$CB$9:$CB$508,$CB363,$CD$9:$CD$508,$CD363,$CF$9:$CF$508,"&lt;"&amp;$CF363)+1))</f>
        <v/>
      </c>
      <c r="CH363" s="74" t="str">
        <f aca="false">IF(ISBLANK($C363),"",IF($BH363&lt;&gt;Constants!$B$4,$BH363,$CC363-$CG363))</f>
        <v/>
      </c>
      <c r="CI363" s="74" t="str">
        <f aca="false">IF(ISBLANK($C363),"",IF(NOT($AJ363),"",IF(ISBLANK($D$7),$CI$5,IF(NOT(ISNUMBER($D$7)),$CI$6,""))))</f>
        <v/>
      </c>
      <c r="CJ363" s="74" t="str">
        <f aca="false">IF(ISBLANK($C363),"",OR($AL363="",$AM363="",$AN363=""))</f>
        <v/>
      </c>
      <c r="CK363" s="74" t="str">
        <f aca="false">IF(ISBLANK($C363),"",AND($AJ363,$AX363=""))</f>
        <v/>
      </c>
      <c r="CL363" s="74" t="str">
        <f aca="false">IF(ISBLANK($C363),"",AND($AJ363,$AY363=""))</f>
        <v/>
      </c>
      <c r="CM363" s="74" t="str">
        <f aca="false">IF(ISBLANK($C363),"",AND($AJ363,$AZ363=""))</f>
        <v/>
      </c>
      <c r="CN363" s="74" t="str">
        <f aca="false">IF(ISBLANK($C363),"",AND($AJ363,$BC363=""))</f>
        <v/>
      </c>
      <c r="CO363" s="74" t="str">
        <f aca="false">IF(ISBLANK($C363),"",AND($AJ363,$BF363=""))</f>
        <v/>
      </c>
      <c r="CP363" s="75"/>
      <c r="CQ363" s="76"/>
      <c r="CR363" s="79" t="str">
        <f aca="false">IF(ISBLANK($C363),"",IF($BH363=Constants!$B$8,$CI363,""))</f>
        <v/>
      </c>
      <c r="CS363" s="76" t="str">
        <f aca="false">IF(ISBLANK($C363),"",IF($BH363&lt;&gt;Constants!$B$4,"",$BK363+$BL363))</f>
        <v/>
      </c>
      <c r="CT363" s="78" t="str">
        <f aca="false">IF(ISBLANK($C363),"",IF($BH363&lt;&gt;Constants!$B$4,"",$BM363+$BN363+$BO363))</f>
        <v/>
      </c>
      <c r="CU363" s="78" t="str">
        <f aca="false">IF(ISBLANK($C363),"",IF($BH363&lt;&gt;Constants!$B$4,"",$BP363))</f>
        <v/>
      </c>
      <c r="CV363" s="78" t="str">
        <f aca="false">IF(ISBLANK($C363),"",IF($BH363&lt;&gt;Constants!$B$4,"",$BQ363+$BR363))</f>
        <v/>
      </c>
      <c r="CW363" s="78" t="str">
        <f aca="false">IF(ISBLANK($C363),"",IF($BH363&lt;&gt;Constants!$B$4,"",$BS363))</f>
        <v/>
      </c>
      <c r="CX363" s="78" t="str">
        <f aca="false">IF(ISBLANK($C363),"",IF($BH363&lt;&gt;Constants!$B$4,"",-$BZ363))</f>
        <v/>
      </c>
      <c r="CY363" s="79" t="str">
        <f aca="false">IF(ISBLANK($C363),"",$CA363)</f>
        <v/>
      </c>
      <c r="CZ363" s="80" t="str">
        <f aca="false">IF(ISBLANK($C363),"",$BI363)</f>
        <v/>
      </c>
      <c r="DA363" s="78" t="str">
        <f aca="false">IF(ISBLANK($C363),"",$CH363)</f>
        <v/>
      </c>
      <c r="DB363" s="78" t="str">
        <f aca="false">IF(ISBLANK($C363),"",$CG363)</f>
        <v/>
      </c>
      <c r="DC363" s="81" t="str">
        <f aca="false">IF(ISBLANK($C363),"",IFERROR(_xlfn.SWITCH($DB363,Constants!$B$7,COUNTA($C$9:$C$508)+2,Constants!$B$6,COUNTA($C$9:$C$508)+1,Constants!$B$5,COUNTA($C$9:$C$508)),$DB363))</f>
        <v/>
      </c>
      <c r="DD363" s="7"/>
      <c r="DE363" s="82" t="n">
        <f aca="false">IF(OR(ISNUMBER($DB363),$DB363=Constants!$B$7,$DB363=Constants!$B$5,$DB363=Constants!$B$6),1,0)</f>
        <v>0</v>
      </c>
      <c r="DF363" s="82" t="n">
        <v>355</v>
      </c>
      <c r="DG363" s="82" t="str">
        <f aca="false">IF(ISBLANK($C363),"",IF(ISNUMBER($DC363),$DC363+ROW($B363)/1000,""))</f>
        <v/>
      </c>
      <c r="DH363" s="82" t="str">
        <f aca="false">IF(ISNUMBER($DG363),RANK($DG363,$DG$9:$DG$508,1),"")</f>
        <v/>
      </c>
      <c r="DI363" s="82" t="str">
        <f aca="false">IF(ISBLANK($C363),"",$B363)</f>
        <v/>
      </c>
      <c r="DJ363" s="82" t="str">
        <f aca="false">IF(ISBLANK($C363),"",$C363)</f>
        <v/>
      </c>
      <c r="DK363" s="82" t="str">
        <f aca="false">IF(ISBLANK($C363),"",$D363)</f>
        <v/>
      </c>
      <c r="DL363" s="83" t="str">
        <f aca="false">$CZ363</f>
        <v/>
      </c>
      <c r="DM363" s="84" t="str">
        <f aca="false">$CY363</f>
        <v/>
      </c>
      <c r="DN363" s="82" t="str">
        <f aca="false">IF(ISBLANK($C363),"",$DB363)</f>
        <v/>
      </c>
      <c r="DO363" s="85" t="str">
        <f aca="false">IF($DF363&gt;$DE$8,"",VLOOKUP($DF363,$DH$9:$DN$508,7,FALSE()))</f>
        <v/>
      </c>
      <c r="DP363" s="86" t="str">
        <f aca="false">IF($DF363&gt;$DE$8,"",VLOOKUP($DF363,$DH$9:$DN$508,2,FALSE()))</f>
        <v/>
      </c>
      <c r="DQ363" s="86" t="str">
        <f aca="false">IF($DF363&gt;$DE$8,"",VLOOKUP($DF363,$DH$9:$DN$508,3,FALSE()))</f>
        <v/>
      </c>
      <c r="DR363" s="86" t="str">
        <f aca="false">IF($DF363&gt;$DE$8,"",VLOOKUP($DF363,$DH$9:$DN$508,4,FALSE()))</f>
        <v/>
      </c>
      <c r="DS363" s="86" t="str">
        <f aca="false">IF($DF363&gt;$DE$8,"",VLOOKUP($DF363,$DH$9:$DN$508,5,FALSE()))</f>
        <v/>
      </c>
      <c r="DT363" s="87" t="str">
        <f aca="false">IF($DF363&gt;$DE$8,"",VLOOKUP($DF363,$DH$9:$DN$508,6,FALSE()))</f>
        <v/>
      </c>
      <c r="DU363" s="62"/>
    </row>
    <row r="364" customFormat="false" ht="15.75" hidden="false" customHeight="false" outlineLevel="0" collapsed="false">
      <c r="A364" s="7"/>
      <c r="B364" s="64"/>
      <c r="C364" s="65"/>
      <c r="D364" s="123"/>
      <c r="E364" s="88"/>
      <c r="F364" s="134"/>
      <c r="G364" s="88"/>
      <c r="H364" s="134"/>
      <c r="I364" s="119"/>
      <c r="J364" s="119"/>
      <c r="K364" s="119"/>
      <c r="L364" s="88"/>
      <c r="M364" s="88"/>
      <c r="N364" s="88"/>
      <c r="O364" s="134"/>
      <c r="P364" s="88"/>
      <c r="Q364" s="88"/>
      <c r="R364" s="88"/>
      <c r="S364" s="88"/>
      <c r="T364" s="134"/>
      <c r="U364" s="88"/>
      <c r="V364" s="70"/>
      <c r="W364" s="88"/>
      <c r="X364" s="88"/>
      <c r="Y364" s="70"/>
      <c r="Z364" s="70"/>
      <c r="AA364" s="88"/>
      <c r="AB364" s="88"/>
      <c r="AC364" s="71"/>
      <c r="AD364" s="88"/>
      <c r="AE364" s="73"/>
      <c r="AF364" s="74"/>
      <c r="AG364" s="74"/>
      <c r="AH364" s="74" t="str">
        <f aca="false">IF(ISBLANK($C364),"",IF($E364=Constants!$B$2,TRUE(),IF($E364=Constants!$B$3,FALSE(),TRUE())))</f>
        <v/>
      </c>
      <c r="AI364" s="74" t="str">
        <f aca="false">IF(ISBLANK($C364),"",IF($F364=Constants!$B$2,TRUE(),IF($F364=Constants!$B$3,FALSE(),FALSE())))</f>
        <v/>
      </c>
      <c r="AJ364" s="74" t="str">
        <f aca="false">IF(ISBLANK($C364),"",IF($G364=Constants!$B$2,TRUE(),IF($G364=Constants!$B$3,FALSE(),TRUE())))</f>
        <v/>
      </c>
      <c r="AK364" s="74" t="str">
        <f aca="false">IF(ISBLANK($C364),"",IF($H364=Constants!$B$2,TRUE(),IF($H364=Constants!$B$3,FALSE(),TRUE())))</f>
        <v/>
      </c>
      <c r="AL364" s="74" t="str">
        <f aca="false">IF(ISBLANK($C364),"",IF(ISNUMBER($I364),IF($I364&gt;=0,$I364,""),""))</f>
        <v/>
      </c>
      <c r="AM364" s="74" t="str">
        <f aca="false">IF(ISBLANK($C364),"",IF(ISNUMBER($J364),IF($J364&gt;=0,$J364,""),""))</f>
        <v/>
      </c>
      <c r="AN364" s="74" t="str">
        <f aca="false">IF(ISBLANK($C364),"",IF(ISNUMBER($K364),IF($K364&gt;=0,$K364,""),""))</f>
        <v/>
      </c>
      <c r="AO364" s="74" t="str">
        <f aca="false">IF(ISBLANK($C364),"",IF($L364=Constants!$B$2,TRUE(),IF($L364=Constants!$B$3,FALSE(),TRUE())))</f>
        <v/>
      </c>
      <c r="AP364" s="74" t="str">
        <f aca="false">IF(ISBLANK($C364),"",IF($M364=Constants!$B$2,TRUE(),IF($M364=Constants!$B$3,FALSE(),TRUE())))</f>
        <v/>
      </c>
      <c r="AQ364" s="74" t="str">
        <f aca="false">IF(ISBLANK($C364),"",IF($N364=Constants!$B$2,TRUE(),IF($N364=Constants!$B$3,FALSE(),FALSE())))</f>
        <v/>
      </c>
      <c r="AR364" s="74" t="str">
        <f aca="false">IF(ISBLANK($C364),"",IF($O364=Constants!$B$2,TRUE(),IF($O364=Constants!$B$3,FALSE(),TRUE())))</f>
        <v/>
      </c>
      <c r="AS364" s="74" t="str">
        <f aca="false">IF(ISBLANK($C364),"",IF($P364=Constants!$B$2,TRUE(),IF($P364=Constants!$B$3,FALSE(),FALSE())))</f>
        <v/>
      </c>
      <c r="AT364" s="74" t="str">
        <f aca="false">IF(ISBLANK($C364),"",IF($Q364=Constants!$B$2,TRUE(),IF($Q364=Constants!$B$3,FALSE(),FALSE())))</f>
        <v/>
      </c>
      <c r="AU364" s="74" t="str">
        <f aca="false">IF(ISBLANK($C364),"",IF($R364=Constants!$B$2,TRUE(),IF($R364=Constants!$B$3,FALSE(),FALSE())))</f>
        <v/>
      </c>
      <c r="AV364" s="74" t="str">
        <f aca="false">IF(ISBLANK($C364),"",IF($S364=Constants!$B$2,TRUE(),IF($S364=Constants!$B$3,FALSE(),FALSE())))</f>
        <v/>
      </c>
      <c r="AW364" s="74" t="str">
        <f aca="false">IF(ISBLANK($C364),"",IF($T364=Constants!$B$2,TRUE(),IF($T364=Constants!$B$3,FALSE(),FALSE())))</f>
        <v/>
      </c>
      <c r="AX364" s="74" t="str">
        <f aca="false">IF(ISBLANK($C364),"",IF(OR($U364&amp;""="1",$U364&amp;""="2",$U364&amp;""="3",$U364&amp;""="4"),VALUE($U364&amp;""),IF($U364=Constants!$B$12,Constants!$B$12,"")))</f>
        <v/>
      </c>
      <c r="AY364" s="74" t="str">
        <f aca="false">IF(ISBLANK($C364),"",IF(ISBLANK($V364),0,IF(ISNUMBER($V364),IF(AND($V364&gt;=0,$V364&lt;=Constants!$B$21,$V364=INT($V364)),$V364,""),"")))</f>
        <v/>
      </c>
      <c r="AZ364" s="74" t="str">
        <f aca="false">IF(ISBLANK($C364),"",IF(ISBLANK($W364),0,IF(ISNUMBER($W364),IF($W364&gt;=0,$W364,""),"")))</f>
        <v/>
      </c>
      <c r="BA364" s="74" t="str">
        <f aca="false">IF(ISBLANK($C364),"",IF($X364=Constants!$B$2,TRUE(),IF($X364=Constants!$B$3,FALSE(),TRUE())))</f>
        <v/>
      </c>
      <c r="BB364" s="74" t="str">
        <f aca="false">IF(ISBLANK($C364),"",IF($Y364=Constants!$B$2,TRUE(),IF($Y364=Constants!$B$3,FALSE(),FALSE())))</f>
        <v/>
      </c>
      <c r="BC364" s="74" t="str">
        <f aca="false">IF(ISBLANK($C364),"",IF(ISBLANK($Z364),0,IF(ISNUMBER($Z364),IF(AND($Z364&gt;=0,$Z364&lt;=Constants!$B$35,$Z364=INT($Z364)),$Z364,""),"")))</f>
        <v/>
      </c>
      <c r="BD364" s="74" t="str">
        <f aca="false">IF(ISBLANK($C364),"",IF($AA364=Constants!$B$2,TRUE(),IF($AA364=Constants!$B$3,FALSE(),TRUE())))</f>
        <v/>
      </c>
      <c r="BE364" s="74" t="str">
        <f aca="false">IF(ISBLANK($C364),"",IF($AB364=Constants!$B$2,TRUE(),IF($AB364=Constants!$B$3,FALSE(),TRUE())))</f>
        <v/>
      </c>
      <c r="BF364" s="74" t="str">
        <f aca="false">IF(ISBLANK($C364),"",IF(ISNUMBER($AC364),IF($AC364&gt;=0,$AC364,""),""))</f>
        <v/>
      </c>
      <c r="BG364" s="74" t="str">
        <f aca="false">IF(ISBLANK($C364),"",IF($AD364=Constants!$B$2,TRUE(),IF($AD364=Constants!$B$3,FALSE(),FALSE())))</f>
        <v/>
      </c>
      <c r="BH364" s="73" t="str">
        <f aca="false">IF(ISBLANK($C364),"",IF($BG364,Constants!$B$7,IF(COUNTA($E364:$AC364)=0,Constants!$B$6,IF(OR(COUNTA($G364:$AC364)=0,NOT($AK364),$AQ364),Constants!$B$5,IF(OR($CI364&lt;&gt;"",$CJ364,$CK364,$CL364,$CM364,$CN364,$CO364),Constants!$B$8,Constants!$B$4)))))</f>
        <v/>
      </c>
      <c r="BI364" s="74" t="str">
        <f aca="false">IF(ISBLANK($C364),"",IF($BH364&lt;&gt;Constants!$B$4,$BH364,IF(OR(NOT($AH364),NOT($AJ364),NOT($AR364)),Constants!$B$11,IF(OR(NOT($AP364),MAX($AL364,$AM364,$AN364)&gt;Constants!$B$30),Constants!$B$10,Constants!$B$9))))</f>
        <v/>
      </c>
      <c r="BJ364" s="74" t="str">
        <f aca="false">IF($BH364&lt;&gt;Constants!$B$4,"",IF(NOT($AJ364),0,MIN(Constants!$B$35,$BC364)))</f>
        <v/>
      </c>
      <c r="BK364" s="74" t="str">
        <f aca="false">IF($BH364&lt;&gt;Constants!$B$4,"",IF(NOT($AJ364),0,IF($AT364,Constants!$B$18,IF($AS364,Constants!$B$17,0))))</f>
        <v/>
      </c>
      <c r="BL364" s="74" t="str">
        <f aca="false">IF($BH364&lt;&gt;Constants!$B$4,"",IF(NOT($AJ364),0,Constants!$B$19*($AI364+$AU364+$AV364+$AW364)))</f>
        <v/>
      </c>
      <c r="BM364" s="74" t="str">
        <f aca="false">IF($BH364&lt;&gt;Constants!$B$4,"",IF(OR(NOT($AJ364),NOT(ISNUMBER($AX364))),0,CHOOSE($AX364,Constants!$B$13,Constants!$B$14,Constants!$B$15,Constants!$B$16)))</f>
        <v/>
      </c>
      <c r="BN364" s="74" t="str">
        <f aca="false">IF($BH364&lt;&gt;Constants!$B$4,"",IF(NOT($AJ364),0,Constants!$B$20*$AY364))</f>
        <v/>
      </c>
      <c r="BO364" s="74" t="str">
        <f aca="false">IF($BH364&lt;&gt;Constants!$B$4,"",IF(AND($AJ364,$BA364,$BB364),Constants!$B$22,0))</f>
        <v/>
      </c>
      <c r="BP364" s="74" t="str">
        <f aca="false">IF($BH364&lt;&gt;Constants!$B$4,"",IF(OR(NOT($AJ364),NOT($BA364)),0,IF($BF364&gt;=2*$AF$9,0,Constants!$B$23*INT(ROUND(MIN($BF364,$AF$9),6)))))</f>
        <v/>
      </c>
      <c r="BQ364" s="74" t="str">
        <f aca="false">IF($BH364&lt;&gt;Constants!$B$4,"",IF(NOT($AJ364),0,Constants!$B$24*INT(ROUND(MIN($AZ364,$AF$9),6))))</f>
        <v/>
      </c>
      <c r="BR364" s="74" t="str">
        <f aca="false">IF($BH364&lt;&gt;Constants!$B$4,"",IF(AND($AJ364,$BJ364=0),Constants!$B$25,0))</f>
        <v/>
      </c>
      <c r="BS364" s="74" t="str">
        <f aca="false">IF($BH364&lt;&gt;Constants!$B$4,"",MIN(Constants!$B$29,MAX(0,Constants!$B$27*Constants!$B$28*INT(ROUND((Constants!$B$26-$AL364)/Constants!$B$28,6))))+MIN(Constants!$B$29,MAX(0,Constants!$B$27*Constants!$B$28*INT(ROUND((Constants!$B$26-$AM364)/Constants!$B$28,6))))+MIN(Constants!$B$29,MAX(0,Constants!$B$27*Constants!$B$28*INT(ROUND((Constants!$B$26-$AN364)/Constants!$B$28,6)))))</f>
        <v/>
      </c>
      <c r="BT364" s="74" t="str">
        <f aca="false">IF($BH364&lt;&gt;Constants!$B$4,"",IF(NOT($AJ364),0,Constants!$B$31*INT(ROUND(MAX(0,MIN($BF364,2*$AF$9)-$AF$9),6))))</f>
        <v/>
      </c>
      <c r="BU364" s="74" t="str">
        <f aca="false">IF($BH364&lt;&gt;Constants!$B$4,"",Constants!$B$32*(($AL364&gt;Constants!$B$26)+($AM364&gt;Constants!$B$26)+($AN364&gt;Constants!$B$26)))</f>
        <v/>
      </c>
      <c r="BV364" s="74" t="str">
        <f aca="false">IF($BH364&lt;&gt;Constants!$B$4,"",IF(OR(NOT($AJ364),$AO364),0,Constants!$B$33))</f>
        <v/>
      </c>
      <c r="BW364" s="74" t="str">
        <f aca="false">IF($BH364&lt;&gt;Constants!$B$4,"",Constants!$B$34*$BJ364)</f>
        <v/>
      </c>
      <c r="BX364" s="74" t="str">
        <f aca="false">IF($BH364&lt;&gt;Constants!$B$4,"",IF(OR(NOT($AJ364),$BE364),0,Constants!$B$36))</f>
        <v/>
      </c>
      <c r="BY364" s="74" t="str">
        <f aca="false">IF($BH364&lt;&gt;Constants!$B$4,"",IF(OR(NOT($AJ364),$BD364),0,Constants!$B$37))</f>
        <v/>
      </c>
      <c r="BZ364" s="74" t="str">
        <f aca="false">IF($BH364&lt;&gt;Constants!$B$4,"",SUM($BT364:$BY364))</f>
        <v/>
      </c>
      <c r="CA364" s="74" t="str">
        <f aca="false">IF(ISBLANK($C364),"",IF($BH364&lt;&gt;Constants!$B$4,$BH364,SUM($BK364:$BS364)-$BZ364))</f>
        <v/>
      </c>
      <c r="CB364" s="74" t="str">
        <f aca="false">IF(ISBLANK($C364),"",IF($BH364&lt;&gt;Constants!$B$4,$BH364,RANK($CA364,$CA$9:$CA$508)))</f>
        <v/>
      </c>
      <c r="CC364" s="74" t="str">
        <f aca="false">IF(ISBLANK($C364),"",IF($BH364&lt;&gt;Constants!$B$4,$BH364,COUNTIFS($BI$9:$BI$508,"&lt;"&amp;$BI364)+COUNTIFS($BI$9:$BI$508,$BI364,$CB$9:$CB$508,"&lt;"&amp;$CB364)+1))</f>
        <v/>
      </c>
      <c r="CD364" s="74" t="str">
        <f aca="false">IF(ISBLANK($C364),"",IF($BH364&lt;&gt;Constants!$B$4,$BH364,RANK($BZ364,$BZ$9:$BZ$508,1)))</f>
        <v/>
      </c>
      <c r="CE364" s="74" t="str">
        <f aca="false">IF($BH364&lt;&gt;Constants!$B$4,"",$AL364+$AM364+$AN364)</f>
        <v/>
      </c>
      <c r="CF364" s="74" t="str">
        <f aca="false">IF(ISBLANK($C364),"",IF($BH364&lt;&gt;Constants!$B$4,$BH364,RANK($CE364,$CE$9:$CE$508,1)))</f>
        <v/>
      </c>
      <c r="CG364" s="74" t="str">
        <f aca="false">IF(ISBLANK($C364),"",IF($BH364&lt;&gt;Constants!$B$4,$BH364,COUNTIFS($BI$9:$BI$508,"&lt;"&amp;$BI364)+COUNTIFS($BI$9:$BI$508,$BI364,$CB$9:$CB$508,"&lt;"&amp;$CB364)+COUNTIFS($BI$9:$BI$508,$BI364,$CB$9:$CB$508,$CB364,$CD$9:$CD$508,"&lt;"&amp;$CD364)+COUNTIFS($BI$9:$BI$508,$BI364,$CB$9:$CB$508,$CB364,$CD$9:$CD$508,$CD364,$CF$9:$CF$508,"&lt;"&amp;$CF364)+1))</f>
        <v/>
      </c>
      <c r="CH364" s="74" t="str">
        <f aca="false">IF(ISBLANK($C364),"",IF($BH364&lt;&gt;Constants!$B$4,$BH364,$CC364-$CG364))</f>
        <v/>
      </c>
      <c r="CI364" s="74" t="str">
        <f aca="false">IF(ISBLANK($C364),"",IF(NOT($AJ364),"",IF(ISBLANK($D$7),$CI$5,IF(NOT(ISNUMBER($D$7)),$CI$6,""))))</f>
        <v/>
      </c>
      <c r="CJ364" s="74" t="str">
        <f aca="false">IF(ISBLANK($C364),"",OR($AL364="",$AM364="",$AN364=""))</f>
        <v/>
      </c>
      <c r="CK364" s="74" t="str">
        <f aca="false">IF(ISBLANK($C364),"",AND($AJ364,$AX364=""))</f>
        <v/>
      </c>
      <c r="CL364" s="74" t="str">
        <f aca="false">IF(ISBLANK($C364),"",AND($AJ364,$AY364=""))</f>
        <v/>
      </c>
      <c r="CM364" s="74" t="str">
        <f aca="false">IF(ISBLANK($C364),"",AND($AJ364,$AZ364=""))</f>
        <v/>
      </c>
      <c r="CN364" s="74" t="str">
        <f aca="false">IF(ISBLANK($C364),"",AND($AJ364,$BC364=""))</f>
        <v/>
      </c>
      <c r="CO364" s="74" t="str">
        <f aca="false">IF(ISBLANK($C364),"",AND($AJ364,$BF364=""))</f>
        <v/>
      </c>
      <c r="CP364" s="75"/>
      <c r="CQ364" s="76"/>
      <c r="CR364" s="79" t="str">
        <f aca="false">IF(ISBLANK($C364),"",IF($BH364=Constants!$B$8,$CI364,""))</f>
        <v/>
      </c>
      <c r="CS364" s="76" t="str">
        <f aca="false">IF(ISBLANK($C364),"",IF($BH364&lt;&gt;Constants!$B$4,"",$BK364+$BL364))</f>
        <v/>
      </c>
      <c r="CT364" s="78" t="str">
        <f aca="false">IF(ISBLANK($C364),"",IF($BH364&lt;&gt;Constants!$B$4,"",$BM364+$BN364+$BO364))</f>
        <v/>
      </c>
      <c r="CU364" s="78" t="str">
        <f aca="false">IF(ISBLANK($C364),"",IF($BH364&lt;&gt;Constants!$B$4,"",$BP364))</f>
        <v/>
      </c>
      <c r="CV364" s="78" t="str">
        <f aca="false">IF(ISBLANK($C364),"",IF($BH364&lt;&gt;Constants!$B$4,"",$BQ364+$BR364))</f>
        <v/>
      </c>
      <c r="CW364" s="78" t="str">
        <f aca="false">IF(ISBLANK($C364),"",IF($BH364&lt;&gt;Constants!$B$4,"",$BS364))</f>
        <v/>
      </c>
      <c r="CX364" s="78" t="str">
        <f aca="false">IF(ISBLANK($C364),"",IF($BH364&lt;&gt;Constants!$B$4,"",-$BZ364))</f>
        <v/>
      </c>
      <c r="CY364" s="79" t="str">
        <f aca="false">IF(ISBLANK($C364),"",$CA364)</f>
        <v/>
      </c>
      <c r="CZ364" s="80" t="str">
        <f aca="false">IF(ISBLANK($C364),"",$BI364)</f>
        <v/>
      </c>
      <c r="DA364" s="78" t="str">
        <f aca="false">IF(ISBLANK($C364),"",$CH364)</f>
        <v/>
      </c>
      <c r="DB364" s="78" t="str">
        <f aca="false">IF(ISBLANK($C364),"",$CG364)</f>
        <v/>
      </c>
      <c r="DC364" s="81" t="str">
        <f aca="false">IF(ISBLANK($C364),"",IFERROR(_xlfn.SWITCH($DB364,Constants!$B$7,COUNTA($C$9:$C$508)+2,Constants!$B$6,COUNTA($C$9:$C$508)+1,Constants!$B$5,COUNTA($C$9:$C$508)),$DB364))</f>
        <v/>
      </c>
      <c r="DD364" s="7"/>
      <c r="DE364" s="82" t="n">
        <f aca="false">IF(OR(ISNUMBER($DB364),$DB364=Constants!$B$7,$DB364=Constants!$B$5,$DB364=Constants!$B$6),1,0)</f>
        <v>0</v>
      </c>
      <c r="DF364" s="82" t="n">
        <v>356</v>
      </c>
      <c r="DG364" s="82" t="str">
        <f aca="false">IF(ISBLANK($C364),"",IF(ISNUMBER($DC364),$DC364+ROW($B364)/1000,""))</f>
        <v/>
      </c>
      <c r="DH364" s="82" t="str">
        <f aca="false">IF(ISNUMBER($DG364),RANK($DG364,$DG$9:$DG$508,1),"")</f>
        <v/>
      </c>
      <c r="DI364" s="82" t="str">
        <f aca="false">IF(ISBLANK($C364),"",$B364)</f>
        <v/>
      </c>
      <c r="DJ364" s="82" t="str">
        <f aca="false">IF(ISBLANK($C364),"",$C364)</f>
        <v/>
      </c>
      <c r="DK364" s="82" t="str">
        <f aca="false">IF(ISBLANK($C364),"",$D364)</f>
        <v/>
      </c>
      <c r="DL364" s="83" t="str">
        <f aca="false">$CZ364</f>
        <v/>
      </c>
      <c r="DM364" s="84" t="str">
        <f aca="false">$CY364</f>
        <v/>
      </c>
      <c r="DN364" s="82" t="str">
        <f aca="false">IF(ISBLANK($C364),"",$DB364)</f>
        <v/>
      </c>
      <c r="DO364" s="85" t="str">
        <f aca="false">IF($DF364&gt;$DE$8,"",VLOOKUP($DF364,$DH$9:$DN$508,7,FALSE()))</f>
        <v/>
      </c>
      <c r="DP364" s="86" t="str">
        <f aca="false">IF($DF364&gt;$DE$8,"",VLOOKUP($DF364,$DH$9:$DN$508,2,FALSE()))</f>
        <v/>
      </c>
      <c r="DQ364" s="86" t="str">
        <f aca="false">IF($DF364&gt;$DE$8,"",VLOOKUP($DF364,$DH$9:$DN$508,3,FALSE()))</f>
        <v/>
      </c>
      <c r="DR364" s="86" t="str">
        <f aca="false">IF($DF364&gt;$DE$8,"",VLOOKUP($DF364,$DH$9:$DN$508,4,FALSE()))</f>
        <v/>
      </c>
      <c r="DS364" s="86" t="str">
        <f aca="false">IF($DF364&gt;$DE$8,"",VLOOKUP($DF364,$DH$9:$DN$508,5,FALSE()))</f>
        <v/>
      </c>
      <c r="DT364" s="87" t="str">
        <f aca="false">IF($DF364&gt;$DE$8,"",VLOOKUP($DF364,$DH$9:$DN$508,6,FALSE()))</f>
        <v/>
      </c>
      <c r="DU364" s="62"/>
    </row>
    <row r="365" customFormat="false" ht="15.75" hidden="false" customHeight="false" outlineLevel="0" collapsed="false">
      <c r="A365" s="7"/>
      <c r="B365" s="64"/>
      <c r="C365" s="65"/>
      <c r="D365" s="123"/>
      <c r="E365" s="88"/>
      <c r="F365" s="134"/>
      <c r="G365" s="88"/>
      <c r="H365" s="134"/>
      <c r="I365" s="119"/>
      <c r="J365" s="119"/>
      <c r="K365" s="119"/>
      <c r="L365" s="88"/>
      <c r="M365" s="88"/>
      <c r="N365" s="88"/>
      <c r="O365" s="134"/>
      <c r="P365" s="88"/>
      <c r="Q365" s="88"/>
      <c r="R365" s="88"/>
      <c r="S365" s="88"/>
      <c r="T365" s="134"/>
      <c r="U365" s="88"/>
      <c r="V365" s="70"/>
      <c r="W365" s="88"/>
      <c r="X365" s="88"/>
      <c r="Y365" s="70"/>
      <c r="Z365" s="70"/>
      <c r="AA365" s="88"/>
      <c r="AB365" s="88"/>
      <c r="AC365" s="71"/>
      <c r="AD365" s="88"/>
      <c r="AE365" s="73"/>
      <c r="AF365" s="74"/>
      <c r="AG365" s="74"/>
      <c r="AH365" s="74" t="str">
        <f aca="false">IF(ISBLANK($C365),"",IF($E365=Constants!$B$2,TRUE(),IF($E365=Constants!$B$3,FALSE(),TRUE())))</f>
        <v/>
      </c>
      <c r="AI365" s="74" t="str">
        <f aca="false">IF(ISBLANK($C365),"",IF($F365=Constants!$B$2,TRUE(),IF($F365=Constants!$B$3,FALSE(),FALSE())))</f>
        <v/>
      </c>
      <c r="AJ365" s="74" t="str">
        <f aca="false">IF(ISBLANK($C365),"",IF($G365=Constants!$B$2,TRUE(),IF($G365=Constants!$B$3,FALSE(),TRUE())))</f>
        <v/>
      </c>
      <c r="AK365" s="74" t="str">
        <f aca="false">IF(ISBLANK($C365),"",IF($H365=Constants!$B$2,TRUE(),IF($H365=Constants!$B$3,FALSE(),TRUE())))</f>
        <v/>
      </c>
      <c r="AL365" s="74" t="str">
        <f aca="false">IF(ISBLANK($C365),"",IF(ISNUMBER($I365),IF($I365&gt;=0,$I365,""),""))</f>
        <v/>
      </c>
      <c r="AM365" s="74" t="str">
        <f aca="false">IF(ISBLANK($C365),"",IF(ISNUMBER($J365),IF($J365&gt;=0,$J365,""),""))</f>
        <v/>
      </c>
      <c r="AN365" s="74" t="str">
        <f aca="false">IF(ISBLANK($C365),"",IF(ISNUMBER($K365),IF($K365&gt;=0,$K365,""),""))</f>
        <v/>
      </c>
      <c r="AO365" s="74" t="str">
        <f aca="false">IF(ISBLANK($C365),"",IF($L365=Constants!$B$2,TRUE(),IF($L365=Constants!$B$3,FALSE(),TRUE())))</f>
        <v/>
      </c>
      <c r="AP365" s="74" t="str">
        <f aca="false">IF(ISBLANK($C365),"",IF($M365=Constants!$B$2,TRUE(),IF($M365=Constants!$B$3,FALSE(),TRUE())))</f>
        <v/>
      </c>
      <c r="AQ365" s="74" t="str">
        <f aca="false">IF(ISBLANK($C365),"",IF($N365=Constants!$B$2,TRUE(),IF($N365=Constants!$B$3,FALSE(),FALSE())))</f>
        <v/>
      </c>
      <c r="AR365" s="74" t="str">
        <f aca="false">IF(ISBLANK($C365),"",IF($O365=Constants!$B$2,TRUE(),IF($O365=Constants!$B$3,FALSE(),TRUE())))</f>
        <v/>
      </c>
      <c r="AS365" s="74" t="str">
        <f aca="false">IF(ISBLANK($C365),"",IF($P365=Constants!$B$2,TRUE(),IF($P365=Constants!$B$3,FALSE(),FALSE())))</f>
        <v/>
      </c>
      <c r="AT365" s="74" t="str">
        <f aca="false">IF(ISBLANK($C365),"",IF($Q365=Constants!$B$2,TRUE(),IF($Q365=Constants!$B$3,FALSE(),FALSE())))</f>
        <v/>
      </c>
      <c r="AU365" s="74" t="str">
        <f aca="false">IF(ISBLANK($C365),"",IF($R365=Constants!$B$2,TRUE(),IF($R365=Constants!$B$3,FALSE(),FALSE())))</f>
        <v/>
      </c>
      <c r="AV365" s="74" t="str">
        <f aca="false">IF(ISBLANK($C365),"",IF($S365=Constants!$B$2,TRUE(),IF($S365=Constants!$B$3,FALSE(),FALSE())))</f>
        <v/>
      </c>
      <c r="AW365" s="74" t="str">
        <f aca="false">IF(ISBLANK($C365),"",IF($T365=Constants!$B$2,TRUE(),IF($T365=Constants!$B$3,FALSE(),FALSE())))</f>
        <v/>
      </c>
      <c r="AX365" s="74" t="str">
        <f aca="false">IF(ISBLANK($C365),"",IF(OR($U365&amp;""="1",$U365&amp;""="2",$U365&amp;""="3",$U365&amp;""="4"),VALUE($U365&amp;""),IF($U365=Constants!$B$12,Constants!$B$12,"")))</f>
        <v/>
      </c>
      <c r="AY365" s="74" t="str">
        <f aca="false">IF(ISBLANK($C365),"",IF(ISBLANK($V365),0,IF(ISNUMBER($V365),IF(AND($V365&gt;=0,$V365&lt;=Constants!$B$21,$V365=INT($V365)),$V365,""),"")))</f>
        <v/>
      </c>
      <c r="AZ365" s="74" t="str">
        <f aca="false">IF(ISBLANK($C365),"",IF(ISBLANK($W365),0,IF(ISNUMBER($W365),IF($W365&gt;=0,$W365,""),"")))</f>
        <v/>
      </c>
      <c r="BA365" s="74" t="str">
        <f aca="false">IF(ISBLANK($C365),"",IF($X365=Constants!$B$2,TRUE(),IF($X365=Constants!$B$3,FALSE(),TRUE())))</f>
        <v/>
      </c>
      <c r="BB365" s="74" t="str">
        <f aca="false">IF(ISBLANK($C365),"",IF($Y365=Constants!$B$2,TRUE(),IF($Y365=Constants!$B$3,FALSE(),FALSE())))</f>
        <v/>
      </c>
      <c r="BC365" s="74" t="str">
        <f aca="false">IF(ISBLANK($C365),"",IF(ISBLANK($Z365),0,IF(ISNUMBER($Z365),IF(AND($Z365&gt;=0,$Z365&lt;=Constants!$B$35,$Z365=INT($Z365)),$Z365,""),"")))</f>
        <v/>
      </c>
      <c r="BD365" s="74" t="str">
        <f aca="false">IF(ISBLANK($C365),"",IF($AA365=Constants!$B$2,TRUE(),IF($AA365=Constants!$B$3,FALSE(),TRUE())))</f>
        <v/>
      </c>
      <c r="BE365" s="74" t="str">
        <f aca="false">IF(ISBLANK($C365),"",IF($AB365=Constants!$B$2,TRUE(),IF($AB365=Constants!$B$3,FALSE(),TRUE())))</f>
        <v/>
      </c>
      <c r="BF365" s="74" t="str">
        <f aca="false">IF(ISBLANK($C365),"",IF(ISNUMBER($AC365),IF($AC365&gt;=0,$AC365,""),""))</f>
        <v/>
      </c>
      <c r="BG365" s="74" t="str">
        <f aca="false">IF(ISBLANK($C365),"",IF($AD365=Constants!$B$2,TRUE(),IF($AD365=Constants!$B$3,FALSE(),FALSE())))</f>
        <v/>
      </c>
      <c r="BH365" s="73" t="str">
        <f aca="false">IF(ISBLANK($C365),"",IF($BG365,Constants!$B$7,IF(COUNTA($E365:$AC365)=0,Constants!$B$6,IF(OR(COUNTA($G365:$AC365)=0,NOT($AK365),$AQ365),Constants!$B$5,IF(OR($CI365&lt;&gt;"",$CJ365,$CK365,$CL365,$CM365,$CN365,$CO365),Constants!$B$8,Constants!$B$4)))))</f>
        <v/>
      </c>
      <c r="BI365" s="74" t="str">
        <f aca="false">IF(ISBLANK($C365),"",IF($BH365&lt;&gt;Constants!$B$4,$BH365,IF(OR(NOT($AH365),NOT($AJ365),NOT($AR365)),Constants!$B$11,IF(OR(NOT($AP365),MAX($AL365,$AM365,$AN365)&gt;Constants!$B$30),Constants!$B$10,Constants!$B$9))))</f>
        <v/>
      </c>
      <c r="BJ365" s="74" t="str">
        <f aca="false">IF($BH365&lt;&gt;Constants!$B$4,"",IF(NOT($AJ365),0,MIN(Constants!$B$35,$BC365)))</f>
        <v/>
      </c>
      <c r="BK365" s="74" t="str">
        <f aca="false">IF($BH365&lt;&gt;Constants!$B$4,"",IF(NOT($AJ365),0,IF($AT365,Constants!$B$18,IF($AS365,Constants!$B$17,0))))</f>
        <v/>
      </c>
      <c r="BL365" s="74" t="str">
        <f aca="false">IF($BH365&lt;&gt;Constants!$B$4,"",IF(NOT($AJ365),0,Constants!$B$19*($AI365+$AU365+$AV365+$AW365)))</f>
        <v/>
      </c>
      <c r="BM365" s="74" t="str">
        <f aca="false">IF($BH365&lt;&gt;Constants!$B$4,"",IF(OR(NOT($AJ365),NOT(ISNUMBER($AX365))),0,CHOOSE($AX365,Constants!$B$13,Constants!$B$14,Constants!$B$15,Constants!$B$16)))</f>
        <v/>
      </c>
      <c r="BN365" s="74" t="str">
        <f aca="false">IF($BH365&lt;&gt;Constants!$B$4,"",IF(NOT($AJ365),0,Constants!$B$20*$AY365))</f>
        <v/>
      </c>
      <c r="BO365" s="74" t="str">
        <f aca="false">IF($BH365&lt;&gt;Constants!$B$4,"",IF(AND($AJ365,$BA365,$BB365),Constants!$B$22,0))</f>
        <v/>
      </c>
      <c r="BP365" s="74" t="str">
        <f aca="false">IF($BH365&lt;&gt;Constants!$B$4,"",IF(OR(NOT($AJ365),NOT($BA365)),0,IF($BF365&gt;=2*$AF$9,0,Constants!$B$23*INT(ROUND(MIN($BF365,$AF$9),6)))))</f>
        <v/>
      </c>
      <c r="BQ365" s="74" t="str">
        <f aca="false">IF($BH365&lt;&gt;Constants!$B$4,"",IF(NOT($AJ365),0,Constants!$B$24*INT(ROUND(MIN($AZ365,$AF$9),6))))</f>
        <v/>
      </c>
      <c r="BR365" s="74" t="str">
        <f aca="false">IF($BH365&lt;&gt;Constants!$B$4,"",IF(AND($AJ365,$BJ365=0),Constants!$B$25,0))</f>
        <v/>
      </c>
      <c r="BS365" s="74" t="str">
        <f aca="false">IF($BH365&lt;&gt;Constants!$B$4,"",MIN(Constants!$B$29,MAX(0,Constants!$B$27*Constants!$B$28*INT(ROUND((Constants!$B$26-$AL365)/Constants!$B$28,6))))+MIN(Constants!$B$29,MAX(0,Constants!$B$27*Constants!$B$28*INT(ROUND((Constants!$B$26-$AM365)/Constants!$B$28,6))))+MIN(Constants!$B$29,MAX(0,Constants!$B$27*Constants!$B$28*INT(ROUND((Constants!$B$26-$AN365)/Constants!$B$28,6)))))</f>
        <v/>
      </c>
      <c r="BT365" s="74" t="str">
        <f aca="false">IF($BH365&lt;&gt;Constants!$B$4,"",IF(NOT($AJ365),0,Constants!$B$31*INT(ROUND(MAX(0,MIN($BF365,2*$AF$9)-$AF$9),6))))</f>
        <v/>
      </c>
      <c r="BU365" s="74" t="str">
        <f aca="false">IF($BH365&lt;&gt;Constants!$B$4,"",Constants!$B$32*(($AL365&gt;Constants!$B$26)+($AM365&gt;Constants!$B$26)+($AN365&gt;Constants!$B$26)))</f>
        <v/>
      </c>
      <c r="BV365" s="74" t="str">
        <f aca="false">IF($BH365&lt;&gt;Constants!$B$4,"",IF(OR(NOT($AJ365),$AO365),0,Constants!$B$33))</f>
        <v/>
      </c>
      <c r="BW365" s="74" t="str">
        <f aca="false">IF($BH365&lt;&gt;Constants!$B$4,"",Constants!$B$34*$BJ365)</f>
        <v/>
      </c>
      <c r="BX365" s="74" t="str">
        <f aca="false">IF($BH365&lt;&gt;Constants!$B$4,"",IF(OR(NOT($AJ365),$BE365),0,Constants!$B$36))</f>
        <v/>
      </c>
      <c r="BY365" s="74" t="str">
        <f aca="false">IF($BH365&lt;&gt;Constants!$B$4,"",IF(OR(NOT($AJ365),$BD365),0,Constants!$B$37))</f>
        <v/>
      </c>
      <c r="BZ365" s="74" t="str">
        <f aca="false">IF($BH365&lt;&gt;Constants!$B$4,"",SUM($BT365:$BY365))</f>
        <v/>
      </c>
      <c r="CA365" s="74" t="str">
        <f aca="false">IF(ISBLANK($C365),"",IF($BH365&lt;&gt;Constants!$B$4,$BH365,SUM($BK365:$BS365)-$BZ365))</f>
        <v/>
      </c>
      <c r="CB365" s="74" t="str">
        <f aca="false">IF(ISBLANK($C365),"",IF($BH365&lt;&gt;Constants!$B$4,$BH365,RANK($CA365,$CA$9:$CA$508)))</f>
        <v/>
      </c>
      <c r="CC365" s="74" t="str">
        <f aca="false">IF(ISBLANK($C365),"",IF($BH365&lt;&gt;Constants!$B$4,$BH365,COUNTIFS($BI$9:$BI$508,"&lt;"&amp;$BI365)+COUNTIFS($BI$9:$BI$508,$BI365,$CB$9:$CB$508,"&lt;"&amp;$CB365)+1))</f>
        <v/>
      </c>
      <c r="CD365" s="74" t="str">
        <f aca="false">IF(ISBLANK($C365),"",IF($BH365&lt;&gt;Constants!$B$4,$BH365,RANK($BZ365,$BZ$9:$BZ$508,1)))</f>
        <v/>
      </c>
      <c r="CE365" s="74" t="str">
        <f aca="false">IF($BH365&lt;&gt;Constants!$B$4,"",$AL365+$AM365+$AN365)</f>
        <v/>
      </c>
      <c r="CF365" s="74" t="str">
        <f aca="false">IF(ISBLANK($C365),"",IF($BH365&lt;&gt;Constants!$B$4,$BH365,RANK($CE365,$CE$9:$CE$508,1)))</f>
        <v/>
      </c>
      <c r="CG365" s="74" t="str">
        <f aca="false">IF(ISBLANK($C365),"",IF($BH365&lt;&gt;Constants!$B$4,$BH365,COUNTIFS($BI$9:$BI$508,"&lt;"&amp;$BI365)+COUNTIFS($BI$9:$BI$508,$BI365,$CB$9:$CB$508,"&lt;"&amp;$CB365)+COUNTIFS($BI$9:$BI$508,$BI365,$CB$9:$CB$508,$CB365,$CD$9:$CD$508,"&lt;"&amp;$CD365)+COUNTIFS($BI$9:$BI$508,$BI365,$CB$9:$CB$508,$CB365,$CD$9:$CD$508,$CD365,$CF$9:$CF$508,"&lt;"&amp;$CF365)+1))</f>
        <v/>
      </c>
      <c r="CH365" s="74" t="str">
        <f aca="false">IF(ISBLANK($C365),"",IF($BH365&lt;&gt;Constants!$B$4,$BH365,$CC365-$CG365))</f>
        <v/>
      </c>
      <c r="CI365" s="74" t="str">
        <f aca="false">IF(ISBLANK($C365),"",IF(NOT($AJ365),"",IF(ISBLANK($D$7),$CI$5,IF(NOT(ISNUMBER($D$7)),$CI$6,""))))</f>
        <v/>
      </c>
      <c r="CJ365" s="74" t="str">
        <f aca="false">IF(ISBLANK($C365),"",OR($AL365="",$AM365="",$AN365=""))</f>
        <v/>
      </c>
      <c r="CK365" s="74" t="str">
        <f aca="false">IF(ISBLANK($C365),"",AND($AJ365,$AX365=""))</f>
        <v/>
      </c>
      <c r="CL365" s="74" t="str">
        <f aca="false">IF(ISBLANK($C365),"",AND($AJ365,$AY365=""))</f>
        <v/>
      </c>
      <c r="CM365" s="74" t="str">
        <f aca="false">IF(ISBLANK($C365),"",AND($AJ365,$AZ365=""))</f>
        <v/>
      </c>
      <c r="CN365" s="74" t="str">
        <f aca="false">IF(ISBLANK($C365),"",AND($AJ365,$BC365=""))</f>
        <v/>
      </c>
      <c r="CO365" s="74" t="str">
        <f aca="false">IF(ISBLANK($C365),"",AND($AJ365,$BF365=""))</f>
        <v/>
      </c>
      <c r="CP365" s="75"/>
      <c r="CQ365" s="76"/>
      <c r="CR365" s="79" t="str">
        <f aca="false">IF(ISBLANK($C365),"",IF($BH365=Constants!$B$8,$CI365,""))</f>
        <v/>
      </c>
      <c r="CS365" s="76" t="str">
        <f aca="false">IF(ISBLANK($C365),"",IF($BH365&lt;&gt;Constants!$B$4,"",$BK365+$BL365))</f>
        <v/>
      </c>
      <c r="CT365" s="78" t="str">
        <f aca="false">IF(ISBLANK($C365),"",IF($BH365&lt;&gt;Constants!$B$4,"",$BM365+$BN365+$BO365))</f>
        <v/>
      </c>
      <c r="CU365" s="78" t="str">
        <f aca="false">IF(ISBLANK($C365),"",IF($BH365&lt;&gt;Constants!$B$4,"",$BP365))</f>
        <v/>
      </c>
      <c r="CV365" s="78" t="str">
        <f aca="false">IF(ISBLANK($C365),"",IF($BH365&lt;&gt;Constants!$B$4,"",$BQ365+$BR365))</f>
        <v/>
      </c>
      <c r="CW365" s="78" t="str">
        <f aca="false">IF(ISBLANK($C365),"",IF($BH365&lt;&gt;Constants!$B$4,"",$BS365))</f>
        <v/>
      </c>
      <c r="CX365" s="78" t="str">
        <f aca="false">IF(ISBLANK($C365),"",IF($BH365&lt;&gt;Constants!$B$4,"",-$BZ365))</f>
        <v/>
      </c>
      <c r="CY365" s="79" t="str">
        <f aca="false">IF(ISBLANK($C365),"",$CA365)</f>
        <v/>
      </c>
      <c r="CZ365" s="80" t="str">
        <f aca="false">IF(ISBLANK($C365),"",$BI365)</f>
        <v/>
      </c>
      <c r="DA365" s="78" t="str">
        <f aca="false">IF(ISBLANK($C365),"",$CH365)</f>
        <v/>
      </c>
      <c r="DB365" s="78" t="str">
        <f aca="false">IF(ISBLANK($C365),"",$CG365)</f>
        <v/>
      </c>
      <c r="DC365" s="81" t="str">
        <f aca="false">IF(ISBLANK($C365),"",IFERROR(_xlfn.SWITCH($DB365,Constants!$B$7,COUNTA($C$9:$C$508)+2,Constants!$B$6,COUNTA($C$9:$C$508)+1,Constants!$B$5,COUNTA($C$9:$C$508)),$DB365))</f>
        <v/>
      </c>
      <c r="DD365" s="7"/>
      <c r="DE365" s="82" t="n">
        <f aca="false">IF(OR(ISNUMBER($DB365),$DB365=Constants!$B$7,$DB365=Constants!$B$5,$DB365=Constants!$B$6),1,0)</f>
        <v>0</v>
      </c>
      <c r="DF365" s="82" t="n">
        <v>357</v>
      </c>
      <c r="DG365" s="82" t="str">
        <f aca="false">IF(ISBLANK($C365),"",IF(ISNUMBER($DC365),$DC365+ROW($B365)/1000,""))</f>
        <v/>
      </c>
      <c r="DH365" s="82" t="str">
        <f aca="false">IF(ISNUMBER($DG365),RANK($DG365,$DG$9:$DG$508,1),"")</f>
        <v/>
      </c>
      <c r="DI365" s="82" t="str">
        <f aca="false">IF(ISBLANK($C365),"",$B365)</f>
        <v/>
      </c>
      <c r="DJ365" s="82" t="str">
        <f aca="false">IF(ISBLANK($C365),"",$C365)</f>
        <v/>
      </c>
      <c r="DK365" s="82" t="str">
        <f aca="false">IF(ISBLANK($C365),"",$D365)</f>
        <v/>
      </c>
      <c r="DL365" s="83" t="str">
        <f aca="false">$CZ365</f>
        <v/>
      </c>
      <c r="DM365" s="84" t="str">
        <f aca="false">$CY365</f>
        <v/>
      </c>
      <c r="DN365" s="82" t="str">
        <f aca="false">IF(ISBLANK($C365),"",$DB365)</f>
        <v/>
      </c>
      <c r="DO365" s="85" t="str">
        <f aca="false">IF($DF365&gt;$DE$8,"",VLOOKUP($DF365,$DH$9:$DN$508,7,FALSE()))</f>
        <v/>
      </c>
      <c r="DP365" s="86" t="str">
        <f aca="false">IF($DF365&gt;$DE$8,"",VLOOKUP($DF365,$DH$9:$DN$508,2,FALSE()))</f>
        <v/>
      </c>
      <c r="DQ365" s="86" t="str">
        <f aca="false">IF($DF365&gt;$DE$8,"",VLOOKUP($DF365,$DH$9:$DN$508,3,FALSE()))</f>
        <v/>
      </c>
      <c r="DR365" s="86" t="str">
        <f aca="false">IF($DF365&gt;$DE$8,"",VLOOKUP($DF365,$DH$9:$DN$508,4,FALSE()))</f>
        <v/>
      </c>
      <c r="DS365" s="86" t="str">
        <f aca="false">IF($DF365&gt;$DE$8,"",VLOOKUP($DF365,$DH$9:$DN$508,5,FALSE()))</f>
        <v/>
      </c>
      <c r="DT365" s="87" t="str">
        <f aca="false">IF($DF365&gt;$DE$8,"",VLOOKUP($DF365,$DH$9:$DN$508,6,FALSE()))</f>
        <v/>
      </c>
      <c r="DU365" s="62"/>
    </row>
    <row r="366" customFormat="false" ht="15.75" hidden="false" customHeight="false" outlineLevel="0" collapsed="false">
      <c r="A366" s="7"/>
      <c r="B366" s="90"/>
      <c r="C366" s="91"/>
      <c r="D366" s="126"/>
      <c r="E366" s="130"/>
      <c r="F366" s="135"/>
      <c r="G366" s="130"/>
      <c r="H366" s="135"/>
      <c r="I366" s="131"/>
      <c r="J366" s="131"/>
      <c r="K366" s="131"/>
      <c r="L366" s="130"/>
      <c r="M366" s="130"/>
      <c r="N366" s="130"/>
      <c r="O366" s="135"/>
      <c r="P366" s="130"/>
      <c r="Q366" s="130"/>
      <c r="R366" s="130"/>
      <c r="S366" s="130"/>
      <c r="T366" s="135"/>
      <c r="U366" s="130"/>
      <c r="V366" s="96"/>
      <c r="W366" s="130"/>
      <c r="X366" s="130"/>
      <c r="Y366" s="96"/>
      <c r="Z366" s="96"/>
      <c r="AA366" s="130"/>
      <c r="AB366" s="130"/>
      <c r="AC366" s="97"/>
      <c r="AD366" s="130"/>
      <c r="AE366" s="99"/>
      <c r="AF366" s="100"/>
      <c r="AG366" s="100"/>
      <c r="AH366" s="100" t="str">
        <f aca="false">IF(ISBLANK($C366),"",IF($E366=Constants!$B$2,TRUE(),IF($E366=Constants!$B$3,FALSE(),TRUE())))</f>
        <v/>
      </c>
      <c r="AI366" s="100" t="str">
        <f aca="false">IF(ISBLANK($C366),"",IF($F366=Constants!$B$2,TRUE(),IF($F366=Constants!$B$3,FALSE(),FALSE())))</f>
        <v/>
      </c>
      <c r="AJ366" s="100" t="str">
        <f aca="false">IF(ISBLANK($C366),"",IF($G366=Constants!$B$2,TRUE(),IF($G366=Constants!$B$3,FALSE(),TRUE())))</f>
        <v/>
      </c>
      <c r="AK366" s="100" t="str">
        <f aca="false">IF(ISBLANK($C366),"",IF($H366=Constants!$B$2,TRUE(),IF($H366=Constants!$B$3,FALSE(),TRUE())))</f>
        <v/>
      </c>
      <c r="AL366" s="100" t="str">
        <f aca="false">IF(ISBLANK($C366),"",IF(ISNUMBER($I366),IF($I366&gt;=0,$I366,""),""))</f>
        <v/>
      </c>
      <c r="AM366" s="100" t="str">
        <f aca="false">IF(ISBLANK($C366),"",IF(ISNUMBER($J366),IF($J366&gt;=0,$J366,""),""))</f>
        <v/>
      </c>
      <c r="AN366" s="100" t="str">
        <f aca="false">IF(ISBLANK($C366),"",IF(ISNUMBER($K366),IF($K366&gt;=0,$K366,""),""))</f>
        <v/>
      </c>
      <c r="AO366" s="100" t="str">
        <f aca="false">IF(ISBLANK($C366),"",IF($L366=Constants!$B$2,TRUE(),IF($L366=Constants!$B$3,FALSE(),TRUE())))</f>
        <v/>
      </c>
      <c r="AP366" s="100" t="str">
        <f aca="false">IF(ISBLANK($C366),"",IF($M366=Constants!$B$2,TRUE(),IF($M366=Constants!$B$3,FALSE(),TRUE())))</f>
        <v/>
      </c>
      <c r="AQ366" s="100" t="str">
        <f aca="false">IF(ISBLANK($C366),"",IF($N366=Constants!$B$2,TRUE(),IF($N366=Constants!$B$3,FALSE(),FALSE())))</f>
        <v/>
      </c>
      <c r="AR366" s="100" t="str">
        <f aca="false">IF(ISBLANK($C366),"",IF($O366=Constants!$B$2,TRUE(),IF($O366=Constants!$B$3,FALSE(),TRUE())))</f>
        <v/>
      </c>
      <c r="AS366" s="100" t="str">
        <f aca="false">IF(ISBLANK($C366),"",IF($P366=Constants!$B$2,TRUE(),IF($P366=Constants!$B$3,FALSE(),FALSE())))</f>
        <v/>
      </c>
      <c r="AT366" s="100" t="str">
        <f aca="false">IF(ISBLANK($C366),"",IF($Q366=Constants!$B$2,TRUE(),IF($Q366=Constants!$B$3,FALSE(),FALSE())))</f>
        <v/>
      </c>
      <c r="AU366" s="100" t="str">
        <f aca="false">IF(ISBLANK($C366),"",IF($R366=Constants!$B$2,TRUE(),IF($R366=Constants!$B$3,FALSE(),FALSE())))</f>
        <v/>
      </c>
      <c r="AV366" s="100" t="str">
        <f aca="false">IF(ISBLANK($C366),"",IF($S366=Constants!$B$2,TRUE(),IF($S366=Constants!$B$3,FALSE(),FALSE())))</f>
        <v/>
      </c>
      <c r="AW366" s="100" t="str">
        <f aca="false">IF(ISBLANK($C366),"",IF($T366=Constants!$B$2,TRUE(),IF($T366=Constants!$B$3,FALSE(),FALSE())))</f>
        <v/>
      </c>
      <c r="AX366" s="100" t="str">
        <f aca="false">IF(ISBLANK($C366),"",IF(OR($U366&amp;""="1",$U366&amp;""="2",$U366&amp;""="3",$U366&amp;""="4"),VALUE($U366&amp;""),IF($U366=Constants!$B$12,Constants!$B$12,"")))</f>
        <v/>
      </c>
      <c r="AY366" s="100" t="str">
        <f aca="false">IF(ISBLANK($C366),"",IF(ISBLANK($V366),0,IF(ISNUMBER($V366),IF(AND($V366&gt;=0,$V366&lt;=Constants!$B$21,$V366=INT($V366)),$V366,""),"")))</f>
        <v/>
      </c>
      <c r="AZ366" s="100" t="str">
        <f aca="false">IF(ISBLANK($C366),"",IF(ISBLANK($W366),0,IF(ISNUMBER($W366),IF($W366&gt;=0,$W366,""),"")))</f>
        <v/>
      </c>
      <c r="BA366" s="100" t="str">
        <f aca="false">IF(ISBLANK($C366),"",IF($X366=Constants!$B$2,TRUE(),IF($X366=Constants!$B$3,FALSE(),TRUE())))</f>
        <v/>
      </c>
      <c r="BB366" s="100" t="str">
        <f aca="false">IF(ISBLANK($C366),"",IF($Y366=Constants!$B$2,TRUE(),IF($Y366=Constants!$B$3,FALSE(),FALSE())))</f>
        <v/>
      </c>
      <c r="BC366" s="100" t="str">
        <f aca="false">IF(ISBLANK($C366),"",IF(ISBLANK($Z366),0,IF(ISNUMBER($Z366),IF(AND($Z366&gt;=0,$Z366&lt;=Constants!$B$35,$Z366=INT($Z366)),$Z366,""),"")))</f>
        <v/>
      </c>
      <c r="BD366" s="100" t="str">
        <f aca="false">IF(ISBLANK($C366),"",IF($AA366=Constants!$B$2,TRUE(),IF($AA366=Constants!$B$3,FALSE(),TRUE())))</f>
        <v/>
      </c>
      <c r="BE366" s="100" t="str">
        <f aca="false">IF(ISBLANK($C366),"",IF($AB366=Constants!$B$2,TRUE(),IF($AB366=Constants!$B$3,FALSE(),TRUE())))</f>
        <v/>
      </c>
      <c r="BF366" s="100" t="str">
        <f aca="false">IF(ISBLANK($C366),"",IF(ISNUMBER($AC366),IF($AC366&gt;=0,$AC366,""),""))</f>
        <v/>
      </c>
      <c r="BG366" s="100" t="str">
        <f aca="false">IF(ISBLANK($C366),"",IF($AD366=Constants!$B$2,TRUE(),IF($AD366=Constants!$B$3,FALSE(),FALSE())))</f>
        <v/>
      </c>
      <c r="BH366" s="99" t="str">
        <f aca="false">IF(ISBLANK($C366),"",IF($BG366,Constants!$B$7,IF(COUNTA($E366:$AC366)=0,Constants!$B$6,IF(OR(COUNTA($G366:$AC366)=0,NOT($AK366),$AQ366),Constants!$B$5,IF(OR($CI366&lt;&gt;"",$CJ366,$CK366,$CL366,$CM366,$CN366,$CO366),Constants!$B$8,Constants!$B$4)))))</f>
        <v/>
      </c>
      <c r="BI366" s="100" t="str">
        <f aca="false">IF(ISBLANK($C366),"",IF($BH366&lt;&gt;Constants!$B$4,$BH366,IF(OR(NOT($AH366),NOT($AJ366),NOT($AR366)),Constants!$B$11,IF(OR(NOT($AP366),MAX($AL366,$AM366,$AN366)&gt;Constants!$B$30),Constants!$B$10,Constants!$B$9))))</f>
        <v/>
      </c>
      <c r="BJ366" s="100" t="str">
        <f aca="false">IF($BH366&lt;&gt;Constants!$B$4,"",IF(NOT($AJ366),0,MIN(Constants!$B$35,$BC366)))</f>
        <v/>
      </c>
      <c r="BK366" s="100" t="str">
        <f aca="false">IF($BH366&lt;&gt;Constants!$B$4,"",IF(NOT($AJ366),0,IF($AT366,Constants!$B$18,IF($AS366,Constants!$B$17,0))))</f>
        <v/>
      </c>
      <c r="BL366" s="100" t="str">
        <f aca="false">IF($BH366&lt;&gt;Constants!$B$4,"",IF(NOT($AJ366),0,Constants!$B$19*($AI366+$AU366+$AV366+$AW366)))</f>
        <v/>
      </c>
      <c r="BM366" s="100" t="str">
        <f aca="false">IF($BH366&lt;&gt;Constants!$B$4,"",IF(OR(NOT($AJ366),NOT(ISNUMBER($AX366))),0,CHOOSE($AX366,Constants!$B$13,Constants!$B$14,Constants!$B$15,Constants!$B$16)))</f>
        <v/>
      </c>
      <c r="BN366" s="100" t="str">
        <f aca="false">IF($BH366&lt;&gt;Constants!$B$4,"",IF(NOT($AJ366),0,Constants!$B$20*$AY366))</f>
        <v/>
      </c>
      <c r="BO366" s="100" t="str">
        <f aca="false">IF($BH366&lt;&gt;Constants!$B$4,"",IF(AND($AJ366,$BA366,$BB366),Constants!$B$22,0))</f>
        <v/>
      </c>
      <c r="BP366" s="100" t="str">
        <f aca="false">IF($BH366&lt;&gt;Constants!$B$4,"",IF(OR(NOT($AJ366),NOT($BA366)),0,IF($BF366&gt;=2*$AF$9,0,Constants!$B$23*INT(ROUND(MIN($BF366,$AF$9),6)))))</f>
        <v/>
      </c>
      <c r="BQ366" s="100" t="str">
        <f aca="false">IF($BH366&lt;&gt;Constants!$B$4,"",IF(NOT($AJ366),0,Constants!$B$24*INT(ROUND(MIN($AZ366,$AF$9),6))))</f>
        <v/>
      </c>
      <c r="BR366" s="100" t="str">
        <f aca="false">IF($BH366&lt;&gt;Constants!$B$4,"",IF(AND($AJ366,$BJ366=0),Constants!$B$25,0))</f>
        <v/>
      </c>
      <c r="BS366" s="100" t="str">
        <f aca="false">IF($BH366&lt;&gt;Constants!$B$4,"",MIN(Constants!$B$29,MAX(0,Constants!$B$27*Constants!$B$28*INT(ROUND((Constants!$B$26-$AL366)/Constants!$B$28,6))))+MIN(Constants!$B$29,MAX(0,Constants!$B$27*Constants!$B$28*INT(ROUND((Constants!$B$26-$AM366)/Constants!$B$28,6))))+MIN(Constants!$B$29,MAX(0,Constants!$B$27*Constants!$B$28*INT(ROUND((Constants!$B$26-$AN366)/Constants!$B$28,6)))))</f>
        <v/>
      </c>
      <c r="BT366" s="100" t="str">
        <f aca="false">IF($BH366&lt;&gt;Constants!$B$4,"",IF(NOT($AJ366),0,Constants!$B$31*INT(ROUND(MAX(0,MIN($BF366,2*$AF$9)-$AF$9),6))))</f>
        <v/>
      </c>
      <c r="BU366" s="100" t="str">
        <f aca="false">IF($BH366&lt;&gt;Constants!$B$4,"",Constants!$B$32*(($AL366&gt;Constants!$B$26)+($AM366&gt;Constants!$B$26)+($AN366&gt;Constants!$B$26)))</f>
        <v/>
      </c>
      <c r="BV366" s="100" t="str">
        <f aca="false">IF($BH366&lt;&gt;Constants!$B$4,"",IF(OR(NOT($AJ366),$AO366),0,Constants!$B$33))</f>
        <v/>
      </c>
      <c r="BW366" s="100" t="str">
        <f aca="false">IF($BH366&lt;&gt;Constants!$B$4,"",Constants!$B$34*$BJ366)</f>
        <v/>
      </c>
      <c r="BX366" s="100" t="str">
        <f aca="false">IF($BH366&lt;&gt;Constants!$B$4,"",IF(OR(NOT($AJ366),$BE366),0,Constants!$B$36))</f>
        <v/>
      </c>
      <c r="BY366" s="100" t="str">
        <f aca="false">IF($BH366&lt;&gt;Constants!$B$4,"",IF(OR(NOT($AJ366),$BD366),0,Constants!$B$37))</f>
        <v/>
      </c>
      <c r="BZ366" s="100" t="str">
        <f aca="false">IF($BH366&lt;&gt;Constants!$B$4,"",SUM($BT366:$BY366))</f>
        <v/>
      </c>
      <c r="CA366" s="100" t="str">
        <f aca="false">IF(ISBLANK($C366),"",IF($BH366&lt;&gt;Constants!$B$4,$BH366,SUM($BK366:$BS366)-$BZ366))</f>
        <v/>
      </c>
      <c r="CB366" s="100" t="str">
        <f aca="false">IF(ISBLANK($C366),"",IF($BH366&lt;&gt;Constants!$B$4,$BH366,RANK($CA366,$CA$9:$CA$508)))</f>
        <v/>
      </c>
      <c r="CC366" s="100" t="str">
        <f aca="false">IF(ISBLANK($C366),"",IF($BH366&lt;&gt;Constants!$B$4,$BH366,COUNTIFS($BI$9:$BI$508,"&lt;"&amp;$BI366)+COUNTIFS($BI$9:$BI$508,$BI366,$CB$9:$CB$508,"&lt;"&amp;$CB366)+1))</f>
        <v/>
      </c>
      <c r="CD366" s="100" t="str">
        <f aca="false">IF(ISBLANK($C366),"",IF($BH366&lt;&gt;Constants!$B$4,$BH366,RANK($BZ366,$BZ$9:$BZ$508,1)))</f>
        <v/>
      </c>
      <c r="CE366" s="100" t="str">
        <f aca="false">IF($BH366&lt;&gt;Constants!$B$4,"",$AL366+$AM366+$AN366)</f>
        <v/>
      </c>
      <c r="CF366" s="100" t="str">
        <f aca="false">IF(ISBLANK($C366),"",IF($BH366&lt;&gt;Constants!$B$4,$BH366,RANK($CE366,$CE$9:$CE$508,1)))</f>
        <v/>
      </c>
      <c r="CG366" s="100" t="str">
        <f aca="false">IF(ISBLANK($C366),"",IF($BH366&lt;&gt;Constants!$B$4,$BH366,COUNTIFS($BI$9:$BI$508,"&lt;"&amp;$BI366)+COUNTIFS($BI$9:$BI$508,$BI366,$CB$9:$CB$508,"&lt;"&amp;$CB366)+COUNTIFS($BI$9:$BI$508,$BI366,$CB$9:$CB$508,$CB366,$CD$9:$CD$508,"&lt;"&amp;$CD366)+COUNTIFS($BI$9:$BI$508,$BI366,$CB$9:$CB$508,$CB366,$CD$9:$CD$508,$CD366,$CF$9:$CF$508,"&lt;"&amp;$CF366)+1))</f>
        <v/>
      </c>
      <c r="CH366" s="100" t="str">
        <f aca="false">IF(ISBLANK($C366),"",IF($BH366&lt;&gt;Constants!$B$4,$BH366,$CC366-$CG366))</f>
        <v/>
      </c>
      <c r="CI366" s="100" t="str">
        <f aca="false">IF(ISBLANK($C366),"",IF(NOT($AJ366),"",IF(ISBLANK($D$7),$CI$5,IF(NOT(ISNUMBER($D$7)),$CI$6,""))))</f>
        <v/>
      </c>
      <c r="CJ366" s="100" t="str">
        <f aca="false">IF(ISBLANK($C366),"",OR($AL366="",$AM366="",$AN366=""))</f>
        <v/>
      </c>
      <c r="CK366" s="100" t="str">
        <f aca="false">IF(ISBLANK($C366),"",AND($AJ366,$AX366=""))</f>
        <v/>
      </c>
      <c r="CL366" s="100" t="str">
        <f aca="false">IF(ISBLANK($C366),"",AND($AJ366,$AY366=""))</f>
        <v/>
      </c>
      <c r="CM366" s="100" t="str">
        <f aca="false">IF(ISBLANK($C366),"",AND($AJ366,$AZ366=""))</f>
        <v/>
      </c>
      <c r="CN366" s="100" t="str">
        <f aca="false">IF(ISBLANK($C366),"",AND($AJ366,$BC366=""))</f>
        <v/>
      </c>
      <c r="CO366" s="100" t="str">
        <f aca="false">IF(ISBLANK($C366),"",AND($AJ366,$BF366=""))</f>
        <v/>
      </c>
      <c r="CP366" s="101"/>
      <c r="CQ366" s="102"/>
      <c r="CR366" s="103" t="str">
        <f aca="false">IF(ISBLANK($C366),"",IF($BH366=Constants!$B$8,$CI366,""))</f>
        <v/>
      </c>
      <c r="CS366" s="102" t="str">
        <f aca="false">IF(ISBLANK($C366),"",IF($BH366&lt;&gt;Constants!$B$4,"",$BK366+$BL366))</f>
        <v/>
      </c>
      <c r="CT366" s="104" t="str">
        <f aca="false">IF(ISBLANK($C366),"",IF($BH366&lt;&gt;Constants!$B$4,"",$BM366+$BN366+$BO366))</f>
        <v/>
      </c>
      <c r="CU366" s="104" t="str">
        <f aca="false">IF(ISBLANK($C366),"",IF($BH366&lt;&gt;Constants!$B$4,"",$BP366))</f>
        <v/>
      </c>
      <c r="CV366" s="104" t="str">
        <f aca="false">IF(ISBLANK($C366),"",IF($BH366&lt;&gt;Constants!$B$4,"",$BQ366+$BR366))</f>
        <v/>
      </c>
      <c r="CW366" s="104" t="str">
        <f aca="false">IF(ISBLANK($C366),"",IF($BH366&lt;&gt;Constants!$B$4,"",$BS366))</f>
        <v/>
      </c>
      <c r="CX366" s="104" t="str">
        <f aca="false">IF(ISBLANK($C366),"",IF($BH366&lt;&gt;Constants!$B$4,"",-$BZ366))</f>
        <v/>
      </c>
      <c r="CY366" s="103" t="str">
        <f aca="false">IF(ISBLANK($C366),"",$CA366)</f>
        <v/>
      </c>
      <c r="CZ366" s="105" t="str">
        <f aca="false">IF(ISBLANK($C366),"",$BI366)</f>
        <v/>
      </c>
      <c r="DA366" s="104" t="str">
        <f aca="false">IF(ISBLANK($C366),"",$CH366)</f>
        <v/>
      </c>
      <c r="DB366" s="104" t="str">
        <f aca="false">IF(ISBLANK($C366),"",$CG366)</f>
        <v/>
      </c>
      <c r="DC366" s="106" t="str">
        <f aca="false">IF(ISBLANK($C366),"",IFERROR(_xlfn.SWITCH($DB366,Constants!$B$7,COUNTA($C$9:$C$508)+2,Constants!$B$6,COUNTA($C$9:$C$508)+1,Constants!$B$5,COUNTA($C$9:$C$508)),$DB366))</f>
        <v/>
      </c>
      <c r="DD366" s="7"/>
      <c r="DE366" s="107" t="n">
        <f aca="false">IF(OR(ISNUMBER($DB366),$DB366=Constants!$B$7,$DB366=Constants!$B$5,$DB366=Constants!$B$6),1,0)</f>
        <v>0</v>
      </c>
      <c r="DF366" s="107" t="n">
        <v>358</v>
      </c>
      <c r="DG366" s="107" t="str">
        <f aca="false">IF(ISBLANK($C366),"",IF(ISNUMBER($DC366),$DC366+ROW($B366)/1000,""))</f>
        <v/>
      </c>
      <c r="DH366" s="107" t="str">
        <f aca="false">IF(ISNUMBER($DG366),RANK($DG366,$DG$9:$DG$508,1),"")</f>
        <v/>
      </c>
      <c r="DI366" s="107" t="str">
        <f aca="false">IF(ISBLANK($C366),"",$B366)</f>
        <v/>
      </c>
      <c r="DJ366" s="107" t="str">
        <f aca="false">IF(ISBLANK($C366),"",$C366)</f>
        <v/>
      </c>
      <c r="DK366" s="107" t="str">
        <f aca="false">IF(ISBLANK($C366),"",$D366)</f>
        <v/>
      </c>
      <c r="DL366" s="108" t="str">
        <f aca="false">$CZ366</f>
        <v/>
      </c>
      <c r="DM366" s="109" t="str">
        <f aca="false">$CY366</f>
        <v/>
      </c>
      <c r="DN366" s="107" t="str">
        <f aca="false">IF(ISBLANK($C366),"",$DB366)</f>
        <v/>
      </c>
      <c r="DO366" s="110" t="str">
        <f aca="false">IF($DF366&gt;$DE$8,"",VLOOKUP($DF366,$DH$9:$DN$508,7,FALSE()))</f>
        <v/>
      </c>
      <c r="DP366" s="111" t="str">
        <f aca="false">IF($DF366&gt;$DE$8,"",VLOOKUP($DF366,$DH$9:$DN$508,2,FALSE()))</f>
        <v/>
      </c>
      <c r="DQ366" s="111" t="str">
        <f aca="false">IF($DF366&gt;$DE$8,"",VLOOKUP($DF366,$DH$9:$DN$508,3,FALSE()))</f>
        <v/>
      </c>
      <c r="DR366" s="111" t="str">
        <f aca="false">IF($DF366&gt;$DE$8,"",VLOOKUP($DF366,$DH$9:$DN$508,4,FALSE()))</f>
        <v/>
      </c>
      <c r="DS366" s="111" t="str">
        <f aca="false">IF($DF366&gt;$DE$8,"",VLOOKUP($DF366,$DH$9:$DN$508,5,FALSE()))</f>
        <v/>
      </c>
      <c r="DT366" s="112" t="str">
        <f aca="false">IF($DF366&gt;$DE$8,"",VLOOKUP($DF366,$DH$9:$DN$508,6,FALSE()))</f>
        <v/>
      </c>
      <c r="DU366" s="62"/>
    </row>
    <row r="367" customFormat="false" ht="15.75" hidden="false" customHeight="false" outlineLevel="0" collapsed="false">
      <c r="A367" s="7"/>
      <c r="B367" s="90"/>
      <c r="C367" s="91"/>
      <c r="D367" s="126"/>
      <c r="E367" s="130"/>
      <c r="F367" s="135"/>
      <c r="G367" s="130"/>
      <c r="H367" s="135"/>
      <c r="I367" s="131"/>
      <c r="J367" s="131"/>
      <c r="K367" s="131"/>
      <c r="L367" s="130"/>
      <c r="M367" s="130"/>
      <c r="N367" s="130"/>
      <c r="O367" s="135"/>
      <c r="P367" s="130"/>
      <c r="Q367" s="130"/>
      <c r="R367" s="130"/>
      <c r="S367" s="130"/>
      <c r="T367" s="135"/>
      <c r="U367" s="130"/>
      <c r="V367" s="96"/>
      <c r="W367" s="130"/>
      <c r="X367" s="130"/>
      <c r="Y367" s="96"/>
      <c r="Z367" s="96"/>
      <c r="AA367" s="130"/>
      <c r="AB367" s="130"/>
      <c r="AC367" s="97"/>
      <c r="AD367" s="130"/>
      <c r="AE367" s="99"/>
      <c r="AF367" s="100"/>
      <c r="AG367" s="100"/>
      <c r="AH367" s="100" t="str">
        <f aca="false">IF(ISBLANK($C367),"",IF($E367=Constants!$B$2,TRUE(),IF($E367=Constants!$B$3,FALSE(),TRUE())))</f>
        <v/>
      </c>
      <c r="AI367" s="100" t="str">
        <f aca="false">IF(ISBLANK($C367),"",IF($F367=Constants!$B$2,TRUE(),IF($F367=Constants!$B$3,FALSE(),FALSE())))</f>
        <v/>
      </c>
      <c r="AJ367" s="100" t="str">
        <f aca="false">IF(ISBLANK($C367),"",IF($G367=Constants!$B$2,TRUE(),IF($G367=Constants!$B$3,FALSE(),TRUE())))</f>
        <v/>
      </c>
      <c r="AK367" s="100" t="str">
        <f aca="false">IF(ISBLANK($C367),"",IF($H367=Constants!$B$2,TRUE(),IF($H367=Constants!$B$3,FALSE(),TRUE())))</f>
        <v/>
      </c>
      <c r="AL367" s="100" t="str">
        <f aca="false">IF(ISBLANK($C367),"",IF(ISNUMBER($I367),IF($I367&gt;=0,$I367,""),""))</f>
        <v/>
      </c>
      <c r="AM367" s="100" t="str">
        <f aca="false">IF(ISBLANK($C367),"",IF(ISNUMBER($J367),IF($J367&gt;=0,$J367,""),""))</f>
        <v/>
      </c>
      <c r="AN367" s="100" t="str">
        <f aca="false">IF(ISBLANK($C367),"",IF(ISNUMBER($K367),IF($K367&gt;=0,$K367,""),""))</f>
        <v/>
      </c>
      <c r="AO367" s="100" t="str">
        <f aca="false">IF(ISBLANK($C367),"",IF($L367=Constants!$B$2,TRUE(),IF($L367=Constants!$B$3,FALSE(),TRUE())))</f>
        <v/>
      </c>
      <c r="AP367" s="100" t="str">
        <f aca="false">IF(ISBLANK($C367),"",IF($M367=Constants!$B$2,TRUE(),IF($M367=Constants!$B$3,FALSE(),TRUE())))</f>
        <v/>
      </c>
      <c r="AQ367" s="100" t="str">
        <f aca="false">IF(ISBLANK($C367),"",IF($N367=Constants!$B$2,TRUE(),IF($N367=Constants!$B$3,FALSE(),FALSE())))</f>
        <v/>
      </c>
      <c r="AR367" s="100" t="str">
        <f aca="false">IF(ISBLANK($C367),"",IF($O367=Constants!$B$2,TRUE(),IF($O367=Constants!$B$3,FALSE(),TRUE())))</f>
        <v/>
      </c>
      <c r="AS367" s="100" t="str">
        <f aca="false">IF(ISBLANK($C367),"",IF($P367=Constants!$B$2,TRUE(),IF($P367=Constants!$B$3,FALSE(),FALSE())))</f>
        <v/>
      </c>
      <c r="AT367" s="100" t="str">
        <f aca="false">IF(ISBLANK($C367),"",IF($Q367=Constants!$B$2,TRUE(),IF($Q367=Constants!$B$3,FALSE(),FALSE())))</f>
        <v/>
      </c>
      <c r="AU367" s="100" t="str">
        <f aca="false">IF(ISBLANK($C367),"",IF($R367=Constants!$B$2,TRUE(),IF($R367=Constants!$B$3,FALSE(),FALSE())))</f>
        <v/>
      </c>
      <c r="AV367" s="100" t="str">
        <f aca="false">IF(ISBLANK($C367),"",IF($S367=Constants!$B$2,TRUE(),IF($S367=Constants!$B$3,FALSE(),FALSE())))</f>
        <v/>
      </c>
      <c r="AW367" s="100" t="str">
        <f aca="false">IF(ISBLANK($C367),"",IF($T367=Constants!$B$2,TRUE(),IF($T367=Constants!$B$3,FALSE(),FALSE())))</f>
        <v/>
      </c>
      <c r="AX367" s="100" t="str">
        <f aca="false">IF(ISBLANK($C367),"",IF(OR($U367&amp;""="1",$U367&amp;""="2",$U367&amp;""="3",$U367&amp;""="4"),VALUE($U367&amp;""),IF($U367=Constants!$B$12,Constants!$B$12,"")))</f>
        <v/>
      </c>
      <c r="AY367" s="100" t="str">
        <f aca="false">IF(ISBLANK($C367),"",IF(ISBLANK($V367),0,IF(ISNUMBER($V367),IF(AND($V367&gt;=0,$V367&lt;=Constants!$B$21,$V367=INT($V367)),$V367,""),"")))</f>
        <v/>
      </c>
      <c r="AZ367" s="100" t="str">
        <f aca="false">IF(ISBLANK($C367),"",IF(ISBLANK($W367),0,IF(ISNUMBER($W367),IF($W367&gt;=0,$W367,""),"")))</f>
        <v/>
      </c>
      <c r="BA367" s="100" t="str">
        <f aca="false">IF(ISBLANK($C367),"",IF($X367=Constants!$B$2,TRUE(),IF($X367=Constants!$B$3,FALSE(),TRUE())))</f>
        <v/>
      </c>
      <c r="BB367" s="100" t="str">
        <f aca="false">IF(ISBLANK($C367),"",IF($Y367=Constants!$B$2,TRUE(),IF($Y367=Constants!$B$3,FALSE(),FALSE())))</f>
        <v/>
      </c>
      <c r="BC367" s="100" t="str">
        <f aca="false">IF(ISBLANK($C367),"",IF(ISBLANK($Z367),0,IF(ISNUMBER($Z367),IF(AND($Z367&gt;=0,$Z367&lt;=Constants!$B$35,$Z367=INT($Z367)),$Z367,""),"")))</f>
        <v/>
      </c>
      <c r="BD367" s="100" t="str">
        <f aca="false">IF(ISBLANK($C367),"",IF($AA367=Constants!$B$2,TRUE(),IF($AA367=Constants!$B$3,FALSE(),TRUE())))</f>
        <v/>
      </c>
      <c r="BE367" s="100" t="str">
        <f aca="false">IF(ISBLANK($C367),"",IF($AB367=Constants!$B$2,TRUE(),IF($AB367=Constants!$B$3,FALSE(),TRUE())))</f>
        <v/>
      </c>
      <c r="BF367" s="100" t="str">
        <f aca="false">IF(ISBLANK($C367),"",IF(ISNUMBER($AC367),IF($AC367&gt;=0,$AC367,""),""))</f>
        <v/>
      </c>
      <c r="BG367" s="100" t="str">
        <f aca="false">IF(ISBLANK($C367),"",IF($AD367=Constants!$B$2,TRUE(),IF($AD367=Constants!$B$3,FALSE(),FALSE())))</f>
        <v/>
      </c>
      <c r="BH367" s="99" t="str">
        <f aca="false">IF(ISBLANK($C367),"",IF($BG367,Constants!$B$7,IF(COUNTA($E367:$AC367)=0,Constants!$B$6,IF(OR(COUNTA($G367:$AC367)=0,NOT($AK367),$AQ367),Constants!$B$5,IF(OR($CI367&lt;&gt;"",$CJ367,$CK367,$CL367,$CM367,$CN367,$CO367),Constants!$B$8,Constants!$B$4)))))</f>
        <v/>
      </c>
      <c r="BI367" s="100" t="str">
        <f aca="false">IF(ISBLANK($C367),"",IF($BH367&lt;&gt;Constants!$B$4,$BH367,IF(OR(NOT($AH367),NOT($AJ367),NOT($AR367)),Constants!$B$11,IF(OR(NOT($AP367),MAX($AL367,$AM367,$AN367)&gt;Constants!$B$30),Constants!$B$10,Constants!$B$9))))</f>
        <v/>
      </c>
      <c r="BJ367" s="100" t="str">
        <f aca="false">IF($BH367&lt;&gt;Constants!$B$4,"",IF(NOT($AJ367),0,MIN(Constants!$B$35,$BC367)))</f>
        <v/>
      </c>
      <c r="BK367" s="100" t="str">
        <f aca="false">IF($BH367&lt;&gt;Constants!$B$4,"",IF(NOT($AJ367),0,IF($AT367,Constants!$B$18,IF($AS367,Constants!$B$17,0))))</f>
        <v/>
      </c>
      <c r="BL367" s="100" t="str">
        <f aca="false">IF($BH367&lt;&gt;Constants!$B$4,"",IF(NOT($AJ367),0,Constants!$B$19*($AI367+$AU367+$AV367+$AW367)))</f>
        <v/>
      </c>
      <c r="BM367" s="100" t="str">
        <f aca="false">IF($BH367&lt;&gt;Constants!$B$4,"",IF(OR(NOT($AJ367),NOT(ISNUMBER($AX367))),0,CHOOSE($AX367,Constants!$B$13,Constants!$B$14,Constants!$B$15,Constants!$B$16)))</f>
        <v/>
      </c>
      <c r="BN367" s="100" t="str">
        <f aca="false">IF($BH367&lt;&gt;Constants!$B$4,"",IF(NOT($AJ367),0,Constants!$B$20*$AY367))</f>
        <v/>
      </c>
      <c r="BO367" s="100" t="str">
        <f aca="false">IF($BH367&lt;&gt;Constants!$B$4,"",IF(AND($AJ367,$BA367,$BB367),Constants!$B$22,0))</f>
        <v/>
      </c>
      <c r="BP367" s="100" t="str">
        <f aca="false">IF($BH367&lt;&gt;Constants!$B$4,"",IF(OR(NOT($AJ367),NOT($BA367)),0,IF($BF367&gt;=2*$AF$9,0,Constants!$B$23*INT(ROUND(MIN($BF367,$AF$9),6)))))</f>
        <v/>
      </c>
      <c r="BQ367" s="100" t="str">
        <f aca="false">IF($BH367&lt;&gt;Constants!$B$4,"",IF(NOT($AJ367),0,Constants!$B$24*INT(ROUND(MIN($AZ367,$AF$9),6))))</f>
        <v/>
      </c>
      <c r="BR367" s="100" t="str">
        <f aca="false">IF($BH367&lt;&gt;Constants!$B$4,"",IF(AND($AJ367,$BJ367=0),Constants!$B$25,0))</f>
        <v/>
      </c>
      <c r="BS367" s="100" t="str">
        <f aca="false">IF($BH367&lt;&gt;Constants!$B$4,"",MIN(Constants!$B$29,MAX(0,Constants!$B$27*Constants!$B$28*INT(ROUND((Constants!$B$26-$AL367)/Constants!$B$28,6))))+MIN(Constants!$B$29,MAX(0,Constants!$B$27*Constants!$B$28*INT(ROUND((Constants!$B$26-$AM367)/Constants!$B$28,6))))+MIN(Constants!$B$29,MAX(0,Constants!$B$27*Constants!$B$28*INT(ROUND((Constants!$B$26-$AN367)/Constants!$B$28,6)))))</f>
        <v/>
      </c>
      <c r="BT367" s="100" t="str">
        <f aca="false">IF($BH367&lt;&gt;Constants!$B$4,"",IF(NOT($AJ367),0,Constants!$B$31*INT(ROUND(MAX(0,MIN($BF367,2*$AF$9)-$AF$9),6))))</f>
        <v/>
      </c>
      <c r="BU367" s="100" t="str">
        <f aca="false">IF($BH367&lt;&gt;Constants!$B$4,"",Constants!$B$32*(($AL367&gt;Constants!$B$26)+($AM367&gt;Constants!$B$26)+($AN367&gt;Constants!$B$26)))</f>
        <v/>
      </c>
      <c r="BV367" s="100" t="str">
        <f aca="false">IF($BH367&lt;&gt;Constants!$B$4,"",IF(OR(NOT($AJ367),$AO367),0,Constants!$B$33))</f>
        <v/>
      </c>
      <c r="BW367" s="100" t="str">
        <f aca="false">IF($BH367&lt;&gt;Constants!$B$4,"",Constants!$B$34*$BJ367)</f>
        <v/>
      </c>
      <c r="BX367" s="100" t="str">
        <f aca="false">IF($BH367&lt;&gt;Constants!$B$4,"",IF(OR(NOT($AJ367),$BE367),0,Constants!$B$36))</f>
        <v/>
      </c>
      <c r="BY367" s="100" t="str">
        <f aca="false">IF($BH367&lt;&gt;Constants!$B$4,"",IF(OR(NOT($AJ367),$BD367),0,Constants!$B$37))</f>
        <v/>
      </c>
      <c r="BZ367" s="100" t="str">
        <f aca="false">IF($BH367&lt;&gt;Constants!$B$4,"",SUM($BT367:$BY367))</f>
        <v/>
      </c>
      <c r="CA367" s="100" t="str">
        <f aca="false">IF(ISBLANK($C367),"",IF($BH367&lt;&gt;Constants!$B$4,$BH367,SUM($BK367:$BS367)-$BZ367))</f>
        <v/>
      </c>
      <c r="CB367" s="100" t="str">
        <f aca="false">IF(ISBLANK($C367),"",IF($BH367&lt;&gt;Constants!$B$4,$BH367,RANK($CA367,$CA$9:$CA$508)))</f>
        <v/>
      </c>
      <c r="CC367" s="100" t="str">
        <f aca="false">IF(ISBLANK($C367),"",IF($BH367&lt;&gt;Constants!$B$4,$BH367,COUNTIFS($BI$9:$BI$508,"&lt;"&amp;$BI367)+COUNTIFS($BI$9:$BI$508,$BI367,$CB$9:$CB$508,"&lt;"&amp;$CB367)+1))</f>
        <v/>
      </c>
      <c r="CD367" s="100" t="str">
        <f aca="false">IF(ISBLANK($C367),"",IF($BH367&lt;&gt;Constants!$B$4,$BH367,RANK($BZ367,$BZ$9:$BZ$508,1)))</f>
        <v/>
      </c>
      <c r="CE367" s="100" t="str">
        <f aca="false">IF($BH367&lt;&gt;Constants!$B$4,"",$AL367+$AM367+$AN367)</f>
        <v/>
      </c>
      <c r="CF367" s="100" t="str">
        <f aca="false">IF(ISBLANK($C367),"",IF($BH367&lt;&gt;Constants!$B$4,$BH367,RANK($CE367,$CE$9:$CE$508,1)))</f>
        <v/>
      </c>
      <c r="CG367" s="100" t="str">
        <f aca="false">IF(ISBLANK($C367),"",IF($BH367&lt;&gt;Constants!$B$4,$BH367,COUNTIFS($BI$9:$BI$508,"&lt;"&amp;$BI367)+COUNTIFS($BI$9:$BI$508,$BI367,$CB$9:$CB$508,"&lt;"&amp;$CB367)+COUNTIFS($BI$9:$BI$508,$BI367,$CB$9:$CB$508,$CB367,$CD$9:$CD$508,"&lt;"&amp;$CD367)+COUNTIFS($BI$9:$BI$508,$BI367,$CB$9:$CB$508,$CB367,$CD$9:$CD$508,$CD367,$CF$9:$CF$508,"&lt;"&amp;$CF367)+1))</f>
        <v/>
      </c>
      <c r="CH367" s="100" t="str">
        <f aca="false">IF(ISBLANK($C367),"",IF($BH367&lt;&gt;Constants!$B$4,$BH367,$CC367-$CG367))</f>
        <v/>
      </c>
      <c r="CI367" s="100" t="str">
        <f aca="false">IF(ISBLANK($C367),"",IF(NOT($AJ367),"",IF(ISBLANK($D$7),$CI$5,IF(NOT(ISNUMBER($D$7)),$CI$6,""))))</f>
        <v/>
      </c>
      <c r="CJ367" s="100" t="str">
        <f aca="false">IF(ISBLANK($C367),"",OR($AL367="",$AM367="",$AN367=""))</f>
        <v/>
      </c>
      <c r="CK367" s="100" t="str">
        <f aca="false">IF(ISBLANK($C367),"",AND($AJ367,$AX367=""))</f>
        <v/>
      </c>
      <c r="CL367" s="100" t="str">
        <f aca="false">IF(ISBLANK($C367),"",AND($AJ367,$AY367=""))</f>
        <v/>
      </c>
      <c r="CM367" s="100" t="str">
        <f aca="false">IF(ISBLANK($C367),"",AND($AJ367,$AZ367=""))</f>
        <v/>
      </c>
      <c r="CN367" s="100" t="str">
        <f aca="false">IF(ISBLANK($C367),"",AND($AJ367,$BC367=""))</f>
        <v/>
      </c>
      <c r="CO367" s="100" t="str">
        <f aca="false">IF(ISBLANK($C367),"",AND($AJ367,$BF367=""))</f>
        <v/>
      </c>
      <c r="CP367" s="101"/>
      <c r="CQ367" s="102"/>
      <c r="CR367" s="103" t="str">
        <f aca="false">IF(ISBLANK($C367),"",IF($BH367=Constants!$B$8,$CI367,""))</f>
        <v/>
      </c>
      <c r="CS367" s="102" t="str">
        <f aca="false">IF(ISBLANK($C367),"",IF($BH367&lt;&gt;Constants!$B$4,"",$BK367+$BL367))</f>
        <v/>
      </c>
      <c r="CT367" s="104" t="str">
        <f aca="false">IF(ISBLANK($C367),"",IF($BH367&lt;&gt;Constants!$B$4,"",$BM367+$BN367+$BO367))</f>
        <v/>
      </c>
      <c r="CU367" s="104" t="str">
        <f aca="false">IF(ISBLANK($C367),"",IF($BH367&lt;&gt;Constants!$B$4,"",$BP367))</f>
        <v/>
      </c>
      <c r="CV367" s="104" t="str">
        <f aca="false">IF(ISBLANK($C367),"",IF($BH367&lt;&gt;Constants!$B$4,"",$BQ367+$BR367))</f>
        <v/>
      </c>
      <c r="CW367" s="104" t="str">
        <f aca="false">IF(ISBLANK($C367),"",IF($BH367&lt;&gt;Constants!$B$4,"",$BS367))</f>
        <v/>
      </c>
      <c r="CX367" s="104" t="str">
        <f aca="false">IF(ISBLANK($C367),"",IF($BH367&lt;&gt;Constants!$B$4,"",-$BZ367))</f>
        <v/>
      </c>
      <c r="CY367" s="103" t="str">
        <f aca="false">IF(ISBLANK($C367),"",$CA367)</f>
        <v/>
      </c>
      <c r="CZ367" s="105" t="str">
        <f aca="false">IF(ISBLANK($C367),"",$BI367)</f>
        <v/>
      </c>
      <c r="DA367" s="104" t="str">
        <f aca="false">IF(ISBLANK($C367),"",$CH367)</f>
        <v/>
      </c>
      <c r="DB367" s="104" t="str">
        <f aca="false">IF(ISBLANK($C367),"",$CG367)</f>
        <v/>
      </c>
      <c r="DC367" s="106" t="str">
        <f aca="false">IF(ISBLANK($C367),"",IFERROR(_xlfn.SWITCH($DB367,Constants!$B$7,COUNTA($C$9:$C$508)+2,Constants!$B$6,COUNTA($C$9:$C$508)+1,Constants!$B$5,COUNTA($C$9:$C$508)),$DB367))</f>
        <v/>
      </c>
      <c r="DD367" s="7"/>
      <c r="DE367" s="107" t="n">
        <f aca="false">IF(OR(ISNUMBER($DB367),$DB367=Constants!$B$7,$DB367=Constants!$B$5,$DB367=Constants!$B$6),1,0)</f>
        <v>0</v>
      </c>
      <c r="DF367" s="107" t="n">
        <v>359</v>
      </c>
      <c r="DG367" s="107" t="str">
        <f aca="false">IF(ISBLANK($C367),"",IF(ISNUMBER($DC367),$DC367+ROW($B367)/1000,""))</f>
        <v/>
      </c>
      <c r="DH367" s="107" t="str">
        <f aca="false">IF(ISNUMBER($DG367),RANK($DG367,$DG$9:$DG$508,1),"")</f>
        <v/>
      </c>
      <c r="DI367" s="107" t="str">
        <f aca="false">IF(ISBLANK($C367),"",$B367)</f>
        <v/>
      </c>
      <c r="DJ367" s="107" t="str">
        <f aca="false">IF(ISBLANK($C367),"",$C367)</f>
        <v/>
      </c>
      <c r="DK367" s="107" t="str">
        <f aca="false">IF(ISBLANK($C367),"",$D367)</f>
        <v/>
      </c>
      <c r="DL367" s="108" t="str">
        <f aca="false">$CZ367</f>
        <v/>
      </c>
      <c r="DM367" s="109" t="str">
        <f aca="false">$CY367</f>
        <v/>
      </c>
      <c r="DN367" s="107" t="str">
        <f aca="false">IF(ISBLANK($C367),"",$DB367)</f>
        <v/>
      </c>
      <c r="DO367" s="110" t="str">
        <f aca="false">IF($DF367&gt;$DE$8,"",VLOOKUP($DF367,$DH$9:$DN$508,7,FALSE()))</f>
        <v/>
      </c>
      <c r="DP367" s="111" t="str">
        <f aca="false">IF($DF367&gt;$DE$8,"",VLOOKUP($DF367,$DH$9:$DN$508,2,FALSE()))</f>
        <v/>
      </c>
      <c r="DQ367" s="111" t="str">
        <f aca="false">IF($DF367&gt;$DE$8,"",VLOOKUP($DF367,$DH$9:$DN$508,3,FALSE()))</f>
        <v/>
      </c>
      <c r="DR367" s="111" t="str">
        <f aca="false">IF($DF367&gt;$DE$8,"",VLOOKUP($DF367,$DH$9:$DN$508,4,FALSE()))</f>
        <v/>
      </c>
      <c r="DS367" s="111" t="str">
        <f aca="false">IF($DF367&gt;$DE$8,"",VLOOKUP($DF367,$DH$9:$DN$508,5,FALSE()))</f>
        <v/>
      </c>
      <c r="DT367" s="112" t="str">
        <f aca="false">IF($DF367&gt;$DE$8,"",VLOOKUP($DF367,$DH$9:$DN$508,6,FALSE()))</f>
        <v/>
      </c>
      <c r="DU367" s="62"/>
    </row>
    <row r="368" customFormat="false" ht="15.75" hidden="false" customHeight="false" outlineLevel="0" collapsed="false">
      <c r="A368" s="7"/>
      <c r="B368" s="90"/>
      <c r="C368" s="91"/>
      <c r="D368" s="126"/>
      <c r="E368" s="130"/>
      <c r="F368" s="135"/>
      <c r="G368" s="130"/>
      <c r="H368" s="135"/>
      <c r="I368" s="131"/>
      <c r="J368" s="131"/>
      <c r="K368" s="131"/>
      <c r="L368" s="130"/>
      <c r="M368" s="130"/>
      <c r="N368" s="130"/>
      <c r="O368" s="135"/>
      <c r="P368" s="130"/>
      <c r="Q368" s="130"/>
      <c r="R368" s="130"/>
      <c r="S368" s="130"/>
      <c r="T368" s="135"/>
      <c r="U368" s="130"/>
      <c r="V368" s="96"/>
      <c r="W368" s="130"/>
      <c r="X368" s="130"/>
      <c r="Y368" s="96"/>
      <c r="Z368" s="96"/>
      <c r="AA368" s="130"/>
      <c r="AB368" s="130"/>
      <c r="AC368" s="97"/>
      <c r="AD368" s="130"/>
      <c r="AE368" s="99"/>
      <c r="AF368" s="100"/>
      <c r="AG368" s="100"/>
      <c r="AH368" s="100" t="str">
        <f aca="false">IF(ISBLANK($C368),"",IF($E368=Constants!$B$2,TRUE(),IF($E368=Constants!$B$3,FALSE(),TRUE())))</f>
        <v/>
      </c>
      <c r="AI368" s="100" t="str">
        <f aca="false">IF(ISBLANK($C368),"",IF($F368=Constants!$B$2,TRUE(),IF($F368=Constants!$B$3,FALSE(),FALSE())))</f>
        <v/>
      </c>
      <c r="AJ368" s="100" t="str">
        <f aca="false">IF(ISBLANK($C368),"",IF($G368=Constants!$B$2,TRUE(),IF($G368=Constants!$B$3,FALSE(),TRUE())))</f>
        <v/>
      </c>
      <c r="AK368" s="100" t="str">
        <f aca="false">IF(ISBLANK($C368),"",IF($H368=Constants!$B$2,TRUE(),IF($H368=Constants!$B$3,FALSE(),TRUE())))</f>
        <v/>
      </c>
      <c r="AL368" s="100" t="str">
        <f aca="false">IF(ISBLANK($C368),"",IF(ISNUMBER($I368),IF($I368&gt;=0,$I368,""),""))</f>
        <v/>
      </c>
      <c r="AM368" s="100" t="str">
        <f aca="false">IF(ISBLANK($C368),"",IF(ISNUMBER($J368),IF($J368&gt;=0,$J368,""),""))</f>
        <v/>
      </c>
      <c r="AN368" s="100" t="str">
        <f aca="false">IF(ISBLANK($C368),"",IF(ISNUMBER($K368),IF($K368&gt;=0,$K368,""),""))</f>
        <v/>
      </c>
      <c r="AO368" s="100" t="str">
        <f aca="false">IF(ISBLANK($C368),"",IF($L368=Constants!$B$2,TRUE(),IF($L368=Constants!$B$3,FALSE(),TRUE())))</f>
        <v/>
      </c>
      <c r="AP368" s="100" t="str">
        <f aca="false">IF(ISBLANK($C368),"",IF($M368=Constants!$B$2,TRUE(),IF($M368=Constants!$B$3,FALSE(),TRUE())))</f>
        <v/>
      </c>
      <c r="AQ368" s="100" t="str">
        <f aca="false">IF(ISBLANK($C368),"",IF($N368=Constants!$B$2,TRUE(),IF($N368=Constants!$B$3,FALSE(),FALSE())))</f>
        <v/>
      </c>
      <c r="AR368" s="100" t="str">
        <f aca="false">IF(ISBLANK($C368),"",IF($O368=Constants!$B$2,TRUE(),IF($O368=Constants!$B$3,FALSE(),TRUE())))</f>
        <v/>
      </c>
      <c r="AS368" s="100" t="str">
        <f aca="false">IF(ISBLANK($C368),"",IF($P368=Constants!$B$2,TRUE(),IF($P368=Constants!$B$3,FALSE(),FALSE())))</f>
        <v/>
      </c>
      <c r="AT368" s="100" t="str">
        <f aca="false">IF(ISBLANK($C368),"",IF($Q368=Constants!$B$2,TRUE(),IF($Q368=Constants!$B$3,FALSE(),FALSE())))</f>
        <v/>
      </c>
      <c r="AU368" s="100" t="str">
        <f aca="false">IF(ISBLANK($C368),"",IF($R368=Constants!$B$2,TRUE(),IF($R368=Constants!$B$3,FALSE(),FALSE())))</f>
        <v/>
      </c>
      <c r="AV368" s="100" t="str">
        <f aca="false">IF(ISBLANK($C368),"",IF($S368=Constants!$B$2,TRUE(),IF($S368=Constants!$B$3,FALSE(),FALSE())))</f>
        <v/>
      </c>
      <c r="AW368" s="100" t="str">
        <f aca="false">IF(ISBLANK($C368),"",IF($T368=Constants!$B$2,TRUE(),IF($T368=Constants!$B$3,FALSE(),FALSE())))</f>
        <v/>
      </c>
      <c r="AX368" s="100" t="str">
        <f aca="false">IF(ISBLANK($C368),"",IF(OR($U368&amp;""="1",$U368&amp;""="2",$U368&amp;""="3",$U368&amp;""="4"),VALUE($U368&amp;""),IF($U368=Constants!$B$12,Constants!$B$12,"")))</f>
        <v/>
      </c>
      <c r="AY368" s="100" t="str">
        <f aca="false">IF(ISBLANK($C368),"",IF(ISBLANK($V368),0,IF(ISNUMBER($V368),IF(AND($V368&gt;=0,$V368&lt;=Constants!$B$21,$V368=INT($V368)),$V368,""),"")))</f>
        <v/>
      </c>
      <c r="AZ368" s="100" t="str">
        <f aca="false">IF(ISBLANK($C368),"",IF(ISBLANK($W368),0,IF(ISNUMBER($W368),IF($W368&gt;=0,$W368,""),"")))</f>
        <v/>
      </c>
      <c r="BA368" s="100" t="str">
        <f aca="false">IF(ISBLANK($C368),"",IF($X368=Constants!$B$2,TRUE(),IF($X368=Constants!$B$3,FALSE(),TRUE())))</f>
        <v/>
      </c>
      <c r="BB368" s="100" t="str">
        <f aca="false">IF(ISBLANK($C368),"",IF($Y368=Constants!$B$2,TRUE(),IF($Y368=Constants!$B$3,FALSE(),FALSE())))</f>
        <v/>
      </c>
      <c r="BC368" s="100" t="str">
        <f aca="false">IF(ISBLANK($C368),"",IF(ISBLANK($Z368),0,IF(ISNUMBER($Z368),IF(AND($Z368&gt;=0,$Z368&lt;=Constants!$B$35,$Z368=INT($Z368)),$Z368,""),"")))</f>
        <v/>
      </c>
      <c r="BD368" s="100" t="str">
        <f aca="false">IF(ISBLANK($C368),"",IF($AA368=Constants!$B$2,TRUE(),IF($AA368=Constants!$B$3,FALSE(),TRUE())))</f>
        <v/>
      </c>
      <c r="BE368" s="100" t="str">
        <f aca="false">IF(ISBLANK($C368),"",IF($AB368=Constants!$B$2,TRUE(),IF($AB368=Constants!$B$3,FALSE(),TRUE())))</f>
        <v/>
      </c>
      <c r="BF368" s="100" t="str">
        <f aca="false">IF(ISBLANK($C368),"",IF(ISNUMBER($AC368),IF($AC368&gt;=0,$AC368,""),""))</f>
        <v/>
      </c>
      <c r="BG368" s="100" t="str">
        <f aca="false">IF(ISBLANK($C368),"",IF($AD368=Constants!$B$2,TRUE(),IF($AD368=Constants!$B$3,FALSE(),FALSE())))</f>
        <v/>
      </c>
      <c r="BH368" s="99" t="str">
        <f aca="false">IF(ISBLANK($C368),"",IF($BG368,Constants!$B$7,IF(COUNTA($E368:$AC368)=0,Constants!$B$6,IF(OR(COUNTA($G368:$AC368)=0,NOT($AK368),$AQ368),Constants!$B$5,IF(OR($CI368&lt;&gt;"",$CJ368,$CK368,$CL368,$CM368,$CN368,$CO368),Constants!$B$8,Constants!$B$4)))))</f>
        <v/>
      </c>
      <c r="BI368" s="100" t="str">
        <f aca="false">IF(ISBLANK($C368),"",IF($BH368&lt;&gt;Constants!$B$4,$BH368,IF(OR(NOT($AH368),NOT($AJ368),NOT($AR368)),Constants!$B$11,IF(OR(NOT($AP368),MAX($AL368,$AM368,$AN368)&gt;Constants!$B$30),Constants!$B$10,Constants!$B$9))))</f>
        <v/>
      </c>
      <c r="BJ368" s="100" t="str">
        <f aca="false">IF($BH368&lt;&gt;Constants!$B$4,"",IF(NOT($AJ368),0,MIN(Constants!$B$35,$BC368)))</f>
        <v/>
      </c>
      <c r="BK368" s="100" t="str">
        <f aca="false">IF($BH368&lt;&gt;Constants!$B$4,"",IF(NOT($AJ368),0,IF($AT368,Constants!$B$18,IF($AS368,Constants!$B$17,0))))</f>
        <v/>
      </c>
      <c r="BL368" s="100" t="str">
        <f aca="false">IF($BH368&lt;&gt;Constants!$B$4,"",IF(NOT($AJ368),0,Constants!$B$19*($AI368+$AU368+$AV368+$AW368)))</f>
        <v/>
      </c>
      <c r="BM368" s="100" t="str">
        <f aca="false">IF($BH368&lt;&gt;Constants!$B$4,"",IF(OR(NOT($AJ368),NOT(ISNUMBER($AX368))),0,CHOOSE($AX368,Constants!$B$13,Constants!$B$14,Constants!$B$15,Constants!$B$16)))</f>
        <v/>
      </c>
      <c r="BN368" s="100" t="str">
        <f aca="false">IF($BH368&lt;&gt;Constants!$B$4,"",IF(NOT($AJ368),0,Constants!$B$20*$AY368))</f>
        <v/>
      </c>
      <c r="BO368" s="100" t="str">
        <f aca="false">IF($BH368&lt;&gt;Constants!$B$4,"",IF(AND($AJ368,$BA368,$BB368),Constants!$B$22,0))</f>
        <v/>
      </c>
      <c r="BP368" s="100" t="str">
        <f aca="false">IF($BH368&lt;&gt;Constants!$B$4,"",IF(OR(NOT($AJ368),NOT($BA368)),0,IF($BF368&gt;=2*$AF$9,0,Constants!$B$23*INT(ROUND(MIN($BF368,$AF$9),6)))))</f>
        <v/>
      </c>
      <c r="BQ368" s="100" t="str">
        <f aca="false">IF($BH368&lt;&gt;Constants!$B$4,"",IF(NOT($AJ368),0,Constants!$B$24*INT(ROUND(MIN($AZ368,$AF$9),6))))</f>
        <v/>
      </c>
      <c r="BR368" s="100" t="str">
        <f aca="false">IF($BH368&lt;&gt;Constants!$B$4,"",IF(AND($AJ368,$BJ368=0),Constants!$B$25,0))</f>
        <v/>
      </c>
      <c r="BS368" s="100" t="str">
        <f aca="false">IF($BH368&lt;&gt;Constants!$B$4,"",MIN(Constants!$B$29,MAX(0,Constants!$B$27*Constants!$B$28*INT(ROUND((Constants!$B$26-$AL368)/Constants!$B$28,6))))+MIN(Constants!$B$29,MAX(0,Constants!$B$27*Constants!$B$28*INT(ROUND((Constants!$B$26-$AM368)/Constants!$B$28,6))))+MIN(Constants!$B$29,MAX(0,Constants!$B$27*Constants!$B$28*INT(ROUND((Constants!$B$26-$AN368)/Constants!$B$28,6)))))</f>
        <v/>
      </c>
      <c r="BT368" s="100" t="str">
        <f aca="false">IF($BH368&lt;&gt;Constants!$B$4,"",IF(NOT($AJ368),0,Constants!$B$31*INT(ROUND(MAX(0,MIN($BF368,2*$AF$9)-$AF$9),6))))</f>
        <v/>
      </c>
      <c r="BU368" s="100" t="str">
        <f aca="false">IF($BH368&lt;&gt;Constants!$B$4,"",Constants!$B$32*(($AL368&gt;Constants!$B$26)+($AM368&gt;Constants!$B$26)+($AN368&gt;Constants!$B$26)))</f>
        <v/>
      </c>
      <c r="BV368" s="100" t="str">
        <f aca="false">IF($BH368&lt;&gt;Constants!$B$4,"",IF(OR(NOT($AJ368),$AO368),0,Constants!$B$33))</f>
        <v/>
      </c>
      <c r="BW368" s="100" t="str">
        <f aca="false">IF($BH368&lt;&gt;Constants!$B$4,"",Constants!$B$34*$BJ368)</f>
        <v/>
      </c>
      <c r="BX368" s="100" t="str">
        <f aca="false">IF($BH368&lt;&gt;Constants!$B$4,"",IF(OR(NOT($AJ368),$BE368),0,Constants!$B$36))</f>
        <v/>
      </c>
      <c r="BY368" s="100" t="str">
        <f aca="false">IF($BH368&lt;&gt;Constants!$B$4,"",IF(OR(NOT($AJ368),$BD368),0,Constants!$B$37))</f>
        <v/>
      </c>
      <c r="BZ368" s="100" t="str">
        <f aca="false">IF($BH368&lt;&gt;Constants!$B$4,"",SUM($BT368:$BY368))</f>
        <v/>
      </c>
      <c r="CA368" s="100" t="str">
        <f aca="false">IF(ISBLANK($C368),"",IF($BH368&lt;&gt;Constants!$B$4,$BH368,SUM($BK368:$BS368)-$BZ368))</f>
        <v/>
      </c>
      <c r="CB368" s="100" t="str">
        <f aca="false">IF(ISBLANK($C368),"",IF($BH368&lt;&gt;Constants!$B$4,$BH368,RANK($CA368,$CA$9:$CA$508)))</f>
        <v/>
      </c>
      <c r="CC368" s="100" t="str">
        <f aca="false">IF(ISBLANK($C368),"",IF($BH368&lt;&gt;Constants!$B$4,$BH368,COUNTIFS($BI$9:$BI$508,"&lt;"&amp;$BI368)+COUNTIFS($BI$9:$BI$508,$BI368,$CB$9:$CB$508,"&lt;"&amp;$CB368)+1))</f>
        <v/>
      </c>
      <c r="CD368" s="100" t="str">
        <f aca="false">IF(ISBLANK($C368),"",IF($BH368&lt;&gt;Constants!$B$4,$BH368,RANK($BZ368,$BZ$9:$BZ$508,1)))</f>
        <v/>
      </c>
      <c r="CE368" s="100" t="str">
        <f aca="false">IF($BH368&lt;&gt;Constants!$B$4,"",$AL368+$AM368+$AN368)</f>
        <v/>
      </c>
      <c r="CF368" s="100" t="str">
        <f aca="false">IF(ISBLANK($C368),"",IF($BH368&lt;&gt;Constants!$B$4,$BH368,RANK($CE368,$CE$9:$CE$508,1)))</f>
        <v/>
      </c>
      <c r="CG368" s="100" t="str">
        <f aca="false">IF(ISBLANK($C368),"",IF($BH368&lt;&gt;Constants!$B$4,$BH368,COUNTIFS($BI$9:$BI$508,"&lt;"&amp;$BI368)+COUNTIFS($BI$9:$BI$508,$BI368,$CB$9:$CB$508,"&lt;"&amp;$CB368)+COUNTIFS($BI$9:$BI$508,$BI368,$CB$9:$CB$508,$CB368,$CD$9:$CD$508,"&lt;"&amp;$CD368)+COUNTIFS($BI$9:$BI$508,$BI368,$CB$9:$CB$508,$CB368,$CD$9:$CD$508,$CD368,$CF$9:$CF$508,"&lt;"&amp;$CF368)+1))</f>
        <v/>
      </c>
      <c r="CH368" s="100" t="str">
        <f aca="false">IF(ISBLANK($C368),"",IF($BH368&lt;&gt;Constants!$B$4,$BH368,$CC368-$CG368))</f>
        <v/>
      </c>
      <c r="CI368" s="100" t="str">
        <f aca="false">IF(ISBLANK($C368),"",IF(NOT($AJ368),"",IF(ISBLANK($D$7),$CI$5,IF(NOT(ISNUMBER($D$7)),$CI$6,""))))</f>
        <v/>
      </c>
      <c r="CJ368" s="100" t="str">
        <f aca="false">IF(ISBLANK($C368),"",OR($AL368="",$AM368="",$AN368=""))</f>
        <v/>
      </c>
      <c r="CK368" s="100" t="str">
        <f aca="false">IF(ISBLANK($C368),"",AND($AJ368,$AX368=""))</f>
        <v/>
      </c>
      <c r="CL368" s="100" t="str">
        <f aca="false">IF(ISBLANK($C368),"",AND($AJ368,$AY368=""))</f>
        <v/>
      </c>
      <c r="CM368" s="100" t="str">
        <f aca="false">IF(ISBLANK($C368),"",AND($AJ368,$AZ368=""))</f>
        <v/>
      </c>
      <c r="CN368" s="100" t="str">
        <f aca="false">IF(ISBLANK($C368),"",AND($AJ368,$BC368=""))</f>
        <v/>
      </c>
      <c r="CO368" s="100" t="str">
        <f aca="false">IF(ISBLANK($C368),"",AND($AJ368,$BF368=""))</f>
        <v/>
      </c>
      <c r="CP368" s="101"/>
      <c r="CQ368" s="102"/>
      <c r="CR368" s="103" t="str">
        <f aca="false">IF(ISBLANK($C368),"",IF($BH368=Constants!$B$8,$CI368,""))</f>
        <v/>
      </c>
      <c r="CS368" s="102" t="str">
        <f aca="false">IF(ISBLANK($C368),"",IF($BH368&lt;&gt;Constants!$B$4,"",$BK368+$BL368))</f>
        <v/>
      </c>
      <c r="CT368" s="104" t="str">
        <f aca="false">IF(ISBLANK($C368),"",IF($BH368&lt;&gt;Constants!$B$4,"",$BM368+$BN368+$BO368))</f>
        <v/>
      </c>
      <c r="CU368" s="104" t="str">
        <f aca="false">IF(ISBLANK($C368),"",IF($BH368&lt;&gt;Constants!$B$4,"",$BP368))</f>
        <v/>
      </c>
      <c r="CV368" s="104" t="str">
        <f aca="false">IF(ISBLANK($C368),"",IF($BH368&lt;&gt;Constants!$B$4,"",$BQ368+$BR368))</f>
        <v/>
      </c>
      <c r="CW368" s="104" t="str">
        <f aca="false">IF(ISBLANK($C368),"",IF($BH368&lt;&gt;Constants!$B$4,"",$BS368))</f>
        <v/>
      </c>
      <c r="CX368" s="104" t="str">
        <f aca="false">IF(ISBLANK($C368),"",IF($BH368&lt;&gt;Constants!$B$4,"",-$BZ368))</f>
        <v/>
      </c>
      <c r="CY368" s="103" t="str">
        <f aca="false">IF(ISBLANK($C368),"",$CA368)</f>
        <v/>
      </c>
      <c r="CZ368" s="105" t="str">
        <f aca="false">IF(ISBLANK($C368),"",$BI368)</f>
        <v/>
      </c>
      <c r="DA368" s="104" t="str">
        <f aca="false">IF(ISBLANK($C368),"",$CH368)</f>
        <v/>
      </c>
      <c r="DB368" s="104" t="str">
        <f aca="false">IF(ISBLANK($C368),"",$CG368)</f>
        <v/>
      </c>
      <c r="DC368" s="106" t="str">
        <f aca="false">IF(ISBLANK($C368),"",IFERROR(_xlfn.SWITCH($DB368,Constants!$B$7,COUNTA($C$9:$C$508)+2,Constants!$B$6,COUNTA($C$9:$C$508)+1,Constants!$B$5,COUNTA($C$9:$C$508)),$DB368))</f>
        <v/>
      </c>
      <c r="DD368" s="7"/>
      <c r="DE368" s="107" t="n">
        <f aca="false">IF(OR(ISNUMBER($DB368),$DB368=Constants!$B$7,$DB368=Constants!$B$5,$DB368=Constants!$B$6),1,0)</f>
        <v>0</v>
      </c>
      <c r="DF368" s="107" t="n">
        <v>360</v>
      </c>
      <c r="DG368" s="107" t="str">
        <f aca="false">IF(ISBLANK($C368),"",IF(ISNUMBER($DC368),$DC368+ROW($B368)/1000,""))</f>
        <v/>
      </c>
      <c r="DH368" s="107" t="str">
        <f aca="false">IF(ISNUMBER($DG368),RANK($DG368,$DG$9:$DG$508,1),"")</f>
        <v/>
      </c>
      <c r="DI368" s="107" t="str">
        <f aca="false">IF(ISBLANK($C368),"",$B368)</f>
        <v/>
      </c>
      <c r="DJ368" s="107" t="str">
        <f aca="false">IF(ISBLANK($C368),"",$C368)</f>
        <v/>
      </c>
      <c r="DK368" s="107" t="str">
        <f aca="false">IF(ISBLANK($C368),"",$D368)</f>
        <v/>
      </c>
      <c r="DL368" s="108" t="str">
        <f aca="false">$CZ368</f>
        <v/>
      </c>
      <c r="DM368" s="109" t="str">
        <f aca="false">$CY368</f>
        <v/>
      </c>
      <c r="DN368" s="107" t="str">
        <f aca="false">IF(ISBLANK($C368),"",$DB368)</f>
        <v/>
      </c>
      <c r="DO368" s="110" t="str">
        <f aca="false">IF($DF368&gt;$DE$8,"",VLOOKUP($DF368,$DH$9:$DN$508,7,FALSE()))</f>
        <v/>
      </c>
      <c r="DP368" s="111" t="str">
        <f aca="false">IF($DF368&gt;$DE$8,"",VLOOKUP($DF368,$DH$9:$DN$508,2,FALSE()))</f>
        <v/>
      </c>
      <c r="DQ368" s="111" t="str">
        <f aca="false">IF($DF368&gt;$DE$8,"",VLOOKUP($DF368,$DH$9:$DN$508,3,FALSE()))</f>
        <v/>
      </c>
      <c r="DR368" s="111" t="str">
        <f aca="false">IF($DF368&gt;$DE$8,"",VLOOKUP($DF368,$DH$9:$DN$508,4,FALSE()))</f>
        <v/>
      </c>
      <c r="DS368" s="111" t="str">
        <f aca="false">IF($DF368&gt;$DE$8,"",VLOOKUP($DF368,$DH$9:$DN$508,5,FALSE()))</f>
        <v/>
      </c>
      <c r="DT368" s="112" t="str">
        <f aca="false">IF($DF368&gt;$DE$8,"",VLOOKUP($DF368,$DH$9:$DN$508,6,FALSE()))</f>
        <v/>
      </c>
      <c r="DU368" s="62"/>
    </row>
    <row r="369" customFormat="false" ht="15.75" hidden="false" customHeight="false" outlineLevel="0" collapsed="false">
      <c r="A369" s="7"/>
      <c r="B369" s="64"/>
      <c r="C369" s="65"/>
      <c r="D369" s="123"/>
      <c r="E369" s="88"/>
      <c r="F369" s="134"/>
      <c r="G369" s="88"/>
      <c r="H369" s="134"/>
      <c r="I369" s="119"/>
      <c r="J369" s="119"/>
      <c r="K369" s="119"/>
      <c r="L369" s="88"/>
      <c r="M369" s="88"/>
      <c r="N369" s="88"/>
      <c r="O369" s="134"/>
      <c r="P369" s="88"/>
      <c r="Q369" s="88"/>
      <c r="R369" s="88"/>
      <c r="S369" s="88"/>
      <c r="T369" s="134"/>
      <c r="U369" s="88"/>
      <c r="V369" s="70"/>
      <c r="W369" s="88"/>
      <c r="X369" s="88"/>
      <c r="Y369" s="70"/>
      <c r="Z369" s="70"/>
      <c r="AA369" s="88"/>
      <c r="AB369" s="88"/>
      <c r="AC369" s="71"/>
      <c r="AD369" s="88"/>
      <c r="AE369" s="73"/>
      <c r="AF369" s="74"/>
      <c r="AG369" s="74"/>
      <c r="AH369" s="74" t="str">
        <f aca="false">IF(ISBLANK($C369),"",IF($E369=Constants!$B$2,TRUE(),IF($E369=Constants!$B$3,FALSE(),TRUE())))</f>
        <v/>
      </c>
      <c r="AI369" s="74" t="str">
        <f aca="false">IF(ISBLANK($C369),"",IF($F369=Constants!$B$2,TRUE(),IF($F369=Constants!$B$3,FALSE(),FALSE())))</f>
        <v/>
      </c>
      <c r="AJ369" s="74" t="str">
        <f aca="false">IF(ISBLANK($C369),"",IF($G369=Constants!$B$2,TRUE(),IF($G369=Constants!$B$3,FALSE(),TRUE())))</f>
        <v/>
      </c>
      <c r="AK369" s="74" t="str">
        <f aca="false">IF(ISBLANK($C369),"",IF($H369=Constants!$B$2,TRUE(),IF($H369=Constants!$B$3,FALSE(),TRUE())))</f>
        <v/>
      </c>
      <c r="AL369" s="74" t="str">
        <f aca="false">IF(ISBLANK($C369),"",IF(ISNUMBER($I369),IF($I369&gt;=0,$I369,""),""))</f>
        <v/>
      </c>
      <c r="AM369" s="74" t="str">
        <f aca="false">IF(ISBLANK($C369),"",IF(ISNUMBER($J369),IF($J369&gt;=0,$J369,""),""))</f>
        <v/>
      </c>
      <c r="AN369" s="74" t="str">
        <f aca="false">IF(ISBLANK($C369),"",IF(ISNUMBER($K369),IF($K369&gt;=0,$K369,""),""))</f>
        <v/>
      </c>
      <c r="AO369" s="74" t="str">
        <f aca="false">IF(ISBLANK($C369),"",IF($L369=Constants!$B$2,TRUE(),IF($L369=Constants!$B$3,FALSE(),TRUE())))</f>
        <v/>
      </c>
      <c r="AP369" s="74" t="str">
        <f aca="false">IF(ISBLANK($C369),"",IF($M369=Constants!$B$2,TRUE(),IF($M369=Constants!$B$3,FALSE(),TRUE())))</f>
        <v/>
      </c>
      <c r="AQ369" s="74" t="str">
        <f aca="false">IF(ISBLANK($C369),"",IF($N369=Constants!$B$2,TRUE(),IF($N369=Constants!$B$3,FALSE(),FALSE())))</f>
        <v/>
      </c>
      <c r="AR369" s="74" t="str">
        <f aca="false">IF(ISBLANK($C369),"",IF($O369=Constants!$B$2,TRUE(),IF($O369=Constants!$B$3,FALSE(),TRUE())))</f>
        <v/>
      </c>
      <c r="AS369" s="74" t="str">
        <f aca="false">IF(ISBLANK($C369),"",IF($P369=Constants!$B$2,TRUE(),IF($P369=Constants!$B$3,FALSE(),FALSE())))</f>
        <v/>
      </c>
      <c r="AT369" s="74" t="str">
        <f aca="false">IF(ISBLANK($C369),"",IF($Q369=Constants!$B$2,TRUE(),IF($Q369=Constants!$B$3,FALSE(),FALSE())))</f>
        <v/>
      </c>
      <c r="AU369" s="74" t="str">
        <f aca="false">IF(ISBLANK($C369),"",IF($R369=Constants!$B$2,TRUE(),IF($R369=Constants!$B$3,FALSE(),FALSE())))</f>
        <v/>
      </c>
      <c r="AV369" s="74" t="str">
        <f aca="false">IF(ISBLANK($C369),"",IF($S369=Constants!$B$2,TRUE(),IF($S369=Constants!$B$3,FALSE(),FALSE())))</f>
        <v/>
      </c>
      <c r="AW369" s="74" t="str">
        <f aca="false">IF(ISBLANK($C369),"",IF($T369=Constants!$B$2,TRUE(),IF($T369=Constants!$B$3,FALSE(),FALSE())))</f>
        <v/>
      </c>
      <c r="AX369" s="74" t="str">
        <f aca="false">IF(ISBLANK($C369),"",IF(OR($U369&amp;""="1",$U369&amp;""="2",$U369&amp;""="3",$U369&amp;""="4"),VALUE($U369&amp;""),IF($U369=Constants!$B$12,Constants!$B$12,"")))</f>
        <v/>
      </c>
      <c r="AY369" s="74" t="str">
        <f aca="false">IF(ISBLANK($C369),"",IF(ISBLANK($V369),0,IF(ISNUMBER($V369),IF(AND($V369&gt;=0,$V369&lt;=Constants!$B$21,$V369=INT($V369)),$V369,""),"")))</f>
        <v/>
      </c>
      <c r="AZ369" s="74" t="str">
        <f aca="false">IF(ISBLANK($C369),"",IF(ISBLANK($W369),0,IF(ISNUMBER($W369),IF($W369&gt;=0,$W369,""),"")))</f>
        <v/>
      </c>
      <c r="BA369" s="74" t="str">
        <f aca="false">IF(ISBLANK($C369),"",IF($X369=Constants!$B$2,TRUE(),IF($X369=Constants!$B$3,FALSE(),TRUE())))</f>
        <v/>
      </c>
      <c r="BB369" s="74" t="str">
        <f aca="false">IF(ISBLANK($C369),"",IF($Y369=Constants!$B$2,TRUE(),IF($Y369=Constants!$B$3,FALSE(),FALSE())))</f>
        <v/>
      </c>
      <c r="BC369" s="74" t="str">
        <f aca="false">IF(ISBLANK($C369),"",IF(ISBLANK($Z369),0,IF(ISNUMBER($Z369),IF(AND($Z369&gt;=0,$Z369&lt;=Constants!$B$35,$Z369=INT($Z369)),$Z369,""),"")))</f>
        <v/>
      </c>
      <c r="BD369" s="74" t="str">
        <f aca="false">IF(ISBLANK($C369),"",IF($AA369=Constants!$B$2,TRUE(),IF($AA369=Constants!$B$3,FALSE(),TRUE())))</f>
        <v/>
      </c>
      <c r="BE369" s="74" t="str">
        <f aca="false">IF(ISBLANK($C369),"",IF($AB369=Constants!$B$2,TRUE(),IF($AB369=Constants!$B$3,FALSE(),TRUE())))</f>
        <v/>
      </c>
      <c r="BF369" s="74" t="str">
        <f aca="false">IF(ISBLANK($C369),"",IF(ISNUMBER($AC369),IF($AC369&gt;=0,$AC369,""),""))</f>
        <v/>
      </c>
      <c r="BG369" s="74" t="str">
        <f aca="false">IF(ISBLANK($C369),"",IF($AD369=Constants!$B$2,TRUE(),IF($AD369=Constants!$B$3,FALSE(),FALSE())))</f>
        <v/>
      </c>
      <c r="BH369" s="73" t="str">
        <f aca="false">IF(ISBLANK($C369),"",IF($BG369,Constants!$B$7,IF(COUNTA($E369:$AC369)=0,Constants!$B$6,IF(OR(COUNTA($G369:$AC369)=0,NOT($AK369),$AQ369),Constants!$B$5,IF(OR($CI369&lt;&gt;"",$CJ369,$CK369,$CL369,$CM369,$CN369,$CO369),Constants!$B$8,Constants!$B$4)))))</f>
        <v/>
      </c>
      <c r="BI369" s="74" t="str">
        <f aca="false">IF(ISBLANK($C369),"",IF($BH369&lt;&gt;Constants!$B$4,$BH369,IF(OR(NOT($AH369),NOT($AJ369),NOT($AR369)),Constants!$B$11,IF(OR(NOT($AP369),MAX($AL369,$AM369,$AN369)&gt;Constants!$B$30),Constants!$B$10,Constants!$B$9))))</f>
        <v/>
      </c>
      <c r="BJ369" s="74" t="str">
        <f aca="false">IF($BH369&lt;&gt;Constants!$B$4,"",IF(NOT($AJ369),0,MIN(Constants!$B$35,$BC369)))</f>
        <v/>
      </c>
      <c r="BK369" s="74" t="str">
        <f aca="false">IF($BH369&lt;&gt;Constants!$B$4,"",IF(NOT($AJ369),0,IF($AT369,Constants!$B$18,IF($AS369,Constants!$B$17,0))))</f>
        <v/>
      </c>
      <c r="BL369" s="74" t="str">
        <f aca="false">IF($BH369&lt;&gt;Constants!$B$4,"",IF(NOT($AJ369),0,Constants!$B$19*($AI369+$AU369+$AV369+$AW369)))</f>
        <v/>
      </c>
      <c r="BM369" s="74" t="str">
        <f aca="false">IF($BH369&lt;&gt;Constants!$B$4,"",IF(OR(NOT($AJ369),NOT(ISNUMBER($AX369))),0,CHOOSE($AX369,Constants!$B$13,Constants!$B$14,Constants!$B$15,Constants!$B$16)))</f>
        <v/>
      </c>
      <c r="BN369" s="74" t="str">
        <f aca="false">IF($BH369&lt;&gt;Constants!$B$4,"",IF(NOT($AJ369),0,Constants!$B$20*$AY369))</f>
        <v/>
      </c>
      <c r="BO369" s="74" t="str">
        <f aca="false">IF($BH369&lt;&gt;Constants!$B$4,"",IF(AND($AJ369,$BA369,$BB369),Constants!$B$22,0))</f>
        <v/>
      </c>
      <c r="BP369" s="74" t="str">
        <f aca="false">IF($BH369&lt;&gt;Constants!$B$4,"",IF(OR(NOT($AJ369),NOT($BA369)),0,IF($BF369&gt;=2*$AF$9,0,Constants!$B$23*INT(ROUND(MIN($BF369,$AF$9),6)))))</f>
        <v/>
      </c>
      <c r="BQ369" s="74" t="str">
        <f aca="false">IF($BH369&lt;&gt;Constants!$B$4,"",IF(NOT($AJ369),0,Constants!$B$24*INT(ROUND(MIN($AZ369,$AF$9),6))))</f>
        <v/>
      </c>
      <c r="BR369" s="74" t="str">
        <f aca="false">IF($BH369&lt;&gt;Constants!$B$4,"",IF(AND($AJ369,$BJ369=0),Constants!$B$25,0))</f>
        <v/>
      </c>
      <c r="BS369" s="74" t="str">
        <f aca="false">IF($BH369&lt;&gt;Constants!$B$4,"",MIN(Constants!$B$29,MAX(0,Constants!$B$27*Constants!$B$28*INT(ROUND((Constants!$B$26-$AL369)/Constants!$B$28,6))))+MIN(Constants!$B$29,MAX(0,Constants!$B$27*Constants!$B$28*INT(ROUND((Constants!$B$26-$AM369)/Constants!$B$28,6))))+MIN(Constants!$B$29,MAX(0,Constants!$B$27*Constants!$B$28*INT(ROUND((Constants!$B$26-$AN369)/Constants!$B$28,6)))))</f>
        <v/>
      </c>
      <c r="BT369" s="74" t="str">
        <f aca="false">IF($BH369&lt;&gt;Constants!$B$4,"",IF(NOT($AJ369),0,Constants!$B$31*INT(ROUND(MAX(0,MIN($BF369,2*$AF$9)-$AF$9),6))))</f>
        <v/>
      </c>
      <c r="BU369" s="74" t="str">
        <f aca="false">IF($BH369&lt;&gt;Constants!$B$4,"",Constants!$B$32*(($AL369&gt;Constants!$B$26)+($AM369&gt;Constants!$B$26)+($AN369&gt;Constants!$B$26)))</f>
        <v/>
      </c>
      <c r="BV369" s="74" t="str">
        <f aca="false">IF($BH369&lt;&gt;Constants!$B$4,"",IF(OR(NOT($AJ369),$AO369),0,Constants!$B$33))</f>
        <v/>
      </c>
      <c r="BW369" s="74" t="str">
        <f aca="false">IF($BH369&lt;&gt;Constants!$B$4,"",Constants!$B$34*$BJ369)</f>
        <v/>
      </c>
      <c r="BX369" s="74" t="str">
        <f aca="false">IF($BH369&lt;&gt;Constants!$B$4,"",IF(OR(NOT($AJ369),$BE369),0,Constants!$B$36))</f>
        <v/>
      </c>
      <c r="BY369" s="74" t="str">
        <f aca="false">IF($BH369&lt;&gt;Constants!$B$4,"",IF(OR(NOT($AJ369),$BD369),0,Constants!$B$37))</f>
        <v/>
      </c>
      <c r="BZ369" s="74" t="str">
        <f aca="false">IF($BH369&lt;&gt;Constants!$B$4,"",SUM($BT369:$BY369))</f>
        <v/>
      </c>
      <c r="CA369" s="74" t="str">
        <f aca="false">IF(ISBLANK($C369),"",IF($BH369&lt;&gt;Constants!$B$4,$BH369,SUM($BK369:$BS369)-$BZ369))</f>
        <v/>
      </c>
      <c r="CB369" s="74" t="str">
        <f aca="false">IF(ISBLANK($C369),"",IF($BH369&lt;&gt;Constants!$B$4,$BH369,RANK($CA369,$CA$9:$CA$508)))</f>
        <v/>
      </c>
      <c r="CC369" s="74" t="str">
        <f aca="false">IF(ISBLANK($C369),"",IF($BH369&lt;&gt;Constants!$B$4,$BH369,COUNTIFS($BI$9:$BI$508,"&lt;"&amp;$BI369)+COUNTIFS($BI$9:$BI$508,$BI369,$CB$9:$CB$508,"&lt;"&amp;$CB369)+1))</f>
        <v/>
      </c>
      <c r="CD369" s="74" t="str">
        <f aca="false">IF(ISBLANK($C369),"",IF($BH369&lt;&gt;Constants!$B$4,$BH369,RANK($BZ369,$BZ$9:$BZ$508,1)))</f>
        <v/>
      </c>
      <c r="CE369" s="74" t="str">
        <f aca="false">IF($BH369&lt;&gt;Constants!$B$4,"",$AL369+$AM369+$AN369)</f>
        <v/>
      </c>
      <c r="CF369" s="74" t="str">
        <f aca="false">IF(ISBLANK($C369),"",IF($BH369&lt;&gt;Constants!$B$4,$BH369,RANK($CE369,$CE$9:$CE$508,1)))</f>
        <v/>
      </c>
      <c r="CG369" s="74" t="str">
        <f aca="false">IF(ISBLANK($C369),"",IF($BH369&lt;&gt;Constants!$B$4,$BH369,COUNTIFS($BI$9:$BI$508,"&lt;"&amp;$BI369)+COUNTIFS($BI$9:$BI$508,$BI369,$CB$9:$CB$508,"&lt;"&amp;$CB369)+COUNTIFS($BI$9:$BI$508,$BI369,$CB$9:$CB$508,$CB369,$CD$9:$CD$508,"&lt;"&amp;$CD369)+COUNTIFS($BI$9:$BI$508,$BI369,$CB$9:$CB$508,$CB369,$CD$9:$CD$508,$CD369,$CF$9:$CF$508,"&lt;"&amp;$CF369)+1))</f>
        <v/>
      </c>
      <c r="CH369" s="74" t="str">
        <f aca="false">IF(ISBLANK($C369),"",IF($BH369&lt;&gt;Constants!$B$4,$BH369,$CC369-$CG369))</f>
        <v/>
      </c>
      <c r="CI369" s="74" t="str">
        <f aca="false">IF(ISBLANK($C369),"",IF(NOT($AJ369),"",IF(ISBLANK($D$7),$CI$5,IF(NOT(ISNUMBER($D$7)),$CI$6,""))))</f>
        <v/>
      </c>
      <c r="CJ369" s="74" t="str">
        <f aca="false">IF(ISBLANK($C369),"",OR($AL369="",$AM369="",$AN369=""))</f>
        <v/>
      </c>
      <c r="CK369" s="74" t="str">
        <f aca="false">IF(ISBLANK($C369),"",AND($AJ369,$AX369=""))</f>
        <v/>
      </c>
      <c r="CL369" s="74" t="str">
        <f aca="false">IF(ISBLANK($C369),"",AND($AJ369,$AY369=""))</f>
        <v/>
      </c>
      <c r="CM369" s="74" t="str">
        <f aca="false">IF(ISBLANK($C369),"",AND($AJ369,$AZ369=""))</f>
        <v/>
      </c>
      <c r="CN369" s="74" t="str">
        <f aca="false">IF(ISBLANK($C369),"",AND($AJ369,$BC369=""))</f>
        <v/>
      </c>
      <c r="CO369" s="74" t="str">
        <f aca="false">IF(ISBLANK($C369),"",AND($AJ369,$BF369=""))</f>
        <v/>
      </c>
      <c r="CP369" s="75"/>
      <c r="CQ369" s="76"/>
      <c r="CR369" s="79" t="str">
        <f aca="false">IF(ISBLANK($C369),"",IF($BH369=Constants!$B$8,$CI369,""))</f>
        <v/>
      </c>
      <c r="CS369" s="76" t="str">
        <f aca="false">IF(ISBLANK($C369),"",IF($BH369&lt;&gt;Constants!$B$4,"",$BK369+$BL369))</f>
        <v/>
      </c>
      <c r="CT369" s="78" t="str">
        <f aca="false">IF(ISBLANK($C369),"",IF($BH369&lt;&gt;Constants!$B$4,"",$BM369+$BN369+$BO369))</f>
        <v/>
      </c>
      <c r="CU369" s="78" t="str">
        <f aca="false">IF(ISBLANK($C369),"",IF($BH369&lt;&gt;Constants!$B$4,"",$BP369))</f>
        <v/>
      </c>
      <c r="CV369" s="78" t="str">
        <f aca="false">IF(ISBLANK($C369),"",IF($BH369&lt;&gt;Constants!$B$4,"",$BQ369+$BR369))</f>
        <v/>
      </c>
      <c r="CW369" s="78" t="str">
        <f aca="false">IF(ISBLANK($C369),"",IF($BH369&lt;&gt;Constants!$B$4,"",$BS369))</f>
        <v/>
      </c>
      <c r="CX369" s="78" t="str">
        <f aca="false">IF(ISBLANK($C369),"",IF($BH369&lt;&gt;Constants!$B$4,"",-$BZ369))</f>
        <v/>
      </c>
      <c r="CY369" s="79" t="str">
        <f aca="false">IF(ISBLANK($C369),"",$CA369)</f>
        <v/>
      </c>
      <c r="CZ369" s="80" t="str">
        <f aca="false">IF(ISBLANK($C369),"",$BI369)</f>
        <v/>
      </c>
      <c r="DA369" s="78" t="str">
        <f aca="false">IF(ISBLANK($C369),"",$CH369)</f>
        <v/>
      </c>
      <c r="DB369" s="78" t="str">
        <f aca="false">IF(ISBLANK($C369),"",$CG369)</f>
        <v/>
      </c>
      <c r="DC369" s="81" t="str">
        <f aca="false">IF(ISBLANK($C369),"",IFERROR(_xlfn.SWITCH($DB369,Constants!$B$7,COUNTA($C$9:$C$508)+2,Constants!$B$6,COUNTA($C$9:$C$508)+1,Constants!$B$5,COUNTA($C$9:$C$508)),$DB369))</f>
        <v/>
      </c>
      <c r="DD369" s="7"/>
      <c r="DE369" s="82" t="n">
        <f aca="false">IF(OR(ISNUMBER($DB369),$DB369=Constants!$B$7,$DB369=Constants!$B$5,$DB369=Constants!$B$6),1,0)</f>
        <v>0</v>
      </c>
      <c r="DF369" s="82" t="n">
        <v>361</v>
      </c>
      <c r="DG369" s="82" t="str">
        <f aca="false">IF(ISBLANK($C369),"",IF(ISNUMBER($DC369),$DC369+ROW($B369)/1000,""))</f>
        <v/>
      </c>
      <c r="DH369" s="82" t="str">
        <f aca="false">IF(ISNUMBER($DG369),RANK($DG369,$DG$9:$DG$508,1),"")</f>
        <v/>
      </c>
      <c r="DI369" s="82" t="str">
        <f aca="false">IF(ISBLANK($C369),"",$B369)</f>
        <v/>
      </c>
      <c r="DJ369" s="82" t="str">
        <f aca="false">IF(ISBLANK($C369),"",$C369)</f>
        <v/>
      </c>
      <c r="DK369" s="82" t="str">
        <f aca="false">IF(ISBLANK($C369),"",$D369)</f>
        <v/>
      </c>
      <c r="DL369" s="83" t="str">
        <f aca="false">$CZ369</f>
        <v/>
      </c>
      <c r="DM369" s="84" t="str">
        <f aca="false">$CY369</f>
        <v/>
      </c>
      <c r="DN369" s="82" t="str">
        <f aca="false">IF(ISBLANK($C369),"",$DB369)</f>
        <v/>
      </c>
      <c r="DO369" s="85" t="str">
        <f aca="false">IF($DF369&gt;$DE$8,"",VLOOKUP($DF369,$DH$9:$DN$508,7,FALSE()))</f>
        <v/>
      </c>
      <c r="DP369" s="86" t="str">
        <f aca="false">IF($DF369&gt;$DE$8,"",VLOOKUP($DF369,$DH$9:$DN$508,2,FALSE()))</f>
        <v/>
      </c>
      <c r="DQ369" s="86" t="str">
        <f aca="false">IF($DF369&gt;$DE$8,"",VLOOKUP($DF369,$DH$9:$DN$508,3,FALSE()))</f>
        <v/>
      </c>
      <c r="DR369" s="86" t="str">
        <f aca="false">IF($DF369&gt;$DE$8,"",VLOOKUP($DF369,$DH$9:$DN$508,4,FALSE()))</f>
        <v/>
      </c>
      <c r="DS369" s="86" t="str">
        <f aca="false">IF($DF369&gt;$DE$8,"",VLOOKUP($DF369,$DH$9:$DN$508,5,FALSE()))</f>
        <v/>
      </c>
      <c r="DT369" s="87" t="str">
        <f aca="false">IF($DF369&gt;$DE$8,"",VLOOKUP($DF369,$DH$9:$DN$508,6,FALSE()))</f>
        <v/>
      </c>
      <c r="DU369" s="62"/>
    </row>
    <row r="370" customFormat="false" ht="15.75" hidden="false" customHeight="false" outlineLevel="0" collapsed="false">
      <c r="A370" s="7"/>
      <c r="B370" s="64"/>
      <c r="C370" s="65"/>
      <c r="D370" s="123"/>
      <c r="E370" s="88"/>
      <c r="F370" s="134"/>
      <c r="G370" s="88"/>
      <c r="H370" s="134"/>
      <c r="I370" s="119"/>
      <c r="J370" s="119"/>
      <c r="K370" s="119"/>
      <c r="L370" s="88"/>
      <c r="M370" s="88"/>
      <c r="N370" s="88"/>
      <c r="O370" s="134"/>
      <c r="P370" s="88"/>
      <c r="Q370" s="88"/>
      <c r="R370" s="88"/>
      <c r="S370" s="88"/>
      <c r="T370" s="134"/>
      <c r="U370" s="88"/>
      <c r="V370" s="70"/>
      <c r="W370" s="88"/>
      <c r="X370" s="88"/>
      <c r="Y370" s="70"/>
      <c r="Z370" s="70"/>
      <c r="AA370" s="88"/>
      <c r="AB370" s="88"/>
      <c r="AC370" s="71"/>
      <c r="AD370" s="88"/>
      <c r="AE370" s="73"/>
      <c r="AF370" s="74"/>
      <c r="AG370" s="74"/>
      <c r="AH370" s="74" t="str">
        <f aca="false">IF(ISBLANK($C370),"",IF($E370=Constants!$B$2,TRUE(),IF($E370=Constants!$B$3,FALSE(),TRUE())))</f>
        <v/>
      </c>
      <c r="AI370" s="74" t="str">
        <f aca="false">IF(ISBLANK($C370),"",IF($F370=Constants!$B$2,TRUE(),IF($F370=Constants!$B$3,FALSE(),FALSE())))</f>
        <v/>
      </c>
      <c r="AJ370" s="74" t="str">
        <f aca="false">IF(ISBLANK($C370),"",IF($G370=Constants!$B$2,TRUE(),IF($G370=Constants!$B$3,FALSE(),TRUE())))</f>
        <v/>
      </c>
      <c r="AK370" s="74" t="str">
        <f aca="false">IF(ISBLANK($C370),"",IF($H370=Constants!$B$2,TRUE(),IF($H370=Constants!$B$3,FALSE(),TRUE())))</f>
        <v/>
      </c>
      <c r="AL370" s="74" t="str">
        <f aca="false">IF(ISBLANK($C370),"",IF(ISNUMBER($I370),IF($I370&gt;=0,$I370,""),""))</f>
        <v/>
      </c>
      <c r="AM370" s="74" t="str">
        <f aca="false">IF(ISBLANK($C370),"",IF(ISNUMBER($J370),IF($J370&gt;=0,$J370,""),""))</f>
        <v/>
      </c>
      <c r="AN370" s="74" t="str">
        <f aca="false">IF(ISBLANK($C370),"",IF(ISNUMBER($K370),IF($K370&gt;=0,$K370,""),""))</f>
        <v/>
      </c>
      <c r="AO370" s="74" t="str">
        <f aca="false">IF(ISBLANK($C370),"",IF($L370=Constants!$B$2,TRUE(),IF($L370=Constants!$B$3,FALSE(),TRUE())))</f>
        <v/>
      </c>
      <c r="AP370" s="74" t="str">
        <f aca="false">IF(ISBLANK($C370),"",IF($M370=Constants!$B$2,TRUE(),IF($M370=Constants!$B$3,FALSE(),TRUE())))</f>
        <v/>
      </c>
      <c r="AQ370" s="74" t="str">
        <f aca="false">IF(ISBLANK($C370),"",IF($N370=Constants!$B$2,TRUE(),IF($N370=Constants!$B$3,FALSE(),FALSE())))</f>
        <v/>
      </c>
      <c r="AR370" s="74" t="str">
        <f aca="false">IF(ISBLANK($C370),"",IF($O370=Constants!$B$2,TRUE(),IF($O370=Constants!$B$3,FALSE(),TRUE())))</f>
        <v/>
      </c>
      <c r="AS370" s="74" t="str">
        <f aca="false">IF(ISBLANK($C370),"",IF($P370=Constants!$B$2,TRUE(),IF($P370=Constants!$B$3,FALSE(),FALSE())))</f>
        <v/>
      </c>
      <c r="AT370" s="74" t="str">
        <f aca="false">IF(ISBLANK($C370),"",IF($Q370=Constants!$B$2,TRUE(),IF($Q370=Constants!$B$3,FALSE(),FALSE())))</f>
        <v/>
      </c>
      <c r="AU370" s="74" t="str">
        <f aca="false">IF(ISBLANK($C370),"",IF($R370=Constants!$B$2,TRUE(),IF($R370=Constants!$B$3,FALSE(),FALSE())))</f>
        <v/>
      </c>
      <c r="AV370" s="74" t="str">
        <f aca="false">IF(ISBLANK($C370),"",IF($S370=Constants!$B$2,TRUE(),IF($S370=Constants!$B$3,FALSE(),FALSE())))</f>
        <v/>
      </c>
      <c r="AW370" s="74" t="str">
        <f aca="false">IF(ISBLANK($C370),"",IF($T370=Constants!$B$2,TRUE(),IF($T370=Constants!$B$3,FALSE(),FALSE())))</f>
        <v/>
      </c>
      <c r="AX370" s="74" t="str">
        <f aca="false">IF(ISBLANK($C370),"",IF(OR($U370&amp;""="1",$U370&amp;""="2",$U370&amp;""="3",$U370&amp;""="4"),VALUE($U370&amp;""),IF($U370=Constants!$B$12,Constants!$B$12,"")))</f>
        <v/>
      </c>
      <c r="AY370" s="74" t="str">
        <f aca="false">IF(ISBLANK($C370),"",IF(ISBLANK($V370),0,IF(ISNUMBER($V370),IF(AND($V370&gt;=0,$V370&lt;=Constants!$B$21,$V370=INT($V370)),$V370,""),"")))</f>
        <v/>
      </c>
      <c r="AZ370" s="74" t="str">
        <f aca="false">IF(ISBLANK($C370),"",IF(ISBLANK($W370),0,IF(ISNUMBER($W370),IF($W370&gt;=0,$W370,""),"")))</f>
        <v/>
      </c>
      <c r="BA370" s="74" t="str">
        <f aca="false">IF(ISBLANK($C370),"",IF($X370=Constants!$B$2,TRUE(),IF($X370=Constants!$B$3,FALSE(),TRUE())))</f>
        <v/>
      </c>
      <c r="BB370" s="74" t="str">
        <f aca="false">IF(ISBLANK($C370),"",IF($Y370=Constants!$B$2,TRUE(),IF($Y370=Constants!$B$3,FALSE(),FALSE())))</f>
        <v/>
      </c>
      <c r="BC370" s="74" t="str">
        <f aca="false">IF(ISBLANK($C370),"",IF(ISBLANK($Z370),0,IF(ISNUMBER($Z370),IF(AND($Z370&gt;=0,$Z370&lt;=Constants!$B$35,$Z370=INT($Z370)),$Z370,""),"")))</f>
        <v/>
      </c>
      <c r="BD370" s="74" t="str">
        <f aca="false">IF(ISBLANK($C370),"",IF($AA370=Constants!$B$2,TRUE(),IF($AA370=Constants!$B$3,FALSE(),TRUE())))</f>
        <v/>
      </c>
      <c r="BE370" s="74" t="str">
        <f aca="false">IF(ISBLANK($C370),"",IF($AB370=Constants!$B$2,TRUE(),IF($AB370=Constants!$B$3,FALSE(),TRUE())))</f>
        <v/>
      </c>
      <c r="BF370" s="74" t="str">
        <f aca="false">IF(ISBLANK($C370),"",IF(ISNUMBER($AC370),IF($AC370&gt;=0,$AC370,""),""))</f>
        <v/>
      </c>
      <c r="BG370" s="74" t="str">
        <f aca="false">IF(ISBLANK($C370),"",IF($AD370=Constants!$B$2,TRUE(),IF($AD370=Constants!$B$3,FALSE(),FALSE())))</f>
        <v/>
      </c>
      <c r="BH370" s="73" t="str">
        <f aca="false">IF(ISBLANK($C370),"",IF($BG370,Constants!$B$7,IF(COUNTA($E370:$AC370)=0,Constants!$B$6,IF(OR(COUNTA($G370:$AC370)=0,NOT($AK370),$AQ370),Constants!$B$5,IF(OR($CI370&lt;&gt;"",$CJ370,$CK370,$CL370,$CM370,$CN370,$CO370),Constants!$B$8,Constants!$B$4)))))</f>
        <v/>
      </c>
      <c r="BI370" s="74" t="str">
        <f aca="false">IF(ISBLANK($C370),"",IF($BH370&lt;&gt;Constants!$B$4,$BH370,IF(OR(NOT($AH370),NOT($AJ370),NOT($AR370)),Constants!$B$11,IF(OR(NOT($AP370),MAX($AL370,$AM370,$AN370)&gt;Constants!$B$30),Constants!$B$10,Constants!$B$9))))</f>
        <v/>
      </c>
      <c r="BJ370" s="74" t="str">
        <f aca="false">IF($BH370&lt;&gt;Constants!$B$4,"",IF(NOT($AJ370),0,MIN(Constants!$B$35,$BC370)))</f>
        <v/>
      </c>
      <c r="BK370" s="74" t="str">
        <f aca="false">IF($BH370&lt;&gt;Constants!$B$4,"",IF(NOT($AJ370),0,IF($AT370,Constants!$B$18,IF($AS370,Constants!$B$17,0))))</f>
        <v/>
      </c>
      <c r="BL370" s="74" t="str">
        <f aca="false">IF($BH370&lt;&gt;Constants!$B$4,"",IF(NOT($AJ370),0,Constants!$B$19*($AI370+$AU370+$AV370+$AW370)))</f>
        <v/>
      </c>
      <c r="BM370" s="74" t="str">
        <f aca="false">IF($BH370&lt;&gt;Constants!$B$4,"",IF(OR(NOT($AJ370),NOT(ISNUMBER($AX370))),0,CHOOSE($AX370,Constants!$B$13,Constants!$B$14,Constants!$B$15,Constants!$B$16)))</f>
        <v/>
      </c>
      <c r="BN370" s="74" t="str">
        <f aca="false">IF($BH370&lt;&gt;Constants!$B$4,"",IF(NOT($AJ370),0,Constants!$B$20*$AY370))</f>
        <v/>
      </c>
      <c r="BO370" s="74" t="str">
        <f aca="false">IF($BH370&lt;&gt;Constants!$B$4,"",IF(AND($AJ370,$BA370,$BB370),Constants!$B$22,0))</f>
        <v/>
      </c>
      <c r="BP370" s="74" t="str">
        <f aca="false">IF($BH370&lt;&gt;Constants!$B$4,"",IF(OR(NOT($AJ370),NOT($BA370)),0,IF($BF370&gt;=2*$AF$9,0,Constants!$B$23*INT(ROUND(MIN($BF370,$AF$9),6)))))</f>
        <v/>
      </c>
      <c r="BQ370" s="74" t="str">
        <f aca="false">IF($BH370&lt;&gt;Constants!$B$4,"",IF(NOT($AJ370),0,Constants!$B$24*INT(ROUND(MIN($AZ370,$AF$9),6))))</f>
        <v/>
      </c>
      <c r="BR370" s="74" t="str">
        <f aca="false">IF($BH370&lt;&gt;Constants!$B$4,"",IF(AND($AJ370,$BJ370=0),Constants!$B$25,0))</f>
        <v/>
      </c>
      <c r="BS370" s="74" t="str">
        <f aca="false">IF($BH370&lt;&gt;Constants!$B$4,"",MIN(Constants!$B$29,MAX(0,Constants!$B$27*Constants!$B$28*INT(ROUND((Constants!$B$26-$AL370)/Constants!$B$28,6))))+MIN(Constants!$B$29,MAX(0,Constants!$B$27*Constants!$B$28*INT(ROUND((Constants!$B$26-$AM370)/Constants!$B$28,6))))+MIN(Constants!$B$29,MAX(0,Constants!$B$27*Constants!$B$28*INT(ROUND((Constants!$B$26-$AN370)/Constants!$B$28,6)))))</f>
        <v/>
      </c>
      <c r="BT370" s="74" t="str">
        <f aca="false">IF($BH370&lt;&gt;Constants!$B$4,"",IF(NOT($AJ370),0,Constants!$B$31*INT(ROUND(MAX(0,MIN($BF370,2*$AF$9)-$AF$9),6))))</f>
        <v/>
      </c>
      <c r="BU370" s="74" t="str">
        <f aca="false">IF($BH370&lt;&gt;Constants!$B$4,"",Constants!$B$32*(($AL370&gt;Constants!$B$26)+($AM370&gt;Constants!$B$26)+($AN370&gt;Constants!$B$26)))</f>
        <v/>
      </c>
      <c r="BV370" s="74" t="str">
        <f aca="false">IF($BH370&lt;&gt;Constants!$B$4,"",IF(OR(NOT($AJ370),$AO370),0,Constants!$B$33))</f>
        <v/>
      </c>
      <c r="BW370" s="74" t="str">
        <f aca="false">IF($BH370&lt;&gt;Constants!$B$4,"",Constants!$B$34*$BJ370)</f>
        <v/>
      </c>
      <c r="BX370" s="74" t="str">
        <f aca="false">IF($BH370&lt;&gt;Constants!$B$4,"",IF(OR(NOT($AJ370),$BE370),0,Constants!$B$36))</f>
        <v/>
      </c>
      <c r="BY370" s="74" t="str">
        <f aca="false">IF($BH370&lt;&gt;Constants!$B$4,"",IF(OR(NOT($AJ370),$BD370),0,Constants!$B$37))</f>
        <v/>
      </c>
      <c r="BZ370" s="74" t="str">
        <f aca="false">IF($BH370&lt;&gt;Constants!$B$4,"",SUM($BT370:$BY370))</f>
        <v/>
      </c>
      <c r="CA370" s="74" t="str">
        <f aca="false">IF(ISBLANK($C370),"",IF($BH370&lt;&gt;Constants!$B$4,$BH370,SUM($BK370:$BS370)-$BZ370))</f>
        <v/>
      </c>
      <c r="CB370" s="74" t="str">
        <f aca="false">IF(ISBLANK($C370),"",IF($BH370&lt;&gt;Constants!$B$4,$BH370,RANK($CA370,$CA$9:$CA$508)))</f>
        <v/>
      </c>
      <c r="CC370" s="74" t="str">
        <f aca="false">IF(ISBLANK($C370),"",IF($BH370&lt;&gt;Constants!$B$4,$BH370,COUNTIFS($BI$9:$BI$508,"&lt;"&amp;$BI370)+COUNTIFS($BI$9:$BI$508,$BI370,$CB$9:$CB$508,"&lt;"&amp;$CB370)+1))</f>
        <v/>
      </c>
      <c r="CD370" s="74" t="str">
        <f aca="false">IF(ISBLANK($C370),"",IF($BH370&lt;&gt;Constants!$B$4,$BH370,RANK($BZ370,$BZ$9:$BZ$508,1)))</f>
        <v/>
      </c>
      <c r="CE370" s="74" t="str">
        <f aca="false">IF($BH370&lt;&gt;Constants!$B$4,"",$AL370+$AM370+$AN370)</f>
        <v/>
      </c>
      <c r="CF370" s="74" t="str">
        <f aca="false">IF(ISBLANK($C370),"",IF($BH370&lt;&gt;Constants!$B$4,$BH370,RANK($CE370,$CE$9:$CE$508,1)))</f>
        <v/>
      </c>
      <c r="CG370" s="74" t="str">
        <f aca="false">IF(ISBLANK($C370),"",IF($BH370&lt;&gt;Constants!$B$4,$BH370,COUNTIFS($BI$9:$BI$508,"&lt;"&amp;$BI370)+COUNTIFS($BI$9:$BI$508,$BI370,$CB$9:$CB$508,"&lt;"&amp;$CB370)+COUNTIFS($BI$9:$BI$508,$BI370,$CB$9:$CB$508,$CB370,$CD$9:$CD$508,"&lt;"&amp;$CD370)+COUNTIFS($BI$9:$BI$508,$BI370,$CB$9:$CB$508,$CB370,$CD$9:$CD$508,$CD370,$CF$9:$CF$508,"&lt;"&amp;$CF370)+1))</f>
        <v/>
      </c>
      <c r="CH370" s="74" t="str">
        <f aca="false">IF(ISBLANK($C370),"",IF($BH370&lt;&gt;Constants!$B$4,$BH370,$CC370-$CG370))</f>
        <v/>
      </c>
      <c r="CI370" s="74" t="str">
        <f aca="false">IF(ISBLANK($C370),"",IF(NOT($AJ370),"",IF(ISBLANK($D$7),$CI$5,IF(NOT(ISNUMBER($D$7)),$CI$6,""))))</f>
        <v/>
      </c>
      <c r="CJ370" s="74" t="str">
        <f aca="false">IF(ISBLANK($C370),"",OR($AL370="",$AM370="",$AN370=""))</f>
        <v/>
      </c>
      <c r="CK370" s="74" t="str">
        <f aca="false">IF(ISBLANK($C370),"",AND($AJ370,$AX370=""))</f>
        <v/>
      </c>
      <c r="CL370" s="74" t="str">
        <f aca="false">IF(ISBLANK($C370),"",AND($AJ370,$AY370=""))</f>
        <v/>
      </c>
      <c r="CM370" s="74" t="str">
        <f aca="false">IF(ISBLANK($C370),"",AND($AJ370,$AZ370=""))</f>
        <v/>
      </c>
      <c r="CN370" s="74" t="str">
        <f aca="false">IF(ISBLANK($C370),"",AND($AJ370,$BC370=""))</f>
        <v/>
      </c>
      <c r="CO370" s="74" t="str">
        <f aca="false">IF(ISBLANK($C370),"",AND($AJ370,$BF370=""))</f>
        <v/>
      </c>
      <c r="CP370" s="75"/>
      <c r="CQ370" s="76"/>
      <c r="CR370" s="79" t="str">
        <f aca="false">IF(ISBLANK($C370),"",IF($BH370=Constants!$B$8,$CI370,""))</f>
        <v/>
      </c>
      <c r="CS370" s="76" t="str">
        <f aca="false">IF(ISBLANK($C370),"",IF($BH370&lt;&gt;Constants!$B$4,"",$BK370+$BL370))</f>
        <v/>
      </c>
      <c r="CT370" s="78" t="str">
        <f aca="false">IF(ISBLANK($C370),"",IF($BH370&lt;&gt;Constants!$B$4,"",$BM370+$BN370+$BO370))</f>
        <v/>
      </c>
      <c r="CU370" s="78" t="str">
        <f aca="false">IF(ISBLANK($C370),"",IF($BH370&lt;&gt;Constants!$B$4,"",$BP370))</f>
        <v/>
      </c>
      <c r="CV370" s="78" t="str">
        <f aca="false">IF(ISBLANK($C370),"",IF($BH370&lt;&gt;Constants!$B$4,"",$BQ370+$BR370))</f>
        <v/>
      </c>
      <c r="CW370" s="78" t="str">
        <f aca="false">IF(ISBLANK($C370),"",IF($BH370&lt;&gt;Constants!$B$4,"",$BS370))</f>
        <v/>
      </c>
      <c r="CX370" s="78" t="str">
        <f aca="false">IF(ISBLANK($C370),"",IF($BH370&lt;&gt;Constants!$B$4,"",-$BZ370))</f>
        <v/>
      </c>
      <c r="CY370" s="79" t="str">
        <f aca="false">IF(ISBLANK($C370),"",$CA370)</f>
        <v/>
      </c>
      <c r="CZ370" s="80" t="str">
        <f aca="false">IF(ISBLANK($C370),"",$BI370)</f>
        <v/>
      </c>
      <c r="DA370" s="78" t="str">
        <f aca="false">IF(ISBLANK($C370),"",$CH370)</f>
        <v/>
      </c>
      <c r="DB370" s="78" t="str">
        <f aca="false">IF(ISBLANK($C370),"",$CG370)</f>
        <v/>
      </c>
      <c r="DC370" s="81" t="str">
        <f aca="false">IF(ISBLANK($C370),"",IFERROR(_xlfn.SWITCH($DB370,Constants!$B$7,COUNTA($C$9:$C$508)+2,Constants!$B$6,COUNTA($C$9:$C$508)+1,Constants!$B$5,COUNTA($C$9:$C$508)),$DB370))</f>
        <v/>
      </c>
      <c r="DD370" s="7"/>
      <c r="DE370" s="82" t="n">
        <f aca="false">IF(OR(ISNUMBER($DB370),$DB370=Constants!$B$7,$DB370=Constants!$B$5,$DB370=Constants!$B$6),1,0)</f>
        <v>0</v>
      </c>
      <c r="DF370" s="82" t="n">
        <v>362</v>
      </c>
      <c r="DG370" s="82" t="str">
        <f aca="false">IF(ISBLANK($C370),"",IF(ISNUMBER($DC370),$DC370+ROW($B370)/1000,""))</f>
        <v/>
      </c>
      <c r="DH370" s="82" t="str">
        <f aca="false">IF(ISNUMBER($DG370),RANK($DG370,$DG$9:$DG$508,1),"")</f>
        <v/>
      </c>
      <c r="DI370" s="82" t="str">
        <f aca="false">IF(ISBLANK($C370),"",$B370)</f>
        <v/>
      </c>
      <c r="DJ370" s="82" t="str">
        <f aca="false">IF(ISBLANK($C370),"",$C370)</f>
        <v/>
      </c>
      <c r="DK370" s="82" t="str">
        <f aca="false">IF(ISBLANK($C370),"",$D370)</f>
        <v/>
      </c>
      <c r="DL370" s="83" t="str">
        <f aca="false">$CZ370</f>
        <v/>
      </c>
      <c r="DM370" s="84" t="str">
        <f aca="false">$CY370</f>
        <v/>
      </c>
      <c r="DN370" s="82" t="str">
        <f aca="false">IF(ISBLANK($C370),"",$DB370)</f>
        <v/>
      </c>
      <c r="DO370" s="85" t="str">
        <f aca="false">IF($DF370&gt;$DE$8,"",VLOOKUP($DF370,$DH$9:$DN$508,7,FALSE()))</f>
        <v/>
      </c>
      <c r="DP370" s="86" t="str">
        <f aca="false">IF($DF370&gt;$DE$8,"",VLOOKUP($DF370,$DH$9:$DN$508,2,FALSE()))</f>
        <v/>
      </c>
      <c r="DQ370" s="86" t="str">
        <f aca="false">IF($DF370&gt;$DE$8,"",VLOOKUP($DF370,$DH$9:$DN$508,3,FALSE()))</f>
        <v/>
      </c>
      <c r="DR370" s="86" t="str">
        <f aca="false">IF($DF370&gt;$DE$8,"",VLOOKUP($DF370,$DH$9:$DN$508,4,FALSE()))</f>
        <v/>
      </c>
      <c r="DS370" s="86" t="str">
        <f aca="false">IF($DF370&gt;$DE$8,"",VLOOKUP($DF370,$DH$9:$DN$508,5,FALSE()))</f>
        <v/>
      </c>
      <c r="DT370" s="87" t="str">
        <f aca="false">IF($DF370&gt;$DE$8,"",VLOOKUP($DF370,$DH$9:$DN$508,6,FALSE()))</f>
        <v/>
      </c>
      <c r="DU370" s="62"/>
    </row>
    <row r="371" customFormat="false" ht="15.75" hidden="false" customHeight="false" outlineLevel="0" collapsed="false">
      <c r="A371" s="7"/>
      <c r="B371" s="64"/>
      <c r="C371" s="65"/>
      <c r="D371" s="123"/>
      <c r="E371" s="88"/>
      <c r="F371" s="134"/>
      <c r="G371" s="88"/>
      <c r="H371" s="134"/>
      <c r="I371" s="119"/>
      <c r="J371" s="119"/>
      <c r="K371" s="119"/>
      <c r="L371" s="88"/>
      <c r="M371" s="88"/>
      <c r="N371" s="88"/>
      <c r="O371" s="134"/>
      <c r="P371" s="88"/>
      <c r="Q371" s="88"/>
      <c r="R371" s="88"/>
      <c r="S371" s="88"/>
      <c r="T371" s="134"/>
      <c r="U371" s="88"/>
      <c r="V371" s="70"/>
      <c r="W371" s="88"/>
      <c r="X371" s="88"/>
      <c r="Y371" s="70"/>
      <c r="Z371" s="70"/>
      <c r="AA371" s="88"/>
      <c r="AB371" s="88"/>
      <c r="AC371" s="71"/>
      <c r="AD371" s="88"/>
      <c r="AE371" s="73"/>
      <c r="AF371" s="74"/>
      <c r="AG371" s="74"/>
      <c r="AH371" s="74" t="str">
        <f aca="false">IF(ISBLANK($C371),"",IF($E371=Constants!$B$2,TRUE(),IF($E371=Constants!$B$3,FALSE(),TRUE())))</f>
        <v/>
      </c>
      <c r="AI371" s="74" t="str">
        <f aca="false">IF(ISBLANK($C371),"",IF($F371=Constants!$B$2,TRUE(),IF($F371=Constants!$B$3,FALSE(),FALSE())))</f>
        <v/>
      </c>
      <c r="AJ371" s="74" t="str">
        <f aca="false">IF(ISBLANK($C371),"",IF($G371=Constants!$B$2,TRUE(),IF($G371=Constants!$B$3,FALSE(),TRUE())))</f>
        <v/>
      </c>
      <c r="AK371" s="74" t="str">
        <f aca="false">IF(ISBLANK($C371),"",IF($H371=Constants!$B$2,TRUE(),IF($H371=Constants!$B$3,FALSE(),TRUE())))</f>
        <v/>
      </c>
      <c r="AL371" s="74" t="str">
        <f aca="false">IF(ISBLANK($C371),"",IF(ISNUMBER($I371),IF($I371&gt;=0,$I371,""),""))</f>
        <v/>
      </c>
      <c r="AM371" s="74" t="str">
        <f aca="false">IF(ISBLANK($C371),"",IF(ISNUMBER($J371),IF($J371&gt;=0,$J371,""),""))</f>
        <v/>
      </c>
      <c r="AN371" s="74" t="str">
        <f aca="false">IF(ISBLANK($C371),"",IF(ISNUMBER($K371),IF($K371&gt;=0,$K371,""),""))</f>
        <v/>
      </c>
      <c r="AO371" s="74" t="str">
        <f aca="false">IF(ISBLANK($C371),"",IF($L371=Constants!$B$2,TRUE(),IF($L371=Constants!$B$3,FALSE(),TRUE())))</f>
        <v/>
      </c>
      <c r="AP371" s="74" t="str">
        <f aca="false">IF(ISBLANK($C371),"",IF($M371=Constants!$B$2,TRUE(),IF($M371=Constants!$B$3,FALSE(),TRUE())))</f>
        <v/>
      </c>
      <c r="AQ371" s="74" t="str">
        <f aca="false">IF(ISBLANK($C371),"",IF($N371=Constants!$B$2,TRUE(),IF($N371=Constants!$B$3,FALSE(),FALSE())))</f>
        <v/>
      </c>
      <c r="AR371" s="74" t="str">
        <f aca="false">IF(ISBLANK($C371),"",IF($O371=Constants!$B$2,TRUE(),IF($O371=Constants!$B$3,FALSE(),TRUE())))</f>
        <v/>
      </c>
      <c r="AS371" s="74" t="str">
        <f aca="false">IF(ISBLANK($C371),"",IF($P371=Constants!$B$2,TRUE(),IF($P371=Constants!$B$3,FALSE(),FALSE())))</f>
        <v/>
      </c>
      <c r="AT371" s="74" t="str">
        <f aca="false">IF(ISBLANK($C371),"",IF($Q371=Constants!$B$2,TRUE(),IF($Q371=Constants!$B$3,FALSE(),FALSE())))</f>
        <v/>
      </c>
      <c r="AU371" s="74" t="str">
        <f aca="false">IF(ISBLANK($C371),"",IF($R371=Constants!$B$2,TRUE(),IF($R371=Constants!$B$3,FALSE(),FALSE())))</f>
        <v/>
      </c>
      <c r="AV371" s="74" t="str">
        <f aca="false">IF(ISBLANK($C371),"",IF($S371=Constants!$B$2,TRUE(),IF($S371=Constants!$B$3,FALSE(),FALSE())))</f>
        <v/>
      </c>
      <c r="AW371" s="74" t="str">
        <f aca="false">IF(ISBLANK($C371),"",IF($T371=Constants!$B$2,TRUE(),IF($T371=Constants!$B$3,FALSE(),FALSE())))</f>
        <v/>
      </c>
      <c r="AX371" s="74" t="str">
        <f aca="false">IF(ISBLANK($C371),"",IF(OR($U371&amp;""="1",$U371&amp;""="2",$U371&amp;""="3",$U371&amp;""="4"),VALUE($U371&amp;""),IF($U371=Constants!$B$12,Constants!$B$12,"")))</f>
        <v/>
      </c>
      <c r="AY371" s="74" t="str">
        <f aca="false">IF(ISBLANK($C371),"",IF(ISBLANK($V371),0,IF(ISNUMBER($V371),IF(AND($V371&gt;=0,$V371&lt;=Constants!$B$21,$V371=INT($V371)),$V371,""),"")))</f>
        <v/>
      </c>
      <c r="AZ371" s="74" t="str">
        <f aca="false">IF(ISBLANK($C371),"",IF(ISBLANK($W371),0,IF(ISNUMBER($W371),IF($W371&gt;=0,$W371,""),"")))</f>
        <v/>
      </c>
      <c r="BA371" s="74" t="str">
        <f aca="false">IF(ISBLANK($C371),"",IF($X371=Constants!$B$2,TRUE(),IF($X371=Constants!$B$3,FALSE(),TRUE())))</f>
        <v/>
      </c>
      <c r="BB371" s="74" t="str">
        <f aca="false">IF(ISBLANK($C371),"",IF($Y371=Constants!$B$2,TRUE(),IF($Y371=Constants!$B$3,FALSE(),FALSE())))</f>
        <v/>
      </c>
      <c r="BC371" s="74" t="str">
        <f aca="false">IF(ISBLANK($C371),"",IF(ISBLANK($Z371),0,IF(ISNUMBER($Z371),IF(AND($Z371&gt;=0,$Z371&lt;=Constants!$B$35,$Z371=INT($Z371)),$Z371,""),"")))</f>
        <v/>
      </c>
      <c r="BD371" s="74" t="str">
        <f aca="false">IF(ISBLANK($C371),"",IF($AA371=Constants!$B$2,TRUE(),IF($AA371=Constants!$B$3,FALSE(),TRUE())))</f>
        <v/>
      </c>
      <c r="BE371" s="74" t="str">
        <f aca="false">IF(ISBLANK($C371),"",IF($AB371=Constants!$B$2,TRUE(),IF($AB371=Constants!$B$3,FALSE(),TRUE())))</f>
        <v/>
      </c>
      <c r="BF371" s="74" t="str">
        <f aca="false">IF(ISBLANK($C371),"",IF(ISNUMBER($AC371),IF($AC371&gt;=0,$AC371,""),""))</f>
        <v/>
      </c>
      <c r="BG371" s="74" t="str">
        <f aca="false">IF(ISBLANK($C371),"",IF($AD371=Constants!$B$2,TRUE(),IF($AD371=Constants!$B$3,FALSE(),FALSE())))</f>
        <v/>
      </c>
      <c r="BH371" s="73" t="str">
        <f aca="false">IF(ISBLANK($C371),"",IF($BG371,Constants!$B$7,IF(COUNTA($E371:$AC371)=0,Constants!$B$6,IF(OR(COUNTA($G371:$AC371)=0,NOT($AK371),$AQ371),Constants!$B$5,IF(OR($CI371&lt;&gt;"",$CJ371,$CK371,$CL371,$CM371,$CN371,$CO371),Constants!$B$8,Constants!$B$4)))))</f>
        <v/>
      </c>
      <c r="BI371" s="74" t="str">
        <f aca="false">IF(ISBLANK($C371),"",IF($BH371&lt;&gt;Constants!$B$4,$BH371,IF(OR(NOT($AH371),NOT($AJ371),NOT($AR371)),Constants!$B$11,IF(OR(NOT($AP371),MAX($AL371,$AM371,$AN371)&gt;Constants!$B$30),Constants!$B$10,Constants!$B$9))))</f>
        <v/>
      </c>
      <c r="BJ371" s="74" t="str">
        <f aca="false">IF($BH371&lt;&gt;Constants!$B$4,"",IF(NOT($AJ371),0,MIN(Constants!$B$35,$BC371)))</f>
        <v/>
      </c>
      <c r="BK371" s="74" t="str">
        <f aca="false">IF($BH371&lt;&gt;Constants!$B$4,"",IF(NOT($AJ371),0,IF($AT371,Constants!$B$18,IF($AS371,Constants!$B$17,0))))</f>
        <v/>
      </c>
      <c r="BL371" s="74" t="str">
        <f aca="false">IF($BH371&lt;&gt;Constants!$B$4,"",IF(NOT($AJ371),0,Constants!$B$19*($AI371+$AU371+$AV371+$AW371)))</f>
        <v/>
      </c>
      <c r="BM371" s="74" t="str">
        <f aca="false">IF($BH371&lt;&gt;Constants!$B$4,"",IF(OR(NOT($AJ371),NOT(ISNUMBER($AX371))),0,CHOOSE($AX371,Constants!$B$13,Constants!$B$14,Constants!$B$15,Constants!$B$16)))</f>
        <v/>
      </c>
      <c r="BN371" s="74" t="str">
        <f aca="false">IF($BH371&lt;&gt;Constants!$B$4,"",IF(NOT($AJ371),0,Constants!$B$20*$AY371))</f>
        <v/>
      </c>
      <c r="BO371" s="74" t="str">
        <f aca="false">IF($BH371&lt;&gt;Constants!$B$4,"",IF(AND($AJ371,$BA371,$BB371),Constants!$B$22,0))</f>
        <v/>
      </c>
      <c r="BP371" s="74" t="str">
        <f aca="false">IF($BH371&lt;&gt;Constants!$B$4,"",IF(OR(NOT($AJ371),NOT($BA371)),0,IF($BF371&gt;=2*$AF$9,0,Constants!$B$23*INT(ROUND(MIN($BF371,$AF$9),6)))))</f>
        <v/>
      </c>
      <c r="BQ371" s="74" t="str">
        <f aca="false">IF($BH371&lt;&gt;Constants!$B$4,"",IF(NOT($AJ371),0,Constants!$B$24*INT(ROUND(MIN($AZ371,$AF$9),6))))</f>
        <v/>
      </c>
      <c r="BR371" s="74" t="str">
        <f aca="false">IF($BH371&lt;&gt;Constants!$B$4,"",IF(AND($AJ371,$BJ371=0),Constants!$B$25,0))</f>
        <v/>
      </c>
      <c r="BS371" s="74" t="str">
        <f aca="false">IF($BH371&lt;&gt;Constants!$B$4,"",MIN(Constants!$B$29,MAX(0,Constants!$B$27*Constants!$B$28*INT(ROUND((Constants!$B$26-$AL371)/Constants!$B$28,6))))+MIN(Constants!$B$29,MAX(0,Constants!$B$27*Constants!$B$28*INT(ROUND((Constants!$B$26-$AM371)/Constants!$B$28,6))))+MIN(Constants!$B$29,MAX(0,Constants!$B$27*Constants!$B$28*INT(ROUND((Constants!$B$26-$AN371)/Constants!$B$28,6)))))</f>
        <v/>
      </c>
      <c r="BT371" s="74" t="str">
        <f aca="false">IF($BH371&lt;&gt;Constants!$B$4,"",IF(NOT($AJ371),0,Constants!$B$31*INT(ROUND(MAX(0,MIN($BF371,2*$AF$9)-$AF$9),6))))</f>
        <v/>
      </c>
      <c r="BU371" s="74" t="str">
        <f aca="false">IF($BH371&lt;&gt;Constants!$B$4,"",Constants!$B$32*(($AL371&gt;Constants!$B$26)+($AM371&gt;Constants!$B$26)+($AN371&gt;Constants!$B$26)))</f>
        <v/>
      </c>
      <c r="BV371" s="74" t="str">
        <f aca="false">IF($BH371&lt;&gt;Constants!$B$4,"",IF(OR(NOT($AJ371),$AO371),0,Constants!$B$33))</f>
        <v/>
      </c>
      <c r="BW371" s="74" t="str">
        <f aca="false">IF($BH371&lt;&gt;Constants!$B$4,"",Constants!$B$34*$BJ371)</f>
        <v/>
      </c>
      <c r="BX371" s="74" t="str">
        <f aca="false">IF($BH371&lt;&gt;Constants!$B$4,"",IF(OR(NOT($AJ371),$BE371),0,Constants!$B$36))</f>
        <v/>
      </c>
      <c r="BY371" s="74" t="str">
        <f aca="false">IF($BH371&lt;&gt;Constants!$B$4,"",IF(OR(NOT($AJ371),$BD371),0,Constants!$B$37))</f>
        <v/>
      </c>
      <c r="BZ371" s="74" t="str">
        <f aca="false">IF($BH371&lt;&gt;Constants!$B$4,"",SUM($BT371:$BY371))</f>
        <v/>
      </c>
      <c r="CA371" s="74" t="str">
        <f aca="false">IF(ISBLANK($C371),"",IF($BH371&lt;&gt;Constants!$B$4,$BH371,SUM($BK371:$BS371)-$BZ371))</f>
        <v/>
      </c>
      <c r="CB371" s="74" t="str">
        <f aca="false">IF(ISBLANK($C371),"",IF($BH371&lt;&gt;Constants!$B$4,$BH371,RANK($CA371,$CA$9:$CA$508)))</f>
        <v/>
      </c>
      <c r="CC371" s="74" t="str">
        <f aca="false">IF(ISBLANK($C371),"",IF($BH371&lt;&gt;Constants!$B$4,$BH371,COUNTIFS($BI$9:$BI$508,"&lt;"&amp;$BI371)+COUNTIFS($BI$9:$BI$508,$BI371,$CB$9:$CB$508,"&lt;"&amp;$CB371)+1))</f>
        <v/>
      </c>
      <c r="CD371" s="74" t="str">
        <f aca="false">IF(ISBLANK($C371),"",IF($BH371&lt;&gt;Constants!$B$4,$BH371,RANK($BZ371,$BZ$9:$BZ$508,1)))</f>
        <v/>
      </c>
      <c r="CE371" s="74" t="str">
        <f aca="false">IF($BH371&lt;&gt;Constants!$B$4,"",$AL371+$AM371+$AN371)</f>
        <v/>
      </c>
      <c r="CF371" s="74" t="str">
        <f aca="false">IF(ISBLANK($C371),"",IF($BH371&lt;&gt;Constants!$B$4,$BH371,RANK($CE371,$CE$9:$CE$508,1)))</f>
        <v/>
      </c>
      <c r="CG371" s="74" t="str">
        <f aca="false">IF(ISBLANK($C371),"",IF($BH371&lt;&gt;Constants!$B$4,$BH371,COUNTIFS($BI$9:$BI$508,"&lt;"&amp;$BI371)+COUNTIFS($BI$9:$BI$508,$BI371,$CB$9:$CB$508,"&lt;"&amp;$CB371)+COUNTIFS($BI$9:$BI$508,$BI371,$CB$9:$CB$508,$CB371,$CD$9:$CD$508,"&lt;"&amp;$CD371)+COUNTIFS($BI$9:$BI$508,$BI371,$CB$9:$CB$508,$CB371,$CD$9:$CD$508,$CD371,$CF$9:$CF$508,"&lt;"&amp;$CF371)+1))</f>
        <v/>
      </c>
      <c r="CH371" s="74" t="str">
        <f aca="false">IF(ISBLANK($C371),"",IF($BH371&lt;&gt;Constants!$B$4,$BH371,$CC371-$CG371))</f>
        <v/>
      </c>
      <c r="CI371" s="74" t="str">
        <f aca="false">IF(ISBLANK($C371),"",IF(NOT($AJ371),"",IF(ISBLANK($D$7),$CI$5,IF(NOT(ISNUMBER($D$7)),$CI$6,""))))</f>
        <v/>
      </c>
      <c r="CJ371" s="74" t="str">
        <f aca="false">IF(ISBLANK($C371),"",OR($AL371="",$AM371="",$AN371=""))</f>
        <v/>
      </c>
      <c r="CK371" s="74" t="str">
        <f aca="false">IF(ISBLANK($C371),"",AND($AJ371,$AX371=""))</f>
        <v/>
      </c>
      <c r="CL371" s="74" t="str">
        <f aca="false">IF(ISBLANK($C371),"",AND($AJ371,$AY371=""))</f>
        <v/>
      </c>
      <c r="CM371" s="74" t="str">
        <f aca="false">IF(ISBLANK($C371),"",AND($AJ371,$AZ371=""))</f>
        <v/>
      </c>
      <c r="CN371" s="74" t="str">
        <f aca="false">IF(ISBLANK($C371),"",AND($AJ371,$BC371=""))</f>
        <v/>
      </c>
      <c r="CO371" s="74" t="str">
        <f aca="false">IF(ISBLANK($C371),"",AND($AJ371,$BF371=""))</f>
        <v/>
      </c>
      <c r="CP371" s="75"/>
      <c r="CQ371" s="76"/>
      <c r="CR371" s="79" t="str">
        <f aca="false">IF(ISBLANK($C371),"",IF($BH371=Constants!$B$8,$CI371,""))</f>
        <v/>
      </c>
      <c r="CS371" s="76" t="str">
        <f aca="false">IF(ISBLANK($C371),"",IF($BH371&lt;&gt;Constants!$B$4,"",$BK371+$BL371))</f>
        <v/>
      </c>
      <c r="CT371" s="78" t="str">
        <f aca="false">IF(ISBLANK($C371),"",IF($BH371&lt;&gt;Constants!$B$4,"",$BM371+$BN371+$BO371))</f>
        <v/>
      </c>
      <c r="CU371" s="78" t="str">
        <f aca="false">IF(ISBLANK($C371),"",IF($BH371&lt;&gt;Constants!$B$4,"",$BP371))</f>
        <v/>
      </c>
      <c r="CV371" s="78" t="str">
        <f aca="false">IF(ISBLANK($C371),"",IF($BH371&lt;&gt;Constants!$B$4,"",$BQ371+$BR371))</f>
        <v/>
      </c>
      <c r="CW371" s="78" t="str">
        <f aca="false">IF(ISBLANK($C371),"",IF($BH371&lt;&gt;Constants!$B$4,"",$BS371))</f>
        <v/>
      </c>
      <c r="CX371" s="78" t="str">
        <f aca="false">IF(ISBLANK($C371),"",IF($BH371&lt;&gt;Constants!$B$4,"",-$BZ371))</f>
        <v/>
      </c>
      <c r="CY371" s="79" t="str">
        <f aca="false">IF(ISBLANK($C371),"",$CA371)</f>
        <v/>
      </c>
      <c r="CZ371" s="80" t="str">
        <f aca="false">IF(ISBLANK($C371),"",$BI371)</f>
        <v/>
      </c>
      <c r="DA371" s="78" t="str">
        <f aca="false">IF(ISBLANK($C371),"",$CH371)</f>
        <v/>
      </c>
      <c r="DB371" s="78" t="str">
        <f aca="false">IF(ISBLANK($C371),"",$CG371)</f>
        <v/>
      </c>
      <c r="DC371" s="81" t="str">
        <f aca="false">IF(ISBLANK($C371),"",IFERROR(_xlfn.SWITCH($DB371,Constants!$B$7,COUNTA($C$9:$C$508)+2,Constants!$B$6,COUNTA($C$9:$C$508)+1,Constants!$B$5,COUNTA($C$9:$C$508)),$DB371))</f>
        <v/>
      </c>
      <c r="DD371" s="7"/>
      <c r="DE371" s="82" t="n">
        <f aca="false">IF(OR(ISNUMBER($DB371),$DB371=Constants!$B$7,$DB371=Constants!$B$5,$DB371=Constants!$B$6),1,0)</f>
        <v>0</v>
      </c>
      <c r="DF371" s="82" t="n">
        <v>363</v>
      </c>
      <c r="DG371" s="82" t="str">
        <f aca="false">IF(ISBLANK($C371),"",IF(ISNUMBER($DC371),$DC371+ROW($B371)/1000,""))</f>
        <v/>
      </c>
      <c r="DH371" s="82" t="str">
        <f aca="false">IF(ISNUMBER($DG371),RANK($DG371,$DG$9:$DG$508,1),"")</f>
        <v/>
      </c>
      <c r="DI371" s="82" t="str">
        <f aca="false">IF(ISBLANK($C371),"",$B371)</f>
        <v/>
      </c>
      <c r="DJ371" s="82" t="str">
        <f aca="false">IF(ISBLANK($C371),"",$C371)</f>
        <v/>
      </c>
      <c r="DK371" s="82" t="str">
        <f aca="false">IF(ISBLANK($C371),"",$D371)</f>
        <v/>
      </c>
      <c r="DL371" s="83" t="str">
        <f aca="false">$CZ371</f>
        <v/>
      </c>
      <c r="DM371" s="84" t="str">
        <f aca="false">$CY371</f>
        <v/>
      </c>
      <c r="DN371" s="82" t="str">
        <f aca="false">IF(ISBLANK($C371),"",$DB371)</f>
        <v/>
      </c>
      <c r="DO371" s="85" t="str">
        <f aca="false">IF($DF371&gt;$DE$8,"",VLOOKUP($DF371,$DH$9:$DN$508,7,FALSE()))</f>
        <v/>
      </c>
      <c r="DP371" s="86" t="str">
        <f aca="false">IF($DF371&gt;$DE$8,"",VLOOKUP($DF371,$DH$9:$DN$508,2,FALSE()))</f>
        <v/>
      </c>
      <c r="DQ371" s="86" t="str">
        <f aca="false">IF($DF371&gt;$DE$8,"",VLOOKUP($DF371,$DH$9:$DN$508,3,FALSE()))</f>
        <v/>
      </c>
      <c r="DR371" s="86" t="str">
        <f aca="false">IF($DF371&gt;$DE$8,"",VLOOKUP($DF371,$DH$9:$DN$508,4,FALSE()))</f>
        <v/>
      </c>
      <c r="DS371" s="86" t="str">
        <f aca="false">IF($DF371&gt;$DE$8,"",VLOOKUP($DF371,$DH$9:$DN$508,5,FALSE()))</f>
        <v/>
      </c>
      <c r="DT371" s="87" t="str">
        <f aca="false">IF($DF371&gt;$DE$8,"",VLOOKUP($DF371,$DH$9:$DN$508,6,FALSE()))</f>
        <v/>
      </c>
      <c r="DU371" s="62"/>
    </row>
    <row r="372" customFormat="false" ht="15.75" hidden="false" customHeight="false" outlineLevel="0" collapsed="false">
      <c r="A372" s="7"/>
      <c r="B372" s="90"/>
      <c r="C372" s="91"/>
      <c r="D372" s="126"/>
      <c r="E372" s="130"/>
      <c r="F372" s="135"/>
      <c r="G372" s="130"/>
      <c r="H372" s="135"/>
      <c r="I372" s="131"/>
      <c r="J372" s="131"/>
      <c r="K372" s="131"/>
      <c r="L372" s="130"/>
      <c r="M372" s="130"/>
      <c r="N372" s="130"/>
      <c r="O372" s="135"/>
      <c r="P372" s="130"/>
      <c r="Q372" s="130"/>
      <c r="R372" s="130"/>
      <c r="S372" s="130"/>
      <c r="T372" s="135"/>
      <c r="U372" s="130"/>
      <c r="V372" s="96"/>
      <c r="W372" s="130"/>
      <c r="X372" s="130"/>
      <c r="Y372" s="96"/>
      <c r="Z372" s="96"/>
      <c r="AA372" s="130"/>
      <c r="AB372" s="130"/>
      <c r="AC372" s="97"/>
      <c r="AD372" s="130"/>
      <c r="AE372" s="99"/>
      <c r="AF372" s="100"/>
      <c r="AG372" s="100"/>
      <c r="AH372" s="100" t="str">
        <f aca="false">IF(ISBLANK($C372),"",IF($E372=Constants!$B$2,TRUE(),IF($E372=Constants!$B$3,FALSE(),TRUE())))</f>
        <v/>
      </c>
      <c r="AI372" s="100" t="str">
        <f aca="false">IF(ISBLANK($C372),"",IF($F372=Constants!$B$2,TRUE(),IF($F372=Constants!$B$3,FALSE(),FALSE())))</f>
        <v/>
      </c>
      <c r="AJ372" s="100" t="str">
        <f aca="false">IF(ISBLANK($C372),"",IF($G372=Constants!$B$2,TRUE(),IF($G372=Constants!$B$3,FALSE(),TRUE())))</f>
        <v/>
      </c>
      <c r="AK372" s="100" t="str">
        <f aca="false">IF(ISBLANK($C372),"",IF($H372=Constants!$B$2,TRUE(),IF($H372=Constants!$B$3,FALSE(),TRUE())))</f>
        <v/>
      </c>
      <c r="AL372" s="100" t="str">
        <f aca="false">IF(ISBLANK($C372),"",IF(ISNUMBER($I372),IF($I372&gt;=0,$I372,""),""))</f>
        <v/>
      </c>
      <c r="AM372" s="100" t="str">
        <f aca="false">IF(ISBLANK($C372),"",IF(ISNUMBER($J372),IF($J372&gt;=0,$J372,""),""))</f>
        <v/>
      </c>
      <c r="AN372" s="100" t="str">
        <f aca="false">IF(ISBLANK($C372),"",IF(ISNUMBER($K372),IF($K372&gt;=0,$K372,""),""))</f>
        <v/>
      </c>
      <c r="AO372" s="100" t="str">
        <f aca="false">IF(ISBLANK($C372),"",IF($L372=Constants!$B$2,TRUE(),IF($L372=Constants!$B$3,FALSE(),TRUE())))</f>
        <v/>
      </c>
      <c r="AP372" s="100" t="str">
        <f aca="false">IF(ISBLANK($C372),"",IF($M372=Constants!$B$2,TRUE(),IF($M372=Constants!$B$3,FALSE(),TRUE())))</f>
        <v/>
      </c>
      <c r="AQ372" s="100" t="str">
        <f aca="false">IF(ISBLANK($C372),"",IF($N372=Constants!$B$2,TRUE(),IF($N372=Constants!$B$3,FALSE(),FALSE())))</f>
        <v/>
      </c>
      <c r="AR372" s="100" t="str">
        <f aca="false">IF(ISBLANK($C372),"",IF($O372=Constants!$B$2,TRUE(),IF($O372=Constants!$B$3,FALSE(),TRUE())))</f>
        <v/>
      </c>
      <c r="AS372" s="100" t="str">
        <f aca="false">IF(ISBLANK($C372),"",IF($P372=Constants!$B$2,TRUE(),IF($P372=Constants!$B$3,FALSE(),FALSE())))</f>
        <v/>
      </c>
      <c r="AT372" s="100" t="str">
        <f aca="false">IF(ISBLANK($C372),"",IF($Q372=Constants!$B$2,TRUE(),IF($Q372=Constants!$B$3,FALSE(),FALSE())))</f>
        <v/>
      </c>
      <c r="AU372" s="100" t="str">
        <f aca="false">IF(ISBLANK($C372),"",IF($R372=Constants!$B$2,TRUE(),IF($R372=Constants!$B$3,FALSE(),FALSE())))</f>
        <v/>
      </c>
      <c r="AV372" s="100" t="str">
        <f aca="false">IF(ISBLANK($C372),"",IF($S372=Constants!$B$2,TRUE(),IF($S372=Constants!$B$3,FALSE(),FALSE())))</f>
        <v/>
      </c>
      <c r="AW372" s="100" t="str">
        <f aca="false">IF(ISBLANK($C372),"",IF($T372=Constants!$B$2,TRUE(),IF($T372=Constants!$B$3,FALSE(),FALSE())))</f>
        <v/>
      </c>
      <c r="AX372" s="100" t="str">
        <f aca="false">IF(ISBLANK($C372),"",IF(OR($U372&amp;""="1",$U372&amp;""="2",$U372&amp;""="3",$U372&amp;""="4"),VALUE($U372&amp;""),IF($U372=Constants!$B$12,Constants!$B$12,"")))</f>
        <v/>
      </c>
      <c r="AY372" s="100" t="str">
        <f aca="false">IF(ISBLANK($C372),"",IF(ISBLANK($V372),0,IF(ISNUMBER($V372),IF(AND($V372&gt;=0,$V372&lt;=Constants!$B$21,$V372=INT($V372)),$V372,""),"")))</f>
        <v/>
      </c>
      <c r="AZ372" s="100" t="str">
        <f aca="false">IF(ISBLANK($C372),"",IF(ISBLANK($W372),0,IF(ISNUMBER($W372),IF($W372&gt;=0,$W372,""),"")))</f>
        <v/>
      </c>
      <c r="BA372" s="100" t="str">
        <f aca="false">IF(ISBLANK($C372),"",IF($X372=Constants!$B$2,TRUE(),IF($X372=Constants!$B$3,FALSE(),TRUE())))</f>
        <v/>
      </c>
      <c r="BB372" s="100" t="str">
        <f aca="false">IF(ISBLANK($C372),"",IF($Y372=Constants!$B$2,TRUE(),IF($Y372=Constants!$B$3,FALSE(),FALSE())))</f>
        <v/>
      </c>
      <c r="BC372" s="100" t="str">
        <f aca="false">IF(ISBLANK($C372),"",IF(ISBLANK($Z372),0,IF(ISNUMBER($Z372),IF(AND($Z372&gt;=0,$Z372&lt;=Constants!$B$35,$Z372=INT($Z372)),$Z372,""),"")))</f>
        <v/>
      </c>
      <c r="BD372" s="100" t="str">
        <f aca="false">IF(ISBLANK($C372),"",IF($AA372=Constants!$B$2,TRUE(),IF($AA372=Constants!$B$3,FALSE(),TRUE())))</f>
        <v/>
      </c>
      <c r="BE372" s="100" t="str">
        <f aca="false">IF(ISBLANK($C372),"",IF($AB372=Constants!$B$2,TRUE(),IF($AB372=Constants!$B$3,FALSE(),TRUE())))</f>
        <v/>
      </c>
      <c r="BF372" s="100" t="str">
        <f aca="false">IF(ISBLANK($C372),"",IF(ISNUMBER($AC372),IF($AC372&gt;=0,$AC372,""),""))</f>
        <v/>
      </c>
      <c r="BG372" s="100" t="str">
        <f aca="false">IF(ISBLANK($C372),"",IF($AD372=Constants!$B$2,TRUE(),IF($AD372=Constants!$B$3,FALSE(),FALSE())))</f>
        <v/>
      </c>
      <c r="BH372" s="99" t="str">
        <f aca="false">IF(ISBLANK($C372),"",IF($BG372,Constants!$B$7,IF(COUNTA($E372:$AC372)=0,Constants!$B$6,IF(OR(COUNTA($G372:$AC372)=0,NOT($AK372),$AQ372),Constants!$B$5,IF(OR($CI372&lt;&gt;"",$CJ372,$CK372,$CL372,$CM372,$CN372,$CO372),Constants!$B$8,Constants!$B$4)))))</f>
        <v/>
      </c>
      <c r="BI372" s="100" t="str">
        <f aca="false">IF(ISBLANK($C372),"",IF($BH372&lt;&gt;Constants!$B$4,$BH372,IF(OR(NOT($AH372),NOT($AJ372),NOT($AR372)),Constants!$B$11,IF(OR(NOT($AP372),MAX($AL372,$AM372,$AN372)&gt;Constants!$B$30),Constants!$B$10,Constants!$B$9))))</f>
        <v/>
      </c>
      <c r="BJ372" s="100" t="str">
        <f aca="false">IF($BH372&lt;&gt;Constants!$B$4,"",IF(NOT($AJ372),0,MIN(Constants!$B$35,$BC372)))</f>
        <v/>
      </c>
      <c r="BK372" s="100" t="str">
        <f aca="false">IF($BH372&lt;&gt;Constants!$B$4,"",IF(NOT($AJ372),0,IF($AT372,Constants!$B$18,IF($AS372,Constants!$B$17,0))))</f>
        <v/>
      </c>
      <c r="BL372" s="100" t="str">
        <f aca="false">IF($BH372&lt;&gt;Constants!$B$4,"",IF(NOT($AJ372),0,Constants!$B$19*($AI372+$AU372+$AV372+$AW372)))</f>
        <v/>
      </c>
      <c r="BM372" s="100" t="str">
        <f aca="false">IF($BH372&lt;&gt;Constants!$B$4,"",IF(OR(NOT($AJ372),NOT(ISNUMBER($AX372))),0,CHOOSE($AX372,Constants!$B$13,Constants!$B$14,Constants!$B$15,Constants!$B$16)))</f>
        <v/>
      </c>
      <c r="BN372" s="100" t="str">
        <f aca="false">IF($BH372&lt;&gt;Constants!$B$4,"",IF(NOT($AJ372),0,Constants!$B$20*$AY372))</f>
        <v/>
      </c>
      <c r="BO372" s="100" t="str">
        <f aca="false">IF($BH372&lt;&gt;Constants!$B$4,"",IF(AND($AJ372,$BA372,$BB372),Constants!$B$22,0))</f>
        <v/>
      </c>
      <c r="BP372" s="100" t="str">
        <f aca="false">IF($BH372&lt;&gt;Constants!$B$4,"",IF(OR(NOT($AJ372),NOT($BA372)),0,IF($BF372&gt;=2*$AF$9,0,Constants!$B$23*INT(ROUND(MIN($BF372,$AF$9),6)))))</f>
        <v/>
      </c>
      <c r="BQ372" s="100" t="str">
        <f aca="false">IF($BH372&lt;&gt;Constants!$B$4,"",IF(NOT($AJ372),0,Constants!$B$24*INT(ROUND(MIN($AZ372,$AF$9),6))))</f>
        <v/>
      </c>
      <c r="BR372" s="100" t="str">
        <f aca="false">IF($BH372&lt;&gt;Constants!$B$4,"",IF(AND($AJ372,$BJ372=0),Constants!$B$25,0))</f>
        <v/>
      </c>
      <c r="BS372" s="100" t="str">
        <f aca="false">IF($BH372&lt;&gt;Constants!$B$4,"",MIN(Constants!$B$29,MAX(0,Constants!$B$27*Constants!$B$28*INT(ROUND((Constants!$B$26-$AL372)/Constants!$B$28,6))))+MIN(Constants!$B$29,MAX(0,Constants!$B$27*Constants!$B$28*INT(ROUND((Constants!$B$26-$AM372)/Constants!$B$28,6))))+MIN(Constants!$B$29,MAX(0,Constants!$B$27*Constants!$B$28*INT(ROUND((Constants!$B$26-$AN372)/Constants!$B$28,6)))))</f>
        <v/>
      </c>
      <c r="BT372" s="100" t="str">
        <f aca="false">IF($BH372&lt;&gt;Constants!$B$4,"",IF(NOT($AJ372),0,Constants!$B$31*INT(ROUND(MAX(0,MIN($BF372,2*$AF$9)-$AF$9),6))))</f>
        <v/>
      </c>
      <c r="BU372" s="100" t="str">
        <f aca="false">IF($BH372&lt;&gt;Constants!$B$4,"",Constants!$B$32*(($AL372&gt;Constants!$B$26)+($AM372&gt;Constants!$B$26)+($AN372&gt;Constants!$B$26)))</f>
        <v/>
      </c>
      <c r="BV372" s="100" t="str">
        <f aca="false">IF($BH372&lt;&gt;Constants!$B$4,"",IF(OR(NOT($AJ372),$AO372),0,Constants!$B$33))</f>
        <v/>
      </c>
      <c r="BW372" s="100" t="str">
        <f aca="false">IF($BH372&lt;&gt;Constants!$B$4,"",Constants!$B$34*$BJ372)</f>
        <v/>
      </c>
      <c r="BX372" s="100" t="str">
        <f aca="false">IF($BH372&lt;&gt;Constants!$B$4,"",IF(OR(NOT($AJ372),$BE372),0,Constants!$B$36))</f>
        <v/>
      </c>
      <c r="BY372" s="100" t="str">
        <f aca="false">IF($BH372&lt;&gt;Constants!$B$4,"",IF(OR(NOT($AJ372),$BD372),0,Constants!$B$37))</f>
        <v/>
      </c>
      <c r="BZ372" s="100" t="str">
        <f aca="false">IF($BH372&lt;&gt;Constants!$B$4,"",SUM($BT372:$BY372))</f>
        <v/>
      </c>
      <c r="CA372" s="100" t="str">
        <f aca="false">IF(ISBLANK($C372),"",IF($BH372&lt;&gt;Constants!$B$4,$BH372,SUM($BK372:$BS372)-$BZ372))</f>
        <v/>
      </c>
      <c r="CB372" s="100" t="str">
        <f aca="false">IF(ISBLANK($C372),"",IF($BH372&lt;&gt;Constants!$B$4,$BH372,RANK($CA372,$CA$9:$CA$508)))</f>
        <v/>
      </c>
      <c r="CC372" s="100" t="str">
        <f aca="false">IF(ISBLANK($C372),"",IF($BH372&lt;&gt;Constants!$B$4,$BH372,COUNTIFS($BI$9:$BI$508,"&lt;"&amp;$BI372)+COUNTIFS($BI$9:$BI$508,$BI372,$CB$9:$CB$508,"&lt;"&amp;$CB372)+1))</f>
        <v/>
      </c>
      <c r="CD372" s="100" t="str">
        <f aca="false">IF(ISBLANK($C372),"",IF($BH372&lt;&gt;Constants!$B$4,$BH372,RANK($BZ372,$BZ$9:$BZ$508,1)))</f>
        <v/>
      </c>
      <c r="CE372" s="100" t="str">
        <f aca="false">IF($BH372&lt;&gt;Constants!$B$4,"",$AL372+$AM372+$AN372)</f>
        <v/>
      </c>
      <c r="CF372" s="100" t="str">
        <f aca="false">IF(ISBLANK($C372),"",IF($BH372&lt;&gt;Constants!$B$4,$BH372,RANK($CE372,$CE$9:$CE$508,1)))</f>
        <v/>
      </c>
      <c r="CG372" s="100" t="str">
        <f aca="false">IF(ISBLANK($C372),"",IF($BH372&lt;&gt;Constants!$B$4,$BH372,COUNTIFS($BI$9:$BI$508,"&lt;"&amp;$BI372)+COUNTIFS($BI$9:$BI$508,$BI372,$CB$9:$CB$508,"&lt;"&amp;$CB372)+COUNTIFS($BI$9:$BI$508,$BI372,$CB$9:$CB$508,$CB372,$CD$9:$CD$508,"&lt;"&amp;$CD372)+COUNTIFS($BI$9:$BI$508,$BI372,$CB$9:$CB$508,$CB372,$CD$9:$CD$508,$CD372,$CF$9:$CF$508,"&lt;"&amp;$CF372)+1))</f>
        <v/>
      </c>
      <c r="CH372" s="100" t="str">
        <f aca="false">IF(ISBLANK($C372),"",IF($BH372&lt;&gt;Constants!$B$4,$BH372,$CC372-$CG372))</f>
        <v/>
      </c>
      <c r="CI372" s="100" t="str">
        <f aca="false">IF(ISBLANK($C372),"",IF(NOT($AJ372),"",IF(ISBLANK($D$7),$CI$5,IF(NOT(ISNUMBER($D$7)),$CI$6,""))))</f>
        <v/>
      </c>
      <c r="CJ372" s="100" t="str">
        <f aca="false">IF(ISBLANK($C372),"",OR($AL372="",$AM372="",$AN372=""))</f>
        <v/>
      </c>
      <c r="CK372" s="100" t="str">
        <f aca="false">IF(ISBLANK($C372),"",AND($AJ372,$AX372=""))</f>
        <v/>
      </c>
      <c r="CL372" s="100" t="str">
        <f aca="false">IF(ISBLANK($C372),"",AND($AJ372,$AY372=""))</f>
        <v/>
      </c>
      <c r="CM372" s="100" t="str">
        <f aca="false">IF(ISBLANK($C372),"",AND($AJ372,$AZ372=""))</f>
        <v/>
      </c>
      <c r="CN372" s="100" t="str">
        <f aca="false">IF(ISBLANK($C372),"",AND($AJ372,$BC372=""))</f>
        <v/>
      </c>
      <c r="CO372" s="100" t="str">
        <f aca="false">IF(ISBLANK($C372),"",AND($AJ372,$BF372=""))</f>
        <v/>
      </c>
      <c r="CP372" s="101"/>
      <c r="CQ372" s="102"/>
      <c r="CR372" s="103" t="str">
        <f aca="false">IF(ISBLANK($C372),"",IF($BH372=Constants!$B$8,$CI372,""))</f>
        <v/>
      </c>
      <c r="CS372" s="102" t="str">
        <f aca="false">IF(ISBLANK($C372),"",IF($BH372&lt;&gt;Constants!$B$4,"",$BK372+$BL372))</f>
        <v/>
      </c>
      <c r="CT372" s="104" t="str">
        <f aca="false">IF(ISBLANK($C372),"",IF($BH372&lt;&gt;Constants!$B$4,"",$BM372+$BN372+$BO372))</f>
        <v/>
      </c>
      <c r="CU372" s="104" t="str">
        <f aca="false">IF(ISBLANK($C372),"",IF($BH372&lt;&gt;Constants!$B$4,"",$BP372))</f>
        <v/>
      </c>
      <c r="CV372" s="104" t="str">
        <f aca="false">IF(ISBLANK($C372),"",IF($BH372&lt;&gt;Constants!$B$4,"",$BQ372+$BR372))</f>
        <v/>
      </c>
      <c r="CW372" s="104" t="str">
        <f aca="false">IF(ISBLANK($C372),"",IF($BH372&lt;&gt;Constants!$B$4,"",$BS372))</f>
        <v/>
      </c>
      <c r="CX372" s="104" t="str">
        <f aca="false">IF(ISBLANK($C372),"",IF($BH372&lt;&gt;Constants!$B$4,"",-$BZ372))</f>
        <v/>
      </c>
      <c r="CY372" s="103" t="str">
        <f aca="false">IF(ISBLANK($C372),"",$CA372)</f>
        <v/>
      </c>
      <c r="CZ372" s="105" t="str">
        <f aca="false">IF(ISBLANK($C372),"",$BI372)</f>
        <v/>
      </c>
      <c r="DA372" s="104" t="str">
        <f aca="false">IF(ISBLANK($C372),"",$CH372)</f>
        <v/>
      </c>
      <c r="DB372" s="104" t="str">
        <f aca="false">IF(ISBLANK($C372),"",$CG372)</f>
        <v/>
      </c>
      <c r="DC372" s="106" t="str">
        <f aca="false">IF(ISBLANK($C372),"",IFERROR(_xlfn.SWITCH($DB372,Constants!$B$7,COUNTA($C$9:$C$508)+2,Constants!$B$6,COUNTA($C$9:$C$508)+1,Constants!$B$5,COUNTA($C$9:$C$508)),$DB372))</f>
        <v/>
      </c>
      <c r="DD372" s="7"/>
      <c r="DE372" s="107" t="n">
        <f aca="false">IF(OR(ISNUMBER($DB372),$DB372=Constants!$B$7,$DB372=Constants!$B$5,$DB372=Constants!$B$6),1,0)</f>
        <v>0</v>
      </c>
      <c r="DF372" s="107" t="n">
        <v>364</v>
      </c>
      <c r="DG372" s="107" t="str">
        <f aca="false">IF(ISBLANK($C372),"",IF(ISNUMBER($DC372),$DC372+ROW($B372)/1000,""))</f>
        <v/>
      </c>
      <c r="DH372" s="107" t="str">
        <f aca="false">IF(ISNUMBER($DG372),RANK($DG372,$DG$9:$DG$508,1),"")</f>
        <v/>
      </c>
      <c r="DI372" s="107" t="str">
        <f aca="false">IF(ISBLANK($C372),"",$B372)</f>
        <v/>
      </c>
      <c r="DJ372" s="107" t="str">
        <f aca="false">IF(ISBLANK($C372),"",$C372)</f>
        <v/>
      </c>
      <c r="DK372" s="107" t="str">
        <f aca="false">IF(ISBLANK($C372),"",$D372)</f>
        <v/>
      </c>
      <c r="DL372" s="108" t="str">
        <f aca="false">$CZ372</f>
        <v/>
      </c>
      <c r="DM372" s="109" t="str">
        <f aca="false">$CY372</f>
        <v/>
      </c>
      <c r="DN372" s="107" t="str">
        <f aca="false">IF(ISBLANK($C372),"",$DB372)</f>
        <v/>
      </c>
      <c r="DO372" s="110" t="str">
        <f aca="false">IF($DF372&gt;$DE$8,"",VLOOKUP($DF372,$DH$9:$DN$508,7,FALSE()))</f>
        <v/>
      </c>
      <c r="DP372" s="111" t="str">
        <f aca="false">IF($DF372&gt;$DE$8,"",VLOOKUP($DF372,$DH$9:$DN$508,2,FALSE()))</f>
        <v/>
      </c>
      <c r="DQ372" s="111" t="str">
        <f aca="false">IF($DF372&gt;$DE$8,"",VLOOKUP($DF372,$DH$9:$DN$508,3,FALSE()))</f>
        <v/>
      </c>
      <c r="DR372" s="111" t="str">
        <f aca="false">IF($DF372&gt;$DE$8,"",VLOOKUP($DF372,$DH$9:$DN$508,4,FALSE()))</f>
        <v/>
      </c>
      <c r="DS372" s="111" t="str">
        <f aca="false">IF($DF372&gt;$DE$8,"",VLOOKUP($DF372,$DH$9:$DN$508,5,FALSE()))</f>
        <v/>
      </c>
      <c r="DT372" s="112" t="str">
        <f aca="false">IF($DF372&gt;$DE$8,"",VLOOKUP($DF372,$DH$9:$DN$508,6,FALSE()))</f>
        <v/>
      </c>
      <c r="DU372" s="62"/>
    </row>
    <row r="373" customFormat="false" ht="15.75" hidden="false" customHeight="false" outlineLevel="0" collapsed="false">
      <c r="A373" s="7"/>
      <c r="B373" s="90"/>
      <c r="C373" s="91"/>
      <c r="D373" s="126"/>
      <c r="E373" s="130"/>
      <c r="F373" s="135"/>
      <c r="G373" s="130"/>
      <c r="H373" s="135"/>
      <c r="I373" s="131"/>
      <c r="J373" s="131"/>
      <c r="K373" s="131"/>
      <c r="L373" s="130"/>
      <c r="M373" s="130"/>
      <c r="N373" s="130"/>
      <c r="O373" s="135"/>
      <c r="P373" s="130"/>
      <c r="Q373" s="130"/>
      <c r="R373" s="130"/>
      <c r="S373" s="130"/>
      <c r="T373" s="135"/>
      <c r="U373" s="130"/>
      <c r="V373" s="96"/>
      <c r="W373" s="130"/>
      <c r="X373" s="130"/>
      <c r="Y373" s="96"/>
      <c r="Z373" s="96"/>
      <c r="AA373" s="130"/>
      <c r="AB373" s="130"/>
      <c r="AC373" s="97"/>
      <c r="AD373" s="130"/>
      <c r="AE373" s="99"/>
      <c r="AF373" s="100"/>
      <c r="AG373" s="100"/>
      <c r="AH373" s="100" t="str">
        <f aca="false">IF(ISBLANK($C373),"",IF($E373=Constants!$B$2,TRUE(),IF($E373=Constants!$B$3,FALSE(),TRUE())))</f>
        <v/>
      </c>
      <c r="AI373" s="100" t="str">
        <f aca="false">IF(ISBLANK($C373),"",IF($F373=Constants!$B$2,TRUE(),IF($F373=Constants!$B$3,FALSE(),FALSE())))</f>
        <v/>
      </c>
      <c r="AJ373" s="100" t="str">
        <f aca="false">IF(ISBLANK($C373),"",IF($G373=Constants!$B$2,TRUE(),IF($G373=Constants!$B$3,FALSE(),TRUE())))</f>
        <v/>
      </c>
      <c r="AK373" s="100" t="str">
        <f aca="false">IF(ISBLANK($C373),"",IF($H373=Constants!$B$2,TRUE(),IF($H373=Constants!$B$3,FALSE(),TRUE())))</f>
        <v/>
      </c>
      <c r="AL373" s="100" t="str">
        <f aca="false">IF(ISBLANK($C373),"",IF(ISNUMBER($I373),IF($I373&gt;=0,$I373,""),""))</f>
        <v/>
      </c>
      <c r="AM373" s="100" t="str">
        <f aca="false">IF(ISBLANK($C373),"",IF(ISNUMBER($J373),IF($J373&gt;=0,$J373,""),""))</f>
        <v/>
      </c>
      <c r="AN373" s="100" t="str">
        <f aca="false">IF(ISBLANK($C373),"",IF(ISNUMBER($K373),IF($K373&gt;=0,$K373,""),""))</f>
        <v/>
      </c>
      <c r="AO373" s="100" t="str">
        <f aca="false">IF(ISBLANK($C373),"",IF($L373=Constants!$B$2,TRUE(),IF($L373=Constants!$B$3,FALSE(),TRUE())))</f>
        <v/>
      </c>
      <c r="AP373" s="100" t="str">
        <f aca="false">IF(ISBLANK($C373),"",IF($M373=Constants!$B$2,TRUE(),IF($M373=Constants!$B$3,FALSE(),TRUE())))</f>
        <v/>
      </c>
      <c r="AQ373" s="100" t="str">
        <f aca="false">IF(ISBLANK($C373),"",IF($N373=Constants!$B$2,TRUE(),IF($N373=Constants!$B$3,FALSE(),FALSE())))</f>
        <v/>
      </c>
      <c r="AR373" s="100" t="str">
        <f aca="false">IF(ISBLANK($C373),"",IF($O373=Constants!$B$2,TRUE(),IF($O373=Constants!$B$3,FALSE(),TRUE())))</f>
        <v/>
      </c>
      <c r="AS373" s="100" t="str">
        <f aca="false">IF(ISBLANK($C373),"",IF($P373=Constants!$B$2,TRUE(),IF($P373=Constants!$B$3,FALSE(),FALSE())))</f>
        <v/>
      </c>
      <c r="AT373" s="100" t="str">
        <f aca="false">IF(ISBLANK($C373),"",IF($Q373=Constants!$B$2,TRUE(),IF($Q373=Constants!$B$3,FALSE(),FALSE())))</f>
        <v/>
      </c>
      <c r="AU373" s="100" t="str">
        <f aca="false">IF(ISBLANK($C373),"",IF($R373=Constants!$B$2,TRUE(),IF($R373=Constants!$B$3,FALSE(),FALSE())))</f>
        <v/>
      </c>
      <c r="AV373" s="100" t="str">
        <f aca="false">IF(ISBLANK($C373),"",IF($S373=Constants!$B$2,TRUE(),IF($S373=Constants!$B$3,FALSE(),FALSE())))</f>
        <v/>
      </c>
      <c r="AW373" s="100" t="str">
        <f aca="false">IF(ISBLANK($C373),"",IF($T373=Constants!$B$2,TRUE(),IF($T373=Constants!$B$3,FALSE(),FALSE())))</f>
        <v/>
      </c>
      <c r="AX373" s="100" t="str">
        <f aca="false">IF(ISBLANK($C373),"",IF(OR($U373&amp;""="1",$U373&amp;""="2",$U373&amp;""="3",$U373&amp;""="4"),VALUE($U373&amp;""),IF($U373=Constants!$B$12,Constants!$B$12,"")))</f>
        <v/>
      </c>
      <c r="AY373" s="100" t="str">
        <f aca="false">IF(ISBLANK($C373),"",IF(ISBLANK($V373),0,IF(ISNUMBER($V373),IF(AND($V373&gt;=0,$V373&lt;=Constants!$B$21,$V373=INT($V373)),$V373,""),"")))</f>
        <v/>
      </c>
      <c r="AZ373" s="100" t="str">
        <f aca="false">IF(ISBLANK($C373),"",IF(ISBLANK($W373),0,IF(ISNUMBER($W373),IF($W373&gt;=0,$W373,""),"")))</f>
        <v/>
      </c>
      <c r="BA373" s="100" t="str">
        <f aca="false">IF(ISBLANK($C373),"",IF($X373=Constants!$B$2,TRUE(),IF($X373=Constants!$B$3,FALSE(),TRUE())))</f>
        <v/>
      </c>
      <c r="BB373" s="100" t="str">
        <f aca="false">IF(ISBLANK($C373),"",IF($Y373=Constants!$B$2,TRUE(),IF($Y373=Constants!$B$3,FALSE(),FALSE())))</f>
        <v/>
      </c>
      <c r="BC373" s="100" t="str">
        <f aca="false">IF(ISBLANK($C373),"",IF(ISBLANK($Z373),0,IF(ISNUMBER($Z373),IF(AND($Z373&gt;=0,$Z373&lt;=Constants!$B$35,$Z373=INT($Z373)),$Z373,""),"")))</f>
        <v/>
      </c>
      <c r="BD373" s="100" t="str">
        <f aca="false">IF(ISBLANK($C373),"",IF($AA373=Constants!$B$2,TRUE(),IF($AA373=Constants!$B$3,FALSE(),TRUE())))</f>
        <v/>
      </c>
      <c r="BE373" s="100" t="str">
        <f aca="false">IF(ISBLANK($C373),"",IF($AB373=Constants!$B$2,TRUE(),IF($AB373=Constants!$B$3,FALSE(),TRUE())))</f>
        <v/>
      </c>
      <c r="BF373" s="100" t="str">
        <f aca="false">IF(ISBLANK($C373),"",IF(ISNUMBER($AC373),IF($AC373&gt;=0,$AC373,""),""))</f>
        <v/>
      </c>
      <c r="BG373" s="100" t="str">
        <f aca="false">IF(ISBLANK($C373),"",IF($AD373=Constants!$B$2,TRUE(),IF($AD373=Constants!$B$3,FALSE(),FALSE())))</f>
        <v/>
      </c>
      <c r="BH373" s="99" t="str">
        <f aca="false">IF(ISBLANK($C373),"",IF($BG373,Constants!$B$7,IF(COUNTA($E373:$AC373)=0,Constants!$B$6,IF(OR(COUNTA($G373:$AC373)=0,NOT($AK373),$AQ373),Constants!$B$5,IF(OR($CI373&lt;&gt;"",$CJ373,$CK373,$CL373,$CM373,$CN373,$CO373),Constants!$B$8,Constants!$B$4)))))</f>
        <v/>
      </c>
      <c r="BI373" s="100" t="str">
        <f aca="false">IF(ISBLANK($C373),"",IF($BH373&lt;&gt;Constants!$B$4,$BH373,IF(OR(NOT($AH373),NOT($AJ373),NOT($AR373)),Constants!$B$11,IF(OR(NOT($AP373),MAX($AL373,$AM373,$AN373)&gt;Constants!$B$30),Constants!$B$10,Constants!$B$9))))</f>
        <v/>
      </c>
      <c r="BJ373" s="100" t="str">
        <f aca="false">IF($BH373&lt;&gt;Constants!$B$4,"",IF(NOT($AJ373),0,MIN(Constants!$B$35,$BC373)))</f>
        <v/>
      </c>
      <c r="BK373" s="100" t="str">
        <f aca="false">IF($BH373&lt;&gt;Constants!$B$4,"",IF(NOT($AJ373),0,IF($AT373,Constants!$B$18,IF($AS373,Constants!$B$17,0))))</f>
        <v/>
      </c>
      <c r="BL373" s="100" t="str">
        <f aca="false">IF($BH373&lt;&gt;Constants!$B$4,"",IF(NOT($AJ373),0,Constants!$B$19*($AI373+$AU373+$AV373+$AW373)))</f>
        <v/>
      </c>
      <c r="BM373" s="100" t="str">
        <f aca="false">IF($BH373&lt;&gt;Constants!$B$4,"",IF(OR(NOT($AJ373),NOT(ISNUMBER($AX373))),0,CHOOSE($AX373,Constants!$B$13,Constants!$B$14,Constants!$B$15,Constants!$B$16)))</f>
        <v/>
      </c>
      <c r="BN373" s="100" t="str">
        <f aca="false">IF($BH373&lt;&gt;Constants!$B$4,"",IF(NOT($AJ373),0,Constants!$B$20*$AY373))</f>
        <v/>
      </c>
      <c r="BO373" s="100" t="str">
        <f aca="false">IF($BH373&lt;&gt;Constants!$B$4,"",IF(AND($AJ373,$BA373,$BB373),Constants!$B$22,0))</f>
        <v/>
      </c>
      <c r="BP373" s="100" t="str">
        <f aca="false">IF($BH373&lt;&gt;Constants!$B$4,"",IF(OR(NOT($AJ373),NOT($BA373)),0,IF($BF373&gt;=2*$AF$9,0,Constants!$B$23*INT(ROUND(MIN($BF373,$AF$9),6)))))</f>
        <v/>
      </c>
      <c r="BQ373" s="100" t="str">
        <f aca="false">IF($BH373&lt;&gt;Constants!$B$4,"",IF(NOT($AJ373),0,Constants!$B$24*INT(ROUND(MIN($AZ373,$AF$9),6))))</f>
        <v/>
      </c>
      <c r="BR373" s="100" t="str">
        <f aca="false">IF($BH373&lt;&gt;Constants!$B$4,"",IF(AND($AJ373,$BJ373=0),Constants!$B$25,0))</f>
        <v/>
      </c>
      <c r="BS373" s="100" t="str">
        <f aca="false">IF($BH373&lt;&gt;Constants!$B$4,"",MIN(Constants!$B$29,MAX(0,Constants!$B$27*Constants!$B$28*INT(ROUND((Constants!$B$26-$AL373)/Constants!$B$28,6))))+MIN(Constants!$B$29,MAX(0,Constants!$B$27*Constants!$B$28*INT(ROUND((Constants!$B$26-$AM373)/Constants!$B$28,6))))+MIN(Constants!$B$29,MAX(0,Constants!$B$27*Constants!$B$28*INT(ROUND((Constants!$B$26-$AN373)/Constants!$B$28,6)))))</f>
        <v/>
      </c>
      <c r="BT373" s="100" t="str">
        <f aca="false">IF($BH373&lt;&gt;Constants!$B$4,"",IF(NOT($AJ373),0,Constants!$B$31*INT(ROUND(MAX(0,MIN($BF373,2*$AF$9)-$AF$9),6))))</f>
        <v/>
      </c>
      <c r="BU373" s="100" t="str">
        <f aca="false">IF($BH373&lt;&gt;Constants!$B$4,"",Constants!$B$32*(($AL373&gt;Constants!$B$26)+($AM373&gt;Constants!$B$26)+($AN373&gt;Constants!$B$26)))</f>
        <v/>
      </c>
      <c r="BV373" s="100" t="str">
        <f aca="false">IF($BH373&lt;&gt;Constants!$B$4,"",IF(OR(NOT($AJ373),$AO373),0,Constants!$B$33))</f>
        <v/>
      </c>
      <c r="BW373" s="100" t="str">
        <f aca="false">IF($BH373&lt;&gt;Constants!$B$4,"",Constants!$B$34*$BJ373)</f>
        <v/>
      </c>
      <c r="BX373" s="100" t="str">
        <f aca="false">IF($BH373&lt;&gt;Constants!$B$4,"",IF(OR(NOT($AJ373),$BE373),0,Constants!$B$36))</f>
        <v/>
      </c>
      <c r="BY373" s="100" t="str">
        <f aca="false">IF($BH373&lt;&gt;Constants!$B$4,"",IF(OR(NOT($AJ373),$BD373),0,Constants!$B$37))</f>
        <v/>
      </c>
      <c r="BZ373" s="100" t="str">
        <f aca="false">IF($BH373&lt;&gt;Constants!$B$4,"",SUM($BT373:$BY373))</f>
        <v/>
      </c>
      <c r="CA373" s="100" t="str">
        <f aca="false">IF(ISBLANK($C373),"",IF($BH373&lt;&gt;Constants!$B$4,$BH373,SUM($BK373:$BS373)-$BZ373))</f>
        <v/>
      </c>
      <c r="CB373" s="100" t="str">
        <f aca="false">IF(ISBLANK($C373),"",IF($BH373&lt;&gt;Constants!$B$4,$BH373,RANK($CA373,$CA$9:$CA$508)))</f>
        <v/>
      </c>
      <c r="CC373" s="100" t="str">
        <f aca="false">IF(ISBLANK($C373),"",IF($BH373&lt;&gt;Constants!$B$4,$BH373,COUNTIFS($BI$9:$BI$508,"&lt;"&amp;$BI373)+COUNTIFS($BI$9:$BI$508,$BI373,$CB$9:$CB$508,"&lt;"&amp;$CB373)+1))</f>
        <v/>
      </c>
      <c r="CD373" s="100" t="str">
        <f aca="false">IF(ISBLANK($C373),"",IF($BH373&lt;&gt;Constants!$B$4,$BH373,RANK($BZ373,$BZ$9:$BZ$508,1)))</f>
        <v/>
      </c>
      <c r="CE373" s="100" t="str">
        <f aca="false">IF($BH373&lt;&gt;Constants!$B$4,"",$AL373+$AM373+$AN373)</f>
        <v/>
      </c>
      <c r="CF373" s="100" t="str">
        <f aca="false">IF(ISBLANK($C373),"",IF($BH373&lt;&gt;Constants!$B$4,$BH373,RANK($CE373,$CE$9:$CE$508,1)))</f>
        <v/>
      </c>
      <c r="CG373" s="100" t="str">
        <f aca="false">IF(ISBLANK($C373),"",IF($BH373&lt;&gt;Constants!$B$4,$BH373,COUNTIFS($BI$9:$BI$508,"&lt;"&amp;$BI373)+COUNTIFS($BI$9:$BI$508,$BI373,$CB$9:$CB$508,"&lt;"&amp;$CB373)+COUNTIFS($BI$9:$BI$508,$BI373,$CB$9:$CB$508,$CB373,$CD$9:$CD$508,"&lt;"&amp;$CD373)+COUNTIFS($BI$9:$BI$508,$BI373,$CB$9:$CB$508,$CB373,$CD$9:$CD$508,$CD373,$CF$9:$CF$508,"&lt;"&amp;$CF373)+1))</f>
        <v/>
      </c>
      <c r="CH373" s="100" t="str">
        <f aca="false">IF(ISBLANK($C373),"",IF($BH373&lt;&gt;Constants!$B$4,$BH373,$CC373-$CG373))</f>
        <v/>
      </c>
      <c r="CI373" s="100" t="str">
        <f aca="false">IF(ISBLANK($C373),"",IF(NOT($AJ373),"",IF(ISBLANK($D$7),$CI$5,IF(NOT(ISNUMBER($D$7)),$CI$6,""))))</f>
        <v/>
      </c>
      <c r="CJ373" s="100" t="str">
        <f aca="false">IF(ISBLANK($C373),"",OR($AL373="",$AM373="",$AN373=""))</f>
        <v/>
      </c>
      <c r="CK373" s="100" t="str">
        <f aca="false">IF(ISBLANK($C373),"",AND($AJ373,$AX373=""))</f>
        <v/>
      </c>
      <c r="CL373" s="100" t="str">
        <f aca="false">IF(ISBLANK($C373),"",AND($AJ373,$AY373=""))</f>
        <v/>
      </c>
      <c r="CM373" s="100" t="str">
        <f aca="false">IF(ISBLANK($C373),"",AND($AJ373,$AZ373=""))</f>
        <v/>
      </c>
      <c r="CN373" s="100" t="str">
        <f aca="false">IF(ISBLANK($C373),"",AND($AJ373,$BC373=""))</f>
        <v/>
      </c>
      <c r="CO373" s="100" t="str">
        <f aca="false">IF(ISBLANK($C373),"",AND($AJ373,$BF373=""))</f>
        <v/>
      </c>
      <c r="CP373" s="101"/>
      <c r="CQ373" s="102"/>
      <c r="CR373" s="103" t="str">
        <f aca="false">IF(ISBLANK($C373),"",IF($BH373=Constants!$B$8,$CI373,""))</f>
        <v/>
      </c>
      <c r="CS373" s="102" t="str">
        <f aca="false">IF(ISBLANK($C373),"",IF($BH373&lt;&gt;Constants!$B$4,"",$BK373+$BL373))</f>
        <v/>
      </c>
      <c r="CT373" s="104" t="str">
        <f aca="false">IF(ISBLANK($C373),"",IF($BH373&lt;&gt;Constants!$B$4,"",$BM373+$BN373+$BO373))</f>
        <v/>
      </c>
      <c r="CU373" s="104" t="str">
        <f aca="false">IF(ISBLANK($C373),"",IF($BH373&lt;&gt;Constants!$B$4,"",$BP373))</f>
        <v/>
      </c>
      <c r="CV373" s="104" t="str">
        <f aca="false">IF(ISBLANK($C373),"",IF($BH373&lt;&gt;Constants!$B$4,"",$BQ373+$BR373))</f>
        <v/>
      </c>
      <c r="CW373" s="104" t="str">
        <f aca="false">IF(ISBLANK($C373),"",IF($BH373&lt;&gt;Constants!$B$4,"",$BS373))</f>
        <v/>
      </c>
      <c r="CX373" s="104" t="str">
        <f aca="false">IF(ISBLANK($C373),"",IF($BH373&lt;&gt;Constants!$B$4,"",-$BZ373))</f>
        <v/>
      </c>
      <c r="CY373" s="103" t="str">
        <f aca="false">IF(ISBLANK($C373),"",$CA373)</f>
        <v/>
      </c>
      <c r="CZ373" s="105" t="str">
        <f aca="false">IF(ISBLANK($C373),"",$BI373)</f>
        <v/>
      </c>
      <c r="DA373" s="104" t="str">
        <f aca="false">IF(ISBLANK($C373),"",$CH373)</f>
        <v/>
      </c>
      <c r="DB373" s="104" t="str">
        <f aca="false">IF(ISBLANK($C373),"",$CG373)</f>
        <v/>
      </c>
      <c r="DC373" s="106" t="str">
        <f aca="false">IF(ISBLANK($C373),"",IFERROR(_xlfn.SWITCH($DB373,Constants!$B$7,COUNTA($C$9:$C$508)+2,Constants!$B$6,COUNTA($C$9:$C$508)+1,Constants!$B$5,COUNTA($C$9:$C$508)),$DB373))</f>
        <v/>
      </c>
      <c r="DD373" s="7"/>
      <c r="DE373" s="107" t="n">
        <f aca="false">IF(OR(ISNUMBER($DB373),$DB373=Constants!$B$7,$DB373=Constants!$B$5,$DB373=Constants!$B$6),1,0)</f>
        <v>0</v>
      </c>
      <c r="DF373" s="107" t="n">
        <v>365</v>
      </c>
      <c r="DG373" s="107" t="str">
        <f aca="false">IF(ISBLANK($C373),"",IF(ISNUMBER($DC373),$DC373+ROW($B373)/1000,""))</f>
        <v/>
      </c>
      <c r="DH373" s="107" t="str">
        <f aca="false">IF(ISNUMBER($DG373),RANK($DG373,$DG$9:$DG$508,1),"")</f>
        <v/>
      </c>
      <c r="DI373" s="107" t="str">
        <f aca="false">IF(ISBLANK($C373),"",$B373)</f>
        <v/>
      </c>
      <c r="DJ373" s="107" t="str">
        <f aca="false">IF(ISBLANK($C373),"",$C373)</f>
        <v/>
      </c>
      <c r="DK373" s="107" t="str">
        <f aca="false">IF(ISBLANK($C373),"",$D373)</f>
        <v/>
      </c>
      <c r="DL373" s="108" t="str">
        <f aca="false">$CZ373</f>
        <v/>
      </c>
      <c r="DM373" s="109" t="str">
        <f aca="false">$CY373</f>
        <v/>
      </c>
      <c r="DN373" s="107" t="str">
        <f aca="false">IF(ISBLANK($C373),"",$DB373)</f>
        <v/>
      </c>
      <c r="DO373" s="110" t="str">
        <f aca="false">IF($DF373&gt;$DE$8,"",VLOOKUP($DF373,$DH$9:$DN$508,7,FALSE()))</f>
        <v/>
      </c>
      <c r="DP373" s="111" t="str">
        <f aca="false">IF($DF373&gt;$DE$8,"",VLOOKUP($DF373,$DH$9:$DN$508,2,FALSE()))</f>
        <v/>
      </c>
      <c r="DQ373" s="111" t="str">
        <f aca="false">IF($DF373&gt;$DE$8,"",VLOOKUP($DF373,$DH$9:$DN$508,3,FALSE()))</f>
        <v/>
      </c>
      <c r="DR373" s="111" t="str">
        <f aca="false">IF($DF373&gt;$DE$8,"",VLOOKUP($DF373,$DH$9:$DN$508,4,FALSE()))</f>
        <v/>
      </c>
      <c r="DS373" s="111" t="str">
        <f aca="false">IF($DF373&gt;$DE$8,"",VLOOKUP($DF373,$DH$9:$DN$508,5,FALSE()))</f>
        <v/>
      </c>
      <c r="DT373" s="112" t="str">
        <f aca="false">IF($DF373&gt;$DE$8,"",VLOOKUP($DF373,$DH$9:$DN$508,6,FALSE()))</f>
        <v/>
      </c>
      <c r="DU373" s="62"/>
    </row>
    <row r="374" customFormat="false" ht="15.75" hidden="false" customHeight="false" outlineLevel="0" collapsed="false">
      <c r="A374" s="7"/>
      <c r="B374" s="90"/>
      <c r="C374" s="91"/>
      <c r="D374" s="126"/>
      <c r="E374" s="130"/>
      <c r="F374" s="135"/>
      <c r="G374" s="130"/>
      <c r="H374" s="135"/>
      <c r="I374" s="131"/>
      <c r="J374" s="131"/>
      <c r="K374" s="131"/>
      <c r="L374" s="130"/>
      <c r="M374" s="130"/>
      <c r="N374" s="130"/>
      <c r="O374" s="135"/>
      <c r="P374" s="130"/>
      <c r="Q374" s="130"/>
      <c r="R374" s="130"/>
      <c r="S374" s="130"/>
      <c r="T374" s="135"/>
      <c r="U374" s="130"/>
      <c r="V374" s="96"/>
      <c r="W374" s="130"/>
      <c r="X374" s="130"/>
      <c r="Y374" s="96"/>
      <c r="Z374" s="96"/>
      <c r="AA374" s="130"/>
      <c r="AB374" s="130"/>
      <c r="AC374" s="97"/>
      <c r="AD374" s="130"/>
      <c r="AE374" s="99"/>
      <c r="AF374" s="100"/>
      <c r="AG374" s="100"/>
      <c r="AH374" s="100" t="str">
        <f aca="false">IF(ISBLANK($C374),"",IF($E374=Constants!$B$2,TRUE(),IF($E374=Constants!$B$3,FALSE(),TRUE())))</f>
        <v/>
      </c>
      <c r="AI374" s="100" t="str">
        <f aca="false">IF(ISBLANK($C374),"",IF($F374=Constants!$B$2,TRUE(),IF($F374=Constants!$B$3,FALSE(),FALSE())))</f>
        <v/>
      </c>
      <c r="AJ374" s="100" t="str">
        <f aca="false">IF(ISBLANK($C374),"",IF($G374=Constants!$B$2,TRUE(),IF($G374=Constants!$B$3,FALSE(),TRUE())))</f>
        <v/>
      </c>
      <c r="AK374" s="100" t="str">
        <f aca="false">IF(ISBLANK($C374),"",IF($H374=Constants!$B$2,TRUE(),IF($H374=Constants!$B$3,FALSE(),TRUE())))</f>
        <v/>
      </c>
      <c r="AL374" s="100" t="str">
        <f aca="false">IF(ISBLANK($C374),"",IF(ISNUMBER($I374),IF($I374&gt;=0,$I374,""),""))</f>
        <v/>
      </c>
      <c r="AM374" s="100" t="str">
        <f aca="false">IF(ISBLANK($C374),"",IF(ISNUMBER($J374),IF($J374&gt;=0,$J374,""),""))</f>
        <v/>
      </c>
      <c r="AN374" s="100" t="str">
        <f aca="false">IF(ISBLANK($C374),"",IF(ISNUMBER($K374),IF($K374&gt;=0,$K374,""),""))</f>
        <v/>
      </c>
      <c r="AO374" s="100" t="str">
        <f aca="false">IF(ISBLANK($C374),"",IF($L374=Constants!$B$2,TRUE(),IF($L374=Constants!$B$3,FALSE(),TRUE())))</f>
        <v/>
      </c>
      <c r="AP374" s="100" t="str">
        <f aca="false">IF(ISBLANK($C374),"",IF($M374=Constants!$B$2,TRUE(),IF($M374=Constants!$B$3,FALSE(),TRUE())))</f>
        <v/>
      </c>
      <c r="AQ374" s="100" t="str">
        <f aca="false">IF(ISBLANK($C374),"",IF($N374=Constants!$B$2,TRUE(),IF($N374=Constants!$B$3,FALSE(),FALSE())))</f>
        <v/>
      </c>
      <c r="AR374" s="100" t="str">
        <f aca="false">IF(ISBLANK($C374),"",IF($O374=Constants!$B$2,TRUE(),IF($O374=Constants!$B$3,FALSE(),TRUE())))</f>
        <v/>
      </c>
      <c r="AS374" s="100" t="str">
        <f aca="false">IF(ISBLANK($C374),"",IF($P374=Constants!$B$2,TRUE(),IF($P374=Constants!$B$3,FALSE(),FALSE())))</f>
        <v/>
      </c>
      <c r="AT374" s="100" t="str">
        <f aca="false">IF(ISBLANK($C374),"",IF($Q374=Constants!$B$2,TRUE(),IF($Q374=Constants!$B$3,FALSE(),FALSE())))</f>
        <v/>
      </c>
      <c r="AU374" s="100" t="str">
        <f aca="false">IF(ISBLANK($C374),"",IF($R374=Constants!$B$2,TRUE(),IF($R374=Constants!$B$3,FALSE(),FALSE())))</f>
        <v/>
      </c>
      <c r="AV374" s="100" t="str">
        <f aca="false">IF(ISBLANK($C374),"",IF($S374=Constants!$B$2,TRUE(),IF($S374=Constants!$B$3,FALSE(),FALSE())))</f>
        <v/>
      </c>
      <c r="AW374" s="100" t="str">
        <f aca="false">IF(ISBLANK($C374),"",IF($T374=Constants!$B$2,TRUE(),IF($T374=Constants!$B$3,FALSE(),FALSE())))</f>
        <v/>
      </c>
      <c r="AX374" s="100" t="str">
        <f aca="false">IF(ISBLANK($C374),"",IF(OR($U374&amp;""="1",$U374&amp;""="2",$U374&amp;""="3",$U374&amp;""="4"),VALUE($U374&amp;""),IF($U374=Constants!$B$12,Constants!$B$12,"")))</f>
        <v/>
      </c>
      <c r="AY374" s="100" t="str">
        <f aca="false">IF(ISBLANK($C374),"",IF(ISBLANK($V374),0,IF(ISNUMBER($V374),IF(AND($V374&gt;=0,$V374&lt;=Constants!$B$21,$V374=INT($V374)),$V374,""),"")))</f>
        <v/>
      </c>
      <c r="AZ374" s="100" t="str">
        <f aca="false">IF(ISBLANK($C374),"",IF(ISBLANK($W374),0,IF(ISNUMBER($W374),IF($W374&gt;=0,$W374,""),"")))</f>
        <v/>
      </c>
      <c r="BA374" s="100" t="str">
        <f aca="false">IF(ISBLANK($C374),"",IF($X374=Constants!$B$2,TRUE(),IF($X374=Constants!$B$3,FALSE(),TRUE())))</f>
        <v/>
      </c>
      <c r="BB374" s="100" t="str">
        <f aca="false">IF(ISBLANK($C374),"",IF($Y374=Constants!$B$2,TRUE(),IF($Y374=Constants!$B$3,FALSE(),FALSE())))</f>
        <v/>
      </c>
      <c r="BC374" s="100" t="str">
        <f aca="false">IF(ISBLANK($C374),"",IF(ISBLANK($Z374),0,IF(ISNUMBER($Z374),IF(AND($Z374&gt;=0,$Z374&lt;=Constants!$B$35,$Z374=INT($Z374)),$Z374,""),"")))</f>
        <v/>
      </c>
      <c r="BD374" s="100" t="str">
        <f aca="false">IF(ISBLANK($C374),"",IF($AA374=Constants!$B$2,TRUE(),IF($AA374=Constants!$B$3,FALSE(),TRUE())))</f>
        <v/>
      </c>
      <c r="BE374" s="100" t="str">
        <f aca="false">IF(ISBLANK($C374),"",IF($AB374=Constants!$B$2,TRUE(),IF($AB374=Constants!$B$3,FALSE(),TRUE())))</f>
        <v/>
      </c>
      <c r="BF374" s="100" t="str">
        <f aca="false">IF(ISBLANK($C374),"",IF(ISNUMBER($AC374),IF($AC374&gt;=0,$AC374,""),""))</f>
        <v/>
      </c>
      <c r="BG374" s="100" t="str">
        <f aca="false">IF(ISBLANK($C374),"",IF($AD374=Constants!$B$2,TRUE(),IF($AD374=Constants!$B$3,FALSE(),FALSE())))</f>
        <v/>
      </c>
      <c r="BH374" s="99" t="str">
        <f aca="false">IF(ISBLANK($C374),"",IF($BG374,Constants!$B$7,IF(COUNTA($E374:$AC374)=0,Constants!$B$6,IF(OR(COUNTA($G374:$AC374)=0,NOT($AK374),$AQ374),Constants!$B$5,IF(OR($CI374&lt;&gt;"",$CJ374,$CK374,$CL374,$CM374,$CN374,$CO374),Constants!$B$8,Constants!$B$4)))))</f>
        <v/>
      </c>
      <c r="BI374" s="100" t="str">
        <f aca="false">IF(ISBLANK($C374),"",IF($BH374&lt;&gt;Constants!$B$4,$BH374,IF(OR(NOT($AH374),NOT($AJ374),NOT($AR374)),Constants!$B$11,IF(OR(NOT($AP374),MAX($AL374,$AM374,$AN374)&gt;Constants!$B$30),Constants!$B$10,Constants!$B$9))))</f>
        <v/>
      </c>
      <c r="BJ374" s="100" t="str">
        <f aca="false">IF($BH374&lt;&gt;Constants!$B$4,"",IF(NOT($AJ374),0,MIN(Constants!$B$35,$BC374)))</f>
        <v/>
      </c>
      <c r="BK374" s="100" t="str">
        <f aca="false">IF($BH374&lt;&gt;Constants!$B$4,"",IF(NOT($AJ374),0,IF($AT374,Constants!$B$18,IF($AS374,Constants!$B$17,0))))</f>
        <v/>
      </c>
      <c r="BL374" s="100" t="str">
        <f aca="false">IF($BH374&lt;&gt;Constants!$B$4,"",IF(NOT($AJ374),0,Constants!$B$19*($AI374+$AU374+$AV374+$AW374)))</f>
        <v/>
      </c>
      <c r="BM374" s="100" t="str">
        <f aca="false">IF($BH374&lt;&gt;Constants!$B$4,"",IF(OR(NOT($AJ374),NOT(ISNUMBER($AX374))),0,CHOOSE($AX374,Constants!$B$13,Constants!$B$14,Constants!$B$15,Constants!$B$16)))</f>
        <v/>
      </c>
      <c r="BN374" s="100" t="str">
        <f aca="false">IF($BH374&lt;&gt;Constants!$B$4,"",IF(NOT($AJ374),0,Constants!$B$20*$AY374))</f>
        <v/>
      </c>
      <c r="BO374" s="100" t="str">
        <f aca="false">IF($BH374&lt;&gt;Constants!$B$4,"",IF(AND($AJ374,$BA374,$BB374),Constants!$B$22,0))</f>
        <v/>
      </c>
      <c r="BP374" s="100" t="str">
        <f aca="false">IF($BH374&lt;&gt;Constants!$B$4,"",IF(OR(NOT($AJ374),NOT($BA374)),0,IF($BF374&gt;=2*$AF$9,0,Constants!$B$23*INT(ROUND(MIN($BF374,$AF$9),6)))))</f>
        <v/>
      </c>
      <c r="BQ374" s="100" t="str">
        <f aca="false">IF($BH374&lt;&gt;Constants!$B$4,"",IF(NOT($AJ374),0,Constants!$B$24*INT(ROUND(MIN($AZ374,$AF$9),6))))</f>
        <v/>
      </c>
      <c r="BR374" s="100" t="str">
        <f aca="false">IF($BH374&lt;&gt;Constants!$B$4,"",IF(AND($AJ374,$BJ374=0),Constants!$B$25,0))</f>
        <v/>
      </c>
      <c r="BS374" s="100" t="str">
        <f aca="false">IF($BH374&lt;&gt;Constants!$B$4,"",MIN(Constants!$B$29,MAX(0,Constants!$B$27*Constants!$B$28*INT(ROUND((Constants!$B$26-$AL374)/Constants!$B$28,6))))+MIN(Constants!$B$29,MAX(0,Constants!$B$27*Constants!$B$28*INT(ROUND((Constants!$B$26-$AM374)/Constants!$B$28,6))))+MIN(Constants!$B$29,MAX(0,Constants!$B$27*Constants!$B$28*INT(ROUND((Constants!$B$26-$AN374)/Constants!$B$28,6)))))</f>
        <v/>
      </c>
      <c r="BT374" s="100" t="str">
        <f aca="false">IF($BH374&lt;&gt;Constants!$B$4,"",IF(NOT($AJ374),0,Constants!$B$31*INT(ROUND(MAX(0,MIN($BF374,2*$AF$9)-$AF$9),6))))</f>
        <v/>
      </c>
      <c r="BU374" s="100" t="str">
        <f aca="false">IF($BH374&lt;&gt;Constants!$B$4,"",Constants!$B$32*(($AL374&gt;Constants!$B$26)+($AM374&gt;Constants!$B$26)+($AN374&gt;Constants!$B$26)))</f>
        <v/>
      </c>
      <c r="BV374" s="100" t="str">
        <f aca="false">IF($BH374&lt;&gt;Constants!$B$4,"",IF(OR(NOT($AJ374),$AO374),0,Constants!$B$33))</f>
        <v/>
      </c>
      <c r="BW374" s="100" t="str">
        <f aca="false">IF($BH374&lt;&gt;Constants!$B$4,"",Constants!$B$34*$BJ374)</f>
        <v/>
      </c>
      <c r="BX374" s="100" t="str">
        <f aca="false">IF($BH374&lt;&gt;Constants!$B$4,"",IF(OR(NOT($AJ374),$BE374),0,Constants!$B$36))</f>
        <v/>
      </c>
      <c r="BY374" s="100" t="str">
        <f aca="false">IF($BH374&lt;&gt;Constants!$B$4,"",IF(OR(NOT($AJ374),$BD374),0,Constants!$B$37))</f>
        <v/>
      </c>
      <c r="BZ374" s="100" t="str">
        <f aca="false">IF($BH374&lt;&gt;Constants!$B$4,"",SUM($BT374:$BY374))</f>
        <v/>
      </c>
      <c r="CA374" s="100" t="str">
        <f aca="false">IF(ISBLANK($C374),"",IF($BH374&lt;&gt;Constants!$B$4,$BH374,SUM($BK374:$BS374)-$BZ374))</f>
        <v/>
      </c>
      <c r="CB374" s="100" t="str">
        <f aca="false">IF(ISBLANK($C374),"",IF($BH374&lt;&gt;Constants!$B$4,$BH374,RANK($CA374,$CA$9:$CA$508)))</f>
        <v/>
      </c>
      <c r="CC374" s="100" t="str">
        <f aca="false">IF(ISBLANK($C374),"",IF($BH374&lt;&gt;Constants!$B$4,$BH374,COUNTIFS($BI$9:$BI$508,"&lt;"&amp;$BI374)+COUNTIFS($BI$9:$BI$508,$BI374,$CB$9:$CB$508,"&lt;"&amp;$CB374)+1))</f>
        <v/>
      </c>
      <c r="CD374" s="100" t="str">
        <f aca="false">IF(ISBLANK($C374),"",IF($BH374&lt;&gt;Constants!$B$4,$BH374,RANK($BZ374,$BZ$9:$BZ$508,1)))</f>
        <v/>
      </c>
      <c r="CE374" s="100" t="str">
        <f aca="false">IF($BH374&lt;&gt;Constants!$B$4,"",$AL374+$AM374+$AN374)</f>
        <v/>
      </c>
      <c r="CF374" s="100" t="str">
        <f aca="false">IF(ISBLANK($C374),"",IF($BH374&lt;&gt;Constants!$B$4,$BH374,RANK($CE374,$CE$9:$CE$508,1)))</f>
        <v/>
      </c>
      <c r="CG374" s="100" t="str">
        <f aca="false">IF(ISBLANK($C374),"",IF($BH374&lt;&gt;Constants!$B$4,$BH374,COUNTIFS($BI$9:$BI$508,"&lt;"&amp;$BI374)+COUNTIFS($BI$9:$BI$508,$BI374,$CB$9:$CB$508,"&lt;"&amp;$CB374)+COUNTIFS($BI$9:$BI$508,$BI374,$CB$9:$CB$508,$CB374,$CD$9:$CD$508,"&lt;"&amp;$CD374)+COUNTIFS($BI$9:$BI$508,$BI374,$CB$9:$CB$508,$CB374,$CD$9:$CD$508,$CD374,$CF$9:$CF$508,"&lt;"&amp;$CF374)+1))</f>
        <v/>
      </c>
      <c r="CH374" s="100" t="str">
        <f aca="false">IF(ISBLANK($C374),"",IF($BH374&lt;&gt;Constants!$B$4,$BH374,$CC374-$CG374))</f>
        <v/>
      </c>
      <c r="CI374" s="100" t="str">
        <f aca="false">IF(ISBLANK($C374),"",IF(NOT($AJ374),"",IF(ISBLANK($D$7),$CI$5,IF(NOT(ISNUMBER($D$7)),$CI$6,""))))</f>
        <v/>
      </c>
      <c r="CJ374" s="100" t="str">
        <f aca="false">IF(ISBLANK($C374),"",OR($AL374="",$AM374="",$AN374=""))</f>
        <v/>
      </c>
      <c r="CK374" s="100" t="str">
        <f aca="false">IF(ISBLANK($C374),"",AND($AJ374,$AX374=""))</f>
        <v/>
      </c>
      <c r="CL374" s="100" t="str">
        <f aca="false">IF(ISBLANK($C374),"",AND($AJ374,$AY374=""))</f>
        <v/>
      </c>
      <c r="CM374" s="100" t="str">
        <f aca="false">IF(ISBLANK($C374),"",AND($AJ374,$AZ374=""))</f>
        <v/>
      </c>
      <c r="CN374" s="100" t="str">
        <f aca="false">IF(ISBLANK($C374),"",AND($AJ374,$BC374=""))</f>
        <v/>
      </c>
      <c r="CO374" s="100" t="str">
        <f aca="false">IF(ISBLANK($C374),"",AND($AJ374,$BF374=""))</f>
        <v/>
      </c>
      <c r="CP374" s="101"/>
      <c r="CQ374" s="102"/>
      <c r="CR374" s="103" t="str">
        <f aca="false">IF(ISBLANK($C374),"",IF($BH374=Constants!$B$8,$CI374,""))</f>
        <v/>
      </c>
      <c r="CS374" s="102" t="str">
        <f aca="false">IF(ISBLANK($C374),"",IF($BH374&lt;&gt;Constants!$B$4,"",$BK374+$BL374))</f>
        <v/>
      </c>
      <c r="CT374" s="104" t="str">
        <f aca="false">IF(ISBLANK($C374),"",IF($BH374&lt;&gt;Constants!$B$4,"",$BM374+$BN374+$BO374))</f>
        <v/>
      </c>
      <c r="CU374" s="104" t="str">
        <f aca="false">IF(ISBLANK($C374),"",IF($BH374&lt;&gt;Constants!$B$4,"",$BP374))</f>
        <v/>
      </c>
      <c r="CV374" s="104" t="str">
        <f aca="false">IF(ISBLANK($C374),"",IF($BH374&lt;&gt;Constants!$B$4,"",$BQ374+$BR374))</f>
        <v/>
      </c>
      <c r="CW374" s="104" t="str">
        <f aca="false">IF(ISBLANK($C374),"",IF($BH374&lt;&gt;Constants!$B$4,"",$BS374))</f>
        <v/>
      </c>
      <c r="CX374" s="104" t="str">
        <f aca="false">IF(ISBLANK($C374),"",IF($BH374&lt;&gt;Constants!$B$4,"",-$BZ374))</f>
        <v/>
      </c>
      <c r="CY374" s="103" t="str">
        <f aca="false">IF(ISBLANK($C374),"",$CA374)</f>
        <v/>
      </c>
      <c r="CZ374" s="105" t="str">
        <f aca="false">IF(ISBLANK($C374),"",$BI374)</f>
        <v/>
      </c>
      <c r="DA374" s="104" t="str">
        <f aca="false">IF(ISBLANK($C374),"",$CH374)</f>
        <v/>
      </c>
      <c r="DB374" s="104" t="str">
        <f aca="false">IF(ISBLANK($C374),"",$CG374)</f>
        <v/>
      </c>
      <c r="DC374" s="106" t="str">
        <f aca="false">IF(ISBLANK($C374),"",IFERROR(_xlfn.SWITCH($DB374,Constants!$B$7,COUNTA($C$9:$C$508)+2,Constants!$B$6,COUNTA($C$9:$C$508)+1,Constants!$B$5,COUNTA($C$9:$C$508)),$DB374))</f>
        <v/>
      </c>
      <c r="DD374" s="7"/>
      <c r="DE374" s="107" t="n">
        <f aca="false">IF(OR(ISNUMBER($DB374),$DB374=Constants!$B$7,$DB374=Constants!$B$5,$DB374=Constants!$B$6),1,0)</f>
        <v>0</v>
      </c>
      <c r="DF374" s="107" t="n">
        <v>366</v>
      </c>
      <c r="DG374" s="107" t="str">
        <f aca="false">IF(ISBLANK($C374),"",IF(ISNUMBER($DC374),$DC374+ROW($B374)/1000,""))</f>
        <v/>
      </c>
      <c r="DH374" s="107" t="str">
        <f aca="false">IF(ISNUMBER($DG374),RANK($DG374,$DG$9:$DG$508,1),"")</f>
        <v/>
      </c>
      <c r="DI374" s="107" t="str">
        <f aca="false">IF(ISBLANK($C374),"",$B374)</f>
        <v/>
      </c>
      <c r="DJ374" s="107" t="str">
        <f aca="false">IF(ISBLANK($C374),"",$C374)</f>
        <v/>
      </c>
      <c r="DK374" s="107" t="str">
        <f aca="false">IF(ISBLANK($C374),"",$D374)</f>
        <v/>
      </c>
      <c r="DL374" s="108" t="str">
        <f aca="false">$CZ374</f>
        <v/>
      </c>
      <c r="DM374" s="109" t="str">
        <f aca="false">$CY374</f>
        <v/>
      </c>
      <c r="DN374" s="107" t="str">
        <f aca="false">IF(ISBLANK($C374),"",$DB374)</f>
        <v/>
      </c>
      <c r="DO374" s="110" t="str">
        <f aca="false">IF($DF374&gt;$DE$8,"",VLOOKUP($DF374,$DH$9:$DN$508,7,FALSE()))</f>
        <v/>
      </c>
      <c r="DP374" s="111" t="str">
        <f aca="false">IF($DF374&gt;$DE$8,"",VLOOKUP($DF374,$DH$9:$DN$508,2,FALSE()))</f>
        <v/>
      </c>
      <c r="DQ374" s="111" t="str">
        <f aca="false">IF($DF374&gt;$DE$8,"",VLOOKUP($DF374,$DH$9:$DN$508,3,FALSE()))</f>
        <v/>
      </c>
      <c r="DR374" s="111" t="str">
        <f aca="false">IF($DF374&gt;$DE$8,"",VLOOKUP($DF374,$DH$9:$DN$508,4,FALSE()))</f>
        <v/>
      </c>
      <c r="DS374" s="111" t="str">
        <f aca="false">IF($DF374&gt;$DE$8,"",VLOOKUP($DF374,$DH$9:$DN$508,5,FALSE()))</f>
        <v/>
      </c>
      <c r="DT374" s="112" t="str">
        <f aca="false">IF($DF374&gt;$DE$8,"",VLOOKUP($DF374,$DH$9:$DN$508,6,FALSE()))</f>
        <v/>
      </c>
      <c r="DU374" s="62"/>
    </row>
    <row r="375" customFormat="false" ht="15.75" hidden="false" customHeight="false" outlineLevel="0" collapsed="false">
      <c r="A375" s="7"/>
      <c r="B375" s="64"/>
      <c r="C375" s="65"/>
      <c r="D375" s="123"/>
      <c r="E375" s="88"/>
      <c r="F375" s="134"/>
      <c r="G375" s="88"/>
      <c r="H375" s="134"/>
      <c r="I375" s="119"/>
      <c r="J375" s="119"/>
      <c r="K375" s="119"/>
      <c r="L375" s="88"/>
      <c r="M375" s="88"/>
      <c r="N375" s="88"/>
      <c r="O375" s="134"/>
      <c r="P375" s="88"/>
      <c r="Q375" s="88"/>
      <c r="R375" s="88"/>
      <c r="S375" s="88"/>
      <c r="T375" s="134"/>
      <c r="U375" s="88"/>
      <c r="V375" s="70"/>
      <c r="W375" s="88"/>
      <c r="X375" s="88"/>
      <c r="Y375" s="70"/>
      <c r="Z375" s="70"/>
      <c r="AA375" s="88"/>
      <c r="AB375" s="88"/>
      <c r="AC375" s="71"/>
      <c r="AD375" s="88"/>
      <c r="AE375" s="73"/>
      <c r="AF375" s="74"/>
      <c r="AG375" s="74"/>
      <c r="AH375" s="74" t="str">
        <f aca="false">IF(ISBLANK($C375),"",IF($E375=Constants!$B$2,TRUE(),IF($E375=Constants!$B$3,FALSE(),TRUE())))</f>
        <v/>
      </c>
      <c r="AI375" s="74" t="str">
        <f aca="false">IF(ISBLANK($C375),"",IF($F375=Constants!$B$2,TRUE(),IF($F375=Constants!$B$3,FALSE(),FALSE())))</f>
        <v/>
      </c>
      <c r="AJ375" s="74" t="str">
        <f aca="false">IF(ISBLANK($C375),"",IF($G375=Constants!$B$2,TRUE(),IF($G375=Constants!$B$3,FALSE(),TRUE())))</f>
        <v/>
      </c>
      <c r="AK375" s="74" t="str">
        <f aca="false">IF(ISBLANK($C375),"",IF($H375=Constants!$B$2,TRUE(),IF($H375=Constants!$B$3,FALSE(),TRUE())))</f>
        <v/>
      </c>
      <c r="AL375" s="74" t="str">
        <f aca="false">IF(ISBLANK($C375),"",IF(ISNUMBER($I375),IF($I375&gt;=0,$I375,""),""))</f>
        <v/>
      </c>
      <c r="AM375" s="74" t="str">
        <f aca="false">IF(ISBLANK($C375),"",IF(ISNUMBER($J375),IF($J375&gt;=0,$J375,""),""))</f>
        <v/>
      </c>
      <c r="AN375" s="74" t="str">
        <f aca="false">IF(ISBLANK($C375),"",IF(ISNUMBER($K375),IF($K375&gt;=0,$K375,""),""))</f>
        <v/>
      </c>
      <c r="AO375" s="74" t="str">
        <f aca="false">IF(ISBLANK($C375),"",IF($L375=Constants!$B$2,TRUE(),IF($L375=Constants!$B$3,FALSE(),TRUE())))</f>
        <v/>
      </c>
      <c r="AP375" s="74" t="str">
        <f aca="false">IF(ISBLANK($C375),"",IF($M375=Constants!$B$2,TRUE(),IF($M375=Constants!$B$3,FALSE(),TRUE())))</f>
        <v/>
      </c>
      <c r="AQ375" s="74" t="str">
        <f aca="false">IF(ISBLANK($C375),"",IF($N375=Constants!$B$2,TRUE(),IF($N375=Constants!$B$3,FALSE(),FALSE())))</f>
        <v/>
      </c>
      <c r="AR375" s="74" t="str">
        <f aca="false">IF(ISBLANK($C375),"",IF($O375=Constants!$B$2,TRUE(),IF($O375=Constants!$B$3,FALSE(),TRUE())))</f>
        <v/>
      </c>
      <c r="AS375" s="74" t="str">
        <f aca="false">IF(ISBLANK($C375),"",IF($P375=Constants!$B$2,TRUE(),IF($P375=Constants!$B$3,FALSE(),FALSE())))</f>
        <v/>
      </c>
      <c r="AT375" s="74" t="str">
        <f aca="false">IF(ISBLANK($C375),"",IF($Q375=Constants!$B$2,TRUE(),IF($Q375=Constants!$B$3,FALSE(),FALSE())))</f>
        <v/>
      </c>
      <c r="AU375" s="74" t="str">
        <f aca="false">IF(ISBLANK($C375),"",IF($R375=Constants!$B$2,TRUE(),IF($R375=Constants!$B$3,FALSE(),FALSE())))</f>
        <v/>
      </c>
      <c r="AV375" s="74" t="str">
        <f aca="false">IF(ISBLANK($C375),"",IF($S375=Constants!$B$2,TRUE(),IF($S375=Constants!$B$3,FALSE(),FALSE())))</f>
        <v/>
      </c>
      <c r="AW375" s="74" t="str">
        <f aca="false">IF(ISBLANK($C375),"",IF($T375=Constants!$B$2,TRUE(),IF($T375=Constants!$B$3,FALSE(),FALSE())))</f>
        <v/>
      </c>
      <c r="AX375" s="74" t="str">
        <f aca="false">IF(ISBLANK($C375),"",IF(OR($U375&amp;""="1",$U375&amp;""="2",$U375&amp;""="3",$U375&amp;""="4"),VALUE($U375&amp;""),IF($U375=Constants!$B$12,Constants!$B$12,"")))</f>
        <v/>
      </c>
      <c r="AY375" s="74" t="str">
        <f aca="false">IF(ISBLANK($C375),"",IF(ISBLANK($V375),0,IF(ISNUMBER($V375),IF(AND($V375&gt;=0,$V375&lt;=Constants!$B$21,$V375=INT($V375)),$V375,""),"")))</f>
        <v/>
      </c>
      <c r="AZ375" s="74" t="str">
        <f aca="false">IF(ISBLANK($C375),"",IF(ISBLANK($W375),0,IF(ISNUMBER($W375),IF($W375&gt;=0,$W375,""),"")))</f>
        <v/>
      </c>
      <c r="BA375" s="74" t="str">
        <f aca="false">IF(ISBLANK($C375),"",IF($X375=Constants!$B$2,TRUE(),IF($X375=Constants!$B$3,FALSE(),TRUE())))</f>
        <v/>
      </c>
      <c r="BB375" s="74" t="str">
        <f aca="false">IF(ISBLANK($C375),"",IF($Y375=Constants!$B$2,TRUE(),IF($Y375=Constants!$B$3,FALSE(),FALSE())))</f>
        <v/>
      </c>
      <c r="BC375" s="74" t="str">
        <f aca="false">IF(ISBLANK($C375),"",IF(ISBLANK($Z375),0,IF(ISNUMBER($Z375),IF(AND($Z375&gt;=0,$Z375&lt;=Constants!$B$35,$Z375=INT($Z375)),$Z375,""),"")))</f>
        <v/>
      </c>
      <c r="BD375" s="74" t="str">
        <f aca="false">IF(ISBLANK($C375),"",IF($AA375=Constants!$B$2,TRUE(),IF($AA375=Constants!$B$3,FALSE(),TRUE())))</f>
        <v/>
      </c>
      <c r="BE375" s="74" t="str">
        <f aca="false">IF(ISBLANK($C375),"",IF($AB375=Constants!$B$2,TRUE(),IF($AB375=Constants!$B$3,FALSE(),TRUE())))</f>
        <v/>
      </c>
      <c r="BF375" s="74" t="str">
        <f aca="false">IF(ISBLANK($C375),"",IF(ISNUMBER($AC375),IF($AC375&gt;=0,$AC375,""),""))</f>
        <v/>
      </c>
      <c r="BG375" s="74" t="str">
        <f aca="false">IF(ISBLANK($C375),"",IF($AD375=Constants!$B$2,TRUE(),IF($AD375=Constants!$B$3,FALSE(),FALSE())))</f>
        <v/>
      </c>
      <c r="BH375" s="73" t="str">
        <f aca="false">IF(ISBLANK($C375),"",IF($BG375,Constants!$B$7,IF(COUNTA($E375:$AC375)=0,Constants!$B$6,IF(OR(COUNTA($G375:$AC375)=0,NOT($AK375),$AQ375),Constants!$B$5,IF(OR($CI375&lt;&gt;"",$CJ375,$CK375,$CL375,$CM375,$CN375,$CO375),Constants!$B$8,Constants!$B$4)))))</f>
        <v/>
      </c>
      <c r="BI375" s="74" t="str">
        <f aca="false">IF(ISBLANK($C375),"",IF($BH375&lt;&gt;Constants!$B$4,$BH375,IF(OR(NOT($AH375),NOT($AJ375),NOT($AR375)),Constants!$B$11,IF(OR(NOT($AP375),MAX($AL375,$AM375,$AN375)&gt;Constants!$B$30),Constants!$B$10,Constants!$B$9))))</f>
        <v/>
      </c>
      <c r="BJ375" s="74" t="str">
        <f aca="false">IF($BH375&lt;&gt;Constants!$B$4,"",IF(NOT($AJ375),0,MIN(Constants!$B$35,$BC375)))</f>
        <v/>
      </c>
      <c r="BK375" s="74" t="str">
        <f aca="false">IF($BH375&lt;&gt;Constants!$B$4,"",IF(NOT($AJ375),0,IF($AT375,Constants!$B$18,IF($AS375,Constants!$B$17,0))))</f>
        <v/>
      </c>
      <c r="BL375" s="74" t="str">
        <f aca="false">IF($BH375&lt;&gt;Constants!$B$4,"",IF(NOT($AJ375),0,Constants!$B$19*($AI375+$AU375+$AV375+$AW375)))</f>
        <v/>
      </c>
      <c r="BM375" s="74" t="str">
        <f aca="false">IF($BH375&lt;&gt;Constants!$B$4,"",IF(OR(NOT($AJ375),NOT(ISNUMBER($AX375))),0,CHOOSE($AX375,Constants!$B$13,Constants!$B$14,Constants!$B$15,Constants!$B$16)))</f>
        <v/>
      </c>
      <c r="BN375" s="74" t="str">
        <f aca="false">IF($BH375&lt;&gt;Constants!$B$4,"",IF(NOT($AJ375),0,Constants!$B$20*$AY375))</f>
        <v/>
      </c>
      <c r="BO375" s="74" t="str">
        <f aca="false">IF($BH375&lt;&gt;Constants!$B$4,"",IF(AND($AJ375,$BA375,$BB375),Constants!$B$22,0))</f>
        <v/>
      </c>
      <c r="BP375" s="74" t="str">
        <f aca="false">IF($BH375&lt;&gt;Constants!$B$4,"",IF(OR(NOT($AJ375),NOT($BA375)),0,IF($BF375&gt;=2*$AF$9,0,Constants!$B$23*INT(ROUND(MIN($BF375,$AF$9),6)))))</f>
        <v/>
      </c>
      <c r="BQ375" s="74" t="str">
        <f aca="false">IF($BH375&lt;&gt;Constants!$B$4,"",IF(NOT($AJ375),0,Constants!$B$24*INT(ROUND(MIN($AZ375,$AF$9),6))))</f>
        <v/>
      </c>
      <c r="BR375" s="74" t="str">
        <f aca="false">IF($BH375&lt;&gt;Constants!$B$4,"",IF(AND($AJ375,$BJ375=0),Constants!$B$25,0))</f>
        <v/>
      </c>
      <c r="BS375" s="74" t="str">
        <f aca="false">IF($BH375&lt;&gt;Constants!$B$4,"",MIN(Constants!$B$29,MAX(0,Constants!$B$27*Constants!$B$28*INT(ROUND((Constants!$B$26-$AL375)/Constants!$B$28,6))))+MIN(Constants!$B$29,MAX(0,Constants!$B$27*Constants!$B$28*INT(ROUND((Constants!$B$26-$AM375)/Constants!$B$28,6))))+MIN(Constants!$B$29,MAX(0,Constants!$B$27*Constants!$B$28*INT(ROUND((Constants!$B$26-$AN375)/Constants!$B$28,6)))))</f>
        <v/>
      </c>
      <c r="BT375" s="74" t="str">
        <f aca="false">IF($BH375&lt;&gt;Constants!$B$4,"",IF(NOT($AJ375),0,Constants!$B$31*INT(ROUND(MAX(0,MIN($BF375,2*$AF$9)-$AF$9),6))))</f>
        <v/>
      </c>
      <c r="BU375" s="74" t="str">
        <f aca="false">IF($BH375&lt;&gt;Constants!$B$4,"",Constants!$B$32*(($AL375&gt;Constants!$B$26)+($AM375&gt;Constants!$B$26)+($AN375&gt;Constants!$B$26)))</f>
        <v/>
      </c>
      <c r="BV375" s="74" t="str">
        <f aca="false">IF($BH375&lt;&gt;Constants!$B$4,"",IF(OR(NOT($AJ375),$AO375),0,Constants!$B$33))</f>
        <v/>
      </c>
      <c r="BW375" s="74" t="str">
        <f aca="false">IF($BH375&lt;&gt;Constants!$B$4,"",Constants!$B$34*$BJ375)</f>
        <v/>
      </c>
      <c r="BX375" s="74" t="str">
        <f aca="false">IF($BH375&lt;&gt;Constants!$B$4,"",IF(OR(NOT($AJ375),$BE375),0,Constants!$B$36))</f>
        <v/>
      </c>
      <c r="BY375" s="74" t="str">
        <f aca="false">IF($BH375&lt;&gt;Constants!$B$4,"",IF(OR(NOT($AJ375),$BD375),0,Constants!$B$37))</f>
        <v/>
      </c>
      <c r="BZ375" s="74" t="str">
        <f aca="false">IF($BH375&lt;&gt;Constants!$B$4,"",SUM($BT375:$BY375))</f>
        <v/>
      </c>
      <c r="CA375" s="74" t="str">
        <f aca="false">IF(ISBLANK($C375),"",IF($BH375&lt;&gt;Constants!$B$4,$BH375,SUM($BK375:$BS375)-$BZ375))</f>
        <v/>
      </c>
      <c r="CB375" s="74" t="str">
        <f aca="false">IF(ISBLANK($C375),"",IF($BH375&lt;&gt;Constants!$B$4,$BH375,RANK($CA375,$CA$9:$CA$508)))</f>
        <v/>
      </c>
      <c r="CC375" s="74" t="str">
        <f aca="false">IF(ISBLANK($C375),"",IF($BH375&lt;&gt;Constants!$B$4,$BH375,COUNTIFS($BI$9:$BI$508,"&lt;"&amp;$BI375)+COUNTIFS($BI$9:$BI$508,$BI375,$CB$9:$CB$508,"&lt;"&amp;$CB375)+1))</f>
        <v/>
      </c>
      <c r="CD375" s="74" t="str">
        <f aca="false">IF(ISBLANK($C375),"",IF($BH375&lt;&gt;Constants!$B$4,$BH375,RANK($BZ375,$BZ$9:$BZ$508,1)))</f>
        <v/>
      </c>
      <c r="CE375" s="74" t="str">
        <f aca="false">IF($BH375&lt;&gt;Constants!$B$4,"",$AL375+$AM375+$AN375)</f>
        <v/>
      </c>
      <c r="CF375" s="74" t="str">
        <f aca="false">IF(ISBLANK($C375),"",IF($BH375&lt;&gt;Constants!$B$4,$BH375,RANK($CE375,$CE$9:$CE$508,1)))</f>
        <v/>
      </c>
      <c r="CG375" s="74" t="str">
        <f aca="false">IF(ISBLANK($C375),"",IF($BH375&lt;&gt;Constants!$B$4,$BH375,COUNTIFS($BI$9:$BI$508,"&lt;"&amp;$BI375)+COUNTIFS($BI$9:$BI$508,$BI375,$CB$9:$CB$508,"&lt;"&amp;$CB375)+COUNTIFS($BI$9:$BI$508,$BI375,$CB$9:$CB$508,$CB375,$CD$9:$CD$508,"&lt;"&amp;$CD375)+COUNTIFS($BI$9:$BI$508,$BI375,$CB$9:$CB$508,$CB375,$CD$9:$CD$508,$CD375,$CF$9:$CF$508,"&lt;"&amp;$CF375)+1))</f>
        <v/>
      </c>
      <c r="CH375" s="74" t="str">
        <f aca="false">IF(ISBLANK($C375),"",IF($BH375&lt;&gt;Constants!$B$4,$BH375,$CC375-$CG375))</f>
        <v/>
      </c>
      <c r="CI375" s="74" t="str">
        <f aca="false">IF(ISBLANK($C375),"",IF(NOT($AJ375),"",IF(ISBLANK($D$7),$CI$5,IF(NOT(ISNUMBER($D$7)),$CI$6,""))))</f>
        <v/>
      </c>
      <c r="CJ375" s="74" t="str">
        <f aca="false">IF(ISBLANK($C375),"",OR($AL375="",$AM375="",$AN375=""))</f>
        <v/>
      </c>
      <c r="CK375" s="74" t="str">
        <f aca="false">IF(ISBLANK($C375),"",AND($AJ375,$AX375=""))</f>
        <v/>
      </c>
      <c r="CL375" s="74" t="str">
        <f aca="false">IF(ISBLANK($C375),"",AND($AJ375,$AY375=""))</f>
        <v/>
      </c>
      <c r="CM375" s="74" t="str">
        <f aca="false">IF(ISBLANK($C375),"",AND($AJ375,$AZ375=""))</f>
        <v/>
      </c>
      <c r="CN375" s="74" t="str">
        <f aca="false">IF(ISBLANK($C375),"",AND($AJ375,$BC375=""))</f>
        <v/>
      </c>
      <c r="CO375" s="74" t="str">
        <f aca="false">IF(ISBLANK($C375),"",AND($AJ375,$BF375=""))</f>
        <v/>
      </c>
      <c r="CP375" s="75"/>
      <c r="CQ375" s="76"/>
      <c r="CR375" s="79" t="str">
        <f aca="false">IF(ISBLANK($C375),"",IF($BH375=Constants!$B$8,$CI375,""))</f>
        <v/>
      </c>
      <c r="CS375" s="76" t="str">
        <f aca="false">IF(ISBLANK($C375),"",IF($BH375&lt;&gt;Constants!$B$4,"",$BK375+$BL375))</f>
        <v/>
      </c>
      <c r="CT375" s="78" t="str">
        <f aca="false">IF(ISBLANK($C375),"",IF($BH375&lt;&gt;Constants!$B$4,"",$BM375+$BN375+$BO375))</f>
        <v/>
      </c>
      <c r="CU375" s="78" t="str">
        <f aca="false">IF(ISBLANK($C375),"",IF($BH375&lt;&gt;Constants!$B$4,"",$BP375))</f>
        <v/>
      </c>
      <c r="CV375" s="78" t="str">
        <f aca="false">IF(ISBLANK($C375),"",IF($BH375&lt;&gt;Constants!$B$4,"",$BQ375+$BR375))</f>
        <v/>
      </c>
      <c r="CW375" s="78" t="str">
        <f aca="false">IF(ISBLANK($C375),"",IF($BH375&lt;&gt;Constants!$B$4,"",$BS375))</f>
        <v/>
      </c>
      <c r="CX375" s="78" t="str">
        <f aca="false">IF(ISBLANK($C375),"",IF($BH375&lt;&gt;Constants!$B$4,"",-$BZ375))</f>
        <v/>
      </c>
      <c r="CY375" s="79" t="str">
        <f aca="false">IF(ISBLANK($C375),"",$CA375)</f>
        <v/>
      </c>
      <c r="CZ375" s="80" t="str">
        <f aca="false">IF(ISBLANK($C375),"",$BI375)</f>
        <v/>
      </c>
      <c r="DA375" s="78" t="str">
        <f aca="false">IF(ISBLANK($C375),"",$CH375)</f>
        <v/>
      </c>
      <c r="DB375" s="78" t="str">
        <f aca="false">IF(ISBLANK($C375),"",$CG375)</f>
        <v/>
      </c>
      <c r="DC375" s="81" t="str">
        <f aca="false">IF(ISBLANK($C375),"",IFERROR(_xlfn.SWITCH($DB375,Constants!$B$7,COUNTA($C$9:$C$508)+2,Constants!$B$6,COUNTA($C$9:$C$508)+1,Constants!$B$5,COUNTA($C$9:$C$508)),$DB375))</f>
        <v/>
      </c>
      <c r="DD375" s="7"/>
      <c r="DE375" s="82" t="n">
        <f aca="false">IF(OR(ISNUMBER($DB375),$DB375=Constants!$B$7,$DB375=Constants!$B$5,$DB375=Constants!$B$6),1,0)</f>
        <v>0</v>
      </c>
      <c r="DF375" s="82" t="n">
        <v>367</v>
      </c>
      <c r="DG375" s="82" t="str">
        <f aca="false">IF(ISBLANK($C375),"",IF(ISNUMBER($DC375),$DC375+ROW($B375)/1000,""))</f>
        <v/>
      </c>
      <c r="DH375" s="82" t="str">
        <f aca="false">IF(ISNUMBER($DG375),RANK($DG375,$DG$9:$DG$508,1),"")</f>
        <v/>
      </c>
      <c r="DI375" s="82" t="str">
        <f aca="false">IF(ISBLANK($C375),"",$B375)</f>
        <v/>
      </c>
      <c r="DJ375" s="82" t="str">
        <f aca="false">IF(ISBLANK($C375),"",$C375)</f>
        <v/>
      </c>
      <c r="DK375" s="82" t="str">
        <f aca="false">IF(ISBLANK($C375),"",$D375)</f>
        <v/>
      </c>
      <c r="DL375" s="83" t="str">
        <f aca="false">$CZ375</f>
        <v/>
      </c>
      <c r="DM375" s="84" t="str">
        <f aca="false">$CY375</f>
        <v/>
      </c>
      <c r="DN375" s="82" t="str">
        <f aca="false">IF(ISBLANK($C375),"",$DB375)</f>
        <v/>
      </c>
      <c r="DO375" s="85" t="str">
        <f aca="false">IF($DF375&gt;$DE$8,"",VLOOKUP($DF375,$DH$9:$DN$508,7,FALSE()))</f>
        <v/>
      </c>
      <c r="DP375" s="86" t="str">
        <f aca="false">IF($DF375&gt;$DE$8,"",VLOOKUP($DF375,$DH$9:$DN$508,2,FALSE()))</f>
        <v/>
      </c>
      <c r="DQ375" s="86" t="str">
        <f aca="false">IF($DF375&gt;$DE$8,"",VLOOKUP($DF375,$DH$9:$DN$508,3,FALSE()))</f>
        <v/>
      </c>
      <c r="DR375" s="86" t="str">
        <f aca="false">IF($DF375&gt;$DE$8,"",VLOOKUP($DF375,$DH$9:$DN$508,4,FALSE()))</f>
        <v/>
      </c>
      <c r="DS375" s="86" t="str">
        <f aca="false">IF($DF375&gt;$DE$8,"",VLOOKUP($DF375,$DH$9:$DN$508,5,FALSE()))</f>
        <v/>
      </c>
      <c r="DT375" s="87" t="str">
        <f aca="false">IF($DF375&gt;$DE$8,"",VLOOKUP($DF375,$DH$9:$DN$508,6,FALSE()))</f>
        <v/>
      </c>
      <c r="DU375" s="62"/>
    </row>
    <row r="376" customFormat="false" ht="15.75" hidden="false" customHeight="false" outlineLevel="0" collapsed="false">
      <c r="A376" s="7"/>
      <c r="B376" s="64"/>
      <c r="C376" s="65"/>
      <c r="D376" s="123"/>
      <c r="E376" s="88"/>
      <c r="F376" s="134"/>
      <c r="G376" s="88"/>
      <c r="H376" s="134"/>
      <c r="I376" s="119"/>
      <c r="J376" s="119"/>
      <c r="K376" s="119"/>
      <c r="L376" s="88"/>
      <c r="M376" s="88"/>
      <c r="N376" s="88"/>
      <c r="O376" s="134"/>
      <c r="P376" s="88"/>
      <c r="Q376" s="88"/>
      <c r="R376" s="88"/>
      <c r="S376" s="88"/>
      <c r="T376" s="134"/>
      <c r="U376" s="88"/>
      <c r="V376" s="70"/>
      <c r="W376" s="88"/>
      <c r="X376" s="88"/>
      <c r="Y376" s="70"/>
      <c r="Z376" s="70"/>
      <c r="AA376" s="88"/>
      <c r="AB376" s="88"/>
      <c r="AC376" s="71"/>
      <c r="AD376" s="88"/>
      <c r="AE376" s="73"/>
      <c r="AF376" s="74"/>
      <c r="AG376" s="74"/>
      <c r="AH376" s="74" t="str">
        <f aca="false">IF(ISBLANK($C376),"",IF($E376=Constants!$B$2,TRUE(),IF($E376=Constants!$B$3,FALSE(),TRUE())))</f>
        <v/>
      </c>
      <c r="AI376" s="74" t="str">
        <f aca="false">IF(ISBLANK($C376),"",IF($F376=Constants!$B$2,TRUE(),IF($F376=Constants!$B$3,FALSE(),FALSE())))</f>
        <v/>
      </c>
      <c r="AJ376" s="74" t="str">
        <f aca="false">IF(ISBLANK($C376),"",IF($G376=Constants!$B$2,TRUE(),IF($G376=Constants!$B$3,FALSE(),TRUE())))</f>
        <v/>
      </c>
      <c r="AK376" s="74" t="str">
        <f aca="false">IF(ISBLANK($C376),"",IF($H376=Constants!$B$2,TRUE(),IF($H376=Constants!$B$3,FALSE(),TRUE())))</f>
        <v/>
      </c>
      <c r="AL376" s="74" t="str">
        <f aca="false">IF(ISBLANK($C376),"",IF(ISNUMBER($I376),IF($I376&gt;=0,$I376,""),""))</f>
        <v/>
      </c>
      <c r="AM376" s="74" t="str">
        <f aca="false">IF(ISBLANK($C376),"",IF(ISNUMBER($J376),IF($J376&gt;=0,$J376,""),""))</f>
        <v/>
      </c>
      <c r="AN376" s="74" t="str">
        <f aca="false">IF(ISBLANK($C376),"",IF(ISNUMBER($K376),IF($K376&gt;=0,$K376,""),""))</f>
        <v/>
      </c>
      <c r="AO376" s="74" t="str">
        <f aca="false">IF(ISBLANK($C376),"",IF($L376=Constants!$B$2,TRUE(),IF($L376=Constants!$B$3,FALSE(),TRUE())))</f>
        <v/>
      </c>
      <c r="AP376" s="74" t="str">
        <f aca="false">IF(ISBLANK($C376),"",IF($M376=Constants!$B$2,TRUE(),IF($M376=Constants!$B$3,FALSE(),TRUE())))</f>
        <v/>
      </c>
      <c r="AQ376" s="74" t="str">
        <f aca="false">IF(ISBLANK($C376),"",IF($N376=Constants!$B$2,TRUE(),IF($N376=Constants!$B$3,FALSE(),FALSE())))</f>
        <v/>
      </c>
      <c r="AR376" s="74" t="str">
        <f aca="false">IF(ISBLANK($C376),"",IF($O376=Constants!$B$2,TRUE(),IF($O376=Constants!$B$3,FALSE(),TRUE())))</f>
        <v/>
      </c>
      <c r="AS376" s="74" t="str">
        <f aca="false">IF(ISBLANK($C376),"",IF($P376=Constants!$B$2,TRUE(),IF($P376=Constants!$B$3,FALSE(),FALSE())))</f>
        <v/>
      </c>
      <c r="AT376" s="74" t="str">
        <f aca="false">IF(ISBLANK($C376),"",IF($Q376=Constants!$B$2,TRUE(),IF($Q376=Constants!$B$3,FALSE(),FALSE())))</f>
        <v/>
      </c>
      <c r="AU376" s="74" t="str">
        <f aca="false">IF(ISBLANK($C376),"",IF($R376=Constants!$B$2,TRUE(),IF($R376=Constants!$B$3,FALSE(),FALSE())))</f>
        <v/>
      </c>
      <c r="AV376" s="74" t="str">
        <f aca="false">IF(ISBLANK($C376),"",IF($S376=Constants!$B$2,TRUE(),IF($S376=Constants!$B$3,FALSE(),FALSE())))</f>
        <v/>
      </c>
      <c r="AW376" s="74" t="str">
        <f aca="false">IF(ISBLANK($C376),"",IF($T376=Constants!$B$2,TRUE(),IF($T376=Constants!$B$3,FALSE(),FALSE())))</f>
        <v/>
      </c>
      <c r="AX376" s="74" t="str">
        <f aca="false">IF(ISBLANK($C376),"",IF(OR($U376&amp;""="1",$U376&amp;""="2",$U376&amp;""="3",$U376&amp;""="4"),VALUE($U376&amp;""),IF($U376=Constants!$B$12,Constants!$B$12,"")))</f>
        <v/>
      </c>
      <c r="AY376" s="74" t="str">
        <f aca="false">IF(ISBLANK($C376),"",IF(ISBLANK($V376),0,IF(ISNUMBER($V376),IF(AND($V376&gt;=0,$V376&lt;=Constants!$B$21,$V376=INT($V376)),$V376,""),"")))</f>
        <v/>
      </c>
      <c r="AZ376" s="74" t="str">
        <f aca="false">IF(ISBLANK($C376),"",IF(ISBLANK($W376),0,IF(ISNUMBER($W376),IF($W376&gt;=0,$W376,""),"")))</f>
        <v/>
      </c>
      <c r="BA376" s="74" t="str">
        <f aca="false">IF(ISBLANK($C376),"",IF($X376=Constants!$B$2,TRUE(),IF($X376=Constants!$B$3,FALSE(),TRUE())))</f>
        <v/>
      </c>
      <c r="BB376" s="74" t="str">
        <f aca="false">IF(ISBLANK($C376),"",IF($Y376=Constants!$B$2,TRUE(),IF($Y376=Constants!$B$3,FALSE(),FALSE())))</f>
        <v/>
      </c>
      <c r="BC376" s="74" t="str">
        <f aca="false">IF(ISBLANK($C376),"",IF(ISBLANK($Z376),0,IF(ISNUMBER($Z376),IF(AND($Z376&gt;=0,$Z376&lt;=Constants!$B$35,$Z376=INT($Z376)),$Z376,""),"")))</f>
        <v/>
      </c>
      <c r="BD376" s="74" t="str">
        <f aca="false">IF(ISBLANK($C376),"",IF($AA376=Constants!$B$2,TRUE(),IF($AA376=Constants!$B$3,FALSE(),TRUE())))</f>
        <v/>
      </c>
      <c r="BE376" s="74" t="str">
        <f aca="false">IF(ISBLANK($C376),"",IF($AB376=Constants!$B$2,TRUE(),IF($AB376=Constants!$B$3,FALSE(),TRUE())))</f>
        <v/>
      </c>
      <c r="BF376" s="74" t="str">
        <f aca="false">IF(ISBLANK($C376),"",IF(ISNUMBER($AC376),IF($AC376&gt;=0,$AC376,""),""))</f>
        <v/>
      </c>
      <c r="BG376" s="74" t="str">
        <f aca="false">IF(ISBLANK($C376),"",IF($AD376=Constants!$B$2,TRUE(),IF($AD376=Constants!$B$3,FALSE(),FALSE())))</f>
        <v/>
      </c>
      <c r="BH376" s="73" t="str">
        <f aca="false">IF(ISBLANK($C376),"",IF($BG376,Constants!$B$7,IF(COUNTA($E376:$AC376)=0,Constants!$B$6,IF(OR(COUNTA($G376:$AC376)=0,NOT($AK376),$AQ376),Constants!$B$5,IF(OR($CI376&lt;&gt;"",$CJ376,$CK376,$CL376,$CM376,$CN376,$CO376),Constants!$B$8,Constants!$B$4)))))</f>
        <v/>
      </c>
      <c r="BI376" s="74" t="str">
        <f aca="false">IF(ISBLANK($C376),"",IF($BH376&lt;&gt;Constants!$B$4,$BH376,IF(OR(NOT($AH376),NOT($AJ376),NOT($AR376)),Constants!$B$11,IF(OR(NOT($AP376),MAX($AL376,$AM376,$AN376)&gt;Constants!$B$30),Constants!$B$10,Constants!$B$9))))</f>
        <v/>
      </c>
      <c r="BJ376" s="74" t="str">
        <f aca="false">IF($BH376&lt;&gt;Constants!$B$4,"",IF(NOT($AJ376),0,MIN(Constants!$B$35,$BC376)))</f>
        <v/>
      </c>
      <c r="BK376" s="74" t="str">
        <f aca="false">IF($BH376&lt;&gt;Constants!$B$4,"",IF(NOT($AJ376),0,IF($AT376,Constants!$B$18,IF($AS376,Constants!$B$17,0))))</f>
        <v/>
      </c>
      <c r="BL376" s="74" t="str">
        <f aca="false">IF($BH376&lt;&gt;Constants!$B$4,"",IF(NOT($AJ376),0,Constants!$B$19*($AI376+$AU376+$AV376+$AW376)))</f>
        <v/>
      </c>
      <c r="BM376" s="74" t="str">
        <f aca="false">IF($BH376&lt;&gt;Constants!$B$4,"",IF(OR(NOT($AJ376),NOT(ISNUMBER($AX376))),0,CHOOSE($AX376,Constants!$B$13,Constants!$B$14,Constants!$B$15,Constants!$B$16)))</f>
        <v/>
      </c>
      <c r="BN376" s="74" t="str">
        <f aca="false">IF($BH376&lt;&gt;Constants!$B$4,"",IF(NOT($AJ376),0,Constants!$B$20*$AY376))</f>
        <v/>
      </c>
      <c r="BO376" s="74" t="str">
        <f aca="false">IF($BH376&lt;&gt;Constants!$B$4,"",IF(AND($AJ376,$BA376,$BB376),Constants!$B$22,0))</f>
        <v/>
      </c>
      <c r="BP376" s="74" t="str">
        <f aca="false">IF($BH376&lt;&gt;Constants!$B$4,"",IF(OR(NOT($AJ376),NOT($BA376)),0,IF($BF376&gt;=2*$AF$9,0,Constants!$B$23*INT(ROUND(MIN($BF376,$AF$9),6)))))</f>
        <v/>
      </c>
      <c r="BQ376" s="74" t="str">
        <f aca="false">IF($BH376&lt;&gt;Constants!$B$4,"",IF(NOT($AJ376),0,Constants!$B$24*INT(ROUND(MIN($AZ376,$AF$9),6))))</f>
        <v/>
      </c>
      <c r="BR376" s="74" t="str">
        <f aca="false">IF($BH376&lt;&gt;Constants!$B$4,"",IF(AND($AJ376,$BJ376=0),Constants!$B$25,0))</f>
        <v/>
      </c>
      <c r="BS376" s="74" t="str">
        <f aca="false">IF($BH376&lt;&gt;Constants!$B$4,"",MIN(Constants!$B$29,MAX(0,Constants!$B$27*Constants!$B$28*INT(ROUND((Constants!$B$26-$AL376)/Constants!$B$28,6))))+MIN(Constants!$B$29,MAX(0,Constants!$B$27*Constants!$B$28*INT(ROUND((Constants!$B$26-$AM376)/Constants!$B$28,6))))+MIN(Constants!$B$29,MAX(0,Constants!$B$27*Constants!$B$28*INT(ROUND((Constants!$B$26-$AN376)/Constants!$B$28,6)))))</f>
        <v/>
      </c>
      <c r="BT376" s="74" t="str">
        <f aca="false">IF($BH376&lt;&gt;Constants!$B$4,"",IF(NOT($AJ376),0,Constants!$B$31*INT(ROUND(MAX(0,MIN($BF376,2*$AF$9)-$AF$9),6))))</f>
        <v/>
      </c>
      <c r="BU376" s="74" t="str">
        <f aca="false">IF($BH376&lt;&gt;Constants!$B$4,"",Constants!$B$32*(($AL376&gt;Constants!$B$26)+($AM376&gt;Constants!$B$26)+($AN376&gt;Constants!$B$26)))</f>
        <v/>
      </c>
      <c r="BV376" s="74" t="str">
        <f aca="false">IF($BH376&lt;&gt;Constants!$B$4,"",IF(OR(NOT($AJ376),$AO376),0,Constants!$B$33))</f>
        <v/>
      </c>
      <c r="BW376" s="74" t="str">
        <f aca="false">IF($BH376&lt;&gt;Constants!$B$4,"",Constants!$B$34*$BJ376)</f>
        <v/>
      </c>
      <c r="BX376" s="74" t="str">
        <f aca="false">IF($BH376&lt;&gt;Constants!$B$4,"",IF(OR(NOT($AJ376),$BE376),0,Constants!$B$36))</f>
        <v/>
      </c>
      <c r="BY376" s="74" t="str">
        <f aca="false">IF($BH376&lt;&gt;Constants!$B$4,"",IF(OR(NOT($AJ376),$BD376),0,Constants!$B$37))</f>
        <v/>
      </c>
      <c r="BZ376" s="74" t="str">
        <f aca="false">IF($BH376&lt;&gt;Constants!$B$4,"",SUM($BT376:$BY376))</f>
        <v/>
      </c>
      <c r="CA376" s="74" t="str">
        <f aca="false">IF(ISBLANK($C376),"",IF($BH376&lt;&gt;Constants!$B$4,$BH376,SUM($BK376:$BS376)-$BZ376))</f>
        <v/>
      </c>
      <c r="CB376" s="74" t="str">
        <f aca="false">IF(ISBLANK($C376),"",IF($BH376&lt;&gt;Constants!$B$4,$BH376,RANK($CA376,$CA$9:$CA$508)))</f>
        <v/>
      </c>
      <c r="CC376" s="74" t="str">
        <f aca="false">IF(ISBLANK($C376),"",IF($BH376&lt;&gt;Constants!$B$4,$BH376,COUNTIFS($BI$9:$BI$508,"&lt;"&amp;$BI376)+COUNTIFS($BI$9:$BI$508,$BI376,$CB$9:$CB$508,"&lt;"&amp;$CB376)+1))</f>
        <v/>
      </c>
      <c r="CD376" s="74" t="str">
        <f aca="false">IF(ISBLANK($C376),"",IF($BH376&lt;&gt;Constants!$B$4,$BH376,RANK($BZ376,$BZ$9:$BZ$508,1)))</f>
        <v/>
      </c>
      <c r="CE376" s="74" t="str">
        <f aca="false">IF($BH376&lt;&gt;Constants!$B$4,"",$AL376+$AM376+$AN376)</f>
        <v/>
      </c>
      <c r="CF376" s="74" t="str">
        <f aca="false">IF(ISBLANK($C376),"",IF($BH376&lt;&gt;Constants!$B$4,$BH376,RANK($CE376,$CE$9:$CE$508,1)))</f>
        <v/>
      </c>
      <c r="CG376" s="74" t="str">
        <f aca="false">IF(ISBLANK($C376),"",IF($BH376&lt;&gt;Constants!$B$4,$BH376,COUNTIFS($BI$9:$BI$508,"&lt;"&amp;$BI376)+COUNTIFS($BI$9:$BI$508,$BI376,$CB$9:$CB$508,"&lt;"&amp;$CB376)+COUNTIFS($BI$9:$BI$508,$BI376,$CB$9:$CB$508,$CB376,$CD$9:$CD$508,"&lt;"&amp;$CD376)+COUNTIFS($BI$9:$BI$508,$BI376,$CB$9:$CB$508,$CB376,$CD$9:$CD$508,$CD376,$CF$9:$CF$508,"&lt;"&amp;$CF376)+1))</f>
        <v/>
      </c>
      <c r="CH376" s="74" t="str">
        <f aca="false">IF(ISBLANK($C376),"",IF($BH376&lt;&gt;Constants!$B$4,$BH376,$CC376-$CG376))</f>
        <v/>
      </c>
      <c r="CI376" s="74" t="str">
        <f aca="false">IF(ISBLANK($C376),"",IF(NOT($AJ376),"",IF(ISBLANK($D$7),$CI$5,IF(NOT(ISNUMBER($D$7)),$CI$6,""))))</f>
        <v/>
      </c>
      <c r="CJ376" s="74" t="str">
        <f aca="false">IF(ISBLANK($C376),"",OR($AL376="",$AM376="",$AN376=""))</f>
        <v/>
      </c>
      <c r="CK376" s="74" t="str">
        <f aca="false">IF(ISBLANK($C376),"",AND($AJ376,$AX376=""))</f>
        <v/>
      </c>
      <c r="CL376" s="74" t="str">
        <f aca="false">IF(ISBLANK($C376),"",AND($AJ376,$AY376=""))</f>
        <v/>
      </c>
      <c r="CM376" s="74" t="str">
        <f aca="false">IF(ISBLANK($C376),"",AND($AJ376,$AZ376=""))</f>
        <v/>
      </c>
      <c r="CN376" s="74" t="str">
        <f aca="false">IF(ISBLANK($C376),"",AND($AJ376,$BC376=""))</f>
        <v/>
      </c>
      <c r="CO376" s="74" t="str">
        <f aca="false">IF(ISBLANK($C376),"",AND($AJ376,$BF376=""))</f>
        <v/>
      </c>
      <c r="CP376" s="75"/>
      <c r="CQ376" s="76"/>
      <c r="CR376" s="79" t="str">
        <f aca="false">IF(ISBLANK($C376),"",IF($BH376=Constants!$B$8,$CI376,""))</f>
        <v/>
      </c>
      <c r="CS376" s="76" t="str">
        <f aca="false">IF(ISBLANK($C376),"",IF($BH376&lt;&gt;Constants!$B$4,"",$BK376+$BL376))</f>
        <v/>
      </c>
      <c r="CT376" s="78" t="str">
        <f aca="false">IF(ISBLANK($C376),"",IF($BH376&lt;&gt;Constants!$B$4,"",$BM376+$BN376+$BO376))</f>
        <v/>
      </c>
      <c r="CU376" s="78" t="str">
        <f aca="false">IF(ISBLANK($C376),"",IF($BH376&lt;&gt;Constants!$B$4,"",$BP376))</f>
        <v/>
      </c>
      <c r="CV376" s="78" t="str">
        <f aca="false">IF(ISBLANK($C376),"",IF($BH376&lt;&gt;Constants!$B$4,"",$BQ376+$BR376))</f>
        <v/>
      </c>
      <c r="CW376" s="78" t="str">
        <f aca="false">IF(ISBLANK($C376),"",IF($BH376&lt;&gt;Constants!$B$4,"",$BS376))</f>
        <v/>
      </c>
      <c r="CX376" s="78" t="str">
        <f aca="false">IF(ISBLANK($C376),"",IF($BH376&lt;&gt;Constants!$B$4,"",-$BZ376))</f>
        <v/>
      </c>
      <c r="CY376" s="79" t="str">
        <f aca="false">IF(ISBLANK($C376),"",$CA376)</f>
        <v/>
      </c>
      <c r="CZ376" s="80" t="str">
        <f aca="false">IF(ISBLANK($C376),"",$BI376)</f>
        <v/>
      </c>
      <c r="DA376" s="78" t="str">
        <f aca="false">IF(ISBLANK($C376),"",$CH376)</f>
        <v/>
      </c>
      <c r="DB376" s="78" t="str">
        <f aca="false">IF(ISBLANK($C376),"",$CG376)</f>
        <v/>
      </c>
      <c r="DC376" s="81" t="str">
        <f aca="false">IF(ISBLANK($C376),"",IFERROR(_xlfn.SWITCH($DB376,Constants!$B$7,COUNTA($C$9:$C$508)+2,Constants!$B$6,COUNTA($C$9:$C$508)+1,Constants!$B$5,COUNTA($C$9:$C$508)),$DB376))</f>
        <v/>
      </c>
      <c r="DD376" s="7"/>
      <c r="DE376" s="82" t="n">
        <f aca="false">IF(OR(ISNUMBER($DB376),$DB376=Constants!$B$7,$DB376=Constants!$B$5,$DB376=Constants!$B$6),1,0)</f>
        <v>0</v>
      </c>
      <c r="DF376" s="82" t="n">
        <v>368</v>
      </c>
      <c r="DG376" s="82" t="str">
        <f aca="false">IF(ISBLANK($C376),"",IF(ISNUMBER($DC376),$DC376+ROW($B376)/1000,""))</f>
        <v/>
      </c>
      <c r="DH376" s="82" t="str">
        <f aca="false">IF(ISNUMBER($DG376),RANK($DG376,$DG$9:$DG$508,1),"")</f>
        <v/>
      </c>
      <c r="DI376" s="82" t="str">
        <f aca="false">IF(ISBLANK($C376),"",$B376)</f>
        <v/>
      </c>
      <c r="DJ376" s="82" t="str">
        <f aca="false">IF(ISBLANK($C376),"",$C376)</f>
        <v/>
      </c>
      <c r="DK376" s="82" t="str">
        <f aca="false">IF(ISBLANK($C376),"",$D376)</f>
        <v/>
      </c>
      <c r="DL376" s="83" t="str">
        <f aca="false">$CZ376</f>
        <v/>
      </c>
      <c r="DM376" s="84" t="str">
        <f aca="false">$CY376</f>
        <v/>
      </c>
      <c r="DN376" s="82" t="str">
        <f aca="false">IF(ISBLANK($C376),"",$DB376)</f>
        <v/>
      </c>
      <c r="DO376" s="85" t="str">
        <f aca="false">IF($DF376&gt;$DE$8,"",VLOOKUP($DF376,$DH$9:$DN$508,7,FALSE()))</f>
        <v/>
      </c>
      <c r="DP376" s="86" t="str">
        <f aca="false">IF($DF376&gt;$DE$8,"",VLOOKUP($DF376,$DH$9:$DN$508,2,FALSE()))</f>
        <v/>
      </c>
      <c r="DQ376" s="86" t="str">
        <f aca="false">IF($DF376&gt;$DE$8,"",VLOOKUP($DF376,$DH$9:$DN$508,3,FALSE()))</f>
        <v/>
      </c>
      <c r="DR376" s="86" t="str">
        <f aca="false">IF($DF376&gt;$DE$8,"",VLOOKUP($DF376,$DH$9:$DN$508,4,FALSE()))</f>
        <v/>
      </c>
      <c r="DS376" s="86" t="str">
        <f aca="false">IF($DF376&gt;$DE$8,"",VLOOKUP($DF376,$DH$9:$DN$508,5,FALSE()))</f>
        <v/>
      </c>
      <c r="DT376" s="87" t="str">
        <f aca="false">IF($DF376&gt;$DE$8,"",VLOOKUP($DF376,$DH$9:$DN$508,6,FALSE()))</f>
        <v/>
      </c>
      <c r="DU376" s="62"/>
    </row>
    <row r="377" customFormat="false" ht="15.75" hidden="false" customHeight="false" outlineLevel="0" collapsed="false">
      <c r="A377" s="7"/>
      <c r="B377" s="64"/>
      <c r="C377" s="65"/>
      <c r="D377" s="123"/>
      <c r="E377" s="88"/>
      <c r="F377" s="134"/>
      <c r="G377" s="88"/>
      <c r="H377" s="134"/>
      <c r="I377" s="119"/>
      <c r="J377" s="119"/>
      <c r="K377" s="119"/>
      <c r="L377" s="88"/>
      <c r="M377" s="88"/>
      <c r="N377" s="88"/>
      <c r="O377" s="134"/>
      <c r="P377" s="88"/>
      <c r="Q377" s="88"/>
      <c r="R377" s="88"/>
      <c r="S377" s="88"/>
      <c r="T377" s="134"/>
      <c r="U377" s="88"/>
      <c r="V377" s="70"/>
      <c r="W377" s="88"/>
      <c r="X377" s="88"/>
      <c r="Y377" s="70"/>
      <c r="Z377" s="70"/>
      <c r="AA377" s="88"/>
      <c r="AB377" s="88"/>
      <c r="AC377" s="71"/>
      <c r="AD377" s="88"/>
      <c r="AE377" s="73"/>
      <c r="AF377" s="74"/>
      <c r="AG377" s="74"/>
      <c r="AH377" s="74" t="str">
        <f aca="false">IF(ISBLANK($C377),"",IF($E377=Constants!$B$2,TRUE(),IF($E377=Constants!$B$3,FALSE(),TRUE())))</f>
        <v/>
      </c>
      <c r="AI377" s="74" t="str">
        <f aca="false">IF(ISBLANK($C377),"",IF($F377=Constants!$B$2,TRUE(),IF($F377=Constants!$B$3,FALSE(),FALSE())))</f>
        <v/>
      </c>
      <c r="AJ377" s="74" t="str">
        <f aca="false">IF(ISBLANK($C377),"",IF($G377=Constants!$B$2,TRUE(),IF($G377=Constants!$B$3,FALSE(),TRUE())))</f>
        <v/>
      </c>
      <c r="AK377" s="74" t="str">
        <f aca="false">IF(ISBLANK($C377),"",IF($H377=Constants!$B$2,TRUE(),IF($H377=Constants!$B$3,FALSE(),TRUE())))</f>
        <v/>
      </c>
      <c r="AL377" s="74" t="str">
        <f aca="false">IF(ISBLANK($C377),"",IF(ISNUMBER($I377),IF($I377&gt;=0,$I377,""),""))</f>
        <v/>
      </c>
      <c r="AM377" s="74" t="str">
        <f aca="false">IF(ISBLANK($C377),"",IF(ISNUMBER($J377),IF($J377&gt;=0,$J377,""),""))</f>
        <v/>
      </c>
      <c r="AN377" s="74" t="str">
        <f aca="false">IF(ISBLANK($C377),"",IF(ISNUMBER($K377),IF($K377&gt;=0,$K377,""),""))</f>
        <v/>
      </c>
      <c r="AO377" s="74" t="str">
        <f aca="false">IF(ISBLANK($C377),"",IF($L377=Constants!$B$2,TRUE(),IF($L377=Constants!$B$3,FALSE(),TRUE())))</f>
        <v/>
      </c>
      <c r="AP377" s="74" t="str">
        <f aca="false">IF(ISBLANK($C377),"",IF($M377=Constants!$B$2,TRUE(),IF($M377=Constants!$B$3,FALSE(),TRUE())))</f>
        <v/>
      </c>
      <c r="AQ377" s="74" t="str">
        <f aca="false">IF(ISBLANK($C377),"",IF($N377=Constants!$B$2,TRUE(),IF($N377=Constants!$B$3,FALSE(),FALSE())))</f>
        <v/>
      </c>
      <c r="AR377" s="74" t="str">
        <f aca="false">IF(ISBLANK($C377),"",IF($O377=Constants!$B$2,TRUE(),IF($O377=Constants!$B$3,FALSE(),TRUE())))</f>
        <v/>
      </c>
      <c r="AS377" s="74" t="str">
        <f aca="false">IF(ISBLANK($C377),"",IF($P377=Constants!$B$2,TRUE(),IF($P377=Constants!$B$3,FALSE(),FALSE())))</f>
        <v/>
      </c>
      <c r="AT377" s="74" t="str">
        <f aca="false">IF(ISBLANK($C377),"",IF($Q377=Constants!$B$2,TRUE(),IF($Q377=Constants!$B$3,FALSE(),FALSE())))</f>
        <v/>
      </c>
      <c r="AU377" s="74" t="str">
        <f aca="false">IF(ISBLANK($C377),"",IF($R377=Constants!$B$2,TRUE(),IF($R377=Constants!$B$3,FALSE(),FALSE())))</f>
        <v/>
      </c>
      <c r="AV377" s="74" t="str">
        <f aca="false">IF(ISBLANK($C377),"",IF($S377=Constants!$B$2,TRUE(),IF($S377=Constants!$B$3,FALSE(),FALSE())))</f>
        <v/>
      </c>
      <c r="AW377" s="74" t="str">
        <f aca="false">IF(ISBLANK($C377),"",IF($T377=Constants!$B$2,TRUE(),IF($T377=Constants!$B$3,FALSE(),FALSE())))</f>
        <v/>
      </c>
      <c r="AX377" s="74" t="str">
        <f aca="false">IF(ISBLANK($C377),"",IF(OR($U377&amp;""="1",$U377&amp;""="2",$U377&amp;""="3",$U377&amp;""="4"),VALUE($U377&amp;""),IF($U377=Constants!$B$12,Constants!$B$12,"")))</f>
        <v/>
      </c>
      <c r="AY377" s="74" t="str">
        <f aca="false">IF(ISBLANK($C377),"",IF(ISBLANK($V377),0,IF(ISNUMBER($V377),IF(AND($V377&gt;=0,$V377&lt;=Constants!$B$21,$V377=INT($V377)),$V377,""),"")))</f>
        <v/>
      </c>
      <c r="AZ377" s="74" t="str">
        <f aca="false">IF(ISBLANK($C377),"",IF(ISBLANK($W377),0,IF(ISNUMBER($W377),IF($W377&gt;=0,$W377,""),"")))</f>
        <v/>
      </c>
      <c r="BA377" s="74" t="str">
        <f aca="false">IF(ISBLANK($C377),"",IF($X377=Constants!$B$2,TRUE(),IF($X377=Constants!$B$3,FALSE(),TRUE())))</f>
        <v/>
      </c>
      <c r="BB377" s="74" t="str">
        <f aca="false">IF(ISBLANK($C377),"",IF($Y377=Constants!$B$2,TRUE(),IF($Y377=Constants!$B$3,FALSE(),FALSE())))</f>
        <v/>
      </c>
      <c r="BC377" s="74" t="str">
        <f aca="false">IF(ISBLANK($C377),"",IF(ISBLANK($Z377),0,IF(ISNUMBER($Z377),IF(AND($Z377&gt;=0,$Z377&lt;=Constants!$B$35,$Z377=INT($Z377)),$Z377,""),"")))</f>
        <v/>
      </c>
      <c r="BD377" s="74" t="str">
        <f aca="false">IF(ISBLANK($C377),"",IF($AA377=Constants!$B$2,TRUE(),IF($AA377=Constants!$B$3,FALSE(),TRUE())))</f>
        <v/>
      </c>
      <c r="BE377" s="74" t="str">
        <f aca="false">IF(ISBLANK($C377),"",IF($AB377=Constants!$B$2,TRUE(),IF($AB377=Constants!$B$3,FALSE(),TRUE())))</f>
        <v/>
      </c>
      <c r="BF377" s="74" t="str">
        <f aca="false">IF(ISBLANK($C377),"",IF(ISNUMBER($AC377),IF($AC377&gt;=0,$AC377,""),""))</f>
        <v/>
      </c>
      <c r="BG377" s="74" t="str">
        <f aca="false">IF(ISBLANK($C377),"",IF($AD377=Constants!$B$2,TRUE(),IF($AD377=Constants!$B$3,FALSE(),FALSE())))</f>
        <v/>
      </c>
      <c r="BH377" s="73" t="str">
        <f aca="false">IF(ISBLANK($C377),"",IF($BG377,Constants!$B$7,IF(COUNTA($E377:$AC377)=0,Constants!$B$6,IF(OR(COUNTA($G377:$AC377)=0,NOT($AK377),$AQ377),Constants!$B$5,IF(OR($CI377&lt;&gt;"",$CJ377,$CK377,$CL377,$CM377,$CN377,$CO377),Constants!$B$8,Constants!$B$4)))))</f>
        <v/>
      </c>
      <c r="BI377" s="74" t="str">
        <f aca="false">IF(ISBLANK($C377),"",IF($BH377&lt;&gt;Constants!$B$4,$BH377,IF(OR(NOT($AH377),NOT($AJ377),NOT($AR377)),Constants!$B$11,IF(OR(NOT($AP377),MAX($AL377,$AM377,$AN377)&gt;Constants!$B$30),Constants!$B$10,Constants!$B$9))))</f>
        <v/>
      </c>
      <c r="BJ377" s="74" t="str">
        <f aca="false">IF($BH377&lt;&gt;Constants!$B$4,"",IF(NOT($AJ377),0,MIN(Constants!$B$35,$BC377)))</f>
        <v/>
      </c>
      <c r="BK377" s="74" t="str">
        <f aca="false">IF($BH377&lt;&gt;Constants!$B$4,"",IF(NOT($AJ377),0,IF($AT377,Constants!$B$18,IF($AS377,Constants!$B$17,0))))</f>
        <v/>
      </c>
      <c r="BL377" s="74" t="str">
        <f aca="false">IF($BH377&lt;&gt;Constants!$B$4,"",IF(NOT($AJ377),0,Constants!$B$19*($AI377+$AU377+$AV377+$AW377)))</f>
        <v/>
      </c>
      <c r="BM377" s="74" t="str">
        <f aca="false">IF($BH377&lt;&gt;Constants!$B$4,"",IF(OR(NOT($AJ377),NOT(ISNUMBER($AX377))),0,CHOOSE($AX377,Constants!$B$13,Constants!$B$14,Constants!$B$15,Constants!$B$16)))</f>
        <v/>
      </c>
      <c r="BN377" s="74" t="str">
        <f aca="false">IF($BH377&lt;&gt;Constants!$B$4,"",IF(NOT($AJ377),0,Constants!$B$20*$AY377))</f>
        <v/>
      </c>
      <c r="BO377" s="74" t="str">
        <f aca="false">IF($BH377&lt;&gt;Constants!$B$4,"",IF(AND($AJ377,$BA377,$BB377),Constants!$B$22,0))</f>
        <v/>
      </c>
      <c r="BP377" s="74" t="str">
        <f aca="false">IF($BH377&lt;&gt;Constants!$B$4,"",IF(OR(NOT($AJ377),NOT($BA377)),0,IF($BF377&gt;=2*$AF$9,0,Constants!$B$23*INT(ROUND(MIN($BF377,$AF$9),6)))))</f>
        <v/>
      </c>
      <c r="BQ377" s="74" t="str">
        <f aca="false">IF($BH377&lt;&gt;Constants!$B$4,"",IF(NOT($AJ377),0,Constants!$B$24*INT(ROUND(MIN($AZ377,$AF$9),6))))</f>
        <v/>
      </c>
      <c r="BR377" s="74" t="str">
        <f aca="false">IF($BH377&lt;&gt;Constants!$B$4,"",IF(AND($AJ377,$BJ377=0),Constants!$B$25,0))</f>
        <v/>
      </c>
      <c r="BS377" s="74" t="str">
        <f aca="false">IF($BH377&lt;&gt;Constants!$B$4,"",MIN(Constants!$B$29,MAX(0,Constants!$B$27*Constants!$B$28*INT(ROUND((Constants!$B$26-$AL377)/Constants!$B$28,6))))+MIN(Constants!$B$29,MAX(0,Constants!$B$27*Constants!$B$28*INT(ROUND((Constants!$B$26-$AM377)/Constants!$B$28,6))))+MIN(Constants!$B$29,MAX(0,Constants!$B$27*Constants!$B$28*INT(ROUND((Constants!$B$26-$AN377)/Constants!$B$28,6)))))</f>
        <v/>
      </c>
      <c r="BT377" s="74" t="str">
        <f aca="false">IF($BH377&lt;&gt;Constants!$B$4,"",IF(NOT($AJ377),0,Constants!$B$31*INT(ROUND(MAX(0,MIN($BF377,2*$AF$9)-$AF$9),6))))</f>
        <v/>
      </c>
      <c r="BU377" s="74" t="str">
        <f aca="false">IF($BH377&lt;&gt;Constants!$B$4,"",Constants!$B$32*(($AL377&gt;Constants!$B$26)+($AM377&gt;Constants!$B$26)+($AN377&gt;Constants!$B$26)))</f>
        <v/>
      </c>
      <c r="BV377" s="74" t="str">
        <f aca="false">IF($BH377&lt;&gt;Constants!$B$4,"",IF(OR(NOT($AJ377),$AO377),0,Constants!$B$33))</f>
        <v/>
      </c>
      <c r="BW377" s="74" t="str">
        <f aca="false">IF($BH377&lt;&gt;Constants!$B$4,"",Constants!$B$34*$BJ377)</f>
        <v/>
      </c>
      <c r="BX377" s="74" t="str">
        <f aca="false">IF($BH377&lt;&gt;Constants!$B$4,"",IF(OR(NOT($AJ377),$BE377),0,Constants!$B$36))</f>
        <v/>
      </c>
      <c r="BY377" s="74" t="str">
        <f aca="false">IF($BH377&lt;&gt;Constants!$B$4,"",IF(OR(NOT($AJ377),$BD377),0,Constants!$B$37))</f>
        <v/>
      </c>
      <c r="BZ377" s="74" t="str">
        <f aca="false">IF($BH377&lt;&gt;Constants!$B$4,"",SUM($BT377:$BY377))</f>
        <v/>
      </c>
      <c r="CA377" s="74" t="str">
        <f aca="false">IF(ISBLANK($C377),"",IF($BH377&lt;&gt;Constants!$B$4,$BH377,SUM($BK377:$BS377)-$BZ377))</f>
        <v/>
      </c>
      <c r="CB377" s="74" t="str">
        <f aca="false">IF(ISBLANK($C377),"",IF($BH377&lt;&gt;Constants!$B$4,$BH377,RANK($CA377,$CA$9:$CA$508)))</f>
        <v/>
      </c>
      <c r="CC377" s="74" t="str">
        <f aca="false">IF(ISBLANK($C377),"",IF($BH377&lt;&gt;Constants!$B$4,$BH377,COUNTIFS($BI$9:$BI$508,"&lt;"&amp;$BI377)+COUNTIFS($BI$9:$BI$508,$BI377,$CB$9:$CB$508,"&lt;"&amp;$CB377)+1))</f>
        <v/>
      </c>
      <c r="CD377" s="74" t="str">
        <f aca="false">IF(ISBLANK($C377),"",IF($BH377&lt;&gt;Constants!$B$4,$BH377,RANK($BZ377,$BZ$9:$BZ$508,1)))</f>
        <v/>
      </c>
      <c r="CE377" s="74" t="str">
        <f aca="false">IF($BH377&lt;&gt;Constants!$B$4,"",$AL377+$AM377+$AN377)</f>
        <v/>
      </c>
      <c r="CF377" s="74" t="str">
        <f aca="false">IF(ISBLANK($C377),"",IF($BH377&lt;&gt;Constants!$B$4,$BH377,RANK($CE377,$CE$9:$CE$508,1)))</f>
        <v/>
      </c>
      <c r="CG377" s="74" t="str">
        <f aca="false">IF(ISBLANK($C377),"",IF($BH377&lt;&gt;Constants!$B$4,$BH377,COUNTIFS($BI$9:$BI$508,"&lt;"&amp;$BI377)+COUNTIFS($BI$9:$BI$508,$BI377,$CB$9:$CB$508,"&lt;"&amp;$CB377)+COUNTIFS($BI$9:$BI$508,$BI377,$CB$9:$CB$508,$CB377,$CD$9:$CD$508,"&lt;"&amp;$CD377)+COUNTIFS($BI$9:$BI$508,$BI377,$CB$9:$CB$508,$CB377,$CD$9:$CD$508,$CD377,$CF$9:$CF$508,"&lt;"&amp;$CF377)+1))</f>
        <v/>
      </c>
      <c r="CH377" s="74" t="str">
        <f aca="false">IF(ISBLANK($C377),"",IF($BH377&lt;&gt;Constants!$B$4,$BH377,$CC377-$CG377))</f>
        <v/>
      </c>
      <c r="CI377" s="74" t="str">
        <f aca="false">IF(ISBLANK($C377),"",IF(NOT($AJ377),"",IF(ISBLANK($D$7),$CI$5,IF(NOT(ISNUMBER($D$7)),$CI$6,""))))</f>
        <v/>
      </c>
      <c r="CJ377" s="74" t="str">
        <f aca="false">IF(ISBLANK($C377),"",OR($AL377="",$AM377="",$AN377=""))</f>
        <v/>
      </c>
      <c r="CK377" s="74" t="str">
        <f aca="false">IF(ISBLANK($C377),"",AND($AJ377,$AX377=""))</f>
        <v/>
      </c>
      <c r="CL377" s="74" t="str">
        <f aca="false">IF(ISBLANK($C377),"",AND($AJ377,$AY377=""))</f>
        <v/>
      </c>
      <c r="CM377" s="74" t="str">
        <f aca="false">IF(ISBLANK($C377),"",AND($AJ377,$AZ377=""))</f>
        <v/>
      </c>
      <c r="CN377" s="74" t="str">
        <f aca="false">IF(ISBLANK($C377),"",AND($AJ377,$BC377=""))</f>
        <v/>
      </c>
      <c r="CO377" s="74" t="str">
        <f aca="false">IF(ISBLANK($C377),"",AND($AJ377,$BF377=""))</f>
        <v/>
      </c>
      <c r="CP377" s="75"/>
      <c r="CQ377" s="76"/>
      <c r="CR377" s="79" t="str">
        <f aca="false">IF(ISBLANK($C377),"",IF($BH377=Constants!$B$8,$CI377,""))</f>
        <v/>
      </c>
      <c r="CS377" s="76" t="str">
        <f aca="false">IF(ISBLANK($C377),"",IF($BH377&lt;&gt;Constants!$B$4,"",$BK377+$BL377))</f>
        <v/>
      </c>
      <c r="CT377" s="78" t="str">
        <f aca="false">IF(ISBLANK($C377),"",IF($BH377&lt;&gt;Constants!$B$4,"",$BM377+$BN377+$BO377))</f>
        <v/>
      </c>
      <c r="CU377" s="78" t="str">
        <f aca="false">IF(ISBLANK($C377),"",IF($BH377&lt;&gt;Constants!$B$4,"",$BP377))</f>
        <v/>
      </c>
      <c r="CV377" s="78" t="str">
        <f aca="false">IF(ISBLANK($C377),"",IF($BH377&lt;&gt;Constants!$B$4,"",$BQ377+$BR377))</f>
        <v/>
      </c>
      <c r="CW377" s="78" t="str">
        <f aca="false">IF(ISBLANK($C377),"",IF($BH377&lt;&gt;Constants!$B$4,"",$BS377))</f>
        <v/>
      </c>
      <c r="CX377" s="78" t="str">
        <f aca="false">IF(ISBLANK($C377),"",IF($BH377&lt;&gt;Constants!$B$4,"",-$BZ377))</f>
        <v/>
      </c>
      <c r="CY377" s="79" t="str">
        <f aca="false">IF(ISBLANK($C377),"",$CA377)</f>
        <v/>
      </c>
      <c r="CZ377" s="80" t="str">
        <f aca="false">IF(ISBLANK($C377),"",$BI377)</f>
        <v/>
      </c>
      <c r="DA377" s="78" t="str">
        <f aca="false">IF(ISBLANK($C377),"",$CH377)</f>
        <v/>
      </c>
      <c r="DB377" s="78" t="str">
        <f aca="false">IF(ISBLANK($C377),"",$CG377)</f>
        <v/>
      </c>
      <c r="DC377" s="81" t="str">
        <f aca="false">IF(ISBLANK($C377),"",IFERROR(_xlfn.SWITCH($DB377,Constants!$B$7,COUNTA($C$9:$C$508)+2,Constants!$B$6,COUNTA($C$9:$C$508)+1,Constants!$B$5,COUNTA($C$9:$C$508)),$DB377))</f>
        <v/>
      </c>
      <c r="DD377" s="7"/>
      <c r="DE377" s="82" t="n">
        <f aca="false">IF(OR(ISNUMBER($DB377),$DB377=Constants!$B$7,$DB377=Constants!$B$5,$DB377=Constants!$B$6),1,0)</f>
        <v>0</v>
      </c>
      <c r="DF377" s="82" t="n">
        <v>369</v>
      </c>
      <c r="DG377" s="82" t="str">
        <f aca="false">IF(ISBLANK($C377),"",IF(ISNUMBER($DC377),$DC377+ROW($B377)/1000,""))</f>
        <v/>
      </c>
      <c r="DH377" s="82" t="str">
        <f aca="false">IF(ISNUMBER($DG377),RANK($DG377,$DG$9:$DG$508,1),"")</f>
        <v/>
      </c>
      <c r="DI377" s="82" t="str">
        <f aca="false">IF(ISBLANK($C377),"",$B377)</f>
        <v/>
      </c>
      <c r="DJ377" s="82" t="str">
        <f aca="false">IF(ISBLANK($C377),"",$C377)</f>
        <v/>
      </c>
      <c r="DK377" s="82" t="str">
        <f aca="false">IF(ISBLANK($C377),"",$D377)</f>
        <v/>
      </c>
      <c r="DL377" s="83" t="str">
        <f aca="false">$CZ377</f>
        <v/>
      </c>
      <c r="DM377" s="84" t="str">
        <f aca="false">$CY377</f>
        <v/>
      </c>
      <c r="DN377" s="82" t="str">
        <f aca="false">IF(ISBLANK($C377),"",$DB377)</f>
        <v/>
      </c>
      <c r="DO377" s="85" t="str">
        <f aca="false">IF($DF377&gt;$DE$8,"",VLOOKUP($DF377,$DH$9:$DN$508,7,FALSE()))</f>
        <v/>
      </c>
      <c r="DP377" s="86" t="str">
        <f aca="false">IF($DF377&gt;$DE$8,"",VLOOKUP($DF377,$DH$9:$DN$508,2,FALSE()))</f>
        <v/>
      </c>
      <c r="DQ377" s="86" t="str">
        <f aca="false">IF($DF377&gt;$DE$8,"",VLOOKUP($DF377,$DH$9:$DN$508,3,FALSE()))</f>
        <v/>
      </c>
      <c r="DR377" s="86" t="str">
        <f aca="false">IF($DF377&gt;$DE$8,"",VLOOKUP($DF377,$DH$9:$DN$508,4,FALSE()))</f>
        <v/>
      </c>
      <c r="DS377" s="86" t="str">
        <f aca="false">IF($DF377&gt;$DE$8,"",VLOOKUP($DF377,$DH$9:$DN$508,5,FALSE()))</f>
        <v/>
      </c>
      <c r="DT377" s="87" t="str">
        <f aca="false">IF($DF377&gt;$DE$8,"",VLOOKUP($DF377,$DH$9:$DN$508,6,FALSE()))</f>
        <v/>
      </c>
      <c r="DU377" s="62"/>
    </row>
    <row r="378" customFormat="false" ht="15.75" hidden="false" customHeight="false" outlineLevel="0" collapsed="false">
      <c r="A378" s="7"/>
      <c r="B378" s="90"/>
      <c r="C378" s="91"/>
      <c r="D378" s="126"/>
      <c r="E378" s="130"/>
      <c r="F378" s="135"/>
      <c r="G378" s="130"/>
      <c r="H378" s="135"/>
      <c r="I378" s="131"/>
      <c r="J378" s="131"/>
      <c r="K378" s="131"/>
      <c r="L378" s="130"/>
      <c r="M378" s="130"/>
      <c r="N378" s="130"/>
      <c r="O378" s="135"/>
      <c r="P378" s="130"/>
      <c r="Q378" s="130"/>
      <c r="R378" s="130"/>
      <c r="S378" s="130"/>
      <c r="T378" s="135"/>
      <c r="U378" s="130"/>
      <c r="V378" s="96"/>
      <c r="W378" s="130"/>
      <c r="X378" s="130"/>
      <c r="Y378" s="96"/>
      <c r="Z378" s="96"/>
      <c r="AA378" s="130"/>
      <c r="AB378" s="130"/>
      <c r="AC378" s="97"/>
      <c r="AD378" s="130"/>
      <c r="AE378" s="99"/>
      <c r="AF378" s="100"/>
      <c r="AG378" s="100"/>
      <c r="AH378" s="100" t="str">
        <f aca="false">IF(ISBLANK($C378),"",IF($E378=Constants!$B$2,TRUE(),IF($E378=Constants!$B$3,FALSE(),TRUE())))</f>
        <v/>
      </c>
      <c r="AI378" s="100" t="str">
        <f aca="false">IF(ISBLANK($C378),"",IF($F378=Constants!$B$2,TRUE(),IF($F378=Constants!$B$3,FALSE(),FALSE())))</f>
        <v/>
      </c>
      <c r="AJ378" s="100" t="str">
        <f aca="false">IF(ISBLANK($C378),"",IF($G378=Constants!$B$2,TRUE(),IF($G378=Constants!$B$3,FALSE(),TRUE())))</f>
        <v/>
      </c>
      <c r="AK378" s="100" t="str">
        <f aca="false">IF(ISBLANK($C378),"",IF($H378=Constants!$B$2,TRUE(),IF($H378=Constants!$B$3,FALSE(),TRUE())))</f>
        <v/>
      </c>
      <c r="AL378" s="100" t="str">
        <f aca="false">IF(ISBLANK($C378),"",IF(ISNUMBER($I378),IF($I378&gt;=0,$I378,""),""))</f>
        <v/>
      </c>
      <c r="AM378" s="100" t="str">
        <f aca="false">IF(ISBLANK($C378),"",IF(ISNUMBER($J378),IF($J378&gt;=0,$J378,""),""))</f>
        <v/>
      </c>
      <c r="AN378" s="100" t="str">
        <f aca="false">IF(ISBLANK($C378),"",IF(ISNUMBER($K378),IF($K378&gt;=0,$K378,""),""))</f>
        <v/>
      </c>
      <c r="AO378" s="100" t="str">
        <f aca="false">IF(ISBLANK($C378),"",IF($L378=Constants!$B$2,TRUE(),IF($L378=Constants!$B$3,FALSE(),TRUE())))</f>
        <v/>
      </c>
      <c r="AP378" s="100" t="str">
        <f aca="false">IF(ISBLANK($C378),"",IF($M378=Constants!$B$2,TRUE(),IF($M378=Constants!$B$3,FALSE(),TRUE())))</f>
        <v/>
      </c>
      <c r="AQ378" s="100" t="str">
        <f aca="false">IF(ISBLANK($C378),"",IF($N378=Constants!$B$2,TRUE(),IF($N378=Constants!$B$3,FALSE(),FALSE())))</f>
        <v/>
      </c>
      <c r="AR378" s="100" t="str">
        <f aca="false">IF(ISBLANK($C378),"",IF($O378=Constants!$B$2,TRUE(),IF($O378=Constants!$B$3,FALSE(),TRUE())))</f>
        <v/>
      </c>
      <c r="AS378" s="100" t="str">
        <f aca="false">IF(ISBLANK($C378),"",IF($P378=Constants!$B$2,TRUE(),IF($P378=Constants!$B$3,FALSE(),FALSE())))</f>
        <v/>
      </c>
      <c r="AT378" s="100" t="str">
        <f aca="false">IF(ISBLANK($C378),"",IF($Q378=Constants!$B$2,TRUE(),IF($Q378=Constants!$B$3,FALSE(),FALSE())))</f>
        <v/>
      </c>
      <c r="AU378" s="100" t="str">
        <f aca="false">IF(ISBLANK($C378),"",IF($R378=Constants!$B$2,TRUE(),IF($R378=Constants!$B$3,FALSE(),FALSE())))</f>
        <v/>
      </c>
      <c r="AV378" s="100" t="str">
        <f aca="false">IF(ISBLANK($C378),"",IF($S378=Constants!$B$2,TRUE(),IF($S378=Constants!$B$3,FALSE(),FALSE())))</f>
        <v/>
      </c>
      <c r="AW378" s="100" t="str">
        <f aca="false">IF(ISBLANK($C378),"",IF($T378=Constants!$B$2,TRUE(),IF($T378=Constants!$B$3,FALSE(),FALSE())))</f>
        <v/>
      </c>
      <c r="AX378" s="100" t="str">
        <f aca="false">IF(ISBLANK($C378),"",IF(OR($U378&amp;""="1",$U378&amp;""="2",$U378&amp;""="3",$U378&amp;""="4"),VALUE($U378&amp;""),IF($U378=Constants!$B$12,Constants!$B$12,"")))</f>
        <v/>
      </c>
      <c r="AY378" s="100" t="str">
        <f aca="false">IF(ISBLANK($C378),"",IF(ISBLANK($V378),0,IF(ISNUMBER($V378),IF(AND($V378&gt;=0,$V378&lt;=Constants!$B$21,$V378=INT($V378)),$V378,""),"")))</f>
        <v/>
      </c>
      <c r="AZ378" s="100" t="str">
        <f aca="false">IF(ISBLANK($C378),"",IF(ISBLANK($W378),0,IF(ISNUMBER($W378),IF($W378&gt;=0,$W378,""),"")))</f>
        <v/>
      </c>
      <c r="BA378" s="100" t="str">
        <f aca="false">IF(ISBLANK($C378),"",IF($X378=Constants!$B$2,TRUE(),IF($X378=Constants!$B$3,FALSE(),TRUE())))</f>
        <v/>
      </c>
      <c r="BB378" s="100" t="str">
        <f aca="false">IF(ISBLANK($C378),"",IF($Y378=Constants!$B$2,TRUE(),IF($Y378=Constants!$B$3,FALSE(),FALSE())))</f>
        <v/>
      </c>
      <c r="BC378" s="100" t="str">
        <f aca="false">IF(ISBLANK($C378),"",IF(ISBLANK($Z378),0,IF(ISNUMBER($Z378),IF(AND($Z378&gt;=0,$Z378&lt;=Constants!$B$35,$Z378=INT($Z378)),$Z378,""),"")))</f>
        <v/>
      </c>
      <c r="BD378" s="100" t="str">
        <f aca="false">IF(ISBLANK($C378),"",IF($AA378=Constants!$B$2,TRUE(),IF($AA378=Constants!$B$3,FALSE(),TRUE())))</f>
        <v/>
      </c>
      <c r="BE378" s="100" t="str">
        <f aca="false">IF(ISBLANK($C378),"",IF($AB378=Constants!$B$2,TRUE(),IF($AB378=Constants!$B$3,FALSE(),TRUE())))</f>
        <v/>
      </c>
      <c r="BF378" s="100" t="str">
        <f aca="false">IF(ISBLANK($C378),"",IF(ISNUMBER($AC378),IF($AC378&gt;=0,$AC378,""),""))</f>
        <v/>
      </c>
      <c r="BG378" s="100" t="str">
        <f aca="false">IF(ISBLANK($C378),"",IF($AD378=Constants!$B$2,TRUE(),IF($AD378=Constants!$B$3,FALSE(),FALSE())))</f>
        <v/>
      </c>
      <c r="BH378" s="99" t="str">
        <f aca="false">IF(ISBLANK($C378),"",IF($BG378,Constants!$B$7,IF(COUNTA($E378:$AC378)=0,Constants!$B$6,IF(OR(COUNTA($G378:$AC378)=0,NOT($AK378),$AQ378),Constants!$B$5,IF(OR($CI378&lt;&gt;"",$CJ378,$CK378,$CL378,$CM378,$CN378,$CO378),Constants!$B$8,Constants!$B$4)))))</f>
        <v/>
      </c>
      <c r="BI378" s="100" t="str">
        <f aca="false">IF(ISBLANK($C378),"",IF($BH378&lt;&gt;Constants!$B$4,$BH378,IF(OR(NOT($AH378),NOT($AJ378),NOT($AR378)),Constants!$B$11,IF(OR(NOT($AP378),MAX($AL378,$AM378,$AN378)&gt;Constants!$B$30),Constants!$B$10,Constants!$B$9))))</f>
        <v/>
      </c>
      <c r="BJ378" s="100" t="str">
        <f aca="false">IF($BH378&lt;&gt;Constants!$B$4,"",IF(NOT($AJ378),0,MIN(Constants!$B$35,$BC378)))</f>
        <v/>
      </c>
      <c r="BK378" s="100" t="str">
        <f aca="false">IF($BH378&lt;&gt;Constants!$B$4,"",IF(NOT($AJ378),0,IF($AT378,Constants!$B$18,IF($AS378,Constants!$B$17,0))))</f>
        <v/>
      </c>
      <c r="BL378" s="100" t="str">
        <f aca="false">IF($BH378&lt;&gt;Constants!$B$4,"",IF(NOT($AJ378),0,Constants!$B$19*($AI378+$AU378+$AV378+$AW378)))</f>
        <v/>
      </c>
      <c r="BM378" s="100" t="str">
        <f aca="false">IF($BH378&lt;&gt;Constants!$B$4,"",IF(OR(NOT($AJ378),NOT(ISNUMBER($AX378))),0,CHOOSE($AX378,Constants!$B$13,Constants!$B$14,Constants!$B$15,Constants!$B$16)))</f>
        <v/>
      </c>
      <c r="BN378" s="100" t="str">
        <f aca="false">IF($BH378&lt;&gt;Constants!$B$4,"",IF(NOT($AJ378),0,Constants!$B$20*$AY378))</f>
        <v/>
      </c>
      <c r="BO378" s="100" t="str">
        <f aca="false">IF($BH378&lt;&gt;Constants!$B$4,"",IF(AND($AJ378,$BA378,$BB378),Constants!$B$22,0))</f>
        <v/>
      </c>
      <c r="BP378" s="100" t="str">
        <f aca="false">IF($BH378&lt;&gt;Constants!$B$4,"",IF(OR(NOT($AJ378),NOT($BA378)),0,IF($BF378&gt;=2*$AF$9,0,Constants!$B$23*INT(ROUND(MIN($BF378,$AF$9),6)))))</f>
        <v/>
      </c>
      <c r="BQ378" s="100" t="str">
        <f aca="false">IF($BH378&lt;&gt;Constants!$B$4,"",IF(NOT($AJ378),0,Constants!$B$24*INT(ROUND(MIN($AZ378,$AF$9),6))))</f>
        <v/>
      </c>
      <c r="BR378" s="100" t="str">
        <f aca="false">IF($BH378&lt;&gt;Constants!$B$4,"",IF(AND($AJ378,$BJ378=0),Constants!$B$25,0))</f>
        <v/>
      </c>
      <c r="BS378" s="100" t="str">
        <f aca="false">IF($BH378&lt;&gt;Constants!$B$4,"",MIN(Constants!$B$29,MAX(0,Constants!$B$27*Constants!$B$28*INT(ROUND((Constants!$B$26-$AL378)/Constants!$B$28,6))))+MIN(Constants!$B$29,MAX(0,Constants!$B$27*Constants!$B$28*INT(ROUND((Constants!$B$26-$AM378)/Constants!$B$28,6))))+MIN(Constants!$B$29,MAX(0,Constants!$B$27*Constants!$B$28*INT(ROUND((Constants!$B$26-$AN378)/Constants!$B$28,6)))))</f>
        <v/>
      </c>
      <c r="BT378" s="100" t="str">
        <f aca="false">IF($BH378&lt;&gt;Constants!$B$4,"",IF(NOT($AJ378),0,Constants!$B$31*INT(ROUND(MAX(0,MIN($BF378,2*$AF$9)-$AF$9),6))))</f>
        <v/>
      </c>
      <c r="BU378" s="100" t="str">
        <f aca="false">IF($BH378&lt;&gt;Constants!$B$4,"",Constants!$B$32*(($AL378&gt;Constants!$B$26)+($AM378&gt;Constants!$B$26)+($AN378&gt;Constants!$B$26)))</f>
        <v/>
      </c>
      <c r="BV378" s="100" t="str">
        <f aca="false">IF($BH378&lt;&gt;Constants!$B$4,"",IF(OR(NOT($AJ378),$AO378),0,Constants!$B$33))</f>
        <v/>
      </c>
      <c r="BW378" s="100" t="str">
        <f aca="false">IF($BH378&lt;&gt;Constants!$B$4,"",Constants!$B$34*$BJ378)</f>
        <v/>
      </c>
      <c r="BX378" s="100" t="str">
        <f aca="false">IF($BH378&lt;&gt;Constants!$B$4,"",IF(OR(NOT($AJ378),$BE378),0,Constants!$B$36))</f>
        <v/>
      </c>
      <c r="BY378" s="100" t="str">
        <f aca="false">IF($BH378&lt;&gt;Constants!$B$4,"",IF(OR(NOT($AJ378),$BD378),0,Constants!$B$37))</f>
        <v/>
      </c>
      <c r="BZ378" s="100" t="str">
        <f aca="false">IF($BH378&lt;&gt;Constants!$B$4,"",SUM($BT378:$BY378))</f>
        <v/>
      </c>
      <c r="CA378" s="100" t="str">
        <f aca="false">IF(ISBLANK($C378),"",IF($BH378&lt;&gt;Constants!$B$4,$BH378,SUM($BK378:$BS378)-$BZ378))</f>
        <v/>
      </c>
      <c r="CB378" s="100" t="str">
        <f aca="false">IF(ISBLANK($C378),"",IF($BH378&lt;&gt;Constants!$B$4,$BH378,RANK($CA378,$CA$9:$CA$508)))</f>
        <v/>
      </c>
      <c r="CC378" s="100" t="str">
        <f aca="false">IF(ISBLANK($C378),"",IF($BH378&lt;&gt;Constants!$B$4,$BH378,COUNTIFS($BI$9:$BI$508,"&lt;"&amp;$BI378)+COUNTIFS($BI$9:$BI$508,$BI378,$CB$9:$CB$508,"&lt;"&amp;$CB378)+1))</f>
        <v/>
      </c>
      <c r="CD378" s="100" t="str">
        <f aca="false">IF(ISBLANK($C378),"",IF($BH378&lt;&gt;Constants!$B$4,$BH378,RANK($BZ378,$BZ$9:$BZ$508,1)))</f>
        <v/>
      </c>
      <c r="CE378" s="100" t="str">
        <f aca="false">IF($BH378&lt;&gt;Constants!$B$4,"",$AL378+$AM378+$AN378)</f>
        <v/>
      </c>
      <c r="CF378" s="100" t="str">
        <f aca="false">IF(ISBLANK($C378),"",IF($BH378&lt;&gt;Constants!$B$4,$BH378,RANK($CE378,$CE$9:$CE$508,1)))</f>
        <v/>
      </c>
      <c r="CG378" s="100" t="str">
        <f aca="false">IF(ISBLANK($C378),"",IF($BH378&lt;&gt;Constants!$B$4,$BH378,COUNTIFS($BI$9:$BI$508,"&lt;"&amp;$BI378)+COUNTIFS($BI$9:$BI$508,$BI378,$CB$9:$CB$508,"&lt;"&amp;$CB378)+COUNTIFS($BI$9:$BI$508,$BI378,$CB$9:$CB$508,$CB378,$CD$9:$CD$508,"&lt;"&amp;$CD378)+COUNTIFS($BI$9:$BI$508,$BI378,$CB$9:$CB$508,$CB378,$CD$9:$CD$508,$CD378,$CF$9:$CF$508,"&lt;"&amp;$CF378)+1))</f>
        <v/>
      </c>
      <c r="CH378" s="100" t="str">
        <f aca="false">IF(ISBLANK($C378),"",IF($BH378&lt;&gt;Constants!$B$4,$BH378,$CC378-$CG378))</f>
        <v/>
      </c>
      <c r="CI378" s="100" t="str">
        <f aca="false">IF(ISBLANK($C378),"",IF(NOT($AJ378),"",IF(ISBLANK($D$7),$CI$5,IF(NOT(ISNUMBER($D$7)),$CI$6,""))))</f>
        <v/>
      </c>
      <c r="CJ378" s="100" t="str">
        <f aca="false">IF(ISBLANK($C378),"",OR($AL378="",$AM378="",$AN378=""))</f>
        <v/>
      </c>
      <c r="CK378" s="100" t="str">
        <f aca="false">IF(ISBLANK($C378),"",AND($AJ378,$AX378=""))</f>
        <v/>
      </c>
      <c r="CL378" s="100" t="str">
        <f aca="false">IF(ISBLANK($C378),"",AND($AJ378,$AY378=""))</f>
        <v/>
      </c>
      <c r="CM378" s="100" t="str">
        <f aca="false">IF(ISBLANK($C378),"",AND($AJ378,$AZ378=""))</f>
        <v/>
      </c>
      <c r="CN378" s="100" t="str">
        <f aca="false">IF(ISBLANK($C378),"",AND($AJ378,$BC378=""))</f>
        <v/>
      </c>
      <c r="CO378" s="100" t="str">
        <f aca="false">IF(ISBLANK($C378),"",AND($AJ378,$BF378=""))</f>
        <v/>
      </c>
      <c r="CP378" s="101"/>
      <c r="CQ378" s="102"/>
      <c r="CR378" s="103" t="str">
        <f aca="false">IF(ISBLANK($C378),"",IF($BH378=Constants!$B$8,$CI378,""))</f>
        <v/>
      </c>
      <c r="CS378" s="102" t="str">
        <f aca="false">IF(ISBLANK($C378),"",IF($BH378&lt;&gt;Constants!$B$4,"",$BK378+$BL378))</f>
        <v/>
      </c>
      <c r="CT378" s="104" t="str">
        <f aca="false">IF(ISBLANK($C378),"",IF($BH378&lt;&gt;Constants!$B$4,"",$BM378+$BN378+$BO378))</f>
        <v/>
      </c>
      <c r="CU378" s="104" t="str">
        <f aca="false">IF(ISBLANK($C378),"",IF($BH378&lt;&gt;Constants!$B$4,"",$BP378))</f>
        <v/>
      </c>
      <c r="CV378" s="104" t="str">
        <f aca="false">IF(ISBLANK($C378),"",IF($BH378&lt;&gt;Constants!$B$4,"",$BQ378+$BR378))</f>
        <v/>
      </c>
      <c r="CW378" s="104" t="str">
        <f aca="false">IF(ISBLANK($C378),"",IF($BH378&lt;&gt;Constants!$B$4,"",$BS378))</f>
        <v/>
      </c>
      <c r="CX378" s="104" t="str">
        <f aca="false">IF(ISBLANK($C378),"",IF($BH378&lt;&gt;Constants!$B$4,"",-$BZ378))</f>
        <v/>
      </c>
      <c r="CY378" s="103" t="str">
        <f aca="false">IF(ISBLANK($C378),"",$CA378)</f>
        <v/>
      </c>
      <c r="CZ378" s="105" t="str">
        <f aca="false">IF(ISBLANK($C378),"",$BI378)</f>
        <v/>
      </c>
      <c r="DA378" s="104" t="str">
        <f aca="false">IF(ISBLANK($C378),"",$CH378)</f>
        <v/>
      </c>
      <c r="DB378" s="104" t="str">
        <f aca="false">IF(ISBLANK($C378),"",$CG378)</f>
        <v/>
      </c>
      <c r="DC378" s="106" t="str">
        <f aca="false">IF(ISBLANK($C378),"",IFERROR(_xlfn.SWITCH($DB378,Constants!$B$7,COUNTA($C$9:$C$508)+2,Constants!$B$6,COUNTA($C$9:$C$508)+1,Constants!$B$5,COUNTA($C$9:$C$508)),$DB378))</f>
        <v/>
      </c>
      <c r="DD378" s="7"/>
      <c r="DE378" s="107" t="n">
        <f aca="false">IF(OR(ISNUMBER($DB378),$DB378=Constants!$B$7,$DB378=Constants!$B$5,$DB378=Constants!$B$6),1,0)</f>
        <v>0</v>
      </c>
      <c r="DF378" s="107" t="n">
        <v>370</v>
      </c>
      <c r="DG378" s="107" t="str">
        <f aca="false">IF(ISBLANK($C378),"",IF(ISNUMBER($DC378),$DC378+ROW($B378)/1000,""))</f>
        <v/>
      </c>
      <c r="DH378" s="107" t="str">
        <f aca="false">IF(ISNUMBER($DG378),RANK($DG378,$DG$9:$DG$508,1),"")</f>
        <v/>
      </c>
      <c r="DI378" s="107" t="str">
        <f aca="false">IF(ISBLANK($C378),"",$B378)</f>
        <v/>
      </c>
      <c r="DJ378" s="107" t="str">
        <f aca="false">IF(ISBLANK($C378),"",$C378)</f>
        <v/>
      </c>
      <c r="DK378" s="107" t="str">
        <f aca="false">IF(ISBLANK($C378),"",$D378)</f>
        <v/>
      </c>
      <c r="DL378" s="108" t="str">
        <f aca="false">$CZ378</f>
        <v/>
      </c>
      <c r="DM378" s="109" t="str">
        <f aca="false">$CY378</f>
        <v/>
      </c>
      <c r="DN378" s="107" t="str">
        <f aca="false">IF(ISBLANK($C378),"",$DB378)</f>
        <v/>
      </c>
      <c r="DO378" s="110" t="str">
        <f aca="false">IF($DF378&gt;$DE$8,"",VLOOKUP($DF378,$DH$9:$DN$508,7,FALSE()))</f>
        <v/>
      </c>
      <c r="DP378" s="111" t="str">
        <f aca="false">IF($DF378&gt;$DE$8,"",VLOOKUP($DF378,$DH$9:$DN$508,2,FALSE()))</f>
        <v/>
      </c>
      <c r="DQ378" s="111" t="str">
        <f aca="false">IF($DF378&gt;$DE$8,"",VLOOKUP($DF378,$DH$9:$DN$508,3,FALSE()))</f>
        <v/>
      </c>
      <c r="DR378" s="111" t="str">
        <f aca="false">IF($DF378&gt;$DE$8,"",VLOOKUP($DF378,$DH$9:$DN$508,4,FALSE()))</f>
        <v/>
      </c>
      <c r="DS378" s="111" t="str">
        <f aca="false">IF($DF378&gt;$DE$8,"",VLOOKUP($DF378,$DH$9:$DN$508,5,FALSE()))</f>
        <v/>
      </c>
      <c r="DT378" s="112" t="str">
        <f aca="false">IF($DF378&gt;$DE$8,"",VLOOKUP($DF378,$DH$9:$DN$508,6,FALSE()))</f>
        <v/>
      </c>
      <c r="DU378" s="62"/>
    </row>
    <row r="379" customFormat="false" ht="15.75" hidden="false" customHeight="false" outlineLevel="0" collapsed="false">
      <c r="A379" s="7"/>
      <c r="B379" s="90"/>
      <c r="C379" s="91"/>
      <c r="D379" s="126"/>
      <c r="E379" s="130"/>
      <c r="F379" s="135"/>
      <c r="G379" s="130"/>
      <c r="H379" s="135"/>
      <c r="I379" s="131"/>
      <c r="J379" s="131"/>
      <c r="K379" s="131"/>
      <c r="L379" s="130"/>
      <c r="M379" s="130"/>
      <c r="N379" s="130"/>
      <c r="O379" s="135"/>
      <c r="P379" s="130"/>
      <c r="Q379" s="130"/>
      <c r="R379" s="130"/>
      <c r="S379" s="130"/>
      <c r="T379" s="135"/>
      <c r="U379" s="130"/>
      <c r="V379" s="96"/>
      <c r="W379" s="130"/>
      <c r="X379" s="130"/>
      <c r="Y379" s="96"/>
      <c r="Z379" s="96"/>
      <c r="AA379" s="130"/>
      <c r="AB379" s="130"/>
      <c r="AC379" s="97"/>
      <c r="AD379" s="130"/>
      <c r="AE379" s="99"/>
      <c r="AF379" s="100"/>
      <c r="AG379" s="100"/>
      <c r="AH379" s="100" t="str">
        <f aca="false">IF(ISBLANK($C379),"",IF($E379=Constants!$B$2,TRUE(),IF($E379=Constants!$B$3,FALSE(),TRUE())))</f>
        <v/>
      </c>
      <c r="AI379" s="100" t="str">
        <f aca="false">IF(ISBLANK($C379),"",IF($F379=Constants!$B$2,TRUE(),IF($F379=Constants!$B$3,FALSE(),FALSE())))</f>
        <v/>
      </c>
      <c r="AJ379" s="100" t="str">
        <f aca="false">IF(ISBLANK($C379),"",IF($G379=Constants!$B$2,TRUE(),IF($G379=Constants!$B$3,FALSE(),TRUE())))</f>
        <v/>
      </c>
      <c r="AK379" s="100" t="str">
        <f aca="false">IF(ISBLANK($C379),"",IF($H379=Constants!$B$2,TRUE(),IF($H379=Constants!$B$3,FALSE(),TRUE())))</f>
        <v/>
      </c>
      <c r="AL379" s="100" t="str">
        <f aca="false">IF(ISBLANK($C379),"",IF(ISNUMBER($I379),IF($I379&gt;=0,$I379,""),""))</f>
        <v/>
      </c>
      <c r="AM379" s="100" t="str">
        <f aca="false">IF(ISBLANK($C379),"",IF(ISNUMBER($J379),IF($J379&gt;=0,$J379,""),""))</f>
        <v/>
      </c>
      <c r="AN379" s="100" t="str">
        <f aca="false">IF(ISBLANK($C379),"",IF(ISNUMBER($K379),IF($K379&gt;=0,$K379,""),""))</f>
        <v/>
      </c>
      <c r="AO379" s="100" t="str">
        <f aca="false">IF(ISBLANK($C379),"",IF($L379=Constants!$B$2,TRUE(),IF($L379=Constants!$B$3,FALSE(),TRUE())))</f>
        <v/>
      </c>
      <c r="AP379" s="100" t="str">
        <f aca="false">IF(ISBLANK($C379),"",IF($M379=Constants!$B$2,TRUE(),IF($M379=Constants!$B$3,FALSE(),TRUE())))</f>
        <v/>
      </c>
      <c r="AQ379" s="100" t="str">
        <f aca="false">IF(ISBLANK($C379),"",IF($N379=Constants!$B$2,TRUE(),IF($N379=Constants!$B$3,FALSE(),FALSE())))</f>
        <v/>
      </c>
      <c r="AR379" s="100" t="str">
        <f aca="false">IF(ISBLANK($C379),"",IF($O379=Constants!$B$2,TRUE(),IF($O379=Constants!$B$3,FALSE(),TRUE())))</f>
        <v/>
      </c>
      <c r="AS379" s="100" t="str">
        <f aca="false">IF(ISBLANK($C379),"",IF($P379=Constants!$B$2,TRUE(),IF($P379=Constants!$B$3,FALSE(),FALSE())))</f>
        <v/>
      </c>
      <c r="AT379" s="100" t="str">
        <f aca="false">IF(ISBLANK($C379),"",IF($Q379=Constants!$B$2,TRUE(),IF($Q379=Constants!$B$3,FALSE(),FALSE())))</f>
        <v/>
      </c>
      <c r="AU379" s="100" t="str">
        <f aca="false">IF(ISBLANK($C379),"",IF($R379=Constants!$B$2,TRUE(),IF($R379=Constants!$B$3,FALSE(),FALSE())))</f>
        <v/>
      </c>
      <c r="AV379" s="100" t="str">
        <f aca="false">IF(ISBLANK($C379),"",IF($S379=Constants!$B$2,TRUE(),IF($S379=Constants!$B$3,FALSE(),FALSE())))</f>
        <v/>
      </c>
      <c r="AW379" s="100" t="str">
        <f aca="false">IF(ISBLANK($C379),"",IF($T379=Constants!$B$2,TRUE(),IF($T379=Constants!$B$3,FALSE(),FALSE())))</f>
        <v/>
      </c>
      <c r="AX379" s="100" t="str">
        <f aca="false">IF(ISBLANK($C379),"",IF(OR($U379&amp;""="1",$U379&amp;""="2",$U379&amp;""="3",$U379&amp;""="4"),VALUE($U379&amp;""),IF($U379=Constants!$B$12,Constants!$B$12,"")))</f>
        <v/>
      </c>
      <c r="AY379" s="100" t="str">
        <f aca="false">IF(ISBLANK($C379),"",IF(ISBLANK($V379),0,IF(ISNUMBER($V379),IF(AND($V379&gt;=0,$V379&lt;=Constants!$B$21,$V379=INT($V379)),$V379,""),"")))</f>
        <v/>
      </c>
      <c r="AZ379" s="100" t="str">
        <f aca="false">IF(ISBLANK($C379),"",IF(ISBLANK($W379),0,IF(ISNUMBER($W379),IF($W379&gt;=0,$W379,""),"")))</f>
        <v/>
      </c>
      <c r="BA379" s="100" t="str">
        <f aca="false">IF(ISBLANK($C379),"",IF($X379=Constants!$B$2,TRUE(),IF($X379=Constants!$B$3,FALSE(),TRUE())))</f>
        <v/>
      </c>
      <c r="BB379" s="100" t="str">
        <f aca="false">IF(ISBLANK($C379),"",IF($Y379=Constants!$B$2,TRUE(),IF($Y379=Constants!$B$3,FALSE(),FALSE())))</f>
        <v/>
      </c>
      <c r="BC379" s="100" t="str">
        <f aca="false">IF(ISBLANK($C379),"",IF(ISBLANK($Z379),0,IF(ISNUMBER($Z379),IF(AND($Z379&gt;=0,$Z379&lt;=Constants!$B$35,$Z379=INT($Z379)),$Z379,""),"")))</f>
        <v/>
      </c>
      <c r="BD379" s="100" t="str">
        <f aca="false">IF(ISBLANK($C379),"",IF($AA379=Constants!$B$2,TRUE(),IF($AA379=Constants!$B$3,FALSE(),TRUE())))</f>
        <v/>
      </c>
      <c r="BE379" s="100" t="str">
        <f aca="false">IF(ISBLANK($C379),"",IF($AB379=Constants!$B$2,TRUE(),IF($AB379=Constants!$B$3,FALSE(),TRUE())))</f>
        <v/>
      </c>
      <c r="BF379" s="100" t="str">
        <f aca="false">IF(ISBLANK($C379),"",IF(ISNUMBER($AC379),IF($AC379&gt;=0,$AC379,""),""))</f>
        <v/>
      </c>
      <c r="BG379" s="100" t="str">
        <f aca="false">IF(ISBLANK($C379),"",IF($AD379=Constants!$B$2,TRUE(),IF($AD379=Constants!$B$3,FALSE(),FALSE())))</f>
        <v/>
      </c>
      <c r="BH379" s="99" t="str">
        <f aca="false">IF(ISBLANK($C379),"",IF($BG379,Constants!$B$7,IF(COUNTA($E379:$AC379)=0,Constants!$B$6,IF(OR(COUNTA($G379:$AC379)=0,NOT($AK379),$AQ379),Constants!$B$5,IF(OR($CI379&lt;&gt;"",$CJ379,$CK379,$CL379,$CM379,$CN379,$CO379),Constants!$B$8,Constants!$B$4)))))</f>
        <v/>
      </c>
      <c r="BI379" s="100" t="str">
        <f aca="false">IF(ISBLANK($C379),"",IF($BH379&lt;&gt;Constants!$B$4,$BH379,IF(OR(NOT($AH379),NOT($AJ379),NOT($AR379)),Constants!$B$11,IF(OR(NOT($AP379),MAX($AL379,$AM379,$AN379)&gt;Constants!$B$30),Constants!$B$10,Constants!$B$9))))</f>
        <v/>
      </c>
      <c r="BJ379" s="100" t="str">
        <f aca="false">IF($BH379&lt;&gt;Constants!$B$4,"",IF(NOT($AJ379),0,MIN(Constants!$B$35,$BC379)))</f>
        <v/>
      </c>
      <c r="BK379" s="100" t="str">
        <f aca="false">IF($BH379&lt;&gt;Constants!$B$4,"",IF(NOT($AJ379),0,IF($AT379,Constants!$B$18,IF($AS379,Constants!$B$17,0))))</f>
        <v/>
      </c>
      <c r="BL379" s="100" t="str">
        <f aca="false">IF($BH379&lt;&gt;Constants!$B$4,"",IF(NOT($AJ379),0,Constants!$B$19*($AI379+$AU379+$AV379+$AW379)))</f>
        <v/>
      </c>
      <c r="BM379" s="100" t="str">
        <f aca="false">IF($BH379&lt;&gt;Constants!$B$4,"",IF(OR(NOT($AJ379),NOT(ISNUMBER($AX379))),0,CHOOSE($AX379,Constants!$B$13,Constants!$B$14,Constants!$B$15,Constants!$B$16)))</f>
        <v/>
      </c>
      <c r="BN379" s="100" t="str">
        <f aca="false">IF($BH379&lt;&gt;Constants!$B$4,"",IF(NOT($AJ379),0,Constants!$B$20*$AY379))</f>
        <v/>
      </c>
      <c r="BO379" s="100" t="str">
        <f aca="false">IF($BH379&lt;&gt;Constants!$B$4,"",IF(AND($AJ379,$BA379,$BB379),Constants!$B$22,0))</f>
        <v/>
      </c>
      <c r="BP379" s="100" t="str">
        <f aca="false">IF($BH379&lt;&gt;Constants!$B$4,"",IF(OR(NOT($AJ379),NOT($BA379)),0,IF($BF379&gt;=2*$AF$9,0,Constants!$B$23*INT(ROUND(MIN($BF379,$AF$9),6)))))</f>
        <v/>
      </c>
      <c r="BQ379" s="100" t="str">
        <f aca="false">IF($BH379&lt;&gt;Constants!$B$4,"",IF(NOT($AJ379),0,Constants!$B$24*INT(ROUND(MIN($AZ379,$AF$9),6))))</f>
        <v/>
      </c>
      <c r="BR379" s="100" t="str">
        <f aca="false">IF($BH379&lt;&gt;Constants!$B$4,"",IF(AND($AJ379,$BJ379=0),Constants!$B$25,0))</f>
        <v/>
      </c>
      <c r="BS379" s="100" t="str">
        <f aca="false">IF($BH379&lt;&gt;Constants!$B$4,"",MIN(Constants!$B$29,MAX(0,Constants!$B$27*Constants!$B$28*INT(ROUND((Constants!$B$26-$AL379)/Constants!$B$28,6))))+MIN(Constants!$B$29,MAX(0,Constants!$B$27*Constants!$B$28*INT(ROUND((Constants!$B$26-$AM379)/Constants!$B$28,6))))+MIN(Constants!$B$29,MAX(0,Constants!$B$27*Constants!$B$28*INT(ROUND((Constants!$B$26-$AN379)/Constants!$B$28,6)))))</f>
        <v/>
      </c>
      <c r="BT379" s="100" t="str">
        <f aca="false">IF($BH379&lt;&gt;Constants!$B$4,"",IF(NOT($AJ379),0,Constants!$B$31*INT(ROUND(MAX(0,MIN($BF379,2*$AF$9)-$AF$9),6))))</f>
        <v/>
      </c>
      <c r="BU379" s="100" t="str">
        <f aca="false">IF($BH379&lt;&gt;Constants!$B$4,"",Constants!$B$32*(($AL379&gt;Constants!$B$26)+($AM379&gt;Constants!$B$26)+($AN379&gt;Constants!$B$26)))</f>
        <v/>
      </c>
      <c r="BV379" s="100" t="str">
        <f aca="false">IF($BH379&lt;&gt;Constants!$B$4,"",IF(OR(NOT($AJ379),$AO379),0,Constants!$B$33))</f>
        <v/>
      </c>
      <c r="BW379" s="100" t="str">
        <f aca="false">IF($BH379&lt;&gt;Constants!$B$4,"",Constants!$B$34*$BJ379)</f>
        <v/>
      </c>
      <c r="BX379" s="100" t="str">
        <f aca="false">IF($BH379&lt;&gt;Constants!$B$4,"",IF(OR(NOT($AJ379),$BE379),0,Constants!$B$36))</f>
        <v/>
      </c>
      <c r="BY379" s="100" t="str">
        <f aca="false">IF($BH379&lt;&gt;Constants!$B$4,"",IF(OR(NOT($AJ379),$BD379),0,Constants!$B$37))</f>
        <v/>
      </c>
      <c r="BZ379" s="100" t="str">
        <f aca="false">IF($BH379&lt;&gt;Constants!$B$4,"",SUM($BT379:$BY379))</f>
        <v/>
      </c>
      <c r="CA379" s="100" t="str">
        <f aca="false">IF(ISBLANK($C379),"",IF($BH379&lt;&gt;Constants!$B$4,$BH379,SUM($BK379:$BS379)-$BZ379))</f>
        <v/>
      </c>
      <c r="CB379" s="100" t="str">
        <f aca="false">IF(ISBLANK($C379),"",IF($BH379&lt;&gt;Constants!$B$4,$BH379,RANK($CA379,$CA$9:$CA$508)))</f>
        <v/>
      </c>
      <c r="CC379" s="100" t="str">
        <f aca="false">IF(ISBLANK($C379),"",IF($BH379&lt;&gt;Constants!$B$4,$BH379,COUNTIFS($BI$9:$BI$508,"&lt;"&amp;$BI379)+COUNTIFS($BI$9:$BI$508,$BI379,$CB$9:$CB$508,"&lt;"&amp;$CB379)+1))</f>
        <v/>
      </c>
      <c r="CD379" s="100" t="str">
        <f aca="false">IF(ISBLANK($C379),"",IF($BH379&lt;&gt;Constants!$B$4,$BH379,RANK($BZ379,$BZ$9:$BZ$508,1)))</f>
        <v/>
      </c>
      <c r="CE379" s="100" t="str">
        <f aca="false">IF($BH379&lt;&gt;Constants!$B$4,"",$AL379+$AM379+$AN379)</f>
        <v/>
      </c>
      <c r="CF379" s="100" t="str">
        <f aca="false">IF(ISBLANK($C379),"",IF($BH379&lt;&gt;Constants!$B$4,$BH379,RANK($CE379,$CE$9:$CE$508,1)))</f>
        <v/>
      </c>
      <c r="CG379" s="100" t="str">
        <f aca="false">IF(ISBLANK($C379),"",IF($BH379&lt;&gt;Constants!$B$4,$BH379,COUNTIFS($BI$9:$BI$508,"&lt;"&amp;$BI379)+COUNTIFS($BI$9:$BI$508,$BI379,$CB$9:$CB$508,"&lt;"&amp;$CB379)+COUNTIFS($BI$9:$BI$508,$BI379,$CB$9:$CB$508,$CB379,$CD$9:$CD$508,"&lt;"&amp;$CD379)+COUNTIFS($BI$9:$BI$508,$BI379,$CB$9:$CB$508,$CB379,$CD$9:$CD$508,$CD379,$CF$9:$CF$508,"&lt;"&amp;$CF379)+1))</f>
        <v/>
      </c>
      <c r="CH379" s="100" t="str">
        <f aca="false">IF(ISBLANK($C379),"",IF($BH379&lt;&gt;Constants!$B$4,$BH379,$CC379-$CG379))</f>
        <v/>
      </c>
      <c r="CI379" s="100" t="str">
        <f aca="false">IF(ISBLANK($C379),"",IF(NOT($AJ379),"",IF(ISBLANK($D$7),$CI$5,IF(NOT(ISNUMBER($D$7)),$CI$6,""))))</f>
        <v/>
      </c>
      <c r="CJ379" s="100" t="str">
        <f aca="false">IF(ISBLANK($C379),"",OR($AL379="",$AM379="",$AN379=""))</f>
        <v/>
      </c>
      <c r="CK379" s="100" t="str">
        <f aca="false">IF(ISBLANK($C379),"",AND($AJ379,$AX379=""))</f>
        <v/>
      </c>
      <c r="CL379" s="100" t="str">
        <f aca="false">IF(ISBLANK($C379),"",AND($AJ379,$AY379=""))</f>
        <v/>
      </c>
      <c r="CM379" s="100" t="str">
        <f aca="false">IF(ISBLANK($C379),"",AND($AJ379,$AZ379=""))</f>
        <v/>
      </c>
      <c r="CN379" s="100" t="str">
        <f aca="false">IF(ISBLANK($C379),"",AND($AJ379,$BC379=""))</f>
        <v/>
      </c>
      <c r="CO379" s="100" t="str">
        <f aca="false">IF(ISBLANK($C379),"",AND($AJ379,$BF379=""))</f>
        <v/>
      </c>
      <c r="CP379" s="101"/>
      <c r="CQ379" s="102"/>
      <c r="CR379" s="103" t="str">
        <f aca="false">IF(ISBLANK($C379),"",IF($BH379=Constants!$B$8,$CI379,""))</f>
        <v/>
      </c>
      <c r="CS379" s="102" t="str">
        <f aca="false">IF(ISBLANK($C379),"",IF($BH379&lt;&gt;Constants!$B$4,"",$BK379+$BL379))</f>
        <v/>
      </c>
      <c r="CT379" s="104" t="str">
        <f aca="false">IF(ISBLANK($C379),"",IF($BH379&lt;&gt;Constants!$B$4,"",$BM379+$BN379+$BO379))</f>
        <v/>
      </c>
      <c r="CU379" s="104" t="str">
        <f aca="false">IF(ISBLANK($C379),"",IF($BH379&lt;&gt;Constants!$B$4,"",$BP379))</f>
        <v/>
      </c>
      <c r="CV379" s="104" t="str">
        <f aca="false">IF(ISBLANK($C379),"",IF($BH379&lt;&gt;Constants!$B$4,"",$BQ379+$BR379))</f>
        <v/>
      </c>
      <c r="CW379" s="104" t="str">
        <f aca="false">IF(ISBLANK($C379),"",IF($BH379&lt;&gt;Constants!$B$4,"",$BS379))</f>
        <v/>
      </c>
      <c r="CX379" s="104" t="str">
        <f aca="false">IF(ISBLANK($C379),"",IF($BH379&lt;&gt;Constants!$B$4,"",-$BZ379))</f>
        <v/>
      </c>
      <c r="CY379" s="103" t="str">
        <f aca="false">IF(ISBLANK($C379),"",$CA379)</f>
        <v/>
      </c>
      <c r="CZ379" s="105" t="str">
        <f aca="false">IF(ISBLANK($C379),"",$BI379)</f>
        <v/>
      </c>
      <c r="DA379" s="104" t="str">
        <f aca="false">IF(ISBLANK($C379),"",$CH379)</f>
        <v/>
      </c>
      <c r="DB379" s="104" t="str">
        <f aca="false">IF(ISBLANK($C379),"",$CG379)</f>
        <v/>
      </c>
      <c r="DC379" s="106" t="str">
        <f aca="false">IF(ISBLANK($C379),"",IFERROR(_xlfn.SWITCH($DB379,Constants!$B$7,COUNTA($C$9:$C$508)+2,Constants!$B$6,COUNTA($C$9:$C$508)+1,Constants!$B$5,COUNTA($C$9:$C$508)),$DB379))</f>
        <v/>
      </c>
      <c r="DD379" s="7"/>
      <c r="DE379" s="107" t="n">
        <f aca="false">IF(OR(ISNUMBER($DB379),$DB379=Constants!$B$7,$DB379=Constants!$B$5,$DB379=Constants!$B$6),1,0)</f>
        <v>0</v>
      </c>
      <c r="DF379" s="107" t="n">
        <v>371</v>
      </c>
      <c r="DG379" s="107" t="str">
        <f aca="false">IF(ISBLANK($C379),"",IF(ISNUMBER($DC379),$DC379+ROW($B379)/1000,""))</f>
        <v/>
      </c>
      <c r="DH379" s="107" t="str">
        <f aca="false">IF(ISNUMBER($DG379),RANK($DG379,$DG$9:$DG$508,1),"")</f>
        <v/>
      </c>
      <c r="DI379" s="107" t="str">
        <f aca="false">IF(ISBLANK($C379),"",$B379)</f>
        <v/>
      </c>
      <c r="DJ379" s="107" t="str">
        <f aca="false">IF(ISBLANK($C379),"",$C379)</f>
        <v/>
      </c>
      <c r="DK379" s="107" t="str">
        <f aca="false">IF(ISBLANK($C379),"",$D379)</f>
        <v/>
      </c>
      <c r="DL379" s="108" t="str">
        <f aca="false">$CZ379</f>
        <v/>
      </c>
      <c r="DM379" s="109" t="str">
        <f aca="false">$CY379</f>
        <v/>
      </c>
      <c r="DN379" s="107" t="str">
        <f aca="false">IF(ISBLANK($C379),"",$DB379)</f>
        <v/>
      </c>
      <c r="DO379" s="110" t="str">
        <f aca="false">IF($DF379&gt;$DE$8,"",VLOOKUP($DF379,$DH$9:$DN$508,7,FALSE()))</f>
        <v/>
      </c>
      <c r="DP379" s="111" t="str">
        <f aca="false">IF($DF379&gt;$DE$8,"",VLOOKUP($DF379,$DH$9:$DN$508,2,FALSE()))</f>
        <v/>
      </c>
      <c r="DQ379" s="111" t="str">
        <f aca="false">IF($DF379&gt;$DE$8,"",VLOOKUP($DF379,$DH$9:$DN$508,3,FALSE()))</f>
        <v/>
      </c>
      <c r="DR379" s="111" t="str">
        <f aca="false">IF($DF379&gt;$DE$8,"",VLOOKUP($DF379,$DH$9:$DN$508,4,FALSE()))</f>
        <v/>
      </c>
      <c r="DS379" s="111" t="str">
        <f aca="false">IF($DF379&gt;$DE$8,"",VLOOKUP($DF379,$DH$9:$DN$508,5,FALSE()))</f>
        <v/>
      </c>
      <c r="DT379" s="112" t="str">
        <f aca="false">IF($DF379&gt;$DE$8,"",VLOOKUP($DF379,$DH$9:$DN$508,6,FALSE()))</f>
        <v/>
      </c>
      <c r="DU379" s="62"/>
    </row>
    <row r="380" customFormat="false" ht="15.75" hidden="false" customHeight="false" outlineLevel="0" collapsed="false">
      <c r="A380" s="7"/>
      <c r="B380" s="90"/>
      <c r="C380" s="91"/>
      <c r="D380" s="126"/>
      <c r="E380" s="130"/>
      <c r="F380" s="135"/>
      <c r="G380" s="130"/>
      <c r="H380" s="135"/>
      <c r="I380" s="131"/>
      <c r="J380" s="131"/>
      <c r="K380" s="131"/>
      <c r="L380" s="130"/>
      <c r="M380" s="130"/>
      <c r="N380" s="130"/>
      <c r="O380" s="135"/>
      <c r="P380" s="130"/>
      <c r="Q380" s="130"/>
      <c r="R380" s="130"/>
      <c r="S380" s="130"/>
      <c r="T380" s="135"/>
      <c r="U380" s="130"/>
      <c r="V380" s="96"/>
      <c r="W380" s="130"/>
      <c r="X380" s="130"/>
      <c r="Y380" s="96"/>
      <c r="Z380" s="96"/>
      <c r="AA380" s="130"/>
      <c r="AB380" s="130"/>
      <c r="AC380" s="97"/>
      <c r="AD380" s="130"/>
      <c r="AE380" s="99"/>
      <c r="AF380" s="100"/>
      <c r="AG380" s="100"/>
      <c r="AH380" s="100" t="str">
        <f aca="false">IF(ISBLANK($C380),"",IF($E380=Constants!$B$2,TRUE(),IF($E380=Constants!$B$3,FALSE(),TRUE())))</f>
        <v/>
      </c>
      <c r="AI380" s="100" t="str">
        <f aca="false">IF(ISBLANK($C380),"",IF($F380=Constants!$B$2,TRUE(),IF($F380=Constants!$B$3,FALSE(),FALSE())))</f>
        <v/>
      </c>
      <c r="AJ380" s="100" t="str">
        <f aca="false">IF(ISBLANK($C380),"",IF($G380=Constants!$B$2,TRUE(),IF($G380=Constants!$B$3,FALSE(),TRUE())))</f>
        <v/>
      </c>
      <c r="AK380" s="100" t="str">
        <f aca="false">IF(ISBLANK($C380),"",IF($H380=Constants!$B$2,TRUE(),IF($H380=Constants!$B$3,FALSE(),TRUE())))</f>
        <v/>
      </c>
      <c r="AL380" s="100" t="str">
        <f aca="false">IF(ISBLANK($C380),"",IF(ISNUMBER($I380),IF($I380&gt;=0,$I380,""),""))</f>
        <v/>
      </c>
      <c r="AM380" s="100" t="str">
        <f aca="false">IF(ISBLANK($C380),"",IF(ISNUMBER($J380),IF($J380&gt;=0,$J380,""),""))</f>
        <v/>
      </c>
      <c r="AN380" s="100" t="str">
        <f aca="false">IF(ISBLANK($C380),"",IF(ISNUMBER($K380),IF($K380&gt;=0,$K380,""),""))</f>
        <v/>
      </c>
      <c r="AO380" s="100" t="str">
        <f aca="false">IF(ISBLANK($C380),"",IF($L380=Constants!$B$2,TRUE(),IF($L380=Constants!$B$3,FALSE(),TRUE())))</f>
        <v/>
      </c>
      <c r="AP380" s="100" t="str">
        <f aca="false">IF(ISBLANK($C380),"",IF($M380=Constants!$B$2,TRUE(),IF($M380=Constants!$B$3,FALSE(),TRUE())))</f>
        <v/>
      </c>
      <c r="AQ380" s="100" t="str">
        <f aca="false">IF(ISBLANK($C380),"",IF($N380=Constants!$B$2,TRUE(),IF($N380=Constants!$B$3,FALSE(),FALSE())))</f>
        <v/>
      </c>
      <c r="AR380" s="100" t="str">
        <f aca="false">IF(ISBLANK($C380),"",IF($O380=Constants!$B$2,TRUE(),IF($O380=Constants!$B$3,FALSE(),TRUE())))</f>
        <v/>
      </c>
      <c r="AS380" s="100" t="str">
        <f aca="false">IF(ISBLANK($C380),"",IF($P380=Constants!$B$2,TRUE(),IF($P380=Constants!$B$3,FALSE(),FALSE())))</f>
        <v/>
      </c>
      <c r="AT380" s="100" t="str">
        <f aca="false">IF(ISBLANK($C380),"",IF($Q380=Constants!$B$2,TRUE(),IF($Q380=Constants!$B$3,FALSE(),FALSE())))</f>
        <v/>
      </c>
      <c r="AU380" s="100" t="str">
        <f aca="false">IF(ISBLANK($C380),"",IF($R380=Constants!$B$2,TRUE(),IF($R380=Constants!$B$3,FALSE(),FALSE())))</f>
        <v/>
      </c>
      <c r="AV380" s="100" t="str">
        <f aca="false">IF(ISBLANK($C380),"",IF($S380=Constants!$B$2,TRUE(),IF($S380=Constants!$B$3,FALSE(),FALSE())))</f>
        <v/>
      </c>
      <c r="AW380" s="100" t="str">
        <f aca="false">IF(ISBLANK($C380),"",IF($T380=Constants!$B$2,TRUE(),IF($T380=Constants!$B$3,FALSE(),FALSE())))</f>
        <v/>
      </c>
      <c r="AX380" s="100" t="str">
        <f aca="false">IF(ISBLANK($C380),"",IF(OR($U380&amp;""="1",$U380&amp;""="2",$U380&amp;""="3",$U380&amp;""="4"),VALUE($U380&amp;""),IF($U380=Constants!$B$12,Constants!$B$12,"")))</f>
        <v/>
      </c>
      <c r="AY380" s="100" t="str">
        <f aca="false">IF(ISBLANK($C380),"",IF(ISBLANK($V380),0,IF(ISNUMBER($V380),IF(AND($V380&gt;=0,$V380&lt;=Constants!$B$21,$V380=INT($V380)),$V380,""),"")))</f>
        <v/>
      </c>
      <c r="AZ380" s="100" t="str">
        <f aca="false">IF(ISBLANK($C380),"",IF(ISBLANK($W380),0,IF(ISNUMBER($W380),IF($W380&gt;=0,$W380,""),"")))</f>
        <v/>
      </c>
      <c r="BA380" s="100" t="str">
        <f aca="false">IF(ISBLANK($C380),"",IF($X380=Constants!$B$2,TRUE(),IF($X380=Constants!$B$3,FALSE(),TRUE())))</f>
        <v/>
      </c>
      <c r="BB380" s="100" t="str">
        <f aca="false">IF(ISBLANK($C380),"",IF($Y380=Constants!$B$2,TRUE(),IF($Y380=Constants!$B$3,FALSE(),FALSE())))</f>
        <v/>
      </c>
      <c r="BC380" s="100" t="str">
        <f aca="false">IF(ISBLANK($C380),"",IF(ISBLANK($Z380),0,IF(ISNUMBER($Z380),IF(AND($Z380&gt;=0,$Z380&lt;=Constants!$B$35,$Z380=INT($Z380)),$Z380,""),"")))</f>
        <v/>
      </c>
      <c r="BD380" s="100" t="str">
        <f aca="false">IF(ISBLANK($C380),"",IF($AA380=Constants!$B$2,TRUE(),IF($AA380=Constants!$B$3,FALSE(),TRUE())))</f>
        <v/>
      </c>
      <c r="BE380" s="100" t="str">
        <f aca="false">IF(ISBLANK($C380),"",IF($AB380=Constants!$B$2,TRUE(),IF($AB380=Constants!$B$3,FALSE(),TRUE())))</f>
        <v/>
      </c>
      <c r="BF380" s="100" t="str">
        <f aca="false">IF(ISBLANK($C380),"",IF(ISNUMBER($AC380),IF($AC380&gt;=0,$AC380,""),""))</f>
        <v/>
      </c>
      <c r="BG380" s="100" t="str">
        <f aca="false">IF(ISBLANK($C380),"",IF($AD380=Constants!$B$2,TRUE(),IF($AD380=Constants!$B$3,FALSE(),FALSE())))</f>
        <v/>
      </c>
      <c r="BH380" s="99" t="str">
        <f aca="false">IF(ISBLANK($C380),"",IF($BG380,Constants!$B$7,IF(COUNTA($E380:$AC380)=0,Constants!$B$6,IF(OR(COUNTA($G380:$AC380)=0,NOT($AK380),$AQ380),Constants!$B$5,IF(OR($CI380&lt;&gt;"",$CJ380,$CK380,$CL380,$CM380,$CN380,$CO380),Constants!$B$8,Constants!$B$4)))))</f>
        <v/>
      </c>
      <c r="BI380" s="100" t="str">
        <f aca="false">IF(ISBLANK($C380),"",IF($BH380&lt;&gt;Constants!$B$4,$BH380,IF(OR(NOT($AH380),NOT($AJ380),NOT($AR380)),Constants!$B$11,IF(OR(NOT($AP380),MAX($AL380,$AM380,$AN380)&gt;Constants!$B$30),Constants!$B$10,Constants!$B$9))))</f>
        <v/>
      </c>
      <c r="BJ380" s="100" t="str">
        <f aca="false">IF($BH380&lt;&gt;Constants!$B$4,"",IF(NOT($AJ380),0,MIN(Constants!$B$35,$BC380)))</f>
        <v/>
      </c>
      <c r="BK380" s="100" t="str">
        <f aca="false">IF($BH380&lt;&gt;Constants!$B$4,"",IF(NOT($AJ380),0,IF($AT380,Constants!$B$18,IF($AS380,Constants!$B$17,0))))</f>
        <v/>
      </c>
      <c r="BL380" s="100" t="str">
        <f aca="false">IF($BH380&lt;&gt;Constants!$B$4,"",IF(NOT($AJ380),0,Constants!$B$19*($AI380+$AU380+$AV380+$AW380)))</f>
        <v/>
      </c>
      <c r="BM380" s="100" t="str">
        <f aca="false">IF($BH380&lt;&gt;Constants!$B$4,"",IF(OR(NOT($AJ380),NOT(ISNUMBER($AX380))),0,CHOOSE($AX380,Constants!$B$13,Constants!$B$14,Constants!$B$15,Constants!$B$16)))</f>
        <v/>
      </c>
      <c r="BN380" s="100" t="str">
        <f aca="false">IF($BH380&lt;&gt;Constants!$B$4,"",IF(NOT($AJ380),0,Constants!$B$20*$AY380))</f>
        <v/>
      </c>
      <c r="BO380" s="100" t="str">
        <f aca="false">IF($BH380&lt;&gt;Constants!$B$4,"",IF(AND($AJ380,$BA380,$BB380),Constants!$B$22,0))</f>
        <v/>
      </c>
      <c r="BP380" s="100" t="str">
        <f aca="false">IF($BH380&lt;&gt;Constants!$B$4,"",IF(OR(NOT($AJ380),NOT($BA380)),0,IF($BF380&gt;=2*$AF$9,0,Constants!$B$23*INT(ROUND(MIN($BF380,$AF$9),6)))))</f>
        <v/>
      </c>
      <c r="BQ380" s="100" t="str">
        <f aca="false">IF($BH380&lt;&gt;Constants!$B$4,"",IF(NOT($AJ380),0,Constants!$B$24*INT(ROUND(MIN($AZ380,$AF$9),6))))</f>
        <v/>
      </c>
      <c r="BR380" s="100" t="str">
        <f aca="false">IF($BH380&lt;&gt;Constants!$B$4,"",IF(AND($AJ380,$BJ380=0),Constants!$B$25,0))</f>
        <v/>
      </c>
      <c r="BS380" s="100" t="str">
        <f aca="false">IF($BH380&lt;&gt;Constants!$B$4,"",MIN(Constants!$B$29,MAX(0,Constants!$B$27*Constants!$B$28*INT(ROUND((Constants!$B$26-$AL380)/Constants!$B$28,6))))+MIN(Constants!$B$29,MAX(0,Constants!$B$27*Constants!$B$28*INT(ROUND((Constants!$B$26-$AM380)/Constants!$B$28,6))))+MIN(Constants!$B$29,MAX(0,Constants!$B$27*Constants!$B$28*INT(ROUND((Constants!$B$26-$AN380)/Constants!$B$28,6)))))</f>
        <v/>
      </c>
      <c r="BT380" s="100" t="str">
        <f aca="false">IF($BH380&lt;&gt;Constants!$B$4,"",IF(NOT($AJ380),0,Constants!$B$31*INT(ROUND(MAX(0,MIN($BF380,2*$AF$9)-$AF$9),6))))</f>
        <v/>
      </c>
      <c r="BU380" s="100" t="str">
        <f aca="false">IF($BH380&lt;&gt;Constants!$B$4,"",Constants!$B$32*(($AL380&gt;Constants!$B$26)+($AM380&gt;Constants!$B$26)+($AN380&gt;Constants!$B$26)))</f>
        <v/>
      </c>
      <c r="BV380" s="100" t="str">
        <f aca="false">IF($BH380&lt;&gt;Constants!$B$4,"",IF(OR(NOT($AJ380),$AO380),0,Constants!$B$33))</f>
        <v/>
      </c>
      <c r="BW380" s="100" t="str">
        <f aca="false">IF($BH380&lt;&gt;Constants!$B$4,"",Constants!$B$34*$BJ380)</f>
        <v/>
      </c>
      <c r="BX380" s="100" t="str">
        <f aca="false">IF($BH380&lt;&gt;Constants!$B$4,"",IF(OR(NOT($AJ380),$BE380),0,Constants!$B$36))</f>
        <v/>
      </c>
      <c r="BY380" s="100" t="str">
        <f aca="false">IF($BH380&lt;&gt;Constants!$B$4,"",IF(OR(NOT($AJ380),$BD380),0,Constants!$B$37))</f>
        <v/>
      </c>
      <c r="BZ380" s="100" t="str">
        <f aca="false">IF($BH380&lt;&gt;Constants!$B$4,"",SUM($BT380:$BY380))</f>
        <v/>
      </c>
      <c r="CA380" s="100" t="str">
        <f aca="false">IF(ISBLANK($C380),"",IF($BH380&lt;&gt;Constants!$B$4,$BH380,SUM($BK380:$BS380)-$BZ380))</f>
        <v/>
      </c>
      <c r="CB380" s="100" t="str">
        <f aca="false">IF(ISBLANK($C380),"",IF($BH380&lt;&gt;Constants!$B$4,$BH380,RANK($CA380,$CA$9:$CA$508)))</f>
        <v/>
      </c>
      <c r="CC380" s="100" t="str">
        <f aca="false">IF(ISBLANK($C380),"",IF($BH380&lt;&gt;Constants!$B$4,$BH380,COUNTIFS($BI$9:$BI$508,"&lt;"&amp;$BI380)+COUNTIFS($BI$9:$BI$508,$BI380,$CB$9:$CB$508,"&lt;"&amp;$CB380)+1))</f>
        <v/>
      </c>
      <c r="CD380" s="100" t="str">
        <f aca="false">IF(ISBLANK($C380),"",IF($BH380&lt;&gt;Constants!$B$4,$BH380,RANK($BZ380,$BZ$9:$BZ$508,1)))</f>
        <v/>
      </c>
      <c r="CE380" s="100" t="str">
        <f aca="false">IF($BH380&lt;&gt;Constants!$B$4,"",$AL380+$AM380+$AN380)</f>
        <v/>
      </c>
      <c r="CF380" s="100" t="str">
        <f aca="false">IF(ISBLANK($C380),"",IF($BH380&lt;&gt;Constants!$B$4,$BH380,RANK($CE380,$CE$9:$CE$508,1)))</f>
        <v/>
      </c>
      <c r="CG380" s="100" t="str">
        <f aca="false">IF(ISBLANK($C380),"",IF($BH380&lt;&gt;Constants!$B$4,$BH380,COUNTIFS($BI$9:$BI$508,"&lt;"&amp;$BI380)+COUNTIFS($BI$9:$BI$508,$BI380,$CB$9:$CB$508,"&lt;"&amp;$CB380)+COUNTIFS($BI$9:$BI$508,$BI380,$CB$9:$CB$508,$CB380,$CD$9:$CD$508,"&lt;"&amp;$CD380)+COUNTIFS($BI$9:$BI$508,$BI380,$CB$9:$CB$508,$CB380,$CD$9:$CD$508,$CD380,$CF$9:$CF$508,"&lt;"&amp;$CF380)+1))</f>
        <v/>
      </c>
      <c r="CH380" s="100" t="str">
        <f aca="false">IF(ISBLANK($C380),"",IF($BH380&lt;&gt;Constants!$B$4,$BH380,$CC380-$CG380))</f>
        <v/>
      </c>
      <c r="CI380" s="100" t="str">
        <f aca="false">IF(ISBLANK($C380),"",IF(NOT($AJ380),"",IF(ISBLANK($D$7),$CI$5,IF(NOT(ISNUMBER($D$7)),$CI$6,""))))</f>
        <v/>
      </c>
      <c r="CJ380" s="100" t="str">
        <f aca="false">IF(ISBLANK($C380),"",OR($AL380="",$AM380="",$AN380=""))</f>
        <v/>
      </c>
      <c r="CK380" s="100" t="str">
        <f aca="false">IF(ISBLANK($C380),"",AND($AJ380,$AX380=""))</f>
        <v/>
      </c>
      <c r="CL380" s="100" t="str">
        <f aca="false">IF(ISBLANK($C380),"",AND($AJ380,$AY380=""))</f>
        <v/>
      </c>
      <c r="CM380" s="100" t="str">
        <f aca="false">IF(ISBLANK($C380),"",AND($AJ380,$AZ380=""))</f>
        <v/>
      </c>
      <c r="CN380" s="100" t="str">
        <f aca="false">IF(ISBLANK($C380),"",AND($AJ380,$BC380=""))</f>
        <v/>
      </c>
      <c r="CO380" s="100" t="str">
        <f aca="false">IF(ISBLANK($C380),"",AND($AJ380,$BF380=""))</f>
        <v/>
      </c>
      <c r="CP380" s="101"/>
      <c r="CQ380" s="102"/>
      <c r="CR380" s="103" t="str">
        <f aca="false">IF(ISBLANK($C380),"",IF($BH380=Constants!$B$8,$CI380,""))</f>
        <v/>
      </c>
      <c r="CS380" s="102" t="str">
        <f aca="false">IF(ISBLANK($C380),"",IF($BH380&lt;&gt;Constants!$B$4,"",$BK380+$BL380))</f>
        <v/>
      </c>
      <c r="CT380" s="104" t="str">
        <f aca="false">IF(ISBLANK($C380),"",IF($BH380&lt;&gt;Constants!$B$4,"",$BM380+$BN380+$BO380))</f>
        <v/>
      </c>
      <c r="CU380" s="104" t="str">
        <f aca="false">IF(ISBLANK($C380),"",IF($BH380&lt;&gt;Constants!$B$4,"",$BP380))</f>
        <v/>
      </c>
      <c r="CV380" s="104" t="str">
        <f aca="false">IF(ISBLANK($C380),"",IF($BH380&lt;&gt;Constants!$B$4,"",$BQ380+$BR380))</f>
        <v/>
      </c>
      <c r="CW380" s="104" t="str">
        <f aca="false">IF(ISBLANK($C380),"",IF($BH380&lt;&gt;Constants!$B$4,"",$BS380))</f>
        <v/>
      </c>
      <c r="CX380" s="104" t="str">
        <f aca="false">IF(ISBLANK($C380),"",IF($BH380&lt;&gt;Constants!$B$4,"",-$BZ380))</f>
        <v/>
      </c>
      <c r="CY380" s="103" t="str">
        <f aca="false">IF(ISBLANK($C380),"",$CA380)</f>
        <v/>
      </c>
      <c r="CZ380" s="105" t="str">
        <f aca="false">IF(ISBLANK($C380),"",$BI380)</f>
        <v/>
      </c>
      <c r="DA380" s="104" t="str">
        <f aca="false">IF(ISBLANK($C380),"",$CH380)</f>
        <v/>
      </c>
      <c r="DB380" s="104" t="str">
        <f aca="false">IF(ISBLANK($C380),"",$CG380)</f>
        <v/>
      </c>
      <c r="DC380" s="106" t="str">
        <f aca="false">IF(ISBLANK($C380),"",IFERROR(_xlfn.SWITCH($DB380,Constants!$B$7,COUNTA($C$9:$C$508)+2,Constants!$B$6,COUNTA($C$9:$C$508)+1,Constants!$B$5,COUNTA($C$9:$C$508)),$DB380))</f>
        <v/>
      </c>
      <c r="DD380" s="7"/>
      <c r="DE380" s="107" t="n">
        <f aca="false">IF(OR(ISNUMBER($DB380),$DB380=Constants!$B$7,$DB380=Constants!$B$5,$DB380=Constants!$B$6),1,0)</f>
        <v>0</v>
      </c>
      <c r="DF380" s="107" t="n">
        <v>372</v>
      </c>
      <c r="DG380" s="107" t="str">
        <f aca="false">IF(ISBLANK($C380),"",IF(ISNUMBER($DC380),$DC380+ROW($B380)/1000,""))</f>
        <v/>
      </c>
      <c r="DH380" s="107" t="str">
        <f aca="false">IF(ISNUMBER($DG380),RANK($DG380,$DG$9:$DG$508,1),"")</f>
        <v/>
      </c>
      <c r="DI380" s="107" t="str">
        <f aca="false">IF(ISBLANK($C380),"",$B380)</f>
        <v/>
      </c>
      <c r="DJ380" s="107" t="str">
        <f aca="false">IF(ISBLANK($C380),"",$C380)</f>
        <v/>
      </c>
      <c r="DK380" s="107" t="str">
        <f aca="false">IF(ISBLANK($C380),"",$D380)</f>
        <v/>
      </c>
      <c r="DL380" s="108" t="str">
        <f aca="false">$CZ380</f>
        <v/>
      </c>
      <c r="DM380" s="109" t="str">
        <f aca="false">$CY380</f>
        <v/>
      </c>
      <c r="DN380" s="107" t="str">
        <f aca="false">IF(ISBLANK($C380),"",$DB380)</f>
        <v/>
      </c>
      <c r="DO380" s="110" t="str">
        <f aca="false">IF($DF380&gt;$DE$8,"",VLOOKUP($DF380,$DH$9:$DN$508,7,FALSE()))</f>
        <v/>
      </c>
      <c r="DP380" s="111" t="str">
        <f aca="false">IF($DF380&gt;$DE$8,"",VLOOKUP($DF380,$DH$9:$DN$508,2,FALSE()))</f>
        <v/>
      </c>
      <c r="DQ380" s="111" t="str">
        <f aca="false">IF($DF380&gt;$DE$8,"",VLOOKUP($DF380,$DH$9:$DN$508,3,FALSE()))</f>
        <v/>
      </c>
      <c r="DR380" s="111" t="str">
        <f aca="false">IF($DF380&gt;$DE$8,"",VLOOKUP($DF380,$DH$9:$DN$508,4,FALSE()))</f>
        <v/>
      </c>
      <c r="DS380" s="111" t="str">
        <f aca="false">IF($DF380&gt;$DE$8,"",VLOOKUP($DF380,$DH$9:$DN$508,5,FALSE()))</f>
        <v/>
      </c>
      <c r="DT380" s="112" t="str">
        <f aca="false">IF($DF380&gt;$DE$8,"",VLOOKUP($DF380,$DH$9:$DN$508,6,FALSE()))</f>
        <v/>
      </c>
      <c r="DU380" s="62"/>
    </row>
    <row r="381" customFormat="false" ht="15.75" hidden="false" customHeight="false" outlineLevel="0" collapsed="false">
      <c r="A381" s="7"/>
      <c r="B381" s="64"/>
      <c r="C381" s="65"/>
      <c r="D381" s="123"/>
      <c r="E381" s="88"/>
      <c r="F381" s="134"/>
      <c r="G381" s="88"/>
      <c r="H381" s="134"/>
      <c r="I381" s="119"/>
      <c r="J381" s="119"/>
      <c r="K381" s="119"/>
      <c r="L381" s="88"/>
      <c r="M381" s="88"/>
      <c r="N381" s="88"/>
      <c r="O381" s="134"/>
      <c r="P381" s="88"/>
      <c r="Q381" s="88"/>
      <c r="R381" s="88"/>
      <c r="S381" s="88"/>
      <c r="T381" s="134"/>
      <c r="U381" s="88"/>
      <c r="V381" s="70"/>
      <c r="W381" s="88"/>
      <c r="X381" s="88"/>
      <c r="Y381" s="70"/>
      <c r="Z381" s="70"/>
      <c r="AA381" s="88"/>
      <c r="AB381" s="88"/>
      <c r="AC381" s="71"/>
      <c r="AD381" s="88"/>
      <c r="AE381" s="73"/>
      <c r="AF381" s="74"/>
      <c r="AG381" s="74"/>
      <c r="AH381" s="74" t="str">
        <f aca="false">IF(ISBLANK($C381),"",IF($E381=Constants!$B$2,TRUE(),IF($E381=Constants!$B$3,FALSE(),TRUE())))</f>
        <v/>
      </c>
      <c r="AI381" s="74" t="str">
        <f aca="false">IF(ISBLANK($C381),"",IF($F381=Constants!$B$2,TRUE(),IF($F381=Constants!$B$3,FALSE(),FALSE())))</f>
        <v/>
      </c>
      <c r="AJ381" s="74" t="str">
        <f aca="false">IF(ISBLANK($C381),"",IF($G381=Constants!$B$2,TRUE(),IF($G381=Constants!$B$3,FALSE(),TRUE())))</f>
        <v/>
      </c>
      <c r="AK381" s="74" t="str">
        <f aca="false">IF(ISBLANK($C381),"",IF($H381=Constants!$B$2,TRUE(),IF($H381=Constants!$B$3,FALSE(),TRUE())))</f>
        <v/>
      </c>
      <c r="AL381" s="74" t="str">
        <f aca="false">IF(ISBLANK($C381),"",IF(ISNUMBER($I381),IF($I381&gt;=0,$I381,""),""))</f>
        <v/>
      </c>
      <c r="AM381" s="74" t="str">
        <f aca="false">IF(ISBLANK($C381),"",IF(ISNUMBER($J381),IF($J381&gt;=0,$J381,""),""))</f>
        <v/>
      </c>
      <c r="AN381" s="74" t="str">
        <f aca="false">IF(ISBLANK($C381),"",IF(ISNUMBER($K381),IF($K381&gt;=0,$K381,""),""))</f>
        <v/>
      </c>
      <c r="AO381" s="74" t="str">
        <f aca="false">IF(ISBLANK($C381),"",IF($L381=Constants!$B$2,TRUE(),IF($L381=Constants!$B$3,FALSE(),TRUE())))</f>
        <v/>
      </c>
      <c r="AP381" s="74" t="str">
        <f aca="false">IF(ISBLANK($C381),"",IF($M381=Constants!$B$2,TRUE(),IF($M381=Constants!$B$3,FALSE(),TRUE())))</f>
        <v/>
      </c>
      <c r="AQ381" s="74" t="str">
        <f aca="false">IF(ISBLANK($C381),"",IF($N381=Constants!$B$2,TRUE(),IF($N381=Constants!$B$3,FALSE(),FALSE())))</f>
        <v/>
      </c>
      <c r="AR381" s="74" t="str">
        <f aca="false">IF(ISBLANK($C381),"",IF($O381=Constants!$B$2,TRUE(),IF($O381=Constants!$B$3,FALSE(),TRUE())))</f>
        <v/>
      </c>
      <c r="AS381" s="74" t="str">
        <f aca="false">IF(ISBLANK($C381),"",IF($P381=Constants!$B$2,TRUE(),IF($P381=Constants!$B$3,FALSE(),FALSE())))</f>
        <v/>
      </c>
      <c r="AT381" s="74" t="str">
        <f aca="false">IF(ISBLANK($C381),"",IF($Q381=Constants!$B$2,TRUE(),IF($Q381=Constants!$B$3,FALSE(),FALSE())))</f>
        <v/>
      </c>
      <c r="AU381" s="74" t="str">
        <f aca="false">IF(ISBLANK($C381),"",IF($R381=Constants!$B$2,TRUE(),IF($R381=Constants!$B$3,FALSE(),FALSE())))</f>
        <v/>
      </c>
      <c r="AV381" s="74" t="str">
        <f aca="false">IF(ISBLANK($C381),"",IF($S381=Constants!$B$2,TRUE(),IF($S381=Constants!$B$3,FALSE(),FALSE())))</f>
        <v/>
      </c>
      <c r="AW381" s="74" t="str">
        <f aca="false">IF(ISBLANK($C381),"",IF($T381=Constants!$B$2,TRUE(),IF($T381=Constants!$B$3,FALSE(),FALSE())))</f>
        <v/>
      </c>
      <c r="AX381" s="74" t="str">
        <f aca="false">IF(ISBLANK($C381),"",IF(OR($U381&amp;""="1",$U381&amp;""="2",$U381&amp;""="3",$U381&amp;""="4"),VALUE($U381&amp;""),IF($U381=Constants!$B$12,Constants!$B$12,"")))</f>
        <v/>
      </c>
      <c r="AY381" s="74" t="str">
        <f aca="false">IF(ISBLANK($C381),"",IF(ISBLANK($V381),0,IF(ISNUMBER($V381),IF(AND($V381&gt;=0,$V381&lt;=Constants!$B$21,$V381=INT($V381)),$V381,""),"")))</f>
        <v/>
      </c>
      <c r="AZ381" s="74" t="str">
        <f aca="false">IF(ISBLANK($C381),"",IF(ISBLANK($W381),0,IF(ISNUMBER($W381),IF($W381&gt;=0,$W381,""),"")))</f>
        <v/>
      </c>
      <c r="BA381" s="74" t="str">
        <f aca="false">IF(ISBLANK($C381),"",IF($X381=Constants!$B$2,TRUE(),IF($X381=Constants!$B$3,FALSE(),TRUE())))</f>
        <v/>
      </c>
      <c r="BB381" s="74" t="str">
        <f aca="false">IF(ISBLANK($C381),"",IF($Y381=Constants!$B$2,TRUE(),IF($Y381=Constants!$B$3,FALSE(),FALSE())))</f>
        <v/>
      </c>
      <c r="BC381" s="74" t="str">
        <f aca="false">IF(ISBLANK($C381),"",IF(ISBLANK($Z381),0,IF(ISNUMBER($Z381),IF(AND($Z381&gt;=0,$Z381&lt;=Constants!$B$35,$Z381=INT($Z381)),$Z381,""),"")))</f>
        <v/>
      </c>
      <c r="BD381" s="74" t="str">
        <f aca="false">IF(ISBLANK($C381),"",IF($AA381=Constants!$B$2,TRUE(),IF($AA381=Constants!$B$3,FALSE(),TRUE())))</f>
        <v/>
      </c>
      <c r="BE381" s="74" t="str">
        <f aca="false">IF(ISBLANK($C381),"",IF($AB381=Constants!$B$2,TRUE(),IF($AB381=Constants!$B$3,FALSE(),TRUE())))</f>
        <v/>
      </c>
      <c r="BF381" s="74" t="str">
        <f aca="false">IF(ISBLANK($C381),"",IF(ISNUMBER($AC381),IF($AC381&gt;=0,$AC381,""),""))</f>
        <v/>
      </c>
      <c r="BG381" s="74" t="str">
        <f aca="false">IF(ISBLANK($C381),"",IF($AD381=Constants!$B$2,TRUE(),IF($AD381=Constants!$B$3,FALSE(),FALSE())))</f>
        <v/>
      </c>
      <c r="BH381" s="73" t="str">
        <f aca="false">IF(ISBLANK($C381),"",IF($BG381,Constants!$B$7,IF(COUNTA($E381:$AC381)=0,Constants!$B$6,IF(OR(COUNTA($G381:$AC381)=0,NOT($AK381),$AQ381),Constants!$B$5,IF(OR($CI381&lt;&gt;"",$CJ381,$CK381,$CL381,$CM381,$CN381,$CO381),Constants!$B$8,Constants!$B$4)))))</f>
        <v/>
      </c>
      <c r="BI381" s="74" t="str">
        <f aca="false">IF(ISBLANK($C381),"",IF($BH381&lt;&gt;Constants!$B$4,$BH381,IF(OR(NOT($AH381),NOT($AJ381),NOT($AR381)),Constants!$B$11,IF(OR(NOT($AP381),MAX($AL381,$AM381,$AN381)&gt;Constants!$B$30),Constants!$B$10,Constants!$B$9))))</f>
        <v/>
      </c>
      <c r="BJ381" s="74" t="str">
        <f aca="false">IF($BH381&lt;&gt;Constants!$B$4,"",IF(NOT($AJ381),0,MIN(Constants!$B$35,$BC381)))</f>
        <v/>
      </c>
      <c r="BK381" s="74" t="str">
        <f aca="false">IF($BH381&lt;&gt;Constants!$B$4,"",IF(NOT($AJ381),0,IF($AT381,Constants!$B$18,IF($AS381,Constants!$B$17,0))))</f>
        <v/>
      </c>
      <c r="BL381" s="74" t="str">
        <f aca="false">IF($BH381&lt;&gt;Constants!$B$4,"",IF(NOT($AJ381),0,Constants!$B$19*($AI381+$AU381+$AV381+$AW381)))</f>
        <v/>
      </c>
      <c r="BM381" s="74" t="str">
        <f aca="false">IF($BH381&lt;&gt;Constants!$B$4,"",IF(OR(NOT($AJ381),NOT(ISNUMBER($AX381))),0,CHOOSE($AX381,Constants!$B$13,Constants!$B$14,Constants!$B$15,Constants!$B$16)))</f>
        <v/>
      </c>
      <c r="BN381" s="74" t="str">
        <f aca="false">IF($BH381&lt;&gt;Constants!$B$4,"",IF(NOT($AJ381),0,Constants!$B$20*$AY381))</f>
        <v/>
      </c>
      <c r="BO381" s="74" t="str">
        <f aca="false">IF($BH381&lt;&gt;Constants!$B$4,"",IF(AND($AJ381,$BA381,$BB381),Constants!$B$22,0))</f>
        <v/>
      </c>
      <c r="BP381" s="74" t="str">
        <f aca="false">IF($BH381&lt;&gt;Constants!$B$4,"",IF(OR(NOT($AJ381),NOT($BA381)),0,IF($BF381&gt;=2*$AF$9,0,Constants!$B$23*INT(ROUND(MIN($BF381,$AF$9),6)))))</f>
        <v/>
      </c>
      <c r="BQ381" s="74" t="str">
        <f aca="false">IF($BH381&lt;&gt;Constants!$B$4,"",IF(NOT($AJ381),0,Constants!$B$24*INT(ROUND(MIN($AZ381,$AF$9),6))))</f>
        <v/>
      </c>
      <c r="BR381" s="74" t="str">
        <f aca="false">IF($BH381&lt;&gt;Constants!$B$4,"",IF(AND($AJ381,$BJ381=0),Constants!$B$25,0))</f>
        <v/>
      </c>
      <c r="BS381" s="74" t="str">
        <f aca="false">IF($BH381&lt;&gt;Constants!$B$4,"",MIN(Constants!$B$29,MAX(0,Constants!$B$27*Constants!$B$28*INT(ROUND((Constants!$B$26-$AL381)/Constants!$B$28,6))))+MIN(Constants!$B$29,MAX(0,Constants!$B$27*Constants!$B$28*INT(ROUND((Constants!$B$26-$AM381)/Constants!$B$28,6))))+MIN(Constants!$B$29,MAX(0,Constants!$B$27*Constants!$B$28*INT(ROUND((Constants!$B$26-$AN381)/Constants!$B$28,6)))))</f>
        <v/>
      </c>
      <c r="BT381" s="74" t="str">
        <f aca="false">IF($BH381&lt;&gt;Constants!$B$4,"",IF(NOT($AJ381),0,Constants!$B$31*INT(ROUND(MAX(0,MIN($BF381,2*$AF$9)-$AF$9),6))))</f>
        <v/>
      </c>
      <c r="BU381" s="74" t="str">
        <f aca="false">IF($BH381&lt;&gt;Constants!$B$4,"",Constants!$B$32*(($AL381&gt;Constants!$B$26)+($AM381&gt;Constants!$B$26)+($AN381&gt;Constants!$B$26)))</f>
        <v/>
      </c>
      <c r="BV381" s="74" t="str">
        <f aca="false">IF($BH381&lt;&gt;Constants!$B$4,"",IF(OR(NOT($AJ381),$AO381),0,Constants!$B$33))</f>
        <v/>
      </c>
      <c r="BW381" s="74" t="str">
        <f aca="false">IF($BH381&lt;&gt;Constants!$B$4,"",Constants!$B$34*$BJ381)</f>
        <v/>
      </c>
      <c r="BX381" s="74" t="str">
        <f aca="false">IF($BH381&lt;&gt;Constants!$B$4,"",IF(OR(NOT($AJ381),$BE381),0,Constants!$B$36))</f>
        <v/>
      </c>
      <c r="BY381" s="74" t="str">
        <f aca="false">IF($BH381&lt;&gt;Constants!$B$4,"",IF(OR(NOT($AJ381),$BD381),0,Constants!$B$37))</f>
        <v/>
      </c>
      <c r="BZ381" s="74" t="str">
        <f aca="false">IF($BH381&lt;&gt;Constants!$B$4,"",SUM($BT381:$BY381))</f>
        <v/>
      </c>
      <c r="CA381" s="74" t="str">
        <f aca="false">IF(ISBLANK($C381),"",IF($BH381&lt;&gt;Constants!$B$4,$BH381,SUM($BK381:$BS381)-$BZ381))</f>
        <v/>
      </c>
      <c r="CB381" s="74" t="str">
        <f aca="false">IF(ISBLANK($C381),"",IF($BH381&lt;&gt;Constants!$B$4,$BH381,RANK($CA381,$CA$9:$CA$508)))</f>
        <v/>
      </c>
      <c r="CC381" s="74" t="str">
        <f aca="false">IF(ISBLANK($C381),"",IF($BH381&lt;&gt;Constants!$B$4,$BH381,COUNTIFS($BI$9:$BI$508,"&lt;"&amp;$BI381)+COUNTIFS($BI$9:$BI$508,$BI381,$CB$9:$CB$508,"&lt;"&amp;$CB381)+1))</f>
        <v/>
      </c>
      <c r="CD381" s="74" t="str">
        <f aca="false">IF(ISBLANK($C381),"",IF($BH381&lt;&gt;Constants!$B$4,$BH381,RANK($BZ381,$BZ$9:$BZ$508,1)))</f>
        <v/>
      </c>
      <c r="CE381" s="74" t="str">
        <f aca="false">IF($BH381&lt;&gt;Constants!$B$4,"",$AL381+$AM381+$AN381)</f>
        <v/>
      </c>
      <c r="CF381" s="74" t="str">
        <f aca="false">IF(ISBLANK($C381),"",IF($BH381&lt;&gt;Constants!$B$4,$BH381,RANK($CE381,$CE$9:$CE$508,1)))</f>
        <v/>
      </c>
      <c r="CG381" s="74" t="str">
        <f aca="false">IF(ISBLANK($C381),"",IF($BH381&lt;&gt;Constants!$B$4,$BH381,COUNTIFS($BI$9:$BI$508,"&lt;"&amp;$BI381)+COUNTIFS($BI$9:$BI$508,$BI381,$CB$9:$CB$508,"&lt;"&amp;$CB381)+COUNTIFS($BI$9:$BI$508,$BI381,$CB$9:$CB$508,$CB381,$CD$9:$CD$508,"&lt;"&amp;$CD381)+COUNTIFS($BI$9:$BI$508,$BI381,$CB$9:$CB$508,$CB381,$CD$9:$CD$508,$CD381,$CF$9:$CF$508,"&lt;"&amp;$CF381)+1))</f>
        <v/>
      </c>
      <c r="CH381" s="74" t="str">
        <f aca="false">IF(ISBLANK($C381),"",IF($BH381&lt;&gt;Constants!$B$4,$BH381,$CC381-$CG381))</f>
        <v/>
      </c>
      <c r="CI381" s="74" t="str">
        <f aca="false">IF(ISBLANK($C381),"",IF(NOT($AJ381),"",IF(ISBLANK($D$7),$CI$5,IF(NOT(ISNUMBER($D$7)),$CI$6,""))))</f>
        <v/>
      </c>
      <c r="CJ381" s="74" t="str">
        <f aca="false">IF(ISBLANK($C381),"",OR($AL381="",$AM381="",$AN381=""))</f>
        <v/>
      </c>
      <c r="CK381" s="74" t="str">
        <f aca="false">IF(ISBLANK($C381),"",AND($AJ381,$AX381=""))</f>
        <v/>
      </c>
      <c r="CL381" s="74" t="str">
        <f aca="false">IF(ISBLANK($C381),"",AND($AJ381,$AY381=""))</f>
        <v/>
      </c>
      <c r="CM381" s="74" t="str">
        <f aca="false">IF(ISBLANK($C381),"",AND($AJ381,$AZ381=""))</f>
        <v/>
      </c>
      <c r="CN381" s="74" t="str">
        <f aca="false">IF(ISBLANK($C381),"",AND($AJ381,$BC381=""))</f>
        <v/>
      </c>
      <c r="CO381" s="74" t="str">
        <f aca="false">IF(ISBLANK($C381),"",AND($AJ381,$BF381=""))</f>
        <v/>
      </c>
      <c r="CP381" s="75"/>
      <c r="CQ381" s="76"/>
      <c r="CR381" s="79" t="str">
        <f aca="false">IF(ISBLANK($C381),"",IF($BH381=Constants!$B$8,$CI381,""))</f>
        <v/>
      </c>
      <c r="CS381" s="76" t="str">
        <f aca="false">IF(ISBLANK($C381),"",IF($BH381&lt;&gt;Constants!$B$4,"",$BK381+$BL381))</f>
        <v/>
      </c>
      <c r="CT381" s="78" t="str">
        <f aca="false">IF(ISBLANK($C381),"",IF($BH381&lt;&gt;Constants!$B$4,"",$BM381+$BN381+$BO381))</f>
        <v/>
      </c>
      <c r="CU381" s="78" t="str">
        <f aca="false">IF(ISBLANK($C381),"",IF($BH381&lt;&gt;Constants!$B$4,"",$BP381))</f>
        <v/>
      </c>
      <c r="CV381" s="78" t="str">
        <f aca="false">IF(ISBLANK($C381),"",IF($BH381&lt;&gt;Constants!$B$4,"",$BQ381+$BR381))</f>
        <v/>
      </c>
      <c r="CW381" s="78" t="str">
        <f aca="false">IF(ISBLANK($C381),"",IF($BH381&lt;&gt;Constants!$B$4,"",$BS381))</f>
        <v/>
      </c>
      <c r="CX381" s="78" t="str">
        <f aca="false">IF(ISBLANK($C381),"",IF($BH381&lt;&gt;Constants!$B$4,"",-$BZ381))</f>
        <v/>
      </c>
      <c r="CY381" s="79" t="str">
        <f aca="false">IF(ISBLANK($C381),"",$CA381)</f>
        <v/>
      </c>
      <c r="CZ381" s="80" t="str">
        <f aca="false">IF(ISBLANK($C381),"",$BI381)</f>
        <v/>
      </c>
      <c r="DA381" s="78" t="str">
        <f aca="false">IF(ISBLANK($C381),"",$CH381)</f>
        <v/>
      </c>
      <c r="DB381" s="78" t="str">
        <f aca="false">IF(ISBLANK($C381),"",$CG381)</f>
        <v/>
      </c>
      <c r="DC381" s="81" t="str">
        <f aca="false">IF(ISBLANK($C381),"",IFERROR(_xlfn.SWITCH($DB381,Constants!$B$7,COUNTA($C$9:$C$508)+2,Constants!$B$6,COUNTA($C$9:$C$508)+1,Constants!$B$5,COUNTA($C$9:$C$508)),$DB381))</f>
        <v/>
      </c>
      <c r="DD381" s="7"/>
      <c r="DE381" s="82" t="n">
        <f aca="false">IF(OR(ISNUMBER($DB381),$DB381=Constants!$B$7,$DB381=Constants!$B$5,$DB381=Constants!$B$6),1,0)</f>
        <v>0</v>
      </c>
      <c r="DF381" s="82" t="n">
        <v>373</v>
      </c>
      <c r="DG381" s="82" t="str">
        <f aca="false">IF(ISBLANK($C381),"",IF(ISNUMBER($DC381),$DC381+ROW($B381)/1000,""))</f>
        <v/>
      </c>
      <c r="DH381" s="82" t="str">
        <f aca="false">IF(ISNUMBER($DG381),RANK($DG381,$DG$9:$DG$508,1),"")</f>
        <v/>
      </c>
      <c r="DI381" s="82" t="str">
        <f aca="false">IF(ISBLANK($C381),"",$B381)</f>
        <v/>
      </c>
      <c r="DJ381" s="82" t="str">
        <f aca="false">IF(ISBLANK($C381),"",$C381)</f>
        <v/>
      </c>
      <c r="DK381" s="82" t="str">
        <f aca="false">IF(ISBLANK($C381),"",$D381)</f>
        <v/>
      </c>
      <c r="DL381" s="83" t="str">
        <f aca="false">$CZ381</f>
        <v/>
      </c>
      <c r="DM381" s="84" t="str">
        <f aca="false">$CY381</f>
        <v/>
      </c>
      <c r="DN381" s="82" t="str">
        <f aca="false">IF(ISBLANK($C381),"",$DB381)</f>
        <v/>
      </c>
      <c r="DO381" s="85" t="str">
        <f aca="false">IF($DF381&gt;$DE$8,"",VLOOKUP($DF381,$DH$9:$DN$508,7,FALSE()))</f>
        <v/>
      </c>
      <c r="DP381" s="86" t="str">
        <f aca="false">IF($DF381&gt;$DE$8,"",VLOOKUP($DF381,$DH$9:$DN$508,2,FALSE()))</f>
        <v/>
      </c>
      <c r="DQ381" s="86" t="str">
        <f aca="false">IF($DF381&gt;$DE$8,"",VLOOKUP($DF381,$DH$9:$DN$508,3,FALSE()))</f>
        <v/>
      </c>
      <c r="DR381" s="86" t="str">
        <f aca="false">IF($DF381&gt;$DE$8,"",VLOOKUP($DF381,$DH$9:$DN$508,4,FALSE()))</f>
        <v/>
      </c>
      <c r="DS381" s="86" t="str">
        <f aca="false">IF($DF381&gt;$DE$8,"",VLOOKUP($DF381,$DH$9:$DN$508,5,FALSE()))</f>
        <v/>
      </c>
      <c r="DT381" s="87" t="str">
        <f aca="false">IF($DF381&gt;$DE$8,"",VLOOKUP($DF381,$DH$9:$DN$508,6,FALSE()))</f>
        <v/>
      </c>
      <c r="DU381" s="62"/>
    </row>
    <row r="382" customFormat="false" ht="15.75" hidden="false" customHeight="false" outlineLevel="0" collapsed="false">
      <c r="A382" s="7"/>
      <c r="B382" s="64"/>
      <c r="C382" s="65"/>
      <c r="D382" s="123"/>
      <c r="E382" s="88"/>
      <c r="F382" s="134"/>
      <c r="G382" s="88"/>
      <c r="H382" s="134"/>
      <c r="I382" s="119"/>
      <c r="J382" s="119"/>
      <c r="K382" s="119"/>
      <c r="L382" s="88"/>
      <c r="M382" s="88"/>
      <c r="N382" s="88"/>
      <c r="O382" s="134"/>
      <c r="P382" s="88"/>
      <c r="Q382" s="88"/>
      <c r="R382" s="88"/>
      <c r="S382" s="88"/>
      <c r="T382" s="134"/>
      <c r="U382" s="88"/>
      <c r="V382" s="70"/>
      <c r="W382" s="88"/>
      <c r="X382" s="88"/>
      <c r="Y382" s="70"/>
      <c r="Z382" s="70"/>
      <c r="AA382" s="88"/>
      <c r="AB382" s="88"/>
      <c r="AC382" s="71"/>
      <c r="AD382" s="88"/>
      <c r="AE382" s="73"/>
      <c r="AF382" s="74"/>
      <c r="AG382" s="74"/>
      <c r="AH382" s="74" t="str">
        <f aca="false">IF(ISBLANK($C382),"",IF($E382=Constants!$B$2,TRUE(),IF($E382=Constants!$B$3,FALSE(),TRUE())))</f>
        <v/>
      </c>
      <c r="AI382" s="74" t="str">
        <f aca="false">IF(ISBLANK($C382),"",IF($F382=Constants!$B$2,TRUE(),IF($F382=Constants!$B$3,FALSE(),FALSE())))</f>
        <v/>
      </c>
      <c r="AJ382" s="74" t="str">
        <f aca="false">IF(ISBLANK($C382),"",IF($G382=Constants!$B$2,TRUE(),IF($G382=Constants!$B$3,FALSE(),TRUE())))</f>
        <v/>
      </c>
      <c r="AK382" s="74" t="str">
        <f aca="false">IF(ISBLANK($C382),"",IF($H382=Constants!$B$2,TRUE(),IF($H382=Constants!$B$3,FALSE(),TRUE())))</f>
        <v/>
      </c>
      <c r="AL382" s="74" t="str">
        <f aca="false">IF(ISBLANK($C382),"",IF(ISNUMBER($I382),IF($I382&gt;=0,$I382,""),""))</f>
        <v/>
      </c>
      <c r="AM382" s="74" t="str">
        <f aca="false">IF(ISBLANK($C382),"",IF(ISNUMBER($J382),IF($J382&gt;=0,$J382,""),""))</f>
        <v/>
      </c>
      <c r="AN382" s="74" t="str">
        <f aca="false">IF(ISBLANK($C382),"",IF(ISNUMBER($K382),IF($K382&gt;=0,$K382,""),""))</f>
        <v/>
      </c>
      <c r="AO382" s="74" t="str">
        <f aca="false">IF(ISBLANK($C382),"",IF($L382=Constants!$B$2,TRUE(),IF($L382=Constants!$B$3,FALSE(),TRUE())))</f>
        <v/>
      </c>
      <c r="AP382" s="74" t="str">
        <f aca="false">IF(ISBLANK($C382),"",IF($M382=Constants!$B$2,TRUE(),IF($M382=Constants!$B$3,FALSE(),TRUE())))</f>
        <v/>
      </c>
      <c r="AQ382" s="74" t="str">
        <f aca="false">IF(ISBLANK($C382),"",IF($N382=Constants!$B$2,TRUE(),IF($N382=Constants!$B$3,FALSE(),FALSE())))</f>
        <v/>
      </c>
      <c r="AR382" s="74" t="str">
        <f aca="false">IF(ISBLANK($C382),"",IF($O382=Constants!$B$2,TRUE(),IF($O382=Constants!$B$3,FALSE(),TRUE())))</f>
        <v/>
      </c>
      <c r="AS382" s="74" t="str">
        <f aca="false">IF(ISBLANK($C382),"",IF($P382=Constants!$B$2,TRUE(),IF($P382=Constants!$B$3,FALSE(),FALSE())))</f>
        <v/>
      </c>
      <c r="AT382" s="74" t="str">
        <f aca="false">IF(ISBLANK($C382),"",IF($Q382=Constants!$B$2,TRUE(),IF($Q382=Constants!$B$3,FALSE(),FALSE())))</f>
        <v/>
      </c>
      <c r="AU382" s="74" t="str">
        <f aca="false">IF(ISBLANK($C382),"",IF($R382=Constants!$B$2,TRUE(),IF($R382=Constants!$B$3,FALSE(),FALSE())))</f>
        <v/>
      </c>
      <c r="AV382" s="74" t="str">
        <f aca="false">IF(ISBLANK($C382),"",IF($S382=Constants!$B$2,TRUE(),IF($S382=Constants!$B$3,FALSE(),FALSE())))</f>
        <v/>
      </c>
      <c r="AW382" s="74" t="str">
        <f aca="false">IF(ISBLANK($C382),"",IF($T382=Constants!$B$2,TRUE(),IF($T382=Constants!$B$3,FALSE(),FALSE())))</f>
        <v/>
      </c>
      <c r="AX382" s="74" t="str">
        <f aca="false">IF(ISBLANK($C382),"",IF(OR($U382&amp;""="1",$U382&amp;""="2",$U382&amp;""="3",$U382&amp;""="4"),VALUE($U382&amp;""),IF($U382=Constants!$B$12,Constants!$B$12,"")))</f>
        <v/>
      </c>
      <c r="AY382" s="74" t="str">
        <f aca="false">IF(ISBLANK($C382),"",IF(ISBLANK($V382),0,IF(ISNUMBER($V382),IF(AND($V382&gt;=0,$V382&lt;=Constants!$B$21,$V382=INT($V382)),$V382,""),"")))</f>
        <v/>
      </c>
      <c r="AZ382" s="74" t="str">
        <f aca="false">IF(ISBLANK($C382),"",IF(ISBLANK($W382),0,IF(ISNUMBER($W382),IF($W382&gt;=0,$W382,""),"")))</f>
        <v/>
      </c>
      <c r="BA382" s="74" t="str">
        <f aca="false">IF(ISBLANK($C382),"",IF($X382=Constants!$B$2,TRUE(),IF($X382=Constants!$B$3,FALSE(),TRUE())))</f>
        <v/>
      </c>
      <c r="BB382" s="74" t="str">
        <f aca="false">IF(ISBLANK($C382),"",IF($Y382=Constants!$B$2,TRUE(),IF($Y382=Constants!$B$3,FALSE(),FALSE())))</f>
        <v/>
      </c>
      <c r="BC382" s="74" t="str">
        <f aca="false">IF(ISBLANK($C382),"",IF(ISBLANK($Z382),0,IF(ISNUMBER($Z382),IF(AND($Z382&gt;=0,$Z382&lt;=Constants!$B$35,$Z382=INT($Z382)),$Z382,""),"")))</f>
        <v/>
      </c>
      <c r="BD382" s="74" t="str">
        <f aca="false">IF(ISBLANK($C382),"",IF($AA382=Constants!$B$2,TRUE(),IF($AA382=Constants!$B$3,FALSE(),TRUE())))</f>
        <v/>
      </c>
      <c r="BE382" s="74" t="str">
        <f aca="false">IF(ISBLANK($C382),"",IF($AB382=Constants!$B$2,TRUE(),IF($AB382=Constants!$B$3,FALSE(),TRUE())))</f>
        <v/>
      </c>
      <c r="BF382" s="74" t="str">
        <f aca="false">IF(ISBLANK($C382),"",IF(ISNUMBER($AC382),IF($AC382&gt;=0,$AC382,""),""))</f>
        <v/>
      </c>
      <c r="BG382" s="74" t="str">
        <f aca="false">IF(ISBLANK($C382),"",IF($AD382=Constants!$B$2,TRUE(),IF($AD382=Constants!$B$3,FALSE(),FALSE())))</f>
        <v/>
      </c>
      <c r="BH382" s="73" t="str">
        <f aca="false">IF(ISBLANK($C382),"",IF($BG382,Constants!$B$7,IF(COUNTA($E382:$AC382)=0,Constants!$B$6,IF(OR(COUNTA($G382:$AC382)=0,NOT($AK382),$AQ382),Constants!$B$5,IF(OR($CI382&lt;&gt;"",$CJ382,$CK382,$CL382,$CM382,$CN382,$CO382),Constants!$B$8,Constants!$B$4)))))</f>
        <v/>
      </c>
      <c r="BI382" s="74" t="str">
        <f aca="false">IF(ISBLANK($C382),"",IF($BH382&lt;&gt;Constants!$B$4,$BH382,IF(OR(NOT($AH382),NOT($AJ382),NOT($AR382)),Constants!$B$11,IF(OR(NOT($AP382),MAX($AL382,$AM382,$AN382)&gt;Constants!$B$30),Constants!$B$10,Constants!$B$9))))</f>
        <v/>
      </c>
      <c r="BJ382" s="74" t="str">
        <f aca="false">IF($BH382&lt;&gt;Constants!$B$4,"",IF(NOT($AJ382),0,MIN(Constants!$B$35,$BC382)))</f>
        <v/>
      </c>
      <c r="BK382" s="74" t="str">
        <f aca="false">IF($BH382&lt;&gt;Constants!$B$4,"",IF(NOT($AJ382),0,IF($AT382,Constants!$B$18,IF($AS382,Constants!$B$17,0))))</f>
        <v/>
      </c>
      <c r="BL382" s="74" t="str">
        <f aca="false">IF($BH382&lt;&gt;Constants!$B$4,"",IF(NOT($AJ382),0,Constants!$B$19*($AI382+$AU382+$AV382+$AW382)))</f>
        <v/>
      </c>
      <c r="BM382" s="74" t="str">
        <f aca="false">IF($BH382&lt;&gt;Constants!$B$4,"",IF(OR(NOT($AJ382),NOT(ISNUMBER($AX382))),0,CHOOSE($AX382,Constants!$B$13,Constants!$B$14,Constants!$B$15,Constants!$B$16)))</f>
        <v/>
      </c>
      <c r="BN382" s="74" t="str">
        <f aca="false">IF($BH382&lt;&gt;Constants!$B$4,"",IF(NOT($AJ382),0,Constants!$B$20*$AY382))</f>
        <v/>
      </c>
      <c r="BO382" s="74" t="str">
        <f aca="false">IF($BH382&lt;&gt;Constants!$B$4,"",IF(AND($AJ382,$BA382,$BB382),Constants!$B$22,0))</f>
        <v/>
      </c>
      <c r="BP382" s="74" t="str">
        <f aca="false">IF($BH382&lt;&gt;Constants!$B$4,"",IF(OR(NOT($AJ382),NOT($BA382)),0,IF($BF382&gt;=2*$AF$9,0,Constants!$B$23*INT(ROUND(MIN($BF382,$AF$9),6)))))</f>
        <v/>
      </c>
      <c r="BQ382" s="74" t="str">
        <f aca="false">IF($BH382&lt;&gt;Constants!$B$4,"",IF(NOT($AJ382),0,Constants!$B$24*INT(ROUND(MIN($AZ382,$AF$9),6))))</f>
        <v/>
      </c>
      <c r="BR382" s="74" t="str">
        <f aca="false">IF($BH382&lt;&gt;Constants!$B$4,"",IF(AND($AJ382,$BJ382=0),Constants!$B$25,0))</f>
        <v/>
      </c>
      <c r="BS382" s="74" t="str">
        <f aca="false">IF($BH382&lt;&gt;Constants!$B$4,"",MIN(Constants!$B$29,MAX(0,Constants!$B$27*Constants!$B$28*INT(ROUND((Constants!$B$26-$AL382)/Constants!$B$28,6))))+MIN(Constants!$B$29,MAX(0,Constants!$B$27*Constants!$B$28*INT(ROUND((Constants!$B$26-$AM382)/Constants!$B$28,6))))+MIN(Constants!$B$29,MAX(0,Constants!$B$27*Constants!$B$28*INT(ROUND((Constants!$B$26-$AN382)/Constants!$B$28,6)))))</f>
        <v/>
      </c>
      <c r="BT382" s="74" t="str">
        <f aca="false">IF($BH382&lt;&gt;Constants!$B$4,"",IF(NOT($AJ382),0,Constants!$B$31*INT(ROUND(MAX(0,MIN($BF382,2*$AF$9)-$AF$9),6))))</f>
        <v/>
      </c>
      <c r="BU382" s="74" t="str">
        <f aca="false">IF($BH382&lt;&gt;Constants!$B$4,"",Constants!$B$32*(($AL382&gt;Constants!$B$26)+($AM382&gt;Constants!$B$26)+($AN382&gt;Constants!$B$26)))</f>
        <v/>
      </c>
      <c r="BV382" s="74" t="str">
        <f aca="false">IF($BH382&lt;&gt;Constants!$B$4,"",IF(OR(NOT($AJ382),$AO382),0,Constants!$B$33))</f>
        <v/>
      </c>
      <c r="BW382" s="74" t="str">
        <f aca="false">IF($BH382&lt;&gt;Constants!$B$4,"",Constants!$B$34*$BJ382)</f>
        <v/>
      </c>
      <c r="BX382" s="74" t="str">
        <f aca="false">IF($BH382&lt;&gt;Constants!$B$4,"",IF(OR(NOT($AJ382),$BE382),0,Constants!$B$36))</f>
        <v/>
      </c>
      <c r="BY382" s="74" t="str">
        <f aca="false">IF($BH382&lt;&gt;Constants!$B$4,"",IF(OR(NOT($AJ382),$BD382),0,Constants!$B$37))</f>
        <v/>
      </c>
      <c r="BZ382" s="74" t="str">
        <f aca="false">IF($BH382&lt;&gt;Constants!$B$4,"",SUM($BT382:$BY382))</f>
        <v/>
      </c>
      <c r="CA382" s="74" t="str">
        <f aca="false">IF(ISBLANK($C382),"",IF($BH382&lt;&gt;Constants!$B$4,$BH382,SUM($BK382:$BS382)-$BZ382))</f>
        <v/>
      </c>
      <c r="CB382" s="74" t="str">
        <f aca="false">IF(ISBLANK($C382),"",IF($BH382&lt;&gt;Constants!$B$4,$BH382,RANK($CA382,$CA$9:$CA$508)))</f>
        <v/>
      </c>
      <c r="CC382" s="74" t="str">
        <f aca="false">IF(ISBLANK($C382),"",IF($BH382&lt;&gt;Constants!$B$4,$BH382,COUNTIFS($BI$9:$BI$508,"&lt;"&amp;$BI382)+COUNTIFS($BI$9:$BI$508,$BI382,$CB$9:$CB$508,"&lt;"&amp;$CB382)+1))</f>
        <v/>
      </c>
      <c r="CD382" s="74" t="str">
        <f aca="false">IF(ISBLANK($C382),"",IF($BH382&lt;&gt;Constants!$B$4,$BH382,RANK($BZ382,$BZ$9:$BZ$508,1)))</f>
        <v/>
      </c>
      <c r="CE382" s="74" t="str">
        <f aca="false">IF($BH382&lt;&gt;Constants!$B$4,"",$AL382+$AM382+$AN382)</f>
        <v/>
      </c>
      <c r="CF382" s="74" t="str">
        <f aca="false">IF(ISBLANK($C382),"",IF($BH382&lt;&gt;Constants!$B$4,$BH382,RANK($CE382,$CE$9:$CE$508,1)))</f>
        <v/>
      </c>
      <c r="CG382" s="74" t="str">
        <f aca="false">IF(ISBLANK($C382),"",IF($BH382&lt;&gt;Constants!$B$4,$BH382,COUNTIFS($BI$9:$BI$508,"&lt;"&amp;$BI382)+COUNTIFS($BI$9:$BI$508,$BI382,$CB$9:$CB$508,"&lt;"&amp;$CB382)+COUNTIFS($BI$9:$BI$508,$BI382,$CB$9:$CB$508,$CB382,$CD$9:$CD$508,"&lt;"&amp;$CD382)+COUNTIFS($BI$9:$BI$508,$BI382,$CB$9:$CB$508,$CB382,$CD$9:$CD$508,$CD382,$CF$9:$CF$508,"&lt;"&amp;$CF382)+1))</f>
        <v/>
      </c>
      <c r="CH382" s="74" t="str">
        <f aca="false">IF(ISBLANK($C382),"",IF($BH382&lt;&gt;Constants!$B$4,$BH382,$CC382-$CG382))</f>
        <v/>
      </c>
      <c r="CI382" s="74" t="str">
        <f aca="false">IF(ISBLANK($C382),"",IF(NOT($AJ382),"",IF(ISBLANK($D$7),$CI$5,IF(NOT(ISNUMBER($D$7)),$CI$6,""))))</f>
        <v/>
      </c>
      <c r="CJ382" s="74" t="str">
        <f aca="false">IF(ISBLANK($C382),"",OR($AL382="",$AM382="",$AN382=""))</f>
        <v/>
      </c>
      <c r="CK382" s="74" t="str">
        <f aca="false">IF(ISBLANK($C382),"",AND($AJ382,$AX382=""))</f>
        <v/>
      </c>
      <c r="CL382" s="74" t="str">
        <f aca="false">IF(ISBLANK($C382),"",AND($AJ382,$AY382=""))</f>
        <v/>
      </c>
      <c r="CM382" s="74" t="str">
        <f aca="false">IF(ISBLANK($C382),"",AND($AJ382,$AZ382=""))</f>
        <v/>
      </c>
      <c r="CN382" s="74" t="str">
        <f aca="false">IF(ISBLANK($C382),"",AND($AJ382,$BC382=""))</f>
        <v/>
      </c>
      <c r="CO382" s="74" t="str">
        <f aca="false">IF(ISBLANK($C382),"",AND($AJ382,$BF382=""))</f>
        <v/>
      </c>
      <c r="CP382" s="75"/>
      <c r="CQ382" s="76"/>
      <c r="CR382" s="79" t="str">
        <f aca="false">IF(ISBLANK($C382),"",IF($BH382=Constants!$B$8,$CI382,""))</f>
        <v/>
      </c>
      <c r="CS382" s="76" t="str">
        <f aca="false">IF(ISBLANK($C382),"",IF($BH382&lt;&gt;Constants!$B$4,"",$BK382+$BL382))</f>
        <v/>
      </c>
      <c r="CT382" s="78" t="str">
        <f aca="false">IF(ISBLANK($C382),"",IF($BH382&lt;&gt;Constants!$B$4,"",$BM382+$BN382+$BO382))</f>
        <v/>
      </c>
      <c r="CU382" s="78" t="str">
        <f aca="false">IF(ISBLANK($C382),"",IF($BH382&lt;&gt;Constants!$B$4,"",$BP382))</f>
        <v/>
      </c>
      <c r="CV382" s="78" t="str">
        <f aca="false">IF(ISBLANK($C382),"",IF($BH382&lt;&gt;Constants!$B$4,"",$BQ382+$BR382))</f>
        <v/>
      </c>
      <c r="CW382" s="78" t="str">
        <f aca="false">IF(ISBLANK($C382),"",IF($BH382&lt;&gt;Constants!$B$4,"",$BS382))</f>
        <v/>
      </c>
      <c r="CX382" s="78" t="str">
        <f aca="false">IF(ISBLANK($C382),"",IF($BH382&lt;&gt;Constants!$B$4,"",-$BZ382))</f>
        <v/>
      </c>
      <c r="CY382" s="79" t="str">
        <f aca="false">IF(ISBLANK($C382),"",$CA382)</f>
        <v/>
      </c>
      <c r="CZ382" s="80" t="str">
        <f aca="false">IF(ISBLANK($C382),"",$BI382)</f>
        <v/>
      </c>
      <c r="DA382" s="78" t="str">
        <f aca="false">IF(ISBLANK($C382),"",$CH382)</f>
        <v/>
      </c>
      <c r="DB382" s="78" t="str">
        <f aca="false">IF(ISBLANK($C382),"",$CG382)</f>
        <v/>
      </c>
      <c r="DC382" s="81" t="str">
        <f aca="false">IF(ISBLANK($C382),"",IFERROR(_xlfn.SWITCH($DB382,Constants!$B$7,COUNTA($C$9:$C$508)+2,Constants!$B$6,COUNTA($C$9:$C$508)+1,Constants!$B$5,COUNTA($C$9:$C$508)),$DB382))</f>
        <v/>
      </c>
      <c r="DD382" s="7"/>
      <c r="DE382" s="82" t="n">
        <f aca="false">IF(OR(ISNUMBER($DB382),$DB382=Constants!$B$7,$DB382=Constants!$B$5,$DB382=Constants!$B$6),1,0)</f>
        <v>0</v>
      </c>
      <c r="DF382" s="82" t="n">
        <v>374</v>
      </c>
      <c r="DG382" s="82" t="str">
        <f aca="false">IF(ISBLANK($C382),"",IF(ISNUMBER($DC382),$DC382+ROW($B382)/1000,""))</f>
        <v/>
      </c>
      <c r="DH382" s="82" t="str">
        <f aca="false">IF(ISNUMBER($DG382),RANK($DG382,$DG$9:$DG$508,1),"")</f>
        <v/>
      </c>
      <c r="DI382" s="82" t="str">
        <f aca="false">IF(ISBLANK($C382),"",$B382)</f>
        <v/>
      </c>
      <c r="DJ382" s="82" t="str">
        <f aca="false">IF(ISBLANK($C382),"",$C382)</f>
        <v/>
      </c>
      <c r="DK382" s="82" t="str">
        <f aca="false">IF(ISBLANK($C382),"",$D382)</f>
        <v/>
      </c>
      <c r="DL382" s="83" t="str">
        <f aca="false">$CZ382</f>
        <v/>
      </c>
      <c r="DM382" s="84" t="str">
        <f aca="false">$CY382</f>
        <v/>
      </c>
      <c r="DN382" s="82" t="str">
        <f aca="false">IF(ISBLANK($C382),"",$DB382)</f>
        <v/>
      </c>
      <c r="DO382" s="85" t="str">
        <f aca="false">IF($DF382&gt;$DE$8,"",VLOOKUP($DF382,$DH$9:$DN$508,7,FALSE()))</f>
        <v/>
      </c>
      <c r="DP382" s="86" t="str">
        <f aca="false">IF($DF382&gt;$DE$8,"",VLOOKUP($DF382,$DH$9:$DN$508,2,FALSE()))</f>
        <v/>
      </c>
      <c r="DQ382" s="86" t="str">
        <f aca="false">IF($DF382&gt;$DE$8,"",VLOOKUP($DF382,$DH$9:$DN$508,3,FALSE()))</f>
        <v/>
      </c>
      <c r="DR382" s="86" t="str">
        <f aca="false">IF($DF382&gt;$DE$8,"",VLOOKUP($DF382,$DH$9:$DN$508,4,FALSE()))</f>
        <v/>
      </c>
      <c r="DS382" s="86" t="str">
        <f aca="false">IF($DF382&gt;$DE$8,"",VLOOKUP($DF382,$DH$9:$DN$508,5,FALSE()))</f>
        <v/>
      </c>
      <c r="DT382" s="87" t="str">
        <f aca="false">IF($DF382&gt;$DE$8,"",VLOOKUP($DF382,$DH$9:$DN$508,6,FALSE()))</f>
        <v/>
      </c>
      <c r="DU382" s="62"/>
    </row>
    <row r="383" customFormat="false" ht="15.75" hidden="false" customHeight="false" outlineLevel="0" collapsed="false">
      <c r="A383" s="7"/>
      <c r="B383" s="64"/>
      <c r="C383" s="65"/>
      <c r="D383" s="123"/>
      <c r="E383" s="88"/>
      <c r="F383" s="134"/>
      <c r="G383" s="88"/>
      <c r="H383" s="134"/>
      <c r="I383" s="119"/>
      <c r="J383" s="119"/>
      <c r="K383" s="119"/>
      <c r="L383" s="88"/>
      <c r="M383" s="88"/>
      <c r="N383" s="88"/>
      <c r="O383" s="134"/>
      <c r="P383" s="88"/>
      <c r="Q383" s="88"/>
      <c r="R383" s="88"/>
      <c r="S383" s="88"/>
      <c r="T383" s="134"/>
      <c r="U383" s="88"/>
      <c r="V383" s="70"/>
      <c r="W383" s="88"/>
      <c r="X383" s="88"/>
      <c r="Y383" s="70"/>
      <c r="Z383" s="70"/>
      <c r="AA383" s="88"/>
      <c r="AB383" s="88"/>
      <c r="AC383" s="71"/>
      <c r="AD383" s="88"/>
      <c r="AE383" s="73"/>
      <c r="AF383" s="74"/>
      <c r="AG383" s="74"/>
      <c r="AH383" s="74" t="str">
        <f aca="false">IF(ISBLANK($C383),"",IF($E383=Constants!$B$2,TRUE(),IF($E383=Constants!$B$3,FALSE(),TRUE())))</f>
        <v/>
      </c>
      <c r="AI383" s="74" t="str">
        <f aca="false">IF(ISBLANK($C383),"",IF($F383=Constants!$B$2,TRUE(),IF($F383=Constants!$B$3,FALSE(),FALSE())))</f>
        <v/>
      </c>
      <c r="AJ383" s="74" t="str">
        <f aca="false">IF(ISBLANK($C383),"",IF($G383=Constants!$B$2,TRUE(),IF($G383=Constants!$B$3,FALSE(),TRUE())))</f>
        <v/>
      </c>
      <c r="AK383" s="74" t="str">
        <f aca="false">IF(ISBLANK($C383),"",IF($H383=Constants!$B$2,TRUE(),IF($H383=Constants!$B$3,FALSE(),TRUE())))</f>
        <v/>
      </c>
      <c r="AL383" s="74" t="str">
        <f aca="false">IF(ISBLANK($C383),"",IF(ISNUMBER($I383),IF($I383&gt;=0,$I383,""),""))</f>
        <v/>
      </c>
      <c r="AM383" s="74" t="str">
        <f aca="false">IF(ISBLANK($C383),"",IF(ISNUMBER($J383),IF($J383&gt;=0,$J383,""),""))</f>
        <v/>
      </c>
      <c r="AN383" s="74" t="str">
        <f aca="false">IF(ISBLANK($C383),"",IF(ISNUMBER($K383),IF($K383&gt;=0,$K383,""),""))</f>
        <v/>
      </c>
      <c r="AO383" s="74" t="str">
        <f aca="false">IF(ISBLANK($C383),"",IF($L383=Constants!$B$2,TRUE(),IF($L383=Constants!$B$3,FALSE(),TRUE())))</f>
        <v/>
      </c>
      <c r="AP383" s="74" t="str">
        <f aca="false">IF(ISBLANK($C383),"",IF($M383=Constants!$B$2,TRUE(),IF($M383=Constants!$B$3,FALSE(),TRUE())))</f>
        <v/>
      </c>
      <c r="AQ383" s="74" t="str">
        <f aca="false">IF(ISBLANK($C383),"",IF($N383=Constants!$B$2,TRUE(),IF($N383=Constants!$B$3,FALSE(),FALSE())))</f>
        <v/>
      </c>
      <c r="AR383" s="74" t="str">
        <f aca="false">IF(ISBLANK($C383),"",IF($O383=Constants!$B$2,TRUE(),IF($O383=Constants!$B$3,FALSE(),TRUE())))</f>
        <v/>
      </c>
      <c r="AS383" s="74" t="str">
        <f aca="false">IF(ISBLANK($C383),"",IF($P383=Constants!$B$2,TRUE(),IF($P383=Constants!$B$3,FALSE(),FALSE())))</f>
        <v/>
      </c>
      <c r="AT383" s="74" t="str">
        <f aca="false">IF(ISBLANK($C383),"",IF($Q383=Constants!$B$2,TRUE(),IF($Q383=Constants!$B$3,FALSE(),FALSE())))</f>
        <v/>
      </c>
      <c r="AU383" s="74" t="str">
        <f aca="false">IF(ISBLANK($C383),"",IF($R383=Constants!$B$2,TRUE(),IF($R383=Constants!$B$3,FALSE(),FALSE())))</f>
        <v/>
      </c>
      <c r="AV383" s="74" t="str">
        <f aca="false">IF(ISBLANK($C383),"",IF($S383=Constants!$B$2,TRUE(),IF($S383=Constants!$B$3,FALSE(),FALSE())))</f>
        <v/>
      </c>
      <c r="AW383" s="74" t="str">
        <f aca="false">IF(ISBLANK($C383),"",IF($T383=Constants!$B$2,TRUE(),IF($T383=Constants!$B$3,FALSE(),FALSE())))</f>
        <v/>
      </c>
      <c r="AX383" s="74" t="str">
        <f aca="false">IF(ISBLANK($C383),"",IF(OR($U383&amp;""="1",$U383&amp;""="2",$U383&amp;""="3",$U383&amp;""="4"),VALUE($U383&amp;""),IF($U383=Constants!$B$12,Constants!$B$12,"")))</f>
        <v/>
      </c>
      <c r="AY383" s="74" t="str">
        <f aca="false">IF(ISBLANK($C383),"",IF(ISBLANK($V383),0,IF(ISNUMBER($V383),IF(AND($V383&gt;=0,$V383&lt;=Constants!$B$21,$V383=INT($V383)),$V383,""),"")))</f>
        <v/>
      </c>
      <c r="AZ383" s="74" t="str">
        <f aca="false">IF(ISBLANK($C383),"",IF(ISBLANK($W383),0,IF(ISNUMBER($W383),IF($W383&gt;=0,$W383,""),"")))</f>
        <v/>
      </c>
      <c r="BA383" s="74" t="str">
        <f aca="false">IF(ISBLANK($C383),"",IF($X383=Constants!$B$2,TRUE(),IF($X383=Constants!$B$3,FALSE(),TRUE())))</f>
        <v/>
      </c>
      <c r="BB383" s="74" t="str">
        <f aca="false">IF(ISBLANK($C383),"",IF($Y383=Constants!$B$2,TRUE(),IF($Y383=Constants!$B$3,FALSE(),FALSE())))</f>
        <v/>
      </c>
      <c r="BC383" s="74" t="str">
        <f aca="false">IF(ISBLANK($C383),"",IF(ISBLANK($Z383),0,IF(ISNUMBER($Z383),IF(AND($Z383&gt;=0,$Z383&lt;=Constants!$B$35,$Z383=INT($Z383)),$Z383,""),"")))</f>
        <v/>
      </c>
      <c r="BD383" s="74" t="str">
        <f aca="false">IF(ISBLANK($C383),"",IF($AA383=Constants!$B$2,TRUE(),IF($AA383=Constants!$B$3,FALSE(),TRUE())))</f>
        <v/>
      </c>
      <c r="BE383" s="74" t="str">
        <f aca="false">IF(ISBLANK($C383),"",IF($AB383=Constants!$B$2,TRUE(),IF($AB383=Constants!$B$3,FALSE(),TRUE())))</f>
        <v/>
      </c>
      <c r="BF383" s="74" t="str">
        <f aca="false">IF(ISBLANK($C383),"",IF(ISNUMBER($AC383),IF($AC383&gt;=0,$AC383,""),""))</f>
        <v/>
      </c>
      <c r="BG383" s="74" t="str">
        <f aca="false">IF(ISBLANK($C383),"",IF($AD383=Constants!$B$2,TRUE(),IF($AD383=Constants!$B$3,FALSE(),FALSE())))</f>
        <v/>
      </c>
      <c r="BH383" s="73" t="str">
        <f aca="false">IF(ISBLANK($C383),"",IF($BG383,Constants!$B$7,IF(COUNTA($E383:$AC383)=0,Constants!$B$6,IF(OR(COUNTA($G383:$AC383)=0,NOT($AK383),$AQ383),Constants!$B$5,IF(OR($CI383&lt;&gt;"",$CJ383,$CK383,$CL383,$CM383,$CN383,$CO383),Constants!$B$8,Constants!$B$4)))))</f>
        <v/>
      </c>
      <c r="BI383" s="74" t="str">
        <f aca="false">IF(ISBLANK($C383),"",IF($BH383&lt;&gt;Constants!$B$4,$BH383,IF(OR(NOT($AH383),NOT($AJ383),NOT($AR383)),Constants!$B$11,IF(OR(NOT($AP383),MAX($AL383,$AM383,$AN383)&gt;Constants!$B$30),Constants!$B$10,Constants!$B$9))))</f>
        <v/>
      </c>
      <c r="BJ383" s="74" t="str">
        <f aca="false">IF($BH383&lt;&gt;Constants!$B$4,"",IF(NOT($AJ383),0,MIN(Constants!$B$35,$BC383)))</f>
        <v/>
      </c>
      <c r="BK383" s="74" t="str">
        <f aca="false">IF($BH383&lt;&gt;Constants!$B$4,"",IF(NOT($AJ383),0,IF($AT383,Constants!$B$18,IF($AS383,Constants!$B$17,0))))</f>
        <v/>
      </c>
      <c r="BL383" s="74" t="str">
        <f aca="false">IF($BH383&lt;&gt;Constants!$B$4,"",IF(NOT($AJ383),0,Constants!$B$19*($AI383+$AU383+$AV383+$AW383)))</f>
        <v/>
      </c>
      <c r="BM383" s="74" t="str">
        <f aca="false">IF($BH383&lt;&gt;Constants!$B$4,"",IF(OR(NOT($AJ383),NOT(ISNUMBER($AX383))),0,CHOOSE($AX383,Constants!$B$13,Constants!$B$14,Constants!$B$15,Constants!$B$16)))</f>
        <v/>
      </c>
      <c r="BN383" s="74" t="str">
        <f aca="false">IF($BH383&lt;&gt;Constants!$B$4,"",IF(NOT($AJ383),0,Constants!$B$20*$AY383))</f>
        <v/>
      </c>
      <c r="BO383" s="74" t="str">
        <f aca="false">IF($BH383&lt;&gt;Constants!$B$4,"",IF(AND($AJ383,$BA383,$BB383),Constants!$B$22,0))</f>
        <v/>
      </c>
      <c r="BP383" s="74" t="str">
        <f aca="false">IF($BH383&lt;&gt;Constants!$B$4,"",IF(OR(NOT($AJ383),NOT($BA383)),0,IF($BF383&gt;=2*$AF$9,0,Constants!$B$23*INT(ROUND(MIN($BF383,$AF$9),6)))))</f>
        <v/>
      </c>
      <c r="BQ383" s="74" t="str">
        <f aca="false">IF($BH383&lt;&gt;Constants!$B$4,"",IF(NOT($AJ383),0,Constants!$B$24*INT(ROUND(MIN($AZ383,$AF$9),6))))</f>
        <v/>
      </c>
      <c r="BR383" s="74" t="str">
        <f aca="false">IF($BH383&lt;&gt;Constants!$B$4,"",IF(AND($AJ383,$BJ383=0),Constants!$B$25,0))</f>
        <v/>
      </c>
      <c r="BS383" s="74" t="str">
        <f aca="false">IF($BH383&lt;&gt;Constants!$B$4,"",MIN(Constants!$B$29,MAX(0,Constants!$B$27*Constants!$B$28*INT(ROUND((Constants!$B$26-$AL383)/Constants!$B$28,6))))+MIN(Constants!$B$29,MAX(0,Constants!$B$27*Constants!$B$28*INT(ROUND((Constants!$B$26-$AM383)/Constants!$B$28,6))))+MIN(Constants!$B$29,MAX(0,Constants!$B$27*Constants!$B$28*INT(ROUND((Constants!$B$26-$AN383)/Constants!$B$28,6)))))</f>
        <v/>
      </c>
      <c r="BT383" s="74" t="str">
        <f aca="false">IF($BH383&lt;&gt;Constants!$B$4,"",IF(NOT($AJ383),0,Constants!$B$31*INT(ROUND(MAX(0,MIN($BF383,2*$AF$9)-$AF$9),6))))</f>
        <v/>
      </c>
      <c r="BU383" s="74" t="str">
        <f aca="false">IF($BH383&lt;&gt;Constants!$B$4,"",Constants!$B$32*(($AL383&gt;Constants!$B$26)+($AM383&gt;Constants!$B$26)+($AN383&gt;Constants!$B$26)))</f>
        <v/>
      </c>
      <c r="BV383" s="74" t="str">
        <f aca="false">IF($BH383&lt;&gt;Constants!$B$4,"",IF(OR(NOT($AJ383),$AO383),0,Constants!$B$33))</f>
        <v/>
      </c>
      <c r="BW383" s="74" t="str">
        <f aca="false">IF($BH383&lt;&gt;Constants!$B$4,"",Constants!$B$34*$BJ383)</f>
        <v/>
      </c>
      <c r="BX383" s="74" t="str">
        <f aca="false">IF($BH383&lt;&gt;Constants!$B$4,"",IF(OR(NOT($AJ383),$BE383),0,Constants!$B$36))</f>
        <v/>
      </c>
      <c r="BY383" s="74" t="str">
        <f aca="false">IF($BH383&lt;&gt;Constants!$B$4,"",IF(OR(NOT($AJ383),$BD383),0,Constants!$B$37))</f>
        <v/>
      </c>
      <c r="BZ383" s="74" t="str">
        <f aca="false">IF($BH383&lt;&gt;Constants!$B$4,"",SUM($BT383:$BY383))</f>
        <v/>
      </c>
      <c r="CA383" s="74" t="str">
        <f aca="false">IF(ISBLANK($C383),"",IF($BH383&lt;&gt;Constants!$B$4,$BH383,SUM($BK383:$BS383)-$BZ383))</f>
        <v/>
      </c>
      <c r="CB383" s="74" t="str">
        <f aca="false">IF(ISBLANK($C383),"",IF($BH383&lt;&gt;Constants!$B$4,$BH383,RANK($CA383,$CA$9:$CA$508)))</f>
        <v/>
      </c>
      <c r="CC383" s="74" t="str">
        <f aca="false">IF(ISBLANK($C383),"",IF($BH383&lt;&gt;Constants!$B$4,$BH383,COUNTIFS($BI$9:$BI$508,"&lt;"&amp;$BI383)+COUNTIFS($BI$9:$BI$508,$BI383,$CB$9:$CB$508,"&lt;"&amp;$CB383)+1))</f>
        <v/>
      </c>
      <c r="CD383" s="74" t="str">
        <f aca="false">IF(ISBLANK($C383),"",IF($BH383&lt;&gt;Constants!$B$4,$BH383,RANK($BZ383,$BZ$9:$BZ$508,1)))</f>
        <v/>
      </c>
      <c r="CE383" s="74" t="str">
        <f aca="false">IF($BH383&lt;&gt;Constants!$B$4,"",$AL383+$AM383+$AN383)</f>
        <v/>
      </c>
      <c r="CF383" s="74" t="str">
        <f aca="false">IF(ISBLANK($C383),"",IF($BH383&lt;&gt;Constants!$B$4,$BH383,RANK($CE383,$CE$9:$CE$508,1)))</f>
        <v/>
      </c>
      <c r="CG383" s="74" t="str">
        <f aca="false">IF(ISBLANK($C383),"",IF($BH383&lt;&gt;Constants!$B$4,$BH383,COUNTIFS($BI$9:$BI$508,"&lt;"&amp;$BI383)+COUNTIFS($BI$9:$BI$508,$BI383,$CB$9:$CB$508,"&lt;"&amp;$CB383)+COUNTIFS($BI$9:$BI$508,$BI383,$CB$9:$CB$508,$CB383,$CD$9:$CD$508,"&lt;"&amp;$CD383)+COUNTIFS($BI$9:$BI$508,$BI383,$CB$9:$CB$508,$CB383,$CD$9:$CD$508,$CD383,$CF$9:$CF$508,"&lt;"&amp;$CF383)+1))</f>
        <v/>
      </c>
      <c r="CH383" s="74" t="str">
        <f aca="false">IF(ISBLANK($C383),"",IF($BH383&lt;&gt;Constants!$B$4,$BH383,$CC383-$CG383))</f>
        <v/>
      </c>
      <c r="CI383" s="74" t="str">
        <f aca="false">IF(ISBLANK($C383),"",IF(NOT($AJ383),"",IF(ISBLANK($D$7),$CI$5,IF(NOT(ISNUMBER($D$7)),$CI$6,""))))</f>
        <v/>
      </c>
      <c r="CJ383" s="74" t="str">
        <f aca="false">IF(ISBLANK($C383),"",OR($AL383="",$AM383="",$AN383=""))</f>
        <v/>
      </c>
      <c r="CK383" s="74" t="str">
        <f aca="false">IF(ISBLANK($C383),"",AND($AJ383,$AX383=""))</f>
        <v/>
      </c>
      <c r="CL383" s="74" t="str">
        <f aca="false">IF(ISBLANK($C383),"",AND($AJ383,$AY383=""))</f>
        <v/>
      </c>
      <c r="CM383" s="74" t="str">
        <f aca="false">IF(ISBLANK($C383),"",AND($AJ383,$AZ383=""))</f>
        <v/>
      </c>
      <c r="CN383" s="74" t="str">
        <f aca="false">IF(ISBLANK($C383),"",AND($AJ383,$BC383=""))</f>
        <v/>
      </c>
      <c r="CO383" s="74" t="str">
        <f aca="false">IF(ISBLANK($C383),"",AND($AJ383,$BF383=""))</f>
        <v/>
      </c>
      <c r="CP383" s="75"/>
      <c r="CQ383" s="76"/>
      <c r="CR383" s="79" t="str">
        <f aca="false">IF(ISBLANK($C383),"",IF($BH383=Constants!$B$8,$CI383,""))</f>
        <v/>
      </c>
      <c r="CS383" s="76" t="str">
        <f aca="false">IF(ISBLANK($C383),"",IF($BH383&lt;&gt;Constants!$B$4,"",$BK383+$BL383))</f>
        <v/>
      </c>
      <c r="CT383" s="78" t="str">
        <f aca="false">IF(ISBLANK($C383),"",IF($BH383&lt;&gt;Constants!$B$4,"",$BM383+$BN383+$BO383))</f>
        <v/>
      </c>
      <c r="CU383" s="78" t="str">
        <f aca="false">IF(ISBLANK($C383),"",IF($BH383&lt;&gt;Constants!$B$4,"",$BP383))</f>
        <v/>
      </c>
      <c r="CV383" s="78" t="str">
        <f aca="false">IF(ISBLANK($C383),"",IF($BH383&lt;&gt;Constants!$B$4,"",$BQ383+$BR383))</f>
        <v/>
      </c>
      <c r="CW383" s="78" t="str">
        <f aca="false">IF(ISBLANK($C383),"",IF($BH383&lt;&gt;Constants!$B$4,"",$BS383))</f>
        <v/>
      </c>
      <c r="CX383" s="78" t="str">
        <f aca="false">IF(ISBLANK($C383),"",IF($BH383&lt;&gt;Constants!$B$4,"",-$BZ383))</f>
        <v/>
      </c>
      <c r="CY383" s="79" t="str">
        <f aca="false">IF(ISBLANK($C383),"",$CA383)</f>
        <v/>
      </c>
      <c r="CZ383" s="80" t="str">
        <f aca="false">IF(ISBLANK($C383),"",$BI383)</f>
        <v/>
      </c>
      <c r="DA383" s="78" t="str">
        <f aca="false">IF(ISBLANK($C383),"",$CH383)</f>
        <v/>
      </c>
      <c r="DB383" s="78" t="str">
        <f aca="false">IF(ISBLANK($C383),"",$CG383)</f>
        <v/>
      </c>
      <c r="DC383" s="81" t="str">
        <f aca="false">IF(ISBLANK($C383),"",IFERROR(_xlfn.SWITCH($DB383,Constants!$B$7,COUNTA($C$9:$C$508)+2,Constants!$B$6,COUNTA($C$9:$C$508)+1,Constants!$B$5,COUNTA($C$9:$C$508)),$DB383))</f>
        <v/>
      </c>
      <c r="DD383" s="7"/>
      <c r="DE383" s="82" t="n">
        <f aca="false">IF(OR(ISNUMBER($DB383),$DB383=Constants!$B$7,$DB383=Constants!$B$5,$DB383=Constants!$B$6),1,0)</f>
        <v>0</v>
      </c>
      <c r="DF383" s="82" t="n">
        <v>375</v>
      </c>
      <c r="DG383" s="82" t="str">
        <f aca="false">IF(ISBLANK($C383),"",IF(ISNUMBER($DC383),$DC383+ROW($B383)/1000,""))</f>
        <v/>
      </c>
      <c r="DH383" s="82" t="str">
        <f aca="false">IF(ISNUMBER($DG383),RANK($DG383,$DG$9:$DG$508,1),"")</f>
        <v/>
      </c>
      <c r="DI383" s="82" t="str">
        <f aca="false">IF(ISBLANK($C383),"",$B383)</f>
        <v/>
      </c>
      <c r="DJ383" s="82" t="str">
        <f aca="false">IF(ISBLANK($C383),"",$C383)</f>
        <v/>
      </c>
      <c r="DK383" s="82" t="str">
        <f aca="false">IF(ISBLANK($C383),"",$D383)</f>
        <v/>
      </c>
      <c r="DL383" s="83" t="str">
        <f aca="false">$CZ383</f>
        <v/>
      </c>
      <c r="DM383" s="84" t="str">
        <f aca="false">$CY383</f>
        <v/>
      </c>
      <c r="DN383" s="82" t="str">
        <f aca="false">IF(ISBLANK($C383),"",$DB383)</f>
        <v/>
      </c>
      <c r="DO383" s="85" t="str">
        <f aca="false">IF($DF383&gt;$DE$8,"",VLOOKUP($DF383,$DH$9:$DN$508,7,FALSE()))</f>
        <v/>
      </c>
      <c r="DP383" s="86" t="str">
        <f aca="false">IF($DF383&gt;$DE$8,"",VLOOKUP($DF383,$DH$9:$DN$508,2,FALSE()))</f>
        <v/>
      </c>
      <c r="DQ383" s="86" t="str">
        <f aca="false">IF($DF383&gt;$DE$8,"",VLOOKUP($DF383,$DH$9:$DN$508,3,FALSE()))</f>
        <v/>
      </c>
      <c r="DR383" s="86" t="str">
        <f aca="false">IF($DF383&gt;$DE$8,"",VLOOKUP($DF383,$DH$9:$DN$508,4,FALSE()))</f>
        <v/>
      </c>
      <c r="DS383" s="86" t="str">
        <f aca="false">IF($DF383&gt;$DE$8,"",VLOOKUP($DF383,$DH$9:$DN$508,5,FALSE()))</f>
        <v/>
      </c>
      <c r="DT383" s="87" t="str">
        <f aca="false">IF($DF383&gt;$DE$8,"",VLOOKUP($DF383,$DH$9:$DN$508,6,FALSE()))</f>
        <v/>
      </c>
      <c r="DU383" s="62"/>
    </row>
    <row r="384" customFormat="false" ht="15.75" hidden="false" customHeight="false" outlineLevel="0" collapsed="false">
      <c r="A384" s="7"/>
      <c r="B384" s="90"/>
      <c r="C384" s="91"/>
      <c r="D384" s="126"/>
      <c r="E384" s="130"/>
      <c r="F384" s="135"/>
      <c r="G384" s="130"/>
      <c r="H384" s="135"/>
      <c r="I384" s="131"/>
      <c r="J384" s="131"/>
      <c r="K384" s="131"/>
      <c r="L384" s="130"/>
      <c r="M384" s="130"/>
      <c r="N384" s="130"/>
      <c r="O384" s="135"/>
      <c r="P384" s="130"/>
      <c r="Q384" s="130"/>
      <c r="R384" s="130"/>
      <c r="S384" s="130"/>
      <c r="T384" s="135"/>
      <c r="U384" s="130"/>
      <c r="V384" s="96"/>
      <c r="W384" s="130"/>
      <c r="X384" s="130"/>
      <c r="Y384" s="96"/>
      <c r="Z384" s="96"/>
      <c r="AA384" s="130"/>
      <c r="AB384" s="130"/>
      <c r="AC384" s="97"/>
      <c r="AD384" s="130"/>
      <c r="AE384" s="99"/>
      <c r="AF384" s="100"/>
      <c r="AG384" s="100"/>
      <c r="AH384" s="100" t="str">
        <f aca="false">IF(ISBLANK($C384),"",IF($E384=Constants!$B$2,TRUE(),IF($E384=Constants!$B$3,FALSE(),TRUE())))</f>
        <v/>
      </c>
      <c r="AI384" s="100" t="str">
        <f aca="false">IF(ISBLANK($C384),"",IF($F384=Constants!$B$2,TRUE(),IF($F384=Constants!$B$3,FALSE(),FALSE())))</f>
        <v/>
      </c>
      <c r="AJ384" s="100" t="str">
        <f aca="false">IF(ISBLANK($C384),"",IF($G384=Constants!$B$2,TRUE(),IF($G384=Constants!$B$3,FALSE(),TRUE())))</f>
        <v/>
      </c>
      <c r="AK384" s="100" t="str">
        <f aca="false">IF(ISBLANK($C384),"",IF($H384=Constants!$B$2,TRUE(),IF($H384=Constants!$B$3,FALSE(),TRUE())))</f>
        <v/>
      </c>
      <c r="AL384" s="100" t="str">
        <f aca="false">IF(ISBLANK($C384),"",IF(ISNUMBER($I384),IF($I384&gt;=0,$I384,""),""))</f>
        <v/>
      </c>
      <c r="AM384" s="100" t="str">
        <f aca="false">IF(ISBLANK($C384),"",IF(ISNUMBER($J384),IF($J384&gt;=0,$J384,""),""))</f>
        <v/>
      </c>
      <c r="AN384" s="100" t="str">
        <f aca="false">IF(ISBLANK($C384),"",IF(ISNUMBER($K384),IF($K384&gt;=0,$K384,""),""))</f>
        <v/>
      </c>
      <c r="AO384" s="100" t="str">
        <f aca="false">IF(ISBLANK($C384),"",IF($L384=Constants!$B$2,TRUE(),IF($L384=Constants!$B$3,FALSE(),TRUE())))</f>
        <v/>
      </c>
      <c r="AP384" s="100" t="str">
        <f aca="false">IF(ISBLANK($C384),"",IF($M384=Constants!$B$2,TRUE(),IF($M384=Constants!$B$3,FALSE(),TRUE())))</f>
        <v/>
      </c>
      <c r="AQ384" s="100" t="str">
        <f aca="false">IF(ISBLANK($C384),"",IF($N384=Constants!$B$2,TRUE(),IF($N384=Constants!$B$3,FALSE(),FALSE())))</f>
        <v/>
      </c>
      <c r="AR384" s="100" t="str">
        <f aca="false">IF(ISBLANK($C384),"",IF($O384=Constants!$B$2,TRUE(),IF($O384=Constants!$B$3,FALSE(),TRUE())))</f>
        <v/>
      </c>
      <c r="AS384" s="100" t="str">
        <f aca="false">IF(ISBLANK($C384),"",IF($P384=Constants!$B$2,TRUE(),IF($P384=Constants!$B$3,FALSE(),FALSE())))</f>
        <v/>
      </c>
      <c r="AT384" s="100" t="str">
        <f aca="false">IF(ISBLANK($C384),"",IF($Q384=Constants!$B$2,TRUE(),IF($Q384=Constants!$B$3,FALSE(),FALSE())))</f>
        <v/>
      </c>
      <c r="AU384" s="100" t="str">
        <f aca="false">IF(ISBLANK($C384),"",IF($R384=Constants!$B$2,TRUE(),IF($R384=Constants!$B$3,FALSE(),FALSE())))</f>
        <v/>
      </c>
      <c r="AV384" s="100" t="str">
        <f aca="false">IF(ISBLANK($C384),"",IF($S384=Constants!$B$2,TRUE(),IF($S384=Constants!$B$3,FALSE(),FALSE())))</f>
        <v/>
      </c>
      <c r="AW384" s="100" t="str">
        <f aca="false">IF(ISBLANK($C384),"",IF($T384=Constants!$B$2,TRUE(),IF($T384=Constants!$B$3,FALSE(),FALSE())))</f>
        <v/>
      </c>
      <c r="AX384" s="100" t="str">
        <f aca="false">IF(ISBLANK($C384),"",IF(OR($U384&amp;""="1",$U384&amp;""="2",$U384&amp;""="3",$U384&amp;""="4"),VALUE($U384&amp;""),IF($U384=Constants!$B$12,Constants!$B$12,"")))</f>
        <v/>
      </c>
      <c r="AY384" s="100" t="str">
        <f aca="false">IF(ISBLANK($C384),"",IF(ISBLANK($V384),0,IF(ISNUMBER($V384),IF(AND($V384&gt;=0,$V384&lt;=Constants!$B$21,$V384=INT($V384)),$V384,""),"")))</f>
        <v/>
      </c>
      <c r="AZ384" s="100" t="str">
        <f aca="false">IF(ISBLANK($C384),"",IF(ISBLANK($W384),0,IF(ISNUMBER($W384),IF($W384&gt;=0,$W384,""),"")))</f>
        <v/>
      </c>
      <c r="BA384" s="100" t="str">
        <f aca="false">IF(ISBLANK($C384),"",IF($X384=Constants!$B$2,TRUE(),IF($X384=Constants!$B$3,FALSE(),TRUE())))</f>
        <v/>
      </c>
      <c r="BB384" s="100" t="str">
        <f aca="false">IF(ISBLANK($C384),"",IF($Y384=Constants!$B$2,TRUE(),IF($Y384=Constants!$B$3,FALSE(),FALSE())))</f>
        <v/>
      </c>
      <c r="BC384" s="100" t="str">
        <f aca="false">IF(ISBLANK($C384),"",IF(ISBLANK($Z384),0,IF(ISNUMBER($Z384),IF(AND($Z384&gt;=0,$Z384&lt;=Constants!$B$35,$Z384=INT($Z384)),$Z384,""),"")))</f>
        <v/>
      </c>
      <c r="BD384" s="100" t="str">
        <f aca="false">IF(ISBLANK($C384),"",IF($AA384=Constants!$B$2,TRUE(),IF($AA384=Constants!$B$3,FALSE(),TRUE())))</f>
        <v/>
      </c>
      <c r="BE384" s="100" t="str">
        <f aca="false">IF(ISBLANK($C384),"",IF($AB384=Constants!$B$2,TRUE(),IF($AB384=Constants!$B$3,FALSE(),TRUE())))</f>
        <v/>
      </c>
      <c r="BF384" s="100" t="str">
        <f aca="false">IF(ISBLANK($C384),"",IF(ISNUMBER($AC384),IF($AC384&gt;=0,$AC384,""),""))</f>
        <v/>
      </c>
      <c r="BG384" s="100" t="str">
        <f aca="false">IF(ISBLANK($C384),"",IF($AD384=Constants!$B$2,TRUE(),IF($AD384=Constants!$B$3,FALSE(),FALSE())))</f>
        <v/>
      </c>
      <c r="BH384" s="99" t="str">
        <f aca="false">IF(ISBLANK($C384),"",IF($BG384,Constants!$B$7,IF(COUNTA($E384:$AC384)=0,Constants!$B$6,IF(OR(COUNTA($G384:$AC384)=0,NOT($AK384),$AQ384),Constants!$B$5,IF(OR($CI384&lt;&gt;"",$CJ384,$CK384,$CL384,$CM384,$CN384,$CO384),Constants!$B$8,Constants!$B$4)))))</f>
        <v/>
      </c>
      <c r="BI384" s="100" t="str">
        <f aca="false">IF(ISBLANK($C384),"",IF($BH384&lt;&gt;Constants!$B$4,$BH384,IF(OR(NOT($AH384),NOT($AJ384),NOT($AR384)),Constants!$B$11,IF(OR(NOT($AP384),MAX($AL384,$AM384,$AN384)&gt;Constants!$B$30),Constants!$B$10,Constants!$B$9))))</f>
        <v/>
      </c>
      <c r="BJ384" s="100" t="str">
        <f aca="false">IF($BH384&lt;&gt;Constants!$B$4,"",IF(NOT($AJ384),0,MIN(Constants!$B$35,$BC384)))</f>
        <v/>
      </c>
      <c r="BK384" s="100" t="str">
        <f aca="false">IF($BH384&lt;&gt;Constants!$B$4,"",IF(NOT($AJ384),0,IF($AT384,Constants!$B$18,IF($AS384,Constants!$B$17,0))))</f>
        <v/>
      </c>
      <c r="BL384" s="100" t="str">
        <f aca="false">IF($BH384&lt;&gt;Constants!$B$4,"",IF(NOT($AJ384),0,Constants!$B$19*($AI384+$AU384+$AV384+$AW384)))</f>
        <v/>
      </c>
      <c r="BM384" s="100" t="str">
        <f aca="false">IF($BH384&lt;&gt;Constants!$B$4,"",IF(OR(NOT($AJ384),NOT(ISNUMBER($AX384))),0,CHOOSE($AX384,Constants!$B$13,Constants!$B$14,Constants!$B$15,Constants!$B$16)))</f>
        <v/>
      </c>
      <c r="BN384" s="100" t="str">
        <f aca="false">IF($BH384&lt;&gt;Constants!$B$4,"",IF(NOT($AJ384),0,Constants!$B$20*$AY384))</f>
        <v/>
      </c>
      <c r="BO384" s="100" t="str">
        <f aca="false">IF($BH384&lt;&gt;Constants!$B$4,"",IF(AND($AJ384,$BA384,$BB384),Constants!$B$22,0))</f>
        <v/>
      </c>
      <c r="BP384" s="100" t="str">
        <f aca="false">IF($BH384&lt;&gt;Constants!$B$4,"",IF(OR(NOT($AJ384),NOT($BA384)),0,IF($BF384&gt;=2*$AF$9,0,Constants!$B$23*INT(ROUND(MIN($BF384,$AF$9),6)))))</f>
        <v/>
      </c>
      <c r="BQ384" s="100" t="str">
        <f aca="false">IF($BH384&lt;&gt;Constants!$B$4,"",IF(NOT($AJ384),0,Constants!$B$24*INT(ROUND(MIN($AZ384,$AF$9),6))))</f>
        <v/>
      </c>
      <c r="BR384" s="100" t="str">
        <f aca="false">IF($BH384&lt;&gt;Constants!$B$4,"",IF(AND($AJ384,$BJ384=0),Constants!$B$25,0))</f>
        <v/>
      </c>
      <c r="BS384" s="100" t="str">
        <f aca="false">IF($BH384&lt;&gt;Constants!$B$4,"",MIN(Constants!$B$29,MAX(0,Constants!$B$27*Constants!$B$28*INT(ROUND((Constants!$B$26-$AL384)/Constants!$B$28,6))))+MIN(Constants!$B$29,MAX(0,Constants!$B$27*Constants!$B$28*INT(ROUND((Constants!$B$26-$AM384)/Constants!$B$28,6))))+MIN(Constants!$B$29,MAX(0,Constants!$B$27*Constants!$B$28*INT(ROUND((Constants!$B$26-$AN384)/Constants!$B$28,6)))))</f>
        <v/>
      </c>
      <c r="BT384" s="100" t="str">
        <f aca="false">IF($BH384&lt;&gt;Constants!$B$4,"",IF(NOT($AJ384),0,Constants!$B$31*INT(ROUND(MAX(0,MIN($BF384,2*$AF$9)-$AF$9),6))))</f>
        <v/>
      </c>
      <c r="BU384" s="100" t="str">
        <f aca="false">IF($BH384&lt;&gt;Constants!$B$4,"",Constants!$B$32*(($AL384&gt;Constants!$B$26)+($AM384&gt;Constants!$B$26)+($AN384&gt;Constants!$B$26)))</f>
        <v/>
      </c>
      <c r="BV384" s="100" t="str">
        <f aca="false">IF($BH384&lt;&gt;Constants!$B$4,"",IF(OR(NOT($AJ384),$AO384),0,Constants!$B$33))</f>
        <v/>
      </c>
      <c r="BW384" s="100" t="str">
        <f aca="false">IF($BH384&lt;&gt;Constants!$B$4,"",Constants!$B$34*$BJ384)</f>
        <v/>
      </c>
      <c r="BX384" s="100" t="str">
        <f aca="false">IF($BH384&lt;&gt;Constants!$B$4,"",IF(OR(NOT($AJ384),$BE384),0,Constants!$B$36))</f>
        <v/>
      </c>
      <c r="BY384" s="100" t="str">
        <f aca="false">IF($BH384&lt;&gt;Constants!$B$4,"",IF(OR(NOT($AJ384),$BD384),0,Constants!$B$37))</f>
        <v/>
      </c>
      <c r="BZ384" s="100" t="str">
        <f aca="false">IF($BH384&lt;&gt;Constants!$B$4,"",SUM($BT384:$BY384))</f>
        <v/>
      </c>
      <c r="CA384" s="100" t="str">
        <f aca="false">IF(ISBLANK($C384),"",IF($BH384&lt;&gt;Constants!$B$4,$BH384,SUM($BK384:$BS384)-$BZ384))</f>
        <v/>
      </c>
      <c r="CB384" s="100" t="str">
        <f aca="false">IF(ISBLANK($C384),"",IF($BH384&lt;&gt;Constants!$B$4,$BH384,RANK($CA384,$CA$9:$CA$508)))</f>
        <v/>
      </c>
      <c r="CC384" s="100" t="str">
        <f aca="false">IF(ISBLANK($C384),"",IF($BH384&lt;&gt;Constants!$B$4,$BH384,COUNTIFS($BI$9:$BI$508,"&lt;"&amp;$BI384)+COUNTIFS($BI$9:$BI$508,$BI384,$CB$9:$CB$508,"&lt;"&amp;$CB384)+1))</f>
        <v/>
      </c>
      <c r="CD384" s="100" t="str">
        <f aca="false">IF(ISBLANK($C384),"",IF($BH384&lt;&gt;Constants!$B$4,$BH384,RANK($BZ384,$BZ$9:$BZ$508,1)))</f>
        <v/>
      </c>
      <c r="CE384" s="100" t="str">
        <f aca="false">IF($BH384&lt;&gt;Constants!$B$4,"",$AL384+$AM384+$AN384)</f>
        <v/>
      </c>
      <c r="CF384" s="100" t="str">
        <f aca="false">IF(ISBLANK($C384),"",IF($BH384&lt;&gt;Constants!$B$4,$BH384,RANK($CE384,$CE$9:$CE$508,1)))</f>
        <v/>
      </c>
      <c r="CG384" s="100" t="str">
        <f aca="false">IF(ISBLANK($C384),"",IF($BH384&lt;&gt;Constants!$B$4,$BH384,COUNTIFS($BI$9:$BI$508,"&lt;"&amp;$BI384)+COUNTIFS($BI$9:$BI$508,$BI384,$CB$9:$CB$508,"&lt;"&amp;$CB384)+COUNTIFS($BI$9:$BI$508,$BI384,$CB$9:$CB$508,$CB384,$CD$9:$CD$508,"&lt;"&amp;$CD384)+COUNTIFS($BI$9:$BI$508,$BI384,$CB$9:$CB$508,$CB384,$CD$9:$CD$508,$CD384,$CF$9:$CF$508,"&lt;"&amp;$CF384)+1))</f>
        <v/>
      </c>
      <c r="CH384" s="100" t="str">
        <f aca="false">IF(ISBLANK($C384),"",IF($BH384&lt;&gt;Constants!$B$4,$BH384,$CC384-$CG384))</f>
        <v/>
      </c>
      <c r="CI384" s="100" t="str">
        <f aca="false">IF(ISBLANK($C384),"",IF(NOT($AJ384),"",IF(ISBLANK($D$7),$CI$5,IF(NOT(ISNUMBER($D$7)),$CI$6,""))))</f>
        <v/>
      </c>
      <c r="CJ384" s="100" t="str">
        <f aca="false">IF(ISBLANK($C384),"",OR($AL384="",$AM384="",$AN384=""))</f>
        <v/>
      </c>
      <c r="CK384" s="100" t="str">
        <f aca="false">IF(ISBLANK($C384),"",AND($AJ384,$AX384=""))</f>
        <v/>
      </c>
      <c r="CL384" s="100" t="str">
        <f aca="false">IF(ISBLANK($C384),"",AND($AJ384,$AY384=""))</f>
        <v/>
      </c>
      <c r="CM384" s="100" t="str">
        <f aca="false">IF(ISBLANK($C384),"",AND($AJ384,$AZ384=""))</f>
        <v/>
      </c>
      <c r="CN384" s="100" t="str">
        <f aca="false">IF(ISBLANK($C384),"",AND($AJ384,$BC384=""))</f>
        <v/>
      </c>
      <c r="CO384" s="100" t="str">
        <f aca="false">IF(ISBLANK($C384),"",AND($AJ384,$BF384=""))</f>
        <v/>
      </c>
      <c r="CP384" s="101"/>
      <c r="CQ384" s="102"/>
      <c r="CR384" s="103" t="str">
        <f aca="false">IF(ISBLANK($C384),"",IF($BH384=Constants!$B$8,$CI384,""))</f>
        <v/>
      </c>
      <c r="CS384" s="102" t="str">
        <f aca="false">IF(ISBLANK($C384),"",IF($BH384&lt;&gt;Constants!$B$4,"",$BK384+$BL384))</f>
        <v/>
      </c>
      <c r="CT384" s="104" t="str">
        <f aca="false">IF(ISBLANK($C384),"",IF($BH384&lt;&gt;Constants!$B$4,"",$BM384+$BN384+$BO384))</f>
        <v/>
      </c>
      <c r="CU384" s="104" t="str">
        <f aca="false">IF(ISBLANK($C384),"",IF($BH384&lt;&gt;Constants!$B$4,"",$BP384))</f>
        <v/>
      </c>
      <c r="CV384" s="104" t="str">
        <f aca="false">IF(ISBLANK($C384),"",IF($BH384&lt;&gt;Constants!$B$4,"",$BQ384+$BR384))</f>
        <v/>
      </c>
      <c r="CW384" s="104" t="str">
        <f aca="false">IF(ISBLANK($C384),"",IF($BH384&lt;&gt;Constants!$B$4,"",$BS384))</f>
        <v/>
      </c>
      <c r="CX384" s="104" t="str">
        <f aca="false">IF(ISBLANK($C384),"",IF($BH384&lt;&gt;Constants!$B$4,"",-$BZ384))</f>
        <v/>
      </c>
      <c r="CY384" s="103" t="str">
        <f aca="false">IF(ISBLANK($C384),"",$CA384)</f>
        <v/>
      </c>
      <c r="CZ384" s="105" t="str">
        <f aca="false">IF(ISBLANK($C384),"",$BI384)</f>
        <v/>
      </c>
      <c r="DA384" s="104" t="str">
        <f aca="false">IF(ISBLANK($C384),"",$CH384)</f>
        <v/>
      </c>
      <c r="DB384" s="104" t="str">
        <f aca="false">IF(ISBLANK($C384),"",$CG384)</f>
        <v/>
      </c>
      <c r="DC384" s="106" t="str">
        <f aca="false">IF(ISBLANK($C384),"",IFERROR(_xlfn.SWITCH($DB384,Constants!$B$7,COUNTA($C$9:$C$508)+2,Constants!$B$6,COUNTA($C$9:$C$508)+1,Constants!$B$5,COUNTA($C$9:$C$508)),$DB384))</f>
        <v/>
      </c>
      <c r="DD384" s="7"/>
      <c r="DE384" s="107" t="n">
        <f aca="false">IF(OR(ISNUMBER($DB384),$DB384=Constants!$B$7,$DB384=Constants!$B$5,$DB384=Constants!$B$6),1,0)</f>
        <v>0</v>
      </c>
      <c r="DF384" s="107" t="n">
        <v>376</v>
      </c>
      <c r="DG384" s="107" t="str">
        <f aca="false">IF(ISBLANK($C384),"",IF(ISNUMBER($DC384),$DC384+ROW($B384)/1000,""))</f>
        <v/>
      </c>
      <c r="DH384" s="107" t="str">
        <f aca="false">IF(ISNUMBER($DG384),RANK($DG384,$DG$9:$DG$508,1),"")</f>
        <v/>
      </c>
      <c r="DI384" s="107" t="str">
        <f aca="false">IF(ISBLANK($C384),"",$B384)</f>
        <v/>
      </c>
      <c r="DJ384" s="107" t="str">
        <f aca="false">IF(ISBLANK($C384),"",$C384)</f>
        <v/>
      </c>
      <c r="DK384" s="107" t="str">
        <f aca="false">IF(ISBLANK($C384),"",$D384)</f>
        <v/>
      </c>
      <c r="DL384" s="108" t="str">
        <f aca="false">$CZ384</f>
        <v/>
      </c>
      <c r="DM384" s="109" t="str">
        <f aca="false">$CY384</f>
        <v/>
      </c>
      <c r="DN384" s="107" t="str">
        <f aca="false">IF(ISBLANK($C384),"",$DB384)</f>
        <v/>
      </c>
      <c r="DO384" s="110" t="str">
        <f aca="false">IF($DF384&gt;$DE$8,"",VLOOKUP($DF384,$DH$9:$DN$508,7,FALSE()))</f>
        <v/>
      </c>
      <c r="DP384" s="111" t="str">
        <f aca="false">IF($DF384&gt;$DE$8,"",VLOOKUP($DF384,$DH$9:$DN$508,2,FALSE()))</f>
        <v/>
      </c>
      <c r="DQ384" s="111" t="str">
        <f aca="false">IF($DF384&gt;$DE$8,"",VLOOKUP($DF384,$DH$9:$DN$508,3,FALSE()))</f>
        <v/>
      </c>
      <c r="DR384" s="111" t="str">
        <f aca="false">IF($DF384&gt;$DE$8,"",VLOOKUP($DF384,$DH$9:$DN$508,4,FALSE()))</f>
        <v/>
      </c>
      <c r="DS384" s="111" t="str">
        <f aca="false">IF($DF384&gt;$DE$8,"",VLOOKUP($DF384,$DH$9:$DN$508,5,FALSE()))</f>
        <v/>
      </c>
      <c r="DT384" s="112" t="str">
        <f aca="false">IF($DF384&gt;$DE$8,"",VLOOKUP($DF384,$DH$9:$DN$508,6,FALSE()))</f>
        <v/>
      </c>
      <c r="DU384" s="62"/>
    </row>
    <row r="385" customFormat="false" ht="15.75" hidden="false" customHeight="false" outlineLevel="0" collapsed="false">
      <c r="A385" s="7"/>
      <c r="B385" s="90"/>
      <c r="C385" s="91"/>
      <c r="D385" s="126"/>
      <c r="E385" s="130"/>
      <c r="F385" s="135"/>
      <c r="G385" s="130"/>
      <c r="H385" s="135"/>
      <c r="I385" s="131"/>
      <c r="J385" s="131"/>
      <c r="K385" s="131"/>
      <c r="L385" s="130"/>
      <c r="M385" s="130"/>
      <c r="N385" s="130"/>
      <c r="O385" s="135"/>
      <c r="P385" s="130"/>
      <c r="Q385" s="130"/>
      <c r="R385" s="130"/>
      <c r="S385" s="130"/>
      <c r="T385" s="135"/>
      <c r="U385" s="130"/>
      <c r="V385" s="96"/>
      <c r="W385" s="130"/>
      <c r="X385" s="130"/>
      <c r="Y385" s="96"/>
      <c r="Z385" s="96"/>
      <c r="AA385" s="130"/>
      <c r="AB385" s="130"/>
      <c r="AC385" s="97"/>
      <c r="AD385" s="130"/>
      <c r="AE385" s="99"/>
      <c r="AF385" s="100"/>
      <c r="AG385" s="100"/>
      <c r="AH385" s="100" t="str">
        <f aca="false">IF(ISBLANK($C385),"",IF($E385=Constants!$B$2,TRUE(),IF($E385=Constants!$B$3,FALSE(),TRUE())))</f>
        <v/>
      </c>
      <c r="AI385" s="100" t="str">
        <f aca="false">IF(ISBLANK($C385),"",IF($F385=Constants!$B$2,TRUE(),IF($F385=Constants!$B$3,FALSE(),FALSE())))</f>
        <v/>
      </c>
      <c r="AJ385" s="100" t="str">
        <f aca="false">IF(ISBLANK($C385),"",IF($G385=Constants!$B$2,TRUE(),IF($G385=Constants!$B$3,FALSE(),TRUE())))</f>
        <v/>
      </c>
      <c r="AK385" s="100" t="str">
        <f aca="false">IF(ISBLANK($C385),"",IF($H385=Constants!$B$2,TRUE(),IF($H385=Constants!$B$3,FALSE(),TRUE())))</f>
        <v/>
      </c>
      <c r="AL385" s="100" t="str">
        <f aca="false">IF(ISBLANK($C385),"",IF(ISNUMBER($I385),IF($I385&gt;=0,$I385,""),""))</f>
        <v/>
      </c>
      <c r="AM385" s="100" t="str">
        <f aca="false">IF(ISBLANK($C385),"",IF(ISNUMBER($J385),IF($J385&gt;=0,$J385,""),""))</f>
        <v/>
      </c>
      <c r="AN385" s="100" t="str">
        <f aca="false">IF(ISBLANK($C385),"",IF(ISNUMBER($K385),IF($K385&gt;=0,$K385,""),""))</f>
        <v/>
      </c>
      <c r="AO385" s="100" t="str">
        <f aca="false">IF(ISBLANK($C385),"",IF($L385=Constants!$B$2,TRUE(),IF($L385=Constants!$B$3,FALSE(),TRUE())))</f>
        <v/>
      </c>
      <c r="AP385" s="100" t="str">
        <f aca="false">IF(ISBLANK($C385),"",IF($M385=Constants!$B$2,TRUE(),IF($M385=Constants!$B$3,FALSE(),TRUE())))</f>
        <v/>
      </c>
      <c r="AQ385" s="100" t="str">
        <f aca="false">IF(ISBLANK($C385),"",IF($N385=Constants!$B$2,TRUE(),IF($N385=Constants!$B$3,FALSE(),FALSE())))</f>
        <v/>
      </c>
      <c r="AR385" s="100" t="str">
        <f aca="false">IF(ISBLANK($C385),"",IF($O385=Constants!$B$2,TRUE(),IF($O385=Constants!$B$3,FALSE(),TRUE())))</f>
        <v/>
      </c>
      <c r="AS385" s="100" t="str">
        <f aca="false">IF(ISBLANK($C385),"",IF($P385=Constants!$B$2,TRUE(),IF($P385=Constants!$B$3,FALSE(),FALSE())))</f>
        <v/>
      </c>
      <c r="AT385" s="100" t="str">
        <f aca="false">IF(ISBLANK($C385),"",IF($Q385=Constants!$B$2,TRUE(),IF($Q385=Constants!$B$3,FALSE(),FALSE())))</f>
        <v/>
      </c>
      <c r="AU385" s="100" t="str">
        <f aca="false">IF(ISBLANK($C385),"",IF($R385=Constants!$B$2,TRUE(),IF($R385=Constants!$B$3,FALSE(),FALSE())))</f>
        <v/>
      </c>
      <c r="AV385" s="100" t="str">
        <f aca="false">IF(ISBLANK($C385),"",IF($S385=Constants!$B$2,TRUE(),IF($S385=Constants!$B$3,FALSE(),FALSE())))</f>
        <v/>
      </c>
      <c r="AW385" s="100" t="str">
        <f aca="false">IF(ISBLANK($C385),"",IF($T385=Constants!$B$2,TRUE(),IF($T385=Constants!$B$3,FALSE(),FALSE())))</f>
        <v/>
      </c>
      <c r="AX385" s="100" t="str">
        <f aca="false">IF(ISBLANK($C385),"",IF(OR($U385&amp;""="1",$U385&amp;""="2",$U385&amp;""="3",$U385&amp;""="4"),VALUE($U385&amp;""),IF($U385=Constants!$B$12,Constants!$B$12,"")))</f>
        <v/>
      </c>
      <c r="AY385" s="100" t="str">
        <f aca="false">IF(ISBLANK($C385),"",IF(ISBLANK($V385),0,IF(ISNUMBER($V385),IF(AND($V385&gt;=0,$V385&lt;=Constants!$B$21,$V385=INT($V385)),$V385,""),"")))</f>
        <v/>
      </c>
      <c r="AZ385" s="100" t="str">
        <f aca="false">IF(ISBLANK($C385),"",IF(ISBLANK($W385),0,IF(ISNUMBER($W385),IF($W385&gt;=0,$W385,""),"")))</f>
        <v/>
      </c>
      <c r="BA385" s="100" t="str">
        <f aca="false">IF(ISBLANK($C385),"",IF($X385=Constants!$B$2,TRUE(),IF($X385=Constants!$B$3,FALSE(),TRUE())))</f>
        <v/>
      </c>
      <c r="BB385" s="100" t="str">
        <f aca="false">IF(ISBLANK($C385),"",IF($Y385=Constants!$B$2,TRUE(),IF($Y385=Constants!$B$3,FALSE(),FALSE())))</f>
        <v/>
      </c>
      <c r="BC385" s="100" t="str">
        <f aca="false">IF(ISBLANK($C385),"",IF(ISBLANK($Z385),0,IF(ISNUMBER($Z385),IF(AND($Z385&gt;=0,$Z385&lt;=Constants!$B$35,$Z385=INT($Z385)),$Z385,""),"")))</f>
        <v/>
      </c>
      <c r="BD385" s="100" t="str">
        <f aca="false">IF(ISBLANK($C385),"",IF($AA385=Constants!$B$2,TRUE(),IF($AA385=Constants!$B$3,FALSE(),TRUE())))</f>
        <v/>
      </c>
      <c r="BE385" s="100" t="str">
        <f aca="false">IF(ISBLANK($C385),"",IF($AB385=Constants!$B$2,TRUE(),IF($AB385=Constants!$B$3,FALSE(),TRUE())))</f>
        <v/>
      </c>
      <c r="BF385" s="100" t="str">
        <f aca="false">IF(ISBLANK($C385),"",IF(ISNUMBER($AC385),IF($AC385&gt;=0,$AC385,""),""))</f>
        <v/>
      </c>
      <c r="BG385" s="100" t="str">
        <f aca="false">IF(ISBLANK($C385),"",IF($AD385=Constants!$B$2,TRUE(),IF($AD385=Constants!$B$3,FALSE(),FALSE())))</f>
        <v/>
      </c>
      <c r="BH385" s="99" t="str">
        <f aca="false">IF(ISBLANK($C385),"",IF($BG385,Constants!$B$7,IF(COUNTA($E385:$AC385)=0,Constants!$B$6,IF(OR(COUNTA($G385:$AC385)=0,NOT($AK385),$AQ385),Constants!$B$5,IF(OR($CI385&lt;&gt;"",$CJ385,$CK385,$CL385,$CM385,$CN385,$CO385),Constants!$B$8,Constants!$B$4)))))</f>
        <v/>
      </c>
      <c r="BI385" s="100" t="str">
        <f aca="false">IF(ISBLANK($C385),"",IF($BH385&lt;&gt;Constants!$B$4,$BH385,IF(OR(NOT($AH385),NOT($AJ385),NOT($AR385)),Constants!$B$11,IF(OR(NOT($AP385),MAX($AL385,$AM385,$AN385)&gt;Constants!$B$30),Constants!$B$10,Constants!$B$9))))</f>
        <v/>
      </c>
      <c r="BJ385" s="100" t="str">
        <f aca="false">IF($BH385&lt;&gt;Constants!$B$4,"",IF(NOT($AJ385),0,MIN(Constants!$B$35,$BC385)))</f>
        <v/>
      </c>
      <c r="BK385" s="100" t="str">
        <f aca="false">IF($BH385&lt;&gt;Constants!$B$4,"",IF(NOT($AJ385),0,IF($AT385,Constants!$B$18,IF($AS385,Constants!$B$17,0))))</f>
        <v/>
      </c>
      <c r="BL385" s="100" t="str">
        <f aca="false">IF($BH385&lt;&gt;Constants!$B$4,"",IF(NOT($AJ385),0,Constants!$B$19*($AI385+$AU385+$AV385+$AW385)))</f>
        <v/>
      </c>
      <c r="BM385" s="100" t="str">
        <f aca="false">IF($BH385&lt;&gt;Constants!$B$4,"",IF(OR(NOT($AJ385),NOT(ISNUMBER($AX385))),0,CHOOSE($AX385,Constants!$B$13,Constants!$B$14,Constants!$B$15,Constants!$B$16)))</f>
        <v/>
      </c>
      <c r="BN385" s="100" t="str">
        <f aca="false">IF($BH385&lt;&gt;Constants!$B$4,"",IF(NOT($AJ385),0,Constants!$B$20*$AY385))</f>
        <v/>
      </c>
      <c r="BO385" s="100" t="str">
        <f aca="false">IF($BH385&lt;&gt;Constants!$B$4,"",IF(AND($AJ385,$BA385,$BB385),Constants!$B$22,0))</f>
        <v/>
      </c>
      <c r="BP385" s="100" t="str">
        <f aca="false">IF($BH385&lt;&gt;Constants!$B$4,"",IF(OR(NOT($AJ385),NOT($BA385)),0,IF($BF385&gt;=2*$AF$9,0,Constants!$B$23*INT(ROUND(MIN($BF385,$AF$9),6)))))</f>
        <v/>
      </c>
      <c r="BQ385" s="100" t="str">
        <f aca="false">IF($BH385&lt;&gt;Constants!$B$4,"",IF(NOT($AJ385),0,Constants!$B$24*INT(ROUND(MIN($AZ385,$AF$9),6))))</f>
        <v/>
      </c>
      <c r="BR385" s="100" t="str">
        <f aca="false">IF($BH385&lt;&gt;Constants!$B$4,"",IF(AND($AJ385,$BJ385=0),Constants!$B$25,0))</f>
        <v/>
      </c>
      <c r="BS385" s="100" t="str">
        <f aca="false">IF($BH385&lt;&gt;Constants!$B$4,"",MIN(Constants!$B$29,MAX(0,Constants!$B$27*Constants!$B$28*INT(ROUND((Constants!$B$26-$AL385)/Constants!$B$28,6))))+MIN(Constants!$B$29,MAX(0,Constants!$B$27*Constants!$B$28*INT(ROUND((Constants!$B$26-$AM385)/Constants!$B$28,6))))+MIN(Constants!$B$29,MAX(0,Constants!$B$27*Constants!$B$28*INT(ROUND((Constants!$B$26-$AN385)/Constants!$B$28,6)))))</f>
        <v/>
      </c>
      <c r="BT385" s="100" t="str">
        <f aca="false">IF($BH385&lt;&gt;Constants!$B$4,"",IF(NOT($AJ385),0,Constants!$B$31*INT(ROUND(MAX(0,MIN($BF385,2*$AF$9)-$AF$9),6))))</f>
        <v/>
      </c>
      <c r="BU385" s="100" t="str">
        <f aca="false">IF($BH385&lt;&gt;Constants!$B$4,"",Constants!$B$32*(($AL385&gt;Constants!$B$26)+($AM385&gt;Constants!$B$26)+($AN385&gt;Constants!$B$26)))</f>
        <v/>
      </c>
      <c r="BV385" s="100" t="str">
        <f aca="false">IF($BH385&lt;&gt;Constants!$B$4,"",IF(OR(NOT($AJ385),$AO385),0,Constants!$B$33))</f>
        <v/>
      </c>
      <c r="BW385" s="100" t="str">
        <f aca="false">IF($BH385&lt;&gt;Constants!$B$4,"",Constants!$B$34*$BJ385)</f>
        <v/>
      </c>
      <c r="BX385" s="100" t="str">
        <f aca="false">IF($BH385&lt;&gt;Constants!$B$4,"",IF(OR(NOT($AJ385),$BE385),0,Constants!$B$36))</f>
        <v/>
      </c>
      <c r="BY385" s="100" t="str">
        <f aca="false">IF($BH385&lt;&gt;Constants!$B$4,"",IF(OR(NOT($AJ385),$BD385),0,Constants!$B$37))</f>
        <v/>
      </c>
      <c r="BZ385" s="100" t="str">
        <f aca="false">IF($BH385&lt;&gt;Constants!$B$4,"",SUM($BT385:$BY385))</f>
        <v/>
      </c>
      <c r="CA385" s="100" t="str">
        <f aca="false">IF(ISBLANK($C385),"",IF($BH385&lt;&gt;Constants!$B$4,$BH385,SUM($BK385:$BS385)-$BZ385))</f>
        <v/>
      </c>
      <c r="CB385" s="100" t="str">
        <f aca="false">IF(ISBLANK($C385),"",IF($BH385&lt;&gt;Constants!$B$4,$BH385,RANK($CA385,$CA$9:$CA$508)))</f>
        <v/>
      </c>
      <c r="CC385" s="100" t="str">
        <f aca="false">IF(ISBLANK($C385),"",IF($BH385&lt;&gt;Constants!$B$4,$BH385,COUNTIFS($BI$9:$BI$508,"&lt;"&amp;$BI385)+COUNTIFS($BI$9:$BI$508,$BI385,$CB$9:$CB$508,"&lt;"&amp;$CB385)+1))</f>
        <v/>
      </c>
      <c r="CD385" s="100" t="str">
        <f aca="false">IF(ISBLANK($C385),"",IF($BH385&lt;&gt;Constants!$B$4,$BH385,RANK($BZ385,$BZ$9:$BZ$508,1)))</f>
        <v/>
      </c>
      <c r="CE385" s="100" t="str">
        <f aca="false">IF($BH385&lt;&gt;Constants!$B$4,"",$AL385+$AM385+$AN385)</f>
        <v/>
      </c>
      <c r="CF385" s="100" t="str">
        <f aca="false">IF(ISBLANK($C385),"",IF($BH385&lt;&gt;Constants!$B$4,$BH385,RANK($CE385,$CE$9:$CE$508,1)))</f>
        <v/>
      </c>
      <c r="CG385" s="100" t="str">
        <f aca="false">IF(ISBLANK($C385),"",IF($BH385&lt;&gt;Constants!$B$4,$BH385,COUNTIFS($BI$9:$BI$508,"&lt;"&amp;$BI385)+COUNTIFS($BI$9:$BI$508,$BI385,$CB$9:$CB$508,"&lt;"&amp;$CB385)+COUNTIFS($BI$9:$BI$508,$BI385,$CB$9:$CB$508,$CB385,$CD$9:$CD$508,"&lt;"&amp;$CD385)+COUNTIFS($BI$9:$BI$508,$BI385,$CB$9:$CB$508,$CB385,$CD$9:$CD$508,$CD385,$CF$9:$CF$508,"&lt;"&amp;$CF385)+1))</f>
        <v/>
      </c>
      <c r="CH385" s="100" t="str">
        <f aca="false">IF(ISBLANK($C385),"",IF($BH385&lt;&gt;Constants!$B$4,$BH385,$CC385-$CG385))</f>
        <v/>
      </c>
      <c r="CI385" s="100" t="str">
        <f aca="false">IF(ISBLANK($C385),"",IF(NOT($AJ385),"",IF(ISBLANK($D$7),$CI$5,IF(NOT(ISNUMBER($D$7)),$CI$6,""))))</f>
        <v/>
      </c>
      <c r="CJ385" s="100" t="str">
        <f aca="false">IF(ISBLANK($C385),"",OR($AL385="",$AM385="",$AN385=""))</f>
        <v/>
      </c>
      <c r="CK385" s="100" t="str">
        <f aca="false">IF(ISBLANK($C385),"",AND($AJ385,$AX385=""))</f>
        <v/>
      </c>
      <c r="CL385" s="100" t="str">
        <f aca="false">IF(ISBLANK($C385),"",AND($AJ385,$AY385=""))</f>
        <v/>
      </c>
      <c r="CM385" s="100" t="str">
        <f aca="false">IF(ISBLANK($C385),"",AND($AJ385,$AZ385=""))</f>
        <v/>
      </c>
      <c r="CN385" s="100" t="str">
        <f aca="false">IF(ISBLANK($C385),"",AND($AJ385,$BC385=""))</f>
        <v/>
      </c>
      <c r="CO385" s="100" t="str">
        <f aca="false">IF(ISBLANK($C385),"",AND($AJ385,$BF385=""))</f>
        <v/>
      </c>
      <c r="CP385" s="101"/>
      <c r="CQ385" s="102"/>
      <c r="CR385" s="103" t="str">
        <f aca="false">IF(ISBLANK($C385),"",IF($BH385=Constants!$B$8,$CI385,""))</f>
        <v/>
      </c>
      <c r="CS385" s="102" t="str">
        <f aca="false">IF(ISBLANK($C385),"",IF($BH385&lt;&gt;Constants!$B$4,"",$BK385+$BL385))</f>
        <v/>
      </c>
      <c r="CT385" s="104" t="str">
        <f aca="false">IF(ISBLANK($C385),"",IF($BH385&lt;&gt;Constants!$B$4,"",$BM385+$BN385+$BO385))</f>
        <v/>
      </c>
      <c r="CU385" s="104" t="str">
        <f aca="false">IF(ISBLANK($C385),"",IF($BH385&lt;&gt;Constants!$B$4,"",$BP385))</f>
        <v/>
      </c>
      <c r="CV385" s="104" t="str">
        <f aca="false">IF(ISBLANK($C385),"",IF($BH385&lt;&gt;Constants!$B$4,"",$BQ385+$BR385))</f>
        <v/>
      </c>
      <c r="CW385" s="104" t="str">
        <f aca="false">IF(ISBLANK($C385),"",IF($BH385&lt;&gt;Constants!$B$4,"",$BS385))</f>
        <v/>
      </c>
      <c r="CX385" s="104" t="str">
        <f aca="false">IF(ISBLANK($C385),"",IF($BH385&lt;&gt;Constants!$B$4,"",-$BZ385))</f>
        <v/>
      </c>
      <c r="CY385" s="103" t="str">
        <f aca="false">IF(ISBLANK($C385),"",$CA385)</f>
        <v/>
      </c>
      <c r="CZ385" s="105" t="str">
        <f aca="false">IF(ISBLANK($C385),"",$BI385)</f>
        <v/>
      </c>
      <c r="DA385" s="104" t="str">
        <f aca="false">IF(ISBLANK($C385),"",$CH385)</f>
        <v/>
      </c>
      <c r="DB385" s="104" t="str">
        <f aca="false">IF(ISBLANK($C385),"",$CG385)</f>
        <v/>
      </c>
      <c r="DC385" s="106" t="str">
        <f aca="false">IF(ISBLANK($C385),"",IFERROR(_xlfn.SWITCH($DB385,Constants!$B$7,COUNTA($C$9:$C$508)+2,Constants!$B$6,COUNTA($C$9:$C$508)+1,Constants!$B$5,COUNTA($C$9:$C$508)),$DB385))</f>
        <v/>
      </c>
      <c r="DD385" s="7"/>
      <c r="DE385" s="107" t="n">
        <f aca="false">IF(OR(ISNUMBER($DB385),$DB385=Constants!$B$7,$DB385=Constants!$B$5,$DB385=Constants!$B$6),1,0)</f>
        <v>0</v>
      </c>
      <c r="DF385" s="107" t="n">
        <v>377</v>
      </c>
      <c r="DG385" s="107" t="str">
        <f aca="false">IF(ISBLANK($C385),"",IF(ISNUMBER($DC385),$DC385+ROW($B385)/1000,""))</f>
        <v/>
      </c>
      <c r="DH385" s="107" t="str">
        <f aca="false">IF(ISNUMBER($DG385),RANK($DG385,$DG$9:$DG$508,1),"")</f>
        <v/>
      </c>
      <c r="DI385" s="107" t="str">
        <f aca="false">IF(ISBLANK($C385),"",$B385)</f>
        <v/>
      </c>
      <c r="DJ385" s="107" t="str">
        <f aca="false">IF(ISBLANK($C385),"",$C385)</f>
        <v/>
      </c>
      <c r="DK385" s="107" t="str">
        <f aca="false">IF(ISBLANK($C385),"",$D385)</f>
        <v/>
      </c>
      <c r="DL385" s="108" t="str">
        <f aca="false">$CZ385</f>
        <v/>
      </c>
      <c r="DM385" s="109" t="str">
        <f aca="false">$CY385</f>
        <v/>
      </c>
      <c r="DN385" s="107" t="str">
        <f aca="false">IF(ISBLANK($C385),"",$DB385)</f>
        <v/>
      </c>
      <c r="DO385" s="110" t="str">
        <f aca="false">IF($DF385&gt;$DE$8,"",VLOOKUP($DF385,$DH$9:$DN$508,7,FALSE()))</f>
        <v/>
      </c>
      <c r="DP385" s="111" t="str">
        <f aca="false">IF($DF385&gt;$DE$8,"",VLOOKUP($DF385,$DH$9:$DN$508,2,FALSE()))</f>
        <v/>
      </c>
      <c r="DQ385" s="111" t="str">
        <f aca="false">IF($DF385&gt;$DE$8,"",VLOOKUP($DF385,$DH$9:$DN$508,3,FALSE()))</f>
        <v/>
      </c>
      <c r="DR385" s="111" t="str">
        <f aca="false">IF($DF385&gt;$DE$8,"",VLOOKUP($DF385,$DH$9:$DN$508,4,FALSE()))</f>
        <v/>
      </c>
      <c r="DS385" s="111" t="str">
        <f aca="false">IF($DF385&gt;$DE$8,"",VLOOKUP($DF385,$DH$9:$DN$508,5,FALSE()))</f>
        <v/>
      </c>
      <c r="DT385" s="112" t="str">
        <f aca="false">IF($DF385&gt;$DE$8,"",VLOOKUP($DF385,$DH$9:$DN$508,6,FALSE()))</f>
        <v/>
      </c>
      <c r="DU385" s="62"/>
    </row>
    <row r="386" customFormat="false" ht="15.75" hidden="false" customHeight="false" outlineLevel="0" collapsed="false">
      <c r="A386" s="7"/>
      <c r="B386" s="90"/>
      <c r="C386" s="91"/>
      <c r="D386" s="126"/>
      <c r="E386" s="130"/>
      <c r="F386" s="135"/>
      <c r="G386" s="130"/>
      <c r="H386" s="135"/>
      <c r="I386" s="131"/>
      <c r="J386" s="131"/>
      <c r="K386" s="131"/>
      <c r="L386" s="130"/>
      <c r="M386" s="130"/>
      <c r="N386" s="130"/>
      <c r="O386" s="135"/>
      <c r="P386" s="130"/>
      <c r="Q386" s="130"/>
      <c r="R386" s="130"/>
      <c r="S386" s="130"/>
      <c r="T386" s="135"/>
      <c r="U386" s="130"/>
      <c r="V386" s="96"/>
      <c r="W386" s="130"/>
      <c r="X386" s="130"/>
      <c r="Y386" s="96"/>
      <c r="Z386" s="96"/>
      <c r="AA386" s="130"/>
      <c r="AB386" s="130"/>
      <c r="AC386" s="97"/>
      <c r="AD386" s="130"/>
      <c r="AE386" s="99"/>
      <c r="AF386" s="100"/>
      <c r="AG386" s="100"/>
      <c r="AH386" s="100" t="str">
        <f aca="false">IF(ISBLANK($C386),"",IF($E386=Constants!$B$2,TRUE(),IF($E386=Constants!$B$3,FALSE(),TRUE())))</f>
        <v/>
      </c>
      <c r="AI386" s="100" t="str">
        <f aca="false">IF(ISBLANK($C386),"",IF($F386=Constants!$B$2,TRUE(),IF($F386=Constants!$B$3,FALSE(),FALSE())))</f>
        <v/>
      </c>
      <c r="AJ386" s="100" t="str">
        <f aca="false">IF(ISBLANK($C386),"",IF($G386=Constants!$B$2,TRUE(),IF($G386=Constants!$B$3,FALSE(),TRUE())))</f>
        <v/>
      </c>
      <c r="AK386" s="100" t="str">
        <f aca="false">IF(ISBLANK($C386),"",IF($H386=Constants!$B$2,TRUE(),IF($H386=Constants!$B$3,FALSE(),TRUE())))</f>
        <v/>
      </c>
      <c r="AL386" s="100" t="str">
        <f aca="false">IF(ISBLANK($C386),"",IF(ISNUMBER($I386),IF($I386&gt;=0,$I386,""),""))</f>
        <v/>
      </c>
      <c r="AM386" s="100" t="str">
        <f aca="false">IF(ISBLANK($C386),"",IF(ISNUMBER($J386),IF($J386&gt;=0,$J386,""),""))</f>
        <v/>
      </c>
      <c r="AN386" s="100" t="str">
        <f aca="false">IF(ISBLANK($C386),"",IF(ISNUMBER($K386),IF($K386&gt;=0,$K386,""),""))</f>
        <v/>
      </c>
      <c r="AO386" s="100" t="str">
        <f aca="false">IF(ISBLANK($C386),"",IF($L386=Constants!$B$2,TRUE(),IF($L386=Constants!$B$3,FALSE(),TRUE())))</f>
        <v/>
      </c>
      <c r="AP386" s="100" t="str">
        <f aca="false">IF(ISBLANK($C386),"",IF($M386=Constants!$B$2,TRUE(),IF($M386=Constants!$B$3,FALSE(),TRUE())))</f>
        <v/>
      </c>
      <c r="AQ386" s="100" t="str">
        <f aca="false">IF(ISBLANK($C386),"",IF($N386=Constants!$B$2,TRUE(),IF($N386=Constants!$B$3,FALSE(),FALSE())))</f>
        <v/>
      </c>
      <c r="AR386" s="100" t="str">
        <f aca="false">IF(ISBLANK($C386),"",IF($O386=Constants!$B$2,TRUE(),IF($O386=Constants!$B$3,FALSE(),TRUE())))</f>
        <v/>
      </c>
      <c r="AS386" s="100" t="str">
        <f aca="false">IF(ISBLANK($C386),"",IF($P386=Constants!$B$2,TRUE(),IF($P386=Constants!$B$3,FALSE(),FALSE())))</f>
        <v/>
      </c>
      <c r="AT386" s="100" t="str">
        <f aca="false">IF(ISBLANK($C386),"",IF($Q386=Constants!$B$2,TRUE(),IF($Q386=Constants!$B$3,FALSE(),FALSE())))</f>
        <v/>
      </c>
      <c r="AU386" s="100" t="str">
        <f aca="false">IF(ISBLANK($C386),"",IF($R386=Constants!$B$2,TRUE(),IF($R386=Constants!$B$3,FALSE(),FALSE())))</f>
        <v/>
      </c>
      <c r="AV386" s="100" t="str">
        <f aca="false">IF(ISBLANK($C386),"",IF($S386=Constants!$B$2,TRUE(),IF($S386=Constants!$B$3,FALSE(),FALSE())))</f>
        <v/>
      </c>
      <c r="AW386" s="100" t="str">
        <f aca="false">IF(ISBLANK($C386),"",IF($T386=Constants!$B$2,TRUE(),IF($T386=Constants!$B$3,FALSE(),FALSE())))</f>
        <v/>
      </c>
      <c r="AX386" s="100" t="str">
        <f aca="false">IF(ISBLANK($C386),"",IF(OR($U386&amp;""="1",$U386&amp;""="2",$U386&amp;""="3",$U386&amp;""="4"),VALUE($U386&amp;""),IF($U386=Constants!$B$12,Constants!$B$12,"")))</f>
        <v/>
      </c>
      <c r="AY386" s="100" t="str">
        <f aca="false">IF(ISBLANK($C386),"",IF(ISBLANK($V386),0,IF(ISNUMBER($V386),IF(AND($V386&gt;=0,$V386&lt;=Constants!$B$21,$V386=INT($V386)),$V386,""),"")))</f>
        <v/>
      </c>
      <c r="AZ386" s="100" t="str">
        <f aca="false">IF(ISBLANK($C386),"",IF(ISBLANK($W386),0,IF(ISNUMBER($W386),IF($W386&gt;=0,$W386,""),"")))</f>
        <v/>
      </c>
      <c r="BA386" s="100" t="str">
        <f aca="false">IF(ISBLANK($C386),"",IF($X386=Constants!$B$2,TRUE(),IF($X386=Constants!$B$3,FALSE(),TRUE())))</f>
        <v/>
      </c>
      <c r="BB386" s="100" t="str">
        <f aca="false">IF(ISBLANK($C386),"",IF($Y386=Constants!$B$2,TRUE(),IF($Y386=Constants!$B$3,FALSE(),FALSE())))</f>
        <v/>
      </c>
      <c r="BC386" s="100" t="str">
        <f aca="false">IF(ISBLANK($C386),"",IF(ISBLANK($Z386),0,IF(ISNUMBER($Z386),IF(AND($Z386&gt;=0,$Z386&lt;=Constants!$B$35,$Z386=INT($Z386)),$Z386,""),"")))</f>
        <v/>
      </c>
      <c r="BD386" s="100" t="str">
        <f aca="false">IF(ISBLANK($C386),"",IF($AA386=Constants!$B$2,TRUE(),IF($AA386=Constants!$B$3,FALSE(),TRUE())))</f>
        <v/>
      </c>
      <c r="BE386" s="100" t="str">
        <f aca="false">IF(ISBLANK($C386),"",IF($AB386=Constants!$B$2,TRUE(),IF($AB386=Constants!$B$3,FALSE(),TRUE())))</f>
        <v/>
      </c>
      <c r="BF386" s="100" t="str">
        <f aca="false">IF(ISBLANK($C386),"",IF(ISNUMBER($AC386),IF($AC386&gt;=0,$AC386,""),""))</f>
        <v/>
      </c>
      <c r="BG386" s="100" t="str">
        <f aca="false">IF(ISBLANK($C386),"",IF($AD386=Constants!$B$2,TRUE(),IF($AD386=Constants!$B$3,FALSE(),FALSE())))</f>
        <v/>
      </c>
      <c r="BH386" s="99" t="str">
        <f aca="false">IF(ISBLANK($C386),"",IF($BG386,Constants!$B$7,IF(COUNTA($E386:$AC386)=0,Constants!$B$6,IF(OR(COUNTA($G386:$AC386)=0,NOT($AK386),$AQ386),Constants!$B$5,IF(OR($CI386&lt;&gt;"",$CJ386,$CK386,$CL386,$CM386,$CN386,$CO386),Constants!$B$8,Constants!$B$4)))))</f>
        <v/>
      </c>
      <c r="BI386" s="100" t="str">
        <f aca="false">IF(ISBLANK($C386),"",IF($BH386&lt;&gt;Constants!$B$4,$BH386,IF(OR(NOT($AH386),NOT($AJ386),NOT($AR386)),Constants!$B$11,IF(OR(NOT($AP386),MAX($AL386,$AM386,$AN386)&gt;Constants!$B$30),Constants!$B$10,Constants!$B$9))))</f>
        <v/>
      </c>
      <c r="BJ386" s="100" t="str">
        <f aca="false">IF($BH386&lt;&gt;Constants!$B$4,"",IF(NOT($AJ386),0,MIN(Constants!$B$35,$BC386)))</f>
        <v/>
      </c>
      <c r="BK386" s="100" t="str">
        <f aca="false">IF($BH386&lt;&gt;Constants!$B$4,"",IF(NOT($AJ386),0,IF($AT386,Constants!$B$18,IF($AS386,Constants!$B$17,0))))</f>
        <v/>
      </c>
      <c r="BL386" s="100" t="str">
        <f aca="false">IF($BH386&lt;&gt;Constants!$B$4,"",IF(NOT($AJ386),0,Constants!$B$19*($AI386+$AU386+$AV386+$AW386)))</f>
        <v/>
      </c>
      <c r="BM386" s="100" t="str">
        <f aca="false">IF($BH386&lt;&gt;Constants!$B$4,"",IF(OR(NOT($AJ386),NOT(ISNUMBER($AX386))),0,CHOOSE($AX386,Constants!$B$13,Constants!$B$14,Constants!$B$15,Constants!$B$16)))</f>
        <v/>
      </c>
      <c r="BN386" s="100" t="str">
        <f aca="false">IF($BH386&lt;&gt;Constants!$B$4,"",IF(NOT($AJ386),0,Constants!$B$20*$AY386))</f>
        <v/>
      </c>
      <c r="BO386" s="100" t="str">
        <f aca="false">IF($BH386&lt;&gt;Constants!$B$4,"",IF(AND($AJ386,$BA386,$BB386),Constants!$B$22,0))</f>
        <v/>
      </c>
      <c r="BP386" s="100" t="str">
        <f aca="false">IF($BH386&lt;&gt;Constants!$B$4,"",IF(OR(NOT($AJ386),NOT($BA386)),0,IF($BF386&gt;=2*$AF$9,0,Constants!$B$23*INT(ROUND(MIN($BF386,$AF$9),6)))))</f>
        <v/>
      </c>
      <c r="BQ386" s="100" t="str">
        <f aca="false">IF($BH386&lt;&gt;Constants!$B$4,"",IF(NOT($AJ386),0,Constants!$B$24*INT(ROUND(MIN($AZ386,$AF$9),6))))</f>
        <v/>
      </c>
      <c r="BR386" s="100" t="str">
        <f aca="false">IF($BH386&lt;&gt;Constants!$B$4,"",IF(AND($AJ386,$BJ386=0),Constants!$B$25,0))</f>
        <v/>
      </c>
      <c r="BS386" s="100" t="str">
        <f aca="false">IF($BH386&lt;&gt;Constants!$B$4,"",MIN(Constants!$B$29,MAX(0,Constants!$B$27*Constants!$B$28*INT(ROUND((Constants!$B$26-$AL386)/Constants!$B$28,6))))+MIN(Constants!$B$29,MAX(0,Constants!$B$27*Constants!$B$28*INT(ROUND((Constants!$B$26-$AM386)/Constants!$B$28,6))))+MIN(Constants!$B$29,MAX(0,Constants!$B$27*Constants!$B$28*INT(ROUND((Constants!$B$26-$AN386)/Constants!$B$28,6)))))</f>
        <v/>
      </c>
      <c r="BT386" s="100" t="str">
        <f aca="false">IF($BH386&lt;&gt;Constants!$B$4,"",IF(NOT($AJ386),0,Constants!$B$31*INT(ROUND(MAX(0,MIN($BF386,2*$AF$9)-$AF$9),6))))</f>
        <v/>
      </c>
      <c r="BU386" s="100" t="str">
        <f aca="false">IF($BH386&lt;&gt;Constants!$B$4,"",Constants!$B$32*(($AL386&gt;Constants!$B$26)+($AM386&gt;Constants!$B$26)+($AN386&gt;Constants!$B$26)))</f>
        <v/>
      </c>
      <c r="BV386" s="100" t="str">
        <f aca="false">IF($BH386&lt;&gt;Constants!$B$4,"",IF(OR(NOT($AJ386),$AO386),0,Constants!$B$33))</f>
        <v/>
      </c>
      <c r="BW386" s="100" t="str">
        <f aca="false">IF($BH386&lt;&gt;Constants!$B$4,"",Constants!$B$34*$BJ386)</f>
        <v/>
      </c>
      <c r="BX386" s="100" t="str">
        <f aca="false">IF($BH386&lt;&gt;Constants!$B$4,"",IF(OR(NOT($AJ386),$BE386),0,Constants!$B$36))</f>
        <v/>
      </c>
      <c r="BY386" s="100" t="str">
        <f aca="false">IF($BH386&lt;&gt;Constants!$B$4,"",IF(OR(NOT($AJ386),$BD386),0,Constants!$B$37))</f>
        <v/>
      </c>
      <c r="BZ386" s="100" t="str">
        <f aca="false">IF($BH386&lt;&gt;Constants!$B$4,"",SUM($BT386:$BY386))</f>
        <v/>
      </c>
      <c r="CA386" s="100" t="str">
        <f aca="false">IF(ISBLANK($C386),"",IF($BH386&lt;&gt;Constants!$B$4,$BH386,SUM($BK386:$BS386)-$BZ386))</f>
        <v/>
      </c>
      <c r="CB386" s="100" t="str">
        <f aca="false">IF(ISBLANK($C386),"",IF($BH386&lt;&gt;Constants!$B$4,$BH386,RANK($CA386,$CA$9:$CA$508)))</f>
        <v/>
      </c>
      <c r="CC386" s="100" t="str">
        <f aca="false">IF(ISBLANK($C386),"",IF($BH386&lt;&gt;Constants!$B$4,$BH386,COUNTIFS($BI$9:$BI$508,"&lt;"&amp;$BI386)+COUNTIFS($BI$9:$BI$508,$BI386,$CB$9:$CB$508,"&lt;"&amp;$CB386)+1))</f>
        <v/>
      </c>
      <c r="CD386" s="100" t="str">
        <f aca="false">IF(ISBLANK($C386),"",IF($BH386&lt;&gt;Constants!$B$4,$BH386,RANK($BZ386,$BZ$9:$BZ$508,1)))</f>
        <v/>
      </c>
      <c r="CE386" s="100" t="str">
        <f aca="false">IF($BH386&lt;&gt;Constants!$B$4,"",$AL386+$AM386+$AN386)</f>
        <v/>
      </c>
      <c r="CF386" s="100" t="str">
        <f aca="false">IF(ISBLANK($C386),"",IF($BH386&lt;&gt;Constants!$B$4,$BH386,RANK($CE386,$CE$9:$CE$508,1)))</f>
        <v/>
      </c>
      <c r="CG386" s="100" t="str">
        <f aca="false">IF(ISBLANK($C386),"",IF($BH386&lt;&gt;Constants!$B$4,$BH386,COUNTIFS($BI$9:$BI$508,"&lt;"&amp;$BI386)+COUNTIFS($BI$9:$BI$508,$BI386,$CB$9:$CB$508,"&lt;"&amp;$CB386)+COUNTIFS($BI$9:$BI$508,$BI386,$CB$9:$CB$508,$CB386,$CD$9:$CD$508,"&lt;"&amp;$CD386)+COUNTIFS($BI$9:$BI$508,$BI386,$CB$9:$CB$508,$CB386,$CD$9:$CD$508,$CD386,$CF$9:$CF$508,"&lt;"&amp;$CF386)+1))</f>
        <v/>
      </c>
      <c r="CH386" s="100" t="str">
        <f aca="false">IF(ISBLANK($C386),"",IF($BH386&lt;&gt;Constants!$B$4,$BH386,$CC386-$CG386))</f>
        <v/>
      </c>
      <c r="CI386" s="100" t="str">
        <f aca="false">IF(ISBLANK($C386),"",IF(NOT($AJ386),"",IF(ISBLANK($D$7),$CI$5,IF(NOT(ISNUMBER($D$7)),$CI$6,""))))</f>
        <v/>
      </c>
      <c r="CJ386" s="100" t="str">
        <f aca="false">IF(ISBLANK($C386),"",OR($AL386="",$AM386="",$AN386=""))</f>
        <v/>
      </c>
      <c r="CK386" s="100" t="str">
        <f aca="false">IF(ISBLANK($C386),"",AND($AJ386,$AX386=""))</f>
        <v/>
      </c>
      <c r="CL386" s="100" t="str">
        <f aca="false">IF(ISBLANK($C386),"",AND($AJ386,$AY386=""))</f>
        <v/>
      </c>
      <c r="CM386" s="100" t="str">
        <f aca="false">IF(ISBLANK($C386),"",AND($AJ386,$AZ386=""))</f>
        <v/>
      </c>
      <c r="CN386" s="100" t="str">
        <f aca="false">IF(ISBLANK($C386),"",AND($AJ386,$BC386=""))</f>
        <v/>
      </c>
      <c r="CO386" s="100" t="str">
        <f aca="false">IF(ISBLANK($C386),"",AND($AJ386,$BF386=""))</f>
        <v/>
      </c>
      <c r="CP386" s="101"/>
      <c r="CQ386" s="102"/>
      <c r="CR386" s="103" t="str">
        <f aca="false">IF(ISBLANK($C386),"",IF($BH386=Constants!$B$8,$CI386,""))</f>
        <v/>
      </c>
      <c r="CS386" s="102" t="str">
        <f aca="false">IF(ISBLANK($C386),"",IF($BH386&lt;&gt;Constants!$B$4,"",$BK386+$BL386))</f>
        <v/>
      </c>
      <c r="CT386" s="104" t="str">
        <f aca="false">IF(ISBLANK($C386),"",IF($BH386&lt;&gt;Constants!$B$4,"",$BM386+$BN386+$BO386))</f>
        <v/>
      </c>
      <c r="CU386" s="104" t="str">
        <f aca="false">IF(ISBLANK($C386),"",IF($BH386&lt;&gt;Constants!$B$4,"",$BP386))</f>
        <v/>
      </c>
      <c r="CV386" s="104" t="str">
        <f aca="false">IF(ISBLANK($C386),"",IF($BH386&lt;&gt;Constants!$B$4,"",$BQ386+$BR386))</f>
        <v/>
      </c>
      <c r="CW386" s="104" t="str">
        <f aca="false">IF(ISBLANK($C386),"",IF($BH386&lt;&gt;Constants!$B$4,"",$BS386))</f>
        <v/>
      </c>
      <c r="CX386" s="104" t="str">
        <f aca="false">IF(ISBLANK($C386),"",IF($BH386&lt;&gt;Constants!$B$4,"",-$BZ386))</f>
        <v/>
      </c>
      <c r="CY386" s="103" t="str">
        <f aca="false">IF(ISBLANK($C386),"",$CA386)</f>
        <v/>
      </c>
      <c r="CZ386" s="105" t="str">
        <f aca="false">IF(ISBLANK($C386),"",$BI386)</f>
        <v/>
      </c>
      <c r="DA386" s="104" t="str">
        <f aca="false">IF(ISBLANK($C386),"",$CH386)</f>
        <v/>
      </c>
      <c r="DB386" s="104" t="str">
        <f aca="false">IF(ISBLANK($C386),"",$CG386)</f>
        <v/>
      </c>
      <c r="DC386" s="106" t="str">
        <f aca="false">IF(ISBLANK($C386),"",IFERROR(_xlfn.SWITCH($DB386,Constants!$B$7,COUNTA($C$9:$C$508)+2,Constants!$B$6,COUNTA($C$9:$C$508)+1,Constants!$B$5,COUNTA($C$9:$C$508)),$DB386))</f>
        <v/>
      </c>
      <c r="DD386" s="7"/>
      <c r="DE386" s="107" t="n">
        <f aca="false">IF(OR(ISNUMBER($DB386),$DB386=Constants!$B$7,$DB386=Constants!$B$5,$DB386=Constants!$B$6),1,0)</f>
        <v>0</v>
      </c>
      <c r="DF386" s="107" t="n">
        <v>378</v>
      </c>
      <c r="DG386" s="107" t="str">
        <f aca="false">IF(ISBLANK($C386),"",IF(ISNUMBER($DC386),$DC386+ROW($B386)/1000,""))</f>
        <v/>
      </c>
      <c r="DH386" s="107" t="str">
        <f aca="false">IF(ISNUMBER($DG386),RANK($DG386,$DG$9:$DG$508,1),"")</f>
        <v/>
      </c>
      <c r="DI386" s="107" t="str">
        <f aca="false">IF(ISBLANK($C386),"",$B386)</f>
        <v/>
      </c>
      <c r="DJ386" s="107" t="str">
        <f aca="false">IF(ISBLANK($C386),"",$C386)</f>
        <v/>
      </c>
      <c r="DK386" s="107" t="str">
        <f aca="false">IF(ISBLANK($C386),"",$D386)</f>
        <v/>
      </c>
      <c r="DL386" s="108" t="str">
        <f aca="false">$CZ386</f>
        <v/>
      </c>
      <c r="DM386" s="109" t="str">
        <f aca="false">$CY386</f>
        <v/>
      </c>
      <c r="DN386" s="107" t="str">
        <f aca="false">IF(ISBLANK($C386),"",$DB386)</f>
        <v/>
      </c>
      <c r="DO386" s="110" t="str">
        <f aca="false">IF($DF386&gt;$DE$8,"",VLOOKUP($DF386,$DH$9:$DN$508,7,FALSE()))</f>
        <v/>
      </c>
      <c r="DP386" s="111" t="str">
        <f aca="false">IF($DF386&gt;$DE$8,"",VLOOKUP($DF386,$DH$9:$DN$508,2,FALSE()))</f>
        <v/>
      </c>
      <c r="DQ386" s="111" t="str">
        <f aca="false">IF($DF386&gt;$DE$8,"",VLOOKUP($DF386,$DH$9:$DN$508,3,FALSE()))</f>
        <v/>
      </c>
      <c r="DR386" s="111" t="str">
        <f aca="false">IF($DF386&gt;$DE$8,"",VLOOKUP($DF386,$DH$9:$DN$508,4,FALSE()))</f>
        <v/>
      </c>
      <c r="DS386" s="111" t="str">
        <f aca="false">IF($DF386&gt;$DE$8,"",VLOOKUP($DF386,$DH$9:$DN$508,5,FALSE()))</f>
        <v/>
      </c>
      <c r="DT386" s="112" t="str">
        <f aca="false">IF($DF386&gt;$DE$8,"",VLOOKUP($DF386,$DH$9:$DN$508,6,FALSE()))</f>
        <v/>
      </c>
      <c r="DU386" s="62"/>
    </row>
    <row r="387" customFormat="false" ht="15.75" hidden="false" customHeight="false" outlineLevel="0" collapsed="false">
      <c r="A387" s="7"/>
      <c r="B387" s="64"/>
      <c r="C387" s="65"/>
      <c r="D387" s="123"/>
      <c r="E387" s="88"/>
      <c r="F387" s="134"/>
      <c r="G387" s="88"/>
      <c r="H387" s="134"/>
      <c r="I387" s="119"/>
      <c r="J387" s="119"/>
      <c r="K387" s="119"/>
      <c r="L387" s="88"/>
      <c r="M387" s="88"/>
      <c r="N387" s="88"/>
      <c r="O387" s="134"/>
      <c r="P387" s="88"/>
      <c r="Q387" s="88"/>
      <c r="R387" s="88"/>
      <c r="S387" s="88"/>
      <c r="T387" s="134"/>
      <c r="U387" s="88"/>
      <c r="V387" s="70"/>
      <c r="W387" s="88"/>
      <c r="X387" s="88"/>
      <c r="Y387" s="70"/>
      <c r="Z387" s="70"/>
      <c r="AA387" s="88"/>
      <c r="AB387" s="88"/>
      <c r="AC387" s="71"/>
      <c r="AD387" s="88"/>
      <c r="AE387" s="73"/>
      <c r="AF387" s="74"/>
      <c r="AG387" s="74"/>
      <c r="AH387" s="74" t="str">
        <f aca="false">IF(ISBLANK($C387),"",IF($E387=Constants!$B$2,TRUE(),IF($E387=Constants!$B$3,FALSE(),TRUE())))</f>
        <v/>
      </c>
      <c r="AI387" s="74" t="str">
        <f aca="false">IF(ISBLANK($C387),"",IF($F387=Constants!$B$2,TRUE(),IF($F387=Constants!$B$3,FALSE(),FALSE())))</f>
        <v/>
      </c>
      <c r="AJ387" s="74" t="str">
        <f aca="false">IF(ISBLANK($C387),"",IF($G387=Constants!$B$2,TRUE(),IF($G387=Constants!$B$3,FALSE(),TRUE())))</f>
        <v/>
      </c>
      <c r="AK387" s="74" t="str">
        <f aca="false">IF(ISBLANK($C387),"",IF($H387=Constants!$B$2,TRUE(),IF($H387=Constants!$B$3,FALSE(),TRUE())))</f>
        <v/>
      </c>
      <c r="AL387" s="74" t="str">
        <f aca="false">IF(ISBLANK($C387),"",IF(ISNUMBER($I387),IF($I387&gt;=0,$I387,""),""))</f>
        <v/>
      </c>
      <c r="AM387" s="74" t="str">
        <f aca="false">IF(ISBLANK($C387),"",IF(ISNUMBER($J387),IF($J387&gt;=0,$J387,""),""))</f>
        <v/>
      </c>
      <c r="AN387" s="74" t="str">
        <f aca="false">IF(ISBLANK($C387),"",IF(ISNUMBER($K387),IF($K387&gt;=0,$K387,""),""))</f>
        <v/>
      </c>
      <c r="AO387" s="74" t="str">
        <f aca="false">IF(ISBLANK($C387),"",IF($L387=Constants!$B$2,TRUE(),IF($L387=Constants!$B$3,FALSE(),TRUE())))</f>
        <v/>
      </c>
      <c r="AP387" s="74" t="str">
        <f aca="false">IF(ISBLANK($C387),"",IF($M387=Constants!$B$2,TRUE(),IF($M387=Constants!$B$3,FALSE(),TRUE())))</f>
        <v/>
      </c>
      <c r="AQ387" s="74" t="str">
        <f aca="false">IF(ISBLANK($C387),"",IF($N387=Constants!$B$2,TRUE(),IF($N387=Constants!$B$3,FALSE(),FALSE())))</f>
        <v/>
      </c>
      <c r="AR387" s="74" t="str">
        <f aca="false">IF(ISBLANK($C387),"",IF($O387=Constants!$B$2,TRUE(),IF($O387=Constants!$B$3,FALSE(),TRUE())))</f>
        <v/>
      </c>
      <c r="AS387" s="74" t="str">
        <f aca="false">IF(ISBLANK($C387),"",IF($P387=Constants!$B$2,TRUE(),IF($P387=Constants!$B$3,FALSE(),FALSE())))</f>
        <v/>
      </c>
      <c r="AT387" s="74" t="str">
        <f aca="false">IF(ISBLANK($C387),"",IF($Q387=Constants!$B$2,TRUE(),IF($Q387=Constants!$B$3,FALSE(),FALSE())))</f>
        <v/>
      </c>
      <c r="AU387" s="74" t="str">
        <f aca="false">IF(ISBLANK($C387),"",IF($R387=Constants!$B$2,TRUE(),IF($R387=Constants!$B$3,FALSE(),FALSE())))</f>
        <v/>
      </c>
      <c r="AV387" s="74" t="str">
        <f aca="false">IF(ISBLANK($C387),"",IF($S387=Constants!$B$2,TRUE(),IF($S387=Constants!$B$3,FALSE(),FALSE())))</f>
        <v/>
      </c>
      <c r="AW387" s="74" t="str">
        <f aca="false">IF(ISBLANK($C387),"",IF($T387=Constants!$B$2,TRUE(),IF($T387=Constants!$B$3,FALSE(),FALSE())))</f>
        <v/>
      </c>
      <c r="AX387" s="74" t="str">
        <f aca="false">IF(ISBLANK($C387),"",IF(OR($U387&amp;""="1",$U387&amp;""="2",$U387&amp;""="3",$U387&amp;""="4"),VALUE($U387&amp;""),IF($U387=Constants!$B$12,Constants!$B$12,"")))</f>
        <v/>
      </c>
      <c r="AY387" s="74" t="str">
        <f aca="false">IF(ISBLANK($C387),"",IF(ISBLANK($V387),0,IF(ISNUMBER($V387),IF(AND($V387&gt;=0,$V387&lt;=Constants!$B$21,$V387=INT($V387)),$V387,""),"")))</f>
        <v/>
      </c>
      <c r="AZ387" s="74" t="str">
        <f aca="false">IF(ISBLANK($C387),"",IF(ISBLANK($W387),0,IF(ISNUMBER($W387),IF($W387&gt;=0,$W387,""),"")))</f>
        <v/>
      </c>
      <c r="BA387" s="74" t="str">
        <f aca="false">IF(ISBLANK($C387),"",IF($X387=Constants!$B$2,TRUE(),IF($X387=Constants!$B$3,FALSE(),TRUE())))</f>
        <v/>
      </c>
      <c r="BB387" s="74" t="str">
        <f aca="false">IF(ISBLANK($C387),"",IF($Y387=Constants!$B$2,TRUE(),IF($Y387=Constants!$B$3,FALSE(),FALSE())))</f>
        <v/>
      </c>
      <c r="BC387" s="74" t="str">
        <f aca="false">IF(ISBLANK($C387),"",IF(ISBLANK($Z387),0,IF(ISNUMBER($Z387),IF(AND($Z387&gt;=0,$Z387&lt;=Constants!$B$35,$Z387=INT($Z387)),$Z387,""),"")))</f>
        <v/>
      </c>
      <c r="BD387" s="74" t="str">
        <f aca="false">IF(ISBLANK($C387),"",IF($AA387=Constants!$B$2,TRUE(),IF($AA387=Constants!$B$3,FALSE(),TRUE())))</f>
        <v/>
      </c>
      <c r="BE387" s="74" t="str">
        <f aca="false">IF(ISBLANK($C387),"",IF($AB387=Constants!$B$2,TRUE(),IF($AB387=Constants!$B$3,FALSE(),TRUE())))</f>
        <v/>
      </c>
      <c r="BF387" s="74" t="str">
        <f aca="false">IF(ISBLANK($C387),"",IF(ISNUMBER($AC387),IF($AC387&gt;=0,$AC387,""),""))</f>
        <v/>
      </c>
      <c r="BG387" s="74" t="str">
        <f aca="false">IF(ISBLANK($C387),"",IF($AD387=Constants!$B$2,TRUE(),IF($AD387=Constants!$B$3,FALSE(),FALSE())))</f>
        <v/>
      </c>
      <c r="BH387" s="73" t="str">
        <f aca="false">IF(ISBLANK($C387),"",IF($BG387,Constants!$B$7,IF(COUNTA($E387:$AC387)=0,Constants!$B$6,IF(OR(COUNTA($G387:$AC387)=0,NOT($AK387),$AQ387),Constants!$B$5,IF(OR($CI387&lt;&gt;"",$CJ387,$CK387,$CL387,$CM387,$CN387,$CO387),Constants!$B$8,Constants!$B$4)))))</f>
        <v/>
      </c>
      <c r="BI387" s="74" t="str">
        <f aca="false">IF(ISBLANK($C387),"",IF($BH387&lt;&gt;Constants!$B$4,$BH387,IF(OR(NOT($AH387),NOT($AJ387),NOT($AR387)),Constants!$B$11,IF(OR(NOT($AP387),MAX($AL387,$AM387,$AN387)&gt;Constants!$B$30),Constants!$B$10,Constants!$B$9))))</f>
        <v/>
      </c>
      <c r="BJ387" s="74" t="str">
        <f aca="false">IF($BH387&lt;&gt;Constants!$B$4,"",IF(NOT($AJ387),0,MIN(Constants!$B$35,$BC387)))</f>
        <v/>
      </c>
      <c r="BK387" s="74" t="str">
        <f aca="false">IF($BH387&lt;&gt;Constants!$B$4,"",IF(NOT($AJ387),0,IF($AT387,Constants!$B$18,IF($AS387,Constants!$B$17,0))))</f>
        <v/>
      </c>
      <c r="BL387" s="74" t="str">
        <f aca="false">IF($BH387&lt;&gt;Constants!$B$4,"",IF(NOT($AJ387),0,Constants!$B$19*($AI387+$AU387+$AV387+$AW387)))</f>
        <v/>
      </c>
      <c r="BM387" s="74" t="str">
        <f aca="false">IF($BH387&lt;&gt;Constants!$B$4,"",IF(OR(NOT($AJ387),NOT(ISNUMBER($AX387))),0,CHOOSE($AX387,Constants!$B$13,Constants!$B$14,Constants!$B$15,Constants!$B$16)))</f>
        <v/>
      </c>
      <c r="BN387" s="74" t="str">
        <f aca="false">IF($BH387&lt;&gt;Constants!$B$4,"",IF(NOT($AJ387),0,Constants!$B$20*$AY387))</f>
        <v/>
      </c>
      <c r="BO387" s="74" t="str">
        <f aca="false">IF($BH387&lt;&gt;Constants!$B$4,"",IF(AND($AJ387,$BA387,$BB387),Constants!$B$22,0))</f>
        <v/>
      </c>
      <c r="BP387" s="74" t="str">
        <f aca="false">IF($BH387&lt;&gt;Constants!$B$4,"",IF(OR(NOT($AJ387),NOT($BA387)),0,IF($BF387&gt;=2*$AF$9,0,Constants!$B$23*INT(ROUND(MIN($BF387,$AF$9),6)))))</f>
        <v/>
      </c>
      <c r="BQ387" s="74" t="str">
        <f aca="false">IF($BH387&lt;&gt;Constants!$B$4,"",IF(NOT($AJ387),0,Constants!$B$24*INT(ROUND(MIN($AZ387,$AF$9),6))))</f>
        <v/>
      </c>
      <c r="BR387" s="74" t="str">
        <f aca="false">IF($BH387&lt;&gt;Constants!$B$4,"",IF(AND($AJ387,$BJ387=0),Constants!$B$25,0))</f>
        <v/>
      </c>
      <c r="BS387" s="74" t="str">
        <f aca="false">IF($BH387&lt;&gt;Constants!$B$4,"",MIN(Constants!$B$29,MAX(0,Constants!$B$27*Constants!$B$28*INT(ROUND((Constants!$B$26-$AL387)/Constants!$B$28,6))))+MIN(Constants!$B$29,MAX(0,Constants!$B$27*Constants!$B$28*INT(ROUND((Constants!$B$26-$AM387)/Constants!$B$28,6))))+MIN(Constants!$B$29,MAX(0,Constants!$B$27*Constants!$B$28*INT(ROUND((Constants!$B$26-$AN387)/Constants!$B$28,6)))))</f>
        <v/>
      </c>
      <c r="BT387" s="74" t="str">
        <f aca="false">IF($BH387&lt;&gt;Constants!$B$4,"",IF(NOT($AJ387),0,Constants!$B$31*INT(ROUND(MAX(0,MIN($BF387,2*$AF$9)-$AF$9),6))))</f>
        <v/>
      </c>
      <c r="BU387" s="74" t="str">
        <f aca="false">IF($BH387&lt;&gt;Constants!$B$4,"",Constants!$B$32*(($AL387&gt;Constants!$B$26)+($AM387&gt;Constants!$B$26)+($AN387&gt;Constants!$B$26)))</f>
        <v/>
      </c>
      <c r="BV387" s="74" t="str">
        <f aca="false">IF($BH387&lt;&gt;Constants!$B$4,"",IF(OR(NOT($AJ387),$AO387),0,Constants!$B$33))</f>
        <v/>
      </c>
      <c r="BW387" s="74" t="str">
        <f aca="false">IF($BH387&lt;&gt;Constants!$B$4,"",Constants!$B$34*$BJ387)</f>
        <v/>
      </c>
      <c r="BX387" s="74" t="str">
        <f aca="false">IF($BH387&lt;&gt;Constants!$B$4,"",IF(OR(NOT($AJ387),$BE387),0,Constants!$B$36))</f>
        <v/>
      </c>
      <c r="BY387" s="74" t="str">
        <f aca="false">IF($BH387&lt;&gt;Constants!$B$4,"",IF(OR(NOT($AJ387),$BD387),0,Constants!$B$37))</f>
        <v/>
      </c>
      <c r="BZ387" s="74" t="str">
        <f aca="false">IF($BH387&lt;&gt;Constants!$B$4,"",SUM($BT387:$BY387))</f>
        <v/>
      </c>
      <c r="CA387" s="74" t="str">
        <f aca="false">IF(ISBLANK($C387),"",IF($BH387&lt;&gt;Constants!$B$4,$BH387,SUM($BK387:$BS387)-$BZ387))</f>
        <v/>
      </c>
      <c r="CB387" s="74" t="str">
        <f aca="false">IF(ISBLANK($C387),"",IF($BH387&lt;&gt;Constants!$B$4,$BH387,RANK($CA387,$CA$9:$CA$508)))</f>
        <v/>
      </c>
      <c r="CC387" s="74" t="str">
        <f aca="false">IF(ISBLANK($C387),"",IF($BH387&lt;&gt;Constants!$B$4,$BH387,COUNTIFS($BI$9:$BI$508,"&lt;"&amp;$BI387)+COUNTIFS($BI$9:$BI$508,$BI387,$CB$9:$CB$508,"&lt;"&amp;$CB387)+1))</f>
        <v/>
      </c>
      <c r="CD387" s="74" t="str">
        <f aca="false">IF(ISBLANK($C387),"",IF($BH387&lt;&gt;Constants!$B$4,$BH387,RANK($BZ387,$BZ$9:$BZ$508,1)))</f>
        <v/>
      </c>
      <c r="CE387" s="74" t="str">
        <f aca="false">IF($BH387&lt;&gt;Constants!$B$4,"",$AL387+$AM387+$AN387)</f>
        <v/>
      </c>
      <c r="CF387" s="74" t="str">
        <f aca="false">IF(ISBLANK($C387),"",IF($BH387&lt;&gt;Constants!$B$4,$BH387,RANK($CE387,$CE$9:$CE$508,1)))</f>
        <v/>
      </c>
      <c r="CG387" s="74" t="str">
        <f aca="false">IF(ISBLANK($C387),"",IF($BH387&lt;&gt;Constants!$B$4,$BH387,COUNTIFS($BI$9:$BI$508,"&lt;"&amp;$BI387)+COUNTIFS($BI$9:$BI$508,$BI387,$CB$9:$CB$508,"&lt;"&amp;$CB387)+COUNTIFS($BI$9:$BI$508,$BI387,$CB$9:$CB$508,$CB387,$CD$9:$CD$508,"&lt;"&amp;$CD387)+COUNTIFS($BI$9:$BI$508,$BI387,$CB$9:$CB$508,$CB387,$CD$9:$CD$508,$CD387,$CF$9:$CF$508,"&lt;"&amp;$CF387)+1))</f>
        <v/>
      </c>
      <c r="CH387" s="74" t="str">
        <f aca="false">IF(ISBLANK($C387),"",IF($BH387&lt;&gt;Constants!$B$4,$BH387,$CC387-$CG387))</f>
        <v/>
      </c>
      <c r="CI387" s="74" t="str">
        <f aca="false">IF(ISBLANK($C387),"",IF(NOT($AJ387),"",IF(ISBLANK($D$7),$CI$5,IF(NOT(ISNUMBER($D$7)),$CI$6,""))))</f>
        <v/>
      </c>
      <c r="CJ387" s="74" t="str">
        <f aca="false">IF(ISBLANK($C387),"",OR($AL387="",$AM387="",$AN387=""))</f>
        <v/>
      </c>
      <c r="CK387" s="74" t="str">
        <f aca="false">IF(ISBLANK($C387),"",AND($AJ387,$AX387=""))</f>
        <v/>
      </c>
      <c r="CL387" s="74" t="str">
        <f aca="false">IF(ISBLANK($C387),"",AND($AJ387,$AY387=""))</f>
        <v/>
      </c>
      <c r="CM387" s="74" t="str">
        <f aca="false">IF(ISBLANK($C387),"",AND($AJ387,$AZ387=""))</f>
        <v/>
      </c>
      <c r="CN387" s="74" t="str">
        <f aca="false">IF(ISBLANK($C387),"",AND($AJ387,$BC387=""))</f>
        <v/>
      </c>
      <c r="CO387" s="74" t="str">
        <f aca="false">IF(ISBLANK($C387),"",AND($AJ387,$BF387=""))</f>
        <v/>
      </c>
      <c r="CP387" s="75"/>
      <c r="CQ387" s="76"/>
      <c r="CR387" s="79" t="str">
        <f aca="false">IF(ISBLANK($C387),"",IF($BH387=Constants!$B$8,$CI387,""))</f>
        <v/>
      </c>
      <c r="CS387" s="76" t="str">
        <f aca="false">IF(ISBLANK($C387),"",IF($BH387&lt;&gt;Constants!$B$4,"",$BK387+$BL387))</f>
        <v/>
      </c>
      <c r="CT387" s="78" t="str">
        <f aca="false">IF(ISBLANK($C387),"",IF($BH387&lt;&gt;Constants!$B$4,"",$BM387+$BN387+$BO387))</f>
        <v/>
      </c>
      <c r="CU387" s="78" t="str">
        <f aca="false">IF(ISBLANK($C387),"",IF($BH387&lt;&gt;Constants!$B$4,"",$BP387))</f>
        <v/>
      </c>
      <c r="CV387" s="78" t="str">
        <f aca="false">IF(ISBLANK($C387),"",IF($BH387&lt;&gt;Constants!$B$4,"",$BQ387+$BR387))</f>
        <v/>
      </c>
      <c r="CW387" s="78" t="str">
        <f aca="false">IF(ISBLANK($C387),"",IF($BH387&lt;&gt;Constants!$B$4,"",$BS387))</f>
        <v/>
      </c>
      <c r="CX387" s="78" t="str">
        <f aca="false">IF(ISBLANK($C387),"",IF($BH387&lt;&gt;Constants!$B$4,"",-$BZ387))</f>
        <v/>
      </c>
      <c r="CY387" s="79" t="str">
        <f aca="false">IF(ISBLANK($C387),"",$CA387)</f>
        <v/>
      </c>
      <c r="CZ387" s="80" t="str">
        <f aca="false">IF(ISBLANK($C387),"",$BI387)</f>
        <v/>
      </c>
      <c r="DA387" s="78" t="str">
        <f aca="false">IF(ISBLANK($C387),"",$CH387)</f>
        <v/>
      </c>
      <c r="DB387" s="78" t="str">
        <f aca="false">IF(ISBLANK($C387),"",$CG387)</f>
        <v/>
      </c>
      <c r="DC387" s="81" t="str">
        <f aca="false">IF(ISBLANK($C387),"",IFERROR(_xlfn.SWITCH($DB387,Constants!$B$7,COUNTA($C$9:$C$508)+2,Constants!$B$6,COUNTA($C$9:$C$508)+1,Constants!$B$5,COUNTA($C$9:$C$508)),$DB387))</f>
        <v/>
      </c>
      <c r="DD387" s="7"/>
      <c r="DE387" s="82" t="n">
        <f aca="false">IF(OR(ISNUMBER($DB387),$DB387=Constants!$B$7,$DB387=Constants!$B$5,$DB387=Constants!$B$6),1,0)</f>
        <v>0</v>
      </c>
      <c r="DF387" s="82" t="n">
        <v>379</v>
      </c>
      <c r="DG387" s="82" t="str">
        <f aca="false">IF(ISBLANK($C387),"",IF(ISNUMBER($DC387),$DC387+ROW($B387)/1000,""))</f>
        <v/>
      </c>
      <c r="DH387" s="82" t="str">
        <f aca="false">IF(ISNUMBER($DG387),RANK($DG387,$DG$9:$DG$508,1),"")</f>
        <v/>
      </c>
      <c r="DI387" s="82" t="str">
        <f aca="false">IF(ISBLANK($C387),"",$B387)</f>
        <v/>
      </c>
      <c r="DJ387" s="82" t="str">
        <f aca="false">IF(ISBLANK($C387),"",$C387)</f>
        <v/>
      </c>
      <c r="DK387" s="82" t="str">
        <f aca="false">IF(ISBLANK($C387),"",$D387)</f>
        <v/>
      </c>
      <c r="DL387" s="83" t="str">
        <f aca="false">$CZ387</f>
        <v/>
      </c>
      <c r="DM387" s="84" t="str">
        <f aca="false">$CY387</f>
        <v/>
      </c>
      <c r="DN387" s="82" t="str">
        <f aca="false">IF(ISBLANK($C387),"",$DB387)</f>
        <v/>
      </c>
      <c r="DO387" s="85" t="str">
        <f aca="false">IF($DF387&gt;$DE$8,"",VLOOKUP($DF387,$DH$9:$DN$508,7,FALSE()))</f>
        <v/>
      </c>
      <c r="DP387" s="86" t="str">
        <f aca="false">IF($DF387&gt;$DE$8,"",VLOOKUP($DF387,$DH$9:$DN$508,2,FALSE()))</f>
        <v/>
      </c>
      <c r="DQ387" s="86" t="str">
        <f aca="false">IF($DF387&gt;$DE$8,"",VLOOKUP($DF387,$DH$9:$DN$508,3,FALSE()))</f>
        <v/>
      </c>
      <c r="DR387" s="86" t="str">
        <f aca="false">IF($DF387&gt;$DE$8,"",VLOOKUP($DF387,$DH$9:$DN$508,4,FALSE()))</f>
        <v/>
      </c>
      <c r="DS387" s="86" t="str">
        <f aca="false">IF($DF387&gt;$DE$8,"",VLOOKUP($DF387,$DH$9:$DN$508,5,FALSE()))</f>
        <v/>
      </c>
      <c r="DT387" s="87" t="str">
        <f aca="false">IF($DF387&gt;$DE$8,"",VLOOKUP($DF387,$DH$9:$DN$508,6,FALSE()))</f>
        <v/>
      </c>
      <c r="DU387" s="62"/>
    </row>
    <row r="388" customFormat="false" ht="15.75" hidden="false" customHeight="false" outlineLevel="0" collapsed="false">
      <c r="A388" s="7"/>
      <c r="B388" s="64"/>
      <c r="C388" s="65"/>
      <c r="D388" s="123"/>
      <c r="E388" s="88"/>
      <c r="F388" s="134"/>
      <c r="G388" s="88"/>
      <c r="H388" s="134"/>
      <c r="I388" s="119"/>
      <c r="J388" s="119"/>
      <c r="K388" s="119"/>
      <c r="L388" s="88"/>
      <c r="M388" s="88"/>
      <c r="N388" s="88"/>
      <c r="O388" s="134"/>
      <c r="P388" s="88"/>
      <c r="Q388" s="88"/>
      <c r="R388" s="88"/>
      <c r="S388" s="88"/>
      <c r="T388" s="134"/>
      <c r="U388" s="88"/>
      <c r="V388" s="70"/>
      <c r="W388" s="88"/>
      <c r="X388" s="88"/>
      <c r="Y388" s="70"/>
      <c r="Z388" s="70"/>
      <c r="AA388" s="88"/>
      <c r="AB388" s="88"/>
      <c r="AC388" s="71"/>
      <c r="AD388" s="88"/>
      <c r="AE388" s="73"/>
      <c r="AF388" s="74"/>
      <c r="AG388" s="74"/>
      <c r="AH388" s="74" t="str">
        <f aca="false">IF(ISBLANK($C388),"",IF($E388=Constants!$B$2,TRUE(),IF($E388=Constants!$B$3,FALSE(),TRUE())))</f>
        <v/>
      </c>
      <c r="AI388" s="74" t="str">
        <f aca="false">IF(ISBLANK($C388),"",IF($F388=Constants!$B$2,TRUE(),IF($F388=Constants!$B$3,FALSE(),FALSE())))</f>
        <v/>
      </c>
      <c r="AJ388" s="74" t="str">
        <f aca="false">IF(ISBLANK($C388),"",IF($G388=Constants!$B$2,TRUE(),IF($G388=Constants!$B$3,FALSE(),TRUE())))</f>
        <v/>
      </c>
      <c r="AK388" s="74" t="str">
        <f aca="false">IF(ISBLANK($C388),"",IF($H388=Constants!$B$2,TRUE(),IF($H388=Constants!$B$3,FALSE(),TRUE())))</f>
        <v/>
      </c>
      <c r="AL388" s="74" t="str">
        <f aca="false">IF(ISBLANK($C388),"",IF(ISNUMBER($I388),IF($I388&gt;=0,$I388,""),""))</f>
        <v/>
      </c>
      <c r="AM388" s="74" t="str">
        <f aca="false">IF(ISBLANK($C388),"",IF(ISNUMBER($J388),IF($J388&gt;=0,$J388,""),""))</f>
        <v/>
      </c>
      <c r="AN388" s="74" t="str">
        <f aca="false">IF(ISBLANK($C388),"",IF(ISNUMBER($K388),IF($K388&gt;=0,$K388,""),""))</f>
        <v/>
      </c>
      <c r="AO388" s="74" t="str">
        <f aca="false">IF(ISBLANK($C388),"",IF($L388=Constants!$B$2,TRUE(),IF($L388=Constants!$B$3,FALSE(),TRUE())))</f>
        <v/>
      </c>
      <c r="AP388" s="74" t="str">
        <f aca="false">IF(ISBLANK($C388),"",IF($M388=Constants!$B$2,TRUE(),IF($M388=Constants!$B$3,FALSE(),TRUE())))</f>
        <v/>
      </c>
      <c r="AQ388" s="74" t="str">
        <f aca="false">IF(ISBLANK($C388),"",IF($N388=Constants!$B$2,TRUE(),IF($N388=Constants!$B$3,FALSE(),FALSE())))</f>
        <v/>
      </c>
      <c r="AR388" s="74" t="str">
        <f aca="false">IF(ISBLANK($C388),"",IF($O388=Constants!$B$2,TRUE(),IF($O388=Constants!$B$3,FALSE(),TRUE())))</f>
        <v/>
      </c>
      <c r="AS388" s="74" t="str">
        <f aca="false">IF(ISBLANK($C388),"",IF($P388=Constants!$B$2,TRUE(),IF($P388=Constants!$B$3,FALSE(),FALSE())))</f>
        <v/>
      </c>
      <c r="AT388" s="74" t="str">
        <f aca="false">IF(ISBLANK($C388),"",IF($Q388=Constants!$B$2,TRUE(),IF($Q388=Constants!$B$3,FALSE(),FALSE())))</f>
        <v/>
      </c>
      <c r="AU388" s="74" t="str">
        <f aca="false">IF(ISBLANK($C388),"",IF($R388=Constants!$B$2,TRUE(),IF($R388=Constants!$B$3,FALSE(),FALSE())))</f>
        <v/>
      </c>
      <c r="AV388" s="74" t="str">
        <f aca="false">IF(ISBLANK($C388),"",IF($S388=Constants!$B$2,TRUE(),IF($S388=Constants!$B$3,FALSE(),FALSE())))</f>
        <v/>
      </c>
      <c r="AW388" s="74" t="str">
        <f aca="false">IF(ISBLANK($C388),"",IF($T388=Constants!$B$2,TRUE(),IF($T388=Constants!$B$3,FALSE(),FALSE())))</f>
        <v/>
      </c>
      <c r="AX388" s="74" t="str">
        <f aca="false">IF(ISBLANK($C388),"",IF(OR($U388&amp;""="1",$U388&amp;""="2",$U388&amp;""="3",$U388&amp;""="4"),VALUE($U388&amp;""),IF($U388=Constants!$B$12,Constants!$B$12,"")))</f>
        <v/>
      </c>
      <c r="AY388" s="74" t="str">
        <f aca="false">IF(ISBLANK($C388),"",IF(ISBLANK($V388),0,IF(ISNUMBER($V388),IF(AND($V388&gt;=0,$V388&lt;=Constants!$B$21,$V388=INT($V388)),$V388,""),"")))</f>
        <v/>
      </c>
      <c r="AZ388" s="74" t="str">
        <f aca="false">IF(ISBLANK($C388),"",IF(ISBLANK($W388),0,IF(ISNUMBER($W388),IF($W388&gt;=0,$W388,""),"")))</f>
        <v/>
      </c>
      <c r="BA388" s="74" t="str">
        <f aca="false">IF(ISBLANK($C388),"",IF($X388=Constants!$B$2,TRUE(),IF($X388=Constants!$B$3,FALSE(),TRUE())))</f>
        <v/>
      </c>
      <c r="BB388" s="74" t="str">
        <f aca="false">IF(ISBLANK($C388),"",IF($Y388=Constants!$B$2,TRUE(),IF($Y388=Constants!$B$3,FALSE(),FALSE())))</f>
        <v/>
      </c>
      <c r="BC388" s="74" t="str">
        <f aca="false">IF(ISBLANK($C388),"",IF(ISBLANK($Z388),0,IF(ISNUMBER($Z388),IF(AND($Z388&gt;=0,$Z388&lt;=Constants!$B$35,$Z388=INT($Z388)),$Z388,""),"")))</f>
        <v/>
      </c>
      <c r="BD388" s="74" t="str">
        <f aca="false">IF(ISBLANK($C388),"",IF($AA388=Constants!$B$2,TRUE(),IF($AA388=Constants!$B$3,FALSE(),TRUE())))</f>
        <v/>
      </c>
      <c r="BE388" s="74" t="str">
        <f aca="false">IF(ISBLANK($C388),"",IF($AB388=Constants!$B$2,TRUE(),IF($AB388=Constants!$B$3,FALSE(),TRUE())))</f>
        <v/>
      </c>
      <c r="BF388" s="74" t="str">
        <f aca="false">IF(ISBLANK($C388),"",IF(ISNUMBER($AC388),IF($AC388&gt;=0,$AC388,""),""))</f>
        <v/>
      </c>
      <c r="BG388" s="74" t="str">
        <f aca="false">IF(ISBLANK($C388),"",IF($AD388=Constants!$B$2,TRUE(),IF($AD388=Constants!$B$3,FALSE(),FALSE())))</f>
        <v/>
      </c>
      <c r="BH388" s="73" t="str">
        <f aca="false">IF(ISBLANK($C388),"",IF($BG388,Constants!$B$7,IF(COUNTA($E388:$AC388)=0,Constants!$B$6,IF(OR(COUNTA($G388:$AC388)=0,NOT($AK388),$AQ388),Constants!$B$5,IF(OR($CI388&lt;&gt;"",$CJ388,$CK388,$CL388,$CM388,$CN388,$CO388),Constants!$B$8,Constants!$B$4)))))</f>
        <v/>
      </c>
      <c r="BI388" s="74" t="str">
        <f aca="false">IF(ISBLANK($C388),"",IF($BH388&lt;&gt;Constants!$B$4,$BH388,IF(OR(NOT($AH388),NOT($AJ388),NOT($AR388)),Constants!$B$11,IF(OR(NOT($AP388),MAX($AL388,$AM388,$AN388)&gt;Constants!$B$30),Constants!$B$10,Constants!$B$9))))</f>
        <v/>
      </c>
      <c r="BJ388" s="74" t="str">
        <f aca="false">IF($BH388&lt;&gt;Constants!$B$4,"",IF(NOT($AJ388),0,MIN(Constants!$B$35,$BC388)))</f>
        <v/>
      </c>
      <c r="BK388" s="74" t="str">
        <f aca="false">IF($BH388&lt;&gt;Constants!$B$4,"",IF(NOT($AJ388),0,IF($AT388,Constants!$B$18,IF($AS388,Constants!$B$17,0))))</f>
        <v/>
      </c>
      <c r="BL388" s="74" t="str">
        <f aca="false">IF($BH388&lt;&gt;Constants!$B$4,"",IF(NOT($AJ388),0,Constants!$B$19*($AI388+$AU388+$AV388+$AW388)))</f>
        <v/>
      </c>
      <c r="BM388" s="74" t="str">
        <f aca="false">IF($BH388&lt;&gt;Constants!$B$4,"",IF(OR(NOT($AJ388),NOT(ISNUMBER($AX388))),0,CHOOSE($AX388,Constants!$B$13,Constants!$B$14,Constants!$B$15,Constants!$B$16)))</f>
        <v/>
      </c>
      <c r="BN388" s="74" t="str">
        <f aca="false">IF($BH388&lt;&gt;Constants!$B$4,"",IF(NOT($AJ388),0,Constants!$B$20*$AY388))</f>
        <v/>
      </c>
      <c r="BO388" s="74" t="str">
        <f aca="false">IF($BH388&lt;&gt;Constants!$B$4,"",IF(AND($AJ388,$BA388,$BB388),Constants!$B$22,0))</f>
        <v/>
      </c>
      <c r="BP388" s="74" t="str">
        <f aca="false">IF($BH388&lt;&gt;Constants!$B$4,"",IF(OR(NOT($AJ388),NOT($BA388)),0,IF($BF388&gt;=2*$AF$9,0,Constants!$B$23*INT(ROUND(MIN($BF388,$AF$9),6)))))</f>
        <v/>
      </c>
      <c r="BQ388" s="74" t="str">
        <f aca="false">IF($BH388&lt;&gt;Constants!$B$4,"",IF(NOT($AJ388),0,Constants!$B$24*INT(ROUND(MIN($AZ388,$AF$9),6))))</f>
        <v/>
      </c>
      <c r="BR388" s="74" t="str">
        <f aca="false">IF($BH388&lt;&gt;Constants!$B$4,"",IF(AND($AJ388,$BJ388=0),Constants!$B$25,0))</f>
        <v/>
      </c>
      <c r="BS388" s="74" t="str">
        <f aca="false">IF($BH388&lt;&gt;Constants!$B$4,"",MIN(Constants!$B$29,MAX(0,Constants!$B$27*Constants!$B$28*INT(ROUND((Constants!$B$26-$AL388)/Constants!$B$28,6))))+MIN(Constants!$B$29,MAX(0,Constants!$B$27*Constants!$B$28*INT(ROUND((Constants!$B$26-$AM388)/Constants!$B$28,6))))+MIN(Constants!$B$29,MAX(0,Constants!$B$27*Constants!$B$28*INT(ROUND((Constants!$B$26-$AN388)/Constants!$B$28,6)))))</f>
        <v/>
      </c>
      <c r="BT388" s="74" t="str">
        <f aca="false">IF($BH388&lt;&gt;Constants!$B$4,"",IF(NOT($AJ388),0,Constants!$B$31*INT(ROUND(MAX(0,MIN($BF388,2*$AF$9)-$AF$9),6))))</f>
        <v/>
      </c>
      <c r="BU388" s="74" t="str">
        <f aca="false">IF($BH388&lt;&gt;Constants!$B$4,"",Constants!$B$32*(($AL388&gt;Constants!$B$26)+($AM388&gt;Constants!$B$26)+($AN388&gt;Constants!$B$26)))</f>
        <v/>
      </c>
      <c r="BV388" s="74" t="str">
        <f aca="false">IF($BH388&lt;&gt;Constants!$B$4,"",IF(OR(NOT($AJ388),$AO388),0,Constants!$B$33))</f>
        <v/>
      </c>
      <c r="BW388" s="74" t="str">
        <f aca="false">IF($BH388&lt;&gt;Constants!$B$4,"",Constants!$B$34*$BJ388)</f>
        <v/>
      </c>
      <c r="BX388" s="74" t="str">
        <f aca="false">IF($BH388&lt;&gt;Constants!$B$4,"",IF(OR(NOT($AJ388),$BE388),0,Constants!$B$36))</f>
        <v/>
      </c>
      <c r="BY388" s="74" t="str">
        <f aca="false">IF($BH388&lt;&gt;Constants!$B$4,"",IF(OR(NOT($AJ388),$BD388),0,Constants!$B$37))</f>
        <v/>
      </c>
      <c r="BZ388" s="74" t="str">
        <f aca="false">IF($BH388&lt;&gt;Constants!$B$4,"",SUM($BT388:$BY388))</f>
        <v/>
      </c>
      <c r="CA388" s="74" t="str">
        <f aca="false">IF(ISBLANK($C388),"",IF($BH388&lt;&gt;Constants!$B$4,$BH388,SUM($BK388:$BS388)-$BZ388))</f>
        <v/>
      </c>
      <c r="CB388" s="74" t="str">
        <f aca="false">IF(ISBLANK($C388),"",IF($BH388&lt;&gt;Constants!$B$4,$BH388,RANK($CA388,$CA$9:$CA$508)))</f>
        <v/>
      </c>
      <c r="CC388" s="74" t="str">
        <f aca="false">IF(ISBLANK($C388),"",IF($BH388&lt;&gt;Constants!$B$4,$BH388,COUNTIFS($BI$9:$BI$508,"&lt;"&amp;$BI388)+COUNTIFS($BI$9:$BI$508,$BI388,$CB$9:$CB$508,"&lt;"&amp;$CB388)+1))</f>
        <v/>
      </c>
      <c r="CD388" s="74" t="str">
        <f aca="false">IF(ISBLANK($C388),"",IF($BH388&lt;&gt;Constants!$B$4,$BH388,RANK($BZ388,$BZ$9:$BZ$508,1)))</f>
        <v/>
      </c>
      <c r="CE388" s="74" t="str">
        <f aca="false">IF($BH388&lt;&gt;Constants!$B$4,"",$AL388+$AM388+$AN388)</f>
        <v/>
      </c>
      <c r="CF388" s="74" t="str">
        <f aca="false">IF(ISBLANK($C388),"",IF($BH388&lt;&gt;Constants!$B$4,$BH388,RANK($CE388,$CE$9:$CE$508,1)))</f>
        <v/>
      </c>
      <c r="CG388" s="74" t="str">
        <f aca="false">IF(ISBLANK($C388),"",IF($BH388&lt;&gt;Constants!$B$4,$BH388,COUNTIFS($BI$9:$BI$508,"&lt;"&amp;$BI388)+COUNTIFS($BI$9:$BI$508,$BI388,$CB$9:$CB$508,"&lt;"&amp;$CB388)+COUNTIFS($BI$9:$BI$508,$BI388,$CB$9:$CB$508,$CB388,$CD$9:$CD$508,"&lt;"&amp;$CD388)+COUNTIFS($BI$9:$BI$508,$BI388,$CB$9:$CB$508,$CB388,$CD$9:$CD$508,$CD388,$CF$9:$CF$508,"&lt;"&amp;$CF388)+1))</f>
        <v/>
      </c>
      <c r="CH388" s="74" t="str">
        <f aca="false">IF(ISBLANK($C388),"",IF($BH388&lt;&gt;Constants!$B$4,$BH388,$CC388-$CG388))</f>
        <v/>
      </c>
      <c r="CI388" s="74" t="str">
        <f aca="false">IF(ISBLANK($C388),"",IF(NOT($AJ388),"",IF(ISBLANK($D$7),$CI$5,IF(NOT(ISNUMBER($D$7)),$CI$6,""))))</f>
        <v/>
      </c>
      <c r="CJ388" s="74" t="str">
        <f aca="false">IF(ISBLANK($C388),"",OR($AL388="",$AM388="",$AN388=""))</f>
        <v/>
      </c>
      <c r="CK388" s="74" t="str">
        <f aca="false">IF(ISBLANK($C388),"",AND($AJ388,$AX388=""))</f>
        <v/>
      </c>
      <c r="CL388" s="74" t="str">
        <f aca="false">IF(ISBLANK($C388),"",AND($AJ388,$AY388=""))</f>
        <v/>
      </c>
      <c r="CM388" s="74" t="str">
        <f aca="false">IF(ISBLANK($C388),"",AND($AJ388,$AZ388=""))</f>
        <v/>
      </c>
      <c r="CN388" s="74" t="str">
        <f aca="false">IF(ISBLANK($C388),"",AND($AJ388,$BC388=""))</f>
        <v/>
      </c>
      <c r="CO388" s="74" t="str">
        <f aca="false">IF(ISBLANK($C388),"",AND($AJ388,$BF388=""))</f>
        <v/>
      </c>
      <c r="CP388" s="75"/>
      <c r="CQ388" s="76"/>
      <c r="CR388" s="79" t="str">
        <f aca="false">IF(ISBLANK($C388),"",IF($BH388=Constants!$B$8,$CI388,""))</f>
        <v/>
      </c>
      <c r="CS388" s="76" t="str">
        <f aca="false">IF(ISBLANK($C388),"",IF($BH388&lt;&gt;Constants!$B$4,"",$BK388+$BL388))</f>
        <v/>
      </c>
      <c r="CT388" s="78" t="str">
        <f aca="false">IF(ISBLANK($C388),"",IF($BH388&lt;&gt;Constants!$B$4,"",$BM388+$BN388+$BO388))</f>
        <v/>
      </c>
      <c r="CU388" s="78" t="str">
        <f aca="false">IF(ISBLANK($C388),"",IF($BH388&lt;&gt;Constants!$B$4,"",$BP388))</f>
        <v/>
      </c>
      <c r="CV388" s="78" t="str">
        <f aca="false">IF(ISBLANK($C388),"",IF($BH388&lt;&gt;Constants!$B$4,"",$BQ388+$BR388))</f>
        <v/>
      </c>
      <c r="CW388" s="78" t="str">
        <f aca="false">IF(ISBLANK($C388),"",IF($BH388&lt;&gt;Constants!$B$4,"",$BS388))</f>
        <v/>
      </c>
      <c r="CX388" s="78" t="str">
        <f aca="false">IF(ISBLANK($C388),"",IF($BH388&lt;&gt;Constants!$B$4,"",-$BZ388))</f>
        <v/>
      </c>
      <c r="CY388" s="79" t="str">
        <f aca="false">IF(ISBLANK($C388),"",$CA388)</f>
        <v/>
      </c>
      <c r="CZ388" s="80" t="str">
        <f aca="false">IF(ISBLANK($C388),"",$BI388)</f>
        <v/>
      </c>
      <c r="DA388" s="78" t="str">
        <f aca="false">IF(ISBLANK($C388),"",$CH388)</f>
        <v/>
      </c>
      <c r="DB388" s="78" t="str">
        <f aca="false">IF(ISBLANK($C388),"",$CG388)</f>
        <v/>
      </c>
      <c r="DC388" s="81" t="str">
        <f aca="false">IF(ISBLANK($C388),"",IFERROR(_xlfn.SWITCH($DB388,Constants!$B$7,COUNTA($C$9:$C$508)+2,Constants!$B$6,COUNTA($C$9:$C$508)+1,Constants!$B$5,COUNTA($C$9:$C$508)),$DB388))</f>
        <v/>
      </c>
      <c r="DD388" s="7"/>
      <c r="DE388" s="82" t="n">
        <f aca="false">IF(OR(ISNUMBER($DB388),$DB388=Constants!$B$7,$DB388=Constants!$B$5,$DB388=Constants!$B$6),1,0)</f>
        <v>0</v>
      </c>
      <c r="DF388" s="82" t="n">
        <v>380</v>
      </c>
      <c r="DG388" s="82" t="str">
        <f aca="false">IF(ISBLANK($C388),"",IF(ISNUMBER($DC388),$DC388+ROW($B388)/1000,""))</f>
        <v/>
      </c>
      <c r="DH388" s="82" t="str">
        <f aca="false">IF(ISNUMBER($DG388),RANK($DG388,$DG$9:$DG$508,1),"")</f>
        <v/>
      </c>
      <c r="DI388" s="82" t="str">
        <f aca="false">IF(ISBLANK($C388),"",$B388)</f>
        <v/>
      </c>
      <c r="DJ388" s="82" t="str">
        <f aca="false">IF(ISBLANK($C388),"",$C388)</f>
        <v/>
      </c>
      <c r="DK388" s="82" t="str">
        <f aca="false">IF(ISBLANK($C388),"",$D388)</f>
        <v/>
      </c>
      <c r="DL388" s="83" t="str">
        <f aca="false">$CZ388</f>
        <v/>
      </c>
      <c r="DM388" s="84" t="str">
        <f aca="false">$CY388</f>
        <v/>
      </c>
      <c r="DN388" s="82" t="str">
        <f aca="false">IF(ISBLANK($C388),"",$DB388)</f>
        <v/>
      </c>
      <c r="DO388" s="85" t="str">
        <f aca="false">IF($DF388&gt;$DE$8,"",VLOOKUP($DF388,$DH$9:$DN$508,7,FALSE()))</f>
        <v/>
      </c>
      <c r="DP388" s="86" t="str">
        <f aca="false">IF($DF388&gt;$DE$8,"",VLOOKUP($DF388,$DH$9:$DN$508,2,FALSE()))</f>
        <v/>
      </c>
      <c r="DQ388" s="86" t="str">
        <f aca="false">IF($DF388&gt;$DE$8,"",VLOOKUP($DF388,$DH$9:$DN$508,3,FALSE()))</f>
        <v/>
      </c>
      <c r="DR388" s="86" t="str">
        <f aca="false">IF($DF388&gt;$DE$8,"",VLOOKUP($DF388,$DH$9:$DN$508,4,FALSE()))</f>
        <v/>
      </c>
      <c r="DS388" s="86" t="str">
        <f aca="false">IF($DF388&gt;$DE$8,"",VLOOKUP($DF388,$DH$9:$DN$508,5,FALSE()))</f>
        <v/>
      </c>
      <c r="DT388" s="87" t="str">
        <f aca="false">IF($DF388&gt;$DE$8,"",VLOOKUP($DF388,$DH$9:$DN$508,6,FALSE()))</f>
        <v/>
      </c>
      <c r="DU388" s="62"/>
    </row>
    <row r="389" customFormat="false" ht="15.75" hidden="false" customHeight="false" outlineLevel="0" collapsed="false">
      <c r="A389" s="7"/>
      <c r="B389" s="64"/>
      <c r="C389" s="65"/>
      <c r="D389" s="123"/>
      <c r="E389" s="88"/>
      <c r="F389" s="134"/>
      <c r="G389" s="88"/>
      <c r="H389" s="134"/>
      <c r="I389" s="119"/>
      <c r="J389" s="119"/>
      <c r="K389" s="119"/>
      <c r="L389" s="88"/>
      <c r="M389" s="88"/>
      <c r="N389" s="88"/>
      <c r="O389" s="134"/>
      <c r="P389" s="88"/>
      <c r="Q389" s="88"/>
      <c r="R389" s="88"/>
      <c r="S389" s="88"/>
      <c r="T389" s="134"/>
      <c r="U389" s="88"/>
      <c r="V389" s="70"/>
      <c r="W389" s="88"/>
      <c r="X389" s="88"/>
      <c r="Y389" s="70"/>
      <c r="Z389" s="70"/>
      <c r="AA389" s="88"/>
      <c r="AB389" s="88"/>
      <c r="AC389" s="71"/>
      <c r="AD389" s="88"/>
      <c r="AE389" s="73"/>
      <c r="AF389" s="74"/>
      <c r="AG389" s="74"/>
      <c r="AH389" s="74" t="str">
        <f aca="false">IF(ISBLANK($C389),"",IF($E389=Constants!$B$2,TRUE(),IF($E389=Constants!$B$3,FALSE(),TRUE())))</f>
        <v/>
      </c>
      <c r="AI389" s="74" t="str">
        <f aca="false">IF(ISBLANK($C389),"",IF($F389=Constants!$B$2,TRUE(),IF($F389=Constants!$B$3,FALSE(),FALSE())))</f>
        <v/>
      </c>
      <c r="AJ389" s="74" t="str">
        <f aca="false">IF(ISBLANK($C389),"",IF($G389=Constants!$B$2,TRUE(),IF($G389=Constants!$B$3,FALSE(),TRUE())))</f>
        <v/>
      </c>
      <c r="AK389" s="74" t="str">
        <f aca="false">IF(ISBLANK($C389),"",IF($H389=Constants!$B$2,TRUE(),IF($H389=Constants!$B$3,FALSE(),TRUE())))</f>
        <v/>
      </c>
      <c r="AL389" s="74" t="str">
        <f aca="false">IF(ISBLANK($C389),"",IF(ISNUMBER($I389),IF($I389&gt;=0,$I389,""),""))</f>
        <v/>
      </c>
      <c r="AM389" s="74" t="str">
        <f aca="false">IF(ISBLANK($C389),"",IF(ISNUMBER($J389),IF($J389&gt;=0,$J389,""),""))</f>
        <v/>
      </c>
      <c r="AN389" s="74" t="str">
        <f aca="false">IF(ISBLANK($C389),"",IF(ISNUMBER($K389),IF($K389&gt;=0,$K389,""),""))</f>
        <v/>
      </c>
      <c r="AO389" s="74" t="str">
        <f aca="false">IF(ISBLANK($C389),"",IF($L389=Constants!$B$2,TRUE(),IF($L389=Constants!$B$3,FALSE(),TRUE())))</f>
        <v/>
      </c>
      <c r="AP389" s="74" t="str">
        <f aca="false">IF(ISBLANK($C389),"",IF($M389=Constants!$B$2,TRUE(),IF($M389=Constants!$B$3,FALSE(),TRUE())))</f>
        <v/>
      </c>
      <c r="AQ389" s="74" t="str">
        <f aca="false">IF(ISBLANK($C389),"",IF($N389=Constants!$B$2,TRUE(),IF($N389=Constants!$B$3,FALSE(),FALSE())))</f>
        <v/>
      </c>
      <c r="AR389" s="74" t="str">
        <f aca="false">IF(ISBLANK($C389),"",IF($O389=Constants!$B$2,TRUE(),IF($O389=Constants!$B$3,FALSE(),TRUE())))</f>
        <v/>
      </c>
      <c r="AS389" s="74" t="str">
        <f aca="false">IF(ISBLANK($C389),"",IF($P389=Constants!$B$2,TRUE(),IF($P389=Constants!$B$3,FALSE(),FALSE())))</f>
        <v/>
      </c>
      <c r="AT389" s="74" t="str">
        <f aca="false">IF(ISBLANK($C389),"",IF($Q389=Constants!$B$2,TRUE(),IF($Q389=Constants!$B$3,FALSE(),FALSE())))</f>
        <v/>
      </c>
      <c r="AU389" s="74" t="str">
        <f aca="false">IF(ISBLANK($C389),"",IF($R389=Constants!$B$2,TRUE(),IF($R389=Constants!$B$3,FALSE(),FALSE())))</f>
        <v/>
      </c>
      <c r="AV389" s="74" t="str">
        <f aca="false">IF(ISBLANK($C389),"",IF($S389=Constants!$B$2,TRUE(),IF($S389=Constants!$B$3,FALSE(),FALSE())))</f>
        <v/>
      </c>
      <c r="AW389" s="74" t="str">
        <f aca="false">IF(ISBLANK($C389),"",IF($T389=Constants!$B$2,TRUE(),IF($T389=Constants!$B$3,FALSE(),FALSE())))</f>
        <v/>
      </c>
      <c r="AX389" s="74" t="str">
        <f aca="false">IF(ISBLANK($C389),"",IF(OR($U389&amp;""="1",$U389&amp;""="2",$U389&amp;""="3",$U389&amp;""="4"),VALUE($U389&amp;""),IF($U389=Constants!$B$12,Constants!$B$12,"")))</f>
        <v/>
      </c>
      <c r="AY389" s="74" t="str">
        <f aca="false">IF(ISBLANK($C389),"",IF(ISBLANK($V389),0,IF(ISNUMBER($V389),IF(AND($V389&gt;=0,$V389&lt;=Constants!$B$21,$V389=INT($V389)),$V389,""),"")))</f>
        <v/>
      </c>
      <c r="AZ389" s="74" t="str">
        <f aca="false">IF(ISBLANK($C389),"",IF(ISBLANK($W389),0,IF(ISNUMBER($W389),IF($W389&gt;=0,$W389,""),"")))</f>
        <v/>
      </c>
      <c r="BA389" s="74" t="str">
        <f aca="false">IF(ISBLANK($C389),"",IF($X389=Constants!$B$2,TRUE(),IF($X389=Constants!$B$3,FALSE(),TRUE())))</f>
        <v/>
      </c>
      <c r="BB389" s="74" t="str">
        <f aca="false">IF(ISBLANK($C389),"",IF($Y389=Constants!$B$2,TRUE(),IF($Y389=Constants!$B$3,FALSE(),FALSE())))</f>
        <v/>
      </c>
      <c r="BC389" s="74" t="str">
        <f aca="false">IF(ISBLANK($C389),"",IF(ISBLANK($Z389),0,IF(ISNUMBER($Z389),IF(AND($Z389&gt;=0,$Z389&lt;=Constants!$B$35,$Z389=INT($Z389)),$Z389,""),"")))</f>
        <v/>
      </c>
      <c r="BD389" s="74" t="str">
        <f aca="false">IF(ISBLANK($C389),"",IF($AA389=Constants!$B$2,TRUE(),IF($AA389=Constants!$B$3,FALSE(),TRUE())))</f>
        <v/>
      </c>
      <c r="BE389" s="74" t="str">
        <f aca="false">IF(ISBLANK($C389),"",IF($AB389=Constants!$B$2,TRUE(),IF($AB389=Constants!$B$3,FALSE(),TRUE())))</f>
        <v/>
      </c>
      <c r="BF389" s="74" t="str">
        <f aca="false">IF(ISBLANK($C389),"",IF(ISNUMBER($AC389),IF($AC389&gt;=0,$AC389,""),""))</f>
        <v/>
      </c>
      <c r="BG389" s="74" t="str">
        <f aca="false">IF(ISBLANK($C389),"",IF($AD389=Constants!$B$2,TRUE(),IF($AD389=Constants!$B$3,FALSE(),FALSE())))</f>
        <v/>
      </c>
      <c r="BH389" s="73" t="str">
        <f aca="false">IF(ISBLANK($C389),"",IF($BG389,Constants!$B$7,IF(COUNTA($E389:$AC389)=0,Constants!$B$6,IF(OR(COUNTA($G389:$AC389)=0,NOT($AK389),$AQ389),Constants!$B$5,IF(OR($CI389&lt;&gt;"",$CJ389,$CK389,$CL389,$CM389,$CN389,$CO389),Constants!$B$8,Constants!$B$4)))))</f>
        <v/>
      </c>
      <c r="BI389" s="74" t="str">
        <f aca="false">IF(ISBLANK($C389),"",IF($BH389&lt;&gt;Constants!$B$4,$BH389,IF(OR(NOT($AH389),NOT($AJ389),NOT($AR389)),Constants!$B$11,IF(OR(NOT($AP389),MAX($AL389,$AM389,$AN389)&gt;Constants!$B$30),Constants!$B$10,Constants!$B$9))))</f>
        <v/>
      </c>
      <c r="BJ389" s="74" t="str">
        <f aca="false">IF($BH389&lt;&gt;Constants!$B$4,"",IF(NOT($AJ389),0,MIN(Constants!$B$35,$BC389)))</f>
        <v/>
      </c>
      <c r="BK389" s="74" t="str">
        <f aca="false">IF($BH389&lt;&gt;Constants!$B$4,"",IF(NOT($AJ389),0,IF($AT389,Constants!$B$18,IF($AS389,Constants!$B$17,0))))</f>
        <v/>
      </c>
      <c r="BL389" s="74" t="str">
        <f aca="false">IF($BH389&lt;&gt;Constants!$B$4,"",IF(NOT($AJ389),0,Constants!$B$19*($AI389+$AU389+$AV389+$AW389)))</f>
        <v/>
      </c>
      <c r="BM389" s="74" t="str">
        <f aca="false">IF($BH389&lt;&gt;Constants!$B$4,"",IF(OR(NOT($AJ389),NOT(ISNUMBER($AX389))),0,CHOOSE($AX389,Constants!$B$13,Constants!$B$14,Constants!$B$15,Constants!$B$16)))</f>
        <v/>
      </c>
      <c r="BN389" s="74" t="str">
        <f aca="false">IF($BH389&lt;&gt;Constants!$B$4,"",IF(NOT($AJ389),0,Constants!$B$20*$AY389))</f>
        <v/>
      </c>
      <c r="BO389" s="74" t="str">
        <f aca="false">IF($BH389&lt;&gt;Constants!$B$4,"",IF(AND($AJ389,$BA389,$BB389),Constants!$B$22,0))</f>
        <v/>
      </c>
      <c r="BP389" s="74" t="str">
        <f aca="false">IF($BH389&lt;&gt;Constants!$B$4,"",IF(OR(NOT($AJ389),NOT($BA389)),0,IF($BF389&gt;=2*$AF$9,0,Constants!$B$23*INT(ROUND(MIN($BF389,$AF$9),6)))))</f>
        <v/>
      </c>
      <c r="BQ389" s="74" t="str">
        <f aca="false">IF($BH389&lt;&gt;Constants!$B$4,"",IF(NOT($AJ389),0,Constants!$B$24*INT(ROUND(MIN($AZ389,$AF$9),6))))</f>
        <v/>
      </c>
      <c r="BR389" s="74" t="str">
        <f aca="false">IF($BH389&lt;&gt;Constants!$B$4,"",IF(AND($AJ389,$BJ389=0),Constants!$B$25,0))</f>
        <v/>
      </c>
      <c r="BS389" s="74" t="str">
        <f aca="false">IF($BH389&lt;&gt;Constants!$B$4,"",MIN(Constants!$B$29,MAX(0,Constants!$B$27*Constants!$B$28*INT(ROUND((Constants!$B$26-$AL389)/Constants!$B$28,6))))+MIN(Constants!$B$29,MAX(0,Constants!$B$27*Constants!$B$28*INT(ROUND((Constants!$B$26-$AM389)/Constants!$B$28,6))))+MIN(Constants!$B$29,MAX(0,Constants!$B$27*Constants!$B$28*INT(ROUND((Constants!$B$26-$AN389)/Constants!$B$28,6)))))</f>
        <v/>
      </c>
      <c r="BT389" s="74" t="str">
        <f aca="false">IF($BH389&lt;&gt;Constants!$B$4,"",IF(NOT($AJ389),0,Constants!$B$31*INT(ROUND(MAX(0,MIN($BF389,2*$AF$9)-$AF$9),6))))</f>
        <v/>
      </c>
      <c r="BU389" s="74" t="str">
        <f aca="false">IF($BH389&lt;&gt;Constants!$B$4,"",Constants!$B$32*(($AL389&gt;Constants!$B$26)+($AM389&gt;Constants!$B$26)+($AN389&gt;Constants!$B$26)))</f>
        <v/>
      </c>
      <c r="BV389" s="74" t="str">
        <f aca="false">IF($BH389&lt;&gt;Constants!$B$4,"",IF(OR(NOT($AJ389),$AO389),0,Constants!$B$33))</f>
        <v/>
      </c>
      <c r="BW389" s="74" t="str">
        <f aca="false">IF($BH389&lt;&gt;Constants!$B$4,"",Constants!$B$34*$BJ389)</f>
        <v/>
      </c>
      <c r="BX389" s="74" t="str">
        <f aca="false">IF($BH389&lt;&gt;Constants!$B$4,"",IF(OR(NOT($AJ389),$BE389),0,Constants!$B$36))</f>
        <v/>
      </c>
      <c r="BY389" s="74" t="str">
        <f aca="false">IF($BH389&lt;&gt;Constants!$B$4,"",IF(OR(NOT($AJ389),$BD389),0,Constants!$B$37))</f>
        <v/>
      </c>
      <c r="BZ389" s="74" t="str">
        <f aca="false">IF($BH389&lt;&gt;Constants!$B$4,"",SUM($BT389:$BY389))</f>
        <v/>
      </c>
      <c r="CA389" s="74" t="str">
        <f aca="false">IF(ISBLANK($C389),"",IF($BH389&lt;&gt;Constants!$B$4,$BH389,SUM($BK389:$BS389)-$BZ389))</f>
        <v/>
      </c>
      <c r="CB389" s="74" t="str">
        <f aca="false">IF(ISBLANK($C389),"",IF($BH389&lt;&gt;Constants!$B$4,$BH389,RANK($CA389,$CA$9:$CA$508)))</f>
        <v/>
      </c>
      <c r="CC389" s="74" t="str">
        <f aca="false">IF(ISBLANK($C389),"",IF($BH389&lt;&gt;Constants!$B$4,$BH389,COUNTIFS($BI$9:$BI$508,"&lt;"&amp;$BI389)+COUNTIFS($BI$9:$BI$508,$BI389,$CB$9:$CB$508,"&lt;"&amp;$CB389)+1))</f>
        <v/>
      </c>
      <c r="CD389" s="74" t="str">
        <f aca="false">IF(ISBLANK($C389),"",IF($BH389&lt;&gt;Constants!$B$4,$BH389,RANK($BZ389,$BZ$9:$BZ$508,1)))</f>
        <v/>
      </c>
      <c r="CE389" s="74" t="str">
        <f aca="false">IF($BH389&lt;&gt;Constants!$B$4,"",$AL389+$AM389+$AN389)</f>
        <v/>
      </c>
      <c r="CF389" s="74" t="str">
        <f aca="false">IF(ISBLANK($C389),"",IF($BH389&lt;&gt;Constants!$B$4,$BH389,RANK($CE389,$CE$9:$CE$508,1)))</f>
        <v/>
      </c>
      <c r="CG389" s="74" t="str">
        <f aca="false">IF(ISBLANK($C389),"",IF($BH389&lt;&gt;Constants!$B$4,$BH389,COUNTIFS($BI$9:$BI$508,"&lt;"&amp;$BI389)+COUNTIFS($BI$9:$BI$508,$BI389,$CB$9:$CB$508,"&lt;"&amp;$CB389)+COUNTIFS($BI$9:$BI$508,$BI389,$CB$9:$CB$508,$CB389,$CD$9:$CD$508,"&lt;"&amp;$CD389)+COUNTIFS($BI$9:$BI$508,$BI389,$CB$9:$CB$508,$CB389,$CD$9:$CD$508,$CD389,$CF$9:$CF$508,"&lt;"&amp;$CF389)+1))</f>
        <v/>
      </c>
      <c r="CH389" s="74" t="str">
        <f aca="false">IF(ISBLANK($C389),"",IF($BH389&lt;&gt;Constants!$B$4,$BH389,$CC389-$CG389))</f>
        <v/>
      </c>
      <c r="CI389" s="74" t="str">
        <f aca="false">IF(ISBLANK($C389),"",IF(NOT($AJ389),"",IF(ISBLANK($D$7),$CI$5,IF(NOT(ISNUMBER($D$7)),$CI$6,""))))</f>
        <v/>
      </c>
      <c r="CJ389" s="74" t="str">
        <f aca="false">IF(ISBLANK($C389),"",OR($AL389="",$AM389="",$AN389=""))</f>
        <v/>
      </c>
      <c r="CK389" s="74" t="str">
        <f aca="false">IF(ISBLANK($C389),"",AND($AJ389,$AX389=""))</f>
        <v/>
      </c>
      <c r="CL389" s="74" t="str">
        <f aca="false">IF(ISBLANK($C389),"",AND($AJ389,$AY389=""))</f>
        <v/>
      </c>
      <c r="CM389" s="74" t="str">
        <f aca="false">IF(ISBLANK($C389),"",AND($AJ389,$AZ389=""))</f>
        <v/>
      </c>
      <c r="CN389" s="74" t="str">
        <f aca="false">IF(ISBLANK($C389),"",AND($AJ389,$BC389=""))</f>
        <v/>
      </c>
      <c r="CO389" s="74" t="str">
        <f aca="false">IF(ISBLANK($C389),"",AND($AJ389,$BF389=""))</f>
        <v/>
      </c>
      <c r="CP389" s="75"/>
      <c r="CQ389" s="76"/>
      <c r="CR389" s="79" t="str">
        <f aca="false">IF(ISBLANK($C389),"",IF($BH389=Constants!$B$8,$CI389,""))</f>
        <v/>
      </c>
      <c r="CS389" s="76" t="str">
        <f aca="false">IF(ISBLANK($C389),"",IF($BH389&lt;&gt;Constants!$B$4,"",$BK389+$BL389))</f>
        <v/>
      </c>
      <c r="CT389" s="78" t="str">
        <f aca="false">IF(ISBLANK($C389),"",IF($BH389&lt;&gt;Constants!$B$4,"",$BM389+$BN389+$BO389))</f>
        <v/>
      </c>
      <c r="CU389" s="78" t="str">
        <f aca="false">IF(ISBLANK($C389),"",IF($BH389&lt;&gt;Constants!$B$4,"",$BP389))</f>
        <v/>
      </c>
      <c r="CV389" s="78" t="str">
        <f aca="false">IF(ISBLANK($C389),"",IF($BH389&lt;&gt;Constants!$B$4,"",$BQ389+$BR389))</f>
        <v/>
      </c>
      <c r="CW389" s="78" t="str">
        <f aca="false">IF(ISBLANK($C389),"",IF($BH389&lt;&gt;Constants!$B$4,"",$BS389))</f>
        <v/>
      </c>
      <c r="CX389" s="78" t="str">
        <f aca="false">IF(ISBLANK($C389),"",IF($BH389&lt;&gt;Constants!$B$4,"",-$BZ389))</f>
        <v/>
      </c>
      <c r="CY389" s="79" t="str">
        <f aca="false">IF(ISBLANK($C389),"",$CA389)</f>
        <v/>
      </c>
      <c r="CZ389" s="80" t="str">
        <f aca="false">IF(ISBLANK($C389),"",$BI389)</f>
        <v/>
      </c>
      <c r="DA389" s="78" t="str">
        <f aca="false">IF(ISBLANK($C389),"",$CH389)</f>
        <v/>
      </c>
      <c r="DB389" s="78" t="str">
        <f aca="false">IF(ISBLANK($C389),"",$CG389)</f>
        <v/>
      </c>
      <c r="DC389" s="81" t="str">
        <f aca="false">IF(ISBLANK($C389),"",IFERROR(_xlfn.SWITCH($DB389,Constants!$B$7,COUNTA($C$9:$C$508)+2,Constants!$B$6,COUNTA($C$9:$C$508)+1,Constants!$B$5,COUNTA($C$9:$C$508)),$DB389))</f>
        <v/>
      </c>
      <c r="DD389" s="7"/>
      <c r="DE389" s="82" t="n">
        <f aca="false">IF(OR(ISNUMBER($DB389),$DB389=Constants!$B$7,$DB389=Constants!$B$5,$DB389=Constants!$B$6),1,0)</f>
        <v>0</v>
      </c>
      <c r="DF389" s="82" t="n">
        <v>381</v>
      </c>
      <c r="DG389" s="82" t="str">
        <f aca="false">IF(ISBLANK($C389),"",IF(ISNUMBER($DC389),$DC389+ROW($B389)/1000,""))</f>
        <v/>
      </c>
      <c r="DH389" s="82" t="str">
        <f aca="false">IF(ISNUMBER($DG389),RANK($DG389,$DG$9:$DG$508,1),"")</f>
        <v/>
      </c>
      <c r="DI389" s="82" t="str">
        <f aca="false">IF(ISBLANK($C389),"",$B389)</f>
        <v/>
      </c>
      <c r="DJ389" s="82" t="str">
        <f aca="false">IF(ISBLANK($C389),"",$C389)</f>
        <v/>
      </c>
      <c r="DK389" s="82" t="str">
        <f aca="false">IF(ISBLANK($C389),"",$D389)</f>
        <v/>
      </c>
      <c r="DL389" s="83" t="str">
        <f aca="false">$CZ389</f>
        <v/>
      </c>
      <c r="DM389" s="84" t="str">
        <f aca="false">$CY389</f>
        <v/>
      </c>
      <c r="DN389" s="82" t="str">
        <f aca="false">IF(ISBLANK($C389),"",$DB389)</f>
        <v/>
      </c>
      <c r="DO389" s="85" t="str">
        <f aca="false">IF($DF389&gt;$DE$8,"",VLOOKUP($DF389,$DH$9:$DN$508,7,FALSE()))</f>
        <v/>
      </c>
      <c r="DP389" s="86" t="str">
        <f aca="false">IF($DF389&gt;$DE$8,"",VLOOKUP($DF389,$DH$9:$DN$508,2,FALSE()))</f>
        <v/>
      </c>
      <c r="DQ389" s="86" t="str">
        <f aca="false">IF($DF389&gt;$DE$8,"",VLOOKUP($DF389,$DH$9:$DN$508,3,FALSE()))</f>
        <v/>
      </c>
      <c r="DR389" s="86" t="str">
        <f aca="false">IF($DF389&gt;$DE$8,"",VLOOKUP($DF389,$DH$9:$DN$508,4,FALSE()))</f>
        <v/>
      </c>
      <c r="DS389" s="86" t="str">
        <f aca="false">IF($DF389&gt;$DE$8,"",VLOOKUP($DF389,$DH$9:$DN$508,5,FALSE()))</f>
        <v/>
      </c>
      <c r="DT389" s="87" t="str">
        <f aca="false">IF($DF389&gt;$DE$8,"",VLOOKUP($DF389,$DH$9:$DN$508,6,FALSE()))</f>
        <v/>
      </c>
      <c r="DU389" s="62"/>
    </row>
    <row r="390" customFormat="false" ht="15.75" hidden="false" customHeight="false" outlineLevel="0" collapsed="false">
      <c r="A390" s="7"/>
      <c r="B390" s="90"/>
      <c r="C390" s="91"/>
      <c r="D390" s="126"/>
      <c r="E390" s="130"/>
      <c r="F390" s="135"/>
      <c r="G390" s="130"/>
      <c r="H390" s="135"/>
      <c r="I390" s="131"/>
      <c r="J390" s="131"/>
      <c r="K390" s="131"/>
      <c r="L390" s="130"/>
      <c r="M390" s="130"/>
      <c r="N390" s="130"/>
      <c r="O390" s="135"/>
      <c r="P390" s="130"/>
      <c r="Q390" s="130"/>
      <c r="R390" s="130"/>
      <c r="S390" s="130"/>
      <c r="T390" s="135"/>
      <c r="U390" s="130"/>
      <c r="V390" s="96"/>
      <c r="W390" s="130"/>
      <c r="X390" s="130"/>
      <c r="Y390" s="96"/>
      <c r="Z390" s="96"/>
      <c r="AA390" s="130"/>
      <c r="AB390" s="130"/>
      <c r="AC390" s="97"/>
      <c r="AD390" s="130"/>
      <c r="AE390" s="99"/>
      <c r="AF390" s="100"/>
      <c r="AG390" s="100"/>
      <c r="AH390" s="100" t="str">
        <f aca="false">IF(ISBLANK($C390),"",IF($E390=Constants!$B$2,TRUE(),IF($E390=Constants!$B$3,FALSE(),TRUE())))</f>
        <v/>
      </c>
      <c r="AI390" s="100" t="str">
        <f aca="false">IF(ISBLANK($C390),"",IF($F390=Constants!$B$2,TRUE(),IF($F390=Constants!$B$3,FALSE(),FALSE())))</f>
        <v/>
      </c>
      <c r="AJ390" s="100" t="str">
        <f aca="false">IF(ISBLANK($C390),"",IF($G390=Constants!$B$2,TRUE(),IF($G390=Constants!$B$3,FALSE(),TRUE())))</f>
        <v/>
      </c>
      <c r="AK390" s="100" t="str">
        <f aca="false">IF(ISBLANK($C390),"",IF($H390=Constants!$B$2,TRUE(),IF($H390=Constants!$B$3,FALSE(),TRUE())))</f>
        <v/>
      </c>
      <c r="AL390" s="100" t="str">
        <f aca="false">IF(ISBLANK($C390),"",IF(ISNUMBER($I390),IF($I390&gt;=0,$I390,""),""))</f>
        <v/>
      </c>
      <c r="AM390" s="100" t="str">
        <f aca="false">IF(ISBLANK($C390),"",IF(ISNUMBER($J390),IF($J390&gt;=0,$J390,""),""))</f>
        <v/>
      </c>
      <c r="AN390" s="100" t="str">
        <f aca="false">IF(ISBLANK($C390),"",IF(ISNUMBER($K390),IF($K390&gt;=0,$K390,""),""))</f>
        <v/>
      </c>
      <c r="AO390" s="100" t="str">
        <f aca="false">IF(ISBLANK($C390),"",IF($L390=Constants!$B$2,TRUE(),IF($L390=Constants!$B$3,FALSE(),TRUE())))</f>
        <v/>
      </c>
      <c r="AP390" s="100" t="str">
        <f aca="false">IF(ISBLANK($C390),"",IF($M390=Constants!$B$2,TRUE(),IF($M390=Constants!$B$3,FALSE(),TRUE())))</f>
        <v/>
      </c>
      <c r="AQ390" s="100" t="str">
        <f aca="false">IF(ISBLANK($C390),"",IF($N390=Constants!$B$2,TRUE(),IF($N390=Constants!$B$3,FALSE(),FALSE())))</f>
        <v/>
      </c>
      <c r="AR390" s="100" t="str">
        <f aca="false">IF(ISBLANK($C390),"",IF($O390=Constants!$B$2,TRUE(),IF($O390=Constants!$B$3,FALSE(),TRUE())))</f>
        <v/>
      </c>
      <c r="AS390" s="100" t="str">
        <f aca="false">IF(ISBLANK($C390),"",IF($P390=Constants!$B$2,TRUE(),IF($P390=Constants!$B$3,FALSE(),FALSE())))</f>
        <v/>
      </c>
      <c r="AT390" s="100" t="str">
        <f aca="false">IF(ISBLANK($C390),"",IF($Q390=Constants!$B$2,TRUE(),IF($Q390=Constants!$B$3,FALSE(),FALSE())))</f>
        <v/>
      </c>
      <c r="AU390" s="100" t="str">
        <f aca="false">IF(ISBLANK($C390),"",IF($R390=Constants!$B$2,TRUE(),IF($R390=Constants!$B$3,FALSE(),FALSE())))</f>
        <v/>
      </c>
      <c r="AV390" s="100" t="str">
        <f aca="false">IF(ISBLANK($C390),"",IF($S390=Constants!$B$2,TRUE(),IF($S390=Constants!$B$3,FALSE(),FALSE())))</f>
        <v/>
      </c>
      <c r="AW390" s="100" t="str">
        <f aca="false">IF(ISBLANK($C390),"",IF($T390=Constants!$B$2,TRUE(),IF($T390=Constants!$B$3,FALSE(),FALSE())))</f>
        <v/>
      </c>
      <c r="AX390" s="100" t="str">
        <f aca="false">IF(ISBLANK($C390),"",IF(OR($U390&amp;""="1",$U390&amp;""="2",$U390&amp;""="3",$U390&amp;""="4"),VALUE($U390&amp;""),IF($U390=Constants!$B$12,Constants!$B$12,"")))</f>
        <v/>
      </c>
      <c r="AY390" s="100" t="str">
        <f aca="false">IF(ISBLANK($C390),"",IF(ISBLANK($V390),0,IF(ISNUMBER($V390),IF(AND($V390&gt;=0,$V390&lt;=Constants!$B$21,$V390=INT($V390)),$V390,""),"")))</f>
        <v/>
      </c>
      <c r="AZ390" s="100" t="str">
        <f aca="false">IF(ISBLANK($C390),"",IF(ISBLANK($W390),0,IF(ISNUMBER($W390),IF($W390&gt;=0,$W390,""),"")))</f>
        <v/>
      </c>
      <c r="BA390" s="100" t="str">
        <f aca="false">IF(ISBLANK($C390),"",IF($X390=Constants!$B$2,TRUE(),IF($X390=Constants!$B$3,FALSE(),TRUE())))</f>
        <v/>
      </c>
      <c r="BB390" s="100" t="str">
        <f aca="false">IF(ISBLANK($C390),"",IF($Y390=Constants!$B$2,TRUE(),IF($Y390=Constants!$B$3,FALSE(),FALSE())))</f>
        <v/>
      </c>
      <c r="BC390" s="100" t="str">
        <f aca="false">IF(ISBLANK($C390),"",IF(ISBLANK($Z390),0,IF(ISNUMBER($Z390),IF(AND($Z390&gt;=0,$Z390&lt;=Constants!$B$35,$Z390=INT($Z390)),$Z390,""),"")))</f>
        <v/>
      </c>
      <c r="BD390" s="100" t="str">
        <f aca="false">IF(ISBLANK($C390),"",IF($AA390=Constants!$B$2,TRUE(),IF($AA390=Constants!$B$3,FALSE(),TRUE())))</f>
        <v/>
      </c>
      <c r="BE390" s="100" t="str">
        <f aca="false">IF(ISBLANK($C390),"",IF($AB390=Constants!$B$2,TRUE(),IF($AB390=Constants!$B$3,FALSE(),TRUE())))</f>
        <v/>
      </c>
      <c r="BF390" s="100" t="str">
        <f aca="false">IF(ISBLANK($C390),"",IF(ISNUMBER($AC390),IF($AC390&gt;=0,$AC390,""),""))</f>
        <v/>
      </c>
      <c r="BG390" s="100" t="str">
        <f aca="false">IF(ISBLANK($C390),"",IF($AD390=Constants!$B$2,TRUE(),IF($AD390=Constants!$B$3,FALSE(),FALSE())))</f>
        <v/>
      </c>
      <c r="BH390" s="99" t="str">
        <f aca="false">IF(ISBLANK($C390),"",IF($BG390,Constants!$B$7,IF(COUNTA($E390:$AC390)=0,Constants!$B$6,IF(OR(COUNTA($G390:$AC390)=0,NOT($AK390),$AQ390),Constants!$B$5,IF(OR($CI390&lt;&gt;"",$CJ390,$CK390,$CL390,$CM390,$CN390,$CO390),Constants!$B$8,Constants!$B$4)))))</f>
        <v/>
      </c>
      <c r="BI390" s="100" t="str">
        <f aca="false">IF(ISBLANK($C390),"",IF($BH390&lt;&gt;Constants!$B$4,$BH390,IF(OR(NOT($AH390),NOT($AJ390),NOT($AR390)),Constants!$B$11,IF(OR(NOT($AP390),MAX($AL390,$AM390,$AN390)&gt;Constants!$B$30),Constants!$B$10,Constants!$B$9))))</f>
        <v/>
      </c>
      <c r="BJ390" s="100" t="str">
        <f aca="false">IF($BH390&lt;&gt;Constants!$B$4,"",IF(NOT($AJ390),0,MIN(Constants!$B$35,$BC390)))</f>
        <v/>
      </c>
      <c r="BK390" s="100" t="str">
        <f aca="false">IF($BH390&lt;&gt;Constants!$B$4,"",IF(NOT($AJ390),0,IF($AT390,Constants!$B$18,IF($AS390,Constants!$B$17,0))))</f>
        <v/>
      </c>
      <c r="BL390" s="100" t="str">
        <f aca="false">IF($BH390&lt;&gt;Constants!$B$4,"",IF(NOT($AJ390),0,Constants!$B$19*($AI390+$AU390+$AV390+$AW390)))</f>
        <v/>
      </c>
      <c r="BM390" s="100" t="str">
        <f aca="false">IF($BH390&lt;&gt;Constants!$B$4,"",IF(OR(NOT($AJ390),NOT(ISNUMBER($AX390))),0,CHOOSE($AX390,Constants!$B$13,Constants!$B$14,Constants!$B$15,Constants!$B$16)))</f>
        <v/>
      </c>
      <c r="BN390" s="100" t="str">
        <f aca="false">IF($BH390&lt;&gt;Constants!$B$4,"",IF(NOT($AJ390),0,Constants!$B$20*$AY390))</f>
        <v/>
      </c>
      <c r="BO390" s="100" t="str">
        <f aca="false">IF($BH390&lt;&gt;Constants!$B$4,"",IF(AND($AJ390,$BA390,$BB390),Constants!$B$22,0))</f>
        <v/>
      </c>
      <c r="BP390" s="100" t="str">
        <f aca="false">IF($BH390&lt;&gt;Constants!$B$4,"",IF(OR(NOT($AJ390),NOT($BA390)),0,IF($BF390&gt;=2*$AF$9,0,Constants!$B$23*INT(ROUND(MIN($BF390,$AF$9),6)))))</f>
        <v/>
      </c>
      <c r="BQ390" s="100" t="str">
        <f aca="false">IF($BH390&lt;&gt;Constants!$B$4,"",IF(NOT($AJ390),0,Constants!$B$24*INT(ROUND(MIN($AZ390,$AF$9),6))))</f>
        <v/>
      </c>
      <c r="BR390" s="100" t="str">
        <f aca="false">IF($BH390&lt;&gt;Constants!$B$4,"",IF(AND($AJ390,$BJ390=0),Constants!$B$25,0))</f>
        <v/>
      </c>
      <c r="BS390" s="100" t="str">
        <f aca="false">IF($BH390&lt;&gt;Constants!$B$4,"",MIN(Constants!$B$29,MAX(0,Constants!$B$27*Constants!$B$28*INT(ROUND((Constants!$B$26-$AL390)/Constants!$B$28,6))))+MIN(Constants!$B$29,MAX(0,Constants!$B$27*Constants!$B$28*INT(ROUND((Constants!$B$26-$AM390)/Constants!$B$28,6))))+MIN(Constants!$B$29,MAX(0,Constants!$B$27*Constants!$B$28*INT(ROUND((Constants!$B$26-$AN390)/Constants!$B$28,6)))))</f>
        <v/>
      </c>
      <c r="BT390" s="100" t="str">
        <f aca="false">IF($BH390&lt;&gt;Constants!$B$4,"",IF(NOT($AJ390),0,Constants!$B$31*INT(ROUND(MAX(0,MIN($BF390,2*$AF$9)-$AF$9),6))))</f>
        <v/>
      </c>
      <c r="BU390" s="100" t="str">
        <f aca="false">IF($BH390&lt;&gt;Constants!$B$4,"",Constants!$B$32*(($AL390&gt;Constants!$B$26)+($AM390&gt;Constants!$B$26)+($AN390&gt;Constants!$B$26)))</f>
        <v/>
      </c>
      <c r="BV390" s="100" t="str">
        <f aca="false">IF($BH390&lt;&gt;Constants!$B$4,"",IF(OR(NOT($AJ390),$AO390),0,Constants!$B$33))</f>
        <v/>
      </c>
      <c r="BW390" s="100" t="str">
        <f aca="false">IF($BH390&lt;&gt;Constants!$B$4,"",Constants!$B$34*$BJ390)</f>
        <v/>
      </c>
      <c r="BX390" s="100" t="str">
        <f aca="false">IF($BH390&lt;&gt;Constants!$B$4,"",IF(OR(NOT($AJ390),$BE390),0,Constants!$B$36))</f>
        <v/>
      </c>
      <c r="BY390" s="100" t="str">
        <f aca="false">IF($BH390&lt;&gt;Constants!$B$4,"",IF(OR(NOT($AJ390),$BD390),0,Constants!$B$37))</f>
        <v/>
      </c>
      <c r="BZ390" s="100" t="str">
        <f aca="false">IF($BH390&lt;&gt;Constants!$B$4,"",SUM($BT390:$BY390))</f>
        <v/>
      </c>
      <c r="CA390" s="100" t="str">
        <f aca="false">IF(ISBLANK($C390),"",IF($BH390&lt;&gt;Constants!$B$4,$BH390,SUM($BK390:$BS390)-$BZ390))</f>
        <v/>
      </c>
      <c r="CB390" s="100" t="str">
        <f aca="false">IF(ISBLANK($C390),"",IF($BH390&lt;&gt;Constants!$B$4,$BH390,RANK($CA390,$CA$9:$CA$508)))</f>
        <v/>
      </c>
      <c r="CC390" s="100" t="str">
        <f aca="false">IF(ISBLANK($C390),"",IF($BH390&lt;&gt;Constants!$B$4,$BH390,COUNTIFS($BI$9:$BI$508,"&lt;"&amp;$BI390)+COUNTIFS($BI$9:$BI$508,$BI390,$CB$9:$CB$508,"&lt;"&amp;$CB390)+1))</f>
        <v/>
      </c>
      <c r="CD390" s="100" t="str">
        <f aca="false">IF(ISBLANK($C390),"",IF($BH390&lt;&gt;Constants!$B$4,$BH390,RANK($BZ390,$BZ$9:$BZ$508,1)))</f>
        <v/>
      </c>
      <c r="CE390" s="100" t="str">
        <f aca="false">IF($BH390&lt;&gt;Constants!$B$4,"",$AL390+$AM390+$AN390)</f>
        <v/>
      </c>
      <c r="CF390" s="100" t="str">
        <f aca="false">IF(ISBLANK($C390),"",IF($BH390&lt;&gt;Constants!$B$4,$BH390,RANK($CE390,$CE$9:$CE$508,1)))</f>
        <v/>
      </c>
      <c r="CG390" s="100" t="str">
        <f aca="false">IF(ISBLANK($C390),"",IF($BH390&lt;&gt;Constants!$B$4,$BH390,COUNTIFS($BI$9:$BI$508,"&lt;"&amp;$BI390)+COUNTIFS($BI$9:$BI$508,$BI390,$CB$9:$CB$508,"&lt;"&amp;$CB390)+COUNTIFS($BI$9:$BI$508,$BI390,$CB$9:$CB$508,$CB390,$CD$9:$CD$508,"&lt;"&amp;$CD390)+COUNTIFS($BI$9:$BI$508,$BI390,$CB$9:$CB$508,$CB390,$CD$9:$CD$508,$CD390,$CF$9:$CF$508,"&lt;"&amp;$CF390)+1))</f>
        <v/>
      </c>
      <c r="CH390" s="100" t="str">
        <f aca="false">IF(ISBLANK($C390),"",IF($BH390&lt;&gt;Constants!$B$4,$BH390,$CC390-$CG390))</f>
        <v/>
      </c>
      <c r="CI390" s="100" t="str">
        <f aca="false">IF(ISBLANK($C390),"",IF(NOT($AJ390),"",IF(ISBLANK($D$7),$CI$5,IF(NOT(ISNUMBER($D$7)),$CI$6,""))))</f>
        <v/>
      </c>
      <c r="CJ390" s="100" t="str">
        <f aca="false">IF(ISBLANK($C390),"",OR($AL390="",$AM390="",$AN390=""))</f>
        <v/>
      </c>
      <c r="CK390" s="100" t="str">
        <f aca="false">IF(ISBLANK($C390),"",AND($AJ390,$AX390=""))</f>
        <v/>
      </c>
      <c r="CL390" s="100" t="str">
        <f aca="false">IF(ISBLANK($C390),"",AND($AJ390,$AY390=""))</f>
        <v/>
      </c>
      <c r="CM390" s="100" t="str">
        <f aca="false">IF(ISBLANK($C390),"",AND($AJ390,$AZ390=""))</f>
        <v/>
      </c>
      <c r="CN390" s="100" t="str">
        <f aca="false">IF(ISBLANK($C390),"",AND($AJ390,$BC390=""))</f>
        <v/>
      </c>
      <c r="CO390" s="100" t="str">
        <f aca="false">IF(ISBLANK($C390),"",AND($AJ390,$BF390=""))</f>
        <v/>
      </c>
      <c r="CP390" s="101"/>
      <c r="CQ390" s="102"/>
      <c r="CR390" s="103" t="str">
        <f aca="false">IF(ISBLANK($C390),"",IF($BH390=Constants!$B$8,$CI390,""))</f>
        <v/>
      </c>
      <c r="CS390" s="102" t="str">
        <f aca="false">IF(ISBLANK($C390),"",IF($BH390&lt;&gt;Constants!$B$4,"",$BK390+$BL390))</f>
        <v/>
      </c>
      <c r="CT390" s="104" t="str">
        <f aca="false">IF(ISBLANK($C390),"",IF($BH390&lt;&gt;Constants!$B$4,"",$BM390+$BN390+$BO390))</f>
        <v/>
      </c>
      <c r="CU390" s="104" t="str">
        <f aca="false">IF(ISBLANK($C390),"",IF($BH390&lt;&gt;Constants!$B$4,"",$BP390))</f>
        <v/>
      </c>
      <c r="CV390" s="104" t="str">
        <f aca="false">IF(ISBLANK($C390),"",IF($BH390&lt;&gt;Constants!$B$4,"",$BQ390+$BR390))</f>
        <v/>
      </c>
      <c r="CW390" s="104" t="str">
        <f aca="false">IF(ISBLANK($C390),"",IF($BH390&lt;&gt;Constants!$B$4,"",$BS390))</f>
        <v/>
      </c>
      <c r="CX390" s="104" t="str">
        <f aca="false">IF(ISBLANK($C390),"",IF($BH390&lt;&gt;Constants!$B$4,"",-$BZ390))</f>
        <v/>
      </c>
      <c r="CY390" s="103" t="str">
        <f aca="false">IF(ISBLANK($C390),"",$CA390)</f>
        <v/>
      </c>
      <c r="CZ390" s="105" t="str">
        <f aca="false">IF(ISBLANK($C390),"",$BI390)</f>
        <v/>
      </c>
      <c r="DA390" s="104" t="str">
        <f aca="false">IF(ISBLANK($C390),"",$CH390)</f>
        <v/>
      </c>
      <c r="DB390" s="104" t="str">
        <f aca="false">IF(ISBLANK($C390),"",$CG390)</f>
        <v/>
      </c>
      <c r="DC390" s="106" t="str">
        <f aca="false">IF(ISBLANK($C390),"",IFERROR(_xlfn.SWITCH($DB390,Constants!$B$7,COUNTA($C$9:$C$508)+2,Constants!$B$6,COUNTA($C$9:$C$508)+1,Constants!$B$5,COUNTA($C$9:$C$508)),$DB390))</f>
        <v/>
      </c>
      <c r="DD390" s="7"/>
      <c r="DE390" s="107" t="n">
        <f aca="false">IF(OR(ISNUMBER($DB390),$DB390=Constants!$B$7,$DB390=Constants!$B$5,$DB390=Constants!$B$6),1,0)</f>
        <v>0</v>
      </c>
      <c r="DF390" s="107" t="n">
        <v>382</v>
      </c>
      <c r="DG390" s="107" t="str">
        <f aca="false">IF(ISBLANK($C390),"",IF(ISNUMBER($DC390),$DC390+ROW($B390)/1000,""))</f>
        <v/>
      </c>
      <c r="DH390" s="107" t="str">
        <f aca="false">IF(ISNUMBER($DG390),RANK($DG390,$DG$9:$DG$508,1),"")</f>
        <v/>
      </c>
      <c r="DI390" s="107" t="str">
        <f aca="false">IF(ISBLANK($C390),"",$B390)</f>
        <v/>
      </c>
      <c r="DJ390" s="107" t="str">
        <f aca="false">IF(ISBLANK($C390),"",$C390)</f>
        <v/>
      </c>
      <c r="DK390" s="107" t="str">
        <f aca="false">IF(ISBLANK($C390),"",$D390)</f>
        <v/>
      </c>
      <c r="DL390" s="108" t="str">
        <f aca="false">$CZ390</f>
        <v/>
      </c>
      <c r="DM390" s="109" t="str">
        <f aca="false">$CY390</f>
        <v/>
      </c>
      <c r="DN390" s="107" t="str">
        <f aca="false">IF(ISBLANK($C390),"",$DB390)</f>
        <v/>
      </c>
      <c r="DO390" s="110" t="str">
        <f aca="false">IF($DF390&gt;$DE$8,"",VLOOKUP($DF390,$DH$9:$DN$508,7,FALSE()))</f>
        <v/>
      </c>
      <c r="DP390" s="111" t="str">
        <f aca="false">IF($DF390&gt;$DE$8,"",VLOOKUP($DF390,$DH$9:$DN$508,2,FALSE()))</f>
        <v/>
      </c>
      <c r="DQ390" s="111" t="str">
        <f aca="false">IF($DF390&gt;$DE$8,"",VLOOKUP($DF390,$DH$9:$DN$508,3,FALSE()))</f>
        <v/>
      </c>
      <c r="DR390" s="111" t="str">
        <f aca="false">IF($DF390&gt;$DE$8,"",VLOOKUP($DF390,$DH$9:$DN$508,4,FALSE()))</f>
        <v/>
      </c>
      <c r="DS390" s="111" t="str">
        <f aca="false">IF($DF390&gt;$DE$8,"",VLOOKUP($DF390,$DH$9:$DN$508,5,FALSE()))</f>
        <v/>
      </c>
      <c r="DT390" s="112" t="str">
        <f aca="false">IF($DF390&gt;$DE$8,"",VLOOKUP($DF390,$DH$9:$DN$508,6,FALSE()))</f>
        <v/>
      </c>
      <c r="DU390" s="62"/>
    </row>
    <row r="391" customFormat="false" ht="15.75" hidden="false" customHeight="false" outlineLevel="0" collapsed="false">
      <c r="A391" s="7"/>
      <c r="B391" s="90"/>
      <c r="C391" s="91"/>
      <c r="D391" s="126"/>
      <c r="E391" s="130"/>
      <c r="F391" s="135"/>
      <c r="G391" s="130"/>
      <c r="H391" s="135"/>
      <c r="I391" s="131"/>
      <c r="J391" s="131"/>
      <c r="K391" s="131"/>
      <c r="L391" s="130"/>
      <c r="M391" s="130"/>
      <c r="N391" s="130"/>
      <c r="O391" s="135"/>
      <c r="P391" s="130"/>
      <c r="Q391" s="130"/>
      <c r="R391" s="130"/>
      <c r="S391" s="130"/>
      <c r="T391" s="135"/>
      <c r="U391" s="130"/>
      <c r="V391" s="96"/>
      <c r="W391" s="130"/>
      <c r="X391" s="130"/>
      <c r="Y391" s="96"/>
      <c r="Z391" s="96"/>
      <c r="AA391" s="130"/>
      <c r="AB391" s="130"/>
      <c r="AC391" s="97"/>
      <c r="AD391" s="130"/>
      <c r="AE391" s="99"/>
      <c r="AF391" s="100"/>
      <c r="AG391" s="100"/>
      <c r="AH391" s="100" t="str">
        <f aca="false">IF(ISBLANK($C391),"",IF($E391=Constants!$B$2,TRUE(),IF($E391=Constants!$B$3,FALSE(),TRUE())))</f>
        <v/>
      </c>
      <c r="AI391" s="100" t="str">
        <f aca="false">IF(ISBLANK($C391),"",IF($F391=Constants!$B$2,TRUE(),IF($F391=Constants!$B$3,FALSE(),FALSE())))</f>
        <v/>
      </c>
      <c r="AJ391" s="100" t="str">
        <f aca="false">IF(ISBLANK($C391),"",IF($G391=Constants!$B$2,TRUE(),IF($G391=Constants!$B$3,FALSE(),TRUE())))</f>
        <v/>
      </c>
      <c r="AK391" s="100" t="str">
        <f aca="false">IF(ISBLANK($C391),"",IF($H391=Constants!$B$2,TRUE(),IF($H391=Constants!$B$3,FALSE(),TRUE())))</f>
        <v/>
      </c>
      <c r="AL391" s="100" t="str">
        <f aca="false">IF(ISBLANK($C391),"",IF(ISNUMBER($I391),IF($I391&gt;=0,$I391,""),""))</f>
        <v/>
      </c>
      <c r="AM391" s="100" t="str">
        <f aca="false">IF(ISBLANK($C391),"",IF(ISNUMBER($J391),IF($J391&gt;=0,$J391,""),""))</f>
        <v/>
      </c>
      <c r="AN391" s="100" t="str">
        <f aca="false">IF(ISBLANK($C391),"",IF(ISNUMBER($K391),IF($K391&gt;=0,$K391,""),""))</f>
        <v/>
      </c>
      <c r="AO391" s="100" t="str">
        <f aca="false">IF(ISBLANK($C391),"",IF($L391=Constants!$B$2,TRUE(),IF($L391=Constants!$B$3,FALSE(),TRUE())))</f>
        <v/>
      </c>
      <c r="AP391" s="100" t="str">
        <f aca="false">IF(ISBLANK($C391),"",IF($M391=Constants!$B$2,TRUE(),IF($M391=Constants!$B$3,FALSE(),TRUE())))</f>
        <v/>
      </c>
      <c r="AQ391" s="100" t="str">
        <f aca="false">IF(ISBLANK($C391),"",IF($N391=Constants!$B$2,TRUE(),IF($N391=Constants!$B$3,FALSE(),FALSE())))</f>
        <v/>
      </c>
      <c r="AR391" s="100" t="str">
        <f aca="false">IF(ISBLANK($C391),"",IF($O391=Constants!$B$2,TRUE(),IF($O391=Constants!$B$3,FALSE(),TRUE())))</f>
        <v/>
      </c>
      <c r="AS391" s="100" t="str">
        <f aca="false">IF(ISBLANK($C391),"",IF($P391=Constants!$B$2,TRUE(),IF($P391=Constants!$B$3,FALSE(),FALSE())))</f>
        <v/>
      </c>
      <c r="AT391" s="100" t="str">
        <f aca="false">IF(ISBLANK($C391),"",IF($Q391=Constants!$B$2,TRUE(),IF($Q391=Constants!$B$3,FALSE(),FALSE())))</f>
        <v/>
      </c>
      <c r="AU391" s="100" t="str">
        <f aca="false">IF(ISBLANK($C391),"",IF($R391=Constants!$B$2,TRUE(),IF($R391=Constants!$B$3,FALSE(),FALSE())))</f>
        <v/>
      </c>
      <c r="AV391" s="100" t="str">
        <f aca="false">IF(ISBLANK($C391),"",IF($S391=Constants!$B$2,TRUE(),IF($S391=Constants!$B$3,FALSE(),FALSE())))</f>
        <v/>
      </c>
      <c r="AW391" s="100" t="str">
        <f aca="false">IF(ISBLANK($C391),"",IF($T391=Constants!$B$2,TRUE(),IF($T391=Constants!$B$3,FALSE(),FALSE())))</f>
        <v/>
      </c>
      <c r="AX391" s="100" t="str">
        <f aca="false">IF(ISBLANK($C391),"",IF(OR($U391&amp;""="1",$U391&amp;""="2",$U391&amp;""="3",$U391&amp;""="4"),VALUE($U391&amp;""),IF($U391=Constants!$B$12,Constants!$B$12,"")))</f>
        <v/>
      </c>
      <c r="AY391" s="100" t="str">
        <f aca="false">IF(ISBLANK($C391),"",IF(ISBLANK($V391),0,IF(ISNUMBER($V391),IF(AND($V391&gt;=0,$V391&lt;=Constants!$B$21,$V391=INT($V391)),$V391,""),"")))</f>
        <v/>
      </c>
      <c r="AZ391" s="100" t="str">
        <f aca="false">IF(ISBLANK($C391),"",IF(ISBLANK($W391),0,IF(ISNUMBER($W391),IF($W391&gt;=0,$W391,""),"")))</f>
        <v/>
      </c>
      <c r="BA391" s="100" t="str">
        <f aca="false">IF(ISBLANK($C391),"",IF($X391=Constants!$B$2,TRUE(),IF($X391=Constants!$B$3,FALSE(),TRUE())))</f>
        <v/>
      </c>
      <c r="BB391" s="100" t="str">
        <f aca="false">IF(ISBLANK($C391),"",IF($Y391=Constants!$B$2,TRUE(),IF($Y391=Constants!$B$3,FALSE(),FALSE())))</f>
        <v/>
      </c>
      <c r="BC391" s="100" t="str">
        <f aca="false">IF(ISBLANK($C391),"",IF(ISBLANK($Z391),0,IF(ISNUMBER($Z391),IF(AND($Z391&gt;=0,$Z391&lt;=Constants!$B$35,$Z391=INT($Z391)),$Z391,""),"")))</f>
        <v/>
      </c>
      <c r="BD391" s="100" t="str">
        <f aca="false">IF(ISBLANK($C391),"",IF($AA391=Constants!$B$2,TRUE(),IF($AA391=Constants!$B$3,FALSE(),TRUE())))</f>
        <v/>
      </c>
      <c r="BE391" s="100" t="str">
        <f aca="false">IF(ISBLANK($C391),"",IF($AB391=Constants!$B$2,TRUE(),IF($AB391=Constants!$B$3,FALSE(),TRUE())))</f>
        <v/>
      </c>
      <c r="BF391" s="100" t="str">
        <f aca="false">IF(ISBLANK($C391),"",IF(ISNUMBER($AC391),IF($AC391&gt;=0,$AC391,""),""))</f>
        <v/>
      </c>
      <c r="BG391" s="100" t="str">
        <f aca="false">IF(ISBLANK($C391),"",IF($AD391=Constants!$B$2,TRUE(),IF($AD391=Constants!$B$3,FALSE(),FALSE())))</f>
        <v/>
      </c>
      <c r="BH391" s="99" t="str">
        <f aca="false">IF(ISBLANK($C391),"",IF($BG391,Constants!$B$7,IF(COUNTA($E391:$AC391)=0,Constants!$B$6,IF(OR(COUNTA($G391:$AC391)=0,NOT($AK391),$AQ391),Constants!$B$5,IF(OR($CI391&lt;&gt;"",$CJ391,$CK391,$CL391,$CM391,$CN391,$CO391),Constants!$B$8,Constants!$B$4)))))</f>
        <v/>
      </c>
      <c r="BI391" s="100" t="str">
        <f aca="false">IF(ISBLANK($C391),"",IF($BH391&lt;&gt;Constants!$B$4,$BH391,IF(OR(NOT($AH391),NOT($AJ391),NOT($AR391)),Constants!$B$11,IF(OR(NOT($AP391),MAX($AL391,$AM391,$AN391)&gt;Constants!$B$30),Constants!$B$10,Constants!$B$9))))</f>
        <v/>
      </c>
      <c r="BJ391" s="100" t="str">
        <f aca="false">IF($BH391&lt;&gt;Constants!$B$4,"",IF(NOT($AJ391),0,MIN(Constants!$B$35,$BC391)))</f>
        <v/>
      </c>
      <c r="BK391" s="100" t="str">
        <f aca="false">IF($BH391&lt;&gt;Constants!$B$4,"",IF(NOT($AJ391),0,IF($AT391,Constants!$B$18,IF($AS391,Constants!$B$17,0))))</f>
        <v/>
      </c>
      <c r="BL391" s="100" t="str">
        <f aca="false">IF($BH391&lt;&gt;Constants!$B$4,"",IF(NOT($AJ391),0,Constants!$B$19*($AI391+$AU391+$AV391+$AW391)))</f>
        <v/>
      </c>
      <c r="BM391" s="100" t="str">
        <f aca="false">IF($BH391&lt;&gt;Constants!$B$4,"",IF(OR(NOT($AJ391),NOT(ISNUMBER($AX391))),0,CHOOSE($AX391,Constants!$B$13,Constants!$B$14,Constants!$B$15,Constants!$B$16)))</f>
        <v/>
      </c>
      <c r="BN391" s="100" t="str">
        <f aca="false">IF($BH391&lt;&gt;Constants!$B$4,"",IF(NOT($AJ391),0,Constants!$B$20*$AY391))</f>
        <v/>
      </c>
      <c r="BO391" s="100" t="str">
        <f aca="false">IF($BH391&lt;&gt;Constants!$B$4,"",IF(AND($AJ391,$BA391,$BB391),Constants!$B$22,0))</f>
        <v/>
      </c>
      <c r="BP391" s="100" t="str">
        <f aca="false">IF($BH391&lt;&gt;Constants!$B$4,"",IF(OR(NOT($AJ391),NOT($BA391)),0,IF($BF391&gt;=2*$AF$9,0,Constants!$B$23*INT(ROUND(MIN($BF391,$AF$9),6)))))</f>
        <v/>
      </c>
      <c r="BQ391" s="100" t="str">
        <f aca="false">IF($BH391&lt;&gt;Constants!$B$4,"",IF(NOT($AJ391),0,Constants!$B$24*INT(ROUND(MIN($AZ391,$AF$9),6))))</f>
        <v/>
      </c>
      <c r="BR391" s="100" t="str">
        <f aca="false">IF($BH391&lt;&gt;Constants!$B$4,"",IF(AND($AJ391,$BJ391=0),Constants!$B$25,0))</f>
        <v/>
      </c>
      <c r="BS391" s="100" t="str">
        <f aca="false">IF($BH391&lt;&gt;Constants!$B$4,"",MIN(Constants!$B$29,MAX(0,Constants!$B$27*Constants!$B$28*INT(ROUND((Constants!$B$26-$AL391)/Constants!$B$28,6))))+MIN(Constants!$B$29,MAX(0,Constants!$B$27*Constants!$B$28*INT(ROUND((Constants!$B$26-$AM391)/Constants!$B$28,6))))+MIN(Constants!$B$29,MAX(0,Constants!$B$27*Constants!$B$28*INT(ROUND((Constants!$B$26-$AN391)/Constants!$B$28,6)))))</f>
        <v/>
      </c>
      <c r="BT391" s="100" t="str">
        <f aca="false">IF($BH391&lt;&gt;Constants!$B$4,"",IF(NOT($AJ391),0,Constants!$B$31*INT(ROUND(MAX(0,MIN($BF391,2*$AF$9)-$AF$9),6))))</f>
        <v/>
      </c>
      <c r="BU391" s="100" t="str">
        <f aca="false">IF($BH391&lt;&gt;Constants!$B$4,"",Constants!$B$32*(($AL391&gt;Constants!$B$26)+($AM391&gt;Constants!$B$26)+($AN391&gt;Constants!$B$26)))</f>
        <v/>
      </c>
      <c r="BV391" s="100" t="str">
        <f aca="false">IF($BH391&lt;&gt;Constants!$B$4,"",IF(OR(NOT($AJ391),$AO391),0,Constants!$B$33))</f>
        <v/>
      </c>
      <c r="BW391" s="100" t="str">
        <f aca="false">IF($BH391&lt;&gt;Constants!$B$4,"",Constants!$B$34*$BJ391)</f>
        <v/>
      </c>
      <c r="BX391" s="100" t="str">
        <f aca="false">IF($BH391&lt;&gt;Constants!$B$4,"",IF(OR(NOT($AJ391),$BE391),0,Constants!$B$36))</f>
        <v/>
      </c>
      <c r="BY391" s="100" t="str">
        <f aca="false">IF($BH391&lt;&gt;Constants!$B$4,"",IF(OR(NOT($AJ391),$BD391),0,Constants!$B$37))</f>
        <v/>
      </c>
      <c r="BZ391" s="100" t="str">
        <f aca="false">IF($BH391&lt;&gt;Constants!$B$4,"",SUM($BT391:$BY391))</f>
        <v/>
      </c>
      <c r="CA391" s="100" t="str">
        <f aca="false">IF(ISBLANK($C391),"",IF($BH391&lt;&gt;Constants!$B$4,$BH391,SUM($BK391:$BS391)-$BZ391))</f>
        <v/>
      </c>
      <c r="CB391" s="100" t="str">
        <f aca="false">IF(ISBLANK($C391),"",IF($BH391&lt;&gt;Constants!$B$4,$BH391,RANK($CA391,$CA$9:$CA$508)))</f>
        <v/>
      </c>
      <c r="CC391" s="100" t="str">
        <f aca="false">IF(ISBLANK($C391),"",IF($BH391&lt;&gt;Constants!$B$4,$BH391,COUNTIFS($BI$9:$BI$508,"&lt;"&amp;$BI391)+COUNTIFS($BI$9:$BI$508,$BI391,$CB$9:$CB$508,"&lt;"&amp;$CB391)+1))</f>
        <v/>
      </c>
      <c r="CD391" s="100" t="str">
        <f aca="false">IF(ISBLANK($C391),"",IF($BH391&lt;&gt;Constants!$B$4,$BH391,RANK($BZ391,$BZ$9:$BZ$508,1)))</f>
        <v/>
      </c>
      <c r="CE391" s="100" t="str">
        <f aca="false">IF($BH391&lt;&gt;Constants!$B$4,"",$AL391+$AM391+$AN391)</f>
        <v/>
      </c>
      <c r="CF391" s="100" t="str">
        <f aca="false">IF(ISBLANK($C391),"",IF($BH391&lt;&gt;Constants!$B$4,$BH391,RANK($CE391,$CE$9:$CE$508,1)))</f>
        <v/>
      </c>
      <c r="CG391" s="100" t="str">
        <f aca="false">IF(ISBLANK($C391),"",IF($BH391&lt;&gt;Constants!$B$4,$BH391,COUNTIFS($BI$9:$BI$508,"&lt;"&amp;$BI391)+COUNTIFS($BI$9:$BI$508,$BI391,$CB$9:$CB$508,"&lt;"&amp;$CB391)+COUNTIFS($BI$9:$BI$508,$BI391,$CB$9:$CB$508,$CB391,$CD$9:$CD$508,"&lt;"&amp;$CD391)+COUNTIFS($BI$9:$BI$508,$BI391,$CB$9:$CB$508,$CB391,$CD$9:$CD$508,$CD391,$CF$9:$CF$508,"&lt;"&amp;$CF391)+1))</f>
        <v/>
      </c>
      <c r="CH391" s="100" t="str">
        <f aca="false">IF(ISBLANK($C391),"",IF($BH391&lt;&gt;Constants!$B$4,$BH391,$CC391-$CG391))</f>
        <v/>
      </c>
      <c r="CI391" s="100" t="str">
        <f aca="false">IF(ISBLANK($C391),"",IF(NOT($AJ391),"",IF(ISBLANK($D$7),$CI$5,IF(NOT(ISNUMBER($D$7)),$CI$6,""))))</f>
        <v/>
      </c>
      <c r="CJ391" s="100" t="str">
        <f aca="false">IF(ISBLANK($C391),"",OR($AL391="",$AM391="",$AN391=""))</f>
        <v/>
      </c>
      <c r="CK391" s="100" t="str">
        <f aca="false">IF(ISBLANK($C391),"",AND($AJ391,$AX391=""))</f>
        <v/>
      </c>
      <c r="CL391" s="100" t="str">
        <f aca="false">IF(ISBLANK($C391),"",AND($AJ391,$AY391=""))</f>
        <v/>
      </c>
      <c r="CM391" s="100" t="str">
        <f aca="false">IF(ISBLANK($C391),"",AND($AJ391,$AZ391=""))</f>
        <v/>
      </c>
      <c r="CN391" s="100" t="str">
        <f aca="false">IF(ISBLANK($C391),"",AND($AJ391,$BC391=""))</f>
        <v/>
      </c>
      <c r="CO391" s="100" t="str">
        <f aca="false">IF(ISBLANK($C391),"",AND($AJ391,$BF391=""))</f>
        <v/>
      </c>
      <c r="CP391" s="101"/>
      <c r="CQ391" s="102"/>
      <c r="CR391" s="103" t="str">
        <f aca="false">IF(ISBLANK($C391),"",IF($BH391=Constants!$B$8,$CI391,""))</f>
        <v/>
      </c>
      <c r="CS391" s="102" t="str">
        <f aca="false">IF(ISBLANK($C391),"",IF($BH391&lt;&gt;Constants!$B$4,"",$BK391+$BL391))</f>
        <v/>
      </c>
      <c r="CT391" s="104" t="str">
        <f aca="false">IF(ISBLANK($C391),"",IF($BH391&lt;&gt;Constants!$B$4,"",$BM391+$BN391+$BO391))</f>
        <v/>
      </c>
      <c r="CU391" s="104" t="str">
        <f aca="false">IF(ISBLANK($C391),"",IF($BH391&lt;&gt;Constants!$B$4,"",$BP391))</f>
        <v/>
      </c>
      <c r="CV391" s="104" t="str">
        <f aca="false">IF(ISBLANK($C391),"",IF($BH391&lt;&gt;Constants!$B$4,"",$BQ391+$BR391))</f>
        <v/>
      </c>
      <c r="CW391" s="104" t="str">
        <f aca="false">IF(ISBLANK($C391),"",IF($BH391&lt;&gt;Constants!$B$4,"",$BS391))</f>
        <v/>
      </c>
      <c r="CX391" s="104" t="str">
        <f aca="false">IF(ISBLANK($C391),"",IF($BH391&lt;&gt;Constants!$B$4,"",-$BZ391))</f>
        <v/>
      </c>
      <c r="CY391" s="103" t="str">
        <f aca="false">IF(ISBLANK($C391),"",$CA391)</f>
        <v/>
      </c>
      <c r="CZ391" s="105" t="str">
        <f aca="false">IF(ISBLANK($C391),"",$BI391)</f>
        <v/>
      </c>
      <c r="DA391" s="104" t="str">
        <f aca="false">IF(ISBLANK($C391),"",$CH391)</f>
        <v/>
      </c>
      <c r="DB391" s="104" t="str">
        <f aca="false">IF(ISBLANK($C391),"",$CG391)</f>
        <v/>
      </c>
      <c r="DC391" s="106" t="str">
        <f aca="false">IF(ISBLANK($C391),"",IFERROR(_xlfn.SWITCH($DB391,Constants!$B$7,COUNTA($C$9:$C$508)+2,Constants!$B$6,COUNTA($C$9:$C$508)+1,Constants!$B$5,COUNTA($C$9:$C$508)),$DB391))</f>
        <v/>
      </c>
      <c r="DD391" s="7"/>
      <c r="DE391" s="107" t="n">
        <f aca="false">IF(OR(ISNUMBER($DB391),$DB391=Constants!$B$7,$DB391=Constants!$B$5,$DB391=Constants!$B$6),1,0)</f>
        <v>0</v>
      </c>
      <c r="DF391" s="107" t="n">
        <v>383</v>
      </c>
      <c r="DG391" s="107" t="str">
        <f aca="false">IF(ISBLANK($C391),"",IF(ISNUMBER($DC391),$DC391+ROW($B391)/1000,""))</f>
        <v/>
      </c>
      <c r="DH391" s="107" t="str">
        <f aca="false">IF(ISNUMBER($DG391),RANK($DG391,$DG$9:$DG$508,1),"")</f>
        <v/>
      </c>
      <c r="DI391" s="107" t="str">
        <f aca="false">IF(ISBLANK($C391),"",$B391)</f>
        <v/>
      </c>
      <c r="DJ391" s="107" t="str">
        <f aca="false">IF(ISBLANK($C391),"",$C391)</f>
        <v/>
      </c>
      <c r="DK391" s="107" t="str">
        <f aca="false">IF(ISBLANK($C391),"",$D391)</f>
        <v/>
      </c>
      <c r="DL391" s="108" t="str">
        <f aca="false">$CZ391</f>
        <v/>
      </c>
      <c r="DM391" s="109" t="str">
        <f aca="false">$CY391</f>
        <v/>
      </c>
      <c r="DN391" s="107" t="str">
        <f aca="false">IF(ISBLANK($C391),"",$DB391)</f>
        <v/>
      </c>
      <c r="DO391" s="110" t="str">
        <f aca="false">IF($DF391&gt;$DE$8,"",VLOOKUP($DF391,$DH$9:$DN$508,7,FALSE()))</f>
        <v/>
      </c>
      <c r="DP391" s="111" t="str">
        <f aca="false">IF($DF391&gt;$DE$8,"",VLOOKUP($DF391,$DH$9:$DN$508,2,FALSE()))</f>
        <v/>
      </c>
      <c r="DQ391" s="111" t="str">
        <f aca="false">IF($DF391&gt;$DE$8,"",VLOOKUP($DF391,$DH$9:$DN$508,3,FALSE()))</f>
        <v/>
      </c>
      <c r="DR391" s="111" t="str">
        <f aca="false">IF($DF391&gt;$DE$8,"",VLOOKUP($DF391,$DH$9:$DN$508,4,FALSE()))</f>
        <v/>
      </c>
      <c r="DS391" s="111" t="str">
        <f aca="false">IF($DF391&gt;$DE$8,"",VLOOKUP($DF391,$DH$9:$DN$508,5,FALSE()))</f>
        <v/>
      </c>
      <c r="DT391" s="112" t="str">
        <f aca="false">IF($DF391&gt;$DE$8,"",VLOOKUP($DF391,$DH$9:$DN$508,6,FALSE()))</f>
        <v/>
      </c>
      <c r="DU391" s="62"/>
    </row>
    <row r="392" customFormat="false" ht="15.75" hidden="false" customHeight="false" outlineLevel="0" collapsed="false">
      <c r="A392" s="7"/>
      <c r="B392" s="90"/>
      <c r="C392" s="91"/>
      <c r="D392" s="126"/>
      <c r="E392" s="130"/>
      <c r="F392" s="135"/>
      <c r="G392" s="130"/>
      <c r="H392" s="135"/>
      <c r="I392" s="131"/>
      <c r="J392" s="131"/>
      <c r="K392" s="131"/>
      <c r="L392" s="130"/>
      <c r="M392" s="130"/>
      <c r="N392" s="130"/>
      <c r="O392" s="135"/>
      <c r="P392" s="130"/>
      <c r="Q392" s="130"/>
      <c r="R392" s="130"/>
      <c r="S392" s="130"/>
      <c r="T392" s="135"/>
      <c r="U392" s="130"/>
      <c r="V392" s="96"/>
      <c r="W392" s="130"/>
      <c r="X392" s="130"/>
      <c r="Y392" s="96"/>
      <c r="Z392" s="96"/>
      <c r="AA392" s="130"/>
      <c r="AB392" s="130"/>
      <c r="AC392" s="97"/>
      <c r="AD392" s="130"/>
      <c r="AE392" s="99"/>
      <c r="AF392" s="100"/>
      <c r="AG392" s="100"/>
      <c r="AH392" s="100" t="str">
        <f aca="false">IF(ISBLANK($C392),"",IF($E392=Constants!$B$2,TRUE(),IF($E392=Constants!$B$3,FALSE(),TRUE())))</f>
        <v/>
      </c>
      <c r="AI392" s="100" t="str">
        <f aca="false">IF(ISBLANK($C392),"",IF($F392=Constants!$B$2,TRUE(),IF($F392=Constants!$B$3,FALSE(),FALSE())))</f>
        <v/>
      </c>
      <c r="AJ392" s="100" t="str">
        <f aca="false">IF(ISBLANK($C392),"",IF($G392=Constants!$B$2,TRUE(),IF($G392=Constants!$B$3,FALSE(),TRUE())))</f>
        <v/>
      </c>
      <c r="AK392" s="100" t="str">
        <f aca="false">IF(ISBLANK($C392),"",IF($H392=Constants!$B$2,TRUE(),IF($H392=Constants!$B$3,FALSE(),TRUE())))</f>
        <v/>
      </c>
      <c r="AL392" s="100" t="str">
        <f aca="false">IF(ISBLANK($C392),"",IF(ISNUMBER($I392),IF($I392&gt;=0,$I392,""),""))</f>
        <v/>
      </c>
      <c r="AM392" s="100" t="str">
        <f aca="false">IF(ISBLANK($C392),"",IF(ISNUMBER($J392),IF($J392&gt;=0,$J392,""),""))</f>
        <v/>
      </c>
      <c r="AN392" s="100" t="str">
        <f aca="false">IF(ISBLANK($C392),"",IF(ISNUMBER($K392),IF($K392&gt;=0,$K392,""),""))</f>
        <v/>
      </c>
      <c r="AO392" s="100" t="str">
        <f aca="false">IF(ISBLANK($C392),"",IF($L392=Constants!$B$2,TRUE(),IF($L392=Constants!$B$3,FALSE(),TRUE())))</f>
        <v/>
      </c>
      <c r="AP392" s="100" t="str">
        <f aca="false">IF(ISBLANK($C392),"",IF($M392=Constants!$B$2,TRUE(),IF($M392=Constants!$B$3,FALSE(),TRUE())))</f>
        <v/>
      </c>
      <c r="AQ392" s="100" t="str">
        <f aca="false">IF(ISBLANK($C392),"",IF($N392=Constants!$B$2,TRUE(),IF($N392=Constants!$B$3,FALSE(),FALSE())))</f>
        <v/>
      </c>
      <c r="AR392" s="100" t="str">
        <f aca="false">IF(ISBLANK($C392),"",IF($O392=Constants!$B$2,TRUE(),IF($O392=Constants!$B$3,FALSE(),TRUE())))</f>
        <v/>
      </c>
      <c r="AS392" s="100" t="str">
        <f aca="false">IF(ISBLANK($C392),"",IF($P392=Constants!$B$2,TRUE(),IF($P392=Constants!$B$3,FALSE(),FALSE())))</f>
        <v/>
      </c>
      <c r="AT392" s="100" t="str">
        <f aca="false">IF(ISBLANK($C392),"",IF($Q392=Constants!$B$2,TRUE(),IF($Q392=Constants!$B$3,FALSE(),FALSE())))</f>
        <v/>
      </c>
      <c r="AU392" s="100" t="str">
        <f aca="false">IF(ISBLANK($C392),"",IF($R392=Constants!$B$2,TRUE(),IF($R392=Constants!$B$3,FALSE(),FALSE())))</f>
        <v/>
      </c>
      <c r="AV392" s="100" t="str">
        <f aca="false">IF(ISBLANK($C392),"",IF($S392=Constants!$B$2,TRUE(),IF($S392=Constants!$B$3,FALSE(),FALSE())))</f>
        <v/>
      </c>
      <c r="AW392" s="100" t="str">
        <f aca="false">IF(ISBLANK($C392),"",IF($T392=Constants!$B$2,TRUE(),IF($T392=Constants!$B$3,FALSE(),FALSE())))</f>
        <v/>
      </c>
      <c r="AX392" s="100" t="str">
        <f aca="false">IF(ISBLANK($C392),"",IF(OR($U392&amp;""="1",$U392&amp;""="2",$U392&amp;""="3",$U392&amp;""="4"),VALUE($U392&amp;""),IF($U392=Constants!$B$12,Constants!$B$12,"")))</f>
        <v/>
      </c>
      <c r="AY392" s="100" t="str">
        <f aca="false">IF(ISBLANK($C392),"",IF(ISBLANK($V392),0,IF(ISNUMBER($V392),IF(AND($V392&gt;=0,$V392&lt;=Constants!$B$21,$V392=INT($V392)),$V392,""),"")))</f>
        <v/>
      </c>
      <c r="AZ392" s="100" t="str">
        <f aca="false">IF(ISBLANK($C392),"",IF(ISBLANK($W392),0,IF(ISNUMBER($W392),IF($W392&gt;=0,$W392,""),"")))</f>
        <v/>
      </c>
      <c r="BA392" s="100" t="str">
        <f aca="false">IF(ISBLANK($C392),"",IF($X392=Constants!$B$2,TRUE(),IF($X392=Constants!$B$3,FALSE(),TRUE())))</f>
        <v/>
      </c>
      <c r="BB392" s="100" t="str">
        <f aca="false">IF(ISBLANK($C392),"",IF($Y392=Constants!$B$2,TRUE(),IF($Y392=Constants!$B$3,FALSE(),FALSE())))</f>
        <v/>
      </c>
      <c r="BC392" s="100" t="str">
        <f aca="false">IF(ISBLANK($C392),"",IF(ISBLANK($Z392),0,IF(ISNUMBER($Z392),IF(AND($Z392&gt;=0,$Z392&lt;=Constants!$B$35,$Z392=INT($Z392)),$Z392,""),"")))</f>
        <v/>
      </c>
      <c r="BD392" s="100" t="str">
        <f aca="false">IF(ISBLANK($C392),"",IF($AA392=Constants!$B$2,TRUE(),IF($AA392=Constants!$B$3,FALSE(),TRUE())))</f>
        <v/>
      </c>
      <c r="BE392" s="100" t="str">
        <f aca="false">IF(ISBLANK($C392),"",IF($AB392=Constants!$B$2,TRUE(),IF($AB392=Constants!$B$3,FALSE(),TRUE())))</f>
        <v/>
      </c>
      <c r="BF392" s="100" t="str">
        <f aca="false">IF(ISBLANK($C392),"",IF(ISNUMBER($AC392),IF($AC392&gt;=0,$AC392,""),""))</f>
        <v/>
      </c>
      <c r="BG392" s="100" t="str">
        <f aca="false">IF(ISBLANK($C392),"",IF($AD392=Constants!$B$2,TRUE(),IF($AD392=Constants!$B$3,FALSE(),FALSE())))</f>
        <v/>
      </c>
      <c r="BH392" s="99" t="str">
        <f aca="false">IF(ISBLANK($C392),"",IF($BG392,Constants!$B$7,IF(COUNTA($E392:$AC392)=0,Constants!$B$6,IF(OR(COUNTA($G392:$AC392)=0,NOT($AK392),$AQ392),Constants!$B$5,IF(OR($CI392&lt;&gt;"",$CJ392,$CK392,$CL392,$CM392,$CN392,$CO392),Constants!$B$8,Constants!$B$4)))))</f>
        <v/>
      </c>
      <c r="BI392" s="100" t="str">
        <f aca="false">IF(ISBLANK($C392),"",IF($BH392&lt;&gt;Constants!$B$4,$BH392,IF(OR(NOT($AH392),NOT($AJ392),NOT($AR392)),Constants!$B$11,IF(OR(NOT($AP392),MAX($AL392,$AM392,$AN392)&gt;Constants!$B$30),Constants!$B$10,Constants!$B$9))))</f>
        <v/>
      </c>
      <c r="BJ392" s="100" t="str">
        <f aca="false">IF($BH392&lt;&gt;Constants!$B$4,"",IF(NOT($AJ392),0,MIN(Constants!$B$35,$BC392)))</f>
        <v/>
      </c>
      <c r="BK392" s="100" t="str">
        <f aca="false">IF($BH392&lt;&gt;Constants!$B$4,"",IF(NOT($AJ392),0,IF($AT392,Constants!$B$18,IF($AS392,Constants!$B$17,0))))</f>
        <v/>
      </c>
      <c r="BL392" s="100" t="str">
        <f aca="false">IF($BH392&lt;&gt;Constants!$B$4,"",IF(NOT($AJ392),0,Constants!$B$19*($AI392+$AU392+$AV392+$AW392)))</f>
        <v/>
      </c>
      <c r="BM392" s="100" t="str">
        <f aca="false">IF($BH392&lt;&gt;Constants!$B$4,"",IF(OR(NOT($AJ392),NOT(ISNUMBER($AX392))),0,CHOOSE($AX392,Constants!$B$13,Constants!$B$14,Constants!$B$15,Constants!$B$16)))</f>
        <v/>
      </c>
      <c r="BN392" s="100" t="str">
        <f aca="false">IF($BH392&lt;&gt;Constants!$B$4,"",IF(NOT($AJ392),0,Constants!$B$20*$AY392))</f>
        <v/>
      </c>
      <c r="BO392" s="100" t="str">
        <f aca="false">IF($BH392&lt;&gt;Constants!$B$4,"",IF(AND($AJ392,$BA392,$BB392),Constants!$B$22,0))</f>
        <v/>
      </c>
      <c r="BP392" s="100" t="str">
        <f aca="false">IF($BH392&lt;&gt;Constants!$B$4,"",IF(OR(NOT($AJ392),NOT($BA392)),0,IF($BF392&gt;=2*$AF$9,0,Constants!$B$23*INT(ROUND(MIN($BF392,$AF$9),6)))))</f>
        <v/>
      </c>
      <c r="BQ392" s="100" t="str">
        <f aca="false">IF($BH392&lt;&gt;Constants!$B$4,"",IF(NOT($AJ392),0,Constants!$B$24*INT(ROUND(MIN($AZ392,$AF$9),6))))</f>
        <v/>
      </c>
      <c r="BR392" s="100" t="str">
        <f aca="false">IF($BH392&lt;&gt;Constants!$B$4,"",IF(AND($AJ392,$BJ392=0),Constants!$B$25,0))</f>
        <v/>
      </c>
      <c r="BS392" s="100" t="str">
        <f aca="false">IF($BH392&lt;&gt;Constants!$B$4,"",MIN(Constants!$B$29,MAX(0,Constants!$B$27*Constants!$B$28*INT(ROUND((Constants!$B$26-$AL392)/Constants!$B$28,6))))+MIN(Constants!$B$29,MAX(0,Constants!$B$27*Constants!$B$28*INT(ROUND((Constants!$B$26-$AM392)/Constants!$B$28,6))))+MIN(Constants!$B$29,MAX(0,Constants!$B$27*Constants!$B$28*INT(ROUND((Constants!$B$26-$AN392)/Constants!$B$28,6)))))</f>
        <v/>
      </c>
      <c r="BT392" s="100" t="str">
        <f aca="false">IF($BH392&lt;&gt;Constants!$B$4,"",IF(NOT($AJ392),0,Constants!$B$31*INT(ROUND(MAX(0,MIN($BF392,2*$AF$9)-$AF$9),6))))</f>
        <v/>
      </c>
      <c r="BU392" s="100" t="str">
        <f aca="false">IF($BH392&lt;&gt;Constants!$B$4,"",Constants!$B$32*(($AL392&gt;Constants!$B$26)+($AM392&gt;Constants!$B$26)+($AN392&gt;Constants!$B$26)))</f>
        <v/>
      </c>
      <c r="BV392" s="100" t="str">
        <f aca="false">IF($BH392&lt;&gt;Constants!$B$4,"",IF(OR(NOT($AJ392),$AO392),0,Constants!$B$33))</f>
        <v/>
      </c>
      <c r="BW392" s="100" t="str">
        <f aca="false">IF($BH392&lt;&gt;Constants!$B$4,"",Constants!$B$34*$BJ392)</f>
        <v/>
      </c>
      <c r="BX392" s="100" t="str">
        <f aca="false">IF($BH392&lt;&gt;Constants!$B$4,"",IF(OR(NOT($AJ392),$BE392),0,Constants!$B$36))</f>
        <v/>
      </c>
      <c r="BY392" s="100" t="str">
        <f aca="false">IF($BH392&lt;&gt;Constants!$B$4,"",IF(OR(NOT($AJ392),$BD392),0,Constants!$B$37))</f>
        <v/>
      </c>
      <c r="BZ392" s="100" t="str">
        <f aca="false">IF($BH392&lt;&gt;Constants!$B$4,"",SUM($BT392:$BY392))</f>
        <v/>
      </c>
      <c r="CA392" s="100" t="str">
        <f aca="false">IF(ISBLANK($C392),"",IF($BH392&lt;&gt;Constants!$B$4,$BH392,SUM($BK392:$BS392)-$BZ392))</f>
        <v/>
      </c>
      <c r="CB392" s="100" t="str">
        <f aca="false">IF(ISBLANK($C392),"",IF($BH392&lt;&gt;Constants!$B$4,$BH392,RANK($CA392,$CA$9:$CA$508)))</f>
        <v/>
      </c>
      <c r="CC392" s="100" t="str">
        <f aca="false">IF(ISBLANK($C392),"",IF($BH392&lt;&gt;Constants!$B$4,$BH392,COUNTIFS($BI$9:$BI$508,"&lt;"&amp;$BI392)+COUNTIFS($BI$9:$BI$508,$BI392,$CB$9:$CB$508,"&lt;"&amp;$CB392)+1))</f>
        <v/>
      </c>
      <c r="CD392" s="100" t="str">
        <f aca="false">IF(ISBLANK($C392),"",IF($BH392&lt;&gt;Constants!$B$4,$BH392,RANK($BZ392,$BZ$9:$BZ$508,1)))</f>
        <v/>
      </c>
      <c r="CE392" s="100" t="str">
        <f aca="false">IF($BH392&lt;&gt;Constants!$B$4,"",$AL392+$AM392+$AN392)</f>
        <v/>
      </c>
      <c r="CF392" s="100" t="str">
        <f aca="false">IF(ISBLANK($C392),"",IF($BH392&lt;&gt;Constants!$B$4,$BH392,RANK($CE392,$CE$9:$CE$508,1)))</f>
        <v/>
      </c>
      <c r="CG392" s="100" t="str">
        <f aca="false">IF(ISBLANK($C392),"",IF($BH392&lt;&gt;Constants!$B$4,$BH392,COUNTIFS($BI$9:$BI$508,"&lt;"&amp;$BI392)+COUNTIFS($BI$9:$BI$508,$BI392,$CB$9:$CB$508,"&lt;"&amp;$CB392)+COUNTIFS($BI$9:$BI$508,$BI392,$CB$9:$CB$508,$CB392,$CD$9:$CD$508,"&lt;"&amp;$CD392)+COUNTIFS($BI$9:$BI$508,$BI392,$CB$9:$CB$508,$CB392,$CD$9:$CD$508,$CD392,$CF$9:$CF$508,"&lt;"&amp;$CF392)+1))</f>
        <v/>
      </c>
      <c r="CH392" s="100" t="str">
        <f aca="false">IF(ISBLANK($C392),"",IF($BH392&lt;&gt;Constants!$B$4,$BH392,$CC392-$CG392))</f>
        <v/>
      </c>
      <c r="CI392" s="100" t="str">
        <f aca="false">IF(ISBLANK($C392),"",IF(NOT($AJ392),"",IF(ISBLANK($D$7),$CI$5,IF(NOT(ISNUMBER($D$7)),$CI$6,""))))</f>
        <v/>
      </c>
      <c r="CJ392" s="100" t="str">
        <f aca="false">IF(ISBLANK($C392),"",OR($AL392="",$AM392="",$AN392=""))</f>
        <v/>
      </c>
      <c r="CK392" s="100" t="str">
        <f aca="false">IF(ISBLANK($C392),"",AND($AJ392,$AX392=""))</f>
        <v/>
      </c>
      <c r="CL392" s="100" t="str">
        <f aca="false">IF(ISBLANK($C392),"",AND($AJ392,$AY392=""))</f>
        <v/>
      </c>
      <c r="CM392" s="100" t="str">
        <f aca="false">IF(ISBLANK($C392),"",AND($AJ392,$AZ392=""))</f>
        <v/>
      </c>
      <c r="CN392" s="100" t="str">
        <f aca="false">IF(ISBLANK($C392),"",AND($AJ392,$BC392=""))</f>
        <v/>
      </c>
      <c r="CO392" s="100" t="str">
        <f aca="false">IF(ISBLANK($C392),"",AND($AJ392,$BF392=""))</f>
        <v/>
      </c>
      <c r="CP392" s="101"/>
      <c r="CQ392" s="102"/>
      <c r="CR392" s="103" t="str">
        <f aca="false">IF(ISBLANK($C392),"",IF($BH392=Constants!$B$8,$CI392,""))</f>
        <v/>
      </c>
      <c r="CS392" s="102" t="str">
        <f aca="false">IF(ISBLANK($C392),"",IF($BH392&lt;&gt;Constants!$B$4,"",$BK392+$BL392))</f>
        <v/>
      </c>
      <c r="CT392" s="104" t="str">
        <f aca="false">IF(ISBLANK($C392),"",IF($BH392&lt;&gt;Constants!$B$4,"",$BM392+$BN392+$BO392))</f>
        <v/>
      </c>
      <c r="CU392" s="104" t="str">
        <f aca="false">IF(ISBLANK($C392),"",IF($BH392&lt;&gt;Constants!$B$4,"",$BP392))</f>
        <v/>
      </c>
      <c r="CV392" s="104" t="str">
        <f aca="false">IF(ISBLANK($C392),"",IF($BH392&lt;&gt;Constants!$B$4,"",$BQ392+$BR392))</f>
        <v/>
      </c>
      <c r="CW392" s="104" t="str">
        <f aca="false">IF(ISBLANK($C392),"",IF($BH392&lt;&gt;Constants!$B$4,"",$BS392))</f>
        <v/>
      </c>
      <c r="CX392" s="104" t="str">
        <f aca="false">IF(ISBLANK($C392),"",IF($BH392&lt;&gt;Constants!$B$4,"",-$BZ392))</f>
        <v/>
      </c>
      <c r="CY392" s="103" t="str">
        <f aca="false">IF(ISBLANK($C392),"",$CA392)</f>
        <v/>
      </c>
      <c r="CZ392" s="105" t="str">
        <f aca="false">IF(ISBLANK($C392),"",$BI392)</f>
        <v/>
      </c>
      <c r="DA392" s="104" t="str">
        <f aca="false">IF(ISBLANK($C392),"",$CH392)</f>
        <v/>
      </c>
      <c r="DB392" s="104" t="str">
        <f aca="false">IF(ISBLANK($C392),"",$CG392)</f>
        <v/>
      </c>
      <c r="DC392" s="106" t="str">
        <f aca="false">IF(ISBLANK($C392),"",IFERROR(_xlfn.SWITCH($DB392,Constants!$B$7,COUNTA($C$9:$C$508)+2,Constants!$B$6,COUNTA($C$9:$C$508)+1,Constants!$B$5,COUNTA($C$9:$C$508)),$DB392))</f>
        <v/>
      </c>
      <c r="DD392" s="7"/>
      <c r="DE392" s="107" t="n">
        <f aca="false">IF(OR(ISNUMBER($DB392),$DB392=Constants!$B$7,$DB392=Constants!$B$5,$DB392=Constants!$B$6),1,0)</f>
        <v>0</v>
      </c>
      <c r="DF392" s="107" t="n">
        <v>384</v>
      </c>
      <c r="DG392" s="107" t="str">
        <f aca="false">IF(ISBLANK($C392),"",IF(ISNUMBER($DC392),$DC392+ROW($B392)/1000,""))</f>
        <v/>
      </c>
      <c r="DH392" s="107" t="str">
        <f aca="false">IF(ISNUMBER($DG392),RANK($DG392,$DG$9:$DG$508,1),"")</f>
        <v/>
      </c>
      <c r="DI392" s="107" t="str">
        <f aca="false">IF(ISBLANK($C392),"",$B392)</f>
        <v/>
      </c>
      <c r="DJ392" s="107" t="str">
        <f aca="false">IF(ISBLANK($C392),"",$C392)</f>
        <v/>
      </c>
      <c r="DK392" s="107" t="str">
        <f aca="false">IF(ISBLANK($C392),"",$D392)</f>
        <v/>
      </c>
      <c r="DL392" s="108" t="str">
        <f aca="false">$CZ392</f>
        <v/>
      </c>
      <c r="DM392" s="109" t="str">
        <f aca="false">$CY392</f>
        <v/>
      </c>
      <c r="DN392" s="107" t="str">
        <f aca="false">IF(ISBLANK($C392),"",$DB392)</f>
        <v/>
      </c>
      <c r="DO392" s="110" t="str">
        <f aca="false">IF($DF392&gt;$DE$8,"",VLOOKUP($DF392,$DH$9:$DN$508,7,FALSE()))</f>
        <v/>
      </c>
      <c r="DP392" s="111" t="str">
        <f aca="false">IF($DF392&gt;$DE$8,"",VLOOKUP($DF392,$DH$9:$DN$508,2,FALSE()))</f>
        <v/>
      </c>
      <c r="DQ392" s="111" t="str">
        <f aca="false">IF($DF392&gt;$DE$8,"",VLOOKUP($DF392,$DH$9:$DN$508,3,FALSE()))</f>
        <v/>
      </c>
      <c r="DR392" s="111" t="str">
        <f aca="false">IF($DF392&gt;$DE$8,"",VLOOKUP($DF392,$DH$9:$DN$508,4,FALSE()))</f>
        <v/>
      </c>
      <c r="DS392" s="111" t="str">
        <f aca="false">IF($DF392&gt;$DE$8,"",VLOOKUP($DF392,$DH$9:$DN$508,5,FALSE()))</f>
        <v/>
      </c>
      <c r="DT392" s="112" t="str">
        <f aca="false">IF($DF392&gt;$DE$8,"",VLOOKUP($DF392,$DH$9:$DN$508,6,FALSE()))</f>
        <v/>
      </c>
      <c r="DU392" s="62"/>
    </row>
    <row r="393" customFormat="false" ht="15.75" hidden="false" customHeight="false" outlineLevel="0" collapsed="false">
      <c r="A393" s="7"/>
      <c r="B393" s="64"/>
      <c r="C393" s="65"/>
      <c r="D393" s="123"/>
      <c r="E393" s="88"/>
      <c r="F393" s="134"/>
      <c r="G393" s="88"/>
      <c r="H393" s="134"/>
      <c r="I393" s="119"/>
      <c r="J393" s="119"/>
      <c r="K393" s="119"/>
      <c r="L393" s="88"/>
      <c r="M393" s="88"/>
      <c r="N393" s="88"/>
      <c r="O393" s="134"/>
      <c r="P393" s="88"/>
      <c r="Q393" s="88"/>
      <c r="R393" s="88"/>
      <c r="S393" s="88"/>
      <c r="T393" s="134"/>
      <c r="U393" s="88"/>
      <c r="V393" s="70"/>
      <c r="W393" s="88"/>
      <c r="X393" s="88"/>
      <c r="Y393" s="70"/>
      <c r="Z393" s="70"/>
      <c r="AA393" s="88"/>
      <c r="AB393" s="88"/>
      <c r="AC393" s="71"/>
      <c r="AD393" s="88"/>
      <c r="AE393" s="73"/>
      <c r="AF393" s="74"/>
      <c r="AG393" s="74"/>
      <c r="AH393" s="74" t="str">
        <f aca="false">IF(ISBLANK($C393),"",IF($E393=Constants!$B$2,TRUE(),IF($E393=Constants!$B$3,FALSE(),TRUE())))</f>
        <v/>
      </c>
      <c r="AI393" s="74" t="str">
        <f aca="false">IF(ISBLANK($C393),"",IF($F393=Constants!$B$2,TRUE(),IF($F393=Constants!$B$3,FALSE(),FALSE())))</f>
        <v/>
      </c>
      <c r="AJ393" s="74" t="str">
        <f aca="false">IF(ISBLANK($C393),"",IF($G393=Constants!$B$2,TRUE(),IF($G393=Constants!$B$3,FALSE(),TRUE())))</f>
        <v/>
      </c>
      <c r="AK393" s="74" t="str">
        <f aca="false">IF(ISBLANK($C393),"",IF($H393=Constants!$B$2,TRUE(),IF($H393=Constants!$B$3,FALSE(),TRUE())))</f>
        <v/>
      </c>
      <c r="AL393" s="74" t="str">
        <f aca="false">IF(ISBLANK($C393),"",IF(ISNUMBER($I393),IF($I393&gt;=0,$I393,""),""))</f>
        <v/>
      </c>
      <c r="AM393" s="74" t="str">
        <f aca="false">IF(ISBLANK($C393),"",IF(ISNUMBER($J393),IF($J393&gt;=0,$J393,""),""))</f>
        <v/>
      </c>
      <c r="AN393" s="74" t="str">
        <f aca="false">IF(ISBLANK($C393),"",IF(ISNUMBER($K393),IF($K393&gt;=0,$K393,""),""))</f>
        <v/>
      </c>
      <c r="AO393" s="74" t="str">
        <f aca="false">IF(ISBLANK($C393),"",IF($L393=Constants!$B$2,TRUE(),IF($L393=Constants!$B$3,FALSE(),TRUE())))</f>
        <v/>
      </c>
      <c r="AP393" s="74" t="str">
        <f aca="false">IF(ISBLANK($C393),"",IF($M393=Constants!$B$2,TRUE(),IF($M393=Constants!$B$3,FALSE(),TRUE())))</f>
        <v/>
      </c>
      <c r="AQ393" s="74" t="str">
        <f aca="false">IF(ISBLANK($C393),"",IF($N393=Constants!$B$2,TRUE(),IF($N393=Constants!$B$3,FALSE(),FALSE())))</f>
        <v/>
      </c>
      <c r="AR393" s="74" t="str">
        <f aca="false">IF(ISBLANK($C393),"",IF($O393=Constants!$B$2,TRUE(),IF($O393=Constants!$B$3,FALSE(),TRUE())))</f>
        <v/>
      </c>
      <c r="AS393" s="74" t="str">
        <f aca="false">IF(ISBLANK($C393),"",IF($P393=Constants!$B$2,TRUE(),IF($P393=Constants!$B$3,FALSE(),FALSE())))</f>
        <v/>
      </c>
      <c r="AT393" s="74" t="str">
        <f aca="false">IF(ISBLANK($C393),"",IF($Q393=Constants!$B$2,TRUE(),IF($Q393=Constants!$B$3,FALSE(),FALSE())))</f>
        <v/>
      </c>
      <c r="AU393" s="74" t="str">
        <f aca="false">IF(ISBLANK($C393),"",IF($R393=Constants!$B$2,TRUE(),IF($R393=Constants!$B$3,FALSE(),FALSE())))</f>
        <v/>
      </c>
      <c r="AV393" s="74" t="str">
        <f aca="false">IF(ISBLANK($C393),"",IF($S393=Constants!$B$2,TRUE(),IF($S393=Constants!$B$3,FALSE(),FALSE())))</f>
        <v/>
      </c>
      <c r="AW393" s="74" t="str">
        <f aca="false">IF(ISBLANK($C393),"",IF($T393=Constants!$B$2,TRUE(),IF($T393=Constants!$B$3,FALSE(),FALSE())))</f>
        <v/>
      </c>
      <c r="AX393" s="74" t="str">
        <f aca="false">IF(ISBLANK($C393),"",IF(OR($U393&amp;""="1",$U393&amp;""="2",$U393&amp;""="3",$U393&amp;""="4"),VALUE($U393&amp;""),IF($U393=Constants!$B$12,Constants!$B$12,"")))</f>
        <v/>
      </c>
      <c r="AY393" s="74" t="str">
        <f aca="false">IF(ISBLANK($C393),"",IF(ISBLANK($V393),0,IF(ISNUMBER($V393),IF(AND($V393&gt;=0,$V393&lt;=Constants!$B$21,$V393=INT($V393)),$V393,""),"")))</f>
        <v/>
      </c>
      <c r="AZ393" s="74" t="str">
        <f aca="false">IF(ISBLANK($C393),"",IF(ISBLANK($W393),0,IF(ISNUMBER($W393),IF($W393&gt;=0,$W393,""),"")))</f>
        <v/>
      </c>
      <c r="BA393" s="74" t="str">
        <f aca="false">IF(ISBLANK($C393),"",IF($X393=Constants!$B$2,TRUE(),IF($X393=Constants!$B$3,FALSE(),TRUE())))</f>
        <v/>
      </c>
      <c r="BB393" s="74" t="str">
        <f aca="false">IF(ISBLANK($C393),"",IF($Y393=Constants!$B$2,TRUE(),IF($Y393=Constants!$B$3,FALSE(),FALSE())))</f>
        <v/>
      </c>
      <c r="BC393" s="74" t="str">
        <f aca="false">IF(ISBLANK($C393),"",IF(ISBLANK($Z393),0,IF(ISNUMBER($Z393),IF(AND($Z393&gt;=0,$Z393&lt;=Constants!$B$35,$Z393=INT($Z393)),$Z393,""),"")))</f>
        <v/>
      </c>
      <c r="BD393" s="74" t="str">
        <f aca="false">IF(ISBLANK($C393),"",IF($AA393=Constants!$B$2,TRUE(),IF($AA393=Constants!$B$3,FALSE(),TRUE())))</f>
        <v/>
      </c>
      <c r="BE393" s="74" t="str">
        <f aca="false">IF(ISBLANK($C393),"",IF($AB393=Constants!$B$2,TRUE(),IF($AB393=Constants!$B$3,FALSE(),TRUE())))</f>
        <v/>
      </c>
      <c r="BF393" s="74" t="str">
        <f aca="false">IF(ISBLANK($C393),"",IF(ISNUMBER($AC393),IF($AC393&gt;=0,$AC393,""),""))</f>
        <v/>
      </c>
      <c r="BG393" s="74" t="str">
        <f aca="false">IF(ISBLANK($C393),"",IF($AD393=Constants!$B$2,TRUE(),IF($AD393=Constants!$B$3,FALSE(),FALSE())))</f>
        <v/>
      </c>
      <c r="BH393" s="73" t="str">
        <f aca="false">IF(ISBLANK($C393),"",IF($BG393,Constants!$B$7,IF(COUNTA($E393:$AC393)=0,Constants!$B$6,IF(OR(COUNTA($G393:$AC393)=0,NOT($AK393),$AQ393),Constants!$B$5,IF(OR($CI393&lt;&gt;"",$CJ393,$CK393,$CL393,$CM393,$CN393,$CO393),Constants!$B$8,Constants!$B$4)))))</f>
        <v/>
      </c>
      <c r="BI393" s="74" t="str">
        <f aca="false">IF(ISBLANK($C393),"",IF($BH393&lt;&gt;Constants!$B$4,$BH393,IF(OR(NOT($AH393),NOT($AJ393),NOT($AR393)),Constants!$B$11,IF(OR(NOT($AP393),MAX($AL393,$AM393,$AN393)&gt;Constants!$B$30),Constants!$B$10,Constants!$B$9))))</f>
        <v/>
      </c>
      <c r="BJ393" s="74" t="str">
        <f aca="false">IF($BH393&lt;&gt;Constants!$B$4,"",IF(NOT($AJ393),0,MIN(Constants!$B$35,$BC393)))</f>
        <v/>
      </c>
      <c r="BK393" s="74" t="str">
        <f aca="false">IF($BH393&lt;&gt;Constants!$B$4,"",IF(NOT($AJ393),0,IF($AT393,Constants!$B$18,IF($AS393,Constants!$B$17,0))))</f>
        <v/>
      </c>
      <c r="BL393" s="74" t="str">
        <f aca="false">IF($BH393&lt;&gt;Constants!$B$4,"",IF(NOT($AJ393),0,Constants!$B$19*($AI393+$AU393+$AV393+$AW393)))</f>
        <v/>
      </c>
      <c r="BM393" s="74" t="str">
        <f aca="false">IF($BH393&lt;&gt;Constants!$B$4,"",IF(OR(NOT($AJ393),NOT(ISNUMBER($AX393))),0,CHOOSE($AX393,Constants!$B$13,Constants!$B$14,Constants!$B$15,Constants!$B$16)))</f>
        <v/>
      </c>
      <c r="BN393" s="74" t="str">
        <f aca="false">IF($BH393&lt;&gt;Constants!$B$4,"",IF(NOT($AJ393),0,Constants!$B$20*$AY393))</f>
        <v/>
      </c>
      <c r="BO393" s="74" t="str">
        <f aca="false">IF($BH393&lt;&gt;Constants!$B$4,"",IF(AND($AJ393,$BA393,$BB393),Constants!$B$22,0))</f>
        <v/>
      </c>
      <c r="BP393" s="74" t="str">
        <f aca="false">IF($BH393&lt;&gt;Constants!$B$4,"",IF(OR(NOT($AJ393),NOT($BA393)),0,IF($BF393&gt;=2*$AF$9,0,Constants!$B$23*INT(ROUND(MIN($BF393,$AF$9),6)))))</f>
        <v/>
      </c>
      <c r="BQ393" s="74" t="str">
        <f aca="false">IF($BH393&lt;&gt;Constants!$B$4,"",IF(NOT($AJ393),0,Constants!$B$24*INT(ROUND(MIN($AZ393,$AF$9),6))))</f>
        <v/>
      </c>
      <c r="BR393" s="74" t="str">
        <f aca="false">IF($BH393&lt;&gt;Constants!$B$4,"",IF(AND($AJ393,$BJ393=0),Constants!$B$25,0))</f>
        <v/>
      </c>
      <c r="BS393" s="74" t="str">
        <f aca="false">IF($BH393&lt;&gt;Constants!$B$4,"",MIN(Constants!$B$29,MAX(0,Constants!$B$27*Constants!$B$28*INT(ROUND((Constants!$B$26-$AL393)/Constants!$B$28,6))))+MIN(Constants!$B$29,MAX(0,Constants!$B$27*Constants!$B$28*INT(ROUND((Constants!$B$26-$AM393)/Constants!$B$28,6))))+MIN(Constants!$B$29,MAX(0,Constants!$B$27*Constants!$B$28*INT(ROUND((Constants!$B$26-$AN393)/Constants!$B$28,6)))))</f>
        <v/>
      </c>
      <c r="BT393" s="74" t="str">
        <f aca="false">IF($BH393&lt;&gt;Constants!$B$4,"",IF(NOT($AJ393),0,Constants!$B$31*INT(ROUND(MAX(0,MIN($BF393,2*$AF$9)-$AF$9),6))))</f>
        <v/>
      </c>
      <c r="BU393" s="74" t="str">
        <f aca="false">IF($BH393&lt;&gt;Constants!$B$4,"",Constants!$B$32*(($AL393&gt;Constants!$B$26)+($AM393&gt;Constants!$B$26)+($AN393&gt;Constants!$B$26)))</f>
        <v/>
      </c>
      <c r="BV393" s="74" t="str">
        <f aca="false">IF($BH393&lt;&gt;Constants!$B$4,"",IF(OR(NOT($AJ393),$AO393),0,Constants!$B$33))</f>
        <v/>
      </c>
      <c r="BW393" s="74" t="str">
        <f aca="false">IF($BH393&lt;&gt;Constants!$B$4,"",Constants!$B$34*$BJ393)</f>
        <v/>
      </c>
      <c r="BX393" s="74" t="str">
        <f aca="false">IF($BH393&lt;&gt;Constants!$B$4,"",IF(OR(NOT($AJ393),$BE393),0,Constants!$B$36))</f>
        <v/>
      </c>
      <c r="BY393" s="74" t="str">
        <f aca="false">IF($BH393&lt;&gt;Constants!$B$4,"",IF(OR(NOT($AJ393),$BD393),0,Constants!$B$37))</f>
        <v/>
      </c>
      <c r="BZ393" s="74" t="str">
        <f aca="false">IF($BH393&lt;&gt;Constants!$B$4,"",SUM($BT393:$BY393))</f>
        <v/>
      </c>
      <c r="CA393" s="74" t="str">
        <f aca="false">IF(ISBLANK($C393),"",IF($BH393&lt;&gt;Constants!$B$4,$BH393,SUM($BK393:$BS393)-$BZ393))</f>
        <v/>
      </c>
      <c r="CB393" s="74" t="str">
        <f aca="false">IF(ISBLANK($C393),"",IF($BH393&lt;&gt;Constants!$B$4,$BH393,RANK($CA393,$CA$9:$CA$508)))</f>
        <v/>
      </c>
      <c r="CC393" s="74" t="str">
        <f aca="false">IF(ISBLANK($C393),"",IF($BH393&lt;&gt;Constants!$B$4,$BH393,COUNTIFS($BI$9:$BI$508,"&lt;"&amp;$BI393)+COUNTIFS($BI$9:$BI$508,$BI393,$CB$9:$CB$508,"&lt;"&amp;$CB393)+1))</f>
        <v/>
      </c>
      <c r="CD393" s="74" t="str">
        <f aca="false">IF(ISBLANK($C393),"",IF($BH393&lt;&gt;Constants!$B$4,$BH393,RANK($BZ393,$BZ$9:$BZ$508,1)))</f>
        <v/>
      </c>
      <c r="CE393" s="74" t="str">
        <f aca="false">IF($BH393&lt;&gt;Constants!$B$4,"",$AL393+$AM393+$AN393)</f>
        <v/>
      </c>
      <c r="CF393" s="74" t="str">
        <f aca="false">IF(ISBLANK($C393),"",IF($BH393&lt;&gt;Constants!$B$4,$BH393,RANK($CE393,$CE$9:$CE$508,1)))</f>
        <v/>
      </c>
      <c r="CG393" s="74" t="str">
        <f aca="false">IF(ISBLANK($C393),"",IF($BH393&lt;&gt;Constants!$B$4,$BH393,COUNTIFS($BI$9:$BI$508,"&lt;"&amp;$BI393)+COUNTIFS($BI$9:$BI$508,$BI393,$CB$9:$CB$508,"&lt;"&amp;$CB393)+COUNTIFS($BI$9:$BI$508,$BI393,$CB$9:$CB$508,$CB393,$CD$9:$CD$508,"&lt;"&amp;$CD393)+COUNTIFS($BI$9:$BI$508,$BI393,$CB$9:$CB$508,$CB393,$CD$9:$CD$508,$CD393,$CF$9:$CF$508,"&lt;"&amp;$CF393)+1))</f>
        <v/>
      </c>
      <c r="CH393" s="74" t="str">
        <f aca="false">IF(ISBLANK($C393),"",IF($BH393&lt;&gt;Constants!$B$4,$BH393,$CC393-$CG393))</f>
        <v/>
      </c>
      <c r="CI393" s="74" t="str">
        <f aca="false">IF(ISBLANK($C393),"",IF(NOT($AJ393),"",IF(ISBLANK($D$7),$CI$5,IF(NOT(ISNUMBER($D$7)),$CI$6,""))))</f>
        <v/>
      </c>
      <c r="CJ393" s="74" t="str">
        <f aca="false">IF(ISBLANK($C393),"",OR($AL393="",$AM393="",$AN393=""))</f>
        <v/>
      </c>
      <c r="CK393" s="74" t="str">
        <f aca="false">IF(ISBLANK($C393),"",AND($AJ393,$AX393=""))</f>
        <v/>
      </c>
      <c r="CL393" s="74" t="str">
        <f aca="false">IF(ISBLANK($C393),"",AND($AJ393,$AY393=""))</f>
        <v/>
      </c>
      <c r="CM393" s="74" t="str">
        <f aca="false">IF(ISBLANK($C393),"",AND($AJ393,$AZ393=""))</f>
        <v/>
      </c>
      <c r="CN393" s="74" t="str">
        <f aca="false">IF(ISBLANK($C393),"",AND($AJ393,$BC393=""))</f>
        <v/>
      </c>
      <c r="CO393" s="74" t="str">
        <f aca="false">IF(ISBLANK($C393),"",AND($AJ393,$BF393=""))</f>
        <v/>
      </c>
      <c r="CP393" s="75"/>
      <c r="CQ393" s="76"/>
      <c r="CR393" s="79" t="str">
        <f aca="false">IF(ISBLANK($C393),"",IF($BH393=Constants!$B$8,$CI393,""))</f>
        <v/>
      </c>
      <c r="CS393" s="76" t="str">
        <f aca="false">IF(ISBLANK($C393),"",IF($BH393&lt;&gt;Constants!$B$4,"",$BK393+$BL393))</f>
        <v/>
      </c>
      <c r="CT393" s="78" t="str">
        <f aca="false">IF(ISBLANK($C393),"",IF($BH393&lt;&gt;Constants!$B$4,"",$BM393+$BN393+$BO393))</f>
        <v/>
      </c>
      <c r="CU393" s="78" t="str">
        <f aca="false">IF(ISBLANK($C393),"",IF($BH393&lt;&gt;Constants!$B$4,"",$BP393))</f>
        <v/>
      </c>
      <c r="CV393" s="78" t="str">
        <f aca="false">IF(ISBLANK($C393),"",IF($BH393&lt;&gt;Constants!$B$4,"",$BQ393+$BR393))</f>
        <v/>
      </c>
      <c r="CW393" s="78" t="str">
        <f aca="false">IF(ISBLANK($C393),"",IF($BH393&lt;&gt;Constants!$B$4,"",$BS393))</f>
        <v/>
      </c>
      <c r="CX393" s="78" t="str">
        <f aca="false">IF(ISBLANK($C393),"",IF($BH393&lt;&gt;Constants!$B$4,"",-$BZ393))</f>
        <v/>
      </c>
      <c r="CY393" s="79" t="str">
        <f aca="false">IF(ISBLANK($C393),"",$CA393)</f>
        <v/>
      </c>
      <c r="CZ393" s="80" t="str">
        <f aca="false">IF(ISBLANK($C393),"",$BI393)</f>
        <v/>
      </c>
      <c r="DA393" s="78" t="str">
        <f aca="false">IF(ISBLANK($C393),"",$CH393)</f>
        <v/>
      </c>
      <c r="DB393" s="78" t="str">
        <f aca="false">IF(ISBLANK($C393),"",$CG393)</f>
        <v/>
      </c>
      <c r="DC393" s="81" t="str">
        <f aca="false">IF(ISBLANK($C393),"",IFERROR(_xlfn.SWITCH($DB393,Constants!$B$7,COUNTA($C$9:$C$508)+2,Constants!$B$6,COUNTA($C$9:$C$508)+1,Constants!$B$5,COUNTA($C$9:$C$508)),$DB393))</f>
        <v/>
      </c>
      <c r="DD393" s="7"/>
      <c r="DE393" s="82" t="n">
        <f aca="false">IF(OR(ISNUMBER($DB393),$DB393=Constants!$B$7,$DB393=Constants!$B$5,$DB393=Constants!$B$6),1,0)</f>
        <v>0</v>
      </c>
      <c r="DF393" s="82" t="n">
        <v>385</v>
      </c>
      <c r="DG393" s="82" t="str">
        <f aca="false">IF(ISBLANK($C393),"",IF(ISNUMBER($DC393),$DC393+ROW($B393)/1000,""))</f>
        <v/>
      </c>
      <c r="DH393" s="82" t="str">
        <f aca="false">IF(ISNUMBER($DG393),RANK($DG393,$DG$9:$DG$508,1),"")</f>
        <v/>
      </c>
      <c r="DI393" s="82" t="str">
        <f aca="false">IF(ISBLANK($C393),"",$B393)</f>
        <v/>
      </c>
      <c r="DJ393" s="82" t="str">
        <f aca="false">IF(ISBLANK($C393),"",$C393)</f>
        <v/>
      </c>
      <c r="DK393" s="82" t="str">
        <f aca="false">IF(ISBLANK($C393),"",$D393)</f>
        <v/>
      </c>
      <c r="DL393" s="83" t="str">
        <f aca="false">$CZ393</f>
        <v/>
      </c>
      <c r="DM393" s="84" t="str">
        <f aca="false">$CY393</f>
        <v/>
      </c>
      <c r="DN393" s="82" t="str">
        <f aca="false">IF(ISBLANK($C393),"",$DB393)</f>
        <v/>
      </c>
      <c r="DO393" s="85" t="str">
        <f aca="false">IF($DF393&gt;$DE$8,"",VLOOKUP($DF393,$DH$9:$DN$508,7,FALSE()))</f>
        <v/>
      </c>
      <c r="DP393" s="86" t="str">
        <f aca="false">IF($DF393&gt;$DE$8,"",VLOOKUP($DF393,$DH$9:$DN$508,2,FALSE()))</f>
        <v/>
      </c>
      <c r="DQ393" s="86" t="str">
        <f aca="false">IF($DF393&gt;$DE$8,"",VLOOKUP($DF393,$DH$9:$DN$508,3,FALSE()))</f>
        <v/>
      </c>
      <c r="DR393" s="86" t="str">
        <f aca="false">IF($DF393&gt;$DE$8,"",VLOOKUP($DF393,$DH$9:$DN$508,4,FALSE()))</f>
        <v/>
      </c>
      <c r="DS393" s="86" t="str">
        <f aca="false">IF($DF393&gt;$DE$8,"",VLOOKUP($DF393,$DH$9:$DN$508,5,FALSE()))</f>
        <v/>
      </c>
      <c r="DT393" s="87" t="str">
        <f aca="false">IF($DF393&gt;$DE$8,"",VLOOKUP($DF393,$DH$9:$DN$508,6,FALSE()))</f>
        <v/>
      </c>
      <c r="DU393" s="62"/>
    </row>
    <row r="394" customFormat="false" ht="15.75" hidden="false" customHeight="false" outlineLevel="0" collapsed="false">
      <c r="A394" s="7"/>
      <c r="B394" s="64"/>
      <c r="C394" s="65"/>
      <c r="D394" s="123"/>
      <c r="E394" s="88"/>
      <c r="F394" s="134"/>
      <c r="G394" s="88"/>
      <c r="H394" s="134"/>
      <c r="I394" s="119"/>
      <c r="J394" s="119"/>
      <c r="K394" s="119"/>
      <c r="L394" s="88"/>
      <c r="M394" s="88"/>
      <c r="N394" s="88"/>
      <c r="O394" s="134"/>
      <c r="P394" s="88"/>
      <c r="Q394" s="88"/>
      <c r="R394" s="88"/>
      <c r="S394" s="88"/>
      <c r="T394" s="134"/>
      <c r="U394" s="88"/>
      <c r="V394" s="70"/>
      <c r="W394" s="88"/>
      <c r="X394" s="88"/>
      <c r="Y394" s="70"/>
      <c r="Z394" s="70"/>
      <c r="AA394" s="88"/>
      <c r="AB394" s="88"/>
      <c r="AC394" s="71"/>
      <c r="AD394" s="88"/>
      <c r="AE394" s="73"/>
      <c r="AF394" s="74"/>
      <c r="AG394" s="74"/>
      <c r="AH394" s="74" t="str">
        <f aca="false">IF(ISBLANK($C394),"",IF($E394=Constants!$B$2,TRUE(),IF($E394=Constants!$B$3,FALSE(),TRUE())))</f>
        <v/>
      </c>
      <c r="AI394" s="74" t="str">
        <f aca="false">IF(ISBLANK($C394),"",IF($F394=Constants!$B$2,TRUE(),IF($F394=Constants!$B$3,FALSE(),FALSE())))</f>
        <v/>
      </c>
      <c r="AJ394" s="74" t="str">
        <f aca="false">IF(ISBLANK($C394),"",IF($G394=Constants!$B$2,TRUE(),IF($G394=Constants!$B$3,FALSE(),TRUE())))</f>
        <v/>
      </c>
      <c r="AK394" s="74" t="str">
        <f aca="false">IF(ISBLANK($C394),"",IF($H394=Constants!$B$2,TRUE(),IF($H394=Constants!$B$3,FALSE(),TRUE())))</f>
        <v/>
      </c>
      <c r="AL394" s="74" t="str">
        <f aca="false">IF(ISBLANK($C394),"",IF(ISNUMBER($I394),IF($I394&gt;=0,$I394,""),""))</f>
        <v/>
      </c>
      <c r="AM394" s="74" t="str">
        <f aca="false">IF(ISBLANK($C394),"",IF(ISNUMBER($J394),IF($J394&gt;=0,$J394,""),""))</f>
        <v/>
      </c>
      <c r="AN394" s="74" t="str">
        <f aca="false">IF(ISBLANK($C394),"",IF(ISNUMBER($K394),IF($K394&gt;=0,$K394,""),""))</f>
        <v/>
      </c>
      <c r="AO394" s="74" t="str">
        <f aca="false">IF(ISBLANK($C394),"",IF($L394=Constants!$B$2,TRUE(),IF($L394=Constants!$B$3,FALSE(),TRUE())))</f>
        <v/>
      </c>
      <c r="AP394" s="74" t="str">
        <f aca="false">IF(ISBLANK($C394),"",IF($M394=Constants!$B$2,TRUE(),IF($M394=Constants!$B$3,FALSE(),TRUE())))</f>
        <v/>
      </c>
      <c r="AQ394" s="74" t="str">
        <f aca="false">IF(ISBLANK($C394),"",IF($N394=Constants!$B$2,TRUE(),IF($N394=Constants!$B$3,FALSE(),FALSE())))</f>
        <v/>
      </c>
      <c r="AR394" s="74" t="str">
        <f aca="false">IF(ISBLANK($C394),"",IF($O394=Constants!$B$2,TRUE(),IF($O394=Constants!$B$3,FALSE(),TRUE())))</f>
        <v/>
      </c>
      <c r="AS394" s="74" t="str">
        <f aca="false">IF(ISBLANK($C394),"",IF($P394=Constants!$B$2,TRUE(),IF($P394=Constants!$B$3,FALSE(),FALSE())))</f>
        <v/>
      </c>
      <c r="AT394" s="74" t="str">
        <f aca="false">IF(ISBLANK($C394),"",IF($Q394=Constants!$B$2,TRUE(),IF($Q394=Constants!$B$3,FALSE(),FALSE())))</f>
        <v/>
      </c>
      <c r="AU394" s="74" t="str">
        <f aca="false">IF(ISBLANK($C394),"",IF($R394=Constants!$B$2,TRUE(),IF($R394=Constants!$B$3,FALSE(),FALSE())))</f>
        <v/>
      </c>
      <c r="AV394" s="74" t="str">
        <f aca="false">IF(ISBLANK($C394),"",IF($S394=Constants!$B$2,TRUE(),IF($S394=Constants!$B$3,FALSE(),FALSE())))</f>
        <v/>
      </c>
      <c r="AW394" s="74" t="str">
        <f aca="false">IF(ISBLANK($C394),"",IF($T394=Constants!$B$2,TRUE(),IF($T394=Constants!$B$3,FALSE(),FALSE())))</f>
        <v/>
      </c>
      <c r="AX394" s="74" t="str">
        <f aca="false">IF(ISBLANK($C394),"",IF(OR($U394&amp;""="1",$U394&amp;""="2",$U394&amp;""="3",$U394&amp;""="4"),VALUE($U394&amp;""),IF($U394=Constants!$B$12,Constants!$B$12,"")))</f>
        <v/>
      </c>
      <c r="AY394" s="74" t="str">
        <f aca="false">IF(ISBLANK($C394),"",IF(ISBLANK($V394),0,IF(ISNUMBER($V394),IF(AND($V394&gt;=0,$V394&lt;=Constants!$B$21,$V394=INT($V394)),$V394,""),"")))</f>
        <v/>
      </c>
      <c r="AZ394" s="74" t="str">
        <f aca="false">IF(ISBLANK($C394),"",IF(ISBLANK($W394),0,IF(ISNUMBER($W394),IF($W394&gt;=0,$W394,""),"")))</f>
        <v/>
      </c>
      <c r="BA394" s="74" t="str">
        <f aca="false">IF(ISBLANK($C394),"",IF($X394=Constants!$B$2,TRUE(),IF($X394=Constants!$B$3,FALSE(),TRUE())))</f>
        <v/>
      </c>
      <c r="BB394" s="74" t="str">
        <f aca="false">IF(ISBLANK($C394),"",IF($Y394=Constants!$B$2,TRUE(),IF($Y394=Constants!$B$3,FALSE(),FALSE())))</f>
        <v/>
      </c>
      <c r="BC394" s="74" t="str">
        <f aca="false">IF(ISBLANK($C394),"",IF(ISBLANK($Z394),0,IF(ISNUMBER($Z394),IF(AND($Z394&gt;=0,$Z394&lt;=Constants!$B$35,$Z394=INT($Z394)),$Z394,""),"")))</f>
        <v/>
      </c>
      <c r="BD394" s="74" t="str">
        <f aca="false">IF(ISBLANK($C394),"",IF($AA394=Constants!$B$2,TRUE(),IF($AA394=Constants!$B$3,FALSE(),TRUE())))</f>
        <v/>
      </c>
      <c r="BE394" s="74" t="str">
        <f aca="false">IF(ISBLANK($C394),"",IF($AB394=Constants!$B$2,TRUE(),IF($AB394=Constants!$B$3,FALSE(),TRUE())))</f>
        <v/>
      </c>
      <c r="BF394" s="74" t="str">
        <f aca="false">IF(ISBLANK($C394),"",IF(ISNUMBER($AC394),IF($AC394&gt;=0,$AC394,""),""))</f>
        <v/>
      </c>
      <c r="BG394" s="74" t="str">
        <f aca="false">IF(ISBLANK($C394),"",IF($AD394=Constants!$B$2,TRUE(),IF($AD394=Constants!$B$3,FALSE(),FALSE())))</f>
        <v/>
      </c>
      <c r="BH394" s="73" t="str">
        <f aca="false">IF(ISBLANK($C394),"",IF($BG394,Constants!$B$7,IF(COUNTA($E394:$AC394)=0,Constants!$B$6,IF(OR(COUNTA($G394:$AC394)=0,NOT($AK394),$AQ394),Constants!$B$5,IF(OR($CI394&lt;&gt;"",$CJ394,$CK394,$CL394,$CM394,$CN394,$CO394),Constants!$B$8,Constants!$B$4)))))</f>
        <v/>
      </c>
      <c r="BI394" s="74" t="str">
        <f aca="false">IF(ISBLANK($C394),"",IF($BH394&lt;&gt;Constants!$B$4,$BH394,IF(OR(NOT($AH394),NOT($AJ394),NOT($AR394)),Constants!$B$11,IF(OR(NOT($AP394),MAX($AL394,$AM394,$AN394)&gt;Constants!$B$30),Constants!$B$10,Constants!$B$9))))</f>
        <v/>
      </c>
      <c r="BJ394" s="74" t="str">
        <f aca="false">IF($BH394&lt;&gt;Constants!$B$4,"",IF(NOT($AJ394),0,MIN(Constants!$B$35,$BC394)))</f>
        <v/>
      </c>
      <c r="BK394" s="74" t="str">
        <f aca="false">IF($BH394&lt;&gt;Constants!$B$4,"",IF(NOT($AJ394),0,IF($AT394,Constants!$B$18,IF($AS394,Constants!$B$17,0))))</f>
        <v/>
      </c>
      <c r="BL394" s="74" t="str">
        <f aca="false">IF($BH394&lt;&gt;Constants!$B$4,"",IF(NOT($AJ394),0,Constants!$B$19*($AI394+$AU394+$AV394+$AW394)))</f>
        <v/>
      </c>
      <c r="BM394" s="74" t="str">
        <f aca="false">IF($BH394&lt;&gt;Constants!$B$4,"",IF(OR(NOT($AJ394),NOT(ISNUMBER($AX394))),0,CHOOSE($AX394,Constants!$B$13,Constants!$B$14,Constants!$B$15,Constants!$B$16)))</f>
        <v/>
      </c>
      <c r="BN394" s="74" t="str">
        <f aca="false">IF($BH394&lt;&gt;Constants!$B$4,"",IF(NOT($AJ394),0,Constants!$B$20*$AY394))</f>
        <v/>
      </c>
      <c r="BO394" s="74" t="str">
        <f aca="false">IF($BH394&lt;&gt;Constants!$B$4,"",IF(AND($AJ394,$BA394,$BB394),Constants!$B$22,0))</f>
        <v/>
      </c>
      <c r="BP394" s="74" t="str">
        <f aca="false">IF($BH394&lt;&gt;Constants!$B$4,"",IF(OR(NOT($AJ394),NOT($BA394)),0,IF($BF394&gt;=2*$AF$9,0,Constants!$B$23*INT(ROUND(MIN($BF394,$AF$9),6)))))</f>
        <v/>
      </c>
      <c r="BQ394" s="74" t="str">
        <f aca="false">IF($BH394&lt;&gt;Constants!$B$4,"",IF(NOT($AJ394),0,Constants!$B$24*INT(ROUND(MIN($AZ394,$AF$9),6))))</f>
        <v/>
      </c>
      <c r="BR394" s="74" t="str">
        <f aca="false">IF($BH394&lt;&gt;Constants!$B$4,"",IF(AND($AJ394,$BJ394=0),Constants!$B$25,0))</f>
        <v/>
      </c>
      <c r="BS394" s="74" t="str">
        <f aca="false">IF($BH394&lt;&gt;Constants!$B$4,"",MIN(Constants!$B$29,MAX(0,Constants!$B$27*Constants!$B$28*INT(ROUND((Constants!$B$26-$AL394)/Constants!$B$28,6))))+MIN(Constants!$B$29,MAX(0,Constants!$B$27*Constants!$B$28*INT(ROUND((Constants!$B$26-$AM394)/Constants!$B$28,6))))+MIN(Constants!$B$29,MAX(0,Constants!$B$27*Constants!$B$28*INT(ROUND((Constants!$B$26-$AN394)/Constants!$B$28,6)))))</f>
        <v/>
      </c>
      <c r="BT394" s="74" t="str">
        <f aca="false">IF($BH394&lt;&gt;Constants!$B$4,"",IF(NOT($AJ394),0,Constants!$B$31*INT(ROUND(MAX(0,MIN($BF394,2*$AF$9)-$AF$9),6))))</f>
        <v/>
      </c>
      <c r="BU394" s="74" t="str">
        <f aca="false">IF($BH394&lt;&gt;Constants!$B$4,"",Constants!$B$32*(($AL394&gt;Constants!$B$26)+($AM394&gt;Constants!$B$26)+($AN394&gt;Constants!$B$26)))</f>
        <v/>
      </c>
      <c r="BV394" s="74" t="str">
        <f aca="false">IF($BH394&lt;&gt;Constants!$B$4,"",IF(OR(NOT($AJ394),$AO394),0,Constants!$B$33))</f>
        <v/>
      </c>
      <c r="BW394" s="74" t="str">
        <f aca="false">IF($BH394&lt;&gt;Constants!$B$4,"",Constants!$B$34*$BJ394)</f>
        <v/>
      </c>
      <c r="BX394" s="74" t="str">
        <f aca="false">IF($BH394&lt;&gt;Constants!$B$4,"",IF(OR(NOT($AJ394),$BE394),0,Constants!$B$36))</f>
        <v/>
      </c>
      <c r="BY394" s="74" t="str">
        <f aca="false">IF($BH394&lt;&gt;Constants!$B$4,"",IF(OR(NOT($AJ394),$BD394),0,Constants!$B$37))</f>
        <v/>
      </c>
      <c r="BZ394" s="74" t="str">
        <f aca="false">IF($BH394&lt;&gt;Constants!$B$4,"",SUM($BT394:$BY394))</f>
        <v/>
      </c>
      <c r="CA394" s="74" t="str">
        <f aca="false">IF(ISBLANK($C394),"",IF($BH394&lt;&gt;Constants!$B$4,$BH394,SUM($BK394:$BS394)-$BZ394))</f>
        <v/>
      </c>
      <c r="CB394" s="74" t="str">
        <f aca="false">IF(ISBLANK($C394),"",IF($BH394&lt;&gt;Constants!$B$4,$BH394,RANK($CA394,$CA$9:$CA$508)))</f>
        <v/>
      </c>
      <c r="CC394" s="74" t="str">
        <f aca="false">IF(ISBLANK($C394),"",IF($BH394&lt;&gt;Constants!$B$4,$BH394,COUNTIFS($BI$9:$BI$508,"&lt;"&amp;$BI394)+COUNTIFS($BI$9:$BI$508,$BI394,$CB$9:$CB$508,"&lt;"&amp;$CB394)+1))</f>
        <v/>
      </c>
      <c r="CD394" s="74" t="str">
        <f aca="false">IF(ISBLANK($C394),"",IF($BH394&lt;&gt;Constants!$B$4,$BH394,RANK($BZ394,$BZ$9:$BZ$508,1)))</f>
        <v/>
      </c>
      <c r="CE394" s="74" t="str">
        <f aca="false">IF($BH394&lt;&gt;Constants!$B$4,"",$AL394+$AM394+$AN394)</f>
        <v/>
      </c>
      <c r="CF394" s="74" t="str">
        <f aca="false">IF(ISBLANK($C394),"",IF($BH394&lt;&gt;Constants!$B$4,$BH394,RANK($CE394,$CE$9:$CE$508,1)))</f>
        <v/>
      </c>
      <c r="CG394" s="74" t="str">
        <f aca="false">IF(ISBLANK($C394),"",IF($BH394&lt;&gt;Constants!$B$4,$BH394,COUNTIFS($BI$9:$BI$508,"&lt;"&amp;$BI394)+COUNTIFS($BI$9:$BI$508,$BI394,$CB$9:$CB$508,"&lt;"&amp;$CB394)+COUNTIFS($BI$9:$BI$508,$BI394,$CB$9:$CB$508,$CB394,$CD$9:$CD$508,"&lt;"&amp;$CD394)+COUNTIFS($BI$9:$BI$508,$BI394,$CB$9:$CB$508,$CB394,$CD$9:$CD$508,$CD394,$CF$9:$CF$508,"&lt;"&amp;$CF394)+1))</f>
        <v/>
      </c>
      <c r="CH394" s="74" t="str">
        <f aca="false">IF(ISBLANK($C394),"",IF($BH394&lt;&gt;Constants!$B$4,$BH394,$CC394-$CG394))</f>
        <v/>
      </c>
      <c r="CI394" s="74" t="str">
        <f aca="false">IF(ISBLANK($C394),"",IF(NOT($AJ394),"",IF(ISBLANK($D$7),$CI$5,IF(NOT(ISNUMBER($D$7)),$CI$6,""))))</f>
        <v/>
      </c>
      <c r="CJ394" s="74" t="str">
        <f aca="false">IF(ISBLANK($C394),"",OR($AL394="",$AM394="",$AN394=""))</f>
        <v/>
      </c>
      <c r="CK394" s="74" t="str">
        <f aca="false">IF(ISBLANK($C394),"",AND($AJ394,$AX394=""))</f>
        <v/>
      </c>
      <c r="CL394" s="74" t="str">
        <f aca="false">IF(ISBLANK($C394),"",AND($AJ394,$AY394=""))</f>
        <v/>
      </c>
      <c r="CM394" s="74" t="str">
        <f aca="false">IF(ISBLANK($C394),"",AND($AJ394,$AZ394=""))</f>
        <v/>
      </c>
      <c r="CN394" s="74" t="str">
        <f aca="false">IF(ISBLANK($C394),"",AND($AJ394,$BC394=""))</f>
        <v/>
      </c>
      <c r="CO394" s="74" t="str">
        <f aca="false">IF(ISBLANK($C394),"",AND($AJ394,$BF394=""))</f>
        <v/>
      </c>
      <c r="CP394" s="75"/>
      <c r="CQ394" s="76"/>
      <c r="CR394" s="79" t="str">
        <f aca="false">IF(ISBLANK($C394),"",IF($BH394=Constants!$B$8,$CI394,""))</f>
        <v/>
      </c>
      <c r="CS394" s="76" t="str">
        <f aca="false">IF(ISBLANK($C394),"",IF($BH394&lt;&gt;Constants!$B$4,"",$BK394+$BL394))</f>
        <v/>
      </c>
      <c r="CT394" s="78" t="str">
        <f aca="false">IF(ISBLANK($C394),"",IF($BH394&lt;&gt;Constants!$B$4,"",$BM394+$BN394+$BO394))</f>
        <v/>
      </c>
      <c r="CU394" s="78" t="str">
        <f aca="false">IF(ISBLANK($C394),"",IF($BH394&lt;&gt;Constants!$B$4,"",$BP394))</f>
        <v/>
      </c>
      <c r="CV394" s="78" t="str">
        <f aca="false">IF(ISBLANK($C394),"",IF($BH394&lt;&gt;Constants!$B$4,"",$BQ394+$BR394))</f>
        <v/>
      </c>
      <c r="CW394" s="78" t="str">
        <f aca="false">IF(ISBLANK($C394),"",IF($BH394&lt;&gt;Constants!$B$4,"",$BS394))</f>
        <v/>
      </c>
      <c r="CX394" s="78" t="str">
        <f aca="false">IF(ISBLANK($C394),"",IF($BH394&lt;&gt;Constants!$B$4,"",-$BZ394))</f>
        <v/>
      </c>
      <c r="CY394" s="79" t="str">
        <f aca="false">IF(ISBLANK($C394),"",$CA394)</f>
        <v/>
      </c>
      <c r="CZ394" s="80" t="str">
        <f aca="false">IF(ISBLANK($C394),"",$BI394)</f>
        <v/>
      </c>
      <c r="DA394" s="78" t="str">
        <f aca="false">IF(ISBLANK($C394),"",$CH394)</f>
        <v/>
      </c>
      <c r="DB394" s="78" t="str">
        <f aca="false">IF(ISBLANK($C394),"",$CG394)</f>
        <v/>
      </c>
      <c r="DC394" s="81" t="str">
        <f aca="false">IF(ISBLANK($C394),"",IFERROR(_xlfn.SWITCH($DB394,Constants!$B$7,COUNTA($C$9:$C$508)+2,Constants!$B$6,COUNTA($C$9:$C$508)+1,Constants!$B$5,COUNTA($C$9:$C$508)),$DB394))</f>
        <v/>
      </c>
      <c r="DD394" s="7"/>
      <c r="DE394" s="82" t="n">
        <f aca="false">IF(OR(ISNUMBER($DB394),$DB394=Constants!$B$7,$DB394=Constants!$B$5,$DB394=Constants!$B$6),1,0)</f>
        <v>0</v>
      </c>
      <c r="DF394" s="82" t="n">
        <v>386</v>
      </c>
      <c r="DG394" s="82" t="str">
        <f aca="false">IF(ISBLANK($C394),"",IF(ISNUMBER($DC394),$DC394+ROW($B394)/1000,""))</f>
        <v/>
      </c>
      <c r="DH394" s="82" t="str">
        <f aca="false">IF(ISNUMBER($DG394),RANK($DG394,$DG$9:$DG$508,1),"")</f>
        <v/>
      </c>
      <c r="DI394" s="82" t="str">
        <f aca="false">IF(ISBLANK($C394),"",$B394)</f>
        <v/>
      </c>
      <c r="DJ394" s="82" t="str">
        <f aca="false">IF(ISBLANK($C394),"",$C394)</f>
        <v/>
      </c>
      <c r="DK394" s="82" t="str">
        <f aca="false">IF(ISBLANK($C394),"",$D394)</f>
        <v/>
      </c>
      <c r="DL394" s="83" t="str">
        <f aca="false">$CZ394</f>
        <v/>
      </c>
      <c r="DM394" s="84" t="str">
        <f aca="false">$CY394</f>
        <v/>
      </c>
      <c r="DN394" s="82" t="str">
        <f aca="false">IF(ISBLANK($C394),"",$DB394)</f>
        <v/>
      </c>
      <c r="DO394" s="85" t="str">
        <f aca="false">IF($DF394&gt;$DE$8,"",VLOOKUP($DF394,$DH$9:$DN$508,7,FALSE()))</f>
        <v/>
      </c>
      <c r="DP394" s="86" t="str">
        <f aca="false">IF($DF394&gt;$DE$8,"",VLOOKUP($DF394,$DH$9:$DN$508,2,FALSE()))</f>
        <v/>
      </c>
      <c r="DQ394" s="86" t="str">
        <f aca="false">IF($DF394&gt;$DE$8,"",VLOOKUP($DF394,$DH$9:$DN$508,3,FALSE()))</f>
        <v/>
      </c>
      <c r="DR394" s="86" t="str">
        <f aca="false">IF($DF394&gt;$DE$8,"",VLOOKUP($DF394,$DH$9:$DN$508,4,FALSE()))</f>
        <v/>
      </c>
      <c r="DS394" s="86" t="str">
        <f aca="false">IF($DF394&gt;$DE$8,"",VLOOKUP($DF394,$DH$9:$DN$508,5,FALSE()))</f>
        <v/>
      </c>
      <c r="DT394" s="87" t="str">
        <f aca="false">IF($DF394&gt;$DE$8,"",VLOOKUP($DF394,$DH$9:$DN$508,6,FALSE()))</f>
        <v/>
      </c>
      <c r="DU394" s="62"/>
    </row>
    <row r="395" customFormat="false" ht="15.75" hidden="false" customHeight="false" outlineLevel="0" collapsed="false">
      <c r="A395" s="7"/>
      <c r="B395" s="64"/>
      <c r="C395" s="65"/>
      <c r="D395" s="123"/>
      <c r="E395" s="88"/>
      <c r="F395" s="134"/>
      <c r="G395" s="88"/>
      <c r="H395" s="134"/>
      <c r="I395" s="119"/>
      <c r="J395" s="119"/>
      <c r="K395" s="119"/>
      <c r="L395" s="88"/>
      <c r="M395" s="88"/>
      <c r="N395" s="88"/>
      <c r="O395" s="134"/>
      <c r="P395" s="88"/>
      <c r="Q395" s="88"/>
      <c r="R395" s="88"/>
      <c r="S395" s="88"/>
      <c r="T395" s="134"/>
      <c r="U395" s="88"/>
      <c r="V395" s="70"/>
      <c r="W395" s="88"/>
      <c r="X395" s="88"/>
      <c r="Y395" s="70"/>
      <c r="Z395" s="70"/>
      <c r="AA395" s="88"/>
      <c r="AB395" s="88"/>
      <c r="AC395" s="71"/>
      <c r="AD395" s="88"/>
      <c r="AE395" s="73"/>
      <c r="AF395" s="74"/>
      <c r="AG395" s="74"/>
      <c r="AH395" s="74" t="str">
        <f aca="false">IF(ISBLANK($C395),"",IF($E395=Constants!$B$2,TRUE(),IF($E395=Constants!$B$3,FALSE(),TRUE())))</f>
        <v/>
      </c>
      <c r="AI395" s="74" t="str">
        <f aca="false">IF(ISBLANK($C395),"",IF($F395=Constants!$B$2,TRUE(),IF($F395=Constants!$B$3,FALSE(),FALSE())))</f>
        <v/>
      </c>
      <c r="AJ395" s="74" t="str">
        <f aca="false">IF(ISBLANK($C395),"",IF($G395=Constants!$B$2,TRUE(),IF($G395=Constants!$B$3,FALSE(),TRUE())))</f>
        <v/>
      </c>
      <c r="AK395" s="74" t="str">
        <f aca="false">IF(ISBLANK($C395),"",IF($H395=Constants!$B$2,TRUE(),IF($H395=Constants!$B$3,FALSE(),TRUE())))</f>
        <v/>
      </c>
      <c r="AL395" s="74" t="str">
        <f aca="false">IF(ISBLANK($C395),"",IF(ISNUMBER($I395),IF($I395&gt;=0,$I395,""),""))</f>
        <v/>
      </c>
      <c r="AM395" s="74" t="str">
        <f aca="false">IF(ISBLANK($C395),"",IF(ISNUMBER($J395),IF($J395&gt;=0,$J395,""),""))</f>
        <v/>
      </c>
      <c r="AN395" s="74" t="str">
        <f aca="false">IF(ISBLANK($C395),"",IF(ISNUMBER($K395),IF($K395&gt;=0,$K395,""),""))</f>
        <v/>
      </c>
      <c r="AO395" s="74" t="str">
        <f aca="false">IF(ISBLANK($C395),"",IF($L395=Constants!$B$2,TRUE(),IF($L395=Constants!$B$3,FALSE(),TRUE())))</f>
        <v/>
      </c>
      <c r="AP395" s="74" t="str">
        <f aca="false">IF(ISBLANK($C395),"",IF($M395=Constants!$B$2,TRUE(),IF($M395=Constants!$B$3,FALSE(),TRUE())))</f>
        <v/>
      </c>
      <c r="AQ395" s="74" t="str">
        <f aca="false">IF(ISBLANK($C395),"",IF($N395=Constants!$B$2,TRUE(),IF($N395=Constants!$B$3,FALSE(),FALSE())))</f>
        <v/>
      </c>
      <c r="AR395" s="74" t="str">
        <f aca="false">IF(ISBLANK($C395),"",IF($O395=Constants!$B$2,TRUE(),IF($O395=Constants!$B$3,FALSE(),TRUE())))</f>
        <v/>
      </c>
      <c r="AS395" s="74" t="str">
        <f aca="false">IF(ISBLANK($C395),"",IF($P395=Constants!$B$2,TRUE(),IF($P395=Constants!$B$3,FALSE(),FALSE())))</f>
        <v/>
      </c>
      <c r="AT395" s="74" t="str">
        <f aca="false">IF(ISBLANK($C395),"",IF($Q395=Constants!$B$2,TRUE(),IF($Q395=Constants!$B$3,FALSE(),FALSE())))</f>
        <v/>
      </c>
      <c r="AU395" s="74" t="str">
        <f aca="false">IF(ISBLANK($C395),"",IF($R395=Constants!$B$2,TRUE(),IF($R395=Constants!$B$3,FALSE(),FALSE())))</f>
        <v/>
      </c>
      <c r="AV395" s="74" t="str">
        <f aca="false">IF(ISBLANK($C395),"",IF($S395=Constants!$B$2,TRUE(),IF($S395=Constants!$B$3,FALSE(),FALSE())))</f>
        <v/>
      </c>
      <c r="AW395" s="74" t="str">
        <f aca="false">IF(ISBLANK($C395),"",IF($T395=Constants!$B$2,TRUE(),IF($T395=Constants!$B$3,FALSE(),FALSE())))</f>
        <v/>
      </c>
      <c r="AX395" s="74" t="str">
        <f aca="false">IF(ISBLANK($C395),"",IF(OR($U395&amp;""="1",$U395&amp;""="2",$U395&amp;""="3",$U395&amp;""="4"),VALUE($U395&amp;""),IF($U395=Constants!$B$12,Constants!$B$12,"")))</f>
        <v/>
      </c>
      <c r="AY395" s="74" t="str">
        <f aca="false">IF(ISBLANK($C395),"",IF(ISBLANK($V395),0,IF(ISNUMBER($V395),IF(AND($V395&gt;=0,$V395&lt;=Constants!$B$21,$V395=INT($V395)),$V395,""),"")))</f>
        <v/>
      </c>
      <c r="AZ395" s="74" t="str">
        <f aca="false">IF(ISBLANK($C395),"",IF(ISBLANK($W395),0,IF(ISNUMBER($W395),IF($W395&gt;=0,$W395,""),"")))</f>
        <v/>
      </c>
      <c r="BA395" s="74" t="str">
        <f aca="false">IF(ISBLANK($C395),"",IF($X395=Constants!$B$2,TRUE(),IF($X395=Constants!$B$3,FALSE(),TRUE())))</f>
        <v/>
      </c>
      <c r="BB395" s="74" t="str">
        <f aca="false">IF(ISBLANK($C395),"",IF($Y395=Constants!$B$2,TRUE(),IF($Y395=Constants!$B$3,FALSE(),FALSE())))</f>
        <v/>
      </c>
      <c r="BC395" s="74" t="str">
        <f aca="false">IF(ISBLANK($C395),"",IF(ISBLANK($Z395),0,IF(ISNUMBER($Z395),IF(AND($Z395&gt;=0,$Z395&lt;=Constants!$B$35,$Z395=INT($Z395)),$Z395,""),"")))</f>
        <v/>
      </c>
      <c r="BD395" s="74" t="str">
        <f aca="false">IF(ISBLANK($C395),"",IF($AA395=Constants!$B$2,TRUE(),IF($AA395=Constants!$B$3,FALSE(),TRUE())))</f>
        <v/>
      </c>
      <c r="BE395" s="74" t="str">
        <f aca="false">IF(ISBLANK($C395),"",IF($AB395=Constants!$B$2,TRUE(),IF($AB395=Constants!$B$3,FALSE(),TRUE())))</f>
        <v/>
      </c>
      <c r="BF395" s="74" t="str">
        <f aca="false">IF(ISBLANK($C395),"",IF(ISNUMBER($AC395),IF($AC395&gt;=0,$AC395,""),""))</f>
        <v/>
      </c>
      <c r="BG395" s="74" t="str">
        <f aca="false">IF(ISBLANK($C395),"",IF($AD395=Constants!$B$2,TRUE(),IF($AD395=Constants!$B$3,FALSE(),FALSE())))</f>
        <v/>
      </c>
      <c r="BH395" s="73" t="str">
        <f aca="false">IF(ISBLANK($C395),"",IF($BG395,Constants!$B$7,IF(COUNTA($E395:$AC395)=0,Constants!$B$6,IF(OR(COUNTA($G395:$AC395)=0,NOT($AK395),$AQ395),Constants!$B$5,IF(OR($CI395&lt;&gt;"",$CJ395,$CK395,$CL395,$CM395,$CN395,$CO395),Constants!$B$8,Constants!$B$4)))))</f>
        <v/>
      </c>
      <c r="BI395" s="74" t="str">
        <f aca="false">IF(ISBLANK($C395),"",IF($BH395&lt;&gt;Constants!$B$4,$BH395,IF(OR(NOT($AH395),NOT($AJ395),NOT($AR395)),Constants!$B$11,IF(OR(NOT($AP395),MAX($AL395,$AM395,$AN395)&gt;Constants!$B$30),Constants!$B$10,Constants!$B$9))))</f>
        <v/>
      </c>
      <c r="BJ395" s="74" t="str">
        <f aca="false">IF($BH395&lt;&gt;Constants!$B$4,"",IF(NOT($AJ395),0,MIN(Constants!$B$35,$BC395)))</f>
        <v/>
      </c>
      <c r="BK395" s="74" t="str">
        <f aca="false">IF($BH395&lt;&gt;Constants!$B$4,"",IF(NOT($AJ395),0,IF($AT395,Constants!$B$18,IF($AS395,Constants!$B$17,0))))</f>
        <v/>
      </c>
      <c r="BL395" s="74" t="str">
        <f aca="false">IF($BH395&lt;&gt;Constants!$B$4,"",IF(NOT($AJ395),0,Constants!$B$19*($AI395+$AU395+$AV395+$AW395)))</f>
        <v/>
      </c>
      <c r="BM395" s="74" t="str">
        <f aca="false">IF($BH395&lt;&gt;Constants!$B$4,"",IF(OR(NOT($AJ395),NOT(ISNUMBER($AX395))),0,CHOOSE($AX395,Constants!$B$13,Constants!$B$14,Constants!$B$15,Constants!$B$16)))</f>
        <v/>
      </c>
      <c r="BN395" s="74" t="str">
        <f aca="false">IF($BH395&lt;&gt;Constants!$B$4,"",IF(NOT($AJ395),0,Constants!$B$20*$AY395))</f>
        <v/>
      </c>
      <c r="BO395" s="74" t="str">
        <f aca="false">IF($BH395&lt;&gt;Constants!$B$4,"",IF(AND($AJ395,$BA395,$BB395),Constants!$B$22,0))</f>
        <v/>
      </c>
      <c r="BP395" s="74" t="str">
        <f aca="false">IF($BH395&lt;&gt;Constants!$B$4,"",IF(OR(NOT($AJ395),NOT($BA395)),0,IF($BF395&gt;=2*$AF$9,0,Constants!$B$23*INT(ROUND(MIN($BF395,$AF$9),6)))))</f>
        <v/>
      </c>
      <c r="BQ395" s="74" t="str">
        <f aca="false">IF($BH395&lt;&gt;Constants!$B$4,"",IF(NOT($AJ395),0,Constants!$B$24*INT(ROUND(MIN($AZ395,$AF$9),6))))</f>
        <v/>
      </c>
      <c r="BR395" s="74" t="str">
        <f aca="false">IF($BH395&lt;&gt;Constants!$B$4,"",IF(AND($AJ395,$BJ395=0),Constants!$B$25,0))</f>
        <v/>
      </c>
      <c r="BS395" s="74" t="str">
        <f aca="false">IF($BH395&lt;&gt;Constants!$B$4,"",MIN(Constants!$B$29,MAX(0,Constants!$B$27*Constants!$B$28*INT(ROUND((Constants!$B$26-$AL395)/Constants!$B$28,6))))+MIN(Constants!$B$29,MAX(0,Constants!$B$27*Constants!$B$28*INT(ROUND((Constants!$B$26-$AM395)/Constants!$B$28,6))))+MIN(Constants!$B$29,MAX(0,Constants!$B$27*Constants!$B$28*INT(ROUND((Constants!$B$26-$AN395)/Constants!$B$28,6)))))</f>
        <v/>
      </c>
      <c r="BT395" s="74" t="str">
        <f aca="false">IF($BH395&lt;&gt;Constants!$B$4,"",IF(NOT($AJ395),0,Constants!$B$31*INT(ROUND(MAX(0,MIN($BF395,2*$AF$9)-$AF$9),6))))</f>
        <v/>
      </c>
      <c r="BU395" s="74" t="str">
        <f aca="false">IF($BH395&lt;&gt;Constants!$B$4,"",Constants!$B$32*(($AL395&gt;Constants!$B$26)+($AM395&gt;Constants!$B$26)+($AN395&gt;Constants!$B$26)))</f>
        <v/>
      </c>
      <c r="BV395" s="74" t="str">
        <f aca="false">IF($BH395&lt;&gt;Constants!$B$4,"",IF(OR(NOT($AJ395),$AO395),0,Constants!$B$33))</f>
        <v/>
      </c>
      <c r="BW395" s="74" t="str">
        <f aca="false">IF($BH395&lt;&gt;Constants!$B$4,"",Constants!$B$34*$BJ395)</f>
        <v/>
      </c>
      <c r="BX395" s="74" t="str">
        <f aca="false">IF($BH395&lt;&gt;Constants!$B$4,"",IF(OR(NOT($AJ395),$BE395),0,Constants!$B$36))</f>
        <v/>
      </c>
      <c r="BY395" s="74" t="str">
        <f aca="false">IF($BH395&lt;&gt;Constants!$B$4,"",IF(OR(NOT($AJ395),$BD395),0,Constants!$B$37))</f>
        <v/>
      </c>
      <c r="BZ395" s="74" t="str">
        <f aca="false">IF($BH395&lt;&gt;Constants!$B$4,"",SUM($BT395:$BY395))</f>
        <v/>
      </c>
      <c r="CA395" s="74" t="str">
        <f aca="false">IF(ISBLANK($C395),"",IF($BH395&lt;&gt;Constants!$B$4,$BH395,SUM($BK395:$BS395)-$BZ395))</f>
        <v/>
      </c>
      <c r="CB395" s="74" t="str">
        <f aca="false">IF(ISBLANK($C395),"",IF($BH395&lt;&gt;Constants!$B$4,$BH395,RANK($CA395,$CA$9:$CA$508)))</f>
        <v/>
      </c>
      <c r="CC395" s="74" t="str">
        <f aca="false">IF(ISBLANK($C395),"",IF($BH395&lt;&gt;Constants!$B$4,$BH395,COUNTIFS($BI$9:$BI$508,"&lt;"&amp;$BI395)+COUNTIFS($BI$9:$BI$508,$BI395,$CB$9:$CB$508,"&lt;"&amp;$CB395)+1))</f>
        <v/>
      </c>
      <c r="CD395" s="74" t="str">
        <f aca="false">IF(ISBLANK($C395),"",IF($BH395&lt;&gt;Constants!$B$4,$BH395,RANK($BZ395,$BZ$9:$BZ$508,1)))</f>
        <v/>
      </c>
      <c r="CE395" s="74" t="str">
        <f aca="false">IF($BH395&lt;&gt;Constants!$B$4,"",$AL395+$AM395+$AN395)</f>
        <v/>
      </c>
      <c r="CF395" s="74" t="str">
        <f aca="false">IF(ISBLANK($C395),"",IF($BH395&lt;&gt;Constants!$B$4,$BH395,RANK($CE395,$CE$9:$CE$508,1)))</f>
        <v/>
      </c>
      <c r="CG395" s="74" t="str">
        <f aca="false">IF(ISBLANK($C395),"",IF($BH395&lt;&gt;Constants!$B$4,$BH395,COUNTIFS($BI$9:$BI$508,"&lt;"&amp;$BI395)+COUNTIFS($BI$9:$BI$508,$BI395,$CB$9:$CB$508,"&lt;"&amp;$CB395)+COUNTIFS($BI$9:$BI$508,$BI395,$CB$9:$CB$508,$CB395,$CD$9:$CD$508,"&lt;"&amp;$CD395)+COUNTIFS($BI$9:$BI$508,$BI395,$CB$9:$CB$508,$CB395,$CD$9:$CD$508,$CD395,$CF$9:$CF$508,"&lt;"&amp;$CF395)+1))</f>
        <v/>
      </c>
      <c r="CH395" s="74" t="str">
        <f aca="false">IF(ISBLANK($C395),"",IF($BH395&lt;&gt;Constants!$B$4,$BH395,$CC395-$CG395))</f>
        <v/>
      </c>
      <c r="CI395" s="74" t="str">
        <f aca="false">IF(ISBLANK($C395),"",IF(NOT($AJ395),"",IF(ISBLANK($D$7),$CI$5,IF(NOT(ISNUMBER($D$7)),$CI$6,""))))</f>
        <v/>
      </c>
      <c r="CJ395" s="74" t="str">
        <f aca="false">IF(ISBLANK($C395),"",OR($AL395="",$AM395="",$AN395=""))</f>
        <v/>
      </c>
      <c r="CK395" s="74" t="str">
        <f aca="false">IF(ISBLANK($C395),"",AND($AJ395,$AX395=""))</f>
        <v/>
      </c>
      <c r="CL395" s="74" t="str">
        <f aca="false">IF(ISBLANK($C395),"",AND($AJ395,$AY395=""))</f>
        <v/>
      </c>
      <c r="CM395" s="74" t="str">
        <f aca="false">IF(ISBLANK($C395),"",AND($AJ395,$AZ395=""))</f>
        <v/>
      </c>
      <c r="CN395" s="74" t="str">
        <f aca="false">IF(ISBLANK($C395),"",AND($AJ395,$BC395=""))</f>
        <v/>
      </c>
      <c r="CO395" s="74" t="str">
        <f aca="false">IF(ISBLANK($C395),"",AND($AJ395,$BF395=""))</f>
        <v/>
      </c>
      <c r="CP395" s="75"/>
      <c r="CQ395" s="76"/>
      <c r="CR395" s="79" t="str">
        <f aca="false">IF(ISBLANK($C395),"",IF($BH395=Constants!$B$8,$CI395,""))</f>
        <v/>
      </c>
      <c r="CS395" s="76" t="str">
        <f aca="false">IF(ISBLANK($C395),"",IF($BH395&lt;&gt;Constants!$B$4,"",$BK395+$BL395))</f>
        <v/>
      </c>
      <c r="CT395" s="78" t="str">
        <f aca="false">IF(ISBLANK($C395),"",IF($BH395&lt;&gt;Constants!$B$4,"",$BM395+$BN395+$BO395))</f>
        <v/>
      </c>
      <c r="CU395" s="78" t="str">
        <f aca="false">IF(ISBLANK($C395),"",IF($BH395&lt;&gt;Constants!$B$4,"",$BP395))</f>
        <v/>
      </c>
      <c r="CV395" s="78" t="str">
        <f aca="false">IF(ISBLANK($C395),"",IF($BH395&lt;&gt;Constants!$B$4,"",$BQ395+$BR395))</f>
        <v/>
      </c>
      <c r="CW395" s="78" t="str">
        <f aca="false">IF(ISBLANK($C395),"",IF($BH395&lt;&gt;Constants!$B$4,"",$BS395))</f>
        <v/>
      </c>
      <c r="CX395" s="78" t="str">
        <f aca="false">IF(ISBLANK($C395),"",IF($BH395&lt;&gt;Constants!$B$4,"",-$BZ395))</f>
        <v/>
      </c>
      <c r="CY395" s="79" t="str">
        <f aca="false">IF(ISBLANK($C395),"",$CA395)</f>
        <v/>
      </c>
      <c r="CZ395" s="80" t="str">
        <f aca="false">IF(ISBLANK($C395),"",$BI395)</f>
        <v/>
      </c>
      <c r="DA395" s="78" t="str">
        <f aca="false">IF(ISBLANK($C395),"",$CH395)</f>
        <v/>
      </c>
      <c r="DB395" s="78" t="str">
        <f aca="false">IF(ISBLANK($C395),"",$CG395)</f>
        <v/>
      </c>
      <c r="DC395" s="81" t="str">
        <f aca="false">IF(ISBLANK($C395),"",IFERROR(_xlfn.SWITCH($DB395,Constants!$B$7,COUNTA($C$9:$C$508)+2,Constants!$B$6,COUNTA($C$9:$C$508)+1,Constants!$B$5,COUNTA($C$9:$C$508)),$DB395))</f>
        <v/>
      </c>
      <c r="DD395" s="7"/>
      <c r="DE395" s="82" t="n">
        <f aca="false">IF(OR(ISNUMBER($DB395),$DB395=Constants!$B$7,$DB395=Constants!$B$5,$DB395=Constants!$B$6),1,0)</f>
        <v>0</v>
      </c>
      <c r="DF395" s="82" t="n">
        <v>387</v>
      </c>
      <c r="DG395" s="82" t="str">
        <f aca="false">IF(ISBLANK($C395),"",IF(ISNUMBER($DC395),$DC395+ROW($B395)/1000,""))</f>
        <v/>
      </c>
      <c r="DH395" s="82" t="str">
        <f aca="false">IF(ISNUMBER($DG395),RANK($DG395,$DG$9:$DG$508,1),"")</f>
        <v/>
      </c>
      <c r="DI395" s="82" t="str">
        <f aca="false">IF(ISBLANK($C395),"",$B395)</f>
        <v/>
      </c>
      <c r="DJ395" s="82" t="str">
        <f aca="false">IF(ISBLANK($C395),"",$C395)</f>
        <v/>
      </c>
      <c r="DK395" s="82" t="str">
        <f aca="false">IF(ISBLANK($C395),"",$D395)</f>
        <v/>
      </c>
      <c r="DL395" s="83" t="str">
        <f aca="false">$CZ395</f>
        <v/>
      </c>
      <c r="DM395" s="84" t="str">
        <f aca="false">$CY395</f>
        <v/>
      </c>
      <c r="DN395" s="82" t="str">
        <f aca="false">IF(ISBLANK($C395),"",$DB395)</f>
        <v/>
      </c>
      <c r="DO395" s="85" t="str">
        <f aca="false">IF($DF395&gt;$DE$8,"",VLOOKUP($DF395,$DH$9:$DN$508,7,FALSE()))</f>
        <v/>
      </c>
      <c r="DP395" s="86" t="str">
        <f aca="false">IF($DF395&gt;$DE$8,"",VLOOKUP($DF395,$DH$9:$DN$508,2,FALSE()))</f>
        <v/>
      </c>
      <c r="DQ395" s="86" t="str">
        <f aca="false">IF($DF395&gt;$DE$8,"",VLOOKUP($DF395,$DH$9:$DN$508,3,FALSE()))</f>
        <v/>
      </c>
      <c r="DR395" s="86" t="str">
        <f aca="false">IF($DF395&gt;$DE$8,"",VLOOKUP($DF395,$DH$9:$DN$508,4,FALSE()))</f>
        <v/>
      </c>
      <c r="DS395" s="86" t="str">
        <f aca="false">IF($DF395&gt;$DE$8,"",VLOOKUP($DF395,$DH$9:$DN$508,5,FALSE()))</f>
        <v/>
      </c>
      <c r="DT395" s="87" t="str">
        <f aca="false">IF($DF395&gt;$DE$8,"",VLOOKUP($DF395,$DH$9:$DN$508,6,FALSE()))</f>
        <v/>
      </c>
      <c r="DU395" s="62"/>
    </row>
    <row r="396" customFormat="false" ht="15.75" hidden="false" customHeight="false" outlineLevel="0" collapsed="false">
      <c r="A396" s="7"/>
      <c r="B396" s="90"/>
      <c r="C396" s="91"/>
      <c r="D396" s="126"/>
      <c r="E396" s="130"/>
      <c r="F396" s="135"/>
      <c r="G396" s="130"/>
      <c r="H396" s="135"/>
      <c r="I396" s="131"/>
      <c r="J396" s="131"/>
      <c r="K396" s="131"/>
      <c r="L396" s="130"/>
      <c r="M396" s="130"/>
      <c r="N396" s="130"/>
      <c r="O396" s="135"/>
      <c r="P396" s="130"/>
      <c r="Q396" s="130"/>
      <c r="R396" s="130"/>
      <c r="S396" s="130"/>
      <c r="T396" s="135"/>
      <c r="U396" s="130"/>
      <c r="V396" s="96"/>
      <c r="W396" s="130"/>
      <c r="X396" s="130"/>
      <c r="Y396" s="96"/>
      <c r="Z396" s="96"/>
      <c r="AA396" s="130"/>
      <c r="AB396" s="130"/>
      <c r="AC396" s="97"/>
      <c r="AD396" s="130"/>
      <c r="AE396" s="99"/>
      <c r="AF396" s="100"/>
      <c r="AG396" s="100"/>
      <c r="AH396" s="100" t="str">
        <f aca="false">IF(ISBLANK($C396),"",IF($E396=Constants!$B$2,TRUE(),IF($E396=Constants!$B$3,FALSE(),TRUE())))</f>
        <v/>
      </c>
      <c r="AI396" s="100" t="str">
        <f aca="false">IF(ISBLANK($C396),"",IF($F396=Constants!$B$2,TRUE(),IF($F396=Constants!$B$3,FALSE(),FALSE())))</f>
        <v/>
      </c>
      <c r="AJ396" s="100" t="str">
        <f aca="false">IF(ISBLANK($C396),"",IF($G396=Constants!$B$2,TRUE(),IF($G396=Constants!$B$3,FALSE(),TRUE())))</f>
        <v/>
      </c>
      <c r="AK396" s="100" t="str">
        <f aca="false">IF(ISBLANK($C396),"",IF($H396=Constants!$B$2,TRUE(),IF($H396=Constants!$B$3,FALSE(),TRUE())))</f>
        <v/>
      </c>
      <c r="AL396" s="100" t="str">
        <f aca="false">IF(ISBLANK($C396),"",IF(ISNUMBER($I396),IF($I396&gt;=0,$I396,""),""))</f>
        <v/>
      </c>
      <c r="AM396" s="100" t="str">
        <f aca="false">IF(ISBLANK($C396),"",IF(ISNUMBER($J396),IF($J396&gt;=0,$J396,""),""))</f>
        <v/>
      </c>
      <c r="AN396" s="100" t="str">
        <f aca="false">IF(ISBLANK($C396),"",IF(ISNUMBER($K396),IF($K396&gt;=0,$K396,""),""))</f>
        <v/>
      </c>
      <c r="AO396" s="100" t="str">
        <f aca="false">IF(ISBLANK($C396),"",IF($L396=Constants!$B$2,TRUE(),IF($L396=Constants!$B$3,FALSE(),TRUE())))</f>
        <v/>
      </c>
      <c r="AP396" s="100" t="str">
        <f aca="false">IF(ISBLANK($C396),"",IF($M396=Constants!$B$2,TRUE(),IF($M396=Constants!$B$3,FALSE(),TRUE())))</f>
        <v/>
      </c>
      <c r="AQ396" s="100" t="str">
        <f aca="false">IF(ISBLANK($C396),"",IF($N396=Constants!$B$2,TRUE(),IF($N396=Constants!$B$3,FALSE(),FALSE())))</f>
        <v/>
      </c>
      <c r="AR396" s="100" t="str">
        <f aca="false">IF(ISBLANK($C396),"",IF($O396=Constants!$B$2,TRUE(),IF($O396=Constants!$B$3,FALSE(),TRUE())))</f>
        <v/>
      </c>
      <c r="AS396" s="100" t="str">
        <f aca="false">IF(ISBLANK($C396),"",IF($P396=Constants!$B$2,TRUE(),IF($P396=Constants!$B$3,FALSE(),FALSE())))</f>
        <v/>
      </c>
      <c r="AT396" s="100" t="str">
        <f aca="false">IF(ISBLANK($C396),"",IF($Q396=Constants!$B$2,TRUE(),IF($Q396=Constants!$B$3,FALSE(),FALSE())))</f>
        <v/>
      </c>
      <c r="AU396" s="100" t="str">
        <f aca="false">IF(ISBLANK($C396),"",IF($R396=Constants!$B$2,TRUE(),IF($R396=Constants!$B$3,FALSE(),FALSE())))</f>
        <v/>
      </c>
      <c r="AV396" s="100" t="str">
        <f aca="false">IF(ISBLANK($C396),"",IF($S396=Constants!$B$2,TRUE(),IF($S396=Constants!$B$3,FALSE(),FALSE())))</f>
        <v/>
      </c>
      <c r="AW396" s="100" t="str">
        <f aca="false">IF(ISBLANK($C396),"",IF($T396=Constants!$B$2,TRUE(),IF($T396=Constants!$B$3,FALSE(),FALSE())))</f>
        <v/>
      </c>
      <c r="AX396" s="100" t="str">
        <f aca="false">IF(ISBLANK($C396),"",IF(OR($U396&amp;""="1",$U396&amp;""="2",$U396&amp;""="3",$U396&amp;""="4"),VALUE($U396&amp;""),IF($U396=Constants!$B$12,Constants!$B$12,"")))</f>
        <v/>
      </c>
      <c r="AY396" s="100" t="str">
        <f aca="false">IF(ISBLANK($C396),"",IF(ISBLANK($V396),0,IF(ISNUMBER($V396),IF(AND($V396&gt;=0,$V396&lt;=Constants!$B$21,$V396=INT($V396)),$V396,""),"")))</f>
        <v/>
      </c>
      <c r="AZ396" s="100" t="str">
        <f aca="false">IF(ISBLANK($C396),"",IF(ISBLANK($W396),0,IF(ISNUMBER($W396),IF($W396&gt;=0,$W396,""),"")))</f>
        <v/>
      </c>
      <c r="BA396" s="100" t="str">
        <f aca="false">IF(ISBLANK($C396),"",IF($X396=Constants!$B$2,TRUE(),IF($X396=Constants!$B$3,FALSE(),TRUE())))</f>
        <v/>
      </c>
      <c r="BB396" s="100" t="str">
        <f aca="false">IF(ISBLANK($C396),"",IF($Y396=Constants!$B$2,TRUE(),IF($Y396=Constants!$B$3,FALSE(),FALSE())))</f>
        <v/>
      </c>
      <c r="BC396" s="100" t="str">
        <f aca="false">IF(ISBLANK($C396),"",IF(ISBLANK($Z396),0,IF(ISNUMBER($Z396),IF(AND($Z396&gt;=0,$Z396&lt;=Constants!$B$35,$Z396=INT($Z396)),$Z396,""),"")))</f>
        <v/>
      </c>
      <c r="BD396" s="100" t="str">
        <f aca="false">IF(ISBLANK($C396),"",IF($AA396=Constants!$B$2,TRUE(),IF($AA396=Constants!$B$3,FALSE(),TRUE())))</f>
        <v/>
      </c>
      <c r="BE396" s="100" t="str">
        <f aca="false">IF(ISBLANK($C396),"",IF($AB396=Constants!$B$2,TRUE(),IF($AB396=Constants!$B$3,FALSE(),TRUE())))</f>
        <v/>
      </c>
      <c r="BF396" s="100" t="str">
        <f aca="false">IF(ISBLANK($C396),"",IF(ISNUMBER($AC396),IF($AC396&gt;=0,$AC396,""),""))</f>
        <v/>
      </c>
      <c r="BG396" s="100" t="str">
        <f aca="false">IF(ISBLANK($C396),"",IF($AD396=Constants!$B$2,TRUE(),IF($AD396=Constants!$B$3,FALSE(),FALSE())))</f>
        <v/>
      </c>
      <c r="BH396" s="99" t="str">
        <f aca="false">IF(ISBLANK($C396),"",IF($BG396,Constants!$B$7,IF(COUNTA($E396:$AC396)=0,Constants!$B$6,IF(OR(COUNTA($G396:$AC396)=0,NOT($AK396),$AQ396),Constants!$B$5,IF(OR($CI396&lt;&gt;"",$CJ396,$CK396,$CL396,$CM396,$CN396,$CO396),Constants!$B$8,Constants!$B$4)))))</f>
        <v/>
      </c>
      <c r="BI396" s="100" t="str">
        <f aca="false">IF(ISBLANK($C396),"",IF($BH396&lt;&gt;Constants!$B$4,$BH396,IF(OR(NOT($AH396),NOT($AJ396),NOT($AR396)),Constants!$B$11,IF(OR(NOT($AP396),MAX($AL396,$AM396,$AN396)&gt;Constants!$B$30),Constants!$B$10,Constants!$B$9))))</f>
        <v/>
      </c>
      <c r="BJ396" s="100" t="str">
        <f aca="false">IF($BH396&lt;&gt;Constants!$B$4,"",IF(NOT($AJ396),0,MIN(Constants!$B$35,$BC396)))</f>
        <v/>
      </c>
      <c r="BK396" s="100" t="str">
        <f aca="false">IF($BH396&lt;&gt;Constants!$B$4,"",IF(NOT($AJ396),0,IF($AT396,Constants!$B$18,IF($AS396,Constants!$B$17,0))))</f>
        <v/>
      </c>
      <c r="BL396" s="100" t="str">
        <f aca="false">IF($BH396&lt;&gt;Constants!$B$4,"",IF(NOT($AJ396),0,Constants!$B$19*($AI396+$AU396+$AV396+$AW396)))</f>
        <v/>
      </c>
      <c r="BM396" s="100" t="str">
        <f aca="false">IF($BH396&lt;&gt;Constants!$B$4,"",IF(OR(NOT($AJ396),NOT(ISNUMBER($AX396))),0,CHOOSE($AX396,Constants!$B$13,Constants!$B$14,Constants!$B$15,Constants!$B$16)))</f>
        <v/>
      </c>
      <c r="BN396" s="100" t="str">
        <f aca="false">IF($BH396&lt;&gt;Constants!$B$4,"",IF(NOT($AJ396),0,Constants!$B$20*$AY396))</f>
        <v/>
      </c>
      <c r="BO396" s="100" t="str">
        <f aca="false">IF($BH396&lt;&gt;Constants!$B$4,"",IF(AND($AJ396,$BA396,$BB396),Constants!$B$22,0))</f>
        <v/>
      </c>
      <c r="BP396" s="100" t="str">
        <f aca="false">IF($BH396&lt;&gt;Constants!$B$4,"",IF(OR(NOT($AJ396),NOT($BA396)),0,IF($BF396&gt;=2*$AF$9,0,Constants!$B$23*INT(ROUND(MIN($BF396,$AF$9),6)))))</f>
        <v/>
      </c>
      <c r="BQ396" s="100" t="str">
        <f aca="false">IF($BH396&lt;&gt;Constants!$B$4,"",IF(NOT($AJ396),0,Constants!$B$24*INT(ROUND(MIN($AZ396,$AF$9),6))))</f>
        <v/>
      </c>
      <c r="BR396" s="100" t="str">
        <f aca="false">IF($BH396&lt;&gt;Constants!$B$4,"",IF(AND($AJ396,$BJ396=0),Constants!$B$25,0))</f>
        <v/>
      </c>
      <c r="BS396" s="100" t="str">
        <f aca="false">IF($BH396&lt;&gt;Constants!$B$4,"",MIN(Constants!$B$29,MAX(0,Constants!$B$27*Constants!$B$28*INT(ROUND((Constants!$B$26-$AL396)/Constants!$B$28,6))))+MIN(Constants!$B$29,MAX(0,Constants!$B$27*Constants!$B$28*INT(ROUND((Constants!$B$26-$AM396)/Constants!$B$28,6))))+MIN(Constants!$B$29,MAX(0,Constants!$B$27*Constants!$B$28*INT(ROUND((Constants!$B$26-$AN396)/Constants!$B$28,6)))))</f>
        <v/>
      </c>
      <c r="BT396" s="100" t="str">
        <f aca="false">IF($BH396&lt;&gt;Constants!$B$4,"",IF(NOT($AJ396),0,Constants!$B$31*INT(ROUND(MAX(0,MIN($BF396,2*$AF$9)-$AF$9),6))))</f>
        <v/>
      </c>
      <c r="BU396" s="100" t="str">
        <f aca="false">IF($BH396&lt;&gt;Constants!$B$4,"",Constants!$B$32*(($AL396&gt;Constants!$B$26)+($AM396&gt;Constants!$B$26)+($AN396&gt;Constants!$B$26)))</f>
        <v/>
      </c>
      <c r="BV396" s="100" t="str">
        <f aca="false">IF($BH396&lt;&gt;Constants!$B$4,"",IF(OR(NOT($AJ396),$AO396),0,Constants!$B$33))</f>
        <v/>
      </c>
      <c r="BW396" s="100" t="str">
        <f aca="false">IF($BH396&lt;&gt;Constants!$B$4,"",Constants!$B$34*$BJ396)</f>
        <v/>
      </c>
      <c r="BX396" s="100" t="str">
        <f aca="false">IF($BH396&lt;&gt;Constants!$B$4,"",IF(OR(NOT($AJ396),$BE396),0,Constants!$B$36))</f>
        <v/>
      </c>
      <c r="BY396" s="100" t="str">
        <f aca="false">IF($BH396&lt;&gt;Constants!$B$4,"",IF(OR(NOT($AJ396),$BD396),0,Constants!$B$37))</f>
        <v/>
      </c>
      <c r="BZ396" s="100" t="str">
        <f aca="false">IF($BH396&lt;&gt;Constants!$B$4,"",SUM($BT396:$BY396))</f>
        <v/>
      </c>
      <c r="CA396" s="100" t="str">
        <f aca="false">IF(ISBLANK($C396),"",IF($BH396&lt;&gt;Constants!$B$4,$BH396,SUM($BK396:$BS396)-$BZ396))</f>
        <v/>
      </c>
      <c r="CB396" s="100" t="str">
        <f aca="false">IF(ISBLANK($C396),"",IF($BH396&lt;&gt;Constants!$B$4,$BH396,RANK($CA396,$CA$9:$CA$508)))</f>
        <v/>
      </c>
      <c r="CC396" s="100" t="str">
        <f aca="false">IF(ISBLANK($C396),"",IF($BH396&lt;&gt;Constants!$B$4,$BH396,COUNTIFS($BI$9:$BI$508,"&lt;"&amp;$BI396)+COUNTIFS($BI$9:$BI$508,$BI396,$CB$9:$CB$508,"&lt;"&amp;$CB396)+1))</f>
        <v/>
      </c>
      <c r="CD396" s="100" t="str">
        <f aca="false">IF(ISBLANK($C396),"",IF($BH396&lt;&gt;Constants!$B$4,$BH396,RANK($BZ396,$BZ$9:$BZ$508,1)))</f>
        <v/>
      </c>
      <c r="CE396" s="100" t="str">
        <f aca="false">IF($BH396&lt;&gt;Constants!$B$4,"",$AL396+$AM396+$AN396)</f>
        <v/>
      </c>
      <c r="CF396" s="100" t="str">
        <f aca="false">IF(ISBLANK($C396),"",IF($BH396&lt;&gt;Constants!$B$4,$BH396,RANK($CE396,$CE$9:$CE$508,1)))</f>
        <v/>
      </c>
      <c r="CG396" s="100" t="str">
        <f aca="false">IF(ISBLANK($C396),"",IF($BH396&lt;&gt;Constants!$B$4,$BH396,COUNTIFS($BI$9:$BI$508,"&lt;"&amp;$BI396)+COUNTIFS($BI$9:$BI$508,$BI396,$CB$9:$CB$508,"&lt;"&amp;$CB396)+COUNTIFS($BI$9:$BI$508,$BI396,$CB$9:$CB$508,$CB396,$CD$9:$CD$508,"&lt;"&amp;$CD396)+COUNTIFS($BI$9:$BI$508,$BI396,$CB$9:$CB$508,$CB396,$CD$9:$CD$508,$CD396,$CF$9:$CF$508,"&lt;"&amp;$CF396)+1))</f>
        <v/>
      </c>
      <c r="CH396" s="100" t="str">
        <f aca="false">IF(ISBLANK($C396),"",IF($BH396&lt;&gt;Constants!$B$4,$BH396,$CC396-$CG396))</f>
        <v/>
      </c>
      <c r="CI396" s="100" t="str">
        <f aca="false">IF(ISBLANK($C396),"",IF(NOT($AJ396),"",IF(ISBLANK($D$7),$CI$5,IF(NOT(ISNUMBER($D$7)),$CI$6,""))))</f>
        <v/>
      </c>
      <c r="CJ396" s="100" t="str">
        <f aca="false">IF(ISBLANK($C396),"",OR($AL396="",$AM396="",$AN396=""))</f>
        <v/>
      </c>
      <c r="CK396" s="100" t="str">
        <f aca="false">IF(ISBLANK($C396),"",AND($AJ396,$AX396=""))</f>
        <v/>
      </c>
      <c r="CL396" s="100" t="str">
        <f aca="false">IF(ISBLANK($C396),"",AND($AJ396,$AY396=""))</f>
        <v/>
      </c>
      <c r="CM396" s="100" t="str">
        <f aca="false">IF(ISBLANK($C396),"",AND($AJ396,$AZ396=""))</f>
        <v/>
      </c>
      <c r="CN396" s="100" t="str">
        <f aca="false">IF(ISBLANK($C396),"",AND($AJ396,$BC396=""))</f>
        <v/>
      </c>
      <c r="CO396" s="100" t="str">
        <f aca="false">IF(ISBLANK($C396),"",AND($AJ396,$BF396=""))</f>
        <v/>
      </c>
      <c r="CP396" s="101"/>
      <c r="CQ396" s="102"/>
      <c r="CR396" s="103" t="str">
        <f aca="false">IF(ISBLANK($C396),"",IF($BH396=Constants!$B$8,$CI396,""))</f>
        <v/>
      </c>
      <c r="CS396" s="102" t="str">
        <f aca="false">IF(ISBLANK($C396),"",IF($BH396&lt;&gt;Constants!$B$4,"",$BK396+$BL396))</f>
        <v/>
      </c>
      <c r="CT396" s="104" t="str">
        <f aca="false">IF(ISBLANK($C396),"",IF($BH396&lt;&gt;Constants!$B$4,"",$BM396+$BN396+$BO396))</f>
        <v/>
      </c>
      <c r="CU396" s="104" t="str">
        <f aca="false">IF(ISBLANK($C396),"",IF($BH396&lt;&gt;Constants!$B$4,"",$BP396))</f>
        <v/>
      </c>
      <c r="CV396" s="104" t="str">
        <f aca="false">IF(ISBLANK($C396),"",IF($BH396&lt;&gt;Constants!$B$4,"",$BQ396+$BR396))</f>
        <v/>
      </c>
      <c r="CW396" s="104" t="str">
        <f aca="false">IF(ISBLANK($C396),"",IF($BH396&lt;&gt;Constants!$B$4,"",$BS396))</f>
        <v/>
      </c>
      <c r="CX396" s="104" t="str">
        <f aca="false">IF(ISBLANK($C396),"",IF($BH396&lt;&gt;Constants!$B$4,"",-$BZ396))</f>
        <v/>
      </c>
      <c r="CY396" s="103" t="str">
        <f aca="false">IF(ISBLANK($C396),"",$CA396)</f>
        <v/>
      </c>
      <c r="CZ396" s="105" t="str">
        <f aca="false">IF(ISBLANK($C396),"",$BI396)</f>
        <v/>
      </c>
      <c r="DA396" s="104" t="str">
        <f aca="false">IF(ISBLANK($C396),"",$CH396)</f>
        <v/>
      </c>
      <c r="DB396" s="104" t="str">
        <f aca="false">IF(ISBLANK($C396),"",$CG396)</f>
        <v/>
      </c>
      <c r="DC396" s="106" t="str">
        <f aca="false">IF(ISBLANK($C396),"",IFERROR(_xlfn.SWITCH($DB396,Constants!$B$7,COUNTA($C$9:$C$508)+2,Constants!$B$6,COUNTA($C$9:$C$508)+1,Constants!$B$5,COUNTA($C$9:$C$508)),$DB396))</f>
        <v/>
      </c>
      <c r="DD396" s="7"/>
      <c r="DE396" s="107" t="n">
        <f aca="false">IF(OR(ISNUMBER($DB396),$DB396=Constants!$B$7,$DB396=Constants!$B$5,$DB396=Constants!$B$6),1,0)</f>
        <v>0</v>
      </c>
      <c r="DF396" s="107" t="n">
        <v>388</v>
      </c>
      <c r="DG396" s="107" t="str">
        <f aca="false">IF(ISBLANK($C396),"",IF(ISNUMBER($DC396),$DC396+ROW($B396)/1000,""))</f>
        <v/>
      </c>
      <c r="DH396" s="107" t="str">
        <f aca="false">IF(ISNUMBER($DG396),RANK($DG396,$DG$9:$DG$508,1),"")</f>
        <v/>
      </c>
      <c r="DI396" s="107" t="str">
        <f aca="false">IF(ISBLANK($C396),"",$B396)</f>
        <v/>
      </c>
      <c r="DJ396" s="107" t="str">
        <f aca="false">IF(ISBLANK($C396),"",$C396)</f>
        <v/>
      </c>
      <c r="DK396" s="107" t="str">
        <f aca="false">IF(ISBLANK($C396),"",$D396)</f>
        <v/>
      </c>
      <c r="DL396" s="108" t="str">
        <f aca="false">$CZ396</f>
        <v/>
      </c>
      <c r="DM396" s="109" t="str">
        <f aca="false">$CY396</f>
        <v/>
      </c>
      <c r="DN396" s="107" t="str">
        <f aca="false">IF(ISBLANK($C396),"",$DB396)</f>
        <v/>
      </c>
      <c r="DO396" s="110" t="str">
        <f aca="false">IF($DF396&gt;$DE$8,"",VLOOKUP($DF396,$DH$9:$DN$508,7,FALSE()))</f>
        <v/>
      </c>
      <c r="DP396" s="111" t="str">
        <f aca="false">IF($DF396&gt;$DE$8,"",VLOOKUP($DF396,$DH$9:$DN$508,2,FALSE()))</f>
        <v/>
      </c>
      <c r="DQ396" s="111" t="str">
        <f aca="false">IF($DF396&gt;$DE$8,"",VLOOKUP($DF396,$DH$9:$DN$508,3,FALSE()))</f>
        <v/>
      </c>
      <c r="DR396" s="111" t="str">
        <f aca="false">IF($DF396&gt;$DE$8,"",VLOOKUP($DF396,$DH$9:$DN$508,4,FALSE()))</f>
        <v/>
      </c>
      <c r="DS396" s="111" t="str">
        <f aca="false">IF($DF396&gt;$DE$8,"",VLOOKUP($DF396,$DH$9:$DN$508,5,FALSE()))</f>
        <v/>
      </c>
      <c r="DT396" s="112" t="str">
        <f aca="false">IF($DF396&gt;$DE$8,"",VLOOKUP($DF396,$DH$9:$DN$508,6,FALSE()))</f>
        <v/>
      </c>
      <c r="DU396" s="62"/>
    </row>
    <row r="397" customFormat="false" ht="15.75" hidden="false" customHeight="false" outlineLevel="0" collapsed="false">
      <c r="A397" s="7"/>
      <c r="B397" s="90"/>
      <c r="C397" s="91"/>
      <c r="D397" s="126"/>
      <c r="E397" s="130"/>
      <c r="F397" s="135"/>
      <c r="G397" s="130"/>
      <c r="H397" s="135"/>
      <c r="I397" s="131"/>
      <c r="J397" s="131"/>
      <c r="K397" s="131"/>
      <c r="L397" s="130"/>
      <c r="M397" s="130"/>
      <c r="N397" s="130"/>
      <c r="O397" s="135"/>
      <c r="P397" s="130"/>
      <c r="Q397" s="130"/>
      <c r="R397" s="130"/>
      <c r="S397" s="130"/>
      <c r="T397" s="135"/>
      <c r="U397" s="130"/>
      <c r="V397" s="96"/>
      <c r="W397" s="130"/>
      <c r="X397" s="130"/>
      <c r="Y397" s="96"/>
      <c r="Z397" s="96"/>
      <c r="AA397" s="130"/>
      <c r="AB397" s="130"/>
      <c r="AC397" s="97"/>
      <c r="AD397" s="130"/>
      <c r="AE397" s="99"/>
      <c r="AF397" s="100"/>
      <c r="AG397" s="100"/>
      <c r="AH397" s="100" t="str">
        <f aca="false">IF(ISBLANK($C397),"",IF($E397=Constants!$B$2,TRUE(),IF($E397=Constants!$B$3,FALSE(),TRUE())))</f>
        <v/>
      </c>
      <c r="AI397" s="100" t="str">
        <f aca="false">IF(ISBLANK($C397),"",IF($F397=Constants!$B$2,TRUE(),IF($F397=Constants!$B$3,FALSE(),FALSE())))</f>
        <v/>
      </c>
      <c r="AJ397" s="100" t="str">
        <f aca="false">IF(ISBLANK($C397),"",IF($G397=Constants!$B$2,TRUE(),IF($G397=Constants!$B$3,FALSE(),TRUE())))</f>
        <v/>
      </c>
      <c r="AK397" s="100" t="str">
        <f aca="false">IF(ISBLANK($C397),"",IF($H397=Constants!$B$2,TRUE(),IF($H397=Constants!$B$3,FALSE(),TRUE())))</f>
        <v/>
      </c>
      <c r="AL397" s="100" t="str">
        <f aca="false">IF(ISBLANK($C397),"",IF(ISNUMBER($I397),IF($I397&gt;=0,$I397,""),""))</f>
        <v/>
      </c>
      <c r="AM397" s="100" t="str">
        <f aca="false">IF(ISBLANK($C397),"",IF(ISNUMBER($J397),IF($J397&gt;=0,$J397,""),""))</f>
        <v/>
      </c>
      <c r="AN397" s="100" t="str">
        <f aca="false">IF(ISBLANK($C397),"",IF(ISNUMBER($K397),IF($K397&gt;=0,$K397,""),""))</f>
        <v/>
      </c>
      <c r="AO397" s="100" t="str">
        <f aca="false">IF(ISBLANK($C397),"",IF($L397=Constants!$B$2,TRUE(),IF($L397=Constants!$B$3,FALSE(),TRUE())))</f>
        <v/>
      </c>
      <c r="AP397" s="100" t="str">
        <f aca="false">IF(ISBLANK($C397),"",IF($M397=Constants!$B$2,TRUE(),IF($M397=Constants!$B$3,FALSE(),TRUE())))</f>
        <v/>
      </c>
      <c r="AQ397" s="100" t="str">
        <f aca="false">IF(ISBLANK($C397),"",IF($N397=Constants!$B$2,TRUE(),IF($N397=Constants!$B$3,FALSE(),FALSE())))</f>
        <v/>
      </c>
      <c r="AR397" s="100" t="str">
        <f aca="false">IF(ISBLANK($C397),"",IF($O397=Constants!$B$2,TRUE(),IF($O397=Constants!$B$3,FALSE(),TRUE())))</f>
        <v/>
      </c>
      <c r="AS397" s="100" t="str">
        <f aca="false">IF(ISBLANK($C397),"",IF($P397=Constants!$B$2,TRUE(),IF($P397=Constants!$B$3,FALSE(),FALSE())))</f>
        <v/>
      </c>
      <c r="AT397" s="100" t="str">
        <f aca="false">IF(ISBLANK($C397),"",IF($Q397=Constants!$B$2,TRUE(),IF($Q397=Constants!$B$3,FALSE(),FALSE())))</f>
        <v/>
      </c>
      <c r="AU397" s="100" t="str">
        <f aca="false">IF(ISBLANK($C397),"",IF($R397=Constants!$B$2,TRUE(),IF($R397=Constants!$B$3,FALSE(),FALSE())))</f>
        <v/>
      </c>
      <c r="AV397" s="100" t="str">
        <f aca="false">IF(ISBLANK($C397),"",IF($S397=Constants!$B$2,TRUE(),IF($S397=Constants!$B$3,FALSE(),FALSE())))</f>
        <v/>
      </c>
      <c r="AW397" s="100" t="str">
        <f aca="false">IF(ISBLANK($C397),"",IF($T397=Constants!$B$2,TRUE(),IF($T397=Constants!$B$3,FALSE(),FALSE())))</f>
        <v/>
      </c>
      <c r="AX397" s="100" t="str">
        <f aca="false">IF(ISBLANK($C397),"",IF(OR($U397&amp;""="1",$U397&amp;""="2",$U397&amp;""="3",$U397&amp;""="4"),VALUE($U397&amp;""),IF($U397=Constants!$B$12,Constants!$B$12,"")))</f>
        <v/>
      </c>
      <c r="AY397" s="100" t="str">
        <f aca="false">IF(ISBLANK($C397),"",IF(ISBLANK($V397),0,IF(ISNUMBER($V397),IF(AND($V397&gt;=0,$V397&lt;=Constants!$B$21,$V397=INT($V397)),$V397,""),"")))</f>
        <v/>
      </c>
      <c r="AZ397" s="100" t="str">
        <f aca="false">IF(ISBLANK($C397),"",IF(ISBLANK($W397),0,IF(ISNUMBER($W397),IF($W397&gt;=0,$W397,""),"")))</f>
        <v/>
      </c>
      <c r="BA397" s="100" t="str">
        <f aca="false">IF(ISBLANK($C397),"",IF($X397=Constants!$B$2,TRUE(),IF($X397=Constants!$B$3,FALSE(),TRUE())))</f>
        <v/>
      </c>
      <c r="BB397" s="100" t="str">
        <f aca="false">IF(ISBLANK($C397),"",IF($Y397=Constants!$B$2,TRUE(),IF($Y397=Constants!$B$3,FALSE(),FALSE())))</f>
        <v/>
      </c>
      <c r="BC397" s="100" t="str">
        <f aca="false">IF(ISBLANK($C397),"",IF(ISBLANK($Z397),0,IF(ISNUMBER($Z397),IF(AND($Z397&gt;=0,$Z397&lt;=Constants!$B$35,$Z397=INT($Z397)),$Z397,""),"")))</f>
        <v/>
      </c>
      <c r="BD397" s="100" t="str">
        <f aca="false">IF(ISBLANK($C397),"",IF($AA397=Constants!$B$2,TRUE(),IF($AA397=Constants!$B$3,FALSE(),TRUE())))</f>
        <v/>
      </c>
      <c r="BE397" s="100" t="str">
        <f aca="false">IF(ISBLANK($C397),"",IF($AB397=Constants!$B$2,TRUE(),IF($AB397=Constants!$B$3,FALSE(),TRUE())))</f>
        <v/>
      </c>
      <c r="BF397" s="100" t="str">
        <f aca="false">IF(ISBLANK($C397),"",IF(ISNUMBER($AC397),IF($AC397&gt;=0,$AC397,""),""))</f>
        <v/>
      </c>
      <c r="BG397" s="100" t="str">
        <f aca="false">IF(ISBLANK($C397),"",IF($AD397=Constants!$B$2,TRUE(),IF($AD397=Constants!$B$3,FALSE(),FALSE())))</f>
        <v/>
      </c>
      <c r="BH397" s="99" t="str">
        <f aca="false">IF(ISBLANK($C397),"",IF($BG397,Constants!$B$7,IF(COUNTA($E397:$AC397)=0,Constants!$B$6,IF(OR(COUNTA($G397:$AC397)=0,NOT($AK397),$AQ397),Constants!$B$5,IF(OR($CI397&lt;&gt;"",$CJ397,$CK397,$CL397,$CM397,$CN397,$CO397),Constants!$B$8,Constants!$B$4)))))</f>
        <v/>
      </c>
      <c r="BI397" s="100" t="str">
        <f aca="false">IF(ISBLANK($C397),"",IF($BH397&lt;&gt;Constants!$B$4,$BH397,IF(OR(NOT($AH397),NOT($AJ397),NOT($AR397)),Constants!$B$11,IF(OR(NOT($AP397),MAX($AL397,$AM397,$AN397)&gt;Constants!$B$30),Constants!$B$10,Constants!$B$9))))</f>
        <v/>
      </c>
      <c r="BJ397" s="100" t="str">
        <f aca="false">IF($BH397&lt;&gt;Constants!$B$4,"",IF(NOT($AJ397),0,MIN(Constants!$B$35,$BC397)))</f>
        <v/>
      </c>
      <c r="BK397" s="100" t="str">
        <f aca="false">IF($BH397&lt;&gt;Constants!$B$4,"",IF(NOT($AJ397),0,IF($AT397,Constants!$B$18,IF($AS397,Constants!$B$17,0))))</f>
        <v/>
      </c>
      <c r="BL397" s="100" t="str">
        <f aca="false">IF($BH397&lt;&gt;Constants!$B$4,"",IF(NOT($AJ397),0,Constants!$B$19*($AI397+$AU397+$AV397+$AW397)))</f>
        <v/>
      </c>
      <c r="BM397" s="100" t="str">
        <f aca="false">IF($BH397&lt;&gt;Constants!$B$4,"",IF(OR(NOT($AJ397),NOT(ISNUMBER($AX397))),0,CHOOSE($AX397,Constants!$B$13,Constants!$B$14,Constants!$B$15,Constants!$B$16)))</f>
        <v/>
      </c>
      <c r="BN397" s="100" t="str">
        <f aca="false">IF($BH397&lt;&gt;Constants!$B$4,"",IF(NOT($AJ397),0,Constants!$B$20*$AY397))</f>
        <v/>
      </c>
      <c r="BO397" s="100" t="str">
        <f aca="false">IF($BH397&lt;&gt;Constants!$B$4,"",IF(AND($AJ397,$BA397,$BB397),Constants!$B$22,0))</f>
        <v/>
      </c>
      <c r="BP397" s="100" t="str">
        <f aca="false">IF($BH397&lt;&gt;Constants!$B$4,"",IF(OR(NOT($AJ397),NOT($BA397)),0,IF($BF397&gt;=2*$AF$9,0,Constants!$B$23*INT(ROUND(MIN($BF397,$AF$9),6)))))</f>
        <v/>
      </c>
      <c r="BQ397" s="100" t="str">
        <f aca="false">IF($BH397&lt;&gt;Constants!$B$4,"",IF(NOT($AJ397),0,Constants!$B$24*INT(ROUND(MIN($AZ397,$AF$9),6))))</f>
        <v/>
      </c>
      <c r="BR397" s="100" t="str">
        <f aca="false">IF($BH397&lt;&gt;Constants!$B$4,"",IF(AND($AJ397,$BJ397=0),Constants!$B$25,0))</f>
        <v/>
      </c>
      <c r="BS397" s="100" t="str">
        <f aca="false">IF($BH397&lt;&gt;Constants!$B$4,"",MIN(Constants!$B$29,MAX(0,Constants!$B$27*Constants!$B$28*INT(ROUND((Constants!$B$26-$AL397)/Constants!$B$28,6))))+MIN(Constants!$B$29,MAX(0,Constants!$B$27*Constants!$B$28*INT(ROUND((Constants!$B$26-$AM397)/Constants!$B$28,6))))+MIN(Constants!$B$29,MAX(0,Constants!$B$27*Constants!$B$28*INT(ROUND((Constants!$B$26-$AN397)/Constants!$B$28,6)))))</f>
        <v/>
      </c>
      <c r="BT397" s="100" t="str">
        <f aca="false">IF($BH397&lt;&gt;Constants!$B$4,"",IF(NOT($AJ397),0,Constants!$B$31*INT(ROUND(MAX(0,MIN($BF397,2*$AF$9)-$AF$9),6))))</f>
        <v/>
      </c>
      <c r="BU397" s="100" t="str">
        <f aca="false">IF($BH397&lt;&gt;Constants!$B$4,"",Constants!$B$32*(($AL397&gt;Constants!$B$26)+($AM397&gt;Constants!$B$26)+($AN397&gt;Constants!$B$26)))</f>
        <v/>
      </c>
      <c r="BV397" s="100" t="str">
        <f aca="false">IF($BH397&lt;&gt;Constants!$B$4,"",IF(OR(NOT($AJ397),$AO397),0,Constants!$B$33))</f>
        <v/>
      </c>
      <c r="BW397" s="100" t="str">
        <f aca="false">IF($BH397&lt;&gt;Constants!$B$4,"",Constants!$B$34*$BJ397)</f>
        <v/>
      </c>
      <c r="BX397" s="100" t="str">
        <f aca="false">IF($BH397&lt;&gt;Constants!$B$4,"",IF(OR(NOT($AJ397),$BE397),0,Constants!$B$36))</f>
        <v/>
      </c>
      <c r="BY397" s="100" t="str">
        <f aca="false">IF($BH397&lt;&gt;Constants!$B$4,"",IF(OR(NOT($AJ397),$BD397),0,Constants!$B$37))</f>
        <v/>
      </c>
      <c r="BZ397" s="100" t="str">
        <f aca="false">IF($BH397&lt;&gt;Constants!$B$4,"",SUM($BT397:$BY397))</f>
        <v/>
      </c>
      <c r="CA397" s="100" t="str">
        <f aca="false">IF(ISBLANK($C397),"",IF($BH397&lt;&gt;Constants!$B$4,$BH397,SUM($BK397:$BS397)-$BZ397))</f>
        <v/>
      </c>
      <c r="CB397" s="100" t="str">
        <f aca="false">IF(ISBLANK($C397),"",IF($BH397&lt;&gt;Constants!$B$4,$BH397,RANK($CA397,$CA$9:$CA$508)))</f>
        <v/>
      </c>
      <c r="CC397" s="100" t="str">
        <f aca="false">IF(ISBLANK($C397),"",IF($BH397&lt;&gt;Constants!$B$4,$BH397,COUNTIFS($BI$9:$BI$508,"&lt;"&amp;$BI397)+COUNTIFS($BI$9:$BI$508,$BI397,$CB$9:$CB$508,"&lt;"&amp;$CB397)+1))</f>
        <v/>
      </c>
      <c r="CD397" s="100" t="str">
        <f aca="false">IF(ISBLANK($C397),"",IF($BH397&lt;&gt;Constants!$B$4,$BH397,RANK($BZ397,$BZ$9:$BZ$508,1)))</f>
        <v/>
      </c>
      <c r="CE397" s="100" t="str">
        <f aca="false">IF($BH397&lt;&gt;Constants!$B$4,"",$AL397+$AM397+$AN397)</f>
        <v/>
      </c>
      <c r="CF397" s="100" t="str">
        <f aca="false">IF(ISBLANK($C397),"",IF($BH397&lt;&gt;Constants!$B$4,$BH397,RANK($CE397,$CE$9:$CE$508,1)))</f>
        <v/>
      </c>
      <c r="CG397" s="100" t="str">
        <f aca="false">IF(ISBLANK($C397),"",IF($BH397&lt;&gt;Constants!$B$4,$BH397,COUNTIFS($BI$9:$BI$508,"&lt;"&amp;$BI397)+COUNTIFS($BI$9:$BI$508,$BI397,$CB$9:$CB$508,"&lt;"&amp;$CB397)+COUNTIFS($BI$9:$BI$508,$BI397,$CB$9:$CB$508,$CB397,$CD$9:$CD$508,"&lt;"&amp;$CD397)+COUNTIFS($BI$9:$BI$508,$BI397,$CB$9:$CB$508,$CB397,$CD$9:$CD$508,$CD397,$CF$9:$CF$508,"&lt;"&amp;$CF397)+1))</f>
        <v/>
      </c>
      <c r="CH397" s="100" t="str">
        <f aca="false">IF(ISBLANK($C397),"",IF($BH397&lt;&gt;Constants!$B$4,$BH397,$CC397-$CG397))</f>
        <v/>
      </c>
      <c r="CI397" s="100" t="str">
        <f aca="false">IF(ISBLANK($C397),"",IF(NOT($AJ397),"",IF(ISBLANK($D$7),$CI$5,IF(NOT(ISNUMBER($D$7)),$CI$6,""))))</f>
        <v/>
      </c>
      <c r="CJ397" s="100" t="str">
        <f aca="false">IF(ISBLANK($C397),"",OR($AL397="",$AM397="",$AN397=""))</f>
        <v/>
      </c>
      <c r="CK397" s="100" t="str">
        <f aca="false">IF(ISBLANK($C397),"",AND($AJ397,$AX397=""))</f>
        <v/>
      </c>
      <c r="CL397" s="100" t="str">
        <f aca="false">IF(ISBLANK($C397),"",AND($AJ397,$AY397=""))</f>
        <v/>
      </c>
      <c r="CM397" s="100" t="str">
        <f aca="false">IF(ISBLANK($C397),"",AND($AJ397,$AZ397=""))</f>
        <v/>
      </c>
      <c r="CN397" s="100" t="str">
        <f aca="false">IF(ISBLANK($C397),"",AND($AJ397,$BC397=""))</f>
        <v/>
      </c>
      <c r="CO397" s="100" t="str">
        <f aca="false">IF(ISBLANK($C397),"",AND($AJ397,$BF397=""))</f>
        <v/>
      </c>
      <c r="CP397" s="101"/>
      <c r="CQ397" s="102"/>
      <c r="CR397" s="103" t="str">
        <f aca="false">IF(ISBLANK($C397),"",IF($BH397=Constants!$B$8,$CI397,""))</f>
        <v/>
      </c>
      <c r="CS397" s="102" t="str">
        <f aca="false">IF(ISBLANK($C397),"",IF($BH397&lt;&gt;Constants!$B$4,"",$BK397+$BL397))</f>
        <v/>
      </c>
      <c r="CT397" s="104" t="str">
        <f aca="false">IF(ISBLANK($C397),"",IF($BH397&lt;&gt;Constants!$B$4,"",$BM397+$BN397+$BO397))</f>
        <v/>
      </c>
      <c r="CU397" s="104" t="str">
        <f aca="false">IF(ISBLANK($C397),"",IF($BH397&lt;&gt;Constants!$B$4,"",$BP397))</f>
        <v/>
      </c>
      <c r="CV397" s="104" t="str">
        <f aca="false">IF(ISBLANK($C397),"",IF($BH397&lt;&gt;Constants!$B$4,"",$BQ397+$BR397))</f>
        <v/>
      </c>
      <c r="CW397" s="104" t="str">
        <f aca="false">IF(ISBLANK($C397),"",IF($BH397&lt;&gt;Constants!$B$4,"",$BS397))</f>
        <v/>
      </c>
      <c r="CX397" s="104" t="str">
        <f aca="false">IF(ISBLANK($C397),"",IF($BH397&lt;&gt;Constants!$B$4,"",-$BZ397))</f>
        <v/>
      </c>
      <c r="CY397" s="103" t="str">
        <f aca="false">IF(ISBLANK($C397),"",$CA397)</f>
        <v/>
      </c>
      <c r="CZ397" s="105" t="str">
        <f aca="false">IF(ISBLANK($C397),"",$BI397)</f>
        <v/>
      </c>
      <c r="DA397" s="104" t="str">
        <f aca="false">IF(ISBLANK($C397),"",$CH397)</f>
        <v/>
      </c>
      <c r="DB397" s="104" t="str">
        <f aca="false">IF(ISBLANK($C397),"",$CG397)</f>
        <v/>
      </c>
      <c r="DC397" s="106" t="str">
        <f aca="false">IF(ISBLANK($C397),"",IFERROR(_xlfn.SWITCH($DB397,Constants!$B$7,COUNTA($C$9:$C$508)+2,Constants!$B$6,COUNTA($C$9:$C$508)+1,Constants!$B$5,COUNTA($C$9:$C$508)),$DB397))</f>
        <v/>
      </c>
      <c r="DD397" s="7"/>
      <c r="DE397" s="107" t="n">
        <f aca="false">IF(OR(ISNUMBER($DB397),$DB397=Constants!$B$7,$DB397=Constants!$B$5,$DB397=Constants!$B$6),1,0)</f>
        <v>0</v>
      </c>
      <c r="DF397" s="107" t="n">
        <v>389</v>
      </c>
      <c r="DG397" s="107" t="str">
        <f aca="false">IF(ISBLANK($C397),"",IF(ISNUMBER($DC397),$DC397+ROW($B397)/1000,""))</f>
        <v/>
      </c>
      <c r="DH397" s="107" t="str">
        <f aca="false">IF(ISNUMBER($DG397),RANK($DG397,$DG$9:$DG$508,1),"")</f>
        <v/>
      </c>
      <c r="DI397" s="107" t="str">
        <f aca="false">IF(ISBLANK($C397),"",$B397)</f>
        <v/>
      </c>
      <c r="DJ397" s="107" t="str">
        <f aca="false">IF(ISBLANK($C397),"",$C397)</f>
        <v/>
      </c>
      <c r="DK397" s="107" t="str">
        <f aca="false">IF(ISBLANK($C397),"",$D397)</f>
        <v/>
      </c>
      <c r="DL397" s="108" t="str">
        <f aca="false">$CZ397</f>
        <v/>
      </c>
      <c r="DM397" s="109" t="str">
        <f aca="false">$CY397</f>
        <v/>
      </c>
      <c r="DN397" s="107" t="str">
        <f aca="false">IF(ISBLANK($C397),"",$DB397)</f>
        <v/>
      </c>
      <c r="DO397" s="110" t="str">
        <f aca="false">IF($DF397&gt;$DE$8,"",VLOOKUP($DF397,$DH$9:$DN$508,7,FALSE()))</f>
        <v/>
      </c>
      <c r="DP397" s="111" t="str">
        <f aca="false">IF($DF397&gt;$DE$8,"",VLOOKUP($DF397,$DH$9:$DN$508,2,FALSE()))</f>
        <v/>
      </c>
      <c r="DQ397" s="111" t="str">
        <f aca="false">IF($DF397&gt;$DE$8,"",VLOOKUP($DF397,$DH$9:$DN$508,3,FALSE()))</f>
        <v/>
      </c>
      <c r="DR397" s="111" t="str">
        <f aca="false">IF($DF397&gt;$DE$8,"",VLOOKUP($DF397,$DH$9:$DN$508,4,FALSE()))</f>
        <v/>
      </c>
      <c r="DS397" s="111" t="str">
        <f aca="false">IF($DF397&gt;$DE$8,"",VLOOKUP($DF397,$DH$9:$DN$508,5,FALSE()))</f>
        <v/>
      </c>
      <c r="DT397" s="112" t="str">
        <f aca="false">IF($DF397&gt;$DE$8,"",VLOOKUP($DF397,$DH$9:$DN$508,6,FALSE()))</f>
        <v/>
      </c>
      <c r="DU397" s="62"/>
    </row>
    <row r="398" customFormat="false" ht="15.75" hidden="false" customHeight="false" outlineLevel="0" collapsed="false">
      <c r="A398" s="7"/>
      <c r="B398" s="90"/>
      <c r="C398" s="91"/>
      <c r="D398" s="126"/>
      <c r="E398" s="130"/>
      <c r="F398" s="135"/>
      <c r="G398" s="130"/>
      <c r="H398" s="135"/>
      <c r="I398" s="131"/>
      <c r="J398" s="131"/>
      <c r="K398" s="131"/>
      <c r="L398" s="130"/>
      <c r="M398" s="130"/>
      <c r="N398" s="130"/>
      <c r="O398" s="135"/>
      <c r="P398" s="130"/>
      <c r="Q398" s="130"/>
      <c r="R398" s="130"/>
      <c r="S398" s="130"/>
      <c r="T398" s="135"/>
      <c r="U398" s="130"/>
      <c r="V398" s="96"/>
      <c r="W398" s="130"/>
      <c r="X398" s="130"/>
      <c r="Y398" s="96"/>
      <c r="Z398" s="96"/>
      <c r="AA398" s="130"/>
      <c r="AB398" s="130"/>
      <c r="AC398" s="97"/>
      <c r="AD398" s="130"/>
      <c r="AE398" s="99"/>
      <c r="AF398" s="100"/>
      <c r="AG398" s="100"/>
      <c r="AH398" s="100" t="str">
        <f aca="false">IF(ISBLANK($C398),"",IF($E398=Constants!$B$2,TRUE(),IF($E398=Constants!$B$3,FALSE(),TRUE())))</f>
        <v/>
      </c>
      <c r="AI398" s="100" t="str">
        <f aca="false">IF(ISBLANK($C398),"",IF($F398=Constants!$B$2,TRUE(),IF($F398=Constants!$B$3,FALSE(),FALSE())))</f>
        <v/>
      </c>
      <c r="AJ398" s="100" t="str">
        <f aca="false">IF(ISBLANK($C398),"",IF($G398=Constants!$B$2,TRUE(),IF($G398=Constants!$B$3,FALSE(),TRUE())))</f>
        <v/>
      </c>
      <c r="AK398" s="100" t="str">
        <f aca="false">IF(ISBLANK($C398),"",IF($H398=Constants!$B$2,TRUE(),IF($H398=Constants!$B$3,FALSE(),TRUE())))</f>
        <v/>
      </c>
      <c r="AL398" s="100" t="str">
        <f aca="false">IF(ISBLANK($C398),"",IF(ISNUMBER($I398),IF($I398&gt;=0,$I398,""),""))</f>
        <v/>
      </c>
      <c r="AM398" s="100" t="str">
        <f aca="false">IF(ISBLANK($C398),"",IF(ISNUMBER($J398),IF($J398&gt;=0,$J398,""),""))</f>
        <v/>
      </c>
      <c r="AN398" s="100" t="str">
        <f aca="false">IF(ISBLANK($C398),"",IF(ISNUMBER($K398),IF($K398&gt;=0,$K398,""),""))</f>
        <v/>
      </c>
      <c r="AO398" s="100" t="str">
        <f aca="false">IF(ISBLANK($C398),"",IF($L398=Constants!$B$2,TRUE(),IF($L398=Constants!$B$3,FALSE(),TRUE())))</f>
        <v/>
      </c>
      <c r="AP398" s="100" t="str">
        <f aca="false">IF(ISBLANK($C398),"",IF($M398=Constants!$B$2,TRUE(),IF($M398=Constants!$B$3,FALSE(),TRUE())))</f>
        <v/>
      </c>
      <c r="AQ398" s="100" t="str">
        <f aca="false">IF(ISBLANK($C398),"",IF($N398=Constants!$B$2,TRUE(),IF($N398=Constants!$B$3,FALSE(),FALSE())))</f>
        <v/>
      </c>
      <c r="AR398" s="100" t="str">
        <f aca="false">IF(ISBLANK($C398),"",IF($O398=Constants!$B$2,TRUE(),IF($O398=Constants!$B$3,FALSE(),TRUE())))</f>
        <v/>
      </c>
      <c r="AS398" s="100" t="str">
        <f aca="false">IF(ISBLANK($C398),"",IF($P398=Constants!$B$2,TRUE(),IF($P398=Constants!$B$3,FALSE(),FALSE())))</f>
        <v/>
      </c>
      <c r="AT398" s="100" t="str">
        <f aca="false">IF(ISBLANK($C398),"",IF($Q398=Constants!$B$2,TRUE(),IF($Q398=Constants!$B$3,FALSE(),FALSE())))</f>
        <v/>
      </c>
      <c r="AU398" s="100" t="str">
        <f aca="false">IF(ISBLANK($C398),"",IF($R398=Constants!$B$2,TRUE(),IF($R398=Constants!$B$3,FALSE(),FALSE())))</f>
        <v/>
      </c>
      <c r="AV398" s="100" t="str">
        <f aca="false">IF(ISBLANK($C398),"",IF($S398=Constants!$B$2,TRUE(),IF($S398=Constants!$B$3,FALSE(),FALSE())))</f>
        <v/>
      </c>
      <c r="AW398" s="100" t="str">
        <f aca="false">IF(ISBLANK($C398),"",IF($T398=Constants!$B$2,TRUE(),IF($T398=Constants!$B$3,FALSE(),FALSE())))</f>
        <v/>
      </c>
      <c r="AX398" s="100" t="str">
        <f aca="false">IF(ISBLANK($C398),"",IF(OR($U398&amp;""="1",$U398&amp;""="2",$U398&amp;""="3",$U398&amp;""="4"),VALUE($U398&amp;""),IF($U398=Constants!$B$12,Constants!$B$12,"")))</f>
        <v/>
      </c>
      <c r="AY398" s="100" t="str">
        <f aca="false">IF(ISBLANK($C398),"",IF(ISBLANK($V398),0,IF(ISNUMBER($V398),IF(AND($V398&gt;=0,$V398&lt;=Constants!$B$21,$V398=INT($V398)),$V398,""),"")))</f>
        <v/>
      </c>
      <c r="AZ398" s="100" t="str">
        <f aca="false">IF(ISBLANK($C398),"",IF(ISBLANK($W398),0,IF(ISNUMBER($W398),IF($W398&gt;=0,$W398,""),"")))</f>
        <v/>
      </c>
      <c r="BA398" s="100" t="str">
        <f aca="false">IF(ISBLANK($C398),"",IF($X398=Constants!$B$2,TRUE(),IF($X398=Constants!$B$3,FALSE(),TRUE())))</f>
        <v/>
      </c>
      <c r="BB398" s="100" t="str">
        <f aca="false">IF(ISBLANK($C398),"",IF($Y398=Constants!$B$2,TRUE(),IF($Y398=Constants!$B$3,FALSE(),FALSE())))</f>
        <v/>
      </c>
      <c r="BC398" s="100" t="str">
        <f aca="false">IF(ISBLANK($C398),"",IF(ISBLANK($Z398),0,IF(ISNUMBER($Z398),IF(AND($Z398&gt;=0,$Z398&lt;=Constants!$B$35,$Z398=INT($Z398)),$Z398,""),"")))</f>
        <v/>
      </c>
      <c r="BD398" s="100" t="str">
        <f aca="false">IF(ISBLANK($C398),"",IF($AA398=Constants!$B$2,TRUE(),IF($AA398=Constants!$B$3,FALSE(),TRUE())))</f>
        <v/>
      </c>
      <c r="BE398" s="100" t="str">
        <f aca="false">IF(ISBLANK($C398),"",IF($AB398=Constants!$B$2,TRUE(),IF($AB398=Constants!$B$3,FALSE(),TRUE())))</f>
        <v/>
      </c>
      <c r="BF398" s="100" t="str">
        <f aca="false">IF(ISBLANK($C398),"",IF(ISNUMBER($AC398),IF($AC398&gt;=0,$AC398,""),""))</f>
        <v/>
      </c>
      <c r="BG398" s="100" t="str">
        <f aca="false">IF(ISBLANK($C398),"",IF($AD398=Constants!$B$2,TRUE(),IF($AD398=Constants!$B$3,FALSE(),FALSE())))</f>
        <v/>
      </c>
      <c r="BH398" s="99" t="str">
        <f aca="false">IF(ISBLANK($C398),"",IF($BG398,Constants!$B$7,IF(COUNTA($E398:$AC398)=0,Constants!$B$6,IF(OR(COUNTA($G398:$AC398)=0,NOT($AK398),$AQ398),Constants!$B$5,IF(OR($CI398&lt;&gt;"",$CJ398,$CK398,$CL398,$CM398,$CN398,$CO398),Constants!$B$8,Constants!$B$4)))))</f>
        <v/>
      </c>
      <c r="BI398" s="100" t="str">
        <f aca="false">IF(ISBLANK($C398),"",IF($BH398&lt;&gt;Constants!$B$4,$BH398,IF(OR(NOT($AH398),NOT($AJ398),NOT($AR398)),Constants!$B$11,IF(OR(NOT($AP398),MAX($AL398,$AM398,$AN398)&gt;Constants!$B$30),Constants!$B$10,Constants!$B$9))))</f>
        <v/>
      </c>
      <c r="BJ398" s="100" t="str">
        <f aca="false">IF($BH398&lt;&gt;Constants!$B$4,"",IF(NOT($AJ398),0,MIN(Constants!$B$35,$BC398)))</f>
        <v/>
      </c>
      <c r="BK398" s="100" t="str">
        <f aca="false">IF($BH398&lt;&gt;Constants!$B$4,"",IF(NOT($AJ398),0,IF($AT398,Constants!$B$18,IF($AS398,Constants!$B$17,0))))</f>
        <v/>
      </c>
      <c r="BL398" s="100" t="str">
        <f aca="false">IF($BH398&lt;&gt;Constants!$B$4,"",IF(NOT($AJ398),0,Constants!$B$19*($AI398+$AU398+$AV398+$AW398)))</f>
        <v/>
      </c>
      <c r="BM398" s="100" t="str">
        <f aca="false">IF($BH398&lt;&gt;Constants!$B$4,"",IF(OR(NOT($AJ398),NOT(ISNUMBER($AX398))),0,CHOOSE($AX398,Constants!$B$13,Constants!$B$14,Constants!$B$15,Constants!$B$16)))</f>
        <v/>
      </c>
      <c r="BN398" s="100" t="str">
        <f aca="false">IF($BH398&lt;&gt;Constants!$B$4,"",IF(NOT($AJ398),0,Constants!$B$20*$AY398))</f>
        <v/>
      </c>
      <c r="BO398" s="100" t="str">
        <f aca="false">IF($BH398&lt;&gt;Constants!$B$4,"",IF(AND($AJ398,$BA398,$BB398),Constants!$B$22,0))</f>
        <v/>
      </c>
      <c r="BP398" s="100" t="str">
        <f aca="false">IF($BH398&lt;&gt;Constants!$B$4,"",IF(OR(NOT($AJ398),NOT($BA398)),0,IF($BF398&gt;=2*$AF$9,0,Constants!$B$23*INT(ROUND(MIN($BF398,$AF$9),6)))))</f>
        <v/>
      </c>
      <c r="BQ398" s="100" t="str">
        <f aca="false">IF($BH398&lt;&gt;Constants!$B$4,"",IF(NOT($AJ398),0,Constants!$B$24*INT(ROUND(MIN($AZ398,$AF$9),6))))</f>
        <v/>
      </c>
      <c r="BR398" s="100" t="str">
        <f aca="false">IF($BH398&lt;&gt;Constants!$B$4,"",IF(AND($AJ398,$BJ398=0),Constants!$B$25,0))</f>
        <v/>
      </c>
      <c r="BS398" s="100" t="str">
        <f aca="false">IF($BH398&lt;&gt;Constants!$B$4,"",MIN(Constants!$B$29,MAX(0,Constants!$B$27*Constants!$B$28*INT(ROUND((Constants!$B$26-$AL398)/Constants!$B$28,6))))+MIN(Constants!$B$29,MAX(0,Constants!$B$27*Constants!$B$28*INT(ROUND((Constants!$B$26-$AM398)/Constants!$B$28,6))))+MIN(Constants!$B$29,MAX(0,Constants!$B$27*Constants!$B$28*INT(ROUND((Constants!$B$26-$AN398)/Constants!$B$28,6)))))</f>
        <v/>
      </c>
      <c r="BT398" s="100" t="str">
        <f aca="false">IF($BH398&lt;&gt;Constants!$B$4,"",IF(NOT($AJ398),0,Constants!$B$31*INT(ROUND(MAX(0,MIN($BF398,2*$AF$9)-$AF$9),6))))</f>
        <v/>
      </c>
      <c r="BU398" s="100" t="str">
        <f aca="false">IF($BH398&lt;&gt;Constants!$B$4,"",Constants!$B$32*(($AL398&gt;Constants!$B$26)+($AM398&gt;Constants!$B$26)+($AN398&gt;Constants!$B$26)))</f>
        <v/>
      </c>
      <c r="BV398" s="100" t="str">
        <f aca="false">IF($BH398&lt;&gt;Constants!$B$4,"",IF(OR(NOT($AJ398),$AO398),0,Constants!$B$33))</f>
        <v/>
      </c>
      <c r="BW398" s="100" t="str">
        <f aca="false">IF($BH398&lt;&gt;Constants!$B$4,"",Constants!$B$34*$BJ398)</f>
        <v/>
      </c>
      <c r="BX398" s="100" t="str">
        <f aca="false">IF($BH398&lt;&gt;Constants!$B$4,"",IF(OR(NOT($AJ398),$BE398),0,Constants!$B$36))</f>
        <v/>
      </c>
      <c r="BY398" s="100" t="str">
        <f aca="false">IF($BH398&lt;&gt;Constants!$B$4,"",IF(OR(NOT($AJ398),$BD398),0,Constants!$B$37))</f>
        <v/>
      </c>
      <c r="BZ398" s="100" t="str">
        <f aca="false">IF($BH398&lt;&gt;Constants!$B$4,"",SUM($BT398:$BY398))</f>
        <v/>
      </c>
      <c r="CA398" s="100" t="str">
        <f aca="false">IF(ISBLANK($C398),"",IF($BH398&lt;&gt;Constants!$B$4,$BH398,SUM($BK398:$BS398)-$BZ398))</f>
        <v/>
      </c>
      <c r="CB398" s="100" t="str">
        <f aca="false">IF(ISBLANK($C398),"",IF($BH398&lt;&gt;Constants!$B$4,$BH398,RANK($CA398,$CA$9:$CA$508)))</f>
        <v/>
      </c>
      <c r="CC398" s="100" t="str">
        <f aca="false">IF(ISBLANK($C398),"",IF($BH398&lt;&gt;Constants!$B$4,$BH398,COUNTIFS($BI$9:$BI$508,"&lt;"&amp;$BI398)+COUNTIFS($BI$9:$BI$508,$BI398,$CB$9:$CB$508,"&lt;"&amp;$CB398)+1))</f>
        <v/>
      </c>
      <c r="CD398" s="100" t="str">
        <f aca="false">IF(ISBLANK($C398),"",IF($BH398&lt;&gt;Constants!$B$4,$BH398,RANK($BZ398,$BZ$9:$BZ$508,1)))</f>
        <v/>
      </c>
      <c r="CE398" s="100" t="str">
        <f aca="false">IF($BH398&lt;&gt;Constants!$B$4,"",$AL398+$AM398+$AN398)</f>
        <v/>
      </c>
      <c r="CF398" s="100" t="str">
        <f aca="false">IF(ISBLANK($C398),"",IF($BH398&lt;&gt;Constants!$B$4,$BH398,RANK($CE398,$CE$9:$CE$508,1)))</f>
        <v/>
      </c>
      <c r="CG398" s="100" t="str">
        <f aca="false">IF(ISBLANK($C398),"",IF($BH398&lt;&gt;Constants!$B$4,$BH398,COUNTIFS($BI$9:$BI$508,"&lt;"&amp;$BI398)+COUNTIFS($BI$9:$BI$508,$BI398,$CB$9:$CB$508,"&lt;"&amp;$CB398)+COUNTIFS($BI$9:$BI$508,$BI398,$CB$9:$CB$508,$CB398,$CD$9:$CD$508,"&lt;"&amp;$CD398)+COUNTIFS($BI$9:$BI$508,$BI398,$CB$9:$CB$508,$CB398,$CD$9:$CD$508,$CD398,$CF$9:$CF$508,"&lt;"&amp;$CF398)+1))</f>
        <v/>
      </c>
      <c r="CH398" s="100" t="str">
        <f aca="false">IF(ISBLANK($C398),"",IF($BH398&lt;&gt;Constants!$B$4,$BH398,$CC398-$CG398))</f>
        <v/>
      </c>
      <c r="CI398" s="100" t="str">
        <f aca="false">IF(ISBLANK($C398),"",IF(NOT($AJ398),"",IF(ISBLANK($D$7),$CI$5,IF(NOT(ISNUMBER($D$7)),$CI$6,""))))</f>
        <v/>
      </c>
      <c r="CJ398" s="100" t="str">
        <f aca="false">IF(ISBLANK($C398),"",OR($AL398="",$AM398="",$AN398=""))</f>
        <v/>
      </c>
      <c r="CK398" s="100" t="str">
        <f aca="false">IF(ISBLANK($C398),"",AND($AJ398,$AX398=""))</f>
        <v/>
      </c>
      <c r="CL398" s="100" t="str">
        <f aca="false">IF(ISBLANK($C398),"",AND($AJ398,$AY398=""))</f>
        <v/>
      </c>
      <c r="CM398" s="100" t="str">
        <f aca="false">IF(ISBLANK($C398),"",AND($AJ398,$AZ398=""))</f>
        <v/>
      </c>
      <c r="CN398" s="100" t="str">
        <f aca="false">IF(ISBLANK($C398),"",AND($AJ398,$BC398=""))</f>
        <v/>
      </c>
      <c r="CO398" s="100" t="str">
        <f aca="false">IF(ISBLANK($C398),"",AND($AJ398,$BF398=""))</f>
        <v/>
      </c>
      <c r="CP398" s="101"/>
      <c r="CQ398" s="102"/>
      <c r="CR398" s="103" t="str">
        <f aca="false">IF(ISBLANK($C398),"",IF($BH398=Constants!$B$8,$CI398,""))</f>
        <v/>
      </c>
      <c r="CS398" s="102" t="str">
        <f aca="false">IF(ISBLANK($C398),"",IF($BH398&lt;&gt;Constants!$B$4,"",$BK398+$BL398))</f>
        <v/>
      </c>
      <c r="CT398" s="104" t="str">
        <f aca="false">IF(ISBLANK($C398),"",IF($BH398&lt;&gt;Constants!$B$4,"",$BM398+$BN398+$BO398))</f>
        <v/>
      </c>
      <c r="CU398" s="104" t="str">
        <f aca="false">IF(ISBLANK($C398),"",IF($BH398&lt;&gt;Constants!$B$4,"",$BP398))</f>
        <v/>
      </c>
      <c r="CV398" s="104" t="str">
        <f aca="false">IF(ISBLANK($C398),"",IF($BH398&lt;&gt;Constants!$B$4,"",$BQ398+$BR398))</f>
        <v/>
      </c>
      <c r="CW398" s="104" t="str">
        <f aca="false">IF(ISBLANK($C398),"",IF($BH398&lt;&gt;Constants!$B$4,"",$BS398))</f>
        <v/>
      </c>
      <c r="CX398" s="104" t="str">
        <f aca="false">IF(ISBLANK($C398),"",IF($BH398&lt;&gt;Constants!$B$4,"",-$BZ398))</f>
        <v/>
      </c>
      <c r="CY398" s="103" t="str">
        <f aca="false">IF(ISBLANK($C398),"",$CA398)</f>
        <v/>
      </c>
      <c r="CZ398" s="105" t="str">
        <f aca="false">IF(ISBLANK($C398),"",$BI398)</f>
        <v/>
      </c>
      <c r="DA398" s="104" t="str">
        <f aca="false">IF(ISBLANK($C398),"",$CH398)</f>
        <v/>
      </c>
      <c r="DB398" s="104" t="str">
        <f aca="false">IF(ISBLANK($C398),"",$CG398)</f>
        <v/>
      </c>
      <c r="DC398" s="106" t="str">
        <f aca="false">IF(ISBLANK($C398),"",IFERROR(_xlfn.SWITCH($DB398,Constants!$B$7,COUNTA($C$9:$C$508)+2,Constants!$B$6,COUNTA($C$9:$C$508)+1,Constants!$B$5,COUNTA($C$9:$C$508)),$DB398))</f>
        <v/>
      </c>
      <c r="DD398" s="7"/>
      <c r="DE398" s="107" t="n">
        <f aca="false">IF(OR(ISNUMBER($DB398),$DB398=Constants!$B$7,$DB398=Constants!$B$5,$DB398=Constants!$B$6),1,0)</f>
        <v>0</v>
      </c>
      <c r="DF398" s="107" t="n">
        <v>390</v>
      </c>
      <c r="DG398" s="107" t="str">
        <f aca="false">IF(ISBLANK($C398),"",IF(ISNUMBER($DC398),$DC398+ROW($B398)/1000,""))</f>
        <v/>
      </c>
      <c r="DH398" s="107" t="str">
        <f aca="false">IF(ISNUMBER($DG398),RANK($DG398,$DG$9:$DG$508,1),"")</f>
        <v/>
      </c>
      <c r="DI398" s="107" t="str">
        <f aca="false">IF(ISBLANK($C398),"",$B398)</f>
        <v/>
      </c>
      <c r="DJ398" s="107" t="str">
        <f aca="false">IF(ISBLANK($C398),"",$C398)</f>
        <v/>
      </c>
      <c r="DK398" s="107" t="str">
        <f aca="false">IF(ISBLANK($C398),"",$D398)</f>
        <v/>
      </c>
      <c r="DL398" s="108" t="str">
        <f aca="false">$CZ398</f>
        <v/>
      </c>
      <c r="DM398" s="109" t="str">
        <f aca="false">$CY398</f>
        <v/>
      </c>
      <c r="DN398" s="107" t="str">
        <f aca="false">IF(ISBLANK($C398),"",$DB398)</f>
        <v/>
      </c>
      <c r="DO398" s="110" t="str">
        <f aca="false">IF($DF398&gt;$DE$8,"",VLOOKUP($DF398,$DH$9:$DN$508,7,FALSE()))</f>
        <v/>
      </c>
      <c r="DP398" s="111" t="str">
        <f aca="false">IF($DF398&gt;$DE$8,"",VLOOKUP($DF398,$DH$9:$DN$508,2,FALSE()))</f>
        <v/>
      </c>
      <c r="DQ398" s="111" t="str">
        <f aca="false">IF($DF398&gt;$DE$8,"",VLOOKUP($DF398,$DH$9:$DN$508,3,FALSE()))</f>
        <v/>
      </c>
      <c r="DR398" s="111" t="str">
        <f aca="false">IF($DF398&gt;$DE$8,"",VLOOKUP($DF398,$DH$9:$DN$508,4,FALSE()))</f>
        <v/>
      </c>
      <c r="DS398" s="111" t="str">
        <f aca="false">IF($DF398&gt;$DE$8,"",VLOOKUP($DF398,$DH$9:$DN$508,5,FALSE()))</f>
        <v/>
      </c>
      <c r="DT398" s="112" t="str">
        <f aca="false">IF($DF398&gt;$DE$8,"",VLOOKUP($DF398,$DH$9:$DN$508,6,FALSE()))</f>
        <v/>
      </c>
      <c r="DU398" s="62"/>
    </row>
    <row r="399" customFormat="false" ht="15.75" hidden="false" customHeight="false" outlineLevel="0" collapsed="false">
      <c r="A399" s="7"/>
      <c r="B399" s="64"/>
      <c r="C399" s="65"/>
      <c r="D399" s="123"/>
      <c r="E399" s="88"/>
      <c r="F399" s="134"/>
      <c r="G399" s="88"/>
      <c r="H399" s="134"/>
      <c r="I399" s="119"/>
      <c r="J399" s="119"/>
      <c r="K399" s="119"/>
      <c r="L399" s="88"/>
      <c r="M399" s="88"/>
      <c r="N399" s="88"/>
      <c r="O399" s="134"/>
      <c r="P399" s="88"/>
      <c r="Q399" s="88"/>
      <c r="R399" s="88"/>
      <c r="S399" s="88"/>
      <c r="T399" s="134"/>
      <c r="U399" s="88"/>
      <c r="V399" s="70"/>
      <c r="W399" s="88"/>
      <c r="X399" s="88"/>
      <c r="Y399" s="70"/>
      <c r="Z399" s="70"/>
      <c r="AA399" s="88"/>
      <c r="AB399" s="88"/>
      <c r="AC399" s="71"/>
      <c r="AD399" s="88"/>
      <c r="AE399" s="73"/>
      <c r="AF399" s="74"/>
      <c r="AG399" s="74"/>
      <c r="AH399" s="74" t="str">
        <f aca="false">IF(ISBLANK($C399),"",IF($E399=Constants!$B$2,TRUE(),IF($E399=Constants!$B$3,FALSE(),TRUE())))</f>
        <v/>
      </c>
      <c r="AI399" s="74" t="str">
        <f aca="false">IF(ISBLANK($C399),"",IF($F399=Constants!$B$2,TRUE(),IF($F399=Constants!$B$3,FALSE(),FALSE())))</f>
        <v/>
      </c>
      <c r="AJ399" s="74" t="str">
        <f aca="false">IF(ISBLANK($C399),"",IF($G399=Constants!$B$2,TRUE(),IF($G399=Constants!$B$3,FALSE(),TRUE())))</f>
        <v/>
      </c>
      <c r="AK399" s="74" t="str">
        <f aca="false">IF(ISBLANK($C399),"",IF($H399=Constants!$B$2,TRUE(),IF($H399=Constants!$B$3,FALSE(),TRUE())))</f>
        <v/>
      </c>
      <c r="AL399" s="74" t="str">
        <f aca="false">IF(ISBLANK($C399),"",IF(ISNUMBER($I399),IF($I399&gt;=0,$I399,""),""))</f>
        <v/>
      </c>
      <c r="AM399" s="74" t="str">
        <f aca="false">IF(ISBLANK($C399),"",IF(ISNUMBER($J399),IF($J399&gt;=0,$J399,""),""))</f>
        <v/>
      </c>
      <c r="AN399" s="74" t="str">
        <f aca="false">IF(ISBLANK($C399),"",IF(ISNUMBER($K399),IF($K399&gt;=0,$K399,""),""))</f>
        <v/>
      </c>
      <c r="AO399" s="74" t="str">
        <f aca="false">IF(ISBLANK($C399),"",IF($L399=Constants!$B$2,TRUE(),IF($L399=Constants!$B$3,FALSE(),TRUE())))</f>
        <v/>
      </c>
      <c r="AP399" s="74" t="str">
        <f aca="false">IF(ISBLANK($C399),"",IF($M399=Constants!$B$2,TRUE(),IF($M399=Constants!$B$3,FALSE(),TRUE())))</f>
        <v/>
      </c>
      <c r="AQ399" s="74" t="str">
        <f aca="false">IF(ISBLANK($C399),"",IF($N399=Constants!$B$2,TRUE(),IF($N399=Constants!$B$3,FALSE(),FALSE())))</f>
        <v/>
      </c>
      <c r="AR399" s="74" t="str">
        <f aca="false">IF(ISBLANK($C399),"",IF($O399=Constants!$B$2,TRUE(),IF($O399=Constants!$B$3,FALSE(),TRUE())))</f>
        <v/>
      </c>
      <c r="AS399" s="74" t="str">
        <f aca="false">IF(ISBLANK($C399),"",IF($P399=Constants!$B$2,TRUE(),IF($P399=Constants!$B$3,FALSE(),FALSE())))</f>
        <v/>
      </c>
      <c r="AT399" s="74" t="str">
        <f aca="false">IF(ISBLANK($C399),"",IF($Q399=Constants!$B$2,TRUE(),IF($Q399=Constants!$B$3,FALSE(),FALSE())))</f>
        <v/>
      </c>
      <c r="AU399" s="74" t="str">
        <f aca="false">IF(ISBLANK($C399),"",IF($R399=Constants!$B$2,TRUE(),IF($R399=Constants!$B$3,FALSE(),FALSE())))</f>
        <v/>
      </c>
      <c r="AV399" s="74" t="str">
        <f aca="false">IF(ISBLANK($C399),"",IF($S399=Constants!$B$2,TRUE(),IF($S399=Constants!$B$3,FALSE(),FALSE())))</f>
        <v/>
      </c>
      <c r="AW399" s="74" t="str">
        <f aca="false">IF(ISBLANK($C399),"",IF($T399=Constants!$B$2,TRUE(),IF($T399=Constants!$B$3,FALSE(),FALSE())))</f>
        <v/>
      </c>
      <c r="AX399" s="74" t="str">
        <f aca="false">IF(ISBLANK($C399),"",IF(OR($U399&amp;""="1",$U399&amp;""="2",$U399&amp;""="3",$U399&amp;""="4"),VALUE($U399&amp;""),IF($U399=Constants!$B$12,Constants!$B$12,"")))</f>
        <v/>
      </c>
      <c r="AY399" s="74" t="str">
        <f aca="false">IF(ISBLANK($C399),"",IF(ISBLANK($V399),0,IF(ISNUMBER($V399),IF(AND($V399&gt;=0,$V399&lt;=Constants!$B$21,$V399=INT($V399)),$V399,""),"")))</f>
        <v/>
      </c>
      <c r="AZ399" s="74" t="str">
        <f aca="false">IF(ISBLANK($C399),"",IF(ISBLANK($W399),0,IF(ISNUMBER($W399),IF($W399&gt;=0,$W399,""),"")))</f>
        <v/>
      </c>
      <c r="BA399" s="74" t="str">
        <f aca="false">IF(ISBLANK($C399),"",IF($X399=Constants!$B$2,TRUE(),IF($X399=Constants!$B$3,FALSE(),TRUE())))</f>
        <v/>
      </c>
      <c r="BB399" s="74" t="str">
        <f aca="false">IF(ISBLANK($C399),"",IF($Y399=Constants!$B$2,TRUE(),IF($Y399=Constants!$B$3,FALSE(),FALSE())))</f>
        <v/>
      </c>
      <c r="BC399" s="74" t="str">
        <f aca="false">IF(ISBLANK($C399),"",IF(ISBLANK($Z399),0,IF(ISNUMBER($Z399),IF(AND($Z399&gt;=0,$Z399&lt;=Constants!$B$35,$Z399=INT($Z399)),$Z399,""),"")))</f>
        <v/>
      </c>
      <c r="BD399" s="74" t="str">
        <f aca="false">IF(ISBLANK($C399),"",IF($AA399=Constants!$B$2,TRUE(),IF($AA399=Constants!$B$3,FALSE(),TRUE())))</f>
        <v/>
      </c>
      <c r="BE399" s="74" t="str">
        <f aca="false">IF(ISBLANK($C399),"",IF($AB399=Constants!$B$2,TRUE(),IF($AB399=Constants!$B$3,FALSE(),TRUE())))</f>
        <v/>
      </c>
      <c r="BF399" s="74" t="str">
        <f aca="false">IF(ISBLANK($C399),"",IF(ISNUMBER($AC399),IF($AC399&gt;=0,$AC399,""),""))</f>
        <v/>
      </c>
      <c r="BG399" s="74" t="str">
        <f aca="false">IF(ISBLANK($C399),"",IF($AD399=Constants!$B$2,TRUE(),IF($AD399=Constants!$B$3,FALSE(),FALSE())))</f>
        <v/>
      </c>
      <c r="BH399" s="73" t="str">
        <f aca="false">IF(ISBLANK($C399),"",IF($BG399,Constants!$B$7,IF(COUNTA($E399:$AC399)=0,Constants!$B$6,IF(OR(COUNTA($G399:$AC399)=0,NOT($AK399),$AQ399),Constants!$B$5,IF(OR($CI399&lt;&gt;"",$CJ399,$CK399,$CL399,$CM399,$CN399,$CO399),Constants!$B$8,Constants!$B$4)))))</f>
        <v/>
      </c>
      <c r="BI399" s="74" t="str">
        <f aca="false">IF(ISBLANK($C399),"",IF($BH399&lt;&gt;Constants!$B$4,$BH399,IF(OR(NOT($AH399),NOT($AJ399),NOT($AR399)),Constants!$B$11,IF(OR(NOT($AP399),MAX($AL399,$AM399,$AN399)&gt;Constants!$B$30),Constants!$B$10,Constants!$B$9))))</f>
        <v/>
      </c>
      <c r="BJ399" s="74" t="str">
        <f aca="false">IF($BH399&lt;&gt;Constants!$B$4,"",IF(NOT($AJ399),0,MIN(Constants!$B$35,$BC399)))</f>
        <v/>
      </c>
      <c r="BK399" s="74" t="str">
        <f aca="false">IF($BH399&lt;&gt;Constants!$B$4,"",IF(NOT($AJ399),0,IF($AT399,Constants!$B$18,IF($AS399,Constants!$B$17,0))))</f>
        <v/>
      </c>
      <c r="BL399" s="74" t="str">
        <f aca="false">IF($BH399&lt;&gt;Constants!$B$4,"",IF(NOT($AJ399),0,Constants!$B$19*($AI399+$AU399+$AV399+$AW399)))</f>
        <v/>
      </c>
      <c r="BM399" s="74" t="str">
        <f aca="false">IF($BH399&lt;&gt;Constants!$B$4,"",IF(OR(NOT($AJ399),NOT(ISNUMBER($AX399))),0,CHOOSE($AX399,Constants!$B$13,Constants!$B$14,Constants!$B$15,Constants!$B$16)))</f>
        <v/>
      </c>
      <c r="BN399" s="74" t="str">
        <f aca="false">IF($BH399&lt;&gt;Constants!$B$4,"",IF(NOT($AJ399),0,Constants!$B$20*$AY399))</f>
        <v/>
      </c>
      <c r="BO399" s="74" t="str">
        <f aca="false">IF($BH399&lt;&gt;Constants!$B$4,"",IF(AND($AJ399,$BA399,$BB399),Constants!$B$22,0))</f>
        <v/>
      </c>
      <c r="BP399" s="74" t="str">
        <f aca="false">IF($BH399&lt;&gt;Constants!$B$4,"",IF(OR(NOT($AJ399),NOT($BA399)),0,IF($BF399&gt;=2*$AF$9,0,Constants!$B$23*INT(ROUND(MIN($BF399,$AF$9),6)))))</f>
        <v/>
      </c>
      <c r="BQ399" s="74" t="str">
        <f aca="false">IF($BH399&lt;&gt;Constants!$B$4,"",IF(NOT($AJ399),0,Constants!$B$24*INT(ROUND(MIN($AZ399,$AF$9),6))))</f>
        <v/>
      </c>
      <c r="BR399" s="74" t="str">
        <f aca="false">IF($BH399&lt;&gt;Constants!$B$4,"",IF(AND($AJ399,$BJ399=0),Constants!$B$25,0))</f>
        <v/>
      </c>
      <c r="BS399" s="74" t="str">
        <f aca="false">IF($BH399&lt;&gt;Constants!$B$4,"",MIN(Constants!$B$29,MAX(0,Constants!$B$27*Constants!$B$28*INT(ROUND((Constants!$B$26-$AL399)/Constants!$B$28,6))))+MIN(Constants!$B$29,MAX(0,Constants!$B$27*Constants!$B$28*INT(ROUND((Constants!$B$26-$AM399)/Constants!$B$28,6))))+MIN(Constants!$B$29,MAX(0,Constants!$B$27*Constants!$B$28*INT(ROUND((Constants!$B$26-$AN399)/Constants!$B$28,6)))))</f>
        <v/>
      </c>
      <c r="BT399" s="74" t="str">
        <f aca="false">IF($BH399&lt;&gt;Constants!$B$4,"",IF(NOT($AJ399),0,Constants!$B$31*INT(ROUND(MAX(0,MIN($BF399,2*$AF$9)-$AF$9),6))))</f>
        <v/>
      </c>
      <c r="BU399" s="74" t="str">
        <f aca="false">IF($BH399&lt;&gt;Constants!$B$4,"",Constants!$B$32*(($AL399&gt;Constants!$B$26)+($AM399&gt;Constants!$B$26)+($AN399&gt;Constants!$B$26)))</f>
        <v/>
      </c>
      <c r="BV399" s="74" t="str">
        <f aca="false">IF($BH399&lt;&gt;Constants!$B$4,"",IF(OR(NOT($AJ399),$AO399),0,Constants!$B$33))</f>
        <v/>
      </c>
      <c r="BW399" s="74" t="str">
        <f aca="false">IF($BH399&lt;&gt;Constants!$B$4,"",Constants!$B$34*$BJ399)</f>
        <v/>
      </c>
      <c r="BX399" s="74" t="str">
        <f aca="false">IF($BH399&lt;&gt;Constants!$B$4,"",IF(OR(NOT($AJ399),$BE399),0,Constants!$B$36))</f>
        <v/>
      </c>
      <c r="BY399" s="74" t="str">
        <f aca="false">IF($BH399&lt;&gt;Constants!$B$4,"",IF(OR(NOT($AJ399),$BD399),0,Constants!$B$37))</f>
        <v/>
      </c>
      <c r="BZ399" s="74" t="str">
        <f aca="false">IF($BH399&lt;&gt;Constants!$B$4,"",SUM($BT399:$BY399))</f>
        <v/>
      </c>
      <c r="CA399" s="74" t="str">
        <f aca="false">IF(ISBLANK($C399),"",IF($BH399&lt;&gt;Constants!$B$4,$BH399,SUM($BK399:$BS399)-$BZ399))</f>
        <v/>
      </c>
      <c r="CB399" s="74" t="str">
        <f aca="false">IF(ISBLANK($C399),"",IF($BH399&lt;&gt;Constants!$B$4,$BH399,RANK($CA399,$CA$9:$CA$508)))</f>
        <v/>
      </c>
      <c r="CC399" s="74" t="str">
        <f aca="false">IF(ISBLANK($C399),"",IF($BH399&lt;&gt;Constants!$B$4,$BH399,COUNTIFS($BI$9:$BI$508,"&lt;"&amp;$BI399)+COUNTIFS($BI$9:$BI$508,$BI399,$CB$9:$CB$508,"&lt;"&amp;$CB399)+1))</f>
        <v/>
      </c>
      <c r="CD399" s="74" t="str">
        <f aca="false">IF(ISBLANK($C399),"",IF($BH399&lt;&gt;Constants!$B$4,$BH399,RANK($BZ399,$BZ$9:$BZ$508,1)))</f>
        <v/>
      </c>
      <c r="CE399" s="74" t="str">
        <f aca="false">IF($BH399&lt;&gt;Constants!$B$4,"",$AL399+$AM399+$AN399)</f>
        <v/>
      </c>
      <c r="CF399" s="74" t="str">
        <f aca="false">IF(ISBLANK($C399),"",IF($BH399&lt;&gt;Constants!$B$4,$BH399,RANK($CE399,$CE$9:$CE$508,1)))</f>
        <v/>
      </c>
      <c r="CG399" s="74" t="str">
        <f aca="false">IF(ISBLANK($C399),"",IF($BH399&lt;&gt;Constants!$B$4,$BH399,COUNTIFS($BI$9:$BI$508,"&lt;"&amp;$BI399)+COUNTIFS($BI$9:$BI$508,$BI399,$CB$9:$CB$508,"&lt;"&amp;$CB399)+COUNTIFS($BI$9:$BI$508,$BI399,$CB$9:$CB$508,$CB399,$CD$9:$CD$508,"&lt;"&amp;$CD399)+COUNTIFS($BI$9:$BI$508,$BI399,$CB$9:$CB$508,$CB399,$CD$9:$CD$508,$CD399,$CF$9:$CF$508,"&lt;"&amp;$CF399)+1))</f>
        <v/>
      </c>
      <c r="CH399" s="74" t="str">
        <f aca="false">IF(ISBLANK($C399),"",IF($BH399&lt;&gt;Constants!$B$4,$BH399,$CC399-$CG399))</f>
        <v/>
      </c>
      <c r="CI399" s="74" t="str">
        <f aca="false">IF(ISBLANK($C399),"",IF(NOT($AJ399),"",IF(ISBLANK($D$7),$CI$5,IF(NOT(ISNUMBER($D$7)),$CI$6,""))))</f>
        <v/>
      </c>
      <c r="CJ399" s="74" t="str">
        <f aca="false">IF(ISBLANK($C399),"",OR($AL399="",$AM399="",$AN399=""))</f>
        <v/>
      </c>
      <c r="CK399" s="74" t="str">
        <f aca="false">IF(ISBLANK($C399),"",AND($AJ399,$AX399=""))</f>
        <v/>
      </c>
      <c r="CL399" s="74" t="str">
        <f aca="false">IF(ISBLANK($C399),"",AND($AJ399,$AY399=""))</f>
        <v/>
      </c>
      <c r="CM399" s="74" t="str">
        <f aca="false">IF(ISBLANK($C399),"",AND($AJ399,$AZ399=""))</f>
        <v/>
      </c>
      <c r="CN399" s="74" t="str">
        <f aca="false">IF(ISBLANK($C399),"",AND($AJ399,$BC399=""))</f>
        <v/>
      </c>
      <c r="CO399" s="74" t="str">
        <f aca="false">IF(ISBLANK($C399),"",AND($AJ399,$BF399=""))</f>
        <v/>
      </c>
      <c r="CP399" s="75"/>
      <c r="CQ399" s="76"/>
      <c r="CR399" s="79" t="str">
        <f aca="false">IF(ISBLANK($C399),"",IF($BH399=Constants!$B$8,$CI399,""))</f>
        <v/>
      </c>
      <c r="CS399" s="76" t="str">
        <f aca="false">IF(ISBLANK($C399),"",IF($BH399&lt;&gt;Constants!$B$4,"",$BK399+$BL399))</f>
        <v/>
      </c>
      <c r="CT399" s="78" t="str">
        <f aca="false">IF(ISBLANK($C399),"",IF($BH399&lt;&gt;Constants!$B$4,"",$BM399+$BN399+$BO399))</f>
        <v/>
      </c>
      <c r="CU399" s="78" t="str">
        <f aca="false">IF(ISBLANK($C399),"",IF($BH399&lt;&gt;Constants!$B$4,"",$BP399))</f>
        <v/>
      </c>
      <c r="CV399" s="78" t="str">
        <f aca="false">IF(ISBLANK($C399),"",IF($BH399&lt;&gt;Constants!$B$4,"",$BQ399+$BR399))</f>
        <v/>
      </c>
      <c r="CW399" s="78" t="str">
        <f aca="false">IF(ISBLANK($C399),"",IF($BH399&lt;&gt;Constants!$B$4,"",$BS399))</f>
        <v/>
      </c>
      <c r="CX399" s="78" t="str">
        <f aca="false">IF(ISBLANK($C399),"",IF($BH399&lt;&gt;Constants!$B$4,"",-$BZ399))</f>
        <v/>
      </c>
      <c r="CY399" s="79" t="str">
        <f aca="false">IF(ISBLANK($C399),"",$CA399)</f>
        <v/>
      </c>
      <c r="CZ399" s="80" t="str">
        <f aca="false">IF(ISBLANK($C399),"",$BI399)</f>
        <v/>
      </c>
      <c r="DA399" s="78" t="str">
        <f aca="false">IF(ISBLANK($C399),"",$CH399)</f>
        <v/>
      </c>
      <c r="DB399" s="78" t="str">
        <f aca="false">IF(ISBLANK($C399),"",$CG399)</f>
        <v/>
      </c>
      <c r="DC399" s="81" t="str">
        <f aca="false">IF(ISBLANK($C399),"",IFERROR(_xlfn.SWITCH($DB399,Constants!$B$7,COUNTA($C$9:$C$508)+2,Constants!$B$6,COUNTA($C$9:$C$508)+1,Constants!$B$5,COUNTA($C$9:$C$508)),$DB399))</f>
        <v/>
      </c>
      <c r="DD399" s="7"/>
      <c r="DE399" s="82" t="n">
        <f aca="false">IF(OR(ISNUMBER($DB399),$DB399=Constants!$B$7,$DB399=Constants!$B$5,$DB399=Constants!$B$6),1,0)</f>
        <v>0</v>
      </c>
      <c r="DF399" s="82" t="n">
        <v>391</v>
      </c>
      <c r="DG399" s="82" t="str">
        <f aca="false">IF(ISBLANK($C399),"",IF(ISNUMBER($DC399),$DC399+ROW($B399)/1000,""))</f>
        <v/>
      </c>
      <c r="DH399" s="82" t="str">
        <f aca="false">IF(ISNUMBER($DG399),RANK($DG399,$DG$9:$DG$508,1),"")</f>
        <v/>
      </c>
      <c r="DI399" s="82" t="str">
        <f aca="false">IF(ISBLANK($C399),"",$B399)</f>
        <v/>
      </c>
      <c r="DJ399" s="82" t="str">
        <f aca="false">IF(ISBLANK($C399),"",$C399)</f>
        <v/>
      </c>
      <c r="DK399" s="82" t="str">
        <f aca="false">IF(ISBLANK($C399),"",$D399)</f>
        <v/>
      </c>
      <c r="DL399" s="83" t="str">
        <f aca="false">$CZ399</f>
        <v/>
      </c>
      <c r="DM399" s="84" t="str">
        <f aca="false">$CY399</f>
        <v/>
      </c>
      <c r="DN399" s="82" t="str">
        <f aca="false">IF(ISBLANK($C399),"",$DB399)</f>
        <v/>
      </c>
      <c r="DO399" s="85" t="str">
        <f aca="false">IF($DF399&gt;$DE$8,"",VLOOKUP($DF399,$DH$9:$DN$508,7,FALSE()))</f>
        <v/>
      </c>
      <c r="DP399" s="86" t="str">
        <f aca="false">IF($DF399&gt;$DE$8,"",VLOOKUP($DF399,$DH$9:$DN$508,2,FALSE()))</f>
        <v/>
      </c>
      <c r="DQ399" s="86" t="str">
        <f aca="false">IF($DF399&gt;$DE$8,"",VLOOKUP($DF399,$DH$9:$DN$508,3,FALSE()))</f>
        <v/>
      </c>
      <c r="DR399" s="86" t="str">
        <f aca="false">IF($DF399&gt;$DE$8,"",VLOOKUP($DF399,$DH$9:$DN$508,4,FALSE()))</f>
        <v/>
      </c>
      <c r="DS399" s="86" t="str">
        <f aca="false">IF($DF399&gt;$DE$8,"",VLOOKUP($DF399,$DH$9:$DN$508,5,FALSE()))</f>
        <v/>
      </c>
      <c r="DT399" s="87" t="str">
        <f aca="false">IF($DF399&gt;$DE$8,"",VLOOKUP($DF399,$DH$9:$DN$508,6,FALSE()))</f>
        <v/>
      </c>
      <c r="DU399" s="62"/>
    </row>
    <row r="400" customFormat="false" ht="15.75" hidden="false" customHeight="false" outlineLevel="0" collapsed="false">
      <c r="A400" s="7"/>
      <c r="B400" s="64"/>
      <c r="C400" s="65"/>
      <c r="D400" s="123"/>
      <c r="E400" s="88"/>
      <c r="F400" s="134"/>
      <c r="G400" s="88"/>
      <c r="H400" s="134"/>
      <c r="I400" s="119"/>
      <c r="J400" s="119"/>
      <c r="K400" s="119"/>
      <c r="L400" s="88"/>
      <c r="M400" s="88"/>
      <c r="N400" s="88"/>
      <c r="O400" s="134"/>
      <c r="P400" s="88"/>
      <c r="Q400" s="88"/>
      <c r="R400" s="88"/>
      <c r="S400" s="88"/>
      <c r="T400" s="134"/>
      <c r="U400" s="88"/>
      <c r="V400" s="70"/>
      <c r="W400" s="88"/>
      <c r="X400" s="88"/>
      <c r="Y400" s="70"/>
      <c r="Z400" s="70"/>
      <c r="AA400" s="88"/>
      <c r="AB400" s="88"/>
      <c r="AC400" s="71"/>
      <c r="AD400" s="88"/>
      <c r="AE400" s="73"/>
      <c r="AF400" s="74"/>
      <c r="AG400" s="74"/>
      <c r="AH400" s="74" t="str">
        <f aca="false">IF(ISBLANK($C400),"",IF($E400=Constants!$B$2,TRUE(),IF($E400=Constants!$B$3,FALSE(),TRUE())))</f>
        <v/>
      </c>
      <c r="AI400" s="74" t="str">
        <f aca="false">IF(ISBLANK($C400),"",IF($F400=Constants!$B$2,TRUE(),IF($F400=Constants!$B$3,FALSE(),FALSE())))</f>
        <v/>
      </c>
      <c r="AJ400" s="74" t="str">
        <f aca="false">IF(ISBLANK($C400),"",IF($G400=Constants!$B$2,TRUE(),IF($G400=Constants!$B$3,FALSE(),TRUE())))</f>
        <v/>
      </c>
      <c r="AK400" s="74" t="str">
        <f aca="false">IF(ISBLANK($C400),"",IF($H400=Constants!$B$2,TRUE(),IF($H400=Constants!$B$3,FALSE(),TRUE())))</f>
        <v/>
      </c>
      <c r="AL400" s="74" t="str">
        <f aca="false">IF(ISBLANK($C400),"",IF(ISNUMBER($I400),IF($I400&gt;=0,$I400,""),""))</f>
        <v/>
      </c>
      <c r="AM400" s="74" t="str">
        <f aca="false">IF(ISBLANK($C400),"",IF(ISNUMBER($J400),IF($J400&gt;=0,$J400,""),""))</f>
        <v/>
      </c>
      <c r="AN400" s="74" t="str">
        <f aca="false">IF(ISBLANK($C400),"",IF(ISNUMBER($K400),IF($K400&gt;=0,$K400,""),""))</f>
        <v/>
      </c>
      <c r="AO400" s="74" t="str">
        <f aca="false">IF(ISBLANK($C400),"",IF($L400=Constants!$B$2,TRUE(),IF($L400=Constants!$B$3,FALSE(),TRUE())))</f>
        <v/>
      </c>
      <c r="AP400" s="74" t="str">
        <f aca="false">IF(ISBLANK($C400),"",IF($M400=Constants!$B$2,TRUE(),IF($M400=Constants!$B$3,FALSE(),TRUE())))</f>
        <v/>
      </c>
      <c r="AQ400" s="74" t="str">
        <f aca="false">IF(ISBLANK($C400),"",IF($N400=Constants!$B$2,TRUE(),IF($N400=Constants!$B$3,FALSE(),FALSE())))</f>
        <v/>
      </c>
      <c r="AR400" s="74" t="str">
        <f aca="false">IF(ISBLANK($C400),"",IF($O400=Constants!$B$2,TRUE(),IF($O400=Constants!$B$3,FALSE(),TRUE())))</f>
        <v/>
      </c>
      <c r="AS400" s="74" t="str">
        <f aca="false">IF(ISBLANK($C400),"",IF($P400=Constants!$B$2,TRUE(),IF($P400=Constants!$B$3,FALSE(),FALSE())))</f>
        <v/>
      </c>
      <c r="AT400" s="74" t="str">
        <f aca="false">IF(ISBLANK($C400),"",IF($Q400=Constants!$B$2,TRUE(),IF($Q400=Constants!$B$3,FALSE(),FALSE())))</f>
        <v/>
      </c>
      <c r="AU400" s="74" t="str">
        <f aca="false">IF(ISBLANK($C400),"",IF($R400=Constants!$B$2,TRUE(),IF($R400=Constants!$B$3,FALSE(),FALSE())))</f>
        <v/>
      </c>
      <c r="AV400" s="74" t="str">
        <f aca="false">IF(ISBLANK($C400),"",IF($S400=Constants!$B$2,TRUE(),IF($S400=Constants!$B$3,FALSE(),FALSE())))</f>
        <v/>
      </c>
      <c r="AW400" s="74" t="str">
        <f aca="false">IF(ISBLANK($C400),"",IF($T400=Constants!$B$2,TRUE(),IF($T400=Constants!$B$3,FALSE(),FALSE())))</f>
        <v/>
      </c>
      <c r="AX400" s="74" t="str">
        <f aca="false">IF(ISBLANK($C400),"",IF(OR($U400&amp;""="1",$U400&amp;""="2",$U400&amp;""="3",$U400&amp;""="4"),VALUE($U400&amp;""),IF($U400=Constants!$B$12,Constants!$B$12,"")))</f>
        <v/>
      </c>
      <c r="AY400" s="74" t="str">
        <f aca="false">IF(ISBLANK($C400),"",IF(ISBLANK($V400),0,IF(ISNUMBER($V400),IF(AND($V400&gt;=0,$V400&lt;=Constants!$B$21,$V400=INT($V400)),$V400,""),"")))</f>
        <v/>
      </c>
      <c r="AZ400" s="74" t="str">
        <f aca="false">IF(ISBLANK($C400),"",IF(ISBLANK($W400),0,IF(ISNUMBER($W400),IF($W400&gt;=0,$W400,""),"")))</f>
        <v/>
      </c>
      <c r="BA400" s="74" t="str">
        <f aca="false">IF(ISBLANK($C400),"",IF($X400=Constants!$B$2,TRUE(),IF($X400=Constants!$B$3,FALSE(),TRUE())))</f>
        <v/>
      </c>
      <c r="BB400" s="74" t="str">
        <f aca="false">IF(ISBLANK($C400),"",IF($Y400=Constants!$B$2,TRUE(),IF($Y400=Constants!$B$3,FALSE(),FALSE())))</f>
        <v/>
      </c>
      <c r="BC400" s="74" t="str">
        <f aca="false">IF(ISBLANK($C400),"",IF(ISBLANK($Z400),0,IF(ISNUMBER($Z400),IF(AND($Z400&gt;=0,$Z400&lt;=Constants!$B$35,$Z400=INT($Z400)),$Z400,""),"")))</f>
        <v/>
      </c>
      <c r="BD400" s="74" t="str">
        <f aca="false">IF(ISBLANK($C400),"",IF($AA400=Constants!$B$2,TRUE(),IF($AA400=Constants!$B$3,FALSE(),TRUE())))</f>
        <v/>
      </c>
      <c r="BE400" s="74" t="str">
        <f aca="false">IF(ISBLANK($C400),"",IF($AB400=Constants!$B$2,TRUE(),IF($AB400=Constants!$B$3,FALSE(),TRUE())))</f>
        <v/>
      </c>
      <c r="BF400" s="74" t="str">
        <f aca="false">IF(ISBLANK($C400),"",IF(ISNUMBER($AC400),IF($AC400&gt;=0,$AC400,""),""))</f>
        <v/>
      </c>
      <c r="BG400" s="74" t="str">
        <f aca="false">IF(ISBLANK($C400),"",IF($AD400=Constants!$B$2,TRUE(),IF($AD400=Constants!$B$3,FALSE(),FALSE())))</f>
        <v/>
      </c>
      <c r="BH400" s="73" t="str">
        <f aca="false">IF(ISBLANK($C400),"",IF($BG400,Constants!$B$7,IF(COUNTA($E400:$AC400)=0,Constants!$B$6,IF(OR(COUNTA($G400:$AC400)=0,NOT($AK400),$AQ400),Constants!$B$5,IF(OR($CI400&lt;&gt;"",$CJ400,$CK400,$CL400,$CM400,$CN400,$CO400),Constants!$B$8,Constants!$B$4)))))</f>
        <v/>
      </c>
      <c r="BI400" s="74" t="str">
        <f aca="false">IF(ISBLANK($C400),"",IF($BH400&lt;&gt;Constants!$B$4,$BH400,IF(OR(NOT($AH400),NOT($AJ400),NOT($AR400)),Constants!$B$11,IF(OR(NOT($AP400),MAX($AL400,$AM400,$AN400)&gt;Constants!$B$30),Constants!$B$10,Constants!$B$9))))</f>
        <v/>
      </c>
      <c r="BJ400" s="74" t="str">
        <f aca="false">IF($BH400&lt;&gt;Constants!$B$4,"",IF(NOT($AJ400),0,MIN(Constants!$B$35,$BC400)))</f>
        <v/>
      </c>
      <c r="BK400" s="74" t="str">
        <f aca="false">IF($BH400&lt;&gt;Constants!$B$4,"",IF(NOT($AJ400),0,IF($AT400,Constants!$B$18,IF($AS400,Constants!$B$17,0))))</f>
        <v/>
      </c>
      <c r="BL400" s="74" t="str">
        <f aca="false">IF($BH400&lt;&gt;Constants!$B$4,"",IF(NOT($AJ400),0,Constants!$B$19*($AI400+$AU400+$AV400+$AW400)))</f>
        <v/>
      </c>
      <c r="BM400" s="74" t="str">
        <f aca="false">IF($BH400&lt;&gt;Constants!$B$4,"",IF(OR(NOT($AJ400),NOT(ISNUMBER($AX400))),0,CHOOSE($AX400,Constants!$B$13,Constants!$B$14,Constants!$B$15,Constants!$B$16)))</f>
        <v/>
      </c>
      <c r="BN400" s="74" t="str">
        <f aca="false">IF($BH400&lt;&gt;Constants!$B$4,"",IF(NOT($AJ400),0,Constants!$B$20*$AY400))</f>
        <v/>
      </c>
      <c r="BO400" s="74" t="str">
        <f aca="false">IF($BH400&lt;&gt;Constants!$B$4,"",IF(AND($AJ400,$BA400,$BB400),Constants!$B$22,0))</f>
        <v/>
      </c>
      <c r="BP400" s="74" t="str">
        <f aca="false">IF($BH400&lt;&gt;Constants!$B$4,"",IF(OR(NOT($AJ400),NOT($BA400)),0,IF($BF400&gt;=2*$AF$9,0,Constants!$B$23*INT(ROUND(MIN($BF400,$AF$9),6)))))</f>
        <v/>
      </c>
      <c r="BQ400" s="74" t="str">
        <f aca="false">IF($BH400&lt;&gt;Constants!$B$4,"",IF(NOT($AJ400),0,Constants!$B$24*INT(ROUND(MIN($AZ400,$AF$9),6))))</f>
        <v/>
      </c>
      <c r="BR400" s="74" t="str">
        <f aca="false">IF($BH400&lt;&gt;Constants!$B$4,"",IF(AND($AJ400,$BJ400=0),Constants!$B$25,0))</f>
        <v/>
      </c>
      <c r="BS400" s="74" t="str">
        <f aca="false">IF($BH400&lt;&gt;Constants!$B$4,"",MIN(Constants!$B$29,MAX(0,Constants!$B$27*Constants!$B$28*INT(ROUND((Constants!$B$26-$AL400)/Constants!$B$28,6))))+MIN(Constants!$B$29,MAX(0,Constants!$B$27*Constants!$B$28*INT(ROUND((Constants!$B$26-$AM400)/Constants!$B$28,6))))+MIN(Constants!$B$29,MAX(0,Constants!$B$27*Constants!$B$28*INT(ROUND((Constants!$B$26-$AN400)/Constants!$B$28,6)))))</f>
        <v/>
      </c>
      <c r="BT400" s="74" t="str">
        <f aca="false">IF($BH400&lt;&gt;Constants!$B$4,"",IF(NOT($AJ400),0,Constants!$B$31*INT(ROUND(MAX(0,MIN($BF400,2*$AF$9)-$AF$9),6))))</f>
        <v/>
      </c>
      <c r="BU400" s="74" t="str">
        <f aca="false">IF($BH400&lt;&gt;Constants!$B$4,"",Constants!$B$32*(($AL400&gt;Constants!$B$26)+($AM400&gt;Constants!$B$26)+($AN400&gt;Constants!$B$26)))</f>
        <v/>
      </c>
      <c r="BV400" s="74" t="str">
        <f aca="false">IF($BH400&lt;&gt;Constants!$B$4,"",IF(OR(NOT($AJ400),$AO400),0,Constants!$B$33))</f>
        <v/>
      </c>
      <c r="BW400" s="74" t="str">
        <f aca="false">IF($BH400&lt;&gt;Constants!$B$4,"",Constants!$B$34*$BJ400)</f>
        <v/>
      </c>
      <c r="BX400" s="74" t="str">
        <f aca="false">IF($BH400&lt;&gt;Constants!$B$4,"",IF(OR(NOT($AJ400),$BE400),0,Constants!$B$36))</f>
        <v/>
      </c>
      <c r="BY400" s="74" t="str">
        <f aca="false">IF($BH400&lt;&gt;Constants!$B$4,"",IF(OR(NOT($AJ400),$BD400),0,Constants!$B$37))</f>
        <v/>
      </c>
      <c r="BZ400" s="74" t="str">
        <f aca="false">IF($BH400&lt;&gt;Constants!$B$4,"",SUM($BT400:$BY400))</f>
        <v/>
      </c>
      <c r="CA400" s="74" t="str">
        <f aca="false">IF(ISBLANK($C400),"",IF($BH400&lt;&gt;Constants!$B$4,$BH400,SUM($BK400:$BS400)-$BZ400))</f>
        <v/>
      </c>
      <c r="CB400" s="74" t="str">
        <f aca="false">IF(ISBLANK($C400),"",IF($BH400&lt;&gt;Constants!$B$4,$BH400,RANK($CA400,$CA$9:$CA$508)))</f>
        <v/>
      </c>
      <c r="CC400" s="74" t="str">
        <f aca="false">IF(ISBLANK($C400),"",IF($BH400&lt;&gt;Constants!$B$4,$BH400,COUNTIFS($BI$9:$BI$508,"&lt;"&amp;$BI400)+COUNTIFS($BI$9:$BI$508,$BI400,$CB$9:$CB$508,"&lt;"&amp;$CB400)+1))</f>
        <v/>
      </c>
      <c r="CD400" s="74" t="str">
        <f aca="false">IF(ISBLANK($C400),"",IF($BH400&lt;&gt;Constants!$B$4,$BH400,RANK($BZ400,$BZ$9:$BZ$508,1)))</f>
        <v/>
      </c>
      <c r="CE400" s="74" t="str">
        <f aca="false">IF($BH400&lt;&gt;Constants!$B$4,"",$AL400+$AM400+$AN400)</f>
        <v/>
      </c>
      <c r="CF400" s="74" t="str">
        <f aca="false">IF(ISBLANK($C400),"",IF($BH400&lt;&gt;Constants!$B$4,$BH400,RANK($CE400,$CE$9:$CE$508,1)))</f>
        <v/>
      </c>
      <c r="CG400" s="74" t="str">
        <f aca="false">IF(ISBLANK($C400),"",IF($BH400&lt;&gt;Constants!$B$4,$BH400,COUNTIFS($BI$9:$BI$508,"&lt;"&amp;$BI400)+COUNTIFS($BI$9:$BI$508,$BI400,$CB$9:$CB$508,"&lt;"&amp;$CB400)+COUNTIFS($BI$9:$BI$508,$BI400,$CB$9:$CB$508,$CB400,$CD$9:$CD$508,"&lt;"&amp;$CD400)+COUNTIFS($BI$9:$BI$508,$BI400,$CB$9:$CB$508,$CB400,$CD$9:$CD$508,$CD400,$CF$9:$CF$508,"&lt;"&amp;$CF400)+1))</f>
        <v/>
      </c>
      <c r="CH400" s="74" t="str">
        <f aca="false">IF(ISBLANK($C400),"",IF($BH400&lt;&gt;Constants!$B$4,$BH400,$CC400-$CG400))</f>
        <v/>
      </c>
      <c r="CI400" s="74" t="str">
        <f aca="false">IF(ISBLANK($C400),"",IF(NOT($AJ400),"",IF(ISBLANK($D$7),$CI$5,IF(NOT(ISNUMBER($D$7)),$CI$6,""))))</f>
        <v/>
      </c>
      <c r="CJ400" s="74" t="str">
        <f aca="false">IF(ISBLANK($C400),"",OR($AL400="",$AM400="",$AN400=""))</f>
        <v/>
      </c>
      <c r="CK400" s="74" t="str">
        <f aca="false">IF(ISBLANK($C400),"",AND($AJ400,$AX400=""))</f>
        <v/>
      </c>
      <c r="CL400" s="74" t="str">
        <f aca="false">IF(ISBLANK($C400),"",AND($AJ400,$AY400=""))</f>
        <v/>
      </c>
      <c r="CM400" s="74" t="str">
        <f aca="false">IF(ISBLANK($C400),"",AND($AJ400,$AZ400=""))</f>
        <v/>
      </c>
      <c r="CN400" s="74" t="str">
        <f aca="false">IF(ISBLANK($C400),"",AND($AJ400,$BC400=""))</f>
        <v/>
      </c>
      <c r="CO400" s="74" t="str">
        <f aca="false">IF(ISBLANK($C400),"",AND($AJ400,$BF400=""))</f>
        <v/>
      </c>
      <c r="CP400" s="75"/>
      <c r="CQ400" s="76"/>
      <c r="CR400" s="79" t="str">
        <f aca="false">IF(ISBLANK($C400),"",IF($BH400=Constants!$B$8,$CI400,""))</f>
        <v/>
      </c>
      <c r="CS400" s="76" t="str">
        <f aca="false">IF(ISBLANK($C400),"",IF($BH400&lt;&gt;Constants!$B$4,"",$BK400+$BL400))</f>
        <v/>
      </c>
      <c r="CT400" s="78" t="str">
        <f aca="false">IF(ISBLANK($C400),"",IF($BH400&lt;&gt;Constants!$B$4,"",$BM400+$BN400+$BO400))</f>
        <v/>
      </c>
      <c r="CU400" s="78" t="str">
        <f aca="false">IF(ISBLANK($C400),"",IF($BH400&lt;&gt;Constants!$B$4,"",$BP400))</f>
        <v/>
      </c>
      <c r="CV400" s="78" t="str">
        <f aca="false">IF(ISBLANK($C400),"",IF($BH400&lt;&gt;Constants!$B$4,"",$BQ400+$BR400))</f>
        <v/>
      </c>
      <c r="CW400" s="78" t="str">
        <f aca="false">IF(ISBLANK($C400),"",IF($BH400&lt;&gt;Constants!$B$4,"",$BS400))</f>
        <v/>
      </c>
      <c r="CX400" s="78" t="str">
        <f aca="false">IF(ISBLANK($C400),"",IF($BH400&lt;&gt;Constants!$B$4,"",-$BZ400))</f>
        <v/>
      </c>
      <c r="CY400" s="79" t="str">
        <f aca="false">IF(ISBLANK($C400),"",$CA400)</f>
        <v/>
      </c>
      <c r="CZ400" s="80" t="str">
        <f aca="false">IF(ISBLANK($C400),"",$BI400)</f>
        <v/>
      </c>
      <c r="DA400" s="78" t="str">
        <f aca="false">IF(ISBLANK($C400),"",$CH400)</f>
        <v/>
      </c>
      <c r="DB400" s="78" t="str">
        <f aca="false">IF(ISBLANK($C400),"",$CG400)</f>
        <v/>
      </c>
      <c r="DC400" s="81" t="str">
        <f aca="false">IF(ISBLANK($C400),"",IFERROR(_xlfn.SWITCH($DB400,Constants!$B$7,COUNTA($C$9:$C$508)+2,Constants!$B$6,COUNTA($C$9:$C$508)+1,Constants!$B$5,COUNTA($C$9:$C$508)),$DB400))</f>
        <v/>
      </c>
      <c r="DD400" s="7"/>
      <c r="DE400" s="82" t="n">
        <f aca="false">IF(OR(ISNUMBER($DB400),$DB400=Constants!$B$7,$DB400=Constants!$B$5,$DB400=Constants!$B$6),1,0)</f>
        <v>0</v>
      </c>
      <c r="DF400" s="82" t="n">
        <v>392</v>
      </c>
      <c r="DG400" s="82" t="str">
        <f aca="false">IF(ISBLANK($C400),"",IF(ISNUMBER($DC400),$DC400+ROW($B400)/1000,""))</f>
        <v/>
      </c>
      <c r="DH400" s="82" t="str">
        <f aca="false">IF(ISNUMBER($DG400),RANK($DG400,$DG$9:$DG$508,1),"")</f>
        <v/>
      </c>
      <c r="DI400" s="82" t="str">
        <f aca="false">IF(ISBLANK($C400),"",$B400)</f>
        <v/>
      </c>
      <c r="DJ400" s="82" t="str">
        <f aca="false">IF(ISBLANK($C400),"",$C400)</f>
        <v/>
      </c>
      <c r="DK400" s="82" t="str">
        <f aca="false">IF(ISBLANK($C400),"",$D400)</f>
        <v/>
      </c>
      <c r="DL400" s="83" t="str">
        <f aca="false">$CZ400</f>
        <v/>
      </c>
      <c r="DM400" s="84" t="str">
        <f aca="false">$CY400</f>
        <v/>
      </c>
      <c r="DN400" s="82" t="str">
        <f aca="false">IF(ISBLANK($C400),"",$DB400)</f>
        <v/>
      </c>
      <c r="DO400" s="85" t="str">
        <f aca="false">IF($DF400&gt;$DE$8,"",VLOOKUP($DF400,$DH$9:$DN$508,7,FALSE()))</f>
        <v/>
      </c>
      <c r="DP400" s="86" t="str">
        <f aca="false">IF($DF400&gt;$DE$8,"",VLOOKUP($DF400,$DH$9:$DN$508,2,FALSE()))</f>
        <v/>
      </c>
      <c r="DQ400" s="86" t="str">
        <f aca="false">IF($DF400&gt;$DE$8,"",VLOOKUP($DF400,$DH$9:$DN$508,3,FALSE()))</f>
        <v/>
      </c>
      <c r="DR400" s="86" t="str">
        <f aca="false">IF($DF400&gt;$DE$8,"",VLOOKUP($DF400,$DH$9:$DN$508,4,FALSE()))</f>
        <v/>
      </c>
      <c r="DS400" s="86" t="str">
        <f aca="false">IF($DF400&gt;$DE$8,"",VLOOKUP($DF400,$DH$9:$DN$508,5,FALSE()))</f>
        <v/>
      </c>
      <c r="DT400" s="87" t="str">
        <f aca="false">IF($DF400&gt;$DE$8,"",VLOOKUP($DF400,$DH$9:$DN$508,6,FALSE()))</f>
        <v/>
      </c>
      <c r="DU400" s="62"/>
    </row>
    <row r="401" customFormat="false" ht="15.75" hidden="false" customHeight="false" outlineLevel="0" collapsed="false">
      <c r="A401" s="7"/>
      <c r="B401" s="64"/>
      <c r="C401" s="65"/>
      <c r="D401" s="123"/>
      <c r="E401" s="88"/>
      <c r="F401" s="134"/>
      <c r="G401" s="88"/>
      <c r="H401" s="134"/>
      <c r="I401" s="119"/>
      <c r="J401" s="119"/>
      <c r="K401" s="119"/>
      <c r="L401" s="88"/>
      <c r="M401" s="88"/>
      <c r="N401" s="88"/>
      <c r="O401" s="134"/>
      <c r="P401" s="88"/>
      <c r="Q401" s="88"/>
      <c r="R401" s="88"/>
      <c r="S401" s="88"/>
      <c r="T401" s="134"/>
      <c r="U401" s="88"/>
      <c r="V401" s="70"/>
      <c r="W401" s="88"/>
      <c r="X401" s="88"/>
      <c r="Y401" s="70"/>
      <c r="Z401" s="70"/>
      <c r="AA401" s="88"/>
      <c r="AB401" s="88"/>
      <c r="AC401" s="71"/>
      <c r="AD401" s="88"/>
      <c r="AE401" s="73"/>
      <c r="AF401" s="74"/>
      <c r="AG401" s="74"/>
      <c r="AH401" s="74" t="str">
        <f aca="false">IF(ISBLANK($C401),"",IF($E401=Constants!$B$2,TRUE(),IF($E401=Constants!$B$3,FALSE(),TRUE())))</f>
        <v/>
      </c>
      <c r="AI401" s="74" t="str">
        <f aca="false">IF(ISBLANK($C401),"",IF($F401=Constants!$B$2,TRUE(),IF($F401=Constants!$B$3,FALSE(),FALSE())))</f>
        <v/>
      </c>
      <c r="AJ401" s="74" t="str">
        <f aca="false">IF(ISBLANK($C401),"",IF($G401=Constants!$B$2,TRUE(),IF($G401=Constants!$B$3,FALSE(),TRUE())))</f>
        <v/>
      </c>
      <c r="AK401" s="74" t="str">
        <f aca="false">IF(ISBLANK($C401),"",IF($H401=Constants!$B$2,TRUE(),IF($H401=Constants!$B$3,FALSE(),TRUE())))</f>
        <v/>
      </c>
      <c r="AL401" s="74" t="str">
        <f aca="false">IF(ISBLANK($C401),"",IF(ISNUMBER($I401),IF($I401&gt;=0,$I401,""),""))</f>
        <v/>
      </c>
      <c r="AM401" s="74" t="str">
        <f aca="false">IF(ISBLANK($C401),"",IF(ISNUMBER($J401),IF($J401&gt;=0,$J401,""),""))</f>
        <v/>
      </c>
      <c r="AN401" s="74" t="str">
        <f aca="false">IF(ISBLANK($C401),"",IF(ISNUMBER($K401),IF($K401&gt;=0,$K401,""),""))</f>
        <v/>
      </c>
      <c r="AO401" s="74" t="str">
        <f aca="false">IF(ISBLANK($C401),"",IF($L401=Constants!$B$2,TRUE(),IF($L401=Constants!$B$3,FALSE(),TRUE())))</f>
        <v/>
      </c>
      <c r="AP401" s="74" t="str">
        <f aca="false">IF(ISBLANK($C401),"",IF($M401=Constants!$B$2,TRUE(),IF($M401=Constants!$B$3,FALSE(),TRUE())))</f>
        <v/>
      </c>
      <c r="AQ401" s="74" t="str">
        <f aca="false">IF(ISBLANK($C401),"",IF($N401=Constants!$B$2,TRUE(),IF($N401=Constants!$B$3,FALSE(),FALSE())))</f>
        <v/>
      </c>
      <c r="AR401" s="74" t="str">
        <f aca="false">IF(ISBLANK($C401),"",IF($O401=Constants!$B$2,TRUE(),IF($O401=Constants!$B$3,FALSE(),TRUE())))</f>
        <v/>
      </c>
      <c r="AS401" s="74" t="str">
        <f aca="false">IF(ISBLANK($C401),"",IF($P401=Constants!$B$2,TRUE(),IF($P401=Constants!$B$3,FALSE(),FALSE())))</f>
        <v/>
      </c>
      <c r="AT401" s="74" t="str">
        <f aca="false">IF(ISBLANK($C401),"",IF($Q401=Constants!$B$2,TRUE(),IF($Q401=Constants!$B$3,FALSE(),FALSE())))</f>
        <v/>
      </c>
      <c r="AU401" s="74" t="str">
        <f aca="false">IF(ISBLANK($C401),"",IF($R401=Constants!$B$2,TRUE(),IF($R401=Constants!$B$3,FALSE(),FALSE())))</f>
        <v/>
      </c>
      <c r="AV401" s="74" t="str">
        <f aca="false">IF(ISBLANK($C401),"",IF($S401=Constants!$B$2,TRUE(),IF($S401=Constants!$B$3,FALSE(),FALSE())))</f>
        <v/>
      </c>
      <c r="AW401" s="74" t="str">
        <f aca="false">IF(ISBLANK($C401),"",IF($T401=Constants!$B$2,TRUE(),IF($T401=Constants!$B$3,FALSE(),FALSE())))</f>
        <v/>
      </c>
      <c r="AX401" s="74" t="str">
        <f aca="false">IF(ISBLANK($C401),"",IF(OR($U401&amp;""="1",$U401&amp;""="2",$U401&amp;""="3",$U401&amp;""="4"),VALUE($U401&amp;""),IF($U401=Constants!$B$12,Constants!$B$12,"")))</f>
        <v/>
      </c>
      <c r="AY401" s="74" t="str">
        <f aca="false">IF(ISBLANK($C401),"",IF(ISBLANK($V401),0,IF(ISNUMBER($V401),IF(AND($V401&gt;=0,$V401&lt;=Constants!$B$21,$V401=INT($V401)),$V401,""),"")))</f>
        <v/>
      </c>
      <c r="AZ401" s="74" t="str">
        <f aca="false">IF(ISBLANK($C401),"",IF(ISBLANK($W401),0,IF(ISNUMBER($W401),IF($W401&gt;=0,$W401,""),"")))</f>
        <v/>
      </c>
      <c r="BA401" s="74" t="str">
        <f aca="false">IF(ISBLANK($C401),"",IF($X401=Constants!$B$2,TRUE(),IF($X401=Constants!$B$3,FALSE(),TRUE())))</f>
        <v/>
      </c>
      <c r="BB401" s="74" t="str">
        <f aca="false">IF(ISBLANK($C401),"",IF($Y401=Constants!$B$2,TRUE(),IF($Y401=Constants!$B$3,FALSE(),FALSE())))</f>
        <v/>
      </c>
      <c r="BC401" s="74" t="str">
        <f aca="false">IF(ISBLANK($C401),"",IF(ISBLANK($Z401),0,IF(ISNUMBER($Z401),IF(AND($Z401&gt;=0,$Z401&lt;=Constants!$B$35,$Z401=INT($Z401)),$Z401,""),"")))</f>
        <v/>
      </c>
      <c r="BD401" s="74" t="str">
        <f aca="false">IF(ISBLANK($C401),"",IF($AA401=Constants!$B$2,TRUE(),IF($AA401=Constants!$B$3,FALSE(),TRUE())))</f>
        <v/>
      </c>
      <c r="BE401" s="74" t="str">
        <f aca="false">IF(ISBLANK($C401),"",IF($AB401=Constants!$B$2,TRUE(),IF($AB401=Constants!$B$3,FALSE(),TRUE())))</f>
        <v/>
      </c>
      <c r="BF401" s="74" t="str">
        <f aca="false">IF(ISBLANK($C401),"",IF(ISNUMBER($AC401),IF($AC401&gt;=0,$AC401,""),""))</f>
        <v/>
      </c>
      <c r="BG401" s="74" t="str">
        <f aca="false">IF(ISBLANK($C401),"",IF($AD401=Constants!$B$2,TRUE(),IF($AD401=Constants!$B$3,FALSE(),FALSE())))</f>
        <v/>
      </c>
      <c r="BH401" s="73" t="str">
        <f aca="false">IF(ISBLANK($C401),"",IF($BG401,Constants!$B$7,IF(COUNTA($E401:$AC401)=0,Constants!$B$6,IF(OR(COUNTA($G401:$AC401)=0,NOT($AK401),$AQ401),Constants!$B$5,IF(OR($CI401&lt;&gt;"",$CJ401,$CK401,$CL401,$CM401,$CN401,$CO401),Constants!$B$8,Constants!$B$4)))))</f>
        <v/>
      </c>
      <c r="BI401" s="74" t="str">
        <f aca="false">IF(ISBLANK($C401),"",IF($BH401&lt;&gt;Constants!$B$4,$BH401,IF(OR(NOT($AH401),NOT($AJ401),NOT($AR401)),Constants!$B$11,IF(OR(NOT($AP401),MAX($AL401,$AM401,$AN401)&gt;Constants!$B$30),Constants!$B$10,Constants!$B$9))))</f>
        <v/>
      </c>
      <c r="BJ401" s="74" t="str">
        <f aca="false">IF($BH401&lt;&gt;Constants!$B$4,"",IF(NOT($AJ401),0,MIN(Constants!$B$35,$BC401)))</f>
        <v/>
      </c>
      <c r="BK401" s="74" t="str">
        <f aca="false">IF($BH401&lt;&gt;Constants!$B$4,"",IF(NOT($AJ401),0,IF($AT401,Constants!$B$18,IF($AS401,Constants!$B$17,0))))</f>
        <v/>
      </c>
      <c r="BL401" s="74" t="str">
        <f aca="false">IF($BH401&lt;&gt;Constants!$B$4,"",IF(NOT($AJ401),0,Constants!$B$19*($AI401+$AU401+$AV401+$AW401)))</f>
        <v/>
      </c>
      <c r="BM401" s="74" t="str">
        <f aca="false">IF($BH401&lt;&gt;Constants!$B$4,"",IF(OR(NOT($AJ401),NOT(ISNUMBER($AX401))),0,CHOOSE($AX401,Constants!$B$13,Constants!$B$14,Constants!$B$15,Constants!$B$16)))</f>
        <v/>
      </c>
      <c r="BN401" s="74" t="str">
        <f aca="false">IF($BH401&lt;&gt;Constants!$B$4,"",IF(NOT($AJ401),0,Constants!$B$20*$AY401))</f>
        <v/>
      </c>
      <c r="BO401" s="74" t="str">
        <f aca="false">IF($BH401&lt;&gt;Constants!$B$4,"",IF(AND($AJ401,$BA401,$BB401),Constants!$B$22,0))</f>
        <v/>
      </c>
      <c r="BP401" s="74" t="str">
        <f aca="false">IF($BH401&lt;&gt;Constants!$B$4,"",IF(OR(NOT($AJ401),NOT($BA401)),0,IF($BF401&gt;=2*$AF$9,0,Constants!$B$23*INT(ROUND(MIN($BF401,$AF$9),6)))))</f>
        <v/>
      </c>
      <c r="BQ401" s="74" t="str">
        <f aca="false">IF($BH401&lt;&gt;Constants!$B$4,"",IF(NOT($AJ401),0,Constants!$B$24*INT(ROUND(MIN($AZ401,$AF$9),6))))</f>
        <v/>
      </c>
      <c r="BR401" s="74" t="str">
        <f aca="false">IF($BH401&lt;&gt;Constants!$B$4,"",IF(AND($AJ401,$BJ401=0),Constants!$B$25,0))</f>
        <v/>
      </c>
      <c r="BS401" s="74" t="str">
        <f aca="false">IF($BH401&lt;&gt;Constants!$B$4,"",MIN(Constants!$B$29,MAX(0,Constants!$B$27*Constants!$B$28*INT(ROUND((Constants!$B$26-$AL401)/Constants!$B$28,6))))+MIN(Constants!$B$29,MAX(0,Constants!$B$27*Constants!$B$28*INT(ROUND((Constants!$B$26-$AM401)/Constants!$B$28,6))))+MIN(Constants!$B$29,MAX(0,Constants!$B$27*Constants!$B$28*INT(ROUND((Constants!$B$26-$AN401)/Constants!$B$28,6)))))</f>
        <v/>
      </c>
      <c r="BT401" s="74" t="str">
        <f aca="false">IF($BH401&lt;&gt;Constants!$B$4,"",IF(NOT($AJ401),0,Constants!$B$31*INT(ROUND(MAX(0,MIN($BF401,2*$AF$9)-$AF$9),6))))</f>
        <v/>
      </c>
      <c r="BU401" s="74" t="str">
        <f aca="false">IF($BH401&lt;&gt;Constants!$B$4,"",Constants!$B$32*(($AL401&gt;Constants!$B$26)+($AM401&gt;Constants!$B$26)+($AN401&gt;Constants!$B$26)))</f>
        <v/>
      </c>
      <c r="BV401" s="74" t="str">
        <f aca="false">IF($BH401&lt;&gt;Constants!$B$4,"",IF(OR(NOT($AJ401),$AO401),0,Constants!$B$33))</f>
        <v/>
      </c>
      <c r="BW401" s="74" t="str">
        <f aca="false">IF($BH401&lt;&gt;Constants!$B$4,"",Constants!$B$34*$BJ401)</f>
        <v/>
      </c>
      <c r="BX401" s="74" t="str">
        <f aca="false">IF($BH401&lt;&gt;Constants!$B$4,"",IF(OR(NOT($AJ401),$BE401),0,Constants!$B$36))</f>
        <v/>
      </c>
      <c r="BY401" s="74" t="str">
        <f aca="false">IF($BH401&lt;&gt;Constants!$B$4,"",IF(OR(NOT($AJ401),$BD401),0,Constants!$B$37))</f>
        <v/>
      </c>
      <c r="BZ401" s="74" t="str">
        <f aca="false">IF($BH401&lt;&gt;Constants!$B$4,"",SUM($BT401:$BY401))</f>
        <v/>
      </c>
      <c r="CA401" s="74" t="str">
        <f aca="false">IF(ISBLANK($C401),"",IF($BH401&lt;&gt;Constants!$B$4,$BH401,SUM($BK401:$BS401)-$BZ401))</f>
        <v/>
      </c>
      <c r="CB401" s="74" t="str">
        <f aca="false">IF(ISBLANK($C401),"",IF($BH401&lt;&gt;Constants!$B$4,$BH401,RANK($CA401,$CA$9:$CA$508)))</f>
        <v/>
      </c>
      <c r="CC401" s="74" t="str">
        <f aca="false">IF(ISBLANK($C401),"",IF($BH401&lt;&gt;Constants!$B$4,$BH401,COUNTIFS($BI$9:$BI$508,"&lt;"&amp;$BI401)+COUNTIFS($BI$9:$BI$508,$BI401,$CB$9:$CB$508,"&lt;"&amp;$CB401)+1))</f>
        <v/>
      </c>
      <c r="CD401" s="74" t="str">
        <f aca="false">IF(ISBLANK($C401),"",IF($BH401&lt;&gt;Constants!$B$4,$BH401,RANK($BZ401,$BZ$9:$BZ$508,1)))</f>
        <v/>
      </c>
      <c r="CE401" s="74" t="str">
        <f aca="false">IF($BH401&lt;&gt;Constants!$B$4,"",$AL401+$AM401+$AN401)</f>
        <v/>
      </c>
      <c r="CF401" s="74" t="str">
        <f aca="false">IF(ISBLANK($C401),"",IF($BH401&lt;&gt;Constants!$B$4,$BH401,RANK($CE401,$CE$9:$CE$508,1)))</f>
        <v/>
      </c>
      <c r="CG401" s="74" t="str">
        <f aca="false">IF(ISBLANK($C401),"",IF($BH401&lt;&gt;Constants!$B$4,$BH401,COUNTIFS($BI$9:$BI$508,"&lt;"&amp;$BI401)+COUNTIFS($BI$9:$BI$508,$BI401,$CB$9:$CB$508,"&lt;"&amp;$CB401)+COUNTIFS($BI$9:$BI$508,$BI401,$CB$9:$CB$508,$CB401,$CD$9:$CD$508,"&lt;"&amp;$CD401)+COUNTIFS($BI$9:$BI$508,$BI401,$CB$9:$CB$508,$CB401,$CD$9:$CD$508,$CD401,$CF$9:$CF$508,"&lt;"&amp;$CF401)+1))</f>
        <v/>
      </c>
      <c r="CH401" s="74" t="str">
        <f aca="false">IF(ISBLANK($C401),"",IF($BH401&lt;&gt;Constants!$B$4,$BH401,$CC401-$CG401))</f>
        <v/>
      </c>
      <c r="CI401" s="74" t="str">
        <f aca="false">IF(ISBLANK($C401),"",IF(NOT($AJ401),"",IF(ISBLANK($D$7),$CI$5,IF(NOT(ISNUMBER($D$7)),$CI$6,""))))</f>
        <v/>
      </c>
      <c r="CJ401" s="74" t="str">
        <f aca="false">IF(ISBLANK($C401),"",OR($AL401="",$AM401="",$AN401=""))</f>
        <v/>
      </c>
      <c r="CK401" s="74" t="str">
        <f aca="false">IF(ISBLANK($C401),"",AND($AJ401,$AX401=""))</f>
        <v/>
      </c>
      <c r="CL401" s="74" t="str">
        <f aca="false">IF(ISBLANK($C401),"",AND($AJ401,$AY401=""))</f>
        <v/>
      </c>
      <c r="CM401" s="74" t="str">
        <f aca="false">IF(ISBLANK($C401),"",AND($AJ401,$AZ401=""))</f>
        <v/>
      </c>
      <c r="CN401" s="74" t="str">
        <f aca="false">IF(ISBLANK($C401),"",AND($AJ401,$BC401=""))</f>
        <v/>
      </c>
      <c r="CO401" s="74" t="str">
        <f aca="false">IF(ISBLANK($C401),"",AND($AJ401,$BF401=""))</f>
        <v/>
      </c>
      <c r="CP401" s="75"/>
      <c r="CQ401" s="76"/>
      <c r="CR401" s="79" t="str">
        <f aca="false">IF(ISBLANK($C401),"",IF($BH401=Constants!$B$8,$CI401,""))</f>
        <v/>
      </c>
      <c r="CS401" s="76" t="str">
        <f aca="false">IF(ISBLANK($C401),"",IF($BH401&lt;&gt;Constants!$B$4,"",$BK401+$BL401))</f>
        <v/>
      </c>
      <c r="CT401" s="78" t="str">
        <f aca="false">IF(ISBLANK($C401),"",IF($BH401&lt;&gt;Constants!$B$4,"",$BM401+$BN401+$BO401))</f>
        <v/>
      </c>
      <c r="CU401" s="78" t="str">
        <f aca="false">IF(ISBLANK($C401),"",IF($BH401&lt;&gt;Constants!$B$4,"",$BP401))</f>
        <v/>
      </c>
      <c r="CV401" s="78" t="str">
        <f aca="false">IF(ISBLANK($C401),"",IF($BH401&lt;&gt;Constants!$B$4,"",$BQ401+$BR401))</f>
        <v/>
      </c>
      <c r="CW401" s="78" t="str">
        <f aca="false">IF(ISBLANK($C401),"",IF($BH401&lt;&gt;Constants!$B$4,"",$BS401))</f>
        <v/>
      </c>
      <c r="CX401" s="78" t="str">
        <f aca="false">IF(ISBLANK($C401),"",IF($BH401&lt;&gt;Constants!$B$4,"",-$BZ401))</f>
        <v/>
      </c>
      <c r="CY401" s="79" t="str">
        <f aca="false">IF(ISBLANK($C401),"",$CA401)</f>
        <v/>
      </c>
      <c r="CZ401" s="80" t="str">
        <f aca="false">IF(ISBLANK($C401),"",$BI401)</f>
        <v/>
      </c>
      <c r="DA401" s="78" t="str">
        <f aca="false">IF(ISBLANK($C401),"",$CH401)</f>
        <v/>
      </c>
      <c r="DB401" s="78" t="str">
        <f aca="false">IF(ISBLANK($C401),"",$CG401)</f>
        <v/>
      </c>
      <c r="DC401" s="81" t="str">
        <f aca="false">IF(ISBLANK($C401),"",IFERROR(_xlfn.SWITCH($DB401,Constants!$B$7,COUNTA($C$9:$C$508)+2,Constants!$B$6,COUNTA($C$9:$C$508)+1,Constants!$B$5,COUNTA($C$9:$C$508)),$DB401))</f>
        <v/>
      </c>
      <c r="DD401" s="7"/>
      <c r="DE401" s="82" t="n">
        <f aca="false">IF(OR(ISNUMBER($DB401),$DB401=Constants!$B$7,$DB401=Constants!$B$5,$DB401=Constants!$B$6),1,0)</f>
        <v>0</v>
      </c>
      <c r="DF401" s="82" t="n">
        <v>393</v>
      </c>
      <c r="DG401" s="82" t="str">
        <f aca="false">IF(ISBLANK($C401),"",IF(ISNUMBER($DC401),$DC401+ROW($B401)/1000,""))</f>
        <v/>
      </c>
      <c r="DH401" s="82" t="str">
        <f aca="false">IF(ISNUMBER($DG401),RANK($DG401,$DG$9:$DG$508,1),"")</f>
        <v/>
      </c>
      <c r="DI401" s="82" t="str">
        <f aca="false">IF(ISBLANK($C401),"",$B401)</f>
        <v/>
      </c>
      <c r="DJ401" s="82" t="str">
        <f aca="false">IF(ISBLANK($C401),"",$C401)</f>
        <v/>
      </c>
      <c r="DK401" s="82" t="str">
        <f aca="false">IF(ISBLANK($C401),"",$D401)</f>
        <v/>
      </c>
      <c r="DL401" s="83" t="str">
        <f aca="false">$CZ401</f>
        <v/>
      </c>
      <c r="DM401" s="84" t="str">
        <f aca="false">$CY401</f>
        <v/>
      </c>
      <c r="DN401" s="82" t="str">
        <f aca="false">IF(ISBLANK($C401),"",$DB401)</f>
        <v/>
      </c>
      <c r="DO401" s="85" t="str">
        <f aca="false">IF($DF401&gt;$DE$8,"",VLOOKUP($DF401,$DH$9:$DN$508,7,FALSE()))</f>
        <v/>
      </c>
      <c r="DP401" s="86" t="str">
        <f aca="false">IF($DF401&gt;$DE$8,"",VLOOKUP($DF401,$DH$9:$DN$508,2,FALSE()))</f>
        <v/>
      </c>
      <c r="DQ401" s="86" t="str">
        <f aca="false">IF($DF401&gt;$DE$8,"",VLOOKUP($DF401,$DH$9:$DN$508,3,FALSE()))</f>
        <v/>
      </c>
      <c r="DR401" s="86" t="str">
        <f aca="false">IF($DF401&gt;$DE$8,"",VLOOKUP($DF401,$DH$9:$DN$508,4,FALSE()))</f>
        <v/>
      </c>
      <c r="DS401" s="86" t="str">
        <f aca="false">IF($DF401&gt;$DE$8,"",VLOOKUP($DF401,$DH$9:$DN$508,5,FALSE()))</f>
        <v/>
      </c>
      <c r="DT401" s="87" t="str">
        <f aca="false">IF($DF401&gt;$DE$8,"",VLOOKUP($DF401,$DH$9:$DN$508,6,FALSE()))</f>
        <v/>
      </c>
      <c r="DU401" s="62"/>
    </row>
    <row r="402" customFormat="false" ht="15.75" hidden="false" customHeight="false" outlineLevel="0" collapsed="false">
      <c r="A402" s="7"/>
      <c r="B402" s="90"/>
      <c r="C402" s="91"/>
      <c r="D402" s="126"/>
      <c r="E402" s="130"/>
      <c r="F402" s="135"/>
      <c r="G402" s="130"/>
      <c r="H402" s="135"/>
      <c r="I402" s="131"/>
      <c r="J402" s="131"/>
      <c r="K402" s="131"/>
      <c r="L402" s="130"/>
      <c r="M402" s="130"/>
      <c r="N402" s="130"/>
      <c r="O402" s="135"/>
      <c r="P402" s="130"/>
      <c r="Q402" s="130"/>
      <c r="R402" s="130"/>
      <c r="S402" s="130"/>
      <c r="T402" s="135"/>
      <c r="U402" s="130"/>
      <c r="V402" s="96"/>
      <c r="W402" s="130"/>
      <c r="X402" s="130"/>
      <c r="Y402" s="96"/>
      <c r="Z402" s="96"/>
      <c r="AA402" s="130"/>
      <c r="AB402" s="130"/>
      <c r="AC402" s="97"/>
      <c r="AD402" s="130"/>
      <c r="AE402" s="99"/>
      <c r="AF402" s="100"/>
      <c r="AG402" s="100"/>
      <c r="AH402" s="100" t="str">
        <f aca="false">IF(ISBLANK($C402),"",IF($E402=Constants!$B$2,TRUE(),IF($E402=Constants!$B$3,FALSE(),TRUE())))</f>
        <v/>
      </c>
      <c r="AI402" s="100" t="str">
        <f aca="false">IF(ISBLANK($C402),"",IF($F402=Constants!$B$2,TRUE(),IF($F402=Constants!$B$3,FALSE(),FALSE())))</f>
        <v/>
      </c>
      <c r="AJ402" s="100" t="str">
        <f aca="false">IF(ISBLANK($C402),"",IF($G402=Constants!$B$2,TRUE(),IF($G402=Constants!$B$3,FALSE(),TRUE())))</f>
        <v/>
      </c>
      <c r="AK402" s="100" t="str">
        <f aca="false">IF(ISBLANK($C402),"",IF($H402=Constants!$B$2,TRUE(),IF($H402=Constants!$B$3,FALSE(),TRUE())))</f>
        <v/>
      </c>
      <c r="AL402" s="100" t="str">
        <f aca="false">IF(ISBLANK($C402),"",IF(ISNUMBER($I402),IF($I402&gt;=0,$I402,""),""))</f>
        <v/>
      </c>
      <c r="AM402" s="100" t="str">
        <f aca="false">IF(ISBLANK($C402),"",IF(ISNUMBER($J402),IF($J402&gt;=0,$J402,""),""))</f>
        <v/>
      </c>
      <c r="AN402" s="100" t="str">
        <f aca="false">IF(ISBLANK($C402),"",IF(ISNUMBER($K402),IF($K402&gt;=0,$K402,""),""))</f>
        <v/>
      </c>
      <c r="AO402" s="100" t="str">
        <f aca="false">IF(ISBLANK($C402),"",IF($L402=Constants!$B$2,TRUE(),IF($L402=Constants!$B$3,FALSE(),TRUE())))</f>
        <v/>
      </c>
      <c r="AP402" s="100" t="str">
        <f aca="false">IF(ISBLANK($C402),"",IF($M402=Constants!$B$2,TRUE(),IF($M402=Constants!$B$3,FALSE(),TRUE())))</f>
        <v/>
      </c>
      <c r="AQ402" s="100" t="str">
        <f aca="false">IF(ISBLANK($C402),"",IF($N402=Constants!$B$2,TRUE(),IF($N402=Constants!$B$3,FALSE(),FALSE())))</f>
        <v/>
      </c>
      <c r="AR402" s="100" t="str">
        <f aca="false">IF(ISBLANK($C402),"",IF($O402=Constants!$B$2,TRUE(),IF($O402=Constants!$B$3,FALSE(),TRUE())))</f>
        <v/>
      </c>
      <c r="AS402" s="100" t="str">
        <f aca="false">IF(ISBLANK($C402),"",IF($P402=Constants!$B$2,TRUE(),IF($P402=Constants!$B$3,FALSE(),FALSE())))</f>
        <v/>
      </c>
      <c r="AT402" s="100" t="str">
        <f aca="false">IF(ISBLANK($C402),"",IF($Q402=Constants!$B$2,TRUE(),IF($Q402=Constants!$B$3,FALSE(),FALSE())))</f>
        <v/>
      </c>
      <c r="AU402" s="100" t="str">
        <f aca="false">IF(ISBLANK($C402),"",IF($R402=Constants!$B$2,TRUE(),IF($R402=Constants!$B$3,FALSE(),FALSE())))</f>
        <v/>
      </c>
      <c r="AV402" s="100" t="str">
        <f aca="false">IF(ISBLANK($C402),"",IF($S402=Constants!$B$2,TRUE(),IF($S402=Constants!$B$3,FALSE(),FALSE())))</f>
        <v/>
      </c>
      <c r="AW402" s="100" t="str">
        <f aca="false">IF(ISBLANK($C402),"",IF($T402=Constants!$B$2,TRUE(),IF($T402=Constants!$B$3,FALSE(),FALSE())))</f>
        <v/>
      </c>
      <c r="AX402" s="100" t="str">
        <f aca="false">IF(ISBLANK($C402),"",IF(OR($U402&amp;""="1",$U402&amp;""="2",$U402&amp;""="3",$U402&amp;""="4"),VALUE($U402&amp;""),IF($U402=Constants!$B$12,Constants!$B$12,"")))</f>
        <v/>
      </c>
      <c r="AY402" s="100" t="str">
        <f aca="false">IF(ISBLANK($C402),"",IF(ISBLANK($V402),0,IF(ISNUMBER($V402),IF(AND($V402&gt;=0,$V402&lt;=Constants!$B$21,$V402=INT($V402)),$V402,""),"")))</f>
        <v/>
      </c>
      <c r="AZ402" s="100" t="str">
        <f aca="false">IF(ISBLANK($C402),"",IF(ISBLANK($W402),0,IF(ISNUMBER($W402),IF($W402&gt;=0,$W402,""),"")))</f>
        <v/>
      </c>
      <c r="BA402" s="100" t="str">
        <f aca="false">IF(ISBLANK($C402),"",IF($X402=Constants!$B$2,TRUE(),IF($X402=Constants!$B$3,FALSE(),TRUE())))</f>
        <v/>
      </c>
      <c r="BB402" s="100" t="str">
        <f aca="false">IF(ISBLANK($C402),"",IF($Y402=Constants!$B$2,TRUE(),IF($Y402=Constants!$B$3,FALSE(),FALSE())))</f>
        <v/>
      </c>
      <c r="BC402" s="100" t="str">
        <f aca="false">IF(ISBLANK($C402),"",IF(ISBLANK($Z402),0,IF(ISNUMBER($Z402),IF(AND($Z402&gt;=0,$Z402&lt;=Constants!$B$35,$Z402=INT($Z402)),$Z402,""),"")))</f>
        <v/>
      </c>
      <c r="BD402" s="100" t="str">
        <f aca="false">IF(ISBLANK($C402),"",IF($AA402=Constants!$B$2,TRUE(),IF($AA402=Constants!$B$3,FALSE(),TRUE())))</f>
        <v/>
      </c>
      <c r="BE402" s="100" t="str">
        <f aca="false">IF(ISBLANK($C402),"",IF($AB402=Constants!$B$2,TRUE(),IF($AB402=Constants!$B$3,FALSE(),TRUE())))</f>
        <v/>
      </c>
      <c r="BF402" s="100" t="str">
        <f aca="false">IF(ISBLANK($C402),"",IF(ISNUMBER($AC402),IF($AC402&gt;=0,$AC402,""),""))</f>
        <v/>
      </c>
      <c r="BG402" s="100" t="str">
        <f aca="false">IF(ISBLANK($C402),"",IF($AD402=Constants!$B$2,TRUE(),IF($AD402=Constants!$B$3,FALSE(),FALSE())))</f>
        <v/>
      </c>
      <c r="BH402" s="99" t="str">
        <f aca="false">IF(ISBLANK($C402),"",IF($BG402,Constants!$B$7,IF(COUNTA($E402:$AC402)=0,Constants!$B$6,IF(OR(COUNTA($G402:$AC402)=0,NOT($AK402),$AQ402),Constants!$B$5,IF(OR($CI402&lt;&gt;"",$CJ402,$CK402,$CL402,$CM402,$CN402,$CO402),Constants!$B$8,Constants!$B$4)))))</f>
        <v/>
      </c>
      <c r="BI402" s="100" t="str">
        <f aca="false">IF(ISBLANK($C402),"",IF($BH402&lt;&gt;Constants!$B$4,$BH402,IF(OR(NOT($AH402),NOT($AJ402),NOT($AR402)),Constants!$B$11,IF(OR(NOT($AP402),MAX($AL402,$AM402,$AN402)&gt;Constants!$B$30),Constants!$B$10,Constants!$B$9))))</f>
        <v/>
      </c>
      <c r="BJ402" s="100" t="str">
        <f aca="false">IF($BH402&lt;&gt;Constants!$B$4,"",IF(NOT($AJ402),0,MIN(Constants!$B$35,$BC402)))</f>
        <v/>
      </c>
      <c r="BK402" s="100" t="str">
        <f aca="false">IF($BH402&lt;&gt;Constants!$B$4,"",IF(NOT($AJ402),0,IF($AT402,Constants!$B$18,IF($AS402,Constants!$B$17,0))))</f>
        <v/>
      </c>
      <c r="BL402" s="100" t="str">
        <f aca="false">IF($BH402&lt;&gt;Constants!$B$4,"",IF(NOT($AJ402),0,Constants!$B$19*($AI402+$AU402+$AV402+$AW402)))</f>
        <v/>
      </c>
      <c r="BM402" s="100" t="str">
        <f aca="false">IF($BH402&lt;&gt;Constants!$B$4,"",IF(OR(NOT($AJ402),NOT(ISNUMBER($AX402))),0,CHOOSE($AX402,Constants!$B$13,Constants!$B$14,Constants!$B$15,Constants!$B$16)))</f>
        <v/>
      </c>
      <c r="BN402" s="100" t="str">
        <f aca="false">IF($BH402&lt;&gt;Constants!$B$4,"",IF(NOT($AJ402),0,Constants!$B$20*$AY402))</f>
        <v/>
      </c>
      <c r="BO402" s="100" t="str">
        <f aca="false">IF($BH402&lt;&gt;Constants!$B$4,"",IF(AND($AJ402,$BA402,$BB402),Constants!$B$22,0))</f>
        <v/>
      </c>
      <c r="BP402" s="100" t="str">
        <f aca="false">IF($BH402&lt;&gt;Constants!$B$4,"",IF(OR(NOT($AJ402),NOT($BA402)),0,IF($BF402&gt;=2*$AF$9,0,Constants!$B$23*INT(ROUND(MIN($BF402,$AF$9),6)))))</f>
        <v/>
      </c>
      <c r="BQ402" s="100" t="str">
        <f aca="false">IF($BH402&lt;&gt;Constants!$B$4,"",IF(NOT($AJ402),0,Constants!$B$24*INT(ROUND(MIN($AZ402,$AF$9),6))))</f>
        <v/>
      </c>
      <c r="BR402" s="100" t="str">
        <f aca="false">IF($BH402&lt;&gt;Constants!$B$4,"",IF(AND($AJ402,$BJ402=0),Constants!$B$25,0))</f>
        <v/>
      </c>
      <c r="BS402" s="100" t="str">
        <f aca="false">IF($BH402&lt;&gt;Constants!$B$4,"",MIN(Constants!$B$29,MAX(0,Constants!$B$27*Constants!$B$28*INT(ROUND((Constants!$B$26-$AL402)/Constants!$B$28,6))))+MIN(Constants!$B$29,MAX(0,Constants!$B$27*Constants!$B$28*INT(ROUND((Constants!$B$26-$AM402)/Constants!$B$28,6))))+MIN(Constants!$B$29,MAX(0,Constants!$B$27*Constants!$B$28*INT(ROUND((Constants!$B$26-$AN402)/Constants!$B$28,6)))))</f>
        <v/>
      </c>
      <c r="BT402" s="100" t="str">
        <f aca="false">IF($BH402&lt;&gt;Constants!$B$4,"",IF(NOT($AJ402),0,Constants!$B$31*INT(ROUND(MAX(0,MIN($BF402,2*$AF$9)-$AF$9),6))))</f>
        <v/>
      </c>
      <c r="BU402" s="100" t="str">
        <f aca="false">IF($BH402&lt;&gt;Constants!$B$4,"",Constants!$B$32*(($AL402&gt;Constants!$B$26)+($AM402&gt;Constants!$B$26)+($AN402&gt;Constants!$B$26)))</f>
        <v/>
      </c>
      <c r="BV402" s="100" t="str">
        <f aca="false">IF($BH402&lt;&gt;Constants!$B$4,"",IF(OR(NOT($AJ402),$AO402),0,Constants!$B$33))</f>
        <v/>
      </c>
      <c r="BW402" s="100" t="str">
        <f aca="false">IF($BH402&lt;&gt;Constants!$B$4,"",Constants!$B$34*$BJ402)</f>
        <v/>
      </c>
      <c r="BX402" s="100" t="str">
        <f aca="false">IF($BH402&lt;&gt;Constants!$B$4,"",IF(OR(NOT($AJ402),$BE402),0,Constants!$B$36))</f>
        <v/>
      </c>
      <c r="BY402" s="100" t="str">
        <f aca="false">IF($BH402&lt;&gt;Constants!$B$4,"",IF(OR(NOT($AJ402),$BD402),0,Constants!$B$37))</f>
        <v/>
      </c>
      <c r="BZ402" s="100" t="str">
        <f aca="false">IF($BH402&lt;&gt;Constants!$B$4,"",SUM($BT402:$BY402))</f>
        <v/>
      </c>
      <c r="CA402" s="100" t="str">
        <f aca="false">IF(ISBLANK($C402),"",IF($BH402&lt;&gt;Constants!$B$4,$BH402,SUM($BK402:$BS402)-$BZ402))</f>
        <v/>
      </c>
      <c r="CB402" s="100" t="str">
        <f aca="false">IF(ISBLANK($C402),"",IF($BH402&lt;&gt;Constants!$B$4,$BH402,RANK($CA402,$CA$9:$CA$508)))</f>
        <v/>
      </c>
      <c r="CC402" s="100" t="str">
        <f aca="false">IF(ISBLANK($C402),"",IF($BH402&lt;&gt;Constants!$B$4,$BH402,COUNTIFS($BI$9:$BI$508,"&lt;"&amp;$BI402)+COUNTIFS($BI$9:$BI$508,$BI402,$CB$9:$CB$508,"&lt;"&amp;$CB402)+1))</f>
        <v/>
      </c>
      <c r="CD402" s="100" t="str">
        <f aca="false">IF(ISBLANK($C402),"",IF($BH402&lt;&gt;Constants!$B$4,$BH402,RANK($BZ402,$BZ$9:$BZ$508,1)))</f>
        <v/>
      </c>
      <c r="CE402" s="100" t="str">
        <f aca="false">IF($BH402&lt;&gt;Constants!$B$4,"",$AL402+$AM402+$AN402)</f>
        <v/>
      </c>
      <c r="CF402" s="100" t="str">
        <f aca="false">IF(ISBLANK($C402),"",IF($BH402&lt;&gt;Constants!$B$4,$BH402,RANK($CE402,$CE$9:$CE$508,1)))</f>
        <v/>
      </c>
      <c r="CG402" s="100" t="str">
        <f aca="false">IF(ISBLANK($C402),"",IF($BH402&lt;&gt;Constants!$B$4,$BH402,COUNTIFS($BI$9:$BI$508,"&lt;"&amp;$BI402)+COUNTIFS($BI$9:$BI$508,$BI402,$CB$9:$CB$508,"&lt;"&amp;$CB402)+COUNTIFS($BI$9:$BI$508,$BI402,$CB$9:$CB$508,$CB402,$CD$9:$CD$508,"&lt;"&amp;$CD402)+COUNTIFS($BI$9:$BI$508,$BI402,$CB$9:$CB$508,$CB402,$CD$9:$CD$508,$CD402,$CF$9:$CF$508,"&lt;"&amp;$CF402)+1))</f>
        <v/>
      </c>
      <c r="CH402" s="100" t="str">
        <f aca="false">IF(ISBLANK($C402),"",IF($BH402&lt;&gt;Constants!$B$4,$BH402,$CC402-$CG402))</f>
        <v/>
      </c>
      <c r="CI402" s="100" t="str">
        <f aca="false">IF(ISBLANK($C402),"",IF(NOT($AJ402),"",IF(ISBLANK($D$7),$CI$5,IF(NOT(ISNUMBER($D$7)),$CI$6,""))))</f>
        <v/>
      </c>
      <c r="CJ402" s="100" t="str">
        <f aca="false">IF(ISBLANK($C402),"",OR($AL402="",$AM402="",$AN402=""))</f>
        <v/>
      </c>
      <c r="CK402" s="100" t="str">
        <f aca="false">IF(ISBLANK($C402),"",AND($AJ402,$AX402=""))</f>
        <v/>
      </c>
      <c r="CL402" s="100" t="str">
        <f aca="false">IF(ISBLANK($C402),"",AND($AJ402,$AY402=""))</f>
        <v/>
      </c>
      <c r="CM402" s="100" t="str">
        <f aca="false">IF(ISBLANK($C402),"",AND($AJ402,$AZ402=""))</f>
        <v/>
      </c>
      <c r="CN402" s="100" t="str">
        <f aca="false">IF(ISBLANK($C402),"",AND($AJ402,$BC402=""))</f>
        <v/>
      </c>
      <c r="CO402" s="100" t="str">
        <f aca="false">IF(ISBLANK($C402),"",AND($AJ402,$BF402=""))</f>
        <v/>
      </c>
      <c r="CP402" s="101"/>
      <c r="CQ402" s="102"/>
      <c r="CR402" s="103" t="str">
        <f aca="false">IF(ISBLANK($C402),"",IF($BH402=Constants!$B$8,$CI402,""))</f>
        <v/>
      </c>
      <c r="CS402" s="102" t="str">
        <f aca="false">IF(ISBLANK($C402),"",IF($BH402&lt;&gt;Constants!$B$4,"",$BK402+$BL402))</f>
        <v/>
      </c>
      <c r="CT402" s="104" t="str">
        <f aca="false">IF(ISBLANK($C402),"",IF($BH402&lt;&gt;Constants!$B$4,"",$BM402+$BN402+$BO402))</f>
        <v/>
      </c>
      <c r="CU402" s="104" t="str">
        <f aca="false">IF(ISBLANK($C402),"",IF($BH402&lt;&gt;Constants!$B$4,"",$BP402))</f>
        <v/>
      </c>
      <c r="CV402" s="104" t="str">
        <f aca="false">IF(ISBLANK($C402),"",IF($BH402&lt;&gt;Constants!$B$4,"",$BQ402+$BR402))</f>
        <v/>
      </c>
      <c r="CW402" s="104" t="str">
        <f aca="false">IF(ISBLANK($C402),"",IF($BH402&lt;&gt;Constants!$B$4,"",$BS402))</f>
        <v/>
      </c>
      <c r="CX402" s="104" t="str">
        <f aca="false">IF(ISBLANK($C402),"",IF($BH402&lt;&gt;Constants!$B$4,"",-$BZ402))</f>
        <v/>
      </c>
      <c r="CY402" s="103" t="str">
        <f aca="false">IF(ISBLANK($C402),"",$CA402)</f>
        <v/>
      </c>
      <c r="CZ402" s="105" t="str">
        <f aca="false">IF(ISBLANK($C402),"",$BI402)</f>
        <v/>
      </c>
      <c r="DA402" s="104" t="str">
        <f aca="false">IF(ISBLANK($C402),"",$CH402)</f>
        <v/>
      </c>
      <c r="DB402" s="104" t="str">
        <f aca="false">IF(ISBLANK($C402),"",$CG402)</f>
        <v/>
      </c>
      <c r="DC402" s="106" t="str">
        <f aca="false">IF(ISBLANK($C402),"",IFERROR(_xlfn.SWITCH($DB402,Constants!$B$7,COUNTA($C$9:$C$508)+2,Constants!$B$6,COUNTA($C$9:$C$508)+1,Constants!$B$5,COUNTA($C$9:$C$508)),$DB402))</f>
        <v/>
      </c>
      <c r="DD402" s="7"/>
      <c r="DE402" s="107" t="n">
        <f aca="false">IF(OR(ISNUMBER($DB402),$DB402=Constants!$B$7,$DB402=Constants!$B$5,$DB402=Constants!$B$6),1,0)</f>
        <v>0</v>
      </c>
      <c r="DF402" s="107" t="n">
        <v>394</v>
      </c>
      <c r="DG402" s="107" t="str">
        <f aca="false">IF(ISBLANK($C402),"",IF(ISNUMBER($DC402),$DC402+ROW($B402)/1000,""))</f>
        <v/>
      </c>
      <c r="DH402" s="107" t="str">
        <f aca="false">IF(ISNUMBER($DG402),RANK($DG402,$DG$9:$DG$508,1),"")</f>
        <v/>
      </c>
      <c r="DI402" s="107" t="str">
        <f aca="false">IF(ISBLANK($C402),"",$B402)</f>
        <v/>
      </c>
      <c r="DJ402" s="107" t="str">
        <f aca="false">IF(ISBLANK($C402),"",$C402)</f>
        <v/>
      </c>
      <c r="DK402" s="107" t="str">
        <f aca="false">IF(ISBLANK($C402),"",$D402)</f>
        <v/>
      </c>
      <c r="DL402" s="108" t="str">
        <f aca="false">$CZ402</f>
        <v/>
      </c>
      <c r="DM402" s="109" t="str">
        <f aca="false">$CY402</f>
        <v/>
      </c>
      <c r="DN402" s="107" t="str">
        <f aca="false">IF(ISBLANK($C402),"",$DB402)</f>
        <v/>
      </c>
      <c r="DO402" s="110" t="str">
        <f aca="false">IF($DF402&gt;$DE$8,"",VLOOKUP($DF402,$DH$9:$DN$508,7,FALSE()))</f>
        <v/>
      </c>
      <c r="DP402" s="111" t="str">
        <f aca="false">IF($DF402&gt;$DE$8,"",VLOOKUP($DF402,$DH$9:$DN$508,2,FALSE()))</f>
        <v/>
      </c>
      <c r="DQ402" s="111" t="str">
        <f aca="false">IF($DF402&gt;$DE$8,"",VLOOKUP($DF402,$DH$9:$DN$508,3,FALSE()))</f>
        <v/>
      </c>
      <c r="DR402" s="111" t="str">
        <f aca="false">IF($DF402&gt;$DE$8,"",VLOOKUP($DF402,$DH$9:$DN$508,4,FALSE()))</f>
        <v/>
      </c>
      <c r="DS402" s="111" t="str">
        <f aca="false">IF($DF402&gt;$DE$8,"",VLOOKUP($DF402,$DH$9:$DN$508,5,FALSE()))</f>
        <v/>
      </c>
      <c r="DT402" s="112" t="str">
        <f aca="false">IF($DF402&gt;$DE$8,"",VLOOKUP($DF402,$DH$9:$DN$508,6,FALSE()))</f>
        <v/>
      </c>
      <c r="DU402" s="62"/>
    </row>
    <row r="403" customFormat="false" ht="15.75" hidden="false" customHeight="false" outlineLevel="0" collapsed="false">
      <c r="A403" s="7"/>
      <c r="B403" s="90"/>
      <c r="C403" s="91"/>
      <c r="D403" s="126"/>
      <c r="E403" s="130"/>
      <c r="F403" s="135"/>
      <c r="G403" s="130"/>
      <c r="H403" s="135"/>
      <c r="I403" s="131"/>
      <c r="J403" s="131"/>
      <c r="K403" s="131"/>
      <c r="L403" s="130"/>
      <c r="M403" s="130"/>
      <c r="N403" s="130"/>
      <c r="O403" s="135"/>
      <c r="P403" s="130"/>
      <c r="Q403" s="130"/>
      <c r="R403" s="130"/>
      <c r="S403" s="130"/>
      <c r="T403" s="135"/>
      <c r="U403" s="130"/>
      <c r="V403" s="96"/>
      <c r="W403" s="130"/>
      <c r="X403" s="130"/>
      <c r="Y403" s="96"/>
      <c r="Z403" s="96"/>
      <c r="AA403" s="130"/>
      <c r="AB403" s="130"/>
      <c r="AC403" s="97"/>
      <c r="AD403" s="130"/>
      <c r="AE403" s="99"/>
      <c r="AF403" s="100"/>
      <c r="AG403" s="100"/>
      <c r="AH403" s="100" t="str">
        <f aca="false">IF(ISBLANK($C403),"",IF($E403=Constants!$B$2,TRUE(),IF($E403=Constants!$B$3,FALSE(),TRUE())))</f>
        <v/>
      </c>
      <c r="AI403" s="100" t="str">
        <f aca="false">IF(ISBLANK($C403),"",IF($F403=Constants!$B$2,TRUE(),IF($F403=Constants!$B$3,FALSE(),FALSE())))</f>
        <v/>
      </c>
      <c r="AJ403" s="100" t="str">
        <f aca="false">IF(ISBLANK($C403),"",IF($G403=Constants!$B$2,TRUE(),IF($G403=Constants!$B$3,FALSE(),TRUE())))</f>
        <v/>
      </c>
      <c r="AK403" s="100" t="str">
        <f aca="false">IF(ISBLANK($C403),"",IF($H403=Constants!$B$2,TRUE(),IF($H403=Constants!$B$3,FALSE(),TRUE())))</f>
        <v/>
      </c>
      <c r="AL403" s="100" t="str">
        <f aca="false">IF(ISBLANK($C403),"",IF(ISNUMBER($I403),IF($I403&gt;=0,$I403,""),""))</f>
        <v/>
      </c>
      <c r="AM403" s="100" t="str">
        <f aca="false">IF(ISBLANK($C403),"",IF(ISNUMBER($J403),IF($J403&gt;=0,$J403,""),""))</f>
        <v/>
      </c>
      <c r="AN403" s="100" t="str">
        <f aca="false">IF(ISBLANK($C403),"",IF(ISNUMBER($K403),IF($K403&gt;=0,$K403,""),""))</f>
        <v/>
      </c>
      <c r="AO403" s="100" t="str">
        <f aca="false">IF(ISBLANK($C403),"",IF($L403=Constants!$B$2,TRUE(),IF($L403=Constants!$B$3,FALSE(),TRUE())))</f>
        <v/>
      </c>
      <c r="AP403" s="100" t="str">
        <f aca="false">IF(ISBLANK($C403),"",IF($M403=Constants!$B$2,TRUE(),IF($M403=Constants!$B$3,FALSE(),TRUE())))</f>
        <v/>
      </c>
      <c r="AQ403" s="100" t="str">
        <f aca="false">IF(ISBLANK($C403),"",IF($N403=Constants!$B$2,TRUE(),IF($N403=Constants!$B$3,FALSE(),FALSE())))</f>
        <v/>
      </c>
      <c r="AR403" s="100" t="str">
        <f aca="false">IF(ISBLANK($C403),"",IF($O403=Constants!$B$2,TRUE(),IF($O403=Constants!$B$3,FALSE(),TRUE())))</f>
        <v/>
      </c>
      <c r="AS403" s="100" t="str">
        <f aca="false">IF(ISBLANK($C403),"",IF($P403=Constants!$B$2,TRUE(),IF($P403=Constants!$B$3,FALSE(),FALSE())))</f>
        <v/>
      </c>
      <c r="AT403" s="100" t="str">
        <f aca="false">IF(ISBLANK($C403),"",IF($Q403=Constants!$B$2,TRUE(),IF($Q403=Constants!$B$3,FALSE(),FALSE())))</f>
        <v/>
      </c>
      <c r="AU403" s="100" t="str">
        <f aca="false">IF(ISBLANK($C403),"",IF($R403=Constants!$B$2,TRUE(),IF($R403=Constants!$B$3,FALSE(),FALSE())))</f>
        <v/>
      </c>
      <c r="AV403" s="100" t="str">
        <f aca="false">IF(ISBLANK($C403),"",IF($S403=Constants!$B$2,TRUE(),IF($S403=Constants!$B$3,FALSE(),FALSE())))</f>
        <v/>
      </c>
      <c r="AW403" s="100" t="str">
        <f aca="false">IF(ISBLANK($C403),"",IF($T403=Constants!$B$2,TRUE(),IF($T403=Constants!$B$3,FALSE(),FALSE())))</f>
        <v/>
      </c>
      <c r="AX403" s="100" t="str">
        <f aca="false">IF(ISBLANK($C403),"",IF(OR($U403&amp;""="1",$U403&amp;""="2",$U403&amp;""="3",$U403&amp;""="4"),VALUE($U403&amp;""),IF($U403=Constants!$B$12,Constants!$B$12,"")))</f>
        <v/>
      </c>
      <c r="AY403" s="100" t="str">
        <f aca="false">IF(ISBLANK($C403),"",IF(ISBLANK($V403),0,IF(ISNUMBER($V403),IF(AND($V403&gt;=0,$V403&lt;=Constants!$B$21,$V403=INT($V403)),$V403,""),"")))</f>
        <v/>
      </c>
      <c r="AZ403" s="100" t="str">
        <f aca="false">IF(ISBLANK($C403),"",IF(ISBLANK($W403),0,IF(ISNUMBER($W403),IF($W403&gt;=0,$W403,""),"")))</f>
        <v/>
      </c>
      <c r="BA403" s="100" t="str">
        <f aca="false">IF(ISBLANK($C403),"",IF($X403=Constants!$B$2,TRUE(),IF($X403=Constants!$B$3,FALSE(),TRUE())))</f>
        <v/>
      </c>
      <c r="BB403" s="100" t="str">
        <f aca="false">IF(ISBLANK($C403),"",IF($Y403=Constants!$B$2,TRUE(),IF($Y403=Constants!$B$3,FALSE(),FALSE())))</f>
        <v/>
      </c>
      <c r="BC403" s="100" t="str">
        <f aca="false">IF(ISBLANK($C403),"",IF(ISBLANK($Z403),0,IF(ISNUMBER($Z403),IF(AND($Z403&gt;=0,$Z403&lt;=Constants!$B$35,$Z403=INT($Z403)),$Z403,""),"")))</f>
        <v/>
      </c>
      <c r="BD403" s="100" t="str">
        <f aca="false">IF(ISBLANK($C403),"",IF($AA403=Constants!$B$2,TRUE(),IF($AA403=Constants!$B$3,FALSE(),TRUE())))</f>
        <v/>
      </c>
      <c r="BE403" s="100" t="str">
        <f aca="false">IF(ISBLANK($C403),"",IF($AB403=Constants!$B$2,TRUE(),IF($AB403=Constants!$B$3,FALSE(),TRUE())))</f>
        <v/>
      </c>
      <c r="BF403" s="100" t="str">
        <f aca="false">IF(ISBLANK($C403),"",IF(ISNUMBER($AC403),IF($AC403&gt;=0,$AC403,""),""))</f>
        <v/>
      </c>
      <c r="BG403" s="100" t="str">
        <f aca="false">IF(ISBLANK($C403),"",IF($AD403=Constants!$B$2,TRUE(),IF($AD403=Constants!$B$3,FALSE(),FALSE())))</f>
        <v/>
      </c>
      <c r="BH403" s="99" t="str">
        <f aca="false">IF(ISBLANK($C403),"",IF($BG403,Constants!$B$7,IF(COUNTA($E403:$AC403)=0,Constants!$B$6,IF(OR(COUNTA($G403:$AC403)=0,NOT($AK403),$AQ403),Constants!$B$5,IF(OR($CI403&lt;&gt;"",$CJ403,$CK403,$CL403,$CM403,$CN403,$CO403),Constants!$B$8,Constants!$B$4)))))</f>
        <v/>
      </c>
      <c r="BI403" s="100" t="str">
        <f aca="false">IF(ISBLANK($C403),"",IF($BH403&lt;&gt;Constants!$B$4,$BH403,IF(OR(NOT($AH403),NOT($AJ403),NOT($AR403)),Constants!$B$11,IF(OR(NOT($AP403),MAX($AL403,$AM403,$AN403)&gt;Constants!$B$30),Constants!$B$10,Constants!$B$9))))</f>
        <v/>
      </c>
      <c r="BJ403" s="100" t="str">
        <f aca="false">IF($BH403&lt;&gt;Constants!$B$4,"",IF(NOT($AJ403),0,MIN(Constants!$B$35,$BC403)))</f>
        <v/>
      </c>
      <c r="BK403" s="100" t="str">
        <f aca="false">IF($BH403&lt;&gt;Constants!$B$4,"",IF(NOT($AJ403),0,IF($AT403,Constants!$B$18,IF($AS403,Constants!$B$17,0))))</f>
        <v/>
      </c>
      <c r="BL403" s="100" t="str">
        <f aca="false">IF($BH403&lt;&gt;Constants!$B$4,"",IF(NOT($AJ403),0,Constants!$B$19*($AI403+$AU403+$AV403+$AW403)))</f>
        <v/>
      </c>
      <c r="BM403" s="100" t="str">
        <f aca="false">IF($BH403&lt;&gt;Constants!$B$4,"",IF(OR(NOT($AJ403),NOT(ISNUMBER($AX403))),0,CHOOSE($AX403,Constants!$B$13,Constants!$B$14,Constants!$B$15,Constants!$B$16)))</f>
        <v/>
      </c>
      <c r="BN403" s="100" t="str">
        <f aca="false">IF($BH403&lt;&gt;Constants!$B$4,"",IF(NOT($AJ403),0,Constants!$B$20*$AY403))</f>
        <v/>
      </c>
      <c r="BO403" s="100" t="str">
        <f aca="false">IF($BH403&lt;&gt;Constants!$B$4,"",IF(AND($AJ403,$BA403,$BB403),Constants!$B$22,0))</f>
        <v/>
      </c>
      <c r="BP403" s="100" t="str">
        <f aca="false">IF($BH403&lt;&gt;Constants!$B$4,"",IF(OR(NOT($AJ403),NOT($BA403)),0,IF($BF403&gt;=2*$AF$9,0,Constants!$B$23*INT(ROUND(MIN($BF403,$AF$9),6)))))</f>
        <v/>
      </c>
      <c r="BQ403" s="100" t="str">
        <f aca="false">IF($BH403&lt;&gt;Constants!$B$4,"",IF(NOT($AJ403),0,Constants!$B$24*INT(ROUND(MIN($AZ403,$AF$9),6))))</f>
        <v/>
      </c>
      <c r="BR403" s="100" t="str">
        <f aca="false">IF($BH403&lt;&gt;Constants!$B$4,"",IF(AND($AJ403,$BJ403=0),Constants!$B$25,0))</f>
        <v/>
      </c>
      <c r="BS403" s="100" t="str">
        <f aca="false">IF($BH403&lt;&gt;Constants!$B$4,"",MIN(Constants!$B$29,MAX(0,Constants!$B$27*Constants!$B$28*INT(ROUND((Constants!$B$26-$AL403)/Constants!$B$28,6))))+MIN(Constants!$B$29,MAX(0,Constants!$B$27*Constants!$B$28*INT(ROUND((Constants!$B$26-$AM403)/Constants!$B$28,6))))+MIN(Constants!$B$29,MAX(0,Constants!$B$27*Constants!$B$28*INT(ROUND((Constants!$B$26-$AN403)/Constants!$B$28,6)))))</f>
        <v/>
      </c>
      <c r="BT403" s="100" t="str">
        <f aca="false">IF($BH403&lt;&gt;Constants!$B$4,"",IF(NOT($AJ403),0,Constants!$B$31*INT(ROUND(MAX(0,MIN($BF403,2*$AF$9)-$AF$9),6))))</f>
        <v/>
      </c>
      <c r="BU403" s="100" t="str">
        <f aca="false">IF($BH403&lt;&gt;Constants!$B$4,"",Constants!$B$32*(($AL403&gt;Constants!$B$26)+($AM403&gt;Constants!$B$26)+($AN403&gt;Constants!$B$26)))</f>
        <v/>
      </c>
      <c r="BV403" s="100" t="str">
        <f aca="false">IF($BH403&lt;&gt;Constants!$B$4,"",IF(OR(NOT($AJ403),$AO403),0,Constants!$B$33))</f>
        <v/>
      </c>
      <c r="BW403" s="100" t="str">
        <f aca="false">IF($BH403&lt;&gt;Constants!$B$4,"",Constants!$B$34*$BJ403)</f>
        <v/>
      </c>
      <c r="BX403" s="100" t="str">
        <f aca="false">IF($BH403&lt;&gt;Constants!$B$4,"",IF(OR(NOT($AJ403),$BE403),0,Constants!$B$36))</f>
        <v/>
      </c>
      <c r="BY403" s="100" t="str">
        <f aca="false">IF($BH403&lt;&gt;Constants!$B$4,"",IF(OR(NOT($AJ403),$BD403),0,Constants!$B$37))</f>
        <v/>
      </c>
      <c r="BZ403" s="100" t="str">
        <f aca="false">IF($BH403&lt;&gt;Constants!$B$4,"",SUM($BT403:$BY403))</f>
        <v/>
      </c>
      <c r="CA403" s="100" t="str">
        <f aca="false">IF(ISBLANK($C403),"",IF($BH403&lt;&gt;Constants!$B$4,$BH403,SUM($BK403:$BS403)-$BZ403))</f>
        <v/>
      </c>
      <c r="CB403" s="100" t="str">
        <f aca="false">IF(ISBLANK($C403),"",IF($BH403&lt;&gt;Constants!$B$4,$BH403,RANK($CA403,$CA$9:$CA$508)))</f>
        <v/>
      </c>
      <c r="CC403" s="100" t="str">
        <f aca="false">IF(ISBLANK($C403),"",IF($BH403&lt;&gt;Constants!$B$4,$BH403,COUNTIFS($BI$9:$BI$508,"&lt;"&amp;$BI403)+COUNTIFS($BI$9:$BI$508,$BI403,$CB$9:$CB$508,"&lt;"&amp;$CB403)+1))</f>
        <v/>
      </c>
      <c r="CD403" s="100" t="str">
        <f aca="false">IF(ISBLANK($C403),"",IF($BH403&lt;&gt;Constants!$B$4,$BH403,RANK($BZ403,$BZ$9:$BZ$508,1)))</f>
        <v/>
      </c>
      <c r="CE403" s="100" t="str">
        <f aca="false">IF($BH403&lt;&gt;Constants!$B$4,"",$AL403+$AM403+$AN403)</f>
        <v/>
      </c>
      <c r="CF403" s="100" t="str">
        <f aca="false">IF(ISBLANK($C403),"",IF($BH403&lt;&gt;Constants!$B$4,$BH403,RANK($CE403,$CE$9:$CE$508,1)))</f>
        <v/>
      </c>
      <c r="CG403" s="100" t="str">
        <f aca="false">IF(ISBLANK($C403),"",IF($BH403&lt;&gt;Constants!$B$4,$BH403,COUNTIFS($BI$9:$BI$508,"&lt;"&amp;$BI403)+COUNTIFS($BI$9:$BI$508,$BI403,$CB$9:$CB$508,"&lt;"&amp;$CB403)+COUNTIFS($BI$9:$BI$508,$BI403,$CB$9:$CB$508,$CB403,$CD$9:$CD$508,"&lt;"&amp;$CD403)+COUNTIFS($BI$9:$BI$508,$BI403,$CB$9:$CB$508,$CB403,$CD$9:$CD$508,$CD403,$CF$9:$CF$508,"&lt;"&amp;$CF403)+1))</f>
        <v/>
      </c>
      <c r="CH403" s="100" t="str">
        <f aca="false">IF(ISBLANK($C403),"",IF($BH403&lt;&gt;Constants!$B$4,$BH403,$CC403-$CG403))</f>
        <v/>
      </c>
      <c r="CI403" s="100" t="str">
        <f aca="false">IF(ISBLANK($C403),"",IF(NOT($AJ403),"",IF(ISBLANK($D$7),$CI$5,IF(NOT(ISNUMBER($D$7)),$CI$6,""))))</f>
        <v/>
      </c>
      <c r="CJ403" s="100" t="str">
        <f aca="false">IF(ISBLANK($C403),"",OR($AL403="",$AM403="",$AN403=""))</f>
        <v/>
      </c>
      <c r="CK403" s="100" t="str">
        <f aca="false">IF(ISBLANK($C403),"",AND($AJ403,$AX403=""))</f>
        <v/>
      </c>
      <c r="CL403" s="100" t="str">
        <f aca="false">IF(ISBLANK($C403),"",AND($AJ403,$AY403=""))</f>
        <v/>
      </c>
      <c r="CM403" s="100" t="str">
        <f aca="false">IF(ISBLANK($C403),"",AND($AJ403,$AZ403=""))</f>
        <v/>
      </c>
      <c r="CN403" s="100" t="str">
        <f aca="false">IF(ISBLANK($C403),"",AND($AJ403,$BC403=""))</f>
        <v/>
      </c>
      <c r="CO403" s="100" t="str">
        <f aca="false">IF(ISBLANK($C403),"",AND($AJ403,$BF403=""))</f>
        <v/>
      </c>
      <c r="CP403" s="101"/>
      <c r="CQ403" s="102"/>
      <c r="CR403" s="103" t="str">
        <f aca="false">IF(ISBLANK($C403),"",IF($BH403=Constants!$B$8,$CI403,""))</f>
        <v/>
      </c>
      <c r="CS403" s="102" t="str">
        <f aca="false">IF(ISBLANK($C403),"",IF($BH403&lt;&gt;Constants!$B$4,"",$BK403+$BL403))</f>
        <v/>
      </c>
      <c r="CT403" s="104" t="str">
        <f aca="false">IF(ISBLANK($C403),"",IF($BH403&lt;&gt;Constants!$B$4,"",$BM403+$BN403+$BO403))</f>
        <v/>
      </c>
      <c r="CU403" s="104" t="str">
        <f aca="false">IF(ISBLANK($C403),"",IF($BH403&lt;&gt;Constants!$B$4,"",$BP403))</f>
        <v/>
      </c>
      <c r="CV403" s="104" t="str">
        <f aca="false">IF(ISBLANK($C403),"",IF($BH403&lt;&gt;Constants!$B$4,"",$BQ403+$BR403))</f>
        <v/>
      </c>
      <c r="CW403" s="104" t="str">
        <f aca="false">IF(ISBLANK($C403),"",IF($BH403&lt;&gt;Constants!$B$4,"",$BS403))</f>
        <v/>
      </c>
      <c r="CX403" s="104" t="str">
        <f aca="false">IF(ISBLANK($C403),"",IF($BH403&lt;&gt;Constants!$B$4,"",-$BZ403))</f>
        <v/>
      </c>
      <c r="CY403" s="103" t="str">
        <f aca="false">IF(ISBLANK($C403),"",$CA403)</f>
        <v/>
      </c>
      <c r="CZ403" s="105" t="str">
        <f aca="false">IF(ISBLANK($C403),"",$BI403)</f>
        <v/>
      </c>
      <c r="DA403" s="104" t="str">
        <f aca="false">IF(ISBLANK($C403),"",$CH403)</f>
        <v/>
      </c>
      <c r="DB403" s="104" t="str">
        <f aca="false">IF(ISBLANK($C403),"",$CG403)</f>
        <v/>
      </c>
      <c r="DC403" s="106" t="str">
        <f aca="false">IF(ISBLANK($C403),"",IFERROR(_xlfn.SWITCH($DB403,Constants!$B$7,COUNTA($C$9:$C$508)+2,Constants!$B$6,COUNTA($C$9:$C$508)+1,Constants!$B$5,COUNTA($C$9:$C$508)),$DB403))</f>
        <v/>
      </c>
      <c r="DD403" s="7"/>
      <c r="DE403" s="107" t="n">
        <f aca="false">IF(OR(ISNUMBER($DB403),$DB403=Constants!$B$7,$DB403=Constants!$B$5,$DB403=Constants!$B$6),1,0)</f>
        <v>0</v>
      </c>
      <c r="DF403" s="107" t="n">
        <v>395</v>
      </c>
      <c r="DG403" s="107" t="str">
        <f aca="false">IF(ISBLANK($C403),"",IF(ISNUMBER($DC403),$DC403+ROW($B403)/1000,""))</f>
        <v/>
      </c>
      <c r="DH403" s="107" t="str">
        <f aca="false">IF(ISNUMBER($DG403),RANK($DG403,$DG$9:$DG$508,1),"")</f>
        <v/>
      </c>
      <c r="DI403" s="107" t="str">
        <f aca="false">IF(ISBLANK($C403),"",$B403)</f>
        <v/>
      </c>
      <c r="DJ403" s="107" t="str">
        <f aca="false">IF(ISBLANK($C403),"",$C403)</f>
        <v/>
      </c>
      <c r="DK403" s="107" t="str">
        <f aca="false">IF(ISBLANK($C403),"",$D403)</f>
        <v/>
      </c>
      <c r="DL403" s="108" t="str">
        <f aca="false">$CZ403</f>
        <v/>
      </c>
      <c r="DM403" s="109" t="str">
        <f aca="false">$CY403</f>
        <v/>
      </c>
      <c r="DN403" s="107" t="str">
        <f aca="false">IF(ISBLANK($C403),"",$DB403)</f>
        <v/>
      </c>
      <c r="DO403" s="110" t="str">
        <f aca="false">IF($DF403&gt;$DE$8,"",VLOOKUP($DF403,$DH$9:$DN$508,7,FALSE()))</f>
        <v/>
      </c>
      <c r="DP403" s="111" t="str">
        <f aca="false">IF($DF403&gt;$DE$8,"",VLOOKUP($DF403,$DH$9:$DN$508,2,FALSE()))</f>
        <v/>
      </c>
      <c r="DQ403" s="111" t="str">
        <f aca="false">IF($DF403&gt;$DE$8,"",VLOOKUP($DF403,$DH$9:$DN$508,3,FALSE()))</f>
        <v/>
      </c>
      <c r="DR403" s="111" t="str">
        <f aca="false">IF($DF403&gt;$DE$8,"",VLOOKUP($DF403,$DH$9:$DN$508,4,FALSE()))</f>
        <v/>
      </c>
      <c r="DS403" s="111" t="str">
        <f aca="false">IF($DF403&gt;$DE$8,"",VLOOKUP($DF403,$DH$9:$DN$508,5,FALSE()))</f>
        <v/>
      </c>
      <c r="DT403" s="112" t="str">
        <f aca="false">IF($DF403&gt;$DE$8,"",VLOOKUP($DF403,$DH$9:$DN$508,6,FALSE()))</f>
        <v/>
      </c>
      <c r="DU403" s="62"/>
    </row>
    <row r="404" customFormat="false" ht="15.75" hidden="false" customHeight="false" outlineLevel="0" collapsed="false">
      <c r="A404" s="7"/>
      <c r="B404" s="90"/>
      <c r="C404" s="91"/>
      <c r="D404" s="126"/>
      <c r="E404" s="130"/>
      <c r="F404" s="135"/>
      <c r="G404" s="130"/>
      <c r="H404" s="135"/>
      <c r="I404" s="131"/>
      <c r="J404" s="131"/>
      <c r="K404" s="131"/>
      <c r="L404" s="130"/>
      <c r="M404" s="130"/>
      <c r="N404" s="130"/>
      <c r="O404" s="135"/>
      <c r="P404" s="130"/>
      <c r="Q404" s="130"/>
      <c r="R404" s="130"/>
      <c r="S404" s="130"/>
      <c r="T404" s="135"/>
      <c r="U404" s="130"/>
      <c r="V404" s="96"/>
      <c r="W404" s="130"/>
      <c r="X404" s="130"/>
      <c r="Y404" s="96"/>
      <c r="Z404" s="96"/>
      <c r="AA404" s="130"/>
      <c r="AB404" s="130"/>
      <c r="AC404" s="97"/>
      <c r="AD404" s="130"/>
      <c r="AE404" s="99"/>
      <c r="AF404" s="100"/>
      <c r="AG404" s="100"/>
      <c r="AH404" s="100" t="str">
        <f aca="false">IF(ISBLANK($C404),"",IF($E404=Constants!$B$2,TRUE(),IF($E404=Constants!$B$3,FALSE(),TRUE())))</f>
        <v/>
      </c>
      <c r="AI404" s="100" t="str">
        <f aca="false">IF(ISBLANK($C404),"",IF($F404=Constants!$B$2,TRUE(),IF($F404=Constants!$B$3,FALSE(),FALSE())))</f>
        <v/>
      </c>
      <c r="AJ404" s="100" t="str">
        <f aca="false">IF(ISBLANK($C404),"",IF($G404=Constants!$B$2,TRUE(),IF($G404=Constants!$B$3,FALSE(),TRUE())))</f>
        <v/>
      </c>
      <c r="AK404" s="100" t="str">
        <f aca="false">IF(ISBLANK($C404),"",IF($H404=Constants!$B$2,TRUE(),IF($H404=Constants!$B$3,FALSE(),TRUE())))</f>
        <v/>
      </c>
      <c r="AL404" s="100" t="str">
        <f aca="false">IF(ISBLANK($C404),"",IF(ISNUMBER($I404),IF($I404&gt;=0,$I404,""),""))</f>
        <v/>
      </c>
      <c r="AM404" s="100" t="str">
        <f aca="false">IF(ISBLANK($C404),"",IF(ISNUMBER($J404),IF($J404&gt;=0,$J404,""),""))</f>
        <v/>
      </c>
      <c r="AN404" s="100" t="str">
        <f aca="false">IF(ISBLANK($C404),"",IF(ISNUMBER($K404),IF($K404&gt;=0,$K404,""),""))</f>
        <v/>
      </c>
      <c r="AO404" s="100" t="str">
        <f aca="false">IF(ISBLANK($C404),"",IF($L404=Constants!$B$2,TRUE(),IF($L404=Constants!$B$3,FALSE(),TRUE())))</f>
        <v/>
      </c>
      <c r="AP404" s="100" t="str">
        <f aca="false">IF(ISBLANK($C404),"",IF($M404=Constants!$B$2,TRUE(),IF($M404=Constants!$B$3,FALSE(),TRUE())))</f>
        <v/>
      </c>
      <c r="AQ404" s="100" t="str">
        <f aca="false">IF(ISBLANK($C404),"",IF($N404=Constants!$B$2,TRUE(),IF($N404=Constants!$B$3,FALSE(),FALSE())))</f>
        <v/>
      </c>
      <c r="AR404" s="100" t="str">
        <f aca="false">IF(ISBLANK($C404),"",IF($O404=Constants!$B$2,TRUE(),IF($O404=Constants!$B$3,FALSE(),TRUE())))</f>
        <v/>
      </c>
      <c r="AS404" s="100" t="str">
        <f aca="false">IF(ISBLANK($C404),"",IF($P404=Constants!$B$2,TRUE(),IF($P404=Constants!$B$3,FALSE(),FALSE())))</f>
        <v/>
      </c>
      <c r="AT404" s="100" t="str">
        <f aca="false">IF(ISBLANK($C404),"",IF($Q404=Constants!$B$2,TRUE(),IF($Q404=Constants!$B$3,FALSE(),FALSE())))</f>
        <v/>
      </c>
      <c r="AU404" s="100" t="str">
        <f aca="false">IF(ISBLANK($C404),"",IF($R404=Constants!$B$2,TRUE(),IF($R404=Constants!$B$3,FALSE(),FALSE())))</f>
        <v/>
      </c>
      <c r="AV404" s="100" t="str">
        <f aca="false">IF(ISBLANK($C404),"",IF($S404=Constants!$B$2,TRUE(),IF($S404=Constants!$B$3,FALSE(),FALSE())))</f>
        <v/>
      </c>
      <c r="AW404" s="100" t="str">
        <f aca="false">IF(ISBLANK($C404),"",IF($T404=Constants!$B$2,TRUE(),IF($T404=Constants!$B$3,FALSE(),FALSE())))</f>
        <v/>
      </c>
      <c r="AX404" s="100" t="str">
        <f aca="false">IF(ISBLANK($C404),"",IF(OR($U404&amp;""="1",$U404&amp;""="2",$U404&amp;""="3",$U404&amp;""="4"),VALUE($U404&amp;""),IF($U404=Constants!$B$12,Constants!$B$12,"")))</f>
        <v/>
      </c>
      <c r="AY404" s="100" t="str">
        <f aca="false">IF(ISBLANK($C404),"",IF(ISBLANK($V404),0,IF(ISNUMBER($V404),IF(AND($V404&gt;=0,$V404&lt;=Constants!$B$21,$V404=INT($V404)),$V404,""),"")))</f>
        <v/>
      </c>
      <c r="AZ404" s="100" t="str">
        <f aca="false">IF(ISBLANK($C404),"",IF(ISBLANK($W404),0,IF(ISNUMBER($W404),IF($W404&gt;=0,$W404,""),"")))</f>
        <v/>
      </c>
      <c r="BA404" s="100" t="str">
        <f aca="false">IF(ISBLANK($C404),"",IF($X404=Constants!$B$2,TRUE(),IF($X404=Constants!$B$3,FALSE(),TRUE())))</f>
        <v/>
      </c>
      <c r="BB404" s="100" t="str">
        <f aca="false">IF(ISBLANK($C404),"",IF($Y404=Constants!$B$2,TRUE(),IF($Y404=Constants!$B$3,FALSE(),FALSE())))</f>
        <v/>
      </c>
      <c r="BC404" s="100" t="str">
        <f aca="false">IF(ISBLANK($C404),"",IF(ISBLANK($Z404),0,IF(ISNUMBER($Z404),IF(AND($Z404&gt;=0,$Z404&lt;=Constants!$B$35,$Z404=INT($Z404)),$Z404,""),"")))</f>
        <v/>
      </c>
      <c r="BD404" s="100" t="str">
        <f aca="false">IF(ISBLANK($C404),"",IF($AA404=Constants!$B$2,TRUE(),IF($AA404=Constants!$B$3,FALSE(),TRUE())))</f>
        <v/>
      </c>
      <c r="BE404" s="100" t="str">
        <f aca="false">IF(ISBLANK($C404),"",IF($AB404=Constants!$B$2,TRUE(),IF($AB404=Constants!$B$3,FALSE(),TRUE())))</f>
        <v/>
      </c>
      <c r="BF404" s="100" t="str">
        <f aca="false">IF(ISBLANK($C404),"",IF(ISNUMBER($AC404),IF($AC404&gt;=0,$AC404,""),""))</f>
        <v/>
      </c>
      <c r="BG404" s="100" t="str">
        <f aca="false">IF(ISBLANK($C404),"",IF($AD404=Constants!$B$2,TRUE(),IF($AD404=Constants!$B$3,FALSE(),FALSE())))</f>
        <v/>
      </c>
      <c r="BH404" s="99" t="str">
        <f aca="false">IF(ISBLANK($C404),"",IF($BG404,Constants!$B$7,IF(COUNTA($E404:$AC404)=0,Constants!$B$6,IF(OR(COUNTA($G404:$AC404)=0,NOT($AK404),$AQ404),Constants!$B$5,IF(OR($CI404&lt;&gt;"",$CJ404,$CK404,$CL404,$CM404,$CN404,$CO404),Constants!$B$8,Constants!$B$4)))))</f>
        <v/>
      </c>
      <c r="BI404" s="100" t="str">
        <f aca="false">IF(ISBLANK($C404),"",IF($BH404&lt;&gt;Constants!$B$4,$BH404,IF(OR(NOT($AH404),NOT($AJ404),NOT($AR404)),Constants!$B$11,IF(OR(NOT($AP404),MAX($AL404,$AM404,$AN404)&gt;Constants!$B$30),Constants!$B$10,Constants!$B$9))))</f>
        <v/>
      </c>
      <c r="BJ404" s="100" t="str">
        <f aca="false">IF($BH404&lt;&gt;Constants!$B$4,"",IF(NOT($AJ404),0,MIN(Constants!$B$35,$BC404)))</f>
        <v/>
      </c>
      <c r="BK404" s="100" t="str">
        <f aca="false">IF($BH404&lt;&gt;Constants!$B$4,"",IF(NOT($AJ404),0,IF($AT404,Constants!$B$18,IF($AS404,Constants!$B$17,0))))</f>
        <v/>
      </c>
      <c r="BL404" s="100" t="str">
        <f aca="false">IF($BH404&lt;&gt;Constants!$B$4,"",IF(NOT($AJ404),0,Constants!$B$19*($AI404+$AU404+$AV404+$AW404)))</f>
        <v/>
      </c>
      <c r="BM404" s="100" t="str">
        <f aca="false">IF($BH404&lt;&gt;Constants!$B$4,"",IF(OR(NOT($AJ404),NOT(ISNUMBER($AX404))),0,CHOOSE($AX404,Constants!$B$13,Constants!$B$14,Constants!$B$15,Constants!$B$16)))</f>
        <v/>
      </c>
      <c r="BN404" s="100" t="str">
        <f aca="false">IF($BH404&lt;&gt;Constants!$B$4,"",IF(NOT($AJ404),0,Constants!$B$20*$AY404))</f>
        <v/>
      </c>
      <c r="BO404" s="100" t="str">
        <f aca="false">IF($BH404&lt;&gt;Constants!$B$4,"",IF(AND($AJ404,$BA404,$BB404),Constants!$B$22,0))</f>
        <v/>
      </c>
      <c r="BP404" s="100" t="str">
        <f aca="false">IF($BH404&lt;&gt;Constants!$B$4,"",IF(OR(NOT($AJ404),NOT($BA404)),0,IF($BF404&gt;=2*$AF$9,0,Constants!$B$23*INT(ROUND(MIN($BF404,$AF$9),6)))))</f>
        <v/>
      </c>
      <c r="BQ404" s="100" t="str">
        <f aca="false">IF($BH404&lt;&gt;Constants!$B$4,"",IF(NOT($AJ404),0,Constants!$B$24*INT(ROUND(MIN($AZ404,$AF$9),6))))</f>
        <v/>
      </c>
      <c r="BR404" s="100" t="str">
        <f aca="false">IF($BH404&lt;&gt;Constants!$B$4,"",IF(AND($AJ404,$BJ404=0),Constants!$B$25,0))</f>
        <v/>
      </c>
      <c r="BS404" s="100" t="str">
        <f aca="false">IF($BH404&lt;&gt;Constants!$B$4,"",MIN(Constants!$B$29,MAX(0,Constants!$B$27*Constants!$B$28*INT(ROUND((Constants!$B$26-$AL404)/Constants!$B$28,6))))+MIN(Constants!$B$29,MAX(0,Constants!$B$27*Constants!$B$28*INT(ROUND((Constants!$B$26-$AM404)/Constants!$B$28,6))))+MIN(Constants!$B$29,MAX(0,Constants!$B$27*Constants!$B$28*INT(ROUND((Constants!$B$26-$AN404)/Constants!$B$28,6)))))</f>
        <v/>
      </c>
      <c r="BT404" s="100" t="str">
        <f aca="false">IF($BH404&lt;&gt;Constants!$B$4,"",IF(NOT($AJ404),0,Constants!$B$31*INT(ROUND(MAX(0,MIN($BF404,2*$AF$9)-$AF$9),6))))</f>
        <v/>
      </c>
      <c r="BU404" s="100" t="str">
        <f aca="false">IF($BH404&lt;&gt;Constants!$B$4,"",Constants!$B$32*(($AL404&gt;Constants!$B$26)+($AM404&gt;Constants!$B$26)+($AN404&gt;Constants!$B$26)))</f>
        <v/>
      </c>
      <c r="BV404" s="100" t="str">
        <f aca="false">IF($BH404&lt;&gt;Constants!$B$4,"",IF(OR(NOT($AJ404),$AO404),0,Constants!$B$33))</f>
        <v/>
      </c>
      <c r="BW404" s="100" t="str">
        <f aca="false">IF($BH404&lt;&gt;Constants!$B$4,"",Constants!$B$34*$BJ404)</f>
        <v/>
      </c>
      <c r="BX404" s="100" t="str">
        <f aca="false">IF($BH404&lt;&gt;Constants!$B$4,"",IF(OR(NOT($AJ404),$BE404),0,Constants!$B$36))</f>
        <v/>
      </c>
      <c r="BY404" s="100" t="str">
        <f aca="false">IF($BH404&lt;&gt;Constants!$B$4,"",IF(OR(NOT($AJ404),$BD404),0,Constants!$B$37))</f>
        <v/>
      </c>
      <c r="BZ404" s="100" t="str">
        <f aca="false">IF($BH404&lt;&gt;Constants!$B$4,"",SUM($BT404:$BY404))</f>
        <v/>
      </c>
      <c r="CA404" s="100" t="str">
        <f aca="false">IF(ISBLANK($C404),"",IF($BH404&lt;&gt;Constants!$B$4,$BH404,SUM($BK404:$BS404)-$BZ404))</f>
        <v/>
      </c>
      <c r="CB404" s="100" t="str">
        <f aca="false">IF(ISBLANK($C404),"",IF($BH404&lt;&gt;Constants!$B$4,$BH404,RANK($CA404,$CA$9:$CA$508)))</f>
        <v/>
      </c>
      <c r="CC404" s="100" t="str">
        <f aca="false">IF(ISBLANK($C404),"",IF($BH404&lt;&gt;Constants!$B$4,$BH404,COUNTIFS($BI$9:$BI$508,"&lt;"&amp;$BI404)+COUNTIFS($BI$9:$BI$508,$BI404,$CB$9:$CB$508,"&lt;"&amp;$CB404)+1))</f>
        <v/>
      </c>
      <c r="CD404" s="100" t="str">
        <f aca="false">IF(ISBLANK($C404),"",IF($BH404&lt;&gt;Constants!$B$4,$BH404,RANK($BZ404,$BZ$9:$BZ$508,1)))</f>
        <v/>
      </c>
      <c r="CE404" s="100" t="str">
        <f aca="false">IF($BH404&lt;&gt;Constants!$B$4,"",$AL404+$AM404+$AN404)</f>
        <v/>
      </c>
      <c r="CF404" s="100" t="str">
        <f aca="false">IF(ISBLANK($C404),"",IF($BH404&lt;&gt;Constants!$B$4,$BH404,RANK($CE404,$CE$9:$CE$508,1)))</f>
        <v/>
      </c>
      <c r="CG404" s="100" t="str">
        <f aca="false">IF(ISBLANK($C404),"",IF($BH404&lt;&gt;Constants!$B$4,$BH404,COUNTIFS($BI$9:$BI$508,"&lt;"&amp;$BI404)+COUNTIFS($BI$9:$BI$508,$BI404,$CB$9:$CB$508,"&lt;"&amp;$CB404)+COUNTIFS($BI$9:$BI$508,$BI404,$CB$9:$CB$508,$CB404,$CD$9:$CD$508,"&lt;"&amp;$CD404)+COUNTIFS($BI$9:$BI$508,$BI404,$CB$9:$CB$508,$CB404,$CD$9:$CD$508,$CD404,$CF$9:$CF$508,"&lt;"&amp;$CF404)+1))</f>
        <v/>
      </c>
      <c r="CH404" s="100" t="str">
        <f aca="false">IF(ISBLANK($C404),"",IF($BH404&lt;&gt;Constants!$B$4,$BH404,$CC404-$CG404))</f>
        <v/>
      </c>
      <c r="CI404" s="100" t="str">
        <f aca="false">IF(ISBLANK($C404),"",IF(NOT($AJ404),"",IF(ISBLANK($D$7),$CI$5,IF(NOT(ISNUMBER($D$7)),$CI$6,""))))</f>
        <v/>
      </c>
      <c r="CJ404" s="100" t="str">
        <f aca="false">IF(ISBLANK($C404),"",OR($AL404="",$AM404="",$AN404=""))</f>
        <v/>
      </c>
      <c r="CK404" s="100" t="str">
        <f aca="false">IF(ISBLANK($C404),"",AND($AJ404,$AX404=""))</f>
        <v/>
      </c>
      <c r="CL404" s="100" t="str">
        <f aca="false">IF(ISBLANK($C404),"",AND($AJ404,$AY404=""))</f>
        <v/>
      </c>
      <c r="CM404" s="100" t="str">
        <f aca="false">IF(ISBLANK($C404),"",AND($AJ404,$AZ404=""))</f>
        <v/>
      </c>
      <c r="CN404" s="100" t="str">
        <f aca="false">IF(ISBLANK($C404),"",AND($AJ404,$BC404=""))</f>
        <v/>
      </c>
      <c r="CO404" s="100" t="str">
        <f aca="false">IF(ISBLANK($C404),"",AND($AJ404,$BF404=""))</f>
        <v/>
      </c>
      <c r="CP404" s="101"/>
      <c r="CQ404" s="102"/>
      <c r="CR404" s="103" t="str">
        <f aca="false">IF(ISBLANK($C404),"",IF($BH404=Constants!$B$8,$CI404,""))</f>
        <v/>
      </c>
      <c r="CS404" s="102" t="str">
        <f aca="false">IF(ISBLANK($C404),"",IF($BH404&lt;&gt;Constants!$B$4,"",$BK404+$BL404))</f>
        <v/>
      </c>
      <c r="CT404" s="104" t="str">
        <f aca="false">IF(ISBLANK($C404),"",IF($BH404&lt;&gt;Constants!$B$4,"",$BM404+$BN404+$BO404))</f>
        <v/>
      </c>
      <c r="CU404" s="104" t="str">
        <f aca="false">IF(ISBLANK($C404),"",IF($BH404&lt;&gt;Constants!$B$4,"",$BP404))</f>
        <v/>
      </c>
      <c r="CV404" s="104" t="str">
        <f aca="false">IF(ISBLANK($C404),"",IF($BH404&lt;&gt;Constants!$B$4,"",$BQ404+$BR404))</f>
        <v/>
      </c>
      <c r="CW404" s="104" t="str">
        <f aca="false">IF(ISBLANK($C404),"",IF($BH404&lt;&gt;Constants!$B$4,"",$BS404))</f>
        <v/>
      </c>
      <c r="CX404" s="104" t="str">
        <f aca="false">IF(ISBLANK($C404),"",IF($BH404&lt;&gt;Constants!$B$4,"",-$BZ404))</f>
        <v/>
      </c>
      <c r="CY404" s="103" t="str">
        <f aca="false">IF(ISBLANK($C404),"",$CA404)</f>
        <v/>
      </c>
      <c r="CZ404" s="105" t="str">
        <f aca="false">IF(ISBLANK($C404),"",$BI404)</f>
        <v/>
      </c>
      <c r="DA404" s="104" t="str">
        <f aca="false">IF(ISBLANK($C404),"",$CH404)</f>
        <v/>
      </c>
      <c r="DB404" s="104" t="str">
        <f aca="false">IF(ISBLANK($C404),"",$CG404)</f>
        <v/>
      </c>
      <c r="DC404" s="106" t="str">
        <f aca="false">IF(ISBLANK($C404),"",IFERROR(_xlfn.SWITCH($DB404,Constants!$B$7,COUNTA($C$9:$C$508)+2,Constants!$B$6,COUNTA($C$9:$C$508)+1,Constants!$B$5,COUNTA($C$9:$C$508)),$DB404))</f>
        <v/>
      </c>
      <c r="DD404" s="7"/>
      <c r="DE404" s="107" t="n">
        <f aca="false">IF(OR(ISNUMBER($DB404),$DB404=Constants!$B$7,$DB404=Constants!$B$5,$DB404=Constants!$B$6),1,0)</f>
        <v>0</v>
      </c>
      <c r="DF404" s="107" t="n">
        <v>396</v>
      </c>
      <c r="DG404" s="107" t="str">
        <f aca="false">IF(ISBLANK($C404),"",IF(ISNUMBER($DC404),$DC404+ROW($B404)/1000,""))</f>
        <v/>
      </c>
      <c r="DH404" s="107" t="str">
        <f aca="false">IF(ISNUMBER($DG404),RANK($DG404,$DG$9:$DG$508,1),"")</f>
        <v/>
      </c>
      <c r="DI404" s="107" t="str">
        <f aca="false">IF(ISBLANK($C404),"",$B404)</f>
        <v/>
      </c>
      <c r="DJ404" s="107" t="str">
        <f aca="false">IF(ISBLANK($C404),"",$C404)</f>
        <v/>
      </c>
      <c r="DK404" s="107" t="str">
        <f aca="false">IF(ISBLANK($C404),"",$D404)</f>
        <v/>
      </c>
      <c r="DL404" s="108" t="str">
        <f aca="false">$CZ404</f>
        <v/>
      </c>
      <c r="DM404" s="109" t="str">
        <f aca="false">$CY404</f>
        <v/>
      </c>
      <c r="DN404" s="107" t="str">
        <f aca="false">IF(ISBLANK($C404),"",$DB404)</f>
        <v/>
      </c>
      <c r="DO404" s="110" t="str">
        <f aca="false">IF($DF404&gt;$DE$8,"",VLOOKUP($DF404,$DH$9:$DN$508,7,FALSE()))</f>
        <v/>
      </c>
      <c r="DP404" s="111" t="str">
        <f aca="false">IF($DF404&gt;$DE$8,"",VLOOKUP($DF404,$DH$9:$DN$508,2,FALSE()))</f>
        <v/>
      </c>
      <c r="DQ404" s="111" t="str">
        <f aca="false">IF($DF404&gt;$DE$8,"",VLOOKUP($DF404,$DH$9:$DN$508,3,FALSE()))</f>
        <v/>
      </c>
      <c r="DR404" s="111" t="str">
        <f aca="false">IF($DF404&gt;$DE$8,"",VLOOKUP($DF404,$DH$9:$DN$508,4,FALSE()))</f>
        <v/>
      </c>
      <c r="DS404" s="111" t="str">
        <f aca="false">IF($DF404&gt;$DE$8,"",VLOOKUP($DF404,$DH$9:$DN$508,5,FALSE()))</f>
        <v/>
      </c>
      <c r="DT404" s="112" t="str">
        <f aca="false">IF($DF404&gt;$DE$8,"",VLOOKUP($DF404,$DH$9:$DN$508,6,FALSE()))</f>
        <v/>
      </c>
      <c r="DU404" s="62"/>
    </row>
    <row r="405" customFormat="false" ht="15.75" hidden="false" customHeight="false" outlineLevel="0" collapsed="false">
      <c r="A405" s="7"/>
      <c r="B405" s="64"/>
      <c r="C405" s="65"/>
      <c r="D405" s="123"/>
      <c r="E405" s="88"/>
      <c r="F405" s="134"/>
      <c r="G405" s="88"/>
      <c r="H405" s="134"/>
      <c r="I405" s="119"/>
      <c r="J405" s="119"/>
      <c r="K405" s="119"/>
      <c r="L405" s="88"/>
      <c r="M405" s="88"/>
      <c r="N405" s="88"/>
      <c r="O405" s="134"/>
      <c r="P405" s="88"/>
      <c r="Q405" s="88"/>
      <c r="R405" s="88"/>
      <c r="S405" s="88"/>
      <c r="T405" s="134"/>
      <c r="U405" s="88"/>
      <c r="V405" s="70"/>
      <c r="W405" s="88"/>
      <c r="X405" s="88"/>
      <c r="Y405" s="70"/>
      <c r="Z405" s="70"/>
      <c r="AA405" s="88"/>
      <c r="AB405" s="88"/>
      <c r="AC405" s="71"/>
      <c r="AD405" s="88"/>
      <c r="AE405" s="73"/>
      <c r="AF405" s="74"/>
      <c r="AG405" s="74"/>
      <c r="AH405" s="74" t="str">
        <f aca="false">IF(ISBLANK($C405),"",IF($E405=Constants!$B$2,TRUE(),IF($E405=Constants!$B$3,FALSE(),TRUE())))</f>
        <v/>
      </c>
      <c r="AI405" s="74" t="str">
        <f aca="false">IF(ISBLANK($C405),"",IF($F405=Constants!$B$2,TRUE(),IF($F405=Constants!$B$3,FALSE(),FALSE())))</f>
        <v/>
      </c>
      <c r="AJ405" s="74" t="str">
        <f aca="false">IF(ISBLANK($C405),"",IF($G405=Constants!$B$2,TRUE(),IF($G405=Constants!$B$3,FALSE(),TRUE())))</f>
        <v/>
      </c>
      <c r="AK405" s="74" t="str">
        <f aca="false">IF(ISBLANK($C405),"",IF($H405=Constants!$B$2,TRUE(),IF($H405=Constants!$B$3,FALSE(),TRUE())))</f>
        <v/>
      </c>
      <c r="AL405" s="74" t="str">
        <f aca="false">IF(ISBLANK($C405),"",IF(ISNUMBER($I405),IF($I405&gt;=0,$I405,""),""))</f>
        <v/>
      </c>
      <c r="AM405" s="74" t="str">
        <f aca="false">IF(ISBLANK($C405),"",IF(ISNUMBER($J405),IF($J405&gt;=0,$J405,""),""))</f>
        <v/>
      </c>
      <c r="AN405" s="74" t="str">
        <f aca="false">IF(ISBLANK($C405),"",IF(ISNUMBER($K405),IF($K405&gt;=0,$K405,""),""))</f>
        <v/>
      </c>
      <c r="AO405" s="74" t="str">
        <f aca="false">IF(ISBLANK($C405),"",IF($L405=Constants!$B$2,TRUE(),IF($L405=Constants!$B$3,FALSE(),TRUE())))</f>
        <v/>
      </c>
      <c r="AP405" s="74" t="str">
        <f aca="false">IF(ISBLANK($C405),"",IF($M405=Constants!$B$2,TRUE(),IF($M405=Constants!$B$3,FALSE(),TRUE())))</f>
        <v/>
      </c>
      <c r="AQ405" s="74" t="str">
        <f aca="false">IF(ISBLANK($C405),"",IF($N405=Constants!$B$2,TRUE(),IF($N405=Constants!$B$3,FALSE(),FALSE())))</f>
        <v/>
      </c>
      <c r="AR405" s="74" t="str">
        <f aca="false">IF(ISBLANK($C405),"",IF($O405=Constants!$B$2,TRUE(),IF($O405=Constants!$B$3,FALSE(),TRUE())))</f>
        <v/>
      </c>
      <c r="AS405" s="74" t="str">
        <f aca="false">IF(ISBLANK($C405),"",IF($P405=Constants!$B$2,TRUE(),IF($P405=Constants!$B$3,FALSE(),FALSE())))</f>
        <v/>
      </c>
      <c r="AT405" s="74" t="str">
        <f aca="false">IF(ISBLANK($C405),"",IF($Q405=Constants!$B$2,TRUE(),IF($Q405=Constants!$B$3,FALSE(),FALSE())))</f>
        <v/>
      </c>
      <c r="AU405" s="74" t="str">
        <f aca="false">IF(ISBLANK($C405),"",IF($R405=Constants!$B$2,TRUE(),IF($R405=Constants!$B$3,FALSE(),FALSE())))</f>
        <v/>
      </c>
      <c r="AV405" s="74" t="str">
        <f aca="false">IF(ISBLANK($C405),"",IF($S405=Constants!$B$2,TRUE(),IF($S405=Constants!$B$3,FALSE(),FALSE())))</f>
        <v/>
      </c>
      <c r="AW405" s="74" t="str">
        <f aca="false">IF(ISBLANK($C405),"",IF($T405=Constants!$B$2,TRUE(),IF($T405=Constants!$B$3,FALSE(),FALSE())))</f>
        <v/>
      </c>
      <c r="AX405" s="74" t="str">
        <f aca="false">IF(ISBLANK($C405),"",IF(OR($U405&amp;""="1",$U405&amp;""="2",$U405&amp;""="3",$U405&amp;""="4"),VALUE($U405&amp;""),IF($U405=Constants!$B$12,Constants!$B$12,"")))</f>
        <v/>
      </c>
      <c r="AY405" s="74" t="str">
        <f aca="false">IF(ISBLANK($C405),"",IF(ISBLANK($V405),0,IF(ISNUMBER($V405),IF(AND($V405&gt;=0,$V405&lt;=Constants!$B$21,$V405=INT($V405)),$V405,""),"")))</f>
        <v/>
      </c>
      <c r="AZ405" s="74" t="str">
        <f aca="false">IF(ISBLANK($C405),"",IF(ISBLANK($W405),0,IF(ISNUMBER($W405),IF($W405&gt;=0,$W405,""),"")))</f>
        <v/>
      </c>
      <c r="BA405" s="74" t="str">
        <f aca="false">IF(ISBLANK($C405),"",IF($X405=Constants!$B$2,TRUE(),IF($X405=Constants!$B$3,FALSE(),TRUE())))</f>
        <v/>
      </c>
      <c r="BB405" s="74" t="str">
        <f aca="false">IF(ISBLANK($C405),"",IF($Y405=Constants!$B$2,TRUE(),IF($Y405=Constants!$B$3,FALSE(),FALSE())))</f>
        <v/>
      </c>
      <c r="BC405" s="74" t="str">
        <f aca="false">IF(ISBLANK($C405),"",IF(ISBLANK($Z405),0,IF(ISNUMBER($Z405),IF(AND($Z405&gt;=0,$Z405&lt;=Constants!$B$35,$Z405=INT($Z405)),$Z405,""),"")))</f>
        <v/>
      </c>
      <c r="BD405" s="74" t="str">
        <f aca="false">IF(ISBLANK($C405),"",IF($AA405=Constants!$B$2,TRUE(),IF($AA405=Constants!$B$3,FALSE(),TRUE())))</f>
        <v/>
      </c>
      <c r="BE405" s="74" t="str">
        <f aca="false">IF(ISBLANK($C405),"",IF($AB405=Constants!$B$2,TRUE(),IF($AB405=Constants!$B$3,FALSE(),TRUE())))</f>
        <v/>
      </c>
      <c r="BF405" s="74" t="str">
        <f aca="false">IF(ISBLANK($C405),"",IF(ISNUMBER($AC405),IF($AC405&gt;=0,$AC405,""),""))</f>
        <v/>
      </c>
      <c r="BG405" s="74" t="str">
        <f aca="false">IF(ISBLANK($C405),"",IF($AD405=Constants!$B$2,TRUE(),IF($AD405=Constants!$B$3,FALSE(),FALSE())))</f>
        <v/>
      </c>
      <c r="BH405" s="73" t="str">
        <f aca="false">IF(ISBLANK($C405),"",IF($BG405,Constants!$B$7,IF(COUNTA($E405:$AC405)=0,Constants!$B$6,IF(OR(COUNTA($G405:$AC405)=0,NOT($AK405),$AQ405),Constants!$B$5,IF(OR($CI405&lt;&gt;"",$CJ405,$CK405,$CL405,$CM405,$CN405,$CO405),Constants!$B$8,Constants!$B$4)))))</f>
        <v/>
      </c>
      <c r="BI405" s="74" t="str">
        <f aca="false">IF(ISBLANK($C405),"",IF($BH405&lt;&gt;Constants!$B$4,$BH405,IF(OR(NOT($AH405),NOT($AJ405),NOT($AR405)),Constants!$B$11,IF(OR(NOT($AP405),MAX($AL405,$AM405,$AN405)&gt;Constants!$B$30),Constants!$B$10,Constants!$B$9))))</f>
        <v/>
      </c>
      <c r="BJ405" s="74" t="str">
        <f aca="false">IF($BH405&lt;&gt;Constants!$B$4,"",IF(NOT($AJ405),0,MIN(Constants!$B$35,$BC405)))</f>
        <v/>
      </c>
      <c r="BK405" s="74" t="str">
        <f aca="false">IF($BH405&lt;&gt;Constants!$B$4,"",IF(NOT($AJ405),0,IF($AT405,Constants!$B$18,IF($AS405,Constants!$B$17,0))))</f>
        <v/>
      </c>
      <c r="BL405" s="74" t="str">
        <f aca="false">IF($BH405&lt;&gt;Constants!$B$4,"",IF(NOT($AJ405),0,Constants!$B$19*($AI405+$AU405+$AV405+$AW405)))</f>
        <v/>
      </c>
      <c r="BM405" s="74" t="str">
        <f aca="false">IF($BH405&lt;&gt;Constants!$B$4,"",IF(OR(NOT($AJ405),NOT(ISNUMBER($AX405))),0,CHOOSE($AX405,Constants!$B$13,Constants!$B$14,Constants!$B$15,Constants!$B$16)))</f>
        <v/>
      </c>
      <c r="BN405" s="74" t="str">
        <f aca="false">IF($BH405&lt;&gt;Constants!$B$4,"",IF(NOT($AJ405),0,Constants!$B$20*$AY405))</f>
        <v/>
      </c>
      <c r="BO405" s="74" t="str">
        <f aca="false">IF($BH405&lt;&gt;Constants!$B$4,"",IF(AND($AJ405,$BA405,$BB405),Constants!$B$22,0))</f>
        <v/>
      </c>
      <c r="BP405" s="74" t="str">
        <f aca="false">IF($BH405&lt;&gt;Constants!$B$4,"",IF(OR(NOT($AJ405),NOT($BA405)),0,IF($BF405&gt;=2*$AF$9,0,Constants!$B$23*INT(ROUND(MIN($BF405,$AF$9),6)))))</f>
        <v/>
      </c>
      <c r="BQ405" s="74" t="str">
        <f aca="false">IF($BH405&lt;&gt;Constants!$B$4,"",IF(NOT($AJ405),0,Constants!$B$24*INT(ROUND(MIN($AZ405,$AF$9),6))))</f>
        <v/>
      </c>
      <c r="BR405" s="74" t="str">
        <f aca="false">IF($BH405&lt;&gt;Constants!$B$4,"",IF(AND($AJ405,$BJ405=0),Constants!$B$25,0))</f>
        <v/>
      </c>
      <c r="BS405" s="74" t="str">
        <f aca="false">IF($BH405&lt;&gt;Constants!$B$4,"",MIN(Constants!$B$29,MAX(0,Constants!$B$27*Constants!$B$28*INT(ROUND((Constants!$B$26-$AL405)/Constants!$B$28,6))))+MIN(Constants!$B$29,MAX(0,Constants!$B$27*Constants!$B$28*INT(ROUND((Constants!$B$26-$AM405)/Constants!$B$28,6))))+MIN(Constants!$B$29,MAX(0,Constants!$B$27*Constants!$B$28*INT(ROUND((Constants!$B$26-$AN405)/Constants!$B$28,6)))))</f>
        <v/>
      </c>
      <c r="BT405" s="74" t="str">
        <f aca="false">IF($BH405&lt;&gt;Constants!$B$4,"",IF(NOT($AJ405),0,Constants!$B$31*INT(ROUND(MAX(0,MIN($BF405,2*$AF$9)-$AF$9),6))))</f>
        <v/>
      </c>
      <c r="BU405" s="74" t="str">
        <f aca="false">IF($BH405&lt;&gt;Constants!$B$4,"",Constants!$B$32*(($AL405&gt;Constants!$B$26)+($AM405&gt;Constants!$B$26)+($AN405&gt;Constants!$B$26)))</f>
        <v/>
      </c>
      <c r="BV405" s="74" t="str">
        <f aca="false">IF($BH405&lt;&gt;Constants!$B$4,"",IF(OR(NOT($AJ405),$AO405),0,Constants!$B$33))</f>
        <v/>
      </c>
      <c r="BW405" s="74" t="str">
        <f aca="false">IF($BH405&lt;&gt;Constants!$B$4,"",Constants!$B$34*$BJ405)</f>
        <v/>
      </c>
      <c r="BX405" s="74" t="str">
        <f aca="false">IF($BH405&lt;&gt;Constants!$B$4,"",IF(OR(NOT($AJ405),$BE405),0,Constants!$B$36))</f>
        <v/>
      </c>
      <c r="BY405" s="74" t="str">
        <f aca="false">IF($BH405&lt;&gt;Constants!$B$4,"",IF(OR(NOT($AJ405),$BD405),0,Constants!$B$37))</f>
        <v/>
      </c>
      <c r="BZ405" s="74" t="str">
        <f aca="false">IF($BH405&lt;&gt;Constants!$B$4,"",SUM($BT405:$BY405))</f>
        <v/>
      </c>
      <c r="CA405" s="74" t="str">
        <f aca="false">IF(ISBLANK($C405),"",IF($BH405&lt;&gt;Constants!$B$4,$BH405,SUM($BK405:$BS405)-$BZ405))</f>
        <v/>
      </c>
      <c r="CB405" s="74" t="str">
        <f aca="false">IF(ISBLANK($C405),"",IF($BH405&lt;&gt;Constants!$B$4,$BH405,RANK($CA405,$CA$9:$CA$508)))</f>
        <v/>
      </c>
      <c r="CC405" s="74" t="str">
        <f aca="false">IF(ISBLANK($C405),"",IF($BH405&lt;&gt;Constants!$B$4,$BH405,COUNTIFS($BI$9:$BI$508,"&lt;"&amp;$BI405)+COUNTIFS($BI$9:$BI$508,$BI405,$CB$9:$CB$508,"&lt;"&amp;$CB405)+1))</f>
        <v/>
      </c>
      <c r="CD405" s="74" t="str">
        <f aca="false">IF(ISBLANK($C405),"",IF($BH405&lt;&gt;Constants!$B$4,$BH405,RANK($BZ405,$BZ$9:$BZ$508,1)))</f>
        <v/>
      </c>
      <c r="CE405" s="74" t="str">
        <f aca="false">IF($BH405&lt;&gt;Constants!$B$4,"",$AL405+$AM405+$AN405)</f>
        <v/>
      </c>
      <c r="CF405" s="74" t="str">
        <f aca="false">IF(ISBLANK($C405),"",IF($BH405&lt;&gt;Constants!$B$4,$BH405,RANK($CE405,$CE$9:$CE$508,1)))</f>
        <v/>
      </c>
      <c r="CG405" s="74" t="str">
        <f aca="false">IF(ISBLANK($C405),"",IF($BH405&lt;&gt;Constants!$B$4,$BH405,COUNTIFS($BI$9:$BI$508,"&lt;"&amp;$BI405)+COUNTIFS($BI$9:$BI$508,$BI405,$CB$9:$CB$508,"&lt;"&amp;$CB405)+COUNTIFS($BI$9:$BI$508,$BI405,$CB$9:$CB$508,$CB405,$CD$9:$CD$508,"&lt;"&amp;$CD405)+COUNTIFS($BI$9:$BI$508,$BI405,$CB$9:$CB$508,$CB405,$CD$9:$CD$508,$CD405,$CF$9:$CF$508,"&lt;"&amp;$CF405)+1))</f>
        <v/>
      </c>
      <c r="CH405" s="74" t="str">
        <f aca="false">IF(ISBLANK($C405),"",IF($BH405&lt;&gt;Constants!$B$4,$BH405,$CC405-$CG405))</f>
        <v/>
      </c>
      <c r="CI405" s="74" t="str">
        <f aca="false">IF(ISBLANK($C405),"",IF(NOT($AJ405),"",IF(ISBLANK($D$7),$CI$5,IF(NOT(ISNUMBER($D$7)),$CI$6,""))))</f>
        <v/>
      </c>
      <c r="CJ405" s="74" t="str">
        <f aca="false">IF(ISBLANK($C405),"",OR($AL405="",$AM405="",$AN405=""))</f>
        <v/>
      </c>
      <c r="CK405" s="74" t="str">
        <f aca="false">IF(ISBLANK($C405),"",AND($AJ405,$AX405=""))</f>
        <v/>
      </c>
      <c r="CL405" s="74" t="str">
        <f aca="false">IF(ISBLANK($C405),"",AND($AJ405,$AY405=""))</f>
        <v/>
      </c>
      <c r="CM405" s="74" t="str">
        <f aca="false">IF(ISBLANK($C405),"",AND($AJ405,$AZ405=""))</f>
        <v/>
      </c>
      <c r="CN405" s="74" t="str">
        <f aca="false">IF(ISBLANK($C405),"",AND($AJ405,$BC405=""))</f>
        <v/>
      </c>
      <c r="CO405" s="74" t="str">
        <f aca="false">IF(ISBLANK($C405),"",AND($AJ405,$BF405=""))</f>
        <v/>
      </c>
      <c r="CP405" s="75"/>
      <c r="CQ405" s="76"/>
      <c r="CR405" s="79" t="str">
        <f aca="false">IF(ISBLANK($C405),"",IF($BH405=Constants!$B$8,$CI405,""))</f>
        <v/>
      </c>
      <c r="CS405" s="76" t="str">
        <f aca="false">IF(ISBLANK($C405),"",IF($BH405&lt;&gt;Constants!$B$4,"",$BK405+$BL405))</f>
        <v/>
      </c>
      <c r="CT405" s="78" t="str">
        <f aca="false">IF(ISBLANK($C405),"",IF($BH405&lt;&gt;Constants!$B$4,"",$BM405+$BN405+$BO405))</f>
        <v/>
      </c>
      <c r="CU405" s="78" t="str">
        <f aca="false">IF(ISBLANK($C405),"",IF($BH405&lt;&gt;Constants!$B$4,"",$BP405))</f>
        <v/>
      </c>
      <c r="CV405" s="78" t="str">
        <f aca="false">IF(ISBLANK($C405),"",IF($BH405&lt;&gt;Constants!$B$4,"",$BQ405+$BR405))</f>
        <v/>
      </c>
      <c r="CW405" s="78" t="str">
        <f aca="false">IF(ISBLANK($C405),"",IF($BH405&lt;&gt;Constants!$B$4,"",$BS405))</f>
        <v/>
      </c>
      <c r="CX405" s="78" t="str">
        <f aca="false">IF(ISBLANK($C405),"",IF($BH405&lt;&gt;Constants!$B$4,"",-$BZ405))</f>
        <v/>
      </c>
      <c r="CY405" s="79" t="str">
        <f aca="false">IF(ISBLANK($C405),"",$CA405)</f>
        <v/>
      </c>
      <c r="CZ405" s="80" t="str">
        <f aca="false">IF(ISBLANK($C405),"",$BI405)</f>
        <v/>
      </c>
      <c r="DA405" s="78" t="str">
        <f aca="false">IF(ISBLANK($C405),"",$CH405)</f>
        <v/>
      </c>
      <c r="DB405" s="78" t="str">
        <f aca="false">IF(ISBLANK($C405),"",$CG405)</f>
        <v/>
      </c>
      <c r="DC405" s="81" t="str">
        <f aca="false">IF(ISBLANK($C405),"",IFERROR(_xlfn.SWITCH($DB405,Constants!$B$7,COUNTA($C$9:$C$508)+2,Constants!$B$6,COUNTA($C$9:$C$508)+1,Constants!$B$5,COUNTA($C$9:$C$508)),$DB405))</f>
        <v/>
      </c>
      <c r="DD405" s="7"/>
      <c r="DE405" s="82" t="n">
        <f aca="false">IF(OR(ISNUMBER($DB405),$DB405=Constants!$B$7,$DB405=Constants!$B$5,$DB405=Constants!$B$6),1,0)</f>
        <v>0</v>
      </c>
      <c r="DF405" s="82" t="n">
        <v>397</v>
      </c>
      <c r="DG405" s="82" t="str">
        <f aca="false">IF(ISBLANK($C405),"",IF(ISNUMBER($DC405),$DC405+ROW($B405)/1000,""))</f>
        <v/>
      </c>
      <c r="DH405" s="82" t="str">
        <f aca="false">IF(ISNUMBER($DG405),RANK($DG405,$DG$9:$DG$508,1),"")</f>
        <v/>
      </c>
      <c r="DI405" s="82" t="str">
        <f aca="false">IF(ISBLANK($C405),"",$B405)</f>
        <v/>
      </c>
      <c r="DJ405" s="82" t="str">
        <f aca="false">IF(ISBLANK($C405),"",$C405)</f>
        <v/>
      </c>
      <c r="DK405" s="82" t="str">
        <f aca="false">IF(ISBLANK($C405),"",$D405)</f>
        <v/>
      </c>
      <c r="DL405" s="83" t="str">
        <f aca="false">$CZ405</f>
        <v/>
      </c>
      <c r="DM405" s="84" t="str">
        <f aca="false">$CY405</f>
        <v/>
      </c>
      <c r="DN405" s="82" t="str">
        <f aca="false">IF(ISBLANK($C405),"",$DB405)</f>
        <v/>
      </c>
      <c r="DO405" s="85" t="str">
        <f aca="false">IF($DF405&gt;$DE$8,"",VLOOKUP($DF405,$DH$9:$DN$508,7,FALSE()))</f>
        <v/>
      </c>
      <c r="DP405" s="86" t="str">
        <f aca="false">IF($DF405&gt;$DE$8,"",VLOOKUP($DF405,$DH$9:$DN$508,2,FALSE()))</f>
        <v/>
      </c>
      <c r="DQ405" s="86" t="str">
        <f aca="false">IF($DF405&gt;$DE$8,"",VLOOKUP($DF405,$DH$9:$DN$508,3,FALSE()))</f>
        <v/>
      </c>
      <c r="DR405" s="86" t="str">
        <f aca="false">IF($DF405&gt;$DE$8,"",VLOOKUP($DF405,$DH$9:$DN$508,4,FALSE()))</f>
        <v/>
      </c>
      <c r="DS405" s="86" t="str">
        <f aca="false">IF($DF405&gt;$DE$8,"",VLOOKUP($DF405,$DH$9:$DN$508,5,FALSE()))</f>
        <v/>
      </c>
      <c r="DT405" s="87" t="str">
        <f aca="false">IF($DF405&gt;$DE$8,"",VLOOKUP($DF405,$DH$9:$DN$508,6,FALSE()))</f>
        <v/>
      </c>
      <c r="DU405" s="62"/>
    </row>
    <row r="406" customFormat="false" ht="15.75" hidden="false" customHeight="false" outlineLevel="0" collapsed="false">
      <c r="A406" s="7"/>
      <c r="B406" s="64"/>
      <c r="C406" s="65"/>
      <c r="D406" s="123"/>
      <c r="E406" s="88"/>
      <c r="F406" s="134"/>
      <c r="G406" s="88"/>
      <c r="H406" s="134"/>
      <c r="I406" s="119"/>
      <c r="J406" s="119"/>
      <c r="K406" s="119"/>
      <c r="L406" s="88"/>
      <c r="M406" s="88"/>
      <c r="N406" s="88"/>
      <c r="O406" s="134"/>
      <c r="P406" s="88"/>
      <c r="Q406" s="88"/>
      <c r="R406" s="88"/>
      <c r="S406" s="88"/>
      <c r="T406" s="134"/>
      <c r="U406" s="88"/>
      <c r="V406" s="70"/>
      <c r="W406" s="88"/>
      <c r="X406" s="88"/>
      <c r="Y406" s="70"/>
      <c r="Z406" s="70"/>
      <c r="AA406" s="88"/>
      <c r="AB406" s="88"/>
      <c r="AC406" s="71"/>
      <c r="AD406" s="88"/>
      <c r="AE406" s="73"/>
      <c r="AF406" s="74"/>
      <c r="AG406" s="74"/>
      <c r="AH406" s="74" t="str">
        <f aca="false">IF(ISBLANK($C406),"",IF($E406=Constants!$B$2,TRUE(),IF($E406=Constants!$B$3,FALSE(),TRUE())))</f>
        <v/>
      </c>
      <c r="AI406" s="74" t="str">
        <f aca="false">IF(ISBLANK($C406),"",IF($F406=Constants!$B$2,TRUE(),IF($F406=Constants!$B$3,FALSE(),FALSE())))</f>
        <v/>
      </c>
      <c r="AJ406" s="74" t="str">
        <f aca="false">IF(ISBLANK($C406),"",IF($G406=Constants!$B$2,TRUE(),IF($G406=Constants!$B$3,FALSE(),TRUE())))</f>
        <v/>
      </c>
      <c r="AK406" s="74" t="str">
        <f aca="false">IF(ISBLANK($C406),"",IF($H406=Constants!$B$2,TRUE(),IF($H406=Constants!$B$3,FALSE(),TRUE())))</f>
        <v/>
      </c>
      <c r="AL406" s="74" t="str">
        <f aca="false">IF(ISBLANK($C406),"",IF(ISNUMBER($I406),IF($I406&gt;=0,$I406,""),""))</f>
        <v/>
      </c>
      <c r="AM406" s="74" t="str">
        <f aca="false">IF(ISBLANK($C406),"",IF(ISNUMBER($J406),IF($J406&gt;=0,$J406,""),""))</f>
        <v/>
      </c>
      <c r="AN406" s="74" t="str">
        <f aca="false">IF(ISBLANK($C406),"",IF(ISNUMBER($K406),IF($K406&gt;=0,$K406,""),""))</f>
        <v/>
      </c>
      <c r="AO406" s="74" t="str">
        <f aca="false">IF(ISBLANK($C406),"",IF($L406=Constants!$B$2,TRUE(),IF($L406=Constants!$B$3,FALSE(),TRUE())))</f>
        <v/>
      </c>
      <c r="AP406" s="74" t="str">
        <f aca="false">IF(ISBLANK($C406),"",IF($M406=Constants!$B$2,TRUE(),IF($M406=Constants!$B$3,FALSE(),TRUE())))</f>
        <v/>
      </c>
      <c r="AQ406" s="74" t="str">
        <f aca="false">IF(ISBLANK($C406),"",IF($N406=Constants!$B$2,TRUE(),IF($N406=Constants!$B$3,FALSE(),FALSE())))</f>
        <v/>
      </c>
      <c r="AR406" s="74" t="str">
        <f aca="false">IF(ISBLANK($C406),"",IF($O406=Constants!$B$2,TRUE(),IF($O406=Constants!$B$3,FALSE(),TRUE())))</f>
        <v/>
      </c>
      <c r="AS406" s="74" t="str">
        <f aca="false">IF(ISBLANK($C406),"",IF($P406=Constants!$B$2,TRUE(),IF($P406=Constants!$B$3,FALSE(),FALSE())))</f>
        <v/>
      </c>
      <c r="AT406" s="74" t="str">
        <f aca="false">IF(ISBLANK($C406),"",IF($Q406=Constants!$B$2,TRUE(),IF($Q406=Constants!$B$3,FALSE(),FALSE())))</f>
        <v/>
      </c>
      <c r="AU406" s="74" t="str">
        <f aca="false">IF(ISBLANK($C406),"",IF($R406=Constants!$B$2,TRUE(),IF($R406=Constants!$B$3,FALSE(),FALSE())))</f>
        <v/>
      </c>
      <c r="AV406" s="74" t="str">
        <f aca="false">IF(ISBLANK($C406),"",IF($S406=Constants!$B$2,TRUE(),IF($S406=Constants!$B$3,FALSE(),FALSE())))</f>
        <v/>
      </c>
      <c r="AW406" s="74" t="str">
        <f aca="false">IF(ISBLANK($C406),"",IF($T406=Constants!$B$2,TRUE(),IF($T406=Constants!$B$3,FALSE(),FALSE())))</f>
        <v/>
      </c>
      <c r="AX406" s="74" t="str">
        <f aca="false">IF(ISBLANK($C406),"",IF(OR($U406&amp;""="1",$U406&amp;""="2",$U406&amp;""="3",$U406&amp;""="4"),VALUE($U406&amp;""),IF($U406=Constants!$B$12,Constants!$B$12,"")))</f>
        <v/>
      </c>
      <c r="AY406" s="74" t="str">
        <f aca="false">IF(ISBLANK($C406),"",IF(ISBLANK($V406),0,IF(ISNUMBER($V406),IF(AND($V406&gt;=0,$V406&lt;=Constants!$B$21,$V406=INT($V406)),$V406,""),"")))</f>
        <v/>
      </c>
      <c r="AZ406" s="74" t="str">
        <f aca="false">IF(ISBLANK($C406),"",IF(ISBLANK($W406),0,IF(ISNUMBER($W406),IF($W406&gt;=0,$W406,""),"")))</f>
        <v/>
      </c>
      <c r="BA406" s="74" t="str">
        <f aca="false">IF(ISBLANK($C406),"",IF($X406=Constants!$B$2,TRUE(),IF($X406=Constants!$B$3,FALSE(),TRUE())))</f>
        <v/>
      </c>
      <c r="BB406" s="74" t="str">
        <f aca="false">IF(ISBLANK($C406),"",IF($Y406=Constants!$B$2,TRUE(),IF($Y406=Constants!$B$3,FALSE(),FALSE())))</f>
        <v/>
      </c>
      <c r="BC406" s="74" t="str">
        <f aca="false">IF(ISBLANK($C406),"",IF(ISBLANK($Z406),0,IF(ISNUMBER($Z406),IF(AND($Z406&gt;=0,$Z406&lt;=Constants!$B$35,$Z406=INT($Z406)),$Z406,""),"")))</f>
        <v/>
      </c>
      <c r="BD406" s="74" t="str">
        <f aca="false">IF(ISBLANK($C406),"",IF($AA406=Constants!$B$2,TRUE(),IF($AA406=Constants!$B$3,FALSE(),TRUE())))</f>
        <v/>
      </c>
      <c r="BE406" s="74" t="str">
        <f aca="false">IF(ISBLANK($C406),"",IF($AB406=Constants!$B$2,TRUE(),IF($AB406=Constants!$B$3,FALSE(),TRUE())))</f>
        <v/>
      </c>
      <c r="BF406" s="74" t="str">
        <f aca="false">IF(ISBLANK($C406),"",IF(ISNUMBER($AC406),IF($AC406&gt;=0,$AC406,""),""))</f>
        <v/>
      </c>
      <c r="BG406" s="74" t="str">
        <f aca="false">IF(ISBLANK($C406),"",IF($AD406=Constants!$B$2,TRUE(),IF($AD406=Constants!$B$3,FALSE(),FALSE())))</f>
        <v/>
      </c>
      <c r="BH406" s="73" t="str">
        <f aca="false">IF(ISBLANK($C406),"",IF($BG406,Constants!$B$7,IF(COUNTA($E406:$AC406)=0,Constants!$B$6,IF(OR(COUNTA($G406:$AC406)=0,NOT($AK406),$AQ406),Constants!$B$5,IF(OR($CI406&lt;&gt;"",$CJ406,$CK406,$CL406,$CM406,$CN406,$CO406),Constants!$B$8,Constants!$B$4)))))</f>
        <v/>
      </c>
      <c r="BI406" s="74" t="str">
        <f aca="false">IF(ISBLANK($C406),"",IF($BH406&lt;&gt;Constants!$B$4,$BH406,IF(OR(NOT($AH406),NOT($AJ406),NOT($AR406)),Constants!$B$11,IF(OR(NOT($AP406),MAX($AL406,$AM406,$AN406)&gt;Constants!$B$30),Constants!$B$10,Constants!$B$9))))</f>
        <v/>
      </c>
      <c r="BJ406" s="74" t="str">
        <f aca="false">IF($BH406&lt;&gt;Constants!$B$4,"",IF(NOT($AJ406),0,MIN(Constants!$B$35,$BC406)))</f>
        <v/>
      </c>
      <c r="BK406" s="74" t="str">
        <f aca="false">IF($BH406&lt;&gt;Constants!$B$4,"",IF(NOT($AJ406),0,IF($AT406,Constants!$B$18,IF($AS406,Constants!$B$17,0))))</f>
        <v/>
      </c>
      <c r="BL406" s="74" t="str">
        <f aca="false">IF($BH406&lt;&gt;Constants!$B$4,"",IF(NOT($AJ406),0,Constants!$B$19*($AI406+$AU406+$AV406+$AW406)))</f>
        <v/>
      </c>
      <c r="BM406" s="74" t="str">
        <f aca="false">IF($BH406&lt;&gt;Constants!$B$4,"",IF(OR(NOT($AJ406),NOT(ISNUMBER($AX406))),0,CHOOSE($AX406,Constants!$B$13,Constants!$B$14,Constants!$B$15,Constants!$B$16)))</f>
        <v/>
      </c>
      <c r="BN406" s="74" t="str">
        <f aca="false">IF($BH406&lt;&gt;Constants!$B$4,"",IF(NOT($AJ406),0,Constants!$B$20*$AY406))</f>
        <v/>
      </c>
      <c r="BO406" s="74" t="str">
        <f aca="false">IF($BH406&lt;&gt;Constants!$B$4,"",IF(AND($AJ406,$BA406,$BB406),Constants!$B$22,0))</f>
        <v/>
      </c>
      <c r="BP406" s="74" t="str">
        <f aca="false">IF($BH406&lt;&gt;Constants!$B$4,"",IF(OR(NOT($AJ406),NOT($BA406)),0,IF($BF406&gt;=2*$AF$9,0,Constants!$B$23*INT(ROUND(MIN($BF406,$AF$9),6)))))</f>
        <v/>
      </c>
      <c r="BQ406" s="74" t="str">
        <f aca="false">IF($BH406&lt;&gt;Constants!$B$4,"",IF(NOT($AJ406),0,Constants!$B$24*INT(ROUND(MIN($AZ406,$AF$9),6))))</f>
        <v/>
      </c>
      <c r="BR406" s="74" t="str">
        <f aca="false">IF($BH406&lt;&gt;Constants!$B$4,"",IF(AND($AJ406,$BJ406=0),Constants!$B$25,0))</f>
        <v/>
      </c>
      <c r="BS406" s="74" t="str">
        <f aca="false">IF($BH406&lt;&gt;Constants!$B$4,"",MIN(Constants!$B$29,MAX(0,Constants!$B$27*Constants!$B$28*INT(ROUND((Constants!$B$26-$AL406)/Constants!$B$28,6))))+MIN(Constants!$B$29,MAX(0,Constants!$B$27*Constants!$B$28*INT(ROUND((Constants!$B$26-$AM406)/Constants!$B$28,6))))+MIN(Constants!$B$29,MAX(0,Constants!$B$27*Constants!$B$28*INT(ROUND((Constants!$B$26-$AN406)/Constants!$B$28,6)))))</f>
        <v/>
      </c>
      <c r="BT406" s="74" t="str">
        <f aca="false">IF($BH406&lt;&gt;Constants!$B$4,"",IF(NOT($AJ406),0,Constants!$B$31*INT(ROUND(MAX(0,MIN($BF406,2*$AF$9)-$AF$9),6))))</f>
        <v/>
      </c>
      <c r="BU406" s="74" t="str">
        <f aca="false">IF($BH406&lt;&gt;Constants!$B$4,"",Constants!$B$32*(($AL406&gt;Constants!$B$26)+($AM406&gt;Constants!$B$26)+($AN406&gt;Constants!$B$26)))</f>
        <v/>
      </c>
      <c r="BV406" s="74" t="str">
        <f aca="false">IF($BH406&lt;&gt;Constants!$B$4,"",IF(OR(NOT($AJ406),$AO406),0,Constants!$B$33))</f>
        <v/>
      </c>
      <c r="BW406" s="74" t="str">
        <f aca="false">IF($BH406&lt;&gt;Constants!$B$4,"",Constants!$B$34*$BJ406)</f>
        <v/>
      </c>
      <c r="BX406" s="74" t="str">
        <f aca="false">IF($BH406&lt;&gt;Constants!$B$4,"",IF(OR(NOT($AJ406),$BE406),0,Constants!$B$36))</f>
        <v/>
      </c>
      <c r="BY406" s="74" t="str">
        <f aca="false">IF($BH406&lt;&gt;Constants!$B$4,"",IF(OR(NOT($AJ406),$BD406),0,Constants!$B$37))</f>
        <v/>
      </c>
      <c r="BZ406" s="74" t="str">
        <f aca="false">IF($BH406&lt;&gt;Constants!$B$4,"",SUM($BT406:$BY406))</f>
        <v/>
      </c>
      <c r="CA406" s="74" t="str">
        <f aca="false">IF(ISBLANK($C406),"",IF($BH406&lt;&gt;Constants!$B$4,$BH406,SUM($BK406:$BS406)-$BZ406))</f>
        <v/>
      </c>
      <c r="CB406" s="74" t="str">
        <f aca="false">IF(ISBLANK($C406),"",IF($BH406&lt;&gt;Constants!$B$4,$BH406,RANK($CA406,$CA$9:$CA$508)))</f>
        <v/>
      </c>
      <c r="CC406" s="74" t="str">
        <f aca="false">IF(ISBLANK($C406),"",IF($BH406&lt;&gt;Constants!$B$4,$BH406,COUNTIFS($BI$9:$BI$508,"&lt;"&amp;$BI406)+COUNTIFS($BI$9:$BI$508,$BI406,$CB$9:$CB$508,"&lt;"&amp;$CB406)+1))</f>
        <v/>
      </c>
      <c r="CD406" s="74" t="str">
        <f aca="false">IF(ISBLANK($C406),"",IF($BH406&lt;&gt;Constants!$B$4,$BH406,RANK($BZ406,$BZ$9:$BZ$508,1)))</f>
        <v/>
      </c>
      <c r="CE406" s="74" t="str">
        <f aca="false">IF($BH406&lt;&gt;Constants!$B$4,"",$AL406+$AM406+$AN406)</f>
        <v/>
      </c>
      <c r="CF406" s="74" t="str">
        <f aca="false">IF(ISBLANK($C406),"",IF($BH406&lt;&gt;Constants!$B$4,$BH406,RANK($CE406,$CE$9:$CE$508,1)))</f>
        <v/>
      </c>
      <c r="CG406" s="74" t="str">
        <f aca="false">IF(ISBLANK($C406),"",IF($BH406&lt;&gt;Constants!$B$4,$BH406,COUNTIFS($BI$9:$BI$508,"&lt;"&amp;$BI406)+COUNTIFS($BI$9:$BI$508,$BI406,$CB$9:$CB$508,"&lt;"&amp;$CB406)+COUNTIFS($BI$9:$BI$508,$BI406,$CB$9:$CB$508,$CB406,$CD$9:$CD$508,"&lt;"&amp;$CD406)+COUNTIFS($BI$9:$BI$508,$BI406,$CB$9:$CB$508,$CB406,$CD$9:$CD$508,$CD406,$CF$9:$CF$508,"&lt;"&amp;$CF406)+1))</f>
        <v/>
      </c>
      <c r="CH406" s="74" t="str">
        <f aca="false">IF(ISBLANK($C406),"",IF($BH406&lt;&gt;Constants!$B$4,$BH406,$CC406-$CG406))</f>
        <v/>
      </c>
      <c r="CI406" s="74" t="str">
        <f aca="false">IF(ISBLANK($C406),"",IF(NOT($AJ406),"",IF(ISBLANK($D$7),$CI$5,IF(NOT(ISNUMBER($D$7)),$CI$6,""))))</f>
        <v/>
      </c>
      <c r="CJ406" s="74" t="str">
        <f aca="false">IF(ISBLANK($C406),"",OR($AL406="",$AM406="",$AN406=""))</f>
        <v/>
      </c>
      <c r="CK406" s="74" t="str">
        <f aca="false">IF(ISBLANK($C406),"",AND($AJ406,$AX406=""))</f>
        <v/>
      </c>
      <c r="CL406" s="74" t="str">
        <f aca="false">IF(ISBLANK($C406),"",AND($AJ406,$AY406=""))</f>
        <v/>
      </c>
      <c r="CM406" s="74" t="str">
        <f aca="false">IF(ISBLANK($C406),"",AND($AJ406,$AZ406=""))</f>
        <v/>
      </c>
      <c r="CN406" s="74" t="str">
        <f aca="false">IF(ISBLANK($C406),"",AND($AJ406,$BC406=""))</f>
        <v/>
      </c>
      <c r="CO406" s="74" t="str">
        <f aca="false">IF(ISBLANK($C406),"",AND($AJ406,$BF406=""))</f>
        <v/>
      </c>
      <c r="CP406" s="75"/>
      <c r="CQ406" s="76"/>
      <c r="CR406" s="79" t="str">
        <f aca="false">IF(ISBLANK($C406),"",IF($BH406=Constants!$B$8,$CI406,""))</f>
        <v/>
      </c>
      <c r="CS406" s="76" t="str">
        <f aca="false">IF(ISBLANK($C406),"",IF($BH406&lt;&gt;Constants!$B$4,"",$BK406+$BL406))</f>
        <v/>
      </c>
      <c r="CT406" s="78" t="str">
        <f aca="false">IF(ISBLANK($C406),"",IF($BH406&lt;&gt;Constants!$B$4,"",$BM406+$BN406+$BO406))</f>
        <v/>
      </c>
      <c r="CU406" s="78" t="str">
        <f aca="false">IF(ISBLANK($C406),"",IF($BH406&lt;&gt;Constants!$B$4,"",$BP406))</f>
        <v/>
      </c>
      <c r="CV406" s="78" t="str">
        <f aca="false">IF(ISBLANK($C406),"",IF($BH406&lt;&gt;Constants!$B$4,"",$BQ406+$BR406))</f>
        <v/>
      </c>
      <c r="CW406" s="78" t="str">
        <f aca="false">IF(ISBLANK($C406),"",IF($BH406&lt;&gt;Constants!$B$4,"",$BS406))</f>
        <v/>
      </c>
      <c r="CX406" s="78" t="str">
        <f aca="false">IF(ISBLANK($C406),"",IF($BH406&lt;&gt;Constants!$B$4,"",-$BZ406))</f>
        <v/>
      </c>
      <c r="CY406" s="79" t="str">
        <f aca="false">IF(ISBLANK($C406),"",$CA406)</f>
        <v/>
      </c>
      <c r="CZ406" s="80" t="str">
        <f aca="false">IF(ISBLANK($C406),"",$BI406)</f>
        <v/>
      </c>
      <c r="DA406" s="78" t="str">
        <f aca="false">IF(ISBLANK($C406),"",$CH406)</f>
        <v/>
      </c>
      <c r="DB406" s="78" t="str">
        <f aca="false">IF(ISBLANK($C406),"",$CG406)</f>
        <v/>
      </c>
      <c r="DC406" s="81" t="str">
        <f aca="false">IF(ISBLANK($C406),"",IFERROR(_xlfn.SWITCH($DB406,Constants!$B$7,COUNTA($C$9:$C$508)+2,Constants!$B$6,COUNTA($C$9:$C$508)+1,Constants!$B$5,COUNTA($C$9:$C$508)),$DB406))</f>
        <v/>
      </c>
      <c r="DD406" s="7"/>
      <c r="DE406" s="82" t="n">
        <f aca="false">IF(OR(ISNUMBER($DB406),$DB406=Constants!$B$7,$DB406=Constants!$B$5,$DB406=Constants!$B$6),1,0)</f>
        <v>0</v>
      </c>
      <c r="DF406" s="82" t="n">
        <v>398</v>
      </c>
      <c r="DG406" s="82" t="str">
        <f aca="false">IF(ISBLANK($C406),"",IF(ISNUMBER($DC406),$DC406+ROW($B406)/1000,""))</f>
        <v/>
      </c>
      <c r="DH406" s="82" t="str">
        <f aca="false">IF(ISNUMBER($DG406),RANK($DG406,$DG$9:$DG$508,1),"")</f>
        <v/>
      </c>
      <c r="DI406" s="82" t="str">
        <f aca="false">IF(ISBLANK($C406),"",$B406)</f>
        <v/>
      </c>
      <c r="DJ406" s="82" t="str">
        <f aca="false">IF(ISBLANK($C406),"",$C406)</f>
        <v/>
      </c>
      <c r="DK406" s="82" t="str">
        <f aca="false">IF(ISBLANK($C406),"",$D406)</f>
        <v/>
      </c>
      <c r="DL406" s="83" t="str">
        <f aca="false">$CZ406</f>
        <v/>
      </c>
      <c r="DM406" s="84" t="str">
        <f aca="false">$CY406</f>
        <v/>
      </c>
      <c r="DN406" s="82" t="str">
        <f aca="false">IF(ISBLANK($C406),"",$DB406)</f>
        <v/>
      </c>
      <c r="DO406" s="85" t="str">
        <f aca="false">IF($DF406&gt;$DE$8,"",VLOOKUP($DF406,$DH$9:$DN$508,7,FALSE()))</f>
        <v/>
      </c>
      <c r="DP406" s="86" t="str">
        <f aca="false">IF($DF406&gt;$DE$8,"",VLOOKUP($DF406,$DH$9:$DN$508,2,FALSE()))</f>
        <v/>
      </c>
      <c r="DQ406" s="86" t="str">
        <f aca="false">IF($DF406&gt;$DE$8,"",VLOOKUP($DF406,$DH$9:$DN$508,3,FALSE()))</f>
        <v/>
      </c>
      <c r="DR406" s="86" t="str">
        <f aca="false">IF($DF406&gt;$DE$8,"",VLOOKUP($DF406,$DH$9:$DN$508,4,FALSE()))</f>
        <v/>
      </c>
      <c r="DS406" s="86" t="str">
        <f aca="false">IF($DF406&gt;$DE$8,"",VLOOKUP($DF406,$DH$9:$DN$508,5,FALSE()))</f>
        <v/>
      </c>
      <c r="DT406" s="87" t="str">
        <f aca="false">IF($DF406&gt;$DE$8,"",VLOOKUP($DF406,$DH$9:$DN$508,6,FALSE()))</f>
        <v/>
      </c>
      <c r="DU406" s="62"/>
    </row>
    <row r="407" customFormat="false" ht="15.75" hidden="false" customHeight="false" outlineLevel="0" collapsed="false">
      <c r="A407" s="7"/>
      <c r="B407" s="64"/>
      <c r="C407" s="65"/>
      <c r="D407" s="123"/>
      <c r="E407" s="88"/>
      <c r="F407" s="134"/>
      <c r="G407" s="88"/>
      <c r="H407" s="134"/>
      <c r="I407" s="119"/>
      <c r="J407" s="119"/>
      <c r="K407" s="119"/>
      <c r="L407" s="88"/>
      <c r="M407" s="88"/>
      <c r="N407" s="88"/>
      <c r="O407" s="134"/>
      <c r="P407" s="88"/>
      <c r="Q407" s="88"/>
      <c r="R407" s="88"/>
      <c r="S407" s="88"/>
      <c r="T407" s="134"/>
      <c r="U407" s="88"/>
      <c r="V407" s="70"/>
      <c r="W407" s="88"/>
      <c r="X407" s="88"/>
      <c r="Y407" s="70"/>
      <c r="Z407" s="70"/>
      <c r="AA407" s="88"/>
      <c r="AB407" s="88"/>
      <c r="AC407" s="71"/>
      <c r="AD407" s="88"/>
      <c r="AE407" s="73"/>
      <c r="AF407" s="74"/>
      <c r="AG407" s="74"/>
      <c r="AH407" s="74" t="str">
        <f aca="false">IF(ISBLANK($C407),"",IF($E407=Constants!$B$2,TRUE(),IF($E407=Constants!$B$3,FALSE(),TRUE())))</f>
        <v/>
      </c>
      <c r="AI407" s="74" t="str">
        <f aca="false">IF(ISBLANK($C407),"",IF($F407=Constants!$B$2,TRUE(),IF($F407=Constants!$B$3,FALSE(),FALSE())))</f>
        <v/>
      </c>
      <c r="AJ407" s="74" t="str">
        <f aca="false">IF(ISBLANK($C407),"",IF($G407=Constants!$B$2,TRUE(),IF($G407=Constants!$B$3,FALSE(),TRUE())))</f>
        <v/>
      </c>
      <c r="AK407" s="74" t="str">
        <f aca="false">IF(ISBLANK($C407),"",IF($H407=Constants!$B$2,TRUE(),IF($H407=Constants!$B$3,FALSE(),TRUE())))</f>
        <v/>
      </c>
      <c r="AL407" s="74" t="str">
        <f aca="false">IF(ISBLANK($C407),"",IF(ISNUMBER($I407),IF($I407&gt;=0,$I407,""),""))</f>
        <v/>
      </c>
      <c r="AM407" s="74" t="str">
        <f aca="false">IF(ISBLANK($C407),"",IF(ISNUMBER($J407),IF($J407&gt;=0,$J407,""),""))</f>
        <v/>
      </c>
      <c r="AN407" s="74" t="str">
        <f aca="false">IF(ISBLANK($C407),"",IF(ISNUMBER($K407),IF($K407&gt;=0,$K407,""),""))</f>
        <v/>
      </c>
      <c r="AO407" s="74" t="str">
        <f aca="false">IF(ISBLANK($C407),"",IF($L407=Constants!$B$2,TRUE(),IF($L407=Constants!$B$3,FALSE(),TRUE())))</f>
        <v/>
      </c>
      <c r="AP407" s="74" t="str">
        <f aca="false">IF(ISBLANK($C407),"",IF($M407=Constants!$B$2,TRUE(),IF($M407=Constants!$B$3,FALSE(),TRUE())))</f>
        <v/>
      </c>
      <c r="AQ407" s="74" t="str">
        <f aca="false">IF(ISBLANK($C407),"",IF($N407=Constants!$B$2,TRUE(),IF($N407=Constants!$B$3,FALSE(),FALSE())))</f>
        <v/>
      </c>
      <c r="AR407" s="74" t="str">
        <f aca="false">IF(ISBLANK($C407),"",IF($O407=Constants!$B$2,TRUE(),IF($O407=Constants!$B$3,FALSE(),TRUE())))</f>
        <v/>
      </c>
      <c r="AS407" s="74" t="str">
        <f aca="false">IF(ISBLANK($C407),"",IF($P407=Constants!$B$2,TRUE(),IF($P407=Constants!$B$3,FALSE(),FALSE())))</f>
        <v/>
      </c>
      <c r="AT407" s="74" t="str">
        <f aca="false">IF(ISBLANK($C407),"",IF($Q407=Constants!$B$2,TRUE(),IF($Q407=Constants!$B$3,FALSE(),FALSE())))</f>
        <v/>
      </c>
      <c r="AU407" s="74" t="str">
        <f aca="false">IF(ISBLANK($C407),"",IF($R407=Constants!$B$2,TRUE(),IF($R407=Constants!$B$3,FALSE(),FALSE())))</f>
        <v/>
      </c>
      <c r="AV407" s="74" t="str">
        <f aca="false">IF(ISBLANK($C407),"",IF($S407=Constants!$B$2,TRUE(),IF($S407=Constants!$B$3,FALSE(),FALSE())))</f>
        <v/>
      </c>
      <c r="AW407" s="74" t="str">
        <f aca="false">IF(ISBLANK($C407),"",IF($T407=Constants!$B$2,TRUE(),IF($T407=Constants!$B$3,FALSE(),FALSE())))</f>
        <v/>
      </c>
      <c r="AX407" s="74" t="str">
        <f aca="false">IF(ISBLANK($C407),"",IF(OR($U407&amp;""="1",$U407&amp;""="2",$U407&amp;""="3",$U407&amp;""="4"),VALUE($U407&amp;""),IF($U407=Constants!$B$12,Constants!$B$12,"")))</f>
        <v/>
      </c>
      <c r="AY407" s="74" t="str">
        <f aca="false">IF(ISBLANK($C407),"",IF(ISBLANK($V407),0,IF(ISNUMBER($V407),IF(AND($V407&gt;=0,$V407&lt;=Constants!$B$21,$V407=INT($V407)),$V407,""),"")))</f>
        <v/>
      </c>
      <c r="AZ407" s="74" t="str">
        <f aca="false">IF(ISBLANK($C407),"",IF(ISBLANK($W407),0,IF(ISNUMBER($W407),IF($W407&gt;=0,$W407,""),"")))</f>
        <v/>
      </c>
      <c r="BA407" s="74" t="str">
        <f aca="false">IF(ISBLANK($C407),"",IF($X407=Constants!$B$2,TRUE(),IF($X407=Constants!$B$3,FALSE(),TRUE())))</f>
        <v/>
      </c>
      <c r="BB407" s="74" t="str">
        <f aca="false">IF(ISBLANK($C407),"",IF($Y407=Constants!$B$2,TRUE(),IF($Y407=Constants!$B$3,FALSE(),FALSE())))</f>
        <v/>
      </c>
      <c r="BC407" s="74" t="str">
        <f aca="false">IF(ISBLANK($C407),"",IF(ISBLANK($Z407),0,IF(ISNUMBER($Z407),IF(AND($Z407&gt;=0,$Z407&lt;=Constants!$B$35,$Z407=INT($Z407)),$Z407,""),"")))</f>
        <v/>
      </c>
      <c r="BD407" s="74" t="str">
        <f aca="false">IF(ISBLANK($C407),"",IF($AA407=Constants!$B$2,TRUE(),IF($AA407=Constants!$B$3,FALSE(),TRUE())))</f>
        <v/>
      </c>
      <c r="BE407" s="74" t="str">
        <f aca="false">IF(ISBLANK($C407),"",IF($AB407=Constants!$B$2,TRUE(),IF($AB407=Constants!$B$3,FALSE(),TRUE())))</f>
        <v/>
      </c>
      <c r="BF407" s="74" t="str">
        <f aca="false">IF(ISBLANK($C407),"",IF(ISNUMBER($AC407),IF($AC407&gt;=0,$AC407,""),""))</f>
        <v/>
      </c>
      <c r="BG407" s="74" t="str">
        <f aca="false">IF(ISBLANK($C407),"",IF($AD407=Constants!$B$2,TRUE(),IF($AD407=Constants!$B$3,FALSE(),FALSE())))</f>
        <v/>
      </c>
      <c r="BH407" s="73" t="str">
        <f aca="false">IF(ISBLANK($C407),"",IF($BG407,Constants!$B$7,IF(COUNTA($E407:$AC407)=0,Constants!$B$6,IF(OR(COUNTA($G407:$AC407)=0,NOT($AK407),$AQ407),Constants!$B$5,IF(OR($CI407&lt;&gt;"",$CJ407,$CK407,$CL407,$CM407,$CN407,$CO407),Constants!$B$8,Constants!$B$4)))))</f>
        <v/>
      </c>
      <c r="BI407" s="74" t="str">
        <f aca="false">IF(ISBLANK($C407),"",IF($BH407&lt;&gt;Constants!$B$4,$BH407,IF(OR(NOT($AH407),NOT($AJ407),NOT($AR407)),Constants!$B$11,IF(OR(NOT($AP407),MAX($AL407,$AM407,$AN407)&gt;Constants!$B$30),Constants!$B$10,Constants!$B$9))))</f>
        <v/>
      </c>
      <c r="BJ407" s="74" t="str">
        <f aca="false">IF($BH407&lt;&gt;Constants!$B$4,"",IF(NOT($AJ407),0,MIN(Constants!$B$35,$BC407)))</f>
        <v/>
      </c>
      <c r="BK407" s="74" t="str">
        <f aca="false">IF($BH407&lt;&gt;Constants!$B$4,"",IF(NOT($AJ407),0,IF($AT407,Constants!$B$18,IF($AS407,Constants!$B$17,0))))</f>
        <v/>
      </c>
      <c r="BL407" s="74" t="str">
        <f aca="false">IF($BH407&lt;&gt;Constants!$B$4,"",IF(NOT($AJ407),0,Constants!$B$19*($AI407+$AU407+$AV407+$AW407)))</f>
        <v/>
      </c>
      <c r="BM407" s="74" t="str">
        <f aca="false">IF($BH407&lt;&gt;Constants!$B$4,"",IF(OR(NOT($AJ407),NOT(ISNUMBER($AX407))),0,CHOOSE($AX407,Constants!$B$13,Constants!$B$14,Constants!$B$15,Constants!$B$16)))</f>
        <v/>
      </c>
      <c r="BN407" s="74" t="str">
        <f aca="false">IF($BH407&lt;&gt;Constants!$B$4,"",IF(NOT($AJ407),0,Constants!$B$20*$AY407))</f>
        <v/>
      </c>
      <c r="BO407" s="74" t="str">
        <f aca="false">IF($BH407&lt;&gt;Constants!$B$4,"",IF(AND($AJ407,$BA407,$BB407),Constants!$B$22,0))</f>
        <v/>
      </c>
      <c r="BP407" s="74" t="str">
        <f aca="false">IF($BH407&lt;&gt;Constants!$B$4,"",IF(OR(NOT($AJ407),NOT($BA407)),0,IF($BF407&gt;=2*$AF$9,0,Constants!$B$23*INT(ROUND(MIN($BF407,$AF$9),6)))))</f>
        <v/>
      </c>
      <c r="BQ407" s="74" t="str">
        <f aca="false">IF($BH407&lt;&gt;Constants!$B$4,"",IF(NOT($AJ407),0,Constants!$B$24*INT(ROUND(MIN($AZ407,$AF$9),6))))</f>
        <v/>
      </c>
      <c r="BR407" s="74" t="str">
        <f aca="false">IF($BH407&lt;&gt;Constants!$B$4,"",IF(AND($AJ407,$BJ407=0),Constants!$B$25,0))</f>
        <v/>
      </c>
      <c r="BS407" s="74" t="str">
        <f aca="false">IF($BH407&lt;&gt;Constants!$B$4,"",MIN(Constants!$B$29,MAX(0,Constants!$B$27*Constants!$B$28*INT(ROUND((Constants!$B$26-$AL407)/Constants!$B$28,6))))+MIN(Constants!$B$29,MAX(0,Constants!$B$27*Constants!$B$28*INT(ROUND((Constants!$B$26-$AM407)/Constants!$B$28,6))))+MIN(Constants!$B$29,MAX(0,Constants!$B$27*Constants!$B$28*INT(ROUND((Constants!$B$26-$AN407)/Constants!$B$28,6)))))</f>
        <v/>
      </c>
      <c r="BT407" s="74" t="str">
        <f aca="false">IF($BH407&lt;&gt;Constants!$B$4,"",IF(NOT($AJ407),0,Constants!$B$31*INT(ROUND(MAX(0,MIN($BF407,2*$AF$9)-$AF$9),6))))</f>
        <v/>
      </c>
      <c r="BU407" s="74" t="str">
        <f aca="false">IF($BH407&lt;&gt;Constants!$B$4,"",Constants!$B$32*(($AL407&gt;Constants!$B$26)+($AM407&gt;Constants!$B$26)+($AN407&gt;Constants!$B$26)))</f>
        <v/>
      </c>
      <c r="BV407" s="74" t="str">
        <f aca="false">IF($BH407&lt;&gt;Constants!$B$4,"",IF(OR(NOT($AJ407),$AO407),0,Constants!$B$33))</f>
        <v/>
      </c>
      <c r="BW407" s="74" t="str">
        <f aca="false">IF($BH407&lt;&gt;Constants!$B$4,"",Constants!$B$34*$BJ407)</f>
        <v/>
      </c>
      <c r="BX407" s="74" t="str">
        <f aca="false">IF($BH407&lt;&gt;Constants!$B$4,"",IF(OR(NOT($AJ407),$BE407),0,Constants!$B$36))</f>
        <v/>
      </c>
      <c r="BY407" s="74" t="str">
        <f aca="false">IF($BH407&lt;&gt;Constants!$B$4,"",IF(OR(NOT($AJ407),$BD407),0,Constants!$B$37))</f>
        <v/>
      </c>
      <c r="BZ407" s="74" t="str">
        <f aca="false">IF($BH407&lt;&gt;Constants!$B$4,"",SUM($BT407:$BY407))</f>
        <v/>
      </c>
      <c r="CA407" s="74" t="str">
        <f aca="false">IF(ISBLANK($C407),"",IF($BH407&lt;&gt;Constants!$B$4,$BH407,SUM($BK407:$BS407)-$BZ407))</f>
        <v/>
      </c>
      <c r="CB407" s="74" t="str">
        <f aca="false">IF(ISBLANK($C407),"",IF($BH407&lt;&gt;Constants!$B$4,$BH407,RANK($CA407,$CA$9:$CA$508)))</f>
        <v/>
      </c>
      <c r="CC407" s="74" t="str">
        <f aca="false">IF(ISBLANK($C407),"",IF($BH407&lt;&gt;Constants!$B$4,$BH407,COUNTIFS($BI$9:$BI$508,"&lt;"&amp;$BI407)+COUNTIFS($BI$9:$BI$508,$BI407,$CB$9:$CB$508,"&lt;"&amp;$CB407)+1))</f>
        <v/>
      </c>
      <c r="CD407" s="74" t="str">
        <f aca="false">IF(ISBLANK($C407),"",IF($BH407&lt;&gt;Constants!$B$4,$BH407,RANK($BZ407,$BZ$9:$BZ$508,1)))</f>
        <v/>
      </c>
      <c r="CE407" s="74" t="str">
        <f aca="false">IF($BH407&lt;&gt;Constants!$B$4,"",$AL407+$AM407+$AN407)</f>
        <v/>
      </c>
      <c r="CF407" s="74" t="str">
        <f aca="false">IF(ISBLANK($C407),"",IF($BH407&lt;&gt;Constants!$B$4,$BH407,RANK($CE407,$CE$9:$CE$508,1)))</f>
        <v/>
      </c>
      <c r="CG407" s="74" t="str">
        <f aca="false">IF(ISBLANK($C407),"",IF($BH407&lt;&gt;Constants!$B$4,$BH407,COUNTIFS($BI$9:$BI$508,"&lt;"&amp;$BI407)+COUNTIFS($BI$9:$BI$508,$BI407,$CB$9:$CB$508,"&lt;"&amp;$CB407)+COUNTIFS($BI$9:$BI$508,$BI407,$CB$9:$CB$508,$CB407,$CD$9:$CD$508,"&lt;"&amp;$CD407)+COUNTIFS($BI$9:$BI$508,$BI407,$CB$9:$CB$508,$CB407,$CD$9:$CD$508,$CD407,$CF$9:$CF$508,"&lt;"&amp;$CF407)+1))</f>
        <v/>
      </c>
      <c r="CH407" s="74" t="str">
        <f aca="false">IF(ISBLANK($C407),"",IF($BH407&lt;&gt;Constants!$B$4,$BH407,$CC407-$CG407))</f>
        <v/>
      </c>
      <c r="CI407" s="74" t="str">
        <f aca="false">IF(ISBLANK($C407),"",IF(NOT($AJ407),"",IF(ISBLANK($D$7),$CI$5,IF(NOT(ISNUMBER($D$7)),$CI$6,""))))</f>
        <v/>
      </c>
      <c r="CJ407" s="74" t="str">
        <f aca="false">IF(ISBLANK($C407),"",OR($AL407="",$AM407="",$AN407=""))</f>
        <v/>
      </c>
      <c r="CK407" s="74" t="str">
        <f aca="false">IF(ISBLANK($C407),"",AND($AJ407,$AX407=""))</f>
        <v/>
      </c>
      <c r="CL407" s="74" t="str">
        <f aca="false">IF(ISBLANK($C407),"",AND($AJ407,$AY407=""))</f>
        <v/>
      </c>
      <c r="CM407" s="74" t="str">
        <f aca="false">IF(ISBLANK($C407),"",AND($AJ407,$AZ407=""))</f>
        <v/>
      </c>
      <c r="CN407" s="74" t="str">
        <f aca="false">IF(ISBLANK($C407),"",AND($AJ407,$BC407=""))</f>
        <v/>
      </c>
      <c r="CO407" s="74" t="str">
        <f aca="false">IF(ISBLANK($C407),"",AND($AJ407,$BF407=""))</f>
        <v/>
      </c>
      <c r="CP407" s="75"/>
      <c r="CQ407" s="76"/>
      <c r="CR407" s="79" t="str">
        <f aca="false">IF(ISBLANK($C407),"",IF($BH407=Constants!$B$8,$CI407,""))</f>
        <v/>
      </c>
      <c r="CS407" s="76" t="str">
        <f aca="false">IF(ISBLANK($C407),"",IF($BH407&lt;&gt;Constants!$B$4,"",$BK407+$BL407))</f>
        <v/>
      </c>
      <c r="CT407" s="78" t="str">
        <f aca="false">IF(ISBLANK($C407),"",IF($BH407&lt;&gt;Constants!$B$4,"",$BM407+$BN407+$BO407))</f>
        <v/>
      </c>
      <c r="CU407" s="78" t="str">
        <f aca="false">IF(ISBLANK($C407),"",IF($BH407&lt;&gt;Constants!$B$4,"",$BP407))</f>
        <v/>
      </c>
      <c r="CV407" s="78" t="str">
        <f aca="false">IF(ISBLANK($C407),"",IF($BH407&lt;&gt;Constants!$B$4,"",$BQ407+$BR407))</f>
        <v/>
      </c>
      <c r="CW407" s="78" t="str">
        <f aca="false">IF(ISBLANK($C407),"",IF($BH407&lt;&gt;Constants!$B$4,"",$BS407))</f>
        <v/>
      </c>
      <c r="CX407" s="78" t="str">
        <f aca="false">IF(ISBLANK($C407),"",IF($BH407&lt;&gt;Constants!$B$4,"",-$BZ407))</f>
        <v/>
      </c>
      <c r="CY407" s="79" t="str">
        <f aca="false">IF(ISBLANK($C407),"",$CA407)</f>
        <v/>
      </c>
      <c r="CZ407" s="80" t="str">
        <f aca="false">IF(ISBLANK($C407),"",$BI407)</f>
        <v/>
      </c>
      <c r="DA407" s="78" t="str">
        <f aca="false">IF(ISBLANK($C407),"",$CH407)</f>
        <v/>
      </c>
      <c r="DB407" s="78" t="str">
        <f aca="false">IF(ISBLANK($C407),"",$CG407)</f>
        <v/>
      </c>
      <c r="DC407" s="81" t="str">
        <f aca="false">IF(ISBLANK($C407),"",IFERROR(_xlfn.SWITCH($DB407,Constants!$B$7,COUNTA($C$9:$C$508)+2,Constants!$B$6,COUNTA($C$9:$C$508)+1,Constants!$B$5,COUNTA($C$9:$C$508)),$DB407))</f>
        <v/>
      </c>
      <c r="DD407" s="7"/>
      <c r="DE407" s="82" t="n">
        <f aca="false">IF(OR(ISNUMBER($DB407),$DB407=Constants!$B$7,$DB407=Constants!$B$5,$DB407=Constants!$B$6),1,0)</f>
        <v>0</v>
      </c>
      <c r="DF407" s="82" t="n">
        <v>399</v>
      </c>
      <c r="DG407" s="82" t="str">
        <f aca="false">IF(ISBLANK($C407),"",IF(ISNUMBER($DC407),$DC407+ROW($B407)/1000,""))</f>
        <v/>
      </c>
      <c r="DH407" s="82" t="str">
        <f aca="false">IF(ISNUMBER($DG407),RANK($DG407,$DG$9:$DG$508,1),"")</f>
        <v/>
      </c>
      <c r="DI407" s="82" t="str">
        <f aca="false">IF(ISBLANK($C407),"",$B407)</f>
        <v/>
      </c>
      <c r="DJ407" s="82" t="str">
        <f aca="false">IF(ISBLANK($C407),"",$C407)</f>
        <v/>
      </c>
      <c r="DK407" s="82" t="str">
        <f aca="false">IF(ISBLANK($C407),"",$D407)</f>
        <v/>
      </c>
      <c r="DL407" s="83" t="str">
        <f aca="false">$CZ407</f>
        <v/>
      </c>
      <c r="DM407" s="84" t="str">
        <f aca="false">$CY407</f>
        <v/>
      </c>
      <c r="DN407" s="82" t="str">
        <f aca="false">IF(ISBLANK($C407),"",$DB407)</f>
        <v/>
      </c>
      <c r="DO407" s="85" t="str">
        <f aca="false">IF($DF407&gt;$DE$8,"",VLOOKUP($DF407,$DH$9:$DN$508,7,FALSE()))</f>
        <v/>
      </c>
      <c r="DP407" s="86" t="str">
        <f aca="false">IF($DF407&gt;$DE$8,"",VLOOKUP($DF407,$DH$9:$DN$508,2,FALSE()))</f>
        <v/>
      </c>
      <c r="DQ407" s="86" t="str">
        <f aca="false">IF($DF407&gt;$DE$8,"",VLOOKUP($DF407,$DH$9:$DN$508,3,FALSE()))</f>
        <v/>
      </c>
      <c r="DR407" s="86" t="str">
        <f aca="false">IF($DF407&gt;$DE$8,"",VLOOKUP($DF407,$DH$9:$DN$508,4,FALSE()))</f>
        <v/>
      </c>
      <c r="DS407" s="86" t="str">
        <f aca="false">IF($DF407&gt;$DE$8,"",VLOOKUP($DF407,$DH$9:$DN$508,5,FALSE()))</f>
        <v/>
      </c>
      <c r="DT407" s="87" t="str">
        <f aca="false">IF($DF407&gt;$DE$8,"",VLOOKUP($DF407,$DH$9:$DN$508,6,FALSE()))</f>
        <v/>
      </c>
      <c r="DU407" s="62"/>
    </row>
    <row r="408" customFormat="false" ht="15.75" hidden="false" customHeight="false" outlineLevel="0" collapsed="false">
      <c r="A408" s="7"/>
      <c r="B408" s="90"/>
      <c r="C408" s="91"/>
      <c r="D408" s="126"/>
      <c r="E408" s="130"/>
      <c r="F408" s="135"/>
      <c r="G408" s="130"/>
      <c r="H408" s="135"/>
      <c r="I408" s="131"/>
      <c r="J408" s="131"/>
      <c r="K408" s="131"/>
      <c r="L408" s="130"/>
      <c r="M408" s="130"/>
      <c r="N408" s="130"/>
      <c r="O408" s="135"/>
      <c r="P408" s="130"/>
      <c r="Q408" s="130"/>
      <c r="R408" s="130"/>
      <c r="S408" s="130"/>
      <c r="T408" s="135"/>
      <c r="U408" s="130"/>
      <c r="V408" s="96"/>
      <c r="W408" s="130"/>
      <c r="X408" s="130"/>
      <c r="Y408" s="96"/>
      <c r="Z408" s="96"/>
      <c r="AA408" s="130"/>
      <c r="AB408" s="130"/>
      <c r="AC408" s="97"/>
      <c r="AD408" s="130"/>
      <c r="AE408" s="99"/>
      <c r="AF408" s="100"/>
      <c r="AG408" s="100"/>
      <c r="AH408" s="100" t="str">
        <f aca="false">IF(ISBLANK($C408),"",IF($E408=Constants!$B$2,TRUE(),IF($E408=Constants!$B$3,FALSE(),TRUE())))</f>
        <v/>
      </c>
      <c r="AI408" s="100" t="str">
        <f aca="false">IF(ISBLANK($C408),"",IF($F408=Constants!$B$2,TRUE(),IF($F408=Constants!$B$3,FALSE(),FALSE())))</f>
        <v/>
      </c>
      <c r="AJ408" s="100" t="str">
        <f aca="false">IF(ISBLANK($C408),"",IF($G408=Constants!$B$2,TRUE(),IF($G408=Constants!$B$3,FALSE(),TRUE())))</f>
        <v/>
      </c>
      <c r="AK408" s="100" t="str">
        <f aca="false">IF(ISBLANK($C408),"",IF($H408=Constants!$B$2,TRUE(),IF($H408=Constants!$B$3,FALSE(),TRUE())))</f>
        <v/>
      </c>
      <c r="AL408" s="100" t="str">
        <f aca="false">IF(ISBLANK($C408),"",IF(ISNUMBER($I408),IF($I408&gt;=0,$I408,""),""))</f>
        <v/>
      </c>
      <c r="AM408" s="100" t="str">
        <f aca="false">IF(ISBLANK($C408),"",IF(ISNUMBER($J408),IF($J408&gt;=0,$J408,""),""))</f>
        <v/>
      </c>
      <c r="AN408" s="100" t="str">
        <f aca="false">IF(ISBLANK($C408),"",IF(ISNUMBER($K408),IF($K408&gt;=0,$K408,""),""))</f>
        <v/>
      </c>
      <c r="AO408" s="100" t="str">
        <f aca="false">IF(ISBLANK($C408),"",IF($L408=Constants!$B$2,TRUE(),IF($L408=Constants!$B$3,FALSE(),TRUE())))</f>
        <v/>
      </c>
      <c r="AP408" s="100" t="str">
        <f aca="false">IF(ISBLANK($C408),"",IF($M408=Constants!$B$2,TRUE(),IF($M408=Constants!$B$3,FALSE(),TRUE())))</f>
        <v/>
      </c>
      <c r="AQ408" s="100" t="str">
        <f aca="false">IF(ISBLANK($C408),"",IF($N408=Constants!$B$2,TRUE(),IF($N408=Constants!$B$3,FALSE(),FALSE())))</f>
        <v/>
      </c>
      <c r="AR408" s="100" t="str">
        <f aca="false">IF(ISBLANK($C408),"",IF($O408=Constants!$B$2,TRUE(),IF($O408=Constants!$B$3,FALSE(),TRUE())))</f>
        <v/>
      </c>
      <c r="AS408" s="100" t="str">
        <f aca="false">IF(ISBLANK($C408),"",IF($P408=Constants!$B$2,TRUE(),IF($P408=Constants!$B$3,FALSE(),FALSE())))</f>
        <v/>
      </c>
      <c r="AT408" s="100" t="str">
        <f aca="false">IF(ISBLANK($C408),"",IF($Q408=Constants!$B$2,TRUE(),IF($Q408=Constants!$B$3,FALSE(),FALSE())))</f>
        <v/>
      </c>
      <c r="AU408" s="100" t="str">
        <f aca="false">IF(ISBLANK($C408),"",IF($R408=Constants!$B$2,TRUE(),IF($R408=Constants!$B$3,FALSE(),FALSE())))</f>
        <v/>
      </c>
      <c r="AV408" s="100" t="str">
        <f aca="false">IF(ISBLANK($C408),"",IF($S408=Constants!$B$2,TRUE(),IF($S408=Constants!$B$3,FALSE(),FALSE())))</f>
        <v/>
      </c>
      <c r="AW408" s="100" t="str">
        <f aca="false">IF(ISBLANK($C408),"",IF($T408=Constants!$B$2,TRUE(),IF($T408=Constants!$B$3,FALSE(),FALSE())))</f>
        <v/>
      </c>
      <c r="AX408" s="100" t="str">
        <f aca="false">IF(ISBLANK($C408),"",IF(OR($U408&amp;""="1",$U408&amp;""="2",$U408&amp;""="3",$U408&amp;""="4"),VALUE($U408&amp;""),IF($U408=Constants!$B$12,Constants!$B$12,"")))</f>
        <v/>
      </c>
      <c r="AY408" s="100" t="str">
        <f aca="false">IF(ISBLANK($C408),"",IF(ISBLANK($V408),0,IF(ISNUMBER($V408),IF(AND($V408&gt;=0,$V408&lt;=Constants!$B$21,$V408=INT($V408)),$V408,""),"")))</f>
        <v/>
      </c>
      <c r="AZ408" s="100" t="str">
        <f aca="false">IF(ISBLANK($C408),"",IF(ISBLANK($W408),0,IF(ISNUMBER($W408),IF($W408&gt;=0,$W408,""),"")))</f>
        <v/>
      </c>
      <c r="BA408" s="100" t="str">
        <f aca="false">IF(ISBLANK($C408),"",IF($X408=Constants!$B$2,TRUE(),IF($X408=Constants!$B$3,FALSE(),TRUE())))</f>
        <v/>
      </c>
      <c r="BB408" s="100" t="str">
        <f aca="false">IF(ISBLANK($C408),"",IF($Y408=Constants!$B$2,TRUE(),IF($Y408=Constants!$B$3,FALSE(),FALSE())))</f>
        <v/>
      </c>
      <c r="BC408" s="100" t="str">
        <f aca="false">IF(ISBLANK($C408),"",IF(ISBLANK($Z408),0,IF(ISNUMBER($Z408),IF(AND($Z408&gt;=0,$Z408&lt;=Constants!$B$35,$Z408=INT($Z408)),$Z408,""),"")))</f>
        <v/>
      </c>
      <c r="BD408" s="100" t="str">
        <f aca="false">IF(ISBLANK($C408),"",IF($AA408=Constants!$B$2,TRUE(),IF($AA408=Constants!$B$3,FALSE(),TRUE())))</f>
        <v/>
      </c>
      <c r="BE408" s="100" t="str">
        <f aca="false">IF(ISBLANK($C408),"",IF($AB408=Constants!$B$2,TRUE(),IF($AB408=Constants!$B$3,FALSE(),TRUE())))</f>
        <v/>
      </c>
      <c r="BF408" s="100" t="str">
        <f aca="false">IF(ISBLANK($C408),"",IF(ISNUMBER($AC408),IF($AC408&gt;=0,$AC408,""),""))</f>
        <v/>
      </c>
      <c r="BG408" s="100" t="str">
        <f aca="false">IF(ISBLANK($C408),"",IF($AD408=Constants!$B$2,TRUE(),IF($AD408=Constants!$B$3,FALSE(),FALSE())))</f>
        <v/>
      </c>
      <c r="BH408" s="99" t="str">
        <f aca="false">IF(ISBLANK($C408),"",IF($BG408,Constants!$B$7,IF(COUNTA($E408:$AC408)=0,Constants!$B$6,IF(OR(COUNTA($G408:$AC408)=0,NOT($AK408),$AQ408),Constants!$B$5,IF(OR($CI408&lt;&gt;"",$CJ408,$CK408,$CL408,$CM408,$CN408,$CO408),Constants!$B$8,Constants!$B$4)))))</f>
        <v/>
      </c>
      <c r="BI408" s="100" t="str">
        <f aca="false">IF(ISBLANK($C408),"",IF($BH408&lt;&gt;Constants!$B$4,$BH408,IF(OR(NOT($AH408),NOT($AJ408),NOT($AR408)),Constants!$B$11,IF(OR(NOT($AP408),MAX($AL408,$AM408,$AN408)&gt;Constants!$B$30),Constants!$B$10,Constants!$B$9))))</f>
        <v/>
      </c>
      <c r="BJ408" s="100" t="str">
        <f aca="false">IF($BH408&lt;&gt;Constants!$B$4,"",IF(NOT($AJ408),0,MIN(Constants!$B$35,$BC408)))</f>
        <v/>
      </c>
      <c r="BK408" s="100" t="str">
        <f aca="false">IF($BH408&lt;&gt;Constants!$B$4,"",IF(NOT($AJ408),0,IF($AT408,Constants!$B$18,IF($AS408,Constants!$B$17,0))))</f>
        <v/>
      </c>
      <c r="BL408" s="100" t="str">
        <f aca="false">IF($BH408&lt;&gt;Constants!$B$4,"",IF(NOT($AJ408),0,Constants!$B$19*($AI408+$AU408+$AV408+$AW408)))</f>
        <v/>
      </c>
      <c r="BM408" s="100" t="str">
        <f aca="false">IF($BH408&lt;&gt;Constants!$B$4,"",IF(OR(NOT($AJ408),NOT(ISNUMBER($AX408))),0,CHOOSE($AX408,Constants!$B$13,Constants!$B$14,Constants!$B$15,Constants!$B$16)))</f>
        <v/>
      </c>
      <c r="BN408" s="100" t="str">
        <f aca="false">IF($BH408&lt;&gt;Constants!$B$4,"",IF(NOT($AJ408),0,Constants!$B$20*$AY408))</f>
        <v/>
      </c>
      <c r="BO408" s="100" t="str">
        <f aca="false">IF($BH408&lt;&gt;Constants!$B$4,"",IF(AND($AJ408,$BA408,$BB408),Constants!$B$22,0))</f>
        <v/>
      </c>
      <c r="BP408" s="100" t="str">
        <f aca="false">IF($BH408&lt;&gt;Constants!$B$4,"",IF(OR(NOT($AJ408),NOT($BA408)),0,IF($BF408&gt;=2*$AF$9,0,Constants!$B$23*INT(ROUND(MIN($BF408,$AF$9),6)))))</f>
        <v/>
      </c>
      <c r="BQ408" s="100" t="str">
        <f aca="false">IF($BH408&lt;&gt;Constants!$B$4,"",IF(NOT($AJ408),0,Constants!$B$24*INT(ROUND(MIN($AZ408,$AF$9),6))))</f>
        <v/>
      </c>
      <c r="BR408" s="100" t="str">
        <f aca="false">IF($BH408&lt;&gt;Constants!$B$4,"",IF(AND($AJ408,$BJ408=0),Constants!$B$25,0))</f>
        <v/>
      </c>
      <c r="BS408" s="100" t="str">
        <f aca="false">IF($BH408&lt;&gt;Constants!$B$4,"",MIN(Constants!$B$29,MAX(0,Constants!$B$27*Constants!$B$28*INT(ROUND((Constants!$B$26-$AL408)/Constants!$B$28,6))))+MIN(Constants!$B$29,MAX(0,Constants!$B$27*Constants!$B$28*INT(ROUND((Constants!$B$26-$AM408)/Constants!$B$28,6))))+MIN(Constants!$B$29,MAX(0,Constants!$B$27*Constants!$B$28*INT(ROUND((Constants!$B$26-$AN408)/Constants!$B$28,6)))))</f>
        <v/>
      </c>
      <c r="BT408" s="100" t="str">
        <f aca="false">IF($BH408&lt;&gt;Constants!$B$4,"",IF(NOT($AJ408),0,Constants!$B$31*INT(ROUND(MAX(0,MIN($BF408,2*$AF$9)-$AF$9),6))))</f>
        <v/>
      </c>
      <c r="BU408" s="100" t="str">
        <f aca="false">IF($BH408&lt;&gt;Constants!$B$4,"",Constants!$B$32*(($AL408&gt;Constants!$B$26)+($AM408&gt;Constants!$B$26)+($AN408&gt;Constants!$B$26)))</f>
        <v/>
      </c>
      <c r="BV408" s="100" t="str">
        <f aca="false">IF($BH408&lt;&gt;Constants!$B$4,"",IF(OR(NOT($AJ408),$AO408),0,Constants!$B$33))</f>
        <v/>
      </c>
      <c r="BW408" s="100" t="str">
        <f aca="false">IF($BH408&lt;&gt;Constants!$B$4,"",Constants!$B$34*$BJ408)</f>
        <v/>
      </c>
      <c r="BX408" s="100" t="str">
        <f aca="false">IF($BH408&lt;&gt;Constants!$B$4,"",IF(OR(NOT($AJ408),$BE408),0,Constants!$B$36))</f>
        <v/>
      </c>
      <c r="BY408" s="100" t="str">
        <f aca="false">IF($BH408&lt;&gt;Constants!$B$4,"",IF(OR(NOT($AJ408),$BD408),0,Constants!$B$37))</f>
        <v/>
      </c>
      <c r="BZ408" s="100" t="str">
        <f aca="false">IF($BH408&lt;&gt;Constants!$B$4,"",SUM($BT408:$BY408))</f>
        <v/>
      </c>
      <c r="CA408" s="100" t="str">
        <f aca="false">IF(ISBLANK($C408),"",IF($BH408&lt;&gt;Constants!$B$4,$BH408,SUM($BK408:$BS408)-$BZ408))</f>
        <v/>
      </c>
      <c r="CB408" s="100" t="str">
        <f aca="false">IF(ISBLANK($C408),"",IF($BH408&lt;&gt;Constants!$B$4,$BH408,RANK($CA408,$CA$9:$CA$508)))</f>
        <v/>
      </c>
      <c r="CC408" s="100" t="str">
        <f aca="false">IF(ISBLANK($C408),"",IF($BH408&lt;&gt;Constants!$B$4,$BH408,COUNTIFS($BI$9:$BI$508,"&lt;"&amp;$BI408)+COUNTIFS($BI$9:$BI$508,$BI408,$CB$9:$CB$508,"&lt;"&amp;$CB408)+1))</f>
        <v/>
      </c>
      <c r="CD408" s="100" t="str">
        <f aca="false">IF(ISBLANK($C408),"",IF($BH408&lt;&gt;Constants!$B$4,$BH408,RANK($BZ408,$BZ$9:$BZ$508,1)))</f>
        <v/>
      </c>
      <c r="CE408" s="100" t="str">
        <f aca="false">IF($BH408&lt;&gt;Constants!$B$4,"",$AL408+$AM408+$AN408)</f>
        <v/>
      </c>
      <c r="CF408" s="100" t="str">
        <f aca="false">IF(ISBLANK($C408),"",IF($BH408&lt;&gt;Constants!$B$4,$BH408,RANK($CE408,$CE$9:$CE$508,1)))</f>
        <v/>
      </c>
      <c r="CG408" s="100" t="str">
        <f aca="false">IF(ISBLANK($C408),"",IF($BH408&lt;&gt;Constants!$B$4,$BH408,COUNTIFS($BI$9:$BI$508,"&lt;"&amp;$BI408)+COUNTIFS($BI$9:$BI$508,$BI408,$CB$9:$CB$508,"&lt;"&amp;$CB408)+COUNTIFS($BI$9:$BI$508,$BI408,$CB$9:$CB$508,$CB408,$CD$9:$CD$508,"&lt;"&amp;$CD408)+COUNTIFS($BI$9:$BI$508,$BI408,$CB$9:$CB$508,$CB408,$CD$9:$CD$508,$CD408,$CF$9:$CF$508,"&lt;"&amp;$CF408)+1))</f>
        <v/>
      </c>
      <c r="CH408" s="100" t="str">
        <f aca="false">IF(ISBLANK($C408),"",IF($BH408&lt;&gt;Constants!$B$4,$BH408,$CC408-$CG408))</f>
        <v/>
      </c>
      <c r="CI408" s="100" t="str">
        <f aca="false">IF(ISBLANK($C408),"",IF(NOT($AJ408),"",IF(ISBLANK($D$7),$CI$5,IF(NOT(ISNUMBER($D$7)),$CI$6,""))))</f>
        <v/>
      </c>
      <c r="CJ408" s="100" t="str">
        <f aca="false">IF(ISBLANK($C408),"",OR($AL408="",$AM408="",$AN408=""))</f>
        <v/>
      </c>
      <c r="CK408" s="100" t="str">
        <f aca="false">IF(ISBLANK($C408),"",AND($AJ408,$AX408=""))</f>
        <v/>
      </c>
      <c r="CL408" s="100" t="str">
        <f aca="false">IF(ISBLANK($C408),"",AND($AJ408,$AY408=""))</f>
        <v/>
      </c>
      <c r="CM408" s="100" t="str">
        <f aca="false">IF(ISBLANK($C408),"",AND($AJ408,$AZ408=""))</f>
        <v/>
      </c>
      <c r="CN408" s="100" t="str">
        <f aca="false">IF(ISBLANK($C408),"",AND($AJ408,$BC408=""))</f>
        <v/>
      </c>
      <c r="CO408" s="100" t="str">
        <f aca="false">IF(ISBLANK($C408),"",AND($AJ408,$BF408=""))</f>
        <v/>
      </c>
      <c r="CP408" s="101"/>
      <c r="CQ408" s="102"/>
      <c r="CR408" s="103" t="str">
        <f aca="false">IF(ISBLANK($C408),"",IF($BH408=Constants!$B$8,$CI408,""))</f>
        <v/>
      </c>
      <c r="CS408" s="102" t="str">
        <f aca="false">IF(ISBLANK($C408),"",IF($BH408&lt;&gt;Constants!$B$4,"",$BK408+$BL408))</f>
        <v/>
      </c>
      <c r="CT408" s="104" t="str">
        <f aca="false">IF(ISBLANK($C408),"",IF($BH408&lt;&gt;Constants!$B$4,"",$BM408+$BN408+$BO408))</f>
        <v/>
      </c>
      <c r="CU408" s="104" t="str">
        <f aca="false">IF(ISBLANK($C408),"",IF($BH408&lt;&gt;Constants!$B$4,"",$BP408))</f>
        <v/>
      </c>
      <c r="CV408" s="104" t="str">
        <f aca="false">IF(ISBLANK($C408),"",IF($BH408&lt;&gt;Constants!$B$4,"",$BQ408+$BR408))</f>
        <v/>
      </c>
      <c r="CW408" s="104" t="str">
        <f aca="false">IF(ISBLANK($C408),"",IF($BH408&lt;&gt;Constants!$B$4,"",$BS408))</f>
        <v/>
      </c>
      <c r="CX408" s="104" t="str">
        <f aca="false">IF(ISBLANK($C408),"",IF($BH408&lt;&gt;Constants!$B$4,"",-$BZ408))</f>
        <v/>
      </c>
      <c r="CY408" s="103" t="str">
        <f aca="false">IF(ISBLANK($C408),"",$CA408)</f>
        <v/>
      </c>
      <c r="CZ408" s="105" t="str">
        <f aca="false">IF(ISBLANK($C408),"",$BI408)</f>
        <v/>
      </c>
      <c r="DA408" s="104" t="str">
        <f aca="false">IF(ISBLANK($C408),"",$CH408)</f>
        <v/>
      </c>
      <c r="DB408" s="104" t="str">
        <f aca="false">IF(ISBLANK($C408),"",$CG408)</f>
        <v/>
      </c>
      <c r="DC408" s="106" t="str">
        <f aca="false">IF(ISBLANK($C408),"",IFERROR(_xlfn.SWITCH($DB408,Constants!$B$7,COUNTA($C$9:$C$508)+2,Constants!$B$6,COUNTA($C$9:$C$508)+1,Constants!$B$5,COUNTA($C$9:$C$508)),$DB408))</f>
        <v/>
      </c>
      <c r="DD408" s="7"/>
      <c r="DE408" s="107" t="n">
        <f aca="false">IF(OR(ISNUMBER($DB408),$DB408=Constants!$B$7,$DB408=Constants!$B$5,$DB408=Constants!$B$6),1,0)</f>
        <v>0</v>
      </c>
      <c r="DF408" s="107" t="n">
        <v>400</v>
      </c>
      <c r="DG408" s="107" t="str">
        <f aca="false">IF(ISBLANK($C408),"",IF(ISNUMBER($DC408),$DC408+ROW($B408)/1000,""))</f>
        <v/>
      </c>
      <c r="DH408" s="107" t="str">
        <f aca="false">IF(ISNUMBER($DG408),RANK($DG408,$DG$9:$DG$508,1),"")</f>
        <v/>
      </c>
      <c r="DI408" s="107" t="str">
        <f aca="false">IF(ISBLANK($C408),"",$B408)</f>
        <v/>
      </c>
      <c r="DJ408" s="107" t="str">
        <f aca="false">IF(ISBLANK($C408),"",$C408)</f>
        <v/>
      </c>
      <c r="DK408" s="107" t="str">
        <f aca="false">IF(ISBLANK($C408),"",$D408)</f>
        <v/>
      </c>
      <c r="DL408" s="108" t="str">
        <f aca="false">$CZ408</f>
        <v/>
      </c>
      <c r="DM408" s="109" t="str">
        <f aca="false">$CY408</f>
        <v/>
      </c>
      <c r="DN408" s="107" t="str">
        <f aca="false">IF(ISBLANK($C408),"",$DB408)</f>
        <v/>
      </c>
      <c r="DO408" s="110" t="str">
        <f aca="false">IF($DF408&gt;$DE$8,"",VLOOKUP($DF408,$DH$9:$DN$508,7,FALSE()))</f>
        <v/>
      </c>
      <c r="DP408" s="111" t="str">
        <f aca="false">IF($DF408&gt;$DE$8,"",VLOOKUP($DF408,$DH$9:$DN$508,2,FALSE()))</f>
        <v/>
      </c>
      <c r="DQ408" s="111" t="str">
        <f aca="false">IF($DF408&gt;$DE$8,"",VLOOKUP($DF408,$DH$9:$DN$508,3,FALSE()))</f>
        <v/>
      </c>
      <c r="DR408" s="111" t="str">
        <f aca="false">IF($DF408&gt;$DE$8,"",VLOOKUP($DF408,$DH$9:$DN$508,4,FALSE()))</f>
        <v/>
      </c>
      <c r="DS408" s="111" t="str">
        <f aca="false">IF($DF408&gt;$DE$8,"",VLOOKUP($DF408,$DH$9:$DN$508,5,FALSE()))</f>
        <v/>
      </c>
      <c r="DT408" s="112" t="str">
        <f aca="false">IF($DF408&gt;$DE$8,"",VLOOKUP($DF408,$DH$9:$DN$508,6,FALSE()))</f>
        <v/>
      </c>
      <c r="DU408" s="62"/>
    </row>
    <row r="409" customFormat="false" ht="15.75" hidden="false" customHeight="false" outlineLevel="0" collapsed="false">
      <c r="A409" s="7"/>
      <c r="B409" s="90"/>
      <c r="C409" s="91"/>
      <c r="D409" s="126"/>
      <c r="E409" s="130"/>
      <c r="F409" s="135"/>
      <c r="G409" s="130"/>
      <c r="H409" s="135"/>
      <c r="I409" s="131"/>
      <c r="J409" s="131"/>
      <c r="K409" s="131"/>
      <c r="L409" s="130"/>
      <c r="M409" s="130"/>
      <c r="N409" s="130"/>
      <c r="O409" s="135"/>
      <c r="P409" s="130"/>
      <c r="Q409" s="130"/>
      <c r="R409" s="130"/>
      <c r="S409" s="130"/>
      <c r="T409" s="135"/>
      <c r="U409" s="130"/>
      <c r="V409" s="96"/>
      <c r="W409" s="130"/>
      <c r="X409" s="130"/>
      <c r="Y409" s="96"/>
      <c r="Z409" s="96"/>
      <c r="AA409" s="130"/>
      <c r="AB409" s="130"/>
      <c r="AC409" s="97"/>
      <c r="AD409" s="130"/>
      <c r="AE409" s="99"/>
      <c r="AF409" s="100"/>
      <c r="AG409" s="100"/>
      <c r="AH409" s="100" t="str">
        <f aca="false">IF(ISBLANK($C409),"",IF($E409=Constants!$B$2,TRUE(),IF($E409=Constants!$B$3,FALSE(),TRUE())))</f>
        <v/>
      </c>
      <c r="AI409" s="100" t="str">
        <f aca="false">IF(ISBLANK($C409),"",IF($F409=Constants!$B$2,TRUE(),IF($F409=Constants!$B$3,FALSE(),FALSE())))</f>
        <v/>
      </c>
      <c r="AJ409" s="100" t="str">
        <f aca="false">IF(ISBLANK($C409),"",IF($G409=Constants!$B$2,TRUE(),IF($G409=Constants!$B$3,FALSE(),TRUE())))</f>
        <v/>
      </c>
      <c r="AK409" s="100" t="str">
        <f aca="false">IF(ISBLANK($C409),"",IF($H409=Constants!$B$2,TRUE(),IF($H409=Constants!$B$3,FALSE(),TRUE())))</f>
        <v/>
      </c>
      <c r="AL409" s="100" t="str">
        <f aca="false">IF(ISBLANK($C409),"",IF(ISNUMBER($I409),IF($I409&gt;=0,$I409,""),""))</f>
        <v/>
      </c>
      <c r="AM409" s="100" t="str">
        <f aca="false">IF(ISBLANK($C409),"",IF(ISNUMBER($J409),IF($J409&gt;=0,$J409,""),""))</f>
        <v/>
      </c>
      <c r="AN409" s="100" t="str">
        <f aca="false">IF(ISBLANK($C409),"",IF(ISNUMBER($K409),IF($K409&gt;=0,$K409,""),""))</f>
        <v/>
      </c>
      <c r="AO409" s="100" t="str">
        <f aca="false">IF(ISBLANK($C409),"",IF($L409=Constants!$B$2,TRUE(),IF($L409=Constants!$B$3,FALSE(),TRUE())))</f>
        <v/>
      </c>
      <c r="AP409" s="100" t="str">
        <f aca="false">IF(ISBLANK($C409),"",IF($M409=Constants!$B$2,TRUE(),IF($M409=Constants!$B$3,FALSE(),TRUE())))</f>
        <v/>
      </c>
      <c r="AQ409" s="100" t="str">
        <f aca="false">IF(ISBLANK($C409),"",IF($N409=Constants!$B$2,TRUE(),IF($N409=Constants!$B$3,FALSE(),FALSE())))</f>
        <v/>
      </c>
      <c r="AR409" s="100" t="str">
        <f aca="false">IF(ISBLANK($C409),"",IF($O409=Constants!$B$2,TRUE(),IF($O409=Constants!$B$3,FALSE(),TRUE())))</f>
        <v/>
      </c>
      <c r="AS409" s="100" t="str">
        <f aca="false">IF(ISBLANK($C409),"",IF($P409=Constants!$B$2,TRUE(),IF($P409=Constants!$B$3,FALSE(),FALSE())))</f>
        <v/>
      </c>
      <c r="AT409" s="100" t="str">
        <f aca="false">IF(ISBLANK($C409),"",IF($Q409=Constants!$B$2,TRUE(),IF($Q409=Constants!$B$3,FALSE(),FALSE())))</f>
        <v/>
      </c>
      <c r="AU409" s="100" t="str">
        <f aca="false">IF(ISBLANK($C409),"",IF($R409=Constants!$B$2,TRUE(),IF($R409=Constants!$B$3,FALSE(),FALSE())))</f>
        <v/>
      </c>
      <c r="AV409" s="100" t="str">
        <f aca="false">IF(ISBLANK($C409),"",IF($S409=Constants!$B$2,TRUE(),IF($S409=Constants!$B$3,FALSE(),FALSE())))</f>
        <v/>
      </c>
      <c r="AW409" s="100" t="str">
        <f aca="false">IF(ISBLANK($C409),"",IF($T409=Constants!$B$2,TRUE(),IF($T409=Constants!$B$3,FALSE(),FALSE())))</f>
        <v/>
      </c>
      <c r="AX409" s="100" t="str">
        <f aca="false">IF(ISBLANK($C409),"",IF(OR($U409&amp;""="1",$U409&amp;""="2",$U409&amp;""="3",$U409&amp;""="4"),VALUE($U409&amp;""),IF($U409=Constants!$B$12,Constants!$B$12,"")))</f>
        <v/>
      </c>
      <c r="AY409" s="100" t="str">
        <f aca="false">IF(ISBLANK($C409),"",IF(ISBLANK($V409),0,IF(ISNUMBER($V409),IF(AND($V409&gt;=0,$V409&lt;=Constants!$B$21,$V409=INT($V409)),$V409,""),"")))</f>
        <v/>
      </c>
      <c r="AZ409" s="100" t="str">
        <f aca="false">IF(ISBLANK($C409),"",IF(ISBLANK($W409),0,IF(ISNUMBER($W409),IF($W409&gt;=0,$W409,""),"")))</f>
        <v/>
      </c>
      <c r="BA409" s="100" t="str">
        <f aca="false">IF(ISBLANK($C409),"",IF($X409=Constants!$B$2,TRUE(),IF($X409=Constants!$B$3,FALSE(),TRUE())))</f>
        <v/>
      </c>
      <c r="BB409" s="100" t="str">
        <f aca="false">IF(ISBLANK($C409),"",IF($Y409=Constants!$B$2,TRUE(),IF($Y409=Constants!$B$3,FALSE(),FALSE())))</f>
        <v/>
      </c>
      <c r="BC409" s="100" t="str">
        <f aca="false">IF(ISBLANK($C409),"",IF(ISBLANK($Z409),0,IF(ISNUMBER($Z409),IF(AND($Z409&gt;=0,$Z409&lt;=Constants!$B$35,$Z409=INT($Z409)),$Z409,""),"")))</f>
        <v/>
      </c>
      <c r="BD409" s="100" t="str">
        <f aca="false">IF(ISBLANK($C409),"",IF($AA409=Constants!$B$2,TRUE(),IF($AA409=Constants!$B$3,FALSE(),TRUE())))</f>
        <v/>
      </c>
      <c r="BE409" s="100" t="str">
        <f aca="false">IF(ISBLANK($C409),"",IF($AB409=Constants!$B$2,TRUE(),IF($AB409=Constants!$B$3,FALSE(),TRUE())))</f>
        <v/>
      </c>
      <c r="BF409" s="100" t="str">
        <f aca="false">IF(ISBLANK($C409),"",IF(ISNUMBER($AC409),IF($AC409&gt;=0,$AC409,""),""))</f>
        <v/>
      </c>
      <c r="BG409" s="100" t="str">
        <f aca="false">IF(ISBLANK($C409),"",IF($AD409=Constants!$B$2,TRUE(),IF($AD409=Constants!$B$3,FALSE(),FALSE())))</f>
        <v/>
      </c>
      <c r="BH409" s="99" t="str">
        <f aca="false">IF(ISBLANK($C409),"",IF($BG409,Constants!$B$7,IF(COUNTA($E409:$AC409)=0,Constants!$B$6,IF(OR(COUNTA($G409:$AC409)=0,NOT($AK409),$AQ409),Constants!$B$5,IF(OR($CI409&lt;&gt;"",$CJ409,$CK409,$CL409,$CM409,$CN409,$CO409),Constants!$B$8,Constants!$B$4)))))</f>
        <v/>
      </c>
      <c r="BI409" s="100" t="str">
        <f aca="false">IF(ISBLANK($C409),"",IF($BH409&lt;&gt;Constants!$B$4,$BH409,IF(OR(NOT($AH409),NOT($AJ409),NOT($AR409)),Constants!$B$11,IF(OR(NOT($AP409),MAX($AL409,$AM409,$AN409)&gt;Constants!$B$30),Constants!$B$10,Constants!$B$9))))</f>
        <v/>
      </c>
      <c r="BJ409" s="100" t="str">
        <f aca="false">IF($BH409&lt;&gt;Constants!$B$4,"",IF(NOT($AJ409),0,MIN(Constants!$B$35,$BC409)))</f>
        <v/>
      </c>
      <c r="BK409" s="100" t="str">
        <f aca="false">IF($BH409&lt;&gt;Constants!$B$4,"",IF(NOT($AJ409),0,IF($AT409,Constants!$B$18,IF($AS409,Constants!$B$17,0))))</f>
        <v/>
      </c>
      <c r="BL409" s="100" t="str">
        <f aca="false">IF($BH409&lt;&gt;Constants!$B$4,"",IF(NOT($AJ409),0,Constants!$B$19*($AI409+$AU409+$AV409+$AW409)))</f>
        <v/>
      </c>
      <c r="BM409" s="100" t="str">
        <f aca="false">IF($BH409&lt;&gt;Constants!$B$4,"",IF(OR(NOT($AJ409),NOT(ISNUMBER($AX409))),0,CHOOSE($AX409,Constants!$B$13,Constants!$B$14,Constants!$B$15,Constants!$B$16)))</f>
        <v/>
      </c>
      <c r="BN409" s="100" t="str">
        <f aca="false">IF($BH409&lt;&gt;Constants!$B$4,"",IF(NOT($AJ409),0,Constants!$B$20*$AY409))</f>
        <v/>
      </c>
      <c r="BO409" s="100" t="str">
        <f aca="false">IF($BH409&lt;&gt;Constants!$B$4,"",IF(AND($AJ409,$BA409,$BB409),Constants!$B$22,0))</f>
        <v/>
      </c>
      <c r="BP409" s="100" t="str">
        <f aca="false">IF($BH409&lt;&gt;Constants!$B$4,"",IF(OR(NOT($AJ409),NOT($BA409)),0,IF($BF409&gt;=2*$AF$9,0,Constants!$B$23*INT(ROUND(MIN($BF409,$AF$9),6)))))</f>
        <v/>
      </c>
      <c r="BQ409" s="100" t="str">
        <f aca="false">IF($BH409&lt;&gt;Constants!$B$4,"",IF(NOT($AJ409),0,Constants!$B$24*INT(ROUND(MIN($AZ409,$AF$9),6))))</f>
        <v/>
      </c>
      <c r="BR409" s="100" t="str">
        <f aca="false">IF($BH409&lt;&gt;Constants!$B$4,"",IF(AND($AJ409,$BJ409=0),Constants!$B$25,0))</f>
        <v/>
      </c>
      <c r="BS409" s="100" t="str">
        <f aca="false">IF($BH409&lt;&gt;Constants!$B$4,"",MIN(Constants!$B$29,MAX(0,Constants!$B$27*Constants!$B$28*INT(ROUND((Constants!$B$26-$AL409)/Constants!$B$28,6))))+MIN(Constants!$B$29,MAX(0,Constants!$B$27*Constants!$B$28*INT(ROUND((Constants!$B$26-$AM409)/Constants!$B$28,6))))+MIN(Constants!$B$29,MAX(0,Constants!$B$27*Constants!$B$28*INT(ROUND((Constants!$B$26-$AN409)/Constants!$B$28,6)))))</f>
        <v/>
      </c>
      <c r="BT409" s="100" t="str">
        <f aca="false">IF($BH409&lt;&gt;Constants!$B$4,"",IF(NOT($AJ409),0,Constants!$B$31*INT(ROUND(MAX(0,MIN($BF409,2*$AF$9)-$AF$9),6))))</f>
        <v/>
      </c>
      <c r="BU409" s="100" t="str">
        <f aca="false">IF($BH409&lt;&gt;Constants!$B$4,"",Constants!$B$32*(($AL409&gt;Constants!$B$26)+($AM409&gt;Constants!$B$26)+($AN409&gt;Constants!$B$26)))</f>
        <v/>
      </c>
      <c r="BV409" s="100" t="str">
        <f aca="false">IF($BH409&lt;&gt;Constants!$B$4,"",IF(OR(NOT($AJ409),$AO409),0,Constants!$B$33))</f>
        <v/>
      </c>
      <c r="BW409" s="100" t="str">
        <f aca="false">IF($BH409&lt;&gt;Constants!$B$4,"",Constants!$B$34*$BJ409)</f>
        <v/>
      </c>
      <c r="BX409" s="100" t="str">
        <f aca="false">IF($BH409&lt;&gt;Constants!$B$4,"",IF(OR(NOT($AJ409),$BE409),0,Constants!$B$36))</f>
        <v/>
      </c>
      <c r="BY409" s="100" t="str">
        <f aca="false">IF($BH409&lt;&gt;Constants!$B$4,"",IF(OR(NOT($AJ409),$BD409),0,Constants!$B$37))</f>
        <v/>
      </c>
      <c r="BZ409" s="100" t="str">
        <f aca="false">IF($BH409&lt;&gt;Constants!$B$4,"",SUM($BT409:$BY409))</f>
        <v/>
      </c>
      <c r="CA409" s="100" t="str">
        <f aca="false">IF(ISBLANK($C409),"",IF($BH409&lt;&gt;Constants!$B$4,$BH409,SUM($BK409:$BS409)-$BZ409))</f>
        <v/>
      </c>
      <c r="CB409" s="100" t="str">
        <f aca="false">IF(ISBLANK($C409),"",IF($BH409&lt;&gt;Constants!$B$4,$BH409,RANK($CA409,$CA$9:$CA$508)))</f>
        <v/>
      </c>
      <c r="CC409" s="100" t="str">
        <f aca="false">IF(ISBLANK($C409),"",IF($BH409&lt;&gt;Constants!$B$4,$BH409,COUNTIFS($BI$9:$BI$508,"&lt;"&amp;$BI409)+COUNTIFS($BI$9:$BI$508,$BI409,$CB$9:$CB$508,"&lt;"&amp;$CB409)+1))</f>
        <v/>
      </c>
      <c r="CD409" s="100" t="str">
        <f aca="false">IF(ISBLANK($C409),"",IF($BH409&lt;&gt;Constants!$B$4,$BH409,RANK($BZ409,$BZ$9:$BZ$508,1)))</f>
        <v/>
      </c>
      <c r="CE409" s="100" t="str">
        <f aca="false">IF($BH409&lt;&gt;Constants!$B$4,"",$AL409+$AM409+$AN409)</f>
        <v/>
      </c>
      <c r="CF409" s="100" t="str">
        <f aca="false">IF(ISBLANK($C409),"",IF($BH409&lt;&gt;Constants!$B$4,$BH409,RANK($CE409,$CE$9:$CE$508,1)))</f>
        <v/>
      </c>
      <c r="CG409" s="100" t="str">
        <f aca="false">IF(ISBLANK($C409),"",IF($BH409&lt;&gt;Constants!$B$4,$BH409,COUNTIFS($BI$9:$BI$508,"&lt;"&amp;$BI409)+COUNTIFS($BI$9:$BI$508,$BI409,$CB$9:$CB$508,"&lt;"&amp;$CB409)+COUNTIFS($BI$9:$BI$508,$BI409,$CB$9:$CB$508,$CB409,$CD$9:$CD$508,"&lt;"&amp;$CD409)+COUNTIFS($BI$9:$BI$508,$BI409,$CB$9:$CB$508,$CB409,$CD$9:$CD$508,$CD409,$CF$9:$CF$508,"&lt;"&amp;$CF409)+1))</f>
        <v/>
      </c>
      <c r="CH409" s="100" t="str">
        <f aca="false">IF(ISBLANK($C409),"",IF($BH409&lt;&gt;Constants!$B$4,$BH409,$CC409-$CG409))</f>
        <v/>
      </c>
      <c r="CI409" s="100" t="str">
        <f aca="false">IF(ISBLANK($C409),"",IF(NOT($AJ409),"",IF(ISBLANK($D$7),$CI$5,IF(NOT(ISNUMBER($D$7)),$CI$6,""))))</f>
        <v/>
      </c>
      <c r="CJ409" s="100" t="str">
        <f aca="false">IF(ISBLANK($C409),"",OR($AL409="",$AM409="",$AN409=""))</f>
        <v/>
      </c>
      <c r="CK409" s="100" t="str">
        <f aca="false">IF(ISBLANK($C409),"",AND($AJ409,$AX409=""))</f>
        <v/>
      </c>
      <c r="CL409" s="100" t="str">
        <f aca="false">IF(ISBLANK($C409),"",AND($AJ409,$AY409=""))</f>
        <v/>
      </c>
      <c r="CM409" s="100" t="str">
        <f aca="false">IF(ISBLANK($C409),"",AND($AJ409,$AZ409=""))</f>
        <v/>
      </c>
      <c r="CN409" s="100" t="str">
        <f aca="false">IF(ISBLANK($C409),"",AND($AJ409,$BC409=""))</f>
        <v/>
      </c>
      <c r="CO409" s="100" t="str">
        <f aca="false">IF(ISBLANK($C409),"",AND($AJ409,$BF409=""))</f>
        <v/>
      </c>
      <c r="CP409" s="101"/>
      <c r="CQ409" s="102"/>
      <c r="CR409" s="103" t="str">
        <f aca="false">IF(ISBLANK($C409),"",IF($BH409=Constants!$B$8,$CI409,""))</f>
        <v/>
      </c>
      <c r="CS409" s="102" t="str">
        <f aca="false">IF(ISBLANK($C409),"",IF($BH409&lt;&gt;Constants!$B$4,"",$BK409+$BL409))</f>
        <v/>
      </c>
      <c r="CT409" s="104" t="str">
        <f aca="false">IF(ISBLANK($C409),"",IF($BH409&lt;&gt;Constants!$B$4,"",$BM409+$BN409+$BO409))</f>
        <v/>
      </c>
      <c r="CU409" s="104" t="str">
        <f aca="false">IF(ISBLANK($C409),"",IF($BH409&lt;&gt;Constants!$B$4,"",$BP409))</f>
        <v/>
      </c>
      <c r="CV409" s="104" t="str">
        <f aca="false">IF(ISBLANK($C409),"",IF($BH409&lt;&gt;Constants!$B$4,"",$BQ409+$BR409))</f>
        <v/>
      </c>
      <c r="CW409" s="104" t="str">
        <f aca="false">IF(ISBLANK($C409),"",IF($BH409&lt;&gt;Constants!$B$4,"",$BS409))</f>
        <v/>
      </c>
      <c r="CX409" s="104" t="str">
        <f aca="false">IF(ISBLANK($C409),"",IF($BH409&lt;&gt;Constants!$B$4,"",-$BZ409))</f>
        <v/>
      </c>
      <c r="CY409" s="103" t="str">
        <f aca="false">IF(ISBLANK($C409),"",$CA409)</f>
        <v/>
      </c>
      <c r="CZ409" s="105" t="str">
        <f aca="false">IF(ISBLANK($C409),"",$BI409)</f>
        <v/>
      </c>
      <c r="DA409" s="104" t="str">
        <f aca="false">IF(ISBLANK($C409),"",$CH409)</f>
        <v/>
      </c>
      <c r="DB409" s="104" t="str">
        <f aca="false">IF(ISBLANK($C409),"",$CG409)</f>
        <v/>
      </c>
      <c r="DC409" s="106" t="str">
        <f aca="false">IF(ISBLANK($C409),"",IFERROR(_xlfn.SWITCH($DB409,Constants!$B$7,COUNTA($C$9:$C$508)+2,Constants!$B$6,COUNTA($C$9:$C$508)+1,Constants!$B$5,COUNTA($C$9:$C$508)),$DB409))</f>
        <v/>
      </c>
      <c r="DD409" s="7"/>
      <c r="DE409" s="107" t="n">
        <f aca="false">IF(OR(ISNUMBER($DB409),$DB409=Constants!$B$7,$DB409=Constants!$B$5,$DB409=Constants!$B$6),1,0)</f>
        <v>0</v>
      </c>
      <c r="DF409" s="107" t="n">
        <v>401</v>
      </c>
      <c r="DG409" s="107" t="str">
        <f aca="false">IF(ISBLANK($C409),"",IF(ISNUMBER($DC409),$DC409+ROW($B409)/1000,""))</f>
        <v/>
      </c>
      <c r="DH409" s="107" t="str">
        <f aca="false">IF(ISNUMBER($DG409),RANK($DG409,$DG$9:$DG$508,1),"")</f>
        <v/>
      </c>
      <c r="DI409" s="107" t="str">
        <f aca="false">IF(ISBLANK($C409),"",$B409)</f>
        <v/>
      </c>
      <c r="DJ409" s="107" t="str">
        <f aca="false">IF(ISBLANK($C409),"",$C409)</f>
        <v/>
      </c>
      <c r="DK409" s="107" t="str">
        <f aca="false">IF(ISBLANK($C409),"",$D409)</f>
        <v/>
      </c>
      <c r="DL409" s="108" t="str">
        <f aca="false">$CZ409</f>
        <v/>
      </c>
      <c r="DM409" s="109" t="str">
        <f aca="false">$CY409</f>
        <v/>
      </c>
      <c r="DN409" s="107" t="str">
        <f aca="false">IF(ISBLANK($C409),"",$DB409)</f>
        <v/>
      </c>
      <c r="DO409" s="110" t="str">
        <f aca="false">IF($DF409&gt;$DE$8,"",VLOOKUP($DF409,$DH$9:$DN$508,7,FALSE()))</f>
        <v/>
      </c>
      <c r="DP409" s="111" t="str">
        <f aca="false">IF($DF409&gt;$DE$8,"",VLOOKUP($DF409,$DH$9:$DN$508,2,FALSE()))</f>
        <v/>
      </c>
      <c r="DQ409" s="111" t="str">
        <f aca="false">IF($DF409&gt;$DE$8,"",VLOOKUP($DF409,$DH$9:$DN$508,3,FALSE()))</f>
        <v/>
      </c>
      <c r="DR409" s="111" t="str">
        <f aca="false">IF($DF409&gt;$DE$8,"",VLOOKUP($DF409,$DH$9:$DN$508,4,FALSE()))</f>
        <v/>
      </c>
      <c r="DS409" s="111" t="str">
        <f aca="false">IF($DF409&gt;$DE$8,"",VLOOKUP($DF409,$DH$9:$DN$508,5,FALSE()))</f>
        <v/>
      </c>
      <c r="DT409" s="112" t="str">
        <f aca="false">IF($DF409&gt;$DE$8,"",VLOOKUP($DF409,$DH$9:$DN$508,6,FALSE()))</f>
        <v/>
      </c>
      <c r="DU409" s="62"/>
    </row>
    <row r="410" customFormat="false" ht="15.75" hidden="false" customHeight="false" outlineLevel="0" collapsed="false">
      <c r="A410" s="7"/>
      <c r="B410" s="90"/>
      <c r="C410" s="91"/>
      <c r="D410" s="126"/>
      <c r="E410" s="130"/>
      <c r="F410" s="135"/>
      <c r="G410" s="130"/>
      <c r="H410" s="135"/>
      <c r="I410" s="131"/>
      <c r="J410" s="131"/>
      <c r="K410" s="131"/>
      <c r="L410" s="130"/>
      <c r="M410" s="130"/>
      <c r="N410" s="130"/>
      <c r="O410" s="135"/>
      <c r="P410" s="130"/>
      <c r="Q410" s="130"/>
      <c r="R410" s="130"/>
      <c r="S410" s="130"/>
      <c r="T410" s="135"/>
      <c r="U410" s="130"/>
      <c r="V410" s="96"/>
      <c r="W410" s="130"/>
      <c r="X410" s="130"/>
      <c r="Y410" s="96"/>
      <c r="Z410" s="96"/>
      <c r="AA410" s="130"/>
      <c r="AB410" s="130"/>
      <c r="AC410" s="97"/>
      <c r="AD410" s="130"/>
      <c r="AE410" s="99"/>
      <c r="AF410" s="100"/>
      <c r="AG410" s="100"/>
      <c r="AH410" s="100" t="str">
        <f aca="false">IF(ISBLANK($C410),"",IF($E410=Constants!$B$2,TRUE(),IF($E410=Constants!$B$3,FALSE(),TRUE())))</f>
        <v/>
      </c>
      <c r="AI410" s="100" t="str">
        <f aca="false">IF(ISBLANK($C410),"",IF($F410=Constants!$B$2,TRUE(),IF($F410=Constants!$B$3,FALSE(),FALSE())))</f>
        <v/>
      </c>
      <c r="AJ410" s="100" t="str">
        <f aca="false">IF(ISBLANK($C410),"",IF($G410=Constants!$B$2,TRUE(),IF($G410=Constants!$B$3,FALSE(),TRUE())))</f>
        <v/>
      </c>
      <c r="AK410" s="100" t="str">
        <f aca="false">IF(ISBLANK($C410),"",IF($H410=Constants!$B$2,TRUE(),IF($H410=Constants!$B$3,FALSE(),TRUE())))</f>
        <v/>
      </c>
      <c r="AL410" s="100" t="str">
        <f aca="false">IF(ISBLANK($C410),"",IF(ISNUMBER($I410),IF($I410&gt;=0,$I410,""),""))</f>
        <v/>
      </c>
      <c r="AM410" s="100" t="str">
        <f aca="false">IF(ISBLANK($C410),"",IF(ISNUMBER($J410),IF($J410&gt;=0,$J410,""),""))</f>
        <v/>
      </c>
      <c r="AN410" s="100" t="str">
        <f aca="false">IF(ISBLANK($C410),"",IF(ISNUMBER($K410),IF($K410&gt;=0,$K410,""),""))</f>
        <v/>
      </c>
      <c r="AO410" s="100" t="str">
        <f aca="false">IF(ISBLANK($C410),"",IF($L410=Constants!$B$2,TRUE(),IF($L410=Constants!$B$3,FALSE(),TRUE())))</f>
        <v/>
      </c>
      <c r="AP410" s="100" t="str">
        <f aca="false">IF(ISBLANK($C410),"",IF($M410=Constants!$B$2,TRUE(),IF($M410=Constants!$B$3,FALSE(),TRUE())))</f>
        <v/>
      </c>
      <c r="AQ410" s="100" t="str">
        <f aca="false">IF(ISBLANK($C410),"",IF($N410=Constants!$B$2,TRUE(),IF($N410=Constants!$B$3,FALSE(),FALSE())))</f>
        <v/>
      </c>
      <c r="AR410" s="100" t="str">
        <f aca="false">IF(ISBLANK($C410),"",IF($O410=Constants!$B$2,TRUE(),IF($O410=Constants!$B$3,FALSE(),TRUE())))</f>
        <v/>
      </c>
      <c r="AS410" s="100" t="str">
        <f aca="false">IF(ISBLANK($C410),"",IF($P410=Constants!$B$2,TRUE(),IF($P410=Constants!$B$3,FALSE(),FALSE())))</f>
        <v/>
      </c>
      <c r="AT410" s="100" t="str">
        <f aca="false">IF(ISBLANK($C410),"",IF($Q410=Constants!$B$2,TRUE(),IF($Q410=Constants!$B$3,FALSE(),FALSE())))</f>
        <v/>
      </c>
      <c r="AU410" s="100" t="str">
        <f aca="false">IF(ISBLANK($C410),"",IF($R410=Constants!$B$2,TRUE(),IF($R410=Constants!$B$3,FALSE(),FALSE())))</f>
        <v/>
      </c>
      <c r="AV410" s="100" t="str">
        <f aca="false">IF(ISBLANK($C410),"",IF($S410=Constants!$B$2,TRUE(),IF($S410=Constants!$B$3,FALSE(),FALSE())))</f>
        <v/>
      </c>
      <c r="AW410" s="100" t="str">
        <f aca="false">IF(ISBLANK($C410),"",IF($T410=Constants!$B$2,TRUE(),IF($T410=Constants!$B$3,FALSE(),FALSE())))</f>
        <v/>
      </c>
      <c r="AX410" s="100" t="str">
        <f aca="false">IF(ISBLANK($C410),"",IF(OR($U410&amp;""="1",$U410&amp;""="2",$U410&amp;""="3",$U410&amp;""="4"),VALUE($U410&amp;""),IF($U410=Constants!$B$12,Constants!$B$12,"")))</f>
        <v/>
      </c>
      <c r="AY410" s="100" t="str">
        <f aca="false">IF(ISBLANK($C410),"",IF(ISBLANK($V410),0,IF(ISNUMBER($V410),IF(AND($V410&gt;=0,$V410&lt;=Constants!$B$21,$V410=INT($V410)),$V410,""),"")))</f>
        <v/>
      </c>
      <c r="AZ410" s="100" t="str">
        <f aca="false">IF(ISBLANK($C410),"",IF(ISBLANK($W410),0,IF(ISNUMBER($W410),IF($W410&gt;=0,$W410,""),"")))</f>
        <v/>
      </c>
      <c r="BA410" s="100" t="str">
        <f aca="false">IF(ISBLANK($C410),"",IF($X410=Constants!$B$2,TRUE(),IF($X410=Constants!$B$3,FALSE(),TRUE())))</f>
        <v/>
      </c>
      <c r="BB410" s="100" t="str">
        <f aca="false">IF(ISBLANK($C410),"",IF($Y410=Constants!$B$2,TRUE(),IF($Y410=Constants!$B$3,FALSE(),FALSE())))</f>
        <v/>
      </c>
      <c r="BC410" s="100" t="str">
        <f aca="false">IF(ISBLANK($C410),"",IF(ISBLANK($Z410),0,IF(ISNUMBER($Z410),IF(AND($Z410&gt;=0,$Z410&lt;=Constants!$B$35,$Z410=INT($Z410)),$Z410,""),"")))</f>
        <v/>
      </c>
      <c r="BD410" s="100" t="str">
        <f aca="false">IF(ISBLANK($C410),"",IF($AA410=Constants!$B$2,TRUE(),IF($AA410=Constants!$B$3,FALSE(),TRUE())))</f>
        <v/>
      </c>
      <c r="BE410" s="100" t="str">
        <f aca="false">IF(ISBLANK($C410),"",IF($AB410=Constants!$B$2,TRUE(),IF($AB410=Constants!$B$3,FALSE(),TRUE())))</f>
        <v/>
      </c>
      <c r="BF410" s="100" t="str">
        <f aca="false">IF(ISBLANK($C410),"",IF(ISNUMBER($AC410),IF($AC410&gt;=0,$AC410,""),""))</f>
        <v/>
      </c>
      <c r="BG410" s="100" t="str">
        <f aca="false">IF(ISBLANK($C410),"",IF($AD410=Constants!$B$2,TRUE(),IF($AD410=Constants!$B$3,FALSE(),FALSE())))</f>
        <v/>
      </c>
      <c r="BH410" s="99" t="str">
        <f aca="false">IF(ISBLANK($C410),"",IF($BG410,Constants!$B$7,IF(COUNTA($E410:$AC410)=0,Constants!$B$6,IF(OR(COUNTA($G410:$AC410)=0,NOT($AK410),$AQ410),Constants!$B$5,IF(OR($CI410&lt;&gt;"",$CJ410,$CK410,$CL410,$CM410,$CN410,$CO410),Constants!$B$8,Constants!$B$4)))))</f>
        <v/>
      </c>
      <c r="BI410" s="100" t="str">
        <f aca="false">IF(ISBLANK($C410),"",IF($BH410&lt;&gt;Constants!$B$4,$BH410,IF(OR(NOT($AH410),NOT($AJ410),NOT($AR410)),Constants!$B$11,IF(OR(NOT($AP410),MAX($AL410,$AM410,$AN410)&gt;Constants!$B$30),Constants!$B$10,Constants!$B$9))))</f>
        <v/>
      </c>
      <c r="BJ410" s="100" t="str">
        <f aca="false">IF($BH410&lt;&gt;Constants!$B$4,"",IF(NOT($AJ410),0,MIN(Constants!$B$35,$BC410)))</f>
        <v/>
      </c>
      <c r="BK410" s="100" t="str">
        <f aca="false">IF($BH410&lt;&gt;Constants!$B$4,"",IF(NOT($AJ410),0,IF($AT410,Constants!$B$18,IF($AS410,Constants!$B$17,0))))</f>
        <v/>
      </c>
      <c r="BL410" s="100" t="str">
        <f aca="false">IF($BH410&lt;&gt;Constants!$B$4,"",IF(NOT($AJ410),0,Constants!$B$19*($AI410+$AU410+$AV410+$AW410)))</f>
        <v/>
      </c>
      <c r="BM410" s="100" t="str">
        <f aca="false">IF($BH410&lt;&gt;Constants!$B$4,"",IF(OR(NOT($AJ410),NOT(ISNUMBER($AX410))),0,CHOOSE($AX410,Constants!$B$13,Constants!$B$14,Constants!$B$15,Constants!$B$16)))</f>
        <v/>
      </c>
      <c r="BN410" s="100" t="str">
        <f aca="false">IF($BH410&lt;&gt;Constants!$B$4,"",IF(NOT($AJ410),0,Constants!$B$20*$AY410))</f>
        <v/>
      </c>
      <c r="BO410" s="100" t="str">
        <f aca="false">IF($BH410&lt;&gt;Constants!$B$4,"",IF(AND($AJ410,$BA410,$BB410),Constants!$B$22,0))</f>
        <v/>
      </c>
      <c r="BP410" s="100" t="str">
        <f aca="false">IF($BH410&lt;&gt;Constants!$B$4,"",IF(OR(NOT($AJ410),NOT($BA410)),0,IF($BF410&gt;=2*$AF$9,0,Constants!$B$23*INT(ROUND(MIN($BF410,$AF$9),6)))))</f>
        <v/>
      </c>
      <c r="BQ410" s="100" t="str">
        <f aca="false">IF($BH410&lt;&gt;Constants!$B$4,"",IF(NOT($AJ410),0,Constants!$B$24*INT(ROUND(MIN($AZ410,$AF$9),6))))</f>
        <v/>
      </c>
      <c r="BR410" s="100" t="str">
        <f aca="false">IF($BH410&lt;&gt;Constants!$B$4,"",IF(AND($AJ410,$BJ410=0),Constants!$B$25,0))</f>
        <v/>
      </c>
      <c r="BS410" s="100" t="str">
        <f aca="false">IF($BH410&lt;&gt;Constants!$B$4,"",MIN(Constants!$B$29,MAX(0,Constants!$B$27*Constants!$B$28*INT(ROUND((Constants!$B$26-$AL410)/Constants!$B$28,6))))+MIN(Constants!$B$29,MAX(0,Constants!$B$27*Constants!$B$28*INT(ROUND((Constants!$B$26-$AM410)/Constants!$B$28,6))))+MIN(Constants!$B$29,MAX(0,Constants!$B$27*Constants!$B$28*INT(ROUND((Constants!$B$26-$AN410)/Constants!$B$28,6)))))</f>
        <v/>
      </c>
      <c r="BT410" s="100" t="str">
        <f aca="false">IF($BH410&lt;&gt;Constants!$B$4,"",IF(NOT($AJ410),0,Constants!$B$31*INT(ROUND(MAX(0,MIN($BF410,2*$AF$9)-$AF$9),6))))</f>
        <v/>
      </c>
      <c r="BU410" s="100" t="str">
        <f aca="false">IF($BH410&lt;&gt;Constants!$B$4,"",Constants!$B$32*(($AL410&gt;Constants!$B$26)+($AM410&gt;Constants!$B$26)+($AN410&gt;Constants!$B$26)))</f>
        <v/>
      </c>
      <c r="BV410" s="100" t="str">
        <f aca="false">IF($BH410&lt;&gt;Constants!$B$4,"",IF(OR(NOT($AJ410),$AO410),0,Constants!$B$33))</f>
        <v/>
      </c>
      <c r="BW410" s="100" t="str">
        <f aca="false">IF($BH410&lt;&gt;Constants!$B$4,"",Constants!$B$34*$BJ410)</f>
        <v/>
      </c>
      <c r="BX410" s="100" t="str">
        <f aca="false">IF($BH410&lt;&gt;Constants!$B$4,"",IF(OR(NOT($AJ410),$BE410),0,Constants!$B$36))</f>
        <v/>
      </c>
      <c r="BY410" s="100" t="str">
        <f aca="false">IF($BH410&lt;&gt;Constants!$B$4,"",IF(OR(NOT($AJ410),$BD410),0,Constants!$B$37))</f>
        <v/>
      </c>
      <c r="BZ410" s="100" t="str">
        <f aca="false">IF($BH410&lt;&gt;Constants!$B$4,"",SUM($BT410:$BY410))</f>
        <v/>
      </c>
      <c r="CA410" s="100" t="str">
        <f aca="false">IF(ISBLANK($C410),"",IF($BH410&lt;&gt;Constants!$B$4,$BH410,SUM($BK410:$BS410)-$BZ410))</f>
        <v/>
      </c>
      <c r="CB410" s="100" t="str">
        <f aca="false">IF(ISBLANK($C410),"",IF($BH410&lt;&gt;Constants!$B$4,$BH410,RANK($CA410,$CA$9:$CA$508)))</f>
        <v/>
      </c>
      <c r="CC410" s="100" t="str">
        <f aca="false">IF(ISBLANK($C410),"",IF($BH410&lt;&gt;Constants!$B$4,$BH410,COUNTIFS($BI$9:$BI$508,"&lt;"&amp;$BI410)+COUNTIFS($BI$9:$BI$508,$BI410,$CB$9:$CB$508,"&lt;"&amp;$CB410)+1))</f>
        <v/>
      </c>
      <c r="CD410" s="100" t="str">
        <f aca="false">IF(ISBLANK($C410),"",IF($BH410&lt;&gt;Constants!$B$4,$BH410,RANK($BZ410,$BZ$9:$BZ$508,1)))</f>
        <v/>
      </c>
      <c r="CE410" s="100" t="str">
        <f aca="false">IF($BH410&lt;&gt;Constants!$B$4,"",$AL410+$AM410+$AN410)</f>
        <v/>
      </c>
      <c r="CF410" s="100" t="str">
        <f aca="false">IF(ISBLANK($C410),"",IF($BH410&lt;&gt;Constants!$B$4,$BH410,RANK($CE410,$CE$9:$CE$508,1)))</f>
        <v/>
      </c>
      <c r="CG410" s="100" t="str">
        <f aca="false">IF(ISBLANK($C410),"",IF($BH410&lt;&gt;Constants!$B$4,$BH410,COUNTIFS($BI$9:$BI$508,"&lt;"&amp;$BI410)+COUNTIFS($BI$9:$BI$508,$BI410,$CB$9:$CB$508,"&lt;"&amp;$CB410)+COUNTIFS($BI$9:$BI$508,$BI410,$CB$9:$CB$508,$CB410,$CD$9:$CD$508,"&lt;"&amp;$CD410)+COUNTIFS($BI$9:$BI$508,$BI410,$CB$9:$CB$508,$CB410,$CD$9:$CD$508,$CD410,$CF$9:$CF$508,"&lt;"&amp;$CF410)+1))</f>
        <v/>
      </c>
      <c r="CH410" s="100" t="str">
        <f aca="false">IF(ISBLANK($C410),"",IF($BH410&lt;&gt;Constants!$B$4,$BH410,$CC410-$CG410))</f>
        <v/>
      </c>
      <c r="CI410" s="100" t="str">
        <f aca="false">IF(ISBLANK($C410),"",IF(NOT($AJ410),"",IF(ISBLANK($D$7),$CI$5,IF(NOT(ISNUMBER($D$7)),$CI$6,""))))</f>
        <v/>
      </c>
      <c r="CJ410" s="100" t="str">
        <f aca="false">IF(ISBLANK($C410),"",OR($AL410="",$AM410="",$AN410=""))</f>
        <v/>
      </c>
      <c r="CK410" s="100" t="str">
        <f aca="false">IF(ISBLANK($C410),"",AND($AJ410,$AX410=""))</f>
        <v/>
      </c>
      <c r="CL410" s="100" t="str">
        <f aca="false">IF(ISBLANK($C410),"",AND($AJ410,$AY410=""))</f>
        <v/>
      </c>
      <c r="CM410" s="100" t="str">
        <f aca="false">IF(ISBLANK($C410),"",AND($AJ410,$AZ410=""))</f>
        <v/>
      </c>
      <c r="CN410" s="100" t="str">
        <f aca="false">IF(ISBLANK($C410),"",AND($AJ410,$BC410=""))</f>
        <v/>
      </c>
      <c r="CO410" s="100" t="str">
        <f aca="false">IF(ISBLANK($C410),"",AND($AJ410,$BF410=""))</f>
        <v/>
      </c>
      <c r="CP410" s="101"/>
      <c r="CQ410" s="102"/>
      <c r="CR410" s="103" t="str">
        <f aca="false">IF(ISBLANK($C410),"",IF($BH410=Constants!$B$8,$CI410,""))</f>
        <v/>
      </c>
      <c r="CS410" s="102" t="str">
        <f aca="false">IF(ISBLANK($C410),"",IF($BH410&lt;&gt;Constants!$B$4,"",$BK410+$BL410))</f>
        <v/>
      </c>
      <c r="CT410" s="104" t="str">
        <f aca="false">IF(ISBLANK($C410),"",IF($BH410&lt;&gt;Constants!$B$4,"",$BM410+$BN410+$BO410))</f>
        <v/>
      </c>
      <c r="CU410" s="104" t="str">
        <f aca="false">IF(ISBLANK($C410),"",IF($BH410&lt;&gt;Constants!$B$4,"",$BP410))</f>
        <v/>
      </c>
      <c r="CV410" s="104" t="str">
        <f aca="false">IF(ISBLANK($C410),"",IF($BH410&lt;&gt;Constants!$B$4,"",$BQ410+$BR410))</f>
        <v/>
      </c>
      <c r="CW410" s="104" t="str">
        <f aca="false">IF(ISBLANK($C410),"",IF($BH410&lt;&gt;Constants!$B$4,"",$BS410))</f>
        <v/>
      </c>
      <c r="CX410" s="104" t="str">
        <f aca="false">IF(ISBLANK($C410),"",IF($BH410&lt;&gt;Constants!$B$4,"",-$BZ410))</f>
        <v/>
      </c>
      <c r="CY410" s="103" t="str">
        <f aca="false">IF(ISBLANK($C410),"",$CA410)</f>
        <v/>
      </c>
      <c r="CZ410" s="105" t="str">
        <f aca="false">IF(ISBLANK($C410),"",$BI410)</f>
        <v/>
      </c>
      <c r="DA410" s="104" t="str">
        <f aca="false">IF(ISBLANK($C410),"",$CH410)</f>
        <v/>
      </c>
      <c r="DB410" s="104" t="str">
        <f aca="false">IF(ISBLANK($C410),"",$CG410)</f>
        <v/>
      </c>
      <c r="DC410" s="106" t="str">
        <f aca="false">IF(ISBLANK($C410),"",IFERROR(_xlfn.SWITCH($DB410,Constants!$B$7,COUNTA($C$9:$C$508)+2,Constants!$B$6,COUNTA($C$9:$C$508)+1,Constants!$B$5,COUNTA($C$9:$C$508)),$DB410))</f>
        <v/>
      </c>
      <c r="DD410" s="7"/>
      <c r="DE410" s="107" t="n">
        <f aca="false">IF(OR(ISNUMBER($DB410),$DB410=Constants!$B$7,$DB410=Constants!$B$5,$DB410=Constants!$B$6),1,0)</f>
        <v>0</v>
      </c>
      <c r="DF410" s="107" t="n">
        <v>402</v>
      </c>
      <c r="DG410" s="107" t="str">
        <f aca="false">IF(ISBLANK($C410),"",IF(ISNUMBER($DC410),$DC410+ROW($B410)/1000,""))</f>
        <v/>
      </c>
      <c r="DH410" s="107" t="str">
        <f aca="false">IF(ISNUMBER($DG410),RANK($DG410,$DG$9:$DG$508,1),"")</f>
        <v/>
      </c>
      <c r="DI410" s="107" t="str">
        <f aca="false">IF(ISBLANK($C410),"",$B410)</f>
        <v/>
      </c>
      <c r="DJ410" s="107" t="str">
        <f aca="false">IF(ISBLANK($C410),"",$C410)</f>
        <v/>
      </c>
      <c r="DK410" s="107" t="str">
        <f aca="false">IF(ISBLANK($C410),"",$D410)</f>
        <v/>
      </c>
      <c r="DL410" s="108" t="str">
        <f aca="false">$CZ410</f>
        <v/>
      </c>
      <c r="DM410" s="109" t="str">
        <f aca="false">$CY410</f>
        <v/>
      </c>
      <c r="DN410" s="107" t="str">
        <f aca="false">IF(ISBLANK($C410),"",$DB410)</f>
        <v/>
      </c>
      <c r="DO410" s="110" t="str">
        <f aca="false">IF($DF410&gt;$DE$8,"",VLOOKUP($DF410,$DH$9:$DN$508,7,FALSE()))</f>
        <v/>
      </c>
      <c r="DP410" s="111" t="str">
        <f aca="false">IF($DF410&gt;$DE$8,"",VLOOKUP($DF410,$DH$9:$DN$508,2,FALSE()))</f>
        <v/>
      </c>
      <c r="DQ410" s="111" t="str">
        <f aca="false">IF($DF410&gt;$DE$8,"",VLOOKUP($DF410,$DH$9:$DN$508,3,FALSE()))</f>
        <v/>
      </c>
      <c r="DR410" s="111" t="str">
        <f aca="false">IF($DF410&gt;$DE$8,"",VLOOKUP($DF410,$DH$9:$DN$508,4,FALSE()))</f>
        <v/>
      </c>
      <c r="DS410" s="111" t="str">
        <f aca="false">IF($DF410&gt;$DE$8,"",VLOOKUP($DF410,$DH$9:$DN$508,5,FALSE()))</f>
        <v/>
      </c>
      <c r="DT410" s="112" t="str">
        <f aca="false">IF($DF410&gt;$DE$8,"",VLOOKUP($DF410,$DH$9:$DN$508,6,FALSE()))</f>
        <v/>
      </c>
      <c r="DU410" s="62"/>
    </row>
    <row r="411" customFormat="false" ht="15.75" hidden="false" customHeight="false" outlineLevel="0" collapsed="false">
      <c r="A411" s="7"/>
      <c r="B411" s="64"/>
      <c r="C411" s="65"/>
      <c r="D411" s="123"/>
      <c r="E411" s="88"/>
      <c r="F411" s="134"/>
      <c r="G411" s="88"/>
      <c r="H411" s="134"/>
      <c r="I411" s="119"/>
      <c r="J411" s="119"/>
      <c r="K411" s="119"/>
      <c r="L411" s="88"/>
      <c r="M411" s="88"/>
      <c r="N411" s="88"/>
      <c r="O411" s="134"/>
      <c r="P411" s="88"/>
      <c r="Q411" s="88"/>
      <c r="R411" s="88"/>
      <c r="S411" s="88"/>
      <c r="T411" s="134"/>
      <c r="U411" s="88"/>
      <c r="V411" s="70"/>
      <c r="W411" s="88"/>
      <c r="X411" s="88"/>
      <c r="Y411" s="70"/>
      <c r="Z411" s="70"/>
      <c r="AA411" s="88"/>
      <c r="AB411" s="88"/>
      <c r="AC411" s="71"/>
      <c r="AD411" s="88"/>
      <c r="AE411" s="73"/>
      <c r="AF411" s="74"/>
      <c r="AG411" s="74"/>
      <c r="AH411" s="74" t="str">
        <f aca="false">IF(ISBLANK($C411),"",IF($E411=Constants!$B$2,TRUE(),IF($E411=Constants!$B$3,FALSE(),TRUE())))</f>
        <v/>
      </c>
      <c r="AI411" s="74" t="str">
        <f aca="false">IF(ISBLANK($C411),"",IF($F411=Constants!$B$2,TRUE(),IF($F411=Constants!$B$3,FALSE(),FALSE())))</f>
        <v/>
      </c>
      <c r="AJ411" s="74" t="str">
        <f aca="false">IF(ISBLANK($C411),"",IF($G411=Constants!$B$2,TRUE(),IF($G411=Constants!$B$3,FALSE(),TRUE())))</f>
        <v/>
      </c>
      <c r="AK411" s="74" t="str">
        <f aca="false">IF(ISBLANK($C411),"",IF($H411=Constants!$B$2,TRUE(),IF($H411=Constants!$B$3,FALSE(),TRUE())))</f>
        <v/>
      </c>
      <c r="AL411" s="74" t="str">
        <f aca="false">IF(ISBLANK($C411),"",IF(ISNUMBER($I411),IF($I411&gt;=0,$I411,""),""))</f>
        <v/>
      </c>
      <c r="AM411" s="74" t="str">
        <f aca="false">IF(ISBLANK($C411),"",IF(ISNUMBER($J411),IF($J411&gt;=0,$J411,""),""))</f>
        <v/>
      </c>
      <c r="AN411" s="74" t="str">
        <f aca="false">IF(ISBLANK($C411),"",IF(ISNUMBER($K411),IF($K411&gt;=0,$K411,""),""))</f>
        <v/>
      </c>
      <c r="AO411" s="74" t="str">
        <f aca="false">IF(ISBLANK($C411),"",IF($L411=Constants!$B$2,TRUE(),IF($L411=Constants!$B$3,FALSE(),TRUE())))</f>
        <v/>
      </c>
      <c r="AP411" s="74" t="str">
        <f aca="false">IF(ISBLANK($C411),"",IF($M411=Constants!$B$2,TRUE(),IF($M411=Constants!$B$3,FALSE(),TRUE())))</f>
        <v/>
      </c>
      <c r="AQ411" s="74" t="str">
        <f aca="false">IF(ISBLANK($C411),"",IF($N411=Constants!$B$2,TRUE(),IF($N411=Constants!$B$3,FALSE(),FALSE())))</f>
        <v/>
      </c>
      <c r="AR411" s="74" t="str">
        <f aca="false">IF(ISBLANK($C411),"",IF($O411=Constants!$B$2,TRUE(),IF($O411=Constants!$B$3,FALSE(),TRUE())))</f>
        <v/>
      </c>
      <c r="AS411" s="74" t="str">
        <f aca="false">IF(ISBLANK($C411),"",IF($P411=Constants!$B$2,TRUE(),IF($P411=Constants!$B$3,FALSE(),FALSE())))</f>
        <v/>
      </c>
      <c r="AT411" s="74" t="str">
        <f aca="false">IF(ISBLANK($C411),"",IF($Q411=Constants!$B$2,TRUE(),IF($Q411=Constants!$B$3,FALSE(),FALSE())))</f>
        <v/>
      </c>
      <c r="AU411" s="74" t="str">
        <f aca="false">IF(ISBLANK($C411),"",IF($R411=Constants!$B$2,TRUE(),IF($R411=Constants!$B$3,FALSE(),FALSE())))</f>
        <v/>
      </c>
      <c r="AV411" s="74" t="str">
        <f aca="false">IF(ISBLANK($C411),"",IF($S411=Constants!$B$2,TRUE(),IF($S411=Constants!$B$3,FALSE(),FALSE())))</f>
        <v/>
      </c>
      <c r="AW411" s="74" t="str">
        <f aca="false">IF(ISBLANK($C411),"",IF($T411=Constants!$B$2,TRUE(),IF($T411=Constants!$B$3,FALSE(),FALSE())))</f>
        <v/>
      </c>
      <c r="AX411" s="74" t="str">
        <f aca="false">IF(ISBLANK($C411),"",IF(OR($U411&amp;""="1",$U411&amp;""="2",$U411&amp;""="3",$U411&amp;""="4"),VALUE($U411&amp;""),IF($U411=Constants!$B$12,Constants!$B$12,"")))</f>
        <v/>
      </c>
      <c r="AY411" s="74" t="str">
        <f aca="false">IF(ISBLANK($C411),"",IF(ISBLANK($V411),0,IF(ISNUMBER($V411),IF(AND($V411&gt;=0,$V411&lt;=Constants!$B$21,$V411=INT($V411)),$V411,""),"")))</f>
        <v/>
      </c>
      <c r="AZ411" s="74" t="str">
        <f aca="false">IF(ISBLANK($C411),"",IF(ISBLANK($W411),0,IF(ISNUMBER($W411),IF($W411&gt;=0,$W411,""),"")))</f>
        <v/>
      </c>
      <c r="BA411" s="74" t="str">
        <f aca="false">IF(ISBLANK($C411),"",IF($X411=Constants!$B$2,TRUE(),IF($X411=Constants!$B$3,FALSE(),TRUE())))</f>
        <v/>
      </c>
      <c r="BB411" s="74" t="str">
        <f aca="false">IF(ISBLANK($C411),"",IF($Y411=Constants!$B$2,TRUE(),IF($Y411=Constants!$B$3,FALSE(),FALSE())))</f>
        <v/>
      </c>
      <c r="BC411" s="74" t="str">
        <f aca="false">IF(ISBLANK($C411),"",IF(ISBLANK($Z411),0,IF(ISNUMBER($Z411),IF(AND($Z411&gt;=0,$Z411&lt;=Constants!$B$35,$Z411=INT($Z411)),$Z411,""),"")))</f>
        <v/>
      </c>
      <c r="BD411" s="74" t="str">
        <f aca="false">IF(ISBLANK($C411),"",IF($AA411=Constants!$B$2,TRUE(),IF($AA411=Constants!$B$3,FALSE(),TRUE())))</f>
        <v/>
      </c>
      <c r="BE411" s="74" t="str">
        <f aca="false">IF(ISBLANK($C411),"",IF($AB411=Constants!$B$2,TRUE(),IF($AB411=Constants!$B$3,FALSE(),TRUE())))</f>
        <v/>
      </c>
      <c r="BF411" s="74" t="str">
        <f aca="false">IF(ISBLANK($C411),"",IF(ISNUMBER($AC411),IF($AC411&gt;=0,$AC411,""),""))</f>
        <v/>
      </c>
      <c r="BG411" s="74" t="str">
        <f aca="false">IF(ISBLANK($C411),"",IF($AD411=Constants!$B$2,TRUE(),IF($AD411=Constants!$B$3,FALSE(),FALSE())))</f>
        <v/>
      </c>
      <c r="BH411" s="73" t="str">
        <f aca="false">IF(ISBLANK($C411),"",IF($BG411,Constants!$B$7,IF(COUNTA($E411:$AC411)=0,Constants!$B$6,IF(OR(COUNTA($G411:$AC411)=0,NOT($AK411),$AQ411),Constants!$B$5,IF(OR($CI411&lt;&gt;"",$CJ411,$CK411,$CL411,$CM411,$CN411,$CO411),Constants!$B$8,Constants!$B$4)))))</f>
        <v/>
      </c>
      <c r="BI411" s="74" t="str">
        <f aca="false">IF(ISBLANK($C411),"",IF($BH411&lt;&gt;Constants!$B$4,$BH411,IF(OR(NOT($AH411),NOT($AJ411),NOT($AR411)),Constants!$B$11,IF(OR(NOT($AP411),MAX($AL411,$AM411,$AN411)&gt;Constants!$B$30),Constants!$B$10,Constants!$B$9))))</f>
        <v/>
      </c>
      <c r="BJ411" s="74" t="str">
        <f aca="false">IF($BH411&lt;&gt;Constants!$B$4,"",IF(NOT($AJ411),0,MIN(Constants!$B$35,$BC411)))</f>
        <v/>
      </c>
      <c r="BK411" s="74" t="str">
        <f aca="false">IF($BH411&lt;&gt;Constants!$B$4,"",IF(NOT($AJ411),0,IF($AT411,Constants!$B$18,IF($AS411,Constants!$B$17,0))))</f>
        <v/>
      </c>
      <c r="BL411" s="74" t="str">
        <f aca="false">IF($BH411&lt;&gt;Constants!$B$4,"",IF(NOT($AJ411),0,Constants!$B$19*($AI411+$AU411+$AV411+$AW411)))</f>
        <v/>
      </c>
      <c r="BM411" s="74" t="str">
        <f aca="false">IF($BH411&lt;&gt;Constants!$B$4,"",IF(OR(NOT($AJ411),NOT(ISNUMBER($AX411))),0,CHOOSE($AX411,Constants!$B$13,Constants!$B$14,Constants!$B$15,Constants!$B$16)))</f>
        <v/>
      </c>
      <c r="BN411" s="74" t="str">
        <f aca="false">IF($BH411&lt;&gt;Constants!$B$4,"",IF(NOT($AJ411),0,Constants!$B$20*$AY411))</f>
        <v/>
      </c>
      <c r="BO411" s="74" t="str">
        <f aca="false">IF($BH411&lt;&gt;Constants!$B$4,"",IF(AND($AJ411,$BA411,$BB411),Constants!$B$22,0))</f>
        <v/>
      </c>
      <c r="BP411" s="74" t="str">
        <f aca="false">IF($BH411&lt;&gt;Constants!$B$4,"",IF(OR(NOT($AJ411),NOT($BA411)),0,IF($BF411&gt;=2*$AF$9,0,Constants!$B$23*INT(ROUND(MIN($BF411,$AF$9),6)))))</f>
        <v/>
      </c>
      <c r="BQ411" s="74" t="str">
        <f aca="false">IF($BH411&lt;&gt;Constants!$B$4,"",IF(NOT($AJ411),0,Constants!$B$24*INT(ROUND(MIN($AZ411,$AF$9),6))))</f>
        <v/>
      </c>
      <c r="BR411" s="74" t="str">
        <f aca="false">IF($BH411&lt;&gt;Constants!$B$4,"",IF(AND($AJ411,$BJ411=0),Constants!$B$25,0))</f>
        <v/>
      </c>
      <c r="BS411" s="74" t="str">
        <f aca="false">IF($BH411&lt;&gt;Constants!$B$4,"",MIN(Constants!$B$29,MAX(0,Constants!$B$27*Constants!$B$28*INT(ROUND((Constants!$B$26-$AL411)/Constants!$B$28,6))))+MIN(Constants!$B$29,MAX(0,Constants!$B$27*Constants!$B$28*INT(ROUND((Constants!$B$26-$AM411)/Constants!$B$28,6))))+MIN(Constants!$B$29,MAX(0,Constants!$B$27*Constants!$B$28*INT(ROUND((Constants!$B$26-$AN411)/Constants!$B$28,6)))))</f>
        <v/>
      </c>
      <c r="BT411" s="74" t="str">
        <f aca="false">IF($BH411&lt;&gt;Constants!$B$4,"",IF(NOT($AJ411),0,Constants!$B$31*INT(ROUND(MAX(0,MIN($BF411,2*$AF$9)-$AF$9),6))))</f>
        <v/>
      </c>
      <c r="BU411" s="74" t="str">
        <f aca="false">IF($BH411&lt;&gt;Constants!$B$4,"",Constants!$B$32*(($AL411&gt;Constants!$B$26)+($AM411&gt;Constants!$B$26)+($AN411&gt;Constants!$B$26)))</f>
        <v/>
      </c>
      <c r="BV411" s="74" t="str">
        <f aca="false">IF($BH411&lt;&gt;Constants!$B$4,"",IF(OR(NOT($AJ411),$AO411),0,Constants!$B$33))</f>
        <v/>
      </c>
      <c r="BW411" s="74" t="str">
        <f aca="false">IF($BH411&lt;&gt;Constants!$B$4,"",Constants!$B$34*$BJ411)</f>
        <v/>
      </c>
      <c r="BX411" s="74" t="str">
        <f aca="false">IF($BH411&lt;&gt;Constants!$B$4,"",IF(OR(NOT($AJ411),$BE411),0,Constants!$B$36))</f>
        <v/>
      </c>
      <c r="BY411" s="74" t="str">
        <f aca="false">IF($BH411&lt;&gt;Constants!$B$4,"",IF(OR(NOT($AJ411),$BD411),0,Constants!$B$37))</f>
        <v/>
      </c>
      <c r="BZ411" s="74" t="str">
        <f aca="false">IF($BH411&lt;&gt;Constants!$B$4,"",SUM($BT411:$BY411))</f>
        <v/>
      </c>
      <c r="CA411" s="74" t="str">
        <f aca="false">IF(ISBLANK($C411),"",IF($BH411&lt;&gt;Constants!$B$4,$BH411,SUM($BK411:$BS411)-$BZ411))</f>
        <v/>
      </c>
      <c r="CB411" s="74" t="str">
        <f aca="false">IF(ISBLANK($C411),"",IF($BH411&lt;&gt;Constants!$B$4,$BH411,RANK($CA411,$CA$9:$CA$508)))</f>
        <v/>
      </c>
      <c r="CC411" s="74" t="str">
        <f aca="false">IF(ISBLANK($C411),"",IF($BH411&lt;&gt;Constants!$B$4,$BH411,COUNTIFS($BI$9:$BI$508,"&lt;"&amp;$BI411)+COUNTIFS($BI$9:$BI$508,$BI411,$CB$9:$CB$508,"&lt;"&amp;$CB411)+1))</f>
        <v/>
      </c>
      <c r="CD411" s="74" t="str">
        <f aca="false">IF(ISBLANK($C411),"",IF($BH411&lt;&gt;Constants!$B$4,$BH411,RANK($BZ411,$BZ$9:$BZ$508,1)))</f>
        <v/>
      </c>
      <c r="CE411" s="74" t="str">
        <f aca="false">IF($BH411&lt;&gt;Constants!$B$4,"",$AL411+$AM411+$AN411)</f>
        <v/>
      </c>
      <c r="CF411" s="74" t="str">
        <f aca="false">IF(ISBLANK($C411),"",IF($BH411&lt;&gt;Constants!$B$4,$BH411,RANK($CE411,$CE$9:$CE$508,1)))</f>
        <v/>
      </c>
      <c r="CG411" s="74" t="str">
        <f aca="false">IF(ISBLANK($C411),"",IF($BH411&lt;&gt;Constants!$B$4,$BH411,COUNTIFS($BI$9:$BI$508,"&lt;"&amp;$BI411)+COUNTIFS($BI$9:$BI$508,$BI411,$CB$9:$CB$508,"&lt;"&amp;$CB411)+COUNTIFS($BI$9:$BI$508,$BI411,$CB$9:$CB$508,$CB411,$CD$9:$CD$508,"&lt;"&amp;$CD411)+COUNTIFS($BI$9:$BI$508,$BI411,$CB$9:$CB$508,$CB411,$CD$9:$CD$508,$CD411,$CF$9:$CF$508,"&lt;"&amp;$CF411)+1))</f>
        <v/>
      </c>
      <c r="CH411" s="74" t="str">
        <f aca="false">IF(ISBLANK($C411),"",IF($BH411&lt;&gt;Constants!$B$4,$BH411,$CC411-$CG411))</f>
        <v/>
      </c>
      <c r="CI411" s="74" t="str">
        <f aca="false">IF(ISBLANK($C411),"",IF(NOT($AJ411),"",IF(ISBLANK($D$7),$CI$5,IF(NOT(ISNUMBER($D$7)),$CI$6,""))))</f>
        <v/>
      </c>
      <c r="CJ411" s="74" t="str">
        <f aca="false">IF(ISBLANK($C411),"",OR($AL411="",$AM411="",$AN411=""))</f>
        <v/>
      </c>
      <c r="CK411" s="74" t="str">
        <f aca="false">IF(ISBLANK($C411),"",AND($AJ411,$AX411=""))</f>
        <v/>
      </c>
      <c r="CL411" s="74" t="str">
        <f aca="false">IF(ISBLANK($C411),"",AND($AJ411,$AY411=""))</f>
        <v/>
      </c>
      <c r="CM411" s="74" t="str">
        <f aca="false">IF(ISBLANK($C411),"",AND($AJ411,$AZ411=""))</f>
        <v/>
      </c>
      <c r="CN411" s="74" t="str">
        <f aca="false">IF(ISBLANK($C411),"",AND($AJ411,$BC411=""))</f>
        <v/>
      </c>
      <c r="CO411" s="74" t="str">
        <f aca="false">IF(ISBLANK($C411),"",AND($AJ411,$BF411=""))</f>
        <v/>
      </c>
      <c r="CP411" s="75"/>
      <c r="CQ411" s="76"/>
      <c r="CR411" s="79" t="str">
        <f aca="false">IF(ISBLANK($C411),"",IF($BH411=Constants!$B$8,$CI411,""))</f>
        <v/>
      </c>
      <c r="CS411" s="76" t="str">
        <f aca="false">IF(ISBLANK($C411),"",IF($BH411&lt;&gt;Constants!$B$4,"",$BK411+$BL411))</f>
        <v/>
      </c>
      <c r="CT411" s="78" t="str">
        <f aca="false">IF(ISBLANK($C411),"",IF($BH411&lt;&gt;Constants!$B$4,"",$BM411+$BN411+$BO411))</f>
        <v/>
      </c>
      <c r="CU411" s="78" t="str">
        <f aca="false">IF(ISBLANK($C411),"",IF($BH411&lt;&gt;Constants!$B$4,"",$BP411))</f>
        <v/>
      </c>
      <c r="CV411" s="78" t="str">
        <f aca="false">IF(ISBLANK($C411),"",IF($BH411&lt;&gt;Constants!$B$4,"",$BQ411+$BR411))</f>
        <v/>
      </c>
      <c r="CW411" s="78" t="str">
        <f aca="false">IF(ISBLANK($C411),"",IF($BH411&lt;&gt;Constants!$B$4,"",$BS411))</f>
        <v/>
      </c>
      <c r="CX411" s="78" t="str">
        <f aca="false">IF(ISBLANK($C411),"",IF($BH411&lt;&gt;Constants!$B$4,"",-$BZ411))</f>
        <v/>
      </c>
      <c r="CY411" s="79" t="str">
        <f aca="false">IF(ISBLANK($C411),"",$CA411)</f>
        <v/>
      </c>
      <c r="CZ411" s="80" t="str">
        <f aca="false">IF(ISBLANK($C411),"",$BI411)</f>
        <v/>
      </c>
      <c r="DA411" s="78" t="str">
        <f aca="false">IF(ISBLANK($C411),"",$CH411)</f>
        <v/>
      </c>
      <c r="DB411" s="78" t="str">
        <f aca="false">IF(ISBLANK($C411),"",$CG411)</f>
        <v/>
      </c>
      <c r="DC411" s="81" t="str">
        <f aca="false">IF(ISBLANK($C411),"",IFERROR(_xlfn.SWITCH($DB411,Constants!$B$7,COUNTA($C$9:$C$508)+2,Constants!$B$6,COUNTA($C$9:$C$508)+1,Constants!$B$5,COUNTA($C$9:$C$508)),$DB411))</f>
        <v/>
      </c>
      <c r="DD411" s="7"/>
      <c r="DE411" s="82" t="n">
        <f aca="false">IF(OR(ISNUMBER($DB411),$DB411=Constants!$B$7,$DB411=Constants!$B$5,$DB411=Constants!$B$6),1,0)</f>
        <v>0</v>
      </c>
      <c r="DF411" s="82" t="n">
        <v>403</v>
      </c>
      <c r="DG411" s="82" t="str">
        <f aca="false">IF(ISBLANK($C411),"",IF(ISNUMBER($DC411),$DC411+ROW($B411)/1000,""))</f>
        <v/>
      </c>
      <c r="DH411" s="82" t="str">
        <f aca="false">IF(ISNUMBER($DG411),RANK($DG411,$DG$9:$DG$508,1),"")</f>
        <v/>
      </c>
      <c r="DI411" s="82" t="str">
        <f aca="false">IF(ISBLANK($C411),"",$B411)</f>
        <v/>
      </c>
      <c r="DJ411" s="82" t="str">
        <f aca="false">IF(ISBLANK($C411),"",$C411)</f>
        <v/>
      </c>
      <c r="DK411" s="82" t="str">
        <f aca="false">IF(ISBLANK($C411),"",$D411)</f>
        <v/>
      </c>
      <c r="DL411" s="83" t="str">
        <f aca="false">$CZ411</f>
        <v/>
      </c>
      <c r="DM411" s="84" t="str">
        <f aca="false">$CY411</f>
        <v/>
      </c>
      <c r="DN411" s="82" t="str">
        <f aca="false">IF(ISBLANK($C411),"",$DB411)</f>
        <v/>
      </c>
      <c r="DO411" s="85" t="str">
        <f aca="false">IF($DF411&gt;$DE$8,"",VLOOKUP($DF411,$DH$9:$DN$508,7,FALSE()))</f>
        <v/>
      </c>
      <c r="DP411" s="86" t="str">
        <f aca="false">IF($DF411&gt;$DE$8,"",VLOOKUP($DF411,$DH$9:$DN$508,2,FALSE()))</f>
        <v/>
      </c>
      <c r="DQ411" s="86" t="str">
        <f aca="false">IF($DF411&gt;$DE$8,"",VLOOKUP($DF411,$DH$9:$DN$508,3,FALSE()))</f>
        <v/>
      </c>
      <c r="DR411" s="86" t="str">
        <f aca="false">IF($DF411&gt;$DE$8,"",VLOOKUP($DF411,$DH$9:$DN$508,4,FALSE()))</f>
        <v/>
      </c>
      <c r="DS411" s="86" t="str">
        <f aca="false">IF($DF411&gt;$DE$8,"",VLOOKUP($DF411,$DH$9:$DN$508,5,FALSE()))</f>
        <v/>
      </c>
      <c r="DT411" s="87" t="str">
        <f aca="false">IF($DF411&gt;$DE$8,"",VLOOKUP($DF411,$DH$9:$DN$508,6,FALSE()))</f>
        <v/>
      </c>
      <c r="DU411" s="62"/>
    </row>
    <row r="412" customFormat="false" ht="15.75" hidden="false" customHeight="false" outlineLevel="0" collapsed="false">
      <c r="A412" s="7"/>
      <c r="B412" s="64"/>
      <c r="C412" s="65"/>
      <c r="D412" s="123"/>
      <c r="E412" s="88"/>
      <c r="F412" s="134"/>
      <c r="G412" s="88"/>
      <c r="H412" s="134"/>
      <c r="I412" s="119"/>
      <c r="J412" s="119"/>
      <c r="K412" s="119"/>
      <c r="L412" s="88"/>
      <c r="M412" s="88"/>
      <c r="N412" s="88"/>
      <c r="O412" s="134"/>
      <c r="P412" s="88"/>
      <c r="Q412" s="88"/>
      <c r="R412" s="88"/>
      <c r="S412" s="88"/>
      <c r="T412" s="134"/>
      <c r="U412" s="88"/>
      <c r="V412" s="70"/>
      <c r="W412" s="88"/>
      <c r="X412" s="88"/>
      <c r="Y412" s="70"/>
      <c r="Z412" s="70"/>
      <c r="AA412" s="88"/>
      <c r="AB412" s="88"/>
      <c r="AC412" s="71"/>
      <c r="AD412" s="88"/>
      <c r="AE412" s="73"/>
      <c r="AF412" s="74"/>
      <c r="AG412" s="74"/>
      <c r="AH412" s="74" t="str">
        <f aca="false">IF(ISBLANK($C412),"",IF($E412=Constants!$B$2,TRUE(),IF($E412=Constants!$B$3,FALSE(),TRUE())))</f>
        <v/>
      </c>
      <c r="AI412" s="74" t="str">
        <f aca="false">IF(ISBLANK($C412),"",IF($F412=Constants!$B$2,TRUE(),IF($F412=Constants!$B$3,FALSE(),FALSE())))</f>
        <v/>
      </c>
      <c r="AJ412" s="74" t="str">
        <f aca="false">IF(ISBLANK($C412),"",IF($G412=Constants!$B$2,TRUE(),IF($G412=Constants!$B$3,FALSE(),TRUE())))</f>
        <v/>
      </c>
      <c r="AK412" s="74" t="str">
        <f aca="false">IF(ISBLANK($C412),"",IF($H412=Constants!$B$2,TRUE(),IF($H412=Constants!$B$3,FALSE(),TRUE())))</f>
        <v/>
      </c>
      <c r="AL412" s="74" t="str">
        <f aca="false">IF(ISBLANK($C412),"",IF(ISNUMBER($I412),IF($I412&gt;=0,$I412,""),""))</f>
        <v/>
      </c>
      <c r="AM412" s="74" t="str">
        <f aca="false">IF(ISBLANK($C412),"",IF(ISNUMBER($J412),IF($J412&gt;=0,$J412,""),""))</f>
        <v/>
      </c>
      <c r="AN412" s="74" t="str">
        <f aca="false">IF(ISBLANK($C412),"",IF(ISNUMBER($K412),IF($K412&gt;=0,$K412,""),""))</f>
        <v/>
      </c>
      <c r="AO412" s="74" t="str">
        <f aca="false">IF(ISBLANK($C412),"",IF($L412=Constants!$B$2,TRUE(),IF($L412=Constants!$B$3,FALSE(),TRUE())))</f>
        <v/>
      </c>
      <c r="AP412" s="74" t="str">
        <f aca="false">IF(ISBLANK($C412),"",IF($M412=Constants!$B$2,TRUE(),IF($M412=Constants!$B$3,FALSE(),TRUE())))</f>
        <v/>
      </c>
      <c r="AQ412" s="74" t="str">
        <f aca="false">IF(ISBLANK($C412),"",IF($N412=Constants!$B$2,TRUE(),IF($N412=Constants!$B$3,FALSE(),FALSE())))</f>
        <v/>
      </c>
      <c r="AR412" s="74" t="str">
        <f aca="false">IF(ISBLANK($C412),"",IF($O412=Constants!$B$2,TRUE(),IF($O412=Constants!$B$3,FALSE(),TRUE())))</f>
        <v/>
      </c>
      <c r="AS412" s="74" t="str">
        <f aca="false">IF(ISBLANK($C412),"",IF($P412=Constants!$B$2,TRUE(),IF($P412=Constants!$B$3,FALSE(),FALSE())))</f>
        <v/>
      </c>
      <c r="AT412" s="74" t="str">
        <f aca="false">IF(ISBLANK($C412),"",IF($Q412=Constants!$B$2,TRUE(),IF($Q412=Constants!$B$3,FALSE(),FALSE())))</f>
        <v/>
      </c>
      <c r="AU412" s="74" t="str">
        <f aca="false">IF(ISBLANK($C412),"",IF($R412=Constants!$B$2,TRUE(),IF($R412=Constants!$B$3,FALSE(),FALSE())))</f>
        <v/>
      </c>
      <c r="AV412" s="74" t="str">
        <f aca="false">IF(ISBLANK($C412),"",IF($S412=Constants!$B$2,TRUE(),IF($S412=Constants!$B$3,FALSE(),FALSE())))</f>
        <v/>
      </c>
      <c r="AW412" s="74" t="str">
        <f aca="false">IF(ISBLANK($C412),"",IF($T412=Constants!$B$2,TRUE(),IF($T412=Constants!$B$3,FALSE(),FALSE())))</f>
        <v/>
      </c>
      <c r="AX412" s="74" t="str">
        <f aca="false">IF(ISBLANK($C412),"",IF(OR($U412&amp;""="1",$U412&amp;""="2",$U412&amp;""="3",$U412&amp;""="4"),VALUE($U412&amp;""),IF($U412=Constants!$B$12,Constants!$B$12,"")))</f>
        <v/>
      </c>
      <c r="AY412" s="74" t="str">
        <f aca="false">IF(ISBLANK($C412),"",IF(ISBLANK($V412),0,IF(ISNUMBER($V412),IF(AND($V412&gt;=0,$V412&lt;=Constants!$B$21,$V412=INT($V412)),$V412,""),"")))</f>
        <v/>
      </c>
      <c r="AZ412" s="74" t="str">
        <f aca="false">IF(ISBLANK($C412),"",IF(ISBLANK($W412),0,IF(ISNUMBER($W412),IF($W412&gt;=0,$W412,""),"")))</f>
        <v/>
      </c>
      <c r="BA412" s="74" t="str">
        <f aca="false">IF(ISBLANK($C412),"",IF($X412=Constants!$B$2,TRUE(),IF($X412=Constants!$B$3,FALSE(),TRUE())))</f>
        <v/>
      </c>
      <c r="BB412" s="74" t="str">
        <f aca="false">IF(ISBLANK($C412),"",IF($Y412=Constants!$B$2,TRUE(),IF($Y412=Constants!$B$3,FALSE(),FALSE())))</f>
        <v/>
      </c>
      <c r="BC412" s="74" t="str">
        <f aca="false">IF(ISBLANK($C412),"",IF(ISBLANK($Z412),0,IF(ISNUMBER($Z412),IF(AND($Z412&gt;=0,$Z412&lt;=Constants!$B$35,$Z412=INT($Z412)),$Z412,""),"")))</f>
        <v/>
      </c>
      <c r="BD412" s="74" t="str">
        <f aca="false">IF(ISBLANK($C412),"",IF($AA412=Constants!$B$2,TRUE(),IF($AA412=Constants!$B$3,FALSE(),TRUE())))</f>
        <v/>
      </c>
      <c r="BE412" s="74" t="str">
        <f aca="false">IF(ISBLANK($C412),"",IF($AB412=Constants!$B$2,TRUE(),IF($AB412=Constants!$B$3,FALSE(),TRUE())))</f>
        <v/>
      </c>
      <c r="BF412" s="74" t="str">
        <f aca="false">IF(ISBLANK($C412),"",IF(ISNUMBER($AC412),IF($AC412&gt;=0,$AC412,""),""))</f>
        <v/>
      </c>
      <c r="BG412" s="74" t="str">
        <f aca="false">IF(ISBLANK($C412),"",IF($AD412=Constants!$B$2,TRUE(),IF($AD412=Constants!$B$3,FALSE(),FALSE())))</f>
        <v/>
      </c>
      <c r="BH412" s="73" t="str">
        <f aca="false">IF(ISBLANK($C412),"",IF($BG412,Constants!$B$7,IF(COUNTA($E412:$AC412)=0,Constants!$B$6,IF(OR(COUNTA($G412:$AC412)=0,NOT($AK412),$AQ412),Constants!$B$5,IF(OR($CI412&lt;&gt;"",$CJ412,$CK412,$CL412,$CM412,$CN412,$CO412),Constants!$B$8,Constants!$B$4)))))</f>
        <v/>
      </c>
      <c r="BI412" s="74" t="str">
        <f aca="false">IF(ISBLANK($C412),"",IF($BH412&lt;&gt;Constants!$B$4,$BH412,IF(OR(NOT($AH412),NOT($AJ412),NOT($AR412)),Constants!$B$11,IF(OR(NOT($AP412),MAX($AL412,$AM412,$AN412)&gt;Constants!$B$30),Constants!$B$10,Constants!$B$9))))</f>
        <v/>
      </c>
      <c r="BJ412" s="74" t="str">
        <f aca="false">IF($BH412&lt;&gt;Constants!$B$4,"",IF(NOT($AJ412),0,MIN(Constants!$B$35,$BC412)))</f>
        <v/>
      </c>
      <c r="BK412" s="74" t="str">
        <f aca="false">IF($BH412&lt;&gt;Constants!$B$4,"",IF(NOT($AJ412),0,IF($AT412,Constants!$B$18,IF($AS412,Constants!$B$17,0))))</f>
        <v/>
      </c>
      <c r="BL412" s="74" t="str">
        <f aca="false">IF($BH412&lt;&gt;Constants!$B$4,"",IF(NOT($AJ412),0,Constants!$B$19*($AI412+$AU412+$AV412+$AW412)))</f>
        <v/>
      </c>
      <c r="BM412" s="74" t="str">
        <f aca="false">IF($BH412&lt;&gt;Constants!$B$4,"",IF(OR(NOT($AJ412),NOT(ISNUMBER($AX412))),0,CHOOSE($AX412,Constants!$B$13,Constants!$B$14,Constants!$B$15,Constants!$B$16)))</f>
        <v/>
      </c>
      <c r="BN412" s="74" t="str">
        <f aca="false">IF($BH412&lt;&gt;Constants!$B$4,"",IF(NOT($AJ412),0,Constants!$B$20*$AY412))</f>
        <v/>
      </c>
      <c r="BO412" s="74" t="str">
        <f aca="false">IF($BH412&lt;&gt;Constants!$B$4,"",IF(AND($AJ412,$BA412,$BB412),Constants!$B$22,0))</f>
        <v/>
      </c>
      <c r="BP412" s="74" t="str">
        <f aca="false">IF($BH412&lt;&gt;Constants!$B$4,"",IF(OR(NOT($AJ412),NOT($BA412)),0,IF($BF412&gt;=2*$AF$9,0,Constants!$B$23*INT(ROUND(MIN($BF412,$AF$9),6)))))</f>
        <v/>
      </c>
      <c r="BQ412" s="74" t="str">
        <f aca="false">IF($BH412&lt;&gt;Constants!$B$4,"",IF(NOT($AJ412),0,Constants!$B$24*INT(ROUND(MIN($AZ412,$AF$9),6))))</f>
        <v/>
      </c>
      <c r="BR412" s="74" t="str">
        <f aca="false">IF($BH412&lt;&gt;Constants!$B$4,"",IF(AND($AJ412,$BJ412=0),Constants!$B$25,0))</f>
        <v/>
      </c>
      <c r="BS412" s="74" t="str">
        <f aca="false">IF($BH412&lt;&gt;Constants!$B$4,"",MIN(Constants!$B$29,MAX(0,Constants!$B$27*Constants!$B$28*INT(ROUND((Constants!$B$26-$AL412)/Constants!$B$28,6))))+MIN(Constants!$B$29,MAX(0,Constants!$B$27*Constants!$B$28*INT(ROUND((Constants!$B$26-$AM412)/Constants!$B$28,6))))+MIN(Constants!$B$29,MAX(0,Constants!$B$27*Constants!$B$28*INT(ROUND((Constants!$B$26-$AN412)/Constants!$B$28,6)))))</f>
        <v/>
      </c>
      <c r="BT412" s="74" t="str">
        <f aca="false">IF($BH412&lt;&gt;Constants!$B$4,"",IF(NOT($AJ412),0,Constants!$B$31*INT(ROUND(MAX(0,MIN($BF412,2*$AF$9)-$AF$9),6))))</f>
        <v/>
      </c>
      <c r="BU412" s="74" t="str">
        <f aca="false">IF($BH412&lt;&gt;Constants!$B$4,"",Constants!$B$32*(($AL412&gt;Constants!$B$26)+($AM412&gt;Constants!$B$26)+($AN412&gt;Constants!$B$26)))</f>
        <v/>
      </c>
      <c r="BV412" s="74" t="str">
        <f aca="false">IF($BH412&lt;&gt;Constants!$B$4,"",IF(OR(NOT($AJ412),$AO412),0,Constants!$B$33))</f>
        <v/>
      </c>
      <c r="BW412" s="74" t="str">
        <f aca="false">IF($BH412&lt;&gt;Constants!$B$4,"",Constants!$B$34*$BJ412)</f>
        <v/>
      </c>
      <c r="BX412" s="74" t="str">
        <f aca="false">IF($BH412&lt;&gt;Constants!$B$4,"",IF(OR(NOT($AJ412),$BE412),0,Constants!$B$36))</f>
        <v/>
      </c>
      <c r="BY412" s="74" t="str">
        <f aca="false">IF($BH412&lt;&gt;Constants!$B$4,"",IF(OR(NOT($AJ412),$BD412),0,Constants!$B$37))</f>
        <v/>
      </c>
      <c r="BZ412" s="74" t="str">
        <f aca="false">IF($BH412&lt;&gt;Constants!$B$4,"",SUM($BT412:$BY412))</f>
        <v/>
      </c>
      <c r="CA412" s="74" t="str">
        <f aca="false">IF(ISBLANK($C412),"",IF($BH412&lt;&gt;Constants!$B$4,$BH412,SUM($BK412:$BS412)-$BZ412))</f>
        <v/>
      </c>
      <c r="CB412" s="74" t="str">
        <f aca="false">IF(ISBLANK($C412),"",IF($BH412&lt;&gt;Constants!$B$4,$BH412,RANK($CA412,$CA$9:$CA$508)))</f>
        <v/>
      </c>
      <c r="CC412" s="74" t="str">
        <f aca="false">IF(ISBLANK($C412),"",IF($BH412&lt;&gt;Constants!$B$4,$BH412,COUNTIFS($BI$9:$BI$508,"&lt;"&amp;$BI412)+COUNTIFS($BI$9:$BI$508,$BI412,$CB$9:$CB$508,"&lt;"&amp;$CB412)+1))</f>
        <v/>
      </c>
      <c r="CD412" s="74" t="str">
        <f aca="false">IF(ISBLANK($C412),"",IF($BH412&lt;&gt;Constants!$B$4,$BH412,RANK($BZ412,$BZ$9:$BZ$508,1)))</f>
        <v/>
      </c>
      <c r="CE412" s="74" t="str">
        <f aca="false">IF($BH412&lt;&gt;Constants!$B$4,"",$AL412+$AM412+$AN412)</f>
        <v/>
      </c>
      <c r="CF412" s="74" t="str">
        <f aca="false">IF(ISBLANK($C412),"",IF($BH412&lt;&gt;Constants!$B$4,$BH412,RANK($CE412,$CE$9:$CE$508,1)))</f>
        <v/>
      </c>
      <c r="CG412" s="74" t="str">
        <f aca="false">IF(ISBLANK($C412),"",IF($BH412&lt;&gt;Constants!$B$4,$BH412,COUNTIFS($BI$9:$BI$508,"&lt;"&amp;$BI412)+COUNTIFS($BI$9:$BI$508,$BI412,$CB$9:$CB$508,"&lt;"&amp;$CB412)+COUNTIFS($BI$9:$BI$508,$BI412,$CB$9:$CB$508,$CB412,$CD$9:$CD$508,"&lt;"&amp;$CD412)+COUNTIFS($BI$9:$BI$508,$BI412,$CB$9:$CB$508,$CB412,$CD$9:$CD$508,$CD412,$CF$9:$CF$508,"&lt;"&amp;$CF412)+1))</f>
        <v/>
      </c>
      <c r="CH412" s="74" t="str">
        <f aca="false">IF(ISBLANK($C412),"",IF($BH412&lt;&gt;Constants!$B$4,$BH412,$CC412-$CG412))</f>
        <v/>
      </c>
      <c r="CI412" s="74" t="str">
        <f aca="false">IF(ISBLANK($C412),"",IF(NOT($AJ412),"",IF(ISBLANK($D$7),$CI$5,IF(NOT(ISNUMBER($D$7)),$CI$6,""))))</f>
        <v/>
      </c>
      <c r="CJ412" s="74" t="str">
        <f aca="false">IF(ISBLANK($C412),"",OR($AL412="",$AM412="",$AN412=""))</f>
        <v/>
      </c>
      <c r="CK412" s="74" t="str">
        <f aca="false">IF(ISBLANK($C412),"",AND($AJ412,$AX412=""))</f>
        <v/>
      </c>
      <c r="CL412" s="74" t="str">
        <f aca="false">IF(ISBLANK($C412),"",AND($AJ412,$AY412=""))</f>
        <v/>
      </c>
      <c r="CM412" s="74" t="str">
        <f aca="false">IF(ISBLANK($C412),"",AND($AJ412,$AZ412=""))</f>
        <v/>
      </c>
      <c r="CN412" s="74" t="str">
        <f aca="false">IF(ISBLANK($C412),"",AND($AJ412,$BC412=""))</f>
        <v/>
      </c>
      <c r="CO412" s="74" t="str">
        <f aca="false">IF(ISBLANK($C412),"",AND($AJ412,$BF412=""))</f>
        <v/>
      </c>
      <c r="CP412" s="75"/>
      <c r="CQ412" s="76"/>
      <c r="CR412" s="79" t="str">
        <f aca="false">IF(ISBLANK($C412),"",IF($BH412=Constants!$B$8,$CI412,""))</f>
        <v/>
      </c>
      <c r="CS412" s="76" t="str">
        <f aca="false">IF(ISBLANK($C412),"",IF($BH412&lt;&gt;Constants!$B$4,"",$BK412+$BL412))</f>
        <v/>
      </c>
      <c r="CT412" s="78" t="str">
        <f aca="false">IF(ISBLANK($C412),"",IF($BH412&lt;&gt;Constants!$B$4,"",$BM412+$BN412+$BO412))</f>
        <v/>
      </c>
      <c r="CU412" s="78" t="str">
        <f aca="false">IF(ISBLANK($C412),"",IF($BH412&lt;&gt;Constants!$B$4,"",$BP412))</f>
        <v/>
      </c>
      <c r="CV412" s="78" t="str">
        <f aca="false">IF(ISBLANK($C412),"",IF($BH412&lt;&gt;Constants!$B$4,"",$BQ412+$BR412))</f>
        <v/>
      </c>
      <c r="CW412" s="78" t="str">
        <f aca="false">IF(ISBLANK($C412),"",IF($BH412&lt;&gt;Constants!$B$4,"",$BS412))</f>
        <v/>
      </c>
      <c r="CX412" s="78" t="str">
        <f aca="false">IF(ISBLANK($C412),"",IF($BH412&lt;&gt;Constants!$B$4,"",-$BZ412))</f>
        <v/>
      </c>
      <c r="CY412" s="79" t="str">
        <f aca="false">IF(ISBLANK($C412),"",$CA412)</f>
        <v/>
      </c>
      <c r="CZ412" s="80" t="str">
        <f aca="false">IF(ISBLANK($C412),"",$BI412)</f>
        <v/>
      </c>
      <c r="DA412" s="78" t="str">
        <f aca="false">IF(ISBLANK($C412),"",$CH412)</f>
        <v/>
      </c>
      <c r="DB412" s="78" t="str">
        <f aca="false">IF(ISBLANK($C412),"",$CG412)</f>
        <v/>
      </c>
      <c r="DC412" s="81" t="str">
        <f aca="false">IF(ISBLANK($C412),"",IFERROR(_xlfn.SWITCH($DB412,Constants!$B$7,COUNTA($C$9:$C$508)+2,Constants!$B$6,COUNTA($C$9:$C$508)+1,Constants!$B$5,COUNTA($C$9:$C$508)),$DB412))</f>
        <v/>
      </c>
      <c r="DD412" s="7"/>
      <c r="DE412" s="82" t="n">
        <f aca="false">IF(OR(ISNUMBER($DB412),$DB412=Constants!$B$7,$DB412=Constants!$B$5,$DB412=Constants!$B$6),1,0)</f>
        <v>0</v>
      </c>
      <c r="DF412" s="82" t="n">
        <v>404</v>
      </c>
      <c r="DG412" s="82" t="str">
        <f aca="false">IF(ISBLANK($C412),"",IF(ISNUMBER($DC412),$DC412+ROW($B412)/1000,""))</f>
        <v/>
      </c>
      <c r="DH412" s="82" t="str">
        <f aca="false">IF(ISNUMBER($DG412),RANK($DG412,$DG$9:$DG$508,1),"")</f>
        <v/>
      </c>
      <c r="DI412" s="82" t="str">
        <f aca="false">IF(ISBLANK($C412),"",$B412)</f>
        <v/>
      </c>
      <c r="DJ412" s="82" t="str">
        <f aca="false">IF(ISBLANK($C412),"",$C412)</f>
        <v/>
      </c>
      <c r="DK412" s="82" t="str">
        <f aca="false">IF(ISBLANK($C412),"",$D412)</f>
        <v/>
      </c>
      <c r="DL412" s="83" t="str">
        <f aca="false">$CZ412</f>
        <v/>
      </c>
      <c r="DM412" s="84" t="str">
        <f aca="false">$CY412</f>
        <v/>
      </c>
      <c r="DN412" s="82" t="str">
        <f aca="false">IF(ISBLANK($C412),"",$DB412)</f>
        <v/>
      </c>
      <c r="DO412" s="85" t="str">
        <f aca="false">IF($DF412&gt;$DE$8,"",VLOOKUP($DF412,$DH$9:$DN$508,7,FALSE()))</f>
        <v/>
      </c>
      <c r="DP412" s="86" t="str">
        <f aca="false">IF($DF412&gt;$DE$8,"",VLOOKUP($DF412,$DH$9:$DN$508,2,FALSE()))</f>
        <v/>
      </c>
      <c r="DQ412" s="86" t="str">
        <f aca="false">IF($DF412&gt;$DE$8,"",VLOOKUP($DF412,$DH$9:$DN$508,3,FALSE()))</f>
        <v/>
      </c>
      <c r="DR412" s="86" t="str">
        <f aca="false">IF($DF412&gt;$DE$8,"",VLOOKUP($DF412,$DH$9:$DN$508,4,FALSE()))</f>
        <v/>
      </c>
      <c r="DS412" s="86" t="str">
        <f aca="false">IF($DF412&gt;$DE$8,"",VLOOKUP($DF412,$DH$9:$DN$508,5,FALSE()))</f>
        <v/>
      </c>
      <c r="DT412" s="87" t="str">
        <f aca="false">IF($DF412&gt;$DE$8,"",VLOOKUP($DF412,$DH$9:$DN$508,6,FALSE()))</f>
        <v/>
      </c>
      <c r="DU412" s="62"/>
    </row>
    <row r="413" customFormat="false" ht="15.75" hidden="false" customHeight="false" outlineLevel="0" collapsed="false">
      <c r="A413" s="7"/>
      <c r="B413" s="64"/>
      <c r="C413" s="65"/>
      <c r="D413" s="123"/>
      <c r="E413" s="88"/>
      <c r="F413" s="134"/>
      <c r="G413" s="88"/>
      <c r="H413" s="134"/>
      <c r="I413" s="119"/>
      <c r="J413" s="119"/>
      <c r="K413" s="119"/>
      <c r="L413" s="88"/>
      <c r="M413" s="88"/>
      <c r="N413" s="88"/>
      <c r="O413" s="134"/>
      <c r="P413" s="88"/>
      <c r="Q413" s="88"/>
      <c r="R413" s="88"/>
      <c r="S413" s="88"/>
      <c r="T413" s="134"/>
      <c r="U413" s="88"/>
      <c r="V413" s="70"/>
      <c r="W413" s="88"/>
      <c r="X413" s="88"/>
      <c r="Y413" s="70"/>
      <c r="Z413" s="70"/>
      <c r="AA413" s="88"/>
      <c r="AB413" s="88"/>
      <c r="AC413" s="71"/>
      <c r="AD413" s="88"/>
      <c r="AE413" s="73"/>
      <c r="AF413" s="74"/>
      <c r="AG413" s="74"/>
      <c r="AH413" s="74" t="str">
        <f aca="false">IF(ISBLANK($C413),"",IF($E413=Constants!$B$2,TRUE(),IF($E413=Constants!$B$3,FALSE(),TRUE())))</f>
        <v/>
      </c>
      <c r="AI413" s="74" t="str">
        <f aca="false">IF(ISBLANK($C413),"",IF($F413=Constants!$B$2,TRUE(),IF($F413=Constants!$B$3,FALSE(),FALSE())))</f>
        <v/>
      </c>
      <c r="AJ413" s="74" t="str">
        <f aca="false">IF(ISBLANK($C413),"",IF($G413=Constants!$B$2,TRUE(),IF($G413=Constants!$B$3,FALSE(),TRUE())))</f>
        <v/>
      </c>
      <c r="AK413" s="74" t="str">
        <f aca="false">IF(ISBLANK($C413),"",IF($H413=Constants!$B$2,TRUE(),IF($H413=Constants!$B$3,FALSE(),TRUE())))</f>
        <v/>
      </c>
      <c r="AL413" s="74" t="str">
        <f aca="false">IF(ISBLANK($C413),"",IF(ISNUMBER($I413),IF($I413&gt;=0,$I413,""),""))</f>
        <v/>
      </c>
      <c r="AM413" s="74" t="str">
        <f aca="false">IF(ISBLANK($C413),"",IF(ISNUMBER($J413),IF($J413&gt;=0,$J413,""),""))</f>
        <v/>
      </c>
      <c r="AN413" s="74" t="str">
        <f aca="false">IF(ISBLANK($C413),"",IF(ISNUMBER($K413),IF($K413&gt;=0,$K413,""),""))</f>
        <v/>
      </c>
      <c r="AO413" s="74" t="str">
        <f aca="false">IF(ISBLANK($C413),"",IF($L413=Constants!$B$2,TRUE(),IF($L413=Constants!$B$3,FALSE(),TRUE())))</f>
        <v/>
      </c>
      <c r="AP413" s="74" t="str">
        <f aca="false">IF(ISBLANK($C413),"",IF($M413=Constants!$B$2,TRUE(),IF($M413=Constants!$B$3,FALSE(),TRUE())))</f>
        <v/>
      </c>
      <c r="AQ413" s="74" t="str">
        <f aca="false">IF(ISBLANK($C413),"",IF($N413=Constants!$B$2,TRUE(),IF($N413=Constants!$B$3,FALSE(),FALSE())))</f>
        <v/>
      </c>
      <c r="AR413" s="74" t="str">
        <f aca="false">IF(ISBLANK($C413),"",IF($O413=Constants!$B$2,TRUE(),IF($O413=Constants!$B$3,FALSE(),TRUE())))</f>
        <v/>
      </c>
      <c r="AS413" s="74" t="str">
        <f aca="false">IF(ISBLANK($C413),"",IF($P413=Constants!$B$2,TRUE(),IF($P413=Constants!$B$3,FALSE(),FALSE())))</f>
        <v/>
      </c>
      <c r="AT413" s="74" t="str">
        <f aca="false">IF(ISBLANK($C413),"",IF($Q413=Constants!$B$2,TRUE(),IF($Q413=Constants!$B$3,FALSE(),FALSE())))</f>
        <v/>
      </c>
      <c r="AU413" s="74" t="str">
        <f aca="false">IF(ISBLANK($C413),"",IF($R413=Constants!$B$2,TRUE(),IF($R413=Constants!$B$3,FALSE(),FALSE())))</f>
        <v/>
      </c>
      <c r="AV413" s="74" t="str">
        <f aca="false">IF(ISBLANK($C413),"",IF($S413=Constants!$B$2,TRUE(),IF($S413=Constants!$B$3,FALSE(),FALSE())))</f>
        <v/>
      </c>
      <c r="AW413" s="74" t="str">
        <f aca="false">IF(ISBLANK($C413),"",IF($T413=Constants!$B$2,TRUE(),IF($T413=Constants!$B$3,FALSE(),FALSE())))</f>
        <v/>
      </c>
      <c r="AX413" s="74" t="str">
        <f aca="false">IF(ISBLANK($C413),"",IF(OR($U413&amp;""="1",$U413&amp;""="2",$U413&amp;""="3",$U413&amp;""="4"),VALUE($U413&amp;""),IF($U413=Constants!$B$12,Constants!$B$12,"")))</f>
        <v/>
      </c>
      <c r="AY413" s="74" t="str">
        <f aca="false">IF(ISBLANK($C413),"",IF(ISBLANK($V413),0,IF(ISNUMBER($V413),IF(AND($V413&gt;=0,$V413&lt;=Constants!$B$21,$V413=INT($V413)),$V413,""),"")))</f>
        <v/>
      </c>
      <c r="AZ413" s="74" t="str">
        <f aca="false">IF(ISBLANK($C413),"",IF(ISBLANK($W413),0,IF(ISNUMBER($W413),IF($W413&gt;=0,$W413,""),"")))</f>
        <v/>
      </c>
      <c r="BA413" s="74" t="str">
        <f aca="false">IF(ISBLANK($C413),"",IF($X413=Constants!$B$2,TRUE(),IF($X413=Constants!$B$3,FALSE(),TRUE())))</f>
        <v/>
      </c>
      <c r="BB413" s="74" t="str">
        <f aca="false">IF(ISBLANK($C413),"",IF($Y413=Constants!$B$2,TRUE(),IF($Y413=Constants!$B$3,FALSE(),FALSE())))</f>
        <v/>
      </c>
      <c r="BC413" s="74" t="str">
        <f aca="false">IF(ISBLANK($C413),"",IF(ISBLANK($Z413),0,IF(ISNUMBER($Z413),IF(AND($Z413&gt;=0,$Z413&lt;=Constants!$B$35,$Z413=INT($Z413)),$Z413,""),"")))</f>
        <v/>
      </c>
      <c r="BD413" s="74" t="str">
        <f aca="false">IF(ISBLANK($C413),"",IF($AA413=Constants!$B$2,TRUE(),IF($AA413=Constants!$B$3,FALSE(),TRUE())))</f>
        <v/>
      </c>
      <c r="BE413" s="74" t="str">
        <f aca="false">IF(ISBLANK($C413),"",IF($AB413=Constants!$B$2,TRUE(),IF($AB413=Constants!$B$3,FALSE(),TRUE())))</f>
        <v/>
      </c>
      <c r="BF413" s="74" t="str">
        <f aca="false">IF(ISBLANK($C413),"",IF(ISNUMBER($AC413),IF($AC413&gt;=0,$AC413,""),""))</f>
        <v/>
      </c>
      <c r="BG413" s="74" t="str">
        <f aca="false">IF(ISBLANK($C413),"",IF($AD413=Constants!$B$2,TRUE(),IF($AD413=Constants!$B$3,FALSE(),FALSE())))</f>
        <v/>
      </c>
      <c r="BH413" s="73" t="str">
        <f aca="false">IF(ISBLANK($C413),"",IF($BG413,Constants!$B$7,IF(COUNTA($E413:$AC413)=0,Constants!$B$6,IF(OR(COUNTA($G413:$AC413)=0,NOT($AK413),$AQ413),Constants!$B$5,IF(OR($CI413&lt;&gt;"",$CJ413,$CK413,$CL413,$CM413,$CN413,$CO413),Constants!$B$8,Constants!$B$4)))))</f>
        <v/>
      </c>
      <c r="BI413" s="74" t="str">
        <f aca="false">IF(ISBLANK($C413),"",IF($BH413&lt;&gt;Constants!$B$4,$BH413,IF(OR(NOT($AH413),NOT($AJ413),NOT($AR413)),Constants!$B$11,IF(OR(NOT($AP413),MAX($AL413,$AM413,$AN413)&gt;Constants!$B$30),Constants!$B$10,Constants!$B$9))))</f>
        <v/>
      </c>
      <c r="BJ413" s="74" t="str">
        <f aca="false">IF($BH413&lt;&gt;Constants!$B$4,"",IF(NOT($AJ413),0,MIN(Constants!$B$35,$BC413)))</f>
        <v/>
      </c>
      <c r="BK413" s="74" t="str">
        <f aca="false">IF($BH413&lt;&gt;Constants!$B$4,"",IF(NOT($AJ413),0,IF($AT413,Constants!$B$18,IF($AS413,Constants!$B$17,0))))</f>
        <v/>
      </c>
      <c r="BL413" s="74" t="str">
        <f aca="false">IF($BH413&lt;&gt;Constants!$B$4,"",IF(NOT($AJ413),0,Constants!$B$19*($AI413+$AU413+$AV413+$AW413)))</f>
        <v/>
      </c>
      <c r="BM413" s="74" t="str">
        <f aca="false">IF($BH413&lt;&gt;Constants!$B$4,"",IF(OR(NOT($AJ413),NOT(ISNUMBER($AX413))),0,CHOOSE($AX413,Constants!$B$13,Constants!$B$14,Constants!$B$15,Constants!$B$16)))</f>
        <v/>
      </c>
      <c r="BN413" s="74" t="str">
        <f aca="false">IF($BH413&lt;&gt;Constants!$B$4,"",IF(NOT($AJ413),0,Constants!$B$20*$AY413))</f>
        <v/>
      </c>
      <c r="BO413" s="74" t="str">
        <f aca="false">IF($BH413&lt;&gt;Constants!$B$4,"",IF(AND($AJ413,$BA413,$BB413),Constants!$B$22,0))</f>
        <v/>
      </c>
      <c r="BP413" s="74" t="str">
        <f aca="false">IF($BH413&lt;&gt;Constants!$B$4,"",IF(OR(NOT($AJ413),NOT($BA413)),0,IF($BF413&gt;=2*$AF$9,0,Constants!$B$23*INT(ROUND(MIN($BF413,$AF$9),6)))))</f>
        <v/>
      </c>
      <c r="BQ413" s="74" t="str">
        <f aca="false">IF($BH413&lt;&gt;Constants!$B$4,"",IF(NOT($AJ413),0,Constants!$B$24*INT(ROUND(MIN($AZ413,$AF$9),6))))</f>
        <v/>
      </c>
      <c r="BR413" s="74" t="str">
        <f aca="false">IF($BH413&lt;&gt;Constants!$B$4,"",IF(AND($AJ413,$BJ413=0),Constants!$B$25,0))</f>
        <v/>
      </c>
      <c r="BS413" s="74" t="str">
        <f aca="false">IF($BH413&lt;&gt;Constants!$B$4,"",MIN(Constants!$B$29,MAX(0,Constants!$B$27*Constants!$B$28*INT(ROUND((Constants!$B$26-$AL413)/Constants!$B$28,6))))+MIN(Constants!$B$29,MAX(0,Constants!$B$27*Constants!$B$28*INT(ROUND((Constants!$B$26-$AM413)/Constants!$B$28,6))))+MIN(Constants!$B$29,MAX(0,Constants!$B$27*Constants!$B$28*INT(ROUND((Constants!$B$26-$AN413)/Constants!$B$28,6)))))</f>
        <v/>
      </c>
      <c r="BT413" s="74" t="str">
        <f aca="false">IF($BH413&lt;&gt;Constants!$B$4,"",IF(NOT($AJ413),0,Constants!$B$31*INT(ROUND(MAX(0,MIN($BF413,2*$AF$9)-$AF$9),6))))</f>
        <v/>
      </c>
      <c r="BU413" s="74" t="str">
        <f aca="false">IF($BH413&lt;&gt;Constants!$B$4,"",Constants!$B$32*(($AL413&gt;Constants!$B$26)+($AM413&gt;Constants!$B$26)+($AN413&gt;Constants!$B$26)))</f>
        <v/>
      </c>
      <c r="BV413" s="74" t="str">
        <f aca="false">IF($BH413&lt;&gt;Constants!$B$4,"",IF(OR(NOT($AJ413),$AO413),0,Constants!$B$33))</f>
        <v/>
      </c>
      <c r="BW413" s="74" t="str">
        <f aca="false">IF($BH413&lt;&gt;Constants!$B$4,"",Constants!$B$34*$BJ413)</f>
        <v/>
      </c>
      <c r="BX413" s="74" t="str">
        <f aca="false">IF($BH413&lt;&gt;Constants!$B$4,"",IF(OR(NOT($AJ413),$BE413),0,Constants!$B$36))</f>
        <v/>
      </c>
      <c r="BY413" s="74" t="str">
        <f aca="false">IF($BH413&lt;&gt;Constants!$B$4,"",IF(OR(NOT($AJ413),$BD413),0,Constants!$B$37))</f>
        <v/>
      </c>
      <c r="BZ413" s="74" t="str">
        <f aca="false">IF($BH413&lt;&gt;Constants!$B$4,"",SUM($BT413:$BY413))</f>
        <v/>
      </c>
      <c r="CA413" s="74" t="str">
        <f aca="false">IF(ISBLANK($C413),"",IF($BH413&lt;&gt;Constants!$B$4,$BH413,SUM($BK413:$BS413)-$BZ413))</f>
        <v/>
      </c>
      <c r="CB413" s="74" t="str">
        <f aca="false">IF(ISBLANK($C413),"",IF($BH413&lt;&gt;Constants!$B$4,$BH413,RANK($CA413,$CA$9:$CA$508)))</f>
        <v/>
      </c>
      <c r="CC413" s="74" t="str">
        <f aca="false">IF(ISBLANK($C413),"",IF($BH413&lt;&gt;Constants!$B$4,$BH413,COUNTIFS($BI$9:$BI$508,"&lt;"&amp;$BI413)+COUNTIFS($BI$9:$BI$508,$BI413,$CB$9:$CB$508,"&lt;"&amp;$CB413)+1))</f>
        <v/>
      </c>
      <c r="CD413" s="74" t="str">
        <f aca="false">IF(ISBLANK($C413),"",IF($BH413&lt;&gt;Constants!$B$4,$BH413,RANK($BZ413,$BZ$9:$BZ$508,1)))</f>
        <v/>
      </c>
      <c r="CE413" s="74" t="str">
        <f aca="false">IF($BH413&lt;&gt;Constants!$B$4,"",$AL413+$AM413+$AN413)</f>
        <v/>
      </c>
      <c r="CF413" s="74" t="str">
        <f aca="false">IF(ISBLANK($C413),"",IF($BH413&lt;&gt;Constants!$B$4,$BH413,RANK($CE413,$CE$9:$CE$508,1)))</f>
        <v/>
      </c>
      <c r="CG413" s="74" t="str">
        <f aca="false">IF(ISBLANK($C413),"",IF($BH413&lt;&gt;Constants!$B$4,$BH413,COUNTIFS($BI$9:$BI$508,"&lt;"&amp;$BI413)+COUNTIFS($BI$9:$BI$508,$BI413,$CB$9:$CB$508,"&lt;"&amp;$CB413)+COUNTIFS($BI$9:$BI$508,$BI413,$CB$9:$CB$508,$CB413,$CD$9:$CD$508,"&lt;"&amp;$CD413)+COUNTIFS($BI$9:$BI$508,$BI413,$CB$9:$CB$508,$CB413,$CD$9:$CD$508,$CD413,$CF$9:$CF$508,"&lt;"&amp;$CF413)+1))</f>
        <v/>
      </c>
      <c r="CH413" s="74" t="str">
        <f aca="false">IF(ISBLANK($C413),"",IF($BH413&lt;&gt;Constants!$B$4,$BH413,$CC413-$CG413))</f>
        <v/>
      </c>
      <c r="CI413" s="74" t="str">
        <f aca="false">IF(ISBLANK($C413),"",IF(NOT($AJ413),"",IF(ISBLANK($D$7),$CI$5,IF(NOT(ISNUMBER($D$7)),$CI$6,""))))</f>
        <v/>
      </c>
      <c r="CJ413" s="74" t="str">
        <f aca="false">IF(ISBLANK($C413),"",OR($AL413="",$AM413="",$AN413=""))</f>
        <v/>
      </c>
      <c r="CK413" s="74" t="str">
        <f aca="false">IF(ISBLANK($C413),"",AND($AJ413,$AX413=""))</f>
        <v/>
      </c>
      <c r="CL413" s="74" t="str">
        <f aca="false">IF(ISBLANK($C413),"",AND($AJ413,$AY413=""))</f>
        <v/>
      </c>
      <c r="CM413" s="74" t="str">
        <f aca="false">IF(ISBLANK($C413),"",AND($AJ413,$AZ413=""))</f>
        <v/>
      </c>
      <c r="CN413" s="74" t="str">
        <f aca="false">IF(ISBLANK($C413),"",AND($AJ413,$BC413=""))</f>
        <v/>
      </c>
      <c r="CO413" s="74" t="str">
        <f aca="false">IF(ISBLANK($C413),"",AND($AJ413,$BF413=""))</f>
        <v/>
      </c>
      <c r="CP413" s="75"/>
      <c r="CQ413" s="76"/>
      <c r="CR413" s="79" t="str">
        <f aca="false">IF(ISBLANK($C413),"",IF($BH413=Constants!$B$8,$CI413,""))</f>
        <v/>
      </c>
      <c r="CS413" s="76" t="str">
        <f aca="false">IF(ISBLANK($C413),"",IF($BH413&lt;&gt;Constants!$B$4,"",$BK413+$BL413))</f>
        <v/>
      </c>
      <c r="CT413" s="78" t="str">
        <f aca="false">IF(ISBLANK($C413),"",IF($BH413&lt;&gt;Constants!$B$4,"",$BM413+$BN413+$BO413))</f>
        <v/>
      </c>
      <c r="CU413" s="78" t="str">
        <f aca="false">IF(ISBLANK($C413),"",IF($BH413&lt;&gt;Constants!$B$4,"",$BP413))</f>
        <v/>
      </c>
      <c r="CV413" s="78" t="str">
        <f aca="false">IF(ISBLANK($C413),"",IF($BH413&lt;&gt;Constants!$B$4,"",$BQ413+$BR413))</f>
        <v/>
      </c>
      <c r="CW413" s="78" t="str">
        <f aca="false">IF(ISBLANK($C413),"",IF($BH413&lt;&gt;Constants!$B$4,"",$BS413))</f>
        <v/>
      </c>
      <c r="CX413" s="78" t="str">
        <f aca="false">IF(ISBLANK($C413),"",IF($BH413&lt;&gt;Constants!$B$4,"",-$BZ413))</f>
        <v/>
      </c>
      <c r="CY413" s="79" t="str">
        <f aca="false">IF(ISBLANK($C413),"",$CA413)</f>
        <v/>
      </c>
      <c r="CZ413" s="80" t="str">
        <f aca="false">IF(ISBLANK($C413),"",$BI413)</f>
        <v/>
      </c>
      <c r="DA413" s="78" t="str">
        <f aca="false">IF(ISBLANK($C413),"",$CH413)</f>
        <v/>
      </c>
      <c r="DB413" s="78" t="str">
        <f aca="false">IF(ISBLANK($C413),"",$CG413)</f>
        <v/>
      </c>
      <c r="DC413" s="81" t="str">
        <f aca="false">IF(ISBLANK($C413),"",IFERROR(_xlfn.SWITCH($DB413,Constants!$B$7,COUNTA($C$9:$C$508)+2,Constants!$B$6,COUNTA($C$9:$C$508)+1,Constants!$B$5,COUNTA($C$9:$C$508)),$DB413))</f>
        <v/>
      </c>
      <c r="DD413" s="7"/>
      <c r="DE413" s="82" t="n">
        <f aca="false">IF(OR(ISNUMBER($DB413),$DB413=Constants!$B$7,$DB413=Constants!$B$5,$DB413=Constants!$B$6),1,0)</f>
        <v>0</v>
      </c>
      <c r="DF413" s="82" t="n">
        <v>405</v>
      </c>
      <c r="DG413" s="82" t="str">
        <f aca="false">IF(ISBLANK($C413),"",IF(ISNUMBER($DC413),$DC413+ROW($B413)/1000,""))</f>
        <v/>
      </c>
      <c r="DH413" s="82" t="str">
        <f aca="false">IF(ISNUMBER($DG413),RANK($DG413,$DG$9:$DG$508,1),"")</f>
        <v/>
      </c>
      <c r="DI413" s="82" t="str">
        <f aca="false">IF(ISBLANK($C413),"",$B413)</f>
        <v/>
      </c>
      <c r="DJ413" s="82" t="str">
        <f aca="false">IF(ISBLANK($C413),"",$C413)</f>
        <v/>
      </c>
      <c r="DK413" s="82" t="str">
        <f aca="false">IF(ISBLANK($C413),"",$D413)</f>
        <v/>
      </c>
      <c r="DL413" s="83" t="str">
        <f aca="false">$CZ413</f>
        <v/>
      </c>
      <c r="DM413" s="84" t="str">
        <f aca="false">$CY413</f>
        <v/>
      </c>
      <c r="DN413" s="82" t="str">
        <f aca="false">IF(ISBLANK($C413),"",$DB413)</f>
        <v/>
      </c>
      <c r="DO413" s="85" t="str">
        <f aca="false">IF($DF413&gt;$DE$8,"",VLOOKUP($DF413,$DH$9:$DN$508,7,FALSE()))</f>
        <v/>
      </c>
      <c r="DP413" s="86" t="str">
        <f aca="false">IF($DF413&gt;$DE$8,"",VLOOKUP($DF413,$DH$9:$DN$508,2,FALSE()))</f>
        <v/>
      </c>
      <c r="DQ413" s="86" t="str">
        <f aca="false">IF($DF413&gt;$DE$8,"",VLOOKUP($DF413,$DH$9:$DN$508,3,FALSE()))</f>
        <v/>
      </c>
      <c r="DR413" s="86" t="str">
        <f aca="false">IF($DF413&gt;$DE$8,"",VLOOKUP($DF413,$DH$9:$DN$508,4,FALSE()))</f>
        <v/>
      </c>
      <c r="DS413" s="86" t="str">
        <f aca="false">IF($DF413&gt;$DE$8,"",VLOOKUP($DF413,$DH$9:$DN$508,5,FALSE()))</f>
        <v/>
      </c>
      <c r="DT413" s="87" t="str">
        <f aca="false">IF($DF413&gt;$DE$8,"",VLOOKUP($DF413,$DH$9:$DN$508,6,FALSE()))</f>
        <v/>
      </c>
      <c r="DU413" s="62"/>
    </row>
    <row r="414" customFormat="false" ht="15.75" hidden="false" customHeight="false" outlineLevel="0" collapsed="false">
      <c r="A414" s="7"/>
      <c r="B414" s="90"/>
      <c r="C414" s="91"/>
      <c r="D414" s="126"/>
      <c r="E414" s="130"/>
      <c r="F414" s="135"/>
      <c r="G414" s="130"/>
      <c r="H414" s="135"/>
      <c r="I414" s="131"/>
      <c r="J414" s="131"/>
      <c r="K414" s="131"/>
      <c r="L414" s="130"/>
      <c r="M414" s="130"/>
      <c r="N414" s="130"/>
      <c r="O414" s="135"/>
      <c r="P414" s="130"/>
      <c r="Q414" s="130"/>
      <c r="R414" s="130"/>
      <c r="S414" s="130"/>
      <c r="T414" s="135"/>
      <c r="U414" s="130"/>
      <c r="V414" s="96"/>
      <c r="W414" s="130"/>
      <c r="X414" s="130"/>
      <c r="Y414" s="96"/>
      <c r="Z414" s="96"/>
      <c r="AA414" s="130"/>
      <c r="AB414" s="130"/>
      <c r="AC414" s="97"/>
      <c r="AD414" s="130"/>
      <c r="AE414" s="99"/>
      <c r="AF414" s="100"/>
      <c r="AG414" s="100"/>
      <c r="AH414" s="100" t="str">
        <f aca="false">IF(ISBLANK($C414),"",IF($E414=Constants!$B$2,TRUE(),IF($E414=Constants!$B$3,FALSE(),TRUE())))</f>
        <v/>
      </c>
      <c r="AI414" s="100" t="str">
        <f aca="false">IF(ISBLANK($C414),"",IF($F414=Constants!$B$2,TRUE(),IF($F414=Constants!$B$3,FALSE(),FALSE())))</f>
        <v/>
      </c>
      <c r="AJ414" s="100" t="str">
        <f aca="false">IF(ISBLANK($C414),"",IF($G414=Constants!$B$2,TRUE(),IF($G414=Constants!$B$3,FALSE(),TRUE())))</f>
        <v/>
      </c>
      <c r="AK414" s="100" t="str">
        <f aca="false">IF(ISBLANK($C414),"",IF($H414=Constants!$B$2,TRUE(),IF($H414=Constants!$B$3,FALSE(),TRUE())))</f>
        <v/>
      </c>
      <c r="AL414" s="100" t="str">
        <f aca="false">IF(ISBLANK($C414),"",IF(ISNUMBER($I414),IF($I414&gt;=0,$I414,""),""))</f>
        <v/>
      </c>
      <c r="AM414" s="100" t="str">
        <f aca="false">IF(ISBLANK($C414),"",IF(ISNUMBER($J414),IF($J414&gt;=0,$J414,""),""))</f>
        <v/>
      </c>
      <c r="AN414" s="100" t="str">
        <f aca="false">IF(ISBLANK($C414),"",IF(ISNUMBER($K414),IF($K414&gt;=0,$K414,""),""))</f>
        <v/>
      </c>
      <c r="AO414" s="100" t="str">
        <f aca="false">IF(ISBLANK($C414),"",IF($L414=Constants!$B$2,TRUE(),IF($L414=Constants!$B$3,FALSE(),TRUE())))</f>
        <v/>
      </c>
      <c r="AP414" s="100" t="str">
        <f aca="false">IF(ISBLANK($C414),"",IF($M414=Constants!$B$2,TRUE(),IF($M414=Constants!$B$3,FALSE(),TRUE())))</f>
        <v/>
      </c>
      <c r="AQ414" s="100" t="str">
        <f aca="false">IF(ISBLANK($C414),"",IF($N414=Constants!$B$2,TRUE(),IF($N414=Constants!$B$3,FALSE(),FALSE())))</f>
        <v/>
      </c>
      <c r="AR414" s="100" t="str">
        <f aca="false">IF(ISBLANK($C414),"",IF($O414=Constants!$B$2,TRUE(),IF($O414=Constants!$B$3,FALSE(),TRUE())))</f>
        <v/>
      </c>
      <c r="AS414" s="100" t="str">
        <f aca="false">IF(ISBLANK($C414),"",IF($P414=Constants!$B$2,TRUE(),IF($P414=Constants!$B$3,FALSE(),FALSE())))</f>
        <v/>
      </c>
      <c r="AT414" s="100" t="str">
        <f aca="false">IF(ISBLANK($C414),"",IF($Q414=Constants!$B$2,TRUE(),IF($Q414=Constants!$B$3,FALSE(),FALSE())))</f>
        <v/>
      </c>
      <c r="AU414" s="100" t="str">
        <f aca="false">IF(ISBLANK($C414),"",IF($R414=Constants!$B$2,TRUE(),IF($R414=Constants!$B$3,FALSE(),FALSE())))</f>
        <v/>
      </c>
      <c r="AV414" s="100" t="str">
        <f aca="false">IF(ISBLANK($C414),"",IF($S414=Constants!$B$2,TRUE(),IF($S414=Constants!$B$3,FALSE(),FALSE())))</f>
        <v/>
      </c>
      <c r="AW414" s="100" t="str">
        <f aca="false">IF(ISBLANK($C414),"",IF($T414=Constants!$B$2,TRUE(),IF($T414=Constants!$B$3,FALSE(),FALSE())))</f>
        <v/>
      </c>
      <c r="AX414" s="100" t="str">
        <f aca="false">IF(ISBLANK($C414),"",IF(OR($U414&amp;""="1",$U414&amp;""="2",$U414&amp;""="3",$U414&amp;""="4"),VALUE($U414&amp;""),IF($U414=Constants!$B$12,Constants!$B$12,"")))</f>
        <v/>
      </c>
      <c r="AY414" s="100" t="str">
        <f aca="false">IF(ISBLANK($C414),"",IF(ISBLANK($V414),0,IF(ISNUMBER($V414),IF(AND($V414&gt;=0,$V414&lt;=Constants!$B$21,$V414=INT($V414)),$V414,""),"")))</f>
        <v/>
      </c>
      <c r="AZ414" s="100" t="str">
        <f aca="false">IF(ISBLANK($C414),"",IF(ISBLANK($W414),0,IF(ISNUMBER($W414),IF($W414&gt;=0,$W414,""),"")))</f>
        <v/>
      </c>
      <c r="BA414" s="100" t="str">
        <f aca="false">IF(ISBLANK($C414),"",IF($X414=Constants!$B$2,TRUE(),IF($X414=Constants!$B$3,FALSE(),TRUE())))</f>
        <v/>
      </c>
      <c r="BB414" s="100" t="str">
        <f aca="false">IF(ISBLANK($C414),"",IF($Y414=Constants!$B$2,TRUE(),IF($Y414=Constants!$B$3,FALSE(),FALSE())))</f>
        <v/>
      </c>
      <c r="BC414" s="100" t="str">
        <f aca="false">IF(ISBLANK($C414),"",IF(ISBLANK($Z414),0,IF(ISNUMBER($Z414),IF(AND($Z414&gt;=0,$Z414&lt;=Constants!$B$35,$Z414=INT($Z414)),$Z414,""),"")))</f>
        <v/>
      </c>
      <c r="BD414" s="100" t="str">
        <f aca="false">IF(ISBLANK($C414),"",IF($AA414=Constants!$B$2,TRUE(),IF($AA414=Constants!$B$3,FALSE(),TRUE())))</f>
        <v/>
      </c>
      <c r="BE414" s="100" t="str">
        <f aca="false">IF(ISBLANK($C414),"",IF($AB414=Constants!$B$2,TRUE(),IF($AB414=Constants!$B$3,FALSE(),TRUE())))</f>
        <v/>
      </c>
      <c r="BF414" s="100" t="str">
        <f aca="false">IF(ISBLANK($C414),"",IF(ISNUMBER($AC414),IF($AC414&gt;=0,$AC414,""),""))</f>
        <v/>
      </c>
      <c r="BG414" s="100" t="str">
        <f aca="false">IF(ISBLANK($C414),"",IF($AD414=Constants!$B$2,TRUE(),IF($AD414=Constants!$B$3,FALSE(),FALSE())))</f>
        <v/>
      </c>
      <c r="BH414" s="99" t="str">
        <f aca="false">IF(ISBLANK($C414),"",IF($BG414,Constants!$B$7,IF(COUNTA($E414:$AC414)=0,Constants!$B$6,IF(OR(COUNTA($G414:$AC414)=0,NOT($AK414),$AQ414),Constants!$B$5,IF(OR($CI414&lt;&gt;"",$CJ414,$CK414,$CL414,$CM414,$CN414,$CO414),Constants!$B$8,Constants!$B$4)))))</f>
        <v/>
      </c>
      <c r="BI414" s="100" t="str">
        <f aca="false">IF(ISBLANK($C414),"",IF($BH414&lt;&gt;Constants!$B$4,$BH414,IF(OR(NOT($AH414),NOT($AJ414),NOT($AR414)),Constants!$B$11,IF(OR(NOT($AP414),MAX($AL414,$AM414,$AN414)&gt;Constants!$B$30),Constants!$B$10,Constants!$B$9))))</f>
        <v/>
      </c>
      <c r="BJ414" s="100" t="str">
        <f aca="false">IF($BH414&lt;&gt;Constants!$B$4,"",IF(NOT($AJ414),0,MIN(Constants!$B$35,$BC414)))</f>
        <v/>
      </c>
      <c r="BK414" s="100" t="str">
        <f aca="false">IF($BH414&lt;&gt;Constants!$B$4,"",IF(NOT($AJ414),0,IF($AT414,Constants!$B$18,IF($AS414,Constants!$B$17,0))))</f>
        <v/>
      </c>
      <c r="BL414" s="100" t="str">
        <f aca="false">IF($BH414&lt;&gt;Constants!$B$4,"",IF(NOT($AJ414),0,Constants!$B$19*($AI414+$AU414+$AV414+$AW414)))</f>
        <v/>
      </c>
      <c r="BM414" s="100" t="str">
        <f aca="false">IF($BH414&lt;&gt;Constants!$B$4,"",IF(OR(NOT($AJ414),NOT(ISNUMBER($AX414))),0,CHOOSE($AX414,Constants!$B$13,Constants!$B$14,Constants!$B$15,Constants!$B$16)))</f>
        <v/>
      </c>
      <c r="BN414" s="100" t="str">
        <f aca="false">IF($BH414&lt;&gt;Constants!$B$4,"",IF(NOT($AJ414),0,Constants!$B$20*$AY414))</f>
        <v/>
      </c>
      <c r="BO414" s="100" t="str">
        <f aca="false">IF($BH414&lt;&gt;Constants!$B$4,"",IF(AND($AJ414,$BA414,$BB414),Constants!$B$22,0))</f>
        <v/>
      </c>
      <c r="BP414" s="100" t="str">
        <f aca="false">IF($BH414&lt;&gt;Constants!$B$4,"",IF(OR(NOT($AJ414),NOT($BA414)),0,IF($BF414&gt;=2*$AF$9,0,Constants!$B$23*INT(ROUND(MIN($BF414,$AF$9),6)))))</f>
        <v/>
      </c>
      <c r="BQ414" s="100" t="str">
        <f aca="false">IF($BH414&lt;&gt;Constants!$B$4,"",IF(NOT($AJ414),0,Constants!$B$24*INT(ROUND(MIN($AZ414,$AF$9),6))))</f>
        <v/>
      </c>
      <c r="BR414" s="100" t="str">
        <f aca="false">IF($BH414&lt;&gt;Constants!$B$4,"",IF(AND($AJ414,$BJ414=0),Constants!$B$25,0))</f>
        <v/>
      </c>
      <c r="BS414" s="100" t="str">
        <f aca="false">IF($BH414&lt;&gt;Constants!$B$4,"",MIN(Constants!$B$29,MAX(0,Constants!$B$27*Constants!$B$28*INT(ROUND((Constants!$B$26-$AL414)/Constants!$B$28,6))))+MIN(Constants!$B$29,MAX(0,Constants!$B$27*Constants!$B$28*INT(ROUND((Constants!$B$26-$AM414)/Constants!$B$28,6))))+MIN(Constants!$B$29,MAX(0,Constants!$B$27*Constants!$B$28*INT(ROUND((Constants!$B$26-$AN414)/Constants!$B$28,6)))))</f>
        <v/>
      </c>
      <c r="BT414" s="100" t="str">
        <f aca="false">IF($BH414&lt;&gt;Constants!$B$4,"",IF(NOT($AJ414),0,Constants!$B$31*INT(ROUND(MAX(0,MIN($BF414,2*$AF$9)-$AF$9),6))))</f>
        <v/>
      </c>
      <c r="BU414" s="100" t="str">
        <f aca="false">IF($BH414&lt;&gt;Constants!$B$4,"",Constants!$B$32*(($AL414&gt;Constants!$B$26)+($AM414&gt;Constants!$B$26)+($AN414&gt;Constants!$B$26)))</f>
        <v/>
      </c>
      <c r="BV414" s="100" t="str">
        <f aca="false">IF($BH414&lt;&gt;Constants!$B$4,"",IF(OR(NOT($AJ414),$AO414),0,Constants!$B$33))</f>
        <v/>
      </c>
      <c r="BW414" s="100" t="str">
        <f aca="false">IF($BH414&lt;&gt;Constants!$B$4,"",Constants!$B$34*$BJ414)</f>
        <v/>
      </c>
      <c r="BX414" s="100" t="str">
        <f aca="false">IF($BH414&lt;&gt;Constants!$B$4,"",IF(OR(NOT($AJ414),$BE414),0,Constants!$B$36))</f>
        <v/>
      </c>
      <c r="BY414" s="100" t="str">
        <f aca="false">IF($BH414&lt;&gt;Constants!$B$4,"",IF(OR(NOT($AJ414),$BD414),0,Constants!$B$37))</f>
        <v/>
      </c>
      <c r="BZ414" s="100" t="str">
        <f aca="false">IF($BH414&lt;&gt;Constants!$B$4,"",SUM($BT414:$BY414))</f>
        <v/>
      </c>
      <c r="CA414" s="100" t="str">
        <f aca="false">IF(ISBLANK($C414),"",IF($BH414&lt;&gt;Constants!$B$4,$BH414,SUM($BK414:$BS414)-$BZ414))</f>
        <v/>
      </c>
      <c r="CB414" s="100" t="str">
        <f aca="false">IF(ISBLANK($C414),"",IF($BH414&lt;&gt;Constants!$B$4,$BH414,RANK($CA414,$CA$9:$CA$508)))</f>
        <v/>
      </c>
      <c r="CC414" s="100" t="str">
        <f aca="false">IF(ISBLANK($C414),"",IF($BH414&lt;&gt;Constants!$B$4,$BH414,COUNTIFS($BI$9:$BI$508,"&lt;"&amp;$BI414)+COUNTIFS($BI$9:$BI$508,$BI414,$CB$9:$CB$508,"&lt;"&amp;$CB414)+1))</f>
        <v/>
      </c>
      <c r="CD414" s="100" t="str">
        <f aca="false">IF(ISBLANK($C414),"",IF($BH414&lt;&gt;Constants!$B$4,$BH414,RANK($BZ414,$BZ$9:$BZ$508,1)))</f>
        <v/>
      </c>
      <c r="CE414" s="100" t="str">
        <f aca="false">IF($BH414&lt;&gt;Constants!$B$4,"",$AL414+$AM414+$AN414)</f>
        <v/>
      </c>
      <c r="CF414" s="100" t="str">
        <f aca="false">IF(ISBLANK($C414),"",IF($BH414&lt;&gt;Constants!$B$4,$BH414,RANK($CE414,$CE$9:$CE$508,1)))</f>
        <v/>
      </c>
      <c r="CG414" s="100" t="str">
        <f aca="false">IF(ISBLANK($C414),"",IF($BH414&lt;&gt;Constants!$B$4,$BH414,COUNTIFS($BI$9:$BI$508,"&lt;"&amp;$BI414)+COUNTIFS($BI$9:$BI$508,$BI414,$CB$9:$CB$508,"&lt;"&amp;$CB414)+COUNTIFS($BI$9:$BI$508,$BI414,$CB$9:$CB$508,$CB414,$CD$9:$CD$508,"&lt;"&amp;$CD414)+COUNTIFS($BI$9:$BI$508,$BI414,$CB$9:$CB$508,$CB414,$CD$9:$CD$508,$CD414,$CF$9:$CF$508,"&lt;"&amp;$CF414)+1))</f>
        <v/>
      </c>
      <c r="CH414" s="100" t="str">
        <f aca="false">IF(ISBLANK($C414),"",IF($BH414&lt;&gt;Constants!$B$4,$BH414,$CC414-$CG414))</f>
        <v/>
      </c>
      <c r="CI414" s="100" t="str">
        <f aca="false">IF(ISBLANK($C414),"",IF(NOT($AJ414),"",IF(ISBLANK($D$7),$CI$5,IF(NOT(ISNUMBER($D$7)),$CI$6,""))))</f>
        <v/>
      </c>
      <c r="CJ414" s="100" t="str">
        <f aca="false">IF(ISBLANK($C414),"",OR($AL414="",$AM414="",$AN414=""))</f>
        <v/>
      </c>
      <c r="CK414" s="100" t="str">
        <f aca="false">IF(ISBLANK($C414),"",AND($AJ414,$AX414=""))</f>
        <v/>
      </c>
      <c r="CL414" s="100" t="str">
        <f aca="false">IF(ISBLANK($C414),"",AND($AJ414,$AY414=""))</f>
        <v/>
      </c>
      <c r="CM414" s="100" t="str">
        <f aca="false">IF(ISBLANK($C414),"",AND($AJ414,$AZ414=""))</f>
        <v/>
      </c>
      <c r="CN414" s="100" t="str">
        <f aca="false">IF(ISBLANK($C414),"",AND($AJ414,$BC414=""))</f>
        <v/>
      </c>
      <c r="CO414" s="100" t="str">
        <f aca="false">IF(ISBLANK($C414),"",AND($AJ414,$BF414=""))</f>
        <v/>
      </c>
      <c r="CP414" s="101"/>
      <c r="CQ414" s="102"/>
      <c r="CR414" s="103" t="str">
        <f aca="false">IF(ISBLANK($C414),"",IF($BH414=Constants!$B$8,$CI414,""))</f>
        <v/>
      </c>
      <c r="CS414" s="102" t="str">
        <f aca="false">IF(ISBLANK($C414),"",IF($BH414&lt;&gt;Constants!$B$4,"",$BK414+$BL414))</f>
        <v/>
      </c>
      <c r="CT414" s="104" t="str">
        <f aca="false">IF(ISBLANK($C414),"",IF($BH414&lt;&gt;Constants!$B$4,"",$BM414+$BN414+$BO414))</f>
        <v/>
      </c>
      <c r="CU414" s="104" t="str">
        <f aca="false">IF(ISBLANK($C414),"",IF($BH414&lt;&gt;Constants!$B$4,"",$BP414))</f>
        <v/>
      </c>
      <c r="CV414" s="104" t="str">
        <f aca="false">IF(ISBLANK($C414),"",IF($BH414&lt;&gt;Constants!$B$4,"",$BQ414+$BR414))</f>
        <v/>
      </c>
      <c r="CW414" s="104" t="str">
        <f aca="false">IF(ISBLANK($C414),"",IF($BH414&lt;&gt;Constants!$B$4,"",$BS414))</f>
        <v/>
      </c>
      <c r="CX414" s="104" t="str">
        <f aca="false">IF(ISBLANK($C414),"",IF($BH414&lt;&gt;Constants!$B$4,"",-$BZ414))</f>
        <v/>
      </c>
      <c r="CY414" s="103" t="str">
        <f aca="false">IF(ISBLANK($C414),"",$CA414)</f>
        <v/>
      </c>
      <c r="CZ414" s="105" t="str">
        <f aca="false">IF(ISBLANK($C414),"",$BI414)</f>
        <v/>
      </c>
      <c r="DA414" s="104" t="str">
        <f aca="false">IF(ISBLANK($C414),"",$CH414)</f>
        <v/>
      </c>
      <c r="DB414" s="104" t="str">
        <f aca="false">IF(ISBLANK($C414),"",$CG414)</f>
        <v/>
      </c>
      <c r="DC414" s="106" t="str">
        <f aca="false">IF(ISBLANK($C414),"",IFERROR(_xlfn.SWITCH($DB414,Constants!$B$7,COUNTA($C$9:$C$508)+2,Constants!$B$6,COUNTA($C$9:$C$508)+1,Constants!$B$5,COUNTA($C$9:$C$508)),$DB414))</f>
        <v/>
      </c>
      <c r="DD414" s="7"/>
      <c r="DE414" s="107" t="n">
        <f aca="false">IF(OR(ISNUMBER($DB414),$DB414=Constants!$B$7,$DB414=Constants!$B$5,$DB414=Constants!$B$6),1,0)</f>
        <v>0</v>
      </c>
      <c r="DF414" s="107" t="n">
        <v>406</v>
      </c>
      <c r="DG414" s="107" t="str">
        <f aca="false">IF(ISBLANK($C414),"",IF(ISNUMBER($DC414),$DC414+ROW($B414)/1000,""))</f>
        <v/>
      </c>
      <c r="DH414" s="107" t="str">
        <f aca="false">IF(ISNUMBER($DG414),RANK($DG414,$DG$9:$DG$508,1),"")</f>
        <v/>
      </c>
      <c r="DI414" s="107" t="str">
        <f aca="false">IF(ISBLANK($C414),"",$B414)</f>
        <v/>
      </c>
      <c r="DJ414" s="107" t="str">
        <f aca="false">IF(ISBLANK($C414),"",$C414)</f>
        <v/>
      </c>
      <c r="DK414" s="107" t="str">
        <f aca="false">IF(ISBLANK($C414),"",$D414)</f>
        <v/>
      </c>
      <c r="DL414" s="108" t="str">
        <f aca="false">$CZ414</f>
        <v/>
      </c>
      <c r="DM414" s="109" t="str">
        <f aca="false">$CY414</f>
        <v/>
      </c>
      <c r="DN414" s="107" t="str">
        <f aca="false">IF(ISBLANK($C414),"",$DB414)</f>
        <v/>
      </c>
      <c r="DO414" s="110" t="str">
        <f aca="false">IF($DF414&gt;$DE$8,"",VLOOKUP($DF414,$DH$9:$DN$508,7,FALSE()))</f>
        <v/>
      </c>
      <c r="DP414" s="111" t="str">
        <f aca="false">IF($DF414&gt;$DE$8,"",VLOOKUP($DF414,$DH$9:$DN$508,2,FALSE()))</f>
        <v/>
      </c>
      <c r="DQ414" s="111" t="str">
        <f aca="false">IF($DF414&gt;$DE$8,"",VLOOKUP($DF414,$DH$9:$DN$508,3,FALSE()))</f>
        <v/>
      </c>
      <c r="DR414" s="111" t="str">
        <f aca="false">IF($DF414&gt;$DE$8,"",VLOOKUP($DF414,$DH$9:$DN$508,4,FALSE()))</f>
        <v/>
      </c>
      <c r="DS414" s="111" t="str">
        <f aca="false">IF($DF414&gt;$DE$8,"",VLOOKUP($DF414,$DH$9:$DN$508,5,FALSE()))</f>
        <v/>
      </c>
      <c r="DT414" s="112" t="str">
        <f aca="false">IF($DF414&gt;$DE$8,"",VLOOKUP($DF414,$DH$9:$DN$508,6,FALSE()))</f>
        <v/>
      </c>
      <c r="DU414" s="62"/>
    </row>
    <row r="415" customFormat="false" ht="15.75" hidden="false" customHeight="false" outlineLevel="0" collapsed="false">
      <c r="A415" s="7"/>
      <c r="B415" s="90"/>
      <c r="C415" s="91"/>
      <c r="D415" s="126"/>
      <c r="E415" s="130"/>
      <c r="F415" s="135"/>
      <c r="G415" s="130"/>
      <c r="H415" s="135"/>
      <c r="I415" s="131"/>
      <c r="J415" s="131"/>
      <c r="K415" s="131"/>
      <c r="L415" s="130"/>
      <c r="M415" s="130"/>
      <c r="N415" s="130"/>
      <c r="O415" s="135"/>
      <c r="P415" s="130"/>
      <c r="Q415" s="130"/>
      <c r="R415" s="130"/>
      <c r="S415" s="130"/>
      <c r="T415" s="135"/>
      <c r="U415" s="130"/>
      <c r="V415" s="96"/>
      <c r="W415" s="130"/>
      <c r="X415" s="130"/>
      <c r="Y415" s="96"/>
      <c r="Z415" s="96"/>
      <c r="AA415" s="130"/>
      <c r="AB415" s="130"/>
      <c r="AC415" s="97"/>
      <c r="AD415" s="130"/>
      <c r="AE415" s="99"/>
      <c r="AF415" s="100"/>
      <c r="AG415" s="100"/>
      <c r="AH415" s="100" t="str">
        <f aca="false">IF(ISBLANK($C415),"",IF($E415=Constants!$B$2,TRUE(),IF($E415=Constants!$B$3,FALSE(),TRUE())))</f>
        <v/>
      </c>
      <c r="AI415" s="100" t="str">
        <f aca="false">IF(ISBLANK($C415),"",IF($F415=Constants!$B$2,TRUE(),IF($F415=Constants!$B$3,FALSE(),FALSE())))</f>
        <v/>
      </c>
      <c r="AJ415" s="100" t="str">
        <f aca="false">IF(ISBLANK($C415),"",IF($G415=Constants!$B$2,TRUE(),IF($G415=Constants!$B$3,FALSE(),TRUE())))</f>
        <v/>
      </c>
      <c r="AK415" s="100" t="str">
        <f aca="false">IF(ISBLANK($C415),"",IF($H415=Constants!$B$2,TRUE(),IF($H415=Constants!$B$3,FALSE(),TRUE())))</f>
        <v/>
      </c>
      <c r="AL415" s="100" t="str">
        <f aca="false">IF(ISBLANK($C415),"",IF(ISNUMBER($I415),IF($I415&gt;=0,$I415,""),""))</f>
        <v/>
      </c>
      <c r="AM415" s="100" t="str">
        <f aca="false">IF(ISBLANK($C415),"",IF(ISNUMBER($J415),IF($J415&gt;=0,$J415,""),""))</f>
        <v/>
      </c>
      <c r="AN415" s="100" t="str">
        <f aca="false">IF(ISBLANK($C415),"",IF(ISNUMBER($K415),IF($K415&gt;=0,$K415,""),""))</f>
        <v/>
      </c>
      <c r="AO415" s="100" t="str">
        <f aca="false">IF(ISBLANK($C415),"",IF($L415=Constants!$B$2,TRUE(),IF($L415=Constants!$B$3,FALSE(),TRUE())))</f>
        <v/>
      </c>
      <c r="AP415" s="100" t="str">
        <f aca="false">IF(ISBLANK($C415),"",IF($M415=Constants!$B$2,TRUE(),IF($M415=Constants!$B$3,FALSE(),TRUE())))</f>
        <v/>
      </c>
      <c r="AQ415" s="100" t="str">
        <f aca="false">IF(ISBLANK($C415),"",IF($N415=Constants!$B$2,TRUE(),IF($N415=Constants!$B$3,FALSE(),FALSE())))</f>
        <v/>
      </c>
      <c r="AR415" s="100" t="str">
        <f aca="false">IF(ISBLANK($C415),"",IF($O415=Constants!$B$2,TRUE(),IF($O415=Constants!$B$3,FALSE(),TRUE())))</f>
        <v/>
      </c>
      <c r="AS415" s="100" t="str">
        <f aca="false">IF(ISBLANK($C415),"",IF($P415=Constants!$B$2,TRUE(),IF($P415=Constants!$B$3,FALSE(),FALSE())))</f>
        <v/>
      </c>
      <c r="AT415" s="100" t="str">
        <f aca="false">IF(ISBLANK($C415),"",IF($Q415=Constants!$B$2,TRUE(),IF($Q415=Constants!$B$3,FALSE(),FALSE())))</f>
        <v/>
      </c>
      <c r="AU415" s="100" t="str">
        <f aca="false">IF(ISBLANK($C415),"",IF($R415=Constants!$B$2,TRUE(),IF($R415=Constants!$B$3,FALSE(),FALSE())))</f>
        <v/>
      </c>
      <c r="AV415" s="100" t="str">
        <f aca="false">IF(ISBLANK($C415),"",IF($S415=Constants!$B$2,TRUE(),IF($S415=Constants!$B$3,FALSE(),FALSE())))</f>
        <v/>
      </c>
      <c r="AW415" s="100" t="str">
        <f aca="false">IF(ISBLANK($C415),"",IF($T415=Constants!$B$2,TRUE(),IF($T415=Constants!$B$3,FALSE(),FALSE())))</f>
        <v/>
      </c>
      <c r="AX415" s="100" t="str">
        <f aca="false">IF(ISBLANK($C415),"",IF(OR($U415&amp;""="1",$U415&amp;""="2",$U415&amp;""="3",$U415&amp;""="4"),VALUE($U415&amp;""),IF($U415=Constants!$B$12,Constants!$B$12,"")))</f>
        <v/>
      </c>
      <c r="AY415" s="100" t="str">
        <f aca="false">IF(ISBLANK($C415),"",IF(ISBLANK($V415),0,IF(ISNUMBER($V415),IF(AND($V415&gt;=0,$V415&lt;=Constants!$B$21,$V415=INT($V415)),$V415,""),"")))</f>
        <v/>
      </c>
      <c r="AZ415" s="100" t="str">
        <f aca="false">IF(ISBLANK($C415),"",IF(ISBLANK($W415),0,IF(ISNUMBER($W415),IF($W415&gt;=0,$W415,""),"")))</f>
        <v/>
      </c>
      <c r="BA415" s="100" t="str">
        <f aca="false">IF(ISBLANK($C415),"",IF($X415=Constants!$B$2,TRUE(),IF($X415=Constants!$B$3,FALSE(),TRUE())))</f>
        <v/>
      </c>
      <c r="BB415" s="100" t="str">
        <f aca="false">IF(ISBLANK($C415),"",IF($Y415=Constants!$B$2,TRUE(),IF($Y415=Constants!$B$3,FALSE(),FALSE())))</f>
        <v/>
      </c>
      <c r="BC415" s="100" t="str">
        <f aca="false">IF(ISBLANK($C415),"",IF(ISBLANK($Z415),0,IF(ISNUMBER($Z415),IF(AND($Z415&gt;=0,$Z415&lt;=Constants!$B$35,$Z415=INT($Z415)),$Z415,""),"")))</f>
        <v/>
      </c>
      <c r="BD415" s="100" t="str">
        <f aca="false">IF(ISBLANK($C415),"",IF($AA415=Constants!$B$2,TRUE(),IF($AA415=Constants!$B$3,FALSE(),TRUE())))</f>
        <v/>
      </c>
      <c r="BE415" s="100" t="str">
        <f aca="false">IF(ISBLANK($C415),"",IF($AB415=Constants!$B$2,TRUE(),IF($AB415=Constants!$B$3,FALSE(),TRUE())))</f>
        <v/>
      </c>
      <c r="BF415" s="100" t="str">
        <f aca="false">IF(ISBLANK($C415),"",IF(ISNUMBER($AC415),IF($AC415&gt;=0,$AC415,""),""))</f>
        <v/>
      </c>
      <c r="BG415" s="100" t="str">
        <f aca="false">IF(ISBLANK($C415),"",IF($AD415=Constants!$B$2,TRUE(),IF($AD415=Constants!$B$3,FALSE(),FALSE())))</f>
        <v/>
      </c>
      <c r="BH415" s="99" t="str">
        <f aca="false">IF(ISBLANK($C415),"",IF($BG415,Constants!$B$7,IF(COUNTA($E415:$AC415)=0,Constants!$B$6,IF(OR(COUNTA($G415:$AC415)=0,NOT($AK415),$AQ415),Constants!$B$5,IF(OR($CI415&lt;&gt;"",$CJ415,$CK415,$CL415,$CM415,$CN415,$CO415),Constants!$B$8,Constants!$B$4)))))</f>
        <v/>
      </c>
      <c r="BI415" s="100" t="str">
        <f aca="false">IF(ISBLANK($C415),"",IF($BH415&lt;&gt;Constants!$B$4,$BH415,IF(OR(NOT($AH415),NOT($AJ415),NOT($AR415)),Constants!$B$11,IF(OR(NOT($AP415),MAX($AL415,$AM415,$AN415)&gt;Constants!$B$30),Constants!$B$10,Constants!$B$9))))</f>
        <v/>
      </c>
      <c r="BJ415" s="100" t="str">
        <f aca="false">IF($BH415&lt;&gt;Constants!$B$4,"",IF(NOT($AJ415),0,MIN(Constants!$B$35,$BC415)))</f>
        <v/>
      </c>
      <c r="BK415" s="100" t="str">
        <f aca="false">IF($BH415&lt;&gt;Constants!$B$4,"",IF(NOT($AJ415),0,IF($AT415,Constants!$B$18,IF($AS415,Constants!$B$17,0))))</f>
        <v/>
      </c>
      <c r="BL415" s="100" t="str">
        <f aca="false">IF($BH415&lt;&gt;Constants!$B$4,"",IF(NOT($AJ415),0,Constants!$B$19*($AI415+$AU415+$AV415+$AW415)))</f>
        <v/>
      </c>
      <c r="BM415" s="100" t="str">
        <f aca="false">IF($BH415&lt;&gt;Constants!$B$4,"",IF(OR(NOT($AJ415),NOT(ISNUMBER($AX415))),0,CHOOSE($AX415,Constants!$B$13,Constants!$B$14,Constants!$B$15,Constants!$B$16)))</f>
        <v/>
      </c>
      <c r="BN415" s="100" t="str">
        <f aca="false">IF($BH415&lt;&gt;Constants!$B$4,"",IF(NOT($AJ415),0,Constants!$B$20*$AY415))</f>
        <v/>
      </c>
      <c r="BO415" s="100" t="str">
        <f aca="false">IF($BH415&lt;&gt;Constants!$B$4,"",IF(AND($AJ415,$BA415,$BB415),Constants!$B$22,0))</f>
        <v/>
      </c>
      <c r="BP415" s="100" t="str">
        <f aca="false">IF($BH415&lt;&gt;Constants!$B$4,"",IF(OR(NOT($AJ415),NOT($BA415)),0,IF($BF415&gt;=2*$AF$9,0,Constants!$B$23*INT(ROUND(MIN($BF415,$AF$9),6)))))</f>
        <v/>
      </c>
      <c r="BQ415" s="100" t="str">
        <f aca="false">IF($BH415&lt;&gt;Constants!$B$4,"",IF(NOT($AJ415),0,Constants!$B$24*INT(ROUND(MIN($AZ415,$AF$9),6))))</f>
        <v/>
      </c>
      <c r="BR415" s="100" t="str">
        <f aca="false">IF($BH415&lt;&gt;Constants!$B$4,"",IF(AND($AJ415,$BJ415=0),Constants!$B$25,0))</f>
        <v/>
      </c>
      <c r="BS415" s="100" t="str">
        <f aca="false">IF($BH415&lt;&gt;Constants!$B$4,"",MIN(Constants!$B$29,MAX(0,Constants!$B$27*Constants!$B$28*INT(ROUND((Constants!$B$26-$AL415)/Constants!$B$28,6))))+MIN(Constants!$B$29,MAX(0,Constants!$B$27*Constants!$B$28*INT(ROUND((Constants!$B$26-$AM415)/Constants!$B$28,6))))+MIN(Constants!$B$29,MAX(0,Constants!$B$27*Constants!$B$28*INT(ROUND((Constants!$B$26-$AN415)/Constants!$B$28,6)))))</f>
        <v/>
      </c>
      <c r="BT415" s="100" t="str">
        <f aca="false">IF($BH415&lt;&gt;Constants!$B$4,"",IF(NOT($AJ415),0,Constants!$B$31*INT(ROUND(MAX(0,MIN($BF415,2*$AF$9)-$AF$9),6))))</f>
        <v/>
      </c>
      <c r="BU415" s="100" t="str">
        <f aca="false">IF($BH415&lt;&gt;Constants!$B$4,"",Constants!$B$32*(($AL415&gt;Constants!$B$26)+($AM415&gt;Constants!$B$26)+($AN415&gt;Constants!$B$26)))</f>
        <v/>
      </c>
      <c r="BV415" s="100" t="str">
        <f aca="false">IF($BH415&lt;&gt;Constants!$B$4,"",IF(OR(NOT($AJ415),$AO415),0,Constants!$B$33))</f>
        <v/>
      </c>
      <c r="BW415" s="100" t="str">
        <f aca="false">IF($BH415&lt;&gt;Constants!$B$4,"",Constants!$B$34*$BJ415)</f>
        <v/>
      </c>
      <c r="BX415" s="100" t="str">
        <f aca="false">IF($BH415&lt;&gt;Constants!$B$4,"",IF(OR(NOT($AJ415),$BE415),0,Constants!$B$36))</f>
        <v/>
      </c>
      <c r="BY415" s="100" t="str">
        <f aca="false">IF($BH415&lt;&gt;Constants!$B$4,"",IF(OR(NOT($AJ415),$BD415),0,Constants!$B$37))</f>
        <v/>
      </c>
      <c r="BZ415" s="100" t="str">
        <f aca="false">IF($BH415&lt;&gt;Constants!$B$4,"",SUM($BT415:$BY415))</f>
        <v/>
      </c>
      <c r="CA415" s="100" t="str">
        <f aca="false">IF(ISBLANK($C415),"",IF($BH415&lt;&gt;Constants!$B$4,$BH415,SUM($BK415:$BS415)-$BZ415))</f>
        <v/>
      </c>
      <c r="CB415" s="100" t="str">
        <f aca="false">IF(ISBLANK($C415),"",IF($BH415&lt;&gt;Constants!$B$4,$BH415,RANK($CA415,$CA$9:$CA$508)))</f>
        <v/>
      </c>
      <c r="CC415" s="100" t="str">
        <f aca="false">IF(ISBLANK($C415),"",IF($BH415&lt;&gt;Constants!$B$4,$BH415,COUNTIFS($BI$9:$BI$508,"&lt;"&amp;$BI415)+COUNTIFS($BI$9:$BI$508,$BI415,$CB$9:$CB$508,"&lt;"&amp;$CB415)+1))</f>
        <v/>
      </c>
      <c r="CD415" s="100" t="str">
        <f aca="false">IF(ISBLANK($C415),"",IF($BH415&lt;&gt;Constants!$B$4,$BH415,RANK($BZ415,$BZ$9:$BZ$508,1)))</f>
        <v/>
      </c>
      <c r="CE415" s="100" t="str">
        <f aca="false">IF($BH415&lt;&gt;Constants!$B$4,"",$AL415+$AM415+$AN415)</f>
        <v/>
      </c>
      <c r="CF415" s="100" t="str">
        <f aca="false">IF(ISBLANK($C415),"",IF($BH415&lt;&gt;Constants!$B$4,$BH415,RANK($CE415,$CE$9:$CE$508,1)))</f>
        <v/>
      </c>
      <c r="CG415" s="100" t="str">
        <f aca="false">IF(ISBLANK($C415),"",IF($BH415&lt;&gt;Constants!$B$4,$BH415,COUNTIFS($BI$9:$BI$508,"&lt;"&amp;$BI415)+COUNTIFS($BI$9:$BI$508,$BI415,$CB$9:$CB$508,"&lt;"&amp;$CB415)+COUNTIFS($BI$9:$BI$508,$BI415,$CB$9:$CB$508,$CB415,$CD$9:$CD$508,"&lt;"&amp;$CD415)+COUNTIFS($BI$9:$BI$508,$BI415,$CB$9:$CB$508,$CB415,$CD$9:$CD$508,$CD415,$CF$9:$CF$508,"&lt;"&amp;$CF415)+1))</f>
        <v/>
      </c>
      <c r="CH415" s="100" t="str">
        <f aca="false">IF(ISBLANK($C415),"",IF($BH415&lt;&gt;Constants!$B$4,$BH415,$CC415-$CG415))</f>
        <v/>
      </c>
      <c r="CI415" s="100" t="str">
        <f aca="false">IF(ISBLANK($C415),"",IF(NOT($AJ415),"",IF(ISBLANK($D$7),$CI$5,IF(NOT(ISNUMBER($D$7)),$CI$6,""))))</f>
        <v/>
      </c>
      <c r="CJ415" s="100" t="str">
        <f aca="false">IF(ISBLANK($C415),"",OR($AL415="",$AM415="",$AN415=""))</f>
        <v/>
      </c>
      <c r="CK415" s="100" t="str">
        <f aca="false">IF(ISBLANK($C415),"",AND($AJ415,$AX415=""))</f>
        <v/>
      </c>
      <c r="CL415" s="100" t="str">
        <f aca="false">IF(ISBLANK($C415),"",AND($AJ415,$AY415=""))</f>
        <v/>
      </c>
      <c r="CM415" s="100" t="str">
        <f aca="false">IF(ISBLANK($C415),"",AND($AJ415,$AZ415=""))</f>
        <v/>
      </c>
      <c r="CN415" s="100" t="str">
        <f aca="false">IF(ISBLANK($C415),"",AND($AJ415,$BC415=""))</f>
        <v/>
      </c>
      <c r="CO415" s="100" t="str">
        <f aca="false">IF(ISBLANK($C415),"",AND($AJ415,$BF415=""))</f>
        <v/>
      </c>
      <c r="CP415" s="101"/>
      <c r="CQ415" s="102"/>
      <c r="CR415" s="103" t="str">
        <f aca="false">IF(ISBLANK($C415),"",IF($BH415=Constants!$B$8,$CI415,""))</f>
        <v/>
      </c>
      <c r="CS415" s="102" t="str">
        <f aca="false">IF(ISBLANK($C415),"",IF($BH415&lt;&gt;Constants!$B$4,"",$BK415+$BL415))</f>
        <v/>
      </c>
      <c r="CT415" s="104" t="str">
        <f aca="false">IF(ISBLANK($C415),"",IF($BH415&lt;&gt;Constants!$B$4,"",$BM415+$BN415+$BO415))</f>
        <v/>
      </c>
      <c r="CU415" s="104" t="str">
        <f aca="false">IF(ISBLANK($C415),"",IF($BH415&lt;&gt;Constants!$B$4,"",$BP415))</f>
        <v/>
      </c>
      <c r="CV415" s="104" t="str">
        <f aca="false">IF(ISBLANK($C415),"",IF($BH415&lt;&gt;Constants!$B$4,"",$BQ415+$BR415))</f>
        <v/>
      </c>
      <c r="CW415" s="104" t="str">
        <f aca="false">IF(ISBLANK($C415),"",IF($BH415&lt;&gt;Constants!$B$4,"",$BS415))</f>
        <v/>
      </c>
      <c r="CX415" s="104" t="str">
        <f aca="false">IF(ISBLANK($C415),"",IF($BH415&lt;&gt;Constants!$B$4,"",-$BZ415))</f>
        <v/>
      </c>
      <c r="CY415" s="103" t="str">
        <f aca="false">IF(ISBLANK($C415),"",$CA415)</f>
        <v/>
      </c>
      <c r="CZ415" s="105" t="str">
        <f aca="false">IF(ISBLANK($C415),"",$BI415)</f>
        <v/>
      </c>
      <c r="DA415" s="104" t="str">
        <f aca="false">IF(ISBLANK($C415),"",$CH415)</f>
        <v/>
      </c>
      <c r="DB415" s="104" t="str">
        <f aca="false">IF(ISBLANK($C415),"",$CG415)</f>
        <v/>
      </c>
      <c r="DC415" s="106" t="str">
        <f aca="false">IF(ISBLANK($C415),"",IFERROR(_xlfn.SWITCH($DB415,Constants!$B$7,COUNTA($C$9:$C$508)+2,Constants!$B$6,COUNTA($C$9:$C$508)+1,Constants!$B$5,COUNTA($C$9:$C$508)),$DB415))</f>
        <v/>
      </c>
      <c r="DD415" s="7"/>
      <c r="DE415" s="107" t="n">
        <f aca="false">IF(OR(ISNUMBER($DB415),$DB415=Constants!$B$7,$DB415=Constants!$B$5,$DB415=Constants!$B$6),1,0)</f>
        <v>0</v>
      </c>
      <c r="DF415" s="107" t="n">
        <v>407</v>
      </c>
      <c r="DG415" s="107" t="str">
        <f aca="false">IF(ISBLANK($C415),"",IF(ISNUMBER($DC415),$DC415+ROW($B415)/1000,""))</f>
        <v/>
      </c>
      <c r="DH415" s="107" t="str">
        <f aca="false">IF(ISNUMBER($DG415),RANK($DG415,$DG$9:$DG$508,1),"")</f>
        <v/>
      </c>
      <c r="DI415" s="107" t="str">
        <f aca="false">IF(ISBLANK($C415),"",$B415)</f>
        <v/>
      </c>
      <c r="DJ415" s="107" t="str">
        <f aca="false">IF(ISBLANK($C415),"",$C415)</f>
        <v/>
      </c>
      <c r="DK415" s="107" t="str">
        <f aca="false">IF(ISBLANK($C415),"",$D415)</f>
        <v/>
      </c>
      <c r="DL415" s="108" t="str">
        <f aca="false">$CZ415</f>
        <v/>
      </c>
      <c r="DM415" s="109" t="str">
        <f aca="false">$CY415</f>
        <v/>
      </c>
      <c r="DN415" s="107" t="str">
        <f aca="false">IF(ISBLANK($C415),"",$DB415)</f>
        <v/>
      </c>
      <c r="DO415" s="110" t="str">
        <f aca="false">IF($DF415&gt;$DE$8,"",VLOOKUP($DF415,$DH$9:$DN$508,7,FALSE()))</f>
        <v/>
      </c>
      <c r="DP415" s="111" t="str">
        <f aca="false">IF($DF415&gt;$DE$8,"",VLOOKUP($DF415,$DH$9:$DN$508,2,FALSE()))</f>
        <v/>
      </c>
      <c r="DQ415" s="111" t="str">
        <f aca="false">IF($DF415&gt;$DE$8,"",VLOOKUP($DF415,$DH$9:$DN$508,3,FALSE()))</f>
        <v/>
      </c>
      <c r="DR415" s="111" t="str">
        <f aca="false">IF($DF415&gt;$DE$8,"",VLOOKUP($DF415,$DH$9:$DN$508,4,FALSE()))</f>
        <v/>
      </c>
      <c r="DS415" s="111" t="str">
        <f aca="false">IF($DF415&gt;$DE$8,"",VLOOKUP($DF415,$DH$9:$DN$508,5,FALSE()))</f>
        <v/>
      </c>
      <c r="DT415" s="112" t="str">
        <f aca="false">IF($DF415&gt;$DE$8,"",VLOOKUP($DF415,$DH$9:$DN$508,6,FALSE()))</f>
        <v/>
      </c>
      <c r="DU415" s="62"/>
    </row>
    <row r="416" customFormat="false" ht="15.75" hidden="false" customHeight="false" outlineLevel="0" collapsed="false">
      <c r="A416" s="7"/>
      <c r="B416" s="90"/>
      <c r="C416" s="91"/>
      <c r="D416" s="126"/>
      <c r="E416" s="130"/>
      <c r="F416" s="135"/>
      <c r="G416" s="130"/>
      <c r="H416" s="135"/>
      <c r="I416" s="131"/>
      <c r="J416" s="131"/>
      <c r="K416" s="131"/>
      <c r="L416" s="130"/>
      <c r="M416" s="130"/>
      <c r="N416" s="130"/>
      <c r="O416" s="135"/>
      <c r="P416" s="130"/>
      <c r="Q416" s="130"/>
      <c r="R416" s="130"/>
      <c r="S416" s="130"/>
      <c r="T416" s="135"/>
      <c r="U416" s="130"/>
      <c r="V416" s="96"/>
      <c r="W416" s="130"/>
      <c r="X416" s="130"/>
      <c r="Y416" s="96"/>
      <c r="Z416" s="96"/>
      <c r="AA416" s="130"/>
      <c r="AB416" s="130"/>
      <c r="AC416" s="97"/>
      <c r="AD416" s="130"/>
      <c r="AE416" s="99"/>
      <c r="AF416" s="100"/>
      <c r="AG416" s="100"/>
      <c r="AH416" s="100" t="str">
        <f aca="false">IF(ISBLANK($C416),"",IF($E416=Constants!$B$2,TRUE(),IF($E416=Constants!$B$3,FALSE(),TRUE())))</f>
        <v/>
      </c>
      <c r="AI416" s="100" t="str">
        <f aca="false">IF(ISBLANK($C416),"",IF($F416=Constants!$B$2,TRUE(),IF($F416=Constants!$B$3,FALSE(),FALSE())))</f>
        <v/>
      </c>
      <c r="AJ416" s="100" t="str">
        <f aca="false">IF(ISBLANK($C416),"",IF($G416=Constants!$B$2,TRUE(),IF($G416=Constants!$B$3,FALSE(),TRUE())))</f>
        <v/>
      </c>
      <c r="AK416" s="100" t="str">
        <f aca="false">IF(ISBLANK($C416),"",IF($H416=Constants!$B$2,TRUE(),IF($H416=Constants!$B$3,FALSE(),TRUE())))</f>
        <v/>
      </c>
      <c r="AL416" s="100" t="str">
        <f aca="false">IF(ISBLANK($C416),"",IF(ISNUMBER($I416),IF($I416&gt;=0,$I416,""),""))</f>
        <v/>
      </c>
      <c r="AM416" s="100" t="str">
        <f aca="false">IF(ISBLANK($C416),"",IF(ISNUMBER($J416),IF($J416&gt;=0,$J416,""),""))</f>
        <v/>
      </c>
      <c r="AN416" s="100" t="str">
        <f aca="false">IF(ISBLANK($C416),"",IF(ISNUMBER($K416),IF($K416&gt;=0,$K416,""),""))</f>
        <v/>
      </c>
      <c r="AO416" s="100" t="str">
        <f aca="false">IF(ISBLANK($C416),"",IF($L416=Constants!$B$2,TRUE(),IF($L416=Constants!$B$3,FALSE(),TRUE())))</f>
        <v/>
      </c>
      <c r="AP416" s="100" t="str">
        <f aca="false">IF(ISBLANK($C416),"",IF($M416=Constants!$B$2,TRUE(),IF($M416=Constants!$B$3,FALSE(),TRUE())))</f>
        <v/>
      </c>
      <c r="AQ416" s="100" t="str">
        <f aca="false">IF(ISBLANK($C416),"",IF($N416=Constants!$B$2,TRUE(),IF($N416=Constants!$B$3,FALSE(),FALSE())))</f>
        <v/>
      </c>
      <c r="AR416" s="100" t="str">
        <f aca="false">IF(ISBLANK($C416),"",IF($O416=Constants!$B$2,TRUE(),IF($O416=Constants!$B$3,FALSE(),TRUE())))</f>
        <v/>
      </c>
      <c r="AS416" s="100" t="str">
        <f aca="false">IF(ISBLANK($C416),"",IF($P416=Constants!$B$2,TRUE(),IF($P416=Constants!$B$3,FALSE(),FALSE())))</f>
        <v/>
      </c>
      <c r="AT416" s="100" t="str">
        <f aca="false">IF(ISBLANK($C416),"",IF($Q416=Constants!$B$2,TRUE(),IF($Q416=Constants!$B$3,FALSE(),FALSE())))</f>
        <v/>
      </c>
      <c r="AU416" s="100" t="str">
        <f aca="false">IF(ISBLANK($C416),"",IF($R416=Constants!$B$2,TRUE(),IF($R416=Constants!$B$3,FALSE(),FALSE())))</f>
        <v/>
      </c>
      <c r="AV416" s="100" t="str">
        <f aca="false">IF(ISBLANK($C416),"",IF($S416=Constants!$B$2,TRUE(),IF($S416=Constants!$B$3,FALSE(),FALSE())))</f>
        <v/>
      </c>
      <c r="AW416" s="100" t="str">
        <f aca="false">IF(ISBLANK($C416),"",IF($T416=Constants!$B$2,TRUE(),IF($T416=Constants!$B$3,FALSE(),FALSE())))</f>
        <v/>
      </c>
      <c r="AX416" s="100" t="str">
        <f aca="false">IF(ISBLANK($C416),"",IF(OR($U416&amp;""="1",$U416&amp;""="2",$U416&amp;""="3",$U416&amp;""="4"),VALUE($U416&amp;""),IF($U416=Constants!$B$12,Constants!$B$12,"")))</f>
        <v/>
      </c>
      <c r="AY416" s="100" t="str">
        <f aca="false">IF(ISBLANK($C416),"",IF(ISBLANK($V416),0,IF(ISNUMBER($V416),IF(AND($V416&gt;=0,$V416&lt;=Constants!$B$21,$V416=INT($V416)),$V416,""),"")))</f>
        <v/>
      </c>
      <c r="AZ416" s="100" t="str">
        <f aca="false">IF(ISBLANK($C416),"",IF(ISBLANK($W416),0,IF(ISNUMBER($W416),IF($W416&gt;=0,$W416,""),"")))</f>
        <v/>
      </c>
      <c r="BA416" s="100" t="str">
        <f aca="false">IF(ISBLANK($C416),"",IF($X416=Constants!$B$2,TRUE(),IF($X416=Constants!$B$3,FALSE(),TRUE())))</f>
        <v/>
      </c>
      <c r="BB416" s="100" t="str">
        <f aca="false">IF(ISBLANK($C416),"",IF($Y416=Constants!$B$2,TRUE(),IF($Y416=Constants!$B$3,FALSE(),FALSE())))</f>
        <v/>
      </c>
      <c r="BC416" s="100" t="str">
        <f aca="false">IF(ISBLANK($C416),"",IF(ISBLANK($Z416),0,IF(ISNUMBER($Z416),IF(AND($Z416&gt;=0,$Z416&lt;=Constants!$B$35,$Z416=INT($Z416)),$Z416,""),"")))</f>
        <v/>
      </c>
      <c r="BD416" s="100" t="str">
        <f aca="false">IF(ISBLANK($C416),"",IF($AA416=Constants!$B$2,TRUE(),IF($AA416=Constants!$B$3,FALSE(),TRUE())))</f>
        <v/>
      </c>
      <c r="BE416" s="100" t="str">
        <f aca="false">IF(ISBLANK($C416),"",IF($AB416=Constants!$B$2,TRUE(),IF($AB416=Constants!$B$3,FALSE(),TRUE())))</f>
        <v/>
      </c>
      <c r="BF416" s="100" t="str">
        <f aca="false">IF(ISBLANK($C416),"",IF(ISNUMBER($AC416),IF($AC416&gt;=0,$AC416,""),""))</f>
        <v/>
      </c>
      <c r="BG416" s="100" t="str">
        <f aca="false">IF(ISBLANK($C416),"",IF($AD416=Constants!$B$2,TRUE(),IF($AD416=Constants!$B$3,FALSE(),FALSE())))</f>
        <v/>
      </c>
      <c r="BH416" s="99" t="str">
        <f aca="false">IF(ISBLANK($C416),"",IF($BG416,Constants!$B$7,IF(COUNTA($E416:$AC416)=0,Constants!$B$6,IF(OR(COUNTA($G416:$AC416)=0,NOT($AK416),$AQ416),Constants!$B$5,IF(OR($CI416&lt;&gt;"",$CJ416,$CK416,$CL416,$CM416,$CN416,$CO416),Constants!$B$8,Constants!$B$4)))))</f>
        <v/>
      </c>
      <c r="BI416" s="100" t="str">
        <f aca="false">IF(ISBLANK($C416),"",IF($BH416&lt;&gt;Constants!$B$4,$BH416,IF(OR(NOT($AH416),NOT($AJ416),NOT($AR416)),Constants!$B$11,IF(OR(NOT($AP416),MAX($AL416,$AM416,$AN416)&gt;Constants!$B$30),Constants!$B$10,Constants!$B$9))))</f>
        <v/>
      </c>
      <c r="BJ416" s="100" t="str">
        <f aca="false">IF($BH416&lt;&gt;Constants!$B$4,"",IF(NOT($AJ416),0,MIN(Constants!$B$35,$BC416)))</f>
        <v/>
      </c>
      <c r="BK416" s="100" t="str">
        <f aca="false">IF($BH416&lt;&gt;Constants!$B$4,"",IF(NOT($AJ416),0,IF($AT416,Constants!$B$18,IF($AS416,Constants!$B$17,0))))</f>
        <v/>
      </c>
      <c r="BL416" s="100" t="str">
        <f aca="false">IF($BH416&lt;&gt;Constants!$B$4,"",IF(NOT($AJ416),0,Constants!$B$19*($AI416+$AU416+$AV416+$AW416)))</f>
        <v/>
      </c>
      <c r="BM416" s="100" t="str">
        <f aca="false">IF($BH416&lt;&gt;Constants!$B$4,"",IF(OR(NOT($AJ416),NOT(ISNUMBER($AX416))),0,CHOOSE($AX416,Constants!$B$13,Constants!$B$14,Constants!$B$15,Constants!$B$16)))</f>
        <v/>
      </c>
      <c r="BN416" s="100" t="str">
        <f aca="false">IF($BH416&lt;&gt;Constants!$B$4,"",IF(NOT($AJ416),0,Constants!$B$20*$AY416))</f>
        <v/>
      </c>
      <c r="BO416" s="100" t="str">
        <f aca="false">IF($BH416&lt;&gt;Constants!$B$4,"",IF(AND($AJ416,$BA416,$BB416),Constants!$B$22,0))</f>
        <v/>
      </c>
      <c r="BP416" s="100" t="str">
        <f aca="false">IF($BH416&lt;&gt;Constants!$B$4,"",IF(OR(NOT($AJ416),NOT($BA416)),0,IF($BF416&gt;=2*$AF$9,0,Constants!$B$23*INT(ROUND(MIN($BF416,$AF$9),6)))))</f>
        <v/>
      </c>
      <c r="BQ416" s="100" t="str">
        <f aca="false">IF($BH416&lt;&gt;Constants!$B$4,"",IF(NOT($AJ416),0,Constants!$B$24*INT(ROUND(MIN($AZ416,$AF$9),6))))</f>
        <v/>
      </c>
      <c r="BR416" s="100" t="str">
        <f aca="false">IF($BH416&lt;&gt;Constants!$B$4,"",IF(AND($AJ416,$BJ416=0),Constants!$B$25,0))</f>
        <v/>
      </c>
      <c r="BS416" s="100" t="str">
        <f aca="false">IF($BH416&lt;&gt;Constants!$B$4,"",MIN(Constants!$B$29,MAX(0,Constants!$B$27*Constants!$B$28*INT(ROUND((Constants!$B$26-$AL416)/Constants!$B$28,6))))+MIN(Constants!$B$29,MAX(0,Constants!$B$27*Constants!$B$28*INT(ROUND((Constants!$B$26-$AM416)/Constants!$B$28,6))))+MIN(Constants!$B$29,MAX(0,Constants!$B$27*Constants!$B$28*INT(ROUND((Constants!$B$26-$AN416)/Constants!$B$28,6)))))</f>
        <v/>
      </c>
      <c r="BT416" s="100" t="str">
        <f aca="false">IF($BH416&lt;&gt;Constants!$B$4,"",IF(NOT($AJ416),0,Constants!$B$31*INT(ROUND(MAX(0,MIN($BF416,2*$AF$9)-$AF$9),6))))</f>
        <v/>
      </c>
      <c r="BU416" s="100" t="str">
        <f aca="false">IF($BH416&lt;&gt;Constants!$B$4,"",Constants!$B$32*(($AL416&gt;Constants!$B$26)+($AM416&gt;Constants!$B$26)+($AN416&gt;Constants!$B$26)))</f>
        <v/>
      </c>
      <c r="BV416" s="100" t="str">
        <f aca="false">IF($BH416&lt;&gt;Constants!$B$4,"",IF(OR(NOT($AJ416),$AO416),0,Constants!$B$33))</f>
        <v/>
      </c>
      <c r="BW416" s="100" t="str">
        <f aca="false">IF($BH416&lt;&gt;Constants!$B$4,"",Constants!$B$34*$BJ416)</f>
        <v/>
      </c>
      <c r="BX416" s="100" t="str">
        <f aca="false">IF($BH416&lt;&gt;Constants!$B$4,"",IF(OR(NOT($AJ416),$BE416),0,Constants!$B$36))</f>
        <v/>
      </c>
      <c r="BY416" s="100" t="str">
        <f aca="false">IF($BH416&lt;&gt;Constants!$B$4,"",IF(OR(NOT($AJ416),$BD416),0,Constants!$B$37))</f>
        <v/>
      </c>
      <c r="BZ416" s="100" t="str">
        <f aca="false">IF($BH416&lt;&gt;Constants!$B$4,"",SUM($BT416:$BY416))</f>
        <v/>
      </c>
      <c r="CA416" s="100" t="str">
        <f aca="false">IF(ISBLANK($C416),"",IF($BH416&lt;&gt;Constants!$B$4,$BH416,SUM($BK416:$BS416)-$BZ416))</f>
        <v/>
      </c>
      <c r="CB416" s="100" t="str">
        <f aca="false">IF(ISBLANK($C416),"",IF($BH416&lt;&gt;Constants!$B$4,$BH416,RANK($CA416,$CA$9:$CA$508)))</f>
        <v/>
      </c>
      <c r="CC416" s="100" t="str">
        <f aca="false">IF(ISBLANK($C416),"",IF($BH416&lt;&gt;Constants!$B$4,$BH416,COUNTIFS($BI$9:$BI$508,"&lt;"&amp;$BI416)+COUNTIFS($BI$9:$BI$508,$BI416,$CB$9:$CB$508,"&lt;"&amp;$CB416)+1))</f>
        <v/>
      </c>
      <c r="CD416" s="100" t="str">
        <f aca="false">IF(ISBLANK($C416),"",IF($BH416&lt;&gt;Constants!$B$4,$BH416,RANK($BZ416,$BZ$9:$BZ$508,1)))</f>
        <v/>
      </c>
      <c r="CE416" s="100" t="str">
        <f aca="false">IF($BH416&lt;&gt;Constants!$B$4,"",$AL416+$AM416+$AN416)</f>
        <v/>
      </c>
      <c r="CF416" s="100" t="str">
        <f aca="false">IF(ISBLANK($C416),"",IF($BH416&lt;&gt;Constants!$B$4,$BH416,RANK($CE416,$CE$9:$CE$508,1)))</f>
        <v/>
      </c>
      <c r="CG416" s="100" t="str">
        <f aca="false">IF(ISBLANK($C416),"",IF($BH416&lt;&gt;Constants!$B$4,$BH416,COUNTIFS($BI$9:$BI$508,"&lt;"&amp;$BI416)+COUNTIFS($BI$9:$BI$508,$BI416,$CB$9:$CB$508,"&lt;"&amp;$CB416)+COUNTIFS($BI$9:$BI$508,$BI416,$CB$9:$CB$508,$CB416,$CD$9:$CD$508,"&lt;"&amp;$CD416)+COUNTIFS($BI$9:$BI$508,$BI416,$CB$9:$CB$508,$CB416,$CD$9:$CD$508,$CD416,$CF$9:$CF$508,"&lt;"&amp;$CF416)+1))</f>
        <v/>
      </c>
      <c r="CH416" s="100" t="str">
        <f aca="false">IF(ISBLANK($C416),"",IF($BH416&lt;&gt;Constants!$B$4,$BH416,$CC416-$CG416))</f>
        <v/>
      </c>
      <c r="CI416" s="100" t="str">
        <f aca="false">IF(ISBLANK($C416),"",IF(NOT($AJ416),"",IF(ISBLANK($D$7),$CI$5,IF(NOT(ISNUMBER($D$7)),$CI$6,""))))</f>
        <v/>
      </c>
      <c r="CJ416" s="100" t="str">
        <f aca="false">IF(ISBLANK($C416),"",OR($AL416="",$AM416="",$AN416=""))</f>
        <v/>
      </c>
      <c r="CK416" s="100" t="str">
        <f aca="false">IF(ISBLANK($C416),"",AND($AJ416,$AX416=""))</f>
        <v/>
      </c>
      <c r="CL416" s="100" t="str">
        <f aca="false">IF(ISBLANK($C416),"",AND($AJ416,$AY416=""))</f>
        <v/>
      </c>
      <c r="CM416" s="100" t="str">
        <f aca="false">IF(ISBLANK($C416),"",AND($AJ416,$AZ416=""))</f>
        <v/>
      </c>
      <c r="CN416" s="100" t="str">
        <f aca="false">IF(ISBLANK($C416),"",AND($AJ416,$BC416=""))</f>
        <v/>
      </c>
      <c r="CO416" s="100" t="str">
        <f aca="false">IF(ISBLANK($C416),"",AND($AJ416,$BF416=""))</f>
        <v/>
      </c>
      <c r="CP416" s="101"/>
      <c r="CQ416" s="102"/>
      <c r="CR416" s="103" t="str">
        <f aca="false">IF(ISBLANK($C416),"",IF($BH416=Constants!$B$8,$CI416,""))</f>
        <v/>
      </c>
      <c r="CS416" s="102" t="str">
        <f aca="false">IF(ISBLANK($C416),"",IF($BH416&lt;&gt;Constants!$B$4,"",$BK416+$BL416))</f>
        <v/>
      </c>
      <c r="CT416" s="104" t="str">
        <f aca="false">IF(ISBLANK($C416),"",IF($BH416&lt;&gt;Constants!$B$4,"",$BM416+$BN416+$BO416))</f>
        <v/>
      </c>
      <c r="CU416" s="104" t="str">
        <f aca="false">IF(ISBLANK($C416),"",IF($BH416&lt;&gt;Constants!$B$4,"",$BP416))</f>
        <v/>
      </c>
      <c r="CV416" s="104" t="str">
        <f aca="false">IF(ISBLANK($C416),"",IF($BH416&lt;&gt;Constants!$B$4,"",$BQ416+$BR416))</f>
        <v/>
      </c>
      <c r="CW416" s="104" t="str">
        <f aca="false">IF(ISBLANK($C416),"",IF($BH416&lt;&gt;Constants!$B$4,"",$BS416))</f>
        <v/>
      </c>
      <c r="CX416" s="104" t="str">
        <f aca="false">IF(ISBLANK($C416),"",IF($BH416&lt;&gt;Constants!$B$4,"",-$BZ416))</f>
        <v/>
      </c>
      <c r="CY416" s="103" t="str">
        <f aca="false">IF(ISBLANK($C416),"",$CA416)</f>
        <v/>
      </c>
      <c r="CZ416" s="105" t="str">
        <f aca="false">IF(ISBLANK($C416),"",$BI416)</f>
        <v/>
      </c>
      <c r="DA416" s="104" t="str">
        <f aca="false">IF(ISBLANK($C416),"",$CH416)</f>
        <v/>
      </c>
      <c r="DB416" s="104" t="str">
        <f aca="false">IF(ISBLANK($C416),"",$CG416)</f>
        <v/>
      </c>
      <c r="DC416" s="106" t="str">
        <f aca="false">IF(ISBLANK($C416),"",IFERROR(_xlfn.SWITCH($DB416,Constants!$B$7,COUNTA($C$9:$C$508)+2,Constants!$B$6,COUNTA($C$9:$C$508)+1,Constants!$B$5,COUNTA($C$9:$C$508)),$DB416))</f>
        <v/>
      </c>
      <c r="DD416" s="7"/>
      <c r="DE416" s="107" t="n">
        <f aca="false">IF(OR(ISNUMBER($DB416),$DB416=Constants!$B$7,$DB416=Constants!$B$5,$DB416=Constants!$B$6),1,0)</f>
        <v>0</v>
      </c>
      <c r="DF416" s="107" t="n">
        <v>408</v>
      </c>
      <c r="DG416" s="107" t="str">
        <f aca="false">IF(ISBLANK($C416),"",IF(ISNUMBER($DC416),$DC416+ROW($B416)/1000,""))</f>
        <v/>
      </c>
      <c r="DH416" s="107" t="str">
        <f aca="false">IF(ISNUMBER($DG416),RANK($DG416,$DG$9:$DG$508,1),"")</f>
        <v/>
      </c>
      <c r="DI416" s="107" t="str">
        <f aca="false">IF(ISBLANK($C416),"",$B416)</f>
        <v/>
      </c>
      <c r="DJ416" s="107" t="str">
        <f aca="false">IF(ISBLANK($C416),"",$C416)</f>
        <v/>
      </c>
      <c r="DK416" s="107" t="str">
        <f aca="false">IF(ISBLANK($C416),"",$D416)</f>
        <v/>
      </c>
      <c r="DL416" s="108" t="str">
        <f aca="false">$CZ416</f>
        <v/>
      </c>
      <c r="DM416" s="109" t="str">
        <f aca="false">$CY416</f>
        <v/>
      </c>
      <c r="DN416" s="107" t="str">
        <f aca="false">IF(ISBLANK($C416),"",$DB416)</f>
        <v/>
      </c>
      <c r="DO416" s="110" t="str">
        <f aca="false">IF($DF416&gt;$DE$8,"",VLOOKUP($DF416,$DH$9:$DN$508,7,FALSE()))</f>
        <v/>
      </c>
      <c r="DP416" s="111" t="str">
        <f aca="false">IF($DF416&gt;$DE$8,"",VLOOKUP($DF416,$DH$9:$DN$508,2,FALSE()))</f>
        <v/>
      </c>
      <c r="DQ416" s="111" t="str">
        <f aca="false">IF($DF416&gt;$DE$8,"",VLOOKUP($DF416,$DH$9:$DN$508,3,FALSE()))</f>
        <v/>
      </c>
      <c r="DR416" s="111" t="str">
        <f aca="false">IF($DF416&gt;$DE$8,"",VLOOKUP($DF416,$DH$9:$DN$508,4,FALSE()))</f>
        <v/>
      </c>
      <c r="DS416" s="111" t="str">
        <f aca="false">IF($DF416&gt;$DE$8,"",VLOOKUP($DF416,$DH$9:$DN$508,5,FALSE()))</f>
        <v/>
      </c>
      <c r="DT416" s="112" t="str">
        <f aca="false">IF($DF416&gt;$DE$8,"",VLOOKUP($DF416,$DH$9:$DN$508,6,FALSE()))</f>
        <v/>
      </c>
      <c r="DU416" s="62"/>
    </row>
    <row r="417" customFormat="false" ht="15.75" hidden="false" customHeight="false" outlineLevel="0" collapsed="false">
      <c r="A417" s="7"/>
      <c r="B417" s="64"/>
      <c r="C417" s="65"/>
      <c r="D417" s="123"/>
      <c r="E417" s="88"/>
      <c r="F417" s="134"/>
      <c r="G417" s="88"/>
      <c r="H417" s="134"/>
      <c r="I417" s="119"/>
      <c r="J417" s="119"/>
      <c r="K417" s="119"/>
      <c r="L417" s="88"/>
      <c r="M417" s="88"/>
      <c r="N417" s="88"/>
      <c r="O417" s="134"/>
      <c r="P417" s="88"/>
      <c r="Q417" s="88"/>
      <c r="R417" s="88"/>
      <c r="S417" s="88"/>
      <c r="T417" s="134"/>
      <c r="U417" s="88"/>
      <c r="V417" s="70"/>
      <c r="W417" s="88"/>
      <c r="X417" s="88"/>
      <c r="Y417" s="70"/>
      <c r="Z417" s="70"/>
      <c r="AA417" s="88"/>
      <c r="AB417" s="88"/>
      <c r="AC417" s="71"/>
      <c r="AD417" s="88"/>
      <c r="AE417" s="73"/>
      <c r="AF417" s="74"/>
      <c r="AG417" s="74"/>
      <c r="AH417" s="74" t="str">
        <f aca="false">IF(ISBLANK($C417),"",IF($E417=Constants!$B$2,TRUE(),IF($E417=Constants!$B$3,FALSE(),TRUE())))</f>
        <v/>
      </c>
      <c r="AI417" s="74" t="str">
        <f aca="false">IF(ISBLANK($C417),"",IF($F417=Constants!$B$2,TRUE(),IF($F417=Constants!$B$3,FALSE(),FALSE())))</f>
        <v/>
      </c>
      <c r="AJ417" s="74" t="str">
        <f aca="false">IF(ISBLANK($C417),"",IF($G417=Constants!$B$2,TRUE(),IF($G417=Constants!$B$3,FALSE(),TRUE())))</f>
        <v/>
      </c>
      <c r="AK417" s="74" t="str">
        <f aca="false">IF(ISBLANK($C417),"",IF($H417=Constants!$B$2,TRUE(),IF($H417=Constants!$B$3,FALSE(),TRUE())))</f>
        <v/>
      </c>
      <c r="AL417" s="74" t="str">
        <f aca="false">IF(ISBLANK($C417),"",IF(ISNUMBER($I417),IF($I417&gt;=0,$I417,""),""))</f>
        <v/>
      </c>
      <c r="AM417" s="74" t="str">
        <f aca="false">IF(ISBLANK($C417),"",IF(ISNUMBER($J417),IF($J417&gt;=0,$J417,""),""))</f>
        <v/>
      </c>
      <c r="AN417" s="74" t="str">
        <f aca="false">IF(ISBLANK($C417),"",IF(ISNUMBER($K417),IF($K417&gt;=0,$K417,""),""))</f>
        <v/>
      </c>
      <c r="AO417" s="74" t="str">
        <f aca="false">IF(ISBLANK($C417),"",IF($L417=Constants!$B$2,TRUE(),IF($L417=Constants!$B$3,FALSE(),TRUE())))</f>
        <v/>
      </c>
      <c r="AP417" s="74" t="str">
        <f aca="false">IF(ISBLANK($C417),"",IF($M417=Constants!$B$2,TRUE(),IF($M417=Constants!$B$3,FALSE(),TRUE())))</f>
        <v/>
      </c>
      <c r="AQ417" s="74" t="str">
        <f aca="false">IF(ISBLANK($C417),"",IF($N417=Constants!$B$2,TRUE(),IF($N417=Constants!$B$3,FALSE(),FALSE())))</f>
        <v/>
      </c>
      <c r="AR417" s="74" t="str">
        <f aca="false">IF(ISBLANK($C417),"",IF($O417=Constants!$B$2,TRUE(),IF($O417=Constants!$B$3,FALSE(),TRUE())))</f>
        <v/>
      </c>
      <c r="AS417" s="74" t="str">
        <f aca="false">IF(ISBLANK($C417),"",IF($P417=Constants!$B$2,TRUE(),IF($P417=Constants!$B$3,FALSE(),FALSE())))</f>
        <v/>
      </c>
      <c r="AT417" s="74" t="str">
        <f aca="false">IF(ISBLANK($C417),"",IF($Q417=Constants!$B$2,TRUE(),IF($Q417=Constants!$B$3,FALSE(),FALSE())))</f>
        <v/>
      </c>
      <c r="AU417" s="74" t="str">
        <f aca="false">IF(ISBLANK($C417),"",IF($R417=Constants!$B$2,TRUE(),IF($R417=Constants!$B$3,FALSE(),FALSE())))</f>
        <v/>
      </c>
      <c r="AV417" s="74" t="str">
        <f aca="false">IF(ISBLANK($C417),"",IF($S417=Constants!$B$2,TRUE(),IF($S417=Constants!$B$3,FALSE(),FALSE())))</f>
        <v/>
      </c>
      <c r="AW417" s="74" t="str">
        <f aca="false">IF(ISBLANK($C417),"",IF($T417=Constants!$B$2,TRUE(),IF($T417=Constants!$B$3,FALSE(),FALSE())))</f>
        <v/>
      </c>
      <c r="AX417" s="74" t="str">
        <f aca="false">IF(ISBLANK($C417),"",IF(OR($U417&amp;""="1",$U417&amp;""="2",$U417&amp;""="3",$U417&amp;""="4"),VALUE($U417&amp;""),IF($U417=Constants!$B$12,Constants!$B$12,"")))</f>
        <v/>
      </c>
      <c r="AY417" s="74" t="str">
        <f aca="false">IF(ISBLANK($C417),"",IF(ISBLANK($V417),0,IF(ISNUMBER($V417),IF(AND($V417&gt;=0,$V417&lt;=Constants!$B$21,$V417=INT($V417)),$V417,""),"")))</f>
        <v/>
      </c>
      <c r="AZ417" s="74" t="str">
        <f aca="false">IF(ISBLANK($C417),"",IF(ISBLANK($W417),0,IF(ISNUMBER($W417),IF($W417&gt;=0,$W417,""),"")))</f>
        <v/>
      </c>
      <c r="BA417" s="74" t="str">
        <f aca="false">IF(ISBLANK($C417),"",IF($X417=Constants!$B$2,TRUE(),IF($X417=Constants!$B$3,FALSE(),TRUE())))</f>
        <v/>
      </c>
      <c r="BB417" s="74" t="str">
        <f aca="false">IF(ISBLANK($C417),"",IF($Y417=Constants!$B$2,TRUE(),IF($Y417=Constants!$B$3,FALSE(),FALSE())))</f>
        <v/>
      </c>
      <c r="BC417" s="74" t="str">
        <f aca="false">IF(ISBLANK($C417),"",IF(ISBLANK($Z417),0,IF(ISNUMBER($Z417),IF(AND($Z417&gt;=0,$Z417&lt;=Constants!$B$35,$Z417=INT($Z417)),$Z417,""),"")))</f>
        <v/>
      </c>
      <c r="BD417" s="74" t="str">
        <f aca="false">IF(ISBLANK($C417),"",IF($AA417=Constants!$B$2,TRUE(),IF($AA417=Constants!$B$3,FALSE(),TRUE())))</f>
        <v/>
      </c>
      <c r="BE417" s="74" t="str">
        <f aca="false">IF(ISBLANK($C417),"",IF($AB417=Constants!$B$2,TRUE(),IF($AB417=Constants!$B$3,FALSE(),TRUE())))</f>
        <v/>
      </c>
      <c r="BF417" s="74" t="str">
        <f aca="false">IF(ISBLANK($C417),"",IF(ISNUMBER($AC417),IF($AC417&gt;=0,$AC417,""),""))</f>
        <v/>
      </c>
      <c r="BG417" s="74" t="str">
        <f aca="false">IF(ISBLANK($C417),"",IF($AD417=Constants!$B$2,TRUE(),IF($AD417=Constants!$B$3,FALSE(),FALSE())))</f>
        <v/>
      </c>
      <c r="BH417" s="73" t="str">
        <f aca="false">IF(ISBLANK($C417),"",IF($BG417,Constants!$B$7,IF(COUNTA($E417:$AC417)=0,Constants!$B$6,IF(OR(COUNTA($G417:$AC417)=0,NOT($AK417),$AQ417),Constants!$B$5,IF(OR($CI417&lt;&gt;"",$CJ417,$CK417,$CL417,$CM417,$CN417,$CO417),Constants!$B$8,Constants!$B$4)))))</f>
        <v/>
      </c>
      <c r="BI417" s="74" t="str">
        <f aca="false">IF(ISBLANK($C417),"",IF($BH417&lt;&gt;Constants!$B$4,$BH417,IF(OR(NOT($AH417),NOT($AJ417),NOT($AR417)),Constants!$B$11,IF(OR(NOT($AP417),MAX($AL417,$AM417,$AN417)&gt;Constants!$B$30),Constants!$B$10,Constants!$B$9))))</f>
        <v/>
      </c>
      <c r="BJ417" s="74" t="str">
        <f aca="false">IF($BH417&lt;&gt;Constants!$B$4,"",IF(NOT($AJ417),0,MIN(Constants!$B$35,$BC417)))</f>
        <v/>
      </c>
      <c r="BK417" s="74" t="str">
        <f aca="false">IF($BH417&lt;&gt;Constants!$B$4,"",IF(NOT($AJ417),0,IF($AT417,Constants!$B$18,IF($AS417,Constants!$B$17,0))))</f>
        <v/>
      </c>
      <c r="BL417" s="74" t="str">
        <f aca="false">IF($BH417&lt;&gt;Constants!$B$4,"",IF(NOT($AJ417),0,Constants!$B$19*($AI417+$AU417+$AV417+$AW417)))</f>
        <v/>
      </c>
      <c r="BM417" s="74" t="str">
        <f aca="false">IF($BH417&lt;&gt;Constants!$B$4,"",IF(OR(NOT($AJ417),NOT(ISNUMBER($AX417))),0,CHOOSE($AX417,Constants!$B$13,Constants!$B$14,Constants!$B$15,Constants!$B$16)))</f>
        <v/>
      </c>
      <c r="BN417" s="74" t="str">
        <f aca="false">IF($BH417&lt;&gt;Constants!$B$4,"",IF(NOT($AJ417),0,Constants!$B$20*$AY417))</f>
        <v/>
      </c>
      <c r="BO417" s="74" t="str">
        <f aca="false">IF($BH417&lt;&gt;Constants!$B$4,"",IF(AND($AJ417,$BA417,$BB417),Constants!$B$22,0))</f>
        <v/>
      </c>
      <c r="BP417" s="74" t="str">
        <f aca="false">IF($BH417&lt;&gt;Constants!$B$4,"",IF(OR(NOT($AJ417),NOT($BA417)),0,IF($BF417&gt;=2*$AF$9,0,Constants!$B$23*INT(ROUND(MIN($BF417,$AF$9),6)))))</f>
        <v/>
      </c>
      <c r="BQ417" s="74" t="str">
        <f aca="false">IF($BH417&lt;&gt;Constants!$B$4,"",IF(NOT($AJ417),0,Constants!$B$24*INT(ROUND(MIN($AZ417,$AF$9),6))))</f>
        <v/>
      </c>
      <c r="BR417" s="74" t="str">
        <f aca="false">IF($BH417&lt;&gt;Constants!$B$4,"",IF(AND($AJ417,$BJ417=0),Constants!$B$25,0))</f>
        <v/>
      </c>
      <c r="BS417" s="74" t="str">
        <f aca="false">IF($BH417&lt;&gt;Constants!$B$4,"",MIN(Constants!$B$29,MAX(0,Constants!$B$27*Constants!$B$28*INT(ROUND((Constants!$B$26-$AL417)/Constants!$B$28,6))))+MIN(Constants!$B$29,MAX(0,Constants!$B$27*Constants!$B$28*INT(ROUND((Constants!$B$26-$AM417)/Constants!$B$28,6))))+MIN(Constants!$B$29,MAX(0,Constants!$B$27*Constants!$B$28*INT(ROUND((Constants!$B$26-$AN417)/Constants!$B$28,6)))))</f>
        <v/>
      </c>
      <c r="BT417" s="74" t="str">
        <f aca="false">IF($BH417&lt;&gt;Constants!$B$4,"",IF(NOT($AJ417),0,Constants!$B$31*INT(ROUND(MAX(0,MIN($BF417,2*$AF$9)-$AF$9),6))))</f>
        <v/>
      </c>
      <c r="BU417" s="74" t="str">
        <f aca="false">IF($BH417&lt;&gt;Constants!$B$4,"",Constants!$B$32*(($AL417&gt;Constants!$B$26)+($AM417&gt;Constants!$B$26)+($AN417&gt;Constants!$B$26)))</f>
        <v/>
      </c>
      <c r="BV417" s="74" t="str">
        <f aca="false">IF($BH417&lt;&gt;Constants!$B$4,"",IF(OR(NOT($AJ417),$AO417),0,Constants!$B$33))</f>
        <v/>
      </c>
      <c r="BW417" s="74" t="str">
        <f aca="false">IF($BH417&lt;&gt;Constants!$B$4,"",Constants!$B$34*$BJ417)</f>
        <v/>
      </c>
      <c r="BX417" s="74" t="str">
        <f aca="false">IF($BH417&lt;&gt;Constants!$B$4,"",IF(OR(NOT($AJ417),$BE417),0,Constants!$B$36))</f>
        <v/>
      </c>
      <c r="BY417" s="74" t="str">
        <f aca="false">IF($BH417&lt;&gt;Constants!$B$4,"",IF(OR(NOT($AJ417),$BD417),0,Constants!$B$37))</f>
        <v/>
      </c>
      <c r="BZ417" s="74" t="str">
        <f aca="false">IF($BH417&lt;&gt;Constants!$B$4,"",SUM($BT417:$BY417))</f>
        <v/>
      </c>
      <c r="CA417" s="74" t="str">
        <f aca="false">IF(ISBLANK($C417),"",IF($BH417&lt;&gt;Constants!$B$4,$BH417,SUM($BK417:$BS417)-$BZ417))</f>
        <v/>
      </c>
      <c r="CB417" s="74" t="str">
        <f aca="false">IF(ISBLANK($C417),"",IF($BH417&lt;&gt;Constants!$B$4,$BH417,RANK($CA417,$CA$9:$CA$508)))</f>
        <v/>
      </c>
      <c r="CC417" s="74" t="str">
        <f aca="false">IF(ISBLANK($C417),"",IF($BH417&lt;&gt;Constants!$B$4,$BH417,COUNTIFS($BI$9:$BI$508,"&lt;"&amp;$BI417)+COUNTIFS($BI$9:$BI$508,$BI417,$CB$9:$CB$508,"&lt;"&amp;$CB417)+1))</f>
        <v/>
      </c>
      <c r="CD417" s="74" t="str">
        <f aca="false">IF(ISBLANK($C417),"",IF($BH417&lt;&gt;Constants!$B$4,$BH417,RANK($BZ417,$BZ$9:$BZ$508,1)))</f>
        <v/>
      </c>
      <c r="CE417" s="74" t="str">
        <f aca="false">IF($BH417&lt;&gt;Constants!$B$4,"",$AL417+$AM417+$AN417)</f>
        <v/>
      </c>
      <c r="CF417" s="74" t="str">
        <f aca="false">IF(ISBLANK($C417),"",IF($BH417&lt;&gt;Constants!$B$4,$BH417,RANK($CE417,$CE$9:$CE$508,1)))</f>
        <v/>
      </c>
      <c r="CG417" s="74" t="str">
        <f aca="false">IF(ISBLANK($C417),"",IF($BH417&lt;&gt;Constants!$B$4,$BH417,COUNTIFS($BI$9:$BI$508,"&lt;"&amp;$BI417)+COUNTIFS($BI$9:$BI$508,$BI417,$CB$9:$CB$508,"&lt;"&amp;$CB417)+COUNTIFS($BI$9:$BI$508,$BI417,$CB$9:$CB$508,$CB417,$CD$9:$CD$508,"&lt;"&amp;$CD417)+COUNTIFS($BI$9:$BI$508,$BI417,$CB$9:$CB$508,$CB417,$CD$9:$CD$508,$CD417,$CF$9:$CF$508,"&lt;"&amp;$CF417)+1))</f>
        <v/>
      </c>
      <c r="CH417" s="74" t="str">
        <f aca="false">IF(ISBLANK($C417),"",IF($BH417&lt;&gt;Constants!$B$4,$BH417,$CC417-$CG417))</f>
        <v/>
      </c>
      <c r="CI417" s="74" t="str">
        <f aca="false">IF(ISBLANK($C417),"",IF(NOT($AJ417),"",IF(ISBLANK($D$7),$CI$5,IF(NOT(ISNUMBER($D$7)),$CI$6,""))))</f>
        <v/>
      </c>
      <c r="CJ417" s="74" t="str">
        <f aca="false">IF(ISBLANK($C417),"",OR($AL417="",$AM417="",$AN417=""))</f>
        <v/>
      </c>
      <c r="CK417" s="74" t="str">
        <f aca="false">IF(ISBLANK($C417),"",AND($AJ417,$AX417=""))</f>
        <v/>
      </c>
      <c r="CL417" s="74" t="str">
        <f aca="false">IF(ISBLANK($C417),"",AND($AJ417,$AY417=""))</f>
        <v/>
      </c>
      <c r="CM417" s="74" t="str">
        <f aca="false">IF(ISBLANK($C417),"",AND($AJ417,$AZ417=""))</f>
        <v/>
      </c>
      <c r="CN417" s="74" t="str">
        <f aca="false">IF(ISBLANK($C417),"",AND($AJ417,$BC417=""))</f>
        <v/>
      </c>
      <c r="CO417" s="74" t="str">
        <f aca="false">IF(ISBLANK($C417),"",AND($AJ417,$BF417=""))</f>
        <v/>
      </c>
      <c r="CP417" s="75"/>
      <c r="CQ417" s="76"/>
      <c r="CR417" s="79" t="str">
        <f aca="false">IF(ISBLANK($C417),"",IF($BH417=Constants!$B$8,$CI417,""))</f>
        <v/>
      </c>
      <c r="CS417" s="76" t="str">
        <f aca="false">IF(ISBLANK($C417),"",IF($BH417&lt;&gt;Constants!$B$4,"",$BK417+$BL417))</f>
        <v/>
      </c>
      <c r="CT417" s="78" t="str">
        <f aca="false">IF(ISBLANK($C417),"",IF($BH417&lt;&gt;Constants!$B$4,"",$BM417+$BN417+$BO417))</f>
        <v/>
      </c>
      <c r="CU417" s="78" t="str">
        <f aca="false">IF(ISBLANK($C417),"",IF($BH417&lt;&gt;Constants!$B$4,"",$BP417))</f>
        <v/>
      </c>
      <c r="CV417" s="78" t="str">
        <f aca="false">IF(ISBLANK($C417),"",IF($BH417&lt;&gt;Constants!$B$4,"",$BQ417+$BR417))</f>
        <v/>
      </c>
      <c r="CW417" s="78" t="str">
        <f aca="false">IF(ISBLANK($C417),"",IF($BH417&lt;&gt;Constants!$B$4,"",$BS417))</f>
        <v/>
      </c>
      <c r="CX417" s="78" t="str">
        <f aca="false">IF(ISBLANK($C417),"",IF($BH417&lt;&gt;Constants!$B$4,"",-$BZ417))</f>
        <v/>
      </c>
      <c r="CY417" s="79" t="str">
        <f aca="false">IF(ISBLANK($C417),"",$CA417)</f>
        <v/>
      </c>
      <c r="CZ417" s="80" t="str">
        <f aca="false">IF(ISBLANK($C417),"",$BI417)</f>
        <v/>
      </c>
      <c r="DA417" s="78" t="str">
        <f aca="false">IF(ISBLANK($C417),"",$CH417)</f>
        <v/>
      </c>
      <c r="DB417" s="78" t="str">
        <f aca="false">IF(ISBLANK($C417),"",$CG417)</f>
        <v/>
      </c>
      <c r="DC417" s="81" t="str">
        <f aca="false">IF(ISBLANK($C417),"",IFERROR(_xlfn.SWITCH($DB417,Constants!$B$7,COUNTA($C$9:$C$508)+2,Constants!$B$6,COUNTA($C$9:$C$508)+1,Constants!$B$5,COUNTA($C$9:$C$508)),$DB417))</f>
        <v/>
      </c>
      <c r="DD417" s="7"/>
      <c r="DE417" s="82" t="n">
        <f aca="false">IF(OR(ISNUMBER($DB417),$DB417=Constants!$B$7,$DB417=Constants!$B$5,$DB417=Constants!$B$6),1,0)</f>
        <v>0</v>
      </c>
      <c r="DF417" s="82" t="n">
        <v>409</v>
      </c>
      <c r="DG417" s="82" t="str">
        <f aca="false">IF(ISBLANK($C417),"",IF(ISNUMBER($DC417),$DC417+ROW($B417)/1000,""))</f>
        <v/>
      </c>
      <c r="DH417" s="82" t="str">
        <f aca="false">IF(ISNUMBER($DG417),RANK($DG417,$DG$9:$DG$508,1),"")</f>
        <v/>
      </c>
      <c r="DI417" s="82" t="str">
        <f aca="false">IF(ISBLANK($C417),"",$B417)</f>
        <v/>
      </c>
      <c r="DJ417" s="82" t="str">
        <f aca="false">IF(ISBLANK($C417),"",$C417)</f>
        <v/>
      </c>
      <c r="DK417" s="82" t="str">
        <f aca="false">IF(ISBLANK($C417),"",$D417)</f>
        <v/>
      </c>
      <c r="DL417" s="83" t="str">
        <f aca="false">$CZ417</f>
        <v/>
      </c>
      <c r="DM417" s="84" t="str">
        <f aca="false">$CY417</f>
        <v/>
      </c>
      <c r="DN417" s="82" t="str">
        <f aca="false">IF(ISBLANK($C417),"",$DB417)</f>
        <v/>
      </c>
      <c r="DO417" s="85" t="str">
        <f aca="false">IF($DF417&gt;$DE$8,"",VLOOKUP($DF417,$DH$9:$DN$508,7,FALSE()))</f>
        <v/>
      </c>
      <c r="DP417" s="86" t="str">
        <f aca="false">IF($DF417&gt;$DE$8,"",VLOOKUP($DF417,$DH$9:$DN$508,2,FALSE()))</f>
        <v/>
      </c>
      <c r="DQ417" s="86" t="str">
        <f aca="false">IF($DF417&gt;$DE$8,"",VLOOKUP($DF417,$DH$9:$DN$508,3,FALSE()))</f>
        <v/>
      </c>
      <c r="DR417" s="86" t="str">
        <f aca="false">IF($DF417&gt;$DE$8,"",VLOOKUP($DF417,$DH$9:$DN$508,4,FALSE()))</f>
        <v/>
      </c>
      <c r="DS417" s="86" t="str">
        <f aca="false">IF($DF417&gt;$DE$8,"",VLOOKUP($DF417,$DH$9:$DN$508,5,FALSE()))</f>
        <v/>
      </c>
      <c r="DT417" s="87" t="str">
        <f aca="false">IF($DF417&gt;$DE$8,"",VLOOKUP($DF417,$DH$9:$DN$508,6,FALSE()))</f>
        <v/>
      </c>
      <c r="DU417" s="62"/>
    </row>
    <row r="418" customFormat="false" ht="15.75" hidden="false" customHeight="false" outlineLevel="0" collapsed="false">
      <c r="A418" s="7"/>
      <c r="B418" s="64"/>
      <c r="C418" s="65"/>
      <c r="D418" s="123"/>
      <c r="E418" s="88"/>
      <c r="F418" s="134"/>
      <c r="G418" s="88"/>
      <c r="H418" s="134"/>
      <c r="I418" s="119"/>
      <c r="J418" s="119"/>
      <c r="K418" s="119"/>
      <c r="L418" s="88"/>
      <c r="M418" s="88"/>
      <c r="N418" s="88"/>
      <c r="O418" s="134"/>
      <c r="P418" s="88"/>
      <c r="Q418" s="88"/>
      <c r="R418" s="88"/>
      <c r="S418" s="88"/>
      <c r="T418" s="134"/>
      <c r="U418" s="88"/>
      <c r="V418" s="70"/>
      <c r="W418" s="88"/>
      <c r="X418" s="88"/>
      <c r="Y418" s="70"/>
      <c r="Z418" s="70"/>
      <c r="AA418" s="88"/>
      <c r="AB418" s="88"/>
      <c r="AC418" s="71"/>
      <c r="AD418" s="88"/>
      <c r="AE418" s="73"/>
      <c r="AF418" s="74"/>
      <c r="AG418" s="74"/>
      <c r="AH418" s="74" t="str">
        <f aca="false">IF(ISBLANK($C418),"",IF($E418=Constants!$B$2,TRUE(),IF($E418=Constants!$B$3,FALSE(),TRUE())))</f>
        <v/>
      </c>
      <c r="AI418" s="74" t="str">
        <f aca="false">IF(ISBLANK($C418),"",IF($F418=Constants!$B$2,TRUE(),IF($F418=Constants!$B$3,FALSE(),FALSE())))</f>
        <v/>
      </c>
      <c r="AJ418" s="74" t="str">
        <f aca="false">IF(ISBLANK($C418),"",IF($G418=Constants!$B$2,TRUE(),IF($G418=Constants!$B$3,FALSE(),TRUE())))</f>
        <v/>
      </c>
      <c r="AK418" s="74" t="str">
        <f aca="false">IF(ISBLANK($C418),"",IF($H418=Constants!$B$2,TRUE(),IF($H418=Constants!$B$3,FALSE(),TRUE())))</f>
        <v/>
      </c>
      <c r="AL418" s="74" t="str">
        <f aca="false">IF(ISBLANK($C418),"",IF(ISNUMBER($I418),IF($I418&gt;=0,$I418,""),""))</f>
        <v/>
      </c>
      <c r="AM418" s="74" t="str">
        <f aca="false">IF(ISBLANK($C418),"",IF(ISNUMBER($J418),IF($J418&gt;=0,$J418,""),""))</f>
        <v/>
      </c>
      <c r="AN418" s="74" t="str">
        <f aca="false">IF(ISBLANK($C418),"",IF(ISNUMBER($K418),IF($K418&gt;=0,$K418,""),""))</f>
        <v/>
      </c>
      <c r="AO418" s="74" t="str">
        <f aca="false">IF(ISBLANK($C418),"",IF($L418=Constants!$B$2,TRUE(),IF($L418=Constants!$B$3,FALSE(),TRUE())))</f>
        <v/>
      </c>
      <c r="AP418" s="74" t="str">
        <f aca="false">IF(ISBLANK($C418),"",IF($M418=Constants!$B$2,TRUE(),IF($M418=Constants!$B$3,FALSE(),TRUE())))</f>
        <v/>
      </c>
      <c r="AQ418" s="74" t="str">
        <f aca="false">IF(ISBLANK($C418),"",IF($N418=Constants!$B$2,TRUE(),IF($N418=Constants!$B$3,FALSE(),FALSE())))</f>
        <v/>
      </c>
      <c r="AR418" s="74" t="str">
        <f aca="false">IF(ISBLANK($C418),"",IF($O418=Constants!$B$2,TRUE(),IF($O418=Constants!$B$3,FALSE(),TRUE())))</f>
        <v/>
      </c>
      <c r="AS418" s="74" t="str">
        <f aca="false">IF(ISBLANK($C418),"",IF($P418=Constants!$B$2,TRUE(),IF($P418=Constants!$B$3,FALSE(),FALSE())))</f>
        <v/>
      </c>
      <c r="AT418" s="74" t="str">
        <f aca="false">IF(ISBLANK($C418),"",IF($Q418=Constants!$B$2,TRUE(),IF($Q418=Constants!$B$3,FALSE(),FALSE())))</f>
        <v/>
      </c>
      <c r="AU418" s="74" t="str">
        <f aca="false">IF(ISBLANK($C418),"",IF($R418=Constants!$B$2,TRUE(),IF($R418=Constants!$B$3,FALSE(),FALSE())))</f>
        <v/>
      </c>
      <c r="AV418" s="74" t="str">
        <f aca="false">IF(ISBLANK($C418),"",IF($S418=Constants!$B$2,TRUE(),IF($S418=Constants!$B$3,FALSE(),FALSE())))</f>
        <v/>
      </c>
      <c r="AW418" s="74" t="str">
        <f aca="false">IF(ISBLANK($C418),"",IF($T418=Constants!$B$2,TRUE(),IF($T418=Constants!$B$3,FALSE(),FALSE())))</f>
        <v/>
      </c>
      <c r="AX418" s="74" t="str">
        <f aca="false">IF(ISBLANK($C418),"",IF(OR($U418&amp;""="1",$U418&amp;""="2",$U418&amp;""="3",$U418&amp;""="4"),VALUE($U418&amp;""),IF($U418=Constants!$B$12,Constants!$B$12,"")))</f>
        <v/>
      </c>
      <c r="AY418" s="74" t="str">
        <f aca="false">IF(ISBLANK($C418),"",IF(ISBLANK($V418),0,IF(ISNUMBER($V418),IF(AND($V418&gt;=0,$V418&lt;=Constants!$B$21,$V418=INT($V418)),$V418,""),"")))</f>
        <v/>
      </c>
      <c r="AZ418" s="74" t="str">
        <f aca="false">IF(ISBLANK($C418),"",IF(ISBLANK($W418),0,IF(ISNUMBER($W418),IF($W418&gt;=0,$W418,""),"")))</f>
        <v/>
      </c>
      <c r="BA418" s="74" t="str">
        <f aca="false">IF(ISBLANK($C418),"",IF($X418=Constants!$B$2,TRUE(),IF($X418=Constants!$B$3,FALSE(),TRUE())))</f>
        <v/>
      </c>
      <c r="BB418" s="74" t="str">
        <f aca="false">IF(ISBLANK($C418),"",IF($Y418=Constants!$B$2,TRUE(),IF($Y418=Constants!$B$3,FALSE(),FALSE())))</f>
        <v/>
      </c>
      <c r="BC418" s="74" t="str">
        <f aca="false">IF(ISBLANK($C418),"",IF(ISBLANK($Z418),0,IF(ISNUMBER($Z418),IF(AND($Z418&gt;=0,$Z418&lt;=Constants!$B$35,$Z418=INT($Z418)),$Z418,""),"")))</f>
        <v/>
      </c>
      <c r="BD418" s="74" t="str">
        <f aca="false">IF(ISBLANK($C418),"",IF($AA418=Constants!$B$2,TRUE(),IF($AA418=Constants!$B$3,FALSE(),TRUE())))</f>
        <v/>
      </c>
      <c r="BE418" s="74" t="str">
        <f aca="false">IF(ISBLANK($C418),"",IF($AB418=Constants!$B$2,TRUE(),IF($AB418=Constants!$B$3,FALSE(),TRUE())))</f>
        <v/>
      </c>
      <c r="BF418" s="74" t="str">
        <f aca="false">IF(ISBLANK($C418),"",IF(ISNUMBER($AC418),IF($AC418&gt;=0,$AC418,""),""))</f>
        <v/>
      </c>
      <c r="BG418" s="74" t="str">
        <f aca="false">IF(ISBLANK($C418),"",IF($AD418=Constants!$B$2,TRUE(),IF($AD418=Constants!$B$3,FALSE(),FALSE())))</f>
        <v/>
      </c>
      <c r="BH418" s="73" t="str">
        <f aca="false">IF(ISBLANK($C418),"",IF($BG418,Constants!$B$7,IF(COUNTA($E418:$AC418)=0,Constants!$B$6,IF(OR(COUNTA($G418:$AC418)=0,NOT($AK418),$AQ418),Constants!$B$5,IF(OR($CI418&lt;&gt;"",$CJ418,$CK418,$CL418,$CM418,$CN418,$CO418),Constants!$B$8,Constants!$B$4)))))</f>
        <v/>
      </c>
      <c r="BI418" s="74" t="str">
        <f aca="false">IF(ISBLANK($C418),"",IF($BH418&lt;&gt;Constants!$B$4,$BH418,IF(OR(NOT($AH418),NOT($AJ418),NOT($AR418)),Constants!$B$11,IF(OR(NOT($AP418),MAX($AL418,$AM418,$AN418)&gt;Constants!$B$30),Constants!$B$10,Constants!$B$9))))</f>
        <v/>
      </c>
      <c r="BJ418" s="74" t="str">
        <f aca="false">IF($BH418&lt;&gt;Constants!$B$4,"",IF(NOT($AJ418),0,MIN(Constants!$B$35,$BC418)))</f>
        <v/>
      </c>
      <c r="BK418" s="74" t="str">
        <f aca="false">IF($BH418&lt;&gt;Constants!$B$4,"",IF(NOT($AJ418),0,IF($AT418,Constants!$B$18,IF($AS418,Constants!$B$17,0))))</f>
        <v/>
      </c>
      <c r="BL418" s="74" t="str">
        <f aca="false">IF($BH418&lt;&gt;Constants!$B$4,"",IF(NOT($AJ418),0,Constants!$B$19*($AI418+$AU418+$AV418+$AW418)))</f>
        <v/>
      </c>
      <c r="BM418" s="74" t="str">
        <f aca="false">IF($BH418&lt;&gt;Constants!$B$4,"",IF(OR(NOT($AJ418),NOT(ISNUMBER($AX418))),0,CHOOSE($AX418,Constants!$B$13,Constants!$B$14,Constants!$B$15,Constants!$B$16)))</f>
        <v/>
      </c>
      <c r="BN418" s="74" t="str">
        <f aca="false">IF($BH418&lt;&gt;Constants!$B$4,"",IF(NOT($AJ418),0,Constants!$B$20*$AY418))</f>
        <v/>
      </c>
      <c r="BO418" s="74" t="str">
        <f aca="false">IF($BH418&lt;&gt;Constants!$B$4,"",IF(AND($AJ418,$BA418,$BB418),Constants!$B$22,0))</f>
        <v/>
      </c>
      <c r="BP418" s="74" t="str">
        <f aca="false">IF($BH418&lt;&gt;Constants!$B$4,"",IF(OR(NOT($AJ418),NOT($BA418)),0,IF($BF418&gt;=2*$AF$9,0,Constants!$B$23*INT(ROUND(MIN($BF418,$AF$9),6)))))</f>
        <v/>
      </c>
      <c r="BQ418" s="74" t="str">
        <f aca="false">IF($BH418&lt;&gt;Constants!$B$4,"",IF(NOT($AJ418),0,Constants!$B$24*INT(ROUND(MIN($AZ418,$AF$9),6))))</f>
        <v/>
      </c>
      <c r="BR418" s="74" t="str">
        <f aca="false">IF($BH418&lt;&gt;Constants!$B$4,"",IF(AND($AJ418,$BJ418=0),Constants!$B$25,0))</f>
        <v/>
      </c>
      <c r="BS418" s="74" t="str">
        <f aca="false">IF($BH418&lt;&gt;Constants!$B$4,"",MIN(Constants!$B$29,MAX(0,Constants!$B$27*Constants!$B$28*INT(ROUND((Constants!$B$26-$AL418)/Constants!$B$28,6))))+MIN(Constants!$B$29,MAX(0,Constants!$B$27*Constants!$B$28*INT(ROUND((Constants!$B$26-$AM418)/Constants!$B$28,6))))+MIN(Constants!$B$29,MAX(0,Constants!$B$27*Constants!$B$28*INT(ROUND((Constants!$B$26-$AN418)/Constants!$B$28,6)))))</f>
        <v/>
      </c>
      <c r="BT418" s="74" t="str">
        <f aca="false">IF($BH418&lt;&gt;Constants!$B$4,"",IF(NOT($AJ418),0,Constants!$B$31*INT(ROUND(MAX(0,MIN($BF418,2*$AF$9)-$AF$9),6))))</f>
        <v/>
      </c>
      <c r="BU418" s="74" t="str">
        <f aca="false">IF($BH418&lt;&gt;Constants!$B$4,"",Constants!$B$32*(($AL418&gt;Constants!$B$26)+($AM418&gt;Constants!$B$26)+($AN418&gt;Constants!$B$26)))</f>
        <v/>
      </c>
      <c r="BV418" s="74" t="str">
        <f aca="false">IF($BH418&lt;&gt;Constants!$B$4,"",IF(OR(NOT($AJ418),$AO418),0,Constants!$B$33))</f>
        <v/>
      </c>
      <c r="BW418" s="74" t="str">
        <f aca="false">IF($BH418&lt;&gt;Constants!$B$4,"",Constants!$B$34*$BJ418)</f>
        <v/>
      </c>
      <c r="BX418" s="74" t="str">
        <f aca="false">IF($BH418&lt;&gt;Constants!$B$4,"",IF(OR(NOT($AJ418),$BE418),0,Constants!$B$36))</f>
        <v/>
      </c>
      <c r="BY418" s="74" t="str">
        <f aca="false">IF($BH418&lt;&gt;Constants!$B$4,"",IF(OR(NOT($AJ418),$BD418),0,Constants!$B$37))</f>
        <v/>
      </c>
      <c r="BZ418" s="74" t="str">
        <f aca="false">IF($BH418&lt;&gt;Constants!$B$4,"",SUM($BT418:$BY418))</f>
        <v/>
      </c>
      <c r="CA418" s="74" t="str">
        <f aca="false">IF(ISBLANK($C418),"",IF($BH418&lt;&gt;Constants!$B$4,$BH418,SUM($BK418:$BS418)-$BZ418))</f>
        <v/>
      </c>
      <c r="CB418" s="74" t="str">
        <f aca="false">IF(ISBLANK($C418),"",IF($BH418&lt;&gt;Constants!$B$4,$BH418,RANK($CA418,$CA$9:$CA$508)))</f>
        <v/>
      </c>
      <c r="CC418" s="74" t="str">
        <f aca="false">IF(ISBLANK($C418),"",IF($BH418&lt;&gt;Constants!$B$4,$BH418,COUNTIFS($BI$9:$BI$508,"&lt;"&amp;$BI418)+COUNTIFS($BI$9:$BI$508,$BI418,$CB$9:$CB$508,"&lt;"&amp;$CB418)+1))</f>
        <v/>
      </c>
      <c r="CD418" s="74" t="str">
        <f aca="false">IF(ISBLANK($C418),"",IF($BH418&lt;&gt;Constants!$B$4,$BH418,RANK($BZ418,$BZ$9:$BZ$508,1)))</f>
        <v/>
      </c>
      <c r="CE418" s="74" t="str">
        <f aca="false">IF($BH418&lt;&gt;Constants!$B$4,"",$AL418+$AM418+$AN418)</f>
        <v/>
      </c>
      <c r="CF418" s="74" t="str">
        <f aca="false">IF(ISBLANK($C418),"",IF($BH418&lt;&gt;Constants!$B$4,$BH418,RANK($CE418,$CE$9:$CE$508,1)))</f>
        <v/>
      </c>
      <c r="CG418" s="74" t="str">
        <f aca="false">IF(ISBLANK($C418),"",IF($BH418&lt;&gt;Constants!$B$4,$BH418,COUNTIFS($BI$9:$BI$508,"&lt;"&amp;$BI418)+COUNTIFS($BI$9:$BI$508,$BI418,$CB$9:$CB$508,"&lt;"&amp;$CB418)+COUNTIFS($BI$9:$BI$508,$BI418,$CB$9:$CB$508,$CB418,$CD$9:$CD$508,"&lt;"&amp;$CD418)+COUNTIFS($BI$9:$BI$508,$BI418,$CB$9:$CB$508,$CB418,$CD$9:$CD$508,$CD418,$CF$9:$CF$508,"&lt;"&amp;$CF418)+1))</f>
        <v/>
      </c>
      <c r="CH418" s="74" t="str">
        <f aca="false">IF(ISBLANK($C418),"",IF($BH418&lt;&gt;Constants!$B$4,$BH418,$CC418-$CG418))</f>
        <v/>
      </c>
      <c r="CI418" s="74" t="str">
        <f aca="false">IF(ISBLANK($C418),"",IF(NOT($AJ418),"",IF(ISBLANK($D$7),$CI$5,IF(NOT(ISNUMBER($D$7)),$CI$6,""))))</f>
        <v/>
      </c>
      <c r="CJ418" s="74" t="str">
        <f aca="false">IF(ISBLANK($C418),"",OR($AL418="",$AM418="",$AN418=""))</f>
        <v/>
      </c>
      <c r="CK418" s="74" t="str">
        <f aca="false">IF(ISBLANK($C418),"",AND($AJ418,$AX418=""))</f>
        <v/>
      </c>
      <c r="CL418" s="74" t="str">
        <f aca="false">IF(ISBLANK($C418),"",AND($AJ418,$AY418=""))</f>
        <v/>
      </c>
      <c r="CM418" s="74" t="str">
        <f aca="false">IF(ISBLANK($C418),"",AND($AJ418,$AZ418=""))</f>
        <v/>
      </c>
      <c r="CN418" s="74" t="str">
        <f aca="false">IF(ISBLANK($C418),"",AND($AJ418,$BC418=""))</f>
        <v/>
      </c>
      <c r="CO418" s="74" t="str">
        <f aca="false">IF(ISBLANK($C418),"",AND($AJ418,$BF418=""))</f>
        <v/>
      </c>
      <c r="CP418" s="75"/>
      <c r="CQ418" s="76"/>
      <c r="CR418" s="79" t="str">
        <f aca="false">IF(ISBLANK($C418),"",IF($BH418=Constants!$B$8,$CI418,""))</f>
        <v/>
      </c>
      <c r="CS418" s="76" t="str">
        <f aca="false">IF(ISBLANK($C418),"",IF($BH418&lt;&gt;Constants!$B$4,"",$BK418+$BL418))</f>
        <v/>
      </c>
      <c r="CT418" s="78" t="str">
        <f aca="false">IF(ISBLANK($C418),"",IF($BH418&lt;&gt;Constants!$B$4,"",$BM418+$BN418+$BO418))</f>
        <v/>
      </c>
      <c r="CU418" s="78" t="str">
        <f aca="false">IF(ISBLANK($C418),"",IF($BH418&lt;&gt;Constants!$B$4,"",$BP418))</f>
        <v/>
      </c>
      <c r="CV418" s="78" t="str">
        <f aca="false">IF(ISBLANK($C418),"",IF($BH418&lt;&gt;Constants!$B$4,"",$BQ418+$BR418))</f>
        <v/>
      </c>
      <c r="CW418" s="78" t="str">
        <f aca="false">IF(ISBLANK($C418),"",IF($BH418&lt;&gt;Constants!$B$4,"",$BS418))</f>
        <v/>
      </c>
      <c r="CX418" s="78" t="str">
        <f aca="false">IF(ISBLANK($C418),"",IF($BH418&lt;&gt;Constants!$B$4,"",-$BZ418))</f>
        <v/>
      </c>
      <c r="CY418" s="79" t="str">
        <f aca="false">IF(ISBLANK($C418),"",$CA418)</f>
        <v/>
      </c>
      <c r="CZ418" s="80" t="str">
        <f aca="false">IF(ISBLANK($C418),"",$BI418)</f>
        <v/>
      </c>
      <c r="DA418" s="78" t="str">
        <f aca="false">IF(ISBLANK($C418),"",$CH418)</f>
        <v/>
      </c>
      <c r="DB418" s="78" t="str">
        <f aca="false">IF(ISBLANK($C418),"",$CG418)</f>
        <v/>
      </c>
      <c r="DC418" s="81" t="str">
        <f aca="false">IF(ISBLANK($C418),"",IFERROR(_xlfn.SWITCH($DB418,Constants!$B$7,COUNTA($C$9:$C$508)+2,Constants!$B$6,COUNTA($C$9:$C$508)+1,Constants!$B$5,COUNTA($C$9:$C$508)),$DB418))</f>
        <v/>
      </c>
      <c r="DD418" s="7"/>
      <c r="DE418" s="82" t="n">
        <f aca="false">IF(OR(ISNUMBER($DB418),$DB418=Constants!$B$7,$DB418=Constants!$B$5,$DB418=Constants!$B$6),1,0)</f>
        <v>0</v>
      </c>
      <c r="DF418" s="82" t="n">
        <v>410</v>
      </c>
      <c r="DG418" s="82" t="str">
        <f aca="false">IF(ISBLANK($C418),"",IF(ISNUMBER($DC418),$DC418+ROW($B418)/1000,""))</f>
        <v/>
      </c>
      <c r="DH418" s="82" t="str">
        <f aca="false">IF(ISNUMBER($DG418),RANK($DG418,$DG$9:$DG$508,1),"")</f>
        <v/>
      </c>
      <c r="DI418" s="82" t="str">
        <f aca="false">IF(ISBLANK($C418),"",$B418)</f>
        <v/>
      </c>
      <c r="DJ418" s="82" t="str">
        <f aca="false">IF(ISBLANK($C418),"",$C418)</f>
        <v/>
      </c>
      <c r="DK418" s="82" t="str">
        <f aca="false">IF(ISBLANK($C418),"",$D418)</f>
        <v/>
      </c>
      <c r="DL418" s="83" t="str">
        <f aca="false">$CZ418</f>
        <v/>
      </c>
      <c r="DM418" s="84" t="str">
        <f aca="false">$CY418</f>
        <v/>
      </c>
      <c r="DN418" s="82" t="str">
        <f aca="false">IF(ISBLANK($C418),"",$DB418)</f>
        <v/>
      </c>
      <c r="DO418" s="85" t="str">
        <f aca="false">IF($DF418&gt;$DE$8,"",VLOOKUP($DF418,$DH$9:$DN$508,7,FALSE()))</f>
        <v/>
      </c>
      <c r="DP418" s="86" t="str">
        <f aca="false">IF($DF418&gt;$DE$8,"",VLOOKUP($DF418,$DH$9:$DN$508,2,FALSE()))</f>
        <v/>
      </c>
      <c r="DQ418" s="86" t="str">
        <f aca="false">IF($DF418&gt;$DE$8,"",VLOOKUP($DF418,$DH$9:$DN$508,3,FALSE()))</f>
        <v/>
      </c>
      <c r="DR418" s="86" t="str">
        <f aca="false">IF($DF418&gt;$DE$8,"",VLOOKUP($DF418,$DH$9:$DN$508,4,FALSE()))</f>
        <v/>
      </c>
      <c r="DS418" s="86" t="str">
        <f aca="false">IF($DF418&gt;$DE$8,"",VLOOKUP($DF418,$DH$9:$DN$508,5,FALSE()))</f>
        <v/>
      </c>
      <c r="DT418" s="87" t="str">
        <f aca="false">IF($DF418&gt;$DE$8,"",VLOOKUP($DF418,$DH$9:$DN$508,6,FALSE()))</f>
        <v/>
      </c>
      <c r="DU418" s="62"/>
    </row>
    <row r="419" customFormat="false" ht="15.75" hidden="false" customHeight="false" outlineLevel="0" collapsed="false">
      <c r="A419" s="7"/>
      <c r="B419" s="64"/>
      <c r="C419" s="65"/>
      <c r="D419" s="123"/>
      <c r="E419" s="88"/>
      <c r="F419" s="134"/>
      <c r="G419" s="88"/>
      <c r="H419" s="134"/>
      <c r="I419" s="119"/>
      <c r="J419" s="119"/>
      <c r="K419" s="119"/>
      <c r="L419" s="88"/>
      <c r="M419" s="88"/>
      <c r="N419" s="88"/>
      <c r="O419" s="134"/>
      <c r="P419" s="88"/>
      <c r="Q419" s="88"/>
      <c r="R419" s="88"/>
      <c r="S419" s="88"/>
      <c r="T419" s="134"/>
      <c r="U419" s="88"/>
      <c r="V419" s="70"/>
      <c r="W419" s="88"/>
      <c r="X419" s="88"/>
      <c r="Y419" s="70"/>
      <c r="Z419" s="70"/>
      <c r="AA419" s="88"/>
      <c r="AB419" s="88"/>
      <c r="AC419" s="71"/>
      <c r="AD419" s="88"/>
      <c r="AE419" s="73"/>
      <c r="AF419" s="74"/>
      <c r="AG419" s="74"/>
      <c r="AH419" s="74" t="str">
        <f aca="false">IF(ISBLANK($C419),"",IF($E419=Constants!$B$2,TRUE(),IF($E419=Constants!$B$3,FALSE(),TRUE())))</f>
        <v/>
      </c>
      <c r="AI419" s="74" t="str">
        <f aca="false">IF(ISBLANK($C419),"",IF($F419=Constants!$B$2,TRUE(),IF($F419=Constants!$B$3,FALSE(),FALSE())))</f>
        <v/>
      </c>
      <c r="AJ419" s="74" t="str">
        <f aca="false">IF(ISBLANK($C419),"",IF($G419=Constants!$B$2,TRUE(),IF($G419=Constants!$B$3,FALSE(),TRUE())))</f>
        <v/>
      </c>
      <c r="AK419" s="74" t="str">
        <f aca="false">IF(ISBLANK($C419),"",IF($H419=Constants!$B$2,TRUE(),IF($H419=Constants!$B$3,FALSE(),TRUE())))</f>
        <v/>
      </c>
      <c r="AL419" s="74" t="str">
        <f aca="false">IF(ISBLANK($C419),"",IF(ISNUMBER($I419),IF($I419&gt;=0,$I419,""),""))</f>
        <v/>
      </c>
      <c r="AM419" s="74" t="str">
        <f aca="false">IF(ISBLANK($C419),"",IF(ISNUMBER($J419),IF($J419&gt;=0,$J419,""),""))</f>
        <v/>
      </c>
      <c r="AN419" s="74" t="str">
        <f aca="false">IF(ISBLANK($C419),"",IF(ISNUMBER($K419),IF($K419&gt;=0,$K419,""),""))</f>
        <v/>
      </c>
      <c r="AO419" s="74" t="str">
        <f aca="false">IF(ISBLANK($C419),"",IF($L419=Constants!$B$2,TRUE(),IF($L419=Constants!$B$3,FALSE(),TRUE())))</f>
        <v/>
      </c>
      <c r="AP419" s="74" t="str">
        <f aca="false">IF(ISBLANK($C419),"",IF($M419=Constants!$B$2,TRUE(),IF($M419=Constants!$B$3,FALSE(),TRUE())))</f>
        <v/>
      </c>
      <c r="AQ419" s="74" t="str">
        <f aca="false">IF(ISBLANK($C419),"",IF($N419=Constants!$B$2,TRUE(),IF($N419=Constants!$B$3,FALSE(),FALSE())))</f>
        <v/>
      </c>
      <c r="AR419" s="74" t="str">
        <f aca="false">IF(ISBLANK($C419),"",IF($O419=Constants!$B$2,TRUE(),IF($O419=Constants!$B$3,FALSE(),TRUE())))</f>
        <v/>
      </c>
      <c r="AS419" s="74" t="str">
        <f aca="false">IF(ISBLANK($C419),"",IF($P419=Constants!$B$2,TRUE(),IF($P419=Constants!$B$3,FALSE(),FALSE())))</f>
        <v/>
      </c>
      <c r="AT419" s="74" t="str">
        <f aca="false">IF(ISBLANK($C419),"",IF($Q419=Constants!$B$2,TRUE(),IF($Q419=Constants!$B$3,FALSE(),FALSE())))</f>
        <v/>
      </c>
      <c r="AU419" s="74" t="str">
        <f aca="false">IF(ISBLANK($C419),"",IF($R419=Constants!$B$2,TRUE(),IF($R419=Constants!$B$3,FALSE(),FALSE())))</f>
        <v/>
      </c>
      <c r="AV419" s="74" t="str">
        <f aca="false">IF(ISBLANK($C419),"",IF($S419=Constants!$B$2,TRUE(),IF($S419=Constants!$B$3,FALSE(),FALSE())))</f>
        <v/>
      </c>
      <c r="AW419" s="74" t="str">
        <f aca="false">IF(ISBLANK($C419),"",IF($T419=Constants!$B$2,TRUE(),IF($T419=Constants!$B$3,FALSE(),FALSE())))</f>
        <v/>
      </c>
      <c r="AX419" s="74" t="str">
        <f aca="false">IF(ISBLANK($C419),"",IF(OR($U419&amp;""="1",$U419&amp;""="2",$U419&amp;""="3",$U419&amp;""="4"),VALUE($U419&amp;""),IF($U419=Constants!$B$12,Constants!$B$12,"")))</f>
        <v/>
      </c>
      <c r="AY419" s="74" t="str">
        <f aca="false">IF(ISBLANK($C419),"",IF(ISBLANK($V419),0,IF(ISNUMBER($V419),IF(AND($V419&gt;=0,$V419&lt;=Constants!$B$21,$V419=INT($V419)),$V419,""),"")))</f>
        <v/>
      </c>
      <c r="AZ419" s="74" t="str">
        <f aca="false">IF(ISBLANK($C419),"",IF(ISBLANK($W419),0,IF(ISNUMBER($W419),IF($W419&gt;=0,$W419,""),"")))</f>
        <v/>
      </c>
      <c r="BA419" s="74" t="str">
        <f aca="false">IF(ISBLANK($C419),"",IF($X419=Constants!$B$2,TRUE(),IF($X419=Constants!$B$3,FALSE(),TRUE())))</f>
        <v/>
      </c>
      <c r="BB419" s="74" t="str">
        <f aca="false">IF(ISBLANK($C419),"",IF($Y419=Constants!$B$2,TRUE(),IF($Y419=Constants!$B$3,FALSE(),FALSE())))</f>
        <v/>
      </c>
      <c r="BC419" s="74" t="str">
        <f aca="false">IF(ISBLANK($C419),"",IF(ISBLANK($Z419),0,IF(ISNUMBER($Z419),IF(AND($Z419&gt;=0,$Z419&lt;=Constants!$B$35,$Z419=INT($Z419)),$Z419,""),"")))</f>
        <v/>
      </c>
      <c r="BD419" s="74" t="str">
        <f aca="false">IF(ISBLANK($C419),"",IF($AA419=Constants!$B$2,TRUE(),IF($AA419=Constants!$B$3,FALSE(),TRUE())))</f>
        <v/>
      </c>
      <c r="BE419" s="74" t="str">
        <f aca="false">IF(ISBLANK($C419),"",IF($AB419=Constants!$B$2,TRUE(),IF($AB419=Constants!$B$3,FALSE(),TRUE())))</f>
        <v/>
      </c>
      <c r="BF419" s="74" t="str">
        <f aca="false">IF(ISBLANK($C419),"",IF(ISNUMBER($AC419),IF($AC419&gt;=0,$AC419,""),""))</f>
        <v/>
      </c>
      <c r="BG419" s="74" t="str">
        <f aca="false">IF(ISBLANK($C419),"",IF($AD419=Constants!$B$2,TRUE(),IF($AD419=Constants!$B$3,FALSE(),FALSE())))</f>
        <v/>
      </c>
      <c r="BH419" s="73" t="str">
        <f aca="false">IF(ISBLANK($C419),"",IF($BG419,Constants!$B$7,IF(COUNTA($E419:$AC419)=0,Constants!$B$6,IF(OR(COUNTA($G419:$AC419)=0,NOT($AK419),$AQ419),Constants!$B$5,IF(OR($CI419&lt;&gt;"",$CJ419,$CK419,$CL419,$CM419,$CN419,$CO419),Constants!$B$8,Constants!$B$4)))))</f>
        <v/>
      </c>
      <c r="BI419" s="74" t="str">
        <f aca="false">IF(ISBLANK($C419),"",IF($BH419&lt;&gt;Constants!$B$4,$BH419,IF(OR(NOT($AH419),NOT($AJ419),NOT($AR419)),Constants!$B$11,IF(OR(NOT($AP419),MAX($AL419,$AM419,$AN419)&gt;Constants!$B$30),Constants!$B$10,Constants!$B$9))))</f>
        <v/>
      </c>
      <c r="BJ419" s="74" t="str">
        <f aca="false">IF($BH419&lt;&gt;Constants!$B$4,"",IF(NOT($AJ419),0,MIN(Constants!$B$35,$BC419)))</f>
        <v/>
      </c>
      <c r="BK419" s="74" t="str">
        <f aca="false">IF($BH419&lt;&gt;Constants!$B$4,"",IF(NOT($AJ419),0,IF($AT419,Constants!$B$18,IF($AS419,Constants!$B$17,0))))</f>
        <v/>
      </c>
      <c r="BL419" s="74" t="str">
        <f aca="false">IF($BH419&lt;&gt;Constants!$B$4,"",IF(NOT($AJ419),0,Constants!$B$19*($AI419+$AU419+$AV419+$AW419)))</f>
        <v/>
      </c>
      <c r="BM419" s="74" t="str">
        <f aca="false">IF($BH419&lt;&gt;Constants!$B$4,"",IF(OR(NOT($AJ419),NOT(ISNUMBER($AX419))),0,CHOOSE($AX419,Constants!$B$13,Constants!$B$14,Constants!$B$15,Constants!$B$16)))</f>
        <v/>
      </c>
      <c r="BN419" s="74" t="str">
        <f aca="false">IF($BH419&lt;&gt;Constants!$B$4,"",IF(NOT($AJ419),0,Constants!$B$20*$AY419))</f>
        <v/>
      </c>
      <c r="BO419" s="74" t="str">
        <f aca="false">IF($BH419&lt;&gt;Constants!$B$4,"",IF(AND($AJ419,$BA419,$BB419),Constants!$B$22,0))</f>
        <v/>
      </c>
      <c r="BP419" s="74" t="str">
        <f aca="false">IF($BH419&lt;&gt;Constants!$B$4,"",IF(OR(NOT($AJ419),NOT($BA419)),0,IF($BF419&gt;=2*$AF$9,0,Constants!$B$23*INT(ROUND(MIN($BF419,$AF$9),6)))))</f>
        <v/>
      </c>
      <c r="BQ419" s="74" t="str">
        <f aca="false">IF($BH419&lt;&gt;Constants!$B$4,"",IF(NOT($AJ419),0,Constants!$B$24*INT(ROUND(MIN($AZ419,$AF$9),6))))</f>
        <v/>
      </c>
      <c r="BR419" s="74" t="str">
        <f aca="false">IF($BH419&lt;&gt;Constants!$B$4,"",IF(AND($AJ419,$BJ419=0),Constants!$B$25,0))</f>
        <v/>
      </c>
      <c r="BS419" s="74" t="str">
        <f aca="false">IF($BH419&lt;&gt;Constants!$B$4,"",MIN(Constants!$B$29,MAX(0,Constants!$B$27*Constants!$B$28*INT(ROUND((Constants!$B$26-$AL419)/Constants!$B$28,6))))+MIN(Constants!$B$29,MAX(0,Constants!$B$27*Constants!$B$28*INT(ROUND((Constants!$B$26-$AM419)/Constants!$B$28,6))))+MIN(Constants!$B$29,MAX(0,Constants!$B$27*Constants!$B$28*INT(ROUND((Constants!$B$26-$AN419)/Constants!$B$28,6)))))</f>
        <v/>
      </c>
      <c r="BT419" s="74" t="str">
        <f aca="false">IF($BH419&lt;&gt;Constants!$B$4,"",IF(NOT($AJ419),0,Constants!$B$31*INT(ROUND(MAX(0,MIN($BF419,2*$AF$9)-$AF$9),6))))</f>
        <v/>
      </c>
      <c r="BU419" s="74" t="str">
        <f aca="false">IF($BH419&lt;&gt;Constants!$B$4,"",Constants!$B$32*(($AL419&gt;Constants!$B$26)+($AM419&gt;Constants!$B$26)+($AN419&gt;Constants!$B$26)))</f>
        <v/>
      </c>
      <c r="BV419" s="74" t="str">
        <f aca="false">IF($BH419&lt;&gt;Constants!$B$4,"",IF(OR(NOT($AJ419),$AO419),0,Constants!$B$33))</f>
        <v/>
      </c>
      <c r="BW419" s="74" t="str">
        <f aca="false">IF($BH419&lt;&gt;Constants!$B$4,"",Constants!$B$34*$BJ419)</f>
        <v/>
      </c>
      <c r="BX419" s="74" t="str">
        <f aca="false">IF($BH419&lt;&gt;Constants!$B$4,"",IF(OR(NOT($AJ419),$BE419),0,Constants!$B$36))</f>
        <v/>
      </c>
      <c r="BY419" s="74" t="str">
        <f aca="false">IF($BH419&lt;&gt;Constants!$B$4,"",IF(OR(NOT($AJ419),$BD419),0,Constants!$B$37))</f>
        <v/>
      </c>
      <c r="BZ419" s="74" t="str">
        <f aca="false">IF($BH419&lt;&gt;Constants!$B$4,"",SUM($BT419:$BY419))</f>
        <v/>
      </c>
      <c r="CA419" s="74" t="str">
        <f aca="false">IF(ISBLANK($C419),"",IF($BH419&lt;&gt;Constants!$B$4,$BH419,SUM($BK419:$BS419)-$BZ419))</f>
        <v/>
      </c>
      <c r="CB419" s="74" t="str">
        <f aca="false">IF(ISBLANK($C419),"",IF($BH419&lt;&gt;Constants!$B$4,$BH419,RANK($CA419,$CA$9:$CA$508)))</f>
        <v/>
      </c>
      <c r="CC419" s="74" t="str">
        <f aca="false">IF(ISBLANK($C419),"",IF($BH419&lt;&gt;Constants!$B$4,$BH419,COUNTIFS($BI$9:$BI$508,"&lt;"&amp;$BI419)+COUNTIFS($BI$9:$BI$508,$BI419,$CB$9:$CB$508,"&lt;"&amp;$CB419)+1))</f>
        <v/>
      </c>
      <c r="CD419" s="74" t="str">
        <f aca="false">IF(ISBLANK($C419),"",IF($BH419&lt;&gt;Constants!$B$4,$BH419,RANK($BZ419,$BZ$9:$BZ$508,1)))</f>
        <v/>
      </c>
      <c r="CE419" s="74" t="str">
        <f aca="false">IF($BH419&lt;&gt;Constants!$B$4,"",$AL419+$AM419+$AN419)</f>
        <v/>
      </c>
      <c r="CF419" s="74" t="str">
        <f aca="false">IF(ISBLANK($C419),"",IF($BH419&lt;&gt;Constants!$B$4,$BH419,RANK($CE419,$CE$9:$CE$508,1)))</f>
        <v/>
      </c>
      <c r="CG419" s="74" t="str">
        <f aca="false">IF(ISBLANK($C419),"",IF($BH419&lt;&gt;Constants!$B$4,$BH419,COUNTIFS($BI$9:$BI$508,"&lt;"&amp;$BI419)+COUNTIFS($BI$9:$BI$508,$BI419,$CB$9:$CB$508,"&lt;"&amp;$CB419)+COUNTIFS($BI$9:$BI$508,$BI419,$CB$9:$CB$508,$CB419,$CD$9:$CD$508,"&lt;"&amp;$CD419)+COUNTIFS($BI$9:$BI$508,$BI419,$CB$9:$CB$508,$CB419,$CD$9:$CD$508,$CD419,$CF$9:$CF$508,"&lt;"&amp;$CF419)+1))</f>
        <v/>
      </c>
      <c r="CH419" s="74" t="str">
        <f aca="false">IF(ISBLANK($C419),"",IF($BH419&lt;&gt;Constants!$B$4,$BH419,$CC419-$CG419))</f>
        <v/>
      </c>
      <c r="CI419" s="74" t="str">
        <f aca="false">IF(ISBLANK($C419),"",IF(NOT($AJ419),"",IF(ISBLANK($D$7),$CI$5,IF(NOT(ISNUMBER($D$7)),$CI$6,""))))</f>
        <v/>
      </c>
      <c r="CJ419" s="74" t="str">
        <f aca="false">IF(ISBLANK($C419),"",OR($AL419="",$AM419="",$AN419=""))</f>
        <v/>
      </c>
      <c r="CK419" s="74" t="str">
        <f aca="false">IF(ISBLANK($C419),"",AND($AJ419,$AX419=""))</f>
        <v/>
      </c>
      <c r="CL419" s="74" t="str">
        <f aca="false">IF(ISBLANK($C419),"",AND($AJ419,$AY419=""))</f>
        <v/>
      </c>
      <c r="CM419" s="74" t="str">
        <f aca="false">IF(ISBLANK($C419),"",AND($AJ419,$AZ419=""))</f>
        <v/>
      </c>
      <c r="CN419" s="74" t="str">
        <f aca="false">IF(ISBLANK($C419),"",AND($AJ419,$BC419=""))</f>
        <v/>
      </c>
      <c r="CO419" s="74" t="str">
        <f aca="false">IF(ISBLANK($C419),"",AND($AJ419,$BF419=""))</f>
        <v/>
      </c>
      <c r="CP419" s="75"/>
      <c r="CQ419" s="76"/>
      <c r="CR419" s="79" t="str">
        <f aca="false">IF(ISBLANK($C419),"",IF($BH419=Constants!$B$8,$CI419,""))</f>
        <v/>
      </c>
      <c r="CS419" s="76" t="str">
        <f aca="false">IF(ISBLANK($C419),"",IF($BH419&lt;&gt;Constants!$B$4,"",$BK419+$BL419))</f>
        <v/>
      </c>
      <c r="CT419" s="78" t="str">
        <f aca="false">IF(ISBLANK($C419),"",IF($BH419&lt;&gt;Constants!$B$4,"",$BM419+$BN419+$BO419))</f>
        <v/>
      </c>
      <c r="CU419" s="78" t="str">
        <f aca="false">IF(ISBLANK($C419),"",IF($BH419&lt;&gt;Constants!$B$4,"",$BP419))</f>
        <v/>
      </c>
      <c r="CV419" s="78" t="str">
        <f aca="false">IF(ISBLANK($C419),"",IF($BH419&lt;&gt;Constants!$B$4,"",$BQ419+$BR419))</f>
        <v/>
      </c>
      <c r="CW419" s="78" t="str">
        <f aca="false">IF(ISBLANK($C419),"",IF($BH419&lt;&gt;Constants!$B$4,"",$BS419))</f>
        <v/>
      </c>
      <c r="CX419" s="78" t="str">
        <f aca="false">IF(ISBLANK($C419),"",IF($BH419&lt;&gt;Constants!$B$4,"",-$BZ419))</f>
        <v/>
      </c>
      <c r="CY419" s="79" t="str">
        <f aca="false">IF(ISBLANK($C419),"",$CA419)</f>
        <v/>
      </c>
      <c r="CZ419" s="80" t="str">
        <f aca="false">IF(ISBLANK($C419),"",$BI419)</f>
        <v/>
      </c>
      <c r="DA419" s="78" t="str">
        <f aca="false">IF(ISBLANK($C419),"",$CH419)</f>
        <v/>
      </c>
      <c r="DB419" s="78" t="str">
        <f aca="false">IF(ISBLANK($C419),"",$CG419)</f>
        <v/>
      </c>
      <c r="DC419" s="81" t="str">
        <f aca="false">IF(ISBLANK($C419),"",IFERROR(_xlfn.SWITCH($DB419,Constants!$B$7,COUNTA($C$9:$C$508)+2,Constants!$B$6,COUNTA($C$9:$C$508)+1,Constants!$B$5,COUNTA($C$9:$C$508)),$DB419))</f>
        <v/>
      </c>
      <c r="DD419" s="7"/>
      <c r="DE419" s="82" t="n">
        <f aca="false">IF(OR(ISNUMBER($DB419),$DB419=Constants!$B$7,$DB419=Constants!$B$5,$DB419=Constants!$B$6),1,0)</f>
        <v>0</v>
      </c>
      <c r="DF419" s="82" t="n">
        <v>411</v>
      </c>
      <c r="DG419" s="82" t="str">
        <f aca="false">IF(ISBLANK($C419),"",IF(ISNUMBER($DC419),$DC419+ROW($B419)/1000,""))</f>
        <v/>
      </c>
      <c r="DH419" s="82" t="str">
        <f aca="false">IF(ISNUMBER($DG419),RANK($DG419,$DG$9:$DG$508,1),"")</f>
        <v/>
      </c>
      <c r="DI419" s="82" t="str">
        <f aca="false">IF(ISBLANK($C419),"",$B419)</f>
        <v/>
      </c>
      <c r="DJ419" s="82" t="str">
        <f aca="false">IF(ISBLANK($C419),"",$C419)</f>
        <v/>
      </c>
      <c r="DK419" s="82" t="str">
        <f aca="false">IF(ISBLANK($C419),"",$D419)</f>
        <v/>
      </c>
      <c r="DL419" s="83" t="str">
        <f aca="false">$CZ419</f>
        <v/>
      </c>
      <c r="DM419" s="84" t="str">
        <f aca="false">$CY419</f>
        <v/>
      </c>
      <c r="DN419" s="82" t="str">
        <f aca="false">IF(ISBLANK($C419),"",$DB419)</f>
        <v/>
      </c>
      <c r="DO419" s="85" t="str">
        <f aca="false">IF($DF419&gt;$DE$8,"",VLOOKUP($DF419,$DH$9:$DN$508,7,FALSE()))</f>
        <v/>
      </c>
      <c r="DP419" s="86" t="str">
        <f aca="false">IF($DF419&gt;$DE$8,"",VLOOKUP($DF419,$DH$9:$DN$508,2,FALSE()))</f>
        <v/>
      </c>
      <c r="DQ419" s="86" t="str">
        <f aca="false">IF($DF419&gt;$DE$8,"",VLOOKUP($DF419,$DH$9:$DN$508,3,FALSE()))</f>
        <v/>
      </c>
      <c r="DR419" s="86" t="str">
        <f aca="false">IF($DF419&gt;$DE$8,"",VLOOKUP($DF419,$DH$9:$DN$508,4,FALSE()))</f>
        <v/>
      </c>
      <c r="DS419" s="86" t="str">
        <f aca="false">IF($DF419&gt;$DE$8,"",VLOOKUP($DF419,$DH$9:$DN$508,5,FALSE()))</f>
        <v/>
      </c>
      <c r="DT419" s="87" t="str">
        <f aca="false">IF($DF419&gt;$DE$8,"",VLOOKUP($DF419,$DH$9:$DN$508,6,FALSE()))</f>
        <v/>
      </c>
      <c r="DU419" s="62"/>
    </row>
    <row r="420" customFormat="false" ht="15.75" hidden="false" customHeight="false" outlineLevel="0" collapsed="false">
      <c r="A420" s="7"/>
      <c r="B420" s="90"/>
      <c r="C420" s="91"/>
      <c r="D420" s="126"/>
      <c r="E420" s="130"/>
      <c r="F420" s="135"/>
      <c r="G420" s="130"/>
      <c r="H420" s="135"/>
      <c r="I420" s="131"/>
      <c r="J420" s="131"/>
      <c r="K420" s="131"/>
      <c r="L420" s="130"/>
      <c r="M420" s="130"/>
      <c r="N420" s="130"/>
      <c r="O420" s="135"/>
      <c r="P420" s="130"/>
      <c r="Q420" s="130"/>
      <c r="R420" s="130"/>
      <c r="S420" s="130"/>
      <c r="T420" s="135"/>
      <c r="U420" s="130"/>
      <c r="V420" s="96"/>
      <c r="W420" s="130"/>
      <c r="X420" s="130"/>
      <c r="Y420" s="96"/>
      <c r="Z420" s="96"/>
      <c r="AA420" s="130"/>
      <c r="AB420" s="130"/>
      <c r="AC420" s="97"/>
      <c r="AD420" s="130"/>
      <c r="AE420" s="99"/>
      <c r="AF420" s="100"/>
      <c r="AG420" s="100"/>
      <c r="AH420" s="100" t="str">
        <f aca="false">IF(ISBLANK($C420),"",IF($E420=Constants!$B$2,TRUE(),IF($E420=Constants!$B$3,FALSE(),TRUE())))</f>
        <v/>
      </c>
      <c r="AI420" s="100" t="str">
        <f aca="false">IF(ISBLANK($C420),"",IF($F420=Constants!$B$2,TRUE(),IF($F420=Constants!$B$3,FALSE(),FALSE())))</f>
        <v/>
      </c>
      <c r="AJ420" s="100" t="str">
        <f aca="false">IF(ISBLANK($C420),"",IF($G420=Constants!$B$2,TRUE(),IF($G420=Constants!$B$3,FALSE(),TRUE())))</f>
        <v/>
      </c>
      <c r="AK420" s="100" t="str">
        <f aca="false">IF(ISBLANK($C420),"",IF($H420=Constants!$B$2,TRUE(),IF($H420=Constants!$B$3,FALSE(),TRUE())))</f>
        <v/>
      </c>
      <c r="AL420" s="100" t="str">
        <f aca="false">IF(ISBLANK($C420),"",IF(ISNUMBER($I420),IF($I420&gt;=0,$I420,""),""))</f>
        <v/>
      </c>
      <c r="AM420" s="100" t="str">
        <f aca="false">IF(ISBLANK($C420),"",IF(ISNUMBER($J420),IF($J420&gt;=0,$J420,""),""))</f>
        <v/>
      </c>
      <c r="AN420" s="100" t="str">
        <f aca="false">IF(ISBLANK($C420),"",IF(ISNUMBER($K420),IF($K420&gt;=0,$K420,""),""))</f>
        <v/>
      </c>
      <c r="AO420" s="100" t="str">
        <f aca="false">IF(ISBLANK($C420),"",IF($L420=Constants!$B$2,TRUE(),IF($L420=Constants!$B$3,FALSE(),TRUE())))</f>
        <v/>
      </c>
      <c r="AP420" s="100" t="str">
        <f aca="false">IF(ISBLANK($C420),"",IF($M420=Constants!$B$2,TRUE(),IF($M420=Constants!$B$3,FALSE(),TRUE())))</f>
        <v/>
      </c>
      <c r="AQ420" s="100" t="str">
        <f aca="false">IF(ISBLANK($C420),"",IF($N420=Constants!$B$2,TRUE(),IF($N420=Constants!$B$3,FALSE(),FALSE())))</f>
        <v/>
      </c>
      <c r="AR420" s="100" t="str">
        <f aca="false">IF(ISBLANK($C420),"",IF($O420=Constants!$B$2,TRUE(),IF($O420=Constants!$B$3,FALSE(),TRUE())))</f>
        <v/>
      </c>
      <c r="AS420" s="100" t="str">
        <f aca="false">IF(ISBLANK($C420),"",IF($P420=Constants!$B$2,TRUE(),IF($P420=Constants!$B$3,FALSE(),FALSE())))</f>
        <v/>
      </c>
      <c r="AT420" s="100" t="str">
        <f aca="false">IF(ISBLANK($C420),"",IF($Q420=Constants!$B$2,TRUE(),IF($Q420=Constants!$B$3,FALSE(),FALSE())))</f>
        <v/>
      </c>
      <c r="AU420" s="100" t="str">
        <f aca="false">IF(ISBLANK($C420),"",IF($R420=Constants!$B$2,TRUE(),IF($R420=Constants!$B$3,FALSE(),FALSE())))</f>
        <v/>
      </c>
      <c r="AV420" s="100" t="str">
        <f aca="false">IF(ISBLANK($C420),"",IF($S420=Constants!$B$2,TRUE(),IF($S420=Constants!$B$3,FALSE(),FALSE())))</f>
        <v/>
      </c>
      <c r="AW420" s="100" t="str">
        <f aca="false">IF(ISBLANK($C420),"",IF($T420=Constants!$B$2,TRUE(),IF($T420=Constants!$B$3,FALSE(),FALSE())))</f>
        <v/>
      </c>
      <c r="AX420" s="100" t="str">
        <f aca="false">IF(ISBLANK($C420),"",IF(OR($U420&amp;""="1",$U420&amp;""="2",$U420&amp;""="3",$U420&amp;""="4"),VALUE($U420&amp;""),IF($U420=Constants!$B$12,Constants!$B$12,"")))</f>
        <v/>
      </c>
      <c r="AY420" s="100" t="str">
        <f aca="false">IF(ISBLANK($C420),"",IF(ISBLANK($V420),0,IF(ISNUMBER($V420),IF(AND($V420&gt;=0,$V420&lt;=Constants!$B$21,$V420=INT($V420)),$V420,""),"")))</f>
        <v/>
      </c>
      <c r="AZ420" s="100" t="str">
        <f aca="false">IF(ISBLANK($C420),"",IF(ISBLANK($W420),0,IF(ISNUMBER($W420),IF($W420&gt;=0,$W420,""),"")))</f>
        <v/>
      </c>
      <c r="BA420" s="100" t="str">
        <f aca="false">IF(ISBLANK($C420),"",IF($X420=Constants!$B$2,TRUE(),IF($X420=Constants!$B$3,FALSE(),TRUE())))</f>
        <v/>
      </c>
      <c r="BB420" s="100" t="str">
        <f aca="false">IF(ISBLANK($C420),"",IF($Y420=Constants!$B$2,TRUE(),IF($Y420=Constants!$B$3,FALSE(),FALSE())))</f>
        <v/>
      </c>
      <c r="BC420" s="100" t="str">
        <f aca="false">IF(ISBLANK($C420),"",IF(ISBLANK($Z420),0,IF(ISNUMBER($Z420),IF(AND($Z420&gt;=0,$Z420&lt;=Constants!$B$35,$Z420=INT($Z420)),$Z420,""),"")))</f>
        <v/>
      </c>
      <c r="BD420" s="100" t="str">
        <f aca="false">IF(ISBLANK($C420),"",IF($AA420=Constants!$B$2,TRUE(),IF($AA420=Constants!$B$3,FALSE(),TRUE())))</f>
        <v/>
      </c>
      <c r="BE420" s="100" t="str">
        <f aca="false">IF(ISBLANK($C420),"",IF($AB420=Constants!$B$2,TRUE(),IF($AB420=Constants!$B$3,FALSE(),TRUE())))</f>
        <v/>
      </c>
      <c r="BF420" s="100" t="str">
        <f aca="false">IF(ISBLANK($C420),"",IF(ISNUMBER($AC420),IF($AC420&gt;=0,$AC420,""),""))</f>
        <v/>
      </c>
      <c r="BG420" s="100" t="str">
        <f aca="false">IF(ISBLANK($C420),"",IF($AD420=Constants!$B$2,TRUE(),IF($AD420=Constants!$B$3,FALSE(),FALSE())))</f>
        <v/>
      </c>
      <c r="BH420" s="99" t="str">
        <f aca="false">IF(ISBLANK($C420),"",IF($BG420,Constants!$B$7,IF(COUNTA($E420:$AC420)=0,Constants!$B$6,IF(OR(COUNTA($G420:$AC420)=0,NOT($AK420),$AQ420),Constants!$B$5,IF(OR($CI420&lt;&gt;"",$CJ420,$CK420,$CL420,$CM420,$CN420,$CO420),Constants!$B$8,Constants!$B$4)))))</f>
        <v/>
      </c>
      <c r="BI420" s="100" t="str">
        <f aca="false">IF(ISBLANK($C420),"",IF($BH420&lt;&gt;Constants!$B$4,$BH420,IF(OR(NOT($AH420),NOT($AJ420),NOT($AR420)),Constants!$B$11,IF(OR(NOT($AP420),MAX($AL420,$AM420,$AN420)&gt;Constants!$B$30),Constants!$B$10,Constants!$B$9))))</f>
        <v/>
      </c>
      <c r="BJ420" s="100" t="str">
        <f aca="false">IF($BH420&lt;&gt;Constants!$B$4,"",IF(NOT($AJ420),0,MIN(Constants!$B$35,$BC420)))</f>
        <v/>
      </c>
      <c r="BK420" s="100" t="str">
        <f aca="false">IF($BH420&lt;&gt;Constants!$B$4,"",IF(NOT($AJ420),0,IF($AT420,Constants!$B$18,IF($AS420,Constants!$B$17,0))))</f>
        <v/>
      </c>
      <c r="BL420" s="100" t="str">
        <f aca="false">IF($BH420&lt;&gt;Constants!$B$4,"",IF(NOT($AJ420),0,Constants!$B$19*($AI420+$AU420+$AV420+$AW420)))</f>
        <v/>
      </c>
      <c r="BM420" s="100" t="str">
        <f aca="false">IF($BH420&lt;&gt;Constants!$B$4,"",IF(OR(NOT($AJ420),NOT(ISNUMBER($AX420))),0,CHOOSE($AX420,Constants!$B$13,Constants!$B$14,Constants!$B$15,Constants!$B$16)))</f>
        <v/>
      </c>
      <c r="BN420" s="100" t="str">
        <f aca="false">IF($BH420&lt;&gt;Constants!$B$4,"",IF(NOT($AJ420),0,Constants!$B$20*$AY420))</f>
        <v/>
      </c>
      <c r="BO420" s="100" t="str">
        <f aca="false">IF($BH420&lt;&gt;Constants!$B$4,"",IF(AND($AJ420,$BA420,$BB420),Constants!$B$22,0))</f>
        <v/>
      </c>
      <c r="BP420" s="100" t="str">
        <f aca="false">IF($BH420&lt;&gt;Constants!$B$4,"",IF(OR(NOT($AJ420),NOT($BA420)),0,IF($BF420&gt;=2*$AF$9,0,Constants!$B$23*INT(ROUND(MIN($BF420,$AF$9),6)))))</f>
        <v/>
      </c>
      <c r="BQ420" s="100" t="str">
        <f aca="false">IF($BH420&lt;&gt;Constants!$B$4,"",IF(NOT($AJ420),0,Constants!$B$24*INT(ROUND(MIN($AZ420,$AF$9),6))))</f>
        <v/>
      </c>
      <c r="BR420" s="100" t="str">
        <f aca="false">IF($BH420&lt;&gt;Constants!$B$4,"",IF(AND($AJ420,$BJ420=0),Constants!$B$25,0))</f>
        <v/>
      </c>
      <c r="BS420" s="100" t="str">
        <f aca="false">IF($BH420&lt;&gt;Constants!$B$4,"",MIN(Constants!$B$29,MAX(0,Constants!$B$27*Constants!$B$28*INT(ROUND((Constants!$B$26-$AL420)/Constants!$B$28,6))))+MIN(Constants!$B$29,MAX(0,Constants!$B$27*Constants!$B$28*INT(ROUND((Constants!$B$26-$AM420)/Constants!$B$28,6))))+MIN(Constants!$B$29,MAX(0,Constants!$B$27*Constants!$B$28*INT(ROUND((Constants!$B$26-$AN420)/Constants!$B$28,6)))))</f>
        <v/>
      </c>
      <c r="BT420" s="100" t="str">
        <f aca="false">IF($BH420&lt;&gt;Constants!$B$4,"",IF(NOT($AJ420),0,Constants!$B$31*INT(ROUND(MAX(0,MIN($BF420,2*$AF$9)-$AF$9),6))))</f>
        <v/>
      </c>
      <c r="BU420" s="100" t="str">
        <f aca="false">IF($BH420&lt;&gt;Constants!$B$4,"",Constants!$B$32*(($AL420&gt;Constants!$B$26)+($AM420&gt;Constants!$B$26)+($AN420&gt;Constants!$B$26)))</f>
        <v/>
      </c>
      <c r="BV420" s="100" t="str">
        <f aca="false">IF($BH420&lt;&gt;Constants!$B$4,"",IF(OR(NOT($AJ420),$AO420),0,Constants!$B$33))</f>
        <v/>
      </c>
      <c r="BW420" s="100" t="str">
        <f aca="false">IF($BH420&lt;&gt;Constants!$B$4,"",Constants!$B$34*$BJ420)</f>
        <v/>
      </c>
      <c r="BX420" s="100" t="str">
        <f aca="false">IF($BH420&lt;&gt;Constants!$B$4,"",IF(OR(NOT($AJ420),$BE420),0,Constants!$B$36))</f>
        <v/>
      </c>
      <c r="BY420" s="100" t="str">
        <f aca="false">IF($BH420&lt;&gt;Constants!$B$4,"",IF(OR(NOT($AJ420),$BD420),0,Constants!$B$37))</f>
        <v/>
      </c>
      <c r="BZ420" s="100" t="str">
        <f aca="false">IF($BH420&lt;&gt;Constants!$B$4,"",SUM($BT420:$BY420))</f>
        <v/>
      </c>
      <c r="CA420" s="100" t="str">
        <f aca="false">IF(ISBLANK($C420),"",IF($BH420&lt;&gt;Constants!$B$4,$BH420,SUM($BK420:$BS420)-$BZ420))</f>
        <v/>
      </c>
      <c r="CB420" s="100" t="str">
        <f aca="false">IF(ISBLANK($C420),"",IF($BH420&lt;&gt;Constants!$B$4,$BH420,RANK($CA420,$CA$9:$CA$508)))</f>
        <v/>
      </c>
      <c r="CC420" s="100" t="str">
        <f aca="false">IF(ISBLANK($C420),"",IF($BH420&lt;&gt;Constants!$B$4,$BH420,COUNTIFS($BI$9:$BI$508,"&lt;"&amp;$BI420)+COUNTIFS($BI$9:$BI$508,$BI420,$CB$9:$CB$508,"&lt;"&amp;$CB420)+1))</f>
        <v/>
      </c>
      <c r="CD420" s="100" t="str">
        <f aca="false">IF(ISBLANK($C420),"",IF($BH420&lt;&gt;Constants!$B$4,$BH420,RANK($BZ420,$BZ$9:$BZ$508,1)))</f>
        <v/>
      </c>
      <c r="CE420" s="100" t="str">
        <f aca="false">IF($BH420&lt;&gt;Constants!$B$4,"",$AL420+$AM420+$AN420)</f>
        <v/>
      </c>
      <c r="CF420" s="100" t="str">
        <f aca="false">IF(ISBLANK($C420),"",IF($BH420&lt;&gt;Constants!$B$4,$BH420,RANK($CE420,$CE$9:$CE$508,1)))</f>
        <v/>
      </c>
      <c r="CG420" s="100" t="str">
        <f aca="false">IF(ISBLANK($C420),"",IF($BH420&lt;&gt;Constants!$B$4,$BH420,COUNTIFS($BI$9:$BI$508,"&lt;"&amp;$BI420)+COUNTIFS($BI$9:$BI$508,$BI420,$CB$9:$CB$508,"&lt;"&amp;$CB420)+COUNTIFS($BI$9:$BI$508,$BI420,$CB$9:$CB$508,$CB420,$CD$9:$CD$508,"&lt;"&amp;$CD420)+COUNTIFS($BI$9:$BI$508,$BI420,$CB$9:$CB$508,$CB420,$CD$9:$CD$508,$CD420,$CF$9:$CF$508,"&lt;"&amp;$CF420)+1))</f>
        <v/>
      </c>
      <c r="CH420" s="100" t="str">
        <f aca="false">IF(ISBLANK($C420),"",IF($BH420&lt;&gt;Constants!$B$4,$BH420,$CC420-$CG420))</f>
        <v/>
      </c>
      <c r="CI420" s="100" t="str">
        <f aca="false">IF(ISBLANK($C420),"",IF(NOT($AJ420),"",IF(ISBLANK($D$7),$CI$5,IF(NOT(ISNUMBER($D$7)),$CI$6,""))))</f>
        <v/>
      </c>
      <c r="CJ420" s="100" t="str">
        <f aca="false">IF(ISBLANK($C420),"",OR($AL420="",$AM420="",$AN420=""))</f>
        <v/>
      </c>
      <c r="CK420" s="100" t="str">
        <f aca="false">IF(ISBLANK($C420),"",AND($AJ420,$AX420=""))</f>
        <v/>
      </c>
      <c r="CL420" s="100" t="str">
        <f aca="false">IF(ISBLANK($C420),"",AND($AJ420,$AY420=""))</f>
        <v/>
      </c>
      <c r="CM420" s="100" t="str">
        <f aca="false">IF(ISBLANK($C420),"",AND($AJ420,$AZ420=""))</f>
        <v/>
      </c>
      <c r="CN420" s="100" t="str">
        <f aca="false">IF(ISBLANK($C420),"",AND($AJ420,$BC420=""))</f>
        <v/>
      </c>
      <c r="CO420" s="100" t="str">
        <f aca="false">IF(ISBLANK($C420),"",AND($AJ420,$BF420=""))</f>
        <v/>
      </c>
      <c r="CP420" s="101"/>
      <c r="CQ420" s="102"/>
      <c r="CR420" s="103" t="str">
        <f aca="false">IF(ISBLANK($C420),"",IF($BH420=Constants!$B$8,$CI420,""))</f>
        <v/>
      </c>
      <c r="CS420" s="102" t="str">
        <f aca="false">IF(ISBLANK($C420),"",IF($BH420&lt;&gt;Constants!$B$4,"",$BK420+$BL420))</f>
        <v/>
      </c>
      <c r="CT420" s="104" t="str">
        <f aca="false">IF(ISBLANK($C420),"",IF($BH420&lt;&gt;Constants!$B$4,"",$BM420+$BN420+$BO420))</f>
        <v/>
      </c>
      <c r="CU420" s="104" t="str">
        <f aca="false">IF(ISBLANK($C420),"",IF($BH420&lt;&gt;Constants!$B$4,"",$BP420))</f>
        <v/>
      </c>
      <c r="CV420" s="104" t="str">
        <f aca="false">IF(ISBLANK($C420),"",IF($BH420&lt;&gt;Constants!$B$4,"",$BQ420+$BR420))</f>
        <v/>
      </c>
      <c r="CW420" s="104" t="str">
        <f aca="false">IF(ISBLANK($C420),"",IF($BH420&lt;&gt;Constants!$B$4,"",$BS420))</f>
        <v/>
      </c>
      <c r="CX420" s="104" t="str">
        <f aca="false">IF(ISBLANK($C420),"",IF($BH420&lt;&gt;Constants!$B$4,"",-$BZ420))</f>
        <v/>
      </c>
      <c r="CY420" s="103" t="str">
        <f aca="false">IF(ISBLANK($C420),"",$CA420)</f>
        <v/>
      </c>
      <c r="CZ420" s="105" t="str">
        <f aca="false">IF(ISBLANK($C420),"",$BI420)</f>
        <v/>
      </c>
      <c r="DA420" s="104" t="str">
        <f aca="false">IF(ISBLANK($C420),"",$CH420)</f>
        <v/>
      </c>
      <c r="DB420" s="104" t="str">
        <f aca="false">IF(ISBLANK($C420),"",$CG420)</f>
        <v/>
      </c>
      <c r="DC420" s="106" t="str">
        <f aca="false">IF(ISBLANK($C420),"",IFERROR(_xlfn.SWITCH($DB420,Constants!$B$7,COUNTA($C$9:$C$508)+2,Constants!$B$6,COUNTA($C$9:$C$508)+1,Constants!$B$5,COUNTA($C$9:$C$508)),$DB420))</f>
        <v/>
      </c>
      <c r="DD420" s="7"/>
      <c r="DE420" s="107" t="n">
        <f aca="false">IF(OR(ISNUMBER($DB420),$DB420=Constants!$B$7,$DB420=Constants!$B$5,$DB420=Constants!$B$6),1,0)</f>
        <v>0</v>
      </c>
      <c r="DF420" s="107" t="n">
        <v>412</v>
      </c>
      <c r="DG420" s="107" t="str">
        <f aca="false">IF(ISBLANK($C420),"",IF(ISNUMBER($DC420),$DC420+ROW($B420)/1000,""))</f>
        <v/>
      </c>
      <c r="DH420" s="107" t="str">
        <f aca="false">IF(ISNUMBER($DG420),RANK($DG420,$DG$9:$DG$508,1),"")</f>
        <v/>
      </c>
      <c r="DI420" s="107" t="str">
        <f aca="false">IF(ISBLANK($C420),"",$B420)</f>
        <v/>
      </c>
      <c r="DJ420" s="107" t="str">
        <f aca="false">IF(ISBLANK($C420),"",$C420)</f>
        <v/>
      </c>
      <c r="DK420" s="107" t="str">
        <f aca="false">IF(ISBLANK($C420),"",$D420)</f>
        <v/>
      </c>
      <c r="DL420" s="108" t="str">
        <f aca="false">$CZ420</f>
        <v/>
      </c>
      <c r="DM420" s="109" t="str">
        <f aca="false">$CY420</f>
        <v/>
      </c>
      <c r="DN420" s="107" t="str">
        <f aca="false">IF(ISBLANK($C420),"",$DB420)</f>
        <v/>
      </c>
      <c r="DO420" s="110" t="str">
        <f aca="false">IF($DF420&gt;$DE$8,"",VLOOKUP($DF420,$DH$9:$DN$508,7,FALSE()))</f>
        <v/>
      </c>
      <c r="DP420" s="111" t="str">
        <f aca="false">IF($DF420&gt;$DE$8,"",VLOOKUP($DF420,$DH$9:$DN$508,2,FALSE()))</f>
        <v/>
      </c>
      <c r="DQ420" s="111" t="str">
        <f aca="false">IF($DF420&gt;$DE$8,"",VLOOKUP($DF420,$DH$9:$DN$508,3,FALSE()))</f>
        <v/>
      </c>
      <c r="DR420" s="111" t="str">
        <f aca="false">IF($DF420&gt;$DE$8,"",VLOOKUP($DF420,$DH$9:$DN$508,4,FALSE()))</f>
        <v/>
      </c>
      <c r="DS420" s="111" t="str">
        <f aca="false">IF($DF420&gt;$DE$8,"",VLOOKUP($DF420,$DH$9:$DN$508,5,FALSE()))</f>
        <v/>
      </c>
      <c r="DT420" s="112" t="str">
        <f aca="false">IF($DF420&gt;$DE$8,"",VLOOKUP($DF420,$DH$9:$DN$508,6,FALSE()))</f>
        <v/>
      </c>
      <c r="DU420" s="62"/>
    </row>
    <row r="421" customFormat="false" ht="15.75" hidden="false" customHeight="false" outlineLevel="0" collapsed="false">
      <c r="A421" s="7"/>
      <c r="B421" s="90"/>
      <c r="C421" s="91"/>
      <c r="D421" s="126"/>
      <c r="E421" s="130"/>
      <c r="F421" s="135"/>
      <c r="G421" s="130"/>
      <c r="H421" s="135"/>
      <c r="I421" s="131"/>
      <c r="J421" s="131"/>
      <c r="K421" s="131"/>
      <c r="L421" s="130"/>
      <c r="M421" s="130"/>
      <c r="N421" s="130"/>
      <c r="O421" s="135"/>
      <c r="P421" s="130"/>
      <c r="Q421" s="130"/>
      <c r="R421" s="130"/>
      <c r="S421" s="130"/>
      <c r="T421" s="135"/>
      <c r="U421" s="130"/>
      <c r="V421" s="96"/>
      <c r="W421" s="130"/>
      <c r="X421" s="130"/>
      <c r="Y421" s="96"/>
      <c r="Z421" s="96"/>
      <c r="AA421" s="130"/>
      <c r="AB421" s="130"/>
      <c r="AC421" s="97"/>
      <c r="AD421" s="130"/>
      <c r="AE421" s="99"/>
      <c r="AF421" s="100"/>
      <c r="AG421" s="100"/>
      <c r="AH421" s="100" t="str">
        <f aca="false">IF(ISBLANK($C421),"",IF($E421=Constants!$B$2,TRUE(),IF($E421=Constants!$B$3,FALSE(),TRUE())))</f>
        <v/>
      </c>
      <c r="AI421" s="100" t="str">
        <f aca="false">IF(ISBLANK($C421),"",IF($F421=Constants!$B$2,TRUE(),IF($F421=Constants!$B$3,FALSE(),FALSE())))</f>
        <v/>
      </c>
      <c r="AJ421" s="100" t="str">
        <f aca="false">IF(ISBLANK($C421),"",IF($G421=Constants!$B$2,TRUE(),IF($G421=Constants!$B$3,FALSE(),TRUE())))</f>
        <v/>
      </c>
      <c r="AK421" s="100" t="str">
        <f aca="false">IF(ISBLANK($C421),"",IF($H421=Constants!$B$2,TRUE(),IF($H421=Constants!$B$3,FALSE(),TRUE())))</f>
        <v/>
      </c>
      <c r="AL421" s="100" t="str">
        <f aca="false">IF(ISBLANK($C421),"",IF(ISNUMBER($I421),IF($I421&gt;=0,$I421,""),""))</f>
        <v/>
      </c>
      <c r="AM421" s="100" t="str">
        <f aca="false">IF(ISBLANK($C421),"",IF(ISNUMBER($J421),IF($J421&gt;=0,$J421,""),""))</f>
        <v/>
      </c>
      <c r="AN421" s="100" t="str">
        <f aca="false">IF(ISBLANK($C421),"",IF(ISNUMBER($K421),IF($K421&gt;=0,$K421,""),""))</f>
        <v/>
      </c>
      <c r="AO421" s="100" t="str">
        <f aca="false">IF(ISBLANK($C421),"",IF($L421=Constants!$B$2,TRUE(),IF($L421=Constants!$B$3,FALSE(),TRUE())))</f>
        <v/>
      </c>
      <c r="AP421" s="100" t="str">
        <f aca="false">IF(ISBLANK($C421),"",IF($M421=Constants!$B$2,TRUE(),IF($M421=Constants!$B$3,FALSE(),TRUE())))</f>
        <v/>
      </c>
      <c r="AQ421" s="100" t="str">
        <f aca="false">IF(ISBLANK($C421),"",IF($N421=Constants!$B$2,TRUE(),IF($N421=Constants!$B$3,FALSE(),FALSE())))</f>
        <v/>
      </c>
      <c r="AR421" s="100" t="str">
        <f aca="false">IF(ISBLANK($C421),"",IF($O421=Constants!$B$2,TRUE(),IF($O421=Constants!$B$3,FALSE(),TRUE())))</f>
        <v/>
      </c>
      <c r="AS421" s="100" t="str">
        <f aca="false">IF(ISBLANK($C421),"",IF($P421=Constants!$B$2,TRUE(),IF($P421=Constants!$B$3,FALSE(),FALSE())))</f>
        <v/>
      </c>
      <c r="AT421" s="100" t="str">
        <f aca="false">IF(ISBLANK($C421),"",IF($Q421=Constants!$B$2,TRUE(),IF($Q421=Constants!$B$3,FALSE(),FALSE())))</f>
        <v/>
      </c>
      <c r="AU421" s="100" t="str">
        <f aca="false">IF(ISBLANK($C421),"",IF($R421=Constants!$B$2,TRUE(),IF($R421=Constants!$B$3,FALSE(),FALSE())))</f>
        <v/>
      </c>
      <c r="AV421" s="100" t="str">
        <f aca="false">IF(ISBLANK($C421),"",IF($S421=Constants!$B$2,TRUE(),IF($S421=Constants!$B$3,FALSE(),FALSE())))</f>
        <v/>
      </c>
      <c r="AW421" s="100" t="str">
        <f aca="false">IF(ISBLANK($C421),"",IF($T421=Constants!$B$2,TRUE(),IF($T421=Constants!$B$3,FALSE(),FALSE())))</f>
        <v/>
      </c>
      <c r="AX421" s="100" t="str">
        <f aca="false">IF(ISBLANK($C421),"",IF(OR($U421&amp;""="1",$U421&amp;""="2",$U421&amp;""="3",$U421&amp;""="4"),VALUE($U421&amp;""),IF($U421=Constants!$B$12,Constants!$B$12,"")))</f>
        <v/>
      </c>
      <c r="AY421" s="100" t="str">
        <f aca="false">IF(ISBLANK($C421),"",IF(ISBLANK($V421),0,IF(ISNUMBER($V421),IF(AND($V421&gt;=0,$V421&lt;=Constants!$B$21,$V421=INT($V421)),$V421,""),"")))</f>
        <v/>
      </c>
      <c r="AZ421" s="100" t="str">
        <f aca="false">IF(ISBLANK($C421),"",IF(ISBLANK($W421),0,IF(ISNUMBER($W421),IF($W421&gt;=0,$W421,""),"")))</f>
        <v/>
      </c>
      <c r="BA421" s="100" t="str">
        <f aca="false">IF(ISBLANK($C421),"",IF($X421=Constants!$B$2,TRUE(),IF($X421=Constants!$B$3,FALSE(),TRUE())))</f>
        <v/>
      </c>
      <c r="BB421" s="100" t="str">
        <f aca="false">IF(ISBLANK($C421),"",IF($Y421=Constants!$B$2,TRUE(),IF($Y421=Constants!$B$3,FALSE(),FALSE())))</f>
        <v/>
      </c>
      <c r="BC421" s="100" t="str">
        <f aca="false">IF(ISBLANK($C421),"",IF(ISBLANK($Z421),0,IF(ISNUMBER($Z421),IF(AND($Z421&gt;=0,$Z421&lt;=Constants!$B$35,$Z421=INT($Z421)),$Z421,""),"")))</f>
        <v/>
      </c>
      <c r="BD421" s="100" t="str">
        <f aca="false">IF(ISBLANK($C421),"",IF($AA421=Constants!$B$2,TRUE(),IF($AA421=Constants!$B$3,FALSE(),TRUE())))</f>
        <v/>
      </c>
      <c r="BE421" s="100" t="str">
        <f aca="false">IF(ISBLANK($C421),"",IF($AB421=Constants!$B$2,TRUE(),IF($AB421=Constants!$B$3,FALSE(),TRUE())))</f>
        <v/>
      </c>
      <c r="BF421" s="100" t="str">
        <f aca="false">IF(ISBLANK($C421),"",IF(ISNUMBER($AC421),IF($AC421&gt;=0,$AC421,""),""))</f>
        <v/>
      </c>
      <c r="BG421" s="100" t="str">
        <f aca="false">IF(ISBLANK($C421),"",IF($AD421=Constants!$B$2,TRUE(),IF($AD421=Constants!$B$3,FALSE(),FALSE())))</f>
        <v/>
      </c>
      <c r="BH421" s="99" t="str">
        <f aca="false">IF(ISBLANK($C421),"",IF($BG421,Constants!$B$7,IF(COUNTA($E421:$AC421)=0,Constants!$B$6,IF(OR(COUNTA($G421:$AC421)=0,NOT($AK421),$AQ421),Constants!$B$5,IF(OR($CI421&lt;&gt;"",$CJ421,$CK421,$CL421,$CM421,$CN421,$CO421),Constants!$B$8,Constants!$B$4)))))</f>
        <v/>
      </c>
      <c r="BI421" s="100" t="str">
        <f aca="false">IF(ISBLANK($C421),"",IF($BH421&lt;&gt;Constants!$B$4,$BH421,IF(OR(NOT($AH421),NOT($AJ421),NOT($AR421)),Constants!$B$11,IF(OR(NOT($AP421),MAX($AL421,$AM421,$AN421)&gt;Constants!$B$30),Constants!$B$10,Constants!$B$9))))</f>
        <v/>
      </c>
      <c r="BJ421" s="100" t="str">
        <f aca="false">IF($BH421&lt;&gt;Constants!$B$4,"",IF(NOT($AJ421),0,MIN(Constants!$B$35,$BC421)))</f>
        <v/>
      </c>
      <c r="BK421" s="100" t="str">
        <f aca="false">IF($BH421&lt;&gt;Constants!$B$4,"",IF(NOT($AJ421),0,IF($AT421,Constants!$B$18,IF($AS421,Constants!$B$17,0))))</f>
        <v/>
      </c>
      <c r="BL421" s="100" t="str">
        <f aca="false">IF($BH421&lt;&gt;Constants!$B$4,"",IF(NOT($AJ421),0,Constants!$B$19*($AI421+$AU421+$AV421+$AW421)))</f>
        <v/>
      </c>
      <c r="BM421" s="100" t="str">
        <f aca="false">IF($BH421&lt;&gt;Constants!$B$4,"",IF(OR(NOT($AJ421),NOT(ISNUMBER($AX421))),0,CHOOSE($AX421,Constants!$B$13,Constants!$B$14,Constants!$B$15,Constants!$B$16)))</f>
        <v/>
      </c>
      <c r="BN421" s="100" t="str">
        <f aca="false">IF($BH421&lt;&gt;Constants!$B$4,"",IF(NOT($AJ421),0,Constants!$B$20*$AY421))</f>
        <v/>
      </c>
      <c r="BO421" s="100" t="str">
        <f aca="false">IF($BH421&lt;&gt;Constants!$B$4,"",IF(AND($AJ421,$BA421,$BB421),Constants!$B$22,0))</f>
        <v/>
      </c>
      <c r="BP421" s="100" t="str">
        <f aca="false">IF($BH421&lt;&gt;Constants!$B$4,"",IF(OR(NOT($AJ421),NOT($BA421)),0,IF($BF421&gt;=2*$AF$9,0,Constants!$B$23*INT(ROUND(MIN($BF421,$AF$9),6)))))</f>
        <v/>
      </c>
      <c r="BQ421" s="100" t="str">
        <f aca="false">IF($BH421&lt;&gt;Constants!$B$4,"",IF(NOT($AJ421),0,Constants!$B$24*INT(ROUND(MIN($AZ421,$AF$9),6))))</f>
        <v/>
      </c>
      <c r="BR421" s="100" t="str">
        <f aca="false">IF($BH421&lt;&gt;Constants!$B$4,"",IF(AND($AJ421,$BJ421=0),Constants!$B$25,0))</f>
        <v/>
      </c>
      <c r="BS421" s="100" t="str">
        <f aca="false">IF($BH421&lt;&gt;Constants!$B$4,"",MIN(Constants!$B$29,MAX(0,Constants!$B$27*Constants!$B$28*INT(ROUND((Constants!$B$26-$AL421)/Constants!$B$28,6))))+MIN(Constants!$B$29,MAX(0,Constants!$B$27*Constants!$B$28*INT(ROUND((Constants!$B$26-$AM421)/Constants!$B$28,6))))+MIN(Constants!$B$29,MAX(0,Constants!$B$27*Constants!$B$28*INT(ROUND((Constants!$B$26-$AN421)/Constants!$B$28,6)))))</f>
        <v/>
      </c>
      <c r="BT421" s="100" t="str">
        <f aca="false">IF($BH421&lt;&gt;Constants!$B$4,"",IF(NOT($AJ421),0,Constants!$B$31*INT(ROUND(MAX(0,MIN($BF421,2*$AF$9)-$AF$9),6))))</f>
        <v/>
      </c>
      <c r="BU421" s="100" t="str">
        <f aca="false">IF($BH421&lt;&gt;Constants!$B$4,"",Constants!$B$32*(($AL421&gt;Constants!$B$26)+($AM421&gt;Constants!$B$26)+($AN421&gt;Constants!$B$26)))</f>
        <v/>
      </c>
      <c r="BV421" s="100" t="str">
        <f aca="false">IF($BH421&lt;&gt;Constants!$B$4,"",IF(OR(NOT($AJ421),$AO421),0,Constants!$B$33))</f>
        <v/>
      </c>
      <c r="BW421" s="100" t="str">
        <f aca="false">IF($BH421&lt;&gt;Constants!$B$4,"",Constants!$B$34*$BJ421)</f>
        <v/>
      </c>
      <c r="BX421" s="100" t="str">
        <f aca="false">IF($BH421&lt;&gt;Constants!$B$4,"",IF(OR(NOT($AJ421),$BE421),0,Constants!$B$36))</f>
        <v/>
      </c>
      <c r="BY421" s="100" t="str">
        <f aca="false">IF($BH421&lt;&gt;Constants!$B$4,"",IF(OR(NOT($AJ421),$BD421),0,Constants!$B$37))</f>
        <v/>
      </c>
      <c r="BZ421" s="100" t="str">
        <f aca="false">IF($BH421&lt;&gt;Constants!$B$4,"",SUM($BT421:$BY421))</f>
        <v/>
      </c>
      <c r="CA421" s="100" t="str">
        <f aca="false">IF(ISBLANK($C421),"",IF($BH421&lt;&gt;Constants!$B$4,$BH421,SUM($BK421:$BS421)-$BZ421))</f>
        <v/>
      </c>
      <c r="CB421" s="100" t="str">
        <f aca="false">IF(ISBLANK($C421),"",IF($BH421&lt;&gt;Constants!$B$4,$BH421,RANK($CA421,$CA$9:$CA$508)))</f>
        <v/>
      </c>
      <c r="CC421" s="100" t="str">
        <f aca="false">IF(ISBLANK($C421),"",IF($BH421&lt;&gt;Constants!$B$4,$BH421,COUNTIFS($BI$9:$BI$508,"&lt;"&amp;$BI421)+COUNTIFS($BI$9:$BI$508,$BI421,$CB$9:$CB$508,"&lt;"&amp;$CB421)+1))</f>
        <v/>
      </c>
      <c r="CD421" s="100" t="str">
        <f aca="false">IF(ISBLANK($C421),"",IF($BH421&lt;&gt;Constants!$B$4,$BH421,RANK($BZ421,$BZ$9:$BZ$508,1)))</f>
        <v/>
      </c>
      <c r="CE421" s="100" t="str">
        <f aca="false">IF($BH421&lt;&gt;Constants!$B$4,"",$AL421+$AM421+$AN421)</f>
        <v/>
      </c>
      <c r="CF421" s="100" t="str">
        <f aca="false">IF(ISBLANK($C421),"",IF($BH421&lt;&gt;Constants!$B$4,$BH421,RANK($CE421,$CE$9:$CE$508,1)))</f>
        <v/>
      </c>
      <c r="CG421" s="100" t="str">
        <f aca="false">IF(ISBLANK($C421),"",IF($BH421&lt;&gt;Constants!$B$4,$BH421,COUNTIFS($BI$9:$BI$508,"&lt;"&amp;$BI421)+COUNTIFS($BI$9:$BI$508,$BI421,$CB$9:$CB$508,"&lt;"&amp;$CB421)+COUNTIFS($BI$9:$BI$508,$BI421,$CB$9:$CB$508,$CB421,$CD$9:$CD$508,"&lt;"&amp;$CD421)+COUNTIFS($BI$9:$BI$508,$BI421,$CB$9:$CB$508,$CB421,$CD$9:$CD$508,$CD421,$CF$9:$CF$508,"&lt;"&amp;$CF421)+1))</f>
        <v/>
      </c>
      <c r="CH421" s="100" t="str">
        <f aca="false">IF(ISBLANK($C421),"",IF($BH421&lt;&gt;Constants!$B$4,$BH421,$CC421-$CG421))</f>
        <v/>
      </c>
      <c r="CI421" s="100" t="str">
        <f aca="false">IF(ISBLANK($C421),"",IF(NOT($AJ421),"",IF(ISBLANK($D$7),$CI$5,IF(NOT(ISNUMBER($D$7)),$CI$6,""))))</f>
        <v/>
      </c>
      <c r="CJ421" s="100" t="str">
        <f aca="false">IF(ISBLANK($C421),"",OR($AL421="",$AM421="",$AN421=""))</f>
        <v/>
      </c>
      <c r="CK421" s="100" t="str">
        <f aca="false">IF(ISBLANK($C421),"",AND($AJ421,$AX421=""))</f>
        <v/>
      </c>
      <c r="CL421" s="100" t="str">
        <f aca="false">IF(ISBLANK($C421),"",AND($AJ421,$AY421=""))</f>
        <v/>
      </c>
      <c r="CM421" s="100" t="str">
        <f aca="false">IF(ISBLANK($C421),"",AND($AJ421,$AZ421=""))</f>
        <v/>
      </c>
      <c r="CN421" s="100" t="str">
        <f aca="false">IF(ISBLANK($C421),"",AND($AJ421,$BC421=""))</f>
        <v/>
      </c>
      <c r="CO421" s="100" t="str">
        <f aca="false">IF(ISBLANK($C421),"",AND($AJ421,$BF421=""))</f>
        <v/>
      </c>
      <c r="CP421" s="101"/>
      <c r="CQ421" s="102"/>
      <c r="CR421" s="103" t="str">
        <f aca="false">IF(ISBLANK($C421),"",IF($BH421=Constants!$B$8,$CI421,""))</f>
        <v/>
      </c>
      <c r="CS421" s="102" t="str">
        <f aca="false">IF(ISBLANK($C421),"",IF($BH421&lt;&gt;Constants!$B$4,"",$BK421+$BL421))</f>
        <v/>
      </c>
      <c r="CT421" s="104" t="str">
        <f aca="false">IF(ISBLANK($C421),"",IF($BH421&lt;&gt;Constants!$B$4,"",$BM421+$BN421+$BO421))</f>
        <v/>
      </c>
      <c r="CU421" s="104" t="str">
        <f aca="false">IF(ISBLANK($C421),"",IF($BH421&lt;&gt;Constants!$B$4,"",$BP421))</f>
        <v/>
      </c>
      <c r="CV421" s="104" t="str">
        <f aca="false">IF(ISBLANK($C421),"",IF($BH421&lt;&gt;Constants!$B$4,"",$BQ421+$BR421))</f>
        <v/>
      </c>
      <c r="CW421" s="104" t="str">
        <f aca="false">IF(ISBLANK($C421),"",IF($BH421&lt;&gt;Constants!$B$4,"",$BS421))</f>
        <v/>
      </c>
      <c r="CX421" s="104" t="str">
        <f aca="false">IF(ISBLANK($C421),"",IF($BH421&lt;&gt;Constants!$B$4,"",-$BZ421))</f>
        <v/>
      </c>
      <c r="CY421" s="103" t="str">
        <f aca="false">IF(ISBLANK($C421),"",$CA421)</f>
        <v/>
      </c>
      <c r="CZ421" s="105" t="str">
        <f aca="false">IF(ISBLANK($C421),"",$BI421)</f>
        <v/>
      </c>
      <c r="DA421" s="104" t="str">
        <f aca="false">IF(ISBLANK($C421),"",$CH421)</f>
        <v/>
      </c>
      <c r="DB421" s="104" t="str">
        <f aca="false">IF(ISBLANK($C421),"",$CG421)</f>
        <v/>
      </c>
      <c r="DC421" s="106" t="str">
        <f aca="false">IF(ISBLANK($C421),"",IFERROR(_xlfn.SWITCH($DB421,Constants!$B$7,COUNTA($C$9:$C$508)+2,Constants!$B$6,COUNTA($C$9:$C$508)+1,Constants!$B$5,COUNTA($C$9:$C$508)),$DB421))</f>
        <v/>
      </c>
      <c r="DD421" s="7"/>
      <c r="DE421" s="107" t="n">
        <f aca="false">IF(OR(ISNUMBER($DB421),$DB421=Constants!$B$7,$DB421=Constants!$B$5,$DB421=Constants!$B$6),1,0)</f>
        <v>0</v>
      </c>
      <c r="DF421" s="107" t="n">
        <v>413</v>
      </c>
      <c r="DG421" s="107" t="str">
        <f aca="false">IF(ISBLANK($C421),"",IF(ISNUMBER($DC421),$DC421+ROW($B421)/1000,""))</f>
        <v/>
      </c>
      <c r="DH421" s="107" t="str">
        <f aca="false">IF(ISNUMBER($DG421),RANK($DG421,$DG$9:$DG$508,1),"")</f>
        <v/>
      </c>
      <c r="DI421" s="107" t="str">
        <f aca="false">IF(ISBLANK($C421),"",$B421)</f>
        <v/>
      </c>
      <c r="DJ421" s="107" t="str">
        <f aca="false">IF(ISBLANK($C421),"",$C421)</f>
        <v/>
      </c>
      <c r="DK421" s="107" t="str">
        <f aca="false">IF(ISBLANK($C421),"",$D421)</f>
        <v/>
      </c>
      <c r="DL421" s="108" t="str">
        <f aca="false">$CZ421</f>
        <v/>
      </c>
      <c r="DM421" s="109" t="str">
        <f aca="false">$CY421</f>
        <v/>
      </c>
      <c r="DN421" s="107" t="str">
        <f aca="false">IF(ISBLANK($C421),"",$DB421)</f>
        <v/>
      </c>
      <c r="DO421" s="110" t="str">
        <f aca="false">IF($DF421&gt;$DE$8,"",VLOOKUP($DF421,$DH$9:$DN$508,7,FALSE()))</f>
        <v/>
      </c>
      <c r="DP421" s="111" t="str">
        <f aca="false">IF($DF421&gt;$DE$8,"",VLOOKUP($DF421,$DH$9:$DN$508,2,FALSE()))</f>
        <v/>
      </c>
      <c r="DQ421" s="111" t="str">
        <f aca="false">IF($DF421&gt;$DE$8,"",VLOOKUP($DF421,$DH$9:$DN$508,3,FALSE()))</f>
        <v/>
      </c>
      <c r="DR421" s="111" t="str">
        <f aca="false">IF($DF421&gt;$DE$8,"",VLOOKUP($DF421,$DH$9:$DN$508,4,FALSE()))</f>
        <v/>
      </c>
      <c r="DS421" s="111" t="str">
        <f aca="false">IF($DF421&gt;$DE$8,"",VLOOKUP($DF421,$DH$9:$DN$508,5,FALSE()))</f>
        <v/>
      </c>
      <c r="DT421" s="112" t="str">
        <f aca="false">IF($DF421&gt;$DE$8,"",VLOOKUP($DF421,$DH$9:$DN$508,6,FALSE()))</f>
        <v/>
      </c>
      <c r="DU421" s="62"/>
    </row>
    <row r="422" customFormat="false" ht="15.75" hidden="false" customHeight="false" outlineLevel="0" collapsed="false">
      <c r="A422" s="7"/>
      <c r="B422" s="90"/>
      <c r="C422" s="91"/>
      <c r="D422" s="126"/>
      <c r="E422" s="130"/>
      <c r="F422" s="135"/>
      <c r="G422" s="130"/>
      <c r="H422" s="135"/>
      <c r="I422" s="131"/>
      <c r="J422" s="131"/>
      <c r="K422" s="131"/>
      <c r="L422" s="130"/>
      <c r="M422" s="130"/>
      <c r="N422" s="130"/>
      <c r="O422" s="135"/>
      <c r="P422" s="130"/>
      <c r="Q422" s="130"/>
      <c r="R422" s="130"/>
      <c r="S422" s="130"/>
      <c r="T422" s="135"/>
      <c r="U422" s="130"/>
      <c r="V422" s="96"/>
      <c r="W422" s="130"/>
      <c r="X422" s="130"/>
      <c r="Y422" s="96"/>
      <c r="Z422" s="96"/>
      <c r="AA422" s="130"/>
      <c r="AB422" s="130"/>
      <c r="AC422" s="97"/>
      <c r="AD422" s="130"/>
      <c r="AE422" s="99"/>
      <c r="AF422" s="100"/>
      <c r="AG422" s="100"/>
      <c r="AH422" s="100" t="str">
        <f aca="false">IF(ISBLANK($C422),"",IF($E422=Constants!$B$2,TRUE(),IF($E422=Constants!$B$3,FALSE(),TRUE())))</f>
        <v/>
      </c>
      <c r="AI422" s="100" t="str">
        <f aca="false">IF(ISBLANK($C422),"",IF($F422=Constants!$B$2,TRUE(),IF($F422=Constants!$B$3,FALSE(),FALSE())))</f>
        <v/>
      </c>
      <c r="AJ422" s="100" t="str">
        <f aca="false">IF(ISBLANK($C422),"",IF($G422=Constants!$B$2,TRUE(),IF($G422=Constants!$B$3,FALSE(),TRUE())))</f>
        <v/>
      </c>
      <c r="AK422" s="100" t="str">
        <f aca="false">IF(ISBLANK($C422),"",IF($H422=Constants!$B$2,TRUE(),IF($H422=Constants!$B$3,FALSE(),TRUE())))</f>
        <v/>
      </c>
      <c r="AL422" s="100" t="str">
        <f aca="false">IF(ISBLANK($C422),"",IF(ISNUMBER($I422),IF($I422&gt;=0,$I422,""),""))</f>
        <v/>
      </c>
      <c r="AM422" s="100" t="str">
        <f aca="false">IF(ISBLANK($C422),"",IF(ISNUMBER($J422),IF($J422&gt;=0,$J422,""),""))</f>
        <v/>
      </c>
      <c r="AN422" s="100" t="str">
        <f aca="false">IF(ISBLANK($C422),"",IF(ISNUMBER($K422),IF($K422&gt;=0,$K422,""),""))</f>
        <v/>
      </c>
      <c r="AO422" s="100" t="str">
        <f aca="false">IF(ISBLANK($C422),"",IF($L422=Constants!$B$2,TRUE(),IF($L422=Constants!$B$3,FALSE(),TRUE())))</f>
        <v/>
      </c>
      <c r="AP422" s="100" t="str">
        <f aca="false">IF(ISBLANK($C422),"",IF($M422=Constants!$B$2,TRUE(),IF($M422=Constants!$B$3,FALSE(),TRUE())))</f>
        <v/>
      </c>
      <c r="AQ422" s="100" t="str">
        <f aca="false">IF(ISBLANK($C422),"",IF($N422=Constants!$B$2,TRUE(),IF($N422=Constants!$B$3,FALSE(),FALSE())))</f>
        <v/>
      </c>
      <c r="AR422" s="100" t="str">
        <f aca="false">IF(ISBLANK($C422),"",IF($O422=Constants!$B$2,TRUE(),IF($O422=Constants!$B$3,FALSE(),TRUE())))</f>
        <v/>
      </c>
      <c r="AS422" s="100" t="str">
        <f aca="false">IF(ISBLANK($C422),"",IF($P422=Constants!$B$2,TRUE(),IF($P422=Constants!$B$3,FALSE(),FALSE())))</f>
        <v/>
      </c>
      <c r="AT422" s="100" t="str">
        <f aca="false">IF(ISBLANK($C422),"",IF($Q422=Constants!$B$2,TRUE(),IF($Q422=Constants!$B$3,FALSE(),FALSE())))</f>
        <v/>
      </c>
      <c r="AU422" s="100" t="str">
        <f aca="false">IF(ISBLANK($C422),"",IF($R422=Constants!$B$2,TRUE(),IF($R422=Constants!$B$3,FALSE(),FALSE())))</f>
        <v/>
      </c>
      <c r="AV422" s="100" t="str">
        <f aca="false">IF(ISBLANK($C422),"",IF($S422=Constants!$B$2,TRUE(),IF($S422=Constants!$B$3,FALSE(),FALSE())))</f>
        <v/>
      </c>
      <c r="AW422" s="100" t="str">
        <f aca="false">IF(ISBLANK($C422),"",IF($T422=Constants!$B$2,TRUE(),IF($T422=Constants!$B$3,FALSE(),FALSE())))</f>
        <v/>
      </c>
      <c r="AX422" s="100" t="str">
        <f aca="false">IF(ISBLANK($C422),"",IF(OR($U422&amp;""="1",$U422&amp;""="2",$U422&amp;""="3",$U422&amp;""="4"),VALUE($U422&amp;""),IF($U422=Constants!$B$12,Constants!$B$12,"")))</f>
        <v/>
      </c>
      <c r="AY422" s="100" t="str">
        <f aca="false">IF(ISBLANK($C422),"",IF(ISBLANK($V422),0,IF(ISNUMBER($V422),IF(AND($V422&gt;=0,$V422&lt;=Constants!$B$21,$V422=INT($V422)),$V422,""),"")))</f>
        <v/>
      </c>
      <c r="AZ422" s="100" t="str">
        <f aca="false">IF(ISBLANK($C422),"",IF(ISBLANK($W422),0,IF(ISNUMBER($W422),IF($W422&gt;=0,$W422,""),"")))</f>
        <v/>
      </c>
      <c r="BA422" s="100" t="str">
        <f aca="false">IF(ISBLANK($C422),"",IF($X422=Constants!$B$2,TRUE(),IF($X422=Constants!$B$3,FALSE(),TRUE())))</f>
        <v/>
      </c>
      <c r="BB422" s="100" t="str">
        <f aca="false">IF(ISBLANK($C422),"",IF($Y422=Constants!$B$2,TRUE(),IF($Y422=Constants!$B$3,FALSE(),FALSE())))</f>
        <v/>
      </c>
      <c r="BC422" s="100" t="str">
        <f aca="false">IF(ISBLANK($C422),"",IF(ISBLANK($Z422),0,IF(ISNUMBER($Z422),IF(AND($Z422&gt;=0,$Z422&lt;=Constants!$B$35,$Z422=INT($Z422)),$Z422,""),"")))</f>
        <v/>
      </c>
      <c r="BD422" s="100" t="str">
        <f aca="false">IF(ISBLANK($C422),"",IF($AA422=Constants!$B$2,TRUE(),IF($AA422=Constants!$B$3,FALSE(),TRUE())))</f>
        <v/>
      </c>
      <c r="BE422" s="100" t="str">
        <f aca="false">IF(ISBLANK($C422),"",IF($AB422=Constants!$B$2,TRUE(),IF($AB422=Constants!$B$3,FALSE(),TRUE())))</f>
        <v/>
      </c>
      <c r="BF422" s="100" t="str">
        <f aca="false">IF(ISBLANK($C422),"",IF(ISNUMBER($AC422),IF($AC422&gt;=0,$AC422,""),""))</f>
        <v/>
      </c>
      <c r="BG422" s="100" t="str">
        <f aca="false">IF(ISBLANK($C422),"",IF($AD422=Constants!$B$2,TRUE(),IF($AD422=Constants!$B$3,FALSE(),FALSE())))</f>
        <v/>
      </c>
      <c r="BH422" s="99" t="str">
        <f aca="false">IF(ISBLANK($C422),"",IF($BG422,Constants!$B$7,IF(COUNTA($E422:$AC422)=0,Constants!$B$6,IF(OR(COUNTA($G422:$AC422)=0,NOT($AK422),$AQ422),Constants!$B$5,IF(OR($CI422&lt;&gt;"",$CJ422,$CK422,$CL422,$CM422,$CN422,$CO422),Constants!$B$8,Constants!$B$4)))))</f>
        <v/>
      </c>
      <c r="BI422" s="100" t="str">
        <f aca="false">IF(ISBLANK($C422),"",IF($BH422&lt;&gt;Constants!$B$4,$BH422,IF(OR(NOT($AH422),NOT($AJ422),NOT($AR422)),Constants!$B$11,IF(OR(NOT($AP422),MAX($AL422,$AM422,$AN422)&gt;Constants!$B$30),Constants!$B$10,Constants!$B$9))))</f>
        <v/>
      </c>
      <c r="BJ422" s="100" t="str">
        <f aca="false">IF($BH422&lt;&gt;Constants!$B$4,"",IF(NOT($AJ422),0,MIN(Constants!$B$35,$BC422)))</f>
        <v/>
      </c>
      <c r="BK422" s="100" t="str">
        <f aca="false">IF($BH422&lt;&gt;Constants!$B$4,"",IF(NOT($AJ422),0,IF($AT422,Constants!$B$18,IF($AS422,Constants!$B$17,0))))</f>
        <v/>
      </c>
      <c r="BL422" s="100" t="str">
        <f aca="false">IF($BH422&lt;&gt;Constants!$B$4,"",IF(NOT($AJ422),0,Constants!$B$19*($AI422+$AU422+$AV422+$AW422)))</f>
        <v/>
      </c>
      <c r="BM422" s="100" t="str">
        <f aca="false">IF($BH422&lt;&gt;Constants!$B$4,"",IF(OR(NOT($AJ422),NOT(ISNUMBER($AX422))),0,CHOOSE($AX422,Constants!$B$13,Constants!$B$14,Constants!$B$15,Constants!$B$16)))</f>
        <v/>
      </c>
      <c r="BN422" s="100" t="str">
        <f aca="false">IF($BH422&lt;&gt;Constants!$B$4,"",IF(NOT($AJ422),0,Constants!$B$20*$AY422))</f>
        <v/>
      </c>
      <c r="BO422" s="100" t="str">
        <f aca="false">IF($BH422&lt;&gt;Constants!$B$4,"",IF(AND($AJ422,$BA422,$BB422),Constants!$B$22,0))</f>
        <v/>
      </c>
      <c r="BP422" s="100" t="str">
        <f aca="false">IF($BH422&lt;&gt;Constants!$B$4,"",IF(OR(NOT($AJ422),NOT($BA422)),0,IF($BF422&gt;=2*$AF$9,0,Constants!$B$23*INT(ROUND(MIN($BF422,$AF$9),6)))))</f>
        <v/>
      </c>
      <c r="BQ422" s="100" t="str">
        <f aca="false">IF($BH422&lt;&gt;Constants!$B$4,"",IF(NOT($AJ422),0,Constants!$B$24*INT(ROUND(MIN($AZ422,$AF$9),6))))</f>
        <v/>
      </c>
      <c r="BR422" s="100" t="str">
        <f aca="false">IF($BH422&lt;&gt;Constants!$B$4,"",IF(AND($AJ422,$BJ422=0),Constants!$B$25,0))</f>
        <v/>
      </c>
      <c r="BS422" s="100" t="str">
        <f aca="false">IF($BH422&lt;&gt;Constants!$B$4,"",MIN(Constants!$B$29,MAX(0,Constants!$B$27*Constants!$B$28*INT(ROUND((Constants!$B$26-$AL422)/Constants!$B$28,6))))+MIN(Constants!$B$29,MAX(0,Constants!$B$27*Constants!$B$28*INT(ROUND((Constants!$B$26-$AM422)/Constants!$B$28,6))))+MIN(Constants!$B$29,MAX(0,Constants!$B$27*Constants!$B$28*INT(ROUND((Constants!$B$26-$AN422)/Constants!$B$28,6)))))</f>
        <v/>
      </c>
      <c r="BT422" s="100" t="str">
        <f aca="false">IF($BH422&lt;&gt;Constants!$B$4,"",IF(NOT($AJ422),0,Constants!$B$31*INT(ROUND(MAX(0,MIN($BF422,2*$AF$9)-$AF$9),6))))</f>
        <v/>
      </c>
      <c r="BU422" s="100" t="str">
        <f aca="false">IF($BH422&lt;&gt;Constants!$B$4,"",Constants!$B$32*(($AL422&gt;Constants!$B$26)+($AM422&gt;Constants!$B$26)+($AN422&gt;Constants!$B$26)))</f>
        <v/>
      </c>
      <c r="BV422" s="100" t="str">
        <f aca="false">IF($BH422&lt;&gt;Constants!$B$4,"",IF(OR(NOT($AJ422),$AO422),0,Constants!$B$33))</f>
        <v/>
      </c>
      <c r="BW422" s="100" t="str">
        <f aca="false">IF($BH422&lt;&gt;Constants!$B$4,"",Constants!$B$34*$BJ422)</f>
        <v/>
      </c>
      <c r="BX422" s="100" t="str">
        <f aca="false">IF($BH422&lt;&gt;Constants!$B$4,"",IF(OR(NOT($AJ422),$BE422),0,Constants!$B$36))</f>
        <v/>
      </c>
      <c r="BY422" s="100" t="str">
        <f aca="false">IF($BH422&lt;&gt;Constants!$B$4,"",IF(OR(NOT($AJ422),$BD422),0,Constants!$B$37))</f>
        <v/>
      </c>
      <c r="BZ422" s="100" t="str">
        <f aca="false">IF($BH422&lt;&gt;Constants!$B$4,"",SUM($BT422:$BY422))</f>
        <v/>
      </c>
      <c r="CA422" s="100" t="str">
        <f aca="false">IF(ISBLANK($C422),"",IF($BH422&lt;&gt;Constants!$B$4,$BH422,SUM($BK422:$BS422)-$BZ422))</f>
        <v/>
      </c>
      <c r="CB422" s="100" t="str">
        <f aca="false">IF(ISBLANK($C422),"",IF($BH422&lt;&gt;Constants!$B$4,$BH422,RANK($CA422,$CA$9:$CA$508)))</f>
        <v/>
      </c>
      <c r="CC422" s="100" t="str">
        <f aca="false">IF(ISBLANK($C422),"",IF($BH422&lt;&gt;Constants!$B$4,$BH422,COUNTIFS($BI$9:$BI$508,"&lt;"&amp;$BI422)+COUNTIFS($BI$9:$BI$508,$BI422,$CB$9:$CB$508,"&lt;"&amp;$CB422)+1))</f>
        <v/>
      </c>
      <c r="CD422" s="100" t="str">
        <f aca="false">IF(ISBLANK($C422),"",IF($BH422&lt;&gt;Constants!$B$4,$BH422,RANK($BZ422,$BZ$9:$BZ$508,1)))</f>
        <v/>
      </c>
      <c r="CE422" s="100" t="str">
        <f aca="false">IF($BH422&lt;&gt;Constants!$B$4,"",$AL422+$AM422+$AN422)</f>
        <v/>
      </c>
      <c r="CF422" s="100" t="str">
        <f aca="false">IF(ISBLANK($C422),"",IF($BH422&lt;&gt;Constants!$B$4,$BH422,RANK($CE422,$CE$9:$CE$508,1)))</f>
        <v/>
      </c>
      <c r="CG422" s="100" t="str">
        <f aca="false">IF(ISBLANK($C422),"",IF($BH422&lt;&gt;Constants!$B$4,$BH422,COUNTIFS($BI$9:$BI$508,"&lt;"&amp;$BI422)+COUNTIFS($BI$9:$BI$508,$BI422,$CB$9:$CB$508,"&lt;"&amp;$CB422)+COUNTIFS($BI$9:$BI$508,$BI422,$CB$9:$CB$508,$CB422,$CD$9:$CD$508,"&lt;"&amp;$CD422)+COUNTIFS($BI$9:$BI$508,$BI422,$CB$9:$CB$508,$CB422,$CD$9:$CD$508,$CD422,$CF$9:$CF$508,"&lt;"&amp;$CF422)+1))</f>
        <v/>
      </c>
      <c r="CH422" s="100" t="str">
        <f aca="false">IF(ISBLANK($C422),"",IF($BH422&lt;&gt;Constants!$B$4,$BH422,$CC422-$CG422))</f>
        <v/>
      </c>
      <c r="CI422" s="100" t="str">
        <f aca="false">IF(ISBLANK($C422),"",IF(NOT($AJ422),"",IF(ISBLANK($D$7),$CI$5,IF(NOT(ISNUMBER($D$7)),$CI$6,""))))</f>
        <v/>
      </c>
      <c r="CJ422" s="100" t="str">
        <f aca="false">IF(ISBLANK($C422),"",OR($AL422="",$AM422="",$AN422=""))</f>
        <v/>
      </c>
      <c r="CK422" s="100" t="str">
        <f aca="false">IF(ISBLANK($C422),"",AND($AJ422,$AX422=""))</f>
        <v/>
      </c>
      <c r="CL422" s="100" t="str">
        <f aca="false">IF(ISBLANK($C422),"",AND($AJ422,$AY422=""))</f>
        <v/>
      </c>
      <c r="CM422" s="100" t="str">
        <f aca="false">IF(ISBLANK($C422),"",AND($AJ422,$AZ422=""))</f>
        <v/>
      </c>
      <c r="CN422" s="100" t="str">
        <f aca="false">IF(ISBLANK($C422),"",AND($AJ422,$BC422=""))</f>
        <v/>
      </c>
      <c r="CO422" s="100" t="str">
        <f aca="false">IF(ISBLANK($C422),"",AND($AJ422,$BF422=""))</f>
        <v/>
      </c>
      <c r="CP422" s="101"/>
      <c r="CQ422" s="102"/>
      <c r="CR422" s="103" t="str">
        <f aca="false">IF(ISBLANK($C422),"",IF($BH422=Constants!$B$8,$CI422,""))</f>
        <v/>
      </c>
      <c r="CS422" s="102" t="str">
        <f aca="false">IF(ISBLANK($C422),"",IF($BH422&lt;&gt;Constants!$B$4,"",$BK422+$BL422))</f>
        <v/>
      </c>
      <c r="CT422" s="104" t="str">
        <f aca="false">IF(ISBLANK($C422),"",IF($BH422&lt;&gt;Constants!$B$4,"",$BM422+$BN422+$BO422))</f>
        <v/>
      </c>
      <c r="CU422" s="104" t="str">
        <f aca="false">IF(ISBLANK($C422),"",IF($BH422&lt;&gt;Constants!$B$4,"",$BP422))</f>
        <v/>
      </c>
      <c r="CV422" s="104" t="str">
        <f aca="false">IF(ISBLANK($C422),"",IF($BH422&lt;&gt;Constants!$B$4,"",$BQ422+$BR422))</f>
        <v/>
      </c>
      <c r="CW422" s="104" t="str">
        <f aca="false">IF(ISBLANK($C422),"",IF($BH422&lt;&gt;Constants!$B$4,"",$BS422))</f>
        <v/>
      </c>
      <c r="CX422" s="104" t="str">
        <f aca="false">IF(ISBLANK($C422),"",IF($BH422&lt;&gt;Constants!$B$4,"",-$BZ422))</f>
        <v/>
      </c>
      <c r="CY422" s="103" t="str">
        <f aca="false">IF(ISBLANK($C422),"",$CA422)</f>
        <v/>
      </c>
      <c r="CZ422" s="105" t="str">
        <f aca="false">IF(ISBLANK($C422),"",$BI422)</f>
        <v/>
      </c>
      <c r="DA422" s="104" t="str">
        <f aca="false">IF(ISBLANK($C422),"",$CH422)</f>
        <v/>
      </c>
      <c r="DB422" s="104" t="str">
        <f aca="false">IF(ISBLANK($C422),"",$CG422)</f>
        <v/>
      </c>
      <c r="DC422" s="106" t="str">
        <f aca="false">IF(ISBLANK($C422),"",IFERROR(_xlfn.SWITCH($DB422,Constants!$B$7,COUNTA($C$9:$C$508)+2,Constants!$B$6,COUNTA($C$9:$C$508)+1,Constants!$B$5,COUNTA($C$9:$C$508)),$DB422))</f>
        <v/>
      </c>
      <c r="DD422" s="7"/>
      <c r="DE422" s="107" t="n">
        <f aca="false">IF(OR(ISNUMBER($DB422),$DB422=Constants!$B$7,$DB422=Constants!$B$5,$DB422=Constants!$B$6),1,0)</f>
        <v>0</v>
      </c>
      <c r="DF422" s="107" t="n">
        <v>414</v>
      </c>
      <c r="DG422" s="107" t="str">
        <f aca="false">IF(ISBLANK($C422),"",IF(ISNUMBER($DC422),$DC422+ROW($B422)/1000,""))</f>
        <v/>
      </c>
      <c r="DH422" s="107" t="str">
        <f aca="false">IF(ISNUMBER($DG422),RANK($DG422,$DG$9:$DG$508,1),"")</f>
        <v/>
      </c>
      <c r="DI422" s="107" t="str">
        <f aca="false">IF(ISBLANK($C422),"",$B422)</f>
        <v/>
      </c>
      <c r="DJ422" s="107" t="str">
        <f aca="false">IF(ISBLANK($C422),"",$C422)</f>
        <v/>
      </c>
      <c r="DK422" s="107" t="str">
        <f aca="false">IF(ISBLANK($C422),"",$D422)</f>
        <v/>
      </c>
      <c r="DL422" s="108" t="str">
        <f aca="false">$CZ422</f>
        <v/>
      </c>
      <c r="DM422" s="109" t="str">
        <f aca="false">$CY422</f>
        <v/>
      </c>
      <c r="DN422" s="107" t="str">
        <f aca="false">IF(ISBLANK($C422),"",$DB422)</f>
        <v/>
      </c>
      <c r="DO422" s="110" t="str">
        <f aca="false">IF($DF422&gt;$DE$8,"",VLOOKUP($DF422,$DH$9:$DN$508,7,FALSE()))</f>
        <v/>
      </c>
      <c r="DP422" s="111" t="str">
        <f aca="false">IF($DF422&gt;$DE$8,"",VLOOKUP($DF422,$DH$9:$DN$508,2,FALSE()))</f>
        <v/>
      </c>
      <c r="DQ422" s="111" t="str">
        <f aca="false">IF($DF422&gt;$DE$8,"",VLOOKUP($DF422,$DH$9:$DN$508,3,FALSE()))</f>
        <v/>
      </c>
      <c r="DR422" s="111" t="str">
        <f aca="false">IF($DF422&gt;$DE$8,"",VLOOKUP($DF422,$DH$9:$DN$508,4,FALSE()))</f>
        <v/>
      </c>
      <c r="DS422" s="111" t="str">
        <f aca="false">IF($DF422&gt;$DE$8,"",VLOOKUP($DF422,$DH$9:$DN$508,5,FALSE()))</f>
        <v/>
      </c>
      <c r="DT422" s="112" t="str">
        <f aca="false">IF($DF422&gt;$DE$8,"",VLOOKUP($DF422,$DH$9:$DN$508,6,FALSE()))</f>
        <v/>
      </c>
      <c r="DU422" s="62"/>
    </row>
    <row r="423" customFormat="false" ht="15.75" hidden="false" customHeight="false" outlineLevel="0" collapsed="false">
      <c r="A423" s="7"/>
      <c r="B423" s="64"/>
      <c r="C423" s="65"/>
      <c r="D423" s="123"/>
      <c r="E423" s="88"/>
      <c r="F423" s="134"/>
      <c r="G423" s="88"/>
      <c r="H423" s="134"/>
      <c r="I423" s="119"/>
      <c r="J423" s="119"/>
      <c r="K423" s="119"/>
      <c r="L423" s="88"/>
      <c r="M423" s="88"/>
      <c r="N423" s="88"/>
      <c r="O423" s="134"/>
      <c r="P423" s="88"/>
      <c r="Q423" s="88"/>
      <c r="R423" s="88"/>
      <c r="S423" s="88"/>
      <c r="T423" s="134"/>
      <c r="U423" s="88"/>
      <c r="V423" s="70"/>
      <c r="W423" s="88"/>
      <c r="X423" s="88"/>
      <c r="Y423" s="70"/>
      <c r="Z423" s="70"/>
      <c r="AA423" s="88"/>
      <c r="AB423" s="88"/>
      <c r="AC423" s="71"/>
      <c r="AD423" s="88"/>
      <c r="AE423" s="73"/>
      <c r="AF423" s="74"/>
      <c r="AG423" s="74"/>
      <c r="AH423" s="74" t="str">
        <f aca="false">IF(ISBLANK($C423),"",IF($E423=Constants!$B$2,TRUE(),IF($E423=Constants!$B$3,FALSE(),TRUE())))</f>
        <v/>
      </c>
      <c r="AI423" s="74" t="str">
        <f aca="false">IF(ISBLANK($C423),"",IF($F423=Constants!$B$2,TRUE(),IF($F423=Constants!$B$3,FALSE(),FALSE())))</f>
        <v/>
      </c>
      <c r="AJ423" s="74" t="str">
        <f aca="false">IF(ISBLANK($C423),"",IF($G423=Constants!$B$2,TRUE(),IF($G423=Constants!$B$3,FALSE(),TRUE())))</f>
        <v/>
      </c>
      <c r="AK423" s="74" t="str">
        <f aca="false">IF(ISBLANK($C423),"",IF($H423=Constants!$B$2,TRUE(),IF($H423=Constants!$B$3,FALSE(),TRUE())))</f>
        <v/>
      </c>
      <c r="AL423" s="74" t="str">
        <f aca="false">IF(ISBLANK($C423),"",IF(ISNUMBER($I423),IF($I423&gt;=0,$I423,""),""))</f>
        <v/>
      </c>
      <c r="AM423" s="74" t="str">
        <f aca="false">IF(ISBLANK($C423),"",IF(ISNUMBER($J423),IF($J423&gt;=0,$J423,""),""))</f>
        <v/>
      </c>
      <c r="AN423" s="74" t="str">
        <f aca="false">IF(ISBLANK($C423),"",IF(ISNUMBER($K423),IF($K423&gt;=0,$K423,""),""))</f>
        <v/>
      </c>
      <c r="AO423" s="74" t="str">
        <f aca="false">IF(ISBLANK($C423),"",IF($L423=Constants!$B$2,TRUE(),IF($L423=Constants!$B$3,FALSE(),TRUE())))</f>
        <v/>
      </c>
      <c r="AP423" s="74" t="str">
        <f aca="false">IF(ISBLANK($C423),"",IF($M423=Constants!$B$2,TRUE(),IF($M423=Constants!$B$3,FALSE(),TRUE())))</f>
        <v/>
      </c>
      <c r="AQ423" s="74" t="str">
        <f aca="false">IF(ISBLANK($C423),"",IF($N423=Constants!$B$2,TRUE(),IF($N423=Constants!$B$3,FALSE(),FALSE())))</f>
        <v/>
      </c>
      <c r="AR423" s="74" t="str">
        <f aca="false">IF(ISBLANK($C423),"",IF($O423=Constants!$B$2,TRUE(),IF($O423=Constants!$B$3,FALSE(),TRUE())))</f>
        <v/>
      </c>
      <c r="AS423" s="74" t="str">
        <f aca="false">IF(ISBLANK($C423),"",IF($P423=Constants!$B$2,TRUE(),IF($P423=Constants!$B$3,FALSE(),FALSE())))</f>
        <v/>
      </c>
      <c r="AT423" s="74" t="str">
        <f aca="false">IF(ISBLANK($C423),"",IF($Q423=Constants!$B$2,TRUE(),IF($Q423=Constants!$B$3,FALSE(),FALSE())))</f>
        <v/>
      </c>
      <c r="AU423" s="74" t="str">
        <f aca="false">IF(ISBLANK($C423),"",IF($R423=Constants!$B$2,TRUE(),IF($R423=Constants!$B$3,FALSE(),FALSE())))</f>
        <v/>
      </c>
      <c r="AV423" s="74" t="str">
        <f aca="false">IF(ISBLANK($C423),"",IF($S423=Constants!$B$2,TRUE(),IF($S423=Constants!$B$3,FALSE(),FALSE())))</f>
        <v/>
      </c>
      <c r="AW423" s="74" t="str">
        <f aca="false">IF(ISBLANK($C423),"",IF($T423=Constants!$B$2,TRUE(),IF($T423=Constants!$B$3,FALSE(),FALSE())))</f>
        <v/>
      </c>
      <c r="AX423" s="74" t="str">
        <f aca="false">IF(ISBLANK($C423),"",IF(OR($U423&amp;""="1",$U423&amp;""="2",$U423&amp;""="3",$U423&amp;""="4"),VALUE($U423&amp;""),IF($U423=Constants!$B$12,Constants!$B$12,"")))</f>
        <v/>
      </c>
      <c r="AY423" s="74" t="str">
        <f aca="false">IF(ISBLANK($C423),"",IF(ISBLANK($V423),0,IF(ISNUMBER($V423),IF(AND($V423&gt;=0,$V423&lt;=Constants!$B$21,$V423=INT($V423)),$V423,""),"")))</f>
        <v/>
      </c>
      <c r="AZ423" s="74" t="str">
        <f aca="false">IF(ISBLANK($C423),"",IF(ISBLANK($W423),0,IF(ISNUMBER($W423),IF($W423&gt;=0,$W423,""),"")))</f>
        <v/>
      </c>
      <c r="BA423" s="74" t="str">
        <f aca="false">IF(ISBLANK($C423),"",IF($X423=Constants!$B$2,TRUE(),IF($X423=Constants!$B$3,FALSE(),TRUE())))</f>
        <v/>
      </c>
      <c r="BB423" s="74" t="str">
        <f aca="false">IF(ISBLANK($C423),"",IF($Y423=Constants!$B$2,TRUE(),IF($Y423=Constants!$B$3,FALSE(),FALSE())))</f>
        <v/>
      </c>
      <c r="BC423" s="74" t="str">
        <f aca="false">IF(ISBLANK($C423),"",IF(ISBLANK($Z423),0,IF(ISNUMBER($Z423),IF(AND($Z423&gt;=0,$Z423&lt;=Constants!$B$35,$Z423=INT($Z423)),$Z423,""),"")))</f>
        <v/>
      </c>
      <c r="BD423" s="74" t="str">
        <f aca="false">IF(ISBLANK($C423),"",IF($AA423=Constants!$B$2,TRUE(),IF($AA423=Constants!$B$3,FALSE(),TRUE())))</f>
        <v/>
      </c>
      <c r="BE423" s="74" t="str">
        <f aca="false">IF(ISBLANK($C423),"",IF($AB423=Constants!$B$2,TRUE(),IF($AB423=Constants!$B$3,FALSE(),TRUE())))</f>
        <v/>
      </c>
      <c r="BF423" s="74" t="str">
        <f aca="false">IF(ISBLANK($C423),"",IF(ISNUMBER($AC423),IF($AC423&gt;=0,$AC423,""),""))</f>
        <v/>
      </c>
      <c r="BG423" s="74" t="str">
        <f aca="false">IF(ISBLANK($C423),"",IF($AD423=Constants!$B$2,TRUE(),IF($AD423=Constants!$B$3,FALSE(),FALSE())))</f>
        <v/>
      </c>
      <c r="BH423" s="73" t="str">
        <f aca="false">IF(ISBLANK($C423),"",IF($BG423,Constants!$B$7,IF(COUNTA($E423:$AC423)=0,Constants!$B$6,IF(OR(COUNTA($G423:$AC423)=0,NOT($AK423),$AQ423),Constants!$B$5,IF(OR($CI423&lt;&gt;"",$CJ423,$CK423,$CL423,$CM423,$CN423,$CO423),Constants!$B$8,Constants!$B$4)))))</f>
        <v/>
      </c>
      <c r="BI423" s="74" t="str">
        <f aca="false">IF(ISBLANK($C423),"",IF($BH423&lt;&gt;Constants!$B$4,$BH423,IF(OR(NOT($AH423),NOT($AJ423),NOT($AR423)),Constants!$B$11,IF(OR(NOT($AP423),MAX($AL423,$AM423,$AN423)&gt;Constants!$B$30),Constants!$B$10,Constants!$B$9))))</f>
        <v/>
      </c>
      <c r="BJ423" s="74" t="str">
        <f aca="false">IF($BH423&lt;&gt;Constants!$B$4,"",IF(NOT($AJ423),0,MIN(Constants!$B$35,$BC423)))</f>
        <v/>
      </c>
      <c r="BK423" s="74" t="str">
        <f aca="false">IF($BH423&lt;&gt;Constants!$B$4,"",IF(NOT($AJ423),0,IF($AT423,Constants!$B$18,IF($AS423,Constants!$B$17,0))))</f>
        <v/>
      </c>
      <c r="BL423" s="74" t="str">
        <f aca="false">IF($BH423&lt;&gt;Constants!$B$4,"",IF(NOT($AJ423),0,Constants!$B$19*($AI423+$AU423+$AV423+$AW423)))</f>
        <v/>
      </c>
      <c r="BM423" s="74" t="str">
        <f aca="false">IF($BH423&lt;&gt;Constants!$B$4,"",IF(OR(NOT($AJ423),NOT(ISNUMBER($AX423))),0,CHOOSE($AX423,Constants!$B$13,Constants!$B$14,Constants!$B$15,Constants!$B$16)))</f>
        <v/>
      </c>
      <c r="BN423" s="74" t="str">
        <f aca="false">IF($BH423&lt;&gt;Constants!$B$4,"",IF(NOT($AJ423),0,Constants!$B$20*$AY423))</f>
        <v/>
      </c>
      <c r="BO423" s="74" t="str">
        <f aca="false">IF($BH423&lt;&gt;Constants!$B$4,"",IF(AND($AJ423,$BA423,$BB423),Constants!$B$22,0))</f>
        <v/>
      </c>
      <c r="BP423" s="74" t="str">
        <f aca="false">IF($BH423&lt;&gt;Constants!$B$4,"",IF(OR(NOT($AJ423),NOT($BA423)),0,IF($BF423&gt;=2*$AF$9,0,Constants!$B$23*INT(ROUND(MIN($BF423,$AF$9),6)))))</f>
        <v/>
      </c>
      <c r="BQ423" s="74" t="str">
        <f aca="false">IF($BH423&lt;&gt;Constants!$B$4,"",IF(NOT($AJ423),0,Constants!$B$24*INT(ROUND(MIN($AZ423,$AF$9),6))))</f>
        <v/>
      </c>
      <c r="BR423" s="74" t="str">
        <f aca="false">IF($BH423&lt;&gt;Constants!$B$4,"",IF(AND($AJ423,$BJ423=0),Constants!$B$25,0))</f>
        <v/>
      </c>
      <c r="BS423" s="74" t="str">
        <f aca="false">IF($BH423&lt;&gt;Constants!$B$4,"",MIN(Constants!$B$29,MAX(0,Constants!$B$27*Constants!$B$28*INT(ROUND((Constants!$B$26-$AL423)/Constants!$B$28,6))))+MIN(Constants!$B$29,MAX(0,Constants!$B$27*Constants!$B$28*INT(ROUND((Constants!$B$26-$AM423)/Constants!$B$28,6))))+MIN(Constants!$B$29,MAX(0,Constants!$B$27*Constants!$B$28*INT(ROUND((Constants!$B$26-$AN423)/Constants!$B$28,6)))))</f>
        <v/>
      </c>
      <c r="BT423" s="74" t="str">
        <f aca="false">IF($BH423&lt;&gt;Constants!$B$4,"",IF(NOT($AJ423),0,Constants!$B$31*INT(ROUND(MAX(0,MIN($BF423,2*$AF$9)-$AF$9),6))))</f>
        <v/>
      </c>
      <c r="BU423" s="74" t="str">
        <f aca="false">IF($BH423&lt;&gt;Constants!$B$4,"",Constants!$B$32*(($AL423&gt;Constants!$B$26)+($AM423&gt;Constants!$B$26)+($AN423&gt;Constants!$B$26)))</f>
        <v/>
      </c>
      <c r="BV423" s="74" t="str">
        <f aca="false">IF($BH423&lt;&gt;Constants!$B$4,"",IF(OR(NOT($AJ423),$AO423),0,Constants!$B$33))</f>
        <v/>
      </c>
      <c r="BW423" s="74" t="str">
        <f aca="false">IF($BH423&lt;&gt;Constants!$B$4,"",Constants!$B$34*$BJ423)</f>
        <v/>
      </c>
      <c r="BX423" s="74" t="str">
        <f aca="false">IF($BH423&lt;&gt;Constants!$B$4,"",IF(OR(NOT($AJ423),$BE423),0,Constants!$B$36))</f>
        <v/>
      </c>
      <c r="BY423" s="74" t="str">
        <f aca="false">IF($BH423&lt;&gt;Constants!$B$4,"",IF(OR(NOT($AJ423),$BD423),0,Constants!$B$37))</f>
        <v/>
      </c>
      <c r="BZ423" s="74" t="str">
        <f aca="false">IF($BH423&lt;&gt;Constants!$B$4,"",SUM($BT423:$BY423))</f>
        <v/>
      </c>
      <c r="CA423" s="74" t="str">
        <f aca="false">IF(ISBLANK($C423),"",IF($BH423&lt;&gt;Constants!$B$4,$BH423,SUM($BK423:$BS423)-$BZ423))</f>
        <v/>
      </c>
      <c r="CB423" s="74" t="str">
        <f aca="false">IF(ISBLANK($C423),"",IF($BH423&lt;&gt;Constants!$B$4,$BH423,RANK($CA423,$CA$9:$CA$508)))</f>
        <v/>
      </c>
      <c r="CC423" s="74" t="str">
        <f aca="false">IF(ISBLANK($C423),"",IF($BH423&lt;&gt;Constants!$B$4,$BH423,COUNTIFS($BI$9:$BI$508,"&lt;"&amp;$BI423)+COUNTIFS($BI$9:$BI$508,$BI423,$CB$9:$CB$508,"&lt;"&amp;$CB423)+1))</f>
        <v/>
      </c>
      <c r="CD423" s="74" t="str">
        <f aca="false">IF(ISBLANK($C423),"",IF($BH423&lt;&gt;Constants!$B$4,$BH423,RANK($BZ423,$BZ$9:$BZ$508,1)))</f>
        <v/>
      </c>
      <c r="CE423" s="74" t="str">
        <f aca="false">IF($BH423&lt;&gt;Constants!$B$4,"",$AL423+$AM423+$AN423)</f>
        <v/>
      </c>
      <c r="CF423" s="74" t="str">
        <f aca="false">IF(ISBLANK($C423),"",IF($BH423&lt;&gt;Constants!$B$4,$BH423,RANK($CE423,$CE$9:$CE$508,1)))</f>
        <v/>
      </c>
      <c r="CG423" s="74" t="str">
        <f aca="false">IF(ISBLANK($C423),"",IF($BH423&lt;&gt;Constants!$B$4,$BH423,COUNTIFS($BI$9:$BI$508,"&lt;"&amp;$BI423)+COUNTIFS($BI$9:$BI$508,$BI423,$CB$9:$CB$508,"&lt;"&amp;$CB423)+COUNTIFS($BI$9:$BI$508,$BI423,$CB$9:$CB$508,$CB423,$CD$9:$CD$508,"&lt;"&amp;$CD423)+COUNTIFS($BI$9:$BI$508,$BI423,$CB$9:$CB$508,$CB423,$CD$9:$CD$508,$CD423,$CF$9:$CF$508,"&lt;"&amp;$CF423)+1))</f>
        <v/>
      </c>
      <c r="CH423" s="74" t="str">
        <f aca="false">IF(ISBLANK($C423),"",IF($BH423&lt;&gt;Constants!$B$4,$BH423,$CC423-$CG423))</f>
        <v/>
      </c>
      <c r="CI423" s="74" t="str">
        <f aca="false">IF(ISBLANK($C423),"",IF(NOT($AJ423),"",IF(ISBLANK($D$7),$CI$5,IF(NOT(ISNUMBER($D$7)),$CI$6,""))))</f>
        <v/>
      </c>
      <c r="CJ423" s="74" t="str">
        <f aca="false">IF(ISBLANK($C423),"",OR($AL423="",$AM423="",$AN423=""))</f>
        <v/>
      </c>
      <c r="CK423" s="74" t="str">
        <f aca="false">IF(ISBLANK($C423),"",AND($AJ423,$AX423=""))</f>
        <v/>
      </c>
      <c r="CL423" s="74" t="str">
        <f aca="false">IF(ISBLANK($C423),"",AND($AJ423,$AY423=""))</f>
        <v/>
      </c>
      <c r="CM423" s="74" t="str">
        <f aca="false">IF(ISBLANK($C423),"",AND($AJ423,$AZ423=""))</f>
        <v/>
      </c>
      <c r="CN423" s="74" t="str">
        <f aca="false">IF(ISBLANK($C423),"",AND($AJ423,$BC423=""))</f>
        <v/>
      </c>
      <c r="CO423" s="74" t="str">
        <f aca="false">IF(ISBLANK($C423),"",AND($AJ423,$BF423=""))</f>
        <v/>
      </c>
      <c r="CP423" s="75"/>
      <c r="CQ423" s="76"/>
      <c r="CR423" s="79" t="str">
        <f aca="false">IF(ISBLANK($C423),"",IF($BH423=Constants!$B$8,$CI423,""))</f>
        <v/>
      </c>
      <c r="CS423" s="76" t="str">
        <f aca="false">IF(ISBLANK($C423),"",IF($BH423&lt;&gt;Constants!$B$4,"",$BK423+$BL423))</f>
        <v/>
      </c>
      <c r="CT423" s="78" t="str">
        <f aca="false">IF(ISBLANK($C423),"",IF($BH423&lt;&gt;Constants!$B$4,"",$BM423+$BN423+$BO423))</f>
        <v/>
      </c>
      <c r="CU423" s="78" t="str">
        <f aca="false">IF(ISBLANK($C423),"",IF($BH423&lt;&gt;Constants!$B$4,"",$BP423))</f>
        <v/>
      </c>
      <c r="CV423" s="78" t="str">
        <f aca="false">IF(ISBLANK($C423),"",IF($BH423&lt;&gt;Constants!$B$4,"",$BQ423+$BR423))</f>
        <v/>
      </c>
      <c r="CW423" s="78" t="str">
        <f aca="false">IF(ISBLANK($C423),"",IF($BH423&lt;&gt;Constants!$B$4,"",$BS423))</f>
        <v/>
      </c>
      <c r="CX423" s="78" t="str">
        <f aca="false">IF(ISBLANK($C423),"",IF($BH423&lt;&gt;Constants!$B$4,"",-$BZ423))</f>
        <v/>
      </c>
      <c r="CY423" s="79" t="str">
        <f aca="false">IF(ISBLANK($C423),"",$CA423)</f>
        <v/>
      </c>
      <c r="CZ423" s="80" t="str">
        <f aca="false">IF(ISBLANK($C423),"",$BI423)</f>
        <v/>
      </c>
      <c r="DA423" s="78" t="str">
        <f aca="false">IF(ISBLANK($C423),"",$CH423)</f>
        <v/>
      </c>
      <c r="DB423" s="78" t="str">
        <f aca="false">IF(ISBLANK($C423),"",$CG423)</f>
        <v/>
      </c>
      <c r="DC423" s="81" t="str">
        <f aca="false">IF(ISBLANK($C423),"",IFERROR(_xlfn.SWITCH($DB423,Constants!$B$7,COUNTA($C$9:$C$508)+2,Constants!$B$6,COUNTA($C$9:$C$508)+1,Constants!$B$5,COUNTA($C$9:$C$508)),$DB423))</f>
        <v/>
      </c>
      <c r="DD423" s="7"/>
      <c r="DE423" s="82" t="n">
        <f aca="false">IF(OR(ISNUMBER($DB423),$DB423=Constants!$B$7,$DB423=Constants!$B$5,$DB423=Constants!$B$6),1,0)</f>
        <v>0</v>
      </c>
      <c r="DF423" s="82" t="n">
        <v>415</v>
      </c>
      <c r="DG423" s="82" t="str">
        <f aca="false">IF(ISBLANK($C423),"",IF(ISNUMBER($DC423),$DC423+ROW($B423)/1000,""))</f>
        <v/>
      </c>
      <c r="DH423" s="82" t="str">
        <f aca="false">IF(ISNUMBER($DG423),RANK($DG423,$DG$9:$DG$508,1),"")</f>
        <v/>
      </c>
      <c r="DI423" s="82" t="str">
        <f aca="false">IF(ISBLANK($C423),"",$B423)</f>
        <v/>
      </c>
      <c r="DJ423" s="82" t="str">
        <f aca="false">IF(ISBLANK($C423),"",$C423)</f>
        <v/>
      </c>
      <c r="DK423" s="82" t="str">
        <f aca="false">IF(ISBLANK($C423),"",$D423)</f>
        <v/>
      </c>
      <c r="DL423" s="83" t="str">
        <f aca="false">$CZ423</f>
        <v/>
      </c>
      <c r="DM423" s="84" t="str">
        <f aca="false">$CY423</f>
        <v/>
      </c>
      <c r="DN423" s="82" t="str">
        <f aca="false">IF(ISBLANK($C423),"",$DB423)</f>
        <v/>
      </c>
      <c r="DO423" s="85" t="str">
        <f aca="false">IF($DF423&gt;$DE$8,"",VLOOKUP($DF423,$DH$9:$DN$508,7,FALSE()))</f>
        <v/>
      </c>
      <c r="DP423" s="86" t="str">
        <f aca="false">IF($DF423&gt;$DE$8,"",VLOOKUP($DF423,$DH$9:$DN$508,2,FALSE()))</f>
        <v/>
      </c>
      <c r="DQ423" s="86" t="str">
        <f aca="false">IF($DF423&gt;$DE$8,"",VLOOKUP($DF423,$DH$9:$DN$508,3,FALSE()))</f>
        <v/>
      </c>
      <c r="DR423" s="86" t="str">
        <f aca="false">IF($DF423&gt;$DE$8,"",VLOOKUP($DF423,$DH$9:$DN$508,4,FALSE()))</f>
        <v/>
      </c>
      <c r="DS423" s="86" t="str">
        <f aca="false">IF($DF423&gt;$DE$8,"",VLOOKUP($DF423,$DH$9:$DN$508,5,FALSE()))</f>
        <v/>
      </c>
      <c r="DT423" s="87" t="str">
        <f aca="false">IF($DF423&gt;$DE$8,"",VLOOKUP($DF423,$DH$9:$DN$508,6,FALSE()))</f>
        <v/>
      </c>
      <c r="DU423" s="62"/>
    </row>
    <row r="424" customFormat="false" ht="15.75" hidden="false" customHeight="false" outlineLevel="0" collapsed="false">
      <c r="A424" s="7"/>
      <c r="B424" s="64"/>
      <c r="C424" s="65"/>
      <c r="D424" s="123"/>
      <c r="E424" s="88"/>
      <c r="F424" s="134"/>
      <c r="G424" s="88"/>
      <c r="H424" s="134"/>
      <c r="I424" s="119"/>
      <c r="J424" s="119"/>
      <c r="K424" s="119"/>
      <c r="L424" s="88"/>
      <c r="M424" s="88"/>
      <c r="N424" s="88"/>
      <c r="O424" s="134"/>
      <c r="P424" s="88"/>
      <c r="Q424" s="88"/>
      <c r="R424" s="88"/>
      <c r="S424" s="88"/>
      <c r="T424" s="134"/>
      <c r="U424" s="88"/>
      <c r="V424" s="70"/>
      <c r="W424" s="88"/>
      <c r="X424" s="88"/>
      <c r="Y424" s="70"/>
      <c r="Z424" s="70"/>
      <c r="AA424" s="88"/>
      <c r="AB424" s="88"/>
      <c r="AC424" s="71"/>
      <c r="AD424" s="88"/>
      <c r="AE424" s="73"/>
      <c r="AF424" s="74"/>
      <c r="AG424" s="74"/>
      <c r="AH424" s="74" t="str">
        <f aca="false">IF(ISBLANK($C424),"",IF($E424=Constants!$B$2,TRUE(),IF($E424=Constants!$B$3,FALSE(),TRUE())))</f>
        <v/>
      </c>
      <c r="AI424" s="74" t="str">
        <f aca="false">IF(ISBLANK($C424),"",IF($F424=Constants!$B$2,TRUE(),IF($F424=Constants!$B$3,FALSE(),FALSE())))</f>
        <v/>
      </c>
      <c r="AJ424" s="74" t="str">
        <f aca="false">IF(ISBLANK($C424),"",IF($G424=Constants!$B$2,TRUE(),IF($G424=Constants!$B$3,FALSE(),TRUE())))</f>
        <v/>
      </c>
      <c r="AK424" s="74" t="str">
        <f aca="false">IF(ISBLANK($C424),"",IF($H424=Constants!$B$2,TRUE(),IF($H424=Constants!$B$3,FALSE(),TRUE())))</f>
        <v/>
      </c>
      <c r="AL424" s="74" t="str">
        <f aca="false">IF(ISBLANK($C424),"",IF(ISNUMBER($I424),IF($I424&gt;=0,$I424,""),""))</f>
        <v/>
      </c>
      <c r="AM424" s="74" t="str">
        <f aca="false">IF(ISBLANK($C424),"",IF(ISNUMBER($J424),IF($J424&gt;=0,$J424,""),""))</f>
        <v/>
      </c>
      <c r="AN424" s="74" t="str">
        <f aca="false">IF(ISBLANK($C424),"",IF(ISNUMBER($K424),IF($K424&gt;=0,$K424,""),""))</f>
        <v/>
      </c>
      <c r="AO424" s="74" t="str">
        <f aca="false">IF(ISBLANK($C424),"",IF($L424=Constants!$B$2,TRUE(),IF($L424=Constants!$B$3,FALSE(),TRUE())))</f>
        <v/>
      </c>
      <c r="AP424" s="74" t="str">
        <f aca="false">IF(ISBLANK($C424),"",IF($M424=Constants!$B$2,TRUE(),IF($M424=Constants!$B$3,FALSE(),TRUE())))</f>
        <v/>
      </c>
      <c r="AQ424" s="74" t="str">
        <f aca="false">IF(ISBLANK($C424),"",IF($N424=Constants!$B$2,TRUE(),IF($N424=Constants!$B$3,FALSE(),FALSE())))</f>
        <v/>
      </c>
      <c r="AR424" s="74" t="str">
        <f aca="false">IF(ISBLANK($C424),"",IF($O424=Constants!$B$2,TRUE(),IF($O424=Constants!$B$3,FALSE(),TRUE())))</f>
        <v/>
      </c>
      <c r="AS424" s="74" t="str">
        <f aca="false">IF(ISBLANK($C424),"",IF($P424=Constants!$B$2,TRUE(),IF($P424=Constants!$B$3,FALSE(),FALSE())))</f>
        <v/>
      </c>
      <c r="AT424" s="74" t="str">
        <f aca="false">IF(ISBLANK($C424),"",IF($Q424=Constants!$B$2,TRUE(),IF($Q424=Constants!$B$3,FALSE(),FALSE())))</f>
        <v/>
      </c>
      <c r="AU424" s="74" t="str">
        <f aca="false">IF(ISBLANK($C424),"",IF($R424=Constants!$B$2,TRUE(),IF($R424=Constants!$B$3,FALSE(),FALSE())))</f>
        <v/>
      </c>
      <c r="AV424" s="74" t="str">
        <f aca="false">IF(ISBLANK($C424),"",IF($S424=Constants!$B$2,TRUE(),IF($S424=Constants!$B$3,FALSE(),FALSE())))</f>
        <v/>
      </c>
      <c r="AW424" s="74" t="str">
        <f aca="false">IF(ISBLANK($C424),"",IF($T424=Constants!$B$2,TRUE(),IF($T424=Constants!$B$3,FALSE(),FALSE())))</f>
        <v/>
      </c>
      <c r="AX424" s="74" t="str">
        <f aca="false">IF(ISBLANK($C424),"",IF(OR($U424&amp;""="1",$U424&amp;""="2",$U424&amp;""="3",$U424&amp;""="4"),VALUE($U424&amp;""),IF($U424=Constants!$B$12,Constants!$B$12,"")))</f>
        <v/>
      </c>
      <c r="AY424" s="74" t="str">
        <f aca="false">IF(ISBLANK($C424),"",IF(ISBLANK($V424),0,IF(ISNUMBER($V424),IF(AND($V424&gt;=0,$V424&lt;=Constants!$B$21,$V424=INT($V424)),$V424,""),"")))</f>
        <v/>
      </c>
      <c r="AZ424" s="74" t="str">
        <f aca="false">IF(ISBLANK($C424),"",IF(ISBLANK($W424),0,IF(ISNUMBER($W424),IF($W424&gt;=0,$W424,""),"")))</f>
        <v/>
      </c>
      <c r="BA424" s="74" t="str">
        <f aca="false">IF(ISBLANK($C424),"",IF($X424=Constants!$B$2,TRUE(),IF($X424=Constants!$B$3,FALSE(),TRUE())))</f>
        <v/>
      </c>
      <c r="BB424" s="74" t="str">
        <f aca="false">IF(ISBLANK($C424),"",IF($Y424=Constants!$B$2,TRUE(),IF($Y424=Constants!$B$3,FALSE(),FALSE())))</f>
        <v/>
      </c>
      <c r="BC424" s="74" t="str">
        <f aca="false">IF(ISBLANK($C424),"",IF(ISBLANK($Z424),0,IF(ISNUMBER($Z424),IF(AND($Z424&gt;=0,$Z424&lt;=Constants!$B$35,$Z424=INT($Z424)),$Z424,""),"")))</f>
        <v/>
      </c>
      <c r="BD424" s="74" t="str">
        <f aca="false">IF(ISBLANK($C424),"",IF($AA424=Constants!$B$2,TRUE(),IF($AA424=Constants!$B$3,FALSE(),TRUE())))</f>
        <v/>
      </c>
      <c r="BE424" s="74" t="str">
        <f aca="false">IF(ISBLANK($C424),"",IF($AB424=Constants!$B$2,TRUE(),IF($AB424=Constants!$B$3,FALSE(),TRUE())))</f>
        <v/>
      </c>
      <c r="BF424" s="74" t="str">
        <f aca="false">IF(ISBLANK($C424),"",IF(ISNUMBER($AC424),IF($AC424&gt;=0,$AC424,""),""))</f>
        <v/>
      </c>
      <c r="BG424" s="74" t="str">
        <f aca="false">IF(ISBLANK($C424),"",IF($AD424=Constants!$B$2,TRUE(),IF($AD424=Constants!$B$3,FALSE(),FALSE())))</f>
        <v/>
      </c>
      <c r="BH424" s="73" t="str">
        <f aca="false">IF(ISBLANK($C424),"",IF($BG424,Constants!$B$7,IF(COUNTA($E424:$AC424)=0,Constants!$B$6,IF(OR(COUNTA($G424:$AC424)=0,NOT($AK424),$AQ424),Constants!$B$5,IF(OR($CI424&lt;&gt;"",$CJ424,$CK424,$CL424,$CM424,$CN424,$CO424),Constants!$B$8,Constants!$B$4)))))</f>
        <v/>
      </c>
      <c r="BI424" s="74" t="str">
        <f aca="false">IF(ISBLANK($C424),"",IF($BH424&lt;&gt;Constants!$B$4,$BH424,IF(OR(NOT($AH424),NOT($AJ424),NOT($AR424)),Constants!$B$11,IF(OR(NOT($AP424),MAX($AL424,$AM424,$AN424)&gt;Constants!$B$30),Constants!$B$10,Constants!$B$9))))</f>
        <v/>
      </c>
      <c r="BJ424" s="74" t="str">
        <f aca="false">IF($BH424&lt;&gt;Constants!$B$4,"",IF(NOT($AJ424),0,MIN(Constants!$B$35,$BC424)))</f>
        <v/>
      </c>
      <c r="BK424" s="74" t="str">
        <f aca="false">IF($BH424&lt;&gt;Constants!$B$4,"",IF(NOT($AJ424),0,IF($AT424,Constants!$B$18,IF($AS424,Constants!$B$17,0))))</f>
        <v/>
      </c>
      <c r="BL424" s="74" t="str">
        <f aca="false">IF($BH424&lt;&gt;Constants!$B$4,"",IF(NOT($AJ424),0,Constants!$B$19*($AI424+$AU424+$AV424+$AW424)))</f>
        <v/>
      </c>
      <c r="BM424" s="74" t="str">
        <f aca="false">IF($BH424&lt;&gt;Constants!$B$4,"",IF(OR(NOT($AJ424),NOT(ISNUMBER($AX424))),0,CHOOSE($AX424,Constants!$B$13,Constants!$B$14,Constants!$B$15,Constants!$B$16)))</f>
        <v/>
      </c>
      <c r="BN424" s="74" t="str">
        <f aca="false">IF($BH424&lt;&gt;Constants!$B$4,"",IF(NOT($AJ424),0,Constants!$B$20*$AY424))</f>
        <v/>
      </c>
      <c r="BO424" s="74" t="str">
        <f aca="false">IF($BH424&lt;&gt;Constants!$B$4,"",IF(AND($AJ424,$BA424,$BB424),Constants!$B$22,0))</f>
        <v/>
      </c>
      <c r="BP424" s="74" t="str">
        <f aca="false">IF($BH424&lt;&gt;Constants!$B$4,"",IF(OR(NOT($AJ424),NOT($BA424)),0,IF($BF424&gt;=2*$AF$9,0,Constants!$B$23*INT(ROUND(MIN($BF424,$AF$9),6)))))</f>
        <v/>
      </c>
      <c r="BQ424" s="74" t="str">
        <f aca="false">IF($BH424&lt;&gt;Constants!$B$4,"",IF(NOT($AJ424),0,Constants!$B$24*INT(ROUND(MIN($AZ424,$AF$9),6))))</f>
        <v/>
      </c>
      <c r="BR424" s="74" t="str">
        <f aca="false">IF($BH424&lt;&gt;Constants!$B$4,"",IF(AND($AJ424,$BJ424=0),Constants!$B$25,0))</f>
        <v/>
      </c>
      <c r="BS424" s="74" t="str">
        <f aca="false">IF($BH424&lt;&gt;Constants!$B$4,"",MIN(Constants!$B$29,MAX(0,Constants!$B$27*Constants!$B$28*INT(ROUND((Constants!$B$26-$AL424)/Constants!$B$28,6))))+MIN(Constants!$B$29,MAX(0,Constants!$B$27*Constants!$B$28*INT(ROUND((Constants!$B$26-$AM424)/Constants!$B$28,6))))+MIN(Constants!$B$29,MAX(0,Constants!$B$27*Constants!$B$28*INT(ROUND((Constants!$B$26-$AN424)/Constants!$B$28,6)))))</f>
        <v/>
      </c>
      <c r="BT424" s="74" t="str">
        <f aca="false">IF($BH424&lt;&gt;Constants!$B$4,"",IF(NOT($AJ424),0,Constants!$B$31*INT(ROUND(MAX(0,MIN($BF424,2*$AF$9)-$AF$9),6))))</f>
        <v/>
      </c>
      <c r="BU424" s="74" t="str">
        <f aca="false">IF($BH424&lt;&gt;Constants!$B$4,"",Constants!$B$32*(($AL424&gt;Constants!$B$26)+($AM424&gt;Constants!$B$26)+($AN424&gt;Constants!$B$26)))</f>
        <v/>
      </c>
      <c r="BV424" s="74" t="str">
        <f aca="false">IF($BH424&lt;&gt;Constants!$B$4,"",IF(OR(NOT($AJ424),$AO424),0,Constants!$B$33))</f>
        <v/>
      </c>
      <c r="BW424" s="74" t="str">
        <f aca="false">IF($BH424&lt;&gt;Constants!$B$4,"",Constants!$B$34*$BJ424)</f>
        <v/>
      </c>
      <c r="BX424" s="74" t="str">
        <f aca="false">IF($BH424&lt;&gt;Constants!$B$4,"",IF(OR(NOT($AJ424),$BE424),0,Constants!$B$36))</f>
        <v/>
      </c>
      <c r="BY424" s="74" t="str">
        <f aca="false">IF($BH424&lt;&gt;Constants!$B$4,"",IF(OR(NOT($AJ424),$BD424),0,Constants!$B$37))</f>
        <v/>
      </c>
      <c r="BZ424" s="74" t="str">
        <f aca="false">IF($BH424&lt;&gt;Constants!$B$4,"",SUM($BT424:$BY424))</f>
        <v/>
      </c>
      <c r="CA424" s="74" t="str">
        <f aca="false">IF(ISBLANK($C424),"",IF($BH424&lt;&gt;Constants!$B$4,$BH424,SUM($BK424:$BS424)-$BZ424))</f>
        <v/>
      </c>
      <c r="CB424" s="74" t="str">
        <f aca="false">IF(ISBLANK($C424),"",IF($BH424&lt;&gt;Constants!$B$4,$BH424,RANK($CA424,$CA$9:$CA$508)))</f>
        <v/>
      </c>
      <c r="CC424" s="74" t="str">
        <f aca="false">IF(ISBLANK($C424),"",IF($BH424&lt;&gt;Constants!$B$4,$BH424,COUNTIFS($BI$9:$BI$508,"&lt;"&amp;$BI424)+COUNTIFS($BI$9:$BI$508,$BI424,$CB$9:$CB$508,"&lt;"&amp;$CB424)+1))</f>
        <v/>
      </c>
      <c r="CD424" s="74" t="str">
        <f aca="false">IF(ISBLANK($C424),"",IF($BH424&lt;&gt;Constants!$B$4,$BH424,RANK($BZ424,$BZ$9:$BZ$508,1)))</f>
        <v/>
      </c>
      <c r="CE424" s="74" t="str">
        <f aca="false">IF($BH424&lt;&gt;Constants!$B$4,"",$AL424+$AM424+$AN424)</f>
        <v/>
      </c>
      <c r="CF424" s="74" t="str">
        <f aca="false">IF(ISBLANK($C424),"",IF($BH424&lt;&gt;Constants!$B$4,$BH424,RANK($CE424,$CE$9:$CE$508,1)))</f>
        <v/>
      </c>
      <c r="CG424" s="74" t="str">
        <f aca="false">IF(ISBLANK($C424),"",IF($BH424&lt;&gt;Constants!$B$4,$BH424,COUNTIFS($BI$9:$BI$508,"&lt;"&amp;$BI424)+COUNTIFS($BI$9:$BI$508,$BI424,$CB$9:$CB$508,"&lt;"&amp;$CB424)+COUNTIFS($BI$9:$BI$508,$BI424,$CB$9:$CB$508,$CB424,$CD$9:$CD$508,"&lt;"&amp;$CD424)+COUNTIFS($BI$9:$BI$508,$BI424,$CB$9:$CB$508,$CB424,$CD$9:$CD$508,$CD424,$CF$9:$CF$508,"&lt;"&amp;$CF424)+1))</f>
        <v/>
      </c>
      <c r="CH424" s="74" t="str">
        <f aca="false">IF(ISBLANK($C424),"",IF($BH424&lt;&gt;Constants!$B$4,$BH424,$CC424-$CG424))</f>
        <v/>
      </c>
      <c r="CI424" s="74" t="str">
        <f aca="false">IF(ISBLANK($C424),"",IF(NOT($AJ424),"",IF(ISBLANK($D$7),$CI$5,IF(NOT(ISNUMBER($D$7)),$CI$6,""))))</f>
        <v/>
      </c>
      <c r="CJ424" s="74" t="str">
        <f aca="false">IF(ISBLANK($C424),"",OR($AL424="",$AM424="",$AN424=""))</f>
        <v/>
      </c>
      <c r="CK424" s="74" t="str">
        <f aca="false">IF(ISBLANK($C424),"",AND($AJ424,$AX424=""))</f>
        <v/>
      </c>
      <c r="CL424" s="74" t="str">
        <f aca="false">IF(ISBLANK($C424),"",AND($AJ424,$AY424=""))</f>
        <v/>
      </c>
      <c r="CM424" s="74" t="str">
        <f aca="false">IF(ISBLANK($C424),"",AND($AJ424,$AZ424=""))</f>
        <v/>
      </c>
      <c r="CN424" s="74" t="str">
        <f aca="false">IF(ISBLANK($C424),"",AND($AJ424,$BC424=""))</f>
        <v/>
      </c>
      <c r="CO424" s="74" t="str">
        <f aca="false">IF(ISBLANK($C424),"",AND($AJ424,$BF424=""))</f>
        <v/>
      </c>
      <c r="CP424" s="75"/>
      <c r="CQ424" s="76"/>
      <c r="CR424" s="79" t="str">
        <f aca="false">IF(ISBLANK($C424),"",IF($BH424=Constants!$B$8,$CI424,""))</f>
        <v/>
      </c>
      <c r="CS424" s="76" t="str">
        <f aca="false">IF(ISBLANK($C424),"",IF($BH424&lt;&gt;Constants!$B$4,"",$BK424+$BL424))</f>
        <v/>
      </c>
      <c r="CT424" s="78" t="str">
        <f aca="false">IF(ISBLANK($C424),"",IF($BH424&lt;&gt;Constants!$B$4,"",$BM424+$BN424+$BO424))</f>
        <v/>
      </c>
      <c r="CU424" s="78" t="str">
        <f aca="false">IF(ISBLANK($C424),"",IF($BH424&lt;&gt;Constants!$B$4,"",$BP424))</f>
        <v/>
      </c>
      <c r="CV424" s="78" t="str">
        <f aca="false">IF(ISBLANK($C424),"",IF($BH424&lt;&gt;Constants!$B$4,"",$BQ424+$BR424))</f>
        <v/>
      </c>
      <c r="CW424" s="78" t="str">
        <f aca="false">IF(ISBLANK($C424),"",IF($BH424&lt;&gt;Constants!$B$4,"",$BS424))</f>
        <v/>
      </c>
      <c r="CX424" s="78" t="str">
        <f aca="false">IF(ISBLANK($C424),"",IF($BH424&lt;&gt;Constants!$B$4,"",-$BZ424))</f>
        <v/>
      </c>
      <c r="CY424" s="79" t="str">
        <f aca="false">IF(ISBLANK($C424),"",$CA424)</f>
        <v/>
      </c>
      <c r="CZ424" s="80" t="str">
        <f aca="false">IF(ISBLANK($C424),"",$BI424)</f>
        <v/>
      </c>
      <c r="DA424" s="78" t="str">
        <f aca="false">IF(ISBLANK($C424),"",$CH424)</f>
        <v/>
      </c>
      <c r="DB424" s="78" t="str">
        <f aca="false">IF(ISBLANK($C424),"",$CG424)</f>
        <v/>
      </c>
      <c r="DC424" s="81" t="str">
        <f aca="false">IF(ISBLANK($C424),"",IFERROR(_xlfn.SWITCH($DB424,Constants!$B$7,COUNTA($C$9:$C$508)+2,Constants!$B$6,COUNTA($C$9:$C$508)+1,Constants!$B$5,COUNTA($C$9:$C$508)),$DB424))</f>
        <v/>
      </c>
      <c r="DD424" s="7"/>
      <c r="DE424" s="82" t="n">
        <f aca="false">IF(OR(ISNUMBER($DB424),$DB424=Constants!$B$7,$DB424=Constants!$B$5,$DB424=Constants!$B$6),1,0)</f>
        <v>0</v>
      </c>
      <c r="DF424" s="82" t="n">
        <v>416</v>
      </c>
      <c r="DG424" s="82" t="str">
        <f aca="false">IF(ISBLANK($C424),"",IF(ISNUMBER($DC424),$DC424+ROW($B424)/1000,""))</f>
        <v/>
      </c>
      <c r="DH424" s="82" t="str">
        <f aca="false">IF(ISNUMBER($DG424),RANK($DG424,$DG$9:$DG$508,1),"")</f>
        <v/>
      </c>
      <c r="DI424" s="82" t="str">
        <f aca="false">IF(ISBLANK($C424),"",$B424)</f>
        <v/>
      </c>
      <c r="DJ424" s="82" t="str">
        <f aca="false">IF(ISBLANK($C424),"",$C424)</f>
        <v/>
      </c>
      <c r="DK424" s="82" t="str">
        <f aca="false">IF(ISBLANK($C424),"",$D424)</f>
        <v/>
      </c>
      <c r="DL424" s="83" t="str">
        <f aca="false">$CZ424</f>
        <v/>
      </c>
      <c r="DM424" s="84" t="str">
        <f aca="false">$CY424</f>
        <v/>
      </c>
      <c r="DN424" s="82" t="str">
        <f aca="false">IF(ISBLANK($C424),"",$DB424)</f>
        <v/>
      </c>
      <c r="DO424" s="85" t="str">
        <f aca="false">IF($DF424&gt;$DE$8,"",VLOOKUP($DF424,$DH$9:$DN$508,7,FALSE()))</f>
        <v/>
      </c>
      <c r="DP424" s="86" t="str">
        <f aca="false">IF($DF424&gt;$DE$8,"",VLOOKUP($DF424,$DH$9:$DN$508,2,FALSE()))</f>
        <v/>
      </c>
      <c r="DQ424" s="86" t="str">
        <f aca="false">IF($DF424&gt;$DE$8,"",VLOOKUP($DF424,$DH$9:$DN$508,3,FALSE()))</f>
        <v/>
      </c>
      <c r="DR424" s="86" t="str">
        <f aca="false">IF($DF424&gt;$DE$8,"",VLOOKUP($DF424,$DH$9:$DN$508,4,FALSE()))</f>
        <v/>
      </c>
      <c r="DS424" s="86" t="str">
        <f aca="false">IF($DF424&gt;$DE$8,"",VLOOKUP($DF424,$DH$9:$DN$508,5,FALSE()))</f>
        <v/>
      </c>
      <c r="DT424" s="87" t="str">
        <f aca="false">IF($DF424&gt;$DE$8,"",VLOOKUP($DF424,$DH$9:$DN$508,6,FALSE()))</f>
        <v/>
      </c>
      <c r="DU424" s="62"/>
    </row>
    <row r="425" customFormat="false" ht="15.75" hidden="false" customHeight="false" outlineLevel="0" collapsed="false">
      <c r="A425" s="7"/>
      <c r="B425" s="64"/>
      <c r="C425" s="65"/>
      <c r="D425" s="123"/>
      <c r="E425" s="88"/>
      <c r="F425" s="134"/>
      <c r="G425" s="88"/>
      <c r="H425" s="134"/>
      <c r="I425" s="119"/>
      <c r="J425" s="119"/>
      <c r="K425" s="119"/>
      <c r="L425" s="88"/>
      <c r="M425" s="88"/>
      <c r="N425" s="88"/>
      <c r="O425" s="134"/>
      <c r="P425" s="88"/>
      <c r="Q425" s="88"/>
      <c r="R425" s="88"/>
      <c r="S425" s="88"/>
      <c r="T425" s="134"/>
      <c r="U425" s="88"/>
      <c r="V425" s="70"/>
      <c r="W425" s="88"/>
      <c r="X425" s="88"/>
      <c r="Y425" s="70"/>
      <c r="Z425" s="70"/>
      <c r="AA425" s="88"/>
      <c r="AB425" s="88"/>
      <c r="AC425" s="71"/>
      <c r="AD425" s="88"/>
      <c r="AE425" s="73"/>
      <c r="AF425" s="74"/>
      <c r="AG425" s="74"/>
      <c r="AH425" s="74" t="str">
        <f aca="false">IF(ISBLANK($C425),"",IF($E425=Constants!$B$2,TRUE(),IF($E425=Constants!$B$3,FALSE(),TRUE())))</f>
        <v/>
      </c>
      <c r="AI425" s="74" t="str">
        <f aca="false">IF(ISBLANK($C425),"",IF($F425=Constants!$B$2,TRUE(),IF($F425=Constants!$B$3,FALSE(),FALSE())))</f>
        <v/>
      </c>
      <c r="AJ425" s="74" t="str">
        <f aca="false">IF(ISBLANK($C425),"",IF($G425=Constants!$B$2,TRUE(),IF($G425=Constants!$B$3,FALSE(),TRUE())))</f>
        <v/>
      </c>
      <c r="AK425" s="74" t="str">
        <f aca="false">IF(ISBLANK($C425),"",IF($H425=Constants!$B$2,TRUE(),IF($H425=Constants!$B$3,FALSE(),TRUE())))</f>
        <v/>
      </c>
      <c r="AL425" s="74" t="str">
        <f aca="false">IF(ISBLANK($C425),"",IF(ISNUMBER($I425),IF($I425&gt;=0,$I425,""),""))</f>
        <v/>
      </c>
      <c r="AM425" s="74" t="str">
        <f aca="false">IF(ISBLANK($C425),"",IF(ISNUMBER($J425),IF($J425&gt;=0,$J425,""),""))</f>
        <v/>
      </c>
      <c r="AN425" s="74" t="str">
        <f aca="false">IF(ISBLANK($C425),"",IF(ISNUMBER($K425),IF($K425&gt;=0,$K425,""),""))</f>
        <v/>
      </c>
      <c r="AO425" s="74" t="str">
        <f aca="false">IF(ISBLANK($C425),"",IF($L425=Constants!$B$2,TRUE(),IF($L425=Constants!$B$3,FALSE(),TRUE())))</f>
        <v/>
      </c>
      <c r="AP425" s="74" t="str">
        <f aca="false">IF(ISBLANK($C425),"",IF($M425=Constants!$B$2,TRUE(),IF($M425=Constants!$B$3,FALSE(),TRUE())))</f>
        <v/>
      </c>
      <c r="AQ425" s="74" t="str">
        <f aca="false">IF(ISBLANK($C425),"",IF($N425=Constants!$B$2,TRUE(),IF($N425=Constants!$B$3,FALSE(),FALSE())))</f>
        <v/>
      </c>
      <c r="AR425" s="74" t="str">
        <f aca="false">IF(ISBLANK($C425),"",IF($O425=Constants!$B$2,TRUE(),IF($O425=Constants!$B$3,FALSE(),TRUE())))</f>
        <v/>
      </c>
      <c r="AS425" s="74" t="str">
        <f aca="false">IF(ISBLANK($C425),"",IF($P425=Constants!$B$2,TRUE(),IF($P425=Constants!$B$3,FALSE(),FALSE())))</f>
        <v/>
      </c>
      <c r="AT425" s="74" t="str">
        <f aca="false">IF(ISBLANK($C425),"",IF($Q425=Constants!$B$2,TRUE(),IF($Q425=Constants!$B$3,FALSE(),FALSE())))</f>
        <v/>
      </c>
      <c r="AU425" s="74" t="str">
        <f aca="false">IF(ISBLANK($C425),"",IF($R425=Constants!$B$2,TRUE(),IF($R425=Constants!$B$3,FALSE(),FALSE())))</f>
        <v/>
      </c>
      <c r="AV425" s="74" t="str">
        <f aca="false">IF(ISBLANK($C425),"",IF($S425=Constants!$B$2,TRUE(),IF($S425=Constants!$B$3,FALSE(),FALSE())))</f>
        <v/>
      </c>
      <c r="AW425" s="74" t="str">
        <f aca="false">IF(ISBLANK($C425),"",IF($T425=Constants!$B$2,TRUE(),IF($T425=Constants!$B$3,FALSE(),FALSE())))</f>
        <v/>
      </c>
      <c r="AX425" s="74" t="str">
        <f aca="false">IF(ISBLANK($C425),"",IF(OR($U425&amp;""="1",$U425&amp;""="2",$U425&amp;""="3",$U425&amp;""="4"),VALUE($U425&amp;""),IF($U425=Constants!$B$12,Constants!$B$12,"")))</f>
        <v/>
      </c>
      <c r="AY425" s="74" t="str">
        <f aca="false">IF(ISBLANK($C425),"",IF(ISBLANK($V425),0,IF(ISNUMBER($V425),IF(AND($V425&gt;=0,$V425&lt;=Constants!$B$21,$V425=INT($V425)),$V425,""),"")))</f>
        <v/>
      </c>
      <c r="AZ425" s="74" t="str">
        <f aca="false">IF(ISBLANK($C425),"",IF(ISBLANK($W425),0,IF(ISNUMBER($W425),IF($W425&gt;=0,$W425,""),"")))</f>
        <v/>
      </c>
      <c r="BA425" s="74" t="str">
        <f aca="false">IF(ISBLANK($C425),"",IF($X425=Constants!$B$2,TRUE(),IF($X425=Constants!$B$3,FALSE(),TRUE())))</f>
        <v/>
      </c>
      <c r="BB425" s="74" t="str">
        <f aca="false">IF(ISBLANK($C425),"",IF($Y425=Constants!$B$2,TRUE(),IF($Y425=Constants!$B$3,FALSE(),FALSE())))</f>
        <v/>
      </c>
      <c r="BC425" s="74" t="str">
        <f aca="false">IF(ISBLANK($C425),"",IF(ISBLANK($Z425),0,IF(ISNUMBER($Z425),IF(AND($Z425&gt;=0,$Z425&lt;=Constants!$B$35,$Z425=INT($Z425)),$Z425,""),"")))</f>
        <v/>
      </c>
      <c r="BD425" s="74" t="str">
        <f aca="false">IF(ISBLANK($C425),"",IF($AA425=Constants!$B$2,TRUE(),IF($AA425=Constants!$B$3,FALSE(),TRUE())))</f>
        <v/>
      </c>
      <c r="BE425" s="74" t="str">
        <f aca="false">IF(ISBLANK($C425),"",IF($AB425=Constants!$B$2,TRUE(),IF($AB425=Constants!$B$3,FALSE(),TRUE())))</f>
        <v/>
      </c>
      <c r="BF425" s="74" t="str">
        <f aca="false">IF(ISBLANK($C425),"",IF(ISNUMBER($AC425),IF($AC425&gt;=0,$AC425,""),""))</f>
        <v/>
      </c>
      <c r="BG425" s="74" t="str">
        <f aca="false">IF(ISBLANK($C425),"",IF($AD425=Constants!$B$2,TRUE(),IF($AD425=Constants!$B$3,FALSE(),FALSE())))</f>
        <v/>
      </c>
      <c r="BH425" s="73" t="str">
        <f aca="false">IF(ISBLANK($C425),"",IF($BG425,Constants!$B$7,IF(COUNTA($E425:$AC425)=0,Constants!$B$6,IF(OR(COUNTA($G425:$AC425)=0,NOT($AK425),$AQ425),Constants!$B$5,IF(OR($CI425&lt;&gt;"",$CJ425,$CK425,$CL425,$CM425,$CN425,$CO425),Constants!$B$8,Constants!$B$4)))))</f>
        <v/>
      </c>
      <c r="BI425" s="74" t="str">
        <f aca="false">IF(ISBLANK($C425),"",IF($BH425&lt;&gt;Constants!$B$4,$BH425,IF(OR(NOT($AH425),NOT($AJ425),NOT($AR425)),Constants!$B$11,IF(OR(NOT($AP425),MAX($AL425,$AM425,$AN425)&gt;Constants!$B$30),Constants!$B$10,Constants!$B$9))))</f>
        <v/>
      </c>
      <c r="BJ425" s="74" t="str">
        <f aca="false">IF($BH425&lt;&gt;Constants!$B$4,"",IF(NOT($AJ425),0,MIN(Constants!$B$35,$BC425)))</f>
        <v/>
      </c>
      <c r="BK425" s="74" t="str">
        <f aca="false">IF($BH425&lt;&gt;Constants!$B$4,"",IF(NOT($AJ425),0,IF($AT425,Constants!$B$18,IF($AS425,Constants!$B$17,0))))</f>
        <v/>
      </c>
      <c r="BL425" s="74" t="str">
        <f aca="false">IF($BH425&lt;&gt;Constants!$B$4,"",IF(NOT($AJ425),0,Constants!$B$19*($AI425+$AU425+$AV425+$AW425)))</f>
        <v/>
      </c>
      <c r="BM425" s="74" t="str">
        <f aca="false">IF($BH425&lt;&gt;Constants!$B$4,"",IF(OR(NOT($AJ425),NOT(ISNUMBER($AX425))),0,CHOOSE($AX425,Constants!$B$13,Constants!$B$14,Constants!$B$15,Constants!$B$16)))</f>
        <v/>
      </c>
      <c r="BN425" s="74" t="str">
        <f aca="false">IF($BH425&lt;&gt;Constants!$B$4,"",IF(NOT($AJ425),0,Constants!$B$20*$AY425))</f>
        <v/>
      </c>
      <c r="BO425" s="74" t="str">
        <f aca="false">IF($BH425&lt;&gt;Constants!$B$4,"",IF(AND($AJ425,$BA425,$BB425),Constants!$B$22,0))</f>
        <v/>
      </c>
      <c r="BP425" s="74" t="str">
        <f aca="false">IF($BH425&lt;&gt;Constants!$B$4,"",IF(OR(NOT($AJ425),NOT($BA425)),0,IF($BF425&gt;=2*$AF$9,0,Constants!$B$23*INT(ROUND(MIN($BF425,$AF$9),6)))))</f>
        <v/>
      </c>
      <c r="BQ425" s="74" t="str">
        <f aca="false">IF($BH425&lt;&gt;Constants!$B$4,"",IF(NOT($AJ425),0,Constants!$B$24*INT(ROUND(MIN($AZ425,$AF$9),6))))</f>
        <v/>
      </c>
      <c r="BR425" s="74" t="str">
        <f aca="false">IF($BH425&lt;&gt;Constants!$B$4,"",IF(AND($AJ425,$BJ425=0),Constants!$B$25,0))</f>
        <v/>
      </c>
      <c r="BS425" s="74" t="str">
        <f aca="false">IF($BH425&lt;&gt;Constants!$B$4,"",MIN(Constants!$B$29,MAX(0,Constants!$B$27*Constants!$B$28*INT(ROUND((Constants!$B$26-$AL425)/Constants!$B$28,6))))+MIN(Constants!$B$29,MAX(0,Constants!$B$27*Constants!$B$28*INT(ROUND((Constants!$B$26-$AM425)/Constants!$B$28,6))))+MIN(Constants!$B$29,MAX(0,Constants!$B$27*Constants!$B$28*INT(ROUND((Constants!$B$26-$AN425)/Constants!$B$28,6)))))</f>
        <v/>
      </c>
      <c r="BT425" s="74" t="str">
        <f aca="false">IF($BH425&lt;&gt;Constants!$B$4,"",IF(NOT($AJ425),0,Constants!$B$31*INT(ROUND(MAX(0,MIN($BF425,2*$AF$9)-$AF$9),6))))</f>
        <v/>
      </c>
      <c r="BU425" s="74" t="str">
        <f aca="false">IF($BH425&lt;&gt;Constants!$B$4,"",Constants!$B$32*(($AL425&gt;Constants!$B$26)+($AM425&gt;Constants!$B$26)+($AN425&gt;Constants!$B$26)))</f>
        <v/>
      </c>
      <c r="BV425" s="74" t="str">
        <f aca="false">IF($BH425&lt;&gt;Constants!$B$4,"",IF(OR(NOT($AJ425),$AO425),0,Constants!$B$33))</f>
        <v/>
      </c>
      <c r="BW425" s="74" t="str">
        <f aca="false">IF($BH425&lt;&gt;Constants!$B$4,"",Constants!$B$34*$BJ425)</f>
        <v/>
      </c>
      <c r="BX425" s="74" t="str">
        <f aca="false">IF($BH425&lt;&gt;Constants!$B$4,"",IF(OR(NOT($AJ425),$BE425),0,Constants!$B$36))</f>
        <v/>
      </c>
      <c r="BY425" s="74" t="str">
        <f aca="false">IF($BH425&lt;&gt;Constants!$B$4,"",IF(OR(NOT($AJ425),$BD425),0,Constants!$B$37))</f>
        <v/>
      </c>
      <c r="BZ425" s="74" t="str">
        <f aca="false">IF($BH425&lt;&gt;Constants!$B$4,"",SUM($BT425:$BY425))</f>
        <v/>
      </c>
      <c r="CA425" s="74" t="str">
        <f aca="false">IF(ISBLANK($C425),"",IF($BH425&lt;&gt;Constants!$B$4,$BH425,SUM($BK425:$BS425)-$BZ425))</f>
        <v/>
      </c>
      <c r="CB425" s="74" t="str">
        <f aca="false">IF(ISBLANK($C425),"",IF($BH425&lt;&gt;Constants!$B$4,$BH425,RANK($CA425,$CA$9:$CA$508)))</f>
        <v/>
      </c>
      <c r="CC425" s="74" t="str">
        <f aca="false">IF(ISBLANK($C425),"",IF($BH425&lt;&gt;Constants!$B$4,$BH425,COUNTIFS($BI$9:$BI$508,"&lt;"&amp;$BI425)+COUNTIFS($BI$9:$BI$508,$BI425,$CB$9:$CB$508,"&lt;"&amp;$CB425)+1))</f>
        <v/>
      </c>
      <c r="CD425" s="74" t="str">
        <f aca="false">IF(ISBLANK($C425),"",IF($BH425&lt;&gt;Constants!$B$4,$BH425,RANK($BZ425,$BZ$9:$BZ$508,1)))</f>
        <v/>
      </c>
      <c r="CE425" s="74" t="str">
        <f aca="false">IF($BH425&lt;&gt;Constants!$B$4,"",$AL425+$AM425+$AN425)</f>
        <v/>
      </c>
      <c r="CF425" s="74" t="str">
        <f aca="false">IF(ISBLANK($C425),"",IF($BH425&lt;&gt;Constants!$B$4,$BH425,RANK($CE425,$CE$9:$CE$508,1)))</f>
        <v/>
      </c>
      <c r="CG425" s="74" t="str">
        <f aca="false">IF(ISBLANK($C425),"",IF($BH425&lt;&gt;Constants!$B$4,$BH425,COUNTIFS($BI$9:$BI$508,"&lt;"&amp;$BI425)+COUNTIFS($BI$9:$BI$508,$BI425,$CB$9:$CB$508,"&lt;"&amp;$CB425)+COUNTIFS($BI$9:$BI$508,$BI425,$CB$9:$CB$508,$CB425,$CD$9:$CD$508,"&lt;"&amp;$CD425)+COUNTIFS($BI$9:$BI$508,$BI425,$CB$9:$CB$508,$CB425,$CD$9:$CD$508,$CD425,$CF$9:$CF$508,"&lt;"&amp;$CF425)+1))</f>
        <v/>
      </c>
      <c r="CH425" s="74" t="str">
        <f aca="false">IF(ISBLANK($C425),"",IF($BH425&lt;&gt;Constants!$B$4,$BH425,$CC425-$CG425))</f>
        <v/>
      </c>
      <c r="CI425" s="74" t="str">
        <f aca="false">IF(ISBLANK($C425),"",IF(NOT($AJ425),"",IF(ISBLANK($D$7),$CI$5,IF(NOT(ISNUMBER($D$7)),$CI$6,""))))</f>
        <v/>
      </c>
      <c r="CJ425" s="74" t="str">
        <f aca="false">IF(ISBLANK($C425),"",OR($AL425="",$AM425="",$AN425=""))</f>
        <v/>
      </c>
      <c r="CK425" s="74" t="str">
        <f aca="false">IF(ISBLANK($C425),"",AND($AJ425,$AX425=""))</f>
        <v/>
      </c>
      <c r="CL425" s="74" t="str">
        <f aca="false">IF(ISBLANK($C425),"",AND($AJ425,$AY425=""))</f>
        <v/>
      </c>
      <c r="CM425" s="74" t="str">
        <f aca="false">IF(ISBLANK($C425),"",AND($AJ425,$AZ425=""))</f>
        <v/>
      </c>
      <c r="CN425" s="74" t="str">
        <f aca="false">IF(ISBLANK($C425),"",AND($AJ425,$BC425=""))</f>
        <v/>
      </c>
      <c r="CO425" s="74" t="str">
        <f aca="false">IF(ISBLANK($C425),"",AND($AJ425,$BF425=""))</f>
        <v/>
      </c>
      <c r="CP425" s="75"/>
      <c r="CQ425" s="76"/>
      <c r="CR425" s="79" t="str">
        <f aca="false">IF(ISBLANK($C425),"",IF($BH425=Constants!$B$8,$CI425,""))</f>
        <v/>
      </c>
      <c r="CS425" s="76" t="str">
        <f aca="false">IF(ISBLANK($C425),"",IF($BH425&lt;&gt;Constants!$B$4,"",$BK425+$BL425))</f>
        <v/>
      </c>
      <c r="CT425" s="78" t="str">
        <f aca="false">IF(ISBLANK($C425),"",IF($BH425&lt;&gt;Constants!$B$4,"",$BM425+$BN425+$BO425))</f>
        <v/>
      </c>
      <c r="CU425" s="78" t="str">
        <f aca="false">IF(ISBLANK($C425),"",IF($BH425&lt;&gt;Constants!$B$4,"",$BP425))</f>
        <v/>
      </c>
      <c r="CV425" s="78" t="str">
        <f aca="false">IF(ISBLANK($C425),"",IF($BH425&lt;&gt;Constants!$B$4,"",$BQ425+$BR425))</f>
        <v/>
      </c>
      <c r="CW425" s="78" t="str">
        <f aca="false">IF(ISBLANK($C425),"",IF($BH425&lt;&gt;Constants!$B$4,"",$BS425))</f>
        <v/>
      </c>
      <c r="CX425" s="78" t="str">
        <f aca="false">IF(ISBLANK($C425),"",IF($BH425&lt;&gt;Constants!$B$4,"",-$BZ425))</f>
        <v/>
      </c>
      <c r="CY425" s="79" t="str">
        <f aca="false">IF(ISBLANK($C425),"",$CA425)</f>
        <v/>
      </c>
      <c r="CZ425" s="80" t="str">
        <f aca="false">IF(ISBLANK($C425),"",$BI425)</f>
        <v/>
      </c>
      <c r="DA425" s="78" t="str">
        <f aca="false">IF(ISBLANK($C425),"",$CH425)</f>
        <v/>
      </c>
      <c r="DB425" s="78" t="str">
        <f aca="false">IF(ISBLANK($C425),"",$CG425)</f>
        <v/>
      </c>
      <c r="DC425" s="81" t="str">
        <f aca="false">IF(ISBLANK($C425),"",IFERROR(_xlfn.SWITCH($DB425,Constants!$B$7,COUNTA($C$9:$C$508)+2,Constants!$B$6,COUNTA($C$9:$C$508)+1,Constants!$B$5,COUNTA($C$9:$C$508)),$DB425))</f>
        <v/>
      </c>
      <c r="DD425" s="7"/>
      <c r="DE425" s="82" t="n">
        <f aca="false">IF(OR(ISNUMBER($DB425),$DB425=Constants!$B$7,$DB425=Constants!$B$5,$DB425=Constants!$B$6),1,0)</f>
        <v>0</v>
      </c>
      <c r="DF425" s="82" t="n">
        <v>417</v>
      </c>
      <c r="DG425" s="82" t="str">
        <f aca="false">IF(ISBLANK($C425),"",IF(ISNUMBER($DC425),$DC425+ROW($B425)/1000,""))</f>
        <v/>
      </c>
      <c r="DH425" s="82" t="str">
        <f aca="false">IF(ISNUMBER($DG425),RANK($DG425,$DG$9:$DG$508,1),"")</f>
        <v/>
      </c>
      <c r="DI425" s="82" t="str">
        <f aca="false">IF(ISBLANK($C425),"",$B425)</f>
        <v/>
      </c>
      <c r="DJ425" s="82" t="str">
        <f aca="false">IF(ISBLANK($C425),"",$C425)</f>
        <v/>
      </c>
      <c r="DK425" s="82" t="str">
        <f aca="false">IF(ISBLANK($C425),"",$D425)</f>
        <v/>
      </c>
      <c r="DL425" s="83" t="str">
        <f aca="false">$CZ425</f>
        <v/>
      </c>
      <c r="DM425" s="84" t="str">
        <f aca="false">$CY425</f>
        <v/>
      </c>
      <c r="DN425" s="82" t="str">
        <f aca="false">IF(ISBLANK($C425),"",$DB425)</f>
        <v/>
      </c>
      <c r="DO425" s="85" t="str">
        <f aca="false">IF($DF425&gt;$DE$8,"",VLOOKUP($DF425,$DH$9:$DN$508,7,FALSE()))</f>
        <v/>
      </c>
      <c r="DP425" s="86" t="str">
        <f aca="false">IF($DF425&gt;$DE$8,"",VLOOKUP($DF425,$DH$9:$DN$508,2,FALSE()))</f>
        <v/>
      </c>
      <c r="DQ425" s="86" t="str">
        <f aca="false">IF($DF425&gt;$DE$8,"",VLOOKUP($DF425,$DH$9:$DN$508,3,FALSE()))</f>
        <v/>
      </c>
      <c r="DR425" s="86" t="str">
        <f aca="false">IF($DF425&gt;$DE$8,"",VLOOKUP($DF425,$DH$9:$DN$508,4,FALSE()))</f>
        <v/>
      </c>
      <c r="DS425" s="86" t="str">
        <f aca="false">IF($DF425&gt;$DE$8,"",VLOOKUP($DF425,$DH$9:$DN$508,5,FALSE()))</f>
        <v/>
      </c>
      <c r="DT425" s="87" t="str">
        <f aca="false">IF($DF425&gt;$DE$8,"",VLOOKUP($DF425,$DH$9:$DN$508,6,FALSE()))</f>
        <v/>
      </c>
      <c r="DU425" s="62"/>
    </row>
    <row r="426" customFormat="false" ht="15.75" hidden="false" customHeight="false" outlineLevel="0" collapsed="false">
      <c r="A426" s="7"/>
      <c r="B426" s="90"/>
      <c r="C426" s="91"/>
      <c r="D426" s="126"/>
      <c r="E426" s="130"/>
      <c r="F426" s="135"/>
      <c r="G426" s="130"/>
      <c r="H426" s="135"/>
      <c r="I426" s="131"/>
      <c r="J426" s="131"/>
      <c r="K426" s="131"/>
      <c r="L426" s="130"/>
      <c r="M426" s="130"/>
      <c r="N426" s="130"/>
      <c r="O426" s="135"/>
      <c r="P426" s="130"/>
      <c r="Q426" s="130"/>
      <c r="R426" s="130"/>
      <c r="S426" s="130"/>
      <c r="T426" s="135"/>
      <c r="U426" s="130"/>
      <c r="V426" s="96"/>
      <c r="W426" s="130"/>
      <c r="X426" s="130"/>
      <c r="Y426" s="96"/>
      <c r="Z426" s="96"/>
      <c r="AA426" s="130"/>
      <c r="AB426" s="130"/>
      <c r="AC426" s="97"/>
      <c r="AD426" s="130"/>
      <c r="AE426" s="99"/>
      <c r="AF426" s="100"/>
      <c r="AG426" s="100"/>
      <c r="AH426" s="100" t="str">
        <f aca="false">IF(ISBLANK($C426),"",IF($E426=Constants!$B$2,TRUE(),IF($E426=Constants!$B$3,FALSE(),TRUE())))</f>
        <v/>
      </c>
      <c r="AI426" s="100" t="str">
        <f aca="false">IF(ISBLANK($C426),"",IF($F426=Constants!$B$2,TRUE(),IF($F426=Constants!$B$3,FALSE(),FALSE())))</f>
        <v/>
      </c>
      <c r="AJ426" s="100" t="str">
        <f aca="false">IF(ISBLANK($C426),"",IF($G426=Constants!$B$2,TRUE(),IF($G426=Constants!$B$3,FALSE(),TRUE())))</f>
        <v/>
      </c>
      <c r="AK426" s="100" t="str">
        <f aca="false">IF(ISBLANK($C426),"",IF($H426=Constants!$B$2,TRUE(),IF($H426=Constants!$B$3,FALSE(),TRUE())))</f>
        <v/>
      </c>
      <c r="AL426" s="100" t="str">
        <f aca="false">IF(ISBLANK($C426),"",IF(ISNUMBER($I426),IF($I426&gt;=0,$I426,""),""))</f>
        <v/>
      </c>
      <c r="AM426" s="100" t="str">
        <f aca="false">IF(ISBLANK($C426),"",IF(ISNUMBER($J426),IF($J426&gt;=0,$J426,""),""))</f>
        <v/>
      </c>
      <c r="AN426" s="100" t="str">
        <f aca="false">IF(ISBLANK($C426),"",IF(ISNUMBER($K426),IF($K426&gt;=0,$K426,""),""))</f>
        <v/>
      </c>
      <c r="AO426" s="100" t="str">
        <f aca="false">IF(ISBLANK($C426),"",IF($L426=Constants!$B$2,TRUE(),IF($L426=Constants!$B$3,FALSE(),TRUE())))</f>
        <v/>
      </c>
      <c r="AP426" s="100" t="str">
        <f aca="false">IF(ISBLANK($C426),"",IF($M426=Constants!$B$2,TRUE(),IF($M426=Constants!$B$3,FALSE(),TRUE())))</f>
        <v/>
      </c>
      <c r="AQ426" s="100" t="str">
        <f aca="false">IF(ISBLANK($C426),"",IF($N426=Constants!$B$2,TRUE(),IF($N426=Constants!$B$3,FALSE(),FALSE())))</f>
        <v/>
      </c>
      <c r="AR426" s="100" t="str">
        <f aca="false">IF(ISBLANK($C426),"",IF($O426=Constants!$B$2,TRUE(),IF($O426=Constants!$B$3,FALSE(),TRUE())))</f>
        <v/>
      </c>
      <c r="AS426" s="100" t="str">
        <f aca="false">IF(ISBLANK($C426),"",IF($P426=Constants!$B$2,TRUE(),IF($P426=Constants!$B$3,FALSE(),FALSE())))</f>
        <v/>
      </c>
      <c r="AT426" s="100" t="str">
        <f aca="false">IF(ISBLANK($C426),"",IF($Q426=Constants!$B$2,TRUE(),IF($Q426=Constants!$B$3,FALSE(),FALSE())))</f>
        <v/>
      </c>
      <c r="AU426" s="100" t="str">
        <f aca="false">IF(ISBLANK($C426),"",IF($R426=Constants!$B$2,TRUE(),IF($R426=Constants!$B$3,FALSE(),FALSE())))</f>
        <v/>
      </c>
      <c r="AV426" s="100" t="str">
        <f aca="false">IF(ISBLANK($C426),"",IF($S426=Constants!$B$2,TRUE(),IF($S426=Constants!$B$3,FALSE(),FALSE())))</f>
        <v/>
      </c>
      <c r="AW426" s="100" t="str">
        <f aca="false">IF(ISBLANK($C426),"",IF($T426=Constants!$B$2,TRUE(),IF($T426=Constants!$B$3,FALSE(),FALSE())))</f>
        <v/>
      </c>
      <c r="AX426" s="100" t="str">
        <f aca="false">IF(ISBLANK($C426),"",IF(OR($U426&amp;""="1",$U426&amp;""="2",$U426&amp;""="3",$U426&amp;""="4"),VALUE($U426&amp;""),IF($U426=Constants!$B$12,Constants!$B$12,"")))</f>
        <v/>
      </c>
      <c r="AY426" s="100" t="str">
        <f aca="false">IF(ISBLANK($C426),"",IF(ISBLANK($V426),0,IF(ISNUMBER($V426),IF(AND($V426&gt;=0,$V426&lt;=Constants!$B$21,$V426=INT($V426)),$V426,""),"")))</f>
        <v/>
      </c>
      <c r="AZ426" s="100" t="str">
        <f aca="false">IF(ISBLANK($C426),"",IF(ISBLANK($W426),0,IF(ISNUMBER($W426),IF($W426&gt;=0,$W426,""),"")))</f>
        <v/>
      </c>
      <c r="BA426" s="100" t="str">
        <f aca="false">IF(ISBLANK($C426),"",IF($X426=Constants!$B$2,TRUE(),IF($X426=Constants!$B$3,FALSE(),TRUE())))</f>
        <v/>
      </c>
      <c r="BB426" s="100" t="str">
        <f aca="false">IF(ISBLANK($C426),"",IF($Y426=Constants!$B$2,TRUE(),IF($Y426=Constants!$B$3,FALSE(),FALSE())))</f>
        <v/>
      </c>
      <c r="BC426" s="100" t="str">
        <f aca="false">IF(ISBLANK($C426),"",IF(ISBLANK($Z426),0,IF(ISNUMBER($Z426),IF(AND($Z426&gt;=0,$Z426&lt;=Constants!$B$35,$Z426=INT($Z426)),$Z426,""),"")))</f>
        <v/>
      </c>
      <c r="BD426" s="100" t="str">
        <f aca="false">IF(ISBLANK($C426),"",IF($AA426=Constants!$B$2,TRUE(),IF($AA426=Constants!$B$3,FALSE(),TRUE())))</f>
        <v/>
      </c>
      <c r="BE426" s="100" t="str">
        <f aca="false">IF(ISBLANK($C426),"",IF($AB426=Constants!$B$2,TRUE(),IF($AB426=Constants!$B$3,FALSE(),TRUE())))</f>
        <v/>
      </c>
      <c r="BF426" s="100" t="str">
        <f aca="false">IF(ISBLANK($C426),"",IF(ISNUMBER($AC426),IF($AC426&gt;=0,$AC426,""),""))</f>
        <v/>
      </c>
      <c r="BG426" s="100" t="str">
        <f aca="false">IF(ISBLANK($C426),"",IF($AD426=Constants!$B$2,TRUE(),IF($AD426=Constants!$B$3,FALSE(),FALSE())))</f>
        <v/>
      </c>
      <c r="BH426" s="99" t="str">
        <f aca="false">IF(ISBLANK($C426),"",IF($BG426,Constants!$B$7,IF(COUNTA($E426:$AC426)=0,Constants!$B$6,IF(OR(COUNTA($G426:$AC426)=0,NOT($AK426),$AQ426),Constants!$B$5,IF(OR($CI426&lt;&gt;"",$CJ426,$CK426,$CL426,$CM426,$CN426,$CO426),Constants!$B$8,Constants!$B$4)))))</f>
        <v/>
      </c>
      <c r="BI426" s="100" t="str">
        <f aca="false">IF(ISBLANK($C426),"",IF($BH426&lt;&gt;Constants!$B$4,$BH426,IF(OR(NOT($AH426),NOT($AJ426),NOT($AR426)),Constants!$B$11,IF(OR(NOT($AP426),MAX($AL426,$AM426,$AN426)&gt;Constants!$B$30),Constants!$B$10,Constants!$B$9))))</f>
        <v/>
      </c>
      <c r="BJ426" s="100" t="str">
        <f aca="false">IF($BH426&lt;&gt;Constants!$B$4,"",IF(NOT($AJ426),0,MIN(Constants!$B$35,$BC426)))</f>
        <v/>
      </c>
      <c r="BK426" s="100" t="str">
        <f aca="false">IF($BH426&lt;&gt;Constants!$B$4,"",IF(NOT($AJ426),0,IF($AT426,Constants!$B$18,IF($AS426,Constants!$B$17,0))))</f>
        <v/>
      </c>
      <c r="BL426" s="100" t="str">
        <f aca="false">IF($BH426&lt;&gt;Constants!$B$4,"",IF(NOT($AJ426),0,Constants!$B$19*($AI426+$AU426+$AV426+$AW426)))</f>
        <v/>
      </c>
      <c r="BM426" s="100" t="str">
        <f aca="false">IF($BH426&lt;&gt;Constants!$B$4,"",IF(OR(NOT($AJ426),NOT(ISNUMBER($AX426))),0,CHOOSE($AX426,Constants!$B$13,Constants!$B$14,Constants!$B$15,Constants!$B$16)))</f>
        <v/>
      </c>
      <c r="BN426" s="100" t="str">
        <f aca="false">IF($BH426&lt;&gt;Constants!$B$4,"",IF(NOT($AJ426),0,Constants!$B$20*$AY426))</f>
        <v/>
      </c>
      <c r="BO426" s="100" t="str">
        <f aca="false">IF($BH426&lt;&gt;Constants!$B$4,"",IF(AND($AJ426,$BA426,$BB426),Constants!$B$22,0))</f>
        <v/>
      </c>
      <c r="BP426" s="100" t="str">
        <f aca="false">IF($BH426&lt;&gt;Constants!$B$4,"",IF(OR(NOT($AJ426),NOT($BA426)),0,IF($BF426&gt;=2*$AF$9,0,Constants!$B$23*INT(ROUND(MIN($BF426,$AF$9),6)))))</f>
        <v/>
      </c>
      <c r="BQ426" s="100" t="str">
        <f aca="false">IF($BH426&lt;&gt;Constants!$B$4,"",IF(NOT($AJ426),0,Constants!$B$24*INT(ROUND(MIN($AZ426,$AF$9),6))))</f>
        <v/>
      </c>
      <c r="BR426" s="100" t="str">
        <f aca="false">IF($BH426&lt;&gt;Constants!$B$4,"",IF(AND($AJ426,$BJ426=0),Constants!$B$25,0))</f>
        <v/>
      </c>
      <c r="BS426" s="100" t="str">
        <f aca="false">IF($BH426&lt;&gt;Constants!$B$4,"",MIN(Constants!$B$29,MAX(0,Constants!$B$27*Constants!$B$28*INT(ROUND((Constants!$B$26-$AL426)/Constants!$B$28,6))))+MIN(Constants!$B$29,MAX(0,Constants!$B$27*Constants!$B$28*INT(ROUND((Constants!$B$26-$AM426)/Constants!$B$28,6))))+MIN(Constants!$B$29,MAX(0,Constants!$B$27*Constants!$B$28*INT(ROUND((Constants!$B$26-$AN426)/Constants!$B$28,6)))))</f>
        <v/>
      </c>
      <c r="BT426" s="100" t="str">
        <f aca="false">IF($BH426&lt;&gt;Constants!$B$4,"",IF(NOT($AJ426),0,Constants!$B$31*INT(ROUND(MAX(0,MIN($BF426,2*$AF$9)-$AF$9),6))))</f>
        <v/>
      </c>
      <c r="BU426" s="100" t="str">
        <f aca="false">IF($BH426&lt;&gt;Constants!$B$4,"",Constants!$B$32*(($AL426&gt;Constants!$B$26)+($AM426&gt;Constants!$B$26)+($AN426&gt;Constants!$B$26)))</f>
        <v/>
      </c>
      <c r="BV426" s="100" t="str">
        <f aca="false">IF($BH426&lt;&gt;Constants!$B$4,"",IF(OR(NOT($AJ426),$AO426),0,Constants!$B$33))</f>
        <v/>
      </c>
      <c r="BW426" s="100" t="str">
        <f aca="false">IF($BH426&lt;&gt;Constants!$B$4,"",Constants!$B$34*$BJ426)</f>
        <v/>
      </c>
      <c r="BX426" s="100" t="str">
        <f aca="false">IF($BH426&lt;&gt;Constants!$B$4,"",IF(OR(NOT($AJ426),$BE426),0,Constants!$B$36))</f>
        <v/>
      </c>
      <c r="BY426" s="100" t="str">
        <f aca="false">IF($BH426&lt;&gt;Constants!$B$4,"",IF(OR(NOT($AJ426),$BD426),0,Constants!$B$37))</f>
        <v/>
      </c>
      <c r="BZ426" s="100" t="str">
        <f aca="false">IF($BH426&lt;&gt;Constants!$B$4,"",SUM($BT426:$BY426))</f>
        <v/>
      </c>
      <c r="CA426" s="100" t="str">
        <f aca="false">IF(ISBLANK($C426),"",IF($BH426&lt;&gt;Constants!$B$4,$BH426,SUM($BK426:$BS426)-$BZ426))</f>
        <v/>
      </c>
      <c r="CB426" s="100" t="str">
        <f aca="false">IF(ISBLANK($C426),"",IF($BH426&lt;&gt;Constants!$B$4,$BH426,RANK($CA426,$CA$9:$CA$508)))</f>
        <v/>
      </c>
      <c r="CC426" s="100" t="str">
        <f aca="false">IF(ISBLANK($C426),"",IF($BH426&lt;&gt;Constants!$B$4,$BH426,COUNTIFS($BI$9:$BI$508,"&lt;"&amp;$BI426)+COUNTIFS($BI$9:$BI$508,$BI426,$CB$9:$CB$508,"&lt;"&amp;$CB426)+1))</f>
        <v/>
      </c>
      <c r="CD426" s="100" t="str">
        <f aca="false">IF(ISBLANK($C426),"",IF($BH426&lt;&gt;Constants!$B$4,$BH426,RANK($BZ426,$BZ$9:$BZ$508,1)))</f>
        <v/>
      </c>
      <c r="CE426" s="100" t="str">
        <f aca="false">IF($BH426&lt;&gt;Constants!$B$4,"",$AL426+$AM426+$AN426)</f>
        <v/>
      </c>
      <c r="CF426" s="100" t="str">
        <f aca="false">IF(ISBLANK($C426),"",IF($BH426&lt;&gt;Constants!$B$4,$BH426,RANK($CE426,$CE$9:$CE$508,1)))</f>
        <v/>
      </c>
      <c r="CG426" s="100" t="str">
        <f aca="false">IF(ISBLANK($C426),"",IF($BH426&lt;&gt;Constants!$B$4,$BH426,COUNTIFS($BI$9:$BI$508,"&lt;"&amp;$BI426)+COUNTIFS($BI$9:$BI$508,$BI426,$CB$9:$CB$508,"&lt;"&amp;$CB426)+COUNTIFS($BI$9:$BI$508,$BI426,$CB$9:$CB$508,$CB426,$CD$9:$CD$508,"&lt;"&amp;$CD426)+COUNTIFS($BI$9:$BI$508,$BI426,$CB$9:$CB$508,$CB426,$CD$9:$CD$508,$CD426,$CF$9:$CF$508,"&lt;"&amp;$CF426)+1))</f>
        <v/>
      </c>
      <c r="CH426" s="100" t="str">
        <f aca="false">IF(ISBLANK($C426),"",IF($BH426&lt;&gt;Constants!$B$4,$BH426,$CC426-$CG426))</f>
        <v/>
      </c>
      <c r="CI426" s="100" t="str">
        <f aca="false">IF(ISBLANK($C426),"",IF(NOT($AJ426),"",IF(ISBLANK($D$7),$CI$5,IF(NOT(ISNUMBER($D$7)),$CI$6,""))))</f>
        <v/>
      </c>
      <c r="CJ426" s="100" t="str">
        <f aca="false">IF(ISBLANK($C426),"",OR($AL426="",$AM426="",$AN426=""))</f>
        <v/>
      </c>
      <c r="CK426" s="100" t="str">
        <f aca="false">IF(ISBLANK($C426),"",AND($AJ426,$AX426=""))</f>
        <v/>
      </c>
      <c r="CL426" s="100" t="str">
        <f aca="false">IF(ISBLANK($C426),"",AND($AJ426,$AY426=""))</f>
        <v/>
      </c>
      <c r="CM426" s="100" t="str">
        <f aca="false">IF(ISBLANK($C426),"",AND($AJ426,$AZ426=""))</f>
        <v/>
      </c>
      <c r="CN426" s="100" t="str">
        <f aca="false">IF(ISBLANK($C426),"",AND($AJ426,$BC426=""))</f>
        <v/>
      </c>
      <c r="CO426" s="100" t="str">
        <f aca="false">IF(ISBLANK($C426),"",AND($AJ426,$BF426=""))</f>
        <v/>
      </c>
      <c r="CP426" s="101"/>
      <c r="CQ426" s="102"/>
      <c r="CR426" s="103" t="str">
        <f aca="false">IF(ISBLANK($C426),"",IF($BH426=Constants!$B$8,$CI426,""))</f>
        <v/>
      </c>
      <c r="CS426" s="102" t="str">
        <f aca="false">IF(ISBLANK($C426),"",IF($BH426&lt;&gt;Constants!$B$4,"",$BK426+$BL426))</f>
        <v/>
      </c>
      <c r="CT426" s="104" t="str">
        <f aca="false">IF(ISBLANK($C426),"",IF($BH426&lt;&gt;Constants!$B$4,"",$BM426+$BN426+$BO426))</f>
        <v/>
      </c>
      <c r="CU426" s="104" t="str">
        <f aca="false">IF(ISBLANK($C426),"",IF($BH426&lt;&gt;Constants!$B$4,"",$BP426))</f>
        <v/>
      </c>
      <c r="CV426" s="104" t="str">
        <f aca="false">IF(ISBLANK($C426),"",IF($BH426&lt;&gt;Constants!$B$4,"",$BQ426+$BR426))</f>
        <v/>
      </c>
      <c r="CW426" s="104" t="str">
        <f aca="false">IF(ISBLANK($C426),"",IF($BH426&lt;&gt;Constants!$B$4,"",$BS426))</f>
        <v/>
      </c>
      <c r="CX426" s="104" t="str">
        <f aca="false">IF(ISBLANK($C426),"",IF($BH426&lt;&gt;Constants!$B$4,"",-$BZ426))</f>
        <v/>
      </c>
      <c r="CY426" s="103" t="str">
        <f aca="false">IF(ISBLANK($C426),"",$CA426)</f>
        <v/>
      </c>
      <c r="CZ426" s="105" t="str">
        <f aca="false">IF(ISBLANK($C426),"",$BI426)</f>
        <v/>
      </c>
      <c r="DA426" s="104" t="str">
        <f aca="false">IF(ISBLANK($C426),"",$CH426)</f>
        <v/>
      </c>
      <c r="DB426" s="104" t="str">
        <f aca="false">IF(ISBLANK($C426),"",$CG426)</f>
        <v/>
      </c>
      <c r="DC426" s="106" t="str">
        <f aca="false">IF(ISBLANK($C426),"",IFERROR(_xlfn.SWITCH($DB426,Constants!$B$7,COUNTA($C$9:$C$508)+2,Constants!$B$6,COUNTA($C$9:$C$508)+1,Constants!$B$5,COUNTA($C$9:$C$508)),$DB426))</f>
        <v/>
      </c>
      <c r="DD426" s="7"/>
      <c r="DE426" s="107" t="n">
        <f aca="false">IF(OR(ISNUMBER($DB426),$DB426=Constants!$B$7,$DB426=Constants!$B$5,$DB426=Constants!$B$6),1,0)</f>
        <v>0</v>
      </c>
      <c r="DF426" s="107" t="n">
        <v>418</v>
      </c>
      <c r="DG426" s="107" t="str">
        <f aca="false">IF(ISBLANK($C426),"",IF(ISNUMBER($DC426),$DC426+ROW($B426)/1000,""))</f>
        <v/>
      </c>
      <c r="DH426" s="107" t="str">
        <f aca="false">IF(ISNUMBER($DG426),RANK($DG426,$DG$9:$DG$508,1),"")</f>
        <v/>
      </c>
      <c r="DI426" s="107" t="str">
        <f aca="false">IF(ISBLANK($C426),"",$B426)</f>
        <v/>
      </c>
      <c r="DJ426" s="107" t="str">
        <f aca="false">IF(ISBLANK($C426),"",$C426)</f>
        <v/>
      </c>
      <c r="DK426" s="107" t="str">
        <f aca="false">IF(ISBLANK($C426),"",$D426)</f>
        <v/>
      </c>
      <c r="DL426" s="108" t="str">
        <f aca="false">$CZ426</f>
        <v/>
      </c>
      <c r="DM426" s="109" t="str">
        <f aca="false">$CY426</f>
        <v/>
      </c>
      <c r="DN426" s="107" t="str">
        <f aca="false">IF(ISBLANK($C426),"",$DB426)</f>
        <v/>
      </c>
      <c r="DO426" s="110" t="str">
        <f aca="false">IF($DF426&gt;$DE$8,"",VLOOKUP($DF426,$DH$9:$DN$508,7,FALSE()))</f>
        <v/>
      </c>
      <c r="DP426" s="111" t="str">
        <f aca="false">IF($DF426&gt;$DE$8,"",VLOOKUP($DF426,$DH$9:$DN$508,2,FALSE()))</f>
        <v/>
      </c>
      <c r="DQ426" s="111" t="str">
        <f aca="false">IF($DF426&gt;$DE$8,"",VLOOKUP($DF426,$DH$9:$DN$508,3,FALSE()))</f>
        <v/>
      </c>
      <c r="DR426" s="111" t="str">
        <f aca="false">IF($DF426&gt;$DE$8,"",VLOOKUP($DF426,$DH$9:$DN$508,4,FALSE()))</f>
        <v/>
      </c>
      <c r="DS426" s="111" t="str">
        <f aca="false">IF($DF426&gt;$DE$8,"",VLOOKUP($DF426,$DH$9:$DN$508,5,FALSE()))</f>
        <v/>
      </c>
      <c r="DT426" s="112" t="str">
        <f aca="false">IF($DF426&gt;$DE$8,"",VLOOKUP($DF426,$DH$9:$DN$508,6,FALSE()))</f>
        <v/>
      </c>
      <c r="DU426" s="62"/>
    </row>
    <row r="427" customFormat="false" ht="15.75" hidden="false" customHeight="false" outlineLevel="0" collapsed="false">
      <c r="A427" s="7"/>
      <c r="B427" s="90"/>
      <c r="C427" s="91"/>
      <c r="D427" s="126"/>
      <c r="E427" s="130"/>
      <c r="F427" s="135"/>
      <c r="G427" s="130"/>
      <c r="H427" s="135"/>
      <c r="I427" s="131"/>
      <c r="J427" s="131"/>
      <c r="K427" s="131"/>
      <c r="L427" s="130"/>
      <c r="M427" s="130"/>
      <c r="N427" s="130"/>
      <c r="O427" s="135"/>
      <c r="P427" s="130"/>
      <c r="Q427" s="130"/>
      <c r="R427" s="130"/>
      <c r="S427" s="130"/>
      <c r="T427" s="135"/>
      <c r="U427" s="130"/>
      <c r="V427" s="96"/>
      <c r="W427" s="130"/>
      <c r="X427" s="130"/>
      <c r="Y427" s="96"/>
      <c r="Z427" s="96"/>
      <c r="AA427" s="130"/>
      <c r="AB427" s="130"/>
      <c r="AC427" s="97"/>
      <c r="AD427" s="130"/>
      <c r="AE427" s="99"/>
      <c r="AF427" s="100"/>
      <c r="AG427" s="100"/>
      <c r="AH427" s="100" t="str">
        <f aca="false">IF(ISBLANK($C427),"",IF($E427=Constants!$B$2,TRUE(),IF($E427=Constants!$B$3,FALSE(),TRUE())))</f>
        <v/>
      </c>
      <c r="AI427" s="100" t="str">
        <f aca="false">IF(ISBLANK($C427),"",IF($F427=Constants!$B$2,TRUE(),IF($F427=Constants!$B$3,FALSE(),FALSE())))</f>
        <v/>
      </c>
      <c r="AJ427" s="100" t="str">
        <f aca="false">IF(ISBLANK($C427),"",IF($G427=Constants!$B$2,TRUE(),IF($G427=Constants!$B$3,FALSE(),TRUE())))</f>
        <v/>
      </c>
      <c r="AK427" s="100" t="str">
        <f aca="false">IF(ISBLANK($C427),"",IF($H427=Constants!$B$2,TRUE(),IF($H427=Constants!$B$3,FALSE(),TRUE())))</f>
        <v/>
      </c>
      <c r="AL427" s="100" t="str">
        <f aca="false">IF(ISBLANK($C427),"",IF(ISNUMBER($I427),IF($I427&gt;=0,$I427,""),""))</f>
        <v/>
      </c>
      <c r="AM427" s="100" t="str">
        <f aca="false">IF(ISBLANK($C427),"",IF(ISNUMBER($J427),IF($J427&gt;=0,$J427,""),""))</f>
        <v/>
      </c>
      <c r="AN427" s="100" t="str">
        <f aca="false">IF(ISBLANK($C427),"",IF(ISNUMBER($K427),IF($K427&gt;=0,$K427,""),""))</f>
        <v/>
      </c>
      <c r="AO427" s="100" t="str">
        <f aca="false">IF(ISBLANK($C427),"",IF($L427=Constants!$B$2,TRUE(),IF($L427=Constants!$B$3,FALSE(),TRUE())))</f>
        <v/>
      </c>
      <c r="AP427" s="100" t="str">
        <f aca="false">IF(ISBLANK($C427),"",IF($M427=Constants!$B$2,TRUE(),IF($M427=Constants!$B$3,FALSE(),TRUE())))</f>
        <v/>
      </c>
      <c r="AQ427" s="100" t="str">
        <f aca="false">IF(ISBLANK($C427),"",IF($N427=Constants!$B$2,TRUE(),IF($N427=Constants!$B$3,FALSE(),FALSE())))</f>
        <v/>
      </c>
      <c r="AR427" s="100" t="str">
        <f aca="false">IF(ISBLANK($C427),"",IF($O427=Constants!$B$2,TRUE(),IF($O427=Constants!$B$3,FALSE(),TRUE())))</f>
        <v/>
      </c>
      <c r="AS427" s="100" t="str">
        <f aca="false">IF(ISBLANK($C427),"",IF($P427=Constants!$B$2,TRUE(),IF($P427=Constants!$B$3,FALSE(),FALSE())))</f>
        <v/>
      </c>
      <c r="AT427" s="100" t="str">
        <f aca="false">IF(ISBLANK($C427),"",IF($Q427=Constants!$B$2,TRUE(),IF($Q427=Constants!$B$3,FALSE(),FALSE())))</f>
        <v/>
      </c>
      <c r="AU427" s="100" t="str">
        <f aca="false">IF(ISBLANK($C427),"",IF($R427=Constants!$B$2,TRUE(),IF($R427=Constants!$B$3,FALSE(),FALSE())))</f>
        <v/>
      </c>
      <c r="AV427" s="100" t="str">
        <f aca="false">IF(ISBLANK($C427),"",IF($S427=Constants!$B$2,TRUE(),IF($S427=Constants!$B$3,FALSE(),FALSE())))</f>
        <v/>
      </c>
      <c r="AW427" s="100" t="str">
        <f aca="false">IF(ISBLANK($C427),"",IF($T427=Constants!$B$2,TRUE(),IF($T427=Constants!$B$3,FALSE(),FALSE())))</f>
        <v/>
      </c>
      <c r="AX427" s="100" t="str">
        <f aca="false">IF(ISBLANK($C427),"",IF(OR($U427&amp;""="1",$U427&amp;""="2",$U427&amp;""="3",$U427&amp;""="4"),VALUE($U427&amp;""),IF($U427=Constants!$B$12,Constants!$B$12,"")))</f>
        <v/>
      </c>
      <c r="AY427" s="100" t="str">
        <f aca="false">IF(ISBLANK($C427),"",IF(ISBLANK($V427),0,IF(ISNUMBER($V427),IF(AND($V427&gt;=0,$V427&lt;=Constants!$B$21,$V427=INT($V427)),$V427,""),"")))</f>
        <v/>
      </c>
      <c r="AZ427" s="100" t="str">
        <f aca="false">IF(ISBLANK($C427),"",IF(ISBLANK($W427),0,IF(ISNUMBER($W427),IF($W427&gt;=0,$W427,""),"")))</f>
        <v/>
      </c>
      <c r="BA427" s="100" t="str">
        <f aca="false">IF(ISBLANK($C427),"",IF($X427=Constants!$B$2,TRUE(),IF($X427=Constants!$B$3,FALSE(),TRUE())))</f>
        <v/>
      </c>
      <c r="BB427" s="100" t="str">
        <f aca="false">IF(ISBLANK($C427),"",IF($Y427=Constants!$B$2,TRUE(),IF($Y427=Constants!$B$3,FALSE(),FALSE())))</f>
        <v/>
      </c>
      <c r="BC427" s="100" t="str">
        <f aca="false">IF(ISBLANK($C427),"",IF(ISBLANK($Z427),0,IF(ISNUMBER($Z427),IF(AND($Z427&gt;=0,$Z427&lt;=Constants!$B$35,$Z427=INT($Z427)),$Z427,""),"")))</f>
        <v/>
      </c>
      <c r="BD427" s="100" t="str">
        <f aca="false">IF(ISBLANK($C427),"",IF($AA427=Constants!$B$2,TRUE(),IF($AA427=Constants!$B$3,FALSE(),TRUE())))</f>
        <v/>
      </c>
      <c r="BE427" s="100" t="str">
        <f aca="false">IF(ISBLANK($C427),"",IF($AB427=Constants!$B$2,TRUE(),IF($AB427=Constants!$B$3,FALSE(),TRUE())))</f>
        <v/>
      </c>
      <c r="BF427" s="100" t="str">
        <f aca="false">IF(ISBLANK($C427),"",IF(ISNUMBER($AC427),IF($AC427&gt;=0,$AC427,""),""))</f>
        <v/>
      </c>
      <c r="BG427" s="100" t="str">
        <f aca="false">IF(ISBLANK($C427),"",IF($AD427=Constants!$B$2,TRUE(),IF($AD427=Constants!$B$3,FALSE(),FALSE())))</f>
        <v/>
      </c>
      <c r="BH427" s="99" t="str">
        <f aca="false">IF(ISBLANK($C427),"",IF($BG427,Constants!$B$7,IF(COUNTA($E427:$AC427)=0,Constants!$B$6,IF(OR(COUNTA($G427:$AC427)=0,NOT($AK427),$AQ427),Constants!$B$5,IF(OR($CI427&lt;&gt;"",$CJ427,$CK427,$CL427,$CM427,$CN427,$CO427),Constants!$B$8,Constants!$B$4)))))</f>
        <v/>
      </c>
      <c r="BI427" s="100" t="str">
        <f aca="false">IF(ISBLANK($C427),"",IF($BH427&lt;&gt;Constants!$B$4,$BH427,IF(OR(NOT($AH427),NOT($AJ427),NOT($AR427)),Constants!$B$11,IF(OR(NOT($AP427),MAX($AL427,$AM427,$AN427)&gt;Constants!$B$30),Constants!$B$10,Constants!$B$9))))</f>
        <v/>
      </c>
      <c r="BJ427" s="100" t="str">
        <f aca="false">IF($BH427&lt;&gt;Constants!$B$4,"",IF(NOT($AJ427),0,MIN(Constants!$B$35,$BC427)))</f>
        <v/>
      </c>
      <c r="BK427" s="100" t="str">
        <f aca="false">IF($BH427&lt;&gt;Constants!$B$4,"",IF(NOT($AJ427),0,IF($AT427,Constants!$B$18,IF($AS427,Constants!$B$17,0))))</f>
        <v/>
      </c>
      <c r="BL427" s="100" t="str">
        <f aca="false">IF($BH427&lt;&gt;Constants!$B$4,"",IF(NOT($AJ427),0,Constants!$B$19*($AI427+$AU427+$AV427+$AW427)))</f>
        <v/>
      </c>
      <c r="BM427" s="100" t="str">
        <f aca="false">IF($BH427&lt;&gt;Constants!$B$4,"",IF(OR(NOT($AJ427),NOT(ISNUMBER($AX427))),0,CHOOSE($AX427,Constants!$B$13,Constants!$B$14,Constants!$B$15,Constants!$B$16)))</f>
        <v/>
      </c>
      <c r="BN427" s="100" t="str">
        <f aca="false">IF($BH427&lt;&gt;Constants!$B$4,"",IF(NOT($AJ427),0,Constants!$B$20*$AY427))</f>
        <v/>
      </c>
      <c r="BO427" s="100" t="str">
        <f aca="false">IF($BH427&lt;&gt;Constants!$B$4,"",IF(AND($AJ427,$BA427,$BB427),Constants!$B$22,0))</f>
        <v/>
      </c>
      <c r="BP427" s="100" t="str">
        <f aca="false">IF($BH427&lt;&gt;Constants!$B$4,"",IF(OR(NOT($AJ427),NOT($BA427)),0,IF($BF427&gt;=2*$AF$9,0,Constants!$B$23*INT(ROUND(MIN($BF427,$AF$9),6)))))</f>
        <v/>
      </c>
      <c r="BQ427" s="100" t="str">
        <f aca="false">IF($BH427&lt;&gt;Constants!$B$4,"",IF(NOT($AJ427),0,Constants!$B$24*INT(ROUND(MIN($AZ427,$AF$9),6))))</f>
        <v/>
      </c>
      <c r="BR427" s="100" t="str">
        <f aca="false">IF($BH427&lt;&gt;Constants!$B$4,"",IF(AND($AJ427,$BJ427=0),Constants!$B$25,0))</f>
        <v/>
      </c>
      <c r="BS427" s="100" t="str">
        <f aca="false">IF($BH427&lt;&gt;Constants!$B$4,"",MIN(Constants!$B$29,MAX(0,Constants!$B$27*Constants!$B$28*INT(ROUND((Constants!$B$26-$AL427)/Constants!$B$28,6))))+MIN(Constants!$B$29,MAX(0,Constants!$B$27*Constants!$B$28*INT(ROUND((Constants!$B$26-$AM427)/Constants!$B$28,6))))+MIN(Constants!$B$29,MAX(0,Constants!$B$27*Constants!$B$28*INT(ROUND((Constants!$B$26-$AN427)/Constants!$B$28,6)))))</f>
        <v/>
      </c>
      <c r="BT427" s="100" t="str">
        <f aca="false">IF($BH427&lt;&gt;Constants!$B$4,"",IF(NOT($AJ427),0,Constants!$B$31*INT(ROUND(MAX(0,MIN($BF427,2*$AF$9)-$AF$9),6))))</f>
        <v/>
      </c>
      <c r="BU427" s="100" t="str">
        <f aca="false">IF($BH427&lt;&gt;Constants!$B$4,"",Constants!$B$32*(($AL427&gt;Constants!$B$26)+($AM427&gt;Constants!$B$26)+($AN427&gt;Constants!$B$26)))</f>
        <v/>
      </c>
      <c r="BV427" s="100" t="str">
        <f aca="false">IF($BH427&lt;&gt;Constants!$B$4,"",IF(OR(NOT($AJ427),$AO427),0,Constants!$B$33))</f>
        <v/>
      </c>
      <c r="BW427" s="100" t="str">
        <f aca="false">IF($BH427&lt;&gt;Constants!$B$4,"",Constants!$B$34*$BJ427)</f>
        <v/>
      </c>
      <c r="BX427" s="100" t="str">
        <f aca="false">IF($BH427&lt;&gt;Constants!$B$4,"",IF(OR(NOT($AJ427),$BE427),0,Constants!$B$36))</f>
        <v/>
      </c>
      <c r="BY427" s="100" t="str">
        <f aca="false">IF($BH427&lt;&gt;Constants!$B$4,"",IF(OR(NOT($AJ427),$BD427),0,Constants!$B$37))</f>
        <v/>
      </c>
      <c r="BZ427" s="100" t="str">
        <f aca="false">IF($BH427&lt;&gt;Constants!$B$4,"",SUM($BT427:$BY427))</f>
        <v/>
      </c>
      <c r="CA427" s="100" t="str">
        <f aca="false">IF(ISBLANK($C427),"",IF($BH427&lt;&gt;Constants!$B$4,$BH427,SUM($BK427:$BS427)-$BZ427))</f>
        <v/>
      </c>
      <c r="CB427" s="100" t="str">
        <f aca="false">IF(ISBLANK($C427),"",IF($BH427&lt;&gt;Constants!$B$4,$BH427,RANK($CA427,$CA$9:$CA$508)))</f>
        <v/>
      </c>
      <c r="CC427" s="100" t="str">
        <f aca="false">IF(ISBLANK($C427),"",IF($BH427&lt;&gt;Constants!$B$4,$BH427,COUNTIFS($BI$9:$BI$508,"&lt;"&amp;$BI427)+COUNTIFS($BI$9:$BI$508,$BI427,$CB$9:$CB$508,"&lt;"&amp;$CB427)+1))</f>
        <v/>
      </c>
      <c r="CD427" s="100" t="str">
        <f aca="false">IF(ISBLANK($C427),"",IF($BH427&lt;&gt;Constants!$B$4,$BH427,RANK($BZ427,$BZ$9:$BZ$508,1)))</f>
        <v/>
      </c>
      <c r="CE427" s="100" t="str">
        <f aca="false">IF($BH427&lt;&gt;Constants!$B$4,"",$AL427+$AM427+$AN427)</f>
        <v/>
      </c>
      <c r="CF427" s="100" t="str">
        <f aca="false">IF(ISBLANK($C427),"",IF($BH427&lt;&gt;Constants!$B$4,$BH427,RANK($CE427,$CE$9:$CE$508,1)))</f>
        <v/>
      </c>
      <c r="CG427" s="100" t="str">
        <f aca="false">IF(ISBLANK($C427),"",IF($BH427&lt;&gt;Constants!$B$4,$BH427,COUNTIFS($BI$9:$BI$508,"&lt;"&amp;$BI427)+COUNTIFS($BI$9:$BI$508,$BI427,$CB$9:$CB$508,"&lt;"&amp;$CB427)+COUNTIFS($BI$9:$BI$508,$BI427,$CB$9:$CB$508,$CB427,$CD$9:$CD$508,"&lt;"&amp;$CD427)+COUNTIFS($BI$9:$BI$508,$BI427,$CB$9:$CB$508,$CB427,$CD$9:$CD$508,$CD427,$CF$9:$CF$508,"&lt;"&amp;$CF427)+1))</f>
        <v/>
      </c>
      <c r="CH427" s="100" t="str">
        <f aca="false">IF(ISBLANK($C427),"",IF($BH427&lt;&gt;Constants!$B$4,$BH427,$CC427-$CG427))</f>
        <v/>
      </c>
      <c r="CI427" s="100" t="str">
        <f aca="false">IF(ISBLANK($C427),"",IF(NOT($AJ427),"",IF(ISBLANK($D$7),$CI$5,IF(NOT(ISNUMBER($D$7)),$CI$6,""))))</f>
        <v/>
      </c>
      <c r="CJ427" s="100" t="str">
        <f aca="false">IF(ISBLANK($C427),"",OR($AL427="",$AM427="",$AN427=""))</f>
        <v/>
      </c>
      <c r="CK427" s="100" t="str">
        <f aca="false">IF(ISBLANK($C427),"",AND($AJ427,$AX427=""))</f>
        <v/>
      </c>
      <c r="CL427" s="100" t="str">
        <f aca="false">IF(ISBLANK($C427),"",AND($AJ427,$AY427=""))</f>
        <v/>
      </c>
      <c r="CM427" s="100" t="str">
        <f aca="false">IF(ISBLANK($C427),"",AND($AJ427,$AZ427=""))</f>
        <v/>
      </c>
      <c r="CN427" s="100" t="str">
        <f aca="false">IF(ISBLANK($C427),"",AND($AJ427,$BC427=""))</f>
        <v/>
      </c>
      <c r="CO427" s="100" t="str">
        <f aca="false">IF(ISBLANK($C427),"",AND($AJ427,$BF427=""))</f>
        <v/>
      </c>
      <c r="CP427" s="101"/>
      <c r="CQ427" s="102"/>
      <c r="CR427" s="103" t="str">
        <f aca="false">IF(ISBLANK($C427),"",IF($BH427=Constants!$B$8,$CI427,""))</f>
        <v/>
      </c>
      <c r="CS427" s="102" t="str">
        <f aca="false">IF(ISBLANK($C427),"",IF($BH427&lt;&gt;Constants!$B$4,"",$BK427+$BL427))</f>
        <v/>
      </c>
      <c r="CT427" s="104" t="str">
        <f aca="false">IF(ISBLANK($C427),"",IF($BH427&lt;&gt;Constants!$B$4,"",$BM427+$BN427+$BO427))</f>
        <v/>
      </c>
      <c r="CU427" s="104" t="str">
        <f aca="false">IF(ISBLANK($C427),"",IF($BH427&lt;&gt;Constants!$B$4,"",$BP427))</f>
        <v/>
      </c>
      <c r="CV427" s="104" t="str">
        <f aca="false">IF(ISBLANK($C427),"",IF($BH427&lt;&gt;Constants!$B$4,"",$BQ427+$BR427))</f>
        <v/>
      </c>
      <c r="CW427" s="104" t="str">
        <f aca="false">IF(ISBLANK($C427),"",IF($BH427&lt;&gt;Constants!$B$4,"",$BS427))</f>
        <v/>
      </c>
      <c r="CX427" s="104" t="str">
        <f aca="false">IF(ISBLANK($C427),"",IF($BH427&lt;&gt;Constants!$B$4,"",-$BZ427))</f>
        <v/>
      </c>
      <c r="CY427" s="103" t="str">
        <f aca="false">IF(ISBLANK($C427),"",$CA427)</f>
        <v/>
      </c>
      <c r="CZ427" s="105" t="str">
        <f aca="false">IF(ISBLANK($C427),"",$BI427)</f>
        <v/>
      </c>
      <c r="DA427" s="104" t="str">
        <f aca="false">IF(ISBLANK($C427),"",$CH427)</f>
        <v/>
      </c>
      <c r="DB427" s="104" t="str">
        <f aca="false">IF(ISBLANK($C427),"",$CG427)</f>
        <v/>
      </c>
      <c r="DC427" s="106" t="str">
        <f aca="false">IF(ISBLANK($C427),"",IFERROR(_xlfn.SWITCH($DB427,Constants!$B$7,COUNTA($C$9:$C$508)+2,Constants!$B$6,COUNTA($C$9:$C$508)+1,Constants!$B$5,COUNTA($C$9:$C$508)),$DB427))</f>
        <v/>
      </c>
      <c r="DD427" s="7"/>
      <c r="DE427" s="107" t="n">
        <f aca="false">IF(OR(ISNUMBER($DB427),$DB427=Constants!$B$7,$DB427=Constants!$B$5,$DB427=Constants!$B$6),1,0)</f>
        <v>0</v>
      </c>
      <c r="DF427" s="107" t="n">
        <v>419</v>
      </c>
      <c r="DG427" s="107" t="str">
        <f aca="false">IF(ISBLANK($C427),"",IF(ISNUMBER($DC427),$DC427+ROW($B427)/1000,""))</f>
        <v/>
      </c>
      <c r="DH427" s="107" t="str">
        <f aca="false">IF(ISNUMBER($DG427),RANK($DG427,$DG$9:$DG$508,1),"")</f>
        <v/>
      </c>
      <c r="DI427" s="107" t="str">
        <f aca="false">IF(ISBLANK($C427),"",$B427)</f>
        <v/>
      </c>
      <c r="DJ427" s="107" t="str">
        <f aca="false">IF(ISBLANK($C427),"",$C427)</f>
        <v/>
      </c>
      <c r="DK427" s="107" t="str">
        <f aca="false">IF(ISBLANK($C427),"",$D427)</f>
        <v/>
      </c>
      <c r="DL427" s="108" t="str">
        <f aca="false">$CZ427</f>
        <v/>
      </c>
      <c r="DM427" s="109" t="str">
        <f aca="false">$CY427</f>
        <v/>
      </c>
      <c r="DN427" s="107" t="str">
        <f aca="false">IF(ISBLANK($C427),"",$DB427)</f>
        <v/>
      </c>
      <c r="DO427" s="110" t="str">
        <f aca="false">IF($DF427&gt;$DE$8,"",VLOOKUP($DF427,$DH$9:$DN$508,7,FALSE()))</f>
        <v/>
      </c>
      <c r="DP427" s="111" t="str">
        <f aca="false">IF($DF427&gt;$DE$8,"",VLOOKUP($DF427,$DH$9:$DN$508,2,FALSE()))</f>
        <v/>
      </c>
      <c r="DQ427" s="111" t="str">
        <f aca="false">IF($DF427&gt;$DE$8,"",VLOOKUP($DF427,$DH$9:$DN$508,3,FALSE()))</f>
        <v/>
      </c>
      <c r="DR427" s="111" t="str">
        <f aca="false">IF($DF427&gt;$DE$8,"",VLOOKUP($DF427,$DH$9:$DN$508,4,FALSE()))</f>
        <v/>
      </c>
      <c r="DS427" s="111" t="str">
        <f aca="false">IF($DF427&gt;$DE$8,"",VLOOKUP($DF427,$DH$9:$DN$508,5,FALSE()))</f>
        <v/>
      </c>
      <c r="DT427" s="112" t="str">
        <f aca="false">IF($DF427&gt;$DE$8,"",VLOOKUP($DF427,$DH$9:$DN$508,6,FALSE()))</f>
        <v/>
      </c>
      <c r="DU427" s="62"/>
    </row>
    <row r="428" customFormat="false" ht="15.75" hidden="false" customHeight="false" outlineLevel="0" collapsed="false">
      <c r="A428" s="7"/>
      <c r="B428" s="90"/>
      <c r="C428" s="91"/>
      <c r="D428" s="126"/>
      <c r="E428" s="130"/>
      <c r="F428" s="135"/>
      <c r="G428" s="130"/>
      <c r="H428" s="135"/>
      <c r="I428" s="131"/>
      <c r="J428" s="131"/>
      <c r="K428" s="131"/>
      <c r="L428" s="130"/>
      <c r="M428" s="130"/>
      <c r="N428" s="130"/>
      <c r="O428" s="135"/>
      <c r="P428" s="130"/>
      <c r="Q428" s="130"/>
      <c r="R428" s="130"/>
      <c r="S428" s="130"/>
      <c r="T428" s="135"/>
      <c r="U428" s="130"/>
      <c r="V428" s="96"/>
      <c r="W428" s="130"/>
      <c r="X428" s="130"/>
      <c r="Y428" s="96"/>
      <c r="Z428" s="96"/>
      <c r="AA428" s="130"/>
      <c r="AB428" s="130"/>
      <c r="AC428" s="97"/>
      <c r="AD428" s="130"/>
      <c r="AE428" s="99"/>
      <c r="AF428" s="100"/>
      <c r="AG428" s="100"/>
      <c r="AH428" s="100" t="str">
        <f aca="false">IF(ISBLANK($C428),"",IF($E428=Constants!$B$2,TRUE(),IF($E428=Constants!$B$3,FALSE(),TRUE())))</f>
        <v/>
      </c>
      <c r="AI428" s="100" t="str">
        <f aca="false">IF(ISBLANK($C428),"",IF($F428=Constants!$B$2,TRUE(),IF($F428=Constants!$B$3,FALSE(),FALSE())))</f>
        <v/>
      </c>
      <c r="AJ428" s="100" t="str">
        <f aca="false">IF(ISBLANK($C428),"",IF($G428=Constants!$B$2,TRUE(),IF($G428=Constants!$B$3,FALSE(),TRUE())))</f>
        <v/>
      </c>
      <c r="AK428" s="100" t="str">
        <f aca="false">IF(ISBLANK($C428),"",IF($H428=Constants!$B$2,TRUE(),IF($H428=Constants!$B$3,FALSE(),TRUE())))</f>
        <v/>
      </c>
      <c r="AL428" s="100" t="str">
        <f aca="false">IF(ISBLANK($C428),"",IF(ISNUMBER($I428),IF($I428&gt;=0,$I428,""),""))</f>
        <v/>
      </c>
      <c r="AM428" s="100" t="str">
        <f aca="false">IF(ISBLANK($C428),"",IF(ISNUMBER($J428),IF($J428&gt;=0,$J428,""),""))</f>
        <v/>
      </c>
      <c r="AN428" s="100" t="str">
        <f aca="false">IF(ISBLANK($C428),"",IF(ISNUMBER($K428),IF($K428&gt;=0,$K428,""),""))</f>
        <v/>
      </c>
      <c r="AO428" s="100" t="str">
        <f aca="false">IF(ISBLANK($C428),"",IF($L428=Constants!$B$2,TRUE(),IF($L428=Constants!$B$3,FALSE(),TRUE())))</f>
        <v/>
      </c>
      <c r="AP428" s="100" t="str">
        <f aca="false">IF(ISBLANK($C428),"",IF($M428=Constants!$B$2,TRUE(),IF($M428=Constants!$B$3,FALSE(),TRUE())))</f>
        <v/>
      </c>
      <c r="AQ428" s="100" t="str">
        <f aca="false">IF(ISBLANK($C428),"",IF($N428=Constants!$B$2,TRUE(),IF($N428=Constants!$B$3,FALSE(),FALSE())))</f>
        <v/>
      </c>
      <c r="AR428" s="100" t="str">
        <f aca="false">IF(ISBLANK($C428),"",IF($O428=Constants!$B$2,TRUE(),IF($O428=Constants!$B$3,FALSE(),TRUE())))</f>
        <v/>
      </c>
      <c r="AS428" s="100" t="str">
        <f aca="false">IF(ISBLANK($C428),"",IF($P428=Constants!$B$2,TRUE(),IF($P428=Constants!$B$3,FALSE(),FALSE())))</f>
        <v/>
      </c>
      <c r="AT428" s="100" t="str">
        <f aca="false">IF(ISBLANK($C428),"",IF($Q428=Constants!$B$2,TRUE(),IF($Q428=Constants!$B$3,FALSE(),FALSE())))</f>
        <v/>
      </c>
      <c r="AU428" s="100" t="str">
        <f aca="false">IF(ISBLANK($C428),"",IF($R428=Constants!$B$2,TRUE(),IF($R428=Constants!$B$3,FALSE(),FALSE())))</f>
        <v/>
      </c>
      <c r="AV428" s="100" t="str">
        <f aca="false">IF(ISBLANK($C428),"",IF($S428=Constants!$B$2,TRUE(),IF($S428=Constants!$B$3,FALSE(),FALSE())))</f>
        <v/>
      </c>
      <c r="AW428" s="100" t="str">
        <f aca="false">IF(ISBLANK($C428),"",IF($T428=Constants!$B$2,TRUE(),IF($T428=Constants!$B$3,FALSE(),FALSE())))</f>
        <v/>
      </c>
      <c r="AX428" s="100" t="str">
        <f aca="false">IF(ISBLANK($C428),"",IF(OR($U428&amp;""="1",$U428&amp;""="2",$U428&amp;""="3",$U428&amp;""="4"),VALUE($U428&amp;""),IF($U428=Constants!$B$12,Constants!$B$12,"")))</f>
        <v/>
      </c>
      <c r="AY428" s="100" t="str">
        <f aca="false">IF(ISBLANK($C428),"",IF(ISBLANK($V428),0,IF(ISNUMBER($V428),IF(AND($V428&gt;=0,$V428&lt;=Constants!$B$21,$V428=INT($V428)),$V428,""),"")))</f>
        <v/>
      </c>
      <c r="AZ428" s="100" t="str">
        <f aca="false">IF(ISBLANK($C428),"",IF(ISBLANK($W428),0,IF(ISNUMBER($W428),IF($W428&gt;=0,$W428,""),"")))</f>
        <v/>
      </c>
      <c r="BA428" s="100" t="str">
        <f aca="false">IF(ISBLANK($C428),"",IF($X428=Constants!$B$2,TRUE(),IF($X428=Constants!$B$3,FALSE(),TRUE())))</f>
        <v/>
      </c>
      <c r="BB428" s="100" t="str">
        <f aca="false">IF(ISBLANK($C428),"",IF($Y428=Constants!$B$2,TRUE(),IF($Y428=Constants!$B$3,FALSE(),FALSE())))</f>
        <v/>
      </c>
      <c r="BC428" s="100" t="str">
        <f aca="false">IF(ISBLANK($C428),"",IF(ISBLANK($Z428),0,IF(ISNUMBER($Z428),IF(AND($Z428&gt;=0,$Z428&lt;=Constants!$B$35,$Z428=INT($Z428)),$Z428,""),"")))</f>
        <v/>
      </c>
      <c r="BD428" s="100" t="str">
        <f aca="false">IF(ISBLANK($C428),"",IF($AA428=Constants!$B$2,TRUE(),IF($AA428=Constants!$B$3,FALSE(),TRUE())))</f>
        <v/>
      </c>
      <c r="BE428" s="100" t="str">
        <f aca="false">IF(ISBLANK($C428),"",IF($AB428=Constants!$B$2,TRUE(),IF($AB428=Constants!$B$3,FALSE(),TRUE())))</f>
        <v/>
      </c>
      <c r="BF428" s="100" t="str">
        <f aca="false">IF(ISBLANK($C428),"",IF(ISNUMBER($AC428),IF($AC428&gt;=0,$AC428,""),""))</f>
        <v/>
      </c>
      <c r="BG428" s="100" t="str">
        <f aca="false">IF(ISBLANK($C428),"",IF($AD428=Constants!$B$2,TRUE(),IF($AD428=Constants!$B$3,FALSE(),FALSE())))</f>
        <v/>
      </c>
      <c r="BH428" s="99" t="str">
        <f aca="false">IF(ISBLANK($C428),"",IF($BG428,Constants!$B$7,IF(COUNTA($E428:$AC428)=0,Constants!$B$6,IF(OR(COUNTA($G428:$AC428)=0,NOT($AK428),$AQ428),Constants!$B$5,IF(OR($CI428&lt;&gt;"",$CJ428,$CK428,$CL428,$CM428,$CN428,$CO428),Constants!$B$8,Constants!$B$4)))))</f>
        <v/>
      </c>
      <c r="BI428" s="100" t="str">
        <f aca="false">IF(ISBLANK($C428),"",IF($BH428&lt;&gt;Constants!$B$4,$BH428,IF(OR(NOT($AH428),NOT($AJ428),NOT($AR428)),Constants!$B$11,IF(OR(NOT($AP428),MAX($AL428,$AM428,$AN428)&gt;Constants!$B$30),Constants!$B$10,Constants!$B$9))))</f>
        <v/>
      </c>
      <c r="BJ428" s="100" t="str">
        <f aca="false">IF($BH428&lt;&gt;Constants!$B$4,"",IF(NOT($AJ428),0,MIN(Constants!$B$35,$BC428)))</f>
        <v/>
      </c>
      <c r="BK428" s="100" t="str">
        <f aca="false">IF($BH428&lt;&gt;Constants!$B$4,"",IF(NOT($AJ428),0,IF($AT428,Constants!$B$18,IF($AS428,Constants!$B$17,0))))</f>
        <v/>
      </c>
      <c r="BL428" s="100" t="str">
        <f aca="false">IF($BH428&lt;&gt;Constants!$B$4,"",IF(NOT($AJ428),0,Constants!$B$19*($AI428+$AU428+$AV428+$AW428)))</f>
        <v/>
      </c>
      <c r="BM428" s="100" t="str">
        <f aca="false">IF($BH428&lt;&gt;Constants!$B$4,"",IF(OR(NOT($AJ428),NOT(ISNUMBER($AX428))),0,CHOOSE($AX428,Constants!$B$13,Constants!$B$14,Constants!$B$15,Constants!$B$16)))</f>
        <v/>
      </c>
      <c r="BN428" s="100" t="str">
        <f aca="false">IF($BH428&lt;&gt;Constants!$B$4,"",IF(NOT($AJ428),0,Constants!$B$20*$AY428))</f>
        <v/>
      </c>
      <c r="BO428" s="100" t="str">
        <f aca="false">IF($BH428&lt;&gt;Constants!$B$4,"",IF(AND($AJ428,$BA428,$BB428),Constants!$B$22,0))</f>
        <v/>
      </c>
      <c r="BP428" s="100" t="str">
        <f aca="false">IF($BH428&lt;&gt;Constants!$B$4,"",IF(OR(NOT($AJ428),NOT($BA428)),0,IF($BF428&gt;=2*$AF$9,0,Constants!$B$23*INT(ROUND(MIN($BF428,$AF$9),6)))))</f>
        <v/>
      </c>
      <c r="BQ428" s="100" t="str">
        <f aca="false">IF($BH428&lt;&gt;Constants!$B$4,"",IF(NOT($AJ428),0,Constants!$B$24*INT(ROUND(MIN($AZ428,$AF$9),6))))</f>
        <v/>
      </c>
      <c r="BR428" s="100" t="str">
        <f aca="false">IF($BH428&lt;&gt;Constants!$B$4,"",IF(AND($AJ428,$BJ428=0),Constants!$B$25,0))</f>
        <v/>
      </c>
      <c r="BS428" s="100" t="str">
        <f aca="false">IF($BH428&lt;&gt;Constants!$B$4,"",MIN(Constants!$B$29,MAX(0,Constants!$B$27*Constants!$B$28*INT(ROUND((Constants!$B$26-$AL428)/Constants!$B$28,6))))+MIN(Constants!$B$29,MAX(0,Constants!$B$27*Constants!$B$28*INT(ROUND((Constants!$B$26-$AM428)/Constants!$B$28,6))))+MIN(Constants!$B$29,MAX(0,Constants!$B$27*Constants!$B$28*INT(ROUND((Constants!$B$26-$AN428)/Constants!$B$28,6)))))</f>
        <v/>
      </c>
      <c r="BT428" s="100" t="str">
        <f aca="false">IF($BH428&lt;&gt;Constants!$B$4,"",IF(NOT($AJ428),0,Constants!$B$31*INT(ROUND(MAX(0,MIN($BF428,2*$AF$9)-$AF$9),6))))</f>
        <v/>
      </c>
      <c r="BU428" s="100" t="str">
        <f aca="false">IF($BH428&lt;&gt;Constants!$B$4,"",Constants!$B$32*(($AL428&gt;Constants!$B$26)+($AM428&gt;Constants!$B$26)+($AN428&gt;Constants!$B$26)))</f>
        <v/>
      </c>
      <c r="BV428" s="100" t="str">
        <f aca="false">IF($BH428&lt;&gt;Constants!$B$4,"",IF(OR(NOT($AJ428),$AO428),0,Constants!$B$33))</f>
        <v/>
      </c>
      <c r="BW428" s="100" t="str">
        <f aca="false">IF($BH428&lt;&gt;Constants!$B$4,"",Constants!$B$34*$BJ428)</f>
        <v/>
      </c>
      <c r="BX428" s="100" t="str">
        <f aca="false">IF($BH428&lt;&gt;Constants!$B$4,"",IF(OR(NOT($AJ428),$BE428),0,Constants!$B$36))</f>
        <v/>
      </c>
      <c r="BY428" s="100" t="str">
        <f aca="false">IF($BH428&lt;&gt;Constants!$B$4,"",IF(OR(NOT($AJ428),$BD428),0,Constants!$B$37))</f>
        <v/>
      </c>
      <c r="BZ428" s="100" t="str">
        <f aca="false">IF($BH428&lt;&gt;Constants!$B$4,"",SUM($BT428:$BY428))</f>
        <v/>
      </c>
      <c r="CA428" s="100" t="str">
        <f aca="false">IF(ISBLANK($C428),"",IF($BH428&lt;&gt;Constants!$B$4,$BH428,SUM($BK428:$BS428)-$BZ428))</f>
        <v/>
      </c>
      <c r="CB428" s="100" t="str">
        <f aca="false">IF(ISBLANK($C428),"",IF($BH428&lt;&gt;Constants!$B$4,$BH428,RANK($CA428,$CA$9:$CA$508)))</f>
        <v/>
      </c>
      <c r="CC428" s="100" t="str">
        <f aca="false">IF(ISBLANK($C428),"",IF($BH428&lt;&gt;Constants!$B$4,$BH428,COUNTIFS($BI$9:$BI$508,"&lt;"&amp;$BI428)+COUNTIFS($BI$9:$BI$508,$BI428,$CB$9:$CB$508,"&lt;"&amp;$CB428)+1))</f>
        <v/>
      </c>
      <c r="CD428" s="100" t="str">
        <f aca="false">IF(ISBLANK($C428),"",IF($BH428&lt;&gt;Constants!$B$4,$BH428,RANK($BZ428,$BZ$9:$BZ$508,1)))</f>
        <v/>
      </c>
      <c r="CE428" s="100" t="str">
        <f aca="false">IF($BH428&lt;&gt;Constants!$B$4,"",$AL428+$AM428+$AN428)</f>
        <v/>
      </c>
      <c r="CF428" s="100" t="str">
        <f aca="false">IF(ISBLANK($C428),"",IF($BH428&lt;&gt;Constants!$B$4,$BH428,RANK($CE428,$CE$9:$CE$508,1)))</f>
        <v/>
      </c>
      <c r="CG428" s="100" t="str">
        <f aca="false">IF(ISBLANK($C428),"",IF($BH428&lt;&gt;Constants!$B$4,$BH428,COUNTIFS($BI$9:$BI$508,"&lt;"&amp;$BI428)+COUNTIFS($BI$9:$BI$508,$BI428,$CB$9:$CB$508,"&lt;"&amp;$CB428)+COUNTIFS($BI$9:$BI$508,$BI428,$CB$9:$CB$508,$CB428,$CD$9:$CD$508,"&lt;"&amp;$CD428)+COUNTIFS($BI$9:$BI$508,$BI428,$CB$9:$CB$508,$CB428,$CD$9:$CD$508,$CD428,$CF$9:$CF$508,"&lt;"&amp;$CF428)+1))</f>
        <v/>
      </c>
      <c r="CH428" s="100" t="str">
        <f aca="false">IF(ISBLANK($C428),"",IF($BH428&lt;&gt;Constants!$B$4,$BH428,$CC428-$CG428))</f>
        <v/>
      </c>
      <c r="CI428" s="100" t="str">
        <f aca="false">IF(ISBLANK($C428),"",IF(NOT($AJ428),"",IF(ISBLANK($D$7),$CI$5,IF(NOT(ISNUMBER($D$7)),$CI$6,""))))</f>
        <v/>
      </c>
      <c r="CJ428" s="100" t="str">
        <f aca="false">IF(ISBLANK($C428),"",OR($AL428="",$AM428="",$AN428=""))</f>
        <v/>
      </c>
      <c r="CK428" s="100" t="str">
        <f aca="false">IF(ISBLANK($C428),"",AND($AJ428,$AX428=""))</f>
        <v/>
      </c>
      <c r="CL428" s="100" t="str">
        <f aca="false">IF(ISBLANK($C428),"",AND($AJ428,$AY428=""))</f>
        <v/>
      </c>
      <c r="CM428" s="100" t="str">
        <f aca="false">IF(ISBLANK($C428),"",AND($AJ428,$AZ428=""))</f>
        <v/>
      </c>
      <c r="CN428" s="100" t="str">
        <f aca="false">IF(ISBLANK($C428),"",AND($AJ428,$BC428=""))</f>
        <v/>
      </c>
      <c r="CO428" s="100" t="str">
        <f aca="false">IF(ISBLANK($C428),"",AND($AJ428,$BF428=""))</f>
        <v/>
      </c>
      <c r="CP428" s="101"/>
      <c r="CQ428" s="102"/>
      <c r="CR428" s="103" t="str">
        <f aca="false">IF(ISBLANK($C428),"",IF($BH428=Constants!$B$8,$CI428,""))</f>
        <v/>
      </c>
      <c r="CS428" s="102" t="str">
        <f aca="false">IF(ISBLANK($C428),"",IF($BH428&lt;&gt;Constants!$B$4,"",$BK428+$BL428))</f>
        <v/>
      </c>
      <c r="CT428" s="104" t="str">
        <f aca="false">IF(ISBLANK($C428),"",IF($BH428&lt;&gt;Constants!$B$4,"",$BM428+$BN428+$BO428))</f>
        <v/>
      </c>
      <c r="CU428" s="104" t="str">
        <f aca="false">IF(ISBLANK($C428),"",IF($BH428&lt;&gt;Constants!$B$4,"",$BP428))</f>
        <v/>
      </c>
      <c r="CV428" s="104" t="str">
        <f aca="false">IF(ISBLANK($C428),"",IF($BH428&lt;&gt;Constants!$B$4,"",$BQ428+$BR428))</f>
        <v/>
      </c>
      <c r="CW428" s="104" t="str">
        <f aca="false">IF(ISBLANK($C428),"",IF($BH428&lt;&gt;Constants!$B$4,"",$BS428))</f>
        <v/>
      </c>
      <c r="CX428" s="104" t="str">
        <f aca="false">IF(ISBLANK($C428),"",IF($BH428&lt;&gt;Constants!$B$4,"",-$BZ428))</f>
        <v/>
      </c>
      <c r="CY428" s="103" t="str">
        <f aca="false">IF(ISBLANK($C428),"",$CA428)</f>
        <v/>
      </c>
      <c r="CZ428" s="105" t="str">
        <f aca="false">IF(ISBLANK($C428),"",$BI428)</f>
        <v/>
      </c>
      <c r="DA428" s="104" t="str">
        <f aca="false">IF(ISBLANK($C428),"",$CH428)</f>
        <v/>
      </c>
      <c r="DB428" s="104" t="str">
        <f aca="false">IF(ISBLANK($C428),"",$CG428)</f>
        <v/>
      </c>
      <c r="DC428" s="106" t="str">
        <f aca="false">IF(ISBLANK($C428),"",IFERROR(_xlfn.SWITCH($DB428,Constants!$B$7,COUNTA($C$9:$C$508)+2,Constants!$B$6,COUNTA($C$9:$C$508)+1,Constants!$B$5,COUNTA($C$9:$C$508)),$DB428))</f>
        <v/>
      </c>
      <c r="DD428" s="7"/>
      <c r="DE428" s="107" t="n">
        <f aca="false">IF(OR(ISNUMBER($DB428),$DB428=Constants!$B$7,$DB428=Constants!$B$5,$DB428=Constants!$B$6),1,0)</f>
        <v>0</v>
      </c>
      <c r="DF428" s="107" t="n">
        <v>420</v>
      </c>
      <c r="DG428" s="107" t="str">
        <f aca="false">IF(ISBLANK($C428),"",IF(ISNUMBER($DC428),$DC428+ROW($B428)/1000,""))</f>
        <v/>
      </c>
      <c r="DH428" s="107" t="str">
        <f aca="false">IF(ISNUMBER($DG428),RANK($DG428,$DG$9:$DG$508,1),"")</f>
        <v/>
      </c>
      <c r="DI428" s="107" t="str">
        <f aca="false">IF(ISBLANK($C428),"",$B428)</f>
        <v/>
      </c>
      <c r="DJ428" s="107" t="str">
        <f aca="false">IF(ISBLANK($C428),"",$C428)</f>
        <v/>
      </c>
      <c r="DK428" s="107" t="str">
        <f aca="false">IF(ISBLANK($C428),"",$D428)</f>
        <v/>
      </c>
      <c r="DL428" s="108" t="str">
        <f aca="false">$CZ428</f>
        <v/>
      </c>
      <c r="DM428" s="109" t="str">
        <f aca="false">$CY428</f>
        <v/>
      </c>
      <c r="DN428" s="107" t="str">
        <f aca="false">IF(ISBLANK($C428),"",$DB428)</f>
        <v/>
      </c>
      <c r="DO428" s="110" t="str">
        <f aca="false">IF($DF428&gt;$DE$8,"",VLOOKUP($DF428,$DH$9:$DN$508,7,FALSE()))</f>
        <v/>
      </c>
      <c r="DP428" s="111" t="str">
        <f aca="false">IF($DF428&gt;$DE$8,"",VLOOKUP($DF428,$DH$9:$DN$508,2,FALSE()))</f>
        <v/>
      </c>
      <c r="DQ428" s="111" t="str">
        <f aca="false">IF($DF428&gt;$DE$8,"",VLOOKUP($DF428,$DH$9:$DN$508,3,FALSE()))</f>
        <v/>
      </c>
      <c r="DR428" s="111" t="str">
        <f aca="false">IF($DF428&gt;$DE$8,"",VLOOKUP($DF428,$DH$9:$DN$508,4,FALSE()))</f>
        <v/>
      </c>
      <c r="DS428" s="111" t="str">
        <f aca="false">IF($DF428&gt;$DE$8,"",VLOOKUP($DF428,$DH$9:$DN$508,5,FALSE()))</f>
        <v/>
      </c>
      <c r="DT428" s="112" t="str">
        <f aca="false">IF($DF428&gt;$DE$8,"",VLOOKUP($DF428,$DH$9:$DN$508,6,FALSE()))</f>
        <v/>
      </c>
      <c r="DU428" s="62"/>
    </row>
    <row r="429" customFormat="false" ht="15.75" hidden="false" customHeight="false" outlineLevel="0" collapsed="false">
      <c r="A429" s="7"/>
      <c r="B429" s="64"/>
      <c r="C429" s="65"/>
      <c r="D429" s="123"/>
      <c r="E429" s="88"/>
      <c r="F429" s="134"/>
      <c r="G429" s="88"/>
      <c r="H429" s="134"/>
      <c r="I429" s="119"/>
      <c r="J429" s="119"/>
      <c r="K429" s="119"/>
      <c r="L429" s="88"/>
      <c r="M429" s="88"/>
      <c r="N429" s="88"/>
      <c r="O429" s="134"/>
      <c r="P429" s="88"/>
      <c r="Q429" s="88"/>
      <c r="R429" s="88"/>
      <c r="S429" s="88"/>
      <c r="T429" s="134"/>
      <c r="U429" s="88"/>
      <c r="V429" s="70"/>
      <c r="W429" s="88"/>
      <c r="X429" s="88"/>
      <c r="Y429" s="70"/>
      <c r="Z429" s="70"/>
      <c r="AA429" s="88"/>
      <c r="AB429" s="88"/>
      <c r="AC429" s="71"/>
      <c r="AD429" s="88"/>
      <c r="AE429" s="73"/>
      <c r="AF429" s="74"/>
      <c r="AG429" s="74"/>
      <c r="AH429" s="74" t="str">
        <f aca="false">IF(ISBLANK($C429),"",IF($E429=Constants!$B$2,TRUE(),IF($E429=Constants!$B$3,FALSE(),TRUE())))</f>
        <v/>
      </c>
      <c r="AI429" s="74" t="str">
        <f aca="false">IF(ISBLANK($C429),"",IF($F429=Constants!$B$2,TRUE(),IF($F429=Constants!$B$3,FALSE(),FALSE())))</f>
        <v/>
      </c>
      <c r="AJ429" s="74" t="str">
        <f aca="false">IF(ISBLANK($C429),"",IF($G429=Constants!$B$2,TRUE(),IF($G429=Constants!$B$3,FALSE(),TRUE())))</f>
        <v/>
      </c>
      <c r="AK429" s="74" t="str">
        <f aca="false">IF(ISBLANK($C429),"",IF($H429=Constants!$B$2,TRUE(),IF($H429=Constants!$B$3,FALSE(),TRUE())))</f>
        <v/>
      </c>
      <c r="AL429" s="74" t="str">
        <f aca="false">IF(ISBLANK($C429),"",IF(ISNUMBER($I429),IF($I429&gt;=0,$I429,""),""))</f>
        <v/>
      </c>
      <c r="AM429" s="74" t="str">
        <f aca="false">IF(ISBLANK($C429),"",IF(ISNUMBER($J429),IF($J429&gt;=0,$J429,""),""))</f>
        <v/>
      </c>
      <c r="AN429" s="74" t="str">
        <f aca="false">IF(ISBLANK($C429),"",IF(ISNUMBER($K429),IF($K429&gt;=0,$K429,""),""))</f>
        <v/>
      </c>
      <c r="AO429" s="74" t="str">
        <f aca="false">IF(ISBLANK($C429),"",IF($L429=Constants!$B$2,TRUE(),IF($L429=Constants!$B$3,FALSE(),TRUE())))</f>
        <v/>
      </c>
      <c r="AP429" s="74" t="str">
        <f aca="false">IF(ISBLANK($C429),"",IF($M429=Constants!$B$2,TRUE(),IF($M429=Constants!$B$3,FALSE(),TRUE())))</f>
        <v/>
      </c>
      <c r="AQ429" s="74" t="str">
        <f aca="false">IF(ISBLANK($C429),"",IF($N429=Constants!$B$2,TRUE(),IF($N429=Constants!$B$3,FALSE(),FALSE())))</f>
        <v/>
      </c>
      <c r="AR429" s="74" t="str">
        <f aca="false">IF(ISBLANK($C429),"",IF($O429=Constants!$B$2,TRUE(),IF($O429=Constants!$B$3,FALSE(),TRUE())))</f>
        <v/>
      </c>
      <c r="AS429" s="74" t="str">
        <f aca="false">IF(ISBLANK($C429),"",IF($P429=Constants!$B$2,TRUE(),IF($P429=Constants!$B$3,FALSE(),FALSE())))</f>
        <v/>
      </c>
      <c r="AT429" s="74" t="str">
        <f aca="false">IF(ISBLANK($C429),"",IF($Q429=Constants!$B$2,TRUE(),IF($Q429=Constants!$B$3,FALSE(),FALSE())))</f>
        <v/>
      </c>
      <c r="AU429" s="74" t="str">
        <f aca="false">IF(ISBLANK($C429),"",IF($R429=Constants!$B$2,TRUE(),IF($R429=Constants!$B$3,FALSE(),FALSE())))</f>
        <v/>
      </c>
      <c r="AV429" s="74" t="str">
        <f aca="false">IF(ISBLANK($C429),"",IF($S429=Constants!$B$2,TRUE(),IF($S429=Constants!$B$3,FALSE(),FALSE())))</f>
        <v/>
      </c>
      <c r="AW429" s="74" t="str">
        <f aca="false">IF(ISBLANK($C429),"",IF($T429=Constants!$B$2,TRUE(),IF($T429=Constants!$B$3,FALSE(),FALSE())))</f>
        <v/>
      </c>
      <c r="AX429" s="74" t="str">
        <f aca="false">IF(ISBLANK($C429),"",IF(OR($U429&amp;""="1",$U429&amp;""="2",$U429&amp;""="3",$U429&amp;""="4"),VALUE($U429&amp;""),IF($U429=Constants!$B$12,Constants!$B$12,"")))</f>
        <v/>
      </c>
      <c r="AY429" s="74" t="str">
        <f aca="false">IF(ISBLANK($C429),"",IF(ISBLANK($V429),0,IF(ISNUMBER($V429),IF(AND($V429&gt;=0,$V429&lt;=Constants!$B$21,$V429=INT($V429)),$V429,""),"")))</f>
        <v/>
      </c>
      <c r="AZ429" s="74" t="str">
        <f aca="false">IF(ISBLANK($C429),"",IF(ISBLANK($W429),0,IF(ISNUMBER($W429),IF($W429&gt;=0,$W429,""),"")))</f>
        <v/>
      </c>
      <c r="BA429" s="74" t="str">
        <f aca="false">IF(ISBLANK($C429),"",IF($X429=Constants!$B$2,TRUE(),IF($X429=Constants!$B$3,FALSE(),TRUE())))</f>
        <v/>
      </c>
      <c r="BB429" s="74" t="str">
        <f aca="false">IF(ISBLANK($C429),"",IF($Y429=Constants!$B$2,TRUE(),IF($Y429=Constants!$B$3,FALSE(),FALSE())))</f>
        <v/>
      </c>
      <c r="BC429" s="74" t="str">
        <f aca="false">IF(ISBLANK($C429),"",IF(ISBLANK($Z429),0,IF(ISNUMBER($Z429),IF(AND($Z429&gt;=0,$Z429&lt;=Constants!$B$35,$Z429=INT($Z429)),$Z429,""),"")))</f>
        <v/>
      </c>
      <c r="BD429" s="74" t="str">
        <f aca="false">IF(ISBLANK($C429),"",IF($AA429=Constants!$B$2,TRUE(),IF($AA429=Constants!$B$3,FALSE(),TRUE())))</f>
        <v/>
      </c>
      <c r="BE429" s="74" t="str">
        <f aca="false">IF(ISBLANK($C429),"",IF($AB429=Constants!$B$2,TRUE(),IF($AB429=Constants!$B$3,FALSE(),TRUE())))</f>
        <v/>
      </c>
      <c r="BF429" s="74" t="str">
        <f aca="false">IF(ISBLANK($C429),"",IF(ISNUMBER($AC429),IF($AC429&gt;=0,$AC429,""),""))</f>
        <v/>
      </c>
      <c r="BG429" s="74" t="str">
        <f aca="false">IF(ISBLANK($C429),"",IF($AD429=Constants!$B$2,TRUE(),IF($AD429=Constants!$B$3,FALSE(),FALSE())))</f>
        <v/>
      </c>
      <c r="BH429" s="73" t="str">
        <f aca="false">IF(ISBLANK($C429),"",IF($BG429,Constants!$B$7,IF(COUNTA($E429:$AC429)=0,Constants!$B$6,IF(OR(COUNTA($G429:$AC429)=0,NOT($AK429),$AQ429),Constants!$B$5,IF(OR($CI429&lt;&gt;"",$CJ429,$CK429,$CL429,$CM429,$CN429,$CO429),Constants!$B$8,Constants!$B$4)))))</f>
        <v/>
      </c>
      <c r="BI429" s="74" t="str">
        <f aca="false">IF(ISBLANK($C429),"",IF($BH429&lt;&gt;Constants!$B$4,$BH429,IF(OR(NOT($AH429),NOT($AJ429),NOT($AR429)),Constants!$B$11,IF(OR(NOT($AP429),MAX($AL429,$AM429,$AN429)&gt;Constants!$B$30),Constants!$B$10,Constants!$B$9))))</f>
        <v/>
      </c>
      <c r="BJ429" s="74" t="str">
        <f aca="false">IF($BH429&lt;&gt;Constants!$B$4,"",IF(NOT($AJ429),0,MIN(Constants!$B$35,$BC429)))</f>
        <v/>
      </c>
      <c r="BK429" s="74" t="str">
        <f aca="false">IF($BH429&lt;&gt;Constants!$B$4,"",IF(NOT($AJ429),0,IF($AT429,Constants!$B$18,IF($AS429,Constants!$B$17,0))))</f>
        <v/>
      </c>
      <c r="BL429" s="74" t="str">
        <f aca="false">IF($BH429&lt;&gt;Constants!$B$4,"",IF(NOT($AJ429),0,Constants!$B$19*($AI429+$AU429+$AV429+$AW429)))</f>
        <v/>
      </c>
      <c r="BM429" s="74" t="str">
        <f aca="false">IF($BH429&lt;&gt;Constants!$B$4,"",IF(OR(NOT($AJ429),NOT(ISNUMBER($AX429))),0,CHOOSE($AX429,Constants!$B$13,Constants!$B$14,Constants!$B$15,Constants!$B$16)))</f>
        <v/>
      </c>
      <c r="BN429" s="74" t="str">
        <f aca="false">IF($BH429&lt;&gt;Constants!$B$4,"",IF(NOT($AJ429),0,Constants!$B$20*$AY429))</f>
        <v/>
      </c>
      <c r="BO429" s="74" t="str">
        <f aca="false">IF($BH429&lt;&gt;Constants!$B$4,"",IF(AND($AJ429,$BA429,$BB429),Constants!$B$22,0))</f>
        <v/>
      </c>
      <c r="BP429" s="74" t="str">
        <f aca="false">IF($BH429&lt;&gt;Constants!$B$4,"",IF(OR(NOT($AJ429),NOT($BA429)),0,IF($BF429&gt;=2*$AF$9,0,Constants!$B$23*INT(ROUND(MIN($BF429,$AF$9),6)))))</f>
        <v/>
      </c>
      <c r="BQ429" s="74" t="str">
        <f aca="false">IF($BH429&lt;&gt;Constants!$B$4,"",IF(NOT($AJ429),0,Constants!$B$24*INT(ROUND(MIN($AZ429,$AF$9),6))))</f>
        <v/>
      </c>
      <c r="BR429" s="74" t="str">
        <f aca="false">IF($BH429&lt;&gt;Constants!$B$4,"",IF(AND($AJ429,$BJ429=0),Constants!$B$25,0))</f>
        <v/>
      </c>
      <c r="BS429" s="74" t="str">
        <f aca="false">IF($BH429&lt;&gt;Constants!$B$4,"",MIN(Constants!$B$29,MAX(0,Constants!$B$27*Constants!$B$28*INT(ROUND((Constants!$B$26-$AL429)/Constants!$B$28,6))))+MIN(Constants!$B$29,MAX(0,Constants!$B$27*Constants!$B$28*INT(ROUND((Constants!$B$26-$AM429)/Constants!$B$28,6))))+MIN(Constants!$B$29,MAX(0,Constants!$B$27*Constants!$B$28*INT(ROUND((Constants!$B$26-$AN429)/Constants!$B$28,6)))))</f>
        <v/>
      </c>
      <c r="BT429" s="74" t="str">
        <f aca="false">IF($BH429&lt;&gt;Constants!$B$4,"",IF(NOT($AJ429),0,Constants!$B$31*INT(ROUND(MAX(0,MIN($BF429,2*$AF$9)-$AF$9),6))))</f>
        <v/>
      </c>
      <c r="BU429" s="74" t="str">
        <f aca="false">IF($BH429&lt;&gt;Constants!$B$4,"",Constants!$B$32*(($AL429&gt;Constants!$B$26)+($AM429&gt;Constants!$B$26)+($AN429&gt;Constants!$B$26)))</f>
        <v/>
      </c>
      <c r="BV429" s="74" t="str">
        <f aca="false">IF($BH429&lt;&gt;Constants!$B$4,"",IF(OR(NOT($AJ429),$AO429),0,Constants!$B$33))</f>
        <v/>
      </c>
      <c r="BW429" s="74" t="str">
        <f aca="false">IF($BH429&lt;&gt;Constants!$B$4,"",Constants!$B$34*$BJ429)</f>
        <v/>
      </c>
      <c r="BX429" s="74" t="str">
        <f aca="false">IF($BH429&lt;&gt;Constants!$B$4,"",IF(OR(NOT($AJ429),$BE429),0,Constants!$B$36))</f>
        <v/>
      </c>
      <c r="BY429" s="74" t="str">
        <f aca="false">IF($BH429&lt;&gt;Constants!$B$4,"",IF(OR(NOT($AJ429),$BD429),0,Constants!$B$37))</f>
        <v/>
      </c>
      <c r="BZ429" s="74" t="str">
        <f aca="false">IF($BH429&lt;&gt;Constants!$B$4,"",SUM($BT429:$BY429))</f>
        <v/>
      </c>
      <c r="CA429" s="74" t="str">
        <f aca="false">IF(ISBLANK($C429),"",IF($BH429&lt;&gt;Constants!$B$4,$BH429,SUM($BK429:$BS429)-$BZ429))</f>
        <v/>
      </c>
      <c r="CB429" s="74" t="str">
        <f aca="false">IF(ISBLANK($C429),"",IF($BH429&lt;&gt;Constants!$B$4,$BH429,RANK($CA429,$CA$9:$CA$508)))</f>
        <v/>
      </c>
      <c r="CC429" s="74" t="str">
        <f aca="false">IF(ISBLANK($C429),"",IF($BH429&lt;&gt;Constants!$B$4,$BH429,COUNTIFS($BI$9:$BI$508,"&lt;"&amp;$BI429)+COUNTIFS($BI$9:$BI$508,$BI429,$CB$9:$CB$508,"&lt;"&amp;$CB429)+1))</f>
        <v/>
      </c>
      <c r="CD429" s="74" t="str">
        <f aca="false">IF(ISBLANK($C429),"",IF($BH429&lt;&gt;Constants!$B$4,$BH429,RANK($BZ429,$BZ$9:$BZ$508,1)))</f>
        <v/>
      </c>
      <c r="CE429" s="74" t="str">
        <f aca="false">IF($BH429&lt;&gt;Constants!$B$4,"",$AL429+$AM429+$AN429)</f>
        <v/>
      </c>
      <c r="CF429" s="74" t="str">
        <f aca="false">IF(ISBLANK($C429),"",IF($BH429&lt;&gt;Constants!$B$4,$BH429,RANK($CE429,$CE$9:$CE$508,1)))</f>
        <v/>
      </c>
      <c r="CG429" s="74" t="str">
        <f aca="false">IF(ISBLANK($C429),"",IF($BH429&lt;&gt;Constants!$B$4,$BH429,COUNTIFS($BI$9:$BI$508,"&lt;"&amp;$BI429)+COUNTIFS($BI$9:$BI$508,$BI429,$CB$9:$CB$508,"&lt;"&amp;$CB429)+COUNTIFS($BI$9:$BI$508,$BI429,$CB$9:$CB$508,$CB429,$CD$9:$CD$508,"&lt;"&amp;$CD429)+COUNTIFS($BI$9:$BI$508,$BI429,$CB$9:$CB$508,$CB429,$CD$9:$CD$508,$CD429,$CF$9:$CF$508,"&lt;"&amp;$CF429)+1))</f>
        <v/>
      </c>
      <c r="CH429" s="74" t="str">
        <f aca="false">IF(ISBLANK($C429),"",IF($BH429&lt;&gt;Constants!$B$4,$BH429,$CC429-$CG429))</f>
        <v/>
      </c>
      <c r="CI429" s="74" t="str">
        <f aca="false">IF(ISBLANK($C429),"",IF(NOT($AJ429),"",IF(ISBLANK($D$7),$CI$5,IF(NOT(ISNUMBER($D$7)),$CI$6,""))))</f>
        <v/>
      </c>
      <c r="CJ429" s="74" t="str">
        <f aca="false">IF(ISBLANK($C429),"",OR($AL429="",$AM429="",$AN429=""))</f>
        <v/>
      </c>
      <c r="CK429" s="74" t="str">
        <f aca="false">IF(ISBLANK($C429),"",AND($AJ429,$AX429=""))</f>
        <v/>
      </c>
      <c r="CL429" s="74" t="str">
        <f aca="false">IF(ISBLANK($C429),"",AND($AJ429,$AY429=""))</f>
        <v/>
      </c>
      <c r="CM429" s="74" t="str">
        <f aca="false">IF(ISBLANK($C429),"",AND($AJ429,$AZ429=""))</f>
        <v/>
      </c>
      <c r="CN429" s="74" t="str">
        <f aca="false">IF(ISBLANK($C429),"",AND($AJ429,$BC429=""))</f>
        <v/>
      </c>
      <c r="CO429" s="74" t="str">
        <f aca="false">IF(ISBLANK($C429),"",AND($AJ429,$BF429=""))</f>
        <v/>
      </c>
      <c r="CP429" s="75"/>
      <c r="CQ429" s="76"/>
      <c r="CR429" s="79" t="str">
        <f aca="false">IF(ISBLANK($C429),"",IF($BH429=Constants!$B$8,$CI429,""))</f>
        <v/>
      </c>
      <c r="CS429" s="76" t="str">
        <f aca="false">IF(ISBLANK($C429),"",IF($BH429&lt;&gt;Constants!$B$4,"",$BK429+$BL429))</f>
        <v/>
      </c>
      <c r="CT429" s="78" t="str">
        <f aca="false">IF(ISBLANK($C429),"",IF($BH429&lt;&gt;Constants!$B$4,"",$BM429+$BN429+$BO429))</f>
        <v/>
      </c>
      <c r="CU429" s="78" t="str">
        <f aca="false">IF(ISBLANK($C429),"",IF($BH429&lt;&gt;Constants!$B$4,"",$BP429))</f>
        <v/>
      </c>
      <c r="CV429" s="78" t="str">
        <f aca="false">IF(ISBLANK($C429),"",IF($BH429&lt;&gt;Constants!$B$4,"",$BQ429+$BR429))</f>
        <v/>
      </c>
      <c r="CW429" s="78" t="str">
        <f aca="false">IF(ISBLANK($C429),"",IF($BH429&lt;&gt;Constants!$B$4,"",$BS429))</f>
        <v/>
      </c>
      <c r="CX429" s="78" t="str">
        <f aca="false">IF(ISBLANK($C429),"",IF($BH429&lt;&gt;Constants!$B$4,"",-$BZ429))</f>
        <v/>
      </c>
      <c r="CY429" s="79" t="str">
        <f aca="false">IF(ISBLANK($C429),"",$CA429)</f>
        <v/>
      </c>
      <c r="CZ429" s="80" t="str">
        <f aca="false">IF(ISBLANK($C429),"",$BI429)</f>
        <v/>
      </c>
      <c r="DA429" s="78" t="str">
        <f aca="false">IF(ISBLANK($C429),"",$CH429)</f>
        <v/>
      </c>
      <c r="DB429" s="78" t="str">
        <f aca="false">IF(ISBLANK($C429),"",$CG429)</f>
        <v/>
      </c>
      <c r="DC429" s="81" t="str">
        <f aca="false">IF(ISBLANK($C429),"",IFERROR(_xlfn.SWITCH($DB429,Constants!$B$7,COUNTA($C$9:$C$508)+2,Constants!$B$6,COUNTA($C$9:$C$508)+1,Constants!$B$5,COUNTA($C$9:$C$508)),$DB429))</f>
        <v/>
      </c>
      <c r="DD429" s="7"/>
      <c r="DE429" s="82" t="n">
        <f aca="false">IF(OR(ISNUMBER($DB429),$DB429=Constants!$B$7,$DB429=Constants!$B$5,$DB429=Constants!$B$6),1,0)</f>
        <v>0</v>
      </c>
      <c r="DF429" s="82" t="n">
        <v>421</v>
      </c>
      <c r="DG429" s="82" t="str">
        <f aca="false">IF(ISBLANK($C429),"",IF(ISNUMBER($DC429),$DC429+ROW($B429)/1000,""))</f>
        <v/>
      </c>
      <c r="DH429" s="82" t="str">
        <f aca="false">IF(ISNUMBER($DG429),RANK($DG429,$DG$9:$DG$508,1),"")</f>
        <v/>
      </c>
      <c r="DI429" s="82" t="str">
        <f aca="false">IF(ISBLANK($C429),"",$B429)</f>
        <v/>
      </c>
      <c r="DJ429" s="82" t="str">
        <f aca="false">IF(ISBLANK($C429),"",$C429)</f>
        <v/>
      </c>
      <c r="DK429" s="82" t="str">
        <f aca="false">IF(ISBLANK($C429),"",$D429)</f>
        <v/>
      </c>
      <c r="DL429" s="83" t="str">
        <f aca="false">$CZ429</f>
        <v/>
      </c>
      <c r="DM429" s="84" t="str">
        <f aca="false">$CY429</f>
        <v/>
      </c>
      <c r="DN429" s="82" t="str">
        <f aca="false">IF(ISBLANK($C429),"",$DB429)</f>
        <v/>
      </c>
      <c r="DO429" s="85" t="str">
        <f aca="false">IF($DF429&gt;$DE$8,"",VLOOKUP($DF429,$DH$9:$DN$508,7,FALSE()))</f>
        <v/>
      </c>
      <c r="DP429" s="86" t="str">
        <f aca="false">IF($DF429&gt;$DE$8,"",VLOOKUP($DF429,$DH$9:$DN$508,2,FALSE()))</f>
        <v/>
      </c>
      <c r="DQ429" s="86" t="str">
        <f aca="false">IF($DF429&gt;$DE$8,"",VLOOKUP($DF429,$DH$9:$DN$508,3,FALSE()))</f>
        <v/>
      </c>
      <c r="DR429" s="86" t="str">
        <f aca="false">IF($DF429&gt;$DE$8,"",VLOOKUP($DF429,$DH$9:$DN$508,4,FALSE()))</f>
        <v/>
      </c>
      <c r="DS429" s="86" t="str">
        <f aca="false">IF($DF429&gt;$DE$8,"",VLOOKUP($DF429,$DH$9:$DN$508,5,FALSE()))</f>
        <v/>
      </c>
      <c r="DT429" s="87" t="str">
        <f aca="false">IF($DF429&gt;$DE$8,"",VLOOKUP($DF429,$DH$9:$DN$508,6,FALSE()))</f>
        <v/>
      </c>
      <c r="DU429" s="62"/>
    </row>
    <row r="430" customFormat="false" ht="15.75" hidden="false" customHeight="false" outlineLevel="0" collapsed="false">
      <c r="A430" s="7"/>
      <c r="B430" s="64"/>
      <c r="C430" s="65"/>
      <c r="D430" s="123"/>
      <c r="E430" s="88"/>
      <c r="F430" s="134"/>
      <c r="G430" s="88"/>
      <c r="H430" s="134"/>
      <c r="I430" s="119"/>
      <c r="J430" s="119"/>
      <c r="K430" s="119"/>
      <c r="L430" s="88"/>
      <c r="M430" s="88"/>
      <c r="N430" s="88"/>
      <c r="O430" s="134"/>
      <c r="P430" s="88"/>
      <c r="Q430" s="88"/>
      <c r="R430" s="88"/>
      <c r="S430" s="88"/>
      <c r="T430" s="134"/>
      <c r="U430" s="88"/>
      <c r="V430" s="70"/>
      <c r="W430" s="88"/>
      <c r="X430" s="88"/>
      <c r="Y430" s="70"/>
      <c r="Z430" s="70"/>
      <c r="AA430" s="88"/>
      <c r="AB430" s="88"/>
      <c r="AC430" s="71"/>
      <c r="AD430" s="88"/>
      <c r="AE430" s="73"/>
      <c r="AF430" s="74"/>
      <c r="AG430" s="74"/>
      <c r="AH430" s="74" t="str">
        <f aca="false">IF(ISBLANK($C430),"",IF($E430=Constants!$B$2,TRUE(),IF($E430=Constants!$B$3,FALSE(),TRUE())))</f>
        <v/>
      </c>
      <c r="AI430" s="74" t="str">
        <f aca="false">IF(ISBLANK($C430),"",IF($F430=Constants!$B$2,TRUE(),IF($F430=Constants!$B$3,FALSE(),FALSE())))</f>
        <v/>
      </c>
      <c r="AJ430" s="74" t="str">
        <f aca="false">IF(ISBLANK($C430),"",IF($G430=Constants!$B$2,TRUE(),IF($G430=Constants!$B$3,FALSE(),TRUE())))</f>
        <v/>
      </c>
      <c r="AK430" s="74" t="str">
        <f aca="false">IF(ISBLANK($C430),"",IF($H430=Constants!$B$2,TRUE(),IF($H430=Constants!$B$3,FALSE(),TRUE())))</f>
        <v/>
      </c>
      <c r="AL430" s="74" t="str">
        <f aca="false">IF(ISBLANK($C430),"",IF(ISNUMBER($I430),IF($I430&gt;=0,$I430,""),""))</f>
        <v/>
      </c>
      <c r="AM430" s="74" t="str">
        <f aca="false">IF(ISBLANK($C430),"",IF(ISNUMBER($J430),IF($J430&gt;=0,$J430,""),""))</f>
        <v/>
      </c>
      <c r="AN430" s="74" t="str">
        <f aca="false">IF(ISBLANK($C430),"",IF(ISNUMBER($K430),IF($K430&gt;=0,$K430,""),""))</f>
        <v/>
      </c>
      <c r="AO430" s="74" t="str">
        <f aca="false">IF(ISBLANK($C430),"",IF($L430=Constants!$B$2,TRUE(),IF($L430=Constants!$B$3,FALSE(),TRUE())))</f>
        <v/>
      </c>
      <c r="AP430" s="74" t="str">
        <f aca="false">IF(ISBLANK($C430),"",IF($M430=Constants!$B$2,TRUE(),IF($M430=Constants!$B$3,FALSE(),TRUE())))</f>
        <v/>
      </c>
      <c r="AQ430" s="74" t="str">
        <f aca="false">IF(ISBLANK($C430),"",IF($N430=Constants!$B$2,TRUE(),IF($N430=Constants!$B$3,FALSE(),FALSE())))</f>
        <v/>
      </c>
      <c r="AR430" s="74" t="str">
        <f aca="false">IF(ISBLANK($C430),"",IF($O430=Constants!$B$2,TRUE(),IF($O430=Constants!$B$3,FALSE(),TRUE())))</f>
        <v/>
      </c>
      <c r="AS430" s="74" t="str">
        <f aca="false">IF(ISBLANK($C430),"",IF($P430=Constants!$B$2,TRUE(),IF($P430=Constants!$B$3,FALSE(),FALSE())))</f>
        <v/>
      </c>
      <c r="AT430" s="74" t="str">
        <f aca="false">IF(ISBLANK($C430),"",IF($Q430=Constants!$B$2,TRUE(),IF($Q430=Constants!$B$3,FALSE(),FALSE())))</f>
        <v/>
      </c>
      <c r="AU430" s="74" t="str">
        <f aca="false">IF(ISBLANK($C430),"",IF($R430=Constants!$B$2,TRUE(),IF($R430=Constants!$B$3,FALSE(),FALSE())))</f>
        <v/>
      </c>
      <c r="AV430" s="74" t="str">
        <f aca="false">IF(ISBLANK($C430),"",IF($S430=Constants!$B$2,TRUE(),IF($S430=Constants!$B$3,FALSE(),FALSE())))</f>
        <v/>
      </c>
      <c r="AW430" s="74" t="str">
        <f aca="false">IF(ISBLANK($C430),"",IF($T430=Constants!$B$2,TRUE(),IF($T430=Constants!$B$3,FALSE(),FALSE())))</f>
        <v/>
      </c>
      <c r="AX430" s="74" t="str">
        <f aca="false">IF(ISBLANK($C430),"",IF(OR($U430&amp;""="1",$U430&amp;""="2",$U430&amp;""="3",$U430&amp;""="4"),VALUE($U430&amp;""),IF($U430=Constants!$B$12,Constants!$B$12,"")))</f>
        <v/>
      </c>
      <c r="AY430" s="74" t="str">
        <f aca="false">IF(ISBLANK($C430),"",IF(ISBLANK($V430),0,IF(ISNUMBER($V430),IF(AND($V430&gt;=0,$V430&lt;=Constants!$B$21,$V430=INT($V430)),$V430,""),"")))</f>
        <v/>
      </c>
      <c r="AZ430" s="74" t="str">
        <f aca="false">IF(ISBLANK($C430),"",IF(ISBLANK($W430),0,IF(ISNUMBER($W430),IF($W430&gt;=0,$W430,""),"")))</f>
        <v/>
      </c>
      <c r="BA430" s="74" t="str">
        <f aca="false">IF(ISBLANK($C430),"",IF($X430=Constants!$B$2,TRUE(),IF($X430=Constants!$B$3,FALSE(),TRUE())))</f>
        <v/>
      </c>
      <c r="BB430" s="74" t="str">
        <f aca="false">IF(ISBLANK($C430),"",IF($Y430=Constants!$B$2,TRUE(),IF($Y430=Constants!$B$3,FALSE(),FALSE())))</f>
        <v/>
      </c>
      <c r="BC430" s="74" t="str">
        <f aca="false">IF(ISBLANK($C430),"",IF(ISBLANK($Z430),0,IF(ISNUMBER($Z430),IF(AND($Z430&gt;=0,$Z430&lt;=Constants!$B$35,$Z430=INT($Z430)),$Z430,""),"")))</f>
        <v/>
      </c>
      <c r="BD430" s="74" t="str">
        <f aca="false">IF(ISBLANK($C430),"",IF($AA430=Constants!$B$2,TRUE(),IF($AA430=Constants!$B$3,FALSE(),TRUE())))</f>
        <v/>
      </c>
      <c r="BE430" s="74" t="str">
        <f aca="false">IF(ISBLANK($C430),"",IF($AB430=Constants!$B$2,TRUE(),IF($AB430=Constants!$B$3,FALSE(),TRUE())))</f>
        <v/>
      </c>
      <c r="BF430" s="74" t="str">
        <f aca="false">IF(ISBLANK($C430),"",IF(ISNUMBER($AC430),IF($AC430&gt;=0,$AC430,""),""))</f>
        <v/>
      </c>
      <c r="BG430" s="74" t="str">
        <f aca="false">IF(ISBLANK($C430),"",IF($AD430=Constants!$B$2,TRUE(),IF($AD430=Constants!$B$3,FALSE(),FALSE())))</f>
        <v/>
      </c>
      <c r="BH430" s="73" t="str">
        <f aca="false">IF(ISBLANK($C430),"",IF($BG430,Constants!$B$7,IF(COUNTA($E430:$AC430)=0,Constants!$B$6,IF(OR(COUNTA($G430:$AC430)=0,NOT($AK430),$AQ430),Constants!$B$5,IF(OR($CI430&lt;&gt;"",$CJ430,$CK430,$CL430,$CM430,$CN430,$CO430),Constants!$B$8,Constants!$B$4)))))</f>
        <v/>
      </c>
      <c r="BI430" s="74" t="str">
        <f aca="false">IF(ISBLANK($C430),"",IF($BH430&lt;&gt;Constants!$B$4,$BH430,IF(OR(NOT($AH430),NOT($AJ430),NOT($AR430)),Constants!$B$11,IF(OR(NOT($AP430),MAX($AL430,$AM430,$AN430)&gt;Constants!$B$30),Constants!$B$10,Constants!$B$9))))</f>
        <v/>
      </c>
      <c r="BJ430" s="74" t="str">
        <f aca="false">IF($BH430&lt;&gt;Constants!$B$4,"",IF(NOT($AJ430),0,MIN(Constants!$B$35,$BC430)))</f>
        <v/>
      </c>
      <c r="BK430" s="74" t="str">
        <f aca="false">IF($BH430&lt;&gt;Constants!$B$4,"",IF(NOT($AJ430),0,IF($AT430,Constants!$B$18,IF($AS430,Constants!$B$17,0))))</f>
        <v/>
      </c>
      <c r="BL430" s="74" t="str">
        <f aca="false">IF($BH430&lt;&gt;Constants!$B$4,"",IF(NOT($AJ430),0,Constants!$B$19*($AI430+$AU430+$AV430+$AW430)))</f>
        <v/>
      </c>
      <c r="BM430" s="74" t="str">
        <f aca="false">IF($BH430&lt;&gt;Constants!$B$4,"",IF(OR(NOT($AJ430),NOT(ISNUMBER($AX430))),0,CHOOSE($AX430,Constants!$B$13,Constants!$B$14,Constants!$B$15,Constants!$B$16)))</f>
        <v/>
      </c>
      <c r="BN430" s="74" t="str">
        <f aca="false">IF($BH430&lt;&gt;Constants!$B$4,"",IF(NOT($AJ430),0,Constants!$B$20*$AY430))</f>
        <v/>
      </c>
      <c r="BO430" s="74" t="str">
        <f aca="false">IF($BH430&lt;&gt;Constants!$B$4,"",IF(AND($AJ430,$BA430,$BB430),Constants!$B$22,0))</f>
        <v/>
      </c>
      <c r="BP430" s="74" t="str">
        <f aca="false">IF($BH430&lt;&gt;Constants!$B$4,"",IF(OR(NOT($AJ430),NOT($BA430)),0,IF($BF430&gt;=2*$AF$9,0,Constants!$B$23*INT(ROUND(MIN($BF430,$AF$9),6)))))</f>
        <v/>
      </c>
      <c r="BQ430" s="74" t="str">
        <f aca="false">IF($BH430&lt;&gt;Constants!$B$4,"",IF(NOT($AJ430),0,Constants!$B$24*INT(ROUND(MIN($AZ430,$AF$9),6))))</f>
        <v/>
      </c>
      <c r="BR430" s="74" t="str">
        <f aca="false">IF($BH430&lt;&gt;Constants!$B$4,"",IF(AND($AJ430,$BJ430=0),Constants!$B$25,0))</f>
        <v/>
      </c>
      <c r="BS430" s="74" t="str">
        <f aca="false">IF($BH430&lt;&gt;Constants!$B$4,"",MIN(Constants!$B$29,MAX(0,Constants!$B$27*Constants!$B$28*INT(ROUND((Constants!$B$26-$AL430)/Constants!$B$28,6))))+MIN(Constants!$B$29,MAX(0,Constants!$B$27*Constants!$B$28*INT(ROUND((Constants!$B$26-$AM430)/Constants!$B$28,6))))+MIN(Constants!$B$29,MAX(0,Constants!$B$27*Constants!$B$28*INT(ROUND((Constants!$B$26-$AN430)/Constants!$B$28,6)))))</f>
        <v/>
      </c>
      <c r="BT430" s="74" t="str">
        <f aca="false">IF($BH430&lt;&gt;Constants!$B$4,"",IF(NOT($AJ430),0,Constants!$B$31*INT(ROUND(MAX(0,MIN($BF430,2*$AF$9)-$AF$9),6))))</f>
        <v/>
      </c>
      <c r="BU430" s="74" t="str">
        <f aca="false">IF($BH430&lt;&gt;Constants!$B$4,"",Constants!$B$32*(($AL430&gt;Constants!$B$26)+($AM430&gt;Constants!$B$26)+($AN430&gt;Constants!$B$26)))</f>
        <v/>
      </c>
      <c r="BV430" s="74" t="str">
        <f aca="false">IF($BH430&lt;&gt;Constants!$B$4,"",IF(OR(NOT($AJ430),$AO430),0,Constants!$B$33))</f>
        <v/>
      </c>
      <c r="BW430" s="74" t="str">
        <f aca="false">IF($BH430&lt;&gt;Constants!$B$4,"",Constants!$B$34*$BJ430)</f>
        <v/>
      </c>
      <c r="BX430" s="74" t="str">
        <f aca="false">IF($BH430&lt;&gt;Constants!$B$4,"",IF(OR(NOT($AJ430),$BE430),0,Constants!$B$36))</f>
        <v/>
      </c>
      <c r="BY430" s="74" t="str">
        <f aca="false">IF($BH430&lt;&gt;Constants!$B$4,"",IF(OR(NOT($AJ430),$BD430),0,Constants!$B$37))</f>
        <v/>
      </c>
      <c r="BZ430" s="74" t="str">
        <f aca="false">IF($BH430&lt;&gt;Constants!$B$4,"",SUM($BT430:$BY430))</f>
        <v/>
      </c>
      <c r="CA430" s="74" t="str">
        <f aca="false">IF(ISBLANK($C430),"",IF($BH430&lt;&gt;Constants!$B$4,$BH430,SUM($BK430:$BS430)-$BZ430))</f>
        <v/>
      </c>
      <c r="CB430" s="74" t="str">
        <f aca="false">IF(ISBLANK($C430),"",IF($BH430&lt;&gt;Constants!$B$4,$BH430,RANK($CA430,$CA$9:$CA$508)))</f>
        <v/>
      </c>
      <c r="CC430" s="74" t="str">
        <f aca="false">IF(ISBLANK($C430),"",IF($BH430&lt;&gt;Constants!$B$4,$BH430,COUNTIFS($BI$9:$BI$508,"&lt;"&amp;$BI430)+COUNTIFS($BI$9:$BI$508,$BI430,$CB$9:$CB$508,"&lt;"&amp;$CB430)+1))</f>
        <v/>
      </c>
      <c r="CD430" s="74" t="str">
        <f aca="false">IF(ISBLANK($C430),"",IF($BH430&lt;&gt;Constants!$B$4,$BH430,RANK($BZ430,$BZ$9:$BZ$508,1)))</f>
        <v/>
      </c>
      <c r="CE430" s="74" t="str">
        <f aca="false">IF($BH430&lt;&gt;Constants!$B$4,"",$AL430+$AM430+$AN430)</f>
        <v/>
      </c>
      <c r="CF430" s="74" t="str">
        <f aca="false">IF(ISBLANK($C430),"",IF($BH430&lt;&gt;Constants!$B$4,$BH430,RANK($CE430,$CE$9:$CE$508,1)))</f>
        <v/>
      </c>
      <c r="CG430" s="74" t="str">
        <f aca="false">IF(ISBLANK($C430),"",IF($BH430&lt;&gt;Constants!$B$4,$BH430,COUNTIFS($BI$9:$BI$508,"&lt;"&amp;$BI430)+COUNTIFS($BI$9:$BI$508,$BI430,$CB$9:$CB$508,"&lt;"&amp;$CB430)+COUNTIFS($BI$9:$BI$508,$BI430,$CB$9:$CB$508,$CB430,$CD$9:$CD$508,"&lt;"&amp;$CD430)+COUNTIFS($BI$9:$BI$508,$BI430,$CB$9:$CB$508,$CB430,$CD$9:$CD$508,$CD430,$CF$9:$CF$508,"&lt;"&amp;$CF430)+1))</f>
        <v/>
      </c>
      <c r="CH430" s="74" t="str">
        <f aca="false">IF(ISBLANK($C430),"",IF($BH430&lt;&gt;Constants!$B$4,$BH430,$CC430-$CG430))</f>
        <v/>
      </c>
      <c r="CI430" s="74" t="str">
        <f aca="false">IF(ISBLANK($C430),"",IF(NOT($AJ430),"",IF(ISBLANK($D$7),$CI$5,IF(NOT(ISNUMBER($D$7)),$CI$6,""))))</f>
        <v/>
      </c>
      <c r="CJ430" s="74" t="str">
        <f aca="false">IF(ISBLANK($C430),"",OR($AL430="",$AM430="",$AN430=""))</f>
        <v/>
      </c>
      <c r="CK430" s="74" t="str">
        <f aca="false">IF(ISBLANK($C430),"",AND($AJ430,$AX430=""))</f>
        <v/>
      </c>
      <c r="CL430" s="74" t="str">
        <f aca="false">IF(ISBLANK($C430),"",AND($AJ430,$AY430=""))</f>
        <v/>
      </c>
      <c r="CM430" s="74" t="str">
        <f aca="false">IF(ISBLANK($C430),"",AND($AJ430,$AZ430=""))</f>
        <v/>
      </c>
      <c r="CN430" s="74" t="str">
        <f aca="false">IF(ISBLANK($C430),"",AND($AJ430,$BC430=""))</f>
        <v/>
      </c>
      <c r="CO430" s="74" t="str">
        <f aca="false">IF(ISBLANK($C430),"",AND($AJ430,$BF430=""))</f>
        <v/>
      </c>
      <c r="CP430" s="75"/>
      <c r="CQ430" s="76"/>
      <c r="CR430" s="79" t="str">
        <f aca="false">IF(ISBLANK($C430),"",IF($BH430=Constants!$B$8,$CI430,""))</f>
        <v/>
      </c>
      <c r="CS430" s="76" t="str">
        <f aca="false">IF(ISBLANK($C430),"",IF($BH430&lt;&gt;Constants!$B$4,"",$BK430+$BL430))</f>
        <v/>
      </c>
      <c r="CT430" s="78" t="str">
        <f aca="false">IF(ISBLANK($C430),"",IF($BH430&lt;&gt;Constants!$B$4,"",$BM430+$BN430+$BO430))</f>
        <v/>
      </c>
      <c r="CU430" s="78" t="str">
        <f aca="false">IF(ISBLANK($C430),"",IF($BH430&lt;&gt;Constants!$B$4,"",$BP430))</f>
        <v/>
      </c>
      <c r="CV430" s="78" t="str">
        <f aca="false">IF(ISBLANK($C430),"",IF($BH430&lt;&gt;Constants!$B$4,"",$BQ430+$BR430))</f>
        <v/>
      </c>
      <c r="CW430" s="78" t="str">
        <f aca="false">IF(ISBLANK($C430),"",IF($BH430&lt;&gt;Constants!$B$4,"",$BS430))</f>
        <v/>
      </c>
      <c r="CX430" s="78" t="str">
        <f aca="false">IF(ISBLANK($C430),"",IF($BH430&lt;&gt;Constants!$B$4,"",-$BZ430))</f>
        <v/>
      </c>
      <c r="CY430" s="79" t="str">
        <f aca="false">IF(ISBLANK($C430),"",$CA430)</f>
        <v/>
      </c>
      <c r="CZ430" s="80" t="str">
        <f aca="false">IF(ISBLANK($C430),"",$BI430)</f>
        <v/>
      </c>
      <c r="DA430" s="78" t="str">
        <f aca="false">IF(ISBLANK($C430),"",$CH430)</f>
        <v/>
      </c>
      <c r="DB430" s="78" t="str">
        <f aca="false">IF(ISBLANK($C430),"",$CG430)</f>
        <v/>
      </c>
      <c r="DC430" s="81" t="str">
        <f aca="false">IF(ISBLANK($C430),"",IFERROR(_xlfn.SWITCH($DB430,Constants!$B$7,COUNTA($C$9:$C$508)+2,Constants!$B$6,COUNTA($C$9:$C$508)+1,Constants!$B$5,COUNTA($C$9:$C$508)),$DB430))</f>
        <v/>
      </c>
      <c r="DD430" s="7"/>
      <c r="DE430" s="82" t="n">
        <f aca="false">IF(OR(ISNUMBER($DB430),$DB430=Constants!$B$7,$DB430=Constants!$B$5,$DB430=Constants!$B$6),1,0)</f>
        <v>0</v>
      </c>
      <c r="DF430" s="82" t="n">
        <v>422</v>
      </c>
      <c r="DG430" s="82" t="str">
        <f aca="false">IF(ISBLANK($C430),"",IF(ISNUMBER($DC430),$DC430+ROW($B430)/1000,""))</f>
        <v/>
      </c>
      <c r="DH430" s="82" t="str">
        <f aca="false">IF(ISNUMBER($DG430),RANK($DG430,$DG$9:$DG$508,1),"")</f>
        <v/>
      </c>
      <c r="DI430" s="82" t="str">
        <f aca="false">IF(ISBLANK($C430),"",$B430)</f>
        <v/>
      </c>
      <c r="DJ430" s="82" t="str">
        <f aca="false">IF(ISBLANK($C430),"",$C430)</f>
        <v/>
      </c>
      <c r="DK430" s="82" t="str">
        <f aca="false">IF(ISBLANK($C430),"",$D430)</f>
        <v/>
      </c>
      <c r="DL430" s="83" t="str">
        <f aca="false">$CZ430</f>
        <v/>
      </c>
      <c r="DM430" s="84" t="str">
        <f aca="false">$CY430</f>
        <v/>
      </c>
      <c r="DN430" s="82" t="str">
        <f aca="false">IF(ISBLANK($C430),"",$DB430)</f>
        <v/>
      </c>
      <c r="DO430" s="85" t="str">
        <f aca="false">IF($DF430&gt;$DE$8,"",VLOOKUP($DF430,$DH$9:$DN$508,7,FALSE()))</f>
        <v/>
      </c>
      <c r="DP430" s="86" t="str">
        <f aca="false">IF($DF430&gt;$DE$8,"",VLOOKUP($DF430,$DH$9:$DN$508,2,FALSE()))</f>
        <v/>
      </c>
      <c r="DQ430" s="86" t="str">
        <f aca="false">IF($DF430&gt;$DE$8,"",VLOOKUP($DF430,$DH$9:$DN$508,3,FALSE()))</f>
        <v/>
      </c>
      <c r="DR430" s="86" t="str">
        <f aca="false">IF($DF430&gt;$DE$8,"",VLOOKUP($DF430,$DH$9:$DN$508,4,FALSE()))</f>
        <v/>
      </c>
      <c r="DS430" s="86" t="str">
        <f aca="false">IF($DF430&gt;$DE$8,"",VLOOKUP($DF430,$DH$9:$DN$508,5,FALSE()))</f>
        <v/>
      </c>
      <c r="DT430" s="87" t="str">
        <f aca="false">IF($DF430&gt;$DE$8,"",VLOOKUP($DF430,$DH$9:$DN$508,6,FALSE()))</f>
        <v/>
      </c>
      <c r="DU430" s="62"/>
    </row>
    <row r="431" customFormat="false" ht="15.75" hidden="false" customHeight="false" outlineLevel="0" collapsed="false">
      <c r="A431" s="7"/>
      <c r="B431" s="64"/>
      <c r="C431" s="65"/>
      <c r="D431" s="123"/>
      <c r="E431" s="88"/>
      <c r="F431" s="134"/>
      <c r="G431" s="88"/>
      <c r="H431" s="134"/>
      <c r="I431" s="119"/>
      <c r="J431" s="119"/>
      <c r="K431" s="119"/>
      <c r="L431" s="88"/>
      <c r="M431" s="88"/>
      <c r="N431" s="88"/>
      <c r="O431" s="134"/>
      <c r="P431" s="88"/>
      <c r="Q431" s="88"/>
      <c r="R431" s="88"/>
      <c r="S431" s="88"/>
      <c r="T431" s="134"/>
      <c r="U431" s="88"/>
      <c r="V431" s="70"/>
      <c r="W431" s="88"/>
      <c r="X431" s="88"/>
      <c r="Y431" s="70"/>
      <c r="Z431" s="70"/>
      <c r="AA431" s="88"/>
      <c r="AB431" s="88"/>
      <c r="AC431" s="71"/>
      <c r="AD431" s="88"/>
      <c r="AE431" s="73"/>
      <c r="AF431" s="74"/>
      <c r="AG431" s="74"/>
      <c r="AH431" s="74" t="str">
        <f aca="false">IF(ISBLANK($C431),"",IF($E431=Constants!$B$2,TRUE(),IF($E431=Constants!$B$3,FALSE(),TRUE())))</f>
        <v/>
      </c>
      <c r="AI431" s="74" t="str">
        <f aca="false">IF(ISBLANK($C431),"",IF($F431=Constants!$B$2,TRUE(),IF($F431=Constants!$B$3,FALSE(),FALSE())))</f>
        <v/>
      </c>
      <c r="AJ431" s="74" t="str">
        <f aca="false">IF(ISBLANK($C431),"",IF($G431=Constants!$B$2,TRUE(),IF($G431=Constants!$B$3,FALSE(),TRUE())))</f>
        <v/>
      </c>
      <c r="AK431" s="74" t="str">
        <f aca="false">IF(ISBLANK($C431),"",IF($H431=Constants!$B$2,TRUE(),IF($H431=Constants!$B$3,FALSE(),TRUE())))</f>
        <v/>
      </c>
      <c r="AL431" s="74" t="str">
        <f aca="false">IF(ISBLANK($C431),"",IF(ISNUMBER($I431),IF($I431&gt;=0,$I431,""),""))</f>
        <v/>
      </c>
      <c r="AM431" s="74" t="str">
        <f aca="false">IF(ISBLANK($C431),"",IF(ISNUMBER($J431),IF($J431&gt;=0,$J431,""),""))</f>
        <v/>
      </c>
      <c r="AN431" s="74" t="str">
        <f aca="false">IF(ISBLANK($C431),"",IF(ISNUMBER($K431),IF($K431&gt;=0,$K431,""),""))</f>
        <v/>
      </c>
      <c r="AO431" s="74" t="str">
        <f aca="false">IF(ISBLANK($C431),"",IF($L431=Constants!$B$2,TRUE(),IF($L431=Constants!$B$3,FALSE(),TRUE())))</f>
        <v/>
      </c>
      <c r="AP431" s="74" t="str">
        <f aca="false">IF(ISBLANK($C431),"",IF($M431=Constants!$B$2,TRUE(),IF($M431=Constants!$B$3,FALSE(),TRUE())))</f>
        <v/>
      </c>
      <c r="AQ431" s="74" t="str">
        <f aca="false">IF(ISBLANK($C431),"",IF($N431=Constants!$B$2,TRUE(),IF($N431=Constants!$B$3,FALSE(),FALSE())))</f>
        <v/>
      </c>
      <c r="AR431" s="74" t="str">
        <f aca="false">IF(ISBLANK($C431),"",IF($O431=Constants!$B$2,TRUE(),IF($O431=Constants!$B$3,FALSE(),TRUE())))</f>
        <v/>
      </c>
      <c r="AS431" s="74" t="str">
        <f aca="false">IF(ISBLANK($C431),"",IF($P431=Constants!$B$2,TRUE(),IF($P431=Constants!$B$3,FALSE(),FALSE())))</f>
        <v/>
      </c>
      <c r="AT431" s="74" t="str">
        <f aca="false">IF(ISBLANK($C431),"",IF($Q431=Constants!$B$2,TRUE(),IF($Q431=Constants!$B$3,FALSE(),FALSE())))</f>
        <v/>
      </c>
      <c r="AU431" s="74" t="str">
        <f aca="false">IF(ISBLANK($C431),"",IF($R431=Constants!$B$2,TRUE(),IF($R431=Constants!$B$3,FALSE(),FALSE())))</f>
        <v/>
      </c>
      <c r="AV431" s="74" t="str">
        <f aca="false">IF(ISBLANK($C431),"",IF($S431=Constants!$B$2,TRUE(),IF($S431=Constants!$B$3,FALSE(),FALSE())))</f>
        <v/>
      </c>
      <c r="AW431" s="74" t="str">
        <f aca="false">IF(ISBLANK($C431),"",IF($T431=Constants!$B$2,TRUE(),IF($T431=Constants!$B$3,FALSE(),FALSE())))</f>
        <v/>
      </c>
      <c r="AX431" s="74" t="str">
        <f aca="false">IF(ISBLANK($C431),"",IF(OR($U431&amp;""="1",$U431&amp;""="2",$U431&amp;""="3",$U431&amp;""="4"),VALUE($U431&amp;""),IF($U431=Constants!$B$12,Constants!$B$12,"")))</f>
        <v/>
      </c>
      <c r="AY431" s="74" t="str">
        <f aca="false">IF(ISBLANK($C431),"",IF(ISBLANK($V431),0,IF(ISNUMBER($V431),IF(AND($V431&gt;=0,$V431&lt;=Constants!$B$21,$V431=INT($V431)),$V431,""),"")))</f>
        <v/>
      </c>
      <c r="AZ431" s="74" t="str">
        <f aca="false">IF(ISBLANK($C431),"",IF(ISBLANK($W431),0,IF(ISNUMBER($W431),IF($W431&gt;=0,$W431,""),"")))</f>
        <v/>
      </c>
      <c r="BA431" s="74" t="str">
        <f aca="false">IF(ISBLANK($C431),"",IF($X431=Constants!$B$2,TRUE(),IF($X431=Constants!$B$3,FALSE(),TRUE())))</f>
        <v/>
      </c>
      <c r="BB431" s="74" t="str">
        <f aca="false">IF(ISBLANK($C431),"",IF($Y431=Constants!$B$2,TRUE(),IF($Y431=Constants!$B$3,FALSE(),FALSE())))</f>
        <v/>
      </c>
      <c r="BC431" s="74" t="str">
        <f aca="false">IF(ISBLANK($C431),"",IF(ISBLANK($Z431),0,IF(ISNUMBER($Z431),IF(AND($Z431&gt;=0,$Z431&lt;=Constants!$B$35,$Z431=INT($Z431)),$Z431,""),"")))</f>
        <v/>
      </c>
      <c r="BD431" s="74" t="str">
        <f aca="false">IF(ISBLANK($C431),"",IF($AA431=Constants!$B$2,TRUE(),IF($AA431=Constants!$B$3,FALSE(),TRUE())))</f>
        <v/>
      </c>
      <c r="BE431" s="74" t="str">
        <f aca="false">IF(ISBLANK($C431),"",IF($AB431=Constants!$B$2,TRUE(),IF($AB431=Constants!$B$3,FALSE(),TRUE())))</f>
        <v/>
      </c>
      <c r="BF431" s="74" t="str">
        <f aca="false">IF(ISBLANK($C431),"",IF(ISNUMBER($AC431),IF($AC431&gt;=0,$AC431,""),""))</f>
        <v/>
      </c>
      <c r="BG431" s="74" t="str">
        <f aca="false">IF(ISBLANK($C431),"",IF($AD431=Constants!$B$2,TRUE(),IF($AD431=Constants!$B$3,FALSE(),FALSE())))</f>
        <v/>
      </c>
      <c r="BH431" s="73" t="str">
        <f aca="false">IF(ISBLANK($C431),"",IF($BG431,Constants!$B$7,IF(COUNTA($E431:$AC431)=0,Constants!$B$6,IF(OR(COUNTA($G431:$AC431)=0,NOT($AK431),$AQ431),Constants!$B$5,IF(OR($CI431&lt;&gt;"",$CJ431,$CK431,$CL431,$CM431,$CN431,$CO431),Constants!$B$8,Constants!$B$4)))))</f>
        <v/>
      </c>
      <c r="BI431" s="74" t="str">
        <f aca="false">IF(ISBLANK($C431),"",IF($BH431&lt;&gt;Constants!$B$4,$BH431,IF(OR(NOT($AH431),NOT($AJ431),NOT($AR431)),Constants!$B$11,IF(OR(NOT($AP431),MAX($AL431,$AM431,$AN431)&gt;Constants!$B$30),Constants!$B$10,Constants!$B$9))))</f>
        <v/>
      </c>
      <c r="BJ431" s="74" t="str">
        <f aca="false">IF($BH431&lt;&gt;Constants!$B$4,"",IF(NOT($AJ431),0,MIN(Constants!$B$35,$BC431)))</f>
        <v/>
      </c>
      <c r="BK431" s="74" t="str">
        <f aca="false">IF($BH431&lt;&gt;Constants!$B$4,"",IF(NOT($AJ431),0,IF($AT431,Constants!$B$18,IF($AS431,Constants!$B$17,0))))</f>
        <v/>
      </c>
      <c r="BL431" s="74" t="str">
        <f aca="false">IF($BH431&lt;&gt;Constants!$B$4,"",IF(NOT($AJ431),0,Constants!$B$19*($AI431+$AU431+$AV431+$AW431)))</f>
        <v/>
      </c>
      <c r="BM431" s="74" t="str">
        <f aca="false">IF($BH431&lt;&gt;Constants!$B$4,"",IF(OR(NOT($AJ431),NOT(ISNUMBER($AX431))),0,CHOOSE($AX431,Constants!$B$13,Constants!$B$14,Constants!$B$15,Constants!$B$16)))</f>
        <v/>
      </c>
      <c r="BN431" s="74" t="str">
        <f aca="false">IF($BH431&lt;&gt;Constants!$B$4,"",IF(NOT($AJ431),0,Constants!$B$20*$AY431))</f>
        <v/>
      </c>
      <c r="BO431" s="74" t="str">
        <f aca="false">IF($BH431&lt;&gt;Constants!$B$4,"",IF(AND($AJ431,$BA431,$BB431),Constants!$B$22,0))</f>
        <v/>
      </c>
      <c r="BP431" s="74" t="str">
        <f aca="false">IF($BH431&lt;&gt;Constants!$B$4,"",IF(OR(NOT($AJ431),NOT($BA431)),0,IF($BF431&gt;=2*$AF$9,0,Constants!$B$23*INT(ROUND(MIN($BF431,$AF$9),6)))))</f>
        <v/>
      </c>
      <c r="BQ431" s="74" t="str">
        <f aca="false">IF($BH431&lt;&gt;Constants!$B$4,"",IF(NOT($AJ431),0,Constants!$B$24*INT(ROUND(MIN($AZ431,$AF$9),6))))</f>
        <v/>
      </c>
      <c r="BR431" s="74" t="str">
        <f aca="false">IF($BH431&lt;&gt;Constants!$B$4,"",IF(AND($AJ431,$BJ431=0),Constants!$B$25,0))</f>
        <v/>
      </c>
      <c r="BS431" s="74" t="str">
        <f aca="false">IF($BH431&lt;&gt;Constants!$B$4,"",MIN(Constants!$B$29,MAX(0,Constants!$B$27*Constants!$B$28*INT(ROUND((Constants!$B$26-$AL431)/Constants!$B$28,6))))+MIN(Constants!$B$29,MAX(0,Constants!$B$27*Constants!$B$28*INT(ROUND((Constants!$B$26-$AM431)/Constants!$B$28,6))))+MIN(Constants!$B$29,MAX(0,Constants!$B$27*Constants!$B$28*INT(ROUND((Constants!$B$26-$AN431)/Constants!$B$28,6)))))</f>
        <v/>
      </c>
      <c r="BT431" s="74" t="str">
        <f aca="false">IF($BH431&lt;&gt;Constants!$B$4,"",IF(NOT($AJ431),0,Constants!$B$31*INT(ROUND(MAX(0,MIN($BF431,2*$AF$9)-$AF$9),6))))</f>
        <v/>
      </c>
      <c r="BU431" s="74" t="str">
        <f aca="false">IF($BH431&lt;&gt;Constants!$B$4,"",Constants!$B$32*(($AL431&gt;Constants!$B$26)+($AM431&gt;Constants!$B$26)+($AN431&gt;Constants!$B$26)))</f>
        <v/>
      </c>
      <c r="BV431" s="74" t="str">
        <f aca="false">IF($BH431&lt;&gt;Constants!$B$4,"",IF(OR(NOT($AJ431),$AO431),0,Constants!$B$33))</f>
        <v/>
      </c>
      <c r="BW431" s="74" t="str">
        <f aca="false">IF($BH431&lt;&gt;Constants!$B$4,"",Constants!$B$34*$BJ431)</f>
        <v/>
      </c>
      <c r="BX431" s="74" t="str">
        <f aca="false">IF($BH431&lt;&gt;Constants!$B$4,"",IF(OR(NOT($AJ431),$BE431),0,Constants!$B$36))</f>
        <v/>
      </c>
      <c r="BY431" s="74" t="str">
        <f aca="false">IF($BH431&lt;&gt;Constants!$B$4,"",IF(OR(NOT($AJ431),$BD431),0,Constants!$B$37))</f>
        <v/>
      </c>
      <c r="BZ431" s="74" t="str">
        <f aca="false">IF($BH431&lt;&gt;Constants!$B$4,"",SUM($BT431:$BY431))</f>
        <v/>
      </c>
      <c r="CA431" s="74" t="str">
        <f aca="false">IF(ISBLANK($C431),"",IF($BH431&lt;&gt;Constants!$B$4,$BH431,SUM($BK431:$BS431)-$BZ431))</f>
        <v/>
      </c>
      <c r="CB431" s="74" t="str">
        <f aca="false">IF(ISBLANK($C431),"",IF($BH431&lt;&gt;Constants!$B$4,$BH431,RANK($CA431,$CA$9:$CA$508)))</f>
        <v/>
      </c>
      <c r="CC431" s="74" t="str">
        <f aca="false">IF(ISBLANK($C431),"",IF($BH431&lt;&gt;Constants!$B$4,$BH431,COUNTIFS($BI$9:$BI$508,"&lt;"&amp;$BI431)+COUNTIFS($BI$9:$BI$508,$BI431,$CB$9:$CB$508,"&lt;"&amp;$CB431)+1))</f>
        <v/>
      </c>
      <c r="CD431" s="74" t="str">
        <f aca="false">IF(ISBLANK($C431),"",IF($BH431&lt;&gt;Constants!$B$4,$BH431,RANK($BZ431,$BZ$9:$BZ$508,1)))</f>
        <v/>
      </c>
      <c r="CE431" s="74" t="str">
        <f aca="false">IF($BH431&lt;&gt;Constants!$B$4,"",$AL431+$AM431+$AN431)</f>
        <v/>
      </c>
      <c r="CF431" s="74" t="str">
        <f aca="false">IF(ISBLANK($C431),"",IF($BH431&lt;&gt;Constants!$B$4,$BH431,RANK($CE431,$CE$9:$CE$508,1)))</f>
        <v/>
      </c>
      <c r="CG431" s="74" t="str">
        <f aca="false">IF(ISBLANK($C431),"",IF($BH431&lt;&gt;Constants!$B$4,$BH431,COUNTIFS($BI$9:$BI$508,"&lt;"&amp;$BI431)+COUNTIFS($BI$9:$BI$508,$BI431,$CB$9:$CB$508,"&lt;"&amp;$CB431)+COUNTIFS($BI$9:$BI$508,$BI431,$CB$9:$CB$508,$CB431,$CD$9:$CD$508,"&lt;"&amp;$CD431)+COUNTIFS($BI$9:$BI$508,$BI431,$CB$9:$CB$508,$CB431,$CD$9:$CD$508,$CD431,$CF$9:$CF$508,"&lt;"&amp;$CF431)+1))</f>
        <v/>
      </c>
      <c r="CH431" s="74" t="str">
        <f aca="false">IF(ISBLANK($C431),"",IF($BH431&lt;&gt;Constants!$B$4,$BH431,$CC431-$CG431))</f>
        <v/>
      </c>
      <c r="CI431" s="74" t="str">
        <f aca="false">IF(ISBLANK($C431),"",IF(NOT($AJ431),"",IF(ISBLANK($D$7),$CI$5,IF(NOT(ISNUMBER($D$7)),$CI$6,""))))</f>
        <v/>
      </c>
      <c r="CJ431" s="74" t="str">
        <f aca="false">IF(ISBLANK($C431),"",OR($AL431="",$AM431="",$AN431=""))</f>
        <v/>
      </c>
      <c r="CK431" s="74" t="str">
        <f aca="false">IF(ISBLANK($C431),"",AND($AJ431,$AX431=""))</f>
        <v/>
      </c>
      <c r="CL431" s="74" t="str">
        <f aca="false">IF(ISBLANK($C431),"",AND($AJ431,$AY431=""))</f>
        <v/>
      </c>
      <c r="CM431" s="74" t="str">
        <f aca="false">IF(ISBLANK($C431),"",AND($AJ431,$AZ431=""))</f>
        <v/>
      </c>
      <c r="CN431" s="74" t="str">
        <f aca="false">IF(ISBLANK($C431),"",AND($AJ431,$BC431=""))</f>
        <v/>
      </c>
      <c r="CO431" s="74" t="str">
        <f aca="false">IF(ISBLANK($C431),"",AND($AJ431,$BF431=""))</f>
        <v/>
      </c>
      <c r="CP431" s="75"/>
      <c r="CQ431" s="76"/>
      <c r="CR431" s="79" t="str">
        <f aca="false">IF(ISBLANK($C431),"",IF($BH431=Constants!$B$8,$CI431,""))</f>
        <v/>
      </c>
      <c r="CS431" s="76" t="str">
        <f aca="false">IF(ISBLANK($C431),"",IF($BH431&lt;&gt;Constants!$B$4,"",$BK431+$BL431))</f>
        <v/>
      </c>
      <c r="CT431" s="78" t="str">
        <f aca="false">IF(ISBLANK($C431),"",IF($BH431&lt;&gt;Constants!$B$4,"",$BM431+$BN431+$BO431))</f>
        <v/>
      </c>
      <c r="CU431" s="78" t="str">
        <f aca="false">IF(ISBLANK($C431),"",IF($BH431&lt;&gt;Constants!$B$4,"",$BP431))</f>
        <v/>
      </c>
      <c r="CV431" s="78" t="str">
        <f aca="false">IF(ISBLANK($C431),"",IF($BH431&lt;&gt;Constants!$B$4,"",$BQ431+$BR431))</f>
        <v/>
      </c>
      <c r="CW431" s="78" t="str">
        <f aca="false">IF(ISBLANK($C431),"",IF($BH431&lt;&gt;Constants!$B$4,"",$BS431))</f>
        <v/>
      </c>
      <c r="CX431" s="78" t="str">
        <f aca="false">IF(ISBLANK($C431),"",IF($BH431&lt;&gt;Constants!$B$4,"",-$BZ431))</f>
        <v/>
      </c>
      <c r="CY431" s="79" t="str">
        <f aca="false">IF(ISBLANK($C431),"",$CA431)</f>
        <v/>
      </c>
      <c r="CZ431" s="80" t="str">
        <f aca="false">IF(ISBLANK($C431),"",$BI431)</f>
        <v/>
      </c>
      <c r="DA431" s="78" t="str">
        <f aca="false">IF(ISBLANK($C431),"",$CH431)</f>
        <v/>
      </c>
      <c r="DB431" s="78" t="str">
        <f aca="false">IF(ISBLANK($C431),"",$CG431)</f>
        <v/>
      </c>
      <c r="DC431" s="81" t="str">
        <f aca="false">IF(ISBLANK($C431),"",IFERROR(_xlfn.SWITCH($DB431,Constants!$B$7,COUNTA($C$9:$C$508)+2,Constants!$B$6,COUNTA($C$9:$C$508)+1,Constants!$B$5,COUNTA($C$9:$C$508)),$DB431))</f>
        <v/>
      </c>
      <c r="DD431" s="7"/>
      <c r="DE431" s="82" t="n">
        <f aca="false">IF(OR(ISNUMBER($DB431),$DB431=Constants!$B$7,$DB431=Constants!$B$5,$DB431=Constants!$B$6),1,0)</f>
        <v>0</v>
      </c>
      <c r="DF431" s="82" t="n">
        <v>423</v>
      </c>
      <c r="DG431" s="82" t="str">
        <f aca="false">IF(ISBLANK($C431),"",IF(ISNUMBER($DC431),$DC431+ROW($B431)/1000,""))</f>
        <v/>
      </c>
      <c r="DH431" s="82" t="str">
        <f aca="false">IF(ISNUMBER($DG431),RANK($DG431,$DG$9:$DG$508,1),"")</f>
        <v/>
      </c>
      <c r="DI431" s="82" t="str">
        <f aca="false">IF(ISBLANK($C431),"",$B431)</f>
        <v/>
      </c>
      <c r="DJ431" s="82" t="str">
        <f aca="false">IF(ISBLANK($C431),"",$C431)</f>
        <v/>
      </c>
      <c r="DK431" s="82" t="str">
        <f aca="false">IF(ISBLANK($C431),"",$D431)</f>
        <v/>
      </c>
      <c r="DL431" s="83" t="str">
        <f aca="false">$CZ431</f>
        <v/>
      </c>
      <c r="DM431" s="84" t="str">
        <f aca="false">$CY431</f>
        <v/>
      </c>
      <c r="DN431" s="82" t="str">
        <f aca="false">IF(ISBLANK($C431),"",$DB431)</f>
        <v/>
      </c>
      <c r="DO431" s="85" t="str">
        <f aca="false">IF($DF431&gt;$DE$8,"",VLOOKUP($DF431,$DH$9:$DN$508,7,FALSE()))</f>
        <v/>
      </c>
      <c r="DP431" s="86" t="str">
        <f aca="false">IF($DF431&gt;$DE$8,"",VLOOKUP($DF431,$DH$9:$DN$508,2,FALSE()))</f>
        <v/>
      </c>
      <c r="DQ431" s="86" t="str">
        <f aca="false">IF($DF431&gt;$DE$8,"",VLOOKUP($DF431,$DH$9:$DN$508,3,FALSE()))</f>
        <v/>
      </c>
      <c r="DR431" s="86" t="str">
        <f aca="false">IF($DF431&gt;$DE$8,"",VLOOKUP($DF431,$DH$9:$DN$508,4,FALSE()))</f>
        <v/>
      </c>
      <c r="DS431" s="86" t="str">
        <f aca="false">IF($DF431&gt;$DE$8,"",VLOOKUP($DF431,$DH$9:$DN$508,5,FALSE()))</f>
        <v/>
      </c>
      <c r="DT431" s="87" t="str">
        <f aca="false">IF($DF431&gt;$DE$8,"",VLOOKUP($DF431,$DH$9:$DN$508,6,FALSE()))</f>
        <v/>
      </c>
      <c r="DU431" s="62"/>
    </row>
    <row r="432" customFormat="false" ht="15.75" hidden="false" customHeight="false" outlineLevel="0" collapsed="false">
      <c r="A432" s="7"/>
      <c r="B432" s="90"/>
      <c r="C432" s="91"/>
      <c r="D432" s="126"/>
      <c r="E432" s="130"/>
      <c r="F432" s="135"/>
      <c r="G432" s="130"/>
      <c r="H432" s="135"/>
      <c r="I432" s="131"/>
      <c r="J432" s="131"/>
      <c r="K432" s="131"/>
      <c r="L432" s="130"/>
      <c r="M432" s="130"/>
      <c r="N432" s="130"/>
      <c r="O432" s="135"/>
      <c r="P432" s="130"/>
      <c r="Q432" s="130"/>
      <c r="R432" s="130"/>
      <c r="S432" s="130"/>
      <c r="T432" s="135"/>
      <c r="U432" s="130"/>
      <c r="V432" s="96"/>
      <c r="W432" s="130"/>
      <c r="X432" s="130"/>
      <c r="Y432" s="96"/>
      <c r="Z432" s="96"/>
      <c r="AA432" s="130"/>
      <c r="AB432" s="130"/>
      <c r="AC432" s="97"/>
      <c r="AD432" s="130"/>
      <c r="AE432" s="99"/>
      <c r="AF432" s="100"/>
      <c r="AG432" s="100"/>
      <c r="AH432" s="100" t="str">
        <f aca="false">IF(ISBLANK($C432),"",IF($E432=Constants!$B$2,TRUE(),IF($E432=Constants!$B$3,FALSE(),TRUE())))</f>
        <v/>
      </c>
      <c r="AI432" s="100" t="str">
        <f aca="false">IF(ISBLANK($C432),"",IF($F432=Constants!$B$2,TRUE(),IF($F432=Constants!$B$3,FALSE(),FALSE())))</f>
        <v/>
      </c>
      <c r="AJ432" s="100" t="str">
        <f aca="false">IF(ISBLANK($C432),"",IF($G432=Constants!$B$2,TRUE(),IF($G432=Constants!$B$3,FALSE(),TRUE())))</f>
        <v/>
      </c>
      <c r="AK432" s="100" t="str">
        <f aca="false">IF(ISBLANK($C432),"",IF($H432=Constants!$B$2,TRUE(),IF($H432=Constants!$B$3,FALSE(),TRUE())))</f>
        <v/>
      </c>
      <c r="AL432" s="100" t="str">
        <f aca="false">IF(ISBLANK($C432),"",IF(ISNUMBER($I432),IF($I432&gt;=0,$I432,""),""))</f>
        <v/>
      </c>
      <c r="AM432" s="100" t="str">
        <f aca="false">IF(ISBLANK($C432),"",IF(ISNUMBER($J432),IF($J432&gt;=0,$J432,""),""))</f>
        <v/>
      </c>
      <c r="AN432" s="100" t="str">
        <f aca="false">IF(ISBLANK($C432),"",IF(ISNUMBER($K432),IF($K432&gt;=0,$K432,""),""))</f>
        <v/>
      </c>
      <c r="AO432" s="100" t="str">
        <f aca="false">IF(ISBLANK($C432),"",IF($L432=Constants!$B$2,TRUE(),IF($L432=Constants!$B$3,FALSE(),TRUE())))</f>
        <v/>
      </c>
      <c r="AP432" s="100" t="str">
        <f aca="false">IF(ISBLANK($C432),"",IF($M432=Constants!$B$2,TRUE(),IF($M432=Constants!$B$3,FALSE(),TRUE())))</f>
        <v/>
      </c>
      <c r="AQ432" s="100" t="str">
        <f aca="false">IF(ISBLANK($C432),"",IF($N432=Constants!$B$2,TRUE(),IF($N432=Constants!$B$3,FALSE(),FALSE())))</f>
        <v/>
      </c>
      <c r="AR432" s="100" t="str">
        <f aca="false">IF(ISBLANK($C432),"",IF($O432=Constants!$B$2,TRUE(),IF($O432=Constants!$B$3,FALSE(),TRUE())))</f>
        <v/>
      </c>
      <c r="AS432" s="100" t="str">
        <f aca="false">IF(ISBLANK($C432),"",IF($P432=Constants!$B$2,TRUE(),IF($P432=Constants!$B$3,FALSE(),FALSE())))</f>
        <v/>
      </c>
      <c r="AT432" s="100" t="str">
        <f aca="false">IF(ISBLANK($C432),"",IF($Q432=Constants!$B$2,TRUE(),IF($Q432=Constants!$B$3,FALSE(),FALSE())))</f>
        <v/>
      </c>
      <c r="AU432" s="100" t="str">
        <f aca="false">IF(ISBLANK($C432),"",IF($R432=Constants!$B$2,TRUE(),IF($R432=Constants!$B$3,FALSE(),FALSE())))</f>
        <v/>
      </c>
      <c r="AV432" s="100" t="str">
        <f aca="false">IF(ISBLANK($C432),"",IF($S432=Constants!$B$2,TRUE(),IF($S432=Constants!$B$3,FALSE(),FALSE())))</f>
        <v/>
      </c>
      <c r="AW432" s="100" t="str">
        <f aca="false">IF(ISBLANK($C432),"",IF($T432=Constants!$B$2,TRUE(),IF($T432=Constants!$B$3,FALSE(),FALSE())))</f>
        <v/>
      </c>
      <c r="AX432" s="100" t="str">
        <f aca="false">IF(ISBLANK($C432),"",IF(OR($U432&amp;""="1",$U432&amp;""="2",$U432&amp;""="3",$U432&amp;""="4"),VALUE($U432&amp;""),IF($U432=Constants!$B$12,Constants!$B$12,"")))</f>
        <v/>
      </c>
      <c r="AY432" s="100" t="str">
        <f aca="false">IF(ISBLANK($C432),"",IF(ISBLANK($V432),0,IF(ISNUMBER($V432),IF(AND($V432&gt;=0,$V432&lt;=Constants!$B$21,$V432=INT($V432)),$V432,""),"")))</f>
        <v/>
      </c>
      <c r="AZ432" s="100" t="str">
        <f aca="false">IF(ISBLANK($C432),"",IF(ISBLANK($W432),0,IF(ISNUMBER($W432),IF($W432&gt;=0,$W432,""),"")))</f>
        <v/>
      </c>
      <c r="BA432" s="100" t="str">
        <f aca="false">IF(ISBLANK($C432),"",IF($X432=Constants!$B$2,TRUE(),IF($X432=Constants!$B$3,FALSE(),TRUE())))</f>
        <v/>
      </c>
      <c r="BB432" s="100" t="str">
        <f aca="false">IF(ISBLANK($C432),"",IF($Y432=Constants!$B$2,TRUE(),IF($Y432=Constants!$B$3,FALSE(),FALSE())))</f>
        <v/>
      </c>
      <c r="BC432" s="100" t="str">
        <f aca="false">IF(ISBLANK($C432),"",IF(ISBLANK($Z432),0,IF(ISNUMBER($Z432),IF(AND($Z432&gt;=0,$Z432&lt;=Constants!$B$35,$Z432=INT($Z432)),$Z432,""),"")))</f>
        <v/>
      </c>
      <c r="BD432" s="100" t="str">
        <f aca="false">IF(ISBLANK($C432),"",IF($AA432=Constants!$B$2,TRUE(),IF($AA432=Constants!$B$3,FALSE(),TRUE())))</f>
        <v/>
      </c>
      <c r="BE432" s="100" t="str">
        <f aca="false">IF(ISBLANK($C432),"",IF($AB432=Constants!$B$2,TRUE(),IF($AB432=Constants!$B$3,FALSE(),TRUE())))</f>
        <v/>
      </c>
      <c r="BF432" s="100" t="str">
        <f aca="false">IF(ISBLANK($C432),"",IF(ISNUMBER($AC432),IF($AC432&gt;=0,$AC432,""),""))</f>
        <v/>
      </c>
      <c r="BG432" s="100" t="str">
        <f aca="false">IF(ISBLANK($C432),"",IF($AD432=Constants!$B$2,TRUE(),IF($AD432=Constants!$B$3,FALSE(),FALSE())))</f>
        <v/>
      </c>
      <c r="BH432" s="99" t="str">
        <f aca="false">IF(ISBLANK($C432),"",IF($BG432,Constants!$B$7,IF(COUNTA($E432:$AC432)=0,Constants!$B$6,IF(OR(COUNTA($G432:$AC432)=0,NOT($AK432),$AQ432),Constants!$B$5,IF(OR($CI432&lt;&gt;"",$CJ432,$CK432,$CL432,$CM432,$CN432,$CO432),Constants!$B$8,Constants!$B$4)))))</f>
        <v/>
      </c>
      <c r="BI432" s="100" t="str">
        <f aca="false">IF(ISBLANK($C432),"",IF($BH432&lt;&gt;Constants!$B$4,$BH432,IF(OR(NOT($AH432),NOT($AJ432),NOT($AR432)),Constants!$B$11,IF(OR(NOT($AP432),MAX($AL432,$AM432,$AN432)&gt;Constants!$B$30),Constants!$B$10,Constants!$B$9))))</f>
        <v/>
      </c>
      <c r="BJ432" s="100" t="str">
        <f aca="false">IF($BH432&lt;&gt;Constants!$B$4,"",IF(NOT($AJ432),0,MIN(Constants!$B$35,$BC432)))</f>
        <v/>
      </c>
      <c r="BK432" s="100" t="str">
        <f aca="false">IF($BH432&lt;&gt;Constants!$B$4,"",IF(NOT($AJ432),0,IF($AT432,Constants!$B$18,IF($AS432,Constants!$B$17,0))))</f>
        <v/>
      </c>
      <c r="BL432" s="100" t="str">
        <f aca="false">IF($BH432&lt;&gt;Constants!$B$4,"",IF(NOT($AJ432),0,Constants!$B$19*($AI432+$AU432+$AV432+$AW432)))</f>
        <v/>
      </c>
      <c r="BM432" s="100" t="str">
        <f aca="false">IF($BH432&lt;&gt;Constants!$B$4,"",IF(OR(NOT($AJ432),NOT(ISNUMBER($AX432))),0,CHOOSE($AX432,Constants!$B$13,Constants!$B$14,Constants!$B$15,Constants!$B$16)))</f>
        <v/>
      </c>
      <c r="BN432" s="100" t="str">
        <f aca="false">IF($BH432&lt;&gt;Constants!$B$4,"",IF(NOT($AJ432),0,Constants!$B$20*$AY432))</f>
        <v/>
      </c>
      <c r="BO432" s="100" t="str">
        <f aca="false">IF($BH432&lt;&gt;Constants!$B$4,"",IF(AND($AJ432,$BA432,$BB432),Constants!$B$22,0))</f>
        <v/>
      </c>
      <c r="BP432" s="100" t="str">
        <f aca="false">IF($BH432&lt;&gt;Constants!$B$4,"",IF(OR(NOT($AJ432),NOT($BA432)),0,IF($BF432&gt;=2*$AF$9,0,Constants!$B$23*INT(ROUND(MIN($BF432,$AF$9),6)))))</f>
        <v/>
      </c>
      <c r="BQ432" s="100" t="str">
        <f aca="false">IF($BH432&lt;&gt;Constants!$B$4,"",IF(NOT($AJ432),0,Constants!$B$24*INT(ROUND(MIN($AZ432,$AF$9),6))))</f>
        <v/>
      </c>
      <c r="BR432" s="100" t="str">
        <f aca="false">IF($BH432&lt;&gt;Constants!$B$4,"",IF(AND($AJ432,$BJ432=0),Constants!$B$25,0))</f>
        <v/>
      </c>
      <c r="BS432" s="100" t="str">
        <f aca="false">IF($BH432&lt;&gt;Constants!$B$4,"",MIN(Constants!$B$29,MAX(0,Constants!$B$27*Constants!$B$28*INT(ROUND((Constants!$B$26-$AL432)/Constants!$B$28,6))))+MIN(Constants!$B$29,MAX(0,Constants!$B$27*Constants!$B$28*INT(ROUND((Constants!$B$26-$AM432)/Constants!$B$28,6))))+MIN(Constants!$B$29,MAX(0,Constants!$B$27*Constants!$B$28*INT(ROUND((Constants!$B$26-$AN432)/Constants!$B$28,6)))))</f>
        <v/>
      </c>
      <c r="BT432" s="100" t="str">
        <f aca="false">IF($BH432&lt;&gt;Constants!$B$4,"",IF(NOT($AJ432),0,Constants!$B$31*INT(ROUND(MAX(0,MIN($BF432,2*$AF$9)-$AF$9),6))))</f>
        <v/>
      </c>
      <c r="BU432" s="100" t="str">
        <f aca="false">IF($BH432&lt;&gt;Constants!$B$4,"",Constants!$B$32*(($AL432&gt;Constants!$B$26)+($AM432&gt;Constants!$B$26)+($AN432&gt;Constants!$B$26)))</f>
        <v/>
      </c>
      <c r="BV432" s="100" t="str">
        <f aca="false">IF($BH432&lt;&gt;Constants!$B$4,"",IF(OR(NOT($AJ432),$AO432),0,Constants!$B$33))</f>
        <v/>
      </c>
      <c r="BW432" s="100" t="str">
        <f aca="false">IF($BH432&lt;&gt;Constants!$B$4,"",Constants!$B$34*$BJ432)</f>
        <v/>
      </c>
      <c r="BX432" s="100" t="str">
        <f aca="false">IF($BH432&lt;&gt;Constants!$B$4,"",IF(OR(NOT($AJ432),$BE432),0,Constants!$B$36))</f>
        <v/>
      </c>
      <c r="BY432" s="100" t="str">
        <f aca="false">IF($BH432&lt;&gt;Constants!$B$4,"",IF(OR(NOT($AJ432),$BD432),0,Constants!$B$37))</f>
        <v/>
      </c>
      <c r="BZ432" s="100" t="str">
        <f aca="false">IF($BH432&lt;&gt;Constants!$B$4,"",SUM($BT432:$BY432))</f>
        <v/>
      </c>
      <c r="CA432" s="100" t="str">
        <f aca="false">IF(ISBLANK($C432),"",IF($BH432&lt;&gt;Constants!$B$4,$BH432,SUM($BK432:$BS432)-$BZ432))</f>
        <v/>
      </c>
      <c r="CB432" s="100" t="str">
        <f aca="false">IF(ISBLANK($C432),"",IF($BH432&lt;&gt;Constants!$B$4,$BH432,RANK($CA432,$CA$9:$CA$508)))</f>
        <v/>
      </c>
      <c r="CC432" s="100" t="str">
        <f aca="false">IF(ISBLANK($C432),"",IF($BH432&lt;&gt;Constants!$B$4,$BH432,COUNTIFS($BI$9:$BI$508,"&lt;"&amp;$BI432)+COUNTIFS($BI$9:$BI$508,$BI432,$CB$9:$CB$508,"&lt;"&amp;$CB432)+1))</f>
        <v/>
      </c>
      <c r="CD432" s="100" t="str">
        <f aca="false">IF(ISBLANK($C432),"",IF($BH432&lt;&gt;Constants!$B$4,$BH432,RANK($BZ432,$BZ$9:$BZ$508,1)))</f>
        <v/>
      </c>
      <c r="CE432" s="100" t="str">
        <f aca="false">IF($BH432&lt;&gt;Constants!$B$4,"",$AL432+$AM432+$AN432)</f>
        <v/>
      </c>
      <c r="CF432" s="100" t="str">
        <f aca="false">IF(ISBLANK($C432),"",IF($BH432&lt;&gt;Constants!$B$4,$BH432,RANK($CE432,$CE$9:$CE$508,1)))</f>
        <v/>
      </c>
      <c r="CG432" s="100" t="str">
        <f aca="false">IF(ISBLANK($C432),"",IF($BH432&lt;&gt;Constants!$B$4,$BH432,COUNTIFS($BI$9:$BI$508,"&lt;"&amp;$BI432)+COUNTIFS($BI$9:$BI$508,$BI432,$CB$9:$CB$508,"&lt;"&amp;$CB432)+COUNTIFS($BI$9:$BI$508,$BI432,$CB$9:$CB$508,$CB432,$CD$9:$CD$508,"&lt;"&amp;$CD432)+COUNTIFS($BI$9:$BI$508,$BI432,$CB$9:$CB$508,$CB432,$CD$9:$CD$508,$CD432,$CF$9:$CF$508,"&lt;"&amp;$CF432)+1))</f>
        <v/>
      </c>
      <c r="CH432" s="100" t="str">
        <f aca="false">IF(ISBLANK($C432),"",IF($BH432&lt;&gt;Constants!$B$4,$BH432,$CC432-$CG432))</f>
        <v/>
      </c>
      <c r="CI432" s="100" t="str">
        <f aca="false">IF(ISBLANK($C432),"",IF(NOT($AJ432),"",IF(ISBLANK($D$7),$CI$5,IF(NOT(ISNUMBER($D$7)),$CI$6,""))))</f>
        <v/>
      </c>
      <c r="CJ432" s="100" t="str">
        <f aca="false">IF(ISBLANK($C432),"",OR($AL432="",$AM432="",$AN432=""))</f>
        <v/>
      </c>
      <c r="CK432" s="100" t="str">
        <f aca="false">IF(ISBLANK($C432),"",AND($AJ432,$AX432=""))</f>
        <v/>
      </c>
      <c r="CL432" s="100" t="str">
        <f aca="false">IF(ISBLANK($C432),"",AND($AJ432,$AY432=""))</f>
        <v/>
      </c>
      <c r="CM432" s="100" t="str">
        <f aca="false">IF(ISBLANK($C432),"",AND($AJ432,$AZ432=""))</f>
        <v/>
      </c>
      <c r="CN432" s="100" t="str">
        <f aca="false">IF(ISBLANK($C432),"",AND($AJ432,$BC432=""))</f>
        <v/>
      </c>
      <c r="CO432" s="100" t="str">
        <f aca="false">IF(ISBLANK($C432),"",AND($AJ432,$BF432=""))</f>
        <v/>
      </c>
      <c r="CP432" s="101"/>
      <c r="CQ432" s="102"/>
      <c r="CR432" s="103" t="str">
        <f aca="false">IF(ISBLANK($C432),"",IF($BH432=Constants!$B$8,$CI432,""))</f>
        <v/>
      </c>
      <c r="CS432" s="102" t="str">
        <f aca="false">IF(ISBLANK($C432),"",IF($BH432&lt;&gt;Constants!$B$4,"",$BK432+$BL432))</f>
        <v/>
      </c>
      <c r="CT432" s="104" t="str">
        <f aca="false">IF(ISBLANK($C432),"",IF($BH432&lt;&gt;Constants!$B$4,"",$BM432+$BN432+$BO432))</f>
        <v/>
      </c>
      <c r="CU432" s="104" t="str">
        <f aca="false">IF(ISBLANK($C432),"",IF($BH432&lt;&gt;Constants!$B$4,"",$BP432))</f>
        <v/>
      </c>
      <c r="CV432" s="104" t="str">
        <f aca="false">IF(ISBLANK($C432),"",IF($BH432&lt;&gt;Constants!$B$4,"",$BQ432+$BR432))</f>
        <v/>
      </c>
      <c r="CW432" s="104" t="str">
        <f aca="false">IF(ISBLANK($C432),"",IF($BH432&lt;&gt;Constants!$B$4,"",$BS432))</f>
        <v/>
      </c>
      <c r="CX432" s="104" t="str">
        <f aca="false">IF(ISBLANK($C432),"",IF($BH432&lt;&gt;Constants!$B$4,"",-$BZ432))</f>
        <v/>
      </c>
      <c r="CY432" s="103" t="str">
        <f aca="false">IF(ISBLANK($C432),"",$CA432)</f>
        <v/>
      </c>
      <c r="CZ432" s="105" t="str">
        <f aca="false">IF(ISBLANK($C432),"",$BI432)</f>
        <v/>
      </c>
      <c r="DA432" s="104" t="str">
        <f aca="false">IF(ISBLANK($C432),"",$CH432)</f>
        <v/>
      </c>
      <c r="DB432" s="104" t="str">
        <f aca="false">IF(ISBLANK($C432),"",$CG432)</f>
        <v/>
      </c>
      <c r="DC432" s="106" t="str">
        <f aca="false">IF(ISBLANK($C432),"",IFERROR(_xlfn.SWITCH($DB432,Constants!$B$7,COUNTA($C$9:$C$508)+2,Constants!$B$6,COUNTA($C$9:$C$508)+1,Constants!$B$5,COUNTA($C$9:$C$508)),$DB432))</f>
        <v/>
      </c>
      <c r="DD432" s="7"/>
      <c r="DE432" s="107" t="n">
        <f aca="false">IF(OR(ISNUMBER($DB432),$DB432=Constants!$B$7,$DB432=Constants!$B$5,$DB432=Constants!$B$6),1,0)</f>
        <v>0</v>
      </c>
      <c r="DF432" s="107" t="n">
        <v>424</v>
      </c>
      <c r="DG432" s="107" t="str">
        <f aca="false">IF(ISBLANK($C432),"",IF(ISNUMBER($DC432),$DC432+ROW($B432)/1000,""))</f>
        <v/>
      </c>
      <c r="DH432" s="107" t="str">
        <f aca="false">IF(ISNUMBER($DG432),RANK($DG432,$DG$9:$DG$508,1),"")</f>
        <v/>
      </c>
      <c r="DI432" s="107" t="str">
        <f aca="false">IF(ISBLANK($C432),"",$B432)</f>
        <v/>
      </c>
      <c r="DJ432" s="107" t="str">
        <f aca="false">IF(ISBLANK($C432),"",$C432)</f>
        <v/>
      </c>
      <c r="DK432" s="107" t="str">
        <f aca="false">IF(ISBLANK($C432),"",$D432)</f>
        <v/>
      </c>
      <c r="DL432" s="108" t="str">
        <f aca="false">$CZ432</f>
        <v/>
      </c>
      <c r="DM432" s="109" t="str">
        <f aca="false">$CY432</f>
        <v/>
      </c>
      <c r="DN432" s="107" t="str">
        <f aca="false">IF(ISBLANK($C432),"",$DB432)</f>
        <v/>
      </c>
      <c r="DO432" s="110" t="str">
        <f aca="false">IF($DF432&gt;$DE$8,"",VLOOKUP($DF432,$DH$9:$DN$508,7,FALSE()))</f>
        <v/>
      </c>
      <c r="DP432" s="111" t="str">
        <f aca="false">IF($DF432&gt;$DE$8,"",VLOOKUP($DF432,$DH$9:$DN$508,2,FALSE()))</f>
        <v/>
      </c>
      <c r="DQ432" s="111" t="str">
        <f aca="false">IF($DF432&gt;$DE$8,"",VLOOKUP($DF432,$DH$9:$DN$508,3,FALSE()))</f>
        <v/>
      </c>
      <c r="DR432" s="111" t="str">
        <f aca="false">IF($DF432&gt;$DE$8,"",VLOOKUP($DF432,$DH$9:$DN$508,4,FALSE()))</f>
        <v/>
      </c>
      <c r="DS432" s="111" t="str">
        <f aca="false">IF($DF432&gt;$DE$8,"",VLOOKUP($DF432,$DH$9:$DN$508,5,FALSE()))</f>
        <v/>
      </c>
      <c r="DT432" s="112" t="str">
        <f aca="false">IF($DF432&gt;$DE$8,"",VLOOKUP($DF432,$DH$9:$DN$508,6,FALSE()))</f>
        <v/>
      </c>
      <c r="DU432" s="62"/>
    </row>
    <row r="433" customFormat="false" ht="15.75" hidden="false" customHeight="false" outlineLevel="0" collapsed="false">
      <c r="A433" s="7"/>
      <c r="B433" s="90"/>
      <c r="C433" s="91"/>
      <c r="D433" s="126"/>
      <c r="E433" s="130"/>
      <c r="F433" s="135"/>
      <c r="G433" s="130"/>
      <c r="H433" s="135"/>
      <c r="I433" s="131"/>
      <c r="J433" s="131"/>
      <c r="K433" s="131"/>
      <c r="L433" s="130"/>
      <c r="M433" s="130"/>
      <c r="N433" s="130"/>
      <c r="O433" s="135"/>
      <c r="P433" s="130"/>
      <c r="Q433" s="130"/>
      <c r="R433" s="130"/>
      <c r="S433" s="130"/>
      <c r="T433" s="135"/>
      <c r="U433" s="130"/>
      <c r="V433" s="96"/>
      <c r="W433" s="130"/>
      <c r="X433" s="130"/>
      <c r="Y433" s="96"/>
      <c r="Z433" s="96"/>
      <c r="AA433" s="130"/>
      <c r="AB433" s="130"/>
      <c r="AC433" s="97"/>
      <c r="AD433" s="130"/>
      <c r="AE433" s="99"/>
      <c r="AF433" s="100"/>
      <c r="AG433" s="100"/>
      <c r="AH433" s="100" t="str">
        <f aca="false">IF(ISBLANK($C433),"",IF($E433=Constants!$B$2,TRUE(),IF($E433=Constants!$B$3,FALSE(),TRUE())))</f>
        <v/>
      </c>
      <c r="AI433" s="100" t="str">
        <f aca="false">IF(ISBLANK($C433),"",IF($F433=Constants!$B$2,TRUE(),IF($F433=Constants!$B$3,FALSE(),FALSE())))</f>
        <v/>
      </c>
      <c r="AJ433" s="100" t="str">
        <f aca="false">IF(ISBLANK($C433),"",IF($G433=Constants!$B$2,TRUE(),IF($G433=Constants!$B$3,FALSE(),TRUE())))</f>
        <v/>
      </c>
      <c r="AK433" s="100" t="str">
        <f aca="false">IF(ISBLANK($C433),"",IF($H433=Constants!$B$2,TRUE(),IF($H433=Constants!$B$3,FALSE(),TRUE())))</f>
        <v/>
      </c>
      <c r="AL433" s="100" t="str">
        <f aca="false">IF(ISBLANK($C433),"",IF(ISNUMBER($I433),IF($I433&gt;=0,$I433,""),""))</f>
        <v/>
      </c>
      <c r="AM433" s="100" t="str">
        <f aca="false">IF(ISBLANK($C433),"",IF(ISNUMBER($J433),IF($J433&gt;=0,$J433,""),""))</f>
        <v/>
      </c>
      <c r="AN433" s="100" t="str">
        <f aca="false">IF(ISBLANK($C433),"",IF(ISNUMBER($K433),IF($K433&gt;=0,$K433,""),""))</f>
        <v/>
      </c>
      <c r="AO433" s="100" t="str">
        <f aca="false">IF(ISBLANK($C433),"",IF($L433=Constants!$B$2,TRUE(),IF($L433=Constants!$B$3,FALSE(),TRUE())))</f>
        <v/>
      </c>
      <c r="AP433" s="100" t="str">
        <f aca="false">IF(ISBLANK($C433),"",IF($M433=Constants!$B$2,TRUE(),IF($M433=Constants!$B$3,FALSE(),TRUE())))</f>
        <v/>
      </c>
      <c r="AQ433" s="100" t="str">
        <f aca="false">IF(ISBLANK($C433),"",IF($N433=Constants!$B$2,TRUE(),IF($N433=Constants!$B$3,FALSE(),FALSE())))</f>
        <v/>
      </c>
      <c r="AR433" s="100" t="str">
        <f aca="false">IF(ISBLANK($C433),"",IF($O433=Constants!$B$2,TRUE(),IF($O433=Constants!$B$3,FALSE(),TRUE())))</f>
        <v/>
      </c>
      <c r="AS433" s="100" t="str">
        <f aca="false">IF(ISBLANK($C433),"",IF($P433=Constants!$B$2,TRUE(),IF($P433=Constants!$B$3,FALSE(),FALSE())))</f>
        <v/>
      </c>
      <c r="AT433" s="100" t="str">
        <f aca="false">IF(ISBLANK($C433),"",IF($Q433=Constants!$B$2,TRUE(),IF($Q433=Constants!$B$3,FALSE(),FALSE())))</f>
        <v/>
      </c>
      <c r="AU433" s="100" t="str">
        <f aca="false">IF(ISBLANK($C433),"",IF($R433=Constants!$B$2,TRUE(),IF($R433=Constants!$B$3,FALSE(),FALSE())))</f>
        <v/>
      </c>
      <c r="AV433" s="100" t="str">
        <f aca="false">IF(ISBLANK($C433),"",IF($S433=Constants!$B$2,TRUE(),IF($S433=Constants!$B$3,FALSE(),FALSE())))</f>
        <v/>
      </c>
      <c r="AW433" s="100" t="str">
        <f aca="false">IF(ISBLANK($C433),"",IF($T433=Constants!$B$2,TRUE(),IF($T433=Constants!$B$3,FALSE(),FALSE())))</f>
        <v/>
      </c>
      <c r="AX433" s="100" t="str">
        <f aca="false">IF(ISBLANK($C433),"",IF(OR($U433&amp;""="1",$U433&amp;""="2",$U433&amp;""="3",$U433&amp;""="4"),VALUE($U433&amp;""),IF($U433=Constants!$B$12,Constants!$B$12,"")))</f>
        <v/>
      </c>
      <c r="AY433" s="100" t="str">
        <f aca="false">IF(ISBLANK($C433),"",IF(ISBLANK($V433),0,IF(ISNUMBER($V433),IF(AND($V433&gt;=0,$V433&lt;=Constants!$B$21,$V433=INT($V433)),$V433,""),"")))</f>
        <v/>
      </c>
      <c r="AZ433" s="100" t="str">
        <f aca="false">IF(ISBLANK($C433),"",IF(ISBLANK($W433),0,IF(ISNUMBER($W433),IF($W433&gt;=0,$W433,""),"")))</f>
        <v/>
      </c>
      <c r="BA433" s="100" t="str">
        <f aca="false">IF(ISBLANK($C433),"",IF($X433=Constants!$B$2,TRUE(),IF($X433=Constants!$B$3,FALSE(),TRUE())))</f>
        <v/>
      </c>
      <c r="BB433" s="100" t="str">
        <f aca="false">IF(ISBLANK($C433),"",IF($Y433=Constants!$B$2,TRUE(),IF($Y433=Constants!$B$3,FALSE(),FALSE())))</f>
        <v/>
      </c>
      <c r="BC433" s="100" t="str">
        <f aca="false">IF(ISBLANK($C433),"",IF(ISBLANK($Z433),0,IF(ISNUMBER($Z433),IF(AND($Z433&gt;=0,$Z433&lt;=Constants!$B$35,$Z433=INT($Z433)),$Z433,""),"")))</f>
        <v/>
      </c>
      <c r="BD433" s="100" t="str">
        <f aca="false">IF(ISBLANK($C433),"",IF($AA433=Constants!$B$2,TRUE(),IF($AA433=Constants!$B$3,FALSE(),TRUE())))</f>
        <v/>
      </c>
      <c r="BE433" s="100" t="str">
        <f aca="false">IF(ISBLANK($C433),"",IF($AB433=Constants!$B$2,TRUE(),IF($AB433=Constants!$B$3,FALSE(),TRUE())))</f>
        <v/>
      </c>
      <c r="BF433" s="100" t="str">
        <f aca="false">IF(ISBLANK($C433),"",IF(ISNUMBER($AC433),IF($AC433&gt;=0,$AC433,""),""))</f>
        <v/>
      </c>
      <c r="BG433" s="100" t="str">
        <f aca="false">IF(ISBLANK($C433),"",IF($AD433=Constants!$B$2,TRUE(),IF($AD433=Constants!$B$3,FALSE(),FALSE())))</f>
        <v/>
      </c>
      <c r="BH433" s="99" t="str">
        <f aca="false">IF(ISBLANK($C433),"",IF($BG433,Constants!$B$7,IF(COUNTA($E433:$AC433)=0,Constants!$B$6,IF(OR(COUNTA($G433:$AC433)=0,NOT($AK433),$AQ433),Constants!$B$5,IF(OR($CI433&lt;&gt;"",$CJ433,$CK433,$CL433,$CM433,$CN433,$CO433),Constants!$B$8,Constants!$B$4)))))</f>
        <v/>
      </c>
      <c r="BI433" s="100" t="str">
        <f aca="false">IF(ISBLANK($C433),"",IF($BH433&lt;&gt;Constants!$B$4,$BH433,IF(OR(NOT($AH433),NOT($AJ433),NOT($AR433)),Constants!$B$11,IF(OR(NOT($AP433),MAX($AL433,$AM433,$AN433)&gt;Constants!$B$30),Constants!$B$10,Constants!$B$9))))</f>
        <v/>
      </c>
      <c r="BJ433" s="100" t="str">
        <f aca="false">IF($BH433&lt;&gt;Constants!$B$4,"",IF(NOT($AJ433),0,MIN(Constants!$B$35,$BC433)))</f>
        <v/>
      </c>
      <c r="BK433" s="100" t="str">
        <f aca="false">IF($BH433&lt;&gt;Constants!$B$4,"",IF(NOT($AJ433),0,IF($AT433,Constants!$B$18,IF($AS433,Constants!$B$17,0))))</f>
        <v/>
      </c>
      <c r="BL433" s="100" t="str">
        <f aca="false">IF($BH433&lt;&gt;Constants!$B$4,"",IF(NOT($AJ433),0,Constants!$B$19*($AI433+$AU433+$AV433+$AW433)))</f>
        <v/>
      </c>
      <c r="BM433" s="100" t="str">
        <f aca="false">IF($BH433&lt;&gt;Constants!$B$4,"",IF(OR(NOT($AJ433),NOT(ISNUMBER($AX433))),0,CHOOSE($AX433,Constants!$B$13,Constants!$B$14,Constants!$B$15,Constants!$B$16)))</f>
        <v/>
      </c>
      <c r="BN433" s="100" t="str">
        <f aca="false">IF($BH433&lt;&gt;Constants!$B$4,"",IF(NOT($AJ433),0,Constants!$B$20*$AY433))</f>
        <v/>
      </c>
      <c r="BO433" s="100" t="str">
        <f aca="false">IF($BH433&lt;&gt;Constants!$B$4,"",IF(AND($AJ433,$BA433,$BB433),Constants!$B$22,0))</f>
        <v/>
      </c>
      <c r="BP433" s="100" t="str">
        <f aca="false">IF($BH433&lt;&gt;Constants!$B$4,"",IF(OR(NOT($AJ433),NOT($BA433)),0,IF($BF433&gt;=2*$AF$9,0,Constants!$B$23*INT(ROUND(MIN($BF433,$AF$9),6)))))</f>
        <v/>
      </c>
      <c r="BQ433" s="100" t="str">
        <f aca="false">IF($BH433&lt;&gt;Constants!$B$4,"",IF(NOT($AJ433),0,Constants!$B$24*INT(ROUND(MIN($AZ433,$AF$9),6))))</f>
        <v/>
      </c>
      <c r="BR433" s="100" t="str">
        <f aca="false">IF($BH433&lt;&gt;Constants!$B$4,"",IF(AND($AJ433,$BJ433=0),Constants!$B$25,0))</f>
        <v/>
      </c>
      <c r="BS433" s="100" t="str">
        <f aca="false">IF($BH433&lt;&gt;Constants!$B$4,"",MIN(Constants!$B$29,MAX(0,Constants!$B$27*Constants!$B$28*INT(ROUND((Constants!$B$26-$AL433)/Constants!$B$28,6))))+MIN(Constants!$B$29,MAX(0,Constants!$B$27*Constants!$B$28*INT(ROUND((Constants!$B$26-$AM433)/Constants!$B$28,6))))+MIN(Constants!$B$29,MAX(0,Constants!$B$27*Constants!$B$28*INT(ROUND((Constants!$B$26-$AN433)/Constants!$B$28,6)))))</f>
        <v/>
      </c>
      <c r="BT433" s="100" t="str">
        <f aca="false">IF($BH433&lt;&gt;Constants!$B$4,"",IF(NOT($AJ433),0,Constants!$B$31*INT(ROUND(MAX(0,MIN($BF433,2*$AF$9)-$AF$9),6))))</f>
        <v/>
      </c>
      <c r="BU433" s="100" t="str">
        <f aca="false">IF($BH433&lt;&gt;Constants!$B$4,"",Constants!$B$32*(($AL433&gt;Constants!$B$26)+($AM433&gt;Constants!$B$26)+($AN433&gt;Constants!$B$26)))</f>
        <v/>
      </c>
      <c r="BV433" s="100" t="str">
        <f aca="false">IF($BH433&lt;&gt;Constants!$B$4,"",IF(OR(NOT($AJ433),$AO433),0,Constants!$B$33))</f>
        <v/>
      </c>
      <c r="BW433" s="100" t="str">
        <f aca="false">IF($BH433&lt;&gt;Constants!$B$4,"",Constants!$B$34*$BJ433)</f>
        <v/>
      </c>
      <c r="BX433" s="100" t="str">
        <f aca="false">IF($BH433&lt;&gt;Constants!$B$4,"",IF(OR(NOT($AJ433),$BE433),0,Constants!$B$36))</f>
        <v/>
      </c>
      <c r="BY433" s="100" t="str">
        <f aca="false">IF($BH433&lt;&gt;Constants!$B$4,"",IF(OR(NOT($AJ433),$BD433),0,Constants!$B$37))</f>
        <v/>
      </c>
      <c r="BZ433" s="100" t="str">
        <f aca="false">IF($BH433&lt;&gt;Constants!$B$4,"",SUM($BT433:$BY433))</f>
        <v/>
      </c>
      <c r="CA433" s="100" t="str">
        <f aca="false">IF(ISBLANK($C433),"",IF($BH433&lt;&gt;Constants!$B$4,$BH433,SUM($BK433:$BS433)-$BZ433))</f>
        <v/>
      </c>
      <c r="CB433" s="100" t="str">
        <f aca="false">IF(ISBLANK($C433),"",IF($BH433&lt;&gt;Constants!$B$4,$BH433,RANK($CA433,$CA$9:$CA$508)))</f>
        <v/>
      </c>
      <c r="CC433" s="100" t="str">
        <f aca="false">IF(ISBLANK($C433),"",IF($BH433&lt;&gt;Constants!$B$4,$BH433,COUNTIFS($BI$9:$BI$508,"&lt;"&amp;$BI433)+COUNTIFS($BI$9:$BI$508,$BI433,$CB$9:$CB$508,"&lt;"&amp;$CB433)+1))</f>
        <v/>
      </c>
      <c r="CD433" s="100" t="str">
        <f aca="false">IF(ISBLANK($C433),"",IF($BH433&lt;&gt;Constants!$B$4,$BH433,RANK($BZ433,$BZ$9:$BZ$508,1)))</f>
        <v/>
      </c>
      <c r="CE433" s="100" t="str">
        <f aca="false">IF($BH433&lt;&gt;Constants!$B$4,"",$AL433+$AM433+$AN433)</f>
        <v/>
      </c>
      <c r="CF433" s="100" t="str">
        <f aca="false">IF(ISBLANK($C433),"",IF($BH433&lt;&gt;Constants!$B$4,$BH433,RANK($CE433,$CE$9:$CE$508,1)))</f>
        <v/>
      </c>
      <c r="CG433" s="100" t="str">
        <f aca="false">IF(ISBLANK($C433),"",IF($BH433&lt;&gt;Constants!$B$4,$BH433,COUNTIFS($BI$9:$BI$508,"&lt;"&amp;$BI433)+COUNTIFS($BI$9:$BI$508,$BI433,$CB$9:$CB$508,"&lt;"&amp;$CB433)+COUNTIFS($BI$9:$BI$508,$BI433,$CB$9:$CB$508,$CB433,$CD$9:$CD$508,"&lt;"&amp;$CD433)+COUNTIFS($BI$9:$BI$508,$BI433,$CB$9:$CB$508,$CB433,$CD$9:$CD$508,$CD433,$CF$9:$CF$508,"&lt;"&amp;$CF433)+1))</f>
        <v/>
      </c>
      <c r="CH433" s="100" t="str">
        <f aca="false">IF(ISBLANK($C433),"",IF($BH433&lt;&gt;Constants!$B$4,$BH433,$CC433-$CG433))</f>
        <v/>
      </c>
      <c r="CI433" s="100" t="str">
        <f aca="false">IF(ISBLANK($C433),"",IF(NOT($AJ433),"",IF(ISBLANK($D$7),$CI$5,IF(NOT(ISNUMBER($D$7)),$CI$6,""))))</f>
        <v/>
      </c>
      <c r="CJ433" s="100" t="str">
        <f aca="false">IF(ISBLANK($C433),"",OR($AL433="",$AM433="",$AN433=""))</f>
        <v/>
      </c>
      <c r="CK433" s="100" t="str">
        <f aca="false">IF(ISBLANK($C433),"",AND($AJ433,$AX433=""))</f>
        <v/>
      </c>
      <c r="CL433" s="100" t="str">
        <f aca="false">IF(ISBLANK($C433),"",AND($AJ433,$AY433=""))</f>
        <v/>
      </c>
      <c r="CM433" s="100" t="str">
        <f aca="false">IF(ISBLANK($C433),"",AND($AJ433,$AZ433=""))</f>
        <v/>
      </c>
      <c r="CN433" s="100" t="str">
        <f aca="false">IF(ISBLANK($C433),"",AND($AJ433,$BC433=""))</f>
        <v/>
      </c>
      <c r="CO433" s="100" t="str">
        <f aca="false">IF(ISBLANK($C433),"",AND($AJ433,$BF433=""))</f>
        <v/>
      </c>
      <c r="CP433" s="101"/>
      <c r="CQ433" s="102"/>
      <c r="CR433" s="103" t="str">
        <f aca="false">IF(ISBLANK($C433),"",IF($BH433=Constants!$B$8,$CI433,""))</f>
        <v/>
      </c>
      <c r="CS433" s="102" t="str">
        <f aca="false">IF(ISBLANK($C433),"",IF($BH433&lt;&gt;Constants!$B$4,"",$BK433+$BL433))</f>
        <v/>
      </c>
      <c r="CT433" s="104" t="str">
        <f aca="false">IF(ISBLANK($C433),"",IF($BH433&lt;&gt;Constants!$B$4,"",$BM433+$BN433+$BO433))</f>
        <v/>
      </c>
      <c r="CU433" s="104" t="str">
        <f aca="false">IF(ISBLANK($C433),"",IF($BH433&lt;&gt;Constants!$B$4,"",$BP433))</f>
        <v/>
      </c>
      <c r="CV433" s="104" t="str">
        <f aca="false">IF(ISBLANK($C433),"",IF($BH433&lt;&gt;Constants!$B$4,"",$BQ433+$BR433))</f>
        <v/>
      </c>
      <c r="CW433" s="104" t="str">
        <f aca="false">IF(ISBLANK($C433),"",IF($BH433&lt;&gt;Constants!$B$4,"",$BS433))</f>
        <v/>
      </c>
      <c r="CX433" s="104" t="str">
        <f aca="false">IF(ISBLANK($C433),"",IF($BH433&lt;&gt;Constants!$B$4,"",-$BZ433))</f>
        <v/>
      </c>
      <c r="CY433" s="103" t="str">
        <f aca="false">IF(ISBLANK($C433),"",$CA433)</f>
        <v/>
      </c>
      <c r="CZ433" s="105" t="str">
        <f aca="false">IF(ISBLANK($C433),"",$BI433)</f>
        <v/>
      </c>
      <c r="DA433" s="104" t="str">
        <f aca="false">IF(ISBLANK($C433),"",$CH433)</f>
        <v/>
      </c>
      <c r="DB433" s="104" t="str">
        <f aca="false">IF(ISBLANK($C433),"",$CG433)</f>
        <v/>
      </c>
      <c r="DC433" s="106" t="str">
        <f aca="false">IF(ISBLANK($C433),"",IFERROR(_xlfn.SWITCH($DB433,Constants!$B$7,COUNTA($C$9:$C$508)+2,Constants!$B$6,COUNTA($C$9:$C$508)+1,Constants!$B$5,COUNTA($C$9:$C$508)),$DB433))</f>
        <v/>
      </c>
      <c r="DD433" s="7"/>
      <c r="DE433" s="107" t="n">
        <f aca="false">IF(OR(ISNUMBER($DB433),$DB433=Constants!$B$7,$DB433=Constants!$B$5,$DB433=Constants!$B$6),1,0)</f>
        <v>0</v>
      </c>
      <c r="DF433" s="107" t="n">
        <v>425</v>
      </c>
      <c r="DG433" s="107" t="str">
        <f aca="false">IF(ISBLANK($C433),"",IF(ISNUMBER($DC433),$DC433+ROW($B433)/1000,""))</f>
        <v/>
      </c>
      <c r="DH433" s="107" t="str">
        <f aca="false">IF(ISNUMBER($DG433),RANK($DG433,$DG$9:$DG$508,1),"")</f>
        <v/>
      </c>
      <c r="DI433" s="107" t="str">
        <f aca="false">IF(ISBLANK($C433),"",$B433)</f>
        <v/>
      </c>
      <c r="DJ433" s="107" t="str">
        <f aca="false">IF(ISBLANK($C433),"",$C433)</f>
        <v/>
      </c>
      <c r="DK433" s="107" t="str">
        <f aca="false">IF(ISBLANK($C433),"",$D433)</f>
        <v/>
      </c>
      <c r="DL433" s="108" t="str">
        <f aca="false">$CZ433</f>
        <v/>
      </c>
      <c r="DM433" s="109" t="str">
        <f aca="false">$CY433</f>
        <v/>
      </c>
      <c r="DN433" s="107" t="str">
        <f aca="false">IF(ISBLANK($C433),"",$DB433)</f>
        <v/>
      </c>
      <c r="DO433" s="110" t="str">
        <f aca="false">IF($DF433&gt;$DE$8,"",VLOOKUP($DF433,$DH$9:$DN$508,7,FALSE()))</f>
        <v/>
      </c>
      <c r="DP433" s="111" t="str">
        <f aca="false">IF($DF433&gt;$DE$8,"",VLOOKUP($DF433,$DH$9:$DN$508,2,FALSE()))</f>
        <v/>
      </c>
      <c r="DQ433" s="111" t="str">
        <f aca="false">IF($DF433&gt;$DE$8,"",VLOOKUP($DF433,$DH$9:$DN$508,3,FALSE()))</f>
        <v/>
      </c>
      <c r="DR433" s="111" t="str">
        <f aca="false">IF($DF433&gt;$DE$8,"",VLOOKUP($DF433,$DH$9:$DN$508,4,FALSE()))</f>
        <v/>
      </c>
      <c r="DS433" s="111" t="str">
        <f aca="false">IF($DF433&gt;$DE$8,"",VLOOKUP($DF433,$DH$9:$DN$508,5,FALSE()))</f>
        <v/>
      </c>
      <c r="DT433" s="112" t="str">
        <f aca="false">IF($DF433&gt;$DE$8,"",VLOOKUP($DF433,$DH$9:$DN$508,6,FALSE()))</f>
        <v/>
      </c>
      <c r="DU433" s="62"/>
    </row>
    <row r="434" customFormat="false" ht="15.75" hidden="false" customHeight="false" outlineLevel="0" collapsed="false">
      <c r="A434" s="7"/>
      <c r="B434" s="90"/>
      <c r="C434" s="91"/>
      <c r="D434" s="126"/>
      <c r="E434" s="130"/>
      <c r="F434" s="135"/>
      <c r="G434" s="130"/>
      <c r="H434" s="135"/>
      <c r="I434" s="131"/>
      <c r="J434" s="131"/>
      <c r="K434" s="131"/>
      <c r="L434" s="130"/>
      <c r="M434" s="130"/>
      <c r="N434" s="130"/>
      <c r="O434" s="135"/>
      <c r="P434" s="130"/>
      <c r="Q434" s="130"/>
      <c r="R434" s="130"/>
      <c r="S434" s="130"/>
      <c r="T434" s="135"/>
      <c r="U434" s="130"/>
      <c r="V434" s="96"/>
      <c r="W434" s="130"/>
      <c r="X434" s="130"/>
      <c r="Y434" s="96"/>
      <c r="Z434" s="96"/>
      <c r="AA434" s="130"/>
      <c r="AB434" s="130"/>
      <c r="AC434" s="97"/>
      <c r="AD434" s="130"/>
      <c r="AE434" s="99"/>
      <c r="AF434" s="100"/>
      <c r="AG434" s="100"/>
      <c r="AH434" s="100" t="str">
        <f aca="false">IF(ISBLANK($C434),"",IF($E434=Constants!$B$2,TRUE(),IF($E434=Constants!$B$3,FALSE(),TRUE())))</f>
        <v/>
      </c>
      <c r="AI434" s="100" t="str">
        <f aca="false">IF(ISBLANK($C434),"",IF($F434=Constants!$B$2,TRUE(),IF($F434=Constants!$B$3,FALSE(),FALSE())))</f>
        <v/>
      </c>
      <c r="AJ434" s="100" t="str">
        <f aca="false">IF(ISBLANK($C434),"",IF($G434=Constants!$B$2,TRUE(),IF($G434=Constants!$B$3,FALSE(),TRUE())))</f>
        <v/>
      </c>
      <c r="AK434" s="100" t="str">
        <f aca="false">IF(ISBLANK($C434),"",IF($H434=Constants!$B$2,TRUE(),IF($H434=Constants!$B$3,FALSE(),TRUE())))</f>
        <v/>
      </c>
      <c r="AL434" s="100" t="str">
        <f aca="false">IF(ISBLANK($C434),"",IF(ISNUMBER($I434),IF($I434&gt;=0,$I434,""),""))</f>
        <v/>
      </c>
      <c r="AM434" s="100" t="str">
        <f aca="false">IF(ISBLANK($C434),"",IF(ISNUMBER($J434),IF($J434&gt;=0,$J434,""),""))</f>
        <v/>
      </c>
      <c r="AN434" s="100" t="str">
        <f aca="false">IF(ISBLANK($C434),"",IF(ISNUMBER($K434),IF($K434&gt;=0,$K434,""),""))</f>
        <v/>
      </c>
      <c r="AO434" s="100" t="str">
        <f aca="false">IF(ISBLANK($C434),"",IF($L434=Constants!$B$2,TRUE(),IF($L434=Constants!$B$3,FALSE(),TRUE())))</f>
        <v/>
      </c>
      <c r="AP434" s="100" t="str">
        <f aca="false">IF(ISBLANK($C434),"",IF($M434=Constants!$B$2,TRUE(),IF($M434=Constants!$B$3,FALSE(),TRUE())))</f>
        <v/>
      </c>
      <c r="AQ434" s="100" t="str">
        <f aca="false">IF(ISBLANK($C434),"",IF($N434=Constants!$B$2,TRUE(),IF($N434=Constants!$B$3,FALSE(),FALSE())))</f>
        <v/>
      </c>
      <c r="AR434" s="100" t="str">
        <f aca="false">IF(ISBLANK($C434),"",IF($O434=Constants!$B$2,TRUE(),IF($O434=Constants!$B$3,FALSE(),TRUE())))</f>
        <v/>
      </c>
      <c r="AS434" s="100" t="str">
        <f aca="false">IF(ISBLANK($C434),"",IF($P434=Constants!$B$2,TRUE(),IF($P434=Constants!$B$3,FALSE(),FALSE())))</f>
        <v/>
      </c>
      <c r="AT434" s="100" t="str">
        <f aca="false">IF(ISBLANK($C434),"",IF($Q434=Constants!$B$2,TRUE(),IF($Q434=Constants!$B$3,FALSE(),FALSE())))</f>
        <v/>
      </c>
      <c r="AU434" s="100" t="str">
        <f aca="false">IF(ISBLANK($C434),"",IF($R434=Constants!$B$2,TRUE(),IF($R434=Constants!$B$3,FALSE(),FALSE())))</f>
        <v/>
      </c>
      <c r="AV434" s="100" t="str">
        <f aca="false">IF(ISBLANK($C434),"",IF($S434=Constants!$B$2,TRUE(),IF($S434=Constants!$B$3,FALSE(),FALSE())))</f>
        <v/>
      </c>
      <c r="AW434" s="100" t="str">
        <f aca="false">IF(ISBLANK($C434),"",IF($T434=Constants!$B$2,TRUE(),IF($T434=Constants!$B$3,FALSE(),FALSE())))</f>
        <v/>
      </c>
      <c r="AX434" s="100" t="str">
        <f aca="false">IF(ISBLANK($C434),"",IF(OR($U434&amp;""="1",$U434&amp;""="2",$U434&amp;""="3",$U434&amp;""="4"),VALUE($U434&amp;""),IF($U434=Constants!$B$12,Constants!$B$12,"")))</f>
        <v/>
      </c>
      <c r="AY434" s="100" t="str">
        <f aca="false">IF(ISBLANK($C434),"",IF(ISBLANK($V434),0,IF(ISNUMBER($V434),IF(AND($V434&gt;=0,$V434&lt;=Constants!$B$21,$V434=INT($V434)),$V434,""),"")))</f>
        <v/>
      </c>
      <c r="AZ434" s="100" t="str">
        <f aca="false">IF(ISBLANK($C434),"",IF(ISBLANK($W434),0,IF(ISNUMBER($W434),IF($W434&gt;=0,$W434,""),"")))</f>
        <v/>
      </c>
      <c r="BA434" s="100" t="str">
        <f aca="false">IF(ISBLANK($C434),"",IF($X434=Constants!$B$2,TRUE(),IF($X434=Constants!$B$3,FALSE(),TRUE())))</f>
        <v/>
      </c>
      <c r="BB434" s="100" t="str">
        <f aca="false">IF(ISBLANK($C434),"",IF($Y434=Constants!$B$2,TRUE(),IF($Y434=Constants!$B$3,FALSE(),FALSE())))</f>
        <v/>
      </c>
      <c r="BC434" s="100" t="str">
        <f aca="false">IF(ISBLANK($C434),"",IF(ISBLANK($Z434),0,IF(ISNUMBER($Z434),IF(AND($Z434&gt;=0,$Z434&lt;=Constants!$B$35,$Z434=INT($Z434)),$Z434,""),"")))</f>
        <v/>
      </c>
      <c r="BD434" s="100" t="str">
        <f aca="false">IF(ISBLANK($C434),"",IF($AA434=Constants!$B$2,TRUE(),IF($AA434=Constants!$B$3,FALSE(),TRUE())))</f>
        <v/>
      </c>
      <c r="BE434" s="100" t="str">
        <f aca="false">IF(ISBLANK($C434),"",IF($AB434=Constants!$B$2,TRUE(),IF($AB434=Constants!$B$3,FALSE(),TRUE())))</f>
        <v/>
      </c>
      <c r="BF434" s="100" t="str">
        <f aca="false">IF(ISBLANK($C434),"",IF(ISNUMBER($AC434),IF($AC434&gt;=0,$AC434,""),""))</f>
        <v/>
      </c>
      <c r="BG434" s="100" t="str">
        <f aca="false">IF(ISBLANK($C434),"",IF($AD434=Constants!$B$2,TRUE(),IF($AD434=Constants!$B$3,FALSE(),FALSE())))</f>
        <v/>
      </c>
      <c r="BH434" s="99" t="str">
        <f aca="false">IF(ISBLANK($C434),"",IF($BG434,Constants!$B$7,IF(COUNTA($E434:$AC434)=0,Constants!$B$6,IF(OR(COUNTA($G434:$AC434)=0,NOT($AK434),$AQ434),Constants!$B$5,IF(OR($CI434&lt;&gt;"",$CJ434,$CK434,$CL434,$CM434,$CN434,$CO434),Constants!$B$8,Constants!$B$4)))))</f>
        <v/>
      </c>
      <c r="BI434" s="100" t="str">
        <f aca="false">IF(ISBLANK($C434),"",IF($BH434&lt;&gt;Constants!$B$4,$BH434,IF(OR(NOT($AH434),NOT($AJ434),NOT($AR434)),Constants!$B$11,IF(OR(NOT($AP434),MAX($AL434,$AM434,$AN434)&gt;Constants!$B$30),Constants!$B$10,Constants!$B$9))))</f>
        <v/>
      </c>
      <c r="BJ434" s="100" t="str">
        <f aca="false">IF($BH434&lt;&gt;Constants!$B$4,"",IF(NOT($AJ434),0,MIN(Constants!$B$35,$BC434)))</f>
        <v/>
      </c>
      <c r="BK434" s="100" t="str">
        <f aca="false">IF($BH434&lt;&gt;Constants!$B$4,"",IF(NOT($AJ434),0,IF($AT434,Constants!$B$18,IF($AS434,Constants!$B$17,0))))</f>
        <v/>
      </c>
      <c r="BL434" s="100" t="str">
        <f aca="false">IF($BH434&lt;&gt;Constants!$B$4,"",IF(NOT($AJ434),0,Constants!$B$19*($AI434+$AU434+$AV434+$AW434)))</f>
        <v/>
      </c>
      <c r="BM434" s="100" t="str">
        <f aca="false">IF($BH434&lt;&gt;Constants!$B$4,"",IF(OR(NOT($AJ434),NOT(ISNUMBER($AX434))),0,CHOOSE($AX434,Constants!$B$13,Constants!$B$14,Constants!$B$15,Constants!$B$16)))</f>
        <v/>
      </c>
      <c r="BN434" s="100" t="str">
        <f aca="false">IF($BH434&lt;&gt;Constants!$B$4,"",IF(NOT($AJ434),0,Constants!$B$20*$AY434))</f>
        <v/>
      </c>
      <c r="BO434" s="100" t="str">
        <f aca="false">IF($BH434&lt;&gt;Constants!$B$4,"",IF(AND($AJ434,$BA434,$BB434),Constants!$B$22,0))</f>
        <v/>
      </c>
      <c r="BP434" s="100" t="str">
        <f aca="false">IF($BH434&lt;&gt;Constants!$B$4,"",IF(OR(NOT($AJ434),NOT($BA434)),0,IF($BF434&gt;=2*$AF$9,0,Constants!$B$23*INT(ROUND(MIN($BF434,$AF$9),6)))))</f>
        <v/>
      </c>
      <c r="BQ434" s="100" t="str">
        <f aca="false">IF($BH434&lt;&gt;Constants!$B$4,"",IF(NOT($AJ434),0,Constants!$B$24*INT(ROUND(MIN($AZ434,$AF$9),6))))</f>
        <v/>
      </c>
      <c r="BR434" s="100" t="str">
        <f aca="false">IF($BH434&lt;&gt;Constants!$B$4,"",IF(AND($AJ434,$BJ434=0),Constants!$B$25,0))</f>
        <v/>
      </c>
      <c r="BS434" s="100" t="str">
        <f aca="false">IF($BH434&lt;&gt;Constants!$B$4,"",MIN(Constants!$B$29,MAX(0,Constants!$B$27*Constants!$B$28*INT(ROUND((Constants!$B$26-$AL434)/Constants!$B$28,6))))+MIN(Constants!$B$29,MAX(0,Constants!$B$27*Constants!$B$28*INT(ROUND((Constants!$B$26-$AM434)/Constants!$B$28,6))))+MIN(Constants!$B$29,MAX(0,Constants!$B$27*Constants!$B$28*INT(ROUND((Constants!$B$26-$AN434)/Constants!$B$28,6)))))</f>
        <v/>
      </c>
      <c r="BT434" s="100" t="str">
        <f aca="false">IF($BH434&lt;&gt;Constants!$B$4,"",IF(NOT($AJ434),0,Constants!$B$31*INT(ROUND(MAX(0,MIN($BF434,2*$AF$9)-$AF$9),6))))</f>
        <v/>
      </c>
      <c r="BU434" s="100" t="str">
        <f aca="false">IF($BH434&lt;&gt;Constants!$B$4,"",Constants!$B$32*(($AL434&gt;Constants!$B$26)+($AM434&gt;Constants!$B$26)+($AN434&gt;Constants!$B$26)))</f>
        <v/>
      </c>
      <c r="BV434" s="100" t="str">
        <f aca="false">IF($BH434&lt;&gt;Constants!$B$4,"",IF(OR(NOT($AJ434),$AO434),0,Constants!$B$33))</f>
        <v/>
      </c>
      <c r="BW434" s="100" t="str">
        <f aca="false">IF($BH434&lt;&gt;Constants!$B$4,"",Constants!$B$34*$BJ434)</f>
        <v/>
      </c>
      <c r="BX434" s="100" t="str">
        <f aca="false">IF($BH434&lt;&gt;Constants!$B$4,"",IF(OR(NOT($AJ434),$BE434),0,Constants!$B$36))</f>
        <v/>
      </c>
      <c r="BY434" s="100" t="str">
        <f aca="false">IF($BH434&lt;&gt;Constants!$B$4,"",IF(OR(NOT($AJ434),$BD434),0,Constants!$B$37))</f>
        <v/>
      </c>
      <c r="BZ434" s="100" t="str">
        <f aca="false">IF($BH434&lt;&gt;Constants!$B$4,"",SUM($BT434:$BY434))</f>
        <v/>
      </c>
      <c r="CA434" s="100" t="str">
        <f aca="false">IF(ISBLANK($C434),"",IF($BH434&lt;&gt;Constants!$B$4,$BH434,SUM($BK434:$BS434)-$BZ434))</f>
        <v/>
      </c>
      <c r="CB434" s="100" t="str">
        <f aca="false">IF(ISBLANK($C434),"",IF($BH434&lt;&gt;Constants!$B$4,$BH434,RANK($CA434,$CA$9:$CA$508)))</f>
        <v/>
      </c>
      <c r="CC434" s="100" t="str">
        <f aca="false">IF(ISBLANK($C434),"",IF($BH434&lt;&gt;Constants!$B$4,$BH434,COUNTIFS($BI$9:$BI$508,"&lt;"&amp;$BI434)+COUNTIFS($BI$9:$BI$508,$BI434,$CB$9:$CB$508,"&lt;"&amp;$CB434)+1))</f>
        <v/>
      </c>
      <c r="CD434" s="100" t="str">
        <f aca="false">IF(ISBLANK($C434),"",IF($BH434&lt;&gt;Constants!$B$4,$BH434,RANK($BZ434,$BZ$9:$BZ$508,1)))</f>
        <v/>
      </c>
      <c r="CE434" s="100" t="str">
        <f aca="false">IF($BH434&lt;&gt;Constants!$B$4,"",$AL434+$AM434+$AN434)</f>
        <v/>
      </c>
      <c r="CF434" s="100" t="str">
        <f aca="false">IF(ISBLANK($C434),"",IF($BH434&lt;&gt;Constants!$B$4,$BH434,RANK($CE434,$CE$9:$CE$508,1)))</f>
        <v/>
      </c>
      <c r="CG434" s="100" t="str">
        <f aca="false">IF(ISBLANK($C434),"",IF($BH434&lt;&gt;Constants!$B$4,$BH434,COUNTIFS($BI$9:$BI$508,"&lt;"&amp;$BI434)+COUNTIFS($BI$9:$BI$508,$BI434,$CB$9:$CB$508,"&lt;"&amp;$CB434)+COUNTIFS($BI$9:$BI$508,$BI434,$CB$9:$CB$508,$CB434,$CD$9:$CD$508,"&lt;"&amp;$CD434)+COUNTIFS($BI$9:$BI$508,$BI434,$CB$9:$CB$508,$CB434,$CD$9:$CD$508,$CD434,$CF$9:$CF$508,"&lt;"&amp;$CF434)+1))</f>
        <v/>
      </c>
      <c r="CH434" s="100" t="str">
        <f aca="false">IF(ISBLANK($C434),"",IF($BH434&lt;&gt;Constants!$B$4,$BH434,$CC434-$CG434))</f>
        <v/>
      </c>
      <c r="CI434" s="100" t="str">
        <f aca="false">IF(ISBLANK($C434),"",IF(NOT($AJ434),"",IF(ISBLANK($D$7),$CI$5,IF(NOT(ISNUMBER($D$7)),$CI$6,""))))</f>
        <v/>
      </c>
      <c r="CJ434" s="100" t="str">
        <f aca="false">IF(ISBLANK($C434),"",OR($AL434="",$AM434="",$AN434=""))</f>
        <v/>
      </c>
      <c r="CK434" s="100" t="str">
        <f aca="false">IF(ISBLANK($C434),"",AND($AJ434,$AX434=""))</f>
        <v/>
      </c>
      <c r="CL434" s="100" t="str">
        <f aca="false">IF(ISBLANK($C434),"",AND($AJ434,$AY434=""))</f>
        <v/>
      </c>
      <c r="CM434" s="100" t="str">
        <f aca="false">IF(ISBLANK($C434),"",AND($AJ434,$AZ434=""))</f>
        <v/>
      </c>
      <c r="CN434" s="100" t="str">
        <f aca="false">IF(ISBLANK($C434),"",AND($AJ434,$BC434=""))</f>
        <v/>
      </c>
      <c r="CO434" s="100" t="str">
        <f aca="false">IF(ISBLANK($C434),"",AND($AJ434,$BF434=""))</f>
        <v/>
      </c>
      <c r="CP434" s="101"/>
      <c r="CQ434" s="102"/>
      <c r="CR434" s="103" t="str">
        <f aca="false">IF(ISBLANK($C434),"",IF($BH434=Constants!$B$8,$CI434,""))</f>
        <v/>
      </c>
      <c r="CS434" s="102" t="str">
        <f aca="false">IF(ISBLANK($C434),"",IF($BH434&lt;&gt;Constants!$B$4,"",$BK434+$BL434))</f>
        <v/>
      </c>
      <c r="CT434" s="104" t="str">
        <f aca="false">IF(ISBLANK($C434),"",IF($BH434&lt;&gt;Constants!$B$4,"",$BM434+$BN434+$BO434))</f>
        <v/>
      </c>
      <c r="CU434" s="104" t="str">
        <f aca="false">IF(ISBLANK($C434),"",IF($BH434&lt;&gt;Constants!$B$4,"",$BP434))</f>
        <v/>
      </c>
      <c r="CV434" s="104" t="str">
        <f aca="false">IF(ISBLANK($C434),"",IF($BH434&lt;&gt;Constants!$B$4,"",$BQ434+$BR434))</f>
        <v/>
      </c>
      <c r="CW434" s="104" t="str">
        <f aca="false">IF(ISBLANK($C434),"",IF($BH434&lt;&gt;Constants!$B$4,"",$BS434))</f>
        <v/>
      </c>
      <c r="CX434" s="104" t="str">
        <f aca="false">IF(ISBLANK($C434),"",IF($BH434&lt;&gt;Constants!$B$4,"",-$BZ434))</f>
        <v/>
      </c>
      <c r="CY434" s="103" t="str">
        <f aca="false">IF(ISBLANK($C434),"",$CA434)</f>
        <v/>
      </c>
      <c r="CZ434" s="105" t="str">
        <f aca="false">IF(ISBLANK($C434),"",$BI434)</f>
        <v/>
      </c>
      <c r="DA434" s="104" t="str">
        <f aca="false">IF(ISBLANK($C434),"",$CH434)</f>
        <v/>
      </c>
      <c r="DB434" s="104" t="str">
        <f aca="false">IF(ISBLANK($C434),"",$CG434)</f>
        <v/>
      </c>
      <c r="DC434" s="106" t="str">
        <f aca="false">IF(ISBLANK($C434),"",IFERROR(_xlfn.SWITCH($DB434,Constants!$B$7,COUNTA($C$9:$C$508)+2,Constants!$B$6,COUNTA($C$9:$C$508)+1,Constants!$B$5,COUNTA($C$9:$C$508)),$DB434))</f>
        <v/>
      </c>
      <c r="DD434" s="7"/>
      <c r="DE434" s="107" t="n">
        <f aca="false">IF(OR(ISNUMBER($DB434),$DB434=Constants!$B$7,$DB434=Constants!$B$5,$DB434=Constants!$B$6),1,0)</f>
        <v>0</v>
      </c>
      <c r="DF434" s="107" t="n">
        <v>426</v>
      </c>
      <c r="DG434" s="107" t="str">
        <f aca="false">IF(ISBLANK($C434),"",IF(ISNUMBER($DC434),$DC434+ROW($B434)/1000,""))</f>
        <v/>
      </c>
      <c r="DH434" s="107" t="str">
        <f aca="false">IF(ISNUMBER($DG434),RANK($DG434,$DG$9:$DG$508,1),"")</f>
        <v/>
      </c>
      <c r="DI434" s="107" t="str">
        <f aca="false">IF(ISBLANK($C434),"",$B434)</f>
        <v/>
      </c>
      <c r="DJ434" s="107" t="str">
        <f aca="false">IF(ISBLANK($C434),"",$C434)</f>
        <v/>
      </c>
      <c r="DK434" s="107" t="str">
        <f aca="false">IF(ISBLANK($C434),"",$D434)</f>
        <v/>
      </c>
      <c r="DL434" s="108" t="str">
        <f aca="false">$CZ434</f>
        <v/>
      </c>
      <c r="DM434" s="109" t="str">
        <f aca="false">$CY434</f>
        <v/>
      </c>
      <c r="DN434" s="107" t="str">
        <f aca="false">IF(ISBLANK($C434),"",$DB434)</f>
        <v/>
      </c>
      <c r="DO434" s="110" t="str">
        <f aca="false">IF($DF434&gt;$DE$8,"",VLOOKUP($DF434,$DH$9:$DN$508,7,FALSE()))</f>
        <v/>
      </c>
      <c r="DP434" s="111" t="str">
        <f aca="false">IF($DF434&gt;$DE$8,"",VLOOKUP($DF434,$DH$9:$DN$508,2,FALSE()))</f>
        <v/>
      </c>
      <c r="DQ434" s="111" t="str">
        <f aca="false">IF($DF434&gt;$DE$8,"",VLOOKUP($DF434,$DH$9:$DN$508,3,FALSE()))</f>
        <v/>
      </c>
      <c r="DR434" s="111" t="str">
        <f aca="false">IF($DF434&gt;$DE$8,"",VLOOKUP($DF434,$DH$9:$DN$508,4,FALSE()))</f>
        <v/>
      </c>
      <c r="DS434" s="111" t="str">
        <f aca="false">IF($DF434&gt;$DE$8,"",VLOOKUP($DF434,$DH$9:$DN$508,5,FALSE()))</f>
        <v/>
      </c>
      <c r="DT434" s="112" t="str">
        <f aca="false">IF($DF434&gt;$DE$8,"",VLOOKUP($DF434,$DH$9:$DN$508,6,FALSE()))</f>
        <v/>
      </c>
      <c r="DU434" s="62"/>
    </row>
    <row r="435" customFormat="false" ht="15.75" hidden="false" customHeight="false" outlineLevel="0" collapsed="false">
      <c r="A435" s="7"/>
      <c r="B435" s="64"/>
      <c r="C435" s="65"/>
      <c r="D435" s="123"/>
      <c r="E435" s="88"/>
      <c r="F435" s="134"/>
      <c r="G435" s="88"/>
      <c r="H435" s="134"/>
      <c r="I435" s="119"/>
      <c r="J435" s="119"/>
      <c r="K435" s="119"/>
      <c r="L435" s="88"/>
      <c r="M435" s="88"/>
      <c r="N435" s="88"/>
      <c r="O435" s="134"/>
      <c r="P435" s="88"/>
      <c r="Q435" s="88"/>
      <c r="R435" s="88"/>
      <c r="S435" s="88"/>
      <c r="T435" s="134"/>
      <c r="U435" s="88"/>
      <c r="V435" s="70"/>
      <c r="W435" s="88"/>
      <c r="X435" s="88"/>
      <c r="Y435" s="70"/>
      <c r="Z435" s="70"/>
      <c r="AA435" s="88"/>
      <c r="AB435" s="88"/>
      <c r="AC435" s="71"/>
      <c r="AD435" s="88"/>
      <c r="AE435" s="73"/>
      <c r="AF435" s="74"/>
      <c r="AG435" s="74"/>
      <c r="AH435" s="74" t="str">
        <f aca="false">IF(ISBLANK($C435),"",IF($E435=Constants!$B$2,TRUE(),IF($E435=Constants!$B$3,FALSE(),TRUE())))</f>
        <v/>
      </c>
      <c r="AI435" s="74" t="str">
        <f aca="false">IF(ISBLANK($C435),"",IF($F435=Constants!$B$2,TRUE(),IF($F435=Constants!$B$3,FALSE(),FALSE())))</f>
        <v/>
      </c>
      <c r="AJ435" s="74" t="str">
        <f aca="false">IF(ISBLANK($C435),"",IF($G435=Constants!$B$2,TRUE(),IF($G435=Constants!$B$3,FALSE(),TRUE())))</f>
        <v/>
      </c>
      <c r="AK435" s="74" t="str">
        <f aca="false">IF(ISBLANK($C435),"",IF($H435=Constants!$B$2,TRUE(),IF($H435=Constants!$B$3,FALSE(),TRUE())))</f>
        <v/>
      </c>
      <c r="AL435" s="74" t="str">
        <f aca="false">IF(ISBLANK($C435),"",IF(ISNUMBER($I435),IF($I435&gt;=0,$I435,""),""))</f>
        <v/>
      </c>
      <c r="AM435" s="74" t="str">
        <f aca="false">IF(ISBLANK($C435),"",IF(ISNUMBER($J435),IF($J435&gt;=0,$J435,""),""))</f>
        <v/>
      </c>
      <c r="AN435" s="74" t="str">
        <f aca="false">IF(ISBLANK($C435),"",IF(ISNUMBER($K435),IF($K435&gt;=0,$K435,""),""))</f>
        <v/>
      </c>
      <c r="AO435" s="74" t="str">
        <f aca="false">IF(ISBLANK($C435),"",IF($L435=Constants!$B$2,TRUE(),IF($L435=Constants!$B$3,FALSE(),TRUE())))</f>
        <v/>
      </c>
      <c r="AP435" s="74" t="str">
        <f aca="false">IF(ISBLANK($C435),"",IF($M435=Constants!$B$2,TRUE(),IF($M435=Constants!$B$3,FALSE(),TRUE())))</f>
        <v/>
      </c>
      <c r="AQ435" s="74" t="str">
        <f aca="false">IF(ISBLANK($C435),"",IF($N435=Constants!$B$2,TRUE(),IF($N435=Constants!$B$3,FALSE(),FALSE())))</f>
        <v/>
      </c>
      <c r="AR435" s="74" t="str">
        <f aca="false">IF(ISBLANK($C435),"",IF($O435=Constants!$B$2,TRUE(),IF($O435=Constants!$B$3,FALSE(),TRUE())))</f>
        <v/>
      </c>
      <c r="AS435" s="74" t="str">
        <f aca="false">IF(ISBLANK($C435),"",IF($P435=Constants!$B$2,TRUE(),IF($P435=Constants!$B$3,FALSE(),FALSE())))</f>
        <v/>
      </c>
      <c r="AT435" s="74" t="str">
        <f aca="false">IF(ISBLANK($C435),"",IF($Q435=Constants!$B$2,TRUE(),IF($Q435=Constants!$B$3,FALSE(),FALSE())))</f>
        <v/>
      </c>
      <c r="AU435" s="74" t="str">
        <f aca="false">IF(ISBLANK($C435),"",IF($R435=Constants!$B$2,TRUE(),IF($R435=Constants!$B$3,FALSE(),FALSE())))</f>
        <v/>
      </c>
      <c r="AV435" s="74" t="str">
        <f aca="false">IF(ISBLANK($C435),"",IF($S435=Constants!$B$2,TRUE(),IF($S435=Constants!$B$3,FALSE(),FALSE())))</f>
        <v/>
      </c>
      <c r="AW435" s="74" t="str">
        <f aca="false">IF(ISBLANK($C435),"",IF($T435=Constants!$B$2,TRUE(),IF($T435=Constants!$B$3,FALSE(),FALSE())))</f>
        <v/>
      </c>
      <c r="AX435" s="74" t="str">
        <f aca="false">IF(ISBLANK($C435),"",IF(OR($U435&amp;""="1",$U435&amp;""="2",$U435&amp;""="3",$U435&amp;""="4"),VALUE($U435&amp;""),IF($U435=Constants!$B$12,Constants!$B$12,"")))</f>
        <v/>
      </c>
      <c r="AY435" s="74" t="str">
        <f aca="false">IF(ISBLANK($C435),"",IF(ISBLANK($V435),0,IF(ISNUMBER($V435),IF(AND($V435&gt;=0,$V435&lt;=Constants!$B$21,$V435=INT($V435)),$V435,""),"")))</f>
        <v/>
      </c>
      <c r="AZ435" s="74" t="str">
        <f aca="false">IF(ISBLANK($C435),"",IF(ISBLANK($W435),0,IF(ISNUMBER($W435),IF($W435&gt;=0,$W435,""),"")))</f>
        <v/>
      </c>
      <c r="BA435" s="74" t="str">
        <f aca="false">IF(ISBLANK($C435),"",IF($X435=Constants!$B$2,TRUE(),IF($X435=Constants!$B$3,FALSE(),TRUE())))</f>
        <v/>
      </c>
      <c r="BB435" s="74" t="str">
        <f aca="false">IF(ISBLANK($C435),"",IF($Y435=Constants!$B$2,TRUE(),IF($Y435=Constants!$B$3,FALSE(),FALSE())))</f>
        <v/>
      </c>
      <c r="BC435" s="74" t="str">
        <f aca="false">IF(ISBLANK($C435),"",IF(ISBLANK($Z435),0,IF(ISNUMBER($Z435),IF(AND($Z435&gt;=0,$Z435&lt;=Constants!$B$35,$Z435=INT($Z435)),$Z435,""),"")))</f>
        <v/>
      </c>
      <c r="BD435" s="74" t="str">
        <f aca="false">IF(ISBLANK($C435),"",IF($AA435=Constants!$B$2,TRUE(),IF($AA435=Constants!$B$3,FALSE(),TRUE())))</f>
        <v/>
      </c>
      <c r="BE435" s="74" t="str">
        <f aca="false">IF(ISBLANK($C435),"",IF($AB435=Constants!$B$2,TRUE(),IF($AB435=Constants!$B$3,FALSE(),TRUE())))</f>
        <v/>
      </c>
      <c r="BF435" s="74" t="str">
        <f aca="false">IF(ISBLANK($C435),"",IF(ISNUMBER($AC435),IF($AC435&gt;=0,$AC435,""),""))</f>
        <v/>
      </c>
      <c r="BG435" s="74" t="str">
        <f aca="false">IF(ISBLANK($C435),"",IF($AD435=Constants!$B$2,TRUE(),IF($AD435=Constants!$B$3,FALSE(),FALSE())))</f>
        <v/>
      </c>
      <c r="BH435" s="73" t="str">
        <f aca="false">IF(ISBLANK($C435),"",IF($BG435,Constants!$B$7,IF(COUNTA($E435:$AC435)=0,Constants!$B$6,IF(OR(COUNTA($G435:$AC435)=0,NOT($AK435),$AQ435),Constants!$B$5,IF(OR($CI435&lt;&gt;"",$CJ435,$CK435,$CL435,$CM435,$CN435,$CO435),Constants!$B$8,Constants!$B$4)))))</f>
        <v/>
      </c>
      <c r="BI435" s="74" t="str">
        <f aca="false">IF(ISBLANK($C435),"",IF($BH435&lt;&gt;Constants!$B$4,$BH435,IF(OR(NOT($AH435),NOT($AJ435),NOT($AR435)),Constants!$B$11,IF(OR(NOT($AP435),MAX($AL435,$AM435,$AN435)&gt;Constants!$B$30),Constants!$B$10,Constants!$B$9))))</f>
        <v/>
      </c>
      <c r="BJ435" s="74" t="str">
        <f aca="false">IF($BH435&lt;&gt;Constants!$B$4,"",IF(NOT($AJ435),0,MIN(Constants!$B$35,$BC435)))</f>
        <v/>
      </c>
      <c r="BK435" s="74" t="str">
        <f aca="false">IF($BH435&lt;&gt;Constants!$B$4,"",IF(NOT($AJ435),0,IF($AT435,Constants!$B$18,IF($AS435,Constants!$B$17,0))))</f>
        <v/>
      </c>
      <c r="BL435" s="74" t="str">
        <f aca="false">IF($BH435&lt;&gt;Constants!$B$4,"",IF(NOT($AJ435),0,Constants!$B$19*($AI435+$AU435+$AV435+$AW435)))</f>
        <v/>
      </c>
      <c r="BM435" s="74" t="str">
        <f aca="false">IF($BH435&lt;&gt;Constants!$B$4,"",IF(OR(NOT($AJ435),NOT(ISNUMBER($AX435))),0,CHOOSE($AX435,Constants!$B$13,Constants!$B$14,Constants!$B$15,Constants!$B$16)))</f>
        <v/>
      </c>
      <c r="BN435" s="74" t="str">
        <f aca="false">IF($BH435&lt;&gt;Constants!$B$4,"",IF(NOT($AJ435),0,Constants!$B$20*$AY435))</f>
        <v/>
      </c>
      <c r="BO435" s="74" t="str">
        <f aca="false">IF($BH435&lt;&gt;Constants!$B$4,"",IF(AND($AJ435,$BA435,$BB435),Constants!$B$22,0))</f>
        <v/>
      </c>
      <c r="BP435" s="74" t="str">
        <f aca="false">IF($BH435&lt;&gt;Constants!$B$4,"",IF(OR(NOT($AJ435),NOT($BA435)),0,IF($BF435&gt;=2*$AF$9,0,Constants!$B$23*INT(ROUND(MIN($BF435,$AF$9),6)))))</f>
        <v/>
      </c>
      <c r="BQ435" s="74" t="str">
        <f aca="false">IF($BH435&lt;&gt;Constants!$B$4,"",IF(NOT($AJ435),0,Constants!$B$24*INT(ROUND(MIN($AZ435,$AF$9),6))))</f>
        <v/>
      </c>
      <c r="BR435" s="74" t="str">
        <f aca="false">IF($BH435&lt;&gt;Constants!$B$4,"",IF(AND($AJ435,$BJ435=0),Constants!$B$25,0))</f>
        <v/>
      </c>
      <c r="BS435" s="74" t="str">
        <f aca="false">IF($BH435&lt;&gt;Constants!$B$4,"",MIN(Constants!$B$29,MAX(0,Constants!$B$27*Constants!$B$28*INT(ROUND((Constants!$B$26-$AL435)/Constants!$B$28,6))))+MIN(Constants!$B$29,MAX(0,Constants!$B$27*Constants!$B$28*INT(ROUND((Constants!$B$26-$AM435)/Constants!$B$28,6))))+MIN(Constants!$B$29,MAX(0,Constants!$B$27*Constants!$B$28*INT(ROUND((Constants!$B$26-$AN435)/Constants!$B$28,6)))))</f>
        <v/>
      </c>
      <c r="BT435" s="74" t="str">
        <f aca="false">IF($BH435&lt;&gt;Constants!$B$4,"",IF(NOT($AJ435),0,Constants!$B$31*INT(ROUND(MAX(0,MIN($BF435,2*$AF$9)-$AF$9),6))))</f>
        <v/>
      </c>
      <c r="BU435" s="74" t="str">
        <f aca="false">IF($BH435&lt;&gt;Constants!$B$4,"",Constants!$B$32*(($AL435&gt;Constants!$B$26)+($AM435&gt;Constants!$B$26)+($AN435&gt;Constants!$B$26)))</f>
        <v/>
      </c>
      <c r="BV435" s="74" t="str">
        <f aca="false">IF($BH435&lt;&gt;Constants!$B$4,"",IF(OR(NOT($AJ435),$AO435),0,Constants!$B$33))</f>
        <v/>
      </c>
      <c r="BW435" s="74" t="str">
        <f aca="false">IF($BH435&lt;&gt;Constants!$B$4,"",Constants!$B$34*$BJ435)</f>
        <v/>
      </c>
      <c r="BX435" s="74" t="str">
        <f aca="false">IF($BH435&lt;&gt;Constants!$B$4,"",IF(OR(NOT($AJ435),$BE435),0,Constants!$B$36))</f>
        <v/>
      </c>
      <c r="BY435" s="74" t="str">
        <f aca="false">IF($BH435&lt;&gt;Constants!$B$4,"",IF(OR(NOT($AJ435),$BD435),0,Constants!$B$37))</f>
        <v/>
      </c>
      <c r="BZ435" s="74" t="str">
        <f aca="false">IF($BH435&lt;&gt;Constants!$B$4,"",SUM($BT435:$BY435))</f>
        <v/>
      </c>
      <c r="CA435" s="74" t="str">
        <f aca="false">IF(ISBLANK($C435),"",IF($BH435&lt;&gt;Constants!$B$4,$BH435,SUM($BK435:$BS435)-$BZ435))</f>
        <v/>
      </c>
      <c r="CB435" s="74" t="str">
        <f aca="false">IF(ISBLANK($C435),"",IF($BH435&lt;&gt;Constants!$B$4,$BH435,RANK($CA435,$CA$9:$CA$508)))</f>
        <v/>
      </c>
      <c r="CC435" s="74" t="str">
        <f aca="false">IF(ISBLANK($C435),"",IF($BH435&lt;&gt;Constants!$B$4,$BH435,COUNTIFS($BI$9:$BI$508,"&lt;"&amp;$BI435)+COUNTIFS($BI$9:$BI$508,$BI435,$CB$9:$CB$508,"&lt;"&amp;$CB435)+1))</f>
        <v/>
      </c>
      <c r="CD435" s="74" t="str">
        <f aca="false">IF(ISBLANK($C435),"",IF($BH435&lt;&gt;Constants!$B$4,$BH435,RANK($BZ435,$BZ$9:$BZ$508,1)))</f>
        <v/>
      </c>
      <c r="CE435" s="74" t="str">
        <f aca="false">IF($BH435&lt;&gt;Constants!$B$4,"",$AL435+$AM435+$AN435)</f>
        <v/>
      </c>
      <c r="CF435" s="74" t="str">
        <f aca="false">IF(ISBLANK($C435),"",IF($BH435&lt;&gt;Constants!$B$4,$BH435,RANK($CE435,$CE$9:$CE$508,1)))</f>
        <v/>
      </c>
      <c r="CG435" s="74" t="str">
        <f aca="false">IF(ISBLANK($C435),"",IF($BH435&lt;&gt;Constants!$B$4,$BH435,COUNTIFS($BI$9:$BI$508,"&lt;"&amp;$BI435)+COUNTIFS($BI$9:$BI$508,$BI435,$CB$9:$CB$508,"&lt;"&amp;$CB435)+COUNTIFS($BI$9:$BI$508,$BI435,$CB$9:$CB$508,$CB435,$CD$9:$CD$508,"&lt;"&amp;$CD435)+COUNTIFS($BI$9:$BI$508,$BI435,$CB$9:$CB$508,$CB435,$CD$9:$CD$508,$CD435,$CF$9:$CF$508,"&lt;"&amp;$CF435)+1))</f>
        <v/>
      </c>
      <c r="CH435" s="74" t="str">
        <f aca="false">IF(ISBLANK($C435),"",IF($BH435&lt;&gt;Constants!$B$4,$BH435,$CC435-$CG435))</f>
        <v/>
      </c>
      <c r="CI435" s="74" t="str">
        <f aca="false">IF(ISBLANK($C435),"",IF(NOT($AJ435),"",IF(ISBLANK($D$7),$CI$5,IF(NOT(ISNUMBER($D$7)),$CI$6,""))))</f>
        <v/>
      </c>
      <c r="CJ435" s="74" t="str">
        <f aca="false">IF(ISBLANK($C435),"",OR($AL435="",$AM435="",$AN435=""))</f>
        <v/>
      </c>
      <c r="CK435" s="74" t="str">
        <f aca="false">IF(ISBLANK($C435),"",AND($AJ435,$AX435=""))</f>
        <v/>
      </c>
      <c r="CL435" s="74" t="str">
        <f aca="false">IF(ISBLANK($C435),"",AND($AJ435,$AY435=""))</f>
        <v/>
      </c>
      <c r="CM435" s="74" t="str">
        <f aca="false">IF(ISBLANK($C435),"",AND($AJ435,$AZ435=""))</f>
        <v/>
      </c>
      <c r="CN435" s="74" t="str">
        <f aca="false">IF(ISBLANK($C435),"",AND($AJ435,$BC435=""))</f>
        <v/>
      </c>
      <c r="CO435" s="74" t="str">
        <f aca="false">IF(ISBLANK($C435),"",AND($AJ435,$BF435=""))</f>
        <v/>
      </c>
      <c r="CP435" s="75"/>
      <c r="CQ435" s="76"/>
      <c r="CR435" s="79" t="str">
        <f aca="false">IF(ISBLANK($C435),"",IF($BH435=Constants!$B$8,$CI435,""))</f>
        <v/>
      </c>
      <c r="CS435" s="76" t="str">
        <f aca="false">IF(ISBLANK($C435),"",IF($BH435&lt;&gt;Constants!$B$4,"",$BK435+$BL435))</f>
        <v/>
      </c>
      <c r="CT435" s="78" t="str">
        <f aca="false">IF(ISBLANK($C435),"",IF($BH435&lt;&gt;Constants!$B$4,"",$BM435+$BN435+$BO435))</f>
        <v/>
      </c>
      <c r="CU435" s="78" t="str">
        <f aca="false">IF(ISBLANK($C435),"",IF($BH435&lt;&gt;Constants!$B$4,"",$BP435))</f>
        <v/>
      </c>
      <c r="CV435" s="78" t="str">
        <f aca="false">IF(ISBLANK($C435),"",IF($BH435&lt;&gt;Constants!$B$4,"",$BQ435+$BR435))</f>
        <v/>
      </c>
      <c r="CW435" s="78" t="str">
        <f aca="false">IF(ISBLANK($C435),"",IF($BH435&lt;&gt;Constants!$B$4,"",$BS435))</f>
        <v/>
      </c>
      <c r="CX435" s="78" t="str">
        <f aca="false">IF(ISBLANK($C435),"",IF($BH435&lt;&gt;Constants!$B$4,"",-$BZ435))</f>
        <v/>
      </c>
      <c r="CY435" s="79" t="str">
        <f aca="false">IF(ISBLANK($C435),"",$CA435)</f>
        <v/>
      </c>
      <c r="CZ435" s="80" t="str">
        <f aca="false">IF(ISBLANK($C435),"",$BI435)</f>
        <v/>
      </c>
      <c r="DA435" s="78" t="str">
        <f aca="false">IF(ISBLANK($C435),"",$CH435)</f>
        <v/>
      </c>
      <c r="DB435" s="78" t="str">
        <f aca="false">IF(ISBLANK($C435),"",$CG435)</f>
        <v/>
      </c>
      <c r="DC435" s="81" t="str">
        <f aca="false">IF(ISBLANK($C435),"",IFERROR(_xlfn.SWITCH($DB435,Constants!$B$7,COUNTA($C$9:$C$508)+2,Constants!$B$6,COUNTA($C$9:$C$508)+1,Constants!$B$5,COUNTA($C$9:$C$508)),$DB435))</f>
        <v/>
      </c>
      <c r="DD435" s="7"/>
      <c r="DE435" s="82" t="n">
        <f aca="false">IF(OR(ISNUMBER($DB435),$DB435=Constants!$B$7,$DB435=Constants!$B$5,$DB435=Constants!$B$6),1,0)</f>
        <v>0</v>
      </c>
      <c r="DF435" s="82" t="n">
        <v>427</v>
      </c>
      <c r="DG435" s="82" t="str">
        <f aca="false">IF(ISBLANK($C435),"",IF(ISNUMBER($DC435),$DC435+ROW($B435)/1000,""))</f>
        <v/>
      </c>
      <c r="DH435" s="82" t="str">
        <f aca="false">IF(ISNUMBER($DG435),RANK($DG435,$DG$9:$DG$508,1),"")</f>
        <v/>
      </c>
      <c r="DI435" s="82" t="str">
        <f aca="false">IF(ISBLANK($C435),"",$B435)</f>
        <v/>
      </c>
      <c r="DJ435" s="82" t="str">
        <f aca="false">IF(ISBLANK($C435),"",$C435)</f>
        <v/>
      </c>
      <c r="DK435" s="82" t="str">
        <f aca="false">IF(ISBLANK($C435),"",$D435)</f>
        <v/>
      </c>
      <c r="DL435" s="83" t="str">
        <f aca="false">$CZ435</f>
        <v/>
      </c>
      <c r="DM435" s="84" t="str">
        <f aca="false">$CY435</f>
        <v/>
      </c>
      <c r="DN435" s="82" t="str">
        <f aca="false">IF(ISBLANK($C435),"",$DB435)</f>
        <v/>
      </c>
      <c r="DO435" s="85" t="str">
        <f aca="false">IF($DF435&gt;$DE$8,"",VLOOKUP($DF435,$DH$9:$DN$508,7,FALSE()))</f>
        <v/>
      </c>
      <c r="DP435" s="86" t="str">
        <f aca="false">IF($DF435&gt;$DE$8,"",VLOOKUP($DF435,$DH$9:$DN$508,2,FALSE()))</f>
        <v/>
      </c>
      <c r="DQ435" s="86" t="str">
        <f aca="false">IF($DF435&gt;$DE$8,"",VLOOKUP($DF435,$DH$9:$DN$508,3,FALSE()))</f>
        <v/>
      </c>
      <c r="DR435" s="86" t="str">
        <f aca="false">IF($DF435&gt;$DE$8,"",VLOOKUP($DF435,$DH$9:$DN$508,4,FALSE()))</f>
        <v/>
      </c>
      <c r="DS435" s="86" t="str">
        <f aca="false">IF($DF435&gt;$DE$8,"",VLOOKUP($DF435,$DH$9:$DN$508,5,FALSE()))</f>
        <v/>
      </c>
      <c r="DT435" s="87" t="str">
        <f aca="false">IF($DF435&gt;$DE$8,"",VLOOKUP($DF435,$DH$9:$DN$508,6,FALSE()))</f>
        <v/>
      </c>
      <c r="DU435" s="62"/>
    </row>
    <row r="436" customFormat="false" ht="15.75" hidden="false" customHeight="false" outlineLevel="0" collapsed="false">
      <c r="A436" s="7"/>
      <c r="B436" s="64"/>
      <c r="C436" s="65"/>
      <c r="D436" s="123"/>
      <c r="E436" s="88"/>
      <c r="F436" s="134"/>
      <c r="G436" s="88"/>
      <c r="H436" s="134"/>
      <c r="I436" s="119"/>
      <c r="J436" s="119"/>
      <c r="K436" s="119"/>
      <c r="L436" s="88"/>
      <c r="M436" s="88"/>
      <c r="N436" s="88"/>
      <c r="O436" s="134"/>
      <c r="P436" s="88"/>
      <c r="Q436" s="88"/>
      <c r="R436" s="88"/>
      <c r="S436" s="88"/>
      <c r="T436" s="134"/>
      <c r="U436" s="88"/>
      <c r="V436" s="70"/>
      <c r="W436" s="88"/>
      <c r="X436" s="88"/>
      <c r="Y436" s="70"/>
      <c r="Z436" s="70"/>
      <c r="AA436" s="88"/>
      <c r="AB436" s="88"/>
      <c r="AC436" s="71"/>
      <c r="AD436" s="88"/>
      <c r="AE436" s="73"/>
      <c r="AF436" s="74"/>
      <c r="AG436" s="74"/>
      <c r="AH436" s="74" t="str">
        <f aca="false">IF(ISBLANK($C436),"",IF($E436=Constants!$B$2,TRUE(),IF($E436=Constants!$B$3,FALSE(),TRUE())))</f>
        <v/>
      </c>
      <c r="AI436" s="74" t="str">
        <f aca="false">IF(ISBLANK($C436),"",IF($F436=Constants!$B$2,TRUE(),IF($F436=Constants!$B$3,FALSE(),FALSE())))</f>
        <v/>
      </c>
      <c r="AJ436" s="74" t="str">
        <f aca="false">IF(ISBLANK($C436),"",IF($G436=Constants!$B$2,TRUE(),IF($G436=Constants!$B$3,FALSE(),TRUE())))</f>
        <v/>
      </c>
      <c r="AK436" s="74" t="str">
        <f aca="false">IF(ISBLANK($C436),"",IF($H436=Constants!$B$2,TRUE(),IF($H436=Constants!$B$3,FALSE(),TRUE())))</f>
        <v/>
      </c>
      <c r="AL436" s="74" t="str">
        <f aca="false">IF(ISBLANK($C436),"",IF(ISNUMBER($I436),IF($I436&gt;=0,$I436,""),""))</f>
        <v/>
      </c>
      <c r="AM436" s="74" t="str">
        <f aca="false">IF(ISBLANK($C436),"",IF(ISNUMBER($J436),IF($J436&gt;=0,$J436,""),""))</f>
        <v/>
      </c>
      <c r="AN436" s="74" t="str">
        <f aca="false">IF(ISBLANK($C436),"",IF(ISNUMBER($K436),IF($K436&gt;=0,$K436,""),""))</f>
        <v/>
      </c>
      <c r="AO436" s="74" t="str">
        <f aca="false">IF(ISBLANK($C436),"",IF($L436=Constants!$B$2,TRUE(),IF($L436=Constants!$B$3,FALSE(),TRUE())))</f>
        <v/>
      </c>
      <c r="AP436" s="74" t="str">
        <f aca="false">IF(ISBLANK($C436),"",IF($M436=Constants!$B$2,TRUE(),IF($M436=Constants!$B$3,FALSE(),TRUE())))</f>
        <v/>
      </c>
      <c r="AQ436" s="74" t="str">
        <f aca="false">IF(ISBLANK($C436),"",IF($N436=Constants!$B$2,TRUE(),IF($N436=Constants!$B$3,FALSE(),FALSE())))</f>
        <v/>
      </c>
      <c r="AR436" s="74" t="str">
        <f aca="false">IF(ISBLANK($C436),"",IF($O436=Constants!$B$2,TRUE(),IF($O436=Constants!$B$3,FALSE(),TRUE())))</f>
        <v/>
      </c>
      <c r="AS436" s="74" t="str">
        <f aca="false">IF(ISBLANK($C436),"",IF($P436=Constants!$B$2,TRUE(),IF($P436=Constants!$B$3,FALSE(),FALSE())))</f>
        <v/>
      </c>
      <c r="AT436" s="74" t="str">
        <f aca="false">IF(ISBLANK($C436),"",IF($Q436=Constants!$B$2,TRUE(),IF($Q436=Constants!$B$3,FALSE(),FALSE())))</f>
        <v/>
      </c>
      <c r="AU436" s="74" t="str">
        <f aca="false">IF(ISBLANK($C436),"",IF($R436=Constants!$B$2,TRUE(),IF($R436=Constants!$B$3,FALSE(),FALSE())))</f>
        <v/>
      </c>
      <c r="AV436" s="74" t="str">
        <f aca="false">IF(ISBLANK($C436),"",IF($S436=Constants!$B$2,TRUE(),IF($S436=Constants!$B$3,FALSE(),FALSE())))</f>
        <v/>
      </c>
      <c r="AW436" s="74" t="str">
        <f aca="false">IF(ISBLANK($C436),"",IF($T436=Constants!$B$2,TRUE(),IF($T436=Constants!$B$3,FALSE(),FALSE())))</f>
        <v/>
      </c>
      <c r="AX436" s="74" t="str">
        <f aca="false">IF(ISBLANK($C436),"",IF(OR($U436&amp;""="1",$U436&amp;""="2",$U436&amp;""="3",$U436&amp;""="4"),VALUE($U436&amp;""),IF($U436=Constants!$B$12,Constants!$B$12,"")))</f>
        <v/>
      </c>
      <c r="AY436" s="74" t="str">
        <f aca="false">IF(ISBLANK($C436),"",IF(ISBLANK($V436),0,IF(ISNUMBER($V436),IF(AND($V436&gt;=0,$V436&lt;=Constants!$B$21,$V436=INT($V436)),$V436,""),"")))</f>
        <v/>
      </c>
      <c r="AZ436" s="74" t="str">
        <f aca="false">IF(ISBLANK($C436),"",IF(ISBLANK($W436),0,IF(ISNUMBER($W436),IF($W436&gt;=0,$W436,""),"")))</f>
        <v/>
      </c>
      <c r="BA436" s="74" t="str">
        <f aca="false">IF(ISBLANK($C436),"",IF($X436=Constants!$B$2,TRUE(),IF($X436=Constants!$B$3,FALSE(),TRUE())))</f>
        <v/>
      </c>
      <c r="BB436" s="74" t="str">
        <f aca="false">IF(ISBLANK($C436),"",IF($Y436=Constants!$B$2,TRUE(),IF($Y436=Constants!$B$3,FALSE(),FALSE())))</f>
        <v/>
      </c>
      <c r="BC436" s="74" t="str">
        <f aca="false">IF(ISBLANK($C436),"",IF(ISBLANK($Z436),0,IF(ISNUMBER($Z436),IF(AND($Z436&gt;=0,$Z436&lt;=Constants!$B$35,$Z436=INT($Z436)),$Z436,""),"")))</f>
        <v/>
      </c>
      <c r="BD436" s="74" t="str">
        <f aca="false">IF(ISBLANK($C436),"",IF($AA436=Constants!$B$2,TRUE(),IF($AA436=Constants!$B$3,FALSE(),TRUE())))</f>
        <v/>
      </c>
      <c r="BE436" s="74" t="str">
        <f aca="false">IF(ISBLANK($C436),"",IF($AB436=Constants!$B$2,TRUE(),IF($AB436=Constants!$B$3,FALSE(),TRUE())))</f>
        <v/>
      </c>
      <c r="BF436" s="74" t="str">
        <f aca="false">IF(ISBLANK($C436),"",IF(ISNUMBER($AC436),IF($AC436&gt;=0,$AC436,""),""))</f>
        <v/>
      </c>
      <c r="BG436" s="74" t="str">
        <f aca="false">IF(ISBLANK($C436),"",IF($AD436=Constants!$B$2,TRUE(),IF($AD436=Constants!$B$3,FALSE(),FALSE())))</f>
        <v/>
      </c>
      <c r="BH436" s="73" t="str">
        <f aca="false">IF(ISBLANK($C436),"",IF($BG436,Constants!$B$7,IF(COUNTA($E436:$AC436)=0,Constants!$B$6,IF(OR(COUNTA($G436:$AC436)=0,NOT($AK436),$AQ436),Constants!$B$5,IF(OR($CI436&lt;&gt;"",$CJ436,$CK436,$CL436,$CM436,$CN436,$CO436),Constants!$B$8,Constants!$B$4)))))</f>
        <v/>
      </c>
      <c r="BI436" s="74" t="str">
        <f aca="false">IF(ISBLANK($C436),"",IF($BH436&lt;&gt;Constants!$B$4,$BH436,IF(OR(NOT($AH436),NOT($AJ436),NOT($AR436)),Constants!$B$11,IF(OR(NOT($AP436),MAX($AL436,$AM436,$AN436)&gt;Constants!$B$30),Constants!$B$10,Constants!$B$9))))</f>
        <v/>
      </c>
      <c r="BJ436" s="74" t="str">
        <f aca="false">IF($BH436&lt;&gt;Constants!$B$4,"",IF(NOT($AJ436),0,MIN(Constants!$B$35,$BC436)))</f>
        <v/>
      </c>
      <c r="BK436" s="74" t="str">
        <f aca="false">IF($BH436&lt;&gt;Constants!$B$4,"",IF(NOT($AJ436),0,IF($AT436,Constants!$B$18,IF($AS436,Constants!$B$17,0))))</f>
        <v/>
      </c>
      <c r="BL436" s="74" t="str">
        <f aca="false">IF($BH436&lt;&gt;Constants!$B$4,"",IF(NOT($AJ436),0,Constants!$B$19*($AI436+$AU436+$AV436+$AW436)))</f>
        <v/>
      </c>
      <c r="BM436" s="74" t="str">
        <f aca="false">IF($BH436&lt;&gt;Constants!$B$4,"",IF(OR(NOT($AJ436),NOT(ISNUMBER($AX436))),0,CHOOSE($AX436,Constants!$B$13,Constants!$B$14,Constants!$B$15,Constants!$B$16)))</f>
        <v/>
      </c>
      <c r="BN436" s="74" t="str">
        <f aca="false">IF($BH436&lt;&gt;Constants!$B$4,"",IF(NOT($AJ436),0,Constants!$B$20*$AY436))</f>
        <v/>
      </c>
      <c r="BO436" s="74" t="str">
        <f aca="false">IF($BH436&lt;&gt;Constants!$B$4,"",IF(AND($AJ436,$BA436,$BB436),Constants!$B$22,0))</f>
        <v/>
      </c>
      <c r="BP436" s="74" t="str">
        <f aca="false">IF($BH436&lt;&gt;Constants!$B$4,"",IF(OR(NOT($AJ436),NOT($BA436)),0,IF($BF436&gt;=2*$AF$9,0,Constants!$B$23*INT(ROUND(MIN($BF436,$AF$9),6)))))</f>
        <v/>
      </c>
      <c r="BQ436" s="74" t="str">
        <f aca="false">IF($BH436&lt;&gt;Constants!$B$4,"",IF(NOT($AJ436),0,Constants!$B$24*INT(ROUND(MIN($AZ436,$AF$9),6))))</f>
        <v/>
      </c>
      <c r="BR436" s="74" t="str">
        <f aca="false">IF($BH436&lt;&gt;Constants!$B$4,"",IF(AND($AJ436,$BJ436=0),Constants!$B$25,0))</f>
        <v/>
      </c>
      <c r="BS436" s="74" t="str">
        <f aca="false">IF($BH436&lt;&gt;Constants!$B$4,"",MIN(Constants!$B$29,MAX(0,Constants!$B$27*Constants!$B$28*INT(ROUND((Constants!$B$26-$AL436)/Constants!$B$28,6))))+MIN(Constants!$B$29,MAX(0,Constants!$B$27*Constants!$B$28*INT(ROUND((Constants!$B$26-$AM436)/Constants!$B$28,6))))+MIN(Constants!$B$29,MAX(0,Constants!$B$27*Constants!$B$28*INT(ROUND((Constants!$B$26-$AN436)/Constants!$B$28,6)))))</f>
        <v/>
      </c>
      <c r="BT436" s="74" t="str">
        <f aca="false">IF($BH436&lt;&gt;Constants!$B$4,"",IF(NOT($AJ436),0,Constants!$B$31*INT(ROUND(MAX(0,MIN($BF436,2*$AF$9)-$AF$9),6))))</f>
        <v/>
      </c>
      <c r="BU436" s="74" t="str">
        <f aca="false">IF($BH436&lt;&gt;Constants!$B$4,"",Constants!$B$32*(($AL436&gt;Constants!$B$26)+($AM436&gt;Constants!$B$26)+($AN436&gt;Constants!$B$26)))</f>
        <v/>
      </c>
      <c r="BV436" s="74" t="str">
        <f aca="false">IF($BH436&lt;&gt;Constants!$B$4,"",IF(OR(NOT($AJ436),$AO436),0,Constants!$B$33))</f>
        <v/>
      </c>
      <c r="BW436" s="74" t="str">
        <f aca="false">IF($BH436&lt;&gt;Constants!$B$4,"",Constants!$B$34*$BJ436)</f>
        <v/>
      </c>
      <c r="BX436" s="74" t="str">
        <f aca="false">IF($BH436&lt;&gt;Constants!$B$4,"",IF(OR(NOT($AJ436),$BE436),0,Constants!$B$36))</f>
        <v/>
      </c>
      <c r="BY436" s="74" t="str">
        <f aca="false">IF($BH436&lt;&gt;Constants!$B$4,"",IF(OR(NOT($AJ436),$BD436),0,Constants!$B$37))</f>
        <v/>
      </c>
      <c r="BZ436" s="74" t="str">
        <f aca="false">IF($BH436&lt;&gt;Constants!$B$4,"",SUM($BT436:$BY436))</f>
        <v/>
      </c>
      <c r="CA436" s="74" t="str">
        <f aca="false">IF(ISBLANK($C436),"",IF($BH436&lt;&gt;Constants!$B$4,$BH436,SUM($BK436:$BS436)-$BZ436))</f>
        <v/>
      </c>
      <c r="CB436" s="74" t="str">
        <f aca="false">IF(ISBLANK($C436),"",IF($BH436&lt;&gt;Constants!$B$4,$BH436,RANK($CA436,$CA$9:$CA$508)))</f>
        <v/>
      </c>
      <c r="CC436" s="74" t="str">
        <f aca="false">IF(ISBLANK($C436),"",IF($BH436&lt;&gt;Constants!$B$4,$BH436,COUNTIFS($BI$9:$BI$508,"&lt;"&amp;$BI436)+COUNTIFS($BI$9:$BI$508,$BI436,$CB$9:$CB$508,"&lt;"&amp;$CB436)+1))</f>
        <v/>
      </c>
      <c r="CD436" s="74" t="str">
        <f aca="false">IF(ISBLANK($C436),"",IF($BH436&lt;&gt;Constants!$B$4,$BH436,RANK($BZ436,$BZ$9:$BZ$508,1)))</f>
        <v/>
      </c>
      <c r="CE436" s="74" t="str">
        <f aca="false">IF($BH436&lt;&gt;Constants!$B$4,"",$AL436+$AM436+$AN436)</f>
        <v/>
      </c>
      <c r="CF436" s="74" t="str">
        <f aca="false">IF(ISBLANK($C436),"",IF($BH436&lt;&gt;Constants!$B$4,$BH436,RANK($CE436,$CE$9:$CE$508,1)))</f>
        <v/>
      </c>
      <c r="CG436" s="74" t="str">
        <f aca="false">IF(ISBLANK($C436),"",IF($BH436&lt;&gt;Constants!$B$4,$BH436,COUNTIFS($BI$9:$BI$508,"&lt;"&amp;$BI436)+COUNTIFS($BI$9:$BI$508,$BI436,$CB$9:$CB$508,"&lt;"&amp;$CB436)+COUNTIFS($BI$9:$BI$508,$BI436,$CB$9:$CB$508,$CB436,$CD$9:$CD$508,"&lt;"&amp;$CD436)+COUNTIFS($BI$9:$BI$508,$BI436,$CB$9:$CB$508,$CB436,$CD$9:$CD$508,$CD436,$CF$9:$CF$508,"&lt;"&amp;$CF436)+1))</f>
        <v/>
      </c>
      <c r="CH436" s="74" t="str">
        <f aca="false">IF(ISBLANK($C436),"",IF($BH436&lt;&gt;Constants!$B$4,$BH436,$CC436-$CG436))</f>
        <v/>
      </c>
      <c r="CI436" s="74" t="str">
        <f aca="false">IF(ISBLANK($C436),"",IF(NOT($AJ436),"",IF(ISBLANK($D$7),$CI$5,IF(NOT(ISNUMBER($D$7)),$CI$6,""))))</f>
        <v/>
      </c>
      <c r="CJ436" s="74" t="str">
        <f aca="false">IF(ISBLANK($C436),"",OR($AL436="",$AM436="",$AN436=""))</f>
        <v/>
      </c>
      <c r="CK436" s="74" t="str">
        <f aca="false">IF(ISBLANK($C436),"",AND($AJ436,$AX436=""))</f>
        <v/>
      </c>
      <c r="CL436" s="74" t="str">
        <f aca="false">IF(ISBLANK($C436),"",AND($AJ436,$AY436=""))</f>
        <v/>
      </c>
      <c r="CM436" s="74" t="str">
        <f aca="false">IF(ISBLANK($C436),"",AND($AJ436,$AZ436=""))</f>
        <v/>
      </c>
      <c r="CN436" s="74" t="str">
        <f aca="false">IF(ISBLANK($C436),"",AND($AJ436,$BC436=""))</f>
        <v/>
      </c>
      <c r="CO436" s="74" t="str">
        <f aca="false">IF(ISBLANK($C436),"",AND($AJ436,$BF436=""))</f>
        <v/>
      </c>
      <c r="CP436" s="75"/>
      <c r="CQ436" s="76"/>
      <c r="CR436" s="79" t="str">
        <f aca="false">IF(ISBLANK($C436),"",IF($BH436=Constants!$B$8,$CI436,""))</f>
        <v/>
      </c>
      <c r="CS436" s="76" t="str">
        <f aca="false">IF(ISBLANK($C436),"",IF($BH436&lt;&gt;Constants!$B$4,"",$BK436+$BL436))</f>
        <v/>
      </c>
      <c r="CT436" s="78" t="str">
        <f aca="false">IF(ISBLANK($C436),"",IF($BH436&lt;&gt;Constants!$B$4,"",$BM436+$BN436+$BO436))</f>
        <v/>
      </c>
      <c r="CU436" s="78" t="str">
        <f aca="false">IF(ISBLANK($C436),"",IF($BH436&lt;&gt;Constants!$B$4,"",$BP436))</f>
        <v/>
      </c>
      <c r="CV436" s="78" t="str">
        <f aca="false">IF(ISBLANK($C436),"",IF($BH436&lt;&gt;Constants!$B$4,"",$BQ436+$BR436))</f>
        <v/>
      </c>
      <c r="CW436" s="78" t="str">
        <f aca="false">IF(ISBLANK($C436),"",IF($BH436&lt;&gt;Constants!$B$4,"",$BS436))</f>
        <v/>
      </c>
      <c r="CX436" s="78" t="str">
        <f aca="false">IF(ISBLANK($C436),"",IF($BH436&lt;&gt;Constants!$B$4,"",-$BZ436))</f>
        <v/>
      </c>
      <c r="CY436" s="79" t="str">
        <f aca="false">IF(ISBLANK($C436),"",$CA436)</f>
        <v/>
      </c>
      <c r="CZ436" s="80" t="str">
        <f aca="false">IF(ISBLANK($C436),"",$BI436)</f>
        <v/>
      </c>
      <c r="DA436" s="78" t="str">
        <f aca="false">IF(ISBLANK($C436),"",$CH436)</f>
        <v/>
      </c>
      <c r="DB436" s="78" t="str">
        <f aca="false">IF(ISBLANK($C436),"",$CG436)</f>
        <v/>
      </c>
      <c r="DC436" s="81" t="str">
        <f aca="false">IF(ISBLANK($C436),"",IFERROR(_xlfn.SWITCH($DB436,Constants!$B$7,COUNTA($C$9:$C$508)+2,Constants!$B$6,COUNTA($C$9:$C$508)+1,Constants!$B$5,COUNTA($C$9:$C$508)),$DB436))</f>
        <v/>
      </c>
      <c r="DD436" s="7"/>
      <c r="DE436" s="82" t="n">
        <f aca="false">IF(OR(ISNUMBER($DB436),$DB436=Constants!$B$7,$DB436=Constants!$B$5,$DB436=Constants!$B$6),1,0)</f>
        <v>0</v>
      </c>
      <c r="DF436" s="82" t="n">
        <v>428</v>
      </c>
      <c r="DG436" s="82" t="str">
        <f aca="false">IF(ISBLANK($C436),"",IF(ISNUMBER($DC436),$DC436+ROW($B436)/1000,""))</f>
        <v/>
      </c>
      <c r="DH436" s="82" t="str">
        <f aca="false">IF(ISNUMBER($DG436),RANK($DG436,$DG$9:$DG$508,1),"")</f>
        <v/>
      </c>
      <c r="DI436" s="82" t="str">
        <f aca="false">IF(ISBLANK($C436),"",$B436)</f>
        <v/>
      </c>
      <c r="DJ436" s="82" t="str">
        <f aca="false">IF(ISBLANK($C436),"",$C436)</f>
        <v/>
      </c>
      <c r="DK436" s="82" t="str">
        <f aca="false">IF(ISBLANK($C436),"",$D436)</f>
        <v/>
      </c>
      <c r="DL436" s="83" t="str">
        <f aca="false">$CZ436</f>
        <v/>
      </c>
      <c r="DM436" s="84" t="str">
        <f aca="false">$CY436</f>
        <v/>
      </c>
      <c r="DN436" s="82" t="str">
        <f aca="false">IF(ISBLANK($C436),"",$DB436)</f>
        <v/>
      </c>
      <c r="DO436" s="85" t="str">
        <f aca="false">IF($DF436&gt;$DE$8,"",VLOOKUP($DF436,$DH$9:$DN$508,7,FALSE()))</f>
        <v/>
      </c>
      <c r="DP436" s="86" t="str">
        <f aca="false">IF($DF436&gt;$DE$8,"",VLOOKUP($DF436,$DH$9:$DN$508,2,FALSE()))</f>
        <v/>
      </c>
      <c r="DQ436" s="86" t="str">
        <f aca="false">IF($DF436&gt;$DE$8,"",VLOOKUP($DF436,$DH$9:$DN$508,3,FALSE()))</f>
        <v/>
      </c>
      <c r="DR436" s="86" t="str">
        <f aca="false">IF($DF436&gt;$DE$8,"",VLOOKUP($DF436,$DH$9:$DN$508,4,FALSE()))</f>
        <v/>
      </c>
      <c r="DS436" s="86" t="str">
        <f aca="false">IF($DF436&gt;$DE$8,"",VLOOKUP($DF436,$DH$9:$DN$508,5,FALSE()))</f>
        <v/>
      </c>
      <c r="DT436" s="87" t="str">
        <f aca="false">IF($DF436&gt;$DE$8,"",VLOOKUP($DF436,$DH$9:$DN$508,6,FALSE()))</f>
        <v/>
      </c>
      <c r="DU436" s="62"/>
    </row>
    <row r="437" customFormat="false" ht="15.75" hidden="false" customHeight="false" outlineLevel="0" collapsed="false">
      <c r="A437" s="7"/>
      <c r="B437" s="64"/>
      <c r="C437" s="65"/>
      <c r="D437" s="123"/>
      <c r="E437" s="88"/>
      <c r="F437" s="134"/>
      <c r="G437" s="88"/>
      <c r="H437" s="134"/>
      <c r="I437" s="119"/>
      <c r="J437" s="119"/>
      <c r="K437" s="119"/>
      <c r="L437" s="88"/>
      <c r="M437" s="88"/>
      <c r="N437" s="88"/>
      <c r="O437" s="134"/>
      <c r="P437" s="88"/>
      <c r="Q437" s="88"/>
      <c r="R437" s="88"/>
      <c r="S437" s="88"/>
      <c r="T437" s="134"/>
      <c r="U437" s="88"/>
      <c r="V437" s="70"/>
      <c r="W437" s="88"/>
      <c r="X437" s="88"/>
      <c r="Y437" s="70"/>
      <c r="Z437" s="70"/>
      <c r="AA437" s="88"/>
      <c r="AB437" s="88"/>
      <c r="AC437" s="71"/>
      <c r="AD437" s="88"/>
      <c r="AE437" s="73"/>
      <c r="AF437" s="74"/>
      <c r="AG437" s="74"/>
      <c r="AH437" s="74" t="str">
        <f aca="false">IF(ISBLANK($C437),"",IF($E437=Constants!$B$2,TRUE(),IF($E437=Constants!$B$3,FALSE(),TRUE())))</f>
        <v/>
      </c>
      <c r="AI437" s="74" t="str">
        <f aca="false">IF(ISBLANK($C437),"",IF($F437=Constants!$B$2,TRUE(),IF($F437=Constants!$B$3,FALSE(),FALSE())))</f>
        <v/>
      </c>
      <c r="AJ437" s="74" t="str">
        <f aca="false">IF(ISBLANK($C437),"",IF($G437=Constants!$B$2,TRUE(),IF($G437=Constants!$B$3,FALSE(),TRUE())))</f>
        <v/>
      </c>
      <c r="AK437" s="74" t="str">
        <f aca="false">IF(ISBLANK($C437),"",IF($H437=Constants!$B$2,TRUE(),IF($H437=Constants!$B$3,FALSE(),TRUE())))</f>
        <v/>
      </c>
      <c r="AL437" s="74" t="str">
        <f aca="false">IF(ISBLANK($C437),"",IF(ISNUMBER($I437),IF($I437&gt;=0,$I437,""),""))</f>
        <v/>
      </c>
      <c r="AM437" s="74" t="str">
        <f aca="false">IF(ISBLANK($C437),"",IF(ISNUMBER($J437),IF($J437&gt;=0,$J437,""),""))</f>
        <v/>
      </c>
      <c r="AN437" s="74" t="str">
        <f aca="false">IF(ISBLANK($C437),"",IF(ISNUMBER($K437),IF($K437&gt;=0,$K437,""),""))</f>
        <v/>
      </c>
      <c r="AO437" s="74" t="str">
        <f aca="false">IF(ISBLANK($C437),"",IF($L437=Constants!$B$2,TRUE(),IF($L437=Constants!$B$3,FALSE(),TRUE())))</f>
        <v/>
      </c>
      <c r="AP437" s="74" t="str">
        <f aca="false">IF(ISBLANK($C437),"",IF($M437=Constants!$B$2,TRUE(),IF($M437=Constants!$B$3,FALSE(),TRUE())))</f>
        <v/>
      </c>
      <c r="AQ437" s="74" t="str">
        <f aca="false">IF(ISBLANK($C437),"",IF($N437=Constants!$B$2,TRUE(),IF($N437=Constants!$B$3,FALSE(),FALSE())))</f>
        <v/>
      </c>
      <c r="AR437" s="74" t="str">
        <f aca="false">IF(ISBLANK($C437),"",IF($O437=Constants!$B$2,TRUE(),IF($O437=Constants!$B$3,FALSE(),TRUE())))</f>
        <v/>
      </c>
      <c r="AS437" s="74" t="str">
        <f aca="false">IF(ISBLANK($C437),"",IF($P437=Constants!$B$2,TRUE(),IF($P437=Constants!$B$3,FALSE(),FALSE())))</f>
        <v/>
      </c>
      <c r="AT437" s="74" t="str">
        <f aca="false">IF(ISBLANK($C437),"",IF($Q437=Constants!$B$2,TRUE(),IF($Q437=Constants!$B$3,FALSE(),FALSE())))</f>
        <v/>
      </c>
      <c r="AU437" s="74" t="str">
        <f aca="false">IF(ISBLANK($C437),"",IF($R437=Constants!$B$2,TRUE(),IF($R437=Constants!$B$3,FALSE(),FALSE())))</f>
        <v/>
      </c>
      <c r="AV437" s="74" t="str">
        <f aca="false">IF(ISBLANK($C437),"",IF($S437=Constants!$B$2,TRUE(),IF($S437=Constants!$B$3,FALSE(),FALSE())))</f>
        <v/>
      </c>
      <c r="AW437" s="74" t="str">
        <f aca="false">IF(ISBLANK($C437),"",IF($T437=Constants!$B$2,TRUE(),IF($T437=Constants!$B$3,FALSE(),FALSE())))</f>
        <v/>
      </c>
      <c r="AX437" s="74" t="str">
        <f aca="false">IF(ISBLANK($C437),"",IF(OR($U437&amp;""="1",$U437&amp;""="2",$U437&amp;""="3",$U437&amp;""="4"),VALUE($U437&amp;""),IF($U437=Constants!$B$12,Constants!$B$12,"")))</f>
        <v/>
      </c>
      <c r="AY437" s="74" t="str">
        <f aca="false">IF(ISBLANK($C437),"",IF(ISBLANK($V437),0,IF(ISNUMBER($V437),IF(AND($V437&gt;=0,$V437&lt;=Constants!$B$21,$V437=INT($V437)),$V437,""),"")))</f>
        <v/>
      </c>
      <c r="AZ437" s="74" t="str">
        <f aca="false">IF(ISBLANK($C437),"",IF(ISBLANK($W437),0,IF(ISNUMBER($W437),IF($W437&gt;=0,$W437,""),"")))</f>
        <v/>
      </c>
      <c r="BA437" s="74" t="str">
        <f aca="false">IF(ISBLANK($C437),"",IF($X437=Constants!$B$2,TRUE(),IF($X437=Constants!$B$3,FALSE(),TRUE())))</f>
        <v/>
      </c>
      <c r="BB437" s="74" t="str">
        <f aca="false">IF(ISBLANK($C437),"",IF($Y437=Constants!$B$2,TRUE(),IF($Y437=Constants!$B$3,FALSE(),FALSE())))</f>
        <v/>
      </c>
      <c r="BC437" s="74" t="str">
        <f aca="false">IF(ISBLANK($C437),"",IF(ISBLANK($Z437),0,IF(ISNUMBER($Z437),IF(AND($Z437&gt;=0,$Z437&lt;=Constants!$B$35,$Z437=INT($Z437)),$Z437,""),"")))</f>
        <v/>
      </c>
      <c r="BD437" s="74" t="str">
        <f aca="false">IF(ISBLANK($C437),"",IF($AA437=Constants!$B$2,TRUE(),IF($AA437=Constants!$B$3,FALSE(),TRUE())))</f>
        <v/>
      </c>
      <c r="BE437" s="74" t="str">
        <f aca="false">IF(ISBLANK($C437),"",IF($AB437=Constants!$B$2,TRUE(),IF($AB437=Constants!$B$3,FALSE(),TRUE())))</f>
        <v/>
      </c>
      <c r="BF437" s="74" t="str">
        <f aca="false">IF(ISBLANK($C437),"",IF(ISNUMBER($AC437),IF($AC437&gt;=0,$AC437,""),""))</f>
        <v/>
      </c>
      <c r="BG437" s="74" t="str">
        <f aca="false">IF(ISBLANK($C437),"",IF($AD437=Constants!$B$2,TRUE(),IF($AD437=Constants!$B$3,FALSE(),FALSE())))</f>
        <v/>
      </c>
      <c r="BH437" s="73" t="str">
        <f aca="false">IF(ISBLANK($C437),"",IF($BG437,Constants!$B$7,IF(COUNTA($E437:$AC437)=0,Constants!$B$6,IF(OR(COUNTA($G437:$AC437)=0,NOT($AK437),$AQ437),Constants!$B$5,IF(OR($CI437&lt;&gt;"",$CJ437,$CK437,$CL437,$CM437,$CN437,$CO437),Constants!$B$8,Constants!$B$4)))))</f>
        <v/>
      </c>
      <c r="BI437" s="74" t="str">
        <f aca="false">IF(ISBLANK($C437),"",IF($BH437&lt;&gt;Constants!$B$4,$BH437,IF(OR(NOT($AH437),NOT($AJ437),NOT($AR437)),Constants!$B$11,IF(OR(NOT($AP437),MAX($AL437,$AM437,$AN437)&gt;Constants!$B$30),Constants!$B$10,Constants!$B$9))))</f>
        <v/>
      </c>
      <c r="BJ437" s="74" t="str">
        <f aca="false">IF($BH437&lt;&gt;Constants!$B$4,"",IF(NOT($AJ437),0,MIN(Constants!$B$35,$BC437)))</f>
        <v/>
      </c>
      <c r="BK437" s="74" t="str">
        <f aca="false">IF($BH437&lt;&gt;Constants!$B$4,"",IF(NOT($AJ437),0,IF($AT437,Constants!$B$18,IF($AS437,Constants!$B$17,0))))</f>
        <v/>
      </c>
      <c r="BL437" s="74" t="str">
        <f aca="false">IF($BH437&lt;&gt;Constants!$B$4,"",IF(NOT($AJ437),0,Constants!$B$19*($AI437+$AU437+$AV437+$AW437)))</f>
        <v/>
      </c>
      <c r="BM437" s="74" t="str">
        <f aca="false">IF($BH437&lt;&gt;Constants!$B$4,"",IF(OR(NOT($AJ437),NOT(ISNUMBER($AX437))),0,CHOOSE($AX437,Constants!$B$13,Constants!$B$14,Constants!$B$15,Constants!$B$16)))</f>
        <v/>
      </c>
      <c r="BN437" s="74" t="str">
        <f aca="false">IF($BH437&lt;&gt;Constants!$B$4,"",IF(NOT($AJ437),0,Constants!$B$20*$AY437))</f>
        <v/>
      </c>
      <c r="BO437" s="74" t="str">
        <f aca="false">IF($BH437&lt;&gt;Constants!$B$4,"",IF(AND($AJ437,$BA437,$BB437),Constants!$B$22,0))</f>
        <v/>
      </c>
      <c r="BP437" s="74" t="str">
        <f aca="false">IF($BH437&lt;&gt;Constants!$B$4,"",IF(OR(NOT($AJ437),NOT($BA437)),0,IF($BF437&gt;=2*$AF$9,0,Constants!$B$23*INT(ROUND(MIN($BF437,$AF$9),6)))))</f>
        <v/>
      </c>
      <c r="BQ437" s="74" t="str">
        <f aca="false">IF($BH437&lt;&gt;Constants!$B$4,"",IF(NOT($AJ437),0,Constants!$B$24*INT(ROUND(MIN($AZ437,$AF$9),6))))</f>
        <v/>
      </c>
      <c r="BR437" s="74" t="str">
        <f aca="false">IF($BH437&lt;&gt;Constants!$B$4,"",IF(AND($AJ437,$BJ437=0),Constants!$B$25,0))</f>
        <v/>
      </c>
      <c r="BS437" s="74" t="str">
        <f aca="false">IF($BH437&lt;&gt;Constants!$B$4,"",MIN(Constants!$B$29,MAX(0,Constants!$B$27*Constants!$B$28*INT(ROUND((Constants!$B$26-$AL437)/Constants!$B$28,6))))+MIN(Constants!$B$29,MAX(0,Constants!$B$27*Constants!$B$28*INT(ROUND((Constants!$B$26-$AM437)/Constants!$B$28,6))))+MIN(Constants!$B$29,MAX(0,Constants!$B$27*Constants!$B$28*INT(ROUND((Constants!$B$26-$AN437)/Constants!$B$28,6)))))</f>
        <v/>
      </c>
      <c r="BT437" s="74" t="str">
        <f aca="false">IF($BH437&lt;&gt;Constants!$B$4,"",IF(NOT($AJ437),0,Constants!$B$31*INT(ROUND(MAX(0,MIN($BF437,2*$AF$9)-$AF$9),6))))</f>
        <v/>
      </c>
      <c r="BU437" s="74" t="str">
        <f aca="false">IF($BH437&lt;&gt;Constants!$B$4,"",Constants!$B$32*(($AL437&gt;Constants!$B$26)+($AM437&gt;Constants!$B$26)+($AN437&gt;Constants!$B$26)))</f>
        <v/>
      </c>
      <c r="BV437" s="74" t="str">
        <f aca="false">IF($BH437&lt;&gt;Constants!$B$4,"",IF(OR(NOT($AJ437),$AO437),0,Constants!$B$33))</f>
        <v/>
      </c>
      <c r="BW437" s="74" t="str">
        <f aca="false">IF($BH437&lt;&gt;Constants!$B$4,"",Constants!$B$34*$BJ437)</f>
        <v/>
      </c>
      <c r="BX437" s="74" t="str">
        <f aca="false">IF($BH437&lt;&gt;Constants!$B$4,"",IF(OR(NOT($AJ437),$BE437),0,Constants!$B$36))</f>
        <v/>
      </c>
      <c r="BY437" s="74" t="str">
        <f aca="false">IF($BH437&lt;&gt;Constants!$B$4,"",IF(OR(NOT($AJ437),$BD437),0,Constants!$B$37))</f>
        <v/>
      </c>
      <c r="BZ437" s="74" t="str">
        <f aca="false">IF($BH437&lt;&gt;Constants!$B$4,"",SUM($BT437:$BY437))</f>
        <v/>
      </c>
      <c r="CA437" s="74" t="str">
        <f aca="false">IF(ISBLANK($C437),"",IF($BH437&lt;&gt;Constants!$B$4,$BH437,SUM($BK437:$BS437)-$BZ437))</f>
        <v/>
      </c>
      <c r="CB437" s="74" t="str">
        <f aca="false">IF(ISBLANK($C437),"",IF($BH437&lt;&gt;Constants!$B$4,$BH437,RANK($CA437,$CA$9:$CA$508)))</f>
        <v/>
      </c>
      <c r="CC437" s="74" t="str">
        <f aca="false">IF(ISBLANK($C437),"",IF($BH437&lt;&gt;Constants!$B$4,$BH437,COUNTIFS($BI$9:$BI$508,"&lt;"&amp;$BI437)+COUNTIFS($BI$9:$BI$508,$BI437,$CB$9:$CB$508,"&lt;"&amp;$CB437)+1))</f>
        <v/>
      </c>
      <c r="CD437" s="74" t="str">
        <f aca="false">IF(ISBLANK($C437),"",IF($BH437&lt;&gt;Constants!$B$4,$BH437,RANK($BZ437,$BZ$9:$BZ$508,1)))</f>
        <v/>
      </c>
      <c r="CE437" s="74" t="str">
        <f aca="false">IF($BH437&lt;&gt;Constants!$B$4,"",$AL437+$AM437+$AN437)</f>
        <v/>
      </c>
      <c r="CF437" s="74" t="str">
        <f aca="false">IF(ISBLANK($C437),"",IF($BH437&lt;&gt;Constants!$B$4,$BH437,RANK($CE437,$CE$9:$CE$508,1)))</f>
        <v/>
      </c>
      <c r="CG437" s="74" t="str">
        <f aca="false">IF(ISBLANK($C437),"",IF($BH437&lt;&gt;Constants!$B$4,$BH437,COUNTIFS($BI$9:$BI$508,"&lt;"&amp;$BI437)+COUNTIFS($BI$9:$BI$508,$BI437,$CB$9:$CB$508,"&lt;"&amp;$CB437)+COUNTIFS($BI$9:$BI$508,$BI437,$CB$9:$CB$508,$CB437,$CD$9:$CD$508,"&lt;"&amp;$CD437)+COUNTIFS($BI$9:$BI$508,$BI437,$CB$9:$CB$508,$CB437,$CD$9:$CD$508,$CD437,$CF$9:$CF$508,"&lt;"&amp;$CF437)+1))</f>
        <v/>
      </c>
      <c r="CH437" s="74" t="str">
        <f aca="false">IF(ISBLANK($C437),"",IF($BH437&lt;&gt;Constants!$B$4,$BH437,$CC437-$CG437))</f>
        <v/>
      </c>
      <c r="CI437" s="74" t="str">
        <f aca="false">IF(ISBLANK($C437),"",IF(NOT($AJ437),"",IF(ISBLANK($D$7),$CI$5,IF(NOT(ISNUMBER($D$7)),$CI$6,""))))</f>
        <v/>
      </c>
      <c r="CJ437" s="74" t="str">
        <f aca="false">IF(ISBLANK($C437),"",OR($AL437="",$AM437="",$AN437=""))</f>
        <v/>
      </c>
      <c r="CK437" s="74" t="str">
        <f aca="false">IF(ISBLANK($C437),"",AND($AJ437,$AX437=""))</f>
        <v/>
      </c>
      <c r="CL437" s="74" t="str">
        <f aca="false">IF(ISBLANK($C437),"",AND($AJ437,$AY437=""))</f>
        <v/>
      </c>
      <c r="CM437" s="74" t="str">
        <f aca="false">IF(ISBLANK($C437),"",AND($AJ437,$AZ437=""))</f>
        <v/>
      </c>
      <c r="CN437" s="74" t="str">
        <f aca="false">IF(ISBLANK($C437),"",AND($AJ437,$BC437=""))</f>
        <v/>
      </c>
      <c r="CO437" s="74" t="str">
        <f aca="false">IF(ISBLANK($C437),"",AND($AJ437,$BF437=""))</f>
        <v/>
      </c>
      <c r="CP437" s="75"/>
      <c r="CQ437" s="76"/>
      <c r="CR437" s="79" t="str">
        <f aca="false">IF(ISBLANK($C437),"",IF($BH437=Constants!$B$8,$CI437,""))</f>
        <v/>
      </c>
      <c r="CS437" s="76" t="str">
        <f aca="false">IF(ISBLANK($C437),"",IF($BH437&lt;&gt;Constants!$B$4,"",$BK437+$BL437))</f>
        <v/>
      </c>
      <c r="CT437" s="78" t="str">
        <f aca="false">IF(ISBLANK($C437),"",IF($BH437&lt;&gt;Constants!$B$4,"",$BM437+$BN437+$BO437))</f>
        <v/>
      </c>
      <c r="CU437" s="78" t="str">
        <f aca="false">IF(ISBLANK($C437),"",IF($BH437&lt;&gt;Constants!$B$4,"",$BP437))</f>
        <v/>
      </c>
      <c r="CV437" s="78" t="str">
        <f aca="false">IF(ISBLANK($C437),"",IF($BH437&lt;&gt;Constants!$B$4,"",$BQ437+$BR437))</f>
        <v/>
      </c>
      <c r="CW437" s="78" t="str">
        <f aca="false">IF(ISBLANK($C437),"",IF($BH437&lt;&gt;Constants!$B$4,"",$BS437))</f>
        <v/>
      </c>
      <c r="CX437" s="78" t="str">
        <f aca="false">IF(ISBLANK($C437),"",IF($BH437&lt;&gt;Constants!$B$4,"",-$BZ437))</f>
        <v/>
      </c>
      <c r="CY437" s="79" t="str">
        <f aca="false">IF(ISBLANK($C437),"",$CA437)</f>
        <v/>
      </c>
      <c r="CZ437" s="80" t="str">
        <f aca="false">IF(ISBLANK($C437),"",$BI437)</f>
        <v/>
      </c>
      <c r="DA437" s="78" t="str">
        <f aca="false">IF(ISBLANK($C437),"",$CH437)</f>
        <v/>
      </c>
      <c r="DB437" s="78" t="str">
        <f aca="false">IF(ISBLANK($C437),"",$CG437)</f>
        <v/>
      </c>
      <c r="DC437" s="81" t="str">
        <f aca="false">IF(ISBLANK($C437),"",IFERROR(_xlfn.SWITCH($DB437,Constants!$B$7,COUNTA($C$9:$C$508)+2,Constants!$B$6,COUNTA($C$9:$C$508)+1,Constants!$B$5,COUNTA($C$9:$C$508)),$DB437))</f>
        <v/>
      </c>
      <c r="DD437" s="7"/>
      <c r="DE437" s="82" t="n">
        <f aca="false">IF(OR(ISNUMBER($DB437),$DB437=Constants!$B$7,$DB437=Constants!$B$5,$DB437=Constants!$B$6),1,0)</f>
        <v>0</v>
      </c>
      <c r="DF437" s="82" t="n">
        <v>429</v>
      </c>
      <c r="DG437" s="82" t="str">
        <f aca="false">IF(ISBLANK($C437),"",IF(ISNUMBER($DC437),$DC437+ROW($B437)/1000,""))</f>
        <v/>
      </c>
      <c r="DH437" s="82" t="str">
        <f aca="false">IF(ISNUMBER($DG437),RANK($DG437,$DG$9:$DG$508,1),"")</f>
        <v/>
      </c>
      <c r="DI437" s="82" t="str">
        <f aca="false">IF(ISBLANK($C437),"",$B437)</f>
        <v/>
      </c>
      <c r="DJ437" s="82" t="str">
        <f aca="false">IF(ISBLANK($C437),"",$C437)</f>
        <v/>
      </c>
      <c r="DK437" s="82" t="str">
        <f aca="false">IF(ISBLANK($C437),"",$D437)</f>
        <v/>
      </c>
      <c r="DL437" s="83" t="str">
        <f aca="false">$CZ437</f>
        <v/>
      </c>
      <c r="DM437" s="84" t="str">
        <f aca="false">$CY437</f>
        <v/>
      </c>
      <c r="DN437" s="82" t="str">
        <f aca="false">IF(ISBLANK($C437),"",$DB437)</f>
        <v/>
      </c>
      <c r="DO437" s="85" t="str">
        <f aca="false">IF($DF437&gt;$DE$8,"",VLOOKUP($DF437,$DH$9:$DN$508,7,FALSE()))</f>
        <v/>
      </c>
      <c r="DP437" s="86" t="str">
        <f aca="false">IF($DF437&gt;$DE$8,"",VLOOKUP($DF437,$DH$9:$DN$508,2,FALSE()))</f>
        <v/>
      </c>
      <c r="DQ437" s="86" t="str">
        <f aca="false">IF($DF437&gt;$DE$8,"",VLOOKUP($DF437,$DH$9:$DN$508,3,FALSE()))</f>
        <v/>
      </c>
      <c r="DR437" s="86" t="str">
        <f aca="false">IF($DF437&gt;$DE$8,"",VLOOKUP($DF437,$DH$9:$DN$508,4,FALSE()))</f>
        <v/>
      </c>
      <c r="DS437" s="86" t="str">
        <f aca="false">IF($DF437&gt;$DE$8,"",VLOOKUP($DF437,$DH$9:$DN$508,5,FALSE()))</f>
        <v/>
      </c>
      <c r="DT437" s="87" t="str">
        <f aca="false">IF($DF437&gt;$DE$8,"",VLOOKUP($DF437,$DH$9:$DN$508,6,FALSE()))</f>
        <v/>
      </c>
      <c r="DU437" s="62"/>
    </row>
    <row r="438" customFormat="false" ht="15.75" hidden="false" customHeight="false" outlineLevel="0" collapsed="false">
      <c r="A438" s="7"/>
      <c r="B438" s="90"/>
      <c r="C438" s="91"/>
      <c r="D438" s="126"/>
      <c r="E438" s="130"/>
      <c r="F438" s="135"/>
      <c r="G438" s="130"/>
      <c r="H438" s="135"/>
      <c r="I438" s="131"/>
      <c r="J438" s="131"/>
      <c r="K438" s="131"/>
      <c r="L438" s="130"/>
      <c r="M438" s="130"/>
      <c r="N438" s="130"/>
      <c r="O438" s="135"/>
      <c r="P438" s="130"/>
      <c r="Q438" s="130"/>
      <c r="R438" s="130"/>
      <c r="S438" s="130"/>
      <c r="T438" s="135"/>
      <c r="U438" s="130"/>
      <c r="V438" s="96"/>
      <c r="W438" s="130"/>
      <c r="X438" s="130"/>
      <c r="Y438" s="96"/>
      <c r="Z438" s="96"/>
      <c r="AA438" s="130"/>
      <c r="AB438" s="130"/>
      <c r="AC438" s="97"/>
      <c r="AD438" s="130"/>
      <c r="AE438" s="99"/>
      <c r="AF438" s="100"/>
      <c r="AG438" s="100"/>
      <c r="AH438" s="100" t="str">
        <f aca="false">IF(ISBLANK($C438),"",IF($E438=Constants!$B$2,TRUE(),IF($E438=Constants!$B$3,FALSE(),TRUE())))</f>
        <v/>
      </c>
      <c r="AI438" s="100" t="str">
        <f aca="false">IF(ISBLANK($C438),"",IF($F438=Constants!$B$2,TRUE(),IF($F438=Constants!$B$3,FALSE(),FALSE())))</f>
        <v/>
      </c>
      <c r="AJ438" s="100" t="str">
        <f aca="false">IF(ISBLANK($C438),"",IF($G438=Constants!$B$2,TRUE(),IF($G438=Constants!$B$3,FALSE(),TRUE())))</f>
        <v/>
      </c>
      <c r="AK438" s="100" t="str">
        <f aca="false">IF(ISBLANK($C438),"",IF($H438=Constants!$B$2,TRUE(),IF($H438=Constants!$B$3,FALSE(),TRUE())))</f>
        <v/>
      </c>
      <c r="AL438" s="100" t="str">
        <f aca="false">IF(ISBLANK($C438),"",IF(ISNUMBER($I438),IF($I438&gt;=0,$I438,""),""))</f>
        <v/>
      </c>
      <c r="AM438" s="100" t="str">
        <f aca="false">IF(ISBLANK($C438),"",IF(ISNUMBER($J438),IF($J438&gt;=0,$J438,""),""))</f>
        <v/>
      </c>
      <c r="AN438" s="100" t="str">
        <f aca="false">IF(ISBLANK($C438),"",IF(ISNUMBER($K438),IF($K438&gt;=0,$K438,""),""))</f>
        <v/>
      </c>
      <c r="AO438" s="100" t="str">
        <f aca="false">IF(ISBLANK($C438),"",IF($L438=Constants!$B$2,TRUE(),IF($L438=Constants!$B$3,FALSE(),TRUE())))</f>
        <v/>
      </c>
      <c r="AP438" s="100" t="str">
        <f aca="false">IF(ISBLANK($C438),"",IF($M438=Constants!$B$2,TRUE(),IF($M438=Constants!$B$3,FALSE(),TRUE())))</f>
        <v/>
      </c>
      <c r="AQ438" s="100" t="str">
        <f aca="false">IF(ISBLANK($C438),"",IF($N438=Constants!$B$2,TRUE(),IF($N438=Constants!$B$3,FALSE(),FALSE())))</f>
        <v/>
      </c>
      <c r="AR438" s="100" t="str">
        <f aca="false">IF(ISBLANK($C438),"",IF($O438=Constants!$B$2,TRUE(),IF($O438=Constants!$B$3,FALSE(),TRUE())))</f>
        <v/>
      </c>
      <c r="AS438" s="100" t="str">
        <f aca="false">IF(ISBLANK($C438),"",IF($P438=Constants!$B$2,TRUE(),IF($P438=Constants!$B$3,FALSE(),FALSE())))</f>
        <v/>
      </c>
      <c r="AT438" s="100" t="str">
        <f aca="false">IF(ISBLANK($C438),"",IF($Q438=Constants!$B$2,TRUE(),IF($Q438=Constants!$B$3,FALSE(),FALSE())))</f>
        <v/>
      </c>
      <c r="AU438" s="100" t="str">
        <f aca="false">IF(ISBLANK($C438),"",IF($R438=Constants!$B$2,TRUE(),IF($R438=Constants!$B$3,FALSE(),FALSE())))</f>
        <v/>
      </c>
      <c r="AV438" s="100" t="str">
        <f aca="false">IF(ISBLANK($C438),"",IF($S438=Constants!$B$2,TRUE(),IF($S438=Constants!$B$3,FALSE(),FALSE())))</f>
        <v/>
      </c>
      <c r="AW438" s="100" t="str">
        <f aca="false">IF(ISBLANK($C438),"",IF($T438=Constants!$B$2,TRUE(),IF($T438=Constants!$B$3,FALSE(),FALSE())))</f>
        <v/>
      </c>
      <c r="AX438" s="100" t="str">
        <f aca="false">IF(ISBLANK($C438),"",IF(OR($U438&amp;""="1",$U438&amp;""="2",$U438&amp;""="3",$U438&amp;""="4"),VALUE($U438&amp;""),IF($U438=Constants!$B$12,Constants!$B$12,"")))</f>
        <v/>
      </c>
      <c r="AY438" s="100" t="str">
        <f aca="false">IF(ISBLANK($C438),"",IF(ISBLANK($V438),0,IF(ISNUMBER($V438),IF(AND($V438&gt;=0,$V438&lt;=Constants!$B$21,$V438=INT($V438)),$V438,""),"")))</f>
        <v/>
      </c>
      <c r="AZ438" s="100" t="str">
        <f aca="false">IF(ISBLANK($C438),"",IF(ISBLANK($W438),0,IF(ISNUMBER($W438),IF($W438&gt;=0,$W438,""),"")))</f>
        <v/>
      </c>
      <c r="BA438" s="100" t="str">
        <f aca="false">IF(ISBLANK($C438),"",IF($X438=Constants!$B$2,TRUE(),IF($X438=Constants!$B$3,FALSE(),TRUE())))</f>
        <v/>
      </c>
      <c r="BB438" s="100" t="str">
        <f aca="false">IF(ISBLANK($C438),"",IF($Y438=Constants!$B$2,TRUE(),IF($Y438=Constants!$B$3,FALSE(),FALSE())))</f>
        <v/>
      </c>
      <c r="BC438" s="100" t="str">
        <f aca="false">IF(ISBLANK($C438),"",IF(ISBLANK($Z438),0,IF(ISNUMBER($Z438),IF(AND($Z438&gt;=0,$Z438&lt;=Constants!$B$35,$Z438=INT($Z438)),$Z438,""),"")))</f>
        <v/>
      </c>
      <c r="BD438" s="100" t="str">
        <f aca="false">IF(ISBLANK($C438),"",IF($AA438=Constants!$B$2,TRUE(),IF($AA438=Constants!$B$3,FALSE(),TRUE())))</f>
        <v/>
      </c>
      <c r="BE438" s="100" t="str">
        <f aca="false">IF(ISBLANK($C438),"",IF($AB438=Constants!$B$2,TRUE(),IF($AB438=Constants!$B$3,FALSE(),TRUE())))</f>
        <v/>
      </c>
      <c r="BF438" s="100" t="str">
        <f aca="false">IF(ISBLANK($C438),"",IF(ISNUMBER($AC438),IF($AC438&gt;=0,$AC438,""),""))</f>
        <v/>
      </c>
      <c r="BG438" s="100" t="str">
        <f aca="false">IF(ISBLANK($C438),"",IF($AD438=Constants!$B$2,TRUE(),IF($AD438=Constants!$B$3,FALSE(),FALSE())))</f>
        <v/>
      </c>
      <c r="BH438" s="99" t="str">
        <f aca="false">IF(ISBLANK($C438),"",IF($BG438,Constants!$B$7,IF(COUNTA($E438:$AC438)=0,Constants!$B$6,IF(OR(COUNTA($G438:$AC438)=0,NOT($AK438),$AQ438),Constants!$B$5,IF(OR($CI438&lt;&gt;"",$CJ438,$CK438,$CL438,$CM438,$CN438,$CO438),Constants!$B$8,Constants!$B$4)))))</f>
        <v/>
      </c>
      <c r="BI438" s="100" t="str">
        <f aca="false">IF(ISBLANK($C438),"",IF($BH438&lt;&gt;Constants!$B$4,$BH438,IF(OR(NOT($AH438),NOT($AJ438),NOT($AR438)),Constants!$B$11,IF(OR(NOT($AP438),MAX($AL438,$AM438,$AN438)&gt;Constants!$B$30),Constants!$B$10,Constants!$B$9))))</f>
        <v/>
      </c>
      <c r="BJ438" s="100" t="str">
        <f aca="false">IF($BH438&lt;&gt;Constants!$B$4,"",IF(NOT($AJ438),0,MIN(Constants!$B$35,$BC438)))</f>
        <v/>
      </c>
      <c r="BK438" s="100" t="str">
        <f aca="false">IF($BH438&lt;&gt;Constants!$B$4,"",IF(NOT($AJ438),0,IF($AT438,Constants!$B$18,IF($AS438,Constants!$B$17,0))))</f>
        <v/>
      </c>
      <c r="BL438" s="100" t="str">
        <f aca="false">IF($BH438&lt;&gt;Constants!$B$4,"",IF(NOT($AJ438),0,Constants!$B$19*($AI438+$AU438+$AV438+$AW438)))</f>
        <v/>
      </c>
      <c r="BM438" s="100" t="str">
        <f aca="false">IF($BH438&lt;&gt;Constants!$B$4,"",IF(OR(NOT($AJ438),NOT(ISNUMBER($AX438))),0,CHOOSE($AX438,Constants!$B$13,Constants!$B$14,Constants!$B$15,Constants!$B$16)))</f>
        <v/>
      </c>
      <c r="BN438" s="100" t="str">
        <f aca="false">IF($BH438&lt;&gt;Constants!$B$4,"",IF(NOT($AJ438),0,Constants!$B$20*$AY438))</f>
        <v/>
      </c>
      <c r="BO438" s="100" t="str">
        <f aca="false">IF($BH438&lt;&gt;Constants!$B$4,"",IF(AND($AJ438,$BA438,$BB438),Constants!$B$22,0))</f>
        <v/>
      </c>
      <c r="BP438" s="100" t="str">
        <f aca="false">IF($BH438&lt;&gt;Constants!$B$4,"",IF(OR(NOT($AJ438),NOT($BA438)),0,IF($BF438&gt;=2*$AF$9,0,Constants!$B$23*INT(ROUND(MIN($BF438,$AF$9),6)))))</f>
        <v/>
      </c>
      <c r="BQ438" s="100" t="str">
        <f aca="false">IF($BH438&lt;&gt;Constants!$B$4,"",IF(NOT($AJ438),0,Constants!$B$24*INT(ROUND(MIN($AZ438,$AF$9),6))))</f>
        <v/>
      </c>
      <c r="BR438" s="100" t="str">
        <f aca="false">IF($BH438&lt;&gt;Constants!$B$4,"",IF(AND($AJ438,$BJ438=0),Constants!$B$25,0))</f>
        <v/>
      </c>
      <c r="BS438" s="100" t="str">
        <f aca="false">IF($BH438&lt;&gt;Constants!$B$4,"",MIN(Constants!$B$29,MAX(0,Constants!$B$27*Constants!$B$28*INT(ROUND((Constants!$B$26-$AL438)/Constants!$B$28,6))))+MIN(Constants!$B$29,MAX(0,Constants!$B$27*Constants!$B$28*INT(ROUND((Constants!$B$26-$AM438)/Constants!$B$28,6))))+MIN(Constants!$B$29,MAX(0,Constants!$B$27*Constants!$B$28*INT(ROUND((Constants!$B$26-$AN438)/Constants!$B$28,6)))))</f>
        <v/>
      </c>
      <c r="BT438" s="100" t="str">
        <f aca="false">IF($BH438&lt;&gt;Constants!$B$4,"",IF(NOT($AJ438),0,Constants!$B$31*INT(ROUND(MAX(0,MIN($BF438,2*$AF$9)-$AF$9),6))))</f>
        <v/>
      </c>
      <c r="BU438" s="100" t="str">
        <f aca="false">IF($BH438&lt;&gt;Constants!$B$4,"",Constants!$B$32*(($AL438&gt;Constants!$B$26)+($AM438&gt;Constants!$B$26)+($AN438&gt;Constants!$B$26)))</f>
        <v/>
      </c>
      <c r="BV438" s="100" t="str">
        <f aca="false">IF($BH438&lt;&gt;Constants!$B$4,"",IF(OR(NOT($AJ438),$AO438),0,Constants!$B$33))</f>
        <v/>
      </c>
      <c r="BW438" s="100" t="str">
        <f aca="false">IF($BH438&lt;&gt;Constants!$B$4,"",Constants!$B$34*$BJ438)</f>
        <v/>
      </c>
      <c r="BX438" s="100" t="str">
        <f aca="false">IF($BH438&lt;&gt;Constants!$B$4,"",IF(OR(NOT($AJ438),$BE438),0,Constants!$B$36))</f>
        <v/>
      </c>
      <c r="BY438" s="100" t="str">
        <f aca="false">IF($BH438&lt;&gt;Constants!$B$4,"",IF(OR(NOT($AJ438),$BD438),0,Constants!$B$37))</f>
        <v/>
      </c>
      <c r="BZ438" s="100" t="str">
        <f aca="false">IF($BH438&lt;&gt;Constants!$B$4,"",SUM($BT438:$BY438))</f>
        <v/>
      </c>
      <c r="CA438" s="100" t="str">
        <f aca="false">IF(ISBLANK($C438),"",IF($BH438&lt;&gt;Constants!$B$4,$BH438,SUM($BK438:$BS438)-$BZ438))</f>
        <v/>
      </c>
      <c r="CB438" s="100" t="str">
        <f aca="false">IF(ISBLANK($C438),"",IF($BH438&lt;&gt;Constants!$B$4,$BH438,RANK($CA438,$CA$9:$CA$508)))</f>
        <v/>
      </c>
      <c r="CC438" s="100" t="str">
        <f aca="false">IF(ISBLANK($C438),"",IF($BH438&lt;&gt;Constants!$B$4,$BH438,COUNTIFS($BI$9:$BI$508,"&lt;"&amp;$BI438)+COUNTIFS($BI$9:$BI$508,$BI438,$CB$9:$CB$508,"&lt;"&amp;$CB438)+1))</f>
        <v/>
      </c>
      <c r="CD438" s="100" t="str">
        <f aca="false">IF(ISBLANK($C438),"",IF($BH438&lt;&gt;Constants!$B$4,$BH438,RANK($BZ438,$BZ$9:$BZ$508,1)))</f>
        <v/>
      </c>
      <c r="CE438" s="100" t="str">
        <f aca="false">IF($BH438&lt;&gt;Constants!$B$4,"",$AL438+$AM438+$AN438)</f>
        <v/>
      </c>
      <c r="CF438" s="100" t="str">
        <f aca="false">IF(ISBLANK($C438),"",IF($BH438&lt;&gt;Constants!$B$4,$BH438,RANK($CE438,$CE$9:$CE$508,1)))</f>
        <v/>
      </c>
      <c r="CG438" s="100" t="str">
        <f aca="false">IF(ISBLANK($C438),"",IF($BH438&lt;&gt;Constants!$B$4,$BH438,COUNTIFS($BI$9:$BI$508,"&lt;"&amp;$BI438)+COUNTIFS($BI$9:$BI$508,$BI438,$CB$9:$CB$508,"&lt;"&amp;$CB438)+COUNTIFS($BI$9:$BI$508,$BI438,$CB$9:$CB$508,$CB438,$CD$9:$CD$508,"&lt;"&amp;$CD438)+COUNTIFS($BI$9:$BI$508,$BI438,$CB$9:$CB$508,$CB438,$CD$9:$CD$508,$CD438,$CF$9:$CF$508,"&lt;"&amp;$CF438)+1))</f>
        <v/>
      </c>
      <c r="CH438" s="100" t="str">
        <f aca="false">IF(ISBLANK($C438),"",IF($BH438&lt;&gt;Constants!$B$4,$BH438,$CC438-$CG438))</f>
        <v/>
      </c>
      <c r="CI438" s="100" t="str">
        <f aca="false">IF(ISBLANK($C438),"",IF(NOT($AJ438),"",IF(ISBLANK($D$7),$CI$5,IF(NOT(ISNUMBER($D$7)),$CI$6,""))))</f>
        <v/>
      </c>
      <c r="CJ438" s="100" t="str">
        <f aca="false">IF(ISBLANK($C438),"",OR($AL438="",$AM438="",$AN438=""))</f>
        <v/>
      </c>
      <c r="CK438" s="100" t="str">
        <f aca="false">IF(ISBLANK($C438),"",AND($AJ438,$AX438=""))</f>
        <v/>
      </c>
      <c r="CL438" s="100" t="str">
        <f aca="false">IF(ISBLANK($C438),"",AND($AJ438,$AY438=""))</f>
        <v/>
      </c>
      <c r="CM438" s="100" t="str">
        <f aca="false">IF(ISBLANK($C438),"",AND($AJ438,$AZ438=""))</f>
        <v/>
      </c>
      <c r="CN438" s="100" t="str">
        <f aca="false">IF(ISBLANK($C438),"",AND($AJ438,$BC438=""))</f>
        <v/>
      </c>
      <c r="CO438" s="100" t="str">
        <f aca="false">IF(ISBLANK($C438),"",AND($AJ438,$BF438=""))</f>
        <v/>
      </c>
      <c r="CP438" s="101"/>
      <c r="CQ438" s="102"/>
      <c r="CR438" s="103" t="str">
        <f aca="false">IF(ISBLANK($C438),"",IF($BH438=Constants!$B$8,$CI438,""))</f>
        <v/>
      </c>
      <c r="CS438" s="102" t="str">
        <f aca="false">IF(ISBLANK($C438),"",IF($BH438&lt;&gt;Constants!$B$4,"",$BK438+$BL438))</f>
        <v/>
      </c>
      <c r="CT438" s="104" t="str">
        <f aca="false">IF(ISBLANK($C438),"",IF($BH438&lt;&gt;Constants!$B$4,"",$BM438+$BN438+$BO438))</f>
        <v/>
      </c>
      <c r="CU438" s="104" t="str">
        <f aca="false">IF(ISBLANK($C438),"",IF($BH438&lt;&gt;Constants!$B$4,"",$BP438))</f>
        <v/>
      </c>
      <c r="CV438" s="104" t="str">
        <f aca="false">IF(ISBLANK($C438),"",IF($BH438&lt;&gt;Constants!$B$4,"",$BQ438+$BR438))</f>
        <v/>
      </c>
      <c r="CW438" s="104" t="str">
        <f aca="false">IF(ISBLANK($C438),"",IF($BH438&lt;&gt;Constants!$B$4,"",$BS438))</f>
        <v/>
      </c>
      <c r="CX438" s="104" t="str">
        <f aca="false">IF(ISBLANK($C438),"",IF($BH438&lt;&gt;Constants!$B$4,"",-$BZ438))</f>
        <v/>
      </c>
      <c r="CY438" s="103" t="str">
        <f aca="false">IF(ISBLANK($C438),"",$CA438)</f>
        <v/>
      </c>
      <c r="CZ438" s="105" t="str">
        <f aca="false">IF(ISBLANK($C438),"",$BI438)</f>
        <v/>
      </c>
      <c r="DA438" s="104" t="str">
        <f aca="false">IF(ISBLANK($C438),"",$CH438)</f>
        <v/>
      </c>
      <c r="DB438" s="104" t="str">
        <f aca="false">IF(ISBLANK($C438),"",$CG438)</f>
        <v/>
      </c>
      <c r="DC438" s="106" t="str">
        <f aca="false">IF(ISBLANK($C438),"",IFERROR(_xlfn.SWITCH($DB438,Constants!$B$7,COUNTA($C$9:$C$508)+2,Constants!$B$6,COUNTA($C$9:$C$508)+1,Constants!$B$5,COUNTA($C$9:$C$508)),$DB438))</f>
        <v/>
      </c>
      <c r="DD438" s="7"/>
      <c r="DE438" s="107" t="n">
        <f aca="false">IF(OR(ISNUMBER($DB438),$DB438=Constants!$B$7,$DB438=Constants!$B$5,$DB438=Constants!$B$6),1,0)</f>
        <v>0</v>
      </c>
      <c r="DF438" s="107" t="n">
        <v>430</v>
      </c>
      <c r="DG438" s="107" t="str">
        <f aca="false">IF(ISBLANK($C438),"",IF(ISNUMBER($DC438),$DC438+ROW($B438)/1000,""))</f>
        <v/>
      </c>
      <c r="DH438" s="107" t="str">
        <f aca="false">IF(ISNUMBER($DG438),RANK($DG438,$DG$9:$DG$508,1),"")</f>
        <v/>
      </c>
      <c r="DI438" s="107" t="str">
        <f aca="false">IF(ISBLANK($C438),"",$B438)</f>
        <v/>
      </c>
      <c r="DJ438" s="107" t="str">
        <f aca="false">IF(ISBLANK($C438),"",$C438)</f>
        <v/>
      </c>
      <c r="DK438" s="107" t="str">
        <f aca="false">IF(ISBLANK($C438),"",$D438)</f>
        <v/>
      </c>
      <c r="DL438" s="108" t="str">
        <f aca="false">$CZ438</f>
        <v/>
      </c>
      <c r="DM438" s="109" t="str">
        <f aca="false">$CY438</f>
        <v/>
      </c>
      <c r="DN438" s="107" t="str">
        <f aca="false">IF(ISBLANK($C438),"",$DB438)</f>
        <v/>
      </c>
      <c r="DO438" s="110" t="str">
        <f aca="false">IF($DF438&gt;$DE$8,"",VLOOKUP($DF438,$DH$9:$DN$508,7,FALSE()))</f>
        <v/>
      </c>
      <c r="DP438" s="111" t="str">
        <f aca="false">IF($DF438&gt;$DE$8,"",VLOOKUP($DF438,$DH$9:$DN$508,2,FALSE()))</f>
        <v/>
      </c>
      <c r="DQ438" s="111" t="str">
        <f aca="false">IF($DF438&gt;$DE$8,"",VLOOKUP($DF438,$DH$9:$DN$508,3,FALSE()))</f>
        <v/>
      </c>
      <c r="DR438" s="111" t="str">
        <f aca="false">IF($DF438&gt;$DE$8,"",VLOOKUP($DF438,$DH$9:$DN$508,4,FALSE()))</f>
        <v/>
      </c>
      <c r="DS438" s="111" t="str">
        <f aca="false">IF($DF438&gt;$DE$8,"",VLOOKUP($DF438,$DH$9:$DN$508,5,FALSE()))</f>
        <v/>
      </c>
      <c r="DT438" s="112" t="str">
        <f aca="false">IF($DF438&gt;$DE$8,"",VLOOKUP($DF438,$DH$9:$DN$508,6,FALSE()))</f>
        <v/>
      </c>
      <c r="DU438" s="62"/>
    </row>
    <row r="439" customFormat="false" ht="15.75" hidden="false" customHeight="false" outlineLevel="0" collapsed="false">
      <c r="A439" s="7"/>
      <c r="B439" s="90"/>
      <c r="C439" s="91"/>
      <c r="D439" s="126"/>
      <c r="E439" s="130"/>
      <c r="F439" s="135"/>
      <c r="G439" s="130"/>
      <c r="H439" s="135"/>
      <c r="I439" s="131"/>
      <c r="J439" s="131"/>
      <c r="K439" s="131"/>
      <c r="L439" s="130"/>
      <c r="M439" s="130"/>
      <c r="N439" s="130"/>
      <c r="O439" s="135"/>
      <c r="P439" s="130"/>
      <c r="Q439" s="130"/>
      <c r="R439" s="130"/>
      <c r="S439" s="130"/>
      <c r="T439" s="135"/>
      <c r="U439" s="130"/>
      <c r="V439" s="96"/>
      <c r="W439" s="130"/>
      <c r="X439" s="130"/>
      <c r="Y439" s="96"/>
      <c r="Z439" s="96"/>
      <c r="AA439" s="130"/>
      <c r="AB439" s="130"/>
      <c r="AC439" s="97"/>
      <c r="AD439" s="130"/>
      <c r="AE439" s="99"/>
      <c r="AF439" s="100"/>
      <c r="AG439" s="100"/>
      <c r="AH439" s="100" t="str">
        <f aca="false">IF(ISBLANK($C439),"",IF($E439=Constants!$B$2,TRUE(),IF($E439=Constants!$B$3,FALSE(),TRUE())))</f>
        <v/>
      </c>
      <c r="AI439" s="100" t="str">
        <f aca="false">IF(ISBLANK($C439),"",IF($F439=Constants!$B$2,TRUE(),IF($F439=Constants!$B$3,FALSE(),FALSE())))</f>
        <v/>
      </c>
      <c r="AJ439" s="100" t="str">
        <f aca="false">IF(ISBLANK($C439),"",IF($G439=Constants!$B$2,TRUE(),IF($G439=Constants!$B$3,FALSE(),TRUE())))</f>
        <v/>
      </c>
      <c r="AK439" s="100" t="str">
        <f aca="false">IF(ISBLANK($C439),"",IF($H439=Constants!$B$2,TRUE(),IF($H439=Constants!$B$3,FALSE(),TRUE())))</f>
        <v/>
      </c>
      <c r="AL439" s="100" t="str">
        <f aca="false">IF(ISBLANK($C439),"",IF(ISNUMBER($I439),IF($I439&gt;=0,$I439,""),""))</f>
        <v/>
      </c>
      <c r="AM439" s="100" t="str">
        <f aca="false">IF(ISBLANK($C439),"",IF(ISNUMBER($J439),IF($J439&gt;=0,$J439,""),""))</f>
        <v/>
      </c>
      <c r="AN439" s="100" t="str">
        <f aca="false">IF(ISBLANK($C439),"",IF(ISNUMBER($K439),IF($K439&gt;=0,$K439,""),""))</f>
        <v/>
      </c>
      <c r="AO439" s="100" t="str">
        <f aca="false">IF(ISBLANK($C439),"",IF($L439=Constants!$B$2,TRUE(),IF($L439=Constants!$B$3,FALSE(),TRUE())))</f>
        <v/>
      </c>
      <c r="AP439" s="100" t="str">
        <f aca="false">IF(ISBLANK($C439),"",IF($M439=Constants!$B$2,TRUE(),IF($M439=Constants!$B$3,FALSE(),TRUE())))</f>
        <v/>
      </c>
      <c r="AQ439" s="100" t="str">
        <f aca="false">IF(ISBLANK($C439),"",IF($N439=Constants!$B$2,TRUE(),IF($N439=Constants!$B$3,FALSE(),FALSE())))</f>
        <v/>
      </c>
      <c r="AR439" s="100" t="str">
        <f aca="false">IF(ISBLANK($C439),"",IF($O439=Constants!$B$2,TRUE(),IF($O439=Constants!$B$3,FALSE(),TRUE())))</f>
        <v/>
      </c>
      <c r="AS439" s="100" t="str">
        <f aca="false">IF(ISBLANK($C439),"",IF($P439=Constants!$B$2,TRUE(),IF($P439=Constants!$B$3,FALSE(),FALSE())))</f>
        <v/>
      </c>
      <c r="AT439" s="100" t="str">
        <f aca="false">IF(ISBLANK($C439),"",IF($Q439=Constants!$B$2,TRUE(),IF($Q439=Constants!$B$3,FALSE(),FALSE())))</f>
        <v/>
      </c>
      <c r="AU439" s="100" t="str">
        <f aca="false">IF(ISBLANK($C439),"",IF($R439=Constants!$B$2,TRUE(),IF($R439=Constants!$B$3,FALSE(),FALSE())))</f>
        <v/>
      </c>
      <c r="AV439" s="100" t="str">
        <f aca="false">IF(ISBLANK($C439),"",IF($S439=Constants!$B$2,TRUE(),IF($S439=Constants!$B$3,FALSE(),FALSE())))</f>
        <v/>
      </c>
      <c r="AW439" s="100" t="str">
        <f aca="false">IF(ISBLANK($C439),"",IF($T439=Constants!$B$2,TRUE(),IF($T439=Constants!$B$3,FALSE(),FALSE())))</f>
        <v/>
      </c>
      <c r="AX439" s="100" t="str">
        <f aca="false">IF(ISBLANK($C439),"",IF(OR($U439&amp;""="1",$U439&amp;""="2",$U439&amp;""="3",$U439&amp;""="4"),VALUE($U439&amp;""),IF($U439=Constants!$B$12,Constants!$B$12,"")))</f>
        <v/>
      </c>
      <c r="AY439" s="100" t="str">
        <f aca="false">IF(ISBLANK($C439),"",IF(ISBLANK($V439),0,IF(ISNUMBER($V439),IF(AND($V439&gt;=0,$V439&lt;=Constants!$B$21,$V439=INT($V439)),$V439,""),"")))</f>
        <v/>
      </c>
      <c r="AZ439" s="100" t="str">
        <f aca="false">IF(ISBLANK($C439),"",IF(ISBLANK($W439),0,IF(ISNUMBER($W439),IF($W439&gt;=0,$W439,""),"")))</f>
        <v/>
      </c>
      <c r="BA439" s="100" t="str">
        <f aca="false">IF(ISBLANK($C439),"",IF($X439=Constants!$B$2,TRUE(),IF($X439=Constants!$B$3,FALSE(),TRUE())))</f>
        <v/>
      </c>
      <c r="BB439" s="100" t="str">
        <f aca="false">IF(ISBLANK($C439),"",IF($Y439=Constants!$B$2,TRUE(),IF($Y439=Constants!$B$3,FALSE(),FALSE())))</f>
        <v/>
      </c>
      <c r="BC439" s="100" t="str">
        <f aca="false">IF(ISBLANK($C439),"",IF(ISBLANK($Z439),0,IF(ISNUMBER($Z439),IF(AND($Z439&gt;=0,$Z439&lt;=Constants!$B$35,$Z439=INT($Z439)),$Z439,""),"")))</f>
        <v/>
      </c>
      <c r="BD439" s="100" t="str">
        <f aca="false">IF(ISBLANK($C439),"",IF($AA439=Constants!$B$2,TRUE(),IF($AA439=Constants!$B$3,FALSE(),TRUE())))</f>
        <v/>
      </c>
      <c r="BE439" s="100" t="str">
        <f aca="false">IF(ISBLANK($C439),"",IF($AB439=Constants!$B$2,TRUE(),IF($AB439=Constants!$B$3,FALSE(),TRUE())))</f>
        <v/>
      </c>
      <c r="BF439" s="100" t="str">
        <f aca="false">IF(ISBLANK($C439),"",IF(ISNUMBER($AC439),IF($AC439&gt;=0,$AC439,""),""))</f>
        <v/>
      </c>
      <c r="BG439" s="100" t="str">
        <f aca="false">IF(ISBLANK($C439),"",IF($AD439=Constants!$B$2,TRUE(),IF($AD439=Constants!$B$3,FALSE(),FALSE())))</f>
        <v/>
      </c>
      <c r="BH439" s="99" t="str">
        <f aca="false">IF(ISBLANK($C439),"",IF($BG439,Constants!$B$7,IF(COUNTA($E439:$AC439)=0,Constants!$B$6,IF(OR(COUNTA($G439:$AC439)=0,NOT($AK439),$AQ439),Constants!$B$5,IF(OR($CI439&lt;&gt;"",$CJ439,$CK439,$CL439,$CM439,$CN439,$CO439),Constants!$B$8,Constants!$B$4)))))</f>
        <v/>
      </c>
      <c r="BI439" s="100" t="str">
        <f aca="false">IF(ISBLANK($C439),"",IF($BH439&lt;&gt;Constants!$B$4,$BH439,IF(OR(NOT($AH439),NOT($AJ439),NOT($AR439)),Constants!$B$11,IF(OR(NOT($AP439),MAX($AL439,$AM439,$AN439)&gt;Constants!$B$30),Constants!$B$10,Constants!$B$9))))</f>
        <v/>
      </c>
      <c r="BJ439" s="100" t="str">
        <f aca="false">IF($BH439&lt;&gt;Constants!$B$4,"",IF(NOT($AJ439),0,MIN(Constants!$B$35,$BC439)))</f>
        <v/>
      </c>
      <c r="BK439" s="100" t="str">
        <f aca="false">IF($BH439&lt;&gt;Constants!$B$4,"",IF(NOT($AJ439),0,IF($AT439,Constants!$B$18,IF($AS439,Constants!$B$17,0))))</f>
        <v/>
      </c>
      <c r="BL439" s="100" t="str">
        <f aca="false">IF($BH439&lt;&gt;Constants!$B$4,"",IF(NOT($AJ439),0,Constants!$B$19*($AI439+$AU439+$AV439+$AW439)))</f>
        <v/>
      </c>
      <c r="BM439" s="100" t="str">
        <f aca="false">IF($BH439&lt;&gt;Constants!$B$4,"",IF(OR(NOT($AJ439),NOT(ISNUMBER($AX439))),0,CHOOSE($AX439,Constants!$B$13,Constants!$B$14,Constants!$B$15,Constants!$B$16)))</f>
        <v/>
      </c>
      <c r="BN439" s="100" t="str">
        <f aca="false">IF($BH439&lt;&gt;Constants!$B$4,"",IF(NOT($AJ439),0,Constants!$B$20*$AY439))</f>
        <v/>
      </c>
      <c r="BO439" s="100" t="str">
        <f aca="false">IF($BH439&lt;&gt;Constants!$B$4,"",IF(AND($AJ439,$BA439,$BB439),Constants!$B$22,0))</f>
        <v/>
      </c>
      <c r="BP439" s="100" t="str">
        <f aca="false">IF($BH439&lt;&gt;Constants!$B$4,"",IF(OR(NOT($AJ439),NOT($BA439)),0,IF($BF439&gt;=2*$AF$9,0,Constants!$B$23*INT(ROUND(MIN($BF439,$AF$9),6)))))</f>
        <v/>
      </c>
      <c r="BQ439" s="100" t="str">
        <f aca="false">IF($BH439&lt;&gt;Constants!$B$4,"",IF(NOT($AJ439),0,Constants!$B$24*INT(ROUND(MIN($AZ439,$AF$9),6))))</f>
        <v/>
      </c>
      <c r="BR439" s="100" t="str">
        <f aca="false">IF($BH439&lt;&gt;Constants!$B$4,"",IF(AND($AJ439,$BJ439=0),Constants!$B$25,0))</f>
        <v/>
      </c>
      <c r="BS439" s="100" t="str">
        <f aca="false">IF($BH439&lt;&gt;Constants!$B$4,"",MIN(Constants!$B$29,MAX(0,Constants!$B$27*Constants!$B$28*INT(ROUND((Constants!$B$26-$AL439)/Constants!$B$28,6))))+MIN(Constants!$B$29,MAX(0,Constants!$B$27*Constants!$B$28*INT(ROUND((Constants!$B$26-$AM439)/Constants!$B$28,6))))+MIN(Constants!$B$29,MAX(0,Constants!$B$27*Constants!$B$28*INT(ROUND((Constants!$B$26-$AN439)/Constants!$B$28,6)))))</f>
        <v/>
      </c>
      <c r="BT439" s="100" t="str">
        <f aca="false">IF($BH439&lt;&gt;Constants!$B$4,"",IF(NOT($AJ439),0,Constants!$B$31*INT(ROUND(MAX(0,MIN($BF439,2*$AF$9)-$AF$9),6))))</f>
        <v/>
      </c>
      <c r="BU439" s="100" t="str">
        <f aca="false">IF($BH439&lt;&gt;Constants!$B$4,"",Constants!$B$32*(($AL439&gt;Constants!$B$26)+($AM439&gt;Constants!$B$26)+($AN439&gt;Constants!$B$26)))</f>
        <v/>
      </c>
      <c r="BV439" s="100" t="str">
        <f aca="false">IF($BH439&lt;&gt;Constants!$B$4,"",IF(OR(NOT($AJ439),$AO439),0,Constants!$B$33))</f>
        <v/>
      </c>
      <c r="BW439" s="100" t="str">
        <f aca="false">IF($BH439&lt;&gt;Constants!$B$4,"",Constants!$B$34*$BJ439)</f>
        <v/>
      </c>
      <c r="BX439" s="100" t="str">
        <f aca="false">IF($BH439&lt;&gt;Constants!$B$4,"",IF(OR(NOT($AJ439),$BE439),0,Constants!$B$36))</f>
        <v/>
      </c>
      <c r="BY439" s="100" t="str">
        <f aca="false">IF($BH439&lt;&gt;Constants!$B$4,"",IF(OR(NOT($AJ439),$BD439),0,Constants!$B$37))</f>
        <v/>
      </c>
      <c r="BZ439" s="100" t="str">
        <f aca="false">IF($BH439&lt;&gt;Constants!$B$4,"",SUM($BT439:$BY439))</f>
        <v/>
      </c>
      <c r="CA439" s="100" t="str">
        <f aca="false">IF(ISBLANK($C439),"",IF($BH439&lt;&gt;Constants!$B$4,$BH439,SUM($BK439:$BS439)-$BZ439))</f>
        <v/>
      </c>
      <c r="CB439" s="100" t="str">
        <f aca="false">IF(ISBLANK($C439),"",IF($BH439&lt;&gt;Constants!$B$4,$BH439,RANK($CA439,$CA$9:$CA$508)))</f>
        <v/>
      </c>
      <c r="CC439" s="100" t="str">
        <f aca="false">IF(ISBLANK($C439),"",IF($BH439&lt;&gt;Constants!$B$4,$BH439,COUNTIFS($BI$9:$BI$508,"&lt;"&amp;$BI439)+COUNTIFS($BI$9:$BI$508,$BI439,$CB$9:$CB$508,"&lt;"&amp;$CB439)+1))</f>
        <v/>
      </c>
      <c r="CD439" s="100" t="str">
        <f aca="false">IF(ISBLANK($C439),"",IF($BH439&lt;&gt;Constants!$B$4,$BH439,RANK($BZ439,$BZ$9:$BZ$508,1)))</f>
        <v/>
      </c>
      <c r="CE439" s="100" t="str">
        <f aca="false">IF($BH439&lt;&gt;Constants!$B$4,"",$AL439+$AM439+$AN439)</f>
        <v/>
      </c>
      <c r="CF439" s="100" t="str">
        <f aca="false">IF(ISBLANK($C439),"",IF($BH439&lt;&gt;Constants!$B$4,$BH439,RANK($CE439,$CE$9:$CE$508,1)))</f>
        <v/>
      </c>
      <c r="CG439" s="100" t="str">
        <f aca="false">IF(ISBLANK($C439),"",IF($BH439&lt;&gt;Constants!$B$4,$BH439,COUNTIFS($BI$9:$BI$508,"&lt;"&amp;$BI439)+COUNTIFS($BI$9:$BI$508,$BI439,$CB$9:$CB$508,"&lt;"&amp;$CB439)+COUNTIFS($BI$9:$BI$508,$BI439,$CB$9:$CB$508,$CB439,$CD$9:$CD$508,"&lt;"&amp;$CD439)+COUNTIFS($BI$9:$BI$508,$BI439,$CB$9:$CB$508,$CB439,$CD$9:$CD$508,$CD439,$CF$9:$CF$508,"&lt;"&amp;$CF439)+1))</f>
        <v/>
      </c>
      <c r="CH439" s="100" t="str">
        <f aca="false">IF(ISBLANK($C439),"",IF($BH439&lt;&gt;Constants!$B$4,$BH439,$CC439-$CG439))</f>
        <v/>
      </c>
      <c r="CI439" s="100" t="str">
        <f aca="false">IF(ISBLANK($C439),"",IF(NOT($AJ439),"",IF(ISBLANK($D$7),$CI$5,IF(NOT(ISNUMBER($D$7)),$CI$6,""))))</f>
        <v/>
      </c>
      <c r="CJ439" s="100" t="str">
        <f aca="false">IF(ISBLANK($C439),"",OR($AL439="",$AM439="",$AN439=""))</f>
        <v/>
      </c>
      <c r="CK439" s="100" t="str">
        <f aca="false">IF(ISBLANK($C439),"",AND($AJ439,$AX439=""))</f>
        <v/>
      </c>
      <c r="CL439" s="100" t="str">
        <f aca="false">IF(ISBLANK($C439),"",AND($AJ439,$AY439=""))</f>
        <v/>
      </c>
      <c r="CM439" s="100" t="str">
        <f aca="false">IF(ISBLANK($C439),"",AND($AJ439,$AZ439=""))</f>
        <v/>
      </c>
      <c r="CN439" s="100" t="str">
        <f aca="false">IF(ISBLANK($C439),"",AND($AJ439,$BC439=""))</f>
        <v/>
      </c>
      <c r="CO439" s="100" t="str">
        <f aca="false">IF(ISBLANK($C439),"",AND($AJ439,$BF439=""))</f>
        <v/>
      </c>
      <c r="CP439" s="101"/>
      <c r="CQ439" s="102"/>
      <c r="CR439" s="103" t="str">
        <f aca="false">IF(ISBLANK($C439),"",IF($BH439=Constants!$B$8,$CI439,""))</f>
        <v/>
      </c>
      <c r="CS439" s="102" t="str">
        <f aca="false">IF(ISBLANK($C439),"",IF($BH439&lt;&gt;Constants!$B$4,"",$BK439+$BL439))</f>
        <v/>
      </c>
      <c r="CT439" s="104" t="str">
        <f aca="false">IF(ISBLANK($C439),"",IF($BH439&lt;&gt;Constants!$B$4,"",$BM439+$BN439+$BO439))</f>
        <v/>
      </c>
      <c r="CU439" s="104" t="str">
        <f aca="false">IF(ISBLANK($C439),"",IF($BH439&lt;&gt;Constants!$B$4,"",$BP439))</f>
        <v/>
      </c>
      <c r="CV439" s="104" t="str">
        <f aca="false">IF(ISBLANK($C439),"",IF($BH439&lt;&gt;Constants!$B$4,"",$BQ439+$BR439))</f>
        <v/>
      </c>
      <c r="CW439" s="104" t="str">
        <f aca="false">IF(ISBLANK($C439),"",IF($BH439&lt;&gt;Constants!$B$4,"",$BS439))</f>
        <v/>
      </c>
      <c r="CX439" s="104" t="str">
        <f aca="false">IF(ISBLANK($C439),"",IF($BH439&lt;&gt;Constants!$B$4,"",-$BZ439))</f>
        <v/>
      </c>
      <c r="CY439" s="103" t="str">
        <f aca="false">IF(ISBLANK($C439),"",$CA439)</f>
        <v/>
      </c>
      <c r="CZ439" s="105" t="str">
        <f aca="false">IF(ISBLANK($C439),"",$BI439)</f>
        <v/>
      </c>
      <c r="DA439" s="104" t="str">
        <f aca="false">IF(ISBLANK($C439),"",$CH439)</f>
        <v/>
      </c>
      <c r="DB439" s="104" t="str">
        <f aca="false">IF(ISBLANK($C439),"",$CG439)</f>
        <v/>
      </c>
      <c r="DC439" s="106" t="str">
        <f aca="false">IF(ISBLANK($C439),"",IFERROR(_xlfn.SWITCH($DB439,Constants!$B$7,COUNTA($C$9:$C$508)+2,Constants!$B$6,COUNTA($C$9:$C$508)+1,Constants!$B$5,COUNTA($C$9:$C$508)),$DB439))</f>
        <v/>
      </c>
      <c r="DD439" s="7"/>
      <c r="DE439" s="107" t="n">
        <f aca="false">IF(OR(ISNUMBER($DB439),$DB439=Constants!$B$7,$DB439=Constants!$B$5,$DB439=Constants!$B$6),1,0)</f>
        <v>0</v>
      </c>
      <c r="DF439" s="107" t="n">
        <v>431</v>
      </c>
      <c r="DG439" s="107" t="str">
        <f aca="false">IF(ISBLANK($C439),"",IF(ISNUMBER($DC439),$DC439+ROW($B439)/1000,""))</f>
        <v/>
      </c>
      <c r="DH439" s="107" t="str">
        <f aca="false">IF(ISNUMBER($DG439),RANK($DG439,$DG$9:$DG$508,1),"")</f>
        <v/>
      </c>
      <c r="DI439" s="107" t="str">
        <f aca="false">IF(ISBLANK($C439),"",$B439)</f>
        <v/>
      </c>
      <c r="DJ439" s="107" t="str">
        <f aca="false">IF(ISBLANK($C439),"",$C439)</f>
        <v/>
      </c>
      <c r="DK439" s="107" t="str">
        <f aca="false">IF(ISBLANK($C439),"",$D439)</f>
        <v/>
      </c>
      <c r="DL439" s="108" t="str">
        <f aca="false">$CZ439</f>
        <v/>
      </c>
      <c r="DM439" s="109" t="str">
        <f aca="false">$CY439</f>
        <v/>
      </c>
      <c r="DN439" s="107" t="str">
        <f aca="false">IF(ISBLANK($C439),"",$DB439)</f>
        <v/>
      </c>
      <c r="DO439" s="110" t="str">
        <f aca="false">IF($DF439&gt;$DE$8,"",VLOOKUP($DF439,$DH$9:$DN$508,7,FALSE()))</f>
        <v/>
      </c>
      <c r="DP439" s="111" t="str">
        <f aca="false">IF($DF439&gt;$DE$8,"",VLOOKUP($DF439,$DH$9:$DN$508,2,FALSE()))</f>
        <v/>
      </c>
      <c r="DQ439" s="111" t="str">
        <f aca="false">IF($DF439&gt;$DE$8,"",VLOOKUP($DF439,$DH$9:$DN$508,3,FALSE()))</f>
        <v/>
      </c>
      <c r="DR439" s="111" t="str">
        <f aca="false">IF($DF439&gt;$DE$8,"",VLOOKUP($DF439,$DH$9:$DN$508,4,FALSE()))</f>
        <v/>
      </c>
      <c r="DS439" s="111" t="str">
        <f aca="false">IF($DF439&gt;$DE$8,"",VLOOKUP($DF439,$DH$9:$DN$508,5,FALSE()))</f>
        <v/>
      </c>
      <c r="DT439" s="112" t="str">
        <f aca="false">IF($DF439&gt;$DE$8,"",VLOOKUP($DF439,$DH$9:$DN$508,6,FALSE()))</f>
        <v/>
      </c>
      <c r="DU439" s="62"/>
    </row>
    <row r="440" customFormat="false" ht="15.75" hidden="false" customHeight="false" outlineLevel="0" collapsed="false">
      <c r="A440" s="7"/>
      <c r="B440" s="90"/>
      <c r="C440" s="91"/>
      <c r="D440" s="126"/>
      <c r="E440" s="130"/>
      <c r="F440" s="135"/>
      <c r="G440" s="130"/>
      <c r="H440" s="135"/>
      <c r="I440" s="131"/>
      <c r="J440" s="131"/>
      <c r="K440" s="131"/>
      <c r="L440" s="130"/>
      <c r="M440" s="130"/>
      <c r="N440" s="130"/>
      <c r="O440" s="135"/>
      <c r="P440" s="130"/>
      <c r="Q440" s="130"/>
      <c r="R440" s="130"/>
      <c r="S440" s="130"/>
      <c r="T440" s="135"/>
      <c r="U440" s="130"/>
      <c r="V440" s="96"/>
      <c r="W440" s="130"/>
      <c r="X440" s="130"/>
      <c r="Y440" s="96"/>
      <c r="Z440" s="96"/>
      <c r="AA440" s="130"/>
      <c r="AB440" s="130"/>
      <c r="AC440" s="97"/>
      <c r="AD440" s="130"/>
      <c r="AE440" s="99"/>
      <c r="AF440" s="100"/>
      <c r="AG440" s="100"/>
      <c r="AH440" s="100" t="str">
        <f aca="false">IF(ISBLANK($C440),"",IF($E440=Constants!$B$2,TRUE(),IF($E440=Constants!$B$3,FALSE(),TRUE())))</f>
        <v/>
      </c>
      <c r="AI440" s="100" t="str">
        <f aca="false">IF(ISBLANK($C440),"",IF($F440=Constants!$B$2,TRUE(),IF($F440=Constants!$B$3,FALSE(),FALSE())))</f>
        <v/>
      </c>
      <c r="AJ440" s="100" t="str">
        <f aca="false">IF(ISBLANK($C440),"",IF($G440=Constants!$B$2,TRUE(),IF($G440=Constants!$B$3,FALSE(),TRUE())))</f>
        <v/>
      </c>
      <c r="AK440" s="100" t="str">
        <f aca="false">IF(ISBLANK($C440),"",IF($H440=Constants!$B$2,TRUE(),IF($H440=Constants!$B$3,FALSE(),TRUE())))</f>
        <v/>
      </c>
      <c r="AL440" s="100" t="str">
        <f aca="false">IF(ISBLANK($C440),"",IF(ISNUMBER($I440),IF($I440&gt;=0,$I440,""),""))</f>
        <v/>
      </c>
      <c r="AM440" s="100" t="str">
        <f aca="false">IF(ISBLANK($C440),"",IF(ISNUMBER($J440),IF($J440&gt;=0,$J440,""),""))</f>
        <v/>
      </c>
      <c r="AN440" s="100" t="str">
        <f aca="false">IF(ISBLANK($C440),"",IF(ISNUMBER($K440),IF($K440&gt;=0,$K440,""),""))</f>
        <v/>
      </c>
      <c r="AO440" s="100" t="str">
        <f aca="false">IF(ISBLANK($C440),"",IF($L440=Constants!$B$2,TRUE(),IF($L440=Constants!$B$3,FALSE(),TRUE())))</f>
        <v/>
      </c>
      <c r="AP440" s="100" t="str">
        <f aca="false">IF(ISBLANK($C440),"",IF($M440=Constants!$B$2,TRUE(),IF($M440=Constants!$B$3,FALSE(),TRUE())))</f>
        <v/>
      </c>
      <c r="AQ440" s="100" t="str">
        <f aca="false">IF(ISBLANK($C440),"",IF($N440=Constants!$B$2,TRUE(),IF($N440=Constants!$B$3,FALSE(),FALSE())))</f>
        <v/>
      </c>
      <c r="AR440" s="100" t="str">
        <f aca="false">IF(ISBLANK($C440),"",IF($O440=Constants!$B$2,TRUE(),IF($O440=Constants!$B$3,FALSE(),TRUE())))</f>
        <v/>
      </c>
      <c r="AS440" s="100" t="str">
        <f aca="false">IF(ISBLANK($C440),"",IF($P440=Constants!$B$2,TRUE(),IF($P440=Constants!$B$3,FALSE(),FALSE())))</f>
        <v/>
      </c>
      <c r="AT440" s="100" t="str">
        <f aca="false">IF(ISBLANK($C440),"",IF($Q440=Constants!$B$2,TRUE(),IF($Q440=Constants!$B$3,FALSE(),FALSE())))</f>
        <v/>
      </c>
      <c r="AU440" s="100" t="str">
        <f aca="false">IF(ISBLANK($C440),"",IF($R440=Constants!$B$2,TRUE(),IF($R440=Constants!$B$3,FALSE(),FALSE())))</f>
        <v/>
      </c>
      <c r="AV440" s="100" t="str">
        <f aca="false">IF(ISBLANK($C440),"",IF($S440=Constants!$B$2,TRUE(),IF($S440=Constants!$B$3,FALSE(),FALSE())))</f>
        <v/>
      </c>
      <c r="AW440" s="100" t="str">
        <f aca="false">IF(ISBLANK($C440),"",IF($T440=Constants!$B$2,TRUE(),IF($T440=Constants!$B$3,FALSE(),FALSE())))</f>
        <v/>
      </c>
      <c r="AX440" s="100" t="str">
        <f aca="false">IF(ISBLANK($C440),"",IF(OR($U440&amp;""="1",$U440&amp;""="2",$U440&amp;""="3",$U440&amp;""="4"),VALUE($U440&amp;""),IF($U440=Constants!$B$12,Constants!$B$12,"")))</f>
        <v/>
      </c>
      <c r="AY440" s="100" t="str">
        <f aca="false">IF(ISBLANK($C440),"",IF(ISBLANK($V440),0,IF(ISNUMBER($V440),IF(AND($V440&gt;=0,$V440&lt;=Constants!$B$21,$V440=INT($V440)),$V440,""),"")))</f>
        <v/>
      </c>
      <c r="AZ440" s="100" t="str">
        <f aca="false">IF(ISBLANK($C440),"",IF(ISBLANK($W440),0,IF(ISNUMBER($W440),IF($W440&gt;=0,$W440,""),"")))</f>
        <v/>
      </c>
      <c r="BA440" s="100" t="str">
        <f aca="false">IF(ISBLANK($C440),"",IF($X440=Constants!$B$2,TRUE(),IF($X440=Constants!$B$3,FALSE(),TRUE())))</f>
        <v/>
      </c>
      <c r="BB440" s="100" t="str">
        <f aca="false">IF(ISBLANK($C440),"",IF($Y440=Constants!$B$2,TRUE(),IF($Y440=Constants!$B$3,FALSE(),FALSE())))</f>
        <v/>
      </c>
      <c r="BC440" s="100" t="str">
        <f aca="false">IF(ISBLANK($C440),"",IF(ISBLANK($Z440),0,IF(ISNUMBER($Z440),IF(AND($Z440&gt;=0,$Z440&lt;=Constants!$B$35,$Z440=INT($Z440)),$Z440,""),"")))</f>
        <v/>
      </c>
      <c r="BD440" s="100" t="str">
        <f aca="false">IF(ISBLANK($C440),"",IF($AA440=Constants!$B$2,TRUE(),IF($AA440=Constants!$B$3,FALSE(),TRUE())))</f>
        <v/>
      </c>
      <c r="BE440" s="100" t="str">
        <f aca="false">IF(ISBLANK($C440),"",IF($AB440=Constants!$B$2,TRUE(),IF($AB440=Constants!$B$3,FALSE(),TRUE())))</f>
        <v/>
      </c>
      <c r="BF440" s="100" t="str">
        <f aca="false">IF(ISBLANK($C440),"",IF(ISNUMBER($AC440),IF($AC440&gt;=0,$AC440,""),""))</f>
        <v/>
      </c>
      <c r="BG440" s="100" t="str">
        <f aca="false">IF(ISBLANK($C440),"",IF($AD440=Constants!$B$2,TRUE(),IF($AD440=Constants!$B$3,FALSE(),FALSE())))</f>
        <v/>
      </c>
      <c r="BH440" s="99" t="str">
        <f aca="false">IF(ISBLANK($C440),"",IF($BG440,Constants!$B$7,IF(COUNTA($E440:$AC440)=0,Constants!$B$6,IF(OR(COUNTA($G440:$AC440)=0,NOT($AK440),$AQ440),Constants!$B$5,IF(OR($CI440&lt;&gt;"",$CJ440,$CK440,$CL440,$CM440,$CN440,$CO440),Constants!$B$8,Constants!$B$4)))))</f>
        <v/>
      </c>
      <c r="BI440" s="100" t="str">
        <f aca="false">IF(ISBLANK($C440),"",IF($BH440&lt;&gt;Constants!$B$4,$BH440,IF(OR(NOT($AH440),NOT($AJ440),NOT($AR440)),Constants!$B$11,IF(OR(NOT($AP440),MAX($AL440,$AM440,$AN440)&gt;Constants!$B$30),Constants!$B$10,Constants!$B$9))))</f>
        <v/>
      </c>
      <c r="BJ440" s="100" t="str">
        <f aca="false">IF($BH440&lt;&gt;Constants!$B$4,"",IF(NOT($AJ440),0,MIN(Constants!$B$35,$BC440)))</f>
        <v/>
      </c>
      <c r="BK440" s="100" t="str">
        <f aca="false">IF($BH440&lt;&gt;Constants!$B$4,"",IF(NOT($AJ440),0,IF($AT440,Constants!$B$18,IF($AS440,Constants!$B$17,0))))</f>
        <v/>
      </c>
      <c r="BL440" s="100" t="str">
        <f aca="false">IF($BH440&lt;&gt;Constants!$B$4,"",IF(NOT($AJ440),0,Constants!$B$19*($AI440+$AU440+$AV440+$AW440)))</f>
        <v/>
      </c>
      <c r="BM440" s="100" t="str">
        <f aca="false">IF($BH440&lt;&gt;Constants!$B$4,"",IF(OR(NOT($AJ440),NOT(ISNUMBER($AX440))),0,CHOOSE($AX440,Constants!$B$13,Constants!$B$14,Constants!$B$15,Constants!$B$16)))</f>
        <v/>
      </c>
      <c r="BN440" s="100" t="str">
        <f aca="false">IF($BH440&lt;&gt;Constants!$B$4,"",IF(NOT($AJ440),0,Constants!$B$20*$AY440))</f>
        <v/>
      </c>
      <c r="BO440" s="100" t="str">
        <f aca="false">IF($BH440&lt;&gt;Constants!$B$4,"",IF(AND($AJ440,$BA440,$BB440),Constants!$B$22,0))</f>
        <v/>
      </c>
      <c r="BP440" s="100" t="str">
        <f aca="false">IF($BH440&lt;&gt;Constants!$B$4,"",IF(OR(NOT($AJ440),NOT($BA440)),0,IF($BF440&gt;=2*$AF$9,0,Constants!$B$23*INT(ROUND(MIN($BF440,$AF$9),6)))))</f>
        <v/>
      </c>
      <c r="BQ440" s="100" t="str">
        <f aca="false">IF($BH440&lt;&gt;Constants!$B$4,"",IF(NOT($AJ440),0,Constants!$B$24*INT(ROUND(MIN($AZ440,$AF$9),6))))</f>
        <v/>
      </c>
      <c r="BR440" s="100" t="str">
        <f aca="false">IF($BH440&lt;&gt;Constants!$B$4,"",IF(AND($AJ440,$BJ440=0),Constants!$B$25,0))</f>
        <v/>
      </c>
      <c r="BS440" s="100" t="str">
        <f aca="false">IF($BH440&lt;&gt;Constants!$B$4,"",MIN(Constants!$B$29,MAX(0,Constants!$B$27*Constants!$B$28*INT(ROUND((Constants!$B$26-$AL440)/Constants!$B$28,6))))+MIN(Constants!$B$29,MAX(0,Constants!$B$27*Constants!$B$28*INT(ROUND((Constants!$B$26-$AM440)/Constants!$B$28,6))))+MIN(Constants!$B$29,MAX(0,Constants!$B$27*Constants!$B$28*INT(ROUND((Constants!$B$26-$AN440)/Constants!$B$28,6)))))</f>
        <v/>
      </c>
      <c r="BT440" s="100" t="str">
        <f aca="false">IF($BH440&lt;&gt;Constants!$B$4,"",IF(NOT($AJ440),0,Constants!$B$31*INT(ROUND(MAX(0,MIN($BF440,2*$AF$9)-$AF$9),6))))</f>
        <v/>
      </c>
      <c r="BU440" s="100" t="str">
        <f aca="false">IF($BH440&lt;&gt;Constants!$B$4,"",Constants!$B$32*(($AL440&gt;Constants!$B$26)+($AM440&gt;Constants!$B$26)+($AN440&gt;Constants!$B$26)))</f>
        <v/>
      </c>
      <c r="BV440" s="100" t="str">
        <f aca="false">IF($BH440&lt;&gt;Constants!$B$4,"",IF(OR(NOT($AJ440),$AO440),0,Constants!$B$33))</f>
        <v/>
      </c>
      <c r="BW440" s="100" t="str">
        <f aca="false">IF($BH440&lt;&gt;Constants!$B$4,"",Constants!$B$34*$BJ440)</f>
        <v/>
      </c>
      <c r="BX440" s="100" t="str">
        <f aca="false">IF($BH440&lt;&gt;Constants!$B$4,"",IF(OR(NOT($AJ440),$BE440),0,Constants!$B$36))</f>
        <v/>
      </c>
      <c r="BY440" s="100" t="str">
        <f aca="false">IF($BH440&lt;&gt;Constants!$B$4,"",IF(OR(NOT($AJ440),$BD440),0,Constants!$B$37))</f>
        <v/>
      </c>
      <c r="BZ440" s="100" t="str">
        <f aca="false">IF($BH440&lt;&gt;Constants!$B$4,"",SUM($BT440:$BY440))</f>
        <v/>
      </c>
      <c r="CA440" s="100" t="str">
        <f aca="false">IF(ISBLANK($C440),"",IF($BH440&lt;&gt;Constants!$B$4,$BH440,SUM($BK440:$BS440)-$BZ440))</f>
        <v/>
      </c>
      <c r="CB440" s="100" t="str">
        <f aca="false">IF(ISBLANK($C440),"",IF($BH440&lt;&gt;Constants!$B$4,$BH440,RANK($CA440,$CA$9:$CA$508)))</f>
        <v/>
      </c>
      <c r="CC440" s="100" t="str">
        <f aca="false">IF(ISBLANK($C440),"",IF($BH440&lt;&gt;Constants!$B$4,$BH440,COUNTIFS($BI$9:$BI$508,"&lt;"&amp;$BI440)+COUNTIFS($BI$9:$BI$508,$BI440,$CB$9:$CB$508,"&lt;"&amp;$CB440)+1))</f>
        <v/>
      </c>
      <c r="CD440" s="100" t="str">
        <f aca="false">IF(ISBLANK($C440),"",IF($BH440&lt;&gt;Constants!$B$4,$BH440,RANK($BZ440,$BZ$9:$BZ$508,1)))</f>
        <v/>
      </c>
      <c r="CE440" s="100" t="str">
        <f aca="false">IF($BH440&lt;&gt;Constants!$B$4,"",$AL440+$AM440+$AN440)</f>
        <v/>
      </c>
      <c r="CF440" s="100" t="str">
        <f aca="false">IF(ISBLANK($C440),"",IF($BH440&lt;&gt;Constants!$B$4,$BH440,RANK($CE440,$CE$9:$CE$508,1)))</f>
        <v/>
      </c>
      <c r="CG440" s="100" t="str">
        <f aca="false">IF(ISBLANK($C440),"",IF($BH440&lt;&gt;Constants!$B$4,$BH440,COUNTIFS($BI$9:$BI$508,"&lt;"&amp;$BI440)+COUNTIFS($BI$9:$BI$508,$BI440,$CB$9:$CB$508,"&lt;"&amp;$CB440)+COUNTIFS($BI$9:$BI$508,$BI440,$CB$9:$CB$508,$CB440,$CD$9:$CD$508,"&lt;"&amp;$CD440)+COUNTIFS($BI$9:$BI$508,$BI440,$CB$9:$CB$508,$CB440,$CD$9:$CD$508,$CD440,$CF$9:$CF$508,"&lt;"&amp;$CF440)+1))</f>
        <v/>
      </c>
      <c r="CH440" s="100" t="str">
        <f aca="false">IF(ISBLANK($C440),"",IF($BH440&lt;&gt;Constants!$B$4,$BH440,$CC440-$CG440))</f>
        <v/>
      </c>
      <c r="CI440" s="100" t="str">
        <f aca="false">IF(ISBLANK($C440),"",IF(NOT($AJ440),"",IF(ISBLANK($D$7),$CI$5,IF(NOT(ISNUMBER($D$7)),$CI$6,""))))</f>
        <v/>
      </c>
      <c r="CJ440" s="100" t="str">
        <f aca="false">IF(ISBLANK($C440),"",OR($AL440="",$AM440="",$AN440=""))</f>
        <v/>
      </c>
      <c r="CK440" s="100" t="str">
        <f aca="false">IF(ISBLANK($C440),"",AND($AJ440,$AX440=""))</f>
        <v/>
      </c>
      <c r="CL440" s="100" t="str">
        <f aca="false">IF(ISBLANK($C440),"",AND($AJ440,$AY440=""))</f>
        <v/>
      </c>
      <c r="CM440" s="100" t="str">
        <f aca="false">IF(ISBLANK($C440),"",AND($AJ440,$AZ440=""))</f>
        <v/>
      </c>
      <c r="CN440" s="100" t="str">
        <f aca="false">IF(ISBLANK($C440),"",AND($AJ440,$BC440=""))</f>
        <v/>
      </c>
      <c r="CO440" s="100" t="str">
        <f aca="false">IF(ISBLANK($C440),"",AND($AJ440,$BF440=""))</f>
        <v/>
      </c>
      <c r="CP440" s="101"/>
      <c r="CQ440" s="102"/>
      <c r="CR440" s="103" t="str">
        <f aca="false">IF(ISBLANK($C440),"",IF($BH440=Constants!$B$8,$CI440,""))</f>
        <v/>
      </c>
      <c r="CS440" s="102" t="str">
        <f aca="false">IF(ISBLANK($C440),"",IF($BH440&lt;&gt;Constants!$B$4,"",$BK440+$BL440))</f>
        <v/>
      </c>
      <c r="CT440" s="104" t="str">
        <f aca="false">IF(ISBLANK($C440),"",IF($BH440&lt;&gt;Constants!$B$4,"",$BM440+$BN440+$BO440))</f>
        <v/>
      </c>
      <c r="CU440" s="104" t="str">
        <f aca="false">IF(ISBLANK($C440),"",IF($BH440&lt;&gt;Constants!$B$4,"",$BP440))</f>
        <v/>
      </c>
      <c r="CV440" s="104" t="str">
        <f aca="false">IF(ISBLANK($C440),"",IF($BH440&lt;&gt;Constants!$B$4,"",$BQ440+$BR440))</f>
        <v/>
      </c>
      <c r="CW440" s="104" t="str">
        <f aca="false">IF(ISBLANK($C440),"",IF($BH440&lt;&gt;Constants!$B$4,"",$BS440))</f>
        <v/>
      </c>
      <c r="CX440" s="104" t="str">
        <f aca="false">IF(ISBLANK($C440),"",IF($BH440&lt;&gt;Constants!$B$4,"",-$BZ440))</f>
        <v/>
      </c>
      <c r="CY440" s="103" t="str">
        <f aca="false">IF(ISBLANK($C440),"",$CA440)</f>
        <v/>
      </c>
      <c r="CZ440" s="105" t="str">
        <f aca="false">IF(ISBLANK($C440),"",$BI440)</f>
        <v/>
      </c>
      <c r="DA440" s="104" t="str">
        <f aca="false">IF(ISBLANK($C440),"",$CH440)</f>
        <v/>
      </c>
      <c r="DB440" s="104" t="str">
        <f aca="false">IF(ISBLANK($C440),"",$CG440)</f>
        <v/>
      </c>
      <c r="DC440" s="106" t="str">
        <f aca="false">IF(ISBLANK($C440),"",IFERROR(_xlfn.SWITCH($DB440,Constants!$B$7,COUNTA($C$9:$C$508)+2,Constants!$B$6,COUNTA($C$9:$C$508)+1,Constants!$B$5,COUNTA($C$9:$C$508)),$DB440))</f>
        <v/>
      </c>
      <c r="DD440" s="7"/>
      <c r="DE440" s="107" t="n">
        <f aca="false">IF(OR(ISNUMBER($DB440),$DB440=Constants!$B$7,$DB440=Constants!$B$5,$DB440=Constants!$B$6),1,0)</f>
        <v>0</v>
      </c>
      <c r="DF440" s="107" t="n">
        <v>432</v>
      </c>
      <c r="DG440" s="107" t="str">
        <f aca="false">IF(ISBLANK($C440),"",IF(ISNUMBER($DC440),$DC440+ROW($B440)/1000,""))</f>
        <v/>
      </c>
      <c r="DH440" s="107" t="str">
        <f aca="false">IF(ISNUMBER($DG440),RANK($DG440,$DG$9:$DG$508,1),"")</f>
        <v/>
      </c>
      <c r="DI440" s="107" t="str">
        <f aca="false">IF(ISBLANK($C440),"",$B440)</f>
        <v/>
      </c>
      <c r="DJ440" s="107" t="str">
        <f aca="false">IF(ISBLANK($C440),"",$C440)</f>
        <v/>
      </c>
      <c r="DK440" s="107" t="str">
        <f aca="false">IF(ISBLANK($C440),"",$D440)</f>
        <v/>
      </c>
      <c r="DL440" s="108" t="str">
        <f aca="false">$CZ440</f>
        <v/>
      </c>
      <c r="DM440" s="109" t="str">
        <f aca="false">$CY440</f>
        <v/>
      </c>
      <c r="DN440" s="107" t="str">
        <f aca="false">IF(ISBLANK($C440),"",$DB440)</f>
        <v/>
      </c>
      <c r="DO440" s="110" t="str">
        <f aca="false">IF($DF440&gt;$DE$8,"",VLOOKUP($DF440,$DH$9:$DN$508,7,FALSE()))</f>
        <v/>
      </c>
      <c r="DP440" s="111" t="str">
        <f aca="false">IF($DF440&gt;$DE$8,"",VLOOKUP($DF440,$DH$9:$DN$508,2,FALSE()))</f>
        <v/>
      </c>
      <c r="DQ440" s="111" t="str">
        <f aca="false">IF($DF440&gt;$DE$8,"",VLOOKUP($DF440,$DH$9:$DN$508,3,FALSE()))</f>
        <v/>
      </c>
      <c r="DR440" s="111" t="str">
        <f aca="false">IF($DF440&gt;$DE$8,"",VLOOKUP($DF440,$DH$9:$DN$508,4,FALSE()))</f>
        <v/>
      </c>
      <c r="DS440" s="111" t="str">
        <f aca="false">IF($DF440&gt;$DE$8,"",VLOOKUP($DF440,$DH$9:$DN$508,5,FALSE()))</f>
        <v/>
      </c>
      <c r="DT440" s="112" t="str">
        <f aca="false">IF($DF440&gt;$DE$8,"",VLOOKUP($DF440,$DH$9:$DN$508,6,FALSE()))</f>
        <v/>
      </c>
      <c r="DU440" s="62"/>
    </row>
    <row r="441" customFormat="false" ht="15.75" hidden="false" customHeight="false" outlineLevel="0" collapsed="false">
      <c r="A441" s="7"/>
      <c r="B441" s="64"/>
      <c r="C441" s="65"/>
      <c r="D441" s="123"/>
      <c r="E441" s="88"/>
      <c r="F441" s="134"/>
      <c r="G441" s="88"/>
      <c r="H441" s="134"/>
      <c r="I441" s="119"/>
      <c r="J441" s="119"/>
      <c r="K441" s="119"/>
      <c r="L441" s="88"/>
      <c r="M441" s="88"/>
      <c r="N441" s="88"/>
      <c r="O441" s="134"/>
      <c r="P441" s="88"/>
      <c r="Q441" s="88"/>
      <c r="R441" s="88"/>
      <c r="S441" s="88"/>
      <c r="T441" s="134"/>
      <c r="U441" s="88"/>
      <c r="V441" s="70"/>
      <c r="W441" s="88"/>
      <c r="X441" s="88"/>
      <c r="Y441" s="70"/>
      <c r="Z441" s="70"/>
      <c r="AA441" s="88"/>
      <c r="AB441" s="88"/>
      <c r="AC441" s="71"/>
      <c r="AD441" s="88"/>
      <c r="AE441" s="73"/>
      <c r="AF441" s="74"/>
      <c r="AG441" s="74"/>
      <c r="AH441" s="74" t="str">
        <f aca="false">IF(ISBLANK($C441),"",IF($E441=Constants!$B$2,TRUE(),IF($E441=Constants!$B$3,FALSE(),TRUE())))</f>
        <v/>
      </c>
      <c r="AI441" s="74" t="str">
        <f aca="false">IF(ISBLANK($C441),"",IF($F441=Constants!$B$2,TRUE(),IF($F441=Constants!$B$3,FALSE(),FALSE())))</f>
        <v/>
      </c>
      <c r="AJ441" s="74" t="str">
        <f aca="false">IF(ISBLANK($C441),"",IF($G441=Constants!$B$2,TRUE(),IF($G441=Constants!$B$3,FALSE(),TRUE())))</f>
        <v/>
      </c>
      <c r="AK441" s="74" t="str">
        <f aca="false">IF(ISBLANK($C441),"",IF($H441=Constants!$B$2,TRUE(),IF($H441=Constants!$B$3,FALSE(),TRUE())))</f>
        <v/>
      </c>
      <c r="AL441" s="74" t="str">
        <f aca="false">IF(ISBLANK($C441),"",IF(ISNUMBER($I441),IF($I441&gt;=0,$I441,""),""))</f>
        <v/>
      </c>
      <c r="AM441" s="74" t="str">
        <f aca="false">IF(ISBLANK($C441),"",IF(ISNUMBER($J441),IF($J441&gt;=0,$J441,""),""))</f>
        <v/>
      </c>
      <c r="AN441" s="74" t="str">
        <f aca="false">IF(ISBLANK($C441),"",IF(ISNUMBER($K441),IF($K441&gt;=0,$K441,""),""))</f>
        <v/>
      </c>
      <c r="AO441" s="74" t="str">
        <f aca="false">IF(ISBLANK($C441),"",IF($L441=Constants!$B$2,TRUE(),IF($L441=Constants!$B$3,FALSE(),TRUE())))</f>
        <v/>
      </c>
      <c r="AP441" s="74" t="str">
        <f aca="false">IF(ISBLANK($C441),"",IF($M441=Constants!$B$2,TRUE(),IF($M441=Constants!$B$3,FALSE(),TRUE())))</f>
        <v/>
      </c>
      <c r="AQ441" s="74" t="str">
        <f aca="false">IF(ISBLANK($C441),"",IF($N441=Constants!$B$2,TRUE(),IF($N441=Constants!$B$3,FALSE(),FALSE())))</f>
        <v/>
      </c>
      <c r="AR441" s="74" t="str">
        <f aca="false">IF(ISBLANK($C441),"",IF($O441=Constants!$B$2,TRUE(),IF($O441=Constants!$B$3,FALSE(),TRUE())))</f>
        <v/>
      </c>
      <c r="AS441" s="74" t="str">
        <f aca="false">IF(ISBLANK($C441),"",IF($P441=Constants!$B$2,TRUE(),IF($P441=Constants!$B$3,FALSE(),FALSE())))</f>
        <v/>
      </c>
      <c r="AT441" s="74" t="str">
        <f aca="false">IF(ISBLANK($C441),"",IF($Q441=Constants!$B$2,TRUE(),IF($Q441=Constants!$B$3,FALSE(),FALSE())))</f>
        <v/>
      </c>
      <c r="AU441" s="74" t="str">
        <f aca="false">IF(ISBLANK($C441),"",IF($R441=Constants!$B$2,TRUE(),IF($R441=Constants!$B$3,FALSE(),FALSE())))</f>
        <v/>
      </c>
      <c r="AV441" s="74" t="str">
        <f aca="false">IF(ISBLANK($C441),"",IF($S441=Constants!$B$2,TRUE(),IF($S441=Constants!$B$3,FALSE(),FALSE())))</f>
        <v/>
      </c>
      <c r="AW441" s="74" t="str">
        <f aca="false">IF(ISBLANK($C441),"",IF($T441=Constants!$B$2,TRUE(),IF($T441=Constants!$B$3,FALSE(),FALSE())))</f>
        <v/>
      </c>
      <c r="AX441" s="74" t="str">
        <f aca="false">IF(ISBLANK($C441),"",IF(OR($U441&amp;""="1",$U441&amp;""="2",$U441&amp;""="3",$U441&amp;""="4"),VALUE($U441&amp;""),IF($U441=Constants!$B$12,Constants!$B$12,"")))</f>
        <v/>
      </c>
      <c r="AY441" s="74" t="str">
        <f aca="false">IF(ISBLANK($C441),"",IF(ISBLANK($V441),0,IF(ISNUMBER($V441),IF(AND($V441&gt;=0,$V441&lt;=Constants!$B$21,$V441=INT($V441)),$V441,""),"")))</f>
        <v/>
      </c>
      <c r="AZ441" s="74" t="str">
        <f aca="false">IF(ISBLANK($C441),"",IF(ISBLANK($W441),0,IF(ISNUMBER($W441),IF($W441&gt;=0,$W441,""),"")))</f>
        <v/>
      </c>
      <c r="BA441" s="74" t="str">
        <f aca="false">IF(ISBLANK($C441),"",IF($X441=Constants!$B$2,TRUE(),IF($X441=Constants!$B$3,FALSE(),TRUE())))</f>
        <v/>
      </c>
      <c r="BB441" s="74" t="str">
        <f aca="false">IF(ISBLANK($C441),"",IF($Y441=Constants!$B$2,TRUE(),IF($Y441=Constants!$B$3,FALSE(),FALSE())))</f>
        <v/>
      </c>
      <c r="BC441" s="74" t="str">
        <f aca="false">IF(ISBLANK($C441),"",IF(ISBLANK($Z441),0,IF(ISNUMBER($Z441),IF(AND($Z441&gt;=0,$Z441&lt;=Constants!$B$35,$Z441=INT($Z441)),$Z441,""),"")))</f>
        <v/>
      </c>
      <c r="BD441" s="74" t="str">
        <f aca="false">IF(ISBLANK($C441),"",IF($AA441=Constants!$B$2,TRUE(),IF($AA441=Constants!$B$3,FALSE(),TRUE())))</f>
        <v/>
      </c>
      <c r="BE441" s="74" t="str">
        <f aca="false">IF(ISBLANK($C441),"",IF($AB441=Constants!$B$2,TRUE(),IF($AB441=Constants!$B$3,FALSE(),TRUE())))</f>
        <v/>
      </c>
      <c r="BF441" s="74" t="str">
        <f aca="false">IF(ISBLANK($C441),"",IF(ISNUMBER($AC441),IF($AC441&gt;=0,$AC441,""),""))</f>
        <v/>
      </c>
      <c r="BG441" s="74" t="str">
        <f aca="false">IF(ISBLANK($C441),"",IF($AD441=Constants!$B$2,TRUE(),IF($AD441=Constants!$B$3,FALSE(),FALSE())))</f>
        <v/>
      </c>
      <c r="BH441" s="73" t="str">
        <f aca="false">IF(ISBLANK($C441),"",IF($BG441,Constants!$B$7,IF(COUNTA($E441:$AC441)=0,Constants!$B$6,IF(OR(COUNTA($G441:$AC441)=0,NOT($AK441),$AQ441),Constants!$B$5,IF(OR($CI441&lt;&gt;"",$CJ441,$CK441,$CL441,$CM441,$CN441,$CO441),Constants!$B$8,Constants!$B$4)))))</f>
        <v/>
      </c>
      <c r="BI441" s="74" t="str">
        <f aca="false">IF(ISBLANK($C441),"",IF($BH441&lt;&gt;Constants!$B$4,$BH441,IF(OR(NOT($AH441),NOT($AJ441),NOT($AR441)),Constants!$B$11,IF(OR(NOT($AP441),MAX($AL441,$AM441,$AN441)&gt;Constants!$B$30),Constants!$B$10,Constants!$B$9))))</f>
        <v/>
      </c>
      <c r="BJ441" s="74" t="str">
        <f aca="false">IF($BH441&lt;&gt;Constants!$B$4,"",IF(NOT($AJ441),0,MIN(Constants!$B$35,$BC441)))</f>
        <v/>
      </c>
      <c r="BK441" s="74" t="str">
        <f aca="false">IF($BH441&lt;&gt;Constants!$B$4,"",IF(NOT($AJ441),0,IF($AT441,Constants!$B$18,IF($AS441,Constants!$B$17,0))))</f>
        <v/>
      </c>
      <c r="BL441" s="74" t="str">
        <f aca="false">IF($BH441&lt;&gt;Constants!$B$4,"",IF(NOT($AJ441),0,Constants!$B$19*($AI441+$AU441+$AV441+$AW441)))</f>
        <v/>
      </c>
      <c r="BM441" s="74" t="str">
        <f aca="false">IF($BH441&lt;&gt;Constants!$B$4,"",IF(OR(NOT($AJ441),NOT(ISNUMBER($AX441))),0,CHOOSE($AX441,Constants!$B$13,Constants!$B$14,Constants!$B$15,Constants!$B$16)))</f>
        <v/>
      </c>
      <c r="BN441" s="74" t="str">
        <f aca="false">IF($BH441&lt;&gt;Constants!$B$4,"",IF(NOT($AJ441),0,Constants!$B$20*$AY441))</f>
        <v/>
      </c>
      <c r="BO441" s="74" t="str">
        <f aca="false">IF($BH441&lt;&gt;Constants!$B$4,"",IF(AND($AJ441,$BA441,$BB441),Constants!$B$22,0))</f>
        <v/>
      </c>
      <c r="BP441" s="74" t="str">
        <f aca="false">IF($BH441&lt;&gt;Constants!$B$4,"",IF(OR(NOT($AJ441),NOT($BA441)),0,IF($BF441&gt;=2*$AF$9,0,Constants!$B$23*INT(ROUND(MIN($BF441,$AF$9),6)))))</f>
        <v/>
      </c>
      <c r="BQ441" s="74" t="str">
        <f aca="false">IF($BH441&lt;&gt;Constants!$B$4,"",IF(NOT($AJ441),0,Constants!$B$24*INT(ROUND(MIN($AZ441,$AF$9),6))))</f>
        <v/>
      </c>
      <c r="BR441" s="74" t="str">
        <f aca="false">IF($BH441&lt;&gt;Constants!$B$4,"",IF(AND($AJ441,$BJ441=0),Constants!$B$25,0))</f>
        <v/>
      </c>
      <c r="BS441" s="74" t="str">
        <f aca="false">IF($BH441&lt;&gt;Constants!$B$4,"",MIN(Constants!$B$29,MAX(0,Constants!$B$27*Constants!$B$28*INT(ROUND((Constants!$B$26-$AL441)/Constants!$B$28,6))))+MIN(Constants!$B$29,MAX(0,Constants!$B$27*Constants!$B$28*INT(ROUND((Constants!$B$26-$AM441)/Constants!$B$28,6))))+MIN(Constants!$B$29,MAX(0,Constants!$B$27*Constants!$B$28*INT(ROUND((Constants!$B$26-$AN441)/Constants!$B$28,6)))))</f>
        <v/>
      </c>
      <c r="BT441" s="74" t="str">
        <f aca="false">IF($BH441&lt;&gt;Constants!$B$4,"",IF(NOT($AJ441),0,Constants!$B$31*INT(ROUND(MAX(0,MIN($BF441,2*$AF$9)-$AF$9),6))))</f>
        <v/>
      </c>
      <c r="BU441" s="74" t="str">
        <f aca="false">IF($BH441&lt;&gt;Constants!$B$4,"",Constants!$B$32*(($AL441&gt;Constants!$B$26)+($AM441&gt;Constants!$B$26)+($AN441&gt;Constants!$B$26)))</f>
        <v/>
      </c>
      <c r="BV441" s="74" t="str">
        <f aca="false">IF($BH441&lt;&gt;Constants!$B$4,"",IF(OR(NOT($AJ441),$AO441),0,Constants!$B$33))</f>
        <v/>
      </c>
      <c r="BW441" s="74" t="str">
        <f aca="false">IF($BH441&lt;&gt;Constants!$B$4,"",Constants!$B$34*$BJ441)</f>
        <v/>
      </c>
      <c r="BX441" s="74" t="str">
        <f aca="false">IF($BH441&lt;&gt;Constants!$B$4,"",IF(OR(NOT($AJ441),$BE441),0,Constants!$B$36))</f>
        <v/>
      </c>
      <c r="BY441" s="74" t="str">
        <f aca="false">IF($BH441&lt;&gt;Constants!$B$4,"",IF(OR(NOT($AJ441),$BD441),0,Constants!$B$37))</f>
        <v/>
      </c>
      <c r="BZ441" s="74" t="str">
        <f aca="false">IF($BH441&lt;&gt;Constants!$B$4,"",SUM($BT441:$BY441))</f>
        <v/>
      </c>
      <c r="CA441" s="74" t="str">
        <f aca="false">IF(ISBLANK($C441),"",IF($BH441&lt;&gt;Constants!$B$4,$BH441,SUM($BK441:$BS441)-$BZ441))</f>
        <v/>
      </c>
      <c r="CB441" s="74" t="str">
        <f aca="false">IF(ISBLANK($C441),"",IF($BH441&lt;&gt;Constants!$B$4,$BH441,RANK($CA441,$CA$9:$CA$508)))</f>
        <v/>
      </c>
      <c r="CC441" s="74" t="str">
        <f aca="false">IF(ISBLANK($C441),"",IF($BH441&lt;&gt;Constants!$B$4,$BH441,COUNTIFS($BI$9:$BI$508,"&lt;"&amp;$BI441)+COUNTIFS($BI$9:$BI$508,$BI441,$CB$9:$CB$508,"&lt;"&amp;$CB441)+1))</f>
        <v/>
      </c>
      <c r="CD441" s="74" t="str">
        <f aca="false">IF(ISBLANK($C441),"",IF($BH441&lt;&gt;Constants!$B$4,$BH441,RANK($BZ441,$BZ$9:$BZ$508,1)))</f>
        <v/>
      </c>
      <c r="CE441" s="74" t="str">
        <f aca="false">IF($BH441&lt;&gt;Constants!$B$4,"",$AL441+$AM441+$AN441)</f>
        <v/>
      </c>
      <c r="CF441" s="74" t="str">
        <f aca="false">IF(ISBLANK($C441),"",IF($BH441&lt;&gt;Constants!$B$4,$BH441,RANK($CE441,$CE$9:$CE$508,1)))</f>
        <v/>
      </c>
      <c r="CG441" s="74" t="str">
        <f aca="false">IF(ISBLANK($C441),"",IF($BH441&lt;&gt;Constants!$B$4,$BH441,COUNTIFS($BI$9:$BI$508,"&lt;"&amp;$BI441)+COUNTIFS($BI$9:$BI$508,$BI441,$CB$9:$CB$508,"&lt;"&amp;$CB441)+COUNTIFS($BI$9:$BI$508,$BI441,$CB$9:$CB$508,$CB441,$CD$9:$CD$508,"&lt;"&amp;$CD441)+COUNTIFS($BI$9:$BI$508,$BI441,$CB$9:$CB$508,$CB441,$CD$9:$CD$508,$CD441,$CF$9:$CF$508,"&lt;"&amp;$CF441)+1))</f>
        <v/>
      </c>
      <c r="CH441" s="74" t="str">
        <f aca="false">IF(ISBLANK($C441),"",IF($BH441&lt;&gt;Constants!$B$4,$BH441,$CC441-$CG441))</f>
        <v/>
      </c>
      <c r="CI441" s="74" t="str">
        <f aca="false">IF(ISBLANK($C441),"",IF(NOT($AJ441),"",IF(ISBLANK($D$7),$CI$5,IF(NOT(ISNUMBER($D$7)),$CI$6,""))))</f>
        <v/>
      </c>
      <c r="CJ441" s="74" t="str">
        <f aca="false">IF(ISBLANK($C441),"",OR($AL441="",$AM441="",$AN441=""))</f>
        <v/>
      </c>
      <c r="CK441" s="74" t="str">
        <f aca="false">IF(ISBLANK($C441),"",AND($AJ441,$AX441=""))</f>
        <v/>
      </c>
      <c r="CL441" s="74" t="str">
        <f aca="false">IF(ISBLANK($C441),"",AND($AJ441,$AY441=""))</f>
        <v/>
      </c>
      <c r="CM441" s="74" t="str">
        <f aca="false">IF(ISBLANK($C441),"",AND($AJ441,$AZ441=""))</f>
        <v/>
      </c>
      <c r="CN441" s="74" t="str">
        <f aca="false">IF(ISBLANK($C441),"",AND($AJ441,$BC441=""))</f>
        <v/>
      </c>
      <c r="CO441" s="74" t="str">
        <f aca="false">IF(ISBLANK($C441),"",AND($AJ441,$BF441=""))</f>
        <v/>
      </c>
      <c r="CP441" s="75"/>
      <c r="CQ441" s="76"/>
      <c r="CR441" s="79" t="str">
        <f aca="false">IF(ISBLANK($C441),"",IF($BH441=Constants!$B$8,$CI441,""))</f>
        <v/>
      </c>
      <c r="CS441" s="76" t="str">
        <f aca="false">IF(ISBLANK($C441),"",IF($BH441&lt;&gt;Constants!$B$4,"",$BK441+$BL441))</f>
        <v/>
      </c>
      <c r="CT441" s="78" t="str">
        <f aca="false">IF(ISBLANK($C441),"",IF($BH441&lt;&gt;Constants!$B$4,"",$BM441+$BN441+$BO441))</f>
        <v/>
      </c>
      <c r="CU441" s="78" t="str">
        <f aca="false">IF(ISBLANK($C441),"",IF($BH441&lt;&gt;Constants!$B$4,"",$BP441))</f>
        <v/>
      </c>
      <c r="CV441" s="78" t="str">
        <f aca="false">IF(ISBLANK($C441),"",IF($BH441&lt;&gt;Constants!$B$4,"",$BQ441+$BR441))</f>
        <v/>
      </c>
      <c r="CW441" s="78" t="str">
        <f aca="false">IF(ISBLANK($C441),"",IF($BH441&lt;&gt;Constants!$B$4,"",$BS441))</f>
        <v/>
      </c>
      <c r="CX441" s="78" t="str">
        <f aca="false">IF(ISBLANK($C441),"",IF($BH441&lt;&gt;Constants!$B$4,"",-$BZ441))</f>
        <v/>
      </c>
      <c r="CY441" s="79" t="str">
        <f aca="false">IF(ISBLANK($C441),"",$CA441)</f>
        <v/>
      </c>
      <c r="CZ441" s="80" t="str">
        <f aca="false">IF(ISBLANK($C441),"",$BI441)</f>
        <v/>
      </c>
      <c r="DA441" s="78" t="str">
        <f aca="false">IF(ISBLANK($C441),"",$CH441)</f>
        <v/>
      </c>
      <c r="DB441" s="78" t="str">
        <f aca="false">IF(ISBLANK($C441),"",$CG441)</f>
        <v/>
      </c>
      <c r="DC441" s="81" t="str">
        <f aca="false">IF(ISBLANK($C441),"",IFERROR(_xlfn.SWITCH($DB441,Constants!$B$7,COUNTA($C$9:$C$508)+2,Constants!$B$6,COUNTA($C$9:$C$508)+1,Constants!$B$5,COUNTA($C$9:$C$508)),$DB441))</f>
        <v/>
      </c>
      <c r="DD441" s="7"/>
      <c r="DE441" s="82" t="n">
        <f aca="false">IF(OR(ISNUMBER($DB441),$DB441=Constants!$B$7,$DB441=Constants!$B$5,$DB441=Constants!$B$6),1,0)</f>
        <v>0</v>
      </c>
      <c r="DF441" s="82" t="n">
        <v>433</v>
      </c>
      <c r="DG441" s="82" t="str">
        <f aca="false">IF(ISBLANK($C441),"",IF(ISNUMBER($DC441),$DC441+ROW($B441)/1000,""))</f>
        <v/>
      </c>
      <c r="DH441" s="82" t="str">
        <f aca="false">IF(ISNUMBER($DG441),RANK($DG441,$DG$9:$DG$508,1),"")</f>
        <v/>
      </c>
      <c r="DI441" s="82" t="str">
        <f aca="false">IF(ISBLANK($C441),"",$B441)</f>
        <v/>
      </c>
      <c r="DJ441" s="82" t="str">
        <f aca="false">IF(ISBLANK($C441),"",$C441)</f>
        <v/>
      </c>
      <c r="DK441" s="82" t="str">
        <f aca="false">IF(ISBLANK($C441),"",$D441)</f>
        <v/>
      </c>
      <c r="DL441" s="83" t="str">
        <f aca="false">$CZ441</f>
        <v/>
      </c>
      <c r="DM441" s="84" t="str">
        <f aca="false">$CY441</f>
        <v/>
      </c>
      <c r="DN441" s="82" t="str">
        <f aca="false">IF(ISBLANK($C441),"",$DB441)</f>
        <v/>
      </c>
      <c r="DO441" s="85" t="str">
        <f aca="false">IF($DF441&gt;$DE$8,"",VLOOKUP($DF441,$DH$9:$DN$508,7,FALSE()))</f>
        <v/>
      </c>
      <c r="DP441" s="86" t="str">
        <f aca="false">IF($DF441&gt;$DE$8,"",VLOOKUP($DF441,$DH$9:$DN$508,2,FALSE()))</f>
        <v/>
      </c>
      <c r="DQ441" s="86" t="str">
        <f aca="false">IF($DF441&gt;$DE$8,"",VLOOKUP($DF441,$DH$9:$DN$508,3,FALSE()))</f>
        <v/>
      </c>
      <c r="DR441" s="86" t="str">
        <f aca="false">IF($DF441&gt;$DE$8,"",VLOOKUP($DF441,$DH$9:$DN$508,4,FALSE()))</f>
        <v/>
      </c>
      <c r="DS441" s="86" t="str">
        <f aca="false">IF($DF441&gt;$DE$8,"",VLOOKUP($DF441,$DH$9:$DN$508,5,FALSE()))</f>
        <v/>
      </c>
      <c r="DT441" s="87" t="str">
        <f aca="false">IF($DF441&gt;$DE$8,"",VLOOKUP($DF441,$DH$9:$DN$508,6,FALSE()))</f>
        <v/>
      </c>
      <c r="DU441" s="62"/>
    </row>
    <row r="442" customFormat="false" ht="15.75" hidden="false" customHeight="false" outlineLevel="0" collapsed="false">
      <c r="A442" s="7"/>
      <c r="B442" s="64"/>
      <c r="C442" s="65"/>
      <c r="D442" s="123"/>
      <c r="E442" s="88"/>
      <c r="F442" s="134"/>
      <c r="G442" s="88"/>
      <c r="H442" s="134"/>
      <c r="I442" s="119"/>
      <c r="J442" s="119"/>
      <c r="K442" s="119"/>
      <c r="L442" s="88"/>
      <c r="M442" s="88"/>
      <c r="N442" s="88"/>
      <c r="O442" s="134"/>
      <c r="P442" s="88"/>
      <c r="Q442" s="88"/>
      <c r="R442" s="88"/>
      <c r="S442" s="88"/>
      <c r="T442" s="134"/>
      <c r="U442" s="88"/>
      <c r="V442" s="70"/>
      <c r="W442" s="88"/>
      <c r="X442" s="88"/>
      <c r="Y442" s="70"/>
      <c r="Z442" s="70"/>
      <c r="AA442" s="88"/>
      <c r="AB442" s="88"/>
      <c r="AC442" s="71"/>
      <c r="AD442" s="88"/>
      <c r="AE442" s="73"/>
      <c r="AF442" s="74"/>
      <c r="AG442" s="74"/>
      <c r="AH442" s="74" t="str">
        <f aca="false">IF(ISBLANK($C442),"",IF($E442=Constants!$B$2,TRUE(),IF($E442=Constants!$B$3,FALSE(),TRUE())))</f>
        <v/>
      </c>
      <c r="AI442" s="74" t="str">
        <f aca="false">IF(ISBLANK($C442),"",IF($F442=Constants!$B$2,TRUE(),IF($F442=Constants!$B$3,FALSE(),FALSE())))</f>
        <v/>
      </c>
      <c r="AJ442" s="74" t="str">
        <f aca="false">IF(ISBLANK($C442),"",IF($G442=Constants!$B$2,TRUE(),IF($G442=Constants!$B$3,FALSE(),TRUE())))</f>
        <v/>
      </c>
      <c r="AK442" s="74" t="str">
        <f aca="false">IF(ISBLANK($C442),"",IF($H442=Constants!$B$2,TRUE(),IF($H442=Constants!$B$3,FALSE(),TRUE())))</f>
        <v/>
      </c>
      <c r="AL442" s="74" t="str">
        <f aca="false">IF(ISBLANK($C442),"",IF(ISNUMBER($I442),IF($I442&gt;=0,$I442,""),""))</f>
        <v/>
      </c>
      <c r="AM442" s="74" t="str">
        <f aca="false">IF(ISBLANK($C442),"",IF(ISNUMBER($J442),IF($J442&gt;=0,$J442,""),""))</f>
        <v/>
      </c>
      <c r="AN442" s="74" t="str">
        <f aca="false">IF(ISBLANK($C442),"",IF(ISNUMBER($K442),IF($K442&gt;=0,$K442,""),""))</f>
        <v/>
      </c>
      <c r="AO442" s="74" t="str">
        <f aca="false">IF(ISBLANK($C442),"",IF($L442=Constants!$B$2,TRUE(),IF($L442=Constants!$B$3,FALSE(),TRUE())))</f>
        <v/>
      </c>
      <c r="AP442" s="74" t="str">
        <f aca="false">IF(ISBLANK($C442),"",IF($M442=Constants!$B$2,TRUE(),IF($M442=Constants!$B$3,FALSE(),TRUE())))</f>
        <v/>
      </c>
      <c r="AQ442" s="74" t="str">
        <f aca="false">IF(ISBLANK($C442),"",IF($N442=Constants!$B$2,TRUE(),IF($N442=Constants!$B$3,FALSE(),FALSE())))</f>
        <v/>
      </c>
      <c r="AR442" s="74" t="str">
        <f aca="false">IF(ISBLANK($C442),"",IF($O442=Constants!$B$2,TRUE(),IF($O442=Constants!$B$3,FALSE(),TRUE())))</f>
        <v/>
      </c>
      <c r="AS442" s="74" t="str">
        <f aca="false">IF(ISBLANK($C442),"",IF($P442=Constants!$B$2,TRUE(),IF($P442=Constants!$B$3,FALSE(),FALSE())))</f>
        <v/>
      </c>
      <c r="AT442" s="74" t="str">
        <f aca="false">IF(ISBLANK($C442),"",IF($Q442=Constants!$B$2,TRUE(),IF($Q442=Constants!$B$3,FALSE(),FALSE())))</f>
        <v/>
      </c>
      <c r="AU442" s="74" t="str">
        <f aca="false">IF(ISBLANK($C442),"",IF($R442=Constants!$B$2,TRUE(),IF($R442=Constants!$B$3,FALSE(),FALSE())))</f>
        <v/>
      </c>
      <c r="AV442" s="74" t="str">
        <f aca="false">IF(ISBLANK($C442),"",IF($S442=Constants!$B$2,TRUE(),IF($S442=Constants!$B$3,FALSE(),FALSE())))</f>
        <v/>
      </c>
      <c r="AW442" s="74" t="str">
        <f aca="false">IF(ISBLANK($C442),"",IF($T442=Constants!$B$2,TRUE(),IF($T442=Constants!$B$3,FALSE(),FALSE())))</f>
        <v/>
      </c>
      <c r="AX442" s="74" t="str">
        <f aca="false">IF(ISBLANK($C442),"",IF(OR($U442&amp;""="1",$U442&amp;""="2",$U442&amp;""="3",$U442&amp;""="4"),VALUE($U442&amp;""),IF($U442=Constants!$B$12,Constants!$B$12,"")))</f>
        <v/>
      </c>
      <c r="AY442" s="74" t="str">
        <f aca="false">IF(ISBLANK($C442),"",IF(ISBLANK($V442),0,IF(ISNUMBER($V442),IF(AND($V442&gt;=0,$V442&lt;=Constants!$B$21,$V442=INT($V442)),$V442,""),"")))</f>
        <v/>
      </c>
      <c r="AZ442" s="74" t="str">
        <f aca="false">IF(ISBLANK($C442),"",IF(ISBLANK($W442),0,IF(ISNUMBER($W442),IF($W442&gt;=0,$W442,""),"")))</f>
        <v/>
      </c>
      <c r="BA442" s="74" t="str">
        <f aca="false">IF(ISBLANK($C442),"",IF($X442=Constants!$B$2,TRUE(),IF($X442=Constants!$B$3,FALSE(),TRUE())))</f>
        <v/>
      </c>
      <c r="BB442" s="74" t="str">
        <f aca="false">IF(ISBLANK($C442),"",IF($Y442=Constants!$B$2,TRUE(),IF($Y442=Constants!$B$3,FALSE(),FALSE())))</f>
        <v/>
      </c>
      <c r="BC442" s="74" t="str">
        <f aca="false">IF(ISBLANK($C442),"",IF(ISBLANK($Z442),0,IF(ISNUMBER($Z442),IF(AND($Z442&gt;=0,$Z442&lt;=Constants!$B$35,$Z442=INT($Z442)),$Z442,""),"")))</f>
        <v/>
      </c>
      <c r="BD442" s="74" t="str">
        <f aca="false">IF(ISBLANK($C442),"",IF($AA442=Constants!$B$2,TRUE(),IF($AA442=Constants!$B$3,FALSE(),TRUE())))</f>
        <v/>
      </c>
      <c r="BE442" s="74" t="str">
        <f aca="false">IF(ISBLANK($C442),"",IF($AB442=Constants!$B$2,TRUE(),IF($AB442=Constants!$B$3,FALSE(),TRUE())))</f>
        <v/>
      </c>
      <c r="BF442" s="74" t="str">
        <f aca="false">IF(ISBLANK($C442),"",IF(ISNUMBER($AC442),IF($AC442&gt;=0,$AC442,""),""))</f>
        <v/>
      </c>
      <c r="BG442" s="74" t="str">
        <f aca="false">IF(ISBLANK($C442),"",IF($AD442=Constants!$B$2,TRUE(),IF($AD442=Constants!$B$3,FALSE(),FALSE())))</f>
        <v/>
      </c>
      <c r="BH442" s="73" t="str">
        <f aca="false">IF(ISBLANK($C442),"",IF($BG442,Constants!$B$7,IF(COUNTA($E442:$AC442)=0,Constants!$B$6,IF(OR(COUNTA($G442:$AC442)=0,NOT($AK442),$AQ442),Constants!$B$5,IF(OR($CI442&lt;&gt;"",$CJ442,$CK442,$CL442,$CM442,$CN442,$CO442),Constants!$B$8,Constants!$B$4)))))</f>
        <v/>
      </c>
      <c r="BI442" s="74" t="str">
        <f aca="false">IF(ISBLANK($C442),"",IF($BH442&lt;&gt;Constants!$B$4,$BH442,IF(OR(NOT($AH442),NOT($AJ442),NOT($AR442)),Constants!$B$11,IF(OR(NOT($AP442),MAX($AL442,$AM442,$AN442)&gt;Constants!$B$30),Constants!$B$10,Constants!$B$9))))</f>
        <v/>
      </c>
      <c r="BJ442" s="74" t="str">
        <f aca="false">IF($BH442&lt;&gt;Constants!$B$4,"",IF(NOT($AJ442),0,MIN(Constants!$B$35,$BC442)))</f>
        <v/>
      </c>
      <c r="BK442" s="74" t="str">
        <f aca="false">IF($BH442&lt;&gt;Constants!$B$4,"",IF(NOT($AJ442),0,IF($AT442,Constants!$B$18,IF($AS442,Constants!$B$17,0))))</f>
        <v/>
      </c>
      <c r="BL442" s="74" t="str">
        <f aca="false">IF($BH442&lt;&gt;Constants!$B$4,"",IF(NOT($AJ442),0,Constants!$B$19*($AI442+$AU442+$AV442+$AW442)))</f>
        <v/>
      </c>
      <c r="BM442" s="74" t="str">
        <f aca="false">IF($BH442&lt;&gt;Constants!$B$4,"",IF(OR(NOT($AJ442),NOT(ISNUMBER($AX442))),0,CHOOSE($AX442,Constants!$B$13,Constants!$B$14,Constants!$B$15,Constants!$B$16)))</f>
        <v/>
      </c>
      <c r="BN442" s="74" t="str">
        <f aca="false">IF($BH442&lt;&gt;Constants!$B$4,"",IF(NOT($AJ442),0,Constants!$B$20*$AY442))</f>
        <v/>
      </c>
      <c r="BO442" s="74" t="str">
        <f aca="false">IF($BH442&lt;&gt;Constants!$B$4,"",IF(AND($AJ442,$BA442,$BB442),Constants!$B$22,0))</f>
        <v/>
      </c>
      <c r="BP442" s="74" t="str">
        <f aca="false">IF($BH442&lt;&gt;Constants!$B$4,"",IF(OR(NOT($AJ442),NOT($BA442)),0,IF($BF442&gt;=2*$AF$9,0,Constants!$B$23*INT(ROUND(MIN($BF442,$AF$9),6)))))</f>
        <v/>
      </c>
      <c r="BQ442" s="74" t="str">
        <f aca="false">IF($BH442&lt;&gt;Constants!$B$4,"",IF(NOT($AJ442),0,Constants!$B$24*INT(ROUND(MIN($AZ442,$AF$9),6))))</f>
        <v/>
      </c>
      <c r="BR442" s="74" t="str">
        <f aca="false">IF($BH442&lt;&gt;Constants!$B$4,"",IF(AND($AJ442,$BJ442=0),Constants!$B$25,0))</f>
        <v/>
      </c>
      <c r="BS442" s="74" t="str">
        <f aca="false">IF($BH442&lt;&gt;Constants!$B$4,"",MIN(Constants!$B$29,MAX(0,Constants!$B$27*Constants!$B$28*INT(ROUND((Constants!$B$26-$AL442)/Constants!$B$28,6))))+MIN(Constants!$B$29,MAX(0,Constants!$B$27*Constants!$B$28*INT(ROUND((Constants!$B$26-$AM442)/Constants!$B$28,6))))+MIN(Constants!$B$29,MAX(0,Constants!$B$27*Constants!$B$28*INT(ROUND((Constants!$B$26-$AN442)/Constants!$B$28,6)))))</f>
        <v/>
      </c>
      <c r="BT442" s="74" t="str">
        <f aca="false">IF($BH442&lt;&gt;Constants!$B$4,"",IF(NOT($AJ442),0,Constants!$B$31*INT(ROUND(MAX(0,MIN($BF442,2*$AF$9)-$AF$9),6))))</f>
        <v/>
      </c>
      <c r="BU442" s="74" t="str">
        <f aca="false">IF($BH442&lt;&gt;Constants!$B$4,"",Constants!$B$32*(($AL442&gt;Constants!$B$26)+($AM442&gt;Constants!$B$26)+($AN442&gt;Constants!$B$26)))</f>
        <v/>
      </c>
      <c r="BV442" s="74" t="str">
        <f aca="false">IF($BH442&lt;&gt;Constants!$B$4,"",IF(OR(NOT($AJ442),$AO442),0,Constants!$B$33))</f>
        <v/>
      </c>
      <c r="BW442" s="74" t="str">
        <f aca="false">IF($BH442&lt;&gt;Constants!$B$4,"",Constants!$B$34*$BJ442)</f>
        <v/>
      </c>
      <c r="BX442" s="74" t="str">
        <f aca="false">IF($BH442&lt;&gt;Constants!$B$4,"",IF(OR(NOT($AJ442),$BE442),0,Constants!$B$36))</f>
        <v/>
      </c>
      <c r="BY442" s="74" t="str">
        <f aca="false">IF($BH442&lt;&gt;Constants!$B$4,"",IF(OR(NOT($AJ442),$BD442),0,Constants!$B$37))</f>
        <v/>
      </c>
      <c r="BZ442" s="74" t="str">
        <f aca="false">IF($BH442&lt;&gt;Constants!$B$4,"",SUM($BT442:$BY442))</f>
        <v/>
      </c>
      <c r="CA442" s="74" t="str">
        <f aca="false">IF(ISBLANK($C442),"",IF($BH442&lt;&gt;Constants!$B$4,$BH442,SUM($BK442:$BS442)-$BZ442))</f>
        <v/>
      </c>
      <c r="CB442" s="74" t="str">
        <f aca="false">IF(ISBLANK($C442),"",IF($BH442&lt;&gt;Constants!$B$4,$BH442,RANK($CA442,$CA$9:$CA$508)))</f>
        <v/>
      </c>
      <c r="CC442" s="74" t="str">
        <f aca="false">IF(ISBLANK($C442),"",IF($BH442&lt;&gt;Constants!$B$4,$BH442,COUNTIFS($BI$9:$BI$508,"&lt;"&amp;$BI442)+COUNTIFS($BI$9:$BI$508,$BI442,$CB$9:$CB$508,"&lt;"&amp;$CB442)+1))</f>
        <v/>
      </c>
      <c r="CD442" s="74" t="str">
        <f aca="false">IF(ISBLANK($C442),"",IF($BH442&lt;&gt;Constants!$B$4,$BH442,RANK($BZ442,$BZ$9:$BZ$508,1)))</f>
        <v/>
      </c>
      <c r="CE442" s="74" t="str">
        <f aca="false">IF($BH442&lt;&gt;Constants!$B$4,"",$AL442+$AM442+$AN442)</f>
        <v/>
      </c>
      <c r="CF442" s="74" t="str">
        <f aca="false">IF(ISBLANK($C442),"",IF($BH442&lt;&gt;Constants!$B$4,$BH442,RANK($CE442,$CE$9:$CE$508,1)))</f>
        <v/>
      </c>
      <c r="CG442" s="74" t="str">
        <f aca="false">IF(ISBLANK($C442),"",IF($BH442&lt;&gt;Constants!$B$4,$BH442,COUNTIFS($BI$9:$BI$508,"&lt;"&amp;$BI442)+COUNTIFS($BI$9:$BI$508,$BI442,$CB$9:$CB$508,"&lt;"&amp;$CB442)+COUNTIFS($BI$9:$BI$508,$BI442,$CB$9:$CB$508,$CB442,$CD$9:$CD$508,"&lt;"&amp;$CD442)+COUNTIFS($BI$9:$BI$508,$BI442,$CB$9:$CB$508,$CB442,$CD$9:$CD$508,$CD442,$CF$9:$CF$508,"&lt;"&amp;$CF442)+1))</f>
        <v/>
      </c>
      <c r="CH442" s="74" t="str">
        <f aca="false">IF(ISBLANK($C442),"",IF($BH442&lt;&gt;Constants!$B$4,$BH442,$CC442-$CG442))</f>
        <v/>
      </c>
      <c r="CI442" s="74" t="str">
        <f aca="false">IF(ISBLANK($C442),"",IF(NOT($AJ442),"",IF(ISBLANK($D$7),$CI$5,IF(NOT(ISNUMBER($D$7)),$CI$6,""))))</f>
        <v/>
      </c>
      <c r="CJ442" s="74" t="str">
        <f aca="false">IF(ISBLANK($C442),"",OR($AL442="",$AM442="",$AN442=""))</f>
        <v/>
      </c>
      <c r="CK442" s="74" t="str">
        <f aca="false">IF(ISBLANK($C442),"",AND($AJ442,$AX442=""))</f>
        <v/>
      </c>
      <c r="CL442" s="74" t="str">
        <f aca="false">IF(ISBLANK($C442),"",AND($AJ442,$AY442=""))</f>
        <v/>
      </c>
      <c r="CM442" s="74" t="str">
        <f aca="false">IF(ISBLANK($C442),"",AND($AJ442,$AZ442=""))</f>
        <v/>
      </c>
      <c r="CN442" s="74" t="str">
        <f aca="false">IF(ISBLANK($C442),"",AND($AJ442,$BC442=""))</f>
        <v/>
      </c>
      <c r="CO442" s="74" t="str">
        <f aca="false">IF(ISBLANK($C442),"",AND($AJ442,$BF442=""))</f>
        <v/>
      </c>
      <c r="CP442" s="75"/>
      <c r="CQ442" s="76"/>
      <c r="CR442" s="79" t="str">
        <f aca="false">IF(ISBLANK($C442),"",IF($BH442=Constants!$B$8,$CI442,""))</f>
        <v/>
      </c>
      <c r="CS442" s="76" t="str">
        <f aca="false">IF(ISBLANK($C442),"",IF($BH442&lt;&gt;Constants!$B$4,"",$BK442+$BL442))</f>
        <v/>
      </c>
      <c r="CT442" s="78" t="str">
        <f aca="false">IF(ISBLANK($C442),"",IF($BH442&lt;&gt;Constants!$B$4,"",$BM442+$BN442+$BO442))</f>
        <v/>
      </c>
      <c r="CU442" s="78" t="str">
        <f aca="false">IF(ISBLANK($C442),"",IF($BH442&lt;&gt;Constants!$B$4,"",$BP442))</f>
        <v/>
      </c>
      <c r="CV442" s="78" t="str">
        <f aca="false">IF(ISBLANK($C442),"",IF($BH442&lt;&gt;Constants!$B$4,"",$BQ442+$BR442))</f>
        <v/>
      </c>
      <c r="CW442" s="78" t="str">
        <f aca="false">IF(ISBLANK($C442),"",IF($BH442&lt;&gt;Constants!$B$4,"",$BS442))</f>
        <v/>
      </c>
      <c r="CX442" s="78" t="str">
        <f aca="false">IF(ISBLANK($C442),"",IF($BH442&lt;&gt;Constants!$B$4,"",-$BZ442))</f>
        <v/>
      </c>
      <c r="CY442" s="79" t="str">
        <f aca="false">IF(ISBLANK($C442),"",$CA442)</f>
        <v/>
      </c>
      <c r="CZ442" s="80" t="str">
        <f aca="false">IF(ISBLANK($C442),"",$BI442)</f>
        <v/>
      </c>
      <c r="DA442" s="78" t="str">
        <f aca="false">IF(ISBLANK($C442),"",$CH442)</f>
        <v/>
      </c>
      <c r="DB442" s="78" t="str">
        <f aca="false">IF(ISBLANK($C442),"",$CG442)</f>
        <v/>
      </c>
      <c r="DC442" s="81" t="str">
        <f aca="false">IF(ISBLANK($C442),"",IFERROR(_xlfn.SWITCH($DB442,Constants!$B$7,COUNTA($C$9:$C$508)+2,Constants!$B$6,COUNTA($C$9:$C$508)+1,Constants!$B$5,COUNTA($C$9:$C$508)),$DB442))</f>
        <v/>
      </c>
      <c r="DD442" s="7"/>
      <c r="DE442" s="82" t="n">
        <f aca="false">IF(OR(ISNUMBER($DB442),$DB442=Constants!$B$7,$DB442=Constants!$B$5,$DB442=Constants!$B$6),1,0)</f>
        <v>0</v>
      </c>
      <c r="DF442" s="82" t="n">
        <v>434</v>
      </c>
      <c r="DG442" s="82" t="str">
        <f aca="false">IF(ISBLANK($C442),"",IF(ISNUMBER($DC442),$DC442+ROW($B442)/1000,""))</f>
        <v/>
      </c>
      <c r="DH442" s="82" t="str">
        <f aca="false">IF(ISNUMBER($DG442),RANK($DG442,$DG$9:$DG$508,1),"")</f>
        <v/>
      </c>
      <c r="DI442" s="82" t="str">
        <f aca="false">IF(ISBLANK($C442),"",$B442)</f>
        <v/>
      </c>
      <c r="DJ442" s="82" t="str">
        <f aca="false">IF(ISBLANK($C442),"",$C442)</f>
        <v/>
      </c>
      <c r="DK442" s="82" t="str">
        <f aca="false">IF(ISBLANK($C442),"",$D442)</f>
        <v/>
      </c>
      <c r="DL442" s="83" t="str">
        <f aca="false">$CZ442</f>
        <v/>
      </c>
      <c r="DM442" s="84" t="str">
        <f aca="false">$CY442</f>
        <v/>
      </c>
      <c r="DN442" s="82" t="str">
        <f aca="false">IF(ISBLANK($C442),"",$DB442)</f>
        <v/>
      </c>
      <c r="DO442" s="85" t="str">
        <f aca="false">IF($DF442&gt;$DE$8,"",VLOOKUP($DF442,$DH$9:$DN$508,7,FALSE()))</f>
        <v/>
      </c>
      <c r="DP442" s="86" t="str">
        <f aca="false">IF($DF442&gt;$DE$8,"",VLOOKUP($DF442,$DH$9:$DN$508,2,FALSE()))</f>
        <v/>
      </c>
      <c r="DQ442" s="86" t="str">
        <f aca="false">IF($DF442&gt;$DE$8,"",VLOOKUP($DF442,$DH$9:$DN$508,3,FALSE()))</f>
        <v/>
      </c>
      <c r="DR442" s="86" t="str">
        <f aca="false">IF($DF442&gt;$DE$8,"",VLOOKUP($DF442,$DH$9:$DN$508,4,FALSE()))</f>
        <v/>
      </c>
      <c r="DS442" s="86" t="str">
        <f aca="false">IF($DF442&gt;$DE$8,"",VLOOKUP($DF442,$DH$9:$DN$508,5,FALSE()))</f>
        <v/>
      </c>
      <c r="DT442" s="87" t="str">
        <f aca="false">IF($DF442&gt;$DE$8,"",VLOOKUP($DF442,$DH$9:$DN$508,6,FALSE()))</f>
        <v/>
      </c>
      <c r="DU442" s="62"/>
    </row>
    <row r="443" customFormat="false" ht="15.75" hidden="false" customHeight="false" outlineLevel="0" collapsed="false">
      <c r="A443" s="7"/>
      <c r="B443" s="64"/>
      <c r="C443" s="65"/>
      <c r="D443" s="123"/>
      <c r="E443" s="88"/>
      <c r="F443" s="134"/>
      <c r="G443" s="88"/>
      <c r="H443" s="134"/>
      <c r="I443" s="119"/>
      <c r="J443" s="119"/>
      <c r="K443" s="119"/>
      <c r="L443" s="88"/>
      <c r="M443" s="88"/>
      <c r="N443" s="88"/>
      <c r="O443" s="134"/>
      <c r="P443" s="88"/>
      <c r="Q443" s="88"/>
      <c r="R443" s="88"/>
      <c r="S443" s="88"/>
      <c r="T443" s="134"/>
      <c r="U443" s="88"/>
      <c r="V443" s="70"/>
      <c r="W443" s="88"/>
      <c r="X443" s="88"/>
      <c r="Y443" s="70"/>
      <c r="Z443" s="70"/>
      <c r="AA443" s="88"/>
      <c r="AB443" s="88"/>
      <c r="AC443" s="71"/>
      <c r="AD443" s="88"/>
      <c r="AE443" s="73"/>
      <c r="AF443" s="74"/>
      <c r="AG443" s="74"/>
      <c r="AH443" s="74" t="str">
        <f aca="false">IF(ISBLANK($C443),"",IF($E443=Constants!$B$2,TRUE(),IF($E443=Constants!$B$3,FALSE(),TRUE())))</f>
        <v/>
      </c>
      <c r="AI443" s="74" t="str">
        <f aca="false">IF(ISBLANK($C443),"",IF($F443=Constants!$B$2,TRUE(),IF($F443=Constants!$B$3,FALSE(),FALSE())))</f>
        <v/>
      </c>
      <c r="AJ443" s="74" t="str">
        <f aca="false">IF(ISBLANK($C443),"",IF($G443=Constants!$B$2,TRUE(),IF($G443=Constants!$B$3,FALSE(),TRUE())))</f>
        <v/>
      </c>
      <c r="AK443" s="74" t="str">
        <f aca="false">IF(ISBLANK($C443),"",IF($H443=Constants!$B$2,TRUE(),IF($H443=Constants!$B$3,FALSE(),TRUE())))</f>
        <v/>
      </c>
      <c r="AL443" s="74" t="str">
        <f aca="false">IF(ISBLANK($C443),"",IF(ISNUMBER($I443),IF($I443&gt;=0,$I443,""),""))</f>
        <v/>
      </c>
      <c r="AM443" s="74" t="str">
        <f aca="false">IF(ISBLANK($C443),"",IF(ISNUMBER($J443),IF($J443&gt;=0,$J443,""),""))</f>
        <v/>
      </c>
      <c r="AN443" s="74" t="str">
        <f aca="false">IF(ISBLANK($C443),"",IF(ISNUMBER($K443),IF($K443&gt;=0,$K443,""),""))</f>
        <v/>
      </c>
      <c r="AO443" s="74" t="str">
        <f aca="false">IF(ISBLANK($C443),"",IF($L443=Constants!$B$2,TRUE(),IF($L443=Constants!$B$3,FALSE(),TRUE())))</f>
        <v/>
      </c>
      <c r="AP443" s="74" t="str">
        <f aca="false">IF(ISBLANK($C443),"",IF($M443=Constants!$B$2,TRUE(),IF($M443=Constants!$B$3,FALSE(),TRUE())))</f>
        <v/>
      </c>
      <c r="AQ443" s="74" t="str">
        <f aca="false">IF(ISBLANK($C443),"",IF($N443=Constants!$B$2,TRUE(),IF($N443=Constants!$B$3,FALSE(),FALSE())))</f>
        <v/>
      </c>
      <c r="AR443" s="74" t="str">
        <f aca="false">IF(ISBLANK($C443),"",IF($O443=Constants!$B$2,TRUE(),IF($O443=Constants!$B$3,FALSE(),TRUE())))</f>
        <v/>
      </c>
      <c r="AS443" s="74" t="str">
        <f aca="false">IF(ISBLANK($C443),"",IF($P443=Constants!$B$2,TRUE(),IF($P443=Constants!$B$3,FALSE(),FALSE())))</f>
        <v/>
      </c>
      <c r="AT443" s="74" t="str">
        <f aca="false">IF(ISBLANK($C443),"",IF($Q443=Constants!$B$2,TRUE(),IF($Q443=Constants!$B$3,FALSE(),FALSE())))</f>
        <v/>
      </c>
      <c r="AU443" s="74" t="str">
        <f aca="false">IF(ISBLANK($C443),"",IF($R443=Constants!$B$2,TRUE(),IF($R443=Constants!$B$3,FALSE(),FALSE())))</f>
        <v/>
      </c>
      <c r="AV443" s="74" t="str">
        <f aca="false">IF(ISBLANK($C443),"",IF($S443=Constants!$B$2,TRUE(),IF($S443=Constants!$B$3,FALSE(),FALSE())))</f>
        <v/>
      </c>
      <c r="AW443" s="74" t="str">
        <f aca="false">IF(ISBLANK($C443),"",IF($T443=Constants!$B$2,TRUE(),IF($T443=Constants!$B$3,FALSE(),FALSE())))</f>
        <v/>
      </c>
      <c r="AX443" s="74" t="str">
        <f aca="false">IF(ISBLANK($C443),"",IF(OR($U443&amp;""="1",$U443&amp;""="2",$U443&amp;""="3",$U443&amp;""="4"),VALUE($U443&amp;""),IF($U443=Constants!$B$12,Constants!$B$12,"")))</f>
        <v/>
      </c>
      <c r="AY443" s="74" t="str">
        <f aca="false">IF(ISBLANK($C443),"",IF(ISBLANK($V443),0,IF(ISNUMBER($V443),IF(AND($V443&gt;=0,$V443&lt;=Constants!$B$21,$V443=INT($V443)),$V443,""),"")))</f>
        <v/>
      </c>
      <c r="AZ443" s="74" t="str">
        <f aca="false">IF(ISBLANK($C443),"",IF(ISBLANK($W443),0,IF(ISNUMBER($W443),IF($W443&gt;=0,$W443,""),"")))</f>
        <v/>
      </c>
      <c r="BA443" s="74" t="str">
        <f aca="false">IF(ISBLANK($C443),"",IF($X443=Constants!$B$2,TRUE(),IF($X443=Constants!$B$3,FALSE(),TRUE())))</f>
        <v/>
      </c>
      <c r="BB443" s="74" t="str">
        <f aca="false">IF(ISBLANK($C443),"",IF($Y443=Constants!$B$2,TRUE(),IF($Y443=Constants!$B$3,FALSE(),FALSE())))</f>
        <v/>
      </c>
      <c r="BC443" s="74" t="str">
        <f aca="false">IF(ISBLANK($C443),"",IF(ISBLANK($Z443),0,IF(ISNUMBER($Z443),IF(AND($Z443&gt;=0,$Z443&lt;=Constants!$B$35,$Z443=INT($Z443)),$Z443,""),"")))</f>
        <v/>
      </c>
      <c r="BD443" s="74" t="str">
        <f aca="false">IF(ISBLANK($C443),"",IF($AA443=Constants!$B$2,TRUE(),IF($AA443=Constants!$B$3,FALSE(),TRUE())))</f>
        <v/>
      </c>
      <c r="BE443" s="74" t="str">
        <f aca="false">IF(ISBLANK($C443),"",IF($AB443=Constants!$B$2,TRUE(),IF($AB443=Constants!$B$3,FALSE(),TRUE())))</f>
        <v/>
      </c>
      <c r="BF443" s="74" t="str">
        <f aca="false">IF(ISBLANK($C443),"",IF(ISNUMBER($AC443),IF($AC443&gt;=0,$AC443,""),""))</f>
        <v/>
      </c>
      <c r="BG443" s="74" t="str">
        <f aca="false">IF(ISBLANK($C443),"",IF($AD443=Constants!$B$2,TRUE(),IF($AD443=Constants!$B$3,FALSE(),FALSE())))</f>
        <v/>
      </c>
      <c r="BH443" s="73" t="str">
        <f aca="false">IF(ISBLANK($C443),"",IF($BG443,Constants!$B$7,IF(COUNTA($E443:$AC443)=0,Constants!$B$6,IF(OR(COUNTA($G443:$AC443)=0,NOT($AK443),$AQ443),Constants!$B$5,IF(OR($CI443&lt;&gt;"",$CJ443,$CK443,$CL443,$CM443,$CN443,$CO443),Constants!$B$8,Constants!$B$4)))))</f>
        <v/>
      </c>
      <c r="BI443" s="74" t="str">
        <f aca="false">IF(ISBLANK($C443),"",IF($BH443&lt;&gt;Constants!$B$4,$BH443,IF(OR(NOT($AH443),NOT($AJ443),NOT($AR443)),Constants!$B$11,IF(OR(NOT($AP443),MAX($AL443,$AM443,$AN443)&gt;Constants!$B$30),Constants!$B$10,Constants!$B$9))))</f>
        <v/>
      </c>
      <c r="BJ443" s="74" t="str">
        <f aca="false">IF($BH443&lt;&gt;Constants!$B$4,"",IF(NOT($AJ443),0,MIN(Constants!$B$35,$BC443)))</f>
        <v/>
      </c>
      <c r="BK443" s="74" t="str">
        <f aca="false">IF($BH443&lt;&gt;Constants!$B$4,"",IF(NOT($AJ443),0,IF($AT443,Constants!$B$18,IF($AS443,Constants!$B$17,0))))</f>
        <v/>
      </c>
      <c r="BL443" s="74" t="str">
        <f aca="false">IF($BH443&lt;&gt;Constants!$B$4,"",IF(NOT($AJ443),0,Constants!$B$19*($AI443+$AU443+$AV443+$AW443)))</f>
        <v/>
      </c>
      <c r="BM443" s="74" t="str">
        <f aca="false">IF($BH443&lt;&gt;Constants!$B$4,"",IF(OR(NOT($AJ443),NOT(ISNUMBER($AX443))),0,CHOOSE($AX443,Constants!$B$13,Constants!$B$14,Constants!$B$15,Constants!$B$16)))</f>
        <v/>
      </c>
      <c r="BN443" s="74" t="str">
        <f aca="false">IF($BH443&lt;&gt;Constants!$B$4,"",IF(NOT($AJ443),0,Constants!$B$20*$AY443))</f>
        <v/>
      </c>
      <c r="BO443" s="74" t="str">
        <f aca="false">IF($BH443&lt;&gt;Constants!$B$4,"",IF(AND($AJ443,$BA443,$BB443),Constants!$B$22,0))</f>
        <v/>
      </c>
      <c r="BP443" s="74" t="str">
        <f aca="false">IF($BH443&lt;&gt;Constants!$B$4,"",IF(OR(NOT($AJ443),NOT($BA443)),0,IF($BF443&gt;=2*$AF$9,0,Constants!$B$23*INT(ROUND(MIN($BF443,$AF$9),6)))))</f>
        <v/>
      </c>
      <c r="BQ443" s="74" t="str">
        <f aca="false">IF($BH443&lt;&gt;Constants!$B$4,"",IF(NOT($AJ443),0,Constants!$B$24*INT(ROUND(MIN($AZ443,$AF$9),6))))</f>
        <v/>
      </c>
      <c r="BR443" s="74" t="str">
        <f aca="false">IF($BH443&lt;&gt;Constants!$B$4,"",IF(AND($AJ443,$BJ443=0),Constants!$B$25,0))</f>
        <v/>
      </c>
      <c r="BS443" s="74" t="str">
        <f aca="false">IF($BH443&lt;&gt;Constants!$B$4,"",MIN(Constants!$B$29,MAX(0,Constants!$B$27*Constants!$B$28*INT(ROUND((Constants!$B$26-$AL443)/Constants!$B$28,6))))+MIN(Constants!$B$29,MAX(0,Constants!$B$27*Constants!$B$28*INT(ROUND((Constants!$B$26-$AM443)/Constants!$B$28,6))))+MIN(Constants!$B$29,MAX(0,Constants!$B$27*Constants!$B$28*INT(ROUND((Constants!$B$26-$AN443)/Constants!$B$28,6)))))</f>
        <v/>
      </c>
      <c r="BT443" s="74" t="str">
        <f aca="false">IF($BH443&lt;&gt;Constants!$B$4,"",IF(NOT($AJ443),0,Constants!$B$31*INT(ROUND(MAX(0,MIN($BF443,2*$AF$9)-$AF$9),6))))</f>
        <v/>
      </c>
      <c r="BU443" s="74" t="str">
        <f aca="false">IF($BH443&lt;&gt;Constants!$B$4,"",Constants!$B$32*(($AL443&gt;Constants!$B$26)+($AM443&gt;Constants!$B$26)+($AN443&gt;Constants!$B$26)))</f>
        <v/>
      </c>
      <c r="BV443" s="74" t="str">
        <f aca="false">IF($BH443&lt;&gt;Constants!$B$4,"",IF(OR(NOT($AJ443),$AO443),0,Constants!$B$33))</f>
        <v/>
      </c>
      <c r="BW443" s="74" t="str">
        <f aca="false">IF($BH443&lt;&gt;Constants!$B$4,"",Constants!$B$34*$BJ443)</f>
        <v/>
      </c>
      <c r="BX443" s="74" t="str">
        <f aca="false">IF($BH443&lt;&gt;Constants!$B$4,"",IF(OR(NOT($AJ443),$BE443),0,Constants!$B$36))</f>
        <v/>
      </c>
      <c r="BY443" s="74" t="str">
        <f aca="false">IF($BH443&lt;&gt;Constants!$B$4,"",IF(OR(NOT($AJ443),$BD443),0,Constants!$B$37))</f>
        <v/>
      </c>
      <c r="BZ443" s="74" t="str">
        <f aca="false">IF($BH443&lt;&gt;Constants!$B$4,"",SUM($BT443:$BY443))</f>
        <v/>
      </c>
      <c r="CA443" s="74" t="str">
        <f aca="false">IF(ISBLANK($C443),"",IF($BH443&lt;&gt;Constants!$B$4,$BH443,SUM($BK443:$BS443)-$BZ443))</f>
        <v/>
      </c>
      <c r="CB443" s="74" t="str">
        <f aca="false">IF(ISBLANK($C443),"",IF($BH443&lt;&gt;Constants!$B$4,$BH443,RANK($CA443,$CA$9:$CA$508)))</f>
        <v/>
      </c>
      <c r="CC443" s="74" t="str">
        <f aca="false">IF(ISBLANK($C443),"",IF($BH443&lt;&gt;Constants!$B$4,$BH443,COUNTIFS($BI$9:$BI$508,"&lt;"&amp;$BI443)+COUNTIFS($BI$9:$BI$508,$BI443,$CB$9:$CB$508,"&lt;"&amp;$CB443)+1))</f>
        <v/>
      </c>
      <c r="CD443" s="74" t="str">
        <f aca="false">IF(ISBLANK($C443),"",IF($BH443&lt;&gt;Constants!$B$4,$BH443,RANK($BZ443,$BZ$9:$BZ$508,1)))</f>
        <v/>
      </c>
      <c r="CE443" s="74" t="str">
        <f aca="false">IF($BH443&lt;&gt;Constants!$B$4,"",$AL443+$AM443+$AN443)</f>
        <v/>
      </c>
      <c r="CF443" s="74" t="str">
        <f aca="false">IF(ISBLANK($C443),"",IF($BH443&lt;&gt;Constants!$B$4,$BH443,RANK($CE443,$CE$9:$CE$508,1)))</f>
        <v/>
      </c>
      <c r="CG443" s="74" t="str">
        <f aca="false">IF(ISBLANK($C443),"",IF($BH443&lt;&gt;Constants!$B$4,$BH443,COUNTIFS($BI$9:$BI$508,"&lt;"&amp;$BI443)+COUNTIFS($BI$9:$BI$508,$BI443,$CB$9:$CB$508,"&lt;"&amp;$CB443)+COUNTIFS($BI$9:$BI$508,$BI443,$CB$9:$CB$508,$CB443,$CD$9:$CD$508,"&lt;"&amp;$CD443)+COUNTIFS($BI$9:$BI$508,$BI443,$CB$9:$CB$508,$CB443,$CD$9:$CD$508,$CD443,$CF$9:$CF$508,"&lt;"&amp;$CF443)+1))</f>
        <v/>
      </c>
      <c r="CH443" s="74" t="str">
        <f aca="false">IF(ISBLANK($C443),"",IF($BH443&lt;&gt;Constants!$B$4,$BH443,$CC443-$CG443))</f>
        <v/>
      </c>
      <c r="CI443" s="74" t="str">
        <f aca="false">IF(ISBLANK($C443),"",IF(NOT($AJ443),"",IF(ISBLANK($D$7),$CI$5,IF(NOT(ISNUMBER($D$7)),$CI$6,""))))</f>
        <v/>
      </c>
      <c r="CJ443" s="74" t="str">
        <f aca="false">IF(ISBLANK($C443),"",OR($AL443="",$AM443="",$AN443=""))</f>
        <v/>
      </c>
      <c r="CK443" s="74" t="str">
        <f aca="false">IF(ISBLANK($C443),"",AND($AJ443,$AX443=""))</f>
        <v/>
      </c>
      <c r="CL443" s="74" t="str">
        <f aca="false">IF(ISBLANK($C443),"",AND($AJ443,$AY443=""))</f>
        <v/>
      </c>
      <c r="CM443" s="74" t="str">
        <f aca="false">IF(ISBLANK($C443),"",AND($AJ443,$AZ443=""))</f>
        <v/>
      </c>
      <c r="CN443" s="74" t="str">
        <f aca="false">IF(ISBLANK($C443),"",AND($AJ443,$BC443=""))</f>
        <v/>
      </c>
      <c r="CO443" s="74" t="str">
        <f aca="false">IF(ISBLANK($C443),"",AND($AJ443,$BF443=""))</f>
        <v/>
      </c>
      <c r="CP443" s="75"/>
      <c r="CQ443" s="76"/>
      <c r="CR443" s="79" t="str">
        <f aca="false">IF(ISBLANK($C443),"",IF($BH443=Constants!$B$8,$CI443,""))</f>
        <v/>
      </c>
      <c r="CS443" s="76" t="str">
        <f aca="false">IF(ISBLANK($C443),"",IF($BH443&lt;&gt;Constants!$B$4,"",$BK443+$BL443))</f>
        <v/>
      </c>
      <c r="CT443" s="78" t="str">
        <f aca="false">IF(ISBLANK($C443),"",IF($BH443&lt;&gt;Constants!$B$4,"",$BM443+$BN443+$BO443))</f>
        <v/>
      </c>
      <c r="CU443" s="78" t="str">
        <f aca="false">IF(ISBLANK($C443),"",IF($BH443&lt;&gt;Constants!$B$4,"",$BP443))</f>
        <v/>
      </c>
      <c r="CV443" s="78" t="str">
        <f aca="false">IF(ISBLANK($C443),"",IF($BH443&lt;&gt;Constants!$B$4,"",$BQ443+$BR443))</f>
        <v/>
      </c>
      <c r="CW443" s="78" t="str">
        <f aca="false">IF(ISBLANK($C443),"",IF($BH443&lt;&gt;Constants!$B$4,"",$BS443))</f>
        <v/>
      </c>
      <c r="CX443" s="78" t="str">
        <f aca="false">IF(ISBLANK($C443),"",IF($BH443&lt;&gt;Constants!$B$4,"",-$BZ443))</f>
        <v/>
      </c>
      <c r="CY443" s="79" t="str">
        <f aca="false">IF(ISBLANK($C443),"",$CA443)</f>
        <v/>
      </c>
      <c r="CZ443" s="80" t="str">
        <f aca="false">IF(ISBLANK($C443),"",$BI443)</f>
        <v/>
      </c>
      <c r="DA443" s="78" t="str">
        <f aca="false">IF(ISBLANK($C443),"",$CH443)</f>
        <v/>
      </c>
      <c r="DB443" s="78" t="str">
        <f aca="false">IF(ISBLANK($C443),"",$CG443)</f>
        <v/>
      </c>
      <c r="DC443" s="81" t="str">
        <f aca="false">IF(ISBLANK($C443),"",IFERROR(_xlfn.SWITCH($DB443,Constants!$B$7,COUNTA($C$9:$C$508)+2,Constants!$B$6,COUNTA($C$9:$C$508)+1,Constants!$B$5,COUNTA($C$9:$C$508)),$DB443))</f>
        <v/>
      </c>
      <c r="DD443" s="7"/>
      <c r="DE443" s="82" t="n">
        <f aca="false">IF(OR(ISNUMBER($DB443),$DB443=Constants!$B$7,$DB443=Constants!$B$5,$DB443=Constants!$B$6),1,0)</f>
        <v>0</v>
      </c>
      <c r="DF443" s="82" t="n">
        <v>435</v>
      </c>
      <c r="DG443" s="82" t="str">
        <f aca="false">IF(ISBLANK($C443),"",IF(ISNUMBER($DC443),$DC443+ROW($B443)/1000,""))</f>
        <v/>
      </c>
      <c r="DH443" s="82" t="str">
        <f aca="false">IF(ISNUMBER($DG443),RANK($DG443,$DG$9:$DG$508,1),"")</f>
        <v/>
      </c>
      <c r="DI443" s="82" t="str">
        <f aca="false">IF(ISBLANK($C443),"",$B443)</f>
        <v/>
      </c>
      <c r="DJ443" s="82" t="str">
        <f aca="false">IF(ISBLANK($C443),"",$C443)</f>
        <v/>
      </c>
      <c r="DK443" s="82" t="str">
        <f aca="false">IF(ISBLANK($C443),"",$D443)</f>
        <v/>
      </c>
      <c r="DL443" s="83" t="str">
        <f aca="false">$CZ443</f>
        <v/>
      </c>
      <c r="DM443" s="84" t="str">
        <f aca="false">$CY443</f>
        <v/>
      </c>
      <c r="DN443" s="82" t="str">
        <f aca="false">IF(ISBLANK($C443),"",$DB443)</f>
        <v/>
      </c>
      <c r="DO443" s="85" t="str">
        <f aca="false">IF($DF443&gt;$DE$8,"",VLOOKUP($DF443,$DH$9:$DN$508,7,FALSE()))</f>
        <v/>
      </c>
      <c r="DP443" s="86" t="str">
        <f aca="false">IF($DF443&gt;$DE$8,"",VLOOKUP($DF443,$DH$9:$DN$508,2,FALSE()))</f>
        <v/>
      </c>
      <c r="DQ443" s="86" t="str">
        <f aca="false">IF($DF443&gt;$DE$8,"",VLOOKUP($DF443,$DH$9:$DN$508,3,FALSE()))</f>
        <v/>
      </c>
      <c r="DR443" s="86" t="str">
        <f aca="false">IF($DF443&gt;$DE$8,"",VLOOKUP($DF443,$DH$9:$DN$508,4,FALSE()))</f>
        <v/>
      </c>
      <c r="DS443" s="86" t="str">
        <f aca="false">IF($DF443&gt;$DE$8,"",VLOOKUP($DF443,$DH$9:$DN$508,5,FALSE()))</f>
        <v/>
      </c>
      <c r="DT443" s="87" t="str">
        <f aca="false">IF($DF443&gt;$DE$8,"",VLOOKUP($DF443,$DH$9:$DN$508,6,FALSE()))</f>
        <v/>
      </c>
      <c r="DU443" s="62"/>
    </row>
    <row r="444" customFormat="false" ht="15.75" hidden="false" customHeight="false" outlineLevel="0" collapsed="false">
      <c r="A444" s="7"/>
      <c r="B444" s="90"/>
      <c r="C444" s="91"/>
      <c r="D444" s="126"/>
      <c r="E444" s="130"/>
      <c r="F444" s="135"/>
      <c r="G444" s="130"/>
      <c r="H444" s="135"/>
      <c r="I444" s="131"/>
      <c r="J444" s="131"/>
      <c r="K444" s="131"/>
      <c r="L444" s="130"/>
      <c r="M444" s="130"/>
      <c r="N444" s="130"/>
      <c r="O444" s="135"/>
      <c r="P444" s="130"/>
      <c r="Q444" s="130"/>
      <c r="R444" s="130"/>
      <c r="S444" s="130"/>
      <c r="T444" s="135"/>
      <c r="U444" s="130"/>
      <c r="V444" s="96"/>
      <c r="W444" s="130"/>
      <c r="X444" s="130"/>
      <c r="Y444" s="96"/>
      <c r="Z444" s="96"/>
      <c r="AA444" s="130"/>
      <c r="AB444" s="130"/>
      <c r="AC444" s="97"/>
      <c r="AD444" s="130"/>
      <c r="AE444" s="99"/>
      <c r="AF444" s="100"/>
      <c r="AG444" s="100"/>
      <c r="AH444" s="100" t="str">
        <f aca="false">IF(ISBLANK($C444),"",IF($E444=Constants!$B$2,TRUE(),IF($E444=Constants!$B$3,FALSE(),TRUE())))</f>
        <v/>
      </c>
      <c r="AI444" s="100" t="str">
        <f aca="false">IF(ISBLANK($C444),"",IF($F444=Constants!$B$2,TRUE(),IF($F444=Constants!$B$3,FALSE(),FALSE())))</f>
        <v/>
      </c>
      <c r="AJ444" s="100" t="str">
        <f aca="false">IF(ISBLANK($C444),"",IF($G444=Constants!$B$2,TRUE(),IF($G444=Constants!$B$3,FALSE(),TRUE())))</f>
        <v/>
      </c>
      <c r="AK444" s="100" t="str">
        <f aca="false">IF(ISBLANK($C444),"",IF($H444=Constants!$B$2,TRUE(),IF($H444=Constants!$B$3,FALSE(),TRUE())))</f>
        <v/>
      </c>
      <c r="AL444" s="100" t="str">
        <f aca="false">IF(ISBLANK($C444),"",IF(ISNUMBER($I444),IF($I444&gt;=0,$I444,""),""))</f>
        <v/>
      </c>
      <c r="AM444" s="100" t="str">
        <f aca="false">IF(ISBLANK($C444),"",IF(ISNUMBER($J444),IF($J444&gt;=0,$J444,""),""))</f>
        <v/>
      </c>
      <c r="AN444" s="100" t="str">
        <f aca="false">IF(ISBLANK($C444),"",IF(ISNUMBER($K444),IF($K444&gt;=0,$K444,""),""))</f>
        <v/>
      </c>
      <c r="AO444" s="100" t="str">
        <f aca="false">IF(ISBLANK($C444),"",IF($L444=Constants!$B$2,TRUE(),IF($L444=Constants!$B$3,FALSE(),TRUE())))</f>
        <v/>
      </c>
      <c r="AP444" s="100" t="str">
        <f aca="false">IF(ISBLANK($C444),"",IF($M444=Constants!$B$2,TRUE(),IF($M444=Constants!$B$3,FALSE(),TRUE())))</f>
        <v/>
      </c>
      <c r="AQ444" s="100" t="str">
        <f aca="false">IF(ISBLANK($C444),"",IF($N444=Constants!$B$2,TRUE(),IF($N444=Constants!$B$3,FALSE(),FALSE())))</f>
        <v/>
      </c>
      <c r="AR444" s="100" t="str">
        <f aca="false">IF(ISBLANK($C444),"",IF($O444=Constants!$B$2,TRUE(),IF($O444=Constants!$B$3,FALSE(),TRUE())))</f>
        <v/>
      </c>
      <c r="AS444" s="100" t="str">
        <f aca="false">IF(ISBLANK($C444),"",IF($P444=Constants!$B$2,TRUE(),IF($P444=Constants!$B$3,FALSE(),FALSE())))</f>
        <v/>
      </c>
      <c r="AT444" s="100" t="str">
        <f aca="false">IF(ISBLANK($C444),"",IF($Q444=Constants!$B$2,TRUE(),IF($Q444=Constants!$B$3,FALSE(),FALSE())))</f>
        <v/>
      </c>
      <c r="AU444" s="100" t="str">
        <f aca="false">IF(ISBLANK($C444),"",IF($R444=Constants!$B$2,TRUE(),IF($R444=Constants!$B$3,FALSE(),FALSE())))</f>
        <v/>
      </c>
      <c r="AV444" s="100" t="str">
        <f aca="false">IF(ISBLANK($C444),"",IF($S444=Constants!$B$2,TRUE(),IF($S444=Constants!$B$3,FALSE(),FALSE())))</f>
        <v/>
      </c>
      <c r="AW444" s="100" t="str">
        <f aca="false">IF(ISBLANK($C444),"",IF($T444=Constants!$B$2,TRUE(),IF($T444=Constants!$B$3,FALSE(),FALSE())))</f>
        <v/>
      </c>
      <c r="AX444" s="100" t="str">
        <f aca="false">IF(ISBLANK($C444),"",IF(OR($U444&amp;""="1",$U444&amp;""="2",$U444&amp;""="3",$U444&amp;""="4"),VALUE($U444&amp;""),IF($U444=Constants!$B$12,Constants!$B$12,"")))</f>
        <v/>
      </c>
      <c r="AY444" s="100" t="str">
        <f aca="false">IF(ISBLANK($C444),"",IF(ISBLANK($V444),0,IF(ISNUMBER($V444),IF(AND($V444&gt;=0,$V444&lt;=Constants!$B$21,$V444=INT($V444)),$V444,""),"")))</f>
        <v/>
      </c>
      <c r="AZ444" s="100" t="str">
        <f aca="false">IF(ISBLANK($C444),"",IF(ISBLANK($W444),0,IF(ISNUMBER($W444),IF($W444&gt;=0,$W444,""),"")))</f>
        <v/>
      </c>
      <c r="BA444" s="100" t="str">
        <f aca="false">IF(ISBLANK($C444),"",IF($X444=Constants!$B$2,TRUE(),IF($X444=Constants!$B$3,FALSE(),TRUE())))</f>
        <v/>
      </c>
      <c r="BB444" s="100" t="str">
        <f aca="false">IF(ISBLANK($C444),"",IF($Y444=Constants!$B$2,TRUE(),IF($Y444=Constants!$B$3,FALSE(),FALSE())))</f>
        <v/>
      </c>
      <c r="BC444" s="100" t="str">
        <f aca="false">IF(ISBLANK($C444),"",IF(ISBLANK($Z444),0,IF(ISNUMBER($Z444),IF(AND($Z444&gt;=0,$Z444&lt;=Constants!$B$35,$Z444=INT($Z444)),$Z444,""),"")))</f>
        <v/>
      </c>
      <c r="BD444" s="100" t="str">
        <f aca="false">IF(ISBLANK($C444),"",IF($AA444=Constants!$B$2,TRUE(),IF($AA444=Constants!$B$3,FALSE(),TRUE())))</f>
        <v/>
      </c>
      <c r="BE444" s="100" t="str">
        <f aca="false">IF(ISBLANK($C444),"",IF($AB444=Constants!$B$2,TRUE(),IF($AB444=Constants!$B$3,FALSE(),TRUE())))</f>
        <v/>
      </c>
      <c r="BF444" s="100" t="str">
        <f aca="false">IF(ISBLANK($C444),"",IF(ISNUMBER($AC444),IF($AC444&gt;=0,$AC444,""),""))</f>
        <v/>
      </c>
      <c r="BG444" s="100" t="str">
        <f aca="false">IF(ISBLANK($C444),"",IF($AD444=Constants!$B$2,TRUE(),IF($AD444=Constants!$B$3,FALSE(),FALSE())))</f>
        <v/>
      </c>
      <c r="BH444" s="99" t="str">
        <f aca="false">IF(ISBLANK($C444),"",IF($BG444,Constants!$B$7,IF(COUNTA($E444:$AC444)=0,Constants!$B$6,IF(OR(COUNTA($G444:$AC444)=0,NOT($AK444),$AQ444),Constants!$B$5,IF(OR($CI444&lt;&gt;"",$CJ444,$CK444,$CL444,$CM444,$CN444,$CO444),Constants!$B$8,Constants!$B$4)))))</f>
        <v/>
      </c>
      <c r="BI444" s="100" t="str">
        <f aca="false">IF(ISBLANK($C444),"",IF($BH444&lt;&gt;Constants!$B$4,$BH444,IF(OR(NOT($AH444),NOT($AJ444),NOT($AR444)),Constants!$B$11,IF(OR(NOT($AP444),MAX($AL444,$AM444,$AN444)&gt;Constants!$B$30),Constants!$B$10,Constants!$B$9))))</f>
        <v/>
      </c>
      <c r="BJ444" s="100" t="str">
        <f aca="false">IF($BH444&lt;&gt;Constants!$B$4,"",IF(NOT($AJ444),0,MIN(Constants!$B$35,$BC444)))</f>
        <v/>
      </c>
      <c r="BK444" s="100" t="str">
        <f aca="false">IF($BH444&lt;&gt;Constants!$B$4,"",IF(NOT($AJ444),0,IF($AT444,Constants!$B$18,IF($AS444,Constants!$B$17,0))))</f>
        <v/>
      </c>
      <c r="BL444" s="100" t="str">
        <f aca="false">IF($BH444&lt;&gt;Constants!$B$4,"",IF(NOT($AJ444),0,Constants!$B$19*($AI444+$AU444+$AV444+$AW444)))</f>
        <v/>
      </c>
      <c r="BM444" s="100" t="str">
        <f aca="false">IF($BH444&lt;&gt;Constants!$B$4,"",IF(OR(NOT($AJ444),NOT(ISNUMBER($AX444))),0,CHOOSE($AX444,Constants!$B$13,Constants!$B$14,Constants!$B$15,Constants!$B$16)))</f>
        <v/>
      </c>
      <c r="BN444" s="100" t="str">
        <f aca="false">IF($BH444&lt;&gt;Constants!$B$4,"",IF(NOT($AJ444),0,Constants!$B$20*$AY444))</f>
        <v/>
      </c>
      <c r="BO444" s="100" t="str">
        <f aca="false">IF($BH444&lt;&gt;Constants!$B$4,"",IF(AND($AJ444,$BA444,$BB444),Constants!$B$22,0))</f>
        <v/>
      </c>
      <c r="BP444" s="100" t="str">
        <f aca="false">IF($BH444&lt;&gt;Constants!$B$4,"",IF(OR(NOT($AJ444),NOT($BA444)),0,IF($BF444&gt;=2*$AF$9,0,Constants!$B$23*INT(ROUND(MIN($BF444,$AF$9),6)))))</f>
        <v/>
      </c>
      <c r="BQ444" s="100" t="str">
        <f aca="false">IF($BH444&lt;&gt;Constants!$B$4,"",IF(NOT($AJ444),0,Constants!$B$24*INT(ROUND(MIN($AZ444,$AF$9),6))))</f>
        <v/>
      </c>
      <c r="BR444" s="100" t="str">
        <f aca="false">IF($BH444&lt;&gt;Constants!$B$4,"",IF(AND($AJ444,$BJ444=0),Constants!$B$25,0))</f>
        <v/>
      </c>
      <c r="BS444" s="100" t="str">
        <f aca="false">IF($BH444&lt;&gt;Constants!$B$4,"",MIN(Constants!$B$29,MAX(0,Constants!$B$27*Constants!$B$28*INT(ROUND((Constants!$B$26-$AL444)/Constants!$B$28,6))))+MIN(Constants!$B$29,MAX(0,Constants!$B$27*Constants!$B$28*INT(ROUND((Constants!$B$26-$AM444)/Constants!$B$28,6))))+MIN(Constants!$B$29,MAX(0,Constants!$B$27*Constants!$B$28*INT(ROUND((Constants!$B$26-$AN444)/Constants!$B$28,6)))))</f>
        <v/>
      </c>
      <c r="BT444" s="100" t="str">
        <f aca="false">IF($BH444&lt;&gt;Constants!$B$4,"",IF(NOT($AJ444),0,Constants!$B$31*INT(ROUND(MAX(0,MIN($BF444,2*$AF$9)-$AF$9),6))))</f>
        <v/>
      </c>
      <c r="BU444" s="100" t="str">
        <f aca="false">IF($BH444&lt;&gt;Constants!$B$4,"",Constants!$B$32*(($AL444&gt;Constants!$B$26)+($AM444&gt;Constants!$B$26)+($AN444&gt;Constants!$B$26)))</f>
        <v/>
      </c>
      <c r="BV444" s="100" t="str">
        <f aca="false">IF($BH444&lt;&gt;Constants!$B$4,"",IF(OR(NOT($AJ444),$AO444),0,Constants!$B$33))</f>
        <v/>
      </c>
      <c r="BW444" s="100" t="str">
        <f aca="false">IF($BH444&lt;&gt;Constants!$B$4,"",Constants!$B$34*$BJ444)</f>
        <v/>
      </c>
      <c r="BX444" s="100" t="str">
        <f aca="false">IF($BH444&lt;&gt;Constants!$B$4,"",IF(OR(NOT($AJ444),$BE444),0,Constants!$B$36))</f>
        <v/>
      </c>
      <c r="BY444" s="100" t="str">
        <f aca="false">IF($BH444&lt;&gt;Constants!$B$4,"",IF(OR(NOT($AJ444),$BD444),0,Constants!$B$37))</f>
        <v/>
      </c>
      <c r="BZ444" s="100" t="str">
        <f aca="false">IF($BH444&lt;&gt;Constants!$B$4,"",SUM($BT444:$BY444))</f>
        <v/>
      </c>
      <c r="CA444" s="100" t="str">
        <f aca="false">IF(ISBLANK($C444),"",IF($BH444&lt;&gt;Constants!$B$4,$BH444,SUM($BK444:$BS444)-$BZ444))</f>
        <v/>
      </c>
      <c r="CB444" s="100" t="str">
        <f aca="false">IF(ISBLANK($C444),"",IF($BH444&lt;&gt;Constants!$B$4,$BH444,RANK($CA444,$CA$9:$CA$508)))</f>
        <v/>
      </c>
      <c r="CC444" s="100" t="str">
        <f aca="false">IF(ISBLANK($C444),"",IF($BH444&lt;&gt;Constants!$B$4,$BH444,COUNTIFS($BI$9:$BI$508,"&lt;"&amp;$BI444)+COUNTIFS($BI$9:$BI$508,$BI444,$CB$9:$CB$508,"&lt;"&amp;$CB444)+1))</f>
        <v/>
      </c>
      <c r="CD444" s="100" t="str">
        <f aca="false">IF(ISBLANK($C444),"",IF($BH444&lt;&gt;Constants!$B$4,$BH444,RANK($BZ444,$BZ$9:$BZ$508,1)))</f>
        <v/>
      </c>
      <c r="CE444" s="100" t="str">
        <f aca="false">IF($BH444&lt;&gt;Constants!$B$4,"",$AL444+$AM444+$AN444)</f>
        <v/>
      </c>
      <c r="CF444" s="100" t="str">
        <f aca="false">IF(ISBLANK($C444),"",IF($BH444&lt;&gt;Constants!$B$4,$BH444,RANK($CE444,$CE$9:$CE$508,1)))</f>
        <v/>
      </c>
      <c r="CG444" s="100" t="str">
        <f aca="false">IF(ISBLANK($C444),"",IF($BH444&lt;&gt;Constants!$B$4,$BH444,COUNTIFS($BI$9:$BI$508,"&lt;"&amp;$BI444)+COUNTIFS($BI$9:$BI$508,$BI444,$CB$9:$CB$508,"&lt;"&amp;$CB444)+COUNTIFS($BI$9:$BI$508,$BI444,$CB$9:$CB$508,$CB444,$CD$9:$CD$508,"&lt;"&amp;$CD444)+COUNTIFS($BI$9:$BI$508,$BI444,$CB$9:$CB$508,$CB444,$CD$9:$CD$508,$CD444,$CF$9:$CF$508,"&lt;"&amp;$CF444)+1))</f>
        <v/>
      </c>
      <c r="CH444" s="100" t="str">
        <f aca="false">IF(ISBLANK($C444),"",IF($BH444&lt;&gt;Constants!$B$4,$BH444,$CC444-$CG444))</f>
        <v/>
      </c>
      <c r="CI444" s="100" t="str">
        <f aca="false">IF(ISBLANK($C444),"",IF(NOT($AJ444),"",IF(ISBLANK($D$7),$CI$5,IF(NOT(ISNUMBER($D$7)),$CI$6,""))))</f>
        <v/>
      </c>
      <c r="CJ444" s="100" t="str">
        <f aca="false">IF(ISBLANK($C444),"",OR($AL444="",$AM444="",$AN444=""))</f>
        <v/>
      </c>
      <c r="CK444" s="100" t="str">
        <f aca="false">IF(ISBLANK($C444),"",AND($AJ444,$AX444=""))</f>
        <v/>
      </c>
      <c r="CL444" s="100" t="str">
        <f aca="false">IF(ISBLANK($C444),"",AND($AJ444,$AY444=""))</f>
        <v/>
      </c>
      <c r="CM444" s="100" t="str">
        <f aca="false">IF(ISBLANK($C444),"",AND($AJ444,$AZ444=""))</f>
        <v/>
      </c>
      <c r="CN444" s="100" t="str">
        <f aca="false">IF(ISBLANK($C444),"",AND($AJ444,$BC444=""))</f>
        <v/>
      </c>
      <c r="CO444" s="100" t="str">
        <f aca="false">IF(ISBLANK($C444),"",AND($AJ444,$BF444=""))</f>
        <v/>
      </c>
      <c r="CP444" s="101"/>
      <c r="CQ444" s="102"/>
      <c r="CR444" s="103" t="str">
        <f aca="false">IF(ISBLANK($C444),"",IF($BH444=Constants!$B$8,$CI444,""))</f>
        <v/>
      </c>
      <c r="CS444" s="102" t="str">
        <f aca="false">IF(ISBLANK($C444),"",IF($BH444&lt;&gt;Constants!$B$4,"",$BK444+$BL444))</f>
        <v/>
      </c>
      <c r="CT444" s="104" t="str">
        <f aca="false">IF(ISBLANK($C444),"",IF($BH444&lt;&gt;Constants!$B$4,"",$BM444+$BN444+$BO444))</f>
        <v/>
      </c>
      <c r="CU444" s="104" t="str">
        <f aca="false">IF(ISBLANK($C444),"",IF($BH444&lt;&gt;Constants!$B$4,"",$BP444))</f>
        <v/>
      </c>
      <c r="CV444" s="104" t="str">
        <f aca="false">IF(ISBLANK($C444),"",IF($BH444&lt;&gt;Constants!$B$4,"",$BQ444+$BR444))</f>
        <v/>
      </c>
      <c r="CW444" s="104" t="str">
        <f aca="false">IF(ISBLANK($C444),"",IF($BH444&lt;&gt;Constants!$B$4,"",$BS444))</f>
        <v/>
      </c>
      <c r="CX444" s="104" t="str">
        <f aca="false">IF(ISBLANK($C444),"",IF($BH444&lt;&gt;Constants!$B$4,"",-$BZ444))</f>
        <v/>
      </c>
      <c r="CY444" s="103" t="str">
        <f aca="false">IF(ISBLANK($C444),"",$CA444)</f>
        <v/>
      </c>
      <c r="CZ444" s="105" t="str">
        <f aca="false">IF(ISBLANK($C444),"",$BI444)</f>
        <v/>
      </c>
      <c r="DA444" s="104" t="str">
        <f aca="false">IF(ISBLANK($C444),"",$CH444)</f>
        <v/>
      </c>
      <c r="DB444" s="104" t="str">
        <f aca="false">IF(ISBLANK($C444),"",$CG444)</f>
        <v/>
      </c>
      <c r="DC444" s="106" t="str">
        <f aca="false">IF(ISBLANK($C444),"",IFERROR(_xlfn.SWITCH($DB444,Constants!$B$7,COUNTA($C$9:$C$508)+2,Constants!$B$6,COUNTA($C$9:$C$508)+1,Constants!$B$5,COUNTA($C$9:$C$508)),$DB444))</f>
        <v/>
      </c>
      <c r="DD444" s="7"/>
      <c r="DE444" s="107" t="n">
        <f aca="false">IF(OR(ISNUMBER($DB444),$DB444=Constants!$B$7,$DB444=Constants!$B$5,$DB444=Constants!$B$6),1,0)</f>
        <v>0</v>
      </c>
      <c r="DF444" s="107" t="n">
        <v>436</v>
      </c>
      <c r="DG444" s="107" t="str">
        <f aca="false">IF(ISBLANK($C444),"",IF(ISNUMBER($DC444),$DC444+ROW($B444)/1000,""))</f>
        <v/>
      </c>
      <c r="DH444" s="107" t="str">
        <f aca="false">IF(ISNUMBER($DG444),RANK($DG444,$DG$9:$DG$508,1),"")</f>
        <v/>
      </c>
      <c r="DI444" s="107" t="str">
        <f aca="false">IF(ISBLANK($C444),"",$B444)</f>
        <v/>
      </c>
      <c r="DJ444" s="107" t="str">
        <f aca="false">IF(ISBLANK($C444),"",$C444)</f>
        <v/>
      </c>
      <c r="DK444" s="107" t="str">
        <f aca="false">IF(ISBLANK($C444),"",$D444)</f>
        <v/>
      </c>
      <c r="DL444" s="108" t="str">
        <f aca="false">$CZ444</f>
        <v/>
      </c>
      <c r="DM444" s="109" t="str">
        <f aca="false">$CY444</f>
        <v/>
      </c>
      <c r="DN444" s="107" t="str">
        <f aca="false">IF(ISBLANK($C444),"",$DB444)</f>
        <v/>
      </c>
      <c r="DO444" s="110" t="str">
        <f aca="false">IF($DF444&gt;$DE$8,"",VLOOKUP($DF444,$DH$9:$DN$508,7,FALSE()))</f>
        <v/>
      </c>
      <c r="DP444" s="111" t="str">
        <f aca="false">IF($DF444&gt;$DE$8,"",VLOOKUP($DF444,$DH$9:$DN$508,2,FALSE()))</f>
        <v/>
      </c>
      <c r="DQ444" s="111" t="str">
        <f aca="false">IF($DF444&gt;$DE$8,"",VLOOKUP($DF444,$DH$9:$DN$508,3,FALSE()))</f>
        <v/>
      </c>
      <c r="DR444" s="111" t="str">
        <f aca="false">IF($DF444&gt;$DE$8,"",VLOOKUP($DF444,$DH$9:$DN$508,4,FALSE()))</f>
        <v/>
      </c>
      <c r="DS444" s="111" t="str">
        <f aca="false">IF($DF444&gt;$DE$8,"",VLOOKUP($DF444,$DH$9:$DN$508,5,FALSE()))</f>
        <v/>
      </c>
      <c r="DT444" s="112" t="str">
        <f aca="false">IF($DF444&gt;$DE$8,"",VLOOKUP($DF444,$DH$9:$DN$508,6,FALSE()))</f>
        <v/>
      </c>
      <c r="DU444" s="62"/>
    </row>
    <row r="445" customFormat="false" ht="15.75" hidden="false" customHeight="false" outlineLevel="0" collapsed="false">
      <c r="A445" s="7"/>
      <c r="B445" s="90"/>
      <c r="C445" s="91"/>
      <c r="D445" s="126"/>
      <c r="E445" s="130"/>
      <c r="F445" s="135"/>
      <c r="G445" s="130"/>
      <c r="H445" s="135"/>
      <c r="I445" s="131"/>
      <c r="J445" s="131"/>
      <c r="K445" s="131"/>
      <c r="L445" s="130"/>
      <c r="M445" s="130"/>
      <c r="N445" s="130"/>
      <c r="O445" s="135"/>
      <c r="P445" s="130"/>
      <c r="Q445" s="130"/>
      <c r="R445" s="130"/>
      <c r="S445" s="130"/>
      <c r="T445" s="135"/>
      <c r="U445" s="130"/>
      <c r="V445" s="96"/>
      <c r="W445" s="130"/>
      <c r="X445" s="130"/>
      <c r="Y445" s="96"/>
      <c r="Z445" s="96"/>
      <c r="AA445" s="130"/>
      <c r="AB445" s="130"/>
      <c r="AC445" s="97"/>
      <c r="AD445" s="130"/>
      <c r="AE445" s="99"/>
      <c r="AF445" s="100"/>
      <c r="AG445" s="100"/>
      <c r="AH445" s="100" t="str">
        <f aca="false">IF(ISBLANK($C445),"",IF($E445=Constants!$B$2,TRUE(),IF($E445=Constants!$B$3,FALSE(),TRUE())))</f>
        <v/>
      </c>
      <c r="AI445" s="100" t="str">
        <f aca="false">IF(ISBLANK($C445),"",IF($F445=Constants!$B$2,TRUE(),IF($F445=Constants!$B$3,FALSE(),FALSE())))</f>
        <v/>
      </c>
      <c r="AJ445" s="100" t="str">
        <f aca="false">IF(ISBLANK($C445),"",IF($G445=Constants!$B$2,TRUE(),IF($G445=Constants!$B$3,FALSE(),TRUE())))</f>
        <v/>
      </c>
      <c r="AK445" s="100" t="str">
        <f aca="false">IF(ISBLANK($C445),"",IF($H445=Constants!$B$2,TRUE(),IF($H445=Constants!$B$3,FALSE(),TRUE())))</f>
        <v/>
      </c>
      <c r="AL445" s="100" t="str">
        <f aca="false">IF(ISBLANK($C445),"",IF(ISNUMBER($I445),IF($I445&gt;=0,$I445,""),""))</f>
        <v/>
      </c>
      <c r="AM445" s="100" t="str">
        <f aca="false">IF(ISBLANK($C445),"",IF(ISNUMBER($J445),IF($J445&gt;=0,$J445,""),""))</f>
        <v/>
      </c>
      <c r="AN445" s="100" t="str">
        <f aca="false">IF(ISBLANK($C445),"",IF(ISNUMBER($K445),IF($K445&gt;=0,$K445,""),""))</f>
        <v/>
      </c>
      <c r="AO445" s="100" t="str">
        <f aca="false">IF(ISBLANK($C445),"",IF($L445=Constants!$B$2,TRUE(),IF($L445=Constants!$B$3,FALSE(),TRUE())))</f>
        <v/>
      </c>
      <c r="AP445" s="100" t="str">
        <f aca="false">IF(ISBLANK($C445),"",IF($M445=Constants!$B$2,TRUE(),IF($M445=Constants!$B$3,FALSE(),TRUE())))</f>
        <v/>
      </c>
      <c r="AQ445" s="100" t="str">
        <f aca="false">IF(ISBLANK($C445),"",IF($N445=Constants!$B$2,TRUE(),IF($N445=Constants!$B$3,FALSE(),FALSE())))</f>
        <v/>
      </c>
      <c r="AR445" s="100" t="str">
        <f aca="false">IF(ISBLANK($C445),"",IF($O445=Constants!$B$2,TRUE(),IF($O445=Constants!$B$3,FALSE(),TRUE())))</f>
        <v/>
      </c>
      <c r="AS445" s="100" t="str">
        <f aca="false">IF(ISBLANK($C445),"",IF($P445=Constants!$B$2,TRUE(),IF($P445=Constants!$B$3,FALSE(),FALSE())))</f>
        <v/>
      </c>
      <c r="AT445" s="100" t="str">
        <f aca="false">IF(ISBLANK($C445),"",IF($Q445=Constants!$B$2,TRUE(),IF($Q445=Constants!$B$3,FALSE(),FALSE())))</f>
        <v/>
      </c>
      <c r="AU445" s="100" t="str">
        <f aca="false">IF(ISBLANK($C445),"",IF($R445=Constants!$B$2,TRUE(),IF($R445=Constants!$B$3,FALSE(),FALSE())))</f>
        <v/>
      </c>
      <c r="AV445" s="100" t="str">
        <f aca="false">IF(ISBLANK($C445),"",IF($S445=Constants!$B$2,TRUE(),IF($S445=Constants!$B$3,FALSE(),FALSE())))</f>
        <v/>
      </c>
      <c r="AW445" s="100" t="str">
        <f aca="false">IF(ISBLANK($C445),"",IF($T445=Constants!$B$2,TRUE(),IF($T445=Constants!$B$3,FALSE(),FALSE())))</f>
        <v/>
      </c>
      <c r="AX445" s="100" t="str">
        <f aca="false">IF(ISBLANK($C445),"",IF(OR($U445&amp;""="1",$U445&amp;""="2",$U445&amp;""="3",$U445&amp;""="4"),VALUE($U445&amp;""),IF($U445=Constants!$B$12,Constants!$B$12,"")))</f>
        <v/>
      </c>
      <c r="AY445" s="100" t="str">
        <f aca="false">IF(ISBLANK($C445),"",IF(ISBLANK($V445),0,IF(ISNUMBER($V445),IF(AND($V445&gt;=0,$V445&lt;=Constants!$B$21,$V445=INT($V445)),$V445,""),"")))</f>
        <v/>
      </c>
      <c r="AZ445" s="100" t="str">
        <f aca="false">IF(ISBLANK($C445),"",IF(ISBLANK($W445),0,IF(ISNUMBER($W445),IF($W445&gt;=0,$W445,""),"")))</f>
        <v/>
      </c>
      <c r="BA445" s="100" t="str">
        <f aca="false">IF(ISBLANK($C445),"",IF($X445=Constants!$B$2,TRUE(),IF($X445=Constants!$B$3,FALSE(),TRUE())))</f>
        <v/>
      </c>
      <c r="BB445" s="100" t="str">
        <f aca="false">IF(ISBLANK($C445),"",IF($Y445=Constants!$B$2,TRUE(),IF($Y445=Constants!$B$3,FALSE(),FALSE())))</f>
        <v/>
      </c>
      <c r="BC445" s="100" t="str">
        <f aca="false">IF(ISBLANK($C445),"",IF(ISBLANK($Z445),0,IF(ISNUMBER($Z445),IF(AND($Z445&gt;=0,$Z445&lt;=Constants!$B$35,$Z445=INT($Z445)),$Z445,""),"")))</f>
        <v/>
      </c>
      <c r="BD445" s="100" t="str">
        <f aca="false">IF(ISBLANK($C445),"",IF($AA445=Constants!$B$2,TRUE(),IF($AA445=Constants!$B$3,FALSE(),TRUE())))</f>
        <v/>
      </c>
      <c r="BE445" s="100" t="str">
        <f aca="false">IF(ISBLANK($C445),"",IF($AB445=Constants!$B$2,TRUE(),IF($AB445=Constants!$B$3,FALSE(),TRUE())))</f>
        <v/>
      </c>
      <c r="BF445" s="100" t="str">
        <f aca="false">IF(ISBLANK($C445),"",IF(ISNUMBER($AC445),IF($AC445&gt;=0,$AC445,""),""))</f>
        <v/>
      </c>
      <c r="BG445" s="100" t="str">
        <f aca="false">IF(ISBLANK($C445),"",IF($AD445=Constants!$B$2,TRUE(),IF($AD445=Constants!$B$3,FALSE(),FALSE())))</f>
        <v/>
      </c>
      <c r="BH445" s="99" t="str">
        <f aca="false">IF(ISBLANK($C445),"",IF($BG445,Constants!$B$7,IF(COUNTA($E445:$AC445)=0,Constants!$B$6,IF(OR(COUNTA($G445:$AC445)=0,NOT($AK445),$AQ445),Constants!$B$5,IF(OR($CI445&lt;&gt;"",$CJ445,$CK445,$CL445,$CM445,$CN445,$CO445),Constants!$B$8,Constants!$B$4)))))</f>
        <v/>
      </c>
      <c r="BI445" s="100" t="str">
        <f aca="false">IF(ISBLANK($C445),"",IF($BH445&lt;&gt;Constants!$B$4,$BH445,IF(OR(NOT($AH445),NOT($AJ445),NOT($AR445)),Constants!$B$11,IF(OR(NOT($AP445),MAX($AL445,$AM445,$AN445)&gt;Constants!$B$30),Constants!$B$10,Constants!$B$9))))</f>
        <v/>
      </c>
      <c r="BJ445" s="100" t="str">
        <f aca="false">IF($BH445&lt;&gt;Constants!$B$4,"",IF(NOT($AJ445),0,MIN(Constants!$B$35,$BC445)))</f>
        <v/>
      </c>
      <c r="BK445" s="100" t="str">
        <f aca="false">IF($BH445&lt;&gt;Constants!$B$4,"",IF(NOT($AJ445),0,IF($AT445,Constants!$B$18,IF($AS445,Constants!$B$17,0))))</f>
        <v/>
      </c>
      <c r="BL445" s="100" t="str">
        <f aca="false">IF($BH445&lt;&gt;Constants!$B$4,"",IF(NOT($AJ445),0,Constants!$B$19*($AI445+$AU445+$AV445+$AW445)))</f>
        <v/>
      </c>
      <c r="BM445" s="100" t="str">
        <f aca="false">IF($BH445&lt;&gt;Constants!$B$4,"",IF(OR(NOT($AJ445),NOT(ISNUMBER($AX445))),0,CHOOSE($AX445,Constants!$B$13,Constants!$B$14,Constants!$B$15,Constants!$B$16)))</f>
        <v/>
      </c>
      <c r="BN445" s="100" t="str">
        <f aca="false">IF($BH445&lt;&gt;Constants!$B$4,"",IF(NOT($AJ445),0,Constants!$B$20*$AY445))</f>
        <v/>
      </c>
      <c r="BO445" s="100" t="str">
        <f aca="false">IF($BH445&lt;&gt;Constants!$B$4,"",IF(AND($AJ445,$BA445,$BB445),Constants!$B$22,0))</f>
        <v/>
      </c>
      <c r="BP445" s="100" t="str">
        <f aca="false">IF($BH445&lt;&gt;Constants!$B$4,"",IF(OR(NOT($AJ445),NOT($BA445)),0,IF($BF445&gt;=2*$AF$9,0,Constants!$B$23*INT(ROUND(MIN($BF445,$AF$9),6)))))</f>
        <v/>
      </c>
      <c r="BQ445" s="100" t="str">
        <f aca="false">IF($BH445&lt;&gt;Constants!$B$4,"",IF(NOT($AJ445),0,Constants!$B$24*INT(ROUND(MIN($AZ445,$AF$9),6))))</f>
        <v/>
      </c>
      <c r="BR445" s="100" t="str">
        <f aca="false">IF($BH445&lt;&gt;Constants!$B$4,"",IF(AND($AJ445,$BJ445=0),Constants!$B$25,0))</f>
        <v/>
      </c>
      <c r="BS445" s="100" t="str">
        <f aca="false">IF($BH445&lt;&gt;Constants!$B$4,"",MIN(Constants!$B$29,MAX(0,Constants!$B$27*Constants!$B$28*INT(ROUND((Constants!$B$26-$AL445)/Constants!$B$28,6))))+MIN(Constants!$B$29,MAX(0,Constants!$B$27*Constants!$B$28*INT(ROUND((Constants!$B$26-$AM445)/Constants!$B$28,6))))+MIN(Constants!$B$29,MAX(0,Constants!$B$27*Constants!$B$28*INT(ROUND((Constants!$B$26-$AN445)/Constants!$B$28,6)))))</f>
        <v/>
      </c>
      <c r="BT445" s="100" t="str">
        <f aca="false">IF($BH445&lt;&gt;Constants!$B$4,"",IF(NOT($AJ445),0,Constants!$B$31*INT(ROUND(MAX(0,MIN($BF445,2*$AF$9)-$AF$9),6))))</f>
        <v/>
      </c>
      <c r="BU445" s="100" t="str">
        <f aca="false">IF($BH445&lt;&gt;Constants!$B$4,"",Constants!$B$32*(($AL445&gt;Constants!$B$26)+($AM445&gt;Constants!$B$26)+($AN445&gt;Constants!$B$26)))</f>
        <v/>
      </c>
      <c r="BV445" s="100" t="str">
        <f aca="false">IF($BH445&lt;&gt;Constants!$B$4,"",IF(OR(NOT($AJ445),$AO445),0,Constants!$B$33))</f>
        <v/>
      </c>
      <c r="BW445" s="100" t="str">
        <f aca="false">IF($BH445&lt;&gt;Constants!$B$4,"",Constants!$B$34*$BJ445)</f>
        <v/>
      </c>
      <c r="BX445" s="100" t="str">
        <f aca="false">IF($BH445&lt;&gt;Constants!$B$4,"",IF(OR(NOT($AJ445),$BE445),0,Constants!$B$36))</f>
        <v/>
      </c>
      <c r="BY445" s="100" t="str">
        <f aca="false">IF($BH445&lt;&gt;Constants!$B$4,"",IF(OR(NOT($AJ445),$BD445),0,Constants!$B$37))</f>
        <v/>
      </c>
      <c r="BZ445" s="100" t="str">
        <f aca="false">IF($BH445&lt;&gt;Constants!$B$4,"",SUM($BT445:$BY445))</f>
        <v/>
      </c>
      <c r="CA445" s="100" t="str">
        <f aca="false">IF(ISBLANK($C445),"",IF($BH445&lt;&gt;Constants!$B$4,$BH445,SUM($BK445:$BS445)-$BZ445))</f>
        <v/>
      </c>
      <c r="CB445" s="100" t="str">
        <f aca="false">IF(ISBLANK($C445),"",IF($BH445&lt;&gt;Constants!$B$4,$BH445,RANK($CA445,$CA$9:$CA$508)))</f>
        <v/>
      </c>
      <c r="CC445" s="100" t="str">
        <f aca="false">IF(ISBLANK($C445),"",IF($BH445&lt;&gt;Constants!$B$4,$BH445,COUNTIFS($BI$9:$BI$508,"&lt;"&amp;$BI445)+COUNTIFS($BI$9:$BI$508,$BI445,$CB$9:$CB$508,"&lt;"&amp;$CB445)+1))</f>
        <v/>
      </c>
      <c r="CD445" s="100" t="str">
        <f aca="false">IF(ISBLANK($C445),"",IF($BH445&lt;&gt;Constants!$B$4,$BH445,RANK($BZ445,$BZ$9:$BZ$508,1)))</f>
        <v/>
      </c>
      <c r="CE445" s="100" t="str">
        <f aca="false">IF($BH445&lt;&gt;Constants!$B$4,"",$AL445+$AM445+$AN445)</f>
        <v/>
      </c>
      <c r="CF445" s="100" t="str">
        <f aca="false">IF(ISBLANK($C445),"",IF($BH445&lt;&gt;Constants!$B$4,$BH445,RANK($CE445,$CE$9:$CE$508,1)))</f>
        <v/>
      </c>
      <c r="CG445" s="100" t="str">
        <f aca="false">IF(ISBLANK($C445),"",IF($BH445&lt;&gt;Constants!$B$4,$BH445,COUNTIFS($BI$9:$BI$508,"&lt;"&amp;$BI445)+COUNTIFS($BI$9:$BI$508,$BI445,$CB$9:$CB$508,"&lt;"&amp;$CB445)+COUNTIFS($BI$9:$BI$508,$BI445,$CB$9:$CB$508,$CB445,$CD$9:$CD$508,"&lt;"&amp;$CD445)+COUNTIFS($BI$9:$BI$508,$BI445,$CB$9:$CB$508,$CB445,$CD$9:$CD$508,$CD445,$CF$9:$CF$508,"&lt;"&amp;$CF445)+1))</f>
        <v/>
      </c>
      <c r="CH445" s="100" t="str">
        <f aca="false">IF(ISBLANK($C445),"",IF($BH445&lt;&gt;Constants!$B$4,$BH445,$CC445-$CG445))</f>
        <v/>
      </c>
      <c r="CI445" s="100" t="str">
        <f aca="false">IF(ISBLANK($C445),"",IF(NOT($AJ445),"",IF(ISBLANK($D$7),$CI$5,IF(NOT(ISNUMBER($D$7)),$CI$6,""))))</f>
        <v/>
      </c>
      <c r="CJ445" s="100" t="str">
        <f aca="false">IF(ISBLANK($C445),"",OR($AL445="",$AM445="",$AN445=""))</f>
        <v/>
      </c>
      <c r="CK445" s="100" t="str">
        <f aca="false">IF(ISBLANK($C445),"",AND($AJ445,$AX445=""))</f>
        <v/>
      </c>
      <c r="CL445" s="100" t="str">
        <f aca="false">IF(ISBLANK($C445),"",AND($AJ445,$AY445=""))</f>
        <v/>
      </c>
      <c r="CM445" s="100" t="str">
        <f aca="false">IF(ISBLANK($C445),"",AND($AJ445,$AZ445=""))</f>
        <v/>
      </c>
      <c r="CN445" s="100" t="str">
        <f aca="false">IF(ISBLANK($C445),"",AND($AJ445,$BC445=""))</f>
        <v/>
      </c>
      <c r="CO445" s="100" t="str">
        <f aca="false">IF(ISBLANK($C445),"",AND($AJ445,$BF445=""))</f>
        <v/>
      </c>
      <c r="CP445" s="101"/>
      <c r="CQ445" s="102"/>
      <c r="CR445" s="103" t="str">
        <f aca="false">IF(ISBLANK($C445),"",IF($BH445=Constants!$B$8,$CI445,""))</f>
        <v/>
      </c>
      <c r="CS445" s="102" t="str">
        <f aca="false">IF(ISBLANK($C445),"",IF($BH445&lt;&gt;Constants!$B$4,"",$BK445+$BL445))</f>
        <v/>
      </c>
      <c r="CT445" s="104" t="str">
        <f aca="false">IF(ISBLANK($C445),"",IF($BH445&lt;&gt;Constants!$B$4,"",$BM445+$BN445+$BO445))</f>
        <v/>
      </c>
      <c r="CU445" s="104" t="str">
        <f aca="false">IF(ISBLANK($C445),"",IF($BH445&lt;&gt;Constants!$B$4,"",$BP445))</f>
        <v/>
      </c>
      <c r="CV445" s="104" t="str">
        <f aca="false">IF(ISBLANK($C445),"",IF($BH445&lt;&gt;Constants!$B$4,"",$BQ445+$BR445))</f>
        <v/>
      </c>
      <c r="CW445" s="104" t="str">
        <f aca="false">IF(ISBLANK($C445),"",IF($BH445&lt;&gt;Constants!$B$4,"",$BS445))</f>
        <v/>
      </c>
      <c r="CX445" s="104" t="str">
        <f aca="false">IF(ISBLANK($C445),"",IF($BH445&lt;&gt;Constants!$B$4,"",-$BZ445))</f>
        <v/>
      </c>
      <c r="CY445" s="103" t="str">
        <f aca="false">IF(ISBLANK($C445),"",$CA445)</f>
        <v/>
      </c>
      <c r="CZ445" s="105" t="str">
        <f aca="false">IF(ISBLANK($C445),"",$BI445)</f>
        <v/>
      </c>
      <c r="DA445" s="104" t="str">
        <f aca="false">IF(ISBLANK($C445),"",$CH445)</f>
        <v/>
      </c>
      <c r="DB445" s="104" t="str">
        <f aca="false">IF(ISBLANK($C445),"",$CG445)</f>
        <v/>
      </c>
      <c r="DC445" s="106" t="str">
        <f aca="false">IF(ISBLANK($C445),"",IFERROR(_xlfn.SWITCH($DB445,Constants!$B$7,COUNTA($C$9:$C$508)+2,Constants!$B$6,COUNTA($C$9:$C$508)+1,Constants!$B$5,COUNTA($C$9:$C$508)),$DB445))</f>
        <v/>
      </c>
      <c r="DD445" s="7"/>
      <c r="DE445" s="107" t="n">
        <f aca="false">IF(OR(ISNUMBER($DB445),$DB445=Constants!$B$7,$DB445=Constants!$B$5,$DB445=Constants!$B$6),1,0)</f>
        <v>0</v>
      </c>
      <c r="DF445" s="107" t="n">
        <v>437</v>
      </c>
      <c r="DG445" s="107" t="str">
        <f aca="false">IF(ISBLANK($C445),"",IF(ISNUMBER($DC445),$DC445+ROW($B445)/1000,""))</f>
        <v/>
      </c>
      <c r="DH445" s="107" t="str">
        <f aca="false">IF(ISNUMBER($DG445),RANK($DG445,$DG$9:$DG$508,1),"")</f>
        <v/>
      </c>
      <c r="DI445" s="107" t="str">
        <f aca="false">IF(ISBLANK($C445),"",$B445)</f>
        <v/>
      </c>
      <c r="DJ445" s="107" t="str">
        <f aca="false">IF(ISBLANK($C445),"",$C445)</f>
        <v/>
      </c>
      <c r="DK445" s="107" t="str">
        <f aca="false">IF(ISBLANK($C445),"",$D445)</f>
        <v/>
      </c>
      <c r="DL445" s="108" t="str">
        <f aca="false">$CZ445</f>
        <v/>
      </c>
      <c r="DM445" s="109" t="str">
        <f aca="false">$CY445</f>
        <v/>
      </c>
      <c r="DN445" s="107" t="str">
        <f aca="false">IF(ISBLANK($C445),"",$DB445)</f>
        <v/>
      </c>
      <c r="DO445" s="110" t="str">
        <f aca="false">IF($DF445&gt;$DE$8,"",VLOOKUP($DF445,$DH$9:$DN$508,7,FALSE()))</f>
        <v/>
      </c>
      <c r="DP445" s="111" t="str">
        <f aca="false">IF($DF445&gt;$DE$8,"",VLOOKUP($DF445,$DH$9:$DN$508,2,FALSE()))</f>
        <v/>
      </c>
      <c r="DQ445" s="111" t="str">
        <f aca="false">IF($DF445&gt;$DE$8,"",VLOOKUP($DF445,$DH$9:$DN$508,3,FALSE()))</f>
        <v/>
      </c>
      <c r="DR445" s="111" t="str">
        <f aca="false">IF($DF445&gt;$DE$8,"",VLOOKUP($DF445,$DH$9:$DN$508,4,FALSE()))</f>
        <v/>
      </c>
      <c r="DS445" s="111" t="str">
        <f aca="false">IF($DF445&gt;$DE$8,"",VLOOKUP($DF445,$DH$9:$DN$508,5,FALSE()))</f>
        <v/>
      </c>
      <c r="DT445" s="112" t="str">
        <f aca="false">IF($DF445&gt;$DE$8,"",VLOOKUP($DF445,$DH$9:$DN$508,6,FALSE()))</f>
        <v/>
      </c>
      <c r="DU445" s="62"/>
    </row>
    <row r="446" customFormat="false" ht="15.75" hidden="false" customHeight="false" outlineLevel="0" collapsed="false">
      <c r="A446" s="7"/>
      <c r="B446" s="90"/>
      <c r="C446" s="91"/>
      <c r="D446" s="126"/>
      <c r="E446" s="130"/>
      <c r="F446" s="135"/>
      <c r="G446" s="130"/>
      <c r="H446" s="135"/>
      <c r="I446" s="131"/>
      <c r="J446" s="131"/>
      <c r="K446" s="131"/>
      <c r="L446" s="130"/>
      <c r="M446" s="130"/>
      <c r="N446" s="130"/>
      <c r="O446" s="135"/>
      <c r="P446" s="130"/>
      <c r="Q446" s="130"/>
      <c r="R446" s="130"/>
      <c r="S446" s="130"/>
      <c r="T446" s="135"/>
      <c r="U446" s="130"/>
      <c r="V446" s="96"/>
      <c r="W446" s="130"/>
      <c r="X446" s="130"/>
      <c r="Y446" s="96"/>
      <c r="Z446" s="96"/>
      <c r="AA446" s="130"/>
      <c r="AB446" s="130"/>
      <c r="AC446" s="97"/>
      <c r="AD446" s="130"/>
      <c r="AE446" s="99"/>
      <c r="AF446" s="100"/>
      <c r="AG446" s="100"/>
      <c r="AH446" s="100" t="str">
        <f aca="false">IF(ISBLANK($C446),"",IF($E446=Constants!$B$2,TRUE(),IF($E446=Constants!$B$3,FALSE(),TRUE())))</f>
        <v/>
      </c>
      <c r="AI446" s="100" t="str">
        <f aca="false">IF(ISBLANK($C446),"",IF($F446=Constants!$B$2,TRUE(),IF($F446=Constants!$B$3,FALSE(),FALSE())))</f>
        <v/>
      </c>
      <c r="AJ446" s="100" t="str">
        <f aca="false">IF(ISBLANK($C446),"",IF($G446=Constants!$B$2,TRUE(),IF($G446=Constants!$B$3,FALSE(),TRUE())))</f>
        <v/>
      </c>
      <c r="AK446" s="100" t="str">
        <f aca="false">IF(ISBLANK($C446),"",IF($H446=Constants!$B$2,TRUE(),IF($H446=Constants!$B$3,FALSE(),TRUE())))</f>
        <v/>
      </c>
      <c r="AL446" s="100" t="str">
        <f aca="false">IF(ISBLANK($C446),"",IF(ISNUMBER($I446),IF($I446&gt;=0,$I446,""),""))</f>
        <v/>
      </c>
      <c r="AM446" s="100" t="str">
        <f aca="false">IF(ISBLANK($C446),"",IF(ISNUMBER($J446),IF($J446&gt;=0,$J446,""),""))</f>
        <v/>
      </c>
      <c r="AN446" s="100" t="str">
        <f aca="false">IF(ISBLANK($C446),"",IF(ISNUMBER($K446),IF($K446&gt;=0,$K446,""),""))</f>
        <v/>
      </c>
      <c r="AO446" s="100" t="str">
        <f aca="false">IF(ISBLANK($C446),"",IF($L446=Constants!$B$2,TRUE(),IF($L446=Constants!$B$3,FALSE(),TRUE())))</f>
        <v/>
      </c>
      <c r="AP446" s="100" t="str">
        <f aca="false">IF(ISBLANK($C446),"",IF($M446=Constants!$B$2,TRUE(),IF($M446=Constants!$B$3,FALSE(),TRUE())))</f>
        <v/>
      </c>
      <c r="AQ446" s="100" t="str">
        <f aca="false">IF(ISBLANK($C446),"",IF($N446=Constants!$B$2,TRUE(),IF($N446=Constants!$B$3,FALSE(),FALSE())))</f>
        <v/>
      </c>
      <c r="AR446" s="100" t="str">
        <f aca="false">IF(ISBLANK($C446),"",IF($O446=Constants!$B$2,TRUE(),IF($O446=Constants!$B$3,FALSE(),TRUE())))</f>
        <v/>
      </c>
      <c r="AS446" s="100" t="str">
        <f aca="false">IF(ISBLANK($C446),"",IF($P446=Constants!$B$2,TRUE(),IF($P446=Constants!$B$3,FALSE(),FALSE())))</f>
        <v/>
      </c>
      <c r="AT446" s="100" t="str">
        <f aca="false">IF(ISBLANK($C446),"",IF($Q446=Constants!$B$2,TRUE(),IF($Q446=Constants!$B$3,FALSE(),FALSE())))</f>
        <v/>
      </c>
      <c r="AU446" s="100" t="str">
        <f aca="false">IF(ISBLANK($C446),"",IF($R446=Constants!$B$2,TRUE(),IF($R446=Constants!$B$3,FALSE(),FALSE())))</f>
        <v/>
      </c>
      <c r="AV446" s="100" t="str">
        <f aca="false">IF(ISBLANK($C446),"",IF($S446=Constants!$B$2,TRUE(),IF($S446=Constants!$B$3,FALSE(),FALSE())))</f>
        <v/>
      </c>
      <c r="AW446" s="100" t="str">
        <f aca="false">IF(ISBLANK($C446),"",IF($T446=Constants!$B$2,TRUE(),IF($T446=Constants!$B$3,FALSE(),FALSE())))</f>
        <v/>
      </c>
      <c r="AX446" s="100" t="str">
        <f aca="false">IF(ISBLANK($C446),"",IF(OR($U446&amp;""="1",$U446&amp;""="2",$U446&amp;""="3",$U446&amp;""="4"),VALUE($U446&amp;""),IF($U446=Constants!$B$12,Constants!$B$12,"")))</f>
        <v/>
      </c>
      <c r="AY446" s="100" t="str">
        <f aca="false">IF(ISBLANK($C446),"",IF(ISBLANK($V446),0,IF(ISNUMBER($V446),IF(AND($V446&gt;=0,$V446&lt;=Constants!$B$21,$V446=INT($V446)),$V446,""),"")))</f>
        <v/>
      </c>
      <c r="AZ446" s="100" t="str">
        <f aca="false">IF(ISBLANK($C446),"",IF(ISBLANK($W446),0,IF(ISNUMBER($W446),IF($W446&gt;=0,$W446,""),"")))</f>
        <v/>
      </c>
      <c r="BA446" s="100" t="str">
        <f aca="false">IF(ISBLANK($C446),"",IF($X446=Constants!$B$2,TRUE(),IF($X446=Constants!$B$3,FALSE(),TRUE())))</f>
        <v/>
      </c>
      <c r="BB446" s="100" t="str">
        <f aca="false">IF(ISBLANK($C446),"",IF($Y446=Constants!$B$2,TRUE(),IF($Y446=Constants!$B$3,FALSE(),FALSE())))</f>
        <v/>
      </c>
      <c r="BC446" s="100" t="str">
        <f aca="false">IF(ISBLANK($C446),"",IF(ISBLANK($Z446),0,IF(ISNUMBER($Z446),IF(AND($Z446&gt;=0,$Z446&lt;=Constants!$B$35,$Z446=INT($Z446)),$Z446,""),"")))</f>
        <v/>
      </c>
      <c r="BD446" s="100" t="str">
        <f aca="false">IF(ISBLANK($C446),"",IF($AA446=Constants!$B$2,TRUE(),IF($AA446=Constants!$B$3,FALSE(),TRUE())))</f>
        <v/>
      </c>
      <c r="BE446" s="100" t="str">
        <f aca="false">IF(ISBLANK($C446),"",IF($AB446=Constants!$B$2,TRUE(),IF($AB446=Constants!$B$3,FALSE(),TRUE())))</f>
        <v/>
      </c>
      <c r="BF446" s="100" t="str">
        <f aca="false">IF(ISBLANK($C446),"",IF(ISNUMBER($AC446),IF($AC446&gt;=0,$AC446,""),""))</f>
        <v/>
      </c>
      <c r="BG446" s="100" t="str">
        <f aca="false">IF(ISBLANK($C446),"",IF($AD446=Constants!$B$2,TRUE(),IF($AD446=Constants!$B$3,FALSE(),FALSE())))</f>
        <v/>
      </c>
      <c r="BH446" s="99" t="str">
        <f aca="false">IF(ISBLANK($C446),"",IF($BG446,Constants!$B$7,IF(COUNTA($E446:$AC446)=0,Constants!$B$6,IF(OR(COUNTA($G446:$AC446)=0,NOT($AK446),$AQ446),Constants!$B$5,IF(OR($CI446&lt;&gt;"",$CJ446,$CK446,$CL446,$CM446,$CN446,$CO446),Constants!$B$8,Constants!$B$4)))))</f>
        <v/>
      </c>
      <c r="BI446" s="100" t="str">
        <f aca="false">IF(ISBLANK($C446),"",IF($BH446&lt;&gt;Constants!$B$4,$BH446,IF(OR(NOT($AH446),NOT($AJ446),NOT($AR446)),Constants!$B$11,IF(OR(NOT($AP446),MAX($AL446,$AM446,$AN446)&gt;Constants!$B$30),Constants!$B$10,Constants!$B$9))))</f>
        <v/>
      </c>
      <c r="BJ446" s="100" t="str">
        <f aca="false">IF($BH446&lt;&gt;Constants!$B$4,"",IF(NOT($AJ446),0,MIN(Constants!$B$35,$BC446)))</f>
        <v/>
      </c>
      <c r="BK446" s="100" t="str">
        <f aca="false">IF($BH446&lt;&gt;Constants!$B$4,"",IF(NOT($AJ446),0,IF($AT446,Constants!$B$18,IF($AS446,Constants!$B$17,0))))</f>
        <v/>
      </c>
      <c r="BL446" s="100" t="str">
        <f aca="false">IF($BH446&lt;&gt;Constants!$B$4,"",IF(NOT($AJ446),0,Constants!$B$19*($AI446+$AU446+$AV446+$AW446)))</f>
        <v/>
      </c>
      <c r="BM446" s="100" t="str">
        <f aca="false">IF($BH446&lt;&gt;Constants!$B$4,"",IF(OR(NOT($AJ446),NOT(ISNUMBER($AX446))),0,CHOOSE($AX446,Constants!$B$13,Constants!$B$14,Constants!$B$15,Constants!$B$16)))</f>
        <v/>
      </c>
      <c r="BN446" s="100" t="str">
        <f aca="false">IF($BH446&lt;&gt;Constants!$B$4,"",IF(NOT($AJ446),0,Constants!$B$20*$AY446))</f>
        <v/>
      </c>
      <c r="BO446" s="100" t="str">
        <f aca="false">IF($BH446&lt;&gt;Constants!$B$4,"",IF(AND($AJ446,$BA446,$BB446),Constants!$B$22,0))</f>
        <v/>
      </c>
      <c r="BP446" s="100" t="str">
        <f aca="false">IF($BH446&lt;&gt;Constants!$B$4,"",IF(OR(NOT($AJ446),NOT($BA446)),0,IF($BF446&gt;=2*$AF$9,0,Constants!$B$23*INT(ROUND(MIN($BF446,$AF$9),6)))))</f>
        <v/>
      </c>
      <c r="BQ446" s="100" t="str">
        <f aca="false">IF($BH446&lt;&gt;Constants!$B$4,"",IF(NOT($AJ446),0,Constants!$B$24*INT(ROUND(MIN($AZ446,$AF$9),6))))</f>
        <v/>
      </c>
      <c r="BR446" s="100" t="str">
        <f aca="false">IF($BH446&lt;&gt;Constants!$B$4,"",IF(AND($AJ446,$BJ446=0),Constants!$B$25,0))</f>
        <v/>
      </c>
      <c r="BS446" s="100" t="str">
        <f aca="false">IF($BH446&lt;&gt;Constants!$B$4,"",MIN(Constants!$B$29,MAX(0,Constants!$B$27*Constants!$B$28*INT(ROUND((Constants!$B$26-$AL446)/Constants!$B$28,6))))+MIN(Constants!$B$29,MAX(0,Constants!$B$27*Constants!$B$28*INT(ROUND((Constants!$B$26-$AM446)/Constants!$B$28,6))))+MIN(Constants!$B$29,MAX(0,Constants!$B$27*Constants!$B$28*INT(ROUND((Constants!$B$26-$AN446)/Constants!$B$28,6)))))</f>
        <v/>
      </c>
      <c r="BT446" s="100" t="str">
        <f aca="false">IF($BH446&lt;&gt;Constants!$B$4,"",IF(NOT($AJ446),0,Constants!$B$31*INT(ROUND(MAX(0,MIN($BF446,2*$AF$9)-$AF$9),6))))</f>
        <v/>
      </c>
      <c r="BU446" s="100" t="str">
        <f aca="false">IF($BH446&lt;&gt;Constants!$B$4,"",Constants!$B$32*(($AL446&gt;Constants!$B$26)+($AM446&gt;Constants!$B$26)+($AN446&gt;Constants!$B$26)))</f>
        <v/>
      </c>
      <c r="BV446" s="100" t="str">
        <f aca="false">IF($BH446&lt;&gt;Constants!$B$4,"",IF(OR(NOT($AJ446),$AO446),0,Constants!$B$33))</f>
        <v/>
      </c>
      <c r="BW446" s="100" t="str">
        <f aca="false">IF($BH446&lt;&gt;Constants!$B$4,"",Constants!$B$34*$BJ446)</f>
        <v/>
      </c>
      <c r="BX446" s="100" t="str">
        <f aca="false">IF($BH446&lt;&gt;Constants!$B$4,"",IF(OR(NOT($AJ446),$BE446),0,Constants!$B$36))</f>
        <v/>
      </c>
      <c r="BY446" s="100" t="str">
        <f aca="false">IF($BH446&lt;&gt;Constants!$B$4,"",IF(OR(NOT($AJ446),$BD446),0,Constants!$B$37))</f>
        <v/>
      </c>
      <c r="BZ446" s="100" t="str">
        <f aca="false">IF($BH446&lt;&gt;Constants!$B$4,"",SUM($BT446:$BY446))</f>
        <v/>
      </c>
      <c r="CA446" s="100" t="str">
        <f aca="false">IF(ISBLANK($C446),"",IF($BH446&lt;&gt;Constants!$B$4,$BH446,SUM($BK446:$BS446)-$BZ446))</f>
        <v/>
      </c>
      <c r="CB446" s="100" t="str">
        <f aca="false">IF(ISBLANK($C446),"",IF($BH446&lt;&gt;Constants!$B$4,$BH446,RANK($CA446,$CA$9:$CA$508)))</f>
        <v/>
      </c>
      <c r="CC446" s="100" t="str">
        <f aca="false">IF(ISBLANK($C446),"",IF($BH446&lt;&gt;Constants!$B$4,$BH446,COUNTIFS($BI$9:$BI$508,"&lt;"&amp;$BI446)+COUNTIFS($BI$9:$BI$508,$BI446,$CB$9:$CB$508,"&lt;"&amp;$CB446)+1))</f>
        <v/>
      </c>
      <c r="CD446" s="100" t="str">
        <f aca="false">IF(ISBLANK($C446),"",IF($BH446&lt;&gt;Constants!$B$4,$BH446,RANK($BZ446,$BZ$9:$BZ$508,1)))</f>
        <v/>
      </c>
      <c r="CE446" s="100" t="str">
        <f aca="false">IF($BH446&lt;&gt;Constants!$B$4,"",$AL446+$AM446+$AN446)</f>
        <v/>
      </c>
      <c r="CF446" s="100" t="str">
        <f aca="false">IF(ISBLANK($C446),"",IF($BH446&lt;&gt;Constants!$B$4,$BH446,RANK($CE446,$CE$9:$CE$508,1)))</f>
        <v/>
      </c>
      <c r="CG446" s="100" t="str">
        <f aca="false">IF(ISBLANK($C446),"",IF($BH446&lt;&gt;Constants!$B$4,$BH446,COUNTIFS($BI$9:$BI$508,"&lt;"&amp;$BI446)+COUNTIFS($BI$9:$BI$508,$BI446,$CB$9:$CB$508,"&lt;"&amp;$CB446)+COUNTIFS($BI$9:$BI$508,$BI446,$CB$9:$CB$508,$CB446,$CD$9:$CD$508,"&lt;"&amp;$CD446)+COUNTIFS($BI$9:$BI$508,$BI446,$CB$9:$CB$508,$CB446,$CD$9:$CD$508,$CD446,$CF$9:$CF$508,"&lt;"&amp;$CF446)+1))</f>
        <v/>
      </c>
      <c r="CH446" s="100" t="str">
        <f aca="false">IF(ISBLANK($C446),"",IF($BH446&lt;&gt;Constants!$B$4,$BH446,$CC446-$CG446))</f>
        <v/>
      </c>
      <c r="CI446" s="100" t="str">
        <f aca="false">IF(ISBLANK($C446),"",IF(NOT($AJ446),"",IF(ISBLANK($D$7),$CI$5,IF(NOT(ISNUMBER($D$7)),$CI$6,""))))</f>
        <v/>
      </c>
      <c r="CJ446" s="100" t="str">
        <f aca="false">IF(ISBLANK($C446),"",OR($AL446="",$AM446="",$AN446=""))</f>
        <v/>
      </c>
      <c r="CK446" s="100" t="str">
        <f aca="false">IF(ISBLANK($C446),"",AND($AJ446,$AX446=""))</f>
        <v/>
      </c>
      <c r="CL446" s="100" t="str">
        <f aca="false">IF(ISBLANK($C446),"",AND($AJ446,$AY446=""))</f>
        <v/>
      </c>
      <c r="CM446" s="100" t="str">
        <f aca="false">IF(ISBLANK($C446),"",AND($AJ446,$AZ446=""))</f>
        <v/>
      </c>
      <c r="CN446" s="100" t="str">
        <f aca="false">IF(ISBLANK($C446),"",AND($AJ446,$BC446=""))</f>
        <v/>
      </c>
      <c r="CO446" s="100" t="str">
        <f aca="false">IF(ISBLANK($C446),"",AND($AJ446,$BF446=""))</f>
        <v/>
      </c>
      <c r="CP446" s="101"/>
      <c r="CQ446" s="102"/>
      <c r="CR446" s="103" t="str">
        <f aca="false">IF(ISBLANK($C446),"",IF($BH446=Constants!$B$8,$CI446,""))</f>
        <v/>
      </c>
      <c r="CS446" s="102" t="str">
        <f aca="false">IF(ISBLANK($C446),"",IF($BH446&lt;&gt;Constants!$B$4,"",$BK446+$BL446))</f>
        <v/>
      </c>
      <c r="CT446" s="104" t="str">
        <f aca="false">IF(ISBLANK($C446),"",IF($BH446&lt;&gt;Constants!$B$4,"",$BM446+$BN446+$BO446))</f>
        <v/>
      </c>
      <c r="CU446" s="104" t="str">
        <f aca="false">IF(ISBLANK($C446),"",IF($BH446&lt;&gt;Constants!$B$4,"",$BP446))</f>
        <v/>
      </c>
      <c r="CV446" s="104" t="str">
        <f aca="false">IF(ISBLANK($C446),"",IF($BH446&lt;&gt;Constants!$B$4,"",$BQ446+$BR446))</f>
        <v/>
      </c>
      <c r="CW446" s="104" t="str">
        <f aca="false">IF(ISBLANK($C446),"",IF($BH446&lt;&gt;Constants!$B$4,"",$BS446))</f>
        <v/>
      </c>
      <c r="CX446" s="104" t="str">
        <f aca="false">IF(ISBLANK($C446),"",IF($BH446&lt;&gt;Constants!$B$4,"",-$BZ446))</f>
        <v/>
      </c>
      <c r="CY446" s="103" t="str">
        <f aca="false">IF(ISBLANK($C446),"",$CA446)</f>
        <v/>
      </c>
      <c r="CZ446" s="105" t="str">
        <f aca="false">IF(ISBLANK($C446),"",$BI446)</f>
        <v/>
      </c>
      <c r="DA446" s="104" t="str">
        <f aca="false">IF(ISBLANK($C446),"",$CH446)</f>
        <v/>
      </c>
      <c r="DB446" s="104" t="str">
        <f aca="false">IF(ISBLANK($C446),"",$CG446)</f>
        <v/>
      </c>
      <c r="DC446" s="106" t="str">
        <f aca="false">IF(ISBLANK($C446),"",IFERROR(_xlfn.SWITCH($DB446,Constants!$B$7,COUNTA($C$9:$C$508)+2,Constants!$B$6,COUNTA($C$9:$C$508)+1,Constants!$B$5,COUNTA($C$9:$C$508)),$DB446))</f>
        <v/>
      </c>
      <c r="DD446" s="7"/>
      <c r="DE446" s="107" t="n">
        <f aca="false">IF(OR(ISNUMBER($DB446),$DB446=Constants!$B$7,$DB446=Constants!$B$5,$DB446=Constants!$B$6),1,0)</f>
        <v>0</v>
      </c>
      <c r="DF446" s="107" t="n">
        <v>438</v>
      </c>
      <c r="DG446" s="107" t="str">
        <f aca="false">IF(ISBLANK($C446),"",IF(ISNUMBER($DC446),$DC446+ROW($B446)/1000,""))</f>
        <v/>
      </c>
      <c r="DH446" s="107" t="str">
        <f aca="false">IF(ISNUMBER($DG446),RANK($DG446,$DG$9:$DG$508,1),"")</f>
        <v/>
      </c>
      <c r="DI446" s="107" t="str">
        <f aca="false">IF(ISBLANK($C446),"",$B446)</f>
        <v/>
      </c>
      <c r="DJ446" s="107" t="str">
        <f aca="false">IF(ISBLANK($C446),"",$C446)</f>
        <v/>
      </c>
      <c r="DK446" s="107" t="str">
        <f aca="false">IF(ISBLANK($C446),"",$D446)</f>
        <v/>
      </c>
      <c r="DL446" s="108" t="str">
        <f aca="false">$CZ446</f>
        <v/>
      </c>
      <c r="DM446" s="109" t="str">
        <f aca="false">$CY446</f>
        <v/>
      </c>
      <c r="DN446" s="107" t="str">
        <f aca="false">IF(ISBLANK($C446),"",$DB446)</f>
        <v/>
      </c>
      <c r="DO446" s="110" t="str">
        <f aca="false">IF($DF446&gt;$DE$8,"",VLOOKUP($DF446,$DH$9:$DN$508,7,FALSE()))</f>
        <v/>
      </c>
      <c r="DP446" s="111" t="str">
        <f aca="false">IF($DF446&gt;$DE$8,"",VLOOKUP($DF446,$DH$9:$DN$508,2,FALSE()))</f>
        <v/>
      </c>
      <c r="DQ446" s="111" t="str">
        <f aca="false">IF($DF446&gt;$DE$8,"",VLOOKUP($DF446,$DH$9:$DN$508,3,FALSE()))</f>
        <v/>
      </c>
      <c r="DR446" s="111" t="str">
        <f aca="false">IF($DF446&gt;$DE$8,"",VLOOKUP($DF446,$DH$9:$DN$508,4,FALSE()))</f>
        <v/>
      </c>
      <c r="DS446" s="111" t="str">
        <f aca="false">IF($DF446&gt;$DE$8,"",VLOOKUP($DF446,$DH$9:$DN$508,5,FALSE()))</f>
        <v/>
      </c>
      <c r="DT446" s="112" t="str">
        <f aca="false">IF($DF446&gt;$DE$8,"",VLOOKUP($DF446,$DH$9:$DN$508,6,FALSE()))</f>
        <v/>
      </c>
      <c r="DU446" s="62"/>
    </row>
    <row r="447" customFormat="false" ht="15.75" hidden="false" customHeight="false" outlineLevel="0" collapsed="false">
      <c r="A447" s="7"/>
      <c r="B447" s="64"/>
      <c r="C447" s="65"/>
      <c r="D447" s="123"/>
      <c r="E447" s="88"/>
      <c r="F447" s="134"/>
      <c r="G447" s="88"/>
      <c r="H447" s="134"/>
      <c r="I447" s="119"/>
      <c r="J447" s="119"/>
      <c r="K447" s="119"/>
      <c r="L447" s="88"/>
      <c r="M447" s="88"/>
      <c r="N447" s="88"/>
      <c r="O447" s="134"/>
      <c r="P447" s="88"/>
      <c r="Q447" s="88"/>
      <c r="R447" s="88"/>
      <c r="S447" s="88"/>
      <c r="T447" s="134"/>
      <c r="U447" s="88"/>
      <c r="V447" s="70"/>
      <c r="W447" s="88"/>
      <c r="X447" s="88"/>
      <c r="Y447" s="70"/>
      <c r="Z447" s="70"/>
      <c r="AA447" s="88"/>
      <c r="AB447" s="88"/>
      <c r="AC447" s="71"/>
      <c r="AD447" s="88"/>
      <c r="AE447" s="73"/>
      <c r="AF447" s="74"/>
      <c r="AG447" s="74"/>
      <c r="AH447" s="74" t="str">
        <f aca="false">IF(ISBLANK($C447),"",IF($E447=Constants!$B$2,TRUE(),IF($E447=Constants!$B$3,FALSE(),TRUE())))</f>
        <v/>
      </c>
      <c r="AI447" s="74" t="str">
        <f aca="false">IF(ISBLANK($C447),"",IF($F447=Constants!$B$2,TRUE(),IF($F447=Constants!$B$3,FALSE(),FALSE())))</f>
        <v/>
      </c>
      <c r="AJ447" s="74" t="str">
        <f aca="false">IF(ISBLANK($C447),"",IF($G447=Constants!$B$2,TRUE(),IF($G447=Constants!$B$3,FALSE(),TRUE())))</f>
        <v/>
      </c>
      <c r="AK447" s="74" t="str">
        <f aca="false">IF(ISBLANK($C447),"",IF($H447=Constants!$B$2,TRUE(),IF($H447=Constants!$B$3,FALSE(),TRUE())))</f>
        <v/>
      </c>
      <c r="AL447" s="74" t="str">
        <f aca="false">IF(ISBLANK($C447),"",IF(ISNUMBER($I447),IF($I447&gt;=0,$I447,""),""))</f>
        <v/>
      </c>
      <c r="AM447" s="74" t="str">
        <f aca="false">IF(ISBLANK($C447),"",IF(ISNUMBER($J447),IF($J447&gt;=0,$J447,""),""))</f>
        <v/>
      </c>
      <c r="AN447" s="74" t="str">
        <f aca="false">IF(ISBLANK($C447),"",IF(ISNUMBER($K447),IF($K447&gt;=0,$K447,""),""))</f>
        <v/>
      </c>
      <c r="AO447" s="74" t="str">
        <f aca="false">IF(ISBLANK($C447),"",IF($L447=Constants!$B$2,TRUE(),IF($L447=Constants!$B$3,FALSE(),TRUE())))</f>
        <v/>
      </c>
      <c r="AP447" s="74" t="str">
        <f aca="false">IF(ISBLANK($C447),"",IF($M447=Constants!$B$2,TRUE(),IF($M447=Constants!$B$3,FALSE(),TRUE())))</f>
        <v/>
      </c>
      <c r="AQ447" s="74" t="str">
        <f aca="false">IF(ISBLANK($C447),"",IF($N447=Constants!$B$2,TRUE(),IF($N447=Constants!$B$3,FALSE(),FALSE())))</f>
        <v/>
      </c>
      <c r="AR447" s="74" t="str">
        <f aca="false">IF(ISBLANK($C447),"",IF($O447=Constants!$B$2,TRUE(),IF($O447=Constants!$B$3,FALSE(),TRUE())))</f>
        <v/>
      </c>
      <c r="AS447" s="74" t="str">
        <f aca="false">IF(ISBLANK($C447),"",IF($P447=Constants!$B$2,TRUE(),IF($P447=Constants!$B$3,FALSE(),FALSE())))</f>
        <v/>
      </c>
      <c r="AT447" s="74" t="str">
        <f aca="false">IF(ISBLANK($C447),"",IF($Q447=Constants!$B$2,TRUE(),IF($Q447=Constants!$B$3,FALSE(),FALSE())))</f>
        <v/>
      </c>
      <c r="AU447" s="74" t="str">
        <f aca="false">IF(ISBLANK($C447),"",IF($R447=Constants!$B$2,TRUE(),IF($R447=Constants!$B$3,FALSE(),FALSE())))</f>
        <v/>
      </c>
      <c r="AV447" s="74" t="str">
        <f aca="false">IF(ISBLANK($C447),"",IF($S447=Constants!$B$2,TRUE(),IF($S447=Constants!$B$3,FALSE(),FALSE())))</f>
        <v/>
      </c>
      <c r="AW447" s="74" t="str">
        <f aca="false">IF(ISBLANK($C447),"",IF($T447=Constants!$B$2,TRUE(),IF($T447=Constants!$B$3,FALSE(),FALSE())))</f>
        <v/>
      </c>
      <c r="AX447" s="74" t="str">
        <f aca="false">IF(ISBLANK($C447),"",IF(OR($U447&amp;""="1",$U447&amp;""="2",$U447&amp;""="3",$U447&amp;""="4"),VALUE($U447&amp;""),IF($U447=Constants!$B$12,Constants!$B$12,"")))</f>
        <v/>
      </c>
      <c r="AY447" s="74" t="str">
        <f aca="false">IF(ISBLANK($C447),"",IF(ISBLANK($V447),0,IF(ISNUMBER($V447),IF(AND($V447&gt;=0,$V447&lt;=Constants!$B$21,$V447=INT($V447)),$V447,""),"")))</f>
        <v/>
      </c>
      <c r="AZ447" s="74" t="str">
        <f aca="false">IF(ISBLANK($C447),"",IF(ISBLANK($W447),0,IF(ISNUMBER($W447),IF($W447&gt;=0,$W447,""),"")))</f>
        <v/>
      </c>
      <c r="BA447" s="74" t="str">
        <f aca="false">IF(ISBLANK($C447),"",IF($X447=Constants!$B$2,TRUE(),IF($X447=Constants!$B$3,FALSE(),TRUE())))</f>
        <v/>
      </c>
      <c r="BB447" s="74" t="str">
        <f aca="false">IF(ISBLANK($C447),"",IF($Y447=Constants!$B$2,TRUE(),IF($Y447=Constants!$B$3,FALSE(),FALSE())))</f>
        <v/>
      </c>
      <c r="BC447" s="74" t="str">
        <f aca="false">IF(ISBLANK($C447),"",IF(ISBLANK($Z447),0,IF(ISNUMBER($Z447),IF(AND($Z447&gt;=0,$Z447&lt;=Constants!$B$35,$Z447=INT($Z447)),$Z447,""),"")))</f>
        <v/>
      </c>
      <c r="BD447" s="74" t="str">
        <f aca="false">IF(ISBLANK($C447),"",IF($AA447=Constants!$B$2,TRUE(),IF($AA447=Constants!$B$3,FALSE(),TRUE())))</f>
        <v/>
      </c>
      <c r="BE447" s="74" t="str">
        <f aca="false">IF(ISBLANK($C447),"",IF($AB447=Constants!$B$2,TRUE(),IF($AB447=Constants!$B$3,FALSE(),TRUE())))</f>
        <v/>
      </c>
      <c r="BF447" s="74" t="str">
        <f aca="false">IF(ISBLANK($C447),"",IF(ISNUMBER($AC447),IF($AC447&gt;=0,$AC447,""),""))</f>
        <v/>
      </c>
      <c r="BG447" s="74" t="str">
        <f aca="false">IF(ISBLANK($C447),"",IF($AD447=Constants!$B$2,TRUE(),IF($AD447=Constants!$B$3,FALSE(),FALSE())))</f>
        <v/>
      </c>
      <c r="BH447" s="73" t="str">
        <f aca="false">IF(ISBLANK($C447),"",IF($BG447,Constants!$B$7,IF(COUNTA($E447:$AC447)=0,Constants!$B$6,IF(OR(COUNTA($G447:$AC447)=0,NOT($AK447),$AQ447),Constants!$B$5,IF(OR($CI447&lt;&gt;"",$CJ447,$CK447,$CL447,$CM447,$CN447,$CO447),Constants!$B$8,Constants!$B$4)))))</f>
        <v/>
      </c>
      <c r="BI447" s="74" t="str">
        <f aca="false">IF(ISBLANK($C447),"",IF($BH447&lt;&gt;Constants!$B$4,$BH447,IF(OR(NOT($AH447),NOT($AJ447),NOT($AR447)),Constants!$B$11,IF(OR(NOT($AP447),MAX($AL447,$AM447,$AN447)&gt;Constants!$B$30),Constants!$B$10,Constants!$B$9))))</f>
        <v/>
      </c>
      <c r="BJ447" s="74" t="str">
        <f aca="false">IF($BH447&lt;&gt;Constants!$B$4,"",IF(NOT($AJ447),0,MIN(Constants!$B$35,$BC447)))</f>
        <v/>
      </c>
      <c r="BK447" s="74" t="str">
        <f aca="false">IF($BH447&lt;&gt;Constants!$B$4,"",IF(NOT($AJ447),0,IF($AT447,Constants!$B$18,IF($AS447,Constants!$B$17,0))))</f>
        <v/>
      </c>
      <c r="BL447" s="74" t="str">
        <f aca="false">IF($BH447&lt;&gt;Constants!$B$4,"",IF(NOT($AJ447),0,Constants!$B$19*($AI447+$AU447+$AV447+$AW447)))</f>
        <v/>
      </c>
      <c r="BM447" s="74" t="str">
        <f aca="false">IF($BH447&lt;&gt;Constants!$B$4,"",IF(OR(NOT($AJ447),NOT(ISNUMBER($AX447))),0,CHOOSE($AX447,Constants!$B$13,Constants!$B$14,Constants!$B$15,Constants!$B$16)))</f>
        <v/>
      </c>
      <c r="BN447" s="74" t="str">
        <f aca="false">IF($BH447&lt;&gt;Constants!$B$4,"",IF(NOT($AJ447),0,Constants!$B$20*$AY447))</f>
        <v/>
      </c>
      <c r="BO447" s="74" t="str">
        <f aca="false">IF($BH447&lt;&gt;Constants!$B$4,"",IF(AND($AJ447,$BA447,$BB447),Constants!$B$22,0))</f>
        <v/>
      </c>
      <c r="BP447" s="74" t="str">
        <f aca="false">IF($BH447&lt;&gt;Constants!$B$4,"",IF(OR(NOT($AJ447),NOT($BA447)),0,IF($BF447&gt;=2*$AF$9,0,Constants!$B$23*INT(ROUND(MIN($BF447,$AF$9),6)))))</f>
        <v/>
      </c>
      <c r="BQ447" s="74" t="str">
        <f aca="false">IF($BH447&lt;&gt;Constants!$B$4,"",IF(NOT($AJ447),0,Constants!$B$24*INT(ROUND(MIN($AZ447,$AF$9),6))))</f>
        <v/>
      </c>
      <c r="BR447" s="74" t="str">
        <f aca="false">IF($BH447&lt;&gt;Constants!$B$4,"",IF(AND($AJ447,$BJ447=0),Constants!$B$25,0))</f>
        <v/>
      </c>
      <c r="BS447" s="74" t="str">
        <f aca="false">IF($BH447&lt;&gt;Constants!$B$4,"",MIN(Constants!$B$29,MAX(0,Constants!$B$27*Constants!$B$28*INT(ROUND((Constants!$B$26-$AL447)/Constants!$B$28,6))))+MIN(Constants!$B$29,MAX(0,Constants!$B$27*Constants!$B$28*INT(ROUND((Constants!$B$26-$AM447)/Constants!$B$28,6))))+MIN(Constants!$B$29,MAX(0,Constants!$B$27*Constants!$B$28*INT(ROUND((Constants!$B$26-$AN447)/Constants!$B$28,6)))))</f>
        <v/>
      </c>
      <c r="BT447" s="74" t="str">
        <f aca="false">IF($BH447&lt;&gt;Constants!$B$4,"",IF(NOT($AJ447),0,Constants!$B$31*INT(ROUND(MAX(0,MIN($BF447,2*$AF$9)-$AF$9),6))))</f>
        <v/>
      </c>
      <c r="BU447" s="74" t="str">
        <f aca="false">IF($BH447&lt;&gt;Constants!$B$4,"",Constants!$B$32*(($AL447&gt;Constants!$B$26)+($AM447&gt;Constants!$B$26)+($AN447&gt;Constants!$B$26)))</f>
        <v/>
      </c>
      <c r="BV447" s="74" t="str">
        <f aca="false">IF($BH447&lt;&gt;Constants!$B$4,"",IF(OR(NOT($AJ447),$AO447),0,Constants!$B$33))</f>
        <v/>
      </c>
      <c r="BW447" s="74" t="str">
        <f aca="false">IF($BH447&lt;&gt;Constants!$B$4,"",Constants!$B$34*$BJ447)</f>
        <v/>
      </c>
      <c r="BX447" s="74" t="str">
        <f aca="false">IF($BH447&lt;&gt;Constants!$B$4,"",IF(OR(NOT($AJ447),$BE447),0,Constants!$B$36))</f>
        <v/>
      </c>
      <c r="BY447" s="74" t="str">
        <f aca="false">IF($BH447&lt;&gt;Constants!$B$4,"",IF(OR(NOT($AJ447),$BD447),0,Constants!$B$37))</f>
        <v/>
      </c>
      <c r="BZ447" s="74" t="str">
        <f aca="false">IF($BH447&lt;&gt;Constants!$B$4,"",SUM($BT447:$BY447))</f>
        <v/>
      </c>
      <c r="CA447" s="74" t="str">
        <f aca="false">IF(ISBLANK($C447),"",IF($BH447&lt;&gt;Constants!$B$4,$BH447,SUM($BK447:$BS447)-$BZ447))</f>
        <v/>
      </c>
      <c r="CB447" s="74" t="str">
        <f aca="false">IF(ISBLANK($C447),"",IF($BH447&lt;&gt;Constants!$B$4,$BH447,RANK($CA447,$CA$9:$CA$508)))</f>
        <v/>
      </c>
      <c r="CC447" s="74" t="str">
        <f aca="false">IF(ISBLANK($C447),"",IF($BH447&lt;&gt;Constants!$B$4,$BH447,COUNTIFS($BI$9:$BI$508,"&lt;"&amp;$BI447)+COUNTIFS($BI$9:$BI$508,$BI447,$CB$9:$CB$508,"&lt;"&amp;$CB447)+1))</f>
        <v/>
      </c>
      <c r="CD447" s="74" t="str">
        <f aca="false">IF(ISBLANK($C447),"",IF($BH447&lt;&gt;Constants!$B$4,$BH447,RANK($BZ447,$BZ$9:$BZ$508,1)))</f>
        <v/>
      </c>
      <c r="CE447" s="74" t="str">
        <f aca="false">IF($BH447&lt;&gt;Constants!$B$4,"",$AL447+$AM447+$AN447)</f>
        <v/>
      </c>
      <c r="CF447" s="74" t="str">
        <f aca="false">IF(ISBLANK($C447),"",IF($BH447&lt;&gt;Constants!$B$4,$BH447,RANK($CE447,$CE$9:$CE$508,1)))</f>
        <v/>
      </c>
      <c r="CG447" s="74" t="str">
        <f aca="false">IF(ISBLANK($C447),"",IF($BH447&lt;&gt;Constants!$B$4,$BH447,COUNTIFS($BI$9:$BI$508,"&lt;"&amp;$BI447)+COUNTIFS($BI$9:$BI$508,$BI447,$CB$9:$CB$508,"&lt;"&amp;$CB447)+COUNTIFS($BI$9:$BI$508,$BI447,$CB$9:$CB$508,$CB447,$CD$9:$CD$508,"&lt;"&amp;$CD447)+COUNTIFS($BI$9:$BI$508,$BI447,$CB$9:$CB$508,$CB447,$CD$9:$CD$508,$CD447,$CF$9:$CF$508,"&lt;"&amp;$CF447)+1))</f>
        <v/>
      </c>
      <c r="CH447" s="74" t="str">
        <f aca="false">IF(ISBLANK($C447),"",IF($BH447&lt;&gt;Constants!$B$4,$BH447,$CC447-$CG447))</f>
        <v/>
      </c>
      <c r="CI447" s="74" t="str">
        <f aca="false">IF(ISBLANK($C447),"",IF(NOT($AJ447),"",IF(ISBLANK($D$7),$CI$5,IF(NOT(ISNUMBER($D$7)),$CI$6,""))))</f>
        <v/>
      </c>
      <c r="CJ447" s="74" t="str">
        <f aca="false">IF(ISBLANK($C447),"",OR($AL447="",$AM447="",$AN447=""))</f>
        <v/>
      </c>
      <c r="CK447" s="74" t="str">
        <f aca="false">IF(ISBLANK($C447),"",AND($AJ447,$AX447=""))</f>
        <v/>
      </c>
      <c r="CL447" s="74" t="str">
        <f aca="false">IF(ISBLANK($C447),"",AND($AJ447,$AY447=""))</f>
        <v/>
      </c>
      <c r="CM447" s="74" t="str">
        <f aca="false">IF(ISBLANK($C447),"",AND($AJ447,$AZ447=""))</f>
        <v/>
      </c>
      <c r="CN447" s="74" t="str">
        <f aca="false">IF(ISBLANK($C447),"",AND($AJ447,$BC447=""))</f>
        <v/>
      </c>
      <c r="CO447" s="74" t="str">
        <f aca="false">IF(ISBLANK($C447),"",AND($AJ447,$BF447=""))</f>
        <v/>
      </c>
      <c r="CP447" s="75"/>
      <c r="CQ447" s="76"/>
      <c r="CR447" s="79" t="str">
        <f aca="false">IF(ISBLANK($C447),"",IF($BH447=Constants!$B$8,$CI447,""))</f>
        <v/>
      </c>
      <c r="CS447" s="76" t="str">
        <f aca="false">IF(ISBLANK($C447),"",IF($BH447&lt;&gt;Constants!$B$4,"",$BK447+$BL447))</f>
        <v/>
      </c>
      <c r="CT447" s="78" t="str">
        <f aca="false">IF(ISBLANK($C447),"",IF($BH447&lt;&gt;Constants!$B$4,"",$BM447+$BN447+$BO447))</f>
        <v/>
      </c>
      <c r="CU447" s="78" t="str">
        <f aca="false">IF(ISBLANK($C447),"",IF($BH447&lt;&gt;Constants!$B$4,"",$BP447))</f>
        <v/>
      </c>
      <c r="CV447" s="78" t="str">
        <f aca="false">IF(ISBLANK($C447),"",IF($BH447&lt;&gt;Constants!$B$4,"",$BQ447+$BR447))</f>
        <v/>
      </c>
      <c r="CW447" s="78" t="str">
        <f aca="false">IF(ISBLANK($C447),"",IF($BH447&lt;&gt;Constants!$B$4,"",$BS447))</f>
        <v/>
      </c>
      <c r="CX447" s="78" t="str">
        <f aca="false">IF(ISBLANK($C447),"",IF($BH447&lt;&gt;Constants!$B$4,"",-$BZ447))</f>
        <v/>
      </c>
      <c r="CY447" s="79" t="str">
        <f aca="false">IF(ISBLANK($C447),"",$CA447)</f>
        <v/>
      </c>
      <c r="CZ447" s="80" t="str">
        <f aca="false">IF(ISBLANK($C447),"",$BI447)</f>
        <v/>
      </c>
      <c r="DA447" s="78" t="str">
        <f aca="false">IF(ISBLANK($C447),"",$CH447)</f>
        <v/>
      </c>
      <c r="DB447" s="78" t="str">
        <f aca="false">IF(ISBLANK($C447),"",$CG447)</f>
        <v/>
      </c>
      <c r="DC447" s="81" t="str">
        <f aca="false">IF(ISBLANK($C447),"",IFERROR(_xlfn.SWITCH($DB447,Constants!$B$7,COUNTA($C$9:$C$508)+2,Constants!$B$6,COUNTA($C$9:$C$508)+1,Constants!$B$5,COUNTA($C$9:$C$508)),$DB447))</f>
        <v/>
      </c>
      <c r="DD447" s="7"/>
      <c r="DE447" s="82" t="n">
        <f aca="false">IF(OR(ISNUMBER($DB447),$DB447=Constants!$B$7,$DB447=Constants!$B$5,$DB447=Constants!$B$6),1,0)</f>
        <v>0</v>
      </c>
      <c r="DF447" s="82" t="n">
        <v>439</v>
      </c>
      <c r="DG447" s="82" t="str">
        <f aca="false">IF(ISBLANK($C447),"",IF(ISNUMBER($DC447),$DC447+ROW($B447)/1000,""))</f>
        <v/>
      </c>
      <c r="DH447" s="82" t="str">
        <f aca="false">IF(ISNUMBER($DG447),RANK($DG447,$DG$9:$DG$508,1),"")</f>
        <v/>
      </c>
      <c r="DI447" s="82" t="str">
        <f aca="false">IF(ISBLANK($C447),"",$B447)</f>
        <v/>
      </c>
      <c r="DJ447" s="82" t="str">
        <f aca="false">IF(ISBLANK($C447),"",$C447)</f>
        <v/>
      </c>
      <c r="DK447" s="82" t="str">
        <f aca="false">IF(ISBLANK($C447),"",$D447)</f>
        <v/>
      </c>
      <c r="DL447" s="83" t="str">
        <f aca="false">$CZ447</f>
        <v/>
      </c>
      <c r="DM447" s="84" t="str">
        <f aca="false">$CY447</f>
        <v/>
      </c>
      <c r="DN447" s="82" t="str">
        <f aca="false">IF(ISBLANK($C447),"",$DB447)</f>
        <v/>
      </c>
      <c r="DO447" s="85" t="str">
        <f aca="false">IF($DF447&gt;$DE$8,"",VLOOKUP($DF447,$DH$9:$DN$508,7,FALSE()))</f>
        <v/>
      </c>
      <c r="DP447" s="86" t="str">
        <f aca="false">IF($DF447&gt;$DE$8,"",VLOOKUP($DF447,$DH$9:$DN$508,2,FALSE()))</f>
        <v/>
      </c>
      <c r="DQ447" s="86" t="str">
        <f aca="false">IF($DF447&gt;$DE$8,"",VLOOKUP($DF447,$DH$9:$DN$508,3,FALSE()))</f>
        <v/>
      </c>
      <c r="DR447" s="86" t="str">
        <f aca="false">IF($DF447&gt;$DE$8,"",VLOOKUP($DF447,$DH$9:$DN$508,4,FALSE()))</f>
        <v/>
      </c>
      <c r="DS447" s="86" t="str">
        <f aca="false">IF($DF447&gt;$DE$8,"",VLOOKUP($DF447,$DH$9:$DN$508,5,FALSE()))</f>
        <v/>
      </c>
      <c r="DT447" s="87" t="str">
        <f aca="false">IF($DF447&gt;$DE$8,"",VLOOKUP($DF447,$DH$9:$DN$508,6,FALSE()))</f>
        <v/>
      </c>
      <c r="DU447" s="62"/>
    </row>
    <row r="448" customFormat="false" ht="15.75" hidden="false" customHeight="false" outlineLevel="0" collapsed="false">
      <c r="A448" s="7"/>
      <c r="B448" s="64"/>
      <c r="C448" s="65"/>
      <c r="D448" s="123"/>
      <c r="E448" s="88"/>
      <c r="F448" s="134"/>
      <c r="G448" s="88"/>
      <c r="H448" s="134"/>
      <c r="I448" s="119"/>
      <c r="J448" s="119"/>
      <c r="K448" s="119"/>
      <c r="L448" s="88"/>
      <c r="M448" s="88"/>
      <c r="N448" s="88"/>
      <c r="O448" s="134"/>
      <c r="P448" s="88"/>
      <c r="Q448" s="88"/>
      <c r="R448" s="88"/>
      <c r="S448" s="88"/>
      <c r="T448" s="134"/>
      <c r="U448" s="88"/>
      <c r="V448" s="70"/>
      <c r="W448" s="88"/>
      <c r="X448" s="88"/>
      <c r="Y448" s="70"/>
      <c r="Z448" s="70"/>
      <c r="AA448" s="88"/>
      <c r="AB448" s="88"/>
      <c r="AC448" s="71"/>
      <c r="AD448" s="88"/>
      <c r="AE448" s="73"/>
      <c r="AF448" s="74"/>
      <c r="AG448" s="74"/>
      <c r="AH448" s="74" t="str">
        <f aca="false">IF(ISBLANK($C448),"",IF($E448=Constants!$B$2,TRUE(),IF($E448=Constants!$B$3,FALSE(),TRUE())))</f>
        <v/>
      </c>
      <c r="AI448" s="74" t="str">
        <f aca="false">IF(ISBLANK($C448),"",IF($F448=Constants!$B$2,TRUE(),IF($F448=Constants!$B$3,FALSE(),FALSE())))</f>
        <v/>
      </c>
      <c r="AJ448" s="74" t="str">
        <f aca="false">IF(ISBLANK($C448),"",IF($G448=Constants!$B$2,TRUE(),IF($G448=Constants!$B$3,FALSE(),TRUE())))</f>
        <v/>
      </c>
      <c r="AK448" s="74" t="str">
        <f aca="false">IF(ISBLANK($C448),"",IF($H448=Constants!$B$2,TRUE(),IF($H448=Constants!$B$3,FALSE(),TRUE())))</f>
        <v/>
      </c>
      <c r="AL448" s="74" t="str">
        <f aca="false">IF(ISBLANK($C448),"",IF(ISNUMBER($I448),IF($I448&gt;=0,$I448,""),""))</f>
        <v/>
      </c>
      <c r="AM448" s="74" t="str">
        <f aca="false">IF(ISBLANK($C448),"",IF(ISNUMBER($J448),IF($J448&gt;=0,$J448,""),""))</f>
        <v/>
      </c>
      <c r="AN448" s="74" t="str">
        <f aca="false">IF(ISBLANK($C448),"",IF(ISNUMBER($K448),IF($K448&gt;=0,$K448,""),""))</f>
        <v/>
      </c>
      <c r="AO448" s="74" t="str">
        <f aca="false">IF(ISBLANK($C448),"",IF($L448=Constants!$B$2,TRUE(),IF($L448=Constants!$B$3,FALSE(),TRUE())))</f>
        <v/>
      </c>
      <c r="AP448" s="74" t="str">
        <f aca="false">IF(ISBLANK($C448),"",IF($M448=Constants!$B$2,TRUE(),IF($M448=Constants!$B$3,FALSE(),TRUE())))</f>
        <v/>
      </c>
      <c r="AQ448" s="74" t="str">
        <f aca="false">IF(ISBLANK($C448),"",IF($N448=Constants!$B$2,TRUE(),IF($N448=Constants!$B$3,FALSE(),FALSE())))</f>
        <v/>
      </c>
      <c r="AR448" s="74" t="str">
        <f aca="false">IF(ISBLANK($C448),"",IF($O448=Constants!$B$2,TRUE(),IF($O448=Constants!$B$3,FALSE(),TRUE())))</f>
        <v/>
      </c>
      <c r="AS448" s="74" t="str">
        <f aca="false">IF(ISBLANK($C448),"",IF($P448=Constants!$B$2,TRUE(),IF($P448=Constants!$B$3,FALSE(),FALSE())))</f>
        <v/>
      </c>
      <c r="AT448" s="74" t="str">
        <f aca="false">IF(ISBLANK($C448),"",IF($Q448=Constants!$B$2,TRUE(),IF($Q448=Constants!$B$3,FALSE(),FALSE())))</f>
        <v/>
      </c>
      <c r="AU448" s="74" t="str">
        <f aca="false">IF(ISBLANK($C448),"",IF($R448=Constants!$B$2,TRUE(),IF($R448=Constants!$B$3,FALSE(),FALSE())))</f>
        <v/>
      </c>
      <c r="AV448" s="74" t="str">
        <f aca="false">IF(ISBLANK($C448),"",IF($S448=Constants!$B$2,TRUE(),IF($S448=Constants!$B$3,FALSE(),FALSE())))</f>
        <v/>
      </c>
      <c r="AW448" s="74" t="str">
        <f aca="false">IF(ISBLANK($C448),"",IF($T448=Constants!$B$2,TRUE(),IF($T448=Constants!$B$3,FALSE(),FALSE())))</f>
        <v/>
      </c>
      <c r="AX448" s="74" t="str">
        <f aca="false">IF(ISBLANK($C448),"",IF(OR($U448&amp;""="1",$U448&amp;""="2",$U448&amp;""="3",$U448&amp;""="4"),VALUE($U448&amp;""),IF($U448=Constants!$B$12,Constants!$B$12,"")))</f>
        <v/>
      </c>
      <c r="AY448" s="74" t="str">
        <f aca="false">IF(ISBLANK($C448),"",IF(ISBLANK($V448),0,IF(ISNUMBER($V448),IF(AND($V448&gt;=0,$V448&lt;=Constants!$B$21,$V448=INT($V448)),$V448,""),"")))</f>
        <v/>
      </c>
      <c r="AZ448" s="74" t="str">
        <f aca="false">IF(ISBLANK($C448),"",IF(ISBLANK($W448),0,IF(ISNUMBER($W448),IF($W448&gt;=0,$W448,""),"")))</f>
        <v/>
      </c>
      <c r="BA448" s="74" t="str">
        <f aca="false">IF(ISBLANK($C448),"",IF($X448=Constants!$B$2,TRUE(),IF($X448=Constants!$B$3,FALSE(),TRUE())))</f>
        <v/>
      </c>
      <c r="BB448" s="74" t="str">
        <f aca="false">IF(ISBLANK($C448),"",IF($Y448=Constants!$B$2,TRUE(),IF($Y448=Constants!$B$3,FALSE(),FALSE())))</f>
        <v/>
      </c>
      <c r="BC448" s="74" t="str">
        <f aca="false">IF(ISBLANK($C448),"",IF(ISBLANK($Z448),0,IF(ISNUMBER($Z448),IF(AND($Z448&gt;=0,$Z448&lt;=Constants!$B$35,$Z448=INT($Z448)),$Z448,""),"")))</f>
        <v/>
      </c>
      <c r="BD448" s="74" t="str">
        <f aca="false">IF(ISBLANK($C448),"",IF($AA448=Constants!$B$2,TRUE(),IF($AA448=Constants!$B$3,FALSE(),TRUE())))</f>
        <v/>
      </c>
      <c r="BE448" s="74" t="str">
        <f aca="false">IF(ISBLANK($C448),"",IF($AB448=Constants!$B$2,TRUE(),IF($AB448=Constants!$B$3,FALSE(),TRUE())))</f>
        <v/>
      </c>
      <c r="BF448" s="74" t="str">
        <f aca="false">IF(ISBLANK($C448),"",IF(ISNUMBER($AC448),IF($AC448&gt;=0,$AC448,""),""))</f>
        <v/>
      </c>
      <c r="BG448" s="74" t="str">
        <f aca="false">IF(ISBLANK($C448),"",IF($AD448=Constants!$B$2,TRUE(),IF($AD448=Constants!$B$3,FALSE(),FALSE())))</f>
        <v/>
      </c>
      <c r="BH448" s="73" t="str">
        <f aca="false">IF(ISBLANK($C448),"",IF($BG448,Constants!$B$7,IF(COUNTA($E448:$AC448)=0,Constants!$B$6,IF(OR(COUNTA($G448:$AC448)=0,NOT($AK448),$AQ448),Constants!$B$5,IF(OR($CI448&lt;&gt;"",$CJ448,$CK448,$CL448,$CM448,$CN448,$CO448),Constants!$B$8,Constants!$B$4)))))</f>
        <v/>
      </c>
      <c r="BI448" s="74" t="str">
        <f aca="false">IF(ISBLANK($C448),"",IF($BH448&lt;&gt;Constants!$B$4,$BH448,IF(OR(NOT($AH448),NOT($AJ448),NOT($AR448)),Constants!$B$11,IF(OR(NOT($AP448),MAX($AL448,$AM448,$AN448)&gt;Constants!$B$30),Constants!$B$10,Constants!$B$9))))</f>
        <v/>
      </c>
      <c r="BJ448" s="74" t="str">
        <f aca="false">IF($BH448&lt;&gt;Constants!$B$4,"",IF(NOT($AJ448),0,MIN(Constants!$B$35,$BC448)))</f>
        <v/>
      </c>
      <c r="BK448" s="74" t="str">
        <f aca="false">IF($BH448&lt;&gt;Constants!$B$4,"",IF(NOT($AJ448),0,IF($AT448,Constants!$B$18,IF($AS448,Constants!$B$17,0))))</f>
        <v/>
      </c>
      <c r="BL448" s="74" t="str">
        <f aca="false">IF($BH448&lt;&gt;Constants!$B$4,"",IF(NOT($AJ448),0,Constants!$B$19*($AI448+$AU448+$AV448+$AW448)))</f>
        <v/>
      </c>
      <c r="BM448" s="74" t="str">
        <f aca="false">IF($BH448&lt;&gt;Constants!$B$4,"",IF(OR(NOT($AJ448),NOT(ISNUMBER($AX448))),0,CHOOSE($AX448,Constants!$B$13,Constants!$B$14,Constants!$B$15,Constants!$B$16)))</f>
        <v/>
      </c>
      <c r="BN448" s="74" t="str">
        <f aca="false">IF($BH448&lt;&gt;Constants!$B$4,"",IF(NOT($AJ448),0,Constants!$B$20*$AY448))</f>
        <v/>
      </c>
      <c r="BO448" s="74" t="str">
        <f aca="false">IF($BH448&lt;&gt;Constants!$B$4,"",IF(AND($AJ448,$BA448,$BB448),Constants!$B$22,0))</f>
        <v/>
      </c>
      <c r="BP448" s="74" t="str">
        <f aca="false">IF($BH448&lt;&gt;Constants!$B$4,"",IF(OR(NOT($AJ448),NOT($BA448)),0,IF($BF448&gt;=2*$AF$9,0,Constants!$B$23*INT(ROUND(MIN($BF448,$AF$9),6)))))</f>
        <v/>
      </c>
      <c r="BQ448" s="74" t="str">
        <f aca="false">IF($BH448&lt;&gt;Constants!$B$4,"",IF(NOT($AJ448),0,Constants!$B$24*INT(ROUND(MIN($AZ448,$AF$9),6))))</f>
        <v/>
      </c>
      <c r="BR448" s="74" t="str">
        <f aca="false">IF($BH448&lt;&gt;Constants!$B$4,"",IF(AND($AJ448,$BJ448=0),Constants!$B$25,0))</f>
        <v/>
      </c>
      <c r="BS448" s="74" t="str">
        <f aca="false">IF($BH448&lt;&gt;Constants!$B$4,"",MIN(Constants!$B$29,MAX(0,Constants!$B$27*Constants!$B$28*INT(ROUND((Constants!$B$26-$AL448)/Constants!$B$28,6))))+MIN(Constants!$B$29,MAX(0,Constants!$B$27*Constants!$B$28*INT(ROUND((Constants!$B$26-$AM448)/Constants!$B$28,6))))+MIN(Constants!$B$29,MAX(0,Constants!$B$27*Constants!$B$28*INT(ROUND((Constants!$B$26-$AN448)/Constants!$B$28,6)))))</f>
        <v/>
      </c>
      <c r="BT448" s="74" t="str">
        <f aca="false">IF($BH448&lt;&gt;Constants!$B$4,"",IF(NOT($AJ448),0,Constants!$B$31*INT(ROUND(MAX(0,MIN($BF448,2*$AF$9)-$AF$9),6))))</f>
        <v/>
      </c>
      <c r="BU448" s="74" t="str">
        <f aca="false">IF($BH448&lt;&gt;Constants!$B$4,"",Constants!$B$32*(($AL448&gt;Constants!$B$26)+($AM448&gt;Constants!$B$26)+($AN448&gt;Constants!$B$26)))</f>
        <v/>
      </c>
      <c r="BV448" s="74" t="str">
        <f aca="false">IF($BH448&lt;&gt;Constants!$B$4,"",IF(OR(NOT($AJ448),$AO448),0,Constants!$B$33))</f>
        <v/>
      </c>
      <c r="BW448" s="74" t="str">
        <f aca="false">IF($BH448&lt;&gt;Constants!$B$4,"",Constants!$B$34*$BJ448)</f>
        <v/>
      </c>
      <c r="BX448" s="74" t="str">
        <f aca="false">IF($BH448&lt;&gt;Constants!$B$4,"",IF(OR(NOT($AJ448),$BE448),0,Constants!$B$36))</f>
        <v/>
      </c>
      <c r="BY448" s="74" t="str">
        <f aca="false">IF($BH448&lt;&gt;Constants!$B$4,"",IF(OR(NOT($AJ448),$BD448),0,Constants!$B$37))</f>
        <v/>
      </c>
      <c r="BZ448" s="74" t="str">
        <f aca="false">IF($BH448&lt;&gt;Constants!$B$4,"",SUM($BT448:$BY448))</f>
        <v/>
      </c>
      <c r="CA448" s="74" t="str">
        <f aca="false">IF(ISBLANK($C448),"",IF($BH448&lt;&gt;Constants!$B$4,$BH448,SUM($BK448:$BS448)-$BZ448))</f>
        <v/>
      </c>
      <c r="CB448" s="74" t="str">
        <f aca="false">IF(ISBLANK($C448),"",IF($BH448&lt;&gt;Constants!$B$4,$BH448,RANK($CA448,$CA$9:$CA$508)))</f>
        <v/>
      </c>
      <c r="CC448" s="74" t="str">
        <f aca="false">IF(ISBLANK($C448),"",IF($BH448&lt;&gt;Constants!$B$4,$BH448,COUNTIFS($BI$9:$BI$508,"&lt;"&amp;$BI448)+COUNTIFS($BI$9:$BI$508,$BI448,$CB$9:$CB$508,"&lt;"&amp;$CB448)+1))</f>
        <v/>
      </c>
      <c r="CD448" s="74" t="str">
        <f aca="false">IF(ISBLANK($C448),"",IF($BH448&lt;&gt;Constants!$B$4,$BH448,RANK($BZ448,$BZ$9:$BZ$508,1)))</f>
        <v/>
      </c>
      <c r="CE448" s="74" t="str">
        <f aca="false">IF($BH448&lt;&gt;Constants!$B$4,"",$AL448+$AM448+$AN448)</f>
        <v/>
      </c>
      <c r="CF448" s="74" t="str">
        <f aca="false">IF(ISBLANK($C448),"",IF($BH448&lt;&gt;Constants!$B$4,$BH448,RANK($CE448,$CE$9:$CE$508,1)))</f>
        <v/>
      </c>
      <c r="CG448" s="74" t="str">
        <f aca="false">IF(ISBLANK($C448),"",IF($BH448&lt;&gt;Constants!$B$4,$BH448,COUNTIFS($BI$9:$BI$508,"&lt;"&amp;$BI448)+COUNTIFS($BI$9:$BI$508,$BI448,$CB$9:$CB$508,"&lt;"&amp;$CB448)+COUNTIFS($BI$9:$BI$508,$BI448,$CB$9:$CB$508,$CB448,$CD$9:$CD$508,"&lt;"&amp;$CD448)+COUNTIFS($BI$9:$BI$508,$BI448,$CB$9:$CB$508,$CB448,$CD$9:$CD$508,$CD448,$CF$9:$CF$508,"&lt;"&amp;$CF448)+1))</f>
        <v/>
      </c>
      <c r="CH448" s="74" t="str">
        <f aca="false">IF(ISBLANK($C448),"",IF($BH448&lt;&gt;Constants!$B$4,$BH448,$CC448-$CG448))</f>
        <v/>
      </c>
      <c r="CI448" s="74" t="str">
        <f aca="false">IF(ISBLANK($C448),"",IF(NOT($AJ448),"",IF(ISBLANK($D$7),$CI$5,IF(NOT(ISNUMBER($D$7)),$CI$6,""))))</f>
        <v/>
      </c>
      <c r="CJ448" s="74" t="str">
        <f aca="false">IF(ISBLANK($C448),"",OR($AL448="",$AM448="",$AN448=""))</f>
        <v/>
      </c>
      <c r="CK448" s="74" t="str">
        <f aca="false">IF(ISBLANK($C448),"",AND($AJ448,$AX448=""))</f>
        <v/>
      </c>
      <c r="CL448" s="74" t="str">
        <f aca="false">IF(ISBLANK($C448),"",AND($AJ448,$AY448=""))</f>
        <v/>
      </c>
      <c r="CM448" s="74" t="str">
        <f aca="false">IF(ISBLANK($C448),"",AND($AJ448,$AZ448=""))</f>
        <v/>
      </c>
      <c r="CN448" s="74" t="str">
        <f aca="false">IF(ISBLANK($C448),"",AND($AJ448,$BC448=""))</f>
        <v/>
      </c>
      <c r="CO448" s="74" t="str">
        <f aca="false">IF(ISBLANK($C448),"",AND($AJ448,$BF448=""))</f>
        <v/>
      </c>
      <c r="CP448" s="75"/>
      <c r="CQ448" s="76"/>
      <c r="CR448" s="79" t="str">
        <f aca="false">IF(ISBLANK($C448),"",IF($BH448=Constants!$B$8,$CI448,""))</f>
        <v/>
      </c>
      <c r="CS448" s="76" t="str">
        <f aca="false">IF(ISBLANK($C448),"",IF($BH448&lt;&gt;Constants!$B$4,"",$BK448+$BL448))</f>
        <v/>
      </c>
      <c r="CT448" s="78" t="str">
        <f aca="false">IF(ISBLANK($C448),"",IF($BH448&lt;&gt;Constants!$B$4,"",$BM448+$BN448+$BO448))</f>
        <v/>
      </c>
      <c r="CU448" s="78" t="str">
        <f aca="false">IF(ISBLANK($C448),"",IF($BH448&lt;&gt;Constants!$B$4,"",$BP448))</f>
        <v/>
      </c>
      <c r="CV448" s="78" t="str">
        <f aca="false">IF(ISBLANK($C448),"",IF($BH448&lt;&gt;Constants!$B$4,"",$BQ448+$BR448))</f>
        <v/>
      </c>
      <c r="CW448" s="78" t="str">
        <f aca="false">IF(ISBLANK($C448),"",IF($BH448&lt;&gt;Constants!$B$4,"",$BS448))</f>
        <v/>
      </c>
      <c r="CX448" s="78" t="str">
        <f aca="false">IF(ISBLANK($C448),"",IF($BH448&lt;&gt;Constants!$B$4,"",-$BZ448))</f>
        <v/>
      </c>
      <c r="CY448" s="79" t="str">
        <f aca="false">IF(ISBLANK($C448),"",$CA448)</f>
        <v/>
      </c>
      <c r="CZ448" s="80" t="str">
        <f aca="false">IF(ISBLANK($C448),"",$BI448)</f>
        <v/>
      </c>
      <c r="DA448" s="78" t="str">
        <f aca="false">IF(ISBLANK($C448),"",$CH448)</f>
        <v/>
      </c>
      <c r="DB448" s="78" t="str">
        <f aca="false">IF(ISBLANK($C448),"",$CG448)</f>
        <v/>
      </c>
      <c r="DC448" s="81" t="str">
        <f aca="false">IF(ISBLANK($C448),"",IFERROR(_xlfn.SWITCH($DB448,Constants!$B$7,COUNTA($C$9:$C$508)+2,Constants!$B$6,COUNTA($C$9:$C$508)+1,Constants!$B$5,COUNTA($C$9:$C$508)),$DB448))</f>
        <v/>
      </c>
      <c r="DD448" s="7"/>
      <c r="DE448" s="82" t="n">
        <f aca="false">IF(OR(ISNUMBER($DB448),$DB448=Constants!$B$7,$DB448=Constants!$B$5,$DB448=Constants!$B$6),1,0)</f>
        <v>0</v>
      </c>
      <c r="DF448" s="82" t="n">
        <v>440</v>
      </c>
      <c r="DG448" s="82" t="str">
        <f aca="false">IF(ISBLANK($C448),"",IF(ISNUMBER($DC448),$DC448+ROW($B448)/1000,""))</f>
        <v/>
      </c>
      <c r="DH448" s="82" t="str">
        <f aca="false">IF(ISNUMBER($DG448),RANK($DG448,$DG$9:$DG$508,1),"")</f>
        <v/>
      </c>
      <c r="DI448" s="82" t="str">
        <f aca="false">IF(ISBLANK($C448),"",$B448)</f>
        <v/>
      </c>
      <c r="DJ448" s="82" t="str">
        <f aca="false">IF(ISBLANK($C448),"",$C448)</f>
        <v/>
      </c>
      <c r="DK448" s="82" t="str">
        <f aca="false">IF(ISBLANK($C448),"",$D448)</f>
        <v/>
      </c>
      <c r="DL448" s="83" t="str">
        <f aca="false">$CZ448</f>
        <v/>
      </c>
      <c r="DM448" s="84" t="str">
        <f aca="false">$CY448</f>
        <v/>
      </c>
      <c r="DN448" s="82" t="str">
        <f aca="false">IF(ISBLANK($C448),"",$DB448)</f>
        <v/>
      </c>
      <c r="DO448" s="85" t="str">
        <f aca="false">IF($DF448&gt;$DE$8,"",VLOOKUP($DF448,$DH$9:$DN$508,7,FALSE()))</f>
        <v/>
      </c>
      <c r="DP448" s="86" t="str">
        <f aca="false">IF($DF448&gt;$DE$8,"",VLOOKUP($DF448,$DH$9:$DN$508,2,FALSE()))</f>
        <v/>
      </c>
      <c r="DQ448" s="86" t="str">
        <f aca="false">IF($DF448&gt;$DE$8,"",VLOOKUP($DF448,$DH$9:$DN$508,3,FALSE()))</f>
        <v/>
      </c>
      <c r="DR448" s="86" t="str">
        <f aca="false">IF($DF448&gt;$DE$8,"",VLOOKUP($DF448,$DH$9:$DN$508,4,FALSE()))</f>
        <v/>
      </c>
      <c r="DS448" s="86" t="str">
        <f aca="false">IF($DF448&gt;$DE$8,"",VLOOKUP($DF448,$DH$9:$DN$508,5,FALSE()))</f>
        <v/>
      </c>
      <c r="DT448" s="87" t="str">
        <f aca="false">IF($DF448&gt;$DE$8,"",VLOOKUP($DF448,$DH$9:$DN$508,6,FALSE()))</f>
        <v/>
      </c>
      <c r="DU448" s="62"/>
    </row>
    <row r="449" customFormat="false" ht="15.75" hidden="false" customHeight="false" outlineLevel="0" collapsed="false">
      <c r="A449" s="7"/>
      <c r="B449" s="64"/>
      <c r="C449" s="65"/>
      <c r="D449" s="123"/>
      <c r="E449" s="88"/>
      <c r="F449" s="134"/>
      <c r="G449" s="88"/>
      <c r="H449" s="134"/>
      <c r="I449" s="119"/>
      <c r="J449" s="119"/>
      <c r="K449" s="119"/>
      <c r="L449" s="88"/>
      <c r="M449" s="88"/>
      <c r="N449" s="88"/>
      <c r="O449" s="134"/>
      <c r="P449" s="88"/>
      <c r="Q449" s="88"/>
      <c r="R449" s="88"/>
      <c r="S449" s="88"/>
      <c r="T449" s="134"/>
      <c r="U449" s="88"/>
      <c r="V449" s="70"/>
      <c r="W449" s="88"/>
      <c r="X449" s="88"/>
      <c r="Y449" s="70"/>
      <c r="Z449" s="70"/>
      <c r="AA449" s="88"/>
      <c r="AB449" s="88"/>
      <c r="AC449" s="71"/>
      <c r="AD449" s="88"/>
      <c r="AE449" s="73"/>
      <c r="AF449" s="74"/>
      <c r="AG449" s="74"/>
      <c r="AH449" s="74" t="str">
        <f aca="false">IF(ISBLANK($C449),"",IF($E449=Constants!$B$2,TRUE(),IF($E449=Constants!$B$3,FALSE(),TRUE())))</f>
        <v/>
      </c>
      <c r="AI449" s="74" t="str">
        <f aca="false">IF(ISBLANK($C449),"",IF($F449=Constants!$B$2,TRUE(),IF($F449=Constants!$B$3,FALSE(),FALSE())))</f>
        <v/>
      </c>
      <c r="AJ449" s="74" t="str">
        <f aca="false">IF(ISBLANK($C449),"",IF($G449=Constants!$B$2,TRUE(),IF($G449=Constants!$B$3,FALSE(),TRUE())))</f>
        <v/>
      </c>
      <c r="AK449" s="74" t="str">
        <f aca="false">IF(ISBLANK($C449),"",IF($H449=Constants!$B$2,TRUE(),IF($H449=Constants!$B$3,FALSE(),TRUE())))</f>
        <v/>
      </c>
      <c r="AL449" s="74" t="str">
        <f aca="false">IF(ISBLANK($C449),"",IF(ISNUMBER($I449),IF($I449&gt;=0,$I449,""),""))</f>
        <v/>
      </c>
      <c r="AM449" s="74" t="str">
        <f aca="false">IF(ISBLANK($C449),"",IF(ISNUMBER($J449),IF($J449&gt;=0,$J449,""),""))</f>
        <v/>
      </c>
      <c r="AN449" s="74" t="str">
        <f aca="false">IF(ISBLANK($C449),"",IF(ISNUMBER($K449),IF($K449&gt;=0,$K449,""),""))</f>
        <v/>
      </c>
      <c r="AO449" s="74" t="str">
        <f aca="false">IF(ISBLANK($C449),"",IF($L449=Constants!$B$2,TRUE(),IF($L449=Constants!$B$3,FALSE(),TRUE())))</f>
        <v/>
      </c>
      <c r="AP449" s="74" t="str">
        <f aca="false">IF(ISBLANK($C449),"",IF($M449=Constants!$B$2,TRUE(),IF($M449=Constants!$B$3,FALSE(),TRUE())))</f>
        <v/>
      </c>
      <c r="AQ449" s="74" t="str">
        <f aca="false">IF(ISBLANK($C449),"",IF($N449=Constants!$B$2,TRUE(),IF($N449=Constants!$B$3,FALSE(),FALSE())))</f>
        <v/>
      </c>
      <c r="AR449" s="74" t="str">
        <f aca="false">IF(ISBLANK($C449),"",IF($O449=Constants!$B$2,TRUE(),IF($O449=Constants!$B$3,FALSE(),TRUE())))</f>
        <v/>
      </c>
      <c r="AS449" s="74" t="str">
        <f aca="false">IF(ISBLANK($C449),"",IF($P449=Constants!$B$2,TRUE(),IF($P449=Constants!$B$3,FALSE(),FALSE())))</f>
        <v/>
      </c>
      <c r="AT449" s="74" t="str">
        <f aca="false">IF(ISBLANK($C449),"",IF($Q449=Constants!$B$2,TRUE(),IF($Q449=Constants!$B$3,FALSE(),FALSE())))</f>
        <v/>
      </c>
      <c r="AU449" s="74" t="str">
        <f aca="false">IF(ISBLANK($C449),"",IF($R449=Constants!$B$2,TRUE(),IF($R449=Constants!$B$3,FALSE(),FALSE())))</f>
        <v/>
      </c>
      <c r="AV449" s="74" t="str">
        <f aca="false">IF(ISBLANK($C449),"",IF($S449=Constants!$B$2,TRUE(),IF($S449=Constants!$B$3,FALSE(),FALSE())))</f>
        <v/>
      </c>
      <c r="AW449" s="74" t="str">
        <f aca="false">IF(ISBLANK($C449),"",IF($T449=Constants!$B$2,TRUE(),IF($T449=Constants!$B$3,FALSE(),FALSE())))</f>
        <v/>
      </c>
      <c r="AX449" s="74" t="str">
        <f aca="false">IF(ISBLANK($C449),"",IF(OR($U449&amp;""="1",$U449&amp;""="2",$U449&amp;""="3",$U449&amp;""="4"),VALUE($U449&amp;""),IF($U449=Constants!$B$12,Constants!$B$12,"")))</f>
        <v/>
      </c>
      <c r="AY449" s="74" t="str">
        <f aca="false">IF(ISBLANK($C449),"",IF(ISBLANK($V449),0,IF(ISNUMBER($V449),IF(AND($V449&gt;=0,$V449&lt;=Constants!$B$21,$V449=INT($V449)),$V449,""),"")))</f>
        <v/>
      </c>
      <c r="AZ449" s="74" t="str">
        <f aca="false">IF(ISBLANK($C449),"",IF(ISBLANK($W449),0,IF(ISNUMBER($W449),IF($W449&gt;=0,$W449,""),"")))</f>
        <v/>
      </c>
      <c r="BA449" s="74" t="str">
        <f aca="false">IF(ISBLANK($C449),"",IF($X449=Constants!$B$2,TRUE(),IF($X449=Constants!$B$3,FALSE(),TRUE())))</f>
        <v/>
      </c>
      <c r="BB449" s="74" t="str">
        <f aca="false">IF(ISBLANK($C449),"",IF($Y449=Constants!$B$2,TRUE(),IF($Y449=Constants!$B$3,FALSE(),FALSE())))</f>
        <v/>
      </c>
      <c r="BC449" s="74" t="str">
        <f aca="false">IF(ISBLANK($C449),"",IF(ISBLANK($Z449),0,IF(ISNUMBER($Z449),IF(AND($Z449&gt;=0,$Z449&lt;=Constants!$B$35,$Z449=INT($Z449)),$Z449,""),"")))</f>
        <v/>
      </c>
      <c r="BD449" s="74" t="str">
        <f aca="false">IF(ISBLANK($C449),"",IF($AA449=Constants!$B$2,TRUE(),IF($AA449=Constants!$B$3,FALSE(),TRUE())))</f>
        <v/>
      </c>
      <c r="BE449" s="74" t="str">
        <f aca="false">IF(ISBLANK($C449),"",IF($AB449=Constants!$B$2,TRUE(),IF($AB449=Constants!$B$3,FALSE(),TRUE())))</f>
        <v/>
      </c>
      <c r="BF449" s="74" t="str">
        <f aca="false">IF(ISBLANK($C449),"",IF(ISNUMBER($AC449),IF($AC449&gt;=0,$AC449,""),""))</f>
        <v/>
      </c>
      <c r="BG449" s="74" t="str">
        <f aca="false">IF(ISBLANK($C449),"",IF($AD449=Constants!$B$2,TRUE(),IF($AD449=Constants!$B$3,FALSE(),FALSE())))</f>
        <v/>
      </c>
      <c r="BH449" s="73" t="str">
        <f aca="false">IF(ISBLANK($C449),"",IF($BG449,Constants!$B$7,IF(COUNTA($E449:$AC449)=0,Constants!$B$6,IF(OR(COUNTA($G449:$AC449)=0,NOT($AK449),$AQ449),Constants!$B$5,IF(OR($CI449&lt;&gt;"",$CJ449,$CK449,$CL449,$CM449,$CN449,$CO449),Constants!$B$8,Constants!$B$4)))))</f>
        <v/>
      </c>
      <c r="BI449" s="74" t="str">
        <f aca="false">IF(ISBLANK($C449),"",IF($BH449&lt;&gt;Constants!$B$4,$BH449,IF(OR(NOT($AH449),NOT($AJ449),NOT($AR449)),Constants!$B$11,IF(OR(NOT($AP449),MAX($AL449,$AM449,$AN449)&gt;Constants!$B$30),Constants!$B$10,Constants!$B$9))))</f>
        <v/>
      </c>
      <c r="BJ449" s="74" t="str">
        <f aca="false">IF($BH449&lt;&gt;Constants!$B$4,"",IF(NOT($AJ449),0,MIN(Constants!$B$35,$BC449)))</f>
        <v/>
      </c>
      <c r="BK449" s="74" t="str">
        <f aca="false">IF($BH449&lt;&gt;Constants!$B$4,"",IF(NOT($AJ449),0,IF($AT449,Constants!$B$18,IF($AS449,Constants!$B$17,0))))</f>
        <v/>
      </c>
      <c r="BL449" s="74" t="str">
        <f aca="false">IF($BH449&lt;&gt;Constants!$B$4,"",IF(NOT($AJ449),0,Constants!$B$19*($AI449+$AU449+$AV449+$AW449)))</f>
        <v/>
      </c>
      <c r="BM449" s="74" t="str">
        <f aca="false">IF($BH449&lt;&gt;Constants!$B$4,"",IF(OR(NOT($AJ449),NOT(ISNUMBER($AX449))),0,CHOOSE($AX449,Constants!$B$13,Constants!$B$14,Constants!$B$15,Constants!$B$16)))</f>
        <v/>
      </c>
      <c r="BN449" s="74" t="str">
        <f aca="false">IF($BH449&lt;&gt;Constants!$B$4,"",IF(NOT($AJ449),0,Constants!$B$20*$AY449))</f>
        <v/>
      </c>
      <c r="BO449" s="74" t="str">
        <f aca="false">IF($BH449&lt;&gt;Constants!$B$4,"",IF(AND($AJ449,$BA449,$BB449),Constants!$B$22,0))</f>
        <v/>
      </c>
      <c r="BP449" s="74" t="str">
        <f aca="false">IF($BH449&lt;&gt;Constants!$B$4,"",IF(OR(NOT($AJ449),NOT($BA449)),0,IF($BF449&gt;=2*$AF$9,0,Constants!$B$23*INT(ROUND(MIN($BF449,$AF$9),6)))))</f>
        <v/>
      </c>
      <c r="BQ449" s="74" t="str">
        <f aca="false">IF($BH449&lt;&gt;Constants!$B$4,"",IF(NOT($AJ449),0,Constants!$B$24*INT(ROUND(MIN($AZ449,$AF$9),6))))</f>
        <v/>
      </c>
      <c r="BR449" s="74" t="str">
        <f aca="false">IF($BH449&lt;&gt;Constants!$B$4,"",IF(AND($AJ449,$BJ449=0),Constants!$B$25,0))</f>
        <v/>
      </c>
      <c r="BS449" s="74" t="str">
        <f aca="false">IF($BH449&lt;&gt;Constants!$B$4,"",MIN(Constants!$B$29,MAX(0,Constants!$B$27*Constants!$B$28*INT(ROUND((Constants!$B$26-$AL449)/Constants!$B$28,6))))+MIN(Constants!$B$29,MAX(0,Constants!$B$27*Constants!$B$28*INT(ROUND((Constants!$B$26-$AM449)/Constants!$B$28,6))))+MIN(Constants!$B$29,MAX(0,Constants!$B$27*Constants!$B$28*INT(ROUND((Constants!$B$26-$AN449)/Constants!$B$28,6)))))</f>
        <v/>
      </c>
      <c r="BT449" s="74" t="str">
        <f aca="false">IF($BH449&lt;&gt;Constants!$B$4,"",IF(NOT($AJ449),0,Constants!$B$31*INT(ROUND(MAX(0,MIN($BF449,2*$AF$9)-$AF$9),6))))</f>
        <v/>
      </c>
      <c r="BU449" s="74" t="str">
        <f aca="false">IF($BH449&lt;&gt;Constants!$B$4,"",Constants!$B$32*(($AL449&gt;Constants!$B$26)+($AM449&gt;Constants!$B$26)+($AN449&gt;Constants!$B$26)))</f>
        <v/>
      </c>
      <c r="BV449" s="74" t="str">
        <f aca="false">IF($BH449&lt;&gt;Constants!$B$4,"",IF(OR(NOT($AJ449),$AO449),0,Constants!$B$33))</f>
        <v/>
      </c>
      <c r="BW449" s="74" t="str">
        <f aca="false">IF($BH449&lt;&gt;Constants!$B$4,"",Constants!$B$34*$BJ449)</f>
        <v/>
      </c>
      <c r="BX449" s="74" t="str">
        <f aca="false">IF($BH449&lt;&gt;Constants!$B$4,"",IF(OR(NOT($AJ449),$BE449),0,Constants!$B$36))</f>
        <v/>
      </c>
      <c r="BY449" s="74" t="str">
        <f aca="false">IF($BH449&lt;&gt;Constants!$B$4,"",IF(OR(NOT($AJ449),$BD449),0,Constants!$B$37))</f>
        <v/>
      </c>
      <c r="BZ449" s="74" t="str">
        <f aca="false">IF($BH449&lt;&gt;Constants!$B$4,"",SUM($BT449:$BY449))</f>
        <v/>
      </c>
      <c r="CA449" s="74" t="str">
        <f aca="false">IF(ISBLANK($C449),"",IF($BH449&lt;&gt;Constants!$B$4,$BH449,SUM($BK449:$BS449)-$BZ449))</f>
        <v/>
      </c>
      <c r="CB449" s="74" t="str">
        <f aca="false">IF(ISBLANK($C449),"",IF($BH449&lt;&gt;Constants!$B$4,$BH449,RANK($CA449,$CA$9:$CA$508)))</f>
        <v/>
      </c>
      <c r="CC449" s="74" t="str">
        <f aca="false">IF(ISBLANK($C449),"",IF($BH449&lt;&gt;Constants!$B$4,$BH449,COUNTIFS($BI$9:$BI$508,"&lt;"&amp;$BI449)+COUNTIFS($BI$9:$BI$508,$BI449,$CB$9:$CB$508,"&lt;"&amp;$CB449)+1))</f>
        <v/>
      </c>
      <c r="CD449" s="74" t="str">
        <f aca="false">IF(ISBLANK($C449),"",IF($BH449&lt;&gt;Constants!$B$4,$BH449,RANK($BZ449,$BZ$9:$BZ$508,1)))</f>
        <v/>
      </c>
      <c r="CE449" s="74" t="str">
        <f aca="false">IF($BH449&lt;&gt;Constants!$B$4,"",$AL449+$AM449+$AN449)</f>
        <v/>
      </c>
      <c r="CF449" s="74" t="str">
        <f aca="false">IF(ISBLANK($C449),"",IF($BH449&lt;&gt;Constants!$B$4,$BH449,RANK($CE449,$CE$9:$CE$508,1)))</f>
        <v/>
      </c>
      <c r="CG449" s="74" t="str">
        <f aca="false">IF(ISBLANK($C449),"",IF($BH449&lt;&gt;Constants!$B$4,$BH449,COUNTIFS($BI$9:$BI$508,"&lt;"&amp;$BI449)+COUNTIFS($BI$9:$BI$508,$BI449,$CB$9:$CB$508,"&lt;"&amp;$CB449)+COUNTIFS($BI$9:$BI$508,$BI449,$CB$9:$CB$508,$CB449,$CD$9:$CD$508,"&lt;"&amp;$CD449)+COUNTIFS($BI$9:$BI$508,$BI449,$CB$9:$CB$508,$CB449,$CD$9:$CD$508,$CD449,$CF$9:$CF$508,"&lt;"&amp;$CF449)+1))</f>
        <v/>
      </c>
      <c r="CH449" s="74" t="str">
        <f aca="false">IF(ISBLANK($C449),"",IF($BH449&lt;&gt;Constants!$B$4,$BH449,$CC449-$CG449))</f>
        <v/>
      </c>
      <c r="CI449" s="74" t="str">
        <f aca="false">IF(ISBLANK($C449),"",IF(NOT($AJ449),"",IF(ISBLANK($D$7),$CI$5,IF(NOT(ISNUMBER($D$7)),$CI$6,""))))</f>
        <v/>
      </c>
      <c r="CJ449" s="74" t="str">
        <f aca="false">IF(ISBLANK($C449),"",OR($AL449="",$AM449="",$AN449=""))</f>
        <v/>
      </c>
      <c r="CK449" s="74" t="str">
        <f aca="false">IF(ISBLANK($C449),"",AND($AJ449,$AX449=""))</f>
        <v/>
      </c>
      <c r="CL449" s="74" t="str">
        <f aca="false">IF(ISBLANK($C449),"",AND($AJ449,$AY449=""))</f>
        <v/>
      </c>
      <c r="CM449" s="74" t="str">
        <f aca="false">IF(ISBLANK($C449),"",AND($AJ449,$AZ449=""))</f>
        <v/>
      </c>
      <c r="CN449" s="74" t="str">
        <f aca="false">IF(ISBLANK($C449),"",AND($AJ449,$BC449=""))</f>
        <v/>
      </c>
      <c r="CO449" s="74" t="str">
        <f aca="false">IF(ISBLANK($C449),"",AND($AJ449,$BF449=""))</f>
        <v/>
      </c>
      <c r="CP449" s="75"/>
      <c r="CQ449" s="76"/>
      <c r="CR449" s="79" t="str">
        <f aca="false">IF(ISBLANK($C449),"",IF($BH449=Constants!$B$8,$CI449,""))</f>
        <v/>
      </c>
      <c r="CS449" s="76" t="str">
        <f aca="false">IF(ISBLANK($C449),"",IF($BH449&lt;&gt;Constants!$B$4,"",$BK449+$BL449))</f>
        <v/>
      </c>
      <c r="CT449" s="78" t="str">
        <f aca="false">IF(ISBLANK($C449),"",IF($BH449&lt;&gt;Constants!$B$4,"",$BM449+$BN449+$BO449))</f>
        <v/>
      </c>
      <c r="CU449" s="78" t="str">
        <f aca="false">IF(ISBLANK($C449),"",IF($BH449&lt;&gt;Constants!$B$4,"",$BP449))</f>
        <v/>
      </c>
      <c r="CV449" s="78" t="str">
        <f aca="false">IF(ISBLANK($C449),"",IF($BH449&lt;&gt;Constants!$B$4,"",$BQ449+$BR449))</f>
        <v/>
      </c>
      <c r="CW449" s="78" t="str">
        <f aca="false">IF(ISBLANK($C449),"",IF($BH449&lt;&gt;Constants!$B$4,"",$BS449))</f>
        <v/>
      </c>
      <c r="CX449" s="78" t="str">
        <f aca="false">IF(ISBLANK($C449),"",IF($BH449&lt;&gt;Constants!$B$4,"",-$BZ449))</f>
        <v/>
      </c>
      <c r="CY449" s="79" t="str">
        <f aca="false">IF(ISBLANK($C449),"",$CA449)</f>
        <v/>
      </c>
      <c r="CZ449" s="80" t="str">
        <f aca="false">IF(ISBLANK($C449),"",$BI449)</f>
        <v/>
      </c>
      <c r="DA449" s="78" t="str">
        <f aca="false">IF(ISBLANK($C449),"",$CH449)</f>
        <v/>
      </c>
      <c r="DB449" s="78" t="str">
        <f aca="false">IF(ISBLANK($C449),"",$CG449)</f>
        <v/>
      </c>
      <c r="DC449" s="81" t="str">
        <f aca="false">IF(ISBLANK($C449),"",IFERROR(_xlfn.SWITCH($DB449,Constants!$B$7,COUNTA($C$9:$C$508)+2,Constants!$B$6,COUNTA($C$9:$C$508)+1,Constants!$B$5,COUNTA($C$9:$C$508)),$DB449))</f>
        <v/>
      </c>
      <c r="DD449" s="7"/>
      <c r="DE449" s="82" t="n">
        <f aca="false">IF(OR(ISNUMBER($DB449),$DB449=Constants!$B$7,$DB449=Constants!$B$5,$DB449=Constants!$B$6),1,0)</f>
        <v>0</v>
      </c>
      <c r="DF449" s="82" t="n">
        <v>441</v>
      </c>
      <c r="DG449" s="82" t="str">
        <f aca="false">IF(ISBLANK($C449),"",IF(ISNUMBER($DC449),$DC449+ROW($B449)/1000,""))</f>
        <v/>
      </c>
      <c r="DH449" s="82" t="str">
        <f aca="false">IF(ISNUMBER($DG449),RANK($DG449,$DG$9:$DG$508,1),"")</f>
        <v/>
      </c>
      <c r="DI449" s="82" t="str">
        <f aca="false">IF(ISBLANK($C449),"",$B449)</f>
        <v/>
      </c>
      <c r="DJ449" s="82" t="str">
        <f aca="false">IF(ISBLANK($C449),"",$C449)</f>
        <v/>
      </c>
      <c r="DK449" s="82" t="str">
        <f aca="false">IF(ISBLANK($C449),"",$D449)</f>
        <v/>
      </c>
      <c r="DL449" s="83" t="str">
        <f aca="false">$CZ449</f>
        <v/>
      </c>
      <c r="DM449" s="84" t="str">
        <f aca="false">$CY449</f>
        <v/>
      </c>
      <c r="DN449" s="82" t="str">
        <f aca="false">IF(ISBLANK($C449),"",$DB449)</f>
        <v/>
      </c>
      <c r="DO449" s="85" t="str">
        <f aca="false">IF($DF449&gt;$DE$8,"",VLOOKUP($DF449,$DH$9:$DN$508,7,FALSE()))</f>
        <v/>
      </c>
      <c r="DP449" s="86" t="str">
        <f aca="false">IF($DF449&gt;$DE$8,"",VLOOKUP($DF449,$DH$9:$DN$508,2,FALSE()))</f>
        <v/>
      </c>
      <c r="DQ449" s="86" t="str">
        <f aca="false">IF($DF449&gt;$DE$8,"",VLOOKUP($DF449,$DH$9:$DN$508,3,FALSE()))</f>
        <v/>
      </c>
      <c r="DR449" s="86" t="str">
        <f aca="false">IF($DF449&gt;$DE$8,"",VLOOKUP($DF449,$DH$9:$DN$508,4,FALSE()))</f>
        <v/>
      </c>
      <c r="DS449" s="86" t="str">
        <f aca="false">IF($DF449&gt;$DE$8,"",VLOOKUP($DF449,$DH$9:$DN$508,5,FALSE()))</f>
        <v/>
      </c>
      <c r="DT449" s="87" t="str">
        <f aca="false">IF($DF449&gt;$DE$8,"",VLOOKUP($DF449,$DH$9:$DN$508,6,FALSE()))</f>
        <v/>
      </c>
      <c r="DU449" s="62"/>
    </row>
    <row r="450" customFormat="false" ht="15.75" hidden="false" customHeight="false" outlineLevel="0" collapsed="false">
      <c r="A450" s="7"/>
      <c r="B450" s="90"/>
      <c r="C450" s="91"/>
      <c r="D450" s="126"/>
      <c r="E450" s="130"/>
      <c r="F450" s="135"/>
      <c r="G450" s="130"/>
      <c r="H450" s="135"/>
      <c r="I450" s="131"/>
      <c r="J450" s="131"/>
      <c r="K450" s="131"/>
      <c r="L450" s="130"/>
      <c r="M450" s="130"/>
      <c r="N450" s="130"/>
      <c r="O450" s="135"/>
      <c r="P450" s="130"/>
      <c r="Q450" s="130"/>
      <c r="R450" s="130"/>
      <c r="S450" s="130"/>
      <c r="T450" s="135"/>
      <c r="U450" s="130"/>
      <c r="V450" s="96"/>
      <c r="W450" s="130"/>
      <c r="X450" s="130"/>
      <c r="Y450" s="96"/>
      <c r="Z450" s="96"/>
      <c r="AA450" s="130"/>
      <c r="AB450" s="130"/>
      <c r="AC450" s="97"/>
      <c r="AD450" s="130"/>
      <c r="AE450" s="99"/>
      <c r="AF450" s="100"/>
      <c r="AG450" s="100"/>
      <c r="AH450" s="100" t="str">
        <f aca="false">IF(ISBLANK($C450),"",IF($E450=Constants!$B$2,TRUE(),IF($E450=Constants!$B$3,FALSE(),TRUE())))</f>
        <v/>
      </c>
      <c r="AI450" s="100" t="str">
        <f aca="false">IF(ISBLANK($C450),"",IF($F450=Constants!$B$2,TRUE(),IF($F450=Constants!$B$3,FALSE(),FALSE())))</f>
        <v/>
      </c>
      <c r="AJ450" s="100" t="str">
        <f aca="false">IF(ISBLANK($C450),"",IF($G450=Constants!$B$2,TRUE(),IF($G450=Constants!$B$3,FALSE(),TRUE())))</f>
        <v/>
      </c>
      <c r="AK450" s="100" t="str">
        <f aca="false">IF(ISBLANK($C450),"",IF($H450=Constants!$B$2,TRUE(),IF($H450=Constants!$B$3,FALSE(),TRUE())))</f>
        <v/>
      </c>
      <c r="AL450" s="100" t="str">
        <f aca="false">IF(ISBLANK($C450),"",IF(ISNUMBER($I450),IF($I450&gt;=0,$I450,""),""))</f>
        <v/>
      </c>
      <c r="AM450" s="100" t="str">
        <f aca="false">IF(ISBLANK($C450),"",IF(ISNUMBER($J450),IF($J450&gt;=0,$J450,""),""))</f>
        <v/>
      </c>
      <c r="AN450" s="100" t="str">
        <f aca="false">IF(ISBLANK($C450),"",IF(ISNUMBER($K450),IF($K450&gt;=0,$K450,""),""))</f>
        <v/>
      </c>
      <c r="AO450" s="100" t="str">
        <f aca="false">IF(ISBLANK($C450),"",IF($L450=Constants!$B$2,TRUE(),IF($L450=Constants!$B$3,FALSE(),TRUE())))</f>
        <v/>
      </c>
      <c r="AP450" s="100" t="str">
        <f aca="false">IF(ISBLANK($C450),"",IF($M450=Constants!$B$2,TRUE(),IF($M450=Constants!$B$3,FALSE(),TRUE())))</f>
        <v/>
      </c>
      <c r="AQ450" s="100" t="str">
        <f aca="false">IF(ISBLANK($C450),"",IF($N450=Constants!$B$2,TRUE(),IF($N450=Constants!$B$3,FALSE(),FALSE())))</f>
        <v/>
      </c>
      <c r="AR450" s="100" t="str">
        <f aca="false">IF(ISBLANK($C450),"",IF($O450=Constants!$B$2,TRUE(),IF($O450=Constants!$B$3,FALSE(),TRUE())))</f>
        <v/>
      </c>
      <c r="AS450" s="100" t="str">
        <f aca="false">IF(ISBLANK($C450),"",IF($P450=Constants!$B$2,TRUE(),IF($P450=Constants!$B$3,FALSE(),FALSE())))</f>
        <v/>
      </c>
      <c r="AT450" s="100" t="str">
        <f aca="false">IF(ISBLANK($C450),"",IF($Q450=Constants!$B$2,TRUE(),IF($Q450=Constants!$B$3,FALSE(),FALSE())))</f>
        <v/>
      </c>
      <c r="AU450" s="100" t="str">
        <f aca="false">IF(ISBLANK($C450),"",IF($R450=Constants!$B$2,TRUE(),IF($R450=Constants!$B$3,FALSE(),FALSE())))</f>
        <v/>
      </c>
      <c r="AV450" s="100" t="str">
        <f aca="false">IF(ISBLANK($C450),"",IF($S450=Constants!$B$2,TRUE(),IF($S450=Constants!$B$3,FALSE(),FALSE())))</f>
        <v/>
      </c>
      <c r="AW450" s="100" t="str">
        <f aca="false">IF(ISBLANK($C450),"",IF($T450=Constants!$B$2,TRUE(),IF($T450=Constants!$B$3,FALSE(),FALSE())))</f>
        <v/>
      </c>
      <c r="AX450" s="100" t="str">
        <f aca="false">IF(ISBLANK($C450),"",IF(OR($U450&amp;""="1",$U450&amp;""="2",$U450&amp;""="3",$U450&amp;""="4"),VALUE($U450&amp;""),IF($U450=Constants!$B$12,Constants!$B$12,"")))</f>
        <v/>
      </c>
      <c r="AY450" s="100" t="str">
        <f aca="false">IF(ISBLANK($C450),"",IF(ISBLANK($V450),0,IF(ISNUMBER($V450),IF(AND($V450&gt;=0,$V450&lt;=Constants!$B$21,$V450=INT($V450)),$V450,""),"")))</f>
        <v/>
      </c>
      <c r="AZ450" s="100" t="str">
        <f aca="false">IF(ISBLANK($C450),"",IF(ISBLANK($W450),0,IF(ISNUMBER($W450),IF($W450&gt;=0,$W450,""),"")))</f>
        <v/>
      </c>
      <c r="BA450" s="100" t="str">
        <f aca="false">IF(ISBLANK($C450),"",IF($X450=Constants!$B$2,TRUE(),IF($X450=Constants!$B$3,FALSE(),TRUE())))</f>
        <v/>
      </c>
      <c r="BB450" s="100" t="str">
        <f aca="false">IF(ISBLANK($C450),"",IF($Y450=Constants!$B$2,TRUE(),IF($Y450=Constants!$B$3,FALSE(),FALSE())))</f>
        <v/>
      </c>
      <c r="BC450" s="100" t="str">
        <f aca="false">IF(ISBLANK($C450),"",IF(ISBLANK($Z450),0,IF(ISNUMBER($Z450),IF(AND($Z450&gt;=0,$Z450&lt;=Constants!$B$35,$Z450=INT($Z450)),$Z450,""),"")))</f>
        <v/>
      </c>
      <c r="BD450" s="100" t="str">
        <f aca="false">IF(ISBLANK($C450),"",IF($AA450=Constants!$B$2,TRUE(),IF($AA450=Constants!$B$3,FALSE(),TRUE())))</f>
        <v/>
      </c>
      <c r="BE450" s="100" t="str">
        <f aca="false">IF(ISBLANK($C450),"",IF($AB450=Constants!$B$2,TRUE(),IF($AB450=Constants!$B$3,FALSE(),TRUE())))</f>
        <v/>
      </c>
      <c r="BF450" s="100" t="str">
        <f aca="false">IF(ISBLANK($C450),"",IF(ISNUMBER($AC450),IF($AC450&gt;=0,$AC450,""),""))</f>
        <v/>
      </c>
      <c r="BG450" s="100" t="str">
        <f aca="false">IF(ISBLANK($C450),"",IF($AD450=Constants!$B$2,TRUE(),IF($AD450=Constants!$B$3,FALSE(),FALSE())))</f>
        <v/>
      </c>
      <c r="BH450" s="99" t="str">
        <f aca="false">IF(ISBLANK($C450),"",IF($BG450,Constants!$B$7,IF(COUNTA($E450:$AC450)=0,Constants!$B$6,IF(OR(COUNTA($G450:$AC450)=0,NOT($AK450),$AQ450),Constants!$B$5,IF(OR($CI450&lt;&gt;"",$CJ450,$CK450,$CL450,$CM450,$CN450,$CO450),Constants!$B$8,Constants!$B$4)))))</f>
        <v/>
      </c>
      <c r="BI450" s="100" t="str">
        <f aca="false">IF(ISBLANK($C450),"",IF($BH450&lt;&gt;Constants!$B$4,$BH450,IF(OR(NOT($AH450),NOT($AJ450),NOT($AR450)),Constants!$B$11,IF(OR(NOT($AP450),MAX($AL450,$AM450,$AN450)&gt;Constants!$B$30),Constants!$B$10,Constants!$B$9))))</f>
        <v/>
      </c>
      <c r="BJ450" s="100" t="str">
        <f aca="false">IF($BH450&lt;&gt;Constants!$B$4,"",IF(NOT($AJ450),0,MIN(Constants!$B$35,$BC450)))</f>
        <v/>
      </c>
      <c r="BK450" s="100" t="str">
        <f aca="false">IF($BH450&lt;&gt;Constants!$B$4,"",IF(NOT($AJ450),0,IF($AT450,Constants!$B$18,IF($AS450,Constants!$B$17,0))))</f>
        <v/>
      </c>
      <c r="BL450" s="100" t="str">
        <f aca="false">IF($BH450&lt;&gt;Constants!$B$4,"",IF(NOT($AJ450),0,Constants!$B$19*($AI450+$AU450+$AV450+$AW450)))</f>
        <v/>
      </c>
      <c r="BM450" s="100" t="str">
        <f aca="false">IF($BH450&lt;&gt;Constants!$B$4,"",IF(OR(NOT($AJ450),NOT(ISNUMBER($AX450))),0,CHOOSE($AX450,Constants!$B$13,Constants!$B$14,Constants!$B$15,Constants!$B$16)))</f>
        <v/>
      </c>
      <c r="BN450" s="100" t="str">
        <f aca="false">IF($BH450&lt;&gt;Constants!$B$4,"",IF(NOT($AJ450),0,Constants!$B$20*$AY450))</f>
        <v/>
      </c>
      <c r="BO450" s="100" t="str">
        <f aca="false">IF($BH450&lt;&gt;Constants!$B$4,"",IF(AND($AJ450,$BA450,$BB450),Constants!$B$22,0))</f>
        <v/>
      </c>
      <c r="BP450" s="100" t="str">
        <f aca="false">IF($BH450&lt;&gt;Constants!$B$4,"",IF(OR(NOT($AJ450),NOT($BA450)),0,IF($BF450&gt;=2*$AF$9,0,Constants!$B$23*INT(ROUND(MIN($BF450,$AF$9),6)))))</f>
        <v/>
      </c>
      <c r="BQ450" s="100" t="str">
        <f aca="false">IF($BH450&lt;&gt;Constants!$B$4,"",IF(NOT($AJ450),0,Constants!$B$24*INT(ROUND(MIN($AZ450,$AF$9),6))))</f>
        <v/>
      </c>
      <c r="BR450" s="100" t="str">
        <f aca="false">IF($BH450&lt;&gt;Constants!$B$4,"",IF(AND($AJ450,$BJ450=0),Constants!$B$25,0))</f>
        <v/>
      </c>
      <c r="BS450" s="100" t="str">
        <f aca="false">IF($BH450&lt;&gt;Constants!$B$4,"",MIN(Constants!$B$29,MAX(0,Constants!$B$27*Constants!$B$28*INT(ROUND((Constants!$B$26-$AL450)/Constants!$B$28,6))))+MIN(Constants!$B$29,MAX(0,Constants!$B$27*Constants!$B$28*INT(ROUND((Constants!$B$26-$AM450)/Constants!$B$28,6))))+MIN(Constants!$B$29,MAX(0,Constants!$B$27*Constants!$B$28*INT(ROUND((Constants!$B$26-$AN450)/Constants!$B$28,6)))))</f>
        <v/>
      </c>
      <c r="BT450" s="100" t="str">
        <f aca="false">IF($BH450&lt;&gt;Constants!$B$4,"",IF(NOT($AJ450),0,Constants!$B$31*INT(ROUND(MAX(0,MIN($BF450,2*$AF$9)-$AF$9),6))))</f>
        <v/>
      </c>
      <c r="BU450" s="100" t="str">
        <f aca="false">IF($BH450&lt;&gt;Constants!$B$4,"",Constants!$B$32*(($AL450&gt;Constants!$B$26)+($AM450&gt;Constants!$B$26)+($AN450&gt;Constants!$B$26)))</f>
        <v/>
      </c>
      <c r="BV450" s="100" t="str">
        <f aca="false">IF($BH450&lt;&gt;Constants!$B$4,"",IF(OR(NOT($AJ450),$AO450),0,Constants!$B$33))</f>
        <v/>
      </c>
      <c r="BW450" s="100" t="str">
        <f aca="false">IF($BH450&lt;&gt;Constants!$B$4,"",Constants!$B$34*$BJ450)</f>
        <v/>
      </c>
      <c r="BX450" s="100" t="str">
        <f aca="false">IF($BH450&lt;&gt;Constants!$B$4,"",IF(OR(NOT($AJ450),$BE450),0,Constants!$B$36))</f>
        <v/>
      </c>
      <c r="BY450" s="100" t="str">
        <f aca="false">IF($BH450&lt;&gt;Constants!$B$4,"",IF(OR(NOT($AJ450),$BD450),0,Constants!$B$37))</f>
        <v/>
      </c>
      <c r="BZ450" s="100" t="str">
        <f aca="false">IF($BH450&lt;&gt;Constants!$B$4,"",SUM($BT450:$BY450))</f>
        <v/>
      </c>
      <c r="CA450" s="100" t="str">
        <f aca="false">IF(ISBLANK($C450),"",IF($BH450&lt;&gt;Constants!$B$4,$BH450,SUM($BK450:$BS450)-$BZ450))</f>
        <v/>
      </c>
      <c r="CB450" s="100" t="str">
        <f aca="false">IF(ISBLANK($C450),"",IF($BH450&lt;&gt;Constants!$B$4,$BH450,RANK($CA450,$CA$9:$CA$508)))</f>
        <v/>
      </c>
      <c r="CC450" s="100" t="str">
        <f aca="false">IF(ISBLANK($C450),"",IF($BH450&lt;&gt;Constants!$B$4,$BH450,COUNTIFS($BI$9:$BI$508,"&lt;"&amp;$BI450)+COUNTIFS($BI$9:$BI$508,$BI450,$CB$9:$CB$508,"&lt;"&amp;$CB450)+1))</f>
        <v/>
      </c>
      <c r="CD450" s="100" t="str">
        <f aca="false">IF(ISBLANK($C450),"",IF($BH450&lt;&gt;Constants!$B$4,$BH450,RANK($BZ450,$BZ$9:$BZ$508,1)))</f>
        <v/>
      </c>
      <c r="CE450" s="100" t="str">
        <f aca="false">IF($BH450&lt;&gt;Constants!$B$4,"",$AL450+$AM450+$AN450)</f>
        <v/>
      </c>
      <c r="CF450" s="100" t="str">
        <f aca="false">IF(ISBLANK($C450),"",IF($BH450&lt;&gt;Constants!$B$4,$BH450,RANK($CE450,$CE$9:$CE$508,1)))</f>
        <v/>
      </c>
      <c r="CG450" s="100" t="str">
        <f aca="false">IF(ISBLANK($C450),"",IF($BH450&lt;&gt;Constants!$B$4,$BH450,COUNTIFS($BI$9:$BI$508,"&lt;"&amp;$BI450)+COUNTIFS($BI$9:$BI$508,$BI450,$CB$9:$CB$508,"&lt;"&amp;$CB450)+COUNTIFS($BI$9:$BI$508,$BI450,$CB$9:$CB$508,$CB450,$CD$9:$CD$508,"&lt;"&amp;$CD450)+COUNTIFS($BI$9:$BI$508,$BI450,$CB$9:$CB$508,$CB450,$CD$9:$CD$508,$CD450,$CF$9:$CF$508,"&lt;"&amp;$CF450)+1))</f>
        <v/>
      </c>
      <c r="CH450" s="100" t="str">
        <f aca="false">IF(ISBLANK($C450),"",IF($BH450&lt;&gt;Constants!$B$4,$BH450,$CC450-$CG450))</f>
        <v/>
      </c>
      <c r="CI450" s="100" t="str">
        <f aca="false">IF(ISBLANK($C450),"",IF(NOT($AJ450),"",IF(ISBLANK($D$7),$CI$5,IF(NOT(ISNUMBER($D$7)),$CI$6,""))))</f>
        <v/>
      </c>
      <c r="CJ450" s="100" t="str">
        <f aca="false">IF(ISBLANK($C450),"",OR($AL450="",$AM450="",$AN450=""))</f>
        <v/>
      </c>
      <c r="CK450" s="100" t="str">
        <f aca="false">IF(ISBLANK($C450),"",AND($AJ450,$AX450=""))</f>
        <v/>
      </c>
      <c r="CL450" s="100" t="str">
        <f aca="false">IF(ISBLANK($C450),"",AND($AJ450,$AY450=""))</f>
        <v/>
      </c>
      <c r="CM450" s="100" t="str">
        <f aca="false">IF(ISBLANK($C450),"",AND($AJ450,$AZ450=""))</f>
        <v/>
      </c>
      <c r="CN450" s="100" t="str">
        <f aca="false">IF(ISBLANK($C450),"",AND($AJ450,$BC450=""))</f>
        <v/>
      </c>
      <c r="CO450" s="100" t="str">
        <f aca="false">IF(ISBLANK($C450),"",AND($AJ450,$BF450=""))</f>
        <v/>
      </c>
      <c r="CP450" s="101"/>
      <c r="CQ450" s="102"/>
      <c r="CR450" s="103" t="str">
        <f aca="false">IF(ISBLANK($C450),"",IF($BH450=Constants!$B$8,$CI450,""))</f>
        <v/>
      </c>
      <c r="CS450" s="102" t="str">
        <f aca="false">IF(ISBLANK($C450),"",IF($BH450&lt;&gt;Constants!$B$4,"",$BK450+$BL450))</f>
        <v/>
      </c>
      <c r="CT450" s="104" t="str">
        <f aca="false">IF(ISBLANK($C450),"",IF($BH450&lt;&gt;Constants!$B$4,"",$BM450+$BN450+$BO450))</f>
        <v/>
      </c>
      <c r="CU450" s="104" t="str">
        <f aca="false">IF(ISBLANK($C450),"",IF($BH450&lt;&gt;Constants!$B$4,"",$BP450))</f>
        <v/>
      </c>
      <c r="CV450" s="104" t="str">
        <f aca="false">IF(ISBLANK($C450),"",IF($BH450&lt;&gt;Constants!$B$4,"",$BQ450+$BR450))</f>
        <v/>
      </c>
      <c r="CW450" s="104" t="str">
        <f aca="false">IF(ISBLANK($C450),"",IF($BH450&lt;&gt;Constants!$B$4,"",$BS450))</f>
        <v/>
      </c>
      <c r="CX450" s="104" t="str">
        <f aca="false">IF(ISBLANK($C450),"",IF($BH450&lt;&gt;Constants!$B$4,"",-$BZ450))</f>
        <v/>
      </c>
      <c r="CY450" s="103" t="str">
        <f aca="false">IF(ISBLANK($C450),"",$CA450)</f>
        <v/>
      </c>
      <c r="CZ450" s="105" t="str">
        <f aca="false">IF(ISBLANK($C450),"",$BI450)</f>
        <v/>
      </c>
      <c r="DA450" s="104" t="str">
        <f aca="false">IF(ISBLANK($C450),"",$CH450)</f>
        <v/>
      </c>
      <c r="DB450" s="104" t="str">
        <f aca="false">IF(ISBLANK($C450),"",$CG450)</f>
        <v/>
      </c>
      <c r="DC450" s="106" t="str">
        <f aca="false">IF(ISBLANK($C450),"",IFERROR(_xlfn.SWITCH($DB450,Constants!$B$7,COUNTA($C$9:$C$508)+2,Constants!$B$6,COUNTA($C$9:$C$508)+1,Constants!$B$5,COUNTA($C$9:$C$508)),$DB450))</f>
        <v/>
      </c>
      <c r="DD450" s="7"/>
      <c r="DE450" s="107" t="n">
        <f aca="false">IF(OR(ISNUMBER($DB450),$DB450=Constants!$B$7,$DB450=Constants!$B$5,$DB450=Constants!$B$6),1,0)</f>
        <v>0</v>
      </c>
      <c r="DF450" s="107" t="n">
        <v>442</v>
      </c>
      <c r="DG450" s="107" t="str">
        <f aca="false">IF(ISBLANK($C450),"",IF(ISNUMBER($DC450),$DC450+ROW($B450)/1000,""))</f>
        <v/>
      </c>
      <c r="DH450" s="107" t="str">
        <f aca="false">IF(ISNUMBER($DG450),RANK($DG450,$DG$9:$DG$508,1),"")</f>
        <v/>
      </c>
      <c r="DI450" s="107" t="str">
        <f aca="false">IF(ISBLANK($C450),"",$B450)</f>
        <v/>
      </c>
      <c r="DJ450" s="107" t="str">
        <f aca="false">IF(ISBLANK($C450),"",$C450)</f>
        <v/>
      </c>
      <c r="DK450" s="107" t="str">
        <f aca="false">IF(ISBLANK($C450),"",$D450)</f>
        <v/>
      </c>
      <c r="DL450" s="108" t="str">
        <f aca="false">$CZ450</f>
        <v/>
      </c>
      <c r="DM450" s="109" t="str">
        <f aca="false">$CY450</f>
        <v/>
      </c>
      <c r="DN450" s="107" t="str">
        <f aca="false">IF(ISBLANK($C450),"",$DB450)</f>
        <v/>
      </c>
      <c r="DO450" s="110" t="str">
        <f aca="false">IF($DF450&gt;$DE$8,"",VLOOKUP($DF450,$DH$9:$DN$508,7,FALSE()))</f>
        <v/>
      </c>
      <c r="DP450" s="111" t="str">
        <f aca="false">IF($DF450&gt;$DE$8,"",VLOOKUP($DF450,$DH$9:$DN$508,2,FALSE()))</f>
        <v/>
      </c>
      <c r="DQ450" s="111" t="str">
        <f aca="false">IF($DF450&gt;$DE$8,"",VLOOKUP($DF450,$DH$9:$DN$508,3,FALSE()))</f>
        <v/>
      </c>
      <c r="DR450" s="111" t="str">
        <f aca="false">IF($DF450&gt;$DE$8,"",VLOOKUP($DF450,$DH$9:$DN$508,4,FALSE()))</f>
        <v/>
      </c>
      <c r="DS450" s="111" t="str">
        <f aca="false">IF($DF450&gt;$DE$8,"",VLOOKUP($DF450,$DH$9:$DN$508,5,FALSE()))</f>
        <v/>
      </c>
      <c r="DT450" s="112" t="str">
        <f aca="false">IF($DF450&gt;$DE$8,"",VLOOKUP($DF450,$DH$9:$DN$508,6,FALSE()))</f>
        <v/>
      </c>
      <c r="DU450" s="62"/>
    </row>
    <row r="451" customFormat="false" ht="15.75" hidden="false" customHeight="false" outlineLevel="0" collapsed="false">
      <c r="A451" s="7"/>
      <c r="B451" s="90"/>
      <c r="C451" s="91"/>
      <c r="D451" s="126"/>
      <c r="E451" s="130"/>
      <c r="F451" s="135"/>
      <c r="G451" s="130"/>
      <c r="H451" s="135"/>
      <c r="I451" s="131"/>
      <c r="J451" s="131"/>
      <c r="K451" s="131"/>
      <c r="L451" s="130"/>
      <c r="M451" s="130"/>
      <c r="N451" s="130"/>
      <c r="O451" s="135"/>
      <c r="P451" s="130"/>
      <c r="Q451" s="130"/>
      <c r="R451" s="130"/>
      <c r="S451" s="130"/>
      <c r="T451" s="135"/>
      <c r="U451" s="130"/>
      <c r="V451" s="96"/>
      <c r="W451" s="130"/>
      <c r="X451" s="130"/>
      <c r="Y451" s="96"/>
      <c r="Z451" s="96"/>
      <c r="AA451" s="130"/>
      <c r="AB451" s="130"/>
      <c r="AC451" s="97"/>
      <c r="AD451" s="130"/>
      <c r="AE451" s="99"/>
      <c r="AF451" s="100"/>
      <c r="AG451" s="100"/>
      <c r="AH451" s="100" t="str">
        <f aca="false">IF(ISBLANK($C451),"",IF($E451=Constants!$B$2,TRUE(),IF($E451=Constants!$B$3,FALSE(),TRUE())))</f>
        <v/>
      </c>
      <c r="AI451" s="100" t="str">
        <f aca="false">IF(ISBLANK($C451),"",IF($F451=Constants!$B$2,TRUE(),IF($F451=Constants!$B$3,FALSE(),FALSE())))</f>
        <v/>
      </c>
      <c r="AJ451" s="100" t="str">
        <f aca="false">IF(ISBLANK($C451),"",IF($G451=Constants!$B$2,TRUE(),IF($G451=Constants!$B$3,FALSE(),TRUE())))</f>
        <v/>
      </c>
      <c r="AK451" s="100" t="str">
        <f aca="false">IF(ISBLANK($C451),"",IF($H451=Constants!$B$2,TRUE(),IF($H451=Constants!$B$3,FALSE(),TRUE())))</f>
        <v/>
      </c>
      <c r="AL451" s="100" t="str">
        <f aca="false">IF(ISBLANK($C451),"",IF(ISNUMBER($I451),IF($I451&gt;=0,$I451,""),""))</f>
        <v/>
      </c>
      <c r="AM451" s="100" t="str">
        <f aca="false">IF(ISBLANK($C451),"",IF(ISNUMBER($J451),IF($J451&gt;=0,$J451,""),""))</f>
        <v/>
      </c>
      <c r="AN451" s="100" t="str">
        <f aca="false">IF(ISBLANK($C451),"",IF(ISNUMBER($K451),IF($K451&gt;=0,$K451,""),""))</f>
        <v/>
      </c>
      <c r="AO451" s="100" t="str">
        <f aca="false">IF(ISBLANK($C451),"",IF($L451=Constants!$B$2,TRUE(),IF($L451=Constants!$B$3,FALSE(),TRUE())))</f>
        <v/>
      </c>
      <c r="AP451" s="100" t="str">
        <f aca="false">IF(ISBLANK($C451),"",IF($M451=Constants!$B$2,TRUE(),IF($M451=Constants!$B$3,FALSE(),TRUE())))</f>
        <v/>
      </c>
      <c r="AQ451" s="100" t="str">
        <f aca="false">IF(ISBLANK($C451),"",IF($N451=Constants!$B$2,TRUE(),IF($N451=Constants!$B$3,FALSE(),FALSE())))</f>
        <v/>
      </c>
      <c r="AR451" s="100" t="str">
        <f aca="false">IF(ISBLANK($C451),"",IF($O451=Constants!$B$2,TRUE(),IF($O451=Constants!$B$3,FALSE(),TRUE())))</f>
        <v/>
      </c>
      <c r="AS451" s="100" t="str">
        <f aca="false">IF(ISBLANK($C451),"",IF($P451=Constants!$B$2,TRUE(),IF($P451=Constants!$B$3,FALSE(),FALSE())))</f>
        <v/>
      </c>
      <c r="AT451" s="100" t="str">
        <f aca="false">IF(ISBLANK($C451),"",IF($Q451=Constants!$B$2,TRUE(),IF($Q451=Constants!$B$3,FALSE(),FALSE())))</f>
        <v/>
      </c>
      <c r="AU451" s="100" t="str">
        <f aca="false">IF(ISBLANK($C451),"",IF($R451=Constants!$B$2,TRUE(),IF($R451=Constants!$B$3,FALSE(),FALSE())))</f>
        <v/>
      </c>
      <c r="AV451" s="100" t="str">
        <f aca="false">IF(ISBLANK($C451),"",IF($S451=Constants!$B$2,TRUE(),IF($S451=Constants!$B$3,FALSE(),FALSE())))</f>
        <v/>
      </c>
      <c r="AW451" s="100" t="str">
        <f aca="false">IF(ISBLANK($C451),"",IF($T451=Constants!$B$2,TRUE(),IF($T451=Constants!$B$3,FALSE(),FALSE())))</f>
        <v/>
      </c>
      <c r="AX451" s="100" t="str">
        <f aca="false">IF(ISBLANK($C451),"",IF(OR($U451&amp;""="1",$U451&amp;""="2",$U451&amp;""="3",$U451&amp;""="4"),VALUE($U451&amp;""),IF($U451=Constants!$B$12,Constants!$B$12,"")))</f>
        <v/>
      </c>
      <c r="AY451" s="100" t="str">
        <f aca="false">IF(ISBLANK($C451),"",IF(ISBLANK($V451),0,IF(ISNUMBER($V451),IF(AND($V451&gt;=0,$V451&lt;=Constants!$B$21,$V451=INT($V451)),$V451,""),"")))</f>
        <v/>
      </c>
      <c r="AZ451" s="100" t="str">
        <f aca="false">IF(ISBLANK($C451),"",IF(ISBLANK($W451),0,IF(ISNUMBER($W451),IF($W451&gt;=0,$W451,""),"")))</f>
        <v/>
      </c>
      <c r="BA451" s="100" t="str">
        <f aca="false">IF(ISBLANK($C451),"",IF($X451=Constants!$B$2,TRUE(),IF($X451=Constants!$B$3,FALSE(),TRUE())))</f>
        <v/>
      </c>
      <c r="BB451" s="100" t="str">
        <f aca="false">IF(ISBLANK($C451),"",IF($Y451=Constants!$B$2,TRUE(),IF($Y451=Constants!$B$3,FALSE(),FALSE())))</f>
        <v/>
      </c>
      <c r="BC451" s="100" t="str">
        <f aca="false">IF(ISBLANK($C451),"",IF(ISBLANK($Z451),0,IF(ISNUMBER($Z451),IF(AND($Z451&gt;=0,$Z451&lt;=Constants!$B$35,$Z451=INT($Z451)),$Z451,""),"")))</f>
        <v/>
      </c>
      <c r="BD451" s="100" t="str">
        <f aca="false">IF(ISBLANK($C451),"",IF($AA451=Constants!$B$2,TRUE(),IF($AA451=Constants!$B$3,FALSE(),TRUE())))</f>
        <v/>
      </c>
      <c r="BE451" s="100" t="str">
        <f aca="false">IF(ISBLANK($C451),"",IF($AB451=Constants!$B$2,TRUE(),IF($AB451=Constants!$B$3,FALSE(),TRUE())))</f>
        <v/>
      </c>
      <c r="BF451" s="100" t="str">
        <f aca="false">IF(ISBLANK($C451),"",IF(ISNUMBER($AC451),IF($AC451&gt;=0,$AC451,""),""))</f>
        <v/>
      </c>
      <c r="BG451" s="100" t="str">
        <f aca="false">IF(ISBLANK($C451),"",IF($AD451=Constants!$B$2,TRUE(),IF($AD451=Constants!$B$3,FALSE(),FALSE())))</f>
        <v/>
      </c>
      <c r="BH451" s="99" t="str">
        <f aca="false">IF(ISBLANK($C451),"",IF($BG451,Constants!$B$7,IF(COUNTA($E451:$AC451)=0,Constants!$B$6,IF(OR(COUNTA($G451:$AC451)=0,NOT($AK451),$AQ451),Constants!$B$5,IF(OR($CI451&lt;&gt;"",$CJ451,$CK451,$CL451,$CM451,$CN451,$CO451),Constants!$B$8,Constants!$B$4)))))</f>
        <v/>
      </c>
      <c r="BI451" s="100" t="str">
        <f aca="false">IF(ISBLANK($C451),"",IF($BH451&lt;&gt;Constants!$B$4,$BH451,IF(OR(NOT($AH451),NOT($AJ451),NOT($AR451)),Constants!$B$11,IF(OR(NOT($AP451),MAX($AL451,$AM451,$AN451)&gt;Constants!$B$30),Constants!$B$10,Constants!$B$9))))</f>
        <v/>
      </c>
      <c r="BJ451" s="100" t="str">
        <f aca="false">IF($BH451&lt;&gt;Constants!$B$4,"",IF(NOT($AJ451),0,MIN(Constants!$B$35,$BC451)))</f>
        <v/>
      </c>
      <c r="BK451" s="100" t="str">
        <f aca="false">IF($BH451&lt;&gt;Constants!$B$4,"",IF(NOT($AJ451),0,IF($AT451,Constants!$B$18,IF($AS451,Constants!$B$17,0))))</f>
        <v/>
      </c>
      <c r="BL451" s="100" t="str">
        <f aca="false">IF($BH451&lt;&gt;Constants!$B$4,"",IF(NOT($AJ451),0,Constants!$B$19*($AI451+$AU451+$AV451+$AW451)))</f>
        <v/>
      </c>
      <c r="BM451" s="100" t="str">
        <f aca="false">IF($BH451&lt;&gt;Constants!$B$4,"",IF(OR(NOT($AJ451),NOT(ISNUMBER($AX451))),0,CHOOSE($AX451,Constants!$B$13,Constants!$B$14,Constants!$B$15,Constants!$B$16)))</f>
        <v/>
      </c>
      <c r="BN451" s="100" t="str">
        <f aca="false">IF($BH451&lt;&gt;Constants!$B$4,"",IF(NOT($AJ451),0,Constants!$B$20*$AY451))</f>
        <v/>
      </c>
      <c r="BO451" s="100" t="str">
        <f aca="false">IF($BH451&lt;&gt;Constants!$B$4,"",IF(AND($AJ451,$BA451,$BB451),Constants!$B$22,0))</f>
        <v/>
      </c>
      <c r="BP451" s="100" t="str">
        <f aca="false">IF($BH451&lt;&gt;Constants!$B$4,"",IF(OR(NOT($AJ451),NOT($BA451)),0,IF($BF451&gt;=2*$AF$9,0,Constants!$B$23*INT(ROUND(MIN($BF451,$AF$9),6)))))</f>
        <v/>
      </c>
      <c r="BQ451" s="100" t="str">
        <f aca="false">IF($BH451&lt;&gt;Constants!$B$4,"",IF(NOT($AJ451),0,Constants!$B$24*INT(ROUND(MIN($AZ451,$AF$9),6))))</f>
        <v/>
      </c>
      <c r="BR451" s="100" t="str">
        <f aca="false">IF($BH451&lt;&gt;Constants!$B$4,"",IF(AND($AJ451,$BJ451=0),Constants!$B$25,0))</f>
        <v/>
      </c>
      <c r="BS451" s="100" t="str">
        <f aca="false">IF($BH451&lt;&gt;Constants!$B$4,"",MIN(Constants!$B$29,MAX(0,Constants!$B$27*Constants!$B$28*INT(ROUND((Constants!$B$26-$AL451)/Constants!$B$28,6))))+MIN(Constants!$B$29,MAX(0,Constants!$B$27*Constants!$B$28*INT(ROUND((Constants!$B$26-$AM451)/Constants!$B$28,6))))+MIN(Constants!$B$29,MAX(0,Constants!$B$27*Constants!$B$28*INT(ROUND((Constants!$B$26-$AN451)/Constants!$B$28,6)))))</f>
        <v/>
      </c>
      <c r="BT451" s="100" t="str">
        <f aca="false">IF($BH451&lt;&gt;Constants!$B$4,"",IF(NOT($AJ451),0,Constants!$B$31*INT(ROUND(MAX(0,MIN($BF451,2*$AF$9)-$AF$9),6))))</f>
        <v/>
      </c>
      <c r="BU451" s="100" t="str">
        <f aca="false">IF($BH451&lt;&gt;Constants!$B$4,"",Constants!$B$32*(($AL451&gt;Constants!$B$26)+($AM451&gt;Constants!$B$26)+($AN451&gt;Constants!$B$26)))</f>
        <v/>
      </c>
      <c r="BV451" s="100" t="str">
        <f aca="false">IF($BH451&lt;&gt;Constants!$B$4,"",IF(OR(NOT($AJ451),$AO451),0,Constants!$B$33))</f>
        <v/>
      </c>
      <c r="BW451" s="100" t="str">
        <f aca="false">IF($BH451&lt;&gt;Constants!$B$4,"",Constants!$B$34*$BJ451)</f>
        <v/>
      </c>
      <c r="BX451" s="100" t="str">
        <f aca="false">IF($BH451&lt;&gt;Constants!$B$4,"",IF(OR(NOT($AJ451),$BE451),0,Constants!$B$36))</f>
        <v/>
      </c>
      <c r="BY451" s="100" t="str">
        <f aca="false">IF($BH451&lt;&gt;Constants!$B$4,"",IF(OR(NOT($AJ451),$BD451),0,Constants!$B$37))</f>
        <v/>
      </c>
      <c r="BZ451" s="100" t="str">
        <f aca="false">IF($BH451&lt;&gt;Constants!$B$4,"",SUM($BT451:$BY451))</f>
        <v/>
      </c>
      <c r="CA451" s="100" t="str">
        <f aca="false">IF(ISBLANK($C451),"",IF($BH451&lt;&gt;Constants!$B$4,$BH451,SUM($BK451:$BS451)-$BZ451))</f>
        <v/>
      </c>
      <c r="CB451" s="100" t="str">
        <f aca="false">IF(ISBLANK($C451),"",IF($BH451&lt;&gt;Constants!$B$4,$BH451,RANK($CA451,$CA$9:$CA$508)))</f>
        <v/>
      </c>
      <c r="CC451" s="100" t="str">
        <f aca="false">IF(ISBLANK($C451),"",IF($BH451&lt;&gt;Constants!$B$4,$BH451,COUNTIFS($BI$9:$BI$508,"&lt;"&amp;$BI451)+COUNTIFS($BI$9:$BI$508,$BI451,$CB$9:$CB$508,"&lt;"&amp;$CB451)+1))</f>
        <v/>
      </c>
      <c r="CD451" s="100" t="str">
        <f aca="false">IF(ISBLANK($C451),"",IF($BH451&lt;&gt;Constants!$B$4,$BH451,RANK($BZ451,$BZ$9:$BZ$508,1)))</f>
        <v/>
      </c>
      <c r="CE451" s="100" t="str">
        <f aca="false">IF($BH451&lt;&gt;Constants!$B$4,"",$AL451+$AM451+$AN451)</f>
        <v/>
      </c>
      <c r="CF451" s="100" t="str">
        <f aca="false">IF(ISBLANK($C451),"",IF($BH451&lt;&gt;Constants!$B$4,$BH451,RANK($CE451,$CE$9:$CE$508,1)))</f>
        <v/>
      </c>
      <c r="CG451" s="100" t="str">
        <f aca="false">IF(ISBLANK($C451),"",IF($BH451&lt;&gt;Constants!$B$4,$BH451,COUNTIFS($BI$9:$BI$508,"&lt;"&amp;$BI451)+COUNTIFS($BI$9:$BI$508,$BI451,$CB$9:$CB$508,"&lt;"&amp;$CB451)+COUNTIFS($BI$9:$BI$508,$BI451,$CB$9:$CB$508,$CB451,$CD$9:$CD$508,"&lt;"&amp;$CD451)+COUNTIFS($BI$9:$BI$508,$BI451,$CB$9:$CB$508,$CB451,$CD$9:$CD$508,$CD451,$CF$9:$CF$508,"&lt;"&amp;$CF451)+1))</f>
        <v/>
      </c>
      <c r="CH451" s="100" t="str">
        <f aca="false">IF(ISBLANK($C451),"",IF($BH451&lt;&gt;Constants!$B$4,$BH451,$CC451-$CG451))</f>
        <v/>
      </c>
      <c r="CI451" s="100" t="str">
        <f aca="false">IF(ISBLANK($C451),"",IF(NOT($AJ451),"",IF(ISBLANK($D$7),$CI$5,IF(NOT(ISNUMBER($D$7)),$CI$6,""))))</f>
        <v/>
      </c>
      <c r="CJ451" s="100" t="str">
        <f aca="false">IF(ISBLANK($C451),"",OR($AL451="",$AM451="",$AN451=""))</f>
        <v/>
      </c>
      <c r="CK451" s="100" t="str">
        <f aca="false">IF(ISBLANK($C451),"",AND($AJ451,$AX451=""))</f>
        <v/>
      </c>
      <c r="CL451" s="100" t="str">
        <f aca="false">IF(ISBLANK($C451),"",AND($AJ451,$AY451=""))</f>
        <v/>
      </c>
      <c r="CM451" s="100" t="str">
        <f aca="false">IF(ISBLANK($C451),"",AND($AJ451,$AZ451=""))</f>
        <v/>
      </c>
      <c r="CN451" s="100" t="str">
        <f aca="false">IF(ISBLANK($C451),"",AND($AJ451,$BC451=""))</f>
        <v/>
      </c>
      <c r="CO451" s="100" t="str">
        <f aca="false">IF(ISBLANK($C451),"",AND($AJ451,$BF451=""))</f>
        <v/>
      </c>
      <c r="CP451" s="101"/>
      <c r="CQ451" s="102"/>
      <c r="CR451" s="103" t="str">
        <f aca="false">IF(ISBLANK($C451),"",IF($BH451=Constants!$B$8,$CI451,""))</f>
        <v/>
      </c>
      <c r="CS451" s="102" t="str">
        <f aca="false">IF(ISBLANK($C451),"",IF($BH451&lt;&gt;Constants!$B$4,"",$BK451+$BL451))</f>
        <v/>
      </c>
      <c r="CT451" s="104" t="str">
        <f aca="false">IF(ISBLANK($C451),"",IF($BH451&lt;&gt;Constants!$B$4,"",$BM451+$BN451+$BO451))</f>
        <v/>
      </c>
      <c r="CU451" s="104" t="str">
        <f aca="false">IF(ISBLANK($C451),"",IF($BH451&lt;&gt;Constants!$B$4,"",$BP451))</f>
        <v/>
      </c>
      <c r="CV451" s="104" t="str">
        <f aca="false">IF(ISBLANK($C451),"",IF($BH451&lt;&gt;Constants!$B$4,"",$BQ451+$BR451))</f>
        <v/>
      </c>
      <c r="CW451" s="104" t="str">
        <f aca="false">IF(ISBLANK($C451),"",IF($BH451&lt;&gt;Constants!$B$4,"",$BS451))</f>
        <v/>
      </c>
      <c r="CX451" s="104" t="str">
        <f aca="false">IF(ISBLANK($C451),"",IF($BH451&lt;&gt;Constants!$B$4,"",-$BZ451))</f>
        <v/>
      </c>
      <c r="CY451" s="103" t="str">
        <f aca="false">IF(ISBLANK($C451),"",$CA451)</f>
        <v/>
      </c>
      <c r="CZ451" s="105" t="str">
        <f aca="false">IF(ISBLANK($C451),"",$BI451)</f>
        <v/>
      </c>
      <c r="DA451" s="104" t="str">
        <f aca="false">IF(ISBLANK($C451),"",$CH451)</f>
        <v/>
      </c>
      <c r="DB451" s="104" t="str">
        <f aca="false">IF(ISBLANK($C451),"",$CG451)</f>
        <v/>
      </c>
      <c r="DC451" s="106" t="str">
        <f aca="false">IF(ISBLANK($C451),"",IFERROR(_xlfn.SWITCH($DB451,Constants!$B$7,COUNTA($C$9:$C$508)+2,Constants!$B$6,COUNTA($C$9:$C$508)+1,Constants!$B$5,COUNTA($C$9:$C$508)),$DB451))</f>
        <v/>
      </c>
      <c r="DD451" s="7"/>
      <c r="DE451" s="107" t="n">
        <f aca="false">IF(OR(ISNUMBER($DB451),$DB451=Constants!$B$7,$DB451=Constants!$B$5,$DB451=Constants!$B$6),1,0)</f>
        <v>0</v>
      </c>
      <c r="DF451" s="107" t="n">
        <v>443</v>
      </c>
      <c r="DG451" s="107" t="str">
        <f aca="false">IF(ISBLANK($C451),"",IF(ISNUMBER($DC451),$DC451+ROW($B451)/1000,""))</f>
        <v/>
      </c>
      <c r="DH451" s="107" t="str">
        <f aca="false">IF(ISNUMBER($DG451),RANK($DG451,$DG$9:$DG$508,1),"")</f>
        <v/>
      </c>
      <c r="DI451" s="107" t="str">
        <f aca="false">IF(ISBLANK($C451),"",$B451)</f>
        <v/>
      </c>
      <c r="DJ451" s="107" t="str">
        <f aca="false">IF(ISBLANK($C451),"",$C451)</f>
        <v/>
      </c>
      <c r="DK451" s="107" t="str">
        <f aca="false">IF(ISBLANK($C451),"",$D451)</f>
        <v/>
      </c>
      <c r="DL451" s="108" t="str">
        <f aca="false">$CZ451</f>
        <v/>
      </c>
      <c r="DM451" s="109" t="str">
        <f aca="false">$CY451</f>
        <v/>
      </c>
      <c r="DN451" s="107" t="str">
        <f aca="false">IF(ISBLANK($C451),"",$DB451)</f>
        <v/>
      </c>
      <c r="DO451" s="110" t="str">
        <f aca="false">IF($DF451&gt;$DE$8,"",VLOOKUP($DF451,$DH$9:$DN$508,7,FALSE()))</f>
        <v/>
      </c>
      <c r="DP451" s="111" t="str">
        <f aca="false">IF($DF451&gt;$DE$8,"",VLOOKUP($DF451,$DH$9:$DN$508,2,FALSE()))</f>
        <v/>
      </c>
      <c r="DQ451" s="111" t="str">
        <f aca="false">IF($DF451&gt;$DE$8,"",VLOOKUP($DF451,$DH$9:$DN$508,3,FALSE()))</f>
        <v/>
      </c>
      <c r="DR451" s="111" t="str">
        <f aca="false">IF($DF451&gt;$DE$8,"",VLOOKUP($DF451,$DH$9:$DN$508,4,FALSE()))</f>
        <v/>
      </c>
      <c r="DS451" s="111" t="str">
        <f aca="false">IF($DF451&gt;$DE$8,"",VLOOKUP($DF451,$DH$9:$DN$508,5,FALSE()))</f>
        <v/>
      </c>
      <c r="DT451" s="112" t="str">
        <f aca="false">IF($DF451&gt;$DE$8,"",VLOOKUP($DF451,$DH$9:$DN$508,6,FALSE()))</f>
        <v/>
      </c>
      <c r="DU451" s="62"/>
    </row>
    <row r="452" customFormat="false" ht="15.75" hidden="false" customHeight="false" outlineLevel="0" collapsed="false">
      <c r="A452" s="7"/>
      <c r="B452" s="90"/>
      <c r="C452" s="91"/>
      <c r="D452" s="126"/>
      <c r="E452" s="130"/>
      <c r="F452" s="135"/>
      <c r="G452" s="130"/>
      <c r="H452" s="135"/>
      <c r="I452" s="131"/>
      <c r="J452" s="131"/>
      <c r="K452" s="131"/>
      <c r="L452" s="130"/>
      <c r="M452" s="130"/>
      <c r="N452" s="130"/>
      <c r="O452" s="135"/>
      <c r="P452" s="130"/>
      <c r="Q452" s="130"/>
      <c r="R452" s="130"/>
      <c r="S452" s="130"/>
      <c r="T452" s="135"/>
      <c r="U452" s="130"/>
      <c r="V452" s="96"/>
      <c r="W452" s="130"/>
      <c r="X452" s="130"/>
      <c r="Y452" s="96"/>
      <c r="Z452" s="96"/>
      <c r="AA452" s="130"/>
      <c r="AB452" s="130"/>
      <c r="AC452" s="97"/>
      <c r="AD452" s="130"/>
      <c r="AE452" s="99"/>
      <c r="AF452" s="100"/>
      <c r="AG452" s="100"/>
      <c r="AH452" s="100" t="str">
        <f aca="false">IF(ISBLANK($C452),"",IF($E452=Constants!$B$2,TRUE(),IF($E452=Constants!$B$3,FALSE(),TRUE())))</f>
        <v/>
      </c>
      <c r="AI452" s="100" t="str">
        <f aca="false">IF(ISBLANK($C452),"",IF($F452=Constants!$B$2,TRUE(),IF($F452=Constants!$B$3,FALSE(),FALSE())))</f>
        <v/>
      </c>
      <c r="AJ452" s="100" t="str">
        <f aca="false">IF(ISBLANK($C452),"",IF($G452=Constants!$B$2,TRUE(),IF($G452=Constants!$B$3,FALSE(),TRUE())))</f>
        <v/>
      </c>
      <c r="AK452" s="100" t="str">
        <f aca="false">IF(ISBLANK($C452),"",IF($H452=Constants!$B$2,TRUE(),IF($H452=Constants!$B$3,FALSE(),TRUE())))</f>
        <v/>
      </c>
      <c r="AL452" s="100" t="str">
        <f aca="false">IF(ISBLANK($C452),"",IF(ISNUMBER($I452),IF($I452&gt;=0,$I452,""),""))</f>
        <v/>
      </c>
      <c r="AM452" s="100" t="str">
        <f aca="false">IF(ISBLANK($C452),"",IF(ISNUMBER($J452),IF($J452&gt;=0,$J452,""),""))</f>
        <v/>
      </c>
      <c r="AN452" s="100" t="str">
        <f aca="false">IF(ISBLANK($C452),"",IF(ISNUMBER($K452),IF($K452&gt;=0,$K452,""),""))</f>
        <v/>
      </c>
      <c r="AO452" s="100" t="str">
        <f aca="false">IF(ISBLANK($C452),"",IF($L452=Constants!$B$2,TRUE(),IF($L452=Constants!$B$3,FALSE(),TRUE())))</f>
        <v/>
      </c>
      <c r="AP452" s="100" t="str">
        <f aca="false">IF(ISBLANK($C452),"",IF($M452=Constants!$B$2,TRUE(),IF($M452=Constants!$B$3,FALSE(),TRUE())))</f>
        <v/>
      </c>
      <c r="AQ452" s="100" t="str">
        <f aca="false">IF(ISBLANK($C452),"",IF($N452=Constants!$B$2,TRUE(),IF($N452=Constants!$B$3,FALSE(),FALSE())))</f>
        <v/>
      </c>
      <c r="AR452" s="100" t="str">
        <f aca="false">IF(ISBLANK($C452),"",IF($O452=Constants!$B$2,TRUE(),IF($O452=Constants!$B$3,FALSE(),TRUE())))</f>
        <v/>
      </c>
      <c r="AS452" s="100" t="str">
        <f aca="false">IF(ISBLANK($C452),"",IF($P452=Constants!$B$2,TRUE(),IF($P452=Constants!$B$3,FALSE(),FALSE())))</f>
        <v/>
      </c>
      <c r="AT452" s="100" t="str">
        <f aca="false">IF(ISBLANK($C452),"",IF($Q452=Constants!$B$2,TRUE(),IF($Q452=Constants!$B$3,FALSE(),FALSE())))</f>
        <v/>
      </c>
      <c r="AU452" s="100" t="str">
        <f aca="false">IF(ISBLANK($C452),"",IF($R452=Constants!$B$2,TRUE(),IF($R452=Constants!$B$3,FALSE(),FALSE())))</f>
        <v/>
      </c>
      <c r="AV452" s="100" t="str">
        <f aca="false">IF(ISBLANK($C452),"",IF($S452=Constants!$B$2,TRUE(),IF($S452=Constants!$B$3,FALSE(),FALSE())))</f>
        <v/>
      </c>
      <c r="AW452" s="100" t="str">
        <f aca="false">IF(ISBLANK($C452),"",IF($T452=Constants!$B$2,TRUE(),IF($T452=Constants!$B$3,FALSE(),FALSE())))</f>
        <v/>
      </c>
      <c r="AX452" s="100" t="str">
        <f aca="false">IF(ISBLANK($C452),"",IF(OR($U452&amp;""="1",$U452&amp;""="2",$U452&amp;""="3",$U452&amp;""="4"),VALUE($U452&amp;""),IF($U452=Constants!$B$12,Constants!$B$12,"")))</f>
        <v/>
      </c>
      <c r="AY452" s="100" t="str">
        <f aca="false">IF(ISBLANK($C452),"",IF(ISBLANK($V452),0,IF(ISNUMBER($V452),IF(AND($V452&gt;=0,$V452&lt;=Constants!$B$21,$V452=INT($V452)),$V452,""),"")))</f>
        <v/>
      </c>
      <c r="AZ452" s="100" t="str">
        <f aca="false">IF(ISBLANK($C452),"",IF(ISBLANK($W452),0,IF(ISNUMBER($W452),IF($W452&gt;=0,$W452,""),"")))</f>
        <v/>
      </c>
      <c r="BA452" s="100" t="str">
        <f aca="false">IF(ISBLANK($C452),"",IF($X452=Constants!$B$2,TRUE(),IF($X452=Constants!$B$3,FALSE(),TRUE())))</f>
        <v/>
      </c>
      <c r="BB452" s="100" t="str">
        <f aca="false">IF(ISBLANK($C452),"",IF($Y452=Constants!$B$2,TRUE(),IF($Y452=Constants!$B$3,FALSE(),FALSE())))</f>
        <v/>
      </c>
      <c r="BC452" s="100" t="str">
        <f aca="false">IF(ISBLANK($C452),"",IF(ISBLANK($Z452),0,IF(ISNUMBER($Z452),IF(AND($Z452&gt;=0,$Z452&lt;=Constants!$B$35,$Z452=INT($Z452)),$Z452,""),"")))</f>
        <v/>
      </c>
      <c r="BD452" s="100" t="str">
        <f aca="false">IF(ISBLANK($C452),"",IF($AA452=Constants!$B$2,TRUE(),IF($AA452=Constants!$B$3,FALSE(),TRUE())))</f>
        <v/>
      </c>
      <c r="BE452" s="100" t="str">
        <f aca="false">IF(ISBLANK($C452),"",IF($AB452=Constants!$B$2,TRUE(),IF($AB452=Constants!$B$3,FALSE(),TRUE())))</f>
        <v/>
      </c>
      <c r="BF452" s="100" t="str">
        <f aca="false">IF(ISBLANK($C452),"",IF(ISNUMBER($AC452),IF($AC452&gt;=0,$AC452,""),""))</f>
        <v/>
      </c>
      <c r="BG452" s="100" t="str">
        <f aca="false">IF(ISBLANK($C452),"",IF($AD452=Constants!$B$2,TRUE(),IF($AD452=Constants!$B$3,FALSE(),FALSE())))</f>
        <v/>
      </c>
      <c r="BH452" s="99" t="str">
        <f aca="false">IF(ISBLANK($C452),"",IF($BG452,Constants!$B$7,IF(COUNTA($E452:$AC452)=0,Constants!$B$6,IF(OR(COUNTA($G452:$AC452)=0,NOT($AK452),$AQ452),Constants!$B$5,IF(OR($CI452&lt;&gt;"",$CJ452,$CK452,$CL452,$CM452,$CN452,$CO452),Constants!$B$8,Constants!$B$4)))))</f>
        <v/>
      </c>
      <c r="BI452" s="100" t="str">
        <f aca="false">IF(ISBLANK($C452),"",IF($BH452&lt;&gt;Constants!$B$4,$BH452,IF(OR(NOT($AH452),NOT($AJ452),NOT($AR452)),Constants!$B$11,IF(OR(NOT($AP452),MAX($AL452,$AM452,$AN452)&gt;Constants!$B$30),Constants!$B$10,Constants!$B$9))))</f>
        <v/>
      </c>
      <c r="BJ452" s="100" t="str">
        <f aca="false">IF($BH452&lt;&gt;Constants!$B$4,"",IF(NOT($AJ452),0,MIN(Constants!$B$35,$BC452)))</f>
        <v/>
      </c>
      <c r="BK452" s="100" t="str">
        <f aca="false">IF($BH452&lt;&gt;Constants!$B$4,"",IF(NOT($AJ452),0,IF($AT452,Constants!$B$18,IF($AS452,Constants!$B$17,0))))</f>
        <v/>
      </c>
      <c r="BL452" s="100" t="str">
        <f aca="false">IF($BH452&lt;&gt;Constants!$B$4,"",IF(NOT($AJ452),0,Constants!$B$19*($AI452+$AU452+$AV452+$AW452)))</f>
        <v/>
      </c>
      <c r="BM452" s="100" t="str">
        <f aca="false">IF($BH452&lt;&gt;Constants!$B$4,"",IF(OR(NOT($AJ452),NOT(ISNUMBER($AX452))),0,CHOOSE($AX452,Constants!$B$13,Constants!$B$14,Constants!$B$15,Constants!$B$16)))</f>
        <v/>
      </c>
      <c r="BN452" s="100" t="str">
        <f aca="false">IF($BH452&lt;&gt;Constants!$B$4,"",IF(NOT($AJ452),0,Constants!$B$20*$AY452))</f>
        <v/>
      </c>
      <c r="BO452" s="100" t="str">
        <f aca="false">IF($BH452&lt;&gt;Constants!$B$4,"",IF(AND($AJ452,$BA452,$BB452),Constants!$B$22,0))</f>
        <v/>
      </c>
      <c r="BP452" s="100" t="str">
        <f aca="false">IF($BH452&lt;&gt;Constants!$B$4,"",IF(OR(NOT($AJ452),NOT($BA452)),0,IF($BF452&gt;=2*$AF$9,0,Constants!$B$23*INT(ROUND(MIN($BF452,$AF$9),6)))))</f>
        <v/>
      </c>
      <c r="BQ452" s="100" t="str">
        <f aca="false">IF($BH452&lt;&gt;Constants!$B$4,"",IF(NOT($AJ452),0,Constants!$B$24*INT(ROUND(MIN($AZ452,$AF$9),6))))</f>
        <v/>
      </c>
      <c r="BR452" s="100" t="str">
        <f aca="false">IF($BH452&lt;&gt;Constants!$B$4,"",IF(AND($AJ452,$BJ452=0),Constants!$B$25,0))</f>
        <v/>
      </c>
      <c r="BS452" s="100" t="str">
        <f aca="false">IF($BH452&lt;&gt;Constants!$B$4,"",MIN(Constants!$B$29,MAX(0,Constants!$B$27*Constants!$B$28*INT(ROUND((Constants!$B$26-$AL452)/Constants!$B$28,6))))+MIN(Constants!$B$29,MAX(0,Constants!$B$27*Constants!$B$28*INT(ROUND((Constants!$B$26-$AM452)/Constants!$B$28,6))))+MIN(Constants!$B$29,MAX(0,Constants!$B$27*Constants!$B$28*INT(ROUND((Constants!$B$26-$AN452)/Constants!$B$28,6)))))</f>
        <v/>
      </c>
      <c r="BT452" s="100" t="str">
        <f aca="false">IF($BH452&lt;&gt;Constants!$B$4,"",IF(NOT($AJ452),0,Constants!$B$31*INT(ROUND(MAX(0,MIN($BF452,2*$AF$9)-$AF$9),6))))</f>
        <v/>
      </c>
      <c r="BU452" s="100" t="str">
        <f aca="false">IF($BH452&lt;&gt;Constants!$B$4,"",Constants!$B$32*(($AL452&gt;Constants!$B$26)+($AM452&gt;Constants!$B$26)+($AN452&gt;Constants!$B$26)))</f>
        <v/>
      </c>
      <c r="BV452" s="100" t="str">
        <f aca="false">IF($BH452&lt;&gt;Constants!$B$4,"",IF(OR(NOT($AJ452),$AO452),0,Constants!$B$33))</f>
        <v/>
      </c>
      <c r="BW452" s="100" t="str">
        <f aca="false">IF($BH452&lt;&gt;Constants!$B$4,"",Constants!$B$34*$BJ452)</f>
        <v/>
      </c>
      <c r="BX452" s="100" t="str">
        <f aca="false">IF($BH452&lt;&gt;Constants!$B$4,"",IF(OR(NOT($AJ452),$BE452),0,Constants!$B$36))</f>
        <v/>
      </c>
      <c r="BY452" s="100" t="str">
        <f aca="false">IF($BH452&lt;&gt;Constants!$B$4,"",IF(OR(NOT($AJ452),$BD452),0,Constants!$B$37))</f>
        <v/>
      </c>
      <c r="BZ452" s="100" t="str">
        <f aca="false">IF($BH452&lt;&gt;Constants!$B$4,"",SUM($BT452:$BY452))</f>
        <v/>
      </c>
      <c r="CA452" s="100" t="str">
        <f aca="false">IF(ISBLANK($C452),"",IF($BH452&lt;&gt;Constants!$B$4,$BH452,SUM($BK452:$BS452)-$BZ452))</f>
        <v/>
      </c>
      <c r="CB452" s="100" t="str">
        <f aca="false">IF(ISBLANK($C452),"",IF($BH452&lt;&gt;Constants!$B$4,$BH452,RANK($CA452,$CA$9:$CA$508)))</f>
        <v/>
      </c>
      <c r="CC452" s="100" t="str">
        <f aca="false">IF(ISBLANK($C452),"",IF($BH452&lt;&gt;Constants!$B$4,$BH452,COUNTIFS($BI$9:$BI$508,"&lt;"&amp;$BI452)+COUNTIFS($BI$9:$BI$508,$BI452,$CB$9:$CB$508,"&lt;"&amp;$CB452)+1))</f>
        <v/>
      </c>
      <c r="CD452" s="100" t="str">
        <f aca="false">IF(ISBLANK($C452),"",IF($BH452&lt;&gt;Constants!$B$4,$BH452,RANK($BZ452,$BZ$9:$BZ$508,1)))</f>
        <v/>
      </c>
      <c r="CE452" s="100" t="str">
        <f aca="false">IF($BH452&lt;&gt;Constants!$B$4,"",$AL452+$AM452+$AN452)</f>
        <v/>
      </c>
      <c r="CF452" s="100" t="str">
        <f aca="false">IF(ISBLANK($C452),"",IF($BH452&lt;&gt;Constants!$B$4,$BH452,RANK($CE452,$CE$9:$CE$508,1)))</f>
        <v/>
      </c>
      <c r="CG452" s="100" t="str">
        <f aca="false">IF(ISBLANK($C452),"",IF($BH452&lt;&gt;Constants!$B$4,$BH452,COUNTIFS($BI$9:$BI$508,"&lt;"&amp;$BI452)+COUNTIFS($BI$9:$BI$508,$BI452,$CB$9:$CB$508,"&lt;"&amp;$CB452)+COUNTIFS($BI$9:$BI$508,$BI452,$CB$9:$CB$508,$CB452,$CD$9:$CD$508,"&lt;"&amp;$CD452)+COUNTIFS($BI$9:$BI$508,$BI452,$CB$9:$CB$508,$CB452,$CD$9:$CD$508,$CD452,$CF$9:$CF$508,"&lt;"&amp;$CF452)+1))</f>
        <v/>
      </c>
      <c r="CH452" s="100" t="str">
        <f aca="false">IF(ISBLANK($C452),"",IF($BH452&lt;&gt;Constants!$B$4,$BH452,$CC452-$CG452))</f>
        <v/>
      </c>
      <c r="CI452" s="100" t="str">
        <f aca="false">IF(ISBLANK($C452),"",IF(NOT($AJ452),"",IF(ISBLANK($D$7),$CI$5,IF(NOT(ISNUMBER($D$7)),$CI$6,""))))</f>
        <v/>
      </c>
      <c r="CJ452" s="100" t="str">
        <f aca="false">IF(ISBLANK($C452),"",OR($AL452="",$AM452="",$AN452=""))</f>
        <v/>
      </c>
      <c r="CK452" s="100" t="str">
        <f aca="false">IF(ISBLANK($C452),"",AND($AJ452,$AX452=""))</f>
        <v/>
      </c>
      <c r="CL452" s="100" t="str">
        <f aca="false">IF(ISBLANK($C452),"",AND($AJ452,$AY452=""))</f>
        <v/>
      </c>
      <c r="CM452" s="100" t="str">
        <f aca="false">IF(ISBLANK($C452),"",AND($AJ452,$AZ452=""))</f>
        <v/>
      </c>
      <c r="CN452" s="100" t="str">
        <f aca="false">IF(ISBLANK($C452),"",AND($AJ452,$BC452=""))</f>
        <v/>
      </c>
      <c r="CO452" s="100" t="str">
        <f aca="false">IF(ISBLANK($C452),"",AND($AJ452,$BF452=""))</f>
        <v/>
      </c>
      <c r="CP452" s="101"/>
      <c r="CQ452" s="102"/>
      <c r="CR452" s="103" t="str">
        <f aca="false">IF(ISBLANK($C452),"",IF($BH452=Constants!$B$8,$CI452,""))</f>
        <v/>
      </c>
      <c r="CS452" s="102" t="str">
        <f aca="false">IF(ISBLANK($C452),"",IF($BH452&lt;&gt;Constants!$B$4,"",$BK452+$BL452))</f>
        <v/>
      </c>
      <c r="CT452" s="104" t="str">
        <f aca="false">IF(ISBLANK($C452),"",IF($BH452&lt;&gt;Constants!$B$4,"",$BM452+$BN452+$BO452))</f>
        <v/>
      </c>
      <c r="CU452" s="104" t="str">
        <f aca="false">IF(ISBLANK($C452),"",IF($BH452&lt;&gt;Constants!$B$4,"",$BP452))</f>
        <v/>
      </c>
      <c r="CV452" s="104" t="str">
        <f aca="false">IF(ISBLANK($C452),"",IF($BH452&lt;&gt;Constants!$B$4,"",$BQ452+$BR452))</f>
        <v/>
      </c>
      <c r="CW452" s="104" t="str">
        <f aca="false">IF(ISBLANK($C452),"",IF($BH452&lt;&gt;Constants!$B$4,"",$BS452))</f>
        <v/>
      </c>
      <c r="CX452" s="104" t="str">
        <f aca="false">IF(ISBLANK($C452),"",IF($BH452&lt;&gt;Constants!$B$4,"",-$BZ452))</f>
        <v/>
      </c>
      <c r="CY452" s="103" t="str">
        <f aca="false">IF(ISBLANK($C452),"",$CA452)</f>
        <v/>
      </c>
      <c r="CZ452" s="105" t="str">
        <f aca="false">IF(ISBLANK($C452),"",$BI452)</f>
        <v/>
      </c>
      <c r="DA452" s="104" t="str">
        <f aca="false">IF(ISBLANK($C452),"",$CH452)</f>
        <v/>
      </c>
      <c r="DB452" s="104" t="str">
        <f aca="false">IF(ISBLANK($C452),"",$CG452)</f>
        <v/>
      </c>
      <c r="DC452" s="106" t="str">
        <f aca="false">IF(ISBLANK($C452),"",IFERROR(_xlfn.SWITCH($DB452,Constants!$B$7,COUNTA($C$9:$C$508)+2,Constants!$B$6,COUNTA($C$9:$C$508)+1,Constants!$B$5,COUNTA($C$9:$C$508)),$DB452))</f>
        <v/>
      </c>
      <c r="DD452" s="7"/>
      <c r="DE452" s="107" t="n">
        <f aca="false">IF(OR(ISNUMBER($DB452),$DB452=Constants!$B$7,$DB452=Constants!$B$5,$DB452=Constants!$B$6),1,0)</f>
        <v>0</v>
      </c>
      <c r="DF452" s="107" t="n">
        <v>444</v>
      </c>
      <c r="DG452" s="107" t="str">
        <f aca="false">IF(ISBLANK($C452),"",IF(ISNUMBER($DC452),$DC452+ROW($B452)/1000,""))</f>
        <v/>
      </c>
      <c r="DH452" s="107" t="str">
        <f aca="false">IF(ISNUMBER($DG452),RANK($DG452,$DG$9:$DG$508,1),"")</f>
        <v/>
      </c>
      <c r="DI452" s="107" t="str">
        <f aca="false">IF(ISBLANK($C452),"",$B452)</f>
        <v/>
      </c>
      <c r="DJ452" s="107" t="str">
        <f aca="false">IF(ISBLANK($C452),"",$C452)</f>
        <v/>
      </c>
      <c r="DK452" s="107" t="str">
        <f aca="false">IF(ISBLANK($C452),"",$D452)</f>
        <v/>
      </c>
      <c r="DL452" s="108" t="str">
        <f aca="false">$CZ452</f>
        <v/>
      </c>
      <c r="DM452" s="109" t="str">
        <f aca="false">$CY452</f>
        <v/>
      </c>
      <c r="DN452" s="107" t="str">
        <f aca="false">IF(ISBLANK($C452),"",$DB452)</f>
        <v/>
      </c>
      <c r="DO452" s="110" t="str">
        <f aca="false">IF($DF452&gt;$DE$8,"",VLOOKUP($DF452,$DH$9:$DN$508,7,FALSE()))</f>
        <v/>
      </c>
      <c r="DP452" s="111" t="str">
        <f aca="false">IF($DF452&gt;$DE$8,"",VLOOKUP($DF452,$DH$9:$DN$508,2,FALSE()))</f>
        <v/>
      </c>
      <c r="DQ452" s="111" t="str">
        <f aca="false">IF($DF452&gt;$DE$8,"",VLOOKUP($DF452,$DH$9:$DN$508,3,FALSE()))</f>
        <v/>
      </c>
      <c r="DR452" s="111" t="str">
        <f aca="false">IF($DF452&gt;$DE$8,"",VLOOKUP($DF452,$DH$9:$DN$508,4,FALSE()))</f>
        <v/>
      </c>
      <c r="DS452" s="111" t="str">
        <f aca="false">IF($DF452&gt;$DE$8,"",VLOOKUP($DF452,$DH$9:$DN$508,5,FALSE()))</f>
        <v/>
      </c>
      <c r="DT452" s="112" t="str">
        <f aca="false">IF($DF452&gt;$DE$8,"",VLOOKUP($DF452,$DH$9:$DN$508,6,FALSE()))</f>
        <v/>
      </c>
      <c r="DU452" s="62"/>
    </row>
    <row r="453" customFormat="false" ht="15.75" hidden="false" customHeight="false" outlineLevel="0" collapsed="false">
      <c r="A453" s="7"/>
      <c r="B453" s="64"/>
      <c r="C453" s="65"/>
      <c r="D453" s="123"/>
      <c r="E453" s="88"/>
      <c r="F453" s="134"/>
      <c r="G453" s="88"/>
      <c r="H453" s="134"/>
      <c r="I453" s="119"/>
      <c r="J453" s="119"/>
      <c r="K453" s="119"/>
      <c r="L453" s="88"/>
      <c r="M453" s="88"/>
      <c r="N453" s="88"/>
      <c r="O453" s="134"/>
      <c r="P453" s="88"/>
      <c r="Q453" s="88"/>
      <c r="R453" s="88"/>
      <c r="S453" s="88"/>
      <c r="T453" s="134"/>
      <c r="U453" s="88"/>
      <c r="V453" s="70"/>
      <c r="W453" s="88"/>
      <c r="X453" s="88"/>
      <c r="Y453" s="70"/>
      <c r="Z453" s="70"/>
      <c r="AA453" s="88"/>
      <c r="AB453" s="88"/>
      <c r="AC453" s="71"/>
      <c r="AD453" s="88"/>
      <c r="AE453" s="73"/>
      <c r="AF453" s="74"/>
      <c r="AG453" s="74"/>
      <c r="AH453" s="74" t="str">
        <f aca="false">IF(ISBLANK($C453),"",IF($E453=Constants!$B$2,TRUE(),IF($E453=Constants!$B$3,FALSE(),TRUE())))</f>
        <v/>
      </c>
      <c r="AI453" s="74" t="str">
        <f aca="false">IF(ISBLANK($C453),"",IF($F453=Constants!$B$2,TRUE(),IF($F453=Constants!$B$3,FALSE(),FALSE())))</f>
        <v/>
      </c>
      <c r="AJ453" s="74" t="str">
        <f aca="false">IF(ISBLANK($C453),"",IF($G453=Constants!$B$2,TRUE(),IF($G453=Constants!$B$3,FALSE(),TRUE())))</f>
        <v/>
      </c>
      <c r="AK453" s="74" t="str">
        <f aca="false">IF(ISBLANK($C453),"",IF($H453=Constants!$B$2,TRUE(),IF($H453=Constants!$B$3,FALSE(),TRUE())))</f>
        <v/>
      </c>
      <c r="AL453" s="74" t="str">
        <f aca="false">IF(ISBLANK($C453),"",IF(ISNUMBER($I453),IF($I453&gt;=0,$I453,""),""))</f>
        <v/>
      </c>
      <c r="AM453" s="74" t="str">
        <f aca="false">IF(ISBLANK($C453),"",IF(ISNUMBER($J453),IF($J453&gt;=0,$J453,""),""))</f>
        <v/>
      </c>
      <c r="AN453" s="74" t="str">
        <f aca="false">IF(ISBLANK($C453),"",IF(ISNUMBER($K453),IF($K453&gt;=0,$K453,""),""))</f>
        <v/>
      </c>
      <c r="AO453" s="74" t="str">
        <f aca="false">IF(ISBLANK($C453),"",IF($L453=Constants!$B$2,TRUE(),IF($L453=Constants!$B$3,FALSE(),TRUE())))</f>
        <v/>
      </c>
      <c r="AP453" s="74" t="str">
        <f aca="false">IF(ISBLANK($C453),"",IF($M453=Constants!$B$2,TRUE(),IF($M453=Constants!$B$3,FALSE(),TRUE())))</f>
        <v/>
      </c>
      <c r="AQ453" s="74" t="str">
        <f aca="false">IF(ISBLANK($C453),"",IF($N453=Constants!$B$2,TRUE(),IF($N453=Constants!$B$3,FALSE(),FALSE())))</f>
        <v/>
      </c>
      <c r="AR453" s="74" t="str">
        <f aca="false">IF(ISBLANK($C453),"",IF($O453=Constants!$B$2,TRUE(),IF($O453=Constants!$B$3,FALSE(),TRUE())))</f>
        <v/>
      </c>
      <c r="AS453" s="74" t="str">
        <f aca="false">IF(ISBLANK($C453),"",IF($P453=Constants!$B$2,TRUE(),IF($P453=Constants!$B$3,FALSE(),FALSE())))</f>
        <v/>
      </c>
      <c r="AT453" s="74" t="str">
        <f aca="false">IF(ISBLANK($C453),"",IF($Q453=Constants!$B$2,TRUE(),IF($Q453=Constants!$B$3,FALSE(),FALSE())))</f>
        <v/>
      </c>
      <c r="AU453" s="74" t="str">
        <f aca="false">IF(ISBLANK($C453),"",IF($R453=Constants!$B$2,TRUE(),IF($R453=Constants!$B$3,FALSE(),FALSE())))</f>
        <v/>
      </c>
      <c r="AV453" s="74" t="str">
        <f aca="false">IF(ISBLANK($C453),"",IF($S453=Constants!$B$2,TRUE(),IF($S453=Constants!$B$3,FALSE(),FALSE())))</f>
        <v/>
      </c>
      <c r="AW453" s="74" t="str">
        <f aca="false">IF(ISBLANK($C453),"",IF($T453=Constants!$B$2,TRUE(),IF($T453=Constants!$B$3,FALSE(),FALSE())))</f>
        <v/>
      </c>
      <c r="AX453" s="74" t="str">
        <f aca="false">IF(ISBLANK($C453),"",IF(OR($U453&amp;""="1",$U453&amp;""="2",$U453&amp;""="3",$U453&amp;""="4"),VALUE($U453&amp;""),IF($U453=Constants!$B$12,Constants!$B$12,"")))</f>
        <v/>
      </c>
      <c r="AY453" s="74" t="str">
        <f aca="false">IF(ISBLANK($C453),"",IF(ISBLANK($V453),0,IF(ISNUMBER($V453),IF(AND($V453&gt;=0,$V453&lt;=Constants!$B$21,$V453=INT($V453)),$V453,""),"")))</f>
        <v/>
      </c>
      <c r="AZ453" s="74" t="str">
        <f aca="false">IF(ISBLANK($C453),"",IF(ISBLANK($W453),0,IF(ISNUMBER($W453),IF($W453&gt;=0,$W453,""),"")))</f>
        <v/>
      </c>
      <c r="BA453" s="74" t="str">
        <f aca="false">IF(ISBLANK($C453),"",IF($X453=Constants!$B$2,TRUE(),IF($X453=Constants!$B$3,FALSE(),TRUE())))</f>
        <v/>
      </c>
      <c r="BB453" s="74" t="str">
        <f aca="false">IF(ISBLANK($C453),"",IF($Y453=Constants!$B$2,TRUE(),IF($Y453=Constants!$B$3,FALSE(),FALSE())))</f>
        <v/>
      </c>
      <c r="BC453" s="74" t="str">
        <f aca="false">IF(ISBLANK($C453),"",IF(ISBLANK($Z453),0,IF(ISNUMBER($Z453),IF(AND($Z453&gt;=0,$Z453&lt;=Constants!$B$35,$Z453=INT($Z453)),$Z453,""),"")))</f>
        <v/>
      </c>
      <c r="BD453" s="74" t="str">
        <f aca="false">IF(ISBLANK($C453),"",IF($AA453=Constants!$B$2,TRUE(),IF($AA453=Constants!$B$3,FALSE(),TRUE())))</f>
        <v/>
      </c>
      <c r="BE453" s="74" t="str">
        <f aca="false">IF(ISBLANK($C453),"",IF($AB453=Constants!$B$2,TRUE(),IF($AB453=Constants!$B$3,FALSE(),TRUE())))</f>
        <v/>
      </c>
      <c r="BF453" s="74" t="str">
        <f aca="false">IF(ISBLANK($C453),"",IF(ISNUMBER($AC453),IF($AC453&gt;=0,$AC453,""),""))</f>
        <v/>
      </c>
      <c r="BG453" s="74" t="str">
        <f aca="false">IF(ISBLANK($C453),"",IF($AD453=Constants!$B$2,TRUE(),IF($AD453=Constants!$B$3,FALSE(),FALSE())))</f>
        <v/>
      </c>
      <c r="BH453" s="73" t="str">
        <f aca="false">IF(ISBLANK($C453),"",IF($BG453,Constants!$B$7,IF(COUNTA($E453:$AC453)=0,Constants!$B$6,IF(OR(COUNTA($G453:$AC453)=0,NOT($AK453),$AQ453),Constants!$B$5,IF(OR($CI453&lt;&gt;"",$CJ453,$CK453,$CL453,$CM453,$CN453,$CO453),Constants!$B$8,Constants!$B$4)))))</f>
        <v/>
      </c>
      <c r="BI453" s="74" t="str">
        <f aca="false">IF(ISBLANK($C453),"",IF($BH453&lt;&gt;Constants!$B$4,$BH453,IF(OR(NOT($AH453),NOT($AJ453),NOT($AR453)),Constants!$B$11,IF(OR(NOT($AP453),MAX($AL453,$AM453,$AN453)&gt;Constants!$B$30),Constants!$B$10,Constants!$B$9))))</f>
        <v/>
      </c>
      <c r="BJ453" s="74" t="str">
        <f aca="false">IF($BH453&lt;&gt;Constants!$B$4,"",IF(NOT($AJ453),0,MIN(Constants!$B$35,$BC453)))</f>
        <v/>
      </c>
      <c r="BK453" s="74" t="str">
        <f aca="false">IF($BH453&lt;&gt;Constants!$B$4,"",IF(NOT($AJ453),0,IF($AT453,Constants!$B$18,IF($AS453,Constants!$B$17,0))))</f>
        <v/>
      </c>
      <c r="BL453" s="74" t="str">
        <f aca="false">IF($BH453&lt;&gt;Constants!$B$4,"",IF(NOT($AJ453),0,Constants!$B$19*($AI453+$AU453+$AV453+$AW453)))</f>
        <v/>
      </c>
      <c r="BM453" s="74" t="str">
        <f aca="false">IF($BH453&lt;&gt;Constants!$B$4,"",IF(OR(NOT($AJ453),NOT(ISNUMBER($AX453))),0,CHOOSE($AX453,Constants!$B$13,Constants!$B$14,Constants!$B$15,Constants!$B$16)))</f>
        <v/>
      </c>
      <c r="BN453" s="74" t="str">
        <f aca="false">IF($BH453&lt;&gt;Constants!$B$4,"",IF(NOT($AJ453),0,Constants!$B$20*$AY453))</f>
        <v/>
      </c>
      <c r="BO453" s="74" t="str">
        <f aca="false">IF($BH453&lt;&gt;Constants!$B$4,"",IF(AND($AJ453,$BA453,$BB453),Constants!$B$22,0))</f>
        <v/>
      </c>
      <c r="BP453" s="74" t="str">
        <f aca="false">IF($BH453&lt;&gt;Constants!$B$4,"",IF(OR(NOT($AJ453),NOT($BA453)),0,IF($BF453&gt;=2*$AF$9,0,Constants!$B$23*INT(ROUND(MIN($BF453,$AF$9),6)))))</f>
        <v/>
      </c>
      <c r="BQ453" s="74" t="str">
        <f aca="false">IF($BH453&lt;&gt;Constants!$B$4,"",IF(NOT($AJ453),0,Constants!$B$24*INT(ROUND(MIN($AZ453,$AF$9),6))))</f>
        <v/>
      </c>
      <c r="BR453" s="74" t="str">
        <f aca="false">IF($BH453&lt;&gt;Constants!$B$4,"",IF(AND($AJ453,$BJ453=0),Constants!$B$25,0))</f>
        <v/>
      </c>
      <c r="BS453" s="74" t="str">
        <f aca="false">IF($BH453&lt;&gt;Constants!$B$4,"",MIN(Constants!$B$29,MAX(0,Constants!$B$27*Constants!$B$28*INT(ROUND((Constants!$B$26-$AL453)/Constants!$B$28,6))))+MIN(Constants!$B$29,MAX(0,Constants!$B$27*Constants!$B$28*INT(ROUND((Constants!$B$26-$AM453)/Constants!$B$28,6))))+MIN(Constants!$B$29,MAX(0,Constants!$B$27*Constants!$B$28*INT(ROUND((Constants!$B$26-$AN453)/Constants!$B$28,6)))))</f>
        <v/>
      </c>
      <c r="BT453" s="74" t="str">
        <f aca="false">IF($BH453&lt;&gt;Constants!$B$4,"",IF(NOT($AJ453),0,Constants!$B$31*INT(ROUND(MAX(0,MIN($BF453,2*$AF$9)-$AF$9),6))))</f>
        <v/>
      </c>
      <c r="BU453" s="74" t="str">
        <f aca="false">IF($BH453&lt;&gt;Constants!$B$4,"",Constants!$B$32*(($AL453&gt;Constants!$B$26)+($AM453&gt;Constants!$B$26)+($AN453&gt;Constants!$B$26)))</f>
        <v/>
      </c>
      <c r="BV453" s="74" t="str">
        <f aca="false">IF($BH453&lt;&gt;Constants!$B$4,"",IF(OR(NOT($AJ453),$AO453),0,Constants!$B$33))</f>
        <v/>
      </c>
      <c r="BW453" s="74" t="str">
        <f aca="false">IF($BH453&lt;&gt;Constants!$B$4,"",Constants!$B$34*$BJ453)</f>
        <v/>
      </c>
      <c r="BX453" s="74" t="str">
        <f aca="false">IF($BH453&lt;&gt;Constants!$B$4,"",IF(OR(NOT($AJ453),$BE453),0,Constants!$B$36))</f>
        <v/>
      </c>
      <c r="BY453" s="74" t="str">
        <f aca="false">IF($BH453&lt;&gt;Constants!$B$4,"",IF(OR(NOT($AJ453),$BD453),0,Constants!$B$37))</f>
        <v/>
      </c>
      <c r="BZ453" s="74" t="str">
        <f aca="false">IF($BH453&lt;&gt;Constants!$B$4,"",SUM($BT453:$BY453))</f>
        <v/>
      </c>
      <c r="CA453" s="74" t="str">
        <f aca="false">IF(ISBLANK($C453),"",IF($BH453&lt;&gt;Constants!$B$4,$BH453,SUM($BK453:$BS453)-$BZ453))</f>
        <v/>
      </c>
      <c r="CB453" s="74" t="str">
        <f aca="false">IF(ISBLANK($C453),"",IF($BH453&lt;&gt;Constants!$B$4,$BH453,RANK($CA453,$CA$9:$CA$508)))</f>
        <v/>
      </c>
      <c r="CC453" s="74" t="str">
        <f aca="false">IF(ISBLANK($C453),"",IF($BH453&lt;&gt;Constants!$B$4,$BH453,COUNTIFS($BI$9:$BI$508,"&lt;"&amp;$BI453)+COUNTIFS($BI$9:$BI$508,$BI453,$CB$9:$CB$508,"&lt;"&amp;$CB453)+1))</f>
        <v/>
      </c>
      <c r="CD453" s="74" t="str">
        <f aca="false">IF(ISBLANK($C453),"",IF($BH453&lt;&gt;Constants!$B$4,$BH453,RANK($BZ453,$BZ$9:$BZ$508,1)))</f>
        <v/>
      </c>
      <c r="CE453" s="74" t="str">
        <f aca="false">IF($BH453&lt;&gt;Constants!$B$4,"",$AL453+$AM453+$AN453)</f>
        <v/>
      </c>
      <c r="CF453" s="74" t="str">
        <f aca="false">IF(ISBLANK($C453),"",IF($BH453&lt;&gt;Constants!$B$4,$BH453,RANK($CE453,$CE$9:$CE$508,1)))</f>
        <v/>
      </c>
      <c r="CG453" s="74" t="str">
        <f aca="false">IF(ISBLANK($C453),"",IF($BH453&lt;&gt;Constants!$B$4,$BH453,COUNTIFS($BI$9:$BI$508,"&lt;"&amp;$BI453)+COUNTIFS($BI$9:$BI$508,$BI453,$CB$9:$CB$508,"&lt;"&amp;$CB453)+COUNTIFS($BI$9:$BI$508,$BI453,$CB$9:$CB$508,$CB453,$CD$9:$CD$508,"&lt;"&amp;$CD453)+COUNTIFS($BI$9:$BI$508,$BI453,$CB$9:$CB$508,$CB453,$CD$9:$CD$508,$CD453,$CF$9:$CF$508,"&lt;"&amp;$CF453)+1))</f>
        <v/>
      </c>
      <c r="CH453" s="74" t="str">
        <f aca="false">IF(ISBLANK($C453),"",IF($BH453&lt;&gt;Constants!$B$4,$BH453,$CC453-$CG453))</f>
        <v/>
      </c>
      <c r="CI453" s="74" t="str">
        <f aca="false">IF(ISBLANK($C453),"",IF(NOT($AJ453),"",IF(ISBLANK($D$7),$CI$5,IF(NOT(ISNUMBER($D$7)),$CI$6,""))))</f>
        <v/>
      </c>
      <c r="CJ453" s="74" t="str">
        <f aca="false">IF(ISBLANK($C453),"",OR($AL453="",$AM453="",$AN453=""))</f>
        <v/>
      </c>
      <c r="CK453" s="74" t="str">
        <f aca="false">IF(ISBLANK($C453),"",AND($AJ453,$AX453=""))</f>
        <v/>
      </c>
      <c r="CL453" s="74" t="str">
        <f aca="false">IF(ISBLANK($C453),"",AND($AJ453,$AY453=""))</f>
        <v/>
      </c>
      <c r="CM453" s="74" t="str">
        <f aca="false">IF(ISBLANK($C453),"",AND($AJ453,$AZ453=""))</f>
        <v/>
      </c>
      <c r="CN453" s="74" t="str">
        <f aca="false">IF(ISBLANK($C453),"",AND($AJ453,$BC453=""))</f>
        <v/>
      </c>
      <c r="CO453" s="74" t="str">
        <f aca="false">IF(ISBLANK($C453),"",AND($AJ453,$BF453=""))</f>
        <v/>
      </c>
      <c r="CP453" s="75"/>
      <c r="CQ453" s="76"/>
      <c r="CR453" s="79" t="str">
        <f aca="false">IF(ISBLANK($C453),"",IF($BH453=Constants!$B$8,$CI453,""))</f>
        <v/>
      </c>
      <c r="CS453" s="76" t="str">
        <f aca="false">IF(ISBLANK($C453),"",IF($BH453&lt;&gt;Constants!$B$4,"",$BK453+$BL453))</f>
        <v/>
      </c>
      <c r="CT453" s="78" t="str">
        <f aca="false">IF(ISBLANK($C453),"",IF($BH453&lt;&gt;Constants!$B$4,"",$BM453+$BN453+$BO453))</f>
        <v/>
      </c>
      <c r="CU453" s="78" t="str">
        <f aca="false">IF(ISBLANK($C453),"",IF($BH453&lt;&gt;Constants!$B$4,"",$BP453))</f>
        <v/>
      </c>
      <c r="CV453" s="78" t="str">
        <f aca="false">IF(ISBLANK($C453),"",IF($BH453&lt;&gt;Constants!$B$4,"",$BQ453+$BR453))</f>
        <v/>
      </c>
      <c r="CW453" s="78" t="str">
        <f aca="false">IF(ISBLANK($C453),"",IF($BH453&lt;&gt;Constants!$B$4,"",$BS453))</f>
        <v/>
      </c>
      <c r="CX453" s="78" t="str">
        <f aca="false">IF(ISBLANK($C453),"",IF($BH453&lt;&gt;Constants!$B$4,"",-$BZ453))</f>
        <v/>
      </c>
      <c r="CY453" s="79" t="str">
        <f aca="false">IF(ISBLANK($C453),"",$CA453)</f>
        <v/>
      </c>
      <c r="CZ453" s="80" t="str">
        <f aca="false">IF(ISBLANK($C453),"",$BI453)</f>
        <v/>
      </c>
      <c r="DA453" s="78" t="str">
        <f aca="false">IF(ISBLANK($C453),"",$CH453)</f>
        <v/>
      </c>
      <c r="DB453" s="78" t="str">
        <f aca="false">IF(ISBLANK($C453),"",$CG453)</f>
        <v/>
      </c>
      <c r="DC453" s="81" t="str">
        <f aca="false">IF(ISBLANK($C453),"",IFERROR(_xlfn.SWITCH($DB453,Constants!$B$7,COUNTA($C$9:$C$508)+2,Constants!$B$6,COUNTA($C$9:$C$508)+1,Constants!$B$5,COUNTA($C$9:$C$508)),$DB453))</f>
        <v/>
      </c>
      <c r="DD453" s="7"/>
      <c r="DE453" s="82" t="n">
        <f aca="false">IF(OR(ISNUMBER($DB453),$DB453=Constants!$B$7,$DB453=Constants!$B$5,$DB453=Constants!$B$6),1,0)</f>
        <v>0</v>
      </c>
      <c r="DF453" s="82" t="n">
        <v>445</v>
      </c>
      <c r="DG453" s="82" t="str">
        <f aca="false">IF(ISBLANK($C453),"",IF(ISNUMBER($DC453),$DC453+ROW($B453)/1000,""))</f>
        <v/>
      </c>
      <c r="DH453" s="82" t="str">
        <f aca="false">IF(ISNUMBER($DG453),RANK($DG453,$DG$9:$DG$508,1),"")</f>
        <v/>
      </c>
      <c r="DI453" s="82" t="str">
        <f aca="false">IF(ISBLANK($C453),"",$B453)</f>
        <v/>
      </c>
      <c r="DJ453" s="82" t="str">
        <f aca="false">IF(ISBLANK($C453),"",$C453)</f>
        <v/>
      </c>
      <c r="DK453" s="82" t="str">
        <f aca="false">IF(ISBLANK($C453),"",$D453)</f>
        <v/>
      </c>
      <c r="DL453" s="83" t="str">
        <f aca="false">$CZ453</f>
        <v/>
      </c>
      <c r="DM453" s="84" t="str">
        <f aca="false">$CY453</f>
        <v/>
      </c>
      <c r="DN453" s="82" t="str">
        <f aca="false">IF(ISBLANK($C453),"",$DB453)</f>
        <v/>
      </c>
      <c r="DO453" s="85" t="str">
        <f aca="false">IF($DF453&gt;$DE$8,"",VLOOKUP($DF453,$DH$9:$DN$508,7,FALSE()))</f>
        <v/>
      </c>
      <c r="DP453" s="86" t="str">
        <f aca="false">IF($DF453&gt;$DE$8,"",VLOOKUP($DF453,$DH$9:$DN$508,2,FALSE()))</f>
        <v/>
      </c>
      <c r="DQ453" s="86" t="str">
        <f aca="false">IF($DF453&gt;$DE$8,"",VLOOKUP($DF453,$DH$9:$DN$508,3,FALSE()))</f>
        <v/>
      </c>
      <c r="DR453" s="86" t="str">
        <f aca="false">IF($DF453&gt;$DE$8,"",VLOOKUP($DF453,$DH$9:$DN$508,4,FALSE()))</f>
        <v/>
      </c>
      <c r="DS453" s="86" t="str">
        <f aca="false">IF($DF453&gt;$DE$8,"",VLOOKUP($DF453,$DH$9:$DN$508,5,FALSE()))</f>
        <v/>
      </c>
      <c r="DT453" s="87" t="str">
        <f aca="false">IF($DF453&gt;$DE$8,"",VLOOKUP($DF453,$DH$9:$DN$508,6,FALSE()))</f>
        <v/>
      </c>
      <c r="DU453" s="62"/>
    </row>
    <row r="454" customFormat="false" ht="15.75" hidden="false" customHeight="false" outlineLevel="0" collapsed="false">
      <c r="A454" s="7"/>
      <c r="B454" s="64"/>
      <c r="C454" s="65"/>
      <c r="D454" s="123"/>
      <c r="E454" s="88"/>
      <c r="F454" s="134"/>
      <c r="G454" s="88"/>
      <c r="H454" s="134"/>
      <c r="I454" s="119"/>
      <c r="J454" s="119"/>
      <c r="K454" s="119"/>
      <c r="L454" s="88"/>
      <c r="M454" s="88"/>
      <c r="N454" s="88"/>
      <c r="O454" s="134"/>
      <c r="P454" s="88"/>
      <c r="Q454" s="88"/>
      <c r="R454" s="88"/>
      <c r="S454" s="88"/>
      <c r="T454" s="134"/>
      <c r="U454" s="88"/>
      <c r="V454" s="70"/>
      <c r="W454" s="88"/>
      <c r="X454" s="88"/>
      <c r="Y454" s="70"/>
      <c r="Z454" s="70"/>
      <c r="AA454" s="88"/>
      <c r="AB454" s="88"/>
      <c r="AC454" s="71"/>
      <c r="AD454" s="88"/>
      <c r="AE454" s="73"/>
      <c r="AF454" s="74"/>
      <c r="AG454" s="74"/>
      <c r="AH454" s="74" t="str">
        <f aca="false">IF(ISBLANK($C454),"",IF($E454=Constants!$B$2,TRUE(),IF($E454=Constants!$B$3,FALSE(),TRUE())))</f>
        <v/>
      </c>
      <c r="AI454" s="74" t="str">
        <f aca="false">IF(ISBLANK($C454),"",IF($F454=Constants!$B$2,TRUE(),IF($F454=Constants!$B$3,FALSE(),FALSE())))</f>
        <v/>
      </c>
      <c r="AJ454" s="74" t="str">
        <f aca="false">IF(ISBLANK($C454),"",IF($G454=Constants!$B$2,TRUE(),IF($G454=Constants!$B$3,FALSE(),TRUE())))</f>
        <v/>
      </c>
      <c r="AK454" s="74" t="str">
        <f aca="false">IF(ISBLANK($C454),"",IF($H454=Constants!$B$2,TRUE(),IF($H454=Constants!$B$3,FALSE(),TRUE())))</f>
        <v/>
      </c>
      <c r="AL454" s="74" t="str">
        <f aca="false">IF(ISBLANK($C454),"",IF(ISNUMBER($I454),IF($I454&gt;=0,$I454,""),""))</f>
        <v/>
      </c>
      <c r="AM454" s="74" t="str">
        <f aca="false">IF(ISBLANK($C454),"",IF(ISNUMBER($J454),IF($J454&gt;=0,$J454,""),""))</f>
        <v/>
      </c>
      <c r="AN454" s="74" t="str">
        <f aca="false">IF(ISBLANK($C454),"",IF(ISNUMBER($K454),IF($K454&gt;=0,$K454,""),""))</f>
        <v/>
      </c>
      <c r="AO454" s="74" t="str">
        <f aca="false">IF(ISBLANK($C454),"",IF($L454=Constants!$B$2,TRUE(),IF($L454=Constants!$B$3,FALSE(),TRUE())))</f>
        <v/>
      </c>
      <c r="AP454" s="74" t="str">
        <f aca="false">IF(ISBLANK($C454),"",IF($M454=Constants!$B$2,TRUE(),IF($M454=Constants!$B$3,FALSE(),TRUE())))</f>
        <v/>
      </c>
      <c r="AQ454" s="74" t="str">
        <f aca="false">IF(ISBLANK($C454),"",IF($N454=Constants!$B$2,TRUE(),IF($N454=Constants!$B$3,FALSE(),FALSE())))</f>
        <v/>
      </c>
      <c r="AR454" s="74" t="str">
        <f aca="false">IF(ISBLANK($C454),"",IF($O454=Constants!$B$2,TRUE(),IF($O454=Constants!$B$3,FALSE(),TRUE())))</f>
        <v/>
      </c>
      <c r="AS454" s="74" t="str">
        <f aca="false">IF(ISBLANK($C454),"",IF($P454=Constants!$B$2,TRUE(),IF($P454=Constants!$B$3,FALSE(),FALSE())))</f>
        <v/>
      </c>
      <c r="AT454" s="74" t="str">
        <f aca="false">IF(ISBLANK($C454),"",IF($Q454=Constants!$B$2,TRUE(),IF($Q454=Constants!$B$3,FALSE(),FALSE())))</f>
        <v/>
      </c>
      <c r="AU454" s="74" t="str">
        <f aca="false">IF(ISBLANK($C454),"",IF($R454=Constants!$B$2,TRUE(),IF($R454=Constants!$B$3,FALSE(),FALSE())))</f>
        <v/>
      </c>
      <c r="AV454" s="74" t="str">
        <f aca="false">IF(ISBLANK($C454),"",IF($S454=Constants!$B$2,TRUE(),IF($S454=Constants!$B$3,FALSE(),FALSE())))</f>
        <v/>
      </c>
      <c r="AW454" s="74" t="str">
        <f aca="false">IF(ISBLANK($C454),"",IF($T454=Constants!$B$2,TRUE(),IF($T454=Constants!$B$3,FALSE(),FALSE())))</f>
        <v/>
      </c>
      <c r="AX454" s="74" t="str">
        <f aca="false">IF(ISBLANK($C454),"",IF(OR($U454&amp;""="1",$U454&amp;""="2",$U454&amp;""="3",$U454&amp;""="4"),VALUE($U454&amp;""),IF($U454=Constants!$B$12,Constants!$B$12,"")))</f>
        <v/>
      </c>
      <c r="AY454" s="74" t="str">
        <f aca="false">IF(ISBLANK($C454),"",IF(ISBLANK($V454),0,IF(ISNUMBER($V454),IF(AND($V454&gt;=0,$V454&lt;=Constants!$B$21,$V454=INT($V454)),$V454,""),"")))</f>
        <v/>
      </c>
      <c r="AZ454" s="74" t="str">
        <f aca="false">IF(ISBLANK($C454),"",IF(ISBLANK($W454),0,IF(ISNUMBER($W454),IF($W454&gt;=0,$W454,""),"")))</f>
        <v/>
      </c>
      <c r="BA454" s="74" t="str">
        <f aca="false">IF(ISBLANK($C454),"",IF($X454=Constants!$B$2,TRUE(),IF($X454=Constants!$B$3,FALSE(),TRUE())))</f>
        <v/>
      </c>
      <c r="BB454" s="74" t="str">
        <f aca="false">IF(ISBLANK($C454),"",IF($Y454=Constants!$B$2,TRUE(),IF($Y454=Constants!$B$3,FALSE(),FALSE())))</f>
        <v/>
      </c>
      <c r="BC454" s="74" t="str">
        <f aca="false">IF(ISBLANK($C454),"",IF(ISBLANK($Z454),0,IF(ISNUMBER($Z454),IF(AND($Z454&gt;=0,$Z454&lt;=Constants!$B$35,$Z454=INT($Z454)),$Z454,""),"")))</f>
        <v/>
      </c>
      <c r="BD454" s="74" t="str">
        <f aca="false">IF(ISBLANK($C454),"",IF($AA454=Constants!$B$2,TRUE(),IF($AA454=Constants!$B$3,FALSE(),TRUE())))</f>
        <v/>
      </c>
      <c r="BE454" s="74" t="str">
        <f aca="false">IF(ISBLANK($C454),"",IF($AB454=Constants!$B$2,TRUE(),IF($AB454=Constants!$B$3,FALSE(),TRUE())))</f>
        <v/>
      </c>
      <c r="BF454" s="74" t="str">
        <f aca="false">IF(ISBLANK($C454),"",IF(ISNUMBER($AC454),IF($AC454&gt;=0,$AC454,""),""))</f>
        <v/>
      </c>
      <c r="BG454" s="74" t="str">
        <f aca="false">IF(ISBLANK($C454),"",IF($AD454=Constants!$B$2,TRUE(),IF($AD454=Constants!$B$3,FALSE(),FALSE())))</f>
        <v/>
      </c>
      <c r="BH454" s="73" t="str">
        <f aca="false">IF(ISBLANK($C454),"",IF($BG454,Constants!$B$7,IF(COUNTA($E454:$AC454)=0,Constants!$B$6,IF(OR(COUNTA($G454:$AC454)=0,NOT($AK454),$AQ454),Constants!$B$5,IF(OR($CI454&lt;&gt;"",$CJ454,$CK454,$CL454,$CM454,$CN454,$CO454),Constants!$B$8,Constants!$B$4)))))</f>
        <v/>
      </c>
      <c r="BI454" s="74" t="str">
        <f aca="false">IF(ISBLANK($C454),"",IF($BH454&lt;&gt;Constants!$B$4,$BH454,IF(OR(NOT($AH454),NOT($AJ454),NOT($AR454)),Constants!$B$11,IF(OR(NOT($AP454),MAX($AL454,$AM454,$AN454)&gt;Constants!$B$30),Constants!$B$10,Constants!$B$9))))</f>
        <v/>
      </c>
      <c r="BJ454" s="74" t="str">
        <f aca="false">IF($BH454&lt;&gt;Constants!$B$4,"",IF(NOT($AJ454),0,MIN(Constants!$B$35,$BC454)))</f>
        <v/>
      </c>
      <c r="BK454" s="74" t="str">
        <f aca="false">IF($BH454&lt;&gt;Constants!$B$4,"",IF(NOT($AJ454),0,IF($AT454,Constants!$B$18,IF($AS454,Constants!$B$17,0))))</f>
        <v/>
      </c>
      <c r="BL454" s="74" t="str">
        <f aca="false">IF($BH454&lt;&gt;Constants!$B$4,"",IF(NOT($AJ454),0,Constants!$B$19*($AI454+$AU454+$AV454+$AW454)))</f>
        <v/>
      </c>
      <c r="BM454" s="74" t="str">
        <f aca="false">IF($BH454&lt;&gt;Constants!$B$4,"",IF(OR(NOT($AJ454),NOT(ISNUMBER($AX454))),0,CHOOSE($AX454,Constants!$B$13,Constants!$B$14,Constants!$B$15,Constants!$B$16)))</f>
        <v/>
      </c>
      <c r="BN454" s="74" t="str">
        <f aca="false">IF($BH454&lt;&gt;Constants!$B$4,"",IF(NOT($AJ454),0,Constants!$B$20*$AY454))</f>
        <v/>
      </c>
      <c r="BO454" s="74" t="str">
        <f aca="false">IF($BH454&lt;&gt;Constants!$B$4,"",IF(AND($AJ454,$BA454,$BB454),Constants!$B$22,0))</f>
        <v/>
      </c>
      <c r="BP454" s="74" t="str">
        <f aca="false">IF($BH454&lt;&gt;Constants!$B$4,"",IF(OR(NOT($AJ454),NOT($BA454)),0,IF($BF454&gt;=2*$AF$9,0,Constants!$B$23*INT(ROUND(MIN($BF454,$AF$9),6)))))</f>
        <v/>
      </c>
      <c r="BQ454" s="74" t="str">
        <f aca="false">IF($BH454&lt;&gt;Constants!$B$4,"",IF(NOT($AJ454),0,Constants!$B$24*INT(ROUND(MIN($AZ454,$AF$9),6))))</f>
        <v/>
      </c>
      <c r="BR454" s="74" t="str">
        <f aca="false">IF($BH454&lt;&gt;Constants!$B$4,"",IF(AND($AJ454,$BJ454=0),Constants!$B$25,0))</f>
        <v/>
      </c>
      <c r="BS454" s="74" t="str">
        <f aca="false">IF($BH454&lt;&gt;Constants!$B$4,"",MIN(Constants!$B$29,MAX(0,Constants!$B$27*Constants!$B$28*INT(ROUND((Constants!$B$26-$AL454)/Constants!$B$28,6))))+MIN(Constants!$B$29,MAX(0,Constants!$B$27*Constants!$B$28*INT(ROUND((Constants!$B$26-$AM454)/Constants!$B$28,6))))+MIN(Constants!$B$29,MAX(0,Constants!$B$27*Constants!$B$28*INT(ROUND((Constants!$B$26-$AN454)/Constants!$B$28,6)))))</f>
        <v/>
      </c>
      <c r="BT454" s="74" t="str">
        <f aca="false">IF($BH454&lt;&gt;Constants!$B$4,"",IF(NOT($AJ454),0,Constants!$B$31*INT(ROUND(MAX(0,MIN($BF454,2*$AF$9)-$AF$9),6))))</f>
        <v/>
      </c>
      <c r="BU454" s="74" t="str">
        <f aca="false">IF($BH454&lt;&gt;Constants!$B$4,"",Constants!$B$32*(($AL454&gt;Constants!$B$26)+($AM454&gt;Constants!$B$26)+($AN454&gt;Constants!$B$26)))</f>
        <v/>
      </c>
      <c r="BV454" s="74" t="str">
        <f aca="false">IF($BH454&lt;&gt;Constants!$B$4,"",IF(OR(NOT($AJ454),$AO454),0,Constants!$B$33))</f>
        <v/>
      </c>
      <c r="BW454" s="74" t="str">
        <f aca="false">IF($BH454&lt;&gt;Constants!$B$4,"",Constants!$B$34*$BJ454)</f>
        <v/>
      </c>
      <c r="BX454" s="74" t="str">
        <f aca="false">IF($BH454&lt;&gt;Constants!$B$4,"",IF(OR(NOT($AJ454),$BE454),0,Constants!$B$36))</f>
        <v/>
      </c>
      <c r="BY454" s="74" t="str">
        <f aca="false">IF($BH454&lt;&gt;Constants!$B$4,"",IF(OR(NOT($AJ454),$BD454),0,Constants!$B$37))</f>
        <v/>
      </c>
      <c r="BZ454" s="74" t="str">
        <f aca="false">IF($BH454&lt;&gt;Constants!$B$4,"",SUM($BT454:$BY454))</f>
        <v/>
      </c>
      <c r="CA454" s="74" t="str">
        <f aca="false">IF(ISBLANK($C454),"",IF($BH454&lt;&gt;Constants!$B$4,$BH454,SUM($BK454:$BS454)-$BZ454))</f>
        <v/>
      </c>
      <c r="CB454" s="74" t="str">
        <f aca="false">IF(ISBLANK($C454),"",IF($BH454&lt;&gt;Constants!$B$4,$BH454,RANK($CA454,$CA$9:$CA$508)))</f>
        <v/>
      </c>
      <c r="CC454" s="74" t="str">
        <f aca="false">IF(ISBLANK($C454),"",IF($BH454&lt;&gt;Constants!$B$4,$BH454,COUNTIFS($BI$9:$BI$508,"&lt;"&amp;$BI454)+COUNTIFS($BI$9:$BI$508,$BI454,$CB$9:$CB$508,"&lt;"&amp;$CB454)+1))</f>
        <v/>
      </c>
      <c r="CD454" s="74" t="str">
        <f aca="false">IF(ISBLANK($C454),"",IF($BH454&lt;&gt;Constants!$B$4,$BH454,RANK($BZ454,$BZ$9:$BZ$508,1)))</f>
        <v/>
      </c>
      <c r="CE454" s="74" t="str">
        <f aca="false">IF($BH454&lt;&gt;Constants!$B$4,"",$AL454+$AM454+$AN454)</f>
        <v/>
      </c>
      <c r="CF454" s="74" t="str">
        <f aca="false">IF(ISBLANK($C454),"",IF($BH454&lt;&gt;Constants!$B$4,$BH454,RANK($CE454,$CE$9:$CE$508,1)))</f>
        <v/>
      </c>
      <c r="CG454" s="74" t="str">
        <f aca="false">IF(ISBLANK($C454),"",IF($BH454&lt;&gt;Constants!$B$4,$BH454,COUNTIFS($BI$9:$BI$508,"&lt;"&amp;$BI454)+COUNTIFS($BI$9:$BI$508,$BI454,$CB$9:$CB$508,"&lt;"&amp;$CB454)+COUNTIFS($BI$9:$BI$508,$BI454,$CB$9:$CB$508,$CB454,$CD$9:$CD$508,"&lt;"&amp;$CD454)+COUNTIFS($BI$9:$BI$508,$BI454,$CB$9:$CB$508,$CB454,$CD$9:$CD$508,$CD454,$CF$9:$CF$508,"&lt;"&amp;$CF454)+1))</f>
        <v/>
      </c>
      <c r="CH454" s="74" t="str">
        <f aca="false">IF(ISBLANK($C454),"",IF($BH454&lt;&gt;Constants!$B$4,$BH454,$CC454-$CG454))</f>
        <v/>
      </c>
      <c r="CI454" s="74" t="str">
        <f aca="false">IF(ISBLANK($C454),"",IF(NOT($AJ454),"",IF(ISBLANK($D$7),$CI$5,IF(NOT(ISNUMBER($D$7)),$CI$6,""))))</f>
        <v/>
      </c>
      <c r="CJ454" s="74" t="str">
        <f aca="false">IF(ISBLANK($C454),"",OR($AL454="",$AM454="",$AN454=""))</f>
        <v/>
      </c>
      <c r="CK454" s="74" t="str">
        <f aca="false">IF(ISBLANK($C454),"",AND($AJ454,$AX454=""))</f>
        <v/>
      </c>
      <c r="CL454" s="74" t="str">
        <f aca="false">IF(ISBLANK($C454),"",AND($AJ454,$AY454=""))</f>
        <v/>
      </c>
      <c r="CM454" s="74" t="str">
        <f aca="false">IF(ISBLANK($C454),"",AND($AJ454,$AZ454=""))</f>
        <v/>
      </c>
      <c r="CN454" s="74" t="str">
        <f aca="false">IF(ISBLANK($C454),"",AND($AJ454,$BC454=""))</f>
        <v/>
      </c>
      <c r="CO454" s="74" t="str">
        <f aca="false">IF(ISBLANK($C454),"",AND($AJ454,$BF454=""))</f>
        <v/>
      </c>
      <c r="CP454" s="75"/>
      <c r="CQ454" s="76"/>
      <c r="CR454" s="79" t="str">
        <f aca="false">IF(ISBLANK($C454),"",IF($BH454=Constants!$B$8,$CI454,""))</f>
        <v/>
      </c>
      <c r="CS454" s="76" t="str">
        <f aca="false">IF(ISBLANK($C454),"",IF($BH454&lt;&gt;Constants!$B$4,"",$BK454+$BL454))</f>
        <v/>
      </c>
      <c r="CT454" s="78" t="str">
        <f aca="false">IF(ISBLANK($C454),"",IF($BH454&lt;&gt;Constants!$B$4,"",$BM454+$BN454+$BO454))</f>
        <v/>
      </c>
      <c r="CU454" s="78" t="str">
        <f aca="false">IF(ISBLANK($C454),"",IF($BH454&lt;&gt;Constants!$B$4,"",$BP454))</f>
        <v/>
      </c>
      <c r="CV454" s="78" t="str">
        <f aca="false">IF(ISBLANK($C454),"",IF($BH454&lt;&gt;Constants!$B$4,"",$BQ454+$BR454))</f>
        <v/>
      </c>
      <c r="CW454" s="78" t="str">
        <f aca="false">IF(ISBLANK($C454),"",IF($BH454&lt;&gt;Constants!$B$4,"",$BS454))</f>
        <v/>
      </c>
      <c r="CX454" s="78" t="str">
        <f aca="false">IF(ISBLANK($C454),"",IF($BH454&lt;&gt;Constants!$B$4,"",-$BZ454))</f>
        <v/>
      </c>
      <c r="CY454" s="79" t="str">
        <f aca="false">IF(ISBLANK($C454),"",$CA454)</f>
        <v/>
      </c>
      <c r="CZ454" s="80" t="str">
        <f aca="false">IF(ISBLANK($C454),"",$BI454)</f>
        <v/>
      </c>
      <c r="DA454" s="78" t="str">
        <f aca="false">IF(ISBLANK($C454),"",$CH454)</f>
        <v/>
      </c>
      <c r="DB454" s="78" t="str">
        <f aca="false">IF(ISBLANK($C454),"",$CG454)</f>
        <v/>
      </c>
      <c r="DC454" s="81" t="str">
        <f aca="false">IF(ISBLANK($C454),"",IFERROR(_xlfn.SWITCH($DB454,Constants!$B$7,COUNTA($C$9:$C$508)+2,Constants!$B$6,COUNTA($C$9:$C$508)+1,Constants!$B$5,COUNTA($C$9:$C$508)),$DB454))</f>
        <v/>
      </c>
      <c r="DD454" s="7"/>
      <c r="DE454" s="82" t="n">
        <f aca="false">IF(OR(ISNUMBER($DB454),$DB454=Constants!$B$7,$DB454=Constants!$B$5,$DB454=Constants!$B$6),1,0)</f>
        <v>0</v>
      </c>
      <c r="DF454" s="82" t="n">
        <v>446</v>
      </c>
      <c r="DG454" s="82" t="str">
        <f aca="false">IF(ISBLANK($C454),"",IF(ISNUMBER($DC454),$DC454+ROW($B454)/1000,""))</f>
        <v/>
      </c>
      <c r="DH454" s="82" t="str">
        <f aca="false">IF(ISNUMBER($DG454),RANK($DG454,$DG$9:$DG$508,1),"")</f>
        <v/>
      </c>
      <c r="DI454" s="82" t="str">
        <f aca="false">IF(ISBLANK($C454),"",$B454)</f>
        <v/>
      </c>
      <c r="DJ454" s="82" t="str">
        <f aca="false">IF(ISBLANK($C454),"",$C454)</f>
        <v/>
      </c>
      <c r="DK454" s="82" t="str">
        <f aca="false">IF(ISBLANK($C454),"",$D454)</f>
        <v/>
      </c>
      <c r="DL454" s="83" t="str">
        <f aca="false">$CZ454</f>
        <v/>
      </c>
      <c r="DM454" s="84" t="str">
        <f aca="false">$CY454</f>
        <v/>
      </c>
      <c r="DN454" s="82" t="str">
        <f aca="false">IF(ISBLANK($C454),"",$DB454)</f>
        <v/>
      </c>
      <c r="DO454" s="85" t="str">
        <f aca="false">IF($DF454&gt;$DE$8,"",VLOOKUP($DF454,$DH$9:$DN$508,7,FALSE()))</f>
        <v/>
      </c>
      <c r="DP454" s="86" t="str">
        <f aca="false">IF($DF454&gt;$DE$8,"",VLOOKUP($DF454,$DH$9:$DN$508,2,FALSE()))</f>
        <v/>
      </c>
      <c r="DQ454" s="86" t="str">
        <f aca="false">IF($DF454&gt;$DE$8,"",VLOOKUP($DF454,$DH$9:$DN$508,3,FALSE()))</f>
        <v/>
      </c>
      <c r="DR454" s="86" t="str">
        <f aca="false">IF($DF454&gt;$DE$8,"",VLOOKUP($DF454,$DH$9:$DN$508,4,FALSE()))</f>
        <v/>
      </c>
      <c r="DS454" s="86" t="str">
        <f aca="false">IF($DF454&gt;$DE$8,"",VLOOKUP($DF454,$DH$9:$DN$508,5,FALSE()))</f>
        <v/>
      </c>
      <c r="DT454" s="87" t="str">
        <f aca="false">IF($DF454&gt;$DE$8,"",VLOOKUP($DF454,$DH$9:$DN$508,6,FALSE()))</f>
        <v/>
      </c>
      <c r="DU454" s="62"/>
    </row>
    <row r="455" customFormat="false" ht="15.75" hidden="false" customHeight="false" outlineLevel="0" collapsed="false">
      <c r="A455" s="7"/>
      <c r="B455" s="64"/>
      <c r="C455" s="65"/>
      <c r="D455" s="123"/>
      <c r="E455" s="88"/>
      <c r="F455" s="134"/>
      <c r="G455" s="88"/>
      <c r="H455" s="134"/>
      <c r="I455" s="119"/>
      <c r="J455" s="119"/>
      <c r="K455" s="119"/>
      <c r="L455" s="88"/>
      <c r="M455" s="88"/>
      <c r="N455" s="88"/>
      <c r="O455" s="134"/>
      <c r="P455" s="88"/>
      <c r="Q455" s="88"/>
      <c r="R455" s="88"/>
      <c r="S455" s="88"/>
      <c r="T455" s="134"/>
      <c r="U455" s="88"/>
      <c r="V455" s="70"/>
      <c r="W455" s="88"/>
      <c r="X455" s="88"/>
      <c r="Y455" s="70"/>
      <c r="Z455" s="70"/>
      <c r="AA455" s="88"/>
      <c r="AB455" s="88"/>
      <c r="AC455" s="71"/>
      <c r="AD455" s="88"/>
      <c r="AE455" s="73"/>
      <c r="AF455" s="74"/>
      <c r="AG455" s="74"/>
      <c r="AH455" s="74" t="str">
        <f aca="false">IF(ISBLANK($C455),"",IF($E455=Constants!$B$2,TRUE(),IF($E455=Constants!$B$3,FALSE(),TRUE())))</f>
        <v/>
      </c>
      <c r="AI455" s="74" t="str">
        <f aca="false">IF(ISBLANK($C455),"",IF($F455=Constants!$B$2,TRUE(),IF($F455=Constants!$B$3,FALSE(),FALSE())))</f>
        <v/>
      </c>
      <c r="AJ455" s="74" t="str">
        <f aca="false">IF(ISBLANK($C455),"",IF($G455=Constants!$B$2,TRUE(),IF($G455=Constants!$B$3,FALSE(),TRUE())))</f>
        <v/>
      </c>
      <c r="AK455" s="74" t="str">
        <f aca="false">IF(ISBLANK($C455),"",IF($H455=Constants!$B$2,TRUE(),IF($H455=Constants!$B$3,FALSE(),TRUE())))</f>
        <v/>
      </c>
      <c r="AL455" s="74" t="str">
        <f aca="false">IF(ISBLANK($C455),"",IF(ISNUMBER($I455),IF($I455&gt;=0,$I455,""),""))</f>
        <v/>
      </c>
      <c r="AM455" s="74" t="str">
        <f aca="false">IF(ISBLANK($C455),"",IF(ISNUMBER($J455),IF($J455&gt;=0,$J455,""),""))</f>
        <v/>
      </c>
      <c r="AN455" s="74" t="str">
        <f aca="false">IF(ISBLANK($C455),"",IF(ISNUMBER($K455),IF($K455&gt;=0,$K455,""),""))</f>
        <v/>
      </c>
      <c r="AO455" s="74" t="str">
        <f aca="false">IF(ISBLANK($C455),"",IF($L455=Constants!$B$2,TRUE(),IF($L455=Constants!$B$3,FALSE(),TRUE())))</f>
        <v/>
      </c>
      <c r="AP455" s="74" t="str">
        <f aca="false">IF(ISBLANK($C455),"",IF($M455=Constants!$B$2,TRUE(),IF($M455=Constants!$B$3,FALSE(),TRUE())))</f>
        <v/>
      </c>
      <c r="AQ455" s="74" t="str">
        <f aca="false">IF(ISBLANK($C455),"",IF($N455=Constants!$B$2,TRUE(),IF($N455=Constants!$B$3,FALSE(),FALSE())))</f>
        <v/>
      </c>
      <c r="AR455" s="74" t="str">
        <f aca="false">IF(ISBLANK($C455),"",IF($O455=Constants!$B$2,TRUE(),IF($O455=Constants!$B$3,FALSE(),TRUE())))</f>
        <v/>
      </c>
      <c r="AS455" s="74" t="str">
        <f aca="false">IF(ISBLANK($C455),"",IF($P455=Constants!$B$2,TRUE(),IF($P455=Constants!$B$3,FALSE(),FALSE())))</f>
        <v/>
      </c>
      <c r="AT455" s="74" t="str">
        <f aca="false">IF(ISBLANK($C455),"",IF($Q455=Constants!$B$2,TRUE(),IF($Q455=Constants!$B$3,FALSE(),FALSE())))</f>
        <v/>
      </c>
      <c r="AU455" s="74" t="str">
        <f aca="false">IF(ISBLANK($C455),"",IF($R455=Constants!$B$2,TRUE(),IF($R455=Constants!$B$3,FALSE(),FALSE())))</f>
        <v/>
      </c>
      <c r="AV455" s="74" t="str">
        <f aca="false">IF(ISBLANK($C455),"",IF($S455=Constants!$B$2,TRUE(),IF($S455=Constants!$B$3,FALSE(),FALSE())))</f>
        <v/>
      </c>
      <c r="AW455" s="74" t="str">
        <f aca="false">IF(ISBLANK($C455),"",IF($T455=Constants!$B$2,TRUE(),IF($T455=Constants!$B$3,FALSE(),FALSE())))</f>
        <v/>
      </c>
      <c r="AX455" s="74" t="str">
        <f aca="false">IF(ISBLANK($C455),"",IF(OR($U455&amp;""="1",$U455&amp;""="2",$U455&amp;""="3",$U455&amp;""="4"),VALUE($U455&amp;""),IF($U455=Constants!$B$12,Constants!$B$12,"")))</f>
        <v/>
      </c>
      <c r="AY455" s="74" t="str">
        <f aca="false">IF(ISBLANK($C455),"",IF(ISBLANK($V455),0,IF(ISNUMBER($V455),IF(AND($V455&gt;=0,$V455&lt;=Constants!$B$21,$V455=INT($V455)),$V455,""),"")))</f>
        <v/>
      </c>
      <c r="AZ455" s="74" t="str">
        <f aca="false">IF(ISBLANK($C455),"",IF(ISBLANK($W455),0,IF(ISNUMBER($W455),IF($W455&gt;=0,$W455,""),"")))</f>
        <v/>
      </c>
      <c r="BA455" s="74" t="str">
        <f aca="false">IF(ISBLANK($C455),"",IF($X455=Constants!$B$2,TRUE(),IF($X455=Constants!$B$3,FALSE(),TRUE())))</f>
        <v/>
      </c>
      <c r="BB455" s="74" t="str">
        <f aca="false">IF(ISBLANK($C455),"",IF($Y455=Constants!$B$2,TRUE(),IF($Y455=Constants!$B$3,FALSE(),FALSE())))</f>
        <v/>
      </c>
      <c r="BC455" s="74" t="str">
        <f aca="false">IF(ISBLANK($C455),"",IF(ISBLANK($Z455),0,IF(ISNUMBER($Z455),IF(AND($Z455&gt;=0,$Z455&lt;=Constants!$B$35,$Z455=INT($Z455)),$Z455,""),"")))</f>
        <v/>
      </c>
      <c r="BD455" s="74" t="str">
        <f aca="false">IF(ISBLANK($C455),"",IF($AA455=Constants!$B$2,TRUE(),IF($AA455=Constants!$B$3,FALSE(),TRUE())))</f>
        <v/>
      </c>
      <c r="BE455" s="74" t="str">
        <f aca="false">IF(ISBLANK($C455),"",IF($AB455=Constants!$B$2,TRUE(),IF($AB455=Constants!$B$3,FALSE(),TRUE())))</f>
        <v/>
      </c>
      <c r="BF455" s="74" t="str">
        <f aca="false">IF(ISBLANK($C455),"",IF(ISNUMBER($AC455),IF($AC455&gt;=0,$AC455,""),""))</f>
        <v/>
      </c>
      <c r="BG455" s="74" t="str">
        <f aca="false">IF(ISBLANK($C455),"",IF($AD455=Constants!$B$2,TRUE(),IF($AD455=Constants!$B$3,FALSE(),FALSE())))</f>
        <v/>
      </c>
      <c r="BH455" s="73" t="str">
        <f aca="false">IF(ISBLANK($C455),"",IF($BG455,Constants!$B$7,IF(COUNTA($E455:$AC455)=0,Constants!$B$6,IF(OR(COUNTA($G455:$AC455)=0,NOT($AK455),$AQ455),Constants!$B$5,IF(OR($CI455&lt;&gt;"",$CJ455,$CK455,$CL455,$CM455,$CN455,$CO455),Constants!$B$8,Constants!$B$4)))))</f>
        <v/>
      </c>
      <c r="BI455" s="74" t="str">
        <f aca="false">IF(ISBLANK($C455),"",IF($BH455&lt;&gt;Constants!$B$4,$BH455,IF(OR(NOT($AH455),NOT($AJ455),NOT($AR455)),Constants!$B$11,IF(OR(NOT($AP455),MAX($AL455,$AM455,$AN455)&gt;Constants!$B$30),Constants!$B$10,Constants!$B$9))))</f>
        <v/>
      </c>
      <c r="BJ455" s="74" t="str">
        <f aca="false">IF($BH455&lt;&gt;Constants!$B$4,"",IF(NOT($AJ455),0,MIN(Constants!$B$35,$BC455)))</f>
        <v/>
      </c>
      <c r="BK455" s="74" t="str">
        <f aca="false">IF($BH455&lt;&gt;Constants!$B$4,"",IF(NOT($AJ455),0,IF($AT455,Constants!$B$18,IF($AS455,Constants!$B$17,0))))</f>
        <v/>
      </c>
      <c r="BL455" s="74" t="str">
        <f aca="false">IF($BH455&lt;&gt;Constants!$B$4,"",IF(NOT($AJ455),0,Constants!$B$19*($AI455+$AU455+$AV455+$AW455)))</f>
        <v/>
      </c>
      <c r="BM455" s="74" t="str">
        <f aca="false">IF($BH455&lt;&gt;Constants!$B$4,"",IF(OR(NOT($AJ455),NOT(ISNUMBER($AX455))),0,CHOOSE($AX455,Constants!$B$13,Constants!$B$14,Constants!$B$15,Constants!$B$16)))</f>
        <v/>
      </c>
      <c r="BN455" s="74" t="str">
        <f aca="false">IF($BH455&lt;&gt;Constants!$B$4,"",IF(NOT($AJ455),0,Constants!$B$20*$AY455))</f>
        <v/>
      </c>
      <c r="BO455" s="74" t="str">
        <f aca="false">IF($BH455&lt;&gt;Constants!$B$4,"",IF(AND($AJ455,$BA455,$BB455),Constants!$B$22,0))</f>
        <v/>
      </c>
      <c r="BP455" s="74" t="str">
        <f aca="false">IF($BH455&lt;&gt;Constants!$B$4,"",IF(OR(NOT($AJ455),NOT($BA455)),0,IF($BF455&gt;=2*$AF$9,0,Constants!$B$23*INT(ROUND(MIN($BF455,$AF$9),6)))))</f>
        <v/>
      </c>
      <c r="BQ455" s="74" t="str">
        <f aca="false">IF($BH455&lt;&gt;Constants!$B$4,"",IF(NOT($AJ455),0,Constants!$B$24*INT(ROUND(MIN($AZ455,$AF$9),6))))</f>
        <v/>
      </c>
      <c r="BR455" s="74" t="str">
        <f aca="false">IF($BH455&lt;&gt;Constants!$B$4,"",IF(AND($AJ455,$BJ455=0),Constants!$B$25,0))</f>
        <v/>
      </c>
      <c r="BS455" s="74" t="str">
        <f aca="false">IF($BH455&lt;&gt;Constants!$B$4,"",MIN(Constants!$B$29,MAX(0,Constants!$B$27*Constants!$B$28*INT(ROUND((Constants!$B$26-$AL455)/Constants!$B$28,6))))+MIN(Constants!$B$29,MAX(0,Constants!$B$27*Constants!$B$28*INT(ROUND((Constants!$B$26-$AM455)/Constants!$B$28,6))))+MIN(Constants!$B$29,MAX(0,Constants!$B$27*Constants!$B$28*INT(ROUND((Constants!$B$26-$AN455)/Constants!$B$28,6)))))</f>
        <v/>
      </c>
      <c r="BT455" s="74" t="str">
        <f aca="false">IF($BH455&lt;&gt;Constants!$B$4,"",IF(NOT($AJ455),0,Constants!$B$31*INT(ROUND(MAX(0,MIN($BF455,2*$AF$9)-$AF$9),6))))</f>
        <v/>
      </c>
      <c r="BU455" s="74" t="str">
        <f aca="false">IF($BH455&lt;&gt;Constants!$B$4,"",Constants!$B$32*(($AL455&gt;Constants!$B$26)+($AM455&gt;Constants!$B$26)+($AN455&gt;Constants!$B$26)))</f>
        <v/>
      </c>
      <c r="BV455" s="74" t="str">
        <f aca="false">IF($BH455&lt;&gt;Constants!$B$4,"",IF(OR(NOT($AJ455),$AO455),0,Constants!$B$33))</f>
        <v/>
      </c>
      <c r="BW455" s="74" t="str">
        <f aca="false">IF($BH455&lt;&gt;Constants!$B$4,"",Constants!$B$34*$BJ455)</f>
        <v/>
      </c>
      <c r="BX455" s="74" t="str">
        <f aca="false">IF($BH455&lt;&gt;Constants!$B$4,"",IF(OR(NOT($AJ455),$BE455),0,Constants!$B$36))</f>
        <v/>
      </c>
      <c r="BY455" s="74" t="str">
        <f aca="false">IF($BH455&lt;&gt;Constants!$B$4,"",IF(OR(NOT($AJ455),$BD455),0,Constants!$B$37))</f>
        <v/>
      </c>
      <c r="BZ455" s="74" t="str">
        <f aca="false">IF($BH455&lt;&gt;Constants!$B$4,"",SUM($BT455:$BY455))</f>
        <v/>
      </c>
      <c r="CA455" s="74" t="str">
        <f aca="false">IF(ISBLANK($C455),"",IF($BH455&lt;&gt;Constants!$B$4,$BH455,SUM($BK455:$BS455)-$BZ455))</f>
        <v/>
      </c>
      <c r="CB455" s="74" t="str">
        <f aca="false">IF(ISBLANK($C455),"",IF($BH455&lt;&gt;Constants!$B$4,$BH455,RANK($CA455,$CA$9:$CA$508)))</f>
        <v/>
      </c>
      <c r="CC455" s="74" t="str">
        <f aca="false">IF(ISBLANK($C455),"",IF($BH455&lt;&gt;Constants!$B$4,$BH455,COUNTIFS($BI$9:$BI$508,"&lt;"&amp;$BI455)+COUNTIFS($BI$9:$BI$508,$BI455,$CB$9:$CB$508,"&lt;"&amp;$CB455)+1))</f>
        <v/>
      </c>
      <c r="CD455" s="74" t="str">
        <f aca="false">IF(ISBLANK($C455),"",IF($BH455&lt;&gt;Constants!$B$4,$BH455,RANK($BZ455,$BZ$9:$BZ$508,1)))</f>
        <v/>
      </c>
      <c r="CE455" s="74" t="str">
        <f aca="false">IF($BH455&lt;&gt;Constants!$B$4,"",$AL455+$AM455+$AN455)</f>
        <v/>
      </c>
      <c r="CF455" s="74" t="str">
        <f aca="false">IF(ISBLANK($C455),"",IF($BH455&lt;&gt;Constants!$B$4,$BH455,RANK($CE455,$CE$9:$CE$508,1)))</f>
        <v/>
      </c>
      <c r="CG455" s="74" t="str">
        <f aca="false">IF(ISBLANK($C455),"",IF($BH455&lt;&gt;Constants!$B$4,$BH455,COUNTIFS($BI$9:$BI$508,"&lt;"&amp;$BI455)+COUNTIFS($BI$9:$BI$508,$BI455,$CB$9:$CB$508,"&lt;"&amp;$CB455)+COUNTIFS($BI$9:$BI$508,$BI455,$CB$9:$CB$508,$CB455,$CD$9:$CD$508,"&lt;"&amp;$CD455)+COUNTIFS($BI$9:$BI$508,$BI455,$CB$9:$CB$508,$CB455,$CD$9:$CD$508,$CD455,$CF$9:$CF$508,"&lt;"&amp;$CF455)+1))</f>
        <v/>
      </c>
      <c r="CH455" s="74" t="str">
        <f aca="false">IF(ISBLANK($C455),"",IF($BH455&lt;&gt;Constants!$B$4,$BH455,$CC455-$CG455))</f>
        <v/>
      </c>
      <c r="CI455" s="74" t="str">
        <f aca="false">IF(ISBLANK($C455),"",IF(NOT($AJ455),"",IF(ISBLANK($D$7),$CI$5,IF(NOT(ISNUMBER($D$7)),$CI$6,""))))</f>
        <v/>
      </c>
      <c r="CJ455" s="74" t="str">
        <f aca="false">IF(ISBLANK($C455),"",OR($AL455="",$AM455="",$AN455=""))</f>
        <v/>
      </c>
      <c r="CK455" s="74" t="str">
        <f aca="false">IF(ISBLANK($C455),"",AND($AJ455,$AX455=""))</f>
        <v/>
      </c>
      <c r="CL455" s="74" t="str">
        <f aca="false">IF(ISBLANK($C455),"",AND($AJ455,$AY455=""))</f>
        <v/>
      </c>
      <c r="CM455" s="74" t="str">
        <f aca="false">IF(ISBLANK($C455),"",AND($AJ455,$AZ455=""))</f>
        <v/>
      </c>
      <c r="CN455" s="74" t="str">
        <f aca="false">IF(ISBLANK($C455),"",AND($AJ455,$BC455=""))</f>
        <v/>
      </c>
      <c r="CO455" s="74" t="str">
        <f aca="false">IF(ISBLANK($C455),"",AND($AJ455,$BF455=""))</f>
        <v/>
      </c>
      <c r="CP455" s="75"/>
      <c r="CQ455" s="76"/>
      <c r="CR455" s="79" t="str">
        <f aca="false">IF(ISBLANK($C455),"",IF($BH455=Constants!$B$8,$CI455,""))</f>
        <v/>
      </c>
      <c r="CS455" s="76" t="str">
        <f aca="false">IF(ISBLANK($C455),"",IF($BH455&lt;&gt;Constants!$B$4,"",$BK455+$BL455))</f>
        <v/>
      </c>
      <c r="CT455" s="78" t="str">
        <f aca="false">IF(ISBLANK($C455),"",IF($BH455&lt;&gt;Constants!$B$4,"",$BM455+$BN455+$BO455))</f>
        <v/>
      </c>
      <c r="CU455" s="78" t="str">
        <f aca="false">IF(ISBLANK($C455),"",IF($BH455&lt;&gt;Constants!$B$4,"",$BP455))</f>
        <v/>
      </c>
      <c r="CV455" s="78" t="str">
        <f aca="false">IF(ISBLANK($C455),"",IF($BH455&lt;&gt;Constants!$B$4,"",$BQ455+$BR455))</f>
        <v/>
      </c>
      <c r="CW455" s="78" t="str">
        <f aca="false">IF(ISBLANK($C455),"",IF($BH455&lt;&gt;Constants!$B$4,"",$BS455))</f>
        <v/>
      </c>
      <c r="CX455" s="78" t="str">
        <f aca="false">IF(ISBLANK($C455),"",IF($BH455&lt;&gt;Constants!$B$4,"",-$BZ455))</f>
        <v/>
      </c>
      <c r="CY455" s="79" t="str">
        <f aca="false">IF(ISBLANK($C455),"",$CA455)</f>
        <v/>
      </c>
      <c r="CZ455" s="80" t="str">
        <f aca="false">IF(ISBLANK($C455),"",$BI455)</f>
        <v/>
      </c>
      <c r="DA455" s="78" t="str">
        <f aca="false">IF(ISBLANK($C455),"",$CH455)</f>
        <v/>
      </c>
      <c r="DB455" s="78" t="str">
        <f aca="false">IF(ISBLANK($C455),"",$CG455)</f>
        <v/>
      </c>
      <c r="DC455" s="81" t="str">
        <f aca="false">IF(ISBLANK($C455),"",IFERROR(_xlfn.SWITCH($DB455,Constants!$B$7,COUNTA($C$9:$C$508)+2,Constants!$B$6,COUNTA($C$9:$C$508)+1,Constants!$B$5,COUNTA($C$9:$C$508)),$DB455))</f>
        <v/>
      </c>
      <c r="DD455" s="7"/>
      <c r="DE455" s="82" t="n">
        <f aca="false">IF(OR(ISNUMBER($DB455),$DB455=Constants!$B$7,$DB455=Constants!$B$5,$DB455=Constants!$B$6),1,0)</f>
        <v>0</v>
      </c>
      <c r="DF455" s="82" t="n">
        <v>447</v>
      </c>
      <c r="DG455" s="82" t="str">
        <f aca="false">IF(ISBLANK($C455),"",IF(ISNUMBER($DC455),$DC455+ROW($B455)/1000,""))</f>
        <v/>
      </c>
      <c r="DH455" s="82" t="str">
        <f aca="false">IF(ISNUMBER($DG455),RANK($DG455,$DG$9:$DG$508,1),"")</f>
        <v/>
      </c>
      <c r="DI455" s="82" t="str">
        <f aca="false">IF(ISBLANK($C455),"",$B455)</f>
        <v/>
      </c>
      <c r="DJ455" s="82" t="str">
        <f aca="false">IF(ISBLANK($C455),"",$C455)</f>
        <v/>
      </c>
      <c r="DK455" s="82" t="str">
        <f aca="false">IF(ISBLANK($C455),"",$D455)</f>
        <v/>
      </c>
      <c r="DL455" s="83" t="str">
        <f aca="false">$CZ455</f>
        <v/>
      </c>
      <c r="DM455" s="84" t="str">
        <f aca="false">$CY455</f>
        <v/>
      </c>
      <c r="DN455" s="82" t="str">
        <f aca="false">IF(ISBLANK($C455),"",$DB455)</f>
        <v/>
      </c>
      <c r="DO455" s="85" t="str">
        <f aca="false">IF($DF455&gt;$DE$8,"",VLOOKUP($DF455,$DH$9:$DN$508,7,FALSE()))</f>
        <v/>
      </c>
      <c r="DP455" s="86" t="str">
        <f aca="false">IF($DF455&gt;$DE$8,"",VLOOKUP($DF455,$DH$9:$DN$508,2,FALSE()))</f>
        <v/>
      </c>
      <c r="DQ455" s="86" t="str">
        <f aca="false">IF($DF455&gt;$DE$8,"",VLOOKUP($DF455,$DH$9:$DN$508,3,FALSE()))</f>
        <v/>
      </c>
      <c r="DR455" s="86" t="str">
        <f aca="false">IF($DF455&gt;$DE$8,"",VLOOKUP($DF455,$DH$9:$DN$508,4,FALSE()))</f>
        <v/>
      </c>
      <c r="DS455" s="86" t="str">
        <f aca="false">IF($DF455&gt;$DE$8,"",VLOOKUP($DF455,$DH$9:$DN$508,5,FALSE()))</f>
        <v/>
      </c>
      <c r="DT455" s="87" t="str">
        <f aca="false">IF($DF455&gt;$DE$8,"",VLOOKUP($DF455,$DH$9:$DN$508,6,FALSE()))</f>
        <v/>
      </c>
      <c r="DU455" s="62"/>
    </row>
    <row r="456" customFormat="false" ht="15.75" hidden="false" customHeight="false" outlineLevel="0" collapsed="false">
      <c r="A456" s="7"/>
      <c r="B456" s="90"/>
      <c r="C456" s="91"/>
      <c r="D456" s="126"/>
      <c r="E456" s="130"/>
      <c r="F456" s="135"/>
      <c r="G456" s="130"/>
      <c r="H456" s="135"/>
      <c r="I456" s="131"/>
      <c r="J456" s="131"/>
      <c r="K456" s="131"/>
      <c r="L456" s="130"/>
      <c r="M456" s="130"/>
      <c r="N456" s="130"/>
      <c r="O456" s="135"/>
      <c r="P456" s="130"/>
      <c r="Q456" s="130"/>
      <c r="R456" s="130"/>
      <c r="S456" s="130"/>
      <c r="T456" s="135"/>
      <c r="U456" s="130"/>
      <c r="V456" s="96"/>
      <c r="W456" s="130"/>
      <c r="X456" s="130"/>
      <c r="Y456" s="96"/>
      <c r="Z456" s="96"/>
      <c r="AA456" s="130"/>
      <c r="AB456" s="130"/>
      <c r="AC456" s="97"/>
      <c r="AD456" s="130"/>
      <c r="AE456" s="99"/>
      <c r="AF456" s="100"/>
      <c r="AG456" s="100"/>
      <c r="AH456" s="100" t="str">
        <f aca="false">IF(ISBLANK($C456),"",IF($E456=Constants!$B$2,TRUE(),IF($E456=Constants!$B$3,FALSE(),TRUE())))</f>
        <v/>
      </c>
      <c r="AI456" s="100" t="str">
        <f aca="false">IF(ISBLANK($C456),"",IF($F456=Constants!$B$2,TRUE(),IF($F456=Constants!$B$3,FALSE(),FALSE())))</f>
        <v/>
      </c>
      <c r="AJ456" s="100" t="str">
        <f aca="false">IF(ISBLANK($C456),"",IF($G456=Constants!$B$2,TRUE(),IF($G456=Constants!$B$3,FALSE(),TRUE())))</f>
        <v/>
      </c>
      <c r="AK456" s="100" t="str">
        <f aca="false">IF(ISBLANK($C456),"",IF($H456=Constants!$B$2,TRUE(),IF($H456=Constants!$B$3,FALSE(),TRUE())))</f>
        <v/>
      </c>
      <c r="AL456" s="100" t="str">
        <f aca="false">IF(ISBLANK($C456),"",IF(ISNUMBER($I456),IF($I456&gt;=0,$I456,""),""))</f>
        <v/>
      </c>
      <c r="AM456" s="100" t="str">
        <f aca="false">IF(ISBLANK($C456),"",IF(ISNUMBER($J456),IF($J456&gt;=0,$J456,""),""))</f>
        <v/>
      </c>
      <c r="AN456" s="100" t="str">
        <f aca="false">IF(ISBLANK($C456),"",IF(ISNUMBER($K456),IF($K456&gt;=0,$K456,""),""))</f>
        <v/>
      </c>
      <c r="AO456" s="100" t="str">
        <f aca="false">IF(ISBLANK($C456),"",IF($L456=Constants!$B$2,TRUE(),IF($L456=Constants!$B$3,FALSE(),TRUE())))</f>
        <v/>
      </c>
      <c r="AP456" s="100" t="str">
        <f aca="false">IF(ISBLANK($C456),"",IF($M456=Constants!$B$2,TRUE(),IF($M456=Constants!$B$3,FALSE(),TRUE())))</f>
        <v/>
      </c>
      <c r="AQ456" s="100" t="str">
        <f aca="false">IF(ISBLANK($C456),"",IF($N456=Constants!$B$2,TRUE(),IF($N456=Constants!$B$3,FALSE(),FALSE())))</f>
        <v/>
      </c>
      <c r="AR456" s="100" t="str">
        <f aca="false">IF(ISBLANK($C456),"",IF($O456=Constants!$B$2,TRUE(),IF($O456=Constants!$B$3,FALSE(),TRUE())))</f>
        <v/>
      </c>
      <c r="AS456" s="100" t="str">
        <f aca="false">IF(ISBLANK($C456),"",IF($P456=Constants!$B$2,TRUE(),IF($P456=Constants!$B$3,FALSE(),FALSE())))</f>
        <v/>
      </c>
      <c r="AT456" s="100" t="str">
        <f aca="false">IF(ISBLANK($C456),"",IF($Q456=Constants!$B$2,TRUE(),IF($Q456=Constants!$B$3,FALSE(),FALSE())))</f>
        <v/>
      </c>
      <c r="AU456" s="100" t="str">
        <f aca="false">IF(ISBLANK($C456),"",IF($R456=Constants!$B$2,TRUE(),IF($R456=Constants!$B$3,FALSE(),FALSE())))</f>
        <v/>
      </c>
      <c r="AV456" s="100" t="str">
        <f aca="false">IF(ISBLANK($C456),"",IF($S456=Constants!$B$2,TRUE(),IF($S456=Constants!$B$3,FALSE(),FALSE())))</f>
        <v/>
      </c>
      <c r="AW456" s="100" t="str">
        <f aca="false">IF(ISBLANK($C456),"",IF($T456=Constants!$B$2,TRUE(),IF($T456=Constants!$B$3,FALSE(),FALSE())))</f>
        <v/>
      </c>
      <c r="AX456" s="100" t="str">
        <f aca="false">IF(ISBLANK($C456),"",IF(OR($U456&amp;""="1",$U456&amp;""="2",$U456&amp;""="3",$U456&amp;""="4"),VALUE($U456&amp;""),IF($U456=Constants!$B$12,Constants!$B$12,"")))</f>
        <v/>
      </c>
      <c r="AY456" s="100" t="str">
        <f aca="false">IF(ISBLANK($C456),"",IF(ISBLANK($V456),0,IF(ISNUMBER($V456),IF(AND($V456&gt;=0,$V456&lt;=Constants!$B$21,$V456=INT($V456)),$V456,""),"")))</f>
        <v/>
      </c>
      <c r="AZ456" s="100" t="str">
        <f aca="false">IF(ISBLANK($C456),"",IF(ISBLANK($W456),0,IF(ISNUMBER($W456),IF($W456&gt;=0,$W456,""),"")))</f>
        <v/>
      </c>
      <c r="BA456" s="100" t="str">
        <f aca="false">IF(ISBLANK($C456),"",IF($X456=Constants!$B$2,TRUE(),IF($X456=Constants!$B$3,FALSE(),TRUE())))</f>
        <v/>
      </c>
      <c r="BB456" s="100" t="str">
        <f aca="false">IF(ISBLANK($C456),"",IF($Y456=Constants!$B$2,TRUE(),IF($Y456=Constants!$B$3,FALSE(),FALSE())))</f>
        <v/>
      </c>
      <c r="BC456" s="100" t="str">
        <f aca="false">IF(ISBLANK($C456),"",IF(ISBLANK($Z456),0,IF(ISNUMBER($Z456),IF(AND($Z456&gt;=0,$Z456&lt;=Constants!$B$35,$Z456=INT($Z456)),$Z456,""),"")))</f>
        <v/>
      </c>
      <c r="BD456" s="100" t="str">
        <f aca="false">IF(ISBLANK($C456),"",IF($AA456=Constants!$B$2,TRUE(),IF($AA456=Constants!$B$3,FALSE(),TRUE())))</f>
        <v/>
      </c>
      <c r="BE456" s="100" t="str">
        <f aca="false">IF(ISBLANK($C456),"",IF($AB456=Constants!$B$2,TRUE(),IF($AB456=Constants!$B$3,FALSE(),TRUE())))</f>
        <v/>
      </c>
      <c r="BF456" s="100" t="str">
        <f aca="false">IF(ISBLANK($C456),"",IF(ISNUMBER($AC456),IF($AC456&gt;=0,$AC456,""),""))</f>
        <v/>
      </c>
      <c r="BG456" s="100" t="str">
        <f aca="false">IF(ISBLANK($C456),"",IF($AD456=Constants!$B$2,TRUE(),IF($AD456=Constants!$B$3,FALSE(),FALSE())))</f>
        <v/>
      </c>
      <c r="BH456" s="99" t="str">
        <f aca="false">IF(ISBLANK($C456),"",IF($BG456,Constants!$B$7,IF(COUNTA($E456:$AC456)=0,Constants!$B$6,IF(OR(COUNTA($G456:$AC456)=0,NOT($AK456),$AQ456),Constants!$B$5,IF(OR($CI456&lt;&gt;"",$CJ456,$CK456,$CL456,$CM456,$CN456,$CO456),Constants!$B$8,Constants!$B$4)))))</f>
        <v/>
      </c>
      <c r="BI456" s="100" t="str">
        <f aca="false">IF(ISBLANK($C456),"",IF($BH456&lt;&gt;Constants!$B$4,$BH456,IF(OR(NOT($AH456),NOT($AJ456),NOT($AR456)),Constants!$B$11,IF(OR(NOT($AP456),MAX($AL456,$AM456,$AN456)&gt;Constants!$B$30),Constants!$B$10,Constants!$B$9))))</f>
        <v/>
      </c>
      <c r="BJ456" s="100" t="str">
        <f aca="false">IF($BH456&lt;&gt;Constants!$B$4,"",IF(NOT($AJ456),0,MIN(Constants!$B$35,$BC456)))</f>
        <v/>
      </c>
      <c r="BK456" s="100" t="str">
        <f aca="false">IF($BH456&lt;&gt;Constants!$B$4,"",IF(NOT($AJ456),0,IF($AT456,Constants!$B$18,IF($AS456,Constants!$B$17,0))))</f>
        <v/>
      </c>
      <c r="BL456" s="100" t="str">
        <f aca="false">IF($BH456&lt;&gt;Constants!$B$4,"",IF(NOT($AJ456),0,Constants!$B$19*($AI456+$AU456+$AV456+$AW456)))</f>
        <v/>
      </c>
      <c r="BM456" s="100" t="str">
        <f aca="false">IF($BH456&lt;&gt;Constants!$B$4,"",IF(OR(NOT($AJ456),NOT(ISNUMBER($AX456))),0,CHOOSE($AX456,Constants!$B$13,Constants!$B$14,Constants!$B$15,Constants!$B$16)))</f>
        <v/>
      </c>
      <c r="BN456" s="100" t="str">
        <f aca="false">IF($BH456&lt;&gt;Constants!$B$4,"",IF(NOT($AJ456),0,Constants!$B$20*$AY456))</f>
        <v/>
      </c>
      <c r="BO456" s="100" t="str">
        <f aca="false">IF($BH456&lt;&gt;Constants!$B$4,"",IF(AND($AJ456,$BA456,$BB456),Constants!$B$22,0))</f>
        <v/>
      </c>
      <c r="BP456" s="100" t="str">
        <f aca="false">IF($BH456&lt;&gt;Constants!$B$4,"",IF(OR(NOT($AJ456),NOT($BA456)),0,IF($BF456&gt;=2*$AF$9,0,Constants!$B$23*INT(ROUND(MIN($BF456,$AF$9),6)))))</f>
        <v/>
      </c>
      <c r="BQ456" s="100" t="str">
        <f aca="false">IF($BH456&lt;&gt;Constants!$B$4,"",IF(NOT($AJ456),0,Constants!$B$24*INT(ROUND(MIN($AZ456,$AF$9),6))))</f>
        <v/>
      </c>
      <c r="BR456" s="100" t="str">
        <f aca="false">IF($BH456&lt;&gt;Constants!$B$4,"",IF(AND($AJ456,$BJ456=0),Constants!$B$25,0))</f>
        <v/>
      </c>
      <c r="BS456" s="100" t="str">
        <f aca="false">IF($BH456&lt;&gt;Constants!$B$4,"",MIN(Constants!$B$29,MAX(0,Constants!$B$27*Constants!$B$28*INT(ROUND((Constants!$B$26-$AL456)/Constants!$B$28,6))))+MIN(Constants!$B$29,MAX(0,Constants!$B$27*Constants!$B$28*INT(ROUND((Constants!$B$26-$AM456)/Constants!$B$28,6))))+MIN(Constants!$B$29,MAX(0,Constants!$B$27*Constants!$B$28*INT(ROUND((Constants!$B$26-$AN456)/Constants!$B$28,6)))))</f>
        <v/>
      </c>
      <c r="BT456" s="100" t="str">
        <f aca="false">IF($BH456&lt;&gt;Constants!$B$4,"",IF(NOT($AJ456),0,Constants!$B$31*INT(ROUND(MAX(0,MIN($BF456,2*$AF$9)-$AF$9),6))))</f>
        <v/>
      </c>
      <c r="BU456" s="100" t="str">
        <f aca="false">IF($BH456&lt;&gt;Constants!$B$4,"",Constants!$B$32*(($AL456&gt;Constants!$B$26)+($AM456&gt;Constants!$B$26)+($AN456&gt;Constants!$B$26)))</f>
        <v/>
      </c>
      <c r="BV456" s="100" t="str">
        <f aca="false">IF($BH456&lt;&gt;Constants!$B$4,"",IF(OR(NOT($AJ456),$AO456),0,Constants!$B$33))</f>
        <v/>
      </c>
      <c r="BW456" s="100" t="str">
        <f aca="false">IF($BH456&lt;&gt;Constants!$B$4,"",Constants!$B$34*$BJ456)</f>
        <v/>
      </c>
      <c r="BX456" s="100" t="str">
        <f aca="false">IF($BH456&lt;&gt;Constants!$B$4,"",IF(OR(NOT($AJ456),$BE456),0,Constants!$B$36))</f>
        <v/>
      </c>
      <c r="BY456" s="100" t="str">
        <f aca="false">IF($BH456&lt;&gt;Constants!$B$4,"",IF(OR(NOT($AJ456),$BD456),0,Constants!$B$37))</f>
        <v/>
      </c>
      <c r="BZ456" s="100" t="str">
        <f aca="false">IF($BH456&lt;&gt;Constants!$B$4,"",SUM($BT456:$BY456))</f>
        <v/>
      </c>
      <c r="CA456" s="100" t="str">
        <f aca="false">IF(ISBLANK($C456),"",IF($BH456&lt;&gt;Constants!$B$4,$BH456,SUM($BK456:$BS456)-$BZ456))</f>
        <v/>
      </c>
      <c r="CB456" s="100" t="str">
        <f aca="false">IF(ISBLANK($C456),"",IF($BH456&lt;&gt;Constants!$B$4,$BH456,RANK($CA456,$CA$9:$CA$508)))</f>
        <v/>
      </c>
      <c r="CC456" s="100" t="str">
        <f aca="false">IF(ISBLANK($C456),"",IF($BH456&lt;&gt;Constants!$B$4,$BH456,COUNTIFS($BI$9:$BI$508,"&lt;"&amp;$BI456)+COUNTIFS($BI$9:$BI$508,$BI456,$CB$9:$CB$508,"&lt;"&amp;$CB456)+1))</f>
        <v/>
      </c>
      <c r="CD456" s="100" t="str">
        <f aca="false">IF(ISBLANK($C456),"",IF($BH456&lt;&gt;Constants!$B$4,$BH456,RANK($BZ456,$BZ$9:$BZ$508,1)))</f>
        <v/>
      </c>
      <c r="CE456" s="100" t="str">
        <f aca="false">IF($BH456&lt;&gt;Constants!$B$4,"",$AL456+$AM456+$AN456)</f>
        <v/>
      </c>
      <c r="CF456" s="100" t="str">
        <f aca="false">IF(ISBLANK($C456),"",IF($BH456&lt;&gt;Constants!$B$4,$BH456,RANK($CE456,$CE$9:$CE$508,1)))</f>
        <v/>
      </c>
      <c r="CG456" s="100" t="str">
        <f aca="false">IF(ISBLANK($C456),"",IF($BH456&lt;&gt;Constants!$B$4,$BH456,COUNTIFS($BI$9:$BI$508,"&lt;"&amp;$BI456)+COUNTIFS($BI$9:$BI$508,$BI456,$CB$9:$CB$508,"&lt;"&amp;$CB456)+COUNTIFS($BI$9:$BI$508,$BI456,$CB$9:$CB$508,$CB456,$CD$9:$CD$508,"&lt;"&amp;$CD456)+COUNTIFS($BI$9:$BI$508,$BI456,$CB$9:$CB$508,$CB456,$CD$9:$CD$508,$CD456,$CF$9:$CF$508,"&lt;"&amp;$CF456)+1))</f>
        <v/>
      </c>
      <c r="CH456" s="100" t="str">
        <f aca="false">IF(ISBLANK($C456),"",IF($BH456&lt;&gt;Constants!$B$4,$BH456,$CC456-$CG456))</f>
        <v/>
      </c>
      <c r="CI456" s="100" t="str">
        <f aca="false">IF(ISBLANK($C456),"",IF(NOT($AJ456),"",IF(ISBLANK($D$7),$CI$5,IF(NOT(ISNUMBER($D$7)),$CI$6,""))))</f>
        <v/>
      </c>
      <c r="CJ456" s="100" t="str">
        <f aca="false">IF(ISBLANK($C456),"",OR($AL456="",$AM456="",$AN456=""))</f>
        <v/>
      </c>
      <c r="CK456" s="100" t="str">
        <f aca="false">IF(ISBLANK($C456),"",AND($AJ456,$AX456=""))</f>
        <v/>
      </c>
      <c r="CL456" s="100" t="str">
        <f aca="false">IF(ISBLANK($C456),"",AND($AJ456,$AY456=""))</f>
        <v/>
      </c>
      <c r="CM456" s="100" t="str">
        <f aca="false">IF(ISBLANK($C456),"",AND($AJ456,$AZ456=""))</f>
        <v/>
      </c>
      <c r="CN456" s="100" t="str">
        <f aca="false">IF(ISBLANK($C456),"",AND($AJ456,$BC456=""))</f>
        <v/>
      </c>
      <c r="CO456" s="100" t="str">
        <f aca="false">IF(ISBLANK($C456),"",AND($AJ456,$BF456=""))</f>
        <v/>
      </c>
      <c r="CP456" s="101"/>
      <c r="CQ456" s="102"/>
      <c r="CR456" s="103" t="str">
        <f aca="false">IF(ISBLANK($C456),"",IF($BH456=Constants!$B$8,$CI456,""))</f>
        <v/>
      </c>
      <c r="CS456" s="102" t="str">
        <f aca="false">IF(ISBLANK($C456),"",IF($BH456&lt;&gt;Constants!$B$4,"",$BK456+$BL456))</f>
        <v/>
      </c>
      <c r="CT456" s="104" t="str">
        <f aca="false">IF(ISBLANK($C456),"",IF($BH456&lt;&gt;Constants!$B$4,"",$BM456+$BN456+$BO456))</f>
        <v/>
      </c>
      <c r="CU456" s="104" t="str">
        <f aca="false">IF(ISBLANK($C456),"",IF($BH456&lt;&gt;Constants!$B$4,"",$BP456))</f>
        <v/>
      </c>
      <c r="CV456" s="104" t="str">
        <f aca="false">IF(ISBLANK($C456),"",IF($BH456&lt;&gt;Constants!$B$4,"",$BQ456+$BR456))</f>
        <v/>
      </c>
      <c r="CW456" s="104" t="str">
        <f aca="false">IF(ISBLANK($C456),"",IF($BH456&lt;&gt;Constants!$B$4,"",$BS456))</f>
        <v/>
      </c>
      <c r="CX456" s="104" t="str">
        <f aca="false">IF(ISBLANK($C456),"",IF($BH456&lt;&gt;Constants!$B$4,"",-$BZ456))</f>
        <v/>
      </c>
      <c r="CY456" s="103" t="str">
        <f aca="false">IF(ISBLANK($C456),"",$CA456)</f>
        <v/>
      </c>
      <c r="CZ456" s="105" t="str">
        <f aca="false">IF(ISBLANK($C456),"",$BI456)</f>
        <v/>
      </c>
      <c r="DA456" s="104" t="str">
        <f aca="false">IF(ISBLANK($C456),"",$CH456)</f>
        <v/>
      </c>
      <c r="DB456" s="104" t="str">
        <f aca="false">IF(ISBLANK($C456),"",$CG456)</f>
        <v/>
      </c>
      <c r="DC456" s="106" t="str">
        <f aca="false">IF(ISBLANK($C456),"",IFERROR(_xlfn.SWITCH($DB456,Constants!$B$7,COUNTA($C$9:$C$508)+2,Constants!$B$6,COUNTA($C$9:$C$508)+1,Constants!$B$5,COUNTA($C$9:$C$508)),$DB456))</f>
        <v/>
      </c>
      <c r="DD456" s="7"/>
      <c r="DE456" s="107" t="n">
        <f aca="false">IF(OR(ISNUMBER($DB456),$DB456=Constants!$B$7,$DB456=Constants!$B$5,$DB456=Constants!$B$6),1,0)</f>
        <v>0</v>
      </c>
      <c r="DF456" s="107" t="n">
        <v>448</v>
      </c>
      <c r="DG456" s="107" t="str">
        <f aca="false">IF(ISBLANK($C456),"",IF(ISNUMBER($DC456),$DC456+ROW($B456)/1000,""))</f>
        <v/>
      </c>
      <c r="DH456" s="107" t="str">
        <f aca="false">IF(ISNUMBER($DG456),RANK($DG456,$DG$9:$DG$508,1),"")</f>
        <v/>
      </c>
      <c r="DI456" s="107" t="str">
        <f aca="false">IF(ISBLANK($C456),"",$B456)</f>
        <v/>
      </c>
      <c r="DJ456" s="107" t="str">
        <f aca="false">IF(ISBLANK($C456),"",$C456)</f>
        <v/>
      </c>
      <c r="DK456" s="107" t="str">
        <f aca="false">IF(ISBLANK($C456),"",$D456)</f>
        <v/>
      </c>
      <c r="DL456" s="108" t="str">
        <f aca="false">$CZ456</f>
        <v/>
      </c>
      <c r="DM456" s="109" t="str">
        <f aca="false">$CY456</f>
        <v/>
      </c>
      <c r="DN456" s="107" t="str">
        <f aca="false">IF(ISBLANK($C456),"",$DB456)</f>
        <v/>
      </c>
      <c r="DO456" s="110" t="str">
        <f aca="false">IF($DF456&gt;$DE$8,"",VLOOKUP($DF456,$DH$9:$DN$508,7,FALSE()))</f>
        <v/>
      </c>
      <c r="DP456" s="111" t="str">
        <f aca="false">IF($DF456&gt;$DE$8,"",VLOOKUP($DF456,$DH$9:$DN$508,2,FALSE()))</f>
        <v/>
      </c>
      <c r="DQ456" s="111" t="str">
        <f aca="false">IF($DF456&gt;$DE$8,"",VLOOKUP($DF456,$DH$9:$DN$508,3,FALSE()))</f>
        <v/>
      </c>
      <c r="DR456" s="111" t="str">
        <f aca="false">IF($DF456&gt;$DE$8,"",VLOOKUP($DF456,$DH$9:$DN$508,4,FALSE()))</f>
        <v/>
      </c>
      <c r="DS456" s="111" t="str">
        <f aca="false">IF($DF456&gt;$DE$8,"",VLOOKUP($DF456,$DH$9:$DN$508,5,FALSE()))</f>
        <v/>
      </c>
      <c r="DT456" s="112" t="str">
        <f aca="false">IF($DF456&gt;$DE$8,"",VLOOKUP($DF456,$DH$9:$DN$508,6,FALSE()))</f>
        <v/>
      </c>
      <c r="DU456" s="62"/>
    </row>
    <row r="457" customFormat="false" ht="15.75" hidden="false" customHeight="false" outlineLevel="0" collapsed="false">
      <c r="A457" s="7"/>
      <c r="B457" s="90"/>
      <c r="C457" s="91"/>
      <c r="D457" s="126"/>
      <c r="E457" s="130"/>
      <c r="F457" s="135"/>
      <c r="G457" s="130"/>
      <c r="H457" s="135"/>
      <c r="I457" s="131"/>
      <c r="J457" s="131"/>
      <c r="K457" s="131"/>
      <c r="L457" s="130"/>
      <c r="M457" s="130"/>
      <c r="N457" s="130"/>
      <c r="O457" s="135"/>
      <c r="P457" s="130"/>
      <c r="Q457" s="130"/>
      <c r="R457" s="130"/>
      <c r="S457" s="130"/>
      <c r="T457" s="135"/>
      <c r="U457" s="130"/>
      <c r="V457" s="96"/>
      <c r="W457" s="130"/>
      <c r="X457" s="130"/>
      <c r="Y457" s="96"/>
      <c r="Z457" s="96"/>
      <c r="AA457" s="130"/>
      <c r="AB457" s="130"/>
      <c r="AC457" s="97"/>
      <c r="AD457" s="130"/>
      <c r="AE457" s="99"/>
      <c r="AF457" s="100"/>
      <c r="AG457" s="100"/>
      <c r="AH457" s="100" t="str">
        <f aca="false">IF(ISBLANK($C457),"",IF($E457=Constants!$B$2,TRUE(),IF($E457=Constants!$B$3,FALSE(),TRUE())))</f>
        <v/>
      </c>
      <c r="AI457" s="100" t="str">
        <f aca="false">IF(ISBLANK($C457),"",IF($F457=Constants!$B$2,TRUE(),IF($F457=Constants!$B$3,FALSE(),FALSE())))</f>
        <v/>
      </c>
      <c r="AJ457" s="100" t="str">
        <f aca="false">IF(ISBLANK($C457),"",IF($G457=Constants!$B$2,TRUE(),IF($G457=Constants!$B$3,FALSE(),TRUE())))</f>
        <v/>
      </c>
      <c r="AK457" s="100" t="str">
        <f aca="false">IF(ISBLANK($C457),"",IF($H457=Constants!$B$2,TRUE(),IF($H457=Constants!$B$3,FALSE(),TRUE())))</f>
        <v/>
      </c>
      <c r="AL457" s="100" t="str">
        <f aca="false">IF(ISBLANK($C457),"",IF(ISNUMBER($I457),IF($I457&gt;=0,$I457,""),""))</f>
        <v/>
      </c>
      <c r="AM457" s="100" t="str">
        <f aca="false">IF(ISBLANK($C457),"",IF(ISNUMBER($J457),IF($J457&gt;=0,$J457,""),""))</f>
        <v/>
      </c>
      <c r="AN457" s="100" t="str">
        <f aca="false">IF(ISBLANK($C457),"",IF(ISNUMBER($K457),IF($K457&gt;=0,$K457,""),""))</f>
        <v/>
      </c>
      <c r="AO457" s="100" t="str">
        <f aca="false">IF(ISBLANK($C457),"",IF($L457=Constants!$B$2,TRUE(),IF($L457=Constants!$B$3,FALSE(),TRUE())))</f>
        <v/>
      </c>
      <c r="AP457" s="100" t="str">
        <f aca="false">IF(ISBLANK($C457),"",IF($M457=Constants!$B$2,TRUE(),IF($M457=Constants!$B$3,FALSE(),TRUE())))</f>
        <v/>
      </c>
      <c r="AQ457" s="100" t="str">
        <f aca="false">IF(ISBLANK($C457),"",IF($N457=Constants!$B$2,TRUE(),IF($N457=Constants!$B$3,FALSE(),FALSE())))</f>
        <v/>
      </c>
      <c r="AR457" s="100" t="str">
        <f aca="false">IF(ISBLANK($C457),"",IF($O457=Constants!$B$2,TRUE(),IF($O457=Constants!$B$3,FALSE(),TRUE())))</f>
        <v/>
      </c>
      <c r="AS457" s="100" t="str">
        <f aca="false">IF(ISBLANK($C457),"",IF($P457=Constants!$B$2,TRUE(),IF($P457=Constants!$B$3,FALSE(),FALSE())))</f>
        <v/>
      </c>
      <c r="AT457" s="100" t="str">
        <f aca="false">IF(ISBLANK($C457),"",IF($Q457=Constants!$B$2,TRUE(),IF($Q457=Constants!$B$3,FALSE(),FALSE())))</f>
        <v/>
      </c>
      <c r="AU457" s="100" t="str">
        <f aca="false">IF(ISBLANK($C457),"",IF($R457=Constants!$B$2,TRUE(),IF($R457=Constants!$B$3,FALSE(),FALSE())))</f>
        <v/>
      </c>
      <c r="AV457" s="100" t="str">
        <f aca="false">IF(ISBLANK($C457),"",IF($S457=Constants!$B$2,TRUE(),IF($S457=Constants!$B$3,FALSE(),FALSE())))</f>
        <v/>
      </c>
      <c r="AW457" s="100" t="str">
        <f aca="false">IF(ISBLANK($C457),"",IF($T457=Constants!$B$2,TRUE(),IF($T457=Constants!$B$3,FALSE(),FALSE())))</f>
        <v/>
      </c>
      <c r="AX457" s="100" t="str">
        <f aca="false">IF(ISBLANK($C457),"",IF(OR($U457&amp;""="1",$U457&amp;""="2",$U457&amp;""="3",$U457&amp;""="4"),VALUE($U457&amp;""),IF($U457=Constants!$B$12,Constants!$B$12,"")))</f>
        <v/>
      </c>
      <c r="AY457" s="100" t="str">
        <f aca="false">IF(ISBLANK($C457),"",IF(ISBLANK($V457),0,IF(ISNUMBER($V457),IF(AND($V457&gt;=0,$V457&lt;=Constants!$B$21,$V457=INT($V457)),$V457,""),"")))</f>
        <v/>
      </c>
      <c r="AZ457" s="100" t="str">
        <f aca="false">IF(ISBLANK($C457),"",IF(ISBLANK($W457),0,IF(ISNUMBER($W457),IF($W457&gt;=0,$W457,""),"")))</f>
        <v/>
      </c>
      <c r="BA457" s="100" t="str">
        <f aca="false">IF(ISBLANK($C457),"",IF($X457=Constants!$B$2,TRUE(),IF($X457=Constants!$B$3,FALSE(),TRUE())))</f>
        <v/>
      </c>
      <c r="BB457" s="100" t="str">
        <f aca="false">IF(ISBLANK($C457),"",IF($Y457=Constants!$B$2,TRUE(),IF($Y457=Constants!$B$3,FALSE(),FALSE())))</f>
        <v/>
      </c>
      <c r="BC457" s="100" t="str">
        <f aca="false">IF(ISBLANK($C457),"",IF(ISBLANK($Z457),0,IF(ISNUMBER($Z457),IF(AND($Z457&gt;=0,$Z457&lt;=Constants!$B$35,$Z457=INT($Z457)),$Z457,""),"")))</f>
        <v/>
      </c>
      <c r="BD457" s="100" t="str">
        <f aca="false">IF(ISBLANK($C457),"",IF($AA457=Constants!$B$2,TRUE(),IF($AA457=Constants!$B$3,FALSE(),TRUE())))</f>
        <v/>
      </c>
      <c r="BE457" s="100" t="str">
        <f aca="false">IF(ISBLANK($C457),"",IF($AB457=Constants!$B$2,TRUE(),IF($AB457=Constants!$B$3,FALSE(),TRUE())))</f>
        <v/>
      </c>
      <c r="BF457" s="100" t="str">
        <f aca="false">IF(ISBLANK($C457),"",IF(ISNUMBER($AC457),IF($AC457&gt;=0,$AC457,""),""))</f>
        <v/>
      </c>
      <c r="BG457" s="100" t="str">
        <f aca="false">IF(ISBLANK($C457),"",IF($AD457=Constants!$B$2,TRUE(),IF($AD457=Constants!$B$3,FALSE(),FALSE())))</f>
        <v/>
      </c>
      <c r="BH457" s="99" t="str">
        <f aca="false">IF(ISBLANK($C457),"",IF($BG457,Constants!$B$7,IF(COUNTA($E457:$AC457)=0,Constants!$B$6,IF(OR(COUNTA($G457:$AC457)=0,NOT($AK457),$AQ457),Constants!$B$5,IF(OR($CI457&lt;&gt;"",$CJ457,$CK457,$CL457,$CM457,$CN457,$CO457),Constants!$B$8,Constants!$B$4)))))</f>
        <v/>
      </c>
      <c r="BI457" s="100" t="str">
        <f aca="false">IF(ISBLANK($C457),"",IF($BH457&lt;&gt;Constants!$B$4,$BH457,IF(OR(NOT($AH457),NOT($AJ457),NOT($AR457)),Constants!$B$11,IF(OR(NOT($AP457),MAX($AL457,$AM457,$AN457)&gt;Constants!$B$30),Constants!$B$10,Constants!$B$9))))</f>
        <v/>
      </c>
      <c r="BJ457" s="100" t="str">
        <f aca="false">IF($BH457&lt;&gt;Constants!$B$4,"",IF(NOT($AJ457),0,MIN(Constants!$B$35,$BC457)))</f>
        <v/>
      </c>
      <c r="BK457" s="100" t="str">
        <f aca="false">IF($BH457&lt;&gt;Constants!$B$4,"",IF(NOT($AJ457),0,IF($AT457,Constants!$B$18,IF($AS457,Constants!$B$17,0))))</f>
        <v/>
      </c>
      <c r="BL457" s="100" t="str">
        <f aca="false">IF($BH457&lt;&gt;Constants!$B$4,"",IF(NOT($AJ457),0,Constants!$B$19*($AI457+$AU457+$AV457+$AW457)))</f>
        <v/>
      </c>
      <c r="BM457" s="100" t="str">
        <f aca="false">IF($BH457&lt;&gt;Constants!$B$4,"",IF(OR(NOT($AJ457),NOT(ISNUMBER($AX457))),0,CHOOSE($AX457,Constants!$B$13,Constants!$B$14,Constants!$B$15,Constants!$B$16)))</f>
        <v/>
      </c>
      <c r="BN457" s="100" t="str">
        <f aca="false">IF($BH457&lt;&gt;Constants!$B$4,"",IF(NOT($AJ457),0,Constants!$B$20*$AY457))</f>
        <v/>
      </c>
      <c r="BO457" s="100" t="str">
        <f aca="false">IF($BH457&lt;&gt;Constants!$B$4,"",IF(AND($AJ457,$BA457,$BB457),Constants!$B$22,0))</f>
        <v/>
      </c>
      <c r="BP457" s="100" t="str">
        <f aca="false">IF($BH457&lt;&gt;Constants!$B$4,"",IF(OR(NOT($AJ457),NOT($BA457)),0,IF($BF457&gt;=2*$AF$9,0,Constants!$B$23*INT(ROUND(MIN($BF457,$AF$9),6)))))</f>
        <v/>
      </c>
      <c r="BQ457" s="100" t="str">
        <f aca="false">IF($BH457&lt;&gt;Constants!$B$4,"",IF(NOT($AJ457),0,Constants!$B$24*INT(ROUND(MIN($AZ457,$AF$9),6))))</f>
        <v/>
      </c>
      <c r="BR457" s="100" t="str">
        <f aca="false">IF($BH457&lt;&gt;Constants!$B$4,"",IF(AND($AJ457,$BJ457=0),Constants!$B$25,0))</f>
        <v/>
      </c>
      <c r="BS457" s="100" t="str">
        <f aca="false">IF($BH457&lt;&gt;Constants!$B$4,"",MIN(Constants!$B$29,MAX(0,Constants!$B$27*Constants!$B$28*INT(ROUND((Constants!$B$26-$AL457)/Constants!$B$28,6))))+MIN(Constants!$B$29,MAX(0,Constants!$B$27*Constants!$B$28*INT(ROUND((Constants!$B$26-$AM457)/Constants!$B$28,6))))+MIN(Constants!$B$29,MAX(0,Constants!$B$27*Constants!$B$28*INT(ROUND((Constants!$B$26-$AN457)/Constants!$B$28,6)))))</f>
        <v/>
      </c>
      <c r="BT457" s="100" t="str">
        <f aca="false">IF($BH457&lt;&gt;Constants!$B$4,"",IF(NOT($AJ457),0,Constants!$B$31*INT(ROUND(MAX(0,MIN($BF457,2*$AF$9)-$AF$9),6))))</f>
        <v/>
      </c>
      <c r="BU457" s="100" t="str">
        <f aca="false">IF($BH457&lt;&gt;Constants!$B$4,"",Constants!$B$32*(($AL457&gt;Constants!$B$26)+($AM457&gt;Constants!$B$26)+($AN457&gt;Constants!$B$26)))</f>
        <v/>
      </c>
      <c r="BV457" s="100" t="str">
        <f aca="false">IF($BH457&lt;&gt;Constants!$B$4,"",IF(OR(NOT($AJ457),$AO457),0,Constants!$B$33))</f>
        <v/>
      </c>
      <c r="BW457" s="100" t="str">
        <f aca="false">IF($BH457&lt;&gt;Constants!$B$4,"",Constants!$B$34*$BJ457)</f>
        <v/>
      </c>
      <c r="BX457" s="100" t="str">
        <f aca="false">IF($BH457&lt;&gt;Constants!$B$4,"",IF(OR(NOT($AJ457),$BE457),0,Constants!$B$36))</f>
        <v/>
      </c>
      <c r="BY457" s="100" t="str">
        <f aca="false">IF($BH457&lt;&gt;Constants!$B$4,"",IF(OR(NOT($AJ457),$BD457),0,Constants!$B$37))</f>
        <v/>
      </c>
      <c r="BZ457" s="100" t="str">
        <f aca="false">IF($BH457&lt;&gt;Constants!$B$4,"",SUM($BT457:$BY457))</f>
        <v/>
      </c>
      <c r="CA457" s="100" t="str">
        <f aca="false">IF(ISBLANK($C457),"",IF($BH457&lt;&gt;Constants!$B$4,$BH457,SUM($BK457:$BS457)-$BZ457))</f>
        <v/>
      </c>
      <c r="CB457" s="100" t="str">
        <f aca="false">IF(ISBLANK($C457),"",IF($BH457&lt;&gt;Constants!$B$4,$BH457,RANK($CA457,$CA$9:$CA$508)))</f>
        <v/>
      </c>
      <c r="CC457" s="100" t="str">
        <f aca="false">IF(ISBLANK($C457),"",IF($BH457&lt;&gt;Constants!$B$4,$BH457,COUNTIFS($BI$9:$BI$508,"&lt;"&amp;$BI457)+COUNTIFS($BI$9:$BI$508,$BI457,$CB$9:$CB$508,"&lt;"&amp;$CB457)+1))</f>
        <v/>
      </c>
      <c r="CD457" s="100" t="str">
        <f aca="false">IF(ISBLANK($C457),"",IF($BH457&lt;&gt;Constants!$B$4,$BH457,RANK($BZ457,$BZ$9:$BZ$508,1)))</f>
        <v/>
      </c>
      <c r="CE457" s="100" t="str">
        <f aca="false">IF($BH457&lt;&gt;Constants!$B$4,"",$AL457+$AM457+$AN457)</f>
        <v/>
      </c>
      <c r="CF457" s="100" t="str">
        <f aca="false">IF(ISBLANK($C457),"",IF($BH457&lt;&gt;Constants!$B$4,$BH457,RANK($CE457,$CE$9:$CE$508,1)))</f>
        <v/>
      </c>
      <c r="CG457" s="100" t="str">
        <f aca="false">IF(ISBLANK($C457),"",IF($BH457&lt;&gt;Constants!$B$4,$BH457,COUNTIFS($BI$9:$BI$508,"&lt;"&amp;$BI457)+COUNTIFS($BI$9:$BI$508,$BI457,$CB$9:$CB$508,"&lt;"&amp;$CB457)+COUNTIFS($BI$9:$BI$508,$BI457,$CB$9:$CB$508,$CB457,$CD$9:$CD$508,"&lt;"&amp;$CD457)+COUNTIFS($BI$9:$BI$508,$BI457,$CB$9:$CB$508,$CB457,$CD$9:$CD$508,$CD457,$CF$9:$CF$508,"&lt;"&amp;$CF457)+1))</f>
        <v/>
      </c>
      <c r="CH457" s="100" t="str">
        <f aca="false">IF(ISBLANK($C457),"",IF($BH457&lt;&gt;Constants!$B$4,$BH457,$CC457-$CG457))</f>
        <v/>
      </c>
      <c r="CI457" s="100" t="str">
        <f aca="false">IF(ISBLANK($C457),"",IF(NOT($AJ457),"",IF(ISBLANK($D$7),$CI$5,IF(NOT(ISNUMBER($D$7)),$CI$6,""))))</f>
        <v/>
      </c>
      <c r="CJ457" s="100" t="str">
        <f aca="false">IF(ISBLANK($C457),"",OR($AL457="",$AM457="",$AN457=""))</f>
        <v/>
      </c>
      <c r="CK457" s="100" t="str">
        <f aca="false">IF(ISBLANK($C457),"",AND($AJ457,$AX457=""))</f>
        <v/>
      </c>
      <c r="CL457" s="100" t="str">
        <f aca="false">IF(ISBLANK($C457),"",AND($AJ457,$AY457=""))</f>
        <v/>
      </c>
      <c r="CM457" s="100" t="str">
        <f aca="false">IF(ISBLANK($C457),"",AND($AJ457,$AZ457=""))</f>
        <v/>
      </c>
      <c r="CN457" s="100" t="str">
        <f aca="false">IF(ISBLANK($C457),"",AND($AJ457,$BC457=""))</f>
        <v/>
      </c>
      <c r="CO457" s="100" t="str">
        <f aca="false">IF(ISBLANK($C457),"",AND($AJ457,$BF457=""))</f>
        <v/>
      </c>
      <c r="CP457" s="101"/>
      <c r="CQ457" s="102"/>
      <c r="CR457" s="103" t="str">
        <f aca="false">IF(ISBLANK($C457),"",IF($BH457=Constants!$B$8,$CI457,""))</f>
        <v/>
      </c>
      <c r="CS457" s="102" t="str">
        <f aca="false">IF(ISBLANK($C457),"",IF($BH457&lt;&gt;Constants!$B$4,"",$BK457+$BL457))</f>
        <v/>
      </c>
      <c r="CT457" s="104" t="str">
        <f aca="false">IF(ISBLANK($C457),"",IF($BH457&lt;&gt;Constants!$B$4,"",$BM457+$BN457+$BO457))</f>
        <v/>
      </c>
      <c r="CU457" s="104" t="str">
        <f aca="false">IF(ISBLANK($C457),"",IF($BH457&lt;&gt;Constants!$B$4,"",$BP457))</f>
        <v/>
      </c>
      <c r="CV457" s="104" t="str">
        <f aca="false">IF(ISBLANK($C457),"",IF($BH457&lt;&gt;Constants!$B$4,"",$BQ457+$BR457))</f>
        <v/>
      </c>
      <c r="CW457" s="104" t="str">
        <f aca="false">IF(ISBLANK($C457),"",IF($BH457&lt;&gt;Constants!$B$4,"",$BS457))</f>
        <v/>
      </c>
      <c r="CX457" s="104" t="str">
        <f aca="false">IF(ISBLANK($C457),"",IF($BH457&lt;&gt;Constants!$B$4,"",-$BZ457))</f>
        <v/>
      </c>
      <c r="CY457" s="103" t="str">
        <f aca="false">IF(ISBLANK($C457),"",$CA457)</f>
        <v/>
      </c>
      <c r="CZ457" s="105" t="str">
        <f aca="false">IF(ISBLANK($C457),"",$BI457)</f>
        <v/>
      </c>
      <c r="DA457" s="104" t="str">
        <f aca="false">IF(ISBLANK($C457),"",$CH457)</f>
        <v/>
      </c>
      <c r="DB457" s="104" t="str">
        <f aca="false">IF(ISBLANK($C457),"",$CG457)</f>
        <v/>
      </c>
      <c r="DC457" s="106" t="str">
        <f aca="false">IF(ISBLANK($C457),"",IFERROR(_xlfn.SWITCH($DB457,Constants!$B$7,COUNTA($C$9:$C$508)+2,Constants!$B$6,COUNTA($C$9:$C$508)+1,Constants!$B$5,COUNTA($C$9:$C$508)),$DB457))</f>
        <v/>
      </c>
      <c r="DD457" s="7"/>
      <c r="DE457" s="107" t="n">
        <f aca="false">IF(OR(ISNUMBER($DB457),$DB457=Constants!$B$7,$DB457=Constants!$B$5,$DB457=Constants!$B$6),1,0)</f>
        <v>0</v>
      </c>
      <c r="DF457" s="107" t="n">
        <v>449</v>
      </c>
      <c r="DG457" s="107" t="str">
        <f aca="false">IF(ISBLANK($C457),"",IF(ISNUMBER($DC457),$DC457+ROW($B457)/1000,""))</f>
        <v/>
      </c>
      <c r="DH457" s="107" t="str">
        <f aca="false">IF(ISNUMBER($DG457),RANK($DG457,$DG$9:$DG$508,1),"")</f>
        <v/>
      </c>
      <c r="DI457" s="107" t="str">
        <f aca="false">IF(ISBLANK($C457),"",$B457)</f>
        <v/>
      </c>
      <c r="DJ457" s="107" t="str">
        <f aca="false">IF(ISBLANK($C457),"",$C457)</f>
        <v/>
      </c>
      <c r="DK457" s="107" t="str">
        <f aca="false">IF(ISBLANK($C457),"",$D457)</f>
        <v/>
      </c>
      <c r="DL457" s="108" t="str">
        <f aca="false">$CZ457</f>
        <v/>
      </c>
      <c r="DM457" s="109" t="str">
        <f aca="false">$CY457</f>
        <v/>
      </c>
      <c r="DN457" s="107" t="str">
        <f aca="false">IF(ISBLANK($C457),"",$DB457)</f>
        <v/>
      </c>
      <c r="DO457" s="110" t="str">
        <f aca="false">IF($DF457&gt;$DE$8,"",VLOOKUP($DF457,$DH$9:$DN$508,7,FALSE()))</f>
        <v/>
      </c>
      <c r="DP457" s="111" t="str">
        <f aca="false">IF($DF457&gt;$DE$8,"",VLOOKUP($DF457,$DH$9:$DN$508,2,FALSE()))</f>
        <v/>
      </c>
      <c r="DQ457" s="111" t="str">
        <f aca="false">IF($DF457&gt;$DE$8,"",VLOOKUP($DF457,$DH$9:$DN$508,3,FALSE()))</f>
        <v/>
      </c>
      <c r="DR457" s="111" t="str">
        <f aca="false">IF($DF457&gt;$DE$8,"",VLOOKUP($DF457,$DH$9:$DN$508,4,FALSE()))</f>
        <v/>
      </c>
      <c r="DS457" s="111" t="str">
        <f aca="false">IF($DF457&gt;$DE$8,"",VLOOKUP($DF457,$DH$9:$DN$508,5,FALSE()))</f>
        <v/>
      </c>
      <c r="DT457" s="112" t="str">
        <f aca="false">IF($DF457&gt;$DE$8,"",VLOOKUP($DF457,$DH$9:$DN$508,6,FALSE()))</f>
        <v/>
      </c>
      <c r="DU457" s="62"/>
    </row>
    <row r="458" customFormat="false" ht="15.75" hidden="false" customHeight="false" outlineLevel="0" collapsed="false">
      <c r="A458" s="7"/>
      <c r="B458" s="90"/>
      <c r="C458" s="91"/>
      <c r="D458" s="126"/>
      <c r="E458" s="130"/>
      <c r="F458" s="135"/>
      <c r="G458" s="130"/>
      <c r="H458" s="135"/>
      <c r="I458" s="131"/>
      <c r="J458" s="131"/>
      <c r="K458" s="131"/>
      <c r="L458" s="130"/>
      <c r="M458" s="130"/>
      <c r="N458" s="130"/>
      <c r="O458" s="135"/>
      <c r="P458" s="130"/>
      <c r="Q458" s="130"/>
      <c r="R458" s="130"/>
      <c r="S458" s="130"/>
      <c r="T458" s="135"/>
      <c r="U458" s="130"/>
      <c r="V458" s="96"/>
      <c r="W458" s="130"/>
      <c r="X458" s="130"/>
      <c r="Y458" s="96"/>
      <c r="Z458" s="96"/>
      <c r="AA458" s="130"/>
      <c r="AB458" s="130"/>
      <c r="AC458" s="97"/>
      <c r="AD458" s="130"/>
      <c r="AE458" s="99"/>
      <c r="AF458" s="100"/>
      <c r="AG458" s="100"/>
      <c r="AH458" s="100" t="str">
        <f aca="false">IF(ISBLANK($C458),"",IF($E458=Constants!$B$2,TRUE(),IF($E458=Constants!$B$3,FALSE(),TRUE())))</f>
        <v/>
      </c>
      <c r="AI458" s="100" t="str">
        <f aca="false">IF(ISBLANK($C458),"",IF($F458=Constants!$B$2,TRUE(),IF($F458=Constants!$B$3,FALSE(),FALSE())))</f>
        <v/>
      </c>
      <c r="AJ458" s="100" t="str">
        <f aca="false">IF(ISBLANK($C458),"",IF($G458=Constants!$B$2,TRUE(),IF($G458=Constants!$B$3,FALSE(),TRUE())))</f>
        <v/>
      </c>
      <c r="AK458" s="100" t="str">
        <f aca="false">IF(ISBLANK($C458),"",IF($H458=Constants!$B$2,TRUE(),IF($H458=Constants!$B$3,FALSE(),TRUE())))</f>
        <v/>
      </c>
      <c r="AL458" s="100" t="str">
        <f aca="false">IF(ISBLANK($C458),"",IF(ISNUMBER($I458),IF($I458&gt;=0,$I458,""),""))</f>
        <v/>
      </c>
      <c r="AM458" s="100" t="str">
        <f aca="false">IF(ISBLANK($C458),"",IF(ISNUMBER($J458),IF($J458&gt;=0,$J458,""),""))</f>
        <v/>
      </c>
      <c r="AN458" s="100" t="str">
        <f aca="false">IF(ISBLANK($C458),"",IF(ISNUMBER($K458),IF($K458&gt;=0,$K458,""),""))</f>
        <v/>
      </c>
      <c r="AO458" s="100" t="str">
        <f aca="false">IF(ISBLANK($C458),"",IF($L458=Constants!$B$2,TRUE(),IF($L458=Constants!$B$3,FALSE(),TRUE())))</f>
        <v/>
      </c>
      <c r="AP458" s="100" t="str">
        <f aca="false">IF(ISBLANK($C458),"",IF($M458=Constants!$B$2,TRUE(),IF($M458=Constants!$B$3,FALSE(),TRUE())))</f>
        <v/>
      </c>
      <c r="AQ458" s="100" t="str">
        <f aca="false">IF(ISBLANK($C458),"",IF($N458=Constants!$B$2,TRUE(),IF($N458=Constants!$B$3,FALSE(),FALSE())))</f>
        <v/>
      </c>
      <c r="AR458" s="100" t="str">
        <f aca="false">IF(ISBLANK($C458),"",IF($O458=Constants!$B$2,TRUE(),IF($O458=Constants!$B$3,FALSE(),TRUE())))</f>
        <v/>
      </c>
      <c r="AS458" s="100" t="str">
        <f aca="false">IF(ISBLANK($C458),"",IF($P458=Constants!$B$2,TRUE(),IF($P458=Constants!$B$3,FALSE(),FALSE())))</f>
        <v/>
      </c>
      <c r="AT458" s="100" t="str">
        <f aca="false">IF(ISBLANK($C458),"",IF($Q458=Constants!$B$2,TRUE(),IF($Q458=Constants!$B$3,FALSE(),FALSE())))</f>
        <v/>
      </c>
      <c r="AU458" s="100" t="str">
        <f aca="false">IF(ISBLANK($C458),"",IF($R458=Constants!$B$2,TRUE(),IF($R458=Constants!$B$3,FALSE(),FALSE())))</f>
        <v/>
      </c>
      <c r="AV458" s="100" t="str">
        <f aca="false">IF(ISBLANK($C458),"",IF($S458=Constants!$B$2,TRUE(),IF($S458=Constants!$B$3,FALSE(),FALSE())))</f>
        <v/>
      </c>
      <c r="AW458" s="100" t="str">
        <f aca="false">IF(ISBLANK($C458),"",IF($T458=Constants!$B$2,TRUE(),IF($T458=Constants!$B$3,FALSE(),FALSE())))</f>
        <v/>
      </c>
      <c r="AX458" s="100" t="str">
        <f aca="false">IF(ISBLANK($C458),"",IF(OR($U458&amp;""="1",$U458&amp;""="2",$U458&amp;""="3",$U458&amp;""="4"),VALUE($U458&amp;""),IF($U458=Constants!$B$12,Constants!$B$12,"")))</f>
        <v/>
      </c>
      <c r="AY458" s="100" t="str">
        <f aca="false">IF(ISBLANK($C458),"",IF(ISBLANK($V458),0,IF(ISNUMBER($V458),IF(AND($V458&gt;=0,$V458&lt;=Constants!$B$21,$V458=INT($V458)),$V458,""),"")))</f>
        <v/>
      </c>
      <c r="AZ458" s="100" t="str">
        <f aca="false">IF(ISBLANK($C458),"",IF(ISBLANK($W458),0,IF(ISNUMBER($W458),IF($W458&gt;=0,$W458,""),"")))</f>
        <v/>
      </c>
      <c r="BA458" s="100" t="str">
        <f aca="false">IF(ISBLANK($C458),"",IF($X458=Constants!$B$2,TRUE(),IF($X458=Constants!$B$3,FALSE(),TRUE())))</f>
        <v/>
      </c>
      <c r="BB458" s="100" t="str">
        <f aca="false">IF(ISBLANK($C458),"",IF($Y458=Constants!$B$2,TRUE(),IF($Y458=Constants!$B$3,FALSE(),FALSE())))</f>
        <v/>
      </c>
      <c r="BC458" s="100" t="str">
        <f aca="false">IF(ISBLANK($C458),"",IF(ISBLANK($Z458),0,IF(ISNUMBER($Z458),IF(AND($Z458&gt;=0,$Z458&lt;=Constants!$B$35,$Z458=INT($Z458)),$Z458,""),"")))</f>
        <v/>
      </c>
      <c r="BD458" s="100" t="str">
        <f aca="false">IF(ISBLANK($C458),"",IF($AA458=Constants!$B$2,TRUE(),IF($AA458=Constants!$B$3,FALSE(),TRUE())))</f>
        <v/>
      </c>
      <c r="BE458" s="100" t="str">
        <f aca="false">IF(ISBLANK($C458),"",IF($AB458=Constants!$B$2,TRUE(),IF($AB458=Constants!$B$3,FALSE(),TRUE())))</f>
        <v/>
      </c>
      <c r="BF458" s="100" t="str">
        <f aca="false">IF(ISBLANK($C458),"",IF(ISNUMBER($AC458),IF($AC458&gt;=0,$AC458,""),""))</f>
        <v/>
      </c>
      <c r="BG458" s="100" t="str">
        <f aca="false">IF(ISBLANK($C458),"",IF($AD458=Constants!$B$2,TRUE(),IF($AD458=Constants!$B$3,FALSE(),FALSE())))</f>
        <v/>
      </c>
      <c r="BH458" s="99" t="str">
        <f aca="false">IF(ISBLANK($C458),"",IF($BG458,Constants!$B$7,IF(COUNTA($E458:$AC458)=0,Constants!$B$6,IF(OR(COUNTA($G458:$AC458)=0,NOT($AK458),$AQ458),Constants!$B$5,IF(OR($CI458&lt;&gt;"",$CJ458,$CK458,$CL458,$CM458,$CN458,$CO458),Constants!$B$8,Constants!$B$4)))))</f>
        <v/>
      </c>
      <c r="BI458" s="100" t="str">
        <f aca="false">IF(ISBLANK($C458),"",IF($BH458&lt;&gt;Constants!$B$4,$BH458,IF(OR(NOT($AH458),NOT($AJ458),NOT($AR458)),Constants!$B$11,IF(OR(NOT($AP458),MAX($AL458,$AM458,$AN458)&gt;Constants!$B$30),Constants!$B$10,Constants!$B$9))))</f>
        <v/>
      </c>
      <c r="BJ458" s="100" t="str">
        <f aca="false">IF($BH458&lt;&gt;Constants!$B$4,"",IF(NOT($AJ458),0,MIN(Constants!$B$35,$BC458)))</f>
        <v/>
      </c>
      <c r="BK458" s="100" t="str">
        <f aca="false">IF($BH458&lt;&gt;Constants!$B$4,"",IF(NOT($AJ458),0,IF($AT458,Constants!$B$18,IF($AS458,Constants!$B$17,0))))</f>
        <v/>
      </c>
      <c r="BL458" s="100" t="str">
        <f aca="false">IF($BH458&lt;&gt;Constants!$B$4,"",IF(NOT($AJ458),0,Constants!$B$19*($AI458+$AU458+$AV458+$AW458)))</f>
        <v/>
      </c>
      <c r="BM458" s="100" t="str">
        <f aca="false">IF($BH458&lt;&gt;Constants!$B$4,"",IF(OR(NOT($AJ458),NOT(ISNUMBER($AX458))),0,CHOOSE($AX458,Constants!$B$13,Constants!$B$14,Constants!$B$15,Constants!$B$16)))</f>
        <v/>
      </c>
      <c r="BN458" s="100" t="str">
        <f aca="false">IF($BH458&lt;&gt;Constants!$B$4,"",IF(NOT($AJ458),0,Constants!$B$20*$AY458))</f>
        <v/>
      </c>
      <c r="BO458" s="100" t="str">
        <f aca="false">IF($BH458&lt;&gt;Constants!$B$4,"",IF(AND($AJ458,$BA458,$BB458),Constants!$B$22,0))</f>
        <v/>
      </c>
      <c r="BP458" s="100" t="str">
        <f aca="false">IF($BH458&lt;&gt;Constants!$B$4,"",IF(OR(NOT($AJ458),NOT($BA458)),0,IF($BF458&gt;=2*$AF$9,0,Constants!$B$23*INT(ROUND(MIN($BF458,$AF$9),6)))))</f>
        <v/>
      </c>
      <c r="BQ458" s="100" t="str">
        <f aca="false">IF($BH458&lt;&gt;Constants!$B$4,"",IF(NOT($AJ458),0,Constants!$B$24*INT(ROUND(MIN($AZ458,$AF$9),6))))</f>
        <v/>
      </c>
      <c r="BR458" s="100" t="str">
        <f aca="false">IF($BH458&lt;&gt;Constants!$B$4,"",IF(AND($AJ458,$BJ458=0),Constants!$B$25,0))</f>
        <v/>
      </c>
      <c r="BS458" s="100" t="str">
        <f aca="false">IF($BH458&lt;&gt;Constants!$B$4,"",MIN(Constants!$B$29,MAX(0,Constants!$B$27*Constants!$B$28*INT(ROUND((Constants!$B$26-$AL458)/Constants!$B$28,6))))+MIN(Constants!$B$29,MAX(0,Constants!$B$27*Constants!$B$28*INT(ROUND((Constants!$B$26-$AM458)/Constants!$B$28,6))))+MIN(Constants!$B$29,MAX(0,Constants!$B$27*Constants!$B$28*INT(ROUND((Constants!$B$26-$AN458)/Constants!$B$28,6)))))</f>
        <v/>
      </c>
      <c r="BT458" s="100" t="str">
        <f aca="false">IF($BH458&lt;&gt;Constants!$B$4,"",IF(NOT($AJ458),0,Constants!$B$31*INT(ROUND(MAX(0,MIN($BF458,2*$AF$9)-$AF$9),6))))</f>
        <v/>
      </c>
      <c r="BU458" s="100" t="str">
        <f aca="false">IF($BH458&lt;&gt;Constants!$B$4,"",Constants!$B$32*(($AL458&gt;Constants!$B$26)+($AM458&gt;Constants!$B$26)+($AN458&gt;Constants!$B$26)))</f>
        <v/>
      </c>
      <c r="BV458" s="100" t="str">
        <f aca="false">IF($BH458&lt;&gt;Constants!$B$4,"",IF(OR(NOT($AJ458),$AO458),0,Constants!$B$33))</f>
        <v/>
      </c>
      <c r="BW458" s="100" t="str">
        <f aca="false">IF($BH458&lt;&gt;Constants!$B$4,"",Constants!$B$34*$BJ458)</f>
        <v/>
      </c>
      <c r="BX458" s="100" t="str">
        <f aca="false">IF($BH458&lt;&gt;Constants!$B$4,"",IF(OR(NOT($AJ458),$BE458),0,Constants!$B$36))</f>
        <v/>
      </c>
      <c r="BY458" s="100" t="str">
        <f aca="false">IF($BH458&lt;&gt;Constants!$B$4,"",IF(OR(NOT($AJ458),$BD458),0,Constants!$B$37))</f>
        <v/>
      </c>
      <c r="BZ458" s="100" t="str">
        <f aca="false">IF($BH458&lt;&gt;Constants!$B$4,"",SUM($BT458:$BY458))</f>
        <v/>
      </c>
      <c r="CA458" s="100" t="str">
        <f aca="false">IF(ISBLANK($C458),"",IF($BH458&lt;&gt;Constants!$B$4,$BH458,SUM($BK458:$BS458)-$BZ458))</f>
        <v/>
      </c>
      <c r="CB458" s="100" t="str">
        <f aca="false">IF(ISBLANK($C458),"",IF($BH458&lt;&gt;Constants!$B$4,$BH458,RANK($CA458,$CA$9:$CA$508)))</f>
        <v/>
      </c>
      <c r="CC458" s="100" t="str">
        <f aca="false">IF(ISBLANK($C458),"",IF($BH458&lt;&gt;Constants!$B$4,$BH458,COUNTIFS($BI$9:$BI$508,"&lt;"&amp;$BI458)+COUNTIFS($BI$9:$BI$508,$BI458,$CB$9:$CB$508,"&lt;"&amp;$CB458)+1))</f>
        <v/>
      </c>
      <c r="CD458" s="100" t="str">
        <f aca="false">IF(ISBLANK($C458),"",IF($BH458&lt;&gt;Constants!$B$4,$BH458,RANK($BZ458,$BZ$9:$BZ$508,1)))</f>
        <v/>
      </c>
      <c r="CE458" s="100" t="str">
        <f aca="false">IF($BH458&lt;&gt;Constants!$B$4,"",$AL458+$AM458+$AN458)</f>
        <v/>
      </c>
      <c r="CF458" s="100" t="str">
        <f aca="false">IF(ISBLANK($C458),"",IF($BH458&lt;&gt;Constants!$B$4,$BH458,RANK($CE458,$CE$9:$CE$508,1)))</f>
        <v/>
      </c>
      <c r="CG458" s="100" t="str">
        <f aca="false">IF(ISBLANK($C458),"",IF($BH458&lt;&gt;Constants!$B$4,$BH458,COUNTIFS($BI$9:$BI$508,"&lt;"&amp;$BI458)+COUNTIFS($BI$9:$BI$508,$BI458,$CB$9:$CB$508,"&lt;"&amp;$CB458)+COUNTIFS($BI$9:$BI$508,$BI458,$CB$9:$CB$508,$CB458,$CD$9:$CD$508,"&lt;"&amp;$CD458)+COUNTIFS($BI$9:$BI$508,$BI458,$CB$9:$CB$508,$CB458,$CD$9:$CD$508,$CD458,$CF$9:$CF$508,"&lt;"&amp;$CF458)+1))</f>
        <v/>
      </c>
      <c r="CH458" s="100" t="str">
        <f aca="false">IF(ISBLANK($C458),"",IF($BH458&lt;&gt;Constants!$B$4,$BH458,$CC458-$CG458))</f>
        <v/>
      </c>
      <c r="CI458" s="100" t="str">
        <f aca="false">IF(ISBLANK($C458),"",IF(NOT($AJ458),"",IF(ISBLANK($D$7),$CI$5,IF(NOT(ISNUMBER($D$7)),$CI$6,""))))</f>
        <v/>
      </c>
      <c r="CJ458" s="100" t="str">
        <f aca="false">IF(ISBLANK($C458),"",OR($AL458="",$AM458="",$AN458=""))</f>
        <v/>
      </c>
      <c r="CK458" s="100" t="str">
        <f aca="false">IF(ISBLANK($C458),"",AND($AJ458,$AX458=""))</f>
        <v/>
      </c>
      <c r="CL458" s="100" t="str">
        <f aca="false">IF(ISBLANK($C458),"",AND($AJ458,$AY458=""))</f>
        <v/>
      </c>
      <c r="CM458" s="100" t="str">
        <f aca="false">IF(ISBLANK($C458),"",AND($AJ458,$AZ458=""))</f>
        <v/>
      </c>
      <c r="CN458" s="100" t="str">
        <f aca="false">IF(ISBLANK($C458),"",AND($AJ458,$BC458=""))</f>
        <v/>
      </c>
      <c r="CO458" s="100" t="str">
        <f aca="false">IF(ISBLANK($C458),"",AND($AJ458,$BF458=""))</f>
        <v/>
      </c>
      <c r="CP458" s="101"/>
      <c r="CQ458" s="102"/>
      <c r="CR458" s="103" t="str">
        <f aca="false">IF(ISBLANK($C458),"",IF($BH458=Constants!$B$8,$CI458,""))</f>
        <v/>
      </c>
      <c r="CS458" s="102" t="str">
        <f aca="false">IF(ISBLANK($C458),"",IF($BH458&lt;&gt;Constants!$B$4,"",$BK458+$BL458))</f>
        <v/>
      </c>
      <c r="CT458" s="104" t="str">
        <f aca="false">IF(ISBLANK($C458),"",IF($BH458&lt;&gt;Constants!$B$4,"",$BM458+$BN458+$BO458))</f>
        <v/>
      </c>
      <c r="CU458" s="104" t="str">
        <f aca="false">IF(ISBLANK($C458),"",IF($BH458&lt;&gt;Constants!$B$4,"",$BP458))</f>
        <v/>
      </c>
      <c r="CV458" s="104" t="str">
        <f aca="false">IF(ISBLANK($C458),"",IF($BH458&lt;&gt;Constants!$B$4,"",$BQ458+$BR458))</f>
        <v/>
      </c>
      <c r="CW458" s="104" t="str">
        <f aca="false">IF(ISBLANK($C458),"",IF($BH458&lt;&gt;Constants!$B$4,"",$BS458))</f>
        <v/>
      </c>
      <c r="CX458" s="104" t="str">
        <f aca="false">IF(ISBLANK($C458),"",IF($BH458&lt;&gt;Constants!$B$4,"",-$BZ458))</f>
        <v/>
      </c>
      <c r="CY458" s="103" t="str">
        <f aca="false">IF(ISBLANK($C458),"",$CA458)</f>
        <v/>
      </c>
      <c r="CZ458" s="105" t="str">
        <f aca="false">IF(ISBLANK($C458),"",$BI458)</f>
        <v/>
      </c>
      <c r="DA458" s="104" t="str">
        <f aca="false">IF(ISBLANK($C458),"",$CH458)</f>
        <v/>
      </c>
      <c r="DB458" s="104" t="str">
        <f aca="false">IF(ISBLANK($C458),"",$CG458)</f>
        <v/>
      </c>
      <c r="DC458" s="106" t="str">
        <f aca="false">IF(ISBLANK($C458),"",IFERROR(_xlfn.SWITCH($DB458,Constants!$B$7,COUNTA($C$9:$C$508)+2,Constants!$B$6,COUNTA($C$9:$C$508)+1,Constants!$B$5,COUNTA($C$9:$C$508)),$DB458))</f>
        <v/>
      </c>
      <c r="DD458" s="7"/>
      <c r="DE458" s="107" t="n">
        <f aca="false">IF(OR(ISNUMBER($DB458),$DB458=Constants!$B$7,$DB458=Constants!$B$5,$DB458=Constants!$B$6),1,0)</f>
        <v>0</v>
      </c>
      <c r="DF458" s="107" t="n">
        <v>450</v>
      </c>
      <c r="DG458" s="107" t="str">
        <f aca="false">IF(ISBLANK($C458),"",IF(ISNUMBER($DC458),$DC458+ROW($B458)/1000,""))</f>
        <v/>
      </c>
      <c r="DH458" s="107" t="str">
        <f aca="false">IF(ISNUMBER($DG458),RANK($DG458,$DG$9:$DG$508,1),"")</f>
        <v/>
      </c>
      <c r="DI458" s="107" t="str">
        <f aca="false">IF(ISBLANK($C458),"",$B458)</f>
        <v/>
      </c>
      <c r="DJ458" s="107" t="str">
        <f aca="false">IF(ISBLANK($C458),"",$C458)</f>
        <v/>
      </c>
      <c r="DK458" s="107" t="str">
        <f aca="false">IF(ISBLANK($C458),"",$D458)</f>
        <v/>
      </c>
      <c r="DL458" s="108" t="str">
        <f aca="false">$CZ458</f>
        <v/>
      </c>
      <c r="DM458" s="109" t="str">
        <f aca="false">$CY458</f>
        <v/>
      </c>
      <c r="DN458" s="107" t="str">
        <f aca="false">IF(ISBLANK($C458),"",$DB458)</f>
        <v/>
      </c>
      <c r="DO458" s="110" t="str">
        <f aca="false">IF($DF458&gt;$DE$8,"",VLOOKUP($DF458,$DH$9:$DN$508,7,FALSE()))</f>
        <v/>
      </c>
      <c r="DP458" s="111" t="str">
        <f aca="false">IF($DF458&gt;$DE$8,"",VLOOKUP($DF458,$DH$9:$DN$508,2,FALSE()))</f>
        <v/>
      </c>
      <c r="DQ458" s="111" t="str">
        <f aca="false">IF($DF458&gt;$DE$8,"",VLOOKUP($DF458,$DH$9:$DN$508,3,FALSE()))</f>
        <v/>
      </c>
      <c r="DR458" s="111" t="str">
        <f aca="false">IF($DF458&gt;$DE$8,"",VLOOKUP($DF458,$DH$9:$DN$508,4,FALSE()))</f>
        <v/>
      </c>
      <c r="DS458" s="111" t="str">
        <f aca="false">IF($DF458&gt;$DE$8,"",VLOOKUP($DF458,$DH$9:$DN$508,5,FALSE()))</f>
        <v/>
      </c>
      <c r="DT458" s="112" t="str">
        <f aca="false">IF($DF458&gt;$DE$8,"",VLOOKUP($DF458,$DH$9:$DN$508,6,FALSE()))</f>
        <v/>
      </c>
      <c r="DU458" s="62"/>
    </row>
    <row r="459" customFormat="false" ht="15.75" hidden="false" customHeight="false" outlineLevel="0" collapsed="false">
      <c r="A459" s="7"/>
      <c r="B459" s="64"/>
      <c r="C459" s="65"/>
      <c r="D459" s="123"/>
      <c r="E459" s="88"/>
      <c r="F459" s="134"/>
      <c r="G459" s="88"/>
      <c r="H459" s="134"/>
      <c r="I459" s="119"/>
      <c r="J459" s="119"/>
      <c r="K459" s="119"/>
      <c r="L459" s="88"/>
      <c r="M459" s="88"/>
      <c r="N459" s="88"/>
      <c r="O459" s="134"/>
      <c r="P459" s="88"/>
      <c r="Q459" s="88"/>
      <c r="R459" s="88"/>
      <c r="S459" s="88"/>
      <c r="T459" s="134"/>
      <c r="U459" s="88"/>
      <c r="V459" s="70"/>
      <c r="W459" s="88"/>
      <c r="X459" s="88"/>
      <c r="Y459" s="70"/>
      <c r="Z459" s="70"/>
      <c r="AA459" s="88"/>
      <c r="AB459" s="88"/>
      <c r="AC459" s="71"/>
      <c r="AD459" s="88"/>
      <c r="AE459" s="73"/>
      <c r="AF459" s="74"/>
      <c r="AG459" s="74"/>
      <c r="AH459" s="74" t="str">
        <f aca="false">IF(ISBLANK($C459),"",IF($E459=Constants!$B$2,TRUE(),IF($E459=Constants!$B$3,FALSE(),TRUE())))</f>
        <v/>
      </c>
      <c r="AI459" s="74" t="str">
        <f aca="false">IF(ISBLANK($C459),"",IF($F459=Constants!$B$2,TRUE(),IF($F459=Constants!$B$3,FALSE(),FALSE())))</f>
        <v/>
      </c>
      <c r="AJ459" s="74" t="str">
        <f aca="false">IF(ISBLANK($C459),"",IF($G459=Constants!$B$2,TRUE(),IF($G459=Constants!$B$3,FALSE(),TRUE())))</f>
        <v/>
      </c>
      <c r="AK459" s="74" t="str">
        <f aca="false">IF(ISBLANK($C459),"",IF($H459=Constants!$B$2,TRUE(),IF($H459=Constants!$B$3,FALSE(),TRUE())))</f>
        <v/>
      </c>
      <c r="AL459" s="74" t="str">
        <f aca="false">IF(ISBLANK($C459),"",IF(ISNUMBER($I459),IF($I459&gt;=0,$I459,""),""))</f>
        <v/>
      </c>
      <c r="AM459" s="74" t="str">
        <f aca="false">IF(ISBLANK($C459),"",IF(ISNUMBER($J459),IF($J459&gt;=0,$J459,""),""))</f>
        <v/>
      </c>
      <c r="AN459" s="74" t="str">
        <f aca="false">IF(ISBLANK($C459),"",IF(ISNUMBER($K459),IF($K459&gt;=0,$K459,""),""))</f>
        <v/>
      </c>
      <c r="AO459" s="74" t="str">
        <f aca="false">IF(ISBLANK($C459),"",IF($L459=Constants!$B$2,TRUE(),IF($L459=Constants!$B$3,FALSE(),TRUE())))</f>
        <v/>
      </c>
      <c r="AP459" s="74" t="str">
        <f aca="false">IF(ISBLANK($C459),"",IF($M459=Constants!$B$2,TRUE(),IF($M459=Constants!$B$3,FALSE(),TRUE())))</f>
        <v/>
      </c>
      <c r="AQ459" s="74" t="str">
        <f aca="false">IF(ISBLANK($C459),"",IF($N459=Constants!$B$2,TRUE(),IF($N459=Constants!$B$3,FALSE(),FALSE())))</f>
        <v/>
      </c>
      <c r="AR459" s="74" t="str">
        <f aca="false">IF(ISBLANK($C459),"",IF($O459=Constants!$B$2,TRUE(),IF($O459=Constants!$B$3,FALSE(),TRUE())))</f>
        <v/>
      </c>
      <c r="AS459" s="74" t="str">
        <f aca="false">IF(ISBLANK($C459),"",IF($P459=Constants!$B$2,TRUE(),IF($P459=Constants!$B$3,FALSE(),FALSE())))</f>
        <v/>
      </c>
      <c r="AT459" s="74" t="str">
        <f aca="false">IF(ISBLANK($C459),"",IF($Q459=Constants!$B$2,TRUE(),IF($Q459=Constants!$B$3,FALSE(),FALSE())))</f>
        <v/>
      </c>
      <c r="AU459" s="74" t="str">
        <f aca="false">IF(ISBLANK($C459),"",IF($R459=Constants!$B$2,TRUE(),IF($R459=Constants!$B$3,FALSE(),FALSE())))</f>
        <v/>
      </c>
      <c r="AV459" s="74" t="str">
        <f aca="false">IF(ISBLANK($C459),"",IF($S459=Constants!$B$2,TRUE(),IF($S459=Constants!$B$3,FALSE(),FALSE())))</f>
        <v/>
      </c>
      <c r="AW459" s="74" t="str">
        <f aca="false">IF(ISBLANK($C459),"",IF($T459=Constants!$B$2,TRUE(),IF($T459=Constants!$B$3,FALSE(),FALSE())))</f>
        <v/>
      </c>
      <c r="AX459" s="74" t="str">
        <f aca="false">IF(ISBLANK($C459),"",IF(OR($U459&amp;""="1",$U459&amp;""="2",$U459&amp;""="3",$U459&amp;""="4"),VALUE($U459&amp;""),IF($U459=Constants!$B$12,Constants!$B$12,"")))</f>
        <v/>
      </c>
      <c r="AY459" s="74" t="str">
        <f aca="false">IF(ISBLANK($C459),"",IF(ISBLANK($V459),0,IF(ISNUMBER($V459),IF(AND($V459&gt;=0,$V459&lt;=Constants!$B$21,$V459=INT($V459)),$V459,""),"")))</f>
        <v/>
      </c>
      <c r="AZ459" s="74" t="str">
        <f aca="false">IF(ISBLANK($C459),"",IF(ISBLANK($W459),0,IF(ISNUMBER($W459),IF($W459&gt;=0,$W459,""),"")))</f>
        <v/>
      </c>
      <c r="BA459" s="74" t="str">
        <f aca="false">IF(ISBLANK($C459),"",IF($X459=Constants!$B$2,TRUE(),IF($X459=Constants!$B$3,FALSE(),TRUE())))</f>
        <v/>
      </c>
      <c r="BB459" s="74" t="str">
        <f aca="false">IF(ISBLANK($C459),"",IF($Y459=Constants!$B$2,TRUE(),IF($Y459=Constants!$B$3,FALSE(),FALSE())))</f>
        <v/>
      </c>
      <c r="BC459" s="74" t="str">
        <f aca="false">IF(ISBLANK($C459),"",IF(ISBLANK($Z459),0,IF(ISNUMBER($Z459),IF(AND($Z459&gt;=0,$Z459&lt;=Constants!$B$35,$Z459=INT($Z459)),$Z459,""),"")))</f>
        <v/>
      </c>
      <c r="BD459" s="74" t="str">
        <f aca="false">IF(ISBLANK($C459),"",IF($AA459=Constants!$B$2,TRUE(),IF($AA459=Constants!$B$3,FALSE(),TRUE())))</f>
        <v/>
      </c>
      <c r="BE459" s="74" t="str">
        <f aca="false">IF(ISBLANK($C459),"",IF($AB459=Constants!$B$2,TRUE(),IF($AB459=Constants!$B$3,FALSE(),TRUE())))</f>
        <v/>
      </c>
      <c r="BF459" s="74" t="str">
        <f aca="false">IF(ISBLANK($C459),"",IF(ISNUMBER($AC459),IF($AC459&gt;=0,$AC459,""),""))</f>
        <v/>
      </c>
      <c r="BG459" s="74" t="str">
        <f aca="false">IF(ISBLANK($C459),"",IF($AD459=Constants!$B$2,TRUE(),IF($AD459=Constants!$B$3,FALSE(),FALSE())))</f>
        <v/>
      </c>
      <c r="BH459" s="73" t="str">
        <f aca="false">IF(ISBLANK($C459),"",IF($BG459,Constants!$B$7,IF(COUNTA($E459:$AC459)=0,Constants!$B$6,IF(OR(COUNTA($G459:$AC459)=0,NOT($AK459),$AQ459),Constants!$B$5,IF(OR($CI459&lt;&gt;"",$CJ459,$CK459,$CL459,$CM459,$CN459,$CO459),Constants!$B$8,Constants!$B$4)))))</f>
        <v/>
      </c>
      <c r="BI459" s="74" t="str">
        <f aca="false">IF(ISBLANK($C459),"",IF($BH459&lt;&gt;Constants!$B$4,$BH459,IF(OR(NOT($AH459),NOT($AJ459),NOT($AR459)),Constants!$B$11,IF(OR(NOT($AP459),MAX($AL459,$AM459,$AN459)&gt;Constants!$B$30),Constants!$B$10,Constants!$B$9))))</f>
        <v/>
      </c>
      <c r="BJ459" s="74" t="str">
        <f aca="false">IF($BH459&lt;&gt;Constants!$B$4,"",IF(NOT($AJ459),0,MIN(Constants!$B$35,$BC459)))</f>
        <v/>
      </c>
      <c r="BK459" s="74" t="str">
        <f aca="false">IF($BH459&lt;&gt;Constants!$B$4,"",IF(NOT($AJ459),0,IF($AT459,Constants!$B$18,IF($AS459,Constants!$B$17,0))))</f>
        <v/>
      </c>
      <c r="BL459" s="74" t="str">
        <f aca="false">IF($BH459&lt;&gt;Constants!$B$4,"",IF(NOT($AJ459),0,Constants!$B$19*($AI459+$AU459+$AV459+$AW459)))</f>
        <v/>
      </c>
      <c r="BM459" s="74" t="str">
        <f aca="false">IF($BH459&lt;&gt;Constants!$B$4,"",IF(OR(NOT($AJ459),NOT(ISNUMBER($AX459))),0,CHOOSE($AX459,Constants!$B$13,Constants!$B$14,Constants!$B$15,Constants!$B$16)))</f>
        <v/>
      </c>
      <c r="BN459" s="74" t="str">
        <f aca="false">IF($BH459&lt;&gt;Constants!$B$4,"",IF(NOT($AJ459),0,Constants!$B$20*$AY459))</f>
        <v/>
      </c>
      <c r="BO459" s="74" t="str">
        <f aca="false">IF($BH459&lt;&gt;Constants!$B$4,"",IF(AND($AJ459,$BA459,$BB459),Constants!$B$22,0))</f>
        <v/>
      </c>
      <c r="BP459" s="74" t="str">
        <f aca="false">IF($BH459&lt;&gt;Constants!$B$4,"",IF(OR(NOT($AJ459),NOT($BA459)),0,IF($BF459&gt;=2*$AF$9,0,Constants!$B$23*INT(ROUND(MIN($BF459,$AF$9),6)))))</f>
        <v/>
      </c>
      <c r="BQ459" s="74" t="str">
        <f aca="false">IF($BH459&lt;&gt;Constants!$B$4,"",IF(NOT($AJ459),0,Constants!$B$24*INT(ROUND(MIN($AZ459,$AF$9),6))))</f>
        <v/>
      </c>
      <c r="BR459" s="74" t="str">
        <f aca="false">IF($BH459&lt;&gt;Constants!$B$4,"",IF(AND($AJ459,$BJ459=0),Constants!$B$25,0))</f>
        <v/>
      </c>
      <c r="BS459" s="74" t="str">
        <f aca="false">IF($BH459&lt;&gt;Constants!$B$4,"",MIN(Constants!$B$29,MAX(0,Constants!$B$27*Constants!$B$28*INT(ROUND((Constants!$B$26-$AL459)/Constants!$B$28,6))))+MIN(Constants!$B$29,MAX(0,Constants!$B$27*Constants!$B$28*INT(ROUND((Constants!$B$26-$AM459)/Constants!$B$28,6))))+MIN(Constants!$B$29,MAX(0,Constants!$B$27*Constants!$B$28*INT(ROUND((Constants!$B$26-$AN459)/Constants!$B$28,6)))))</f>
        <v/>
      </c>
      <c r="BT459" s="74" t="str">
        <f aca="false">IF($BH459&lt;&gt;Constants!$B$4,"",IF(NOT($AJ459),0,Constants!$B$31*INT(ROUND(MAX(0,MIN($BF459,2*$AF$9)-$AF$9),6))))</f>
        <v/>
      </c>
      <c r="BU459" s="74" t="str">
        <f aca="false">IF($BH459&lt;&gt;Constants!$B$4,"",Constants!$B$32*(($AL459&gt;Constants!$B$26)+($AM459&gt;Constants!$B$26)+($AN459&gt;Constants!$B$26)))</f>
        <v/>
      </c>
      <c r="BV459" s="74" t="str">
        <f aca="false">IF($BH459&lt;&gt;Constants!$B$4,"",IF(OR(NOT($AJ459),$AO459),0,Constants!$B$33))</f>
        <v/>
      </c>
      <c r="BW459" s="74" t="str">
        <f aca="false">IF($BH459&lt;&gt;Constants!$B$4,"",Constants!$B$34*$BJ459)</f>
        <v/>
      </c>
      <c r="BX459" s="74" t="str">
        <f aca="false">IF($BH459&lt;&gt;Constants!$B$4,"",IF(OR(NOT($AJ459),$BE459),0,Constants!$B$36))</f>
        <v/>
      </c>
      <c r="BY459" s="74" t="str">
        <f aca="false">IF($BH459&lt;&gt;Constants!$B$4,"",IF(OR(NOT($AJ459),$BD459),0,Constants!$B$37))</f>
        <v/>
      </c>
      <c r="BZ459" s="74" t="str">
        <f aca="false">IF($BH459&lt;&gt;Constants!$B$4,"",SUM($BT459:$BY459))</f>
        <v/>
      </c>
      <c r="CA459" s="74" t="str">
        <f aca="false">IF(ISBLANK($C459),"",IF($BH459&lt;&gt;Constants!$B$4,$BH459,SUM($BK459:$BS459)-$BZ459))</f>
        <v/>
      </c>
      <c r="CB459" s="74" t="str">
        <f aca="false">IF(ISBLANK($C459),"",IF($BH459&lt;&gt;Constants!$B$4,$BH459,RANK($CA459,$CA$9:$CA$508)))</f>
        <v/>
      </c>
      <c r="CC459" s="74" t="str">
        <f aca="false">IF(ISBLANK($C459),"",IF($BH459&lt;&gt;Constants!$B$4,$BH459,COUNTIFS($BI$9:$BI$508,"&lt;"&amp;$BI459)+COUNTIFS($BI$9:$BI$508,$BI459,$CB$9:$CB$508,"&lt;"&amp;$CB459)+1))</f>
        <v/>
      </c>
      <c r="CD459" s="74" t="str">
        <f aca="false">IF(ISBLANK($C459),"",IF($BH459&lt;&gt;Constants!$B$4,$BH459,RANK($BZ459,$BZ$9:$BZ$508,1)))</f>
        <v/>
      </c>
      <c r="CE459" s="74" t="str">
        <f aca="false">IF($BH459&lt;&gt;Constants!$B$4,"",$AL459+$AM459+$AN459)</f>
        <v/>
      </c>
      <c r="CF459" s="74" t="str">
        <f aca="false">IF(ISBLANK($C459),"",IF($BH459&lt;&gt;Constants!$B$4,$BH459,RANK($CE459,$CE$9:$CE$508,1)))</f>
        <v/>
      </c>
      <c r="CG459" s="74" t="str">
        <f aca="false">IF(ISBLANK($C459),"",IF($BH459&lt;&gt;Constants!$B$4,$BH459,COUNTIFS($BI$9:$BI$508,"&lt;"&amp;$BI459)+COUNTIFS($BI$9:$BI$508,$BI459,$CB$9:$CB$508,"&lt;"&amp;$CB459)+COUNTIFS($BI$9:$BI$508,$BI459,$CB$9:$CB$508,$CB459,$CD$9:$CD$508,"&lt;"&amp;$CD459)+COUNTIFS($BI$9:$BI$508,$BI459,$CB$9:$CB$508,$CB459,$CD$9:$CD$508,$CD459,$CF$9:$CF$508,"&lt;"&amp;$CF459)+1))</f>
        <v/>
      </c>
      <c r="CH459" s="74" t="str">
        <f aca="false">IF(ISBLANK($C459),"",IF($BH459&lt;&gt;Constants!$B$4,$BH459,$CC459-$CG459))</f>
        <v/>
      </c>
      <c r="CI459" s="74" t="str">
        <f aca="false">IF(ISBLANK($C459),"",IF(NOT($AJ459),"",IF(ISBLANK($D$7),$CI$5,IF(NOT(ISNUMBER($D$7)),$CI$6,""))))</f>
        <v/>
      </c>
      <c r="CJ459" s="74" t="str">
        <f aca="false">IF(ISBLANK($C459),"",OR($AL459="",$AM459="",$AN459=""))</f>
        <v/>
      </c>
      <c r="CK459" s="74" t="str">
        <f aca="false">IF(ISBLANK($C459),"",AND($AJ459,$AX459=""))</f>
        <v/>
      </c>
      <c r="CL459" s="74" t="str">
        <f aca="false">IF(ISBLANK($C459),"",AND($AJ459,$AY459=""))</f>
        <v/>
      </c>
      <c r="CM459" s="74" t="str">
        <f aca="false">IF(ISBLANK($C459),"",AND($AJ459,$AZ459=""))</f>
        <v/>
      </c>
      <c r="CN459" s="74" t="str">
        <f aca="false">IF(ISBLANK($C459),"",AND($AJ459,$BC459=""))</f>
        <v/>
      </c>
      <c r="CO459" s="74" t="str">
        <f aca="false">IF(ISBLANK($C459),"",AND($AJ459,$BF459=""))</f>
        <v/>
      </c>
      <c r="CP459" s="75"/>
      <c r="CQ459" s="76"/>
      <c r="CR459" s="79" t="str">
        <f aca="false">IF(ISBLANK($C459),"",IF($BH459=Constants!$B$8,$CI459,""))</f>
        <v/>
      </c>
      <c r="CS459" s="76" t="str">
        <f aca="false">IF(ISBLANK($C459),"",IF($BH459&lt;&gt;Constants!$B$4,"",$BK459+$BL459))</f>
        <v/>
      </c>
      <c r="CT459" s="78" t="str">
        <f aca="false">IF(ISBLANK($C459),"",IF($BH459&lt;&gt;Constants!$B$4,"",$BM459+$BN459+$BO459))</f>
        <v/>
      </c>
      <c r="CU459" s="78" t="str">
        <f aca="false">IF(ISBLANK($C459),"",IF($BH459&lt;&gt;Constants!$B$4,"",$BP459))</f>
        <v/>
      </c>
      <c r="CV459" s="78" t="str">
        <f aca="false">IF(ISBLANK($C459),"",IF($BH459&lt;&gt;Constants!$B$4,"",$BQ459+$BR459))</f>
        <v/>
      </c>
      <c r="CW459" s="78" t="str">
        <f aca="false">IF(ISBLANK($C459),"",IF($BH459&lt;&gt;Constants!$B$4,"",$BS459))</f>
        <v/>
      </c>
      <c r="CX459" s="78" t="str">
        <f aca="false">IF(ISBLANK($C459),"",IF($BH459&lt;&gt;Constants!$B$4,"",-$BZ459))</f>
        <v/>
      </c>
      <c r="CY459" s="79" t="str">
        <f aca="false">IF(ISBLANK($C459),"",$CA459)</f>
        <v/>
      </c>
      <c r="CZ459" s="80" t="str">
        <f aca="false">IF(ISBLANK($C459),"",$BI459)</f>
        <v/>
      </c>
      <c r="DA459" s="78" t="str">
        <f aca="false">IF(ISBLANK($C459),"",$CH459)</f>
        <v/>
      </c>
      <c r="DB459" s="78" t="str">
        <f aca="false">IF(ISBLANK($C459),"",$CG459)</f>
        <v/>
      </c>
      <c r="DC459" s="81" t="str">
        <f aca="false">IF(ISBLANK($C459),"",IFERROR(_xlfn.SWITCH($DB459,Constants!$B$7,COUNTA($C$9:$C$508)+2,Constants!$B$6,COUNTA($C$9:$C$508)+1,Constants!$B$5,COUNTA($C$9:$C$508)),$DB459))</f>
        <v/>
      </c>
      <c r="DD459" s="7"/>
      <c r="DE459" s="82" t="n">
        <f aca="false">IF(OR(ISNUMBER($DB459),$DB459=Constants!$B$7,$DB459=Constants!$B$5,$DB459=Constants!$B$6),1,0)</f>
        <v>0</v>
      </c>
      <c r="DF459" s="82" t="n">
        <v>451</v>
      </c>
      <c r="DG459" s="82" t="str">
        <f aca="false">IF(ISBLANK($C459),"",IF(ISNUMBER($DC459),$DC459+ROW($B459)/1000,""))</f>
        <v/>
      </c>
      <c r="DH459" s="82" t="str">
        <f aca="false">IF(ISNUMBER($DG459),RANK($DG459,$DG$9:$DG$508,1),"")</f>
        <v/>
      </c>
      <c r="DI459" s="82" t="str">
        <f aca="false">IF(ISBLANK($C459),"",$B459)</f>
        <v/>
      </c>
      <c r="DJ459" s="82" t="str">
        <f aca="false">IF(ISBLANK($C459),"",$C459)</f>
        <v/>
      </c>
      <c r="DK459" s="82" t="str">
        <f aca="false">IF(ISBLANK($C459),"",$D459)</f>
        <v/>
      </c>
      <c r="DL459" s="83" t="str">
        <f aca="false">$CZ459</f>
        <v/>
      </c>
      <c r="DM459" s="84" t="str">
        <f aca="false">$CY459</f>
        <v/>
      </c>
      <c r="DN459" s="82" t="str">
        <f aca="false">IF(ISBLANK($C459),"",$DB459)</f>
        <v/>
      </c>
      <c r="DO459" s="85" t="str">
        <f aca="false">IF($DF459&gt;$DE$8,"",VLOOKUP($DF459,$DH$9:$DN$508,7,FALSE()))</f>
        <v/>
      </c>
      <c r="DP459" s="86" t="str">
        <f aca="false">IF($DF459&gt;$DE$8,"",VLOOKUP($DF459,$DH$9:$DN$508,2,FALSE()))</f>
        <v/>
      </c>
      <c r="DQ459" s="86" t="str">
        <f aca="false">IF($DF459&gt;$DE$8,"",VLOOKUP($DF459,$DH$9:$DN$508,3,FALSE()))</f>
        <v/>
      </c>
      <c r="DR459" s="86" t="str">
        <f aca="false">IF($DF459&gt;$DE$8,"",VLOOKUP($DF459,$DH$9:$DN$508,4,FALSE()))</f>
        <v/>
      </c>
      <c r="DS459" s="86" t="str">
        <f aca="false">IF($DF459&gt;$DE$8,"",VLOOKUP($DF459,$DH$9:$DN$508,5,FALSE()))</f>
        <v/>
      </c>
      <c r="DT459" s="87" t="str">
        <f aca="false">IF($DF459&gt;$DE$8,"",VLOOKUP($DF459,$DH$9:$DN$508,6,FALSE()))</f>
        <v/>
      </c>
      <c r="DU459" s="62"/>
    </row>
    <row r="460" customFormat="false" ht="15.75" hidden="false" customHeight="false" outlineLevel="0" collapsed="false">
      <c r="A460" s="7"/>
      <c r="B460" s="64"/>
      <c r="C460" s="65"/>
      <c r="D460" s="123"/>
      <c r="E460" s="88"/>
      <c r="F460" s="134"/>
      <c r="G460" s="88"/>
      <c r="H460" s="134"/>
      <c r="I460" s="119"/>
      <c r="J460" s="119"/>
      <c r="K460" s="119"/>
      <c r="L460" s="88"/>
      <c r="M460" s="88"/>
      <c r="N460" s="88"/>
      <c r="O460" s="134"/>
      <c r="P460" s="88"/>
      <c r="Q460" s="88"/>
      <c r="R460" s="88"/>
      <c r="S460" s="88"/>
      <c r="T460" s="134"/>
      <c r="U460" s="88"/>
      <c r="V460" s="70"/>
      <c r="W460" s="88"/>
      <c r="X460" s="88"/>
      <c r="Y460" s="70"/>
      <c r="Z460" s="70"/>
      <c r="AA460" s="88"/>
      <c r="AB460" s="88"/>
      <c r="AC460" s="71"/>
      <c r="AD460" s="88"/>
      <c r="AE460" s="73"/>
      <c r="AF460" s="74"/>
      <c r="AG460" s="74"/>
      <c r="AH460" s="74" t="str">
        <f aca="false">IF(ISBLANK($C460),"",IF($E460=Constants!$B$2,TRUE(),IF($E460=Constants!$B$3,FALSE(),TRUE())))</f>
        <v/>
      </c>
      <c r="AI460" s="74" t="str">
        <f aca="false">IF(ISBLANK($C460),"",IF($F460=Constants!$B$2,TRUE(),IF($F460=Constants!$B$3,FALSE(),FALSE())))</f>
        <v/>
      </c>
      <c r="AJ460" s="74" t="str">
        <f aca="false">IF(ISBLANK($C460),"",IF($G460=Constants!$B$2,TRUE(),IF($G460=Constants!$B$3,FALSE(),TRUE())))</f>
        <v/>
      </c>
      <c r="AK460" s="74" t="str">
        <f aca="false">IF(ISBLANK($C460),"",IF($H460=Constants!$B$2,TRUE(),IF($H460=Constants!$B$3,FALSE(),TRUE())))</f>
        <v/>
      </c>
      <c r="AL460" s="74" t="str">
        <f aca="false">IF(ISBLANK($C460),"",IF(ISNUMBER($I460),IF($I460&gt;=0,$I460,""),""))</f>
        <v/>
      </c>
      <c r="AM460" s="74" t="str">
        <f aca="false">IF(ISBLANK($C460),"",IF(ISNUMBER($J460),IF($J460&gt;=0,$J460,""),""))</f>
        <v/>
      </c>
      <c r="AN460" s="74" t="str">
        <f aca="false">IF(ISBLANK($C460),"",IF(ISNUMBER($K460),IF($K460&gt;=0,$K460,""),""))</f>
        <v/>
      </c>
      <c r="AO460" s="74" t="str">
        <f aca="false">IF(ISBLANK($C460),"",IF($L460=Constants!$B$2,TRUE(),IF($L460=Constants!$B$3,FALSE(),TRUE())))</f>
        <v/>
      </c>
      <c r="AP460" s="74" t="str">
        <f aca="false">IF(ISBLANK($C460),"",IF($M460=Constants!$B$2,TRUE(),IF($M460=Constants!$B$3,FALSE(),TRUE())))</f>
        <v/>
      </c>
      <c r="AQ460" s="74" t="str">
        <f aca="false">IF(ISBLANK($C460),"",IF($N460=Constants!$B$2,TRUE(),IF($N460=Constants!$B$3,FALSE(),FALSE())))</f>
        <v/>
      </c>
      <c r="AR460" s="74" t="str">
        <f aca="false">IF(ISBLANK($C460),"",IF($O460=Constants!$B$2,TRUE(),IF($O460=Constants!$B$3,FALSE(),TRUE())))</f>
        <v/>
      </c>
      <c r="AS460" s="74" t="str">
        <f aca="false">IF(ISBLANK($C460),"",IF($P460=Constants!$B$2,TRUE(),IF($P460=Constants!$B$3,FALSE(),FALSE())))</f>
        <v/>
      </c>
      <c r="AT460" s="74" t="str">
        <f aca="false">IF(ISBLANK($C460),"",IF($Q460=Constants!$B$2,TRUE(),IF($Q460=Constants!$B$3,FALSE(),FALSE())))</f>
        <v/>
      </c>
      <c r="AU460" s="74" t="str">
        <f aca="false">IF(ISBLANK($C460),"",IF($R460=Constants!$B$2,TRUE(),IF($R460=Constants!$B$3,FALSE(),FALSE())))</f>
        <v/>
      </c>
      <c r="AV460" s="74" t="str">
        <f aca="false">IF(ISBLANK($C460),"",IF($S460=Constants!$B$2,TRUE(),IF($S460=Constants!$B$3,FALSE(),FALSE())))</f>
        <v/>
      </c>
      <c r="AW460" s="74" t="str">
        <f aca="false">IF(ISBLANK($C460),"",IF($T460=Constants!$B$2,TRUE(),IF($T460=Constants!$B$3,FALSE(),FALSE())))</f>
        <v/>
      </c>
      <c r="AX460" s="74" t="str">
        <f aca="false">IF(ISBLANK($C460),"",IF(OR($U460&amp;""="1",$U460&amp;""="2",$U460&amp;""="3",$U460&amp;""="4"),VALUE($U460&amp;""),IF($U460=Constants!$B$12,Constants!$B$12,"")))</f>
        <v/>
      </c>
      <c r="AY460" s="74" t="str">
        <f aca="false">IF(ISBLANK($C460),"",IF(ISBLANK($V460),0,IF(ISNUMBER($V460),IF(AND($V460&gt;=0,$V460&lt;=Constants!$B$21,$V460=INT($V460)),$V460,""),"")))</f>
        <v/>
      </c>
      <c r="AZ460" s="74" t="str">
        <f aca="false">IF(ISBLANK($C460),"",IF(ISBLANK($W460),0,IF(ISNUMBER($W460),IF($W460&gt;=0,$W460,""),"")))</f>
        <v/>
      </c>
      <c r="BA460" s="74" t="str">
        <f aca="false">IF(ISBLANK($C460),"",IF($X460=Constants!$B$2,TRUE(),IF($X460=Constants!$B$3,FALSE(),TRUE())))</f>
        <v/>
      </c>
      <c r="BB460" s="74" t="str">
        <f aca="false">IF(ISBLANK($C460),"",IF($Y460=Constants!$B$2,TRUE(),IF($Y460=Constants!$B$3,FALSE(),FALSE())))</f>
        <v/>
      </c>
      <c r="BC460" s="74" t="str">
        <f aca="false">IF(ISBLANK($C460),"",IF(ISBLANK($Z460),0,IF(ISNUMBER($Z460),IF(AND($Z460&gt;=0,$Z460&lt;=Constants!$B$35,$Z460=INT($Z460)),$Z460,""),"")))</f>
        <v/>
      </c>
      <c r="BD460" s="74" t="str">
        <f aca="false">IF(ISBLANK($C460),"",IF($AA460=Constants!$B$2,TRUE(),IF($AA460=Constants!$B$3,FALSE(),TRUE())))</f>
        <v/>
      </c>
      <c r="BE460" s="74" t="str">
        <f aca="false">IF(ISBLANK($C460),"",IF($AB460=Constants!$B$2,TRUE(),IF($AB460=Constants!$B$3,FALSE(),TRUE())))</f>
        <v/>
      </c>
      <c r="BF460" s="74" t="str">
        <f aca="false">IF(ISBLANK($C460),"",IF(ISNUMBER($AC460),IF($AC460&gt;=0,$AC460,""),""))</f>
        <v/>
      </c>
      <c r="BG460" s="74" t="str">
        <f aca="false">IF(ISBLANK($C460),"",IF($AD460=Constants!$B$2,TRUE(),IF($AD460=Constants!$B$3,FALSE(),FALSE())))</f>
        <v/>
      </c>
      <c r="BH460" s="73" t="str">
        <f aca="false">IF(ISBLANK($C460),"",IF($BG460,Constants!$B$7,IF(COUNTA($E460:$AC460)=0,Constants!$B$6,IF(OR(COUNTA($G460:$AC460)=0,NOT($AK460),$AQ460),Constants!$B$5,IF(OR($CI460&lt;&gt;"",$CJ460,$CK460,$CL460,$CM460,$CN460,$CO460),Constants!$B$8,Constants!$B$4)))))</f>
        <v/>
      </c>
      <c r="BI460" s="74" t="str">
        <f aca="false">IF(ISBLANK($C460),"",IF($BH460&lt;&gt;Constants!$B$4,$BH460,IF(OR(NOT($AH460),NOT($AJ460),NOT($AR460)),Constants!$B$11,IF(OR(NOT($AP460),MAX($AL460,$AM460,$AN460)&gt;Constants!$B$30),Constants!$B$10,Constants!$B$9))))</f>
        <v/>
      </c>
      <c r="BJ460" s="74" t="str">
        <f aca="false">IF($BH460&lt;&gt;Constants!$B$4,"",IF(NOT($AJ460),0,MIN(Constants!$B$35,$BC460)))</f>
        <v/>
      </c>
      <c r="BK460" s="74" t="str">
        <f aca="false">IF($BH460&lt;&gt;Constants!$B$4,"",IF(NOT($AJ460),0,IF($AT460,Constants!$B$18,IF($AS460,Constants!$B$17,0))))</f>
        <v/>
      </c>
      <c r="BL460" s="74" t="str">
        <f aca="false">IF($BH460&lt;&gt;Constants!$B$4,"",IF(NOT($AJ460),0,Constants!$B$19*($AI460+$AU460+$AV460+$AW460)))</f>
        <v/>
      </c>
      <c r="BM460" s="74" t="str">
        <f aca="false">IF($BH460&lt;&gt;Constants!$B$4,"",IF(OR(NOT($AJ460),NOT(ISNUMBER($AX460))),0,CHOOSE($AX460,Constants!$B$13,Constants!$B$14,Constants!$B$15,Constants!$B$16)))</f>
        <v/>
      </c>
      <c r="BN460" s="74" t="str">
        <f aca="false">IF($BH460&lt;&gt;Constants!$B$4,"",IF(NOT($AJ460),0,Constants!$B$20*$AY460))</f>
        <v/>
      </c>
      <c r="BO460" s="74" t="str">
        <f aca="false">IF($BH460&lt;&gt;Constants!$B$4,"",IF(AND($AJ460,$BA460,$BB460),Constants!$B$22,0))</f>
        <v/>
      </c>
      <c r="BP460" s="74" t="str">
        <f aca="false">IF($BH460&lt;&gt;Constants!$B$4,"",IF(OR(NOT($AJ460),NOT($BA460)),0,IF($BF460&gt;=2*$AF$9,0,Constants!$B$23*INT(ROUND(MIN($BF460,$AF$9),6)))))</f>
        <v/>
      </c>
      <c r="BQ460" s="74" t="str">
        <f aca="false">IF($BH460&lt;&gt;Constants!$B$4,"",IF(NOT($AJ460),0,Constants!$B$24*INT(ROUND(MIN($AZ460,$AF$9),6))))</f>
        <v/>
      </c>
      <c r="BR460" s="74" t="str">
        <f aca="false">IF($BH460&lt;&gt;Constants!$B$4,"",IF(AND($AJ460,$BJ460=0),Constants!$B$25,0))</f>
        <v/>
      </c>
      <c r="BS460" s="74" t="str">
        <f aca="false">IF($BH460&lt;&gt;Constants!$B$4,"",MIN(Constants!$B$29,MAX(0,Constants!$B$27*Constants!$B$28*INT(ROUND((Constants!$B$26-$AL460)/Constants!$B$28,6))))+MIN(Constants!$B$29,MAX(0,Constants!$B$27*Constants!$B$28*INT(ROUND((Constants!$B$26-$AM460)/Constants!$B$28,6))))+MIN(Constants!$B$29,MAX(0,Constants!$B$27*Constants!$B$28*INT(ROUND((Constants!$B$26-$AN460)/Constants!$B$28,6)))))</f>
        <v/>
      </c>
      <c r="BT460" s="74" t="str">
        <f aca="false">IF($BH460&lt;&gt;Constants!$B$4,"",IF(NOT($AJ460),0,Constants!$B$31*INT(ROUND(MAX(0,MIN($BF460,2*$AF$9)-$AF$9),6))))</f>
        <v/>
      </c>
      <c r="BU460" s="74" t="str">
        <f aca="false">IF($BH460&lt;&gt;Constants!$B$4,"",Constants!$B$32*(($AL460&gt;Constants!$B$26)+($AM460&gt;Constants!$B$26)+($AN460&gt;Constants!$B$26)))</f>
        <v/>
      </c>
      <c r="BV460" s="74" t="str">
        <f aca="false">IF($BH460&lt;&gt;Constants!$B$4,"",IF(OR(NOT($AJ460),$AO460),0,Constants!$B$33))</f>
        <v/>
      </c>
      <c r="BW460" s="74" t="str">
        <f aca="false">IF($BH460&lt;&gt;Constants!$B$4,"",Constants!$B$34*$BJ460)</f>
        <v/>
      </c>
      <c r="BX460" s="74" t="str">
        <f aca="false">IF($BH460&lt;&gt;Constants!$B$4,"",IF(OR(NOT($AJ460),$BE460),0,Constants!$B$36))</f>
        <v/>
      </c>
      <c r="BY460" s="74" t="str">
        <f aca="false">IF($BH460&lt;&gt;Constants!$B$4,"",IF(OR(NOT($AJ460),$BD460),0,Constants!$B$37))</f>
        <v/>
      </c>
      <c r="BZ460" s="74" t="str">
        <f aca="false">IF($BH460&lt;&gt;Constants!$B$4,"",SUM($BT460:$BY460))</f>
        <v/>
      </c>
      <c r="CA460" s="74" t="str">
        <f aca="false">IF(ISBLANK($C460),"",IF($BH460&lt;&gt;Constants!$B$4,$BH460,SUM($BK460:$BS460)-$BZ460))</f>
        <v/>
      </c>
      <c r="CB460" s="74" t="str">
        <f aca="false">IF(ISBLANK($C460),"",IF($BH460&lt;&gt;Constants!$B$4,$BH460,RANK($CA460,$CA$9:$CA$508)))</f>
        <v/>
      </c>
      <c r="CC460" s="74" t="str">
        <f aca="false">IF(ISBLANK($C460),"",IF($BH460&lt;&gt;Constants!$B$4,$BH460,COUNTIFS($BI$9:$BI$508,"&lt;"&amp;$BI460)+COUNTIFS($BI$9:$BI$508,$BI460,$CB$9:$CB$508,"&lt;"&amp;$CB460)+1))</f>
        <v/>
      </c>
      <c r="CD460" s="74" t="str">
        <f aca="false">IF(ISBLANK($C460),"",IF($BH460&lt;&gt;Constants!$B$4,$BH460,RANK($BZ460,$BZ$9:$BZ$508,1)))</f>
        <v/>
      </c>
      <c r="CE460" s="74" t="str">
        <f aca="false">IF($BH460&lt;&gt;Constants!$B$4,"",$AL460+$AM460+$AN460)</f>
        <v/>
      </c>
      <c r="CF460" s="74" t="str">
        <f aca="false">IF(ISBLANK($C460),"",IF($BH460&lt;&gt;Constants!$B$4,$BH460,RANK($CE460,$CE$9:$CE$508,1)))</f>
        <v/>
      </c>
      <c r="CG460" s="74" t="str">
        <f aca="false">IF(ISBLANK($C460),"",IF($BH460&lt;&gt;Constants!$B$4,$BH460,COUNTIFS($BI$9:$BI$508,"&lt;"&amp;$BI460)+COUNTIFS($BI$9:$BI$508,$BI460,$CB$9:$CB$508,"&lt;"&amp;$CB460)+COUNTIFS($BI$9:$BI$508,$BI460,$CB$9:$CB$508,$CB460,$CD$9:$CD$508,"&lt;"&amp;$CD460)+COUNTIFS($BI$9:$BI$508,$BI460,$CB$9:$CB$508,$CB460,$CD$9:$CD$508,$CD460,$CF$9:$CF$508,"&lt;"&amp;$CF460)+1))</f>
        <v/>
      </c>
      <c r="CH460" s="74" t="str">
        <f aca="false">IF(ISBLANK($C460),"",IF($BH460&lt;&gt;Constants!$B$4,$BH460,$CC460-$CG460))</f>
        <v/>
      </c>
      <c r="CI460" s="74" t="str">
        <f aca="false">IF(ISBLANK($C460),"",IF(NOT($AJ460),"",IF(ISBLANK($D$7),$CI$5,IF(NOT(ISNUMBER($D$7)),$CI$6,""))))</f>
        <v/>
      </c>
      <c r="CJ460" s="74" t="str">
        <f aca="false">IF(ISBLANK($C460),"",OR($AL460="",$AM460="",$AN460=""))</f>
        <v/>
      </c>
      <c r="CK460" s="74" t="str">
        <f aca="false">IF(ISBLANK($C460),"",AND($AJ460,$AX460=""))</f>
        <v/>
      </c>
      <c r="CL460" s="74" t="str">
        <f aca="false">IF(ISBLANK($C460),"",AND($AJ460,$AY460=""))</f>
        <v/>
      </c>
      <c r="CM460" s="74" t="str">
        <f aca="false">IF(ISBLANK($C460),"",AND($AJ460,$AZ460=""))</f>
        <v/>
      </c>
      <c r="CN460" s="74" t="str">
        <f aca="false">IF(ISBLANK($C460),"",AND($AJ460,$BC460=""))</f>
        <v/>
      </c>
      <c r="CO460" s="74" t="str">
        <f aca="false">IF(ISBLANK($C460),"",AND($AJ460,$BF460=""))</f>
        <v/>
      </c>
      <c r="CP460" s="75"/>
      <c r="CQ460" s="76"/>
      <c r="CR460" s="79" t="str">
        <f aca="false">IF(ISBLANK($C460),"",IF($BH460=Constants!$B$8,$CI460,""))</f>
        <v/>
      </c>
      <c r="CS460" s="76" t="str">
        <f aca="false">IF(ISBLANK($C460),"",IF($BH460&lt;&gt;Constants!$B$4,"",$BK460+$BL460))</f>
        <v/>
      </c>
      <c r="CT460" s="78" t="str">
        <f aca="false">IF(ISBLANK($C460),"",IF($BH460&lt;&gt;Constants!$B$4,"",$BM460+$BN460+$BO460))</f>
        <v/>
      </c>
      <c r="CU460" s="78" t="str">
        <f aca="false">IF(ISBLANK($C460),"",IF($BH460&lt;&gt;Constants!$B$4,"",$BP460))</f>
        <v/>
      </c>
      <c r="CV460" s="78" t="str">
        <f aca="false">IF(ISBLANK($C460),"",IF($BH460&lt;&gt;Constants!$B$4,"",$BQ460+$BR460))</f>
        <v/>
      </c>
      <c r="CW460" s="78" t="str">
        <f aca="false">IF(ISBLANK($C460),"",IF($BH460&lt;&gt;Constants!$B$4,"",$BS460))</f>
        <v/>
      </c>
      <c r="CX460" s="78" t="str">
        <f aca="false">IF(ISBLANK($C460),"",IF($BH460&lt;&gt;Constants!$B$4,"",-$BZ460))</f>
        <v/>
      </c>
      <c r="CY460" s="79" t="str">
        <f aca="false">IF(ISBLANK($C460),"",$CA460)</f>
        <v/>
      </c>
      <c r="CZ460" s="80" t="str">
        <f aca="false">IF(ISBLANK($C460),"",$BI460)</f>
        <v/>
      </c>
      <c r="DA460" s="78" t="str">
        <f aca="false">IF(ISBLANK($C460),"",$CH460)</f>
        <v/>
      </c>
      <c r="DB460" s="78" t="str">
        <f aca="false">IF(ISBLANK($C460),"",$CG460)</f>
        <v/>
      </c>
      <c r="DC460" s="81" t="str">
        <f aca="false">IF(ISBLANK($C460),"",IFERROR(_xlfn.SWITCH($DB460,Constants!$B$7,COUNTA($C$9:$C$508)+2,Constants!$B$6,COUNTA($C$9:$C$508)+1,Constants!$B$5,COUNTA($C$9:$C$508)),$DB460))</f>
        <v/>
      </c>
      <c r="DD460" s="7"/>
      <c r="DE460" s="82" t="n">
        <f aca="false">IF(OR(ISNUMBER($DB460),$DB460=Constants!$B$7,$DB460=Constants!$B$5,$DB460=Constants!$B$6),1,0)</f>
        <v>0</v>
      </c>
      <c r="DF460" s="82" t="n">
        <v>452</v>
      </c>
      <c r="DG460" s="82" t="str">
        <f aca="false">IF(ISBLANK($C460),"",IF(ISNUMBER($DC460),$DC460+ROW($B460)/1000,""))</f>
        <v/>
      </c>
      <c r="DH460" s="82" t="str">
        <f aca="false">IF(ISNUMBER($DG460),RANK($DG460,$DG$9:$DG$508,1),"")</f>
        <v/>
      </c>
      <c r="DI460" s="82" t="str">
        <f aca="false">IF(ISBLANK($C460),"",$B460)</f>
        <v/>
      </c>
      <c r="DJ460" s="82" t="str">
        <f aca="false">IF(ISBLANK($C460),"",$C460)</f>
        <v/>
      </c>
      <c r="DK460" s="82" t="str">
        <f aca="false">IF(ISBLANK($C460),"",$D460)</f>
        <v/>
      </c>
      <c r="DL460" s="83" t="str">
        <f aca="false">$CZ460</f>
        <v/>
      </c>
      <c r="DM460" s="84" t="str">
        <f aca="false">$CY460</f>
        <v/>
      </c>
      <c r="DN460" s="82" t="str">
        <f aca="false">IF(ISBLANK($C460),"",$DB460)</f>
        <v/>
      </c>
      <c r="DO460" s="85" t="str">
        <f aca="false">IF($DF460&gt;$DE$8,"",VLOOKUP($DF460,$DH$9:$DN$508,7,FALSE()))</f>
        <v/>
      </c>
      <c r="DP460" s="86" t="str">
        <f aca="false">IF($DF460&gt;$DE$8,"",VLOOKUP($DF460,$DH$9:$DN$508,2,FALSE()))</f>
        <v/>
      </c>
      <c r="DQ460" s="86" t="str">
        <f aca="false">IF($DF460&gt;$DE$8,"",VLOOKUP($DF460,$DH$9:$DN$508,3,FALSE()))</f>
        <v/>
      </c>
      <c r="DR460" s="86" t="str">
        <f aca="false">IF($DF460&gt;$DE$8,"",VLOOKUP($DF460,$DH$9:$DN$508,4,FALSE()))</f>
        <v/>
      </c>
      <c r="DS460" s="86" t="str">
        <f aca="false">IF($DF460&gt;$DE$8,"",VLOOKUP($DF460,$DH$9:$DN$508,5,FALSE()))</f>
        <v/>
      </c>
      <c r="DT460" s="87" t="str">
        <f aca="false">IF($DF460&gt;$DE$8,"",VLOOKUP($DF460,$DH$9:$DN$508,6,FALSE()))</f>
        <v/>
      </c>
      <c r="DU460" s="62"/>
    </row>
    <row r="461" customFormat="false" ht="15.75" hidden="false" customHeight="false" outlineLevel="0" collapsed="false">
      <c r="A461" s="7"/>
      <c r="B461" s="64"/>
      <c r="C461" s="65"/>
      <c r="D461" s="123"/>
      <c r="E461" s="88"/>
      <c r="F461" s="134"/>
      <c r="G461" s="88"/>
      <c r="H461" s="134"/>
      <c r="I461" s="119"/>
      <c r="J461" s="119"/>
      <c r="K461" s="119"/>
      <c r="L461" s="88"/>
      <c r="M461" s="88"/>
      <c r="N461" s="88"/>
      <c r="O461" s="134"/>
      <c r="P461" s="88"/>
      <c r="Q461" s="88"/>
      <c r="R461" s="88"/>
      <c r="S461" s="88"/>
      <c r="T461" s="134"/>
      <c r="U461" s="88"/>
      <c r="V461" s="70"/>
      <c r="W461" s="88"/>
      <c r="X461" s="88"/>
      <c r="Y461" s="70"/>
      <c r="Z461" s="70"/>
      <c r="AA461" s="88"/>
      <c r="AB461" s="88"/>
      <c r="AC461" s="71"/>
      <c r="AD461" s="88"/>
      <c r="AE461" s="73"/>
      <c r="AF461" s="74"/>
      <c r="AG461" s="74"/>
      <c r="AH461" s="74" t="str">
        <f aca="false">IF(ISBLANK($C461),"",IF($E461=Constants!$B$2,TRUE(),IF($E461=Constants!$B$3,FALSE(),TRUE())))</f>
        <v/>
      </c>
      <c r="AI461" s="74" t="str">
        <f aca="false">IF(ISBLANK($C461),"",IF($F461=Constants!$B$2,TRUE(),IF($F461=Constants!$B$3,FALSE(),FALSE())))</f>
        <v/>
      </c>
      <c r="AJ461" s="74" t="str">
        <f aca="false">IF(ISBLANK($C461),"",IF($G461=Constants!$B$2,TRUE(),IF($G461=Constants!$B$3,FALSE(),TRUE())))</f>
        <v/>
      </c>
      <c r="AK461" s="74" t="str">
        <f aca="false">IF(ISBLANK($C461),"",IF($H461=Constants!$B$2,TRUE(),IF($H461=Constants!$B$3,FALSE(),TRUE())))</f>
        <v/>
      </c>
      <c r="AL461" s="74" t="str">
        <f aca="false">IF(ISBLANK($C461),"",IF(ISNUMBER($I461),IF($I461&gt;=0,$I461,""),""))</f>
        <v/>
      </c>
      <c r="AM461" s="74" t="str">
        <f aca="false">IF(ISBLANK($C461),"",IF(ISNUMBER($J461),IF($J461&gt;=0,$J461,""),""))</f>
        <v/>
      </c>
      <c r="AN461" s="74" t="str">
        <f aca="false">IF(ISBLANK($C461),"",IF(ISNUMBER($K461),IF($K461&gt;=0,$K461,""),""))</f>
        <v/>
      </c>
      <c r="AO461" s="74" t="str">
        <f aca="false">IF(ISBLANK($C461),"",IF($L461=Constants!$B$2,TRUE(),IF($L461=Constants!$B$3,FALSE(),TRUE())))</f>
        <v/>
      </c>
      <c r="AP461" s="74" t="str">
        <f aca="false">IF(ISBLANK($C461),"",IF($M461=Constants!$B$2,TRUE(),IF($M461=Constants!$B$3,FALSE(),TRUE())))</f>
        <v/>
      </c>
      <c r="AQ461" s="74" t="str">
        <f aca="false">IF(ISBLANK($C461),"",IF($N461=Constants!$B$2,TRUE(),IF($N461=Constants!$B$3,FALSE(),FALSE())))</f>
        <v/>
      </c>
      <c r="AR461" s="74" t="str">
        <f aca="false">IF(ISBLANK($C461),"",IF($O461=Constants!$B$2,TRUE(),IF($O461=Constants!$B$3,FALSE(),TRUE())))</f>
        <v/>
      </c>
      <c r="AS461" s="74" t="str">
        <f aca="false">IF(ISBLANK($C461),"",IF($P461=Constants!$B$2,TRUE(),IF($P461=Constants!$B$3,FALSE(),FALSE())))</f>
        <v/>
      </c>
      <c r="AT461" s="74" t="str">
        <f aca="false">IF(ISBLANK($C461),"",IF($Q461=Constants!$B$2,TRUE(),IF($Q461=Constants!$B$3,FALSE(),FALSE())))</f>
        <v/>
      </c>
      <c r="AU461" s="74" t="str">
        <f aca="false">IF(ISBLANK($C461),"",IF($R461=Constants!$B$2,TRUE(),IF($R461=Constants!$B$3,FALSE(),FALSE())))</f>
        <v/>
      </c>
      <c r="AV461" s="74" t="str">
        <f aca="false">IF(ISBLANK($C461),"",IF($S461=Constants!$B$2,TRUE(),IF($S461=Constants!$B$3,FALSE(),FALSE())))</f>
        <v/>
      </c>
      <c r="AW461" s="74" t="str">
        <f aca="false">IF(ISBLANK($C461),"",IF($T461=Constants!$B$2,TRUE(),IF($T461=Constants!$B$3,FALSE(),FALSE())))</f>
        <v/>
      </c>
      <c r="AX461" s="74" t="str">
        <f aca="false">IF(ISBLANK($C461),"",IF(OR($U461&amp;""="1",$U461&amp;""="2",$U461&amp;""="3",$U461&amp;""="4"),VALUE($U461&amp;""),IF($U461=Constants!$B$12,Constants!$B$12,"")))</f>
        <v/>
      </c>
      <c r="AY461" s="74" t="str">
        <f aca="false">IF(ISBLANK($C461),"",IF(ISBLANK($V461),0,IF(ISNUMBER($V461),IF(AND($V461&gt;=0,$V461&lt;=Constants!$B$21,$V461=INT($V461)),$V461,""),"")))</f>
        <v/>
      </c>
      <c r="AZ461" s="74" t="str">
        <f aca="false">IF(ISBLANK($C461),"",IF(ISBLANK($W461),0,IF(ISNUMBER($W461),IF($W461&gt;=0,$W461,""),"")))</f>
        <v/>
      </c>
      <c r="BA461" s="74" t="str">
        <f aca="false">IF(ISBLANK($C461),"",IF($X461=Constants!$B$2,TRUE(),IF($X461=Constants!$B$3,FALSE(),TRUE())))</f>
        <v/>
      </c>
      <c r="BB461" s="74" t="str">
        <f aca="false">IF(ISBLANK($C461),"",IF($Y461=Constants!$B$2,TRUE(),IF($Y461=Constants!$B$3,FALSE(),FALSE())))</f>
        <v/>
      </c>
      <c r="BC461" s="74" t="str">
        <f aca="false">IF(ISBLANK($C461),"",IF(ISBLANK($Z461),0,IF(ISNUMBER($Z461),IF(AND($Z461&gt;=0,$Z461&lt;=Constants!$B$35,$Z461=INT($Z461)),$Z461,""),"")))</f>
        <v/>
      </c>
      <c r="BD461" s="74" t="str">
        <f aca="false">IF(ISBLANK($C461),"",IF($AA461=Constants!$B$2,TRUE(),IF($AA461=Constants!$B$3,FALSE(),TRUE())))</f>
        <v/>
      </c>
      <c r="BE461" s="74" t="str">
        <f aca="false">IF(ISBLANK($C461),"",IF($AB461=Constants!$B$2,TRUE(),IF($AB461=Constants!$B$3,FALSE(),TRUE())))</f>
        <v/>
      </c>
      <c r="BF461" s="74" t="str">
        <f aca="false">IF(ISBLANK($C461),"",IF(ISNUMBER($AC461),IF($AC461&gt;=0,$AC461,""),""))</f>
        <v/>
      </c>
      <c r="BG461" s="74" t="str">
        <f aca="false">IF(ISBLANK($C461),"",IF($AD461=Constants!$B$2,TRUE(),IF($AD461=Constants!$B$3,FALSE(),FALSE())))</f>
        <v/>
      </c>
      <c r="BH461" s="73" t="str">
        <f aca="false">IF(ISBLANK($C461),"",IF($BG461,Constants!$B$7,IF(COUNTA($E461:$AC461)=0,Constants!$B$6,IF(OR(COUNTA($G461:$AC461)=0,NOT($AK461),$AQ461),Constants!$B$5,IF(OR($CI461&lt;&gt;"",$CJ461,$CK461,$CL461,$CM461,$CN461,$CO461),Constants!$B$8,Constants!$B$4)))))</f>
        <v/>
      </c>
      <c r="BI461" s="74" t="str">
        <f aca="false">IF(ISBLANK($C461),"",IF($BH461&lt;&gt;Constants!$B$4,$BH461,IF(OR(NOT($AH461),NOT($AJ461),NOT($AR461)),Constants!$B$11,IF(OR(NOT($AP461),MAX($AL461,$AM461,$AN461)&gt;Constants!$B$30),Constants!$B$10,Constants!$B$9))))</f>
        <v/>
      </c>
      <c r="BJ461" s="74" t="str">
        <f aca="false">IF($BH461&lt;&gt;Constants!$B$4,"",IF(NOT($AJ461),0,MIN(Constants!$B$35,$BC461)))</f>
        <v/>
      </c>
      <c r="BK461" s="74" t="str">
        <f aca="false">IF($BH461&lt;&gt;Constants!$B$4,"",IF(NOT($AJ461),0,IF($AT461,Constants!$B$18,IF($AS461,Constants!$B$17,0))))</f>
        <v/>
      </c>
      <c r="BL461" s="74" t="str">
        <f aca="false">IF($BH461&lt;&gt;Constants!$B$4,"",IF(NOT($AJ461),0,Constants!$B$19*($AI461+$AU461+$AV461+$AW461)))</f>
        <v/>
      </c>
      <c r="BM461" s="74" t="str">
        <f aca="false">IF($BH461&lt;&gt;Constants!$B$4,"",IF(OR(NOT($AJ461),NOT(ISNUMBER($AX461))),0,CHOOSE($AX461,Constants!$B$13,Constants!$B$14,Constants!$B$15,Constants!$B$16)))</f>
        <v/>
      </c>
      <c r="BN461" s="74" t="str">
        <f aca="false">IF($BH461&lt;&gt;Constants!$B$4,"",IF(NOT($AJ461),0,Constants!$B$20*$AY461))</f>
        <v/>
      </c>
      <c r="BO461" s="74" t="str">
        <f aca="false">IF($BH461&lt;&gt;Constants!$B$4,"",IF(AND($AJ461,$BA461,$BB461),Constants!$B$22,0))</f>
        <v/>
      </c>
      <c r="BP461" s="74" t="str">
        <f aca="false">IF($BH461&lt;&gt;Constants!$B$4,"",IF(OR(NOT($AJ461),NOT($BA461)),0,IF($BF461&gt;=2*$AF$9,0,Constants!$B$23*INT(ROUND(MIN($BF461,$AF$9),6)))))</f>
        <v/>
      </c>
      <c r="BQ461" s="74" t="str">
        <f aca="false">IF($BH461&lt;&gt;Constants!$B$4,"",IF(NOT($AJ461),0,Constants!$B$24*INT(ROUND(MIN($AZ461,$AF$9),6))))</f>
        <v/>
      </c>
      <c r="BR461" s="74" t="str">
        <f aca="false">IF($BH461&lt;&gt;Constants!$B$4,"",IF(AND($AJ461,$BJ461=0),Constants!$B$25,0))</f>
        <v/>
      </c>
      <c r="BS461" s="74" t="str">
        <f aca="false">IF($BH461&lt;&gt;Constants!$B$4,"",MIN(Constants!$B$29,MAX(0,Constants!$B$27*Constants!$B$28*INT(ROUND((Constants!$B$26-$AL461)/Constants!$B$28,6))))+MIN(Constants!$B$29,MAX(0,Constants!$B$27*Constants!$B$28*INT(ROUND((Constants!$B$26-$AM461)/Constants!$B$28,6))))+MIN(Constants!$B$29,MAX(0,Constants!$B$27*Constants!$B$28*INT(ROUND((Constants!$B$26-$AN461)/Constants!$B$28,6)))))</f>
        <v/>
      </c>
      <c r="BT461" s="74" t="str">
        <f aca="false">IF($BH461&lt;&gt;Constants!$B$4,"",IF(NOT($AJ461),0,Constants!$B$31*INT(ROUND(MAX(0,MIN($BF461,2*$AF$9)-$AF$9),6))))</f>
        <v/>
      </c>
      <c r="BU461" s="74" t="str">
        <f aca="false">IF($BH461&lt;&gt;Constants!$B$4,"",Constants!$B$32*(($AL461&gt;Constants!$B$26)+($AM461&gt;Constants!$B$26)+($AN461&gt;Constants!$B$26)))</f>
        <v/>
      </c>
      <c r="BV461" s="74" t="str">
        <f aca="false">IF($BH461&lt;&gt;Constants!$B$4,"",IF(OR(NOT($AJ461),$AO461),0,Constants!$B$33))</f>
        <v/>
      </c>
      <c r="BW461" s="74" t="str">
        <f aca="false">IF($BH461&lt;&gt;Constants!$B$4,"",Constants!$B$34*$BJ461)</f>
        <v/>
      </c>
      <c r="BX461" s="74" t="str">
        <f aca="false">IF($BH461&lt;&gt;Constants!$B$4,"",IF(OR(NOT($AJ461),$BE461),0,Constants!$B$36))</f>
        <v/>
      </c>
      <c r="BY461" s="74" t="str">
        <f aca="false">IF($BH461&lt;&gt;Constants!$B$4,"",IF(OR(NOT($AJ461),$BD461),0,Constants!$B$37))</f>
        <v/>
      </c>
      <c r="BZ461" s="74" t="str">
        <f aca="false">IF($BH461&lt;&gt;Constants!$B$4,"",SUM($BT461:$BY461))</f>
        <v/>
      </c>
      <c r="CA461" s="74" t="str">
        <f aca="false">IF(ISBLANK($C461),"",IF($BH461&lt;&gt;Constants!$B$4,$BH461,SUM($BK461:$BS461)-$BZ461))</f>
        <v/>
      </c>
      <c r="CB461" s="74" t="str">
        <f aca="false">IF(ISBLANK($C461),"",IF($BH461&lt;&gt;Constants!$B$4,$BH461,RANK($CA461,$CA$9:$CA$508)))</f>
        <v/>
      </c>
      <c r="CC461" s="74" t="str">
        <f aca="false">IF(ISBLANK($C461),"",IF($BH461&lt;&gt;Constants!$B$4,$BH461,COUNTIFS($BI$9:$BI$508,"&lt;"&amp;$BI461)+COUNTIFS($BI$9:$BI$508,$BI461,$CB$9:$CB$508,"&lt;"&amp;$CB461)+1))</f>
        <v/>
      </c>
      <c r="CD461" s="74" t="str">
        <f aca="false">IF(ISBLANK($C461),"",IF($BH461&lt;&gt;Constants!$B$4,$BH461,RANK($BZ461,$BZ$9:$BZ$508,1)))</f>
        <v/>
      </c>
      <c r="CE461" s="74" t="str">
        <f aca="false">IF($BH461&lt;&gt;Constants!$B$4,"",$AL461+$AM461+$AN461)</f>
        <v/>
      </c>
      <c r="CF461" s="74" t="str">
        <f aca="false">IF(ISBLANK($C461),"",IF($BH461&lt;&gt;Constants!$B$4,$BH461,RANK($CE461,$CE$9:$CE$508,1)))</f>
        <v/>
      </c>
      <c r="CG461" s="74" t="str">
        <f aca="false">IF(ISBLANK($C461),"",IF($BH461&lt;&gt;Constants!$B$4,$BH461,COUNTIFS($BI$9:$BI$508,"&lt;"&amp;$BI461)+COUNTIFS($BI$9:$BI$508,$BI461,$CB$9:$CB$508,"&lt;"&amp;$CB461)+COUNTIFS($BI$9:$BI$508,$BI461,$CB$9:$CB$508,$CB461,$CD$9:$CD$508,"&lt;"&amp;$CD461)+COUNTIFS($BI$9:$BI$508,$BI461,$CB$9:$CB$508,$CB461,$CD$9:$CD$508,$CD461,$CF$9:$CF$508,"&lt;"&amp;$CF461)+1))</f>
        <v/>
      </c>
      <c r="CH461" s="74" t="str">
        <f aca="false">IF(ISBLANK($C461),"",IF($BH461&lt;&gt;Constants!$B$4,$BH461,$CC461-$CG461))</f>
        <v/>
      </c>
      <c r="CI461" s="74" t="str">
        <f aca="false">IF(ISBLANK($C461),"",IF(NOT($AJ461),"",IF(ISBLANK($D$7),$CI$5,IF(NOT(ISNUMBER($D$7)),$CI$6,""))))</f>
        <v/>
      </c>
      <c r="CJ461" s="74" t="str">
        <f aca="false">IF(ISBLANK($C461),"",OR($AL461="",$AM461="",$AN461=""))</f>
        <v/>
      </c>
      <c r="CK461" s="74" t="str">
        <f aca="false">IF(ISBLANK($C461),"",AND($AJ461,$AX461=""))</f>
        <v/>
      </c>
      <c r="CL461" s="74" t="str">
        <f aca="false">IF(ISBLANK($C461),"",AND($AJ461,$AY461=""))</f>
        <v/>
      </c>
      <c r="CM461" s="74" t="str">
        <f aca="false">IF(ISBLANK($C461),"",AND($AJ461,$AZ461=""))</f>
        <v/>
      </c>
      <c r="CN461" s="74" t="str">
        <f aca="false">IF(ISBLANK($C461),"",AND($AJ461,$BC461=""))</f>
        <v/>
      </c>
      <c r="CO461" s="74" t="str">
        <f aca="false">IF(ISBLANK($C461),"",AND($AJ461,$BF461=""))</f>
        <v/>
      </c>
      <c r="CP461" s="75"/>
      <c r="CQ461" s="76"/>
      <c r="CR461" s="79" t="str">
        <f aca="false">IF(ISBLANK($C461),"",IF($BH461=Constants!$B$8,$CI461,""))</f>
        <v/>
      </c>
      <c r="CS461" s="76" t="str">
        <f aca="false">IF(ISBLANK($C461),"",IF($BH461&lt;&gt;Constants!$B$4,"",$BK461+$BL461))</f>
        <v/>
      </c>
      <c r="CT461" s="78" t="str">
        <f aca="false">IF(ISBLANK($C461),"",IF($BH461&lt;&gt;Constants!$B$4,"",$BM461+$BN461+$BO461))</f>
        <v/>
      </c>
      <c r="CU461" s="78" t="str">
        <f aca="false">IF(ISBLANK($C461),"",IF($BH461&lt;&gt;Constants!$B$4,"",$BP461))</f>
        <v/>
      </c>
      <c r="CV461" s="78" t="str">
        <f aca="false">IF(ISBLANK($C461),"",IF($BH461&lt;&gt;Constants!$B$4,"",$BQ461+$BR461))</f>
        <v/>
      </c>
      <c r="CW461" s="78" t="str">
        <f aca="false">IF(ISBLANK($C461),"",IF($BH461&lt;&gt;Constants!$B$4,"",$BS461))</f>
        <v/>
      </c>
      <c r="CX461" s="78" t="str">
        <f aca="false">IF(ISBLANK($C461),"",IF($BH461&lt;&gt;Constants!$B$4,"",-$BZ461))</f>
        <v/>
      </c>
      <c r="CY461" s="79" t="str">
        <f aca="false">IF(ISBLANK($C461),"",$CA461)</f>
        <v/>
      </c>
      <c r="CZ461" s="80" t="str">
        <f aca="false">IF(ISBLANK($C461),"",$BI461)</f>
        <v/>
      </c>
      <c r="DA461" s="78" t="str">
        <f aca="false">IF(ISBLANK($C461),"",$CH461)</f>
        <v/>
      </c>
      <c r="DB461" s="78" t="str">
        <f aca="false">IF(ISBLANK($C461),"",$CG461)</f>
        <v/>
      </c>
      <c r="DC461" s="81" t="str">
        <f aca="false">IF(ISBLANK($C461),"",IFERROR(_xlfn.SWITCH($DB461,Constants!$B$7,COUNTA($C$9:$C$508)+2,Constants!$B$6,COUNTA($C$9:$C$508)+1,Constants!$B$5,COUNTA($C$9:$C$508)),$DB461))</f>
        <v/>
      </c>
      <c r="DD461" s="7"/>
      <c r="DE461" s="82" t="n">
        <f aca="false">IF(OR(ISNUMBER($DB461),$DB461=Constants!$B$7,$DB461=Constants!$B$5,$DB461=Constants!$B$6),1,0)</f>
        <v>0</v>
      </c>
      <c r="DF461" s="82" t="n">
        <v>453</v>
      </c>
      <c r="DG461" s="82" t="str">
        <f aca="false">IF(ISBLANK($C461),"",IF(ISNUMBER($DC461),$DC461+ROW($B461)/1000,""))</f>
        <v/>
      </c>
      <c r="DH461" s="82" t="str">
        <f aca="false">IF(ISNUMBER($DG461),RANK($DG461,$DG$9:$DG$508,1),"")</f>
        <v/>
      </c>
      <c r="DI461" s="82" t="str">
        <f aca="false">IF(ISBLANK($C461),"",$B461)</f>
        <v/>
      </c>
      <c r="DJ461" s="82" t="str">
        <f aca="false">IF(ISBLANK($C461),"",$C461)</f>
        <v/>
      </c>
      <c r="DK461" s="82" t="str">
        <f aca="false">IF(ISBLANK($C461),"",$D461)</f>
        <v/>
      </c>
      <c r="DL461" s="83" t="str">
        <f aca="false">$CZ461</f>
        <v/>
      </c>
      <c r="DM461" s="84" t="str">
        <f aca="false">$CY461</f>
        <v/>
      </c>
      <c r="DN461" s="82" t="str">
        <f aca="false">IF(ISBLANK($C461),"",$DB461)</f>
        <v/>
      </c>
      <c r="DO461" s="85" t="str">
        <f aca="false">IF($DF461&gt;$DE$8,"",VLOOKUP($DF461,$DH$9:$DN$508,7,FALSE()))</f>
        <v/>
      </c>
      <c r="DP461" s="86" t="str">
        <f aca="false">IF($DF461&gt;$DE$8,"",VLOOKUP($DF461,$DH$9:$DN$508,2,FALSE()))</f>
        <v/>
      </c>
      <c r="DQ461" s="86" t="str">
        <f aca="false">IF($DF461&gt;$DE$8,"",VLOOKUP($DF461,$DH$9:$DN$508,3,FALSE()))</f>
        <v/>
      </c>
      <c r="DR461" s="86" t="str">
        <f aca="false">IF($DF461&gt;$DE$8,"",VLOOKUP($DF461,$DH$9:$DN$508,4,FALSE()))</f>
        <v/>
      </c>
      <c r="DS461" s="86" t="str">
        <f aca="false">IF($DF461&gt;$DE$8,"",VLOOKUP($DF461,$DH$9:$DN$508,5,FALSE()))</f>
        <v/>
      </c>
      <c r="DT461" s="87" t="str">
        <f aca="false">IF($DF461&gt;$DE$8,"",VLOOKUP($DF461,$DH$9:$DN$508,6,FALSE()))</f>
        <v/>
      </c>
      <c r="DU461" s="62"/>
    </row>
    <row r="462" customFormat="false" ht="15.75" hidden="false" customHeight="false" outlineLevel="0" collapsed="false">
      <c r="A462" s="7"/>
      <c r="B462" s="90"/>
      <c r="C462" s="91"/>
      <c r="D462" s="126"/>
      <c r="E462" s="130"/>
      <c r="F462" s="135"/>
      <c r="G462" s="130"/>
      <c r="H462" s="135"/>
      <c r="I462" s="131"/>
      <c r="J462" s="131"/>
      <c r="K462" s="131"/>
      <c r="L462" s="130"/>
      <c r="M462" s="130"/>
      <c r="N462" s="130"/>
      <c r="O462" s="135"/>
      <c r="P462" s="130"/>
      <c r="Q462" s="130"/>
      <c r="R462" s="130"/>
      <c r="S462" s="130"/>
      <c r="T462" s="135"/>
      <c r="U462" s="130"/>
      <c r="V462" s="96"/>
      <c r="W462" s="130"/>
      <c r="X462" s="130"/>
      <c r="Y462" s="96"/>
      <c r="Z462" s="96"/>
      <c r="AA462" s="130"/>
      <c r="AB462" s="130"/>
      <c r="AC462" s="97"/>
      <c r="AD462" s="130"/>
      <c r="AE462" s="99"/>
      <c r="AF462" s="100"/>
      <c r="AG462" s="100"/>
      <c r="AH462" s="100" t="str">
        <f aca="false">IF(ISBLANK($C462),"",IF($E462=Constants!$B$2,TRUE(),IF($E462=Constants!$B$3,FALSE(),TRUE())))</f>
        <v/>
      </c>
      <c r="AI462" s="100" t="str">
        <f aca="false">IF(ISBLANK($C462),"",IF($F462=Constants!$B$2,TRUE(),IF($F462=Constants!$B$3,FALSE(),FALSE())))</f>
        <v/>
      </c>
      <c r="AJ462" s="100" t="str">
        <f aca="false">IF(ISBLANK($C462),"",IF($G462=Constants!$B$2,TRUE(),IF($G462=Constants!$B$3,FALSE(),TRUE())))</f>
        <v/>
      </c>
      <c r="AK462" s="100" t="str">
        <f aca="false">IF(ISBLANK($C462),"",IF($H462=Constants!$B$2,TRUE(),IF($H462=Constants!$B$3,FALSE(),TRUE())))</f>
        <v/>
      </c>
      <c r="AL462" s="100" t="str">
        <f aca="false">IF(ISBLANK($C462),"",IF(ISNUMBER($I462),IF($I462&gt;=0,$I462,""),""))</f>
        <v/>
      </c>
      <c r="AM462" s="100" t="str">
        <f aca="false">IF(ISBLANK($C462),"",IF(ISNUMBER($J462),IF($J462&gt;=0,$J462,""),""))</f>
        <v/>
      </c>
      <c r="AN462" s="100" t="str">
        <f aca="false">IF(ISBLANK($C462),"",IF(ISNUMBER($K462),IF($K462&gt;=0,$K462,""),""))</f>
        <v/>
      </c>
      <c r="AO462" s="100" t="str">
        <f aca="false">IF(ISBLANK($C462),"",IF($L462=Constants!$B$2,TRUE(),IF($L462=Constants!$B$3,FALSE(),TRUE())))</f>
        <v/>
      </c>
      <c r="AP462" s="100" t="str">
        <f aca="false">IF(ISBLANK($C462),"",IF($M462=Constants!$B$2,TRUE(),IF($M462=Constants!$B$3,FALSE(),TRUE())))</f>
        <v/>
      </c>
      <c r="AQ462" s="100" t="str">
        <f aca="false">IF(ISBLANK($C462),"",IF($N462=Constants!$B$2,TRUE(),IF($N462=Constants!$B$3,FALSE(),FALSE())))</f>
        <v/>
      </c>
      <c r="AR462" s="100" t="str">
        <f aca="false">IF(ISBLANK($C462),"",IF($O462=Constants!$B$2,TRUE(),IF($O462=Constants!$B$3,FALSE(),TRUE())))</f>
        <v/>
      </c>
      <c r="AS462" s="100" t="str">
        <f aca="false">IF(ISBLANK($C462),"",IF($P462=Constants!$B$2,TRUE(),IF($P462=Constants!$B$3,FALSE(),FALSE())))</f>
        <v/>
      </c>
      <c r="AT462" s="100" t="str">
        <f aca="false">IF(ISBLANK($C462),"",IF($Q462=Constants!$B$2,TRUE(),IF($Q462=Constants!$B$3,FALSE(),FALSE())))</f>
        <v/>
      </c>
      <c r="AU462" s="100" t="str">
        <f aca="false">IF(ISBLANK($C462),"",IF($R462=Constants!$B$2,TRUE(),IF($R462=Constants!$B$3,FALSE(),FALSE())))</f>
        <v/>
      </c>
      <c r="AV462" s="100" t="str">
        <f aca="false">IF(ISBLANK($C462),"",IF($S462=Constants!$B$2,TRUE(),IF($S462=Constants!$B$3,FALSE(),FALSE())))</f>
        <v/>
      </c>
      <c r="AW462" s="100" t="str">
        <f aca="false">IF(ISBLANK($C462),"",IF($T462=Constants!$B$2,TRUE(),IF($T462=Constants!$B$3,FALSE(),FALSE())))</f>
        <v/>
      </c>
      <c r="AX462" s="100" t="str">
        <f aca="false">IF(ISBLANK($C462),"",IF(OR($U462&amp;""="1",$U462&amp;""="2",$U462&amp;""="3",$U462&amp;""="4"),VALUE($U462&amp;""),IF($U462=Constants!$B$12,Constants!$B$12,"")))</f>
        <v/>
      </c>
      <c r="AY462" s="100" t="str">
        <f aca="false">IF(ISBLANK($C462),"",IF(ISBLANK($V462),0,IF(ISNUMBER($V462),IF(AND($V462&gt;=0,$V462&lt;=Constants!$B$21,$V462=INT($V462)),$V462,""),"")))</f>
        <v/>
      </c>
      <c r="AZ462" s="100" t="str">
        <f aca="false">IF(ISBLANK($C462),"",IF(ISBLANK($W462),0,IF(ISNUMBER($W462),IF($W462&gt;=0,$W462,""),"")))</f>
        <v/>
      </c>
      <c r="BA462" s="100" t="str">
        <f aca="false">IF(ISBLANK($C462),"",IF($X462=Constants!$B$2,TRUE(),IF($X462=Constants!$B$3,FALSE(),TRUE())))</f>
        <v/>
      </c>
      <c r="BB462" s="100" t="str">
        <f aca="false">IF(ISBLANK($C462),"",IF($Y462=Constants!$B$2,TRUE(),IF($Y462=Constants!$B$3,FALSE(),FALSE())))</f>
        <v/>
      </c>
      <c r="BC462" s="100" t="str">
        <f aca="false">IF(ISBLANK($C462),"",IF(ISBLANK($Z462),0,IF(ISNUMBER($Z462),IF(AND($Z462&gt;=0,$Z462&lt;=Constants!$B$35,$Z462=INT($Z462)),$Z462,""),"")))</f>
        <v/>
      </c>
      <c r="BD462" s="100" t="str">
        <f aca="false">IF(ISBLANK($C462),"",IF($AA462=Constants!$B$2,TRUE(),IF($AA462=Constants!$B$3,FALSE(),TRUE())))</f>
        <v/>
      </c>
      <c r="BE462" s="100" t="str">
        <f aca="false">IF(ISBLANK($C462),"",IF($AB462=Constants!$B$2,TRUE(),IF($AB462=Constants!$B$3,FALSE(),TRUE())))</f>
        <v/>
      </c>
      <c r="BF462" s="100" t="str">
        <f aca="false">IF(ISBLANK($C462),"",IF(ISNUMBER($AC462),IF($AC462&gt;=0,$AC462,""),""))</f>
        <v/>
      </c>
      <c r="BG462" s="100" t="str">
        <f aca="false">IF(ISBLANK($C462),"",IF($AD462=Constants!$B$2,TRUE(),IF($AD462=Constants!$B$3,FALSE(),FALSE())))</f>
        <v/>
      </c>
      <c r="BH462" s="99" t="str">
        <f aca="false">IF(ISBLANK($C462),"",IF($BG462,Constants!$B$7,IF(COUNTA($E462:$AC462)=0,Constants!$B$6,IF(OR(COUNTA($G462:$AC462)=0,NOT($AK462),$AQ462),Constants!$B$5,IF(OR($CI462&lt;&gt;"",$CJ462,$CK462,$CL462,$CM462,$CN462,$CO462),Constants!$B$8,Constants!$B$4)))))</f>
        <v/>
      </c>
      <c r="BI462" s="100" t="str">
        <f aca="false">IF(ISBLANK($C462),"",IF($BH462&lt;&gt;Constants!$B$4,$BH462,IF(OR(NOT($AH462),NOT($AJ462),NOT($AR462)),Constants!$B$11,IF(OR(NOT($AP462),MAX($AL462,$AM462,$AN462)&gt;Constants!$B$30),Constants!$B$10,Constants!$B$9))))</f>
        <v/>
      </c>
      <c r="BJ462" s="100" t="str">
        <f aca="false">IF($BH462&lt;&gt;Constants!$B$4,"",IF(NOT($AJ462),0,MIN(Constants!$B$35,$BC462)))</f>
        <v/>
      </c>
      <c r="BK462" s="100" t="str">
        <f aca="false">IF($BH462&lt;&gt;Constants!$B$4,"",IF(NOT($AJ462),0,IF($AT462,Constants!$B$18,IF($AS462,Constants!$B$17,0))))</f>
        <v/>
      </c>
      <c r="BL462" s="100" t="str">
        <f aca="false">IF($BH462&lt;&gt;Constants!$B$4,"",IF(NOT($AJ462),0,Constants!$B$19*($AI462+$AU462+$AV462+$AW462)))</f>
        <v/>
      </c>
      <c r="BM462" s="100" t="str">
        <f aca="false">IF($BH462&lt;&gt;Constants!$B$4,"",IF(OR(NOT($AJ462),NOT(ISNUMBER($AX462))),0,CHOOSE($AX462,Constants!$B$13,Constants!$B$14,Constants!$B$15,Constants!$B$16)))</f>
        <v/>
      </c>
      <c r="BN462" s="100" t="str">
        <f aca="false">IF($BH462&lt;&gt;Constants!$B$4,"",IF(NOT($AJ462),0,Constants!$B$20*$AY462))</f>
        <v/>
      </c>
      <c r="BO462" s="100" t="str">
        <f aca="false">IF($BH462&lt;&gt;Constants!$B$4,"",IF(AND($AJ462,$BA462,$BB462),Constants!$B$22,0))</f>
        <v/>
      </c>
      <c r="BP462" s="100" t="str">
        <f aca="false">IF($BH462&lt;&gt;Constants!$B$4,"",IF(OR(NOT($AJ462),NOT($BA462)),0,IF($BF462&gt;=2*$AF$9,0,Constants!$B$23*INT(ROUND(MIN($BF462,$AF$9),6)))))</f>
        <v/>
      </c>
      <c r="BQ462" s="100" t="str">
        <f aca="false">IF($BH462&lt;&gt;Constants!$B$4,"",IF(NOT($AJ462),0,Constants!$B$24*INT(ROUND(MIN($AZ462,$AF$9),6))))</f>
        <v/>
      </c>
      <c r="BR462" s="100" t="str">
        <f aca="false">IF($BH462&lt;&gt;Constants!$B$4,"",IF(AND($AJ462,$BJ462=0),Constants!$B$25,0))</f>
        <v/>
      </c>
      <c r="BS462" s="100" t="str">
        <f aca="false">IF($BH462&lt;&gt;Constants!$B$4,"",MIN(Constants!$B$29,MAX(0,Constants!$B$27*Constants!$B$28*INT(ROUND((Constants!$B$26-$AL462)/Constants!$B$28,6))))+MIN(Constants!$B$29,MAX(0,Constants!$B$27*Constants!$B$28*INT(ROUND((Constants!$B$26-$AM462)/Constants!$B$28,6))))+MIN(Constants!$B$29,MAX(0,Constants!$B$27*Constants!$B$28*INT(ROUND((Constants!$B$26-$AN462)/Constants!$B$28,6)))))</f>
        <v/>
      </c>
      <c r="BT462" s="100" t="str">
        <f aca="false">IF($BH462&lt;&gt;Constants!$B$4,"",IF(NOT($AJ462),0,Constants!$B$31*INT(ROUND(MAX(0,MIN($BF462,2*$AF$9)-$AF$9),6))))</f>
        <v/>
      </c>
      <c r="BU462" s="100" t="str">
        <f aca="false">IF($BH462&lt;&gt;Constants!$B$4,"",Constants!$B$32*(($AL462&gt;Constants!$B$26)+($AM462&gt;Constants!$B$26)+($AN462&gt;Constants!$B$26)))</f>
        <v/>
      </c>
      <c r="BV462" s="100" t="str">
        <f aca="false">IF($BH462&lt;&gt;Constants!$B$4,"",IF(OR(NOT($AJ462),$AO462),0,Constants!$B$33))</f>
        <v/>
      </c>
      <c r="BW462" s="100" t="str">
        <f aca="false">IF($BH462&lt;&gt;Constants!$B$4,"",Constants!$B$34*$BJ462)</f>
        <v/>
      </c>
      <c r="BX462" s="100" t="str">
        <f aca="false">IF($BH462&lt;&gt;Constants!$B$4,"",IF(OR(NOT($AJ462),$BE462),0,Constants!$B$36))</f>
        <v/>
      </c>
      <c r="BY462" s="100" t="str">
        <f aca="false">IF($BH462&lt;&gt;Constants!$B$4,"",IF(OR(NOT($AJ462),$BD462),0,Constants!$B$37))</f>
        <v/>
      </c>
      <c r="BZ462" s="100" t="str">
        <f aca="false">IF($BH462&lt;&gt;Constants!$B$4,"",SUM($BT462:$BY462))</f>
        <v/>
      </c>
      <c r="CA462" s="100" t="str">
        <f aca="false">IF(ISBLANK($C462),"",IF($BH462&lt;&gt;Constants!$B$4,$BH462,SUM($BK462:$BS462)-$BZ462))</f>
        <v/>
      </c>
      <c r="CB462" s="100" t="str">
        <f aca="false">IF(ISBLANK($C462),"",IF($BH462&lt;&gt;Constants!$B$4,$BH462,RANK($CA462,$CA$9:$CA$508)))</f>
        <v/>
      </c>
      <c r="CC462" s="100" t="str">
        <f aca="false">IF(ISBLANK($C462),"",IF($BH462&lt;&gt;Constants!$B$4,$BH462,COUNTIFS($BI$9:$BI$508,"&lt;"&amp;$BI462)+COUNTIFS($BI$9:$BI$508,$BI462,$CB$9:$CB$508,"&lt;"&amp;$CB462)+1))</f>
        <v/>
      </c>
      <c r="CD462" s="100" t="str">
        <f aca="false">IF(ISBLANK($C462),"",IF($BH462&lt;&gt;Constants!$B$4,$BH462,RANK($BZ462,$BZ$9:$BZ$508,1)))</f>
        <v/>
      </c>
      <c r="CE462" s="100" t="str">
        <f aca="false">IF($BH462&lt;&gt;Constants!$B$4,"",$AL462+$AM462+$AN462)</f>
        <v/>
      </c>
      <c r="CF462" s="100" t="str">
        <f aca="false">IF(ISBLANK($C462),"",IF($BH462&lt;&gt;Constants!$B$4,$BH462,RANK($CE462,$CE$9:$CE$508,1)))</f>
        <v/>
      </c>
      <c r="CG462" s="100" t="str">
        <f aca="false">IF(ISBLANK($C462),"",IF($BH462&lt;&gt;Constants!$B$4,$BH462,COUNTIFS($BI$9:$BI$508,"&lt;"&amp;$BI462)+COUNTIFS($BI$9:$BI$508,$BI462,$CB$9:$CB$508,"&lt;"&amp;$CB462)+COUNTIFS($BI$9:$BI$508,$BI462,$CB$9:$CB$508,$CB462,$CD$9:$CD$508,"&lt;"&amp;$CD462)+COUNTIFS($BI$9:$BI$508,$BI462,$CB$9:$CB$508,$CB462,$CD$9:$CD$508,$CD462,$CF$9:$CF$508,"&lt;"&amp;$CF462)+1))</f>
        <v/>
      </c>
      <c r="CH462" s="100" t="str">
        <f aca="false">IF(ISBLANK($C462),"",IF($BH462&lt;&gt;Constants!$B$4,$BH462,$CC462-$CG462))</f>
        <v/>
      </c>
      <c r="CI462" s="100" t="str">
        <f aca="false">IF(ISBLANK($C462),"",IF(NOT($AJ462),"",IF(ISBLANK($D$7),$CI$5,IF(NOT(ISNUMBER($D$7)),$CI$6,""))))</f>
        <v/>
      </c>
      <c r="CJ462" s="100" t="str">
        <f aca="false">IF(ISBLANK($C462),"",OR($AL462="",$AM462="",$AN462=""))</f>
        <v/>
      </c>
      <c r="CK462" s="100" t="str">
        <f aca="false">IF(ISBLANK($C462),"",AND($AJ462,$AX462=""))</f>
        <v/>
      </c>
      <c r="CL462" s="100" t="str">
        <f aca="false">IF(ISBLANK($C462),"",AND($AJ462,$AY462=""))</f>
        <v/>
      </c>
      <c r="CM462" s="100" t="str">
        <f aca="false">IF(ISBLANK($C462),"",AND($AJ462,$AZ462=""))</f>
        <v/>
      </c>
      <c r="CN462" s="100" t="str">
        <f aca="false">IF(ISBLANK($C462),"",AND($AJ462,$BC462=""))</f>
        <v/>
      </c>
      <c r="CO462" s="100" t="str">
        <f aca="false">IF(ISBLANK($C462),"",AND($AJ462,$BF462=""))</f>
        <v/>
      </c>
      <c r="CP462" s="101"/>
      <c r="CQ462" s="102"/>
      <c r="CR462" s="103" t="str">
        <f aca="false">IF(ISBLANK($C462),"",IF($BH462=Constants!$B$8,$CI462,""))</f>
        <v/>
      </c>
      <c r="CS462" s="102" t="str">
        <f aca="false">IF(ISBLANK($C462),"",IF($BH462&lt;&gt;Constants!$B$4,"",$BK462+$BL462))</f>
        <v/>
      </c>
      <c r="CT462" s="104" t="str">
        <f aca="false">IF(ISBLANK($C462),"",IF($BH462&lt;&gt;Constants!$B$4,"",$BM462+$BN462+$BO462))</f>
        <v/>
      </c>
      <c r="CU462" s="104" t="str">
        <f aca="false">IF(ISBLANK($C462),"",IF($BH462&lt;&gt;Constants!$B$4,"",$BP462))</f>
        <v/>
      </c>
      <c r="CV462" s="104" t="str">
        <f aca="false">IF(ISBLANK($C462),"",IF($BH462&lt;&gt;Constants!$B$4,"",$BQ462+$BR462))</f>
        <v/>
      </c>
      <c r="CW462" s="104" t="str">
        <f aca="false">IF(ISBLANK($C462),"",IF($BH462&lt;&gt;Constants!$B$4,"",$BS462))</f>
        <v/>
      </c>
      <c r="CX462" s="104" t="str">
        <f aca="false">IF(ISBLANK($C462),"",IF($BH462&lt;&gt;Constants!$B$4,"",-$BZ462))</f>
        <v/>
      </c>
      <c r="CY462" s="103" t="str">
        <f aca="false">IF(ISBLANK($C462),"",$CA462)</f>
        <v/>
      </c>
      <c r="CZ462" s="105" t="str">
        <f aca="false">IF(ISBLANK($C462),"",$BI462)</f>
        <v/>
      </c>
      <c r="DA462" s="104" t="str">
        <f aca="false">IF(ISBLANK($C462),"",$CH462)</f>
        <v/>
      </c>
      <c r="DB462" s="104" t="str">
        <f aca="false">IF(ISBLANK($C462),"",$CG462)</f>
        <v/>
      </c>
      <c r="DC462" s="106" t="str">
        <f aca="false">IF(ISBLANK($C462),"",IFERROR(_xlfn.SWITCH($DB462,Constants!$B$7,COUNTA($C$9:$C$508)+2,Constants!$B$6,COUNTA($C$9:$C$508)+1,Constants!$B$5,COUNTA($C$9:$C$508)),$DB462))</f>
        <v/>
      </c>
      <c r="DD462" s="7"/>
      <c r="DE462" s="107" t="n">
        <f aca="false">IF(OR(ISNUMBER($DB462),$DB462=Constants!$B$7,$DB462=Constants!$B$5,$DB462=Constants!$B$6),1,0)</f>
        <v>0</v>
      </c>
      <c r="DF462" s="107" t="n">
        <v>454</v>
      </c>
      <c r="DG462" s="107" t="str">
        <f aca="false">IF(ISBLANK($C462),"",IF(ISNUMBER($DC462),$DC462+ROW($B462)/1000,""))</f>
        <v/>
      </c>
      <c r="DH462" s="107" t="str">
        <f aca="false">IF(ISNUMBER($DG462),RANK($DG462,$DG$9:$DG$508,1),"")</f>
        <v/>
      </c>
      <c r="DI462" s="107" t="str">
        <f aca="false">IF(ISBLANK($C462),"",$B462)</f>
        <v/>
      </c>
      <c r="DJ462" s="107" t="str">
        <f aca="false">IF(ISBLANK($C462),"",$C462)</f>
        <v/>
      </c>
      <c r="DK462" s="107" t="str">
        <f aca="false">IF(ISBLANK($C462),"",$D462)</f>
        <v/>
      </c>
      <c r="DL462" s="108" t="str">
        <f aca="false">$CZ462</f>
        <v/>
      </c>
      <c r="DM462" s="109" t="str">
        <f aca="false">$CY462</f>
        <v/>
      </c>
      <c r="DN462" s="107" t="str">
        <f aca="false">IF(ISBLANK($C462),"",$DB462)</f>
        <v/>
      </c>
      <c r="DO462" s="110" t="str">
        <f aca="false">IF($DF462&gt;$DE$8,"",VLOOKUP($DF462,$DH$9:$DN$508,7,FALSE()))</f>
        <v/>
      </c>
      <c r="DP462" s="111" t="str">
        <f aca="false">IF($DF462&gt;$DE$8,"",VLOOKUP($DF462,$DH$9:$DN$508,2,FALSE()))</f>
        <v/>
      </c>
      <c r="DQ462" s="111" t="str">
        <f aca="false">IF($DF462&gt;$DE$8,"",VLOOKUP($DF462,$DH$9:$DN$508,3,FALSE()))</f>
        <v/>
      </c>
      <c r="DR462" s="111" t="str">
        <f aca="false">IF($DF462&gt;$DE$8,"",VLOOKUP($DF462,$DH$9:$DN$508,4,FALSE()))</f>
        <v/>
      </c>
      <c r="DS462" s="111" t="str">
        <f aca="false">IF($DF462&gt;$DE$8,"",VLOOKUP($DF462,$DH$9:$DN$508,5,FALSE()))</f>
        <v/>
      </c>
      <c r="DT462" s="112" t="str">
        <f aca="false">IF($DF462&gt;$DE$8,"",VLOOKUP($DF462,$DH$9:$DN$508,6,FALSE()))</f>
        <v/>
      </c>
      <c r="DU462" s="62"/>
    </row>
    <row r="463" customFormat="false" ht="15.75" hidden="false" customHeight="false" outlineLevel="0" collapsed="false">
      <c r="A463" s="7"/>
      <c r="B463" s="90"/>
      <c r="C463" s="91"/>
      <c r="D463" s="126"/>
      <c r="E463" s="130"/>
      <c r="F463" s="135"/>
      <c r="G463" s="130"/>
      <c r="H463" s="135"/>
      <c r="I463" s="131"/>
      <c r="J463" s="131"/>
      <c r="K463" s="131"/>
      <c r="L463" s="130"/>
      <c r="M463" s="130"/>
      <c r="N463" s="130"/>
      <c r="O463" s="135"/>
      <c r="P463" s="130"/>
      <c r="Q463" s="130"/>
      <c r="R463" s="130"/>
      <c r="S463" s="130"/>
      <c r="T463" s="135"/>
      <c r="U463" s="130"/>
      <c r="V463" s="96"/>
      <c r="W463" s="130"/>
      <c r="X463" s="130"/>
      <c r="Y463" s="96"/>
      <c r="Z463" s="96"/>
      <c r="AA463" s="130"/>
      <c r="AB463" s="130"/>
      <c r="AC463" s="97"/>
      <c r="AD463" s="130"/>
      <c r="AE463" s="99"/>
      <c r="AF463" s="100"/>
      <c r="AG463" s="100"/>
      <c r="AH463" s="100" t="str">
        <f aca="false">IF(ISBLANK($C463),"",IF($E463=Constants!$B$2,TRUE(),IF($E463=Constants!$B$3,FALSE(),TRUE())))</f>
        <v/>
      </c>
      <c r="AI463" s="100" t="str">
        <f aca="false">IF(ISBLANK($C463),"",IF($F463=Constants!$B$2,TRUE(),IF($F463=Constants!$B$3,FALSE(),FALSE())))</f>
        <v/>
      </c>
      <c r="AJ463" s="100" t="str">
        <f aca="false">IF(ISBLANK($C463),"",IF($G463=Constants!$B$2,TRUE(),IF($G463=Constants!$B$3,FALSE(),TRUE())))</f>
        <v/>
      </c>
      <c r="AK463" s="100" t="str">
        <f aca="false">IF(ISBLANK($C463),"",IF($H463=Constants!$B$2,TRUE(),IF($H463=Constants!$B$3,FALSE(),TRUE())))</f>
        <v/>
      </c>
      <c r="AL463" s="100" t="str">
        <f aca="false">IF(ISBLANK($C463),"",IF(ISNUMBER($I463),IF($I463&gt;=0,$I463,""),""))</f>
        <v/>
      </c>
      <c r="AM463" s="100" t="str">
        <f aca="false">IF(ISBLANK($C463),"",IF(ISNUMBER($J463),IF($J463&gt;=0,$J463,""),""))</f>
        <v/>
      </c>
      <c r="AN463" s="100" t="str">
        <f aca="false">IF(ISBLANK($C463),"",IF(ISNUMBER($K463),IF($K463&gt;=0,$K463,""),""))</f>
        <v/>
      </c>
      <c r="AO463" s="100" t="str">
        <f aca="false">IF(ISBLANK($C463),"",IF($L463=Constants!$B$2,TRUE(),IF($L463=Constants!$B$3,FALSE(),TRUE())))</f>
        <v/>
      </c>
      <c r="AP463" s="100" t="str">
        <f aca="false">IF(ISBLANK($C463),"",IF($M463=Constants!$B$2,TRUE(),IF($M463=Constants!$B$3,FALSE(),TRUE())))</f>
        <v/>
      </c>
      <c r="AQ463" s="100" t="str">
        <f aca="false">IF(ISBLANK($C463),"",IF($N463=Constants!$B$2,TRUE(),IF($N463=Constants!$B$3,FALSE(),FALSE())))</f>
        <v/>
      </c>
      <c r="AR463" s="100" t="str">
        <f aca="false">IF(ISBLANK($C463),"",IF($O463=Constants!$B$2,TRUE(),IF($O463=Constants!$B$3,FALSE(),TRUE())))</f>
        <v/>
      </c>
      <c r="AS463" s="100" t="str">
        <f aca="false">IF(ISBLANK($C463),"",IF($P463=Constants!$B$2,TRUE(),IF($P463=Constants!$B$3,FALSE(),FALSE())))</f>
        <v/>
      </c>
      <c r="AT463" s="100" t="str">
        <f aca="false">IF(ISBLANK($C463),"",IF($Q463=Constants!$B$2,TRUE(),IF($Q463=Constants!$B$3,FALSE(),FALSE())))</f>
        <v/>
      </c>
      <c r="AU463" s="100" t="str">
        <f aca="false">IF(ISBLANK($C463),"",IF($R463=Constants!$B$2,TRUE(),IF($R463=Constants!$B$3,FALSE(),FALSE())))</f>
        <v/>
      </c>
      <c r="AV463" s="100" t="str">
        <f aca="false">IF(ISBLANK($C463),"",IF($S463=Constants!$B$2,TRUE(),IF($S463=Constants!$B$3,FALSE(),FALSE())))</f>
        <v/>
      </c>
      <c r="AW463" s="100" t="str">
        <f aca="false">IF(ISBLANK($C463),"",IF($T463=Constants!$B$2,TRUE(),IF($T463=Constants!$B$3,FALSE(),FALSE())))</f>
        <v/>
      </c>
      <c r="AX463" s="100" t="str">
        <f aca="false">IF(ISBLANK($C463),"",IF(OR($U463&amp;""="1",$U463&amp;""="2",$U463&amp;""="3",$U463&amp;""="4"),VALUE($U463&amp;""),IF($U463=Constants!$B$12,Constants!$B$12,"")))</f>
        <v/>
      </c>
      <c r="AY463" s="100" t="str">
        <f aca="false">IF(ISBLANK($C463),"",IF(ISBLANK($V463),0,IF(ISNUMBER($V463),IF(AND($V463&gt;=0,$V463&lt;=Constants!$B$21,$V463=INT($V463)),$V463,""),"")))</f>
        <v/>
      </c>
      <c r="AZ463" s="100" t="str">
        <f aca="false">IF(ISBLANK($C463),"",IF(ISBLANK($W463),0,IF(ISNUMBER($W463),IF($W463&gt;=0,$W463,""),"")))</f>
        <v/>
      </c>
      <c r="BA463" s="100" t="str">
        <f aca="false">IF(ISBLANK($C463),"",IF($X463=Constants!$B$2,TRUE(),IF($X463=Constants!$B$3,FALSE(),TRUE())))</f>
        <v/>
      </c>
      <c r="BB463" s="100" t="str">
        <f aca="false">IF(ISBLANK($C463),"",IF($Y463=Constants!$B$2,TRUE(),IF($Y463=Constants!$B$3,FALSE(),FALSE())))</f>
        <v/>
      </c>
      <c r="BC463" s="100" t="str">
        <f aca="false">IF(ISBLANK($C463),"",IF(ISBLANK($Z463),0,IF(ISNUMBER($Z463),IF(AND($Z463&gt;=0,$Z463&lt;=Constants!$B$35,$Z463=INT($Z463)),$Z463,""),"")))</f>
        <v/>
      </c>
      <c r="BD463" s="100" t="str">
        <f aca="false">IF(ISBLANK($C463),"",IF($AA463=Constants!$B$2,TRUE(),IF($AA463=Constants!$B$3,FALSE(),TRUE())))</f>
        <v/>
      </c>
      <c r="BE463" s="100" t="str">
        <f aca="false">IF(ISBLANK($C463),"",IF($AB463=Constants!$B$2,TRUE(),IF($AB463=Constants!$B$3,FALSE(),TRUE())))</f>
        <v/>
      </c>
      <c r="BF463" s="100" t="str">
        <f aca="false">IF(ISBLANK($C463),"",IF(ISNUMBER($AC463),IF($AC463&gt;=0,$AC463,""),""))</f>
        <v/>
      </c>
      <c r="BG463" s="100" t="str">
        <f aca="false">IF(ISBLANK($C463),"",IF($AD463=Constants!$B$2,TRUE(),IF($AD463=Constants!$B$3,FALSE(),FALSE())))</f>
        <v/>
      </c>
      <c r="BH463" s="99" t="str">
        <f aca="false">IF(ISBLANK($C463),"",IF($BG463,Constants!$B$7,IF(COUNTA($E463:$AC463)=0,Constants!$B$6,IF(OR(COUNTA($G463:$AC463)=0,NOT($AK463),$AQ463),Constants!$B$5,IF(OR($CI463&lt;&gt;"",$CJ463,$CK463,$CL463,$CM463,$CN463,$CO463),Constants!$B$8,Constants!$B$4)))))</f>
        <v/>
      </c>
      <c r="BI463" s="100" t="str">
        <f aca="false">IF(ISBLANK($C463),"",IF($BH463&lt;&gt;Constants!$B$4,$BH463,IF(OR(NOT($AH463),NOT($AJ463),NOT($AR463)),Constants!$B$11,IF(OR(NOT($AP463),MAX($AL463,$AM463,$AN463)&gt;Constants!$B$30),Constants!$B$10,Constants!$B$9))))</f>
        <v/>
      </c>
      <c r="BJ463" s="100" t="str">
        <f aca="false">IF($BH463&lt;&gt;Constants!$B$4,"",IF(NOT($AJ463),0,MIN(Constants!$B$35,$BC463)))</f>
        <v/>
      </c>
      <c r="BK463" s="100" t="str">
        <f aca="false">IF($BH463&lt;&gt;Constants!$B$4,"",IF(NOT($AJ463),0,IF($AT463,Constants!$B$18,IF($AS463,Constants!$B$17,0))))</f>
        <v/>
      </c>
      <c r="BL463" s="100" t="str">
        <f aca="false">IF($BH463&lt;&gt;Constants!$B$4,"",IF(NOT($AJ463),0,Constants!$B$19*($AI463+$AU463+$AV463+$AW463)))</f>
        <v/>
      </c>
      <c r="BM463" s="100" t="str">
        <f aca="false">IF($BH463&lt;&gt;Constants!$B$4,"",IF(OR(NOT($AJ463),NOT(ISNUMBER($AX463))),0,CHOOSE($AX463,Constants!$B$13,Constants!$B$14,Constants!$B$15,Constants!$B$16)))</f>
        <v/>
      </c>
      <c r="BN463" s="100" t="str">
        <f aca="false">IF($BH463&lt;&gt;Constants!$B$4,"",IF(NOT($AJ463),0,Constants!$B$20*$AY463))</f>
        <v/>
      </c>
      <c r="BO463" s="100" t="str">
        <f aca="false">IF($BH463&lt;&gt;Constants!$B$4,"",IF(AND($AJ463,$BA463,$BB463),Constants!$B$22,0))</f>
        <v/>
      </c>
      <c r="BP463" s="100" t="str">
        <f aca="false">IF($BH463&lt;&gt;Constants!$B$4,"",IF(OR(NOT($AJ463),NOT($BA463)),0,IF($BF463&gt;=2*$AF$9,0,Constants!$B$23*INT(ROUND(MIN($BF463,$AF$9),6)))))</f>
        <v/>
      </c>
      <c r="BQ463" s="100" t="str">
        <f aca="false">IF($BH463&lt;&gt;Constants!$B$4,"",IF(NOT($AJ463),0,Constants!$B$24*INT(ROUND(MIN($AZ463,$AF$9),6))))</f>
        <v/>
      </c>
      <c r="BR463" s="100" t="str">
        <f aca="false">IF($BH463&lt;&gt;Constants!$B$4,"",IF(AND($AJ463,$BJ463=0),Constants!$B$25,0))</f>
        <v/>
      </c>
      <c r="BS463" s="100" t="str">
        <f aca="false">IF($BH463&lt;&gt;Constants!$B$4,"",MIN(Constants!$B$29,MAX(0,Constants!$B$27*Constants!$B$28*INT(ROUND((Constants!$B$26-$AL463)/Constants!$B$28,6))))+MIN(Constants!$B$29,MAX(0,Constants!$B$27*Constants!$B$28*INT(ROUND((Constants!$B$26-$AM463)/Constants!$B$28,6))))+MIN(Constants!$B$29,MAX(0,Constants!$B$27*Constants!$B$28*INT(ROUND((Constants!$B$26-$AN463)/Constants!$B$28,6)))))</f>
        <v/>
      </c>
      <c r="BT463" s="100" t="str">
        <f aca="false">IF($BH463&lt;&gt;Constants!$B$4,"",IF(NOT($AJ463),0,Constants!$B$31*INT(ROUND(MAX(0,MIN($BF463,2*$AF$9)-$AF$9),6))))</f>
        <v/>
      </c>
      <c r="BU463" s="100" t="str">
        <f aca="false">IF($BH463&lt;&gt;Constants!$B$4,"",Constants!$B$32*(($AL463&gt;Constants!$B$26)+($AM463&gt;Constants!$B$26)+($AN463&gt;Constants!$B$26)))</f>
        <v/>
      </c>
      <c r="BV463" s="100" t="str">
        <f aca="false">IF($BH463&lt;&gt;Constants!$B$4,"",IF(OR(NOT($AJ463),$AO463),0,Constants!$B$33))</f>
        <v/>
      </c>
      <c r="BW463" s="100" t="str">
        <f aca="false">IF($BH463&lt;&gt;Constants!$B$4,"",Constants!$B$34*$BJ463)</f>
        <v/>
      </c>
      <c r="BX463" s="100" t="str">
        <f aca="false">IF($BH463&lt;&gt;Constants!$B$4,"",IF(OR(NOT($AJ463),$BE463),0,Constants!$B$36))</f>
        <v/>
      </c>
      <c r="BY463" s="100" t="str">
        <f aca="false">IF($BH463&lt;&gt;Constants!$B$4,"",IF(OR(NOT($AJ463),$BD463),0,Constants!$B$37))</f>
        <v/>
      </c>
      <c r="BZ463" s="100" t="str">
        <f aca="false">IF($BH463&lt;&gt;Constants!$B$4,"",SUM($BT463:$BY463))</f>
        <v/>
      </c>
      <c r="CA463" s="100" t="str">
        <f aca="false">IF(ISBLANK($C463),"",IF($BH463&lt;&gt;Constants!$B$4,$BH463,SUM($BK463:$BS463)-$BZ463))</f>
        <v/>
      </c>
      <c r="CB463" s="100" t="str">
        <f aca="false">IF(ISBLANK($C463),"",IF($BH463&lt;&gt;Constants!$B$4,$BH463,RANK($CA463,$CA$9:$CA$508)))</f>
        <v/>
      </c>
      <c r="CC463" s="100" t="str">
        <f aca="false">IF(ISBLANK($C463),"",IF($BH463&lt;&gt;Constants!$B$4,$BH463,COUNTIFS($BI$9:$BI$508,"&lt;"&amp;$BI463)+COUNTIFS($BI$9:$BI$508,$BI463,$CB$9:$CB$508,"&lt;"&amp;$CB463)+1))</f>
        <v/>
      </c>
      <c r="CD463" s="100" t="str">
        <f aca="false">IF(ISBLANK($C463),"",IF($BH463&lt;&gt;Constants!$B$4,$BH463,RANK($BZ463,$BZ$9:$BZ$508,1)))</f>
        <v/>
      </c>
      <c r="CE463" s="100" t="str">
        <f aca="false">IF($BH463&lt;&gt;Constants!$B$4,"",$AL463+$AM463+$AN463)</f>
        <v/>
      </c>
      <c r="CF463" s="100" t="str">
        <f aca="false">IF(ISBLANK($C463),"",IF($BH463&lt;&gt;Constants!$B$4,$BH463,RANK($CE463,$CE$9:$CE$508,1)))</f>
        <v/>
      </c>
      <c r="CG463" s="100" t="str">
        <f aca="false">IF(ISBLANK($C463),"",IF($BH463&lt;&gt;Constants!$B$4,$BH463,COUNTIFS($BI$9:$BI$508,"&lt;"&amp;$BI463)+COUNTIFS($BI$9:$BI$508,$BI463,$CB$9:$CB$508,"&lt;"&amp;$CB463)+COUNTIFS($BI$9:$BI$508,$BI463,$CB$9:$CB$508,$CB463,$CD$9:$CD$508,"&lt;"&amp;$CD463)+COUNTIFS($BI$9:$BI$508,$BI463,$CB$9:$CB$508,$CB463,$CD$9:$CD$508,$CD463,$CF$9:$CF$508,"&lt;"&amp;$CF463)+1))</f>
        <v/>
      </c>
      <c r="CH463" s="100" t="str">
        <f aca="false">IF(ISBLANK($C463),"",IF($BH463&lt;&gt;Constants!$B$4,$BH463,$CC463-$CG463))</f>
        <v/>
      </c>
      <c r="CI463" s="100" t="str">
        <f aca="false">IF(ISBLANK($C463),"",IF(NOT($AJ463),"",IF(ISBLANK($D$7),$CI$5,IF(NOT(ISNUMBER($D$7)),$CI$6,""))))</f>
        <v/>
      </c>
      <c r="CJ463" s="100" t="str">
        <f aca="false">IF(ISBLANK($C463),"",OR($AL463="",$AM463="",$AN463=""))</f>
        <v/>
      </c>
      <c r="CK463" s="100" t="str">
        <f aca="false">IF(ISBLANK($C463),"",AND($AJ463,$AX463=""))</f>
        <v/>
      </c>
      <c r="CL463" s="100" t="str">
        <f aca="false">IF(ISBLANK($C463),"",AND($AJ463,$AY463=""))</f>
        <v/>
      </c>
      <c r="CM463" s="100" t="str">
        <f aca="false">IF(ISBLANK($C463),"",AND($AJ463,$AZ463=""))</f>
        <v/>
      </c>
      <c r="CN463" s="100" t="str">
        <f aca="false">IF(ISBLANK($C463),"",AND($AJ463,$BC463=""))</f>
        <v/>
      </c>
      <c r="CO463" s="100" t="str">
        <f aca="false">IF(ISBLANK($C463),"",AND($AJ463,$BF463=""))</f>
        <v/>
      </c>
      <c r="CP463" s="101"/>
      <c r="CQ463" s="102"/>
      <c r="CR463" s="103" t="str">
        <f aca="false">IF(ISBLANK($C463),"",IF($BH463=Constants!$B$8,$CI463,""))</f>
        <v/>
      </c>
      <c r="CS463" s="102" t="str">
        <f aca="false">IF(ISBLANK($C463),"",IF($BH463&lt;&gt;Constants!$B$4,"",$BK463+$BL463))</f>
        <v/>
      </c>
      <c r="CT463" s="104" t="str">
        <f aca="false">IF(ISBLANK($C463),"",IF($BH463&lt;&gt;Constants!$B$4,"",$BM463+$BN463+$BO463))</f>
        <v/>
      </c>
      <c r="CU463" s="104" t="str">
        <f aca="false">IF(ISBLANK($C463),"",IF($BH463&lt;&gt;Constants!$B$4,"",$BP463))</f>
        <v/>
      </c>
      <c r="CV463" s="104" t="str">
        <f aca="false">IF(ISBLANK($C463),"",IF($BH463&lt;&gt;Constants!$B$4,"",$BQ463+$BR463))</f>
        <v/>
      </c>
      <c r="CW463" s="104" t="str">
        <f aca="false">IF(ISBLANK($C463),"",IF($BH463&lt;&gt;Constants!$B$4,"",$BS463))</f>
        <v/>
      </c>
      <c r="CX463" s="104" t="str">
        <f aca="false">IF(ISBLANK($C463),"",IF($BH463&lt;&gt;Constants!$B$4,"",-$BZ463))</f>
        <v/>
      </c>
      <c r="CY463" s="103" t="str">
        <f aca="false">IF(ISBLANK($C463),"",$CA463)</f>
        <v/>
      </c>
      <c r="CZ463" s="105" t="str">
        <f aca="false">IF(ISBLANK($C463),"",$BI463)</f>
        <v/>
      </c>
      <c r="DA463" s="104" t="str">
        <f aca="false">IF(ISBLANK($C463),"",$CH463)</f>
        <v/>
      </c>
      <c r="DB463" s="104" t="str">
        <f aca="false">IF(ISBLANK($C463),"",$CG463)</f>
        <v/>
      </c>
      <c r="DC463" s="106" t="str">
        <f aca="false">IF(ISBLANK($C463),"",IFERROR(_xlfn.SWITCH($DB463,Constants!$B$7,COUNTA($C$9:$C$508)+2,Constants!$B$6,COUNTA($C$9:$C$508)+1,Constants!$B$5,COUNTA($C$9:$C$508)),$DB463))</f>
        <v/>
      </c>
      <c r="DD463" s="7"/>
      <c r="DE463" s="107" t="n">
        <f aca="false">IF(OR(ISNUMBER($DB463),$DB463=Constants!$B$7,$DB463=Constants!$B$5,$DB463=Constants!$B$6),1,0)</f>
        <v>0</v>
      </c>
      <c r="DF463" s="107" t="n">
        <v>455</v>
      </c>
      <c r="DG463" s="107" t="str">
        <f aca="false">IF(ISBLANK($C463),"",IF(ISNUMBER($DC463),$DC463+ROW($B463)/1000,""))</f>
        <v/>
      </c>
      <c r="DH463" s="107" t="str">
        <f aca="false">IF(ISNUMBER($DG463),RANK($DG463,$DG$9:$DG$508,1),"")</f>
        <v/>
      </c>
      <c r="DI463" s="107" t="str">
        <f aca="false">IF(ISBLANK($C463),"",$B463)</f>
        <v/>
      </c>
      <c r="DJ463" s="107" t="str">
        <f aca="false">IF(ISBLANK($C463),"",$C463)</f>
        <v/>
      </c>
      <c r="DK463" s="107" t="str">
        <f aca="false">IF(ISBLANK($C463),"",$D463)</f>
        <v/>
      </c>
      <c r="DL463" s="108" t="str">
        <f aca="false">$CZ463</f>
        <v/>
      </c>
      <c r="DM463" s="109" t="str">
        <f aca="false">$CY463</f>
        <v/>
      </c>
      <c r="DN463" s="107" t="str">
        <f aca="false">IF(ISBLANK($C463),"",$DB463)</f>
        <v/>
      </c>
      <c r="DO463" s="110" t="str">
        <f aca="false">IF($DF463&gt;$DE$8,"",VLOOKUP($DF463,$DH$9:$DN$508,7,FALSE()))</f>
        <v/>
      </c>
      <c r="DP463" s="111" t="str">
        <f aca="false">IF($DF463&gt;$DE$8,"",VLOOKUP($DF463,$DH$9:$DN$508,2,FALSE()))</f>
        <v/>
      </c>
      <c r="DQ463" s="111" t="str">
        <f aca="false">IF($DF463&gt;$DE$8,"",VLOOKUP($DF463,$DH$9:$DN$508,3,FALSE()))</f>
        <v/>
      </c>
      <c r="DR463" s="111" t="str">
        <f aca="false">IF($DF463&gt;$DE$8,"",VLOOKUP($DF463,$DH$9:$DN$508,4,FALSE()))</f>
        <v/>
      </c>
      <c r="DS463" s="111" t="str">
        <f aca="false">IF($DF463&gt;$DE$8,"",VLOOKUP($DF463,$DH$9:$DN$508,5,FALSE()))</f>
        <v/>
      </c>
      <c r="DT463" s="112" t="str">
        <f aca="false">IF($DF463&gt;$DE$8,"",VLOOKUP($DF463,$DH$9:$DN$508,6,FALSE()))</f>
        <v/>
      </c>
      <c r="DU463" s="62"/>
    </row>
    <row r="464" customFormat="false" ht="15.75" hidden="false" customHeight="false" outlineLevel="0" collapsed="false">
      <c r="A464" s="7"/>
      <c r="B464" s="90"/>
      <c r="C464" s="91"/>
      <c r="D464" s="126"/>
      <c r="E464" s="130"/>
      <c r="F464" s="135"/>
      <c r="G464" s="130"/>
      <c r="H464" s="135"/>
      <c r="I464" s="131"/>
      <c r="J464" s="131"/>
      <c r="K464" s="131"/>
      <c r="L464" s="130"/>
      <c r="M464" s="130"/>
      <c r="N464" s="130"/>
      <c r="O464" s="135"/>
      <c r="P464" s="130"/>
      <c r="Q464" s="130"/>
      <c r="R464" s="130"/>
      <c r="S464" s="130"/>
      <c r="T464" s="135"/>
      <c r="U464" s="130"/>
      <c r="V464" s="96"/>
      <c r="W464" s="130"/>
      <c r="X464" s="130"/>
      <c r="Y464" s="96"/>
      <c r="Z464" s="96"/>
      <c r="AA464" s="130"/>
      <c r="AB464" s="130"/>
      <c r="AC464" s="97"/>
      <c r="AD464" s="130"/>
      <c r="AE464" s="99"/>
      <c r="AF464" s="100"/>
      <c r="AG464" s="100"/>
      <c r="AH464" s="100" t="str">
        <f aca="false">IF(ISBLANK($C464),"",IF($E464=Constants!$B$2,TRUE(),IF($E464=Constants!$B$3,FALSE(),TRUE())))</f>
        <v/>
      </c>
      <c r="AI464" s="100" t="str">
        <f aca="false">IF(ISBLANK($C464),"",IF($F464=Constants!$B$2,TRUE(),IF($F464=Constants!$B$3,FALSE(),FALSE())))</f>
        <v/>
      </c>
      <c r="AJ464" s="100" t="str">
        <f aca="false">IF(ISBLANK($C464),"",IF($G464=Constants!$B$2,TRUE(),IF($G464=Constants!$B$3,FALSE(),TRUE())))</f>
        <v/>
      </c>
      <c r="AK464" s="100" t="str">
        <f aca="false">IF(ISBLANK($C464),"",IF($H464=Constants!$B$2,TRUE(),IF($H464=Constants!$B$3,FALSE(),TRUE())))</f>
        <v/>
      </c>
      <c r="AL464" s="100" t="str">
        <f aca="false">IF(ISBLANK($C464),"",IF(ISNUMBER($I464),IF($I464&gt;=0,$I464,""),""))</f>
        <v/>
      </c>
      <c r="AM464" s="100" t="str">
        <f aca="false">IF(ISBLANK($C464),"",IF(ISNUMBER($J464),IF($J464&gt;=0,$J464,""),""))</f>
        <v/>
      </c>
      <c r="AN464" s="100" t="str">
        <f aca="false">IF(ISBLANK($C464),"",IF(ISNUMBER($K464),IF($K464&gt;=0,$K464,""),""))</f>
        <v/>
      </c>
      <c r="AO464" s="100" t="str">
        <f aca="false">IF(ISBLANK($C464),"",IF($L464=Constants!$B$2,TRUE(),IF($L464=Constants!$B$3,FALSE(),TRUE())))</f>
        <v/>
      </c>
      <c r="AP464" s="100" t="str">
        <f aca="false">IF(ISBLANK($C464),"",IF($M464=Constants!$B$2,TRUE(),IF($M464=Constants!$B$3,FALSE(),TRUE())))</f>
        <v/>
      </c>
      <c r="AQ464" s="100" t="str">
        <f aca="false">IF(ISBLANK($C464),"",IF($N464=Constants!$B$2,TRUE(),IF($N464=Constants!$B$3,FALSE(),FALSE())))</f>
        <v/>
      </c>
      <c r="AR464" s="100" t="str">
        <f aca="false">IF(ISBLANK($C464),"",IF($O464=Constants!$B$2,TRUE(),IF($O464=Constants!$B$3,FALSE(),TRUE())))</f>
        <v/>
      </c>
      <c r="AS464" s="100" t="str">
        <f aca="false">IF(ISBLANK($C464),"",IF($P464=Constants!$B$2,TRUE(),IF($P464=Constants!$B$3,FALSE(),FALSE())))</f>
        <v/>
      </c>
      <c r="AT464" s="100" t="str">
        <f aca="false">IF(ISBLANK($C464),"",IF($Q464=Constants!$B$2,TRUE(),IF($Q464=Constants!$B$3,FALSE(),FALSE())))</f>
        <v/>
      </c>
      <c r="AU464" s="100" t="str">
        <f aca="false">IF(ISBLANK($C464),"",IF($R464=Constants!$B$2,TRUE(),IF($R464=Constants!$B$3,FALSE(),FALSE())))</f>
        <v/>
      </c>
      <c r="AV464" s="100" t="str">
        <f aca="false">IF(ISBLANK($C464),"",IF($S464=Constants!$B$2,TRUE(),IF($S464=Constants!$B$3,FALSE(),FALSE())))</f>
        <v/>
      </c>
      <c r="AW464" s="100" t="str">
        <f aca="false">IF(ISBLANK($C464),"",IF($T464=Constants!$B$2,TRUE(),IF($T464=Constants!$B$3,FALSE(),FALSE())))</f>
        <v/>
      </c>
      <c r="AX464" s="100" t="str">
        <f aca="false">IF(ISBLANK($C464),"",IF(OR($U464&amp;""="1",$U464&amp;""="2",$U464&amp;""="3",$U464&amp;""="4"),VALUE($U464&amp;""),IF($U464=Constants!$B$12,Constants!$B$12,"")))</f>
        <v/>
      </c>
      <c r="AY464" s="100" t="str">
        <f aca="false">IF(ISBLANK($C464),"",IF(ISBLANK($V464),0,IF(ISNUMBER($V464),IF(AND($V464&gt;=0,$V464&lt;=Constants!$B$21,$V464=INT($V464)),$V464,""),"")))</f>
        <v/>
      </c>
      <c r="AZ464" s="100" t="str">
        <f aca="false">IF(ISBLANK($C464),"",IF(ISBLANK($W464),0,IF(ISNUMBER($W464),IF($W464&gt;=0,$W464,""),"")))</f>
        <v/>
      </c>
      <c r="BA464" s="100" t="str">
        <f aca="false">IF(ISBLANK($C464),"",IF($X464=Constants!$B$2,TRUE(),IF($X464=Constants!$B$3,FALSE(),TRUE())))</f>
        <v/>
      </c>
      <c r="BB464" s="100" t="str">
        <f aca="false">IF(ISBLANK($C464),"",IF($Y464=Constants!$B$2,TRUE(),IF($Y464=Constants!$B$3,FALSE(),FALSE())))</f>
        <v/>
      </c>
      <c r="BC464" s="100" t="str">
        <f aca="false">IF(ISBLANK($C464),"",IF(ISBLANK($Z464),0,IF(ISNUMBER($Z464),IF(AND($Z464&gt;=0,$Z464&lt;=Constants!$B$35,$Z464=INT($Z464)),$Z464,""),"")))</f>
        <v/>
      </c>
      <c r="BD464" s="100" t="str">
        <f aca="false">IF(ISBLANK($C464),"",IF($AA464=Constants!$B$2,TRUE(),IF($AA464=Constants!$B$3,FALSE(),TRUE())))</f>
        <v/>
      </c>
      <c r="BE464" s="100" t="str">
        <f aca="false">IF(ISBLANK($C464),"",IF($AB464=Constants!$B$2,TRUE(),IF($AB464=Constants!$B$3,FALSE(),TRUE())))</f>
        <v/>
      </c>
      <c r="BF464" s="100" t="str">
        <f aca="false">IF(ISBLANK($C464),"",IF(ISNUMBER($AC464),IF($AC464&gt;=0,$AC464,""),""))</f>
        <v/>
      </c>
      <c r="BG464" s="100" t="str">
        <f aca="false">IF(ISBLANK($C464),"",IF($AD464=Constants!$B$2,TRUE(),IF($AD464=Constants!$B$3,FALSE(),FALSE())))</f>
        <v/>
      </c>
      <c r="BH464" s="99" t="str">
        <f aca="false">IF(ISBLANK($C464),"",IF($BG464,Constants!$B$7,IF(COUNTA($E464:$AC464)=0,Constants!$B$6,IF(OR(COUNTA($G464:$AC464)=0,NOT($AK464),$AQ464),Constants!$B$5,IF(OR($CI464&lt;&gt;"",$CJ464,$CK464,$CL464,$CM464,$CN464,$CO464),Constants!$B$8,Constants!$B$4)))))</f>
        <v/>
      </c>
      <c r="BI464" s="100" t="str">
        <f aca="false">IF(ISBLANK($C464),"",IF($BH464&lt;&gt;Constants!$B$4,$BH464,IF(OR(NOT($AH464),NOT($AJ464),NOT($AR464)),Constants!$B$11,IF(OR(NOT($AP464),MAX($AL464,$AM464,$AN464)&gt;Constants!$B$30),Constants!$B$10,Constants!$B$9))))</f>
        <v/>
      </c>
      <c r="BJ464" s="100" t="str">
        <f aca="false">IF($BH464&lt;&gt;Constants!$B$4,"",IF(NOT($AJ464),0,MIN(Constants!$B$35,$BC464)))</f>
        <v/>
      </c>
      <c r="BK464" s="100" t="str">
        <f aca="false">IF($BH464&lt;&gt;Constants!$B$4,"",IF(NOT($AJ464),0,IF($AT464,Constants!$B$18,IF($AS464,Constants!$B$17,0))))</f>
        <v/>
      </c>
      <c r="BL464" s="100" t="str">
        <f aca="false">IF($BH464&lt;&gt;Constants!$B$4,"",IF(NOT($AJ464),0,Constants!$B$19*($AI464+$AU464+$AV464+$AW464)))</f>
        <v/>
      </c>
      <c r="BM464" s="100" t="str">
        <f aca="false">IF($BH464&lt;&gt;Constants!$B$4,"",IF(OR(NOT($AJ464),NOT(ISNUMBER($AX464))),0,CHOOSE($AX464,Constants!$B$13,Constants!$B$14,Constants!$B$15,Constants!$B$16)))</f>
        <v/>
      </c>
      <c r="BN464" s="100" t="str">
        <f aca="false">IF($BH464&lt;&gt;Constants!$B$4,"",IF(NOT($AJ464),0,Constants!$B$20*$AY464))</f>
        <v/>
      </c>
      <c r="BO464" s="100" t="str">
        <f aca="false">IF($BH464&lt;&gt;Constants!$B$4,"",IF(AND($AJ464,$BA464,$BB464),Constants!$B$22,0))</f>
        <v/>
      </c>
      <c r="BP464" s="100" t="str">
        <f aca="false">IF($BH464&lt;&gt;Constants!$B$4,"",IF(OR(NOT($AJ464),NOT($BA464)),0,IF($BF464&gt;=2*$AF$9,0,Constants!$B$23*INT(ROUND(MIN($BF464,$AF$9),6)))))</f>
        <v/>
      </c>
      <c r="BQ464" s="100" t="str">
        <f aca="false">IF($BH464&lt;&gt;Constants!$B$4,"",IF(NOT($AJ464),0,Constants!$B$24*INT(ROUND(MIN($AZ464,$AF$9),6))))</f>
        <v/>
      </c>
      <c r="BR464" s="100" t="str">
        <f aca="false">IF($BH464&lt;&gt;Constants!$B$4,"",IF(AND($AJ464,$BJ464=0),Constants!$B$25,0))</f>
        <v/>
      </c>
      <c r="BS464" s="100" t="str">
        <f aca="false">IF($BH464&lt;&gt;Constants!$B$4,"",MIN(Constants!$B$29,MAX(0,Constants!$B$27*Constants!$B$28*INT(ROUND((Constants!$B$26-$AL464)/Constants!$B$28,6))))+MIN(Constants!$B$29,MAX(0,Constants!$B$27*Constants!$B$28*INT(ROUND((Constants!$B$26-$AM464)/Constants!$B$28,6))))+MIN(Constants!$B$29,MAX(0,Constants!$B$27*Constants!$B$28*INT(ROUND((Constants!$B$26-$AN464)/Constants!$B$28,6)))))</f>
        <v/>
      </c>
      <c r="BT464" s="100" t="str">
        <f aca="false">IF($BH464&lt;&gt;Constants!$B$4,"",IF(NOT($AJ464),0,Constants!$B$31*INT(ROUND(MAX(0,MIN($BF464,2*$AF$9)-$AF$9),6))))</f>
        <v/>
      </c>
      <c r="BU464" s="100" t="str">
        <f aca="false">IF($BH464&lt;&gt;Constants!$B$4,"",Constants!$B$32*(($AL464&gt;Constants!$B$26)+($AM464&gt;Constants!$B$26)+($AN464&gt;Constants!$B$26)))</f>
        <v/>
      </c>
      <c r="BV464" s="100" t="str">
        <f aca="false">IF($BH464&lt;&gt;Constants!$B$4,"",IF(OR(NOT($AJ464),$AO464),0,Constants!$B$33))</f>
        <v/>
      </c>
      <c r="BW464" s="100" t="str">
        <f aca="false">IF($BH464&lt;&gt;Constants!$B$4,"",Constants!$B$34*$BJ464)</f>
        <v/>
      </c>
      <c r="BX464" s="100" t="str">
        <f aca="false">IF($BH464&lt;&gt;Constants!$B$4,"",IF(OR(NOT($AJ464),$BE464),0,Constants!$B$36))</f>
        <v/>
      </c>
      <c r="BY464" s="100" t="str">
        <f aca="false">IF($BH464&lt;&gt;Constants!$B$4,"",IF(OR(NOT($AJ464),$BD464),0,Constants!$B$37))</f>
        <v/>
      </c>
      <c r="BZ464" s="100" t="str">
        <f aca="false">IF($BH464&lt;&gt;Constants!$B$4,"",SUM($BT464:$BY464))</f>
        <v/>
      </c>
      <c r="CA464" s="100" t="str">
        <f aca="false">IF(ISBLANK($C464),"",IF($BH464&lt;&gt;Constants!$B$4,$BH464,SUM($BK464:$BS464)-$BZ464))</f>
        <v/>
      </c>
      <c r="CB464" s="100" t="str">
        <f aca="false">IF(ISBLANK($C464),"",IF($BH464&lt;&gt;Constants!$B$4,$BH464,RANK($CA464,$CA$9:$CA$508)))</f>
        <v/>
      </c>
      <c r="CC464" s="100" t="str">
        <f aca="false">IF(ISBLANK($C464),"",IF($BH464&lt;&gt;Constants!$B$4,$BH464,COUNTIFS($BI$9:$BI$508,"&lt;"&amp;$BI464)+COUNTIFS($BI$9:$BI$508,$BI464,$CB$9:$CB$508,"&lt;"&amp;$CB464)+1))</f>
        <v/>
      </c>
      <c r="CD464" s="100" t="str">
        <f aca="false">IF(ISBLANK($C464),"",IF($BH464&lt;&gt;Constants!$B$4,$BH464,RANK($BZ464,$BZ$9:$BZ$508,1)))</f>
        <v/>
      </c>
      <c r="CE464" s="100" t="str">
        <f aca="false">IF($BH464&lt;&gt;Constants!$B$4,"",$AL464+$AM464+$AN464)</f>
        <v/>
      </c>
      <c r="CF464" s="100" t="str">
        <f aca="false">IF(ISBLANK($C464),"",IF($BH464&lt;&gt;Constants!$B$4,$BH464,RANK($CE464,$CE$9:$CE$508,1)))</f>
        <v/>
      </c>
      <c r="CG464" s="100" t="str">
        <f aca="false">IF(ISBLANK($C464),"",IF($BH464&lt;&gt;Constants!$B$4,$BH464,COUNTIFS($BI$9:$BI$508,"&lt;"&amp;$BI464)+COUNTIFS($BI$9:$BI$508,$BI464,$CB$9:$CB$508,"&lt;"&amp;$CB464)+COUNTIFS($BI$9:$BI$508,$BI464,$CB$9:$CB$508,$CB464,$CD$9:$CD$508,"&lt;"&amp;$CD464)+COUNTIFS($BI$9:$BI$508,$BI464,$CB$9:$CB$508,$CB464,$CD$9:$CD$508,$CD464,$CF$9:$CF$508,"&lt;"&amp;$CF464)+1))</f>
        <v/>
      </c>
      <c r="CH464" s="100" t="str">
        <f aca="false">IF(ISBLANK($C464),"",IF($BH464&lt;&gt;Constants!$B$4,$BH464,$CC464-$CG464))</f>
        <v/>
      </c>
      <c r="CI464" s="100" t="str">
        <f aca="false">IF(ISBLANK($C464),"",IF(NOT($AJ464),"",IF(ISBLANK($D$7),$CI$5,IF(NOT(ISNUMBER($D$7)),$CI$6,""))))</f>
        <v/>
      </c>
      <c r="CJ464" s="100" t="str">
        <f aca="false">IF(ISBLANK($C464),"",OR($AL464="",$AM464="",$AN464=""))</f>
        <v/>
      </c>
      <c r="CK464" s="100" t="str">
        <f aca="false">IF(ISBLANK($C464),"",AND($AJ464,$AX464=""))</f>
        <v/>
      </c>
      <c r="CL464" s="100" t="str">
        <f aca="false">IF(ISBLANK($C464),"",AND($AJ464,$AY464=""))</f>
        <v/>
      </c>
      <c r="CM464" s="100" t="str">
        <f aca="false">IF(ISBLANK($C464),"",AND($AJ464,$AZ464=""))</f>
        <v/>
      </c>
      <c r="CN464" s="100" t="str">
        <f aca="false">IF(ISBLANK($C464),"",AND($AJ464,$BC464=""))</f>
        <v/>
      </c>
      <c r="CO464" s="100" t="str">
        <f aca="false">IF(ISBLANK($C464),"",AND($AJ464,$BF464=""))</f>
        <v/>
      </c>
      <c r="CP464" s="101"/>
      <c r="CQ464" s="102"/>
      <c r="CR464" s="103" t="str">
        <f aca="false">IF(ISBLANK($C464),"",IF($BH464=Constants!$B$8,$CI464,""))</f>
        <v/>
      </c>
      <c r="CS464" s="102" t="str">
        <f aca="false">IF(ISBLANK($C464),"",IF($BH464&lt;&gt;Constants!$B$4,"",$BK464+$BL464))</f>
        <v/>
      </c>
      <c r="CT464" s="104" t="str">
        <f aca="false">IF(ISBLANK($C464),"",IF($BH464&lt;&gt;Constants!$B$4,"",$BM464+$BN464+$BO464))</f>
        <v/>
      </c>
      <c r="CU464" s="104" t="str">
        <f aca="false">IF(ISBLANK($C464),"",IF($BH464&lt;&gt;Constants!$B$4,"",$BP464))</f>
        <v/>
      </c>
      <c r="CV464" s="104" t="str">
        <f aca="false">IF(ISBLANK($C464),"",IF($BH464&lt;&gt;Constants!$B$4,"",$BQ464+$BR464))</f>
        <v/>
      </c>
      <c r="CW464" s="104" t="str">
        <f aca="false">IF(ISBLANK($C464),"",IF($BH464&lt;&gt;Constants!$B$4,"",$BS464))</f>
        <v/>
      </c>
      <c r="CX464" s="104" t="str">
        <f aca="false">IF(ISBLANK($C464),"",IF($BH464&lt;&gt;Constants!$B$4,"",-$BZ464))</f>
        <v/>
      </c>
      <c r="CY464" s="103" t="str">
        <f aca="false">IF(ISBLANK($C464),"",$CA464)</f>
        <v/>
      </c>
      <c r="CZ464" s="105" t="str">
        <f aca="false">IF(ISBLANK($C464),"",$BI464)</f>
        <v/>
      </c>
      <c r="DA464" s="104" t="str">
        <f aca="false">IF(ISBLANK($C464),"",$CH464)</f>
        <v/>
      </c>
      <c r="DB464" s="104" t="str">
        <f aca="false">IF(ISBLANK($C464),"",$CG464)</f>
        <v/>
      </c>
      <c r="DC464" s="106" t="str">
        <f aca="false">IF(ISBLANK($C464),"",IFERROR(_xlfn.SWITCH($DB464,Constants!$B$7,COUNTA($C$9:$C$508)+2,Constants!$B$6,COUNTA($C$9:$C$508)+1,Constants!$B$5,COUNTA($C$9:$C$508)),$DB464))</f>
        <v/>
      </c>
      <c r="DD464" s="7"/>
      <c r="DE464" s="107" t="n">
        <f aca="false">IF(OR(ISNUMBER($DB464),$DB464=Constants!$B$7,$DB464=Constants!$B$5,$DB464=Constants!$B$6),1,0)</f>
        <v>0</v>
      </c>
      <c r="DF464" s="107" t="n">
        <v>456</v>
      </c>
      <c r="DG464" s="107" t="str">
        <f aca="false">IF(ISBLANK($C464),"",IF(ISNUMBER($DC464),$DC464+ROW($B464)/1000,""))</f>
        <v/>
      </c>
      <c r="DH464" s="107" t="str">
        <f aca="false">IF(ISNUMBER($DG464),RANK($DG464,$DG$9:$DG$508,1),"")</f>
        <v/>
      </c>
      <c r="DI464" s="107" t="str">
        <f aca="false">IF(ISBLANK($C464),"",$B464)</f>
        <v/>
      </c>
      <c r="DJ464" s="107" t="str">
        <f aca="false">IF(ISBLANK($C464),"",$C464)</f>
        <v/>
      </c>
      <c r="DK464" s="107" t="str">
        <f aca="false">IF(ISBLANK($C464),"",$D464)</f>
        <v/>
      </c>
      <c r="DL464" s="108" t="str">
        <f aca="false">$CZ464</f>
        <v/>
      </c>
      <c r="DM464" s="109" t="str">
        <f aca="false">$CY464</f>
        <v/>
      </c>
      <c r="DN464" s="107" t="str">
        <f aca="false">IF(ISBLANK($C464),"",$DB464)</f>
        <v/>
      </c>
      <c r="DO464" s="110" t="str">
        <f aca="false">IF($DF464&gt;$DE$8,"",VLOOKUP($DF464,$DH$9:$DN$508,7,FALSE()))</f>
        <v/>
      </c>
      <c r="DP464" s="111" t="str">
        <f aca="false">IF($DF464&gt;$DE$8,"",VLOOKUP($DF464,$DH$9:$DN$508,2,FALSE()))</f>
        <v/>
      </c>
      <c r="DQ464" s="111" t="str">
        <f aca="false">IF($DF464&gt;$DE$8,"",VLOOKUP($DF464,$DH$9:$DN$508,3,FALSE()))</f>
        <v/>
      </c>
      <c r="DR464" s="111" t="str">
        <f aca="false">IF($DF464&gt;$DE$8,"",VLOOKUP($DF464,$DH$9:$DN$508,4,FALSE()))</f>
        <v/>
      </c>
      <c r="DS464" s="111" t="str">
        <f aca="false">IF($DF464&gt;$DE$8,"",VLOOKUP($DF464,$DH$9:$DN$508,5,FALSE()))</f>
        <v/>
      </c>
      <c r="DT464" s="112" t="str">
        <f aca="false">IF($DF464&gt;$DE$8,"",VLOOKUP($DF464,$DH$9:$DN$508,6,FALSE()))</f>
        <v/>
      </c>
      <c r="DU464" s="62"/>
    </row>
    <row r="465" customFormat="false" ht="15.75" hidden="false" customHeight="false" outlineLevel="0" collapsed="false">
      <c r="A465" s="7"/>
      <c r="B465" s="64"/>
      <c r="C465" s="65"/>
      <c r="D465" s="123"/>
      <c r="E465" s="88"/>
      <c r="F465" s="134"/>
      <c r="G465" s="88"/>
      <c r="H465" s="134"/>
      <c r="I465" s="119"/>
      <c r="J465" s="119"/>
      <c r="K465" s="119"/>
      <c r="L465" s="88"/>
      <c r="M465" s="88"/>
      <c r="N465" s="88"/>
      <c r="O465" s="134"/>
      <c r="P465" s="88"/>
      <c r="Q465" s="88"/>
      <c r="R465" s="88"/>
      <c r="S465" s="88"/>
      <c r="T465" s="134"/>
      <c r="U465" s="88"/>
      <c r="V465" s="70"/>
      <c r="W465" s="88"/>
      <c r="X465" s="88"/>
      <c r="Y465" s="70"/>
      <c r="Z465" s="70"/>
      <c r="AA465" s="88"/>
      <c r="AB465" s="88"/>
      <c r="AC465" s="71"/>
      <c r="AD465" s="88"/>
      <c r="AE465" s="73"/>
      <c r="AF465" s="74"/>
      <c r="AG465" s="74"/>
      <c r="AH465" s="74" t="str">
        <f aca="false">IF(ISBLANK($C465),"",IF($E465=Constants!$B$2,TRUE(),IF($E465=Constants!$B$3,FALSE(),TRUE())))</f>
        <v/>
      </c>
      <c r="AI465" s="74" t="str">
        <f aca="false">IF(ISBLANK($C465),"",IF($F465=Constants!$B$2,TRUE(),IF($F465=Constants!$B$3,FALSE(),FALSE())))</f>
        <v/>
      </c>
      <c r="AJ465" s="74" t="str">
        <f aca="false">IF(ISBLANK($C465),"",IF($G465=Constants!$B$2,TRUE(),IF($G465=Constants!$B$3,FALSE(),TRUE())))</f>
        <v/>
      </c>
      <c r="AK465" s="74" t="str">
        <f aca="false">IF(ISBLANK($C465),"",IF($H465=Constants!$B$2,TRUE(),IF($H465=Constants!$B$3,FALSE(),TRUE())))</f>
        <v/>
      </c>
      <c r="AL465" s="74" t="str">
        <f aca="false">IF(ISBLANK($C465),"",IF(ISNUMBER($I465),IF($I465&gt;=0,$I465,""),""))</f>
        <v/>
      </c>
      <c r="AM465" s="74" t="str">
        <f aca="false">IF(ISBLANK($C465),"",IF(ISNUMBER($J465),IF($J465&gt;=0,$J465,""),""))</f>
        <v/>
      </c>
      <c r="AN465" s="74" t="str">
        <f aca="false">IF(ISBLANK($C465),"",IF(ISNUMBER($K465),IF($K465&gt;=0,$K465,""),""))</f>
        <v/>
      </c>
      <c r="AO465" s="74" t="str">
        <f aca="false">IF(ISBLANK($C465),"",IF($L465=Constants!$B$2,TRUE(),IF($L465=Constants!$B$3,FALSE(),TRUE())))</f>
        <v/>
      </c>
      <c r="AP465" s="74" t="str">
        <f aca="false">IF(ISBLANK($C465),"",IF($M465=Constants!$B$2,TRUE(),IF($M465=Constants!$B$3,FALSE(),TRUE())))</f>
        <v/>
      </c>
      <c r="AQ465" s="74" t="str">
        <f aca="false">IF(ISBLANK($C465),"",IF($N465=Constants!$B$2,TRUE(),IF($N465=Constants!$B$3,FALSE(),FALSE())))</f>
        <v/>
      </c>
      <c r="AR465" s="74" t="str">
        <f aca="false">IF(ISBLANK($C465),"",IF($O465=Constants!$B$2,TRUE(),IF($O465=Constants!$B$3,FALSE(),TRUE())))</f>
        <v/>
      </c>
      <c r="AS465" s="74" t="str">
        <f aca="false">IF(ISBLANK($C465),"",IF($P465=Constants!$B$2,TRUE(),IF($P465=Constants!$B$3,FALSE(),FALSE())))</f>
        <v/>
      </c>
      <c r="AT465" s="74" t="str">
        <f aca="false">IF(ISBLANK($C465),"",IF($Q465=Constants!$B$2,TRUE(),IF($Q465=Constants!$B$3,FALSE(),FALSE())))</f>
        <v/>
      </c>
      <c r="AU465" s="74" t="str">
        <f aca="false">IF(ISBLANK($C465),"",IF($R465=Constants!$B$2,TRUE(),IF($R465=Constants!$B$3,FALSE(),FALSE())))</f>
        <v/>
      </c>
      <c r="AV465" s="74" t="str">
        <f aca="false">IF(ISBLANK($C465),"",IF($S465=Constants!$B$2,TRUE(),IF($S465=Constants!$B$3,FALSE(),FALSE())))</f>
        <v/>
      </c>
      <c r="AW465" s="74" t="str">
        <f aca="false">IF(ISBLANK($C465),"",IF($T465=Constants!$B$2,TRUE(),IF($T465=Constants!$B$3,FALSE(),FALSE())))</f>
        <v/>
      </c>
      <c r="AX465" s="74" t="str">
        <f aca="false">IF(ISBLANK($C465),"",IF(OR($U465&amp;""="1",$U465&amp;""="2",$U465&amp;""="3",$U465&amp;""="4"),VALUE($U465&amp;""),IF($U465=Constants!$B$12,Constants!$B$12,"")))</f>
        <v/>
      </c>
      <c r="AY465" s="74" t="str">
        <f aca="false">IF(ISBLANK($C465),"",IF(ISBLANK($V465),0,IF(ISNUMBER($V465),IF(AND($V465&gt;=0,$V465&lt;=Constants!$B$21,$V465=INT($V465)),$V465,""),"")))</f>
        <v/>
      </c>
      <c r="AZ465" s="74" t="str">
        <f aca="false">IF(ISBLANK($C465),"",IF(ISBLANK($W465),0,IF(ISNUMBER($W465),IF($W465&gt;=0,$W465,""),"")))</f>
        <v/>
      </c>
      <c r="BA465" s="74" t="str">
        <f aca="false">IF(ISBLANK($C465),"",IF($X465=Constants!$B$2,TRUE(),IF($X465=Constants!$B$3,FALSE(),TRUE())))</f>
        <v/>
      </c>
      <c r="BB465" s="74" t="str">
        <f aca="false">IF(ISBLANK($C465),"",IF($Y465=Constants!$B$2,TRUE(),IF($Y465=Constants!$B$3,FALSE(),FALSE())))</f>
        <v/>
      </c>
      <c r="BC465" s="74" t="str">
        <f aca="false">IF(ISBLANK($C465),"",IF(ISBLANK($Z465),0,IF(ISNUMBER($Z465),IF(AND($Z465&gt;=0,$Z465&lt;=Constants!$B$35,$Z465=INT($Z465)),$Z465,""),"")))</f>
        <v/>
      </c>
      <c r="BD465" s="74" t="str">
        <f aca="false">IF(ISBLANK($C465),"",IF($AA465=Constants!$B$2,TRUE(),IF($AA465=Constants!$B$3,FALSE(),TRUE())))</f>
        <v/>
      </c>
      <c r="BE465" s="74" t="str">
        <f aca="false">IF(ISBLANK($C465),"",IF($AB465=Constants!$B$2,TRUE(),IF($AB465=Constants!$B$3,FALSE(),TRUE())))</f>
        <v/>
      </c>
      <c r="BF465" s="74" t="str">
        <f aca="false">IF(ISBLANK($C465),"",IF(ISNUMBER($AC465),IF($AC465&gt;=0,$AC465,""),""))</f>
        <v/>
      </c>
      <c r="BG465" s="74" t="str">
        <f aca="false">IF(ISBLANK($C465),"",IF($AD465=Constants!$B$2,TRUE(),IF($AD465=Constants!$B$3,FALSE(),FALSE())))</f>
        <v/>
      </c>
      <c r="BH465" s="73" t="str">
        <f aca="false">IF(ISBLANK($C465),"",IF($BG465,Constants!$B$7,IF(COUNTA($E465:$AC465)=0,Constants!$B$6,IF(OR(COUNTA($G465:$AC465)=0,NOT($AK465),$AQ465),Constants!$B$5,IF(OR($CI465&lt;&gt;"",$CJ465,$CK465,$CL465,$CM465,$CN465,$CO465),Constants!$B$8,Constants!$B$4)))))</f>
        <v/>
      </c>
      <c r="BI465" s="74" t="str">
        <f aca="false">IF(ISBLANK($C465),"",IF($BH465&lt;&gt;Constants!$B$4,$BH465,IF(OR(NOT($AH465),NOT($AJ465),NOT($AR465)),Constants!$B$11,IF(OR(NOT($AP465),MAX($AL465,$AM465,$AN465)&gt;Constants!$B$30),Constants!$B$10,Constants!$B$9))))</f>
        <v/>
      </c>
      <c r="BJ465" s="74" t="str">
        <f aca="false">IF($BH465&lt;&gt;Constants!$B$4,"",IF(NOT($AJ465),0,MIN(Constants!$B$35,$BC465)))</f>
        <v/>
      </c>
      <c r="BK465" s="74" t="str">
        <f aca="false">IF($BH465&lt;&gt;Constants!$B$4,"",IF(NOT($AJ465),0,IF($AT465,Constants!$B$18,IF($AS465,Constants!$B$17,0))))</f>
        <v/>
      </c>
      <c r="BL465" s="74" t="str">
        <f aca="false">IF($BH465&lt;&gt;Constants!$B$4,"",IF(NOT($AJ465),0,Constants!$B$19*($AI465+$AU465+$AV465+$AW465)))</f>
        <v/>
      </c>
      <c r="BM465" s="74" t="str">
        <f aca="false">IF($BH465&lt;&gt;Constants!$B$4,"",IF(OR(NOT($AJ465),NOT(ISNUMBER($AX465))),0,CHOOSE($AX465,Constants!$B$13,Constants!$B$14,Constants!$B$15,Constants!$B$16)))</f>
        <v/>
      </c>
      <c r="BN465" s="74" t="str">
        <f aca="false">IF($BH465&lt;&gt;Constants!$B$4,"",IF(NOT($AJ465),0,Constants!$B$20*$AY465))</f>
        <v/>
      </c>
      <c r="BO465" s="74" t="str">
        <f aca="false">IF($BH465&lt;&gt;Constants!$B$4,"",IF(AND($AJ465,$BA465,$BB465),Constants!$B$22,0))</f>
        <v/>
      </c>
      <c r="BP465" s="74" t="str">
        <f aca="false">IF($BH465&lt;&gt;Constants!$B$4,"",IF(OR(NOT($AJ465),NOT($BA465)),0,IF($BF465&gt;=2*$AF$9,0,Constants!$B$23*INT(ROUND(MIN($BF465,$AF$9),6)))))</f>
        <v/>
      </c>
      <c r="BQ465" s="74" t="str">
        <f aca="false">IF($BH465&lt;&gt;Constants!$B$4,"",IF(NOT($AJ465),0,Constants!$B$24*INT(ROUND(MIN($AZ465,$AF$9),6))))</f>
        <v/>
      </c>
      <c r="BR465" s="74" t="str">
        <f aca="false">IF($BH465&lt;&gt;Constants!$B$4,"",IF(AND($AJ465,$BJ465=0),Constants!$B$25,0))</f>
        <v/>
      </c>
      <c r="BS465" s="74" t="str">
        <f aca="false">IF($BH465&lt;&gt;Constants!$B$4,"",MIN(Constants!$B$29,MAX(0,Constants!$B$27*Constants!$B$28*INT(ROUND((Constants!$B$26-$AL465)/Constants!$B$28,6))))+MIN(Constants!$B$29,MAX(0,Constants!$B$27*Constants!$B$28*INT(ROUND((Constants!$B$26-$AM465)/Constants!$B$28,6))))+MIN(Constants!$B$29,MAX(0,Constants!$B$27*Constants!$B$28*INT(ROUND((Constants!$B$26-$AN465)/Constants!$B$28,6)))))</f>
        <v/>
      </c>
      <c r="BT465" s="74" t="str">
        <f aca="false">IF($BH465&lt;&gt;Constants!$B$4,"",IF(NOT($AJ465),0,Constants!$B$31*INT(ROUND(MAX(0,MIN($BF465,2*$AF$9)-$AF$9),6))))</f>
        <v/>
      </c>
      <c r="BU465" s="74" t="str">
        <f aca="false">IF($BH465&lt;&gt;Constants!$B$4,"",Constants!$B$32*(($AL465&gt;Constants!$B$26)+($AM465&gt;Constants!$B$26)+($AN465&gt;Constants!$B$26)))</f>
        <v/>
      </c>
      <c r="BV465" s="74" t="str">
        <f aca="false">IF($BH465&lt;&gt;Constants!$B$4,"",IF(OR(NOT($AJ465),$AO465),0,Constants!$B$33))</f>
        <v/>
      </c>
      <c r="BW465" s="74" t="str">
        <f aca="false">IF($BH465&lt;&gt;Constants!$B$4,"",Constants!$B$34*$BJ465)</f>
        <v/>
      </c>
      <c r="BX465" s="74" t="str">
        <f aca="false">IF($BH465&lt;&gt;Constants!$B$4,"",IF(OR(NOT($AJ465),$BE465),0,Constants!$B$36))</f>
        <v/>
      </c>
      <c r="BY465" s="74" t="str">
        <f aca="false">IF($BH465&lt;&gt;Constants!$B$4,"",IF(OR(NOT($AJ465),$BD465),0,Constants!$B$37))</f>
        <v/>
      </c>
      <c r="BZ465" s="74" t="str">
        <f aca="false">IF($BH465&lt;&gt;Constants!$B$4,"",SUM($BT465:$BY465))</f>
        <v/>
      </c>
      <c r="CA465" s="74" t="str">
        <f aca="false">IF(ISBLANK($C465),"",IF($BH465&lt;&gt;Constants!$B$4,$BH465,SUM($BK465:$BS465)-$BZ465))</f>
        <v/>
      </c>
      <c r="CB465" s="74" t="str">
        <f aca="false">IF(ISBLANK($C465),"",IF($BH465&lt;&gt;Constants!$B$4,$BH465,RANK($CA465,$CA$9:$CA$508)))</f>
        <v/>
      </c>
      <c r="CC465" s="74" t="str">
        <f aca="false">IF(ISBLANK($C465),"",IF($BH465&lt;&gt;Constants!$B$4,$BH465,COUNTIFS($BI$9:$BI$508,"&lt;"&amp;$BI465)+COUNTIFS($BI$9:$BI$508,$BI465,$CB$9:$CB$508,"&lt;"&amp;$CB465)+1))</f>
        <v/>
      </c>
      <c r="CD465" s="74" t="str">
        <f aca="false">IF(ISBLANK($C465),"",IF($BH465&lt;&gt;Constants!$B$4,$BH465,RANK($BZ465,$BZ$9:$BZ$508,1)))</f>
        <v/>
      </c>
      <c r="CE465" s="74" t="str">
        <f aca="false">IF($BH465&lt;&gt;Constants!$B$4,"",$AL465+$AM465+$AN465)</f>
        <v/>
      </c>
      <c r="CF465" s="74" t="str">
        <f aca="false">IF(ISBLANK($C465),"",IF($BH465&lt;&gt;Constants!$B$4,$BH465,RANK($CE465,$CE$9:$CE$508,1)))</f>
        <v/>
      </c>
      <c r="CG465" s="74" t="str">
        <f aca="false">IF(ISBLANK($C465),"",IF($BH465&lt;&gt;Constants!$B$4,$BH465,COUNTIFS($BI$9:$BI$508,"&lt;"&amp;$BI465)+COUNTIFS($BI$9:$BI$508,$BI465,$CB$9:$CB$508,"&lt;"&amp;$CB465)+COUNTIFS($BI$9:$BI$508,$BI465,$CB$9:$CB$508,$CB465,$CD$9:$CD$508,"&lt;"&amp;$CD465)+COUNTIFS($BI$9:$BI$508,$BI465,$CB$9:$CB$508,$CB465,$CD$9:$CD$508,$CD465,$CF$9:$CF$508,"&lt;"&amp;$CF465)+1))</f>
        <v/>
      </c>
      <c r="CH465" s="74" t="str">
        <f aca="false">IF(ISBLANK($C465),"",IF($BH465&lt;&gt;Constants!$B$4,$BH465,$CC465-$CG465))</f>
        <v/>
      </c>
      <c r="CI465" s="74" t="str">
        <f aca="false">IF(ISBLANK($C465),"",IF(NOT($AJ465),"",IF(ISBLANK($D$7),$CI$5,IF(NOT(ISNUMBER($D$7)),$CI$6,""))))</f>
        <v/>
      </c>
      <c r="CJ465" s="74" t="str">
        <f aca="false">IF(ISBLANK($C465),"",OR($AL465="",$AM465="",$AN465=""))</f>
        <v/>
      </c>
      <c r="CK465" s="74" t="str">
        <f aca="false">IF(ISBLANK($C465),"",AND($AJ465,$AX465=""))</f>
        <v/>
      </c>
      <c r="CL465" s="74" t="str">
        <f aca="false">IF(ISBLANK($C465),"",AND($AJ465,$AY465=""))</f>
        <v/>
      </c>
      <c r="CM465" s="74" t="str">
        <f aca="false">IF(ISBLANK($C465),"",AND($AJ465,$AZ465=""))</f>
        <v/>
      </c>
      <c r="CN465" s="74" t="str">
        <f aca="false">IF(ISBLANK($C465),"",AND($AJ465,$BC465=""))</f>
        <v/>
      </c>
      <c r="CO465" s="74" t="str">
        <f aca="false">IF(ISBLANK($C465),"",AND($AJ465,$BF465=""))</f>
        <v/>
      </c>
      <c r="CP465" s="75"/>
      <c r="CQ465" s="76"/>
      <c r="CR465" s="79" t="str">
        <f aca="false">IF(ISBLANK($C465),"",IF($BH465=Constants!$B$8,$CI465,""))</f>
        <v/>
      </c>
      <c r="CS465" s="76" t="str">
        <f aca="false">IF(ISBLANK($C465),"",IF($BH465&lt;&gt;Constants!$B$4,"",$BK465+$BL465))</f>
        <v/>
      </c>
      <c r="CT465" s="78" t="str">
        <f aca="false">IF(ISBLANK($C465),"",IF($BH465&lt;&gt;Constants!$B$4,"",$BM465+$BN465+$BO465))</f>
        <v/>
      </c>
      <c r="CU465" s="78" t="str">
        <f aca="false">IF(ISBLANK($C465),"",IF($BH465&lt;&gt;Constants!$B$4,"",$BP465))</f>
        <v/>
      </c>
      <c r="CV465" s="78" t="str">
        <f aca="false">IF(ISBLANK($C465),"",IF($BH465&lt;&gt;Constants!$B$4,"",$BQ465+$BR465))</f>
        <v/>
      </c>
      <c r="CW465" s="78" t="str">
        <f aca="false">IF(ISBLANK($C465),"",IF($BH465&lt;&gt;Constants!$B$4,"",$BS465))</f>
        <v/>
      </c>
      <c r="CX465" s="78" t="str">
        <f aca="false">IF(ISBLANK($C465),"",IF($BH465&lt;&gt;Constants!$B$4,"",-$BZ465))</f>
        <v/>
      </c>
      <c r="CY465" s="79" t="str">
        <f aca="false">IF(ISBLANK($C465),"",$CA465)</f>
        <v/>
      </c>
      <c r="CZ465" s="80" t="str">
        <f aca="false">IF(ISBLANK($C465),"",$BI465)</f>
        <v/>
      </c>
      <c r="DA465" s="78" t="str">
        <f aca="false">IF(ISBLANK($C465),"",$CH465)</f>
        <v/>
      </c>
      <c r="DB465" s="78" t="str">
        <f aca="false">IF(ISBLANK($C465),"",$CG465)</f>
        <v/>
      </c>
      <c r="DC465" s="81" t="str">
        <f aca="false">IF(ISBLANK($C465),"",IFERROR(_xlfn.SWITCH($DB465,Constants!$B$7,COUNTA($C$9:$C$508)+2,Constants!$B$6,COUNTA($C$9:$C$508)+1,Constants!$B$5,COUNTA($C$9:$C$508)),$DB465))</f>
        <v/>
      </c>
      <c r="DD465" s="7"/>
      <c r="DE465" s="82" t="n">
        <f aca="false">IF(OR(ISNUMBER($DB465),$DB465=Constants!$B$7,$DB465=Constants!$B$5,$DB465=Constants!$B$6),1,0)</f>
        <v>0</v>
      </c>
      <c r="DF465" s="82" t="n">
        <v>457</v>
      </c>
      <c r="DG465" s="82" t="str">
        <f aca="false">IF(ISBLANK($C465),"",IF(ISNUMBER($DC465),$DC465+ROW($B465)/1000,""))</f>
        <v/>
      </c>
      <c r="DH465" s="82" t="str">
        <f aca="false">IF(ISNUMBER($DG465),RANK($DG465,$DG$9:$DG$508,1),"")</f>
        <v/>
      </c>
      <c r="DI465" s="82" t="str">
        <f aca="false">IF(ISBLANK($C465),"",$B465)</f>
        <v/>
      </c>
      <c r="DJ465" s="82" t="str">
        <f aca="false">IF(ISBLANK($C465),"",$C465)</f>
        <v/>
      </c>
      <c r="DK465" s="82" t="str">
        <f aca="false">IF(ISBLANK($C465),"",$D465)</f>
        <v/>
      </c>
      <c r="DL465" s="83" t="str">
        <f aca="false">$CZ465</f>
        <v/>
      </c>
      <c r="DM465" s="84" t="str">
        <f aca="false">$CY465</f>
        <v/>
      </c>
      <c r="DN465" s="82" t="str">
        <f aca="false">IF(ISBLANK($C465),"",$DB465)</f>
        <v/>
      </c>
      <c r="DO465" s="85" t="str">
        <f aca="false">IF($DF465&gt;$DE$8,"",VLOOKUP($DF465,$DH$9:$DN$508,7,FALSE()))</f>
        <v/>
      </c>
      <c r="DP465" s="86" t="str">
        <f aca="false">IF($DF465&gt;$DE$8,"",VLOOKUP($DF465,$DH$9:$DN$508,2,FALSE()))</f>
        <v/>
      </c>
      <c r="DQ465" s="86" t="str">
        <f aca="false">IF($DF465&gt;$DE$8,"",VLOOKUP($DF465,$DH$9:$DN$508,3,FALSE()))</f>
        <v/>
      </c>
      <c r="DR465" s="86" t="str">
        <f aca="false">IF($DF465&gt;$DE$8,"",VLOOKUP($DF465,$DH$9:$DN$508,4,FALSE()))</f>
        <v/>
      </c>
      <c r="DS465" s="86" t="str">
        <f aca="false">IF($DF465&gt;$DE$8,"",VLOOKUP($DF465,$DH$9:$DN$508,5,FALSE()))</f>
        <v/>
      </c>
      <c r="DT465" s="87" t="str">
        <f aca="false">IF($DF465&gt;$DE$8,"",VLOOKUP($DF465,$DH$9:$DN$508,6,FALSE()))</f>
        <v/>
      </c>
      <c r="DU465" s="62"/>
    </row>
    <row r="466" customFormat="false" ht="15.75" hidden="false" customHeight="false" outlineLevel="0" collapsed="false">
      <c r="A466" s="7"/>
      <c r="B466" s="64"/>
      <c r="C466" s="65"/>
      <c r="D466" s="123"/>
      <c r="E466" s="88"/>
      <c r="F466" s="134"/>
      <c r="G466" s="88"/>
      <c r="H466" s="134"/>
      <c r="I466" s="119"/>
      <c r="J466" s="119"/>
      <c r="K466" s="119"/>
      <c r="L466" s="88"/>
      <c r="M466" s="88"/>
      <c r="N466" s="88"/>
      <c r="O466" s="134"/>
      <c r="P466" s="88"/>
      <c r="Q466" s="88"/>
      <c r="R466" s="88"/>
      <c r="S466" s="88"/>
      <c r="T466" s="134"/>
      <c r="U466" s="88"/>
      <c r="V466" s="70"/>
      <c r="W466" s="88"/>
      <c r="X466" s="88"/>
      <c r="Y466" s="70"/>
      <c r="Z466" s="70"/>
      <c r="AA466" s="88"/>
      <c r="AB466" s="88"/>
      <c r="AC466" s="71"/>
      <c r="AD466" s="88"/>
      <c r="AE466" s="73"/>
      <c r="AF466" s="74"/>
      <c r="AG466" s="74"/>
      <c r="AH466" s="74" t="str">
        <f aca="false">IF(ISBLANK($C466),"",IF($E466=Constants!$B$2,TRUE(),IF($E466=Constants!$B$3,FALSE(),TRUE())))</f>
        <v/>
      </c>
      <c r="AI466" s="74" t="str">
        <f aca="false">IF(ISBLANK($C466),"",IF($F466=Constants!$B$2,TRUE(),IF($F466=Constants!$B$3,FALSE(),FALSE())))</f>
        <v/>
      </c>
      <c r="AJ466" s="74" t="str">
        <f aca="false">IF(ISBLANK($C466),"",IF($G466=Constants!$B$2,TRUE(),IF($G466=Constants!$B$3,FALSE(),TRUE())))</f>
        <v/>
      </c>
      <c r="AK466" s="74" t="str">
        <f aca="false">IF(ISBLANK($C466),"",IF($H466=Constants!$B$2,TRUE(),IF($H466=Constants!$B$3,FALSE(),TRUE())))</f>
        <v/>
      </c>
      <c r="AL466" s="74" t="str">
        <f aca="false">IF(ISBLANK($C466),"",IF(ISNUMBER($I466),IF($I466&gt;=0,$I466,""),""))</f>
        <v/>
      </c>
      <c r="AM466" s="74" t="str">
        <f aca="false">IF(ISBLANK($C466),"",IF(ISNUMBER($J466),IF($J466&gt;=0,$J466,""),""))</f>
        <v/>
      </c>
      <c r="AN466" s="74" t="str">
        <f aca="false">IF(ISBLANK($C466),"",IF(ISNUMBER($K466),IF($K466&gt;=0,$K466,""),""))</f>
        <v/>
      </c>
      <c r="AO466" s="74" t="str">
        <f aca="false">IF(ISBLANK($C466),"",IF($L466=Constants!$B$2,TRUE(),IF($L466=Constants!$B$3,FALSE(),TRUE())))</f>
        <v/>
      </c>
      <c r="AP466" s="74" t="str">
        <f aca="false">IF(ISBLANK($C466),"",IF($M466=Constants!$B$2,TRUE(),IF($M466=Constants!$B$3,FALSE(),TRUE())))</f>
        <v/>
      </c>
      <c r="AQ466" s="74" t="str">
        <f aca="false">IF(ISBLANK($C466),"",IF($N466=Constants!$B$2,TRUE(),IF($N466=Constants!$B$3,FALSE(),FALSE())))</f>
        <v/>
      </c>
      <c r="AR466" s="74" t="str">
        <f aca="false">IF(ISBLANK($C466),"",IF($O466=Constants!$B$2,TRUE(),IF($O466=Constants!$B$3,FALSE(),TRUE())))</f>
        <v/>
      </c>
      <c r="AS466" s="74" t="str">
        <f aca="false">IF(ISBLANK($C466),"",IF($P466=Constants!$B$2,TRUE(),IF($P466=Constants!$B$3,FALSE(),FALSE())))</f>
        <v/>
      </c>
      <c r="AT466" s="74" t="str">
        <f aca="false">IF(ISBLANK($C466),"",IF($Q466=Constants!$B$2,TRUE(),IF($Q466=Constants!$B$3,FALSE(),FALSE())))</f>
        <v/>
      </c>
      <c r="AU466" s="74" t="str">
        <f aca="false">IF(ISBLANK($C466),"",IF($R466=Constants!$B$2,TRUE(),IF($R466=Constants!$B$3,FALSE(),FALSE())))</f>
        <v/>
      </c>
      <c r="AV466" s="74" t="str">
        <f aca="false">IF(ISBLANK($C466),"",IF($S466=Constants!$B$2,TRUE(),IF($S466=Constants!$B$3,FALSE(),FALSE())))</f>
        <v/>
      </c>
      <c r="AW466" s="74" t="str">
        <f aca="false">IF(ISBLANK($C466),"",IF($T466=Constants!$B$2,TRUE(),IF($T466=Constants!$B$3,FALSE(),FALSE())))</f>
        <v/>
      </c>
      <c r="AX466" s="74" t="str">
        <f aca="false">IF(ISBLANK($C466),"",IF(OR($U466&amp;""="1",$U466&amp;""="2",$U466&amp;""="3",$U466&amp;""="4"),VALUE($U466&amp;""),IF($U466=Constants!$B$12,Constants!$B$12,"")))</f>
        <v/>
      </c>
      <c r="AY466" s="74" t="str">
        <f aca="false">IF(ISBLANK($C466),"",IF(ISBLANK($V466),0,IF(ISNUMBER($V466),IF(AND($V466&gt;=0,$V466&lt;=Constants!$B$21,$V466=INT($V466)),$V466,""),"")))</f>
        <v/>
      </c>
      <c r="AZ466" s="74" t="str">
        <f aca="false">IF(ISBLANK($C466),"",IF(ISBLANK($W466),0,IF(ISNUMBER($W466),IF($W466&gt;=0,$W466,""),"")))</f>
        <v/>
      </c>
      <c r="BA466" s="74" t="str">
        <f aca="false">IF(ISBLANK($C466),"",IF($X466=Constants!$B$2,TRUE(),IF($X466=Constants!$B$3,FALSE(),TRUE())))</f>
        <v/>
      </c>
      <c r="BB466" s="74" t="str">
        <f aca="false">IF(ISBLANK($C466),"",IF($Y466=Constants!$B$2,TRUE(),IF($Y466=Constants!$B$3,FALSE(),FALSE())))</f>
        <v/>
      </c>
      <c r="BC466" s="74" t="str">
        <f aca="false">IF(ISBLANK($C466),"",IF(ISBLANK($Z466),0,IF(ISNUMBER($Z466),IF(AND($Z466&gt;=0,$Z466&lt;=Constants!$B$35,$Z466=INT($Z466)),$Z466,""),"")))</f>
        <v/>
      </c>
      <c r="BD466" s="74" t="str">
        <f aca="false">IF(ISBLANK($C466),"",IF($AA466=Constants!$B$2,TRUE(),IF($AA466=Constants!$B$3,FALSE(),TRUE())))</f>
        <v/>
      </c>
      <c r="BE466" s="74" t="str">
        <f aca="false">IF(ISBLANK($C466),"",IF($AB466=Constants!$B$2,TRUE(),IF($AB466=Constants!$B$3,FALSE(),TRUE())))</f>
        <v/>
      </c>
      <c r="BF466" s="74" t="str">
        <f aca="false">IF(ISBLANK($C466),"",IF(ISNUMBER($AC466),IF($AC466&gt;=0,$AC466,""),""))</f>
        <v/>
      </c>
      <c r="BG466" s="74" t="str">
        <f aca="false">IF(ISBLANK($C466),"",IF($AD466=Constants!$B$2,TRUE(),IF($AD466=Constants!$B$3,FALSE(),FALSE())))</f>
        <v/>
      </c>
      <c r="BH466" s="73" t="str">
        <f aca="false">IF(ISBLANK($C466),"",IF($BG466,Constants!$B$7,IF(COUNTA($E466:$AC466)=0,Constants!$B$6,IF(OR(COUNTA($G466:$AC466)=0,NOT($AK466),$AQ466),Constants!$B$5,IF(OR($CI466&lt;&gt;"",$CJ466,$CK466,$CL466,$CM466,$CN466,$CO466),Constants!$B$8,Constants!$B$4)))))</f>
        <v/>
      </c>
      <c r="BI466" s="74" t="str">
        <f aca="false">IF(ISBLANK($C466),"",IF($BH466&lt;&gt;Constants!$B$4,$BH466,IF(OR(NOT($AH466),NOT($AJ466),NOT($AR466)),Constants!$B$11,IF(OR(NOT($AP466),MAX($AL466,$AM466,$AN466)&gt;Constants!$B$30),Constants!$B$10,Constants!$B$9))))</f>
        <v/>
      </c>
      <c r="BJ466" s="74" t="str">
        <f aca="false">IF($BH466&lt;&gt;Constants!$B$4,"",IF(NOT($AJ466),0,MIN(Constants!$B$35,$BC466)))</f>
        <v/>
      </c>
      <c r="BK466" s="74" t="str">
        <f aca="false">IF($BH466&lt;&gt;Constants!$B$4,"",IF(NOT($AJ466),0,IF($AT466,Constants!$B$18,IF($AS466,Constants!$B$17,0))))</f>
        <v/>
      </c>
      <c r="BL466" s="74" t="str">
        <f aca="false">IF($BH466&lt;&gt;Constants!$B$4,"",IF(NOT($AJ466),0,Constants!$B$19*($AI466+$AU466+$AV466+$AW466)))</f>
        <v/>
      </c>
      <c r="BM466" s="74" t="str">
        <f aca="false">IF($BH466&lt;&gt;Constants!$B$4,"",IF(OR(NOT($AJ466),NOT(ISNUMBER($AX466))),0,CHOOSE($AX466,Constants!$B$13,Constants!$B$14,Constants!$B$15,Constants!$B$16)))</f>
        <v/>
      </c>
      <c r="BN466" s="74" t="str">
        <f aca="false">IF($BH466&lt;&gt;Constants!$B$4,"",IF(NOT($AJ466),0,Constants!$B$20*$AY466))</f>
        <v/>
      </c>
      <c r="BO466" s="74" t="str">
        <f aca="false">IF($BH466&lt;&gt;Constants!$B$4,"",IF(AND($AJ466,$BA466,$BB466),Constants!$B$22,0))</f>
        <v/>
      </c>
      <c r="BP466" s="74" t="str">
        <f aca="false">IF($BH466&lt;&gt;Constants!$B$4,"",IF(OR(NOT($AJ466),NOT($BA466)),0,IF($BF466&gt;=2*$AF$9,0,Constants!$B$23*INT(ROUND(MIN($BF466,$AF$9),6)))))</f>
        <v/>
      </c>
      <c r="BQ466" s="74" t="str">
        <f aca="false">IF($BH466&lt;&gt;Constants!$B$4,"",IF(NOT($AJ466),0,Constants!$B$24*INT(ROUND(MIN($AZ466,$AF$9),6))))</f>
        <v/>
      </c>
      <c r="BR466" s="74" t="str">
        <f aca="false">IF($BH466&lt;&gt;Constants!$B$4,"",IF(AND($AJ466,$BJ466=0),Constants!$B$25,0))</f>
        <v/>
      </c>
      <c r="BS466" s="74" t="str">
        <f aca="false">IF($BH466&lt;&gt;Constants!$B$4,"",MIN(Constants!$B$29,MAX(0,Constants!$B$27*Constants!$B$28*INT(ROUND((Constants!$B$26-$AL466)/Constants!$B$28,6))))+MIN(Constants!$B$29,MAX(0,Constants!$B$27*Constants!$B$28*INT(ROUND((Constants!$B$26-$AM466)/Constants!$B$28,6))))+MIN(Constants!$B$29,MAX(0,Constants!$B$27*Constants!$B$28*INT(ROUND((Constants!$B$26-$AN466)/Constants!$B$28,6)))))</f>
        <v/>
      </c>
      <c r="BT466" s="74" t="str">
        <f aca="false">IF($BH466&lt;&gt;Constants!$B$4,"",IF(NOT($AJ466),0,Constants!$B$31*INT(ROUND(MAX(0,MIN($BF466,2*$AF$9)-$AF$9),6))))</f>
        <v/>
      </c>
      <c r="BU466" s="74" t="str">
        <f aca="false">IF($BH466&lt;&gt;Constants!$B$4,"",Constants!$B$32*(($AL466&gt;Constants!$B$26)+($AM466&gt;Constants!$B$26)+($AN466&gt;Constants!$B$26)))</f>
        <v/>
      </c>
      <c r="BV466" s="74" t="str">
        <f aca="false">IF($BH466&lt;&gt;Constants!$B$4,"",IF(OR(NOT($AJ466),$AO466),0,Constants!$B$33))</f>
        <v/>
      </c>
      <c r="BW466" s="74" t="str">
        <f aca="false">IF($BH466&lt;&gt;Constants!$B$4,"",Constants!$B$34*$BJ466)</f>
        <v/>
      </c>
      <c r="BX466" s="74" t="str">
        <f aca="false">IF($BH466&lt;&gt;Constants!$B$4,"",IF(OR(NOT($AJ466),$BE466),0,Constants!$B$36))</f>
        <v/>
      </c>
      <c r="BY466" s="74" t="str">
        <f aca="false">IF($BH466&lt;&gt;Constants!$B$4,"",IF(OR(NOT($AJ466),$BD466),0,Constants!$B$37))</f>
        <v/>
      </c>
      <c r="BZ466" s="74" t="str">
        <f aca="false">IF($BH466&lt;&gt;Constants!$B$4,"",SUM($BT466:$BY466))</f>
        <v/>
      </c>
      <c r="CA466" s="74" t="str">
        <f aca="false">IF(ISBLANK($C466),"",IF($BH466&lt;&gt;Constants!$B$4,$BH466,SUM($BK466:$BS466)-$BZ466))</f>
        <v/>
      </c>
      <c r="CB466" s="74" t="str">
        <f aca="false">IF(ISBLANK($C466),"",IF($BH466&lt;&gt;Constants!$B$4,$BH466,RANK($CA466,$CA$9:$CA$508)))</f>
        <v/>
      </c>
      <c r="CC466" s="74" t="str">
        <f aca="false">IF(ISBLANK($C466),"",IF($BH466&lt;&gt;Constants!$B$4,$BH466,COUNTIFS($BI$9:$BI$508,"&lt;"&amp;$BI466)+COUNTIFS($BI$9:$BI$508,$BI466,$CB$9:$CB$508,"&lt;"&amp;$CB466)+1))</f>
        <v/>
      </c>
      <c r="CD466" s="74" t="str">
        <f aca="false">IF(ISBLANK($C466),"",IF($BH466&lt;&gt;Constants!$B$4,$BH466,RANK($BZ466,$BZ$9:$BZ$508,1)))</f>
        <v/>
      </c>
      <c r="CE466" s="74" t="str">
        <f aca="false">IF($BH466&lt;&gt;Constants!$B$4,"",$AL466+$AM466+$AN466)</f>
        <v/>
      </c>
      <c r="CF466" s="74" t="str">
        <f aca="false">IF(ISBLANK($C466),"",IF($BH466&lt;&gt;Constants!$B$4,$BH466,RANK($CE466,$CE$9:$CE$508,1)))</f>
        <v/>
      </c>
      <c r="CG466" s="74" t="str">
        <f aca="false">IF(ISBLANK($C466),"",IF($BH466&lt;&gt;Constants!$B$4,$BH466,COUNTIFS($BI$9:$BI$508,"&lt;"&amp;$BI466)+COUNTIFS($BI$9:$BI$508,$BI466,$CB$9:$CB$508,"&lt;"&amp;$CB466)+COUNTIFS($BI$9:$BI$508,$BI466,$CB$9:$CB$508,$CB466,$CD$9:$CD$508,"&lt;"&amp;$CD466)+COUNTIFS($BI$9:$BI$508,$BI466,$CB$9:$CB$508,$CB466,$CD$9:$CD$508,$CD466,$CF$9:$CF$508,"&lt;"&amp;$CF466)+1))</f>
        <v/>
      </c>
      <c r="CH466" s="74" t="str">
        <f aca="false">IF(ISBLANK($C466),"",IF($BH466&lt;&gt;Constants!$B$4,$BH466,$CC466-$CG466))</f>
        <v/>
      </c>
      <c r="CI466" s="74" t="str">
        <f aca="false">IF(ISBLANK($C466),"",IF(NOT($AJ466),"",IF(ISBLANK($D$7),$CI$5,IF(NOT(ISNUMBER($D$7)),$CI$6,""))))</f>
        <v/>
      </c>
      <c r="CJ466" s="74" t="str">
        <f aca="false">IF(ISBLANK($C466),"",OR($AL466="",$AM466="",$AN466=""))</f>
        <v/>
      </c>
      <c r="CK466" s="74" t="str">
        <f aca="false">IF(ISBLANK($C466),"",AND($AJ466,$AX466=""))</f>
        <v/>
      </c>
      <c r="CL466" s="74" t="str">
        <f aca="false">IF(ISBLANK($C466),"",AND($AJ466,$AY466=""))</f>
        <v/>
      </c>
      <c r="CM466" s="74" t="str">
        <f aca="false">IF(ISBLANK($C466),"",AND($AJ466,$AZ466=""))</f>
        <v/>
      </c>
      <c r="CN466" s="74" t="str">
        <f aca="false">IF(ISBLANK($C466),"",AND($AJ466,$BC466=""))</f>
        <v/>
      </c>
      <c r="CO466" s="74" t="str">
        <f aca="false">IF(ISBLANK($C466),"",AND($AJ466,$BF466=""))</f>
        <v/>
      </c>
      <c r="CP466" s="75"/>
      <c r="CQ466" s="76"/>
      <c r="CR466" s="79" t="str">
        <f aca="false">IF(ISBLANK($C466),"",IF($BH466=Constants!$B$8,$CI466,""))</f>
        <v/>
      </c>
      <c r="CS466" s="76" t="str">
        <f aca="false">IF(ISBLANK($C466),"",IF($BH466&lt;&gt;Constants!$B$4,"",$BK466+$BL466))</f>
        <v/>
      </c>
      <c r="CT466" s="78" t="str">
        <f aca="false">IF(ISBLANK($C466),"",IF($BH466&lt;&gt;Constants!$B$4,"",$BM466+$BN466+$BO466))</f>
        <v/>
      </c>
      <c r="CU466" s="78" t="str">
        <f aca="false">IF(ISBLANK($C466),"",IF($BH466&lt;&gt;Constants!$B$4,"",$BP466))</f>
        <v/>
      </c>
      <c r="CV466" s="78" t="str">
        <f aca="false">IF(ISBLANK($C466),"",IF($BH466&lt;&gt;Constants!$B$4,"",$BQ466+$BR466))</f>
        <v/>
      </c>
      <c r="CW466" s="78" t="str">
        <f aca="false">IF(ISBLANK($C466),"",IF($BH466&lt;&gt;Constants!$B$4,"",$BS466))</f>
        <v/>
      </c>
      <c r="CX466" s="78" t="str">
        <f aca="false">IF(ISBLANK($C466),"",IF($BH466&lt;&gt;Constants!$B$4,"",-$BZ466))</f>
        <v/>
      </c>
      <c r="CY466" s="79" t="str">
        <f aca="false">IF(ISBLANK($C466),"",$CA466)</f>
        <v/>
      </c>
      <c r="CZ466" s="80" t="str">
        <f aca="false">IF(ISBLANK($C466),"",$BI466)</f>
        <v/>
      </c>
      <c r="DA466" s="78" t="str">
        <f aca="false">IF(ISBLANK($C466),"",$CH466)</f>
        <v/>
      </c>
      <c r="DB466" s="78" t="str">
        <f aca="false">IF(ISBLANK($C466),"",$CG466)</f>
        <v/>
      </c>
      <c r="DC466" s="81" t="str">
        <f aca="false">IF(ISBLANK($C466),"",IFERROR(_xlfn.SWITCH($DB466,Constants!$B$7,COUNTA($C$9:$C$508)+2,Constants!$B$6,COUNTA($C$9:$C$508)+1,Constants!$B$5,COUNTA($C$9:$C$508)),$DB466))</f>
        <v/>
      </c>
      <c r="DD466" s="7"/>
      <c r="DE466" s="82" t="n">
        <f aca="false">IF(OR(ISNUMBER($DB466),$DB466=Constants!$B$7,$DB466=Constants!$B$5,$DB466=Constants!$B$6),1,0)</f>
        <v>0</v>
      </c>
      <c r="DF466" s="82" t="n">
        <v>458</v>
      </c>
      <c r="DG466" s="82" t="str">
        <f aca="false">IF(ISBLANK($C466),"",IF(ISNUMBER($DC466),$DC466+ROW($B466)/1000,""))</f>
        <v/>
      </c>
      <c r="DH466" s="82" t="str">
        <f aca="false">IF(ISNUMBER($DG466),RANK($DG466,$DG$9:$DG$508,1),"")</f>
        <v/>
      </c>
      <c r="DI466" s="82" t="str">
        <f aca="false">IF(ISBLANK($C466),"",$B466)</f>
        <v/>
      </c>
      <c r="DJ466" s="82" t="str">
        <f aca="false">IF(ISBLANK($C466),"",$C466)</f>
        <v/>
      </c>
      <c r="DK466" s="82" t="str">
        <f aca="false">IF(ISBLANK($C466),"",$D466)</f>
        <v/>
      </c>
      <c r="DL466" s="83" t="str">
        <f aca="false">$CZ466</f>
        <v/>
      </c>
      <c r="DM466" s="84" t="str">
        <f aca="false">$CY466</f>
        <v/>
      </c>
      <c r="DN466" s="82" t="str">
        <f aca="false">IF(ISBLANK($C466),"",$DB466)</f>
        <v/>
      </c>
      <c r="DO466" s="85" t="str">
        <f aca="false">IF($DF466&gt;$DE$8,"",VLOOKUP($DF466,$DH$9:$DN$508,7,FALSE()))</f>
        <v/>
      </c>
      <c r="DP466" s="86" t="str">
        <f aca="false">IF($DF466&gt;$DE$8,"",VLOOKUP($DF466,$DH$9:$DN$508,2,FALSE()))</f>
        <v/>
      </c>
      <c r="DQ466" s="86" t="str">
        <f aca="false">IF($DF466&gt;$DE$8,"",VLOOKUP($DF466,$DH$9:$DN$508,3,FALSE()))</f>
        <v/>
      </c>
      <c r="DR466" s="86" t="str">
        <f aca="false">IF($DF466&gt;$DE$8,"",VLOOKUP($DF466,$DH$9:$DN$508,4,FALSE()))</f>
        <v/>
      </c>
      <c r="DS466" s="86" t="str">
        <f aca="false">IF($DF466&gt;$DE$8,"",VLOOKUP($DF466,$DH$9:$DN$508,5,FALSE()))</f>
        <v/>
      </c>
      <c r="DT466" s="87" t="str">
        <f aca="false">IF($DF466&gt;$DE$8,"",VLOOKUP($DF466,$DH$9:$DN$508,6,FALSE()))</f>
        <v/>
      </c>
      <c r="DU466" s="62"/>
    </row>
    <row r="467" customFormat="false" ht="15.75" hidden="false" customHeight="false" outlineLevel="0" collapsed="false">
      <c r="A467" s="7"/>
      <c r="B467" s="64"/>
      <c r="C467" s="65"/>
      <c r="D467" s="123"/>
      <c r="E467" s="88"/>
      <c r="F467" s="134"/>
      <c r="G467" s="88"/>
      <c r="H467" s="134"/>
      <c r="I467" s="119"/>
      <c r="J467" s="119"/>
      <c r="K467" s="119"/>
      <c r="L467" s="88"/>
      <c r="M467" s="88"/>
      <c r="N467" s="88"/>
      <c r="O467" s="134"/>
      <c r="P467" s="88"/>
      <c r="Q467" s="88"/>
      <c r="R467" s="88"/>
      <c r="S467" s="88"/>
      <c r="T467" s="134"/>
      <c r="U467" s="88"/>
      <c r="V467" s="70"/>
      <c r="W467" s="88"/>
      <c r="X467" s="88"/>
      <c r="Y467" s="70"/>
      <c r="Z467" s="70"/>
      <c r="AA467" s="88"/>
      <c r="AB467" s="88"/>
      <c r="AC467" s="71"/>
      <c r="AD467" s="88"/>
      <c r="AE467" s="73"/>
      <c r="AF467" s="74"/>
      <c r="AG467" s="74"/>
      <c r="AH467" s="74" t="str">
        <f aca="false">IF(ISBLANK($C467),"",IF($E467=Constants!$B$2,TRUE(),IF($E467=Constants!$B$3,FALSE(),TRUE())))</f>
        <v/>
      </c>
      <c r="AI467" s="74" t="str">
        <f aca="false">IF(ISBLANK($C467),"",IF($F467=Constants!$B$2,TRUE(),IF($F467=Constants!$B$3,FALSE(),FALSE())))</f>
        <v/>
      </c>
      <c r="AJ467" s="74" t="str">
        <f aca="false">IF(ISBLANK($C467),"",IF($G467=Constants!$B$2,TRUE(),IF($G467=Constants!$B$3,FALSE(),TRUE())))</f>
        <v/>
      </c>
      <c r="AK467" s="74" t="str">
        <f aca="false">IF(ISBLANK($C467),"",IF($H467=Constants!$B$2,TRUE(),IF($H467=Constants!$B$3,FALSE(),TRUE())))</f>
        <v/>
      </c>
      <c r="AL467" s="74" t="str">
        <f aca="false">IF(ISBLANK($C467),"",IF(ISNUMBER($I467),IF($I467&gt;=0,$I467,""),""))</f>
        <v/>
      </c>
      <c r="AM467" s="74" t="str">
        <f aca="false">IF(ISBLANK($C467),"",IF(ISNUMBER($J467),IF($J467&gt;=0,$J467,""),""))</f>
        <v/>
      </c>
      <c r="AN467" s="74" t="str">
        <f aca="false">IF(ISBLANK($C467),"",IF(ISNUMBER($K467),IF($K467&gt;=0,$K467,""),""))</f>
        <v/>
      </c>
      <c r="AO467" s="74" t="str">
        <f aca="false">IF(ISBLANK($C467),"",IF($L467=Constants!$B$2,TRUE(),IF($L467=Constants!$B$3,FALSE(),TRUE())))</f>
        <v/>
      </c>
      <c r="AP467" s="74" t="str">
        <f aca="false">IF(ISBLANK($C467),"",IF($M467=Constants!$B$2,TRUE(),IF($M467=Constants!$B$3,FALSE(),TRUE())))</f>
        <v/>
      </c>
      <c r="AQ467" s="74" t="str">
        <f aca="false">IF(ISBLANK($C467),"",IF($N467=Constants!$B$2,TRUE(),IF($N467=Constants!$B$3,FALSE(),FALSE())))</f>
        <v/>
      </c>
      <c r="AR467" s="74" t="str">
        <f aca="false">IF(ISBLANK($C467),"",IF($O467=Constants!$B$2,TRUE(),IF($O467=Constants!$B$3,FALSE(),TRUE())))</f>
        <v/>
      </c>
      <c r="AS467" s="74" t="str">
        <f aca="false">IF(ISBLANK($C467),"",IF($P467=Constants!$B$2,TRUE(),IF($P467=Constants!$B$3,FALSE(),FALSE())))</f>
        <v/>
      </c>
      <c r="AT467" s="74" t="str">
        <f aca="false">IF(ISBLANK($C467),"",IF($Q467=Constants!$B$2,TRUE(),IF($Q467=Constants!$B$3,FALSE(),FALSE())))</f>
        <v/>
      </c>
      <c r="AU467" s="74" t="str">
        <f aca="false">IF(ISBLANK($C467),"",IF($R467=Constants!$B$2,TRUE(),IF($R467=Constants!$B$3,FALSE(),FALSE())))</f>
        <v/>
      </c>
      <c r="AV467" s="74" t="str">
        <f aca="false">IF(ISBLANK($C467),"",IF($S467=Constants!$B$2,TRUE(),IF($S467=Constants!$B$3,FALSE(),FALSE())))</f>
        <v/>
      </c>
      <c r="AW467" s="74" t="str">
        <f aca="false">IF(ISBLANK($C467),"",IF($T467=Constants!$B$2,TRUE(),IF($T467=Constants!$B$3,FALSE(),FALSE())))</f>
        <v/>
      </c>
      <c r="AX467" s="74" t="str">
        <f aca="false">IF(ISBLANK($C467),"",IF(OR($U467&amp;""="1",$U467&amp;""="2",$U467&amp;""="3",$U467&amp;""="4"),VALUE($U467&amp;""),IF($U467=Constants!$B$12,Constants!$B$12,"")))</f>
        <v/>
      </c>
      <c r="AY467" s="74" t="str">
        <f aca="false">IF(ISBLANK($C467),"",IF(ISBLANK($V467),0,IF(ISNUMBER($V467),IF(AND($V467&gt;=0,$V467&lt;=Constants!$B$21,$V467=INT($V467)),$V467,""),"")))</f>
        <v/>
      </c>
      <c r="AZ467" s="74" t="str">
        <f aca="false">IF(ISBLANK($C467),"",IF(ISBLANK($W467),0,IF(ISNUMBER($W467),IF($W467&gt;=0,$W467,""),"")))</f>
        <v/>
      </c>
      <c r="BA467" s="74" t="str">
        <f aca="false">IF(ISBLANK($C467),"",IF($X467=Constants!$B$2,TRUE(),IF($X467=Constants!$B$3,FALSE(),TRUE())))</f>
        <v/>
      </c>
      <c r="BB467" s="74" t="str">
        <f aca="false">IF(ISBLANK($C467),"",IF($Y467=Constants!$B$2,TRUE(),IF($Y467=Constants!$B$3,FALSE(),FALSE())))</f>
        <v/>
      </c>
      <c r="BC467" s="74" t="str">
        <f aca="false">IF(ISBLANK($C467),"",IF(ISBLANK($Z467),0,IF(ISNUMBER($Z467),IF(AND($Z467&gt;=0,$Z467&lt;=Constants!$B$35,$Z467=INT($Z467)),$Z467,""),"")))</f>
        <v/>
      </c>
      <c r="BD467" s="74" t="str">
        <f aca="false">IF(ISBLANK($C467),"",IF($AA467=Constants!$B$2,TRUE(),IF($AA467=Constants!$B$3,FALSE(),TRUE())))</f>
        <v/>
      </c>
      <c r="BE467" s="74" t="str">
        <f aca="false">IF(ISBLANK($C467),"",IF($AB467=Constants!$B$2,TRUE(),IF($AB467=Constants!$B$3,FALSE(),TRUE())))</f>
        <v/>
      </c>
      <c r="BF467" s="74" t="str">
        <f aca="false">IF(ISBLANK($C467),"",IF(ISNUMBER($AC467),IF($AC467&gt;=0,$AC467,""),""))</f>
        <v/>
      </c>
      <c r="BG467" s="74" t="str">
        <f aca="false">IF(ISBLANK($C467),"",IF($AD467=Constants!$B$2,TRUE(),IF($AD467=Constants!$B$3,FALSE(),FALSE())))</f>
        <v/>
      </c>
      <c r="BH467" s="73" t="str">
        <f aca="false">IF(ISBLANK($C467),"",IF($BG467,Constants!$B$7,IF(COUNTA($E467:$AC467)=0,Constants!$B$6,IF(OR(COUNTA($G467:$AC467)=0,NOT($AK467),$AQ467),Constants!$B$5,IF(OR($CI467&lt;&gt;"",$CJ467,$CK467,$CL467,$CM467,$CN467,$CO467),Constants!$B$8,Constants!$B$4)))))</f>
        <v/>
      </c>
      <c r="BI467" s="74" t="str">
        <f aca="false">IF(ISBLANK($C467),"",IF($BH467&lt;&gt;Constants!$B$4,$BH467,IF(OR(NOT($AH467),NOT($AJ467),NOT($AR467)),Constants!$B$11,IF(OR(NOT($AP467),MAX($AL467,$AM467,$AN467)&gt;Constants!$B$30),Constants!$B$10,Constants!$B$9))))</f>
        <v/>
      </c>
      <c r="BJ467" s="74" t="str">
        <f aca="false">IF($BH467&lt;&gt;Constants!$B$4,"",IF(NOT($AJ467),0,MIN(Constants!$B$35,$BC467)))</f>
        <v/>
      </c>
      <c r="BK467" s="74" t="str">
        <f aca="false">IF($BH467&lt;&gt;Constants!$B$4,"",IF(NOT($AJ467),0,IF($AT467,Constants!$B$18,IF($AS467,Constants!$B$17,0))))</f>
        <v/>
      </c>
      <c r="BL467" s="74" t="str">
        <f aca="false">IF($BH467&lt;&gt;Constants!$B$4,"",IF(NOT($AJ467),0,Constants!$B$19*($AI467+$AU467+$AV467+$AW467)))</f>
        <v/>
      </c>
      <c r="BM467" s="74" t="str">
        <f aca="false">IF($BH467&lt;&gt;Constants!$B$4,"",IF(OR(NOT($AJ467),NOT(ISNUMBER($AX467))),0,CHOOSE($AX467,Constants!$B$13,Constants!$B$14,Constants!$B$15,Constants!$B$16)))</f>
        <v/>
      </c>
      <c r="BN467" s="74" t="str">
        <f aca="false">IF($BH467&lt;&gt;Constants!$B$4,"",IF(NOT($AJ467),0,Constants!$B$20*$AY467))</f>
        <v/>
      </c>
      <c r="BO467" s="74" t="str">
        <f aca="false">IF($BH467&lt;&gt;Constants!$B$4,"",IF(AND($AJ467,$BA467,$BB467),Constants!$B$22,0))</f>
        <v/>
      </c>
      <c r="BP467" s="74" t="str">
        <f aca="false">IF($BH467&lt;&gt;Constants!$B$4,"",IF(OR(NOT($AJ467),NOT($BA467)),0,IF($BF467&gt;=2*$AF$9,0,Constants!$B$23*INT(ROUND(MIN($BF467,$AF$9),6)))))</f>
        <v/>
      </c>
      <c r="BQ467" s="74" t="str">
        <f aca="false">IF($BH467&lt;&gt;Constants!$B$4,"",IF(NOT($AJ467),0,Constants!$B$24*INT(ROUND(MIN($AZ467,$AF$9),6))))</f>
        <v/>
      </c>
      <c r="BR467" s="74" t="str">
        <f aca="false">IF($BH467&lt;&gt;Constants!$B$4,"",IF(AND($AJ467,$BJ467=0),Constants!$B$25,0))</f>
        <v/>
      </c>
      <c r="BS467" s="74" t="str">
        <f aca="false">IF($BH467&lt;&gt;Constants!$B$4,"",MIN(Constants!$B$29,MAX(0,Constants!$B$27*Constants!$B$28*INT(ROUND((Constants!$B$26-$AL467)/Constants!$B$28,6))))+MIN(Constants!$B$29,MAX(0,Constants!$B$27*Constants!$B$28*INT(ROUND((Constants!$B$26-$AM467)/Constants!$B$28,6))))+MIN(Constants!$B$29,MAX(0,Constants!$B$27*Constants!$B$28*INT(ROUND((Constants!$B$26-$AN467)/Constants!$B$28,6)))))</f>
        <v/>
      </c>
      <c r="BT467" s="74" t="str">
        <f aca="false">IF($BH467&lt;&gt;Constants!$B$4,"",IF(NOT($AJ467),0,Constants!$B$31*INT(ROUND(MAX(0,MIN($BF467,2*$AF$9)-$AF$9),6))))</f>
        <v/>
      </c>
      <c r="BU467" s="74" t="str">
        <f aca="false">IF($BH467&lt;&gt;Constants!$B$4,"",Constants!$B$32*(($AL467&gt;Constants!$B$26)+($AM467&gt;Constants!$B$26)+($AN467&gt;Constants!$B$26)))</f>
        <v/>
      </c>
      <c r="BV467" s="74" t="str">
        <f aca="false">IF($BH467&lt;&gt;Constants!$B$4,"",IF(OR(NOT($AJ467),$AO467),0,Constants!$B$33))</f>
        <v/>
      </c>
      <c r="BW467" s="74" t="str">
        <f aca="false">IF($BH467&lt;&gt;Constants!$B$4,"",Constants!$B$34*$BJ467)</f>
        <v/>
      </c>
      <c r="BX467" s="74" t="str">
        <f aca="false">IF($BH467&lt;&gt;Constants!$B$4,"",IF(OR(NOT($AJ467),$BE467),0,Constants!$B$36))</f>
        <v/>
      </c>
      <c r="BY467" s="74" t="str">
        <f aca="false">IF($BH467&lt;&gt;Constants!$B$4,"",IF(OR(NOT($AJ467),$BD467),0,Constants!$B$37))</f>
        <v/>
      </c>
      <c r="BZ467" s="74" t="str">
        <f aca="false">IF($BH467&lt;&gt;Constants!$B$4,"",SUM($BT467:$BY467))</f>
        <v/>
      </c>
      <c r="CA467" s="74" t="str">
        <f aca="false">IF(ISBLANK($C467),"",IF($BH467&lt;&gt;Constants!$B$4,$BH467,SUM($BK467:$BS467)-$BZ467))</f>
        <v/>
      </c>
      <c r="CB467" s="74" t="str">
        <f aca="false">IF(ISBLANK($C467),"",IF($BH467&lt;&gt;Constants!$B$4,$BH467,RANK($CA467,$CA$9:$CA$508)))</f>
        <v/>
      </c>
      <c r="CC467" s="74" t="str">
        <f aca="false">IF(ISBLANK($C467),"",IF($BH467&lt;&gt;Constants!$B$4,$BH467,COUNTIFS($BI$9:$BI$508,"&lt;"&amp;$BI467)+COUNTIFS($BI$9:$BI$508,$BI467,$CB$9:$CB$508,"&lt;"&amp;$CB467)+1))</f>
        <v/>
      </c>
      <c r="CD467" s="74" t="str">
        <f aca="false">IF(ISBLANK($C467),"",IF($BH467&lt;&gt;Constants!$B$4,$BH467,RANK($BZ467,$BZ$9:$BZ$508,1)))</f>
        <v/>
      </c>
      <c r="CE467" s="74" t="str">
        <f aca="false">IF($BH467&lt;&gt;Constants!$B$4,"",$AL467+$AM467+$AN467)</f>
        <v/>
      </c>
      <c r="CF467" s="74" t="str">
        <f aca="false">IF(ISBLANK($C467),"",IF($BH467&lt;&gt;Constants!$B$4,$BH467,RANK($CE467,$CE$9:$CE$508,1)))</f>
        <v/>
      </c>
      <c r="CG467" s="74" t="str">
        <f aca="false">IF(ISBLANK($C467),"",IF($BH467&lt;&gt;Constants!$B$4,$BH467,COUNTIFS($BI$9:$BI$508,"&lt;"&amp;$BI467)+COUNTIFS($BI$9:$BI$508,$BI467,$CB$9:$CB$508,"&lt;"&amp;$CB467)+COUNTIFS($BI$9:$BI$508,$BI467,$CB$9:$CB$508,$CB467,$CD$9:$CD$508,"&lt;"&amp;$CD467)+COUNTIFS($BI$9:$BI$508,$BI467,$CB$9:$CB$508,$CB467,$CD$9:$CD$508,$CD467,$CF$9:$CF$508,"&lt;"&amp;$CF467)+1))</f>
        <v/>
      </c>
      <c r="CH467" s="74" t="str">
        <f aca="false">IF(ISBLANK($C467),"",IF($BH467&lt;&gt;Constants!$B$4,$BH467,$CC467-$CG467))</f>
        <v/>
      </c>
      <c r="CI467" s="74" t="str">
        <f aca="false">IF(ISBLANK($C467),"",IF(NOT($AJ467),"",IF(ISBLANK($D$7),$CI$5,IF(NOT(ISNUMBER($D$7)),$CI$6,""))))</f>
        <v/>
      </c>
      <c r="CJ467" s="74" t="str">
        <f aca="false">IF(ISBLANK($C467),"",OR($AL467="",$AM467="",$AN467=""))</f>
        <v/>
      </c>
      <c r="CK467" s="74" t="str">
        <f aca="false">IF(ISBLANK($C467),"",AND($AJ467,$AX467=""))</f>
        <v/>
      </c>
      <c r="CL467" s="74" t="str">
        <f aca="false">IF(ISBLANK($C467),"",AND($AJ467,$AY467=""))</f>
        <v/>
      </c>
      <c r="CM467" s="74" t="str">
        <f aca="false">IF(ISBLANK($C467),"",AND($AJ467,$AZ467=""))</f>
        <v/>
      </c>
      <c r="CN467" s="74" t="str">
        <f aca="false">IF(ISBLANK($C467),"",AND($AJ467,$BC467=""))</f>
        <v/>
      </c>
      <c r="CO467" s="74" t="str">
        <f aca="false">IF(ISBLANK($C467),"",AND($AJ467,$BF467=""))</f>
        <v/>
      </c>
      <c r="CP467" s="75"/>
      <c r="CQ467" s="76"/>
      <c r="CR467" s="79" t="str">
        <f aca="false">IF(ISBLANK($C467),"",IF($BH467=Constants!$B$8,$CI467,""))</f>
        <v/>
      </c>
      <c r="CS467" s="76" t="str">
        <f aca="false">IF(ISBLANK($C467),"",IF($BH467&lt;&gt;Constants!$B$4,"",$BK467+$BL467))</f>
        <v/>
      </c>
      <c r="CT467" s="78" t="str">
        <f aca="false">IF(ISBLANK($C467),"",IF($BH467&lt;&gt;Constants!$B$4,"",$BM467+$BN467+$BO467))</f>
        <v/>
      </c>
      <c r="CU467" s="78" t="str">
        <f aca="false">IF(ISBLANK($C467),"",IF($BH467&lt;&gt;Constants!$B$4,"",$BP467))</f>
        <v/>
      </c>
      <c r="CV467" s="78" t="str">
        <f aca="false">IF(ISBLANK($C467),"",IF($BH467&lt;&gt;Constants!$B$4,"",$BQ467+$BR467))</f>
        <v/>
      </c>
      <c r="CW467" s="78" t="str">
        <f aca="false">IF(ISBLANK($C467),"",IF($BH467&lt;&gt;Constants!$B$4,"",$BS467))</f>
        <v/>
      </c>
      <c r="CX467" s="78" t="str">
        <f aca="false">IF(ISBLANK($C467),"",IF($BH467&lt;&gt;Constants!$B$4,"",-$BZ467))</f>
        <v/>
      </c>
      <c r="CY467" s="79" t="str">
        <f aca="false">IF(ISBLANK($C467),"",$CA467)</f>
        <v/>
      </c>
      <c r="CZ467" s="80" t="str">
        <f aca="false">IF(ISBLANK($C467),"",$BI467)</f>
        <v/>
      </c>
      <c r="DA467" s="78" t="str">
        <f aca="false">IF(ISBLANK($C467),"",$CH467)</f>
        <v/>
      </c>
      <c r="DB467" s="78" t="str">
        <f aca="false">IF(ISBLANK($C467),"",$CG467)</f>
        <v/>
      </c>
      <c r="DC467" s="81" t="str">
        <f aca="false">IF(ISBLANK($C467),"",IFERROR(_xlfn.SWITCH($DB467,Constants!$B$7,COUNTA($C$9:$C$508)+2,Constants!$B$6,COUNTA($C$9:$C$508)+1,Constants!$B$5,COUNTA($C$9:$C$508)),$DB467))</f>
        <v/>
      </c>
      <c r="DD467" s="7"/>
      <c r="DE467" s="82" t="n">
        <f aca="false">IF(OR(ISNUMBER($DB467),$DB467=Constants!$B$7,$DB467=Constants!$B$5,$DB467=Constants!$B$6),1,0)</f>
        <v>0</v>
      </c>
      <c r="DF467" s="82" t="n">
        <v>459</v>
      </c>
      <c r="DG467" s="82" t="str">
        <f aca="false">IF(ISBLANK($C467),"",IF(ISNUMBER($DC467),$DC467+ROW($B467)/1000,""))</f>
        <v/>
      </c>
      <c r="DH467" s="82" t="str">
        <f aca="false">IF(ISNUMBER($DG467),RANK($DG467,$DG$9:$DG$508,1),"")</f>
        <v/>
      </c>
      <c r="DI467" s="82" t="str">
        <f aca="false">IF(ISBLANK($C467),"",$B467)</f>
        <v/>
      </c>
      <c r="DJ467" s="82" t="str">
        <f aca="false">IF(ISBLANK($C467),"",$C467)</f>
        <v/>
      </c>
      <c r="DK467" s="82" t="str">
        <f aca="false">IF(ISBLANK($C467),"",$D467)</f>
        <v/>
      </c>
      <c r="DL467" s="83" t="str">
        <f aca="false">$CZ467</f>
        <v/>
      </c>
      <c r="DM467" s="84" t="str">
        <f aca="false">$CY467</f>
        <v/>
      </c>
      <c r="DN467" s="82" t="str">
        <f aca="false">IF(ISBLANK($C467),"",$DB467)</f>
        <v/>
      </c>
      <c r="DO467" s="85" t="str">
        <f aca="false">IF($DF467&gt;$DE$8,"",VLOOKUP($DF467,$DH$9:$DN$508,7,FALSE()))</f>
        <v/>
      </c>
      <c r="DP467" s="86" t="str">
        <f aca="false">IF($DF467&gt;$DE$8,"",VLOOKUP($DF467,$DH$9:$DN$508,2,FALSE()))</f>
        <v/>
      </c>
      <c r="DQ467" s="86" t="str">
        <f aca="false">IF($DF467&gt;$DE$8,"",VLOOKUP($DF467,$DH$9:$DN$508,3,FALSE()))</f>
        <v/>
      </c>
      <c r="DR467" s="86" t="str">
        <f aca="false">IF($DF467&gt;$DE$8,"",VLOOKUP($DF467,$DH$9:$DN$508,4,FALSE()))</f>
        <v/>
      </c>
      <c r="DS467" s="86" t="str">
        <f aca="false">IF($DF467&gt;$DE$8,"",VLOOKUP($DF467,$DH$9:$DN$508,5,FALSE()))</f>
        <v/>
      </c>
      <c r="DT467" s="87" t="str">
        <f aca="false">IF($DF467&gt;$DE$8,"",VLOOKUP($DF467,$DH$9:$DN$508,6,FALSE()))</f>
        <v/>
      </c>
      <c r="DU467" s="62"/>
    </row>
    <row r="468" customFormat="false" ht="15.75" hidden="false" customHeight="false" outlineLevel="0" collapsed="false">
      <c r="A468" s="7"/>
      <c r="B468" s="90"/>
      <c r="C468" s="91"/>
      <c r="D468" s="126"/>
      <c r="E468" s="130"/>
      <c r="F468" s="135"/>
      <c r="G468" s="130"/>
      <c r="H468" s="135"/>
      <c r="I468" s="131"/>
      <c r="J468" s="131"/>
      <c r="K468" s="131"/>
      <c r="L468" s="130"/>
      <c r="M468" s="130"/>
      <c r="N468" s="130"/>
      <c r="O468" s="135"/>
      <c r="P468" s="130"/>
      <c r="Q468" s="130"/>
      <c r="R468" s="130"/>
      <c r="S468" s="130"/>
      <c r="T468" s="135"/>
      <c r="U468" s="130"/>
      <c r="V468" s="96"/>
      <c r="W468" s="130"/>
      <c r="X468" s="130"/>
      <c r="Y468" s="96"/>
      <c r="Z468" s="96"/>
      <c r="AA468" s="130"/>
      <c r="AB468" s="130"/>
      <c r="AC468" s="97"/>
      <c r="AD468" s="130"/>
      <c r="AE468" s="99"/>
      <c r="AF468" s="100"/>
      <c r="AG468" s="100"/>
      <c r="AH468" s="100" t="str">
        <f aca="false">IF(ISBLANK($C468),"",IF($E468=Constants!$B$2,TRUE(),IF($E468=Constants!$B$3,FALSE(),TRUE())))</f>
        <v/>
      </c>
      <c r="AI468" s="100" t="str">
        <f aca="false">IF(ISBLANK($C468),"",IF($F468=Constants!$B$2,TRUE(),IF($F468=Constants!$B$3,FALSE(),FALSE())))</f>
        <v/>
      </c>
      <c r="AJ468" s="100" t="str">
        <f aca="false">IF(ISBLANK($C468),"",IF($G468=Constants!$B$2,TRUE(),IF($G468=Constants!$B$3,FALSE(),TRUE())))</f>
        <v/>
      </c>
      <c r="AK468" s="100" t="str">
        <f aca="false">IF(ISBLANK($C468),"",IF($H468=Constants!$B$2,TRUE(),IF($H468=Constants!$B$3,FALSE(),TRUE())))</f>
        <v/>
      </c>
      <c r="AL468" s="100" t="str">
        <f aca="false">IF(ISBLANK($C468),"",IF(ISNUMBER($I468),IF($I468&gt;=0,$I468,""),""))</f>
        <v/>
      </c>
      <c r="AM468" s="100" t="str">
        <f aca="false">IF(ISBLANK($C468),"",IF(ISNUMBER($J468),IF($J468&gt;=0,$J468,""),""))</f>
        <v/>
      </c>
      <c r="AN468" s="100" t="str">
        <f aca="false">IF(ISBLANK($C468),"",IF(ISNUMBER($K468),IF($K468&gt;=0,$K468,""),""))</f>
        <v/>
      </c>
      <c r="AO468" s="100" t="str">
        <f aca="false">IF(ISBLANK($C468),"",IF($L468=Constants!$B$2,TRUE(),IF($L468=Constants!$B$3,FALSE(),TRUE())))</f>
        <v/>
      </c>
      <c r="AP468" s="100" t="str">
        <f aca="false">IF(ISBLANK($C468),"",IF($M468=Constants!$B$2,TRUE(),IF($M468=Constants!$B$3,FALSE(),TRUE())))</f>
        <v/>
      </c>
      <c r="AQ468" s="100" t="str">
        <f aca="false">IF(ISBLANK($C468),"",IF($N468=Constants!$B$2,TRUE(),IF($N468=Constants!$B$3,FALSE(),FALSE())))</f>
        <v/>
      </c>
      <c r="AR468" s="100" t="str">
        <f aca="false">IF(ISBLANK($C468),"",IF($O468=Constants!$B$2,TRUE(),IF($O468=Constants!$B$3,FALSE(),TRUE())))</f>
        <v/>
      </c>
      <c r="AS468" s="100" t="str">
        <f aca="false">IF(ISBLANK($C468),"",IF($P468=Constants!$B$2,TRUE(),IF($P468=Constants!$B$3,FALSE(),FALSE())))</f>
        <v/>
      </c>
      <c r="AT468" s="100" t="str">
        <f aca="false">IF(ISBLANK($C468),"",IF($Q468=Constants!$B$2,TRUE(),IF($Q468=Constants!$B$3,FALSE(),FALSE())))</f>
        <v/>
      </c>
      <c r="AU468" s="100" t="str">
        <f aca="false">IF(ISBLANK($C468),"",IF($R468=Constants!$B$2,TRUE(),IF($R468=Constants!$B$3,FALSE(),FALSE())))</f>
        <v/>
      </c>
      <c r="AV468" s="100" t="str">
        <f aca="false">IF(ISBLANK($C468),"",IF($S468=Constants!$B$2,TRUE(),IF($S468=Constants!$B$3,FALSE(),FALSE())))</f>
        <v/>
      </c>
      <c r="AW468" s="100" t="str">
        <f aca="false">IF(ISBLANK($C468),"",IF($T468=Constants!$B$2,TRUE(),IF($T468=Constants!$B$3,FALSE(),FALSE())))</f>
        <v/>
      </c>
      <c r="AX468" s="100" t="str">
        <f aca="false">IF(ISBLANK($C468),"",IF(OR($U468&amp;""="1",$U468&amp;""="2",$U468&amp;""="3",$U468&amp;""="4"),VALUE($U468&amp;""),IF($U468=Constants!$B$12,Constants!$B$12,"")))</f>
        <v/>
      </c>
      <c r="AY468" s="100" t="str">
        <f aca="false">IF(ISBLANK($C468),"",IF(ISBLANK($V468),0,IF(ISNUMBER($V468),IF(AND($V468&gt;=0,$V468&lt;=Constants!$B$21,$V468=INT($V468)),$V468,""),"")))</f>
        <v/>
      </c>
      <c r="AZ468" s="100" t="str">
        <f aca="false">IF(ISBLANK($C468),"",IF(ISBLANK($W468),0,IF(ISNUMBER($W468),IF($W468&gt;=0,$W468,""),"")))</f>
        <v/>
      </c>
      <c r="BA468" s="100" t="str">
        <f aca="false">IF(ISBLANK($C468),"",IF($X468=Constants!$B$2,TRUE(),IF($X468=Constants!$B$3,FALSE(),TRUE())))</f>
        <v/>
      </c>
      <c r="BB468" s="100" t="str">
        <f aca="false">IF(ISBLANK($C468),"",IF($Y468=Constants!$B$2,TRUE(),IF($Y468=Constants!$B$3,FALSE(),FALSE())))</f>
        <v/>
      </c>
      <c r="BC468" s="100" t="str">
        <f aca="false">IF(ISBLANK($C468),"",IF(ISBLANK($Z468),0,IF(ISNUMBER($Z468),IF(AND($Z468&gt;=0,$Z468&lt;=Constants!$B$35,$Z468=INT($Z468)),$Z468,""),"")))</f>
        <v/>
      </c>
      <c r="BD468" s="100" t="str">
        <f aca="false">IF(ISBLANK($C468),"",IF($AA468=Constants!$B$2,TRUE(),IF($AA468=Constants!$B$3,FALSE(),TRUE())))</f>
        <v/>
      </c>
      <c r="BE468" s="100" t="str">
        <f aca="false">IF(ISBLANK($C468),"",IF($AB468=Constants!$B$2,TRUE(),IF($AB468=Constants!$B$3,FALSE(),TRUE())))</f>
        <v/>
      </c>
      <c r="BF468" s="100" t="str">
        <f aca="false">IF(ISBLANK($C468),"",IF(ISNUMBER($AC468),IF($AC468&gt;=0,$AC468,""),""))</f>
        <v/>
      </c>
      <c r="BG468" s="100" t="str">
        <f aca="false">IF(ISBLANK($C468),"",IF($AD468=Constants!$B$2,TRUE(),IF($AD468=Constants!$B$3,FALSE(),FALSE())))</f>
        <v/>
      </c>
      <c r="BH468" s="99" t="str">
        <f aca="false">IF(ISBLANK($C468),"",IF($BG468,Constants!$B$7,IF(COUNTA($E468:$AC468)=0,Constants!$B$6,IF(OR(COUNTA($G468:$AC468)=0,NOT($AK468),$AQ468),Constants!$B$5,IF(OR($CI468&lt;&gt;"",$CJ468,$CK468,$CL468,$CM468,$CN468,$CO468),Constants!$B$8,Constants!$B$4)))))</f>
        <v/>
      </c>
      <c r="BI468" s="100" t="str">
        <f aca="false">IF(ISBLANK($C468),"",IF($BH468&lt;&gt;Constants!$B$4,$BH468,IF(OR(NOT($AH468),NOT($AJ468),NOT($AR468)),Constants!$B$11,IF(OR(NOT($AP468),MAX($AL468,$AM468,$AN468)&gt;Constants!$B$30),Constants!$B$10,Constants!$B$9))))</f>
        <v/>
      </c>
      <c r="BJ468" s="100" t="str">
        <f aca="false">IF($BH468&lt;&gt;Constants!$B$4,"",IF(NOT($AJ468),0,MIN(Constants!$B$35,$BC468)))</f>
        <v/>
      </c>
      <c r="BK468" s="100" t="str">
        <f aca="false">IF($BH468&lt;&gt;Constants!$B$4,"",IF(NOT($AJ468),0,IF($AT468,Constants!$B$18,IF($AS468,Constants!$B$17,0))))</f>
        <v/>
      </c>
      <c r="BL468" s="100" t="str">
        <f aca="false">IF($BH468&lt;&gt;Constants!$B$4,"",IF(NOT($AJ468),0,Constants!$B$19*($AI468+$AU468+$AV468+$AW468)))</f>
        <v/>
      </c>
      <c r="BM468" s="100" t="str">
        <f aca="false">IF($BH468&lt;&gt;Constants!$B$4,"",IF(OR(NOT($AJ468),NOT(ISNUMBER($AX468))),0,CHOOSE($AX468,Constants!$B$13,Constants!$B$14,Constants!$B$15,Constants!$B$16)))</f>
        <v/>
      </c>
      <c r="BN468" s="100" t="str">
        <f aca="false">IF($BH468&lt;&gt;Constants!$B$4,"",IF(NOT($AJ468),0,Constants!$B$20*$AY468))</f>
        <v/>
      </c>
      <c r="BO468" s="100" t="str">
        <f aca="false">IF($BH468&lt;&gt;Constants!$B$4,"",IF(AND($AJ468,$BA468,$BB468),Constants!$B$22,0))</f>
        <v/>
      </c>
      <c r="BP468" s="100" t="str">
        <f aca="false">IF($BH468&lt;&gt;Constants!$B$4,"",IF(OR(NOT($AJ468),NOT($BA468)),0,IF($BF468&gt;=2*$AF$9,0,Constants!$B$23*INT(ROUND(MIN($BF468,$AF$9),6)))))</f>
        <v/>
      </c>
      <c r="BQ468" s="100" t="str">
        <f aca="false">IF($BH468&lt;&gt;Constants!$B$4,"",IF(NOT($AJ468),0,Constants!$B$24*INT(ROUND(MIN($AZ468,$AF$9),6))))</f>
        <v/>
      </c>
      <c r="BR468" s="100" t="str">
        <f aca="false">IF($BH468&lt;&gt;Constants!$B$4,"",IF(AND($AJ468,$BJ468=0),Constants!$B$25,0))</f>
        <v/>
      </c>
      <c r="BS468" s="100" t="str">
        <f aca="false">IF($BH468&lt;&gt;Constants!$B$4,"",MIN(Constants!$B$29,MAX(0,Constants!$B$27*Constants!$B$28*INT(ROUND((Constants!$B$26-$AL468)/Constants!$B$28,6))))+MIN(Constants!$B$29,MAX(0,Constants!$B$27*Constants!$B$28*INT(ROUND((Constants!$B$26-$AM468)/Constants!$B$28,6))))+MIN(Constants!$B$29,MAX(0,Constants!$B$27*Constants!$B$28*INT(ROUND((Constants!$B$26-$AN468)/Constants!$B$28,6)))))</f>
        <v/>
      </c>
      <c r="BT468" s="100" t="str">
        <f aca="false">IF($BH468&lt;&gt;Constants!$B$4,"",IF(NOT($AJ468),0,Constants!$B$31*INT(ROUND(MAX(0,MIN($BF468,2*$AF$9)-$AF$9),6))))</f>
        <v/>
      </c>
      <c r="BU468" s="100" t="str">
        <f aca="false">IF($BH468&lt;&gt;Constants!$B$4,"",Constants!$B$32*(($AL468&gt;Constants!$B$26)+($AM468&gt;Constants!$B$26)+($AN468&gt;Constants!$B$26)))</f>
        <v/>
      </c>
      <c r="BV468" s="100" t="str">
        <f aca="false">IF($BH468&lt;&gt;Constants!$B$4,"",IF(OR(NOT($AJ468),$AO468),0,Constants!$B$33))</f>
        <v/>
      </c>
      <c r="BW468" s="100" t="str">
        <f aca="false">IF($BH468&lt;&gt;Constants!$B$4,"",Constants!$B$34*$BJ468)</f>
        <v/>
      </c>
      <c r="BX468" s="100" t="str">
        <f aca="false">IF($BH468&lt;&gt;Constants!$B$4,"",IF(OR(NOT($AJ468),$BE468),0,Constants!$B$36))</f>
        <v/>
      </c>
      <c r="BY468" s="100" t="str">
        <f aca="false">IF($BH468&lt;&gt;Constants!$B$4,"",IF(OR(NOT($AJ468),$BD468),0,Constants!$B$37))</f>
        <v/>
      </c>
      <c r="BZ468" s="100" t="str">
        <f aca="false">IF($BH468&lt;&gt;Constants!$B$4,"",SUM($BT468:$BY468))</f>
        <v/>
      </c>
      <c r="CA468" s="100" t="str">
        <f aca="false">IF(ISBLANK($C468),"",IF($BH468&lt;&gt;Constants!$B$4,$BH468,SUM($BK468:$BS468)-$BZ468))</f>
        <v/>
      </c>
      <c r="CB468" s="100" t="str">
        <f aca="false">IF(ISBLANK($C468),"",IF($BH468&lt;&gt;Constants!$B$4,$BH468,RANK($CA468,$CA$9:$CA$508)))</f>
        <v/>
      </c>
      <c r="CC468" s="100" t="str">
        <f aca="false">IF(ISBLANK($C468),"",IF($BH468&lt;&gt;Constants!$B$4,$BH468,COUNTIFS($BI$9:$BI$508,"&lt;"&amp;$BI468)+COUNTIFS($BI$9:$BI$508,$BI468,$CB$9:$CB$508,"&lt;"&amp;$CB468)+1))</f>
        <v/>
      </c>
      <c r="CD468" s="100" t="str">
        <f aca="false">IF(ISBLANK($C468),"",IF($BH468&lt;&gt;Constants!$B$4,$BH468,RANK($BZ468,$BZ$9:$BZ$508,1)))</f>
        <v/>
      </c>
      <c r="CE468" s="100" t="str">
        <f aca="false">IF($BH468&lt;&gt;Constants!$B$4,"",$AL468+$AM468+$AN468)</f>
        <v/>
      </c>
      <c r="CF468" s="100" t="str">
        <f aca="false">IF(ISBLANK($C468),"",IF($BH468&lt;&gt;Constants!$B$4,$BH468,RANK($CE468,$CE$9:$CE$508,1)))</f>
        <v/>
      </c>
      <c r="CG468" s="100" t="str">
        <f aca="false">IF(ISBLANK($C468),"",IF($BH468&lt;&gt;Constants!$B$4,$BH468,COUNTIFS($BI$9:$BI$508,"&lt;"&amp;$BI468)+COUNTIFS($BI$9:$BI$508,$BI468,$CB$9:$CB$508,"&lt;"&amp;$CB468)+COUNTIFS($BI$9:$BI$508,$BI468,$CB$9:$CB$508,$CB468,$CD$9:$CD$508,"&lt;"&amp;$CD468)+COUNTIFS($BI$9:$BI$508,$BI468,$CB$9:$CB$508,$CB468,$CD$9:$CD$508,$CD468,$CF$9:$CF$508,"&lt;"&amp;$CF468)+1))</f>
        <v/>
      </c>
      <c r="CH468" s="100" t="str">
        <f aca="false">IF(ISBLANK($C468),"",IF($BH468&lt;&gt;Constants!$B$4,$BH468,$CC468-$CG468))</f>
        <v/>
      </c>
      <c r="CI468" s="100" t="str">
        <f aca="false">IF(ISBLANK($C468),"",IF(NOT($AJ468),"",IF(ISBLANK($D$7),$CI$5,IF(NOT(ISNUMBER($D$7)),$CI$6,""))))</f>
        <v/>
      </c>
      <c r="CJ468" s="100" t="str">
        <f aca="false">IF(ISBLANK($C468),"",OR($AL468="",$AM468="",$AN468=""))</f>
        <v/>
      </c>
      <c r="CK468" s="100" t="str">
        <f aca="false">IF(ISBLANK($C468),"",AND($AJ468,$AX468=""))</f>
        <v/>
      </c>
      <c r="CL468" s="100" t="str">
        <f aca="false">IF(ISBLANK($C468),"",AND($AJ468,$AY468=""))</f>
        <v/>
      </c>
      <c r="CM468" s="100" t="str">
        <f aca="false">IF(ISBLANK($C468),"",AND($AJ468,$AZ468=""))</f>
        <v/>
      </c>
      <c r="CN468" s="100" t="str">
        <f aca="false">IF(ISBLANK($C468),"",AND($AJ468,$BC468=""))</f>
        <v/>
      </c>
      <c r="CO468" s="100" t="str">
        <f aca="false">IF(ISBLANK($C468),"",AND($AJ468,$BF468=""))</f>
        <v/>
      </c>
      <c r="CP468" s="101"/>
      <c r="CQ468" s="102"/>
      <c r="CR468" s="103" t="str">
        <f aca="false">IF(ISBLANK($C468),"",IF($BH468=Constants!$B$8,$CI468,""))</f>
        <v/>
      </c>
      <c r="CS468" s="102" t="str">
        <f aca="false">IF(ISBLANK($C468),"",IF($BH468&lt;&gt;Constants!$B$4,"",$BK468+$BL468))</f>
        <v/>
      </c>
      <c r="CT468" s="104" t="str">
        <f aca="false">IF(ISBLANK($C468),"",IF($BH468&lt;&gt;Constants!$B$4,"",$BM468+$BN468+$BO468))</f>
        <v/>
      </c>
      <c r="CU468" s="104" t="str">
        <f aca="false">IF(ISBLANK($C468),"",IF($BH468&lt;&gt;Constants!$B$4,"",$BP468))</f>
        <v/>
      </c>
      <c r="CV468" s="104" t="str">
        <f aca="false">IF(ISBLANK($C468),"",IF($BH468&lt;&gt;Constants!$B$4,"",$BQ468+$BR468))</f>
        <v/>
      </c>
      <c r="CW468" s="104" t="str">
        <f aca="false">IF(ISBLANK($C468),"",IF($BH468&lt;&gt;Constants!$B$4,"",$BS468))</f>
        <v/>
      </c>
      <c r="CX468" s="104" t="str">
        <f aca="false">IF(ISBLANK($C468),"",IF($BH468&lt;&gt;Constants!$B$4,"",-$BZ468))</f>
        <v/>
      </c>
      <c r="CY468" s="103" t="str">
        <f aca="false">IF(ISBLANK($C468),"",$CA468)</f>
        <v/>
      </c>
      <c r="CZ468" s="105" t="str">
        <f aca="false">IF(ISBLANK($C468),"",$BI468)</f>
        <v/>
      </c>
      <c r="DA468" s="104" t="str">
        <f aca="false">IF(ISBLANK($C468),"",$CH468)</f>
        <v/>
      </c>
      <c r="DB468" s="104" t="str">
        <f aca="false">IF(ISBLANK($C468),"",$CG468)</f>
        <v/>
      </c>
      <c r="DC468" s="106" t="str">
        <f aca="false">IF(ISBLANK($C468),"",IFERROR(_xlfn.SWITCH($DB468,Constants!$B$7,COUNTA($C$9:$C$508)+2,Constants!$B$6,COUNTA($C$9:$C$508)+1,Constants!$B$5,COUNTA($C$9:$C$508)),$DB468))</f>
        <v/>
      </c>
      <c r="DD468" s="7"/>
      <c r="DE468" s="107" t="n">
        <f aca="false">IF(OR(ISNUMBER($DB468),$DB468=Constants!$B$7,$DB468=Constants!$B$5,$DB468=Constants!$B$6),1,0)</f>
        <v>0</v>
      </c>
      <c r="DF468" s="107" t="n">
        <v>460</v>
      </c>
      <c r="DG468" s="107" t="str">
        <f aca="false">IF(ISBLANK($C468),"",IF(ISNUMBER($DC468),$DC468+ROW($B468)/1000,""))</f>
        <v/>
      </c>
      <c r="DH468" s="107" t="str">
        <f aca="false">IF(ISNUMBER($DG468),RANK($DG468,$DG$9:$DG$508,1),"")</f>
        <v/>
      </c>
      <c r="DI468" s="107" t="str">
        <f aca="false">IF(ISBLANK($C468),"",$B468)</f>
        <v/>
      </c>
      <c r="DJ468" s="107" t="str">
        <f aca="false">IF(ISBLANK($C468),"",$C468)</f>
        <v/>
      </c>
      <c r="DK468" s="107" t="str">
        <f aca="false">IF(ISBLANK($C468),"",$D468)</f>
        <v/>
      </c>
      <c r="DL468" s="108" t="str">
        <f aca="false">$CZ468</f>
        <v/>
      </c>
      <c r="DM468" s="109" t="str">
        <f aca="false">$CY468</f>
        <v/>
      </c>
      <c r="DN468" s="107" t="str">
        <f aca="false">IF(ISBLANK($C468),"",$DB468)</f>
        <v/>
      </c>
      <c r="DO468" s="110" t="str">
        <f aca="false">IF($DF468&gt;$DE$8,"",VLOOKUP($DF468,$DH$9:$DN$508,7,FALSE()))</f>
        <v/>
      </c>
      <c r="DP468" s="111" t="str">
        <f aca="false">IF($DF468&gt;$DE$8,"",VLOOKUP($DF468,$DH$9:$DN$508,2,FALSE()))</f>
        <v/>
      </c>
      <c r="DQ468" s="111" t="str">
        <f aca="false">IF($DF468&gt;$DE$8,"",VLOOKUP($DF468,$DH$9:$DN$508,3,FALSE()))</f>
        <v/>
      </c>
      <c r="DR468" s="111" t="str">
        <f aca="false">IF($DF468&gt;$DE$8,"",VLOOKUP($DF468,$DH$9:$DN$508,4,FALSE()))</f>
        <v/>
      </c>
      <c r="DS468" s="111" t="str">
        <f aca="false">IF($DF468&gt;$DE$8,"",VLOOKUP($DF468,$DH$9:$DN$508,5,FALSE()))</f>
        <v/>
      </c>
      <c r="DT468" s="112" t="str">
        <f aca="false">IF($DF468&gt;$DE$8,"",VLOOKUP($DF468,$DH$9:$DN$508,6,FALSE()))</f>
        <v/>
      </c>
      <c r="DU468" s="62"/>
    </row>
    <row r="469" customFormat="false" ht="15.75" hidden="false" customHeight="false" outlineLevel="0" collapsed="false">
      <c r="A469" s="7"/>
      <c r="B469" s="90"/>
      <c r="C469" s="91"/>
      <c r="D469" s="126"/>
      <c r="E469" s="130"/>
      <c r="F469" s="135"/>
      <c r="G469" s="130"/>
      <c r="H469" s="135"/>
      <c r="I469" s="131"/>
      <c r="J469" s="131"/>
      <c r="K469" s="131"/>
      <c r="L469" s="130"/>
      <c r="M469" s="130"/>
      <c r="N469" s="130"/>
      <c r="O469" s="135"/>
      <c r="P469" s="130"/>
      <c r="Q469" s="130"/>
      <c r="R469" s="130"/>
      <c r="S469" s="130"/>
      <c r="T469" s="135"/>
      <c r="U469" s="130"/>
      <c r="V469" s="96"/>
      <c r="W469" s="130"/>
      <c r="X469" s="130"/>
      <c r="Y469" s="96"/>
      <c r="Z469" s="96"/>
      <c r="AA469" s="130"/>
      <c r="AB469" s="130"/>
      <c r="AC469" s="97"/>
      <c r="AD469" s="130"/>
      <c r="AE469" s="99"/>
      <c r="AF469" s="100"/>
      <c r="AG469" s="100"/>
      <c r="AH469" s="100" t="str">
        <f aca="false">IF(ISBLANK($C469),"",IF($E469=Constants!$B$2,TRUE(),IF($E469=Constants!$B$3,FALSE(),TRUE())))</f>
        <v/>
      </c>
      <c r="AI469" s="100" t="str">
        <f aca="false">IF(ISBLANK($C469),"",IF($F469=Constants!$B$2,TRUE(),IF($F469=Constants!$B$3,FALSE(),FALSE())))</f>
        <v/>
      </c>
      <c r="AJ469" s="100" t="str">
        <f aca="false">IF(ISBLANK($C469),"",IF($G469=Constants!$B$2,TRUE(),IF($G469=Constants!$B$3,FALSE(),TRUE())))</f>
        <v/>
      </c>
      <c r="AK469" s="100" t="str">
        <f aca="false">IF(ISBLANK($C469),"",IF($H469=Constants!$B$2,TRUE(),IF($H469=Constants!$B$3,FALSE(),TRUE())))</f>
        <v/>
      </c>
      <c r="AL469" s="100" t="str">
        <f aca="false">IF(ISBLANK($C469),"",IF(ISNUMBER($I469),IF($I469&gt;=0,$I469,""),""))</f>
        <v/>
      </c>
      <c r="AM469" s="100" t="str">
        <f aca="false">IF(ISBLANK($C469),"",IF(ISNUMBER($J469),IF($J469&gt;=0,$J469,""),""))</f>
        <v/>
      </c>
      <c r="AN469" s="100" t="str">
        <f aca="false">IF(ISBLANK($C469),"",IF(ISNUMBER($K469),IF($K469&gt;=0,$K469,""),""))</f>
        <v/>
      </c>
      <c r="AO469" s="100" t="str">
        <f aca="false">IF(ISBLANK($C469),"",IF($L469=Constants!$B$2,TRUE(),IF($L469=Constants!$B$3,FALSE(),TRUE())))</f>
        <v/>
      </c>
      <c r="AP469" s="100" t="str">
        <f aca="false">IF(ISBLANK($C469),"",IF($M469=Constants!$B$2,TRUE(),IF($M469=Constants!$B$3,FALSE(),TRUE())))</f>
        <v/>
      </c>
      <c r="AQ469" s="100" t="str">
        <f aca="false">IF(ISBLANK($C469),"",IF($N469=Constants!$B$2,TRUE(),IF($N469=Constants!$B$3,FALSE(),FALSE())))</f>
        <v/>
      </c>
      <c r="AR469" s="100" t="str">
        <f aca="false">IF(ISBLANK($C469),"",IF($O469=Constants!$B$2,TRUE(),IF($O469=Constants!$B$3,FALSE(),TRUE())))</f>
        <v/>
      </c>
      <c r="AS469" s="100" t="str">
        <f aca="false">IF(ISBLANK($C469),"",IF($P469=Constants!$B$2,TRUE(),IF($P469=Constants!$B$3,FALSE(),FALSE())))</f>
        <v/>
      </c>
      <c r="AT469" s="100" t="str">
        <f aca="false">IF(ISBLANK($C469),"",IF($Q469=Constants!$B$2,TRUE(),IF($Q469=Constants!$B$3,FALSE(),FALSE())))</f>
        <v/>
      </c>
      <c r="AU469" s="100" t="str">
        <f aca="false">IF(ISBLANK($C469),"",IF($R469=Constants!$B$2,TRUE(),IF($R469=Constants!$B$3,FALSE(),FALSE())))</f>
        <v/>
      </c>
      <c r="AV469" s="100" t="str">
        <f aca="false">IF(ISBLANK($C469),"",IF($S469=Constants!$B$2,TRUE(),IF($S469=Constants!$B$3,FALSE(),FALSE())))</f>
        <v/>
      </c>
      <c r="AW469" s="100" t="str">
        <f aca="false">IF(ISBLANK($C469),"",IF($T469=Constants!$B$2,TRUE(),IF($T469=Constants!$B$3,FALSE(),FALSE())))</f>
        <v/>
      </c>
      <c r="AX469" s="100" t="str">
        <f aca="false">IF(ISBLANK($C469),"",IF(OR($U469&amp;""="1",$U469&amp;""="2",$U469&amp;""="3",$U469&amp;""="4"),VALUE($U469&amp;""),IF($U469=Constants!$B$12,Constants!$B$12,"")))</f>
        <v/>
      </c>
      <c r="AY469" s="100" t="str">
        <f aca="false">IF(ISBLANK($C469),"",IF(ISBLANK($V469),0,IF(ISNUMBER($V469),IF(AND($V469&gt;=0,$V469&lt;=Constants!$B$21,$V469=INT($V469)),$V469,""),"")))</f>
        <v/>
      </c>
      <c r="AZ469" s="100" t="str">
        <f aca="false">IF(ISBLANK($C469),"",IF(ISBLANK($W469),0,IF(ISNUMBER($W469),IF($W469&gt;=0,$W469,""),"")))</f>
        <v/>
      </c>
      <c r="BA469" s="100" t="str">
        <f aca="false">IF(ISBLANK($C469),"",IF($X469=Constants!$B$2,TRUE(),IF($X469=Constants!$B$3,FALSE(),TRUE())))</f>
        <v/>
      </c>
      <c r="BB469" s="100" t="str">
        <f aca="false">IF(ISBLANK($C469),"",IF($Y469=Constants!$B$2,TRUE(),IF($Y469=Constants!$B$3,FALSE(),FALSE())))</f>
        <v/>
      </c>
      <c r="BC469" s="100" t="str">
        <f aca="false">IF(ISBLANK($C469),"",IF(ISBLANK($Z469),0,IF(ISNUMBER($Z469),IF(AND($Z469&gt;=0,$Z469&lt;=Constants!$B$35,$Z469=INT($Z469)),$Z469,""),"")))</f>
        <v/>
      </c>
      <c r="BD469" s="100" t="str">
        <f aca="false">IF(ISBLANK($C469),"",IF($AA469=Constants!$B$2,TRUE(),IF($AA469=Constants!$B$3,FALSE(),TRUE())))</f>
        <v/>
      </c>
      <c r="BE469" s="100" t="str">
        <f aca="false">IF(ISBLANK($C469),"",IF($AB469=Constants!$B$2,TRUE(),IF($AB469=Constants!$B$3,FALSE(),TRUE())))</f>
        <v/>
      </c>
      <c r="BF469" s="100" t="str">
        <f aca="false">IF(ISBLANK($C469),"",IF(ISNUMBER($AC469),IF($AC469&gt;=0,$AC469,""),""))</f>
        <v/>
      </c>
      <c r="BG469" s="100" t="str">
        <f aca="false">IF(ISBLANK($C469),"",IF($AD469=Constants!$B$2,TRUE(),IF($AD469=Constants!$B$3,FALSE(),FALSE())))</f>
        <v/>
      </c>
      <c r="BH469" s="99" t="str">
        <f aca="false">IF(ISBLANK($C469),"",IF($BG469,Constants!$B$7,IF(COUNTA($E469:$AC469)=0,Constants!$B$6,IF(OR(COUNTA($G469:$AC469)=0,NOT($AK469),$AQ469),Constants!$B$5,IF(OR($CI469&lt;&gt;"",$CJ469,$CK469,$CL469,$CM469,$CN469,$CO469),Constants!$B$8,Constants!$B$4)))))</f>
        <v/>
      </c>
      <c r="BI469" s="100" t="str">
        <f aca="false">IF(ISBLANK($C469),"",IF($BH469&lt;&gt;Constants!$B$4,$BH469,IF(OR(NOT($AH469),NOT($AJ469),NOT($AR469)),Constants!$B$11,IF(OR(NOT($AP469),MAX($AL469,$AM469,$AN469)&gt;Constants!$B$30),Constants!$B$10,Constants!$B$9))))</f>
        <v/>
      </c>
      <c r="BJ469" s="100" t="str">
        <f aca="false">IF($BH469&lt;&gt;Constants!$B$4,"",IF(NOT($AJ469),0,MIN(Constants!$B$35,$BC469)))</f>
        <v/>
      </c>
      <c r="BK469" s="100" t="str">
        <f aca="false">IF($BH469&lt;&gt;Constants!$B$4,"",IF(NOT($AJ469),0,IF($AT469,Constants!$B$18,IF($AS469,Constants!$B$17,0))))</f>
        <v/>
      </c>
      <c r="BL469" s="100" t="str">
        <f aca="false">IF($BH469&lt;&gt;Constants!$B$4,"",IF(NOT($AJ469),0,Constants!$B$19*($AI469+$AU469+$AV469+$AW469)))</f>
        <v/>
      </c>
      <c r="BM469" s="100" t="str">
        <f aca="false">IF($BH469&lt;&gt;Constants!$B$4,"",IF(OR(NOT($AJ469),NOT(ISNUMBER($AX469))),0,CHOOSE($AX469,Constants!$B$13,Constants!$B$14,Constants!$B$15,Constants!$B$16)))</f>
        <v/>
      </c>
      <c r="BN469" s="100" t="str">
        <f aca="false">IF($BH469&lt;&gt;Constants!$B$4,"",IF(NOT($AJ469),0,Constants!$B$20*$AY469))</f>
        <v/>
      </c>
      <c r="BO469" s="100" t="str">
        <f aca="false">IF($BH469&lt;&gt;Constants!$B$4,"",IF(AND($AJ469,$BA469,$BB469),Constants!$B$22,0))</f>
        <v/>
      </c>
      <c r="BP469" s="100" t="str">
        <f aca="false">IF($BH469&lt;&gt;Constants!$B$4,"",IF(OR(NOT($AJ469),NOT($BA469)),0,IF($BF469&gt;=2*$AF$9,0,Constants!$B$23*INT(ROUND(MIN($BF469,$AF$9),6)))))</f>
        <v/>
      </c>
      <c r="BQ469" s="100" t="str">
        <f aca="false">IF($BH469&lt;&gt;Constants!$B$4,"",IF(NOT($AJ469),0,Constants!$B$24*INT(ROUND(MIN($AZ469,$AF$9),6))))</f>
        <v/>
      </c>
      <c r="BR469" s="100" t="str">
        <f aca="false">IF($BH469&lt;&gt;Constants!$B$4,"",IF(AND($AJ469,$BJ469=0),Constants!$B$25,0))</f>
        <v/>
      </c>
      <c r="BS469" s="100" t="str">
        <f aca="false">IF($BH469&lt;&gt;Constants!$B$4,"",MIN(Constants!$B$29,MAX(0,Constants!$B$27*Constants!$B$28*INT(ROUND((Constants!$B$26-$AL469)/Constants!$B$28,6))))+MIN(Constants!$B$29,MAX(0,Constants!$B$27*Constants!$B$28*INT(ROUND((Constants!$B$26-$AM469)/Constants!$B$28,6))))+MIN(Constants!$B$29,MAX(0,Constants!$B$27*Constants!$B$28*INT(ROUND((Constants!$B$26-$AN469)/Constants!$B$28,6)))))</f>
        <v/>
      </c>
      <c r="BT469" s="100" t="str">
        <f aca="false">IF($BH469&lt;&gt;Constants!$B$4,"",IF(NOT($AJ469),0,Constants!$B$31*INT(ROUND(MAX(0,MIN($BF469,2*$AF$9)-$AF$9),6))))</f>
        <v/>
      </c>
      <c r="BU469" s="100" t="str">
        <f aca="false">IF($BH469&lt;&gt;Constants!$B$4,"",Constants!$B$32*(($AL469&gt;Constants!$B$26)+($AM469&gt;Constants!$B$26)+($AN469&gt;Constants!$B$26)))</f>
        <v/>
      </c>
      <c r="BV469" s="100" t="str">
        <f aca="false">IF($BH469&lt;&gt;Constants!$B$4,"",IF(OR(NOT($AJ469),$AO469),0,Constants!$B$33))</f>
        <v/>
      </c>
      <c r="BW469" s="100" t="str">
        <f aca="false">IF($BH469&lt;&gt;Constants!$B$4,"",Constants!$B$34*$BJ469)</f>
        <v/>
      </c>
      <c r="BX469" s="100" t="str">
        <f aca="false">IF($BH469&lt;&gt;Constants!$B$4,"",IF(OR(NOT($AJ469),$BE469),0,Constants!$B$36))</f>
        <v/>
      </c>
      <c r="BY469" s="100" t="str">
        <f aca="false">IF($BH469&lt;&gt;Constants!$B$4,"",IF(OR(NOT($AJ469),$BD469),0,Constants!$B$37))</f>
        <v/>
      </c>
      <c r="BZ469" s="100" t="str">
        <f aca="false">IF($BH469&lt;&gt;Constants!$B$4,"",SUM($BT469:$BY469))</f>
        <v/>
      </c>
      <c r="CA469" s="100" t="str">
        <f aca="false">IF(ISBLANK($C469),"",IF($BH469&lt;&gt;Constants!$B$4,$BH469,SUM($BK469:$BS469)-$BZ469))</f>
        <v/>
      </c>
      <c r="CB469" s="100" t="str">
        <f aca="false">IF(ISBLANK($C469),"",IF($BH469&lt;&gt;Constants!$B$4,$BH469,RANK($CA469,$CA$9:$CA$508)))</f>
        <v/>
      </c>
      <c r="CC469" s="100" t="str">
        <f aca="false">IF(ISBLANK($C469),"",IF($BH469&lt;&gt;Constants!$B$4,$BH469,COUNTIFS($BI$9:$BI$508,"&lt;"&amp;$BI469)+COUNTIFS($BI$9:$BI$508,$BI469,$CB$9:$CB$508,"&lt;"&amp;$CB469)+1))</f>
        <v/>
      </c>
      <c r="CD469" s="100" t="str">
        <f aca="false">IF(ISBLANK($C469),"",IF($BH469&lt;&gt;Constants!$B$4,$BH469,RANK($BZ469,$BZ$9:$BZ$508,1)))</f>
        <v/>
      </c>
      <c r="CE469" s="100" t="str">
        <f aca="false">IF($BH469&lt;&gt;Constants!$B$4,"",$AL469+$AM469+$AN469)</f>
        <v/>
      </c>
      <c r="CF469" s="100" t="str">
        <f aca="false">IF(ISBLANK($C469),"",IF($BH469&lt;&gt;Constants!$B$4,$BH469,RANK($CE469,$CE$9:$CE$508,1)))</f>
        <v/>
      </c>
      <c r="CG469" s="100" t="str">
        <f aca="false">IF(ISBLANK($C469),"",IF($BH469&lt;&gt;Constants!$B$4,$BH469,COUNTIFS($BI$9:$BI$508,"&lt;"&amp;$BI469)+COUNTIFS($BI$9:$BI$508,$BI469,$CB$9:$CB$508,"&lt;"&amp;$CB469)+COUNTIFS($BI$9:$BI$508,$BI469,$CB$9:$CB$508,$CB469,$CD$9:$CD$508,"&lt;"&amp;$CD469)+COUNTIFS($BI$9:$BI$508,$BI469,$CB$9:$CB$508,$CB469,$CD$9:$CD$508,$CD469,$CF$9:$CF$508,"&lt;"&amp;$CF469)+1))</f>
        <v/>
      </c>
      <c r="CH469" s="100" t="str">
        <f aca="false">IF(ISBLANK($C469),"",IF($BH469&lt;&gt;Constants!$B$4,$BH469,$CC469-$CG469))</f>
        <v/>
      </c>
      <c r="CI469" s="100" t="str">
        <f aca="false">IF(ISBLANK($C469),"",IF(NOT($AJ469),"",IF(ISBLANK($D$7),$CI$5,IF(NOT(ISNUMBER($D$7)),$CI$6,""))))</f>
        <v/>
      </c>
      <c r="CJ469" s="100" t="str">
        <f aca="false">IF(ISBLANK($C469),"",OR($AL469="",$AM469="",$AN469=""))</f>
        <v/>
      </c>
      <c r="CK469" s="100" t="str">
        <f aca="false">IF(ISBLANK($C469),"",AND($AJ469,$AX469=""))</f>
        <v/>
      </c>
      <c r="CL469" s="100" t="str">
        <f aca="false">IF(ISBLANK($C469),"",AND($AJ469,$AY469=""))</f>
        <v/>
      </c>
      <c r="CM469" s="100" t="str">
        <f aca="false">IF(ISBLANK($C469),"",AND($AJ469,$AZ469=""))</f>
        <v/>
      </c>
      <c r="CN469" s="100" t="str">
        <f aca="false">IF(ISBLANK($C469),"",AND($AJ469,$BC469=""))</f>
        <v/>
      </c>
      <c r="CO469" s="100" t="str">
        <f aca="false">IF(ISBLANK($C469),"",AND($AJ469,$BF469=""))</f>
        <v/>
      </c>
      <c r="CP469" s="101"/>
      <c r="CQ469" s="102"/>
      <c r="CR469" s="103" t="str">
        <f aca="false">IF(ISBLANK($C469),"",IF($BH469=Constants!$B$8,$CI469,""))</f>
        <v/>
      </c>
      <c r="CS469" s="102" t="str">
        <f aca="false">IF(ISBLANK($C469),"",IF($BH469&lt;&gt;Constants!$B$4,"",$BK469+$BL469))</f>
        <v/>
      </c>
      <c r="CT469" s="104" t="str">
        <f aca="false">IF(ISBLANK($C469),"",IF($BH469&lt;&gt;Constants!$B$4,"",$BM469+$BN469+$BO469))</f>
        <v/>
      </c>
      <c r="CU469" s="104" t="str">
        <f aca="false">IF(ISBLANK($C469),"",IF($BH469&lt;&gt;Constants!$B$4,"",$BP469))</f>
        <v/>
      </c>
      <c r="CV469" s="104" t="str">
        <f aca="false">IF(ISBLANK($C469),"",IF($BH469&lt;&gt;Constants!$B$4,"",$BQ469+$BR469))</f>
        <v/>
      </c>
      <c r="CW469" s="104" t="str">
        <f aca="false">IF(ISBLANK($C469),"",IF($BH469&lt;&gt;Constants!$B$4,"",$BS469))</f>
        <v/>
      </c>
      <c r="CX469" s="104" t="str">
        <f aca="false">IF(ISBLANK($C469),"",IF($BH469&lt;&gt;Constants!$B$4,"",-$BZ469))</f>
        <v/>
      </c>
      <c r="CY469" s="103" t="str">
        <f aca="false">IF(ISBLANK($C469),"",$CA469)</f>
        <v/>
      </c>
      <c r="CZ469" s="105" t="str">
        <f aca="false">IF(ISBLANK($C469),"",$BI469)</f>
        <v/>
      </c>
      <c r="DA469" s="104" t="str">
        <f aca="false">IF(ISBLANK($C469),"",$CH469)</f>
        <v/>
      </c>
      <c r="DB469" s="104" t="str">
        <f aca="false">IF(ISBLANK($C469),"",$CG469)</f>
        <v/>
      </c>
      <c r="DC469" s="106" t="str">
        <f aca="false">IF(ISBLANK($C469),"",IFERROR(_xlfn.SWITCH($DB469,Constants!$B$7,COUNTA($C$9:$C$508)+2,Constants!$B$6,COUNTA($C$9:$C$508)+1,Constants!$B$5,COUNTA($C$9:$C$508)),$DB469))</f>
        <v/>
      </c>
      <c r="DD469" s="7"/>
      <c r="DE469" s="107" t="n">
        <f aca="false">IF(OR(ISNUMBER($DB469),$DB469=Constants!$B$7,$DB469=Constants!$B$5,$DB469=Constants!$B$6),1,0)</f>
        <v>0</v>
      </c>
      <c r="DF469" s="107" t="n">
        <v>461</v>
      </c>
      <c r="DG469" s="107" t="str">
        <f aca="false">IF(ISBLANK($C469),"",IF(ISNUMBER($DC469),$DC469+ROW($B469)/1000,""))</f>
        <v/>
      </c>
      <c r="DH469" s="107" t="str">
        <f aca="false">IF(ISNUMBER($DG469),RANK($DG469,$DG$9:$DG$508,1),"")</f>
        <v/>
      </c>
      <c r="DI469" s="107" t="str">
        <f aca="false">IF(ISBLANK($C469),"",$B469)</f>
        <v/>
      </c>
      <c r="DJ469" s="107" t="str">
        <f aca="false">IF(ISBLANK($C469),"",$C469)</f>
        <v/>
      </c>
      <c r="DK469" s="107" t="str">
        <f aca="false">IF(ISBLANK($C469),"",$D469)</f>
        <v/>
      </c>
      <c r="DL469" s="108" t="str">
        <f aca="false">$CZ469</f>
        <v/>
      </c>
      <c r="DM469" s="109" t="str">
        <f aca="false">$CY469</f>
        <v/>
      </c>
      <c r="DN469" s="107" t="str">
        <f aca="false">IF(ISBLANK($C469),"",$DB469)</f>
        <v/>
      </c>
      <c r="DO469" s="110" t="str">
        <f aca="false">IF($DF469&gt;$DE$8,"",VLOOKUP($DF469,$DH$9:$DN$508,7,FALSE()))</f>
        <v/>
      </c>
      <c r="DP469" s="111" t="str">
        <f aca="false">IF($DF469&gt;$DE$8,"",VLOOKUP($DF469,$DH$9:$DN$508,2,FALSE()))</f>
        <v/>
      </c>
      <c r="DQ469" s="111" t="str">
        <f aca="false">IF($DF469&gt;$DE$8,"",VLOOKUP($DF469,$DH$9:$DN$508,3,FALSE()))</f>
        <v/>
      </c>
      <c r="DR469" s="111" t="str">
        <f aca="false">IF($DF469&gt;$DE$8,"",VLOOKUP($DF469,$DH$9:$DN$508,4,FALSE()))</f>
        <v/>
      </c>
      <c r="DS469" s="111" t="str">
        <f aca="false">IF($DF469&gt;$DE$8,"",VLOOKUP($DF469,$DH$9:$DN$508,5,FALSE()))</f>
        <v/>
      </c>
      <c r="DT469" s="112" t="str">
        <f aca="false">IF($DF469&gt;$DE$8,"",VLOOKUP($DF469,$DH$9:$DN$508,6,FALSE()))</f>
        <v/>
      </c>
      <c r="DU469" s="62"/>
    </row>
    <row r="470" customFormat="false" ht="15.75" hidden="false" customHeight="false" outlineLevel="0" collapsed="false">
      <c r="A470" s="7"/>
      <c r="B470" s="90"/>
      <c r="C470" s="91"/>
      <c r="D470" s="126"/>
      <c r="E470" s="130"/>
      <c r="F470" s="135"/>
      <c r="G470" s="130"/>
      <c r="H470" s="135"/>
      <c r="I470" s="131"/>
      <c r="J470" s="131"/>
      <c r="K470" s="131"/>
      <c r="L470" s="130"/>
      <c r="M470" s="130"/>
      <c r="N470" s="130"/>
      <c r="O470" s="135"/>
      <c r="P470" s="130"/>
      <c r="Q470" s="130"/>
      <c r="R470" s="130"/>
      <c r="S470" s="130"/>
      <c r="T470" s="135"/>
      <c r="U470" s="130"/>
      <c r="V470" s="96"/>
      <c r="W470" s="130"/>
      <c r="X470" s="130"/>
      <c r="Y470" s="96"/>
      <c r="Z470" s="96"/>
      <c r="AA470" s="130"/>
      <c r="AB470" s="130"/>
      <c r="AC470" s="97"/>
      <c r="AD470" s="130"/>
      <c r="AE470" s="99"/>
      <c r="AF470" s="100"/>
      <c r="AG470" s="100"/>
      <c r="AH470" s="100" t="str">
        <f aca="false">IF(ISBLANK($C470),"",IF($E470=Constants!$B$2,TRUE(),IF($E470=Constants!$B$3,FALSE(),TRUE())))</f>
        <v/>
      </c>
      <c r="AI470" s="100" t="str">
        <f aca="false">IF(ISBLANK($C470),"",IF($F470=Constants!$B$2,TRUE(),IF($F470=Constants!$B$3,FALSE(),FALSE())))</f>
        <v/>
      </c>
      <c r="AJ470" s="100" t="str">
        <f aca="false">IF(ISBLANK($C470),"",IF($G470=Constants!$B$2,TRUE(),IF($G470=Constants!$B$3,FALSE(),TRUE())))</f>
        <v/>
      </c>
      <c r="AK470" s="100" t="str">
        <f aca="false">IF(ISBLANK($C470),"",IF($H470=Constants!$B$2,TRUE(),IF($H470=Constants!$B$3,FALSE(),TRUE())))</f>
        <v/>
      </c>
      <c r="AL470" s="100" t="str">
        <f aca="false">IF(ISBLANK($C470),"",IF(ISNUMBER($I470),IF($I470&gt;=0,$I470,""),""))</f>
        <v/>
      </c>
      <c r="AM470" s="100" t="str">
        <f aca="false">IF(ISBLANK($C470),"",IF(ISNUMBER($J470),IF($J470&gt;=0,$J470,""),""))</f>
        <v/>
      </c>
      <c r="AN470" s="100" t="str">
        <f aca="false">IF(ISBLANK($C470),"",IF(ISNUMBER($K470),IF($K470&gt;=0,$K470,""),""))</f>
        <v/>
      </c>
      <c r="AO470" s="100" t="str">
        <f aca="false">IF(ISBLANK($C470),"",IF($L470=Constants!$B$2,TRUE(),IF($L470=Constants!$B$3,FALSE(),TRUE())))</f>
        <v/>
      </c>
      <c r="AP470" s="100" t="str">
        <f aca="false">IF(ISBLANK($C470),"",IF($M470=Constants!$B$2,TRUE(),IF($M470=Constants!$B$3,FALSE(),TRUE())))</f>
        <v/>
      </c>
      <c r="AQ470" s="100" t="str">
        <f aca="false">IF(ISBLANK($C470),"",IF($N470=Constants!$B$2,TRUE(),IF($N470=Constants!$B$3,FALSE(),FALSE())))</f>
        <v/>
      </c>
      <c r="AR470" s="100" t="str">
        <f aca="false">IF(ISBLANK($C470),"",IF($O470=Constants!$B$2,TRUE(),IF($O470=Constants!$B$3,FALSE(),TRUE())))</f>
        <v/>
      </c>
      <c r="AS470" s="100" t="str">
        <f aca="false">IF(ISBLANK($C470),"",IF($P470=Constants!$B$2,TRUE(),IF($P470=Constants!$B$3,FALSE(),FALSE())))</f>
        <v/>
      </c>
      <c r="AT470" s="100" t="str">
        <f aca="false">IF(ISBLANK($C470),"",IF($Q470=Constants!$B$2,TRUE(),IF($Q470=Constants!$B$3,FALSE(),FALSE())))</f>
        <v/>
      </c>
      <c r="AU470" s="100" t="str">
        <f aca="false">IF(ISBLANK($C470),"",IF($R470=Constants!$B$2,TRUE(),IF($R470=Constants!$B$3,FALSE(),FALSE())))</f>
        <v/>
      </c>
      <c r="AV470" s="100" t="str">
        <f aca="false">IF(ISBLANK($C470),"",IF($S470=Constants!$B$2,TRUE(),IF($S470=Constants!$B$3,FALSE(),FALSE())))</f>
        <v/>
      </c>
      <c r="AW470" s="100" t="str">
        <f aca="false">IF(ISBLANK($C470),"",IF($T470=Constants!$B$2,TRUE(),IF($T470=Constants!$B$3,FALSE(),FALSE())))</f>
        <v/>
      </c>
      <c r="AX470" s="100" t="str">
        <f aca="false">IF(ISBLANK($C470),"",IF(OR($U470&amp;""="1",$U470&amp;""="2",$U470&amp;""="3",$U470&amp;""="4"),VALUE($U470&amp;""),IF($U470=Constants!$B$12,Constants!$B$12,"")))</f>
        <v/>
      </c>
      <c r="AY470" s="100" t="str">
        <f aca="false">IF(ISBLANK($C470),"",IF(ISBLANK($V470),0,IF(ISNUMBER($V470),IF(AND($V470&gt;=0,$V470&lt;=Constants!$B$21,$V470=INT($V470)),$V470,""),"")))</f>
        <v/>
      </c>
      <c r="AZ470" s="100" t="str">
        <f aca="false">IF(ISBLANK($C470),"",IF(ISBLANK($W470),0,IF(ISNUMBER($W470),IF($W470&gt;=0,$W470,""),"")))</f>
        <v/>
      </c>
      <c r="BA470" s="100" t="str">
        <f aca="false">IF(ISBLANK($C470),"",IF($X470=Constants!$B$2,TRUE(),IF($X470=Constants!$B$3,FALSE(),TRUE())))</f>
        <v/>
      </c>
      <c r="BB470" s="100" t="str">
        <f aca="false">IF(ISBLANK($C470),"",IF($Y470=Constants!$B$2,TRUE(),IF($Y470=Constants!$B$3,FALSE(),FALSE())))</f>
        <v/>
      </c>
      <c r="BC470" s="100" t="str">
        <f aca="false">IF(ISBLANK($C470),"",IF(ISBLANK($Z470),0,IF(ISNUMBER($Z470),IF(AND($Z470&gt;=0,$Z470&lt;=Constants!$B$35,$Z470=INT($Z470)),$Z470,""),"")))</f>
        <v/>
      </c>
      <c r="BD470" s="100" t="str">
        <f aca="false">IF(ISBLANK($C470),"",IF($AA470=Constants!$B$2,TRUE(),IF($AA470=Constants!$B$3,FALSE(),TRUE())))</f>
        <v/>
      </c>
      <c r="BE470" s="100" t="str">
        <f aca="false">IF(ISBLANK($C470),"",IF($AB470=Constants!$B$2,TRUE(),IF($AB470=Constants!$B$3,FALSE(),TRUE())))</f>
        <v/>
      </c>
      <c r="BF470" s="100" t="str">
        <f aca="false">IF(ISBLANK($C470),"",IF(ISNUMBER($AC470),IF($AC470&gt;=0,$AC470,""),""))</f>
        <v/>
      </c>
      <c r="BG470" s="100" t="str">
        <f aca="false">IF(ISBLANK($C470),"",IF($AD470=Constants!$B$2,TRUE(),IF($AD470=Constants!$B$3,FALSE(),FALSE())))</f>
        <v/>
      </c>
      <c r="BH470" s="99" t="str">
        <f aca="false">IF(ISBLANK($C470),"",IF($BG470,Constants!$B$7,IF(COUNTA($E470:$AC470)=0,Constants!$B$6,IF(OR(COUNTA($G470:$AC470)=0,NOT($AK470),$AQ470),Constants!$B$5,IF(OR($CI470&lt;&gt;"",$CJ470,$CK470,$CL470,$CM470,$CN470,$CO470),Constants!$B$8,Constants!$B$4)))))</f>
        <v/>
      </c>
      <c r="BI470" s="100" t="str">
        <f aca="false">IF(ISBLANK($C470),"",IF($BH470&lt;&gt;Constants!$B$4,$BH470,IF(OR(NOT($AH470),NOT($AJ470),NOT($AR470)),Constants!$B$11,IF(OR(NOT($AP470),MAX($AL470,$AM470,$AN470)&gt;Constants!$B$30),Constants!$B$10,Constants!$B$9))))</f>
        <v/>
      </c>
      <c r="BJ470" s="100" t="str">
        <f aca="false">IF($BH470&lt;&gt;Constants!$B$4,"",IF(NOT($AJ470),0,MIN(Constants!$B$35,$BC470)))</f>
        <v/>
      </c>
      <c r="BK470" s="100" t="str">
        <f aca="false">IF($BH470&lt;&gt;Constants!$B$4,"",IF(NOT($AJ470),0,IF($AT470,Constants!$B$18,IF($AS470,Constants!$B$17,0))))</f>
        <v/>
      </c>
      <c r="BL470" s="100" t="str">
        <f aca="false">IF($BH470&lt;&gt;Constants!$B$4,"",IF(NOT($AJ470),0,Constants!$B$19*($AI470+$AU470+$AV470+$AW470)))</f>
        <v/>
      </c>
      <c r="BM470" s="100" t="str">
        <f aca="false">IF($BH470&lt;&gt;Constants!$B$4,"",IF(OR(NOT($AJ470),NOT(ISNUMBER($AX470))),0,CHOOSE($AX470,Constants!$B$13,Constants!$B$14,Constants!$B$15,Constants!$B$16)))</f>
        <v/>
      </c>
      <c r="BN470" s="100" t="str">
        <f aca="false">IF($BH470&lt;&gt;Constants!$B$4,"",IF(NOT($AJ470),0,Constants!$B$20*$AY470))</f>
        <v/>
      </c>
      <c r="BO470" s="100" t="str">
        <f aca="false">IF($BH470&lt;&gt;Constants!$B$4,"",IF(AND($AJ470,$BA470,$BB470),Constants!$B$22,0))</f>
        <v/>
      </c>
      <c r="BP470" s="100" t="str">
        <f aca="false">IF($BH470&lt;&gt;Constants!$B$4,"",IF(OR(NOT($AJ470),NOT($BA470)),0,IF($BF470&gt;=2*$AF$9,0,Constants!$B$23*INT(ROUND(MIN($BF470,$AF$9),6)))))</f>
        <v/>
      </c>
      <c r="BQ470" s="100" t="str">
        <f aca="false">IF($BH470&lt;&gt;Constants!$B$4,"",IF(NOT($AJ470),0,Constants!$B$24*INT(ROUND(MIN($AZ470,$AF$9),6))))</f>
        <v/>
      </c>
      <c r="BR470" s="100" t="str">
        <f aca="false">IF($BH470&lt;&gt;Constants!$B$4,"",IF(AND($AJ470,$BJ470=0),Constants!$B$25,0))</f>
        <v/>
      </c>
      <c r="BS470" s="100" t="str">
        <f aca="false">IF($BH470&lt;&gt;Constants!$B$4,"",MIN(Constants!$B$29,MAX(0,Constants!$B$27*Constants!$B$28*INT(ROUND((Constants!$B$26-$AL470)/Constants!$B$28,6))))+MIN(Constants!$B$29,MAX(0,Constants!$B$27*Constants!$B$28*INT(ROUND((Constants!$B$26-$AM470)/Constants!$B$28,6))))+MIN(Constants!$B$29,MAX(0,Constants!$B$27*Constants!$B$28*INT(ROUND((Constants!$B$26-$AN470)/Constants!$B$28,6)))))</f>
        <v/>
      </c>
      <c r="BT470" s="100" t="str">
        <f aca="false">IF($BH470&lt;&gt;Constants!$B$4,"",IF(NOT($AJ470),0,Constants!$B$31*INT(ROUND(MAX(0,MIN($BF470,2*$AF$9)-$AF$9),6))))</f>
        <v/>
      </c>
      <c r="BU470" s="100" t="str">
        <f aca="false">IF($BH470&lt;&gt;Constants!$B$4,"",Constants!$B$32*(($AL470&gt;Constants!$B$26)+($AM470&gt;Constants!$B$26)+($AN470&gt;Constants!$B$26)))</f>
        <v/>
      </c>
      <c r="BV470" s="100" t="str">
        <f aca="false">IF($BH470&lt;&gt;Constants!$B$4,"",IF(OR(NOT($AJ470),$AO470),0,Constants!$B$33))</f>
        <v/>
      </c>
      <c r="BW470" s="100" t="str">
        <f aca="false">IF($BH470&lt;&gt;Constants!$B$4,"",Constants!$B$34*$BJ470)</f>
        <v/>
      </c>
      <c r="BX470" s="100" t="str">
        <f aca="false">IF($BH470&lt;&gt;Constants!$B$4,"",IF(OR(NOT($AJ470),$BE470),0,Constants!$B$36))</f>
        <v/>
      </c>
      <c r="BY470" s="100" t="str">
        <f aca="false">IF($BH470&lt;&gt;Constants!$B$4,"",IF(OR(NOT($AJ470),$BD470),0,Constants!$B$37))</f>
        <v/>
      </c>
      <c r="BZ470" s="100" t="str">
        <f aca="false">IF($BH470&lt;&gt;Constants!$B$4,"",SUM($BT470:$BY470))</f>
        <v/>
      </c>
      <c r="CA470" s="100" t="str">
        <f aca="false">IF(ISBLANK($C470),"",IF($BH470&lt;&gt;Constants!$B$4,$BH470,SUM($BK470:$BS470)-$BZ470))</f>
        <v/>
      </c>
      <c r="CB470" s="100" t="str">
        <f aca="false">IF(ISBLANK($C470),"",IF($BH470&lt;&gt;Constants!$B$4,$BH470,RANK($CA470,$CA$9:$CA$508)))</f>
        <v/>
      </c>
      <c r="CC470" s="100" t="str">
        <f aca="false">IF(ISBLANK($C470),"",IF($BH470&lt;&gt;Constants!$B$4,$BH470,COUNTIFS($BI$9:$BI$508,"&lt;"&amp;$BI470)+COUNTIFS($BI$9:$BI$508,$BI470,$CB$9:$CB$508,"&lt;"&amp;$CB470)+1))</f>
        <v/>
      </c>
      <c r="CD470" s="100" t="str">
        <f aca="false">IF(ISBLANK($C470),"",IF($BH470&lt;&gt;Constants!$B$4,$BH470,RANK($BZ470,$BZ$9:$BZ$508,1)))</f>
        <v/>
      </c>
      <c r="CE470" s="100" t="str">
        <f aca="false">IF($BH470&lt;&gt;Constants!$B$4,"",$AL470+$AM470+$AN470)</f>
        <v/>
      </c>
      <c r="CF470" s="100" t="str">
        <f aca="false">IF(ISBLANK($C470),"",IF($BH470&lt;&gt;Constants!$B$4,$BH470,RANK($CE470,$CE$9:$CE$508,1)))</f>
        <v/>
      </c>
      <c r="CG470" s="100" t="str">
        <f aca="false">IF(ISBLANK($C470),"",IF($BH470&lt;&gt;Constants!$B$4,$BH470,COUNTIFS($BI$9:$BI$508,"&lt;"&amp;$BI470)+COUNTIFS($BI$9:$BI$508,$BI470,$CB$9:$CB$508,"&lt;"&amp;$CB470)+COUNTIFS($BI$9:$BI$508,$BI470,$CB$9:$CB$508,$CB470,$CD$9:$CD$508,"&lt;"&amp;$CD470)+COUNTIFS($BI$9:$BI$508,$BI470,$CB$9:$CB$508,$CB470,$CD$9:$CD$508,$CD470,$CF$9:$CF$508,"&lt;"&amp;$CF470)+1))</f>
        <v/>
      </c>
      <c r="CH470" s="100" t="str">
        <f aca="false">IF(ISBLANK($C470),"",IF($BH470&lt;&gt;Constants!$B$4,$BH470,$CC470-$CG470))</f>
        <v/>
      </c>
      <c r="CI470" s="100" t="str">
        <f aca="false">IF(ISBLANK($C470),"",IF(NOT($AJ470),"",IF(ISBLANK($D$7),$CI$5,IF(NOT(ISNUMBER($D$7)),$CI$6,""))))</f>
        <v/>
      </c>
      <c r="CJ470" s="100" t="str">
        <f aca="false">IF(ISBLANK($C470),"",OR($AL470="",$AM470="",$AN470=""))</f>
        <v/>
      </c>
      <c r="CK470" s="100" t="str">
        <f aca="false">IF(ISBLANK($C470),"",AND($AJ470,$AX470=""))</f>
        <v/>
      </c>
      <c r="CL470" s="100" t="str">
        <f aca="false">IF(ISBLANK($C470),"",AND($AJ470,$AY470=""))</f>
        <v/>
      </c>
      <c r="CM470" s="100" t="str">
        <f aca="false">IF(ISBLANK($C470),"",AND($AJ470,$AZ470=""))</f>
        <v/>
      </c>
      <c r="CN470" s="100" t="str">
        <f aca="false">IF(ISBLANK($C470),"",AND($AJ470,$BC470=""))</f>
        <v/>
      </c>
      <c r="CO470" s="100" t="str">
        <f aca="false">IF(ISBLANK($C470),"",AND($AJ470,$BF470=""))</f>
        <v/>
      </c>
      <c r="CP470" s="101"/>
      <c r="CQ470" s="102"/>
      <c r="CR470" s="103" t="str">
        <f aca="false">IF(ISBLANK($C470),"",IF($BH470=Constants!$B$8,$CI470,""))</f>
        <v/>
      </c>
      <c r="CS470" s="102" t="str">
        <f aca="false">IF(ISBLANK($C470),"",IF($BH470&lt;&gt;Constants!$B$4,"",$BK470+$BL470))</f>
        <v/>
      </c>
      <c r="CT470" s="104" t="str">
        <f aca="false">IF(ISBLANK($C470),"",IF($BH470&lt;&gt;Constants!$B$4,"",$BM470+$BN470+$BO470))</f>
        <v/>
      </c>
      <c r="CU470" s="104" t="str">
        <f aca="false">IF(ISBLANK($C470),"",IF($BH470&lt;&gt;Constants!$B$4,"",$BP470))</f>
        <v/>
      </c>
      <c r="CV470" s="104" t="str">
        <f aca="false">IF(ISBLANK($C470),"",IF($BH470&lt;&gt;Constants!$B$4,"",$BQ470+$BR470))</f>
        <v/>
      </c>
      <c r="CW470" s="104" t="str">
        <f aca="false">IF(ISBLANK($C470),"",IF($BH470&lt;&gt;Constants!$B$4,"",$BS470))</f>
        <v/>
      </c>
      <c r="CX470" s="104" t="str">
        <f aca="false">IF(ISBLANK($C470),"",IF($BH470&lt;&gt;Constants!$B$4,"",-$BZ470))</f>
        <v/>
      </c>
      <c r="CY470" s="103" t="str">
        <f aca="false">IF(ISBLANK($C470),"",$CA470)</f>
        <v/>
      </c>
      <c r="CZ470" s="105" t="str">
        <f aca="false">IF(ISBLANK($C470),"",$BI470)</f>
        <v/>
      </c>
      <c r="DA470" s="104" t="str">
        <f aca="false">IF(ISBLANK($C470),"",$CH470)</f>
        <v/>
      </c>
      <c r="DB470" s="104" t="str">
        <f aca="false">IF(ISBLANK($C470),"",$CG470)</f>
        <v/>
      </c>
      <c r="DC470" s="106" t="str">
        <f aca="false">IF(ISBLANK($C470),"",IFERROR(_xlfn.SWITCH($DB470,Constants!$B$7,COUNTA($C$9:$C$508)+2,Constants!$B$6,COUNTA($C$9:$C$508)+1,Constants!$B$5,COUNTA($C$9:$C$508)),$DB470))</f>
        <v/>
      </c>
      <c r="DD470" s="7"/>
      <c r="DE470" s="107" t="n">
        <f aca="false">IF(OR(ISNUMBER($DB470),$DB470=Constants!$B$7,$DB470=Constants!$B$5,$DB470=Constants!$B$6),1,0)</f>
        <v>0</v>
      </c>
      <c r="DF470" s="107" t="n">
        <v>462</v>
      </c>
      <c r="DG470" s="107" t="str">
        <f aca="false">IF(ISBLANK($C470),"",IF(ISNUMBER($DC470),$DC470+ROW($B470)/1000,""))</f>
        <v/>
      </c>
      <c r="DH470" s="107" t="str">
        <f aca="false">IF(ISNUMBER($DG470),RANK($DG470,$DG$9:$DG$508,1),"")</f>
        <v/>
      </c>
      <c r="DI470" s="107" t="str">
        <f aca="false">IF(ISBLANK($C470),"",$B470)</f>
        <v/>
      </c>
      <c r="DJ470" s="107" t="str">
        <f aca="false">IF(ISBLANK($C470),"",$C470)</f>
        <v/>
      </c>
      <c r="DK470" s="107" t="str">
        <f aca="false">IF(ISBLANK($C470),"",$D470)</f>
        <v/>
      </c>
      <c r="DL470" s="108" t="str">
        <f aca="false">$CZ470</f>
        <v/>
      </c>
      <c r="DM470" s="109" t="str">
        <f aca="false">$CY470</f>
        <v/>
      </c>
      <c r="DN470" s="107" t="str">
        <f aca="false">IF(ISBLANK($C470),"",$DB470)</f>
        <v/>
      </c>
      <c r="DO470" s="110" t="str">
        <f aca="false">IF($DF470&gt;$DE$8,"",VLOOKUP($DF470,$DH$9:$DN$508,7,FALSE()))</f>
        <v/>
      </c>
      <c r="DP470" s="111" t="str">
        <f aca="false">IF($DF470&gt;$DE$8,"",VLOOKUP($DF470,$DH$9:$DN$508,2,FALSE()))</f>
        <v/>
      </c>
      <c r="DQ470" s="111" t="str">
        <f aca="false">IF($DF470&gt;$DE$8,"",VLOOKUP($DF470,$DH$9:$DN$508,3,FALSE()))</f>
        <v/>
      </c>
      <c r="DR470" s="111" t="str">
        <f aca="false">IF($DF470&gt;$DE$8,"",VLOOKUP($DF470,$DH$9:$DN$508,4,FALSE()))</f>
        <v/>
      </c>
      <c r="DS470" s="111" t="str">
        <f aca="false">IF($DF470&gt;$DE$8,"",VLOOKUP($DF470,$DH$9:$DN$508,5,FALSE()))</f>
        <v/>
      </c>
      <c r="DT470" s="112" t="str">
        <f aca="false">IF($DF470&gt;$DE$8,"",VLOOKUP($DF470,$DH$9:$DN$508,6,FALSE()))</f>
        <v/>
      </c>
      <c r="DU470" s="62"/>
    </row>
    <row r="471" customFormat="false" ht="15.75" hidden="false" customHeight="false" outlineLevel="0" collapsed="false">
      <c r="A471" s="7"/>
      <c r="B471" s="64"/>
      <c r="C471" s="65"/>
      <c r="D471" s="123"/>
      <c r="E471" s="88"/>
      <c r="F471" s="134"/>
      <c r="G471" s="88"/>
      <c r="H471" s="134"/>
      <c r="I471" s="119"/>
      <c r="J471" s="119"/>
      <c r="K471" s="119"/>
      <c r="L471" s="88"/>
      <c r="M471" s="88"/>
      <c r="N471" s="88"/>
      <c r="O471" s="134"/>
      <c r="P471" s="88"/>
      <c r="Q471" s="88"/>
      <c r="R471" s="88"/>
      <c r="S471" s="88"/>
      <c r="T471" s="134"/>
      <c r="U471" s="88"/>
      <c r="V471" s="70"/>
      <c r="W471" s="88"/>
      <c r="X471" s="88"/>
      <c r="Y471" s="70"/>
      <c r="Z471" s="70"/>
      <c r="AA471" s="88"/>
      <c r="AB471" s="88"/>
      <c r="AC471" s="71"/>
      <c r="AD471" s="88"/>
      <c r="AE471" s="73"/>
      <c r="AF471" s="74"/>
      <c r="AG471" s="74"/>
      <c r="AH471" s="74" t="str">
        <f aca="false">IF(ISBLANK($C471),"",IF($E471=Constants!$B$2,TRUE(),IF($E471=Constants!$B$3,FALSE(),TRUE())))</f>
        <v/>
      </c>
      <c r="AI471" s="74" t="str">
        <f aca="false">IF(ISBLANK($C471),"",IF($F471=Constants!$B$2,TRUE(),IF($F471=Constants!$B$3,FALSE(),FALSE())))</f>
        <v/>
      </c>
      <c r="AJ471" s="74" t="str">
        <f aca="false">IF(ISBLANK($C471),"",IF($G471=Constants!$B$2,TRUE(),IF($G471=Constants!$B$3,FALSE(),TRUE())))</f>
        <v/>
      </c>
      <c r="AK471" s="74" t="str">
        <f aca="false">IF(ISBLANK($C471),"",IF($H471=Constants!$B$2,TRUE(),IF($H471=Constants!$B$3,FALSE(),TRUE())))</f>
        <v/>
      </c>
      <c r="AL471" s="74" t="str">
        <f aca="false">IF(ISBLANK($C471),"",IF(ISNUMBER($I471),IF($I471&gt;=0,$I471,""),""))</f>
        <v/>
      </c>
      <c r="AM471" s="74" t="str">
        <f aca="false">IF(ISBLANK($C471),"",IF(ISNUMBER($J471),IF($J471&gt;=0,$J471,""),""))</f>
        <v/>
      </c>
      <c r="AN471" s="74" t="str">
        <f aca="false">IF(ISBLANK($C471),"",IF(ISNUMBER($K471),IF($K471&gt;=0,$K471,""),""))</f>
        <v/>
      </c>
      <c r="AO471" s="74" t="str">
        <f aca="false">IF(ISBLANK($C471),"",IF($L471=Constants!$B$2,TRUE(),IF($L471=Constants!$B$3,FALSE(),TRUE())))</f>
        <v/>
      </c>
      <c r="AP471" s="74" t="str">
        <f aca="false">IF(ISBLANK($C471),"",IF($M471=Constants!$B$2,TRUE(),IF($M471=Constants!$B$3,FALSE(),TRUE())))</f>
        <v/>
      </c>
      <c r="AQ471" s="74" t="str">
        <f aca="false">IF(ISBLANK($C471),"",IF($N471=Constants!$B$2,TRUE(),IF($N471=Constants!$B$3,FALSE(),FALSE())))</f>
        <v/>
      </c>
      <c r="AR471" s="74" t="str">
        <f aca="false">IF(ISBLANK($C471),"",IF($O471=Constants!$B$2,TRUE(),IF($O471=Constants!$B$3,FALSE(),TRUE())))</f>
        <v/>
      </c>
      <c r="AS471" s="74" t="str">
        <f aca="false">IF(ISBLANK($C471),"",IF($P471=Constants!$B$2,TRUE(),IF($P471=Constants!$B$3,FALSE(),FALSE())))</f>
        <v/>
      </c>
      <c r="AT471" s="74" t="str">
        <f aca="false">IF(ISBLANK($C471),"",IF($Q471=Constants!$B$2,TRUE(),IF($Q471=Constants!$B$3,FALSE(),FALSE())))</f>
        <v/>
      </c>
      <c r="AU471" s="74" t="str">
        <f aca="false">IF(ISBLANK($C471),"",IF($R471=Constants!$B$2,TRUE(),IF($R471=Constants!$B$3,FALSE(),FALSE())))</f>
        <v/>
      </c>
      <c r="AV471" s="74" t="str">
        <f aca="false">IF(ISBLANK($C471),"",IF($S471=Constants!$B$2,TRUE(),IF($S471=Constants!$B$3,FALSE(),FALSE())))</f>
        <v/>
      </c>
      <c r="AW471" s="74" t="str">
        <f aca="false">IF(ISBLANK($C471),"",IF($T471=Constants!$B$2,TRUE(),IF($T471=Constants!$B$3,FALSE(),FALSE())))</f>
        <v/>
      </c>
      <c r="AX471" s="74" t="str">
        <f aca="false">IF(ISBLANK($C471),"",IF(OR($U471&amp;""="1",$U471&amp;""="2",$U471&amp;""="3",$U471&amp;""="4"),VALUE($U471&amp;""),IF($U471=Constants!$B$12,Constants!$B$12,"")))</f>
        <v/>
      </c>
      <c r="AY471" s="74" t="str">
        <f aca="false">IF(ISBLANK($C471),"",IF(ISBLANK($V471),0,IF(ISNUMBER($V471),IF(AND($V471&gt;=0,$V471&lt;=Constants!$B$21,$V471=INT($V471)),$V471,""),"")))</f>
        <v/>
      </c>
      <c r="AZ471" s="74" t="str">
        <f aca="false">IF(ISBLANK($C471),"",IF(ISBLANK($W471),0,IF(ISNUMBER($W471),IF($W471&gt;=0,$W471,""),"")))</f>
        <v/>
      </c>
      <c r="BA471" s="74" t="str">
        <f aca="false">IF(ISBLANK($C471),"",IF($X471=Constants!$B$2,TRUE(),IF($X471=Constants!$B$3,FALSE(),TRUE())))</f>
        <v/>
      </c>
      <c r="BB471" s="74" t="str">
        <f aca="false">IF(ISBLANK($C471),"",IF($Y471=Constants!$B$2,TRUE(),IF($Y471=Constants!$B$3,FALSE(),FALSE())))</f>
        <v/>
      </c>
      <c r="BC471" s="74" t="str">
        <f aca="false">IF(ISBLANK($C471),"",IF(ISBLANK($Z471),0,IF(ISNUMBER($Z471),IF(AND($Z471&gt;=0,$Z471&lt;=Constants!$B$35,$Z471=INT($Z471)),$Z471,""),"")))</f>
        <v/>
      </c>
      <c r="BD471" s="74" t="str">
        <f aca="false">IF(ISBLANK($C471),"",IF($AA471=Constants!$B$2,TRUE(),IF($AA471=Constants!$B$3,FALSE(),TRUE())))</f>
        <v/>
      </c>
      <c r="BE471" s="74" t="str">
        <f aca="false">IF(ISBLANK($C471),"",IF($AB471=Constants!$B$2,TRUE(),IF($AB471=Constants!$B$3,FALSE(),TRUE())))</f>
        <v/>
      </c>
      <c r="BF471" s="74" t="str">
        <f aca="false">IF(ISBLANK($C471),"",IF(ISNUMBER($AC471),IF($AC471&gt;=0,$AC471,""),""))</f>
        <v/>
      </c>
      <c r="BG471" s="74" t="str">
        <f aca="false">IF(ISBLANK($C471),"",IF($AD471=Constants!$B$2,TRUE(),IF($AD471=Constants!$B$3,FALSE(),FALSE())))</f>
        <v/>
      </c>
      <c r="BH471" s="73" t="str">
        <f aca="false">IF(ISBLANK($C471),"",IF($BG471,Constants!$B$7,IF(COUNTA($E471:$AC471)=0,Constants!$B$6,IF(OR(COUNTA($G471:$AC471)=0,NOT($AK471),$AQ471),Constants!$B$5,IF(OR($CI471&lt;&gt;"",$CJ471,$CK471,$CL471,$CM471,$CN471,$CO471),Constants!$B$8,Constants!$B$4)))))</f>
        <v/>
      </c>
      <c r="BI471" s="74" t="str">
        <f aca="false">IF(ISBLANK($C471),"",IF($BH471&lt;&gt;Constants!$B$4,$BH471,IF(OR(NOT($AH471),NOT($AJ471),NOT($AR471)),Constants!$B$11,IF(OR(NOT($AP471),MAX($AL471,$AM471,$AN471)&gt;Constants!$B$30),Constants!$B$10,Constants!$B$9))))</f>
        <v/>
      </c>
      <c r="BJ471" s="74" t="str">
        <f aca="false">IF($BH471&lt;&gt;Constants!$B$4,"",IF(NOT($AJ471),0,MIN(Constants!$B$35,$BC471)))</f>
        <v/>
      </c>
      <c r="BK471" s="74" t="str">
        <f aca="false">IF($BH471&lt;&gt;Constants!$B$4,"",IF(NOT($AJ471),0,IF($AT471,Constants!$B$18,IF($AS471,Constants!$B$17,0))))</f>
        <v/>
      </c>
      <c r="BL471" s="74" t="str">
        <f aca="false">IF($BH471&lt;&gt;Constants!$B$4,"",IF(NOT($AJ471),0,Constants!$B$19*($AI471+$AU471+$AV471+$AW471)))</f>
        <v/>
      </c>
      <c r="BM471" s="74" t="str">
        <f aca="false">IF($BH471&lt;&gt;Constants!$B$4,"",IF(OR(NOT($AJ471),NOT(ISNUMBER($AX471))),0,CHOOSE($AX471,Constants!$B$13,Constants!$B$14,Constants!$B$15,Constants!$B$16)))</f>
        <v/>
      </c>
      <c r="BN471" s="74" t="str">
        <f aca="false">IF($BH471&lt;&gt;Constants!$B$4,"",IF(NOT($AJ471),0,Constants!$B$20*$AY471))</f>
        <v/>
      </c>
      <c r="BO471" s="74" t="str">
        <f aca="false">IF($BH471&lt;&gt;Constants!$B$4,"",IF(AND($AJ471,$BA471,$BB471),Constants!$B$22,0))</f>
        <v/>
      </c>
      <c r="BP471" s="74" t="str">
        <f aca="false">IF($BH471&lt;&gt;Constants!$B$4,"",IF(OR(NOT($AJ471),NOT($BA471)),0,IF($BF471&gt;=2*$AF$9,0,Constants!$B$23*INT(ROUND(MIN($BF471,$AF$9),6)))))</f>
        <v/>
      </c>
      <c r="BQ471" s="74" t="str">
        <f aca="false">IF($BH471&lt;&gt;Constants!$B$4,"",IF(NOT($AJ471),0,Constants!$B$24*INT(ROUND(MIN($AZ471,$AF$9),6))))</f>
        <v/>
      </c>
      <c r="BR471" s="74" t="str">
        <f aca="false">IF($BH471&lt;&gt;Constants!$B$4,"",IF(AND($AJ471,$BJ471=0),Constants!$B$25,0))</f>
        <v/>
      </c>
      <c r="BS471" s="74" t="str">
        <f aca="false">IF($BH471&lt;&gt;Constants!$B$4,"",MIN(Constants!$B$29,MAX(0,Constants!$B$27*Constants!$B$28*INT(ROUND((Constants!$B$26-$AL471)/Constants!$B$28,6))))+MIN(Constants!$B$29,MAX(0,Constants!$B$27*Constants!$B$28*INT(ROUND((Constants!$B$26-$AM471)/Constants!$B$28,6))))+MIN(Constants!$B$29,MAX(0,Constants!$B$27*Constants!$B$28*INT(ROUND((Constants!$B$26-$AN471)/Constants!$B$28,6)))))</f>
        <v/>
      </c>
      <c r="BT471" s="74" t="str">
        <f aca="false">IF($BH471&lt;&gt;Constants!$B$4,"",IF(NOT($AJ471),0,Constants!$B$31*INT(ROUND(MAX(0,MIN($BF471,2*$AF$9)-$AF$9),6))))</f>
        <v/>
      </c>
      <c r="BU471" s="74" t="str">
        <f aca="false">IF($BH471&lt;&gt;Constants!$B$4,"",Constants!$B$32*(($AL471&gt;Constants!$B$26)+($AM471&gt;Constants!$B$26)+($AN471&gt;Constants!$B$26)))</f>
        <v/>
      </c>
      <c r="BV471" s="74" t="str">
        <f aca="false">IF($BH471&lt;&gt;Constants!$B$4,"",IF(OR(NOT($AJ471),$AO471),0,Constants!$B$33))</f>
        <v/>
      </c>
      <c r="BW471" s="74" t="str">
        <f aca="false">IF($BH471&lt;&gt;Constants!$B$4,"",Constants!$B$34*$BJ471)</f>
        <v/>
      </c>
      <c r="BX471" s="74" t="str">
        <f aca="false">IF($BH471&lt;&gt;Constants!$B$4,"",IF(OR(NOT($AJ471),$BE471),0,Constants!$B$36))</f>
        <v/>
      </c>
      <c r="BY471" s="74" t="str">
        <f aca="false">IF($BH471&lt;&gt;Constants!$B$4,"",IF(OR(NOT($AJ471),$BD471),0,Constants!$B$37))</f>
        <v/>
      </c>
      <c r="BZ471" s="74" t="str">
        <f aca="false">IF($BH471&lt;&gt;Constants!$B$4,"",SUM($BT471:$BY471))</f>
        <v/>
      </c>
      <c r="CA471" s="74" t="str">
        <f aca="false">IF(ISBLANK($C471),"",IF($BH471&lt;&gt;Constants!$B$4,$BH471,SUM($BK471:$BS471)-$BZ471))</f>
        <v/>
      </c>
      <c r="CB471" s="74" t="str">
        <f aca="false">IF(ISBLANK($C471),"",IF($BH471&lt;&gt;Constants!$B$4,$BH471,RANK($CA471,$CA$9:$CA$508)))</f>
        <v/>
      </c>
      <c r="CC471" s="74" t="str">
        <f aca="false">IF(ISBLANK($C471),"",IF($BH471&lt;&gt;Constants!$B$4,$BH471,COUNTIFS($BI$9:$BI$508,"&lt;"&amp;$BI471)+COUNTIFS($BI$9:$BI$508,$BI471,$CB$9:$CB$508,"&lt;"&amp;$CB471)+1))</f>
        <v/>
      </c>
      <c r="CD471" s="74" t="str">
        <f aca="false">IF(ISBLANK($C471),"",IF($BH471&lt;&gt;Constants!$B$4,$BH471,RANK($BZ471,$BZ$9:$BZ$508,1)))</f>
        <v/>
      </c>
      <c r="CE471" s="74" t="str">
        <f aca="false">IF($BH471&lt;&gt;Constants!$B$4,"",$AL471+$AM471+$AN471)</f>
        <v/>
      </c>
      <c r="CF471" s="74" t="str">
        <f aca="false">IF(ISBLANK($C471),"",IF($BH471&lt;&gt;Constants!$B$4,$BH471,RANK($CE471,$CE$9:$CE$508,1)))</f>
        <v/>
      </c>
      <c r="CG471" s="74" t="str">
        <f aca="false">IF(ISBLANK($C471),"",IF($BH471&lt;&gt;Constants!$B$4,$BH471,COUNTIFS($BI$9:$BI$508,"&lt;"&amp;$BI471)+COUNTIFS($BI$9:$BI$508,$BI471,$CB$9:$CB$508,"&lt;"&amp;$CB471)+COUNTIFS($BI$9:$BI$508,$BI471,$CB$9:$CB$508,$CB471,$CD$9:$CD$508,"&lt;"&amp;$CD471)+COUNTIFS($BI$9:$BI$508,$BI471,$CB$9:$CB$508,$CB471,$CD$9:$CD$508,$CD471,$CF$9:$CF$508,"&lt;"&amp;$CF471)+1))</f>
        <v/>
      </c>
      <c r="CH471" s="74" t="str">
        <f aca="false">IF(ISBLANK($C471),"",IF($BH471&lt;&gt;Constants!$B$4,$BH471,$CC471-$CG471))</f>
        <v/>
      </c>
      <c r="CI471" s="74" t="str">
        <f aca="false">IF(ISBLANK($C471),"",IF(NOT($AJ471),"",IF(ISBLANK($D$7),$CI$5,IF(NOT(ISNUMBER($D$7)),$CI$6,""))))</f>
        <v/>
      </c>
      <c r="CJ471" s="74" t="str">
        <f aca="false">IF(ISBLANK($C471),"",OR($AL471="",$AM471="",$AN471=""))</f>
        <v/>
      </c>
      <c r="CK471" s="74" t="str">
        <f aca="false">IF(ISBLANK($C471),"",AND($AJ471,$AX471=""))</f>
        <v/>
      </c>
      <c r="CL471" s="74" t="str">
        <f aca="false">IF(ISBLANK($C471),"",AND($AJ471,$AY471=""))</f>
        <v/>
      </c>
      <c r="CM471" s="74" t="str">
        <f aca="false">IF(ISBLANK($C471),"",AND($AJ471,$AZ471=""))</f>
        <v/>
      </c>
      <c r="CN471" s="74" t="str">
        <f aca="false">IF(ISBLANK($C471),"",AND($AJ471,$BC471=""))</f>
        <v/>
      </c>
      <c r="CO471" s="74" t="str">
        <f aca="false">IF(ISBLANK($C471),"",AND($AJ471,$BF471=""))</f>
        <v/>
      </c>
      <c r="CP471" s="75"/>
      <c r="CQ471" s="76"/>
      <c r="CR471" s="79" t="str">
        <f aca="false">IF(ISBLANK($C471),"",IF($BH471=Constants!$B$8,$CI471,""))</f>
        <v/>
      </c>
      <c r="CS471" s="76" t="str">
        <f aca="false">IF(ISBLANK($C471),"",IF($BH471&lt;&gt;Constants!$B$4,"",$BK471+$BL471))</f>
        <v/>
      </c>
      <c r="CT471" s="78" t="str">
        <f aca="false">IF(ISBLANK($C471),"",IF($BH471&lt;&gt;Constants!$B$4,"",$BM471+$BN471+$BO471))</f>
        <v/>
      </c>
      <c r="CU471" s="78" t="str">
        <f aca="false">IF(ISBLANK($C471),"",IF($BH471&lt;&gt;Constants!$B$4,"",$BP471))</f>
        <v/>
      </c>
      <c r="CV471" s="78" t="str">
        <f aca="false">IF(ISBLANK($C471),"",IF($BH471&lt;&gt;Constants!$B$4,"",$BQ471+$BR471))</f>
        <v/>
      </c>
      <c r="CW471" s="78" t="str">
        <f aca="false">IF(ISBLANK($C471),"",IF($BH471&lt;&gt;Constants!$B$4,"",$BS471))</f>
        <v/>
      </c>
      <c r="CX471" s="78" t="str">
        <f aca="false">IF(ISBLANK($C471),"",IF($BH471&lt;&gt;Constants!$B$4,"",-$BZ471))</f>
        <v/>
      </c>
      <c r="CY471" s="79" t="str">
        <f aca="false">IF(ISBLANK($C471),"",$CA471)</f>
        <v/>
      </c>
      <c r="CZ471" s="80" t="str">
        <f aca="false">IF(ISBLANK($C471),"",$BI471)</f>
        <v/>
      </c>
      <c r="DA471" s="78" t="str">
        <f aca="false">IF(ISBLANK($C471),"",$CH471)</f>
        <v/>
      </c>
      <c r="DB471" s="78" t="str">
        <f aca="false">IF(ISBLANK($C471),"",$CG471)</f>
        <v/>
      </c>
      <c r="DC471" s="81" t="str">
        <f aca="false">IF(ISBLANK($C471),"",IFERROR(_xlfn.SWITCH($DB471,Constants!$B$7,COUNTA($C$9:$C$508)+2,Constants!$B$6,COUNTA($C$9:$C$508)+1,Constants!$B$5,COUNTA($C$9:$C$508)),$DB471))</f>
        <v/>
      </c>
      <c r="DD471" s="7"/>
      <c r="DE471" s="82" t="n">
        <f aca="false">IF(OR(ISNUMBER($DB471),$DB471=Constants!$B$7,$DB471=Constants!$B$5,$DB471=Constants!$B$6),1,0)</f>
        <v>0</v>
      </c>
      <c r="DF471" s="82" t="n">
        <v>463</v>
      </c>
      <c r="DG471" s="82" t="str">
        <f aca="false">IF(ISBLANK($C471),"",IF(ISNUMBER($DC471),$DC471+ROW($B471)/1000,""))</f>
        <v/>
      </c>
      <c r="DH471" s="82" t="str">
        <f aca="false">IF(ISNUMBER($DG471),RANK($DG471,$DG$9:$DG$508,1),"")</f>
        <v/>
      </c>
      <c r="DI471" s="82" t="str">
        <f aca="false">IF(ISBLANK($C471),"",$B471)</f>
        <v/>
      </c>
      <c r="DJ471" s="82" t="str">
        <f aca="false">IF(ISBLANK($C471),"",$C471)</f>
        <v/>
      </c>
      <c r="DK471" s="82" t="str">
        <f aca="false">IF(ISBLANK($C471),"",$D471)</f>
        <v/>
      </c>
      <c r="DL471" s="83" t="str">
        <f aca="false">$CZ471</f>
        <v/>
      </c>
      <c r="DM471" s="84" t="str">
        <f aca="false">$CY471</f>
        <v/>
      </c>
      <c r="DN471" s="82" t="str">
        <f aca="false">IF(ISBLANK($C471),"",$DB471)</f>
        <v/>
      </c>
      <c r="DO471" s="85" t="str">
        <f aca="false">IF($DF471&gt;$DE$8,"",VLOOKUP($DF471,$DH$9:$DN$508,7,FALSE()))</f>
        <v/>
      </c>
      <c r="DP471" s="86" t="str">
        <f aca="false">IF($DF471&gt;$DE$8,"",VLOOKUP($DF471,$DH$9:$DN$508,2,FALSE()))</f>
        <v/>
      </c>
      <c r="DQ471" s="86" t="str">
        <f aca="false">IF($DF471&gt;$DE$8,"",VLOOKUP($DF471,$DH$9:$DN$508,3,FALSE()))</f>
        <v/>
      </c>
      <c r="DR471" s="86" t="str">
        <f aca="false">IF($DF471&gt;$DE$8,"",VLOOKUP($DF471,$DH$9:$DN$508,4,FALSE()))</f>
        <v/>
      </c>
      <c r="DS471" s="86" t="str">
        <f aca="false">IF($DF471&gt;$DE$8,"",VLOOKUP($DF471,$DH$9:$DN$508,5,FALSE()))</f>
        <v/>
      </c>
      <c r="DT471" s="87" t="str">
        <f aca="false">IF($DF471&gt;$DE$8,"",VLOOKUP($DF471,$DH$9:$DN$508,6,FALSE()))</f>
        <v/>
      </c>
      <c r="DU471" s="62"/>
    </row>
    <row r="472" customFormat="false" ht="15.75" hidden="false" customHeight="false" outlineLevel="0" collapsed="false">
      <c r="A472" s="7"/>
      <c r="B472" s="64"/>
      <c r="C472" s="65"/>
      <c r="D472" s="123"/>
      <c r="E472" s="88"/>
      <c r="F472" s="134"/>
      <c r="G472" s="88"/>
      <c r="H472" s="134"/>
      <c r="I472" s="119"/>
      <c r="J472" s="119"/>
      <c r="K472" s="119"/>
      <c r="L472" s="88"/>
      <c r="M472" s="88"/>
      <c r="N472" s="88"/>
      <c r="O472" s="134"/>
      <c r="P472" s="88"/>
      <c r="Q472" s="88"/>
      <c r="R472" s="88"/>
      <c r="S472" s="88"/>
      <c r="T472" s="134"/>
      <c r="U472" s="88"/>
      <c r="V472" s="70"/>
      <c r="W472" s="88"/>
      <c r="X472" s="88"/>
      <c r="Y472" s="70"/>
      <c r="Z472" s="70"/>
      <c r="AA472" s="88"/>
      <c r="AB472" s="88"/>
      <c r="AC472" s="71"/>
      <c r="AD472" s="88"/>
      <c r="AE472" s="73"/>
      <c r="AF472" s="74"/>
      <c r="AG472" s="74"/>
      <c r="AH472" s="74" t="str">
        <f aca="false">IF(ISBLANK($C472),"",IF($E472=Constants!$B$2,TRUE(),IF($E472=Constants!$B$3,FALSE(),TRUE())))</f>
        <v/>
      </c>
      <c r="AI472" s="74" t="str">
        <f aca="false">IF(ISBLANK($C472),"",IF($F472=Constants!$B$2,TRUE(),IF($F472=Constants!$B$3,FALSE(),FALSE())))</f>
        <v/>
      </c>
      <c r="AJ472" s="74" t="str">
        <f aca="false">IF(ISBLANK($C472),"",IF($G472=Constants!$B$2,TRUE(),IF($G472=Constants!$B$3,FALSE(),TRUE())))</f>
        <v/>
      </c>
      <c r="AK472" s="74" t="str">
        <f aca="false">IF(ISBLANK($C472),"",IF($H472=Constants!$B$2,TRUE(),IF($H472=Constants!$B$3,FALSE(),TRUE())))</f>
        <v/>
      </c>
      <c r="AL472" s="74" t="str">
        <f aca="false">IF(ISBLANK($C472),"",IF(ISNUMBER($I472),IF($I472&gt;=0,$I472,""),""))</f>
        <v/>
      </c>
      <c r="AM472" s="74" t="str">
        <f aca="false">IF(ISBLANK($C472),"",IF(ISNUMBER($J472),IF($J472&gt;=0,$J472,""),""))</f>
        <v/>
      </c>
      <c r="AN472" s="74" t="str">
        <f aca="false">IF(ISBLANK($C472),"",IF(ISNUMBER($K472),IF($K472&gt;=0,$K472,""),""))</f>
        <v/>
      </c>
      <c r="AO472" s="74" t="str">
        <f aca="false">IF(ISBLANK($C472),"",IF($L472=Constants!$B$2,TRUE(),IF($L472=Constants!$B$3,FALSE(),TRUE())))</f>
        <v/>
      </c>
      <c r="AP472" s="74" t="str">
        <f aca="false">IF(ISBLANK($C472),"",IF($M472=Constants!$B$2,TRUE(),IF($M472=Constants!$B$3,FALSE(),TRUE())))</f>
        <v/>
      </c>
      <c r="AQ472" s="74" t="str">
        <f aca="false">IF(ISBLANK($C472),"",IF($N472=Constants!$B$2,TRUE(),IF($N472=Constants!$B$3,FALSE(),FALSE())))</f>
        <v/>
      </c>
      <c r="AR472" s="74" t="str">
        <f aca="false">IF(ISBLANK($C472),"",IF($O472=Constants!$B$2,TRUE(),IF($O472=Constants!$B$3,FALSE(),TRUE())))</f>
        <v/>
      </c>
      <c r="AS472" s="74" t="str">
        <f aca="false">IF(ISBLANK($C472),"",IF($P472=Constants!$B$2,TRUE(),IF($P472=Constants!$B$3,FALSE(),FALSE())))</f>
        <v/>
      </c>
      <c r="AT472" s="74" t="str">
        <f aca="false">IF(ISBLANK($C472),"",IF($Q472=Constants!$B$2,TRUE(),IF($Q472=Constants!$B$3,FALSE(),FALSE())))</f>
        <v/>
      </c>
      <c r="AU472" s="74" t="str">
        <f aca="false">IF(ISBLANK($C472),"",IF($R472=Constants!$B$2,TRUE(),IF($R472=Constants!$B$3,FALSE(),FALSE())))</f>
        <v/>
      </c>
      <c r="AV472" s="74" t="str">
        <f aca="false">IF(ISBLANK($C472),"",IF($S472=Constants!$B$2,TRUE(),IF($S472=Constants!$B$3,FALSE(),FALSE())))</f>
        <v/>
      </c>
      <c r="AW472" s="74" t="str">
        <f aca="false">IF(ISBLANK($C472),"",IF($T472=Constants!$B$2,TRUE(),IF($T472=Constants!$B$3,FALSE(),FALSE())))</f>
        <v/>
      </c>
      <c r="AX472" s="74" t="str">
        <f aca="false">IF(ISBLANK($C472),"",IF(OR($U472&amp;""="1",$U472&amp;""="2",$U472&amp;""="3",$U472&amp;""="4"),VALUE($U472&amp;""),IF($U472=Constants!$B$12,Constants!$B$12,"")))</f>
        <v/>
      </c>
      <c r="AY472" s="74" t="str">
        <f aca="false">IF(ISBLANK($C472),"",IF(ISBLANK($V472),0,IF(ISNUMBER($V472),IF(AND($V472&gt;=0,$V472&lt;=Constants!$B$21,$V472=INT($V472)),$V472,""),"")))</f>
        <v/>
      </c>
      <c r="AZ472" s="74" t="str">
        <f aca="false">IF(ISBLANK($C472),"",IF(ISBLANK($W472),0,IF(ISNUMBER($W472),IF($W472&gt;=0,$W472,""),"")))</f>
        <v/>
      </c>
      <c r="BA472" s="74" t="str">
        <f aca="false">IF(ISBLANK($C472),"",IF($X472=Constants!$B$2,TRUE(),IF($X472=Constants!$B$3,FALSE(),TRUE())))</f>
        <v/>
      </c>
      <c r="BB472" s="74" t="str">
        <f aca="false">IF(ISBLANK($C472),"",IF($Y472=Constants!$B$2,TRUE(),IF($Y472=Constants!$B$3,FALSE(),FALSE())))</f>
        <v/>
      </c>
      <c r="BC472" s="74" t="str">
        <f aca="false">IF(ISBLANK($C472),"",IF(ISBLANK($Z472),0,IF(ISNUMBER($Z472),IF(AND($Z472&gt;=0,$Z472&lt;=Constants!$B$35,$Z472=INT($Z472)),$Z472,""),"")))</f>
        <v/>
      </c>
      <c r="BD472" s="74" t="str">
        <f aca="false">IF(ISBLANK($C472),"",IF($AA472=Constants!$B$2,TRUE(),IF($AA472=Constants!$B$3,FALSE(),TRUE())))</f>
        <v/>
      </c>
      <c r="BE472" s="74" t="str">
        <f aca="false">IF(ISBLANK($C472),"",IF($AB472=Constants!$B$2,TRUE(),IF($AB472=Constants!$B$3,FALSE(),TRUE())))</f>
        <v/>
      </c>
      <c r="BF472" s="74" t="str">
        <f aca="false">IF(ISBLANK($C472),"",IF(ISNUMBER($AC472),IF($AC472&gt;=0,$AC472,""),""))</f>
        <v/>
      </c>
      <c r="BG472" s="74" t="str">
        <f aca="false">IF(ISBLANK($C472),"",IF($AD472=Constants!$B$2,TRUE(),IF($AD472=Constants!$B$3,FALSE(),FALSE())))</f>
        <v/>
      </c>
      <c r="BH472" s="73" t="str">
        <f aca="false">IF(ISBLANK($C472),"",IF($BG472,Constants!$B$7,IF(COUNTA($E472:$AC472)=0,Constants!$B$6,IF(OR(COUNTA($G472:$AC472)=0,NOT($AK472),$AQ472),Constants!$B$5,IF(OR($CI472&lt;&gt;"",$CJ472,$CK472,$CL472,$CM472,$CN472,$CO472),Constants!$B$8,Constants!$B$4)))))</f>
        <v/>
      </c>
      <c r="BI472" s="74" t="str">
        <f aca="false">IF(ISBLANK($C472),"",IF($BH472&lt;&gt;Constants!$B$4,$BH472,IF(OR(NOT($AH472),NOT($AJ472),NOT($AR472)),Constants!$B$11,IF(OR(NOT($AP472),MAX($AL472,$AM472,$AN472)&gt;Constants!$B$30),Constants!$B$10,Constants!$B$9))))</f>
        <v/>
      </c>
      <c r="BJ472" s="74" t="str">
        <f aca="false">IF($BH472&lt;&gt;Constants!$B$4,"",IF(NOT($AJ472),0,MIN(Constants!$B$35,$BC472)))</f>
        <v/>
      </c>
      <c r="BK472" s="74" t="str">
        <f aca="false">IF($BH472&lt;&gt;Constants!$B$4,"",IF(NOT($AJ472),0,IF($AT472,Constants!$B$18,IF($AS472,Constants!$B$17,0))))</f>
        <v/>
      </c>
      <c r="BL472" s="74" t="str">
        <f aca="false">IF($BH472&lt;&gt;Constants!$B$4,"",IF(NOT($AJ472),0,Constants!$B$19*($AI472+$AU472+$AV472+$AW472)))</f>
        <v/>
      </c>
      <c r="BM472" s="74" t="str">
        <f aca="false">IF($BH472&lt;&gt;Constants!$B$4,"",IF(OR(NOT($AJ472),NOT(ISNUMBER($AX472))),0,CHOOSE($AX472,Constants!$B$13,Constants!$B$14,Constants!$B$15,Constants!$B$16)))</f>
        <v/>
      </c>
      <c r="BN472" s="74" t="str">
        <f aca="false">IF($BH472&lt;&gt;Constants!$B$4,"",IF(NOT($AJ472),0,Constants!$B$20*$AY472))</f>
        <v/>
      </c>
      <c r="BO472" s="74" t="str">
        <f aca="false">IF($BH472&lt;&gt;Constants!$B$4,"",IF(AND($AJ472,$BA472,$BB472),Constants!$B$22,0))</f>
        <v/>
      </c>
      <c r="BP472" s="74" t="str">
        <f aca="false">IF($BH472&lt;&gt;Constants!$B$4,"",IF(OR(NOT($AJ472),NOT($BA472)),0,IF($BF472&gt;=2*$AF$9,0,Constants!$B$23*INT(ROUND(MIN($BF472,$AF$9),6)))))</f>
        <v/>
      </c>
      <c r="BQ472" s="74" t="str">
        <f aca="false">IF($BH472&lt;&gt;Constants!$B$4,"",IF(NOT($AJ472),0,Constants!$B$24*INT(ROUND(MIN($AZ472,$AF$9),6))))</f>
        <v/>
      </c>
      <c r="BR472" s="74" t="str">
        <f aca="false">IF($BH472&lt;&gt;Constants!$B$4,"",IF(AND($AJ472,$BJ472=0),Constants!$B$25,0))</f>
        <v/>
      </c>
      <c r="BS472" s="74" t="str">
        <f aca="false">IF($BH472&lt;&gt;Constants!$B$4,"",MIN(Constants!$B$29,MAX(0,Constants!$B$27*Constants!$B$28*INT(ROUND((Constants!$B$26-$AL472)/Constants!$B$28,6))))+MIN(Constants!$B$29,MAX(0,Constants!$B$27*Constants!$B$28*INT(ROUND((Constants!$B$26-$AM472)/Constants!$B$28,6))))+MIN(Constants!$B$29,MAX(0,Constants!$B$27*Constants!$B$28*INT(ROUND((Constants!$B$26-$AN472)/Constants!$B$28,6)))))</f>
        <v/>
      </c>
      <c r="BT472" s="74" t="str">
        <f aca="false">IF($BH472&lt;&gt;Constants!$B$4,"",IF(NOT($AJ472),0,Constants!$B$31*INT(ROUND(MAX(0,MIN($BF472,2*$AF$9)-$AF$9),6))))</f>
        <v/>
      </c>
      <c r="BU472" s="74" t="str">
        <f aca="false">IF($BH472&lt;&gt;Constants!$B$4,"",Constants!$B$32*(($AL472&gt;Constants!$B$26)+($AM472&gt;Constants!$B$26)+($AN472&gt;Constants!$B$26)))</f>
        <v/>
      </c>
      <c r="BV472" s="74" t="str">
        <f aca="false">IF($BH472&lt;&gt;Constants!$B$4,"",IF(OR(NOT($AJ472),$AO472),0,Constants!$B$33))</f>
        <v/>
      </c>
      <c r="BW472" s="74" t="str">
        <f aca="false">IF($BH472&lt;&gt;Constants!$B$4,"",Constants!$B$34*$BJ472)</f>
        <v/>
      </c>
      <c r="BX472" s="74" t="str">
        <f aca="false">IF($BH472&lt;&gt;Constants!$B$4,"",IF(OR(NOT($AJ472),$BE472),0,Constants!$B$36))</f>
        <v/>
      </c>
      <c r="BY472" s="74" t="str">
        <f aca="false">IF($BH472&lt;&gt;Constants!$B$4,"",IF(OR(NOT($AJ472),$BD472),0,Constants!$B$37))</f>
        <v/>
      </c>
      <c r="BZ472" s="74" t="str">
        <f aca="false">IF($BH472&lt;&gt;Constants!$B$4,"",SUM($BT472:$BY472))</f>
        <v/>
      </c>
      <c r="CA472" s="74" t="str">
        <f aca="false">IF(ISBLANK($C472),"",IF($BH472&lt;&gt;Constants!$B$4,$BH472,SUM($BK472:$BS472)-$BZ472))</f>
        <v/>
      </c>
      <c r="CB472" s="74" t="str">
        <f aca="false">IF(ISBLANK($C472),"",IF($BH472&lt;&gt;Constants!$B$4,$BH472,RANK($CA472,$CA$9:$CA$508)))</f>
        <v/>
      </c>
      <c r="CC472" s="74" t="str">
        <f aca="false">IF(ISBLANK($C472),"",IF($BH472&lt;&gt;Constants!$B$4,$BH472,COUNTIFS($BI$9:$BI$508,"&lt;"&amp;$BI472)+COUNTIFS($BI$9:$BI$508,$BI472,$CB$9:$CB$508,"&lt;"&amp;$CB472)+1))</f>
        <v/>
      </c>
      <c r="CD472" s="74" t="str">
        <f aca="false">IF(ISBLANK($C472),"",IF($BH472&lt;&gt;Constants!$B$4,$BH472,RANK($BZ472,$BZ$9:$BZ$508,1)))</f>
        <v/>
      </c>
      <c r="CE472" s="74" t="str">
        <f aca="false">IF($BH472&lt;&gt;Constants!$B$4,"",$AL472+$AM472+$AN472)</f>
        <v/>
      </c>
      <c r="CF472" s="74" t="str">
        <f aca="false">IF(ISBLANK($C472),"",IF($BH472&lt;&gt;Constants!$B$4,$BH472,RANK($CE472,$CE$9:$CE$508,1)))</f>
        <v/>
      </c>
      <c r="CG472" s="74" t="str">
        <f aca="false">IF(ISBLANK($C472),"",IF($BH472&lt;&gt;Constants!$B$4,$BH472,COUNTIFS($BI$9:$BI$508,"&lt;"&amp;$BI472)+COUNTIFS($BI$9:$BI$508,$BI472,$CB$9:$CB$508,"&lt;"&amp;$CB472)+COUNTIFS($BI$9:$BI$508,$BI472,$CB$9:$CB$508,$CB472,$CD$9:$CD$508,"&lt;"&amp;$CD472)+COUNTIFS($BI$9:$BI$508,$BI472,$CB$9:$CB$508,$CB472,$CD$9:$CD$508,$CD472,$CF$9:$CF$508,"&lt;"&amp;$CF472)+1))</f>
        <v/>
      </c>
      <c r="CH472" s="74" t="str">
        <f aca="false">IF(ISBLANK($C472),"",IF($BH472&lt;&gt;Constants!$B$4,$BH472,$CC472-$CG472))</f>
        <v/>
      </c>
      <c r="CI472" s="74" t="str">
        <f aca="false">IF(ISBLANK($C472),"",IF(NOT($AJ472),"",IF(ISBLANK($D$7),$CI$5,IF(NOT(ISNUMBER($D$7)),$CI$6,""))))</f>
        <v/>
      </c>
      <c r="CJ472" s="74" t="str">
        <f aca="false">IF(ISBLANK($C472),"",OR($AL472="",$AM472="",$AN472=""))</f>
        <v/>
      </c>
      <c r="CK472" s="74" t="str">
        <f aca="false">IF(ISBLANK($C472),"",AND($AJ472,$AX472=""))</f>
        <v/>
      </c>
      <c r="CL472" s="74" t="str">
        <f aca="false">IF(ISBLANK($C472),"",AND($AJ472,$AY472=""))</f>
        <v/>
      </c>
      <c r="CM472" s="74" t="str">
        <f aca="false">IF(ISBLANK($C472),"",AND($AJ472,$AZ472=""))</f>
        <v/>
      </c>
      <c r="CN472" s="74" t="str">
        <f aca="false">IF(ISBLANK($C472),"",AND($AJ472,$BC472=""))</f>
        <v/>
      </c>
      <c r="CO472" s="74" t="str">
        <f aca="false">IF(ISBLANK($C472),"",AND($AJ472,$BF472=""))</f>
        <v/>
      </c>
      <c r="CP472" s="75"/>
      <c r="CQ472" s="76"/>
      <c r="CR472" s="79" t="str">
        <f aca="false">IF(ISBLANK($C472),"",IF($BH472=Constants!$B$8,$CI472,""))</f>
        <v/>
      </c>
      <c r="CS472" s="76" t="str">
        <f aca="false">IF(ISBLANK($C472),"",IF($BH472&lt;&gt;Constants!$B$4,"",$BK472+$BL472))</f>
        <v/>
      </c>
      <c r="CT472" s="78" t="str">
        <f aca="false">IF(ISBLANK($C472),"",IF($BH472&lt;&gt;Constants!$B$4,"",$BM472+$BN472+$BO472))</f>
        <v/>
      </c>
      <c r="CU472" s="78" t="str">
        <f aca="false">IF(ISBLANK($C472),"",IF($BH472&lt;&gt;Constants!$B$4,"",$BP472))</f>
        <v/>
      </c>
      <c r="CV472" s="78" t="str">
        <f aca="false">IF(ISBLANK($C472),"",IF($BH472&lt;&gt;Constants!$B$4,"",$BQ472+$BR472))</f>
        <v/>
      </c>
      <c r="CW472" s="78" t="str">
        <f aca="false">IF(ISBLANK($C472),"",IF($BH472&lt;&gt;Constants!$B$4,"",$BS472))</f>
        <v/>
      </c>
      <c r="CX472" s="78" t="str">
        <f aca="false">IF(ISBLANK($C472),"",IF($BH472&lt;&gt;Constants!$B$4,"",-$BZ472))</f>
        <v/>
      </c>
      <c r="CY472" s="79" t="str">
        <f aca="false">IF(ISBLANK($C472),"",$CA472)</f>
        <v/>
      </c>
      <c r="CZ472" s="80" t="str">
        <f aca="false">IF(ISBLANK($C472),"",$BI472)</f>
        <v/>
      </c>
      <c r="DA472" s="78" t="str">
        <f aca="false">IF(ISBLANK($C472),"",$CH472)</f>
        <v/>
      </c>
      <c r="DB472" s="78" t="str">
        <f aca="false">IF(ISBLANK($C472),"",$CG472)</f>
        <v/>
      </c>
      <c r="DC472" s="81" t="str">
        <f aca="false">IF(ISBLANK($C472),"",IFERROR(_xlfn.SWITCH($DB472,Constants!$B$7,COUNTA($C$9:$C$508)+2,Constants!$B$6,COUNTA($C$9:$C$508)+1,Constants!$B$5,COUNTA($C$9:$C$508)),$DB472))</f>
        <v/>
      </c>
      <c r="DD472" s="7"/>
      <c r="DE472" s="82" t="n">
        <f aca="false">IF(OR(ISNUMBER($DB472),$DB472=Constants!$B$7,$DB472=Constants!$B$5,$DB472=Constants!$B$6),1,0)</f>
        <v>0</v>
      </c>
      <c r="DF472" s="82" t="n">
        <v>464</v>
      </c>
      <c r="DG472" s="82" t="str">
        <f aca="false">IF(ISBLANK($C472),"",IF(ISNUMBER($DC472),$DC472+ROW($B472)/1000,""))</f>
        <v/>
      </c>
      <c r="DH472" s="82" t="str">
        <f aca="false">IF(ISNUMBER($DG472),RANK($DG472,$DG$9:$DG$508,1),"")</f>
        <v/>
      </c>
      <c r="DI472" s="82" t="str">
        <f aca="false">IF(ISBLANK($C472),"",$B472)</f>
        <v/>
      </c>
      <c r="DJ472" s="82" t="str">
        <f aca="false">IF(ISBLANK($C472),"",$C472)</f>
        <v/>
      </c>
      <c r="DK472" s="82" t="str">
        <f aca="false">IF(ISBLANK($C472),"",$D472)</f>
        <v/>
      </c>
      <c r="DL472" s="83" t="str">
        <f aca="false">$CZ472</f>
        <v/>
      </c>
      <c r="DM472" s="84" t="str">
        <f aca="false">$CY472</f>
        <v/>
      </c>
      <c r="DN472" s="82" t="str">
        <f aca="false">IF(ISBLANK($C472),"",$DB472)</f>
        <v/>
      </c>
      <c r="DO472" s="85" t="str">
        <f aca="false">IF($DF472&gt;$DE$8,"",VLOOKUP($DF472,$DH$9:$DN$508,7,FALSE()))</f>
        <v/>
      </c>
      <c r="DP472" s="86" t="str">
        <f aca="false">IF($DF472&gt;$DE$8,"",VLOOKUP($DF472,$DH$9:$DN$508,2,FALSE()))</f>
        <v/>
      </c>
      <c r="DQ472" s="86" t="str">
        <f aca="false">IF($DF472&gt;$DE$8,"",VLOOKUP($DF472,$DH$9:$DN$508,3,FALSE()))</f>
        <v/>
      </c>
      <c r="DR472" s="86" t="str">
        <f aca="false">IF($DF472&gt;$DE$8,"",VLOOKUP($DF472,$DH$9:$DN$508,4,FALSE()))</f>
        <v/>
      </c>
      <c r="DS472" s="86" t="str">
        <f aca="false">IF($DF472&gt;$DE$8,"",VLOOKUP($DF472,$DH$9:$DN$508,5,FALSE()))</f>
        <v/>
      </c>
      <c r="DT472" s="87" t="str">
        <f aca="false">IF($DF472&gt;$DE$8,"",VLOOKUP($DF472,$DH$9:$DN$508,6,FALSE()))</f>
        <v/>
      </c>
      <c r="DU472" s="62"/>
    </row>
    <row r="473" customFormat="false" ht="15.75" hidden="false" customHeight="false" outlineLevel="0" collapsed="false">
      <c r="A473" s="7"/>
      <c r="B473" s="64"/>
      <c r="C473" s="65"/>
      <c r="D473" s="123"/>
      <c r="E473" s="88"/>
      <c r="F473" s="134"/>
      <c r="G473" s="88"/>
      <c r="H473" s="134"/>
      <c r="I473" s="119"/>
      <c r="J473" s="119"/>
      <c r="K473" s="119"/>
      <c r="L473" s="88"/>
      <c r="M473" s="88"/>
      <c r="N473" s="88"/>
      <c r="O473" s="134"/>
      <c r="P473" s="88"/>
      <c r="Q473" s="88"/>
      <c r="R473" s="88"/>
      <c r="S473" s="88"/>
      <c r="T473" s="134"/>
      <c r="U473" s="88"/>
      <c r="V473" s="70"/>
      <c r="W473" s="88"/>
      <c r="X473" s="88"/>
      <c r="Y473" s="70"/>
      <c r="Z473" s="70"/>
      <c r="AA473" s="88"/>
      <c r="AB473" s="88"/>
      <c r="AC473" s="71"/>
      <c r="AD473" s="88"/>
      <c r="AE473" s="73"/>
      <c r="AF473" s="74"/>
      <c r="AG473" s="74"/>
      <c r="AH473" s="74" t="str">
        <f aca="false">IF(ISBLANK($C473),"",IF($E473=Constants!$B$2,TRUE(),IF($E473=Constants!$B$3,FALSE(),TRUE())))</f>
        <v/>
      </c>
      <c r="AI473" s="74" t="str">
        <f aca="false">IF(ISBLANK($C473),"",IF($F473=Constants!$B$2,TRUE(),IF($F473=Constants!$B$3,FALSE(),FALSE())))</f>
        <v/>
      </c>
      <c r="AJ473" s="74" t="str">
        <f aca="false">IF(ISBLANK($C473),"",IF($G473=Constants!$B$2,TRUE(),IF($G473=Constants!$B$3,FALSE(),TRUE())))</f>
        <v/>
      </c>
      <c r="AK473" s="74" t="str">
        <f aca="false">IF(ISBLANK($C473),"",IF($H473=Constants!$B$2,TRUE(),IF($H473=Constants!$B$3,FALSE(),TRUE())))</f>
        <v/>
      </c>
      <c r="AL473" s="74" t="str">
        <f aca="false">IF(ISBLANK($C473),"",IF(ISNUMBER($I473),IF($I473&gt;=0,$I473,""),""))</f>
        <v/>
      </c>
      <c r="AM473" s="74" t="str">
        <f aca="false">IF(ISBLANK($C473),"",IF(ISNUMBER($J473),IF($J473&gt;=0,$J473,""),""))</f>
        <v/>
      </c>
      <c r="AN473" s="74" t="str">
        <f aca="false">IF(ISBLANK($C473),"",IF(ISNUMBER($K473),IF($K473&gt;=0,$K473,""),""))</f>
        <v/>
      </c>
      <c r="AO473" s="74" t="str">
        <f aca="false">IF(ISBLANK($C473),"",IF($L473=Constants!$B$2,TRUE(),IF($L473=Constants!$B$3,FALSE(),TRUE())))</f>
        <v/>
      </c>
      <c r="AP473" s="74" t="str">
        <f aca="false">IF(ISBLANK($C473),"",IF($M473=Constants!$B$2,TRUE(),IF($M473=Constants!$B$3,FALSE(),TRUE())))</f>
        <v/>
      </c>
      <c r="AQ473" s="74" t="str">
        <f aca="false">IF(ISBLANK($C473),"",IF($N473=Constants!$B$2,TRUE(),IF($N473=Constants!$B$3,FALSE(),FALSE())))</f>
        <v/>
      </c>
      <c r="AR473" s="74" t="str">
        <f aca="false">IF(ISBLANK($C473),"",IF($O473=Constants!$B$2,TRUE(),IF($O473=Constants!$B$3,FALSE(),TRUE())))</f>
        <v/>
      </c>
      <c r="AS473" s="74" t="str">
        <f aca="false">IF(ISBLANK($C473),"",IF($P473=Constants!$B$2,TRUE(),IF($P473=Constants!$B$3,FALSE(),FALSE())))</f>
        <v/>
      </c>
      <c r="AT473" s="74" t="str">
        <f aca="false">IF(ISBLANK($C473),"",IF($Q473=Constants!$B$2,TRUE(),IF($Q473=Constants!$B$3,FALSE(),FALSE())))</f>
        <v/>
      </c>
      <c r="AU473" s="74" t="str">
        <f aca="false">IF(ISBLANK($C473),"",IF($R473=Constants!$B$2,TRUE(),IF($R473=Constants!$B$3,FALSE(),FALSE())))</f>
        <v/>
      </c>
      <c r="AV473" s="74" t="str">
        <f aca="false">IF(ISBLANK($C473),"",IF($S473=Constants!$B$2,TRUE(),IF($S473=Constants!$B$3,FALSE(),FALSE())))</f>
        <v/>
      </c>
      <c r="AW473" s="74" t="str">
        <f aca="false">IF(ISBLANK($C473),"",IF($T473=Constants!$B$2,TRUE(),IF($T473=Constants!$B$3,FALSE(),FALSE())))</f>
        <v/>
      </c>
      <c r="AX473" s="74" t="str">
        <f aca="false">IF(ISBLANK($C473),"",IF(OR($U473&amp;""="1",$U473&amp;""="2",$U473&amp;""="3",$U473&amp;""="4"),VALUE($U473&amp;""),IF($U473=Constants!$B$12,Constants!$B$12,"")))</f>
        <v/>
      </c>
      <c r="AY473" s="74" t="str">
        <f aca="false">IF(ISBLANK($C473),"",IF(ISBLANK($V473),0,IF(ISNUMBER($V473),IF(AND($V473&gt;=0,$V473&lt;=Constants!$B$21,$V473=INT($V473)),$V473,""),"")))</f>
        <v/>
      </c>
      <c r="AZ473" s="74" t="str">
        <f aca="false">IF(ISBLANK($C473),"",IF(ISBLANK($W473),0,IF(ISNUMBER($W473),IF($W473&gt;=0,$W473,""),"")))</f>
        <v/>
      </c>
      <c r="BA473" s="74" t="str">
        <f aca="false">IF(ISBLANK($C473),"",IF($X473=Constants!$B$2,TRUE(),IF($X473=Constants!$B$3,FALSE(),TRUE())))</f>
        <v/>
      </c>
      <c r="BB473" s="74" t="str">
        <f aca="false">IF(ISBLANK($C473),"",IF($Y473=Constants!$B$2,TRUE(),IF($Y473=Constants!$B$3,FALSE(),FALSE())))</f>
        <v/>
      </c>
      <c r="BC473" s="74" t="str">
        <f aca="false">IF(ISBLANK($C473),"",IF(ISBLANK($Z473),0,IF(ISNUMBER($Z473),IF(AND($Z473&gt;=0,$Z473&lt;=Constants!$B$35,$Z473=INT($Z473)),$Z473,""),"")))</f>
        <v/>
      </c>
      <c r="BD473" s="74" t="str">
        <f aca="false">IF(ISBLANK($C473),"",IF($AA473=Constants!$B$2,TRUE(),IF($AA473=Constants!$B$3,FALSE(),TRUE())))</f>
        <v/>
      </c>
      <c r="BE473" s="74" t="str">
        <f aca="false">IF(ISBLANK($C473),"",IF($AB473=Constants!$B$2,TRUE(),IF($AB473=Constants!$B$3,FALSE(),TRUE())))</f>
        <v/>
      </c>
      <c r="BF473" s="74" t="str">
        <f aca="false">IF(ISBLANK($C473),"",IF(ISNUMBER($AC473),IF($AC473&gt;=0,$AC473,""),""))</f>
        <v/>
      </c>
      <c r="BG473" s="74" t="str">
        <f aca="false">IF(ISBLANK($C473),"",IF($AD473=Constants!$B$2,TRUE(),IF($AD473=Constants!$B$3,FALSE(),FALSE())))</f>
        <v/>
      </c>
      <c r="BH473" s="73" t="str">
        <f aca="false">IF(ISBLANK($C473),"",IF($BG473,Constants!$B$7,IF(COUNTA($E473:$AC473)=0,Constants!$B$6,IF(OR(COUNTA($G473:$AC473)=0,NOT($AK473),$AQ473),Constants!$B$5,IF(OR($CI473&lt;&gt;"",$CJ473,$CK473,$CL473,$CM473,$CN473,$CO473),Constants!$B$8,Constants!$B$4)))))</f>
        <v/>
      </c>
      <c r="BI473" s="74" t="str">
        <f aca="false">IF(ISBLANK($C473),"",IF($BH473&lt;&gt;Constants!$B$4,$BH473,IF(OR(NOT($AH473),NOT($AJ473),NOT($AR473)),Constants!$B$11,IF(OR(NOT($AP473),MAX($AL473,$AM473,$AN473)&gt;Constants!$B$30),Constants!$B$10,Constants!$B$9))))</f>
        <v/>
      </c>
      <c r="BJ473" s="74" t="str">
        <f aca="false">IF($BH473&lt;&gt;Constants!$B$4,"",IF(NOT($AJ473),0,MIN(Constants!$B$35,$BC473)))</f>
        <v/>
      </c>
      <c r="BK473" s="74" t="str">
        <f aca="false">IF($BH473&lt;&gt;Constants!$B$4,"",IF(NOT($AJ473),0,IF($AT473,Constants!$B$18,IF($AS473,Constants!$B$17,0))))</f>
        <v/>
      </c>
      <c r="BL473" s="74" t="str">
        <f aca="false">IF($BH473&lt;&gt;Constants!$B$4,"",IF(NOT($AJ473),0,Constants!$B$19*($AI473+$AU473+$AV473+$AW473)))</f>
        <v/>
      </c>
      <c r="BM473" s="74" t="str">
        <f aca="false">IF($BH473&lt;&gt;Constants!$B$4,"",IF(OR(NOT($AJ473),NOT(ISNUMBER($AX473))),0,CHOOSE($AX473,Constants!$B$13,Constants!$B$14,Constants!$B$15,Constants!$B$16)))</f>
        <v/>
      </c>
      <c r="BN473" s="74" t="str">
        <f aca="false">IF($BH473&lt;&gt;Constants!$B$4,"",IF(NOT($AJ473),0,Constants!$B$20*$AY473))</f>
        <v/>
      </c>
      <c r="BO473" s="74" t="str">
        <f aca="false">IF($BH473&lt;&gt;Constants!$B$4,"",IF(AND($AJ473,$BA473,$BB473),Constants!$B$22,0))</f>
        <v/>
      </c>
      <c r="BP473" s="74" t="str">
        <f aca="false">IF($BH473&lt;&gt;Constants!$B$4,"",IF(OR(NOT($AJ473),NOT($BA473)),0,IF($BF473&gt;=2*$AF$9,0,Constants!$B$23*INT(ROUND(MIN($BF473,$AF$9),6)))))</f>
        <v/>
      </c>
      <c r="BQ473" s="74" t="str">
        <f aca="false">IF($BH473&lt;&gt;Constants!$B$4,"",IF(NOT($AJ473),0,Constants!$B$24*INT(ROUND(MIN($AZ473,$AF$9),6))))</f>
        <v/>
      </c>
      <c r="BR473" s="74" t="str">
        <f aca="false">IF($BH473&lt;&gt;Constants!$B$4,"",IF(AND($AJ473,$BJ473=0),Constants!$B$25,0))</f>
        <v/>
      </c>
      <c r="BS473" s="74" t="str">
        <f aca="false">IF($BH473&lt;&gt;Constants!$B$4,"",MIN(Constants!$B$29,MAX(0,Constants!$B$27*Constants!$B$28*INT(ROUND((Constants!$B$26-$AL473)/Constants!$B$28,6))))+MIN(Constants!$B$29,MAX(0,Constants!$B$27*Constants!$B$28*INT(ROUND((Constants!$B$26-$AM473)/Constants!$B$28,6))))+MIN(Constants!$B$29,MAX(0,Constants!$B$27*Constants!$B$28*INT(ROUND((Constants!$B$26-$AN473)/Constants!$B$28,6)))))</f>
        <v/>
      </c>
      <c r="BT473" s="74" t="str">
        <f aca="false">IF($BH473&lt;&gt;Constants!$B$4,"",IF(NOT($AJ473),0,Constants!$B$31*INT(ROUND(MAX(0,MIN($BF473,2*$AF$9)-$AF$9),6))))</f>
        <v/>
      </c>
      <c r="BU473" s="74" t="str">
        <f aca="false">IF($BH473&lt;&gt;Constants!$B$4,"",Constants!$B$32*(($AL473&gt;Constants!$B$26)+($AM473&gt;Constants!$B$26)+($AN473&gt;Constants!$B$26)))</f>
        <v/>
      </c>
      <c r="BV473" s="74" t="str">
        <f aca="false">IF($BH473&lt;&gt;Constants!$B$4,"",IF(OR(NOT($AJ473),$AO473),0,Constants!$B$33))</f>
        <v/>
      </c>
      <c r="BW473" s="74" t="str">
        <f aca="false">IF($BH473&lt;&gt;Constants!$B$4,"",Constants!$B$34*$BJ473)</f>
        <v/>
      </c>
      <c r="BX473" s="74" t="str">
        <f aca="false">IF($BH473&lt;&gt;Constants!$B$4,"",IF(OR(NOT($AJ473),$BE473),0,Constants!$B$36))</f>
        <v/>
      </c>
      <c r="BY473" s="74" t="str">
        <f aca="false">IF($BH473&lt;&gt;Constants!$B$4,"",IF(OR(NOT($AJ473),$BD473),0,Constants!$B$37))</f>
        <v/>
      </c>
      <c r="BZ473" s="74" t="str">
        <f aca="false">IF($BH473&lt;&gt;Constants!$B$4,"",SUM($BT473:$BY473))</f>
        <v/>
      </c>
      <c r="CA473" s="74" t="str">
        <f aca="false">IF(ISBLANK($C473),"",IF($BH473&lt;&gt;Constants!$B$4,$BH473,SUM($BK473:$BS473)-$BZ473))</f>
        <v/>
      </c>
      <c r="CB473" s="74" t="str">
        <f aca="false">IF(ISBLANK($C473),"",IF($BH473&lt;&gt;Constants!$B$4,$BH473,RANK($CA473,$CA$9:$CA$508)))</f>
        <v/>
      </c>
      <c r="CC473" s="74" t="str">
        <f aca="false">IF(ISBLANK($C473),"",IF($BH473&lt;&gt;Constants!$B$4,$BH473,COUNTIFS($BI$9:$BI$508,"&lt;"&amp;$BI473)+COUNTIFS($BI$9:$BI$508,$BI473,$CB$9:$CB$508,"&lt;"&amp;$CB473)+1))</f>
        <v/>
      </c>
      <c r="CD473" s="74" t="str">
        <f aca="false">IF(ISBLANK($C473),"",IF($BH473&lt;&gt;Constants!$B$4,$BH473,RANK($BZ473,$BZ$9:$BZ$508,1)))</f>
        <v/>
      </c>
      <c r="CE473" s="74" t="str">
        <f aca="false">IF($BH473&lt;&gt;Constants!$B$4,"",$AL473+$AM473+$AN473)</f>
        <v/>
      </c>
      <c r="CF473" s="74" t="str">
        <f aca="false">IF(ISBLANK($C473),"",IF($BH473&lt;&gt;Constants!$B$4,$BH473,RANK($CE473,$CE$9:$CE$508,1)))</f>
        <v/>
      </c>
      <c r="CG473" s="74" t="str">
        <f aca="false">IF(ISBLANK($C473),"",IF($BH473&lt;&gt;Constants!$B$4,$BH473,COUNTIFS($BI$9:$BI$508,"&lt;"&amp;$BI473)+COUNTIFS($BI$9:$BI$508,$BI473,$CB$9:$CB$508,"&lt;"&amp;$CB473)+COUNTIFS($BI$9:$BI$508,$BI473,$CB$9:$CB$508,$CB473,$CD$9:$CD$508,"&lt;"&amp;$CD473)+COUNTIFS($BI$9:$BI$508,$BI473,$CB$9:$CB$508,$CB473,$CD$9:$CD$508,$CD473,$CF$9:$CF$508,"&lt;"&amp;$CF473)+1))</f>
        <v/>
      </c>
      <c r="CH473" s="74" t="str">
        <f aca="false">IF(ISBLANK($C473),"",IF($BH473&lt;&gt;Constants!$B$4,$BH473,$CC473-$CG473))</f>
        <v/>
      </c>
      <c r="CI473" s="74" t="str">
        <f aca="false">IF(ISBLANK($C473),"",IF(NOT($AJ473),"",IF(ISBLANK($D$7),$CI$5,IF(NOT(ISNUMBER($D$7)),$CI$6,""))))</f>
        <v/>
      </c>
      <c r="CJ473" s="74" t="str">
        <f aca="false">IF(ISBLANK($C473),"",OR($AL473="",$AM473="",$AN473=""))</f>
        <v/>
      </c>
      <c r="CK473" s="74" t="str">
        <f aca="false">IF(ISBLANK($C473),"",AND($AJ473,$AX473=""))</f>
        <v/>
      </c>
      <c r="CL473" s="74" t="str">
        <f aca="false">IF(ISBLANK($C473),"",AND($AJ473,$AY473=""))</f>
        <v/>
      </c>
      <c r="CM473" s="74" t="str">
        <f aca="false">IF(ISBLANK($C473),"",AND($AJ473,$AZ473=""))</f>
        <v/>
      </c>
      <c r="CN473" s="74" t="str">
        <f aca="false">IF(ISBLANK($C473),"",AND($AJ473,$BC473=""))</f>
        <v/>
      </c>
      <c r="CO473" s="74" t="str">
        <f aca="false">IF(ISBLANK($C473),"",AND($AJ473,$BF473=""))</f>
        <v/>
      </c>
      <c r="CP473" s="75"/>
      <c r="CQ473" s="76"/>
      <c r="CR473" s="79" t="str">
        <f aca="false">IF(ISBLANK($C473),"",IF($BH473=Constants!$B$8,$CI473,""))</f>
        <v/>
      </c>
      <c r="CS473" s="76" t="str">
        <f aca="false">IF(ISBLANK($C473),"",IF($BH473&lt;&gt;Constants!$B$4,"",$BK473+$BL473))</f>
        <v/>
      </c>
      <c r="CT473" s="78" t="str">
        <f aca="false">IF(ISBLANK($C473),"",IF($BH473&lt;&gt;Constants!$B$4,"",$BM473+$BN473+$BO473))</f>
        <v/>
      </c>
      <c r="CU473" s="78" t="str">
        <f aca="false">IF(ISBLANK($C473),"",IF($BH473&lt;&gt;Constants!$B$4,"",$BP473))</f>
        <v/>
      </c>
      <c r="CV473" s="78" t="str">
        <f aca="false">IF(ISBLANK($C473),"",IF($BH473&lt;&gt;Constants!$B$4,"",$BQ473+$BR473))</f>
        <v/>
      </c>
      <c r="CW473" s="78" t="str">
        <f aca="false">IF(ISBLANK($C473),"",IF($BH473&lt;&gt;Constants!$B$4,"",$BS473))</f>
        <v/>
      </c>
      <c r="CX473" s="78" t="str">
        <f aca="false">IF(ISBLANK($C473),"",IF($BH473&lt;&gt;Constants!$B$4,"",-$BZ473))</f>
        <v/>
      </c>
      <c r="CY473" s="79" t="str">
        <f aca="false">IF(ISBLANK($C473),"",$CA473)</f>
        <v/>
      </c>
      <c r="CZ473" s="80" t="str">
        <f aca="false">IF(ISBLANK($C473),"",$BI473)</f>
        <v/>
      </c>
      <c r="DA473" s="78" t="str">
        <f aca="false">IF(ISBLANK($C473),"",$CH473)</f>
        <v/>
      </c>
      <c r="DB473" s="78" t="str">
        <f aca="false">IF(ISBLANK($C473),"",$CG473)</f>
        <v/>
      </c>
      <c r="DC473" s="81" t="str">
        <f aca="false">IF(ISBLANK($C473),"",IFERROR(_xlfn.SWITCH($DB473,Constants!$B$7,COUNTA($C$9:$C$508)+2,Constants!$B$6,COUNTA($C$9:$C$508)+1,Constants!$B$5,COUNTA($C$9:$C$508)),$DB473))</f>
        <v/>
      </c>
      <c r="DD473" s="7"/>
      <c r="DE473" s="82" t="n">
        <f aca="false">IF(OR(ISNUMBER($DB473),$DB473=Constants!$B$7,$DB473=Constants!$B$5,$DB473=Constants!$B$6),1,0)</f>
        <v>0</v>
      </c>
      <c r="DF473" s="82" t="n">
        <v>465</v>
      </c>
      <c r="DG473" s="82" t="str">
        <f aca="false">IF(ISBLANK($C473),"",IF(ISNUMBER($DC473),$DC473+ROW($B473)/1000,""))</f>
        <v/>
      </c>
      <c r="DH473" s="82" t="str">
        <f aca="false">IF(ISNUMBER($DG473),RANK($DG473,$DG$9:$DG$508,1),"")</f>
        <v/>
      </c>
      <c r="DI473" s="82" t="str">
        <f aca="false">IF(ISBLANK($C473),"",$B473)</f>
        <v/>
      </c>
      <c r="DJ473" s="82" t="str">
        <f aca="false">IF(ISBLANK($C473),"",$C473)</f>
        <v/>
      </c>
      <c r="DK473" s="82" t="str">
        <f aca="false">IF(ISBLANK($C473),"",$D473)</f>
        <v/>
      </c>
      <c r="DL473" s="83" t="str">
        <f aca="false">$CZ473</f>
        <v/>
      </c>
      <c r="DM473" s="84" t="str">
        <f aca="false">$CY473</f>
        <v/>
      </c>
      <c r="DN473" s="82" t="str">
        <f aca="false">IF(ISBLANK($C473),"",$DB473)</f>
        <v/>
      </c>
      <c r="DO473" s="85" t="str">
        <f aca="false">IF($DF473&gt;$DE$8,"",VLOOKUP($DF473,$DH$9:$DN$508,7,FALSE()))</f>
        <v/>
      </c>
      <c r="DP473" s="86" t="str">
        <f aca="false">IF($DF473&gt;$DE$8,"",VLOOKUP($DF473,$DH$9:$DN$508,2,FALSE()))</f>
        <v/>
      </c>
      <c r="DQ473" s="86" t="str">
        <f aca="false">IF($DF473&gt;$DE$8,"",VLOOKUP($DF473,$DH$9:$DN$508,3,FALSE()))</f>
        <v/>
      </c>
      <c r="DR473" s="86" t="str">
        <f aca="false">IF($DF473&gt;$DE$8,"",VLOOKUP($DF473,$DH$9:$DN$508,4,FALSE()))</f>
        <v/>
      </c>
      <c r="DS473" s="86" t="str">
        <f aca="false">IF($DF473&gt;$DE$8,"",VLOOKUP($DF473,$DH$9:$DN$508,5,FALSE()))</f>
        <v/>
      </c>
      <c r="DT473" s="87" t="str">
        <f aca="false">IF($DF473&gt;$DE$8,"",VLOOKUP($DF473,$DH$9:$DN$508,6,FALSE()))</f>
        <v/>
      </c>
      <c r="DU473" s="62"/>
    </row>
    <row r="474" customFormat="false" ht="15.75" hidden="false" customHeight="false" outlineLevel="0" collapsed="false">
      <c r="A474" s="7"/>
      <c r="B474" s="90"/>
      <c r="C474" s="91"/>
      <c r="D474" s="126"/>
      <c r="E474" s="130"/>
      <c r="F474" s="135"/>
      <c r="G474" s="130"/>
      <c r="H474" s="135"/>
      <c r="I474" s="131"/>
      <c r="J474" s="131"/>
      <c r="K474" s="131"/>
      <c r="L474" s="130"/>
      <c r="M474" s="130"/>
      <c r="N474" s="130"/>
      <c r="O474" s="135"/>
      <c r="P474" s="130"/>
      <c r="Q474" s="130"/>
      <c r="R474" s="130"/>
      <c r="S474" s="130"/>
      <c r="T474" s="135"/>
      <c r="U474" s="130"/>
      <c r="V474" s="96"/>
      <c r="W474" s="130"/>
      <c r="X474" s="130"/>
      <c r="Y474" s="96"/>
      <c r="Z474" s="96"/>
      <c r="AA474" s="130"/>
      <c r="AB474" s="130"/>
      <c r="AC474" s="97"/>
      <c r="AD474" s="130"/>
      <c r="AE474" s="99"/>
      <c r="AF474" s="100"/>
      <c r="AG474" s="100"/>
      <c r="AH474" s="100" t="str">
        <f aca="false">IF(ISBLANK($C474),"",IF($E474=Constants!$B$2,TRUE(),IF($E474=Constants!$B$3,FALSE(),TRUE())))</f>
        <v/>
      </c>
      <c r="AI474" s="100" t="str">
        <f aca="false">IF(ISBLANK($C474),"",IF($F474=Constants!$B$2,TRUE(),IF($F474=Constants!$B$3,FALSE(),FALSE())))</f>
        <v/>
      </c>
      <c r="AJ474" s="100" t="str">
        <f aca="false">IF(ISBLANK($C474),"",IF($G474=Constants!$B$2,TRUE(),IF($G474=Constants!$B$3,FALSE(),TRUE())))</f>
        <v/>
      </c>
      <c r="AK474" s="100" t="str">
        <f aca="false">IF(ISBLANK($C474),"",IF($H474=Constants!$B$2,TRUE(),IF($H474=Constants!$B$3,FALSE(),TRUE())))</f>
        <v/>
      </c>
      <c r="AL474" s="100" t="str">
        <f aca="false">IF(ISBLANK($C474),"",IF(ISNUMBER($I474),IF($I474&gt;=0,$I474,""),""))</f>
        <v/>
      </c>
      <c r="AM474" s="100" t="str">
        <f aca="false">IF(ISBLANK($C474),"",IF(ISNUMBER($J474),IF($J474&gt;=0,$J474,""),""))</f>
        <v/>
      </c>
      <c r="AN474" s="100" t="str">
        <f aca="false">IF(ISBLANK($C474),"",IF(ISNUMBER($K474),IF($K474&gt;=0,$K474,""),""))</f>
        <v/>
      </c>
      <c r="AO474" s="100" t="str">
        <f aca="false">IF(ISBLANK($C474),"",IF($L474=Constants!$B$2,TRUE(),IF($L474=Constants!$B$3,FALSE(),TRUE())))</f>
        <v/>
      </c>
      <c r="AP474" s="100" t="str">
        <f aca="false">IF(ISBLANK($C474),"",IF($M474=Constants!$B$2,TRUE(),IF($M474=Constants!$B$3,FALSE(),TRUE())))</f>
        <v/>
      </c>
      <c r="AQ474" s="100" t="str">
        <f aca="false">IF(ISBLANK($C474),"",IF($N474=Constants!$B$2,TRUE(),IF($N474=Constants!$B$3,FALSE(),FALSE())))</f>
        <v/>
      </c>
      <c r="AR474" s="100" t="str">
        <f aca="false">IF(ISBLANK($C474),"",IF($O474=Constants!$B$2,TRUE(),IF($O474=Constants!$B$3,FALSE(),TRUE())))</f>
        <v/>
      </c>
      <c r="AS474" s="100" t="str">
        <f aca="false">IF(ISBLANK($C474),"",IF($P474=Constants!$B$2,TRUE(),IF($P474=Constants!$B$3,FALSE(),FALSE())))</f>
        <v/>
      </c>
      <c r="AT474" s="100" t="str">
        <f aca="false">IF(ISBLANK($C474),"",IF($Q474=Constants!$B$2,TRUE(),IF($Q474=Constants!$B$3,FALSE(),FALSE())))</f>
        <v/>
      </c>
      <c r="AU474" s="100" t="str">
        <f aca="false">IF(ISBLANK($C474),"",IF($R474=Constants!$B$2,TRUE(),IF($R474=Constants!$B$3,FALSE(),FALSE())))</f>
        <v/>
      </c>
      <c r="AV474" s="100" t="str">
        <f aca="false">IF(ISBLANK($C474),"",IF($S474=Constants!$B$2,TRUE(),IF($S474=Constants!$B$3,FALSE(),FALSE())))</f>
        <v/>
      </c>
      <c r="AW474" s="100" t="str">
        <f aca="false">IF(ISBLANK($C474),"",IF($T474=Constants!$B$2,TRUE(),IF($T474=Constants!$B$3,FALSE(),FALSE())))</f>
        <v/>
      </c>
      <c r="AX474" s="100" t="str">
        <f aca="false">IF(ISBLANK($C474),"",IF(OR($U474&amp;""="1",$U474&amp;""="2",$U474&amp;""="3",$U474&amp;""="4"),VALUE($U474&amp;""),IF($U474=Constants!$B$12,Constants!$B$12,"")))</f>
        <v/>
      </c>
      <c r="AY474" s="100" t="str">
        <f aca="false">IF(ISBLANK($C474),"",IF(ISBLANK($V474),0,IF(ISNUMBER($V474),IF(AND($V474&gt;=0,$V474&lt;=Constants!$B$21,$V474=INT($V474)),$V474,""),"")))</f>
        <v/>
      </c>
      <c r="AZ474" s="100" t="str">
        <f aca="false">IF(ISBLANK($C474),"",IF(ISBLANK($W474),0,IF(ISNUMBER($W474),IF($W474&gt;=0,$W474,""),"")))</f>
        <v/>
      </c>
      <c r="BA474" s="100" t="str">
        <f aca="false">IF(ISBLANK($C474),"",IF($X474=Constants!$B$2,TRUE(),IF($X474=Constants!$B$3,FALSE(),TRUE())))</f>
        <v/>
      </c>
      <c r="BB474" s="100" t="str">
        <f aca="false">IF(ISBLANK($C474),"",IF($Y474=Constants!$B$2,TRUE(),IF($Y474=Constants!$B$3,FALSE(),FALSE())))</f>
        <v/>
      </c>
      <c r="BC474" s="100" t="str">
        <f aca="false">IF(ISBLANK($C474),"",IF(ISBLANK($Z474),0,IF(ISNUMBER($Z474),IF(AND($Z474&gt;=0,$Z474&lt;=Constants!$B$35,$Z474=INT($Z474)),$Z474,""),"")))</f>
        <v/>
      </c>
      <c r="BD474" s="100" t="str">
        <f aca="false">IF(ISBLANK($C474),"",IF($AA474=Constants!$B$2,TRUE(),IF($AA474=Constants!$B$3,FALSE(),TRUE())))</f>
        <v/>
      </c>
      <c r="BE474" s="100" t="str">
        <f aca="false">IF(ISBLANK($C474),"",IF($AB474=Constants!$B$2,TRUE(),IF($AB474=Constants!$B$3,FALSE(),TRUE())))</f>
        <v/>
      </c>
      <c r="BF474" s="100" t="str">
        <f aca="false">IF(ISBLANK($C474),"",IF(ISNUMBER($AC474),IF($AC474&gt;=0,$AC474,""),""))</f>
        <v/>
      </c>
      <c r="BG474" s="100" t="str">
        <f aca="false">IF(ISBLANK($C474),"",IF($AD474=Constants!$B$2,TRUE(),IF($AD474=Constants!$B$3,FALSE(),FALSE())))</f>
        <v/>
      </c>
      <c r="BH474" s="99" t="str">
        <f aca="false">IF(ISBLANK($C474),"",IF($BG474,Constants!$B$7,IF(COUNTA($E474:$AC474)=0,Constants!$B$6,IF(OR(COUNTA($G474:$AC474)=0,NOT($AK474),$AQ474),Constants!$B$5,IF(OR($CI474&lt;&gt;"",$CJ474,$CK474,$CL474,$CM474,$CN474,$CO474),Constants!$B$8,Constants!$B$4)))))</f>
        <v/>
      </c>
      <c r="BI474" s="100" t="str">
        <f aca="false">IF(ISBLANK($C474),"",IF($BH474&lt;&gt;Constants!$B$4,$BH474,IF(OR(NOT($AH474),NOT($AJ474),NOT($AR474)),Constants!$B$11,IF(OR(NOT($AP474),MAX($AL474,$AM474,$AN474)&gt;Constants!$B$30),Constants!$B$10,Constants!$B$9))))</f>
        <v/>
      </c>
      <c r="BJ474" s="100" t="str">
        <f aca="false">IF($BH474&lt;&gt;Constants!$B$4,"",IF(NOT($AJ474),0,MIN(Constants!$B$35,$BC474)))</f>
        <v/>
      </c>
      <c r="BK474" s="100" t="str">
        <f aca="false">IF($BH474&lt;&gt;Constants!$B$4,"",IF(NOT($AJ474),0,IF($AT474,Constants!$B$18,IF($AS474,Constants!$B$17,0))))</f>
        <v/>
      </c>
      <c r="BL474" s="100" t="str">
        <f aca="false">IF($BH474&lt;&gt;Constants!$B$4,"",IF(NOT($AJ474),0,Constants!$B$19*($AI474+$AU474+$AV474+$AW474)))</f>
        <v/>
      </c>
      <c r="BM474" s="100" t="str">
        <f aca="false">IF($BH474&lt;&gt;Constants!$B$4,"",IF(OR(NOT($AJ474),NOT(ISNUMBER($AX474))),0,CHOOSE($AX474,Constants!$B$13,Constants!$B$14,Constants!$B$15,Constants!$B$16)))</f>
        <v/>
      </c>
      <c r="BN474" s="100" t="str">
        <f aca="false">IF($BH474&lt;&gt;Constants!$B$4,"",IF(NOT($AJ474),0,Constants!$B$20*$AY474))</f>
        <v/>
      </c>
      <c r="BO474" s="100" t="str">
        <f aca="false">IF($BH474&lt;&gt;Constants!$B$4,"",IF(AND($AJ474,$BA474,$BB474),Constants!$B$22,0))</f>
        <v/>
      </c>
      <c r="BP474" s="100" t="str">
        <f aca="false">IF($BH474&lt;&gt;Constants!$B$4,"",IF(OR(NOT($AJ474),NOT($BA474)),0,IF($BF474&gt;=2*$AF$9,0,Constants!$B$23*INT(ROUND(MIN($BF474,$AF$9),6)))))</f>
        <v/>
      </c>
      <c r="BQ474" s="100" t="str">
        <f aca="false">IF($BH474&lt;&gt;Constants!$B$4,"",IF(NOT($AJ474),0,Constants!$B$24*INT(ROUND(MIN($AZ474,$AF$9),6))))</f>
        <v/>
      </c>
      <c r="BR474" s="100" t="str">
        <f aca="false">IF($BH474&lt;&gt;Constants!$B$4,"",IF(AND($AJ474,$BJ474=0),Constants!$B$25,0))</f>
        <v/>
      </c>
      <c r="BS474" s="100" t="str">
        <f aca="false">IF($BH474&lt;&gt;Constants!$B$4,"",MIN(Constants!$B$29,MAX(0,Constants!$B$27*Constants!$B$28*INT(ROUND((Constants!$B$26-$AL474)/Constants!$B$28,6))))+MIN(Constants!$B$29,MAX(0,Constants!$B$27*Constants!$B$28*INT(ROUND((Constants!$B$26-$AM474)/Constants!$B$28,6))))+MIN(Constants!$B$29,MAX(0,Constants!$B$27*Constants!$B$28*INT(ROUND((Constants!$B$26-$AN474)/Constants!$B$28,6)))))</f>
        <v/>
      </c>
      <c r="BT474" s="100" t="str">
        <f aca="false">IF($BH474&lt;&gt;Constants!$B$4,"",IF(NOT($AJ474),0,Constants!$B$31*INT(ROUND(MAX(0,MIN($BF474,2*$AF$9)-$AF$9),6))))</f>
        <v/>
      </c>
      <c r="BU474" s="100" t="str">
        <f aca="false">IF($BH474&lt;&gt;Constants!$B$4,"",Constants!$B$32*(($AL474&gt;Constants!$B$26)+($AM474&gt;Constants!$B$26)+($AN474&gt;Constants!$B$26)))</f>
        <v/>
      </c>
      <c r="BV474" s="100" t="str">
        <f aca="false">IF($BH474&lt;&gt;Constants!$B$4,"",IF(OR(NOT($AJ474),$AO474),0,Constants!$B$33))</f>
        <v/>
      </c>
      <c r="BW474" s="100" t="str">
        <f aca="false">IF($BH474&lt;&gt;Constants!$B$4,"",Constants!$B$34*$BJ474)</f>
        <v/>
      </c>
      <c r="BX474" s="100" t="str">
        <f aca="false">IF($BH474&lt;&gt;Constants!$B$4,"",IF(OR(NOT($AJ474),$BE474),0,Constants!$B$36))</f>
        <v/>
      </c>
      <c r="BY474" s="100" t="str">
        <f aca="false">IF($BH474&lt;&gt;Constants!$B$4,"",IF(OR(NOT($AJ474),$BD474),0,Constants!$B$37))</f>
        <v/>
      </c>
      <c r="BZ474" s="100" t="str">
        <f aca="false">IF($BH474&lt;&gt;Constants!$B$4,"",SUM($BT474:$BY474))</f>
        <v/>
      </c>
      <c r="CA474" s="100" t="str">
        <f aca="false">IF(ISBLANK($C474),"",IF($BH474&lt;&gt;Constants!$B$4,$BH474,SUM($BK474:$BS474)-$BZ474))</f>
        <v/>
      </c>
      <c r="CB474" s="100" t="str">
        <f aca="false">IF(ISBLANK($C474),"",IF($BH474&lt;&gt;Constants!$B$4,$BH474,RANK($CA474,$CA$9:$CA$508)))</f>
        <v/>
      </c>
      <c r="CC474" s="100" t="str">
        <f aca="false">IF(ISBLANK($C474),"",IF($BH474&lt;&gt;Constants!$B$4,$BH474,COUNTIFS($BI$9:$BI$508,"&lt;"&amp;$BI474)+COUNTIFS($BI$9:$BI$508,$BI474,$CB$9:$CB$508,"&lt;"&amp;$CB474)+1))</f>
        <v/>
      </c>
      <c r="CD474" s="100" t="str">
        <f aca="false">IF(ISBLANK($C474),"",IF($BH474&lt;&gt;Constants!$B$4,$BH474,RANK($BZ474,$BZ$9:$BZ$508,1)))</f>
        <v/>
      </c>
      <c r="CE474" s="100" t="str">
        <f aca="false">IF($BH474&lt;&gt;Constants!$B$4,"",$AL474+$AM474+$AN474)</f>
        <v/>
      </c>
      <c r="CF474" s="100" t="str">
        <f aca="false">IF(ISBLANK($C474),"",IF($BH474&lt;&gt;Constants!$B$4,$BH474,RANK($CE474,$CE$9:$CE$508,1)))</f>
        <v/>
      </c>
      <c r="CG474" s="100" t="str">
        <f aca="false">IF(ISBLANK($C474),"",IF($BH474&lt;&gt;Constants!$B$4,$BH474,COUNTIFS($BI$9:$BI$508,"&lt;"&amp;$BI474)+COUNTIFS($BI$9:$BI$508,$BI474,$CB$9:$CB$508,"&lt;"&amp;$CB474)+COUNTIFS($BI$9:$BI$508,$BI474,$CB$9:$CB$508,$CB474,$CD$9:$CD$508,"&lt;"&amp;$CD474)+COUNTIFS($BI$9:$BI$508,$BI474,$CB$9:$CB$508,$CB474,$CD$9:$CD$508,$CD474,$CF$9:$CF$508,"&lt;"&amp;$CF474)+1))</f>
        <v/>
      </c>
      <c r="CH474" s="100" t="str">
        <f aca="false">IF(ISBLANK($C474),"",IF($BH474&lt;&gt;Constants!$B$4,$BH474,$CC474-$CG474))</f>
        <v/>
      </c>
      <c r="CI474" s="100" t="str">
        <f aca="false">IF(ISBLANK($C474),"",IF(NOT($AJ474),"",IF(ISBLANK($D$7),$CI$5,IF(NOT(ISNUMBER($D$7)),$CI$6,""))))</f>
        <v/>
      </c>
      <c r="CJ474" s="100" t="str">
        <f aca="false">IF(ISBLANK($C474),"",OR($AL474="",$AM474="",$AN474=""))</f>
        <v/>
      </c>
      <c r="CK474" s="100" t="str">
        <f aca="false">IF(ISBLANK($C474),"",AND($AJ474,$AX474=""))</f>
        <v/>
      </c>
      <c r="CL474" s="100" t="str">
        <f aca="false">IF(ISBLANK($C474),"",AND($AJ474,$AY474=""))</f>
        <v/>
      </c>
      <c r="CM474" s="100" t="str">
        <f aca="false">IF(ISBLANK($C474),"",AND($AJ474,$AZ474=""))</f>
        <v/>
      </c>
      <c r="CN474" s="100" t="str">
        <f aca="false">IF(ISBLANK($C474),"",AND($AJ474,$BC474=""))</f>
        <v/>
      </c>
      <c r="CO474" s="100" t="str">
        <f aca="false">IF(ISBLANK($C474),"",AND($AJ474,$BF474=""))</f>
        <v/>
      </c>
      <c r="CP474" s="101"/>
      <c r="CQ474" s="102"/>
      <c r="CR474" s="103" t="str">
        <f aca="false">IF(ISBLANK($C474),"",IF($BH474=Constants!$B$8,$CI474,""))</f>
        <v/>
      </c>
      <c r="CS474" s="102" t="str">
        <f aca="false">IF(ISBLANK($C474),"",IF($BH474&lt;&gt;Constants!$B$4,"",$BK474+$BL474))</f>
        <v/>
      </c>
      <c r="CT474" s="104" t="str">
        <f aca="false">IF(ISBLANK($C474),"",IF($BH474&lt;&gt;Constants!$B$4,"",$BM474+$BN474+$BO474))</f>
        <v/>
      </c>
      <c r="CU474" s="104" t="str">
        <f aca="false">IF(ISBLANK($C474),"",IF($BH474&lt;&gt;Constants!$B$4,"",$BP474))</f>
        <v/>
      </c>
      <c r="CV474" s="104" t="str">
        <f aca="false">IF(ISBLANK($C474),"",IF($BH474&lt;&gt;Constants!$B$4,"",$BQ474+$BR474))</f>
        <v/>
      </c>
      <c r="CW474" s="104" t="str">
        <f aca="false">IF(ISBLANK($C474),"",IF($BH474&lt;&gt;Constants!$B$4,"",$BS474))</f>
        <v/>
      </c>
      <c r="CX474" s="104" t="str">
        <f aca="false">IF(ISBLANK($C474),"",IF($BH474&lt;&gt;Constants!$B$4,"",-$BZ474))</f>
        <v/>
      </c>
      <c r="CY474" s="103" t="str">
        <f aca="false">IF(ISBLANK($C474),"",$CA474)</f>
        <v/>
      </c>
      <c r="CZ474" s="105" t="str">
        <f aca="false">IF(ISBLANK($C474),"",$BI474)</f>
        <v/>
      </c>
      <c r="DA474" s="104" t="str">
        <f aca="false">IF(ISBLANK($C474),"",$CH474)</f>
        <v/>
      </c>
      <c r="DB474" s="104" t="str">
        <f aca="false">IF(ISBLANK($C474),"",$CG474)</f>
        <v/>
      </c>
      <c r="DC474" s="106" t="str">
        <f aca="false">IF(ISBLANK($C474),"",IFERROR(_xlfn.SWITCH($DB474,Constants!$B$7,COUNTA($C$9:$C$508)+2,Constants!$B$6,COUNTA($C$9:$C$508)+1,Constants!$B$5,COUNTA($C$9:$C$508)),$DB474))</f>
        <v/>
      </c>
      <c r="DD474" s="7"/>
      <c r="DE474" s="107" t="n">
        <f aca="false">IF(OR(ISNUMBER($DB474),$DB474=Constants!$B$7,$DB474=Constants!$B$5,$DB474=Constants!$B$6),1,0)</f>
        <v>0</v>
      </c>
      <c r="DF474" s="107" t="n">
        <v>466</v>
      </c>
      <c r="DG474" s="107" t="str">
        <f aca="false">IF(ISBLANK($C474),"",IF(ISNUMBER($DC474),$DC474+ROW($B474)/1000,""))</f>
        <v/>
      </c>
      <c r="DH474" s="107" t="str">
        <f aca="false">IF(ISNUMBER($DG474),RANK($DG474,$DG$9:$DG$508,1),"")</f>
        <v/>
      </c>
      <c r="DI474" s="107" t="str">
        <f aca="false">IF(ISBLANK($C474),"",$B474)</f>
        <v/>
      </c>
      <c r="DJ474" s="107" t="str">
        <f aca="false">IF(ISBLANK($C474),"",$C474)</f>
        <v/>
      </c>
      <c r="DK474" s="107" t="str">
        <f aca="false">IF(ISBLANK($C474),"",$D474)</f>
        <v/>
      </c>
      <c r="DL474" s="108" t="str">
        <f aca="false">$CZ474</f>
        <v/>
      </c>
      <c r="DM474" s="109" t="str">
        <f aca="false">$CY474</f>
        <v/>
      </c>
      <c r="DN474" s="107" t="str">
        <f aca="false">IF(ISBLANK($C474),"",$DB474)</f>
        <v/>
      </c>
      <c r="DO474" s="110" t="str">
        <f aca="false">IF($DF474&gt;$DE$8,"",VLOOKUP($DF474,$DH$9:$DN$508,7,FALSE()))</f>
        <v/>
      </c>
      <c r="DP474" s="111" t="str">
        <f aca="false">IF($DF474&gt;$DE$8,"",VLOOKUP($DF474,$DH$9:$DN$508,2,FALSE()))</f>
        <v/>
      </c>
      <c r="DQ474" s="111" t="str">
        <f aca="false">IF($DF474&gt;$DE$8,"",VLOOKUP($DF474,$DH$9:$DN$508,3,FALSE()))</f>
        <v/>
      </c>
      <c r="DR474" s="111" t="str">
        <f aca="false">IF($DF474&gt;$DE$8,"",VLOOKUP($DF474,$DH$9:$DN$508,4,FALSE()))</f>
        <v/>
      </c>
      <c r="DS474" s="111" t="str">
        <f aca="false">IF($DF474&gt;$DE$8,"",VLOOKUP($DF474,$DH$9:$DN$508,5,FALSE()))</f>
        <v/>
      </c>
      <c r="DT474" s="112" t="str">
        <f aca="false">IF($DF474&gt;$DE$8,"",VLOOKUP($DF474,$DH$9:$DN$508,6,FALSE()))</f>
        <v/>
      </c>
      <c r="DU474" s="62"/>
    </row>
    <row r="475" customFormat="false" ht="15.75" hidden="false" customHeight="false" outlineLevel="0" collapsed="false">
      <c r="A475" s="7"/>
      <c r="B475" s="90"/>
      <c r="C475" s="91"/>
      <c r="D475" s="126"/>
      <c r="E475" s="130"/>
      <c r="F475" s="135"/>
      <c r="G475" s="130"/>
      <c r="H475" s="135"/>
      <c r="I475" s="131"/>
      <c r="J475" s="131"/>
      <c r="K475" s="131"/>
      <c r="L475" s="130"/>
      <c r="M475" s="130"/>
      <c r="N475" s="130"/>
      <c r="O475" s="135"/>
      <c r="P475" s="130"/>
      <c r="Q475" s="130"/>
      <c r="R475" s="130"/>
      <c r="S475" s="130"/>
      <c r="T475" s="135"/>
      <c r="U475" s="130"/>
      <c r="V475" s="96"/>
      <c r="W475" s="130"/>
      <c r="X475" s="130"/>
      <c r="Y475" s="96"/>
      <c r="Z475" s="96"/>
      <c r="AA475" s="130"/>
      <c r="AB475" s="130"/>
      <c r="AC475" s="97"/>
      <c r="AD475" s="130"/>
      <c r="AE475" s="99"/>
      <c r="AF475" s="100"/>
      <c r="AG475" s="100"/>
      <c r="AH475" s="100" t="str">
        <f aca="false">IF(ISBLANK($C475),"",IF($E475=Constants!$B$2,TRUE(),IF($E475=Constants!$B$3,FALSE(),TRUE())))</f>
        <v/>
      </c>
      <c r="AI475" s="100" t="str">
        <f aca="false">IF(ISBLANK($C475),"",IF($F475=Constants!$B$2,TRUE(),IF($F475=Constants!$B$3,FALSE(),FALSE())))</f>
        <v/>
      </c>
      <c r="AJ475" s="100" t="str">
        <f aca="false">IF(ISBLANK($C475),"",IF($G475=Constants!$B$2,TRUE(),IF($G475=Constants!$B$3,FALSE(),TRUE())))</f>
        <v/>
      </c>
      <c r="AK475" s="100" t="str">
        <f aca="false">IF(ISBLANK($C475),"",IF($H475=Constants!$B$2,TRUE(),IF($H475=Constants!$B$3,FALSE(),TRUE())))</f>
        <v/>
      </c>
      <c r="AL475" s="100" t="str">
        <f aca="false">IF(ISBLANK($C475),"",IF(ISNUMBER($I475),IF($I475&gt;=0,$I475,""),""))</f>
        <v/>
      </c>
      <c r="AM475" s="100" t="str">
        <f aca="false">IF(ISBLANK($C475),"",IF(ISNUMBER($J475),IF($J475&gt;=0,$J475,""),""))</f>
        <v/>
      </c>
      <c r="AN475" s="100" t="str">
        <f aca="false">IF(ISBLANK($C475),"",IF(ISNUMBER($K475),IF($K475&gt;=0,$K475,""),""))</f>
        <v/>
      </c>
      <c r="AO475" s="100" t="str">
        <f aca="false">IF(ISBLANK($C475),"",IF($L475=Constants!$B$2,TRUE(),IF($L475=Constants!$B$3,FALSE(),TRUE())))</f>
        <v/>
      </c>
      <c r="AP475" s="100" t="str">
        <f aca="false">IF(ISBLANK($C475),"",IF($M475=Constants!$B$2,TRUE(),IF($M475=Constants!$B$3,FALSE(),TRUE())))</f>
        <v/>
      </c>
      <c r="AQ475" s="100" t="str">
        <f aca="false">IF(ISBLANK($C475),"",IF($N475=Constants!$B$2,TRUE(),IF($N475=Constants!$B$3,FALSE(),FALSE())))</f>
        <v/>
      </c>
      <c r="AR475" s="100" t="str">
        <f aca="false">IF(ISBLANK($C475),"",IF($O475=Constants!$B$2,TRUE(),IF($O475=Constants!$B$3,FALSE(),TRUE())))</f>
        <v/>
      </c>
      <c r="AS475" s="100" t="str">
        <f aca="false">IF(ISBLANK($C475),"",IF($P475=Constants!$B$2,TRUE(),IF($P475=Constants!$B$3,FALSE(),FALSE())))</f>
        <v/>
      </c>
      <c r="AT475" s="100" t="str">
        <f aca="false">IF(ISBLANK($C475),"",IF($Q475=Constants!$B$2,TRUE(),IF($Q475=Constants!$B$3,FALSE(),FALSE())))</f>
        <v/>
      </c>
      <c r="AU475" s="100" t="str">
        <f aca="false">IF(ISBLANK($C475),"",IF($R475=Constants!$B$2,TRUE(),IF($R475=Constants!$B$3,FALSE(),FALSE())))</f>
        <v/>
      </c>
      <c r="AV475" s="100" t="str">
        <f aca="false">IF(ISBLANK($C475),"",IF($S475=Constants!$B$2,TRUE(),IF($S475=Constants!$B$3,FALSE(),FALSE())))</f>
        <v/>
      </c>
      <c r="AW475" s="100" t="str">
        <f aca="false">IF(ISBLANK($C475),"",IF($T475=Constants!$B$2,TRUE(),IF($T475=Constants!$B$3,FALSE(),FALSE())))</f>
        <v/>
      </c>
      <c r="AX475" s="100" t="str">
        <f aca="false">IF(ISBLANK($C475),"",IF(OR($U475&amp;""="1",$U475&amp;""="2",$U475&amp;""="3",$U475&amp;""="4"),VALUE($U475&amp;""),IF($U475=Constants!$B$12,Constants!$B$12,"")))</f>
        <v/>
      </c>
      <c r="AY475" s="100" t="str">
        <f aca="false">IF(ISBLANK($C475),"",IF(ISBLANK($V475),0,IF(ISNUMBER($V475),IF(AND($V475&gt;=0,$V475&lt;=Constants!$B$21,$V475=INT($V475)),$V475,""),"")))</f>
        <v/>
      </c>
      <c r="AZ475" s="100" t="str">
        <f aca="false">IF(ISBLANK($C475),"",IF(ISBLANK($W475),0,IF(ISNUMBER($W475),IF($W475&gt;=0,$W475,""),"")))</f>
        <v/>
      </c>
      <c r="BA475" s="100" t="str">
        <f aca="false">IF(ISBLANK($C475),"",IF($X475=Constants!$B$2,TRUE(),IF($X475=Constants!$B$3,FALSE(),TRUE())))</f>
        <v/>
      </c>
      <c r="BB475" s="100" t="str">
        <f aca="false">IF(ISBLANK($C475),"",IF($Y475=Constants!$B$2,TRUE(),IF($Y475=Constants!$B$3,FALSE(),FALSE())))</f>
        <v/>
      </c>
      <c r="BC475" s="100" t="str">
        <f aca="false">IF(ISBLANK($C475),"",IF(ISBLANK($Z475),0,IF(ISNUMBER($Z475),IF(AND($Z475&gt;=0,$Z475&lt;=Constants!$B$35,$Z475=INT($Z475)),$Z475,""),"")))</f>
        <v/>
      </c>
      <c r="BD475" s="100" t="str">
        <f aca="false">IF(ISBLANK($C475),"",IF($AA475=Constants!$B$2,TRUE(),IF($AA475=Constants!$B$3,FALSE(),TRUE())))</f>
        <v/>
      </c>
      <c r="BE475" s="100" t="str">
        <f aca="false">IF(ISBLANK($C475),"",IF($AB475=Constants!$B$2,TRUE(),IF($AB475=Constants!$B$3,FALSE(),TRUE())))</f>
        <v/>
      </c>
      <c r="BF475" s="100" t="str">
        <f aca="false">IF(ISBLANK($C475),"",IF(ISNUMBER($AC475),IF($AC475&gt;=0,$AC475,""),""))</f>
        <v/>
      </c>
      <c r="BG475" s="100" t="str">
        <f aca="false">IF(ISBLANK($C475),"",IF($AD475=Constants!$B$2,TRUE(),IF($AD475=Constants!$B$3,FALSE(),FALSE())))</f>
        <v/>
      </c>
      <c r="BH475" s="99" t="str">
        <f aca="false">IF(ISBLANK($C475),"",IF($BG475,Constants!$B$7,IF(COUNTA($E475:$AC475)=0,Constants!$B$6,IF(OR(COUNTA($G475:$AC475)=0,NOT($AK475),$AQ475),Constants!$B$5,IF(OR($CI475&lt;&gt;"",$CJ475,$CK475,$CL475,$CM475,$CN475,$CO475),Constants!$B$8,Constants!$B$4)))))</f>
        <v/>
      </c>
      <c r="BI475" s="100" t="str">
        <f aca="false">IF(ISBLANK($C475),"",IF($BH475&lt;&gt;Constants!$B$4,$BH475,IF(OR(NOT($AH475),NOT($AJ475),NOT($AR475)),Constants!$B$11,IF(OR(NOT($AP475),MAX($AL475,$AM475,$AN475)&gt;Constants!$B$30),Constants!$B$10,Constants!$B$9))))</f>
        <v/>
      </c>
      <c r="BJ475" s="100" t="str">
        <f aca="false">IF($BH475&lt;&gt;Constants!$B$4,"",IF(NOT($AJ475),0,MIN(Constants!$B$35,$BC475)))</f>
        <v/>
      </c>
      <c r="BK475" s="100" t="str">
        <f aca="false">IF($BH475&lt;&gt;Constants!$B$4,"",IF(NOT($AJ475),0,IF($AT475,Constants!$B$18,IF($AS475,Constants!$B$17,0))))</f>
        <v/>
      </c>
      <c r="BL475" s="100" t="str">
        <f aca="false">IF($BH475&lt;&gt;Constants!$B$4,"",IF(NOT($AJ475),0,Constants!$B$19*($AI475+$AU475+$AV475+$AW475)))</f>
        <v/>
      </c>
      <c r="BM475" s="100" t="str">
        <f aca="false">IF($BH475&lt;&gt;Constants!$B$4,"",IF(OR(NOT($AJ475),NOT(ISNUMBER($AX475))),0,CHOOSE($AX475,Constants!$B$13,Constants!$B$14,Constants!$B$15,Constants!$B$16)))</f>
        <v/>
      </c>
      <c r="BN475" s="100" t="str">
        <f aca="false">IF($BH475&lt;&gt;Constants!$B$4,"",IF(NOT($AJ475),0,Constants!$B$20*$AY475))</f>
        <v/>
      </c>
      <c r="BO475" s="100" t="str">
        <f aca="false">IF($BH475&lt;&gt;Constants!$B$4,"",IF(AND($AJ475,$BA475,$BB475),Constants!$B$22,0))</f>
        <v/>
      </c>
      <c r="BP475" s="100" t="str">
        <f aca="false">IF($BH475&lt;&gt;Constants!$B$4,"",IF(OR(NOT($AJ475),NOT($BA475)),0,IF($BF475&gt;=2*$AF$9,0,Constants!$B$23*INT(ROUND(MIN($BF475,$AF$9),6)))))</f>
        <v/>
      </c>
      <c r="BQ475" s="100" t="str">
        <f aca="false">IF($BH475&lt;&gt;Constants!$B$4,"",IF(NOT($AJ475),0,Constants!$B$24*INT(ROUND(MIN($AZ475,$AF$9),6))))</f>
        <v/>
      </c>
      <c r="BR475" s="100" t="str">
        <f aca="false">IF($BH475&lt;&gt;Constants!$B$4,"",IF(AND($AJ475,$BJ475=0),Constants!$B$25,0))</f>
        <v/>
      </c>
      <c r="BS475" s="100" t="str">
        <f aca="false">IF($BH475&lt;&gt;Constants!$B$4,"",MIN(Constants!$B$29,MAX(0,Constants!$B$27*Constants!$B$28*INT(ROUND((Constants!$B$26-$AL475)/Constants!$B$28,6))))+MIN(Constants!$B$29,MAX(0,Constants!$B$27*Constants!$B$28*INT(ROUND((Constants!$B$26-$AM475)/Constants!$B$28,6))))+MIN(Constants!$B$29,MAX(0,Constants!$B$27*Constants!$B$28*INT(ROUND((Constants!$B$26-$AN475)/Constants!$B$28,6)))))</f>
        <v/>
      </c>
      <c r="BT475" s="100" t="str">
        <f aca="false">IF($BH475&lt;&gt;Constants!$B$4,"",IF(NOT($AJ475),0,Constants!$B$31*INT(ROUND(MAX(0,MIN($BF475,2*$AF$9)-$AF$9),6))))</f>
        <v/>
      </c>
      <c r="BU475" s="100" t="str">
        <f aca="false">IF($BH475&lt;&gt;Constants!$B$4,"",Constants!$B$32*(($AL475&gt;Constants!$B$26)+($AM475&gt;Constants!$B$26)+($AN475&gt;Constants!$B$26)))</f>
        <v/>
      </c>
      <c r="BV475" s="100" t="str">
        <f aca="false">IF($BH475&lt;&gt;Constants!$B$4,"",IF(OR(NOT($AJ475),$AO475),0,Constants!$B$33))</f>
        <v/>
      </c>
      <c r="BW475" s="100" t="str">
        <f aca="false">IF($BH475&lt;&gt;Constants!$B$4,"",Constants!$B$34*$BJ475)</f>
        <v/>
      </c>
      <c r="BX475" s="100" t="str">
        <f aca="false">IF($BH475&lt;&gt;Constants!$B$4,"",IF(OR(NOT($AJ475),$BE475),0,Constants!$B$36))</f>
        <v/>
      </c>
      <c r="BY475" s="100" t="str">
        <f aca="false">IF($BH475&lt;&gt;Constants!$B$4,"",IF(OR(NOT($AJ475),$BD475),0,Constants!$B$37))</f>
        <v/>
      </c>
      <c r="BZ475" s="100" t="str">
        <f aca="false">IF($BH475&lt;&gt;Constants!$B$4,"",SUM($BT475:$BY475))</f>
        <v/>
      </c>
      <c r="CA475" s="100" t="str">
        <f aca="false">IF(ISBLANK($C475),"",IF($BH475&lt;&gt;Constants!$B$4,$BH475,SUM($BK475:$BS475)-$BZ475))</f>
        <v/>
      </c>
      <c r="CB475" s="100" t="str">
        <f aca="false">IF(ISBLANK($C475),"",IF($BH475&lt;&gt;Constants!$B$4,$BH475,RANK($CA475,$CA$9:$CA$508)))</f>
        <v/>
      </c>
      <c r="CC475" s="100" t="str">
        <f aca="false">IF(ISBLANK($C475),"",IF($BH475&lt;&gt;Constants!$B$4,$BH475,COUNTIFS($BI$9:$BI$508,"&lt;"&amp;$BI475)+COUNTIFS($BI$9:$BI$508,$BI475,$CB$9:$CB$508,"&lt;"&amp;$CB475)+1))</f>
        <v/>
      </c>
      <c r="CD475" s="100" t="str">
        <f aca="false">IF(ISBLANK($C475),"",IF($BH475&lt;&gt;Constants!$B$4,$BH475,RANK($BZ475,$BZ$9:$BZ$508,1)))</f>
        <v/>
      </c>
      <c r="CE475" s="100" t="str">
        <f aca="false">IF($BH475&lt;&gt;Constants!$B$4,"",$AL475+$AM475+$AN475)</f>
        <v/>
      </c>
      <c r="CF475" s="100" t="str">
        <f aca="false">IF(ISBLANK($C475),"",IF($BH475&lt;&gt;Constants!$B$4,$BH475,RANK($CE475,$CE$9:$CE$508,1)))</f>
        <v/>
      </c>
      <c r="CG475" s="100" t="str">
        <f aca="false">IF(ISBLANK($C475),"",IF($BH475&lt;&gt;Constants!$B$4,$BH475,COUNTIFS($BI$9:$BI$508,"&lt;"&amp;$BI475)+COUNTIFS($BI$9:$BI$508,$BI475,$CB$9:$CB$508,"&lt;"&amp;$CB475)+COUNTIFS($BI$9:$BI$508,$BI475,$CB$9:$CB$508,$CB475,$CD$9:$CD$508,"&lt;"&amp;$CD475)+COUNTIFS($BI$9:$BI$508,$BI475,$CB$9:$CB$508,$CB475,$CD$9:$CD$508,$CD475,$CF$9:$CF$508,"&lt;"&amp;$CF475)+1))</f>
        <v/>
      </c>
      <c r="CH475" s="100" t="str">
        <f aca="false">IF(ISBLANK($C475),"",IF($BH475&lt;&gt;Constants!$B$4,$BH475,$CC475-$CG475))</f>
        <v/>
      </c>
      <c r="CI475" s="100" t="str">
        <f aca="false">IF(ISBLANK($C475),"",IF(NOT($AJ475),"",IF(ISBLANK($D$7),$CI$5,IF(NOT(ISNUMBER($D$7)),$CI$6,""))))</f>
        <v/>
      </c>
      <c r="CJ475" s="100" t="str">
        <f aca="false">IF(ISBLANK($C475),"",OR($AL475="",$AM475="",$AN475=""))</f>
        <v/>
      </c>
      <c r="CK475" s="100" t="str">
        <f aca="false">IF(ISBLANK($C475),"",AND($AJ475,$AX475=""))</f>
        <v/>
      </c>
      <c r="CL475" s="100" t="str">
        <f aca="false">IF(ISBLANK($C475),"",AND($AJ475,$AY475=""))</f>
        <v/>
      </c>
      <c r="CM475" s="100" t="str">
        <f aca="false">IF(ISBLANK($C475),"",AND($AJ475,$AZ475=""))</f>
        <v/>
      </c>
      <c r="CN475" s="100" t="str">
        <f aca="false">IF(ISBLANK($C475),"",AND($AJ475,$BC475=""))</f>
        <v/>
      </c>
      <c r="CO475" s="100" t="str">
        <f aca="false">IF(ISBLANK($C475),"",AND($AJ475,$BF475=""))</f>
        <v/>
      </c>
      <c r="CP475" s="101"/>
      <c r="CQ475" s="102"/>
      <c r="CR475" s="103" t="str">
        <f aca="false">IF(ISBLANK($C475),"",IF($BH475=Constants!$B$8,$CI475,""))</f>
        <v/>
      </c>
      <c r="CS475" s="102" t="str">
        <f aca="false">IF(ISBLANK($C475),"",IF($BH475&lt;&gt;Constants!$B$4,"",$BK475+$BL475))</f>
        <v/>
      </c>
      <c r="CT475" s="104" t="str">
        <f aca="false">IF(ISBLANK($C475),"",IF($BH475&lt;&gt;Constants!$B$4,"",$BM475+$BN475+$BO475))</f>
        <v/>
      </c>
      <c r="CU475" s="104" t="str">
        <f aca="false">IF(ISBLANK($C475),"",IF($BH475&lt;&gt;Constants!$B$4,"",$BP475))</f>
        <v/>
      </c>
      <c r="CV475" s="104" t="str">
        <f aca="false">IF(ISBLANK($C475),"",IF($BH475&lt;&gt;Constants!$B$4,"",$BQ475+$BR475))</f>
        <v/>
      </c>
      <c r="CW475" s="104" t="str">
        <f aca="false">IF(ISBLANK($C475),"",IF($BH475&lt;&gt;Constants!$B$4,"",$BS475))</f>
        <v/>
      </c>
      <c r="CX475" s="104" t="str">
        <f aca="false">IF(ISBLANK($C475),"",IF($BH475&lt;&gt;Constants!$B$4,"",-$BZ475))</f>
        <v/>
      </c>
      <c r="CY475" s="103" t="str">
        <f aca="false">IF(ISBLANK($C475),"",$CA475)</f>
        <v/>
      </c>
      <c r="CZ475" s="105" t="str">
        <f aca="false">IF(ISBLANK($C475),"",$BI475)</f>
        <v/>
      </c>
      <c r="DA475" s="104" t="str">
        <f aca="false">IF(ISBLANK($C475),"",$CH475)</f>
        <v/>
      </c>
      <c r="DB475" s="104" t="str">
        <f aca="false">IF(ISBLANK($C475),"",$CG475)</f>
        <v/>
      </c>
      <c r="DC475" s="106" t="str">
        <f aca="false">IF(ISBLANK($C475),"",IFERROR(_xlfn.SWITCH($DB475,Constants!$B$7,COUNTA($C$9:$C$508)+2,Constants!$B$6,COUNTA($C$9:$C$508)+1,Constants!$B$5,COUNTA($C$9:$C$508)),$DB475))</f>
        <v/>
      </c>
      <c r="DD475" s="7"/>
      <c r="DE475" s="107" t="n">
        <f aca="false">IF(OR(ISNUMBER($DB475),$DB475=Constants!$B$7,$DB475=Constants!$B$5,$DB475=Constants!$B$6),1,0)</f>
        <v>0</v>
      </c>
      <c r="DF475" s="107" t="n">
        <v>467</v>
      </c>
      <c r="DG475" s="107" t="str">
        <f aca="false">IF(ISBLANK($C475),"",IF(ISNUMBER($DC475),$DC475+ROW($B475)/1000,""))</f>
        <v/>
      </c>
      <c r="DH475" s="107" t="str">
        <f aca="false">IF(ISNUMBER($DG475),RANK($DG475,$DG$9:$DG$508,1),"")</f>
        <v/>
      </c>
      <c r="DI475" s="107" t="str">
        <f aca="false">IF(ISBLANK($C475),"",$B475)</f>
        <v/>
      </c>
      <c r="DJ475" s="107" t="str">
        <f aca="false">IF(ISBLANK($C475),"",$C475)</f>
        <v/>
      </c>
      <c r="DK475" s="107" t="str">
        <f aca="false">IF(ISBLANK($C475),"",$D475)</f>
        <v/>
      </c>
      <c r="DL475" s="108" t="str">
        <f aca="false">$CZ475</f>
        <v/>
      </c>
      <c r="DM475" s="109" t="str">
        <f aca="false">$CY475</f>
        <v/>
      </c>
      <c r="DN475" s="107" t="str">
        <f aca="false">IF(ISBLANK($C475),"",$DB475)</f>
        <v/>
      </c>
      <c r="DO475" s="110" t="str">
        <f aca="false">IF($DF475&gt;$DE$8,"",VLOOKUP($DF475,$DH$9:$DN$508,7,FALSE()))</f>
        <v/>
      </c>
      <c r="DP475" s="111" t="str">
        <f aca="false">IF($DF475&gt;$DE$8,"",VLOOKUP($DF475,$DH$9:$DN$508,2,FALSE()))</f>
        <v/>
      </c>
      <c r="DQ475" s="111" t="str">
        <f aca="false">IF($DF475&gt;$DE$8,"",VLOOKUP($DF475,$DH$9:$DN$508,3,FALSE()))</f>
        <v/>
      </c>
      <c r="DR475" s="111" t="str">
        <f aca="false">IF($DF475&gt;$DE$8,"",VLOOKUP($DF475,$DH$9:$DN$508,4,FALSE()))</f>
        <v/>
      </c>
      <c r="DS475" s="111" t="str">
        <f aca="false">IF($DF475&gt;$DE$8,"",VLOOKUP($DF475,$DH$9:$DN$508,5,FALSE()))</f>
        <v/>
      </c>
      <c r="DT475" s="112" t="str">
        <f aca="false">IF($DF475&gt;$DE$8,"",VLOOKUP($DF475,$DH$9:$DN$508,6,FALSE()))</f>
        <v/>
      </c>
      <c r="DU475" s="62"/>
    </row>
    <row r="476" customFormat="false" ht="15.75" hidden="false" customHeight="false" outlineLevel="0" collapsed="false">
      <c r="A476" s="7"/>
      <c r="B476" s="90"/>
      <c r="C476" s="91"/>
      <c r="D476" s="126"/>
      <c r="E476" s="130"/>
      <c r="F476" s="135"/>
      <c r="G476" s="130"/>
      <c r="H476" s="135"/>
      <c r="I476" s="131"/>
      <c r="J476" s="131"/>
      <c r="K476" s="131"/>
      <c r="L476" s="130"/>
      <c r="M476" s="130"/>
      <c r="N476" s="130"/>
      <c r="O476" s="135"/>
      <c r="P476" s="130"/>
      <c r="Q476" s="130"/>
      <c r="R476" s="130"/>
      <c r="S476" s="130"/>
      <c r="T476" s="135"/>
      <c r="U476" s="130"/>
      <c r="V476" s="96"/>
      <c r="W476" s="130"/>
      <c r="X476" s="130"/>
      <c r="Y476" s="96"/>
      <c r="Z476" s="96"/>
      <c r="AA476" s="130"/>
      <c r="AB476" s="130"/>
      <c r="AC476" s="97"/>
      <c r="AD476" s="130"/>
      <c r="AE476" s="99"/>
      <c r="AF476" s="100"/>
      <c r="AG476" s="100"/>
      <c r="AH476" s="100" t="str">
        <f aca="false">IF(ISBLANK($C476),"",IF($E476=Constants!$B$2,TRUE(),IF($E476=Constants!$B$3,FALSE(),TRUE())))</f>
        <v/>
      </c>
      <c r="AI476" s="100" t="str">
        <f aca="false">IF(ISBLANK($C476),"",IF($F476=Constants!$B$2,TRUE(),IF($F476=Constants!$B$3,FALSE(),FALSE())))</f>
        <v/>
      </c>
      <c r="AJ476" s="100" t="str">
        <f aca="false">IF(ISBLANK($C476),"",IF($G476=Constants!$B$2,TRUE(),IF($G476=Constants!$B$3,FALSE(),TRUE())))</f>
        <v/>
      </c>
      <c r="AK476" s="100" t="str">
        <f aca="false">IF(ISBLANK($C476),"",IF($H476=Constants!$B$2,TRUE(),IF($H476=Constants!$B$3,FALSE(),TRUE())))</f>
        <v/>
      </c>
      <c r="AL476" s="100" t="str">
        <f aca="false">IF(ISBLANK($C476),"",IF(ISNUMBER($I476),IF($I476&gt;=0,$I476,""),""))</f>
        <v/>
      </c>
      <c r="AM476" s="100" t="str">
        <f aca="false">IF(ISBLANK($C476),"",IF(ISNUMBER($J476),IF($J476&gt;=0,$J476,""),""))</f>
        <v/>
      </c>
      <c r="AN476" s="100" t="str">
        <f aca="false">IF(ISBLANK($C476),"",IF(ISNUMBER($K476),IF($K476&gt;=0,$K476,""),""))</f>
        <v/>
      </c>
      <c r="AO476" s="100" t="str">
        <f aca="false">IF(ISBLANK($C476),"",IF($L476=Constants!$B$2,TRUE(),IF($L476=Constants!$B$3,FALSE(),TRUE())))</f>
        <v/>
      </c>
      <c r="AP476" s="100" t="str">
        <f aca="false">IF(ISBLANK($C476),"",IF($M476=Constants!$B$2,TRUE(),IF($M476=Constants!$B$3,FALSE(),TRUE())))</f>
        <v/>
      </c>
      <c r="AQ476" s="100" t="str">
        <f aca="false">IF(ISBLANK($C476),"",IF($N476=Constants!$B$2,TRUE(),IF($N476=Constants!$B$3,FALSE(),FALSE())))</f>
        <v/>
      </c>
      <c r="AR476" s="100" t="str">
        <f aca="false">IF(ISBLANK($C476),"",IF($O476=Constants!$B$2,TRUE(),IF($O476=Constants!$B$3,FALSE(),TRUE())))</f>
        <v/>
      </c>
      <c r="AS476" s="100" t="str">
        <f aca="false">IF(ISBLANK($C476),"",IF($P476=Constants!$B$2,TRUE(),IF($P476=Constants!$B$3,FALSE(),FALSE())))</f>
        <v/>
      </c>
      <c r="AT476" s="100" t="str">
        <f aca="false">IF(ISBLANK($C476),"",IF($Q476=Constants!$B$2,TRUE(),IF($Q476=Constants!$B$3,FALSE(),FALSE())))</f>
        <v/>
      </c>
      <c r="AU476" s="100" t="str">
        <f aca="false">IF(ISBLANK($C476),"",IF($R476=Constants!$B$2,TRUE(),IF($R476=Constants!$B$3,FALSE(),FALSE())))</f>
        <v/>
      </c>
      <c r="AV476" s="100" t="str">
        <f aca="false">IF(ISBLANK($C476),"",IF($S476=Constants!$B$2,TRUE(),IF($S476=Constants!$B$3,FALSE(),FALSE())))</f>
        <v/>
      </c>
      <c r="AW476" s="100" t="str">
        <f aca="false">IF(ISBLANK($C476),"",IF($T476=Constants!$B$2,TRUE(),IF($T476=Constants!$B$3,FALSE(),FALSE())))</f>
        <v/>
      </c>
      <c r="AX476" s="100" t="str">
        <f aca="false">IF(ISBLANK($C476),"",IF(OR($U476&amp;""="1",$U476&amp;""="2",$U476&amp;""="3",$U476&amp;""="4"),VALUE($U476&amp;""),IF($U476=Constants!$B$12,Constants!$B$12,"")))</f>
        <v/>
      </c>
      <c r="AY476" s="100" t="str">
        <f aca="false">IF(ISBLANK($C476),"",IF(ISBLANK($V476),0,IF(ISNUMBER($V476),IF(AND($V476&gt;=0,$V476&lt;=Constants!$B$21,$V476=INT($V476)),$V476,""),"")))</f>
        <v/>
      </c>
      <c r="AZ476" s="100" t="str">
        <f aca="false">IF(ISBLANK($C476),"",IF(ISBLANK($W476),0,IF(ISNUMBER($W476),IF($W476&gt;=0,$W476,""),"")))</f>
        <v/>
      </c>
      <c r="BA476" s="100" t="str">
        <f aca="false">IF(ISBLANK($C476),"",IF($X476=Constants!$B$2,TRUE(),IF($X476=Constants!$B$3,FALSE(),TRUE())))</f>
        <v/>
      </c>
      <c r="BB476" s="100" t="str">
        <f aca="false">IF(ISBLANK($C476),"",IF($Y476=Constants!$B$2,TRUE(),IF($Y476=Constants!$B$3,FALSE(),FALSE())))</f>
        <v/>
      </c>
      <c r="BC476" s="100" t="str">
        <f aca="false">IF(ISBLANK($C476),"",IF(ISBLANK($Z476),0,IF(ISNUMBER($Z476),IF(AND($Z476&gt;=0,$Z476&lt;=Constants!$B$35,$Z476=INT($Z476)),$Z476,""),"")))</f>
        <v/>
      </c>
      <c r="BD476" s="100" t="str">
        <f aca="false">IF(ISBLANK($C476),"",IF($AA476=Constants!$B$2,TRUE(),IF($AA476=Constants!$B$3,FALSE(),TRUE())))</f>
        <v/>
      </c>
      <c r="BE476" s="100" t="str">
        <f aca="false">IF(ISBLANK($C476),"",IF($AB476=Constants!$B$2,TRUE(),IF($AB476=Constants!$B$3,FALSE(),TRUE())))</f>
        <v/>
      </c>
      <c r="BF476" s="100" t="str">
        <f aca="false">IF(ISBLANK($C476),"",IF(ISNUMBER($AC476),IF($AC476&gt;=0,$AC476,""),""))</f>
        <v/>
      </c>
      <c r="BG476" s="100" t="str">
        <f aca="false">IF(ISBLANK($C476),"",IF($AD476=Constants!$B$2,TRUE(),IF($AD476=Constants!$B$3,FALSE(),FALSE())))</f>
        <v/>
      </c>
      <c r="BH476" s="99" t="str">
        <f aca="false">IF(ISBLANK($C476),"",IF($BG476,Constants!$B$7,IF(COUNTA($E476:$AC476)=0,Constants!$B$6,IF(OR(COUNTA($G476:$AC476)=0,NOT($AK476),$AQ476),Constants!$B$5,IF(OR($CI476&lt;&gt;"",$CJ476,$CK476,$CL476,$CM476,$CN476,$CO476),Constants!$B$8,Constants!$B$4)))))</f>
        <v/>
      </c>
      <c r="BI476" s="100" t="str">
        <f aca="false">IF(ISBLANK($C476),"",IF($BH476&lt;&gt;Constants!$B$4,$BH476,IF(OR(NOT($AH476),NOT($AJ476),NOT($AR476)),Constants!$B$11,IF(OR(NOT($AP476),MAX($AL476,$AM476,$AN476)&gt;Constants!$B$30),Constants!$B$10,Constants!$B$9))))</f>
        <v/>
      </c>
      <c r="BJ476" s="100" t="str">
        <f aca="false">IF($BH476&lt;&gt;Constants!$B$4,"",IF(NOT($AJ476),0,MIN(Constants!$B$35,$BC476)))</f>
        <v/>
      </c>
      <c r="BK476" s="100" t="str">
        <f aca="false">IF($BH476&lt;&gt;Constants!$B$4,"",IF(NOT($AJ476),0,IF($AT476,Constants!$B$18,IF($AS476,Constants!$B$17,0))))</f>
        <v/>
      </c>
      <c r="BL476" s="100" t="str">
        <f aca="false">IF($BH476&lt;&gt;Constants!$B$4,"",IF(NOT($AJ476),0,Constants!$B$19*($AI476+$AU476+$AV476+$AW476)))</f>
        <v/>
      </c>
      <c r="BM476" s="100" t="str">
        <f aca="false">IF($BH476&lt;&gt;Constants!$B$4,"",IF(OR(NOT($AJ476),NOT(ISNUMBER($AX476))),0,CHOOSE($AX476,Constants!$B$13,Constants!$B$14,Constants!$B$15,Constants!$B$16)))</f>
        <v/>
      </c>
      <c r="BN476" s="100" t="str">
        <f aca="false">IF($BH476&lt;&gt;Constants!$B$4,"",IF(NOT($AJ476),0,Constants!$B$20*$AY476))</f>
        <v/>
      </c>
      <c r="BO476" s="100" t="str">
        <f aca="false">IF($BH476&lt;&gt;Constants!$B$4,"",IF(AND($AJ476,$BA476,$BB476),Constants!$B$22,0))</f>
        <v/>
      </c>
      <c r="BP476" s="100" t="str">
        <f aca="false">IF($BH476&lt;&gt;Constants!$B$4,"",IF(OR(NOT($AJ476),NOT($BA476)),0,IF($BF476&gt;=2*$AF$9,0,Constants!$B$23*INT(ROUND(MIN($BF476,$AF$9),6)))))</f>
        <v/>
      </c>
      <c r="BQ476" s="100" t="str">
        <f aca="false">IF($BH476&lt;&gt;Constants!$B$4,"",IF(NOT($AJ476),0,Constants!$B$24*INT(ROUND(MIN($AZ476,$AF$9),6))))</f>
        <v/>
      </c>
      <c r="BR476" s="100" t="str">
        <f aca="false">IF($BH476&lt;&gt;Constants!$B$4,"",IF(AND($AJ476,$BJ476=0),Constants!$B$25,0))</f>
        <v/>
      </c>
      <c r="BS476" s="100" t="str">
        <f aca="false">IF($BH476&lt;&gt;Constants!$B$4,"",MIN(Constants!$B$29,MAX(0,Constants!$B$27*Constants!$B$28*INT(ROUND((Constants!$B$26-$AL476)/Constants!$B$28,6))))+MIN(Constants!$B$29,MAX(0,Constants!$B$27*Constants!$B$28*INT(ROUND((Constants!$B$26-$AM476)/Constants!$B$28,6))))+MIN(Constants!$B$29,MAX(0,Constants!$B$27*Constants!$B$28*INT(ROUND((Constants!$B$26-$AN476)/Constants!$B$28,6)))))</f>
        <v/>
      </c>
      <c r="BT476" s="100" t="str">
        <f aca="false">IF($BH476&lt;&gt;Constants!$B$4,"",IF(NOT($AJ476),0,Constants!$B$31*INT(ROUND(MAX(0,MIN($BF476,2*$AF$9)-$AF$9),6))))</f>
        <v/>
      </c>
      <c r="BU476" s="100" t="str">
        <f aca="false">IF($BH476&lt;&gt;Constants!$B$4,"",Constants!$B$32*(($AL476&gt;Constants!$B$26)+($AM476&gt;Constants!$B$26)+($AN476&gt;Constants!$B$26)))</f>
        <v/>
      </c>
      <c r="BV476" s="100" t="str">
        <f aca="false">IF($BH476&lt;&gt;Constants!$B$4,"",IF(OR(NOT($AJ476),$AO476),0,Constants!$B$33))</f>
        <v/>
      </c>
      <c r="BW476" s="100" t="str">
        <f aca="false">IF($BH476&lt;&gt;Constants!$B$4,"",Constants!$B$34*$BJ476)</f>
        <v/>
      </c>
      <c r="BX476" s="100" t="str">
        <f aca="false">IF($BH476&lt;&gt;Constants!$B$4,"",IF(OR(NOT($AJ476),$BE476),0,Constants!$B$36))</f>
        <v/>
      </c>
      <c r="BY476" s="100" t="str">
        <f aca="false">IF($BH476&lt;&gt;Constants!$B$4,"",IF(OR(NOT($AJ476),$BD476),0,Constants!$B$37))</f>
        <v/>
      </c>
      <c r="BZ476" s="100" t="str">
        <f aca="false">IF($BH476&lt;&gt;Constants!$B$4,"",SUM($BT476:$BY476))</f>
        <v/>
      </c>
      <c r="CA476" s="100" t="str">
        <f aca="false">IF(ISBLANK($C476),"",IF($BH476&lt;&gt;Constants!$B$4,$BH476,SUM($BK476:$BS476)-$BZ476))</f>
        <v/>
      </c>
      <c r="CB476" s="100" t="str">
        <f aca="false">IF(ISBLANK($C476),"",IF($BH476&lt;&gt;Constants!$B$4,$BH476,RANK($CA476,$CA$9:$CA$508)))</f>
        <v/>
      </c>
      <c r="CC476" s="100" t="str">
        <f aca="false">IF(ISBLANK($C476),"",IF($BH476&lt;&gt;Constants!$B$4,$BH476,COUNTIFS($BI$9:$BI$508,"&lt;"&amp;$BI476)+COUNTIFS($BI$9:$BI$508,$BI476,$CB$9:$CB$508,"&lt;"&amp;$CB476)+1))</f>
        <v/>
      </c>
      <c r="CD476" s="100" t="str">
        <f aca="false">IF(ISBLANK($C476),"",IF($BH476&lt;&gt;Constants!$B$4,$BH476,RANK($BZ476,$BZ$9:$BZ$508,1)))</f>
        <v/>
      </c>
      <c r="CE476" s="100" t="str">
        <f aca="false">IF($BH476&lt;&gt;Constants!$B$4,"",$AL476+$AM476+$AN476)</f>
        <v/>
      </c>
      <c r="CF476" s="100" t="str">
        <f aca="false">IF(ISBLANK($C476),"",IF($BH476&lt;&gt;Constants!$B$4,$BH476,RANK($CE476,$CE$9:$CE$508,1)))</f>
        <v/>
      </c>
      <c r="CG476" s="100" t="str">
        <f aca="false">IF(ISBLANK($C476),"",IF($BH476&lt;&gt;Constants!$B$4,$BH476,COUNTIFS($BI$9:$BI$508,"&lt;"&amp;$BI476)+COUNTIFS($BI$9:$BI$508,$BI476,$CB$9:$CB$508,"&lt;"&amp;$CB476)+COUNTIFS($BI$9:$BI$508,$BI476,$CB$9:$CB$508,$CB476,$CD$9:$CD$508,"&lt;"&amp;$CD476)+COUNTIFS($BI$9:$BI$508,$BI476,$CB$9:$CB$508,$CB476,$CD$9:$CD$508,$CD476,$CF$9:$CF$508,"&lt;"&amp;$CF476)+1))</f>
        <v/>
      </c>
      <c r="CH476" s="100" t="str">
        <f aca="false">IF(ISBLANK($C476),"",IF($BH476&lt;&gt;Constants!$B$4,$BH476,$CC476-$CG476))</f>
        <v/>
      </c>
      <c r="CI476" s="100" t="str">
        <f aca="false">IF(ISBLANK($C476),"",IF(NOT($AJ476),"",IF(ISBLANK($D$7),$CI$5,IF(NOT(ISNUMBER($D$7)),$CI$6,""))))</f>
        <v/>
      </c>
      <c r="CJ476" s="100" t="str">
        <f aca="false">IF(ISBLANK($C476),"",OR($AL476="",$AM476="",$AN476=""))</f>
        <v/>
      </c>
      <c r="CK476" s="100" t="str">
        <f aca="false">IF(ISBLANK($C476),"",AND($AJ476,$AX476=""))</f>
        <v/>
      </c>
      <c r="CL476" s="100" t="str">
        <f aca="false">IF(ISBLANK($C476),"",AND($AJ476,$AY476=""))</f>
        <v/>
      </c>
      <c r="CM476" s="100" t="str">
        <f aca="false">IF(ISBLANK($C476),"",AND($AJ476,$AZ476=""))</f>
        <v/>
      </c>
      <c r="CN476" s="100" t="str">
        <f aca="false">IF(ISBLANK($C476),"",AND($AJ476,$BC476=""))</f>
        <v/>
      </c>
      <c r="CO476" s="100" t="str">
        <f aca="false">IF(ISBLANK($C476),"",AND($AJ476,$BF476=""))</f>
        <v/>
      </c>
      <c r="CP476" s="101"/>
      <c r="CQ476" s="102"/>
      <c r="CR476" s="103" t="str">
        <f aca="false">IF(ISBLANK($C476),"",IF($BH476=Constants!$B$8,$CI476,""))</f>
        <v/>
      </c>
      <c r="CS476" s="102" t="str">
        <f aca="false">IF(ISBLANK($C476),"",IF($BH476&lt;&gt;Constants!$B$4,"",$BK476+$BL476))</f>
        <v/>
      </c>
      <c r="CT476" s="104" t="str">
        <f aca="false">IF(ISBLANK($C476),"",IF($BH476&lt;&gt;Constants!$B$4,"",$BM476+$BN476+$BO476))</f>
        <v/>
      </c>
      <c r="CU476" s="104" t="str">
        <f aca="false">IF(ISBLANK($C476),"",IF($BH476&lt;&gt;Constants!$B$4,"",$BP476))</f>
        <v/>
      </c>
      <c r="CV476" s="104" t="str">
        <f aca="false">IF(ISBLANK($C476),"",IF($BH476&lt;&gt;Constants!$B$4,"",$BQ476+$BR476))</f>
        <v/>
      </c>
      <c r="CW476" s="104" t="str">
        <f aca="false">IF(ISBLANK($C476),"",IF($BH476&lt;&gt;Constants!$B$4,"",$BS476))</f>
        <v/>
      </c>
      <c r="CX476" s="104" t="str">
        <f aca="false">IF(ISBLANK($C476),"",IF($BH476&lt;&gt;Constants!$B$4,"",-$BZ476))</f>
        <v/>
      </c>
      <c r="CY476" s="103" t="str">
        <f aca="false">IF(ISBLANK($C476),"",$CA476)</f>
        <v/>
      </c>
      <c r="CZ476" s="105" t="str">
        <f aca="false">IF(ISBLANK($C476),"",$BI476)</f>
        <v/>
      </c>
      <c r="DA476" s="104" t="str">
        <f aca="false">IF(ISBLANK($C476),"",$CH476)</f>
        <v/>
      </c>
      <c r="DB476" s="104" t="str">
        <f aca="false">IF(ISBLANK($C476),"",$CG476)</f>
        <v/>
      </c>
      <c r="DC476" s="106" t="str">
        <f aca="false">IF(ISBLANK($C476),"",IFERROR(_xlfn.SWITCH($DB476,Constants!$B$7,COUNTA($C$9:$C$508)+2,Constants!$B$6,COUNTA($C$9:$C$508)+1,Constants!$B$5,COUNTA($C$9:$C$508)),$DB476))</f>
        <v/>
      </c>
      <c r="DD476" s="7"/>
      <c r="DE476" s="107" t="n">
        <f aca="false">IF(OR(ISNUMBER($DB476),$DB476=Constants!$B$7,$DB476=Constants!$B$5,$DB476=Constants!$B$6),1,0)</f>
        <v>0</v>
      </c>
      <c r="DF476" s="107" t="n">
        <v>468</v>
      </c>
      <c r="DG476" s="107" t="str">
        <f aca="false">IF(ISBLANK($C476),"",IF(ISNUMBER($DC476),$DC476+ROW($B476)/1000,""))</f>
        <v/>
      </c>
      <c r="DH476" s="107" t="str">
        <f aca="false">IF(ISNUMBER($DG476),RANK($DG476,$DG$9:$DG$508,1),"")</f>
        <v/>
      </c>
      <c r="DI476" s="107" t="str">
        <f aca="false">IF(ISBLANK($C476),"",$B476)</f>
        <v/>
      </c>
      <c r="DJ476" s="107" t="str">
        <f aca="false">IF(ISBLANK($C476),"",$C476)</f>
        <v/>
      </c>
      <c r="DK476" s="107" t="str">
        <f aca="false">IF(ISBLANK($C476),"",$D476)</f>
        <v/>
      </c>
      <c r="DL476" s="108" t="str">
        <f aca="false">$CZ476</f>
        <v/>
      </c>
      <c r="DM476" s="109" t="str">
        <f aca="false">$CY476</f>
        <v/>
      </c>
      <c r="DN476" s="107" t="str">
        <f aca="false">IF(ISBLANK($C476),"",$DB476)</f>
        <v/>
      </c>
      <c r="DO476" s="110" t="str">
        <f aca="false">IF($DF476&gt;$DE$8,"",VLOOKUP($DF476,$DH$9:$DN$508,7,FALSE()))</f>
        <v/>
      </c>
      <c r="DP476" s="111" t="str">
        <f aca="false">IF($DF476&gt;$DE$8,"",VLOOKUP($DF476,$DH$9:$DN$508,2,FALSE()))</f>
        <v/>
      </c>
      <c r="DQ476" s="111" t="str">
        <f aca="false">IF($DF476&gt;$DE$8,"",VLOOKUP($DF476,$DH$9:$DN$508,3,FALSE()))</f>
        <v/>
      </c>
      <c r="DR476" s="111" t="str">
        <f aca="false">IF($DF476&gt;$DE$8,"",VLOOKUP($DF476,$DH$9:$DN$508,4,FALSE()))</f>
        <v/>
      </c>
      <c r="DS476" s="111" t="str">
        <f aca="false">IF($DF476&gt;$DE$8,"",VLOOKUP($DF476,$DH$9:$DN$508,5,FALSE()))</f>
        <v/>
      </c>
      <c r="DT476" s="112" t="str">
        <f aca="false">IF($DF476&gt;$DE$8,"",VLOOKUP($DF476,$DH$9:$DN$508,6,FALSE()))</f>
        <v/>
      </c>
      <c r="DU476" s="62"/>
    </row>
    <row r="477" customFormat="false" ht="15.75" hidden="false" customHeight="false" outlineLevel="0" collapsed="false">
      <c r="A477" s="7"/>
      <c r="B477" s="64"/>
      <c r="C477" s="65"/>
      <c r="D477" s="123"/>
      <c r="E477" s="88"/>
      <c r="F477" s="134"/>
      <c r="G477" s="88"/>
      <c r="H477" s="134"/>
      <c r="I477" s="119"/>
      <c r="J477" s="119"/>
      <c r="K477" s="119"/>
      <c r="L477" s="88"/>
      <c r="M477" s="88"/>
      <c r="N477" s="88"/>
      <c r="O477" s="134"/>
      <c r="P477" s="88"/>
      <c r="Q477" s="88"/>
      <c r="R477" s="88"/>
      <c r="S477" s="88"/>
      <c r="T477" s="134"/>
      <c r="U477" s="88"/>
      <c r="V477" s="70"/>
      <c r="W477" s="88"/>
      <c r="X477" s="88"/>
      <c r="Y477" s="70"/>
      <c r="Z477" s="70"/>
      <c r="AA477" s="88"/>
      <c r="AB477" s="88"/>
      <c r="AC477" s="71"/>
      <c r="AD477" s="88"/>
      <c r="AE477" s="73"/>
      <c r="AF477" s="74"/>
      <c r="AG477" s="74"/>
      <c r="AH477" s="74" t="str">
        <f aca="false">IF(ISBLANK($C477),"",IF($E477=Constants!$B$2,TRUE(),IF($E477=Constants!$B$3,FALSE(),TRUE())))</f>
        <v/>
      </c>
      <c r="AI477" s="74" t="str">
        <f aca="false">IF(ISBLANK($C477),"",IF($F477=Constants!$B$2,TRUE(),IF($F477=Constants!$B$3,FALSE(),FALSE())))</f>
        <v/>
      </c>
      <c r="AJ477" s="74" t="str">
        <f aca="false">IF(ISBLANK($C477),"",IF($G477=Constants!$B$2,TRUE(),IF($G477=Constants!$B$3,FALSE(),TRUE())))</f>
        <v/>
      </c>
      <c r="AK477" s="74" t="str">
        <f aca="false">IF(ISBLANK($C477),"",IF($H477=Constants!$B$2,TRUE(),IF($H477=Constants!$B$3,FALSE(),TRUE())))</f>
        <v/>
      </c>
      <c r="AL477" s="74" t="str">
        <f aca="false">IF(ISBLANK($C477),"",IF(ISNUMBER($I477),IF($I477&gt;=0,$I477,""),""))</f>
        <v/>
      </c>
      <c r="AM477" s="74" t="str">
        <f aca="false">IF(ISBLANK($C477),"",IF(ISNUMBER($J477),IF($J477&gt;=0,$J477,""),""))</f>
        <v/>
      </c>
      <c r="AN477" s="74" t="str">
        <f aca="false">IF(ISBLANK($C477),"",IF(ISNUMBER($K477),IF($K477&gt;=0,$K477,""),""))</f>
        <v/>
      </c>
      <c r="AO477" s="74" t="str">
        <f aca="false">IF(ISBLANK($C477),"",IF($L477=Constants!$B$2,TRUE(),IF($L477=Constants!$B$3,FALSE(),TRUE())))</f>
        <v/>
      </c>
      <c r="AP477" s="74" t="str">
        <f aca="false">IF(ISBLANK($C477),"",IF($M477=Constants!$B$2,TRUE(),IF($M477=Constants!$B$3,FALSE(),TRUE())))</f>
        <v/>
      </c>
      <c r="AQ477" s="74" t="str">
        <f aca="false">IF(ISBLANK($C477),"",IF($N477=Constants!$B$2,TRUE(),IF($N477=Constants!$B$3,FALSE(),FALSE())))</f>
        <v/>
      </c>
      <c r="AR477" s="74" t="str">
        <f aca="false">IF(ISBLANK($C477),"",IF($O477=Constants!$B$2,TRUE(),IF($O477=Constants!$B$3,FALSE(),TRUE())))</f>
        <v/>
      </c>
      <c r="AS477" s="74" t="str">
        <f aca="false">IF(ISBLANK($C477),"",IF($P477=Constants!$B$2,TRUE(),IF($P477=Constants!$B$3,FALSE(),FALSE())))</f>
        <v/>
      </c>
      <c r="AT477" s="74" t="str">
        <f aca="false">IF(ISBLANK($C477),"",IF($Q477=Constants!$B$2,TRUE(),IF($Q477=Constants!$B$3,FALSE(),FALSE())))</f>
        <v/>
      </c>
      <c r="AU477" s="74" t="str">
        <f aca="false">IF(ISBLANK($C477),"",IF($R477=Constants!$B$2,TRUE(),IF($R477=Constants!$B$3,FALSE(),FALSE())))</f>
        <v/>
      </c>
      <c r="AV477" s="74" t="str">
        <f aca="false">IF(ISBLANK($C477),"",IF($S477=Constants!$B$2,TRUE(),IF($S477=Constants!$B$3,FALSE(),FALSE())))</f>
        <v/>
      </c>
      <c r="AW477" s="74" t="str">
        <f aca="false">IF(ISBLANK($C477),"",IF($T477=Constants!$B$2,TRUE(),IF($T477=Constants!$B$3,FALSE(),FALSE())))</f>
        <v/>
      </c>
      <c r="AX477" s="74" t="str">
        <f aca="false">IF(ISBLANK($C477),"",IF(OR($U477&amp;""="1",$U477&amp;""="2",$U477&amp;""="3",$U477&amp;""="4"),VALUE($U477&amp;""),IF($U477=Constants!$B$12,Constants!$B$12,"")))</f>
        <v/>
      </c>
      <c r="AY477" s="74" t="str">
        <f aca="false">IF(ISBLANK($C477),"",IF(ISBLANK($V477),0,IF(ISNUMBER($V477),IF(AND($V477&gt;=0,$V477&lt;=Constants!$B$21,$V477=INT($V477)),$V477,""),"")))</f>
        <v/>
      </c>
      <c r="AZ477" s="74" t="str">
        <f aca="false">IF(ISBLANK($C477),"",IF(ISBLANK($W477),0,IF(ISNUMBER($W477),IF($W477&gt;=0,$W477,""),"")))</f>
        <v/>
      </c>
      <c r="BA477" s="74" t="str">
        <f aca="false">IF(ISBLANK($C477),"",IF($X477=Constants!$B$2,TRUE(),IF($X477=Constants!$B$3,FALSE(),TRUE())))</f>
        <v/>
      </c>
      <c r="BB477" s="74" t="str">
        <f aca="false">IF(ISBLANK($C477),"",IF($Y477=Constants!$B$2,TRUE(),IF($Y477=Constants!$B$3,FALSE(),FALSE())))</f>
        <v/>
      </c>
      <c r="BC477" s="74" t="str">
        <f aca="false">IF(ISBLANK($C477),"",IF(ISBLANK($Z477),0,IF(ISNUMBER($Z477),IF(AND($Z477&gt;=0,$Z477&lt;=Constants!$B$35,$Z477=INT($Z477)),$Z477,""),"")))</f>
        <v/>
      </c>
      <c r="BD477" s="74" t="str">
        <f aca="false">IF(ISBLANK($C477),"",IF($AA477=Constants!$B$2,TRUE(),IF($AA477=Constants!$B$3,FALSE(),TRUE())))</f>
        <v/>
      </c>
      <c r="BE477" s="74" t="str">
        <f aca="false">IF(ISBLANK($C477),"",IF($AB477=Constants!$B$2,TRUE(),IF($AB477=Constants!$B$3,FALSE(),TRUE())))</f>
        <v/>
      </c>
      <c r="BF477" s="74" t="str">
        <f aca="false">IF(ISBLANK($C477),"",IF(ISNUMBER($AC477),IF($AC477&gt;=0,$AC477,""),""))</f>
        <v/>
      </c>
      <c r="BG477" s="74" t="str">
        <f aca="false">IF(ISBLANK($C477),"",IF($AD477=Constants!$B$2,TRUE(),IF($AD477=Constants!$B$3,FALSE(),FALSE())))</f>
        <v/>
      </c>
      <c r="BH477" s="73" t="str">
        <f aca="false">IF(ISBLANK($C477),"",IF($BG477,Constants!$B$7,IF(COUNTA($E477:$AC477)=0,Constants!$B$6,IF(OR(COUNTA($G477:$AC477)=0,NOT($AK477),$AQ477),Constants!$B$5,IF(OR($CI477&lt;&gt;"",$CJ477,$CK477,$CL477,$CM477,$CN477,$CO477),Constants!$B$8,Constants!$B$4)))))</f>
        <v/>
      </c>
      <c r="BI477" s="74" t="str">
        <f aca="false">IF(ISBLANK($C477),"",IF($BH477&lt;&gt;Constants!$B$4,$BH477,IF(OR(NOT($AH477),NOT($AJ477),NOT($AR477)),Constants!$B$11,IF(OR(NOT($AP477),MAX($AL477,$AM477,$AN477)&gt;Constants!$B$30),Constants!$B$10,Constants!$B$9))))</f>
        <v/>
      </c>
      <c r="BJ477" s="74" t="str">
        <f aca="false">IF($BH477&lt;&gt;Constants!$B$4,"",IF(NOT($AJ477),0,MIN(Constants!$B$35,$BC477)))</f>
        <v/>
      </c>
      <c r="BK477" s="74" t="str">
        <f aca="false">IF($BH477&lt;&gt;Constants!$B$4,"",IF(NOT($AJ477),0,IF($AT477,Constants!$B$18,IF($AS477,Constants!$B$17,0))))</f>
        <v/>
      </c>
      <c r="BL477" s="74" t="str">
        <f aca="false">IF($BH477&lt;&gt;Constants!$B$4,"",IF(NOT($AJ477),0,Constants!$B$19*($AI477+$AU477+$AV477+$AW477)))</f>
        <v/>
      </c>
      <c r="BM477" s="74" t="str">
        <f aca="false">IF($BH477&lt;&gt;Constants!$B$4,"",IF(OR(NOT($AJ477),NOT(ISNUMBER($AX477))),0,CHOOSE($AX477,Constants!$B$13,Constants!$B$14,Constants!$B$15,Constants!$B$16)))</f>
        <v/>
      </c>
      <c r="BN477" s="74" t="str">
        <f aca="false">IF($BH477&lt;&gt;Constants!$B$4,"",IF(NOT($AJ477),0,Constants!$B$20*$AY477))</f>
        <v/>
      </c>
      <c r="BO477" s="74" t="str">
        <f aca="false">IF($BH477&lt;&gt;Constants!$B$4,"",IF(AND($AJ477,$BA477,$BB477),Constants!$B$22,0))</f>
        <v/>
      </c>
      <c r="BP477" s="74" t="str">
        <f aca="false">IF($BH477&lt;&gt;Constants!$B$4,"",IF(OR(NOT($AJ477),NOT($BA477)),0,IF($BF477&gt;=2*$AF$9,0,Constants!$B$23*INT(ROUND(MIN($BF477,$AF$9),6)))))</f>
        <v/>
      </c>
      <c r="BQ477" s="74" t="str">
        <f aca="false">IF($BH477&lt;&gt;Constants!$B$4,"",IF(NOT($AJ477),0,Constants!$B$24*INT(ROUND(MIN($AZ477,$AF$9),6))))</f>
        <v/>
      </c>
      <c r="BR477" s="74" t="str">
        <f aca="false">IF($BH477&lt;&gt;Constants!$B$4,"",IF(AND($AJ477,$BJ477=0),Constants!$B$25,0))</f>
        <v/>
      </c>
      <c r="BS477" s="74" t="str">
        <f aca="false">IF($BH477&lt;&gt;Constants!$B$4,"",MIN(Constants!$B$29,MAX(0,Constants!$B$27*Constants!$B$28*INT(ROUND((Constants!$B$26-$AL477)/Constants!$B$28,6))))+MIN(Constants!$B$29,MAX(0,Constants!$B$27*Constants!$B$28*INT(ROUND((Constants!$B$26-$AM477)/Constants!$B$28,6))))+MIN(Constants!$B$29,MAX(0,Constants!$B$27*Constants!$B$28*INT(ROUND((Constants!$B$26-$AN477)/Constants!$B$28,6)))))</f>
        <v/>
      </c>
      <c r="BT477" s="74" t="str">
        <f aca="false">IF($BH477&lt;&gt;Constants!$B$4,"",IF(NOT($AJ477),0,Constants!$B$31*INT(ROUND(MAX(0,MIN($BF477,2*$AF$9)-$AF$9),6))))</f>
        <v/>
      </c>
      <c r="BU477" s="74" t="str">
        <f aca="false">IF($BH477&lt;&gt;Constants!$B$4,"",Constants!$B$32*(($AL477&gt;Constants!$B$26)+($AM477&gt;Constants!$B$26)+($AN477&gt;Constants!$B$26)))</f>
        <v/>
      </c>
      <c r="BV477" s="74" t="str">
        <f aca="false">IF($BH477&lt;&gt;Constants!$B$4,"",IF(OR(NOT($AJ477),$AO477),0,Constants!$B$33))</f>
        <v/>
      </c>
      <c r="BW477" s="74" t="str">
        <f aca="false">IF($BH477&lt;&gt;Constants!$B$4,"",Constants!$B$34*$BJ477)</f>
        <v/>
      </c>
      <c r="BX477" s="74" t="str">
        <f aca="false">IF($BH477&lt;&gt;Constants!$B$4,"",IF(OR(NOT($AJ477),$BE477),0,Constants!$B$36))</f>
        <v/>
      </c>
      <c r="BY477" s="74" t="str">
        <f aca="false">IF($BH477&lt;&gt;Constants!$B$4,"",IF(OR(NOT($AJ477),$BD477),0,Constants!$B$37))</f>
        <v/>
      </c>
      <c r="BZ477" s="74" t="str">
        <f aca="false">IF($BH477&lt;&gt;Constants!$B$4,"",SUM($BT477:$BY477))</f>
        <v/>
      </c>
      <c r="CA477" s="74" t="str">
        <f aca="false">IF(ISBLANK($C477),"",IF($BH477&lt;&gt;Constants!$B$4,$BH477,SUM($BK477:$BS477)-$BZ477))</f>
        <v/>
      </c>
      <c r="CB477" s="74" t="str">
        <f aca="false">IF(ISBLANK($C477),"",IF($BH477&lt;&gt;Constants!$B$4,$BH477,RANK($CA477,$CA$9:$CA$508)))</f>
        <v/>
      </c>
      <c r="CC477" s="74" t="str">
        <f aca="false">IF(ISBLANK($C477),"",IF($BH477&lt;&gt;Constants!$B$4,$BH477,COUNTIFS($BI$9:$BI$508,"&lt;"&amp;$BI477)+COUNTIFS($BI$9:$BI$508,$BI477,$CB$9:$CB$508,"&lt;"&amp;$CB477)+1))</f>
        <v/>
      </c>
      <c r="CD477" s="74" t="str">
        <f aca="false">IF(ISBLANK($C477),"",IF($BH477&lt;&gt;Constants!$B$4,$BH477,RANK($BZ477,$BZ$9:$BZ$508,1)))</f>
        <v/>
      </c>
      <c r="CE477" s="74" t="str">
        <f aca="false">IF($BH477&lt;&gt;Constants!$B$4,"",$AL477+$AM477+$AN477)</f>
        <v/>
      </c>
      <c r="CF477" s="74" t="str">
        <f aca="false">IF(ISBLANK($C477),"",IF($BH477&lt;&gt;Constants!$B$4,$BH477,RANK($CE477,$CE$9:$CE$508,1)))</f>
        <v/>
      </c>
      <c r="CG477" s="74" t="str">
        <f aca="false">IF(ISBLANK($C477),"",IF($BH477&lt;&gt;Constants!$B$4,$BH477,COUNTIFS($BI$9:$BI$508,"&lt;"&amp;$BI477)+COUNTIFS($BI$9:$BI$508,$BI477,$CB$9:$CB$508,"&lt;"&amp;$CB477)+COUNTIFS($BI$9:$BI$508,$BI477,$CB$9:$CB$508,$CB477,$CD$9:$CD$508,"&lt;"&amp;$CD477)+COUNTIFS($BI$9:$BI$508,$BI477,$CB$9:$CB$508,$CB477,$CD$9:$CD$508,$CD477,$CF$9:$CF$508,"&lt;"&amp;$CF477)+1))</f>
        <v/>
      </c>
      <c r="CH477" s="74" t="str">
        <f aca="false">IF(ISBLANK($C477),"",IF($BH477&lt;&gt;Constants!$B$4,$BH477,$CC477-$CG477))</f>
        <v/>
      </c>
      <c r="CI477" s="74" t="str">
        <f aca="false">IF(ISBLANK($C477),"",IF(NOT($AJ477),"",IF(ISBLANK($D$7),$CI$5,IF(NOT(ISNUMBER($D$7)),$CI$6,""))))</f>
        <v/>
      </c>
      <c r="CJ477" s="74" t="str">
        <f aca="false">IF(ISBLANK($C477),"",OR($AL477="",$AM477="",$AN477=""))</f>
        <v/>
      </c>
      <c r="CK477" s="74" t="str">
        <f aca="false">IF(ISBLANK($C477),"",AND($AJ477,$AX477=""))</f>
        <v/>
      </c>
      <c r="CL477" s="74" t="str">
        <f aca="false">IF(ISBLANK($C477),"",AND($AJ477,$AY477=""))</f>
        <v/>
      </c>
      <c r="CM477" s="74" t="str">
        <f aca="false">IF(ISBLANK($C477),"",AND($AJ477,$AZ477=""))</f>
        <v/>
      </c>
      <c r="CN477" s="74" t="str">
        <f aca="false">IF(ISBLANK($C477),"",AND($AJ477,$BC477=""))</f>
        <v/>
      </c>
      <c r="CO477" s="74" t="str">
        <f aca="false">IF(ISBLANK($C477),"",AND($AJ477,$BF477=""))</f>
        <v/>
      </c>
      <c r="CP477" s="75"/>
      <c r="CQ477" s="76"/>
      <c r="CR477" s="79" t="str">
        <f aca="false">IF(ISBLANK($C477),"",IF($BH477=Constants!$B$8,$CI477,""))</f>
        <v/>
      </c>
      <c r="CS477" s="76" t="str">
        <f aca="false">IF(ISBLANK($C477),"",IF($BH477&lt;&gt;Constants!$B$4,"",$BK477+$BL477))</f>
        <v/>
      </c>
      <c r="CT477" s="78" t="str">
        <f aca="false">IF(ISBLANK($C477),"",IF($BH477&lt;&gt;Constants!$B$4,"",$BM477+$BN477+$BO477))</f>
        <v/>
      </c>
      <c r="CU477" s="78" t="str">
        <f aca="false">IF(ISBLANK($C477),"",IF($BH477&lt;&gt;Constants!$B$4,"",$BP477))</f>
        <v/>
      </c>
      <c r="CV477" s="78" t="str">
        <f aca="false">IF(ISBLANK($C477),"",IF($BH477&lt;&gt;Constants!$B$4,"",$BQ477+$BR477))</f>
        <v/>
      </c>
      <c r="CW477" s="78" t="str">
        <f aca="false">IF(ISBLANK($C477),"",IF($BH477&lt;&gt;Constants!$B$4,"",$BS477))</f>
        <v/>
      </c>
      <c r="CX477" s="78" t="str">
        <f aca="false">IF(ISBLANK($C477),"",IF($BH477&lt;&gt;Constants!$B$4,"",-$BZ477))</f>
        <v/>
      </c>
      <c r="CY477" s="79" t="str">
        <f aca="false">IF(ISBLANK($C477),"",$CA477)</f>
        <v/>
      </c>
      <c r="CZ477" s="80" t="str">
        <f aca="false">IF(ISBLANK($C477),"",$BI477)</f>
        <v/>
      </c>
      <c r="DA477" s="78" t="str">
        <f aca="false">IF(ISBLANK($C477),"",$CH477)</f>
        <v/>
      </c>
      <c r="DB477" s="78" t="str">
        <f aca="false">IF(ISBLANK($C477),"",$CG477)</f>
        <v/>
      </c>
      <c r="DC477" s="81" t="str">
        <f aca="false">IF(ISBLANK($C477),"",IFERROR(_xlfn.SWITCH($DB477,Constants!$B$7,COUNTA($C$9:$C$508)+2,Constants!$B$6,COUNTA($C$9:$C$508)+1,Constants!$B$5,COUNTA($C$9:$C$508)),$DB477))</f>
        <v/>
      </c>
      <c r="DD477" s="7"/>
      <c r="DE477" s="82" t="n">
        <f aca="false">IF(OR(ISNUMBER($DB477),$DB477=Constants!$B$7,$DB477=Constants!$B$5,$DB477=Constants!$B$6),1,0)</f>
        <v>0</v>
      </c>
      <c r="DF477" s="82" t="n">
        <v>469</v>
      </c>
      <c r="DG477" s="82" t="str">
        <f aca="false">IF(ISBLANK($C477),"",IF(ISNUMBER($DC477),$DC477+ROW($B477)/1000,""))</f>
        <v/>
      </c>
      <c r="DH477" s="82" t="str">
        <f aca="false">IF(ISNUMBER($DG477),RANK($DG477,$DG$9:$DG$508,1),"")</f>
        <v/>
      </c>
      <c r="DI477" s="82" t="str">
        <f aca="false">IF(ISBLANK($C477),"",$B477)</f>
        <v/>
      </c>
      <c r="DJ477" s="82" t="str">
        <f aca="false">IF(ISBLANK($C477),"",$C477)</f>
        <v/>
      </c>
      <c r="DK477" s="82" t="str">
        <f aca="false">IF(ISBLANK($C477),"",$D477)</f>
        <v/>
      </c>
      <c r="DL477" s="83" t="str">
        <f aca="false">$CZ477</f>
        <v/>
      </c>
      <c r="DM477" s="84" t="str">
        <f aca="false">$CY477</f>
        <v/>
      </c>
      <c r="DN477" s="82" t="str">
        <f aca="false">IF(ISBLANK($C477),"",$DB477)</f>
        <v/>
      </c>
      <c r="DO477" s="85" t="str">
        <f aca="false">IF($DF477&gt;$DE$8,"",VLOOKUP($DF477,$DH$9:$DN$508,7,FALSE()))</f>
        <v/>
      </c>
      <c r="DP477" s="86" t="str">
        <f aca="false">IF($DF477&gt;$DE$8,"",VLOOKUP($DF477,$DH$9:$DN$508,2,FALSE()))</f>
        <v/>
      </c>
      <c r="DQ477" s="86" t="str">
        <f aca="false">IF($DF477&gt;$DE$8,"",VLOOKUP($DF477,$DH$9:$DN$508,3,FALSE()))</f>
        <v/>
      </c>
      <c r="DR477" s="86" t="str">
        <f aca="false">IF($DF477&gt;$DE$8,"",VLOOKUP($DF477,$DH$9:$DN$508,4,FALSE()))</f>
        <v/>
      </c>
      <c r="DS477" s="86" t="str">
        <f aca="false">IF($DF477&gt;$DE$8,"",VLOOKUP($DF477,$DH$9:$DN$508,5,FALSE()))</f>
        <v/>
      </c>
      <c r="DT477" s="87" t="str">
        <f aca="false">IF($DF477&gt;$DE$8,"",VLOOKUP($DF477,$DH$9:$DN$508,6,FALSE()))</f>
        <v/>
      </c>
      <c r="DU477" s="62"/>
    </row>
    <row r="478" customFormat="false" ht="15.75" hidden="false" customHeight="false" outlineLevel="0" collapsed="false">
      <c r="A478" s="7"/>
      <c r="B478" s="64"/>
      <c r="C478" s="65"/>
      <c r="D478" s="123"/>
      <c r="E478" s="88"/>
      <c r="F478" s="134"/>
      <c r="G478" s="88"/>
      <c r="H478" s="134"/>
      <c r="I478" s="119"/>
      <c r="J478" s="119"/>
      <c r="K478" s="119"/>
      <c r="L478" s="88"/>
      <c r="M478" s="88"/>
      <c r="N478" s="88"/>
      <c r="O478" s="134"/>
      <c r="P478" s="88"/>
      <c r="Q478" s="88"/>
      <c r="R478" s="88"/>
      <c r="S478" s="88"/>
      <c r="T478" s="134"/>
      <c r="U478" s="88"/>
      <c r="V478" s="70"/>
      <c r="W478" s="88"/>
      <c r="X478" s="88"/>
      <c r="Y478" s="70"/>
      <c r="Z478" s="70"/>
      <c r="AA478" s="88"/>
      <c r="AB478" s="88"/>
      <c r="AC478" s="71"/>
      <c r="AD478" s="88"/>
      <c r="AE478" s="73"/>
      <c r="AF478" s="74"/>
      <c r="AG478" s="74"/>
      <c r="AH478" s="74" t="str">
        <f aca="false">IF(ISBLANK($C478),"",IF($E478=Constants!$B$2,TRUE(),IF($E478=Constants!$B$3,FALSE(),TRUE())))</f>
        <v/>
      </c>
      <c r="AI478" s="74" t="str">
        <f aca="false">IF(ISBLANK($C478),"",IF($F478=Constants!$B$2,TRUE(),IF($F478=Constants!$B$3,FALSE(),FALSE())))</f>
        <v/>
      </c>
      <c r="AJ478" s="74" t="str">
        <f aca="false">IF(ISBLANK($C478),"",IF($G478=Constants!$B$2,TRUE(),IF($G478=Constants!$B$3,FALSE(),TRUE())))</f>
        <v/>
      </c>
      <c r="AK478" s="74" t="str">
        <f aca="false">IF(ISBLANK($C478),"",IF($H478=Constants!$B$2,TRUE(),IF($H478=Constants!$B$3,FALSE(),TRUE())))</f>
        <v/>
      </c>
      <c r="AL478" s="74" t="str">
        <f aca="false">IF(ISBLANK($C478),"",IF(ISNUMBER($I478),IF($I478&gt;=0,$I478,""),""))</f>
        <v/>
      </c>
      <c r="AM478" s="74" t="str">
        <f aca="false">IF(ISBLANK($C478),"",IF(ISNUMBER($J478),IF($J478&gt;=0,$J478,""),""))</f>
        <v/>
      </c>
      <c r="AN478" s="74" t="str">
        <f aca="false">IF(ISBLANK($C478),"",IF(ISNUMBER($K478),IF($K478&gt;=0,$K478,""),""))</f>
        <v/>
      </c>
      <c r="AO478" s="74" t="str">
        <f aca="false">IF(ISBLANK($C478),"",IF($L478=Constants!$B$2,TRUE(),IF($L478=Constants!$B$3,FALSE(),TRUE())))</f>
        <v/>
      </c>
      <c r="AP478" s="74" t="str">
        <f aca="false">IF(ISBLANK($C478),"",IF($M478=Constants!$B$2,TRUE(),IF($M478=Constants!$B$3,FALSE(),TRUE())))</f>
        <v/>
      </c>
      <c r="AQ478" s="74" t="str">
        <f aca="false">IF(ISBLANK($C478),"",IF($N478=Constants!$B$2,TRUE(),IF($N478=Constants!$B$3,FALSE(),FALSE())))</f>
        <v/>
      </c>
      <c r="AR478" s="74" t="str">
        <f aca="false">IF(ISBLANK($C478),"",IF($O478=Constants!$B$2,TRUE(),IF($O478=Constants!$B$3,FALSE(),TRUE())))</f>
        <v/>
      </c>
      <c r="AS478" s="74" t="str">
        <f aca="false">IF(ISBLANK($C478),"",IF($P478=Constants!$B$2,TRUE(),IF($P478=Constants!$B$3,FALSE(),FALSE())))</f>
        <v/>
      </c>
      <c r="AT478" s="74" t="str">
        <f aca="false">IF(ISBLANK($C478),"",IF($Q478=Constants!$B$2,TRUE(),IF($Q478=Constants!$B$3,FALSE(),FALSE())))</f>
        <v/>
      </c>
      <c r="AU478" s="74" t="str">
        <f aca="false">IF(ISBLANK($C478),"",IF($R478=Constants!$B$2,TRUE(),IF($R478=Constants!$B$3,FALSE(),FALSE())))</f>
        <v/>
      </c>
      <c r="AV478" s="74" t="str">
        <f aca="false">IF(ISBLANK($C478),"",IF($S478=Constants!$B$2,TRUE(),IF($S478=Constants!$B$3,FALSE(),FALSE())))</f>
        <v/>
      </c>
      <c r="AW478" s="74" t="str">
        <f aca="false">IF(ISBLANK($C478),"",IF($T478=Constants!$B$2,TRUE(),IF($T478=Constants!$B$3,FALSE(),FALSE())))</f>
        <v/>
      </c>
      <c r="AX478" s="74" t="str">
        <f aca="false">IF(ISBLANK($C478),"",IF(OR($U478&amp;""="1",$U478&amp;""="2",$U478&amp;""="3",$U478&amp;""="4"),VALUE($U478&amp;""),IF($U478=Constants!$B$12,Constants!$B$12,"")))</f>
        <v/>
      </c>
      <c r="AY478" s="74" t="str">
        <f aca="false">IF(ISBLANK($C478),"",IF(ISBLANK($V478),0,IF(ISNUMBER($V478),IF(AND($V478&gt;=0,$V478&lt;=Constants!$B$21,$V478=INT($V478)),$V478,""),"")))</f>
        <v/>
      </c>
      <c r="AZ478" s="74" t="str">
        <f aca="false">IF(ISBLANK($C478),"",IF(ISBLANK($W478),0,IF(ISNUMBER($W478),IF($W478&gt;=0,$W478,""),"")))</f>
        <v/>
      </c>
      <c r="BA478" s="74" t="str">
        <f aca="false">IF(ISBLANK($C478),"",IF($X478=Constants!$B$2,TRUE(),IF($X478=Constants!$B$3,FALSE(),TRUE())))</f>
        <v/>
      </c>
      <c r="BB478" s="74" t="str">
        <f aca="false">IF(ISBLANK($C478),"",IF($Y478=Constants!$B$2,TRUE(),IF($Y478=Constants!$B$3,FALSE(),FALSE())))</f>
        <v/>
      </c>
      <c r="BC478" s="74" t="str">
        <f aca="false">IF(ISBLANK($C478),"",IF(ISBLANK($Z478),0,IF(ISNUMBER($Z478),IF(AND($Z478&gt;=0,$Z478&lt;=Constants!$B$35,$Z478=INT($Z478)),$Z478,""),"")))</f>
        <v/>
      </c>
      <c r="BD478" s="74" t="str">
        <f aca="false">IF(ISBLANK($C478),"",IF($AA478=Constants!$B$2,TRUE(),IF($AA478=Constants!$B$3,FALSE(),TRUE())))</f>
        <v/>
      </c>
      <c r="BE478" s="74" t="str">
        <f aca="false">IF(ISBLANK($C478),"",IF($AB478=Constants!$B$2,TRUE(),IF($AB478=Constants!$B$3,FALSE(),TRUE())))</f>
        <v/>
      </c>
      <c r="BF478" s="74" t="str">
        <f aca="false">IF(ISBLANK($C478),"",IF(ISNUMBER($AC478),IF($AC478&gt;=0,$AC478,""),""))</f>
        <v/>
      </c>
      <c r="BG478" s="74" t="str">
        <f aca="false">IF(ISBLANK($C478),"",IF($AD478=Constants!$B$2,TRUE(),IF($AD478=Constants!$B$3,FALSE(),FALSE())))</f>
        <v/>
      </c>
      <c r="BH478" s="73" t="str">
        <f aca="false">IF(ISBLANK($C478),"",IF($BG478,Constants!$B$7,IF(COUNTA($E478:$AC478)=0,Constants!$B$6,IF(OR(COUNTA($G478:$AC478)=0,NOT($AK478),$AQ478),Constants!$B$5,IF(OR($CI478&lt;&gt;"",$CJ478,$CK478,$CL478,$CM478,$CN478,$CO478),Constants!$B$8,Constants!$B$4)))))</f>
        <v/>
      </c>
      <c r="BI478" s="74" t="str">
        <f aca="false">IF(ISBLANK($C478),"",IF($BH478&lt;&gt;Constants!$B$4,$BH478,IF(OR(NOT($AH478),NOT($AJ478),NOT($AR478)),Constants!$B$11,IF(OR(NOT($AP478),MAX($AL478,$AM478,$AN478)&gt;Constants!$B$30),Constants!$B$10,Constants!$B$9))))</f>
        <v/>
      </c>
      <c r="BJ478" s="74" t="str">
        <f aca="false">IF($BH478&lt;&gt;Constants!$B$4,"",IF(NOT($AJ478),0,MIN(Constants!$B$35,$BC478)))</f>
        <v/>
      </c>
      <c r="BK478" s="74" t="str">
        <f aca="false">IF($BH478&lt;&gt;Constants!$B$4,"",IF(NOT($AJ478),0,IF($AT478,Constants!$B$18,IF($AS478,Constants!$B$17,0))))</f>
        <v/>
      </c>
      <c r="BL478" s="74" t="str">
        <f aca="false">IF($BH478&lt;&gt;Constants!$B$4,"",IF(NOT($AJ478),0,Constants!$B$19*($AI478+$AU478+$AV478+$AW478)))</f>
        <v/>
      </c>
      <c r="BM478" s="74" t="str">
        <f aca="false">IF($BH478&lt;&gt;Constants!$B$4,"",IF(OR(NOT($AJ478),NOT(ISNUMBER($AX478))),0,CHOOSE($AX478,Constants!$B$13,Constants!$B$14,Constants!$B$15,Constants!$B$16)))</f>
        <v/>
      </c>
      <c r="BN478" s="74" t="str">
        <f aca="false">IF($BH478&lt;&gt;Constants!$B$4,"",IF(NOT($AJ478),0,Constants!$B$20*$AY478))</f>
        <v/>
      </c>
      <c r="BO478" s="74" t="str">
        <f aca="false">IF($BH478&lt;&gt;Constants!$B$4,"",IF(AND($AJ478,$BA478,$BB478),Constants!$B$22,0))</f>
        <v/>
      </c>
      <c r="BP478" s="74" t="str">
        <f aca="false">IF($BH478&lt;&gt;Constants!$B$4,"",IF(OR(NOT($AJ478),NOT($BA478)),0,IF($BF478&gt;=2*$AF$9,0,Constants!$B$23*INT(ROUND(MIN($BF478,$AF$9),6)))))</f>
        <v/>
      </c>
      <c r="BQ478" s="74" t="str">
        <f aca="false">IF($BH478&lt;&gt;Constants!$B$4,"",IF(NOT($AJ478),0,Constants!$B$24*INT(ROUND(MIN($AZ478,$AF$9),6))))</f>
        <v/>
      </c>
      <c r="BR478" s="74" t="str">
        <f aca="false">IF($BH478&lt;&gt;Constants!$B$4,"",IF(AND($AJ478,$BJ478=0),Constants!$B$25,0))</f>
        <v/>
      </c>
      <c r="BS478" s="74" t="str">
        <f aca="false">IF($BH478&lt;&gt;Constants!$B$4,"",MIN(Constants!$B$29,MAX(0,Constants!$B$27*Constants!$B$28*INT(ROUND((Constants!$B$26-$AL478)/Constants!$B$28,6))))+MIN(Constants!$B$29,MAX(0,Constants!$B$27*Constants!$B$28*INT(ROUND((Constants!$B$26-$AM478)/Constants!$B$28,6))))+MIN(Constants!$B$29,MAX(0,Constants!$B$27*Constants!$B$28*INT(ROUND((Constants!$B$26-$AN478)/Constants!$B$28,6)))))</f>
        <v/>
      </c>
      <c r="BT478" s="74" t="str">
        <f aca="false">IF($BH478&lt;&gt;Constants!$B$4,"",IF(NOT($AJ478),0,Constants!$B$31*INT(ROUND(MAX(0,MIN($BF478,2*$AF$9)-$AF$9),6))))</f>
        <v/>
      </c>
      <c r="BU478" s="74" t="str">
        <f aca="false">IF($BH478&lt;&gt;Constants!$B$4,"",Constants!$B$32*(($AL478&gt;Constants!$B$26)+($AM478&gt;Constants!$B$26)+($AN478&gt;Constants!$B$26)))</f>
        <v/>
      </c>
      <c r="BV478" s="74" t="str">
        <f aca="false">IF($BH478&lt;&gt;Constants!$B$4,"",IF(OR(NOT($AJ478),$AO478),0,Constants!$B$33))</f>
        <v/>
      </c>
      <c r="BW478" s="74" t="str">
        <f aca="false">IF($BH478&lt;&gt;Constants!$B$4,"",Constants!$B$34*$BJ478)</f>
        <v/>
      </c>
      <c r="BX478" s="74" t="str">
        <f aca="false">IF($BH478&lt;&gt;Constants!$B$4,"",IF(OR(NOT($AJ478),$BE478),0,Constants!$B$36))</f>
        <v/>
      </c>
      <c r="BY478" s="74" t="str">
        <f aca="false">IF($BH478&lt;&gt;Constants!$B$4,"",IF(OR(NOT($AJ478),$BD478),0,Constants!$B$37))</f>
        <v/>
      </c>
      <c r="BZ478" s="74" t="str">
        <f aca="false">IF($BH478&lt;&gt;Constants!$B$4,"",SUM($BT478:$BY478))</f>
        <v/>
      </c>
      <c r="CA478" s="74" t="str">
        <f aca="false">IF(ISBLANK($C478),"",IF($BH478&lt;&gt;Constants!$B$4,$BH478,SUM($BK478:$BS478)-$BZ478))</f>
        <v/>
      </c>
      <c r="CB478" s="74" t="str">
        <f aca="false">IF(ISBLANK($C478),"",IF($BH478&lt;&gt;Constants!$B$4,$BH478,RANK($CA478,$CA$9:$CA$508)))</f>
        <v/>
      </c>
      <c r="CC478" s="74" t="str">
        <f aca="false">IF(ISBLANK($C478),"",IF($BH478&lt;&gt;Constants!$B$4,$BH478,COUNTIFS($BI$9:$BI$508,"&lt;"&amp;$BI478)+COUNTIFS($BI$9:$BI$508,$BI478,$CB$9:$CB$508,"&lt;"&amp;$CB478)+1))</f>
        <v/>
      </c>
      <c r="CD478" s="74" t="str">
        <f aca="false">IF(ISBLANK($C478),"",IF($BH478&lt;&gt;Constants!$B$4,$BH478,RANK($BZ478,$BZ$9:$BZ$508,1)))</f>
        <v/>
      </c>
      <c r="CE478" s="74" t="str">
        <f aca="false">IF($BH478&lt;&gt;Constants!$B$4,"",$AL478+$AM478+$AN478)</f>
        <v/>
      </c>
      <c r="CF478" s="74" t="str">
        <f aca="false">IF(ISBLANK($C478),"",IF($BH478&lt;&gt;Constants!$B$4,$BH478,RANK($CE478,$CE$9:$CE$508,1)))</f>
        <v/>
      </c>
      <c r="CG478" s="74" t="str">
        <f aca="false">IF(ISBLANK($C478),"",IF($BH478&lt;&gt;Constants!$B$4,$BH478,COUNTIFS($BI$9:$BI$508,"&lt;"&amp;$BI478)+COUNTIFS($BI$9:$BI$508,$BI478,$CB$9:$CB$508,"&lt;"&amp;$CB478)+COUNTIFS($BI$9:$BI$508,$BI478,$CB$9:$CB$508,$CB478,$CD$9:$CD$508,"&lt;"&amp;$CD478)+COUNTIFS($BI$9:$BI$508,$BI478,$CB$9:$CB$508,$CB478,$CD$9:$CD$508,$CD478,$CF$9:$CF$508,"&lt;"&amp;$CF478)+1))</f>
        <v/>
      </c>
      <c r="CH478" s="74" t="str">
        <f aca="false">IF(ISBLANK($C478),"",IF($BH478&lt;&gt;Constants!$B$4,$BH478,$CC478-$CG478))</f>
        <v/>
      </c>
      <c r="CI478" s="74" t="str">
        <f aca="false">IF(ISBLANK($C478),"",IF(NOT($AJ478),"",IF(ISBLANK($D$7),$CI$5,IF(NOT(ISNUMBER($D$7)),$CI$6,""))))</f>
        <v/>
      </c>
      <c r="CJ478" s="74" t="str">
        <f aca="false">IF(ISBLANK($C478),"",OR($AL478="",$AM478="",$AN478=""))</f>
        <v/>
      </c>
      <c r="CK478" s="74" t="str">
        <f aca="false">IF(ISBLANK($C478),"",AND($AJ478,$AX478=""))</f>
        <v/>
      </c>
      <c r="CL478" s="74" t="str">
        <f aca="false">IF(ISBLANK($C478),"",AND($AJ478,$AY478=""))</f>
        <v/>
      </c>
      <c r="CM478" s="74" t="str">
        <f aca="false">IF(ISBLANK($C478),"",AND($AJ478,$AZ478=""))</f>
        <v/>
      </c>
      <c r="CN478" s="74" t="str">
        <f aca="false">IF(ISBLANK($C478),"",AND($AJ478,$BC478=""))</f>
        <v/>
      </c>
      <c r="CO478" s="74" t="str">
        <f aca="false">IF(ISBLANK($C478),"",AND($AJ478,$BF478=""))</f>
        <v/>
      </c>
      <c r="CP478" s="75"/>
      <c r="CQ478" s="76"/>
      <c r="CR478" s="79" t="str">
        <f aca="false">IF(ISBLANK($C478),"",IF($BH478=Constants!$B$8,$CI478,""))</f>
        <v/>
      </c>
      <c r="CS478" s="76" t="str">
        <f aca="false">IF(ISBLANK($C478),"",IF($BH478&lt;&gt;Constants!$B$4,"",$BK478+$BL478))</f>
        <v/>
      </c>
      <c r="CT478" s="78" t="str">
        <f aca="false">IF(ISBLANK($C478),"",IF($BH478&lt;&gt;Constants!$B$4,"",$BM478+$BN478+$BO478))</f>
        <v/>
      </c>
      <c r="CU478" s="78" t="str">
        <f aca="false">IF(ISBLANK($C478),"",IF($BH478&lt;&gt;Constants!$B$4,"",$BP478))</f>
        <v/>
      </c>
      <c r="CV478" s="78" t="str">
        <f aca="false">IF(ISBLANK($C478),"",IF($BH478&lt;&gt;Constants!$B$4,"",$BQ478+$BR478))</f>
        <v/>
      </c>
      <c r="CW478" s="78" t="str">
        <f aca="false">IF(ISBLANK($C478),"",IF($BH478&lt;&gt;Constants!$B$4,"",$BS478))</f>
        <v/>
      </c>
      <c r="CX478" s="78" t="str">
        <f aca="false">IF(ISBLANK($C478),"",IF($BH478&lt;&gt;Constants!$B$4,"",-$BZ478))</f>
        <v/>
      </c>
      <c r="CY478" s="79" t="str">
        <f aca="false">IF(ISBLANK($C478),"",$CA478)</f>
        <v/>
      </c>
      <c r="CZ478" s="80" t="str">
        <f aca="false">IF(ISBLANK($C478),"",$BI478)</f>
        <v/>
      </c>
      <c r="DA478" s="78" t="str">
        <f aca="false">IF(ISBLANK($C478),"",$CH478)</f>
        <v/>
      </c>
      <c r="DB478" s="78" t="str">
        <f aca="false">IF(ISBLANK($C478),"",$CG478)</f>
        <v/>
      </c>
      <c r="DC478" s="81" t="str">
        <f aca="false">IF(ISBLANK($C478),"",IFERROR(_xlfn.SWITCH($DB478,Constants!$B$7,COUNTA($C$9:$C$508)+2,Constants!$B$6,COUNTA($C$9:$C$508)+1,Constants!$B$5,COUNTA($C$9:$C$508)),$DB478))</f>
        <v/>
      </c>
      <c r="DD478" s="7"/>
      <c r="DE478" s="82" t="n">
        <f aca="false">IF(OR(ISNUMBER($DB478),$DB478=Constants!$B$7,$DB478=Constants!$B$5,$DB478=Constants!$B$6),1,0)</f>
        <v>0</v>
      </c>
      <c r="DF478" s="82" t="n">
        <v>470</v>
      </c>
      <c r="DG478" s="82" t="str">
        <f aca="false">IF(ISBLANK($C478),"",IF(ISNUMBER($DC478),$DC478+ROW($B478)/1000,""))</f>
        <v/>
      </c>
      <c r="DH478" s="82" t="str">
        <f aca="false">IF(ISNUMBER($DG478),RANK($DG478,$DG$9:$DG$508,1),"")</f>
        <v/>
      </c>
      <c r="DI478" s="82" t="str">
        <f aca="false">IF(ISBLANK($C478),"",$B478)</f>
        <v/>
      </c>
      <c r="DJ478" s="82" t="str">
        <f aca="false">IF(ISBLANK($C478),"",$C478)</f>
        <v/>
      </c>
      <c r="DK478" s="82" t="str">
        <f aca="false">IF(ISBLANK($C478),"",$D478)</f>
        <v/>
      </c>
      <c r="DL478" s="83" t="str">
        <f aca="false">$CZ478</f>
        <v/>
      </c>
      <c r="DM478" s="84" t="str">
        <f aca="false">$CY478</f>
        <v/>
      </c>
      <c r="DN478" s="82" t="str">
        <f aca="false">IF(ISBLANK($C478),"",$DB478)</f>
        <v/>
      </c>
      <c r="DO478" s="85" t="str">
        <f aca="false">IF($DF478&gt;$DE$8,"",VLOOKUP($DF478,$DH$9:$DN$508,7,FALSE()))</f>
        <v/>
      </c>
      <c r="DP478" s="86" t="str">
        <f aca="false">IF($DF478&gt;$DE$8,"",VLOOKUP($DF478,$DH$9:$DN$508,2,FALSE()))</f>
        <v/>
      </c>
      <c r="DQ478" s="86" t="str">
        <f aca="false">IF($DF478&gt;$DE$8,"",VLOOKUP($DF478,$DH$9:$DN$508,3,FALSE()))</f>
        <v/>
      </c>
      <c r="DR478" s="86" t="str">
        <f aca="false">IF($DF478&gt;$DE$8,"",VLOOKUP($DF478,$DH$9:$DN$508,4,FALSE()))</f>
        <v/>
      </c>
      <c r="DS478" s="86" t="str">
        <f aca="false">IF($DF478&gt;$DE$8,"",VLOOKUP($DF478,$DH$9:$DN$508,5,FALSE()))</f>
        <v/>
      </c>
      <c r="DT478" s="87" t="str">
        <f aca="false">IF($DF478&gt;$DE$8,"",VLOOKUP($DF478,$DH$9:$DN$508,6,FALSE()))</f>
        <v/>
      </c>
      <c r="DU478" s="62"/>
    </row>
    <row r="479" customFormat="false" ht="15.75" hidden="false" customHeight="false" outlineLevel="0" collapsed="false">
      <c r="A479" s="7"/>
      <c r="B479" s="64"/>
      <c r="C479" s="65"/>
      <c r="D479" s="123"/>
      <c r="E479" s="88"/>
      <c r="F479" s="134"/>
      <c r="G479" s="88"/>
      <c r="H479" s="134"/>
      <c r="I479" s="119"/>
      <c r="J479" s="119"/>
      <c r="K479" s="119"/>
      <c r="L479" s="88"/>
      <c r="M479" s="88"/>
      <c r="N479" s="88"/>
      <c r="O479" s="134"/>
      <c r="P479" s="88"/>
      <c r="Q479" s="88"/>
      <c r="R479" s="88"/>
      <c r="S479" s="88"/>
      <c r="T479" s="134"/>
      <c r="U479" s="88"/>
      <c r="V479" s="70"/>
      <c r="W479" s="88"/>
      <c r="X479" s="88"/>
      <c r="Y479" s="70"/>
      <c r="Z479" s="70"/>
      <c r="AA479" s="88"/>
      <c r="AB479" s="88"/>
      <c r="AC479" s="71"/>
      <c r="AD479" s="88"/>
      <c r="AE479" s="73"/>
      <c r="AF479" s="74"/>
      <c r="AG479" s="74"/>
      <c r="AH479" s="74" t="str">
        <f aca="false">IF(ISBLANK($C479),"",IF($E479=Constants!$B$2,TRUE(),IF($E479=Constants!$B$3,FALSE(),TRUE())))</f>
        <v/>
      </c>
      <c r="AI479" s="74" t="str">
        <f aca="false">IF(ISBLANK($C479),"",IF($F479=Constants!$B$2,TRUE(),IF($F479=Constants!$B$3,FALSE(),FALSE())))</f>
        <v/>
      </c>
      <c r="AJ479" s="74" t="str">
        <f aca="false">IF(ISBLANK($C479),"",IF($G479=Constants!$B$2,TRUE(),IF($G479=Constants!$B$3,FALSE(),TRUE())))</f>
        <v/>
      </c>
      <c r="AK479" s="74" t="str">
        <f aca="false">IF(ISBLANK($C479),"",IF($H479=Constants!$B$2,TRUE(),IF($H479=Constants!$B$3,FALSE(),TRUE())))</f>
        <v/>
      </c>
      <c r="AL479" s="74" t="str">
        <f aca="false">IF(ISBLANK($C479),"",IF(ISNUMBER($I479),IF($I479&gt;=0,$I479,""),""))</f>
        <v/>
      </c>
      <c r="AM479" s="74" t="str">
        <f aca="false">IF(ISBLANK($C479),"",IF(ISNUMBER($J479),IF($J479&gt;=0,$J479,""),""))</f>
        <v/>
      </c>
      <c r="AN479" s="74" t="str">
        <f aca="false">IF(ISBLANK($C479),"",IF(ISNUMBER($K479),IF($K479&gt;=0,$K479,""),""))</f>
        <v/>
      </c>
      <c r="AO479" s="74" t="str">
        <f aca="false">IF(ISBLANK($C479),"",IF($L479=Constants!$B$2,TRUE(),IF($L479=Constants!$B$3,FALSE(),TRUE())))</f>
        <v/>
      </c>
      <c r="AP479" s="74" t="str">
        <f aca="false">IF(ISBLANK($C479),"",IF($M479=Constants!$B$2,TRUE(),IF($M479=Constants!$B$3,FALSE(),TRUE())))</f>
        <v/>
      </c>
      <c r="AQ479" s="74" t="str">
        <f aca="false">IF(ISBLANK($C479),"",IF($N479=Constants!$B$2,TRUE(),IF($N479=Constants!$B$3,FALSE(),FALSE())))</f>
        <v/>
      </c>
      <c r="AR479" s="74" t="str">
        <f aca="false">IF(ISBLANK($C479),"",IF($O479=Constants!$B$2,TRUE(),IF($O479=Constants!$B$3,FALSE(),TRUE())))</f>
        <v/>
      </c>
      <c r="AS479" s="74" t="str">
        <f aca="false">IF(ISBLANK($C479),"",IF($P479=Constants!$B$2,TRUE(),IF($P479=Constants!$B$3,FALSE(),FALSE())))</f>
        <v/>
      </c>
      <c r="AT479" s="74" t="str">
        <f aca="false">IF(ISBLANK($C479),"",IF($Q479=Constants!$B$2,TRUE(),IF($Q479=Constants!$B$3,FALSE(),FALSE())))</f>
        <v/>
      </c>
      <c r="AU479" s="74" t="str">
        <f aca="false">IF(ISBLANK($C479),"",IF($R479=Constants!$B$2,TRUE(),IF($R479=Constants!$B$3,FALSE(),FALSE())))</f>
        <v/>
      </c>
      <c r="AV479" s="74" t="str">
        <f aca="false">IF(ISBLANK($C479),"",IF($S479=Constants!$B$2,TRUE(),IF($S479=Constants!$B$3,FALSE(),FALSE())))</f>
        <v/>
      </c>
      <c r="AW479" s="74" t="str">
        <f aca="false">IF(ISBLANK($C479),"",IF($T479=Constants!$B$2,TRUE(),IF($T479=Constants!$B$3,FALSE(),FALSE())))</f>
        <v/>
      </c>
      <c r="AX479" s="74" t="str">
        <f aca="false">IF(ISBLANK($C479),"",IF(OR($U479&amp;""="1",$U479&amp;""="2",$U479&amp;""="3",$U479&amp;""="4"),VALUE($U479&amp;""),IF($U479=Constants!$B$12,Constants!$B$12,"")))</f>
        <v/>
      </c>
      <c r="AY479" s="74" t="str">
        <f aca="false">IF(ISBLANK($C479),"",IF(ISBLANK($V479),0,IF(ISNUMBER($V479),IF(AND($V479&gt;=0,$V479&lt;=Constants!$B$21,$V479=INT($V479)),$V479,""),"")))</f>
        <v/>
      </c>
      <c r="AZ479" s="74" t="str">
        <f aca="false">IF(ISBLANK($C479),"",IF(ISBLANK($W479),0,IF(ISNUMBER($W479),IF($W479&gt;=0,$W479,""),"")))</f>
        <v/>
      </c>
      <c r="BA479" s="74" t="str">
        <f aca="false">IF(ISBLANK($C479),"",IF($X479=Constants!$B$2,TRUE(),IF($X479=Constants!$B$3,FALSE(),TRUE())))</f>
        <v/>
      </c>
      <c r="BB479" s="74" t="str">
        <f aca="false">IF(ISBLANK($C479),"",IF($Y479=Constants!$B$2,TRUE(),IF($Y479=Constants!$B$3,FALSE(),FALSE())))</f>
        <v/>
      </c>
      <c r="BC479" s="74" t="str">
        <f aca="false">IF(ISBLANK($C479),"",IF(ISBLANK($Z479),0,IF(ISNUMBER($Z479),IF(AND($Z479&gt;=0,$Z479&lt;=Constants!$B$35,$Z479=INT($Z479)),$Z479,""),"")))</f>
        <v/>
      </c>
      <c r="BD479" s="74" t="str">
        <f aca="false">IF(ISBLANK($C479),"",IF($AA479=Constants!$B$2,TRUE(),IF($AA479=Constants!$B$3,FALSE(),TRUE())))</f>
        <v/>
      </c>
      <c r="BE479" s="74" t="str">
        <f aca="false">IF(ISBLANK($C479),"",IF($AB479=Constants!$B$2,TRUE(),IF($AB479=Constants!$B$3,FALSE(),TRUE())))</f>
        <v/>
      </c>
      <c r="BF479" s="74" t="str">
        <f aca="false">IF(ISBLANK($C479),"",IF(ISNUMBER($AC479),IF($AC479&gt;=0,$AC479,""),""))</f>
        <v/>
      </c>
      <c r="BG479" s="74" t="str">
        <f aca="false">IF(ISBLANK($C479),"",IF($AD479=Constants!$B$2,TRUE(),IF($AD479=Constants!$B$3,FALSE(),FALSE())))</f>
        <v/>
      </c>
      <c r="BH479" s="73" t="str">
        <f aca="false">IF(ISBLANK($C479),"",IF($BG479,Constants!$B$7,IF(COUNTA($E479:$AC479)=0,Constants!$B$6,IF(OR(COUNTA($G479:$AC479)=0,NOT($AK479),$AQ479),Constants!$B$5,IF(OR($CI479&lt;&gt;"",$CJ479,$CK479,$CL479,$CM479,$CN479,$CO479),Constants!$B$8,Constants!$B$4)))))</f>
        <v/>
      </c>
      <c r="BI479" s="74" t="str">
        <f aca="false">IF(ISBLANK($C479),"",IF($BH479&lt;&gt;Constants!$B$4,$BH479,IF(OR(NOT($AH479),NOT($AJ479),NOT($AR479)),Constants!$B$11,IF(OR(NOT($AP479),MAX($AL479,$AM479,$AN479)&gt;Constants!$B$30),Constants!$B$10,Constants!$B$9))))</f>
        <v/>
      </c>
      <c r="BJ479" s="74" t="str">
        <f aca="false">IF($BH479&lt;&gt;Constants!$B$4,"",IF(NOT($AJ479),0,MIN(Constants!$B$35,$BC479)))</f>
        <v/>
      </c>
      <c r="BK479" s="74" t="str">
        <f aca="false">IF($BH479&lt;&gt;Constants!$B$4,"",IF(NOT($AJ479),0,IF($AT479,Constants!$B$18,IF($AS479,Constants!$B$17,0))))</f>
        <v/>
      </c>
      <c r="BL479" s="74" t="str">
        <f aca="false">IF($BH479&lt;&gt;Constants!$B$4,"",IF(NOT($AJ479),0,Constants!$B$19*($AI479+$AU479+$AV479+$AW479)))</f>
        <v/>
      </c>
      <c r="BM479" s="74" t="str">
        <f aca="false">IF($BH479&lt;&gt;Constants!$B$4,"",IF(OR(NOT($AJ479),NOT(ISNUMBER($AX479))),0,CHOOSE($AX479,Constants!$B$13,Constants!$B$14,Constants!$B$15,Constants!$B$16)))</f>
        <v/>
      </c>
      <c r="BN479" s="74" t="str">
        <f aca="false">IF($BH479&lt;&gt;Constants!$B$4,"",IF(NOT($AJ479),0,Constants!$B$20*$AY479))</f>
        <v/>
      </c>
      <c r="BO479" s="74" t="str">
        <f aca="false">IF($BH479&lt;&gt;Constants!$B$4,"",IF(AND($AJ479,$BA479,$BB479),Constants!$B$22,0))</f>
        <v/>
      </c>
      <c r="BP479" s="74" t="str">
        <f aca="false">IF($BH479&lt;&gt;Constants!$B$4,"",IF(OR(NOT($AJ479),NOT($BA479)),0,IF($BF479&gt;=2*$AF$9,0,Constants!$B$23*INT(ROUND(MIN($BF479,$AF$9),6)))))</f>
        <v/>
      </c>
      <c r="BQ479" s="74" t="str">
        <f aca="false">IF($BH479&lt;&gt;Constants!$B$4,"",IF(NOT($AJ479),0,Constants!$B$24*INT(ROUND(MIN($AZ479,$AF$9),6))))</f>
        <v/>
      </c>
      <c r="BR479" s="74" t="str">
        <f aca="false">IF($BH479&lt;&gt;Constants!$B$4,"",IF(AND($AJ479,$BJ479=0),Constants!$B$25,0))</f>
        <v/>
      </c>
      <c r="BS479" s="74" t="str">
        <f aca="false">IF($BH479&lt;&gt;Constants!$B$4,"",MIN(Constants!$B$29,MAX(0,Constants!$B$27*Constants!$B$28*INT(ROUND((Constants!$B$26-$AL479)/Constants!$B$28,6))))+MIN(Constants!$B$29,MAX(0,Constants!$B$27*Constants!$B$28*INT(ROUND((Constants!$B$26-$AM479)/Constants!$B$28,6))))+MIN(Constants!$B$29,MAX(0,Constants!$B$27*Constants!$B$28*INT(ROUND((Constants!$B$26-$AN479)/Constants!$B$28,6)))))</f>
        <v/>
      </c>
      <c r="BT479" s="74" t="str">
        <f aca="false">IF($BH479&lt;&gt;Constants!$B$4,"",IF(NOT($AJ479),0,Constants!$B$31*INT(ROUND(MAX(0,MIN($BF479,2*$AF$9)-$AF$9),6))))</f>
        <v/>
      </c>
      <c r="BU479" s="74" t="str">
        <f aca="false">IF($BH479&lt;&gt;Constants!$B$4,"",Constants!$B$32*(($AL479&gt;Constants!$B$26)+($AM479&gt;Constants!$B$26)+($AN479&gt;Constants!$B$26)))</f>
        <v/>
      </c>
      <c r="BV479" s="74" t="str">
        <f aca="false">IF($BH479&lt;&gt;Constants!$B$4,"",IF(OR(NOT($AJ479),$AO479),0,Constants!$B$33))</f>
        <v/>
      </c>
      <c r="BW479" s="74" t="str">
        <f aca="false">IF($BH479&lt;&gt;Constants!$B$4,"",Constants!$B$34*$BJ479)</f>
        <v/>
      </c>
      <c r="BX479" s="74" t="str">
        <f aca="false">IF($BH479&lt;&gt;Constants!$B$4,"",IF(OR(NOT($AJ479),$BE479),0,Constants!$B$36))</f>
        <v/>
      </c>
      <c r="BY479" s="74" t="str">
        <f aca="false">IF($BH479&lt;&gt;Constants!$B$4,"",IF(OR(NOT($AJ479),$BD479),0,Constants!$B$37))</f>
        <v/>
      </c>
      <c r="BZ479" s="74" t="str">
        <f aca="false">IF($BH479&lt;&gt;Constants!$B$4,"",SUM($BT479:$BY479))</f>
        <v/>
      </c>
      <c r="CA479" s="74" t="str">
        <f aca="false">IF(ISBLANK($C479),"",IF($BH479&lt;&gt;Constants!$B$4,$BH479,SUM($BK479:$BS479)-$BZ479))</f>
        <v/>
      </c>
      <c r="CB479" s="74" t="str">
        <f aca="false">IF(ISBLANK($C479),"",IF($BH479&lt;&gt;Constants!$B$4,$BH479,RANK($CA479,$CA$9:$CA$508)))</f>
        <v/>
      </c>
      <c r="CC479" s="74" t="str">
        <f aca="false">IF(ISBLANK($C479),"",IF($BH479&lt;&gt;Constants!$B$4,$BH479,COUNTIFS($BI$9:$BI$508,"&lt;"&amp;$BI479)+COUNTIFS($BI$9:$BI$508,$BI479,$CB$9:$CB$508,"&lt;"&amp;$CB479)+1))</f>
        <v/>
      </c>
      <c r="CD479" s="74" t="str">
        <f aca="false">IF(ISBLANK($C479),"",IF($BH479&lt;&gt;Constants!$B$4,$BH479,RANK($BZ479,$BZ$9:$BZ$508,1)))</f>
        <v/>
      </c>
      <c r="CE479" s="74" t="str">
        <f aca="false">IF($BH479&lt;&gt;Constants!$B$4,"",$AL479+$AM479+$AN479)</f>
        <v/>
      </c>
      <c r="CF479" s="74" t="str">
        <f aca="false">IF(ISBLANK($C479),"",IF($BH479&lt;&gt;Constants!$B$4,$BH479,RANK($CE479,$CE$9:$CE$508,1)))</f>
        <v/>
      </c>
      <c r="CG479" s="74" t="str">
        <f aca="false">IF(ISBLANK($C479),"",IF($BH479&lt;&gt;Constants!$B$4,$BH479,COUNTIFS($BI$9:$BI$508,"&lt;"&amp;$BI479)+COUNTIFS($BI$9:$BI$508,$BI479,$CB$9:$CB$508,"&lt;"&amp;$CB479)+COUNTIFS($BI$9:$BI$508,$BI479,$CB$9:$CB$508,$CB479,$CD$9:$CD$508,"&lt;"&amp;$CD479)+COUNTIFS($BI$9:$BI$508,$BI479,$CB$9:$CB$508,$CB479,$CD$9:$CD$508,$CD479,$CF$9:$CF$508,"&lt;"&amp;$CF479)+1))</f>
        <v/>
      </c>
      <c r="CH479" s="74" t="str">
        <f aca="false">IF(ISBLANK($C479),"",IF($BH479&lt;&gt;Constants!$B$4,$BH479,$CC479-$CG479))</f>
        <v/>
      </c>
      <c r="CI479" s="74" t="str">
        <f aca="false">IF(ISBLANK($C479),"",IF(NOT($AJ479),"",IF(ISBLANK($D$7),$CI$5,IF(NOT(ISNUMBER($D$7)),$CI$6,""))))</f>
        <v/>
      </c>
      <c r="CJ479" s="74" t="str">
        <f aca="false">IF(ISBLANK($C479),"",OR($AL479="",$AM479="",$AN479=""))</f>
        <v/>
      </c>
      <c r="CK479" s="74" t="str">
        <f aca="false">IF(ISBLANK($C479),"",AND($AJ479,$AX479=""))</f>
        <v/>
      </c>
      <c r="CL479" s="74" t="str">
        <f aca="false">IF(ISBLANK($C479),"",AND($AJ479,$AY479=""))</f>
        <v/>
      </c>
      <c r="CM479" s="74" t="str">
        <f aca="false">IF(ISBLANK($C479),"",AND($AJ479,$AZ479=""))</f>
        <v/>
      </c>
      <c r="CN479" s="74" t="str">
        <f aca="false">IF(ISBLANK($C479),"",AND($AJ479,$BC479=""))</f>
        <v/>
      </c>
      <c r="CO479" s="74" t="str">
        <f aca="false">IF(ISBLANK($C479),"",AND($AJ479,$BF479=""))</f>
        <v/>
      </c>
      <c r="CP479" s="75"/>
      <c r="CQ479" s="76"/>
      <c r="CR479" s="79" t="str">
        <f aca="false">IF(ISBLANK($C479),"",IF($BH479=Constants!$B$8,$CI479,""))</f>
        <v/>
      </c>
      <c r="CS479" s="76" t="str">
        <f aca="false">IF(ISBLANK($C479),"",IF($BH479&lt;&gt;Constants!$B$4,"",$BK479+$BL479))</f>
        <v/>
      </c>
      <c r="CT479" s="78" t="str">
        <f aca="false">IF(ISBLANK($C479),"",IF($BH479&lt;&gt;Constants!$B$4,"",$BM479+$BN479+$BO479))</f>
        <v/>
      </c>
      <c r="CU479" s="78" t="str">
        <f aca="false">IF(ISBLANK($C479),"",IF($BH479&lt;&gt;Constants!$B$4,"",$BP479))</f>
        <v/>
      </c>
      <c r="CV479" s="78" t="str">
        <f aca="false">IF(ISBLANK($C479),"",IF($BH479&lt;&gt;Constants!$B$4,"",$BQ479+$BR479))</f>
        <v/>
      </c>
      <c r="CW479" s="78" t="str">
        <f aca="false">IF(ISBLANK($C479),"",IF($BH479&lt;&gt;Constants!$B$4,"",$BS479))</f>
        <v/>
      </c>
      <c r="CX479" s="78" t="str">
        <f aca="false">IF(ISBLANK($C479),"",IF($BH479&lt;&gt;Constants!$B$4,"",-$BZ479))</f>
        <v/>
      </c>
      <c r="CY479" s="79" t="str">
        <f aca="false">IF(ISBLANK($C479),"",$CA479)</f>
        <v/>
      </c>
      <c r="CZ479" s="80" t="str">
        <f aca="false">IF(ISBLANK($C479),"",$BI479)</f>
        <v/>
      </c>
      <c r="DA479" s="78" t="str">
        <f aca="false">IF(ISBLANK($C479),"",$CH479)</f>
        <v/>
      </c>
      <c r="DB479" s="78" t="str">
        <f aca="false">IF(ISBLANK($C479),"",$CG479)</f>
        <v/>
      </c>
      <c r="DC479" s="81" t="str">
        <f aca="false">IF(ISBLANK($C479),"",IFERROR(_xlfn.SWITCH($DB479,Constants!$B$7,COUNTA($C$9:$C$508)+2,Constants!$B$6,COUNTA($C$9:$C$508)+1,Constants!$B$5,COUNTA($C$9:$C$508)),$DB479))</f>
        <v/>
      </c>
      <c r="DD479" s="7"/>
      <c r="DE479" s="82" t="n">
        <f aca="false">IF(OR(ISNUMBER($DB479),$DB479=Constants!$B$7,$DB479=Constants!$B$5,$DB479=Constants!$B$6),1,0)</f>
        <v>0</v>
      </c>
      <c r="DF479" s="82" t="n">
        <v>471</v>
      </c>
      <c r="DG479" s="82" t="str">
        <f aca="false">IF(ISBLANK($C479),"",IF(ISNUMBER($DC479),$DC479+ROW($B479)/1000,""))</f>
        <v/>
      </c>
      <c r="DH479" s="82" t="str">
        <f aca="false">IF(ISNUMBER($DG479),RANK($DG479,$DG$9:$DG$508,1),"")</f>
        <v/>
      </c>
      <c r="DI479" s="82" t="str">
        <f aca="false">IF(ISBLANK($C479),"",$B479)</f>
        <v/>
      </c>
      <c r="DJ479" s="82" t="str">
        <f aca="false">IF(ISBLANK($C479),"",$C479)</f>
        <v/>
      </c>
      <c r="DK479" s="82" t="str">
        <f aca="false">IF(ISBLANK($C479),"",$D479)</f>
        <v/>
      </c>
      <c r="DL479" s="83" t="str">
        <f aca="false">$CZ479</f>
        <v/>
      </c>
      <c r="DM479" s="84" t="str">
        <f aca="false">$CY479</f>
        <v/>
      </c>
      <c r="DN479" s="82" t="str">
        <f aca="false">IF(ISBLANK($C479),"",$DB479)</f>
        <v/>
      </c>
      <c r="DO479" s="85" t="str">
        <f aca="false">IF($DF479&gt;$DE$8,"",VLOOKUP($DF479,$DH$9:$DN$508,7,FALSE()))</f>
        <v/>
      </c>
      <c r="DP479" s="86" t="str">
        <f aca="false">IF($DF479&gt;$DE$8,"",VLOOKUP($DF479,$DH$9:$DN$508,2,FALSE()))</f>
        <v/>
      </c>
      <c r="DQ479" s="86" t="str">
        <f aca="false">IF($DF479&gt;$DE$8,"",VLOOKUP($DF479,$DH$9:$DN$508,3,FALSE()))</f>
        <v/>
      </c>
      <c r="DR479" s="86" t="str">
        <f aca="false">IF($DF479&gt;$DE$8,"",VLOOKUP($DF479,$DH$9:$DN$508,4,FALSE()))</f>
        <v/>
      </c>
      <c r="DS479" s="86" t="str">
        <f aca="false">IF($DF479&gt;$DE$8,"",VLOOKUP($DF479,$DH$9:$DN$508,5,FALSE()))</f>
        <v/>
      </c>
      <c r="DT479" s="87" t="str">
        <f aca="false">IF($DF479&gt;$DE$8,"",VLOOKUP($DF479,$DH$9:$DN$508,6,FALSE()))</f>
        <v/>
      </c>
      <c r="DU479" s="62"/>
    </row>
    <row r="480" customFormat="false" ht="15.75" hidden="false" customHeight="false" outlineLevel="0" collapsed="false">
      <c r="A480" s="7"/>
      <c r="B480" s="90"/>
      <c r="C480" s="91"/>
      <c r="D480" s="126"/>
      <c r="E480" s="130"/>
      <c r="F480" s="135"/>
      <c r="G480" s="130"/>
      <c r="H480" s="135"/>
      <c r="I480" s="131"/>
      <c r="J480" s="131"/>
      <c r="K480" s="131"/>
      <c r="L480" s="130"/>
      <c r="M480" s="130"/>
      <c r="N480" s="130"/>
      <c r="O480" s="135"/>
      <c r="P480" s="130"/>
      <c r="Q480" s="130"/>
      <c r="R480" s="130"/>
      <c r="S480" s="130"/>
      <c r="T480" s="135"/>
      <c r="U480" s="130"/>
      <c r="V480" s="96"/>
      <c r="W480" s="130"/>
      <c r="X480" s="130"/>
      <c r="Y480" s="96"/>
      <c r="Z480" s="96"/>
      <c r="AA480" s="130"/>
      <c r="AB480" s="130"/>
      <c r="AC480" s="97"/>
      <c r="AD480" s="130"/>
      <c r="AE480" s="99"/>
      <c r="AF480" s="100"/>
      <c r="AG480" s="100"/>
      <c r="AH480" s="100" t="str">
        <f aca="false">IF(ISBLANK($C480),"",IF($E480=Constants!$B$2,TRUE(),IF($E480=Constants!$B$3,FALSE(),TRUE())))</f>
        <v/>
      </c>
      <c r="AI480" s="100" t="str">
        <f aca="false">IF(ISBLANK($C480),"",IF($F480=Constants!$B$2,TRUE(),IF($F480=Constants!$B$3,FALSE(),FALSE())))</f>
        <v/>
      </c>
      <c r="AJ480" s="100" t="str">
        <f aca="false">IF(ISBLANK($C480),"",IF($G480=Constants!$B$2,TRUE(),IF($G480=Constants!$B$3,FALSE(),TRUE())))</f>
        <v/>
      </c>
      <c r="AK480" s="100" t="str">
        <f aca="false">IF(ISBLANK($C480),"",IF($H480=Constants!$B$2,TRUE(),IF($H480=Constants!$B$3,FALSE(),TRUE())))</f>
        <v/>
      </c>
      <c r="AL480" s="100" t="str">
        <f aca="false">IF(ISBLANK($C480),"",IF(ISNUMBER($I480),IF($I480&gt;=0,$I480,""),""))</f>
        <v/>
      </c>
      <c r="AM480" s="100" t="str">
        <f aca="false">IF(ISBLANK($C480),"",IF(ISNUMBER($J480),IF($J480&gt;=0,$J480,""),""))</f>
        <v/>
      </c>
      <c r="AN480" s="100" t="str">
        <f aca="false">IF(ISBLANK($C480),"",IF(ISNUMBER($K480),IF($K480&gt;=0,$K480,""),""))</f>
        <v/>
      </c>
      <c r="AO480" s="100" t="str">
        <f aca="false">IF(ISBLANK($C480),"",IF($L480=Constants!$B$2,TRUE(),IF($L480=Constants!$B$3,FALSE(),TRUE())))</f>
        <v/>
      </c>
      <c r="AP480" s="100" t="str">
        <f aca="false">IF(ISBLANK($C480),"",IF($M480=Constants!$B$2,TRUE(),IF($M480=Constants!$B$3,FALSE(),TRUE())))</f>
        <v/>
      </c>
      <c r="AQ480" s="100" t="str">
        <f aca="false">IF(ISBLANK($C480),"",IF($N480=Constants!$B$2,TRUE(),IF($N480=Constants!$B$3,FALSE(),FALSE())))</f>
        <v/>
      </c>
      <c r="AR480" s="100" t="str">
        <f aca="false">IF(ISBLANK($C480),"",IF($O480=Constants!$B$2,TRUE(),IF($O480=Constants!$B$3,FALSE(),TRUE())))</f>
        <v/>
      </c>
      <c r="AS480" s="100" t="str">
        <f aca="false">IF(ISBLANK($C480),"",IF($P480=Constants!$B$2,TRUE(),IF($P480=Constants!$B$3,FALSE(),FALSE())))</f>
        <v/>
      </c>
      <c r="AT480" s="100" t="str">
        <f aca="false">IF(ISBLANK($C480),"",IF($Q480=Constants!$B$2,TRUE(),IF($Q480=Constants!$B$3,FALSE(),FALSE())))</f>
        <v/>
      </c>
      <c r="AU480" s="100" t="str">
        <f aca="false">IF(ISBLANK($C480),"",IF($R480=Constants!$B$2,TRUE(),IF($R480=Constants!$B$3,FALSE(),FALSE())))</f>
        <v/>
      </c>
      <c r="AV480" s="100" t="str">
        <f aca="false">IF(ISBLANK($C480),"",IF($S480=Constants!$B$2,TRUE(),IF($S480=Constants!$B$3,FALSE(),FALSE())))</f>
        <v/>
      </c>
      <c r="AW480" s="100" t="str">
        <f aca="false">IF(ISBLANK($C480),"",IF($T480=Constants!$B$2,TRUE(),IF($T480=Constants!$B$3,FALSE(),FALSE())))</f>
        <v/>
      </c>
      <c r="AX480" s="100" t="str">
        <f aca="false">IF(ISBLANK($C480),"",IF(OR($U480&amp;""="1",$U480&amp;""="2",$U480&amp;""="3",$U480&amp;""="4"),VALUE($U480&amp;""),IF($U480=Constants!$B$12,Constants!$B$12,"")))</f>
        <v/>
      </c>
      <c r="AY480" s="100" t="str">
        <f aca="false">IF(ISBLANK($C480),"",IF(ISBLANK($V480),0,IF(ISNUMBER($V480),IF(AND($V480&gt;=0,$V480&lt;=Constants!$B$21,$V480=INT($V480)),$V480,""),"")))</f>
        <v/>
      </c>
      <c r="AZ480" s="100" t="str">
        <f aca="false">IF(ISBLANK($C480),"",IF(ISBLANK($W480),0,IF(ISNUMBER($W480),IF($W480&gt;=0,$W480,""),"")))</f>
        <v/>
      </c>
      <c r="BA480" s="100" t="str">
        <f aca="false">IF(ISBLANK($C480),"",IF($X480=Constants!$B$2,TRUE(),IF($X480=Constants!$B$3,FALSE(),TRUE())))</f>
        <v/>
      </c>
      <c r="BB480" s="100" t="str">
        <f aca="false">IF(ISBLANK($C480),"",IF($Y480=Constants!$B$2,TRUE(),IF($Y480=Constants!$B$3,FALSE(),FALSE())))</f>
        <v/>
      </c>
      <c r="BC480" s="100" t="str">
        <f aca="false">IF(ISBLANK($C480),"",IF(ISBLANK($Z480),0,IF(ISNUMBER($Z480),IF(AND($Z480&gt;=0,$Z480&lt;=Constants!$B$35,$Z480=INT($Z480)),$Z480,""),"")))</f>
        <v/>
      </c>
      <c r="BD480" s="100" t="str">
        <f aca="false">IF(ISBLANK($C480),"",IF($AA480=Constants!$B$2,TRUE(),IF($AA480=Constants!$B$3,FALSE(),TRUE())))</f>
        <v/>
      </c>
      <c r="BE480" s="100" t="str">
        <f aca="false">IF(ISBLANK($C480),"",IF($AB480=Constants!$B$2,TRUE(),IF($AB480=Constants!$B$3,FALSE(),TRUE())))</f>
        <v/>
      </c>
      <c r="BF480" s="100" t="str">
        <f aca="false">IF(ISBLANK($C480),"",IF(ISNUMBER($AC480),IF($AC480&gt;=0,$AC480,""),""))</f>
        <v/>
      </c>
      <c r="BG480" s="100" t="str">
        <f aca="false">IF(ISBLANK($C480),"",IF($AD480=Constants!$B$2,TRUE(),IF($AD480=Constants!$B$3,FALSE(),FALSE())))</f>
        <v/>
      </c>
      <c r="BH480" s="99" t="str">
        <f aca="false">IF(ISBLANK($C480),"",IF($BG480,Constants!$B$7,IF(COUNTA($E480:$AC480)=0,Constants!$B$6,IF(OR(COUNTA($G480:$AC480)=0,NOT($AK480),$AQ480),Constants!$B$5,IF(OR($CI480&lt;&gt;"",$CJ480,$CK480,$CL480,$CM480,$CN480,$CO480),Constants!$B$8,Constants!$B$4)))))</f>
        <v/>
      </c>
      <c r="BI480" s="100" t="str">
        <f aca="false">IF(ISBLANK($C480),"",IF($BH480&lt;&gt;Constants!$B$4,$BH480,IF(OR(NOT($AH480),NOT($AJ480),NOT($AR480)),Constants!$B$11,IF(OR(NOT($AP480),MAX($AL480,$AM480,$AN480)&gt;Constants!$B$30),Constants!$B$10,Constants!$B$9))))</f>
        <v/>
      </c>
      <c r="BJ480" s="100" t="str">
        <f aca="false">IF($BH480&lt;&gt;Constants!$B$4,"",IF(NOT($AJ480),0,MIN(Constants!$B$35,$BC480)))</f>
        <v/>
      </c>
      <c r="BK480" s="100" t="str">
        <f aca="false">IF($BH480&lt;&gt;Constants!$B$4,"",IF(NOT($AJ480),0,IF($AT480,Constants!$B$18,IF($AS480,Constants!$B$17,0))))</f>
        <v/>
      </c>
      <c r="BL480" s="100" t="str">
        <f aca="false">IF($BH480&lt;&gt;Constants!$B$4,"",IF(NOT($AJ480),0,Constants!$B$19*($AI480+$AU480+$AV480+$AW480)))</f>
        <v/>
      </c>
      <c r="BM480" s="100" t="str">
        <f aca="false">IF($BH480&lt;&gt;Constants!$B$4,"",IF(OR(NOT($AJ480),NOT(ISNUMBER($AX480))),0,CHOOSE($AX480,Constants!$B$13,Constants!$B$14,Constants!$B$15,Constants!$B$16)))</f>
        <v/>
      </c>
      <c r="BN480" s="100" t="str">
        <f aca="false">IF($BH480&lt;&gt;Constants!$B$4,"",IF(NOT($AJ480),0,Constants!$B$20*$AY480))</f>
        <v/>
      </c>
      <c r="BO480" s="100" t="str">
        <f aca="false">IF($BH480&lt;&gt;Constants!$B$4,"",IF(AND($AJ480,$BA480,$BB480),Constants!$B$22,0))</f>
        <v/>
      </c>
      <c r="BP480" s="100" t="str">
        <f aca="false">IF($BH480&lt;&gt;Constants!$B$4,"",IF(OR(NOT($AJ480),NOT($BA480)),0,IF($BF480&gt;=2*$AF$9,0,Constants!$B$23*INT(ROUND(MIN($BF480,$AF$9),6)))))</f>
        <v/>
      </c>
      <c r="BQ480" s="100" t="str">
        <f aca="false">IF($BH480&lt;&gt;Constants!$B$4,"",IF(NOT($AJ480),0,Constants!$B$24*INT(ROUND(MIN($AZ480,$AF$9),6))))</f>
        <v/>
      </c>
      <c r="BR480" s="100" t="str">
        <f aca="false">IF($BH480&lt;&gt;Constants!$B$4,"",IF(AND($AJ480,$BJ480=0),Constants!$B$25,0))</f>
        <v/>
      </c>
      <c r="BS480" s="100" t="str">
        <f aca="false">IF($BH480&lt;&gt;Constants!$B$4,"",MIN(Constants!$B$29,MAX(0,Constants!$B$27*Constants!$B$28*INT(ROUND((Constants!$B$26-$AL480)/Constants!$B$28,6))))+MIN(Constants!$B$29,MAX(0,Constants!$B$27*Constants!$B$28*INT(ROUND((Constants!$B$26-$AM480)/Constants!$B$28,6))))+MIN(Constants!$B$29,MAX(0,Constants!$B$27*Constants!$B$28*INT(ROUND((Constants!$B$26-$AN480)/Constants!$B$28,6)))))</f>
        <v/>
      </c>
      <c r="BT480" s="100" t="str">
        <f aca="false">IF($BH480&lt;&gt;Constants!$B$4,"",IF(NOT($AJ480),0,Constants!$B$31*INT(ROUND(MAX(0,MIN($BF480,2*$AF$9)-$AF$9),6))))</f>
        <v/>
      </c>
      <c r="BU480" s="100" t="str">
        <f aca="false">IF($BH480&lt;&gt;Constants!$B$4,"",Constants!$B$32*(($AL480&gt;Constants!$B$26)+($AM480&gt;Constants!$B$26)+($AN480&gt;Constants!$B$26)))</f>
        <v/>
      </c>
      <c r="BV480" s="100" t="str">
        <f aca="false">IF($BH480&lt;&gt;Constants!$B$4,"",IF(OR(NOT($AJ480),$AO480),0,Constants!$B$33))</f>
        <v/>
      </c>
      <c r="BW480" s="100" t="str">
        <f aca="false">IF($BH480&lt;&gt;Constants!$B$4,"",Constants!$B$34*$BJ480)</f>
        <v/>
      </c>
      <c r="BX480" s="100" t="str">
        <f aca="false">IF($BH480&lt;&gt;Constants!$B$4,"",IF(OR(NOT($AJ480),$BE480),0,Constants!$B$36))</f>
        <v/>
      </c>
      <c r="BY480" s="100" t="str">
        <f aca="false">IF($BH480&lt;&gt;Constants!$B$4,"",IF(OR(NOT($AJ480),$BD480),0,Constants!$B$37))</f>
        <v/>
      </c>
      <c r="BZ480" s="100" t="str">
        <f aca="false">IF($BH480&lt;&gt;Constants!$B$4,"",SUM($BT480:$BY480))</f>
        <v/>
      </c>
      <c r="CA480" s="100" t="str">
        <f aca="false">IF(ISBLANK($C480),"",IF($BH480&lt;&gt;Constants!$B$4,$BH480,SUM($BK480:$BS480)-$BZ480))</f>
        <v/>
      </c>
      <c r="CB480" s="100" t="str">
        <f aca="false">IF(ISBLANK($C480),"",IF($BH480&lt;&gt;Constants!$B$4,$BH480,RANK($CA480,$CA$9:$CA$508)))</f>
        <v/>
      </c>
      <c r="CC480" s="100" t="str">
        <f aca="false">IF(ISBLANK($C480),"",IF($BH480&lt;&gt;Constants!$B$4,$BH480,COUNTIFS($BI$9:$BI$508,"&lt;"&amp;$BI480)+COUNTIFS($BI$9:$BI$508,$BI480,$CB$9:$CB$508,"&lt;"&amp;$CB480)+1))</f>
        <v/>
      </c>
      <c r="CD480" s="100" t="str">
        <f aca="false">IF(ISBLANK($C480),"",IF($BH480&lt;&gt;Constants!$B$4,$BH480,RANK($BZ480,$BZ$9:$BZ$508,1)))</f>
        <v/>
      </c>
      <c r="CE480" s="100" t="str">
        <f aca="false">IF($BH480&lt;&gt;Constants!$B$4,"",$AL480+$AM480+$AN480)</f>
        <v/>
      </c>
      <c r="CF480" s="100" t="str">
        <f aca="false">IF(ISBLANK($C480),"",IF($BH480&lt;&gt;Constants!$B$4,$BH480,RANK($CE480,$CE$9:$CE$508,1)))</f>
        <v/>
      </c>
      <c r="CG480" s="100" t="str">
        <f aca="false">IF(ISBLANK($C480),"",IF($BH480&lt;&gt;Constants!$B$4,$BH480,COUNTIFS($BI$9:$BI$508,"&lt;"&amp;$BI480)+COUNTIFS($BI$9:$BI$508,$BI480,$CB$9:$CB$508,"&lt;"&amp;$CB480)+COUNTIFS($BI$9:$BI$508,$BI480,$CB$9:$CB$508,$CB480,$CD$9:$CD$508,"&lt;"&amp;$CD480)+COUNTIFS($BI$9:$BI$508,$BI480,$CB$9:$CB$508,$CB480,$CD$9:$CD$508,$CD480,$CF$9:$CF$508,"&lt;"&amp;$CF480)+1))</f>
        <v/>
      </c>
      <c r="CH480" s="100" t="str">
        <f aca="false">IF(ISBLANK($C480),"",IF($BH480&lt;&gt;Constants!$B$4,$BH480,$CC480-$CG480))</f>
        <v/>
      </c>
      <c r="CI480" s="100" t="str">
        <f aca="false">IF(ISBLANK($C480),"",IF(NOT($AJ480),"",IF(ISBLANK($D$7),$CI$5,IF(NOT(ISNUMBER($D$7)),$CI$6,""))))</f>
        <v/>
      </c>
      <c r="CJ480" s="100" t="str">
        <f aca="false">IF(ISBLANK($C480),"",OR($AL480="",$AM480="",$AN480=""))</f>
        <v/>
      </c>
      <c r="CK480" s="100" t="str">
        <f aca="false">IF(ISBLANK($C480),"",AND($AJ480,$AX480=""))</f>
        <v/>
      </c>
      <c r="CL480" s="100" t="str">
        <f aca="false">IF(ISBLANK($C480),"",AND($AJ480,$AY480=""))</f>
        <v/>
      </c>
      <c r="CM480" s="100" t="str">
        <f aca="false">IF(ISBLANK($C480),"",AND($AJ480,$AZ480=""))</f>
        <v/>
      </c>
      <c r="CN480" s="100" t="str">
        <f aca="false">IF(ISBLANK($C480),"",AND($AJ480,$BC480=""))</f>
        <v/>
      </c>
      <c r="CO480" s="100" t="str">
        <f aca="false">IF(ISBLANK($C480),"",AND($AJ480,$BF480=""))</f>
        <v/>
      </c>
      <c r="CP480" s="101"/>
      <c r="CQ480" s="102"/>
      <c r="CR480" s="103" t="str">
        <f aca="false">IF(ISBLANK($C480),"",IF($BH480=Constants!$B$8,$CI480,""))</f>
        <v/>
      </c>
      <c r="CS480" s="102" t="str">
        <f aca="false">IF(ISBLANK($C480),"",IF($BH480&lt;&gt;Constants!$B$4,"",$BK480+$BL480))</f>
        <v/>
      </c>
      <c r="CT480" s="104" t="str">
        <f aca="false">IF(ISBLANK($C480),"",IF($BH480&lt;&gt;Constants!$B$4,"",$BM480+$BN480+$BO480))</f>
        <v/>
      </c>
      <c r="CU480" s="104" t="str">
        <f aca="false">IF(ISBLANK($C480),"",IF($BH480&lt;&gt;Constants!$B$4,"",$BP480))</f>
        <v/>
      </c>
      <c r="CV480" s="104" t="str">
        <f aca="false">IF(ISBLANK($C480),"",IF($BH480&lt;&gt;Constants!$B$4,"",$BQ480+$BR480))</f>
        <v/>
      </c>
      <c r="CW480" s="104" t="str">
        <f aca="false">IF(ISBLANK($C480),"",IF($BH480&lt;&gt;Constants!$B$4,"",$BS480))</f>
        <v/>
      </c>
      <c r="CX480" s="104" t="str">
        <f aca="false">IF(ISBLANK($C480),"",IF($BH480&lt;&gt;Constants!$B$4,"",-$BZ480))</f>
        <v/>
      </c>
      <c r="CY480" s="103" t="str">
        <f aca="false">IF(ISBLANK($C480),"",$CA480)</f>
        <v/>
      </c>
      <c r="CZ480" s="105" t="str">
        <f aca="false">IF(ISBLANK($C480),"",$BI480)</f>
        <v/>
      </c>
      <c r="DA480" s="104" t="str">
        <f aca="false">IF(ISBLANK($C480),"",$CH480)</f>
        <v/>
      </c>
      <c r="DB480" s="104" t="str">
        <f aca="false">IF(ISBLANK($C480),"",$CG480)</f>
        <v/>
      </c>
      <c r="DC480" s="106" t="str">
        <f aca="false">IF(ISBLANK($C480),"",IFERROR(_xlfn.SWITCH($DB480,Constants!$B$7,COUNTA($C$9:$C$508)+2,Constants!$B$6,COUNTA($C$9:$C$508)+1,Constants!$B$5,COUNTA($C$9:$C$508)),$DB480))</f>
        <v/>
      </c>
      <c r="DD480" s="7"/>
      <c r="DE480" s="107" t="n">
        <f aca="false">IF(OR(ISNUMBER($DB480),$DB480=Constants!$B$7,$DB480=Constants!$B$5,$DB480=Constants!$B$6),1,0)</f>
        <v>0</v>
      </c>
      <c r="DF480" s="107" t="n">
        <v>472</v>
      </c>
      <c r="DG480" s="107" t="str">
        <f aca="false">IF(ISBLANK($C480),"",IF(ISNUMBER($DC480),$DC480+ROW($B480)/1000,""))</f>
        <v/>
      </c>
      <c r="DH480" s="107" t="str">
        <f aca="false">IF(ISNUMBER($DG480),RANK($DG480,$DG$9:$DG$508,1),"")</f>
        <v/>
      </c>
      <c r="DI480" s="107" t="str">
        <f aca="false">IF(ISBLANK($C480),"",$B480)</f>
        <v/>
      </c>
      <c r="DJ480" s="107" t="str">
        <f aca="false">IF(ISBLANK($C480),"",$C480)</f>
        <v/>
      </c>
      <c r="DK480" s="107" t="str">
        <f aca="false">IF(ISBLANK($C480),"",$D480)</f>
        <v/>
      </c>
      <c r="DL480" s="108" t="str">
        <f aca="false">$CZ480</f>
        <v/>
      </c>
      <c r="DM480" s="109" t="str">
        <f aca="false">$CY480</f>
        <v/>
      </c>
      <c r="DN480" s="107" t="str">
        <f aca="false">IF(ISBLANK($C480),"",$DB480)</f>
        <v/>
      </c>
      <c r="DO480" s="110" t="str">
        <f aca="false">IF($DF480&gt;$DE$8,"",VLOOKUP($DF480,$DH$9:$DN$508,7,FALSE()))</f>
        <v/>
      </c>
      <c r="DP480" s="111" t="str">
        <f aca="false">IF($DF480&gt;$DE$8,"",VLOOKUP($DF480,$DH$9:$DN$508,2,FALSE()))</f>
        <v/>
      </c>
      <c r="DQ480" s="111" t="str">
        <f aca="false">IF($DF480&gt;$DE$8,"",VLOOKUP($DF480,$DH$9:$DN$508,3,FALSE()))</f>
        <v/>
      </c>
      <c r="DR480" s="111" t="str">
        <f aca="false">IF($DF480&gt;$DE$8,"",VLOOKUP($DF480,$DH$9:$DN$508,4,FALSE()))</f>
        <v/>
      </c>
      <c r="DS480" s="111" t="str">
        <f aca="false">IF($DF480&gt;$DE$8,"",VLOOKUP($DF480,$DH$9:$DN$508,5,FALSE()))</f>
        <v/>
      </c>
      <c r="DT480" s="112" t="str">
        <f aca="false">IF($DF480&gt;$DE$8,"",VLOOKUP($DF480,$DH$9:$DN$508,6,FALSE()))</f>
        <v/>
      </c>
      <c r="DU480" s="62"/>
    </row>
    <row r="481" customFormat="false" ht="15.75" hidden="false" customHeight="false" outlineLevel="0" collapsed="false">
      <c r="A481" s="7"/>
      <c r="B481" s="90"/>
      <c r="C481" s="91"/>
      <c r="D481" s="126"/>
      <c r="E481" s="130"/>
      <c r="F481" s="135"/>
      <c r="G481" s="130"/>
      <c r="H481" s="135"/>
      <c r="I481" s="131"/>
      <c r="J481" s="131"/>
      <c r="K481" s="131"/>
      <c r="L481" s="130"/>
      <c r="M481" s="130"/>
      <c r="N481" s="130"/>
      <c r="O481" s="135"/>
      <c r="P481" s="130"/>
      <c r="Q481" s="130"/>
      <c r="R481" s="130"/>
      <c r="S481" s="130"/>
      <c r="T481" s="135"/>
      <c r="U481" s="130"/>
      <c r="V481" s="96"/>
      <c r="W481" s="130"/>
      <c r="X481" s="130"/>
      <c r="Y481" s="96"/>
      <c r="Z481" s="96"/>
      <c r="AA481" s="130"/>
      <c r="AB481" s="130"/>
      <c r="AC481" s="97"/>
      <c r="AD481" s="130"/>
      <c r="AE481" s="99"/>
      <c r="AF481" s="100"/>
      <c r="AG481" s="100"/>
      <c r="AH481" s="100" t="str">
        <f aca="false">IF(ISBLANK($C481),"",IF($E481=Constants!$B$2,TRUE(),IF($E481=Constants!$B$3,FALSE(),TRUE())))</f>
        <v/>
      </c>
      <c r="AI481" s="100" t="str">
        <f aca="false">IF(ISBLANK($C481),"",IF($F481=Constants!$B$2,TRUE(),IF($F481=Constants!$B$3,FALSE(),FALSE())))</f>
        <v/>
      </c>
      <c r="AJ481" s="100" t="str">
        <f aca="false">IF(ISBLANK($C481),"",IF($G481=Constants!$B$2,TRUE(),IF($G481=Constants!$B$3,FALSE(),TRUE())))</f>
        <v/>
      </c>
      <c r="AK481" s="100" t="str">
        <f aca="false">IF(ISBLANK($C481),"",IF($H481=Constants!$B$2,TRUE(),IF($H481=Constants!$B$3,FALSE(),TRUE())))</f>
        <v/>
      </c>
      <c r="AL481" s="100" t="str">
        <f aca="false">IF(ISBLANK($C481),"",IF(ISNUMBER($I481),IF($I481&gt;=0,$I481,""),""))</f>
        <v/>
      </c>
      <c r="AM481" s="100" t="str">
        <f aca="false">IF(ISBLANK($C481),"",IF(ISNUMBER($J481),IF($J481&gt;=0,$J481,""),""))</f>
        <v/>
      </c>
      <c r="AN481" s="100" t="str">
        <f aca="false">IF(ISBLANK($C481),"",IF(ISNUMBER($K481),IF($K481&gt;=0,$K481,""),""))</f>
        <v/>
      </c>
      <c r="AO481" s="100" t="str">
        <f aca="false">IF(ISBLANK($C481),"",IF($L481=Constants!$B$2,TRUE(),IF($L481=Constants!$B$3,FALSE(),TRUE())))</f>
        <v/>
      </c>
      <c r="AP481" s="100" t="str">
        <f aca="false">IF(ISBLANK($C481),"",IF($M481=Constants!$B$2,TRUE(),IF($M481=Constants!$B$3,FALSE(),TRUE())))</f>
        <v/>
      </c>
      <c r="AQ481" s="100" t="str">
        <f aca="false">IF(ISBLANK($C481),"",IF($N481=Constants!$B$2,TRUE(),IF($N481=Constants!$B$3,FALSE(),FALSE())))</f>
        <v/>
      </c>
      <c r="AR481" s="100" t="str">
        <f aca="false">IF(ISBLANK($C481),"",IF($O481=Constants!$B$2,TRUE(),IF($O481=Constants!$B$3,FALSE(),TRUE())))</f>
        <v/>
      </c>
      <c r="AS481" s="100" t="str">
        <f aca="false">IF(ISBLANK($C481),"",IF($P481=Constants!$B$2,TRUE(),IF($P481=Constants!$B$3,FALSE(),FALSE())))</f>
        <v/>
      </c>
      <c r="AT481" s="100" t="str">
        <f aca="false">IF(ISBLANK($C481),"",IF($Q481=Constants!$B$2,TRUE(),IF($Q481=Constants!$B$3,FALSE(),FALSE())))</f>
        <v/>
      </c>
      <c r="AU481" s="100" t="str">
        <f aca="false">IF(ISBLANK($C481),"",IF($R481=Constants!$B$2,TRUE(),IF($R481=Constants!$B$3,FALSE(),FALSE())))</f>
        <v/>
      </c>
      <c r="AV481" s="100" t="str">
        <f aca="false">IF(ISBLANK($C481),"",IF($S481=Constants!$B$2,TRUE(),IF($S481=Constants!$B$3,FALSE(),FALSE())))</f>
        <v/>
      </c>
      <c r="AW481" s="100" t="str">
        <f aca="false">IF(ISBLANK($C481),"",IF($T481=Constants!$B$2,TRUE(),IF($T481=Constants!$B$3,FALSE(),FALSE())))</f>
        <v/>
      </c>
      <c r="AX481" s="100" t="str">
        <f aca="false">IF(ISBLANK($C481),"",IF(OR($U481&amp;""="1",$U481&amp;""="2",$U481&amp;""="3",$U481&amp;""="4"),VALUE($U481&amp;""),IF($U481=Constants!$B$12,Constants!$B$12,"")))</f>
        <v/>
      </c>
      <c r="AY481" s="100" t="str">
        <f aca="false">IF(ISBLANK($C481),"",IF(ISBLANK($V481),0,IF(ISNUMBER($V481),IF(AND($V481&gt;=0,$V481&lt;=Constants!$B$21,$V481=INT($V481)),$V481,""),"")))</f>
        <v/>
      </c>
      <c r="AZ481" s="100" t="str">
        <f aca="false">IF(ISBLANK($C481),"",IF(ISBLANK($W481),0,IF(ISNUMBER($W481),IF($W481&gt;=0,$W481,""),"")))</f>
        <v/>
      </c>
      <c r="BA481" s="100" t="str">
        <f aca="false">IF(ISBLANK($C481),"",IF($X481=Constants!$B$2,TRUE(),IF($X481=Constants!$B$3,FALSE(),TRUE())))</f>
        <v/>
      </c>
      <c r="BB481" s="100" t="str">
        <f aca="false">IF(ISBLANK($C481),"",IF($Y481=Constants!$B$2,TRUE(),IF($Y481=Constants!$B$3,FALSE(),FALSE())))</f>
        <v/>
      </c>
      <c r="BC481" s="100" t="str">
        <f aca="false">IF(ISBLANK($C481),"",IF(ISBLANK($Z481),0,IF(ISNUMBER($Z481),IF(AND($Z481&gt;=0,$Z481&lt;=Constants!$B$35,$Z481=INT($Z481)),$Z481,""),"")))</f>
        <v/>
      </c>
      <c r="BD481" s="100" t="str">
        <f aca="false">IF(ISBLANK($C481),"",IF($AA481=Constants!$B$2,TRUE(),IF($AA481=Constants!$B$3,FALSE(),TRUE())))</f>
        <v/>
      </c>
      <c r="BE481" s="100" t="str">
        <f aca="false">IF(ISBLANK($C481),"",IF($AB481=Constants!$B$2,TRUE(),IF($AB481=Constants!$B$3,FALSE(),TRUE())))</f>
        <v/>
      </c>
      <c r="BF481" s="100" t="str">
        <f aca="false">IF(ISBLANK($C481),"",IF(ISNUMBER($AC481),IF($AC481&gt;=0,$AC481,""),""))</f>
        <v/>
      </c>
      <c r="BG481" s="100" t="str">
        <f aca="false">IF(ISBLANK($C481),"",IF($AD481=Constants!$B$2,TRUE(),IF($AD481=Constants!$B$3,FALSE(),FALSE())))</f>
        <v/>
      </c>
      <c r="BH481" s="99" t="str">
        <f aca="false">IF(ISBLANK($C481),"",IF($BG481,Constants!$B$7,IF(COUNTA($E481:$AC481)=0,Constants!$B$6,IF(OR(COUNTA($G481:$AC481)=0,NOT($AK481),$AQ481),Constants!$B$5,IF(OR($CI481&lt;&gt;"",$CJ481,$CK481,$CL481,$CM481,$CN481,$CO481),Constants!$B$8,Constants!$B$4)))))</f>
        <v/>
      </c>
      <c r="BI481" s="100" t="str">
        <f aca="false">IF(ISBLANK($C481),"",IF($BH481&lt;&gt;Constants!$B$4,$BH481,IF(OR(NOT($AH481),NOT($AJ481),NOT($AR481)),Constants!$B$11,IF(OR(NOT($AP481),MAX($AL481,$AM481,$AN481)&gt;Constants!$B$30),Constants!$B$10,Constants!$B$9))))</f>
        <v/>
      </c>
      <c r="BJ481" s="100" t="str">
        <f aca="false">IF($BH481&lt;&gt;Constants!$B$4,"",IF(NOT($AJ481),0,MIN(Constants!$B$35,$BC481)))</f>
        <v/>
      </c>
      <c r="BK481" s="100" t="str">
        <f aca="false">IF($BH481&lt;&gt;Constants!$B$4,"",IF(NOT($AJ481),0,IF($AT481,Constants!$B$18,IF($AS481,Constants!$B$17,0))))</f>
        <v/>
      </c>
      <c r="BL481" s="100" t="str">
        <f aca="false">IF($BH481&lt;&gt;Constants!$B$4,"",IF(NOT($AJ481),0,Constants!$B$19*($AI481+$AU481+$AV481+$AW481)))</f>
        <v/>
      </c>
      <c r="BM481" s="100" t="str">
        <f aca="false">IF($BH481&lt;&gt;Constants!$B$4,"",IF(OR(NOT($AJ481),NOT(ISNUMBER($AX481))),0,CHOOSE($AX481,Constants!$B$13,Constants!$B$14,Constants!$B$15,Constants!$B$16)))</f>
        <v/>
      </c>
      <c r="BN481" s="100" t="str">
        <f aca="false">IF($BH481&lt;&gt;Constants!$B$4,"",IF(NOT($AJ481),0,Constants!$B$20*$AY481))</f>
        <v/>
      </c>
      <c r="BO481" s="100" t="str">
        <f aca="false">IF($BH481&lt;&gt;Constants!$B$4,"",IF(AND($AJ481,$BA481,$BB481),Constants!$B$22,0))</f>
        <v/>
      </c>
      <c r="BP481" s="100" t="str">
        <f aca="false">IF($BH481&lt;&gt;Constants!$B$4,"",IF(OR(NOT($AJ481),NOT($BA481)),0,IF($BF481&gt;=2*$AF$9,0,Constants!$B$23*INT(ROUND(MIN($BF481,$AF$9),6)))))</f>
        <v/>
      </c>
      <c r="BQ481" s="100" t="str">
        <f aca="false">IF($BH481&lt;&gt;Constants!$B$4,"",IF(NOT($AJ481),0,Constants!$B$24*INT(ROUND(MIN($AZ481,$AF$9),6))))</f>
        <v/>
      </c>
      <c r="BR481" s="100" t="str">
        <f aca="false">IF($BH481&lt;&gt;Constants!$B$4,"",IF(AND($AJ481,$BJ481=0),Constants!$B$25,0))</f>
        <v/>
      </c>
      <c r="BS481" s="100" t="str">
        <f aca="false">IF($BH481&lt;&gt;Constants!$B$4,"",MIN(Constants!$B$29,MAX(0,Constants!$B$27*Constants!$B$28*INT(ROUND((Constants!$B$26-$AL481)/Constants!$B$28,6))))+MIN(Constants!$B$29,MAX(0,Constants!$B$27*Constants!$B$28*INT(ROUND((Constants!$B$26-$AM481)/Constants!$B$28,6))))+MIN(Constants!$B$29,MAX(0,Constants!$B$27*Constants!$B$28*INT(ROUND((Constants!$B$26-$AN481)/Constants!$B$28,6)))))</f>
        <v/>
      </c>
      <c r="BT481" s="100" t="str">
        <f aca="false">IF($BH481&lt;&gt;Constants!$B$4,"",IF(NOT($AJ481),0,Constants!$B$31*INT(ROUND(MAX(0,MIN($BF481,2*$AF$9)-$AF$9),6))))</f>
        <v/>
      </c>
      <c r="BU481" s="100" t="str">
        <f aca="false">IF($BH481&lt;&gt;Constants!$B$4,"",Constants!$B$32*(($AL481&gt;Constants!$B$26)+($AM481&gt;Constants!$B$26)+($AN481&gt;Constants!$B$26)))</f>
        <v/>
      </c>
      <c r="BV481" s="100" t="str">
        <f aca="false">IF($BH481&lt;&gt;Constants!$B$4,"",IF(OR(NOT($AJ481),$AO481),0,Constants!$B$33))</f>
        <v/>
      </c>
      <c r="BW481" s="100" t="str">
        <f aca="false">IF($BH481&lt;&gt;Constants!$B$4,"",Constants!$B$34*$BJ481)</f>
        <v/>
      </c>
      <c r="BX481" s="100" t="str">
        <f aca="false">IF($BH481&lt;&gt;Constants!$B$4,"",IF(OR(NOT($AJ481),$BE481),0,Constants!$B$36))</f>
        <v/>
      </c>
      <c r="BY481" s="100" t="str">
        <f aca="false">IF($BH481&lt;&gt;Constants!$B$4,"",IF(OR(NOT($AJ481),$BD481),0,Constants!$B$37))</f>
        <v/>
      </c>
      <c r="BZ481" s="100" t="str">
        <f aca="false">IF($BH481&lt;&gt;Constants!$B$4,"",SUM($BT481:$BY481))</f>
        <v/>
      </c>
      <c r="CA481" s="100" t="str">
        <f aca="false">IF(ISBLANK($C481),"",IF($BH481&lt;&gt;Constants!$B$4,$BH481,SUM($BK481:$BS481)-$BZ481))</f>
        <v/>
      </c>
      <c r="CB481" s="100" t="str">
        <f aca="false">IF(ISBLANK($C481),"",IF($BH481&lt;&gt;Constants!$B$4,$BH481,RANK($CA481,$CA$9:$CA$508)))</f>
        <v/>
      </c>
      <c r="CC481" s="100" t="str">
        <f aca="false">IF(ISBLANK($C481),"",IF($BH481&lt;&gt;Constants!$B$4,$BH481,COUNTIFS($BI$9:$BI$508,"&lt;"&amp;$BI481)+COUNTIFS($BI$9:$BI$508,$BI481,$CB$9:$CB$508,"&lt;"&amp;$CB481)+1))</f>
        <v/>
      </c>
      <c r="CD481" s="100" t="str">
        <f aca="false">IF(ISBLANK($C481),"",IF($BH481&lt;&gt;Constants!$B$4,$BH481,RANK($BZ481,$BZ$9:$BZ$508,1)))</f>
        <v/>
      </c>
      <c r="CE481" s="100" t="str">
        <f aca="false">IF($BH481&lt;&gt;Constants!$B$4,"",$AL481+$AM481+$AN481)</f>
        <v/>
      </c>
      <c r="CF481" s="100" t="str">
        <f aca="false">IF(ISBLANK($C481),"",IF($BH481&lt;&gt;Constants!$B$4,$BH481,RANK($CE481,$CE$9:$CE$508,1)))</f>
        <v/>
      </c>
      <c r="CG481" s="100" t="str">
        <f aca="false">IF(ISBLANK($C481),"",IF($BH481&lt;&gt;Constants!$B$4,$BH481,COUNTIFS($BI$9:$BI$508,"&lt;"&amp;$BI481)+COUNTIFS($BI$9:$BI$508,$BI481,$CB$9:$CB$508,"&lt;"&amp;$CB481)+COUNTIFS($BI$9:$BI$508,$BI481,$CB$9:$CB$508,$CB481,$CD$9:$CD$508,"&lt;"&amp;$CD481)+COUNTIFS($BI$9:$BI$508,$BI481,$CB$9:$CB$508,$CB481,$CD$9:$CD$508,$CD481,$CF$9:$CF$508,"&lt;"&amp;$CF481)+1))</f>
        <v/>
      </c>
      <c r="CH481" s="100" t="str">
        <f aca="false">IF(ISBLANK($C481),"",IF($BH481&lt;&gt;Constants!$B$4,$BH481,$CC481-$CG481))</f>
        <v/>
      </c>
      <c r="CI481" s="100" t="str">
        <f aca="false">IF(ISBLANK($C481),"",IF(NOT($AJ481),"",IF(ISBLANK($D$7),$CI$5,IF(NOT(ISNUMBER($D$7)),$CI$6,""))))</f>
        <v/>
      </c>
      <c r="CJ481" s="100" t="str">
        <f aca="false">IF(ISBLANK($C481),"",OR($AL481="",$AM481="",$AN481=""))</f>
        <v/>
      </c>
      <c r="CK481" s="100" t="str">
        <f aca="false">IF(ISBLANK($C481),"",AND($AJ481,$AX481=""))</f>
        <v/>
      </c>
      <c r="CL481" s="100" t="str">
        <f aca="false">IF(ISBLANK($C481),"",AND($AJ481,$AY481=""))</f>
        <v/>
      </c>
      <c r="CM481" s="100" t="str">
        <f aca="false">IF(ISBLANK($C481),"",AND($AJ481,$AZ481=""))</f>
        <v/>
      </c>
      <c r="CN481" s="100" t="str">
        <f aca="false">IF(ISBLANK($C481),"",AND($AJ481,$BC481=""))</f>
        <v/>
      </c>
      <c r="CO481" s="100" t="str">
        <f aca="false">IF(ISBLANK($C481),"",AND($AJ481,$BF481=""))</f>
        <v/>
      </c>
      <c r="CP481" s="101"/>
      <c r="CQ481" s="102"/>
      <c r="CR481" s="103" t="str">
        <f aca="false">IF(ISBLANK($C481),"",IF($BH481=Constants!$B$8,$CI481,""))</f>
        <v/>
      </c>
      <c r="CS481" s="102" t="str">
        <f aca="false">IF(ISBLANK($C481),"",IF($BH481&lt;&gt;Constants!$B$4,"",$BK481+$BL481))</f>
        <v/>
      </c>
      <c r="CT481" s="104" t="str">
        <f aca="false">IF(ISBLANK($C481),"",IF($BH481&lt;&gt;Constants!$B$4,"",$BM481+$BN481+$BO481))</f>
        <v/>
      </c>
      <c r="CU481" s="104" t="str">
        <f aca="false">IF(ISBLANK($C481),"",IF($BH481&lt;&gt;Constants!$B$4,"",$BP481))</f>
        <v/>
      </c>
      <c r="CV481" s="104" t="str">
        <f aca="false">IF(ISBLANK($C481),"",IF($BH481&lt;&gt;Constants!$B$4,"",$BQ481+$BR481))</f>
        <v/>
      </c>
      <c r="CW481" s="104" t="str">
        <f aca="false">IF(ISBLANK($C481),"",IF($BH481&lt;&gt;Constants!$B$4,"",$BS481))</f>
        <v/>
      </c>
      <c r="CX481" s="104" t="str">
        <f aca="false">IF(ISBLANK($C481),"",IF($BH481&lt;&gt;Constants!$B$4,"",-$BZ481))</f>
        <v/>
      </c>
      <c r="CY481" s="103" t="str">
        <f aca="false">IF(ISBLANK($C481),"",$CA481)</f>
        <v/>
      </c>
      <c r="CZ481" s="105" t="str">
        <f aca="false">IF(ISBLANK($C481),"",$BI481)</f>
        <v/>
      </c>
      <c r="DA481" s="104" t="str">
        <f aca="false">IF(ISBLANK($C481),"",$CH481)</f>
        <v/>
      </c>
      <c r="DB481" s="104" t="str">
        <f aca="false">IF(ISBLANK($C481),"",$CG481)</f>
        <v/>
      </c>
      <c r="DC481" s="106" t="str">
        <f aca="false">IF(ISBLANK($C481),"",IFERROR(_xlfn.SWITCH($DB481,Constants!$B$7,COUNTA($C$9:$C$508)+2,Constants!$B$6,COUNTA($C$9:$C$508)+1,Constants!$B$5,COUNTA($C$9:$C$508)),$DB481))</f>
        <v/>
      </c>
      <c r="DD481" s="7"/>
      <c r="DE481" s="107" t="n">
        <f aca="false">IF(OR(ISNUMBER($DB481),$DB481=Constants!$B$7,$DB481=Constants!$B$5,$DB481=Constants!$B$6),1,0)</f>
        <v>0</v>
      </c>
      <c r="DF481" s="107" t="n">
        <v>473</v>
      </c>
      <c r="DG481" s="107" t="str">
        <f aca="false">IF(ISBLANK($C481),"",IF(ISNUMBER($DC481),$DC481+ROW($B481)/1000,""))</f>
        <v/>
      </c>
      <c r="DH481" s="107" t="str">
        <f aca="false">IF(ISNUMBER($DG481),RANK($DG481,$DG$9:$DG$508,1),"")</f>
        <v/>
      </c>
      <c r="DI481" s="107" t="str">
        <f aca="false">IF(ISBLANK($C481),"",$B481)</f>
        <v/>
      </c>
      <c r="DJ481" s="107" t="str">
        <f aca="false">IF(ISBLANK($C481),"",$C481)</f>
        <v/>
      </c>
      <c r="DK481" s="107" t="str">
        <f aca="false">IF(ISBLANK($C481),"",$D481)</f>
        <v/>
      </c>
      <c r="DL481" s="108" t="str">
        <f aca="false">$CZ481</f>
        <v/>
      </c>
      <c r="DM481" s="109" t="str">
        <f aca="false">$CY481</f>
        <v/>
      </c>
      <c r="DN481" s="107" t="str">
        <f aca="false">IF(ISBLANK($C481),"",$DB481)</f>
        <v/>
      </c>
      <c r="DO481" s="110" t="str">
        <f aca="false">IF($DF481&gt;$DE$8,"",VLOOKUP($DF481,$DH$9:$DN$508,7,FALSE()))</f>
        <v/>
      </c>
      <c r="DP481" s="111" t="str">
        <f aca="false">IF($DF481&gt;$DE$8,"",VLOOKUP($DF481,$DH$9:$DN$508,2,FALSE()))</f>
        <v/>
      </c>
      <c r="DQ481" s="111" t="str">
        <f aca="false">IF($DF481&gt;$DE$8,"",VLOOKUP($DF481,$DH$9:$DN$508,3,FALSE()))</f>
        <v/>
      </c>
      <c r="DR481" s="111" t="str">
        <f aca="false">IF($DF481&gt;$DE$8,"",VLOOKUP($DF481,$DH$9:$DN$508,4,FALSE()))</f>
        <v/>
      </c>
      <c r="DS481" s="111" t="str">
        <f aca="false">IF($DF481&gt;$DE$8,"",VLOOKUP($DF481,$DH$9:$DN$508,5,FALSE()))</f>
        <v/>
      </c>
      <c r="DT481" s="112" t="str">
        <f aca="false">IF($DF481&gt;$DE$8,"",VLOOKUP($DF481,$DH$9:$DN$508,6,FALSE()))</f>
        <v/>
      </c>
      <c r="DU481" s="62"/>
    </row>
    <row r="482" customFormat="false" ht="15.75" hidden="false" customHeight="false" outlineLevel="0" collapsed="false">
      <c r="A482" s="7"/>
      <c r="B482" s="90"/>
      <c r="C482" s="91"/>
      <c r="D482" s="126"/>
      <c r="E482" s="130"/>
      <c r="F482" s="135"/>
      <c r="G482" s="130"/>
      <c r="H482" s="135"/>
      <c r="I482" s="131"/>
      <c r="J482" s="131"/>
      <c r="K482" s="131"/>
      <c r="L482" s="130"/>
      <c r="M482" s="130"/>
      <c r="N482" s="130"/>
      <c r="O482" s="135"/>
      <c r="P482" s="130"/>
      <c r="Q482" s="130"/>
      <c r="R482" s="130"/>
      <c r="S482" s="130"/>
      <c r="T482" s="135"/>
      <c r="U482" s="130"/>
      <c r="V482" s="96"/>
      <c r="W482" s="130"/>
      <c r="X482" s="130"/>
      <c r="Y482" s="96"/>
      <c r="Z482" s="96"/>
      <c r="AA482" s="130"/>
      <c r="AB482" s="130"/>
      <c r="AC482" s="97"/>
      <c r="AD482" s="130"/>
      <c r="AE482" s="99"/>
      <c r="AF482" s="100"/>
      <c r="AG482" s="100"/>
      <c r="AH482" s="100" t="str">
        <f aca="false">IF(ISBLANK($C482),"",IF($E482=Constants!$B$2,TRUE(),IF($E482=Constants!$B$3,FALSE(),TRUE())))</f>
        <v/>
      </c>
      <c r="AI482" s="100" t="str">
        <f aca="false">IF(ISBLANK($C482),"",IF($F482=Constants!$B$2,TRUE(),IF($F482=Constants!$B$3,FALSE(),FALSE())))</f>
        <v/>
      </c>
      <c r="AJ482" s="100" t="str">
        <f aca="false">IF(ISBLANK($C482),"",IF($G482=Constants!$B$2,TRUE(),IF($G482=Constants!$B$3,FALSE(),TRUE())))</f>
        <v/>
      </c>
      <c r="AK482" s="100" t="str">
        <f aca="false">IF(ISBLANK($C482),"",IF($H482=Constants!$B$2,TRUE(),IF($H482=Constants!$B$3,FALSE(),TRUE())))</f>
        <v/>
      </c>
      <c r="AL482" s="100" t="str">
        <f aca="false">IF(ISBLANK($C482),"",IF(ISNUMBER($I482),IF($I482&gt;=0,$I482,""),""))</f>
        <v/>
      </c>
      <c r="AM482" s="100" t="str">
        <f aca="false">IF(ISBLANK($C482),"",IF(ISNUMBER($J482),IF($J482&gt;=0,$J482,""),""))</f>
        <v/>
      </c>
      <c r="AN482" s="100" t="str">
        <f aca="false">IF(ISBLANK($C482),"",IF(ISNUMBER($K482),IF($K482&gt;=0,$K482,""),""))</f>
        <v/>
      </c>
      <c r="AO482" s="100" t="str">
        <f aca="false">IF(ISBLANK($C482),"",IF($L482=Constants!$B$2,TRUE(),IF($L482=Constants!$B$3,FALSE(),TRUE())))</f>
        <v/>
      </c>
      <c r="AP482" s="100" t="str">
        <f aca="false">IF(ISBLANK($C482),"",IF($M482=Constants!$B$2,TRUE(),IF($M482=Constants!$B$3,FALSE(),TRUE())))</f>
        <v/>
      </c>
      <c r="AQ482" s="100" t="str">
        <f aca="false">IF(ISBLANK($C482),"",IF($N482=Constants!$B$2,TRUE(),IF($N482=Constants!$B$3,FALSE(),FALSE())))</f>
        <v/>
      </c>
      <c r="AR482" s="100" t="str">
        <f aca="false">IF(ISBLANK($C482),"",IF($O482=Constants!$B$2,TRUE(),IF($O482=Constants!$B$3,FALSE(),TRUE())))</f>
        <v/>
      </c>
      <c r="AS482" s="100" t="str">
        <f aca="false">IF(ISBLANK($C482),"",IF($P482=Constants!$B$2,TRUE(),IF($P482=Constants!$B$3,FALSE(),FALSE())))</f>
        <v/>
      </c>
      <c r="AT482" s="100" t="str">
        <f aca="false">IF(ISBLANK($C482),"",IF($Q482=Constants!$B$2,TRUE(),IF($Q482=Constants!$B$3,FALSE(),FALSE())))</f>
        <v/>
      </c>
      <c r="AU482" s="100" t="str">
        <f aca="false">IF(ISBLANK($C482),"",IF($R482=Constants!$B$2,TRUE(),IF($R482=Constants!$B$3,FALSE(),FALSE())))</f>
        <v/>
      </c>
      <c r="AV482" s="100" t="str">
        <f aca="false">IF(ISBLANK($C482),"",IF($S482=Constants!$B$2,TRUE(),IF($S482=Constants!$B$3,FALSE(),FALSE())))</f>
        <v/>
      </c>
      <c r="AW482" s="100" t="str">
        <f aca="false">IF(ISBLANK($C482),"",IF($T482=Constants!$B$2,TRUE(),IF($T482=Constants!$B$3,FALSE(),FALSE())))</f>
        <v/>
      </c>
      <c r="AX482" s="100" t="str">
        <f aca="false">IF(ISBLANK($C482),"",IF(OR($U482&amp;""="1",$U482&amp;""="2",$U482&amp;""="3",$U482&amp;""="4"),VALUE($U482&amp;""),IF($U482=Constants!$B$12,Constants!$B$12,"")))</f>
        <v/>
      </c>
      <c r="AY482" s="100" t="str">
        <f aca="false">IF(ISBLANK($C482),"",IF(ISBLANK($V482),0,IF(ISNUMBER($V482),IF(AND($V482&gt;=0,$V482&lt;=Constants!$B$21,$V482=INT($V482)),$V482,""),"")))</f>
        <v/>
      </c>
      <c r="AZ482" s="100" t="str">
        <f aca="false">IF(ISBLANK($C482),"",IF(ISBLANK($W482),0,IF(ISNUMBER($W482),IF($W482&gt;=0,$W482,""),"")))</f>
        <v/>
      </c>
      <c r="BA482" s="100" t="str">
        <f aca="false">IF(ISBLANK($C482),"",IF($X482=Constants!$B$2,TRUE(),IF($X482=Constants!$B$3,FALSE(),TRUE())))</f>
        <v/>
      </c>
      <c r="BB482" s="100" t="str">
        <f aca="false">IF(ISBLANK($C482),"",IF($Y482=Constants!$B$2,TRUE(),IF($Y482=Constants!$B$3,FALSE(),FALSE())))</f>
        <v/>
      </c>
      <c r="BC482" s="100" t="str">
        <f aca="false">IF(ISBLANK($C482),"",IF(ISBLANK($Z482),0,IF(ISNUMBER($Z482),IF(AND($Z482&gt;=0,$Z482&lt;=Constants!$B$35,$Z482=INT($Z482)),$Z482,""),"")))</f>
        <v/>
      </c>
      <c r="BD482" s="100" t="str">
        <f aca="false">IF(ISBLANK($C482),"",IF($AA482=Constants!$B$2,TRUE(),IF($AA482=Constants!$B$3,FALSE(),TRUE())))</f>
        <v/>
      </c>
      <c r="BE482" s="100" t="str">
        <f aca="false">IF(ISBLANK($C482),"",IF($AB482=Constants!$B$2,TRUE(),IF($AB482=Constants!$B$3,FALSE(),TRUE())))</f>
        <v/>
      </c>
      <c r="BF482" s="100" t="str">
        <f aca="false">IF(ISBLANK($C482),"",IF(ISNUMBER($AC482),IF($AC482&gt;=0,$AC482,""),""))</f>
        <v/>
      </c>
      <c r="BG482" s="100" t="str">
        <f aca="false">IF(ISBLANK($C482),"",IF($AD482=Constants!$B$2,TRUE(),IF($AD482=Constants!$B$3,FALSE(),FALSE())))</f>
        <v/>
      </c>
      <c r="BH482" s="99" t="str">
        <f aca="false">IF(ISBLANK($C482),"",IF($BG482,Constants!$B$7,IF(COUNTA($E482:$AC482)=0,Constants!$B$6,IF(OR(COUNTA($G482:$AC482)=0,NOT($AK482),$AQ482),Constants!$B$5,IF(OR($CI482&lt;&gt;"",$CJ482,$CK482,$CL482,$CM482,$CN482,$CO482),Constants!$B$8,Constants!$B$4)))))</f>
        <v/>
      </c>
      <c r="BI482" s="100" t="str">
        <f aca="false">IF(ISBLANK($C482),"",IF($BH482&lt;&gt;Constants!$B$4,$BH482,IF(OR(NOT($AH482),NOT($AJ482),NOT($AR482)),Constants!$B$11,IF(OR(NOT($AP482),MAX($AL482,$AM482,$AN482)&gt;Constants!$B$30),Constants!$B$10,Constants!$B$9))))</f>
        <v/>
      </c>
      <c r="BJ482" s="100" t="str">
        <f aca="false">IF($BH482&lt;&gt;Constants!$B$4,"",IF(NOT($AJ482),0,MIN(Constants!$B$35,$BC482)))</f>
        <v/>
      </c>
      <c r="BK482" s="100" t="str">
        <f aca="false">IF($BH482&lt;&gt;Constants!$B$4,"",IF(NOT($AJ482),0,IF($AT482,Constants!$B$18,IF($AS482,Constants!$B$17,0))))</f>
        <v/>
      </c>
      <c r="BL482" s="100" t="str">
        <f aca="false">IF($BH482&lt;&gt;Constants!$B$4,"",IF(NOT($AJ482),0,Constants!$B$19*($AI482+$AU482+$AV482+$AW482)))</f>
        <v/>
      </c>
      <c r="BM482" s="100" t="str">
        <f aca="false">IF($BH482&lt;&gt;Constants!$B$4,"",IF(OR(NOT($AJ482),NOT(ISNUMBER($AX482))),0,CHOOSE($AX482,Constants!$B$13,Constants!$B$14,Constants!$B$15,Constants!$B$16)))</f>
        <v/>
      </c>
      <c r="BN482" s="100" t="str">
        <f aca="false">IF($BH482&lt;&gt;Constants!$B$4,"",IF(NOT($AJ482),0,Constants!$B$20*$AY482))</f>
        <v/>
      </c>
      <c r="BO482" s="100" t="str">
        <f aca="false">IF($BH482&lt;&gt;Constants!$B$4,"",IF(AND($AJ482,$BA482,$BB482),Constants!$B$22,0))</f>
        <v/>
      </c>
      <c r="BP482" s="100" t="str">
        <f aca="false">IF($BH482&lt;&gt;Constants!$B$4,"",IF(OR(NOT($AJ482),NOT($BA482)),0,IF($BF482&gt;=2*$AF$9,0,Constants!$B$23*INT(ROUND(MIN($BF482,$AF$9),6)))))</f>
        <v/>
      </c>
      <c r="BQ482" s="100" t="str">
        <f aca="false">IF($BH482&lt;&gt;Constants!$B$4,"",IF(NOT($AJ482),0,Constants!$B$24*INT(ROUND(MIN($AZ482,$AF$9),6))))</f>
        <v/>
      </c>
      <c r="BR482" s="100" t="str">
        <f aca="false">IF($BH482&lt;&gt;Constants!$B$4,"",IF(AND($AJ482,$BJ482=0),Constants!$B$25,0))</f>
        <v/>
      </c>
      <c r="BS482" s="100" t="str">
        <f aca="false">IF($BH482&lt;&gt;Constants!$B$4,"",MIN(Constants!$B$29,MAX(0,Constants!$B$27*Constants!$B$28*INT(ROUND((Constants!$B$26-$AL482)/Constants!$B$28,6))))+MIN(Constants!$B$29,MAX(0,Constants!$B$27*Constants!$B$28*INT(ROUND((Constants!$B$26-$AM482)/Constants!$B$28,6))))+MIN(Constants!$B$29,MAX(0,Constants!$B$27*Constants!$B$28*INT(ROUND((Constants!$B$26-$AN482)/Constants!$B$28,6)))))</f>
        <v/>
      </c>
      <c r="BT482" s="100" t="str">
        <f aca="false">IF($BH482&lt;&gt;Constants!$B$4,"",IF(NOT($AJ482),0,Constants!$B$31*INT(ROUND(MAX(0,MIN($BF482,2*$AF$9)-$AF$9),6))))</f>
        <v/>
      </c>
      <c r="BU482" s="100" t="str">
        <f aca="false">IF($BH482&lt;&gt;Constants!$B$4,"",Constants!$B$32*(($AL482&gt;Constants!$B$26)+($AM482&gt;Constants!$B$26)+($AN482&gt;Constants!$B$26)))</f>
        <v/>
      </c>
      <c r="BV482" s="100" t="str">
        <f aca="false">IF($BH482&lt;&gt;Constants!$B$4,"",IF(OR(NOT($AJ482),$AO482),0,Constants!$B$33))</f>
        <v/>
      </c>
      <c r="BW482" s="100" t="str">
        <f aca="false">IF($BH482&lt;&gt;Constants!$B$4,"",Constants!$B$34*$BJ482)</f>
        <v/>
      </c>
      <c r="BX482" s="100" t="str">
        <f aca="false">IF($BH482&lt;&gt;Constants!$B$4,"",IF(OR(NOT($AJ482),$BE482),0,Constants!$B$36))</f>
        <v/>
      </c>
      <c r="BY482" s="100" t="str">
        <f aca="false">IF($BH482&lt;&gt;Constants!$B$4,"",IF(OR(NOT($AJ482),$BD482),0,Constants!$B$37))</f>
        <v/>
      </c>
      <c r="BZ482" s="100" t="str">
        <f aca="false">IF($BH482&lt;&gt;Constants!$B$4,"",SUM($BT482:$BY482))</f>
        <v/>
      </c>
      <c r="CA482" s="100" t="str">
        <f aca="false">IF(ISBLANK($C482),"",IF($BH482&lt;&gt;Constants!$B$4,$BH482,SUM($BK482:$BS482)-$BZ482))</f>
        <v/>
      </c>
      <c r="CB482" s="100" t="str">
        <f aca="false">IF(ISBLANK($C482),"",IF($BH482&lt;&gt;Constants!$B$4,$BH482,RANK($CA482,$CA$9:$CA$508)))</f>
        <v/>
      </c>
      <c r="CC482" s="100" t="str">
        <f aca="false">IF(ISBLANK($C482),"",IF($BH482&lt;&gt;Constants!$B$4,$BH482,COUNTIFS($BI$9:$BI$508,"&lt;"&amp;$BI482)+COUNTIFS($BI$9:$BI$508,$BI482,$CB$9:$CB$508,"&lt;"&amp;$CB482)+1))</f>
        <v/>
      </c>
      <c r="CD482" s="100" t="str">
        <f aca="false">IF(ISBLANK($C482),"",IF($BH482&lt;&gt;Constants!$B$4,$BH482,RANK($BZ482,$BZ$9:$BZ$508,1)))</f>
        <v/>
      </c>
      <c r="CE482" s="100" t="str">
        <f aca="false">IF($BH482&lt;&gt;Constants!$B$4,"",$AL482+$AM482+$AN482)</f>
        <v/>
      </c>
      <c r="CF482" s="100" t="str">
        <f aca="false">IF(ISBLANK($C482),"",IF($BH482&lt;&gt;Constants!$B$4,$BH482,RANK($CE482,$CE$9:$CE$508,1)))</f>
        <v/>
      </c>
      <c r="CG482" s="100" t="str">
        <f aca="false">IF(ISBLANK($C482),"",IF($BH482&lt;&gt;Constants!$B$4,$BH482,COUNTIFS($BI$9:$BI$508,"&lt;"&amp;$BI482)+COUNTIFS($BI$9:$BI$508,$BI482,$CB$9:$CB$508,"&lt;"&amp;$CB482)+COUNTIFS($BI$9:$BI$508,$BI482,$CB$9:$CB$508,$CB482,$CD$9:$CD$508,"&lt;"&amp;$CD482)+COUNTIFS($BI$9:$BI$508,$BI482,$CB$9:$CB$508,$CB482,$CD$9:$CD$508,$CD482,$CF$9:$CF$508,"&lt;"&amp;$CF482)+1))</f>
        <v/>
      </c>
      <c r="CH482" s="100" t="str">
        <f aca="false">IF(ISBLANK($C482),"",IF($BH482&lt;&gt;Constants!$B$4,$BH482,$CC482-$CG482))</f>
        <v/>
      </c>
      <c r="CI482" s="100" t="str">
        <f aca="false">IF(ISBLANK($C482),"",IF(NOT($AJ482),"",IF(ISBLANK($D$7),$CI$5,IF(NOT(ISNUMBER($D$7)),$CI$6,""))))</f>
        <v/>
      </c>
      <c r="CJ482" s="100" t="str">
        <f aca="false">IF(ISBLANK($C482),"",OR($AL482="",$AM482="",$AN482=""))</f>
        <v/>
      </c>
      <c r="CK482" s="100" t="str">
        <f aca="false">IF(ISBLANK($C482),"",AND($AJ482,$AX482=""))</f>
        <v/>
      </c>
      <c r="CL482" s="100" t="str">
        <f aca="false">IF(ISBLANK($C482),"",AND($AJ482,$AY482=""))</f>
        <v/>
      </c>
      <c r="CM482" s="100" t="str">
        <f aca="false">IF(ISBLANK($C482),"",AND($AJ482,$AZ482=""))</f>
        <v/>
      </c>
      <c r="CN482" s="100" t="str">
        <f aca="false">IF(ISBLANK($C482),"",AND($AJ482,$BC482=""))</f>
        <v/>
      </c>
      <c r="CO482" s="100" t="str">
        <f aca="false">IF(ISBLANK($C482),"",AND($AJ482,$BF482=""))</f>
        <v/>
      </c>
      <c r="CP482" s="101"/>
      <c r="CQ482" s="102"/>
      <c r="CR482" s="103" t="str">
        <f aca="false">IF(ISBLANK($C482),"",IF($BH482=Constants!$B$8,$CI482,""))</f>
        <v/>
      </c>
      <c r="CS482" s="102" t="str">
        <f aca="false">IF(ISBLANK($C482),"",IF($BH482&lt;&gt;Constants!$B$4,"",$BK482+$BL482))</f>
        <v/>
      </c>
      <c r="CT482" s="104" t="str">
        <f aca="false">IF(ISBLANK($C482),"",IF($BH482&lt;&gt;Constants!$B$4,"",$BM482+$BN482+$BO482))</f>
        <v/>
      </c>
      <c r="CU482" s="104" t="str">
        <f aca="false">IF(ISBLANK($C482),"",IF($BH482&lt;&gt;Constants!$B$4,"",$BP482))</f>
        <v/>
      </c>
      <c r="CV482" s="104" t="str">
        <f aca="false">IF(ISBLANK($C482),"",IF($BH482&lt;&gt;Constants!$B$4,"",$BQ482+$BR482))</f>
        <v/>
      </c>
      <c r="CW482" s="104" t="str">
        <f aca="false">IF(ISBLANK($C482),"",IF($BH482&lt;&gt;Constants!$B$4,"",$BS482))</f>
        <v/>
      </c>
      <c r="CX482" s="104" t="str">
        <f aca="false">IF(ISBLANK($C482),"",IF($BH482&lt;&gt;Constants!$B$4,"",-$BZ482))</f>
        <v/>
      </c>
      <c r="CY482" s="103" t="str">
        <f aca="false">IF(ISBLANK($C482),"",$CA482)</f>
        <v/>
      </c>
      <c r="CZ482" s="105" t="str">
        <f aca="false">IF(ISBLANK($C482),"",$BI482)</f>
        <v/>
      </c>
      <c r="DA482" s="104" t="str">
        <f aca="false">IF(ISBLANK($C482),"",$CH482)</f>
        <v/>
      </c>
      <c r="DB482" s="104" t="str">
        <f aca="false">IF(ISBLANK($C482),"",$CG482)</f>
        <v/>
      </c>
      <c r="DC482" s="106" t="str">
        <f aca="false">IF(ISBLANK($C482),"",IFERROR(_xlfn.SWITCH($DB482,Constants!$B$7,COUNTA($C$9:$C$508)+2,Constants!$B$6,COUNTA($C$9:$C$508)+1,Constants!$B$5,COUNTA($C$9:$C$508)),$DB482))</f>
        <v/>
      </c>
      <c r="DD482" s="7"/>
      <c r="DE482" s="107" t="n">
        <f aca="false">IF(OR(ISNUMBER($DB482),$DB482=Constants!$B$7,$DB482=Constants!$B$5,$DB482=Constants!$B$6),1,0)</f>
        <v>0</v>
      </c>
      <c r="DF482" s="107" t="n">
        <v>474</v>
      </c>
      <c r="DG482" s="107" t="str">
        <f aca="false">IF(ISBLANK($C482),"",IF(ISNUMBER($DC482),$DC482+ROW($B482)/1000,""))</f>
        <v/>
      </c>
      <c r="DH482" s="107" t="str">
        <f aca="false">IF(ISNUMBER($DG482),RANK($DG482,$DG$9:$DG$508,1),"")</f>
        <v/>
      </c>
      <c r="DI482" s="107" t="str">
        <f aca="false">IF(ISBLANK($C482),"",$B482)</f>
        <v/>
      </c>
      <c r="DJ482" s="107" t="str">
        <f aca="false">IF(ISBLANK($C482),"",$C482)</f>
        <v/>
      </c>
      <c r="DK482" s="107" t="str">
        <f aca="false">IF(ISBLANK($C482),"",$D482)</f>
        <v/>
      </c>
      <c r="DL482" s="108" t="str">
        <f aca="false">$CZ482</f>
        <v/>
      </c>
      <c r="DM482" s="109" t="str">
        <f aca="false">$CY482</f>
        <v/>
      </c>
      <c r="DN482" s="107" t="str">
        <f aca="false">IF(ISBLANK($C482),"",$DB482)</f>
        <v/>
      </c>
      <c r="DO482" s="110" t="str">
        <f aca="false">IF($DF482&gt;$DE$8,"",VLOOKUP($DF482,$DH$9:$DN$508,7,FALSE()))</f>
        <v/>
      </c>
      <c r="DP482" s="111" t="str">
        <f aca="false">IF($DF482&gt;$DE$8,"",VLOOKUP($DF482,$DH$9:$DN$508,2,FALSE()))</f>
        <v/>
      </c>
      <c r="DQ482" s="111" t="str">
        <f aca="false">IF($DF482&gt;$DE$8,"",VLOOKUP($DF482,$DH$9:$DN$508,3,FALSE()))</f>
        <v/>
      </c>
      <c r="DR482" s="111" t="str">
        <f aca="false">IF($DF482&gt;$DE$8,"",VLOOKUP($DF482,$DH$9:$DN$508,4,FALSE()))</f>
        <v/>
      </c>
      <c r="DS482" s="111" t="str">
        <f aca="false">IF($DF482&gt;$DE$8,"",VLOOKUP($DF482,$DH$9:$DN$508,5,FALSE()))</f>
        <v/>
      </c>
      <c r="DT482" s="112" t="str">
        <f aca="false">IF($DF482&gt;$DE$8,"",VLOOKUP($DF482,$DH$9:$DN$508,6,FALSE()))</f>
        <v/>
      </c>
      <c r="DU482" s="62"/>
    </row>
    <row r="483" customFormat="false" ht="15.75" hidden="false" customHeight="false" outlineLevel="0" collapsed="false">
      <c r="A483" s="7"/>
      <c r="B483" s="64"/>
      <c r="C483" s="65"/>
      <c r="D483" s="123"/>
      <c r="E483" s="88"/>
      <c r="F483" s="134"/>
      <c r="G483" s="88"/>
      <c r="H483" s="134"/>
      <c r="I483" s="119"/>
      <c r="J483" s="119"/>
      <c r="K483" s="119"/>
      <c r="L483" s="88"/>
      <c r="M483" s="88"/>
      <c r="N483" s="88"/>
      <c r="O483" s="134"/>
      <c r="P483" s="88"/>
      <c r="Q483" s="88"/>
      <c r="R483" s="88"/>
      <c r="S483" s="88"/>
      <c r="T483" s="134"/>
      <c r="U483" s="88"/>
      <c r="V483" s="70"/>
      <c r="W483" s="88"/>
      <c r="X483" s="88"/>
      <c r="Y483" s="70"/>
      <c r="Z483" s="70"/>
      <c r="AA483" s="88"/>
      <c r="AB483" s="88"/>
      <c r="AC483" s="71"/>
      <c r="AD483" s="88"/>
      <c r="AE483" s="73"/>
      <c r="AF483" s="74"/>
      <c r="AG483" s="74"/>
      <c r="AH483" s="74" t="str">
        <f aca="false">IF(ISBLANK($C483),"",IF($E483=Constants!$B$2,TRUE(),IF($E483=Constants!$B$3,FALSE(),TRUE())))</f>
        <v/>
      </c>
      <c r="AI483" s="74" t="str">
        <f aca="false">IF(ISBLANK($C483),"",IF($F483=Constants!$B$2,TRUE(),IF($F483=Constants!$B$3,FALSE(),FALSE())))</f>
        <v/>
      </c>
      <c r="AJ483" s="74" t="str">
        <f aca="false">IF(ISBLANK($C483),"",IF($G483=Constants!$B$2,TRUE(),IF($G483=Constants!$B$3,FALSE(),TRUE())))</f>
        <v/>
      </c>
      <c r="AK483" s="74" t="str">
        <f aca="false">IF(ISBLANK($C483),"",IF($H483=Constants!$B$2,TRUE(),IF($H483=Constants!$B$3,FALSE(),TRUE())))</f>
        <v/>
      </c>
      <c r="AL483" s="74" t="str">
        <f aca="false">IF(ISBLANK($C483),"",IF(ISNUMBER($I483),IF($I483&gt;=0,$I483,""),""))</f>
        <v/>
      </c>
      <c r="AM483" s="74" t="str">
        <f aca="false">IF(ISBLANK($C483),"",IF(ISNUMBER($J483),IF($J483&gt;=0,$J483,""),""))</f>
        <v/>
      </c>
      <c r="AN483" s="74" t="str">
        <f aca="false">IF(ISBLANK($C483),"",IF(ISNUMBER($K483),IF($K483&gt;=0,$K483,""),""))</f>
        <v/>
      </c>
      <c r="AO483" s="74" t="str">
        <f aca="false">IF(ISBLANK($C483),"",IF($L483=Constants!$B$2,TRUE(),IF($L483=Constants!$B$3,FALSE(),TRUE())))</f>
        <v/>
      </c>
      <c r="AP483" s="74" t="str">
        <f aca="false">IF(ISBLANK($C483),"",IF($M483=Constants!$B$2,TRUE(),IF($M483=Constants!$B$3,FALSE(),TRUE())))</f>
        <v/>
      </c>
      <c r="AQ483" s="74" t="str">
        <f aca="false">IF(ISBLANK($C483),"",IF($N483=Constants!$B$2,TRUE(),IF($N483=Constants!$B$3,FALSE(),FALSE())))</f>
        <v/>
      </c>
      <c r="AR483" s="74" t="str">
        <f aca="false">IF(ISBLANK($C483),"",IF($O483=Constants!$B$2,TRUE(),IF($O483=Constants!$B$3,FALSE(),TRUE())))</f>
        <v/>
      </c>
      <c r="AS483" s="74" t="str">
        <f aca="false">IF(ISBLANK($C483),"",IF($P483=Constants!$B$2,TRUE(),IF($P483=Constants!$B$3,FALSE(),FALSE())))</f>
        <v/>
      </c>
      <c r="AT483" s="74" t="str">
        <f aca="false">IF(ISBLANK($C483),"",IF($Q483=Constants!$B$2,TRUE(),IF($Q483=Constants!$B$3,FALSE(),FALSE())))</f>
        <v/>
      </c>
      <c r="AU483" s="74" t="str">
        <f aca="false">IF(ISBLANK($C483),"",IF($R483=Constants!$B$2,TRUE(),IF($R483=Constants!$B$3,FALSE(),FALSE())))</f>
        <v/>
      </c>
      <c r="AV483" s="74" t="str">
        <f aca="false">IF(ISBLANK($C483),"",IF($S483=Constants!$B$2,TRUE(),IF($S483=Constants!$B$3,FALSE(),FALSE())))</f>
        <v/>
      </c>
      <c r="AW483" s="74" t="str">
        <f aca="false">IF(ISBLANK($C483),"",IF($T483=Constants!$B$2,TRUE(),IF($T483=Constants!$B$3,FALSE(),FALSE())))</f>
        <v/>
      </c>
      <c r="AX483" s="74" t="str">
        <f aca="false">IF(ISBLANK($C483),"",IF(OR($U483&amp;""="1",$U483&amp;""="2",$U483&amp;""="3",$U483&amp;""="4"),VALUE($U483&amp;""),IF($U483=Constants!$B$12,Constants!$B$12,"")))</f>
        <v/>
      </c>
      <c r="AY483" s="74" t="str">
        <f aca="false">IF(ISBLANK($C483),"",IF(ISBLANK($V483),0,IF(ISNUMBER($V483),IF(AND($V483&gt;=0,$V483&lt;=Constants!$B$21,$V483=INT($V483)),$V483,""),"")))</f>
        <v/>
      </c>
      <c r="AZ483" s="74" t="str">
        <f aca="false">IF(ISBLANK($C483),"",IF(ISBLANK($W483),0,IF(ISNUMBER($W483),IF($W483&gt;=0,$W483,""),"")))</f>
        <v/>
      </c>
      <c r="BA483" s="74" t="str">
        <f aca="false">IF(ISBLANK($C483),"",IF($X483=Constants!$B$2,TRUE(),IF($X483=Constants!$B$3,FALSE(),TRUE())))</f>
        <v/>
      </c>
      <c r="BB483" s="74" t="str">
        <f aca="false">IF(ISBLANK($C483),"",IF($Y483=Constants!$B$2,TRUE(),IF($Y483=Constants!$B$3,FALSE(),FALSE())))</f>
        <v/>
      </c>
      <c r="BC483" s="74" t="str">
        <f aca="false">IF(ISBLANK($C483),"",IF(ISBLANK($Z483),0,IF(ISNUMBER($Z483),IF(AND($Z483&gt;=0,$Z483&lt;=Constants!$B$35,$Z483=INT($Z483)),$Z483,""),"")))</f>
        <v/>
      </c>
      <c r="BD483" s="74" t="str">
        <f aca="false">IF(ISBLANK($C483),"",IF($AA483=Constants!$B$2,TRUE(),IF($AA483=Constants!$B$3,FALSE(),TRUE())))</f>
        <v/>
      </c>
      <c r="BE483" s="74" t="str">
        <f aca="false">IF(ISBLANK($C483),"",IF($AB483=Constants!$B$2,TRUE(),IF($AB483=Constants!$B$3,FALSE(),TRUE())))</f>
        <v/>
      </c>
      <c r="BF483" s="74" t="str">
        <f aca="false">IF(ISBLANK($C483),"",IF(ISNUMBER($AC483),IF($AC483&gt;=0,$AC483,""),""))</f>
        <v/>
      </c>
      <c r="BG483" s="74" t="str">
        <f aca="false">IF(ISBLANK($C483),"",IF($AD483=Constants!$B$2,TRUE(),IF($AD483=Constants!$B$3,FALSE(),FALSE())))</f>
        <v/>
      </c>
      <c r="BH483" s="73" t="str">
        <f aca="false">IF(ISBLANK($C483),"",IF($BG483,Constants!$B$7,IF(COUNTA($E483:$AC483)=0,Constants!$B$6,IF(OR(COUNTA($G483:$AC483)=0,NOT($AK483),$AQ483),Constants!$B$5,IF(OR($CI483&lt;&gt;"",$CJ483,$CK483,$CL483,$CM483,$CN483,$CO483),Constants!$B$8,Constants!$B$4)))))</f>
        <v/>
      </c>
      <c r="BI483" s="74" t="str">
        <f aca="false">IF(ISBLANK($C483),"",IF($BH483&lt;&gt;Constants!$B$4,$BH483,IF(OR(NOT($AH483),NOT($AJ483),NOT($AR483)),Constants!$B$11,IF(OR(NOT($AP483),MAX($AL483,$AM483,$AN483)&gt;Constants!$B$30),Constants!$B$10,Constants!$B$9))))</f>
        <v/>
      </c>
      <c r="BJ483" s="74" t="str">
        <f aca="false">IF($BH483&lt;&gt;Constants!$B$4,"",IF(NOT($AJ483),0,MIN(Constants!$B$35,$BC483)))</f>
        <v/>
      </c>
      <c r="BK483" s="74" t="str">
        <f aca="false">IF($BH483&lt;&gt;Constants!$B$4,"",IF(NOT($AJ483),0,IF($AT483,Constants!$B$18,IF($AS483,Constants!$B$17,0))))</f>
        <v/>
      </c>
      <c r="BL483" s="74" t="str">
        <f aca="false">IF($BH483&lt;&gt;Constants!$B$4,"",IF(NOT($AJ483),0,Constants!$B$19*($AI483+$AU483+$AV483+$AW483)))</f>
        <v/>
      </c>
      <c r="BM483" s="74" t="str">
        <f aca="false">IF($BH483&lt;&gt;Constants!$B$4,"",IF(OR(NOT($AJ483),NOT(ISNUMBER($AX483))),0,CHOOSE($AX483,Constants!$B$13,Constants!$B$14,Constants!$B$15,Constants!$B$16)))</f>
        <v/>
      </c>
      <c r="BN483" s="74" t="str">
        <f aca="false">IF($BH483&lt;&gt;Constants!$B$4,"",IF(NOT($AJ483),0,Constants!$B$20*$AY483))</f>
        <v/>
      </c>
      <c r="BO483" s="74" t="str">
        <f aca="false">IF($BH483&lt;&gt;Constants!$B$4,"",IF(AND($AJ483,$BA483,$BB483),Constants!$B$22,0))</f>
        <v/>
      </c>
      <c r="BP483" s="74" t="str">
        <f aca="false">IF($BH483&lt;&gt;Constants!$B$4,"",IF(OR(NOT($AJ483),NOT($BA483)),0,IF($BF483&gt;=2*$AF$9,0,Constants!$B$23*INT(ROUND(MIN($BF483,$AF$9),6)))))</f>
        <v/>
      </c>
      <c r="BQ483" s="74" t="str">
        <f aca="false">IF($BH483&lt;&gt;Constants!$B$4,"",IF(NOT($AJ483),0,Constants!$B$24*INT(ROUND(MIN($AZ483,$AF$9),6))))</f>
        <v/>
      </c>
      <c r="BR483" s="74" t="str">
        <f aca="false">IF($BH483&lt;&gt;Constants!$B$4,"",IF(AND($AJ483,$BJ483=0),Constants!$B$25,0))</f>
        <v/>
      </c>
      <c r="BS483" s="74" t="str">
        <f aca="false">IF($BH483&lt;&gt;Constants!$B$4,"",MIN(Constants!$B$29,MAX(0,Constants!$B$27*Constants!$B$28*INT(ROUND((Constants!$B$26-$AL483)/Constants!$B$28,6))))+MIN(Constants!$B$29,MAX(0,Constants!$B$27*Constants!$B$28*INT(ROUND((Constants!$B$26-$AM483)/Constants!$B$28,6))))+MIN(Constants!$B$29,MAX(0,Constants!$B$27*Constants!$B$28*INT(ROUND((Constants!$B$26-$AN483)/Constants!$B$28,6)))))</f>
        <v/>
      </c>
      <c r="BT483" s="74" t="str">
        <f aca="false">IF($BH483&lt;&gt;Constants!$B$4,"",IF(NOT($AJ483),0,Constants!$B$31*INT(ROUND(MAX(0,MIN($BF483,2*$AF$9)-$AF$9),6))))</f>
        <v/>
      </c>
      <c r="BU483" s="74" t="str">
        <f aca="false">IF($BH483&lt;&gt;Constants!$B$4,"",Constants!$B$32*(($AL483&gt;Constants!$B$26)+($AM483&gt;Constants!$B$26)+($AN483&gt;Constants!$B$26)))</f>
        <v/>
      </c>
      <c r="BV483" s="74" t="str">
        <f aca="false">IF($BH483&lt;&gt;Constants!$B$4,"",IF(OR(NOT($AJ483),$AO483),0,Constants!$B$33))</f>
        <v/>
      </c>
      <c r="BW483" s="74" t="str">
        <f aca="false">IF($BH483&lt;&gt;Constants!$B$4,"",Constants!$B$34*$BJ483)</f>
        <v/>
      </c>
      <c r="BX483" s="74" t="str">
        <f aca="false">IF($BH483&lt;&gt;Constants!$B$4,"",IF(OR(NOT($AJ483),$BE483),0,Constants!$B$36))</f>
        <v/>
      </c>
      <c r="BY483" s="74" t="str">
        <f aca="false">IF($BH483&lt;&gt;Constants!$B$4,"",IF(OR(NOT($AJ483),$BD483),0,Constants!$B$37))</f>
        <v/>
      </c>
      <c r="BZ483" s="74" t="str">
        <f aca="false">IF($BH483&lt;&gt;Constants!$B$4,"",SUM($BT483:$BY483))</f>
        <v/>
      </c>
      <c r="CA483" s="74" t="str">
        <f aca="false">IF(ISBLANK($C483),"",IF($BH483&lt;&gt;Constants!$B$4,$BH483,SUM($BK483:$BS483)-$BZ483))</f>
        <v/>
      </c>
      <c r="CB483" s="74" t="str">
        <f aca="false">IF(ISBLANK($C483),"",IF($BH483&lt;&gt;Constants!$B$4,$BH483,RANK($CA483,$CA$9:$CA$508)))</f>
        <v/>
      </c>
      <c r="CC483" s="74" t="str">
        <f aca="false">IF(ISBLANK($C483),"",IF($BH483&lt;&gt;Constants!$B$4,$BH483,COUNTIFS($BI$9:$BI$508,"&lt;"&amp;$BI483)+COUNTIFS($BI$9:$BI$508,$BI483,$CB$9:$CB$508,"&lt;"&amp;$CB483)+1))</f>
        <v/>
      </c>
      <c r="CD483" s="74" t="str">
        <f aca="false">IF(ISBLANK($C483),"",IF($BH483&lt;&gt;Constants!$B$4,$BH483,RANK($BZ483,$BZ$9:$BZ$508,1)))</f>
        <v/>
      </c>
      <c r="CE483" s="74" t="str">
        <f aca="false">IF($BH483&lt;&gt;Constants!$B$4,"",$AL483+$AM483+$AN483)</f>
        <v/>
      </c>
      <c r="CF483" s="74" t="str">
        <f aca="false">IF(ISBLANK($C483),"",IF($BH483&lt;&gt;Constants!$B$4,$BH483,RANK($CE483,$CE$9:$CE$508,1)))</f>
        <v/>
      </c>
      <c r="CG483" s="74" t="str">
        <f aca="false">IF(ISBLANK($C483),"",IF($BH483&lt;&gt;Constants!$B$4,$BH483,COUNTIFS($BI$9:$BI$508,"&lt;"&amp;$BI483)+COUNTIFS($BI$9:$BI$508,$BI483,$CB$9:$CB$508,"&lt;"&amp;$CB483)+COUNTIFS($BI$9:$BI$508,$BI483,$CB$9:$CB$508,$CB483,$CD$9:$CD$508,"&lt;"&amp;$CD483)+COUNTIFS($BI$9:$BI$508,$BI483,$CB$9:$CB$508,$CB483,$CD$9:$CD$508,$CD483,$CF$9:$CF$508,"&lt;"&amp;$CF483)+1))</f>
        <v/>
      </c>
      <c r="CH483" s="74" t="str">
        <f aca="false">IF(ISBLANK($C483),"",IF($BH483&lt;&gt;Constants!$B$4,$BH483,$CC483-$CG483))</f>
        <v/>
      </c>
      <c r="CI483" s="74" t="str">
        <f aca="false">IF(ISBLANK($C483),"",IF(NOT($AJ483),"",IF(ISBLANK($D$7),$CI$5,IF(NOT(ISNUMBER($D$7)),$CI$6,""))))</f>
        <v/>
      </c>
      <c r="CJ483" s="74" t="str">
        <f aca="false">IF(ISBLANK($C483),"",OR($AL483="",$AM483="",$AN483=""))</f>
        <v/>
      </c>
      <c r="CK483" s="74" t="str">
        <f aca="false">IF(ISBLANK($C483),"",AND($AJ483,$AX483=""))</f>
        <v/>
      </c>
      <c r="CL483" s="74" t="str">
        <f aca="false">IF(ISBLANK($C483),"",AND($AJ483,$AY483=""))</f>
        <v/>
      </c>
      <c r="CM483" s="74" t="str">
        <f aca="false">IF(ISBLANK($C483),"",AND($AJ483,$AZ483=""))</f>
        <v/>
      </c>
      <c r="CN483" s="74" t="str">
        <f aca="false">IF(ISBLANK($C483),"",AND($AJ483,$BC483=""))</f>
        <v/>
      </c>
      <c r="CO483" s="74" t="str">
        <f aca="false">IF(ISBLANK($C483),"",AND($AJ483,$BF483=""))</f>
        <v/>
      </c>
      <c r="CP483" s="75"/>
      <c r="CQ483" s="76"/>
      <c r="CR483" s="79" t="str">
        <f aca="false">IF(ISBLANK($C483),"",IF($BH483=Constants!$B$8,$CI483,""))</f>
        <v/>
      </c>
      <c r="CS483" s="76" t="str">
        <f aca="false">IF(ISBLANK($C483),"",IF($BH483&lt;&gt;Constants!$B$4,"",$BK483+$BL483))</f>
        <v/>
      </c>
      <c r="CT483" s="78" t="str">
        <f aca="false">IF(ISBLANK($C483),"",IF($BH483&lt;&gt;Constants!$B$4,"",$BM483+$BN483+$BO483))</f>
        <v/>
      </c>
      <c r="CU483" s="78" t="str">
        <f aca="false">IF(ISBLANK($C483),"",IF($BH483&lt;&gt;Constants!$B$4,"",$BP483))</f>
        <v/>
      </c>
      <c r="CV483" s="78" t="str">
        <f aca="false">IF(ISBLANK($C483),"",IF($BH483&lt;&gt;Constants!$B$4,"",$BQ483+$BR483))</f>
        <v/>
      </c>
      <c r="CW483" s="78" t="str">
        <f aca="false">IF(ISBLANK($C483),"",IF($BH483&lt;&gt;Constants!$B$4,"",$BS483))</f>
        <v/>
      </c>
      <c r="CX483" s="78" t="str">
        <f aca="false">IF(ISBLANK($C483),"",IF($BH483&lt;&gt;Constants!$B$4,"",-$BZ483))</f>
        <v/>
      </c>
      <c r="CY483" s="79" t="str">
        <f aca="false">IF(ISBLANK($C483),"",$CA483)</f>
        <v/>
      </c>
      <c r="CZ483" s="80" t="str">
        <f aca="false">IF(ISBLANK($C483),"",$BI483)</f>
        <v/>
      </c>
      <c r="DA483" s="78" t="str">
        <f aca="false">IF(ISBLANK($C483),"",$CH483)</f>
        <v/>
      </c>
      <c r="DB483" s="78" t="str">
        <f aca="false">IF(ISBLANK($C483),"",$CG483)</f>
        <v/>
      </c>
      <c r="DC483" s="81" t="str">
        <f aca="false">IF(ISBLANK($C483),"",IFERROR(_xlfn.SWITCH($DB483,Constants!$B$7,COUNTA($C$9:$C$508)+2,Constants!$B$6,COUNTA($C$9:$C$508)+1,Constants!$B$5,COUNTA($C$9:$C$508)),$DB483))</f>
        <v/>
      </c>
      <c r="DD483" s="7"/>
      <c r="DE483" s="82" t="n">
        <f aca="false">IF(OR(ISNUMBER($DB483),$DB483=Constants!$B$7,$DB483=Constants!$B$5,$DB483=Constants!$B$6),1,0)</f>
        <v>0</v>
      </c>
      <c r="DF483" s="82" t="n">
        <v>475</v>
      </c>
      <c r="DG483" s="82" t="str">
        <f aca="false">IF(ISBLANK($C483),"",IF(ISNUMBER($DC483),$DC483+ROW($B483)/1000,""))</f>
        <v/>
      </c>
      <c r="DH483" s="82" t="str">
        <f aca="false">IF(ISNUMBER($DG483),RANK($DG483,$DG$9:$DG$508,1),"")</f>
        <v/>
      </c>
      <c r="DI483" s="82" t="str">
        <f aca="false">IF(ISBLANK($C483),"",$B483)</f>
        <v/>
      </c>
      <c r="DJ483" s="82" t="str">
        <f aca="false">IF(ISBLANK($C483),"",$C483)</f>
        <v/>
      </c>
      <c r="DK483" s="82" t="str">
        <f aca="false">IF(ISBLANK($C483),"",$D483)</f>
        <v/>
      </c>
      <c r="DL483" s="83" t="str">
        <f aca="false">$CZ483</f>
        <v/>
      </c>
      <c r="DM483" s="84" t="str">
        <f aca="false">$CY483</f>
        <v/>
      </c>
      <c r="DN483" s="82" t="str">
        <f aca="false">IF(ISBLANK($C483),"",$DB483)</f>
        <v/>
      </c>
      <c r="DO483" s="85" t="str">
        <f aca="false">IF($DF483&gt;$DE$8,"",VLOOKUP($DF483,$DH$9:$DN$508,7,FALSE()))</f>
        <v/>
      </c>
      <c r="DP483" s="86" t="str">
        <f aca="false">IF($DF483&gt;$DE$8,"",VLOOKUP($DF483,$DH$9:$DN$508,2,FALSE()))</f>
        <v/>
      </c>
      <c r="DQ483" s="86" t="str">
        <f aca="false">IF($DF483&gt;$DE$8,"",VLOOKUP($DF483,$DH$9:$DN$508,3,FALSE()))</f>
        <v/>
      </c>
      <c r="DR483" s="86" t="str">
        <f aca="false">IF($DF483&gt;$DE$8,"",VLOOKUP($DF483,$DH$9:$DN$508,4,FALSE()))</f>
        <v/>
      </c>
      <c r="DS483" s="86" t="str">
        <f aca="false">IF($DF483&gt;$DE$8,"",VLOOKUP($DF483,$DH$9:$DN$508,5,FALSE()))</f>
        <v/>
      </c>
      <c r="DT483" s="87" t="str">
        <f aca="false">IF($DF483&gt;$DE$8,"",VLOOKUP($DF483,$DH$9:$DN$508,6,FALSE()))</f>
        <v/>
      </c>
      <c r="DU483" s="62"/>
    </row>
    <row r="484" customFormat="false" ht="15.75" hidden="false" customHeight="false" outlineLevel="0" collapsed="false">
      <c r="A484" s="7"/>
      <c r="B484" s="64"/>
      <c r="C484" s="65"/>
      <c r="D484" s="123"/>
      <c r="E484" s="88"/>
      <c r="F484" s="134"/>
      <c r="G484" s="88"/>
      <c r="H484" s="134"/>
      <c r="I484" s="119"/>
      <c r="J484" s="119"/>
      <c r="K484" s="119"/>
      <c r="L484" s="88"/>
      <c r="M484" s="88"/>
      <c r="N484" s="88"/>
      <c r="O484" s="134"/>
      <c r="P484" s="88"/>
      <c r="Q484" s="88"/>
      <c r="R484" s="88"/>
      <c r="S484" s="88"/>
      <c r="T484" s="134"/>
      <c r="U484" s="88"/>
      <c r="V484" s="70"/>
      <c r="W484" s="88"/>
      <c r="X484" s="88"/>
      <c r="Y484" s="70"/>
      <c r="Z484" s="70"/>
      <c r="AA484" s="88"/>
      <c r="AB484" s="88"/>
      <c r="AC484" s="71"/>
      <c r="AD484" s="88"/>
      <c r="AE484" s="73"/>
      <c r="AF484" s="74"/>
      <c r="AG484" s="74"/>
      <c r="AH484" s="74" t="str">
        <f aca="false">IF(ISBLANK($C484),"",IF($E484=Constants!$B$2,TRUE(),IF($E484=Constants!$B$3,FALSE(),TRUE())))</f>
        <v/>
      </c>
      <c r="AI484" s="74" t="str">
        <f aca="false">IF(ISBLANK($C484),"",IF($F484=Constants!$B$2,TRUE(),IF($F484=Constants!$B$3,FALSE(),FALSE())))</f>
        <v/>
      </c>
      <c r="AJ484" s="74" t="str">
        <f aca="false">IF(ISBLANK($C484),"",IF($G484=Constants!$B$2,TRUE(),IF($G484=Constants!$B$3,FALSE(),TRUE())))</f>
        <v/>
      </c>
      <c r="AK484" s="74" t="str">
        <f aca="false">IF(ISBLANK($C484),"",IF($H484=Constants!$B$2,TRUE(),IF($H484=Constants!$B$3,FALSE(),TRUE())))</f>
        <v/>
      </c>
      <c r="AL484" s="74" t="str">
        <f aca="false">IF(ISBLANK($C484),"",IF(ISNUMBER($I484),IF($I484&gt;=0,$I484,""),""))</f>
        <v/>
      </c>
      <c r="AM484" s="74" t="str">
        <f aca="false">IF(ISBLANK($C484),"",IF(ISNUMBER($J484),IF($J484&gt;=0,$J484,""),""))</f>
        <v/>
      </c>
      <c r="AN484" s="74" t="str">
        <f aca="false">IF(ISBLANK($C484),"",IF(ISNUMBER($K484),IF($K484&gt;=0,$K484,""),""))</f>
        <v/>
      </c>
      <c r="AO484" s="74" t="str">
        <f aca="false">IF(ISBLANK($C484),"",IF($L484=Constants!$B$2,TRUE(),IF($L484=Constants!$B$3,FALSE(),TRUE())))</f>
        <v/>
      </c>
      <c r="AP484" s="74" t="str">
        <f aca="false">IF(ISBLANK($C484),"",IF($M484=Constants!$B$2,TRUE(),IF($M484=Constants!$B$3,FALSE(),TRUE())))</f>
        <v/>
      </c>
      <c r="AQ484" s="74" t="str">
        <f aca="false">IF(ISBLANK($C484),"",IF($N484=Constants!$B$2,TRUE(),IF($N484=Constants!$B$3,FALSE(),FALSE())))</f>
        <v/>
      </c>
      <c r="AR484" s="74" t="str">
        <f aca="false">IF(ISBLANK($C484),"",IF($O484=Constants!$B$2,TRUE(),IF($O484=Constants!$B$3,FALSE(),TRUE())))</f>
        <v/>
      </c>
      <c r="AS484" s="74" t="str">
        <f aca="false">IF(ISBLANK($C484),"",IF($P484=Constants!$B$2,TRUE(),IF($P484=Constants!$B$3,FALSE(),FALSE())))</f>
        <v/>
      </c>
      <c r="AT484" s="74" t="str">
        <f aca="false">IF(ISBLANK($C484),"",IF($Q484=Constants!$B$2,TRUE(),IF($Q484=Constants!$B$3,FALSE(),FALSE())))</f>
        <v/>
      </c>
      <c r="AU484" s="74" t="str">
        <f aca="false">IF(ISBLANK($C484),"",IF($R484=Constants!$B$2,TRUE(),IF($R484=Constants!$B$3,FALSE(),FALSE())))</f>
        <v/>
      </c>
      <c r="AV484" s="74" t="str">
        <f aca="false">IF(ISBLANK($C484),"",IF($S484=Constants!$B$2,TRUE(),IF($S484=Constants!$B$3,FALSE(),FALSE())))</f>
        <v/>
      </c>
      <c r="AW484" s="74" t="str">
        <f aca="false">IF(ISBLANK($C484),"",IF($T484=Constants!$B$2,TRUE(),IF($T484=Constants!$B$3,FALSE(),FALSE())))</f>
        <v/>
      </c>
      <c r="AX484" s="74" t="str">
        <f aca="false">IF(ISBLANK($C484),"",IF(OR($U484&amp;""="1",$U484&amp;""="2",$U484&amp;""="3",$U484&amp;""="4"),VALUE($U484&amp;""),IF($U484=Constants!$B$12,Constants!$B$12,"")))</f>
        <v/>
      </c>
      <c r="AY484" s="74" t="str">
        <f aca="false">IF(ISBLANK($C484),"",IF(ISBLANK($V484),0,IF(ISNUMBER($V484),IF(AND($V484&gt;=0,$V484&lt;=Constants!$B$21,$V484=INT($V484)),$V484,""),"")))</f>
        <v/>
      </c>
      <c r="AZ484" s="74" t="str">
        <f aca="false">IF(ISBLANK($C484),"",IF(ISBLANK($W484),0,IF(ISNUMBER($W484),IF($W484&gt;=0,$W484,""),"")))</f>
        <v/>
      </c>
      <c r="BA484" s="74" t="str">
        <f aca="false">IF(ISBLANK($C484),"",IF($X484=Constants!$B$2,TRUE(),IF($X484=Constants!$B$3,FALSE(),TRUE())))</f>
        <v/>
      </c>
      <c r="BB484" s="74" t="str">
        <f aca="false">IF(ISBLANK($C484),"",IF($Y484=Constants!$B$2,TRUE(),IF($Y484=Constants!$B$3,FALSE(),FALSE())))</f>
        <v/>
      </c>
      <c r="BC484" s="74" t="str">
        <f aca="false">IF(ISBLANK($C484),"",IF(ISBLANK($Z484),0,IF(ISNUMBER($Z484),IF(AND($Z484&gt;=0,$Z484&lt;=Constants!$B$35,$Z484=INT($Z484)),$Z484,""),"")))</f>
        <v/>
      </c>
      <c r="BD484" s="74" t="str">
        <f aca="false">IF(ISBLANK($C484),"",IF($AA484=Constants!$B$2,TRUE(),IF($AA484=Constants!$B$3,FALSE(),TRUE())))</f>
        <v/>
      </c>
      <c r="BE484" s="74" t="str">
        <f aca="false">IF(ISBLANK($C484),"",IF($AB484=Constants!$B$2,TRUE(),IF($AB484=Constants!$B$3,FALSE(),TRUE())))</f>
        <v/>
      </c>
      <c r="BF484" s="74" t="str">
        <f aca="false">IF(ISBLANK($C484),"",IF(ISNUMBER($AC484),IF($AC484&gt;=0,$AC484,""),""))</f>
        <v/>
      </c>
      <c r="BG484" s="74" t="str">
        <f aca="false">IF(ISBLANK($C484),"",IF($AD484=Constants!$B$2,TRUE(),IF($AD484=Constants!$B$3,FALSE(),FALSE())))</f>
        <v/>
      </c>
      <c r="BH484" s="73" t="str">
        <f aca="false">IF(ISBLANK($C484),"",IF($BG484,Constants!$B$7,IF(COUNTA($E484:$AC484)=0,Constants!$B$6,IF(OR(COUNTA($G484:$AC484)=0,NOT($AK484),$AQ484),Constants!$B$5,IF(OR($CI484&lt;&gt;"",$CJ484,$CK484,$CL484,$CM484,$CN484,$CO484),Constants!$B$8,Constants!$B$4)))))</f>
        <v/>
      </c>
      <c r="BI484" s="74" t="str">
        <f aca="false">IF(ISBLANK($C484),"",IF($BH484&lt;&gt;Constants!$B$4,$BH484,IF(OR(NOT($AH484),NOT($AJ484),NOT($AR484)),Constants!$B$11,IF(OR(NOT($AP484),MAX($AL484,$AM484,$AN484)&gt;Constants!$B$30),Constants!$B$10,Constants!$B$9))))</f>
        <v/>
      </c>
      <c r="BJ484" s="74" t="str">
        <f aca="false">IF($BH484&lt;&gt;Constants!$B$4,"",IF(NOT($AJ484),0,MIN(Constants!$B$35,$BC484)))</f>
        <v/>
      </c>
      <c r="BK484" s="74" t="str">
        <f aca="false">IF($BH484&lt;&gt;Constants!$B$4,"",IF(NOT($AJ484),0,IF($AT484,Constants!$B$18,IF($AS484,Constants!$B$17,0))))</f>
        <v/>
      </c>
      <c r="BL484" s="74" t="str">
        <f aca="false">IF($BH484&lt;&gt;Constants!$B$4,"",IF(NOT($AJ484),0,Constants!$B$19*($AI484+$AU484+$AV484+$AW484)))</f>
        <v/>
      </c>
      <c r="BM484" s="74" t="str">
        <f aca="false">IF($BH484&lt;&gt;Constants!$B$4,"",IF(OR(NOT($AJ484),NOT(ISNUMBER($AX484))),0,CHOOSE($AX484,Constants!$B$13,Constants!$B$14,Constants!$B$15,Constants!$B$16)))</f>
        <v/>
      </c>
      <c r="BN484" s="74" t="str">
        <f aca="false">IF($BH484&lt;&gt;Constants!$B$4,"",IF(NOT($AJ484),0,Constants!$B$20*$AY484))</f>
        <v/>
      </c>
      <c r="BO484" s="74" t="str">
        <f aca="false">IF($BH484&lt;&gt;Constants!$B$4,"",IF(AND($AJ484,$BA484,$BB484),Constants!$B$22,0))</f>
        <v/>
      </c>
      <c r="BP484" s="74" t="str">
        <f aca="false">IF($BH484&lt;&gt;Constants!$B$4,"",IF(OR(NOT($AJ484),NOT($BA484)),0,IF($BF484&gt;=2*$AF$9,0,Constants!$B$23*INT(ROUND(MIN($BF484,$AF$9),6)))))</f>
        <v/>
      </c>
      <c r="BQ484" s="74" t="str">
        <f aca="false">IF($BH484&lt;&gt;Constants!$B$4,"",IF(NOT($AJ484),0,Constants!$B$24*INT(ROUND(MIN($AZ484,$AF$9),6))))</f>
        <v/>
      </c>
      <c r="BR484" s="74" t="str">
        <f aca="false">IF($BH484&lt;&gt;Constants!$B$4,"",IF(AND($AJ484,$BJ484=0),Constants!$B$25,0))</f>
        <v/>
      </c>
      <c r="BS484" s="74" t="str">
        <f aca="false">IF($BH484&lt;&gt;Constants!$B$4,"",MIN(Constants!$B$29,MAX(0,Constants!$B$27*Constants!$B$28*INT(ROUND((Constants!$B$26-$AL484)/Constants!$B$28,6))))+MIN(Constants!$B$29,MAX(0,Constants!$B$27*Constants!$B$28*INT(ROUND((Constants!$B$26-$AM484)/Constants!$B$28,6))))+MIN(Constants!$B$29,MAX(0,Constants!$B$27*Constants!$B$28*INT(ROUND((Constants!$B$26-$AN484)/Constants!$B$28,6)))))</f>
        <v/>
      </c>
      <c r="BT484" s="74" t="str">
        <f aca="false">IF($BH484&lt;&gt;Constants!$B$4,"",IF(NOT($AJ484),0,Constants!$B$31*INT(ROUND(MAX(0,MIN($BF484,2*$AF$9)-$AF$9),6))))</f>
        <v/>
      </c>
      <c r="BU484" s="74" t="str">
        <f aca="false">IF($BH484&lt;&gt;Constants!$B$4,"",Constants!$B$32*(($AL484&gt;Constants!$B$26)+($AM484&gt;Constants!$B$26)+($AN484&gt;Constants!$B$26)))</f>
        <v/>
      </c>
      <c r="BV484" s="74" t="str">
        <f aca="false">IF($BH484&lt;&gt;Constants!$B$4,"",IF(OR(NOT($AJ484),$AO484),0,Constants!$B$33))</f>
        <v/>
      </c>
      <c r="BW484" s="74" t="str">
        <f aca="false">IF($BH484&lt;&gt;Constants!$B$4,"",Constants!$B$34*$BJ484)</f>
        <v/>
      </c>
      <c r="BX484" s="74" t="str">
        <f aca="false">IF($BH484&lt;&gt;Constants!$B$4,"",IF(OR(NOT($AJ484),$BE484),0,Constants!$B$36))</f>
        <v/>
      </c>
      <c r="BY484" s="74" t="str">
        <f aca="false">IF($BH484&lt;&gt;Constants!$B$4,"",IF(OR(NOT($AJ484),$BD484),0,Constants!$B$37))</f>
        <v/>
      </c>
      <c r="BZ484" s="74" t="str">
        <f aca="false">IF($BH484&lt;&gt;Constants!$B$4,"",SUM($BT484:$BY484))</f>
        <v/>
      </c>
      <c r="CA484" s="74" t="str">
        <f aca="false">IF(ISBLANK($C484),"",IF($BH484&lt;&gt;Constants!$B$4,$BH484,SUM($BK484:$BS484)-$BZ484))</f>
        <v/>
      </c>
      <c r="CB484" s="74" t="str">
        <f aca="false">IF(ISBLANK($C484),"",IF($BH484&lt;&gt;Constants!$B$4,$BH484,RANK($CA484,$CA$9:$CA$508)))</f>
        <v/>
      </c>
      <c r="CC484" s="74" t="str">
        <f aca="false">IF(ISBLANK($C484),"",IF($BH484&lt;&gt;Constants!$B$4,$BH484,COUNTIFS($BI$9:$BI$508,"&lt;"&amp;$BI484)+COUNTIFS($BI$9:$BI$508,$BI484,$CB$9:$CB$508,"&lt;"&amp;$CB484)+1))</f>
        <v/>
      </c>
      <c r="CD484" s="74" t="str">
        <f aca="false">IF(ISBLANK($C484),"",IF($BH484&lt;&gt;Constants!$B$4,$BH484,RANK($BZ484,$BZ$9:$BZ$508,1)))</f>
        <v/>
      </c>
      <c r="CE484" s="74" t="str">
        <f aca="false">IF($BH484&lt;&gt;Constants!$B$4,"",$AL484+$AM484+$AN484)</f>
        <v/>
      </c>
      <c r="CF484" s="74" t="str">
        <f aca="false">IF(ISBLANK($C484),"",IF($BH484&lt;&gt;Constants!$B$4,$BH484,RANK($CE484,$CE$9:$CE$508,1)))</f>
        <v/>
      </c>
      <c r="CG484" s="74" t="str">
        <f aca="false">IF(ISBLANK($C484),"",IF($BH484&lt;&gt;Constants!$B$4,$BH484,COUNTIFS($BI$9:$BI$508,"&lt;"&amp;$BI484)+COUNTIFS($BI$9:$BI$508,$BI484,$CB$9:$CB$508,"&lt;"&amp;$CB484)+COUNTIFS($BI$9:$BI$508,$BI484,$CB$9:$CB$508,$CB484,$CD$9:$CD$508,"&lt;"&amp;$CD484)+COUNTIFS($BI$9:$BI$508,$BI484,$CB$9:$CB$508,$CB484,$CD$9:$CD$508,$CD484,$CF$9:$CF$508,"&lt;"&amp;$CF484)+1))</f>
        <v/>
      </c>
      <c r="CH484" s="74" t="str">
        <f aca="false">IF(ISBLANK($C484),"",IF($BH484&lt;&gt;Constants!$B$4,$BH484,$CC484-$CG484))</f>
        <v/>
      </c>
      <c r="CI484" s="74" t="str">
        <f aca="false">IF(ISBLANK($C484),"",IF(NOT($AJ484),"",IF(ISBLANK($D$7),$CI$5,IF(NOT(ISNUMBER($D$7)),$CI$6,""))))</f>
        <v/>
      </c>
      <c r="CJ484" s="74" t="str">
        <f aca="false">IF(ISBLANK($C484),"",OR($AL484="",$AM484="",$AN484=""))</f>
        <v/>
      </c>
      <c r="CK484" s="74" t="str">
        <f aca="false">IF(ISBLANK($C484),"",AND($AJ484,$AX484=""))</f>
        <v/>
      </c>
      <c r="CL484" s="74" t="str">
        <f aca="false">IF(ISBLANK($C484),"",AND($AJ484,$AY484=""))</f>
        <v/>
      </c>
      <c r="CM484" s="74" t="str">
        <f aca="false">IF(ISBLANK($C484),"",AND($AJ484,$AZ484=""))</f>
        <v/>
      </c>
      <c r="CN484" s="74" t="str">
        <f aca="false">IF(ISBLANK($C484),"",AND($AJ484,$BC484=""))</f>
        <v/>
      </c>
      <c r="CO484" s="74" t="str">
        <f aca="false">IF(ISBLANK($C484),"",AND($AJ484,$BF484=""))</f>
        <v/>
      </c>
      <c r="CP484" s="75"/>
      <c r="CQ484" s="76"/>
      <c r="CR484" s="79" t="str">
        <f aca="false">IF(ISBLANK($C484),"",IF($BH484=Constants!$B$8,$CI484,""))</f>
        <v/>
      </c>
      <c r="CS484" s="76" t="str">
        <f aca="false">IF(ISBLANK($C484),"",IF($BH484&lt;&gt;Constants!$B$4,"",$BK484+$BL484))</f>
        <v/>
      </c>
      <c r="CT484" s="78" t="str">
        <f aca="false">IF(ISBLANK($C484),"",IF($BH484&lt;&gt;Constants!$B$4,"",$BM484+$BN484+$BO484))</f>
        <v/>
      </c>
      <c r="CU484" s="78" t="str">
        <f aca="false">IF(ISBLANK($C484),"",IF($BH484&lt;&gt;Constants!$B$4,"",$BP484))</f>
        <v/>
      </c>
      <c r="CV484" s="78" t="str">
        <f aca="false">IF(ISBLANK($C484),"",IF($BH484&lt;&gt;Constants!$B$4,"",$BQ484+$BR484))</f>
        <v/>
      </c>
      <c r="CW484" s="78" t="str">
        <f aca="false">IF(ISBLANK($C484),"",IF($BH484&lt;&gt;Constants!$B$4,"",$BS484))</f>
        <v/>
      </c>
      <c r="CX484" s="78" t="str">
        <f aca="false">IF(ISBLANK($C484),"",IF($BH484&lt;&gt;Constants!$B$4,"",-$BZ484))</f>
        <v/>
      </c>
      <c r="CY484" s="79" t="str">
        <f aca="false">IF(ISBLANK($C484),"",$CA484)</f>
        <v/>
      </c>
      <c r="CZ484" s="80" t="str">
        <f aca="false">IF(ISBLANK($C484),"",$BI484)</f>
        <v/>
      </c>
      <c r="DA484" s="78" t="str">
        <f aca="false">IF(ISBLANK($C484),"",$CH484)</f>
        <v/>
      </c>
      <c r="DB484" s="78" t="str">
        <f aca="false">IF(ISBLANK($C484),"",$CG484)</f>
        <v/>
      </c>
      <c r="DC484" s="81" t="str">
        <f aca="false">IF(ISBLANK($C484),"",IFERROR(_xlfn.SWITCH($DB484,Constants!$B$7,COUNTA($C$9:$C$508)+2,Constants!$B$6,COUNTA($C$9:$C$508)+1,Constants!$B$5,COUNTA($C$9:$C$508)),$DB484))</f>
        <v/>
      </c>
      <c r="DD484" s="7"/>
      <c r="DE484" s="82" t="n">
        <f aca="false">IF(OR(ISNUMBER($DB484),$DB484=Constants!$B$7,$DB484=Constants!$B$5,$DB484=Constants!$B$6),1,0)</f>
        <v>0</v>
      </c>
      <c r="DF484" s="82" t="n">
        <v>476</v>
      </c>
      <c r="DG484" s="82" t="str">
        <f aca="false">IF(ISBLANK($C484),"",IF(ISNUMBER($DC484),$DC484+ROW($B484)/1000,""))</f>
        <v/>
      </c>
      <c r="DH484" s="82" t="str">
        <f aca="false">IF(ISNUMBER($DG484),RANK($DG484,$DG$9:$DG$508,1),"")</f>
        <v/>
      </c>
      <c r="DI484" s="82" t="str">
        <f aca="false">IF(ISBLANK($C484),"",$B484)</f>
        <v/>
      </c>
      <c r="DJ484" s="82" t="str">
        <f aca="false">IF(ISBLANK($C484),"",$C484)</f>
        <v/>
      </c>
      <c r="DK484" s="82" t="str">
        <f aca="false">IF(ISBLANK($C484),"",$D484)</f>
        <v/>
      </c>
      <c r="DL484" s="83" t="str">
        <f aca="false">$CZ484</f>
        <v/>
      </c>
      <c r="DM484" s="84" t="str">
        <f aca="false">$CY484</f>
        <v/>
      </c>
      <c r="DN484" s="82" t="str">
        <f aca="false">IF(ISBLANK($C484),"",$DB484)</f>
        <v/>
      </c>
      <c r="DO484" s="85" t="str">
        <f aca="false">IF($DF484&gt;$DE$8,"",VLOOKUP($DF484,$DH$9:$DN$508,7,FALSE()))</f>
        <v/>
      </c>
      <c r="DP484" s="86" t="str">
        <f aca="false">IF($DF484&gt;$DE$8,"",VLOOKUP($DF484,$DH$9:$DN$508,2,FALSE()))</f>
        <v/>
      </c>
      <c r="DQ484" s="86" t="str">
        <f aca="false">IF($DF484&gt;$DE$8,"",VLOOKUP($DF484,$DH$9:$DN$508,3,FALSE()))</f>
        <v/>
      </c>
      <c r="DR484" s="86" t="str">
        <f aca="false">IF($DF484&gt;$DE$8,"",VLOOKUP($DF484,$DH$9:$DN$508,4,FALSE()))</f>
        <v/>
      </c>
      <c r="DS484" s="86" t="str">
        <f aca="false">IF($DF484&gt;$DE$8,"",VLOOKUP($DF484,$DH$9:$DN$508,5,FALSE()))</f>
        <v/>
      </c>
      <c r="DT484" s="87" t="str">
        <f aca="false">IF($DF484&gt;$DE$8,"",VLOOKUP($DF484,$DH$9:$DN$508,6,FALSE()))</f>
        <v/>
      </c>
      <c r="DU484" s="62"/>
    </row>
    <row r="485" customFormat="false" ht="15.75" hidden="false" customHeight="false" outlineLevel="0" collapsed="false">
      <c r="A485" s="7"/>
      <c r="B485" s="64"/>
      <c r="C485" s="65"/>
      <c r="D485" s="123"/>
      <c r="E485" s="88"/>
      <c r="F485" s="134"/>
      <c r="G485" s="88"/>
      <c r="H485" s="134"/>
      <c r="I485" s="119"/>
      <c r="J485" s="119"/>
      <c r="K485" s="119"/>
      <c r="L485" s="88"/>
      <c r="M485" s="88"/>
      <c r="N485" s="88"/>
      <c r="O485" s="134"/>
      <c r="P485" s="88"/>
      <c r="Q485" s="88"/>
      <c r="R485" s="88"/>
      <c r="S485" s="88"/>
      <c r="T485" s="134"/>
      <c r="U485" s="88"/>
      <c r="V485" s="70"/>
      <c r="W485" s="88"/>
      <c r="X485" s="88"/>
      <c r="Y485" s="70"/>
      <c r="Z485" s="70"/>
      <c r="AA485" s="88"/>
      <c r="AB485" s="88"/>
      <c r="AC485" s="71"/>
      <c r="AD485" s="88"/>
      <c r="AE485" s="73"/>
      <c r="AF485" s="74"/>
      <c r="AG485" s="74"/>
      <c r="AH485" s="74" t="str">
        <f aca="false">IF(ISBLANK($C485),"",IF($E485=Constants!$B$2,TRUE(),IF($E485=Constants!$B$3,FALSE(),TRUE())))</f>
        <v/>
      </c>
      <c r="AI485" s="74" t="str">
        <f aca="false">IF(ISBLANK($C485),"",IF($F485=Constants!$B$2,TRUE(),IF($F485=Constants!$B$3,FALSE(),FALSE())))</f>
        <v/>
      </c>
      <c r="AJ485" s="74" t="str">
        <f aca="false">IF(ISBLANK($C485),"",IF($G485=Constants!$B$2,TRUE(),IF($G485=Constants!$B$3,FALSE(),TRUE())))</f>
        <v/>
      </c>
      <c r="AK485" s="74" t="str">
        <f aca="false">IF(ISBLANK($C485),"",IF($H485=Constants!$B$2,TRUE(),IF($H485=Constants!$B$3,FALSE(),TRUE())))</f>
        <v/>
      </c>
      <c r="AL485" s="74" t="str">
        <f aca="false">IF(ISBLANK($C485),"",IF(ISNUMBER($I485),IF($I485&gt;=0,$I485,""),""))</f>
        <v/>
      </c>
      <c r="AM485" s="74" t="str">
        <f aca="false">IF(ISBLANK($C485),"",IF(ISNUMBER($J485),IF($J485&gt;=0,$J485,""),""))</f>
        <v/>
      </c>
      <c r="AN485" s="74" t="str">
        <f aca="false">IF(ISBLANK($C485),"",IF(ISNUMBER($K485),IF($K485&gt;=0,$K485,""),""))</f>
        <v/>
      </c>
      <c r="AO485" s="74" t="str">
        <f aca="false">IF(ISBLANK($C485),"",IF($L485=Constants!$B$2,TRUE(),IF($L485=Constants!$B$3,FALSE(),TRUE())))</f>
        <v/>
      </c>
      <c r="AP485" s="74" t="str">
        <f aca="false">IF(ISBLANK($C485),"",IF($M485=Constants!$B$2,TRUE(),IF($M485=Constants!$B$3,FALSE(),TRUE())))</f>
        <v/>
      </c>
      <c r="AQ485" s="74" t="str">
        <f aca="false">IF(ISBLANK($C485),"",IF($N485=Constants!$B$2,TRUE(),IF($N485=Constants!$B$3,FALSE(),FALSE())))</f>
        <v/>
      </c>
      <c r="AR485" s="74" t="str">
        <f aca="false">IF(ISBLANK($C485),"",IF($O485=Constants!$B$2,TRUE(),IF($O485=Constants!$B$3,FALSE(),TRUE())))</f>
        <v/>
      </c>
      <c r="AS485" s="74" t="str">
        <f aca="false">IF(ISBLANK($C485),"",IF($P485=Constants!$B$2,TRUE(),IF($P485=Constants!$B$3,FALSE(),FALSE())))</f>
        <v/>
      </c>
      <c r="AT485" s="74" t="str">
        <f aca="false">IF(ISBLANK($C485),"",IF($Q485=Constants!$B$2,TRUE(),IF($Q485=Constants!$B$3,FALSE(),FALSE())))</f>
        <v/>
      </c>
      <c r="AU485" s="74" t="str">
        <f aca="false">IF(ISBLANK($C485),"",IF($R485=Constants!$B$2,TRUE(),IF($R485=Constants!$B$3,FALSE(),FALSE())))</f>
        <v/>
      </c>
      <c r="AV485" s="74" t="str">
        <f aca="false">IF(ISBLANK($C485),"",IF($S485=Constants!$B$2,TRUE(),IF($S485=Constants!$B$3,FALSE(),FALSE())))</f>
        <v/>
      </c>
      <c r="AW485" s="74" t="str">
        <f aca="false">IF(ISBLANK($C485),"",IF($T485=Constants!$B$2,TRUE(),IF($T485=Constants!$B$3,FALSE(),FALSE())))</f>
        <v/>
      </c>
      <c r="AX485" s="74" t="str">
        <f aca="false">IF(ISBLANK($C485),"",IF(OR($U485&amp;""="1",$U485&amp;""="2",$U485&amp;""="3",$U485&amp;""="4"),VALUE($U485&amp;""),IF($U485=Constants!$B$12,Constants!$B$12,"")))</f>
        <v/>
      </c>
      <c r="AY485" s="74" t="str">
        <f aca="false">IF(ISBLANK($C485),"",IF(ISBLANK($V485),0,IF(ISNUMBER($V485),IF(AND($V485&gt;=0,$V485&lt;=Constants!$B$21,$V485=INT($V485)),$V485,""),"")))</f>
        <v/>
      </c>
      <c r="AZ485" s="74" t="str">
        <f aca="false">IF(ISBLANK($C485),"",IF(ISBLANK($W485),0,IF(ISNUMBER($W485),IF($W485&gt;=0,$W485,""),"")))</f>
        <v/>
      </c>
      <c r="BA485" s="74" t="str">
        <f aca="false">IF(ISBLANK($C485),"",IF($X485=Constants!$B$2,TRUE(),IF($X485=Constants!$B$3,FALSE(),TRUE())))</f>
        <v/>
      </c>
      <c r="BB485" s="74" t="str">
        <f aca="false">IF(ISBLANK($C485),"",IF($Y485=Constants!$B$2,TRUE(),IF($Y485=Constants!$B$3,FALSE(),FALSE())))</f>
        <v/>
      </c>
      <c r="BC485" s="74" t="str">
        <f aca="false">IF(ISBLANK($C485),"",IF(ISBLANK($Z485),0,IF(ISNUMBER($Z485),IF(AND($Z485&gt;=0,$Z485&lt;=Constants!$B$35,$Z485=INT($Z485)),$Z485,""),"")))</f>
        <v/>
      </c>
      <c r="BD485" s="74" t="str">
        <f aca="false">IF(ISBLANK($C485),"",IF($AA485=Constants!$B$2,TRUE(),IF($AA485=Constants!$B$3,FALSE(),TRUE())))</f>
        <v/>
      </c>
      <c r="BE485" s="74" t="str">
        <f aca="false">IF(ISBLANK($C485),"",IF($AB485=Constants!$B$2,TRUE(),IF($AB485=Constants!$B$3,FALSE(),TRUE())))</f>
        <v/>
      </c>
      <c r="BF485" s="74" t="str">
        <f aca="false">IF(ISBLANK($C485),"",IF(ISNUMBER($AC485),IF($AC485&gt;=0,$AC485,""),""))</f>
        <v/>
      </c>
      <c r="BG485" s="74" t="str">
        <f aca="false">IF(ISBLANK($C485),"",IF($AD485=Constants!$B$2,TRUE(),IF($AD485=Constants!$B$3,FALSE(),FALSE())))</f>
        <v/>
      </c>
      <c r="BH485" s="73" t="str">
        <f aca="false">IF(ISBLANK($C485),"",IF($BG485,Constants!$B$7,IF(COUNTA($E485:$AC485)=0,Constants!$B$6,IF(OR(COUNTA($G485:$AC485)=0,NOT($AK485),$AQ485),Constants!$B$5,IF(OR($CI485&lt;&gt;"",$CJ485,$CK485,$CL485,$CM485,$CN485,$CO485),Constants!$B$8,Constants!$B$4)))))</f>
        <v/>
      </c>
      <c r="BI485" s="74" t="str">
        <f aca="false">IF(ISBLANK($C485),"",IF($BH485&lt;&gt;Constants!$B$4,$BH485,IF(OR(NOT($AH485),NOT($AJ485),NOT($AR485)),Constants!$B$11,IF(OR(NOT($AP485),MAX($AL485,$AM485,$AN485)&gt;Constants!$B$30),Constants!$B$10,Constants!$B$9))))</f>
        <v/>
      </c>
      <c r="BJ485" s="74" t="str">
        <f aca="false">IF($BH485&lt;&gt;Constants!$B$4,"",IF(NOT($AJ485),0,MIN(Constants!$B$35,$BC485)))</f>
        <v/>
      </c>
      <c r="BK485" s="74" t="str">
        <f aca="false">IF($BH485&lt;&gt;Constants!$B$4,"",IF(NOT($AJ485),0,IF($AT485,Constants!$B$18,IF($AS485,Constants!$B$17,0))))</f>
        <v/>
      </c>
      <c r="BL485" s="74" t="str">
        <f aca="false">IF($BH485&lt;&gt;Constants!$B$4,"",IF(NOT($AJ485),0,Constants!$B$19*($AI485+$AU485+$AV485+$AW485)))</f>
        <v/>
      </c>
      <c r="BM485" s="74" t="str">
        <f aca="false">IF($BH485&lt;&gt;Constants!$B$4,"",IF(OR(NOT($AJ485),NOT(ISNUMBER($AX485))),0,CHOOSE($AX485,Constants!$B$13,Constants!$B$14,Constants!$B$15,Constants!$B$16)))</f>
        <v/>
      </c>
      <c r="BN485" s="74" t="str">
        <f aca="false">IF($BH485&lt;&gt;Constants!$B$4,"",IF(NOT($AJ485),0,Constants!$B$20*$AY485))</f>
        <v/>
      </c>
      <c r="BO485" s="74" t="str">
        <f aca="false">IF($BH485&lt;&gt;Constants!$B$4,"",IF(AND($AJ485,$BA485,$BB485),Constants!$B$22,0))</f>
        <v/>
      </c>
      <c r="BP485" s="74" t="str">
        <f aca="false">IF($BH485&lt;&gt;Constants!$B$4,"",IF(OR(NOT($AJ485),NOT($BA485)),0,IF($BF485&gt;=2*$AF$9,0,Constants!$B$23*INT(ROUND(MIN($BF485,$AF$9),6)))))</f>
        <v/>
      </c>
      <c r="BQ485" s="74" t="str">
        <f aca="false">IF($BH485&lt;&gt;Constants!$B$4,"",IF(NOT($AJ485),0,Constants!$B$24*INT(ROUND(MIN($AZ485,$AF$9),6))))</f>
        <v/>
      </c>
      <c r="BR485" s="74" t="str">
        <f aca="false">IF($BH485&lt;&gt;Constants!$B$4,"",IF(AND($AJ485,$BJ485=0),Constants!$B$25,0))</f>
        <v/>
      </c>
      <c r="BS485" s="74" t="str">
        <f aca="false">IF($BH485&lt;&gt;Constants!$B$4,"",MIN(Constants!$B$29,MAX(0,Constants!$B$27*Constants!$B$28*INT(ROUND((Constants!$B$26-$AL485)/Constants!$B$28,6))))+MIN(Constants!$B$29,MAX(0,Constants!$B$27*Constants!$B$28*INT(ROUND((Constants!$B$26-$AM485)/Constants!$B$28,6))))+MIN(Constants!$B$29,MAX(0,Constants!$B$27*Constants!$B$28*INT(ROUND((Constants!$B$26-$AN485)/Constants!$B$28,6)))))</f>
        <v/>
      </c>
      <c r="BT485" s="74" t="str">
        <f aca="false">IF($BH485&lt;&gt;Constants!$B$4,"",IF(NOT($AJ485),0,Constants!$B$31*INT(ROUND(MAX(0,MIN($BF485,2*$AF$9)-$AF$9),6))))</f>
        <v/>
      </c>
      <c r="BU485" s="74" t="str">
        <f aca="false">IF($BH485&lt;&gt;Constants!$B$4,"",Constants!$B$32*(($AL485&gt;Constants!$B$26)+($AM485&gt;Constants!$B$26)+($AN485&gt;Constants!$B$26)))</f>
        <v/>
      </c>
      <c r="BV485" s="74" t="str">
        <f aca="false">IF($BH485&lt;&gt;Constants!$B$4,"",IF(OR(NOT($AJ485),$AO485),0,Constants!$B$33))</f>
        <v/>
      </c>
      <c r="BW485" s="74" t="str">
        <f aca="false">IF($BH485&lt;&gt;Constants!$B$4,"",Constants!$B$34*$BJ485)</f>
        <v/>
      </c>
      <c r="BX485" s="74" t="str">
        <f aca="false">IF($BH485&lt;&gt;Constants!$B$4,"",IF(OR(NOT($AJ485),$BE485),0,Constants!$B$36))</f>
        <v/>
      </c>
      <c r="BY485" s="74" t="str">
        <f aca="false">IF($BH485&lt;&gt;Constants!$B$4,"",IF(OR(NOT($AJ485),$BD485),0,Constants!$B$37))</f>
        <v/>
      </c>
      <c r="BZ485" s="74" t="str">
        <f aca="false">IF($BH485&lt;&gt;Constants!$B$4,"",SUM($BT485:$BY485))</f>
        <v/>
      </c>
      <c r="CA485" s="74" t="str">
        <f aca="false">IF(ISBLANK($C485),"",IF($BH485&lt;&gt;Constants!$B$4,$BH485,SUM($BK485:$BS485)-$BZ485))</f>
        <v/>
      </c>
      <c r="CB485" s="74" t="str">
        <f aca="false">IF(ISBLANK($C485),"",IF($BH485&lt;&gt;Constants!$B$4,$BH485,RANK($CA485,$CA$9:$CA$508)))</f>
        <v/>
      </c>
      <c r="CC485" s="74" t="str">
        <f aca="false">IF(ISBLANK($C485),"",IF($BH485&lt;&gt;Constants!$B$4,$BH485,COUNTIFS($BI$9:$BI$508,"&lt;"&amp;$BI485)+COUNTIFS($BI$9:$BI$508,$BI485,$CB$9:$CB$508,"&lt;"&amp;$CB485)+1))</f>
        <v/>
      </c>
      <c r="CD485" s="74" t="str">
        <f aca="false">IF(ISBLANK($C485),"",IF($BH485&lt;&gt;Constants!$B$4,$BH485,RANK($BZ485,$BZ$9:$BZ$508,1)))</f>
        <v/>
      </c>
      <c r="CE485" s="74" t="str">
        <f aca="false">IF($BH485&lt;&gt;Constants!$B$4,"",$AL485+$AM485+$AN485)</f>
        <v/>
      </c>
      <c r="CF485" s="74" t="str">
        <f aca="false">IF(ISBLANK($C485),"",IF($BH485&lt;&gt;Constants!$B$4,$BH485,RANK($CE485,$CE$9:$CE$508,1)))</f>
        <v/>
      </c>
      <c r="CG485" s="74" t="str">
        <f aca="false">IF(ISBLANK($C485),"",IF($BH485&lt;&gt;Constants!$B$4,$BH485,COUNTIFS($BI$9:$BI$508,"&lt;"&amp;$BI485)+COUNTIFS($BI$9:$BI$508,$BI485,$CB$9:$CB$508,"&lt;"&amp;$CB485)+COUNTIFS($BI$9:$BI$508,$BI485,$CB$9:$CB$508,$CB485,$CD$9:$CD$508,"&lt;"&amp;$CD485)+COUNTIFS($BI$9:$BI$508,$BI485,$CB$9:$CB$508,$CB485,$CD$9:$CD$508,$CD485,$CF$9:$CF$508,"&lt;"&amp;$CF485)+1))</f>
        <v/>
      </c>
      <c r="CH485" s="74" t="str">
        <f aca="false">IF(ISBLANK($C485),"",IF($BH485&lt;&gt;Constants!$B$4,$BH485,$CC485-$CG485))</f>
        <v/>
      </c>
      <c r="CI485" s="74" t="str">
        <f aca="false">IF(ISBLANK($C485),"",IF(NOT($AJ485),"",IF(ISBLANK($D$7),$CI$5,IF(NOT(ISNUMBER($D$7)),$CI$6,""))))</f>
        <v/>
      </c>
      <c r="CJ485" s="74" t="str">
        <f aca="false">IF(ISBLANK($C485),"",OR($AL485="",$AM485="",$AN485=""))</f>
        <v/>
      </c>
      <c r="CK485" s="74" t="str">
        <f aca="false">IF(ISBLANK($C485),"",AND($AJ485,$AX485=""))</f>
        <v/>
      </c>
      <c r="CL485" s="74" t="str">
        <f aca="false">IF(ISBLANK($C485),"",AND($AJ485,$AY485=""))</f>
        <v/>
      </c>
      <c r="CM485" s="74" t="str">
        <f aca="false">IF(ISBLANK($C485),"",AND($AJ485,$AZ485=""))</f>
        <v/>
      </c>
      <c r="CN485" s="74" t="str">
        <f aca="false">IF(ISBLANK($C485),"",AND($AJ485,$BC485=""))</f>
        <v/>
      </c>
      <c r="CO485" s="74" t="str">
        <f aca="false">IF(ISBLANK($C485),"",AND($AJ485,$BF485=""))</f>
        <v/>
      </c>
      <c r="CP485" s="75"/>
      <c r="CQ485" s="76"/>
      <c r="CR485" s="79" t="str">
        <f aca="false">IF(ISBLANK($C485),"",IF($BH485=Constants!$B$8,$CI485,""))</f>
        <v/>
      </c>
      <c r="CS485" s="76" t="str">
        <f aca="false">IF(ISBLANK($C485),"",IF($BH485&lt;&gt;Constants!$B$4,"",$BK485+$BL485))</f>
        <v/>
      </c>
      <c r="CT485" s="78" t="str">
        <f aca="false">IF(ISBLANK($C485),"",IF($BH485&lt;&gt;Constants!$B$4,"",$BM485+$BN485+$BO485))</f>
        <v/>
      </c>
      <c r="CU485" s="78" t="str">
        <f aca="false">IF(ISBLANK($C485),"",IF($BH485&lt;&gt;Constants!$B$4,"",$BP485))</f>
        <v/>
      </c>
      <c r="CV485" s="78" t="str">
        <f aca="false">IF(ISBLANK($C485),"",IF($BH485&lt;&gt;Constants!$B$4,"",$BQ485+$BR485))</f>
        <v/>
      </c>
      <c r="CW485" s="78" t="str">
        <f aca="false">IF(ISBLANK($C485),"",IF($BH485&lt;&gt;Constants!$B$4,"",$BS485))</f>
        <v/>
      </c>
      <c r="CX485" s="78" t="str">
        <f aca="false">IF(ISBLANK($C485),"",IF($BH485&lt;&gt;Constants!$B$4,"",-$BZ485))</f>
        <v/>
      </c>
      <c r="CY485" s="79" t="str">
        <f aca="false">IF(ISBLANK($C485),"",$CA485)</f>
        <v/>
      </c>
      <c r="CZ485" s="80" t="str">
        <f aca="false">IF(ISBLANK($C485),"",$BI485)</f>
        <v/>
      </c>
      <c r="DA485" s="78" t="str">
        <f aca="false">IF(ISBLANK($C485),"",$CH485)</f>
        <v/>
      </c>
      <c r="DB485" s="78" t="str">
        <f aca="false">IF(ISBLANK($C485),"",$CG485)</f>
        <v/>
      </c>
      <c r="DC485" s="81" t="str">
        <f aca="false">IF(ISBLANK($C485),"",IFERROR(_xlfn.SWITCH($DB485,Constants!$B$7,COUNTA($C$9:$C$508)+2,Constants!$B$6,COUNTA($C$9:$C$508)+1,Constants!$B$5,COUNTA($C$9:$C$508)),$DB485))</f>
        <v/>
      </c>
      <c r="DD485" s="7"/>
      <c r="DE485" s="82" t="n">
        <f aca="false">IF(OR(ISNUMBER($DB485),$DB485=Constants!$B$7,$DB485=Constants!$B$5,$DB485=Constants!$B$6),1,0)</f>
        <v>0</v>
      </c>
      <c r="DF485" s="82" t="n">
        <v>477</v>
      </c>
      <c r="DG485" s="82" t="str">
        <f aca="false">IF(ISBLANK($C485),"",IF(ISNUMBER($DC485),$DC485+ROW($B485)/1000,""))</f>
        <v/>
      </c>
      <c r="DH485" s="82" t="str">
        <f aca="false">IF(ISNUMBER($DG485),RANK($DG485,$DG$9:$DG$508,1),"")</f>
        <v/>
      </c>
      <c r="DI485" s="82" t="str">
        <f aca="false">IF(ISBLANK($C485),"",$B485)</f>
        <v/>
      </c>
      <c r="DJ485" s="82" t="str">
        <f aca="false">IF(ISBLANK($C485),"",$C485)</f>
        <v/>
      </c>
      <c r="DK485" s="82" t="str">
        <f aca="false">IF(ISBLANK($C485),"",$D485)</f>
        <v/>
      </c>
      <c r="DL485" s="83" t="str">
        <f aca="false">$CZ485</f>
        <v/>
      </c>
      <c r="DM485" s="84" t="str">
        <f aca="false">$CY485</f>
        <v/>
      </c>
      <c r="DN485" s="82" t="str">
        <f aca="false">IF(ISBLANK($C485),"",$DB485)</f>
        <v/>
      </c>
      <c r="DO485" s="85" t="str">
        <f aca="false">IF($DF485&gt;$DE$8,"",VLOOKUP($DF485,$DH$9:$DN$508,7,FALSE()))</f>
        <v/>
      </c>
      <c r="DP485" s="86" t="str">
        <f aca="false">IF($DF485&gt;$DE$8,"",VLOOKUP($DF485,$DH$9:$DN$508,2,FALSE()))</f>
        <v/>
      </c>
      <c r="DQ485" s="86" t="str">
        <f aca="false">IF($DF485&gt;$DE$8,"",VLOOKUP($DF485,$DH$9:$DN$508,3,FALSE()))</f>
        <v/>
      </c>
      <c r="DR485" s="86" t="str">
        <f aca="false">IF($DF485&gt;$DE$8,"",VLOOKUP($DF485,$DH$9:$DN$508,4,FALSE()))</f>
        <v/>
      </c>
      <c r="DS485" s="86" t="str">
        <f aca="false">IF($DF485&gt;$DE$8,"",VLOOKUP($DF485,$DH$9:$DN$508,5,FALSE()))</f>
        <v/>
      </c>
      <c r="DT485" s="87" t="str">
        <f aca="false">IF($DF485&gt;$DE$8,"",VLOOKUP($DF485,$DH$9:$DN$508,6,FALSE()))</f>
        <v/>
      </c>
      <c r="DU485" s="62"/>
    </row>
    <row r="486" customFormat="false" ht="15.75" hidden="false" customHeight="false" outlineLevel="0" collapsed="false">
      <c r="A486" s="7"/>
      <c r="B486" s="90"/>
      <c r="C486" s="91"/>
      <c r="D486" s="126"/>
      <c r="E486" s="130"/>
      <c r="F486" s="135"/>
      <c r="G486" s="130"/>
      <c r="H486" s="135"/>
      <c r="I486" s="131"/>
      <c r="J486" s="131"/>
      <c r="K486" s="131"/>
      <c r="L486" s="130"/>
      <c r="M486" s="130"/>
      <c r="N486" s="130"/>
      <c r="O486" s="135"/>
      <c r="P486" s="130"/>
      <c r="Q486" s="130"/>
      <c r="R486" s="130"/>
      <c r="S486" s="130"/>
      <c r="T486" s="135"/>
      <c r="U486" s="130"/>
      <c r="V486" s="96"/>
      <c r="W486" s="130"/>
      <c r="X486" s="130"/>
      <c r="Y486" s="96"/>
      <c r="Z486" s="96"/>
      <c r="AA486" s="130"/>
      <c r="AB486" s="130"/>
      <c r="AC486" s="97"/>
      <c r="AD486" s="130"/>
      <c r="AE486" s="99"/>
      <c r="AF486" s="100"/>
      <c r="AG486" s="100"/>
      <c r="AH486" s="100" t="str">
        <f aca="false">IF(ISBLANK($C486),"",IF($E486=Constants!$B$2,TRUE(),IF($E486=Constants!$B$3,FALSE(),TRUE())))</f>
        <v/>
      </c>
      <c r="AI486" s="100" t="str">
        <f aca="false">IF(ISBLANK($C486),"",IF($F486=Constants!$B$2,TRUE(),IF($F486=Constants!$B$3,FALSE(),FALSE())))</f>
        <v/>
      </c>
      <c r="AJ486" s="100" t="str">
        <f aca="false">IF(ISBLANK($C486),"",IF($G486=Constants!$B$2,TRUE(),IF($G486=Constants!$B$3,FALSE(),TRUE())))</f>
        <v/>
      </c>
      <c r="AK486" s="100" t="str">
        <f aca="false">IF(ISBLANK($C486),"",IF($H486=Constants!$B$2,TRUE(),IF($H486=Constants!$B$3,FALSE(),TRUE())))</f>
        <v/>
      </c>
      <c r="AL486" s="100" t="str">
        <f aca="false">IF(ISBLANK($C486),"",IF(ISNUMBER($I486),IF($I486&gt;=0,$I486,""),""))</f>
        <v/>
      </c>
      <c r="AM486" s="100" t="str">
        <f aca="false">IF(ISBLANK($C486),"",IF(ISNUMBER($J486),IF($J486&gt;=0,$J486,""),""))</f>
        <v/>
      </c>
      <c r="AN486" s="100" t="str">
        <f aca="false">IF(ISBLANK($C486),"",IF(ISNUMBER($K486),IF($K486&gt;=0,$K486,""),""))</f>
        <v/>
      </c>
      <c r="AO486" s="100" t="str">
        <f aca="false">IF(ISBLANK($C486),"",IF($L486=Constants!$B$2,TRUE(),IF($L486=Constants!$B$3,FALSE(),TRUE())))</f>
        <v/>
      </c>
      <c r="AP486" s="100" t="str">
        <f aca="false">IF(ISBLANK($C486),"",IF($M486=Constants!$B$2,TRUE(),IF($M486=Constants!$B$3,FALSE(),TRUE())))</f>
        <v/>
      </c>
      <c r="AQ486" s="100" t="str">
        <f aca="false">IF(ISBLANK($C486),"",IF($N486=Constants!$B$2,TRUE(),IF($N486=Constants!$B$3,FALSE(),FALSE())))</f>
        <v/>
      </c>
      <c r="AR486" s="100" t="str">
        <f aca="false">IF(ISBLANK($C486),"",IF($O486=Constants!$B$2,TRUE(),IF($O486=Constants!$B$3,FALSE(),TRUE())))</f>
        <v/>
      </c>
      <c r="AS486" s="100" t="str">
        <f aca="false">IF(ISBLANK($C486),"",IF($P486=Constants!$B$2,TRUE(),IF($P486=Constants!$B$3,FALSE(),FALSE())))</f>
        <v/>
      </c>
      <c r="AT486" s="100" t="str">
        <f aca="false">IF(ISBLANK($C486),"",IF($Q486=Constants!$B$2,TRUE(),IF($Q486=Constants!$B$3,FALSE(),FALSE())))</f>
        <v/>
      </c>
      <c r="AU486" s="100" t="str">
        <f aca="false">IF(ISBLANK($C486),"",IF($R486=Constants!$B$2,TRUE(),IF($R486=Constants!$B$3,FALSE(),FALSE())))</f>
        <v/>
      </c>
      <c r="AV486" s="100" t="str">
        <f aca="false">IF(ISBLANK($C486),"",IF($S486=Constants!$B$2,TRUE(),IF($S486=Constants!$B$3,FALSE(),FALSE())))</f>
        <v/>
      </c>
      <c r="AW486" s="100" t="str">
        <f aca="false">IF(ISBLANK($C486),"",IF($T486=Constants!$B$2,TRUE(),IF($T486=Constants!$B$3,FALSE(),FALSE())))</f>
        <v/>
      </c>
      <c r="AX486" s="100" t="str">
        <f aca="false">IF(ISBLANK($C486),"",IF(OR($U486&amp;""="1",$U486&amp;""="2",$U486&amp;""="3",$U486&amp;""="4"),VALUE($U486&amp;""),IF($U486=Constants!$B$12,Constants!$B$12,"")))</f>
        <v/>
      </c>
      <c r="AY486" s="100" t="str">
        <f aca="false">IF(ISBLANK($C486),"",IF(ISBLANK($V486),0,IF(ISNUMBER($V486),IF(AND($V486&gt;=0,$V486&lt;=Constants!$B$21,$V486=INT($V486)),$V486,""),"")))</f>
        <v/>
      </c>
      <c r="AZ486" s="100" t="str">
        <f aca="false">IF(ISBLANK($C486),"",IF(ISBLANK($W486),0,IF(ISNUMBER($W486),IF($W486&gt;=0,$W486,""),"")))</f>
        <v/>
      </c>
      <c r="BA486" s="100" t="str">
        <f aca="false">IF(ISBLANK($C486),"",IF($X486=Constants!$B$2,TRUE(),IF($X486=Constants!$B$3,FALSE(),TRUE())))</f>
        <v/>
      </c>
      <c r="BB486" s="100" t="str">
        <f aca="false">IF(ISBLANK($C486),"",IF($Y486=Constants!$B$2,TRUE(),IF($Y486=Constants!$B$3,FALSE(),FALSE())))</f>
        <v/>
      </c>
      <c r="BC486" s="100" t="str">
        <f aca="false">IF(ISBLANK($C486),"",IF(ISBLANK($Z486),0,IF(ISNUMBER($Z486),IF(AND($Z486&gt;=0,$Z486&lt;=Constants!$B$35,$Z486=INT($Z486)),$Z486,""),"")))</f>
        <v/>
      </c>
      <c r="BD486" s="100" t="str">
        <f aca="false">IF(ISBLANK($C486),"",IF($AA486=Constants!$B$2,TRUE(),IF($AA486=Constants!$B$3,FALSE(),TRUE())))</f>
        <v/>
      </c>
      <c r="BE486" s="100" t="str">
        <f aca="false">IF(ISBLANK($C486),"",IF($AB486=Constants!$B$2,TRUE(),IF($AB486=Constants!$B$3,FALSE(),TRUE())))</f>
        <v/>
      </c>
      <c r="BF486" s="100" t="str">
        <f aca="false">IF(ISBLANK($C486),"",IF(ISNUMBER($AC486),IF($AC486&gt;=0,$AC486,""),""))</f>
        <v/>
      </c>
      <c r="BG486" s="100" t="str">
        <f aca="false">IF(ISBLANK($C486),"",IF($AD486=Constants!$B$2,TRUE(),IF($AD486=Constants!$B$3,FALSE(),FALSE())))</f>
        <v/>
      </c>
      <c r="BH486" s="99" t="str">
        <f aca="false">IF(ISBLANK($C486),"",IF($BG486,Constants!$B$7,IF(COUNTA($E486:$AC486)=0,Constants!$B$6,IF(OR(COUNTA($G486:$AC486)=0,NOT($AK486),$AQ486),Constants!$B$5,IF(OR($CI486&lt;&gt;"",$CJ486,$CK486,$CL486,$CM486,$CN486,$CO486),Constants!$B$8,Constants!$B$4)))))</f>
        <v/>
      </c>
      <c r="BI486" s="100" t="str">
        <f aca="false">IF(ISBLANK($C486),"",IF($BH486&lt;&gt;Constants!$B$4,$BH486,IF(OR(NOT($AH486),NOT($AJ486),NOT($AR486)),Constants!$B$11,IF(OR(NOT($AP486),MAX($AL486,$AM486,$AN486)&gt;Constants!$B$30),Constants!$B$10,Constants!$B$9))))</f>
        <v/>
      </c>
      <c r="BJ486" s="100" t="str">
        <f aca="false">IF($BH486&lt;&gt;Constants!$B$4,"",IF(NOT($AJ486),0,MIN(Constants!$B$35,$BC486)))</f>
        <v/>
      </c>
      <c r="BK486" s="100" t="str">
        <f aca="false">IF($BH486&lt;&gt;Constants!$B$4,"",IF(NOT($AJ486),0,IF($AT486,Constants!$B$18,IF($AS486,Constants!$B$17,0))))</f>
        <v/>
      </c>
      <c r="BL486" s="100" t="str">
        <f aca="false">IF($BH486&lt;&gt;Constants!$B$4,"",IF(NOT($AJ486),0,Constants!$B$19*($AI486+$AU486+$AV486+$AW486)))</f>
        <v/>
      </c>
      <c r="BM486" s="100" t="str">
        <f aca="false">IF($BH486&lt;&gt;Constants!$B$4,"",IF(OR(NOT($AJ486),NOT(ISNUMBER($AX486))),0,CHOOSE($AX486,Constants!$B$13,Constants!$B$14,Constants!$B$15,Constants!$B$16)))</f>
        <v/>
      </c>
      <c r="BN486" s="100" t="str">
        <f aca="false">IF($BH486&lt;&gt;Constants!$B$4,"",IF(NOT($AJ486),0,Constants!$B$20*$AY486))</f>
        <v/>
      </c>
      <c r="BO486" s="100" t="str">
        <f aca="false">IF($BH486&lt;&gt;Constants!$B$4,"",IF(AND($AJ486,$BA486,$BB486),Constants!$B$22,0))</f>
        <v/>
      </c>
      <c r="BP486" s="100" t="str">
        <f aca="false">IF($BH486&lt;&gt;Constants!$B$4,"",IF(OR(NOT($AJ486),NOT($BA486)),0,IF($BF486&gt;=2*$AF$9,0,Constants!$B$23*INT(ROUND(MIN($BF486,$AF$9),6)))))</f>
        <v/>
      </c>
      <c r="BQ486" s="100" t="str">
        <f aca="false">IF($BH486&lt;&gt;Constants!$B$4,"",IF(NOT($AJ486),0,Constants!$B$24*INT(ROUND(MIN($AZ486,$AF$9),6))))</f>
        <v/>
      </c>
      <c r="BR486" s="100" t="str">
        <f aca="false">IF($BH486&lt;&gt;Constants!$B$4,"",IF(AND($AJ486,$BJ486=0),Constants!$B$25,0))</f>
        <v/>
      </c>
      <c r="BS486" s="100" t="str">
        <f aca="false">IF($BH486&lt;&gt;Constants!$B$4,"",MIN(Constants!$B$29,MAX(0,Constants!$B$27*Constants!$B$28*INT(ROUND((Constants!$B$26-$AL486)/Constants!$B$28,6))))+MIN(Constants!$B$29,MAX(0,Constants!$B$27*Constants!$B$28*INT(ROUND((Constants!$B$26-$AM486)/Constants!$B$28,6))))+MIN(Constants!$B$29,MAX(0,Constants!$B$27*Constants!$B$28*INT(ROUND((Constants!$B$26-$AN486)/Constants!$B$28,6)))))</f>
        <v/>
      </c>
      <c r="BT486" s="100" t="str">
        <f aca="false">IF($BH486&lt;&gt;Constants!$B$4,"",IF(NOT($AJ486),0,Constants!$B$31*INT(ROUND(MAX(0,MIN($BF486,2*$AF$9)-$AF$9),6))))</f>
        <v/>
      </c>
      <c r="BU486" s="100" t="str">
        <f aca="false">IF($BH486&lt;&gt;Constants!$B$4,"",Constants!$B$32*(($AL486&gt;Constants!$B$26)+($AM486&gt;Constants!$B$26)+($AN486&gt;Constants!$B$26)))</f>
        <v/>
      </c>
      <c r="BV486" s="100" t="str">
        <f aca="false">IF($BH486&lt;&gt;Constants!$B$4,"",IF(OR(NOT($AJ486),$AO486),0,Constants!$B$33))</f>
        <v/>
      </c>
      <c r="BW486" s="100" t="str">
        <f aca="false">IF($BH486&lt;&gt;Constants!$B$4,"",Constants!$B$34*$BJ486)</f>
        <v/>
      </c>
      <c r="BX486" s="100" t="str">
        <f aca="false">IF($BH486&lt;&gt;Constants!$B$4,"",IF(OR(NOT($AJ486),$BE486),0,Constants!$B$36))</f>
        <v/>
      </c>
      <c r="BY486" s="100" t="str">
        <f aca="false">IF($BH486&lt;&gt;Constants!$B$4,"",IF(OR(NOT($AJ486),$BD486),0,Constants!$B$37))</f>
        <v/>
      </c>
      <c r="BZ486" s="100" t="str">
        <f aca="false">IF($BH486&lt;&gt;Constants!$B$4,"",SUM($BT486:$BY486))</f>
        <v/>
      </c>
      <c r="CA486" s="100" t="str">
        <f aca="false">IF(ISBLANK($C486),"",IF($BH486&lt;&gt;Constants!$B$4,$BH486,SUM($BK486:$BS486)-$BZ486))</f>
        <v/>
      </c>
      <c r="CB486" s="100" t="str">
        <f aca="false">IF(ISBLANK($C486),"",IF($BH486&lt;&gt;Constants!$B$4,$BH486,RANK($CA486,$CA$9:$CA$508)))</f>
        <v/>
      </c>
      <c r="CC486" s="100" t="str">
        <f aca="false">IF(ISBLANK($C486),"",IF($BH486&lt;&gt;Constants!$B$4,$BH486,COUNTIFS($BI$9:$BI$508,"&lt;"&amp;$BI486)+COUNTIFS($BI$9:$BI$508,$BI486,$CB$9:$CB$508,"&lt;"&amp;$CB486)+1))</f>
        <v/>
      </c>
      <c r="CD486" s="100" t="str">
        <f aca="false">IF(ISBLANK($C486),"",IF($BH486&lt;&gt;Constants!$B$4,$BH486,RANK($BZ486,$BZ$9:$BZ$508,1)))</f>
        <v/>
      </c>
      <c r="CE486" s="100" t="str">
        <f aca="false">IF($BH486&lt;&gt;Constants!$B$4,"",$AL486+$AM486+$AN486)</f>
        <v/>
      </c>
      <c r="CF486" s="100" t="str">
        <f aca="false">IF(ISBLANK($C486),"",IF($BH486&lt;&gt;Constants!$B$4,$BH486,RANK($CE486,$CE$9:$CE$508,1)))</f>
        <v/>
      </c>
      <c r="CG486" s="100" t="str">
        <f aca="false">IF(ISBLANK($C486),"",IF($BH486&lt;&gt;Constants!$B$4,$BH486,COUNTIFS($BI$9:$BI$508,"&lt;"&amp;$BI486)+COUNTIFS($BI$9:$BI$508,$BI486,$CB$9:$CB$508,"&lt;"&amp;$CB486)+COUNTIFS($BI$9:$BI$508,$BI486,$CB$9:$CB$508,$CB486,$CD$9:$CD$508,"&lt;"&amp;$CD486)+COUNTIFS($BI$9:$BI$508,$BI486,$CB$9:$CB$508,$CB486,$CD$9:$CD$508,$CD486,$CF$9:$CF$508,"&lt;"&amp;$CF486)+1))</f>
        <v/>
      </c>
      <c r="CH486" s="100" t="str">
        <f aca="false">IF(ISBLANK($C486),"",IF($BH486&lt;&gt;Constants!$B$4,$BH486,$CC486-$CG486))</f>
        <v/>
      </c>
      <c r="CI486" s="100" t="str">
        <f aca="false">IF(ISBLANK($C486),"",IF(NOT($AJ486),"",IF(ISBLANK($D$7),$CI$5,IF(NOT(ISNUMBER($D$7)),$CI$6,""))))</f>
        <v/>
      </c>
      <c r="CJ486" s="100" t="str">
        <f aca="false">IF(ISBLANK($C486),"",OR($AL486="",$AM486="",$AN486=""))</f>
        <v/>
      </c>
      <c r="CK486" s="100" t="str">
        <f aca="false">IF(ISBLANK($C486),"",AND($AJ486,$AX486=""))</f>
        <v/>
      </c>
      <c r="CL486" s="100" t="str">
        <f aca="false">IF(ISBLANK($C486),"",AND($AJ486,$AY486=""))</f>
        <v/>
      </c>
      <c r="CM486" s="100" t="str">
        <f aca="false">IF(ISBLANK($C486),"",AND($AJ486,$AZ486=""))</f>
        <v/>
      </c>
      <c r="CN486" s="100" t="str">
        <f aca="false">IF(ISBLANK($C486),"",AND($AJ486,$BC486=""))</f>
        <v/>
      </c>
      <c r="CO486" s="100" t="str">
        <f aca="false">IF(ISBLANK($C486),"",AND($AJ486,$BF486=""))</f>
        <v/>
      </c>
      <c r="CP486" s="101"/>
      <c r="CQ486" s="102"/>
      <c r="CR486" s="103" t="str">
        <f aca="false">IF(ISBLANK($C486),"",IF($BH486=Constants!$B$8,$CI486,""))</f>
        <v/>
      </c>
      <c r="CS486" s="102" t="str">
        <f aca="false">IF(ISBLANK($C486),"",IF($BH486&lt;&gt;Constants!$B$4,"",$BK486+$BL486))</f>
        <v/>
      </c>
      <c r="CT486" s="104" t="str">
        <f aca="false">IF(ISBLANK($C486),"",IF($BH486&lt;&gt;Constants!$B$4,"",$BM486+$BN486+$BO486))</f>
        <v/>
      </c>
      <c r="CU486" s="104" t="str">
        <f aca="false">IF(ISBLANK($C486),"",IF($BH486&lt;&gt;Constants!$B$4,"",$BP486))</f>
        <v/>
      </c>
      <c r="CV486" s="104" t="str">
        <f aca="false">IF(ISBLANK($C486),"",IF($BH486&lt;&gt;Constants!$B$4,"",$BQ486+$BR486))</f>
        <v/>
      </c>
      <c r="CW486" s="104" t="str">
        <f aca="false">IF(ISBLANK($C486),"",IF($BH486&lt;&gt;Constants!$B$4,"",$BS486))</f>
        <v/>
      </c>
      <c r="CX486" s="104" t="str">
        <f aca="false">IF(ISBLANK($C486),"",IF($BH486&lt;&gt;Constants!$B$4,"",-$BZ486))</f>
        <v/>
      </c>
      <c r="CY486" s="103" t="str">
        <f aca="false">IF(ISBLANK($C486),"",$CA486)</f>
        <v/>
      </c>
      <c r="CZ486" s="105" t="str">
        <f aca="false">IF(ISBLANK($C486),"",$BI486)</f>
        <v/>
      </c>
      <c r="DA486" s="104" t="str">
        <f aca="false">IF(ISBLANK($C486),"",$CH486)</f>
        <v/>
      </c>
      <c r="DB486" s="104" t="str">
        <f aca="false">IF(ISBLANK($C486),"",$CG486)</f>
        <v/>
      </c>
      <c r="DC486" s="106" t="str">
        <f aca="false">IF(ISBLANK($C486),"",IFERROR(_xlfn.SWITCH($DB486,Constants!$B$7,COUNTA($C$9:$C$508)+2,Constants!$B$6,COUNTA($C$9:$C$508)+1,Constants!$B$5,COUNTA($C$9:$C$508)),$DB486))</f>
        <v/>
      </c>
      <c r="DD486" s="7"/>
      <c r="DE486" s="107" t="n">
        <f aca="false">IF(OR(ISNUMBER($DB486),$DB486=Constants!$B$7,$DB486=Constants!$B$5,$DB486=Constants!$B$6),1,0)</f>
        <v>0</v>
      </c>
      <c r="DF486" s="107" t="n">
        <v>478</v>
      </c>
      <c r="DG486" s="107" t="str">
        <f aca="false">IF(ISBLANK($C486),"",IF(ISNUMBER($DC486),$DC486+ROW($B486)/1000,""))</f>
        <v/>
      </c>
      <c r="DH486" s="107" t="str">
        <f aca="false">IF(ISNUMBER($DG486),RANK($DG486,$DG$9:$DG$508,1),"")</f>
        <v/>
      </c>
      <c r="DI486" s="107" t="str">
        <f aca="false">IF(ISBLANK($C486),"",$B486)</f>
        <v/>
      </c>
      <c r="DJ486" s="107" t="str">
        <f aca="false">IF(ISBLANK($C486),"",$C486)</f>
        <v/>
      </c>
      <c r="DK486" s="107" t="str">
        <f aca="false">IF(ISBLANK($C486),"",$D486)</f>
        <v/>
      </c>
      <c r="DL486" s="108" t="str">
        <f aca="false">$CZ486</f>
        <v/>
      </c>
      <c r="DM486" s="109" t="str">
        <f aca="false">$CY486</f>
        <v/>
      </c>
      <c r="DN486" s="107" t="str">
        <f aca="false">IF(ISBLANK($C486),"",$DB486)</f>
        <v/>
      </c>
      <c r="DO486" s="110" t="str">
        <f aca="false">IF($DF486&gt;$DE$8,"",VLOOKUP($DF486,$DH$9:$DN$508,7,FALSE()))</f>
        <v/>
      </c>
      <c r="DP486" s="111" t="str">
        <f aca="false">IF($DF486&gt;$DE$8,"",VLOOKUP($DF486,$DH$9:$DN$508,2,FALSE()))</f>
        <v/>
      </c>
      <c r="DQ486" s="111" t="str">
        <f aca="false">IF($DF486&gt;$DE$8,"",VLOOKUP($DF486,$DH$9:$DN$508,3,FALSE()))</f>
        <v/>
      </c>
      <c r="DR486" s="111" t="str">
        <f aca="false">IF($DF486&gt;$DE$8,"",VLOOKUP($DF486,$DH$9:$DN$508,4,FALSE()))</f>
        <v/>
      </c>
      <c r="DS486" s="111" t="str">
        <f aca="false">IF($DF486&gt;$DE$8,"",VLOOKUP($DF486,$DH$9:$DN$508,5,FALSE()))</f>
        <v/>
      </c>
      <c r="DT486" s="112" t="str">
        <f aca="false">IF($DF486&gt;$DE$8,"",VLOOKUP($DF486,$DH$9:$DN$508,6,FALSE()))</f>
        <v/>
      </c>
      <c r="DU486" s="62"/>
    </row>
    <row r="487" customFormat="false" ht="15.75" hidden="false" customHeight="false" outlineLevel="0" collapsed="false">
      <c r="A487" s="7"/>
      <c r="B487" s="90"/>
      <c r="C487" s="91"/>
      <c r="D487" s="126"/>
      <c r="E487" s="130"/>
      <c r="F487" s="135"/>
      <c r="G487" s="130"/>
      <c r="H487" s="135"/>
      <c r="I487" s="131"/>
      <c r="J487" s="131"/>
      <c r="K487" s="131"/>
      <c r="L487" s="130"/>
      <c r="M487" s="130"/>
      <c r="N487" s="130"/>
      <c r="O487" s="135"/>
      <c r="P487" s="130"/>
      <c r="Q487" s="130"/>
      <c r="R487" s="130"/>
      <c r="S487" s="130"/>
      <c r="T487" s="135"/>
      <c r="U487" s="130"/>
      <c r="V487" s="96"/>
      <c r="W487" s="130"/>
      <c r="X487" s="130"/>
      <c r="Y487" s="96"/>
      <c r="Z487" s="96"/>
      <c r="AA487" s="130"/>
      <c r="AB487" s="130"/>
      <c r="AC487" s="97"/>
      <c r="AD487" s="130"/>
      <c r="AE487" s="99"/>
      <c r="AF487" s="100"/>
      <c r="AG487" s="100"/>
      <c r="AH487" s="100" t="str">
        <f aca="false">IF(ISBLANK($C487),"",IF($E487=Constants!$B$2,TRUE(),IF($E487=Constants!$B$3,FALSE(),TRUE())))</f>
        <v/>
      </c>
      <c r="AI487" s="100" t="str">
        <f aca="false">IF(ISBLANK($C487),"",IF($F487=Constants!$B$2,TRUE(),IF($F487=Constants!$B$3,FALSE(),FALSE())))</f>
        <v/>
      </c>
      <c r="AJ487" s="100" t="str">
        <f aca="false">IF(ISBLANK($C487),"",IF($G487=Constants!$B$2,TRUE(),IF($G487=Constants!$B$3,FALSE(),TRUE())))</f>
        <v/>
      </c>
      <c r="AK487" s="100" t="str">
        <f aca="false">IF(ISBLANK($C487),"",IF($H487=Constants!$B$2,TRUE(),IF($H487=Constants!$B$3,FALSE(),TRUE())))</f>
        <v/>
      </c>
      <c r="AL487" s="100" t="str">
        <f aca="false">IF(ISBLANK($C487),"",IF(ISNUMBER($I487),IF($I487&gt;=0,$I487,""),""))</f>
        <v/>
      </c>
      <c r="AM487" s="100" t="str">
        <f aca="false">IF(ISBLANK($C487),"",IF(ISNUMBER($J487),IF($J487&gt;=0,$J487,""),""))</f>
        <v/>
      </c>
      <c r="AN487" s="100" t="str">
        <f aca="false">IF(ISBLANK($C487),"",IF(ISNUMBER($K487),IF($K487&gt;=0,$K487,""),""))</f>
        <v/>
      </c>
      <c r="AO487" s="100" t="str">
        <f aca="false">IF(ISBLANK($C487),"",IF($L487=Constants!$B$2,TRUE(),IF($L487=Constants!$B$3,FALSE(),TRUE())))</f>
        <v/>
      </c>
      <c r="AP487" s="100" t="str">
        <f aca="false">IF(ISBLANK($C487),"",IF($M487=Constants!$B$2,TRUE(),IF($M487=Constants!$B$3,FALSE(),TRUE())))</f>
        <v/>
      </c>
      <c r="AQ487" s="100" t="str">
        <f aca="false">IF(ISBLANK($C487),"",IF($N487=Constants!$B$2,TRUE(),IF($N487=Constants!$B$3,FALSE(),FALSE())))</f>
        <v/>
      </c>
      <c r="AR487" s="100" t="str">
        <f aca="false">IF(ISBLANK($C487),"",IF($O487=Constants!$B$2,TRUE(),IF($O487=Constants!$B$3,FALSE(),TRUE())))</f>
        <v/>
      </c>
      <c r="AS487" s="100" t="str">
        <f aca="false">IF(ISBLANK($C487),"",IF($P487=Constants!$B$2,TRUE(),IF($P487=Constants!$B$3,FALSE(),FALSE())))</f>
        <v/>
      </c>
      <c r="AT487" s="100" t="str">
        <f aca="false">IF(ISBLANK($C487),"",IF($Q487=Constants!$B$2,TRUE(),IF($Q487=Constants!$B$3,FALSE(),FALSE())))</f>
        <v/>
      </c>
      <c r="AU487" s="100" t="str">
        <f aca="false">IF(ISBLANK($C487),"",IF($R487=Constants!$B$2,TRUE(),IF($R487=Constants!$B$3,FALSE(),FALSE())))</f>
        <v/>
      </c>
      <c r="AV487" s="100" t="str">
        <f aca="false">IF(ISBLANK($C487),"",IF($S487=Constants!$B$2,TRUE(),IF($S487=Constants!$B$3,FALSE(),FALSE())))</f>
        <v/>
      </c>
      <c r="AW487" s="100" t="str">
        <f aca="false">IF(ISBLANK($C487),"",IF($T487=Constants!$B$2,TRUE(),IF($T487=Constants!$B$3,FALSE(),FALSE())))</f>
        <v/>
      </c>
      <c r="AX487" s="100" t="str">
        <f aca="false">IF(ISBLANK($C487),"",IF(OR($U487&amp;""="1",$U487&amp;""="2",$U487&amp;""="3",$U487&amp;""="4"),VALUE($U487&amp;""),IF($U487=Constants!$B$12,Constants!$B$12,"")))</f>
        <v/>
      </c>
      <c r="AY487" s="100" t="str">
        <f aca="false">IF(ISBLANK($C487),"",IF(ISBLANK($V487),0,IF(ISNUMBER($V487),IF(AND($V487&gt;=0,$V487&lt;=Constants!$B$21,$V487=INT($V487)),$V487,""),"")))</f>
        <v/>
      </c>
      <c r="AZ487" s="100" t="str">
        <f aca="false">IF(ISBLANK($C487),"",IF(ISBLANK($W487),0,IF(ISNUMBER($W487),IF($W487&gt;=0,$W487,""),"")))</f>
        <v/>
      </c>
      <c r="BA487" s="100" t="str">
        <f aca="false">IF(ISBLANK($C487),"",IF($X487=Constants!$B$2,TRUE(),IF($X487=Constants!$B$3,FALSE(),TRUE())))</f>
        <v/>
      </c>
      <c r="BB487" s="100" t="str">
        <f aca="false">IF(ISBLANK($C487),"",IF($Y487=Constants!$B$2,TRUE(),IF($Y487=Constants!$B$3,FALSE(),FALSE())))</f>
        <v/>
      </c>
      <c r="BC487" s="100" t="str">
        <f aca="false">IF(ISBLANK($C487),"",IF(ISBLANK($Z487),0,IF(ISNUMBER($Z487),IF(AND($Z487&gt;=0,$Z487&lt;=Constants!$B$35,$Z487=INT($Z487)),$Z487,""),"")))</f>
        <v/>
      </c>
      <c r="BD487" s="100" t="str">
        <f aca="false">IF(ISBLANK($C487),"",IF($AA487=Constants!$B$2,TRUE(),IF($AA487=Constants!$B$3,FALSE(),TRUE())))</f>
        <v/>
      </c>
      <c r="BE487" s="100" t="str">
        <f aca="false">IF(ISBLANK($C487),"",IF($AB487=Constants!$B$2,TRUE(),IF($AB487=Constants!$B$3,FALSE(),TRUE())))</f>
        <v/>
      </c>
      <c r="BF487" s="100" t="str">
        <f aca="false">IF(ISBLANK($C487),"",IF(ISNUMBER($AC487),IF($AC487&gt;=0,$AC487,""),""))</f>
        <v/>
      </c>
      <c r="BG487" s="100" t="str">
        <f aca="false">IF(ISBLANK($C487),"",IF($AD487=Constants!$B$2,TRUE(),IF($AD487=Constants!$B$3,FALSE(),FALSE())))</f>
        <v/>
      </c>
      <c r="BH487" s="99" t="str">
        <f aca="false">IF(ISBLANK($C487),"",IF($BG487,Constants!$B$7,IF(COUNTA($E487:$AC487)=0,Constants!$B$6,IF(OR(COUNTA($G487:$AC487)=0,NOT($AK487),$AQ487),Constants!$B$5,IF(OR($CI487&lt;&gt;"",$CJ487,$CK487,$CL487,$CM487,$CN487,$CO487),Constants!$B$8,Constants!$B$4)))))</f>
        <v/>
      </c>
      <c r="BI487" s="100" t="str">
        <f aca="false">IF(ISBLANK($C487),"",IF($BH487&lt;&gt;Constants!$B$4,$BH487,IF(OR(NOT($AH487),NOT($AJ487),NOT($AR487)),Constants!$B$11,IF(OR(NOT($AP487),MAX($AL487,$AM487,$AN487)&gt;Constants!$B$30),Constants!$B$10,Constants!$B$9))))</f>
        <v/>
      </c>
      <c r="BJ487" s="100" t="str">
        <f aca="false">IF($BH487&lt;&gt;Constants!$B$4,"",IF(NOT($AJ487),0,MIN(Constants!$B$35,$BC487)))</f>
        <v/>
      </c>
      <c r="BK487" s="100" t="str">
        <f aca="false">IF($BH487&lt;&gt;Constants!$B$4,"",IF(NOT($AJ487),0,IF($AT487,Constants!$B$18,IF($AS487,Constants!$B$17,0))))</f>
        <v/>
      </c>
      <c r="BL487" s="100" t="str">
        <f aca="false">IF($BH487&lt;&gt;Constants!$B$4,"",IF(NOT($AJ487),0,Constants!$B$19*($AI487+$AU487+$AV487+$AW487)))</f>
        <v/>
      </c>
      <c r="BM487" s="100" t="str">
        <f aca="false">IF($BH487&lt;&gt;Constants!$B$4,"",IF(OR(NOT($AJ487),NOT(ISNUMBER($AX487))),0,CHOOSE($AX487,Constants!$B$13,Constants!$B$14,Constants!$B$15,Constants!$B$16)))</f>
        <v/>
      </c>
      <c r="BN487" s="100" t="str">
        <f aca="false">IF($BH487&lt;&gt;Constants!$B$4,"",IF(NOT($AJ487),0,Constants!$B$20*$AY487))</f>
        <v/>
      </c>
      <c r="BO487" s="100" t="str">
        <f aca="false">IF($BH487&lt;&gt;Constants!$B$4,"",IF(AND($AJ487,$BA487,$BB487),Constants!$B$22,0))</f>
        <v/>
      </c>
      <c r="BP487" s="100" t="str">
        <f aca="false">IF($BH487&lt;&gt;Constants!$B$4,"",IF(OR(NOT($AJ487),NOT($BA487)),0,IF($BF487&gt;=2*$AF$9,0,Constants!$B$23*INT(ROUND(MIN($BF487,$AF$9),6)))))</f>
        <v/>
      </c>
      <c r="BQ487" s="100" t="str">
        <f aca="false">IF($BH487&lt;&gt;Constants!$B$4,"",IF(NOT($AJ487),0,Constants!$B$24*INT(ROUND(MIN($AZ487,$AF$9),6))))</f>
        <v/>
      </c>
      <c r="BR487" s="100" t="str">
        <f aca="false">IF($BH487&lt;&gt;Constants!$B$4,"",IF(AND($AJ487,$BJ487=0),Constants!$B$25,0))</f>
        <v/>
      </c>
      <c r="BS487" s="100" t="str">
        <f aca="false">IF($BH487&lt;&gt;Constants!$B$4,"",MIN(Constants!$B$29,MAX(0,Constants!$B$27*Constants!$B$28*INT(ROUND((Constants!$B$26-$AL487)/Constants!$B$28,6))))+MIN(Constants!$B$29,MAX(0,Constants!$B$27*Constants!$B$28*INT(ROUND((Constants!$B$26-$AM487)/Constants!$B$28,6))))+MIN(Constants!$B$29,MAX(0,Constants!$B$27*Constants!$B$28*INT(ROUND((Constants!$B$26-$AN487)/Constants!$B$28,6)))))</f>
        <v/>
      </c>
      <c r="BT487" s="100" t="str">
        <f aca="false">IF($BH487&lt;&gt;Constants!$B$4,"",IF(NOT($AJ487),0,Constants!$B$31*INT(ROUND(MAX(0,MIN($BF487,2*$AF$9)-$AF$9),6))))</f>
        <v/>
      </c>
      <c r="BU487" s="100" t="str">
        <f aca="false">IF($BH487&lt;&gt;Constants!$B$4,"",Constants!$B$32*(($AL487&gt;Constants!$B$26)+($AM487&gt;Constants!$B$26)+($AN487&gt;Constants!$B$26)))</f>
        <v/>
      </c>
      <c r="BV487" s="100" t="str">
        <f aca="false">IF($BH487&lt;&gt;Constants!$B$4,"",IF(OR(NOT($AJ487),$AO487),0,Constants!$B$33))</f>
        <v/>
      </c>
      <c r="BW487" s="100" t="str">
        <f aca="false">IF($BH487&lt;&gt;Constants!$B$4,"",Constants!$B$34*$BJ487)</f>
        <v/>
      </c>
      <c r="BX487" s="100" t="str">
        <f aca="false">IF($BH487&lt;&gt;Constants!$B$4,"",IF(OR(NOT($AJ487),$BE487),0,Constants!$B$36))</f>
        <v/>
      </c>
      <c r="BY487" s="100" t="str">
        <f aca="false">IF($BH487&lt;&gt;Constants!$B$4,"",IF(OR(NOT($AJ487),$BD487),0,Constants!$B$37))</f>
        <v/>
      </c>
      <c r="BZ487" s="100" t="str">
        <f aca="false">IF($BH487&lt;&gt;Constants!$B$4,"",SUM($BT487:$BY487))</f>
        <v/>
      </c>
      <c r="CA487" s="100" t="str">
        <f aca="false">IF(ISBLANK($C487),"",IF($BH487&lt;&gt;Constants!$B$4,$BH487,SUM($BK487:$BS487)-$BZ487))</f>
        <v/>
      </c>
      <c r="CB487" s="100" t="str">
        <f aca="false">IF(ISBLANK($C487),"",IF($BH487&lt;&gt;Constants!$B$4,$BH487,RANK($CA487,$CA$9:$CA$508)))</f>
        <v/>
      </c>
      <c r="CC487" s="100" t="str">
        <f aca="false">IF(ISBLANK($C487),"",IF($BH487&lt;&gt;Constants!$B$4,$BH487,COUNTIFS($BI$9:$BI$508,"&lt;"&amp;$BI487)+COUNTIFS($BI$9:$BI$508,$BI487,$CB$9:$CB$508,"&lt;"&amp;$CB487)+1))</f>
        <v/>
      </c>
      <c r="CD487" s="100" t="str">
        <f aca="false">IF(ISBLANK($C487),"",IF($BH487&lt;&gt;Constants!$B$4,$BH487,RANK($BZ487,$BZ$9:$BZ$508,1)))</f>
        <v/>
      </c>
      <c r="CE487" s="100" t="str">
        <f aca="false">IF($BH487&lt;&gt;Constants!$B$4,"",$AL487+$AM487+$AN487)</f>
        <v/>
      </c>
      <c r="CF487" s="100" t="str">
        <f aca="false">IF(ISBLANK($C487),"",IF($BH487&lt;&gt;Constants!$B$4,$BH487,RANK($CE487,$CE$9:$CE$508,1)))</f>
        <v/>
      </c>
      <c r="CG487" s="100" t="str">
        <f aca="false">IF(ISBLANK($C487),"",IF($BH487&lt;&gt;Constants!$B$4,$BH487,COUNTIFS($BI$9:$BI$508,"&lt;"&amp;$BI487)+COUNTIFS($BI$9:$BI$508,$BI487,$CB$9:$CB$508,"&lt;"&amp;$CB487)+COUNTIFS($BI$9:$BI$508,$BI487,$CB$9:$CB$508,$CB487,$CD$9:$CD$508,"&lt;"&amp;$CD487)+COUNTIFS($BI$9:$BI$508,$BI487,$CB$9:$CB$508,$CB487,$CD$9:$CD$508,$CD487,$CF$9:$CF$508,"&lt;"&amp;$CF487)+1))</f>
        <v/>
      </c>
      <c r="CH487" s="100" t="str">
        <f aca="false">IF(ISBLANK($C487),"",IF($BH487&lt;&gt;Constants!$B$4,$BH487,$CC487-$CG487))</f>
        <v/>
      </c>
      <c r="CI487" s="100" t="str">
        <f aca="false">IF(ISBLANK($C487),"",IF(NOT($AJ487),"",IF(ISBLANK($D$7),$CI$5,IF(NOT(ISNUMBER($D$7)),$CI$6,""))))</f>
        <v/>
      </c>
      <c r="CJ487" s="100" t="str">
        <f aca="false">IF(ISBLANK($C487),"",OR($AL487="",$AM487="",$AN487=""))</f>
        <v/>
      </c>
      <c r="CK487" s="100" t="str">
        <f aca="false">IF(ISBLANK($C487),"",AND($AJ487,$AX487=""))</f>
        <v/>
      </c>
      <c r="CL487" s="100" t="str">
        <f aca="false">IF(ISBLANK($C487),"",AND($AJ487,$AY487=""))</f>
        <v/>
      </c>
      <c r="CM487" s="100" t="str">
        <f aca="false">IF(ISBLANK($C487),"",AND($AJ487,$AZ487=""))</f>
        <v/>
      </c>
      <c r="CN487" s="100" t="str">
        <f aca="false">IF(ISBLANK($C487),"",AND($AJ487,$BC487=""))</f>
        <v/>
      </c>
      <c r="CO487" s="100" t="str">
        <f aca="false">IF(ISBLANK($C487),"",AND($AJ487,$BF487=""))</f>
        <v/>
      </c>
      <c r="CP487" s="101"/>
      <c r="CQ487" s="102"/>
      <c r="CR487" s="103" t="str">
        <f aca="false">IF(ISBLANK($C487),"",IF($BH487=Constants!$B$8,$CI487,""))</f>
        <v/>
      </c>
      <c r="CS487" s="102" t="str">
        <f aca="false">IF(ISBLANK($C487),"",IF($BH487&lt;&gt;Constants!$B$4,"",$BK487+$BL487))</f>
        <v/>
      </c>
      <c r="CT487" s="104" t="str">
        <f aca="false">IF(ISBLANK($C487),"",IF($BH487&lt;&gt;Constants!$B$4,"",$BM487+$BN487+$BO487))</f>
        <v/>
      </c>
      <c r="CU487" s="104" t="str">
        <f aca="false">IF(ISBLANK($C487),"",IF($BH487&lt;&gt;Constants!$B$4,"",$BP487))</f>
        <v/>
      </c>
      <c r="CV487" s="104" t="str">
        <f aca="false">IF(ISBLANK($C487),"",IF($BH487&lt;&gt;Constants!$B$4,"",$BQ487+$BR487))</f>
        <v/>
      </c>
      <c r="CW487" s="104" t="str">
        <f aca="false">IF(ISBLANK($C487),"",IF($BH487&lt;&gt;Constants!$B$4,"",$BS487))</f>
        <v/>
      </c>
      <c r="CX487" s="104" t="str">
        <f aca="false">IF(ISBLANK($C487),"",IF($BH487&lt;&gt;Constants!$B$4,"",-$BZ487))</f>
        <v/>
      </c>
      <c r="CY487" s="103" t="str">
        <f aca="false">IF(ISBLANK($C487),"",$CA487)</f>
        <v/>
      </c>
      <c r="CZ487" s="105" t="str">
        <f aca="false">IF(ISBLANK($C487),"",$BI487)</f>
        <v/>
      </c>
      <c r="DA487" s="104" t="str">
        <f aca="false">IF(ISBLANK($C487),"",$CH487)</f>
        <v/>
      </c>
      <c r="DB487" s="104" t="str">
        <f aca="false">IF(ISBLANK($C487),"",$CG487)</f>
        <v/>
      </c>
      <c r="DC487" s="106" t="str">
        <f aca="false">IF(ISBLANK($C487),"",IFERROR(_xlfn.SWITCH($DB487,Constants!$B$7,COUNTA($C$9:$C$508)+2,Constants!$B$6,COUNTA($C$9:$C$508)+1,Constants!$B$5,COUNTA($C$9:$C$508)),$DB487))</f>
        <v/>
      </c>
      <c r="DD487" s="7"/>
      <c r="DE487" s="107" t="n">
        <f aca="false">IF(OR(ISNUMBER($DB487),$DB487=Constants!$B$7,$DB487=Constants!$B$5,$DB487=Constants!$B$6),1,0)</f>
        <v>0</v>
      </c>
      <c r="DF487" s="107" t="n">
        <v>479</v>
      </c>
      <c r="DG487" s="107" t="str">
        <f aca="false">IF(ISBLANK($C487),"",IF(ISNUMBER($DC487),$DC487+ROW($B487)/1000,""))</f>
        <v/>
      </c>
      <c r="DH487" s="107" t="str">
        <f aca="false">IF(ISNUMBER($DG487),RANK($DG487,$DG$9:$DG$508,1),"")</f>
        <v/>
      </c>
      <c r="DI487" s="107" t="str">
        <f aca="false">IF(ISBLANK($C487),"",$B487)</f>
        <v/>
      </c>
      <c r="DJ487" s="107" t="str">
        <f aca="false">IF(ISBLANK($C487),"",$C487)</f>
        <v/>
      </c>
      <c r="DK487" s="107" t="str">
        <f aca="false">IF(ISBLANK($C487),"",$D487)</f>
        <v/>
      </c>
      <c r="DL487" s="108" t="str">
        <f aca="false">$CZ487</f>
        <v/>
      </c>
      <c r="DM487" s="109" t="str">
        <f aca="false">$CY487</f>
        <v/>
      </c>
      <c r="DN487" s="107" t="str">
        <f aca="false">IF(ISBLANK($C487),"",$DB487)</f>
        <v/>
      </c>
      <c r="DO487" s="110" t="str">
        <f aca="false">IF($DF487&gt;$DE$8,"",VLOOKUP($DF487,$DH$9:$DN$508,7,FALSE()))</f>
        <v/>
      </c>
      <c r="DP487" s="111" t="str">
        <f aca="false">IF($DF487&gt;$DE$8,"",VLOOKUP($DF487,$DH$9:$DN$508,2,FALSE()))</f>
        <v/>
      </c>
      <c r="DQ487" s="111" t="str">
        <f aca="false">IF($DF487&gt;$DE$8,"",VLOOKUP($DF487,$DH$9:$DN$508,3,FALSE()))</f>
        <v/>
      </c>
      <c r="DR487" s="111" t="str">
        <f aca="false">IF($DF487&gt;$DE$8,"",VLOOKUP($DF487,$DH$9:$DN$508,4,FALSE()))</f>
        <v/>
      </c>
      <c r="DS487" s="111" t="str">
        <f aca="false">IF($DF487&gt;$DE$8,"",VLOOKUP($DF487,$DH$9:$DN$508,5,FALSE()))</f>
        <v/>
      </c>
      <c r="DT487" s="112" t="str">
        <f aca="false">IF($DF487&gt;$DE$8,"",VLOOKUP($DF487,$DH$9:$DN$508,6,FALSE()))</f>
        <v/>
      </c>
      <c r="DU487" s="62"/>
    </row>
    <row r="488" customFormat="false" ht="15.75" hidden="false" customHeight="false" outlineLevel="0" collapsed="false">
      <c r="A488" s="7"/>
      <c r="B488" s="90"/>
      <c r="C488" s="91"/>
      <c r="D488" s="126"/>
      <c r="E488" s="130"/>
      <c r="F488" s="135"/>
      <c r="G488" s="130"/>
      <c r="H488" s="135"/>
      <c r="I488" s="131"/>
      <c r="J488" s="131"/>
      <c r="K488" s="131"/>
      <c r="L488" s="130"/>
      <c r="M488" s="130"/>
      <c r="N488" s="130"/>
      <c r="O488" s="135"/>
      <c r="P488" s="130"/>
      <c r="Q488" s="130"/>
      <c r="R488" s="130"/>
      <c r="S488" s="130"/>
      <c r="T488" s="135"/>
      <c r="U488" s="130"/>
      <c r="V488" s="96"/>
      <c r="W488" s="130"/>
      <c r="X488" s="130"/>
      <c r="Y488" s="96"/>
      <c r="Z488" s="96"/>
      <c r="AA488" s="130"/>
      <c r="AB488" s="130"/>
      <c r="AC488" s="97"/>
      <c r="AD488" s="130"/>
      <c r="AE488" s="99"/>
      <c r="AF488" s="100"/>
      <c r="AG488" s="100"/>
      <c r="AH488" s="100" t="str">
        <f aca="false">IF(ISBLANK($C488),"",IF($E488=Constants!$B$2,TRUE(),IF($E488=Constants!$B$3,FALSE(),TRUE())))</f>
        <v/>
      </c>
      <c r="AI488" s="100" t="str">
        <f aca="false">IF(ISBLANK($C488),"",IF($F488=Constants!$B$2,TRUE(),IF($F488=Constants!$B$3,FALSE(),FALSE())))</f>
        <v/>
      </c>
      <c r="AJ488" s="100" t="str">
        <f aca="false">IF(ISBLANK($C488),"",IF($G488=Constants!$B$2,TRUE(),IF($G488=Constants!$B$3,FALSE(),TRUE())))</f>
        <v/>
      </c>
      <c r="AK488" s="100" t="str">
        <f aca="false">IF(ISBLANK($C488),"",IF($H488=Constants!$B$2,TRUE(),IF($H488=Constants!$B$3,FALSE(),TRUE())))</f>
        <v/>
      </c>
      <c r="AL488" s="100" t="str">
        <f aca="false">IF(ISBLANK($C488),"",IF(ISNUMBER($I488),IF($I488&gt;=0,$I488,""),""))</f>
        <v/>
      </c>
      <c r="AM488" s="100" t="str">
        <f aca="false">IF(ISBLANK($C488),"",IF(ISNUMBER($J488),IF($J488&gt;=0,$J488,""),""))</f>
        <v/>
      </c>
      <c r="AN488" s="100" t="str">
        <f aca="false">IF(ISBLANK($C488),"",IF(ISNUMBER($K488),IF($K488&gt;=0,$K488,""),""))</f>
        <v/>
      </c>
      <c r="AO488" s="100" t="str">
        <f aca="false">IF(ISBLANK($C488),"",IF($L488=Constants!$B$2,TRUE(),IF($L488=Constants!$B$3,FALSE(),TRUE())))</f>
        <v/>
      </c>
      <c r="AP488" s="100" t="str">
        <f aca="false">IF(ISBLANK($C488),"",IF($M488=Constants!$B$2,TRUE(),IF($M488=Constants!$B$3,FALSE(),TRUE())))</f>
        <v/>
      </c>
      <c r="AQ488" s="100" t="str">
        <f aca="false">IF(ISBLANK($C488),"",IF($N488=Constants!$B$2,TRUE(),IF($N488=Constants!$B$3,FALSE(),FALSE())))</f>
        <v/>
      </c>
      <c r="AR488" s="100" t="str">
        <f aca="false">IF(ISBLANK($C488),"",IF($O488=Constants!$B$2,TRUE(),IF($O488=Constants!$B$3,FALSE(),TRUE())))</f>
        <v/>
      </c>
      <c r="AS488" s="100" t="str">
        <f aca="false">IF(ISBLANK($C488),"",IF($P488=Constants!$B$2,TRUE(),IF($P488=Constants!$B$3,FALSE(),FALSE())))</f>
        <v/>
      </c>
      <c r="AT488" s="100" t="str">
        <f aca="false">IF(ISBLANK($C488),"",IF($Q488=Constants!$B$2,TRUE(),IF($Q488=Constants!$B$3,FALSE(),FALSE())))</f>
        <v/>
      </c>
      <c r="AU488" s="100" t="str">
        <f aca="false">IF(ISBLANK($C488),"",IF($R488=Constants!$B$2,TRUE(),IF($R488=Constants!$B$3,FALSE(),FALSE())))</f>
        <v/>
      </c>
      <c r="AV488" s="100" t="str">
        <f aca="false">IF(ISBLANK($C488),"",IF($S488=Constants!$B$2,TRUE(),IF($S488=Constants!$B$3,FALSE(),FALSE())))</f>
        <v/>
      </c>
      <c r="AW488" s="100" t="str">
        <f aca="false">IF(ISBLANK($C488),"",IF($T488=Constants!$B$2,TRUE(),IF($T488=Constants!$B$3,FALSE(),FALSE())))</f>
        <v/>
      </c>
      <c r="AX488" s="100" t="str">
        <f aca="false">IF(ISBLANK($C488),"",IF(OR($U488&amp;""="1",$U488&amp;""="2",$U488&amp;""="3",$U488&amp;""="4"),VALUE($U488&amp;""),IF($U488=Constants!$B$12,Constants!$B$12,"")))</f>
        <v/>
      </c>
      <c r="AY488" s="100" t="str">
        <f aca="false">IF(ISBLANK($C488),"",IF(ISBLANK($V488),0,IF(ISNUMBER($V488),IF(AND($V488&gt;=0,$V488&lt;=Constants!$B$21,$V488=INT($V488)),$V488,""),"")))</f>
        <v/>
      </c>
      <c r="AZ488" s="100" t="str">
        <f aca="false">IF(ISBLANK($C488),"",IF(ISBLANK($W488),0,IF(ISNUMBER($W488),IF($W488&gt;=0,$W488,""),"")))</f>
        <v/>
      </c>
      <c r="BA488" s="100" t="str">
        <f aca="false">IF(ISBLANK($C488),"",IF($X488=Constants!$B$2,TRUE(),IF($X488=Constants!$B$3,FALSE(),TRUE())))</f>
        <v/>
      </c>
      <c r="BB488" s="100" t="str">
        <f aca="false">IF(ISBLANK($C488),"",IF($Y488=Constants!$B$2,TRUE(),IF($Y488=Constants!$B$3,FALSE(),FALSE())))</f>
        <v/>
      </c>
      <c r="BC488" s="100" t="str">
        <f aca="false">IF(ISBLANK($C488),"",IF(ISBLANK($Z488),0,IF(ISNUMBER($Z488),IF(AND($Z488&gt;=0,$Z488&lt;=Constants!$B$35,$Z488=INT($Z488)),$Z488,""),"")))</f>
        <v/>
      </c>
      <c r="BD488" s="100" t="str">
        <f aca="false">IF(ISBLANK($C488),"",IF($AA488=Constants!$B$2,TRUE(),IF($AA488=Constants!$B$3,FALSE(),TRUE())))</f>
        <v/>
      </c>
      <c r="BE488" s="100" t="str">
        <f aca="false">IF(ISBLANK($C488),"",IF($AB488=Constants!$B$2,TRUE(),IF($AB488=Constants!$B$3,FALSE(),TRUE())))</f>
        <v/>
      </c>
      <c r="BF488" s="100" t="str">
        <f aca="false">IF(ISBLANK($C488),"",IF(ISNUMBER($AC488),IF($AC488&gt;=0,$AC488,""),""))</f>
        <v/>
      </c>
      <c r="BG488" s="100" t="str">
        <f aca="false">IF(ISBLANK($C488),"",IF($AD488=Constants!$B$2,TRUE(),IF($AD488=Constants!$B$3,FALSE(),FALSE())))</f>
        <v/>
      </c>
      <c r="BH488" s="99" t="str">
        <f aca="false">IF(ISBLANK($C488),"",IF($BG488,Constants!$B$7,IF(COUNTA($E488:$AC488)=0,Constants!$B$6,IF(OR(COUNTA($G488:$AC488)=0,NOT($AK488),$AQ488),Constants!$B$5,IF(OR($CI488&lt;&gt;"",$CJ488,$CK488,$CL488,$CM488,$CN488,$CO488),Constants!$B$8,Constants!$B$4)))))</f>
        <v/>
      </c>
      <c r="BI488" s="100" t="str">
        <f aca="false">IF(ISBLANK($C488),"",IF($BH488&lt;&gt;Constants!$B$4,$BH488,IF(OR(NOT($AH488),NOT($AJ488),NOT($AR488)),Constants!$B$11,IF(OR(NOT($AP488),MAX($AL488,$AM488,$AN488)&gt;Constants!$B$30),Constants!$B$10,Constants!$B$9))))</f>
        <v/>
      </c>
      <c r="BJ488" s="100" t="str">
        <f aca="false">IF($BH488&lt;&gt;Constants!$B$4,"",IF(NOT($AJ488),0,MIN(Constants!$B$35,$BC488)))</f>
        <v/>
      </c>
      <c r="BK488" s="100" t="str">
        <f aca="false">IF($BH488&lt;&gt;Constants!$B$4,"",IF(NOT($AJ488),0,IF($AT488,Constants!$B$18,IF($AS488,Constants!$B$17,0))))</f>
        <v/>
      </c>
      <c r="BL488" s="100" t="str">
        <f aca="false">IF($BH488&lt;&gt;Constants!$B$4,"",IF(NOT($AJ488),0,Constants!$B$19*($AI488+$AU488+$AV488+$AW488)))</f>
        <v/>
      </c>
      <c r="BM488" s="100" t="str">
        <f aca="false">IF($BH488&lt;&gt;Constants!$B$4,"",IF(OR(NOT($AJ488),NOT(ISNUMBER($AX488))),0,CHOOSE($AX488,Constants!$B$13,Constants!$B$14,Constants!$B$15,Constants!$B$16)))</f>
        <v/>
      </c>
      <c r="BN488" s="100" t="str">
        <f aca="false">IF($BH488&lt;&gt;Constants!$B$4,"",IF(NOT($AJ488),0,Constants!$B$20*$AY488))</f>
        <v/>
      </c>
      <c r="BO488" s="100" t="str">
        <f aca="false">IF($BH488&lt;&gt;Constants!$B$4,"",IF(AND($AJ488,$BA488,$BB488),Constants!$B$22,0))</f>
        <v/>
      </c>
      <c r="BP488" s="100" t="str">
        <f aca="false">IF($BH488&lt;&gt;Constants!$B$4,"",IF(OR(NOT($AJ488),NOT($BA488)),0,IF($BF488&gt;=2*$AF$9,0,Constants!$B$23*INT(ROUND(MIN($BF488,$AF$9),6)))))</f>
        <v/>
      </c>
      <c r="BQ488" s="100" t="str">
        <f aca="false">IF($BH488&lt;&gt;Constants!$B$4,"",IF(NOT($AJ488),0,Constants!$B$24*INT(ROUND(MIN($AZ488,$AF$9),6))))</f>
        <v/>
      </c>
      <c r="BR488" s="100" t="str">
        <f aca="false">IF($BH488&lt;&gt;Constants!$B$4,"",IF(AND($AJ488,$BJ488=0),Constants!$B$25,0))</f>
        <v/>
      </c>
      <c r="BS488" s="100" t="str">
        <f aca="false">IF($BH488&lt;&gt;Constants!$B$4,"",MIN(Constants!$B$29,MAX(0,Constants!$B$27*Constants!$B$28*INT(ROUND((Constants!$B$26-$AL488)/Constants!$B$28,6))))+MIN(Constants!$B$29,MAX(0,Constants!$B$27*Constants!$B$28*INT(ROUND((Constants!$B$26-$AM488)/Constants!$B$28,6))))+MIN(Constants!$B$29,MAX(0,Constants!$B$27*Constants!$B$28*INT(ROUND((Constants!$B$26-$AN488)/Constants!$B$28,6)))))</f>
        <v/>
      </c>
      <c r="BT488" s="100" t="str">
        <f aca="false">IF($BH488&lt;&gt;Constants!$B$4,"",IF(NOT($AJ488),0,Constants!$B$31*INT(ROUND(MAX(0,MIN($BF488,2*$AF$9)-$AF$9),6))))</f>
        <v/>
      </c>
      <c r="BU488" s="100" t="str">
        <f aca="false">IF($BH488&lt;&gt;Constants!$B$4,"",Constants!$B$32*(($AL488&gt;Constants!$B$26)+($AM488&gt;Constants!$B$26)+($AN488&gt;Constants!$B$26)))</f>
        <v/>
      </c>
      <c r="BV488" s="100" t="str">
        <f aca="false">IF($BH488&lt;&gt;Constants!$B$4,"",IF(OR(NOT($AJ488),$AO488),0,Constants!$B$33))</f>
        <v/>
      </c>
      <c r="BW488" s="100" t="str">
        <f aca="false">IF($BH488&lt;&gt;Constants!$B$4,"",Constants!$B$34*$BJ488)</f>
        <v/>
      </c>
      <c r="BX488" s="100" t="str">
        <f aca="false">IF($BH488&lt;&gt;Constants!$B$4,"",IF(OR(NOT($AJ488),$BE488),0,Constants!$B$36))</f>
        <v/>
      </c>
      <c r="BY488" s="100" t="str">
        <f aca="false">IF($BH488&lt;&gt;Constants!$B$4,"",IF(OR(NOT($AJ488),$BD488),0,Constants!$B$37))</f>
        <v/>
      </c>
      <c r="BZ488" s="100" t="str">
        <f aca="false">IF($BH488&lt;&gt;Constants!$B$4,"",SUM($BT488:$BY488))</f>
        <v/>
      </c>
      <c r="CA488" s="100" t="str">
        <f aca="false">IF(ISBLANK($C488),"",IF($BH488&lt;&gt;Constants!$B$4,$BH488,SUM($BK488:$BS488)-$BZ488))</f>
        <v/>
      </c>
      <c r="CB488" s="100" t="str">
        <f aca="false">IF(ISBLANK($C488),"",IF($BH488&lt;&gt;Constants!$B$4,$BH488,RANK($CA488,$CA$9:$CA$508)))</f>
        <v/>
      </c>
      <c r="CC488" s="100" t="str">
        <f aca="false">IF(ISBLANK($C488),"",IF($BH488&lt;&gt;Constants!$B$4,$BH488,COUNTIFS($BI$9:$BI$508,"&lt;"&amp;$BI488)+COUNTIFS($BI$9:$BI$508,$BI488,$CB$9:$CB$508,"&lt;"&amp;$CB488)+1))</f>
        <v/>
      </c>
      <c r="CD488" s="100" t="str">
        <f aca="false">IF(ISBLANK($C488),"",IF($BH488&lt;&gt;Constants!$B$4,$BH488,RANK($BZ488,$BZ$9:$BZ$508,1)))</f>
        <v/>
      </c>
      <c r="CE488" s="100" t="str">
        <f aca="false">IF($BH488&lt;&gt;Constants!$B$4,"",$AL488+$AM488+$AN488)</f>
        <v/>
      </c>
      <c r="CF488" s="100" t="str">
        <f aca="false">IF(ISBLANK($C488),"",IF($BH488&lt;&gt;Constants!$B$4,$BH488,RANK($CE488,$CE$9:$CE$508,1)))</f>
        <v/>
      </c>
      <c r="CG488" s="100" t="str">
        <f aca="false">IF(ISBLANK($C488),"",IF($BH488&lt;&gt;Constants!$B$4,$BH488,COUNTIFS($BI$9:$BI$508,"&lt;"&amp;$BI488)+COUNTIFS($BI$9:$BI$508,$BI488,$CB$9:$CB$508,"&lt;"&amp;$CB488)+COUNTIFS($BI$9:$BI$508,$BI488,$CB$9:$CB$508,$CB488,$CD$9:$CD$508,"&lt;"&amp;$CD488)+COUNTIFS($BI$9:$BI$508,$BI488,$CB$9:$CB$508,$CB488,$CD$9:$CD$508,$CD488,$CF$9:$CF$508,"&lt;"&amp;$CF488)+1))</f>
        <v/>
      </c>
      <c r="CH488" s="100" t="str">
        <f aca="false">IF(ISBLANK($C488),"",IF($BH488&lt;&gt;Constants!$B$4,$BH488,$CC488-$CG488))</f>
        <v/>
      </c>
      <c r="CI488" s="100" t="str">
        <f aca="false">IF(ISBLANK($C488),"",IF(NOT($AJ488),"",IF(ISBLANK($D$7),$CI$5,IF(NOT(ISNUMBER($D$7)),$CI$6,""))))</f>
        <v/>
      </c>
      <c r="CJ488" s="100" t="str">
        <f aca="false">IF(ISBLANK($C488),"",OR($AL488="",$AM488="",$AN488=""))</f>
        <v/>
      </c>
      <c r="CK488" s="100" t="str">
        <f aca="false">IF(ISBLANK($C488),"",AND($AJ488,$AX488=""))</f>
        <v/>
      </c>
      <c r="CL488" s="100" t="str">
        <f aca="false">IF(ISBLANK($C488),"",AND($AJ488,$AY488=""))</f>
        <v/>
      </c>
      <c r="CM488" s="100" t="str">
        <f aca="false">IF(ISBLANK($C488),"",AND($AJ488,$AZ488=""))</f>
        <v/>
      </c>
      <c r="CN488" s="100" t="str">
        <f aca="false">IF(ISBLANK($C488),"",AND($AJ488,$BC488=""))</f>
        <v/>
      </c>
      <c r="CO488" s="100" t="str">
        <f aca="false">IF(ISBLANK($C488),"",AND($AJ488,$BF488=""))</f>
        <v/>
      </c>
      <c r="CP488" s="101"/>
      <c r="CQ488" s="102"/>
      <c r="CR488" s="103" t="str">
        <f aca="false">IF(ISBLANK($C488),"",IF($BH488=Constants!$B$8,$CI488,""))</f>
        <v/>
      </c>
      <c r="CS488" s="102" t="str">
        <f aca="false">IF(ISBLANK($C488),"",IF($BH488&lt;&gt;Constants!$B$4,"",$BK488+$BL488))</f>
        <v/>
      </c>
      <c r="CT488" s="104" t="str">
        <f aca="false">IF(ISBLANK($C488),"",IF($BH488&lt;&gt;Constants!$B$4,"",$BM488+$BN488+$BO488))</f>
        <v/>
      </c>
      <c r="CU488" s="104" t="str">
        <f aca="false">IF(ISBLANK($C488),"",IF($BH488&lt;&gt;Constants!$B$4,"",$BP488))</f>
        <v/>
      </c>
      <c r="CV488" s="104" t="str">
        <f aca="false">IF(ISBLANK($C488),"",IF($BH488&lt;&gt;Constants!$B$4,"",$BQ488+$BR488))</f>
        <v/>
      </c>
      <c r="CW488" s="104" t="str">
        <f aca="false">IF(ISBLANK($C488),"",IF($BH488&lt;&gt;Constants!$B$4,"",$BS488))</f>
        <v/>
      </c>
      <c r="CX488" s="104" t="str">
        <f aca="false">IF(ISBLANK($C488),"",IF($BH488&lt;&gt;Constants!$B$4,"",-$BZ488))</f>
        <v/>
      </c>
      <c r="CY488" s="103" t="str">
        <f aca="false">IF(ISBLANK($C488),"",$CA488)</f>
        <v/>
      </c>
      <c r="CZ488" s="105" t="str">
        <f aca="false">IF(ISBLANK($C488),"",$BI488)</f>
        <v/>
      </c>
      <c r="DA488" s="104" t="str">
        <f aca="false">IF(ISBLANK($C488),"",$CH488)</f>
        <v/>
      </c>
      <c r="DB488" s="104" t="str">
        <f aca="false">IF(ISBLANK($C488),"",$CG488)</f>
        <v/>
      </c>
      <c r="DC488" s="106" t="str">
        <f aca="false">IF(ISBLANK($C488),"",IFERROR(_xlfn.SWITCH($DB488,Constants!$B$7,COUNTA($C$9:$C$508)+2,Constants!$B$6,COUNTA($C$9:$C$508)+1,Constants!$B$5,COUNTA($C$9:$C$508)),$DB488))</f>
        <v/>
      </c>
      <c r="DD488" s="7"/>
      <c r="DE488" s="107" t="n">
        <f aca="false">IF(OR(ISNUMBER($DB488),$DB488=Constants!$B$7,$DB488=Constants!$B$5,$DB488=Constants!$B$6),1,0)</f>
        <v>0</v>
      </c>
      <c r="DF488" s="107" t="n">
        <v>480</v>
      </c>
      <c r="DG488" s="107" t="str">
        <f aca="false">IF(ISBLANK($C488),"",IF(ISNUMBER($DC488),$DC488+ROW($B488)/1000,""))</f>
        <v/>
      </c>
      <c r="DH488" s="107" t="str">
        <f aca="false">IF(ISNUMBER($DG488),RANK($DG488,$DG$9:$DG$508,1),"")</f>
        <v/>
      </c>
      <c r="DI488" s="107" t="str">
        <f aca="false">IF(ISBLANK($C488),"",$B488)</f>
        <v/>
      </c>
      <c r="DJ488" s="107" t="str">
        <f aca="false">IF(ISBLANK($C488),"",$C488)</f>
        <v/>
      </c>
      <c r="DK488" s="107" t="str">
        <f aca="false">IF(ISBLANK($C488),"",$D488)</f>
        <v/>
      </c>
      <c r="DL488" s="108" t="str">
        <f aca="false">$CZ488</f>
        <v/>
      </c>
      <c r="DM488" s="109" t="str">
        <f aca="false">$CY488</f>
        <v/>
      </c>
      <c r="DN488" s="107" t="str">
        <f aca="false">IF(ISBLANK($C488),"",$DB488)</f>
        <v/>
      </c>
      <c r="DO488" s="110" t="str">
        <f aca="false">IF($DF488&gt;$DE$8,"",VLOOKUP($DF488,$DH$9:$DN$508,7,FALSE()))</f>
        <v/>
      </c>
      <c r="DP488" s="111" t="str">
        <f aca="false">IF($DF488&gt;$DE$8,"",VLOOKUP($DF488,$DH$9:$DN$508,2,FALSE()))</f>
        <v/>
      </c>
      <c r="DQ488" s="111" t="str">
        <f aca="false">IF($DF488&gt;$DE$8,"",VLOOKUP($DF488,$DH$9:$DN$508,3,FALSE()))</f>
        <v/>
      </c>
      <c r="DR488" s="111" t="str">
        <f aca="false">IF($DF488&gt;$DE$8,"",VLOOKUP($DF488,$DH$9:$DN$508,4,FALSE()))</f>
        <v/>
      </c>
      <c r="DS488" s="111" t="str">
        <f aca="false">IF($DF488&gt;$DE$8,"",VLOOKUP($DF488,$DH$9:$DN$508,5,FALSE()))</f>
        <v/>
      </c>
      <c r="DT488" s="112" t="str">
        <f aca="false">IF($DF488&gt;$DE$8,"",VLOOKUP($DF488,$DH$9:$DN$508,6,FALSE()))</f>
        <v/>
      </c>
      <c r="DU488" s="62"/>
    </row>
    <row r="489" customFormat="false" ht="15.75" hidden="false" customHeight="false" outlineLevel="0" collapsed="false">
      <c r="A489" s="7"/>
      <c r="B489" s="64"/>
      <c r="C489" s="65"/>
      <c r="D489" s="123"/>
      <c r="E489" s="88"/>
      <c r="F489" s="134"/>
      <c r="G489" s="88"/>
      <c r="H489" s="134"/>
      <c r="I489" s="119"/>
      <c r="J489" s="119"/>
      <c r="K489" s="119"/>
      <c r="L489" s="88"/>
      <c r="M489" s="88"/>
      <c r="N489" s="88"/>
      <c r="O489" s="134"/>
      <c r="P489" s="88"/>
      <c r="Q489" s="88"/>
      <c r="R489" s="88"/>
      <c r="S489" s="88"/>
      <c r="T489" s="134"/>
      <c r="U489" s="88"/>
      <c r="V489" s="70"/>
      <c r="W489" s="88"/>
      <c r="X489" s="88"/>
      <c r="Y489" s="70"/>
      <c r="Z489" s="70"/>
      <c r="AA489" s="88"/>
      <c r="AB489" s="88"/>
      <c r="AC489" s="71"/>
      <c r="AD489" s="88"/>
      <c r="AE489" s="73"/>
      <c r="AF489" s="74"/>
      <c r="AG489" s="74"/>
      <c r="AH489" s="74" t="str">
        <f aca="false">IF(ISBLANK($C489),"",IF($E489=Constants!$B$2,TRUE(),IF($E489=Constants!$B$3,FALSE(),TRUE())))</f>
        <v/>
      </c>
      <c r="AI489" s="74" t="str">
        <f aca="false">IF(ISBLANK($C489),"",IF($F489=Constants!$B$2,TRUE(),IF($F489=Constants!$B$3,FALSE(),FALSE())))</f>
        <v/>
      </c>
      <c r="AJ489" s="74" t="str">
        <f aca="false">IF(ISBLANK($C489),"",IF($G489=Constants!$B$2,TRUE(),IF($G489=Constants!$B$3,FALSE(),TRUE())))</f>
        <v/>
      </c>
      <c r="AK489" s="74" t="str">
        <f aca="false">IF(ISBLANK($C489),"",IF($H489=Constants!$B$2,TRUE(),IF($H489=Constants!$B$3,FALSE(),TRUE())))</f>
        <v/>
      </c>
      <c r="AL489" s="74" t="str">
        <f aca="false">IF(ISBLANK($C489),"",IF(ISNUMBER($I489),IF($I489&gt;=0,$I489,""),""))</f>
        <v/>
      </c>
      <c r="AM489" s="74" t="str">
        <f aca="false">IF(ISBLANK($C489),"",IF(ISNUMBER($J489),IF($J489&gt;=0,$J489,""),""))</f>
        <v/>
      </c>
      <c r="AN489" s="74" t="str">
        <f aca="false">IF(ISBLANK($C489),"",IF(ISNUMBER($K489),IF($K489&gt;=0,$K489,""),""))</f>
        <v/>
      </c>
      <c r="AO489" s="74" t="str">
        <f aca="false">IF(ISBLANK($C489),"",IF($L489=Constants!$B$2,TRUE(),IF($L489=Constants!$B$3,FALSE(),TRUE())))</f>
        <v/>
      </c>
      <c r="AP489" s="74" t="str">
        <f aca="false">IF(ISBLANK($C489),"",IF($M489=Constants!$B$2,TRUE(),IF($M489=Constants!$B$3,FALSE(),TRUE())))</f>
        <v/>
      </c>
      <c r="AQ489" s="74" t="str">
        <f aca="false">IF(ISBLANK($C489),"",IF($N489=Constants!$B$2,TRUE(),IF($N489=Constants!$B$3,FALSE(),FALSE())))</f>
        <v/>
      </c>
      <c r="AR489" s="74" t="str">
        <f aca="false">IF(ISBLANK($C489),"",IF($O489=Constants!$B$2,TRUE(),IF($O489=Constants!$B$3,FALSE(),TRUE())))</f>
        <v/>
      </c>
      <c r="AS489" s="74" t="str">
        <f aca="false">IF(ISBLANK($C489),"",IF($P489=Constants!$B$2,TRUE(),IF($P489=Constants!$B$3,FALSE(),FALSE())))</f>
        <v/>
      </c>
      <c r="AT489" s="74" t="str">
        <f aca="false">IF(ISBLANK($C489),"",IF($Q489=Constants!$B$2,TRUE(),IF($Q489=Constants!$B$3,FALSE(),FALSE())))</f>
        <v/>
      </c>
      <c r="AU489" s="74" t="str">
        <f aca="false">IF(ISBLANK($C489),"",IF($R489=Constants!$B$2,TRUE(),IF($R489=Constants!$B$3,FALSE(),FALSE())))</f>
        <v/>
      </c>
      <c r="AV489" s="74" t="str">
        <f aca="false">IF(ISBLANK($C489),"",IF($S489=Constants!$B$2,TRUE(),IF($S489=Constants!$B$3,FALSE(),FALSE())))</f>
        <v/>
      </c>
      <c r="AW489" s="74" t="str">
        <f aca="false">IF(ISBLANK($C489),"",IF($T489=Constants!$B$2,TRUE(),IF($T489=Constants!$B$3,FALSE(),FALSE())))</f>
        <v/>
      </c>
      <c r="AX489" s="74" t="str">
        <f aca="false">IF(ISBLANK($C489),"",IF(OR($U489&amp;""="1",$U489&amp;""="2",$U489&amp;""="3",$U489&amp;""="4"),VALUE($U489&amp;""),IF($U489=Constants!$B$12,Constants!$B$12,"")))</f>
        <v/>
      </c>
      <c r="AY489" s="74" t="str">
        <f aca="false">IF(ISBLANK($C489),"",IF(ISBLANK($V489),0,IF(ISNUMBER($V489),IF(AND($V489&gt;=0,$V489&lt;=Constants!$B$21,$V489=INT($V489)),$V489,""),"")))</f>
        <v/>
      </c>
      <c r="AZ489" s="74" t="str">
        <f aca="false">IF(ISBLANK($C489),"",IF(ISBLANK($W489),0,IF(ISNUMBER($W489),IF($W489&gt;=0,$W489,""),"")))</f>
        <v/>
      </c>
      <c r="BA489" s="74" t="str">
        <f aca="false">IF(ISBLANK($C489),"",IF($X489=Constants!$B$2,TRUE(),IF($X489=Constants!$B$3,FALSE(),TRUE())))</f>
        <v/>
      </c>
      <c r="BB489" s="74" t="str">
        <f aca="false">IF(ISBLANK($C489),"",IF($Y489=Constants!$B$2,TRUE(),IF($Y489=Constants!$B$3,FALSE(),FALSE())))</f>
        <v/>
      </c>
      <c r="BC489" s="74" t="str">
        <f aca="false">IF(ISBLANK($C489),"",IF(ISBLANK($Z489),0,IF(ISNUMBER($Z489),IF(AND($Z489&gt;=0,$Z489&lt;=Constants!$B$35,$Z489=INT($Z489)),$Z489,""),"")))</f>
        <v/>
      </c>
      <c r="BD489" s="74" t="str">
        <f aca="false">IF(ISBLANK($C489),"",IF($AA489=Constants!$B$2,TRUE(),IF($AA489=Constants!$B$3,FALSE(),TRUE())))</f>
        <v/>
      </c>
      <c r="BE489" s="74" t="str">
        <f aca="false">IF(ISBLANK($C489),"",IF($AB489=Constants!$B$2,TRUE(),IF($AB489=Constants!$B$3,FALSE(),TRUE())))</f>
        <v/>
      </c>
      <c r="BF489" s="74" t="str">
        <f aca="false">IF(ISBLANK($C489),"",IF(ISNUMBER($AC489),IF($AC489&gt;=0,$AC489,""),""))</f>
        <v/>
      </c>
      <c r="BG489" s="74" t="str">
        <f aca="false">IF(ISBLANK($C489),"",IF($AD489=Constants!$B$2,TRUE(),IF($AD489=Constants!$B$3,FALSE(),FALSE())))</f>
        <v/>
      </c>
      <c r="BH489" s="73" t="str">
        <f aca="false">IF(ISBLANK($C489),"",IF($BG489,Constants!$B$7,IF(COUNTA($E489:$AC489)=0,Constants!$B$6,IF(OR(COUNTA($G489:$AC489)=0,NOT($AK489),$AQ489),Constants!$B$5,IF(OR($CI489&lt;&gt;"",$CJ489,$CK489,$CL489,$CM489,$CN489,$CO489),Constants!$B$8,Constants!$B$4)))))</f>
        <v/>
      </c>
      <c r="BI489" s="74" t="str">
        <f aca="false">IF(ISBLANK($C489),"",IF($BH489&lt;&gt;Constants!$B$4,$BH489,IF(OR(NOT($AH489),NOT($AJ489),NOT($AR489)),Constants!$B$11,IF(OR(NOT($AP489),MAX($AL489,$AM489,$AN489)&gt;Constants!$B$30),Constants!$B$10,Constants!$B$9))))</f>
        <v/>
      </c>
      <c r="BJ489" s="74" t="str">
        <f aca="false">IF($BH489&lt;&gt;Constants!$B$4,"",IF(NOT($AJ489),0,MIN(Constants!$B$35,$BC489)))</f>
        <v/>
      </c>
      <c r="BK489" s="74" t="str">
        <f aca="false">IF($BH489&lt;&gt;Constants!$B$4,"",IF(NOT($AJ489),0,IF($AT489,Constants!$B$18,IF($AS489,Constants!$B$17,0))))</f>
        <v/>
      </c>
      <c r="BL489" s="74" t="str">
        <f aca="false">IF($BH489&lt;&gt;Constants!$B$4,"",IF(NOT($AJ489),0,Constants!$B$19*($AI489+$AU489+$AV489+$AW489)))</f>
        <v/>
      </c>
      <c r="BM489" s="74" t="str">
        <f aca="false">IF($BH489&lt;&gt;Constants!$B$4,"",IF(OR(NOT($AJ489),NOT(ISNUMBER($AX489))),0,CHOOSE($AX489,Constants!$B$13,Constants!$B$14,Constants!$B$15,Constants!$B$16)))</f>
        <v/>
      </c>
      <c r="BN489" s="74" t="str">
        <f aca="false">IF($BH489&lt;&gt;Constants!$B$4,"",IF(NOT($AJ489),0,Constants!$B$20*$AY489))</f>
        <v/>
      </c>
      <c r="BO489" s="74" t="str">
        <f aca="false">IF($BH489&lt;&gt;Constants!$B$4,"",IF(AND($AJ489,$BA489,$BB489),Constants!$B$22,0))</f>
        <v/>
      </c>
      <c r="BP489" s="74" t="str">
        <f aca="false">IF($BH489&lt;&gt;Constants!$B$4,"",IF(OR(NOT($AJ489),NOT($BA489)),0,IF($BF489&gt;=2*$AF$9,0,Constants!$B$23*INT(ROUND(MIN($BF489,$AF$9),6)))))</f>
        <v/>
      </c>
      <c r="BQ489" s="74" t="str">
        <f aca="false">IF($BH489&lt;&gt;Constants!$B$4,"",IF(NOT($AJ489),0,Constants!$B$24*INT(ROUND(MIN($AZ489,$AF$9),6))))</f>
        <v/>
      </c>
      <c r="BR489" s="74" t="str">
        <f aca="false">IF($BH489&lt;&gt;Constants!$B$4,"",IF(AND($AJ489,$BJ489=0),Constants!$B$25,0))</f>
        <v/>
      </c>
      <c r="BS489" s="74" t="str">
        <f aca="false">IF($BH489&lt;&gt;Constants!$B$4,"",MIN(Constants!$B$29,MAX(0,Constants!$B$27*Constants!$B$28*INT(ROUND((Constants!$B$26-$AL489)/Constants!$B$28,6))))+MIN(Constants!$B$29,MAX(0,Constants!$B$27*Constants!$B$28*INT(ROUND((Constants!$B$26-$AM489)/Constants!$B$28,6))))+MIN(Constants!$B$29,MAX(0,Constants!$B$27*Constants!$B$28*INT(ROUND((Constants!$B$26-$AN489)/Constants!$B$28,6)))))</f>
        <v/>
      </c>
      <c r="BT489" s="74" t="str">
        <f aca="false">IF($BH489&lt;&gt;Constants!$B$4,"",IF(NOT($AJ489),0,Constants!$B$31*INT(ROUND(MAX(0,MIN($BF489,2*$AF$9)-$AF$9),6))))</f>
        <v/>
      </c>
      <c r="BU489" s="74" t="str">
        <f aca="false">IF($BH489&lt;&gt;Constants!$B$4,"",Constants!$B$32*(($AL489&gt;Constants!$B$26)+($AM489&gt;Constants!$B$26)+($AN489&gt;Constants!$B$26)))</f>
        <v/>
      </c>
      <c r="BV489" s="74" t="str">
        <f aca="false">IF($BH489&lt;&gt;Constants!$B$4,"",IF(OR(NOT($AJ489),$AO489),0,Constants!$B$33))</f>
        <v/>
      </c>
      <c r="BW489" s="74" t="str">
        <f aca="false">IF($BH489&lt;&gt;Constants!$B$4,"",Constants!$B$34*$BJ489)</f>
        <v/>
      </c>
      <c r="BX489" s="74" t="str">
        <f aca="false">IF($BH489&lt;&gt;Constants!$B$4,"",IF(OR(NOT($AJ489),$BE489),0,Constants!$B$36))</f>
        <v/>
      </c>
      <c r="BY489" s="74" t="str">
        <f aca="false">IF($BH489&lt;&gt;Constants!$B$4,"",IF(OR(NOT($AJ489),$BD489),0,Constants!$B$37))</f>
        <v/>
      </c>
      <c r="BZ489" s="74" t="str">
        <f aca="false">IF($BH489&lt;&gt;Constants!$B$4,"",SUM($BT489:$BY489))</f>
        <v/>
      </c>
      <c r="CA489" s="74" t="str">
        <f aca="false">IF(ISBLANK($C489),"",IF($BH489&lt;&gt;Constants!$B$4,$BH489,SUM($BK489:$BS489)-$BZ489))</f>
        <v/>
      </c>
      <c r="CB489" s="74" t="str">
        <f aca="false">IF(ISBLANK($C489),"",IF($BH489&lt;&gt;Constants!$B$4,$BH489,RANK($CA489,$CA$9:$CA$508)))</f>
        <v/>
      </c>
      <c r="CC489" s="74" t="str">
        <f aca="false">IF(ISBLANK($C489),"",IF($BH489&lt;&gt;Constants!$B$4,$BH489,COUNTIFS($BI$9:$BI$508,"&lt;"&amp;$BI489)+COUNTIFS($BI$9:$BI$508,$BI489,$CB$9:$CB$508,"&lt;"&amp;$CB489)+1))</f>
        <v/>
      </c>
      <c r="CD489" s="74" t="str">
        <f aca="false">IF(ISBLANK($C489),"",IF($BH489&lt;&gt;Constants!$B$4,$BH489,RANK($BZ489,$BZ$9:$BZ$508,1)))</f>
        <v/>
      </c>
      <c r="CE489" s="74" t="str">
        <f aca="false">IF($BH489&lt;&gt;Constants!$B$4,"",$AL489+$AM489+$AN489)</f>
        <v/>
      </c>
      <c r="CF489" s="74" t="str">
        <f aca="false">IF(ISBLANK($C489),"",IF($BH489&lt;&gt;Constants!$B$4,$BH489,RANK($CE489,$CE$9:$CE$508,1)))</f>
        <v/>
      </c>
      <c r="CG489" s="74" t="str">
        <f aca="false">IF(ISBLANK($C489),"",IF($BH489&lt;&gt;Constants!$B$4,$BH489,COUNTIFS($BI$9:$BI$508,"&lt;"&amp;$BI489)+COUNTIFS($BI$9:$BI$508,$BI489,$CB$9:$CB$508,"&lt;"&amp;$CB489)+COUNTIFS($BI$9:$BI$508,$BI489,$CB$9:$CB$508,$CB489,$CD$9:$CD$508,"&lt;"&amp;$CD489)+COUNTIFS($BI$9:$BI$508,$BI489,$CB$9:$CB$508,$CB489,$CD$9:$CD$508,$CD489,$CF$9:$CF$508,"&lt;"&amp;$CF489)+1))</f>
        <v/>
      </c>
      <c r="CH489" s="74" t="str">
        <f aca="false">IF(ISBLANK($C489),"",IF($BH489&lt;&gt;Constants!$B$4,$BH489,$CC489-$CG489))</f>
        <v/>
      </c>
      <c r="CI489" s="74" t="str">
        <f aca="false">IF(ISBLANK($C489),"",IF(NOT($AJ489),"",IF(ISBLANK($D$7),$CI$5,IF(NOT(ISNUMBER($D$7)),$CI$6,""))))</f>
        <v/>
      </c>
      <c r="CJ489" s="74" t="str">
        <f aca="false">IF(ISBLANK($C489),"",OR($AL489="",$AM489="",$AN489=""))</f>
        <v/>
      </c>
      <c r="CK489" s="74" t="str">
        <f aca="false">IF(ISBLANK($C489),"",AND($AJ489,$AX489=""))</f>
        <v/>
      </c>
      <c r="CL489" s="74" t="str">
        <f aca="false">IF(ISBLANK($C489),"",AND($AJ489,$AY489=""))</f>
        <v/>
      </c>
      <c r="CM489" s="74" t="str">
        <f aca="false">IF(ISBLANK($C489),"",AND($AJ489,$AZ489=""))</f>
        <v/>
      </c>
      <c r="CN489" s="74" t="str">
        <f aca="false">IF(ISBLANK($C489),"",AND($AJ489,$BC489=""))</f>
        <v/>
      </c>
      <c r="CO489" s="74" t="str">
        <f aca="false">IF(ISBLANK($C489),"",AND($AJ489,$BF489=""))</f>
        <v/>
      </c>
      <c r="CP489" s="75"/>
      <c r="CQ489" s="76"/>
      <c r="CR489" s="79" t="str">
        <f aca="false">IF(ISBLANK($C489),"",IF($BH489=Constants!$B$8,$CI489,""))</f>
        <v/>
      </c>
      <c r="CS489" s="76" t="str">
        <f aca="false">IF(ISBLANK($C489),"",IF($BH489&lt;&gt;Constants!$B$4,"",$BK489+$BL489))</f>
        <v/>
      </c>
      <c r="CT489" s="78" t="str">
        <f aca="false">IF(ISBLANK($C489),"",IF($BH489&lt;&gt;Constants!$B$4,"",$BM489+$BN489+$BO489))</f>
        <v/>
      </c>
      <c r="CU489" s="78" t="str">
        <f aca="false">IF(ISBLANK($C489),"",IF($BH489&lt;&gt;Constants!$B$4,"",$BP489))</f>
        <v/>
      </c>
      <c r="CV489" s="78" t="str">
        <f aca="false">IF(ISBLANK($C489),"",IF($BH489&lt;&gt;Constants!$B$4,"",$BQ489+$BR489))</f>
        <v/>
      </c>
      <c r="CW489" s="78" t="str">
        <f aca="false">IF(ISBLANK($C489),"",IF($BH489&lt;&gt;Constants!$B$4,"",$BS489))</f>
        <v/>
      </c>
      <c r="CX489" s="78" t="str">
        <f aca="false">IF(ISBLANK($C489),"",IF($BH489&lt;&gt;Constants!$B$4,"",-$BZ489))</f>
        <v/>
      </c>
      <c r="CY489" s="79" t="str">
        <f aca="false">IF(ISBLANK($C489),"",$CA489)</f>
        <v/>
      </c>
      <c r="CZ489" s="80" t="str">
        <f aca="false">IF(ISBLANK($C489),"",$BI489)</f>
        <v/>
      </c>
      <c r="DA489" s="78" t="str">
        <f aca="false">IF(ISBLANK($C489),"",$CH489)</f>
        <v/>
      </c>
      <c r="DB489" s="78" t="str">
        <f aca="false">IF(ISBLANK($C489),"",$CG489)</f>
        <v/>
      </c>
      <c r="DC489" s="81" t="str">
        <f aca="false">IF(ISBLANK($C489),"",IFERROR(_xlfn.SWITCH($DB489,Constants!$B$7,COUNTA($C$9:$C$508)+2,Constants!$B$6,COUNTA($C$9:$C$508)+1,Constants!$B$5,COUNTA($C$9:$C$508)),$DB489))</f>
        <v/>
      </c>
      <c r="DD489" s="7"/>
      <c r="DE489" s="82" t="n">
        <f aca="false">IF(OR(ISNUMBER($DB489),$DB489=Constants!$B$7,$DB489=Constants!$B$5,$DB489=Constants!$B$6),1,0)</f>
        <v>0</v>
      </c>
      <c r="DF489" s="82" t="n">
        <v>481</v>
      </c>
      <c r="DG489" s="82" t="str">
        <f aca="false">IF(ISBLANK($C489),"",IF(ISNUMBER($DC489),$DC489+ROW($B489)/1000,""))</f>
        <v/>
      </c>
      <c r="DH489" s="82" t="str">
        <f aca="false">IF(ISNUMBER($DG489),RANK($DG489,$DG$9:$DG$508,1),"")</f>
        <v/>
      </c>
      <c r="DI489" s="82" t="str">
        <f aca="false">IF(ISBLANK($C489),"",$B489)</f>
        <v/>
      </c>
      <c r="DJ489" s="82" t="str">
        <f aca="false">IF(ISBLANK($C489),"",$C489)</f>
        <v/>
      </c>
      <c r="DK489" s="82" t="str">
        <f aca="false">IF(ISBLANK($C489),"",$D489)</f>
        <v/>
      </c>
      <c r="DL489" s="83" t="str">
        <f aca="false">$CZ489</f>
        <v/>
      </c>
      <c r="DM489" s="84" t="str">
        <f aca="false">$CY489</f>
        <v/>
      </c>
      <c r="DN489" s="82" t="str">
        <f aca="false">IF(ISBLANK($C489),"",$DB489)</f>
        <v/>
      </c>
      <c r="DO489" s="85" t="str">
        <f aca="false">IF($DF489&gt;$DE$8,"",VLOOKUP($DF489,$DH$9:$DN$508,7,FALSE()))</f>
        <v/>
      </c>
      <c r="DP489" s="86" t="str">
        <f aca="false">IF($DF489&gt;$DE$8,"",VLOOKUP($DF489,$DH$9:$DN$508,2,FALSE()))</f>
        <v/>
      </c>
      <c r="DQ489" s="86" t="str">
        <f aca="false">IF($DF489&gt;$DE$8,"",VLOOKUP($DF489,$DH$9:$DN$508,3,FALSE()))</f>
        <v/>
      </c>
      <c r="DR489" s="86" t="str">
        <f aca="false">IF($DF489&gt;$DE$8,"",VLOOKUP($DF489,$DH$9:$DN$508,4,FALSE()))</f>
        <v/>
      </c>
      <c r="DS489" s="86" t="str">
        <f aca="false">IF($DF489&gt;$DE$8,"",VLOOKUP($DF489,$DH$9:$DN$508,5,FALSE()))</f>
        <v/>
      </c>
      <c r="DT489" s="87" t="str">
        <f aca="false">IF($DF489&gt;$DE$8,"",VLOOKUP($DF489,$DH$9:$DN$508,6,FALSE()))</f>
        <v/>
      </c>
      <c r="DU489" s="62"/>
    </row>
    <row r="490" customFormat="false" ht="15.75" hidden="false" customHeight="false" outlineLevel="0" collapsed="false">
      <c r="A490" s="7"/>
      <c r="B490" s="64"/>
      <c r="C490" s="65"/>
      <c r="D490" s="123"/>
      <c r="E490" s="88"/>
      <c r="F490" s="134"/>
      <c r="G490" s="88"/>
      <c r="H490" s="134"/>
      <c r="I490" s="119"/>
      <c r="J490" s="119"/>
      <c r="K490" s="119"/>
      <c r="L490" s="88"/>
      <c r="M490" s="88"/>
      <c r="N490" s="88"/>
      <c r="O490" s="134"/>
      <c r="P490" s="88"/>
      <c r="Q490" s="88"/>
      <c r="R490" s="88"/>
      <c r="S490" s="88"/>
      <c r="T490" s="134"/>
      <c r="U490" s="88"/>
      <c r="V490" s="70"/>
      <c r="W490" s="88"/>
      <c r="X490" s="88"/>
      <c r="Y490" s="70"/>
      <c r="Z490" s="70"/>
      <c r="AA490" s="88"/>
      <c r="AB490" s="88"/>
      <c r="AC490" s="71"/>
      <c r="AD490" s="88"/>
      <c r="AE490" s="73"/>
      <c r="AF490" s="74"/>
      <c r="AG490" s="74"/>
      <c r="AH490" s="74" t="str">
        <f aca="false">IF(ISBLANK($C490),"",IF($E490=Constants!$B$2,TRUE(),IF($E490=Constants!$B$3,FALSE(),TRUE())))</f>
        <v/>
      </c>
      <c r="AI490" s="74" t="str">
        <f aca="false">IF(ISBLANK($C490),"",IF($F490=Constants!$B$2,TRUE(),IF($F490=Constants!$B$3,FALSE(),FALSE())))</f>
        <v/>
      </c>
      <c r="AJ490" s="74" t="str">
        <f aca="false">IF(ISBLANK($C490),"",IF($G490=Constants!$B$2,TRUE(),IF($G490=Constants!$B$3,FALSE(),TRUE())))</f>
        <v/>
      </c>
      <c r="AK490" s="74" t="str">
        <f aca="false">IF(ISBLANK($C490),"",IF($H490=Constants!$B$2,TRUE(),IF($H490=Constants!$B$3,FALSE(),TRUE())))</f>
        <v/>
      </c>
      <c r="AL490" s="74" t="str">
        <f aca="false">IF(ISBLANK($C490),"",IF(ISNUMBER($I490),IF($I490&gt;=0,$I490,""),""))</f>
        <v/>
      </c>
      <c r="AM490" s="74" t="str">
        <f aca="false">IF(ISBLANK($C490),"",IF(ISNUMBER($J490),IF($J490&gt;=0,$J490,""),""))</f>
        <v/>
      </c>
      <c r="AN490" s="74" t="str">
        <f aca="false">IF(ISBLANK($C490),"",IF(ISNUMBER($K490),IF($K490&gt;=0,$K490,""),""))</f>
        <v/>
      </c>
      <c r="AO490" s="74" t="str">
        <f aca="false">IF(ISBLANK($C490),"",IF($L490=Constants!$B$2,TRUE(),IF($L490=Constants!$B$3,FALSE(),TRUE())))</f>
        <v/>
      </c>
      <c r="AP490" s="74" t="str">
        <f aca="false">IF(ISBLANK($C490),"",IF($M490=Constants!$B$2,TRUE(),IF($M490=Constants!$B$3,FALSE(),TRUE())))</f>
        <v/>
      </c>
      <c r="AQ490" s="74" t="str">
        <f aca="false">IF(ISBLANK($C490),"",IF($N490=Constants!$B$2,TRUE(),IF($N490=Constants!$B$3,FALSE(),FALSE())))</f>
        <v/>
      </c>
      <c r="AR490" s="74" t="str">
        <f aca="false">IF(ISBLANK($C490),"",IF($O490=Constants!$B$2,TRUE(),IF($O490=Constants!$B$3,FALSE(),TRUE())))</f>
        <v/>
      </c>
      <c r="AS490" s="74" t="str">
        <f aca="false">IF(ISBLANK($C490),"",IF($P490=Constants!$B$2,TRUE(),IF($P490=Constants!$B$3,FALSE(),FALSE())))</f>
        <v/>
      </c>
      <c r="AT490" s="74" t="str">
        <f aca="false">IF(ISBLANK($C490),"",IF($Q490=Constants!$B$2,TRUE(),IF($Q490=Constants!$B$3,FALSE(),FALSE())))</f>
        <v/>
      </c>
      <c r="AU490" s="74" t="str">
        <f aca="false">IF(ISBLANK($C490),"",IF($R490=Constants!$B$2,TRUE(),IF($R490=Constants!$B$3,FALSE(),FALSE())))</f>
        <v/>
      </c>
      <c r="AV490" s="74" t="str">
        <f aca="false">IF(ISBLANK($C490),"",IF($S490=Constants!$B$2,TRUE(),IF($S490=Constants!$B$3,FALSE(),FALSE())))</f>
        <v/>
      </c>
      <c r="AW490" s="74" t="str">
        <f aca="false">IF(ISBLANK($C490),"",IF($T490=Constants!$B$2,TRUE(),IF($T490=Constants!$B$3,FALSE(),FALSE())))</f>
        <v/>
      </c>
      <c r="AX490" s="74" t="str">
        <f aca="false">IF(ISBLANK($C490),"",IF(OR($U490&amp;""="1",$U490&amp;""="2",$U490&amp;""="3",$U490&amp;""="4"),VALUE($U490&amp;""),IF($U490=Constants!$B$12,Constants!$B$12,"")))</f>
        <v/>
      </c>
      <c r="AY490" s="74" t="str">
        <f aca="false">IF(ISBLANK($C490),"",IF(ISBLANK($V490),0,IF(ISNUMBER($V490),IF(AND($V490&gt;=0,$V490&lt;=Constants!$B$21,$V490=INT($V490)),$V490,""),"")))</f>
        <v/>
      </c>
      <c r="AZ490" s="74" t="str">
        <f aca="false">IF(ISBLANK($C490),"",IF(ISBLANK($W490),0,IF(ISNUMBER($W490),IF($W490&gt;=0,$W490,""),"")))</f>
        <v/>
      </c>
      <c r="BA490" s="74" t="str">
        <f aca="false">IF(ISBLANK($C490),"",IF($X490=Constants!$B$2,TRUE(),IF($X490=Constants!$B$3,FALSE(),TRUE())))</f>
        <v/>
      </c>
      <c r="BB490" s="74" t="str">
        <f aca="false">IF(ISBLANK($C490),"",IF($Y490=Constants!$B$2,TRUE(),IF($Y490=Constants!$B$3,FALSE(),FALSE())))</f>
        <v/>
      </c>
      <c r="BC490" s="74" t="str">
        <f aca="false">IF(ISBLANK($C490),"",IF(ISBLANK($Z490),0,IF(ISNUMBER($Z490),IF(AND($Z490&gt;=0,$Z490&lt;=Constants!$B$35,$Z490=INT($Z490)),$Z490,""),"")))</f>
        <v/>
      </c>
      <c r="BD490" s="74" t="str">
        <f aca="false">IF(ISBLANK($C490),"",IF($AA490=Constants!$B$2,TRUE(),IF($AA490=Constants!$B$3,FALSE(),TRUE())))</f>
        <v/>
      </c>
      <c r="BE490" s="74" t="str">
        <f aca="false">IF(ISBLANK($C490),"",IF($AB490=Constants!$B$2,TRUE(),IF($AB490=Constants!$B$3,FALSE(),TRUE())))</f>
        <v/>
      </c>
      <c r="BF490" s="74" t="str">
        <f aca="false">IF(ISBLANK($C490),"",IF(ISNUMBER($AC490),IF($AC490&gt;=0,$AC490,""),""))</f>
        <v/>
      </c>
      <c r="BG490" s="74" t="str">
        <f aca="false">IF(ISBLANK($C490),"",IF($AD490=Constants!$B$2,TRUE(),IF($AD490=Constants!$B$3,FALSE(),FALSE())))</f>
        <v/>
      </c>
      <c r="BH490" s="73" t="str">
        <f aca="false">IF(ISBLANK($C490),"",IF($BG490,Constants!$B$7,IF(COUNTA($E490:$AC490)=0,Constants!$B$6,IF(OR(COUNTA($G490:$AC490)=0,NOT($AK490),$AQ490),Constants!$B$5,IF(OR($CI490&lt;&gt;"",$CJ490,$CK490,$CL490,$CM490,$CN490,$CO490),Constants!$B$8,Constants!$B$4)))))</f>
        <v/>
      </c>
      <c r="BI490" s="74" t="str">
        <f aca="false">IF(ISBLANK($C490),"",IF($BH490&lt;&gt;Constants!$B$4,$BH490,IF(OR(NOT($AH490),NOT($AJ490),NOT($AR490)),Constants!$B$11,IF(OR(NOT($AP490),MAX($AL490,$AM490,$AN490)&gt;Constants!$B$30),Constants!$B$10,Constants!$B$9))))</f>
        <v/>
      </c>
      <c r="BJ490" s="74" t="str">
        <f aca="false">IF($BH490&lt;&gt;Constants!$B$4,"",IF(NOT($AJ490),0,MIN(Constants!$B$35,$BC490)))</f>
        <v/>
      </c>
      <c r="BK490" s="74" t="str">
        <f aca="false">IF($BH490&lt;&gt;Constants!$B$4,"",IF(NOT($AJ490),0,IF($AT490,Constants!$B$18,IF($AS490,Constants!$B$17,0))))</f>
        <v/>
      </c>
      <c r="BL490" s="74" t="str">
        <f aca="false">IF($BH490&lt;&gt;Constants!$B$4,"",IF(NOT($AJ490),0,Constants!$B$19*($AI490+$AU490+$AV490+$AW490)))</f>
        <v/>
      </c>
      <c r="BM490" s="74" t="str">
        <f aca="false">IF($BH490&lt;&gt;Constants!$B$4,"",IF(OR(NOT($AJ490),NOT(ISNUMBER($AX490))),0,CHOOSE($AX490,Constants!$B$13,Constants!$B$14,Constants!$B$15,Constants!$B$16)))</f>
        <v/>
      </c>
      <c r="BN490" s="74" t="str">
        <f aca="false">IF($BH490&lt;&gt;Constants!$B$4,"",IF(NOT($AJ490),0,Constants!$B$20*$AY490))</f>
        <v/>
      </c>
      <c r="BO490" s="74" t="str">
        <f aca="false">IF($BH490&lt;&gt;Constants!$B$4,"",IF(AND($AJ490,$BA490,$BB490),Constants!$B$22,0))</f>
        <v/>
      </c>
      <c r="BP490" s="74" t="str">
        <f aca="false">IF($BH490&lt;&gt;Constants!$B$4,"",IF(OR(NOT($AJ490),NOT($BA490)),0,IF($BF490&gt;=2*$AF$9,0,Constants!$B$23*INT(ROUND(MIN($BF490,$AF$9),6)))))</f>
        <v/>
      </c>
      <c r="BQ490" s="74" t="str">
        <f aca="false">IF($BH490&lt;&gt;Constants!$B$4,"",IF(NOT($AJ490),0,Constants!$B$24*INT(ROUND(MIN($AZ490,$AF$9),6))))</f>
        <v/>
      </c>
      <c r="BR490" s="74" t="str">
        <f aca="false">IF($BH490&lt;&gt;Constants!$B$4,"",IF(AND($AJ490,$BJ490=0),Constants!$B$25,0))</f>
        <v/>
      </c>
      <c r="BS490" s="74" t="str">
        <f aca="false">IF($BH490&lt;&gt;Constants!$B$4,"",MIN(Constants!$B$29,MAX(0,Constants!$B$27*Constants!$B$28*INT(ROUND((Constants!$B$26-$AL490)/Constants!$B$28,6))))+MIN(Constants!$B$29,MAX(0,Constants!$B$27*Constants!$B$28*INT(ROUND((Constants!$B$26-$AM490)/Constants!$B$28,6))))+MIN(Constants!$B$29,MAX(0,Constants!$B$27*Constants!$B$28*INT(ROUND((Constants!$B$26-$AN490)/Constants!$B$28,6)))))</f>
        <v/>
      </c>
      <c r="BT490" s="74" t="str">
        <f aca="false">IF($BH490&lt;&gt;Constants!$B$4,"",IF(NOT($AJ490),0,Constants!$B$31*INT(ROUND(MAX(0,MIN($BF490,2*$AF$9)-$AF$9),6))))</f>
        <v/>
      </c>
      <c r="BU490" s="74" t="str">
        <f aca="false">IF($BH490&lt;&gt;Constants!$B$4,"",Constants!$B$32*(($AL490&gt;Constants!$B$26)+($AM490&gt;Constants!$B$26)+($AN490&gt;Constants!$B$26)))</f>
        <v/>
      </c>
      <c r="BV490" s="74" t="str">
        <f aca="false">IF($BH490&lt;&gt;Constants!$B$4,"",IF(OR(NOT($AJ490),$AO490),0,Constants!$B$33))</f>
        <v/>
      </c>
      <c r="BW490" s="74" t="str">
        <f aca="false">IF($BH490&lt;&gt;Constants!$B$4,"",Constants!$B$34*$BJ490)</f>
        <v/>
      </c>
      <c r="BX490" s="74" t="str">
        <f aca="false">IF($BH490&lt;&gt;Constants!$B$4,"",IF(OR(NOT($AJ490),$BE490),0,Constants!$B$36))</f>
        <v/>
      </c>
      <c r="BY490" s="74" t="str">
        <f aca="false">IF($BH490&lt;&gt;Constants!$B$4,"",IF(OR(NOT($AJ490),$BD490),0,Constants!$B$37))</f>
        <v/>
      </c>
      <c r="BZ490" s="74" t="str">
        <f aca="false">IF($BH490&lt;&gt;Constants!$B$4,"",SUM($BT490:$BY490))</f>
        <v/>
      </c>
      <c r="CA490" s="74" t="str">
        <f aca="false">IF(ISBLANK($C490),"",IF($BH490&lt;&gt;Constants!$B$4,$BH490,SUM($BK490:$BS490)-$BZ490))</f>
        <v/>
      </c>
      <c r="CB490" s="74" t="str">
        <f aca="false">IF(ISBLANK($C490),"",IF($BH490&lt;&gt;Constants!$B$4,$BH490,RANK($CA490,$CA$9:$CA$508)))</f>
        <v/>
      </c>
      <c r="CC490" s="74" t="str">
        <f aca="false">IF(ISBLANK($C490),"",IF($BH490&lt;&gt;Constants!$B$4,$BH490,COUNTIFS($BI$9:$BI$508,"&lt;"&amp;$BI490)+COUNTIFS($BI$9:$BI$508,$BI490,$CB$9:$CB$508,"&lt;"&amp;$CB490)+1))</f>
        <v/>
      </c>
      <c r="CD490" s="74" t="str">
        <f aca="false">IF(ISBLANK($C490),"",IF($BH490&lt;&gt;Constants!$B$4,$BH490,RANK($BZ490,$BZ$9:$BZ$508,1)))</f>
        <v/>
      </c>
      <c r="CE490" s="74" t="str">
        <f aca="false">IF($BH490&lt;&gt;Constants!$B$4,"",$AL490+$AM490+$AN490)</f>
        <v/>
      </c>
      <c r="CF490" s="74" t="str">
        <f aca="false">IF(ISBLANK($C490),"",IF($BH490&lt;&gt;Constants!$B$4,$BH490,RANK($CE490,$CE$9:$CE$508,1)))</f>
        <v/>
      </c>
      <c r="CG490" s="74" t="str">
        <f aca="false">IF(ISBLANK($C490),"",IF($BH490&lt;&gt;Constants!$B$4,$BH490,COUNTIFS($BI$9:$BI$508,"&lt;"&amp;$BI490)+COUNTIFS($BI$9:$BI$508,$BI490,$CB$9:$CB$508,"&lt;"&amp;$CB490)+COUNTIFS($BI$9:$BI$508,$BI490,$CB$9:$CB$508,$CB490,$CD$9:$CD$508,"&lt;"&amp;$CD490)+COUNTIFS($BI$9:$BI$508,$BI490,$CB$9:$CB$508,$CB490,$CD$9:$CD$508,$CD490,$CF$9:$CF$508,"&lt;"&amp;$CF490)+1))</f>
        <v/>
      </c>
      <c r="CH490" s="74" t="str">
        <f aca="false">IF(ISBLANK($C490),"",IF($BH490&lt;&gt;Constants!$B$4,$BH490,$CC490-$CG490))</f>
        <v/>
      </c>
      <c r="CI490" s="74" t="str">
        <f aca="false">IF(ISBLANK($C490),"",IF(NOT($AJ490),"",IF(ISBLANK($D$7),$CI$5,IF(NOT(ISNUMBER($D$7)),$CI$6,""))))</f>
        <v/>
      </c>
      <c r="CJ490" s="74" t="str">
        <f aca="false">IF(ISBLANK($C490),"",OR($AL490="",$AM490="",$AN490=""))</f>
        <v/>
      </c>
      <c r="CK490" s="74" t="str">
        <f aca="false">IF(ISBLANK($C490),"",AND($AJ490,$AX490=""))</f>
        <v/>
      </c>
      <c r="CL490" s="74" t="str">
        <f aca="false">IF(ISBLANK($C490),"",AND($AJ490,$AY490=""))</f>
        <v/>
      </c>
      <c r="CM490" s="74" t="str">
        <f aca="false">IF(ISBLANK($C490),"",AND($AJ490,$AZ490=""))</f>
        <v/>
      </c>
      <c r="CN490" s="74" t="str">
        <f aca="false">IF(ISBLANK($C490),"",AND($AJ490,$BC490=""))</f>
        <v/>
      </c>
      <c r="CO490" s="74" t="str">
        <f aca="false">IF(ISBLANK($C490),"",AND($AJ490,$BF490=""))</f>
        <v/>
      </c>
      <c r="CP490" s="75"/>
      <c r="CQ490" s="76"/>
      <c r="CR490" s="79" t="str">
        <f aca="false">IF(ISBLANK($C490),"",IF($BH490=Constants!$B$8,$CI490,""))</f>
        <v/>
      </c>
      <c r="CS490" s="76" t="str">
        <f aca="false">IF(ISBLANK($C490),"",IF($BH490&lt;&gt;Constants!$B$4,"",$BK490+$BL490))</f>
        <v/>
      </c>
      <c r="CT490" s="78" t="str">
        <f aca="false">IF(ISBLANK($C490),"",IF($BH490&lt;&gt;Constants!$B$4,"",$BM490+$BN490+$BO490))</f>
        <v/>
      </c>
      <c r="CU490" s="78" t="str">
        <f aca="false">IF(ISBLANK($C490),"",IF($BH490&lt;&gt;Constants!$B$4,"",$BP490))</f>
        <v/>
      </c>
      <c r="CV490" s="78" t="str">
        <f aca="false">IF(ISBLANK($C490),"",IF($BH490&lt;&gt;Constants!$B$4,"",$BQ490+$BR490))</f>
        <v/>
      </c>
      <c r="CW490" s="78" t="str">
        <f aca="false">IF(ISBLANK($C490),"",IF($BH490&lt;&gt;Constants!$B$4,"",$BS490))</f>
        <v/>
      </c>
      <c r="CX490" s="78" t="str">
        <f aca="false">IF(ISBLANK($C490),"",IF($BH490&lt;&gt;Constants!$B$4,"",-$BZ490))</f>
        <v/>
      </c>
      <c r="CY490" s="79" t="str">
        <f aca="false">IF(ISBLANK($C490),"",$CA490)</f>
        <v/>
      </c>
      <c r="CZ490" s="80" t="str">
        <f aca="false">IF(ISBLANK($C490),"",$BI490)</f>
        <v/>
      </c>
      <c r="DA490" s="78" t="str">
        <f aca="false">IF(ISBLANK($C490),"",$CH490)</f>
        <v/>
      </c>
      <c r="DB490" s="78" t="str">
        <f aca="false">IF(ISBLANK($C490),"",$CG490)</f>
        <v/>
      </c>
      <c r="DC490" s="81" t="str">
        <f aca="false">IF(ISBLANK($C490),"",IFERROR(_xlfn.SWITCH($DB490,Constants!$B$7,COUNTA($C$9:$C$508)+2,Constants!$B$6,COUNTA($C$9:$C$508)+1,Constants!$B$5,COUNTA($C$9:$C$508)),$DB490))</f>
        <v/>
      </c>
      <c r="DD490" s="7"/>
      <c r="DE490" s="82" t="n">
        <f aca="false">IF(OR(ISNUMBER($DB490),$DB490=Constants!$B$7,$DB490=Constants!$B$5,$DB490=Constants!$B$6),1,0)</f>
        <v>0</v>
      </c>
      <c r="DF490" s="82" t="n">
        <v>482</v>
      </c>
      <c r="DG490" s="82" t="str">
        <f aca="false">IF(ISBLANK($C490),"",IF(ISNUMBER($DC490),$DC490+ROW($B490)/1000,""))</f>
        <v/>
      </c>
      <c r="DH490" s="82" t="str">
        <f aca="false">IF(ISNUMBER($DG490),RANK($DG490,$DG$9:$DG$508,1),"")</f>
        <v/>
      </c>
      <c r="DI490" s="82" t="str">
        <f aca="false">IF(ISBLANK($C490),"",$B490)</f>
        <v/>
      </c>
      <c r="DJ490" s="82" t="str">
        <f aca="false">IF(ISBLANK($C490),"",$C490)</f>
        <v/>
      </c>
      <c r="DK490" s="82" t="str">
        <f aca="false">IF(ISBLANK($C490),"",$D490)</f>
        <v/>
      </c>
      <c r="DL490" s="83" t="str">
        <f aca="false">$CZ490</f>
        <v/>
      </c>
      <c r="DM490" s="84" t="str">
        <f aca="false">$CY490</f>
        <v/>
      </c>
      <c r="DN490" s="82" t="str">
        <f aca="false">IF(ISBLANK($C490),"",$DB490)</f>
        <v/>
      </c>
      <c r="DO490" s="85" t="str">
        <f aca="false">IF($DF490&gt;$DE$8,"",VLOOKUP($DF490,$DH$9:$DN$508,7,FALSE()))</f>
        <v/>
      </c>
      <c r="DP490" s="86" t="str">
        <f aca="false">IF($DF490&gt;$DE$8,"",VLOOKUP($DF490,$DH$9:$DN$508,2,FALSE()))</f>
        <v/>
      </c>
      <c r="DQ490" s="86" t="str">
        <f aca="false">IF($DF490&gt;$DE$8,"",VLOOKUP($DF490,$DH$9:$DN$508,3,FALSE()))</f>
        <v/>
      </c>
      <c r="DR490" s="86" t="str">
        <f aca="false">IF($DF490&gt;$DE$8,"",VLOOKUP($DF490,$DH$9:$DN$508,4,FALSE()))</f>
        <v/>
      </c>
      <c r="DS490" s="86" t="str">
        <f aca="false">IF($DF490&gt;$DE$8,"",VLOOKUP($DF490,$DH$9:$DN$508,5,FALSE()))</f>
        <v/>
      </c>
      <c r="DT490" s="87" t="str">
        <f aca="false">IF($DF490&gt;$DE$8,"",VLOOKUP($DF490,$DH$9:$DN$508,6,FALSE()))</f>
        <v/>
      </c>
      <c r="DU490" s="62"/>
    </row>
    <row r="491" customFormat="false" ht="15.75" hidden="false" customHeight="false" outlineLevel="0" collapsed="false">
      <c r="A491" s="7"/>
      <c r="B491" s="64"/>
      <c r="C491" s="65"/>
      <c r="D491" s="123"/>
      <c r="E491" s="88"/>
      <c r="F491" s="134"/>
      <c r="G491" s="88"/>
      <c r="H491" s="134"/>
      <c r="I491" s="119"/>
      <c r="J491" s="119"/>
      <c r="K491" s="119"/>
      <c r="L491" s="88"/>
      <c r="M491" s="88"/>
      <c r="N491" s="88"/>
      <c r="O491" s="134"/>
      <c r="P491" s="88"/>
      <c r="Q491" s="88"/>
      <c r="R491" s="88"/>
      <c r="S491" s="88"/>
      <c r="T491" s="134"/>
      <c r="U491" s="88"/>
      <c r="V491" s="70"/>
      <c r="W491" s="88"/>
      <c r="X491" s="88"/>
      <c r="Y491" s="70"/>
      <c r="Z491" s="70"/>
      <c r="AA491" s="88"/>
      <c r="AB491" s="88"/>
      <c r="AC491" s="71"/>
      <c r="AD491" s="88"/>
      <c r="AE491" s="73"/>
      <c r="AF491" s="74"/>
      <c r="AG491" s="74"/>
      <c r="AH491" s="74" t="str">
        <f aca="false">IF(ISBLANK($C491),"",IF($E491=Constants!$B$2,TRUE(),IF($E491=Constants!$B$3,FALSE(),TRUE())))</f>
        <v/>
      </c>
      <c r="AI491" s="74" t="str">
        <f aca="false">IF(ISBLANK($C491),"",IF($F491=Constants!$B$2,TRUE(),IF($F491=Constants!$B$3,FALSE(),FALSE())))</f>
        <v/>
      </c>
      <c r="AJ491" s="74" t="str">
        <f aca="false">IF(ISBLANK($C491),"",IF($G491=Constants!$B$2,TRUE(),IF($G491=Constants!$B$3,FALSE(),TRUE())))</f>
        <v/>
      </c>
      <c r="AK491" s="74" t="str">
        <f aca="false">IF(ISBLANK($C491),"",IF($H491=Constants!$B$2,TRUE(),IF($H491=Constants!$B$3,FALSE(),TRUE())))</f>
        <v/>
      </c>
      <c r="AL491" s="74" t="str">
        <f aca="false">IF(ISBLANK($C491),"",IF(ISNUMBER($I491),IF($I491&gt;=0,$I491,""),""))</f>
        <v/>
      </c>
      <c r="AM491" s="74" t="str">
        <f aca="false">IF(ISBLANK($C491),"",IF(ISNUMBER($J491),IF($J491&gt;=0,$J491,""),""))</f>
        <v/>
      </c>
      <c r="AN491" s="74" t="str">
        <f aca="false">IF(ISBLANK($C491),"",IF(ISNUMBER($K491),IF($K491&gt;=0,$K491,""),""))</f>
        <v/>
      </c>
      <c r="AO491" s="74" t="str">
        <f aca="false">IF(ISBLANK($C491),"",IF($L491=Constants!$B$2,TRUE(),IF($L491=Constants!$B$3,FALSE(),TRUE())))</f>
        <v/>
      </c>
      <c r="AP491" s="74" t="str">
        <f aca="false">IF(ISBLANK($C491),"",IF($M491=Constants!$B$2,TRUE(),IF($M491=Constants!$B$3,FALSE(),TRUE())))</f>
        <v/>
      </c>
      <c r="AQ491" s="74" t="str">
        <f aca="false">IF(ISBLANK($C491),"",IF($N491=Constants!$B$2,TRUE(),IF($N491=Constants!$B$3,FALSE(),FALSE())))</f>
        <v/>
      </c>
      <c r="AR491" s="74" t="str">
        <f aca="false">IF(ISBLANK($C491),"",IF($O491=Constants!$B$2,TRUE(),IF($O491=Constants!$B$3,FALSE(),TRUE())))</f>
        <v/>
      </c>
      <c r="AS491" s="74" t="str">
        <f aca="false">IF(ISBLANK($C491),"",IF($P491=Constants!$B$2,TRUE(),IF($P491=Constants!$B$3,FALSE(),FALSE())))</f>
        <v/>
      </c>
      <c r="AT491" s="74" t="str">
        <f aca="false">IF(ISBLANK($C491),"",IF($Q491=Constants!$B$2,TRUE(),IF($Q491=Constants!$B$3,FALSE(),FALSE())))</f>
        <v/>
      </c>
      <c r="AU491" s="74" t="str">
        <f aca="false">IF(ISBLANK($C491),"",IF($R491=Constants!$B$2,TRUE(),IF($R491=Constants!$B$3,FALSE(),FALSE())))</f>
        <v/>
      </c>
      <c r="AV491" s="74" t="str">
        <f aca="false">IF(ISBLANK($C491),"",IF($S491=Constants!$B$2,TRUE(),IF($S491=Constants!$B$3,FALSE(),FALSE())))</f>
        <v/>
      </c>
      <c r="AW491" s="74" t="str">
        <f aca="false">IF(ISBLANK($C491),"",IF($T491=Constants!$B$2,TRUE(),IF($T491=Constants!$B$3,FALSE(),FALSE())))</f>
        <v/>
      </c>
      <c r="AX491" s="74" t="str">
        <f aca="false">IF(ISBLANK($C491),"",IF(OR($U491&amp;""="1",$U491&amp;""="2",$U491&amp;""="3",$U491&amp;""="4"),VALUE($U491&amp;""),IF($U491=Constants!$B$12,Constants!$B$12,"")))</f>
        <v/>
      </c>
      <c r="AY491" s="74" t="str">
        <f aca="false">IF(ISBLANK($C491),"",IF(ISBLANK($V491),0,IF(ISNUMBER($V491),IF(AND($V491&gt;=0,$V491&lt;=Constants!$B$21,$V491=INT($V491)),$V491,""),"")))</f>
        <v/>
      </c>
      <c r="AZ491" s="74" t="str">
        <f aca="false">IF(ISBLANK($C491),"",IF(ISBLANK($W491),0,IF(ISNUMBER($W491),IF($W491&gt;=0,$W491,""),"")))</f>
        <v/>
      </c>
      <c r="BA491" s="74" t="str">
        <f aca="false">IF(ISBLANK($C491),"",IF($X491=Constants!$B$2,TRUE(),IF($X491=Constants!$B$3,FALSE(),TRUE())))</f>
        <v/>
      </c>
      <c r="BB491" s="74" t="str">
        <f aca="false">IF(ISBLANK($C491),"",IF($Y491=Constants!$B$2,TRUE(),IF($Y491=Constants!$B$3,FALSE(),FALSE())))</f>
        <v/>
      </c>
      <c r="BC491" s="74" t="str">
        <f aca="false">IF(ISBLANK($C491),"",IF(ISBLANK($Z491),0,IF(ISNUMBER($Z491),IF(AND($Z491&gt;=0,$Z491&lt;=Constants!$B$35,$Z491=INT($Z491)),$Z491,""),"")))</f>
        <v/>
      </c>
      <c r="BD491" s="74" t="str">
        <f aca="false">IF(ISBLANK($C491),"",IF($AA491=Constants!$B$2,TRUE(),IF($AA491=Constants!$B$3,FALSE(),TRUE())))</f>
        <v/>
      </c>
      <c r="BE491" s="74" t="str">
        <f aca="false">IF(ISBLANK($C491),"",IF($AB491=Constants!$B$2,TRUE(),IF($AB491=Constants!$B$3,FALSE(),TRUE())))</f>
        <v/>
      </c>
      <c r="BF491" s="74" t="str">
        <f aca="false">IF(ISBLANK($C491),"",IF(ISNUMBER($AC491),IF($AC491&gt;=0,$AC491,""),""))</f>
        <v/>
      </c>
      <c r="BG491" s="74" t="str">
        <f aca="false">IF(ISBLANK($C491),"",IF($AD491=Constants!$B$2,TRUE(),IF($AD491=Constants!$B$3,FALSE(),FALSE())))</f>
        <v/>
      </c>
      <c r="BH491" s="73" t="str">
        <f aca="false">IF(ISBLANK($C491),"",IF($BG491,Constants!$B$7,IF(COUNTA($E491:$AC491)=0,Constants!$B$6,IF(OR(COUNTA($G491:$AC491)=0,NOT($AK491),$AQ491),Constants!$B$5,IF(OR($CI491&lt;&gt;"",$CJ491,$CK491,$CL491,$CM491,$CN491,$CO491),Constants!$B$8,Constants!$B$4)))))</f>
        <v/>
      </c>
      <c r="BI491" s="74" t="str">
        <f aca="false">IF(ISBLANK($C491),"",IF($BH491&lt;&gt;Constants!$B$4,$BH491,IF(OR(NOT($AH491),NOT($AJ491),NOT($AR491)),Constants!$B$11,IF(OR(NOT($AP491),MAX($AL491,$AM491,$AN491)&gt;Constants!$B$30),Constants!$B$10,Constants!$B$9))))</f>
        <v/>
      </c>
      <c r="BJ491" s="74" t="str">
        <f aca="false">IF($BH491&lt;&gt;Constants!$B$4,"",IF(NOT($AJ491),0,MIN(Constants!$B$35,$BC491)))</f>
        <v/>
      </c>
      <c r="BK491" s="74" t="str">
        <f aca="false">IF($BH491&lt;&gt;Constants!$B$4,"",IF(NOT($AJ491),0,IF($AT491,Constants!$B$18,IF($AS491,Constants!$B$17,0))))</f>
        <v/>
      </c>
      <c r="BL491" s="74" t="str">
        <f aca="false">IF($BH491&lt;&gt;Constants!$B$4,"",IF(NOT($AJ491),0,Constants!$B$19*($AI491+$AU491+$AV491+$AW491)))</f>
        <v/>
      </c>
      <c r="BM491" s="74" t="str">
        <f aca="false">IF($BH491&lt;&gt;Constants!$B$4,"",IF(OR(NOT($AJ491),NOT(ISNUMBER($AX491))),0,CHOOSE($AX491,Constants!$B$13,Constants!$B$14,Constants!$B$15,Constants!$B$16)))</f>
        <v/>
      </c>
      <c r="BN491" s="74" t="str">
        <f aca="false">IF($BH491&lt;&gt;Constants!$B$4,"",IF(NOT($AJ491),0,Constants!$B$20*$AY491))</f>
        <v/>
      </c>
      <c r="BO491" s="74" t="str">
        <f aca="false">IF($BH491&lt;&gt;Constants!$B$4,"",IF(AND($AJ491,$BA491,$BB491),Constants!$B$22,0))</f>
        <v/>
      </c>
      <c r="BP491" s="74" t="str">
        <f aca="false">IF($BH491&lt;&gt;Constants!$B$4,"",IF(OR(NOT($AJ491),NOT($BA491)),0,IF($BF491&gt;=2*$AF$9,0,Constants!$B$23*INT(ROUND(MIN($BF491,$AF$9),6)))))</f>
        <v/>
      </c>
      <c r="BQ491" s="74" t="str">
        <f aca="false">IF($BH491&lt;&gt;Constants!$B$4,"",IF(NOT($AJ491),0,Constants!$B$24*INT(ROUND(MIN($AZ491,$AF$9),6))))</f>
        <v/>
      </c>
      <c r="BR491" s="74" t="str">
        <f aca="false">IF($BH491&lt;&gt;Constants!$B$4,"",IF(AND($AJ491,$BJ491=0),Constants!$B$25,0))</f>
        <v/>
      </c>
      <c r="BS491" s="74" t="str">
        <f aca="false">IF($BH491&lt;&gt;Constants!$B$4,"",MIN(Constants!$B$29,MAX(0,Constants!$B$27*Constants!$B$28*INT(ROUND((Constants!$B$26-$AL491)/Constants!$B$28,6))))+MIN(Constants!$B$29,MAX(0,Constants!$B$27*Constants!$B$28*INT(ROUND((Constants!$B$26-$AM491)/Constants!$B$28,6))))+MIN(Constants!$B$29,MAX(0,Constants!$B$27*Constants!$B$28*INT(ROUND((Constants!$B$26-$AN491)/Constants!$B$28,6)))))</f>
        <v/>
      </c>
      <c r="BT491" s="74" t="str">
        <f aca="false">IF($BH491&lt;&gt;Constants!$B$4,"",IF(NOT($AJ491),0,Constants!$B$31*INT(ROUND(MAX(0,MIN($BF491,2*$AF$9)-$AF$9),6))))</f>
        <v/>
      </c>
      <c r="BU491" s="74" t="str">
        <f aca="false">IF($BH491&lt;&gt;Constants!$B$4,"",Constants!$B$32*(($AL491&gt;Constants!$B$26)+($AM491&gt;Constants!$B$26)+($AN491&gt;Constants!$B$26)))</f>
        <v/>
      </c>
      <c r="BV491" s="74" t="str">
        <f aca="false">IF($BH491&lt;&gt;Constants!$B$4,"",IF(OR(NOT($AJ491),$AO491),0,Constants!$B$33))</f>
        <v/>
      </c>
      <c r="BW491" s="74" t="str">
        <f aca="false">IF($BH491&lt;&gt;Constants!$B$4,"",Constants!$B$34*$BJ491)</f>
        <v/>
      </c>
      <c r="BX491" s="74" t="str">
        <f aca="false">IF($BH491&lt;&gt;Constants!$B$4,"",IF(OR(NOT($AJ491),$BE491),0,Constants!$B$36))</f>
        <v/>
      </c>
      <c r="BY491" s="74" t="str">
        <f aca="false">IF($BH491&lt;&gt;Constants!$B$4,"",IF(OR(NOT($AJ491),$BD491),0,Constants!$B$37))</f>
        <v/>
      </c>
      <c r="BZ491" s="74" t="str">
        <f aca="false">IF($BH491&lt;&gt;Constants!$B$4,"",SUM($BT491:$BY491))</f>
        <v/>
      </c>
      <c r="CA491" s="74" t="str">
        <f aca="false">IF(ISBLANK($C491),"",IF($BH491&lt;&gt;Constants!$B$4,$BH491,SUM($BK491:$BS491)-$BZ491))</f>
        <v/>
      </c>
      <c r="CB491" s="74" t="str">
        <f aca="false">IF(ISBLANK($C491),"",IF($BH491&lt;&gt;Constants!$B$4,$BH491,RANK($CA491,$CA$9:$CA$508)))</f>
        <v/>
      </c>
      <c r="CC491" s="74" t="str">
        <f aca="false">IF(ISBLANK($C491),"",IF($BH491&lt;&gt;Constants!$B$4,$BH491,COUNTIFS($BI$9:$BI$508,"&lt;"&amp;$BI491)+COUNTIFS($BI$9:$BI$508,$BI491,$CB$9:$CB$508,"&lt;"&amp;$CB491)+1))</f>
        <v/>
      </c>
      <c r="CD491" s="74" t="str">
        <f aca="false">IF(ISBLANK($C491),"",IF($BH491&lt;&gt;Constants!$B$4,$BH491,RANK($BZ491,$BZ$9:$BZ$508,1)))</f>
        <v/>
      </c>
      <c r="CE491" s="74" t="str">
        <f aca="false">IF($BH491&lt;&gt;Constants!$B$4,"",$AL491+$AM491+$AN491)</f>
        <v/>
      </c>
      <c r="CF491" s="74" t="str">
        <f aca="false">IF(ISBLANK($C491),"",IF($BH491&lt;&gt;Constants!$B$4,$BH491,RANK($CE491,$CE$9:$CE$508,1)))</f>
        <v/>
      </c>
      <c r="CG491" s="74" t="str">
        <f aca="false">IF(ISBLANK($C491),"",IF($BH491&lt;&gt;Constants!$B$4,$BH491,COUNTIFS($BI$9:$BI$508,"&lt;"&amp;$BI491)+COUNTIFS($BI$9:$BI$508,$BI491,$CB$9:$CB$508,"&lt;"&amp;$CB491)+COUNTIFS($BI$9:$BI$508,$BI491,$CB$9:$CB$508,$CB491,$CD$9:$CD$508,"&lt;"&amp;$CD491)+COUNTIFS($BI$9:$BI$508,$BI491,$CB$9:$CB$508,$CB491,$CD$9:$CD$508,$CD491,$CF$9:$CF$508,"&lt;"&amp;$CF491)+1))</f>
        <v/>
      </c>
      <c r="CH491" s="74" t="str">
        <f aca="false">IF(ISBLANK($C491),"",IF($BH491&lt;&gt;Constants!$B$4,$BH491,$CC491-$CG491))</f>
        <v/>
      </c>
      <c r="CI491" s="74" t="str">
        <f aca="false">IF(ISBLANK($C491),"",IF(NOT($AJ491),"",IF(ISBLANK($D$7),$CI$5,IF(NOT(ISNUMBER($D$7)),$CI$6,""))))</f>
        <v/>
      </c>
      <c r="CJ491" s="74" t="str">
        <f aca="false">IF(ISBLANK($C491),"",OR($AL491="",$AM491="",$AN491=""))</f>
        <v/>
      </c>
      <c r="CK491" s="74" t="str">
        <f aca="false">IF(ISBLANK($C491),"",AND($AJ491,$AX491=""))</f>
        <v/>
      </c>
      <c r="CL491" s="74" t="str">
        <f aca="false">IF(ISBLANK($C491),"",AND($AJ491,$AY491=""))</f>
        <v/>
      </c>
      <c r="CM491" s="74" t="str">
        <f aca="false">IF(ISBLANK($C491),"",AND($AJ491,$AZ491=""))</f>
        <v/>
      </c>
      <c r="CN491" s="74" t="str">
        <f aca="false">IF(ISBLANK($C491),"",AND($AJ491,$BC491=""))</f>
        <v/>
      </c>
      <c r="CO491" s="74" t="str">
        <f aca="false">IF(ISBLANK($C491),"",AND($AJ491,$BF491=""))</f>
        <v/>
      </c>
      <c r="CP491" s="75"/>
      <c r="CQ491" s="76"/>
      <c r="CR491" s="79" t="str">
        <f aca="false">IF(ISBLANK($C491),"",IF($BH491=Constants!$B$8,$CI491,""))</f>
        <v/>
      </c>
      <c r="CS491" s="76" t="str">
        <f aca="false">IF(ISBLANK($C491),"",IF($BH491&lt;&gt;Constants!$B$4,"",$BK491+$BL491))</f>
        <v/>
      </c>
      <c r="CT491" s="78" t="str">
        <f aca="false">IF(ISBLANK($C491),"",IF($BH491&lt;&gt;Constants!$B$4,"",$BM491+$BN491+$BO491))</f>
        <v/>
      </c>
      <c r="CU491" s="78" t="str">
        <f aca="false">IF(ISBLANK($C491),"",IF($BH491&lt;&gt;Constants!$B$4,"",$BP491))</f>
        <v/>
      </c>
      <c r="CV491" s="78" t="str">
        <f aca="false">IF(ISBLANK($C491),"",IF($BH491&lt;&gt;Constants!$B$4,"",$BQ491+$BR491))</f>
        <v/>
      </c>
      <c r="CW491" s="78" t="str">
        <f aca="false">IF(ISBLANK($C491),"",IF($BH491&lt;&gt;Constants!$B$4,"",$BS491))</f>
        <v/>
      </c>
      <c r="CX491" s="78" t="str">
        <f aca="false">IF(ISBLANK($C491),"",IF($BH491&lt;&gt;Constants!$B$4,"",-$BZ491))</f>
        <v/>
      </c>
      <c r="CY491" s="79" t="str">
        <f aca="false">IF(ISBLANK($C491),"",$CA491)</f>
        <v/>
      </c>
      <c r="CZ491" s="80" t="str">
        <f aca="false">IF(ISBLANK($C491),"",$BI491)</f>
        <v/>
      </c>
      <c r="DA491" s="78" t="str">
        <f aca="false">IF(ISBLANK($C491),"",$CH491)</f>
        <v/>
      </c>
      <c r="DB491" s="78" t="str">
        <f aca="false">IF(ISBLANK($C491),"",$CG491)</f>
        <v/>
      </c>
      <c r="DC491" s="81" t="str">
        <f aca="false">IF(ISBLANK($C491),"",IFERROR(_xlfn.SWITCH($DB491,Constants!$B$7,COUNTA($C$9:$C$508)+2,Constants!$B$6,COUNTA($C$9:$C$508)+1,Constants!$B$5,COUNTA($C$9:$C$508)),$DB491))</f>
        <v/>
      </c>
      <c r="DD491" s="7"/>
      <c r="DE491" s="82" t="n">
        <f aca="false">IF(OR(ISNUMBER($DB491),$DB491=Constants!$B$7,$DB491=Constants!$B$5,$DB491=Constants!$B$6),1,0)</f>
        <v>0</v>
      </c>
      <c r="DF491" s="82" t="n">
        <v>483</v>
      </c>
      <c r="DG491" s="82" t="str">
        <f aca="false">IF(ISBLANK($C491),"",IF(ISNUMBER($DC491),$DC491+ROW($B491)/1000,""))</f>
        <v/>
      </c>
      <c r="DH491" s="82" t="str">
        <f aca="false">IF(ISNUMBER($DG491),RANK($DG491,$DG$9:$DG$508,1),"")</f>
        <v/>
      </c>
      <c r="DI491" s="82" t="str">
        <f aca="false">IF(ISBLANK($C491),"",$B491)</f>
        <v/>
      </c>
      <c r="DJ491" s="82" t="str">
        <f aca="false">IF(ISBLANK($C491),"",$C491)</f>
        <v/>
      </c>
      <c r="DK491" s="82" t="str">
        <f aca="false">IF(ISBLANK($C491),"",$D491)</f>
        <v/>
      </c>
      <c r="DL491" s="83" t="str">
        <f aca="false">$CZ491</f>
        <v/>
      </c>
      <c r="DM491" s="84" t="str">
        <f aca="false">$CY491</f>
        <v/>
      </c>
      <c r="DN491" s="82" t="str">
        <f aca="false">IF(ISBLANK($C491),"",$DB491)</f>
        <v/>
      </c>
      <c r="DO491" s="85" t="str">
        <f aca="false">IF($DF491&gt;$DE$8,"",VLOOKUP($DF491,$DH$9:$DN$508,7,FALSE()))</f>
        <v/>
      </c>
      <c r="DP491" s="86" t="str">
        <f aca="false">IF($DF491&gt;$DE$8,"",VLOOKUP($DF491,$DH$9:$DN$508,2,FALSE()))</f>
        <v/>
      </c>
      <c r="DQ491" s="86" t="str">
        <f aca="false">IF($DF491&gt;$DE$8,"",VLOOKUP($DF491,$DH$9:$DN$508,3,FALSE()))</f>
        <v/>
      </c>
      <c r="DR491" s="86" t="str">
        <f aca="false">IF($DF491&gt;$DE$8,"",VLOOKUP($DF491,$DH$9:$DN$508,4,FALSE()))</f>
        <v/>
      </c>
      <c r="DS491" s="86" t="str">
        <f aca="false">IF($DF491&gt;$DE$8,"",VLOOKUP($DF491,$DH$9:$DN$508,5,FALSE()))</f>
        <v/>
      </c>
      <c r="DT491" s="87" t="str">
        <f aca="false">IF($DF491&gt;$DE$8,"",VLOOKUP($DF491,$DH$9:$DN$508,6,FALSE()))</f>
        <v/>
      </c>
      <c r="DU491" s="62"/>
    </row>
    <row r="492" customFormat="false" ht="15.75" hidden="false" customHeight="false" outlineLevel="0" collapsed="false">
      <c r="A492" s="7"/>
      <c r="B492" s="90"/>
      <c r="C492" s="91"/>
      <c r="D492" s="126"/>
      <c r="E492" s="130"/>
      <c r="F492" s="135"/>
      <c r="G492" s="130"/>
      <c r="H492" s="135"/>
      <c r="I492" s="131"/>
      <c r="J492" s="131"/>
      <c r="K492" s="131"/>
      <c r="L492" s="130"/>
      <c r="M492" s="130"/>
      <c r="N492" s="130"/>
      <c r="O492" s="135"/>
      <c r="P492" s="130"/>
      <c r="Q492" s="130"/>
      <c r="R492" s="130"/>
      <c r="S492" s="130"/>
      <c r="T492" s="135"/>
      <c r="U492" s="130"/>
      <c r="V492" s="96"/>
      <c r="W492" s="130"/>
      <c r="X492" s="130"/>
      <c r="Y492" s="96"/>
      <c r="Z492" s="96"/>
      <c r="AA492" s="130"/>
      <c r="AB492" s="130"/>
      <c r="AC492" s="97"/>
      <c r="AD492" s="130"/>
      <c r="AE492" s="99"/>
      <c r="AF492" s="100"/>
      <c r="AG492" s="100"/>
      <c r="AH492" s="100" t="str">
        <f aca="false">IF(ISBLANK($C492),"",IF($E492=Constants!$B$2,TRUE(),IF($E492=Constants!$B$3,FALSE(),TRUE())))</f>
        <v/>
      </c>
      <c r="AI492" s="100" t="str">
        <f aca="false">IF(ISBLANK($C492),"",IF($F492=Constants!$B$2,TRUE(),IF($F492=Constants!$B$3,FALSE(),FALSE())))</f>
        <v/>
      </c>
      <c r="AJ492" s="100" t="str">
        <f aca="false">IF(ISBLANK($C492),"",IF($G492=Constants!$B$2,TRUE(),IF($G492=Constants!$B$3,FALSE(),TRUE())))</f>
        <v/>
      </c>
      <c r="AK492" s="100" t="str">
        <f aca="false">IF(ISBLANK($C492),"",IF($H492=Constants!$B$2,TRUE(),IF($H492=Constants!$B$3,FALSE(),TRUE())))</f>
        <v/>
      </c>
      <c r="AL492" s="100" t="str">
        <f aca="false">IF(ISBLANK($C492),"",IF(ISNUMBER($I492),IF($I492&gt;=0,$I492,""),""))</f>
        <v/>
      </c>
      <c r="AM492" s="100" t="str">
        <f aca="false">IF(ISBLANK($C492),"",IF(ISNUMBER($J492),IF($J492&gt;=0,$J492,""),""))</f>
        <v/>
      </c>
      <c r="AN492" s="100" t="str">
        <f aca="false">IF(ISBLANK($C492),"",IF(ISNUMBER($K492),IF($K492&gt;=0,$K492,""),""))</f>
        <v/>
      </c>
      <c r="AO492" s="100" t="str">
        <f aca="false">IF(ISBLANK($C492),"",IF($L492=Constants!$B$2,TRUE(),IF($L492=Constants!$B$3,FALSE(),TRUE())))</f>
        <v/>
      </c>
      <c r="AP492" s="100" t="str">
        <f aca="false">IF(ISBLANK($C492),"",IF($M492=Constants!$B$2,TRUE(),IF($M492=Constants!$B$3,FALSE(),TRUE())))</f>
        <v/>
      </c>
      <c r="AQ492" s="100" t="str">
        <f aca="false">IF(ISBLANK($C492),"",IF($N492=Constants!$B$2,TRUE(),IF($N492=Constants!$B$3,FALSE(),FALSE())))</f>
        <v/>
      </c>
      <c r="AR492" s="100" t="str">
        <f aca="false">IF(ISBLANK($C492),"",IF($O492=Constants!$B$2,TRUE(),IF($O492=Constants!$B$3,FALSE(),TRUE())))</f>
        <v/>
      </c>
      <c r="AS492" s="100" t="str">
        <f aca="false">IF(ISBLANK($C492),"",IF($P492=Constants!$B$2,TRUE(),IF($P492=Constants!$B$3,FALSE(),FALSE())))</f>
        <v/>
      </c>
      <c r="AT492" s="100" t="str">
        <f aca="false">IF(ISBLANK($C492),"",IF($Q492=Constants!$B$2,TRUE(),IF($Q492=Constants!$B$3,FALSE(),FALSE())))</f>
        <v/>
      </c>
      <c r="AU492" s="100" t="str">
        <f aca="false">IF(ISBLANK($C492),"",IF($R492=Constants!$B$2,TRUE(),IF($R492=Constants!$B$3,FALSE(),FALSE())))</f>
        <v/>
      </c>
      <c r="AV492" s="100" t="str">
        <f aca="false">IF(ISBLANK($C492),"",IF($S492=Constants!$B$2,TRUE(),IF($S492=Constants!$B$3,FALSE(),FALSE())))</f>
        <v/>
      </c>
      <c r="AW492" s="100" t="str">
        <f aca="false">IF(ISBLANK($C492),"",IF($T492=Constants!$B$2,TRUE(),IF($T492=Constants!$B$3,FALSE(),FALSE())))</f>
        <v/>
      </c>
      <c r="AX492" s="100" t="str">
        <f aca="false">IF(ISBLANK($C492),"",IF(OR($U492&amp;""="1",$U492&amp;""="2",$U492&amp;""="3",$U492&amp;""="4"),VALUE($U492&amp;""),IF($U492=Constants!$B$12,Constants!$B$12,"")))</f>
        <v/>
      </c>
      <c r="AY492" s="100" t="str">
        <f aca="false">IF(ISBLANK($C492),"",IF(ISBLANK($V492),0,IF(ISNUMBER($V492),IF(AND($V492&gt;=0,$V492&lt;=Constants!$B$21,$V492=INT($V492)),$V492,""),"")))</f>
        <v/>
      </c>
      <c r="AZ492" s="100" t="str">
        <f aca="false">IF(ISBLANK($C492),"",IF(ISBLANK($W492),0,IF(ISNUMBER($W492),IF($W492&gt;=0,$W492,""),"")))</f>
        <v/>
      </c>
      <c r="BA492" s="100" t="str">
        <f aca="false">IF(ISBLANK($C492),"",IF($X492=Constants!$B$2,TRUE(),IF($X492=Constants!$B$3,FALSE(),TRUE())))</f>
        <v/>
      </c>
      <c r="BB492" s="100" t="str">
        <f aca="false">IF(ISBLANK($C492),"",IF($Y492=Constants!$B$2,TRUE(),IF($Y492=Constants!$B$3,FALSE(),FALSE())))</f>
        <v/>
      </c>
      <c r="BC492" s="100" t="str">
        <f aca="false">IF(ISBLANK($C492),"",IF(ISBLANK($Z492),0,IF(ISNUMBER($Z492),IF(AND($Z492&gt;=0,$Z492&lt;=Constants!$B$35,$Z492=INT($Z492)),$Z492,""),"")))</f>
        <v/>
      </c>
      <c r="BD492" s="100" t="str">
        <f aca="false">IF(ISBLANK($C492),"",IF($AA492=Constants!$B$2,TRUE(),IF($AA492=Constants!$B$3,FALSE(),TRUE())))</f>
        <v/>
      </c>
      <c r="BE492" s="100" t="str">
        <f aca="false">IF(ISBLANK($C492),"",IF($AB492=Constants!$B$2,TRUE(),IF($AB492=Constants!$B$3,FALSE(),TRUE())))</f>
        <v/>
      </c>
      <c r="BF492" s="100" t="str">
        <f aca="false">IF(ISBLANK($C492),"",IF(ISNUMBER($AC492),IF($AC492&gt;=0,$AC492,""),""))</f>
        <v/>
      </c>
      <c r="BG492" s="100" t="str">
        <f aca="false">IF(ISBLANK($C492),"",IF($AD492=Constants!$B$2,TRUE(),IF($AD492=Constants!$B$3,FALSE(),FALSE())))</f>
        <v/>
      </c>
      <c r="BH492" s="99" t="str">
        <f aca="false">IF(ISBLANK($C492),"",IF($BG492,Constants!$B$7,IF(COUNTA($E492:$AC492)=0,Constants!$B$6,IF(OR(COUNTA($G492:$AC492)=0,NOT($AK492),$AQ492),Constants!$B$5,IF(OR($CI492&lt;&gt;"",$CJ492,$CK492,$CL492,$CM492,$CN492,$CO492),Constants!$B$8,Constants!$B$4)))))</f>
        <v/>
      </c>
      <c r="BI492" s="100" t="str">
        <f aca="false">IF(ISBLANK($C492),"",IF($BH492&lt;&gt;Constants!$B$4,$BH492,IF(OR(NOT($AH492),NOT($AJ492),NOT($AR492)),Constants!$B$11,IF(OR(NOT($AP492),MAX($AL492,$AM492,$AN492)&gt;Constants!$B$30),Constants!$B$10,Constants!$B$9))))</f>
        <v/>
      </c>
      <c r="BJ492" s="100" t="str">
        <f aca="false">IF($BH492&lt;&gt;Constants!$B$4,"",IF(NOT($AJ492),0,MIN(Constants!$B$35,$BC492)))</f>
        <v/>
      </c>
      <c r="BK492" s="100" t="str">
        <f aca="false">IF($BH492&lt;&gt;Constants!$B$4,"",IF(NOT($AJ492),0,IF($AT492,Constants!$B$18,IF($AS492,Constants!$B$17,0))))</f>
        <v/>
      </c>
      <c r="BL492" s="100" t="str">
        <f aca="false">IF($BH492&lt;&gt;Constants!$B$4,"",IF(NOT($AJ492),0,Constants!$B$19*($AI492+$AU492+$AV492+$AW492)))</f>
        <v/>
      </c>
      <c r="BM492" s="100" t="str">
        <f aca="false">IF($BH492&lt;&gt;Constants!$B$4,"",IF(OR(NOT($AJ492),NOT(ISNUMBER($AX492))),0,CHOOSE($AX492,Constants!$B$13,Constants!$B$14,Constants!$B$15,Constants!$B$16)))</f>
        <v/>
      </c>
      <c r="BN492" s="100" t="str">
        <f aca="false">IF($BH492&lt;&gt;Constants!$B$4,"",IF(NOT($AJ492),0,Constants!$B$20*$AY492))</f>
        <v/>
      </c>
      <c r="BO492" s="100" t="str">
        <f aca="false">IF($BH492&lt;&gt;Constants!$B$4,"",IF(AND($AJ492,$BA492,$BB492),Constants!$B$22,0))</f>
        <v/>
      </c>
      <c r="BP492" s="100" t="str">
        <f aca="false">IF($BH492&lt;&gt;Constants!$B$4,"",IF(OR(NOT($AJ492),NOT($BA492)),0,IF($BF492&gt;=2*$AF$9,0,Constants!$B$23*INT(ROUND(MIN($BF492,$AF$9),6)))))</f>
        <v/>
      </c>
      <c r="BQ492" s="100" t="str">
        <f aca="false">IF($BH492&lt;&gt;Constants!$B$4,"",IF(NOT($AJ492),0,Constants!$B$24*INT(ROUND(MIN($AZ492,$AF$9),6))))</f>
        <v/>
      </c>
      <c r="BR492" s="100" t="str">
        <f aca="false">IF($BH492&lt;&gt;Constants!$B$4,"",IF(AND($AJ492,$BJ492=0),Constants!$B$25,0))</f>
        <v/>
      </c>
      <c r="BS492" s="100" t="str">
        <f aca="false">IF($BH492&lt;&gt;Constants!$B$4,"",MIN(Constants!$B$29,MAX(0,Constants!$B$27*Constants!$B$28*INT(ROUND((Constants!$B$26-$AL492)/Constants!$B$28,6))))+MIN(Constants!$B$29,MAX(0,Constants!$B$27*Constants!$B$28*INT(ROUND((Constants!$B$26-$AM492)/Constants!$B$28,6))))+MIN(Constants!$B$29,MAX(0,Constants!$B$27*Constants!$B$28*INT(ROUND((Constants!$B$26-$AN492)/Constants!$B$28,6)))))</f>
        <v/>
      </c>
      <c r="BT492" s="100" t="str">
        <f aca="false">IF($BH492&lt;&gt;Constants!$B$4,"",IF(NOT($AJ492),0,Constants!$B$31*INT(ROUND(MAX(0,MIN($BF492,2*$AF$9)-$AF$9),6))))</f>
        <v/>
      </c>
      <c r="BU492" s="100" t="str">
        <f aca="false">IF($BH492&lt;&gt;Constants!$B$4,"",Constants!$B$32*(($AL492&gt;Constants!$B$26)+($AM492&gt;Constants!$B$26)+($AN492&gt;Constants!$B$26)))</f>
        <v/>
      </c>
      <c r="BV492" s="100" t="str">
        <f aca="false">IF($BH492&lt;&gt;Constants!$B$4,"",IF(OR(NOT($AJ492),$AO492),0,Constants!$B$33))</f>
        <v/>
      </c>
      <c r="BW492" s="100" t="str">
        <f aca="false">IF($BH492&lt;&gt;Constants!$B$4,"",Constants!$B$34*$BJ492)</f>
        <v/>
      </c>
      <c r="BX492" s="100" t="str">
        <f aca="false">IF($BH492&lt;&gt;Constants!$B$4,"",IF(OR(NOT($AJ492),$BE492),0,Constants!$B$36))</f>
        <v/>
      </c>
      <c r="BY492" s="100" t="str">
        <f aca="false">IF($BH492&lt;&gt;Constants!$B$4,"",IF(OR(NOT($AJ492),$BD492),0,Constants!$B$37))</f>
        <v/>
      </c>
      <c r="BZ492" s="100" t="str">
        <f aca="false">IF($BH492&lt;&gt;Constants!$B$4,"",SUM($BT492:$BY492))</f>
        <v/>
      </c>
      <c r="CA492" s="100" t="str">
        <f aca="false">IF(ISBLANK($C492),"",IF($BH492&lt;&gt;Constants!$B$4,$BH492,SUM($BK492:$BS492)-$BZ492))</f>
        <v/>
      </c>
      <c r="CB492" s="100" t="str">
        <f aca="false">IF(ISBLANK($C492),"",IF($BH492&lt;&gt;Constants!$B$4,$BH492,RANK($CA492,$CA$9:$CA$508)))</f>
        <v/>
      </c>
      <c r="CC492" s="100" t="str">
        <f aca="false">IF(ISBLANK($C492),"",IF($BH492&lt;&gt;Constants!$B$4,$BH492,COUNTIFS($BI$9:$BI$508,"&lt;"&amp;$BI492)+COUNTIFS($BI$9:$BI$508,$BI492,$CB$9:$CB$508,"&lt;"&amp;$CB492)+1))</f>
        <v/>
      </c>
      <c r="CD492" s="100" t="str">
        <f aca="false">IF(ISBLANK($C492),"",IF($BH492&lt;&gt;Constants!$B$4,$BH492,RANK($BZ492,$BZ$9:$BZ$508,1)))</f>
        <v/>
      </c>
      <c r="CE492" s="100" t="str">
        <f aca="false">IF($BH492&lt;&gt;Constants!$B$4,"",$AL492+$AM492+$AN492)</f>
        <v/>
      </c>
      <c r="CF492" s="100" t="str">
        <f aca="false">IF(ISBLANK($C492),"",IF($BH492&lt;&gt;Constants!$B$4,$BH492,RANK($CE492,$CE$9:$CE$508,1)))</f>
        <v/>
      </c>
      <c r="CG492" s="100" t="str">
        <f aca="false">IF(ISBLANK($C492),"",IF($BH492&lt;&gt;Constants!$B$4,$BH492,COUNTIFS($BI$9:$BI$508,"&lt;"&amp;$BI492)+COUNTIFS($BI$9:$BI$508,$BI492,$CB$9:$CB$508,"&lt;"&amp;$CB492)+COUNTIFS($BI$9:$BI$508,$BI492,$CB$9:$CB$508,$CB492,$CD$9:$CD$508,"&lt;"&amp;$CD492)+COUNTIFS($BI$9:$BI$508,$BI492,$CB$9:$CB$508,$CB492,$CD$9:$CD$508,$CD492,$CF$9:$CF$508,"&lt;"&amp;$CF492)+1))</f>
        <v/>
      </c>
      <c r="CH492" s="100" t="str">
        <f aca="false">IF(ISBLANK($C492),"",IF($BH492&lt;&gt;Constants!$B$4,$BH492,$CC492-$CG492))</f>
        <v/>
      </c>
      <c r="CI492" s="100" t="str">
        <f aca="false">IF(ISBLANK($C492),"",IF(NOT($AJ492),"",IF(ISBLANK($D$7),$CI$5,IF(NOT(ISNUMBER($D$7)),$CI$6,""))))</f>
        <v/>
      </c>
      <c r="CJ492" s="100" t="str">
        <f aca="false">IF(ISBLANK($C492),"",OR($AL492="",$AM492="",$AN492=""))</f>
        <v/>
      </c>
      <c r="CK492" s="100" t="str">
        <f aca="false">IF(ISBLANK($C492),"",AND($AJ492,$AX492=""))</f>
        <v/>
      </c>
      <c r="CL492" s="100" t="str">
        <f aca="false">IF(ISBLANK($C492),"",AND($AJ492,$AY492=""))</f>
        <v/>
      </c>
      <c r="CM492" s="100" t="str">
        <f aca="false">IF(ISBLANK($C492),"",AND($AJ492,$AZ492=""))</f>
        <v/>
      </c>
      <c r="CN492" s="100" t="str">
        <f aca="false">IF(ISBLANK($C492),"",AND($AJ492,$BC492=""))</f>
        <v/>
      </c>
      <c r="CO492" s="100" t="str">
        <f aca="false">IF(ISBLANK($C492),"",AND($AJ492,$BF492=""))</f>
        <v/>
      </c>
      <c r="CP492" s="101"/>
      <c r="CQ492" s="102"/>
      <c r="CR492" s="103" t="str">
        <f aca="false">IF(ISBLANK($C492),"",IF($BH492=Constants!$B$8,$CI492,""))</f>
        <v/>
      </c>
      <c r="CS492" s="102" t="str">
        <f aca="false">IF(ISBLANK($C492),"",IF($BH492&lt;&gt;Constants!$B$4,"",$BK492+$BL492))</f>
        <v/>
      </c>
      <c r="CT492" s="104" t="str">
        <f aca="false">IF(ISBLANK($C492),"",IF($BH492&lt;&gt;Constants!$B$4,"",$BM492+$BN492+$BO492))</f>
        <v/>
      </c>
      <c r="CU492" s="104" t="str">
        <f aca="false">IF(ISBLANK($C492),"",IF($BH492&lt;&gt;Constants!$B$4,"",$BP492))</f>
        <v/>
      </c>
      <c r="CV492" s="104" t="str">
        <f aca="false">IF(ISBLANK($C492),"",IF($BH492&lt;&gt;Constants!$B$4,"",$BQ492+$BR492))</f>
        <v/>
      </c>
      <c r="CW492" s="104" t="str">
        <f aca="false">IF(ISBLANK($C492),"",IF($BH492&lt;&gt;Constants!$B$4,"",$BS492))</f>
        <v/>
      </c>
      <c r="CX492" s="104" t="str">
        <f aca="false">IF(ISBLANK($C492),"",IF($BH492&lt;&gt;Constants!$B$4,"",-$BZ492))</f>
        <v/>
      </c>
      <c r="CY492" s="103" t="str">
        <f aca="false">IF(ISBLANK($C492),"",$CA492)</f>
        <v/>
      </c>
      <c r="CZ492" s="105" t="str">
        <f aca="false">IF(ISBLANK($C492),"",$BI492)</f>
        <v/>
      </c>
      <c r="DA492" s="104" t="str">
        <f aca="false">IF(ISBLANK($C492),"",$CH492)</f>
        <v/>
      </c>
      <c r="DB492" s="104" t="str">
        <f aca="false">IF(ISBLANK($C492),"",$CG492)</f>
        <v/>
      </c>
      <c r="DC492" s="106" t="str">
        <f aca="false">IF(ISBLANK($C492),"",IFERROR(_xlfn.SWITCH($DB492,Constants!$B$7,COUNTA($C$9:$C$508)+2,Constants!$B$6,COUNTA($C$9:$C$508)+1,Constants!$B$5,COUNTA($C$9:$C$508)),$DB492))</f>
        <v/>
      </c>
      <c r="DD492" s="7"/>
      <c r="DE492" s="107" t="n">
        <f aca="false">IF(OR(ISNUMBER($DB492),$DB492=Constants!$B$7,$DB492=Constants!$B$5,$DB492=Constants!$B$6),1,0)</f>
        <v>0</v>
      </c>
      <c r="DF492" s="107" t="n">
        <v>484</v>
      </c>
      <c r="DG492" s="107" t="str">
        <f aca="false">IF(ISBLANK($C492),"",IF(ISNUMBER($DC492),$DC492+ROW($B492)/1000,""))</f>
        <v/>
      </c>
      <c r="DH492" s="107" t="str">
        <f aca="false">IF(ISNUMBER($DG492),RANK($DG492,$DG$9:$DG$508,1),"")</f>
        <v/>
      </c>
      <c r="DI492" s="107" t="str">
        <f aca="false">IF(ISBLANK($C492),"",$B492)</f>
        <v/>
      </c>
      <c r="DJ492" s="107" t="str">
        <f aca="false">IF(ISBLANK($C492),"",$C492)</f>
        <v/>
      </c>
      <c r="DK492" s="107" t="str">
        <f aca="false">IF(ISBLANK($C492),"",$D492)</f>
        <v/>
      </c>
      <c r="DL492" s="108" t="str">
        <f aca="false">$CZ492</f>
        <v/>
      </c>
      <c r="DM492" s="109" t="str">
        <f aca="false">$CY492</f>
        <v/>
      </c>
      <c r="DN492" s="107" t="str">
        <f aca="false">IF(ISBLANK($C492),"",$DB492)</f>
        <v/>
      </c>
      <c r="DO492" s="110" t="str">
        <f aca="false">IF($DF492&gt;$DE$8,"",VLOOKUP($DF492,$DH$9:$DN$508,7,FALSE()))</f>
        <v/>
      </c>
      <c r="DP492" s="111" t="str">
        <f aca="false">IF($DF492&gt;$DE$8,"",VLOOKUP($DF492,$DH$9:$DN$508,2,FALSE()))</f>
        <v/>
      </c>
      <c r="DQ492" s="111" t="str">
        <f aca="false">IF($DF492&gt;$DE$8,"",VLOOKUP($DF492,$DH$9:$DN$508,3,FALSE()))</f>
        <v/>
      </c>
      <c r="DR492" s="111" t="str">
        <f aca="false">IF($DF492&gt;$DE$8,"",VLOOKUP($DF492,$DH$9:$DN$508,4,FALSE()))</f>
        <v/>
      </c>
      <c r="DS492" s="111" t="str">
        <f aca="false">IF($DF492&gt;$DE$8,"",VLOOKUP($DF492,$DH$9:$DN$508,5,FALSE()))</f>
        <v/>
      </c>
      <c r="DT492" s="112" t="str">
        <f aca="false">IF($DF492&gt;$DE$8,"",VLOOKUP($DF492,$DH$9:$DN$508,6,FALSE()))</f>
        <v/>
      </c>
      <c r="DU492" s="62"/>
    </row>
    <row r="493" customFormat="false" ht="15.75" hidden="false" customHeight="false" outlineLevel="0" collapsed="false">
      <c r="A493" s="7"/>
      <c r="B493" s="90"/>
      <c r="C493" s="91"/>
      <c r="D493" s="126"/>
      <c r="E493" s="130"/>
      <c r="F493" s="135"/>
      <c r="G493" s="130"/>
      <c r="H493" s="135"/>
      <c r="I493" s="131"/>
      <c r="J493" s="131"/>
      <c r="K493" s="131"/>
      <c r="L493" s="130"/>
      <c r="M493" s="130"/>
      <c r="N493" s="130"/>
      <c r="O493" s="135"/>
      <c r="P493" s="130"/>
      <c r="Q493" s="130"/>
      <c r="R493" s="130"/>
      <c r="S493" s="130"/>
      <c r="T493" s="135"/>
      <c r="U493" s="130"/>
      <c r="V493" s="96"/>
      <c r="W493" s="130"/>
      <c r="X493" s="130"/>
      <c r="Y493" s="96"/>
      <c r="Z493" s="96"/>
      <c r="AA493" s="130"/>
      <c r="AB493" s="130"/>
      <c r="AC493" s="97"/>
      <c r="AD493" s="130"/>
      <c r="AE493" s="99"/>
      <c r="AF493" s="100"/>
      <c r="AG493" s="100"/>
      <c r="AH493" s="100" t="str">
        <f aca="false">IF(ISBLANK($C493),"",IF($E493=Constants!$B$2,TRUE(),IF($E493=Constants!$B$3,FALSE(),TRUE())))</f>
        <v/>
      </c>
      <c r="AI493" s="100" t="str">
        <f aca="false">IF(ISBLANK($C493),"",IF($F493=Constants!$B$2,TRUE(),IF($F493=Constants!$B$3,FALSE(),FALSE())))</f>
        <v/>
      </c>
      <c r="AJ493" s="100" t="str">
        <f aca="false">IF(ISBLANK($C493),"",IF($G493=Constants!$B$2,TRUE(),IF($G493=Constants!$B$3,FALSE(),TRUE())))</f>
        <v/>
      </c>
      <c r="AK493" s="100" t="str">
        <f aca="false">IF(ISBLANK($C493),"",IF($H493=Constants!$B$2,TRUE(),IF($H493=Constants!$B$3,FALSE(),TRUE())))</f>
        <v/>
      </c>
      <c r="AL493" s="100" t="str">
        <f aca="false">IF(ISBLANK($C493),"",IF(ISNUMBER($I493),IF($I493&gt;=0,$I493,""),""))</f>
        <v/>
      </c>
      <c r="AM493" s="100" t="str">
        <f aca="false">IF(ISBLANK($C493),"",IF(ISNUMBER($J493),IF($J493&gt;=0,$J493,""),""))</f>
        <v/>
      </c>
      <c r="AN493" s="100" t="str">
        <f aca="false">IF(ISBLANK($C493),"",IF(ISNUMBER($K493),IF($K493&gt;=0,$K493,""),""))</f>
        <v/>
      </c>
      <c r="AO493" s="100" t="str">
        <f aca="false">IF(ISBLANK($C493),"",IF($L493=Constants!$B$2,TRUE(),IF($L493=Constants!$B$3,FALSE(),TRUE())))</f>
        <v/>
      </c>
      <c r="AP493" s="100" t="str">
        <f aca="false">IF(ISBLANK($C493),"",IF($M493=Constants!$B$2,TRUE(),IF($M493=Constants!$B$3,FALSE(),TRUE())))</f>
        <v/>
      </c>
      <c r="AQ493" s="100" t="str">
        <f aca="false">IF(ISBLANK($C493),"",IF($N493=Constants!$B$2,TRUE(),IF($N493=Constants!$B$3,FALSE(),FALSE())))</f>
        <v/>
      </c>
      <c r="AR493" s="100" t="str">
        <f aca="false">IF(ISBLANK($C493),"",IF($O493=Constants!$B$2,TRUE(),IF($O493=Constants!$B$3,FALSE(),TRUE())))</f>
        <v/>
      </c>
      <c r="AS493" s="100" t="str">
        <f aca="false">IF(ISBLANK($C493),"",IF($P493=Constants!$B$2,TRUE(),IF($P493=Constants!$B$3,FALSE(),FALSE())))</f>
        <v/>
      </c>
      <c r="AT493" s="100" t="str">
        <f aca="false">IF(ISBLANK($C493),"",IF($Q493=Constants!$B$2,TRUE(),IF($Q493=Constants!$B$3,FALSE(),FALSE())))</f>
        <v/>
      </c>
      <c r="AU493" s="100" t="str">
        <f aca="false">IF(ISBLANK($C493),"",IF($R493=Constants!$B$2,TRUE(),IF($R493=Constants!$B$3,FALSE(),FALSE())))</f>
        <v/>
      </c>
      <c r="AV493" s="100" t="str">
        <f aca="false">IF(ISBLANK($C493),"",IF($S493=Constants!$B$2,TRUE(),IF($S493=Constants!$B$3,FALSE(),FALSE())))</f>
        <v/>
      </c>
      <c r="AW493" s="100" t="str">
        <f aca="false">IF(ISBLANK($C493),"",IF($T493=Constants!$B$2,TRUE(),IF($T493=Constants!$B$3,FALSE(),FALSE())))</f>
        <v/>
      </c>
      <c r="AX493" s="100" t="str">
        <f aca="false">IF(ISBLANK($C493),"",IF(OR($U493&amp;""="1",$U493&amp;""="2",$U493&amp;""="3",$U493&amp;""="4"),VALUE($U493&amp;""),IF($U493=Constants!$B$12,Constants!$B$12,"")))</f>
        <v/>
      </c>
      <c r="AY493" s="100" t="str">
        <f aca="false">IF(ISBLANK($C493),"",IF(ISBLANK($V493),0,IF(ISNUMBER($V493),IF(AND($V493&gt;=0,$V493&lt;=Constants!$B$21,$V493=INT($V493)),$V493,""),"")))</f>
        <v/>
      </c>
      <c r="AZ493" s="100" t="str">
        <f aca="false">IF(ISBLANK($C493),"",IF(ISBLANK($W493),0,IF(ISNUMBER($W493),IF($W493&gt;=0,$W493,""),"")))</f>
        <v/>
      </c>
      <c r="BA493" s="100" t="str">
        <f aca="false">IF(ISBLANK($C493),"",IF($X493=Constants!$B$2,TRUE(),IF($X493=Constants!$B$3,FALSE(),TRUE())))</f>
        <v/>
      </c>
      <c r="BB493" s="100" t="str">
        <f aca="false">IF(ISBLANK($C493),"",IF($Y493=Constants!$B$2,TRUE(),IF($Y493=Constants!$B$3,FALSE(),FALSE())))</f>
        <v/>
      </c>
      <c r="BC493" s="100" t="str">
        <f aca="false">IF(ISBLANK($C493),"",IF(ISBLANK($Z493),0,IF(ISNUMBER($Z493),IF(AND($Z493&gt;=0,$Z493&lt;=Constants!$B$35,$Z493=INT($Z493)),$Z493,""),"")))</f>
        <v/>
      </c>
      <c r="BD493" s="100" t="str">
        <f aca="false">IF(ISBLANK($C493),"",IF($AA493=Constants!$B$2,TRUE(),IF($AA493=Constants!$B$3,FALSE(),TRUE())))</f>
        <v/>
      </c>
      <c r="BE493" s="100" t="str">
        <f aca="false">IF(ISBLANK($C493),"",IF($AB493=Constants!$B$2,TRUE(),IF($AB493=Constants!$B$3,FALSE(),TRUE())))</f>
        <v/>
      </c>
      <c r="BF493" s="100" t="str">
        <f aca="false">IF(ISBLANK($C493),"",IF(ISNUMBER($AC493),IF($AC493&gt;=0,$AC493,""),""))</f>
        <v/>
      </c>
      <c r="BG493" s="100" t="str">
        <f aca="false">IF(ISBLANK($C493),"",IF($AD493=Constants!$B$2,TRUE(),IF($AD493=Constants!$B$3,FALSE(),FALSE())))</f>
        <v/>
      </c>
      <c r="BH493" s="99" t="str">
        <f aca="false">IF(ISBLANK($C493),"",IF($BG493,Constants!$B$7,IF(COUNTA($E493:$AC493)=0,Constants!$B$6,IF(OR(COUNTA($G493:$AC493)=0,NOT($AK493),$AQ493),Constants!$B$5,IF(OR($CI493&lt;&gt;"",$CJ493,$CK493,$CL493,$CM493,$CN493,$CO493),Constants!$B$8,Constants!$B$4)))))</f>
        <v/>
      </c>
      <c r="BI493" s="100" t="str">
        <f aca="false">IF(ISBLANK($C493),"",IF($BH493&lt;&gt;Constants!$B$4,$BH493,IF(OR(NOT($AH493),NOT($AJ493),NOT($AR493)),Constants!$B$11,IF(OR(NOT($AP493),MAX($AL493,$AM493,$AN493)&gt;Constants!$B$30),Constants!$B$10,Constants!$B$9))))</f>
        <v/>
      </c>
      <c r="BJ493" s="100" t="str">
        <f aca="false">IF($BH493&lt;&gt;Constants!$B$4,"",IF(NOT($AJ493),0,MIN(Constants!$B$35,$BC493)))</f>
        <v/>
      </c>
      <c r="BK493" s="100" t="str">
        <f aca="false">IF($BH493&lt;&gt;Constants!$B$4,"",IF(NOT($AJ493),0,IF($AT493,Constants!$B$18,IF($AS493,Constants!$B$17,0))))</f>
        <v/>
      </c>
      <c r="BL493" s="100" t="str">
        <f aca="false">IF($BH493&lt;&gt;Constants!$B$4,"",IF(NOT($AJ493),0,Constants!$B$19*($AI493+$AU493+$AV493+$AW493)))</f>
        <v/>
      </c>
      <c r="BM493" s="100" t="str">
        <f aca="false">IF($BH493&lt;&gt;Constants!$B$4,"",IF(OR(NOT($AJ493),NOT(ISNUMBER($AX493))),0,CHOOSE($AX493,Constants!$B$13,Constants!$B$14,Constants!$B$15,Constants!$B$16)))</f>
        <v/>
      </c>
      <c r="BN493" s="100" t="str">
        <f aca="false">IF($BH493&lt;&gt;Constants!$B$4,"",IF(NOT($AJ493),0,Constants!$B$20*$AY493))</f>
        <v/>
      </c>
      <c r="BO493" s="100" t="str">
        <f aca="false">IF($BH493&lt;&gt;Constants!$B$4,"",IF(AND($AJ493,$BA493,$BB493),Constants!$B$22,0))</f>
        <v/>
      </c>
      <c r="BP493" s="100" t="str">
        <f aca="false">IF($BH493&lt;&gt;Constants!$B$4,"",IF(OR(NOT($AJ493),NOT($BA493)),0,IF($BF493&gt;=2*$AF$9,0,Constants!$B$23*INT(ROUND(MIN($BF493,$AF$9),6)))))</f>
        <v/>
      </c>
      <c r="BQ493" s="100" t="str">
        <f aca="false">IF($BH493&lt;&gt;Constants!$B$4,"",IF(NOT($AJ493),0,Constants!$B$24*INT(ROUND(MIN($AZ493,$AF$9),6))))</f>
        <v/>
      </c>
      <c r="BR493" s="100" t="str">
        <f aca="false">IF($BH493&lt;&gt;Constants!$B$4,"",IF(AND($AJ493,$BJ493=0),Constants!$B$25,0))</f>
        <v/>
      </c>
      <c r="BS493" s="100" t="str">
        <f aca="false">IF($BH493&lt;&gt;Constants!$B$4,"",MIN(Constants!$B$29,MAX(0,Constants!$B$27*Constants!$B$28*INT(ROUND((Constants!$B$26-$AL493)/Constants!$B$28,6))))+MIN(Constants!$B$29,MAX(0,Constants!$B$27*Constants!$B$28*INT(ROUND((Constants!$B$26-$AM493)/Constants!$B$28,6))))+MIN(Constants!$B$29,MAX(0,Constants!$B$27*Constants!$B$28*INT(ROUND((Constants!$B$26-$AN493)/Constants!$B$28,6)))))</f>
        <v/>
      </c>
      <c r="BT493" s="100" t="str">
        <f aca="false">IF($BH493&lt;&gt;Constants!$B$4,"",IF(NOT($AJ493),0,Constants!$B$31*INT(ROUND(MAX(0,MIN($BF493,2*$AF$9)-$AF$9),6))))</f>
        <v/>
      </c>
      <c r="BU493" s="100" t="str">
        <f aca="false">IF($BH493&lt;&gt;Constants!$B$4,"",Constants!$B$32*(($AL493&gt;Constants!$B$26)+($AM493&gt;Constants!$B$26)+($AN493&gt;Constants!$B$26)))</f>
        <v/>
      </c>
      <c r="BV493" s="100" t="str">
        <f aca="false">IF($BH493&lt;&gt;Constants!$B$4,"",IF(OR(NOT($AJ493),$AO493),0,Constants!$B$33))</f>
        <v/>
      </c>
      <c r="BW493" s="100" t="str">
        <f aca="false">IF($BH493&lt;&gt;Constants!$B$4,"",Constants!$B$34*$BJ493)</f>
        <v/>
      </c>
      <c r="BX493" s="100" t="str">
        <f aca="false">IF($BH493&lt;&gt;Constants!$B$4,"",IF(OR(NOT($AJ493),$BE493),0,Constants!$B$36))</f>
        <v/>
      </c>
      <c r="BY493" s="100" t="str">
        <f aca="false">IF($BH493&lt;&gt;Constants!$B$4,"",IF(OR(NOT($AJ493),$BD493),0,Constants!$B$37))</f>
        <v/>
      </c>
      <c r="BZ493" s="100" t="str">
        <f aca="false">IF($BH493&lt;&gt;Constants!$B$4,"",SUM($BT493:$BY493))</f>
        <v/>
      </c>
      <c r="CA493" s="100" t="str">
        <f aca="false">IF(ISBLANK($C493),"",IF($BH493&lt;&gt;Constants!$B$4,$BH493,SUM($BK493:$BS493)-$BZ493))</f>
        <v/>
      </c>
      <c r="CB493" s="100" t="str">
        <f aca="false">IF(ISBLANK($C493),"",IF($BH493&lt;&gt;Constants!$B$4,$BH493,RANK($CA493,$CA$9:$CA$508)))</f>
        <v/>
      </c>
      <c r="CC493" s="100" t="str">
        <f aca="false">IF(ISBLANK($C493),"",IF($BH493&lt;&gt;Constants!$B$4,$BH493,COUNTIFS($BI$9:$BI$508,"&lt;"&amp;$BI493)+COUNTIFS($BI$9:$BI$508,$BI493,$CB$9:$CB$508,"&lt;"&amp;$CB493)+1))</f>
        <v/>
      </c>
      <c r="CD493" s="100" t="str">
        <f aca="false">IF(ISBLANK($C493),"",IF($BH493&lt;&gt;Constants!$B$4,$BH493,RANK($BZ493,$BZ$9:$BZ$508,1)))</f>
        <v/>
      </c>
      <c r="CE493" s="100" t="str">
        <f aca="false">IF($BH493&lt;&gt;Constants!$B$4,"",$AL493+$AM493+$AN493)</f>
        <v/>
      </c>
      <c r="CF493" s="100" t="str">
        <f aca="false">IF(ISBLANK($C493),"",IF($BH493&lt;&gt;Constants!$B$4,$BH493,RANK($CE493,$CE$9:$CE$508,1)))</f>
        <v/>
      </c>
      <c r="CG493" s="100" t="str">
        <f aca="false">IF(ISBLANK($C493),"",IF($BH493&lt;&gt;Constants!$B$4,$BH493,COUNTIFS($BI$9:$BI$508,"&lt;"&amp;$BI493)+COUNTIFS($BI$9:$BI$508,$BI493,$CB$9:$CB$508,"&lt;"&amp;$CB493)+COUNTIFS($BI$9:$BI$508,$BI493,$CB$9:$CB$508,$CB493,$CD$9:$CD$508,"&lt;"&amp;$CD493)+COUNTIFS($BI$9:$BI$508,$BI493,$CB$9:$CB$508,$CB493,$CD$9:$CD$508,$CD493,$CF$9:$CF$508,"&lt;"&amp;$CF493)+1))</f>
        <v/>
      </c>
      <c r="CH493" s="100" t="str">
        <f aca="false">IF(ISBLANK($C493),"",IF($BH493&lt;&gt;Constants!$B$4,$BH493,$CC493-$CG493))</f>
        <v/>
      </c>
      <c r="CI493" s="100" t="str">
        <f aca="false">IF(ISBLANK($C493),"",IF(NOT($AJ493),"",IF(ISBLANK($D$7),$CI$5,IF(NOT(ISNUMBER($D$7)),$CI$6,""))))</f>
        <v/>
      </c>
      <c r="CJ493" s="100" t="str">
        <f aca="false">IF(ISBLANK($C493),"",OR($AL493="",$AM493="",$AN493=""))</f>
        <v/>
      </c>
      <c r="CK493" s="100" t="str">
        <f aca="false">IF(ISBLANK($C493),"",AND($AJ493,$AX493=""))</f>
        <v/>
      </c>
      <c r="CL493" s="100" t="str">
        <f aca="false">IF(ISBLANK($C493),"",AND($AJ493,$AY493=""))</f>
        <v/>
      </c>
      <c r="CM493" s="100" t="str">
        <f aca="false">IF(ISBLANK($C493),"",AND($AJ493,$AZ493=""))</f>
        <v/>
      </c>
      <c r="CN493" s="100" t="str">
        <f aca="false">IF(ISBLANK($C493),"",AND($AJ493,$BC493=""))</f>
        <v/>
      </c>
      <c r="CO493" s="100" t="str">
        <f aca="false">IF(ISBLANK($C493),"",AND($AJ493,$BF493=""))</f>
        <v/>
      </c>
      <c r="CP493" s="101"/>
      <c r="CQ493" s="102"/>
      <c r="CR493" s="103" t="str">
        <f aca="false">IF(ISBLANK($C493),"",IF($BH493=Constants!$B$8,$CI493,""))</f>
        <v/>
      </c>
      <c r="CS493" s="102" t="str">
        <f aca="false">IF(ISBLANK($C493),"",IF($BH493&lt;&gt;Constants!$B$4,"",$BK493+$BL493))</f>
        <v/>
      </c>
      <c r="CT493" s="104" t="str">
        <f aca="false">IF(ISBLANK($C493),"",IF($BH493&lt;&gt;Constants!$B$4,"",$BM493+$BN493+$BO493))</f>
        <v/>
      </c>
      <c r="CU493" s="104" t="str">
        <f aca="false">IF(ISBLANK($C493),"",IF($BH493&lt;&gt;Constants!$B$4,"",$BP493))</f>
        <v/>
      </c>
      <c r="CV493" s="104" t="str">
        <f aca="false">IF(ISBLANK($C493),"",IF($BH493&lt;&gt;Constants!$B$4,"",$BQ493+$BR493))</f>
        <v/>
      </c>
      <c r="CW493" s="104" t="str">
        <f aca="false">IF(ISBLANK($C493),"",IF($BH493&lt;&gt;Constants!$B$4,"",$BS493))</f>
        <v/>
      </c>
      <c r="CX493" s="104" t="str">
        <f aca="false">IF(ISBLANK($C493),"",IF($BH493&lt;&gt;Constants!$B$4,"",-$BZ493))</f>
        <v/>
      </c>
      <c r="CY493" s="103" t="str">
        <f aca="false">IF(ISBLANK($C493),"",$CA493)</f>
        <v/>
      </c>
      <c r="CZ493" s="105" t="str">
        <f aca="false">IF(ISBLANK($C493),"",$BI493)</f>
        <v/>
      </c>
      <c r="DA493" s="104" t="str">
        <f aca="false">IF(ISBLANK($C493),"",$CH493)</f>
        <v/>
      </c>
      <c r="DB493" s="104" t="str">
        <f aca="false">IF(ISBLANK($C493),"",$CG493)</f>
        <v/>
      </c>
      <c r="DC493" s="106" t="str">
        <f aca="false">IF(ISBLANK($C493),"",IFERROR(_xlfn.SWITCH($DB493,Constants!$B$7,COUNTA($C$9:$C$508)+2,Constants!$B$6,COUNTA($C$9:$C$508)+1,Constants!$B$5,COUNTA($C$9:$C$508)),$DB493))</f>
        <v/>
      </c>
      <c r="DD493" s="7"/>
      <c r="DE493" s="107" t="n">
        <f aca="false">IF(OR(ISNUMBER($DB493),$DB493=Constants!$B$7,$DB493=Constants!$B$5,$DB493=Constants!$B$6),1,0)</f>
        <v>0</v>
      </c>
      <c r="DF493" s="107" t="n">
        <v>485</v>
      </c>
      <c r="DG493" s="107" t="str">
        <f aca="false">IF(ISBLANK($C493),"",IF(ISNUMBER($DC493),$DC493+ROW($B493)/1000,""))</f>
        <v/>
      </c>
      <c r="DH493" s="107" t="str">
        <f aca="false">IF(ISNUMBER($DG493),RANK($DG493,$DG$9:$DG$508,1),"")</f>
        <v/>
      </c>
      <c r="DI493" s="107" t="str">
        <f aca="false">IF(ISBLANK($C493),"",$B493)</f>
        <v/>
      </c>
      <c r="DJ493" s="107" t="str">
        <f aca="false">IF(ISBLANK($C493),"",$C493)</f>
        <v/>
      </c>
      <c r="DK493" s="107" t="str">
        <f aca="false">IF(ISBLANK($C493),"",$D493)</f>
        <v/>
      </c>
      <c r="DL493" s="108" t="str">
        <f aca="false">$CZ493</f>
        <v/>
      </c>
      <c r="DM493" s="109" t="str">
        <f aca="false">$CY493</f>
        <v/>
      </c>
      <c r="DN493" s="107" t="str">
        <f aca="false">IF(ISBLANK($C493),"",$DB493)</f>
        <v/>
      </c>
      <c r="DO493" s="110" t="str">
        <f aca="false">IF($DF493&gt;$DE$8,"",VLOOKUP($DF493,$DH$9:$DN$508,7,FALSE()))</f>
        <v/>
      </c>
      <c r="DP493" s="111" t="str">
        <f aca="false">IF($DF493&gt;$DE$8,"",VLOOKUP($DF493,$DH$9:$DN$508,2,FALSE()))</f>
        <v/>
      </c>
      <c r="DQ493" s="111" t="str">
        <f aca="false">IF($DF493&gt;$DE$8,"",VLOOKUP($DF493,$DH$9:$DN$508,3,FALSE()))</f>
        <v/>
      </c>
      <c r="DR493" s="111" t="str">
        <f aca="false">IF($DF493&gt;$DE$8,"",VLOOKUP($DF493,$DH$9:$DN$508,4,FALSE()))</f>
        <v/>
      </c>
      <c r="DS493" s="111" t="str">
        <f aca="false">IF($DF493&gt;$DE$8,"",VLOOKUP($DF493,$DH$9:$DN$508,5,FALSE()))</f>
        <v/>
      </c>
      <c r="DT493" s="112" t="str">
        <f aca="false">IF($DF493&gt;$DE$8,"",VLOOKUP($DF493,$DH$9:$DN$508,6,FALSE()))</f>
        <v/>
      </c>
      <c r="DU493" s="62"/>
    </row>
    <row r="494" customFormat="false" ht="15.75" hidden="false" customHeight="false" outlineLevel="0" collapsed="false">
      <c r="A494" s="7"/>
      <c r="B494" s="90"/>
      <c r="C494" s="91"/>
      <c r="D494" s="126"/>
      <c r="E494" s="130"/>
      <c r="F494" s="135"/>
      <c r="G494" s="130"/>
      <c r="H494" s="135"/>
      <c r="I494" s="131"/>
      <c r="J494" s="131"/>
      <c r="K494" s="131"/>
      <c r="L494" s="130"/>
      <c r="M494" s="130"/>
      <c r="N494" s="130"/>
      <c r="O494" s="135"/>
      <c r="P494" s="130"/>
      <c r="Q494" s="130"/>
      <c r="R494" s="130"/>
      <c r="S494" s="130"/>
      <c r="T494" s="135"/>
      <c r="U494" s="130"/>
      <c r="V494" s="96"/>
      <c r="W494" s="130"/>
      <c r="X494" s="130"/>
      <c r="Y494" s="96"/>
      <c r="Z494" s="96"/>
      <c r="AA494" s="130"/>
      <c r="AB494" s="130"/>
      <c r="AC494" s="97"/>
      <c r="AD494" s="130"/>
      <c r="AE494" s="99"/>
      <c r="AF494" s="100"/>
      <c r="AG494" s="100"/>
      <c r="AH494" s="100" t="str">
        <f aca="false">IF(ISBLANK($C494),"",IF($E494=Constants!$B$2,TRUE(),IF($E494=Constants!$B$3,FALSE(),TRUE())))</f>
        <v/>
      </c>
      <c r="AI494" s="100" t="str">
        <f aca="false">IF(ISBLANK($C494),"",IF($F494=Constants!$B$2,TRUE(),IF($F494=Constants!$B$3,FALSE(),FALSE())))</f>
        <v/>
      </c>
      <c r="AJ494" s="100" t="str">
        <f aca="false">IF(ISBLANK($C494),"",IF($G494=Constants!$B$2,TRUE(),IF($G494=Constants!$B$3,FALSE(),TRUE())))</f>
        <v/>
      </c>
      <c r="AK494" s="100" t="str">
        <f aca="false">IF(ISBLANK($C494),"",IF($H494=Constants!$B$2,TRUE(),IF($H494=Constants!$B$3,FALSE(),TRUE())))</f>
        <v/>
      </c>
      <c r="AL494" s="100" t="str">
        <f aca="false">IF(ISBLANK($C494),"",IF(ISNUMBER($I494),IF($I494&gt;=0,$I494,""),""))</f>
        <v/>
      </c>
      <c r="AM494" s="100" t="str">
        <f aca="false">IF(ISBLANK($C494),"",IF(ISNUMBER($J494),IF($J494&gt;=0,$J494,""),""))</f>
        <v/>
      </c>
      <c r="AN494" s="100" t="str">
        <f aca="false">IF(ISBLANK($C494),"",IF(ISNUMBER($K494),IF($K494&gt;=0,$K494,""),""))</f>
        <v/>
      </c>
      <c r="AO494" s="100" t="str">
        <f aca="false">IF(ISBLANK($C494),"",IF($L494=Constants!$B$2,TRUE(),IF($L494=Constants!$B$3,FALSE(),TRUE())))</f>
        <v/>
      </c>
      <c r="AP494" s="100" t="str">
        <f aca="false">IF(ISBLANK($C494),"",IF($M494=Constants!$B$2,TRUE(),IF($M494=Constants!$B$3,FALSE(),TRUE())))</f>
        <v/>
      </c>
      <c r="AQ494" s="100" t="str">
        <f aca="false">IF(ISBLANK($C494),"",IF($N494=Constants!$B$2,TRUE(),IF($N494=Constants!$B$3,FALSE(),FALSE())))</f>
        <v/>
      </c>
      <c r="AR494" s="100" t="str">
        <f aca="false">IF(ISBLANK($C494),"",IF($O494=Constants!$B$2,TRUE(),IF($O494=Constants!$B$3,FALSE(),TRUE())))</f>
        <v/>
      </c>
      <c r="AS494" s="100" t="str">
        <f aca="false">IF(ISBLANK($C494),"",IF($P494=Constants!$B$2,TRUE(),IF($P494=Constants!$B$3,FALSE(),FALSE())))</f>
        <v/>
      </c>
      <c r="AT494" s="100" t="str">
        <f aca="false">IF(ISBLANK($C494),"",IF($Q494=Constants!$B$2,TRUE(),IF($Q494=Constants!$B$3,FALSE(),FALSE())))</f>
        <v/>
      </c>
      <c r="AU494" s="100" t="str">
        <f aca="false">IF(ISBLANK($C494),"",IF($R494=Constants!$B$2,TRUE(),IF($R494=Constants!$B$3,FALSE(),FALSE())))</f>
        <v/>
      </c>
      <c r="AV494" s="100" t="str">
        <f aca="false">IF(ISBLANK($C494),"",IF($S494=Constants!$B$2,TRUE(),IF($S494=Constants!$B$3,FALSE(),FALSE())))</f>
        <v/>
      </c>
      <c r="AW494" s="100" t="str">
        <f aca="false">IF(ISBLANK($C494),"",IF($T494=Constants!$B$2,TRUE(),IF($T494=Constants!$B$3,FALSE(),FALSE())))</f>
        <v/>
      </c>
      <c r="AX494" s="100" t="str">
        <f aca="false">IF(ISBLANK($C494),"",IF(OR($U494&amp;""="1",$U494&amp;""="2",$U494&amp;""="3",$U494&amp;""="4"),VALUE($U494&amp;""),IF($U494=Constants!$B$12,Constants!$B$12,"")))</f>
        <v/>
      </c>
      <c r="AY494" s="100" t="str">
        <f aca="false">IF(ISBLANK($C494),"",IF(ISBLANK($V494),0,IF(ISNUMBER($V494),IF(AND($V494&gt;=0,$V494&lt;=Constants!$B$21,$V494=INT($V494)),$V494,""),"")))</f>
        <v/>
      </c>
      <c r="AZ494" s="100" t="str">
        <f aca="false">IF(ISBLANK($C494),"",IF(ISBLANK($W494),0,IF(ISNUMBER($W494),IF($W494&gt;=0,$W494,""),"")))</f>
        <v/>
      </c>
      <c r="BA494" s="100" t="str">
        <f aca="false">IF(ISBLANK($C494),"",IF($X494=Constants!$B$2,TRUE(),IF($X494=Constants!$B$3,FALSE(),TRUE())))</f>
        <v/>
      </c>
      <c r="BB494" s="100" t="str">
        <f aca="false">IF(ISBLANK($C494),"",IF($Y494=Constants!$B$2,TRUE(),IF($Y494=Constants!$B$3,FALSE(),FALSE())))</f>
        <v/>
      </c>
      <c r="BC494" s="100" t="str">
        <f aca="false">IF(ISBLANK($C494),"",IF(ISBLANK($Z494),0,IF(ISNUMBER($Z494),IF(AND($Z494&gt;=0,$Z494&lt;=Constants!$B$35,$Z494=INT($Z494)),$Z494,""),"")))</f>
        <v/>
      </c>
      <c r="BD494" s="100" t="str">
        <f aca="false">IF(ISBLANK($C494),"",IF($AA494=Constants!$B$2,TRUE(),IF($AA494=Constants!$B$3,FALSE(),TRUE())))</f>
        <v/>
      </c>
      <c r="BE494" s="100" t="str">
        <f aca="false">IF(ISBLANK($C494),"",IF($AB494=Constants!$B$2,TRUE(),IF($AB494=Constants!$B$3,FALSE(),TRUE())))</f>
        <v/>
      </c>
      <c r="BF494" s="100" t="str">
        <f aca="false">IF(ISBLANK($C494),"",IF(ISNUMBER($AC494),IF($AC494&gt;=0,$AC494,""),""))</f>
        <v/>
      </c>
      <c r="BG494" s="100" t="str">
        <f aca="false">IF(ISBLANK($C494),"",IF($AD494=Constants!$B$2,TRUE(),IF($AD494=Constants!$B$3,FALSE(),FALSE())))</f>
        <v/>
      </c>
      <c r="BH494" s="99" t="str">
        <f aca="false">IF(ISBLANK($C494),"",IF($BG494,Constants!$B$7,IF(COUNTA($E494:$AC494)=0,Constants!$B$6,IF(OR(COUNTA($G494:$AC494)=0,NOT($AK494),$AQ494),Constants!$B$5,IF(OR($CI494&lt;&gt;"",$CJ494,$CK494,$CL494,$CM494,$CN494,$CO494),Constants!$B$8,Constants!$B$4)))))</f>
        <v/>
      </c>
      <c r="BI494" s="100" t="str">
        <f aca="false">IF(ISBLANK($C494),"",IF($BH494&lt;&gt;Constants!$B$4,$BH494,IF(OR(NOT($AH494),NOT($AJ494),NOT($AR494)),Constants!$B$11,IF(OR(NOT($AP494),MAX($AL494,$AM494,$AN494)&gt;Constants!$B$30),Constants!$B$10,Constants!$B$9))))</f>
        <v/>
      </c>
      <c r="BJ494" s="100" t="str">
        <f aca="false">IF($BH494&lt;&gt;Constants!$B$4,"",IF(NOT($AJ494),0,MIN(Constants!$B$35,$BC494)))</f>
        <v/>
      </c>
      <c r="BK494" s="100" t="str">
        <f aca="false">IF($BH494&lt;&gt;Constants!$B$4,"",IF(NOT($AJ494),0,IF($AT494,Constants!$B$18,IF($AS494,Constants!$B$17,0))))</f>
        <v/>
      </c>
      <c r="BL494" s="100" t="str">
        <f aca="false">IF($BH494&lt;&gt;Constants!$B$4,"",IF(NOT($AJ494),0,Constants!$B$19*($AI494+$AU494+$AV494+$AW494)))</f>
        <v/>
      </c>
      <c r="BM494" s="100" t="str">
        <f aca="false">IF($BH494&lt;&gt;Constants!$B$4,"",IF(OR(NOT($AJ494),NOT(ISNUMBER($AX494))),0,CHOOSE($AX494,Constants!$B$13,Constants!$B$14,Constants!$B$15,Constants!$B$16)))</f>
        <v/>
      </c>
      <c r="BN494" s="100" t="str">
        <f aca="false">IF($BH494&lt;&gt;Constants!$B$4,"",IF(NOT($AJ494),0,Constants!$B$20*$AY494))</f>
        <v/>
      </c>
      <c r="BO494" s="100" t="str">
        <f aca="false">IF($BH494&lt;&gt;Constants!$B$4,"",IF(AND($AJ494,$BA494,$BB494),Constants!$B$22,0))</f>
        <v/>
      </c>
      <c r="BP494" s="100" t="str">
        <f aca="false">IF($BH494&lt;&gt;Constants!$B$4,"",IF(OR(NOT($AJ494),NOT($BA494)),0,IF($BF494&gt;=2*$AF$9,0,Constants!$B$23*INT(ROUND(MIN($BF494,$AF$9),6)))))</f>
        <v/>
      </c>
      <c r="BQ494" s="100" t="str">
        <f aca="false">IF($BH494&lt;&gt;Constants!$B$4,"",IF(NOT($AJ494),0,Constants!$B$24*INT(ROUND(MIN($AZ494,$AF$9),6))))</f>
        <v/>
      </c>
      <c r="BR494" s="100" t="str">
        <f aca="false">IF($BH494&lt;&gt;Constants!$B$4,"",IF(AND($AJ494,$BJ494=0),Constants!$B$25,0))</f>
        <v/>
      </c>
      <c r="BS494" s="100" t="str">
        <f aca="false">IF($BH494&lt;&gt;Constants!$B$4,"",MIN(Constants!$B$29,MAX(0,Constants!$B$27*Constants!$B$28*INT(ROUND((Constants!$B$26-$AL494)/Constants!$B$28,6))))+MIN(Constants!$B$29,MAX(0,Constants!$B$27*Constants!$B$28*INT(ROUND((Constants!$B$26-$AM494)/Constants!$B$28,6))))+MIN(Constants!$B$29,MAX(0,Constants!$B$27*Constants!$B$28*INT(ROUND((Constants!$B$26-$AN494)/Constants!$B$28,6)))))</f>
        <v/>
      </c>
      <c r="BT494" s="100" t="str">
        <f aca="false">IF($BH494&lt;&gt;Constants!$B$4,"",IF(NOT($AJ494),0,Constants!$B$31*INT(ROUND(MAX(0,MIN($BF494,2*$AF$9)-$AF$9),6))))</f>
        <v/>
      </c>
      <c r="BU494" s="100" t="str">
        <f aca="false">IF($BH494&lt;&gt;Constants!$B$4,"",Constants!$B$32*(($AL494&gt;Constants!$B$26)+($AM494&gt;Constants!$B$26)+($AN494&gt;Constants!$B$26)))</f>
        <v/>
      </c>
      <c r="BV494" s="100" t="str">
        <f aca="false">IF($BH494&lt;&gt;Constants!$B$4,"",IF(OR(NOT($AJ494),$AO494),0,Constants!$B$33))</f>
        <v/>
      </c>
      <c r="BW494" s="100" t="str">
        <f aca="false">IF($BH494&lt;&gt;Constants!$B$4,"",Constants!$B$34*$BJ494)</f>
        <v/>
      </c>
      <c r="BX494" s="100" t="str">
        <f aca="false">IF($BH494&lt;&gt;Constants!$B$4,"",IF(OR(NOT($AJ494),$BE494),0,Constants!$B$36))</f>
        <v/>
      </c>
      <c r="BY494" s="100" t="str">
        <f aca="false">IF($BH494&lt;&gt;Constants!$B$4,"",IF(OR(NOT($AJ494),$BD494),0,Constants!$B$37))</f>
        <v/>
      </c>
      <c r="BZ494" s="100" t="str">
        <f aca="false">IF($BH494&lt;&gt;Constants!$B$4,"",SUM($BT494:$BY494))</f>
        <v/>
      </c>
      <c r="CA494" s="100" t="str">
        <f aca="false">IF(ISBLANK($C494),"",IF($BH494&lt;&gt;Constants!$B$4,$BH494,SUM($BK494:$BS494)-$BZ494))</f>
        <v/>
      </c>
      <c r="CB494" s="100" t="str">
        <f aca="false">IF(ISBLANK($C494),"",IF($BH494&lt;&gt;Constants!$B$4,$BH494,RANK($CA494,$CA$9:$CA$508)))</f>
        <v/>
      </c>
      <c r="CC494" s="100" t="str">
        <f aca="false">IF(ISBLANK($C494),"",IF($BH494&lt;&gt;Constants!$B$4,$BH494,COUNTIFS($BI$9:$BI$508,"&lt;"&amp;$BI494)+COUNTIFS($BI$9:$BI$508,$BI494,$CB$9:$CB$508,"&lt;"&amp;$CB494)+1))</f>
        <v/>
      </c>
      <c r="CD494" s="100" t="str">
        <f aca="false">IF(ISBLANK($C494),"",IF($BH494&lt;&gt;Constants!$B$4,$BH494,RANK($BZ494,$BZ$9:$BZ$508,1)))</f>
        <v/>
      </c>
      <c r="CE494" s="100" t="str">
        <f aca="false">IF($BH494&lt;&gt;Constants!$B$4,"",$AL494+$AM494+$AN494)</f>
        <v/>
      </c>
      <c r="CF494" s="100" t="str">
        <f aca="false">IF(ISBLANK($C494),"",IF($BH494&lt;&gt;Constants!$B$4,$BH494,RANK($CE494,$CE$9:$CE$508,1)))</f>
        <v/>
      </c>
      <c r="CG494" s="100" t="str">
        <f aca="false">IF(ISBLANK($C494),"",IF($BH494&lt;&gt;Constants!$B$4,$BH494,COUNTIFS($BI$9:$BI$508,"&lt;"&amp;$BI494)+COUNTIFS($BI$9:$BI$508,$BI494,$CB$9:$CB$508,"&lt;"&amp;$CB494)+COUNTIFS($BI$9:$BI$508,$BI494,$CB$9:$CB$508,$CB494,$CD$9:$CD$508,"&lt;"&amp;$CD494)+COUNTIFS($BI$9:$BI$508,$BI494,$CB$9:$CB$508,$CB494,$CD$9:$CD$508,$CD494,$CF$9:$CF$508,"&lt;"&amp;$CF494)+1))</f>
        <v/>
      </c>
      <c r="CH494" s="100" t="str">
        <f aca="false">IF(ISBLANK($C494),"",IF($BH494&lt;&gt;Constants!$B$4,$BH494,$CC494-$CG494))</f>
        <v/>
      </c>
      <c r="CI494" s="100" t="str">
        <f aca="false">IF(ISBLANK($C494),"",IF(NOT($AJ494),"",IF(ISBLANK($D$7),$CI$5,IF(NOT(ISNUMBER($D$7)),$CI$6,""))))</f>
        <v/>
      </c>
      <c r="CJ494" s="100" t="str">
        <f aca="false">IF(ISBLANK($C494),"",OR($AL494="",$AM494="",$AN494=""))</f>
        <v/>
      </c>
      <c r="CK494" s="100" t="str">
        <f aca="false">IF(ISBLANK($C494),"",AND($AJ494,$AX494=""))</f>
        <v/>
      </c>
      <c r="CL494" s="100" t="str">
        <f aca="false">IF(ISBLANK($C494),"",AND($AJ494,$AY494=""))</f>
        <v/>
      </c>
      <c r="CM494" s="100" t="str">
        <f aca="false">IF(ISBLANK($C494),"",AND($AJ494,$AZ494=""))</f>
        <v/>
      </c>
      <c r="CN494" s="100" t="str">
        <f aca="false">IF(ISBLANK($C494),"",AND($AJ494,$BC494=""))</f>
        <v/>
      </c>
      <c r="CO494" s="100" t="str">
        <f aca="false">IF(ISBLANK($C494),"",AND($AJ494,$BF494=""))</f>
        <v/>
      </c>
      <c r="CP494" s="101"/>
      <c r="CQ494" s="102"/>
      <c r="CR494" s="103" t="str">
        <f aca="false">IF(ISBLANK($C494),"",IF($BH494=Constants!$B$8,$CI494,""))</f>
        <v/>
      </c>
      <c r="CS494" s="102" t="str">
        <f aca="false">IF(ISBLANK($C494),"",IF($BH494&lt;&gt;Constants!$B$4,"",$BK494+$BL494))</f>
        <v/>
      </c>
      <c r="CT494" s="104" t="str">
        <f aca="false">IF(ISBLANK($C494),"",IF($BH494&lt;&gt;Constants!$B$4,"",$BM494+$BN494+$BO494))</f>
        <v/>
      </c>
      <c r="CU494" s="104" t="str">
        <f aca="false">IF(ISBLANK($C494),"",IF($BH494&lt;&gt;Constants!$B$4,"",$BP494))</f>
        <v/>
      </c>
      <c r="CV494" s="104" t="str">
        <f aca="false">IF(ISBLANK($C494),"",IF($BH494&lt;&gt;Constants!$B$4,"",$BQ494+$BR494))</f>
        <v/>
      </c>
      <c r="CW494" s="104" t="str">
        <f aca="false">IF(ISBLANK($C494),"",IF($BH494&lt;&gt;Constants!$B$4,"",$BS494))</f>
        <v/>
      </c>
      <c r="CX494" s="104" t="str">
        <f aca="false">IF(ISBLANK($C494),"",IF($BH494&lt;&gt;Constants!$B$4,"",-$BZ494))</f>
        <v/>
      </c>
      <c r="CY494" s="103" t="str">
        <f aca="false">IF(ISBLANK($C494),"",$CA494)</f>
        <v/>
      </c>
      <c r="CZ494" s="105" t="str">
        <f aca="false">IF(ISBLANK($C494),"",$BI494)</f>
        <v/>
      </c>
      <c r="DA494" s="104" t="str">
        <f aca="false">IF(ISBLANK($C494),"",$CH494)</f>
        <v/>
      </c>
      <c r="DB494" s="104" t="str">
        <f aca="false">IF(ISBLANK($C494),"",$CG494)</f>
        <v/>
      </c>
      <c r="DC494" s="106" t="str">
        <f aca="false">IF(ISBLANK($C494),"",IFERROR(_xlfn.SWITCH($DB494,Constants!$B$7,COUNTA($C$9:$C$508)+2,Constants!$B$6,COUNTA($C$9:$C$508)+1,Constants!$B$5,COUNTA($C$9:$C$508)),$DB494))</f>
        <v/>
      </c>
      <c r="DD494" s="7"/>
      <c r="DE494" s="107" t="n">
        <f aca="false">IF(OR(ISNUMBER($DB494),$DB494=Constants!$B$7,$DB494=Constants!$B$5,$DB494=Constants!$B$6),1,0)</f>
        <v>0</v>
      </c>
      <c r="DF494" s="107" t="n">
        <v>486</v>
      </c>
      <c r="DG494" s="107" t="str">
        <f aca="false">IF(ISBLANK($C494),"",IF(ISNUMBER($DC494),$DC494+ROW($B494)/1000,""))</f>
        <v/>
      </c>
      <c r="DH494" s="107" t="str">
        <f aca="false">IF(ISNUMBER($DG494),RANK($DG494,$DG$9:$DG$508,1),"")</f>
        <v/>
      </c>
      <c r="DI494" s="107" t="str">
        <f aca="false">IF(ISBLANK($C494),"",$B494)</f>
        <v/>
      </c>
      <c r="DJ494" s="107" t="str">
        <f aca="false">IF(ISBLANK($C494),"",$C494)</f>
        <v/>
      </c>
      <c r="DK494" s="107" t="str">
        <f aca="false">IF(ISBLANK($C494),"",$D494)</f>
        <v/>
      </c>
      <c r="DL494" s="108" t="str">
        <f aca="false">$CZ494</f>
        <v/>
      </c>
      <c r="DM494" s="109" t="str">
        <f aca="false">$CY494</f>
        <v/>
      </c>
      <c r="DN494" s="107" t="str">
        <f aca="false">IF(ISBLANK($C494),"",$DB494)</f>
        <v/>
      </c>
      <c r="DO494" s="110" t="str">
        <f aca="false">IF($DF494&gt;$DE$8,"",VLOOKUP($DF494,$DH$9:$DN$508,7,FALSE()))</f>
        <v/>
      </c>
      <c r="DP494" s="111" t="str">
        <f aca="false">IF($DF494&gt;$DE$8,"",VLOOKUP($DF494,$DH$9:$DN$508,2,FALSE()))</f>
        <v/>
      </c>
      <c r="DQ494" s="111" t="str">
        <f aca="false">IF($DF494&gt;$DE$8,"",VLOOKUP($DF494,$DH$9:$DN$508,3,FALSE()))</f>
        <v/>
      </c>
      <c r="DR494" s="111" t="str">
        <f aca="false">IF($DF494&gt;$DE$8,"",VLOOKUP($DF494,$DH$9:$DN$508,4,FALSE()))</f>
        <v/>
      </c>
      <c r="DS494" s="111" t="str">
        <f aca="false">IF($DF494&gt;$DE$8,"",VLOOKUP($DF494,$DH$9:$DN$508,5,FALSE()))</f>
        <v/>
      </c>
      <c r="DT494" s="112" t="str">
        <f aca="false">IF($DF494&gt;$DE$8,"",VLOOKUP($DF494,$DH$9:$DN$508,6,FALSE()))</f>
        <v/>
      </c>
      <c r="DU494" s="62"/>
    </row>
    <row r="495" customFormat="false" ht="15.75" hidden="false" customHeight="false" outlineLevel="0" collapsed="false">
      <c r="A495" s="7"/>
      <c r="B495" s="64"/>
      <c r="C495" s="65"/>
      <c r="D495" s="123"/>
      <c r="E495" s="88"/>
      <c r="F495" s="134"/>
      <c r="G495" s="88"/>
      <c r="H495" s="134"/>
      <c r="I495" s="119"/>
      <c r="J495" s="119"/>
      <c r="K495" s="119"/>
      <c r="L495" s="88"/>
      <c r="M495" s="88"/>
      <c r="N495" s="88"/>
      <c r="O495" s="134"/>
      <c r="P495" s="88"/>
      <c r="Q495" s="88"/>
      <c r="R495" s="88"/>
      <c r="S495" s="88"/>
      <c r="T495" s="134"/>
      <c r="U495" s="88"/>
      <c r="V495" s="70"/>
      <c r="W495" s="88"/>
      <c r="X495" s="88"/>
      <c r="Y495" s="70"/>
      <c r="Z495" s="70"/>
      <c r="AA495" s="88"/>
      <c r="AB495" s="88"/>
      <c r="AC495" s="71"/>
      <c r="AD495" s="88"/>
      <c r="AE495" s="73"/>
      <c r="AF495" s="74"/>
      <c r="AG495" s="74"/>
      <c r="AH495" s="74" t="str">
        <f aca="false">IF(ISBLANK($C495),"",IF($E495=Constants!$B$2,TRUE(),IF($E495=Constants!$B$3,FALSE(),TRUE())))</f>
        <v/>
      </c>
      <c r="AI495" s="74" t="str">
        <f aca="false">IF(ISBLANK($C495),"",IF($F495=Constants!$B$2,TRUE(),IF($F495=Constants!$B$3,FALSE(),FALSE())))</f>
        <v/>
      </c>
      <c r="AJ495" s="74" t="str">
        <f aca="false">IF(ISBLANK($C495),"",IF($G495=Constants!$B$2,TRUE(),IF($G495=Constants!$B$3,FALSE(),TRUE())))</f>
        <v/>
      </c>
      <c r="AK495" s="74" t="str">
        <f aca="false">IF(ISBLANK($C495),"",IF($H495=Constants!$B$2,TRUE(),IF($H495=Constants!$B$3,FALSE(),TRUE())))</f>
        <v/>
      </c>
      <c r="AL495" s="74" t="str">
        <f aca="false">IF(ISBLANK($C495),"",IF(ISNUMBER($I495),IF($I495&gt;=0,$I495,""),""))</f>
        <v/>
      </c>
      <c r="AM495" s="74" t="str">
        <f aca="false">IF(ISBLANK($C495),"",IF(ISNUMBER($J495),IF($J495&gt;=0,$J495,""),""))</f>
        <v/>
      </c>
      <c r="AN495" s="74" t="str">
        <f aca="false">IF(ISBLANK($C495),"",IF(ISNUMBER($K495),IF($K495&gt;=0,$K495,""),""))</f>
        <v/>
      </c>
      <c r="AO495" s="74" t="str">
        <f aca="false">IF(ISBLANK($C495),"",IF($L495=Constants!$B$2,TRUE(),IF($L495=Constants!$B$3,FALSE(),TRUE())))</f>
        <v/>
      </c>
      <c r="AP495" s="74" t="str">
        <f aca="false">IF(ISBLANK($C495),"",IF($M495=Constants!$B$2,TRUE(),IF($M495=Constants!$B$3,FALSE(),TRUE())))</f>
        <v/>
      </c>
      <c r="AQ495" s="74" t="str">
        <f aca="false">IF(ISBLANK($C495),"",IF($N495=Constants!$B$2,TRUE(),IF($N495=Constants!$B$3,FALSE(),FALSE())))</f>
        <v/>
      </c>
      <c r="AR495" s="74" t="str">
        <f aca="false">IF(ISBLANK($C495),"",IF($O495=Constants!$B$2,TRUE(),IF($O495=Constants!$B$3,FALSE(),TRUE())))</f>
        <v/>
      </c>
      <c r="AS495" s="74" t="str">
        <f aca="false">IF(ISBLANK($C495),"",IF($P495=Constants!$B$2,TRUE(),IF($P495=Constants!$B$3,FALSE(),FALSE())))</f>
        <v/>
      </c>
      <c r="AT495" s="74" t="str">
        <f aca="false">IF(ISBLANK($C495),"",IF($Q495=Constants!$B$2,TRUE(),IF($Q495=Constants!$B$3,FALSE(),FALSE())))</f>
        <v/>
      </c>
      <c r="AU495" s="74" t="str">
        <f aca="false">IF(ISBLANK($C495),"",IF($R495=Constants!$B$2,TRUE(),IF($R495=Constants!$B$3,FALSE(),FALSE())))</f>
        <v/>
      </c>
      <c r="AV495" s="74" t="str">
        <f aca="false">IF(ISBLANK($C495),"",IF($S495=Constants!$B$2,TRUE(),IF($S495=Constants!$B$3,FALSE(),FALSE())))</f>
        <v/>
      </c>
      <c r="AW495" s="74" t="str">
        <f aca="false">IF(ISBLANK($C495),"",IF($T495=Constants!$B$2,TRUE(),IF($T495=Constants!$B$3,FALSE(),FALSE())))</f>
        <v/>
      </c>
      <c r="AX495" s="74" t="str">
        <f aca="false">IF(ISBLANK($C495),"",IF(OR($U495&amp;""="1",$U495&amp;""="2",$U495&amp;""="3",$U495&amp;""="4"),VALUE($U495&amp;""),IF($U495=Constants!$B$12,Constants!$B$12,"")))</f>
        <v/>
      </c>
      <c r="AY495" s="74" t="str">
        <f aca="false">IF(ISBLANK($C495),"",IF(ISBLANK($V495),0,IF(ISNUMBER($V495),IF(AND($V495&gt;=0,$V495&lt;=Constants!$B$21,$V495=INT($V495)),$V495,""),"")))</f>
        <v/>
      </c>
      <c r="AZ495" s="74" t="str">
        <f aca="false">IF(ISBLANK($C495),"",IF(ISBLANK($W495),0,IF(ISNUMBER($W495),IF($W495&gt;=0,$W495,""),"")))</f>
        <v/>
      </c>
      <c r="BA495" s="74" t="str">
        <f aca="false">IF(ISBLANK($C495),"",IF($X495=Constants!$B$2,TRUE(),IF($X495=Constants!$B$3,FALSE(),TRUE())))</f>
        <v/>
      </c>
      <c r="BB495" s="74" t="str">
        <f aca="false">IF(ISBLANK($C495),"",IF($Y495=Constants!$B$2,TRUE(),IF($Y495=Constants!$B$3,FALSE(),FALSE())))</f>
        <v/>
      </c>
      <c r="BC495" s="74" t="str">
        <f aca="false">IF(ISBLANK($C495),"",IF(ISBLANK($Z495),0,IF(ISNUMBER($Z495),IF(AND($Z495&gt;=0,$Z495&lt;=Constants!$B$35,$Z495=INT($Z495)),$Z495,""),"")))</f>
        <v/>
      </c>
      <c r="BD495" s="74" t="str">
        <f aca="false">IF(ISBLANK($C495),"",IF($AA495=Constants!$B$2,TRUE(),IF($AA495=Constants!$B$3,FALSE(),TRUE())))</f>
        <v/>
      </c>
      <c r="BE495" s="74" t="str">
        <f aca="false">IF(ISBLANK($C495),"",IF($AB495=Constants!$B$2,TRUE(),IF($AB495=Constants!$B$3,FALSE(),TRUE())))</f>
        <v/>
      </c>
      <c r="BF495" s="74" t="str">
        <f aca="false">IF(ISBLANK($C495),"",IF(ISNUMBER($AC495),IF($AC495&gt;=0,$AC495,""),""))</f>
        <v/>
      </c>
      <c r="BG495" s="74" t="str">
        <f aca="false">IF(ISBLANK($C495),"",IF($AD495=Constants!$B$2,TRUE(),IF($AD495=Constants!$B$3,FALSE(),FALSE())))</f>
        <v/>
      </c>
      <c r="BH495" s="73" t="str">
        <f aca="false">IF(ISBLANK($C495),"",IF($BG495,Constants!$B$7,IF(COUNTA($E495:$AC495)=0,Constants!$B$6,IF(OR(COUNTA($G495:$AC495)=0,NOT($AK495),$AQ495),Constants!$B$5,IF(OR($CI495&lt;&gt;"",$CJ495,$CK495,$CL495,$CM495,$CN495,$CO495),Constants!$B$8,Constants!$B$4)))))</f>
        <v/>
      </c>
      <c r="BI495" s="74" t="str">
        <f aca="false">IF(ISBLANK($C495),"",IF($BH495&lt;&gt;Constants!$B$4,$BH495,IF(OR(NOT($AH495),NOT($AJ495),NOT($AR495)),Constants!$B$11,IF(OR(NOT($AP495),MAX($AL495,$AM495,$AN495)&gt;Constants!$B$30),Constants!$B$10,Constants!$B$9))))</f>
        <v/>
      </c>
      <c r="BJ495" s="74" t="str">
        <f aca="false">IF($BH495&lt;&gt;Constants!$B$4,"",IF(NOT($AJ495),0,MIN(Constants!$B$35,$BC495)))</f>
        <v/>
      </c>
      <c r="BK495" s="74" t="str">
        <f aca="false">IF($BH495&lt;&gt;Constants!$B$4,"",IF(NOT($AJ495),0,IF($AT495,Constants!$B$18,IF($AS495,Constants!$B$17,0))))</f>
        <v/>
      </c>
      <c r="BL495" s="74" t="str">
        <f aca="false">IF($BH495&lt;&gt;Constants!$B$4,"",IF(NOT($AJ495),0,Constants!$B$19*($AI495+$AU495+$AV495+$AW495)))</f>
        <v/>
      </c>
      <c r="BM495" s="74" t="str">
        <f aca="false">IF($BH495&lt;&gt;Constants!$B$4,"",IF(OR(NOT($AJ495),NOT(ISNUMBER($AX495))),0,CHOOSE($AX495,Constants!$B$13,Constants!$B$14,Constants!$B$15,Constants!$B$16)))</f>
        <v/>
      </c>
      <c r="BN495" s="74" t="str">
        <f aca="false">IF($BH495&lt;&gt;Constants!$B$4,"",IF(NOT($AJ495),0,Constants!$B$20*$AY495))</f>
        <v/>
      </c>
      <c r="BO495" s="74" t="str">
        <f aca="false">IF($BH495&lt;&gt;Constants!$B$4,"",IF(AND($AJ495,$BA495,$BB495),Constants!$B$22,0))</f>
        <v/>
      </c>
      <c r="BP495" s="74" t="str">
        <f aca="false">IF($BH495&lt;&gt;Constants!$B$4,"",IF(OR(NOT($AJ495),NOT($BA495)),0,IF($BF495&gt;=2*$AF$9,0,Constants!$B$23*INT(ROUND(MIN($BF495,$AF$9),6)))))</f>
        <v/>
      </c>
      <c r="BQ495" s="74" t="str">
        <f aca="false">IF($BH495&lt;&gt;Constants!$B$4,"",IF(NOT($AJ495),0,Constants!$B$24*INT(ROUND(MIN($AZ495,$AF$9),6))))</f>
        <v/>
      </c>
      <c r="BR495" s="74" t="str">
        <f aca="false">IF($BH495&lt;&gt;Constants!$B$4,"",IF(AND($AJ495,$BJ495=0),Constants!$B$25,0))</f>
        <v/>
      </c>
      <c r="BS495" s="74" t="str">
        <f aca="false">IF($BH495&lt;&gt;Constants!$B$4,"",MIN(Constants!$B$29,MAX(0,Constants!$B$27*Constants!$B$28*INT(ROUND((Constants!$B$26-$AL495)/Constants!$B$28,6))))+MIN(Constants!$B$29,MAX(0,Constants!$B$27*Constants!$B$28*INT(ROUND((Constants!$B$26-$AM495)/Constants!$B$28,6))))+MIN(Constants!$B$29,MAX(0,Constants!$B$27*Constants!$B$28*INT(ROUND((Constants!$B$26-$AN495)/Constants!$B$28,6)))))</f>
        <v/>
      </c>
      <c r="BT495" s="74" t="str">
        <f aca="false">IF($BH495&lt;&gt;Constants!$B$4,"",IF(NOT($AJ495),0,Constants!$B$31*INT(ROUND(MAX(0,MIN($BF495,2*$AF$9)-$AF$9),6))))</f>
        <v/>
      </c>
      <c r="BU495" s="74" t="str">
        <f aca="false">IF($BH495&lt;&gt;Constants!$B$4,"",Constants!$B$32*(($AL495&gt;Constants!$B$26)+($AM495&gt;Constants!$B$26)+($AN495&gt;Constants!$B$26)))</f>
        <v/>
      </c>
      <c r="BV495" s="74" t="str">
        <f aca="false">IF($BH495&lt;&gt;Constants!$B$4,"",IF(OR(NOT($AJ495),$AO495),0,Constants!$B$33))</f>
        <v/>
      </c>
      <c r="BW495" s="74" t="str">
        <f aca="false">IF($BH495&lt;&gt;Constants!$B$4,"",Constants!$B$34*$BJ495)</f>
        <v/>
      </c>
      <c r="BX495" s="74" t="str">
        <f aca="false">IF($BH495&lt;&gt;Constants!$B$4,"",IF(OR(NOT($AJ495),$BE495),0,Constants!$B$36))</f>
        <v/>
      </c>
      <c r="BY495" s="74" t="str">
        <f aca="false">IF($BH495&lt;&gt;Constants!$B$4,"",IF(OR(NOT($AJ495),$BD495),0,Constants!$B$37))</f>
        <v/>
      </c>
      <c r="BZ495" s="74" t="str">
        <f aca="false">IF($BH495&lt;&gt;Constants!$B$4,"",SUM($BT495:$BY495))</f>
        <v/>
      </c>
      <c r="CA495" s="74" t="str">
        <f aca="false">IF(ISBLANK($C495),"",IF($BH495&lt;&gt;Constants!$B$4,$BH495,SUM($BK495:$BS495)-$BZ495))</f>
        <v/>
      </c>
      <c r="CB495" s="74" t="str">
        <f aca="false">IF(ISBLANK($C495),"",IF($BH495&lt;&gt;Constants!$B$4,$BH495,RANK($CA495,$CA$9:$CA$508)))</f>
        <v/>
      </c>
      <c r="CC495" s="74" t="str">
        <f aca="false">IF(ISBLANK($C495),"",IF($BH495&lt;&gt;Constants!$B$4,$BH495,COUNTIFS($BI$9:$BI$508,"&lt;"&amp;$BI495)+COUNTIFS($BI$9:$BI$508,$BI495,$CB$9:$CB$508,"&lt;"&amp;$CB495)+1))</f>
        <v/>
      </c>
      <c r="CD495" s="74" t="str">
        <f aca="false">IF(ISBLANK($C495),"",IF($BH495&lt;&gt;Constants!$B$4,$BH495,RANK($BZ495,$BZ$9:$BZ$508,1)))</f>
        <v/>
      </c>
      <c r="CE495" s="74" t="str">
        <f aca="false">IF($BH495&lt;&gt;Constants!$B$4,"",$AL495+$AM495+$AN495)</f>
        <v/>
      </c>
      <c r="CF495" s="74" t="str">
        <f aca="false">IF(ISBLANK($C495),"",IF($BH495&lt;&gt;Constants!$B$4,$BH495,RANK($CE495,$CE$9:$CE$508,1)))</f>
        <v/>
      </c>
      <c r="CG495" s="74" t="str">
        <f aca="false">IF(ISBLANK($C495),"",IF($BH495&lt;&gt;Constants!$B$4,$BH495,COUNTIFS($BI$9:$BI$508,"&lt;"&amp;$BI495)+COUNTIFS($BI$9:$BI$508,$BI495,$CB$9:$CB$508,"&lt;"&amp;$CB495)+COUNTIFS($BI$9:$BI$508,$BI495,$CB$9:$CB$508,$CB495,$CD$9:$CD$508,"&lt;"&amp;$CD495)+COUNTIFS($BI$9:$BI$508,$BI495,$CB$9:$CB$508,$CB495,$CD$9:$CD$508,$CD495,$CF$9:$CF$508,"&lt;"&amp;$CF495)+1))</f>
        <v/>
      </c>
      <c r="CH495" s="74" t="str">
        <f aca="false">IF(ISBLANK($C495),"",IF($BH495&lt;&gt;Constants!$B$4,$BH495,$CC495-$CG495))</f>
        <v/>
      </c>
      <c r="CI495" s="74" t="str">
        <f aca="false">IF(ISBLANK($C495),"",IF(NOT($AJ495),"",IF(ISBLANK($D$7),$CI$5,IF(NOT(ISNUMBER($D$7)),$CI$6,""))))</f>
        <v/>
      </c>
      <c r="CJ495" s="74" t="str">
        <f aca="false">IF(ISBLANK($C495),"",OR($AL495="",$AM495="",$AN495=""))</f>
        <v/>
      </c>
      <c r="CK495" s="74" t="str">
        <f aca="false">IF(ISBLANK($C495),"",AND($AJ495,$AX495=""))</f>
        <v/>
      </c>
      <c r="CL495" s="74" t="str">
        <f aca="false">IF(ISBLANK($C495),"",AND($AJ495,$AY495=""))</f>
        <v/>
      </c>
      <c r="CM495" s="74" t="str">
        <f aca="false">IF(ISBLANK($C495),"",AND($AJ495,$AZ495=""))</f>
        <v/>
      </c>
      <c r="CN495" s="74" t="str">
        <f aca="false">IF(ISBLANK($C495),"",AND($AJ495,$BC495=""))</f>
        <v/>
      </c>
      <c r="CO495" s="74" t="str">
        <f aca="false">IF(ISBLANK($C495),"",AND($AJ495,$BF495=""))</f>
        <v/>
      </c>
      <c r="CP495" s="75"/>
      <c r="CQ495" s="76"/>
      <c r="CR495" s="79" t="str">
        <f aca="false">IF(ISBLANK($C495),"",IF($BH495=Constants!$B$8,$CI495,""))</f>
        <v/>
      </c>
      <c r="CS495" s="76" t="str">
        <f aca="false">IF(ISBLANK($C495),"",IF($BH495&lt;&gt;Constants!$B$4,"",$BK495+$BL495))</f>
        <v/>
      </c>
      <c r="CT495" s="78" t="str">
        <f aca="false">IF(ISBLANK($C495),"",IF($BH495&lt;&gt;Constants!$B$4,"",$BM495+$BN495+$BO495))</f>
        <v/>
      </c>
      <c r="CU495" s="78" t="str">
        <f aca="false">IF(ISBLANK($C495),"",IF($BH495&lt;&gt;Constants!$B$4,"",$BP495))</f>
        <v/>
      </c>
      <c r="CV495" s="78" t="str">
        <f aca="false">IF(ISBLANK($C495),"",IF($BH495&lt;&gt;Constants!$B$4,"",$BQ495+$BR495))</f>
        <v/>
      </c>
      <c r="CW495" s="78" t="str">
        <f aca="false">IF(ISBLANK($C495),"",IF($BH495&lt;&gt;Constants!$B$4,"",$BS495))</f>
        <v/>
      </c>
      <c r="CX495" s="78" t="str">
        <f aca="false">IF(ISBLANK($C495),"",IF($BH495&lt;&gt;Constants!$B$4,"",-$BZ495))</f>
        <v/>
      </c>
      <c r="CY495" s="79" t="str">
        <f aca="false">IF(ISBLANK($C495),"",$CA495)</f>
        <v/>
      </c>
      <c r="CZ495" s="80" t="str">
        <f aca="false">IF(ISBLANK($C495),"",$BI495)</f>
        <v/>
      </c>
      <c r="DA495" s="78" t="str">
        <f aca="false">IF(ISBLANK($C495),"",$CH495)</f>
        <v/>
      </c>
      <c r="DB495" s="78" t="str">
        <f aca="false">IF(ISBLANK($C495),"",$CG495)</f>
        <v/>
      </c>
      <c r="DC495" s="81" t="str">
        <f aca="false">IF(ISBLANK($C495),"",IFERROR(_xlfn.SWITCH($DB495,Constants!$B$7,COUNTA($C$9:$C$508)+2,Constants!$B$6,COUNTA($C$9:$C$508)+1,Constants!$B$5,COUNTA($C$9:$C$508)),$DB495))</f>
        <v/>
      </c>
      <c r="DD495" s="7"/>
      <c r="DE495" s="82" t="n">
        <f aca="false">IF(OR(ISNUMBER($DB495),$DB495=Constants!$B$7,$DB495=Constants!$B$5,$DB495=Constants!$B$6),1,0)</f>
        <v>0</v>
      </c>
      <c r="DF495" s="82" t="n">
        <v>487</v>
      </c>
      <c r="DG495" s="82" t="str">
        <f aca="false">IF(ISBLANK($C495),"",IF(ISNUMBER($DC495),$DC495+ROW($B495)/1000,""))</f>
        <v/>
      </c>
      <c r="DH495" s="82" t="str">
        <f aca="false">IF(ISNUMBER($DG495),RANK($DG495,$DG$9:$DG$508,1),"")</f>
        <v/>
      </c>
      <c r="DI495" s="82" t="str">
        <f aca="false">IF(ISBLANK($C495),"",$B495)</f>
        <v/>
      </c>
      <c r="DJ495" s="82" t="str">
        <f aca="false">IF(ISBLANK($C495),"",$C495)</f>
        <v/>
      </c>
      <c r="DK495" s="82" t="str">
        <f aca="false">IF(ISBLANK($C495),"",$D495)</f>
        <v/>
      </c>
      <c r="DL495" s="83" t="str">
        <f aca="false">$CZ495</f>
        <v/>
      </c>
      <c r="DM495" s="84" t="str">
        <f aca="false">$CY495</f>
        <v/>
      </c>
      <c r="DN495" s="82" t="str">
        <f aca="false">IF(ISBLANK($C495),"",$DB495)</f>
        <v/>
      </c>
      <c r="DO495" s="85" t="str">
        <f aca="false">IF($DF495&gt;$DE$8,"",VLOOKUP($DF495,$DH$9:$DN$508,7,FALSE()))</f>
        <v/>
      </c>
      <c r="DP495" s="86" t="str">
        <f aca="false">IF($DF495&gt;$DE$8,"",VLOOKUP($DF495,$DH$9:$DN$508,2,FALSE()))</f>
        <v/>
      </c>
      <c r="DQ495" s="86" t="str">
        <f aca="false">IF($DF495&gt;$DE$8,"",VLOOKUP($DF495,$DH$9:$DN$508,3,FALSE()))</f>
        <v/>
      </c>
      <c r="DR495" s="86" t="str">
        <f aca="false">IF($DF495&gt;$DE$8,"",VLOOKUP($DF495,$DH$9:$DN$508,4,FALSE()))</f>
        <v/>
      </c>
      <c r="DS495" s="86" t="str">
        <f aca="false">IF($DF495&gt;$DE$8,"",VLOOKUP($DF495,$DH$9:$DN$508,5,FALSE()))</f>
        <v/>
      </c>
      <c r="DT495" s="87" t="str">
        <f aca="false">IF($DF495&gt;$DE$8,"",VLOOKUP($DF495,$DH$9:$DN$508,6,FALSE()))</f>
        <v/>
      </c>
      <c r="DU495" s="62"/>
    </row>
    <row r="496" customFormat="false" ht="15.75" hidden="false" customHeight="false" outlineLevel="0" collapsed="false">
      <c r="A496" s="7"/>
      <c r="B496" s="64"/>
      <c r="C496" s="65"/>
      <c r="D496" s="123"/>
      <c r="E496" s="88"/>
      <c r="F496" s="134"/>
      <c r="G496" s="88"/>
      <c r="H496" s="134"/>
      <c r="I496" s="119"/>
      <c r="J496" s="119"/>
      <c r="K496" s="119"/>
      <c r="L496" s="88"/>
      <c r="M496" s="88"/>
      <c r="N496" s="88"/>
      <c r="O496" s="134"/>
      <c r="P496" s="88"/>
      <c r="Q496" s="88"/>
      <c r="R496" s="88"/>
      <c r="S496" s="88"/>
      <c r="T496" s="134"/>
      <c r="U496" s="88"/>
      <c r="V496" s="70"/>
      <c r="W496" s="88"/>
      <c r="X496" s="88"/>
      <c r="Y496" s="70"/>
      <c r="Z496" s="70"/>
      <c r="AA496" s="88"/>
      <c r="AB496" s="88"/>
      <c r="AC496" s="71"/>
      <c r="AD496" s="88"/>
      <c r="AE496" s="73"/>
      <c r="AF496" s="74"/>
      <c r="AG496" s="74"/>
      <c r="AH496" s="74" t="str">
        <f aca="false">IF(ISBLANK($C496),"",IF($E496=Constants!$B$2,TRUE(),IF($E496=Constants!$B$3,FALSE(),TRUE())))</f>
        <v/>
      </c>
      <c r="AI496" s="74" t="str">
        <f aca="false">IF(ISBLANK($C496),"",IF($F496=Constants!$B$2,TRUE(),IF($F496=Constants!$B$3,FALSE(),FALSE())))</f>
        <v/>
      </c>
      <c r="AJ496" s="74" t="str">
        <f aca="false">IF(ISBLANK($C496),"",IF($G496=Constants!$B$2,TRUE(),IF($G496=Constants!$B$3,FALSE(),TRUE())))</f>
        <v/>
      </c>
      <c r="AK496" s="74" t="str">
        <f aca="false">IF(ISBLANK($C496),"",IF($H496=Constants!$B$2,TRUE(),IF($H496=Constants!$B$3,FALSE(),TRUE())))</f>
        <v/>
      </c>
      <c r="AL496" s="74" t="str">
        <f aca="false">IF(ISBLANK($C496),"",IF(ISNUMBER($I496),IF($I496&gt;=0,$I496,""),""))</f>
        <v/>
      </c>
      <c r="AM496" s="74" t="str">
        <f aca="false">IF(ISBLANK($C496),"",IF(ISNUMBER($J496),IF($J496&gt;=0,$J496,""),""))</f>
        <v/>
      </c>
      <c r="AN496" s="74" t="str">
        <f aca="false">IF(ISBLANK($C496),"",IF(ISNUMBER($K496),IF($K496&gt;=0,$K496,""),""))</f>
        <v/>
      </c>
      <c r="AO496" s="74" t="str">
        <f aca="false">IF(ISBLANK($C496),"",IF($L496=Constants!$B$2,TRUE(),IF($L496=Constants!$B$3,FALSE(),TRUE())))</f>
        <v/>
      </c>
      <c r="AP496" s="74" t="str">
        <f aca="false">IF(ISBLANK($C496),"",IF($M496=Constants!$B$2,TRUE(),IF($M496=Constants!$B$3,FALSE(),TRUE())))</f>
        <v/>
      </c>
      <c r="AQ496" s="74" t="str">
        <f aca="false">IF(ISBLANK($C496),"",IF($N496=Constants!$B$2,TRUE(),IF($N496=Constants!$B$3,FALSE(),FALSE())))</f>
        <v/>
      </c>
      <c r="AR496" s="74" t="str">
        <f aca="false">IF(ISBLANK($C496),"",IF($O496=Constants!$B$2,TRUE(),IF($O496=Constants!$B$3,FALSE(),TRUE())))</f>
        <v/>
      </c>
      <c r="AS496" s="74" t="str">
        <f aca="false">IF(ISBLANK($C496),"",IF($P496=Constants!$B$2,TRUE(),IF($P496=Constants!$B$3,FALSE(),FALSE())))</f>
        <v/>
      </c>
      <c r="AT496" s="74" t="str">
        <f aca="false">IF(ISBLANK($C496),"",IF($Q496=Constants!$B$2,TRUE(),IF($Q496=Constants!$B$3,FALSE(),FALSE())))</f>
        <v/>
      </c>
      <c r="AU496" s="74" t="str">
        <f aca="false">IF(ISBLANK($C496),"",IF($R496=Constants!$B$2,TRUE(),IF($R496=Constants!$B$3,FALSE(),FALSE())))</f>
        <v/>
      </c>
      <c r="AV496" s="74" t="str">
        <f aca="false">IF(ISBLANK($C496),"",IF($S496=Constants!$B$2,TRUE(),IF($S496=Constants!$B$3,FALSE(),FALSE())))</f>
        <v/>
      </c>
      <c r="AW496" s="74" t="str">
        <f aca="false">IF(ISBLANK($C496),"",IF($T496=Constants!$B$2,TRUE(),IF($T496=Constants!$B$3,FALSE(),FALSE())))</f>
        <v/>
      </c>
      <c r="AX496" s="74" t="str">
        <f aca="false">IF(ISBLANK($C496),"",IF(OR($U496&amp;""="1",$U496&amp;""="2",$U496&amp;""="3",$U496&amp;""="4"),VALUE($U496&amp;""),IF($U496=Constants!$B$12,Constants!$B$12,"")))</f>
        <v/>
      </c>
      <c r="AY496" s="74" t="str">
        <f aca="false">IF(ISBLANK($C496),"",IF(ISBLANK($V496),0,IF(ISNUMBER($V496),IF(AND($V496&gt;=0,$V496&lt;=Constants!$B$21,$V496=INT($V496)),$V496,""),"")))</f>
        <v/>
      </c>
      <c r="AZ496" s="74" t="str">
        <f aca="false">IF(ISBLANK($C496),"",IF(ISBLANK($W496),0,IF(ISNUMBER($W496),IF($W496&gt;=0,$W496,""),"")))</f>
        <v/>
      </c>
      <c r="BA496" s="74" t="str">
        <f aca="false">IF(ISBLANK($C496),"",IF($X496=Constants!$B$2,TRUE(),IF($X496=Constants!$B$3,FALSE(),TRUE())))</f>
        <v/>
      </c>
      <c r="BB496" s="74" t="str">
        <f aca="false">IF(ISBLANK($C496),"",IF($Y496=Constants!$B$2,TRUE(),IF($Y496=Constants!$B$3,FALSE(),FALSE())))</f>
        <v/>
      </c>
      <c r="BC496" s="74" t="str">
        <f aca="false">IF(ISBLANK($C496),"",IF(ISBLANK($Z496),0,IF(ISNUMBER($Z496),IF(AND($Z496&gt;=0,$Z496&lt;=Constants!$B$35,$Z496=INT($Z496)),$Z496,""),"")))</f>
        <v/>
      </c>
      <c r="BD496" s="74" t="str">
        <f aca="false">IF(ISBLANK($C496),"",IF($AA496=Constants!$B$2,TRUE(),IF($AA496=Constants!$B$3,FALSE(),TRUE())))</f>
        <v/>
      </c>
      <c r="BE496" s="74" t="str">
        <f aca="false">IF(ISBLANK($C496),"",IF($AB496=Constants!$B$2,TRUE(),IF($AB496=Constants!$B$3,FALSE(),TRUE())))</f>
        <v/>
      </c>
      <c r="BF496" s="74" t="str">
        <f aca="false">IF(ISBLANK($C496),"",IF(ISNUMBER($AC496),IF($AC496&gt;=0,$AC496,""),""))</f>
        <v/>
      </c>
      <c r="BG496" s="74" t="str">
        <f aca="false">IF(ISBLANK($C496),"",IF($AD496=Constants!$B$2,TRUE(),IF($AD496=Constants!$B$3,FALSE(),FALSE())))</f>
        <v/>
      </c>
      <c r="BH496" s="73" t="str">
        <f aca="false">IF(ISBLANK($C496),"",IF($BG496,Constants!$B$7,IF(COUNTA($E496:$AC496)=0,Constants!$B$6,IF(OR(COUNTA($G496:$AC496)=0,NOT($AK496),$AQ496),Constants!$B$5,IF(OR($CI496&lt;&gt;"",$CJ496,$CK496,$CL496,$CM496,$CN496,$CO496),Constants!$B$8,Constants!$B$4)))))</f>
        <v/>
      </c>
      <c r="BI496" s="74" t="str">
        <f aca="false">IF(ISBLANK($C496),"",IF($BH496&lt;&gt;Constants!$B$4,$BH496,IF(OR(NOT($AH496),NOT($AJ496),NOT($AR496)),Constants!$B$11,IF(OR(NOT($AP496),MAX($AL496,$AM496,$AN496)&gt;Constants!$B$30),Constants!$B$10,Constants!$B$9))))</f>
        <v/>
      </c>
      <c r="BJ496" s="74" t="str">
        <f aca="false">IF($BH496&lt;&gt;Constants!$B$4,"",IF(NOT($AJ496),0,MIN(Constants!$B$35,$BC496)))</f>
        <v/>
      </c>
      <c r="BK496" s="74" t="str">
        <f aca="false">IF($BH496&lt;&gt;Constants!$B$4,"",IF(NOT($AJ496),0,IF($AT496,Constants!$B$18,IF($AS496,Constants!$B$17,0))))</f>
        <v/>
      </c>
      <c r="BL496" s="74" t="str">
        <f aca="false">IF($BH496&lt;&gt;Constants!$B$4,"",IF(NOT($AJ496),0,Constants!$B$19*($AI496+$AU496+$AV496+$AW496)))</f>
        <v/>
      </c>
      <c r="BM496" s="74" t="str">
        <f aca="false">IF($BH496&lt;&gt;Constants!$B$4,"",IF(OR(NOT($AJ496),NOT(ISNUMBER($AX496))),0,CHOOSE($AX496,Constants!$B$13,Constants!$B$14,Constants!$B$15,Constants!$B$16)))</f>
        <v/>
      </c>
      <c r="BN496" s="74" t="str">
        <f aca="false">IF($BH496&lt;&gt;Constants!$B$4,"",IF(NOT($AJ496),0,Constants!$B$20*$AY496))</f>
        <v/>
      </c>
      <c r="BO496" s="74" t="str">
        <f aca="false">IF($BH496&lt;&gt;Constants!$B$4,"",IF(AND($AJ496,$BA496,$BB496),Constants!$B$22,0))</f>
        <v/>
      </c>
      <c r="BP496" s="74" t="str">
        <f aca="false">IF($BH496&lt;&gt;Constants!$B$4,"",IF(OR(NOT($AJ496),NOT($BA496)),0,IF($BF496&gt;=2*$AF$9,0,Constants!$B$23*INT(ROUND(MIN($BF496,$AF$9),6)))))</f>
        <v/>
      </c>
      <c r="BQ496" s="74" t="str">
        <f aca="false">IF($BH496&lt;&gt;Constants!$B$4,"",IF(NOT($AJ496),0,Constants!$B$24*INT(ROUND(MIN($AZ496,$AF$9),6))))</f>
        <v/>
      </c>
      <c r="BR496" s="74" t="str">
        <f aca="false">IF($BH496&lt;&gt;Constants!$B$4,"",IF(AND($AJ496,$BJ496=0),Constants!$B$25,0))</f>
        <v/>
      </c>
      <c r="BS496" s="74" t="str">
        <f aca="false">IF($BH496&lt;&gt;Constants!$B$4,"",MIN(Constants!$B$29,MAX(0,Constants!$B$27*Constants!$B$28*INT(ROUND((Constants!$B$26-$AL496)/Constants!$B$28,6))))+MIN(Constants!$B$29,MAX(0,Constants!$B$27*Constants!$B$28*INT(ROUND((Constants!$B$26-$AM496)/Constants!$B$28,6))))+MIN(Constants!$B$29,MAX(0,Constants!$B$27*Constants!$B$28*INT(ROUND((Constants!$B$26-$AN496)/Constants!$B$28,6)))))</f>
        <v/>
      </c>
      <c r="BT496" s="74" t="str">
        <f aca="false">IF($BH496&lt;&gt;Constants!$B$4,"",IF(NOT($AJ496),0,Constants!$B$31*INT(ROUND(MAX(0,MIN($BF496,2*$AF$9)-$AF$9),6))))</f>
        <v/>
      </c>
      <c r="BU496" s="74" t="str">
        <f aca="false">IF($BH496&lt;&gt;Constants!$B$4,"",Constants!$B$32*(($AL496&gt;Constants!$B$26)+($AM496&gt;Constants!$B$26)+($AN496&gt;Constants!$B$26)))</f>
        <v/>
      </c>
      <c r="BV496" s="74" t="str">
        <f aca="false">IF($BH496&lt;&gt;Constants!$B$4,"",IF(OR(NOT($AJ496),$AO496),0,Constants!$B$33))</f>
        <v/>
      </c>
      <c r="BW496" s="74" t="str">
        <f aca="false">IF($BH496&lt;&gt;Constants!$B$4,"",Constants!$B$34*$BJ496)</f>
        <v/>
      </c>
      <c r="BX496" s="74" t="str">
        <f aca="false">IF($BH496&lt;&gt;Constants!$B$4,"",IF(OR(NOT($AJ496),$BE496),0,Constants!$B$36))</f>
        <v/>
      </c>
      <c r="BY496" s="74" t="str">
        <f aca="false">IF($BH496&lt;&gt;Constants!$B$4,"",IF(OR(NOT($AJ496),$BD496),0,Constants!$B$37))</f>
        <v/>
      </c>
      <c r="BZ496" s="74" t="str">
        <f aca="false">IF($BH496&lt;&gt;Constants!$B$4,"",SUM($BT496:$BY496))</f>
        <v/>
      </c>
      <c r="CA496" s="74" t="str">
        <f aca="false">IF(ISBLANK($C496),"",IF($BH496&lt;&gt;Constants!$B$4,$BH496,SUM($BK496:$BS496)-$BZ496))</f>
        <v/>
      </c>
      <c r="CB496" s="74" t="str">
        <f aca="false">IF(ISBLANK($C496),"",IF($BH496&lt;&gt;Constants!$B$4,$BH496,RANK($CA496,$CA$9:$CA$508)))</f>
        <v/>
      </c>
      <c r="CC496" s="74" t="str">
        <f aca="false">IF(ISBLANK($C496),"",IF($BH496&lt;&gt;Constants!$B$4,$BH496,COUNTIFS($BI$9:$BI$508,"&lt;"&amp;$BI496)+COUNTIFS($BI$9:$BI$508,$BI496,$CB$9:$CB$508,"&lt;"&amp;$CB496)+1))</f>
        <v/>
      </c>
      <c r="CD496" s="74" t="str">
        <f aca="false">IF(ISBLANK($C496),"",IF($BH496&lt;&gt;Constants!$B$4,$BH496,RANK($BZ496,$BZ$9:$BZ$508,1)))</f>
        <v/>
      </c>
      <c r="CE496" s="74" t="str">
        <f aca="false">IF($BH496&lt;&gt;Constants!$B$4,"",$AL496+$AM496+$AN496)</f>
        <v/>
      </c>
      <c r="CF496" s="74" t="str">
        <f aca="false">IF(ISBLANK($C496),"",IF($BH496&lt;&gt;Constants!$B$4,$BH496,RANK($CE496,$CE$9:$CE$508,1)))</f>
        <v/>
      </c>
      <c r="CG496" s="74" t="str">
        <f aca="false">IF(ISBLANK($C496),"",IF($BH496&lt;&gt;Constants!$B$4,$BH496,COUNTIFS($BI$9:$BI$508,"&lt;"&amp;$BI496)+COUNTIFS($BI$9:$BI$508,$BI496,$CB$9:$CB$508,"&lt;"&amp;$CB496)+COUNTIFS($BI$9:$BI$508,$BI496,$CB$9:$CB$508,$CB496,$CD$9:$CD$508,"&lt;"&amp;$CD496)+COUNTIFS($BI$9:$BI$508,$BI496,$CB$9:$CB$508,$CB496,$CD$9:$CD$508,$CD496,$CF$9:$CF$508,"&lt;"&amp;$CF496)+1))</f>
        <v/>
      </c>
      <c r="CH496" s="74" t="str">
        <f aca="false">IF(ISBLANK($C496),"",IF($BH496&lt;&gt;Constants!$B$4,$BH496,$CC496-$CG496))</f>
        <v/>
      </c>
      <c r="CI496" s="74" t="str">
        <f aca="false">IF(ISBLANK($C496),"",IF(NOT($AJ496),"",IF(ISBLANK($D$7),$CI$5,IF(NOT(ISNUMBER($D$7)),$CI$6,""))))</f>
        <v/>
      </c>
      <c r="CJ496" s="74" t="str">
        <f aca="false">IF(ISBLANK($C496),"",OR($AL496="",$AM496="",$AN496=""))</f>
        <v/>
      </c>
      <c r="CK496" s="74" t="str">
        <f aca="false">IF(ISBLANK($C496),"",AND($AJ496,$AX496=""))</f>
        <v/>
      </c>
      <c r="CL496" s="74" t="str">
        <f aca="false">IF(ISBLANK($C496),"",AND($AJ496,$AY496=""))</f>
        <v/>
      </c>
      <c r="CM496" s="74" t="str">
        <f aca="false">IF(ISBLANK($C496),"",AND($AJ496,$AZ496=""))</f>
        <v/>
      </c>
      <c r="CN496" s="74" t="str">
        <f aca="false">IF(ISBLANK($C496),"",AND($AJ496,$BC496=""))</f>
        <v/>
      </c>
      <c r="CO496" s="74" t="str">
        <f aca="false">IF(ISBLANK($C496),"",AND($AJ496,$BF496=""))</f>
        <v/>
      </c>
      <c r="CP496" s="75"/>
      <c r="CQ496" s="76"/>
      <c r="CR496" s="79" t="str">
        <f aca="false">IF(ISBLANK($C496),"",IF($BH496=Constants!$B$8,$CI496,""))</f>
        <v/>
      </c>
      <c r="CS496" s="76" t="str">
        <f aca="false">IF(ISBLANK($C496),"",IF($BH496&lt;&gt;Constants!$B$4,"",$BK496+$BL496))</f>
        <v/>
      </c>
      <c r="CT496" s="78" t="str">
        <f aca="false">IF(ISBLANK($C496),"",IF($BH496&lt;&gt;Constants!$B$4,"",$BM496+$BN496+$BO496))</f>
        <v/>
      </c>
      <c r="CU496" s="78" t="str">
        <f aca="false">IF(ISBLANK($C496),"",IF($BH496&lt;&gt;Constants!$B$4,"",$BP496))</f>
        <v/>
      </c>
      <c r="CV496" s="78" t="str">
        <f aca="false">IF(ISBLANK($C496),"",IF($BH496&lt;&gt;Constants!$B$4,"",$BQ496+$BR496))</f>
        <v/>
      </c>
      <c r="CW496" s="78" t="str">
        <f aca="false">IF(ISBLANK($C496),"",IF($BH496&lt;&gt;Constants!$B$4,"",$BS496))</f>
        <v/>
      </c>
      <c r="CX496" s="78" t="str">
        <f aca="false">IF(ISBLANK($C496),"",IF($BH496&lt;&gt;Constants!$B$4,"",-$BZ496))</f>
        <v/>
      </c>
      <c r="CY496" s="79" t="str">
        <f aca="false">IF(ISBLANK($C496),"",$CA496)</f>
        <v/>
      </c>
      <c r="CZ496" s="80" t="str">
        <f aca="false">IF(ISBLANK($C496),"",$BI496)</f>
        <v/>
      </c>
      <c r="DA496" s="78" t="str">
        <f aca="false">IF(ISBLANK($C496),"",$CH496)</f>
        <v/>
      </c>
      <c r="DB496" s="78" t="str">
        <f aca="false">IF(ISBLANK($C496),"",$CG496)</f>
        <v/>
      </c>
      <c r="DC496" s="81" t="str">
        <f aca="false">IF(ISBLANK($C496),"",IFERROR(_xlfn.SWITCH($DB496,Constants!$B$7,COUNTA($C$9:$C$508)+2,Constants!$B$6,COUNTA($C$9:$C$508)+1,Constants!$B$5,COUNTA($C$9:$C$508)),$DB496))</f>
        <v/>
      </c>
      <c r="DD496" s="7"/>
      <c r="DE496" s="82" t="n">
        <f aca="false">IF(OR(ISNUMBER($DB496),$DB496=Constants!$B$7,$DB496=Constants!$B$5,$DB496=Constants!$B$6),1,0)</f>
        <v>0</v>
      </c>
      <c r="DF496" s="82" t="n">
        <v>488</v>
      </c>
      <c r="DG496" s="82" t="str">
        <f aca="false">IF(ISBLANK($C496),"",IF(ISNUMBER($DC496),$DC496+ROW($B496)/1000,""))</f>
        <v/>
      </c>
      <c r="DH496" s="82" t="str">
        <f aca="false">IF(ISNUMBER($DG496),RANK($DG496,$DG$9:$DG$508,1),"")</f>
        <v/>
      </c>
      <c r="DI496" s="82" t="str">
        <f aca="false">IF(ISBLANK($C496),"",$B496)</f>
        <v/>
      </c>
      <c r="DJ496" s="82" t="str">
        <f aca="false">IF(ISBLANK($C496),"",$C496)</f>
        <v/>
      </c>
      <c r="DK496" s="82" t="str">
        <f aca="false">IF(ISBLANK($C496),"",$D496)</f>
        <v/>
      </c>
      <c r="DL496" s="83" t="str">
        <f aca="false">$CZ496</f>
        <v/>
      </c>
      <c r="DM496" s="84" t="str">
        <f aca="false">$CY496</f>
        <v/>
      </c>
      <c r="DN496" s="82" t="str">
        <f aca="false">IF(ISBLANK($C496),"",$DB496)</f>
        <v/>
      </c>
      <c r="DO496" s="85" t="str">
        <f aca="false">IF($DF496&gt;$DE$8,"",VLOOKUP($DF496,$DH$9:$DN$508,7,FALSE()))</f>
        <v/>
      </c>
      <c r="DP496" s="86" t="str">
        <f aca="false">IF($DF496&gt;$DE$8,"",VLOOKUP($DF496,$DH$9:$DN$508,2,FALSE()))</f>
        <v/>
      </c>
      <c r="DQ496" s="86" t="str">
        <f aca="false">IF($DF496&gt;$DE$8,"",VLOOKUP($DF496,$DH$9:$DN$508,3,FALSE()))</f>
        <v/>
      </c>
      <c r="DR496" s="86" t="str">
        <f aca="false">IF($DF496&gt;$DE$8,"",VLOOKUP($DF496,$DH$9:$DN$508,4,FALSE()))</f>
        <v/>
      </c>
      <c r="DS496" s="86" t="str">
        <f aca="false">IF($DF496&gt;$DE$8,"",VLOOKUP($DF496,$DH$9:$DN$508,5,FALSE()))</f>
        <v/>
      </c>
      <c r="DT496" s="87" t="str">
        <f aca="false">IF($DF496&gt;$DE$8,"",VLOOKUP($DF496,$DH$9:$DN$508,6,FALSE()))</f>
        <v/>
      </c>
      <c r="DU496" s="62"/>
    </row>
    <row r="497" customFormat="false" ht="15.75" hidden="false" customHeight="false" outlineLevel="0" collapsed="false">
      <c r="A497" s="7"/>
      <c r="B497" s="64"/>
      <c r="C497" s="65"/>
      <c r="D497" s="123"/>
      <c r="E497" s="88"/>
      <c r="F497" s="134"/>
      <c r="G497" s="88"/>
      <c r="H497" s="134"/>
      <c r="I497" s="119"/>
      <c r="J497" s="119"/>
      <c r="K497" s="119"/>
      <c r="L497" s="88"/>
      <c r="M497" s="88"/>
      <c r="N497" s="88"/>
      <c r="O497" s="134"/>
      <c r="P497" s="88"/>
      <c r="Q497" s="88"/>
      <c r="R497" s="88"/>
      <c r="S497" s="88"/>
      <c r="T497" s="134"/>
      <c r="U497" s="88"/>
      <c r="V497" s="70"/>
      <c r="W497" s="88"/>
      <c r="X497" s="88"/>
      <c r="Y497" s="70"/>
      <c r="Z497" s="70"/>
      <c r="AA497" s="88"/>
      <c r="AB497" s="88"/>
      <c r="AC497" s="71"/>
      <c r="AD497" s="88"/>
      <c r="AE497" s="73"/>
      <c r="AF497" s="74"/>
      <c r="AG497" s="74"/>
      <c r="AH497" s="74" t="str">
        <f aca="false">IF(ISBLANK($C497),"",IF($E497=Constants!$B$2,TRUE(),IF($E497=Constants!$B$3,FALSE(),TRUE())))</f>
        <v/>
      </c>
      <c r="AI497" s="74" t="str">
        <f aca="false">IF(ISBLANK($C497),"",IF($F497=Constants!$B$2,TRUE(),IF($F497=Constants!$B$3,FALSE(),FALSE())))</f>
        <v/>
      </c>
      <c r="AJ497" s="74" t="str">
        <f aca="false">IF(ISBLANK($C497),"",IF($G497=Constants!$B$2,TRUE(),IF($G497=Constants!$B$3,FALSE(),TRUE())))</f>
        <v/>
      </c>
      <c r="AK497" s="74" t="str">
        <f aca="false">IF(ISBLANK($C497),"",IF($H497=Constants!$B$2,TRUE(),IF($H497=Constants!$B$3,FALSE(),TRUE())))</f>
        <v/>
      </c>
      <c r="AL497" s="74" t="str">
        <f aca="false">IF(ISBLANK($C497),"",IF(ISNUMBER($I497),IF($I497&gt;=0,$I497,""),""))</f>
        <v/>
      </c>
      <c r="AM497" s="74" t="str">
        <f aca="false">IF(ISBLANK($C497),"",IF(ISNUMBER($J497),IF($J497&gt;=0,$J497,""),""))</f>
        <v/>
      </c>
      <c r="AN497" s="74" t="str">
        <f aca="false">IF(ISBLANK($C497),"",IF(ISNUMBER($K497),IF($K497&gt;=0,$K497,""),""))</f>
        <v/>
      </c>
      <c r="AO497" s="74" t="str">
        <f aca="false">IF(ISBLANK($C497),"",IF($L497=Constants!$B$2,TRUE(),IF($L497=Constants!$B$3,FALSE(),TRUE())))</f>
        <v/>
      </c>
      <c r="AP497" s="74" t="str">
        <f aca="false">IF(ISBLANK($C497),"",IF($M497=Constants!$B$2,TRUE(),IF($M497=Constants!$B$3,FALSE(),TRUE())))</f>
        <v/>
      </c>
      <c r="AQ497" s="74" t="str">
        <f aca="false">IF(ISBLANK($C497),"",IF($N497=Constants!$B$2,TRUE(),IF($N497=Constants!$B$3,FALSE(),FALSE())))</f>
        <v/>
      </c>
      <c r="AR497" s="74" t="str">
        <f aca="false">IF(ISBLANK($C497),"",IF($O497=Constants!$B$2,TRUE(),IF($O497=Constants!$B$3,FALSE(),TRUE())))</f>
        <v/>
      </c>
      <c r="AS497" s="74" t="str">
        <f aca="false">IF(ISBLANK($C497),"",IF($P497=Constants!$B$2,TRUE(),IF($P497=Constants!$B$3,FALSE(),FALSE())))</f>
        <v/>
      </c>
      <c r="AT497" s="74" t="str">
        <f aca="false">IF(ISBLANK($C497),"",IF($Q497=Constants!$B$2,TRUE(),IF($Q497=Constants!$B$3,FALSE(),FALSE())))</f>
        <v/>
      </c>
      <c r="AU497" s="74" t="str">
        <f aca="false">IF(ISBLANK($C497),"",IF($R497=Constants!$B$2,TRUE(),IF($R497=Constants!$B$3,FALSE(),FALSE())))</f>
        <v/>
      </c>
      <c r="AV497" s="74" t="str">
        <f aca="false">IF(ISBLANK($C497),"",IF($S497=Constants!$B$2,TRUE(),IF($S497=Constants!$B$3,FALSE(),FALSE())))</f>
        <v/>
      </c>
      <c r="AW497" s="74" t="str">
        <f aca="false">IF(ISBLANK($C497),"",IF($T497=Constants!$B$2,TRUE(),IF($T497=Constants!$B$3,FALSE(),FALSE())))</f>
        <v/>
      </c>
      <c r="AX497" s="74" t="str">
        <f aca="false">IF(ISBLANK($C497),"",IF(OR($U497&amp;""="1",$U497&amp;""="2",$U497&amp;""="3",$U497&amp;""="4"),VALUE($U497&amp;""),IF($U497=Constants!$B$12,Constants!$B$12,"")))</f>
        <v/>
      </c>
      <c r="AY497" s="74" t="str">
        <f aca="false">IF(ISBLANK($C497),"",IF(ISBLANK($V497),0,IF(ISNUMBER($V497),IF(AND($V497&gt;=0,$V497&lt;=Constants!$B$21,$V497=INT($V497)),$V497,""),"")))</f>
        <v/>
      </c>
      <c r="AZ497" s="74" t="str">
        <f aca="false">IF(ISBLANK($C497),"",IF(ISBLANK($W497),0,IF(ISNUMBER($W497),IF($W497&gt;=0,$W497,""),"")))</f>
        <v/>
      </c>
      <c r="BA497" s="74" t="str">
        <f aca="false">IF(ISBLANK($C497),"",IF($X497=Constants!$B$2,TRUE(),IF($X497=Constants!$B$3,FALSE(),TRUE())))</f>
        <v/>
      </c>
      <c r="BB497" s="74" t="str">
        <f aca="false">IF(ISBLANK($C497),"",IF($Y497=Constants!$B$2,TRUE(),IF($Y497=Constants!$B$3,FALSE(),FALSE())))</f>
        <v/>
      </c>
      <c r="BC497" s="74" t="str">
        <f aca="false">IF(ISBLANK($C497),"",IF(ISBLANK($Z497),0,IF(ISNUMBER($Z497),IF(AND($Z497&gt;=0,$Z497&lt;=Constants!$B$35,$Z497=INT($Z497)),$Z497,""),"")))</f>
        <v/>
      </c>
      <c r="BD497" s="74" t="str">
        <f aca="false">IF(ISBLANK($C497),"",IF($AA497=Constants!$B$2,TRUE(),IF($AA497=Constants!$B$3,FALSE(),TRUE())))</f>
        <v/>
      </c>
      <c r="BE497" s="74" t="str">
        <f aca="false">IF(ISBLANK($C497),"",IF($AB497=Constants!$B$2,TRUE(),IF($AB497=Constants!$B$3,FALSE(),TRUE())))</f>
        <v/>
      </c>
      <c r="BF497" s="74" t="str">
        <f aca="false">IF(ISBLANK($C497),"",IF(ISNUMBER($AC497),IF($AC497&gt;=0,$AC497,""),""))</f>
        <v/>
      </c>
      <c r="BG497" s="74" t="str">
        <f aca="false">IF(ISBLANK($C497),"",IF($AD497=Constants!$B$2,TRUE(),IF($AD497=Constants!$B$3,FALSE(),FALSE())))</f>
        <v/>
      </c>
      <c r="BH497" s="73" t="str">
        <f aca="false">IF(ISBLANK($C497),"",IF($BG497,Constants!$B$7,IF(COUNTA($E497:$AC497)=0,Constants!$B$6,IF(OR(COUNTA($G497:$AC497)=0,NOT($AK497),$AQ497),Constants!$B$5,IF(OR($CI497&lt;&gt;"",$CJ497,$CK497,$CL497,$CM497,$CN497,$CO497),Constants!$B$8,Constants!$B$4)))))</f>
        <v/>
      </c>
      <c r="BI497" s="74" t="str">
        <f aca="false">IF(ISBLANK($C497),"",IF($BH497&lt;&gt;Constants!$B$4,$BH497,IF(OR(NOT($AH497),NOT($AJ497),NOT($AR497)),Constants!$B$11,IF(OR(NOT($AP497),MAX($AL497,$AM497,$AN497)&gt;Constants!$B$30),Constants!$B$10,Constants!$B$9))))</f>
        <v/>
      </c>
      <c r="BJ497" s="74" t="str">
        <f aca="false">IF($BH497&lt;&gt;Constants!$B$4,"",IF(NOT($AJ497),0,MIN(Constants!$B$35,$BC497)))</f>
        <v/>
      </c>
      <c r="BK497" s="74" t="str">
        <f aca="false">IF($BH497&lt;&gt;Constants!$B$4,"",IF(NOT($AJ497),0,IF($AT497,Constants!$B$18,IF($AS497,Constants!$B$17,0))))</f>
        <v/>
      </c>
      <c r="BL497" s="74" t="str">
        <f aca="false">IF($BH497&lt;&gt;Constants!$B$4,"",IF(NOT($AJ497),0,Constants!$B$19*($AI497+$AU497+$AV497+$AW497)))</f>
        <v/>
      </c>
      <c r="BM497" s="74" t="str">
        <f aca="false">IF($BH497&lt;&gt;Constants!$B$4,"",IF(OR(NOT($AJ497),NOT(ISNUMBER($AX497))),0,CHOOSE($AX497,Constants!$B$13,Constants!$B$14,Constants!$B$15,Constants!$B$16)))</f>
        <v/>
      </c>
      <c r="BN497" s="74" t="str">
        <f aca="false">IF($BH497&lt;&gt;Constants!$B$4,"",IF(NOT($AJ497),0,Constants!$B$20*$AY497))</f>
        <v/>
      </c>
      <c r="BO497" s="74" t="str">
        <f aca="false">IF($BH497&lt;&gt;Constants!$B$4,"",IF(AND($AJ497,$BA497,$BB497),Constants!$B$22,0))</f>
        <v/>
      </c>
      <c r="BP497" s="74" t="str">
        <f aca="false">IF($BH497&lt;&gt;Constants!$B$4,"",IF(OR(NOT($AJ497),NOT($BA497)),0,IF($BF497&gt;=2*$AF$9,0,Constants!$B$23*INT(ROUND(MIN($BF497,$AF$9),6)))))</f>
        <v/>
      </c>
      <c r="BQ497" s="74" t="str">
        <f aca="false">IF($BH497&lt;&gt;Constants!$B$4,"",IF(NOT($AJ497),0,Constants!$B$24*INT(ROUND(MIN($AZ497,$AF$9),6))))</f>
        <v/>
      </c>
      <c r="BR497" s="74" t="str">
        <f aca="false">IF($BH497&lt;&gt;Constants!$B$4,"",IF(AND($AJ497,$BJ497=0),Constants!$B$25,0))</f>
        <v/>
      </c>
      <c r="BS497" s="74" t="str">
        <f aca="false">IF($BH497&lt;&gt;Constants!$B$4,"",MIN(Constants!$B$29,MAX(0,Constants!$B$27*Constants!$B$28*INT(ROUND((Constants!$B$26-$AL497)/Constants!$B$28,6))))+MIN(Constants!$B$29,MAX(0,Constants!$B$27*Constants!$B$28*INT(ROUND((Constants!$B$26-$AM497)/Constants!$B$28,6))))+MIN(Constants!$B$29,MAX(0,Constants!$B$27*Constants!$B$28*INT(ROUND((Constants!$B$26-$AN497)/Constants!$B$28,6)))))</f>
        <v/>
      </c>
      <c r="BT497" s="74" t="str">
        <f aca="false">IF($BH497&lt;&gt;Constants!$B$4,"",IF(NOT($AJ497),0,Constants!$B$31*INT(ROUND(MAX(0,MIN($BF497,2*$AF$9)-$AF$9),6))))</f>
        <v/>
      </c>
      <c r="BU497" s="74" t="str">
        <f aca="false">IF($BH497&lt;&gt;Constants!$B$4,"",Constants!$B$32*(($AL497&gt;Constants!$B$26)+($AM497&gt;Constants!$B$26)+($AN497&gt;Constants!$B$26)))</f>
        <v/>
      </c>
      <c r="BV497" s="74" t="str">
        <f aca="false">IF($BH497&lt;&gt;Constants!$B$4,"",IF(OR(NOT($AJ497),$AO497),0,Constants!$B$33))</f>
        <v/>
      </c>
      <c r="BW497" s="74" t="str">
        <f aca="false">IF($BH497&lt;&gt;Constants!$B$4,"",Constants!$B$34*$BJ497)</f>
        <v/>
      </c>
      <c r="BX497" s="74" t="str">
        <f aca="false">IF($BH497&lt;&gt;Constants!$B$4,"",IF(OR(NOT($AJ497),$BE497),0,Constants!$B$36))</f>
        <v/>
      </c>
      <c r="BY497" s="74" t="str">
        <f aca="false">IF($BH497&lt;&gt;Constants!$B$4,"",IF(OR(NOT($AJ497),$BD497),0,Constants!$B$37))</f>
        <v/>
      </c>
      <c r="BZ497" s="74" t="str">
        <f aca="false">IF($BH497&lt;&gt;Constants!$B$4,"",SUM($BT497:$BY497))</f>
        <v/>
      </c>
      <c r="CA497" s="74" t="str">
        <f aca="false">IF(ISBLANK($C497),"",IF($BH497&lt;&gt;Constants!$B$4,$BH497,SUM($BK497:$BS497)-$BZ497))</f>
        <v/>
      </c>
      <c r="CB497" s="74" t="str">
        <f aca="false">IF(ISBLANK($C497),"",IF($BH497&lt;&gt;Constants!$B$4,$BH497,RANK($CA497,$CA$9:$CA$508)))</f>
        <v/>
      </c>
      <c r="CC497" s="74" t="str">
        <f aca="false">IF(ISBLANK($C497),"",IF($BH497&lt;&gt;Constants!$B$4,$BH497,COUNTIFS($BI$9:$BI$508,"&lt;"&amp;$BI497)+COUNTIFS($BI$9:$BI$508,$BI497,$CB$9:$CB$508,"&lt;"&amp;$CB497)+1))</f>
        <v/>
      </c>
      <c r="CD497" s="74" t="str">
        <f aca="false">IF(ISBLANK($C497),"",IF($BH497&lt;&gt;Constants!$B$4,$BH497,RANK($BZ497,$BZ$9:$BZ$508,1)))</f>
        <v/>
      </c>
      <c r="CE497" s="74" t="str">
        <f aca="false">IF($BH497&lt;&gt;Constants!$B$4,"",$AL497+$AM497+$AN497)</f>
        <v/>
      </c>
      <c r="CF497" s="74" t="str">
        <f aca="false">IF(ISBLANK($C497),"",IF($BH497&lt;&gt;Constants!$B$4,$BH497,RANK($CE497,$CE$9:$CE$508,1)))</f>
        <v/>
      </c>
      <c r="CG497" s="74" t="str">
        <f aca="false">IF(ISBLANK($C497),"",IF($BH497&lt;&gt;Constants!$B$4,$BH497,COUNTIFS($BI$9:$BI$508,"&lt;"&amp;$BI497)+COUNTIFS($BI$9:$BI$508,$BI497,$CB$9:$CB$508,"&lt;"&amp;$CB497)+COUNTIFS($BI$9:$BI$508,$BI497,$CB$9:$CB$508,$CB497,$CD$9:$CD$508,"&lt;"&amp;$CD497)+COUNTIFS($BI$9:$BI$508,$BI497,$CB$9:$CB$508,$CB497,$CD$9:$CD$508,$CD497,$CF$9:$CF$508,"&lt;"&amp;$CF497)+1))</f>
        <v/>
      </c>
      <c r="CH497" s="74" t="str">
        <f aca="false">IF(ISBLANK($C497),"",IF($BH497&lt;&gt;Constants!$B$4,$BH497,$CC497-$CG497))</f>
        <v/>
      </c>
      <c r="CI497" s="74" t="str">
        <f aca="false">IF(ISBLANK($C497),"",IF(NOT($AJ497),"",IF(ISBLANK($D$7),$CI$5,IF(NOT(ISNUMBER($D$7)),$CI$6,""))))</f>
        <v/>
      </c>
      <c r="CJ497" s="74" t="str">
        <f aca="false">IF(ISBLANK($C497),"",OR($AL497="",$AM497="",$AN497=""))</f>
        <v/>
      </c>
      <c r="CK497" s="74" t="str">
        <f aca="false">IF(ISBLANK($C497),"",AND($AJ497,$AX497=""))</f>
        <v/>
      </c>
      <c r="CL497" s="74" t="str">
        <f aca="false">IF(ISBLANK($C497),"",AND($AJ497,$AY497=""))</f>
        <v/>
      </c>
      <c r="CM497" s="74" t="str">
        <f aca="false">IF(ISBLANK($C497),"",AND($AJ497,$AZ497=""))</f>
        <v/>
      </c>
      <c r="CN497" s="74" t="str">
        <f aca="false">IF(ISBLANK($C497),"",AND($AJ497,$BC497=""))</f>
        <v/>
      </c>
      <c r="CO497" s="74" t="str">
        <f aca="false">IF(ISBLANK($C497),"",AND($AJ497,$BF497=""))</f>
        <v/>
      </c>
      <c r="CP497" s="75"/>
      <c r="CQ497" s="76"/>
      <c r="CR497" s="79" t="str">
        <f aca="false">IF(ISBLANK($C497),"",IF($BH497=Constants!$B$8,$CI497,""))</f>
        <v/>
      </c>
      <c r="CS497" s="76" t="str">
        <f aca="false">IF(ISBLANK($C497),"",IF($BH497&lt;&gt;Constants!$B$4,"",$BK497+$BL497))</f>
        <v/>
      </c>
      <c r="CT497" s="78" t="str">
        <f aca="false">IF(ISBLANK($C497),"",IF($BH497&lt;&gt;Constants!$B$4,"",$BM497+$BN497+$BO497))</f>
        <v/>
      </c>
      <c r="CU497" s="78" t="str">
        <f aca="false">IF(ISBLANK($C497),"",IF($BH497&lt;&gt;Constants!$B$4,"",$BP497))</f>
        <v/>
      </c>
      <c r="CV497" s="78" t="str">
        <f aca="false">IF(ISBLANK($C497),"",IF($BH497&lt;&gt;Constants!$B$4,"",$BQ497+$BR497))</f>
        <v/>
      </c>
      <c r="CW497" s="78" t="str">
        <f aca="false">IF(ISBLANK($C497),"",IF($BH497&lt;&gt;Constants!$B$4,"",$BS497))</f>
        <v/>
      </c>
      <c r="CX497" s="78" t="str">
        <f aca="false">IF(ISBLANK($C497),"",IF($BH497&lt;&gt;Constants!$B$4,"",-$BZ497))</f>
        <v/>
      </c>
      <c r="CY497" s="79" t="str">
        <f aca="false">IF(ISBLANK($C497),"",$CA497)</f>
        <v/>
      </c>
      <c r="CZ497" s="80" t="str">
        <f aca="false">IF(ISBLANK($C497),"",$BI497)</f>
        <v/>
      </c>
      <c r="DA497" s="78" t="str">
        <f aca="false">IF(ISBLANK($C497),"",$CH497)</f>
        <v/>
      </c>
      <c r="DB497" s="78" t="str">
        <f aca="false">IF(ISBLANK($C497),"",$CG497)</f>
        <v/>
      </c>
      <c r="DC497" s="81" t="str">
        <f aca="false">IF(ISBLANK($C497),"",IFERROR(_xlfn.SWITCH($DB497,Constants!$B$7,COUNTA($C$9:$C$508)+2,Constants!$B$6,COUNTA($C$9:$C$508)+1,Constants!$B$5,COUNTA($C$9:$C$508)),$DB497))</f>
        <v/>
      </c>
      <c r="DD497" s="7"/>
      <c r="DE497" s="82" t="n">
        <f aca="false">IF(OR(ISNUMBER($DB497),$DB497=Constants!$B$7,$DB497=Constants!$B$5,$DB497=Constants!$B$6),1,0)</f>
        <v>0</v>
      </c>
      <c r="DF497" s="82" t="n">
        <v>489</v>
      </c>
      <c r="DG497" s="82" t="str">
        <f aca="false">IF(ISBLANK($C497),"",IF(ISNUMBER($DC497),$DC497+ROW($B497)/1000,""))</f>
        <v/>
      </c>
      <c r="DH497" s="82" t="str">
        <f aca="false">IF(ISNUMBER($DG497),RANK($DG497,$DG$9:$DG$508,1),"")</f>
        <v/>
      </c>
      <c r="DI497" s="82" t="str">
        <f aca="false">IF(ISBLANK($C497),"",$B497)</f>
        <v/>
      </c>
      <c r="DJ497" s="82" t="str">
        <f aca="false">IF(ISBLANK($C497),"",$C497)</f>
        <v/>
      </c>
      <c r="DK497" s="82" t="str">
        <f aca="false">IF(ISBLANK($C497),"",$D497)</f>
        <v/>
      </c>
      <c r="DL497" s="83" t="str">
        <f aca="false">$CZ497</f>
        <v/>
      </c>
      <c r="DM497" s="84" t="str">
        <f aca="false">$CY497</f>
        <v/>
      </c>
      <c r="DN497" s="82" t="str">
        <f aca="false">IF(ISBLANK($C497),"",$DB497)</f>
        <v/>
      </c>
      <c r="DO497" s="85" t="str">
        <f aca="false">IF($DF497&gt;$DE$8,"",VLOOKUP($DF497,$DH$9:$DN$508,7,FALSE()))</f>
        <v/>
      </c>
      <c r="DP497" s="86" t="str">
        <f aca="false">IF($DF497&gt;$DE$8,"",VLOOKUP($DF497,$DH$9:$DN$508,2,FALSE()))</f>
        <v/>
      </c>
      <c r="DQ497" s="86" t="str">
        <f aca="false">IF($DF497&gt;$DE$8,"",VLOOKUP($DF497,$DH$9:$DN$508,3,FALSE()))</f>
        <v/>
      </c>
      <c r="DR497" s="86" t="str">
        <f aca="false">IF($DF497&gt;$DE$8,"",VLOOKUP($DF497,$DH$9:$DN$508,4,FALSE()))</f>
        <v/>
      </c>
      <c r="DS497" s="86" t="str">
        <f aca="false">IF($DF497&gt;$DE$8,"",VLOOKUP($DF497,$DH$9:$DN$508,5,FALSE()))</f>
        <v/>
      </c>
      <c r="DT497" s="87" t="str">
        <f aca="false">IF($DF497&gt;$DE$8,"",VLOOKUP($DF497,$DH$9:$DN$508,6,FALSE()))</f>
        <v/>
      </c>
      <c r="DU497" s="62"/>
    </row>
    <row r="498" customFormat="false" ht="15.75" hidden="false" customHeight="false" outlineLevel="0" collapsed="false">
      <c r="A498" s="7"/>
      <c r="B498" s="90"/>
      <c r="C498" s="91"/>
      <c r="D498" s="126"/>
      <c r="E498" s="130"/>
      <c r="F498" s="135"/>
      <c r="G498" s="130"/>
      <c r="H498" s="135"/>
      <c r="I498" s="131"/>
      <c r="J498" s="131"/>
      <c r="K498" s="131"/>
      <c r="L498" s="130"/>
      <c r="M498" s="130"/>
      <c r="N498" s="130"/>
      <c r="O498" s="135"/>
      <c r="P498" s="130"/>
      <c r="Q498" s="130"/>
      <c r="R498" s="130"/>
      <c r="S498" s="130"/>
      <c r="T498" s="135"/>
      <c r="U498" s="130"/>
      <c r="V498" s="96"/>
      <c r="W498" s="130"/>
      <c r="X498" s="130"/>
      <c r="Y498" s="96"/>
      <c r="Z498" s="96"/>
      <c r="AA498" s="130"/>
      <c r="AB498" s="130"/>
      <c r="AC498" s="97"/>
      <c r="AD498" s="130"/>
      <c r="AE498" s="99"/>
      <c r="AF498" s="100"/>
      <c r="AG498" s="100"/>
      <c r="AH498" s="100" t="str">
        <f aca="false">IF(ISBLANK($C498),"",IF($E498=Constants!$B$2,TRUE(),IF($E498=Constants!$B$3,FALSE(),TRUE())))</f>
        <v/>
      </c>
      <c r="AI498" s="100" t="str">
        <f aca="false">IF(ISBLANK($C498),"",IF($F498=Constants!$B$2,TRUE(),IF($F498=Constants!$B$3,FALSE(),FALSE())))</f>
        <v/>
      </c>
      <c r="AJ498" s="100" t="str">
        <f aca="false">IF(ISBLANK($C498),"",IF($G498=Constants!$B$2,TRUE(),IF($G498=Constants!$B$3,FALSE(),TRUE())))</f>
        <v/>
      </c>
      <c r="AK498" s="100" t="str">
        <f aca="false">IF(ISBLANK($C498),"",IF($H498=Constants!$B$2,TRUE(),IF($H498=Constants!$B$3,FALSE(),TRUE())))</f>
        <v/>
      </c>
      <c r="AL498" s="100" t="str">
        <f aca="false">IF(ISBLANK($C498),"",IF(ISNUMBER($I498),IF($I498&gt;=0,$I498,""),""))</f>
        <v/>
      </c>
      <c r="AM498" s="100" t="str">
        <f aca="false">IF(ISBLANK($C498),"",IF(ISNUMBER($J498),IF($J498&gt;=0,$J498,""),""))</f>
        <v/>
      </c>
      <c r="AN498" s="100" t="str">
        <f aca="false">IF(ISBLANK($C498),"",IF(ISNUMBER($K498),IF($K498&gt;=0,$K498,""),""))</f>
        <v/>
      </c>
      <c r="AO498" s="100" t="str">
        <f aca="false">IF(ISBLANK($C498),"",IF($L498=Constants!$B$2,TRUE(),IF($L498=Constants!$B$3,FALSE(),TRUE())))</f>
        <v/>
      </c>
      <c r="AP498" s="100" t="str">
        <f aca="false">IF(ISBLANK($C498),"",IF($M498=Constants!$B$2,TRUE(),IF($M498=Constants!$B$3,FALSE(),TRUE())))</f>
        <v/>
      </c>
      <c r="AQ498" s="100" t="str">
        <f aca="false">IF(ISBLANK($C498),"",IF($N498=Constants!$B$2,TRUE(),IF($N498=Constants!$B$3,FALSE(),FALSE())))</f>
        <v/>
      </c>
      <c r="AR498" s="100" t="str">
        <f aca="false">IF(ISBLANK($C498),"",IF($O498=Constants!$B$2,TRUE(),IF($O498=Constants!$B$3,FALSE(),TRUE())))</f>
        <v/>
      </c>
      <c r="AS498" s="100" t="str">
        <f aca="false">IF(ISBLANK($C498),"",IF($P498=Constants!$B$2,TRUE(),IF($P498=Constants!$B$3,FALSE(),FALSE())))</f>
        <v/>
      </c>
      <c r="AT498" s="100" t="str">
        <f aca="false">IF(ISBLANK($C498),"",IF($Q498=Constants!$B$2,TRUE(),IF($Q498=Constants!$B$3,FALSE(),FALSE())))</f>
        <v/>
      </c>
      <c r="AU498" s="100" t="str">
        <f aca="false">IF(ISBLANK($C498),"",IF($R498=Constants!$B$2,TRUE(),IF($R498=Constants!$B$3,FALSE(),FALSE())))</f>
        <v/>
      </c>
      <c r="AV498" s="100" t="str">
        <f aca="false">IF(ISBLANK($C498),"",IF($S498=Constants!$B$2,TRUE(),IF($S498=Constants!$B$3,FALSE(),FALSE())))</f>
        <v/>
      </c>
      <c r="AW498" s="100" t="str">
        <f aca="false">IF(ISBLANK($C498),"",IF($T498=Constants!$B$2,TRUE(),IF($T498=Constants!$B$3,FALSE(),FALSE())))</f>
        <v/>
      </c>
      <c r="AX498" s="100" t="str">
        <f aca="false">IF(ISBLANK($C498),"",IF(OR($U498&amp;""="1",$U498&amp;""="2",$U498&amp;""="3",$U498&amp;""="4"),VALUE($U498&amp;""),IF($U498=Constants!$B$12,Constants!$B$12,"")))</f>
        <v/>
      </c>
      <c r="AY498" s="100" t="str">
        <f aca="false">IF(ISBLANK($C498),"",IF(ISBLANK($V498),0,IF(ISNUMBER($V498),IF(AND($V498&gt;=0,$V498&lt;=Constants!$B$21,$V498=INT($V498)),$V498,""),"")))</f>
        <v/>
      </c>
      <c r="AZ498" s="100" t="str">
        <f aca="false">IF(ISBLANK($C498),"",IF(ISBLANK($W498),0,IF(ISNUMBER($W498),IF($W498&gt;=0,$W498,""),"")))</f>
        <v/>
      </c>
      <c r="BA498" s="100" t="str">
        <f aca="false">IF(ISBLANK($C498),"",IF($X498=Constants!$B$2,TRUE(),IF($X498=Constants!$B$3,FALSE(),TRUE())))</f>
        <v/>
      </c>
      <c r="BB498" s="100" t="str">
        <f aca="false">IF(ISBLANK($C498),"",IF($Y498=Constants!$B$2,TRUE(),IF($Y498=Constants!$B$3,FALSE(),FALSE())))</f>
        <v/>
      </c>
      <c r="BC498" s="100" t="str">
        <f aca="false">IF(ISBLANK($C498),"",IF(ISBLANK($Z498),0,IF(ISNUMBER($Z498),IF(AND($Z498&gt;=0,$Z498&lt;=Constants!$B$35,$Z498=INT($Z498)),$Z498,""),"")))</f>
        <v/>
      </c>
      <c r="BD498" s="100" t="str">
        <f aca="false">IF(ISBLANK($C498),"",IF($AA498=Constants!$B$2,TRUE(),IF($AA498=Constants!$B$3,FALSE(),TRUE())))</f>
        <v/>
      </c>
      <c r="BE498" s="100" t="str">
        <f aca="false">IF(ISBLANK($C498),"",IF($AB498=Constants!$B$2,TRUE(),IF($AB498=Constants!$B$3,FALSE(),TRUE())))</f>
        <v/>
      </c>
      <c r="BF498" s="100" t="str">
        <f aca="false">IF(ISBLANK($C498),"",IF(ISNUMBER($AC498),IF($AC498&gt;=0,$AC498,""),""))</f>
        <v/>
      </c>
      <c r="BG498" s="100" t="str">
        <f aca="false">IF(ISBLANK($C498),"",IF($AD498=Constants!$B$2,TRUE(),IF($AD498=Constants!$B$3,FALSE(),FALSE())))</f>
        <v/>
      </c>
      <c r="BH498" s="99" t="str">
        <f aca="false">IF(ISBLANK($C498),"",IF($BG498,Constants!$B$7,IF(COUNTA($E498:$AC498)=0,Constants!$B$6,IF(OR(COUNTA($G498:$AC498)=0,NOT($AK498),$AQ498),Constants!$B$5,IF(OR($CI498&lt;&gt;"",$CJ498,$CK498,$CL498,$CM498,$CN498,$CO498),Constants!$B$8,Constants!$B$4)))))</f>
        <v/>
      </c>
      <c r="BI498" s="100" t="str">
        <f aca="false">IF(ISBLANK($C498),"",IF($BH498&lt;&gt;Constants!$B$4,$BH498,IF(OR(NOT($AH498),NOT($AJ498),NOT($AR498)),Constants!$B$11,IF(OR(NOT($AP498),MAX($AL498,$AM498,$AN498)&gt;Constants!$B$30),Constants!$B$10,Constants!$B$9))))</f>
        <v/>
      </c>
      <c r="BJ498" s="100" t="str">
        <f aca="false">IF($BH498&lt;&gt;Constants!$B$4,"",IF(NOT($AJ498),0,MIN(Constants!$B$35,$BC498)))</f>
        <v/>
      </c>
      <c r="BK498" s="100" t="str">
        <f aca="false">IF($BH498&lt;&gt;Constants!$B$4,"",IF(NOT($AJ498),0,IF($AT498,Constants!$B$18,IF($AS498,Constants!$B$17,0))))</f>
        <v/>
      </c>
      <c r="BL498" s="100" t="str">
        <f aca="false">IF($BH498&lt;&gt;Constants!$B$4,"",IF(NOT($AJ498),0,Constants!$B$19*($AI498+$AU498+$AV498+$AW498)))</f>
        <v/>
      </c>
      <c r="BM498" s="100" t="str">
        <f aca="false">IF($BH498&lt;&gt;Constants!$B$4,"",IF(OR(NOT($AJ498),NOT(ISNUMBER($AX498))),0,CHOOSE($AX498,Constants!$B$13,Constants!$B$14,Constants!$B$15,Constants!$B$16)))</f>
        <v/>
      </c>
      <c r="BN498" s="100" t="str">
        <f aca="false">IF($BH498&lt;&gt;Constants!$B$4,"",IF(NOT($AJ498),0,Constants!$B$20*$AY498))</f>
        <v/>
      </c>
      <c r="BO498" s="100" t="str">
        <f aca="false">IF($BH498&lt;&gt;Constants!$B$4,"",IF(AND($AJ498,$BA498,$BB498),Constants!$B$22,0))</f>
        <v/>
      </c>
      <c r="BP498" s="100" t="str">
        <f aca="false">IF($BH498&lt;&gt;Constants!$B$4,"",IF(OR(NOT($AJ498),NOT($BA498)),0,IF($BF498&gt;=2*$AF$9,0,Constants!$B$23*INT(ROUND(MIN($BF498,$AF$9),6)))))</f>
        <v/>
      </c>
      <c r="BQ498" s="100" t="str">
        <f aca="false">IF($BH498&lt;&gt;Constants!$B$4,"",IF(NOT($AJ498),0,Constants!$B$24*INT(ROUND(MIN($AZ498,$AF$9),6))))</f>
        <v/>
      </c>
      <c r="BR498" s="100" t="str">
        <f aca="false">IF($BH498&lt;&gt;Constants!$B$4,"",IF(AND($AJ498,$BJ498=0),Constants!$B$25,0))</f>
        <v/>
      </c>
      <c r="BS498" s="100" t="str">
        <f aca="false">IF($BH498&lt;&gt;Constants!$B$4,"",MIN(Constants!$B$29,MAX(0,Constants!$B$27*Constants!$B$28*INT(ROUND((Constants!$B$26-$AL498)/Constants!$B$28,6))))+MIN(Constants!$B$29,MAX(0,Constants!$B$27*Constants!$B$28*INT(ROUND((Constants!$B$26-$AM498)/Constants!$B$28,6))))+MIN(Constants!$B$29,MAX(0,Constants!$B$27*Constants!$B$28*INT(ROUND((Constants!$B$26-$AN498)/Constants!$B$28,6)))))</f>
        <v/>
      </c>
      <c r="BT498" s="100" t="str">
        <f aca="false">IF($BH498&lt;&gt;Constants!$B$4,"",IF(NOT($AJ498),0,Constants!$B$31*INT(ROUND(MAX(0,MIN($BF498,2*$AF$9)-$AF$9),6))))</f>
        <v/>
      </c>
      <c r="BU498" s="100" t="str">
        <f aca="false">IF($BH498&lt;&gt;Constants!$B$4,"",Constants!$B$32*(($AL498&gt;Constants!$B$26)+($AM498&gt;Constants!$B$26)+($AN498&gt;Constants!$B$26)))</f>
        <v/>
      </c>
      <c r="BV498" s="100" t="str">
        <f aca="false">IF($BH498&lt;&gt;Constants!$B$4,"",IF(OR(NOT($AJ498),$AO498),0,Constants!$B$33))</f>
        <v/>
      </c>
      <c r="BW498" s="100" t="str">
        <f aca="false">IF($BH498&lt;&gt;Constants!$B$4,"",Constants!$B$34*$BJ498)</f>
        <v/>
      </c>
      <c r="BX498" s="100" t="str">
        <f aca="false">IF($BH498&lt;&gt;Constants!$B$4,"",IF(OR(NOT($AJ498),$BE498),0,Constants!$B$36))</f>
        <v/>
      </c>
      <c r="BY498" s="100" t="str">
        <f aca="false">IF($BH498&lt;&gt;Constants!$B$4,"",IF(OR(NOT($AJ498),$BD498),0,Constants!$B$37))</f>
        <v/>
      </c>
      <c r="BZ498" s="100" t="str">
        <f aca="false">IF($BH498&lt;&gt;Constants!$B$4,"",SUM($BT498:$BY498))</f>
        <v/>
      </c>
      <c r="CA498" s="100" t="str">
        <f aca="false">IF(ISBLANK($C498),"",IF($BH498&lt;&gt;Constants!$B$4,$BH498,SUM($BK498:$BS498)-$BZ498))</f>
        <v/>
      </c>
      <c r="CB498" s="100" t="str">
        <f aca="false">IF(ISBLANK($C498),"",IF($BH498&lt;&gt;Constants!$B$4,$BH498,RANK($CA498,$CA$9:$CA$508)))</f>
        <v/>
      </c>
      <c r="CC498" s="100" t="str">
        <f aca="false">IF(ISBLANK($C498),"",IF($BH498&lt;&gt;Constants!$B$4,$BH498,COUNTIFS($BI$9:$BI$508,"&lt;"&amp;$BI498)+COUNTIFS($BI$9:$BI$508,$BI498,$CB$9:$CB$508,"&lt;"&amp;$CB498)+1))</f>
        <v/>
      </c>
      <c r="CD498" s="100" t="str">
        <f aca="false">IF(ISBLANK($C498),"",IF($BH498&lt;&gt;Constants!$B$4,$BH498,RANK($BZ498,$BZ$9:$BZ$508,1)))</f>
        <v/>
      </c>
      <c r="CE498" s="100" t="str">
        <f aca="false">IF($BH498&lt;&gt;Constants!$B$4,"",$AL498+$AM498+$AN498)</f>
        <v/>
      </c>
      <c r="CF498" s="100" t="str">
        <f aca="false">IF(ISBLANK($C498),"",IF($BH498&lt;&gt;Constants!$B$4,$BH498,RANK($CE498,$CE$9:$CE$508,1)))</f>
        <v/>
      </c>
      <c r="CG498" s="100" t="str">
        <f aca="false">IF(ISBLANK($C498),"",IF($BH498&lt;&gt;Constants!$B$4,$BH498,COUNTIFS($BI$9:$BI$508,"&lt;"&amp;$BI498)+COUNTIFS($BI$9:$BI$508,$BI498,$CB$9:$CB$508,"&lt;"&amp;$CB498)+COUNTIFS($BI$9:$BI$508,$BI498,$CB$9:$CB$508,$CB498,$CD$9:$CD$508,"&lt;"&amp;$CD498)+COUNTIFS($BI$9:$BI$508,$BI498,$CB$9:$CB$508,$CB498,$CD$9:$CD$508,$CD498,$CF$9:$CF$508,"&lt;"&amp;$CF498)+1))</f>
        <v/>
      </c>
      <c r="CH498" s="100" t="str">
        <f aca="false">IF(ISBLANK($C498),"",IF($BH498&lt;&gt;Constants!$B$4,$BH498,$CC498-$CG498))</f>
        <v/>
      </c>
      <c r="CI498" s="100" t="str">
        <f aca="false">IF(ISBLANK($C498),"",IF(NOT($AJ498),"",IF(ISBLANK($D$7),$CI$5,IF(NOT(ISNUMBER($D$7)),$CI$6,""))))</f>
        <v/>
      </c>
      <c r="CJ498" s="100" t="str">
        <f aca="false">IF(ISBLANK($C498),"",OR($AL498="",$AM498="",$AN498=""))</f>
        <v/>
      </c>
      <c r="CK498" s="100" t="str">
        <f aca="false">IF(ISBLANK($C498),"",AND($AJ498,$AX498=""))</f>
        <v/>
      </c>
      <c r="CL498" s="100" t="str">
        <f aca="false">IF(ISBLANK($C498),"",AND($AJ498,$AY498=""))</f>
        <v/>
      </c>
      <c r="CM498" s="100" t="str">
        <f aca="false">IF(ISBLANK($C498),"",AND($AJ498,$AZ498=""))</f>
        <v/>
      </c>
      <c r="CN498" s="100" t="str">
        <f aca="false">IF(ISBLANK($C498),"",AND($AJ498,$BC498=""))</f>
        <v/>
      </c>
      <c r="CO498" s="100" t="str">
        <f aca="false">IF(ISBLANK($C498),"",AND($AJ498,$BF498=""))</f>
        <v/>
      </c>
      <c r="CP498" s="101"/>
      <c r="CQ498" s="102"/>
      <c r="CR498" s="103" t="str">
        <f aca="false">IF(ISBLANK($C498),"",IF($BH498=Constants!$B$8,$CI498,""))</f>
        <v/>
      </c>
      <c r="CS498" s="102" t="str">
        <f aca="false">IF(ISBLANK($C498),"",IF($BH498&lt;&gt;Constants!$B$4,"",$BK498+$BL498))</f>
        <v/>
      </c>
      <c r="CT498" s="104" t="str">
        <f aca="false">IF(ISBLANK($C498),"",IF($BH498&lt;&gt;Constants!$B$4,"",$BM498+$BN498+$BO498))</f>
        <v/>
      </c>
      <c r="CU498" s="104" t="str">
        <f aca="false">IF(ISBLANK($C498),"",IF($BH498&lt;&gt;Constants!$B$4,"",$BP498))</f>
        <v/>
      </c>
      <c r="CV498" s="104" t="str">
        <f aca="false">IF(ISBLANK($C498),"",IF($BH498&lt;&gt;Constants!$B$4,"",$BQ498+$BR498))</f>
        <v/>
      </c>
      <c r="CW498" s="104" t="str">
        <f aca="false">IF(ISBLANK($C498),"",IF($BH498&lt;&gt;Constants!$B$4,"",$BS498))</f>
        <v/>
      </c>
      <c r="CX498" s="104" t="str">
        <f aca="false">IF(ISBLANK($C498),"",IF($BH498&lt;&gt;Constants!$B$4,"",-$BZ498))</f>
        <v/>
      </c>
      <c r="CY498" s="103" t="str">
        <f aca="false">IF(ISBLANK($C498),"",$CA498)</f>
        <v/>
      </c>
      <c r="CZ498" s="105" t="str">
        <f aca="false">IF(ISBLANK($C498),"",$BI498)</f>
        <v/>
      </c>
      <c r="DA498" s="104" t="str">
        <f aca="false">IF(ISBLANK($C498),"",$CH498)</f>
        <v/>
      </c>
      <c r="DB498" s="104" t="str">
        <f aca="false">IF(ISBLANK($C498),"",$CG498)</f>
        <v/>
      </c>
      <c r="DC498" s="106" t="str">
        <f aca="false">IF(ISBLANK($C498),"",IFERROR(_xlfn.SWITCH($DB498,Constants!$B$7,COUNTA($C$9:$C$508)+2,Constants!$B$6,COUNTA($C$9:$C$508)+1,Constants!$B$5,COUNTA($C$9:$C$508)),$DB498))</f>
        <v/>
      </c>
      <c r="DD498" s="7"/>
      <c r="DE498" s="107" t="n">
        <f aca="false">IF(OR(ISNUMBER($DB498),$DB498=Constants!$B$7,$DB498=Constants!$B$5,$DB498=Constants!$B$6),1,0)</f>
        <v>0</v>
      </c>
      <c r="DF498" s="107" t="n">
        <v>490</v>
      </c>
      <c r="DG498" s="107" t="str">
        <f aca="false">IF(ISBLANK($C498),"",IF(ISNUMBER($DC498),$DC498+ROW($B498)/1000,""))</f>
        <v/>
      </c>
      <c r="DH498" s="107" t="str">
        <f aca="false">IF(ISNUMBER($DG498),RANK($DG498,$DG$9:$DG$508,1),"")</f>
        <v/>
      </c>
      <c r="DI498" s="107" t="str">
        <f aca="false">IF(ISBLANK($C498),"",$B498)</f>
        <v/>
      </c>
      <c r="DJ498" s="107" t="str">
        <f aca="false">IF(ISBLANK($C498),"",$C498)</f>
        <v/>
      </c>
      <c r="DK498" s="107" t="str">
        <f aca="false">IF(ISBLANK($C498),"",$D498)</f>
        <v/>
      </c>
      <c r="DL498" s="108" t="str">
        <f aca="false">$CZ498</f>
        <v/>
      </c>
      <c r="DM498" s="109" t="str">
        <f aca="false">$CY498</f>
        <v/>
      </c>
      <c r="DN498" s="107" t="str">
        <f aca="false">IF(ISBLANK($C498),"",$DB498)</f>
        <v/>
      </c>
      <c r="DO498" s="110" t="str">
        <f aca="false">IF($DF498&gt;$DE$8,"",VLOOKUP($DF498,$DH$9:$DN$508,7,FALSE()))</f>
        <v/>
      </c>
      <c r="DP498" s="111" t="str">
        <f aca="false">IF($DF498&gt;$DE$8,"",VLOOKUP($DF498,$DH$9:$DN$508,2,FALSE()))</f>
        <v/>
      </c>
      <c r="DQ498" s="111" t="str">
        <f aca="false">IF($DF498&gt;$DE$8,"",VLOOKUP($DF498,$DH$9:$DN$508,3,FALSE()))</f>
        <v/>
      </c>
      <c r="DR498" s="111" t="str">
        <f aca="false">IF($DF498&gt;$DE$8,"",VLOOKUP($DF498,$DH$9:$DN$508,4,FALSE()))</f>
        <v/>
      </c>
      <c r="DS498" s="111" t="str">
        <f aca="false">IF($DF498&gt;$DE$8,"",VLOOKUP($DF498,$DH$9:$DN$508,5,FALSE()))</f>
        <v/>
      </c>
      <c r="DT498" s="112" t="str">
        <f aca="false">IF($DF498&gt;$DE$8,"",VLOOKUP($DF498,$DH$9:$DN$508,6,FALSE()))</f>
        <v/>
      </c>
      <c r="DU498" s="62"/>
    </row>
    <row r="499" customFormat="false" ht="15.75" hidden="false" customHeight="false" outlineLevel="0" collapsed="false">
      <c r="A499" s="7"/>
      <c r="B499" s="90"/>
      <c r="C499" s="91"/>
      <c r="D499" s="126"/>
      <c r="E499" s="130"/>
      <c r="F499" s="135"/>
      <c r="G499" s="130"/>
      <c r="H499" s="135"/>
      <c r="I499" s="131"/>
      <c r="J499" s="131"/>
      <c r="K499" s="131"/>
      <c r="L499" s="130"/>
      <c r="M499" s="130"/>
      <c r="N499" s="130"/>
      <c r="O499" s="135"/>
      <c r="P499" s="130"/>
      <c r="Q499" s="130"/>
      <c r="R499" s="130"/>
      <c r="S499" s="130"/>
      <c r="T499" s="135"/>
      <c r="U499" s="130"/>
      <c r="V499" s="96"/>
      <c r="W499" s="130"/>
      <c r="X499" s="130"/>
      <c r="Y499" s="96"/>
      <c r="Z499" s="96"/>
      <c r="AA499" s="130"/>
      <c r="AB499" s="130"/>
      <c r="AC499" s="97"/>
      <c r="AD499" s="130"/>
      <c r="AE499" s="99"/>
      <c r="AF499" s="100"/>
      <c r="AG499" s="100"/>
      <c r="AH499" s="100" t="str">
        <f aca="false">IF(ISBLANK($C499),"",IF($E499=Constants!$B$2,TRUE(),IF($E499=Constants!$B$3,FALSE(),TRUE())))</f>
        <v/>
      </c>
      <c r="AI499" s="100" t="str">
        <f aca="false">IF(ISBLANK($C499),"",IF($F499=Constants!$B$2,TRUE(),IF($F499=Constants!$B$3,FALSE(),FALSE())))</f>
        <v/>
      </c>
      <c r="AJ499" s="100" t="str">
        <f aca="false">IF(ISBLANK($C499),"",IF($G499=Constants!$B$2,TRUE(),IF($G499=Constants!$B$3,FALSE(),TRUE())))</f>
        <v/>
      </c>
      <c r="AK499" s="100" t="str">
        <f aca="false">IF(ISBLANK($C499),"",IF($H499=Constants!$B$2,TRUE(),IF($H499=Constants!$B$3,FALSE(),TRUE())))</f>
        <v/>
      </c>
      <c r="AL499" s="100" t="str">
        <f aca="false">IF(ISBLANK($C499),"",IF(ISNUMBER($I499),IF($I499&gt;=0,$I499,""),""))</f>
        <v/>
      </c>
      <c r="AM499" s="100" t="str">
        <f aca="false">IF(ISBLANK($C499),"",IF(ISNUMBER($J499),IF($J499&gt;=0,$J499,""),""))</f>
        <v/>
      </c>
      <c r="AN499" s="100" t="str">
        <f aca="false">IF(ISBLANK($C499),"",IF(ISNUMBER($K499),IF($K499&gt;=0,$K499,""),""))</f>
        <v/>
      </c>
      <c r="AO499" s="100" t="str">
        <f aca="false">IF(ISBLANK($C499),"",IF($L499=Constants!$B$2,TRUE(),IF($L499=Constants!$B$3,FALSE(),TRUE())))</f>
        <v/>
      </c>
      <c r="AP499" s="100" t="str">
        <f aca="false">IF(ISBLANK($C499),"",IF($M499=Constants!$B$2,TRUE(),IF($M499=Constants!$B$3,FALSE(),TRUE())))</f>
        <v/>
      </c>
      <c r="AQ499" s="100" t="str">
        <f aca="false">IF(ISBLANK($C499),"",IF($N499=Constants!$B$2,TRUE(),IF($N499=Constants!$B$3,FALSE(),FALSE())))</f>
        <v/>
      </c>
      <c r="AR499" s="100" t="str">
        <f aca="false">IF(ISBLANK($C499),"",IF($O499=Constants!$B$2,TRUE(),IF($O499=Constants!$B$3,FALSE(),TRUE())))</f>
        <v/>
      </c>
      <c r="AS499" s="100" t="str">
        <f aca="false">IF(ISBLANK($C499),"",IF($P499=Constants!$B$2,TRUE(),IF($P499=Constants!$B$3,FALSE(),FALSE())))</f>
        <v/>
      </c>
      <c r="AT499" s="100" t="str">
        <f aca="false">IF(ISBLANK($C499),"",IF($Q499=Constants!$B$2,TRUE(),IF($Q499=Constants!$B$3,FALSE(),FALSE())))</f>
        <v/>
      </c>
      <c r="AU499" s="100" t="str">
        <f aca="false">IF(ISBLANK($C499),"",IF($R499=Constants!$B$2,TRUE(),IF($R499=Constants!$B$3,FALSE(),FALSE())))</f>
        <v/>
      </c>
      <c r="AV499" s="100" t="str">
        <f aca="false">IF(ISBLANK($C499),"",IF($S499=Constants!$B$2,TRUE(),IF($S499=Constants!$B$3,FALSE(),FALSE())))</f>
        <v/>
      </c>
      <c r="AW499" s="100" t="str">
        <f aca="false">IF(ISBLANK($C499),"",IF($T499=Constants!$B$2,TRUE(),IF($T499=Constants!$B$3,FALSE(),FALSE())))</f>
        <v/>
      </c>
      <c r="AX499" s="100" t="str">
        <f aca="false">IF(ISBLANK($C499),"",IF(OR($U499&amp;""="1",$U499&amp;""="2",$U499&amp;""="3",$U499&amp;""="4"),VALUE($U499&amp;""),IF($U499=Constants!$B$12,Constants!$B$12,"")))</f>
        <v/>
      </c>
      <c r="AY499" s="100" t="str">
        <f aca="false">IF(ISBLANK($C499),"",IF(ISBLANK($V499),0,IF(ISNUMBER($V499),IF(AND($V499&gt;=0,$V499&lt;=Constants!$B$21,$V499=INT($V499)),$V499,""),"")))</f>
        <v/>
      </c>
      <c r="AZ499" s="100" t="str">
        <f aca="false">IF(ISBLANK($C499),"",IF(ISBLANK($W499),0,IF(ISNUMBER($W499),IF($W499&gt;=0,$W499,""),"")))</f>
        <v/>
      </c>
      <c r="BA499" s="100" t="str">
        <f aca="false">IF(ISBLANK($C499),"",IF($X499=Constants!$B$2,TRUE(),IF($X499=Constants!$B$3,FALSE(),TRUE())))</f>
        <v/>
      </c>
      <c r="BB499" s="100" t="str">
        <f aca="false">IF(ISBLANK($C499),"",IF($Y499=Constants!$B$2,TRUE(),IF($Y499=Constants!$B$3,FALSE(),FALSE())))</f>
        <v/>
      </c>
      <c r="BC499" s="100" t="str">
        <f aca="false">IF(ISBLANK($C499),"",IF(ISBLANK($Z499),0,IF(ISNUMBER($Z499),IF(AND($Z499&gt;=0,$Z499&lt;=Constants!$B$35,$Z499=INT($Z499)),$Z499,""),"")))</f>
        <v/>
      </c>
      <c r="BD499" s="100" t="str">
        <f aca="false">IF(ISBLANK($C499),"",IF($AA499=Constants!$B$2,TRUE(),IF($AA499=Constants!$B$3,FALSE(),TRUE())))</f>
        <v/>
      </c>
      <c r="BE499" s="100" t="str">
        <f aca="false">IF(ISBLANK($C499),"",IF($AB499=Constants!$B$2,TRUE(),IF($AB499=Constants!$B$3,FALSE(),TRUE())))</f>
        <v/>
      </c>
      <c r="BF499" s="100" t="str">
        <f aca="false">IF(ISBLANK($C499),"",IF(ISNUMBER($AC499),IF($AC499&gt;=0,$AC499,""),""))</f>
        <v/>
      </c>
      <c r="BG499" s="100" t="str">
        <f aca="false">IF(ISBLANK($C499),"",IF($AD499=Constants!$B$2,TRUE(),IF($AD499=Constants!$B$3,FALSE(),FALSE())))</f>
        <v/>
      </c>
      <c r="BH499" s="99" t="str">
        <f aca="false">IF(ISBLANK($C499),"",IF($BG499,Constants!$B$7,IF(COUNTA($E499:$AC499)=0,Constants!$B$6,IF(OR(COUNTA($G499:$AC499)=0,NOT($AK499),$AQ499),Constants!$B$5,IF(OR($CI499&lt;&gt;"",$CJ499,$CK499,$CL499,$CM499,$CN499,$CO499),Constants!$B$8,Constants!$B$4)))))</f>
        <v/>
      </c>
      <c r="BI499" s="100" t="str">
        <f aca="false">IF(ISBLANK($C499),"",IF($BH499&lt;&gt;Constants!$B$4,$BH499,IF(OR(NOT($AH499),NOT($AJ499),NOT($AR499)),Constants!$B$11,IF(OR(NOT($AP499),MAX($AL499,$AM499,$AN499)&gt;Constants!$B$30),Constants!$B$10,Constants!$B$9))))</f>
        <v/>
      </c>
      <c r="BJ499" s="100" t="str">
        <f aca="false">IF($BH499&lt;&gt;Constants!$B$4,"",IF(NOT($AJ499),0,MIN(Constants!$B$35,$BC499)))</f>
        <v/>
      </c>
      <c r="BK499" s="100" t="str">
        <f aca="false">IF($BH499&lt;&gt;Constants!$B$4,"",IF(NOT($AJ499),0,IF($AT499,Constants!$B$18,IF($AS499,Constants!$B$17,0))))</f>
        <v/>
      </c>
      <c r="BL499" s="100" t="str">
        <f aca="false">IF($BH499&lt;&gt;Constants!$B$4,"",IF(NOT($AJ499),0,Constants!$B$19*($AI499+$AU499+$AV499+$AW499)))</f>
        <v/>
      </c>
      <c r="BM499" s="100" t="str">
        <f aca="false">IF($BH499&lt;&gt;Constants!$B$4,"",IF(OR(NOT($AJ499),NOT(ISNUMBER($AX499))),0,CHOOSE($AX499,Constants!$B$13,Constants!$B$14,Constants!$B$15,Constants!$B$16)))</f>
        <v/>
      </c>
      <c r="BN499" s="100" t="str">
        <f aca="false">IF($BH499&lt;&gt;Constants!$B$4,"",IF(NOT($AJ499),0,Constants!$B$20*$AY499))</f>
        <v/>
      </c>
      <c r="BO499" s="100" t="str">
        <f aca="false">IF($BH499&lt;&gt;Constants!$B$4,"",IF(AND($AJ499,$BA499,$BB499),Constants!$B$22,0))</f>
        <v/>
      </c>
      <c r="BP499" s="100" t="str">
        <f aca="false">IF($BH499&lt;&gt;Constants!$B$4,"",IF(OR(NOT($AJ499),NOT($BA499)),0,IF($BF499&gt;=2*$AF$9,0,Constants!$B$23*INT(ROUND(MIN($BF499,$AF$9),6)))))</f>
        <v/>
      </c>
      <c r="BQ499" s="100" t="str">
        <f aca="false">IF($BH499&lt;&gt;Constants!$B$4,"",IF(NOT($AJ499),0,Constants!$B$24*INT(ROUND(MIN($AZ499,$AF$9),6))))</f>
        <v/>
      </c>
      <c r="BR499" s="100" t="str">
        <f aca="false">IF($BH499&lt;&gt;Constants!$B$4,"",IF(AND($AJ499,$BJ499=0),Constants!$B$25,0))</f>
        <v/>
      </c>
      <c r="BS499" s="100" t="str">
        <f aca="false">IF($BH499&lt;&gt;Constants!$B$4,"",MIN(Constants!$B$29,MAX(0,Constants!$B$27*Constants!$B$28*INT(ROUND((Constants!$B$26-$AL499)/Constants!$B$28,6))))+MIN(Constants!$B$29,MAX(0,Constants!$B$27*Constants!$B$28*INT(ROUND((Constants!$B$26-$AM499)/Constants!$B$28,6))))+MIN(Constants!$B$29,MAX(0,Constants!$B$27*Constants!$B$28*INT(ROUND((Constants!$B$26-$AN499)/Constants!$B$28,6)))))</f>
        <v/>
      </c>
      <c r="BT499" s="100" t="str">
        <f aca="false">IF($BH499&lt;&gt;Constants!$B$4,"",IF(NOT($AJ499),0,Constants!$B$31*INT(ROUND(MAX(0,MIN($BF499,2*$AF$9)-$AF$9),6))))</f>
        <v/>
      </c>
      <c r="BU499" s="100" t="str">
        <f aca="false">IF($BH499&lt;&gt;Constants!$B$4,"",Constants!$B$32*(($AL499&gt;Constants!$B$26)+($AM499&gt;Constants!$B$26)+($AN499&gt;Constants!$B$26)))</f>
        <v/>
      </c>
      <c r="BV499" s="100" t="str">
        <f aca="false">IF($BH499&lt;&gt;Constants!$B$4,"",IF(OR(NOT($AJ499),$AO499),0,Constants!$B$33))</f>
        <v/>
      </c>
      <c r="BW499" s="100" t="str">
        <f aca="false">IF($BH499&lt;&gt;Constants!$B$4,"",Constants!$B$34*$BJ499)</f>
        <v/>
      </c>
      <c r="BX499" s="100" t="str">
        <f aca="false">IF($BH499&lt;&gt;Constants!$B$4,"",IF(OR(NOT($AJ499),$BE499),0,Constants!$B$36))</f>
        <v/>
      </c>
      <c r="BY499" s="100" t="str">
        <f aca="false">IF($BH499&lt;&gt;Constants!$B$4,"",IF(OR(NOT($AJ499),$BD499),0,Constants!$B$37))</f>
        <v/>
      </c>
      <c r="BZ499" s="100" t="str">
        <f aca="false">IF($BH499&lt;&gt;Constants!$B$4,"",SUM($BT499:$BY499))</f>
        <v/>
      </c>
      <c r="CA499" s="100" t="str">
        <f aca="false">IF(ISBLANK($C499),"",IF($BH499&lt;&gt;Constants!$B$4,$BH499,SUM($BK499:$BS499)-$BZ499))</f>
        <v/>
      </c>
      <c r="CB499" s="100" t="str">
        <f aca="false">IF(ISBLANK($C499),"",IF($BH499&lt;&gt;Constants!$B$4,$BH499,RANK($CA499,$CA$9:$CA$508)))</f>
        <v/>
      </c>
      <c r="CC499" s="100" t="str">
        <f aca="false">IF(ISBLANK($C499),"",IF($BH499&lt;&gt;Constants!$B$4,$BH499,COUNTIFS($BI$9:$BI$508,"&lt;"&amp;$BI499)+COUNTIFS($BI$9:$BI$508,$BI499,$CB$9:$CB$508,"&lt;"&amp;$CB499)+1))</f>
        <v/>
      </c>
      <c r="CD499" s="100" t="str">
        <f aca="false">IF(ISBLANK($C499),"",IF($BH499&lt;&gt;Constants!$B$4,$BH499,RANK($BZ499,$BZ$9:$BZ$508,1)))</f>
        <v/>
      </c>
      <c r="CE499" s="100" t="str">
        <f aca="false">IF($BH499&lt;&gt;Constants!$B$4,"",$AL499+$AM499+$AN499)</f>
        <v/>
      </c>
      <c r="CF499" s="100" t="str">
        <f aca="false">IF(ISBLANK($C499),"",IF($BH499&lt;&gt;Constants!$B$4,$BH499,RANK($CE499,$CE$9:$CE$508,1)))</f>
        <v/>
      </c>
      <c r="CG499" s="100" t="str">
        <f aca="false">IF(ISBLANK($C499),"",IF($BH499&lt;&gt;Constants!$B$4,$BH499,COUNTIFS($BI$9:$BI$508,"&lt;"&amp;$BI499)+COUNTIFS($BI$9:$BI$508,$BI499,$CB$9:$CB$508,"&lt;"&amp;$CB499)+COUNTIFS($BI$9:$BI$508,$BI499,$CB$9:$CB$508,$CB499,$CD$9:$CD$508,"&lt;"&amp;$CD499)+COUNTIFS($BI$9:$BI$508,$BI499,$CB$9:$CB$508,$CB499,$CD$9:$CD$508,$CD499,$CF$9:$CF$508,"&lt;"&amp;$CF499)+1))</f>
        <v/>
      </c>
      <c r="CH499" s="100" t="str">
        <f aca="false">IF(ISBLANK($C499),"",IF($BH499&lt;&gt;Constants!$B$4,$BH499,$CC499-$CG499))</f>
        <v/>
      </c>
      <c r="CI499" s="100" t="str">
        <f aca="false">IF(ISBLANK($C499),"",IF(NOT($AJ499),"",IF(ISBLANK($D$7),$CI$5,IF(NOT(ISNUMBER($D$7)),$CI$6,""))))</f>
        <v/>
      </c>
      <c r="CJ499" s="100" t="str">
        <f aca="false">IF(ISBLANK($C499),"",OR($AL499="",$AM499="",$AN499=""))</f>
        <v/>
      </c>
      <c r="CK499" s="100" t="str">
        <f aca="false">IF(ISBLANK($C499),"",AND($AJ499,$AX499=""))</f>
        <v/>
      </c>
      <c r="CL499" s="100" t="str">
        <f aca="false">IF(ISBLANK($C499),"",AND($AJ499,$AY499=""))</f>
        <v/>
      </c>
      <c r="CM499" s="100" t="str">
        <f aca="false">IF(ISBLANK($C499),"",AND($AJ499,$AZ499=""))</f>
        <v/>
      </c>
      <c r="CN499" s="100" t="str">
        <f aca="false">IF(ISBLANK($C499),"",AND($AJ499,$BC499=""))</f>
        <v/>
      </c>
      <c r="CO499" s="100" t="str">
        <f aca="false">IF(ISBLANK($C499),"",AND($AJ499,$BF499=""))</f>
        <v/>
      </c>
      <c r="CP499" s="101"/>
      <c r="CQ499" s="102"/>
      <c r="CR499" s="103" t="str">
        <f aca="false">IF(ISBLANK($C499),"",IF($BH499=Constants!$B$8,$CI499,""))</f>
        <v/>
      </c>
      <c r="CS499" s="102" t="str">
        <f aca="false">IF(ISBLANK($C499),"",IF($BH499&lt;&gt;Constants!$B$4,"",$BK499+$BL499))</f>
        <v/>
      </c>
      <c r="CT499" s="104" t="str">
        <f aca="false">IF(ISBLANK($C499),"",IF($BH499&lt;&gt;Constants!$B$4,"",$BM499+$BN499+$BO499))</f>
        <v/>
      </c>
      <c r="CU499" s="104" t="str">
        <f aca="false">IF(ISBLANK($C499),"",IF($BH499&lt;&gt;Constants!$B$4,"",$BP499))</f>
        <v/>
      </c>
      <c r="CV499" s="104" t="str">
        <f aca="false">IF(ISBLANK($C499),"",IF($BH499&lt;&gt;Constants!$B$4,"",$BQ499+$BR499))</f>
        <v/>
      </c>
      <c r="CW499" s="104" t="str">
        <f aca="false">IF(ISBLANK($C499),"",IF($BH499&lt;&gt;Constants!$B$4,"",$BS499))</f>
        <v/>
      </c>
      <c r="CX499" s="104" t="str">
        <f aca="false">IF(ISBLANK($C499),"",IF($BH499&lt;&gt;Constants!$B$4,"",-$BZ499))</f>
        <v/>
      </c>
      <c r="CY499" s="103" t="str">
        <f aca="false">IF(ISBLANK($C499),"",$CA499)</f>
        <v/>
      </c>
      <c r="CZ499" s="105" t="str">
        <f aca="false">IF(ISBLANK($C499),"",$BI499)</f>
        <v/>
      </c>
      <c r="DA499" s="104" t="str">
        <f aca="false">IF(ISBLANK($C499),"",$CH499)</f>
        <v/>
      </c>
      <c r="DB499" s="104" t="str">
        <f aca="false">IF(ISBLANK($C499),"",$CG499)</f>
        <v/>
      </c>
      <c r="DC499" s="106" t="str">
        <f aca="false">IF(ISBLANK($C499),"",IFERROR(_xlfn.SWITCH($DB499,Constants!$B$7,COUNTA($C$9:$C$508)+2,Constants!$B$6,COUNTA($C$9:$C$508)+1,Constants!$B$5,COUNTA($C$9:$C$508)),$DB499))</f>
        <v/>
      </c>
      <c r="DD499" s="7"/>
      <c r="DE499" s="107" t="n">
        <f aca="false">IF(OR(ISNUMBER($DB499),$DB499=Constants!$B$7,$DB499=Constants!$B$5,$DB499=Constants!$B$6),1,0)</f>
        <v>0</v>
      </c>
      <c r="DF499" s="107" t="n">
        <v>491</v>
      </c>
      <c r="DG499" s="107" t="str">
        <f aca="false">IF(ISBLANK($C499),"",IF(ISNUMBER($DC499),$DC499+ROW($B499)/1000,""))</f>
        <v/>
      </c>
      <c r="DH499" s="107" t="str">
        <f aca="false">IF(ISNUMBER($DG499),RANK($DG499,$DG$9:$DG$508,1),"")</f>
        <v/>
      </c>
      <c r="DI499" s="107" t="str">
        <f aca="false">IF(ISBLANK($C499),"",$B499)</f>
        <v/>
      </c>
      <c r="DJ499" s="107" t="str">
        <f aca="false">IF(ISBLANK($C499),"",$C499)</f>
        <v/>
      </c>
      <c r="DK499" s="107" t="str">
        <f aca="false">IF(ISBLANK($C499),"",$D499)</f>
        <v/>
      </c>
      <c r="DL499" s="108" t="str">
        <f aca="false">$CZ499</f>
        <v/>
      </c>
      <c r="DM499" s="109" t="str">
        <f aca="false">$CY499</f>
        <v/>
      </c>
      <c r="DN499" s="107" t="str">
        <f aca="false">IF(ISBLANK($C499),"",$DB499)</f>
        <v/>
      </c>
      <c r="DO499" s="110" t="str">
        <f aca="false">IF($DF499&gt;$DE$8,"",VLOOKUP($DF499,$DH$9:$DN$508,7,FALSE()))</f>
        <v/>
      </c>
      <c r="DP499" s="111" t="str">
        <f aca="false">IF($DF499&gt;$DE$8,"",VLOOKUP($DF499,$DH$9:$DN$508,2,FALSE()))</f>
        <v/>
      </c>
      <c r="DQ499" s="111" t="str">
        <f aca="false">IF($DF499&gt;$DE$8,"",VLOOKUP($DF499,$DH$9:$DN$508,3,FALSE()))</f>
        <v/>
      </c>
      <c r="DR499" s="111" t="str">
        <f aca="false">IF($DF499&gt;$DE$8,"",VLOOKUP($DF499,$DH$9:$DN$508,4,FALSE()))</f>
        <v/>
      </c>
      <c r="DS499" s="111" t="str">
        <f aca="false">IF($DF499&gt;$DE$8,"",VLOOKUP($DF499,$DH$9:$DN$508,5,FALSE()))</f>
        <v/>
      </c>
      <c r="DT499" s="112" t="str">
        <f aca="false">IF($DF499&gt;$DE$8,"",VLOOKUP($DF499,$DH$9:$DN$508,6,FALSE()))</f>
        <v/>
      </c>
      <c r="DU499" s="62"/>
    </row>
    <row r="500" customFormat="false" ht="15.75" hidden="false" customHeight="false" outlineLevel="0" collapsed="false">
      <c r="A500" s="7"/>
      <c r="B500" s="90"/>
      <c r="C500" s="91"/>
      <c r="D500" s="126"/>
      <c r="E500" s="130"/>
      <c r="F500" s="135"/>
      <c r="G500" s="130"/>
      <c r="H500" s="135"/>
      <c r="I500" s="131"/>
      <c r="J500" s="131"/>
      <c r="K500" s="131"/>
      <c r="L500" s="130"/>
      <c r="M500" s="130"/>
      <c r="N500" s="130"/>
      <c r="O500" s="135"/>
      <c r="P500" s="130"/>
      <c r="Q500" s="130"/>
      <c r="R500" s="130"/>
      <c r="S500" s="130"/>
      <c r="T500" s="135"/>
      <c r="U500" s="130"/>
      <c r="V500" s="96"/>
      <c r="W500" s="130"/>
      <c r="X500" s="130"/>
      <c r="Y500" s="96"/>
      <c r="Z500" s="96"/>
      <c r="AA500" s="130"/>
      <c r="AB500" s="130"/>
      <c r="AC500" s="97"/>
      <c r="AD500" s="130"/>
      <c r="AE500" s="99"/>
      <c r="AF500" s="100"/>
      <c r="AG500" s="100"/>
      <c r="AH500" s="100" t="str">
        <f aca="false">IF(ISBLANK($C500),"",IF($E500=Constants!$B$2,TRUE(),IF($E500=Constants!$B$3,FALSE(),TRUE())))</f>
        <v/>
      </c>
      <c r="AI500" s="100" t="str">
        <f aca="false">IF(ISBLANK($C500),"",IF($F500=Constants!$B$2,TRUE(),IF($F500=Constants!$B$3,FALSE(),FALSE())))</f>
        <v/>
      </c>
      <c r="AJ500" s="100" t="str">
        <f aca="false">IF(ISBLANK($C500),"",IF($G500=Constants!$B$2,TRUE(),IF($G500=Constants!$B$3,FALSE(),TRUE())))</f>
        <v/>
      </c>
      <c r="AK500" s="100" t="str">
        <f aca="false">IF(ISBLANK($C500),"",IF($H500=Constants!$B$2,TRUE(),IF($H500=Constants!$B$3,FALSE(),TRUE())))</f>
        <v/>
      </c>
      <c r="AL500" s="100" t="str">
        <f aca="false">IF(ISBLANK($C500),"",IF(ISNUMBER($I500),IF($I500&gt;=0,$I500,""),""))</f>
        <v/>
      </c>
      <c r="AM500" s="100" t="str">
        <f aca="false">IF(ISBLANK($C500),"",IF(ISNUMBER($J500),IF($J500&gt;=0,$J500,""),""))</f>
        <v/>
      </c>
      <c r="AN500" s="100" t="str">
        <f aca="false">IF(ISBLANK($C500),"",IF(ISNUMBER($K500),IF($K500&gt;=0,$K500,""),""))</f>
        <v/>
      </c>
      <c r="AO500" s="100" t="str">
        <f aca="false">IF(ISBLANK($C500),"",IF($L500=Constants!$B$2,TRUE(),IF($L500=Constants!$B$3,FALSE(),TRUE())))</f>
        <v/>
      </c>
      <c r="AP500" s="100" t="str">
        <f aca="false">IF(ISBLANK($C500),"",IF($M500=Constants!$B$2,TRUE(),IF($M500=Constants!$B$3,FALSE(),TRUE())))</f>
        <v/>
      </c>
      <c r="AQ500" s="100" t="str">
        <f aca="false">IF(ISBLANK($C500),"",IF($N500=Constants!$B$2,TRUE(),IF($N500=Constants!$B$3,FALSE(),FALSE())))</f>
        <v/>
      </c>
      <c r="AR500" s="100" t="str">
        <f aca="false">IF(ISBLANK($C500),"",IF($O500=Constants!$B$2,TRUE(),IF($O500=Constants!$B$3,FALSE(),TRUE())))</f>
        <v/>
      </c>
      <c r="AS500" s="100" t="str">
        <f aca="false">IF(ISBLANK($C500),"",IF($P500=Constants!$B$2,TRUE(),IF($P500=Constants!$B$3,FALSE(),FALSE())))</f>
        <v/>
      </c>
      <c r="AT500" s="100" t="str">
        <f aca="false">IF(ISBLANK($C500),"",IF($Q500=Constants!$B$2,TRUE(),IF($Q500=Constants!$B$3,FALSE(),FALSE())))</f>
        <v/>
      </c>
      <c r="AU500" s="100" t="str">
        <f aca="false">IF(ISBLANK($C500),"",IF($R500=Constants!$B$2,TRUE(),IF($R500=Constants!$B$3,FALSE(),FALSE())))</f>
        <v/>
      </c>
      <c r="AV500" s="100" t="str">
        <f aca="false">IF(ISBLANK($C500),"",IF($S500=Constants!$B$2,TRUE(),IF($S500=Constants!$B$3,FALSE(),FALSE())))</f>
        <v/>
      </c>
      <c r="AW500" s="100" t="str">
        <f aca="false">IF(ISBLANK($C500),"",IF($T500=Constants!$B$2,TRUE(),IF($T500=Constants!$B$3,FALSE(),FALSE())))</f>
        <v/>
      </c>
      <c r="AX500" s="100" t="str">
        <f aca="false">IF(ISBLANK($C500),"",IF(OR($U500&amp;""="1",$U500&amp;""="2",$U500&amp;""="3",$U500&amp;""="4"),VALUE($U500&amp;""),IF($U500=Constants!$B$12,Constants!$B$12,"")))</f>
        <v/>
      </c>
      <c r="AY500" s="100" t="str">
        <f aca="false">IF(ISBLANK($C500),"",IF(ISBLANK($V500),0,IF(ISNUMBER($V500),IF(AND($V500&gt;=0,$V500&lt;=Constants!$B$21,$V500=INT($V500)),$V500,""),"")))</f>
        <v/>
      </c>
      <c r="AZ500" s="100" t="str">
        <f aca="false">IF(ISBLANK($C500),"",IF(ISBLANK($W500),0,IF(ISNUMBER($W500),IF($W500&gt;=0,$W500,""),"")))</f>
        <v/>
      </c>
      <c r="BA500" s="100" t="str">
        <f aca="false">IF(ISBLANK($C500),"",IF($X500=Constants!$B$2,TRUE(),IF($X500=Constants!$B$3,FALSE(),TRUE())))</f>
        <v/>
      </c>
      <c r="BB500" s="100" t="str">
        <f aca="false">IF(ISBLANK($C500),"",IF($Y500=Constants!$B$2,TRUE(),IF($Y500=Constants!$B$3,FALSE(),FALSE())))</f>
        <v/>
      </c>
      <c r="BC500" s="100" t="str">
        <f aca="false">IF(ISBLANK($C500),"",IF(ISBLANK($Z500),0,IF(ISNUMBER($Z500),IF(AND($Z500&gt;=0,$Z500&lt;=Constants!$B$35,$Z500=INT($Z500)),$Z500,""),"")))</f>
        <v/>
      </c>
      <c r="BD500" s="100" t="str">
        <f aca="false">IF(ISBLANK($C500),"",IF($AA500=Constants!$B$2,TRUE(),IF($AA500=Constants!$B$3,FALSE(),TRUE())))</f>
        <v/>
      </c>
      <c r="BE500" s="100" t="str">
        <f aca="false">IF(ISBLANK($C500),"",IF($AB500=Constants!$B$2,TRUE(),IF($AB500=Constants!$B$3,FALSE(),TRUE())))</f>
        <v/>
      </c>
      <c r="BF500" s="100" t="str">
        <f aca="false">IF(ISBLANK($C500),"",IF(ISNUMBER($AC500),IF($AC500&gt;=0,$AC500,""),""))</f>
        <v/>
      </c>
      <c r="BG500" s="100" t="str">
        <f aca="false">IF(ISBLANK($C500),"",IF($AD500=Constants!$B$2,TRUE(),IF($AD500=Constants!$B$3,FALSE(),FALSE())))</f>
        <v/>
      </c>
      <c r="BH500" s="99" t="str">
        <f aca="false">IF(ISBLANK($C500),"",IF($BG500,Constants!$B$7,IF(COUNTA($E500:$AC500)=0,Constants!$B$6,IF(OR(COUNTA($G500:$AC500)=0,NOT($AK500),$AQ500),Constants!$B$5,IF(OR($CI500&lt;&gt;"",$CJ500,$CK500,$CL500,$CM500,$CN500,$CO500),Constants!$B$8,Constants!$B$4)))))</f>
        <v/>
      </c>
      <c r="BI500" s="100" t="str">
        <f aca="false">IF(ISBLANK($C500),"",IF($BH500&lt;&gt;Constants!$B$4,$BH500,IF(OR(NOT($AH500),NOT($AJ500),NOT($AR500)),Constants!$B$11,IF(OR(NOT($AP500),MAX($AL500,$AM500,$AN500)&gt;Constants!$B$30),Constants!$B$10,Constants!$B$9))))</f>
        <v/>
      </c>
      <c r="BJ500" s="100" t="str">
        <f aca="false">IF($BH500&lt;&gt;Constants!$B$4,"",IF(NOT($AJ500),0,MIN(Constants!$B$35,$BC500)))</f>
        <v/>
      </c>
      <c r="BK500" s="100" t="str">
        <f aca="false">IF($BH500&lt;&gt;Constants!$B$4,"",IF(NOT($AJ500),0,IF($AT500,Constants!$B$18,IF($AS500,Constants!$B$17,0))))</f>
        <v/>
      </c>
      <c r="BL500" s="100" t="str">
        <f aca="false">IF($BH500&lt;&gt;Constants!$B$4,"",IF(NOT($AJ500),0,Constants!$B$19*($AI500+$AU500+$AV500+$AW500)))</f>
        <v/>
      </c>
      <c r="BM500" s="100" t="str">
        <f aca="false">IF($BH500&lt;&gt;Constants!$B$4,"",IF(OR(NOT($AJ500),NOT(ISNUMBER($AX500))),0,CHOOSE($AX500,Constants!$B$13,Constants!$B$14,Constants!$B$15,Constants!$B$16)))</f>
        <v/>
      </c>
      <c r="BN500" s="100" t="str">
        <f aca="false">IF($BH500&lt;&gt;Constants!$B$4,"",IF(NOT($AJ500),0,Constants!$B$20*$AY500))</f>
        <v/>
      </c>
      <c r="BO500" s="100" t="str">
        <f aca="false">IF($BH500&lt;&gt;Constants!$B$4,"",IF(AND($AJ500,$BA500,$BB500),Constants!$B$22,0))</f>
        <v/>
      </c>
      <c r="BP500" s="100" t="str">
        <f aca="false">IF($BH500&lt;&gt;Constants!$B$4,"",IF(OR(NOT($AJ500),NOT($BA500)),0,IF($BF500&gt;=2*$AF$9,0,Constants!$B$23*INT(ROUND(MIN($BF500,$AF$9),6)))))</f>
        <v/>
      </c>
      <c r="BQ500" s="100" t="str">
        <f aca="false">IF($BH500&lt;&gt;Constants!$B$4,"",IF(NOT($AJ500),0,Constants!$B$24*INT(ROUND(MIN($AZ500,$AF$9),6))))</f>
        <v/>
      </c>
      <c r="BR500" s="100" t="str">
        <f aca="false">IF($BH500&lt;&gt;Constants!$B$4,"",IF(AND($AJ500,$BJ500=0),Constants!$B$25,0))</f>
        <v/>
      </c>
      <c r="BS500" s="100" t="str">
        <f aca="false">IF($BH500&lt;&gt;Constants!$B$4,"",MIN(Constants!$B$29,MAX(0,Constants!$B$27*Constants!$B$28*INT(ROUND((Constants!$B$26-$AL500)/Constants!$B$28,6))))+MIN(Constants!$B$29,MAX(0,Constants!$B$27*Constants!$B$28*INT(ROUND((Constants!$B$26-$AM500)/Constants!$B$28,6))))+MIN(Constants!$B$29,MAX(0,Constants!$B$27*Constants!$B$28*INT(ROUND((Constants!$B$26-$AN500)/Constants!$B$28,6)))))</f>
        <v/>
      </c>
      <c r="BT500" s="100" t="str">
        <f aca="false">IF($BH500&lt;&gt;Constants!$B$4,"",IF(NOT($AJ500),0,Constants!$B$31*INT(ROUND(MAX(0,MIN($BF500,2*$AF$9)-$AF$9),6))))</f>
        <v/>
      </c>
      <c r="BU500" s="100" t="str">
        <f aca="false">IF($BH500&lt;&gt;Constants!$B$4,"",Constants!$B$32*(($AL500&gt;Constants!$B$26)+($AM500&gt;Constants!$B$26)+($AN500&gt;Constants!$B$26)))</f>
        <v/>
      </c>
      <c r="BV500" s="100" t="str">
        <f aca="false">IF($BH500&lt;&gt;Constants!$B$4,"",IF(OR(NOT($AJ500),$AO500),0,Constants!$B$33))</f>
        <v/>
      </c>
      <c r="BW500" s="100" t="str">
        <f aca="false">IF($BH500&lt;&gt;Constants!$B$4,"",Constants!$B$34*$BJ500)</f>
        <v/>
      </c>
      <c r="BX500" s="100" t="str">
        <f aca="false">IF($BH500&lt;&gt;Constants!$B$4,"",IF(OR(NOT($AJ500),$BE500),0,Constants!$B$36))</f>
        <v/>
      </c>
      <c r="BY500" s="100" t="str">
        <f aca="false">IF($BH500&lt;&gt;Constants!$B$4,"",IF(OR(NOT($AJ500),$BD500),0,Constants!$B$37))</f>
        <v/>
      </c>
      <c r="BZ500" s="100" t="str">
        <f aca="false">IF($BH500&lt;&gt;Constants!$B$4,"",SUM($BT500:$BY500))</f>
        <v/>
      </c>
      <c r="CA500" s="100" t="str">
        <f aca="false">IF(ISBLANK($C500),"",IF($BH500&lt;&gt;Constants!$B$4,$BH500,SUM($BK500:$BS500)-$BZ500))</f>
        <v/>
      </c>
      <c r="CB500" s="100" t="str">
        <f aca="false">IF(ISBLANK($C500),"",IF($BH500&lt;&gt;Constants!$B$4,$BH500,RANK($CA500,$CA$9:$CA$508)))</f>
        <v/>
      </c>
      <c r="CC500" s="100" t="str">
        <f aca="false">IF(ISBLANK($C500),"",IF($BH500&lt;&gt;Constants!$B$4,$BH500,COUNTIFS($BI$9:$BI$508,"&lt;"&amp;$BI500)+COUNTIFS($BI$9:$BI$508,$BI500,$CB$9:$CB$508,"&lt;"&amp;$CB500)+1))</f>
        <v/>
      </c>
      <c r="CD500" s="100" t="str">
        <f aca="false">IF(ISBLANK($C500),"",IF($BH500&lt;&gt;Constants!$B$4,$BH500,RANK($BZ500,$BZ$9:$BZ$508,1)))</f>
        <v/>
      </c>
      <c r="CE500" s="100" t="str">
        <f aca="false">IF($BH500&lt;&gt;Constants!$B$4,"",$AL500+$AM500+$AN500)</f>
        <v/>
      </c>
      <c r="CF500" s="100" t="str">
        <f aca="false">IF(ISBLANK($C500),"",IF($BH500&lt;&gt;Constants!$B$4,$BH500,RANK($CE500,$CE$9:$CE$508,1)))</f>
        <v/>
      </c>
      <c r="CG500" s="100" t="str">
        <f aca="false">IF(ISBLANK($C500),"",IF($BH500&lt;&gt;Constants!$B$4,$BH500,COUNTIFS($BI$9:$BI$508,"&lt;"&amp;$BI500)+COUNTIFS($BI$9:$BI$508,$BI500,$CB$9:$CB$508,"&lt;"&amp;$CB500)+COUNTIFS($BI$9:$BI$508,$BI500,$CB$9:$CB$508,$CB500,$CD$9:$CD$508,"&lt;"&amp;$CD500)+COUNTIFS($BI$9:$BI$508,$BI500,$CB$9:$CB$508,$CB500,$CD$9:$CD$508,$CD500,$CF$9:$CF$508,"&lt;"&amp;$CF500)+1))</f>
        <v/>
      </c>
      <c r="CH500" s="100" t="str">
        <f aca="false">IF(ISBLANK($C500),"",IF($BH500&lt;&gt;Constants!$B$4,$BH500,$CC500-$CG500))</f>
        <v/>
      </c>
      <c r="CI500" s="100" t="str">
        <f aca="false">IF(ISBLANK($C500),"",IF(NOT($AJ500),"",IF(ISBLANK($D$7),$CI$5,IF(NOT(ISNUMBER($D$7)),$CI$6,""))))</f>
        <v/>
      </c>
      <c r="CJ500" s="100" t="str">
        <f aca="false">IF(ISBLANK($C500),"",OR($AL500="",$AM500="",$AN500=""))</f>
        <v/>
      </c>
      <c r="CK500" s="100" t="str">
        <f aca="false">IF(ISBLANK($C500),"",AND($AJ500,$AX500=""))</f>
        <v/>
      </c>
      <c r="CL500" s="100" t="str">
        <f aca="false">IF(ISBLANK($C500),"",AND($AJ500,$AY500=""))</f>
        <v/>
      </c>
      <c r="CM500" s="100" t="str">
        <f aca="false">IF(ISBLANK($C500),"",AND($AJ500,$AZ500=""))</f>
        <v/>
      </c>
      <c r="CN500" s="100" t="str">
        <f aca="false">IF(ISBLANK($C500),"",AND($AJ500,$BC500=""))</f>
        <v/>
      </c>
      <c r="CO500" s="100" t="str">
        <f aca="false">IF(ISBLANK($C500),"",AND($AJ500,$BF500=""))</f>
        <v/>
      </c>
      <c r="CP500" s="101"/>
      <c r="CQ500" s="102"/>
      <c r="CR500" s="103" t="str">
        <f aca="false">IF(ISBLANK($C500),"",IF($BH500=Constants!$B$8,$CI500,""))</f>
        <v/>
      </c>
      <c r="CS500" s="102" t="str">
        <f aca="false">IF(ISBLANK($C500),"",IF($BH500&lt;&gt;Constants!$B$4,"",$BK500+$BL500))</f>
        <v/>
      </c>
      <c r="CT500" s="104" t="str">
        <f aca="false">IF(ISBLANK($C500),"",IF($BH500&lt;&gt;Constants!$B$4,"",$BM500+$BN500+$BO500))</f>
        <v/>
      </c>
      <c r="CU500" s="104" t="str">
        <f aca="false">IF(ISBLANK($C500),"",IF($BH500&lt;&gt;Constants!$B$4,"",$BP500))</f>
        <v/>
      </c>
      <c r="CV500" s="104" t="str">
        <f aca="false">IF(ISBLANK($C500),"",IF($BH500&lt;&gt;Constants!$B$4,"",$BQ500+$BR500))</f>
        <v/>
      </c>
      <c r="CW500" s="104" t="str">
        <f aca="false">IF(ISBLANK($C500),"",IF($BH500&lt;&gt;Constants!$B$4,"",$BS500))</f>
        <v/>
      </c>
      <c r="CX500" s="104" t="str">
        <f aca="false">IF(ISBLANK($C500),"",IF($BH500&lt;&gt;Constants!$B$4,"",-$BZ500))</f>
        <v/>
      </c>
      <c r="CY500" s="103" t="str">
        <f aca="false">IF(ISBLANK($C500),"",$CA500)</f>
        <v/>
      </c>
      <c r="CZ500" s="105" t="str">
        <f aca="false">IF(ISBLANK($C500),"",$BI500)</f>
        <v/>
      </c>
      <c r="DA500" s="104" t="str">
        <f aca="false">IF(ISBLANK($C500),"",$CH500)</f>
        <v/>
      </c>
      <c r="DB500" s="104" t="str">
        <f aca="false">IF(ISBLANK($C500),"",$CG500)</f>
        <v/>
      </c>
      <c r="DC500" s="106" t="str">
        <f aca="false">IF(ISBLANK($C500),"",IFERROR(_xlfn.SWITCH($DB500,Constants!$B$7,COUNTA($C$9:$C$508)+2,Constants!$B$6,COUNTA($C$9:$C$508)+1,Constants!$B$5,COUNTA($C$9:$C$508)),$DB500))</f>
        <v/>
      </c>
      <c r="DD500" s="7"/>
      <c r="DE500" s="107" t="n">
        <f aca="false">IF(OR(ISNUMBER($DB500),$DB500=Constants!$B$7,$DB500=Constants!$B$5,$DB500=Constants!$B$6),1,0)</f>
        <v>0</v>
      </c>
      <c r="DF500" s="107" t="n">
        <v>492</v>
      </c>
      <c r="DG500" s="107" t="str">
        <f aca="false">IF(ISBLANK($C500),"",IF(ISNUMBER($DC500),$DC500+ROW($B500)/1000,""))</f>
        <v/>
      </c>
      <c r="DH500" s="107" t="str">
        <f aca="false">IF(ISNUMBER($DG500),RANK($DG500,$DG$9:$DG$508,1),"")</f>
        <v/>
      </c>
      <c r="DI500" s="107" t="str">
        <f aca="false">IF(ISBLANK($C500),"",$B500)</f>
        <v/>
      </c>
      <c r="DJ500" s="107" t="str">
        <f aca="false">IF(ISBLANK($C500),"",$C500)</f>
        <v/>
      </c>
      <c r="DK500" s="107" t="str">
        <f aca="false">IF(ISBLANK($C500),"",$D500)</f>
        <v/>
      </c>
      <c r="DL500" s="108" t="str">
        <f aca="false">$CZ500</f>
        <v/>
      </c>
      <c r="DM500" s="109" t="str">
        <f aca="false">$CY500</f>
        <v/>
      </c>
      <c r="DN500" s="107" t="str">
        <f aca="false">IF(ISBLANK($C500),"",$DB500)</f>
        <v/>
      </c>
      <c r="DO500" s="110" t="str">
        <f aca="false">IF($DF500&gt;$DE$8,"",VLOOKUP($DF500,$DH$9:$DN$508,7,FALSE()))</f>
        <v/>
      </c>
      <c r="DP500" s="111" t="str">
        <f aca="false">IF($DF500&gt;$DE$8,"",VLOOKUP($DF500,$DH$9:$DN$508,2,FALSE()))</f>
        <v/>
      </c>
      <c r="DQ500" s="111" t="str">
        <f aca="false">IF($DF500&gt;$DE$8,"",VLOOKUP($DF500,$DH$9:$DN$508,3,FALSE()))</f>
        <v/>
      </c>
      <c r="DR500" s="111" t="str">
        <f aca="false">IF($DF500&gt;$DE$8,"",VLOOKUP($DF500,$DH$9:$DN$508,4,FALSE()))</f>
        <v/>
      </c>
      <c r="DS500" s="111" t="str">
        <f aca="false">IF($DF500&gt;$DE$8,"",VLOOKUP($DF500,$DH$9:$DN$508,5,FALSE()))</f>
        <v/>
      </c>
      <c r="DT500" s="112" t="str">
        <f aca="false">IF($DF500&gt;$DE$8,"",VLOOKUP($DF500,$DH$9:$DN$508,6,FALSE()))</f>
        <v/>
      </c>
      <c r="DU500" s="62"/>
    </row>
    <row r="501" customFormat="false" ht="15.75" hidden="false" customHeight="false" outlineLevel="0" collapsed="false">
      <c r="A501" s="7"/>
      <c r="B501" s="64"/>
      <c r="C501" s="65"/>
      <c r="D501" s="123"/>
      <c r="E501" s="88"/>
      <c r="F501" s="134"/>
      <c r="G501" s="88"/>
      <c r="H501" s="134"/>
      <c r="I501" s="119"/>
      <c r="J501" s="119"/>
      <c r="K501" s="119"/>
      <c r="L501" s="88"/>
      <c r="M501" s="88"/>
      <c r="N501" s="88"/>
      <c r="O501" s="134"/>
      <c r="P501" s="88"/>
      <c r="Q501" s="88"/>
      <c r="R501" s="88"/>
      <c r="S501" s="88"/>
      <c r="T501" s="134"/>
      <c r="U501" s="88"/>
      <c r="V501" s="70"/>
      <c r="W501" s="88"/>
      <c r="X501" s="88"/>
      <c r="Y501" s="70"/>
      <c r="Z501" s="70"/>
      <c r="AA501" s="88"/>
      <c r="AB501" s="88"/>
      <c r="AC501" s="71"/>
      <c r="AD501" s="88"/>
      <c r="AE501" s="73"/>
      <c r="AF501" s="74"/>
      <c r="AG501" s="74"/>
      <c r="AH501" s="74" t="str">
        <f aca="false">IF(ISBLANK($C501),"",IF($E501=Constants!$B$2,TRUE(),IF($E501=Constants!$B$3,FALSE(),TRUE())))</f>
        <v/>
      </c>
      <c r="AI501" s="74" t="str">
        <f aca="false">IF(ISBLANK($C501),"",IF($F501=Constants!$B$2,TRUE(),IF($F501=Constants!$B$3,FALSE(),FALSE())))</f>
        <v/>
      </c>
      <c r="AJ501" s="74" t="str">
        <f aca="false">IF(ISBLANK($C501),"",IF($G501=Constants!$B$2,TRUE(),IF($G501=Constants!$B$3,FALSE(),TRUE())))</f>
        <v/>
      </c>
      <c r="AK501" s="74" t="str">
        <f aca="false">IF(ISBLANK($C501),"",IF($H501=Constants!$B$2,TRUE(),IF($H501=Constants!$B$3,FALSE(),TRUE())))</f>
        <v/>
      </c>
      <c r="AL501" s="74" t="str">
        <f aca="false">IF(ISBLANK($C501),"",IF(ISNUMBER($I501),IF($I501&gt;=0,$I501,""),""))</f>
        <v/>
      </c>
      <c r="AM501" s="74" t="str">
        <f aca="false">IF(ISBLANK($C501),"",IF(ISNUMBER($J501),IF($J501&gt;=0,$J501,""),""))</f>
        <v/>
      </c>
      <c r="AN501" s="74" t="str">
        <f aca="false">IF(ISBLANK($C501),"",IF(ISNUMBER($K501),IF($K501&gt;=0,$K501,""),""))</f>
        <v/>
      </c>
      <c r="AO501" s="74" t="str">
        <f aca="false">IF(ISBLANK($C501),"",IF($L501=Constants!$B$2,TRUE(),IF($L501=Constants!$B$3,FALSE(),TRUE())))</f>
        <v/>
      </c>
      <c r="AP501" s="74" t="str">
        <f aca="false">IF(ISBLANK($C501),"",IF($M501=Constants!$B$2,TRUE(),IF($M501=Constants!$B$3,FALSE(),TRUE())))</f>
        <v/>
      </c>
      <c r="AQ501" s="74" t="str">
        <f aca="false">IF(ISBLANK($C501),"",IF($N501=Constants!$B$2,TRUE(),IF($N501=Constants!$B$3,FALSE(),FALSE())))</f>
        <v/>
      </c>
      <c r="AR501" s="74" t="str">
        <f aca="false">IF(ISBLANK($C501),"",IF($O501=Constants!$B$2,TRUE(),IF($O501=Constants!$B$3,FALSE(),TRUE())))</f>
        <v/>
      </c>
      <c r="AS501" s="74" t="str">
        <f aca="false">IF(ISBLANK($C501),"",IF($P501=Constants!$B$2,TRUE(),IF($P501=Constants!$B$3,FALSE(),FALSE())))</f>
        <v/>
      </c>
      <c r="AT501" s="74" t="str">
        <f aca="false">IF(ISBLANK($C501),"",IF($Q501=Constants!$B$2,TRUE(),IF($Q501=Constants!$B$3,FALSE(),FALSE())))</f>
        <v/>
      </c>
      <c r="AU501" s="74" t="str">
        <f aca="false">IF(ISBLANK($C501),"",IF($R501=Constants!$B$2,TRUE(),IF($R501=Constants!$B$3,FALSE(),FALSE())))</f>
        <v/>
      </c>
      <c r="AV501" s="74" t="str">
        <f aca="false">IF(ISBLANK($C501),"",IF($S501=Constants!$B$2,TRUE(),IF($S501=Constants!$B$3,FALSE(),FALSE())))</f>
        <v/>
      </c>
      <c r="AW501" s="74" t="str">
        <f aca="false">IF(ISBLANK($C501),"",IF($T501=Constants!$B$2,TRUE(),IF($T501=Constants!$B$3,FALSE(),FALSE())))</f>
        <v/>
      </c>
      <c r="AX501" s="74" t="str">
        <f aca="false">IF(ISBLANK($C501),"",IF(OR($U501&amp;""="1",$U501&amp;""="2",$U501&amp;""="3",$U501&amp;""="4"),VALUE($U501&amp;""),IF($U501=Constants!$B$12,Constants!$B$12,"")))</f>
        <v/>
      </c>
      <c r="AY501" s="74" t="str">
        <f aca="false">IF(ISBLANK($C501),"",IF(ISBLANK($V501),0,IF(ISNUMBER($V501),IF(AND($V501&gt;=0,$V501&lt;=Constants!$B$21,$V501=INT($V501)),$V501,""),"")))</f>
        <v/>
      </c>
      <c r="AZ501" s="74" t="str">
        <f aca="false">IF(ISBLANK($C501),"",IF(ISBLANK($W501),0,IF(ISNUMBER($W501),IF($W501&gt;=0,$W501,""),"")))</f>
        <v/>
      </c>
      <c r="BA501" s="74" t="str">
        <f aca="false">IF(ISBLANK($C501),"",IF($X501=Constants!$B$2,TRUE(),IF($X501=Constants!$B$3,FALSE(),TRUE())))</f>
        <v/>
      </c>
      <c r="BB501" s="74" t="str">
        <f aca="false">IF(ISBLANK($C501),"",IF($Y501=Constants!$B$2,TRUE(),IF($Y501=Constants!$B$3,FALSE(),FALSE())))</f>
        <v/>
      </c>
      <c r="BC501" s="74" t="str">
        <f aca="false">IF(ISBLANK($C501),"",IF(ISBLANK($Z501),0,IF(ISNUMBER($Z501),IF(AND($Z501&gt;=0,$Z501&lt;=Constants!$B$35,$Z501=INT($Z501)),$Z501,""),"")))</f>
        <v/>
      </c>
      <c r="BD501" s="74" t="str">
        <f aca="false">IF(ISBLANK($C501),"",IF($AA501=Constants!$B$2,TRUE(),IF($AA501=Constants!$B$3,FALSE(),TRUE())))</f>
        <v/>
      </c>
      <c r="BE501" s="74" t="str">
        <f aca="false">IF(ISBLANK($C501),"",IF($AB501=Constants!$B$2,TRUE(),IF($AB501=Constants!$B$3,FALSE(),TRUE())))</f>
        <v/>
      </c>
      <c r="BF501" s="74" t="str">
        <f aca="false">IF(ISBLANK($C501),"",IF(ISNUMBER($AC501),IF($AC501&gt;=0,$AC501,""),""))</f>
        <v/>
      </c>
      <c r="BG501" s="74" t="str">
        <f aca="false">IF(ISBLANK($C501),"",IF($AD501=Constants!$B$2,TRUE(),IF($AD501=Constants!$B$3,FALSE(),FALSE())))</f>
        <v/>
      </c>
      <c r="BH501" s="73" t="str">
        <f aca="false">IF(ISBLANK($C501),"",IF($BG501,Constants!$B$7,IF(COUNTA($E501:$AC501)=0,Constants!$B$6,IF(OR(COUNTA($G501:$AC501)=0,NOT($AK501),$AQ501),Constants!$B$5,IF(OR($CI501&lt;&gt;"",$CJ501,$CK501,$CL501,$CM501,$CN501,$CO501),Constants!$B$8,Constants!$B$4)))))</f>
        <v/>
      </c>
      <c r="BI501" s="74" t="str">
        <f aca="false">IF(ISBLANK($C501),"",IF($BH501&lt;&gt;Constants!$B$4,$BH501,IF(OR(NOT($AH501),NOT($AJ501),NOT($AR501)),Constants!$B$11,IF(OR(NOT($AP501),MAX($AL501,$AM501,$AN501)&gt;Constants!$B$30),Constants!$B$10,Constants!$B$9))))</f>
        <v/>
      </c>
      <c r="BJ501" s="74" t="str">
        <f aca="false">IF($BH501&lt;&gt;Constants!$B$4,"",IF(NOT($AJ501),0,MIN(Constants!$B$35,$BC501)))</f>
        <v/>
      </c>
      <c r="BK501" s="74" t="str">
        <f aca="false">IF($BH501&lt;&gt;Constants!$B$4,"",IF(NOT($AJ501),0,IF($AT501,Constants!$B$18,IF($AS501,Constants!$B$17,0))))</f>
        <v/>
      </c>
      <c r="BL501" s="74" t="str">
        <f aca="false">IF($BH501&lt;&gt;Constants!$B$4,"",IF(NOT($AJ501),0,Constants!$B$19*($AI501+$AU501+$AV501+$AW501)))</f>
        <v/>
      </c>
      <c r="BM501" s="74" t="str">
        <f aca="false">IF($BH501&lt;&gt;Constants!$B$4,"",IF(OR(NOT($AJ501),NOT(ISNUMBER($AX501))),0,CHOOSE($AX501,Constants!$B$13,Constants!$B$14,Constants!$B$15,Constants!$B$16)))</f>
        <v/>
      </c>
      <c r="BN501" s="74" t="str">
        <f aca="false">IF($BH501&lt;&gt;Constants!$B$4,"",IF(NOT($AJ501),0,Constants!$B$20*$AY501))</f>
        <v/>
      </c>
      <c r="BO501" s="74" t="str">
        <f aca="false">IF($BH501&lt;&gt;Constants!$B$4,"",IF(AND($AJ501,$BA501,$BB501),Constants!$B$22,0))</f>
        <v/>
      </c>
      <c r="BP501" s="74" t="str">
        <f aca="false">IF($BH501&lt;&gt;Constants!$B$4,"",IF(OR(NOT($AJ501),NOT($BA501)),0,IF($BF501&gt;=2*$AF$9,0,Constants!$B$23*INT(ROUND(MIN($BF501,$AF$9),6)))))</f>
        <v/>
      </c>
      <c r="BQ501" s="74" t="str">
        <f aca="false">IF($BH501&lt;&gt;Constants!$B$4,"",IF(NOT($AJ501),0,Constants!$B$24*INT(ROUND(MIN($AZ501,$AF$9),6))))</f>
        <v/>
      </c>
      <c r="BR501" s="74" t="str">
        <f aca="false">IF($BH501&lt;&gt;Constants!$B$4,"",IF(AND($AJ501,$BJ501=0),Constants!$B$25,0))</f>
        <v/>
      </c>
      <c r="BS501" s="74" t="str">
        <f aca="false">IF($BH501&lt;&gt;Constants!$B$4,"",MIN(Constants!$B$29,MAX(0,Constants!$B$27*Constants!$B$28*INT(ROUND((Constants!$B$26-$AL501)/Constants!$B$28,6))))+MIN(Constants!$B$29,MAX(0,Constants!$B$27*Constants!$B$28*INT(ROUND((Constants!$B$26-$AM501)/Constants!$B$28,6))))+MIN(Constants!$B$29,MAX(0,Constants!$B$27*Constants!$B$28*INT(ROUND((Constants!$B$26-$AN501)/Constants!$B$28,6)))))</f>
        <v/>
      </c>
      <c r="BT501" s="74" t="str">
        <f aca="false">IF($BH501&lt;&gt;Constants!$B$4,"",IF(NOT($AJ501),0,Constants!$B$31*INT(ROUND(MAX(0,MIN($BF501,2*$AF$9)-$AF$9),6))))</f>
        <v/>
      </c>
      <c r="BU501" s="74" t="str">
        <f aca="false">IF($BH501&lt;&gt;Constants!$B$4,"",Constants!$B$32*(($AL501&gt;Constants!$B$26)+($AM501&gt;Constants!$B$26)+($AN501&gt;Constants!$B$26)))</f>
        <v/>
      </c>
      <c r="BV501" s="74" t="str">
        <f aca="false">IF($BH501&lt;&gt;Constants!$B$4,"",IF(OR(NOT($AJ501),$AO501),0,Constants!$B$33))</f>
        <v/>
      </c>
      <c r="BW501" s="74" t="str">
        <f aca="false">IF($BH501&lt;&gt;Constants!$B$4,"",Constants!$B$34*$BJ501)</f>
        <v/>
      </c>
      <c r="BX501" s="74" t="str">
        <f aca="false">IF($BH501&lt;&gt;Constants!$B$4,"",IF(OR(NOT($AJ501),$BE501),0,Constants!$B$36))</f>
        <v/>
      </c>
      <c r="BY501" s="74" t="str">
        <f aca="false">IF($BH501&lt;&gt;Constants!$B$4,"",IF(OR(NOT($AJ501),$BD501),0,Constants!$B$37))</f>
        <v/>
      </c>
      <c r="BZ501" s="74" t="str">
        <f aca="false">IF($BH501&lt;&gt;Constants!$B$4,"",SUM($BT501:$BY501))</f>
        <v/>
      </c>
      <c r="CA501" s="74" t="str">
        <f aca="false">IF(ISBLANK($C501),"",IF($BH501&lt;&gt;Constants!$B$4,$BH501,SUM($BK501:$BS501)-$BZ501))</f>
        <v/>
      </c>
      <c r="CB501" s="74" t="str">
        <f aca="false">IF(ISBLANK($C501),"",IF($BH501&lt;&gt;Constants!$B$4,$BH501,RANK($CA501,$CA$9:$CA$508)))</f>
        <v/>
      </c>
      <c r="CC501" s="74" t="str">
        <f aca="false">IF(ISBLANK($C501),"",IF($BH501&lt;&gt;Constants!$B$4,$BH501,COUNTIFS($BI$9:$BI$508,"&lt;"&amp;$BI501)+COUNTIFS($BI$9:$BI$508,$BI501,$CB$9:$CB$508,"&lt;"&amp;$CB501)+1))</f>
        <v/>
      </c>
      <c r="CD501" s="74" t="str">
        <f aca="false">IF(ISBLANK($C501),"",IF($BH501&lt;&gt;Constants!$B$4,$BH501,RANK($BZ501,$BZ$9:$BZ$508,1)))</f>
        <v/>
      </c>
      <c r="CE501" s="74" t="str">
        <f aca="false">IF($BH501&lt;&gt;Constants!$B$4,"",$AL501+$AM501+$AN501)</f>
        <v/>
      </c>
      <c r="CF501" s="74" t="str">
        <f aca="false">IF(ISBLANK($C501),"",IF($BH501&lt;&gt;Constants!$B$4,$BH501,RANK($CE501,$CE$9:$CE$508,1)))</f>
        <v/>
      </c>
      <c r="CG501" s="74" t="str">
        <f aca="false">IF(ISBLANK($C501),"",IF($BH501&lt;&gt;Constants!$B$4,$BH501,COUNTIFS($BI$9:$BI$508,"&lt;"&amp;$BI501)+COUNTIFS($BI$9:$BI$508,$BI501,$CB$9:$CB$508,"&lt;"&amp;$CB501)+COUNTIFS($BI$9:$BI$508,$BI501,$CB$9:$CB$508,$CB501,$CD$9:$CD$508,"&lt;"&amp;$CD501)+COUNTIFS($BI$9:$BI$508,$BI501,$CB$9:$CB$508,$CB501,$CD$9:$CD$508,$CD501,$CF$9:$CF$508,"&lt;"&amp;$CF501)+1))</f>
        <v/>
      </c>
      <c r="CH501" s="74" t="str">
        <f aca="false">IF(ISBLANK($C501),"",IF($BH501&lt;&gt;Constants!$B$4,$BH501,$CC501-$CG501))</f>
        <v/>
      </c>
      <c r="CI501" s="74" t="str">
        <f aca="false">IF(ISBLANK($C501),"",IF(NOT($AJ501),"",IF(ISBLANK($D$7),$CI$5,IF(NOT(ISNUMBER($D$7)),$CI$6,""))))</f>
        <v/>
      </c>
      <c r="CJ501" s="74" t="str">
        <f aca="false">IF(ISBLANK($C501),"",OR($AL501="",$AM501="",$AN501=""))</f>
        <v/>
      </c>
      <c r="CK501" s="74" t="str">
        <f aca="false">IF(ISBLANK($C501),"",AND($AJ501,$AX501=""))</f>
        <v/>
      </c>
      <c r="CL501" s="74" t="str">
        <f aca="false">IF(ISBLANK($C501),"",AND($AJ501,$AY501=""))</f>
        <v/>
      </c>
      <c r="CM501" s="74" t="str">
        <f aca="false">IF(ISBLANK($C501),"",AND($AJ501,$AZ501=""))</f>
        <v/>
      </c>
      <c r="CN501" s="74" t="str">
        <f aca="false">IF(ISBLANK($C501),"",AND($AJ501,$BC501=""))</f>
        <v/>
      </c>
      <c r="CO501" s="74" t="str">
        <f aca="false">IF(ISBLANK($C501),"",AND($AJ501,$BF501=""))</f>
        <v/>
      </c>
      <c r="CP501" s="75"/>
      <c r="CQ501" s="76"/>
      <c r="CR501" s="79" t="str">
        <f aca="false">IF(ISBLANK($C501),"",IF($BH501=Constants!$B$8,$CI501,""))</f>
        <v/>
      </c>
      <c r="CS501" s="76" t="str">
        <f aca="false">IF(ISBLANK($C501),"",IF($BH501&lt;&gt;Constants!$B$4,"",$BK501+$BL501))</f>
        <v/>
      </c>
      <c r="CT501" s="78" t="str">
        <f aca="false">IF(ISBLANK($C501),"",IF($BH501&lt;&gt;Constants!$B$4,"",$BM501+$BN501+$BO501))</f>
        <v/>
      </c>
      <c r="CU501" s="78" t="str">
        <f aca="false">IF(ISBLANK($C501),"",IF($BH501&lt;&gt;Constants!$B$4,"",$BP501))</f>
        <v/>
      </c>
      <c r="CV501" s="78" t="str">
        <f aca="false">IF(ISBLANK($C501),"",IF($BH501&lt;&gt;Constants!$B$4,"",$BQ501+$BR501))</f>
        <v/>
      </c>
      <c r="CW501" s="78" t="str">
        <f aca="false">IF(ISBLANK($C501),"",IF($BH501&lt;&gt;Constants!$B$4,"",$BS501))</f>
        <v/>
      </c>
      <c r="CX501" s="78" t="str">
        <f aca="false">IF(ISBLANK($C501),"",IF($BH501&lt;&gt;Constants!$B$4,"",-$BZ501))</f>
        <v/>
      </c>
      <c r="CY501" s="79" t="str">
        <f aca="false">IF(ISBLANK($C501),"",$CA501)</f>
        <v/>
      </c>
      <c r="CZ501" s="80" t="str">
        <f aca="false">IF(ISBLANK($C501),"",$BI501)</f>
        <v/>
      </c>
      <c r="DA501" s="78" t="str">
        <f aca="false">IF(ISBLANK($C501),"",$CH501)</f>
        <v/>
      </c>
      <c r="DB501" s="78" t="str">
        <f aca="false">IF(ISBLANK($C501),"",$CG501)</f>
        <v/>
      </c>
      <c r="DC501" s="81" t="str">
        <f aca="false">IF(ISBLANK($C501),"",IFERROR(_xlfn.SWITCH($DB501,Constants!$B$7,COUNTA($C$9:$C$508)+2,Constants!$B$6,COUNTA($C$9:$C$508)+1,Constants!$B$5,COUNTA($C$9:$C$508)),$DB501))</f>
        <v/>
      </c>
      <c r="DD501" s="7"/>
      <c r="DE501" s="82" t="n">
        <f aca="false">IF(OR(ISNUMBER($DB501),$DB501=Constants!$B$7,$DB501=Constants!$B$5,$DB501=Constants!$B$6),1,0)</f>
        <v>0</v>
      </c>
      <c r="DF501" s="82" t="n">
        <v>493</v>
      </c>
      <c r="DG501" s="82" t="str">
        <f aca="false">IF(ISBLANK($C501),"",IF(ISNUMBER($DC501),$DC501+ROW($B501)/1000,""))</f>
        <v/>
      </c>
      <c r="DH501" s="82" t="str">
        <f aca="false">IF(ISNUMBER($DG501),RANK($DG501,$DG$9:$DG$508,1),"")</f>
        <v/>
      </c>
      <c r="DI501" s="82" t="str">
        <f aca="false">IF(ISBLANK($C501),"",$B501)</f>
        <v/>
      </c>
      <c r="DJ501" s="82" t="str">
        <f aca="false">IF(ISBLANK($C501),"",$C501)</f>
        <v/>
      </c>
      <c r="DK501" s="82" t="str">
        <f aca="false">IF(ISBLANK($C501),"",$D501)</f>
        <v/>
      </c>
      <c r="DL501" s="83" t="str">
        <f aca="false">$CZ501</f>
        <v/>
      </c>
      <c r="DM501" s="84" t="str">
        <f aca="false">$CY501</f>
        <v/>
      </c>
      <c r="DN501" s="82" t="str">
        <f aca="false">IF(ISBLANK($C501),"",$DB501)</f>
        <v/>
      </c>
      <c r="DO501" s="85" t="str">
        <f aca="false">IF($DF501&gt;$DE$8,"",VLOOKUP($DF501,$DH$9:$DN$508,7,FALSE()))</f>
        <v/>
      </c>
      <c r="DP501" s="86" t="str">
        <f aca="false">IF($DF501&gt;$DE$8,"",VLOOKUP($DF501,$DH$9:$DN$508,2,FALSE()))</f>
        <v/>
      </c>
      <c r="DQ501" s="86" t="str">
        <f aca="false">IF($DF501&gt;$DE$8,"",VLOOKUP($DF501,$DH$9:$DN$508,3,FALSE()))</f>
        <v/>
      </c>
      <c r="DR501" s="86" t="str">
        <f aca="false">IF($DF501&gt;$DE$8,"",VLOOKUP($DF501,$DH$9:$DN$508,4,FALSE()))</f>
        <v/>
      </c>
      <c r="DS501" s="86" t="str">
        <f aca="false">IF($DF501&gt;$DE$8,"",VLOOKUP($DF501,$DH$9:$DN$508,5,FALSE()))</f>
        <v/>
      </c>
      <c r="DT501" s="87" t="str">
        <f aca="false">IF($DF501&gt;$DE$8,"",VLOOKUP($DF501,$DH$9:$DN$508,6,FALSE()))</f>
        <v/>
      </c>
      <c r="DU501" s="62"/>
    </row>
    <row r="502" customFormat="false" ht="15.75" hidden="false" customHeight="false" outlineLevel="0" collapsed="false">
      <c r="A502" s="7"/>
      <c r="B502" s="64"/>
      <c r="C502" s="65"/>
      <c r="D502" s="123"/>
      <c r="E502" s="88"/>
      <c r="F502" s="134"/>
      <c r="G502" s="88"/>
      <c r="H502" s="134"/>
      <c r="I502" s="119"/>
      <c r="J502" s="119"/>
      <c r="K502" s="119"/>
      <c r="L502" s="88"/>
      <c r="M502" s="88"/>
      <c r="N502" s="88"/>
      <c r="O502" s="134"/>
      <c r="P502" s="88"/>
      <c r="Q502" s="88"/>
      <c r="R502" s="88"/>
      <c r="S502" s="88"/>
      <c r="T502" s="134"/>
      <c r="U502" s="88"/>
      <c r="V502" s="70"/>
      <c r="W502" s="88"/>
      <c r="X502" s="88"/>
      <c r="Y502" s="70"/>
      <c r="Z502" s="70"/>
      <c r="AA502" s="88"/>
      <c r="AB502" s="88"/>
      <c r="AC502" s="71"/>
      <c r="AD502" s="88"/>
      <c r="AE502" s="73"/>
      <c r="AF502" s="74"/>
      <c r="AG502" s="74"/>
      <c r="AH502" s="74" t="str">
        <f aca="false">IF(ISBLANK($C502),"",IF($E502=Constants!$B$2,TRUE(),IF($E502=Constants!$B$3,FALSE(),TRUE())))</f>
        <v/>
      </c>
      <c r="AI502" s="74" t="str">
        <f aca="false">IF(ISBLANK($C502),"",IF($F502=Constants!$B$2,TRUE(),IF($F502=Constants!$B$3,FALSE(),FALSE())))</f>
        <v/>
      </c>
      <c r="AJ502" s="74" t="str">
        <f aca="false">IF(ISBLANK($C502),"",IF($G502=Constants!$B$2,TRUE(),IF($G502=Constants!$B$3,FALSE(),TRUE())))</f>
        <v/>
      </c>
      <c r="AK502" s="74" t="str">
        <f aca="false">IF(ISBLANK($C502),"",IF($H502=Constants!$B$2,TRUE(),IF($H502=Constants!$B$3,FALSE(),TRUE())))</f>
        <v/>
      </c>
      <c r="AL502" s="74" t="str">
        <f aca="false">IF(ISBLANK($C502),"",IF(ISNUMBER($I502),IF($I502&gt;=0,$I502,""),""))</f>
        <v/>
      </c>
      <c r="AM502" s="74" t="str">
        <f aca="false">IF(ISBLANK($C502),"",IF(ISNUMBER($J502),IF($J502&gt;=0,$J502,""),""))</f>
        <v/>
      </c>
      <c r="AN502" s="74" t="str">
        <f aca="false">IF(ISBLANK($C502),"",IF(ISNUMBER($K502),IF($K502&gt;=0,$K502,""),""))</f>
        <v/>
      </c>
      <c r="AO502" s="74" t="str">
        <f aca="false">IF(ISBLANK($C502),"",IF($L502=Constants!$B$2,TRUE(),IF($L502=Constants!$B$3,FALSE(),TRUE())))</f>
        <v/>
      </c>
      <c r="AP502" s="74" t="str">
        <f aca="false">IF(ISBLANK($C502),"",IF($M502=Constants!$B$2,TRUE(),IF($M502=Constants!$B$3,FALSE(),TRUE())))</f>
        <v/>
      </c>
      <c r="AQ502" s="74" t="str">
        <f aca="false">IF(ISBLANK($C502),"",IF($N502=Constants!$B$2,TRUE(),IF($N502=Constants!$B$3,FALSE(),FALSE())))</f>
        <v/>
      </c>
      <c r="AR502" s="74" t="str">
        <f aca="false">IF(ISBLANK($C502),"",IF($O502=Constants!$B$2,TRUE(),IF($O502=Constants!$B$3,FALSE(),TRUE())))</f>
        <v/>
      </c>
      <c r="AS502" s="74" t="str">
        <f aca="false">IF(ISBLANK($C502),"",IF($P502=Constants!$B$2,TRUE(),IF($P502=Constants!$B$3,FALSE(),FALSE())))</f>
        <v/>
      </c>
      <c r="AT502" s="74" t="str">
        <f aca="false">IF(ISBLANK($C502),"",IF($Q502=Constants!$B$2,TRUE(),IF($Q502=Constants!$B$3,FALSE(),FALSE())))</f>
        <v/>
      </c>
      <c r="AU502" s="74" t="str">
        <f aca="false">IF(ISBLANK($C502),"",IF($R502=Constants!$B$2,TRUE(),IF($R502=Constants!$B$3,FALSE(),FALSE())))</f>
        <v/>
      </c>
      <c r="AV502" s="74" t="str">
        <f aca="false">IF(ISBLANK($C502),"",IF($S502=Constants!$B$2,TRUE(),IF($S502=Constants!$B$3,FALSE(),FALSE())))</f>
        <v/>
      </c>
      <c r="AW502" s="74" t="str">
        <f aca="false">IF(ISBLANK($C502),"",IF($T502=Constants!$B$2,TRUE(),IF($T502=Constants!$B$3,FALSE(),FALSE())))</f>
        <v/>
      </c>
      <c r="AX502" s="74" t="str">
        <f aca="false">IF(ISBLANK($C502),"",IF(OR($U502&amp;""="1",$U502&amp;""="2",$U502&amp;""="3",$U502&amp;""="4"),VALUE($U502&amp;""),IF($U502=Constants!$B$12,Constants!$B$12,"")))</f>
        <v/>
      </c>
      <c r="AY502" s="74" t="str">
        <f aca="false">IF(ISBLANK($C502),"",IF(ISBLANK($V502),0,IF(ISNUMBER($V502),IF(AND($V502&gt;=0,$V502&lt;=Constants!$B$21,$V502=INT($V502)),$V502,""),"")))</f>
        <v/>
      </c>
      <c r="AZ502" s="74" t="str">
        <f aca="false">IF(ISBLANK($C502),"",IF(ISBLANK($W502),0,IF(ISNUMBER($W502),IF($W502&gt;=0,$W502,""),"")))</f>
        <v/>
      </c>
      <c r="BA502" s="74" t="str">
        <f aca="false">IF(ISBLANK($C502),"",IF($X502=Constants!$B$2,TRUE(),IF($X502=Constants!$B$3,FALSE(),TRUE())))</f>
        <v/>
      </c>
      <c r="BB502" s="74" t="str">
        <f aca="false">IF(ISBLANK($C502),"",IF($Y502=Constants!$B$2,TRUE(),IF($Y502=Constants!$B$3,FALSE(),FALSE())))</f>
        <v/>
      </c>
      <c r="BC502" s="74" t="str">
        <f aca="false">IF(ISBLANK($C502),"",IF(ISBLANK($Z502),0,IF(ISNUMBER($Z502),IF(AND($Z502&gt;=0,$Z502&lt;=Constants!$B$35,$Z502=INT($Z502)),$Z502,""),"")))</f>
        <v/>
      </c>
      <c r="BD502" s="74" t="str">
        <f aca="false">IF(ISBLANK($C502),"",IF($AA502=Constants!$B$2,TRUE(),IF($AA502=Constants!$B$3,FALSE(),TRUE())))</f>
        <v/>
      </c>
      <c r="BE502" s="74" t="str">
        <f aca="false">IF(ISBLANK($C502),"",IF($AB502=Constants!$B$2,TRUE(),IF($AB502=Constants!$B$3,FALSE(),TRUE())))</f>
        <v/>
      </c>
      <c r="BF502" s="74" t="str">
        <f aca="false">IF(ISBLANK($C502),"",IF(ISNUMBER($AC502),IF($AC502&gt;=0,$AC502,""),""))</f>
        <v/>
      </c>
      <c r="BG502" s="74" t="str">
        <f aca="false">IF(ISBLANK($C502),"",IF($AD502=Constants!$B$2,TRUE(),IF($AD502=Constants!$B$3,FALSE(),FALSE())))</f>
        <v/>
      </c>
      <c r="BH502" s="73" t="str">
        <f aca="false">IF(ISBLANK($C502),"",IF($BG502,Constants!$B$7,IF(COUNTA($E502:$AC502)=0,Constants!$B$6,IF(OR(COUNTA($G502:$AC502)=0,NOT($AK502),$AQ502),Constants!$B$5,IF(OR($CI502&lt;&gt;"",$CJ502,$CK502,$CL502,$CM502,$CN502,$CO502),Constants!$B$8,Constants!$B$4)))))</f>
        <v/>
      </c>
      <c r="BI502" s="74" t="str">
        <f aca="false">IF(ISBLANK($C502),"",IF($BH502&lt;&gt;Constants!$B$4,$BH502,IF(OR(NOT($AH502),NOT($AJ502),NOT($AR502)),Constants!$B$11,IF(OR(NOT($AP502),MAX($AL502,$AM502,$AN502)&gt;Constants!$B$30),Constants!$B$10,Constants!$B$9))))</f>
        <v/>
      </c>
      <c r="BJ502" s="74" t="str">
        <f aca="false">IF($BH502&lt;&gt;Constants!$B$4,"",IF(NOT($AJ502),0,MIN(Constants!$B$35,$BC502)))</f>
        <v/>
      </c>
      <c r="BK502" s="74" t="str">
        <f aca="false">IF($BH502&lt;&gt;Constants!$B$4,"",IF(NOT($AJ502),0,IF($AT502,Constants!$B$18,IF($AS502,Constants!$B$17,0))))</f>
        <v/>
      </c>
      <c r="BL502" s="74" t="str">
        <f aca="false">IF($BH502&lt;&gt;Constants!$B$4,"",IF(NOT($AJ502),0,Constants!$B$19*($AI502+$AU502+$AV502+$AW502)))</f>
        <v/>
      </c>
      <c r="BM502" s="74" t="str">
        <f aca="false">IF($BH502&lt;&gt;Constants!$B$4,"",IF(OR(NOT($AJ502),NOT(ISNUMBER($AX502))),0,CHOOSE($AX502,Constants!$B$13,Constants!$B$14,Constants!$B$15,Constants!$B$16)))</f>
        <v/>
      </c>
      <c r="BN502" s="74" t="str">
        <f aca="false">IF($BH502&lt;&gt;Constants!$B$4,"",IF(NOT($AJ502),0,Constants!$B$20*$AY502))</f>
        <v/>
      </c>
      <c r="BO502" s="74" t="str">
        <f aca="false">IF($BH502&lt;&gt;Constants!$B$4,"",IF(AND($AJ502,$BA502,$BB502),Constants!$B$22,0))</f>
        <v/>
      </c>
      <c r="BP502" s="74" t="str">
        <f aca="false">IF($BH502&lt;&gt;Constants!$B$4,"",IF(OR(NOT($AJ502),NOT($BA502)),0,IF($BF502&gt;=2*$AF$9,0,Constants!$B$23*INT(ROUND(MIN($BF502,$AF$9),6)))))</f>
        <v/>
      </c>
      <c r="BQ502" s="74" t="str">
        <f aca="false">IF($BH502&lt;&gt;Constants!$B$4,"",IF(NOT($AJ502),0,Constants!$B$24*INT(ROUND(MIN($AZ502,$AF$9),6))))</f>
        <v/>
      </c>
      <c r="BR502" s="74" t="str">
        <f aca="false">IF($BH502&lt;&gt;Constants!$B$4,"",IF(AND($AJ502,$BJ502=0),Constants!$B$25,0))</f>
        <v/>
      </c>
      <c r="BS502" s="74" t="str">
        <f aca="false">IF($BH502&lt;&gt;Constants!$B$4,"",MIN(Constants!$B$29,MAX(0,Constants!$B$27*Constants!$B$28*INT(ROUND((Constants!$B$26-$AL502)/Constants!$B$28,6))))+MIN(Constants!$B$29,MAX(0,Constants!$B$27*Constants!$B$28*INT(ROUND((Constants!$B$26-$AM502)/Constants!$B$28,6))))+MIN(Constants!$B$29,MAX(0,Constants!$B$27*Constants!$B$28*INT(ROUND((Constants!$B$26-$AN502)/Constants!$B$28,6)))))</f>
        <v/>
      </c>
      <c r="BT502" s="74" t="str">
        <f aca="false">IF($BH502&lt;&gt;Constants!$B$4,"",IF(NOT($AJ502),0,Constants!$B$31*INT(ROUND(MAX(0,MIN($BF502,2*$AF$9)-$AF$9),6))))</f>
        <v/>
      </c>
      <c r="BU502" s="74" t="str">
        <f aca="false">IF($BH502&lt;&gt;Constants!$B$4,"",Constants!$B$32*(($AL502&gt;Constants!$B$26)+($AM502&gt;Constants!$B$26)+($AN502&gt;Constants!$B$26)))</f>
        <v/>
      </c>
      <c r="BV502" s="74" t="str">
        <f aca="false">IF($BH502&lt;&gt;Constants!$B$4,"",IF(OR(NOT($AJ502),$AO502),0,Constants!$B$33))</f>
        <v/>
      </c>
      <c r="BW502" s="74" t="str">
        <f aca="false">IF($BH502&lt;&gt;Constants!$B$4,"",Constants!$B$34*$BJ502)</f>
        <v/>
      </c>
      <c r="BX502" s="74" t="str">
        <f aca="false">IF($BH502&lt;&gt;Constants!$B$4,"",IF(OR(NOT($AJ502),$BE502),0,Constants!$B$36))</f>
        <v/>
      </c>
      <c r="BY502" s="74" t="str">
        <f aca="false">IF($BH502&lt;&gt;Constants!$B$4,"",IF(OR(NOT($AJ502),$BD502),0,Constants!$B$37))</f>
        <v/>
      </c>
      <c r="BZ502" s="74" t="str">
        <f aca="false">IF($BH502&lt;&gt;Constants!$B$4,"",SUM($BT502:$BY502))</f>
        <v/>
      </c>
      <c r="CA502" s="74" t="str">
        <f aca="false">IF(ISBLANK($C502),"",IF($BH502&lt;&gt;Constants!$B$4,$BH502,SUM($BK502:$BS502)-$BZ502))</f>
        <v/>
      </c>
      <c r="CB502" s="74" t="str">
        <f aca="false">IF(ISBLANK($C502),"",IF($BH502&lt;&gt;Constants!$B$4,$BH502,RANK($CA502,$CA$9:$CA$508)))</f>
        <v/>
      </c>
      <c r="CC502" s="74" t="str">
        <f aca="false">IF(ISBLANK($C502),"",IF($BH502&lt;&gt;Constants!$B$4,$BH502,COUNTIFS($BI$9:$BI$508,"&lt;"&amp;$BI502)+COUNTIFS($BI$9:$BI$508,$BI502,$CB$9:$CB$508,"&lt;"&amp;$CB502)+1))</f>
        <v/>
      </c>
      <c r="CD502" s="74" t="str">
        <f aca="false">IF(ISBLANK($C502),"",IF($BH502&lt;&gt;Constants!$B$4,$BH502,RANK($BZ502,$BZ$9:$BZ$508,1)))</f>
        <v/>
      </c>
      <c r="CE502" s="74" t="str">
        <f aca="false">IF($BH502&lt;&gt;Constants!$B$4,"",$AL502+$AM502+$AN502)</f>
        <v/>
      </c>
      <c r="CF502" s="74" t="str">
        <f aca="false">IF(ISBLANK($C502),"",IF($BH502&lt;&gt;Constants!$B$4,$BH502,RANK($CE502,$CE$9:$CE$508,1)))</f>
        <v/>
      </c>
      <c r="CG502" s="74" t="str">
        <f aca="false">IF(ISBLANK($C502),"",IF($BH502&lt;&gt;Constants!$B$4,$BH502,COUNTIFS($BI$9:$BI$508,"&lt;"&amp;$BI502)+COUNTIFS($BI$9:$BI$508,$BI502,$CB$9:$CB$508,"&lt;"&amp;$CB502)+COUNTIFS($BI$9:$BI$508,$BI502,$CB$9:$CB$508,$CB502,$CD$9:$CD$508,"&lt;"&amp;$CD502)+COUNTIFS($BI$9:$BI$508,$BI502,$CB$9:$CB$508,$CB502,$CD$9:$CD$508,$CD502,$CF$9:$CF$508,"&lt;"&amp;$CF502)+1))</f>
        <v/>
      </c>
      <c r="CH502" s="74" t="str">
        <f aca="false">IF(ISBLANK($C502),"",IF($BH502&lt;&gt;Constants!$B$4,$BH502,$CC502-$CG502))</f>
        <v/>
      </c>
      <c r="CI502" s="74" t="str">
        <f aca="false">IF(ISBLANK($C502),"",IF(NOT($AJ502),"",IF(ISBLANK($D$7),$CI$5,IF(NOT(ISNUMBER($D$7)),$CI$6,""))))</f>
        <v/>
      </c>
      <c r="CJ502" s="74" t="str">
        <f aca="false">IF(ISBLANK($C502),"",OR($AL502="",$AM502="",$AN502=""))</f>
        <v/>
      </c>
      <c r="CK502" s="74" t="str">
        <f aca="false">IF(ISBLANK($C502),"",AND($AJ502,$AX502=""))</f>
        <v/>
      </c>
      <c r="CL502" s="74" t="str">
        <f aca="false">IF(ISBLANK($C502),"",AND($AJ502,$AY502=""))</f>
        <v/>
      </c>
      <c r="CM502" s="74" t="str">
        <f aca="false">IF(ISBLANK($C502),"",AND($AJ502,$AZ502=""))</f>
        <v/>
      </c>
      <c r="CN502" s="74" t="str">
        <f aca="false">IF(ISBLANK($C502),"",AND($AJ502,$BC502=""))</f>
        <v/>
      </c>
      <c r="CO502" s="74" t="str">
        <f aca="false">IF(ISBLANK($C502),"",AND($AJ502,$BF502=""))</f>
        <v/>
      </c>
      <c r="CP502" s="75"/>
      <c r="CQ502" s="76"/>
      <c r="CR502" s="79" t="str">
        <f aca="false">IF(ISBLANK($C502),"",IF($BH502=Constants!$B$8,$CI502,""))</f>
        <v/>
      </c>
      <c r="CS502" s="76" t="str">
        <f aca="false">IF(ISBLANK($C502),"",IF($BH502&lt;&gt;Constants!$B$4,"",$BK502+$BL502))</f>
        <v/>
      </c>
      <c r="CT502" s="78" t="str">
        <f aca="false">IF(ISBLANK($C502),"",IF($BH502&lt;&gt;Constants!$B$4,"",$BM502+$BN502+$BO502))</f>
        <v/>
      </c>
      <c r="CU502" s="78" t="str">
        <f aca="false">IF(ISBLANK($C502),"",IF($BH502&lt;&gt;Constants!$B$4,"",$BP502))</f>
        <v/>
      </c>
      <c r="CV502" s="78" t="str">
        <f aca="false">IF(ISBLANK($C502),"",IF($BH502&lt;&gt;Constants!$B$4,"",$BQ502+$BR502))</f>
        <v/>
      </c>
      <c r="CW502" s="78" t="str">
        <f aca="false">IF(ISBLANK($C502),"",IF($BH502&lt;&gt;Constants!$B$4,"",$BS502))</f>
        <v/>
      </c>
      <c r="CX502" s="78" t="str">
        <f aca="false">IF(ISBLANK($C502),"",IF($BH502&lt;&gt;Constants!$B$4,"",-$BZ502))</f>
        <v/>
      </c>
      <c r="CY502" s="79" t="str">
        <f aca="false">IF(ISBLANK($C502),"",$CA502)</f>
        <v/>
      </c>
      <c r="CZ502" s="80" t="str">
        <f aca="false">IF(ISBLANK($C502),"",$BI502)</f>
        <v/>
      </c>
      <c r="DA502" s="78" t="str">
        <f aca="false">IF(ISBLANK($C502),"",$CH502)</f>
        <v/>
      </c>
      <c r="DB502" s="78" t="str">
        <f aca="false">IF(ISBLANK($C502),"",$CG502)</f>
        <v/>
      </c>
      <c r="DC502" s="81" t="str">
        <f aca="false">IF(ISBLANK($C502),"",IFERROR(_xlfn.SWITCH($DB502,Constants!$B$7,COUNTA($C$9:$C$508)+2,Constants!$B$6,COUNTA($C$9:$C$508)+1,Constants!$B$5,COUNTA($C$9:$C$508)),$DB502))</f>
        <v/>
      </c>
      <c r="DD502" s="7"/>
      <c r="DE502" s="82" t="n">
        <f aca="false">IF(OR(ISNUMBER($DB502),$DB502=Constants!$B$7,$DB502=Constants!$B$5,$DB502=Constants!$B$6),1,0)</f>
        <v>0</v>
      </c>
      <c r="DF502" s="82" t="n">
        <v>494</v>
      </c>
      <c r="DG502" s="82" t="str">
        <f aca="false">IF(ISBLANK($C502),"",IF(ISNUMBER($DC502),$DC502+ROW($B502)/1000,""))</f>
        <v/>
      </c>
      <c r="DH502" s="82" t="str">
        <f aca="false">IF(ISNUMBER($DG502),RANK($DG502,$DG$9:$DG$508,1),"")</f>
        <v/>
      </c>
      <c r="DI502" s="82" t="str">
        <f aca="false">IF(ISBLANK($C502),"",$B502)</f>
        <v/>
      </c>
      <c r="DJ502" s="82" t="str">
        <f aca="false">IF(ISBLANK($C502),"",$C502)</f>
        <v/>
      </c>
      <c r="DK502" s="82" t="str">
        <f aca="false">IF(ISBLANK($C502),"",$D502)</f>
        <v/>
      </c>
      <c r="DL502" s="83" t="str">
        <f aca="false">$CZ502</f>
        <v/>
      </c>
      <c r="DM502" s="84" t="str">
        <f aca="false">$CY502</f>
        <v/>
      </c>
      <c r="DN502" s="82" t="str">
        <f aca="false">IF(ISBLANK($C502),"",$DB502)</f>
        <v/>
      </c>
      <c r="DO502" s="85" t="str">
        <f aca="false">IF($DF502&gt;$DE$8,"",VLOOKUP($DF502,$DH$9:$DN$508,7,FALSE()))</f>
        <v/>
      </c>
      <c r="DP502" s="86" t="str">
        <f aca="false">IF($DF502&gt;$DE$8,"",VLOOKUP($DF502,$DH$9:$DN$508,2,FALSE()))</f>
        <v/>
      </c>
      <c r="DQ502" s="86" t="str">
        <f aca="false">IF($DF502&gt;$DE$8,"",VLOOKUP($DF502,$DH$9:$DN$508,3,FALSE()))</f>
        <v/>
      </c>
      <c r="DR502" s="86" t="str">
        <f aca="false">IF($DF502&gt;$DE$8,"",VLOOKUP($DF502,$DH$9:$DN$508,4,FALSE()))</f>
        <v/>
      </c>
      <c r="DS502" s="86" t="str">
        <f aca="false">IF($DF502&gt;$DE$8,"",VLOOKUP($DF502,$DH$9:$DN$508,5,FALSE()))</f>
        <v/>
      </c>
      <c r="DT502" s="87" t="str">
        <f aca="false">IF($DF502&gt;$DE$8,"",VLOOKUP($DF502,$DH$9:$DN$508,6,FALSE()))</f>
        <v/>
      </c>
      <c r="DU502" s="62"/>
    </row>
    <row r="503" customFormat="false" ht="15.75" hidden="false" customHeight="false" outlineLevel="0" collapsed="false">
      <c r="A503" s="7"/>
      <c r="B503" s="64"/>
      <c r="C503" s="65"/>
      <c r="D503" s="123"/>
      <c r="E503" s="88"/>
      <c r="F503" s="134"/>
      <c r="G503" s="88"/>
      <c r="H503" s="134"/>
      <c r="I503" s="119"/>
      <c r="J503" s="119"/>
      <c r="K503" s="119"/>
      <c r="L503" s="88"/>
      <c r="M503" s="88"/>
      <c r="N503" s="88"/>
      <c r="O503" s="134"/>
      <c r="P503" s="88"/>
      <c r="Q503" s="88"/>
      <c r="R503" s="88"/>
      <c r="S503" s="88"/>
      <c r="T503" s="134"/>
      <c r="U503" s="88"/>
      <c r="V503" s="70"/>
      <c r="W503" s="88"/>
      <c r="X503" s="88"/>
      <c r="Y503" s="70"/>
      <c r="Z503" s="70"/>
      <c r="AA503" s="88"/>
      <c r="AB503" s="88"/>
      <c r="AC503" s="71"/>
      <c r="AD503" s="88"/>
      <c r="AE503" s="73"/>
      <c r="AF503" s="74"/>
      <c r="AG503" s="74"/>
      <c r="AH503" s="74" t="str">
        <f aca="false">IF(ISBLANK($C503),"",IF($E503=Constants!$B$2,TRUE(),IF($E503=Constants!$B$3,FALSE(),TRUE())))</f>
        <v/>
      </c>
      <c r="AI503" s="74" t="str">
        <f aca="false">IF(ISBLANK($C503),"",IF($F503=Constants!$B$2,TRUE(),IF($F503=Constants!$B$3,FALSE(),FALSE())))</f>
        <v/>
      </c>
      <c r="AJ503" s="74" t="str">
        <f aca="false">IF(ISBLANK($C503),"",IF($G503=Constants!$B$2,TRUE(),IF($G503=Constants!$B$3,FALSE(),TRUE())))</f>
        <v/>
      </c>
      <c r="AK503" s="74" t="str">
        <f aca="false">IF(ISBLANK($C503),"",IF($H503=Constants!$B$2,TRUE(),IF($H503=Constants!$B$3,FALSE(),TRUE())))</f>
        <v/>
      </c>
      <c r="AL503" s="74" t="str">
        <f aca="false">IF(ISBLANK($C503),"",IF(ISNUMBER($I503),IF($I503&gt;=0,$I503,""),""))</f>
        <v/>
      </c>
      <c r="AM503" s="74" t="str">
        <f aca="false">IF(ISBLANK($C503),"",IF(ISNUMBER($J503),IF($J503&gt;=0,$J503,""),""))</f>
        <v/>
      </c>
      <c r="AN503" s="74" t="str">
        <f aca="false">IF(ISBLANK($C503),"",IF(ISNUMBER($K503),IF($K503&gt;=0,$K503,""),""))</f>
        <v/>
      </c>
      <c r="AO503" s="74" t="str">
        <f aca="false">IF(ISBLANK($C503),"",IF($L503=Constants!$B$2,TRUE(),IF($L503=Constants!$B$3,FALSE(),TRUE())))</f>
        <v/>
      </c>
      <c r="AP503" s="74" t="str">
        <f aca="false">IF(ISBLANK($C503),"",IF($M503=Constants!$B$2,TRUE(),IF($M503=Constants!$B$3,FALSE(),TRUE())))</f>
        <v/>
      </c>
      <c r="AQ503" s="74" t="str">
        <f aca="false">IF(ISBLANK($C503),"",IF($N503=Constants!$B$2,TRUE(),IF($N503=Constants!$B$3,FALSE(),FALSE())))</f>
        <v/>
      </c>
      <c r="AR503" s="74" t="str">
        <f aca="false">IF(ISBLANK($C503),"",IF($O503=Constants!$B$2,TRUE(),IF($O503=Constants!$B$3,FALSE(),TRUE())))</f>
        <v/>
      </c>
      <c r="AS503" s="74" t="str">
        <f aca="false">IF(ISBLANK($C503),"",IF($P503=Constants!$B$2,TRUE(),IF($P503=Constants!$B$3,FALSE(),FALSE())))</f>
        <v/>
      </c>
      <c r="AT503" s="74" t="str">
        <f aca="false">IF(ISBLANK($C503),"",IF($Q503=Constants!$B$2,TRUE(),IF($Q503=Constants!$B$3,FALSE(),FALSE())))</f>
        <v/>
      </c>
      <c r="AU503" s="74" t="str">
        <f aca="false">IF(ISBLANK($C503),"",IF($R503=Constants!$B$2,TRUE(),IF($R503=Constants!$B$3,FALSE(),FALSE())))</f>
        <v/>
      </c>
      <c r="AV503" s="74" t="str">
        <f aca="false">IF(ISBLANK($C503),"",IF($S503=Constants!$B$2,TRUE(),IF($S503=Constants!$B$3,FALSE(),FALSE())))</f>
        <v/>
      </c>
      <c r="AW503" s="74" t="str">
        <f aca="false">IF(ISBLANK($C503),"",IF($T503=Constants!$B$2,TRUE(),IF($T503=Constants!$B$3,FALSE(),FALSE())))</f>
        <v/>
      </c>
      <c r="AX503" s="74" t="str">
        <f aca="false">IF(ISBLANK($C503),"",IF(OR($U503&amp;""="1",$U503&amp;""="2",$U503&amp;""="3",$U503&amp;""="4"),VALUE($U503&amp;""),IF($U503=Constants!$B$12,Constants!$B$12,"")))</f>
        <v/>
      </c>
      <c r="AY503" s="74" t="str">
        <f aca="false">IF(ISBLANK($C503),"",IF(ISBLANK($V503),0,IF(ISNUMBER($V503),IF(AND($V503&gt;=0,$V503&lt;=Constants!$B$21,$V503=INT($V503)),$V503,""),"")))</f>
        <v/>
      </c>
      <c r="AZ503" s="74" t="str">
        <f aca="false">IF(ISBLANK($C503),"",IF(ISBLANK($W503),0,IF(ISNUMBER($W503),IF($W503&gt;=0,$W503,""),"")))</f>
        <v/>
      </c>
      <c r="BA503" s="74" t="str">
        <f aca="false">IF(ISBLANK($C503),"",IF($X503=Constants!$B$2,TRUE(),IF($X503=Constants!$B$3,FALSE(),TRUE())))</f>
        <v/>
      </c>
      <c r="BB503" s="74" t="str">
        <f aca="false">IF(ISBLANK($C503),"",IF($Y503=Constants!$B$2,TRUE(),IF($Y503=Constants!$B$3,FALSE(),FALSE())))</f>
        <v/>
      </c>
      <c r="BC503" s="74" t="str">
        <f aca="false">IF(ISBLANK($C503),"",IF(ISBLANK($Z503),0,IF(ISNUMBER($Z503),IF(AND($Z503&gt;=0,$Z503&lt;=Constants!$B$35,$Z503=INT($Z503)),$Z503,""),"")))</f>
        <v/>
      </c>
      <c r="BD503" s="74" t="str">
        <f aca="false">IF(ISBLANK($C503),"",IF($AA503=Constants!$B$2,TRUE(),IF($AA503=Constants!$B$3,FALSE(),TRUE())))</f>
        <v/>
      </c>
      <c r="BE503" s="74" t="str">
        <f aca="false">IF(ISBLANK($C503),"",IF($AB503=Constants!$B$2,TRUE(),IF($AB503=Constants!$B$3,FALSE(),TRUE())))</f>
        <v/>
      </c>
      <c r="BF503" s="74" t="str">
        <f aca="false">IF(ISBLANK($C503),"",IF(ISNUMBER($AC503),IF($AC503&gt;=0,$AC503,""),""))</f>
        <v/>
      </c>
      <c r="BG503" s="74" t="str">
        <f aca="false">IF(ISBLANK($C503),"",IF($AD503=Constants!$B$2,TRUE(),IF($AD503=Constants!$B$3,FALSE(),FALSE())))</f>
        <v/>
      </c>
      <c r="BH503" s="73" t="str">
        <f aca="false">IF(ISBLANK($C503),"",IF($BG503,Constants!$B$7,IF(COUNTA($E503:$AC503)=0,Constants!$B$6,IF(OR(COUNTA($G503:$AC503)=0,NOT($AK503),$AQ503),Constants!$B$5,IF(OR($CI503&lt;&gt;"",$CJ503,$CK503,$CL503,$CM503,$CN503,$CO503),Constants!$B$8,Constants!$B$4)))))</f>
        <v/>
      </c>
      <c r="BI503" s="74" t="str">
        <f aca="false">IF(ISBLANK($C503),"",IF($BH503&lt;&gt;Constants!$B$4,$BH503,IF(OR(NOT($AH503),NOT($AJ503),NOT($AR503)),Constants!$B$11,IF(OR(NOT($AP503),MAX($AL503,$AM503,$AN503)&gt;Constants!$B$30),Constants!$B$10,Constants!$B$9))))</f>
        <v/>
      </c>
      <c r="BJ503" s="74" t="str">
        <f aca="false">IF($BH503&lt;&gt;Constants!$B$4,"",IF(NOT($AJ503),0,MIN(Constants!$B$35,$BC503)))</f>
        <v/>
      </c>
      <c r="BK503" s="74" t="str">
        <f aca="false">IF($BH503&lt;&gt;Constants!$B$4,"",IF(NOT($AJ503),0,IF($AT503,Constants!$B$18,IF($AS503,Constants!$B$17,0))))</f>
        <v/>
      </c>
      <c r="BL503" s="74" t="str">
        <f aca="false">IF($BH503&lt;&gt;Constants!$B$4,"",IF(NOT($AJ503),0,Constants!$B$19*($AI503+$AU503+$AV503+$AW503)))</f>
        <v/>
      </c>
      <c r="BM503" s="74" t="str">
        <f aca="false">IF($BH503&lt;&gt;Constants!$B$4,"",IF(OR(NOT($AJ503),NOT(ISNUMBER($AX503))),0,CHOOSE($AX503,Constants!$B$13,Constants!$B$14,Constants!$B$15,Constants!$B$16)))</f>
        <v/>
      </c>
      <c r="BN503" s="74" t="str">
        <f aca="false">IF($BH503&lt;&gt;Constants!$B$4,"",IF(NOT($AJ503),0,Constants!$B$20*$AY503))</f>
        <v/>
      </c>
      <c r="BO503" s="74" t="str">
        <f aca="false">IF($BH503&lt;&gt;Constants!$B$4,"",IF(AND($AJ503,$BA503,$BB503),Constants!$B$22,0))</f>
        <v/>
      </c>
      <c r="BP503" s="74" t="str">
        <f aca="false">IF($BH503&lt;&gt;Constants!$B$4,"",IF(OR(NOT($AJ503),NOT($BA503)),0,IF($BF503&gt;=2*$AF$9,0,Constants!$B$23*INT(ROUND(MIN($BF503,$AF$9),6)))))</f>
        <v/>
      </c>
      <c r="BQ503" s="74" t="str">
        <f aca="false">IF($BH503&lt;&gt;Constants!$B$4,"",IF(NOT($AJ503),0,Constants!$B$24*INT(ROUND(MIN($AZ503,$AF$9),6))))</f>
        <v/>
      </c>
      <c r="BR503" s="74" t="str">
        <f aca="false">IF($BH503&lt;&gt;Constants!$B$4,"",IF(AND($AJ503,$BJ503=0),Constants!$B$25,0))</f>
        <v/>
      </c>
      <c r="BS503" s="74" t="str">
        <f aca="false">IF($BH503&lt;&gt;Constants!$B$4,"",MIN(Constants!$B$29,MAX(0,Constants!$B$27*Constants!$B$28*INT(ROUND((Constants!$B$26-$AL503)/Constants!$B$28,6))))+MIN(Constants!$B$29,MAX(0,Constants!$B$27*Constants!$B$28*INT(ROUND((Constants!$B$26-$AM503)/Constants!$B$28,6))))+MIN(Constants!$B$29,MAX(0,Constants!$B$27*Constants!$B$28*INT(ROUND((Constants!$B$26-$AN503)/Constants!$B$28,6)))))</f>
        <v/>
      </c>
      <c r="BT503" s="74" t="str">
        <f aca="false">IF($BH503&lt;&gt;Constants!$B$4,"",IF(NOT($AJ503),0,Constants!$B$31*INT(ROUND(MAX(0,MIN($BF503,2*$AF$9)-$AF$9),6))))</f>
        <v/>
      </c>
      <c r="BU503" s="74" t="str">
        <f aca="false">IF($BH503&lt;&gt;Constants!$B$4,"",Constants!$B$32*(($AL503&gt;Constants!$B$26)+($AM503&gt;Constants!$B$26)+($AN503&gt;Constants!$B$26)))</f>
        <v/>
      </c>
      <c r="BV503" s="74" t="str">
        <f aca="false">IF($BH503&lt;&gt;Constants!$B$4,"",IF(OR(NOT($AJ503),$AO503),0,Constants!$B$33))</f>
        <v/>
      </c>
      <c r="BW503" s="74" t="str">
        <f aca="false">IF($BH503&lt;&gt;Constants!$B$4,"",Constants!$B$34*$BJ503)</f>
        <v/>
      </c>
      <c r="BX503" s="74" t="str">
        <f aca="false">IF($BH503&lt;&gt;Constants!$B$4,"",IF(OR(NOT($AJ503),$BE503),0,Constants!$B$36))</f>
        <v/>
      </c>
      <c r="BY503" s="74" t="str">
        <f aca="false">IF($BH503&lt;&gt;Constants!$B$4,"",IF(OR(NOT($AJ503),$BD503),0,Constants!$B$37))</f>
        <v/>
      </c>
      <c r="BZ503" s="74" t="str">
        <f aca="false">IF($BH503&lt;&gt;Constants!$B$4,"",SUM($BT503:$BY503))</f>
        <v/>
      </c>
      <c r="CA503" s="74" t="str">
        <f aca="false">IF(ISBLANK($C503),"",IF($BH503&lt;&gt;Constants!$B$4,$BH503,SUM($BK503:$BS503)-$BZ503))</f>
        <v/>
      </c>
      <c r="CB503" s="74" t="str">
        <f aca="false">IF(ISBLANK($C503),"",IF($BH503&lt;&gt;Constants!$B$4,$BH503,RANK($CA503,$CA$9:$CA$508)))</f>
        <v/>
      </c>
      <c r="CC503" s="74" t="str">
        <f aca="false">IF(ISBLANK($C503),"",IF($BH503&lt;&gt;Constants!$B$4,$BH503,COUNTIFS($BI$9:$BI$508,"&lt;"&amp;$BI503)+COUNTIFS($BI$9:$BI$508,$BI503,$CB$9:$CB$508,"&lt;"&amp;$CB503)+1))</f>
        <v/>
      </c>
      <c r="CD503" s="74" t="str">
        <f aca="false">IF(ISBLANK($C503),"",IF($BH503&lt;&gt;Constants!$B$4,$BH503,RANK($BZ503,$BZ$9:$BZ$508,1)))</f>
        <v/>
      </c>
      <c r="CE503" s="74" t="str">
        <f aca="false">IF($BH503&lt;&gt;Constants!$B$4,"",$AL503+$AM503+$AN503)</f>
        <v/>
      </c>
      <c r="CF503" s="74" t="str">
        <f aca="false">IF(ISBLANK($C503),"",IF($BH503&lt;&gt;Constants!$B$4,$BH503,RANK($CE503,$CE$9:$CE$508,1)))</f>
        <v/>
      </c>
      <c r="CG503" s="74" t="str">
        <f aca="false">IF(ISBLANK($C503),"",IF($BH503&lt;&gt;Constants!$B$4,$BH503,COUNTIFS($BI$9:$BI$508,"&lt;"&amp;$BI503)+COUNTIFS($BI$9:$BI$508,$BI503,$CB$9:$CB$508,"&lt;"&amp;$CB503)+COUNTIFS($BI$9:$BI$508,$BI503,$CB$9:$CB$508,$CB503,$CD$9:$CD$508,"&lt;"&amp;$CD503)+COUNTIFS($BI$9:$BI$508,$BI503,$CB$9:$CB$508,$CB503,$CD$9:$CD$508,$CD503,$CF$9:$CF$508,"&lt;"&amp;$CF503)+1))</f>
        <v/>
      </c>
      <c r="CH503" s="74" t="str">
        <f aca="false">IF(ISBLANK($C503),"",IF($BH503&lt;&gt;Constants!$B$4,$BH503,$CC503-$CG503))</f>
        <v/>
      </c>
      <c r="CI503" s="74" t="str">
        <f aca="false">IF(ISBLANK($C503),"",IF(NOT($AJ503),"",IF(ISBLANK($D$7),$CI$5,IF(NOT(ISNUMBER($D$7)),$CI$6,""))))</f>
        <v/>
      </c>
      <c r="CJ503" s="74" t="str">
        <f aca="false">IF(ISBLANK($C503),"",OR($AL503="",$AM503="",$AN503=""))</f>
        <v/>
      </c>
      <c r="CK503" s="74" t="str">
        <f aca="false">IF(ISBLANK($C503),"",AND($AJ503,$AX503=""))</f>
        <v/>
      </c>
      <c r="CL503" s="74" t="str">
        <f aca="false">IF(ISBLANK($C503),"",AND($AJ503,$AY503=""))</f>
        <v/>
      </c>
      <c r="CM503" s="74" t="str">
        <f aca="false">IF(ISBLANK($C503),"",AND($AJ503,$AZ503=""))</f>
        <v/>
      </c>
      <c r="CN503" s="74" t="str">
        <f aca="false">IF(ISBLANK($C503),"",AND($AJ503,$BC503=""))</f>
        <v/>
      </c>
      <c r="CO503" s="74" t="str">
        <f aca="false">IF(ISBLANK($C503),"",AND($AJ503,$BF503=""))</f>
        <v/>
      </c>
      <c r="CP503" s="75"/>
      <c r="CQ503" s="76"/>
      <c r="CR503" s="79" t="str">
        <f aca="false">IF(ISBLANK($C503),"",IF($BH503=Constants!$B$8,$CI503,""))</f>
        <v/>
      </c>
      <c r="CS503" s="76" t="str">
        <f aca="false">IF(ISBLANK($C503),"",IF($BH503&lt;&gt;Constants!$B$4,"",$BK503+$BL503))</f>
        <v/>
      </c>
      <c r="CT503" s="78" t="str">
        <f aca="false">IF(ISBLANK($C503),"",IF($BH503&lt;&gt;Constants!$B$4,"",$BM503+$BN503+$BO503))</f>
        <v/>
      </c>
      <c r="CU503" s="78" t="str">
        <f aca="false">IF(ISBLANK($C503),"",IF($BH503&lt;&gt;Constants!$B$4,"",$BP503))</f>
        <v/>
      </c>
      <c r="CV503" s="78" t="str">
        <f aca="false">IF(ISBLANK($C503),"",IF($BH503&lt;&gt;Constants!$B$4,"",$BQ503+$BR503))</f>
        <v/>
      </c>
      <c r="CW503" s="78" t="str">
        <f aca="false">IF(ISBLANK($C503),"",IF($BH503&lt;&gt;Constants!$B$4,"",$BS503))</f>
        <v/>
      </c>
      <c r="CX503" s="78" t="str">
        <f aca="false">IF(ISBLANK($C503),"",IF($BH503&lt;&gt;Constants!$B$4,"",-$BZ503))</f>
        <v/>
      </c>
      <c r="CY503" s="79" t="str">
        <f aca="false">IF(ISBLANK($C503),"",$CA503)</f>
        <v/>
      </c>
      <c r="CZ503" s="80" t="str">
        <f aca="false">IF(ISBLANK($C503),"",$BI503)</f>
        <v/>
      </c>
      <c r="DA503" s="78" t="str">
        <f aca="false">IF(ISBLANK($C503),"",$CH503)</f>
        <v/>
      </c>
      <c r="DB503" s="78" t="str">
        <f aca="false">IF(ISBLANK($C503),"",$CG503)</f>
        <v/>
      </c>
      <c r="DC503" s="81" t="str">
        <f aca="false">IF(ISBLANK($C503),"",IFERROR(_xlfn.SWITCH($DB503,Constants!$B$7,COUNTA($C$9:$C$508)+2,Constants!$B$6,COUNTA($C$9:$C$508)+1,Constants!$B$5,COUNTA($C$9:$C$508)),$DB503))</f>
        <v/>
      </c>
      <c r="DD503" s="7"/>
      <c r="DE503" s="82" t="n">
        <f aca="false">IF(OR(ISNUMBER($DB503),$DB503=Constants!$B$7,$DB503=Constants!$B$5,$DB503=Constants!$B$6),1,0)</f>
        <v>0</v>
      </c>
      <c r="DF503" s="82" t="n">
        <v>495</v>
      </c>
      <c r="DG503" s="82" t="str">
        <f aca="false">IF(ISBLANK($C503),"",IF(ISNUMBER($DC503),$DC503+ROW($B503)/1000,""))</f>
        <v/>
      </c>
      <c r="DH503" s="82" t="str">
        <f aca="false">IF(ISNUMBER($DG503),RANK($DG503,$DG$9:$DG$508,1),"")</f>
        <v/>
      </c>
      <c r="DI503" s="82" t="str">
        <f aca="false">IF(ISBLANK($C503),"",$B503)</f>
        <v/>
      </c>
      <c r="DJ503" s="82" t="str">
        <f aca="false">IF(ISBLANK($C503),"",$C503)</f>
        <v/>
      </c>
      <c r="DK503" s="82" t="str">
        <f aca="false">IF(ISBLANK($C503),"",$D503)</f>
        <v/>
      </c>
      <c r="DL503" s="83" t="str">
        <f aca="false">$CZ503</f>
        <v/>
      </c>
      <c r="DM503" s="84" t="str">
        <f aca="false">$CY503</f>
        <v/>
      </c>
      <c r="DN503" s="82" t="str">
        <f aca="false">IF(ISBLANK($C503),"",$DB503)</f>
        <v/>
      </c>
      <c r="DO503" s="85" t="str">
        <f aca="false">IF($DF503&gt;$DE$8,"",VLOOKUP($DF503,$DH$9:$DN$508,7,FALSE()))</f>
        <v/>
      </c>
      <c r="DP503" s="86" t="str">
        <f aca="false">IF($DF503&gt;$DE$8,"",VLOOKUP($DF503,$DH$9:$DN$508,2,FALSE()))</f>
        <v/>
      </c>
      <c r="DQ503" s="86" t="str">
        <f aca="false">IF($DF503&gt;$DE$8,"",VLOOKUP($DF503,$DH$9:$DN$508,3,FALSE()))</f>
        <v/>
      </c>
      <c r="DR503" s="86" t="str">
        <f aca="false">IF($DF503&gt;$DE$8,"",VLOOKUP($DF503,$DH$9:$DN$508,4,FALSE()))</f>
        <v/>
      </c>
      <c r="DS503" s="86" t="str">
        <f aca="false">IF($DF503&gt;$DE$8,"",VLOOKUP($DF503,$DH$9:$DN$508,5,FALSE()))</f>
        <v/>
      </c>
      <c r="DT503" s="87" t="str">
        <f aca="false">IF($DF503&gt;$DE$8,"",VLOOKUP($DF503,$DH$9:$DN$508,6,FALSE()))</f>
        <v/>
      </c>
      <c r="DU503" s="62"/>
    </row>
    <row r="504" customFormat="false" ht="15.75" hidden="false" customHeight="false" outlineLevel="0" collapsed="false">
      <c r="A504" s="7"/>
      <c r="B504" s="90"/>
      <c r="C504" s="91"/>
      <c r="D504" s="126"/>
      <c r="E504" s="130"/>
      <c r="F504" s="135"/>
      <c r="G504" s="130"/>
      <c r="H504" s="135"/>
      <c r="I504" s="131"/>
      <c r="J504" s="131"/>
      <c r="K504" s="131"/>
      <c r="L504" s="130"/>
      <c r="M504" s="130"/>
      <c r="N504" s="130"/>
      <c r="O504" s="135"/>
      <c r="P504" s="130"/>
      <c r="Q504" s="130"/>
      <c r="R504" s="130"/>
      <c r="S504" s="130"/>
      <c r="T504" s="135"/>
      <c r="U504" s="130"/>
      <c r="V504" s="96"/>
      <c r="W504" s="130"/>
      <c r="X504" s="130"/>
      <c r="Y504" s="96"/>
      <c r="Z504" s="96"/>
      <c r="AA504" s="130"/>
      <c r="AB504" s="130"/>
      <c r="AC504" s="97"/>
      <c r="AD504" s="130"/>
      <c r="AE504" s="99"/>
      <c r="AF504" s="100"/>
      <c r="AG504" s="100"/>
      <c r="AH504" s="100" t="str">
        <f aca="false">IF(ISBLANK($C504),"",IF($E504=Constants!$B$2,TRUE(),IF($E504=Constants!$B$3,FALSE(),TRUE())))</f>
        <v/>
      </c>
      <c r="AI504" s="100" t="str">
        <f aca="false">IF(ISBLANK($C504),"",IF($F504=Constants!$B$2,TRUE(),IF($F504=Constants!$B$3,FALSE(),FALSE())))</f>
        <v/>
      </c>
      <c r="AJ504" s="100" t="str">
        <f aca="false">IF(ISBLANK($C504),"",IF($G504=Constants!$B$2,TRUE(),IF($G504=Constants!$B$3,FALSE(),TRUE())))</f>
        <v/>
      </c>
      <c r="AK504" s="100" t="str">
        <f aca="false">IF(ISBLANK($C504),"",IF($H504=Constants!$B$2,TRUE(),IF($H504=Constants!$B$3,FALSE(),TRUE())))</f>
        <v/>
      </c>
      <c r="AL504" s="100" t="str">
        <f aca="false">IF(ISBLANK($C504),"",IF(ISNUMBER($I504),IF($I504&gt;=0,$I504,""),""))</f>
        <v/>
      </c>
      <c r="AM504" s="100" t="str">
        <f aca="false">IF(ISBLANK($C504),"",IF(ISNUMBER($J504),IF($J504&gt;=0,$J504,""),""))</f>
        <v/>
      </c>
      <c r="AN504" s="100" t="str">
        <f aca="false">IF(ISBLANK($C504),"",IF(ISNUMBER($K504),IF($K504&gt;=0,$K504,""),""))</f>
        <v/>
      </c>
      <c r="AO504" s="100" t="str">
        <f aca="false">IF(ISBLANK($C504),"",IF($L504=Constants!$B$2,TRUE(),IF($L504=Constants!$B$3,FALSE(),TRUE())))</f>
        <v/>
      </c>
      <c r="AP504" s="100" t="str">
        <f aca="false">IF(ISBLANK($C504),"",IF($M504=Constants!$B$2,TRUE(),IF($M504=Constants!$B$3,FALSE(),TRUE())))</f>
        <v/>
      </c>
      <c r="AQ504" s="100" t="str">
        <f aca="false">IF(ISBLANK($C504),"",IF($N504=Constants!$B$2,TRUE(),IF($N504=Constants!$B$3,FALSE(),FALSE())))</f>
        <v/>
      </c>
      <c r="AR504" s="100" t="str">
        <f aca="false">IF(ISBLANK($C504),"",IF($O504=Constants!$B$2,TRUE(),IF($O504=Constants!$B$3,FALSE(),TRUE())))</f>
        <v/>
      </c>
      <c r="AS504" s="100" t="str">
        <f aca="false">IF(ISBLANK($C504),"",IF($P504=Constants!$B$2,TRUE(),IF($P504=Constants!$B$3,FALSE(),FALSE())))</f>
        <v/>
      </c>
      <c r="AT504" s="100" t="str">
        <f aca="false">IF(ISBLANK($C504),"",IF($Q504=Constants!$B$2,TRUE(),IF($Q504=Constants!$B$3,FALSE(),FALSE())))</f>
        <v/>
      </c>
      <c r="AU504" s="100" t="str">
        <f aca="false">IF(ISBLANK($C504),"",IF($R504=Constants!$B$2,TRUE(),IF($R504=Constants!$B$3,FALSE(),FALSE())))</f>
        <v/>
      </c>
      <c r="AV504" s="100" t="str">
        <f aca="false">IF(ISBLANK($C504),"",IF($S504=Constants!$B$2,TRUE(),IF($S504=Constants!$B$3,FALSE(),FALSE())))</f>
        <v/>
      </c>
      <c r="AW504" s="100" t="str">
        <f aca="false">IF(ISBLANK($C504),"",IF($T504=Constants!$B$2,TRUE(),IF($T504=Constants!$B$3,FALSE(),FALSE())))</f>
        <v/>
      </c>
      <c r="AX504" s="100" t="str">
        <f aca="false">IF(ISBLANK($C504),"",IF(OR($U504&amp;""="1",$U504&amp;""="2",$U504&amp;""="3",$U504&amp;""="4"),VALUE($U504&amp;""),IF($U504=Constants!$B$12,Constants!$B$12,"")))</f>
        <v/>
      </c>
      <c r="AY504" s="100" t="str">
        <f aca="false">IF(ISBLANK($C504),"",IF(ISBLANK($V504),0,IF(ISNUMBER($V504),IF(AND($V504&gt;=0,$V504&lt;=Constants!$B$21,$V504=INT($V504)),$V504,""),"")))</f>
        <v/>
      </c>
      <c r="AZ504" s="100" t="str">
        <f aca="false">IF(ISBLANK($C504),"",IF(ISBLANK($W504),0,IF(ISNUMBER($W504),IF($W504&gt;=0,$W504,""),"")))</f>
        <v/>
      </c>
      <c r="BA504" s="100" t="str">
        <f aca="false">IF(ISBLANK($C504),"",IF($X504=Constants!$B$2,TRUE(),IF($X504=Constants!$B$3,FALSE(),TRUE())))</f>
        <v/>
      </c>
      <c r="BB504" s="100" t="str">
        <f aca="false">IF(ISBLANK($C504),"",IF($Y504=Constants!$B$2,TRUE(),IF($Y504=Constants!$B$3,FALSE(),FALSE())))</f>
        <v/>
      </c>
      <c r="BC504" s="100" t="str">
        <f aca="false">IF(ISBLANK($C504),"",IF(ISBLANK($Z504),0,IF(ISNUMBER($Z504),IF(AND($Z504&gt;=0,$Z504&lt;=Constants!$B$35,$Z504=INT($Z504)),$Z504,""),"")))</f>
        <v/>
      </c>
      <c r="BD504" s="100" t="str">
        <f aca="false">IF(ISBLANK($C504),"",IF($AA504=Constants!$B$2,TRUE(),IF($AA504=Constants!$B$3,FALSE(),TRUE())))</f>
        <v/>
      </c>
      <c r="BE504" s="100" t="str">
        <f aca="false">IF(ISBLANK($C504),"",IF($AB504=Constants!$B$2,TRUE(),IF($AB504=Constants!$B$3,FALSE(),TRUE())))</f>
        <v/>
      </c>
      <c r="BF504" s="100" t="str">
        <f aca="false">IF(ISBLANK($C504),"",IF(ISNUMBER($AC504),IF($AC504&gt;=0,$AC504,""),""))</f>
        <v/>
      </c>
      <c r="BG504" s="100" t="str">
        <f aca="false">IF(ISBLANK($C504),"",IF($AD504=Constants!$B$2,TRUE(),IF($AD504=Constants!$B$3,FALSE(),FALSE())))</f>
        <v/>
      </c>
      <c r="BH504" s="99" t="str">
        <f aca="false">IF(ISBLANK($C504),"",IF($BG504,Constants!$B$7,IF(COUNTA($E504:$AC504)=0,Constants!$B$6,IF(OR(COUNTA($G504:$AC504)=0,NOT($AK504),$AQ504),Constants!$B$5,IF(OR($CI504&lt;&gt;"",$CJ504,$CK504,$CL504,$CM504,$CN504,$CO504),Constants!$B$8,Constants!$B$4)))))</f>
        <v/>
      </c>
      <c r="BI504" s="100" t="str">
        <f aca="false">IF(ISBLANK($C504),"",IF($BH504&lt;&gt;Constants!$B$4,$BH504,IF(OR(NOT($AH504),NOT($AJ504),NOT($AR504)),Constants!$B$11,IF(OR(NOT($AP504),MAX($AL504,$AM504,$AN504)&gt;Constants!$B$30),Constants!$B$10,Constants!$B$9))))</f>
        <v/>
      </c>
      <c r="BJ504" s="100" t="str">
        <f aca="false">IF($BH504&lt;&gt;Constants!$B$4,"",IF(NOT($AJ504),0,MIN(Constants!$B$35,$BC504)))</f>
        <v/>
      </c>
      <c r="BK504" s="100" t="str">
        <f aca="false">IF($BH504&lt;&gt;Constants!$B$4,"",IF(NOT($AJ504),0,IF($AT504,Constants!$B$18,IF($AS504,Constants!$B$17,0))))</f>
        <v/>
      </c>
      <c r="BL504" s="100" t="str">
        <f aca="false">IF($BH504&lt;&gt;Constants!$B$4,"",IF(NOT($AJ504),0,Constants!$B$19*($AI504+$AU504+$AV504+$AW504)))</f>
        <v/>
      </c>
      <c r="BM504" s="100" t="str">
        <f aca="false">IF($BH504&lt;&gt;Constants!$B$4,"",IF(OR(NOT($AJ504),NOT(ISNUMBER($AX504))),0,CHOOSE($AX504,Constants!$B$13,Constants!$B$14,Constants!$B$15,Constants!$B$16)))</f>
        <v/>
      </c>
      <c r="BN504" s="100" t="str">
        <f aca="false">IF($BH504&lt;&gt;Constants!$B$4,"",IF(NOT($AJ504),0,Constants!$B$20*$AY504))</f>
        <v/>
      </c>
      <c r="BO504" s="100" t="str">
        <f aca="false">IF($BH504&lt;&gt;Constants!$B$4,"",IF(AND($AJ504,$BA504,$BB504),Constants!$B$22,0))</f>
        <v/>
      </c>
      <c r="BP504" s="100" t="str">
        <f aca="false">IF($BH504&lt;&gt;Constants!$B$4,"",IF(OR(NOT($AJ504),NOT($BA504)),0,IF($BF504&gt;=2*$AF$9,0,Constants!$B$23*INT(ROUND(MIN($BF504,$AF$9),6)))))</f>
        <v/>
      </c>
      <c r="BQ504" s="100" t="str">
        <f aca="false">IF($BH504&lt;&gt;Constants!$B$4,"",IF(NOT($AJ504),0,Constants!$B$24*INT(ROUND(MIN($AZ504,$AF$9),6))))</f>
        <v/>
      </c>
      <c r="BR504" s="100" t="str">
        <f aca="false">IF($BH504&lt;&gt;Constants!$B$4,"",IF(AND($AJ504,$BJ504=0),Constants!$B$25,0))</f>
        <v/>
      </c>
      <c r="BS504" s="100" t="str">
        <f aca="false">IF($BH504&lt;&gt;Constants!$B$4,"",MIN(Constants!$B$29,MAX(0,Constants!$B$27*Constants!$B$28*INT(ROUND((Constants!$B$26-$AL504)/Constants!$B$28,6))))+MIN(Constants!$B$29,MAX(0,Constants!$B$27*Constants!$B$28*INT(ROUND((Constants!$B$26-$AM504)/Constants!$B$28,6))))+MIN(Constants!$B$29,MAX(0,Constants!$B$27*Constants!$B$28*INT(ROUND((Constants!$B$26-$AN504)/Constants!$B$28,6)))))</f>
        <v/>
      </c>
      <c r="BT504" s="100" t="str">
        <f aca="false">IF($BH504&lt;&gt;Constants!$B$4,"",IF(NOT($AJ504),0,Constants!$B$31*INT(ROUND(MAX(0,MIN($BF504,2*$AF$9)-$AF$9),6))))</f>
        <v/>
      </c>
      <c r="BU504" s="100" t="str">
        <f aca="false">IF($BH504&lt;&gt;Constants!$B$4,"",Constants!$B$32*(($AL504&gt;Constants!$B$26)+($AM504&gt;Constants!$B$26)+($AN504&gt;Constants!$B$26)))</f>
        <v/>
      </c>
      <c r="BV504" s="100" t="str">
        <f aca="false">IF($BH504&lt;&gt;Constants!$B$4,"",IF(OR(NOT($AJ504),$AO504),0,Constants!$B$33))</f>
        <v/>
      </c>
      <c r="BW504" s="100" t="str">
        <f aca="false">IF($BH504&lt;&gt;Constants!$B$4,"",Constants!$B$34*$BJ504)</f>
        <v/>
      </c>
      <c r="BX504" s="100" t="str">
        <f aca="false">IF($BH504&lt;&gt;Constants!$B$4,"",IF(OR(NOT($AJ504),$BE504),0,Constants!$B$36))</f>
        <v/>
      </c>
      <c r="BY504" s="100" t="str">
        <f aca="false">IF($BH504&lt;&gt;Constants!$B$4,"",IF(OR(NOT($AJ504),$BD504),0,Constants!$B$37))</f>
        <v/>
      </c>
      <c r="BZ504" s="100" t="str">
        <f aca="false">IF($BH504&lt;&gt;Constants!$B$4,"",SUM($BT504:$BY504))</f>
        <v/>
      </c>
      <c r="CA504" s="100" t="str">
        <f aca="false">IF(ISBLANK($C504),"",IF($BH504&lt;&gt;Constants!$B$4,$BH504,SUM($BK504:$BS504)-$BZ504))</f>
        <v/>
      </c>
      <c r="CB504" s="100" t="str">
        <f aca="false">IF(ISBLANK($C504),"",IF($BH504&lt;&gt;Constants!$B$4,$BH504,RANK($CA504,$CA$9:$CA$508)))</f>
        <v/>
      </c>
      <c r="CC504" s="100" t="str">
        <f aca="false">IF(ISBLANK($C504),"",IF($BH504&lt;&gt;Constants!$B$4,$BH504,COUNTIFS($BI$9:$BI$508,"&lt;"&amp;$BI504)+COUNTIFS($BI$9:$BI$508,$BI504,$CB$9:$CB$508,"&lt;"&amp;$CB504)+1))</f>
        <v/>
      </c>
      <c r="CD504" s="100" t="str">
        <f aca="false">IF(ISBLANK($C504),"",IF($BH504&lt;&gt;Constants!$B$4,$BH504,RANK($BZ504,$BZ$9:$BZ$508,1)))</f>
        <v/>
      </c>
      <c r="CE504" s="100" t="str">
        <f aca="false">IF($BH504&lt;&gt;Constants!$B$4,"",$AL504+$AM504+$AN504)</f>
        <v/>
      </c>
      <c r="CF504" s="100" t="str">
        <f aca="false">IF(ISBLANK($C504),"",IF($BH504&lt;&gt;Constants!$B$4,$BH504,RANK($CE504,$CE$9:$CE$508,1)))</f>
        <v/>
      </c>
      <c r="CG504" s="100" t="str">
        <f aca="false">IF(ISBLANK($C504),"",IF($BH504&lt;&gt;Constants!$B$4,$BH504,COUNTIFS($BI$9:$BI$508,"&lt;"&amp;$BI504)+COUNTIFS($BI$9:$BI$508,$BI504,$CB$9:$CB$508,"&lt;"&amp;$CB504)+COUNTIFS($BI$9:$BI$508,$BI504,$CB$9:$CB$508,$CB504,$CD$9:$CD$508,"&lt;"&amp;$CD504)+COUNTIFS($BI$9:$BI$508,$BI504,$CB$9:$CB$508,$CB504,$CD$9:$CD$508,$CD504,$CF$9:$CF$508,"&lt;"&amp;$CF504)+1))</f>
        <v/>
      </c>
      <c r="CH504" s="100" t="str">
        <f aca="false">IF(ISBLANK($C504),"",IF($BH504&lt;&gt;Constants!$B$4,$BH504,$CC504-$CG504))</f>
        <v/>
      </c>
      <c r="CI504" s="100" t="str">
        <f aca="false">IF(ISBLANK($C504),"",IF(NOT($AJ504),"",IF(ISBLANK($D$7),$CI$5,IF(NOT(ISNUMBER($D$7)),$CI$6,""))))</f>
        <v/>
      </c>
      <c r="CJ504" s="100" t="str">
        <f aca="false">IF(ISBLANK($C504),"",OR($AL504="",$AM504="",$AN504=""))</f>
        <v/>
      </c>
      <c r="CK504" s="100" t="str">
        <f aca="false">IF(ISBLANK($C504),"",AND($AJ504,$AX504=""))</f>
        <v/>
      </c>
      <c r="CL504" s="100" t="str">
        <f aca="false">IF(ISBLANK($C504),"",AND($AJ504,$AY504=""))</f>
        <v/>
      </c>
      <c r="CM504" s="100" t="str">
        <f aca="false">IF(ISBLANK($C504),"",AND($AJ504,$AZ504=""))</f>
        <v/>
      </c>
      <c r="CN504" s="100" t="str">
        <f aca="false">IF(ISBLANK($C504),"",AND($AJ504,$BC504=""))</f>
        <v/>
      </c>
      <c r="CO504" s="100" t="str">
        <f aca="false">IF(ISBLANK($C504),"",AND($AJ504,$BF504=""))</f>
        <v/>
      </c>
      <c r="CP504" s="101"/>
      <c r="CQ504" s="102"/>
      <c r="CR504" s="103" t="str">
        <f aca="false">IF(ISBLANK($C504),"",IF($BH504=Constants!$B$8,$CI504,""))</f>
        <v/>
      </c>
      <c r="CS504" s="102" t="str">
        <f aca="false">IF(ISBLANK($C504),"",IF($BH504&lt;&gt;Constants!$B$4,"",$BK504+$BL504))</f>
        <v/>
      </c>
      <c r="CT504" s="104" t="str">
        <f aca="false">IF(ISBLANK($C504),"",IF($BH504&lt;&gt;Constants!$B$4,"",$BM504+$BN504+$BO504))</f>
        <v/>
      </c>
      <c r="CU504" s="104" t="str">
        <f aca="false">IF(ISBLANK($C504),"",IF($BH504&lt;&gt;Constants!$B$4,"",$BP504))</f>
        <v/>
      </c>
      <c r="CV504" s="104" t="str">
        <f aca="false">IF(ISBLANK($C504),"",IF($BH504&lt;&gt;Constants!$B$4,"",$BQ504+$BR504))</f>
        <v/>
      </c>
      <c r="CW504" s="104" t="str">
        <f aca="false">IF(ISBLANK($C504),"",IF($BH504&lt;&gt;Constants!$B$4,"",$BS504))</f>
        <v/>
      </c>
      <c r="CX504" s="104" t="str">
        <f aca="false">IF(ISBLANK($C504),"",IF($BH504&lt;&gt;Constants!$B$4,"",-$BZ504))</f>
        <v/>
      </c>
      <c r="CY504" s="103" t="str">
        <f aca="false">IF(ISBLANK($C504),"",$CA504)</f>
        <v/>
      </c>
      <c r="CZ504" s="105" t="str">
        <f aca="false">IF(ISBLANK($C504),"",$BI504)</f>
        <v/>
      </c>
      <c r="DA504" s="104" t="str">
        <f aca="false">IF(ISBLANK($C504),"",$CH504)</f>
        <v/>
      </c>
      <c r="DB504" s="104" t="str">
        <f aca="false">IF(ISBLANK($C504),"",$CG504)</f>
        <v/>
      </c>
      <c r="DC504" s="106" t="str">
        <f aca="false">IF(ISBLANK($C504),"",IFERROR(_xlfn.SWITCH($DB504,Constants!$B$7,COUNTA($C$9:$C$508)+2,Constants!$B$6,COUNTA($C$9:$C$508)+1,Constants!$B$5,COUNTA($C$9:$C$508)),$DB504))</f>
        <v/>
      </c>
      <c r="DD504" s="7"/>
      <c r="DE504" s="107" t="n">
        <f aca="false">IF(OR(ISNUMBER($DB504),$DB504=Constants!$B$7,$DB504=Constants!$B$5,$DB504=Constants!$B$6),1,0)</f>
        <v>0</v>
      </c>
      <c r="DF504" s="107" t="n">
        <v>496</v>
      </c>
      <c r="DG504" s="107" t="str">
        <f aca="false">IF(ISBLANK($C504),"",IF(ISNUMBER($DC504),$DC504+ROW($B504)/1000,""))</f>
        <v/>
      </c>
      <c r="DH504" s="107" t="str">
        <f aca="false">IF(ISNUMBER($DG504),RANK($DG504,$DG$9:$DG$508,1),"")</f>
        <v/>
      </c>
      <c r="DI504" s="107" t="str">
        <f aca="false">IF(ISBLANK($C504),"",$B504)</f>
        <v/>
      </c>
      <c r="DJ504" s="107" t="str">
        <f aca="false">IF(ISBLANK($C504),"",$C504)</f>
        <v/>
      </c>
      <c r="DK504" s="107" t="str">
        <f aca="false">IF(ISBLANK($C504),"",$D504)</f>
        <v/>
      </c>
      <c r="DL504" s="108" t="str">
        <f aca="false">$CZ504</f>
        <v/>
      </c>
      <c r="DM504" s="109" t="str">
        <f aca="false">$CY504</f>
        <v/>
      </c>
      <c r="DN504" s="107" t="str">
        <f aca="false">IF(ISBLANK($C504),"",$DB504)</f>
        <v/>
      </c>
      <c r="DO504" s="110" t="str">
        <f aca="false">IF($DF504&gt;$DE$8,"",VLOOKUP($DF504,$DH$9:$DN$508,7,FALSE()))</f>
        <v/>
      </c>
      <c r="DP504" s="111" t="str">
        <f aca="false">IF($DF504&gt;$DE$8,"",VLOOKUP($DF504,$DH$9:$DN$508,2,FALSE()))</f>
        <v/>
      </c>
      <c r="DQ504" s="111" t="str">
        <f aca="false">IF($DF504&gt;$DE$8,"",VLOOKUP($DF504,$DH$9:$DN$508,3,FALSE()))</f>
        <v/>
      </c>
      <c r="DR504" s="111" t="str">
        <f aca="false">IF($DF504&gt;$DE$8,"",VLOOKUP($DF504,$DH$9:$DN$508,4,FALSE()))</f>
        <v/>
      </c>
      <c r="DS504" s="111" t="str">
        <f aca="false">IF($DF504&gt;$DE$8,"",VLOOKUP($DF504,$DH$9:$DN$508,5,FALSE()))</f>
        <v/>
      </c>
      <c r="DT504" s="112" t="str">
        <f aca="false">IF($DF504&gt;$DE$8,"",VLOOKUP($DF504,$DH$9:$DN$508,6,FALSE()))</f>
        <v/>
      </c>
      <c r="DU504" s="62"/>
    </row>
    <row r="505" customFormat="false" ht="15.75" hidden="false" customHeight="false" outlineLevel="0" collapsed="false">
      <c r="A505" s="7"/>
      <c r="B505" s="90"/>
      <c r="C505" s="91"/>
      <c r="D505" s="126"/>
      <c r="E505" s="130"/>
      <c r="F505" s="135"/>
      <c r="G505" s="130"/>
      <c r="H505" s="135"/>
      <c r="I505" s="131"/>
      <c r="J505" s="131"/>
      <c r="K505" s="131"/>
      <c r="L505" s="130"/>
      <c r="M505" s="130"/>
      <c r="N505" s="130"/>
      <c r="O505" s="135"/>
      <c r="P505" s="130"/>
      <c r="Q505" s="130"/>
      <c r="R505" s="130"/>
      <c r="S505" s="130"/>
      <c r="T505" s="135"/>
      <c r="U505" s="130"/>
      <c r="V505" s="96"/>
      <c r="W505" s="130"/>
      <c r="X505" s="130"/>
      <c r="Y505" s="96"/>
      <c r="Z505" s="96"/>
      <c r="AA505" s="130"/>
      <c r="AB505" s="130"/>
      <c r="AC505" s="97"/>
      <c r="AD505" s="130"/>
      <c r="AE505" s="99"/>
      <c r="AF505" s="100"/>
      <c r="AG505" s="100"/>
      <c r="AH505" s="100" t="str">
        <f aca="false">IF(ISBLANK($C505),"",IF($E505=Constants!$B$2,TRUE(),IF($E505=Constants!$B$3,FALSE(),TRUE())))</f>
        <v/>
      </c>
      <c r="AI505" s="100" t="str">
        <f aca="false">IF(ISBLANK($C505),"",IF($F505=Constants!$B$2,TRUE(),IF($F505=Constants!$B$3,FALSE(),FALSE())))</f>
        <v/>
      </c>
      <c r="AJ505" s="100" t="str">
        <f aca="false">IF(ISBLANK($C505),"",IF($G505=Constants!$B$2,TRUE(),IF($G505=Constants!$B$3,FALSE(),TRUE())))</f>
        <v/>
      </c>
      <c r="AK505" s="100" t="str">
        <f aca="false">IF(ISBLANK($C505),"",IF($H505=Constants!$B$2,TRUE(),IF($H505=Constants!$B$3,FALSE(),TRUE())))</f>
        <v/>
      </c>
      <c r="AL505" s="100" t="str">
        <f aca="false">IF(ISBLANK($C505),"",IF(ISNUMBER($I505),IF($I505&gt;=0,$I505,""),""))</f>
        <v/>
      </c>
      <c r="AM505" s="100" t="str">
        <f aca="false">IF(ISBLANK($C505),"",IF(ISNUMBER($J505),IF($J505&gt;=0,$J505,""),""))</f>
        <v/>
      </c>
      <c r="AN505" s="100" t="str">
        <f aca="false">IF(ISBLANK($C505),"",IF(ISNUMBER($K505),IF($K505&gt;=0,$K505,""),""))</f>
        <v/>
      </c>
      <c r="AO505" s="100" t="str">
        <f aca="false">IF(ISBLANK($C505),"",IF($L505=Constants!$B$2,TRUE(),IF($L505=Constants!$B$3,FALSE(),TRUE())))</f>
        <v/>
      </c>
      <c r="AP505" s="100" t="str">
        <f aca="false">IF(ISBLANK($C505),"",IF($M505=Constants!$B$2,TRUE(),IF($M505=Constants!$B$3,FALSE(),TRUE())))</f>
        <v/>
      </c>
      <c r="AQ505" s="100" t="str">
        <f aca="false">IF(ISBLANK($C505),"",IF($N505=Constants!$B$2,TRUE(),IF($N505=Constants!$B$3,FALSE(),FALSE())))</f>
        <v/>
      </c>
      <c r="AR505" s="100" t="str">
        <f aca="false">IF(ISBLANK($C505),"",IF($O505=Constants!$B$2,TRUE(),IF($O505=Constants!$B$3,FALSE(),TRUE())))</f>
        <v/>
      </c>
      <c r="AS505" s="100" t="str">
        <f aca="false">IF(ISBLANK($C505),"",IF($P505=Constants!$B$2,TRUE(),IF($P505=Constants!$B$3,FALSE(),FALSE())))</f>
        <v/>
      </c>
      <c r="AT505" s="100" t="str">
        <f aca="false">IF(ISBLANK($C505),"",IF($Q505=Constants!$B$2,TRUE(),IF($Q505=Constants!$B$3,FALSE(),FALSE())))</f>
        <v/>
      </c>
      <c r="AU505" s="100" t="str">
        <f aca="false">IF(ISBLANK($C505),"",IF($R505=Constants!$B$2,TRUE(),IF($R505=Constants!$B$3,FALSE(),FALSE())))</f>
        <v/>
      </c>
      <c r="AV505" s="100" t="str">
        <f aca="false">IF(ISBLANK($C505),"",IF($S505=Constants!$B$2,TRUE(),IF($S505=Constants!$B$3,FALSE(),FALSE())))</f>
        <v/>
      </c>
      <c r="AW505" s="100" t="str">
        <f aca="false">IF(ISBLANK($C505),"",IF($T505=Constants!$B$2,TRUE(),IF($T505=Constants!$B$3,FALSE(),FALSE())))</f>
        <v/>
      </c>
      <c r="AX505" s="100" t="str">
        <f aca="false">IF(ISBLANK($C505),"",IF(OR($U505&amp;""="1",$U505&amp;""="2",$U505&amp;""="3",$U505&amp;""="4"),VALUE($U505&amp;""),IF($U505=Constants!$B$12,Constants!$B$12,"")))</f>
        <v/>
      </c>
      <c r="AY505" s="100" t="str">
        <f aca="false">IF(ISBLANK($C505),"",IF(ISBLANK($V505),0,IF(ISNUMBER($V505),IF(AND($V505&gt;=0,$V505&lt;=Constants!$B$21,$V505=INT($V505)),$V505,""),"")))</f>
        <v/>
      </c>
      <c r="AZ505" s="100" t="str">
        <f aca="false">IF(ISBLANK($C505),"",IF(ISBLANK($W505),0,IF(ISNUMBER($W505),IF($W505&gt;=0,$W505,""),"")))</f>
        <v/>
      </c>
      <c r="BA505" s="100" t="str">
        <f aca="false">IF(ISBLANK($C505),"",IF($X505=Constants!$B$2,TRUE(),IF($X505=Constants!$B$3,FALSE(),TRUE())))</f>
        <v/>
      </c>
      <c r="BB505" s="100" t="str">
        <f aca="false">IF(ISBLANK($C505),"",IF($Y505=Constants!$B$2,TRUE(),IF($Y505=Constants!$B$3,FALSE(),FALSE())))</f>
        <v/>
      </c>
      <c r="BC505" s="100" t="str">
        <f aca="false">IF(ISBLANK($C505),"",IF(ISBLANK($Z505),0,IF(ISNUMBER($Z505),IF(AND($Z505&gt;=0,$Z505&lt;=Constants!$B$35,$Z505=INT($Z505)),$Z505,""),"")))</f>
        <v/>
      </c>
      <c r="BD505" s="100" t="str">
        <f aca="false">IF(ISBLANK($C505),"",IF($AA505=Constants!$B$2,TRUE(),IF($AA505=Constants!$B$3,FALSE(),TRUE())))</f>
        <v/>
      </c>
      <c r="BE505" s="100" t="str">
        <f aca="false">IF(ISBLANK($C505),"",IF($AB505=Constants!$B$2,TRUE(),IF($AB505=Constants!$B$3,FALSE(),TRUE())))</f>
        <v/>
      </c>
      <c r="BF505" s="100" t="str">
        <f aca="false">IF(ISBLANK($C505),"",IF(ISNUMBER($AC505),IF($AC505&gt;=0,$AC505,""),""))</f>
        <v/>
      </c>
      <c r="BG505" s="100" t="str">
        <f aca="false">IF(ISBLANK($C505),"",IF($AD505=Constants!$B$2,TRUE(),IF($AD505=Constants!$B$3,FALSE(),FALSE())))</f>
        <v/>
      </c>
      <c r="BH505" s="99" t="str">
        <f aca="false">IF(ISBLANK($C505),"",IF($BG505,Constants!$B$7,IF(COUNTA($E505:$AC505)=0,Constants!$B$6,IF(OR(COUNTA($G505:$AC505)=0,NOT($AK505),$AQ505),Constants!$B$5,IF(OR($CI505&lt;&gt;"",$CJ505,$CK505,$CL505,$CM505,$CN505,$CO505),Constants!$B$8,Constants!$B$4)))))</f>
        <v/>
      </c>
      <c r="BI505" s="100" t="str">
        <f aca="false">IF(ISBLANK($C505),"",IF($BH505&lt;&gt;Constants!$B$4,$BH505,IF(OR(NOT($AH505),NOT($AJ505),NOT($AR505)),Constants!$B$11,IF(OR(NOT($AP505),MAX($AL505,$AM505,$AN505)&gt;Constants!$B$30),Constants!$B$10,Constants!$B$9))))</f>
        <v/>
      </c>
      <c r="BJ505" s="100" t="str">
        <f aca="false">IF($BH505&lt;&gt;Constants!$B$4,"",IF(NOT($AJ505),0,MIN(Constants!$B$35,$BC505)))</f>
        <v/>
      </c>
      <c r="BK505" s="100" t="str">
        <f aca="false">IF($BH505&lt;&gt;Constants!$B$4,"",IF(NOT($AJ505),0,IF($AT505,Constants!$B$18,IF($AS505,Constants!$B$17,0))))</f>
        <v/>
      </c>
      <c r="BL505" s="100" t="str">
        <f aca="false">IF($BH505&lt;&gt;Constants!$B$4,"",IF(NOT($AJ505),0,Constants!$B$19*($AI505+$AU505+$AV505+$AW505)))</f>
        <v/>
      </c>
      <c r="BM505" s="100" t="str">
        <f aca="false">IF($BH505&lt;&gt;Constants!$B$4,"",IF(OR(NOT($AJ505),NOT(ISNUMBER($AX505))),0,CHOOSE($AX505,Constants!$B$13,Constants!$B$14,Constants!$B$15,Constants!$B$16)))</f>
        <v/>
      </c>
      <c r="BN505" s="100" t="str">
        <f aca="false">IF($BH505&lt;&gt;Constants!$B$4,"",IF(NOT($AJ505),0,Constants!$B$20*$AY505))</f>
        <v/>
      </c>
      <c r="BO505" s="100" t="str">
        <f aca="false">IF($BH505&lt;&gt;Constants!$B$4,"",IF(AND($AJ505,$BA505,$BB505),Constants!$B$22,0))</f>
        <v/>
      </c>
      <c r="BP505" s="100" t="str">
        <f aca="false">IF($BH505&lt;&gt;Constants!$B$4,"",IF(OR(NOT($AJ505),NOT($BA505)),0,IF($BF505&gt;=2*$AF$9,0,Constants!$B$23*INT(ROUND(MIN($BF505,$AF$9),6)))))</f>
        <v/>
      </c>
      <c r="BQ505" s="100" t="str">
        <f aca="false">IF($BH505&lt;&gt;Constants!$B$4,"",IF(NOT($AJ505),0,Constants!$B$24*INT(ROUND(MIN($AZ505,$AF$9),6))))</f>
        <v/>
      </c>
      <c r="BR505" s="100" t="str">
        <f aca="false">IF($BH505&lt;&gt;Constants!$B$4,"",IF(AND($AJ505,$BJ505=0),Constants!$B$25,0))</f>
        <v/>
      </c>
      <c r="BS505" s="100" t="str">
        <f aca="false">IF($BH505&lt;&gt;Constants!$B$4,"",MIN(Constants!$B$29,MAX(0,Constants!$B$27*Constants!$B$28*INT(ROUND((Constants!$B$26-$AL505)/Constants!$B$28,6))))+MIN(Constants!$B$29,MAX(0,Constants!$B$27*Constants!$B$28*INT(ROUND((Constants!$B$26-$AM505)/Constants!$B$28,6))))+MIN(Constants!$B$29,MAX(0,Constants!$B$27*Constants!$B$28*INT(ROUND((Constants!$B$26-$AN505)/Constants!$B$28,6)))))</f>
        <v/>
      </c>
      <c r="BT505" s="100" t="str">
        <f aca="false">IF($BH505&lt;&gt;Constants!$B$4,"",IF(NOT($AJ505),0,Constants!$B$31*INT(ROUND(MAX(0,MIN($BF505,2*$AF$9)-$AF$9),6))))</f>
        <v/>
      </c>
      <c r="BU505" s="100" t="str">
        <f aca="false">IF($BH505&lt;&gt;Constants!$B$4,"",Constants!$B$32*(($AL505&gt;Constants!$B$26)+($AM505&gt;Constants!$B$26)+($AN505&gt;Constants!$B$26)))</f>
        <v/>
      </c>
      <c r="BV505" s="100" t="str">
        <f aca="false">IF($BH505&lt;&gt;Constants!$B$4,"",IF(OR(NOT($AJ505),$AO505),0,Constants!$B$33))</f>
        <v/>
      </c>
      <c r="BW505" s="100" t="str">
        <f aca="false">IF($BH505&lt;&gt;Constants!$B$4,"",Constants!$B$34*$BJ505)</f>
        <v/>
      </c>
      <c r="BX505" s="100" t="str">
        <f aca="false">IF($BH505&lt;&gt;Constants!$B$4,"",IF(OR(NOT($AJ505),$BE505),0,Constants!$B$36))</f>
        <v/>
      </c>
      <c r="BY505" s="100" t="str">
        <f aca="false">IF($BH505&lt;&gt;Constants!$B$4,"",IF(OR(NOT($AJ505),$BD505),0,Constants!$B$37))</f>
        <v/>
      </c>
      <c r="BZ505" s="100" t="str">
        <f aca="false">IF($BH505&lt;&gt;Constants!$B$4,"",SUM($BT505:$BY505))</f>
        <v/>
      </c>
      <c r="CA505" s="100" t="str">
        <f aca="false">IF(ISBLANK($C505),"",IF($BH505&lt;&gt;Constants!$B$4,$BH505,SUM($BK505:$BS505)-$BZ505))</f>
        <v/>
      </c>
      <c r="CB505" s="100" t="str">
        <f aca="false">IF(ISBLANK($C505),"",IF($BH505&lt;&gt;Constants!$B$4,$BH505,RANK($CA505,$CA$9:$CA$508)))</f>
        <v/>
      </c>
      <c r="CC505" s="100" t="str">
        <f aca="false">IF(ISBLANK($C505),"",IF($BH505&lt;&gt;Constants!$B$4,$BH505,COUNTIFS($BI$9:$BI$508,"&lt;"&amp;$BI505)+COUNTIFS($BI$9:$BI$508,$BI505,$CB$9:$CB$508,"&lt;"&amp;$CB505)+1))</f>
        <v/>
      </c>
      <c r="CD505" s="100" t="str">
        <f aca="false">IF(ISBLANK($C505),"",IF($BH505&lt;&gt;Constants!$B$4,$BH505,RANK($BZ505,$BZ$9:$BZ$508,1)))</f>
        <v/>
      </c>
      <c r="CE505" s="100" t="str">
        <f aca="false">IF($BH505&lt;&gt;Constants!$B$4,"",$AL505+$AM505+$AN505)</f>
        <v/>
      </c>
      <c r="CF505" s="100" t="str">
        <f aca="false">IF(ISBLANK($C505),"",IF($BH505&lt;&gt;Constants!$B$4,$BH505,RANK($CE505,$CE$9:$CE$508,1)))</f>
        <v/>
      </c>
      <c r="CG505" s="100" t="str">
        <f aca="false">IF(ISBLANK($C505),"",IF($BH505&lt;&gt;Constants!$B$4,$BH505,COUNTIFS($BI$9:$BI$508,"&lt;"&amp;$BI505)+COUNTIFS($BI$9:$BI$508,$BI505,$CB$9:$CB$508,"&lt;"&amp;$CB505)+COUNTIFS($BI$9:$BI$508,$BI505,$CB$9:$CB$508,$CB505,$CD$9:$CD$508,"&lt;"&amp;$CD505)+COUNTIFS($BI$9:$BI$508,$BI505,$CB$9:$CB$508,$CB505,$CD$9:$CD$508,$CD505,$CF$9:$CF$508,"&lt;"&amp;$CF505)+1))</f>
        <v/>
      </c>
      <c r="CH505" s="100" t="str">
        <f aca="false">IF(ISBLANK($C505),"",IF($BH505&lt;&gt;Constants!$B$4,$BH505,$CC505-$CG505))</f>
        <v/>
      </c>
      <c r="CI505" s="100" t="str">
        <f aca="false">IF(ISBLANK($C505),"",IF(NOT($AJ505),"",IF(ISBLANK($D$7),$CI$5,IF(NOT(ISNUMBER($D$7)),$CI$6,""))))</f>
        <v/>
      </c>
      <c r="CJ505" s="100" t="str">
        <f aca="false">IF(ISBLANK($C505),"",OR($AL505="",$AM505="",$AN505=""))</f>
        <v/>
      </c>
      <c r="CK505" s="100" t="str">
        <f aca="false">IF(ISBLANK($C505),"",AND($AJ505,$AX505=""))</f>
        <v/>
      </c>
      <c r="CL505" s="100" t="str">
        <f aca="false">IF(ISBLANK($C505),"",AND($AJ505,$AY505=""))</f>
        <v/>
      </c>
      <c r="CM505" s="100" t="str">
        <f aca="false">IF(ISBLANK($C505),"",AND($AJ505,$AZ505=""))</f>
        <v/>
      </c>
      <c r="CN505" s="100" t="str">
        <f aca="false">IF(ISBLANK($C505),"",AND($AJ505,$BC505=""))</f>
        <v/>
      </c>
      <c r="CO505" s="100" t="str">
        <f aca="false">IF(ISBLANK($C505),"",AND($AJ505,$BF505=""))</f>
        <v/>
      </c>
      <c r="CP505" s="101"/>
      <c r="CQ505" s="102"/>
      <c r="CR505" s="103" t="str">
        <f aca="false">IF(ISBLANK($C505),"",IF($BH505=Constants!$B$8,$CI505,""))</f>
        <v/>
      </c>
      <c r="CS505" s="102" t="str">
        <f aca="false">IF(ISBLANK($C505),"",IF($BH505&lt;&gt;Constants!$B$4,"",$BK505+$BL505))</f>
        <v/>
      </c>
      <c r="CT505" s="104" t="str">
        <f aca="false">IF(ISBLANK($C505),"",IF($BH505&lt;&gt;Constants!$B$4,"",$BM505+$BN505+$BO505))</f>
        <v/>
      </c>
      <c r="CU505" s="104" t="str">
        <f aca="false">IF(ISBLANK($C505),"",IF($BH505&lt;&gt;Constants!$B$4,"",$BP505))</f>
        <v/>
      </c>
      <c r="CV505" s="104" t="str">
        <f aca="false">IF(ISBLANK($C505),"",IF($BH505&lt;&gt;Constants!$B$4,"",$BQ505+$BR505))</f>
        <v/>
      </c>
      <c r="CW505" s="104" t="str">
        <f aca="false">IF(ISBLANK($C505),"",IF($BH505&lt;&gt;Constants!$B$4,"",$BS505))</f>
        <v/>
      </c>
      <c r="CX505" s="104" t="str">
        <f aca="false">IF(ISBLANK($C505),"",IF($BH505&lt;&gt;Constants!$B$4,"",-$BZ505))</f>
        <v/>
      </c>
      <c r="CY505" s="103" t="str">
        <f aca="false">IF(ISBLANK($C505),"",$CA505)</f>
        <v/>
      </c>
      <c r="CZ505" s="105" t="str">
        <f aca="false">IF(ISBLANK($C505),"",$BI505)</f>
        <v/>
      </c>
      <c r="DA505" s="104" t="str">
        <f aca="false">IF(ISBLANK($C505),"",$CH505)</f>
        <v/>
      </c>
      <c r="DB505" s="104" t="str">
        <f aca="false">IF(ISBLANK($C505),"",$CG505)</f>
        <v/>
      </c>
      <c r="DC505" s="106" t="str">
        <f aca="false">IF(ISBLANK($C505),"",IFERROR(_xlfn.SWITCH($DB505,Constants!$B$7,COUNTA($C$9:$C$508)+2,Constants!$B$6,COUNTA($C$9:$C$508)+1,Constants!$B$5,COUNTA($C$9:$C$508)),$DB505))</f>
        <v/>
      </c>
      <c r="DD505" s="7"/>
      <c r="DE505" s="107" t="n">
        <f aca="false">IF(OR(ISNUMBER($DB505),$DB505=Constants!$B$7,$DB505=Constants!$B$5,$DB505=Constants!$B$6),1,0)</f>
        <v>0</v>
      </c>
      <c r="DF505" s="107" t="n">
        <v>497</v>
      </c>
      <c r="DG505" s="107" t="str">
        <f aca="false">IF(ISBLANK($C505),"",IF(ISNUMBER($DC505),$DC505+ROW($B505)/1000,""))</f>
        <v/>
      </c>
      <c r="DH505" s="107" t="str">
        <f aca="false">IF(ISNUMBER($DG505),RANK($DG505,$DG$9:$DG$508,1),"")</f>
        <v/>
      </c>
      <c r="DI505" s="107" t="str">
        <f aca="false">IF(ISBLANK($C505),"",$B505)</f>
        <v/>
      </c>
      <c r="DJ505" s="107" t="str">
        <f aca="false">IF(ISBLANK($C505),"",$C505)</f>
        <v/>
      </c>
      <c r="DK505" s="107" t="str">
        <f aca="false">IF(ISBLANK($C505),"",$D505)</f>
        <v/>
      </c>
      <c r="DL505" s="108" t="str">
        <f aca="false">$CZ505</f>
        <v/>
      </c>
      <c r="DM505" s="109" t="str">
        <f aca="false">$CY505</f>
        <v/>
      </c>
      <c r="DN505" s="107" t="str">
        <f aca="false">IF(ISBLANK($C505),"",$DB505)</f>
        <v/>
      </c>
      <c r="DO505" s="110" t="str">
        <f aca="false">IF($DF505&gt;$DE$8,"",VLOOKUP($DF505,$DH$9:$DN$508,7,FALSE()))</f>
        <v/>
      </c>
      <c r="DP505" s="111" t="str">
        <f aca="false">IF($DF505&gt;$DE$8,"",VLOOKUP($DF505,$DH$9:$DN$508,2,FALSE()))</f>
        <v/>
      </c>
      <c r="DQ505" s="111" t="str">
        <f aca="false">IF($DF505&gt;$DE$8,"",VLOOKUP($DF505,$DH$9:$DN$508,3,FALSE()))</f>
        <v/>
      </c>
      <c r="DR505" s="111" t="str">
        <f aca="false">IF($DF505&gt;$DE$8,"",VLOOKUP($DF505,$DH$9:$DN$508,4,FALSE()))</f>
        <v/>
      </c>
      <c r="DS505" s="111" t="str">
        <f aca="false">IF($DF505&gt;$DE$8,"",VLOOKUP($DF505,$DH$9:$DN$508,5,FALSE()))</f>
        <v/>
      </c>
      <c r="DT505" s="112" t="str">
        <f aca="false">IF($DF505&gt;$DE$8,"",VLOOKUP($DF505,$DH$9:$DN$508,6,FALSE()))</f>
        <v/>
      </c>
      <c r="DU505" s="62"/>
    </row>
    <row r="506" customFormat="false" ht="15.75" hidden="false" customHeight="false" outlineLevel="0" collapsed="false">
      <c r="A506" s="7"/>
      <c r="B506" s="90"/>
      <c r="C506" s="91"/>
      <c r="D506" s="126"/>
      <c r="E506" s="130"/>
      <c r="F506" s="135"/>
      <c r="G506" s="130"/>
      <c r="H506" s="135"/>
      <c r="I506" s="131"/>
      <c r="J506" s="131"/>
      <c r="K506" s="131"/>
      <c r="L506" s="130"/>
      <c r="M506" s="130"/>
      <c r="N506" s="130"/>
      <c r="O506" s="135"/>
      <c r="P506" s="130"/>
      <c r="Q506" s="130"/>
      <c r="R506" s="130"/>
      <c r="S506" s="130"/>
      <c r="T506" s="135"/>
      <c r="U506" s="130"/>
      <c r="V506" s="96"/>
      <c r="W506" s="130"/>
      <c r="X506" s="130"/>
      <c r="Y506" s="96"/>
      <c r="Z506" s="96"/>
      <c r="AA506" s="130"/>
      <c r="AB506" s="130"/>
      <c r="AC506" s="97"/>
      <c r="AD506" s="130"/>
      <c r="AE506" s="99"/>
      <c r="AF506" s="100"/>
      <c r="AG506" s="100"/>
      <c r="AH506" s="100" t="str">
        <f aca="false">IF(ISBLANK($C506),"",IF($E506=Constants!$B$2,TRUE(),IF($E506=Constants!$B$3,FALSE(),TRUE())))</f>
        <v/>
      </c>
      <c r="AI506" s="100" t="str">
        <f aca="false">IF(ISBLANK($C506),"",IF($F506=Constants!$B$2,TRUE(),IF($F506=Constants!$B$3,FALSE(),FALSE())))</f>
        <v/>
      </c>
      <c r="AJ506" s="100" t="str">
        <f aca="false">IF(ISBLANK($C506),"",IF($G506=Constants!$B$2,TRUE(),IF($G506=Constants!$B$3,FALSE(),TRUE())))</f>
        <v/>
      </c>
      <c r="AK506" s="100" t="str">
        <f aca="false">IF(ISBLANK($C506),"",IF($H506=Constants!$B$2,TRUE(),IF($H506=Constants!$B$3,FALSE(),TRUE())))</f>
        <v/>
      </c>
      <c r="AL506" s="100" t="str">
        <f aca="false">IF(ISBLANK($C506),"",IF(ISNUMBER($I506),IF($I506&gt;=0,$I506,""),""))</f>
        <v/>
      </c>
      <c r="AM506" s="100" t="str">
        <f aca="false">IF(ISBLANK($C506),"",IF(ISNUMBER($J506),IF($J506&gt;=0,$J506,""),""))</f>
        <v/>
      </c>
      <c r="AN506" s="100" t="str">
        <f aca="false">IF(ISBLANK($C506),"",IF(ISNUMBER($K506),IF($K506&gt;=0,$K506,""),""))</f>
        <v/>
      </c>
      <c r="AO506" s="100" t="str">
        <f aca="false">IF(ISBLANK($C506),"",IF($L506=Constants!$B$2,TRUE(),IF($L506=Constants!$B$3,FALSE(),TRUE())))</f>
        <v/>
      </c>
      <c r="AP506" s="100" t="str">
        <f aca="false">IF(ISBLANK($C506),"",IF($M506=Constants!$B$2,TRUE(),IF($M506=Constants!$B$3,FALSE(),TRUE())))</f>
        <v/>
      </c>
      <c r="AQ506" s="100" t="str">
        <f aca="false">IF(ISBLANK($C506),"",IF($N506=Constants!$B$2,TRUE(),IF($N506=Constants!$B$3,FALSE(),FALSE())))</f>
        <v/>
      </c>
      <c r="AR506" s="100" t="str">
        <f aca="false">IF(ISBLANK($C506),"",IF($O506=Constants!$B$2,TRUE(),IF($O506=Constants!$B$3,FALSE(),TRUE())))</f>
        <v/>
      </c>
      <c r="AS506" s="100" t="str">
        <f aca="false">IF(ISBLANK($C506),"",IF($P506=Constants!$B$2,TRUE(),IF($P506=Constants!$B$3,FALSE(),FALSE())))</f>
        <v/>
      </c>
      <c r="AT506" s="100" t="str">
        <f aca="false">IF(ISBLANK($C506),"",IF($Q506=Constants!$B$2,TRUE(),IF($Q506=Constants!$B$3,FALSE(),FALSE())))</f>
        <v/>
      </c>
      <c r="AU506" s="100" t="str">
        <f aca="false">IF(ISBLANK($C506),"",IF($R506=Constants!$B$2,TRUE(),IF($R506=Constants!$B$3,FALSE(),FALSE())))</f>
        <v/>
      </c>
      <c r="AV506" s="100" t="str">
        <f aca="false">IF(ISBLANK($C506),"",IF($S506=Constants!$B$2,TRUE(),IF($S506=Constants!$B$3,FALSE(),FALSE())))</f>
        <v/>
      </c>
      <c r="AW506" s="100" t="str">
        <f aca="false">IF(ISBLANK($C506),"",IF($T506=Constants!$B$2,TRUE(),IF($T506=Constants!$B$3,FALSE(),FALSE())))</f>
        <v/>
      </c>
      <c r="AX506" s="100" t="str">
        <f aca="false">IF(ISBLANK($C506),"",IF(OR($U506&amp;""="1",$U506&amp;""="2",$U506&amp;""="3",$U506&amp;""="4"),VALUE($U506&amp;""),IF($U506=Constants!$B$12,Constants!$B$12,"")))</f>
        <v/>
      </c>
      <c r="AY506" s="100" t="str">
        <f aca="false">IF(ISBLANK($C506),"",IF(ISBLANK($V506),0,IF(ISNUMBER($V506),IF(AND($V506&gt;=0,$V506&lt;=Constants!$B$21,$V506=INT($V506)),$V506,""),"")))</f>
        <v/>
      </c>
      <c r="AZ506" s="100" t="str">
        <f aca="false">IF(ISBLANK($C506),"",IF(ISBLANK($W506),0,IF(ISNUMBER($W506),IF($W506&gt;=0,$W506,""),"")))</f>
        <v/>
      </c>
      <c r="BA506" s="100" t="str">
        <f aca="false">IF(ISBLANK($C506),"",IF($X506=Constants!$B$2,TRUE(),IF($X506=Constants!$B$3,FALSE(),TRUE())))</f>
        <v/>
      </c>
      <c r="BB506" s="100" t="str">
        <f aca="false">IF(ISBLANK($C506),"",IF($Y506=Constants!$B$2,TRUE(),IF($Y506=Constants!$B$3,FALSE(),FALSE())))</f>
        <v/>
      </c>
      <c r="BC506" s="100" t="str">
        <f aca="false">IF(ISBLANK($C506),"",IF(ISBLANK($Z506),0,IF(ISNUMBER($Z506),IF(AND($Z506&gt;=0,$Z506&lt;=Constants!$B$35,$Z506=INT($Z506)),$Z506,""),"")))</f>
        <v/>
      </c>
      <c r="BD506" s="100" t="str">
        <f aca="false">IF(ISBLANK($C506),"",IF($AA506=Constants!$B$2,TRUE(),IF($AA506=Constants!$B$3,FALSE(),TRUE())))</f>
        <v/>
      </c>
      <c r="BE506" s="100" t="str">
        <f aca="false">IF(ISBLANK($C506),"",IF($AB506=Constants!$B$2,TRUE(),IF($AB506=Constants!$B$3,FALSE(),TRUE())))</f>
        <v/>
      </c>
      <c r="BF506" s="100" t="str">
        <f aca="false">IF(ISBLANK($C506),"",IF(ISNUMBER($AC506),IF($AC506&gt;=0,$AC506,""),""))</f>
        <v/>
      </c>
      <c r="BG506" s="100" t="str">
        <f aca="false">IF(ISBLANK($C506),"",IF($AD506=Constants!$B$2,TRUE(),IF($AD506=Constants!$B$3,FALSE(),FALSE())))</f>
        <v/>
      </c>
      <c r="BH506" s="99" t="str">
        <f aca="false">IF(ISBLANK($C506),"",IF($BG506,Constants!$B$7,IF(COUNTA($E506:$AC506)=0,Constants!$B$6,IF(OR(COUNTA($G506:$AC506)=0,NOT($AK506),$AQ506),Constants!$B$5,IF(OR($CI506&lt;&gt;"",$CJ506,$CK506,$CL506,$CM506,$CN506,$CO506),Constants!$B$8,Constants!$B$4)))))</f>
        <v/>
      </c>
      <c r="BI506" s="100" t="str">
        <f aca="false">IF(ISBLANK($C506),"",IF($BH506&lt;&gt;Constants!$B$4,$BH506,IF(OR(NOT($AH506),NOT($AJ506),NOT($AR506)),Constants!$B$11,IF(OR(NOT($AP506),MAX($AL506,$AM506,$AN506)&gt;Constants!$B$30),Constants!$B$10,Constants!$B$9))))</f>
        <v/>
      </c>
      <c r="BJ506" s="100" t="str">
        <f aca="false">IF($BH506&lt;&gt;Constants!$B$4,"",IF(NOT($AJ506),0,MIN(Constants!$B$35,$BC506)))</f>
        <v/>
      </c>
      <c r="BK506" s="100" t="str">
        <f aca="false">IF($BH506&lt;&gt;Constants!$B$4,"",IF(NOT($AJ506),0,IF($AT506,Constants!$B$18,IF($AS506,Constants!$B$17,0))))</f>
        <v/>
      </c>
      <c r="BL506" s="100" t="str">
        <f aca="false">IF($BH506&lt;&gt;Constants!$B$4,"",IF(NOT($AJ506),0,Constants!$B$19*($AI506+$AU506+$AV506+$AW506)))</f>
        <v/>
      </c>
      <c r="BM506" s="100" t="str">
        <f aca="false">IF($BH506&lt;&gt;Constants!$B$4,"",IF(OR(NOT($AJ506),NOT(ISNUMBER($AX506))),0,CHOOSE($AX506,Constants!$B$13,Constants!$B$14,Constants!$B$15,Constants!$B$16)))</f>
        <v/>
      </c>
      <c r="BN506" s="100" t="str">
        <f aca="false">IF($BH506&lt;&gt;Constants!$B$4,"",IF(NOT($AJ506),0,Constants!$B$20*$AY506))</f>
        <v/>
      </c>
      <c r="BO506" s="100" t="str">
        <f aca="false">IF($BH506&lt;&gt;Constants!$B$4,"",IF(AND($AJ506,$BA506,$BB506),Constants!$B$22,0))</f>
        <v/>
      </c>
      <c r="BP506" s="100" t="str">
        <f aca="false">IF($BH506&lt;&gt;Constants!$B$4,"",IF(OR(NOT($AJ506),NOT($BA506)),0,IF($BF506&gt;=2*$AF$9,0,Constants!$B$23*INT(ROUND(MIN($BF506,$AF$9),6)))))</f>
        <v/>
      </c>
      <c r="BQ506" s="100" t="str">
        <f aca="false">IF($BH506&lt;&gt;Constants!$B$4,"",IF(NOT($AJ506),0,Constants!$B$24*INT(ROUND(MIN($AZ506,$AF$9),6))))</f>
        <v/>
      </c>
      <c r="BR506" s="100" t="str">
        <f aca="false">IF($BH506&lt;&gt;Constants!$B$4,"",IF(AND($AJ506,$BJ506=0),Constants!$B$25,0))</f>
        <v/>
      </c>
      <c r="BS506" s="100" t="str">
        <f aca="false">IF($BH506&lt;&gt;Constants!$B$4,"",MIN(Constants!$B$29,MAX(0,Constants!$B$27*Constants!$B$28*INT(ROUND((Constants!$B$26-$AL506)/Constants!$B$28,6))))+MIN(Constants!$B$29,MAX(0,Constants!$B$27*Constants!$B$28*INT(ROUND((Constants!$B$26-$AM506)/Constants!$B$28,6))))+MIN(Constants!$B$29,MAX(0,Constants!$B$27*Constants!$B$28*INT(ROUND((Constants!$B$26-$AN506)/Constants!$B$28,6)))))</f>
        <v/>
      </c>
      <c r="BT506" s="100" t="str">
        <f aca="false">IF($BH506&lt;&gt;Constants!$B$4,"",IF(NOT($AJ506),0,Constants!$B$31*INT(ROUND(MAX(0,MIN($BF506,2*$AF$9)-$AF$9),6))))</f>
        <v/>
      </c>
      <c r="BU506" s="100" t="str">
        <f aca="false">IF($BH506&lt;&gt;Constants!$B$4,"",Constants!$B$32*(($AL506&gt;Constants!$B$26)+($AM506&gt;Constants!$B$26)+($AN506&gt;Constants!$B$26)))</f>
        <v/>
      </c>
      <c r="BV506" s="100" t="str">
        <f aca="false">IF($BH506&lt;&gt;Constants!$B$4,"",IF(OR(NOT($AJ506),$AO506),0,Constants!$B$33))</f>
        <v/>
      </c>
      <c r="BW506" s="100" t="str">
        <f aca="false">IF($BH506&lt;&gt;Constants!$B$4,"",Constants!$B$34*$BJ506)</f>
        <v/>
      </c>
      <c r="BX506" s="100" t="str">
        <f aca="false">IF($BH506&lt;&gt;Constants!$B$4,"",IF(OR(NOT($AJ506),$BE506),0,Constants!$B$36))</f>
        <v/>
      </c>
      <c r="BY506" s="100" t="str">
        <f aca="false">IF($BH506&lt;&gt;Constants!$B$4,"",IF(OR(NOT($AJ506),$BD506),0,Constants!$B$37))</f>
        <v/>
      </c>
      <c r="BZ506" s="100" t="str">
        <f aca="false">IF($BH506&lt;&gt;Constants!$B$4,"",SUM($BT506:$BY506))</f>
        <v/>
      </c>
      <c r="CA506" s="100" t="str">
        <f aca="false">IF(ISBLANK($C506),"",IF($BH506&lt;&gt;Constants!$B$4,$BH506,SUM($BK506:$BS506)-$BZ506))</f>
        <v/>
      </c>
      <c r="CB506" s="100" t="str">
        <f aca="false">IF(ISBLANK($C506),"",IF($BH506&lt;&gt;Constants!$B$4,$BH506,RANK($CA506,$CA$9:$CA$508)))</f>
        <v/>
      </c>
      <c r="CC506" s="100" t="str">
        <f aca="false">IF(ISBLANK($C506),"",IF($BH506&lt;&gt;Constants!$B$4,$BH506,COUNTIFS($BI$9:$BI$508,"&lt;"&amp;$BI506)+COUNTIFS($BI$9:$BI$508,$BI506,$CB$9:$CB$508,"&lt;"&amp;$CB506)+1))</f>
        <v/>
      </c>
      <c r="CD506" s="100" t="str">
        <f aca="false">IF(ISBLANK($C506),"",IF($BH506&lt;&gt;Constants!$B$4,$BH506,RANK($BZ506,$BZ$9:$BZ$508,1)))</f>
        <v/>
      </c>
      <c r="CE506" s="100" t="str">
        <f aca="false">IF($BH506&lt;&gt;Constants!$B$4,"",$AL506+$AM506+$AN506)</f>
        <v/>
      </c>
      <c r="CF506" s="100" t="str">
        <f aca="false">IF(ISBLANK($C506),"",IF($BH506&lt;&gt;Constants!$B$4,$BH506,RANK($CE506,$CE$9:$CE$508,1)))</f>
        <v/>
      </c>
      <c r="CG506" s="100" t="str">
        <f aca="false">IF(ISBLANK($C506),"",IF($BH506&lt;&gt;Constants!$B$4,$BH506,COUNTIFS($BI$9:$BI$508,"&lt;"&amp;$BI506)+COUNTIFS($BI$9:$BI$508,$BI506,$CB$9:$CB$508,"&lt;"&amp;$CB506)+COUNTIFS($BI$9:$BI$508,$BI506,$CB$9:$CB$508,$CB506,$CD$9:$CD$508,"&lt;"&amp;$CD506)+COUNTIFS($BI$9:$BI$508,$BI506,$CB$9:$CB$508,$CB506,$CD$9:$CD$508,$CD506,$CF$9:$CF$508,"&lt;"&amp;$CF506)+1))</f>
        <v/>
      </c>
      <c r="CH506" s="100" t="str">
        <f aca="false">IF(ISBLANK($C506),"",IF($BH506&lt;&gt;Constants!$B$4,$BH506,$CC506-$CG506))</f>
        <v/>
      </c>
      <c r="CI506" s="100" t="str">
        <f aca="false">IF(ISBLANK($C506),"",IF(NOT($AJ506),"",IF(ISBLANK($D$7),$CI$5,IF(NOT(ISNUMBER($D$7)),$CI$6,""))))</f>
        <v/>
      </c>
      <c r="CJ506" s="100" t="str">
        <f aca="false">IF(ISBLANK($C506),"",OR($AL506="",$AM506="",$AN506=""))</f>
        <v/>
      </c>
      <c r="CK506" s="100" t="str">
        <f aca="false">IF(ISBLANK($C506),"",AND($AJ506,$AX506=""))</f>
        <v/>
      </c>
      <c r="CL506" s="100" t="str">
        <f aca="false">IF(ISBLANK($C506),"",AND($AJ506,$AY506=""))</f>
        <v/>
      </c>
      <c r="CM506" s="100" t="str">
        <f aca="false">IF(ISBLANK($C506),"",AND($AJ506,$AZ506=""))</f>
        <v/>
      </c>
      <c r="CN506" s="100" t="str">
        <f aca="false">IF(ISBLANK($C506),"",AND($AJ506,$BC506=""))</f>
        <v/>
      </c>
      <c r="CO506" s="100" t="str">
        <f aca="false">IF(ISBLANK($C506),"",AND($AJ506,$BF506=""))</f>
        <v/>
      </c>
      <c r="CP506" s="101"/>
      <c r="CQ506" s="102"/>
      <c r="CR506" s="103" t="str">
        <f aca="false">IF(ISBLANK($C506),"",IF($BH506=Constants!$B$8,$CI506,""))</f>
        <v/>
      </c>
      <c r="CS506" s="102" t="str">
        <f aca="false">IF(ISBLANK($C506),"",IF($BH506&lt;&gt;Constants!$B$4,"",$BK506+$BL506))</f>
        <v/>
      </c>
      <c r="CT506" s="104" t="str">
        <f aca="false">IF(ISBLANK($C506),"",IF($BH506&lt;&gt;Constants!$B$4,"",$BM506+$BN506+$BO506))</f>
        <v/>
      </c>
      <c r="CU506" s="104" t="str">
        <f aca="false">IF(ISBLANK($C506),"",IF($BH506&lt;&gt;Constants!$B$4,"",$BP506))</f>
        <v/>
      </c>
      <c r="CV506" s="104" t="str">
        <f aca="false">IF(ISBLANK($C506),"",IF($BH506&lt;&gt;Constants!$B$4,"",$BQ506+$BR506))</f>
        <v/>
      </c>
      <c r="CW506" s="104" t="str">
        <f aca="false">IF(ISBLANK($C506),"",IF($BH506&lt;&gt;Constants!$B$4,"",$BS506))</f>
        <v/>
      </c>
      <c r="CX506" s="104" t="str">
        <f aca="false">IF(ISBLANK($C506),"",IF($BH506&lt;&gt;Constants!$B$4,"",-$BZ506))</f>
        <v/>
      </c>
      <c r="CY506" s="103" t="str">
        <f aca="false">IF(ISBLANK($C506),"",$CA506)</f>
        <v/>
      </c>
      <c r="CZ506" s="105" t="str">
        <f aca="false">IF(ISBLANK($C506),"",$BI506)</f>
        <v/>
      </c>
      <c r="DA506" s="104" t="str">
        <f aca="false">IF(ISBLANK($C506),"",$CH506)</f>
        <v/>
      </c>
      <c r="DB506" s="104" t="str">
        <f aca="false">IF(ISBLANK($C506),"",$CG506)</f>
        <v/>
      </c>
      <c r="DC506" s="106" t="str">
        <f aca="false">IF(ISBLANK($C506),"",IFERROR(_xlfn.SWITCH($DB506,Constants!$B$7,COUNTA($C$9:$C$508)+2,Constants!$B$6,COUNTA($C$9:$C$508)+1,Constants!$B$5,COUNTA($C$9:$C$508)),$DB506))</f>
        <v/>
      </c>
      <c r="DD506" s="7"/>
      <c r="DE506" s="107" t="n">
        <f aca="false">IF(OR(ISNUMBER($DB506),$DB506=Constants!$B$7,$DB506=Constants!$B$5,$DB506=Constants!$B$6),1,0)</f>
        <v>0</v>
      </c>
      <c r="DF506" s="107" t="n">
        <v>498</v>
      </c>
      <c r="DG506" s="107" t="str">
        <f aca="false">IF(ISBLANK($C506),"",IF(ISNUMBER($DC506),$DC506+ROW($B506)/1000,""))</f>
        <v/>
      </c>
      <c r="DH506" s="107" t="str">
        <f aca="false">IF(ISNUMBER($DG506),RANK($DG506,$DG$9:$DG$508,1),"")</f>
        <v/>
      </c>
      <c r="DI506" s="107" t="str">
        <f aca="false">IF(ISBLANK($C506),"",$B506)</f>
        <v/>
      </c>
      <c r="DJ506" s="107" t="str">
        <f aca="false">IF(ISBLANK($C506),"",$C506)</f>
        <v/>
      </c>
      <c r="DK506" s="107" t="str">
        <f aca="false">IF(ISBLANK($C506),"",$D506)</f>
        <v/>
      </c>
      <c r="DL506" s="108" t="str">
        <f aca="false">$CZ506</f>
        <v/>
      </c>
      <c r="DM506" s="109" t="str">
        <f aca="false">$CY506</f>
        <v/>
      </c>
      <c r="DN506" s="107" t="str">
        <f aca="false">IF(ISBLANK($C506),"",$DB506)</f>
        <v/>
      </c>
      <c r="DO506" s="110" t="str">
        <f aca="false">IF($DF506&gt;$DE$8,"",VLOOKUP($DF506,$DH$9:$DN$508,7,FALSE()))</f>
        <v/>
      </c>
      <c r="DP506" s="111" t="str">
        <f aca="false">IF($DF506&gt;$DE$8,"",VLOOKUP($DF506,$DH$9:$DN$508,2,FALSE()))</f>
        <v/>
      </c>
      <c r="DQ506" s="111" t="str">
        <f aca="false">IF($DF506&gt;$DE$8,"",VLOOKUP($DF506,$DH$9:$DN$508,3,FALSE()))</f>
        <v/>
      </c>
      <c r="DR506" s="111" t="str">
        <f aca="false">IF($DF506&gt;$DE$8,"",VLOOKUP($DF506,$DH$9:$DN$508,4,FALSE()))</f>
        <v/>
      </c>
      <c r="DS506" s="111" t="str">
        <f aca="false">IF($DF506&gt;$DE$8,"",VLOOKUP($DF506,$DH$9:$DN$508,5,FALSE()))</f>
        <v/>
      </c>
      <c r="DT506" s="112" t="str">
        <f aca="false">IF($DF506&gt;$DE$8,"",VLOOKUP($DF506,$DH$9:$DN$508,6,FALSE()))</f>
        <v/>
      </c>
      <c r="DU506" s="62"/>
    </row>
    <row r="507" customFormat="false" ht="15.75" hidden="false" customHeight="false" outlineLevel="0" collapsed="false">
      <c r="A507" s="7"/>
      <c r="B507" s="64"/>
      <c r="C507" s="65"/>
      <c r="D507" s="123"/>
      <c r="E507" s="88"/>
      <c r="F507" s="134"/>
      <c r="G507" s="88"/>
      <c r="H507" s="134"/>
      <c r="I507" s="119"/>
      <c r="J507" s="119"/>
      <c r="K507" s="119"/>
      <c r="L507" s="88"/>
      <c r="M507" s="88"/>
      <c r="N507" s="88"/>
      <c r="O507" s="134"/>
      <c r="P507" s="88"/>
      <c r="Q507" s="88"/>
      <c r="R507" s="88"/>
      <c r="S507" s="88"/>
      <c r="T507" s="134"/>
      <c r="U507" s="88"/>
      <c r="V507" s="70"/>
      <c r="W507" s="88"/>
      <c r="X507" s="88"/>
      <c r="Y507" s="70"/>
      <c r="Z507" s="70"/>
      <c r="AA507" s="88"/>
      <c r="AB507" s="88"/>
      <c r="AC507" s="71"/>
      <c r="AD507" s="88"/>
      <c r="AE507" s="73"/>
      <c r="AF507" s="74"/>
      <c r="AG507" s="74"/>
      <c r="AH507" s="74" t="str">
        <f aca="false">IF(ISBLANK($C507),"",IF($E507=Constants!$B$2,TRUE(),IF($E507=Constants!$B$3,FALSE(),TRUE())))</f>
        <v/>
      </c>
      <c r="AI507" s="74" t="str">
        <f aca="false">IF(ISBLANK($C507),"",IF($F507=Constants!$B$2,TRUE(),IF($F507=Constants!$B$3,FALSE(),FALSE())))</f>
        <v/>
      </c>
      <c r="AJ507" s="74" t="str">
        <f aca="false">IF(ISBLANK($C507),"",IF($G507=Constants!$B$2,TRUE(),IF($G507=Constants!$B$3,FALSE(),TRUE())))</f>
        <v/>
      </c>
      <c r="AK507" s="74" t="str">
        <f aca="false">IF(ISBLANK($C507),"",IF($H507=Constants!$B$2,TRUE(),IF($H507=Constants!$B$3,FALSE(),TRUE())))</f>
        <v/>
      </c>
      <c r="AL507" s="74" t="str">
        <f aca="false">IF(ISBLANK($C507),"",IF(ISNUMBER($I507),IF($I507&gt;=0,$I507,""),""))</f>
        <v/>
      </c>
      <c r="AM507" s="74" t="str">
        <f aca="false">IF(ISBLANK($C507),"",IF(ISNUMBER($J507),IF($J507&gt;=0,$J507,""),""))</f>
        <v/>
      </c>
      <c r="AN507" s="74" t="str">
        <f aca="false">IF(ISBLANK($C507),"",IF(ISNUMBER($K507),IF($K507&gt;=0,$K507,""),""))</f>
        <v/>
      </c>
      <c r="AO507" s="74" t="str">
        <f aca="false">IF(ISBLANK($C507),"",IF($L507=Constants!$B$2,TRUE(),IF($L507=Constants!$B$3,FALSE(),TRUE())))</f>
        <v/>
      </c>
      <c r="AP507" s="74" t="str">
        <f aca="false">IF(ISBLANK($C507),"",IF($M507=Constants!$B$2,TRUE(),IF($M507=Constants!$B$3,FALSE(),TRUE())))</f>
        <v/>
      </c>
      <c r="AQ507" s="74" t="str">
        <f aca="false">IF(ISBLANK($C507),"",IF($N507=Constants!$B$2,TRUE(),IF($N507=Constants!$B$3,FALSE(),FALSE())))</f>
        <v/>
      </c>
      <c r="AR507" s="74" t="str">
        <f aca="false">IF(ISBLANK($C507),"",IF($O507=Constants!$B$2,TRUE(),IF($O507=Constants!$B$3,FALSE(),TRUE())))</f>
        <v/>
      </c>
      <c r="AS507" s="74" t="str">
        <f aca="false">IF(ISBLANK($C507),"",IF($P507=Constants!$B$2,TRUE(),IF($P507=Constants!$B$3,FALSE(),FALSE())))</f>
        <v/>
      </c>
      <c r="AT507" s="74" t="str">
        <f aca="false">IF(ISBLANK($C507),"",IF($Q507=Constants!$B$2,TRUE(),IF($Q507=Constants!$B$3,FALSE(),FALSE())))</f>
        <v/>
      </c>
      <c r="AU507" s="74" t="str">
        <f aca="false">IF(ISBLANK($C507),"",IF($R507=Constants!$B$2,TRUE(),IF($R507=Constants!$B$3,FALSE(),FALSE())))</f>
        <v/>
      </c>
      <c r="AV507" s="74" t="str">
        <f aca="false">IF(ISBLANK($C507),"",IF($S507=Constants!$B$2,TRUE(),IF($S507=Constants!$B$3,FALSE(),FALSE())))</f>
        <v/>
      </c>
      <c r="AW507" s="74" t="str">
        <f aca="false">IF(ISBLANK($C507),"",IF($T507=Constants!$B$2,TRUE(),IF($T507=Constants!$B$3,FALSE(),FALSE())))</f>
        <v/>
      </c>
      <c r="AX507" s="74" t="str">
        <f aca="false">IF(ISBLANK($C507),"",IF(OR($U507&amp;""="1",$U507&amp;""="2",$U507&amp;""="3",$U507&amp;""="4"),VALUE($U507&amp;""),IF($U507=Constants!$B$12,Constants!$B$12,"")))</f>
        <v/>
      </c>
      <c r="AY507" s="74" t="str">
        <f aca="false">IF(ISBLANK($C507),"",IF(ISBLANK($V507),0,IF(ISNUMBER($V507),IF(AND($V507&gt;=0,$V507&lt;=Constants!$B$21,$V507=INT($V507)),$V507,""),"")))</f>
        <v/>
      </c>
      <c r="AZ507" s="74" t="str">
        <f aca="false">IF(ISBLANK($C507),"",IF(ISBLANK($W507),0,IF(ISNUMBER($W507),IF($W507&gt;=0,$W507,""),"")))</f>
        <v/>
      </c>
      <c r="BA507" s="74" t="str">
        <f aca="false">IF(ISBLANK($C507),"",IF($X507=Constants!$B$2,TRUE(),IF($X507=Constants!$B$3,FALSE(),TRUE())))</f>
        <v/>
      </c>
      <c r="BB507" s="74" t="str">
        <f aca="false">IF(ISBLANK($C507),"",IF($Y507=Constants!$B$2,TRUE(),IF($Y507=Constants!$B$3,FALSE(),FALSE())))</f>
        <v/>
      </c>
      <c r="BC507" s="74" t="str">
        <f aca="false">IF(ISBLANK($C507),"",IF(ISBLANK($Z507),0,IF(ISNUMBER($Z507),IF(AND($Z507&gt;=0,$Z507&lt;=Constants!$B$35,$Z507=INT($Z507)),$Z507,""),"")))</f>
        <v/>
      </c>
      <c r="BD507" s="74" t="str">
        <f aca="false">IF(ISBLANK($C507),"",IF($AA507=Constants!$B$2,TRUE(),IF($AA507=Constants!$B$3,FALSE(),TRUE())))</f>
        <v/>
      </c>
      <c r="BE507" s="74" t="str">
        <f aca="false">IF(ISBLANK($C507),"",IF($AB507=Constants!$B$2,TRUE(),IF($AB507=Constants!$B$3,FALSE(),TRUE())))</f>
        <v/>
      </c>
      <c r="BF507" s="74" t="str">
        <f aca="false">IF(ISBLANK($C507),"",IF(ISNUMBER($AC507),IF($AC507&gt;=0,$AC507,""),""))</f>
        <v/>
      </c>
      <c r="BG507" s="74" t="str">
        <f aca="false">IF(ISBLANK($C507),"",IF($AD507=Constants!$B$2,TRUE(),IF($AD507=Constants!$B$3,FALSE(),FALSE())))</f>
        <v/>
      </c>
      <c r="BH507" s="73" t="str">
        <f aca="false">IF(ISBLANK($C507),"",IF($BG507,Constants!$B$7,IF(COUNTA($E507:$AC507)=0,Constants!$B$6,IF(OR(COUNTA($G507:$AC507)=0,NOT($AK507),$AQ507),Constants!$B$5,IF(OR($CI507&lt;&gt;"",$CJ507,$CK507,$CL507,$CM507,$CN507,$CO507),Constants!$B$8,Constants!$B$4)))))</f>
        <v/>
      </c>
      <c r="BI507" s="74" t="str">
        <f aca="false">IF(ISBLANK($C507),"",IF($BH507&lt;&gt;Constants!$B$4,$BH507,IF(OR(NOT($AH507),NOT($AJ507),NOT($AR507)),Constants!$B$11,IF(OR(NOT($AP507),MAX($AL507,$AM507,$AN507)&gt;Constants!$B$30),Constants!$B$10,Constants!$B$9))))</f>
        <v/>
      </c>
      <c r="BJ507" s="74" t="str">
        <f aca="false">IF($BH507&lt;&gt;Constants!$B$4,"",IF(NOT($AJ507),0,MIN(Constants!$B$35,$BC507)))</f>
        <v/>
      </c>
      <c r="BK507" s="74" t="str">
        <f aca="false">IF($BH507&lt;&gt;Constants!$B$4,"",IF(NOT($AJ507),0,IF($AT507,Constants!$B$18,IF($AS507,Constants!$B$17,0))))</f>
        <v/>
      </c>
      <c r="BL507" s="74" t="str">
        <f aca="false">IF($BH507&lt;&gt;Constants!$B$4,"",IF(NOT($AJ507),0,Constants!$B$19*($AI507+$AU507+$AV507+$AW507)))</f>
        <v/>
      </c>
      <c r="BM507" s="74" t="str">
        <f aca="false">IF($BH507&lt;&gt;Constants!$B$4,"",IF(OR(NOT($AJ507),NOT(ISNUMBER($AX507))),0,CHOOSE($AX507,Constants!$B$13,Constants!$B$14,Constants!$B$15,Constants!$B$16)))</f>
        <v/>
      </c>
      <c r="BN507" s="74" t="str">
        <f aca="false">IF($BH507&lt;&gt;Constants!$B$4,"",IF(NOT($AJ507),0,Constants!$B$20*$AY507))</f>
        <v/>
      </c>
      <c r="BO507" s="74" t="str">
        <f aca="false">IF($BH507&lt;&gt;Constants!$B$4,"",IF(AND($AJ507,$BA507,$BB507),Constants!$B$22,0))</f>
        <v/>
      </c>
      <c r="BP507" s="74" t="str">
        <f aca="false">IF($BH507&lt;&gt;Constants!$B$4,"",IF(OR(NOT($AJ507),NOT($BA507)),0,IF($BF507&gt;=2*$AF$9,0,Constants!$B$23*INT(ROUND(MIN($BF507,$AF$9),6)))))</f>
        <v/>
      </c>
      <c r="BQ507" s="74" t="str">
        <f aca="false">IF($BH507&lt;&gt;Constants!$B$4,"",IF(NOT($AJ507),0,Constants!$B$24*INT(ROUND(MIN($AZ507,$AF$9),6))))</f>
        <v/>
      </c>
      <c r="BR507" s="74" t="str">
        <f aca="false">IF($BH507&lt;&gt;Constants!$B$4,"",IF(AND($AJ507,$BJ507=0),Constants!$B$25,0))</f>
        <v/>
      </c>
      <c r="BS507" s="74" t="str">
        <f aca="false">IF($BH507&lt;&gt;Constants!$B$4,"",MIN(Constants!$B$29,MAX(0,Constants!$B$27*Constants!$B$28*INT(ROUND((Constants!$B$26-$AL507)/Constants!$B$28,6))))+MIN(Constants!$B$29,MAX(0,Constants!$B$27*Constants!$B$28*INT(ROUND((Constants!$B$26-$AM507)/Constants!$B$28,6))))+MIN(Constants!$B$29,MAX(0,Constants!$B$27*Constants!$B$28*INT(ROUND((Constants!$B$26-$AN507)/Constants!$B$28,6)))))</f>
        <v/>
      </c>
      <c r="BT507" s="74" t="str">
        <f aca="false">IF($BH507&lt;&gt;Constants!$B$4,"",IF(NOT($AJ507),0,Constants!$B$31*INT(ROUND(MAX(0,MIN($BF507,2*$AF$9)-$AF$9),6))))</f>
        <v/>
      </c>
      <c r="BU507" s="74" t="str">
        <f aca="false">IF($BH507&lt;&gt;Constants!$B$4,"",Constants!$B$32*(($AL507&gt;Constants!$B$26)+($AM507&gt;Constants!$B$26)+($AN507&gt;Constants!$B$26)))</f>
        <v/>
      </c>
      <c r="BV507" s="74" t="str">
        <f aca="false">IF($BH507&lt;&gt;Constants!$B$4,"",IF(OR(NOT($AJ507),$AO507),0,Constants!$B$33))</f>
        <v/>
      </c>
      <c r="BW507" s="74" t="str">
        <f aca="false">IF($BH507&lt;&gt;Constants!$B$4,"",Constants!$B$34*$BJ507)</f>
        <v/>
      </c>
      <c r="BX507" s="74" t="str">
        <f aca="false">IF($BH507&lt;&gt;Constants!$B$4,"",IF(OR(NOT($AJ507),$BE507),0,Constants!$B$36))</f>
        <v/>
      </c>
      <c r="BY507" s="74" t="str">
        <f aca="false">IF($BH507&lt;&gt;Constants!$B$4,"",IF(OR(NOT($AJ507),$BD507),0,Constants!$B$37))</f>
        <v/>
      </c>
      <c r="BZ507" s="74" t="str">
        <f aca="false">IF($BH507&lt;&gt;Constants!$B$4,"",SUM($BT507:$BY507))</f>
        <v/>
      </c>
      <c r="CA507" s="74" t="str">
        <f aca="false">IF(ISBLANK($C507),"",IF($BH507&lt;&gt;Constants!$B$4,$BH507,SUM($BK507:$BS507)-$BZ507))</f>
        <v/>
      </c>
      <c r="CB507" s="74" t="str">
        <f aca="false">IF(ISBLANK($C507),"",IF($BH507&lt;&gt;Constants!$B$4,$BH507,RANK($CA507,$CA$9:$CA$508)))</f>
        <v/>
      </c>
      <c r="CC507" s="74" t="str">
        <f aca="false">IF(ISBLANK($C507),"",IF($BH507&lt;&gt;Constants!$B$4,$BH507,COUNTIFS($BI$9:$BI$508,"&lt;"&amp;$BI507)+COUNTIFS($BI$9:$BI$508,$BI507,$CB$9:$CB$508,"&lt;"&amp;$CB507)+1))</f>
        <v/>
      </c>
      <c r="CD507" s="74" t="str">
        <f aca="false">IF(ISBLANK($C507),"",IF($BH507&lt;&gt;Constants!$B$4,$BH507,RANK($BZ507,$BZ$9:$BZ$508,1)))</f>
        <v/>
      </c>
      <c r="CE507" s="74" t="str">
        <f aca="false">IF($BH507&lt;&gt;Constants!$B$4,"",$AL507+$AM507+$AN507)</f>
        <v/>
      </c>
      <c r="CF507" s="74" t="str">
        <f aca="false">IF(ISBLANK($C507),"",IF($BH507&lt;&gt;Constants!$B$4,$BH507,RANK($CE507,$CE$9:$CE$508,1)))</f>
        <v/>
      </c>
      <c r="CG507" s="74" t="str">
        <f aca="false">IF(ISBLANK($C507),"",IF($BH507&lt;&gt;Constants!$B$4,$BH507,COUNTIFS($BI$9:$BI$508,"&lt;"&amp;$BI507)+COUNTIFS($BI$9:$BI$508,$BI507,$CB$9:$CB$508,"&lt;"&amp;$CB507)+COUNTIFS($BI$9:$BI$508,$BI507,$CB$9:$CB$508,$CB507,$CD$9:$CD$508,"&lt;"&amp;$CD507)+COUNTIFS($BI$9:$BI$508,$BI507,$CB$9:$CB$508,$CB507,$CD$9:$CD$508,$CD507,$CF$9:$CF$508,"&lt;"&amp;$CF507)+1))</f>
        <v/>
      </c>
      <c r="CH507" s="74" t="str">
        <f aca="false">IF(ISBLANK($C507),"",IF($BH507&lt;&gt;Constants!$B$4,$BH507,$CC507-$CG507))</f>
        <v/>
      </c>
      <c r="CI507" s="74" t="str">
        <f aca="false">IF(ISBLANK($C507),"",IF(NOT($AJ507),"",IF(ISBLANK($D$7),$CI$5,IF(NOT(ISNUMBER($D$7)),$CI$6,""))))</f>
        <v/>
      </c>
      <c r="CJ507" s="74" t="str">
        <f aca="false">IF(ISBLANK($C507),"",OR($AL507="",$AM507="",$AN507=""))</f>
        <v/>
      </c>
      <c r="CK507" s="74" t="str">
        <f aca="false">IF(ISBLANK($C507),"",AND($AJ507,$AX507=""))</f>
        <v/>
      </c>
      <c r="CL507" s="74" t="str">
        <f aca="false">IF(ISBLANK($C507),"",AND($AJ507,$AY507=""))</f>
        <v/>
      </c>
      <c r="CM507" s="74" t="str">
        <f aca="false">IF(ISBLANK($C507),"",AND($AJ507,$AZ507=""))</f>
        <v/>
      </c>
      <c r="CN507" s="74" t="str">
        <f aca="false">IF(ISBLANK($C507),"",AND($AJ507,$BC507=""))</f>
        <v/>
      </c>
      <c r="CO507" s="74" t="str">
        <f aca="false">IF(ISBLANK($C507),"",AND($AJ507,$BF507=""))</f>
        <v/>
      </c>
      <c r="CP507" s="75"/>
      <c r="CQ507" s="76"/>
      <c r="CR507" s="79" t="str">
        <f aca="false">IF(ISBLANK($C507),"",IF($BH507=Constants!$B$8,$CI507,""))</f>
        <v/>
      </c>
      <c r="CS507" s="76" t="str">
        <f aca="false">IF(ISBLANK($C507),"",IF($BH507&lt;&gt;Constants!$B$4,"",$BK507+$BL507))</f>
        <v/>
      </c>
      <c r="CT507" s="78" t="str">
        <f aca="false">IF(ISBLANK($C507),"",IF($BH507&lt;&gt;Constants!$B$4,"",$BM507+$BN507+$BO507))</f>
        <v/>
      </c>
      <c r="CU507" s="78" t="str">
        <f aca="false">IF(ISBLANK($C507),"",IF($BH507&lt;&gt;Constants!$B$4,"",$BP507))</f>
        <v/>
      </c>
      <c r="CV507" s="78" t="str">
        <f aca="false">IF(ISBLANK($C507),"",IF($BH507&lt;&gt;Constants!$B$4,"",$BQ507+$BR507))</f>
        <v/>
      </c>
      <c r="CW507" s="78" t="str">
        <f aca="false">IF(ISBLANK($C507),"",IF($BH507&lt;&gt;Constants!$B$4,"",$BS507))</f>
        <v/>
      </c>
      <c r="CX507" s="78" t="str">
        <f aca="false">IF(ISBLANK($C507),"",IF($BH507&lt;&gt;Constants!$B$4,"",-$BZ507))</f>
        <v/>
      </c>
      <c r="CY507" s="79" t="str">
        <f aca="false">IF(ISBLANK($C507),"",$CA507)</f>
        <v/>
      </c>
      <c r="CZ507" s="80" t="str">
        <f aca="false">IF(ISBLANK($C507),"",$BI507)</f>
        <v/>
      </c>
      <c r="DA507" s="78" t="str">
        <f aca="false">IF(ISBLANK($C507),"",$CH507)</f>
        <v/>
      </c>
      <c r="DB507" s="78" t="str">
        <f aca="false">IF(ISBLANK($C507),"",$CG507)</f>
        <v/>
      </c>
      <c r="DC507" s="81" t="str">
        <f aca="false">IF(ISBLANK($C507),"",IFERROR(_xlfn.SWITCH($DB507,Constants!$B$7,COUNTA($C$9:$C$508)+2,Constants!$B$6,COUNTA($C$9:$C$508)+1,Constants!$B$5,COUNTA($C$9:$C$508)),$DB507))</f>
        <v/>
      </c>
      <c r="DD507" s="7"/>
      <c r="DE507" s="82" t="n">
        <f aca="false">IF(OR(ISNUMBER($DB507),$DB507=Constants!$B$7,$DB507=Constants!$B$5,$DB507=Constants!$B$6),1,0)</f>
        <v>0</v>
      </c>
      <c r="DF507" s="82" t="n">
        <v>499</v>
      </c>
      <c r="DG507" s="82" t="str">
        <f aca="false">IF(ISBLANK($C507),"",IF(ISNUMBER($DC507),$DC507+ROW($B507)/1000,""))</f>
        <v/>
      </c>
      <c r="DH507" s="82" t="str">
        <f aca="false">IF(ISNUMBER($DG507),RANK($DG507,$DG$9:$DG$508,1),"")</f>
        <v/>
      </c>
      <c r="DI507" s="82" t="str">
        <f aca="false">IF(ISBLANK($C507),"",$B507)</f>
        <v/>
      </c>
      <c r="DJ507" s="82" t="str">
        <f aca="false">IF(ISBLANK($C507),"",$C507)</f>
        <v/>
      </c>
      <c r="DK507" s="82" t="str">
        <f aca="false">IF(ISBLANK($C507),"",$D507)</f>
        <v/>
      </c>
      <c r="DL507" s="83" t="str">
        <f aca="false">$CZ507</f>
        <v/>
      </c>
      <c r="DM507" s="84" t="str">
        <f aca="false">$CY507</f>
        <v/>
      </c>
      <c r="DN507" s="82" t="str">
        <f aca="false">IF(ISBLANK($C507),"",$DB507)</f>
        <v/>
      </c>
      <c r="DO507" s="85" t="str">
        <f aca="false">IF($DF507&gt;$DE$8,"",VLOOKUP($DF507,$DH$9:$DN$508,7,FALSE()))</f>
        <v/>
      </c>
      <c r="DP507" s="86" t="str">
        <f aca="false">IF($DF507&gt;$DE$8,"",VLOOKUP($DF507,$DH$9:$DN$508,2,FALSE()))</f>
        <v/>
      </c>
      <c r="DQ507" s="86" t="str">
        <f aca="false">IF($DF507&gt;$DE$8,"",VLOOKUP($DF507,$DH$9:$DN$508,3,FALSE()))</f>
        <v/>
      </c>
      <c r="DR507" s="86" t="str">
        <f aca="false">IF($DF507&gt;$DE$8,"",VLOOKUP($DF507,$DH$9:$DN$508,4,FALSE()))</f>
        <v/>
      </c>
      <c r="DS507" s="86" t="str">
        <f aca="false">IF($DF507&gt;$DE$8,"",VLOOKUP($DF507,$DH$9:$DN$508,5,FALSE()))</f>
        <v/>
      </c>
      <c r="DT507" s="87" t="str">
        <f aca="false">IF($DF507&gt;$DE$8,"",VLOOKUP($DF507,$DH$9:$DN$508,6,FALSE()))</f>
        <v/>
      </c>
      <c r="DU507" s="62"/>
    </row>
    <row r="508" customFormat="false" ht="15.75" hidden="false" customHeight="false" outlineLevel="0" collapsed="false">
      <c r="A508" s="7"/>
      <c r="B508" s="64"/>
      <c r="C508" s="65"/>
      <c r="D508" s="123"/>
      <c r="E508" s="88"/>
      <c r="F508" s="134"/>
      <c r="G508" s="88"/>
      <c r="H508" s="134"/>
      <c r="I508" s="119"/>
      <c r="J508" s="119"/>
      <c r="K508" s="119"/>
      <c r="L508" s="88"/>
      <c r="M508" s="88"/>
      <c r="N508" s="88"/>
      <c r="O508" s="134"/>
      <c r="P508" s="88"/>
      <c r="Q508" s="88"/>
      <c r="R508" s="88"/>
      <c r="S508" s="88"/>
      <c r="T508" s="134"/>
      <c r="U508" s="88"/>
      <c r="V508" s="70"/>
      <c r="W508" s="88"/>
      <c r="X508" s="88"/>
      <c r="Y508" s="70"/>
      <c r="Z508" s="70"/>
      <c r="AA508" s="88"/>
      <c r="AB508" s="88"/>
      <c r="AC508" s="71"/>
      <c r="AD508" s="88"/>
      <c r="AE508" s="73"/>
      <c r="AF508" s="74"/>
      <c r="AG508" s="74"/>
      <c r="AH508" s="74" t="str">
        <f aca="false">IF(ISBLANK($C508),"",IF($E508=Constants!$B$2,TRUE(),IF($E508=Constants!$B$3,FALSE(),TRUE())))</f>
        <v/>
      </c>
      <c r="AI508" s="74" t="str">
        <f aca="false">IF(ISBLANK($C508),"",IF($F508=Constants!$B$2,TRUE(),IF($F508=Constants!$B$3,FALSE(),FALSE())))</f>
        <v/>
      </c>
      <c r="AJ508" s="74" t="str">
        <f aca="false">IF(ISBLANK($C508),"",IF($G508=Constants!$B$2,TRUE(),IF($G508=Constants!$B$3,FALSE(),TRUE())))</f>
        <v/>
      </c>
      <c r="AK508" s="74" t="str">
        <f aca="false">IF(ISBLANK($C508),"",IF($H508=Constants!$B$2,TRUE(),IF($H508=Constants!$B$3,FALSE(),TRUE())))</f>
        <v/>
      </c>
      <c r="AL508" s="74" t="str">
        <f aca="false">IF(ISBLANK($C508),"",IF(ISNUMBER($I508),IF($I508&gt;=0,$I508,""),""))</f>
        <v/>
      </c>
      <c r="AM508" s="74" t="str">
        <f aca="false">IF(ISBLANK($C508),"",IF(ISNUMBER($J508),IF($J508&gt;=0,$J508,""),""))</f>
        <v/>
      </c>
      <c r="AN508" s="74" t="str">
        <f aca="false">IF(ISBLANK($C508),"",IF(ISNUMBER($K508),IF($K508&gt;=0,$K508,""),""))</f>
        <v/>
      </c>
      <c r="AO508" s="74" t="str">
        <f aca="false">IF(ISBLANK($C508),"",IF($L508=Constants!$B$2,TRUE(),IF($L508=Constants!$B$3,FALSE(),TRUE())))</f>
        <v/>
      </c>
      <c r="AP508" s="74" t="str">
        <f aca="false">IF(ISBLANK($C508),"",IF($M508=Constants!$B$2,TRUE(),IF($M508=Constants!$B$3,FALSE(),TRUE())))</f>
        <v/>
      </c>
      <c r="AQ508" s="74" t="str">
        <f aca="false">IF(ISBLANK($C508),"",IF($N508=Constants!$B$2,TRUE(),IF($N508=Constants!$B$3,FALSE(),FALSE())))</f>
        <v/>
      </c>
      <c r="AR508" s="74" t="str">
        <f aca="false">IF(ISBLANK($C508),"",IF($O508=Constants!$B$2,TRUE(),IF($O508=Constants!$B$3,FALSE(),TRUE())))</f>
        <v/>
      </c>
      <c r="AS508" s="74" t="str">
        <f aca="false">IF(ISBLANK($C508),"",IF($P508=Constants!$B$2,TRUE(),IF($P508=Constants!$B$3,FALSE(),FALSE())))</f>
        <v/>
      </c>
      <c r="AT508" s="74" t="str">
        <f aca="false">IF(ISBLANK($C508),"",IF($Q508=Constants!$B$2,TRUE(),IF($Q508=Constants!$B$3,FALSE(),FALSE())))</f>
        <v/>
      </c>
      <c r="AU508" s="74" t="str">
        <f aca="false">IF(ISBLANK($C508),"",IF($R508=Constants!$B$2,TRUE(),IF($R508=Constants!$B$3,FALSE(),FALSE())))</f>
        <v/>
      </c>
      <c r="AV508" s="74" t="str">
        <f aca="false">IF(ISBLANK($C508),"",IF($S508=Constants!$B$2,TRUE(),IF($S508=Constants!$B$3,FALSE(),FALSE())))</f>
        <v/>
      </c>
      <c r="AW508" s="74" t="str">
        <f aca="false">IF(ISBLANK($C508),"",IF($T508=Constants!$B$2,TRUE(),IF($T508=Constants!$B$3,FALSE(),FALSE())))</f>
        <v/>
      </c>
      <c r="AX508" s="74" t="str">
        <f aca="false">IF(ISBLANK($C508),"",IF(OR($U508&amp;""="1",$U508&amp;""="2",$U508&amp;""="3",$U508&amp;""="4"),VALUE($U508&amp;""),IF($U508=Constants!$B$12,Constants!$B$12,"")))</f>
        <v/>
      </c>
      <c r="AY508" s="74" t="str">
        <f aca="false">IF(ISBLANK($C508),"",IF(ISBLANK($V508),0,IF(ISNUMBER($V508),IF(AND($V508&gt;=0,$V508&lt;=Constants!$B$21,$V508=INT($V508)),$V508,""),"")))</f>
        <v/>
      </c>
      <c r="AZ508" s="74" t="str">
        <f aca="false">IF(ISBLANK($C508),"",IF(ISBLANK($W508),0,IF(ISNUMBER($W508),IF($W508&gt;=0,$W508,""),"")))</f>
        <v/>
      </c>
      <c r="BA508" s="74" t="str">
        <f aca="false">IF(ISBLANK($C508),"",IF($X508=Constants!$B$2,TRUE(),IF($X508=Constants!$B$3,FALSE(),TRUE())))</f>
        <v/>
      </c>
      <c r="BB508" s="74" t="str">
        <f aca="false">IF(ISBLANK($C508),"",IF($Y508=Constants!$B$2,TRUE(),IF($Y508=Constants!$B$3,FALSE(),FALSE())))</f>
        <v/>
      </c>
      <c r="BC508" s="74" t="str">
        <f aca="false">IF(ISBLANK($C508),"",IF(ISBLANK($Z508),0,IF(ISNUMBER($Z508),IF(AND($Z508&gt;=0,$Z508&lt;=Constants!$B$35,$Z508=INT($Z508)),$Z508,""),"")))</f>
        <v/>
      </c>
      <c r="BD508" s="74" t="str">
        <f aca="false">IF(ISBLANK($C508),"",IF($AA508=Constants!$B$2,TRUE(),IF($AA508=Constants!$B$3,FALSE(),TRUE())))</f>
        <v/>
      </c>
      <c r="BE508" s="74" t="str">
        <f aca="false">IF(ISBLANK($C508),"",IF($AB508=Constants!$B$2,TRUE(),IF($AB508=Constants!$B$3,FALSE(),TRUE())))</f>
        <v/>
      </c>
      <c r="BF508" s="74" t="str">
        <f aca="false">IF(ISBLANK($C508),"",IF(ISNUMBER($AC508),IF($AC508&gt;=0,$AC508,""),""))</f>
        <v/>
      </c>
      <c r="BG508" s="74" t="str">
        <f aca="false">IF(ISBLANK($C508),"",IF($AD508=Constants!$B$2,TRUE(),IF($AD508=Constants!$B$3,FALSE(),FALSE())))</f>
        <v/>
      </c>
      <c r="BH508" s="73" t="str">
        <f aca="false">IF(ISBLANK($C508),"",IF($BG508,Constants!$B$7,IF(COUNTA($E508:$AC508)=0,Constants!$B$6,IF(OR(COUNTA($G508:$AC508)=0,NOT($AK508),$AQ508),Constants!$B$5,IF(OR($CI508&lt;&gt;"",$CJ508,$CK508,$CL508,$CM508,$CN508,$CO508),Constants!$B$8,Constants!$B$4)))))</f>
        <v/>
      </c>
      <c r="BI508" s="74" t="str">
        <f aca="false">IF(ISBLANK($C508),"",IF($BH508&lt;&gt;Constants!$B$4,$BH508,IF(OR(NOT($AH508),NOT($AJ508),NOT($AR508)),Constants!$B$11,IF(OR(NOT($AP508),MAX($AL508,$AM508,$AN508)&gt;Constants!$B$30),Constants!$B$10,Constants!$B$9))))</f>
        <v/>
      </c>
      <c r="BJ508" s="74" t="str">
        <f aca="false">IF($BH508&lt;&gt;Constants!$B$4,"",IF(NOT($AJ508),0,MIN(Constants!$B$35,$BC508)))</f>
        <v/>
      </c>
      <c r="BK508" s="74" t="str">
        <f aca="false">IF($BH508&lt;&gt;Constants!$B$4,"",IF(NOT($AJ508),0,IF($AT508,Constants!$B$18,IF($AS508,Constants!$B$17,0))))</f>
        <v/>
      </c>
      <c r="BL508" s="74" t="str">
        <f aca="false">IF($BH508&lt;&gt;Constants!$B$4,"",IF(NOT($AJ508),0,Constants!$B$19*($AI508+$AU508+$AV508+$AW508)))</f>
        <v/>
      </c>
      <c r="BM508" s="74" t="str">
        <f aca="false">IF($BH508&lt;&gt;Constants!$B$4,"",IF(OR(NOT($AJ508),NOT(ISNUMBER($AX508))),0,CHOOSE($AX508,Constants!$B$13,Constants!$B$14,Constants!$B$15,Constants!$B$16)))</f>
        <v/>
      </c>
      <c r="BN508" s="74" t="str">
        <f aca="false">IF($BH508&lt;&gt;Constants!$B$4,"",IF(NOT($AJ508),0,Constants!$B$20*$AY508))</f>
        <v/>
      </c>
      <c r="BO508" s="74" t="str">
        <f aca="false">IF($BH508&lt;&gt;Constants!$B$4,"",IF(AND($AJ508,$BA508,$BB508),Constants!$B$22,0))</f>
        <v/>
      </c>
      <c r="BP508" s="74" t="str">
        <f aca="false">IF($BH508&lt;&gt;Constants!$B$4,"",IF(OR(NOT($AJ508),NOT($BA508)),0,IF($BF508&gt;=2*$AF$9,0,Constants!$B$23*INT(ROUND(MIN($BF508,$AF$9),6)))))</f>
        <v/>
      </c>
      <c r="BQ508" s="74" t="str">
        <f aca="false">IF($BH508&lt;&gt;Constants!$B$4,"",IF(NOT($AJ508),0,Constants!$B$24*INT(ROUND(MIN($AZ508,$AF$9),6))))</f>
        <v/>
      </c>
      <c r="BR508" s="74" t="str">
        <f aca="false">IF($BH508&lt;&gt;Constants!$B$4,"",IF(AND($AJ508,$BJ508=0),Constants!$B$25,0))</f>
        <v/>
      </c>
      <c r="BS508" s="74" t="str">
        <f aca="false">IF($BH508&lt;&gt;Constants!$B$4,"",MIN(Constants!$B$29,MAX(0,Constants!$B$27*Constants!$B$28*INT(ROUND((Constants!$B$26-$AL508)/Constants!$B$28,6))))+MIN(Constants!$B$29,MAX(0,Constants!$B$27*Constants!$B$28*INT(ROUND((Constants!$B$26-$AM508)/Constants!$B$28,6))))+MIN(Constants!$B$29,MAX(0,Constants!$B$27*Constants!$B$28*INT(ROUND((Constants!$B$26-$AN508)/Constants!$B$28,6)))))</f>
        <v/>
      </c>
      <c r="BT508" s="74" t="str">
        <f aca="false">IF($BH508&lt;&gt;Constants!$B$4,"",IF(NOT($AJ508),0,Constants!$B$31*INT(ROUND(MAX(0,MIN($BF508,2*$AF$9)-$AF$9),6))))</f>
        <v/>
      </c>
      <c r="BU508" s="74" t="str">
        <f aca="false">IF($BH508&lt;&gt;Constants!$B$4,"",Constants!$B$32*(($AL508&gt;Constants!$B$26)+($AM508&gt;Constants!$B$26)+($AN508&gt;Constants!$B$26)))</f>
        <v/>
      </c>
      <c r="BV508" s="74" t="str">
        <f aca="false">IF($BH508&lt;&gt;Constants!$B$4,"",IF(OR(NOT($AJ508),$AO508),0,Constants!$B$33))</f>
        <v/>
      </c>
      <c r="BW508" s="74" t="str">
        <f aca="false">IF($BH508&lt;&gt;Constants!$B$4,"",Constants!$B$34*$BJ508)</f>
        <v/>
      </c>
      <c r="BX508" s="74" t="str">
        <f aca="false">IF($BH508&lt;&gt;Constants!$B$4,"",IF(OR(NOT($AJ508),$BE508),0,Constants!$B$36))</f>
        <v/>
      </c>
      <c r="BY508" s="74" t="str">
        <f aca="false">IF($BH508&lt;&gt;Constants!$B$4,"",IF(OR(NOT($AJ508),$BD508),0,Constants!$B$37))</f>
        <v/>
      </c>
      <c r="BZ508" s="74" t="str">
        <f aca="false">IF($BH508&lt;&gt;Constants!$B$4,"",SUM($BT508:$BY508))</f>
        <v/>
      </c>
      <c r="CA508" s="74" t="str">
        <f aca="false">IF(ISBLANK($C508),"",IF($BH508&lt;&gt;Constants!$B$4,$BH508,SUM($BK508:$BS508)-$BZ508))</f>
        <v/>
      </c>
      <c r="CB508" s="74" t="str">
        <f aca="false">IF(ISBLANK($C508),"",IF($BH508&lt;&gt;Constants!$B$4,$BH508,RANK($CA508,$CA$9:$CA$508)))</f>
        <v/>
      </c>
      <c r="CC508" s="74" t="str">
        <f aca="false">IF(ISBLANK($C508),"",IF($BH508&lt;&gt;Constants!$B$4,$BH508,COUNTIFS($BI$9:$BI$508,"&lt;"&amp;$BI508)+COUNTIFS($BI$9:$BI$508,$BI508,$CB$9:$CB$508,"&lt;"&amp;$CB508)+1))</f>
        <v/>
      </c>
      <c r="CD508" s="74" t="str">
        <f aca="false">IF(ISBLANK($C508),"",IF($BH508&lt;&gt;Constants!$B$4,$BH508,RANK($BZ508,$BZ$9:$BZ$508,1)))</f>
        <v/>
      </c>
      <c r="CE508" s="74" t="str">
        <f aca="false">IF($BH508&lt;&gt;Constants!$B$4,"",$AL508+$AM508+$AN508)</f>
        <v/>
      </c>
      <c r="CF508" s="74" t="str">
        <f aca="false">IF(ISBLANK($C508),"",IF($BH508&lt;&gt;Constants!$B$4,$BH508,RANK($CE508,$CE$9:$CE$508,1)))</f>
        <v/>
      </c>
      <c r="CG508" s="74" t="str">
        <f aca="false">IF(ISBLANK($C508),"",IF($BH508&lt;&gt;Constants!$B$4,$BH508,COUNTIFS($BI$9:$BI$508,"&lt;"&amp;$BI508)+COUNTIFS($BI$9:$BI$508,$BI508,$CB$9:$CB$508,"&lt;"&amp;$CB508)+COUNTIFS($BI$9:$BI$508,$BI508,$CB$9:$CB$508,$CB508,$CD$9:$CD$508,"&lt;"&amp;$CD508)+COUNTIFS($BI$9:$BI$508,$BI508,$CB$9:$CB$508,$CB508,$CD$9:$CD$508,$CD508,$CF$9:$CF$508,"&lt;"&amp;$CF508)+1))</f>
        <v/>
      </c>
      <c r="CH508" s="74" t="str">
        <f aca="false">IF(ISBLANK($C508),"",IF($BH508&lt;&gt;Constants!$B$4,$BH508,$CC508-$CG508))</f>
        <v/>
      </c>
      <c r="CI508" s="74" t="str">
        <f aca="false">IF(ISBLANK($C508),"",IF(NOT($AJ508),"",IF(ISBLANK($D$7),$CI$5,IF(NOT(ISNUMBER($D$7)),$CI$6,""))))</f>
        <v/>
      </c>
      <c r="CJ508" s="74" t="str">
        <f aca="false">IF(ISBLANK($C508),"",OR($AL508="",$AM508="",$AN508=""))</f>
        <v/>
      </c>
      <c r="CK508" s="74" t="str">
        <f aca="false">IF(ISBLANK($C508),"",AND($AJ508,$AX508=""))</f>
        <v/>
      </c>
      <c r="CL508" s="74" t="str">
        <f aca="false">IF(ISBLANK($C508),"",AND($AJ508,$AY508=""))</f>
        <v/>
      </c>
      <c r="CM508" s="74" t="str">
        <f aca="false">IF(ISBLANK($C508),"",AND($AJ508,$AZ508=""))</f>
        <v/>
      </c>
      <c r="CN508" s="74" t="str">
        <f aca="false">IF(ISBLANK($C508),"",AND($AJ508,$BC508=""))</f>
        <v/>
      </c>
      <c r="CO508" s="74" t="str">
        <f aca="false">IF(ISBLANK($C508),"",AND($AJ508,$BF508=""))</f>
        <v/>
      </c>
      <c r="CP508" s="75"/>
      <c r="CQ508" s="76"/>
      <c r="CR508" s="79" t="str">
        <f aca="false">IF(ISBLANK($C508),"",IF($BH508=Constants!$B$8,$CI508,""))</f>
        <v/>
      </c>
      <c r="CS508" s="76" t="str">
        <f aca="false">IF(ISBLANK($C508),"",IF($BH508&lt;&gt;Constants!$B$4,"",$BK508+$BL508))</f>
        <v/>
      </c>
      <c r="CT508" s="78" t="str">
        <f aca="false">IF(ISBLANK($C508),"",IF($BH508&lt;&gt;Constants!$B$4,"",$BM508+$BN508+$BO508))</f>
        <v/>
      </c>
      <c r="CU508" s="78" t="str">
        <f aca="false">IF(ISBLANK($C508),"",IF($BH508&lt;&gt;Constants!$B$4,"",$BP508))</f>
        <v/>
      </c>
      <c r="CV508" s="78" t="str">
        <f aca="false">IF(ISBLANK($C508),"",IF($BH508&lt;&gt;Constants!$B$4,"",$BQ508+$BR508))</f>
        <v/>
      </c>
      <c r="CW508" s="78" t="str">
        <f aca="false">IF(ISBLANK($C508),"",IF($BH508&lt;&gt;Constants!$B$4,"",$BS508))</f>
        <v/>
      </c>
      <c r="CX508" s="78" t="str">
        <f aca="false">IF(ISBLANK($C508),"",IF($BH508&lt;&gt;Constants!$B$4,"",-$BZ508))</f>
        <v/>
      </c>
      <c r="CY508" s="79" t="str">
        <f aca="false">IF(ISBLANK($C508),"",$CA508)</f>
        <v/>
      </c>
      <c r="CZ508" s="80" t="str">
        <f aca="false">IF(ISBLANK($C508),"",$BI508)</f>
        <v/>
      </c>
      <c r="DA508" s="78" t="str">
        <f aca="false">IF(ISBLANK($C508),"",$CH508)</f>
        <v/>
      </c>
      <c r="DB508" s="78" t="str">
        <f aca="false">IF(ISBLANK($C508),"",$CG508)</f>
        <v/>
      </c>
      <c r="DC508" s="81" t="str">
        <f aca="false">IF(ISBLANK($C508),"",IFERROR(_xlfn.SWITCH($DB508,Constants!$B$7,COUNTA($C$9:$C$508)+2,Constants!$B$6,COUNTA($C$9:$C$508)+1,Constants!$B$5,COUNTA($C$9:$C$508)),$DB508))</f>
        <v/>
      </c>
      <c r="DD508" s="7"/>
      <c r="DE508" s="82" t="n">
        <f aca="false">IF(OR(ISNUMBER($DB508),$DB508=Constants!$B$7,$DB508=Constants!$B$5,$DB508=Constants!$B$6),1,0)</f>
        <v>0</v>
      </c>
      <c r="DF508" s="82" t="n">
        <v>500</v>
      </c>
      <c r="DG508" s="82" t="str">
        <f aca="false">IF(ISBLANK($C508),"",IF(ISNUMBER($DC508),$DC508+ROW($B508)/1000,""))</f>
        <v/>
      </c>
      <c r="DH508" s="82" t="str">
        <f aca="false">IF(ISNUMBER($DG508),RANK($DG508,$DG$9:$DG$508,1),"")</f>
        <v/>
      </c>
      <c r="DI508" s="82" t="str">
        <f aca="false">IF(ISBLANK($C508),"",$B508)</f>
        <v/>
      </c>
      <c r="DJ508" s="82" t="str">
        <f aca="false">IF(ISBLANK($C508),"",$C508)</f>
        <v/>
      </c>
      <c r="DK508" s="82" t="str">
        <f aca="false">IF(ISBLANK($C508),"",$D508)</f>
        <v/>
      </c>
      <c r="DL508" s="83" t="str">
        <f aca="false">$CZ508</f>
        <v/>
      </c>
      <c r="DM508" s="84" t="str">
        <f aca="false">$CY508</f>
        <v/>
      </c>
      <c r="DN508" s="82" t="str">
        <f aca="false">IF(ISBLANK($C508),"",$DB508)</f>
        <v/>
      </c>
      <c r="DO508" s="85" t="str">
        <f aca="false">IF($DF508&gt;$DE$8,"",VLOOKUP($DF508,$DH$9:$DN$508,7,FALSE()))</f>
        <v/>
      </c>
      <c r="DP508" s="86" t="str">
        <f aca="false">IF($DF508&gt;$DE$8,"",VLOOKUP($DF508,$DH$9:$DN$508,2,FALSE()))</f>
        <v/>
      </c>
      <c r="DQ508" s="86" t="str">
        <f aca="false">IF($DF508&gt;$DE$8,"",VLOOKUP($DF508,$DH$9:$DN$508,3,FALSE()))</f>
        <v/>
      </c>
      <c r="DR508" s="86" t="str">
        <f aca="false">IF($DF508&gt;$DE$8,"",VLOOKUP($DF508,$DH$9:$DN$508,4,FALSE()))</f>
        <v/>
      </c>
      <c r="DS508" s="86" t="str">
        <f aca="false">IF($DF508&gt;$DE$8,"",VLOOKUP($DF508,$DH$9:$DN$508,5,FALSE()))</f>
        <v/>
      </c>
      <c r="DT508" s="87" t="str">
        <f aca="false">IF($DF508&gt;$DE$8,"",VLOOKUP($DF508,$DH$9:$DN$508,6,FALSE()))</f>
        <v/>
      </c>
      <c r="DU508" s="62"/>
    </row>
  </sheetData>
  <mergeCells count="100">
    <mergeCell ref="B2:D3"/>
    <mergeCell ref="E2:F2"/>
    <mergeCell ref="G2:O2"/>
    <mergeCell ref="P2:T2"/>
    <mergeCell ref="U2:AC2"/>
    <mergeCell ref="AE2:AE6"/>
    <mergeCell ref="AH2:BG2"/>
    <mergeCell ref="BH2:CH2"/>
    <mergeCell ref="CP2:CP6"/>
    <mergeCell ref="CS2:CX2"/>
    <mergeCell ref="DG2:DG8"/>
    <mergeCell ref="DH2:DH8"/>
    <mergeCell ref="DI2:DI8"/>
    <mergeCell ref="DJ2:DJ8"/>
    <mergeCell ref="DK2:DK8"/>
    <mergeCell ref="DL2:DL8"/>
    <mergeCell ref="DM2:DM8"/>
    <mergeCell ref="DN2:DN8"/>
    <mergeCell ref="DO2:DT2"/>
    <mergeCell ref="E3:E8"/>
    <mergeCell ref="F3:F8"/>
    <mergeCell ref="G3:G8"/>
    <mergeCell ref="H3:H8"/>
    <mergeCell ref="I3:I8"/>
    <mergeCell ref="J3:J8"/>
    <mergeCell ref="K3:K8"/>
    <mergeCell ref="L3:L8"/>
    <mergeCell ref="M3:M8"/>
    <mergeCell ref="N3:N8"/>
    <mergeCell ref="O3:O8"/>
    <mergeCell ref="P3:P8"/>
    <mergeCell ref="Q3:Q8"/>
    <mergeCell ref="R3:R8"/>
    <mergeCell ref="S3:S8"/>
    <mergeCell ref="T3:T8"/>
    <mergeCell ref="U3:U8"/>
    <mergeCell ref="V3:V8"/>
    <mergeCell ref="W3:W8"/>
    <mergeCell ref="X3:X8"/>
    <mergeCell ref="Y3:Y8"/>
    <mergeCell ref="Z3:Z8"/>
    <mergeCell ref="AA3:AA8"/>
    <mergeCell ref="AB3:AB8"/>
    <mergeCell ref="AC3:AC8"/>
    <mergeCell ref="AD3:AD8"/>
    <mergeCell ref="AF3:AF8"/>
    <mergeCell ref="AG3:AG8"/>
    <mergeCell ref="AH3:AH8"/>
    <mergeCell ref="AI3:AI8"/>
    <mergeCell ref="AJ3:AJ8"/>
    <mergeCell ref="AK3:AK8"/>
    <mergeCell ref="AL3:AL8"/>
    <mergeCell ref="AM3:AM8"/>
    <mergeCell ref="AN3:AN8"/>
    <mergeCell ref="AO3:AO8"/>
    <mergeCell ref="AP3:AP8"/>
    <mergeCell ref="AQ3:AQ8"/>
    <mergeCell ref="AR3:AR8"/>
    <mergeCell ref="AS3:AS8"/>
    <mergeCell ref="AT3:AT8"/>
    <mergeCell ref="AU3:AU8"/>
    <mergeCell ref="AV3:AV8"/>
    <mergeCell ref="AW3:AW8"/>
    <mergeCell ref="AX3:AX8"/>
    <mergeCell ref="AY3:AY8"/>
    <mergeCell ref="AZ3:AZ8"/>
    <mergeCell ref="BA3:BA8"/>
    <mergeCell ref="BB3:BB8"/>
    <mergeCell ref="BC3:BC8"/>
    <mergeCell ref="BD3:BD8"/>
    <mergeCell ref="BE3:BE8"/>
    <mergeCell ref="BF3:BF8"/>
    <mergeCell ref="BG3:BG8"/>
    <mergeCell ref="CQ3:CQ8"/>
    <mergeCell ref="CS3:CS8"/>
    <mergeCell ref="CT3:CT8"/>
    <mergeCell ref="CU3:CU8"/>
    <mergeCell ref="CV3:CV8"/>
    <mergeCell ref="CW3:CW8"/>
    <mergeCell ref="CX3:CX8"/>
    <mergeCell ref="CY3:CY8"/>
    <mergeCell ref="CZ3:CZ8"/>
    <mergeCell ref="DA3:DA8"/>
    <mergeCell ref="DB3:DB8"/>
    <mergeCell ref="DC3:DC8"/>
    <mergeCell ref="DD3:DD8"/>
    <mergeCell ref="DO3:DO8"/>
    <mergeCell ref="DP3:DP8"/>
    <mergeCell ref="DQ3:DQ8"/>
    <mergeCell ref="DR3:DR8"/>
    <mergeCell ref="DS3:DS8"/>
    <mergeCell ref="DT3:DT8"/>
    <mergeCell ref="B4:D4"/>
    <mergeCell ref="B5:D5"/>
    <mergeCell ref="B6:D6"/>
    <mergeCell ref="B7:C7"/>
    <mergeCell ref="BK7:BS7"/>
    <mergeCell ref="BT7:BY7"/>
    <mergeCell ref="CB7:CH7"/>
    <mergeCell ref="CI7:CO7"/>
  </mergeCells>
  <conditionalFormatting sqref="B4:D4">
    <cfRule type="containsText" priority="2" operator="containsText" aboveAverage="0" equalAverage="0" bottom="0" percent="0" rank="0" text="download" dxfId="0">
      <formula>NOT(ISERROR(SEARCH("download",B4)))</formula>
    </cfRule>
  </conditionalFormatting>
  <conditionalFormatting sqref="D7">
    <cfRule type="expression" priority="3" aboveAverage="0" equalAverage="0" bottom="0" percent="0" rank="0" text="" dxfId="1">
      <formula>LEN(TRIM(D7))=0</formula>
    </cfRule>
  </conditionalFormatting>
  <conditionalFormatting sqref="CR9:CR508">
    <cfRule type="expression" priority="4" aboveAverage="0" equalAverage="0" bottom="0" percent="0" rank="0" text="" dxfId="2">
      <formula>LEN(TRIM(CR9))&gt;0</formula>
    </cfRule>
  </conditionalFormatting>
  <conditionalFormatting sqref="I9:I508">
    <cfRule type="expression" priority="5" aboveAverage="0" equalAverage="0" bottom="0" percent="0" rank="0" text="" dxfId="3">
      <formula>AND($BH9=Constants!$B$8,$CJ9=TRUE(),$AL9="")</formula>
    </cfRule>
  </conditionalFormatting>
  <conditionalFormatting sqref="J9:J508">
    <cfRule type="expression" priority="6" aboveAverage="0" equalAverage="0" bottom="0" percent="0" rank="0" text="" dxfId="3">
      <formula>AND($BH9=Constants!$B$8,$CJ9=TRUE(),$AM9="")</formula>
    </cfRule>
  </conditionalFormatting>
  <conditionalFormatting sqref="K9:K508">
    <cfRule type="expression" priority="7" aboveAverage="0" equalAverage="0" bottom="0" percent="0" rank="0" text="" dxfId="3">
      <formula>AND($BH9=Constants!$B$8,$CJ9=TRUE(),$AN9="")</formula>
    </cfRule>
  </conditionalFormatting>
  <conditionalFormatting sqref="U9:U508">
    <cfRule type="expression" priority="8" aboveAverage="0" equalAverage="0" bottom="0" percent="0" rank="0" text="" dxfId="3">
      <formula>AND($BH9=Constants!$B$8,$CK9=TRUE())</formula>
    </cfRule>
  </conditionalFormatting>
  <conditionalFormatting sqref="V9:V508">
    <cfRule type="expression" priority="9" aboveAverage="0" equalAverage="0" bottom="0" percent="0" rank="0" text="" dxfId="3">
      <formula>AND($BH9=Constants!$B$8,$CL9=TRUE())</formula>
    </cfRule>
  </conditionalFormatting>
  <conditionalFormatting sqref="W9:W508">
    <cfRule type="expression" priority="10" aboveAverage="0" equalAverage="0" bottom="0" percent="0" rank="0" text="" dxfId="3">
      <formula>AND($BH9=Constants!$B$8,$CM9=TRUE())</formula>
    </cfRule>
  </conditionalFormatting>
  <conditionalFormatting sqref="Z9:Z508">
    <cfRule type="expression" priority="11" aboveAverage="0" equalAverage="0" bottom="0" percent="0" rank="0" text="" dxfId="3">
      <formula>AND($BH9=Constants!$B$8,$CN9=TRUE())</formula>
    </cfRule>
  </conditionalFormatting>
  <conditionalFormatting sqref="AC9:AC508">
    <cfRule type="expression" priority="12" aboveAverage="0" equalAverage="0" bottom="0" percent="0" rank="0" text="" dxfId="3">
      <formula>AND($BH9=Constants!$B$8,$CO9=TRUE())</formula>
    </cfRule>
  </conditionalFormatting>
  <conditionalFormatting sqref="E9:H508 L9:M508 O9:T508 X9:Y508 AA9:AB508">
    <cfRule type="cellIs" priority="13" operator="equal" aboveAverage="0" equalAverage="0" bottom="0" percent="0" rank="0" text="" dxfId="1">
      <formula>"F"</formula>
    </cfRule>
  </conditionalFormatting>
  <conditionalFormatting sqref="N9:N508 AD9:AD508">
    <cfRule type="cellIs" priority="14" operator="equal" aboveAverage="0" equalAverage="0" bottom="0" percent="0" rank="0" text="" dxfId="1">
      <formula>"T"</formula>
    </cfRule>
  </conditionalFormatting>
  <conditionalFormatting sqref="U9:U508">
    <cfRule type="cellIs" priority="15" operator="equal" aboveAverage="0" equalAverage="0" bottom="0" percent="0" rank="0" text="" dxfId="1">
      <formula>"Touch"</formula>
    </cfRule>
  </conditionalFormatting>
  <conditionalFormatting sqref="Z9:Z508">
    <cfRule type="expression" priority="16" aboveAverage="0" equalAverage="0" bottom="0" percent="0" rank="0" text="" dxfId="1">
      <formula>AND(ISNUMBER(Z9),Z9&gt;0)</formula>
    </cfRule>
  </conditionalFormatting>
  <conditionalFormatting sqref="I9:K508">
    <cfRule type="expression" priority="17" aboveAverage="0" equalAverage="0" bottom="0" percent="0" rank="0" text="" dxfId="1">
      <formula>AND(ISNUMBER(I9),I9&gt;Constants!$B$26)</formula>
    </cfRule>
  </conditionalFormatting>
  <conditionalFormatting sqref="I9:K508">
    <cfRule type="expression" priority="18" aboveAverage="0" equalAverage="0" bottom="0" percent="0" rank="0" text="" dxfId="4">
      <formula>AND(ISNUMBER(I9),I9&lt;Constants!$B$26)</formula>
    </cfRule>
  </conditionalFormatting>
  <dataValidations count="10">
    <dataValidation allowBlank="true" errorStyle="stop" operator="between" prompt="Target Time must be a number between 60 and 120 seconds at any 1s interval (Regionals/Invitationals 60, State 61-90, Nationals 91-120)." showDropDown="false" showErrorMessage="true" showInputMessage="true" sqref="D7" type="custom">
      <formula1>IF(ISBLANK($D$7),"",IF(NOT(ISNUMBER($D$7)),0,IF($D$7&lt;Constants!$B$38,0,IF($D$7&gt;Constants!$B$39,0,MOD($D$7,Constants!$B$40)=0))))</formula1>
      <formula2>0</formula2>
    </dataValidation>
    <dataValidation allowBlank="true" errorStyle="stop" operator="between" prompt="True (T)/False (F)" showDropDown="false" showErrorMessage="true" showInputMessage="true" sqref="F9:H508 L9:P508 R9:T508 X9:Y508 AA9:AB508 AD9:AD508" type="list">
      <formula1>"T,F"</formula1>
      <formula2>0</formula2>
    </dataValidation>
    <dataValidation allowBlank="true" errorStyle="stop" operator="between" prompt="State/Nationals only: device impounded on time (T/F). F places the team in Tier 3. Leave blank at Regionals/Invitationals." showDropDown="false" showErrorMessage="true" showInputMessage="true" sqref="E9:E508" type="list">
      <formula1>"T,F"</formula1>
      <formula2>0</formula2>
    </dataValidation>
    <dataValidation allowBlank="true" errorStyle="stop" operator="between" prompt="State/Nationals only: set up in 15 minutes or less (T/F), worth 75 instead of 50. Leave blank at Regionals/Invitationals." showDropDown="false" showErrorMessage="true" showInputMessage="true" sqref="Q9:Q508" type="list">
      <formula1>"T,F"</formula1>
      <formula2>0</formula2>
    </dataValidation>
    <dataValidation allowBlank="true" errorStyle="stop" operator="greaterThanOrEqual" prompt="Device dimension in cm, to 0.1 cm. Over 80.0 cm is penalised; over 82.0 cm places the team in Tier 2." showDropDown="false" showErrorMessage="true" showInputMessage="true" sqref="I9:K508" type="decimal">
      <formula1>0</formula1>
      <formula2>0</formula2>
    </dataValidation>
    <dataValidation allowBlank="true" errorStyle="stop" operator="between" prompt="Coins added before the first action started: 1 (25 pts), 2 (50 pts), 3 = the ES quarter (200 pts), 4 = team-dropped quarter (0 pts). Touch = a team member touched the device to start it (0 pts, counts as one touch)." showDropDown="false" showErrorMessage="true" showInputMessage="true" sqref="U9:U508" type="list">
      <formula1>"1,2,3,4,Touch"</formula1>
      <formula2>0</formula2>
    </dataValidation>
    <dataValidation allowBlank="true" errorStyle="stop" operator="between" prompt="Unique scorable actions completed (0-12). Leave out any action initiated by electricity after 30 s (box 23)." showDropDown="false" showErrorMessage="true" showInputMessage="true" sqref="V9:V508" type="whole">
      <formula1>0</formula1>
      <formula2>12</formula2>
    </dataValidation>
    <dataValidation allowBlank="true" errorStyle="stop" operator="greaterThanOrEqual" prompt="Seconds the water timer ran before the Target Time. Leave blank if it did not initiate the next action, or (State/Nationals) its adjustment was not demonstrated." showDropDown="false" showErrorMessage="true" showInputMessage="true" sqref="W9:W508" type="decimal">
      <formula1>0</formula1>
      <formula2>0</formula2>
    </dataValidation>
    <dataValidation allowBlank="true" errorStyle="stop" operator="between" prompt="Touches/adjustments during operation (0-3). Do not count a touch used to start the device: enter Touch in box 17 instead." showDropDown="false" showErrorMessage="true" showInputMessage="true" sqref="Z9:Z508" type="whole">
      <formula1>0</formula1>
      <formula2>3</formula2>
    </dataValidation>
    <dataValidation allowBlank="true" errorStyle="stop" operator="greaterThanOrEqual" prompt="Seconds from the first action until the gum comes to rest, stopping at 2x the Target Time. Enter 0 if the device stopped after the third touch." showDropDown="false" showErrorMessage="true" showInputMessage="true" sqref="AC9:AC508" type="decimal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36" t="s">
        <v>98</v>
      </c>
      <c r="B1" s="136" t="s">
        <v>99</v>
      </c>
    </row>
    <row r="2" customFormat="false" ht="15.75" hidden="false" customHeight="false" outlineLevel="0" collapsed="false">
      <c r="A2" s="136" t="s">
        <v>100</v>
      </c>
      <c r="B2" s="136" t="s">
        <v>101</v>
      </c>
    </row>
    <row r="3" customFormat="false" ht="15.75" hidden="false" customHeight="false" outlineLevel="0" collapsed="false">
      <c r="A3" s="136" t="s">
        <v>102</v>
      </c>
      <c r="B3" s="136" t="s">
        <v>103</v>
      </c>
    </row>
    <row r="4" customFormat="false" ht="15.75" hidden="false" customHeight="false" outlineLevel="0" collapsed="false">
      <c r="A4" s="136" t="s">
        <v>104</v>
      </c>
      <c r="B4" s="136" t="s">
        <v>105</v>
      </c>
    </row>
    <row r="5" customFormat="false" ht="15.75" hidden="false" customHeight="false" outlineLevel="0" collapsed="false">
      <c r="A5" s="136" t="s">
        <v>106</v>
      </c>
      <c r="B5" s="136" t="s">
        <v>107</v>
      </c>
    </row>
    <row r="6" customFormat="false" ht="15.75" hidden="false" customHeight="false" outlineLevel="0" collapsed="false">
      <c r="A6" s="136" t="s">
        <v>108</v>
      </c>
      <c r="B6" s="136" t="s">
        <v>109</v>
      </c>
    </row>
    <row r="7" customFormat="false" ht="15.75" hidden="false" customHeight="false" outlineLevel="0" collapsed="false">
      <c r="A7" s="136" t="s">
        <v>110</v>
      </c>
      <c r="B7" s="136" t="s">
        <v>111</v>
      </c>
    </row>
    <row r="8" customFormat="false" ht="15.75" hidden="false" customHeight="false" outlineLevel="0" collapsed="false">
      <c r="A8" s="136" t="s">
        <v>112</v>
      </c>
      <c r="B8" s="136" t="s">
        <v>113</v>
      </c>
    </row>
    <row r="9" customFormat="false" ht="15.75" hidden="false" customHeight="false" outlineLevel="0" collapsed="false">
      <c r="A9" s="136" t="s">
        <v>114</v>
      </c>
      <c r="B9" s="136" t="n">
        <v>1</v>
      </c>
    </row>
    <row r="10" customFormat="false" ht="15.75" hidden="false" customHeight="false" outlineLevel="0" collapsed="false">
      <c r="A10" s="136" t="s">
        <v>115</v>
      </c>
      <c r="B10" s="136" t="n">
        <v>2</v>
      </c>
    </row>
    <row r="11" customFormat="false" ht="15.75" hidden="false" customHeight="false" outlineLevel="0" collapsed="false">
      <c r="A11" s="136" t="s">
        <v>116</v>
      </c>
      <c r="B11" s="136" t="n">
        <v>3</v>
      </c>
    </row>
    <row r="12" customFormat="false" ht="15.75" hidden="false" customHeight="false" outlineLevel="0" collapsed="false">
      <c r="A12" s="136" t="s">
        <v>117</v>
      </c>
      <c r="B12" s="136" t="s">
        <v>118</v>
      </c>
    </row>
    <row r="13" customFormat="false" ht="15.75" hidden="false" customHeight="false" outlineLevel="0" collapsed="false">
      <c r="A13" s="136" t="s">
        <v>119</v>
      </c>
      <c r="B13" s="136" t="n">
        <v>25</v>
      </c>
    </row>
    <row r="14" customFormat="false" ht="15.75" hidden="false" customHeight="false" outlineLevel="0" collapsed="false">
      <c r="A14" s="136" t="s">
        <v>120</v>
      </c>
      <c r="B14" s="136" t="n">
        <v>50</v>
      </c>
    </row>
    <row r="15" customFormat="false" ht="15.75" hidden="false" customHeight="false" outlineLevel="0" collapsed="false">
      <c r="A15" s="136" t="s">
        <v>121</v>
      </c>
      <c r="B15" s="136" t="n">
        <v>200</v>
      </c>
    </row>
    <row r="16" customFormat="false" ht="15.75" hidden="false" customHeight="false" outlineLevel="0" collapsed="false">
      <c r="A16" s="136" t="s">
        <v>122</v>
      </c>
      <c r="B16" s="136" t="n">
        <v>0</v>
      </c>
    </row>
    <row r="17" customFormat="false" ht="15.75" hidden="false" customHeight="false" outlineLevel="0" collapsed="false">
      <c r="A17" s="136" t="s">
        <v>123</v>
      </c>
      <c r="B17" s="136" t="n">
        <v>50</v>
      </c>
    </row>
    <row r="18" customFormat="false" ht="15.75" hidden="false" customHeight="false" outlineLevel="0" collapsed="false">
      <c r="A18" s="136" t="s">
        <v>124</v>
      </c>
      <c r="B18" s="136" t="n">
        <v>75</v>
      </c>
    </row>
    <row r="19" customFormat="false" ht="15.75" hidden="false" customHeight="false" outlineLevel="0" collapsed="false">
      <c r="A19" s="136" t="s">
        <v>125</v>
      </c>
      <c r="B19" s="136" t="n">
        <v>25</v>
      </c>
    </row>
    <row r="20" customFormat="false" ht="15.75" hidden="false" customHeight="false" outlineLevel="0" collapsed="false">
      <c r="A20" s="136" t="s">
        <v>126</v>
      </c>
      <c r="B20" s="136" t="n">
        <v>50</v>
      </c>
    </row>
    <row r="21" customFormat="false" ht="15.75" hidden="false" customHeight="false" outlineLevel="0" collapsed="false">
      <c r="A21" s="136" t="s">
        <v>127</v>
      </c>
      <c r="B21" s="136" t="n">
        <v>12</v>
      </c>
    </row>
    <row r="22" customFormat="false" ht="15.75" hidden="false" customHeight="false" outlineLevel="0" collapsed="false">
      <c r="A22" s="136" t="s">
        <v>128</v>
      </c>
      <c r="B22" s="136" t="n">
        <v>250</v>
      </c>
    </row>
    <row r="23" customFormat="false" ht="15.75" hidden="false" customHeight="false" outlineLevel="0" collapsed="false">
      <c r="A23" s="136" t="s">
        <v>129</v>
      </c>
      <c r="B23" s="136" t="n">
        <v>2</v>
      </c>
    </row>
    <row r="24" customFormat="false" ht="15.75" hidden="false" customHeight="false" outlineLevel="0" collapsed="false">
      <c r="A24" s="136" t="s">
        <v>130</v>
      </c>
      <c r="B24" s="136" t="n">
        <v>1</v>
      </c>
    </row>
    <row r="25" customFormat="false" ht="15.75" hidden="false" customHeight="false" outlineLevel="0" collapsed="false">
      <c r="A25" s="136" t="s">
        <v>131</v>
      </c>
      <c r="B25" s="136" t="n">
        <v>75</v>
      </c>
    </row>
    <row r="26" customFormat="false" ht="15.75" hidden="false" customHeight="false" outlineLevel="0" collapsed="false">
      <c r="A26" s="136" t="s">
        <v>132</v>
      </c>
      <c r="B26" s="136" t="n">
        <v>80</v>
      </c>
    </row>
    <row r="27" customFormat="false" ht="15.75" hidden="false" customHeight="false" outlineLevel="0" collapsed="false">
      <c r="A27" s="136" t="s">
        <v>133</v>
      </c>
      <c r="B27" s="136" t="n">
        <v>1</v>
      </c>
    </row>
    <row r="28" customFormat="false" ht="15.75" hidden="false" customHeight="false" outlineLevel="0" collapsed="false">
      <c r="A28" s="136" t="s">
        <v>134</v>
      </c>
      <c r="B28" s="136" t="n">
        <v>0.1</v>
      </c>
    </row>
    <row r="29" customFormat="false" ht="15.75" hidden="false" customHeight="false" outlineLevel="0" collapsed="false">
      <c r="A29" s="136" t="s">
        <v>135</v>
      </c>
      <c r="B29" s="136" t="n">
        <v>30</v>
      </c>
    </row>
    <row r="30" customFormat="false" ht="15.75" hidden="false" customHeight="false" outlineLevel="0" collapsed="false">
      <c r="A30" s="136" t="s">
        <v>136</v>
      </c>
      <c r="B30" s="136" t="n">
        <v>82</v>
      </c>
    </row>
    <row r="31" customFormat="false" ht="15.75" hidden="false" customHeight="false" outlineLevel="0" collapsed="false">
      <c r="A31" s="136" t="s">
        <v>137</v>
      </c>
      <c r="B31" s="136" t="n">
        <v>2</v>
      </c>
    </row>
    <row r="32" customFormat="false" ht="15.75" hidden="false" customHeight="false" outlineLevel="0" collapsed="false">
      <c r="A32" s="136" t="s">
        <v>138</v>
      </c>
      <c r="B32" s="136" t="n">
        <v>25</v>
      </c>
    </row>
    <row r="33" customFormat="false" ht="15.75" hidden="false" customHeight="false" outlineLevel="0" collapsed="false">
      <c r="A33" s="136" t="s">
        <v>139</v>
      </c>
      <c r="B33" s="136" t="n">
        <v>25</v>
      </c>
    </row>
    <row r="34" customFormat="false" ht="15.75" hidden="false" customHeight="false" outlineLevel="0" collapsed="false">
      <c r="A34" s="136" t="s">
        <v>140</v>
      </c>
      <c r="B34" s="136" t="n">
        <v>25</v>
      </c>
    </row>
    <row r="35" customFormat="false" ht="15.75" hidden="false" customHeight="false" outlineLevel="0" collapsed="false">
      <c r="A35" s="136" t="s">
        <v>141</v>
      </c>
      <c r="B35" s="136" t="n">
        <v>3</v>
      </c>
    </row>
    <row r="36" customFormat="false" ht="15.75" hidden="false" customHeight="false" outlineLevel="0" collapsed="false">
      <c r="A36" s="136" t="s">
        <v>142</v>
      </c>
      <c r="B36" s="136" t="n">
        <v>50</v>
      </c>
    </row>
    <row r="37" customFormat="false" ht="15.75" hidden="false" customHeight="false" outlineLevel="0" collapsed="false">
      <c r="A37" s="136" t="s">
        <v>143</v>
      </c>
      <c r="B37" s="136" t="n">
        <v>250</v>
      </c>
    </row>
    <row r="38" customFormat="false" ht="15.75" hidden="false" customHeight="false" outlineLevel="0" collapsed="false">
      <c r="A38" s="136" t="s">
        <v>144</v>
      </c>
      <c r="B38" s="136" t="n">
        <v>60</v>
      </c>
    </row>
    <row r="39" customFormat="false" ht="15.75" hidden="false" customHeight="false" outlineLevel="0" collapsed="false">
      <c r="A39" s="136" t="s">
        <v>145</v>
      </c>
      <c r="B39" s="136" t="n">
        <v>120</v>
      </c>
    </row>
    <row r="40" customFormat="false" ht="15.75" hidden="false" customHeight="false" outlineLevel="0" collapsed="false">
      <c r="A40" s="136" t="s">
        <v>146</v>
      </c>
      <c r="B40" s="136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37" t="s">
        <v>55</v>
      </c>
      <c r="B1" s="137" t="s">
        <v>56</v>
      </c>
      <c r="C1" s="137" t="s">
        <v>57</v>
      </c>
      <c r="D1" s="137" t="s">
        <v>65</v>
      </c>
      <c r="E1" s="137" t="s">
        <v>50</v>
      </c>
      <c r="F1" s="137" t="s">
        <v>52</v>
      </c>
      <c r="G1" s="137" t="s">
        <v>51</v>
      </c>
      <c r="H1" s="137" t="s">
        <v>54</v>
      </c>
      <c r="I1" s="137" t="s">
        <v>53</v>
      </c>
    </row>
    <row r="2" customFormat="false" ht="15.75" hidden="false" customHeight="false" outlineLevel="0" collapsed="false">
      <c r="A2" s="138" t="n">
        <f aca="false">ExportRaw!$F2</f>
        <v>0</v>
      </c>
      <c r="B2" s="138" t="n">
        <f aca="false">ExportRaw!$C2</f>
        <v>0</v>
      </c>
      <c r="C2" s="138" t="n">
        <f aca="false">ExportRaw!$G2</f>
        <v>0</v>
      </c>
      <c r="D2" s="138" t="str">
        <f aca="false">ExportRaw!$E2</f>
        <v/>
      </c>
      <c r="E2" s="139" t="str">
        <f aca="false">ExportRaw!$D2</f>
        <v/>
      </c>
      <c r="F2" s="138" t="str">
        <f aca="false">ExportRaw!$H2</f>
        <v/>
      </c>
      <c r="G2" s="140" t="str">
        <f aca="false">ExportRaw!$I2</f>
        <v/>
      </c>
      <c r="H2" s="138" t="str">
        <f aca="false">ExportRaw!$A2</f>
        <v/>
      </c>
      <c r="I2" s="138" t="str">
        <f aca="false">ExportRaw!$B2</f>
        <v/>
      </c>
    </row>
    <row r="3" customFormat="false" ht="15.75" hidden="false" customHeight="false" outlineLevel="0" collapsed="false">
      <c r="A3" s="138" t="n">
        <f aca="false">ExportRaw!$F3</f>
        <v>0</v>
      </c>
      <c r="B3" s="138" t="n">
        <f aca="false">ExportRaw!$C3</f>
        <v>0</v>
      </c>
      <c r="C3" s="138" t="n">
        <f aca="false">ExportRaw!$G3</f>
        <v>0</v>
      </c>
      <c r="D3" s="138" t="str">
        <f aca="false">ExportRaw!$E3</f>
        <v/>
      </c>
      <c r="E3" s="139" t="str">
        <f aca="false">ExportRaw!$D3</f>
        <v/>
      </c>
      <c r="F3" s="138" t="str">
        <f aca="false">ExportRaw!$H3</f>
        <v/>
      </c>
      <c r="G3" s="140" t="str">
        <f aca="false">ExportRaw!$I3</f>
        <v/>
      </c>
      <c r="H3" s="138" t="str">
        <f aca="false">ExportRaw!$A3</f>
        <v/>
      </c>
      <c r="I3" s="138" t="str">
        <f aca="false">ExportRaw!$B3</f>
        <v/>
      </c>
    </row>
    <row r="4" customFormat="false" ht="15.75" hidden="false" customHeight="false" outlineLevel="0" collapsed="false">
      <c r="A4" s="138" t="n">
        <f aca="false">ExportRaw!$F4</f>
        <v>0</v>
      </c>
      <c r="B4" s="138" t="n">
        <f aca="false">ExportRaw!$C4</f>
        <v>0</v>
      </c>
      <c r="C4" s="138" t="n">
        <f aca="false">ExportRaw!$G4</f>
        <v>0</v>
      </c>
      <c r="D4" s="138" t="str">
        <f aca="false">ExportRaw!$E4</f>
        <v/>
      </c>
      <c r="E4" s="139" t="str">
        <f aca="false">ExportRaw!$D4</f>
        <v/>
      </c>
      <c r="F4" s="138" t="str">
        <f aca="false">ExportRaw!$H4</f>
        <v/>
      </c>
      <c r="G4" s="140" t="str">
        <f aca="false">ExportRaw!$I4</f>
        <v/>
      </c>
      <c r="H4" s="138" t="str">
        <f aca="false">ExportRaw!$A4</f>
        <v/>
      </c>
      <c r="I4" s="138" t="str">
        <f aca="false">ExportRaw!$B4</f>
        <v/>
      </c>
    </row>
    <row r="5" customFormat="false" ht="15.75" hidden="false" customHeight="false" outlineLevel="0" collapsed="false">
      <c r="A5" s="138" t="n">
        <f aca="false">ExportRaw!$F5</f>
        <v>0</v>
      </c>
      <c r="B5" s="138" t="n">
        <f aca="false">ExportRaw!$C5</f>
        <v>0</v>
      </c>
      <c r="C5" s="138" t="n">
        <f aca="false">ExportRaw!$G5</f>
        <v>0</v>
      </c>
      <c r="D5" s="138" t="str">
        <f aca="false">ExportRaw!$E5</f>
        <v/>
      </c>
      <c r="E5" s="139" t="str">
        <f aca="false">ExportRaw!$D5</f>
        <v/>
      </c>
      <c r="F5" s="138" t="str">
        <f aca="false">ExportRaw!$H5</f>
        <v/>
      </c>
      <c r="G5" s="140" t="str">
        <f aca="false">ExportRaw!$I5</f>
        <v/>
      </c>
      <c r="H5" s="138" t="str">
        <f aca="false">ExportRaw!$A5</f>
        <v/>
      </c>
      <c r="I5" s="138" t="str">
        <f aca="false">ExportRaw!$B5</f>
        <v/>
      </c>
    </row>
    <row r="6" customFormat="false" ht="15.75" hidden="false" customHeight="false" outlineLevel="0" collapsed="false">
      <c r="A6" s="138" t="n">
        <f aca="false">ExportRaw!$F6</f>
        <v>0</v>
      </c>
      <c r="B6" s="138" t="n">
        <f aca="false">ExportRaw!$C6</f>
        <v>0</v>
      </c>
      <c r="C6" s="138" t="n">
        <f aca="false">ExportRaw!$G6</f>
        <v>0</v>
      </c>
      <c r="D6" s="138" t="str">
        <f aca="false">ExportRaw!$E6</f>
        <v/>
      </c>
      <c r="E6" s="139" t="str">
        <f aca="false">ExportRaw!$D6</f>
        <v/>
      </c>
      <c r="F6" s="138" t="str">
        <f aca="false">ExportRaw!$H6</f>
        <v/>
      </c>
      <c r="G6" s="140" t="str">
        <f aca="false">ExportRaw!$I6</f>
        <v/>
      </c>
      <c r="H6" s="138" t="str">
        <f aca="false">ExportRaw!$A6</f>
        <v/>
      </c>
      <c r="I6" s="138" t="str">
        <f aca="false">ExportRaw!$B6</f>
        <v/>
      </c>
    </row>
    <row r="7" customFormat="false" ht="15.75" hidden="false" customHeight="false" outlineLevel="0" collapsed="false">
      <c r="A7" s="138" t="n">
        <f aca="false">ExportRaw!$F7</f>
        <v>0</v>
      </c>
      <c r="B7" s="138" t="n">
        <f aca="false">ExportRaw!$C7</f>
        <v>0</v>
      </c>
      <c r="C7" s="138" t="n">
        <f aca="false">ExportRaw!$G7</f>
        <v>0</v>
      </c>
      <c r="D7" s="138" t="str">
        <f aca="false">ExportRaw!$E7</f>
        <v/>
      </c>
      <c r="E7" s="139" t="str">
        <f aca="false">ExportRaw!$D7</f>
        <v/>
      </c>
      <c r="F7" s="138" t="str">
        <f aca="false">ExportRaw!$H7</f>
        <v/>
      </c>
      <c r="G7" s="140" t="str">
        <f aca="false">ExportRaw!$I7</f>
        <v/>
      </c>
      <c r="H7" s="138" t="str">
        <f aca="false">ExportRaw!$A7</f>
        <v/>
      </c>
      <c r="I7" s="138" t="str">
        <f aca="false">ExportRaw!$B7</f>
        <v/>
      </c>
    </row>
    <row r="8" customFormat="false" ht="15.75" hidden="false" customHeight="false" outlineLevel="0" collapsed="false">
      <c r="A8" s="138" t="n">
        <f aca="false">ExportRaw!$F8</f>
        <v>0</v>
      </c>
      <c r="B8" s="138" t="n">
        <f aca="false">ExportRaw!$C8</f>
        <v>0</v>
      </c>
      <c r="C8" s="138" t="n">
        <f aca="false">ExportRaw!$G8</f>
        <v>0</v>
      </c>
      <c r="D8" s="138" t="str">
        <f aca="false">ExportRaw!$E8</f>
        <v/>
      </c>
      <c r="E8" s="139" t="str">
        <f aca="false">ExportRaw!$D8</f>
        <v/>
      </c>
      <c r="F8" s="138" t="str">
        <f aca="false">ExportRaw!$H8</f>
        <v/>
      </c>
      <c r="G8" s="140" t="str">
        <f aca="false">ExportRaw!$I8</f>
        <v/>
      </c>
      <c r="H8" s="138" t="str">
        <f aca="false">ExportRaw!$A8</f>
        <v/>
      </c>
      <c r="I8" s="138" t="str">
        <f aca="false">ExportRaw!$B8</f>
        <v/>
      </c>
    </row>
    <row r="9" customFormat="false" ht="15.75" hidden="false" customHeight="false" outlineLevel="0" collapsed="false">
      <c r="A9" s="138" t="n">
        <f aca="false">ExportRaw!$F9</f>
        <v>0</v>
      </c>
      <c r="B9" s="138" t="n">
        <f aca="false">ExportRaw!$C9</f>
        <v>0</v>
      </c>
      <c r="C9" s="138" t="n">
        <f aca="false">ExportRaw!$G9</f>
        <v>0</v>
      </c>
      <c r="D9" s="138" t="str">
        <f aca="false">ExportRaw!$E9</f>
        <v/>
      </c>
      <c r="E9" s="139" t="str">
        <f aca="false">ExportRaw!$D9</f>
        <v/>
      </c>
      <c r="F9" s="138" t="str">
        <f aca="false">ExportRaw!$H9</f>
        <v/>
      </c>
      <c r="G9" s="140" t="str">
        <f aca="false">ExportRaw!$I9</f>
        <v/>
      </c>
      <c r="H9" s="138" t="str">
        <f aca="false">ExportRaw!$A9</f>
        <v/>
      </c>
      <c r="I9" s="138" t="str">
        <f aca="false">ExportRaw!$B9</f>
        <v/>
      </c>
    </row>
    <row r="10" customFormat="false" ht="15.75" hidden="false" customHeight="false" outlineLevel="0" collapsed="false">
      <c r="A10" s="138" t="n">
        <f aca="false">ExportRaw!$F10</f>
        <v>0</v>
      </c>
      <c r="B10" s="138" t="n">
        <f aca="false">ExportRaw!$C10</f>
        <v>0</v>
      </c>
      <c r="C10" s="138" t="n">
        <f aca="false">ExportRaw!$G10</f>
        <v>0</v>
      </c>
      <c r="D10" s="138" t="str">
        <f aca="false">ExportRaw!$E10</f>
        <v/>
      </c>
      <c r="E10" s="139" t="str">
        <f aca="false">ExportRaw!$D10</f>
        <v/>
      </c>
      <c r="F10" s="138" t="str">
        <f aca="false">ExportRaw!$H10</f>
        <v/>
      </c>
      <c r="G10" s="140" t="str">
        <f aca="false">ExportRaw!$I10</f>
        <v/>
      </c>
      <c r="H10" s="138" t="str">
        <f aca="false">ExportRaw!$A10</f>
        <v/>
      </c>
      <c r="I10" s="138" t="str">
        <f aca="false">ExportRaw!$B10</f>
        <v/>
      </c>
    </row>
    <row r="11" customFormat="false" ht="15.75" hidden="false" customHeight="false" outlineLevel="0" collapsed="false">
      <c r="A11" s="138" t="n">
        <f aca="false">ExportRaw!$F11</f>
        <v>0</v>
      </c>
      <c r="B11" s="138" t="n">
        <f aca="false">ExportRaw!$C11</f>
        <v>0</v>
      </c>
      <c r="C11" s="138" t="n">
        <f aca="false">ExportRaw!$G11</f>
        <v>0</v>
      </c>
      <c r="D11" s="138" t="str">
        <f aca="false">ExportRaw!$E11</f>
        <v/>
      </c>
      <c r="E11" s="139" t="str">
        <f aca="false">ExportRaw!$D11</f>
        <v/>
      </c>
      <c r="F11" s="138" t="str">
        <f aca="false">ExportRaw!$H11</f>
        <v/>
      </c>
      <c r="G11" s="140" t="str">
        <f aca="false">ExportRaw!$I11</f>
        <v/>
      </c>
      <c r="H11" s="138" t="str">
        <f aca="false">ExportRaw!$A11</f>
        <v/>
      </c>
      <c r="I11" s="138" t="str">
        <f aca="false">ExportRaw!$B11</f>
        <v/>
      </c>
    </row>
    <row r="12" customFormat="false" ht="15.75" hidden="false" customHeight="false" outlineLevel="0" collapsed="false">
      <c r="A12" s="138" t="n">
        <f aca="false">ExportRaw!$F12</f>
        <v>0</v>
      </c>
      <c r="B12" s="138" t="n">
        <f aca="false">ExportRaw!$C12</f>
        <v>0</v>
      </c>
      <c r="C12" s="138" t="n">
        <f aca="false">ExportRaw!$G12</f>
        <v>0</v>
      </c>
      <c r="D12" s="138" t="str">
        <f aca="false">ExportRaw!$E12</f>
        <v/>
      </c>
      <c r="E12" s="139" t="str">
        <f aca="false">ExportRaw!$D12</f>
        <v/>
      </c>
      <c r="F12" s="138" t="str">
        <f aca="false">ExportRaw!$H12</f>
        <v/>
      </c>
      <c r="G12" s="140" t="str">
        <f aca="false">ExportRaw!$I12</f>
        <v/>
      </c>
      <c r="H12" s="138" t="str">
        <f aca="false">ExportRaw!$A12</f>
        <v/>
      </c>
      <c r="I12" s="138" t="str">
        <f aca="false">ExportRaw!$B12</f>
        <v/>
      </c>
    </row>
    <row r="13" customFormat="false" ht="15.75" hidden="false" customHeight="false" outlineLevel="0" collapsed="false">
      <c r="A13" s="138" t="n">
        <f aca="false">ExportRaw!$F13</f>
        <v>0</v>
      </c>
      <c r="B13" s="138" t="n">
        <f aca="false">ExportRaw!$C13</f>
        <v>0</v>
      </c>
      <c r="C13" s="138" t="n">
        <f aca="false">ExportRaw!$G13</f>
        <v>0</v>
      </c>
      <c r="D13" s="138" t="str">
        <f aca="false">ExportRaw!$E13</f>
        <v/>
      </c>
      <c r="E13" s="139" t="str">
        <f aca="false">ExportRaw!$D13</f>
        <v/>
      </c>
      <c r="F13" s="138" t="str">
        <f aca="false">ExportRaw!$H13</f>
        <v/>
      </c>
      <c r="G13" s="140" t="str">
        <f aca="false">ExportRaw!$I13</f>
        <v/>
      </c>
      <c r="H13" s="138" t="str">
        <f aca="false">ExportRaw!$A13</f>
        <v/>
      </c>
      <c r="I13" s="138" t="str">
        <f aca="false">ExportRaw!$B13</f>
        <v/>
      </c>
    </row>
    <row r="14" customFormat="false" ht="15.75" hidden="false" customHeight="false" outlineLevel="0" collapsed="false">
      <c r="A14" s="138" t="n">
        <f aca="false">ExportRaw!$F14</f>
        <v>0</v>
      </c>
      <c r="B14" s="138" t="n">
        <f aca="false">ExportRaw!$C14</f>
        <v>0</v>
      </c>
      <c r="C14" s="138" t="n">
        <f aca="false">ExportRaw!$G14</f>
        <v>0</v>
      </c>
      <c r="D14" s="138" t="str">
        <f aca="false">ExportRaw!$E14</f>
        <v/>
      </c>
      <c r="E14" s="139" t="str">
        <f aca="false">ExportRaw!$D14</f>
        <v/>
      </c>
      <c r="F14" s="138" t="str">
        <f aca="false">ExportRaw!$H14</f>
        <v/>
      </c>
      <c r="G14" s="140" t="str">
        <f aca="false">ExportRaw!$I14</f>
        <v/>
      </c>
      <c r="H14" s="138" t="str">
        <f aca="false">ExportRaw!$A14</f>
        <v/>
      </c>
      <c r="I14" s="138" t="str">
        <f aca="false">ExportRaw!$B14</f>
        <v/>
      </c>
    </row>
    <row r="15" customFormat="false" ht="15.75" hidden="false" customHeight="false" outlineLevel="0" collapsed="false">
      <c r="A15" s="138" t="n">
        <f aca="false">ExportRaw!$F15</f>
        <v>0</v>
      </c>
      <c r="B15" s="138" t="n">
        <f aca="false">ExportRaw!$C15</f>
        <v>0</v>
      </c>
      <c r="C15" s="138" t="n">
        <f aca="false">ExportRaw!$G15</f>
        <v>0</v>
      </c>
      <c r="D15" s="138" t="str">
        <f aca="false">ExportRaw!$E15</f>
        <v/>
      </c>
      <c r="E15" s="139" t="str">
        <f aca="false">ExportRaw!$D15</f>
        <v/>
      </c>
      <c r="F15" s="138" t="str">
        <f aca="false">ExportRaw!$H15</f>
        <v/>
      </c>
      <c r="G15" s="140" t="str">
        <f aca="false">ExportRaw!$I15</f>
        <v/>
      </c>
      <c r="H15" s="138" t="str">
        <f aca="false">ExportRaw!$A15</f>
        <v/>
      </c>
      <c r="I15" s="138" t="str">
        <f aca="false">ExportRaw!$B15</f>
        <v/>
      </c>
    </row>
    <row r="16" customFormat="false" ht="15.75" hidden="false" customHeight="false" outlineLevel="0" collapsed="false">
      <c r="A16" s="138" t="n">
        <f aca="false">ExportRaw!$F16</f>
        <v>0</v>
      </c>
      <c r="B16" s="138" t="n">
        <f aca="false">ExportRaw!$C16</f>
        <v>0</v>
      </c>
      <c r="C16" s="138" t="n">
        <f aca="false">ExportRaw!$G16</f>
        <v>0</v>
      </c>
      <c r="D16" s="138" t="str">
        <f aca="false">ExportRaw!$E16</f>
        <v/>
      </c>
      <c r="E16" s="139" t="str">
        <f aca="false">ExportRaw!$D16</f>
        <v/>
      </c>
      <c r="F16" s="138" t="str">
        <f aca="false">ExportRaw!$H16</f>
        <v/>
      </c>
      <c r="G16" s="140" t="str">
        <f aca="false">ExportRaw!$I16</f>
        <v/>
      </c>
      <c r="H16" s="138" t="str">
        <f aca="false">ExportRaw!$A16</f>
        <v/>
      </c>
      <c r="I16" s="138" t="str">
        <f aca="false">ExportRaw!$B16</f>
        <v/>
      </c>
    </row>
    <row r="17" customFormat="false" ht="15.75" hidden="false" customHeight="false" outlineLevel="0" collapsed="false">
      <c r="A17" s="138" t="n">
        <f aca="false">ExportRaw!$F17</f>
        <v>0</v>
      </c>
      <c r="B17" s="138" t="n">
        <f aca="false">ExportRaw!$C17</f>
        <v>0</v>
      </c>
      <c r="C17" s="138" t="n">
        <f aca="false">ExportRaw!$G17</f>
        <v>0</v>
      </c>
      <c r="D17" s="138" t="str">
        <f aca="false">ExportRaw!$E17</f>
        <v/>
      </c>
      <c r="E17" s="139" t="str">
        <f aca="false">ExportRaw!$D17</f>
        <v/>
      </c>
      <c r="F17" s="138" t="str">
        <f aca="false">ExportRaw!$H17</f>
        <v/>
      </c>
      <c r="G17" s="140" t="str">
        <f aca="false">ExportRaw!$I17</f>
        <v/>
      </c>
      <c r="H17" s="138" t="str">
        <f aca="false">ExportRaw!$A17</f>
        <v/>
      </c>
      <c r="I17" s="138" t="str">
        <f aca="false">ExportRaw!$B17</f>
        <v/>
      </c>
    </row>
    <row r="18" customFormat="false" ht="15.75" hidden="false" customHeight="false" outlineLevel="0" collapsed="false">
      <c r="A18" s="138" t="n">
        <f aca="false">ExportRaw!$F18</f>
        <v>0</v>
      </c>
      <c r="B18" s="138" t="n">
        <f aca="false">ExportRaw!$C18</f>
        <v>0</v>
      </c>
      <c r="C18" s="138" t="n">
        <f aca="false">ExportRaw!$G18</f>
        <v>0</v>
      </c>
      <c r="D18" s="138" t="str">
        <f aca="false">ExportRaw!$E18</f>
        <v/>
      </c>
      <c r="E18" s="139" t="str">
        <f aca="false">ExportRaw!$D18</f>
        <v/>
      </c>
      <c r="F18" s="138" t="str">
        <f aca="false">ExportRaw!$H18</f>
        <v/>
      </c>
      <c r="G18" s="140" t="str">
        <f aca="false">ExportRaw!$I18</f>
        <v/>
      </c>
      <c r="H18" s="138" t="str">
        <f aca="false">ExportRaw!$A18</f>
        <v/>
      </c>
      <c r="I18" s="138" t="str">
        <f aca="false">ExportRaw!$B18</f>
        <v/>
      </c>
    </row>
    <row r="19" customFormat="false" ht="15.75" hidden="false" customHeight="false" outlineLevel="0" collapsed="false">
      <c r="A19" s="138" t="n">
        <f aca="false">ExportRaw!$F19</f>
        <v>0</v>
      </c>
      <c r="B19" s="138" t="n">
        <f aca="false">ExportRaw!$C19</f>
        <v>0</v>
      </c>
      <c r="C19" s="138" t="n">
        <f aca="false">ExportRaw!$G19</f>
        <v>0</v>
      </c>
      <c r="D19" s="138" t="str">
        <f aca="false">ExportRaw!$E19</f>
        <v/>
      </c>
      <c r="E19" s="139" t="str">
        <f aca="false">ExportRaw!$D19</f>
        <v/>
      </c>
      <c r="F19" s="138" t="str">
        <f aca="false">ExportRaw!$H19</f>
        <v/>
      </c>
      <c r="G19" s="140" t="str">
        <f aca="false">ExportRaw!$I19</f>
        <v/>
      </c>
      <c r="H19" s="138" t="str">
        <f aca="false">ExportRaw!$A19</f>
        <v/>
      </c>
      <c r="I19" s="138" t="str">
        <f aca="false">ExportRaw!$B19</f>
        <v/>
      </c>
    </row>
    <row r="20" customFormat="false" ht="15.75" hidden="false" customHeight="false" outlineLevel="0" collapsed="false">
      <c r="A20" s="138" t="n">
        <f aca="false">ExportRaw!$F20</f>
        <v>0</v>
      </c>
      <c r="B20" s="138" t="n">
        <f aca="false">ExportRaw!$C20</f>
        <v>0</v>
      </c>
      <c r="C20" s="138" t="n">
        <f aca="false">ExportRaw!$G20</f>
        <v>0</v>
      </c>
      <c r="D20" s="138" t="str">
        <f aca="false">ExportRaw!$E20</f>
        <v/>
      </c>
      <c r="E20" s="139" t="str">
        <f aca="false">ExportRaw!$D20</f>
        <v/>
      </c>
      <c r="F20" s="138" t="str">
        <f aca="false">ExportRaw!$H20</f>
        <v/>
      </c>
      <c r="G20" s="140" t="str">
        <f aca="false">ExportRaw!$I20</f>
        <v/>
      </c>
      <c r="H20" s="138" t="str">
        <f aca="false">ExportRaw!$A20</f>
        <v/>
      </c>
      <c r="I20" s="138" t="str">
        <f aca="false">ExportRaw!$B20</f>
        <v/>
      </c>
    </row>
    <row r="21" customFormat="false" ht="15.75" hidden="false" customHeight="false" outlineLevel="0" collapsed="false">
      <c r="A21" s="138" t="n">
        <f aca="false">ExportRaw!$F21</f>
        <v>0</v>
      </c>
      <c r="B21" s="138" t="n">
        <f aca="false">ExportRaw!$C21</f>
        <v>0</v>
      </c>
      <c r="C21" s="138" t="n">
        <f aca="false">ExportRaw!$G21</f>
        <v>0</v>
      </c>
      <c r="D21" s="138" t="str">
        <f aca="false">ExportRaw!$E21</f>
        <v/>
      </c>
      <c r="E21" s="139" t="str">
        <f aca="false">ExportRaw!$D21</f>
        <v/>
      </c>
      <c r="F21" s="138" t="str">
        <f aca="false">ExportRaw!$H21</f>
        <v/>
      </c>
      <c r="G21" s="140" t="str">
        <f aca="false">ExportRaw!$I21</f>
        <v/>
      </c>
      <c r="H21" s="138" t="str">
        <f aca="false">ExportRaw!$A21</f>
        <v/>
      </c>
      <c r="I21" s="138" t="str">
        <f aca="false">ExportRaw!$B21</f>
        <v/>
      </c>
    </row>
    <row r="22" customFormat="false" ht="15.75" hidden="false" customHeight="false" outlineLevel="0" collapsed="false">
      <c r="A22" s="138" t="n">
        <f aca="false">ExportRaw!$F22</f>
        <v>0</v>
      </c>
      <c r="B22" s="138" t="n">
        <f aca="false">ExportRaw!$C22</f>
        <v>0</v>
      </c>
      <c r="C22" s="138" t="n">
        <f aca="false">ExportRaw!$G22</f>
        <v>0</v>
      </c>
      <c r="D22" s="138" t="str">
        <f aca="false">ExportRaw!$E22</f>
        <v/>
      </c>
      <c r="E22" s="139" t="str">
        <f aca="false">ExportRaw!$D22</f>
        <v/>
      </c>
      <c r="F22" s="138" t="str">
        <f aca="false">ExportRaw!$H22</f>
        <v/>
      </c>
      <c r="G22" s="140" t="str">
        <f aca="false">ExportRaw!$I22</f>
        <v/>
      </c>
      <c r="H22" s="138" t="str">
        <f aca="false">ExportRaw!$A22</f>
        <v/>
      </c>
      <c r="I22" s="138" t="str">
        <f aca="false">ExportRaw!$B22</f>
        <v/>
      </c>
    </row>
    <row r="23" customFormat="false" ht="15.75" hidden="false" customHeight="false" outlineLevel="0" collapsed="false">
      <c r="A23" s="138" t="n">
        <f aca="false">ExportRaw!$F23</f>
        <v>0</v>
      </c>
      <c r="B23" s="138" t="n">
        <f aca="false">ExportRaw!$C23</f>
        <v>0</v>
      </c>
      <c r="C23" s="138" t="n">
        <f aca="false">ExportRaw!$G23</f>
        <v>0</v>
      </c>
      <c r="D23" s="138" t="str">
        <f aca="false">ExportRaw!$E23</f>
        <v/>
      </c>
      <c r="E23" s="139" t="str">
        <f aca="false">ExportRaw!$D23</f>
        <v/>
      </c>
      <c r="F23" s="138" t="str">
        <f aca="false">ExportRaw!$H23</f>
        <v/>
      </c>
      <c r="G23" s="140" t="str">
        <f aca="false">ExportRaw!$I23</f>
        <v/>
      </c>
      <c r="H23" s="138" t="str">
        <f aca="false">ExportRaw!$A23</f>
        <v/>
      </c>
      <c r="I23" s="138" t="str">
        <f aca="false">ExportRaw!$B23</f>
        <v/>
      </c>
    </row>
    <row r="24" customFormat="false" ht="15.75" hidden="false" customHeight="false" outlineLevel="0" collapsed="false">
      <c r="A24" s="138" t="n">
        <f aca="false">ExportRaw!$F24</f>
        <v>0</v>
      </c>
      <c r="B24" s="138" t="n">
        <f aca="false">ExportRaw!$C24</f>
        <v>0</v>
      </c>
      <c r="C24" s="138" t="n">
        <f aca="false">ExportRaw!$G24</f>
        <v>0</v>
      </c>
      <c r="D24" s="138" t="str">
        <f aca="false">ExportRaw!$E24</f>
        <v/>
      </c>
      <c r="E24" s="139" t="str">
        <f aca="false">ExportRaw!$D24</f>
        <v/>
      </c>
      <c r="F24" s="138" t="str">
        <f aca="false">ExportRaw!$H24</f>
        <v/>
      </c>
      <c r="G24" s="140" t="str">
        <f aca="false">ExportRaw!$I24</f>
        <v/>
      </c>
      <c r="H24" s="138" t="str">
        <f aca="false">ExportRaw!$A24</f>
        <v/>
      </c>
      <c r="I24" s="138" t="str">
        <f aca="false">ExportRaw!$B24</f>
        <v/>
      </c>
    </row>
    <row r="25" customFormat="false" ht="15.75" hidden="false" customHeight="false" outlineLevel="0" collapsed="false">
      <c r="A25" s="138" t="n">
        <f aca="false">ExportRaw!$F25</f>
        <v>0</v>
      </c>
      <c r="B25" s="138" t="n">
        <f aca="false">ExportRaw!$C25</f>
        <v>0</v>
      </c>
      <c r="C25" s="138" t="n">
        <f aca="false">ExportRaw!$G25</f>
        <v>0</v>
      </c>
      <c r="D25" s="138" t="str">
        <f aca="false">ExportRaw!$E25</f>
        <v/>
      </c>
      <c r="E25" s="139" t="str">
        <f aca="false">ExportRaw!$D25</f>
        <v/>
      </c>
      <c r="F25" s="138" t="str">
        <f aca="false">ExportRaw!$H25</f>
        <v/>
      </c>
      <c r="G25" s="140" t="str">
        <f aca="false">ExportRaw!$I25</f>
        <v/>
      </c>
      <c r="H25" s="138" t="str">
        <f aca="false">ExportRaw!$A25</f>
        <v/>
      </c>
      <c r="I25" s="138" t="str">
        <f aca="false">ExportRaw!$B25</f>
        <v/>
      </c>
    </row>
    <row r="26" customFormat="false" ht="15.75" hidden="false" customHeight="false" outlineLevel="0" collapsed="false">
      <c r="A26" s="138" t="n">
        <f aca="false">ExportRaw!$F26</f>
        <v>0</v>
      </c>
      <c r="B26" s="138" t="n">
        <f aca="false">ExportRaw!$C26</f>
        <v>0</v>
      </c>
      <c r="C26" s="138" t="n">
        <f aca="false">ExportRaw!$G26</f>
        <v>0</v>
      </c>
      <c r="D26" s="138" t="str">
        <f aca="false">ExportRaw!$E26</f>
        <v/>
      </c>
      <c r="E26" s="139" t="str">
        <f aca="false">ExportRaw!$D26</f>
        <v/>
      </c>
      <c r="F26" s="138" t="str">
        <f aca="false">ExportRaw!$H26</f>
        <v/>
      </c>
      <c r="G26" s="140" t="str">
        <f aca="false">ExportRaw!$I26</f>
        <v/>
      </c>
      <c r="H26" s="138" t="str">
        <f aca="false">ExportRaw!$A26</f>
        <v/>
      </c>
      <c r="I26" s="138" t="str">
        <f aca="false">ExportRaw!$B26</f>
        <v/>
      </c>
    </row>
    <row r="27" customFormat="false" ht="15.75" hidden="false" customHeight="false" outlineLevel="0" collapsed="false">
      <c r="A27" s="138" t="n">
        <f aca="false">ExportRaw!$F27</f>
        <v>0</v>
      </c>
      <c r="B27" s="138" t="n">
        <f aca="false">ExportRaw!$C27</f>
        <v>0</v>
      </c>
      <c r="C27" s="138" t="n">
        <f aca="false">ExportRaw!$G27</f>
        <v>0</v>
      </c>
      <c r="D27" s="138" t="str">
        <f aca="false">ExportRaw!$E27</f>
        <v/>
      </c>
      <c r="E27" s="139" t="str">
        <f aca="false">ExportRaw!$D27</f>
        <v/>
      </c>
      <c r="F27" s="138" t="str">
        <f aca="false">ExportRaw!$H27</f>
        <v/>
      </c>
      <c r="G27" s="140" t="str">
        <f aca="false">ExportRaw!$I27</f>
        <v/>
      </c>
      <c r="H27" s="138" t="str">
        <f aca="false">ExportRaw!$A27</f>
        <v/>
      </c>
      <c r="I27" s="138" t="str">
        <f aca="false">ExportRaw!$B27</f>
        <v/>
      </c>
    </row>
    <row r="28" customFormat="false" ht="15.75" hidden="false" customHeight="false" outlineLevel="0" collapsed="false">
      <c r="A28" s="138" t="n">
        <f aca="false">ExportRaw!$F28</f>
        <v>0</v>
      </c>
      <c r="B28" s="138" t="n">
        <f aca="false">ExportRaw!$C28</f>
        <v>0</v>
      </c>
      <c r="C28" s="138" t="n">
        <f aca="false">ExportRaw!$G28</f>
        <v>0</v>
      </c>
      <c r="D28" s="138" t="str">
        <f aca="false">ExportRaw!$E28</f>
        <v/>
      </c>
      <c r="E28" s="139" t="str">
        <f aca="false">ExportRaw!$D28</f>
        <v/>
      </c>
      <c r="F28" s="138" t="str">
        <f aca="false">ExportRaw!$H28</f>
        <v/>
      </c>
      <c r="G28" s="140" t="str">
        <f aca="false">ExportRaw!$I28</f>
        <v/>
      </c>
      <c r="H28" s="138" t="str">
        <f aca="false">ExportRaw!$A28</f>
        <v/>
      </c>
      <c r="I28" s="138" t="str">
        <f aca="false">ExportRaw!$B28</f>
        <v/>
      </c>
    </row>
    <row r="29" customFormat="false" ht="15.75" hidden="false" customHeight="false" outlineLevel="0" collapsed="false">
      <c r="A29" s="138" t="n">
        <f aca="false">ExportRaw!$F29</f>
        <v>0</v>
      </c>
      <c r="B29" s="138" t="n">
        <f aca="false">ExportRaw!$C29</f>
        <v>0</v>
      </c>
      <c r="C29" s="138" t="n">
        <f aca="false">ExportRaw!$G29</f>
        <v>0</v>
      </c>
      <c r="D29" s="138" t="str">
        <f aca="false">ExportRaw!$E29</f>
        <v/>
      </c>
      <c r="E29" s="139" t="str">
        <f aca="false">ExportRaw!$D29</f>
        <v/>
      </c>
      <c r="F29" s="138" t="str">
        <f aca="false">ExportRaw!$H29</f>
        <v/>
      </c>
      <c r="G29" s="140" t="str">
        <f aca="false">ExportRaw!$I29</f>
        <v/>
      </c>
      <c r="H29" s="138" t="str">
        <f aca="false">ExportRaw!$A29</f>
        <v/>
      </c>
      <c r="I29" s="138" t="str">
        <f aca="false">ExportRaw!$B29</f>
        <v/>
      </c>
    </row>
    <row r="30" customFormat="false" ht="15.75" hidden="false" customHeight="false" outlineLevel="0" collapsed="false">
      <c r="A30" s="138" t="n">
        <f aca="false">ExportRaw!$F30</f>
        <v>0</v>
      </c>
      <c r="B30" s="138" t="n">
        <f aca="false">ExportRaw!$C30</f>
        <v>0</v>
      </c>
      <c r="C30" s="138" t="n">
        <f aca="false">ExportRaw!$G30</f>
        <v>0</v>
      </c>
      <c r="D30" s="138" t="str">
        <f aca="false">ExportRaw!$E30</f>
        <v/>
      </c>
      <c r="E30" s="139" t="str">
        <f aca="false">ExportRaw!$D30</f>
        <v/>
      </c>
      <c r="F30" s="138" t="str">
        <f aca="false">ExportRaw!$H30</f>
        <v/>
      </c>
      <c r="G30" s="140" t="str">
        <f aca="false">ExportRaw!$I30</f>
        <v/>
      </c>
      <c r="H30" s="138" t="str">
        <f aca="false">ExportRaw!$A30</f>
        <v/>
      </c>
      <c r="I30" s="138" t="str">
        <f aca="false">ExportRaw!$B30</f>
        <v/>
      </c>
    </row>
    <row r="31" customFormat="false" ht="15.75" hidden="false" customHeight="false" outlineLevel="0" collapsed="false">
      <c r="A31" s="138" t="n">
        <f aca="false">ExportRaw!$F31</f>
        <v>0</v>
      </c>
      <c r="B31" s="138" t="n">
        <f aca="false">ExportRaw!$C31</f>
        <v>0</v>
      </c>
      <c r="C31" s="138" t="n">
        <f aca="false">ExportRaw!$G31</f>
        <v>0</v>
      </c>
      <c r="D31" s="138" t="str">
        <f aca="false">ExportRaw!$E31</f>
        <v/>
      </c>
      <c r="E31" s="139" t="str">
        <f aca="false">ExportRaw!$D31</f>
        <v/>
      </c>
      <c r="F31" s="138" t="str">
        <f aca="false">ExportRaw!$H31</f>
        <v/>
      </c>
      <c r="G31" s="140" t="str">
        <f aca="false">ExportRaw!$I31</f>
        <v/>
      </c>
      <c r="H31" s="138" t="str">
        <f aca="false">ExportRaw!$A31</f>
        <v/>
      </c>
      <c r="I31" s="138" t="str">
        <f aca="false">ExportRaw!$B31</f>
        <v/>
      </c>
    </row>
    <row r="32" customFormat="false" ht="15.75" hidden="false" customHeight="false" outlineLevel="0" collapsed="false">
      <c r="A32" s="138" t="n">
        <f aca="false">ExportRaw!$F32</f>
        <v>0</v>
      </c>
      <c r="B32" s="138" t="n">
        <f aca="false">ExportRaw!$C32</f>
        <v>0</v>
      </c>
      <c r="C32" s="138" t="n">
        <f aca="false">ExportRaw!$G32</f>
        <v>0</v>
      </c>
      <c r="D32" s="138" t="str">
        <f aca="false">ExportRaw!$E32</f>
        <v/>
      </c>
      <c r="E32" s="139" t="str">
        <f aca="false">ExportRaw!$D32</f>
        <v/>
      </c>
      <c r="F32" s="138" t="str">
        <f aca="false">ExportRaw!$H32</f>
        <v/>
      </c>
      <c r="G32" s="140" t="str">
        <f aca="false">ExportRaw!$I32</f>
        <v/>
      </c>
      <c r="H32" s="138" t="str">
        <f aca="false">ExportRaw!$A32</f>
        <v/>
      </c>
      <c r="I32" s="138" t="str">
        <f aca="false">ExportRaw!$B32</f>
        <v/>
      </c>
    </row>
    <row r="33" customFormat="false" ht="15.75" hidden="false" customHeight="false" outlineLevel="0" collapsed="false">
      <c r="A33" s="138" t="n">
        <f aca="false">ExportRaw!$F33</f>
        <v>0</v>
      </c>
      <c r="B33" s="138" t="n">
        <f aca="false">ExportRaw!$C33</f>
        <v>0</v>
      </c>
      <c r="C33" s="138" t="n">
        <f aca="false">ExportRaw!$G33</f>
        <v>0</v>
      </c>
      <c r="D33" s="138" t="str">
        <f aca="false">ExportRaw!$E33</f>
        <v/>
      </c>
      <c r="E33" s="139" t="str">
        <f aca="false">ExportRaw!$D33</f>
        <v/>
      </c>
      <c r="F33" s="138" t="str">
        <f aca="false">ExportRaw!$H33</f>
        <v/>
      </c>
      <c r="G33" s="140" t="str">
        <f aca="false">ExportRaw!$I33</f>
        <v/>
      </c>
      <c r="H33" s="138" t="str">
        <f aca="false">ExportRaw!$A33</f>
        <v/>
      </c>
      <c r="I33" s="138" t="str">
        <f aca="false">ExportRaw!$B33</f>
        <v/>
      </c>
    </row>
    <row r="34" customFormat="false" ht="15.75" hidden="false" customHeight="false" outlineLevel="0" collapsed="false">
      <c r="A34" s="138" t="n">
        <f aca="false">ExportRaw!$F34</f>
        <v>0</v>
      </c>
      <c r="B34" s="138" t="n">
        <f aca="false">ExportRaw!$C34</f>
        <v>0</v>
      </c>
      <c r="C34" s="138" t="n">
        <f aca="false">ExportRaw!$G34</f>
        <v>0</v>
      </c>
      <c r="D34" s="138" t="str">
        <f aca="false">ExportRaw!$E34</f>
        <v/>
      </c>
      <c r="E34" s="139" t="str">
        <f aca="false">ExportRaw!$D34</f>
        <v/>
      </c>
      <c r="F34" s="138" t="str">
        <f aca="false">ExportRaw!$H34</f>
        <v/>
      </c>
      <c r="G34" s="140" t="str">
        <f aca="false">ExportRaw!$I34</f>
        <v/>
      </c>
      <c r="H34" s="138" t="str">
        <f aca="false">ExportRaw!$A34</f>
        <v/>
      </c>
      <c r="I34" s="138" t="str">
        <f aca="false">ExportRaw!$B34</f>
        <v/>
      </c>
    </row>
    <row r="35" customFormat="false" ht="15.75" hidden="false" customHeight="false" outlineLevel="0" collapsed="false">
      <c r="A35" s="138" t="n">
        <f aca="false">ExportRaw!$F35</f>
        <v>0</v>
      </c>
      <c r="B35" s="138" t="n">
        <f aca="false">ExportRaw!$C35</f>
        <v>0</v>
      </c>
      <c r="C35" s="138" t="n">
        <f aca="false">ExportRaw!$G35</f>
        <v>0</v>
      </c>
      <c r="D35" s="138" t="str">
        <f aca="false">ExportRaw!$E35</f>
        <v/>
      </c>
      <c r="E35" s="139" t="str">
        <f aca="false">ExportRaw!$D35</f>
        <v/>
      </c>
      <c r="F35" s="138" t="str">
        <f aca="false">ExportRaw!$H35</f>
        <v/>
      </c>
      <c r="G35" s="140" t="str">
        <f aca="false">ExportRaw!$I35</f>
        <v/>
      </c>
      <c r="H35" s="138" t="str">
        <f aca="false">ExportRaw!$A35</f>
        <v/>
      </c>
      <c r="I35" s="138" t="str">
        <f aca="false">ExportRaw!$B35</f>
        <v/>
      </c>
    </row>
    <row r="36" customFormat="false" ht="15.75" hidden="false" customHeight="false" outlineLevel="0" collapsed="false">
      <c r="A36" s="138" t="n">
        <f aca="false">ExportRaw!$F36</f>
        <v>0</v>
      </c>
      <c r="B36" s="138" t="n">
        <f aca="false">ExportRaw!$C36</f>
        <v>0</v>
      </c>
      <c r="C36" s="138" t="n">
        <f aca="false">ExportRaw!$G36</f>
        <v>0</v>
      </c>
      <c r="D36" s="138" t="str">
        <f aca="false">ExportRaw!$E36</f>
        <v/>
      </c>
      <c r="E36" s="139" t="str">
        <f aca="false">ExportRaw!$D36</f>
        <v/>
      </c>
      <c r="F36" s="138" t="str">
        <f aca="false">ExportRaw!$H36</f>
        <v/>
      </c>
      <c r="G36" s="140" t="str">
        <f aca="false">ExportRaw!$I36</f>
        <v/>
      </c>
      <c r="H36" s="138" t="str">
        <f aca="false">ExportRaw!$A36</f>
        <v/>
      </c>
      <c r="I36" s="138" t="str">
        <f aca="false">ExportRaw!$B36</f>
        <v/>
      </c>
    </row>
    <row r="37" customFormat="false" ht="15.75" hidden="false" customHeight="false" outlineLevel="0" collapsed="false">
      <c r="A37" s="138" t="n">
        <f aca="false">ExportRaw!$F37</f>
        <v>0</v>
      </c>
      <c r="B37" s="138" t="n">
        <f aca="false">ExportRaw!$C37</f>
        <v>0</v>
      </c>
      <c r="C37" s="138" t="n">
        <f aca="false">ExportRaw!$G37</f>
        <v>0</v>
      </c>
      <c r="D37" s="138" t="str">
        <f aca="false">ExportRaw!$E37</f>
        <v/>
      </c>
      <c r="E37" s="139" t="str">
        <f aca="false">ExportRaw!$D37</f>
        <v/>
      </c>
      <c r="F37" s="138" t="str">
        <f aca="false">ExportRaw!$H37</f>
        <v/>
      </c>
      <c r="G37" s="140" t="str">
        <f aca="false">ExportRaw!$I37</f>
        <v/>
      </c>
      <c r="H37" s="138" t="str">
        <f aca="false">ExportRaw!$A37</f>
        <v/>
      </c>
      <c r="I37" s="138" t="str">
        <f aca="false">ExportRaw!$B37</f>
        <v/>
      </c>
    </row>
    <row r="38" customFormat="false" ht="15.75" hidden="false" customHeight="false" outlineLevel="0" collapsed="false">
      <c r="A38" s="138" t="n">
        <f aca="false">ExportRaw!$F38</f>
        <v>0</v>
      </c>
      <c r="B38" s="138" t="n">
        <f aca="false">ExportRaw!$C38</f>
        <v>0</v>
      </c>
      <c r="C38" s="138" t="n">
        <f aca="false">ExportRaw!$G38</f>
        <v>0</v>
      </c>
      <c r="D38" s="138" t="str">
        <f aca="false">ExportRaw!$E38</f>
        <v/>
      </c>
      <c r="E38" s="139" t="str">
        <f aca="false">ExportRaw!$D38</f>
        <v/>
      </c>
      <c r="F38" s="138" t="str">
        <f aca="false">ExportRaw!$H38</f>
        <v/>
      </c>
      <c r="G38" s="140" t="str">
        <f aca="false">ExportRaw!$I38</f>
        <v/>
      </c>
      <c r="H38" s="138" t="str">
        <f aca="false">ExportRaw!$A38</f>
        <v/>
      </c>
      <c r="I38" s="138" t="str">
        <f aca="false">ExportRaw!$B38</f>
        <v/>
      </c>
    </row>
    <row r="39" customFormat="false" ht="15.75" hidden="false" customHeight="false" outlineLevel="0" collapsed="false">
      <c r="A39" s="138" t="n">
        <f aca="false">ExportRaw!$F39</f>
        <v>0</v>
      </c>
      <c r="B39" s="138" t="n">
        <f aca="false">ExportRaw!$C39</f>
        <v>0</v>
      </c>
      <c r="C39" s="138" t="n">
        <f aca="false">ExportRaw!$G39</f>
        <v>0</v>
      </c>
      <c r="D39" s="138" t="str">
        <f aca="false">ExportRaw!$E39</f>
        <v/>
      </c>
      <c r="E39" s="139" t="str">
        <f aca="false">ExportRaw!$D39</f>
        <v/>
      </c>
      <c r="F39" s="138" t="str">
        <f aca="false">ExportRaw!$H39</f>
        <v/>
      </c>
      <c r="G39" s="140" t="str">
        <f aca="false">ExportRaw!$I39</f>
        <v/>
      </c>
      <c r="H39" s="138" t="str">
        <f aca="false">ExportRaw!$A39</f>
        <v/>
      </c>
      <c r="I39" s="138" t="str">
        <f aca="false">ExportRaw!$B39</f>
        <v/>
      </c>
    </row>
    <row r="40" customFormat="false" ht="15.75" hidden="false" customHeight="false" outlineLevel="0" collapsed="false">
      <c r="A40" s="138" t="n">
        <f aca="false">ExportRaw!$F40</f>
        <v>0</v>
      </c>
      <c r="B40" s="138" t="n">
        <f aca="false">ExportRaw!$C40</f>
        <v>0</v>
      </c>
      <c r="C40" s="138" t="n">
        <f aca="false">ExportRaw!$G40</f>
        <v>0</v>
      </c>
      <c r="D40" s="138" t="str">
        <f aca="false">ExportRaw!$E40</f>
        <v/>
      </c>
      <c r="E40" s="139" t="str">
        <f aca="false">ExportRaw!$D40</f>
        <v/>
      </c>
      <c r="F40" s="138" t="str">
        <f aca="false">ExportRaw!$H40</f>
        <v/>
      </c>
      <c r="G40" s="140" t="str">
        <f aca="false">ExportRaw!$I40</f>
        <v/>
      </c>
      <c r="H40" s="138" t="str">
        <f aca="false">ExportRaw!$A40</f>
        <v/>
      </c>
      <c r="I40" s="138" t="str">
        <f aca="false">ExportRaw!$B40</f>
        <v/>
      </c>
    </row>
    <row r="41" customFormat="false" ht="15.75" hidden="false" customHeight="false" outlineLevel="0" collapsed="false">
      <c r="A41" s="138" t="n">
        <f aca="false">ExportRaw!$F41</f>
        <v>0</v>
      </c>
      <c r="B41" s="138" t="n">
        <f aca="false">ExportRaw!$C41</f>
        <v>0</v>
      </c>
      <c r="C41" s="138" t="n">
        <f aca="false">ExportRaw!$G41</f>
        <v>0</v>
      </c>
      <c r="D41" s="138" t="str">
        <f aca="false">ExportRaw!$E41</f>
        <v/>
      </c>
      <c r="E41" s="139" t="str">
        <f aca="false">ExportRaw!$D41</f>
        <v/>
      </c>
      <c r="F41" s="138" t="str">
        <f aca="false">ExportRaw!$H41</f>
        <v/>
      </c>
      <c r="G41" s="140" t="str">
        <f aca="false">ExportRaw!$I41</f>
        <v/>
      </c>
      <c r="H41" s="138" t="str">
        <f aca="false">ExportRaw!$A41</f>
        <v/>
      </c>
      <c r="I41" s="138" t="str">
        <f aca="false">ExportRaw!$B41</f>
        <v/>
      </c>
    </row>
    <row r="42" customFormat="false" ht="15.75" hidden="false" customHeight="false" outlineLevel="0" collapsed="false">
      <c r="A42" s="138" t="n">
        <f aca="false">ExportRaw!$F42</f>
        <v>0</v>
      </c>
      <c r="B42" s="138" t="n">
        <f aca="false">ExportRaw!$C42</f>
        <v>0</v>
      </c>
      <c r="C42" s="138" t="n">
        <f aca="false">ExportRaw!$G42</f>
        <v>0</v>
      </c>
      <c r="D42" s="138" t="str">
        <f aca="false">ExportRaw!$E42</f>
        <v/>
      </c>
      <c r="E42" s="139" t="str">
        <f aca="false">ExportRaw!$D42</f>
        <v/>
      </c>
      <c r="F42" s="138" t="str">
        <f aca="false">ExportRaw!$H42</f>
        <v/>
      </c>
      <c r="G42" s="140" t="str">
        <f aca="false">ExportRaw!$I42</f>
        <v/>
      </c>
      <c r="H42" s="138" t="str">
        <f aca="false">ExportRaw!$A42</f>
        <v/>
      </c>
      <c r="I42" s="138" t="str">
        <f aca="false">ExportRaw!$B42</f>
        <v/>
      </c>
    </row>
    <row r="43" customFormat="false" ht="15.75" hidden="false" customHeight="false" outlineLevel="0" collapsed="false">
      <c r="A43" s="138" t="n">
        <f aca="false">ExportRaw!$F43</f>
        <v>0</v>
      </c>
      <c r="B43" s="138" t="n">
        <f aca="false">ExportRaw!$C43</f>
        <v>0</v>
      </c>
      <c r="C43" s="138" t="n">
        <f aca="false">ExportRaw!$G43</f>
        <v>0</v>
      </c>
      <c r="D43" s="138" t="str">
        <f aca="false">ExportRaw!$E43</f>
        <v/>
      </c>
      <c r="E43" s="139" t="str">
        <f aca="false">ExportRaw!$D43</f>
        <v/>
      </c>
      <c r="F43" s="138" t="str">
        <f aca="false">ExportRaw!$H43</f>
        <v/>
      </c>
      <c r="G43" s="140" t="str">
        <f aca="false">ExportRaw!$I43</f>
        <v/>
      </c>
      <c r="H43" s="138" t="str">
        <f aca="false">ExportRaw!$A43</f>
        <v/>
      </c>
      <c r="I43" s="138" t="str">
        <f aca="false">ExportRaw!$B43</f>
        <v/>
      </c>
    </row>
    <row r="44" customFormat="false" ht="15.75" hidden="false" customHeight="false" outlineLevel="0" collapsed="false">
      <c r="A44" s="138" t="n">
        <f aca="false">ExportRaw!$F44</f>
        <v>0</v>
      </c>
      <c r="B44" s="138" t="n">
        <f aca="false">ExportRaw!$C44</f>
        <v>0</v>
      </c>
      <c r="C44" s="138" t="n">
        <f aca="false">ExportRaw!$G44</f>
        <v>0</v>
      </c>
      <c r="D44" s="138" t="str">
        <f aca="false">ExportRaw!$E44</f>
        <v/>
      </c>
      <c r="E44" s="139" t="str">
        <f aca="false">ExportRaw!$D44</f>
        <v/>
      </c>
      <c r="F44" s="138" t="str">
        <f aca="false">ExportRaw!$H44</f>
        <v/>
      </c>
      <c r="G44" s="140" t="str">
        <f aca="false">ExportRaw!$I44</f>
        <v/>
      </c>
      <c r="H44" s="138" t="str">
        <f aca="false">ExportRaw!$A44</f>
        <v/>
      </c>
      <c r="I44" s="138" t="str">
        <f aca="false">ExportRaw!$B44</f>
        <v/>
      </c>
    </row>
    <row r="45" customFormat="false" ht="15.75" hidden="false" customHeight="false" outlineLevel="0" collapsed="false">
      <c r="A45" s="138" t="n">
        <f aca="false">ExportRaw!$F45</f>
        <v>0</v>
      </c>
      <c r="B45" s="138" t="n">
        <f aca="false">ExportRaw!$C45</f>
        <v>0</v>
      </c>
      <c r="C45" s="138" t="n">
        <f aca="false">ExportRaw!$G45</f>
        <v>0</v>
      </c>
      <c r="D45" s="138" t="str">
        <f aca="false">ExportRaw!$E45</f>
        <v/>
      </c>
      <c r="E45" s="139" t="str">
        <f aca="false">ExportRaw!$D45</f>
        <v/>
      </c>
      <c r="F45" s="138" t="str">
        <f aca="false">ExportRaw!$H45</f>
        <v/>
      </c>
      <c r="G45" s="140" t="str">
        <f aca="false">ExportRaw!$I45</f>
        <v/>
      </c>
      <c r="H45" s="138" t="str">
        <f aca="false">ExportRaw!$A45</f>
        <v/>
      </c>
      <c r="I45" s="138" t="str">
        <f aca="false">ExportRaw!$B45</f>
        <v/>
      </c>
    </row>
    <row r="46" customFormat="false" ht="15.75" hidden="false" customHeight="false" outlineLevel="0" collapsed="false">
      <c r="A46" s="138" t="n">
        <f aca="false">ExportRaw!$F46</f>
        <v>0</v>
      </c>
      <c r="B46" s="138" t="n">
        <f aca="false">ExportRaw!$C46</f>
        <v>0</v>
      </c>
      <c r="C46" s="138" t="n">
        <f aca="false">ExportRaw!$G46</f>
        <v>0</v>
      </c>
      <c r="D46" s="138" t="str">
        <f aca="false">ExportRaw!$E46</f>
        <v/>
      </c>
      <c r="E46" s="139" t="str">
        <f aca="false">ExportRaw!$D46</f>
        <v/>
      </c>
      <c r="F46" s="138" t="str">
        <f aca="false">ExportRaw!$H46</f>
        <v/>
      </c>
      <c r="G46" s="140" t="str">
        <f aca="false">ExportRaw!$I46</f>
        <v/>
      </c>
      <c r="H46" s="138" t="str">
        <f aca="false">ExportRaw!$A46</f>
        <v/>
      </c>
      <c r="I46" s="138" t="str">
        <f aca="false">ExportRaw!$B46</f>
        <v/>
      </c>
    </row>
    <row r="47" customFormat="false" ht="15.75" hidden="false" customHeight="false" outlineLevel="0" collapsed="false">
      <c r="A47" s="138" t="n">
        <f aca="false">ExportRaw!$F47</f>
        <v>0</v>
      </c>
      <c r="B47" s="138" t="n">
        <f aca="false">ExportRaw!$C47</f>
        <v>0</v>
      </c>
      <c r="C47" s="138" t="n">
        <f aca="false">ExportRaw!$G47</f>
        <v>0</v>
      </c>
      <c r="D47" s="138" t="str">
        <f aca="false">ExportRaw!$E47</f>
        <v/>
      </c>
      <c r="E47" s="139" t="str">
        <f aca="false">ExportRaw!$D47</f>
        <v/>
      </c>
      <c r="F47" s="138" t="str">
        <f aca="false">ExportRaw!$H47</f>
        <v/>
      </c>
      <c r="G47" s="140" t="str">
        <f aca="false">ExportRaw!$I47</f>
        <v/>
      </c>
      <c r="H47" s="138" t="str">
        <f aca="false">ExportRaw!$A47</f>
        <v/>
      </c>
      <c r="I47" s="138" t="str">
        <f aca="false">ExportRaw!$B47</f>
        <v/>
      </c>
    </row>
    <row r="48" customFormat="false" ht="15.75" hidden="false" customHeight="false" outlineLevel="0" collapsed="false">
      <c r="A48" s="138" t="n">
        <f aca="false">ExportRaw!$F48</f>
        <v>0</v>
      </c>
      <c r="B48" s="138" t="n">
        <f aca="false">ExportRaw!$C48</f>
        <v>0</v>
      </c>
      <c r="C48" s="138" t="n">
        <f aca="false">ExportRaw!$G48</f>
        <v>0</v>
      </c>
      <c r="D48" s="138" t="str">
        <f aca="false">ExportRaw!$E48</f>
        <v/>
      </c>
      <c r="E48" s="139" t="str">
        <f aca="false">ExportRaw!$D48</f>
        <v/>
      </c>
      <c r="F48" s="138" t="str">
        <f aca="false">ExportRaw!$H48</f>
        <v/>
      </c>
      <c r="G48" s="140" t="str">
        <f aca="false">ExportRaw!$I48</f>
        <v/>
      </c>
      <c r="H48" s="138" t="str">
        <f aca="false">ExportRaw!$A48</f>
        <v/>
      </c>
      <c r="I48" s="138" t="str">
        <f aca="false">ExportRaw!$B48</f>
        <v/>
      </c>
    </row>
    <row r="49" customFormat="false" ht="15.75" hidden="false" customHeight="false" outlineLevel="0" collapsed="false">
      <c r="A49" s="138" t="n">
        <f aca="false">ExportRaw!$F49</f>
        <v>0</v>
      </c>
      <c r="B49" s="138" t="n">
        <f aca="false">ExportRaw!$C49</f>
        <v>0</v>
      </c>
      <c r="C49" s="138" t="n">
        <f aca="false">ExportRaw!$G49</f>
        <v>0</v>
      </c>
      <c r="D49" s="138" t="str">
        <f aca="false">ExportRaw!$E49</f>
        <v/>
      </c>
      <c r="E49" s="139" t="str">
        <f aca="false">ExportRaw!$D49</f>
        <v/>
      </c>
      <c r="F49" s="138" t="str">
        <f aca="false">ExportRaw!$H49</f>
        <v/>
      </c>
      <c r="G49" s="140" t="str">
        <f aca="false">ExportRaw!$I49</f>
        <v/>
      </c>
      <c r="H49" s="138" t="str">
        <f aca="false">ExportRaw!$A49</f>
        <v/>
      </c>
      <c r="I49" s="138" t="str">
        <f aca="false">ExportRaw!$B49</f>
        <v/>
      </c>
    </row>
    <row r="50" customFormat="false" ht="15.75" hidden="false" customHeight="false" outlineLevel="0" collapsed="false">
      <c r="A50" s="138" t="n">
        <f aca="false">ExportRaw!$F50</f>
        <v>0</v>
      </c>
      <c r="B50" s="138" t="n">
        <f aca="false">ExportRaw!$C50</f>
        <v>0</v>
      </c>
      <c r="C50" s="138" t="n">
        <f aca="false">ExportRaw!$G50</f>
        <v>0</v>
      </c>
      <c r="D50" s="138" t="str">
        <f aca="false">ExportRaw!$E50</f>
        <v/>
      </c>
      <c r="E50" s="139" t="str">
        <f aca="false">ExportRaw!$D50</f>
        <v/>
      </c>
      <c r="F50" s="138" t="str">
        <f aca="false">ExportRaw!$H50</f>
        <v/>
      </c>
      <c r="G50" s="140" t="str">
        <f aca="false">ExportRaw!$I50</f>
        <v/>
      </c>
      <c r="H50" s="138" t="str">
        <f aca="false">ExportRaw!$A50</f>
        <v/>
      </c>
      <c r="I50" s="138" t="str">
        <f aca="false">ExportRaw!$B50</f>
        <v/>
      </c>
    </row>
    <row r="51" customFormat="false" ht="15.75" hidden="false" customHeight="false" outlineLevel="0" collapsed="false">
      <c r="A51" s="138" t="n">
        <f aca="false">ExportRaw!$F51</f>
        <v>0</v>
      </c>
      <c r="B51" s="138" t="n">
        <f aca="false">ExportRaw!$C51</f>
        <v>0</v>
      </c>
      <c r="C51" s="138" t="n">
        <f aca="false">ExportRaw!$G51</f>
        <v>0</v>
      </c>
      <c r="D51" s="138" t="str">
        <f aca="false">ExportRaw!$E51</f>
        <v/>
      </c>
      <c r="E51" s="139" t="str">
        <f aca="false">ExportRaw!$D51</f>
        <v/>
      </c>
      <c r="F51" s="138" t="str">
        <f aca="false">ExportRaw!$H51</f>
        <v/>
      </c>
      <c r="G51" s="140" t="str">
        <f aca="false">ExportRaw!$I51</f>
        <v/>
      </c>
      <c r="H51" s="138" t="str">
        <f aca="false">ExportRaw!$A51</f>
        <v/>
      </c>
      <c r="I51" s="138" t="str">
        <f aca="false">ExportRaw!$B51</f>
        <v/>
      </c>
    </row>
    <row r="52" customFormat="false" ht="15.75" hidden="false" customHeight="false" outlineLevel="0" collapsed="false">
      <c r="A52" s="138" t="n">
        <f aca="false">ExportRaw!$F52</f>
        <v>0</v>
      </c>
      <c r="B52" s="138" t="n">
        <f aca="false">ExportRaw!$C52</f>
        <v>0</v>
      </c>
      <c r="C52" s="138" t="n">
        <f aca="false">ExportRaw!$G52</f>
        <v>0</v>
      </c>
      <c r="D52" s="138" t="str">
        <f aca="false">ExportRaw!$E52</f>
        <v/>
      </c>
      <c r="E52" s="139" t="str">
        <f aca="false">ExportRaw!$D52</f>
        <v/>
      </c>
      <c r="F52" s="138" t="str">
        <f aca="false">ExportRaw!$H52</f>
        <v/>
      </c>
      <c r="G52" s="140" t="str">
        <f aca="false">ExportRaw!$I52</f>
        <v/>
      </c>
      <c r="H52" s="138" t="str">
        <f aca="false">ExportRaw!$A52</f>
        <v/>
      </c>
      <c r="I52" s="138" t="str">
        <f aca="false">ExportRaw!$B52</f>
        <v/>
      </c>
    </row>
    <row r="53" customFormat="false" ht="15.75" hidden="false" customHeight="false" outlineLevel="0" collapsed="false">
      <c r="A53" s="138" t="n">
        <f aca="false">ExportRaw!$F53</f>
        <v>0</v>
      </c>
      <c r="B53" s="138" t="n">
        <f aca="false">ExportRaw!$C53</f>
        <v>0</v>
      </c>
      <c r="C53" s="138" t="n">
        <f aca="false">ExportRaw!$G53</f>
        <v>0</v>
      </c>
      <c r="D53" s="138" t="str">
        <f aca="false">ExportRaw!$E53</f>
        <v/>
      </c>
      <c r="E53" s="139" t="str">
        <f aca="false">ExportRaw!$D53</f>
        <v/>
      </c>
      <c r="F53" s="138" t="str">
        <f aca="false">ExportRaw!$H53</f>
        <v/>
      </c>
      <c r="G53" s="140" t="str">
        <f aca="false">ExportRaw!$I53</f>
        <v/>
      </c>
      <c r="H53" s="138" t="str">
        <f aca="false">ExportRaw!$A53</f>
        <v/>
      </c>
      <c r="I53" s="138" t="str">
        <f aca="false">ExportRaw!$B53</f>
        <v/>
      </c>
    </row>
    <row r="54" customFormat="false" ht="15.75" hidden="false" customHeight="false" outlineLevel="0" collapsed="false">
      <c r="A54" s="138" t="n">
        <f aca="false">ExportRaw!$F54</f>
        <v>0</v>
      </c>
      <c r="B54" s="138" t="n">
        <f aca="false">ExportRaw!$C54</f>
        <v>0</v>
      </c>
      <c r="C54" s="138" t="n">
        <f aca="false">ExportRaw!$G54</f>
        <v>0</v>
      </c>
      <c r="D54" s="138" t="str">
        <f aca="false">ExportRaw!$E54</f>
        <v/>
      </c>
      <c r="E54" s="139" t="str">
        <f aca="false">ExportRaw!$D54</f>
        <v/>
      </c>
      <c r="F54" s="138" t="str">
        <f aca="false">ExportRaw!$H54</f>
        <v/>
      </c>
      <c r="G54" s="140" t="str">
        <f aca="false">ExportRaw!$I54</f>
        <v/>
      </c>
      <c r="H54" s="138" t="str">
        <f aca="false">ExportRaw!$A54</f>
        <v/>
      </c>
      <c r="I54" s="138" t="str">
        <f aca="false">ExportRaw!$B54</f>
        <v/>
      </c>
    </row>
    <row r="55" customFormat="false" ht="15.75" hidden="false" customHeight="false" outlineLevel="0" collapsed="false">
      <c r="A55" s="138" t="n">
        <f aca="false">ExportRaw!$F55</f>
        <v>0</v>
      </c>
      <c r="B55" s="138" t="n">
        <f aca="false">ExportRaw!$C55</f>
        <v>0</v>
      </c>
      <c r="C55" s="138" t="n">
        <f aca="false">ExportRaw!$G55</f>
        <v>0</v>
      </c>
      <c r="D55" s="138" t="str">
        <f aca="false">ExportRaw!$E55</f>
        <v/>
      </c>
      <c r="E55" s="139" t="str">
        <f aca="false">ExportRaw!$D55</f>
        <v/>
      </c>
      <c r="F55" s="138" t="str">
        <f aca="false">ExportRaw!$H55</f>
        <v/>
      </c>
      <c r="G55" s="140" t="str">
        <f aca="false">ExportRaw!$I55</f>
        <v/>
      </c>
      <c r="H55" s="138" t="str">
        <f aca="false">ExportRaw!$A55</f>
        <v/>
      </c>
      <c r="I55" s="138" t="str">
        <f aca="false">ExportRaw!$B55</f>
        <v/>
      </c>
    </row>
    <row r="56" customFormat="false" ht="15.75" hidden="false" customHeight="false" outlineLevel="0" collapsed="false">
      <c r="A56" s="138" t="n">
        <f aca="false">ExportRaw!$F56</f>
        <v>0</v>
      </c>
      <c r="B56" s="138" t="n">
        <f aca="false">ExportRaw!$C56</f>
        <v>0</v>
      </c>
      <c r="C56" s="138" t="n">
        <f aca="false">ExportRaw!$G56</f>
        <v>0</v>
      </c>
      <c r="D56" s="138" t="str">
        <f aca="false">ExportRaw!$E56</f>
        <v/>
      </c>
      <c r="E56" s="139" t="str">
        <f aca="false">ExportRaw!$D56</f>
        <v/>
      </c>
      <c r="F56" s="138" t="str">
        <f aca="false">ExportRaw!$H56</f>
        <v/>
      </c>
      <c r="G56" s="140" t="str">
        <f aca="false">ExportRaw!$I56</f>
        <v/>
      </c>
      <c r="H56" s="138" t="str">
        <f aca="false">ExportRaw!$A56</f>
        <v/>
      </c>
      <c r="I56" s="138" t="str">
        <f aca="false">ExportRaw!$B56</f>
        <v/>
      </c>
    </row>
    <row r="57" customFormat="false" ht="15.75" hidden="false" customHeight="false" outlineLevel="0" collapsed="false">
      <c r="A57" s="138" t="n">
        <f aca="false">ExportRaw!$F57</f>
        <v>0</v>
      </c>
      <c r="B57" s="138" t="n">
        <f aca="false">ExportRaw!$C57</f>
        <v>0</v>
      </c>
      <c r="C57" s="138" t="n">
        <f aca="false">ExportRaw!$G57</f>
        <v>0</v>
      </c>
      <c r="D57" s="138" t="str">
        <f aca="false">ExportRaw!$E57</f>
        <v/>
      </c>
      <c r="E57" s="139" t="str">
        <f aca="false">ExportRaw!$D57</f>
        <v/>
      </c>
      <c r="F57" s="138" t="str">
        <f aca="false">ExportRaw!$H57</f>
        <v/>
      </c>
      <c r="G57" s="140" t="str">
        <f aca="false">ExportRaw!$I57</f>
        <v/>
      </c>
      <c r="H57" s="138" t="str">
        <f aca="false">ExportRaw!$A57</f>
        <v/>
      </c>
      <c r="I57" s="138" t="str">
        <f aca="false">ExportRaw!$B57</f>
        <v/>
      </c>
    </row>
    <row r="58" customFormat="false" ht="15.75" hidden="false" customHeight="false" outlineLevel="0" collapsed="false">
      <c r="A58" s="138" t="n">
        <f aca="false">ExportRaw!$F58</f>
        <v>0</v>
      </c>
      <c r="B58" s="138" t="n">
        <f aca="false">ExportRaw!$C58</f>
        <v>0</v>
      </c>
      <c r="C58" s="138" t="n">
        <f aca="false">ExportRaw!$G58</f>
        <v>0</v>
      </c>
      <c r="D58" s="138" t="str">
        <f aca="false">ExportRaw!$E58</f>
        <v/>
      </c>
      <c r="E58" s="139" t="str">
        <f aca="false">ExportRaw!$D58</f>
        <v/>
      </c>
      <c r="F58" s="138" t="str">
        <f aca="false">ExportRaw!$H58</f>
        <v/>
      </c>
      <c r="G58" s="140" t="str">
        <f aca="false">ExportRaw!$I58</f>
        <v/>
      </c>
      <c r="H58" s="138" t="str">
        <f aca="false">ExportRaw!$A58</f>
        <v/>
      </c>
      <c r="I58" s="138" t="str">
        <f aca="false">ExportRaw!$B58</f>
        <v/>
      </c>
    </row>
    <row r="59" customFormat="false" ht="15.75" hidden="false" customHeight="false" outlineLevel="0" collapsed="false">
      <c r="A59" s="138" t="n">
        <f aca="false">ExportRaw!$F59</f>
        <v>0</v>
      </c>
      <c r="B59" s="138" t="n">
        <f aca="false">ExportRaw!$C59</f>
        <v>0</v>
      </c>
      <c r="C59" s="138" t="n">
        <f aca="false">ExportRaw!$G59</f>
        <v>0</v>
      </c>
      <c r="D59" s="138" t="str">
        <f aca="false">ExportRaw!$E59</f>
        <v/>
      </c>
      <c r="E59" s="139" t="str">
        <f aca="false">ExportRaw!$D59</f>
        <v/>
      </c>
      <c r="F59" s="138" t="str">
        <f aca="false">ExportRaw!$H59</f>
        <v/>
      </c>
      <c r="G59" s="140" t="str">
        <f aca="false">ExportRaw!$I59</f>
        <v/>
      </c>
      <c r="H59" s="138" t="str">
        <f aca="false">ExportRaw!$A59</f>
        <v/>
      </c>
      <c r="I59" s="138" t="str">
        <f aca="false">ExportRaw!$B59</f>
        <v/>
      </c>
    </row>
    <row r="60" customFormat="false" ht="15.75" hidden="false" customHeight="false" outlineLevel="0" collapsed="false">
      <c r="A60" s="138" t="n">
        <f aca="false">ExportRaw!$F60</f>
        <v>0</v>
      </c>
      <c r="B60" s="138" t="n">
        <f aca="false">ExportRaw!$C60</f>
        <v>0</v>
      </c>
      <c r="C60" s="138" t="n">
        <f aca="false">ExportRaw!$G60</f>
        <v>0</v>
      </c>
      <c r="D60" s="138" t="str">
        <f aca="false">ExportRaw!$E60</f>
        <v/>
      </c>
      <c r="E60" s="139" t="str">
        <f aca="false">ExportRaw!$D60</f>
        <v/>
      </c>
      <c r="F60" s="138" t="str">
        <f aca="false">ExportRaw!$H60</f>
        <v/>
      </c>
      <c r="G60" s="140" t="str">
        <f aca="false">ExportRaw!$I60</f>
        <v/>
      </c>
      <c r="H60" s="138" t="str">
        <f aca="false">ExportRaw!$A60</f>
        <v/>
      </c>
      <c r="I60" s="138" t="str">
        <f aca="false">ExportRaw!$B60</f>
        <v/>
      </c>
    </row>
    <row r="61" customFormat="false" ht="15.75" hidden="false" customHeight="false" outlineLevel="0" collapsed="false">
      <c r="A61" s="138" t="n">
        <f aca="false">ExportRaw!$F61</f>
        <v>0</v>
      </c>
      <c r="B61" s="138" t="n">
        <f aca="false">ExportRaw!$C61</f>
        <v>0</v>
      </c>
      <c r="C61" s="138" t="n">
        <f aca="false">ExportRaw!$G61</f>
        <v>0</v>
      </c>
      <c r="D61" s="138" t="str">
        <f aca="false">ExportRaw!$E61</f>
        <v/>
      </c>
      <c r="E61" s="139" t="str">
        <f aca="false">ExportRaw!$D61</f>
        <v/>
      </c>
      <c r="F61" s="138" t="str">
        <f aca="false">ExportRaw!$H61</f>
        <v/>
      </c>
      <c r="G61" s="140" t="str">
        <f aca="false">ExportRaw!$I61</f>
        <v/>
      </c>
      <c r="H61" s="138" t="str">
        <f aca="false">ExportRaw!$A61</f>
        <v/>
      </c>
      <c r="I61" s="138" t="str">
        <f aca="false">ExportRaw!$B61</f>
        <v/>
      </c>
    </row>
    <row r="62" customFormat="false" ht="15.75" hidden="false" customHeight="false" outlineLevel="0" collapsed="false">
      <c r="A62" s="138" t="n">
        <f aca="false">ExportRaw!$F62</f>
        <v>0</v>
      </c>
      <c r="B62" s="138" t="n">
        <f aca="false">ExportRaw!$C62</f>
        <v>0</v>
      </c>
      <c r="C62" s="138" t="n">
        <f aca="false">ExportRaw!$G62</f>
        <v>0</v>
      </c>
      <c r="D62" s="138" t="str">
        <f aca="false">ExportRaw!$E62</f>
        <v/>
      </c>
      <c r="E62" s="139" t="str">
        <f aca="false">ExportRaw!$D62</f>
        <v/>
      </c>
      <c r="F62" s="138" t="str">
        <f aca="false">ExportRaw!$H62</f>
        <v/>
      </c>
      <c r="G62" s="140" t="str">
        <f aca="false">ExportRaw!$I62</f>
        <v/>
      </c>
      <c r="H62" s="138" t="str">
        <f aca="false">ExportRaw!$A62</f>
        <v/>
      </c>
      <c r="I62" s="138" t="str">
        <f aca="false">ExportRaw!$B62</f>
        <v/>
      </c>
    </row>
    <row r="63" customFormat="false" ht="15.75" hidden="false" customHeight="false" outlineLevel="0" collapsed="false">
      <c r="A63" s="138" t="n">
        <f aca="false">ExportRaw!$F63</f>
        <v>0</v>
      </c>
      <c r="B63" s="138" t="n">
        <f aca="false">ExportRaw!$C63</f>
        <v>0</v>
      </c>
      <c r="C63" s="138" t="n">
        <f aca="false">ExportRaw!$G63</f>
        <v>0</v>
      </c>
      <c r="D63" s="138" t="str">
        <f aca="false">ExportRaw!$E63</f>
        <v/>
      </c>
      <c r="E63" s="139" t="str">
        <f aca="false">ExportRaw!$D63</f>
        <v/>
      </c>
      <c r="F63" s="138" t="str">
        <f aca="false">ExportRaw!$H63</f>
        <v/>
      </c>
      <c r="G63" s="140" t="str">
        <f aca="false">ExportRaw!$I63</f>
        <v/>
      </c>
      <c r="H63" s="138" t="str">
        <f aca="false">ExportRaw!$A63</f>
        <v/>
      </c>
      <c r="I63" s="138" t="str">
        <f aca="false">ExportRaw!$B63</f>
        <v/>
      </c>
    </row>
    <row r="64" customFormat="false" ht="15.75" hidden="false" customHeight="false" outlineLevel="0" collapsed="false">
      <c r="A64" s="138" t="n">
        <f aca="false">ExportRaw!$F64</f>
        <v>0</v>
      </c>
      <c r="B64" s="138" t="n">
        <f aca="false">ExportRaw!$C64</f>
        <v>0</v>
      </c>
      <c r="C64" s="138" t="n">
        <f aca="false">ExportRaw!$G64</f>
        <v>0</v>
      </c>
      <c r="D64" s="138" t="str">
        <f aca="false">ExportRaw!$E64</f>
        <v/>
      </c>
      <c r="E64" s="139" t="str">
        <f aca="false">ExportRaw!$D64</f>
        <v/>
      </c>
      <c r="F64" s="138" t="str">
        <f aca="false">ExportRaw!$H64</f>
        <v/>
      </c>
      <c r="G64" s="140" t="str">
        <f aca="false">ExportRaw!$I64</f>
        <v/>
      </c>
      <c r="H64" s="138" t="str">
        <f aca="false">ExportRaw!$A64</f>
        <v/>
      </c>
      <c r="I64" s="138" t="str">
        <f aca="false">ExportRaw!$B64</f>
        <v/>
      </c>
    </row>
    <row r="65" customFormat="false" ht="15.75" hidden="false" customHeight="false" outlineLevel="0" collapsed="false">
      <c r="A65" s="138" t="n">
        <f aca="false">ExportRaw!$F65</f>
        <v>0</v>
      </c>
      <c r="B65" s="138" t="n">
        <f aca="false">ExportRaw!$C65</f>
        <v>0</v>
      </c>
      <c r="C65" s="138" t="n">
        <f aca="false">ExportRaw!$G65</f>
        <v>0</v>
      </c>
      <c r="D65" s="138" t="str">
        <f aca="false">ExportRaw!$E65</f>
        <v/>
      </c>
      <c r="E65" s="139" t="str">
        <f aca="false">ExportRaw!$D65</f>
        <v/>
      </c>
      <c r="F65" s="138" t="str">
        <f aca="false">ExportRaw!$H65</f>
        <v/>
      </c>
      <c r="G65" s="140" t="str">
        <f aca="false">ExportRaw!$I65</f>
        <v/>
      </c>
      <c r="H65" s="138" t="str">
        <f aca="false">ExportRaw!$A65</f>
        <v/>
      </c>
      <c r="I65" s="138" t="str">
        <f aca="false">ExportRaw!$B65</f>
        <v/>
      </c>
    </row>
    <row r="66" customFormat="false" ht="15.75" hidden="false" customHeight="false" outlineLevel="0" collapsed="false">
      <c r="A66" s="138" t="n">
        <f aca="false">ExportRaw!$F66</f>
        <v>0</v>
      </c>
      <c r="B66" s="138" t="n">
        <f aca="false">ExportRaw!$C66</f>
        <v>0</v>
      </c>
      <c r="C66" s="138" t="n">
        <f aca="false">ExportRaw!$G66</f>
        <v>0</v>
      </c>
      <c r="D66" s="138" t="str">
        <f aca="false">ExportRaw!$E66</f>
        <v/>
      </c>
      <c r="E66" s="139" t="str">
        <f aca="false">ExportRaw!$D66</f>
        <v/>
      </c>
      <c r="F66" s="138" t="str">
        <f aca="false">ExportRaw!$H66</f>
        <v/>
      </c>
      <c r="G66" s="140" t="str">
        <f aca="false">ExportRaw!$I66</f>
        <v/>
      </c>
      <c r="H66" s="138" t="str">
        <f aca="false">ExportRaw!$A66</f>
        <v/>
      </c>
      <c r="I66" s="138" t="str">
        <f aca="false">ExportRaw!$B66</f>
        <v/>
      </c>
    </row>
    <row r="67" customFormat="false" ht="15.75" hidden="false" customHeight="false" outlineLevel="0" collapsed="false">
      <c r="A67" s="138" t="n">
        <f aca="false">ExportRaw!$F67</f>
        <v>0</v>
      </c>
      <c r="B67" s="138" t="n">
        <f aca="false">ExportRaw!$C67</f>
        <v>0</v>
      </c>
      <c r="C67" s="138" t="n">
        <f aca="false">ExportRaw!$G67</f>
        <v>0</v>
      </c>
      <c r="D67" s="138" t="str">
        <f aca="false">ExportRaw!$E67</f>
        <v/>
      </c>
      <c r="E67" s="139" t="str">
        <f aca="false">ExportRaw!$D67</f>
        <v/>
      </c>
      <c r="F67" s="138" t="str">
        <f aca="false">ExportRaw!$H67</f>
        <v/>
      </c>
      <c r="G67" s="140" t="str">
        <f aca="false">ExportRaw!$I67</f>
        <v/>
      </c>
      <c r="H67" s="138" t="str">
        <f aca="false">ExportRaw!$A67</f>
        <v/>
      </c>
      <c r="I67" s="138" t="str">
        <f aca="false">ExportRaw!$B67</f>
        <v/>
      </c>
    </row>
    <row r="68" customFormat="false" ht="15.75" hidden="false" customHeight="false" outlineLevel="0" collapsed="false">
      <c r="A68" s="138" t="n">
        <f aca="false">ExportRaw!$F68</f>
        <v>0</v>
      </c>
      <c r="B68" s="138" t="n">
        <f aca="false">ExportRaw!$C68</f>
        <v>0</v>
      </c>
      <c r="C68" s="138" t="n">
        <f aca="false">ExportRaw!$G68</f>
        <v>0</v>
      </c>
      <c r="D68" s="138" t="str">
        <f aca="false">ExportRaw!$E68</f>
        <v/>
      </c>
      <c r="E68" s="139" t="str">
        <f aca="false">ExportRaw!$D68</f>
        <v/>
      </c>
      <c r="F68" s="138" t="str">
        <f aca="false">ExportRaw!$H68</f>
        <v/>
      </c>
      <c r="G68" s="140" t="str">
        <f aca="false">ExportRaw!$I68</f>
        <v/>
      </c>
      <c r="H68" s="138" t="str">
        <f aca="false">ExportRaw!$A68</f>
        <v/>
      </c>
      <c r="I68" s="138" t="str">
        <f aca="false">ExportRaw!$B68</f>
        <v/>
      </c>
    </row>
    <row r="69" customFormat="false" ht="15.75" hidden="false" customHeight="false" outlineLevel="0" collapsed="false">
      <c r="A69" s="138" t="n">
        <f aca="false">ExportRaw!$F69</f>
        <v>0</v>
      </c>
      <c r="B69" s="138" t="n">
        <f aca="false">ExportRaw!$C69</f>
        <v>0</v>
      </c>
      <c r="C69" s="138" t="n">
        <f aca="false">ExportRaw!$G69</f>
        <v>0</v>
      </c>
      <c r="D69" s="138" t="str">
        <f aca="false">ExportRaw!$E69</f>
        <v/>
      </c>
      <c r="E69" s="139" t="str">
        <f aca="false">ExportRaw!$D69</f>
        <v/>
      </c>
      <c r="F69" s="138" t="str">
        <f aca="false">ExportRaw!$H69</f>
        <v/>
      </c>
      <c r="G69" s="140" t="str">
        <f aca="false">ExportRaw!$I69</f>
        <v/>
      </c>
      <c r="H69" s="138" t="str">
        <f aca="false">ExportRaw!$A69</f>
        <v/>
      </c>
      <c r="I69" s="138" t="str">
        <f aca="false">ExportRaw!$B69</f>
        <v/>
      </c>
    </row>
    <row r="70" customFormat="false" ht="15.75" hidden="false" customHeight="false" outlineLevel="0" collapsed="false">
      <c r="A70" s="138" t="n">
        <f aca="false">ExportRaw!$F70</f>
        <v>0</v>
      </c>
      <c r="B70" s="138" t="n">
        <f aca="false">ExportRaw!$C70</f>
        <v>0</v>
      </c>
      <c r="C70" s="138" t="n">
        <f aca="false">ExportRaw!$G70</f>
        <v>0</v>
      </c>
      <c r="D70" s="138" t="str">
        <f aca="false">ExportRaw!$E70</f>
        <v/>
      </c>
      <c r="E70" s="139" t="str">
        <f aca="false">ExportRaw!$D70</f>
        <v/>
      </c>
      <c r="F70" s="138" t="str">
        <f aca="false">ExportRaw!$H70</f>
        <v/>
      </c>
      <c r="G70" s="140" t="str">
        <f aca="false">ExportRaw!$I70</f>
        <v/>
      </c>
      <c r="H70" s="138" t="str">
        <f aca="false">ExportRaw!$A70</f>
        <v/>
      </c>
      <c r="I70" s="138" t="str">
        <f aca="false">ExportRaw!$B70</f>
        <v/>
      </c>
    </row>
    <row r="71" customFormat="false" ht="15.75" hidden="false" customHeight="false" outlineLevel="0" collapsed="false">
      <c r="A71" s="138" t="n">
        <f aca="false">ExportRaw!$F71</f>
        <v>0</v>
      </c>
      <c r="B71" s="138" t="n">
        <f aca="false">ExportRaw!$C71</f>
        <v>0</v>
      </c>
      <c r="C71" s="138" t="n">
        <f aca="false">ExportRaw!$G71</f>
        <v>0</v>
      </c>
      <c r="D71" s="138" t="str">
        <f aca="false">ExportRaw!$E71</f>
        <v/>
      </c>
      <c r="E71" s="139" t="str">
        <f aca="false">ExportRaw!$D71</f>
        <v/>
      </c>
      <c r="F71" s="138" t="str">
        <f aca="false">ExportRaw!$H71</f>
        <v/>
      </c>
      <c r="G71" s="140" t="str">
        <f aca="false">ExportRaw!$I71</f>
        <v/>
      </c>
      <c r="H71" s="138" t="str">
        <f aca="false">ExportRaw!$A71</f>
        <v/>
      </c>
      <c r="I71" s="138" t="str">
        <f aca="false">ExportRaw!$B71</f>
        <v/>
      </c>
    </row>
    <row r="72" customFormat="false" ht="15.75" hidden="false" customHeight="false" outlineLevel="0" collapsed="false">
      <c r="A72" s="138" t="n">
        <f aca="false">ExportRaw!$F72</f>
        <v>0</v>
      </c>
      <c r="B72" s="138" t="n">
        <f aca="false">ExportRaw!$C72</f>
        <v>0</v>
      </c>
      <c r="C72" s="138" t="n">
        <f aca="false">ExportRaw!$G72</f>
        <v>0</v>
      </c>
      <c r="D72" s="138" t="str">
        <f aca="false">ExportRaw!$E72</f>
        <v/>
      </c>
      <c r="E72" s="139" t="str">
        <f aca="false">ExportRaw!$D72</f>
        <v/>
      </c>
      <c r="F72" s="138" t="str">
        <f aca="false">ExportRaw!$H72</f>
        <v/>
      </c>
      <c r="G72" s="140" t="str">
        <f aca="false">ExportRaw!$I72</f>
        <v/>
      </c>
      <c r="H72" s="138" t="str">
        <f aca="false">ExportRaw!$A72</f>
        <v/>
      </c>
      <c r="I72" s="138" t="str">
        <f aca="false">ExportRaw!$B72</f>
        <v/>
      </c>
    </row>
    <row r="73" customFormat="false" ht="15.75" hidden="false" customHeight="false" outlineLevel="0" collapsed="false">
      <c r="A73" s="138" t="n">
        <f aca="false">ExportRaw!$F73</f>
        <v>0</v>
      </c>
      <c r="B73" s="138" t="n">
        <f aca="false">ExportRaw!$C73</f>
        <v>0</v>
      </c>
      <c r="C73" s="138" t="n">
        <f aca="false">ExportRaw!$G73</f>
        <v>0</v>
      </c>
      <c r="D73" s="138" t="str">
        <f aca="false">ExportRaw!$E73</f>
        <v/>
      </c>
      <c r="E73" s="139" t="str">
        <f aca="false">ExportRaw!$D73</f>
        <v/>
      </c>
      <c r="F73" s="138" t="str">
        <f aca="false">ExportRaw!$H73</f>
        <v/>
      </c>
      <c r="G73" s="140" t="str">
        <f aca="false">ExportRaw!$I73</f>
        <v/>
      </c>
      <c r="H73" s="138" t="str">
        <f aca="false">ExportRaw!$A73</f>
        <v/>
      </c>
      <c r="I73" s="138" t="str">
        <f aca="false">ExportRaw!$B73</f>
        <v/>
      </c>
    </row>
    <row r="74" customFormat="false" ht="15.75" hidden="false" customHeight="false" outlineLevel="0" collapsed="false">
      <c r="A74" s="138" t="n">
        <f aca="false">ExportRaw!$F74</f>
        <v>0</v>
      </c>
      <c r="B74" s="138" t="n">
        <f aca="false">ExportRaw!$C74</f>
        <v>0</v>
      </c>
      <c r="C74" s="138" t="n">
        <f aca="false">ExportRaw!$G74</f>
        <v>0</v>
      </c>
      <c r="D74" s="138" t="str">
        <f aca="false">ExportRaw!$E74</f>
        <v/>
      </c>
      <c r="E74" s="139" t="str">
        <f aca="false">ExportRaw!$D74</f>
        <v/>
      </c>
      <c r="F74" s="138" t="str">
        <f aca="false">ExportRaw!$H74</f>
        <v/>
      </c>
      <c r="G74" s="140" t="str">
        <f aca="false">ExportRaw!$I74</f>
        <v/>
      </c>
      <c r="H74" s="138" t="str">
        <f aca="false">ExportRaw!$A74</f>
        <v/>
      </c>
      <c r="I74" s="138" t="str">
        <f aca="false">ExportRaw!$B74</f>
        <v/>
      </c>
    </row>
    <row r="75" customFormat="false" ht="15.75" hidden="false" customHeight="false" outlineLevel="0" collapsed="false">
      <c r="A75" s="138" t="n">
        <f aca="false">ExportRaw!$F75</f>
        <v>0</v>
      </c>
      <c r="B75" s="138" t="n">
        <f aca="false">ExportRaw!$C75</f>
        <v>0</v>
      </c>
      <c r="C75" s="138" t="n">
        <f aca="false">ExportRaw!$G75</f>
        <v>0</v>
      </c>
      <c r="D75" s="138" t="str">
        <f aca="false">ExportRaw!$E75</f>
        <v/>
      </c>
      <c r="E75" s="139" t="str">
        <f aca="false">ExportRaw!$D75</f>
        <v/>
      </c>
      <c r="F75" s="138" t="str">
        <f aca="false">ExportRaw!$H75</f>
        <v/>
      </c>
      <c r="G75" s="140" t="str">
        <f aca="false">ExportRaw!$I75</f>
        <v/>
      </c>
      <c r="H75" s="138" t="str">
        <f aca="false">ExportRaw!$A75</f>
        <v/>
      </c>
      <c r="I75" s="138" t="str">
        <f aca="false">ExportRaw!$B75</f>
        <v/>
      </c>
    </row>
    <row r="76" customFormat="false" ht="15.75" hidden="false" customHeight="false" outlineLevel="0" collapsed="false">
      <c r="A76" s="138" t="n">
        <f aca="false">ExportRaw!$F76</f>
        <v>0</v>
      </c>
      <c r="B76" s="138" t="n">
        <f aca="false">ExportRaw!$C76</f>
        <v>0</v>
      </c>
      <c r="C76" s="138" t="n">
        <f aca="false">ExportRaw!$G76</f>
        <v>0</v>
      </c>
      <c r="D76" s="138" t="str">
        <f aca="false">ExportRaw!$E76</f>
        <v/>
      </c>
      <c r="E76" s="139" t="str">
        <f aca="false">ExportRaw!$D76</f>
        <v/>
      </c>
      <c r="F76" s="138" t="str">
        <f aca="false">ExportRaw!$H76</f>
        <v/>
      </c>
      <c r="G76" s="140" t="str">
        <f aca="false">ExportRaw!$I76</f>
        <v/>
      </c>
      <c r="H76" s="138" t="str">
        <f aca="false">ExportRaw!$A76</f>
        <v/>
      </c>
      <c r="I76" s="138" t="str">
        <f aca="false">ExportRaw!$B76</f>
        <v/>
      </c>
    </row>
    <row r="77" customFormat="false" ht="15.75" hidden="false" customHeight="false" outlineLevel="0" collapsed="false">
      <c r="A77" s="138" t="n">
        <f aca="false">ExportRaw!$F77</f>
        <v>0</v>
      </c>
      <c r="B77" s="138" t="n">
        <f aca="false">ExportRaw!$C77</f>
        <v>0</v>
      </c>
      <c r="C77" s="138" t="n">
        <f aca="false">ExportRaw!$G77</f>
        <v>0</v>
      </c>
      <c r="D77" s="138" t="str">
        <f aca="false">ExportRaw!$E77</f>
        <v/>
      </c>
      <c r="E77" s="139" t="str">
        <f aca="false">ExportRaw!$D77</f>
        <v/>
      </c>
      <c r="F77" s="138" t="str">
        <f aca="false">ExportRaw!$H77</f>
        <v/>
      </c>
      <c r="G77" s="140" t="str">
        <f aca="false">ExportRaw!$I77</f>
        <v/>
      </c>
      <c r="H77" s="138" t="str">
        <f aca="false">ExportRaw!$A77</f>
        <v/>
      </c>
      <c r="I77" s="138" t="str">
        <f aca="false">ExportRaw!$B77</f>
        <v/>
      </c>
    </row>
    <row r="78" customFormat="false" ht="15.75" hidden="false" customHeight="false" outlineLevel="0" collapsed="false">
      <c r="A78" s="138" t="n">
        <f aca="false">ExportRaw!$F78</f>
        <v>0</v>
      </c>
      <c r="B78" s="138" t="n">
        <f aca="false">ExportRaw!$C78</f>
        <v>0</v>
      </c>
      <c r="C78" s="138" t="n">
        <f aca="false">ExportRaw!$G78</f>
        <v>0</v>
      </c>
      <c r="D78" s="138" t="str">
        <f aca="false">ExportRaw!$E78</f>
        <v/>
      </c>
      <c r="E78" s="139" t="str">
        <f aca="false">ExportRaw!$D78</f>
        <v/>
      </c>
      <c r="F78" s="138" t="str">
        <f aca="false">ExportRaw!$H78</f>
        <v/>
      </c>
      <c r="G78" s="140" t="str">
        <f aca="false">ExportRaw!$I78</f>
        <v/>
      </c>
      <c r="H78" s="138" t="str">
        <f aca="false">ExportRaw!$A78</f>
        <v/>
      </c>
      <c r="I78" s="138" t="str">
        <f aca="false">ExportRaw!$B78</f>
        <v/>
      </c>
    </row>
    <row r="79" customFormat="false" ht="15.75" hidden="false" customHeight="false" outlineLevel="0" collapsed="false">
      <c r="A79" s="138" t="n">
        <f aca="false">ExportRaw!$F79</f>
        <v>0</v>
      </c>
      <c r="B79" s="138" t="n">
        <f aca="false">ExportRaw!$C79</f>
        <v>0</v>
      </c>
      <c r="C79" s="138" t="n">
        <f aca="false">ExportRaw!$G79</f>
        <v>0</v>
      </c>
      <c r="D79" s="138" t="str">
        <f aca="false">ExportRaw!$E79</f>
        <v/>
      </c>
      <c r="E79" s="139" t="str">
        <f aca="false">ExportRaw!$D79</f>
        <v/>
      </c>
      <c r="F79" s="138" t="str">
        <f aca="false">ExportRaw!$H79</f>
        <v/>
      </c>
      <c r="G79" s="140" t="str">
        <f aca="false">ExportRaw!$I79</f>
        <v/>
      </c>
      <c r="H79" s="138" t="str">
        <f aca="false">ExportRaw!$A79</f>
        <v/>
      </c>
      <c r="I79" s="138" t="str">
        <f aca="false">ExportRaw!$B79</f>
        <v/>
      </c>
    </row>
    <row r="80" customFormat="false" ht="15.75" hidden="false" customHeight="false" outlineLevel="0" collapsed="false">
      <c r="A80" s="138" t="n">
        <f aca="false">ExportRaw!$F80</f>
        <v>0</v>
      </c>
      <c r="B80" s="138" t="n">
        <f aca="false">ExportRaw!$C80</f>
        <v>0</v>
      </c>
      <c r="C80" s="138" t="n">
        <f aca="false">ExportRaw!$G80</f>
        <v>0</v>
      </c>
      <c r="D80" s="138" t="str">
        <f aca="false">ExportRaw!$E80</f>
        <v/>
      </c>
      <c r="E80" s="139" t="str">
        <f aca="false">ExportRaw!$D80</f>
        <v/>
      </c>
      <c r="F80" s="138" t="str">
        <f aca="false">ExportRaw!$H80</f>
        <v/>
      </c>
      <c r="G80" s="140" t="str">
        <f aca="false">ExportRaw!$I80</f>
        <v/>
      </c>
      <c r="H80" s="138" t="str">
        <f aca="false">ExportRaw!$A80</f>
        <v/>
      </c>
      <c r="I80" s="138" t="str">
        <f aca="false">ExportRaw!$B80</f>
        <v/>
      </c>
    </row>
    <row r="81" customFormat="false" ht="15.75" hidden="false" customHeight="false" outlineLevel="0" collapsed="false">
      <c r="A81" s="138" t="n">
        <f aca="false">ExportRaw!$F81</f>
        <v>0</v>
      </c>
      <c r="B81" s="138" t="n">
        <f aca="false">ExportRaw!$C81</f>
        <v>0</v>
      </c>
      <c r="C81" s="138" t="n">
        <f aca="false">ExportRaw!$G81</f>
        <v>0</v>
      </c>
      <c r="D81" s="138" t="str">
        <f aca="false">ExportRaw!$E81</f>
        <v/>
      </c>
      <c r="E81" s="139" t="str">
        <f aca="false">ExportRaw!$D81</f>
        <v/>
      </c>
      <c r="F81" s="138" t="str">
        <f aca="false">ExportRaw!$H81</f>
        <v/>
      </c>
      <c r="G81" s="140" t="str">
        <f aca="false">ExportRaw!$I81</f>
        <v/>
      </c>
      <c r="H81" s="138" t="str">
        <f aca="false">ExportRaw!$A81</f>
        <v/>
      </c>
      <c r="I81" s="138" t="str">
        <f aca="false">ExportRaw!$B81</f>
        <v/>
      </c>
    </row>
    <row r="82" customFormat="false" ht="15.75" hidden="false" customHeight="false" outlineLevel="0" collapsed="false">
      <c r="A82" s="138" t="n">
        <f aca="false">ExportRaw!$F82</f>
        <v>0</v>
      </c>
      <c r="B82" s="138" t="n">
        <f aca="false">ExportRaw!$C82</f>
        <v>0</v>
      </c>
      <c r="C82" s="138" t="n">
        <f aca="false">ExportRaw!$G82</f>
        <v>0</v>
      </c>
      <c r="D82" s="138" t="str">
        <f aca="false">ExportRaw!$E82</f>
        <v/>
      </c>
      <c r="E82" s="139" t="str">
        <f aca="false">ExportRaw!$D82</f>
        <v/>
      </c>
      <c r="F82" s="138" t="str">
        <f aca="false">ExportRaw!$H82</f>
        <v/>
      </c>
      <c r="G82" s="140" t="str">
        <f aca="false">ExportRaw!$I82</f>
        <v/>
      </c>
      <c r="H82" s="138" t="str">
        <f aca="false">ExportRaw!$A82</f>
        <v/>
      </c>
      <c r="I82" s="138" t="str">
        <f aca="false">ExportRaw!$B82</f>
        <v/>
      </c>
    </row>
    <row r="83" customFormat="false" ht="15.75" hidden="false" customHeight="false" outlineLevel="0" collapsed="false">
      <c r="A83" s="138" t="n">
        <f aca="false">ExportRaw!$F83</f>
        <v>0</v>
      </c>
      <c r="B83" s="138" t="n">
        <f aca="false">ExportRaw!$C83</f>
        <v>0</v>
      </c>
      <c r="C83" s="138" t="n">
        <f aca="false">ExportRaw!$G83</f>
        <v>0</v>
      </c>
      <c r="D83" s="138" t="str">
        <f aca="false">ExportRaw!$E83</f>
        <v/>
      </c>
      <c r="E83" s="139" t="str">
        <f aca="false">ExportRaw!$D83</f>
        <v/>
      </c>
      <c r="F83" s="138" t="str">
        <f aca="false">ExportRaw!$H83</f>
        <v/>
      </c>
      <c r="G83" s="140" t="str">
        <f aca="false">ExportRaw!$I83</f>
        <v/>
      </c>
      <c r="H83" s="138" t="str">
        <f aca="false">ExportRaw!$A83</f>
        <v/>
      </c>
      <c r="I83" s="138" t="str">
        <f aca="false">ExportRaw!$B83</f>
        <v/>
      </c>
    </row>
    <row r="84" customFormat="false" ht="15.75" hidden="false" customHeight="false" outlineLevel="0" collapsed="false">
      <c r="A84" s="138" t="n">
        <f aca="false">ExportRaw!$F84</f>
        <v>0</v>
      </c>
      <c r="B84" s="138" t="n">
        <f aca="false">ExportRaw!$C84</f>
        <v>0</v>
      </c>
      <c r="C84" s="138" t="n">
        <f aca="false">ExportRaw!$G84</f>
        <v>0</v>
      </c>
      <c r="D84" s="138" t="str">
        <f aca="false">ExportRaw!$E84</f>
        <v/>
      </c>
      <c r="E84" s="139" t="str">
        <f aca="false">ExportRaw!$D84</f>
        <v/>
      </c>
      <c r="F84" s="138" t="str">
        <f aca="false">ExportRaw!$H84</f>
        <v/>
      </c>
      <c r="G84" s="140" t="str">
        <f aca="false">ExportRaw!$I84</f>
        <v/>
      </c>
      <c r="H84" s="138" t="str">
        <f aca="false">ExportRaw!$A84</f>
        <v/>
      </c>
      <c r="I84" s="138" t="str">
        <f aca="false">ExportRaw!$B84</f>
        <v/>
      </c>
    </row>
    <row r="85" customFormat="false" ht="15.75" hidden="false" customHeight="false" outlineLevel="0" collapsed="false">
      <c r="A85" s="138" t="n">
        <f aca="false">ExportRaw!$F85</f>
        <v>0</v>
      </c>
      <c r="B85" s="138" t="n">
        <f aca="false">ExportRaw!$C85</f>
        <v>0</v>
      </c>
      <c r="C85" s="138" t="n">
        <f aca="false">ExportRaw!$G85</f>
        <v>0</v>
      </c>
      <c r="D85" s="138" t="str">
        <f aca="false">ExportRaw!$E85</f>
        <v/>
      </c>
      <c r="E85" s="139" t="str">
        <f aca="false">ExportRaw!$D85</f>
        <v/>
      </c>
      <c r="F85" s="138" t="str">
        <f aca="false">ExportRaw!$H85</f>
        <v/>
      </c>
      <c r="G85" s="140" t="str">
        <f aca="false">ExportRaw!$I85</f>
        <v/>
      </c>
      <c r="H85" s="138" t="str">
        <f aca="false">ExportRaw!$A85</f>
        <v/>
      </c>
      <c r="I85" s="138" t="str">
        <f aca="false">ExportRaw!$B85</f>
        <v/>
      </c>
    </row>
    <row r="86" customFormat="false" ht="15.75" hidden="false" customHeight="false" outlineLevel="0" collapsed="false">
      <c r="A86" s="138" t="n">
        <f aca="false">ExportRaw!$F86</f>
        <v>0</v>
      </c>
      <c r="B86" s="138" t="n">
        <f aca="false">ExportRaw!$C86</f>
        <v>0</v>
      </c>
      <c r="C86" s="138" t="n">
        <f aca="false">ExportRaw!$G86</f>
        <v>0</v>
      </c>
      <c r="D86" s="138" t="str">
        <f aca="false">ExportRaw!$E86</f>
        <v/>
      </c>
      <c r="E86" s="139" t="str">
        <f aca="false">ExportRaw!$D86</f>
        <v/>
      </c>
      <c r="F86" s="138" t="str">
        <f aca="false">ExportRaw!$H86</f>
        <v/>
      </c>
      <c r="G86" s="140" t="str">
        <f aca="false">ExportRaw!$I86</f>
        <v/>
      </c>
      <c r="H86" s="138" t="str">
        <f aca="false">ExportRaw!$A86</f>
        <v/>
      </c>
      <c r="I86" s="138" t="str">
        <f aca="false">ExportRaw!$B86</f>
        <v/>
      </c>
    </row>
    <row r="87" customFormat="false" ht="15.75" hidden="false" customHeight="false" outlineLevel="0" collapsed="false">
      <c r="A87" s="138" t="n">
        <f aca="false">ExportRaw!$F87</f>
        <v>0</v>
      </c>
      <c r="B87" s="138" t="n">
        <f aca="false">ExportRaw!$C87</f>
        <v>0</v>
      </c>
      <c r="C87" s="138" t="n">
        <f aca="false">ExportRaw!$G87</f>
        <v>0</v>
      </c>
      <c r="D87" s="138" t="str">
        <f aca="false">ExportRaw!$E87</f>
        <v/>
      </c>
      <c r="E87" s="139" t="str">
        <f aca="false">ExportRaw!$D87</f>
        <v/>
      </c>
      <c r="F87" s="138" t="str">
        <f aca="false">ExportRaw!$H87</f>
        <v/>
      </c>
      <c r="G87" s="140" t="str">
        <f aca="false">ExportRaw!$I87</f>
        <v/>
      </c>
      <c r="H87" s="138" t="str">
        <f aca="false">ExportRaw!$A87</f>
        <v/>
      </c>
      <c r="I87" s="138" t="str">
        <f aca="false">ExportRaw!$B87</f>
        <v/>
      </c>
    </row>
    <row r="88" customFormat="false" ht="15.75" hidden="false" customHeight="false" outlineLevel="0" collapsed="false">
      <c r="A88" s="138" t="n">
        <f aca="false">ExportRaw!$F88</f>
        <v>0</v>
      </c>
      <c r="B88" s="138" t="n">
        <f aca="false">ExportRaw!$C88</f>
        <v>0</v>
      </c>
      <c r="C88" s="138" t="n">
        <f aca="false">ExportRaw!$G88</f>
        <v>0</v>
      </c>
      <c r="D88" s="138" t="str">
        <f aca="false">ExportRaw!$E88</f>
        <v/>
      </c>
      <c r="E88" s="139" t="str">
        <f aca="false">ExportRaw!$D88</f>
        <v/>
      </c>
      <c r="F88" s="138" t="str">
        <f aca="false">ExportRaw!$H88</f>
        <v/>
      </c>
      <c r="G88" s="140" t="str">
        <f aca="false">ExportRaw!$I88</f>
        <v/>
      </c>
      <c r="H88" s="138" t="str">
        <f aca="false">ExportRaw!$A88</f>
        <v/>
      </c>
      <c r="I88" s="138" t="str">
        <f aca="false">ExportRaw!$B88</f>
        <v/>
      </c>
    </row>
    <row r="89" customFormat="false" ht="15.75" hidden="false" customHeight="false" outlineLevel="0" collapsed="false">
      <c r="A89" s="138" t="n">
        <f aca="false">ExportRaw!$F89</f>
        <v>0</v>
      </c>
      <c r="B89" s="138" t="n">
        <f aca="false">ExportRaw!$C89</f>
        <v>0</v>
      </c>
      <c r="C89" s="138" t="n">
        <f aca="false">ExportRaw!$G89</f>
        <v>0</v>
      </c>
      <c r="D89" s="138" t="str">
        <f aca="false">ExportRaw!$E89</f>
        <v/>
      </c>
      <c r="E89" s="139" t="str">
        <f aca="false">ExportRaw!$D89</f>
        <v/>
      </c>
      <c r="F89" s="138" t="str">
        <f aca="false">ExportRaw!$H89</f>
        <v/>
      </c>
      <c r="G89" s="140" t="str">
        <f aca="false">ExportRaw!$I89</f>
        <v/>
      </c>
      <c r="H89" s="138" t="str">
        <f aca="false">ExportRaw!$A89</f>
        <v/>
      </c>
      <c r="I89" s="138" t="str">
        <f aca="false">ExportRaw!$B89</f>
        <v/>
      </c>
    </row>
    <row r="90" customFormat="false" ht="15.75" hidden="false" customHeight="false" outlineLevel="0" collapsed="false">
      <c r="A90" s="138" t="n">
        <f aca="false">ExportRaw!$F90</f>
        <v>0</v>
      </c>
      <c r="B90" s="138" t="n">
        <f aca="false">ExportRaw!$C90</f>
        <v>0</v>
      </c>
      <c r="C90" s="138" t="n">
        <f aca="false">ExportRaw!$G90</f>
        <v>0</v>
      </c>
      <c r="D90" s="138" t="str">
        <f aca="false">ExportRaw!$E90</f>
        <v/>
      </c>
      <c r="E90" s="139" t="str">
        <f aca="false">ExportRaw!$D90</f>
        <v/>
      </c>
      <c r="F90" s="138" t="str">
        <f aca="false">ExportRaw!$H90</f>
        <v/>
      </c>
      <c r="G90" s="140" t="str">
        <f aca="false">ExportRaw!$I90</f>
        <v/>
      </c>
      <c r="H90" s="138" t="str">
        <f aca="false">ExportRaw!$A90</f>
        <v/>
      </c>
      <c r="I90" s="138" t="str">
        <f aca="false">ExportRaw!$B90</f>
        <v/>
      </c>
    </row>
    <row r="91" customFormat="false" ht="15.75" hidden="false" customHeight="false" outlineLevel="0" collapsed="false">
      <c r="A91" s="138" t="n">
        <f aca="false">ExportRaw!$F91</f>
        <v>0</v>
      </c>
      <c r="B91" s="138" t="n">
        <f aca="false">ExportRaw!$C91</f>
        <v>0</v>
      </c>
      <c r="C91" s="138" t="n">
        <f aca="false">ExportRaw!$G91</f>
        <v>0</v>
      </c>
      <c r="D91" s="138" t="str">
        <f aca="false">ExportRaw!$E91</f>
        <v/>
      </c>
      <c r="E91" s="139" t="str">
        <f aca="false">ExportRaw!$D91</f>
        <v/>
      </c>
      <c r="F91" s="138" t="str">
        <f aca="false">ExportRaw!$H91</f>
        <v/>
      </c>
      <c r="G91" s="140" t="str">
        <f aca="false">ExportRaw!$I91</f>
        <v/>
      </c>
      <c r="H91" s="138" t="str">
        <f aca="false">ExportRaw!$A91</f>
        <v/>
      </c>
      <c r="I91" s="138" t="str">
        <f aca="false">ExportRaw!$B91</f>
        <v/>
      </c>
    </row>
    <row r="92" customFormat="false" ht="15.75" hidden="false" customHeight="false" outlineLevel="0" collapsed="false">
      <c r="A92" s="138" t="n">
        <f aca="false">ExportRaw!$F92</f>
        <v>0</v>
      </c>
      <c r="B92" s="138" t="n">
        <f aca="false">ExportRaw!$C92</f>
        <v>0</v>
      </c>
      <c r="C92" s="138" t="n">
        <f aca="false">ExportRaw!$G92</f>
        <v>0</v>
      </c>
      <c r="D92" s="138" t="str">
        <f aca="false">ExportRaw!$E92</f>
        <v/>
      </c>
      <c r="E92" s="139" t="str">
        <f aca="false">ExportRaw!$D92</f>
        <v/>
      </c>
      <c r="F92" s="138" t="str">
        <f aca="false">ExportRaw!$H92</f>
        <v/>
      </c>
      <c r="G92" s="140" t="str">
        <f aca="false">ExportRaw!$I92</f>
        <v/>
      </c>
      <c r="H92" s="138" t="str">
        <f aca="false">ExportRaw!$A92</f>
        <v/>
      </c>
      <c r="I92" s="138" t="str">
        <f aca="false">ExportRaw!$B92</f>
        <v/>
      </c>
    </row>
    <row r="93" customFormat="false" ht="15.75" hidden="false" customHeight="false" outlineLevel="0" collapsed="false">
      <c r="A93" s="138" t="n">
        <f aca="false">ExportRaw!$F93</f>
        <v>0</v>
      </c>
      <c r="B93" s="138" t="n">
        <f aca="false">ExportRaw!$C93</f>
        <v>0</v>
      </c>
      <c r="C93" s="138" t="n">
        <f aca="false">ExportRaw!$G93</f>
        <v>0</v>
      </c>
      <c r="D93" s="138" t="str">
        <f aca="false">ExportRaw!$E93</f>
        <v/>
      </c>
      <c r="E93" s="139" t="str">
        <f aca="false">ExportRaw!$D93</f>
        <v/>
      </c>
      <c r="F93" s="138" t="str">
        <f aca="false">ExportRaw!$H93</f>
        <v/>
      </c>
      <c r="G93" s="140" t="str">
        <f aca="false">ExportRaw!$I93</f>
        <v/>
      </c>
      <c r="H93" s="138" t="str">
        <f aca="false">ExportRaw!$A93</f>
        <v/>
      </c>
      <c r="I93" s="138" t="str">
        <f aca="false">ExportRaw!$B93</f>
        <v/>
      </c>
    </row>
    <row r="94" customFormat="false" ht="15.75" hidden="false" customHeight="false" outlineLevel="0" collapsed="false">
      <c r="A94" s="138" t="n">
        <f aca="false">ExportRaw!$F94</f>
        <v>0</v>
      </c>
      <c r="B94" s="138" t="n">
        <f aca="false">ExportRaw!$C94</f>
        <v>0</v>
      </c>
      <c r="C94" s="138" t="n">
        <f aca="false">ExportRaw!$G94</f>
        <v>0</v>
      </c>
      <c r="D94" s="138" t="str">
        <f aca="false">ExportRaw!$E94</f>
        <v/>
      </c>
      <c r="E94" s="139" t="str">
        <f aca="false">ExportRaw!$D94</f>
        <v/>
      </c>
      <c r="F94" s="138" t="str">
        <f aca="false">ExportRaw!$H94</f>
        <v/>
      </c>
      <c r="G94" s="140" t="str">
        <f aca="false">ExportRaw!$I94</f>
        <v/>
      </c>
      <c r="H94" s="138" t="str">
        <f aca="false">ExportRaw!$A94</f>
        <v/>
      </c>
      <c r="I94" s="138" t="str">
        <f aca="false">ExportRaw!$B94</f>
        <v/>
      </c>
    </row>
    <row r="95" customFormat="false" ht="15.75" hidden="false" customHeight="false" outlineLevel="0" collapsed="false">
      <c r="A95" s="138" t="n">
        <f aca="false">ExportRaw!$F95</f>
        <v>0</v>
      </c>
      <c r="B95" s="138" t="n">
        <f aca="false">ExportRaw!$C95</f>
        <v>0</v>
      </c>
      <c r="C95" s="138" t="n">
        <f aca="false">ExportRaw!$G95</f>
        <v>0</v>
      </c>
      <c r="D95" s="138" t="str">
        <f aca="false">ExportRaw!$E95</f>
        <v/>
      </c>
      <c r="E95" s="139" t="str">
        <f aca="false">ExportRaw!$D95</f>
        <v/>
      </c>
      <c r="F95" s="138" t="str">
        <f aca="false">ExportRaw!$H95</f>
        <v/>
      </c>
      <c r="G95" s="140" t="str">
        <f aca="false">ExportRaw!$I95</f>
        <v/>
      </c>
      <c r="H95" s="138" t="str">
        <f aca="false">ExportRaw!$A95</f>
        <v/>
      </c>
      <c r="I95" s="138" t="str">
        <f aca="false">ExportRaw!$B95</f>
        <v/>
      </c>
    </row>
    <row r="96" customFormat="false" ht="15.75" hidden="false" customHeight="false" outlineLevel="0" collapsed="false">
      <c r="A96" s="138" t="n">
        <f aca="false">ExportRaw!$F96</f>
        <v>0</v>
      </c>
      <c r="B96" s="138" t="n">
        <f aca="false">ExportRaw!$C96</f>
        <v>0</v>
      </c>
      <c r="C96" s="138" t="n">
        <f aca="false">ExportRaw!$G96</f>
        <v>0</v>
      </c>
      <c r="D96" s="138" t="str">
        <f aca="false">ExportRaw!$E96</f>
        <v/>
      </c>
      <c r="E96" s="139" t="str">
        <f aca="false">ExportRaw!$D96</f>
        <v/>
      </c>
      <c r="F96" s="138" t="str">
        <f aca="false">ExportRaw!$H96</f>
        <v/>
      </c>
      <c r="G96" s="140" t="str">
        <f aca="false">ExportRaw!$I96</f>
        <v/>
      </c>
      <c r="H96" s="138" t="str">
        <f aca="false">ExportRaw!$A96</f>
        <v/>
      </c>
      <c r="I96" s="138" t="str">
        <f aca="false">ExportRaw!$B96</f>
        <v/>
      </c>
    </row>
    <row r="97" customFormat="false" ht="15.75" hidden="false" customHeight="false" outlineLevel="0" collapsed="false">
      <c r="A97" s="138" t="n">
        <f aca="false">ExportRaw!$F97</f>
        <v>0</v>
      </c>
      <c r="B97" s="138" t="n">
        <f aca="false">ExportRaw!$C97</f>
        <v>0</v>
      </c>
      <c r="C97" s="138" t="n">
        <f aca="false">ExportRaw!$G97</f>
        <v>0</v>
      </c>
      <c r="D97" s="138" t="str">
        <f aca="false">ExportRaw!$E97</f>
        <v/>
      </c>
      <c r="E97" s="139" t="str">
        <f aca="false">ExportRaw!$D97</f>
        <v/>
      </c>
      <c r="F97" s="138" t="str">
        <f aca="false">ExportRaw!$H97</f>
        <v/>
      </c>
      <c r="G97" s="140" t="str">
        <f aca="false">ExportRaw!$I97</f>
        <v/>
      </c>
      <c r="H97" s="138" t="str">
        <f aca="false">ExportRaw!$A97</f>
        <v/>
      </c>
      <c r="I97" s="138" t="str">
        <f aca="false">ExportRaw!$B97</f>
        <v/>
      </c>
    </row>
    <row r="98" customFormat="false" ht="15.75" hidden="false" customHeight="false" outlineLevel="0" collapsed="false">
      <c r="A98" s="138" t="n">
        <f aca="false">ExportRaw!$F98</f>
        <v>0</v>
      </c>
      <c r="B98" s="138" t="n">
        <f aca="false">ExportRaw!$C98</f>
        <v>0</v>
      </c>
      <c r="C98" s="138" t="n">
        <f aca="false">ExportRaw!$G98</f>
        <v>0</v>
      </c>
      <c r="D98" s="138" t="str">
        <f aca="false">ExportRaw!$E98</f>
        <v/>
      </c>
      <c r="E98" s="139" t="str">
        <f aca="false">ExportRaw!$D98</f>
        <v/>
      </c>
      <c r="F98" s="138" t="str">
        <f aca="false">ExportRaw!$H98</f>
        <v/>
      </c>
      <c r="G98" s="140" t="str">
        <f aca="false">ExportRaw!$I98</f>
        <v/>
      </c>
      <c r="H98" s="138" t="str">
        <f aca="false">ExportRaw!$A98</f>
        <v/>
      </c>
      <c r="I98" s="138" t="str">
        <f aca="false">ExportRaw!$B98</f>
        <v/>
      </c>
    </row>
    <row r="99" customFormat="false" ht="15.75" hidden="false" customHeight="false" outlineLevel="0" collapsed="false">
      <c r="A99" s="138" t="n">
        <f aca="false">ExportRaw!$F99</f>
        <v>0</v>
      </c>
      <c r="B99" s="138" t="n">
        <f aca="false">ExportRaw!$C99</f>
        <v>0</v>
      </c>
      <c r="C99" s="138" t="n">
        <f aca="false">ExportRaw!$G99</f>
        <v>0</v>
      </c>
      <c r="D99" s="138" t="str">
        <f aca="false">ExportRaw!$E99</f>
        <v/>
      </c>
      <c r="E99" s="139" t="str">
        <f aca="false">ExportRaw!$D99</f>
        <v/>
      </c>
      <c r="F99" s="138" t="str">
        <f aca="false">ExportRaw!$H99</f>
        <v/>
      </c>
      <c r="G99" s="140" t="str">
        <f aca="false">ExportRaw!$I99</f>
        <v/>
      </c>
      <c r="H99" s="138" t="str">
        <f aca="false">ExportRaw!$A99</f>
        <v/>
      </c>
      <c r="I99" s="138" t="str">
        <f aca="false">ExportRaw!$B99</f>
        <v/>
      </c>
    </row>
    <row r="100" customFormat="false" ht="15.75" hidden="false" customHeight="false" outlineLevel="0" collapsed="false">
      <c r="A100" s="138" t="n">
        <f aca="false">ExportRaw!$F100</f>
        <v>0</v>
      </c>
      <c r="B100" s="138" t="n">
        <f aca="false">ExportRaw!$C100</f>
        <v>0</v>
      </c>
      <c r="C100" s="138" t="n">
        <f aca="false">ExportRaw!$G100</f>
        <v>0</v>
      </c>
      <c r="D100" s="138" t="str">
        <f aca="false">ExportRaw!$E100</f>
        <v/>
      </c>
      <c r="E100" s="139" t="str">
        <f aca="false">ExportRaw!$D100</f>
        <v/>
      </c>
      <c r="F100" s="138" t="str">
        <f aca="false">ExportRaw!$H100</f>
        <v/>
      </c>
      <c r="G100" s="140" t="str">
        <f aca="false">ExportRaw!$I100</f>
        <v/>
      </c>
      <c r="H100" s="138" t="str">
        <f aca="false">ExportRaw!$A100</f>
        <v/>
      </c>
      <c r="I100" s="138" t="str">
        <f aca="false">ExportRaw!$B100</f>
        <v/>
      </c>
    </row>
    <row r="101" customFormat="false" ht="15.75" hidden="false" customHeight="false" outlineLevel="0" collapsed="false">
      <c r="A101" s="138" t="n">
        <f aca="false">ExportRaw!$F101</f>
        <v>0</v>
      </c>
      <c r="B101" s="138" t="n">
        <f aca="false">ExportRaw!$C101</f>
        <v>0</v>
      </c>
      <c r="C101" s="138" t="n">
        <f aca="false">ExportRaw!$G101</f>
        <v>0</v>
      </c>
      <c r="D101" s="138" t="str">
        <f aca="false">ExportRaw!$E101</f>
        <v/>
      </c>
      <c r="E101" s="139" t="str">
        <f aca="false">ExportRaw!$D101</f>
        <v/>
      </c>
      <c r="F101" s="138" t="str">
        <f aca="false">ExportRaw!$H101</f>
        <v/>
      </c>
      <c r="G101" s="140" t="str">
        <f aca="false">ExportRaw!$I101</f>
        <v/>
      </c>
      <c r="H101" s="138" t="str">
        <f aca="false">ExportRaw!$A101</f>
        <v/>
      </c>
      <c r="I101" s="138" t="str">
        <f aca="false">ExportRaw!$B101</f>
        <v/>
      </c>
    </row>
    <row r="102" customFormat="false" ht="15.75" hidden="false" customHeight="false" outlineLevel="0" collapsed="false">
      <c r="A102" s="138" t="n">
        <f aca="false">ExportRaw!$F102</f>
        <v>0</v>
      </c>
      <c r="B102" s="138" t="n">
        <f aca="false">ExportRaw!$C102</f>
        <v>0</v>
      </c>
      <c r="C102" s="138" t="n">
        <f aca="false">ExportRaw!$G102</f>
        <v>0</v>
      </c>
      <c r="D102" s="138" t="str">
        <f aca="false">ExportRaw!$E102</f>
        <v/>
      </c>
      <c r="E102" s="139" t="str">
        <f aca="false">ExportRaw!$D102</f>
        <v/>
      </c>
      <c r="F102" s="138" t="str">
        <f aca="false">ExportRaw!$H102</f>
        <v/>
      </c>
      <c r="G102" s="140" t="str">
        <f aca="false">ExportRaw!$I102</f>
        <v/>
      </c>
      <c r="H102" s="138" t="str">
        <f aca="false">ExportRaw!$A102</f>
        <v/>
      </c>
      <c r="I102" s="138" t="str">
        <f aca="false">ExportRaw!$B102</f>
        <v/>
      </c>
    </row>
    <row r="103" customFormat="false" ht="15.75" hidden="false" customHeight="false" outlineLevel="0" collapsed="false">
      <c r="A103" s="138" t="n">
        <f aca="false">ExportRaw!$F103</f>
        <v>0</v>
      </c>
      <c r="B103" s="138" t="n">
        <f aca="false">ExportRaw!$C103</f>
        <v>0</v>
      </c>
      <c r="C103" s="138" t="n">
        <f aca="false">ExportRaw!$G103</f>
        <v>0</v>
      </c>
      <c r="D103" s="138" t="str">
        <f aca="false">ExportRaw!$E103</f>
        <v/>
      </c>
      <c r="E103" s="139" t="str">
        <f aca="false">ExportRaw!$D103</f>
        <v/>
      </c>
      <c r="F103" s="138" t="str">
        <f aca="false">ExportRaw!$H103</f>
        <v/>
      </c>
      <c r="G103" s="140" t="str">
        <f aca="false">ExportRaw!$I103</f>
        <v/>
      </c>
      <c r="H103" s="138" t="str">
        <f aca="false">ExportRaw!$A103</f>
        <v/>
      </c>
      <c r="I103" s="138" t="str">
        <f aca="false">ExportRaw!$B103</f>
        <v/>
      </c>
    </row>
    <row r="104" customFormat="false" ht="15.75" hidden="false" customHeight="false" outlineLevel="0" collapsed="false">
      <c r="A104" s="138" t="n">
        <f aca="false">ExportRaw!$F104</f>
        <v>0</v>
      </c>
      <c r="B104" s="138" t="n">
        <f aca="false">ExportRaw!$C104</f>
        <v>0</v>
      </c>
      <c r="C104" s="138" t="n">
        <f aca="false">ExportRaw!$G104</f>
        <v>0</v>
      </c>
      <c r="D104" s="138" t="str">
        <f aca="false">ExportRaw!$E104</f>
        <v/>
      </c>
      <c r="E104" s="139" t="str">
        <f aca="false">ExportRaw!$D104</f>
        <v/>
      </c>
      <c r="F104" s="138" t="str">
        <f aca="false">ExportRaw!$H104</f>
        <v/>
      </c>
      <c r="G104" s="140" t="str">
        <f aca="false">ExportRaw!$I104</f>
        <v/>
      </c>
      <c r="H104" s="138" t="str">
        <f aca="false">ExportRaw!$A104</f>
        <v/>
      </c>
      <c r="I104" s="138" t="str">
        <f aca="false">ExportRaw!$B104</f>
        <v/>
      </c>
    </row>
    <row r="105" customFormat="false" ht="15.75" hidden="false" customHeight="false" outlineLevel="0" collapsed="false">
      <c r="A105" s="138" t="n">
        <f aca="false">ExportRaw!$F105</f>
        <v>0</v>
      </c>
      <c r="B105" s="138" t="n">
        <f aca="false">ExportRaw!$C105</f>
        <v>0</v>
      </c>
      <c r="C105" s="138" t="n">
        <f aca="false">ExportRaw!$G105</f>
        <v>0</v>
      </c>
      <c r="D105" s="138" t="str">
        <f aca="false">ExportRaw!$E105</f>
        <v/>
      </c>
      <c r="E105" s="139" t="str">
        <f aca="false">ExportRaw!$D105</f>
        <v/>
      </c>
      <c r="F105" s="138" t="str">
        <f aca="false">ExportRaw!$H105</f>
        <v/>
      </c>
      <c r="G105" s="140" t="str">
        <f aca="false">ExportRaw!$I105</f>
        <v/>
      </c>
      <c r="H105" s="138" t="str">
        <f aca="false">ExportRaw!$A105</f>
        <v/>
      </c>
      <c r="I105" s="138" t="str">
        <f aca="false">ExportRaw!$B105</f>
        <v/>
      </c>
    </row>
    <row r="106" customFormat="false" ht="15.75" hidden="false" customHeight="false" outlineLevel="0" collapsed="false">
      <c r="A106" s="138" t="n">
        <f aca="false">ExportRaw!$F106</f>
        <v>0</v>
      </c>
      <c r="B106" s="138" t="n">
        <f aca="false">ExportRaw!$C106</f>
        <v>0</v>
      </c>
      <c r="C106" s="138" t="n">
        <f aca="false">ExportRaw!$G106</f>
        <v>0</v>
      </c>
      <c r="D106" s="138" t="str">
        <f aca="false">ExportRaw!$E106</f>
        <v/>
      </c>
      <c r="E106" s="139" t="str">
        <f aca="false">ExportRaw!$D106</f>
        <v/>
      </c>
      <c r="F106" s="138" t="str">
        <f aca="false">ExportRaw!$H106</f>
        <v/>
      </c>
      <c r="G106" s="140" t="str">
        <f aca="false">ExportRaw!$I106</f>
        <v/>
      </c>
      <c r="H106" s="138" t="str">
        <f aca="false">ExportRaw!$A106</f>
        <v/>
      </c>
      <c r="I106" s="138" t="str">
        <f aca="false">ExportRaw!$B106</f>
        <v/>
      </c>
    </row>
    <row r="107" customFormat="false" ht="15.75" hidden="false" customHeight="false" outlineLevel="0" collapsed="false">
      <c r="A107" s="138" t="n">
        <f aca="false">ExportRaw!$F107</f>
        <v>0</v>
      </c>
      <c r="B107" s="138" t="n">
        <f aca="false">ExportRaw!$C107</f>
        <v>0</v>
      </c>
      <c r="C107" s="138" t="n">
        <f aca="false">ExportRaw!$G107</f>
        <v>0</v>
      </c>
      <c r="D107" s="138" t="str">
        <f aca="false">ExportRaw!$E107</f>
        <v/>
      </c>
      <c r="E107" s="139" t="str">
        <f aca="false">ExportRaw!$D107</f>
        <v/>
      </c>
      <c r="F107" s="138" t="str">
        <f aca="false">ExportRaw!$H107</f>
        <v/>
      </c>
      <c r="G107" s="140" t="str">
        <f aca="false">ExportRaw!$I107</f>
        <v/>
      </c>
      <c r="H107" s="138" t="str">
        <f aca="false">ExportRaw!$A107</f>
        <v/>
      </c>
      <c r="I107" s="138" t="str">
        <f aca="false">ExportRaw!$B107</f>
        <v/>
      </c>
    </row>
    <row r="108" customFormat="false" ht="15.75" hidden="false" customHeight="false" outlineLevel="0" collapsed="false">
      <c r="A108" s="138" t="n">
        <f aca="false">ExportRaw!$F108</f>
        <v>0</v>
      </c>
      <c r="B108" s="138" t="n">
        <f aca="false">ExportRaw!$C108</f>
        <v>0</v>
      </c>
      <c r="C108" s="138" t="n">
        <f aca="false">ExportRaw!$G108</f>
        <v>0</v>
      </c>
      <c r="D108" s="138" t="str">
        <f aca="false">ExportRaw!$E108</f>
        <v/>
      </c>
      <c r="E108" s="139" t="str">
        <f aca="false">ExportRaw!$D108</f>
        <v/>
      </c>
      <c r="F108" s="138" t="str">
        <f aca="false">ExportRaw!$H108</f>
        <v/>
      </c>
      <c r="G108" s="140" t="str">
        <f aca="false">ExportRaw!$I108</f>
        <v/>
      </c>
      <c r="H108" s="138" t="str">
        <f aca="false">ExportRaw!$A108</f>
        <v/>
      </c>
      <c r="I108" s="138" t="str">
        <f aca="false">ExportRaw!$B108</f>
        <v/>
      </c>
    </row>
    <row r="109" customFormat="false" ht="15.75" hidden="false" customHeight="false" outlineLevel="0" collapsed="false">
      <c r="A109" s="138" t="n">
        <f aca="false">ExportRaw!$F109</f>
        <v>0</v>
      </c>
      <c r="B109" s="138" t="n">
        <f aca="false">ExportRaw!$C109</f>
        <v>0</v>
      </c>
      <c r="C109" s="138" t="n">
        <f aca="false">ExportRaw!$G109</f>
        <v>0</v>
      </c>
      <c r="D109" s="138" t="str">
        <f aca="false">ExportRaw!$E109</f>
        <v/>
      </c>
      <c r="E109" s="139" t="str">
        <f aca="false">ExportRaw!$D109</f>
        <v/>
      </c>
      <c r="F109" s="138" t="str">
        <f aca="false">ExportRaw!$H109</f>
        <v/>
      </c>
      <c r="G109" s="140" t="str">
        <f aca="false">ExportRaw!$I109</f>
        <v/>
      </c>
      <c r="H109" s="138" t="str">
        <f aca="false">ExportRaw!$A109</f>
        <v/>
      </c>
      <c r="I109" s="138" t="str">
        <f aca="false">ExportRaw!$B109</f>
        <v/>
      </c>
    </row>
    <row r="110" customFormat="false" ht="15.75" hidden="false" customHeight="false" outlineLevel="0" collapsed="false">
      <c r="A110" s="138" t="n">
        <f aca="false">ExportRaw!$F110</f>
        <v>0</v>
      </c>
      <c r="B110" s="138" t="n">
        <f aca="false">ExportRaw!$C110</f>
        <v>0</v>
      </c>
      <c r="C110" s="138" t="n">
        <f aca="false">ExportRaw!$G110</f>
        <v>0</v>
      </c>
      <c r="D110" s="138" t="str">
        <f aca="false">ExportRaw!$E110</f>
        <v/>
      </c>
      <c r="E110" s="139" t="str">
        <f aca="false">ExportRaw!$D110</f>
        <v/>
      </c>
      <c r="F110" s="138" t="str">
        <f aca="false">ExportRaw!$H110</f>
        <v/>
      </c>
      <c r="G110" s="140" t="str">
        <f aca="false">ExportRaw!$I110</f>
        <v/>
      </c>
      <c r="H110" s="138" t="str">
        <f aca="false">ExportRaw!$A110</f>
        <v/>
      </c>
      <c r="I110" s="138" t="str">
        <f aca="false">ExportRaw!$B110</f>
        <v/>
      </c>
    </row>
    <row r="111" customFormat="false" ht="15.75" hidden="false" customHeight="false" outlineLevel="0" collapsed="false">
      <c r="A111" s="138" t="n">
        <f aca="false">ExportRaw!$F111</f>
        <v>0</v>
      </c>
      <c r="B111" s="138" t="n">
        <f aca="false">ExportRaw!$C111</f>
        <v>0</v>
      </c>
      <c r="C111" s="138" t="n">
        <f aca="false">ExportRaw!$G111</f>
        <v>0</v>
      </c>
      <c r="D111" s="138" t="str">
        <f aca="false">ExportRaw!$E111</f>
        <v/>
      </c>
      <c r="E111" s="139" t="str">
        <f aca="false">ExportRaw!$D111</f>
        <v/>
      </c>
      <c r="F111" s="138" t="str">
        <f aca="false">ExportRaw!$H111</f>
        <v/>
      </c>
      <c r="G111" s="140" t="str">
        <f aca="false">ExportRaw!$I111</f>
        <v/>
      </c>
      <c r="H111" s="138" t="str">
        <f aca="false">ExportRaw!$A111</f>
        <v/>
      </c>
      <c r="I111" s="138" t="str">
        <f aca="false">ExportRaw!$B111</f>
        <v/>
      </c>
    </row>
    <row r="112" customFormat="false" ht="15.75" hidden="false" customHeight="false" outlineLevel="0" collapsed="false">
      <c r="A112" s="138" t="n">
        <f aca="false">ExportRaw!$F112</f>
        <v>0</v>
      </c>
      <c r="B112" s="138" t="n">
        <f aca="false">ExportRaw!$C112</f>
        <v>0</v>
      </c>
      <c r="C112" s="138" t="n">
        <f aca="false">ExportRaw!$G112</f>
        <v>0</v>
      </c>
      <c r="D112" s="138" t="str">
        <f aca="false">ExportRaw!$E112</f>
        <v/>
      </c>
      <c r="E112" s="139" t="str">
        <f aca="false">ExportRaw!$D112</f>
        <v/>
      </c>
      <c r="F112" s="138" t="str">
        <f aca="false">ExportRaw!$H112</f>
        <v/>
      </c>
      <c r="G112" s="140" t="str">
        <f aca="false">ExportRaw!$I112</f>
        <v/>
      </c>
      <c r="H112" s="138" t="str">
        <f aca="false">ExportRaw!$A112</f>
        <v/>
      </c>
      <c r="I112" s="138" t="str">
        <f aca="false">ExportRaw!$B112</f>
        <v/>
      </c>
    </row>
    <row r="113" customFormat="false" ht="15.75" hidden="false" customHeight="false" outlineLevel="0" collapsed="false">
      <c r="A113" s="138" t="n">
        <f aca="false">ExportRaw!$F113</f>
        <v>0</v>
      </c>
      <c r="B113" s="138" t="n">
        <f aca="false">ExportRaw!$C113</f>
        <v>0</v>
      </c>
      <c r="C113" s="138" t="n">
        <f aca="false">ExportRaw!$G113</f>
        <v>0</v>
      </c>
      <c r="D113" s="138" t="str">
        <f aca="false">ExportRaw!$E113</f>
        <v/>
      </c>
      <c r="E113" s="139" t="str">
        <f aca="false">ExportRaw!$D113</f>
        <v/>
      </c>
      <c r="F113" s="138" t="str">
        <f aca="false">ExportRaw!$H113</f>
        <v/>
      </c>
      <c r="G113" s="140" t="str">
        <f aca="false">ExportRaw!$I113</f>
        <v/>
      </c>
      <c r="H113" s="138" t="str">
        <f aca="false">ExportRaw!$A113</f>
        <v/>
      </c>
      <c r="I113" s="138" t="str">
        <f aca="false">ExportRaw!$B113</f>
        <v/>
      </c>
    </row>
    <row r="114" customFormat="false" ht="15.75" hidden="false" customHeight="false" outlineLevel="0" collapsed="false">
      <c r="A114" s="138" t="n">
        <f aca="false">ExportRaw!$F114</f>
        <v>0</v>
      </c>
      <c r="B114" s="138" t="n">
        <f aca="false">ExportRaw!$C114</f>
        <v>0</v>
      </c>
      <c r="C114" s="138" t="n">
        <f aca="false">ExportRaw!$G114</f>
        <v>0</v>
      </c>
      <c r="D114" s="138" t="str">
        <f aca="false">ExportRaw!$E114</f>
        <v/>
      </c>
      <c r="E114" s="139" t="str">
        <f aca="false">ExportRaw!$D114</f>
        <v/>
      </c>
      <c r="F114" s="138" t="str">
        <f aca="false">ExportRaw!$H114</f>
        <v/>
      </c>
      <c r="G114" s="140" t="str">
        <f aca="false">ExportRaw!$I114</f>
        <v/>
      </c>
      <c r="H114" s="138" t="str">
        <f aca="false">ExportRaw!$A114</f>
        <v/>
      </c>
      <c r="I114" s="138" t="str">
        <f aca="false">ExportRaw!$B114</f>
        <v/>
      </c>
    </row>
    <row r="115" customFormat="false" ht="15.75" hidden="false" customHeight="false" outlineLevel="0" collapsed="false">
      <c r="A115" s="138" t="n">
        <f aca="false">ExportRaw!$F115</f>
        <v>0</v>
      </c>
      <c r="B115" s="138" t="n">
        <f aca="false">ExportRaw!$C115</f>
        <v>0</v>
      </c>
      <c r="C115" s="138" t="n">
        <f aca="false">ExportRaw!$G115</f>
        <v>0</v>
      </c>
      <c r="D115" s="138" t="str">
        <f aca="false">ExportRaw!$E115</f>
        <v/>
      </c>
      <c r="E115" s="139" t="str">
        <f aca="false">ExportRaw!$D115</f>
        <v/>
      </c>
      <c r="F115" s="138" t="str">
        <f aca="false">ExportRaw!$H115</f>
        <v/>
      </c>
      <c r="G115" s="140" t="str">
        <f aca="false">ExportRaw!$I115</f>
        <v/>
      </c>
      <c r="H115" s="138" t="str">
        <f aca="false">ExportRaw!$A115</f>
        <v/>
      </c>
      <c r="I115" s="138" t="str">
        <f aca="false">ExportRaw!$B115</f>
        <v/>
      </c>
    </row>
    <row r="116" customFormat="false" ht="15.75" hidden="false" customHeight="false" outlineLevel="0" collapsed="false">
      <c r="A116" s="138" t="n">
        <f aca="false">ExportRaw!$F116</f>
        <v>0</v>
      </c>
      <c r="B116" s="138" t="n">
        <f aca="false">ExportRaw!$C116</f>
        <v>0</v>
      </c>
      <c r="C116" s="138" t="n">
        <f aca="false">ExportRaw!$G116</f>
        <v>0</v>
      </c>
      <c r="D116" s="138" t="str">
        <f aca="false">ExportRaw!$E116</f>
        <v/>
      </c>
      <c r="E116" s="139" t="str">
        <f aca="false">ExportRaw!$D116</f>
        <v/>
      </c>
      <c r="F116" s="138" t="str">
        <f aca="false">ExportRaw!$H116</f>
        <v/>
      </c>
      <c r="G116" s="140" t="str">
        <f aca="false">ExportRaw!$I116</f>
        <v/>
      </c>
      <c r="H116" s="138" t="str">
        <f aca="false">ExportRaw!$A116</f>
        <v/>
      </c>
      <c r="I116" s="138" t="str">
        <f aca="false">ExportRaw!$B116</f>
        <v/>
      </c>
    </row>
    <row r="117" customFormat="false" ht="15.75" hidden="false" customHeight="false" outlineLevel="0" collapsed="false">
      <c r="A117" s="138" t="n">
        <f aca="false">ExportRaw!$F117</f>
        <v>0</v>
      </c>
      <c r="B117" s="138" t="n">
        <f aca="false">ExportRaw!$C117</f>
        <v>0</v>
      </c>
      <c r="C117" s="138" t="n">
        <f aca="false">ExportRaw!$G117</f>
        <v>0</v>
      </c>
      <c r="D117" s="138" t="str">
        <f aca="false">ExportRaw!$E117</f>
        <v/>
      </c>
      <c r="E117" s="139" t="str">
        <f aca="false">ExportRaw!$D117</f>
        <v/>
      </c>
      <c r="F117" s="138" t="str">
        <f aca="false">ExportRaw!$H117</f>
        <v/>
      </c>
      <c r="G117" s="140" t="str">
        <f aca="false">ExportRaw!$I117</f>
        <v/>
      </c>
      <c r="H117" s="138" t="str">
        <f aca="false">ExportRaw!$A117</f>
        <v/>
      </c>
      <c r="I117" s="138" t="str">
        <f aca="false">ExportRaw!$B117</f>
        <v/>
      </c>
    </row>
    <row r="118" customFormat="false" ht="15.75" hidden="false" customHeight="false" outlineLevel="0" collapsed="false">
      <c r="A118" s="138" t="n">
        <f aca="false">ExportRaw!$F118</f>
        <v>0</v>
      </c>
      <c r="B118" s="138" t="n">
        <f aca="false">ExportRaw!$C118</f>
        <v>0</v>
      </c>
      <c r="C118" s="138" t="n">
        <f aca="false">ExportRaw!$G118</f>
        <v>0</v>
      </c>
      <c r="D118" s="138" t="str">
        <f aca="false">ExportRaw!$E118</f>
        <v/>
      </c>
      <c r="E118" s="139" t="str">
        <f aca="false">ExportRaw!$D118</f>
        <v/>
      </c>
      <c r="F118" s="138" t="str">
        <f aca="false">ExportRaw!$H118</f>
        <v/>
      </c>
      <c r="G118" s="140" t="str">
        <f aca="false">ExportRaw!$I118</f>
        <v/>
      </c>
      <c r="H118" s="138" t="str">
        <f aca="false">ExportRaw!$A118</f>
        <v/>
      </c>
      <c r="I118" s="138" t="str">
        <f aca="false">ExportRaw!$B118</f>
        <v/>
      </c>
    </row>
    <row r="119" customFormat="false" ht="15.75" hidden="false" customHeight="false" outlineLevel="0" collapsed="false">
      <c r="A119" s="138" t="n">
        <f aca="false">ExportRaw!$F119</f>
        <v>0</v>
      </c>
      <c r="B119" s="138" t="n">
        <f aca="false">ExportRaw!$C119</f>
        <v>0</v>
      </c>
      <c r="C119" s="138" t="n">
        <f aca="false">ExportRaw!$G119</f>
        <v>0</v>
      </c>
      <c r="D119" s="138" t="str">
        <f aca="false">ExportRaw!$E119</f>
        <v/>
      </c>
      <c r="E119" s="139" t="str">
        <f aca="false">ExportRaw!$D119</f>
        <v/>
      </c>
      <c r="F119" s="138" t="str">
        <f aca="false">ExportRaw!$H119</f>
        <v/>
      </c>
      <c r="G119" s="140" t="str">
        <f aca="false">ExportRaw!$I119</f>
        <v/>
      </c>
      <c r="H119" s="138" t="str">
        <f aca="false">ExportRaw!$A119</f>
        <v/>
      </c>
      <c r="I119" s="138" t="str">
        <f aca="false">ExportRaw!$B119</f>
        <v/>
      </c>
    </row>
    <row r="120" customFormat="false" ht="15.75" hidden="false" customHeight="false" outlineLevel="0" collapsed="false">
      <c r="A120" s="138" t="n">
        <f aca="false">ExportRaw!$F120</f>
        <v>0</v>
      </c>
      <c r="B120" s="138" t="n">
        <f aca="false">ExportRaw!$C120</f>
        <v>0</v>
      </c>
      <c r="C120" s="138" t="n">
        <f aca="false">ExportRaw!$G120</f>
        <v>0</v>
      </c>
      <c r="D120" s="138" t="str">
        <f aca="false">ExportRaw!$E120</f>
        <v/>
      </c>
      <c r="E120" s="139" t="str">
        <f aca="false">ExportRaw!$D120</f>
        <v/>
      </c>
      <c r="F120" s="138" t="str">
        <f aca="false">ExportRaw!$H120</f>
        <v/>
      </c>
      <c r="G120" s="140" t="str">
        <f aca="false">ExportRaw!$I120</f>
        <v/>
      </c>
      <c r="H120" s="138" t="str">
        <f aca="false">ExportRaw!$A120</f>
        <v/>
      </c>
      <c r="I120" s="138" t="str">
        <f aca="false">ExportRaw!$B120</f>
        <v/>
      </c>
    </row>
    <row r="121" customFormat="false" ht="15.75" hidden="false" customHeight="false" outlineLevel="0" collapsed="false">
      <c r="A121" s="138" t="n">
        <f aca="false">ExportRaw!$F121</f>
        <v>0</v>
      </c>
      <c r="B121" s="138" t="n">
        <f aca="false">ExportRaw!$C121</f>
        <v>0</v>
      </c>
      <c r="C121" s="138" t="n">
        <f aca="false">ExportRaw!$G121</f>
        <v>0</v>
      </c>
      <c r="D121" s="138" t="str">
        <f aca="false">ExportRaw!$E121</f>
        <v/>
      </c>
      <c r="E121" s="139" t="str">
        <f aca="false">ExportRaw!$D121</f>
        <v/>
      </c>
      <c r="F121" s="138" t="str">
        <f aca="false">ExportRaw!$H121</f>
        <v/>
      </c>
      <c r="G121" s="140" t="str">
        <f aca="false">ExportRaw!$I121</f>
        <v/>
      </c>
      <c r="H121" s="138" t="str">
        <f aca="false">ExportRaw!$A121</f>
        <v/>
      </c>
      <c r="I121" s="138" t="str">
        <f aca="false">ExportRaw!$B121</f>
        <v/>
      </c>
    </row>
    <row r="122" customFormat="false" ht="15.75" hidden="false" customHeight="false" outlineLevel="0" collapsed="false">
      <c r="A122" s="138" t="n">
        <f aca="false">ExportRaw!$F122</f>
        <v>0</v>
      </c>
      <c r="B122" s="138" t="n">
        <f aca="false">ExportRaw!$C122</f>
        <v>0</v>
      </c>
      <c r="C122" s="138" t="n">
        <f aca="false">ExportRaw!$G122</f>
        <v>0</v>
      </c>
      <c r="D122" s="138" t="str">
        <f aca="false">ExportRaw!$E122</f>
        <v/>
      </c>
      <c r="E122" s="139" t="str">
        <f aca="false">ExportRaw!$D122</f>
        <v/>
      </c>
      <c r="F122" s="138" t="str">
        <f aca="false">ExportRaw!$H122</f>
        <v/>
      </c>
      <c r="G122" s="140" t="str">
        <f aca="false">ExportRaw!$I122</f>
        <v/>
      </c>
      <c r="H122" s="138" t="str">
        <f aca="false">ExportRaw!$A122</f>
        <v/>
      </c>
      <c r="I122" s="138" t="str">
        <f aca="false">ExportRaw!$B122</f>
        <v/>
      </c>
    </row>
    <row r="123" customFormat="false" ht="15.75" hidden="false" customHeight="false" outlineLevel="0" collapsed="false">
      <c r="A123" s="138" t="n">
        <f aca="false">ExportRaw!$F123</f>
        <v>0</v>
      </c>
      <c r="B123" s="138" t="n">
        <f aca="false">ExportRaw!$C123</f>
        <v>0</v>
      </c>
      <c r="C123" s="138" t="n">
        <f aca="false">ExportRaw!$G123</f>
        <v>0</v>
      </c>
      <c r="D123" s="138" t="str">
        <f aca="false">ExportRaw!$E123</f>
        <v/>
      </c>
      <c r="E123" s="139" t="str">
        <f aca="false">ExportRaw!$D123</f>
        <v/>
      </c>
      <c r="F123" s="138" t="str">
        <f aca="false">ExportRaw!$H123</f>
        <v/>
      </c>
      <c r="G123" s="140" t="str">
        <f aca="false">ExportRaw!$I123</f>
        <v/>
      </c>
      <c r="H123" s="138" t="str">
        <f aca="false">ExportRaw!$A123</f>
        <v/>
      </c>
      <c r="I123" s="138" t="str">
        <f aca="false">ExportRaw!$B123</f>
        <v/>
      </c>
    </row>
    <row r="124" customFormat="false" ht="15.75" hidden="false" customHeight="false" outlineLevel="0" collapsed="false">
      <c r="A124" s="138" t="n">
        <f aca="false">ExportRaw!$F124</f>
        <v>0</v>
      </c>
      <c r="B124" s="138" t="n">
        <f aca="false">ExportRaw!$C124</f>
        <v>0</v>
      </c>
      <c r="C124" s="138" t="n">
        <f aca="false">ExportRaw!$G124</f>
        <v>0</v>
      </c>
      <c r="D124" s="138" t="str">
        <f aca="false">ExportRaw!$E124</f>
        <v/>
      </c>
      <c r="E124" s="139" t="str">
        <f aca="false">ExportRaw!$D124</f>
        <v/>
      </c>
      <c r="F124" s="138" t="str">
        <f aca="false">ExportRaw!$H124</f>
        <v/>
      </c>
      <c r="G124" s="140" t="str">
        <f aca="false">ExportRaw!$I124</f>
        <v/>
      </c>
      <c r="H124" s="138" t="str">
        <f aca="false">ExportRaw!$A124</f>
        <v/>
      </c>
      <c r="I124" s="138" t="str">
        <f aca="false">ExportRaw!$B124</f>
        <v/>
      </c>
    </row>
    <row r="125" customFormat="false" ht="15.75" hidden="false" customHeight="false" outlineLevel="0" collapsed="false">
      <c r="A125" s="138" t="n">
        <f aca="false">ExportRaw!$F125</f>
        <v>0</v>
      </c>
      <c r="B125" s="138" t="n">
        <f aca="false">ExportRaw!$C125</f>
        <v>0</v>
      </c>
      <c r="C125" s="138" t="n">
        <f aca="false">ExportRaw!$G125</f>
        <v>0</v>
      </c>
      <c r="D125" s="138" t="str">
        <f aca="false">ExportRaw!$E125</f>
        <v/>
      </c>
      <c r="E125" s="139" t="str">
        <f aca="false">ExportRaw!$D125</f>
        <v/>
      </c>
      <c r="F125" s="138" t="str">
        <f aca="false">ExportRaw!$H125</f>
        <v/>
      </c>
      <c r="G125" s="140" t="str">
        <f aca="false">ExportRaw!$I125</f>
        <v/>
      </c>
      <c r="H125" s="138" t="str">
        <f aca="false">ExportRaw!$A125</f>
        <v/>
      </c>
      <c r="I125" s="138" t="str">
        <f aca="false">ExportRaw!$B125</f>
        <v/>
      </c>
    </row>
    <row r="126" customFormat="false" ht="15.75" hidden="false" customHeight="false" outlineLevel="0" collapsed="false">
      <c r="A126" s="138" t="n">
        <f aca="false">ExportRaw!$F126</f>
        <v>0</v>
      </c>
      <c r="B126" s="138" t="n">
        <f aca="false">ExportRaw!$C126</f>
        <v>0</v>
      </c>
      <c r="C126" s="138" t="n">
        <f aca="false">ExportRaw!$G126</f>
        <v>0</v>
      </c>
      <c r="D126" s="138" t="str">
        <f aca="false">ExportRaw!$E126</f>
        <v/>
      </c>
      <c r="E126" s="139" t="str">
        <f aca="false">ExportRaw!$D126</f>
        <v/>
      </c>
      <c r="F126" s="138" t="str">
        <f aca="false">ExportRaw!$H126</f>
        <v/>
      </c>
      <c r="G126" s="140" t="str">
        <f aca="false">ExportRaw!$I126</f>
        <v/>
      </c>
      <c r="H126" s="138" t="str">
        <f aca="false">ExportRaw!$A126</f>
        <v/>
      </c>
      <c r="I126" s="138" t="str">
        <f aca="false">ExportRaw!$B126</f>
        <v/>
      </c>
    </row>
    <row r="127" customFormat="false" ht="15.75" hidden="false" customHeight="false" outlineLevel="0" collapsed="false">
      <c r="A127" s="138" t="n">
        <f aca="false">ExportRaw!$F127</f>
        <v>0</v>
      </c>
      <c r="B127" s="138" t="n">
        <f aca="false">ExportRaw!$C127</f>
        <v>0</v>
      </c>
      <c r="C127" s="138" t="n">
        <f aca="false">ExportRaw!$G127</f>
        <v>0</v>
      </c>
      <c r="D127" s="138" t="str">
        <f aca="false">ExportRaw!$E127</f>
        <v/>
      </c>
      <c r="E127" s="139" t="str">
        <f aca="false">ExportRaw!$D127</f>
        <v/>
      </c>
      <c r="F127" s="138" t="str">
        <f aca="false">ExportRaw!$H127</f>
        <v/>
      </c>
      <c r="G127" s="140" t="str">
        <f aca="false">ExportRaw!$I127</f>
        <v/>
      </c>
      <c r="H127" s="138" t="str">
        <f aca="false">ExportRaw!$A127</f>
        <v/>
      </c>
      <c r="I127" s="138" t="str">
        <f aca="false">ExportRaw!$B127</f>
        <v/>
      </c>
    </row>
    <row r="128" customFormat="false" ht="15.75" hidden="false" customHeight="false" outlineLevel="0" collapsed="false">
      <c r="A128" s="138" t="n">
        <f aca="false">ExportRaw!$F128</f>
        <v>0</v>
      </c>
      <c r="B128" s="138" t="n">
        <f aca="false">ExportRaw!$C128</f>
        <v>0</v>
      </c>
      <c r="C128" s="138" t="n">
        <f aca="false">ExportRaw!$G128</f>
        <v>0</v>
      </c>
      <c r="D128" s="138" t="str">
        <f aca="false">ExportRaw!$E128</f>
        <v/>
      </c>
      <c r="E128" s="139" t="str">
        <f aca="false">ExportRaw!$D128</f>
        <v/>
      </c>
      <c r="F128" s="138" t="str">
        <f aca="false">ExportRaw!$H128</f>
        <v/>
      </c>
      <c r="G128" s="140" t="str">
        <f aca="false">ExportRaw!$I128</f>
        <v/>
      </c>
      <c r="H128" s="138" t="str">
        <f aca="false">ExportRaw!$A128</f>
        <v/>
      </c>
      <c r="I128" s="138" t="str">
        <f aca="false">ExportRaw!$B128</f>
        <v/>
      </c>
    </row>
    <row r="129" customFormat="false" ht="15.75" hidden="false" customHeight="false" outlineLevel="0" collapsed="false">
      <c r="A129" s="138" t="n">
        <f aca="false">ExportRaw!$F129</f>
        <v>0</v>
      </c>
      <c r="B129" s="138" t="n">
        <f aca="false">ExportRaw!$C129</f>
        <v>0</v>
      </c>
      <c r="C129" s="138" t="n">
        <f aca="false">ExportRaw!$G129</f>
        <v>0</v>
      </c>
      <c r="D129" s="138" t="str">
        <f aca="false">ExportRaw!$E129</f>
        <v/>
      </c>
      <c r="E129" s="139" t="str">
        <f aca="false">ExportRaw!$D129</f>
        <v/>
      </c>
      <c r="F129" s="138" t="str">
        <f aca="false">ExportRaw!$H129</f>
        <v/>
      </c>
      <c r="G129" s="140" t="str">
        <f aca="false">ExportRaw!$I129</f>
        <v/>
      </c>
      <c r="H129" s="138" t="str">
        <f aca="false">ExportRaw!$A129</f>
        <v/>
      </c>
      <c r="I129" s="138" t="str">
        <f aca="false">ExportRaw!$B129</f>
        <v/>
      </c>
    </row>
    <row r="130" customFormat="false" ht="15.75" hidden="false" customHeight="false" outlineLevel="0" collapsed="false">
      <c r="A130" s="138" t="n">
        <f aca="false">ExportRaw!$F130</f>
        <v>0</v>
      </c>
      <c r="B130" s="138" t="n">
        <f aca="false">ExportRaw!$C130</f>
        <v>0</v>
      </c>
      <c r="C130" s="138" t="n">
        <f aca="false">ExportRaw!$G130</f>
        <v>0</v>
      </c>
      <c r="D130" s="138" t="str">
        <f aca="false">ExportRaw!$E130</f>
        <v/>
      </c>
      <c r="E130" s="139" t="str">
        <f aca="false">ExportRaw!$D130</f>
        <v/>
      </c>
      <c r="F130" s="138" t="str">
        <f aca="false">ExportRaw!$H130</f>
        <v/>
      </c>
      <c r="G130" s="140" t="str">
        <f aca="false">ExportRaw!$I130</f>
        <v/>
      </c>
      <c r="H130" s="138" t="str">
        <f aca="false">ExportRaw!$A130</f>
        <v/>
      </c>
      <c r="I130" s="138" t="str">
        <f aca="false">ExportRaw!$B130</f>
        <v/>
      </c>
    </row>
    <row r="131" customFormat="false" ht="15.75" hidden="false" customHeight="false" outlineLevel="0" collapsed="false">
      <c r="A131" s="138" t="n">
        <f aca="false">ExportRaw!$F131</f>
        <v>0</v>
      </c>
      <c r="B131" s="138" t="n">
        <f aca="false">ExportRaw!$C131</f>
        <v>0</v>
      </c>
      <c r="C131" s="138" t="n">
        <f aca="false">ExportRaw!$G131</f>
        <v>0</v>
      </c>
      <c r="D131" s="138" t="str">
        <f aca="false">ExportRaw!$E131</f>
        <v/>
      </c>
      <c r="E131" s="139" t="str">
        <f aca="false">ExportRaw!$D131</f>
        <v/>
      </c>
      <c r="F131" s="138" t="str">
        <f aca="false">ExportRaw!$H131</f>
        <v/>
      </c>
      <c r="G131" s="140" t="str">
        <f aca="false">ExportRaw!$I131</f>
        <v/>
      </c>
      <c r="H131" s="138" t="str">
        <f aca="false">ExportRaw!$A131</f>
        <v/>
      </c>
      <c r="I131" s="138" t="str">
        <f aca="false">ExportRaw!$B131</f>
        <v/>
      </c>
    </row>
    <row r="132" customFormat="false" ht="15.75" hidden="false" customHeight="false" outlineLevel="0" collapsed="false">
      <c r="A132" s="138" t="n">
        <f aca="false">ExportRaw!$F132</f>
        <v>0</v>
      </c>
      <c r="B132" s="138" t="n">
        <f aca="false">ExportRaw!$C132</f>
        <v>0</v>
      </c>
      <c r="C132" s="138" t="n">
        <f aca="false">ExportRaw!$G132</f>
        <v>0</v>
      </c>
      <c r="D132" s="138" t="str">
        <f aca="false">ExportRaw!$E132</f>
        <v/>
      </c>
      <c r="E132" s="139" t="str">
        <f aca="false">ExportRaw!$D132</f>
        <v/>
      </c>
      <c r="F132" s="138" t="str">
        <f aca="false">ExportRaw!$H132</f>
        <v/>
      </c>
      <c r="G132" s="140" t="str">
        <f aca="false">ExportRaw!$I132</f>
        <v/>
      </c>
      <c r="H132" s="138" t="str">
        <f aca="false">ExportRaw!$A132</f>
        <v/>
      </c>
      <c r="I132" s="138" t="str">
        <f aca="false">ExportRaw!$B132</f>
        <v/>
      </c>
    </row>
    <row r="133" customFormat="false" ht="15.75" hidden="false" customHeight="false" outlineLevel="0" collapsed="false">
      <c r="A133" s="138" t="n">
        <f aca="false">ExportRaw!$F133</f>
        <v>0</v>
      </c>
      <c r="B133" s="138" t="n">
        <f aca="false">ExportRaw!$C133</f>
        <v>0</v>
      </c>
      <c r="C133" s="138" t="n">
        <f aca="false">ExportRaw!$G133</f>
        <v>0</v>
      </c>
      <c r="D133" s="138" t="str">
        <f aca="false">ExportRaw!$E133</f>
        <v/>
      </c>
      <c r="E133" s="139" t="str">
        <f aca="false">ExportRaw!$D133</f>
        <v/>
      </c>
      <c r="F133" s="138" t="str">
        <f aca="false">ExportRaw!$H133</f>
        <v/>
      </c>
      <c r="G133" s="140" t="str">
        <f aca="false">ExportRaw!$I133</f>
        <v/>
      </c>
      <c r="H133" s="138" t="str">
        <f aca="false">ExportRaw!$A133</f>
        <v/>
      </c>
      <c r="I133" s="138" t="str">
        <f aca="false">ExportRaw!$B133</f>
        <v/>
      </c>
    </row>
    <row r="134" customFormat="false" ht="15.75" hidden="false" customHeight="false" outlineLevel="0" collapsed="false">
      <c r="A134" s="138" t="n">
        <f aca="false">ExportRaw!$F134</f>
        <v>0</v>
      </c>
      <c r="B134" s="138" t="n">
        <f aca="false">ExportRaw!$C134</f>
        <v>0</v>
      </c>
      <c r="C134" s="138" t="n">
        <f aca="false">ExportRaw!$G134</f>
        <v>0</v>
      </c>
      <c r="D134" s="138" t="str">
        <f aca="false">ExportRaw!$E134</f>
        <v/>
      </c>
      <c r="E134" s="139" t="str">
        <f aca="false">ExportRaw!$D134</f>
        <v/>
      </c>
      <c r="F134" s="138" t="str">
        <f aca="false">ExportRaw!$H134</f>
        <v/>
      </c>
      <c r="G134" s="140" t="str">
        <f aca="false">ExportRaw!$I134</f>
        <v/>
      </c>
      <c r="H134" s="138" t="str">
        <f aca="false">ExportRaw!$A134</f>
        <v/>
      </c>
      <c r="I134" s="138" t="str">
        <f aca="false">ExportRaw!$B134</f>
        <v/>
      </c>
    </row>
    <row r="135" customFormat="false" ht="15.75" hidden="false" customHeight="false" outlineLevel="0" collapsed="false">
      <c r="A135" s="138" t="n">
        <f aca="false">ExportRaw!$F135</f>
        <v>0</v>
      </c>
      <c r="B135" s="138" t="n">
        <f aca="false">ExportRaw!$C135</f>
        <v>0</v>
      </c>
      <c r="C135" s="138" t="n">
        <f aca="false">ExportRaw!$G135</f>
        <v>0</v>
      </c>
      <c r="D135" s="138" t="str">
        <f aca="false">ExportRaw!$E135</f>
        <v/>
      </c>
      <c r="E135" s="139" t="str">
        <f aca="false">ExportRaw!$D135</f>
        <v/>
      </c>
      <c r="F135" s="138" t="str">
        <f aca="false">ExportRaw!$H135</f>
        <v/>
      </c>
      <c r="G135" s="140" t="str">
        <f aca="false">ExportRaw!$I135</f>
        <v/>
      </c>
      <c r="H135" s="138" t="str">
        <f aca="false">ExportRaw!$A135</f>
        <v/>
      </c>
      <c r="I135" s="138" t="str">
        <f aca="false">ExportRaw!$B135</f>
        <v/>
      </c>
    </row>
    <row r="136" customFormat="false" ht="15.75" hidden="false" customHeight="false" outlineLevel="0" collapsed="false">
      <c r="A136" s="138" t="n">
        <f aca="false">ExportRaw!$F136</f>
        <v>0</v>
      </c>
      <c r="B136" s="138" t="n">
        <f aca="false">ExportRaw!$C136</f>
        <v>0</v>
      </c>
      <c r="C136" s="138" t="n">
        <f aca="false">ExportRaw!$G136</f>
        <v>0</v>
      </c>
      <c r="D136" s="138" t="str">
        <f aca="false">ExportRaw!$E136</f>
        <v/>
      </c>
      <c r="E136" s="139" t="str">
        <f aca="false">ExportRaw!$D136</f>
        <v/>
      </c>
      <c r="F136" s="138" t="str">
        <f aca="false">ExportRaw!$H136</f>
        <v/>
      </c>
      <c r="G136" s="140" t="str">
        <f aca="false">ExportRaw!$I136</f>
        <v/>
      </c>
      <c r="H136" s="138" t="str">
        <f aca="false">ExportRaw!$A136</f>
        <v/>
      </c>
      <c r="I136" s="138" t="str">
        <f aca="false">ExportRaw!$B136</f>
        <v/>
      </c>
    </row>
    <row r="137" customFormat="false" ht="15.75" hidden="false" customHeight="false" outlineLevel="0" collapsed="false">
      <c r="A137" s="138" t="n">
        <f aca="false">ExportRaw!$F137</f>
        <v>0</v>
      </c>
      <c r="B137" s="138" t="n">
        <f aca="false">ExportRaw!$C137</f>
        <v>0</v>
      </c>
      <c r="C137" s="138" t="n">
        <f aca="false">ExportRaw!$G137</f>
        <v>0</v>
      </c>
      <c r="D137" s="138" t="str">
        <f aca="false">ExportRaw!$E137</f>
        <v/>
      </c>
      <c r="E137" s="139" t="str">
        <f aca="false">ExportRaw!$D137</f>
        <v/>
      </c>
      <c r="F137" s="138" t="str">
        <f aca="false">ExportRaw!$H137</f>
        <v/>
      </c>
      <c r="G137" s="140" t="str">
        <f aca="false">ExportRaw!$I137</f>
        <v/>
      </c>
      <c r="H137" s="138" t="str">
        <f aca="false">ExportRaw!$A137</f>
        <v/>
      </c>
      <c r="I137" s="138" t="str">
        <f aca="false">ExportRaw!$B137</f>
        <v/>
      </c>
    </row>
    <row r="138" customFormat="false" ht="15.75" hidden="false" customHeight="false" outlineLevel="0" collapsed="false">
      <c r="A138" s="138" t="n">
        <f aca="false">ExportRaw!$F138</f>
        <v>0</v>
      </c>
      <c r="B138" s="138" t="n">
        <f aca="false">ExportRaw!$C138</f>
        <v>0</v>
      </c>
      <c r="C138" s="138" t="n">
        <f aca="false">ExportRaw!$G138</f>
        <v>0</v>
      </c>
      <c r="D138" s="138" t="str">
        <f aca="false">ExportRaw!$E138</f>
        <v/>
      </c>
      <c r="E138" s="139" t="str">
        <f aca="false">ExportRaw!$D138</f>
        <v/>
      </c>
      <c r="F138" s="138" t="str">
        <f aca="false">ExportRaw!$H138</f>
        <v/>
      </c>
      <c r="G138" s="140" t="str">
        <f aca="false">ExportRaw!$I138</f>
        <v/>
      </c>
      <c r="H138" s="138" t="str">
        <f aca="false">ExportRaw!$A138</f>
        <v/>
      </c>
      <c r="I138" s="138" t="str">
        <f aca="false">ExportRaw!$B138</f>
        <v/>
      </c>
    </row>
    <row r="139" customFormat="false" ht="15.75" hidden="false" customHeight="false" outlineLevel="0" collapsed="false">
      <c r="A139" s="138" t="n">
        <f aca="false">ExportRaw!$F139</f>
        <v>0</v>
      </c>
      <c r="B139" s="138" t="n">
        <f aca="false">ExportRaw!$C139</f>
        <v>0</v>
      </c>
      <c r="C139" s="138" t="n">
        <f aca="false">ExportRaw!$G139</f>
        <v>0</v>
      </c>
      <c r="D139" s="138" t="str">
        <f aca="false">ExportRaw!$E139</f>
        <v/>
      </c>
      <c r="E139" s="139" t="str">
        <f aca="false">ExportRaw!$D139</f>
        <v/>
      </c>
      <c r="F139" s="138" t="str">
        <f aca="false">ExportRaw!$H139</f>
        <v/>
      </c>
      <c r="G139" s="140" t="str">
        <f aca="false">ExportRaw!$I139</f>
        <v/>
      </c>
      <c r="H139" s="138" t="str">
        <f aca="false">ExportRaw!$A139</f>
        <v/>
      </c>
      <c r="I139" s="138" t="str">
        <f aca="false">ExportRaw!$B139</f>
        <v/>
      </c>
    </row>
    <row r="140" customFormat="false" ht="15.75" hidden="false" customHeight="false" outlineLevel="0" collapsed="false">
      <c r="A140" s="138" t="n">
        <f aca="false">ExportRaw!$F140</f>
        <v>0</v>
      </c>
      <c r="B140" s="138" t="n">
        <f aca="false">ExportRaw!$C140</f>
        <v>0</v>
      </c>
      <c r="C140" s="138" t="n">
        <f aca="false">ExportRaw!$G140</f>
        <v>0</v>
      </c>
      <c r="D140" s="138" t="str">
        <f aca="false">ExportRaw!$E140</f>
        <v/>
      </c>
      <c r="E140" s="139" t="str">
        <f aca="false">ExportRaw!$D140</f>
        <v/>
      </c>
      <c r="F140" s="138" t="str">
        <f aca="false">ExportRaw!$H140</f>
        <v/>
      </c>
      <c r="G140" s="140" t="str">
        <f aca="false">ExportRaw!$I140</f>
        <v/>
      </c>
      <c r="H140" s="138" t="str">
        <f aca="false">ExportRaw!$A140</f>
        <v/>
      </c>
      <c r="I140" s="138" t="str">
        <f aca="false">ExportRaw!$B140</f>
        <v/>
      </c>
    </row>
    <row r="141" customFormat="false" ht="15.75" hidden="false" customHeight="false" outlineLevel="0" collapsed="false">
      <c r="A141" s="138" t="n">
        <f aca="false">ExportRaw!$F141</f>
        <v>0</v>
      </c>
      <c r="B141" s="138" t="n">
        <f aca="false">ExportRaw!$C141</f>
        <v>0</v>
      </c>
      <c r="C141" s="138" t="n">
        <f aca="false">ExportRaw!$G141</f>
        <v>0</v>
      </c>
      <c r="D141" s="138" t="str">
        <f aca="false">ExportRaw!$E141</f>
        <v/>
      </c>
      <c r="E141" s="139" t="str">
        <f aca="false">ExportRaw!$D141</f>
        <v/>
      </c>
      <c r="F141" s="138" t="str">
        <f aca="false">ExportRaw!$H141</f>
        <v/>
      </c>
      <c r="G141" s="140" t="str">
        <f aca="false">ExportRaw!$I141</f>
        <v/>
      </c>
      <c r="H141" s="138" t="str">
        <f aca="false">ExportRaw!$A141</f>
        <v/>
      </c>
      <c r="I141" s="138" t="str">
        <f aca="false">ExportRaw!$B141</f>
        <v/>
      </c>
    </row>
    <row r="142" customFormat="false" ht="15.75" hidden="false" customHeight="false" outlineLevel="0" collapsed="false">
      <c r="A142" s="138" t="n">
        <f aca="false">ExportRaw!$F142</f>
        <v>0</v>
      </c>
      <c r="B142" s="138" t="n">
        <f aca="false">ExportRaw!$C142</f>
        <v>0</v>
      </c>
      <c r="C142" s="138" t="n">
        <f aca="false">ExportRaw!$G142</f>
        <v>0</v>
      </c>
      <c r="D142" s="138" t="str">
        <f aca="false">ExportRaw!$E142</f>
        <v/>
      </c>
      <c r="E142" s="139" t="str">
        <f aca="false">ExportRaw!$D142</f>
        <v/>
      </c>
      <c r="F142" s="138" t="str">
        <f aca="false">ExportRaw!$H142</f>
        <v/>
      </c>
      <c r="G142" s="140" t="str">
        <f aca="false">ExportRaw!$I142</f>
        <v/>
      </c>
      <c r="H142" s="138" t="str">
        <f aca="false">ExportRaw!$A142</f>
        <v/>
      </c>
      <c r="I142" s="138" t="str">
        <f aca="false">ExportRaw!$B142</f>
        <v/>
      </c>
    </row>
    <row r="143" customFormat="false" ht="15.75" hidden="false" customHeight="false" outlineLevel="0" collapsed="false">
      <c r="A143" s="138" t="n">
        <f aca="false">ExportRaw!$F143</f>
        <v>0</v>
      </c>
      <c r="B143" s="138" t="n">
        <f aca="false">ExportRaw!$C143</f>
        <v>0</v>
      </c>
      <c r="C143" s="138" t="n">
        <f aca="false">ExportRaw!$G143</f>
        <v>0</v>
      </c>
      <c r="D143" s="138" t="str">
        <f aca="false">ExportRaw!$E143</f>
        <v/>
      </c>
      <c r="E143" s="139" t="str">
        <f aca="false">ExportRaw!$D143</f>
        <v/>
      </c>
      <c r="F143" s="138" t="str">
        <f aca="false">ExportRaw!$H143</f>
        <v/>
      </c>
      <c r="G143" s="140" t="str">
        <f aca="false">ExportRaw!$I143</f>
        <v/>
      </c>
      <c r="H143" s="138" t="str">
        <f aca="false">ExportRaw!$A143</f>
        <v/>
      </c>
      <c r="I143" s="138" t="str">
        <f aca="false">ExportRaw!$B143</f>
        <v/>
      </c>
    </row>
    <row r="144" customFormat="false" ht="15.75" hidden="false" customHeight="false" outlineLevel="0" collapsed="false">
      <c r="A144" s="138" t="n">
        <f aca="false">ExportRaw!$F144</f>
        <v>0</v>
      </c>
      <c r="B144" s="138" t="n">
        <f aca="false">ExportRaw!$C144</f>
        <v>0</v>
      </c>
      <c r="C144" s="138" t="n">
        <f aca="false">ExportRaw!$G144</f>
        <v>0</v>
      </c>
      <c r="D144" s="138" t="str">
        <f aca="false">ExportRaw!$E144</f>
        <v/>
      </c>
      <c r="E144" s="139" t="str">
        <f aca="false">ExportRaw!$D144</f>
        <v/>
      </c>
      <c r="F144" s="138" t="str">
        <f aca="false">ExportRaw!$H144</f>
        <v/>
      </c>
      <c r="G144" s="140" t="str">
        <f aca="false">ExportRaw!$I144</f>
        <v/>
      </c>
      <c r="H144" s="138" t="str">
        <f aca="false">ExportRaw!$A144</f>
        <v/>
      </c>
      <c r="I144" s="138" t="str">
        <f aca="false">ExportRaw!$B144</f>
        <v/>
      </c>
    </row>
    <row r="145" customFormat="false" ht="15.75" hidden="false" customHeight="false" outlineLevel="0" collapsed="false">
      <c r="A145" s="138" t="n">
        <f aca="false">ExportRaw!$F145</f>
        <v>0</v>
      </c>
      <c r="B145" s="138" t="n">
        <f aca="false">ExportRaw!$C145</f>
        <v>0</v>
      </c>
      <c r="C145" s="138" t="n">
        <f aca="false">ExportRaw!$G145</f>
        <v>0</v>
      </c>
      <c r="D145" s="138" t="str">
        <f aca="false">ExportRaw!$E145</f>
        <v/>
      </c>
      <c r="E145" s="139" t="str">
        <f aca="false">ExportRaw!$D145</f>
        <v/>
      </c>
      <c r="F145" s="138" t="str">
        <f aca="false">ExportRaw!$H145</f>
        <v/>
      </c>
      <c r="G145" s="140" t="str">
        <f aca="false">ExportRaw!$I145</f>
        <v/>
      </c>
      <c r="H145" s="138" t="str">
        <f aca="false">ExportRaw!$A145</f>
        <v/>
      </c>
      <c r="I145" s="138" t="str">
        <f aca="false">ExportRaw!$B145</f>
        <v/>
      </c>
    </row>
    <row r="146" customFormat="false" ht="15.75" hidden="false" customHeight="false" outlineLevel="0" collapsed="false">
      <c r="A146" s="138" t="n">
        <f aca="false">ExportRaw!$F146</f>
        <v>0</v>
      </c>
      <c r="B146" s="138" t="n">
        <f aca="false">ExportRaw!$C146</f>
        <v>0</v>
      </c>
      <c r="C146" s="138" t="n">
        <f aca="false">ExportRaw!$G146</f>
        <v>0</v>
      </c>
      <c r="D146" s="138" t="str">
        <f aca="false">ExportRaw!$E146</f>
        <v/>
      </c>
      <c r="E146" s="139" t="str">
        <f aca="false">ExportRaw!$D146</f>
        <v/>
      </c>
      <c r="F146" s="138" t="str">
        <f aca="false">ExportRaw!$H146</f>
        <v/>
      </c>
      <c r="G146" s="140" t="str">
        <f aca="false">ExportRaw!$I146</f>
        <v/>
      </c>
      <c r="H146" s="138" t="str">
        <f aca="false">ExportRaw!$A146</f>
        <v/>
      </c>
      <c r="I146" s="138" t="str">
        <f aca="false">ExportRaw!$B146</f>
        <v/>
      </c>
    </row>
    <row r="147" customFormat="false" ht="15.75" hidden="false" customHeight="false" outlineLevel="0" collapsed="false">
      <c r="A147" s="138" t="n">
        <f aca="false">ExportRaw!$F147</f>
        <v>0</v>
      </c>
      <c r="B147" s="138" t="n">
        <f aca="false">ExportRaw!$C147</f>
        <v>0</v>
      </c>
      <c r="C147" s="138" t="n">
        <f aca="false">ExportRaw!$G147</f>
        <v>0</v>
      </c>
      <c r="D147" s="138" t="str">
        <f aca="false">ExportRaw!$E147</f>
        <v/>
      </c>
      <c r="E147" s="139" t="str">
        <f aca="false">ExportRaw!$D147</f>
        <v/>
      </c>
      <c r="F147" s="138" t="str">
        <f aca="false">ExportRaw!$H147</f>
        <v/>
      </c>
      <c r="G147" s="140" t="str">
        <f aca="false">ExportRaw!$I147</f>
        <v/>
      </c>
      <c r="H147" s="138" t="str">
        <f aca="false">ExportRaw!$A147</f>
        <v/>
      </c>
      <c r="I147" s="138" t="str">
        <f aca="false">ExportRaw!$B147</f>
        <v/>
      </c>
    </row>
    <row r="148" customFormat="false" ht="15.75" hidden="false" customHeight="false" outlineLevel="0" collapsed="false">
      <c r="A148" s="138" t="n">
        <f aca="false">ExportRaw!$F148</f>
        <v>0</v>
      </c>
      <c r="B148" s="138" t="n">
        <f aca="false">ExportRaw!$C148</f>
        <v>0</v>
      </c>
      <c r="C148" s="138" t="n">
        <f aca="false">ExportRaw!$G148</f>
        <v>0</v>
      </c>
      <c r="D148" s="138" t="str">
        <f aca="false">ExportRaw!$E148</f>
        <v/>
      </c>
      <c r="E148" s="139" t="str">
        <f aca="false">ExportRaw!$D148</f>
        <v/>
      </c>
      <c r="F148" s="138" t="str">
        <f aca="false">ExportRaw!$H148</f>
        <v/>
      </c>
      <c r="G148" s="140" t="str">
        <f aca="false">ExportRaw!$I148</f>
        <v/>
      </c>
      <c r="H148" s="138" t="str">
        <f aca="false">ExportRaw!$A148</f>
        <v/>
      </c>
      <c r="I148" s="138" t="str">
        <f aca="false">ExportRaw!$B148</f>
        <v/>
      </c>
    </row>
    <row r="149" customFormat="false" ht="15.75" hidden="false" customHeight="false" outlineLevel="0" collapsed="false">
      <c r="A149" s="138" t="n">
        <f aca="false">ExportRaw!$F149</f>
        <v>0</v>
      </c>
      <c r="B149" s="138" t="n">
        <f aca="false">ExportRaw!$C149</f>
        <v>0</v>
      </c>
      <c r="C149" s="138" t="n">
        <f aca="false">ExportRaw!$G149</f>
        <v>0</v>
      </c>
      <c r="D149" s="138" t="str">
        <f aca="false">ExportRaw!$E149</f>
        <v/>
      </c>
      <c r="E149" s="139" t="str">
        <f aca="false">ExportRaw!$D149</f>
        <v/>
      </c>
      <c r="F149" s="138" t="str">
        <f aca="false">ExportRaw!$H149</f>
        <v/>
      </c>
      <c r="G149" s="140" t="str">
        <f aca="false">ExportRaw!$I149</f>
        <v/>
      </c>
      <c r="H149" s="138" t="str">
        <f aca="false">ExportRaw!$A149</f>
        <v/>
      </c>
      <c r="I149" s="138" t="str">
        <f aca="false">ExportRaw!$B149</f>
        <v/>
      </c>
    </row>
    <row r="150" customFormat="false" ht="15.75" hidden="false" customHeight="false" outlineLevel="0" collapsed="false">
      <c r="A150" s="138" t="n">
        <f aca="false">ExportRaw!$F150</f>
        <v>0</v>
      </c>
      <c r="B150" s="138" t="n">
        <f aca="false">ExportRaw!$C150</f>
        <v>0</v>
      </c>
      <c r="C150" s="138" t="n">
        <f aca="false">ExportRaw!$G150</f>
        <v>0</v>
      </c>
      <c r="D150" s="138" t="str">
        <f aca="false">ExportRaw!$E150</f>
        <v/>
      </c>
      <c r="E150" s="139" t="str">
        <f aca="false">ExportRaw!$D150</f>
        <v/>
      </c>
      <c r="F150" s="138" t="str">
        <f aca="false">ExportRaw!$H150</f>
        <v/>
      </c>
      <c r="G150" s="140" t="str">
        <f aca="false">ExportRaw!$I150</f>
        <v/>
      </c>
      <c r="H150" s="138" t="str">
        <f aca="false">ExportRaw!$A150</f>
        <v/>
      </c>
      <c r="I150" s="138" t="str">
        <f aca="false">ExportRaw!$B150</f>
        <v/>
      </c>
    </row>
    <row r="151" customFormat="false" ht="15.75" hidden="false" customHeight="false" outlineLevel="0" collapsed="false">
      <c r="A151" s="138" t="n">
        <f aca="false">ExportRaw!$F151</f>
        <v>0</v>
      </c>
      <c r="B151" s="138" t="n">
        <f aca="false">ExportRaw!$C151</f>
        <v>0</v>
      </c>
      <c r="C151" s="138" t="n">
        <f aca="false">ExportRaw!$G151</f>
        <v>0</v>
      </c>
      <c r="D151" s="138" t="str">
        <f aca="false">ExportRaw!$E151</f>
        <v/>
      </c>
      <c r="E151" s="139" t="str">
        <f aca="false">ExportRaw!$D151</f>
        <v/>
      </c>
      <c r="F151" s="138" t="str">
        <f aca="false">ExportRaw!$H151</f>
        <v/>
      </c>
      <c r="G151" s="140" t="str">
        <f aca="false">ExportRaw!$I151</f>
        <v/>
      </c>
      <c r="H151" s="138" t="str">
        <f aca="false">ExportRaw!$A151</f>
        <v/>
      </c>
      <c r="I151" s="138" t="str">
        <f aca="false">ExportRaw!$B151</f>
        <v/>
      </c>
    </row>
    <row r="152" customFormat="false" ht="15.75" hidden="false" customHeight="false" outlineLevel="0" collapsed="false">
      <c r="A152" s="138" t="n">
        <f aca="false">ExportRaw!$F152</f>
        <v>0</v>
      </c>
      <c r="B152" s="138" t="n">
        <f aca="false">ExportRaw!$C152</f>
        <v>0</v>
      </c>
      <c r="C152" s="138" t="n">
        <f aca="false">ExportRaw!$G152</f>
        <v>0</v>
      </c>
      <c r="D152" s="138" t="str">
        <f aca="false">ExportRaw!$E152</f>
        <v/>
      </c>
      <c r="E152" s="139" t="str">
        <f aca="false">ExportRaw!$D152</f>
        <v/>
      </c>
      <c r="F152" s="138" t="str">
        <f aca="false">ExportRaw!$H152</f>
        <v/>
      </c>
      <c r="G152" s="140" t="str">
        <f aca="false">ExportRaw!$I152</f>
        <v/>
      </c>
      <c r="H152" s="138" t="str">
        <f aca="false">ExportRaw!$A152</f>
        <v/>
      </c>
      <c r="I152" s="138" t="str">
        <f aca="false">ExportRaw!$B152</f>
        <v/>
      </c>
    </row>
    <row r="153" customFormat="false" ht="15.75" hidden="false" customHeight="false" outlineLevel="0" collapsed="false">
      <c r="A153" s="138" t="n">
        <f aca="false">ExportRaw!$F153</f>
        <v>0</v>
      </c>
      <c r="B153" s="138" t="n">
        <f aca="false">ExportRaw!$C153</f>
        <v>0</v>
      </c>
      <c r="C153" s="138" t="n">
        <f aca="false">ExportRaw!$G153</f>
        <v>0</v>
      </c>
      <c r="D153" s="138" t="str">
        <f aca="false">ExportRaw!$E153</f>
        <v/>
      </c>
      <c r="E153" s="139" t="str">
        <f aca="false">ExportRaw!$D153</f>
        <v/>
      </c>
      <c r="F153" s="138" t="str">
        <f aca="false">ExportRaw!$H153</f>
        <v/>
      </c>
      <c r="G153" s="140" t="str">
        <f aca="false">ExportRaw!$I153</f>
        <v/>
      </c>
      <c r="H153" s="138" t="str">
        <f aca="false">ExportRaw!$A153</f>
        <v/>
      </c>
      <c r="I153" s="138" t="str">
        <f aca="false">ExportRaw!$B153</f>
        <v/>
      </c>
    </row>
    <row r="154" customFormat="false" ht="15.75" hidden="false" customHeight="false" outlineLevel="0" collapsed="false">
      <c r="A154" s="138" t="n">
        <f aca="false">ExportRaw!$F154</f>
        <v>0</v>
      </c>
      <c r="B154" s="138" t="n">
        <f aca="false">ExportRaw!$C154</f>
        <v>0</v>
      </c>
      <c r="C154" s="138" t="n">
        <f aca="false">ExportRaw!$G154</f>
        <v>0</v>
      </c>
      <c r="D154" s="138" t="str">
        <f aca="false">ExportRaw!$E154</f>
        <v/>
      </c>
      <c r="E154" s="139" t="str">
        <f aca="false">ExportRaw!$D154</f>
        <v/>
      </c>
      <c r="F154" s="138" t="str">
        <f aca="false">ExportRaw!$H154</f>
        <v/>
      </c>
      <c r="G154" s="140" t="str">
        <f aca="false">ExportRaw!$I154</f>
        <v/>
      </c>
      <c r="H154" s="138" t="str">
        <f aca="false">ExportRaw!$A154</f>
        <v/>
      </c>
      <c r="I154" s="138" t="str">
        <f aca="false">ExportRaw!$B154</f>
        <v/>
      </c>
    </row>
    <row r="155" customFormat="false" ht="15.75" hidden="false" customHeight="false" outlineLevel="0" collapsed="false">
      <c r="A155" s="138" t="n">
        <f aca="false">ExportRaw!$F155</f>
        <v>0</v>
      </c>
      <c r="B155" s="138" t="n">
        <f aca="false">ExportRaw!$C155</f>
        <v>0</v>
      </c>
      <c r="C155" s="138" t="n">
        <f aca="false">ExportRaw!$G155</f>
        <v>0</v>
      </c>
      <c r="D155" s="138" t="str">
        <f aca="false">ExportRaw!$E155</f>
        <v/>
      </c>
      <c r="E155" s="139" t="str">
        <f aca="false">ExportRaw!$D155</f>
        <v/>
      </c>
      <c r="F155" s="138" t="str">
        <f aca="false">ExportRaw!$H155</f>
        <v/>
      </c>
      <c r="G155" s="140" t="str">
        <f aca="false">ExportRaw!$I155</f>
        <v/>
      </c>
      <c r="H155" s="138" t="str">
        <f aca="false">ExportRaw!$A155</f>
        <v/>
      </c>
      <c r="I155" s="138" t="str">
        <f aca="false">ExportRaw!$B155</f>
        <v/>
      </c>
    </row>
    <row r="156" customFormat="false" ht="15.75" hidden="false" customHeight="false" outlineLevel="0" collapsed="false">
      <c r="A156" s="138" t="n">
        <f aca="false">ExportRaw!$F156</f>
        <v>0</v>
      </c>
      <c r="B156" s="138" t="n">
        <f aca="false">ExportRaw!$C156</f>
        <v>0</v>
      </c>
      <c r="C156" s="138" t="n">
        <f aca="false">ExportRaw!$G156</f>
        <v>0</v>
      </c>
      <c r="D156" s="138" t="str">
        <f aca="false">ExportRaw!$E156</f>
        <v/>
      </c>
      <c r="E156" s="139" t="str">
        <f aca="false">ExportRaw!$D156</f>
        <v/>
      </c>
      <c r="F156" s="138" t="str">
        <f aca="false">ExportRaw!$H156</f>
        <v/>
      </c>
      <c r="G156" s="140" t="str">
        <f aca="false">ExportRaw!$I156</f>
        <v/>
      </c>
      <c r="H156" s="138" t="str">
        <f aca="false">ExportRaw!$A156</f>
        <v/>
      </c>
      <c r="I156" s="138" t="str">
        <f aca="false">ExportRaw!$B156</f>
        <v/>
      </c>
    </row>
    <row r="157" customFormat="false" ht="15.75" hidden="false" customHeight="false" outlineLevel="0" collapsed="false">
      <c r="A157" s="138" t="n">
        <f aca="false">ExportRaw!$F157</f>
        <v>0</v>
      </c>
      <c r="B157" s="138" t="n">
        <f aca="false">ExportRaw!$C157</f>
        <v>0</v>
      </c>
      <c r="C157" s="138" t="n">
        <f aca="false">ExportRaw!$G157</f>
        <v>0</v>
      </c>
      <c r="D157" s="138" t="str">
        <f aca="false">ExportRaw!$E157</f>
        <v/>
      </c>
      <c r="E157" s="139" t="str">
        <f aca="false">ExportRaw!$D157</f>
        <v/>
      </c>
      <c r="F157" s="138" t="str">
        <f aca="false">ExportRaw!$H157</f>
        <v/>
      </c>
      <c r="G157" s="140" t="str">
        <f aca="false">ExportRaw!$I157</f>
        <v/>
      </c>
      <c r="H157" s="138" t="str">
        <f aca="false">ExportRaw!$A157</f>
        <v/>
      </c>
      <c r="I157" s="138" t="str">
        <f aca="false">ExportRaw!$B157</f>
        <v/>
      </c>
    </row>
    <row r="158" customFormat="false" ht="15.75" hidden="false" customHeight="false" outlineLevel="0" collapsed="false">
      <c r="A158" s="138" t="n">
        <f aca="false">ExportRaw!$F158</f>
        <v>0</v>
      </c>
      <c r="B158" s="138" t="n">
        <f aca="false">ExportRaw!$C158</f>
        <v>0</v>
      </c>
      <c r="C158" s="138" t="n">
        <f aca="false">ExportRaw!$G158</f>
        <v>0</v>
      </c>
      <c r="D158" s="138" t="str">
        <f aca="false">ExportRaw!$E158</f>
        <v/>
      </c>
      <c r="E158" s="139" t="str">
        <f aca="false">ExportRaw!$D158</f>
        <v/>
      </c>
      <c r="F158" s="138" t="str">
        <f aca="false">ExportRaw!$H158</f>
        <v/>
      </c>
      <c r="G158" s="140" t="str">
        <f aca="false">ExportRaw!$I158</f>
        <v/>
      </c>
      <c r="H158" s="138" t="str">
        <f aca="false">ExportRaw!$A158</f>
        <v/>
      </c>
      <c r="I158" s="138" t="str">
        <f aca="false">ExportRaw!$B158</f>
        <v/>
      </c>
    </row>
    <row r="159" customFormat="false" ht="15.75" hidden="false" customHeight="false" outlineLevel="0" collapsed="false">
      <c r="A159" s="138" t="n">
        <f aca="false">ExportRaw!$F159</f>
        <v>0</v>
      </c>
      <c r="B159" s="138" t="n">
        <f aca="false">ExportRaw!$C159</f>
        <v>0</v>
      </c>
      <c r="C159" s="138" t="n">
        <f aca="false">ExportRaw!$G159</f>
        <v>0</v>
      </c>
      <c r="D159" s="138" t="str">
        <f aca="false">ExportRaw!$E159</f>
        <v/>
      </c>
      <c r="E159" s="139" t="str">
        <f aca="false">ExportRaw!$D159</f>
        <v/>
      </c>
      <c r="F159" s="138" t="str">
        <f aca="false">ExportRaw!$H159</f>
        <v/>
      </c>
      <c r="G159" s="140" t="str">
        <f aca="false">ExportRaw!$I159</f>
        <v/>
      </c>
      <c r="H159" s="138" t="str">
        <f aca="false">ExportRaw!$A159</f>
        <v/>
      </c>
      <c r="I159" s="138" t="str">
        <f aca="false">ExportRaw!$B159</f>
        <v/>
      </c>
    </row>
    <row r="160" customFormat="false" ht="15.75" hidden="false" customHeight="false" outlineLevel="0" collapsed="false">
      <c r="A160" s="138" t="n">
        <f aca="false">ExportRaw!$F160</f>
        <v>0</v>
      </c>
      <c r="B160" s="138" t="n">
        <f aca="false">ExportRaw!$C160</f>
        <v>0</v>
      </c>
      <c r="C160" s="138" t="n">
        <f aca="false">ExportRaw!$G160</f>
        <v>0</v>
      </c>
      <c r="D160" s="138" t="str">
        <f aca="false">ExportRaw!$E160</f>
        <v/>
      </c>
      <c r="E160" s="139" t="str">
        <f aca="false">ExportRaw!$D160</f>
        <v/>
      </c>
      <c r="F160" s="138" t="str">
        <f aca="false">ExportRaw!$H160</f>
        <v/>
      </c>
      <c r="G160" s="140" t="str">
        <f aca="false">ExportRaw!$I160</f>
        <v/>
      </c>
      <c r="H160" s="138" t="str">
        <f aca="false">ExportRaw!$A160</f>
        <v/>
      </c>
      <c r="I160" s="138" t="str">
        <f aca="false">ExportRaw!$B160</f>
        <v/>
      </c>
    </row>
    <row r="161" customFormat="false" ht="15.75" hidden="false" customHeight="false" outlineLevel="0" collapsed="false">
      <c r="A161" s="138" t="n">
        <f aca="false">ExportRaw!$F161</f>
        <v>0</v>
      </c>
      <c r="B161" s="138" t="n">
        <f aca="false">ExportRaw!$C161</f>
        <v>0</v>
      </c>
      <c r="C161" s="138" t="n">
        <f aca="false">ExportRaw!$G161</f>
        <v>0</v>
      </c>
      <c r="D161" s="138" t="str">
        <f aca="false">ExportRaw!$E161</f>
        <v/>
      </c>
      <c r="E161" s="139" t="str">
        <f aca="false">ExportRaw!$D161</f>
        <v/>
      </c>
      <c r="F161" s="138" t="str">
        <f aca="false">ExportRaw!$H161</f>
        <v/>
      </c>
      <c r="G161" s="140" t="str">
        <f aca="false">ExportRaw!$I161</f>
        <v/>
      </c>
      <c r="H161" s="138" t="str">
        <f aca="false">ExportRaw!$A161</f>
        <v/>
      </c>
      <c r="I161" s="138" t="str">
        <f aca="false">ExportRaw!$B161</f>
        <v/>
      </c>
    </row>
    <row r="162" customFormat="false" ht="15.75" hidden="false" customHeight="false" outlineLevel="0" collapsed="false">
      <c r="A162" s="138" t="n">
        <f aca="false">ExportRaw!$F162</f>
        <v>0</v>
      </c>
      <c r="B162" s="138" t="n">
        <f aca="false">ExportRaw!$C162</f>
        <v>0</v>
      </c>
      <c r="C162" s="138" t="n">
        <f aca="false">ExportRaw!$G162</f>
        <v>0</v>
      </c>
      <c r="D162" s="138" t="str">
        <f aca="false">ExportRaw!$E162</f>
        <v/>
      </c>
      <c r="E162" s="139" t="str">
        <f aca="false">ExportRaw!$D162</f>
        <v/>
      </c>
      <c r="F162" s="138" t="str">
        <f aca="false">ExportRaw!$H162</f>
        <v/>
      </c>
      <c r="G162" s="140" t="str">
        <f aca="false">ExportRaw!$I162</f>
        <v/>
      </c>
      <c r="H162" s="138" t="str">
        <f aca="false">ExportRaw!$A162</f>
        <v/>
      </c>
      <c r="I162" s="138" t="str">
        <f aca="false">ExportRaw!$B162</f>
        <v/>
      </c>
    </row>
    <row r="163" customFormat="false" ht="15.75" hidden="false" customHeight="false" outlineLevel="0" collapsed="false">
      <c r="A163" s="138" t="n">
        <f aca="false">ExportRaw!$F163</f>
        <v>0</v>
      </c>
      <c r="B163" s="138" t="n">
        <f aca="false">ExportRaw!$C163</f>
        <v>0</v>
      </c>
      <c r="C163" s="138" t="n">
        <f aca="false">ExportRaw!$G163</f>
        <v>0</v>
      </c>
      <c r="D163" s="138" t="str">
        <f aca="false">ExportRaw!$E163</f>
        <v/>
      </c>
      <c r="E163" s="139" t="str">
        <f aca="false">ExportRaw!$D163</f>
        <v/>
      </c>
      <c r="F163" s="138" t="str">
        <f aca="false">ExportRaw!$H163</f>
        <v/>
      </c>
      <c r="G163" s="140" t="str">
        <f aca="false">ExportRaw!$I163</f>
        <v/>
      </c>
      <c r="H163" s="138" t="str">
        <f aca="false">ExportRaw!$A163</f>
        <v/>
      </c>
      <c r="I163" s="138" t="str">
        <f aca="false">ExportRaw!$B163</f>
        <v/>
      </c>
    </row>
    <row r="164" customFormat="false" ht="15.75" hidden="false" customHeight="false" outlineLevel="0" collapsed="false">
      <c r="A164" s="138" t="n">
        <f aca="false">ExportRaw!$F164</f>
        <v>0</v>
      </c>
      <c r="B164" s="138" t="n">
        <f aca="false">ExportRaw!$C164</f>
        <v>0</v>
      </c>
      <c r="C164" s="138" t="n">
        <f aca="false">ExportRaw!$G164</f>
        <v>0</v>
      </c>
      <c r="D164" s="138" t="str">
        <f aca="false">ExportRaw!$E164</f>
        <v/>
      </c>
      <c r="E164" s="139" t="str">
        <f aca="false">ExportRaw!$D164</f>
        <v/>
      </c>
      <c r="F164" s="138" t="str">
        <f aca="false">ExportRaw!$H164</f>
        <v/>
      </c>
      <c r="G164" s="140" t="str">
        <f aca="false">ExportRaw!$I164</f>
        <v/>
      </c>
      <c r="H164" s="138" t="str">
        <f aca="false">ExportRaw!$A164</f>
        <v/>
      </c>
      <c r="I164" s="138" t="str">
        <f aca="false">ExportRaw!$B164</f>
        <v/>
      </c>
    </row>
    <row r="165" customFormat="false" ht="15.75" hidden="false" customHeight="false" outlineLevel="0" collapsed="false">
      <c r="A165" s="138" t="n">
        <f aca="false">ExportRaw!$F165</f>
        <v>0</v>
      </c>
      <c r="B165" s="138" t="n">
        <f aca="false">ExportRaw!$C165</f>
        <v>0</v>
      </c>
      <c r="C165" s="138" t="n">
        <f aca="false">ExportRaw!$G165</f>
        <v>0</v>
      </c>
      <c r="D165" s="138" t="str">
        <f aca="false">ExportRaw!$E165</f>
        <v/>
      </c>
      <c r="E165" s="139" t="str">
        <f aca="false">ExportRaw!$D165</f>
        <v/>
      </c>
      <c r="F165" s="138" t="str">
        <f aca="false">ExportRaw!$H165</f>
        <v/>
      </c>
      <c r="G165" s="140" t="str">
        <f aca="false">ExportRaw!$I165</f>
        <v/>
      </c>
      <c r="H165" s="138" t="str">
        <f aca="false">ExportRaw!$A165</f>
        <v/>
      </c>
      <c r="I165" s="138" t="str">
        <f aca="false">ExportRaw!$B165</f>
        <v/>
      </c>
    </row>
    <row r="166" customFormat="false" ht="15.75" hidden="false" customHeight="false" outlineLevel="0" collapsed="false">
      <c r="A166" s="138" t="n">
        <f aca="false">ExportRaw!$F166</f>
        <v>0</v>
      </c>
      <c r="B166" s="138" t="n">
        <f aca="false">ExportRaw!$C166</f>
        <v>0</v>
      </c>
      <c r="C166" s="138" t="n">
        <f aca="false">ExportRaw!$G166</f>
        <v>0</v>
      </c>
      <c r="D166" s="138" t="str">
        <f aca="false">ExportRaw!$E166</f>
        <v/>
      </c>
      <c r="E166" s="139" t="str">
        <f aca="false">ExportRaw!$D166</f>
        <v/>
      </c>
      <c r="F166" s="138" t="str">
        <f aca="false">ExportRaw!$H166</f>
        <v/>
      </c>
      <c r="G166" s="140" t="str">
        <f aca="false">ExportRaw!$I166</f>
        <v/>
      </c>
      <c r="H166" s="138" t="str">
        <f aca="false">ExportRaw!$A166</f>
        <v/>
      </c>
      <c r="I166" s="138" t="str">
        <f aca="false">ExportRaw!$B166</f>
        <v/>
      </c>
    </row>
    <row r="167" customFormat="false" ht="15.75" hidden="false" customHeight="false" outlineLevel="0" collapsed="false">
      <c r="A167" s="138" t="n">
        <f aca="false">ExportRaw!$F167</f>
        <v>0</v>
      </c>
      <c r="B167" s="138" t="n">
        <f aca="false">ExportRaw!$C167</f>
        <v>0</v>
      </c>
      <c r="C167" s="138" t="n">
        <f aca="false">ExportRaw!$G167</f>
        <v>0</v>
      </c>
      <c r="D167" s="138" t="str">
        <f aca="false">ExportRaw!$E167</f>
        <v/>
      </c>
      <c r="E167" s="139" t="str">
        <f aca="false">ExportRaw!$D167</f>
        <v/>
      </c>
      <c r="F167" s="138" t="str">
        <f aca="false">ExportRaw!$H167</f>
        <v/>
      </c>
      <c r="G167" s="140" t="str">
        <f aca="false">ExportRaw!$I167</f>
        <v/>
      </c>
      <c r="H167" s="138" t="str">
        <f aca="false">ExportRaw!$A167</f>
        <v/>
      </c>
      <c r="I167" s="138" t="str">
        <f aca="false">ExportRaw!$B167</f>
        <v/>
      </c>
    </row>
    <row r="168" customFormat="false" ht="15.75" hidden="false" customHeight="false" outlineLevel="0" collapsed="false">
      <c r="A168" s="138" t="n">
        <f aca="false">ExportRaw!$F168</f>
        <v>0</v>
      </c>
      <c r="B168" s="138" t="n">
        <f aca="false">ExportRaw!$C168</f>
        <v>0</v>
      </c>
      <c r="C168" s="138" t="n">
        <f aca="false">ExportRaw!$G168</f>
        <v>0</v>
      </c>
      <c r="D168" s="138" t="str">
        <f aca="false">ExportRaw!$E168</f>
        <v/>
      </c>
      <c r="E168" s="139" t="str">
        <f aca="false">ExportRaw!$D168</f>
        <v/>
      </c>
      <c r="F168" s="138" t="str">
        <f aca="false">ExportRaw!$H168</f>
        <v/>
      </c>
      <c r="G168" s="140" t="str">
        <f aca="false">ExportRaw!$I168</f>
        <v/>
      </c>
      <c r="H168" s="138" t="str">
        <f aca="false">ExportRaw!$A168</f>
        <v/>
      </c>
      <c r="I168" s="138" t="str">
        <f aca="false">ExportRaw!$B168</f>
        <v/>
      </c>
    </row>
    <row r="169" customFormat="false" ht="15.75" hidden="false" customHeight="false" outlineLevel="0" collapsed="false">
      <c r="A169" s="138" t="n">
        <f aca="false">ExportRaw!$F169</f>
        <v>0</v>
      </c>
      <c r="B169" s="138" t="n">
        <f aca="false">ExportRaw!$C169</f>
        <v>0</v>
      </c>
      <c r="C169" s="138" t="n">
        <f aca="false">ExportRaw!$G169</f>
        <v>0</v>
      </c>
      <c r="D169" s="138" t="str">
        <f aca="false">ExportRaw!$E169</f>
        <v/>
      </c>
      <c r="E169" s="139" t="str">
        <f aca="false">ExportRaw!$D169</f>
        <v/>
      </c>
      <c r="F169" s="138" t="str">
        <f aca="false">ExportRaw!$H169</f>
        <v/>
      </c>
      <c r="G169" s="140" t="str">
        <f aca="false">ExportRaw!$I169</f>
        <v/>
      </c>
      <c r="H169" s="138" t="str">
        <f aca="false">ExportRaw!$A169</f>
        <v/>
      </c>
      <c r="I169" s="138" t="str">
        <f aca="false">ExportRaw!$B169</f>
        <v/>
      </c>
    </row>
    <row r="170" customFormat="false" ht="15.75" hidden="false" customHeight="false" outlineLevel="0" collapsed="false">
      <c r="A170" s="138" t="n">
        <f aca="false">ExportRaw!$F170</f>
        <v>0</v>
      </c>
      <c r="B170" s="138" t="n">
        <f aca="false">ExportRaw!$C170</f>
        <v>0</v>
      </c>
      <c r="C170" s="138" t="n">
        <f aca="false">ExportRaw!$G170</f>
        <v>0</v>
      </c>
      <c r="D170" s="138" t="str">
        <f aca="false">ExportRaw!$E170</f>
        <v/>
      </c>
      <c r="E170" s="139" t="str">
        <f aca="false">ExportRaw!$D170</f>
        <v/>
      </c>
      <c r="F170" s="138" t="str">
        <f aca="false">ExportRaw!$H170</f>
        <v/>
      </c>
      <c r="G170" s="140" t="str">
        <f aca="false">ExportRaw!$I170</f>
        <v/>
      </c>
      <c r="H170" s="138" t="str">
        <f aca="false">ExportRaw!$A170</f>
        <v/>
      </c>
      <c r="I170" s="138" t="str">
        <f aca="false">ExportRaw!$B170</f>
        <v/>
      </c>
    </row>
    <row r="171" customFormat="false" ht="15.75" hidden="false" customHeight="false" outlineLevel="0" collapsed="false">
      <c r="A171" s="138" t="n">
        <f aca="false">ExportRaw!$F171</f>
        <v>0</v>
      </c>
      <c r="B171" s="138" t="n">
        <f aca="false">ExportRaw!$C171</f>
        <v>0</v>
      </c>
      <c r="C171" s="138" t="n">
        <f aca="false">ExportRaw!$G171</f>
        <v>0</v>
      </c>
      <c r="D171" s="138" t="str">
        <f aca="false">ExportRaw!$E171</f>
        <v/>
      </c>
      <c r="E171" s="139" t="str">
        <f aca="false">ExportRaw!$D171</f>
        <v/>
      </c>
      <c r="F171" s="138" t="str">
        <f aca="false">ExportRaw!$H171</f>
        <v/>
      </c>
      <c r="G171" s="140" t="str">
        <f aca="false">ExportRaw!$I171</f>
        <v/>
      </c>
      <c r="H171" s="138" t="str">
        <f aca="false">ExportRaw!$A171</f>
        <v/>
      </c>
      <c r="I171" s="138" t="str">
        <f aca="false">ExportRaw!$B171</f>
        <v/>
      </c>
    </row>
    <row r="172" customFormat="false" ht="15.75" hidden="false" customHeight="false" outlineLevel="0" collapsed="false">
      <c r="A172" s="138" t="n">
        <f aca="false">ExportRaw!$F172</f>
        <v>0</v>
      </c>
      <c r="B172" s="138" t="n">
        <f aca="false">ExportRaw!$C172</f>
        <v>0</v>
      </c>
      <c r="C172" s="138" t="n">
        <f aca="false">ExportRaw!$G172</f>
        <v>0</v>
      </c>
      <c r="D172" s="138" t="str">
        <f aca="false">ExportRaw!$E172</f>
        <v/>
      </c>
      <c r="E172" s="139" t="str">
        <f aca="false">ExportRaw!$D172</f>
        <v/>
      </c>
      <c r="F172" s="138" t="str">
        <f aca="false">ExportRaw!$H172</f>
        <v/>
      </c>
      <c r="G172" s="140" t="str">
        <f aca="false">ExportRaw!$I172</f>
        <v/>
      </c>
      <c r="H172" s="138" t="str">
        <f aca="false">ExportRaw!$A172</f>
        <v/>
      </c>
      <c r="I172" s="138" t="str">
        <f aca="false">ExportRaw!$B172</f>
        <v/>
      </c>
    </row>
    <row r="173" customFormat="false" ht="15.75" hidden="false" customHeight="false" outlineLevel="0" collapsed="false">
      <c r="A173" s="138" t="n">
        <f aca="false">ExportRaw!$F173</f>
        <v>0</v>
      </c>
      <c r="B173" s="138" t="n">
        <f aca="false">ExportRaw!$C173</f>
        <v>0</v>
      </c>
      <c r="C173" s="138" t="n">
        <f aca="false">ExportRaw!$G173</f>
        <v>0</v>
      </c>
      <c r="D173" s="138" t="str">
        <f aca="false">ExportRaw!$E173</f>
        <v/>
      </c>
      <c r="E173" s="139" t="str">
        <f aca="false">ExportRaw!$D173</f>
        <v/>
      </c>
      <c r="F173" s="138" t="str">
        <f aca="false">ExportRaw!$H173</f>
        <v/>
      </c>
      <c r="G173" s="140" t="str">
        <f aca="false">ExportRaw!$I173</f>
        <v/>
      </c>
      <c r="H173" s="138" t="str">
        <f aca="false">ExportRaw!$A173</f>
        <v/>
      </c>
      <c r="I173" s="138" t="str">
        <f aca="false">ExportRaw!$B173</f>
        <v/>
      </c>
    </row>
    <row r="174" customFormat="false" ht="15.75" hidden="false" customHeight="false" outlineLevel="0" collapsed="false">
      <c r="A174" s="138" t="n">
        <f aca="false">ExportRaw!$F174</f>
        <v>0</v>
      </c>
      <c r="B174" s="138" t="n">
        <f aca="false">ExportRaw!$C174</f>
        <v>0</v>
      </c>
      <c r="C174" s="138" t="n">
        <f aca="false">ExportRaw!$G174</f>
        <v>0</v>
      </c>
      <c r="D174" s="138" t="str">
        <f aca="false">ExportRaw!$E174</f>
        <v/>
      </c>
      <c r="E174" s="139" t="str">
        <f aca="false">ExportRaw!$D174</f>
        <v/>
      </c>
      <c r="F174" s="138" t="str">
        <f aca="false">ExportRaw!$H174</f>
        <v/>
      </c>
      <c r="G174" s="140" t="str">
        <f aca="false">ExportRaw!$I174</f>
        <v/>
      </c>
      <c r="H174" s="138" t="str">
        <f aca="false">ExportRaw!$A174</f>
        <v/>
      </c>
      <c r="I174" s="138" t="str">
        <f aca="false">ExportRaw!$B174</f>
        <v/>
      </c>
    </row>
    <row r="175" customFormat="false" ht="15.75" hidden="false" customHeight="false" outlineLevel="0" collapsed="false">
      <c r="A175" s="138" t="n">
        <f aca="false">ExportRaw!$F175</f>
        <v>0</v>
      </c>
      <c r="B175" s="138" t="n">
        <f aca="false">ExportRaw!$C175</f>
        <v>0</v>
      </c>
      <c r="C175" s="138" t="n">
        <f aca="false">ExportRaw!$G175</f>
        <v>0</v>
      </c>
      <c r="D175" s="138" t="str">
        <f aca="false">ExportRaw!$E175</f>
        <v/>
      </c>
      <c r="E175" s="139" t="str">
        <f aca="false">ExportRaw!$D175</f>
        <v/>
      </c>
      <c r="F175" s="138" t="str">
        <f aca="false">ExportRaw!$H175</f>
        <v/>
      </c>
      <c r="G175" s="140" t="str">
        <f aca="false">ExportRaw!$I175</f>
        <v/>
      </c>
      <c r="H175" s="138" t="str">
        <f aca="false">ExportRaw!$A175</f>
        <v/>
      </c>
      <c r="I175" s="138" t="str">
        <f aca="false">ExportRaw!$B175</f>
        <v/>
      </c>
    </row>
    <row r="176" customFormat="false" ht="15.75" hidden="false" customHeight="false" outlineLevel="0" collapsed="false">
      <c r="A176" s="138" t="n">
        <f aca="false">ExportRaw!$F176</f>
        <v>0</v>
      </c>
      <c r="B176" s="138" t="n">
        <f aca="false">ExportRaw!$C176</f>
        <v>0</v>
      </c>
      <c r="C176" s="138" t="n">
        <f aca="false">ExportRaw!$G176</f>
        <v>0</v>
      </c>
      <c r="D176" s="138" t="str">
        <f aca="false">ExportRaw!$E176</f>
        <v/>
      </c>
      <c r="E176" s="139" t="str">
        <f aca="false">ExportRaw!$D176</f>
        <v/>
      </c>
      <c r="F176" s="138" t="str">
        <f aca="false">ExportRaw!$H176</f>
        <v/>
      </c>
      <c r="G176" s="140" t="str">
        <f aca="false">ExportRaw!$I176</f>
        <v/>
      </c>
      <c r="H176" s="138" t="str">
        <f aca="false">ExportRaw!$A176</f>
        <v/>
      </c>
      <c r="I176" s="138" t="str">
        <f aca="false">ExportRaw!$B176</f>
        <v/>
      </c>
    </row>
    <row r="177" customFormat="false" ht="15.75" hidden="false" customHeight="false" outlineLevel="0" collapsed="false">
      <c r="A177" s="138" t="n">
        <f aca="false">ExportRaw!$F177</f>
        <v>0</v>
      </c>
      <c r="B177" s="138" t="n">
        <f aca="false">ExportRaw!$C177</f>
        <v>0</v>
      </c>
      <c r="C177" s="138" t="n">
        <f aca="false">ExportRaw!$G177</f>
        <v>0</v>
      </c>
      <c r="D177" s="138" t="str">
        <f aca="false">ExportRaw!$E177</f>
        <v/>
      </c>
      <c r="E177" s="139" t="str">
        <f aca="false">ExportRaw!$D177</f>
        <v/>
      </c>
      <c r="F177" s="138" t="str">
        <f aca="false">ExportRaw!$H177</f>
        <v/>
      </c>
      <c r="G177" s="140" t="str">
        <f aca="false">ExportRaw!$I177</f>
        <v/>
      </c>
      <c r="H177" s="138" t="str">
        <f aca="false">ExportRaw!$A177</f>
        <v/>
      </c>
      <c r="I177" s="138" t="str">
        <f aca="false">ExportRaw!$B177</f>
        <v/>
      </c>
    </row>
    <row r="178" customFormat="false" ht="15.75" hidden="false" customHeight="false" outlineLevel="0" collapsed="false">
      <c r="A178" s="138" t="n">
        <f aca="false">ExportRaw!$F178</f>
        <v>0</v>
      </c>
      <c r="B178" s="138" t="n">
        <f aca="false">ExportRaw!$C178</f>
        <v>0</v>
      </c>
      <c r="C178" s="138" t="n">
        <f aca="false">ExportRaw!$G178</f>
        <v>0</v>
      </c>
      <c r="D178" s="138" t="str">
        <f aca="false">ExportRaw!$E178</f>
        <v/>
      </c>
      <c r="E178" s="139" t="str">
        <f aca="false">ExportRaw!$D178</f>
        <v/>
      </c>
      <c r="F178" s="138" t="str">
        <f aca="false">ExportRaw!$H178</f>
        <v/>
      </c>
      <c r="G178" s="140" t="str">
        <f aca="false">ExportRaw!$I178</f>
        <v/>
      </c>
      <c r="H178" s="138" t="str">
        <f aca="false">ExportRaw!$A178</f>
        <v/>
      </c>
      <c r="I178" s="138" t="str">
        <f aca="false">ExportRaw!$B178</f>
        <v/>
      </c>
    </row>
    <row r="179" customFormat="false" ht="15.75" hidden="false" customHeight="false" outlineLevel="0" collapsed="false">
      <c r="A179" s="138" t="n">
        <f aca="false">ExportRaw!$F179</f>
        <v>0</v>
      </c>
      <c r="B179" s="138" t="n">
        <f aca="false">ExportRaw!$C179</f>
        <v>0</v>
      </c>
      <c r="C179" s="138" t="n">
        <f aca="false">ExportRaw!$G179</f>
        <v>0</v>
      </c>
      <c r="D179" s="138" t="str">
        <f aca="false">ExportRaw!$E179</f>
        <v/>
      </c>
      <c r="E179" s="139" t="str">
        <f aca="false">ExportRaw!$D179</f>
        <v/>
      </c>
      <c r="F179" s="138" t="str">
        <f aca="false">ExportRaw!$H179</f>
        <v/>
      </c>
      <c r="G179" s="140" t="str">
        <f aca="false">ExportRaw!$I179</f>
        <v/>
      </c>
      <c r="H179" s="138" t="str">
        <f aca="false">ExportRaw!$A179</f>
        <v/>
      </c>
      <c r="I179" s="138" t="str">
        <f aca="false">ExportRaw!$B179</f>
        <v/>
      </c>
    </row>
    <row r="180" customFormat="false" ht="15.75" hidden="false" customHeight="false" outlineLevel="0" collapsed="false">
      <c r="A180" s="138" t="n">
        <f aca="false">ExportRaw!$F180</f>
        <v>0</v>
      </c>
      <c r="B180" s="138" t="n">
        <f aca="false">ExportRaw!$C180</f>
        <v>0</v>
      </c>
      <c r="C180" s="138" t="n">
        <f aca="false">ExportRaw!$G180</f>
        <v>0</v>
      </c>
      <c r="D180" s="138" t="str">
        <f aca="false">ExportRaw!$E180</f>
        <v/>
      </c>
      <c r="E180" s="139" t="str">
        <f aca="false">ExportRaw!$D180</f>
        <v/>
      </c>
      <c r="F180" s="138" t="str">
        <f aca="false">ExportRaw!$H180</f>
        <v/>
      </c>
      <c r="G180" s="140" t="str">
        <f aca="false">ExportRaw!$I180</f>
        <v/>
      </c>
      <c r="H180" s="138" t="str">
        <f aca="false">ExportRaw!$A180</f>
        <v/>
      </c>
      <c r="I180" s="138" t="str">
        <f aca="false">ExportRaw!$B180</f>
        <v/>
      </c>
    </row>
    <row r="181" customFormat="false" ht="15.75" hidden="false" customHeight="false" outlineLevel="0" collapsed="false">
      <c r="A181" s="138" t="n">
        <f aca="false">ExportRaw!$F181</f>
        <v>0</v>
      </c>
      <c r="B181" s="138" t="n">
        <f aca="false">ExportRaw!$C181</f>
        <v>0</v>
      </c>
      <c r="C181" s="138" t="n">
        <f aca="false">ExportRaw!$G181</f>
        <v>0</v>
      </c>
      <c r="D181" s="138" t="str">
        <f aca="false">ExportRaw!$E181</f>
        <v/>
      </c>
      <c r="E181" s="139" t="str">
        <f aca="false">ExportRaw!$D181</f>
        <v/>
      </c>
      <c r="F181" s="138" t="str">
        <f aca="false">ExportRaw!$H181</f>
        <v/>
      </c>
      <c r="G181" s="140" t="str">
        <f aca="false">ExportRaw!$I181</f>
        <v/>
      </c>
      <c r="H181" s="138" t="str">
        <f aca="false">ExportRaw!$A181</f>
        <v/>
      </c>
      <c r="I181" s="138" t="str">
        <f aca="false">ExportRaw!$B181</f>
        <v/>
      </c>
    </row>
    <row r="182" customFormat="false" ht="15.75" hidden="false" customHeight="false" outlineLevel="0" collapsed="false">
      <c r="A182" s="138" t="n">
        <f aca="false">ExportRaw!$F182</f>
        <v>0</v>
      </c>
      <c r="B182" s="138" t="n">
        <f aca="false">ExportRaw!$C182</f>
        <v>0</v>
      </c>
      <c r="C182" s="138" t="n">
        <f aca="false">ExportRaw!$G182</f>
        <v>0</v>
      </c>
      <c r="D182" s="138" t="str">
        <f aca="false">ExportRaw!$E182</f>
        <v/>
      </c>
      <c r="E182" s="139" t="str">
        <f aca="false">ExportRaw!$D182</f>
        <v/>
      </c>
      <c r="F182" s="138" t="str">
        <f aca="false">ExportRaw!$H182</f>
        <v/>
      </c>
      <c r="G182" s="140" t="str">
        <f aca="false">ExportRaw!$I182</f>
        <v/>
      </c>
      <c r="H182" s="138" t="str">
        <f aca="false">ExportRaw!$A182</f>
        <v/>
      </c>
      <c r="I182" s="138" t="str">
        <f aca="false">ExportRaw!$B182</f>
        <v/>
      </c>
    </row>
    <row r="183" customFormat="false" ht="15.75" hidden="false" customHeight="false" outlineLevel="0" collapsed="false">
      <c r="A183" s="138" t="n">
        <f aca="false">ExportRaw!$F183</f>
        <v>0</v>
      </c>
      <c r="B183" s="138" t="n">
        <f aca="false">ExportRaw!$C183</f>
        <v>0</v>
      </c>
      <c r="C183" s="138" t="n">
        <f aca="false">ExportRaw!$G183</f>
        <v>0</v>
      </c>
      <c r="D183" s="138" t="str">
        <f aca="false">ExportRaw!$E183</f>
        <v/>
      </c>
      <c r="E183" s="139" t="str">
        <f aca="false">ExportRaw!$D183</f>
        <v/>
      </c>
      <c r="F183" s="138" t="str">
        <f aca="false">ExportRaw!$H183</f>
        <v/>
      </c>
      <c r="G183" s="140" t="str">
        <f aca="false">ExportRaw!$I183</f>
        <v/>
      </c>
      <c r="H183" s="138" t="str">
        <f aca="false">ExportRaw!$A183</f>
        <v/>
      </c>
      <c r="I183" s="138" t="str">
        <f aca="false">ExportRaw!$B183</f>
        <v/>
      </c>
    </row>
    <row r="184" customFormat="false" ht="15.75" hidden="false" customHeight="false" outlineLevel="0" collapsed="false">
      <c r="A184" s="138" t="n">
        <f aca="false">ExportRaw!$F184</f>
        <v>0</v>
      </c>
      <c r="B184" s="138" t="n">
        <f aca="false">ExportRaw!$C184</f>
        <v>0</v>
      </c>
      <c r="C184" s="138" t="n">
        <f aca="false">ExportRaw!$G184</f>
        <v>0</v>
      </c>
      <c r="D184" s="138" t="str">
        <f aca="false">ExportRaw!$E184</f>
        <v/>
      </c>
      <c r="E184" s="139" t="str">
        <f aca="false">ExportRaw!$D184</f>
        <v/>
      </c>
      <c r="F184" s="138" t="str">
        <f aca="false">ExportRaw!$H184</f>
        <v/>
      </c>
      <c r="G184" s="140" t="str">
        <f aca="false">ExportRaw!$I184</f>
        <v/>
      </c>
      <c r="H184" s="138" t="str">
        <f aca="false">ExportRaw!$A184</f>
        <v/>
      </c>
      <c r="I184" s="138" t="str">
        <f aca="false">ExportRaw!$B184</f>
        <v/>
      </c>
    </row>
    <row r="185" customFormat="false" ht="15.75" hidden="false" customHeight="false" outlineLevel="0" collapsed="false">
      <c r="A185" s="138" t="n">
        <f aca="false">ExportRaw!$F185</f>
        <v>0</v>
      </c>
      <c r="B185" s="138" t="n">
        <f aca="false">ExportRaw!$C185</f>
        <v>0</v>
      </c>
      <c r="C185" s="138" t="n">
        <f aca="false">ExportRaw!$G185</f>
        <v>0</v>
      </c>
      <c r="D185" s="138" t="str">
        <f aca="false">ExportRaw!$E185</f>
        <v/>
      </c>
      <c r="E185" s="139" t="str">
        <f aca="false">ExportRaw!$D185</f>
        <v/>
      </c>
      <c r="F185" s="138" t="str">
        <f aca="false">ExportRaw!$H185</f>
        <v/>
      </c>
      <c r="G185" s="140" t="str">
        <f aca="false">ExportRaw!$I185</f>
        <v/>
      </c>
      <c r="H185" s="138" t="str">
        <f aca="false">ExportRaw!$A185</f>
        <v/>
      </c>
      <c r="I185" s="138" t="str">
        <f aca="false">ExportRaw!$B185</f>
        <v/>
      </c>
    </row>
    <row r="186" customFormat="false" ht="15.75" hidden="false" customHeight="false" outlineLevel="0" collapsed="false">
      <c r="A186" s="138" t="n">
        <f aca="false">ExportRaw!$F186</f>
        <v>0</v>
      </c>
      <c r="B186" s="138" t="n">
        <f aca="false">ExportRaw!$C186</f>
        <v>0</v>
      </c>
      <c r="C186" s="138" t="n">
        <f aca="false">ExportRaw!$G186</f>
        <v>0</v>
      </c>
      <c r="D186" s="138" t="str">
        <f aca="false">ExportRaw!$E186</f>
        <v/>
      </c>
      <c r="E186" s="139" t="str">
        <f aca="false">ExportRaw!$D186</f>
        <v/>
      </c>
      <c r="F186" s="138" t="str">
        <f aca="false">ExportRaw!$H186</f>
        <v/>
      </c>
      <c r="G186" s="140" t="str">
        <f aca="false">ExportRaw!$I186</f>
        <v/>
      </c>
      <c r="H186" s="138" t="str">
        <f aca="false">ExportRaw!$A186</f>
        <v/>
      </c>
      <c r="I186" s="138" t="str">
        <f aca="false">ExportRaw!$B186</f>
        <v/>
      </c>
    </row>
    <row r="187" customFormat="false" ht="15.75" hidden="false" customHeight="false" outlineLevel="0" collapsed="false">
      <c r="A187" s="138" t="n">
        <f aca="false">ExportRaw!$F187</f>
        <v>0</v>
      </c>
      <c r="B187" s="138" t="n">
        <f aca="false">ExportRaw!$C187</f>
        <v>0</v>
      </c>
      <c r="C187" s="138" t="n">
        <f aca="false">ExportRaw!$G187</f>
        <v>0</v>
      </c>
      <c r="D187" s="138" t="str">
        <f aca="false">ExportRaw!$E187</f>
        <v/>
      </c>
      <c r="E187" s="139" t="str">
        <f aca="false">ExportRaw!$D187</f>
        <v/>
      </c>
      <c r="F187" s="138" t="str">
        <f aca="false">ExportRaw!$H187</f>
        <v/>
      </c>
      <c r="G187" s="140" t="str">
        <f aca="false">ExportRaw!$I187</f>
        <v/>
      </c>
      <c r="H187" s="138" t="str">
        <f aca="false">ExportRaw!$A187</f>
        <v/>
      </c>
      <c r="I187" s="138" t="str">
        <f aca="false">ExportRaw!$B187</f>
        <v/>
      </c>
    </row>
    <row r="188" customFormat="false" ht="15.75" hidden="false" customHeight="false" outlineLevel="0" collapsed="false">
      <c r="A188" s="138" t="n">
        <f aca="false">ExportRaw!$F188</f>
        <v>0</v>
      </c>
      <c r="B188" s="138" t="n">
        <f aca="false">ExportRaw!$C188</f>
        <v>0</v>
      </c>
      <c r="C188" s="138" t="n">
        <f aca="false">ExportRaw!$G188</f>
        <v>0</v>
      </c>
      <c r="D188" s="138" t="str">
        <f aca="false">ExportRaw!$E188</f>
        <v/>
      </c>
      <c r="E188" s="139" t="str">
        <f aca="false">ExportRaw!$D188</f>
        <v/>
      </c>
      <c r="F188" s="138" t="str">
        <f aca="false">ExportRaw!$H188</f>
        <v/>
      </c>
      <c r="G188" s="140" t="str">
        <f aca="false">ExportRaw!$I188</f>
        <v/>
      </c>
      <c r="H188" s="138" t="str">
        <f aca="false">ExportRaw!$A188</f>
        <v/>
      </c>
      <c r="I188" s="138" t="str">
        <f aca="false">ExportRaw!$B188</f>
        <v/>
      </c>
    </row>
    <row r="189" customFormat="false" ht="15.75" hidden="false" customHeight="false" outlineLevel="0" collapsed="false">
      <c r="A189" s="138" t="n">
        <f aca="false">ExportRaw!$F189</f>
        <v>0</v>
      </c>
      <c r="B189" s="138" t="n">
        <f aca="false">ExportRaw!$C189</f>
        <v>0</v>
      </c>
      <c r="C189" s="138" t="n">
        <f aca="false">ExportRaw!$G189</f>
        <v>0</v>
      </c>
      <c r="D189" s="138" t="str">
        <f aca="false">ExportRaw!$E189</f>
        <v/>
      </c>
      <c r="E189" s="139" t="str">
        <f aca="false">ExportRaw!$D189</f>
        <v/>
      </c>
      <c r="F189" s="138" t="str">
        <f aca="false">ExportRaw!$H189</f>
        <v/>
      </c>
      <c r="G189" s="140" t="str">
        <f aca="false">ExportRaw!$I189</f>
        <v/>
      </c>
      <c r="H189" s="138" t="str">
        <f aca="false">ExportRaw!$A189</f>
        <v/>
      </c>
      <c r="I189" s="138" t="str">
        <f aca="false">ExportRaw!$B189</f>
        <v/>
      </c>
    </row>
    <row r="190" customFormat="false" ht="15.75" hidden="false" customHeight="false" outlineLevel="0" collapsed="false">
      <c r="A190" s="138" t="n">
        <f aca="false">ExportRaw!$F190</f>
        <v>0</v>
      </c>
      <c r="B190" s="138" t="n">
        <f aca="false">ExportRaw!$C190</f>
        <v>0</v>
      </c>
      <c r="C190" s="138" t="n">
        <f aca="false">ExportRaw!$G190</f>
        <v>0</v>
      </c>
      <c r="D190" s="138" t="str">
        <f aca="false">ExportRaw!$E190</f>
        <v/>
      </c>
      <c r="E190" s="139" t="str">
        <f aca="false">ExportRaw!$D190</f>
        <v/>
      </c>
      <c r="F190" s="138" t="str">
        <f aca="false">ExportRaw!$H190</f>
        <v/>
      </c>
      <c r="G190" s="140" t="str">
        <f aca="false">ExportRaw!$I190</f>
        <v/>
      </c>
      <c r="H190" s="138" t="str">
        <f aca="false">ExportRaw!$A190</f>
        <v/>
      </c>
      <c r="I190" s="138" t="str">
        <f aca="false">ExportRaw!$B190</f>
        <v/>
      </c>
    </row>
    <row r="191" customFormat="false" ht="15.75" hidden="false" customHeight="false" outlineLevel="0" collapsed="false">
      <c r="A191" s="138" t="n">
        <f aca="false">ExportRaw!$F191</f>
        <v>0</v>
      </c>
      <c r="B191" s="138" t="n">
        <f aca="false">ExportRaw!$C191</f>
        <v>0</v>
      </c>
      <c r="C191" s="138" t="n">
        <f aca="false">ExportRaw!$G191</f>
        <v>0</v>
      </c>
      <c r="D191" s="138" t="str">
        <f aca="false">ExportRaw!$E191</f>
        <v/>
      </c>
      <c r="E191" s="139" t="str">
        <f aca="false">ExportRaw!$D191</f>
        <v/>
      </c>
      <c r="F191" s="138" t="str">
        <f aca="false">ExportRaw!$H191</f>
        <v/>
      </c>
      <c r="G191" s="140" t="str">
        <f aca="false">ExportRaw!$I191</f>
        <v/>
      </c>
      <c r="H191" s="138" t="str">
        <f aca="false">ExportRaw!$A191</f>
        <v/>
      </c>
      <c r="I191" s="138" t="str">
        <f aca="false">ExportRaw!$B191</f>
        <v/>
      </c>
    </row>
    <row r="192" customFormat="false" ht="15.75" hidden="false" customHeight="false" outlineLevel="0" collapsed="false">
      <c r="A192" s="138" t="n">
        <f aca="false">ExportRaw!$F192</f>
        <v>0</v>
      </c>
      <c r="B192" s="138" t="n">
        <f aca="false">ExportRaw!$C192</f>
        <v>0</v>
      </c>
      <c r="C192" s="138" t="n">
        <f aca="false">ExportRaw!$G192</f>
        <v>0</v>
      </c>
      <c r="D192" s="138" t="str">
        <f aca="false">ExportRaw!$E192</f>
        <v/>
      </c>
      <c r="E192" s="139" t="str">
        <f aca="false">ExportRaw!$D192</f>
        <v/>
      </c>
      <c r="F192" s="138" t="str">
        <f aca="false">ExportRaw!$H192</f>
        <v/>
      </c>
      <c r="G192" s="140" t="str">
        <f aca="false">ExportRaw!$I192</f>
        <v/>
      </c>
      <c r="H192" s="138" t="str">
        <f aca="false">ExportRaw!$A192</f>
        <v/>
      </c>
      <c r="I192" s="138" t="str">
        <f aca="false">ExportRaw!$B192</f>
        <v/>
      </c>
    </row>
    <row r="193" customFormat="false" ht="15.75" hidden="false" customHeight="false" outlineLevel="0" collapsed="false">
      <c r="A193" s="138" t="n">
        <f aca="false">ExportRaw!$F193</f>
        <v>0</v>
      </c>
      <c r="B193" s="138" t="n">
        <f aca="false">ExportRaw!$C193</f>
        <v>0</v>
      </c>
      <c r="C193" s="138" t="n">
        <f aca="false">ExportRaw!$G193</f>
        <v>0</v>
      </c>
      <c r="D193" s="138" t="str">
        <f aca="false">ExportRaw!$E193</f>
        <v/>
      </c>
      <c r="E193" s="139" t="str">
        <f aca="false">ExportRaw!$D193</f>
        <v/>
      </c>
      <c r="F193" s="138" t="str">
        <f aca="false">ExportRaw!$H193</f>
        <v/>
      </c>
      <c r="G193" s="140" t="str">
        <f aca="false">ExportRaw!$I193</f>
        <v/>
      </c>
      <c r="H193" s="138" t="str">
        <f aca="false">ExportRaw!$A193</f>
        <v/>
      </c>
      <c r="I193" s="138" t="str">
        <f aca="false">ExportRaw!$B193</f>
        <v/>
      </c>
    </row>
    <row r="194" customFormat="false" ht="15.75" hidden="false" customHeight="false" outlineLevel="0" collapsed="false">
      <c r="A194" s="138" t="n">
        <f aca="false">ExportRaw!$F194</f>
        <v>0</v>
      </c>
      <c r="B194" s="138" t="n">
        <f aca="false">ExportRaw!$C194</f>
        <v>0</v>
      </c>
      <c r="C194" s="138" t="n">
        <f aca="false">ExportRaw!$G194</f>
        <v>0</v>
      </c>
      <c r="D194" s="138" t="str">
        <f aca="false">ExportRaw!$E194</f>
        <v/>
      </c>
      <c r="E194" s="139" t="str">
        <f aca="false">ExportRaw!$D194</f>
        <v/>
      </c>
      <c r="F194" s="138" t="str">
        <f aca="false">ExportRaw!$H194</f>
        <v/>
      </c>
      <c r="G194" s="140" t="str">
        <f aca="false">ExportRaw!$I194</f>
        <v/>
      </c>
      <c r="H194" s="138" t="str">
        <f aca="false">ExportRaw!$A194</f>
        <v/>
      </c>
      <c r="I194" s="138" t="str">
        <f aca="false">ExportRaw!$B194</f>
        <v/>
      </c>
    </row>
    <row r="195" customFormat="false" ht="15.75" hidden="false" customHeight="false" outlineLevel="0" collapsed="false">
      <c r="A195" s="138" t="n">
        <f aca="false">ExportRaw!$F195</f>
        <v>0</v>
      </c>
      <c r="B195" s="138" t="n">
        <f aca="false">ExportRaw!$C195</f>
        <v>0</v>
      </c>
      <c r="C195" s="138" t="n">
        <f aca="false">ExportRaw!$G195</f>
        <v>0</v>
      </c>
      <c r="D195" s="138" t="str">
        <f aca="false">ExportRaw!$E195</f>
        <v/>
      </c>
      <c r="E195" s="139" t="str">
        <f aca="false">ExportRaw!$D195</f>
        <v/>
      </c>
      <c r="F195" s="138" t="str">
        <f aca="false">ExportRaw!$H195</f>
        <v/>
      </c>
      <c r="G195" s="140" t="str">
        <f aca="false">ExportRaw!$I195</f>
        <v/>
      </c>
      <c r="H195" s="138" t="str">
        <f aca="false">ExportRaw!$A195</f>
        <v/>
      </c>
      <c r="I195" s="138" t="str">
        <f aca="false">ExportRaw!$B195</f>
        <v/>
      </c>
    </row>
    <row r="196" customFormat="false" ht="15.75" hidden="false" customHeight="false" outlineLevel="0" collapsed="false">
      <c r="A196" s="138" t="n">
        <f aca="false">ExportRaw!$F196</f>
        <v>0</v>
      </c>
      <c r="B196" s="138" t="n">
        <f aca="false">ExportRaw!$C196</f>
        <v>0</v>
      </c>
      <c r="C196" s="138" t="n">
        <f aca="false">ExportRaw!$G196</f>
        <v>0</v>
      </c>
      <c r="D196" s="138" t="str">
        <f aca="false">ExportRaw!$E196</f>
        <v/>
      </c>
      <c r="E196" s="139" t="str">
        <f aca="false">ExportRaw!$D196</f>
        <v/>
      </c>
      <c r="F196" s="138" t="str">
        <f aca="false">ExportRaw!$H196</f>
        <v/>
      </c>
      <c r="G196" s="140" t="str">
        <f aca="false">ExportRaw!$I196</f>
        <v/>
      </c>
      <c r="H196" s="138" t="str">
        <f aca="false">ExportRaw!$A196</f>
        <v/>
      </c>
      <c r="I196" s="138" t="str">
        <f aca="false">ExportRaw!$B196</f>
        <v/>
      </c>
    </row>
    <row r="197" customFormat="false" ht="15.75" hidden="false" customHeight="false" outlineLevel="0" collapsed="false">
      <c r="A197" s="138" t="n">
        <f aca="false">ExportRaw!$F197</f>
        <v>0</v>
      </c>
      <c r="B197" s="138" t="n">
        <f aca="false">ExportRaw!$C197</f>
        <v>0</v>
      </c>
      <c r="C197" s="138" t="n">
        <f aca="false">ExportRaw!$G197</f>
        <v>0</v>
      </c>
      <c r="D197" s="138" t="str">
        <f aca="false">ExportRaw!$E197</f>
        <v/>
      </c>
      <c r="E197" s="139" t="str">
        <f aca="false">ExportRaw!$D197</f>
        <v/>
      </c>
      <c r="F197" s="138" t="str">
        <f aca="false">ExportRaw!$H197</f>
        <v/>
      </c>
      <c r="G197" s="140" t="str">
        <f aca="false">ExportRaw!$I197</f>
        <v/>
      </c>
      <c r="H197" s="138" t="str">
        <f aca="false">ExportRaw!$A197</f>
        <v/>
      </c>
      <c r="I197" s="138" t="str">
        <f aca="false">ExportRaw!$B197</f>
        <v/>
      </c>
    </row>
    <row r="198" customFormat="false" ht="15.75" hidden="false" customHeight="false" outlineLevel="0" collapsed="false">
      <c r="A198" s="138" t="n">
        <f aca="false">ExportRaw!$F198</f>
        <v>0</v>
      </c>
      <c r="B198" s="138" t="n">
        <f aca="false">ExportRaw!$C198</f>
        <v>0</v>
      </c>
      <c r="C198" s="138" t="n">
        <f aca="false">ExportRaw!$G198</f>
        <v>0</v>
      </c>
      <c r="D198" s="138" t="str">
        <f aca="false">ExportRaw!$E198</f>
        <v/>
      </c>
      <c r="E198" s="139" t="str">
        <f aca="false">ExportRaw!$D198</f>
        <v/>
      </c>
      <c r="F198" s="138" t="str">
        <f aca="false">ExportRaw!$H198</f>
        <v/>
      </c>
      <c r="G198" s="140" t="str">
        <f aca="false">ExportRaw!$I198</f>
        <v/>
      </c>
      <c r="H198" s="138" t="str">
        <f aca="false">ExportRaw!$A198</f>
        <v/>
      </c>
      <c r="I198" s="138" t="str">
        <f aca="false">ExportRaw!$B198</f>
        <v/>
      </c>
    </row>
    <row r="199" customFormat="false" ht="15.75" hidden="false" customHeight="false" outlineLevel="0" collapsed="false">
      <c r="A199" s="138" t="n">
        <f aca="false">ExportRaw!$F199</f>
        <v>0</v>
      </c>
      <c r="B199" s="138" t="n">
        <f aca="false">ExportRaw!$C199</f>
        <v>0</v>
      </c>
      <c r="C199" s="138" t="n">
        <f aca="false">ExportRaw!$G199</f>
        <v>0</v>
      </c>
      <c r="D199" s="138" t="str">
        <f aca="false">ExportRaw!$E199</f>
        <v/>
      </c>
      <c r="E199" s="139" t="str">
        <f aca="false">ExportRaw!$D199</f>
        <v/>
      </c>
      <c r="F199" s="138" t="str">
        <f aca="false">ExportRaw!$H199</f>
        <v/>
      </c>
      <c r="G199" s="140" t="str">
        <f aca="false">ExportRaw!$I199</f>
        <v/>
      </c>
      <c r="H199" s="138" t="str">
        <f aca="false">ExportRaw!$A199</f>
        <v/>
      </c>
      <c r="I199" s="138" t="str">
        <f aca="false">ExportRaw!$B199</f>
        <v/>
      </c>
    </row>
    <row r="200" customFormat="false" ht="15.75" hidden="false" customHeight="false" outlineLevel="0" collapsed="false">
      <c r="A200" s="138" t="n">
        <f aca="false">ExportRaw!$F200</f>
        <v>0</v>
      </c>
      <c r="B200" s="138" t="n">
        <f aca="false">ExportRaw!$C200</f>
        <v>0</v>
      </c>
      <c r="C200" s="138" t="n">
        <f aca="false">ExportRaw!$G200</f>
        <v>0</v>
      </c>
      <c r="D200" s="138" t="str">
        <f aca="false">ExportRaw!$E200</f>
        <v/>
      </c>
      <c r="E200" s="139" t="str">
        <f aca="false">ExportRaw!$D200</f>
        <v/>
      </c>
      <c r="F200" s="138" t="str">
        <f aca="false">ExportRaw!$H200</f>
        <v/>
      </c>
      <c r="G200" s="140" t="str">
        <f aca="false">ExportRaw!$I200</f>
        <v/>
      </c>
      <c r="H200" s="138" t="str">
        <f aca="false">ExportRaw!$A200</f>
        <v/>
      </c>
      <c r="I200" s="138" t="str">
        <f aca="false">ExportRaw!$B200</f>
        <v/>
      </c>
    </row>
    <row r="201" customFormat="false" ht="15.75" hidden="false" customHeight="false" outlineLevel="0" collapsed="false">
      <c r="A201" s="138" t="n">
        <f aca="false">ExportRaw!$F201</f>
        <v>0</v>
      </c>
      <c r="B201" s="138" t="n">
        <f aca="false">ExportRaw!$C201</f>
        <v>0</v>
      </c>
      <c r="C201" s="138" t="n">
        <f aca="false">ExportRaw!$G201</f>
        <v>0</v>
      </c>
      <c r="D201" s="138" t="str">
        <f aca="false">ExportRaw!$E201</f>
        <v/>
      </c>
      <c r="E201" s="139" t="str">
        <f aca="false">ExportRaw!$D201</f>
        <v/>
      </c>
      <c r="F201" s="138" t="str">
        <f aca="false">ExportRaw!$H201</f>
        <v/>
      </c>
      <c r="G201" s="140" t="str">
        <f aca="false">ExportRaw!$I201</f>
        <v/>
      </c>
      <c r="H201" s="138" t="str">
        <f aca="false">ExportRaw!$A201</f>
        <v/>
      </c>
      <c r="I201" s="138" t="str">
        <f aca="false">ExportRaw!$B201</f>
        <v/>
      </c>
    </row>
    <row r="202" customFormat="false" ht="15.75" hidden="false" customHeight="false" outlineLevel="0" collapsed="false">
      <c r="A202" s="138" t="n">
        <f aca="false">ExportRaw!$F202</f>
        <v>0</v>
      </c>
      <c r="B202" s="138" t="n">
        <f aca="false">ExportRaw!$C202</f>
        <v>0</v>
      </c>
      <c r="C202" s="138" t="n">
        <f aca="false">ExportRaw!$G202</f>
        <v>0</v>
      </c>
      <c r="D202" s="138" t="str">
        <f aca="false">ExportRaw!$E202</f>
        <v/>
      </c>
      <c r="E202" s="139" t="str">
        <f aca="false">ExportRaw!$D202</f>
        <v/>
      </c>
      <c r="F202" s="138" t="str">
        <f aca="false">ExportRaw!$H202</f>
        <v/>
      </c>
      <c r="G202" s="140" t="str">
        <f aca="false">ExportRaw!$I202</f>
        <v/>
      </c>
      <c r="H202" s="138" t="str">
        <f aca="false">ExportRaw!$A202</f>
        <v/>
      </c>
      <c r="I202" s="138" t="str">
        <f aca="false">ExportRaw!$B202</f>
        <v/>
      </c>
    </row>
    <row r="203" customFormat="false" ht="15.75" hidden="false" customHeight="false" outlineLevel="0" collapsed="false">
      <c r="A203" s="138" t="n">
        <f aca="false">ExportRaw!$F203</f>
        <v>0</v>
      </c>
      <c r="B203" s="138" t="n">
        <f aca="false">ExportRaw!$C203</f>
        <v>0</v>
      </c>
      <c r="C203" s="138" t="n">
        <f aca="false">ExportRaw!$G203</f>
        <v>0</v>
      </c>
      <c r="D203" s="138" t="str">
        <f aca="false">ExportRaw!$E203</f>
        <v/>
      </c>
      <c r="E203" s="139" t="str">
        <f aca="false">ExportRaw!$D203</f>
        <v/>
      </c>
      <c r="F203" s="138" t="str">
        <f aca="false">ExportRaw!$H203</f>
        <v/>
      </c>
      <c r="G203" s="140" t="str">
        <f aca="false">ExportRaw!$I203</f>
        <v/>
      </c>
      <c r="H203" s="138" t="str">
        <f aca="false">ExportRaw!$A203</f>
        <v/>
      </c>
      <c r="I203" s="138" t="str">
        <f aca="false">ExportRaw!$B203</f>
        <v/>
      </c>
    </row>
    <row r="204" customFormat="false" ht="15.75" hidden="false" customHeight="false" outlineLevel="0" collapsed="false">
      <c r="A204" s="138" t="n">
        <f aca="false">ExportRaw!$F204</f>
        <v>0</v>
      </c>
      <c r="B204" s="138" t="n">
        <f aca="false">ExportRaw!$C204</f>
        <v>0</v>
      </c>
      <c r="C204" s="138" t="n">
        <f aca="false">ExportRaw!$G204</f>
        <v>0</v>
      </c>
      <c r="D204" s="138" t="str">
        <f aca="false">ExportRaw!$E204</f>
        <v/>
      </c>
      <c r="E204" s="139" t="str">
        <f aca="false">ExportRaw!$D204</f>
        <v/>
      </c>
      <c r="F204" s="138" t="str">
        <f aca="false">ExportRaw!$H204</f>
        <v/>
      </c>
      <c r="G204" s="140" t="str">
        <f aca="false">ExportRaw!$I204</f>
        <v/>
      </c>
      <c r="H204" s="138" t="str">
        <f aca="false">ExportRaw!$A204</f>
        <v/>
      </c>
      <c r="I204" s="138" t="str">
        <f aca="false">ExportRaw!$B204</f>
        <v/>
      </c>
    </row>
    <row r="205" customFormat="false" ht="15.75" hidden="false" customHeight="false" outlineLevel="0" collapsed="false">
      <c r="A205" s="138" t="n">
        <f aca="false">ExportRaw!$F205</f>
        <v>0</v>
      </c>
      <c r="B205" s="138" t="n">
        <f aca="false">ExportRaw!$C205</f>
        <v>0</v>
      </c>
      <c r="C205" s="138" t="n">
        <f aca="false">ExportRaw!$G205</f>
        <v>0</v>
      </c>
      <c r="D205" s="138" t="str">
        <f aca="false">ExportRaw!$E205</f>
        <v/>
      </c>
      <c r="E205" s="139" t="str">
        <f aca="false">ExportRaw!$D205</f>
        <v/>
      </c>
      <c r="F205" s="138" t="str">
        <f aca="false">ExportRaw!$H205</f>
        <v/>
      </c>
      <c r="G205" s="140" t="str">
        <f aca="false">ExportRaw!$I205</f>
        <v/>
      </c>
      <c r="H205" s="138" t="str">
        <f aca="false">ExportRaw!$A205</f>
        <v/>
      </c>
      <c r="I205" s="138" t="str">
        <f aca="false">ExportRaw!$B205</f>
        <v/>
      </c>
    </row>
    <row r="206" customFormat="false" ht="15.75" hidden="false" customHeight="false" outlineLevel="0" collapsed="false">
      <c r="A206" s="138" t="n">
        <f aca="false">ExportRaw!$F206</f>
        <v>0</v>
      </c>
      <c r="B206" s="138" t="n">
        <f aca="false">ExportRaw!$C206</f>
        <v>0</v>
      </c>
      <c r="C206" s="138" t="n">
        <f aca="false">ExportRaw!$G206</f>
        <v>0</v>
      </c>
      <c r="D206" s="138" t="str">
        <f aca="false">ExportRaw!$E206</f>
        <v/>
      </c>
      <c r="E206" s="139" t="str">
        <f aca="false">ExportRaw!$D206</f>
        <v/>
      </c>
      <c r="F206" s="138" t="str">
        <f aca="false">ExportRaw!$H206</f>
        <v/>
      </c>
      <c r="G206" s="140" t="str">
        <f aca="false">ExportRaw!$I206</f>
        <v/>
      </c>
      <c r="H206" s="138" t="str">
        <f aca="false">ExportRaw!$A206</f>
        <v/>
      </c>
      <c r="I206" s="138" t="str">
        <f aca="false">ExportRaw!$B206</f>
        <v/>
      </c>
    </row>
    <row r="207" customFormat="false" ht="15.75" hidden="false" customHeight="false" outlineLevel="0" collapsed="false">
      <c r="A207" s="138" t="n">
        <f aca="false">ExportRaw!$F207</f>
        <v>0</v>
      </c>
      <c r="B207" s="138" t="n">
        <f aca="false">ExportRaw!$C207</f>
        <v>0</v>
      </c>
      <c r="C207" s="138" t="n">
        <f aca="false">ExportRaw!$G207</f>
        <v>0</v>
      </c>
      <c r="D207" s="138" t="str">
        <f aca="false">ExportRaw!$E207</f>
        <v/>
      </c>
      <c r="E207" s="139" t="str">
        <f aca="false">ExportRaw!$D207</f>
        <v/>
      </c>
      <c r="F207" s="138" t="str">
        <f aca="false">ExportRaw!$H207</f>
        <v/>
      </c>
      <c r="G207" s="140" t="str">
        <f aca="false">ExportRaw!$I207</f>
        <v/>
      </c>
      <c r="H207" s="138" t="str">
        <f aca="false">ExportRaw!$A207</f>
        <v/>
      </c>
      <c r="I207" s="138" t="str">
        <f aca="false">ExportRaw!$B207</f>
        <v/>
      </c>
    </row>
    <row r="208" customFormat="false" ht="15.75" hidden="false" customHeight="false" outlineLevel="0" collapsed="false">
      <c r="A208" s="138" t="n">
        <f aca="false">ExportRaw!$F208</f>
        <v>0</v>
      </c>
      <c r="B208" s="138" t="n">
        <f aca="false">ExportRaw!$C208</f>
        <v>0</v>
      </c>
      <c r="C208" s="138" t="n">
        <f aca="false">ExportRaw!$G208</f>
        <v>0</v>
      </c>
      <c r="D208" s="138" t="str">
        <f aca="false">ExportRaw!$E208</f>
        <v/>
      </c>
      <c r="E208" s="139" t="str">
        <f aca="false">ExportRaw!$D208</f>
        <v/>
      </c>
      <c r="F208" s="138" t="str">
        <f aca="false">ExportRaw!$H208</f>
        <v/>
      </c>
      <c r="G208" s="140" t="str">
        <f aca="false">ExportRaw!$I208</f>
        <v/>
      </c>
      <c r="H208" s="138" t="str">
        <f aca="false">ExportRaw!$A208</f>
        <v/>
      </c>
      <c r="I208" s="138" t="str">
        <f aca="false">ExportRaw!$B208</f>
        <v/>
      </c>
    </row>
    <row r="209" customFormat="false" ht="15.75" hidden="false" customHeight="false" outlineLevel="0" collapsed="false">
      <c r="A209" s="138" t="n">
        <f aca="false">ExportRaw!$F209</f>
        <v>0</v>
      </c>
      <c r="B209" s="138" t="n">
        <f aca="false">ExportRaw!$C209</f>
        <v>0</v>
      </c>
      <c r="C209" s="138" t="n">
        <f aca="false">ExportRaw!$G209</f>
        <v>0</v>
      </c>
      <c r="D209" s="138" t="str">
        <f aca="false">ExportRaw!$E209</f>
        <v/>
      </c>
      <c r="E209" s="139" t="str">
        <f aca="false">ExportRaw!$D209</f>
        <v/>
      </c>
      <c r="F209" s="138" t="str">
        <f aca="false">ExportRaw!$H209</f>
        <v/>
      </c>
      <c r="G209" s="140" t="str">
        <f aca="false">ExportRaw!$I209</f>
        <v/>
      </c>
      <c r="H209" s="138" t="str">
        <f aca="false">ExportRaw!$A209</f>
        <v/>
      </c>
      <c r="I209" s="138" t="str">
        <f aca="false">ExportRaw!$B209</f>
        <v/>
      </c>
    </row>
    <row r="210" customFormat="false" ht="15.75" hidden="false" customHeight="false" outlineLevel="0" collapsed="false">
      <c r="A210" s="138" t="n">
        <f aca="false">ExportRaw!$F210</f>
        <v>0</v>
      </c>
      <c r="B210" s="138" t="n">
        <f aca="false">ExportRaw!$C210</f>
        <v>0</v>
      </c>
      <c r="C210" s="138" t="n">
        <f aca="false">ExportRaw!$G210</f>
        <v>0</v>
      </c>
      <c r="D210" s="138" t="str">
        <f aca="false">ExportRaw!$E210</f>
        <v/>
      </c>
      <c r="E210" s="139" t="str">
        <f aca="false">ExportRaw!$D210</f>
        <v/>
      </c>
      <c r="F210" s="138" t="str">
        <f aca="false">ExportRaw!$H210</f>
        <v/>
      </c>
      <c r="G210" s="140" t="str">
        <f aca="false">ExportRaw!$I210</f>
        <v/>
      </c>
      <c r="H210" s="138" t="str">
        <f aca="false">ExportRaw!$A210</f>
        <v/>
      </c>
      <c r="I210" s="138" t="str">
        <f aca="false">ExportRaw!$B210</f>
        <v/>
      </c>
    </row>
    <row r="211" customFormat="false" ht="15.75" hidden="false" customHeight="false" outlineLevel="0" collapsed="false">
      <c r="A211" s="138" t="n">
        <f aca="false">ExportRaw!$F211</f>
        <v>0</v>
      </c>
      <c r="B211" s="138" t="n">
        <f aca="false">ExportRaw!$C211</f>
        <v>0</v>
      </c>
      <c r="C211" s="138" t="n">
        <f aca="false">ExportRaw!$G211</f>
        <v>0</v>
      </c>
      <c r="D211" s="138" t="str">
        <f aca="false">ExportRaw!$E211</f>
        <v/>
      </c>
      <c r="E211" s="139" t="str">
        <f aca="false">ExportRaw!$D211</f>
        <v/>
      </c>
      <c r="F211" s="138" t="str">
        <f aca="false">ExportRaw!$H211</f>
        <v/>
      </c>
      <c r="G211" s="140" t="str">
        <f aca="false">ExportRaw!$I211</f>
        <v/>
      </c>
      <c r="H211" s="138" t="str">
        <f aca="false">ExportRaw!$A211</f>
        <v/>
      </c>
      <c r="I211" s="138" t="str">
        <f aca="false">ExportRaw!$B211</f>
        <v/>
      </c>
    </row>
    <row r="212" customFormat="false" ht="15.75" hidden="false" customHeight="false" outlineLevel="0" collapsed="false">
      <c r="A212" s="138" t="n">
        <f aca="false">ExportRaw!$F212</f>
        <v>0</v>
      </c>
      <c r="B212" s="138" t="n">
        <f aca="false">ExportRaw!$C212</f>
        <v>0</v>
      </c>
      <c r="C212" s="138" t="n">
        <f aca="false">ExportRaw!$G212</f>
        <v>0</v>
      </c>
      <c r="D212" s="138" t="str">
        <f aca="false">ExportRaw!$E212</f>
        <v/>
      </c>
      <c r="E212" s="139" t="str">
        <f aca="false">ExportRaw!$D212</f>
        <v/>
      </c>
      <c r="F212" s="138" t="str">
        <f aca="false">ExportRaw!$H212</f>
        <v/>
      </c>
      <c r="G212" s="140" t="str">
        <f aca="false">ExportRaw!$I212</f>
        <v/>
      </c>
      <c r="H212" s="138" t="str">
        <f aca="false">ExportRaw!$A212</f>
        <v/>
      </c>
      <c r="I212" s="138" t="str">
        <f aca="false">ExportRaw!$B212</f>
        <v/>
      </c>
    </row>
    <row r="213" customFormat="false" ht="15.75" hidden="false" customHeight="false" outlineLevel="0" collapsed="false">
      <c r="A213" s="138" t="n">
        <f aca="false">ExportRaw!$F213</f>
        <v>0</v>
      </c>
      <c r="B213" s="138" t="n">
        <f aca="false">ExportRaw!$C213</f>
        <v>0</v>
      </c>
      <c r="C213" s="138" t="n">
        <f aca="false">ExportRaw!$G213</f>
        <v>0</v>
      </c>
      <c r="D213" s="138" t="str">
        <f aca="false">ExportRaw!$E213</f>
        <v/>
      </c>
      <c r="E213" s="139" t="str">
        <f aca="false">ExportRaw!$D213</f>
        <v/>
      </c>
      <c r="F213" s="138" t="str">
        <f aca="false">ExportRaw!$H213</f>
        <v/>
      </c>
      <c r="G213" s="140" t="str">
        <f aca="false">ExportRaw!$I213</f>
        <v/>
      </c>
      <c r="H213" s="138" t="str">
        <f aca="false">ExportRaw!$A213</f>
        <v/>
      </c>
      <c r="I213" s="138" t="str">
        <f aca="false">ExportRaw!$B213</f>
        <v/>
      </c>
    </row>
    <row r="214" customFormat="false" ht="15.75" hidden="false" customHeight="false" outlineLevel="0" collapsed="false">
      <c r="A214" s="138" t="n">
        <f aca="false">ExportRaw!$F214</f>
        <v>0</v>
      </c>
      <c r="B214" s="138" t="n">
        <f aca="false">ExportRaw!$C214</f>
        <v>0</v>
      </c>
      <c r="C214" s="138" t="n">
        <f aca="false">ExportRaw!$G214</f>
        <v>0</v>
      </c>
      <c r="D214" s="138" t="str">
        <f aca="false">ExportRaw!$E214</f>
        <v/>
      </c>
      <c r="E214" s="139" t="str">
        <f aca="false">ExportRaw!$D214</f>
        <v/>
      </c>
      <c r="F214" s="138" t="str">
        <f aca="false">ExportRaw!$H214</f>
        <v/>
      </c>
      <c r="G214" s="140" t="str">
        <f aca="false">ExportRaw!$I214</f>
        <v/>
      </c>
      <c r="H214" s="138" t="str">
        <f aca="false">ExportRaw!$A214</f>
        <v/>
      </c>
      <c r="I214" s="138" t="str">
        <f aca="false">ExportRaw!$B214</f>
        <v/>
      </c>
    </row>
    <row r="215" customFormat="false" ht="15.75" hidden="false" customHeight="false" outlineLevel="0" collapsed="false">
      <c r="A215" s="138" t="n">
        <f aca="false">ExportRaw!$F215</f>
        <v>0</v>
      </c>
      <c r="B215" s="138" t="n">
        <f aca="false">ExportRaw!$C215</f>
        <v>0</v>
      </c>
      <c r="C215" s="138" t="n">
        <f aca="false">ExportRaw!$G215</f>
        <v>0</v>
      </c>
      <c r="D215" s="138" t="str">
        <f aca="false">ExportRaw!$E215</f>
        <v/>
      </c>
      <c r="E215" s="139" t="str">
        <f aca="false">ExportRaw!$D215</f>
        <v/>
      </c>
      <c r="F215" s="138" t="str">
        <f aca="false">ExportRaw!$H215</f>
        <v/>
      </c>
      <c r="G215" s="140" t="str">
        <f aca="false">ExportRaw!$I215</f>
        <v/>
      </c>
      <c r="H215" s="138" t="str">
        <f aca="false">ExportRaw!$A215</f>
        <v/>
      </c>
      <c r="I215" s="138" t="str">
        <f aca="false">ExportRaw!$B215</f>
        <v/>
      </c>
    </row>
    <row r="216" customFormat="false" ht="15.75" hidden="false" customHeight="false" outlineLevel="0" collapsed="false">
      <c r="A216" s="138" t="n">
        <f aca="false">ExportRaw!$F216</f>
        <v>0</v>
      </c>
      <c r="B216" s="138" t="n">
        <f aca="false">ExportRaw!$C216</f>
        <v>0</v>
      </c>
      <c r="C216" s="138" t="n">
        <f aca="false">ExportRaw!$G216</f>
        <v>0</v>
      </c>
      <c r="D216" s="138" t="str">
        <f aca="false">ExportRaw!$E216</f>
        <v/>
      </c>
      <c r="E216" s="139" t="str">
        <f aca="false">ExportRaw!$D216</f>
        <v/>
      </c>
      <c r="F216" s="138" t="str">
        <f aca="false">ExportRaw!$H216</f>
        <v/>
      </c>
      <c r="G216" s="140" t="str">
        <f aca="false">ExportRaw!$I216</f>
        <v/>
      </c>
      <c r="H216" s="138" t="str">
        <f aca="false">ExportRaw!$A216</f>
        <v/>
      </c>
      <c r="I216" s="138" t="str">
        <f aca="false">ExportRaw!$B216</f>
        <v/>
      </c>
    </row>
    <row r="217" customFormat="false" ht="15.75" hidden="false" customHeight="false" outlineLevel="0" collapsed="false">
      <c r="A217" s="138" t="n">
        <f aca="false">ExportRaw!$F217</f>
        <v>0</v>
      </c>
      <c r="B217" s="138" t="n">
        <f aca="false">ExportRaw!$C217</f>
        <v>0</v>
      </c>
      <c r="C217" s="138" t="n">
        <f aca="false">ExportRaw!$G217</f>
        <v>0</v>
      </c>
      <c r="D217" s="138" t="str">
        <f aca="false">ExportRaw!$E217</f>
        <v/>
      </c>
      <c r="E217" s="139" t="str">
        <f aca="false">ExportRaw!$D217</f>
        <v/>
      </c>
      <c r="F217" s="138" t="str">
        <f aca="false">ExportRaw!$H217</f>
        <v/>
      </c>
      <c r="G217" s="140" t="str">
        <f aca="false">ExportRaw!$I217</f>
        <v/>
      </c>
      <c r="H217" s="138" t="str">
        <f aca="false">ExportRaw!$A217</f>
        <v/>
      </c>
      <c r="I217" s="138" t="str">
        <f aca="false">ExportRaw!$B217</f>
        <v/>
      </c>
    </row>
    <row r="218" customFormat="false" ht="15.75" hidden="false" customHeight="false" outlineLevel="0" collapsed="false">
      <c r="A218" s="138" t="n">
        <f aca="false">ExportRaw!$F218</f>
        <v>0</v>
      </c>
      <c r="B218" s="138" t="n">
        <f aca="false">ExportRaw!$C218</f>
        <v>0</v>
      </c>
      <c r="C218" s="138" t="n">
        <f aca="false">ExportRaw!$G218</f>
        <v>0</v>
      </c>
      <c r="D218" s="138" t="str">
        <f aca="false">ExportRaw!$E218</f>
        <v/>
      </c>
      <c r="E218" s="139" t="str">
        <f aca="false">ExportRaw!$D218</f>
        <v/>
      </c>
      <c r="F218" s="138" t="str">
        <f aca="false">ExportRaw!$H218</f>
        <v/>
      </c>
      <c r="G218" s="140" t="str">
        <f aca="false">ExportRaw!$I218</f>
        <v/>
      </c>
      <c r="H218" s="138" t="str">
        <f aca="false">ExportRaw!$A218</f>
        <v/>
      </c>
      <c r="I218" s="138" t="str">
        <f aca="false">ExportRaw!$B218</f>
        <v/>
      </c>
    </row>
    <row r="219" customFormat="false" ht="15.75" hidden="false" customHeight="false" outlineLevel="0" collapsed="false">
      <c r="A219" s="138" t="n">
        <f aca="false">ExportRaw!$F219</f>
        <v>0</v>
      </c>
      <c r="B219" s="138" t="n">
        <f aca="false">ExportRaw!$C219</f>
        <v>0</v>
      </c>
      <c r="C219" s="138" t="n">
        <f aca="false">ExportRaw!$G219</f>
        <v>0</v>
      </c>
      <c r="D219" s="138" t="str">
        <f aca="false">ExportRaw!$E219</f>
        <v/>
      </c>
      <c r="E219" s="139" t="str">
        <f aca="false">ExportRaw!$D219</f>
        <v/>
      </c>
      <c r="F219" s="138" t="str">
        <f aca="false">ExportRaw!$H219</f>
        <v/>
      </c>
      <c r="G219" s="140" t="str">
        <f aca="false">ExportRaw!$I219</f>
        <v/>
      </c>
      <c r="H219" s="138" t="str">
        <f aca="false">ExportRaw!$A219</f>
        <v/>
      </c>
      <c r="I219" s="138" t="str">
        <f aca="false">ExportRaw!$B219</f>
        <v/>
      </c>
    </row>
    <row r="220" customFormat="false" ht="15.75" hidden="false" customHeight="false" outlineLevel="0" collapsed="false">
      <c r="A220" s="138" t="n">
        <f aca="false">ExportRaw!$F220</f>
        <v>0</v>
      </c>
      <c r="B220" s="138" t="n">
        <f aca="false">ExportRaw!$C220</f>
        <v>0</v>
      </c>
      <c r="C220" s="138" t="n">
        <f aca="false">ExportRaw!$G220</f>
        <v>0</v>
      </c>
      <c r="D220" s="138" t="str">
        <f aca="false">ExportRaw!$E220</f>
        <v/>
      </c>
      <c r="E220" s="139" t="str">
        <f aca="false">ExportRaw!$D220</f>
        <v/>
      </c>
      <c r="F220" s="138" t="str">
        <f aca="false">ExportRaw!$H220</f>
        <v/>
      </c>
      <c r="G220" s="140" t="str">
        <f aca="false">ExportRaw!$I220</f>
        <v/>
      </c>
      <c r="H220" s="138" t="str">
        <f aca="false">ExportRaw!$A220</f>
        <v/>
      </c>
      <c r="I220" s="138" t="str">
        <f aca="false">ExportRaw!$B220</f>
        <v/>
      </c>
    </row>
    <row r="221" customFormat="false" ht="15.75" hidden="false" customHeight="false" outlineLevel="0" collapsed="false">
      <c r="A221" s="138" t="n">
        <f aca="false">ExportRaw!$F221</f>
        <v>0</v>
      </c>
      <c r="B221" s="138" t="n">
        <f aca="false">ExportRaw!$C221</f>
        <v>0</v>
      </c>
      <c r="C221" s="138" t="n">
        <f aca="false">ExportRaw!$G221</f>
        <v>0</v>
      </c>
      <c r="D221" s="138" t="str">
        <f aca="false">ExportRaw!$E221</f>
        <v/>
      </c>
      <c r="E221" s="139" t="str">
        <f aca="false">ExportRaw!$D221</f>
        <v/>
      </c>
      <c r="F221" s="138" t="str">
        <f aca="false">ExportRaw!$H221</f>
        <v/>
      </c>
      <c r="G221" s="140" t="str">
        <f aca="false">ExportRaw!$I221</f>
        <v/>
      </c>
      <c r="H221" s="138" t="str">
        <f aca="false">ExportRaw!$A221</f>
        <v/>
      </c>
      <c r="I221" s="138" t="str">
        <f aca="false">ExportRaw!$B221</f>
        <v/>
      </c>
    </row>
    <row r="222" customFormat="false" ht="15.75" hidden="false" customHeight="false" outlineLevel="0" collapsed="false">
      <c r="A222" s="138" t="n">
        <f aca="false">ExportRaw!$F222</f>
        <v>0</v>
      </c>
      <c r="B222" s="138" t="n">
        <f aca="false">ExportRaw!$C222</f>
        <v>0</v>
      </c>
      <c r="C222" s="138" t="n">
        <f aca="false">ExportRaw!$G222</f>
        <v>0</v>
      </c>
      <c r="D222" s="138" t="str">
        <f aca="false">ExportRaw!$E222</f>
        <v/>
      </c>
      <c r="E222" s="139" t="str">
        <f aca="false">ExportRaw!$D222</f>
        <v/>
      </c>
      <c r="F222" s="138" t="str">
        <f aca="false">ExportRaw!$H222</f>
        <v/>
      </c>
      <c r="G222" s="140" t="str">
        <f aca="false">ExportRaw!$I222</f>
        <v/>
      </c>
      <c r="H222" s="138" t="str">
        <f aca="false">ExportRaw!$A222</f>
        <v/>
      </c>
      <c r="I222" s="138" t="str">
        <f aca="false">ExportRaw!$B222</f>
        <v/>
      </c>
    </row>
    <row r="223" customFormat="false" ht="15.75" hidden="false" customHeight="false" outlineLevel="0" collapsed="false">
      <c r="A223" s="138" t="n">
        <f aca="false">ExportRaw!$F223</f>
        <v>0</v>
      </c>
      <c r="B223" s="138" t="n">
        <f aca="false">ExportRaw!$C223</f>
        <v>0</v>
      </c>
      <c r="C223" s="138" t="n">
        <f aca="false">ExportRaw!$G223</f>
        <v>0</v>
      </c>
      <c r="D223" s="138" t="str">
        <f aca="false">ExportRaw!$E223</f>
        <v/>
      </c>
      <c r="E223" s="139" t="str">
        <f aca="false">ExportRaw!$D223</f>
        <v/>
      </c>
      <c r="F223" s="138" t="str">
        <f aca="false">ExportRaw!$H223</f>
        <v/>
      </c>
      <c r="G223" s="140" t="str">
        <f aca="false">ExportRaw!$I223</f>
        <v/>
      </c>
      <c r="H223" s="138" t="str">
        <f aca="false">ExportRaw!$A223</f>
        <v/>
      </c>
      <c r="I223" s="138" t="str">
        <f aca="false">ExportRaw!$B223</f>
        <v/>
      </c>
    </row>
    <row r="224" customFormat="false" ht="15.75" hidden="false" customHeight="false" outlineLevel="0" collapsed="false">
      <c r="A224" s="138" t="n">
        <f aca="false">ExportRaw!$F224</f>
        <v>0</v>
      </c>
      <c r="B224" s="138" t="n">
        <f aca="false">ExportRaw!$C224</f>
        <v>0</v>
      </c>
      <c r="C224" s="138" t="n">
        <f aca="false">ExportRaw!$G224</f>
        <v>0</v>
      </c>
      <c r="D224" s="138" t="str">
        <f aca="false">ExportRaw!$E224</f>
        <v/>
      </c>
      <c r="E224" s="139" t="str">
        <f aca="false">ExportRaw!$D224</f>
        <v/>
      </c>
      <c r="F224" s="138" t="str">
        <f aca="false">ExportRaw!$H224</f>
        <v/>
      </c>
      <c r="G224" s="140" t="str">
        <f aca="false">ExportRaw!$I224</f>
        <v/>
      </c>
      <c r="H224" s="138" t="str">
        <f aca="false">ExportRaw!$A224</f>
        <v/>
      </c>
      <c r="I224" s="138" t="str">
        <f aca="false">ExportRaw!$B224</f>
        <v/>
      </c>
    </row>
    <row r="225" customFormat="false" ht="15.75" hidden="false" customHeight="false" outlineLevel="0" collapsed="false">
      <c r="A225" s="138" t="n">
        <f aca="false">ExportRaw!$F225</f>
        <v>0</v>
      </c>
      <c r="B225" s="138" t="n">
        <f aca="false">ExportRaw!$C225</f>
        <v>0</v>
      </c>
      <c r="C225" s="138" t="n">
        <f aca="false">ExportRaw!$G225</f>
        <v>0</v>
      </c>
      <c r="D225" s="138" t="str">
        <f aca="false">ExportRaw!$E225</f>
        <v/>
      </c>
      <c r="E225" s="139" t="str">
        <f aca="false">ExportRaw!$D225</f>
        <v/>
      </c>
      <c r="F225" s="138" t="str">
        <f aca="false">ExportRaw!$H225</f>
        <v/>
      </c>
      <c r="G225" s="140" t="str">
        <f aca="false">ExportRaw!$I225</f>
        <v/>
      </c>
      <c r="H225" s="138" t="str">
        <f aca="false">ExportRaw!$A225</f>
        <v/>
      </c>
      <c r="I225" s="138" t="str">
        <f aca="false">ExportRaw!$B225</f>
        <v/>
      </c>
    </row>
    <row r="226" customFormat="false" ht="15.75" hidden="false" customHeight="false" outlineLevel="0" collapsed="false">
      <c r="A226" s="138" t="n">
        <f aca="false">ExportRaw!$F226</f>
        <v>0</v>
      </c>
      <c r="B226" s="138" t="n">
        <f aca="false">ExportRaw!$C226</f>
        <v>0</v>
      </c>
      <c r="C226" s="138" t="n">
        <f aca="false">ExportRaw!$G226</f>
        <v>0</v>
      </c>
      <c r="D226" s="138" t="str">
        <f aca="false">ExportRaw!$E226</f>
        <v/>
      </c>
      <c r="E226" s="139" t="str">
        <f aca="false">ExportRaw!$D226</f>
        <v/>
      </c>
      <c r="F226" s="138" t="str">
        <f aca="false">ExportRaw!$H226</f>
        <v/>
      </c>
      <c r="G226" s="140" t="str">
        <f aca="false">ExportRaw!$I226</f>
        <v/>
      </c>
      <c r="H226" s="138" t="str">
        <f aca="false">ExportRaw!$A226</f>
        <v/>
      </c>
      <c r="I226" s="138" t="str">
        <f aca="false">ExportRaw!$B226</f>
        <v/>
      </c>
    </row>
    <row r="227" customFormat="false" ht="15.75" hidden="false" customHeight="false" outlineLevel="0" collapsed="false">
      <c r="A227" s="138" t="n">
        <f aca="false">ExportRaw!$F227</f>
        <v>0</v>
      </c>
      <c r="B227" s="138" t="n">
        <f aca="false">ExportRaw!$C227</f>
        <v>0</v>
      </c>
      <c r="C227" s="138" t="n">
        <f aca="false">ExportRaw!$G227</f>
        <v>0</v>
      </c>
      <c r="D227" s="138" t="str">
        <f aca="false">ExportRaw!$E227</f>
        <v/>
      </c>
      <c r="E227" s="139" t="str">
        <f aca="false">ExportRaw!$D227</f>
        <v/>
      </c>
      <c r="F227" s="138" t="str">
        <f aca="false">ExportRaw!$H227</f>
        <v/>
      </c>
      <c r="G227" s="140" t="str">
        <f aca="false">ExportRaw!$I227</f>
        <v/>
      </c>
      <c r="H227" s="138" t="str">
        <f aca="false">ExportRaw!$A227</f>
        <v/>
      </c>
      <c r="I227" s="138" t="str">
        <f aca="false">ExportRaw!$B227</f>
        <v/>
      </c>
    </row>
    <row r="228" customFormat="false" ht="15.75" hidden="false" customHeight="false" outlineLevel="0" collapsed="false">
      <c r="A228" s="138" t="n">
        <f aca="false">ExportRaw!$F228</f>
        <v>0</v>
      </c>
      <c r="B228" s="138" t="n">
        <f aca="false">ExportRaw!$C228</f>
        <v>0</v>
      </c>
      <c r="C228" s="138" t="n">
        <f aca="false">ExportRaw!$G228</f>
        <v>0</v>
      </c>
      <c r="D228" s="138" t="str">
        <f aca="false">ExportRaw!$E228</f>
        <v/>
      </c>
      <c r="E228" s="139" t="str">
        <f aca="false">ExportRaw!$D228</f>
        <v/>
      </c>
      <c r="F228" s="138" t="str">
        <f aca="false">ExportRaw!$H228</f>
        <v/>
      </c>
      <c r="G228" s="140" t="str">
        <f aca="false">ExportRaw!$I228</f>
        <v/>
      </c>
      <c r="H228" s="138" t="str">
        <f aca="false">ExportRaw!$A228</f>
        <v/>
      </c>
      <c r="I228" s="138" t="str">
        <f aca="false">ExportRaw!$B228</f>
        <v/>
      </c>
    </row>
    <row r="229" customFormat="false" ht="15.75" hidden="false" customHeight="false" outlineLevel="0" collapsed="false">
      <c r="A229" s="138" t="n">
        <f aca="false">ExportRaw!$F229</f>
        <v>0</v>
      </c>
      <c r="B229" s="138" t="n">
        <f aca="false">ExportRaw!$C229</f>
        <v>0</v>
      </c>
      <c r="C229" s="138" t="n">
        <f aca="false">ExportRaw!$G229</f>
        <v>0</v>
      </c>
      <c r="D229" s="138" t="str">
        <f aca="false">ExportRaw!$E229</f>
        <v/>
      </c>
      <c r="E229" s="139" t="str">
        <f aca="false">ExportRaw!$D229</f>
        <v/>
      </c>
      <c r="F229" s="138" t="str">
        <f aca="false">ExportRaw!$H229</f>
        <v/>
      </c>
      <c r="G229" s="140" t="str">
        <f aca="false">ExportRaw!$I229</f>
        <v/>
      </c>
      <c r="H229" s="138" t="str">
        <f aca="false">ExportRaw!$A229</f>
        <v/>
      </c>
      <c r="I229" s="138" t="str">
        <f aca="false">ExportRaw!$B229</f>
        <v/>
      </c>
    </row>
    <row r="230" customFormat="false" ht="15.75" hidden="false" customHeight="false" outlineLevel="0" collapsed="false">
      <c r="A230" s="138" t="n">
        <f aca="false">ExportRaw!$F230</f>
        <v>0</v>
      </c>
      <c r="B230" s="138" t="n">
        <f aca="false">ExportRaw!$C230</f>
        <v>0</v>
      </c>
      <c r="C230" s="138" t="n">
        <f aca="false">ExportRaw!$G230</f>
        <v>0</v>
      </c>
      <c r="D230" s="138" t="str">
        <f aca="false">ExportRaw!$E230</f>
        <v/>
      </c>
      <c r="E230" s="139" t="str">
        <f aca="false">ExportRaw!$D230</f>
        <v/>
      </c>
      <c r="F230" s="138" t="str">
        <f aca="false">ExportRaw!$H230</f>
        <v/>
      </c>
      <c r="G230" s="140" t="str">
        <f aca="false">ExportRaw!$I230</f>
        <v/>
      </c>
      <c r="H230" s="138" t="str">
        <f aca="false">ExportRaw!$A230</f>
        <v/>
      </c>
      <c r="I230" s="138" t="str">
        <f aca="false">ExportRaw!$B230</f>
        <v/>
      </c>
    </row>
    <row r="231" customFormat="false" ht="15.75" hidden="false" customHeight="false" outlineLevel="0" collapsed="false">
      <c r="A231" s="138" t="n">
        <f aca="false">ExportRaw!$F231</f>
        <v>0</v>
      </c>
      <c r="B231" s="138" t="n">
        <f aca="false">ExportRaw!$C231</f>
        <v>0</v>
      </c>
      <c r="C231" s="138" t="n">
        <f aca="false">ExportRaw!$G231</f>
        <v>0</v>
      </c>
      <c r="D231" s="138" t="str">
        <f aca="false">ExportRaw!$E231</f>
        <v/>
      </c>
      <c r="E231" s="139" t="str">
        <f aca="false">ExportRaw!$D231</f>
        <v/>
      </c>
      <c r="F231" s="138" t="str">
        <f aca="false">ExportRaw!$H231</f>
        <v/>
      </c>
      <c r="G231" s="140" t="str">
        <f aca="false">ExportRaw!$I231</f>
        <v/>
      </c>
      <c r="H231" s="138" t="str">
        <f aca="false">ExportRaw!$A231</f>
        <v/>
      </c>
      <c r="I231" s="138" t="str">
        <f aca="false">ExportRaw!$B231</f>
        <v/>
      </c>
    </row>
    <row r="232" customFormat="false" ht="15.75" hidden="false" customHeight="false" outlineLevel="0" collapsed="false">
      <c r="A232" s="138" t="n">
        <f aca="false">ExportRaw!$F232</f>
        <v>0</v>
      </c>
      <c r="B232" s="138" t="n">
        <f aca="false">ExportRaw!$C232</f>
        <v>0</v>
      </c>
      <c r="C232" s="138" t="n">
        <f aca="false">ExportRaw!$G232</f>
        <v>0</v>
      </c>
      <c r="D232" s="138" t="str">
        <f aca="false">ExportRaw!$E232</f>
        <v/>
      </c>
      <c r="E232" s="139" t="str">
        <f aca="false">ExportRaw!$D232</f>
        <v/>
      </c>
      <c r="F232" s="138" t="str">
        <f aca="false">ExportRaw!$H232</f>
        <v/>
      </c>
      <c r="G232" s="140" t="str">
        <f aca="false">ExportRaw!$I232</f>
        <v/>
      </c>
      <c r="H232" s="138" t="str">
        <f aca="false">ExportRaw!$A232</f>
        <v/>
      </c>
      <c r="I232" s="138" t="str">
        <f aca="false">ExportRaw!$B232</f>
        <v/>
      </c>
    </row>
    <row r="233" customFormat="false" ht="15.75" hidden="false" customHeight="false" outlineLevel="0" collapsed="false">
      <c r="A233" s="138" t="n">
        <f aca="false">ExportRaw!$F233</f>
        <v>0</v>
      </c>
      <c r="B233" s="138" t="n">
        <f aca="false">ExportRaw!$C233</f>
        <v>0</v>
      </c>
      <c r="C233" s="138" t="n">
        <f aca="false">ExportRaw!$G233</f>
        <v>0</v>
      </c>
      <c r="D233" s="138" t="str">
        <f aca="false">ExportRaw!$E233</f>
        <v/>
      </c>
      <c r="E233" s="139" t="str">
        <f aca="false">ExportRaw!$D233</f>
        <v/>
      </c>
      <c r="F233" s="138" t="str">
        <f aca="false">ExportRaw!$H233</f>
        <v/>
      </c>
      <c r="G233" s="140" t="str">
        <f aca="false">ExportRaw!$I233</f>
        <v/>
      </c>
      <c r="H233" s="138" t="str">
        <f aca="false">ExportRaw!$A233</f>
        <v/>
      </c>
      <c r="I233" s="138" t="str">
        <f aca="false">ExportRaw!$B233</f>
        <v/>
      </c>
    </row>
    <row r="234" customFormat="false" ht="15.75" hidden="false" customHeight="false" outlineLevel="0" collapsed="false">
      <c r="A234" s="138" t="n">
        <f aca="false">ExportRaw!$F234</f>
        <v>0</v>
      </c>
      <c r="B234" s="138" t="n">
        <f aca="false">ExportRaw!$C234</f>
        <v>0</v>
      </c>
      <c r="C234" s="138" t="n">
        <f aca="false">ExportRaw!$G234</f>
        <v>0</v>
      </c>
      <c r="D234" s="138" t="str">
        <f aca="false">ExportRaw!$E234</f>
        <v/>
      </c>
      <c r="E234" s="139" t="str">
        <f aca="false">ExportRaw!$D234</f>
        <v/>
      </c>
      <c r="F234" s="138" t="str">
        <f aca="false">ExportRaw!$H234</f>
        <v/>
      </c>
      <c r="G234" s="140" t="str">
        <f aca="false">ExportRaw!$I234</f>
        <v/>
      </c>
      <c r="H234" s="138" t="str">
        <f aca="false">ExportRaw!$A234</f>
        <v/>
      </c>
      <c r="I234" s="138" t="str">
        <f aca="false">ExportRaw!$B234</f>
        <v/>
      </c>
    </row>
    <row r="235" customFormat="false" ht="15.75" hidden="false" customHeight="false" outlineLevel="0" collapsed="false">
      <c r="A235" s="138" t="n">
        <f aca="false">ExportRaw!$F235</f>
        <v>0</v>
      </c>
      <c r="B235" s="138" t="n">
        <f aca="false">ExportRaw!$C235</f>
        <v>0</v>
      </c>
      <c r="C235" s="138" t="n">
        <f aca="false">ExportRaw!$G235</f>
        <v>0</v>
      </c>
      <c r="D235" s="138" t="str">
        <f aca="false">ExportRaw!$E235</f>
        <v/>
      </c>
      <c r="E235" s="139" t="str">
        <f aca="false">ExportRaw!$D235</f>
        <v/>
      </c>
      <c r="F235" s="138" t="str">
        <f aca="false">ExportRaw!$H235</f>
        <v/>
      </c>
      <c r="G235" s="140" t="str">
        <f aca="false">ExportRaw!$I235</f>
        <v/>
      </c>
      <c r="H235" s="138" t="str">
        <f aca="false">ExportRaw!$A235</f>
        <v/>
      </c>
      <c r="I235" s="138" t="str">
        <f aca="false">ExportRaw!$B235</f>
        <v/>
      </c>
    </row>
    <row r="236" customFormat="false" ht="15.75" hidden="false" customHeight="false" outlineLevel="0" collapsed="false">
      <c r="A236" s="138" t="n">
        <f aca="false">ExportRaw!$F236</f>
        <v>0</v>
      </c>
      <c r="B236" s="138" t="n">
        <f aca="false">ExportRaw!$C236</f>
        <v>0</v>
      </c>
      <c r="C236" s="138" t="n">
        <f aca="false">ExportRaw!$G236</f>
        <v>0</v>
      </c>
      <c r="D236" s="138" t="str">
        <f aca="false">ExportRaw!$E236</f>
        <v/>
      </c>
      <c r="E236" s="139" t="str">
        <f aca="false">ExportRaw!$D236</f>
        <v/>
      </c>
      <c r="F236" s="138" t="str">
        <f aca="false">ExportRaw!$H236</f>
        <v/>
      </c>
      <c r="G236" s="140" t="str">
        <f aca="false">ExportRaw!$I236</f>
        <v/>
      </c>
      <c r="H236" s="138" t="str">
        <f aca="false">ExportRaw!$A236</f>
        <v/>
      </c>
      <c r="I236" s="138" t="str">
        <f aca="false">ExportRaw!$B236</f>
        <v/>
      </c>
    </row>
    <row r="237" customFormat="false" ht="15.75" hidden="false" customHeight="false" outlineLevel="0" collapsed="false">
      <c r="A237" s="138" t="n">
        <f aca="false">ExportRaw!$F237</f>
        <v>0</v>
      </c>
      <c r="B237" s="138" t="n">
        <f aca="false">ExportRaw!$C237</f>
        <v>0</v>
      </c>
      <c r="C237" s="138" t="n">
        <f aca="false">ExportRaw!$G237</f>
        <v>0</v>
      </c>
      <c r="D237" s="138" t="str">
        <f aca="false">ExportRaw!$E237</f>
        <v/>
      </c>
      <c r="E237" s="139" t="str">
        <f aca="false">ExportRaw!$D237</f>
        <v/>
      </c>
      <c r="F237" s="138" t="str">
        <f aca="false">ExportRaw!$H237</f>
        <v/>
      </c>
      <c r="G237" s="140" t="str">
        <f aca="false">ExportRaw!$I237</f>
        <v/>
      </c>
      <c r="H237" s="138" t="str">
        <f aca="false">ExportRaw!$A237</f>
        <v/>
      </c>
      <c r="I237" s="138" t="str">
        <f aca="false">ExportRaw!$B237</f>
        <v/>
      </c>
    </row>
    <row r="238" customFormat="false" ht="15.75" hidden="false" customHeight="false" outlineLevel="0" collapsed="false">
      <c r="A238" s="138" t="n">
        <f aca="false">ExportRaw!$F238</f>
        <v>0</v>
      </c>
      <c r="B238" s="138" t="n">
        <f aca="false">ExportRaw!$C238</f>
        <v>0</v>
      </c>
      <c r="C238" s="138" t="n">
        <f aca="false">ExportRaw!$G238</f>
        <v>0</v>
      </c>
      <c r="D238" s="138" t="str">
        <f aca="false">ExportRaw!$E238</f>
        <v/>
      </c>
      <c r="E238" s="139" t="str">
        <f aca="false">ExportRaw!$D238</f>
        <v/>
      </c>
      <c r="F238" s="138" t="str">
        <f aca="false">ExportRaw!$H238</f>
        <v/>
      </c>
      <c r="G238" s="140" t="str">
        <f aca="false">ExportRaw!$I238</f>
        <v/>
      </c>
      <c r="H238" s="138" t="str">
        <f aca="false">ExportRaw!$A238</f>
        <v/>
      </c>
      <c r="I238" s="138" t="str">
        <f aca="false">ExportRaw!$B238</f>
        <v/>
      </c>
    </row>
    <row r="239" customFormat="false" ht="15.75" hidden="false" customHeight="false" outlineLevel="0" collapsed="false">
      <c r="A239" s="138" t="n">
        <f aca="false">ExportRaw!$F239</f>
        <v>0</v>
      </c>
      <c r="B239" s="138" t="n">
        <f aca="false">ExportRaw!$C239</f>
        <v>0</v>
      </c>
      <c r="C239" s="138" t="n">
        <f aca="false">ExportRaw!$G239</f>
        <v>0</v>
      </c>
      <c r="D239" s="138" t="str">
        <f aca="false">ExportRaw!$E239</f>
        <v/>
      </c>
      <c r="E239" s="139" t="str">
        <f aca="false">ExportRaw!$D239</f>
        <v/>
      </c>
      <c r="F239" s="138" t="str">
        <f aca="false">ExportRaw!$H239</f>
        <v/>
      </c>
      <c r="G239" s="140" t="str">
        <f aca="false">ExportRaw!$I239</f>
        <v/>
      </c>
      <c r="H239" s="138" t="str">
        <f aca="false">ExportRaw!$A239</f>
        <v/>
      </c>
      <c r="I239" s="138" t="str">
        <f aca="false">ExportRaw!$B239</f>
        <v/>
      </c>
    </row>
    <row r="240" customFormat="false" ht="15.75" hidden="false" customHeight="false" outlineLevel="0" collapsed="false">
      <c r="A240" s="138" t="n">
        <f aca="false">ExportRaw!$F240</f>
        <v>0</v>
      </c>
      <c r="B240" s="138" t="n">
        <f aca="false">ExportRaw!$C240</f>
        <v>0</v>
      </c>
      <c r="C240" s="138" t="n">
        <f aca="false">ExportRaw!$G240</f>
        <v>0</v>
      </c>
      <c r="D240" s="138" t="str">
        <f aca="false">ExportRaw!$E240</f>
        <v/>
      </c>
      <c r="E240" s="139" t="str">
        <f aca="false">ExportRaw!$D240</f>
        <v/>
      </c>
      <c r="F240" s="138" t="str">
        <f aca="false">ExportRaw!$H240</f>
        <v/>
      </c>
      <c r="G240" s="140" t="str">
        <f aca="false">ExportRaw!$I240</f>
        <v/>
      </c>
      <c r="H240" s="138" t="str">
        <f aca="false">ExportRaw!$A240</f>
        <v/>
      </c>
      <c r="I240" s="138" t="str">
        <f aca="false">ExportRaw!$B240</f>
        <v/>
      </c>
    </row>
    <row r="241" customFormat="false" ht="15.75" hidden="false" customHeight="false" outlineLevel="0" collapsed="false">
      <c r="A241" s="138" t="n">
        <f aca="false">ExportRaw!$F241</f>
        <v>0</v>
      </c>
      <c r="B241" s="138" t="n">
        <f aca="false">ExportRaw!$C241</f>
        <v>0</v>
      </c>
      <c r="C241" s="138" t="n">
        <f aca="false">ExportRaw!$G241</f>
        <v>0</v>
      </c>
      <c r="D241" s="138" t="str">
        <f aca="false">ExportRaw!$E241</f>
        <v/>
      </c>
      <c r="E241" s="139" t="str">
        <f aca="false">ExportRaw!$D241</f>
        <v/>
      </c>
      <c r="F241" s="138" t="str">
        <f aca="false">ExportRaw!$H241</f>
        <v/>
      </c>
      <c r="G241" s="140" t="str">
        <f aca="false">ExportRaw!$I241</f>
        <v/>
      </c>
      <c r="H241" s="138" t="str">
        <f aca="false">ExportRaw!$A241</f>
        <v/>
      </c>
      <c r="I241" s="138" t="str">
        <f aca="false">ExportRaw!$B241</f>
        <v/>
      </c>
    </row>
    <row r="242" customFormat="false" ht="15.75" hidden="false" customHeight="false" outlineLevel="0" collapsed="false">
      <c r="A242" s="138" t="n">
        <f aca="false">ExportRaw!$F242</f>
        <v>0</v>
      </c>
      <c r="B242" s="138" t="n">
        <f aca="false">ExportRaw!$C242</f>
        <v>0</v>
      </c>
      <c r="C242" s="138" t="n">
        <f aca="false">ExportRaw!$G242</f>
        <v>0</v>
      </c>
      <c r="D242" s="138" t="str">
        <f aca="false">ExportRaw!$E242</f>
        <v/>
      </c>
      <c r="E242" s="139" t="str">
        <f aca="false">ExportRaw!$D242</f>
        <v/>
      </c>
      <c r="F242" s="138" t="str">
        <f aca="false">ExportRaw!$H242</f>
        <v/>
      </c>
      <c r="G242" s="140" t="str">
        <f aca="false">ExportRaw!$I242</f>
        <v/>
      </c>
      <c r="H242" s="138" t="str">
        <f aca="false">ExportRaw!$A242</f>
        <v/>
      </c>
      <c r="I242" s="138" t="str">
        <f aca="false">ExportRaw!$B242</f>
        <v/>
      </c>
    </row>
    <row r="243" customFormat="false" ht="15.75" hidden="false" customHeight="false" outlineLevel="0" collapsed="false">
      <c r="A243" s="138" t="n">
        <f aca="false">ExportRaw!$F243</f>
        <v>0</v>
      </c>
      <c r="B243" s="138" t="n">
        <f aca="false">ExportRaw!$C243</f>
        <v>0</v>
      </c>
      <c r="C243" s="138" t="n">
        <f aca="false">ExportRaw!$G243</f>
        <v>0</v>
      </c>
      <c r="D243" s="138" t="str">
        <f aca="false">ExportRaw!$E243</f>
        <v/>
      </c>
      <c r="E243" s="139" t="str">
        <f aca="false">ExportRaw!$D243</f>
        <v/>
      </c>
      <c r="F243" s="138" t="str">
        <f aca="false">ExportRaw!$H243</f>
        <v/>
      </c>
      <c r="G243" s="140" t="str">
        <f aca="false">ExportRaw!$I243</f>
        <v/>
      </c>
      <c r="H243" s="138" t="str">
        <f aca="false">ExportRaw!$A243</f>
        <v/>
      </c>
      <c r="I243" s="138" t="str">
        <f aca="false">ExportRaw!$B243</f>
        <v/>
      </c>
    </row>
    <row r="244" customFormat="false" ht="15.75" hidden="false" customHeight="false" outlineLevel="0" collapsed="false">
      <c r="A244" s="138" t="n">
        <f aca="false">ExportRaw!$F244</f>
        <v>0</v>
      </c>
      <c r="B244" s="138" t="n">
        <f aca="false">ExportRaw!$C244</f>
        <v>0</v>
      </c>
      <c r="C244" s="138" t="n">
        <f aca="false">ExportRaw!$G244</f>
        <v>0</v>
      </c>
      <c r="D244" s="138" t="str">
        <f aca="false">ExportRaw!$E244</f>
        <v/>
      </c>
      <c r="E244" s="139" t="str">
        <f aca="false">ExportRaw!$D244</f>
        <v/>
      </c>
      <c r="F244" s="138" t="str">
        <f aca="false">ExportRaw!$H244</f>
        <v/>
      </c>
      <c r="G244" s="140" t="str">
        <f aca="false">ExportRaw!$I244</f>
        <v/>
      </c>
      <c r="H244" s="138" t="str">
        <f aca="false">ExportRaw!$A244</f>
        <v/>
      </c>
      <c r="I244" s="138" t="str">
        <f aca="false">ExportRaw!$B244</f>
        <v/>
      </c>
    </row>
    <row r="245" customFormat="false" ht="15.75" hidden="false" customHeight="false" outlineLevel="0" collapsed="false">
      <c r="A245" s="138" t="n">
        <f aca="false">ExportRaw!$F245</f>
        <v>0</v>
      </c>
      <c r="B245" s="138" t="n">
        <f aca="false">ExportRaw!$C245</f>
        <v>0</v>
      </c>
      <c r="C245" s="138" t="n">
        <f aca="false">ExportRaw!$G245</f>
        <v>0</v>
      </c>
      <c r="D245" s="138" t="str">
        <f aca="false">ExportRaw!$E245</f>
        <v/>
      </c>
      <c r="E245" s="139" t="str">
        <f aca="false">ExportRaw!$D245</f>
        <v/>
      </c>
      <c r="F245" s="138" t="str">
        <f aca="false">ExportRaw!$H245</f>
        <v/>
      </c>
      <c r="G245" s="140" t="str">
        <f aca="false">ExportRaw!$I245</f>
        <v/>
      </c>
      <c r="H245" s="138" t="str">
        <f aca="false">ExportRaw!$A245</f>
        <v/>
      </c>
      <c r="I245" s="138" t="str">
        <f aca="false">ExportRaw!$B245</f>
        <v/>
      </c>
    </row>
    <row r="246" customFormat="false" ht="15.75" hidden="false" customHeight="false" outlineLevel="0" collapsed="false">
      <c r="A246" s="138" t="n">
        <f aca="false">ExportRaw!$F246</f>
        <v>0</v>
      </c>
      <c r="B246" s="138" t="n">
        <f aca="false">ExportRaw!$C246</f>
        <v>0</v>
      </c>
      <c r="C246" s="138" t="n">
        <f aca="false">ExportRaw!$G246</f>
        <v>0</v>
      </c>
      <c r="D246" s="138" t="str">
        <f aca="false">ExportRaw!$E246</f>
        <v/>
      </c>
      <c r="E246" s="139" t="str">
        <f aca="false">ExportRaw!$D246</f>
        <v/>
      </c>
      <c r="F246" s="138" t="str">
        <f aca="false">ExportRaw!$H246</f>
        <v/>
      </c>
      <c r="G246" s="140" t="str">
        <f aca="false">ExportRaw!$I246</f>
        <v/>
      </c>
      <c r="H246" s="138" t="str">
        <f aca="false">ExportRaw!$A246</f>
        <v/>
      </c>
      <c r="I246" s="138" t="str">
        <f aca="false">ExportRaw!$B246</f>
        <v/>
      </c>
    </row>
    <row r="247" customFormat="false" ht="15.75" hidden="false" customHeight="false" outlineLevel="0" collapsed="false">
      <c r="A247" s="138" t="n">
        <f aca="false">ExportRaw!$F247</f>
        <v>0</v>
      </c>
      <c r="B247" s="138" t="n">
        <f aca="false">ExportRaw!$C247</f>
        <v>0</v>
      </c>
      <c r="C247" s="138" t="n">
        <f aca="false">ExportRaw!$G247</f>
        <v>0</v>
      </c>
      <c r="D247" s="138" t="str">
        <f aca="false">ExportRaw!$E247</f>
        <v/>
      </c>
      <c r="E247" s="139" t="str">
        <f aca="false">ExportRaw!$D247</f>
        <v/>
      </c>
      <c r="F247" s="138" t="str">
        <f aca="false">ExportRaw!$H247</f>
        <v/>
      </c>
      <c r="G247" s="140" t="str">
        <f aca="false">ExportRaw!$I247</f>
        <v/>
      </c>
      <c r="H247" s="138" t="str">
        <f aca="false">ExportRaw!$A247</f>
        <v/>
      </c>
      <c r="I247" s="138" t="str">
        <f aca="false">ExportRaw!$B247</f>
        <v/>
      </c>
    </row>
    <row r="248" customFormat="false" ht="15.75" hidden="false" customHeight="false" outlineLevel="0" collapsed="false">
      <c r="A248" s="138" t="n">
        <f aca="false">ExportRaw!$F248</f>
        <v>0</v>
      </c>
      <c r="B248" s="138" t="n">
        <f aca="false">ExportRaw!$C248</f>
        <v>0</v>
      </c>
      <c r="C248" s="138" t="n">
        <f aca="false">ExportRaw!$G248</f>
        <v>0</v>
      </c>
      <c r="D248" s="138" t="str">
        <f aca="false">ExportRaw!$E248</f>
        <v/>
      </c>
      <c r="E248" s="139" t="str">
        <f aca="false">ExportRaw!$D248</f>
        <v/>
      </c>
      <c r="F248" s="138" t="str">
        <f aca="false">ExportRaw!$H248</f>
        <v/>
      </c>
      <c r="G248" s="140" t="str">
        <f aca="false">ExportRaw!$I248</f>
        <v/>
      </c>
      <c r="H248" s="138" t="str">
        <f aca="false">ExportRaw!$A248</f>
        <v/>
      </c>
      <c r="I248" s="138" t="str">
        <f aca="false">ExportRaw!$B248</f>
        <v/>
      </c>
    </row>
    <row r="249" customFormat="false" ht="15.75" hidden="false" customHeight="false" outlineLevel="0" collapsed="false">
      <c r="A249" s="138" t="n">
        <f aca="false">ExportRaw!$F249</f>
        <v>0</v>
      </c>
      <c r="B249" s="138" t="n">
        <f aca="false">ExportRaw!$C249</f>
        <v>0</v>
      </c>
      <c r="C249" s="138" t="n">
        <f aca="false">ExportRaw!$G249</f>
        <v>0</v>
      </c>
      <c r="D249" s="138" t="str">
        <f aca="false">ExportRaw!$E249</f>
        <v/>
      </c>
      <c r="E249" s="139" t="str">
        <f aca="false">ExportRaw!$D249</f>
        <v/>
      </c>
      <c r="F249" s="138" t="str">
        <f aca="false">ExportRaw!$H249</f>
        <v/>
      </c>
      <c r="G249" s="140" t="str">
        <f aca="false">ExportRaw!$I249</f>
        <v/>
      </c>
      <c r="H249" s="138" t="str">
        <f aca="false">ExportRaw!$A249</f>
        <v/>
      </c>
      <c r="I249" s="138" t="str">
        <f aca="false">ExportRaw!$B249</f>
        <v/>
      </c>
    </row>
    <row r="250" customFormat="false" ht="15.75" hidden="false" customHeight="false" outlineLevel="0" collapsed="false">
      <c r="A250" s="138" t="n">
        <f aca="false">ExportRaw!$F250</f>
        <v>0</v>
      </c>
      <c r="B250" s="138" t="n">
        <f aca="false">ExportRaw!$C250</f>
        <v>0</v>
      </c>
      <c r="C250" s="138" t="n">
        <f aca="false">ExportRaw!$G250</f>
        <v>0</v>
      </c>
      <c r="D250" s="138" t="str">
        <f aca="false">ExportRaw!$E250</f>
        <v/>
      </c>
      <c r="E250" s="139" t="str">
        <f aca="false">ExportRaw!$D250</f>
        <v/>
      </c>
      <c r="F250" s="138" t="str">
        <f aca="false">ExportRaw!$H250</f>
        <v/>
      </c>
      <c r="G250" s="140" t="str">
        <f aca="false">ExportRaw!$I250</f>
        <v/>
      </c>
      <c r="H250" s="138" t="str">
        <f aca="false">ExportRaw!$A250</f>
        <v/>
      </c>
      <c r="I250" s="138" t="str">
        <f aca="false">ExportRaw!$B250</f>
        <v/>
      </c>
    </row>
    <row r="251" customFormat="false" ht="15.75" hidden="false" customHeight="false" outlineLevel="0" collapsed="false">
      <c r="A251" s="138" t="n">
        <f aca="false">ExportRaw!$F251</f>
        <v>0</v>
      </c>
      <c r="B251" s="138" t="n">
        <f aca="false">ExportRaw!$C251</f>
        <v>0</v>
      </c>
      <c r="C251" s="138" t="n">
        <f aca="false">ExportRaw!$G251</f>
        <v>0</v>
      </c>
      <c r="D251" s="138" t="str">
        <f aca="false">ExportRaw!$E251</f>
        <v/>
      </c>
      <c r="E251" s="139" t="str">
        <f aca="false">ExportRaw!$D251</f>
        <v/>
      </c>
      <c r="F251" s="138" t="str">
        <f aca="false">ExportRaw!$H251</f>
        <v/>
      </c>
      <c r="G251" s="140" t="str">
        <f aca="false">ExportRaw!$I251</f>
        <v/>
      </c>
      <c r="H251" s="138" t="str">
        <f aca="false">ExportRaw!$A251</f>
        <v/>
      </c>
      <c r="I251" s="138" t="str">
        <f aca="false">ExportRaw!$B251</f>
        <v/>
      </c>
    </row>
    <row r="252" customFormat="false" ht="15.75" hidden="false" customHeight="false" outlineLevel="0" collapsed="false">
      <c r="A252" s="138" t="n">
        <f aca="false">ExportRaw!$F252</f>
        <v>0</v>
      </c>
      <c r="B252" s="138" t="n">
        <f aca="false">ExportRaw!$C252</f>
        <v>0</v>
      </c>
      <c r="C252" s="138" t="n">
        <f aca="false">ExportRaw!$G252</f>
        <v>0</v>
      </c>
      <c r="D252" s="138" t="str">
        <f aca="false">ExportRaw!$E252</f>
        <v/>
      </c>
      <c r="E252" s="139" t="str">
        <f aca="false">ExportRaw!$D252</f>
        <v/>
      </c>
      <c r="F252" s="138" t="str">
        <f aca="false">ExportRaw!$H252</f>
        <v/>
      </c>
      <c r="G252" s="140" t="str">
        <f aca="false">ExportRaw!$I252</f>
        <v/>
      </c>
      <c r="H252" s="138" t="str">
        <f aca="false">ExportRaw!$A252</f>
        <v/>
      </c>
      <c r="I252" s="138" t="str">
        <f aca="false">ExportRaw!$B252</f>
        <v/>
      </c>
    </row>
    <row r="253" customFormat="false" ht="15.75" hidden="false" customHeight="false" outlineLevel="0" collapsed="false">
      <c r="A253" s="138" t="n">
        <f aca="false">ExportRaw!$F253</f>
        <v>0</v>
      </c>
      <c r="B253" s="138" t="n">
        <f aca="false">ExportRaw!$C253</f>
        <v>0</v>
      </c>
      <c r="C253" s="138" t="n">
        <f aca="false">ExportRaw!$G253</f>
        <v>0</v>
      </c>
      <c r="D253" s="138" t="str">
        <f aca="false">ExportRaw!$E253</f>
        <v/>
      </c>
      <c r="E253" s="139" t="str">
        <f aca="false">ExportRaw!$D253</f>
        <v/>
      </c>
      <c r="F253" s="138" t="str">
        <f aca="false">ExportRaw!$H253</f>
        <v/>
      </c>
      <c r="G253" s="140" t="str">
        <f aca="false">ExportRaw!$I253</f>
        <v/>
      </c>
      <c r="H253" s="138" t="str">
        <f aca="false">ExportRaw!$A253</f>
        <v/>
      </c>
      <c r="I253" s="138" t="str">
        <f aca="false">ExportRaw!$B253</f>
        <v/>
      </c>
    </row>
    <row r="254" customFormat="false" ht="15.75" hidden="false" customHeight="false" outlineLevel="0" collapsed="false">
      <c r="A254" s="138" t="n">
        <f aca="false">ExportRaw!$F254</f>
        <v>0</v>
      </c>
      <c r="B254" s="138" t="n">
        <f aca="false">ExportRaw!$C254</f>
        <v>0</v>
      </c>
      <c r="C254" s="138" t="n">
        <f aca="false">ExportRaw!$G254</f>
        <v>0</v>
      </c>
      <c r="D254" s="138" t="str">
        <f aca="false">ExportRaw!$E254</f>
        <v/>
      </c>
      <c r="E254" s="139" t="str">
        <f aca="false">ExportRaw!$D254</f>
        <v/>
      </c>
      <c r="F254" s="138" t="str">
        <f aca="false">ExportRaw!$H254</f>
        <v/>
      </c>
      <c r="G254" s="140" t="str">
        <f aca="false">ExportRaw!$I254</f>
        <v/>
      </c>
      <c r="H254" s="138" t="str">
        <f aca="false">ExportRaw!$A254</f>
        <v/>
      </c>
      <c r="I254" s="138" t="str">
        <f aca="false">ExportRaw!$B254</f>
        <v/>
      </c>
    </row>
    <row r="255" customFormat="false" ht="15.75" hidden="false" customHeight="false" outlineLevel="0" collapsed="false">
      <c r="A255" s="138" t="n">
        <f aca="false">ExportRaw!$F255</f>
        <v>0</v>
      </c>
      <c r="B255" s="138" t="n">
        <f aca="false">ExportRaw!$C255</f>
        <v>0</v>
      </c>
      <c r="C255" s="138" t="n">
        <f aca="false">ExportRaw!$G255</f>
        <v>0</v>
      </c>
      <c r="D255" s="138" t="str">
        <f aca="false">ExportRaw!$E255</f>
        <v/>
      </c>
      <c r="E255" s="139" t="str">
        <f aca="false">ExportRaw!$D255</f>
        <v/>
      </c>
      <c r="F255" s="138" t="str">
        <f aca="false">ExportRaw!$H255</f>
        <v/>
      </c>
      <c r="G255" s="140" t="str">
        <f aca="false">ExportRaw!$I255</f>
        <v/>
      </c>
      <c r="H255" s="138" t="str">
        <f aca="false">ExportRaw!$A255</f>
        <v/>
      </c>
      <c r="I255" s="138" t="str">
        <f aca="false">ExportRaw!$B255</f>
        <v/>
      </c>
    </row>
    <row r="256" customFormat="false" ht="15.75" hidden="false" customHeight="false" outlineLevel="0" collapsed="false">
      <c r="A256" s="138" t="n">
        <f aca="false">ExportRaw!$F256</f>
        <v>0</v>
      </c>
      <c r="B256" s="138" t="n">
        <f aca="false">ExportRaw!$C256</f>
        <v>0</v>
      </c>
      <c r="C256" s="138" t="n">
        <f aca="false">ExportRaw!$G256</f>
        <v>0</v>
      </c>
      <c r="D256" s="138" t="str">
        <f aca="false">ExportRaw!$E256</f>
        <v/>
      </c>
      <c r="E256" s="139" t="str">
        <f aca="false">ExportRaw!$D256</f>
        <v/>
      </c>
      <c r="F256" s="138" t="str">
        <f aca="false">ExportRaw!$H256</f>
        <v/>
      </c>
      <c r="G256" s="140" t="str">
        <f aca="false">ExportRaw!$I256</f>
        <v/>
      </c>
      <c r="H256" s="138" t="str">
        <f aca="false">ExportRaw!$A256</f>
        <v/>
      </c>
      <c r="I256" s="138" t="str">
        <f aca="false">ExportRaw!$B256</f>
        <v/>
      </c>
    </row>
    <row r="257" customFormat="false" ht="15.75" hidden="false" customHeight="false" outlineLevel="0" collapsed="false">
      <c r="A257" s="138" t="n">
        <f aca="false">ExportRaw!$F257</f>
        <v>0</v>
      </c>
      <c r="B257" s="138" t="n">
        <f aca="false">ExportRaw!$C257</f>
        <v>0</v>
      </c>
      <c r="C257" s="138" t="n">
        <f aca="false">ExportRaw!$G257</f>
        <v>0</v>
      </c>
      <c r="D257" s="138" t="str">
        <f aca="false">ExportRaw!$E257</f>
        <v/>
      </c>
      <c r="E257" s="139" t="str">
        <f aca="false">ExportRaw!$D257</f>
        <v/>
      </c>
      <c r="F257" s="138" t="str">
        <f aca="false">ExportRaw!$H257</f>
        <v/>
      </c>
      <c r="G257" s="140" t="str">
        <f aca="false">ExportRaw!$I257</f>
        <v/>
      </c>
      <c r="H257" s="138" t="str">
        <f aca="false">ExportRaw!$A257</f>
        <v/>
      </c>
      <c r="I257" s="138" t="str">
        <f aca="false">ExportRaw!$B257</f>
        <v/>
      </c>
    </row>
    <row r="258" customFormat="false" ht="15.75" hidden="false" customHeight="false" outlineLevel="0" collapsed="false">
      <c r="A258" s="138" t="n">
        <f aca="false">ExportRaw!$F258</f>
        <v>0</v>
      </c>
      <c r="B258" s="138" t="n">
        <f aca="false">ExportRaw!$C258</f>
        <v>0</v>
      </c>
      <c r="C258" s="138" t="n">
        <f aca="false">ExportRaw!$G258</f>
        <v>0</v>
      </c>
      <c r="D258" s="138" t="str">
        <f aca="false">ExportRaw!$E258</f>
        <v/>
      </c>
      <c r="E258" s="139" t="str">
        <f aca="false">ExportRaw!$D258</f>
        <v/>
      </c>
      <c r="F258" s="138" t="str">
        <f aca="false">ExportRaw!$H258</f>
        <v/>
      </c>
      <c r="G258" s="140" t="str">
        <f aca="false">ExportRaw!$I258</f>
        <v/>
      </c>
      <c r="H258" s="138" t="str">
        <f aca="false">ExportRaw!$A258</f>
        <v/>
      </c>
      <c r="I258" s="138" t="str">
        <f aca="false">ExportRaw!$B258</f>
        <v/>
      </c>
    </row>
    <row r="259" customFormat="false" ht="15.75" hidden="false" customHeight="false" outlineLevel="0" collapsed="false">
      <c r="A259" s="138" t="n">
        <f aca="false">ExportRaw!$F259</f>
        <v>0</v>
      </c>
      <c r="B259" s="138" t="n">
        <f aca="false">ExportRaw!$C259</f>
        <v>0</v>
      </c>
      <c r="C259" s="138" t="n">
        <f aca="false">ExportRaw!$G259</f>
        <v>0</v>
      </c>
      <c r="D259" s="138" t="str">
        <f aca="false">ExportRaw!$E259</f>
        <v/>
      </c>
      <c r="E259" s="139" t="str">
        <f aca="false">ExportRaw!$D259</f>
        <v/>
      </c>
      <c r="F259" s="138" t="str">
        <f aca="false">ExportRaw!$H259</f>
        <v/>
      </c>
      <c r="G259" s="140" t="str">
        <f aca="false">ExportRaw!$I259</f>
        <v/>
      </c>
      <c r="H259" s="138" t="str">
        <f aca="false">ExportRaw!$A259</f>
        <v/>
      </c>
      <c r="I259" s="138" t="str">
        <f aca="false">ExportRaw!$B259</f>
        <v/>
      </c>
    </row>
    <row r="260" customFormat="false" ht="15.75" hidden="false" customHeight="false" outlineLevel="0" collapsed="false">
      <c r="A260" s="138" t="n">
        <f aca="false">ExportRaw!$F260</f>
        <v>0</v>
      </c>
      <c r="B260" s="138" t="n">
        <f aca="false">ExportRaw!$C260</f>
        <v>0</v>
      </c>
      <c r="C260" s="138" t="n">
        <f aca="false">ExportRaw!$G260</f>
        <v>0</v>
      </c>
      <c r="D260" s="138" t="str">
        <f aca="false">ExportRaw!$E260</f>
        <v/>
      </c>
      <c r="E260" s="139" t="str">
        <f aca="false">ExportRaw!$D260</f>
        <v/>
      </c>
      <c r="F260" s="138" t="str">
        <f aca="false">ExportRaw!$H260</f>
        <v/>
      </c>
      <c r="G260" s="140" t="str">
        <f aca="false">ExportRaw!$I260</f>
        <v/>
      </c>
      <c r="H260" s="138" t="str">
        <f aca="false">ExportRaw!$A260</f>
        <v/>
      </c>
      <c r="I260" s="138" t="str">
        <f aca="false">ExportRaw!$B260</f>
        <v/>
      </c>
    </row>
    <row r="261" customFormat="false" ht="15.75" hidden="false" customHeight="false" outlineLevel="0" collapsed="false">
      <c r="A261" s="138" t="n">
        <f aca="false">ExportRaw!$F261</f>
        <v>0</v>
      </c>
      <c r="B261" s="138" t="n">
        <f aca="false">ExportRaw!$C261</f>
        <v>0</v>
      </c>
      <c r="C261" s="138" t="n">
        <f aca="false">ExportRaw!$G261</f>
        <v>0</v>
      </c>
      <c r="D261" s="138" t="str">
        <f aca="false">ExportRaw!$E261</f>
        <v/>
      </c>
      <c r="E261" s="139" t="str">
        <f aca="false">ExportRaw!$D261</f>
        <v/>
      </c>
      <c r="F261" s="138" t="str">
        <f aca="false">ExportRaw!$H261</f>
        <v/>
      </c>
      <c r="G261" s="140" t="str">
        <f aca="false">ExportRaw!$I261</f>
        <v/>
      </c>
      <c r="H261" s="138" t="str">
        <f aca="false">ExportRaw!$A261</f>
        <v/>
      </c>
      <c r="I261" s="138" t="str">
        <f aca="false">ExportRaw!$B261</f>
        <v/>
      </c>
    </row>
    <row r="262" customFormat="false" ht="15.75" hidden="false" customHeight="false" outlineLevel="0" collapsed="false">
      <c r="A262" s="138" t="n">
        <f aca="false">ExportRaw!$F262</f>
        <v>0</v>
      </c>
      <c r="B262" s="138" t="n">
        <f aca="false">ExportRaw!$C262</f>
        <v>0</v>
      </c>
      <c r="C262" s="138" t="n">
        <f aca="false">ExportRaw!$G262</f>
        <v>0</v>
      </c>
      <c r="D262" s="138" t="str">
        <f aca="false">ExportRaw!$E262</f>
        <v/>
      </c>
      <c r="E262" s="139" t="str">
        <f aca="false">ExportRaw!$D262</f>
        <v/>
      </c>
      <c r="F262" s="138" t="str">
        <f aca="false">ExportRaw!$H262</f>
        <v/>
      </c>
      <c r="G262" s="140" t="str">
        <f aca="false">ExportRaw!$I262</f>
        <v/>
      </c>
      <c r="H262" s="138" t="str">
        <f aca="false">ExportRaw!$A262</f>
        <v/>
      </c>
      <c r="I262" s="138" t="str">
        <f aca="false">ExportRaw!$B262</f>
        <v/>
      </c>
    </row>
    <row r="263" customFormat="false" ht="15.75" hidden="false" customHeight="false" outlineLevel="0" collapsed="false">
      <c r="A263" s="138" t="n">
        <f aca="false">ExportRaw!$F263</f>
        <v>0</v>
      </c>
      <c r="B263" s="138" t="n">
        <f aca="false">ExportRaw!$C263</f>
        <v>0</v>
      </c>
      <c r="C263" s="138" t="n">
        <f aca="false">ExportRaw!$G263</f>
        <v>0</v>
      </c>
      <c r="D263" s="138" t="str">
        <f aca="false">ExportRaw!$E263</f>
        <v/>
      </c>
      <c r="E263" s="139" t="str">
        <f aca="false">ExportRaw!$D263</f>
        <v/>
      </c>
      <c r="F263" s="138" t="str">
        <f aca="false">ExportRaw!$H263</f>
        <v/>
      </c>
      <c r="G263" s="140" t="str">
        <f aca="false">ExportRaw!$I263</f>
        <v/>
      </c>
      <c r="H263" s="138" t="str">
        <f aca="false">ExportRaw!$A263</f>
        <v/>
      </c>
      <c r="I263" s="138" t="str">
        <f aca="false">ExportRaw!$B263</f>
        <v/>
      </c>
    </row>
    <row r="264" customFormat="false" ht="15.75" hidden="false" customHeight="false" outlineLevel="0" collapsed="false">
      <c r="A264" s="138" t="n">
        <f aca="false">ExportRaw!$F264</f>
        <v>0</v>
      </c>
      <c r="B264" s="138" t="n">
        <f aca="false">ExportRaw!$C264</f>
        <v>0</v>
      </c>
      <c r="C264" s="138" t="n">
        <f aca="false">ExportRaw!$G264</f>
        <v>0</v>
      </c>
      <c r="D264" s="138" t="str">
        <f aca="false">ExportRaw!$E264</f>
        <v/>
      </c>
      <c r="E264" s="139" t="str">
        <f aca="false">ExportRaw!$D264</f>
        <v/>
      </c>
      <c r="F264" s="138" t="str">
        <f aca="false">ExportRaw!$H264</f>
        <v/>
      </c>
      <c r="G264" s="140" t="str">
        <f aca="false">ExportRaw!$I264</f>
        <v/>
      </c>
      <c r="H264" s="138" t="str">
        <f aca="false">ExportRaw!$A264</f>
        <v/>
      </c>
      <c r="I264" s="138" t="str">
        <f aca="false">ExportRaw!$B264</f>
        <v/>
      </c>
    </row>
    <row r="265" customFormat="false" ht="15.75" hidden="false" customHeight="false" outlineLevel="0" collapsed="false">
      <c r="A265" s="138" t="n">
        <f aca="false">ExportRaw!$F265</f>
        <v>0</v>
      </c>
      <c r="B265" s="138" t="n">
        <f aca="false">ExportRaw!$C265</f>
        <v>0</v>
      </c>
      <c r="C265" s="138" t="n">
        <f aca="false">ExportRaw!$G265</f>
        <v>0</v>
      </c>
      <c r="D265" s="138" t="str">
        <f aca="false">ExportRaw!$E265</f>
        <v/>
      </c>
      <c r="E265" s="139" t="str">
        <f aca="false">ExportRaw!$D265</f>
        <v/>
      </c>
      <c r="F265" s="138" t="str">
        <f aca="false">ExportRaw!$H265</f>
        <v/>
      </c>
      <c r="G265" s="140" t="str">
        <f aca="false">ExportRaw!$I265</f>
        <v/>
      </c>
      <c r="H265" s="138" t="str">
        <f aca="false">ExportRaw!$A265</f>
        <v/>
      </c>
      <c r="I265" s="138" t="str">
        <f aca="false">ExportRaw!$B265</f>
        <v/>
      </c>
    </row>
    <row r="266" customFormat="false" ht="15.75" hidden="false" customHeight="false" outlineLevel="0" collapsed="false">
      <c r="A266" s="138" t="n">
        <f aca="false">ExportRaw!$F266</f>
        <v>0</v>
      </c>
      <c r="B266" s="138" t="n">
        <f aca="false">ExportRaw!$C266</f>
        <v>0</v>
      </c>
      <c r="C266" s="138" t="n">
        <f aca="false">ExportRaw!$G266</f>
        <v>0</v>
      </c>
      <c r="D266" s="138" t="str">
        <f aca="false">ExportRaw!$E266</f>
        <v/>
      </c>
      <c r="E266" s="139" t="str">
        <f aca="false">ExportRaw!$D266</f>
        <v/>
      </c>
      <c r="F266" s="138" t="str">
        <f aca="false">ExportRaw!$H266</f>
        <v/>
      </c>
      <c r="G266" s="140" t="str">
        <f aca="false">ExportRaw!$I266</f>
        <v/>
      </c>
      <c r="H266" s="138" t="str">
        <f aca="false">ExportRaw!$A266</f>
        <v/>
      </c>
      <c r="I266" s="138" t="str">
        <f aca="false">ExportRaw!$B266</f>
        <v/>
      </c>
    </row>
    <row r="267" customFormat="false" ht="15.75" hidden="false" customHeight="false" outlineLevel="0" collapsed="false">
      <c r="A267" s="138" t="n">
        <f aca="false">ExportRaw!$F267</f>
        <v>0</v>
      </c>
      <c r="B267" s="138" t="n">
        <f aca="false">ExportRaw!$C267</f>
        <v>0</v>
      </c>
      <c r="C267" s="138" t="n">
        <f aca="false">ExportRaw!$G267</f>
        <v>0</v>
      </c>
      <c r="D267" s="138" t="str">
        <f aca="false">ExportRaw!$E267</f>
        <v/>
      </c>
      <c r="E267" s="139" t="str">
        <f aca="false">ExportRaw!$D267</f>
        <v/>
      </c>
      <c r="F267" s="138" t="str">
        <f aca="false">ExportRaw!$H267</f>
        <v/>
      </c>
      <c r="G267" s="140" t="str">
        <f aca="false">ExportRaw!$I267</f>
        <v/>
      </c>
      <c r="H267" s="138" t="str">
        <f aca="false">ExportRaw!$A267</f>
        <v/>
      </c>
      <c r="I267" s="138" t="str">
        <f aca="false">ExportRaw!$B267</f>
        <v/>
      </c>
    </row>
    <row r="268" customFormat="false" ht="15.75" hidden="false" customHeight="false" outlineLevel="0" collapsed="false">
      <c r="A268" s="138" t="n">
        <f aca="false">ExportRaw!$F268</f>
        <v>0</v>
      </c>
      <c r="B268" s="138" t="n">
        <f aca="false">ExportRaw!$C268</f>
        <v>0</v>
      </c>
      <c r="C268" s="138" t="n">
        <f aca="false">ExportRaw!$G268</f>
        <v>0</v>
      </c>
      <c r="D268" s="138" t="str">
        <f aca="false">ExportRaw!$E268</f>
        <v/>
      </c>
      <c r="E268" s="139" t="str">
        <f aca="false">ExportRaw!$D268</f>
        <v/>
      </c>
      <c r="F268" s="138" t="str">
        <f aca="false">ExportRaw!$H268</f>
        <v/>
      </c>
      <c r="G268" s="140" t="str">
        <f aca="false">ExportRaw!$I268</f>
        <v/>
      </c>
      <c r="H268" s="138" t="str">
        <f aca="false">ExportRaw!$A268</f>
        <v/>
      </c>
      <c r="I268" s="138" t="str">
        <f aca="false">ExportRaw!$B268</f>
        <v/>
      </c>
    </row>
    <row r="269" customFormat="false" ht="15.75" hidden="false" customHeight="false" outlineLevel="0" collapsed="false">
      <c r="A269" s="138" t="n">
        <f aca="false">ExportRaw!$F269</f>
        <v>0</v>
      </c>
      <c r="B269" s="138" t="n">
        <f aca="false">ExportRaw!$C269</f>
        <v>0</v>
      </c>
      <c r="C269" s="138" t="n">
        <f aca="false">ExportRaw!$G269</f>
        <v>0</v>
      </c>
      <c r="D269" s="138" t="str">
        <f aca="false">ExportRaw!$E269</f>
        <v/>
      </c>
      <c r="E269" s="139" t="str">
        <f aca="false">ExportRaw!$D269</f>
        <v/>
      </c>
      <c r="F269" s="138" t="str">
        <f aca="false">ExportRaw!$H269</f>
        <v/>
      </c>
      <c r="G269" s="140" t="str">
        <f aca="false">ExportRaw!$I269</f>
        <v/>
      </c>
      <c r="H269" s="138" t="str">
        <f aca="false">ExportRaw!$A269</f>
        <v/>
      </c>
      <c r="I269" s="138" t="str">
        <f aca="false">ExportRaw!$B269</f>
        <v/>
      </c>
    </row>
    <row r="270" customFormat="false" ht="15.75" hidden="false" customHeight="false" outlineLevel="0" collapsed="false">
      <c r="A270" s="138" t="n">
        <f aca="false">ExportRaw!$F270</f>
        <v>0</v>
      </c>
      <c r="B270" s="138" t="n">
        <f aca="false">ExportRaw!$C270</f>
        <v>0</v>
      </c>
      <c r="C270" s="138" t="n">
        <f aca="false">ExportRaw!$G270</f>
        <v>0</v>
      </c>
      <c r="D270" s="138" t="str">
        <f aca="false">ExportRaw!$E270</f>
        <v/>
      </c>
      <c r="E270" s="139" t="str">
        <f aca="false">ExportRaw!$D270</f>
        <v/>
      </c>
      <c r="F270" s="138" t="str">
        <f aca="false">ExportRaw!$H270</f>
        <v/>
      </c>
      <c r="G270" s="140" t="str">
        <f aca="false">ExportRaw!$I270</f>
        <v/>
      </c>
      <c r="H270" s="138" t="str">
        <f aca="false">ExportRaw!$A270</f>
        <v/>
      </c>
      <c r="I270" s="138" t="str">
        <f aca="false">ExportRaw!$B270</f>
        <v/>
      </c>
    </row>
    <row r="271" customFormat="false" ht="15.75" hidden="false" customHeight="false" outlineLevel="0" collapsed="false">
      <c r="A271" s="138" t="n">
        <f aca="false">ExportRaw!$F271</f>
        <v>0</v>
      </c>
      <c r="B271" s="138" t="n">
        <f aca="false">ExportRaw!$C271</f>
        <v>0</v>
      </c>
      <c r="C271" s="138" t="n">
        <f aca="false">ExportRaw!$G271</f>
        <v>0</v>
      </c>
      <c r="D271" s="138" t="str">
        <f aca="false">ExportRaw!$E271</f>
        <v/>
      </c>
      <c r="E271" s="139" t="str">
        <f aca="false">ExportRaw!$D271</f>
        <v/>
      </c>
      <c r="F271" s="138" t="str">
        <f aca="false">ExportRaw!$H271</f>
        <v/>
      </c>
      <c r="G271" s="140" t="str">
        <f aca="false">ExportRaw!$I271</f>
        <v/>
      </c>
      <c r="H271" s="138" t="str">
        <f aca="false">ExportRaw!$A271</f>
        <v/>
      </c>
      <c r="I271" s="138" t="str">
        <f aca="false">ExportRaw!$B271</f>
        <v/>
      </c>
    </row>
    <row r="272" customFormat="false" ht="15.75" hidden="false" customHeight="false" outlineLevel="0" collapsed="false">
      <c r="A272" s="138" t="n">
        <f aca="false">ExportRaw!$F272</f>
        <v>0</v>
      </c>
      <c r="B272" s="138" t="n">
        <f aca="false">ExportRaw!$C272</f>
        <v>0</v>
      </c>
      <c r="C272" s="138" t="n">
        <f aca="false">ExportRaw!$G272</f>
        <v>0</v>
      </c>
      <c r="D272" s="138" t="str">
        <f aca="false">ExportRaw!$E272</f>
        <v/>
      </c>
      <c r="E272" s="139" t="str">
        <f aca="false">ExportRaw!$D272</f>
        <v/>
      </c>
      <c r="F272" s="138" t="str">
        <f aca="false">ExportRaw!$H272</f>
        <v/>
      </c>
      <c r="G272" s="140" t="str">
        <f aca="false">ExportRaw!$I272</f>
        <v/>
      </c>
      <c r="H272" s="138" t="str">
        <f aca="false">ExportRaw!$A272</f>
        <v/>
      </c>
      <c r="I272" s="138" t="str">
        <f aca="false">ExportRaw!$B272</f>
        <v/>
      </c>
    </row>
    <row r="273" customFormat="false" ht="15.75" hidden="false" customHeight="false" outlineLevel="0" collapsed="false">
      <c r="A273" s="138" t="n">
        <f aca="false">ExportRaw!$F273</f>
        <v>0</v>
      </c>
      <c r="B273" s="138" t="n">
        <f aca="false">ExportRaw!$C273</f>
        <v>0</v>
      </c>
      <c r="C273" s="138" t="n">
        <f aca="false">ExportRaw!$G273</f>
        <v>0</v>
      </c>
      <c r="D273" s="138" t="str">
        <f aca="false">ExportRaw!$E273</f>
        <v/>
      </c>
      <c r="E273" s="139" t="str">
        <f aca="false">ExportRaw!$D273</f>
        <v/>
      </c>
      <c r="F273" s="138" t="str">
        <f aca="false">ExportRaw!$H273</f>
        <v/>
      </c>
      <c r="G273" s="140" t="str">
        <f aca="false">ExportRaw!$I273</f>
        <v/>
      </c>
      <c r="H273" s="138" t="str">
        <f aca="false">ExportRaw!$A273</f>
        <v/>
      </c>
      <c r="I273" s="138" t="str">
        <f aca="false">ExportRaw!$B273</f>
        <v/>
      </c>
    </row>
    <row r="274" customFormat="false" ht="15.75" hidden="false" customHeight="false" outlineLevel="0" collapsed="false">
      <c r="A274" s="138" t="n">
        <f aca="false">ExportRaw!$F274</f>
        <v>0</v>
      </c>
      <c r="B274" s="138" t="n">
        <f aca="false">ExportRaw!$C274</f>
        <v>0</v>
      </c>
      <c r="C274" s="138" t="n">
        <f aca="false">ExportRaw!$G274</f>
        <v>0</v>
      </c>
      <c r="D274" s="138" t="str">
        <f aca="false">ExportRaw!$E274</f>
        <v/>
      </c>
      <c r="E274" s="139" t="str">
        <f aca="false">ExportRaw!$D274</f>
        <v/>
      </c>
      <c r="F274" s="138" t="str">
        <f aca="false">ExportRaw!$H274</f>
        <v/>
      </c>
      <c r="G274" s="140" t="str">
        <f aca="false">ExportRaw!$I274</f>
        <v/>
      </c>
      <c r="H274" s="138" t="str">
        <f aca="false">ExportRaw!$A274</f>
        <v/>
      </c>
      <c r="I274" s="138" t="str">
        <f aca="false">ExportRaw!$B274</f>
        <v/>
      </c>
    </row>
    <row r="275" customFormat="false" ht="15.75" hidden="false" customHeight="false" outlineLevel="0" collapsed="false">
      <c r="A275" s="138" t="n">
        <f aca="false">ExportRaw!$F275</f>
        <v>0</v>
      </c>
      <c r="B275" s="138" t="n">
        <f aca="false">ExportRaw!$C275</f>
        <v>0</v>
      </c>
      <c r="C275" s="138" t="n">
        <f aca="false">ExportRaw!$G275</f>
        <v>0</v>
      </c>
      <c r="D275" s="138" t="str">
        <f aca="false">ExportRaw!$E275</f>
        <v/>
      </c>
      <c r="E275" s="139" t="str">
        <f aca="false">ExportRaw!$D275</f>
        <v/>
      </c>
      <c r="F275" s="138" t="str">
        <f aca="false">ExportRaw!$H275</f>
        <v/>
      </c>
      <c r="G275" s="140" t="str">
        <f aca="false">ExportRaw!$I275</f>
        <v/>
      </c>
      <c r="H275" s="138" t="str">
        <f aca="false">ExportRaw!$A275</f>
        <v/>
      </c>
      <c r="I275" s="138" t="str">
        <f aca="false">ExportRaw!$B275</f>
        <v/>
      </c>
    </row>
    <row r="276" customFormat="false" ht="15.75" hidden="false" customHeight="false" outlineLevel="0" collapsed="false">
      <c r="A276" s="138" t="n">
        <f aca="false">ExportRaw!$F276</f>
        <v>0</v>
      </c>
      <c r="B276" s="138" t="n">
        <f aca="false">ExportRaw!$C276</f>
        <v>0</v>
      </c>
      <c r="C276" s="138" t="n">
        <f aca="false">ExportRaw!$G276</f>
        <v>0</v>
      </c>
      <c r="D276" s="138" t="str">
        <f aca="false">ExportRaw!$E276</f>
        <v/>
      </c>
      <c r="E276" s="139" t="str">
        <f aca="false">ExportRaw!$D276</f>
        <v/>
      </c>
      <c r="F276" s="138" t="str">
        <f aca="false">ExportRaw!$H276</f>
        <v/>
      </c>
      <c r="G276" s="140" t="str">
        <f aca="false">ExportRaw!$I276</f>
        <v/>
      </c>
      <c r="H276" s="138" t="str">
        <f aca="false">ExportRaw!$A276</f>
        <v/>
      </c>
      <c r="I276" s="138" t="str">
        <f aca="false">ExportRaw!$B276</f>
        <v/>
      </c>
    </row>
    <row r="277" customFormat="false" ht="15.75" hidden="false" customHeight="false" outlineLevel="0" collapsed="false">
      <c r="A277" s="138" t="n">
        <f aca="false">ExportRaw!$F277</f>
        <v>0</v>
      </c>
      <c r="B277" s="138" t="n">
        <f aca="false">ExportRaw!$C277</f>
        <v>0</v>
      </c>
      <c r="C277" s="138" t="n">
        <f aca="false">ExportRaw!$G277</f>
        <v>0</v>
      </c>
      <c r="D277" s="138" t="str">
        <f aca="false">ExportRaw!$E277</f>
        <v/>
      </c>
      <c r="E277" s="139" t="str">
        <f aca="false">ExportRaw!$D277</f>
        <v/>
      </c>
      <c r="F277" s="138" t="str">
        <f aca="false">ExportRaw!$H277</f>
        <v/>
      </c>
      <c r="G277" s="140" t="str">
        <f aca="false">ExportRaw!$I277</f>
        <v/>
      </c>
      <c r="H277" s="138" t="str">
        <f aca="false">ExportRaw!$A277</f>
        <v/>
      </c>
      <c r="I277" s="138" t="str">
        <f aca="false">ExportRaw!$B277</f>
        <v/>
      </c>
    </row>
    <row r="278" customFormat="false" ht="15.75" hidden="false" customHeight="false" outlineLevel="0" collapsed="false">
      <c r="A278" s="138" t="n">
        <f aca="false">ExportRaw!$F278</f>
        <v>0</v>
      </c>
      <c r="B278" s="138" t="n">
        <f aca="false">ExportRaw!$C278</f>
        <v>0</v>
      </c>
      <c r="C278" s="138" t="n">
        <f aca="false">ExportRaw!$G278</f>
        <v>0</v>
      </c>
      <c r="D278" s="138" t="str">
        <f aca="false">ExportRaw!$E278</f>
        <v/>
      </c>
      <c r="E278" s="139" t="str">
        <f aca="false">ExportRaw!$D278</f>
        <v/>
      </c>
      <c r="F278" s="138" t="str">
        <f aca="false">ExportRaw!$H278</f>
        <v/>
      </c>
      <c r="G278" s="140" t="str">
        <f aca="false">ExportRaw!$I278</f>
        <v/>
      </c>
      <c r="H278" s="138" t="str">
        <f aca="false">ExportRaw!$A278</f>
        <v/>
      </c>
      <c r="I278" s="138" t="str">
        <f aca="false">ExportRaw!$B278</f>
        <v/>
      </c>
    </row>
    <row r="279" customFormat="false" ht="15.75" hidden="false" customHeight="false" outlineLevel="0" collapsed="false">
      <c r="A279" s="138" t="n">
        <f aca="false">ExportRaw!$F279</f>
        <v>0</v>
      </c>
      <c r="B279" s="138" t="n">
        <f aca="false">ExportRaw!$C279</f>
        <v>0</v>
      </c>
      <c r="C279" s="138" t="n">
        <f aca="false">ExportRaw!$G279</f>
        <v>0</v>
      </c>
      <c r="D279" s="138" t="str">
        <f aca="false">ExportRaw!$E279</f>
        <v/>
      </c>
      <c r="E279" s="139" t="str">
        <f aca="false">ExportRaw!$D279</f>
        <v/>
      </c>
      <c r="F279" s="138" t="str">
        <f aca="false">ExportRaw!$H279</f>
        <v/>
      </c>
      <c r="G279" s="140" t="str">
        <f aca="false">ExportRaw!$I279</f>
        <v/>
      </c>
      <c r="H279" s="138" t="str">
        <f aca="false">ExportRaw!$A279</f>
        <v/>
      </c>
      <c r="I279" s="138" t="str">
        <f aca="false">ExportRaw!$B279</f>
        <v/>
      </c>
    </row>
    <row r="280" customFormat="false" ht="15.75" hidden="false" customHeight="false" outlineLevel="0" collapsed="false">
      <c r="A280" s="138" t="n">
        <f aca="false">ExportRaw!$F280</f>
        <v>0</v>
      </c>
      <c r="B280" s="138" t="n">
        <f aca="false">ExportRaw!$C280</f>
        <v>0</v>
      </c>
      <c r="C280" s="138" t="n">
        <f aca="false">ExportRaw!$G280</f>
        <v>0</v>
      </c>
      <c r="D280" s="138" t="str">
        <f aca="false">ExportRaw!$E280</f>
        <v/>
      </c>
      <c r="E280" s="139" t="str">
        <f aca="false">ExportRaw!$D280</f>
        <v/>
      </c>
      <c r="F280" s="138" t="str">
        <f aca="false">ExportRaw!$H280</f>
        <v/>
      </c>
      <c r="G280" s="140" t="str">
        <f aca="false">ExportRaw!$I280</f>
        <v/>
      </c>
      <c r="H280" s="138" t="str">
        <f aca="false">ExportRaw!$A280</f>
        <v/>
      </c>
      <c r="I280" s="138" t="str">
        <f aca="false">ExportRaw!$B280</f>
        <v/>
      </c>
    </row>
    <row r="281" customFormat="false" ht="15.75" hidden="false" customHeight="false" outlineLevel="0" collapsed="false">
      <c r="A281" s="138" t="n">
        <f aca="false">ExportRaw!$F281</f>
        <v>0</v>
      </c>
      <c r="B281" s="138" t="n">
        <f aca="false">ExportRaw!$C281</f>
        <v>0</v>
      </c>
      <c r="C281" s="138" t="n">
        <f aca="false">ExportRaw!$G281</f>
        <v>0</v>
      </c>
      <c r="D281" s="138" t="str">
        <f aca="false">ExportRaw!$E281</f>
        <v/>
      </c>
      <c r="E281" s="139" t="str">
        <f aca="false">ExportRaw!$D281</f>
        <v/>
      </c>
      <c r="F281" s="138" t="str">
        <f aca="false">ExportRaw!$H281</f>
        <v/>
      </c>
      <c r="G281" s="140" t="str">
        <f aca="false">ExportRaw!$I281</f>
        <v/>
      </c>
      <c r="H281" s="138" t="str">
        <f aca="false">ExportRaw!$A281</f>
        <v/>
      </c>
      <c r="I281" s="138" t="str">
        <f aca="false">ExportRaw!$B281</f>
        <v/>
      </c>
    </row>
    <row r="282" customFormat="false" ht="15.75" hidden="false" customHeight="false" outlineLevel="0" collapsed="false">
      <c r="A282" s="138" t="n">
        <f aca="false">ExportRaw!$F282</f>
        <v>0</v>
      </c>
      <c r="B282" s="138" t="n">
        <f aca="false">ExportRaw!$C282</f>
        <v>0</v>
      </c>
      <c r="C282" s="138" t="n">
        <f aca="false">ExportRaw!$G282</f>
        <v>0</v>
      </c>
      <c r="D282" s="138" t="str">
        <f aca="false">ExportRaw!$E282</f>
        <v/>
      </c>
      <c r="E282" s="139" t="str">
        <f aca="false">ExportRaw!$D282</f>
        <v/>
      </c>
      <c r="F282" s="138" t="str">
        <f aca="false">ExportRaw!$H282</f>
        <v/>
      </c>
      <c r="G282" s="140" t="str">
        <f aca="false">ExportRaw!$I282</f>
        <v/>
      </c>
      <c r="H282" s="138" t="str">
        <f aca="false">ExportRaw!$A282</f>
        <v/>
      </c>
      <c r="I282" s="138" t="str">
        <f aca="false">ExportRaw!$B282</f>
        <v/>
      </c>
    </row>
    <row r="283" customFormat="false" ht="15.75" hidden="false" customHeight="false" outlineLevel="0" collapsed="false">
      <c r="A283" s="138" t="n">
        <f aca="false">ExportRaw!$F283</f>
        <v>0</v>
      </c>
      <c r="B283" s="138" t="n">
        <f aca="false">ExportRaw!$C283</f>
        <v>0</v>
      </c>
      <c r="C283" s="138" t="n">
        <f aca="false">ExportRaw!$G283</f>
        <v>0</v>
      </c>
      <c r="D283" s="138" t="str">
        <f aca="false">ExportRaw!$E283</f>
        <v/>
      </c>
      <c r="E283" s="139" t="str">
        <f aca="false">ExportRaw!$D283</f>
        <v/>
      </c>
      <c r="F283" s="138" t="str">
        <f aca="false">ExportRaw!$H283</f>
        <v/>
      </c>
      <c r="G283" s="140" t="str">
        <f aca="false">ExportRaw!$I283</f>
        <v/>
      </c>
      <c r="H283" s="138" t="str">
        <f aca="false">ExportRaw!$A283</f>
        <v/>
      </c>
      <c r="I283" s="138" t="str">
        <f aca="false">ExportRaw!$B283</f>
        <v/>
      </c>
    </row>
    <row r="284" customFormat="false" ht="15.75" hidden="false" customHeight="false" outlineLevel="0" collapsed="false">
      <c r="A284" s="138" t="n">
        <f aca="false">ExportRaw!$F284</f>
        <v>0</v>
      </c>
      <c r="B284" s="138" t="n">
        <f aca="false">ExportRaw!$C284</f>
        <v>0</v>
      </c>
      <c r="C284" s="138" t="n">
        <f aca="false">ExportRaw!$G284</f>
        <v>0</v>
      </c>
      <c r="D284" s="138" t="str">
        <f aca="false">ExportRaw!$E284</f>
        <v/>
      </c>
      <c r="E284" s="139" t="str">
        <f aca="false">ExportRaw!$D284</f>
        <v/>
      </c>
      <c r="F284" s="138" t="str">
        <f aca="false">ExportRaw!$H284</f>
        <v/>
      </c>
      <c r="G284" s="140" t="str">
        <f aca="false">ExportRaw!$I284</f>
        <v/>
      </c>
      <c r="H284" s="138" t="str">
        <f aca="false">ExportRaw!$A284</f>
        <v/>
      </c>
      <c r="I284" s="138" t="str">
        <f aca="false">ExportRaw!$B284</f>
        <v/>
      </c>
    </row>
    <row r="285" customFormat="false" ht="15.75" hidden="false" customHeight="false" outlineLevel="0" collapsed="false">
      <c r="A285" s="138" t="n">
        <f aca="false">ExportRaw!$F285</f>
        <v>0</v>
      </c>
      <c r="B285" s="138" t="n">
        <f aca="false">ExportRaw!$C285</f>
        <v>0</v>
      </c>
      <c r="C285" s="138" t="n">
        <f aca="false">ExportRaw!$G285</f>
        <v>0</v>
      </c>
      <c r="D285" s="138" t="str">
        <f aca="false">ExportRaw!$E285</f>
        <v/>
      </c>
      <c r="E285" s="139" t="str">
        <f aca="false">ExportRaw!$D285</f>
        <v/>
      </c>
      <c r="F285" s="138" t="str">
        <f aca="false">ExportRaw!$H285</f>
        <v/>
      </c>
      <c r="G285" s="140" t="str">
        <f aca="false">ExportRaw!$I285</f>
        <v/>
      </c>
      <c r="H285" s="138" t="str">
        <f aca="false">ExportRaw!$A285</f>
        <v/>
      </c>
      <c r="I285" s="138" t="str">
        <f aca="false">ExportRaw!$B285</f>
        <v/>
      </c>
    </row>
    <row r="286" customFormat="false" ht="15.75" hidden="false" customHeight="false" outlineLevel="0" collapsed="false">
      <c r="A286" s="138" t="n">
        <f aca="false">ExportRaw!$F286</f>
        <v>0</v>
      </c>
      <c r="B286" s="138" t="n">
        <f aca="false">ExportRaw!$C286</f>
        <v>0</v>
      </c>
      <c r="C286" s="138" t="n">
        <f aca="false">ExportRaw!$G286</f>
        <v>0</v>
      </c>
      <c r="D286" s="138" t="str">
        <f aca="false">ExportRaw!$E286</f>
        <v/>
      </c>
      <c r="E286" s="139" t="str">
        <f aca="false">ExportRaw!$D286</f>
        <v/>
      </c>
      <c r="F286" s="138" t="str">
        <f aca="false">ExportRaw!$H286</f>
        <v/>
      </c>
      <c r="G286" s="140" t="str">
        <f aca="false">ExportRaw!$I286</f>
        <v/>
      </c>
      <c r="H286" s="138" t="str">
        <f aca="false">ExportRaw!$A286</f>
        <v/>
      </c>
      <c r="I286" s="138" t="str">
        <f aca="false">ExportRaw!$B286</f>
        <v/>
      </c>
    </row>
    <row r="287" customFormat="false" ht="15.75" hidden="false" customHeight="false" outlineLevel="0" collapsed="false">
      <c r="A287" s="138" t="n">
        <f aca="false">ExportRaw!$F287</f>
        <v>0</v>
      </c>
      <c r="B287" s="138" t="n">
        <f aca="false">ExportRaw!$C287</f>
        <v>0</v>
      </c>
      <c r="C287" s="138" t="n">
        <f aca="false">ExportRaw!$G287</f>
        <v>0</v>
      </c>
      <c r="D287" s="138" t="str">
        <f aca="false">ExportRaw!$E287</f>
        <v/>
      </c>
      <c r="E287" s="139" t="str">
        <f aca="false">ExportRaw!$D287</f>
        <v/>
      </c>
      <c r="F287" s="138" t="str">
        <f aca="false">ExportRaw!$H287</f>
        <v/>
      </c>
      <c r="G287" s="140" t="str">
        <f aca="false">ExportRaw!$I287</f>
        <v/>
      </c>
      <c r="H287" s="138" t="str">
        <f aca="false">ExportRaw!$A287</f>
        <v/>
      </c>
      <c r="I287" s="138" t="str">
        <f aca="false">ExportRaw!$B287</f>
        <v/>
      </c>
    </row>
    <row r="288" customFormat="false" ht="15.75" hidden="false" customHeight="false" outlineLevel="0" collapsed="false">
      <c r="A288" s="138" t="n">
        <f aca="false">ExportRaw!$F288</f>
        <v>0</v>
      </c>
      <c r="B288" s="138" t="n">
        <f aca="false">ExportRaw!$C288</f>
        <v>0</v>
      </c>
      <c r="C288" s="138" t="n">
        <f aca="false">ExportRaw!$G288</f>
        <v>0</v>
      </c>
      <c r="D288" s="138" t="str">
        <f aca="false">ExportRaw!$E288</f>
        <v/>
      </c>
      <c r="E288" s="139" t="str">
        <f aca="false">ExportRaw!$D288</f>
        <v/>
      </c>
      <c r="F288" s="138" t="str">
        <f aca="false">ExportRaw!$H288</f>
        <v/>
      </c>
      <c r="G288" s="140" t="str">
        <f aca="false">ExportRaw!$I288</f>
        <v/>
      </c>
      <c r="H288" s="138" t="str">
        <f aca="false">ExportRaw!$A288</f>
        <v/>
      </c>
      <c r="I288" s="138" t="str">
        <f aca="false">ExportRaw!$B288</f>
        <v/>
      </c>
    </row>
    <row r="289" customFormat="false" ht="15.75" hidden="false" customHeight="false" outlineLevel="0" collapsed="false">
      <c r="A289" s="138" t="n">
        <f aca="false">ExportRaw!$F289</f>
        <v>0</v>
      </c>
      <c r="B289" s="138" t="n">
        <f aca="false">ExportRaw!$C289</f>
        <v>0</v>
      </c>
      <c r="C289" s="138" t="n">
        <f aca="false">ExportRaw!$G289</f>
        <v>0</v>
      </c>
      <c r="D289" s="138" t="str">
        <f aca="false">ExportRaw!$E289</f>
        <v/>
      </c>
      <c r="E289" s="139" t="str">
        <f aca="false">ExportRaw!$D289</f>
        <v/>
      </c>
      <c r="F289" s="138" t="str">
        <f aca="false">ExportRaw!$H289</f>
        <v/>
      </c>
      <c r="G289" s="140" t="str">
        <f aca="false">ExportRaw!$I289</f>
        <v/>
      </c>
      <c r="H289" s="138" t="str">
        <f aca="false">ExportRaw!$A289</f>
        <v/>
      </c>
      <c r="I289" s="138" t="str">
        <f aca="false">ExportRaw!$B289</f>
        <v/>
      </c>
    </row>
    <row r="290" customFormat="false" ht="15.75" hidden="false" customHeight="false" outlineLevel="0" collapsed="false">
      <c r="A290" s="138" t="n">
        <f aca="false">ExportRaw!$F290</f>
        <v>0</v>
      </c>
      <c r="B290" s="138" t="n">
        <f aca="false">ExportRaw!$C290</f>
        <v>0</v>
      </c>
      <c r="C290" s="138" t="n">
        <f aca="false">ExportRaw!$G290</f>
        <v>0</v>
      </c>
      <c r="D290" s="138" t="str">
        <f aca="false">ExportRaw!$E290</f>
        <v/>
      </c>
      <c r="E290" s="139" t="str">
        <f aca="false">ExportRaw!$D290</f>
        <v/>
      </c>
      <c r="F290" s="138" t="str">
        <f aca="false">ExportRaw!$H290</f>
        <v/>
      </c>
      <c r="G290" s="140" t="str">
        <f aca="false">ExportRaw!$I290</f>
        <v/>
      </c>
      <c r="H290" s="138" t="str">
        <f aca="false">ExportRaw!$A290</f>
        <v/>
      </c>
      <c r="I290" s="138" t="str">
        <f aca="false">ExportRaw!$B290</f>
        <v/>
      </c>
    </row>
    <row r="291" customFormat="false" ht="15.75" hidden="false" customHeight="false" outlineLevel="0" collapsed="false">
      <c r="A291" s="138" t="n">
        <f aca="false">ExportRaw!$F291</f>
        <v>0</v>
      </c>
      <c r="B291" s="138" t="n">
        <f aca="false">ExportRaw!$C291</f>
        <v>0</v>
      </c>
      <c r="C291" s="138" t="n">
        <f aca="false">ExportRaw!$G291</f>
        <v>0</v>
      </c>
      <c r="D291" s="138" t="str">
        <f aca="false">ExportRaw!$E291</f>
        <v/>
      </c>
      <c r="E291" s="139" t="str">
        <f aca="false">ExportRaw!$D291</f>
        <v/>
      </c>
      <c r="F291" s="138" t="str">
        <f aca="false">ExportRaw!$H291</f>
        <v/>
      </c>
      <c r="G291" s="140" t="str">
        <f aca="false">ExportRaw!$I291</f>
        <v/>
      </c>
      <c r="H291" s="138" t="str">
        <f aca="false">ExportRaw!$A291</f>
        <v/>
      </c>
      <c r="I291" s="138" t="str">
        <f aca="false">ExportRaw!$B291</f>
        <v/>
      </c>
    </row>
    <row r="292" customFormat="false" ht="15.75" hidden="false" customHeight="false" outlineLevel="0" collapsed="false">
      <c r="A292" s="138" t="n">
        <f aca="false">ExportRaw!$F292</f>
        <v>0</v>
      </c>
      <c r="B292" s="138" t="n">
        <f aca="false">ExportRaw!$C292</f>
        <v>0</v>
      </c>
      <c r="C292" s="138" t="n">
        <f aca="false">ExportRaw!$G292</f>
        <v>0</v>
      </c>
      <c r="D292" s="138" t="str">
        <f aca="false">ExportRaw!$E292</f>
        <v/>
      </c>
      <c r="E292" s="139" t="str">
        <f aca="false">ExportRaw!$D292</f>
        <v/>
      </c>
      <c r="F292" s="138" t="str">
        <f aca="false">ExportRaw!$H292</f>
        <v/>
      </c>
      <c r="G292" s="140" t="str">
        <f aca="false">ExportRaw!$I292</f>
        <v/>
      </c>
      <c r="H292" s="138" t="str">
        <f aca="false">ExportRaw!$A292</f>
        <v/>
      </c>
      <c r="I292" s="138" t="str">
        <f aca="false">ExportRaw!$B292</f>
        <v/>
      </c>
    </row>
    <row r="293" customFormat="false" ht="15.75" hidden="false" customHeight="false" outlineLevel="0" collapsed="false">
      <c r="A293" s="138" t="n">
        <f aca="false">ExportRaw!$F293</f>
        <v>0</v>
      </c>
      <c r="B293" s="138" t="n">
        <f aca="false">ExportRaw!$C293</f>
        <v>0</v>
      </c>
      <c r="C293" s="138" t="n">
        <f aca="false">ExportRaw!$G293</f>
        <v>0</v>
      </c>
      <c r="D293" s="138" t="str">
        <f aca="false">ExportRaw!$E293</f>
        <v/>
      </c>
      <c r="E293" s="139" t="str">
        <f aca="false">ExportRaw!$D293</f>
        <v/>
      </c>
      <c r="F293" s="138" t="str">
        <f aca="false">ExportRaw!$H293</f>
        <v/>
      </c>
      <c r="G293" s="140" t="str">
        <f aca="false">ExportRaw!$I293</f>
        <v/>
      </c>
      <c r="H293" s="138" t="str">
        <f aca="false">ExportRaw!$A293</f>
        <v/>
      </c>
      <c r="I293" s="138" t="str">
        <f aca="false">ExportRaw!$B293</f>
        <v/>
      </c>
    </row>
    <row r="294" customFormat="false" ht="15.75" hidden="false" customHeight="false" outlineLevel="0" collapsed="false">
      <c r="A294" s="138" t="n">
        <f aca="false">ExportRaw!$F294</f>
        <v>0</v>
      </c>
      <c r="B294" s="138" t="n">
        <f aca="false">ExportRaw!$C294</f>
        <v>0</v>
      </c>
      <c r="C294" s="138" t="n">
        <f aca="false">ExportRaw!$G294</f>
        <v>0</v>
      </c>
      <c r="D294" s="138" t="str">
        <f aca="false">ExportRaw!$E294</f>
        <v/>
      </c>
      <c r="E294" s="139" t="str">
        <f aca="false">ExportRaw!$D294</f>
        <v/>
      </c>
      <c r="F294" s="138" t="str">
        <f aca="false">ExportRaw!$H294</f>
        <v/>
      </c>
      <c r="G294" s="140" t="str">
        <f aca="false">ExportRaw!$I294</f>
        <v/>
      </c>
      <c r="H294" s="138" t="str">
        <f aca="false">ExportRaw!$A294</f>
        <v/>
      </c>
      <c r="I294" s="138" t="str">
        <f aca="false">ExportRaw!$B294</f>
        <v/>
      </c>
    </row>
    <row r="295" customFormat="false" ht="15.75" hidden="false" customHeight="false" outlineLevel="0" collapsed="false">
      <c r="A295" s="138" t="n">
        <f aca="false">ExportRaw!$F295</f>
        <v>0</v>
      </c>
      <c r="B295" s="138" t="n">
        <f aca="false">ExportRaw!$C295</f>
        <v>0</v>
      </c>
      <c r="C295" s="138" t="n">
        <f aca="false">ExportRaw!$G295</f>
        <v>0</v>
      </c>
      <c r="D295" s="138" t="str">
        <f aca="false">ExportRaw!$E295</f>
        <v/>
      </c>
      <c r="E295" s="139" t="str">
        <f aca="false">ExportRaw!$D295</f>
        <v/>
      </c>
      <c r="F295" s="138" t="str">
        <f aca="false">ExportRaw!$H295</f>
        <v/>
      </c>
      <c r="G295" s="140" t="str">
        <f aca="false">ExportRaw!$I295</f>
        <v/>
      </c>
      <c r="H295" s="138" t="str">
        <f aca="false">ExportRaw!$A295</f>
        <v/>
      </c>
      <c r="I295" s="138" t="str">
        <f aca="false">ExportRaw!$B295</f>
        <v/>
      </c>
    </row>
    <row r="296" customFormat="false" ht="15.75" hidden="false" customHeight="false" outlineLevel="0" collapsed="false">
      <c r="A296" s="138" t="n">
        <f aca="false">ExportRaw!$F296</f>
        <v>0</v>
      </c>
      <c r="B296" s="138" t="n">
        <f aca="false">ExportRaw!$C296</f>
        <v>0</v>
      </c>
      <c r="C296" s="138" t="n">
        <f aca="false">ExportRaw!$G296</f>
        <v>0</v>
      </c>
      <c r="D296" s="138" t="str">
        <f aca="false">ExportRaw!$E296</f>
        <v/>
      </c>
      <c r="E296" s="139" t="str">
        <f aca="false">ExportRaw!$D296</f>
        <v/>
      </c>
      <c r="F296" s="138" t="str">
        <f aca="false">ExportRaw!$H296</f>
        <v/>
      </c>
      <c r="G296" s="140" t="str">
        <f aca="false">ExportRaw!$I296</f>
        <v/>
      </c>
      <c r="H296" s="138" t="str">
        <f aca="false">ExportRaw!$A296</f>
        <v/>
      </c>
      <c r="I296" s="138" t="str">
        <f aca="false">ExportRaw!$B296</f>
        <v/>
      </c>
    </row>
    <row r="297" customFormat="false" ht="15.75" hidden="false" customHeight="false" outlineLevel="0" collapsed="false">
      <c r="A297" s="138" t="n">
        <f aca="false">ExportRaw!$F297</f>
        <v>0</v>
      </c>
      <c r="B297" s="138" t="n">
        <f aca="false">ExportRaw!$C297</f>
        <v>0</v>
      </c>
      <c r="C297" s="138" t="n">
        <f aca="false">ExportRaw!$G297</f>
        <v>0</v>
      </c>
      <c r="D297" s="138" t="str">
        <f aca="false">ExportRaw!$E297</f>
        <v/>
      </c>
      <c r="E297" s="139" t="str">
        <f aca="false">ExportRaw!$D297</f>
        <v/>
      </c>
      <c r="F297" s="138" t="str">
        <f aca="false">ExportRaw!$H297</f>
        <v/>
      </c>
      <c r="G297" s="140" t="str">
        <f aca="false">ExportRaw!$I297</f>
        <v/>
      </c>
      <c r="H297" s="138" t="str">
        <f aca="false">ExportRaw!$A297</f>
        <v/>
      </c>
      <c r="I297" s="138" t="str">
        <f aca="false">ExportRaw!$B297</f>
        <v/>
      </c>
    </row>
    <row r="298" customFormat="false" ht="15.75" hidden="false" customHeight="false" outlineLevel="0" collapsed="false">
      <c r="A298" s="138" t="n">
        <f aca="false">ExportRaw!$F298</f>
        <v>0</v>
      </c>
      <c r="B298" s="138" t="n">
        <f aca="false">ExportRaw!$C298</f>
        <v>0</v>
      </c>
      <c r="C298" s="138" t="n">
        <f aca="false">ExportRaw!$G298</f>
        <v>0</v>
      </c>
      <c r="D298" s="138" t="str">
        <f aca="false">ExportRaw!$E298</f>
        <v/>
      </c>
      <c r="E298" s="139" t="str">
        <f aca="false">ExportRaw!$D298</f>
        <v/>
      </c>
      <c r="F298" s="138" t="str">
        <f aca="false">ExportRaw!$H298</f>
        <v/>
      </c>
      <c r="G298" s="140" t="str">
        <f aca="false">ExportRaw!$I298</f>
        <v/>
      </c>
      <c r="H298" s="138" t="str">
        <f aca="false">ExportRaw!$A298</f>
        <v/>
      </c>
      <c r="I298" s="138" t="str">
        <f aca="false">ExportRaw!$B298</f>
        <v/>
      </c>
    </row>
    <row r="299" customFormat="false" ht="15.75" hidden="false" customHeight="false" outlineLevel="0" collapsed="false">
      <c r="A299" s="138" t="n">
        <f aca="false">ExportRaw!$F299</f>
        <v>0</v>
      </c>
      <c r="B299" s="138" t="n">
        <f aca="false">ExportRaw!$C299</f>
        <v>0</v>
      </c>
      <c r="C299" s="138" t="n">
        <f aca="false">ExportRaw!$G299</f>
        <v>0</v>
      </c>
      <c r="D299" s="138" t="str">
        <f aca="false">ExportRaw!$E299</f>
        <v/>
      </c>
      <c r="E299" s="139" t="str">
        <f aca="false">ExportRaw!$D299</f>
        <v/>
      </c>
      <c r="F299" s="138" t="str">
        <f aca="false">ExportRaw!$H299</f>
        <v/>
      </c>
      <c r="G299" s="140" t="str">
        <f aca="false">ExportRaw!$I299</f>
        <v/>
      </c>
      <c r="H299" s="138" t="str">
        <f aca="false">ExportRaw!$A299</f>
        <v/>
      </c>
      <c r="I299" s="138" t="str">
        <f aca="false">ExportRaw!$B299</f>
        <v/>
      </c>
    </row>
    <row r="300" customFormat="false" ht="15.75" hidden="false" customHeight="false" outlineLevel="0" collapsed="false">
      <c r="A300" s="138" t="n">
        <f aca="false">ExportRaw!$F300</f>
        <v>0</v>
      </c>
      <c r="B300" s="138" t="n">
        <f aca="false">ExportRaw!$C300</f>
        <v>0</v>
      </c>
      <c r="C300" s="138" t="n">
        <f aca="false">ExportRaw!$G300</f>
        <v>0</v>
      </c>
      <c r="D300" s="138" t="str">
        <f aca="false">ExportRaw!$E300</f>
        <v/>
      </c>
      <c r="E300" s="139" t="str">
        <f aca="false">ExportRaw!$D300</f>
        <v/>
      </c>
      <c r="F300" s="138" t="str">
        <f aca="false">ExportRaw!$H300</f>
        <v/>
      </c>
      <c r="G300" s="140" t="str">
        <f aca="false">ExportRaw!$I300</f>
        <v/>
      </c>
      <c r="H300" s="138" t="str">
        <f aca="false">ExportRaw!$A300</f>
        <v/>
      </c>
      <c r="I300" s="138" t="str">
        <f aca="false">ExportRaw!$B300</f>
        <v/>
      </c>
    </row>
    <row r="301" customFormat="false" ht="15.75" hidden="false" customHeight="false" outlineLevel="0" collapsed="false">
      <c r="A301" s="138" t="n">
        <f aca="false">ExportRaw!$F301</f>
        <v>0</v>
      </c>
      <c r="B301" s="138" t="n">
        <f aca="false">ExportRaw!$C301</f>
        <v>0</v>
      </c>
      <c r="C301" s="138" t="n">
        <f aca="false">ExportRaw!$G301</f>
        <v>0</v>
      </c>
      <c r="D301" s="138" t="str">
        <f aca="false">ExportRaw!$E301</f>
        <v/>
      </c>
      <c r="E301" s="139" t="str">
        <f aca="false">ExportRaw!$D301</f>
        <v/>
      </c>
      <c r="F301" s="138" t="str">
        <f aca="false">ExportRaw!$H301</f>
        <v/>
      </c>
      <c r="G301" s="140" t="str">
        <f aca="false">ExportRaw!$I301</f>
        <v/>
      </c>
      <c r="H301" s="138" t="str">
        <f aca="false">ExportRaw!$A301</f>
        <v/>
      </c>
      <c r="I301" s="138" t="str">
        <f aca="false">ExportRaw!$B301</f>
        <v/>
      </c>
    </row>
    <row r="302" customFormat="false" ht="15.75" hidden="false" customHeight="false" outlineLevel="0" collapsed="false">
      <c r="A302" s="138" t="n">
        <f aca="false">ExportRaw!$F302</f>
        <v>0</v>
      </c>
      <c r="B302" s="138" t="n">
        <f aca="false">ExportRaw!$C302</f>
        <v>0</v>
      </c>
      <c r="C302" s="138" t="n">
        <f aca="false">ExportRaw!$G302</f>
        <v>0</v>
      </c>
      <c r="D302" s="138" t="str">
        <f aca="false">ExportRaw!$E302</f>
        <v/>
      </c>
      <c r="E302" s="139" t="str">
        <f aca="false">ExportRaw!$D302</f>
        <v/>
      </c>
      <c r="F302" s="138" t="str">
        <f aca="false">ExportRaw!$H302</f>
        <v/>
      </c>
      <c r="G302" s="140" t="str">
        <f aca="false">ExportRaw!$I302</f>
        <v/>
      </c>
      <c r="H302" s="138" t="str">
        <f aca="false">ExportRaw!$A302</f>
        <v/>
      </c>
      <c r="I302" s="138" t="str">
        <f aca="false">ExportRaw!$B302</f>
        <v/>
      </c>
    </row>
    <row r="303" customFormat="false" ht="15.75" hidden="false" customHeight="false" outlineLevel="0" collapsed="false">
      <c r="A303" s="138" t="n">
        <f aca="false">ExportRaw!$F303</f>
        <v>0</v>
      </c>
      <c r="B303" s="138" t="n">
        <f aca="false">ExportRaw!$C303</f>
        <v>0</v>
      </c>
      <c r="C303" s="138" t="n">
        <f aca="false">ExportRaw!$G303</f>
        <v>0</v>
      </c>
      <c r="D303" s="138" t="str">
        <f aca="false">ExportRaw!$E303</f>
        <v/>
      </c>
      <c r="E303" s="139" t="str">
        <f aca="false">ExportRaw!$D303</f>
        <v/>
      </c>
      <c r="F303" s="138" t="str">
        <f aca="false">ExportRaw!$H303</f>
        <v/>
      </c>
      <c r="G303" s="140" t="str">
        <f aca="false">ExportRaw!$I303</f>
        <v/>
      </c>
      <c r="H303" s="138" t="str">
        <f aca="false">ExportRaw!$A303</f>
        <v/>
      </c>
      <c r="I303" s="138" t="str">
        <f aca="false">ExportRaw!$B303</f>
        <v/>
      </c>
    </row>
    <row r="304" customFormat="false" ht="15.75" hidden="false" customHeight="false" outlineLevel="0" collapsed="false">
      <c r="A304" s="138" t="n">
        <f aca="false">ExportRaw!$F304</f>
        <v>0</v>
      </c>
      <c r="B304" s="138" t="n">
        <f aca="false">ExportRaw!$C304</f>
        <v>0</v>
      </c>
      <c r="C304" s="138" t="n">
        <f aca="false">ExportRaw!$G304</f>
        <v>0</v>
      </c>
      <c r="D304" s="138" t="str">
        <f aca="false">ExportRaw!$E304</f>
        <v/>
      </c>
      <c r="E304" s="139" t="str">
        <f aca="false">ExportRaw!$D304</f>
        <v/>
      </c>
      <c r="F304" s="138" t="str">
        <f aca="false">ExportRaw!$H304</f>
        <v/>
      </c>
      <c r="G304" s="140" t="str">
        <f aca="false">ExportRaw!$I304</f>
        <v/>
      </c>
      <c r="H304" s="138" t="str">
        <f aca="false">ExportRaw!$A304</f>
        <v/>
      </c>
      <c r="I304" s="138" t="str">
        <f aca="false">ExportRaw!$B304</f>
        <v/>
      </c>
    </row>
    <row r="305" customFormat="false" ht="15.75" hidden="false" customHeight="false" outlineLevel="0" collapsed="false">
      <c r="A305" s="138" t="n">
        <f aca="false">ExportRaw!$F305</f>
        <v>0</v>
      </c>
      <c r="B305" s="138" t="n">
        <f aca="false">ExportRaw!$C305</f>
        <v>0</v>
      </c>
      <c r="C305" s="138" t="n">
        <f aca="false">ExportRaw!$G305</f>
        <v>0</v>
      </c>
      <c r="D305" s="138" t="str">
        <f aca="false">ExportRaw!$E305</f>
        <v/>
      </c>
      <c r="E305" s="139" t="str">
        <f aca="false">ExportRaw!$D305</f>
        <v/>
      </c>
      <c r="F305" s="138" t="str">
        <f aca="false">ExportRaw!$H305</f>
        <v/>
      </c>
      <c r="G305" s="140" t="str">
        <f aca="false">ExportRaw!$I305</f>
        <v/>
      </c>
      <c r="H305" s="138" t="str">
        <f aca="false">ExportRaw!$A305</f>
        <v/>
      </c>
      <c r="I305" s="138" t="str">
        <f aca="false">ExportRaw!$B305</f>
        <v/>
      </c>
    </row>
    <row r="306" customFormat="false" ht="15.75" hidden="false" customHeight="false" outlineLevel="0" collapsed="false">
      <c r="A306" s="138" t="n">
        <f aca="false">ExportRaw!$F306</f>
        <v>0</v>
      </c>
      <c r="B306" s="138" t="n">
        <f aca="false">ExportRaw!$C306</f>
        <v>0</v>
      </c>
      <c r="C306" s="138" t="n">
        <f aca="false">ExportRaw!$G306</f>
        <v>0</v>
      </c>
      <c r="D306" s="138" t="str">
        <f aca="false">ExportRaw!$E306</f>
        <v/>
      </c>
      <c r="E306" s="139" t="str">
        <f aca="false">ExportRaw!$D306</f>
        <v/>
      </c>
      <c r="F306" s="138" t="str">
        <f aca="false">ExportRaw!$H306</f>
        <v/>
      </c>
      <c r="G306" s="140" t="str">
        <f aca="false">ExportRaw!$I306</f>
        <v/>
      </c>
      <c r="H306" s="138" t="str">
        <f aca="false">ExportRaw!$A306</f>
        <v/>
      </c>
      <c r="I306" s="138" t="str">
        <f aca="false">ExportRaw!$B306</f>
        <v/>
      </c>
    </row>
    <row r="307" customFormat="false" ht="15.75" hidden="false" customHeight="false" outlineLevel="0" collapsed="false">
      <c r="A307" s="138" t="n">
        <f aca="false">ExportRaw!$F307</f>
        <v>0</v>
      </c>
      <c r="B307" s="138" t="n">
        <f aca="false">ExportRaw!$C307</f>
        <v>0</v>
      </c>
      <c r="C307" s="138" t="n">
        <f aca="false">ExportRaw!$G307</f>
        <v>0</v>
      </c>
      <c r="D307" s="138" t="str">
        <f aca="false">ExportRaw!$E307</f>
        <v/>
      </c>
      <c r="E307" s="139" t="str">
        <f aca="false">ExportRaw!$D307</f>
        <v/>
      </c>
      <c r="F307" s="138" t="str">
        <f aca="false">ExportRaw!$H307</f>
        <v/>
      </c>
      <c r="G307" s="140" t="str">
        <f aca="false">ExportRaw!$I307</f>
        <v/>
      </c>
      <c r="H307" s="138" t="str">
        <f aca="false">ExportRaw!$A307</f>
        <v/>
      </c>
      <c r="I307" s="138" t="str">
        <f aca="false">ExportRaw!$B307</f>
        <v/>
      </c>
    </row>
    <row r="308" customFormat="false" ht="15.75" hidden="false" customHeight="false" outlineLevel="0" collapsed="false">
      <c r="A308" s="138" t="n">
        <f aca="false">ExportRaw!$F308</f>
        <v>0</v>
      </c>
      <c r="B308" s="138" t="n">
        <f aca="false">ExportRaw!$C308</f>
        <v>0</v>
      </c>
      <c r="C308" s="138" t="n">
        <f aca="false">ExportRaw!$G308</f>
        <v>0</v>
      </c>
      <c r="D308" s="138" t="str">
        <f aca="false">ExportRaw!$E308</f>
        <v/>
      </c>
      <c r="E308" s="139" t="str">
        <f aca="false">ExportRaw!$D308</f>
        <v/>
      </c>
      <c r="F308" s="138" t="str">
        <f aca="false">ExportRaw!$H308</f>
        <v/>
      </c>
      <c r="G308" s="140" t="str">
        <f aca="false">ExportRaw!$I308</f>
        <v/>
      </c>
      <c r="H308" s="138" t="str">
        <f aca="false">ExportRaw!$A308</f>
        <v/>
      </c>
      <c r="I308" s="138" t="str">
        <f aca="false">ExportRaw!$B308</f>
        <v/>
      </c>
    </row>
    <row r="309" customFormat="false" ht="15.75" hidden="false" customHeight="false" outlineLevel="0" collapsed="false">
      <c r="A309" s="138" t="n">
        <f aca="false">ExportRaw!$F309</f>
        <v>0</v>
      </c>
      <c r="B309" s="138" t="n">
        <f aca="false">ExportRaw!$C309</f>
        <v>0</v>
      </c>
      <c r="C309" s="138" t="n">
        <f aca="false">ExportRaw!$G309</f>
        <v>0</v>
      </c>
      <c r="D309" s="138" t="str">
        <f aca="false">ExportRaw!$E309</f>
        <v/>
      </c>
      <c r="E309" s="139" t="str">
        <f aca="false">ExportRaw!$D309</f>
        <v/>
      </c>
      <c r="F309" s="138" t="str">
        <f aca="false">ExportRaw!$H309</f>
        <v/>
      </c>
      <c r="G309" s="140" t="str">
        <f aca="false">ExportRaw!$I309</f>
        <v/>
      </c>
      <c r="H309" s="138" t="str">
        <f aca="false">ExportRaw!$A309</f>
        <v/>
      </c>
      <c r="I309" s="138" t="str">
        <f aca="false">ExportRaw!$B309</f>
        <v/>
      </c>
    </row>
    <row r="310" customFormat="false" ht="15.75" hidden="false" customHeight="false" outlineLevel="0" collapsed="false">
      <c r="A310" s="138" t="n">
        <f aca="false">ExportRaw!$F310</f>
        <v>0</v>
      </c>
      <c r="B310" s="138" t="n">
        <f aca="false">ExportRaw!$C310</f>
        <v>0</v>
      </c>
      <c r="C310" s="138" t="n">
        <f aca="false">ExportRaw!$G310</f>
        <v>0</v>
      </c>
      <c r="D310" s="138" t="str">
        <f aca="false">ExportRaw!$E310</f>
        <v/>
      </c>
      <c r="E310" s="139" t="str">
        <f aca="false">ExportRaw!$D310</f>
        <v/>
      </c>
      <c r="F310" s="138" t="str">
        <f aca="false">ExportRaw!$H310</f>
        <v/>
      </c>
      <c r="G310" s="140" t="str">
        <f aca="false">ExportRaw!$I310</f>
        <v/>
      </c>
      <c r="H310" s="138" t="str">
        <f aca="false">ExportRaw!$A310</f>
        <v/>
      </c>
      <c r="I310" s="138" t="str">
        <f aca="false">ExportRaw!$B310</f>
        <v/>
      </c>
    </row>
    <row r="311" customFormat="false" ht="15.75" hidden="false" customHeight="false" outlineLevel="0" collapsed="false">
      <c r="A311" s="138" t="n">
        <f aca="false">ExportRaw!$F311</f>
        <v>0</v>
      </c>
      <c r="B311" s="138" t="n">
        <f aca="false">ExportRaw!$C311</f>
        <v>0</v>
      </c>
      <c r="C311" s="138" t="n">
        <f aca="false">ExportRaw!$G311</f>
        <v>0</v>
      </c>
      <c r="D311" s="138" t="str">
        <f aca="false">ExportRaw!$E311</f>
        <v/>
      </c>
      <c r="E311" s="139" t="str">
        <f aca="false">ExportRaw!$D311</f>
        <v/>
      </c>
      <c r="F311" s="138" t="str">
        <f aca="false">ExportRaw!$H311</f>
        <v/>
      </c>
      <c r="G311" s="140" t="str">
        <f aca="false">ExportRaw!$I311</f>
        <v/>
      </c>
      <c r="H311" s="138" t="str">
        <f aca="false">ExportRaw!$A311</f>
        <v/>
      </c>
      <c r="I311" s="138" t="str">
        <f aca="false">ExportRaw!$B311</f>
        <v/>
      </c>
    </row>
    <row r="312" customFormat="false" ht="15.75" hidden="false" customHeight="false" outlineLevel="0" collapsed="false">
      <c r="A312" s="138" t="n">
        <f aca="false">ExportRaw!$F312</f>
        <v>0</v>
      </c>
      <c r="B312" s="138" t="n">
        <f aca="false">ExportRaw!$C312</f>
        <v>0</v>
      </c>
      <c r="C312" s="138" t="n">
        <f aca="false">ExportRaw!$G312</f>
        <v>0</v>
      </c>
      <c r="D312" s="138" t="str">
        <f aca="false">ExportRaw!$E312</f>
        <v/>
      </c>
      <c r="E312" s="139" t="str">
        <f aca="false">ExportRaw!$D312</f>
        <v/>
      </c>
      <c r="F312" s="138" t="str">
        <f aca="false">ExportRaw!$H312</f>
        <v/>
      </c>
      <c r="G312" s="140" t="str">
        <f aca="false">ExportRaw!$I312</f>
        <v/>
      </c>
      <c r="H312" s="138" t="str">
        <f aca="false">ExportRaw!$A312</f>
        <v/>
      </c>
      <c r="I312" s="138" t="str">
        <f aca="false">ExportRaw!$B312</f>
        <v/>
      </c>
    </row>
    <row r="313" customFormat="false" ht="15.75" hidden="false" customHeight="false" outlineLevel="0" collapsed="false">
      <c r="A313" s="138" t="n">
        <f aca="false">ExportRaw!$F313</f>
        <v>0</v>
      </c>
      <c r="B313" s="138" t="n">
        <f aca="false">ExportRaw!$C313</f>
        <v>0</v>
      </c>
      <c r="C313" s="138" t="n">
        <f aca="false">ExportRaw!$G313</f>
        <v>0</v>
      </c>
      <c r="D313" s="138" t="str">
        <f aca="false">ExportRaw!$E313</f>
        <v/>
      </c>
      <c r="E313" s="139" t="str">
        <f aca="false">ExportRaw!$D313</f>
        <v/>
      </c>
      <c r="F313" s="138" t="str">
        <f aca="false">ExportRaw!$H313</f>
        <v/>
      </c>
      <c r="G313" s="140" t="str">
        <f aca="false">ExportRaw!$I313</f>
        <v/>
      </c>
      <c r="H313" s="138" t="str">
        <f aca="false">ExportRaw!$A313</f>
        <v/>
      </c>
      <c r="I313" s="138" t="str">
        <f aca="false">ExportRaw!$B313</f>
        <v/>
      </c>
    </row>
    <row r="314" customFormat="false" ht="15.75" hidden="false" customHeight="false" outlineLevel="0" collapsed="false">
      <c r="A314" s="138" t="n">
        <f aca="false">ExportRaw!$F314</f>
        <v>0</v>
      </c>
      <c r="B314" s="138" t="n">
        <f aca="false">ExportRaw!$C314</f>
        <v>0</v>
      </c>
      <c r="C314" s="138" t="n">
        <f aca="false">ExportRaw!$G314</f>
        <v>0</v>
      </c>
      <c r="D314" s="138" t="str">
        <f aca="false">ExportRaw!$E314</f>
        <v/>
      </c>
      <c r="E314" s="139" t="str">
        <f aca="false">ExportRaw!$D314</f>
        <v/>
      </c>
      <c r="F314" s="138" t="str">
        <f aca="false">ExportRaw!$H314</f>
        <v/>
      </c>
      <c r="G314" s="140" t="str">
        <f aca="false">ExportRaw!$I314</f>
        <v/>
      </c>
      <c r="H314" s="138" t="str">
        <f aca="false">ExportRaw!$A314</f>
        <v/>
      </c>
      <c r="I314" s="138" t="str">
        <f aca="false">ExportRaw!$B314</f>
        <v/>
      </c>
    </row>
    <row r="315" customFormat="false" ht="15.75" hidden="false" customHeight="false" outlineLevel="0" collapsed="false">
      <c r="A315" s="138" t="n">
        <f aca="false">ExportRaw!$F315</f>
        <v>0</v>
      </c>
      <c r="B315" s="138" t="n">
        <f aca="false">ExportRaw!$C315</f>
        <v>0</v>
      </c>
      <c r="C315" s="138" t="n">
        <f aca="false">ExportRaw!$G315</f>
        <v>0</v>
      </c>
      <c r="D315" s="138" t="str">
        <f aca="false">ExportRaw!$E315</f>
        <v/>
      </c>
      <c r="E315" s="139" t="str">
        <f aca="false">ExportRaw!$D315</f>
        <v/>
      </c>
      <c r="F315" s="138" t="str">
        <f aca="false">ExportRaw!$H315</f>
        <v/>
      </c>
      <c r="G315" s="140" t="str">
        <f aca="false">ExportRaw!$I315</f>
        <v/>
      </c>
      <c r="H315" s="138" t="str">
        <f aca="false">ExportRaw!$A315</f>
        <v/>
      </c>
      <c r="I315" s="138" t="str">
        <f aca="false">ExportRaw!$B315</f>
        <v/>
      </c>
    </row>
    <row r="316" customFormat="false" ht="15.75" hidden="false" customHeight="false" outlineLevel="0" collapsed="false">
      <c r="A316" s="138" t="n">
        <f aca="false">ExportRaw!$F316</f>
        <v>0</v>
      </c>
      <c r="B316" s="138" t="n">
        <f aca="false">ExportRaw!$C316</f>
        <v>0</v>
      </c>
      <c r="C316" s="138" t="n">
        <f aca="false">ExportRaw!$G316</f>
        <v>0</v>
      </c>
      <c r="D316" s="138" t="str">
        <f aca="false">ExportRaw!$E316</f>
        <v/>
      </c>
      <c r="E316" s="139" t="str">
        <f aca="false">ExportRaw!$D316</f>
        <v/>
      </c>
      <c r="F316" s="138" t="str">
        <f aca="false">ExportRaw!$H316</f>
        <v/>
      </c>
      <c r="G316" s="140" t="str">
        <f aca="false">ExportRaw!$I316</f>
        <v/>
      </c>
      <c r="H316" s="138" t="str">
        <f aca="false">ExportRaw!$A316</f>
        <v/>
      </c>
      <c r="I316" s="138" t="str">
        <f aca="false">ExportRaw!$B316</f>
        <v/>
      </c>
    </row>
    <row r="317" customFormat="false" ht="15.75" hidden="false" customHeight="false" outlineLevel="0" collapsed="false">
      <c r="A317" s="138" t="n">
        <f aca="false">ExportRaw!$F317</f>
        <v>0</v>
      </c>
      <c r="B317" s="138" t="n">
        <f aca="false">ExportRaw!$C317</f>
        <v>0</v>
      </c>
      <c r="C317" s="138" t="n">
        <f aca="false">ExportRaw!$G317</f>
        <v>0</v>
      </c>
      <c r="D317" s="138" t="str">
        <f aca="false">ExportRaw!$E317</f>
        <v/>
      </c>
      <c r="E317" s="139" t="str">
        <f aca="false">ExportRaw!$D317</f>
        <v/>
      </c>
      <c r="F317" s="138" t="str">
        <f aca="false">ExportRaw!$H317</f>
        <v/>
      </c>
      <c r="G317" s="140" t="str">
        <f aca="false">ExportRaw!$I317</f>
        <v/>
      </c>
      <c r="H317" s="138" t="str">
        <f aca="false">ExportRaw!$A317</f>
        <v/>
      </c>
      <c r="I317" s="138" t="str">
        <f aca="false">ExportRaw!$B317</f>
        <v/>
      </c>
    </row>
    <row r="318" customFormat="false" ht="15.75" hidden="false" customHeight="false" outlineLevel="0" collapsed="false">
      <c r="A318" s="138" t="n">
        <f aca="false">ExportRaw!$F318</f>
        <v>0</v>
      </c>
      <c r="B318" s="138" t="n">
        <f aca="false">ExportRaw!$C318</f>
        <v>0</v>
      </c>
      <c r="C318" s="138" t="n">
        <f aca="false">ExportRaw!$G318</f>
        <v>0</v>
      </c>
      <c r="D318" s="138" t="str">
        <f aca="false">ExportRaw!$E318</f>
        <v/>
      </c>
      <c r="E318" s="139" t="str">
        <f aca="false">ExportRaw!$D318</f>
        <v/>
      </c>
      <c r="F318" s="138" t="str">
        <f aca="false">ExportRaw!$H318</f>
        <v/>
      </c>
      <c r="G318" s="140" t="str">
        <f aca="false">ExportRaw!$I318</f>
        <v/>
      </c>
      <c r="H318" s="138" t="str">
        <f aca="false">ExportRaw!$A318</f>
        <v/>
      </c>
      <c r="I318" s="138" t="str">
        <f aca="false">ExportRaw!$B318</f>
        <v/>
      </c>
    </row>
    <row r="319" customFormat="false" ht="15.75" hidden="false" customHeight="false" outlineLevel="0" collapsed="false">
      <c r="A319" s="138" t="n">
        <f aca="false">ExportRaw!$F319</f>
        <v>0</v>
      </c>
      <c r="B319" s="138" t="n">
        <f aca="false">ExportRaw!$C319</f>
        <v>0</v>
      </c>
      <c r="C319" s="138" t="n">
        <f aca="false">ExportRaw!$G319</f>
        <v>0</v>
      </c>
      <c r="D319" s="138" t="str">
        <f aca="false">ExportRaw!$E319</f>
        <v/>
      </c>
      <c r="E319" s="139" t="str">
        <f aca="false">ExportRaw!$D319</f>
        <v/>
      </c>
      <c r="F319" s="138" t="str">
        <f aca="false">ExportRaw!$H319</f>
        <v/>
      </c>
      <c r="G319" s="140" t="str">
        <f aca="false">ExportRaw!$I319</f>
        <v/>
      </c>
      <c r="H319" s="138" t="str">
        <f aca="false">ExportRaw!$A319</f>
        <v/>
      </c>
      <c r="I319" s="138" t="str">
        <f aca="false">ExportRaw!$B319</f>
        <v/>
      </c>
    </row>
    <row r="320" customFormat="false" ht="15.75" hidden="false" customHeight="false" outlineLevel="0" collapsed="false">
      <c r="A320" s="138" t="n">
        <f aca="false">ExportRaw!$F320</f>
        <v>0</v>
      </c>
      <c r="B320" s="138" t="n">
        <f aca="false">ExportRaw!$C320</f>
        <v>0</v>
      </c>
      <c r="C320" s="138" t="n">
        <f aca="false">ExportRaw!$G320</f>
        <v>0</v>
      </c>
      <c r="D320" s="138" t="str">
        <f aca="false">ExportRaw!$E320</f>
        <v/>
      </c>
      <c r="E320" s="139" t="str">
        <f aca="false">ExportRaw!$D320</f>
        <v/>
      </c>
      <c r="F320" s="138" t="str">
        <f aca="false">ExportRaw!$H320</f>
        <v/>
      </c>
      <c r="G320" s="140" t="str">
        <f aca="false">ExportRaw!$I320</f>
        <v/>
      </c>
      <c r="H320" s="138" t="str">
        <f aca="false">ExportRaw!$A320</f>
        <v/>
      </c>
      <c r="I320" s="138" t="str">
        <f aca="false">ExportRaw!$B320</f>
        <v/>
      </c>
    </row>
    <row r="321" customFormat="false" ht="15.75" hidden="false" customHeight="false" outlineLevel="0" collapsed="false">
      <c r="A321" s="138" t="n">
        <f aca="false">ExportRaw!$F321</f>
        <v>0</v>
      </c>
      <c r="B321" s="138" t="n">
        <f aca="false">ExportRaw!$C321</f>
        <v>0</v>
      </c>
      <c r="C321" s="138" t="n">
        <f aca="false">ExportRaw!$G321</f>
        <v>0</v>
      </c>
      <c r="D321" s="138" t="str">
        <f aca="false">ExportRaw!$E321</f>
        <v/>
      </c>
      <c r="E321" s="139" t="str">
        <f aca="false">ExportRaw!$D321</f>
        <v/>
      </c>
      <c r="F321" s="138" t="str">
        <f aca="false">ExportRaw!$H321</f>
        <v/>
      </c>
      <c r="G321" s="140" t="str">
        <f aca="false">ExportRaw!$I321</f>
        <v/>
      </c>
      <c r="H321" s="138" t="str">
        <f aca="false">ExportRaw!$A321</f>
        <v/>
      </c>
      <c r="I321" s="138" t="str">
        <f aca="false">ExportRaw!$B321</f>
        <v/>
      </c>
    </row>
    <row r="322" customFormat="false" ht="15.75" hidden="false" customHeight="false" outlineLevel="0" collapsed="false">
      <c r="A322" s="138" t="n">
        <f aca="false">ExportRaw!$F322</f>
        <v>0</v>
      </c>
      <c r="B322" s="138" t="n">
        <f aca="false">ExportRaw!$C322</f>
        <v>0</v>
      </c>
      <c r="C322" s="138" t="n">
        <f aca="false">ExportRaw!$G322</f>
        <v>0</v>
      </c>
      <c r="D322" s="138" t="str">
        <f aca="false">ExportRaw!$E322</f>
        <v/>
      </c>
      <c r="E322" s="139" t="str">
        <f aca="false">ExportRaw!$D322</f>
        <v/>
      </c>
      <c r="F322" s="138" t="str">
        <f aca="false">ExportRaw!$H322</f>
        <v/>
      </c>
      <c r="G322" s="140" t="str">
        <f aca="false">ExportRaw!$I322</f>
        <v/>
      </c>
      <c r="H322" s="138" t="str">
        <f aca="false">ExportRaw!$A322</f>
        <v/>
      </c>
      <c r="I322" s="138" t="str">
        <f aca="false">ExportRaw!$B322</f>
        <v/>
      </c>
    </row>
    <row r="323" customFormat="false" ht="15.75" hidden="false" customHeight="false" outlineLevel="0" collapsed="false">
      <c r="A323" s="138" t="n">
        <f aca="false">ExportRaw!$F323</f>
        <v>0</v>
      </c>
      <c r="B323" s="138" t="n">
        <f aca="false">ExportRaw!$C323</f>
        <v>0</v>
      </c>
      <c r="C323" s="138" t="n">
        <f aca="false">ExportRaw!$G323</f>
        <v>0</v>
      </c>
      <c r="D323" s="138" t="str">
        <f aca="false">ExportRaw!$E323</f>
        <v/>
      </c>
      <c r="E323" s="139" t="str">
        <f aca="false">ExportRaw!$D323</f>
        <v/>
      </c>
      <c r="F323" s="138" t="str">
        <f aca="false">ExportRaw!$H323</f>
        <v/>
      </c>
      <c r="G323" s="140" t="str">
        <f aca="false">ExportRaw!$I323</f>
        <v/>
      </c>
      <c r="H323" s="138" t="str">
        <f aca="false">ExportRaw!$A323</f>
        <v/>
      </c>
      <c r="I323" s="138" t="str">
        <f aca="false">ExportRaw!$B323</f>
        <v/>
      </c>
    </row>
    <row r="324" customFormat="false" ht="15.75" hidden="false" customHeight="false" outlineLevel="0" collapsed="false">
      <c r="A324" s="138" t="n">
        <f aca="false">ExportRaw!$F324</f>
        <v>0</v>
      </c>
      <c r="B324" s="138" t="n">
        <f aca="false">ExportRaw!$C324</f>
        <v>0</v>
      </c>
      <c r="C324" s="138" t="n">
        <f aca="false">ExportRaw!$G324</f>
        <v>0</v>
      </c>
      <c r="D324" s="138" t="str">
        <f aca="false">ExportRaw!$E324</f>
        <v/>
      </c>
      <c r="E324" s="139" t="str">
        <f aca="false">ExportRaw!$D324</f>
        <v/>
      </c>
      <c r="F324" s="138" t="str">
        <f aca="false">ExportRaw!$H324</f>
        <v/>
      </c>
      <c r="G324" s="140" t="str">
        <f aca="false">ExportRaw!$I324</f>
        <v/>
      </c>
      <c r="H324" s="138" t="str">
        <f aca="false">ExportRaw!$A324</f>
        <v/>
      </c>
      <c r="I324" s="138" t="str">
        <f aca="false">ExportRaw!$B324</f>
        <v/>
      </c>
    </row>
    <row r="325" customFormat="false" ht="15.75" hidden="false" customHeight="false" outlineLevel="0" collapsed="false">
      <c r="A325" s="138" t="n">
        <f aca="false">ExportRaw!$F325</f>
        <v>0</v>
      </c>
      <c r="B325" s="138" t="n">
        <f aca="false">ExportRaw!$C325</f>
        <v>0</v>
      </c>
      <c r="C325" s="138" t="n">
        <f aca="false">ExportRaw!$G325</f>
        <v>0</v>
      </c>
      <c r="D325" s="138" t="str">
        <f aca="false">ExportRaw!$E325</f>
        <v/>
      </c>
      <c r="E325" s="139" t="str">
        <f aca="false">ExportRaw!$D325</f>
        <v/>
      </c>
      <c r="F325" s="138" t="str">
        <f aca="false">ExportRaw!$H325</f>
        <v/>
      </c>
      <c r="G325" s="140" t="str">
        <f aca="false">ExportRaw!$I325</f>
        <v/>
      </c>
      <c r="H325" s="138" t="str">
        <f aca="false">ExportRaw!$A325</f>
        <v/>
      </c>
      <c r="I325" s="138" t="str">
        <f aca="false">ExportRaw!$B325</f>
        <v/>
      </c>
    </row>
    <row r="326" customFormat="false" ht="15.75" hidden="false" customHeight="false" outlineLevel="0" collapsed="false">
      <c r="A326" s="138" t="n">
        <f aca="false">ExportRaw!$F326</f>
        <v>0</v>
      </c>
      <c r="B326" s="138" t="n">
        <f aca="false">ExportRaw!$C326</f>
        <v>0</v>
      </c>
      <c r="C326" s="138" t="n">
        <f aca="false">ExportRaw!$G326</f>
        <v>0</v>
      </c>
      <c r="D326" s="138" t="str">
        <f aca="false">ExportRaw!$E326</f>
        <v/>
      </c>
      <c r="E326" s="139" t="str">
        <f aca="false">ExportRaw!$D326</f>
        <v/>
      </c>
      <c r="F326" s="138" t="str">
        <f aca="false">ExportRaw!$H326</f>
        <v/>
      </c>
      <c r="G326" s="140" t="str">
        <f aca="false">ExportRaw!$I326</f>
        <v/>
      </c>
      <c r="H326" s="138" t="str">
        <f aca="false">ExportRaw!$A326</f>
        <v/>
      </c>
      <c r="I326" s="138" t="str">
        <f aca="false">ExportRaw!$B326</f>
        <v/>
      </c>
    </row>
    <row r="327" customFormat="false" ht="15.75" hidden="false" customHeight="false" outlineLevel="0" collapsed="false">
      <c r="A327" s="138" t="n">
        <f aca="false">ExportRaw!$F327</f>
        <v>0</v>
      </c>
      <c r="B327" s="138" t="n">
        <f aca="false">ExportRaw!$C327</f>
        <v>0</v>
      </c>
      <c r="C327" s="138" t="n">
        <f aca="false">ExportRaw!$G327</f>
        <v>0</v>
      </c>
      <c r="D327" s="138" t="str">
        <f aca="false">ExportRaw!$E327</f>
        <v/>
      </c>
      <c r="E327" s="139" t="str">
        <f aca="false">ExportRaw!$D327</f>
        <v/>
      </c>
      <c r="F327" s="138" t="str">
        <f aca="false">ExportRaw!$H327</f>
        <v/>
      </c>
      <c r="G327" s="140" t="str">
        <f aca="false">ExportRaw!$I327</f>
        <v/>
      </c>
      <c r="H327" s="138" t="str">
        <f aca="false">ExportRaw!$A327</f>
        <v/>
      </c>
      <c r="I327" s="138" t="str">
        <f aca="false">ExportRaw!$B327</f>
        <v/>
      </c>
    </row>
    <row r="328" customFormat="false" ht="15.75" hidden="false" customHeight="false" outlineLevel="0" collapsed="false">
      <c r="A328" s="138" t="n">
        <f aca="false">ExportRaw!$F328</f>
        <v>0</v>
      </c>
      <c r="B328" s="138" t="n">
        <f aca="false">ExportRaw!$C328</f>
        <v>0</v>
      </c>
      <c r="C328" s="138" t="n">
        <f aca="false">ExportRaw!$G328</f>
        <v>0</v>
      </c>
      <c r="D328" s="138" t="str">
        <f aca="false">ExportRaw!$E328</f>
        <v/>
      </c>
      <c r="E328" s="139" t="str">
        <f aca="false">ExportRaw!$D328</f>
        <v/>
      </c>
      <c r="F328" s="138" t="str">
        <f aca="false">ExportRaw!$H328</f>
        <v/>
      </c>
      <c r="G328" s="140" t="str">
        <f aca="false">ExportRaw!$I328</f>
        <v/>
      </c>
      <c r="H328" s="138" t="str">
        <f aca="false">ExportRaw!$A328</f>
        <v/>
      </c>
      <c r="I328" s="138" t="str">
        <f aca="false">ExportRaw!$B328</f>
        <v/>
      </c>
    </row>
    <row r="329" customFormat="false" ht="15.75" hidden="false" customHeight="false" outlineLevel="0" collapsed="false">
      <c r="A329" s="138" t="n">
        <f aca="false">ExportRaw!$F329</f>
        <v>0</v>
      </c>
      <c r="B329" s="138" t="n">
        <f aca="false">ExportRaw!$C329</f>
        <v>0</v>
      </c>
      <c r="C329" s="138" t="n">
        <f aca="false">ExportRaw!$G329</f>
        <v>0</v>
      </c>
      <c r="D329" s="138" t="str">
        <f aca="false">ExportRaw!$E329</f>
        <v/>
      </c>
      <c r="E329" s="139" t="str">
        <f aca="false">ExportRaw!$D329</f>
        <v/>
      </c>
      <c r="F329" s="138" t="str">
        <f aca="false">ExportRaw!$H329</f>
        <v/>
      </c>
      <c r="G329" s="140" t="str">
        <f aca="false">ExportRaw!$I329</f>
        <v/>
      </c>
      <c r="H329" s="138" t="str">
        <f aca="false">ExportRaw!$A329</f>
        <v/>
      </c>
      <c r="I329" s="138" t="str">
        <f aca="false">ExportRaw!$B329</f>
        <v/>
      </c>
    </row>
    <row r="330" customFormat="false" ht="15.75" hidden="false" customHeight="false" outlineLevel="0" collapsed="false">
      <c r="A330" s="138" t="n">
        <f aca="false">ExportRaw!$F330</f>
        <v>0</v>
      </c>
      <c r="B330" s="138" t="n">
        <f aca="false">ExportRaw!$C330</f>
        <v>0</v>
      </c>
      <c r="C330" s="138" t="n">
        <f aca="false">ExportRaw!$G330</f>
        <v>0</v>
      </c>
      <c r="D330" s="138" t="str">
        <f aca="false">ExportRaw!$E330</f>
        <v/>
      </c>
      <c r="E330" s="139" t="str">
        <f aca="false">ExportRaw!$D330</f>
        <v/>
      </c>
      <c r="F330" s="138" t="str">
        <f aca="false">ExportRaw!$H330</f>
        <v/>
      </c>
      <c r="G330" s="140" t="str">
        <f aca="false">ExportRaw!$I330</f>
        <v/>
      </c>
      <c r="H330" s="138" t="str">
        <f aca="false">ExportRaw!$A330</f>
        <v/>
      </c>
      <c r="I330" s="138" t="str">
        <f aca="false">ExportRaw!$B330</f>
        <v/>
      </c>
    </row>
    <row r="331" customFormat="false" ht="15.75" hidden="false" customHeight="false" outlineLevel="0" collapsed="false">
      <c r="A331" s="138" t="n">
        <f aca="false">ExportRaw!$F331</f>
        <v>0</v>
      </c>
      <c r="B331" s="138" t="n">
        <f aca="false">ExportRaw!$C331</f>
        <v>0</v>
      </c>
      <c r="C331" s="138" t="n">
        <f aca="false">ExportRaw!$G331</f>
        <v>0</v>
      </c>
      <c r="D331" s="138" t="str">
        <f aca="false">ExportRaw!$E331</f>
        <v/>
      </c>
      <c r="E331" s="139" t="str">
        <f aca="false">ExportRaw!$D331</f>
        <v/>
      </c>
      <c r="F331" s="138" t="str">
        <f aca="false">ExportRaw!$H331</f>
        <v/>
      </c>
      <c r="G331" s="140" t="str">
        <f aca="false">ExportRaw!$I331</f>
        <v/>
      </c>
      <c r="H331" s="138" t="str">
        <f aca="false">ExportRaw!$A331</f>
        <v/>
      </c>
      <c r="I331" s="138" t="str">
        <f aca="false">ExportRaw!$B331</f>
        <v/>
      </c>
    </row>
    <row r="332" customFormat="false" ht="15.75" hidden="false" customHeight="false" outlineLevel="0" collapsed="false">
      <c r="A332" s="138" t="n">
        <f aca="false">ExportRaw!$F332</f>
        <v>0</v>
      </c>
      <c r="B332" s="138" t="n">
        <f aca="false">ExportRaw!$C332</f>
        <v>0</v>
      </c>
      <c r="C332" s="138" t="n">
        <f aca="false">ExportRaw!$G332</f>
        <v>0</v>
      </c>
      <c r="D332" s="138" t="str">
        <f aca="false">ExportRaw!$E332</f>
        <v/>
      </c>
      <c r="E332" s="139" t="str">
        <f aca="false">ExportRaw!$D332</f>
        <v/>
      </c>
      <c r="F332" s="138" t="str">
        <f aca="false">ExportRaw!$H332</f>
        <v/>
      </c>
      <c r="G332" s="140" t="str">
        <f aca="false">ExportRaw!$I332</f>
        <v/>
      </c>
      <c r="H332" s="138" t="str">
        <f aca="false">ExportRaw!$A332</f>
        <v/>
      </c>
      <c r="I332" s="138" t="str">
        <f aca="false">ExportRaw!$B332</f>
        <v/>
      </c>
    </row>
    <row r="333" customFormat="false" ht="15.75" hidden="false" customHeight="false" outlineLevel="0" collapsed="false">
      <c r="A333" s="138" t="n">
        <f aca="false">ExportRaw!$F333</f>
        <v>0</v>
      </c>
      <c r="B333" s="138" t="n">
        <f aca="false">ExportRaw!$C333</f>
        <v>0</v>
      </c>
      <c r="C333" s="138" t="n">
        <f aca="false">ExportRaw!$G333</f>
        <v>0</v>
      </c>
      <c r="D333" s="138" t="str">
        <f aca="false">ExportRaw!$E333</f>
        <v/>
      </c>
      <c r="E333" s="139" t="str">
        <f aca="false">ExportRaw!$D333</f>
        <v/>
      </c>
      <c r="F333" s="138" t="str">
        <f aca="false">ExportRaw!$H333</f>
        <v/>
      </c>
      <c r="G333" s="140" t="str">
        <f aca="false">ExportRaw!$I333</f>
        <v/>
      </c>
      <c r="H333" s="138" t="str">
        <f aca="false">ExportRaw!$A333</f>
        <v/>
      </c>
      <c r="I333" s="138" t="str">
        <f aca="false">ExportRaw!$B333</f>
        <v/>
      </c>
    </row>
    <row r="334" customFormat="false" ht="15.75" hidden="false" customHeight="false" outlineLevel="0" collapsed="false">
      <c r="A334" s="138" t="n">
        <f aca="false">ExportRaw!$F334</f>
        <v>0</v>
      </c>
      <c r="B334" s="138" t="n">
        <f aca="false">ExportRaw!$C334</f>
        <v>0</v>
      </c>
      <c r="C334" s="138" t="n">
        <f aca="false">ExportRaw!$G334</f>
        <v>0</v>
      </c>
      <c r="D334" s="138" t="str">
        <f aca="false">ExportRaw!$E334</f>
        <v/>
      </c>
      <c r="E334" s="139" t="str">
        <f aca="false">ExportRaw!$D334</f>
        <v/>
      </c>
      <c r="F334" s="138" t="str">
        <f aca="false">ExportRaw!$H334</f>
        <v/>
      </c>
      <c r="G334" s="140" t="str">
        <f aca="false">ExportRaw!$I334</f>
        <v/>
      </c>
      <c r="H334" s="138" t="str">
        <f aca="false">ExportRaw!$A334</f>
        <v/>
      </c>
      <c r="I334" s="138" t="str">
        <f aca="false">ExportRaw!$B334</f>
        <v/>
      </c>
    </row>
    <row r="335" customFormat="false" ht="15.75" hidden="false" customHeight="false" outlineLevel="0" collapsed="false">
      <c r="A335" s="138" t="n">
        <f aca="false">ExportRaw!$F335</f>
        <v>0</v>
      </c>
      <c r="B335" s="138" t="n">
        <f aca="false">ExportRaw!$C335</f>
        <v>0</v>
      </c>
      <c r="C335" s="138" t="n">
        <f aca="false">ExportRaw!$G335</f>
        <v>0</v>
      </c>
      <c r="D335" s="138" t="str">
        <f aca="false">ExportRaw!$E335</f>
        <v/>
      </c>
      <c r="E335" s="139" t="str">
        <f aca="false">ExportRaw!$D335</f>
        <v/>
      </c>
      <c r="F335" s="138" t="str">
        <f aca="false">ExportRaw!$H335</f>
        <v/>
      </c>
      <c r="G335" s="140" t="str">
        <f aca="false">ExportRaw!$I335</f>
        <v/>
      </c>
      <c r="H335" s="138" t="str">
        <f aca="false">ExportRaw!$A335</f>
        <v/>
      </c>
      <c r="I335" s="138" t="str">
        <f aca="false">ExportRaw!$B335</f>
        <v/>
      </c>
    </row>
    <row r="336" customFormat="false" ht="15.75" hidden="false" customHeight="false" outlineLevel="0" collapsed="false">
      <c r="A336" s="138" t="n">
        <f aca="false">ExportRaw!$F336</f>
        <v>0</v>
      </c>
      <c r="B336" s="138" t="n">
        <f aca="false">ExportRaw!$C336</f>
        <v>0</v>
      </c>
      <c r="C336" s="138" t="n">
        <f aca="false">ExportRaw!$G336</f>
        <v>0</v>
      </c>
      <c r="D336" s="138" t="str">
        <f aca="false">ExportRaw!$E336</f>
        <v/>
      </c>
      <c r="E336" s="139" t="str">
        <f aca="false">ExportRaw!$D336</f>
        <v/>
      </c>
      <c r="F336" s="138" t="str">
        <f aca="false">ExportRaw!$H336</f>
        <v/>
      </c>
      <c r="G336" s="140" t="str">
        <f aca="false">ExportRaw!$I336</f>
        <v/>
      </c>
      <c r="H336" s="138" t="str">
        <f aca="false">ExportRaw!$A336</f>
        <v/>
      </c>
      <c r="I336" s="138" t="str">
        <f aca="false">ExportRaw!$B336</f>
        <v/>
      </c>
    </row>
    <row r="337" customFormat="false" ht="15.75" hidden="false" customHeight="false" outlineLevel="0" collapsed="false">
      <c r="A337" s="138" t="n">
        <f aca="false">ExportRaw!$F337</f>
        <v>0</v>
      </c>
      <c r="B337" s="138" t="n">
        <f aca="false">ExportRaw!$C337</f>
        <v>0</v>
      </c>
      <c r="C337" s="138" t="n">
        <f aca="false">ExportRaw!$G337</f>
        <v>0</v>
      </c>
      <c r="D337" s="138" t="str">
        <f aca="false">ExportRaw!$E337</f>
        <v/>
      </c>
      <c r="E337" s="139" t="str">
        <f aca="false">ExportRaw!$D337</f>
        <v/>
      </c>
      <c r="F337" s="138" t="str">
        <f aca="false">ExportRaw!$H337</f>
        <v/>
      </c>
      <c r="G337" s="140" t="str">
        <f aca="false">ExportRaw!$I337</f>
        <v/>
      </c>
      <c r="H337" s="138" t="str">
        <f aca="false">ExportRaw!$A337</f>
        <v/>
      </c>
      <c r="I337" s="138" t="str">
        <f aca="false">ExportRaw!$B337</f>
        <v/>
      </c>
    </row>
    <row r="338" customFormat="false" ht="15.75" hidden="false" customHeight="false" outlineLevel="0" collapsed="false">
      <c r="A338" s="138" t="n">
        <f aca="false">ExportRaw!$F338</f>
        <v>0</v>
      </c>
      <c r="B338" s="138" t="n">
        <f aca="false">ExportRaw!$C338</f>
        <v>0</v>
      </c>
      <c r="C338" s="138" t="n">
        <f aca="false">ExportRaw!$G338</f>
        <v>0</v>
      </c>
      <c r="D338" s="138" t="str">
        <f aca="false">ExportRaw!$E338</f>
        <v/>
      </c>
      <c r="E338" s="139" t="str">
        <f aca="false">ExportRaw!$D338</f>
        <v/>
      </c>
      <c r="F338" s="138" t="str">
        <f aca="false">ExportRaw!$H338</f>
        <v/>
      </c>
      <c r="G338" s="140" t="str">
        <f aca="false">ExportRaw!$I338</f>
        <v/>
      </c>
      <c r="H338" s="138" t="str">
        <f aca="false">ExportRaw!$A338</f>
        <v/>
      </c>
      <c r="I338" s="138" t="str">
        <f aca="false">ExportRaw!$B338</f>
        <v/>
      </c>
    </row>
    <row r="339" customFormat="false" ht="15.75" hidden="false" customHeight="false" outlineLevel="0" collapsed="false">
      <c r="A339" s="138" t="n">
        <f aca="false">ExportRaw!$F339</f>
        <v>0</v>
      </c>
      <c r="B339" s="138" t="n">
        <f aca="false">ExportRaw!$C339</f>
        <v>0</v>
      </c>
      <c r="C339" s="138" t="n">
        <f aca="false">ExportRaw!$G339</f>
        <v>0</v>
      </c>
      <c r="D339" s="138" t="str">
        <f aca="false">ExportRaw!$E339</f>
        <v/>
      </c>
      <c r="E339" s="139" t="str">
        <f aca="false">ExportRaw!$D339</f>
        <v/>
      </c>
      <c r="F339" s="138" t="str">
        <f aca="false">ExportRaw!$H339</f>
        <v/>
      </c>
      <c r="G339" s="140" t="str">
        <f aca="false">ExportRaw!$I339</f>
        <v/>
      </c>
      <c r="H339" s="138" t="str">
        <f aca="false">ExportRaw!$A339</f>
        <v/>
      </c>
      <c r="I339" s="138" t="str">
        <f aca="false">ExportRaw!$B339</f>
        <v/>
      </c>
    </row>
    <row r="340" customFormat="false" ht="15.75" hidden="false" customHeight="false" outlineLevel="0" collapsed="false">
      <c r="A340" s="138" t="n">
        <f aca="false">ExportRaw!$F340</f>
        <v>0</v>
      </c>
      <c r="B340" s="138" t="n">
        <f aca="false">ExportRaw!$C340</f>
        <v>0</v>
      </c>
      <c r="C340" s="138" t="n">
        <f aca="false">ExportRaw!$G340</f>
        <v>0</v>
      </c>
      <c r="D340" s="138" t="str">
        <f aca="false">ExportRaw!$E340</f>
        <v/>
      </c>
      <c r="E340" s="139" t="str">
        <f aca="false">ExportRaw!$D340</f>
        <v/>
      </c>
      <c r="F340" s="138" t="str">
        <f aca="false">ExportRaw!$H340</f>
        <v/>
      </c>
      <c r="G340" s="140" t="str">
        <f aca="false">ExportRaw!$I340</f>
        <v/>
      </c>
      <c r="H340" s="138" t="str">
        <f aca="false">ExportRaw!$A340</f>
        <v/>
      </c>
      <c r="I340" s="138" t="str">
        <f aca="false">ExportRaw!$B340</f>
        <v/>
      </c>
    </row>
    <row r="341" customFormat="false" ht="15.75" hidden="false" customHeight="false" outlineLevel="0" collapsed="false">
      <c r="A341" s="138" t="n">
        <f aca="false">ExportRaw!$F341</f>
        <v>0</v>
      </c>
      <c r="B341" s="138" t="n">
        <f aca="false">ExportRaw!$C341</f>
        <v>0</v>
      </c>
      <c r="C341" s="138" t="n">
        <f aca="false">ExportRaw!$G341</f>
        <v>0</v>
      </c>
      <c r="D341" s="138" t="str">
        <f aca="false">ExportRaw!$E341</f>
        <v/>
      </c>
      <c r="E341" s="139" t="str">
        <f aca="false">ExportRaw!$D341</f>
        <v/>
      </c>
      <c r="F341" s="138" t="str">
        <f aca="false">ExportRaw!$H341</f>
        <v/>
      </c>
      <c r="G341" s="140" t="str">
        <f aca="false">ExportRaw!$I341</f>
        <v/>
      </c>
      <c r="H341" s="138" t="str">
        <f aca="false">ExportRaw!$A341</f>
        <v/>
      </c>
      <c r="I341" s="138" t="str">
        <f aca="false">ExportRaw!$B341</f>
        <v/>
      </c>
    </row>
    <row r="342" customFormat="false" ht="15.75" hidden="false" customHeight="false" outlineLevel="0" collapsed="false">
      <c r="A342" s="138" t="n">
        <f aca="false">ExportRaw!$F342</f>
        <v>0</v>
      </c>
      <c r="B342" s="138" t="n">
        <f aca="false">ExportRaw!$C342</f>
        <v>0</v>
      </c>
      <c r="C342" s="138" t="n">
        <f aca="false">ExportRaw!$G342</f>
        <v>0</v>
      </c>
      <c r="D342" s="138" t="str">
        <f aca="false">ExportRaw!$E342</f>
        <v/>
      </c>
      <c r="E342" s="139" t="str">
        <f aca="false">ExportRaw!$D342</f>
        <v/>
      </c>
      <c r="F342" s="138" t="str">
        <f aca="false">ExportRaw!$H342</f>
        <v/>
      </c>
      <c r="G342" s="140" t="str">
        <f aca="false">ExportRaw!$I342</f>
        <v/>
      </c>
      <c r="H342" s="138" t="str">
        <f aca="false">ExportRaw!$A342</f>
        <v/>
      </c>
      <c r="I342" s="138" t="str">
        <f aca="false">ExportRaw!$B342</f>
        <v/>
      </c>
    </row>
    <row r="343" customFormat="false" ht="15.75" hidden="false" customHeight="false" outlineLevel="0" collapsed="false">
      <c r="A343" s="138" t="n">
        <f aca="false">ExportRaw!$F343</f>
        <v>0</v>
      </c>
      <c r="B343" s="138" t="n">
        <f aca="false">ExportRaw!$C343</f>
        <v>0</v>
      </c>
      <c r="C343" s="138" t="n">
        <f aca="false">ExportRaw!$G343</f>
        <v>0</v>
      </c>
      <c r="D343" s="138" t="str">
        <f aca="false">ExportRaw!$E343</f>
        <v/>
      </c>
      <c r="E343" s="139" t="str">
        <f aca="false">ExportRaw!$D343</f>
        <v/>
      </c>
      <c r="F343" s="138" t="str">
        <f aca="false">ExportRaw!$H343</f>
        <v/>
      </c>
      <c r="G343" s="140" t="str">
        <f aca="false">ExportRaw!$I343</f>
        <v/>
      </c>
      <c r="H343" s="138" t="str">
        <f aca="false">ExportRaw!$A343</f>
        <v/>
      </c>
      <c r="I343" s="138" t="str">
        <f aca="false">ExportRaw!$B343</f>
        <v/>
      </c>
    </row>
    <row r="344" customFormat="false" ht="15.75" hidden="false" customHeight="false" outlineLevel="0" collapsed="false">
      <c r="A344" s="138" t="n">
        <f aca="false">ExportRaw!$F344</f>
        <v>0</v>
      </c>
      <c r="B344" s="138" t="n">
        <f aca="false">ExportRaw!$C344</f>
        <v>0</v>
      </c>
      <c r="C344" s="138" t="n">
        <f aca="false">ExportRaw!$G344</f>
        <v>0</v>
      </c>
      <c r="D344" s="138" t="str">
        <f aca="false">ExportRaw!$E344</f>
        <v/>
      </c>
      <c r="E344" s="139" t="str">
        <f aca="false">ExportRaw!$D344</f>
        <v/>
      </c>
      <c r="F344" s="138" t="str">
        <f aca="false">ExportRaw!$H344</f>
        <v/>
      </c>
      <c r="G344" s="140" t="str">
        <f aca="false">ExportRaw!$I344</f>
        <v/>
      </c>
      <c r="H344" s="138" t="str">
        <f aca="false">ExportRaw!$A344</f>
        <v/>
      </c>
      <c r="I344" s="138" t="str">
        <f aca="false">ExportRaw!$B344</f>
        <v/>
      </c>
    </row>
    <row r="345" customFormat="false" ht="15.75" hidden="false" customHeight="false" outlineLevel="0" collapsed="false">
      <c r="A345" s="138" t="n">
        <f aca="false">ExportRaw!$F345</f>
        <v>0</v>
      </c>
      <c r="B345" s="138" t="n">
        <f aca="false">ExportRaw!$C345</f>
        <v>0</v>
      </c>
      <c r="C345" s="138" t="n">
        <f aca="false">ExportRaw!$G345</f>
        <v>0</v>
      </c>
      <c r="D345" s="138" t="str">
        <f aca="false">ExportRaw!$E345</f>
        <v/>
      </c>
      <c r="E345" s="139" t="str">
        <f aca="false">ExportRaw!$D345</f>
        <v/>
      </c>
      <c r="F345" s="138" t="str">
        <f aca="false">ExportRaw!$H345</f>
        <v/>
      </c>
      <c r="G345" s="140" t="str">
        <f aca="false">ExportRaw!$I345</f>
        <v/>
      </c>
      <c r="H345" s="138" t="str">
        <f aca="false">ExportRaw!$A345</f>
        <v/>
      </c>
      <c r="I345" s="138" t="str">
        <f aca="false">ExportRaw!$B345</f>
        <v/>
      </c>
    </row>
    <row r="346" customFormat="false" ht="15.75" hidden="false" customHeight="false" outlineLevel="0" collapsed="false">
      <c r="A346" s="138" t="n">
        <f aca="false">ExportRaw!$F346</f>
        <v>0</v>
      </c>
      <c r="B346" s="138" t="n">
        <f aca="false">ExportRaw!$C346</f>
        <v>0</v>
      </c>
      <c r="C346" s="138" t="n">
        <f aca="false">ExportRaw!$G346</f>
        <v>0</v>
      </c>
      <c r="D346" s="138" t="str">
        <f aca="false">ExportRaw!$E346</f>
        <v/>
      </c>
      <c r="E346" s="139" t="str">
        <f aca="false">ExportRaw!$D346</f>
        <v/>
      </c>
      <c r="F346" s="138" t="str">
        <f aca="false">ExportRaw!$H346</f>
        <v/>
      </c>
      <c r="G346" s="140" t="str">
        <f aca="false">ExportRaw!$I346</f>
        <v/>
      </c>
      <c r="H346" s="138" t="str">
        <f aca="false">ExportRaw!$A346</f>
        <v/>
      </c>
      <c r="I346" s="138" t="str">
        <f aca="false">ExportRaw!$B346</f>
        <v/>
      </c>
    </row>
    <row r="347" customFormat="false" ht="15.75" hidden="false" customHeight="false" outlineLevel="0" collapsed="false">
      <c r="A347" s="138" t="n">
        <f aca="false">ExportRaw!$F347</f>
        <v>0</v>
      </c>
      <c r="B347" s="138" t="n">
        <f aca="false">ExportRaw!$C347</f>
        <v>0</v>
      </c>
      <c r="C347" s="138" t="n">
        <f aca="false">ExportRaw!$G347</f>
        <v>0</v>
      </c>
      <c r="D347" s="138" t="str">
        <f aca="false">ExportRaw!$E347</f>
        <v/>
      </c>
      <c r="E347" s="139" t="str">
        <f aca="false">ExportRaw!$D347</f>
        <v/>
      </c>
      <c r="F347" s="138" t="str">
        <f aca="false">ExportRaw!$H347</f>
        <v/>
      </c>
      <c r="G347" s="140" t="str">
        <f aca="false">ExportRaw!$I347</f>
        <v/>
      </c>
      <c r="H347" s="138" t="str">
        <f aca="false">ExportRaw!$A347</f>
        <v/>
      </c>
      <c r="I347" s="138" t="str">
        <f aca="false">ExportRaw!$B347</f>
        <v/>
      </c>
    </row>
    <row r="348" customFormat="false" ht="15.75" hidden="false" customHeight="false" outlineLevel="0" collapsed="false">
      <c r="A348" s="138" t="n">
        <f aca="false">ExportRaw!$F348</f>
        <v>0</v>
      </c>
      <c r="B348" s="138" t="n">
        <f aca="false">ExportRaw!$C348</f>
        <v>0</v>
      </c>
      <c r="C348" s="138" t="n">
        <f aca="false">ExportRaw!$G348</f>
        <v>0</v>
      </c>
      <c r="D348" s="138" t="str">
        <f aca="false">ExportRaw!$E348</f>
        <v/>
      </c>
      <c r="E348" s="139" t="str">
        <f aca="false">ExportRaw!$D348</f>
        <v/>
      </c>
      <c r="F348" s="138" t="str">
        <f aca="false">ExportRaw!$H348</f>
        <v/>
      </c>
      <c r="G348" s="140" t="str">
        <f aca="false">ExportRaw!$I348</f>
        <v/>
      </c>
      <c r="H348" s="138" t="str">
        <f aca="false">ExportRaw!$A348</f>
        <v/>
      </c>
      <c r="I348" s="138" t="str">
        <f aca="false">ExportRaw!$B348</f>
        <v/>
      </c>
    </row>
    <row r="349" customFormat="false" ht="15.75" hidden="false" customHeight="false" outlineLevel="0" collapsed="false">
      <c r="A349" s="138" t="n">
        <f aca="false">ExportRaw!$F349</f>
        <v>0</v>
      </c>
      <c r="B349" s="138" t="n">
        <f aca="false">ExportRaw!$C349</f>
        <v>0</v>
      </c>
      <c r="C349" s="138" t="n">
        <f aca="false">ExportRaw!$G349</f>
        <v>0</v>
      </c>
      <c r="D349" s="138" t="str">
        <f aca="false">ExportRaw!$E349</f>
        <v/>
      </c>
      <c r="E349" s="139" t="str">
        <f aca="false">ExportRaw!$D349</f>
        <v/>
      </c>
      <c r="F349" s="138" t="str">
        <f aca="false">ExportRaw!$H349</f>
        <v/>
      </c>
      <c r="G349" s="140" t="str">
        <f aca="false">ExportRaw!$I349</f>
        <v/>
      </c>
      <c r="H349" s="138" t="str">
        <f aca="false">ExportRaw!$A349</f>
        <v/>
      </c>
      <c r="I349" s="138" t="str">
        <f aca="false">ExportRaw!$B349</f>
        <v/>
      </c>
    </row>
    <row r="350" customFormat="false" ht="15.75" hidden="false" customHeight="false" outlineLevel="0" collapsed="false">
      <c r="A350" s="138" t="n">
        <f aca="false">ExportRaw!$F350</f>
        <v>0</v>
      </c>
      <c r="B350" s="138" t="n">
        <f aca="false">ExportRaw!$C350</f>
        <v>0</v>
      </c>
      <c r="C350" s="138" t="n">
        <f aca="false">ExportRaw!$G350</f>
        <v>0</v>
      </c>
      <c r="D350" s="138" t="str">
        <f aca="false">ExportRaw!$E350</f>
        <v/>
      </c>
      <c r="E350" s="139" t="str">
        <f aca="false">ExportRaw!$D350</f>
        <v/>
      </c>
      <c r="F350" s="138" t="str">
        <f aca="false">ExportRaw!$H350</f>
        <v/>
      </c>
      <c r="G350" s="140" t="str">
        <f aca="false">ExportRaw!$I350</f>
        <v/>
      </c>
      <c r="H350" s="138" t="str">
        <f aca="false">ExportRaw!$A350</f>
        <v/>
      </c>
      <c r="I350" s="138" t="str">
        <f aca="false">ExportRaw!$B350</f>
        <v/>
      </c>
    </row>
    <row r="351" customFormat="false" ht="15.75" hidden="false" customHeight="false" outlineLevel="0" collapsed="false">
      <c r="A351" s="138" t="n">
        <f aca="false">ExportRaw!$F351</f>
        <v>0</v>
      </c>
      <c r="B351" s="138" t="n">
        <f aca="false">ExportRaw!$C351</f>
        <v>0</v>
      </c>
      <c r="C351" s="138" t="n">
        <f aca="false">ExportRaw!$G351</f>
        <v>0</v>
      </c>
      <c r="D351" s="138" t="str">
        <f aca="false">ExportRaw!$E351</f>
        <v/>
      </c>
      <c r="E351" s="139" t="str">
        <f aca="false">ExportRaw!$D351</f>
        <v/>
      </c>
      <c r="F351" s="138" t="str">
        <f aca="false">ExportRaw!$H351</f>
        <v/>
      </c>
      <c r="G351" s="140" t="str">
        <f aca="false">ExportRaw!$I351</f>
        <v/>
      </c>
      <c r="H351" s="138" t="str">
        <f aca="false">ExportRaw!$A351</f>
        <v/>
      </c>
      <c r="I351" s="138" t="str">
        <f aca="false">ExportRaw!$B351</f>
        <v/>
      </c>
    </row>
    <row r="352" customFormat="false" ht="15.75" hidden="false" customHeight="false" outlineLevel="0" collapsed="false">
      <c r="A352" s="138" t="n">
        <f aca="false">ExportRaw!$F352</f>
        <v>0</v>
      </c>
      <c r="B352" s="138" t="n">
        <f aca="false">ExportRaw!$C352</f>
        <v>0</v>
      </c>
      <c r="C352" s="138" t="n">
        <f aca="false">ExportRaw!$G352</f>
        <v>0</v>
      </c>
      <c r="D352" s="138" t="str">
        <f aca="false">ExportRaw!$E352</f>
        <v/>
      </c>
      <c r="E352" s="139" t="str">
        <f aca="false">ExportRaw!$D352</f>
        <v/>
      </c>
      <c r="F352" s="138" t="str">
        <f aca="false">ExportRaw!$H352</f>
        <v/>
      </c>
      <c r="G352" s="140" t="str">
        <f aca="false">ExportRaw!$I352</f>
        <v/>
      </c>
      <c r="H352" s="138" t="str">
        <f aca="false">ExportRaw!$A352</f>
        <v/>
      </c>
      <c r="I352" s="138" t="str">
        <f aca="false">ExportRaw!$B352</f>
        <v/>
      </c>
    </row>
    <row r="353" customFormat="false" ht="15.75" hidden="false" customHeight="false" outlineLevel="0" collapsed="false">
      <c r="A353" s="138" t="n">
        <f aca="false">ExportRaw!$F353</f>
        <v>0</v>
      </c>
      <c r="B353" s="138" t="n">
        <f aca="false">ExportRaw!$C353</f>
        <v>0</v>
      </c>
      <c r="C353" s="138" t="n">
        <f aca="false">ExportRaw!$G353</f>
        <v>0</v>
      </c>
      <c r="D353" s="138" t="str">
        <f aca="false">ExportRaw!$E353</f>
        <v/>
      </c>
      <c r="E353" s="139" t="str">
        <f aca="false">ExportRaw!$D353</f>
        <v/>
      </c>
      <c r="F353" s="138" t="str">
        <f aca="false">ExportRaw!$H353</f>
        <v/>
      </c>
      <c r="G353" s="140" t="str">
        <f aca="false">ExportRaw!$I353</f>
        <v/>
      </c>
      <c r="H353" s="138" t="str">
        <f aca="false">ExportRaw!$A353</f>
        <v/>
      </c>
      <c r="I353" s="138" t="str">
        <f aca="false">ExportRaw!$B353</f>
        <v/>
      </c>
    </row>
    <row r="354" customFormat="false" ht="15.75" hidden="false" customHeight="false" outlineLevel="0" collapsed="false">
      <c r="A354" s="138" t="n">
        <f aca="false">ExportRaw!$F354</f>
        <v>0</v>
      </c>
      <c r="B354" s="138" t="n">
        <f aca="false">ExportRaw!$C354</f>
        <v>0</v>
      </c>
      <c r="C354" s="138" t="n">
        <f aca="false">ExportRaw!$G354</f>
        <v>0</v>
      </c>
      <c r="D354" s="138" t="str">
        <f aca="false">ExportRaw!$E354</f>
        <v/>
      </c>
      <c r="E354" s="139" t="str">
        <f aca="false">ExportRaw!$D354</f>
        <v/>
      </c>
      <c r="F354" s="138" t="str">
        <f aca="false">ExportRaw!$H354</f>
        <v/>
      </c>
      <c r="G354" s="140" t="str">
        <f aca="false">ExportRaw!$I354</f>
        <v/>
      </c>
      <c r="H354" s="138" t="str">
        <f aca="false">ExportRaw!$A354</f>
        <v/>
      </c>
      <c r="I354" s="138" t="str">
        <f aca="false">ExportRaw!$B354</f>
        <v/>
      </c>
    </row>
    <row r="355" customFormat="false" ht="15.75" hidden="false" customHeight="false" outlineLevel="0" collapsed="false">
      <c r="A355" s="138" t="n">
        <f aca="false">ExportRaw!$F355</f>
        <v>0</v>
      </c>
      <c r="B355" s="138" t="n">
        <f aca="false">ExportRaw!$C355</f>
        <v>0</v>
      </c>
      <c r="C355" s="138" t="n">
        <f aca="false">ExportRaw!$G355</f>
        <v>0</v>
      </c>
      <c r="D355" s="138" t="str">
        <f aca="false">ExportRaw!$E355</f>
        <v/>
      </c>
      <c r="E355" s="139" t="str">
        <f aca="false">ExportRaw!$D355</f>
        <v/>
      </c>
      <c r="F355" s="138" t="str">
        <f aca="false">ExportRaw!$H355</f>
        <v/>
      </c>
      <c r="G355" s="140" t="str">
        <f aca="false">ExportRaw!$I355</f>
        <v/>
      </c>
      <c r="H355" s="138" t="str">
        <f aca="false">ExportRaw!$A355</f>
        <v/>
      </c>
      <c r="I355" s="138" t="str">
        <f aca="false">ExportRaw!$B355</f>
        <v/>
      </c>
    </row>
    <row r="356" customFormat="false" ht="15.75" hidden="false" customHeight="false" outlineLevel="0" collapsed="false">
      <c r="A356" s="138" t="n">
        <f aca="false">ExportRaw!$F356</f>
        <v>0</v>
      </c>
      <c r="B356" s="138" t="n">
        <f aca="false">ExportRaw!$C356</f>
        <v>0</v>
      </c>
      <c r="C356" s="138" t="n">
        <f aca="false">ExportRaw!$G356</f>
        <v>0</v>
      </c>
      <c r="D356" s="138" t="str">
        <f aca="false">ExportRaw!$E356</f>
        <v/>
      </c>
      <c r="E356" s="139" t="str">
        <f aca="false">ExportRaw!$D356</f>
        <v/>
      </c>
      <c r="F356" s="138" t="str">
        <f aca="false">ExportRaw!$H356</f>
        <v/>
      </c>
      <c r="G356" s="140" t="str">
        <f aca="false">ExportRaw!$I356</f>
        <v/>
      </c>
      <c r="H356" s="138" t="str">
        <f aca="false">ExportRaw!$A356</f>
        <v/>
      </c>
      <c r="I356" s="138" t="str">
        <f aca="false">ExportRaw!$B356</f>
        <v/>
      </c>
    </row>
    <row r="357" customFormat="false" ht="15.75" hidden="false" customHeight="false" outlineLevel="0" collapsed="false">
      <c r="A357" s="138" t="n">
        <f aca="false">ExportRaw!$F357</f>
        <v>0</v>
      </c>
      <c r="B357" s="138" t="n">
        <f aca="false">ExportRaw!$C357</f>
        <v>0</v>
      </c>
      <c r="C357" s="138" t="n">
        <f aca="false">ExportRaw!$G357</f>
        <v>0</v>
      </c>
      <c r="D357" s="138" t="str">
        <f aca="false">ExportRaw!$E357</f>
        <v/>
      </c>
      <c r="E357" s="139" t="str">
        <f aca="false">ExportRaw!$D357</f>
        <v/>
      </c>
      <c r="F357" s="138" t="str">
        <f aca="false">ExportRaw!$H357</f>
        <v/>
      </c>
      <c r="G357" s="140" t="str">
        <f aca="false">ExportRaw!$I357</f>
        <v/>
      </c>
      <c r="H357" s="138" t="str">
        <f aca="false">ExportRaw!$A357</f>
        <v/>
      </c>
      <c r="I357" s="138" t="str">
        <f aca="false">ExportRaw!$B357</f>
        <v/>
      </c>
    </row>
    <row r="358" customFormat="false" ht="15.75" hidden="false" customHeight="false" outlineLevel="0" collapsed="false">
      <c r="A358" s="138" t="n">
        <f aca="false">ExportRaw!$F358</f>
        <v>0</v>
      </c>
      <c r="B358" s="138" t="n">
        <f aca="false">ExportRaw!$C358</f>
        <v>0</v>
      </c>
      <c r="C358" s="138" t="n">
        <f aca="false">ExportRaw!$G358</f>
        <v>0</v>
      </c>
      <c r="D358" s="138" t="str">
        <f aca="false">ExportRaw!$E358</f>
        <v/>
      </c>
      <c r="E358" s="139" t="str">
        <f aca="false">ExportRaw!$D358</f>
        <v/>
      </c>
      <c r="F358" s="138" t="str">
        <f aca="false">ExportRaw!$H358</f>
        <v/>
      </c>
      <c r="G358" s="140" t="str">
        <f aca="false">ExportRaw!$I358</f>
        <v/>
      </c>
      <c r="H358" s="138" t="str">
        <f aca="false">ExportRaw!$A358</f>
        <v/>
      </c>
      <c r="I358" s="138" t="str">
        <f aca="false">ExportRaw!$B358</f>
        <v/>
      </c>
    </row>
    <row r="359" customFormat="false" ht="15.75" hidden="false" customHeight="false" outlineLevel="0" collapsed="false">
      <c r="A359" s="138" t="n">
        <f aca="false">ExportRaw!$F359</f>
        <v>0</v>
      </c>
      <c r="B359" s="138" t="n">
        <f aca="false">ExportRaw!$C359</f>
        <v>0</v>
      </c>
      <c r="C359" s="138" t="n">
        <f aca="false">ExportRaw!$G359</f>
        <v>0</v>
      </c>
      <c r="D359" s="138" t="str">
        <f aca="false">ExportRaw!$E359</f>
        <v/>
      </c>
      <c r="E359" s="139" t="str">
        <f aca="false">ExportRaw!$D359</f>
        <v/>
      </c>
      <c r="F359" s="138" t="str">
        <f aca="false">ExportRaw!$H359</f>
        <v/>
      </c>
      <c r="G359" s="140" t="str">
        <f aca="false">ExportRaw!$I359</f>
        <v/>
      </c>
      <c r="H359" s="138" t="str">
        <f aca="false">ExportRaw!$A359</f>
        <v/>
      </c>
      <c r="I359" s="138" t="str">
        <f aca="false">ExportRaw!$B359</f>
        <v/>
      </c>
    </row>
    <row r="360" customFormat="false" ht="15.75" hidden="false" customHeight="false" outlineLevel="0" collapsed="false">
      <c r="A360" s="138" t="n">
        <f aca="false">ExportRaw!$F360</f>
        <v>0</v>
      </c>
      <c r="B360" s="138" t="n">
        <f aca="false">ExportRaw!$C360</f>
        <v>0</v>
      </c>
      <c r="C360" s="138" t="n">
        <f aca="false">ExportRaw!$G360</f>
        <v>0</v>
      </c>
      <c r="D360" s="138" t="str">
        <f aca="false">ExportRaw!$E360</f>
        <v/>
      </c>
      <c r="E360" s="139" t="str">
        <f aca="false">ExportRaw!$D360</f>
        <v/>
      </c>
      <c r="F360" s="138" t="str">
        <f aca="false">ExportRaw!$H360</f>
        <v/>
      </c>
      <c r="G360" s="140" t="str">
        <f aca="false">ExportRaw!$I360</f>
        <v/>
      </c>
      <c r="H360" s="138" t="str">
        <f aca="false">ExportRaw!$A360</f>
        <v/>
      </c>
      <c r="I360" s="138" t="str">
        <f aca="false">ExportRaw!$B360</f>
        <v/>
      </c>
    </row>
    <row r="361" customFormat="false" ht="15.75" hidden="false" customHeight="false" outlineLevel="0" collapsed="false">
      <c r="A361" s="138" t="n">
        <f aca="false">ExportRaw!$F361</f>
        <v>0</v>
      </c>
      <c r="B361" s="138" t="n">
        <f aca="false">ExportRaw!$C361</f>
        <v>0</v>
      </c>
      <c r="C361" s="138" t="n">
        <f aca="false">ExportRaw!$G361</f>
        <v>0</v>
      </c>
      <c r="D361" s="138" t="str">
        <f aca="false">ExportRaw!$E361</f>
        <v/>
      </c>
      <c r="E361" s="139" t="str">
        <f aca="false">ExportRaw!$D361</f>
        <v/>
      </c>
      <c r="F361" s="138" t="str">
        <f aca="false">ExportRaw!$H361</f>
        <v/>
      </c>
      <c r="G361" s="140" t="str">
        <f aca="false">ExportRaw!$I361</f>
        <v/>
      </c>
      <c r="H361" s="138" t="str">
        <f aca="false">ExportRaw!$A361</f>
        <v/>
      </c>
      <c r="I361" s="138" t="str">
        <f aca="false">ExportRaw!$B361</f>
        <v/>
      </c>
    </row>
    <row r="362" customFormat="false" ht="15.75" hidden="false" customHeight="false" outlineLevel="0" collapsed="false">
      <c r="A362" s="138" t="n">
        <f aca="false">ExportRaw!$F362</f>
        <v>0</v>
      </c>
      <c r="B362" s="138" t="n">
        <f aca="false">ExportRaw!$C362</f>
        <v>0</v>
      </c>
      <c r="C362" s="138" t="n">
        <f aca="false">ExportRaw!$G362</f>
        <v>0</v>
      </c>
      <c r="D362" s="138" t="str">
        <f aca="false">ExportRaw!$E362</f>
        <v/>
      </c>
      <c r="E362" s="139" t="str">
        <f aca="false">ExportRaw!$D362</f>
        <v/>
      </c>
      <c r="F362" s="138" t="str">
        <f aca="false">ExportRaw!$H362</f>
        <v/>
      </c>
      <c r="G362" s="140" t="str">
        <f aca="false">ExportRaw!$I362</f>
        <v/>
      </c>
      <c r="H362" s="138" t="str">
        <f aca="false">ExportRaw!$A362</f>
        <v/>
      </c>
      <c r="I362" s="138" t="str">
        <f aca="false">ExportRaw!$B362</f>
        <v/>
      </c>
    </row>
    <row r="363" customFormat="false" ht="15.75" hidden="false" customHeight="false" outlineLevel="0" collapsed="false">
      <c r="A363" s="138" t="n">
        <f aca="false">ExportRaw!$F363</f>
        <v>0</v>
      </c>
      <c r="B363" s="138" t="n">
        <f aca="false">ExportRaw!$C363</f>
        <v>0</v>
      </c>
      <c r="C363" s="138" t="n">
        <f aca="false">ExportRaw!$G363</f>
        <v>0</v>
      </c>
      <c r="D363" s="138" t="str">
        <f aca="false">ExportRaw!$E363</f>
        <v/>
      </c>
      <c r="E363" s="139" t="str">
        <f aca="false">ExportRaw!$D363</f>
        <v/>
      </c>
      <c r="F363" s="138" t="str">
        <f aca="false">ExportRaw!$H363</f>
        <v/>
      </c>
      <c r="G363" s="140" t="str">
        <f aca="false">ExportRaw!$I363</f>
        <v/>
      </c>
      <c r="H363" s="138" t="str">
        <f aca="false">ExportRaw!$A363</f>
        <v/>
      </c>
      <c r="I363" s="138" t="str">
        <f aca="false">ExportRaw!$B363</f>
        <v/>
      </c>
    </row>
    <row r="364" customFormat="false" ht="15.75" hidden="false" customHeight="false" outlineLevel="0" collapsed="false">
      <c r="A364" s="138" t="n">
        <f aca="false">ExportRaw!$F364</f>
        <v>0</v>
      </c>
      <c r="B364" s="138" t="n">
        <f aca="false">ExportRaw!$C364</f>
        <v>0</v>
      </c>
      <c r="C364" s="138" t="n">
        <f aca="false">ExportRaw!$G364</f>
        <v>0</v>
      </c>
      <c r="D364" s="138" t="str">
        <f aca="false">ExportRaw!$E364</f>
        <v/>
      </c>
      <c r="E364" s="139" t="str">
        <f aca="false">ExportRaw!$D364</f>
        <v/>
      </c>
      <c r="F364" s="138" t="str">
        <f aca="false">ExportRaw!$H364</f>
        <v/>
      </c>
      <c r="G364" s="140" t="str">
        <f aca="false">ExportRaw!$I364</f>
        <v/>
      </c>
      <c r="H364" s="138" t="str">
        <f aca="false">ExportRaw!$A364</f>
        <v/>
      </c>
      <c r="I364" s="138" t="str">
        <f aca="false">ExportRaw!$B364</f>
        <v/>
      </c>
    </row>
    <row r="365" customFormat="false" ht="15.75" hidden="false" customHeight="false" outlineLevel="0" collapsed="false">
      <c r="A365" s="138" t="n">
        <f aca="false">ExportRaw!$F365</f>
        <v>0</v>
      </c>
      <c r="B365" s="138" t="n">
        <f aca="false">ExportRaw!$C365</f>
        <v>0</v>
      </c>
      <c r="C365" s="138" t="n">
        <f aca="false">ExportRaw!$G365</f>
        <v>0</v>
      </c>
      <c r="D365" s="138" t="str">
        <f aca="false">ExportRaw!$E365</f>
        <v/>
      </c>
      <c r="E365" s="139" t="str">
        <f aca="false">ExportRaw!$D365</f>
        <v/>
      </c>
      <c r="F365" s="138" t="str">
        <f aca="false">ExportRaw!$H365</f>
        <v/>
      </c>
      <c r="G365" s="140" t="str">
        <f aca="false">ExportRaw!$I365</f>
        <v/>
      </c>
      <c r="H365" s="138" t="str">
        <f aca="false">ExportRaw!$A365</f>
        <v/>
      </c>
      <c r="I365" s="138" t="str">
        <f aca="false">ExportRaw!$B365</f>
        <v/>
      </c>
    </row>
    <row r="366" customFormat="false" ht="15.75" hidden="false" customHeight="false" outlineLevel="0" collapsed="false">
      <c r="A366" s="138" t="n">
        <f aca="false">ExportRaw!$F366</f>
        <v>0</v>
      </c>
      <c r="B366" s="138" t="n">
        <f aca="false">ExportRaw!$C366</f>
        <v>0</v>
      </c>
      <c r="C366" s="138" t="n">
        <f aca="false">ExportRaw!$G366</f>
        <v>0</v>
      </c>
      <c r="D366" s="138" t="str">
        <f aca="false">ExportRaw!$E366</f>
        <v/>
      </c>
      <c r="E366" s="139" t="str">
        <f aca="false">ExportRaw!$D366</f>
        <v/>
      </c>
      <c r="F366" s="138" t="str">
        <f aca="false">ExportRaw!$H366</f>
        <v/>
      </c>
      <c r="G366" s="140" t="str">
        <f aca="false">ExportRaw!$I366</f>
        <v/>
      </c>
      <c r="H366" s="138" t="str">
        <f aca="false">ExportRaw!$A366</f>
        <v/>
      </c>
      <c r="I366" s="138" t="str">
        <f aca="false">ExportRaw!$B366</f>
        <v/>
      </c>
    </row>
    <row r="367" customFormat="false" ht="15.75" hidden="false" customHeight="false" outlineLevel="0" collapsed="false">
      <c r="A367" s="138" t="n">
        <f aca="false">ExportRaw!$F367</f>
        <v>0</v>
      </c>
      <c r="B367" s="138" t="n">
        <f aca="false">ExportRaw!$C367</f>
        <v>0</v>
      </c>
      <c r="C367" s="138" t="n">
        <f aca="false">ExportRaw!$G367</f>
        <v>0</v>
      </c>
      <c r="D367" s="138" t="str">
        <f aca="false">ExportRaw!$E367</f>
        <v/>
      </c>
      <c r="E367" s="139" t="str">
        <f aca="false">ExportRaw!$D367</f>
        <v/>
      </c>
      <c r="F367" s="138" t="str">
        <f aca="false">ExportRaw!$H367</f>
        <v/>
      </c>
      <c r="G367" s="140" t="str">
        <f aca="false">ExportRaw!$I367</f>
        <v/>
      </c>
      <c r="H367" s="138" t="str">
        <f aca="false">ExportRaw!$A367</f>
        <v/>
      </c>
      <c r="I367" s="138" t="str">
        <f aca="false">ExportRaw!$B367</f>
        <v/>
      </c>
    </row>
    <row r="368" customFormat="false" ht="15.75" hidden="false" customHeight="false" outlineLevel="0" collapsed="false">
      <c r="A368" s="138" t="n">
        <f aca="false">ExportRaw!$F368</f>
        <v>0</v>
      </c>
      <c r="B368" s="138" t="n">
        <f aca="false">ExportRaw!$C368</f>
        <v>0</v>
      </c>
      <c r="C368" s="138" t="n">
        <f aca="false">ExportRaw!$G368</f>
        <v>0</v>
      </c>
      <c r="D368" s="138" t="str">
        <f aca="false">ExportRaw!$E368</f>
        <v/>
      </c>
      <c r="E368" s="139" t="str">
        <f aca="false">ExportRaw!$D368</f>
        <v/>
      </c>
      <c r="F368" s="138" t="str">
        <f aca="false">ExportRaw!$H368</f>
        <v/>
      </c>
      <c r="G368" s="140" t="str">
        <f aca="false">ExportRaw!$I368</f>
        <v/>
      </c>
      <c r="H368" s="138" t="str">
        <f aca="false">ExportRaw!$A368</f>
        <v/>
      </c>
      <c r="I368" s="138" t="str">
        <f aca="false">ExportRaw!$B368</f>
        <v/>
      </c>
    </row>
    <row r="369" customFormat="false" ht="15.75" hidden="false" customHeight="false" outlineLevel="0" collapsed="false">
      <c r="A369" s="138" t="n">
        <f aca="false">ExportRaw!$F369</f>
        <v>0</v>
      </c>
      <c r="B369" s="138" t="n">
        <f aca="false">ExportRaw!$C369</f>
        <v>0</v>
      </c>
      <c r="C369" s="138" t="n">
        <f aca="false">ExportRaw!$G369</f>
        <v>0</v>
      </c>
      <c r="D369" s="138" t="str">
        <f aca="false">ExportRaw!$E369</f>
        <v/>
      </c>
      <c r="E369" s="139" t="str">
        <f aca="false">ExportRaw!$D369</f>
        <v/>
      </c>
      <c r="F369" s="138" t="str">
        <f aca="false">ExportRaw!$H369</f>
        <v/>
      </c>
      <c r="G369" s="140" t="str">
        <f aca="false">ExportRaw!$I369</f>
        <v/>
      </c>
      <c r="H369" s="138" t="str">
        <f aca="false">ExportRaw!$A369</f>
        <v/>
      </c>
      <c r="I369" s="138" t="str">
        <f aca="false">ExportRaw!$B369</f>
        <v/>
      </c>
    </row>
    <row r="370" customFormat="false" ht="15.75" hidden="false" customHeight="false" outlineLevel="0" collapsed="false">
      <c r="A370" s="138" t="n">
        <f aca="false">ExportRaw!$F370</f>
        <v>0</v>
      </c>
      <c r="B370" s="138" t="n">
        <f aca="false">ExportRaw!$C370</f>
        <v>0</v>
      </c>
      <c r="C370" s="138" t="n">
        <f aca="false">ExportRaw!$G370</f>
        <v>0</v>
      </c>
      <c r="D370" s="138" t="str">
        <f aca="false">ExportRaw!$E370</f>
        <v/>
      </c>
      <c r="E370" s="139" t="str">
        <f aca="false">ExportRaw!$D370</f>
        <v/>
      </c>
      <c r="F370" s="138" t="str">
        <f aca="false">ExportRaw!$H370</f>
        <v/>
      </c>
      <c r="G370" s="140" t="str">
        <f aca="false">ExportRaw!$I370</f>
        <v/>
      </c>
      <c r="H370" s="138" t="str">
        <f aca="false">ExportRaw!$A370</f>
        <v/>
      </c>
      <c r="I370" s="138" t="str">
        <f aca="false">ExportRaw!$B370</f>
        <v/>
      </c>
    </row>
    <row r="371" customFormat="false" ht="15.75" hidden="false" customHeight="false" outlineLevel="0" collapsed="false">
      <c r="A371" s="138" t="n">
        <f aca="false">ExportRaw!$F371</f>
        <v>0</v>
      </c>
      <c r="B371" s="138" t="n">
        <f aca="false">ExportRaw!$C371</f>
        <v>0</v>
      </c>
      <c r="C371" s="138" t="n">
        <f aca="false">ExportRaw!$G371</f>
        <v>0</v>
      </c>
      <c r="D371" s="138" t="str">
        <f aca="false">ExportRaw!$E371</f>
        <v/>
      </c>
      <c r="E371" s="139" t="str">
        <f aca="false">ExportRaw!$D371</f>
        <v/>
      </c>
      <c r="F371" s="138" t="str">
        <f aca="false">ExportRaw!$H371</f>
        <v/>
      </c>
      <c r="G371" s="140" t="str">
        <f aca="false">ExportRaw!$I371</f>
        <v/>
      </c>
      <c r="H371" s="138" t="str">
        <f aca="false">ExportRaw!$A371</f>
        <v/>
      </c>
      <c r="I371" s="138" t="str">
        <f aca="false">ExportRaw!$B371</f>
        <v/>
      </c>
    </row>
    <row r="372" customFormat="false" ht="15.75" hidden="false" customHeight="false" outlineLevel="0" collapsed="false">
      <c r="A372" s="138" t="n">
        <f aca="false">ExportRaw!$F372</f>
        <v>0</v>
      </c>
      <c r="B372" s="138" t="n">
        <f aca="false">ExportRaw!$C372</f>
        <v>0</v>
      </c>
      <c r="C372" s="138" t="n">
        <f aca="false">ExportRaw!$G372</f>
        <v>0</v>
      </c>
      <c r="D372" s="138" t="str">
        <f aca="false">ExportRaw!$E372</f>
        <v/>
      </c>
      <c r="E372" s="139" t="str">
        <f aca="false">ExportRaw!$D372</f>
        <v/>
      </c>
      <c r="F372" s="138" t="str">
        <f aca="false">ExportRaw!$H372</f>
        <v/>
      </c>
      <c r="G372" s="140" t="str">
        <f aca="false">ExportRaw!$I372</f>
        <v/>
      </c>
      <c r="H372" s="138" t="str">
        <f aca="false">ExportRaw!$A372</f>
        <v/>
      </c>
      <c r="I372" s="138" t="str">
        <f aca="false">ExportRaw!$B372</f>
        <v/>
      </c>
    </row>
    <row r="373" customFormat="false" ht="15.75" hidden="false" customHeight="false" outlineLevel="0" collapsed="false">
      <c r="A373" s="138" t="n">
        <f aca="false">ExportRaw!$F373</f>
        <v>0</v>
      </c>
      <c r="B373" s="138" t="n">
        <f aca="false">ExportRaw!$C373</f>
        <v>0</v>
      </c>
      <c r="C373" s="138" t="n">
        <f aca="false">ExportRaw!$G373</f>
        <v>0</v>
      </c>
      <c r="D373" s="138" t="str">
        <f aca="false">ExportRaw!$E373</f>
        <v/>
      </c>
      <c r="E373" s="139" t="str">
        <f aca="false">ExportRaw!$D373</f>
        <v/>
      </c>
      <c r="F373" s="138" t="str">
        <f aca="false">ExportRaw!$H373</f>
        <v/>
      </c>
      <c r="G373" s="140" t="str">
        <f aca="false">ExportRaw!$I373</f>
        <v/>
      </c>
      <c r="H373" s="138" t="str">
        <f aca="false">ExportRaw!$A373</f>
        <v/>
      </c>
      <c r="I373" s="138" t="str">
        <f aca="false">ExportRaw!$B373</f>
        <v/>
      </c>
    </row>
    <row r="374" customFormat="false" ht="15.75" hidden="false" customHeight="false" outlineLevel="0" collapsed="false">
      <c r="A374" s="138" t="n">
        <f aca="false">ExportRaw!$F374</f>
        <v>0</v>
      </c>
      <c r="B374" s="138" t="n">
        <f aca="false">ExportRaw!$C374</f>
        <v>0</v>
      </c>
      <c r="C374" s="138" t="n">
        <f aca="false">ExportRaw!$G374</f>
        <v>0</v>
      </c>
      <c r="D374" s="138" t="str">
        <f aca="false">ExportRaw!$E374</f>
        <v/>
      </c>
      <c r="E374" s="139" t="str">
        <f aca="false">ExportRaw!$D374</f>
        <v/>
      </c>
      <c r="F374" s="138" t="str">
        <f aca="false">ExportRaw!$H374</f>
        <v/>
      </c>
      <c r="G374" s="140" t="str">
        <f aca="false">ExportRaw!$I374</f>
        <v/>
      </c>
      <c r="H374" s="138" t="str">
        <f aca="false">ExportRaw!$A374</f>
        <v/>
      </c>
      <c r="I374" s="138" t="str">
        <f aca="false">ExportRaw!$B374</f>
        <v/>
      </c>
    </row>
    <row r="375" customFormat="false" ht="15.75" hidden="false" customHeight="false" outlineLevel="0" collapsed="false">
      <c r="A375" s="138" t="n">
        <f aca="false">ExportRaw!$F375</f>
        <v>0</v>
      </c>
      <c r="B375" s="138" t="n">
        <f aca="false">ExportRaw!$C375</f>
        <v>0</v>
      </c>
      <c r="C375" s="138" t="n">
        <f aca="false">ExportRaw!$G375</f>
        <v>0</v>
      </c>
      <c r="D375" s="138" t="str">
        <f aca="false">ExportRaw!$E375</f>
        <v/>
      </c>
      <c r="E375" s="139" t="str">
        <f aca="false">ExportRaw!$D375</f>
        <v/>
      </c>
      <c r="F375" s="138" t="str">
        <f aca="false">ExportRaw!$H375</f>
        <v/>
      </c>
      <c r="G375" s="140" t="str">
        <f aca="false">ExportRaw!$I375</f>
        <v/>
      </c>
      <c r="H375" s="138" t="str">
        <f aca="false">ExportRaw!$A375</f>
        <v/>
      </c>
      <c r="I375" s="138" t="str">
        <f aca="false">ExportRaw!$B375</f>
        <v/>
      </c>
    </row>
    <row r="376" customFormat="false" ht="15.75" hidden="false" customHeight="false" outlineLevel="0" collapsed="false">
      <c r="A376" s="138" t="n">
        <f aca="false">ExportRaw!$F376</f>
        <v>0</v>
      </c>
      <c r="B376" s="138" t="n">
        <f aca="false">ExportRaw!$C376</f>
        <v>0</v>
      </c>
      <c r="C376" s="138" t="n">
        <f aca="false">ExportRaw!$G376</f>
        <v>0</v>
      </c>
      <c r="D376" s="138" t="str">
        <f aca="false">ExportRaw!$E376</f>
        <v/>
      </c>
      <c r="E376" s="139" t="str">
        <f aca="false">ExportRaw!$D376</f>
        <v/>
      </c>
      <c r="F376" s="138" t="str">
        <f aca="false">ExportRaw!$H376</f>
        <v/>
      </c>
      <c r="G376" s="140" t="str">
        <f aca="false">ExportRaw!$I376</f>
        <v/>
      </c>
      <c r="H376" s="138" t="str">
        <f aca="false">ExportRaw!$A376</f>
        <v/>
      </c>
      <c r="I376" s="138" t="str">
        <f aca="false">ExportRaw!$B376</f>
        <v/>
      </c>
    </row>
    <row r="377" customFormat="false" ht="15.75" hidden="false" customHeight="false" outlineLevel="0" collapsed="false">
      <c r="A377" s="138" t="n">
        <f aca="false">ExportRaw!$F377</f>
        <v>0</v>
      </c>
      <c r="B377" s="138" t="n">
        <f aca="false">ExportRaw!$C377</f>
        <v>0</v>
      </c>
      <c r="C377" s="138" t="n">
        <f aca="false">ExportRaw!$G377</f>
        <v>0</v>
      </c>
      <c r="D377" s="138" t="str">
        <f aca="false">ExportRaw!$E377</f>
        <v/>
      </c>
      <c r="E377" s="139" t="str">
        <f aca="false">ExportRaw!$D377</f>
        <v/>
      </c>
      <c r="F377" s="138" t="str">
        <f aca="false">ExportRaw!$H377</f>
        <v/>
      </c>
      <c r="G377" s="140" t="str">
        <f aca="false">ExportRaw!$I377</f>
        <v/>
      </c>
      <c r="H377" s="138" t="str">
        <f aca="false">ExportRaw!$A377</f>
        <v/>
      </c>
      <c r="I377" s="138" t="str">
        <f aca="false">ExportRaw!$B377</f>
        <v/>
      </c>
    </row>
    <row r="378" customFormat="false" ht="15.75" hidden="false" customHeight="false" outlineLevel="0" collapsed="false">
      <c r="A378" s="138" t="n">
        <f aca="false">ExportRaw!$F378</f>
        <v>0</v>
      </c>
      <c r="B378" s="138" t="n">
        <f aca="false">ExportRaw!$C378</f>
        <v>0</v>
      </c>
      <c r="C378" s="138" t="n">
        <f aca="false">ExportRaw!$G378</f>
        <v>0</v>
      </c>
      <c r="D378" s="138" t="str">
        <f aca="false">ExportRaw!$E378</f>
        <v/>
      </c>
      <c r="E378" s="139" t="str">
        <f aca="false">ExportRaw!$D378</f>
        <v/>
      </c>
      <c r="F378" s="138" t="str">
        <f aca="false">ExportRaw!$H378</f>
        <v/>
      </c>
      <c r="G378" s="140" t="str">
        <f aca="false">ExportRaw!$I378</f>
        <v/>
      </c>
      <c r="H378" s="138" t="str">
        <f aca="false">ExportRaw!$A378</f>
        <v/>
      </c>
      <c r="I378" s="138" t="str">
        <f aca="false">ExportRaw!$B378</f>
        <v/>
      </c>
    </row>
    <row r="379" customFormat="false" ht="15.75" hidden="false" customHeight="false" outlineLevel="0" collapsed="false">
      <c r="A379" s="138" t="n">
        <f aca="false">ExportRaw!$F379</f>
        <v>0</v>
      </c>
      <c r="B379" s="138" t="n">
        <f aca="false">ExportRaw!$C379</f>
        <v>0</v>
      </c>
      <c r="C379" s="138" t="n">
        <f aca="false">ExportRaw!$G379</f>
        <v>0</v>
      </c>
      <c r="D379" s="138" t="str">
        <f aca="false">ExportRaw!$E379</f>
        <v/>
      </c>
      <c r="E379" s="139" t="str">
        <f aca="false">ExportRaw!$D379</f>
        <v/>
      </c>
      <c r="F379" s="138" t="str">
        <f aca="false">ExportRaw!$H379</f>
        <v/>
      </c>
      <c r="G379" s="140" t="str">
        <f aca="false">ExportRaw!$I379</f>
        <v/>
      </c>
      <c r="H379" s="138" t="str">
        <f aca="false">ExportRaw!$A379</f>
        <v/>
      </c>
      <c r="I379" s="138" t="str">
        <f aca="false">ExportRaw!$B379</f>
        <v/>
      </c>
    </row>
    <row r="380" customFormat="false" ht="15.75" hidden="false" customHeight="false" outlineLevel="0" collapsed="false">
      <c r="A380" s="138" t="n">
        <f aca="false">ExportRaw!$F380</f>
        <v>0</v>
      </c>
      <c r="B380" s="138" t="n">
        <f aca="false">ExportRaw!$C380</f>
        <v>0</v>
      </c>
      <c r="C380" s="138" t="n">
        <f aca="false">ExportRaw!$G380</f>
        <v>0</v>
      </c>
      <c r="D380" s="138" t="str">
        <f aca="false">ExportRaw!$E380</f>
        <v/>
      </c>
      <c r="E380" s="139" t="str">
        <f aca="false">ExportRaw!$D380</f>
        <v/>
      </c>
      <c r="F380" s="138" t="str">
        <f aca="false">ExportRaw!$H380</f>
        <v/>
      </c>
      <c r="G380" s="140" t="str">
        <f aca="false">ExportRaw!$I380</f>
        <v/>
      </c>
      <c r="H380" s="138" t="str">
        <f aca="false">ExportRaw!$A380</f>
        <v/>
      </c>
      <c r="I380" s="138" t="str">
        <f aca="false">ExportRaw!$B380</f>
        <v/>
      </c>
    </row>
    <row r="381" customFormat="false" ht="15.75" hidden="false" customHeight="false" outlineLevel="0" collapsed="false">
      <c r="A381" s="138" t="n">
        <f aca="false">ExportRaw!$F381</f>
        <v>0</v>
      </c>
      <c r="B381" s="138" t="n">
        <f aca="false">ExportRaw!$C381</f>
        <v>0</v>
      </c>
      <c r="C381" s="138" t="n">
        <f aca="false">ExportRaw!$G381</f>
        <v>0</v>
      </c>
      <c r="D381" s="138" t="str">
        <f aca="false">ExportRaw!$E381</f>
        <v/>
      </c>
      <c r="E381" s="139" t="str">
        <f aca="false">ExportRaw!$D381</f>
        <v/>
      </c>
      <c r="F381" s="138" t="str">
        <f aca="false">ExportRaw!$H381</f>
        <v/>
      </c>
      <c r="G381" s="140" t="str">
        <f aca="false">ExportRaw!$I381</f>
        <v/>
      </c>
      <c r="H381" s="138" t="str">
        <f aca="false">ExportRaw!$A381</f>
        <v/>
      </c>
      <c r="I381" s="138" t="str">
        <f aca="false">ExportRaw!$B381</f>
        <v/>
      </c>
    </row>
    <row r="382" customFormat="false" ht="15.75" hidden="false" customHeight="false" outlineLevel="0" collapsed="false">
      <c r="A382" s="138" t="n">
        <f aca="false">ExportRaw!$F382</f>
        <v>0</v>
      </c>
      <c r="B382" s="138" t="n">
        <f aca="false">ExportRaw!$C382</f>
        <v>0</v>
      </c>
      <c r="C382" s="138" t="n">
        <f aca="false">ExportRaw!$G382</f>
        <v>0</v>
      </c>
      <c r="D382" s="138" t="str">
        <f aca="false">ExportRaw!$E382</f>
        <v/>
      </c>
      <c r="E382" s="139" t="str">
        <f aca="false">ExportRaw!$D382</f>
        <v/>
      </c>
      <c r="F382" s="138" t="str">
        <f aca="false">ExportRaw!$H382</f>
        <v/>
      </c>
      <c r="G382" s="140" t="str">
        <f aca="false">ExportRaw!$I382</f>
        <v/>
      </c>
      <c r="H382" s="138" t="str">
        <f aca="false">ExportRaw!$A382</f>
        <v/>
      </c>
      <c r="I382" s="138" t="str">
        <f aca="false">ExportRaw!$B382</f>
        <v/>
      </c>
    </row>
    <row r="383" customFormat="false" ht="15.75" hidden="false" customHeight="false" outlineLevel="0" collapsed="false">
      <c r="A383" s="138" t="n">
        <f aca="false">ExportRaw!$F383</f>
        <v>0</v>
      </c>
      <c r="B383" s="138" t="n">
        <f aca="false">ExportRaw!$C383</f>
        <v>0</v>
      </c>
      <c r="C383" s="138" t="n">
        <f aca="false">ExportRaw!$G383</f>
        <v>0</v>
      </c>
      <c r="D383" s="138" t="str">
        <f aca="false">ExportRaw!$E383</f>
        <v/>
      </c>
      <c r="E383" s="139" t="str">
        <f aca="false">ExportRaw!$D383</f>
        <v/>
      </c>
      <c r="F383" s="138" t="str">
        <f aca="false">ExportRaw!$H383</f>
        <v/>
      </c>
      <c r="G383" s="140" t="str">
        <f aca="false">ExportRaw!$I383</f>
        <v/>
      </c>
      <c r="H383" s="138" t="str">
        <f aca="false">ExportRaw!$A383</f>
        <v/>
      </c>
      <c r="I383" s="138" t="str">
        <f aca="false">ExportRaw!$B383</f>
        <v/>
      </c>
    </row>
    <row r="384" customFormat="false" ht="15.75" hidden="false" customHeight="false" outlineLevel="0" collapsed="false">
      <c r="A384" s="138" t="n">
        <f aca="false">ExportRaw!$F384</f>
        <v>0</v>
      </c>
      <c r="B384" s="138" t="n">
        <f aca="false">ExportRaw!$C384</f>
        <v>0</v>
      </c>
      <c r="C384" s="138" t="n">
        <f aca="false">ExportRaw!$G384</f>
        <v>0</v>
      </c>
      <c r="D384" s="138" t="str">
        <f aca="false">ExportRaw!$E384</f>
        <v/>
      </c>
      <c r="E384" s="139" t="str">
        <f aca="false">ExportRaw!$D384</f>
        <v/>
      </c>
      <c r="F384" s="138" t="str">
        <f aca="false">ExportRaw!$H384</f>
        <v/>
      </c>
      <c r="G384" s="140" t="str">
        <f aca="false">ExportRaw!$I384</f>
        <v/>
      </c>
      <c r="H384" s="138" t="str">
        <f aca="false">ExportRaw!$A384</f>
        <v/>
      </c>
      <c r="I384" s="138" t="str">
        <f aca="false">ExportRaw!$B384</f>
        <v/>
      </c>
    </row>
    <row r="385" customFormat="false" ht="15.75" hidden="false" customHeight="false" outlineLevel="0" collapsed="false">
      <c r="A385" s="138" t="n">
        <f aca="false">ExportRaw!$F385</f>
        <v>0</v>
      </c>
      <c r="B385" s="138" t="n">
        <f aca="false">ExportRaw!$C385</f>
        <v>0</v>
      </c>
      <c r="C385" s="138" t="n">
        <f aca="false">ExportRaw!$G385</f>
        <v>0</v>
      </c>
      <c r="D385" s="138" t="str">
        <f aca="false">ExportRaw!$E385</f>
        <v/>
      </c>
      <c r="E385" s="139" t="str">
        <f aca="false">ExportRaw!$D385</f>
        <v/>
      </c>
      <c r="F385" s="138" t="str">
        <f aca="false">ExportRaw!$H385</f>
        <v/>
      </c>
      <c r="G385" s="140" t="str">
        <f aca="false">ExportRaw!$I385</f>
        <v/>
      </c>
      <c r="H385" s="138" t="str">
        <f aca="false">ExportRaw!$A385</f>
        <v/>
      </c>
      <c r="I385" s="138" t="str">
        <f aca="false">ExportRaw!$B385</f>
        <v/>
      </c>
    </row>
    <row r="386" customFormat="false" ht="15.75" hidden="false" customHeight="false" outlineLevel="0" collapsed="false">
      <c r="A386" s="138" t="n">
        <f aca="false">ExportRaw!$F386</f>
        <v>0</v>
      </c>
      <c r="B386" s="138" t="n">
        <f aca="false">ExportRaw!$C386</f>
        <v>0</v>
      </c>
      <c r="C386" s="138" t="n">
        <f aca="false">ExportRaw!$G386</f>
        <v>0</v>
      </c>
      <c r="D386" s="138" t="str">
        <f aca="false">ExportRaw!$E386</f>
        <v/>
      </c>
      <c r="E386" s="139" t="str">
        <f aca="false">ExportRaw!$D386</f>
        <v/>
      </c>
      <c r="F386" s="138" t="str">
        <f aca="false">ExportRaw!$H386</f>
        <v/>
      </c>
      <c r="G386" s="140" t="str">
        <f aca="false">ExportRaw!$I386</f>
        <v/>
      </c>
      <c r="H386" s="138" t="str">
        <f aca="false">ExportRaw!$A386</f>
        <v/>
      </c>
      <c r="I386" s="138" t="str">
        <f aca="false">ExportRaw!$B386</f>
        <v/>
      </c>
    </row>
    <row r="387" customFormat="false" ht="15.75" hidden="false" customHeight="false" outlineLevel="0" collapsed="false">
      <c r="A387" s="138" t="n">
        <f aca="false">ExportRaw!$F387</f>
        <v>0</v>
      </c>
      <c r="B387" s="138" t="n">
        <f aca="false">ExportRaw!$C387</f>
        <v>0</v>
      </c>
      <c r="C387" s="138" t="n">
        <f aca="false">ExportRaw!$G387</f>
        <v>0</v>
      </c>
      <c r="D387" s="138" t="str">
        <f aca="false">ExportRaw!$E387</f>
        <v/>
      </c>
      <c r="E387" s="139" t="str">
        <f aca="false">ExportRaw!$D387</f>
        <v/>
      </c>
      <c r="F387" s="138" t="str">
        <f aca="false">ExportRaw!$H387</f>
        <v/>
      </c>
      <c r="G387" s="140" t="str">
        <f aca="false">ExportRaw!$I387</f>
        <v/>
      </c>
      <c r="H387" s="138" t="str">
        <f aca="false">ExportRaw!$A387</f>
        <v/>
      </c>
      <c r="I387" s="138" t="str">
        <f aca="false">ExportRaw!$B387</f>
        <v/>
      </c>
    </row>
    <row r="388" customFormat="false" ht="15.75" hidden="false" customHeight="false" outlineLevel="0" collapsed="false">
      <c r="A388" s="138" t="n">
        <f aca="false">ExportRaw!$F388</f>
        <v>0</v>
      </c>
      <c r="B388" s="138" t="n">
        <f aca="false">ExportRaw!$C388</f>
        <v>0</v>
      </c>
      <c r="C388" s="138" t="n">
        <f aca="false">ExportRaw!$G388</f>
        <v>0</v>
      </c>
      <c r="D388" s="138" t="str">
        <f aca="false">ExportRaw!$E388</f>
        <v/>
      </c>
      <c r="E388" s="139" t="str">
        <f aca="false">ExportRaw!$D388</f>
        <v/>
      </c>
      <c r="F388" s="138" t="str">
        <f aca="false">ExportRaw!$H388</f>
        <v/>
      </c>
      <c r="G388" s="140" t="str">
        <f aca="false">ExportRaw!$I388</f>
        <v/>
      </c>
      <c r="H388" s="138" t="str">
        <f aca="false">ExportRaw!$A388</f>
        <v/>
      </c>
      <c r="I388" s="138" t="str">
        <f aca="false">ExportRaw!$B388</f>
        <v/>
      </c>
    </row>
    <row r="389" customFormat="false" ht="15.75" hidden="false" customHeight="false" outlineLevel="0" collapsed="false">
      <c r="A389" s="138" t="n">
        <f aca="false">ExportRaw!$F389</f>
        <v>0</v>
      </c>
      <c r="B389" s="138" t="n">
        <f aca="false">ExportRaw!$C389</f>
        <v>0</v>
      </c>
      <c r="C389" s="138" t="n">
        <f aca="false">ExportRaw!$G389</f>
        <v>0</v>
      </c>
      <c r="D389" s="138" t="str">
        <f aca="false">ExportRaw!$E389</f>
        <v/>
      </c>
      <c r="E389" s="139" t="str">
        <f aca="false">ExportRaw!$D389</f>
        <v/>
      </c>
      <c r="F389" s="138" t="str">
        <f aca="false">ExportRaw!$H389</f>
        <v/>
      </c>
      <c r="G389" s="140" t="str">
        <f aca="false">ExportRaw!$I389</f>
        <v/>
      </c>
      <c r="H389" s="138" t="str">
        <f aca="false">ExportRaw!$A389</f>
        <v/>
      </c>
      <c r="I389" s="138" t="str">
        <f aca="false">ExportRaw!$B389</f>
        <v/>
      </c>
    </row>
    <row r="390" customFormat="false" ht="15.75" hidden="false" customHeight="false" outlineLevel="0" collapsed="false">
      <c r="A390" s="138" t="n">
        <f aca="false">ExportRaw!$F390</f>
        <v>0</v>
      </c>
      <c r="B390" s="138" t="n">
        <f aca="false">ExportRaw!$C390</f>
        <v>0</v>
      </c>
      <c r="C390" s="138" t="n">
        <f aca="false">ExportRaw!$G390</f>
        <v>0</v>
      </c>
      <c r="D390" s="138" t="str">
        <f aca="false">ExportRaw!$E390</f>
        <v/>
      </c>
      <c r="E390" s="139" t="str">
        <f aca="false">ExportRaw!$D390</f>
        <v/>
      </c>
      <c r="F390" s="138" t="str">
        <f aca="false">ExportRaw!$H390</f>
        <v/>
      </c>
      <c r="G390" s="140" t="str">
        <f aca="false">ExportRaw!$I390</f>
        <v/>
      </c>
      <c r="H390" s="138" t="str">
        <f aca="false">ExportRaw!$A390</f>
        <v/>
      </c>
      <c r="I390" s="138" t="str">
        <f aca="false">ExportRaw!$B390</f>
        <v/>
      </c>
    </row>
    <row r="391" customFormat="false" ht="15.75" hidden="false" customHeight="false" outlineLevel="0" collapsed="false">
      <c r="A391" s="138" t="n">
        <f aca="false">ExportRaw!$F391</f>
        <v>0</v>
      </c>
      <c r="B391" s="138" t="n">
        <f aca="false">ExportRaw!$C391</f>
        <v>0</v>
      </c>
      <c r="C391" s="138" t="n">
        <f aca="false">ExportRaw!$G391</f>
        <v>0</v>
      </c>
      <c r="D391" s="138" t="str">
        <f aca="false">ExportRaw!$E391</f>
        <v/>
      </c>
      <c r="E391" s="139" t="str">
        <f aca="false">ExportRaw!$D391</f>
        <v/>
      </c>
      <c r="F391" s="138" t="str">
        <f aca="false">ExportRaw!$H391</f>
        <v/>
      </c>
      <c r="G391" s="140" t="str">
        <f aca="false">ExportRaw!$I391</f>
        <v/>
      </c>
      <c r="H391" s="138" t="str">
        <f aca="false">ExportRaw!$A391</f>
        <v/>
      </c>
      <c r="I391" s="138" t="str">
        <f aca="false">ExportRaw!$B391</f>
        <v/>
      </c>
    </row>
    <row r="392" customFormat="false" ht="15.75" hidden="false" customHeight="false" outlineLevel="0" collapsed="false">
      <c r="A392" s="138" t="n">
        <f aca="false">ExportRaw!$F392</f>
        <v>0</v>
      </c>
      <c r="B392" s="138" t="n">
        <f aca="false">ExportRaw!$C392</f>
        <v>0</v>
      </c>
      <c r="C392" s="138" t="n">
        <f aca="false">ExportRaw!$G392</f>
        <v>0</v>
      </c>
      <c r="D392" s="138" t="str">
        <f aca="false">ExportRaw!$E392</f>
        <v/>
      </c>
      <c r="E392" s="139" t="str">
        <f aca="false">ExportRaw!$D392</f>
        <v/>
      </c>
      <c r="F392" s="138" t="str">
        <f aca="false">ExportRaw!$H392</f>
        <v/>
      </c>
      <c r="G392" s="140" t="str">
        <f aca="false">ExportRaw!$I392</f>
        <v/>
      </c>
      <c r="H392" s="138" t="str">
        <f aca="false">ExportRaw!$A392</f>
        <v/>
      </c>
      <c r="I392" s="138" t="str">
        <f aca="false">ExportRaw!$B392</f>
        <v/>
      </c>
    </row>
    <row r="393" customFormat="false" ht="15.75" hidden="false" customHeight="false" outlineLevel="0" collapsed="false">
      <c r="A393" s="138" t="n">
        <f aca="false">ExportRaw!$F393</f>
        <v>0</v>
      </c>
      <c r="B393" s="138" t="n">
        <f aca="false">ExportRaw!$C393</f>
        <v>0</v>
      </c>
      <c r="C393" s="138" t="n">
        <f aca="false">ExportRaw!$G393</f>
        <v>0</v>
      </c>
      <c r="D393" s="138" t="str">
        <f aca="false">ExportRaw!$E393</f>
        <v/>
      </c>
      <c r="E393" s="139" t="str">
        <f aca="false">ExportRaw!$D393</f>
        <v/>
      </c>
      <c r="F393" s="138" t="str">
        <f aca="false">ExportRaw!$H393</f>
        <v/>
      </c>
      <c r="G393" s="140" t="str">
        <f aca="false">ExportRaw!$I393</f>
        <v/>
      </c>
      <c r="H393" s="138" t="str">
        <f aca="false">ExportRaw!$A393</f>
        <v/>
      </c>
      <c r="I393" s="138" t="str">
        <f aca="false">ExportRaw!$B393</f>
        <v/>
      </c>
    </row>
    <row r="394" customFormat="false" ht="15.75" hidden="false" customHeight="false" outlineLevel="0" collapsed="false">
      <c r="A394" s="138" t="n">
        <f aca="false">ExportRaw!$F394</f>
        <v>0</v>
      </c>
      <c r="B394" s="138" t="n">
        <f aca="false">ExportRaw!$C394</f>
        <v>0</v>
      </c>
      <c r="C394" s="138" t="n">
        <f aca="false">ExportRaw!$G394</f>
        <v>0</v>
      </c>
      <c r="D394" s="138" t="str">
        <f aca="false">ExportRaw!$E394</f>
        <v/>
      </c>
      <c r="E394" s="139" t="str">
        <f aca="false">ExportRaw!$D394</f>
        <v/>
      </c>
      <c r="F394" s="138" t="str">
        <f aca="false">ExportRaw!$H394</f>
        <v/>
      </c>
      <c r="G394" s="140" t="str">
        <f aca="false">ExportRaw!$I394</f>
        <v/>
      </c>
      <c r="H394" s="138" t="str">
        <f aca="false">ExportRaw!$A394</f>
        <v/>
      </c>
      <c r="I394" s="138" t="str">
        <f aca="false">ExportRaw!$B394</f>
        <v/>
      </c>
    </row>
    <row r="395" customFormat="false" ht="15.75" hidden="false" customHeight="false" outlineLevel="0" collapsed="false">
      <c r="A395" s="138" t="n">
        <f aca="false">ExportRaw!$F395</f>
        <v>0</v>
      </c>
      <c r="B395" s="138" t="n">
        <f aca="false">ExportRaw!$C395</f>
        <v>0</v>
      </c>
      <c r="C395" s="138" t="n">
        <f aca="false">ExportRaw!$G395</f>
        <v>0</v>
      </c>
      <c r="D395" s="138" t="str">
        <f aca="false">ExportRaw!$E395</f>
        <v/>
      </c>
      <c r="E395" s="139" t="str">
        <f aca="false">ExportRaw!$D395</f>
        <v/>
      </c>
      <c r="F395" s="138" t="str">
        <f aca="false">ExportRaw!$H395</f>
        <v/>
      </c>
      <c r="G395" s="140" t="str">
        <f aca="false">ExportRaw!$I395</f>
        <v/>
      </c>
      <c r="H395" s="138" t="str">
        <f aca="false">ExportRaw!$A395</f>
        <v/>
      </c>
      <c r="I395" s="138" t="str">
        <f aca="false">ExportRaw!$B395</f>
        <v/>
      </c>
    </row>
    <row r="396" customFormat="false" ht="15.75" hidden="false" customHeight="false" outlineLevel="0" collapsed="false">
      <c r="A396" s="138" t="n">
        <f aca="false">ExportRaw!$F396</f>
        <v>0</v>
      </c>
      <c r="B396" s="138" t="n">
        <f aca="false">ExportRaw!$C396</f>
        <v>0</v>
      </c>
      <c r="C396" s="138" t="n">
        <f aca="false">ExportRaw!$G396</f>
        <v>0</v>
      </c>
      <c r="D396" s="138" t="str">
        <f aca="false">ExportRaw!$E396</f>
        <v/>
      </c>
      <c r="E396" s="139" t="str">
        <f aca="false">ExportRaw!$D396</f>
        <v/>
      </c>
      <c r="F396" s="138" t="str">
        <f aca="false">ExportRaw!$H396</f>
        <v/>
      </c>
      <c r="G396" s="140" t="str">
        <f aca="false">ExportRaw!$I396</f>
        <v/>
      </c>
      <c r="H396" s="138" t="str">
        <f aca="false">ExportRaw!$A396</f>
        <v/>
      </c>
      <c r="I396" s="138" t="str">
        <f aca="false">ExportRaw!$B396</f>
        <v/>
      </c>
    </row>
    <row r="397" customFormat="false" ht="15.75" hidden="false" customHeight="false" outlineLevel="0" collapsed="false">
      <c r="A397" s="138" t="n">
        <f aca="false">ExportRaw!$F397</f>
        <v>0</v>
      </c>
      <c r="B397" s="138" t="n">
        <f aca="false">ExportRaw!$C397</f>
        <v>0</v>
      </c>
      <c r="C397" s="138" t="n">
        <f aca="false">ExportRaw!$G397</f>
        <v>0</v>
      </c>
      <c r="D397" s="138" t="str">
        <f aca="false">ExportRaw!$E397</f>
        <v/>
      </c>
      <c r="E397" s="139" t="str">
        <f aca="false">ExportRaw!$D397</f>
        <v/>
      </c>
      <c r="F397" s="138" t="str">
        <f aca="false">ExportRaw!$H397</f>
        <v/>
      </c>
      <c r="G397" s="140" t="str">
        <f aca="false">ExportRaw!$I397</f>
        <v/>
      </c>
      <c r="H397" s="138" t="str">
        <f aca="false">ExportRaw!$A397</f>
        <v/>
      </c>
      <c r="I397" s="138" t="str">
        <f aca="false">ExportRaw!$B397</f>
        <v/>
      </c>
    </row>
    <row r="398" customFormat="false" ht="15.75" hidden="false" customHeight="false" outlineLevel="0" collapsed="false">
      <c r="A398" s="138" t="n">
        <f aca="false">ExportRaw!$F398</f>
        <v>0</v>
      </c>
      <c r="B398" s="138" t="n">
        <f aca="false">ExportRaw!$C398</f>
        <v>0</v>
      </c>
      <c r="C398" s="138" t="n">
        <f aca="false">ExportRaw!$G398</f>
        <v>0</v>
      </c>
      <c r="D398" s="138" t="str">
        <f aca="false">ExportRaw!$E398</f>
        <v/>
      </c>
      <c r="E398" s="139" t="str">
        <f aca="false">ExportRaw!$D398</f>
        <v/>
      </c>
      <c r="F398" s="138" t="str">
        <f aca="false">ExportRaw!$H398</f>
        <v/>
      </c>
      <c r="G398" s="140" t="str">
        <f aca="false">ExportRaw!$I398</f>
        <v/>
      </c>
      <c r="H398" s="138" t="str">
        <f aca="false">ExportRaw!$A398</f>
        <v/>
      </c>
      <c r="I398" s="138" t="str">
        <f aca="false">ExportRaw!$B398</f>
        <v/>
      </c>
    </row>
    <row r="399" customFormat="false" ht="15.75" hidden="false" customHeight="false" outlineLevel="0" collapsed="false">
      <c r="A399" s="138" t="n">
        <f aca="false">ExportRaw!$F399</f>
        <v>0</v>
      </c>
      <c r="B399" s="138" t="n">
        <f aca="false">ExportRaw!$C399</f>
        <v>0</v>
      </c>
      <c r="C399" s="138" t="n">
        <f aca="false">ExportRaw!$G399</f>
        <v>0</v>
      </c>
      <c r="D399" s="138" t="str">
        <f aca="false">ExportRaw!$E399</f>
        <v/>
      </c>
      <c r="E399" s="139" t="str">
        <f aca="false">ExportRaw!$D399</f>
        <v/>
      </c>
      <c r="F399" s="138" t="str">
        <f aca="false">ExportRaw!$H399</f>
        <v/>
      </c>
      <c r="G399" s="140" t="str">
        <f aca="false">ExportRaw!$I399</f>
        <v/>
      </c>
      <c r="H399" s="138" t="str">
        <f aca="false">ExportRaw!$A399</f>
        <v/>
      </c>
      <c r="I399" s="138" t="str">
        <f aca="false">ExportRaw!$B399</f>
        <v/>
      </c>
    </row>
    <row r="400" customFormat="false" ht="15.75" hidden="false" customHeight="false" outlineLevel="0" collapsed="false">
      <c r="A400" s="138" t="n">
        <f aca="false">ExportRaw!$F400</f>
        <v>0</v>
      </c>
      <c r="B400" s="138" t="n">
        <f aca="false">ExportRaw!$C400</f>
        <v>0</v>
      </c>
      <c r="C400" s="138" t="n">
        <f aca="false">ExportRaw!$G400</f>
        <v>0</v>
      </c>
      <c r="D400" s="138" t="str">
        <f aca="false">ExportRaw!$E400</f>
        <v/>
      </c>
      <c r="E400" s="139" t="str">
        <f aca="false">ExportRaw!$D400</f>
        <v/>
      </c>
      <c r="F400" s="138" t="str">
        <f aca="false">ExportRaw!$H400</f>
        <v/>
      </c>
      <c r="G400" s="140" t="str">
        <f aca="false">ExportRaw!$I400</f>
        <v/>
      </c>
      <c r="H400" s="138" t="str">
        <f aca="false">ExportRaw!$A400</f>
        <v/>
      </c>
      <c r="I400" s="138" t="str">
        <f aca="false">ExportRaw!$B400</f>
        <v/>
      </c>
    </row>
    <row r="401" customFormat="false" ht="15.75" hidden="false" customHeight="false" outlineLevel="0" collapsed="false">
      <c r="A401" s="138" t="n">
        <f aca="false">ExportRaw!$F401</f>
        <v>0</v>
      </c>
      <c r="B401" s="138" t="n">
        <f aca="false">ExportRaw!$C401</f>
        <v>0</v>
      </c>
      <c r="C401" s="138" t="n">
        <f aca="false">ExportRaw!$G401</f>
        <v>0</v>
      </c>
      <c r="D401" s="138" t="str">
        <f aca="false">ExportRaw!$E401</f>
        <v/>
      </c>
      <c r="E401" s="139" t="str">
        <f aca="false">ExportRaw!$D401</f>
        <v/>
      </c>
      <c r="F401" s="138" t="str">
        <f aca="false">ExportRaw!$H401</f>
        <v/>
      </c>
      <c r="G401" s="140" t="str">
        <f aca="false">ExportRaw!$I401</f>
        <v/>
      </c>
      <c r="H401" s="138" t="str">
        <f aca="false">ExportRaw!$A401</f>
        <v/>
      </c>
      <c r="I401" s="138" t="str">
        <f aca="false">ExportRaw!$B401</f>
        <v/>
      </c>
    </row>
    <row r="402" customFormat="false" ht="15.75" hidden="false" customHeight="false" outlineLevel="0" collapsed="false">
      <c r="A402" s="138" t="n">
        <f aca="false">ExportRaw!$F402</f>
        <v>0</v>
      </c>
      <c r="B402" s="138" t="n">
        <f aca="false">ExportRaw!$C402</f>
        <v>0</v>
      </c>
      <c r="C402" s="138" t="n">
        <f aca="false">ExportRaw!$G402</f>
        <v>0</v>
      </c>
      <c r="D402" s="138" t="str">
        <f aca="false">ExportRaw!$E402</f>
        <v/>
      </c>
      <c r="E402" s="139" t="str">
        <f aca="false">ExportRaw!$D402</f>
        <v/>
      </c>
      <c r="F402" s="138" t="str">
        <f aca="false">ExportRaw!$H402</f>
        <v/>
      </c>
      <c r="G402" s="140" t="str">
        <f aca="false">ExportRaw!$I402</f>
        <v/>
      </c>
      <c r="H402" s="138" t="str">
        <f aca="false">ExportRaw!$A402</f>
        <v/>
      </c>
      <c r="I402" s="138" t="str">
        <f aca="false">ExportRaw!$B402</f>
        <v/>
      </c>
    </row>
    <row r="403" customFormat="false" ht="15.75" hidden="false" customHeight="false" outlineLevel="0" collapsed="false">
      <c r="A403" s="138" t="n">
        <f aca="false">ExportRaw!$F403</f>
        <v>0</v>
      </c>
      <c r="B403" s="138" t="n">
        <f aca="false">ExportRaw!$C403</f>
        <v>0</v>
      </c>
      <c r="C403" s="138" t="n">
        <f aca="false">ExportRaw!$G403</f>
        <v>0</v>
      </c>
      <c r="D403" s="138" t="str">
        <f aca="false">ExportRaw!$E403</f>
        <v/>
      </c>
      <c r="E403" s="139" t="str">
        <f aca="false">ExportRaw!$D403</f>
        <v/>
      </c>
      <c r="F403" s="138" t="str">
        <f aca="false">ExportRaw!$H403</f>
        <v/>
      </c>
      <c r="G403" s="140" t="str">
        <f aca="false">ExportRaw!$I403</f>
        <v/>
      </c>
      <c r="H403" s="138" t="str">
        <f aca="false">ExportRaw!$A403</f>
        <v/>
      </c>
      <c r="I403" s="138" t="str">
        <f aca="false">ExportRaw!$B403</f>
        <v/>
      </c>
    </row>
    <row r="404" customFormat="false" ht="15.75" hidden="false" customHeight="false" outlineLevel="0" collapsed="false">
      <c r="A404" s="138" t="n">
        <f aca="false">ExportRaw!$F404</f>
        <v>0</v>
      </c>
      <c r="B404" s="138" t="n">
        <f aca="false">ExportRaw!$C404</f>
        <v>0</v>
      </c>
      <c r="C404" s="138" t="n">
        <f aca="false">ExportRaw!$G404</f>
        <v>0</v>
      </c>
      <c r="D404" s="138" t="str">
        <f aca="false">ExportRaw!$E404</f>
        <v/>
      </c>
      <c r="E404" s="139" t="str">
        <f aca="false">ExportRaw!$D404</f>
        <v/>
      </c>
      <c r="F404" s="138" t="str">
        <f aca="false">ExportRaw!$H404</f>
        <v/>
      </c>
      <c r="G404" s="140" t="str">
        <f aca="false">ExportRaw!$I404</f>
        <v/>
      </c>
      <c r="H404" s="138" t="str">
        <f aca="false">ExportRaw!$A404</f>
        <v/>
      </c>
      <c r="I404" s="138" t="str">
        <f aca="false">ExportRaw!$B404</f>
        <v/>
      </c>
    </row>
    <row r="405" customFormat="false" ht="15.75" hidden="false" customHeight="false" outlineLevel="0" collapsed="false">
      <c r="A405" s="138" t="n">
        <f aca="false">ExportRaw!$F405</f>
        <v>0</v>
      </c>
      <c r="B405" s="138" t="n">
        <f aca="false">ExportRaw!$C405</f>
        <v>0</v>
      </c>
      <c r="C405" s="138" t="n">
        <f aca="false">ExportRaw!$G405</f>
        <v>0</v>
      </c>
      <c r="D405" s="138" t="str">
        <f aca="false">ExportRaw!$E405</f>
        <v/>
      </c>
      <c r="E405" s="139" t="str">
        <f aca="false">ExportRaw!$D405</f>
        <v/>
      </c>
      <c r="F405" s="138" t="str">
        <f aca="false">ExportRaw!$H405</f>
        <v/>
      </c>
      <c r="G405" s="140" t="str">
        <f aca="false">ExportRaw!$I405</f>
        <v/>
      </c>
      <c r="H405" s="138" t="str">
        <f aca="false">ExportRaw!$A405</f>
        <v/>
      </c>
      <c r="I405" s="138" t="str">
        <f aca="false">ExportRaw!$B405</f>
        <v/>
      </c>
    </row>
    <row r="406" customFormat="false" ht="15.75" hidden="false" customHeight="false" outlineLevel="0" collapsed="false">
      <c r="A406" s="138" t="n">
        <f aca="false">ExportRaw!$F406</f>
        <v>0</v>
      </c>
      <c r="B406" s="138" t="n">
        <f aca="false">ExportRaw!$C406</f>
        <v>0</v>
      </c>
      <c r="C406" s="138" t="n">
        <f aca="false">ExportRaw!$G406</f>
        <v>0</v>
      </c>
      <c r="D406" s="138" t="str">
        <f aca="false">ExportRaw!$E406</f>
        <v/>
      </c>
      <c r="E406" s="139" t="str">
        <f aca="false">ExportRaw!$D406</f>
        <v/>
      </c>
      <c r="F406" s="138" t="str">
        <f aca="false">ExportRaw!$H406</f>
        <v/>
      </c>
      <c r="G406" s="140" t="str">
        <f aca="false">ExportRaw!$I406</f>
        <v/>
      </c>
      <c r="H406" s="138" t="str">
        <f aca="false">ExportRaw!$A406</f>
        <v/>
      </c>
      <c r="I406" s="138" t="str">
        <f aca="false">ExportRaw!$B406</f>
        <v/>
      </c>
    </row>
    <row r="407" customFormat="false" ht="15.75" hidden="false" customHeight="false" outlineLevel="0" collapsed="false">
      <c r="A407" s="138" t="n">
        <f aca="false">ExportRaw!$F407</f>
        <v>0</v>
      </c>
      <c r="B407" s="138" t="n">
        <f aca="false">ExportRaw!$C407</f>
        <v>0</v>
      </c>
      <c r="C407" s="138" t="n">
        <f aca="false">ExportRaw!$G407</f>
        <v>0</v>
      </c>
      <c r="D407" s="138" t="str">
        <f aca="false">ExportRaw!$E407</f>
        <v/>
      </c>
      <c r="E407" s="139" t="str">
        <f aca="false">ExportRaw!$D407</f>
        <v/>
      </c>
      <c r="F407" s="138" t="str">
        <f aca="false">ExportRaw!$H407</f>
        <v/>
      </c>
      <c r="G407" s="140" t="str">
        <f aca="false">ExportRaw!$I407</f>
        <v/>
      </c>
      <c r="H407" s="138" t="str">
        <f aca="false">ExportRaw!$A407</f>
        <v/>
      </c>
      <c r="I407" s="138" t="str">
        <f aca="false">ExportRaw!$B407</f>
        <v/>
      </c>
    </row>
    <row r="408" customFormat="false" ht="15.75" hidden="false" customHeight="false" outlineLevel="0" collapsed="false">
      <c r="A408" s="138" t="n">
        <f aca="false">ExportRaw!$F408</f>
        <v>0</v>
      </c>
      <c r="B408" s="138" t="n">
        <f aca="false">ExportRaw!$C408</f>
        <v>0</v>
      </c>
      <c r="C408" s="138" t="n">
        <f aca="false">ExportRaw!$G408</f>
        <v>0</v>
      </c>
      <c r="D408" s="138" t="str">
        <f aca="false">ExportRaw!$E408</f>
        <v/>
      </c>
      <c r="E408" s="139" t="str">
        <f aca="false">ExportRaw!$D408</f>
        <v/>
      </c>
      <c r="F408" s="138" t="str">
        <f aca="false">ExportRaw!$H408</f>
        <v/>
      </c>
      <c r="G408" s="140" t="str">
        <f aca="false">ExportRaw!$I408</f>
        <v/>
      </c>
      <c r="H408" s="138" t="str">
        <f aca="false">ExportRaw!$A408</f>
        <v/>
      </c>
      <c r="I408" s="138" t="str">
        <f aca="false">ExportRaw!$B408</f>
        <v/>
      </c>
    </row>
    <row r="409" customFormat="false" ht="15.75" hidden="false" customHeight="false" outlineLevel="0" collapsed="false">
      <c r="A409" s="138" t="n">
        <f aca="false">ExportRaw!$F409</f>
        <v>0</v>
      </c>
      <c r="B409" s="138" t="n">
        <f aca="false">ExportRaw!$C409</f>
        <v>0</v>
      </c>
      <c r="C409" s="138" t="n">
        <f aca="false">ExportRaw!$G409</f>
        <v>0</v>
      </c>
      <c r="D409" s="138" t="str">
        <f aca="false">ExportRaw!$E409</f>
        <v/>
      </c>
      <c r="E409" s="139" t="str">
        <f aca="false">ExportRaw!$D409</f>
        <v/>
      </c>
      <c r="F409" s="138" t="str">
        <f aca="false">ExportRaw!$H409</f>
        <v/>
      </c>
      <c r="G409" s="140" t="str">
        <f aca="false">ExportRaw!$I409</f>
        <v/>
      </c>
      <c r="H409" s="138" t="str">
        <f aca="false">ExportRaw!$A409</f>
        <v/>
      </c>
      <c r="I409" s="138" t="str">
        <f aca="false">ExportRaw!$B409</f>
        <v/>
      </c>
    </row>
    <row r="410" customFormat="false" ht="15.75" hidden="false" customHeight="false" outlineLevel="0" collapsed="false">
      <c r="A410" s="138" t="n">
        <f aca="false">ExportRaw!$F410</f>
        <v>0</v>
      </c>
      <c r="B410" s="138" t="n">
        <f aca="false">ExportRaw!$C410</f>
        <v>0</v>
      </c>
      <c r="C410" s="138" t="n">
        <f aca="false">ExportRaw!$G410</f>
        <v>0</v>
      </c>
      <c r="D410" s="138" t="str">
        <f aca="false">ExportRaw!$E410</f>
        <v/>
      </c>
      <c r="E410" s="139" t="str">
        <f aca="false">ExportRaw!$D410</f>
        <v/>
      </c>
      <c r="F410" s="138" t="str">
        <f aca="false">ExportRaw!$H410</f>
        <v/>
      </c>
      <c r="G410" s="140" t="str">
        <f aca="false">ExportRaw!$I410</f>
        <v/>
      </c>
      <c r="H410" s="138" t="str">
        <f aca="false">ExportRaw!$A410</f>
        <v/>
      </c>
      <c r="I410" s="138" t="str">
        <f aca="false">ExportRaw!$B410</f>
        <v/>
      </c>
    </row>
    <row r="411" customFormat="false" ht="15.75" hidden="false" customHeight="false" outlineLevel="0" collapsed="false">
      <c r="A411" s="138" t="n">
        <f aca="false">ExportRaw!$F411</f>
        <v>0</v>
      </c>
      <c r="B411" s="138" t="n">
        <f aca="false">ExportRaw!$C411</f>
        <v>0</v>
      </c>
      <c r="C411" s="138" t="n">
        <f aca="false">ExportRaw!$G411</f>
        <v>0</v>
      </c>
      <c r="D411" s="138" t="str">
        <f aca="false">ExportRaw!$E411</f>
        <v/>
      </c>
      <c r="E411" s="139" t="str">
        <f aca="false">ExportRaw!$D411</f>
        <v/>
      </c>
      <c r="F411" s="138" t="str">
        <f aca="false">ExportRaw!$H411</f>
        <v/>
      </c>
      <c r="G411" s="140" t="str">
        <f aca="false">ExportRaw!$I411</f>
        <v/>
      </c>
      <c r="H411" s="138" t="str">
        <f aca="false">ExportRaw!$A411</f>
        <v/>
      </c>
      <c r="I411" s="138" t="str">
        <f aca="false">ExportRaw!$B411</f>
        <v/>
      </c>
    </row>
    <row r="412" customFormat="false" ht="15.75" hidden="false" customHeight="false" outlineLevel="0" collapsed="false">
      <c r="A412" s="138" t="n">
        <f aca="false">ExportRaw!$F412</f>
        <v>0</v>
      </c>
      <c r="B412" s="138" t="n">
        <f aca="false">ExportRaw!$C412</f>
        <v>0</v>
      </c>
      <c r="C412" s="138" t="n">
        <f aca="false">ExportRaw!$G412</f>
        <v>0</v>
      </c>
      <c r="D412" s="138" t="str">
        <f aca="false">ExportRaw!$E412</f>
        <v/>
      </c>
      <c r="E412" s="139" t="str">
        <f aca="false">ExportRaw!$D412</f>
        <v/>
      </c>
      <c r="F412" s="138" t="str">
        <f aca="false">ExportRaw!$H412</f>
        <v/>
      </c>
      <c r="G412" s="140" t="str">
        <f aca="false">ExportRaw!$I412</f>
        <v/>
      </c>
      <c r="H412" s="138" t="str">
        <f aca="false">ExportRaw!$A412</f>
        <v/>
      </c>
      <c r="I412" s="138" t="str">
        <f aca="false">ExportRaw!$B412</f>
        <v/>
      </c>
    </row>
    <row r="413" customFormat="false" ht="15.75" hidden="false" customHeight="false" outlineLevel="0" collapsed="false">
      <c r="A413" s="138" t="n">
        <f aca="false">ExportRaw!$F413</f>
        <v>0</v>
      </c>
      <c r="B413" s="138" t="n">
        <f aca="false">ExportRaw!$C413</f>
        <v>0</v>
      </c>
      <c r="C413" s="138" t="n">
        <f aca="false">ExportRaw!$G413</f>
        <v>0</v>
      </c>
      <c r="D413" s="138" t="str">
        <f aca="false">ExportRaw!$E413</f>
        <v/>
      </c>
      <c r="E413" s="139" t="str">
        <f aca="false">ExportRaw!$D413</f>
        <v/>
      </c>
      <c r="F413" s="138" t="str">
        <f aca="false">ExportRaw!$H413</f>
        <v/>
      </c>
      <c r="G413" s="140" t="str">
        <f aca="false">ExportRaw!$I413</f>
        <v/>
      </c>
      <c r="H413" s="138" t="str">
        <f aca="false">ExportRaw!$A413</f>
        <v/>
      </c>
      <c r="I413" s="138" t="str">
        <f aca="false">ExportRaw!$B413</f>
        <v/>
      </c>
    </row>
    <row r="414" customFormat="false" ht="15.75" hidden="false" customHeight="false" outlineLevel="0" collapsed="false">
      <c r="A414" s="138" t="n">
        <f aca="false">ExportRaw!$F414</f>
        <v>0</v>
      </c>
      <c r="B414" s="138" t="n">
        <f aca="false">ExportRaw!$C414</f>
        <v>0</v>
      </c>
      <c r="C414" s="138" t="n">
        <f aca="false">ExportRaw!$G414</f>
        <v>0</v>
      </c>
      <c r="D414" s="138" t="str">
        <f aca="false">ExportRaw!$E414</f>
        <v/>
      </c>
      <c r="E414" s="139" t="str">
        <f aca="false">ExportRaw!$D414</f>
        <v/>
      </c>
      <c r="F414" s="138" t="str">
        <f aca="false">ExportRaw!$H414</f>
        <v/>
      </c>
      <c r="G414" s="140" t="str">
        <f aca="false">ExportRaw!$I414</f>
        <v/>
      </c>
      <c r="H414" s="138" t="str">
        <f aca="false">ExportRaw!$A414</f>
        <v/>
      </c>
      <c r="I414" s="138" t="str">
        <f aca="false">ExportRaw!$B414</f>
        <v/>
      </c>
    </row>
    <row r="415" customFormat="false" ht="15.75" hidden="false" customHeight="false" outlineLevel="0" collapsed="false">
      <c r="A415" s="138" t="n">
        <f aca="false">ExportRaw!$F415</f>
        <v>0</v>
      </c>
      <c r="B415" s="138" t="n">
        <f aca="false">ExportRaw!$C415</f>
        <v>0</v>
      </c>
      <c r="C415" s="138" t="n">
        <f aca="false">ExportRaw!$G415</f>
        <v>0</v>
      </c>
      <c r="D415" s="138" t="str">
        <f aca="false">ExportRaw!$E415</f>
        <v/>
      </c>
      <c r="E415" s="139" t="str">
        <f aca="false">ExportRaw!$D415</f>
        <v/>
      </c>
      <c r="F415" s="138" t="str">
        <f aca="false">ExportRaw!$H415</f>
        <v/>
      </c>
      <c r="G415" s="140" t="str">
        <f aca="false">ExportRaw!$I415</f>
        <v/>
      </c>
      <c r="H415" s="138" t="str">
        <f aca="false">ExportRaw!$A415</f>
        <v/>
      </c>
      <c r="I415" s="138" t="str">
        <f aca="false">ExportRaw!$B415</f>
        <v/>
      </c>
    </row>
    <row r="416" customFormat="false" ht="15.75" hidden="false" customHeight="false" outlineLevel="0" collapsed="false">
      <c r="A416" s="138" t="n">
        <f aca="false">ExportRaw!$F416</f>
        <v>0</v>
      </c>
      <c r="B416" s="138" t="n">
        <f aca="false">ExportRaw!$C416</f>
        <v>0</v>
      </c>
      <c r="C416" s="138" t="n">
        <f aca="false">ExportRaw!$G416</f>
        <v>0</v>
      </c>
      <c r="D416" s="138" t="str">
        <f aca="false">ExportRaw!$E416</f>
        <v/>
      </c>
      <c r="E416" s="139" t="str">
        <f aca="false">ExportRaw!$D416</f>
        <v/>
      </c>
      <c r="F416" s="138" t="str">
        <f aca="false">ExportRaw!$H416</f>
        <v/>
      </c>
      <c r="G416" s="140" t="str">
        <f aca="false">ExportRaw!$I416</f>
        <v/>
      </c>
      <c r="H416" s="138" t="str">
        <f aca="false">ExportRaw!$A416</f>
        <v/>
      </c>
      <c r="I416" s="138" t="str">
        <f aca="false">ExportRaw!$B416</f>
        <v/>
      </c>
    </row>
    <row r="417" customFormat="false" ht="15.75" hidden="false" customHeight="false" outlineLevel="0" collapsed="false">
      <c r="A417" s="138" t="n">
        <f aca="false">ExportRaw!$F417</f>
        <v>0</v>
      </c>
      <c r="B417" s="138" t="n">
        <f aca="false">ExportRaw!$C417</f>
        <v>0</v>
      </c>
      <c r="C417" s="138" t="n">
        <f aca="false">ExportRaw!$G417</f>
        <v>0</v>
      </c>
      <c r="D417" s="138" t="str">
        <f aca="false">ExportRaw!$E417</f>
        <v/>
      </c>
      <c r="E417" s="139" t="str">
        <f aca="false">ExportRaw!$D417</f>
        <v/>
      </c>
      <c r="F417" s="138" t="str">
        <f aca="false">ExportRaw!$H417</f>
        <v/>
      </c>
      <c r="G417" s="140" t="str">
        <f aca="false">ExportRaw!$I417</f>
        <v/>
      </c>
      <c r="H417" s="138" t="str">
        <f aca="false">ExportRaw!$A417</f>
        <v/>
      </c>
      <c r="I417" s="138" t="str">
        <f aca="false">ExportRaw!$B417</f>
        <v/>
      </c>
    </row>
    <row r="418" customFormat="false" ht="15.75" hidden="false" customHeight="false" outlineLevel="0" collapsed="false">
      <c r="A418" s="138" t="n">
        <f aca="false">ExportRaw!$F418</f>
        <v>0</v>
      </c>
      <c r="B418" s="138" t="n">
        <f aca="false">ExportRaw!$C418</f>
        <v>0</v>
      </c>
      <c r="C418" s="138" t="n">
        <f aca="false">ExportRaw!$G418</f>
        <v>0</v>
      </c>
      <c r="D418" s="138" t="str">
        <f aca="false">ExportRaw!$E418</f>
        <v/>
      </c>
      <c r="E418" s="139" t="str">
        <f aca="false">ExportRaw!$D418</f>
        <v/>
      </c>
      <c r="F418" s="138" t="str">
        <f aca="false">ExportRaw!$H418</f>
        <v/>
      </c>
      <c r="G418" s="140" t="str">
        <f aca="false">ExportRaw!$I418</f>
        <v/>
      </c>
      <c r="H418" s="138" t="str">
        <f aca="false">ExportRaw!$A418</f>
        <v/>
      </c>
      <c r="I418" s="138" t="str">
        <f aca="false">ExportRaw!$B418</f>
        <v/>
      </c>
    </row>
    <row r="419" customFormat="false" ht="15.75" hidden="false" customHeight="false" outlineLevel="0" collapsed="false">
      <c r="A419" s="138" t="n">
        <f aca="false">ExportRaw!$F419</f>
        <v>0</v>
      </c>
      <c r="B419" s="138" t="n">
        <f aca="false">ExportRaw!$C419</f>
        <v>0</v>
      </c>
      <c r="C419" s="138" t="n">
        <f aca="false">ExportRaw!$G419</f>
        <v>0</v>
      </c>
      <c r="D419" s="138" t="str">
        <f aca="false">ExportRaw!$E419</f>
        <v/>
      </c>
      <c r="E419" s="139" t="str">
        <f aca="false">ExportRaw!$D419</f>
        <v/>
      </c>
      <c r="F419" s="138" t="str">
        <f aca="false">ExportRaw!$H419</f>
        <v/>
      </c>
      <c r="G419" s="140" t="str">
        <f aca="false">ExportRaw!$I419</f>
        <v/>
      </c>
      <c r="H419" s="138" t="str">
        <f aca="false">ExportRaw!$A419</f>
        <v/>
      </c>
      <c r="I419" s="138" t="str">
        <f aca="false">ExportRaw!$B419</f>
        <v/>
      </c>
    </row>
    <row r="420" customFormat="false" ht="15.75" hidden="false" customHeight="false" outlineLevel="0" collapsed="false">
      <c r="A420" s="138" t="n">
        <f aca="false">ExportRaw!$F420</f>
        <v>0</v>
      </c>
      <c r="B420" s="138" t="n">
        <f aca="false">ExportRaw!$C420</f>
        <v>0</v>
      </c>
      <c r="C420" s="138" t="n">
        <f aca="false">ExportRaw!$G420</f>
        <v>0</v>
      </c>
      <c r="D420" s="138" t="str">
        <f aca="false">ExportRaw!$E420</f>
        <v/>
      </c>
      <c r="E420" s="139" t="str">
        <f aca="false">ExportRaw!$D420</f>
        <v/>
      </c>
      <c r="F420" s="138" t="str">
        <f aca="false">ExportRaw!$H420</f>
        <v/>
      </c>
      <c r="G420" s="140" t="str">
        <f aca="false">ExportRaw!$I420</f>
        <v/>
      </c>
      <c r="H420" s="138" t="str">
        <f aca="false">ExportRaw!$A420</f>
        <v/>
      </c>
      <c r="I420" s="138" t="str">
        <f aca="false">ExportRaw!$B420</f>
        <v/>
      </c>
    </row>
    <row r="421" customFormat="false" ht="15.75" hidden="false" customHeight="false" outlineLevel="0" collapsed="false">
      <c r="A421" s="138" t="n">
        <f aca="false">ExportRaw!$F421</f>
        <v>0</v>
      </c>
      <c r="B421" s="138" t="n">
        <f aca="false">ExportRaw!$C421</f>
        <v>0</v>
      </c>
      <c r="C421" s="138" t="n">
        <f aca="false">ExportRaw!$G421</f>
        <v>0</v>
      </c>
      <c r="D421" s="138" t="str">
        <f aca="false">ExportRaw!$E421</f>
        <v/>
      </c>
      <c r="E421" s="139" t="str">
        <f aca="false">ExportRaw!$D421</f>
        <v/>
      </c>
      <c r="F421" s="138" t="str">
        <f aca="false">ExportRaw!$H421</f>
        <v/>
      </c>
      <c r="G421" s="140" t="str">
        <f aca="false">ExportRaw!$I421</f>
        <v/>
      </c>
      <c r="H421" s="138" t="str">
        <f aca="false">ExportRaw!$A421</f>
        <v/>
      </c>
      <c r="I421" s="138" t="str">
        <f aca="false">ExportRaw!$B421</f>
        <v/>
      </c>
    </row>
    <row r="422" customFormat="false" ht="15.75" hidden="false" customHeight="false" outlineLevel="0" collapsed="false">
      <c r="A422" s="138" t="n">
        <f aca="false">ExportRaw!$F422</f>
        <v>0</v>
      </c>
      <c r="B422" s="138" t="n">
        <f aca="false">ExportRaw!$C422</f>
        <v>0</v>
      </c>
      <c r="C422" s="138" t="n">
        <f aca="false">ExportRaw!$G422</f>
        <v>0</v>
      </c>
      <c r="D422" s="138" t="str">
        <f aca="false">ExportRaw!$E422</f>
        <v/>
      </c>
      <c r="E422" s="139" t="str">
        <f aca="false">ExportRaw!$D422</f>
        <v/>
      </c>
      <c r="F422" s="138" t="str">
        <f aca="false">ExportRaw!$H422</f>
        <v/>
      </c>
      <c r="G422" s="140" t="str">
        <f aca="false">ExportRaw!$I422</f>
        <v/>
      </c>
      <c r="H422" s="138" t="str">
        <f aca="false">ExportRaw!$A422</f>
        <v/>
      </c>
      <c r="I422" s="138" t="str">
        <f aca="false">ExportRaw!$B422</f>
        <v/>
      </c>
    </row>
    <row r="423" customFormat="false" ht="15.75" hidden="false" customHeight="false" outlineLevel="0" collapsed="false">
      <c r="A423" s="138" t="n">
        <f aca="false">ExportRaw!$F423</f>
        <v>0</v>
      </c>
      <c r="B423" s="138" t="n">
        <f aca="false">ExportRaw!$C423</f>
        <v>0</v>
      </c>
      <c r="C423" s="138" t="n">
        <f aca="false">ExportRaw!$G423</f>
        <v>0</v>
      </c>
      <c r="D423" s="138" t="str">
        <f aca="false">ExportRaw!$E423</f>
        <v/>
      </c>
      <c r="E423" s="139" t="str">
        <f aca="false">ExportRaw!$D423</f>
        <v/>
      </c>
      <c r="F423" s="138" t="str">
        <f aca="false">ExportRaw!$H423</f>
        <v/>
      </c>
      <c r="G423" s="140" t="str">
        <f aca="false">ExportRaw!$I423</f>
        <v/>
      </c>
      <c r="H423" s="138" t="str">
        <f aca="false">ExportRaw!$A423</f>
        <v/>
      </c>
      <c r="I423" s="138" t="str">
        <f aca="false">ExportRaw!$B423</f>
        <v/>
      </c>
    </row>
    <row r="424" customFormat="false" ht="15.75" hidden="false" customHeight="false" outlineLevel="0" collapsed="false">
      <c r="A424" s="138" t="n">
        <f aca="false">ExportRaw!$F424</f>
        <v>0</v>
      </c>
      <c r="B424" s="138" t="n">
        <f aca="false">ExportRaw!$C424</f>
        <v>0</v>
      </c>
      <c r="C424" s="138" t="n">
        <f aca="false">ExportRaw!$G424</f>
        <v>0</v>
      </c>
      <c r="D424" s="138" t="str">
        <f aca="false">ExportRaw!$E424</f>
        <v/>
      </c>
      <c r="E424" s="139" t="str">
        <f aca="false">ExportRaw!$D424</f>
        <v/>
      </c>
      <c r="F424" s="138" t="str">
        <f aca="false">ExportRaw!$H424</f>
        <v/>
      </c>
      <c r="G424" s="140" t="str">
        <f aca="false">ExportRaw!$I424</f>
        <v/>
      </c>
      <c r="H424" s="138" t="str">
        <f aca="false">ExportRaw!$A424</f>
        <v/>
      </c>
      <c r="I424" s="138" t="str">
        <f aca="false">ExportRaw!$B424</f>
        <v/>
      </c>
    </row>
    <row r="425" customFormat="false" ht="15.75" hidden="false" customHeight="false" outlineLevel="0" collapsed="false">
      <c r="A425" s="138" t="n">
        <f aca="false">ExportRaw!$F425</f>
        <v>0</v>
      </c>
      <c r="B425" s="138" t="n">
        <f aca="false">ExportRaw!$C425</f>
        <v>0</v>
      </c>
      <c r="C425" s="138" t="n">
        <f aca="false">ExportRaw!$G425</f>
        <v>0</v>
      </c>
      <c r="D425" s="138" t="str">
        <f aca="false">ExportRaw!$E425</f>
        <v/>
      </c>
      <c r="E425" s="139" t="str">
        <f aca="false">ExportRaw!$D425</f>
        <v/>
      </c>
      <c r="F425" s="138" t="str">
        <f aca="false">ExportRaw!$H425</f>
        <v/>
      </c>
      <c r="G425" s="140" t="str">
        <f aca="false">ExportRaw!$I425</f>
        <v/>
      </c>
      <c r="H425" s="138" t="str">
        <f aca="false">ExportRaw!$A425</f>
        <v/>
      </c>
      <c r="I425" s="138" t="str">
        <f aca="false">ExportRaw!$B425</f>
        <v/>
      </c>
    </row>
    <row r="426" customFormat="false" ht="15.75" hidden="false" customHeight="false" outlineLevel="0" collapsed="false">
      <c r="A426" s="138" t="n">
        <f aca="false">ExportRaw!$F426</f>
        <v>0</v>
      </c>
      <c r="B426" s="138" t="n">
        <f aca="false">ExportRaw!$C426</f>
        <v>0</v>
      </c>
      <c r="C426" s="138" t="n">
        <f aca="false">ExportRaw!$G426</f>
        <v>0</v>
      </c>
      <c r="D426" s="138" t="str">
        <f aca="false">ExportRaw!$E426</f>
        <v/>
      </c>
      <c r="E426" s="139" t="str">
        <f aca="false">ExportRaw!$D426</f>
        <v/>
      </c>
      <c r="F426" s="138" t="str">
        <f aca="false">ExportRaw!$H426</f>
        <v/>
      </c>
      <c r="G426" s="140" t="str">
        <f aca="false">ExportRaw!$I426</f>
        <v/>
      </c>
      <c r="H426" s="138" t="str">
        <f aca="false">ExportRaw!$A426</f>
        <v/>
      </c>
      <c r="I426" s="138" t="str">
        <f aca="false">ExportRaw!$B426</f>
        <v/>
      </c>
    </row>
    <row r="427" customFormat="false" ht="15.75" hidden="false" customHeight="false" outlineLevel="0" collapsed="false">
      <c r="A427" s="138" t="n">
        <f aca="false">ExportRaw!$F427</f>
        <v>0</v>
      </c>
      <c r="B427" s="138" t="n">
        <f aca="false">ExportRaw!$C427</f>
        <v>0</v>
      </c>
      <c r="C427" s="138" t="n">
        <f aca="false">ExportRaw!$G427</f>
        <v>0</v>
      </c>
      <c r="D427" s="138" t="str">
        <f aca="false">ExportRaw!$E427</f>
        <v/>
      </c>
      <c r="E427" s="139" t="str">
        <f aca="false">ExportRaw!$D427</f>
        <v/>
      </c>
      <c r="F427" s="138" t="str">
        <f aca="false">ExportRaw!$H427</f>
        <v/>
      </c>
      <c r="G427" s="140" t="str">
        <f aca="false">ExportRaw!$I427</f>
        <v/>
      </c>
      <c r="H427" s="138" t="str">
        <f aca="false">ExportRaw!$A427</f>
        <v/>
      </c>
      <c r="I427" s="138" t="str">
        <f aca="false">ExportRaw!$B427</f>
        <v/>
      </c>
    </row>
    <row r="428" customFormat="false" ht="15.75" hidden="false" customHeight="false" outlineLevel="0" collapsed="false">
      <c r="A428" s="138" t="n">
        <f aca="false">ExportRaw!$F428</f>
        <v>0</v>
      </c>
      <c r="B428" s="138" t="n">
        <f aca="false">ExportRaw!$C428</f>
        <v>0</v>
      </c>
      <c r="C428" s="138" t="n">
        <f aca="false">ExportRaw!$G428</f>
        <v>0</v>
      </c>
      <c r="D428" s="138" t="str">
        <f aca="false">ExportRaw!$E428</f>
        <v/>
      </c>
      <c r="E428" s="139" t="str">
        <f aca="false">ExportRaw!$D428</f>
        <v/>
      </c>
      <c r="F428" s="138" t="str">
        <f aca="false">ExportRaw!$H428</f>
        <v/>
      </c>
      <c r="G428" s="140" t="str">
        <f aca="false">ExportRaw!$I428</f>
        <v/>
      </c>
      <c r="H428" s="138" t="str">
        <f aca="false">ExportRaw!$A428</f>
        <v/>
      </c>
      <c r="I428" s="138" t="str">
        <f aca="false">ExportRaw!$B428</f>
        <v/>
      </c>
    </row>
    <row r="429" customFormat="false" ht="15.75" hidden="false" customHeight="false" outlineLevel="0" collapsed="false">
      <c r="A429" s="138" t="n">
        <f aca="false">ExportRaw!$F429</f>
        <v>0</v>
      </c>
      <c r="B429" s="138" t="n">
        <f aca="false">ExportRaw!$C429</f>
        <v>0</v>
      </c>
      <c r="C429" s="138" t="n">
        <f aca="false">ExportRaw!$G429</f>
        <v>0</v>
      </c>
      <c r="D429" s="138" t="str">
        <f aca="false">ExportRaw!$E429</f>
        <v/>
      </c>
      <c r="E429" s="139" t="str">
        <f aca="false">ExportRaw!$D429</f>
        <v/>
      </c>
      <c r="F429" s="138" t="str">
        <f aca="false">ExportRaw!$H429</f>
        <v/>
      </c>
      <c r="G429" s="140" t="str">
        <f aca="false">ExportRaw!$I429</f>
        <v/>
      </c>
      <c r="H429" s="138" t="str">
        <f aca="false">ExportRaw!$A429</f>
        <v/>
      </c>
      <c r="I429" s="138" t="str">
        <f aca="false">ExportRaw!$B429</f>
        <v/>
      </c>
    </row>
    <row r="430" customFormat="false" ht="15.75" hidden="false" customHeight="false" outlineLevel="0" collapsed="false">
      <c r="A430" s="138" t="n">
        <f aca="false">ExportRaw!$F430</f>
        <v>0</v>
      </c>
      <c r="B430" s="138" t="n">
        <f aca="false">ExportRaw!$C430</f>
        <v>0</v>
      </c>
      <c r="C430" s="138" t="n">
        <f aca="false">ExportRaw!$G430</f>
        <v>0</v>
      </c>
      <c r="D430" s="138" t="str">
        <f aca="false">ExportRaw!$E430</f>
        <v/>
      </c>
      <c r="E430" s="139" t="str">
        <f aca="false">ExportRaw!$D430</f>
        <v/>
      </c>
      <c r="F430" s="138" t="str">
        <f aca="false">ExportRaw!$H430</f>
        <v/>
      </c>
      <c r="G430" s="140" t="str">
        <f aca="false">ExportRaw!$I430</f>
        <v/>
      </c>
      <c r="H430" s="138" t="str">
        <f aca="false">ExportRaw!$A430</f>
        <v/>
      </c>
      <c r="I430" s="138" t="str">
        <f aca="false">ExportRaw!$B430</f>
        <v/>
      </c>
    </row>
    <row r="431" customFormat="false" ht="15.75" hidden="false" customHeight="false" outlineLevel="0" collapsed="false">
      <c r="A431" s="138" t="n">
        <f aca="false">ExportRaw!$F431</f>
        <v>0</v>
      </c>
      <c r="B431" s="138" t="n">
        <f aca="false">ExportRaw!$C431</f>
        <v>0</v>
      </c>
      <c r="C431" s="138" t="n">
        <f aca="false">ExportRaw!$G431</f>
        <v>0</v>
      </c>
      <c r="D431" s="138" t="str">
        <f aca="false">ExportRaw!$E431</f>
        <v/>
      </c>
      <c r="E431" s="139" t="str">
        <f aca="false">ExportRaw!$D431</f>
        <v/>
      </c>
      <c r="F431" s="138" t="str">
        <f aca="false">ExportRaw!$H431</f>
        <v/>
      </c>
      <c r="G431" s="140" t="str">
        <f aca="false">ExportRaw!$I431</f>
        <v/>
      </c>
      <c r="H431" s="138" t="str">
        <f aca="false">ExportRaw!$A431</f>
        <v/>
      </c>
      <c r="I431" s="138" t="str">
        <f aca="false">ExportRaw!$B431</f>
        <v/>
      </c>
    </row>
    <row r="432" customFormat="false" ht="15.75" hidden="false" customHeight="false" outlineLevel="0" collapsed="false">
      <c r="A432" s="138" t="n">
        <f aca="false">ExportRaw!$F432</f>
        <v>0</v>
      </c>
      <c r="B432" s="138" t="n">
        <f aca="false">ExportRaw!$C432</f>
        <v>0</v>
      </c>
      <c r="C432" s="138" t="n">
        <f aca="false">ExportRaw!$G432</f>
        <v>0</v>
      </c>
      <c r="D432" s="138" t="str">
        <f aca="false">ExportRaw!$E432</f>
        <v/>
      </c>
      <c r="E432" s="139" t="str">
        <f aca="false">ExportRaw!$D432</f>
        <v/>
      </c>
      <c r="F432" s="138" t="str">
        <f aca="false">ExportRaw!$H432</f>
        <v/>
      </c>
      <c r="G432" s="140" t="str">
        <f aca="false">ExportRaw!$I432</f>
        <v/>
      </c>
      <c r="H432" s="138" t="str">
        <f aca="false">ExportRaw!$A432</f>
        <v/>
      </c>
      <c r="I432" s="138" t="str">
        <f aca="false">ExportRaw!$B432</f>
        <v/>
      </c>
    </row>
    <row r="433" customFormat="false" ht="15.75" hidden="false" customHeight="false" outlineLevel="0" collapsed="false">
      <c r="A433" s="138" t="n">
        <f aca="false">ExportRaw!$F433</f>
        <v>0</v>
      </c>
      <c r="B433" s="138" t="n">
        <f aca="false">ExportRaw!$C433</f>
        <v>0</v>
      </c>
      <c r="C433" s="138" t="n">
        <f aca="false">ExportRaw!$G433</f>
        <v>0</v>
      </c>
      <c r="D433" s="138" t="str">
        <f aca="false">ExportRaw!$E433</f>
        <v/>
      </c>
      <c r="E433" s="139" t="str">
        <f aca="false">ExportRaw!$D433</f>
        <v/>
      </c>
      <c r="F433" s="138" t="str">
        <f aca="false">ExportRaw!$H433</f>
        <v/>
      </c>
      <c r="G433" s="140" t="str">
        <f aca="false">ExportRaw!$I433</f>
        <v/>
      </c>
      <c r="H433" s="138" t="str">
        <f aca="false">ExportRaw!$A433</f>
        <v/>
      </c>
      <c r="I433" s="138" t="str">
        <f aca="false">ExportRaw!$B433</f>
        <v/>
      </c>
    </row>
    <row r="434" customFormat="false" ht="15.75" hidden="false" customHeight="false" outlineLevel="0" collapsed="false">
      <c r="A434" s="138" t="n">
        <f aca="false">ExportRaw!$F434</f>
        <v>0</v>
      </c>
      <c r="B434" s="138" t="n">
        <f aca="false">ExportRaw!$C434</f>
        <v>0</v>
      </c>
      <c r="C434" s="138" t="n">
        <f aca="false">ExportRaw!$G434</f>
        <v>0</v>
      </c>
      <c r="D434" s="138" t="str">
        <f aca="false">ExportRaw!$E434</f>
        <v/>
      </c>
      <c r="E434" s="139" t="str">
        <f aca="false">ExportRaw!$D434</f>
        <v/>
      </c>
      <c r="F434" s="138" t="str">
        <f aca="false">ExportRaw!$H434</f>
        <v/>
      </c>
      <c r="G434" s="140" t="str">
        <f aca="false">ExportRaw!$I434</f>
        <v/>
      </c>
      <c r="H434" s="138" t="str">
        <f aca="false">ExportRaw!$A434</f>
        <v/>
      </c>
      <c r="I434" s="138" t="str">
        <f aca="false">ExportRaw!$B434</f>
        <v/>
      </c>
    </row>
    <row r="435" customFormat="false" ht="15.75" hidden="false" customHeight="false" outlineLevel="0" collapsed="false">
      <c r="A435" s="138" t="n">
        <f aca="false">ExportRaw!$F435</f>
        <v>0</v>
      </c>
      <c r="B435" s="138" t="n">
        <f aca="false">ExportRaw!$C435</f>
        <v>0</v>
      </c>
      <c r="C435" s="138" t="n">
        <f aca="false">ExportRaw!$G435</f>
        <v>0</v>
      </c>
      <c r="D435" s="138" t="str">
        <f aca="false">ExportRaw!$E435</f>
        <v/>
      </c>
      <c r="E435" s="139" t="str">
        <f aca="false">ExportRaw!$D435</f>
        <v/>
      </c>
      <c r="F435" s="138" t="str">
        <f aca="false">ExportRaw!$H435</f>
        <v/>
      </c>
      <c r="G435" s="140" t="str">
        <f aca="false">ExportRaw!$I435</f>
        <v/>
      </c>
      <c r="H435" s="138" t="str">
        <f aca="false">ExportRaw!$A435</f>
        <v/>
      </c>
      <c r="I435" s="138" t="str">
        <f aca="false">ExportRaw!$B435</f>
        <v/>
      </c>
    </row>
    <row r="436" customFormat="false" ht="15.75" hidden="false" customHeight="false" outlineLevel="0" collapsed="false">
      <c r="A436" s="138" t="n">
        <f aca="false">ExportRaw!$F436</f>
        <v>0</v>
      </c>
      <c r="B436" s="138" t="n">
        <f aca="false">ExportRaw!$C436</f>
        <v>0</v>
      </c>
      <c r="C436" s="138" t="n">
        <f aca="false">ExportRaw!$G436</f>
        <v>0</v>
      </c>
      <c r="D436" s="138" t="str">
        <f aca="false">ExportRaw!$E436</f>
        <v/>
      </c>
      <c r="E436" s="139" t="str">
        <f aca="false">ExportRaw!$D436</f>
        <v/>
      </c>
      <c r="F436" s="138" t="str">
        <f aca="false">ExportRaw!$H436</f>
        <v/>
      </c>
      <c r="G436" s="140" t="str">
        <f aca="false">ExportRaw!$I436</f>
        <v/>
      </c>
      <c r="H436" s="138" t="str">
        <f aca="false">ExportRaw!$A436</f>
        <v/>
      </c>
      <c r="I436" s="138" t="str">
        <f aca="false">ExportRaw!$B436</f>
        <v/>
      </c>
    </row>
    <row r="437" customFormat="false" ht="15.75" hidden="false" customHeight="false" outlineLevel="0" collapsed="false">
      <c r="A437" s="138" t="n">
        <f aca="false">ExportRaw!$F437</f>
        <v>0</v>
      </c>
      <c r="B437" s="138" t="n">
        <f aca="false">ExportRaw!$C437</f>
        <v>0</v>
      </c>
      <c r="C437" s="138" t="n">
        <f aca="false">ExportRaw!$G437</f>
        <v>0</v>
      </c>
      <c r="D437" s="138" t="str">
        <f aca="false">ExportRaw!$E437</f>
        <v/>
      </c>
      <c r="E437" s="139" t="str">
        <f aca="false">ExportRaw!$D437</f>
        <v/>
      </c>
      <c r="F437" s="138" t="str">
        <f aca="false">ExportRaw!$H437</f>
        <v/>
      </c>
      <c r="G437" s="140" t="str">
        <f aca="false">ExportRaw!$I437</f>
        <v/>
      </c>
      <c r="H437" s="138" t="str">
        <f aca="false">ExportRaw!$A437</f>
        <v/>
      </c>
      <c r="I437" s="138" t="str">
        <f aca="false">ExportRaw!$B437</f>
        <v/>
      </c>
    </row>
    <row r="438" customFormat="false" ht="15.75" hidden="false" customHeight="false" outlineLevel="0" collapsed="false">
      <c r="A438" s="138" t="n">
        <f aca="false">ExportRaw!$F438</f>
        <v>0</v>
      </c>
      <c r="B438" s="138" t="n">
        <f aca="false">ExportRaw!$C438</f>
        <v>0</v>
      </c>
      <c r="C438" s="138" t="n">
        <f aca="false">ExportRaw!$G438</f>
        <v>0</v>
      </c>
      <c r="D438" s="138" t="str">
        <f aca="false">ExportRaw!$E438</f>
        <v/>
      </c>
      <c r="E438" s="139" t="str">
        <f aca="false">ExportRaw!$D438</f>
        <v/>
      </c>
      <c r="F438" s="138" t="str">
        <f aca="false">ExportRaw!$H438</f>
        <v/>
      </c>
      <c r="G438" s="140" t="str">
        <f aca="false">ExportRaw!$I438</f>
        <v/>
      </c>
      <c r="H438" s="138" t="str">
        <f aca="false">ExportRaw!$A438</f>
        <v/>
      </c>
      <c r="I438" s="138" t="str">
        <f aca="false">ExportRaw!$B438</f>
        <v/>
      </c>
    </row>
    <row r="439" customFormat="false" ht="15.75" hidden="false" customHeight="false" outlineLevel="0" collapsed="false">
      <c r="A439" s="138" t="n">
        <f aca="false">ExportRaw!$F439</f>
        <v>0</v>
      </c>
      <c r="B439" s="138" t="n">
        <f aca="false">ExportRaw!$C439</f>
        <v>0</v>
      </c>
      <c r="C439" s="138" t="n">
        <f aca="false">ExportRaw!$G439</f>
        <v>0</v>
      </c>
      <c r="D439" s="138" t="str">
        <f aca="false">ExportRaw!$E439</f>
        <v/>
      </c>
      <c r="E439" s="139" t="str">
        <f aca="false">ExportRaw!$D439</f>
        <v/>
      </c>
      <c r="F439" s="138" t="str">
        <f aca="false">ExportRaw!$H439</f>
        <v/>
      </c>
      <c r="G439" s="140" t="str">
        <f aca="false">ExportRaw!$I439</f>
        <v/>
      </c>
      <c r="H439" s="138" t="str">
        <f aca="false">ExportRaw!$A439</f>
        <v/>
      </c>
      <c r="I439" s="138" t="str">
        <f aca="false">ExportRaw!$B439</f>
        <v/>
      </c>
    </row>
    <row r="440" customFormat="false" ht="15.75" hidden="false" customHeight="false" outlineLevel="0" collapsed="false">
      <c r="A440" s="138" t="n">
        <f aca="false">ExportRaw!$F440</f>
        <v>0</v>
      </c>
      <c r="B440" s="138" t="n">
        <f aca="false">ExportRaw!$C440</f>
        <v>0</v>
      </c>
      <c r="C440" s="138" t="n">
        <f aca="false">ExportRaw!$G440</f>
        <v>0</v>
      </c>
      <c r="D440" s="138" t="str">
        <f aca="false">ExportRaw!$E440</f>
        <v/>
      </c>
      <c r="E440" s="139" t="str">
        <f aca="false">ExportRaw!$D440</f>
        <v/>
      </c>
      <c r="F440" s="138" t="str">
        <f aca="false">ExportRaw!$H440</f>
        <v/>
      </c>
      <c r="G440" s="140" t="str">
        <f aca="false">ExportRaw!$I440</f>
        <v/>
      </c>
      <c r="H440" s="138" t="str">
        <f aca="false">ExportRaw!$A440</f>
        <v/>
      </c>
      <c r="I440" s="138" t="str">
        <f aca="false">ExportRaw!$B440</f>
        <v/>
      </c>
    </row>
    <row r="441" customFormat="false" ht="15.75" hidden="false" customHeight="false" outlineLevel="0" collapsed="false">
      <c r="A441" s="138" t="n">
        <f aca="false">ExportRaw!$F441</f>
        <v>0</v>
      </c>
      <c r="B441" s="138" t="n">
        <f aca="false">ExportRaw!$C441</f>
        <v>0</v>
      </c>
      <c r="C441" s="138" t="n">
        <f aca="false">ExportRaw!$G441</f>
        <v>0</v>
      </c>
      <c r="D441" s="138" t="str">
        <f aca="false">ExportRaw!$E441</f>
        <v/>
      </c>
      <c r="E441" s="139" t="str">
        <f aca="false">ExportRaw!$D441</f>
        <v/>
      </c>
      <c r="F441" s="138" t="str">
        <f aca="false">ExportRaw!$H441</f>
        <v/>
      </c>
      <c r="G441" s="140" t="str">
        <f aca="false">ExportRaw!$I441</f>
        <v/>
      </c>
      <c r="H441" s="138" t="str">
        <f aca="false">ExportRaw!$A441</f>
        <v/>
      </c>
      <c r="I441" s="138" t="str">
        <f aca="false">ExportRaw!$B441</f>
        <v/>
      </c>
    </row>
    <row r="442" customFormat="false" ht="15.75" hidden="false" customHeight="false" outlineLevel="0" collapsed="false">
      <c r="A442" s="138" t="n">
        <f aca="false">ExportRaw!$F442</f>
        <v>0</v>
      </c>
      <c r="B442" s="138" t="n">
        <f aca="false">ExportRaw!$C442</f>
        <v>0</v>
      </c>
      <c r="C442" s="138" t="n">
        <f aca="false">ExportRaw!$G442</f>
        <v>0</v>
      </c>
      <c r="D442" s="138" t="str">
        <f aca="false">ExportRaw!$E442</f>
        <v/>
      </c>
      <c r="E442" s="139" t="str">
        <f aca="false">ExportRaw!$D442</f>
        <v/>
      </c>
      <c r="F442" s="138" t="str">
        <f aca="false">ExportRaw!$H442</f>
        <v/>
      </c>
      <c r="G442" s="140" t="str">
        <f aca="false">ExportRaw!$I442</f>
        <v/>
      </c>
      <c r="H442" s="138" t="str">
        <f aca="false">ExportRaw!$A442</f>
        <v/>
      </c>
      <c r="I442" s="138" t="str">
        <f aca="false">ExportRaw!$B442</f>
        <v/>
      </c>
    </row>
    <row r="443" customFormat="false" ht="15.75" hidden="false" customHeight="false" outlineLevel="0" collapsed="false">
      <c r="A443" s="138" t="n">
        <f aca="false">ExportRaw!$F443</f>
        <v>0</v>
      </c>
      <c r="B443" s="138" t="n">
        <f aca="false">ExportRaw!$C443</f>
        <v>0</v>
      </c>
      <c r="C443" s="138" t="n">
        <f aca="false">ExportRaw!$G443</f>
        <v>0</v>
      </c>
      <c r="D443" s="138" t="str">
        <f aca="false">ExportRaw!$E443</f>
        <v/>
      </c>
      <c r="E443" s="139" t="str">
        <f aca="false">ExportRaw!$D443</f>
        <v/>
      </c>
      <c r="F443" s="138" t="str">
        <f aca="false">ExportRaw!$H443</f>
        <v/>
      </c>
      <c r="G443" s="140" t="str">
        <f aca="false">ExportRaw!$I443</f>
        <v/>
      </c>
      <c r="H443" s="138" t="str">
        <f aca="false">ExportRaw!$A443</f>
        <v/>
      </c>
      <c r="I443" s="138" t="str">
        <f aca="false">ExportRaw!$B443</f>
        <v/>
      </c>
    </row>
    <row r="444" customFormat="false" ht="15.75" hidden="false" customHeight="false" outlineLevel="0" collapsed="false">
      <c r="A444" s="138" t="n">
        <f aca="false">ExportRaw!$F444</f>
        <v>0</v>
      </c>
      <c r="B444" s="138" t="n">
        <f aca="false">ExportRaw!$C444</f>
        <v>0</v>
      </c>
      <c r="C444" s="138" t="n">
        <f aca="false">ExportRaw!$G444</f>
        <v>0</v>
      </c>
      <c r="D444" s="138" t="str">
        <f aca="false">ExportRaw!$E444</f>
        <v/>
      </c>
      <c r="E444" s="139" t="str">
        <f aca="false">ExportRaw!$D444</f>
        <v/>
      </c>
      <c r="F444" s="138" t="str">
        <f aca="false">ExportRaw!$H444</f>
        <v/>
      </c>
      <c r="G444" s="140" t="str">
        <f aca="false">ExportRaw!$I444</f>
        <v/>
      </c>
      <c r="H444" s="138" t="str">
        <f aca="false">ExportRaw!$A444</f>
        <v/>
      </c>
      <c r="I444" s="138" t="str">
        <f aca="false">ExportRaw!$B444</f>
        <v/>
      </c>
    </row>
    <row r="445" customFormat="false" ht="15.75" hidden="false" customHeight="false" outlineLevel="0" collapsed="false">
      <c r="A445" s="138" t="n">
        <f aca="false">ExportRaw!$F445</f>
        <v>0</v>
      </c>
      <c r="B445" s="138" t="n">
        <f aca="false">ExportRaw!$C445</f>
        <v>0</v>
      </c>
      <c r="C445" s="138" t="n">
        <f aca="false">ExportRaw!$G445</f>
        <v>0</v>
      </c>
      <c r="D445" s="138" t="str">
        <f aca="false">ExportRaw!$E445</f>
        <v/>
      </c>
      <c r="E445" s="139" t="str">
        <f aca="false">ExportRaw!$D445</f>
        <v/>
      </c>
      <c r="F445" s="138" t="str">
        <f aca="false">ExportRaw!$H445</f>
        <v/>
      </c>
      <c r="G445" s="140" t="str">
        <f aca="false">ExportRaw!$I445</f>
        <v/>
      </c>
      <c r="H445" s="138" t="str">
        <f aca="false">ExportRaw!$A445</f>
        <v/>
      </c>
      <c r="I445" s="138" t="str">
        <f aca="false">ExportRaw!$B445</f>
        <v/>
      </c>
    </row>
    <row r="446" customFormat="false" ht="15.75" hidden="false" customHeight="false" outlineLevel="0" collapsed="false">
      <c r="A446" s="138" t="n">
        <f aca="false">ExportRaw!$F446</f>
        <v>0</v>
      </c>
      <c r="B446" s="138" t="n">
        <f aca="false">ExportRaw!$C446</f>
        <v>0</v>
      </c>
      <c r="C446" s="138" t="n">
        <f aca="false">ExportRaw!$G446</f>
        <v>0</v>
      </c>
      <c r="D446" s="138" t="str">
        <f aca="false">ExportRaw!$E446</f>
        <v/>
      </c>
      <c r="E446" s="139" t="str">
        <f aca="false">ExportRaw!$D446</f>
        <v/>
      </c>
      <c r="F446" s="138" t="str">
        <f aca="false">ExportRaw!$H446</f>
        <v/>
      </c>
      <c r="G446" s="140" t="str">
        <f aca="false">ExportRaw!$I446</f>
        <v/>
      </c>
      <c r="H446" s="138" t="str">
        <f aca="false">ExportRaw!$A446</f>
        <v/>
      </c>
      <c r="I446" s="138" t="str">
        <f aca="false">ExportRaw!$B446</f>
        <v/>
      </c>
    </row>
    <row r="447" customFormat="false" ht="15.75" hidden="false" customHeight="false" outlineLevel="0" collapsed="false">
      <c r="A447" s="138" t="n">
        <f aca="false">ExportRaw!$F447</f>
        <v>0</v>
      </c>
      <c r="B447" s="138" t="n">
        <f aca="false">ExportRaw!$C447</f>
        <v>0</v>
      </c>
      <c r="C447" s="138" t="n">
        <f aca="false">ExportRaw!$G447</f>
        <v>0</v>
      </c>
      <c r="D447" s="138" t="str">
        <f aca="false">ExportRaw!$E447</f>
        <v/>
      </c>
      <c r="E447" s="139" t="str">
        <f aca="false">ExportRaw!$D447</f>
        <v/>
      </c>
      <c r="F447" s="138" t="str">
        <f aca="false">ExportRaw!$H447</f>
        <v/>
      </c>
      <c r="G447" s="140" t="str">
        <f aca="false">ExportRaw!$I447</f>
        <v/>
      </c>
      <c r="H447" s="138" t="str">
        <f aca="false">ExportRaw!$A447</f>
        <v/>
      </c>
      <c r="I447" s="138" t="str">
        <f aca="false">ExportRaw!$B447</f>
        <v/>
      </c>
    </row>
    <row r="448" customFormat="false" ht="15.75" hidden="false" customHeight="false" outlineLevel="0" collapsed="false">
      <c r="A448" s="138" t="n">
        <f aca="false">ExportRaw!$F448</f>
        <v>0</v>
      </c>
      <c r="B448" s="138" t="n">
        <f aca="false">ExportRaw!$C448</f>
        <v>0</v>
      </c>
      <c r="C448" s="138" t="n">
        <f aca="false">ExportRaw!$G448</f>
        <v>0</v>
      </c>
      <c r="D448" s="138" t="str">
        <f aca="false">ExportRaw!$E448</f>
        <v/>
      </c>
      <c r="E448" s="139" t="str">
        <f aca="false">ExportRaw!$D448</f>
        <v/>
      </c>
      <c r="F448" s="138" t="str">
        <f aca="false">ExportRaw!$H448</f>
        <v/>
      </c>
      <c r="G448" s="140" t="str">
        <f aca="false">ExportRaw!$I448</f>
        <v/>
      </c>
      <c r="H448" s="138" t="str">
        <f aca="false">ExportRaw!$A448</f>
        <v/>
      </c>
      <c r="I448" s="138" t="str">
        <f aca="false">ExportRaw!$B448</f>
        <v/>
      </c>
    </row>
    <row r="449" customFormat="false" ht="15.75" hidden="false" customHeight="false" outlineLevel="0" collapsed="false">
      <c r="A449" s="138" t="n">
        <f aca="false">ExportRaw!$F449</f>
        <v>0</v>
      </c>
      <c r="B449" s="138" t="n">
        <f aca="false">ExportRaw!$C449</f>
        <v>0</v>
      </c>
      <c r="C449" s="138" t="n">
        <f aca="false">ExportRaw!$G449</f>
        <v>0</v>
      </c>
      <c r="D449" s="138" t="str">
        <f aca="false">ExportRaw!$E449</f>
        <v/>
      </c>
      <c r="E449" s="139" t="str">
        <f aca="false">ExportRaw!$D449</f>
        <v/>
      </c>
      <c r="F449" s="138" t="str">
        <f aca="false">ExportRaw!$H449</f>
        <v/>
      </c>
      <c r="G449" s="140" t="str">
        <f aca="false">ExportRaw!$I449</f>
        <v/>
      </c>
      <c r="H449" s="138" t="str">
        <f aca="false">ExportRaw!$A449</f>
        <v/>
      </c>
      <c r="I449" s="138" t="str">
        <f aca="false">ExportRaw!$B449</f>
        <v/>
      </c>
    </row>
    <row r="450" customFormat="false" ht="15.75" hidden="false" customHeight="false" outlineLevel="0" collapsed="false">
      <c r="A450" s="138" t="n">
        <f aca="false">ExportRaw!$F450</f>
        <v>0</v>
      </c>
      <c r="B450" s="138" t="n">
        <f aca="false">ExportRaw!$C450</f>
        <v>0</v>
      </c>
      <c r="C450" s="138" t="n">
        <f aca="false">ExportRaw!$G450</f>
        <v>0</v>
      </c>
      <c r="D450" s="138" t="str">
        <f aca="false">ExportRaw!$E450</f>
        <v/>
      </c>
      <c r="E450" s="139" t="str">
        <f aca="false">ExportRaw!$D450</f>
        <v/>
      </c>
      <c r="F450" s="138" t="str">
        <f aca="false">ExportRaw!$H450</f>
        <v/>
      </c>
      <c r="G450" s="140" t="str">
        <f aca="false">ExportRaw!$I450</f>
        <v/>
      </c>
      <c r="H450" s="138" t="str">
        <f aca="false">ExportRaw!$A450</f>
        <v/>
      </c>
      <c r="I450" s="138" t="str">
        <f aca="false">ExportRaw!$B450</f>
        <v/>
      </c>
    </row>
    <row r="451" customFormat="false" ht="15.75" hidden="false" customHeight="false" outlineLevel="0" collapsed="false">
      <c r="A451" s="138" t="n">
        <f aca="false">ExportRaw!$F451</f>
        <v>0</v>
      </c>
      <c r="B451" s="138" t="n">
        <f aca="false">ExportRaw!$C451</f>
        <v>0</v>
      </c>
      <c r="C451" s="138" t="n">
        <f aca="false">ExportRaw!$G451</f>
        <v>0</v>
      </c>
      <c r="D451" s="138" t="str">
        <f aca="false">ExportRaw!$E451</f>
        <v/>
      </c>
      <c r="E451" s="139" t="str">
        <f aca="false">ExportRaw!$D451</f>
        <v/>
      </c>
      <c r="F451" s="138" t="str">
        <f aca="false">ExportRaw!$H451</f>
        <v/>
      </c>
      <c r="G451" s="140" t="str">
        <f aca="false">ExportRaw!$I451</f>
        <v/>
      </c>
      <c r="H451" s="138" t="str">
        <f aca="false">ExportRaw!$A451</f>
        <v/>
      </c>
      <c r="I451" s="138" t="str">
        <f aca="false">ExportRaw!$B451</f>
        <v/>
      </c>
    </row>
    <row r="452" customFormat="false" ht="15.75" hidden="false" customHeight="false" outlineLevel="0" collapsed="false">
      <c r="A452" s="138" t="n">
        <f aca="false">ExportRaw!$F452</f>
        <v>0</v>
      </c>
      <c r="B452" s="138" t="n">
        <f aca="false">ExportRaw!$C452</f>
        <v>0</v>
      </c>
      <c r="C452" s="138" t="n">
        <f aca="false">ExportRaw!$G452</f>
        <v>0</v>
      </c>
      <c r="D452" s="138" t="str">
        <f aca="false">ExportRaw!$E452</f>
        <v/>
      </c>
      <c r="E452" s="139" t="str">
        <f aca="false">ExportRaw!$D452</f>
        <v/>
      </c>
      <c r="F452" s="138" t="str">
        <f aca="false">ExportRaw!$H452</f>
        <v/>
      </c>
      <c r="G452" s="140" t="str">
        <f aca="false">ExportRaw!$I452</f>
        <v/>
      </c>
      <c r="H452" s="138" t="str">
        <f aca="false">ExportRaw!$A452</f>
        <v/>
      </c>
      <c r="I452" s="138" t="str">
        <f aca="false">ExportRaw!$B452</f>
        <v/>
      </c>
    </row>
    <row r="453" customFormat="false" ht="15.75" hidden="false" customHeight="false" outlineLevel="0" collapsed="false">
      <c r="A453" s="138" t="n">
        <f aca="false">ExportRaw!$F453</f>
        <v>0</v>
      </c>
      <c r="B453" s="138" t="n">
        <f aca="false">ExportRaw!$C453</f>
        <v>0</v>
      </c>
      <c r="C453" s="138" t="n">
        <f aca="false">ExportRaw!$G453</f>
        <v>0</v>
      </c>
      <c r="D453" s="138" t="str">
        <f aca="false">ExportRaw!$E453</f>
        <v/>
      </c>
      <c r="E453" s="139" t="str">
        <f aca="false">ExportRaw!$D453</f>
        <v/>
      </c>
      <c r="F453" s="138" t="str">
        <f aca="false">ExportRaw!$H453</f>
        <v/>
      </c>
      <c r="G453" s="140" t="str">
        <f aca="false">ExportRaw!$I453</f>
        <v/>
      </c>
      <c r="H453" s="138" t="str">
        <f aca="false">ExportRaw!$A453</f>
        <v/>
      </c>
      <c r="I453" s="138" t="str">
        <f aca="false">ExportRaw!$B453</f>
        <v/>
      </c>
    </row>
    <row r="454" customFormat="false" ht="15.75" hidden="false" customHeight="false" outlineLevel="0" collapsed="false">
      <c r="A454" s="138" t="n">
        <f aca="false">ExportRaw!$F454</f>
        <v>0</v>
      </c>
      <c r="B454" s="138" t="n">
        <f aca="false">ExportRaw!$C454</f>
        <v>0</v>
      </c>
      <c r="C454" s="138" t="n">
        <f aca="false">ExportRaw!$G454</f>
        <v>0</v>
      </c>
      <c r="D454" s="138" t="str">
        <f aca="false">ExportRaw!$E454</f>
        <v/>
      </c>
      <c r="E454" s="139" t="str">
        <f aca="false">ExportRaw!$D454</f>
        <v/>
      </c>
      <c r="F454" s="138" t="str">
        <f aca="false">ExportRaw!$H454</f>
        <v/>
      </c>
      <c r="G454" s="140" t="str">
        <f aca="false">ExportRaw!$I454</f>
        <v/>
      </c>
      <c r="H454" s="138" t="str">
        <f aca="false">ExportRaw!$A454</f>
        <v/>
      </c>
      <c r="I454" s="138" t="str">
        <f aca="false">ExportRaw!$B454</f>
        <v/>
      </c>
    </row>
    <row r="455" customFormat="false" ht="15.75" hidden="false" customHeight="false" outlineLevel="0" collapsed="false">
      <c r="A455" s="138" t="n">
        <f aca="false">ExportRaw!$F455</f>
        <v>0</v>
      </c>
      <c r="B455" s="138" t="n">
        <f aca="false">ExportRaw!$C455</f>
        <v>0</v>
      </c>
      <c r="C455" s="138" t="n">
        <f aca="false">ExportRaw!$G455</f>
        <v>0</v>
      </c>
      <c r="D455" s="138" t="str">
        <f aca="false">ExportRaw!$E455</f>
        <v/>
      </c>
      <c r="E455" s="139" t="str">
        <f aca="false">ExportRaw!$D455</f>
        <v/>
      </c>
      <c r="F455" s="138" t="str">
        <f aca="false">ExportRaw!$H455</f>
        <v/>
      </c>
      <c r="G455" s="140" t="str">
        <f aca="false">ExportRaw!$I455</f>
        <v/>
      </c>
      <c r="H455" s="138" t="str">
        <f aca="false">ExportRaw!$A455</f>
        <v/>
      </c>
      <c r="I455" s="138" t="str">
        <f aca="false">ExportRaw!$B455</f>
        <v/>
      </c>
    </row>
    <row r="456" customFormat="false" ht="15.75" hidden="false" customHeight="false" outlineLevel="0" collapsed="false">
      <c r="A456" s="138" t="n">
        <f aca="false">ExportRaw!$F456</f>
        <v>0</v>
      </c>
      <c r="B456" s="138" t="n">
        <f aca="false">ExportRaw!$C456</f>
        <v>0</v>
      </c>
      <c r="C456" s="138" t="n">
        <f aca="false">ExportRaw!$G456</f>
        <v>0</v>
      </c>
      <c r="D456" s="138" t="str">
        <f aca="false">ExportRaw!$E456</f>
        <v/>
      </c>
      <c r="E456" s="139" t="str">
        <f aca="false">ExportRaw!$D456</f>
        <v/>
      </c>
      <c r="F456" s="138" t="str">
        <f aca="false">ExportRaw!$H456</f>
        <v/>
      </c>
      <c r="G456" s="140" t="str">
        <f aca="false">ExportRaw!$I456</f>
        <v/>
      </c>
      <c r="H456" s="138" t="str">
        <f aca="false">ExportRaw!$A456</f>
        <v/>
      </c>
      <c r="I456" s="138" t="str">
        <f aca="false">ExportRaw!$B456</f>
        <v/>
      </c>
    </row>
    <row r="457" customFormat="false" ht="15.75" hidden="false" customHeight="false" outlineLevel="0" collapsed="false">
      <c r="A457" s="138" t="n">
        <f aca="false">ExportRaw!$F457</f>
        <v>0</v>
      </c>
      <c r="B457" s="138" t="n">
        <f aca="false">ExportRaw!$C457</f>
        <v>0</v>
      </c>
      <c r="C457" s="138" t="n">
        <f aca="false">ExportRaw!$G457</f>
        <v>0</v>
      </c>
      <c r="D457" s="138" t="str">
        <f aca="false">ExportRaw!$E457</f>
        <v/>
      </c>
      <c r="E457" s="139" t="str">
        <f aca="false">ExportRaw!$D457</f>
        <v/>
      </c>
      <c r="F457" s="138" t="str">
        <f aca="false">ExportRaw!$H457</f>
        <v/>
      </c>
      <c r="G457" s="140" t="str">
        <f aca="false">ExportRaw!$I457</f>
        <v/>
      </c>
      <c r="H457" s="138" t="str">
        <f aca="false">ExportRaw!$A457</f>
        <v/>
      </c>
      <c r="I457" s="138" t="str">
        <f aca="false">ExportRaw!$B457</f>
        <v/>
      </c>
    </row>
    <row r="458" customFormat="false" ht="15.75" hidden="false" customHeight="false" outlineLevel="0" collapsed="false">
      <c r="A458" s="138" t="n">
        <f aca="false">ExportRaw!$F458</f>
        <v>0</v>
      </c>
      <c r="B458" s="138" t="n">
        <f aca="false">ExportRaw!$C458</f>
        <v>0</v>
      </c>
      <c r="C458" s="138" t="n">
        <f aca="false">ExportRaw!$G458</f>
        <v>0</v>
      </c>
      <c r="D458" s="138" t="str">
        <f aca="false">ExportRaw!$E458</f>
        <v/>
      </c>
      <c r="E458" s="139" t="str">
        <f aca="false">ExportRaw!$D458</f>
        <v/>
      </c>
      <c r="F458" s="138" t="str">
        <f aca="false">ExportRaw!$H458</f>
        <v/>
      </c>
      <c r="G458" s="140" t="str">
        <f aca="false">ExportRaw!$I458</f>
        <v/>
      </c>
      <c r="H458" s="138" t="str">
        <f aca="false">ExportRaw!$A458</f>
        <v/>
      </c>
      <c r="I458" s="138" t="str">
        <f aca="false">ExportRaw!$B458</f>
        <v/>
      </c>
    </row>
    <row r="459" customFormat="false" ht="15.75" hidden="false" customHeight="false" outlineLevel="0" collapsed="false">
      <c r="A459" s="138" t="n">
        <f aca="false">ExportRaw!$F459</f>
        <v>0</v>
      </c>
      <c r="B459" s="138" t="n">
        <f aca="false">ExportRaw!$C459</f>
        <v>0</v>
      </c>
      <c r="C459" s="138" t="n">
        <f aca="false">ExportRaw!$G459</f>
        <v>0</v>
      </c>
      <c r="D459" s="138" t="str">
        <f aca="false">ExportRaw!$E459</f>
        <v/>
      </c>
      <c r="E459" s="139" t="str">
        <f aca="false">ExportRaw!$D459</f>
        <v/>
      </c>
      <c r="F459" s="138" t="str">
        <f aca="false">ExportRaw!$H459</f>
        <v/>
      </c>
      <c r="G459" s="140" t="str">
        <f aca="false">ExportRaw!$I459</f>
        <v/>
      </c>
      <c r="H459" s="138" t="str">
        <f aca="false">ExportRaw!$A459</f>
        <v/>
      </c>
      <c r="I459" s="138" t="str">
        <f aca="false">ExportRaw!$B459</f>
        <v/>
      </c>
    </row>
    <row r="460" customFormat="false" ht="15.75" hidden="false" customHeight="false" outlineLevel="0" collapsed="false">
      <c r="A460" s="138" t="n">
        <f aca="false">ExportRaw!$F460</f>
        <v>0</v>
      </c>
      <c r="B460" s="138" t="n">
        <f aca="false">ExportRaw!$C460</f>
        <v>0</v>
      </c>
      <c r="C460" s="138" t="n">
        <f aca="false">ExportRaw!$G460</f>
        <v>0</v>
      </c>
      <c r="D460" s="138" t="str">
        <f aca="false">ExportRaw!$E460</f>
        <v/>
      </c>
      <c r="E460" s="139" t="str">
        <f aca="false">ExportRaw!$D460</f>
        <v/>
      </c>
      <c r="F460" s="138" t="str">
        <f aca="false">ExportRaw!$H460</f>
        <v/>
      </c>
      <c r="G460" s="140" t="str">
        <f aca="false">ExportRaw!$I460</f>
        <v/>
      </c>
      <c r="H460" s="138" t="str">
        <f aca="false">ExportRaw!$A460</f>
        <v/>
      </c>
      <c r="I460" s="138" t="str">
        <f aca="false">ExportRaw!$B460</f>
        <v/>
      </c>
    </row>
    <row r="461" customFormat="false" ht="15.75" hidden="false" customHeight="false" outlineLevel="0" collapsed="false">
      <c r="A461" s="138" t="n">
        <f aca="false">ExportRaw!$F461</f>
        <v>0</v>
      </c>
      <c r="B461" s="138" t="n">
        <f aca="false">ExportRaw!$C461</f>
        <v>0</v>
      </c>
      <c r="C461" s="138" t="n">
        <f aca="false">ExportRaw!$G461</f>
        <v>0</v>
      </c>
      <c r="D461" s="138" t="str">
        <f aca="false">ExportRaw!$E461</f>
        <v/>
      </c>
      <c r="E461" s="139" t="str">
        <f aca="false">ExportRaw!$D461</f>
        <v/>
      </c>
      <c r="F461" s="138" t="str">
        <f aca="false">ExportRaw!$H461</f>
        <v/>
      </c>
      <c r="G461" s="140" t="str">
        <f aca="false">ExportRaw!$I461</f>
        <v/>
      </c>
      <c r="H461" s="138" t="str">
        <f aca="false">ExportRaw!$A461</f>
        <v/>
      </c>
      <c r="I461" s="138" t="str">
        <f aca="false">ExportRaw!$B461</f>
        <v/>
      </c>
    </row>
    <row r="462" customFormat="false" ht="15.75" hidden="false" customHeight="false" outlineLevel="0" collapsed="false">
      <c r="A462" s="138" t="n">
        <f aca="false">ExportRaw!$F462</f>
        <v>0</v>
      </c>
      <c r="B462" s="138" t="n">
        <f aca="false">ExportRaw!$C462</f>
        <v>0</v>
      </c>
      <c r="C462" s="138" t="n">
        <f aca="false">ExportRaw!$G462</f>
        <v>0</v>
      </c>
      <c r="D462" s="138" t="str">
        <f aca="false">ExportRaw!$E462</f>
        <v/>
      </c>
      <c r="E462" s="139" t="str">
        <f aca="false">ExportRaw!$D462</f>
        <v/>
      </c>
      <c r="F462" s="138" t="str">
        <f aca="false">ExportRaw!$H462</f>
        <v/>
      </c>
      <c r="G462" s="140" t="str">
        <f aca="false">ExportRaw!$I462</f>
        <v/>
      </c>
      <c r="H462" s="138" t="str">
        <f aca="false">ExportRaw!$A462</f>
        <v/>
      </c>
      <c r="I462" s="138" t="str">
        <f aca="false">ExportRaw!$B462</f>
        <v/>
      </c>
    </row>
    <row r="463" customFormat="false" ht="15.75" hidden="false" customHeight="false" outlineLevel="0" collapsed="false">
      <c r="A463" s="138" t="n">
        <f aca="false">ExportRaw!$F463</f>
        <v>0</v>
      </c>
      <c r="B463" s="138" t="n">
        <f aca="false">ExportRaw!$C463</f>
        <v>0</v>
      </c>
      <c r="C463" s="138" t="n">
        <f aca="false">ExportRaw!$G463</f>
        <v>0</v>
      </c>
      <c r="D463" s="138" t="str">
        <f aca="false">ExportRaw!$E463</f>
        <v/>
      </c>
      <c r="E463" s="139" t="str">
        <f aca="false">ExportRaw!$D463</f>
        <v/>
      </c>
      <c r="F463" s="138" t="str">
        <f aca="false">ExportRaw!$H463</f>
        <v/>
      </c>
      <c r="G463" s="140" t="str">
        <f aca="false">ExportRaw!$I463</f>
        <v/>
      </c>
      <c r="H463" s="138" t="str">
        <f aca="false">ExportRaw!$A463</f>
        <v/>
      </c>
      <c r="I463" s="138" t="str">
        <f aca="false">ExportRaw!$B463</f>
        <v/>
      </c>
    </row>
    <row r="464" customFormat="false" ht="15.75" hidden="false" customHeight="false" outlineLevel="0" collapsed="false">
      <c r="A464" s="138" t="n">
        <f aca="false">ExportRaw!$F464</f>
        <v>0</v>
      </c>
      <c r="B464" s="138" t="n">
        <f aca="false">ExportRaw!$C464</f>
        <v>0</v>
      </c>
      <c r="C464" s="138" t="n">
        <f aca="false">ExportRaw!$G464</f>
        <v>0</v>
      </c>
      <c r="D464" s="138" t="str">
        <f aca="false">ExportRaw!$E464</f>
        <v/>
      </c>
      <c r="E464" s="139" t="str">
        <f aca="false">ExportRaw!$D464</f>
        <v/>
      </c>
      <c r="F464" s="138" t="str">
        <f aca="false">ExportRaw!$H464</f>
        <v/>
      </c>
      <c r="G464" s="140" t="str">
        <f aca="false">ExportRaw!$I464</f>
        <v/>
      </c>
      <c r="H464" s="138" t="str">
        <f aca="false">ExportRaw!$A464</f>
        <v/>
      </c>
      <c r="I464" s="138" t="str">
        <f aca="false">ExportRaw!$B464</f>
        <v/>
      </c>
    </row>
    <row r="465" customFormat="false" ht="15.75" hidden="false" customHeight="false" outlineLevel="0" collapsed="false">
      <c r="A465" s="138" t="n">
        <f aca="false">ExportRaw!$F465</f>
        <v>0</v>
      </c>
      <c r="B465" s="138" t="n">
        <f aca="false">ExportRaw!$C465</f>
        <v>0</v>
      </c>
      <c r="C465" s="138" t="n">
        <f aca="false">ExportRaw!$G465</f>
        <v>0</v>
      </c>
      <c r="D465" s="138" t="str">
        <f aca="false">ExportRaw!$E465</f>
        <v/>
      </c>
      <c r="E465" s="139" t="str">
        <f aca="false">ExportRaw!$D465</f>
        <v/>
      </c>
      <c r="F465" s="138" t="str">
        <f aca="false">ExportRaw!$H465</f>
        <v/>
      </c>
      <c r="G465" s="140" t="str">
        <f aca="false">ExportRaw!$I465</f>
        <v/>
      </c>
      <c r="H465" s="138" t="str">
        <f aca="false">ExportRaw!$A465</f>
        <v/>
      </c>
      <c r="I465" s="138" t="str">
        <f aca="false">ExportRaw!$B465</f>
        <v/>
      </c>
    </row>
    <row r="466" customFormat="false" ht="15.75" hidden="false" customHeight="false" outlineLevel="0" collapsed="false">
      <c r="A466" s="138" t="n">
        <f aca="false">ExportRaw!$F466</f>
        <v>0</v>
      </c>
      <c r="B466" s="138" t="n">
        <f aca="false">ExportRaw!$C466</f>
        <v>0</v>
      </c>
      <c r="C466" s="138" t="n">
        <f aca="false">ExportRaw!$G466</f>
        <v>0</v>
      </c>
      <c r="D466" s="138" t="str">
        <f aca="false">ExportRaw!$E466</f>
        <v/>
      </c>
      <c r="E466" s="139" t="str">
        <f aca="false">ExportRaw!$D466</f>
        <v/>
      </c>
      <c r="F466" s="138" t="str">
        <f aca="false">ExportRaw!$H466</f>
        <v/>
      </c>
      <c r="G466" s="140" t="str">
        <f aca="false">ExportRaw!$I466</f>
        <v/>
      </c>
      <c r="H466" s="138" t="str">
        <f aca="false">ExportRaw!$A466</f>
        <v/>
      </c>
      <c r="I466" s="138" t="str">
        <f aca="false">ExportRaw!$B466</f>
        <v/>
      </c>
    </row>
    <row r="467" customFormat="false" ht="15.75" hidden="false" customHeight="false" outlineLevel="0" collapsed="false">
      <c r="A467" s="138" t="n">
        <f aca="false">ExportRaw!$F467</f>
        <v>0</v>
      </c>
      <c r="B467" s="138" t="n">
        <f aca="false">ExportRaw!$C467</f>
        <v>0</v>
      </c>
      <c r="C467" s="138" t="n">
        <f aca="false">ExportRaw!$G467</f>
        <v>0</v>
      </c>
      <c r="D467" s="138" t="str">
        <f aca="false">ExportRaw!$E467</f>
        <v/>
      </c>
      <c r="E467" s="139" t="str">
        <f aca="false">ExportRaw!$D467</f>
        <v/>
      </c>
      <c r="F467" s="138" t="str">
        <f aca="false">ExportRaw!$H467</f>
        <v/>
      </c>
      <c r="G467" s="140" t="str">
        <f aca="false">ExportRaw!$I467</f>
        <v/>
      </c>
      <c r="H467" s="138" t="str">
        <f aca="false">ExportRaw!$A467</f>
        <v/>
      </c>
      <c r="I467" s="138" t="str">
        <f aca="false">ExportRaw!$B467</f>
        <v/>
      </c>
    </row>
    <row r="468" customFormat="false" ht="15.75" hidden="false" customHeight="false" outlineLevel="0" collapsed="false">
      <c r="A468" s="138" t="n">
        <f aca="false">ExportRaw!$F468</f>
        <v>0</v>
      </c>
      <c r="B468" s="138" t="n">
        <f aca="false">ExportRaw!$C468</f>
        <v>0</v>
      </c>
      <c r="C468" s="138" t="n">
        <f aca="false">ExportRaw!$G468</f>
        <v>0</v>
      </c>
      <c r="D468" s="138" t="str">
        <f aca="false">ExportRaw!$E468</f>
        <v/>
      </c>
      <c r="E468" s="139" t="str">
        <f aca="false">ExportRaw!$D468</f>
        <v/>
      </c>
      <c r="F468" s="138" t="str">
        <f aca="false">ExportRaw!$H468</f>
        <v/>
      </c>
      <c r="G468" s="140" t="str">
        <f aca="false">ExportRaw!$I468</f>
        <v/>
      </c>
      <c r="H468" s="138" t="str">
        <f aca="false">ExportRaw!$A468</f>
        <v/>
      </c>
      <c r="I468" s="138" t="str">
        <f aca="false">ExportRaw!$B468</f>
        <v/>
      </c>
    </row>
    <row r="469" customFormat="false" ht="15.75" hidden="false" customHeight="false" outlineLevel="0" collapsed="false">
      <c r="A469" s="138" t="n">
        <f aca="false">ExportRaw!$F469</f>
        <v>0</v>
      </c>
      <c r="B469" s="138" t="n">
        <f aca="false">ExportRaw!$C469</f>
        <v>0</v>
      </c>
      <c r="C469" s="138" t="n">
        <f aca="false">ExportRaw!$G469</f>
        <v>0</v>
      </c>
      <c r="D469" s="138" t="str">
        <f aca="false">ExportRaw!$E469</f>
        <v/>
      </c>
      <c r="E469" s="139" t="str">
        <f aca="false">ExportRaw!$D469</f>
        <v/>
      </c>
      <c r="F469" s="138" t="str">
        <f aca="false">ExportRaw!$H469</f>
        <v/>
      </c>
      <c r="G469" s="140" t="str">
        <f aca="false">ExportRaw!$I469</f>
        <v/>
      </c>
      <c r="H469" s="138" t="str">
        <f aca="false">ExportRaw!$A469</f>
        <v/>
      </c>
      <c r="I469" s="138" t="str">
        <f aca="false">ExportRaw!$B469</f>
        <v/>
      </c>
    </row>
    <row r="470" customFormat="false" ht="15.75" hidden="false" customHeight="false" outlineLevel="0" collapsed="false">
      <c r="A470" s="138" t="n">
        <f aca="false">ExportRaw!$F470</f>
        <v>0</v>
      </c>
      <c r="B470" s="138" t="n">
        <f aca="false">ExportRaw!$C470</f>
        <v>0</v>
      </c>
      <c r="C470" s="138" t="n">
        <f aca="false">ExportRaw!$G470</f>
        <v>0</v>
      </c>
      <c r="D470" s="138" t="str">
        <f aca="false">ExportRaw!$E470</f>
        <v/>
      </c>
      <c r="E470" s="139" t="str">
        <f aca="false">ExportRaw!$D470</f>
        <v/>
      </c>
      <c r="F470" s="138" t="str">
        <f aca="false">ExportRaw!$H470</f>
        <v/>
      </c>
      <c r="G470" s="140" t="str">
        <f aca="false">ExportRaw!$I470</f>
        <v/>
      </c>
      <c r="H470" s="138" t="str">
        <f aca="false">ExportRaw!$A470</f>
        <v/>
      </c>
      <c r="I470" s="138" t="str">
        <f aca="false">ExportRaw!$B470</f>
        <v/>
      </c>
    </row>
    <row r="471" customFormat="false" ht="15.75" hidden="false" customHeight="false" outlineLevel="0" collapsed="false">
      <c r="A471" s="138" t="n">
        <f aca="false">ExportRaw!$F471</f>
        <v>0</v>
      </c>
      <c r="B471" s="138" t="n">
        <f aca="false">ExportRaw!$C471</f>
        <v>0</v>
      </c>
      <c r="C471" s="138" t="n">
        <f aca="false">ExportRaw!$G471</f>
        <v>0</v>
      </c>
      <c r="D471" s="138" t="str">
        <f aca="false">ExportRaw!$E471</f>
        <v/>
      </c>
      <c r="E471" s="139" t="str">
        <f aca="false">ExportRaw!$D471</f>
        <v/>
      </c>
      <c r="F471" s="138" t="str">
        <f aca="false">ExportRaw!$H471</f>
        <v/>
      </c>
      <c r="G471" s="140" t="str">
        <f aca="false">ExportRaw!$I471</f>
        <v/>
      </c>
      <c r="H471" s="138" t="str">
        <f aca="false">ExportRaw!$A471</f>
        <v/>
      </c>
      <c r="I471" s="138" t="str">
        <f aca="false">ExportRaw!$B471</f>
        <v/>
      </c>
    </row>
    <row r="472" customFormat="false" ht="15.75" hidden="false" customHeight="false" outlineLevel="0" collapsed="false">
      <c r="A472" s="138" t="n">
        <f aca="false">ExportRaw!$F472</f>
        <v>0</v>
      </c>
      <c r="B472" s="138" t="n">
        <f aca="false">ExportRaw!$C472</f>
        <v>0</v>
      </c>
      <c r="C472" s="138" t="n">
        <f aca="false">ExportRaw!$G472</f>
        <v>0</v>
      </c>
      <c r="D472" s="138" t="str">
        <f aca="false">ExportRaw!$E472</f>
        <v/>
      </c>
      <c r="E472" s="139" t="str">
        <f aca="false">ExportRaw!$D472</f>
        <v/>
      </c>
      <c r="F472" s="138" t="str">
        <f aca="false">ExportRaw!$H472</f>
        <v/>
      </c>
      <c r="G472" s="140" t="str">
        <f aca="false">ExportRaw!$I472</f>
        <v/>
      </c>
      <c r="H472" s="138" t="str">
        <f aca="false">ExportRaw!$A472</f>
        <v/>
      </c>
      <c r="I472" s="138" t="str">
        <f aca="false">ExportRaw!$B472</f>
        <v/>
      </c>
    </row>
    <row r="473" customFormat="false" ht="15.75" hidden="false" customHeight="false" outlineLevel="0" collapsed="false">
      <c r="A473" s="138" t="n">
        <f aca="false">ExportRaw!$F473</f>
        <v>0</v>
      </c>
      <c r="B473" s="138" t="n">
        <f aca="false">ExportRaw!$C473</f>
        <v>0</v>
      </c>
      <c r="C473" s="138" t="n">
        <f aca="false">ExportRaw!$G473</f>
        <v>0</v>
      </c>
      <c r="D473" s="138" t="str">
        <f aca="false">ExportRaw!$E473</f>
        <v/>
      </c>
      <c r="E473" s="139" t="str">
        <f aca="false">ExportRaw!$D473</f>
        <v/>
      </c>
      <c r="F473" s="138" t="str">
        <f aca="false">ExportRaw!$H473</f>
        <v/>
      </c>
      <c r="G473" s="140" t="str">
        <f aca="false">ExportRaw!$I473</f>
        <v/>
      </c>
      <c r="H473" s="138" t="str">
        <f aca="false">ExportRaw!$A473</f>
        <v/>
      </c>
      <c r="I473" s="138" t="str">
        <f aca="false">ExportRaw!$B473</f>
        <v/>
      </c>
    </row>
    <row r="474" customFormat="false" ht="15.75" hidden="false" customHeight="false" outlineLevel="0" collapsed="false">
      <c r="A474" s="138" t="n">
        <f aca="false">ExportRaw!$F474</f>
        <v>0</v>
      </c>
      <c r="B474" s="138" t="n">
        <f aca="false">ExportRaw!$C474</f>
        <v>0</v>
      </c>
      <c r="C474" s="138" t="n">
        <f aca="false">ExportRaw!$G474</f>
        <v>0</v>
      </c>
      <c r="D474" s="138" t="str">
        <f aca="false">ExportRaw!$E474</f>
        <v/>
      </c>
      <c r="E474" s="139" t="str">
        <f aca="false">ExportRaw!$D474</f>
        <v/>
      </c>
      <c r="F474" s="138" t="str">
        <f aca="false">ExportRaw!$H474</f>
        <v/>
      </c>
      <c r="G474" s="140" t="str">
        <f aca="false">ExportRaw!$I474</f>
        <v/>
      </c>
      <c r="H474" s="138" t="str">
        <f aca="false">ExportRaw!$A474</f>
        <v/>
      </c>
      <c r="I474" s="138" t="str">
        <f aca="false">ExportRaw!$B474</f>
        <v/>
      </c>
    </row>
    <row r="475" customFormat="false" ht="15.75" hidden="false" customHeight="false" outlineLevel="0" collapsed="false">
      <c r="A475" s="138" t="n">
        <f aca="false">ExportRaw!$F475</f>
        <v>0</v>
      </c>
      <c r="B475" s="138" t="n">
        <f aca="false">ExportRaw!$C475</f>
        <v>0</v>
      </c>
      <c r="C475" s="138" t="n">
        <f aca="false">ExportRaw!$G475</f>
        <v>0</v>
      </c>
      <c r="D475" s="138" t="str">
        <f aca="false">ExportRaw!$E475</f>
        <v/>
      </c>
      <c r="E475" s="139" t="str">
        <f aca="false">ExportRaw!$D475</f>
        <v/>
      </c>
      <c r="F475" s="138" t="str">
        <f aca="false">ExportRaw!$H475</f>
        <v/>
      </c>
      <c r="G475" s="140" t="str">
        <f aca="false">ExportRaw!$I475</f>
        <v/>
      </c>
      <c r="H475" s="138" t="str">
        <f aca="false">ExportRaw!$A475</f>
        <v/>
      </c>
      <c r="I475" s="138" t="str">
        <f aca="false">ExportRaw!$B475</f>
        <v/>
      </c>
    </row>
    <row r="476" customFormat="false" ht="15.75" hidden="false" customHeight="false" outlineLevel="0" collapsed="false">
      <c r="A476" s="138" t="n">
        <f aca="false">ExportRaw!$F476</f>
        <v>0</v>
      </c>
      <c r="B476" s="138" t="n">
        <f aca="false">ExportRaw!$C476</f>
        <v>0</v>
      </c>
      <c r="C476" s="138" t="n">
        <f aca="false">ExportRaw!$G476</f>
        <v>0</v>
      </c>
      <c r="D476" s="138" t="str">
        <f aca="false">ExportRaw!$E476</f>
        <v/>
      </c>
      <c r="E476" s="139" t="str">
        <f aca="false">ExportRaw!$D476</f>
        <v/>
      </c>
      <c r="F476" s="138" t="str">
        <f aca="false">ExportRaw!$H476</f>
        <v/>
      </c>
      <c r="G476" s="140" t="str">
        <f aca="false">ExportRaw!$I476</f>
        <v/>
      </c>
      <c r="H476" s="138" t="str">
        <f aca="false">ExportRaw!$A476</f>
        <v/>
      </c>
      <c r="I476" s="138" t="str">
        <f aca="false">ExportRaw!$B476</f>
        <v/>
      </c>
    </row>
    <row r="477" customFormat="false" ht="15.75" hidden="false" customHeight="false" outlineLevel="0" collapsed="false">
      <c r="A477" s="138" t="n">
        <f aca="false">ExportRaw!$F477</f>
        <v>0</v>
      </c>
      <c r="B477" s="138" t="n">
        <f aca="false">ExportRaw!$C477</f>
        <v>0</v>
      </c>
      <c r="C477" s="138" t="n">
        <f aca="false">ExportRaw!$G477</f>
        <v>0</v>
      </c>
      <c r="D477" s="138" t="str">
        <f aca="false">ExportRaw!$E477</f>
        <v/>
      </c>
      <c r="E477" s="139" t="str">
        <f aca="false">ExportRaw!$D477</f>
        <v/>
      </c>
      <c r="F477" s="138" t="str">
        <f aca="false">ExportRaw!$H477</f>
        <v/>
      </c>
      <c r="G477" s="140" t="str">
        <f aca="false">ExportRaw!$I477</f>
        <v/>
      </c>
      <c r="H477" s="138" t="str">
        <f aca="false">ExportRaw!$A477</f>
        <v/>
      </c>
      <c r="I477" s="138" t="str">
        <f aca="false">ExportRaw!$B477</f>
        <v/>
      </c>
    </row>
    <row r="478" customFormat="false" ht="15.75" hidden="false" customHeight="false" outlineLevel="0" collapsed="false">
      <c r="A478" s="138" t="n">
        <f aca="false">ExportRaw!$F478</f>
        <v>0</v>
      </c>
      <c r="B478" s="138" t="n">
        <f aca="false">ExportRaw!$C478</f>
        <v>0</v>
      </c>
      <c r="C478" s="138" t="n">
        <f aca="false">ExportRaw!$G478</f>
        <v>0</v>
      </c>
      <c r="D478" s="138" t="str">
        <f aca="false">ExportRaw!$E478</f>
        <v/>
      </c>
      <c r="E478" s="139" t="str">
        <f aca="false">ExportRaw!$D478</f>
        <v/>
      </c>
      <c r="F478" s="138" t="str">
        <f aca="false">ExportRaw!$H478</f>
        <v/>
      </c>
      <c r="G478" s="140" t="str">
        <f aca="false">ExportRaw!$I478</f>
        <v/>
      </c>
      <c r="H478" s="138" t="str">
        <f aca="false">ExportRaw!$A478</f>
        <v/>
      </c>
      <c r="I478" s="138" t="str">
        <f aca="false">ExportRaw!$B478</f>
        <v/>
      </c>
    </row>
    <row r="479" customFormat="false" ht="15.75" hidden="false" customHeight="false" outlineLevel="0" collapsed="false">
      <c r="A479" s="138" t="n">
        <f aca="false">ExportRaw!$F479</f>
        <v>0</v>
      </c>
      <c r="B479" s="138" t="n">
        <f aca="false">ExportRaw!$C479</f>
        <v>0</v>
      </c>
      <c r="C479" s="138" t="n">
        <f aca="false">ExportRaw!$G479</f>
        <v>0</v>
      </c>
      <c r="D479" s="138" t="str">
        <f aca="false">ExportRaw!$E479</f>
        <v/>
      </c>
      <c r="E479" s="139" t="str">
        <f aca="false">ExportRaw!$D479</f>
        <v/>
      </c>
      <c r="F479" s="138" t="str">
        <f aca="false">ExportRaw!$H479</f>
        <v/>
      </c>
      <c r="G479" s="140" t="str">
        <f aca="false">ExportRaw!$I479</f>
        <v/>
      </c>
      <c r="H479" s="138" t="str">
        <f aca="false">ExportRaw!$A479</f>
        <v/>
      </c>
      <c r="I479" s="138" t="str">
        <f aca="false">ExportRaw!$B479</f>
        <v/>
      </c>
    </row>
    <row r="480" customFormat="false" ht="15.75" hidden="false" customHeight="false" outlineLevel="0" collapsed="false">
      <c r="A480" s="138" t="n">
        <f aca="false">ExportRaw!$F480</f>
        <v>0</v>
      </c>
      <c r="B480" s="138" t="n">
        <f aca="false">ExportRaw!$C480</f>
        <v>0</v>
      </c>
      <c r="C480" s="138" t="n">
        <f aca="false">ExportRaw!$G480</f>
        <v>0</v>
      </c>
      <c r="D480" s="138" t="str">
        <f aca="false">ExportRaw!$E480</f>
        <v/>
      </c>
      <c r="E480" s="139" t="str">
        <f aca="false">ExportRaw!$D480</f>
        <v/>
      </c>
      <c r="F480" s="138" t="str">
        <f aca="false">ExportRaw!$H480</f>
        <v/>
      </c>
      <c r="G480" s="140" t="str">
        <f aca="false">ExportRaw!$I480</f>
        <v/>
      </c>
      <c r="H480" s="138" t="str">
        <f aca="false">ExportRaw!$A480</f>
        <v/>
      </c>
      <c r="I480" s="138" t="str">
        <f aca="false">ExportRaw!$B480</f>
        <v/>
      </c>
    </row>
    <row r="481" customFormat="false" ht="15.75" hidden="false" customHeight="false" outlineLevel="0" collapsed="false">
      <c r="A481" s="138" t="n">
        <f aca="false">ExportRaw!$F481</f>
        <v>0</v>
      </c>
      <c r="B481" s="138" t="n">
        <f aca="false">ExportRaw!$C481</f>
        <v>0</v>
      </c>
      <c r="C481" s="138" t="n">
        <f aca="false">ExportRaw!$G481</f>
        <v>0</v>
      </c>
      <c r="D481" s="138" t="str">
        <f aca="false">ExportRaw!$E481</f>
        <v/>
      </c>
      <c r="E481" s="139" t="str">
        <f aca="false">ExportRaw!$D481</f>
        <v/>
      </c>
      <c r="F481" s="138" t="str">
        <f aca="false">ExportRaw!$H481</f>
        <v/>
      </c>
      <c r="G481" s="140" t="str">
        <f aca="false">ExportRaw!$I481</f>
        <v/>
      </c>
      <c r="H481" s="138" t="str">
        <f aca="false">ExportRaw!$A481</f>
        <v/>
      </c>
      <c r="I481" s="138" t="str">
        <f aca="false">ExportRaw!$B481</f>
        <v/>
      </c>
    </row>
    <row r="482" customFormat="false" ht="15.75" hidden="false" customHeight="false" outlineLevel="0" collapsed="false">
      <c r="A482" s="138" t="n">
        <f aca="false">ExportRaw!$F482</f>
        <v>0</v>
      </c>
      <c r="B482" s="138" t="n">
        <f aca="false">ExportRaw!$C482</f>
        <v>0</v>
      </c>
      <c r="C482" s="138" t="n">
        <f aca="false">ExportRaw!$G482</f>
        <v>0</v>
      </c>
      <c r="D482" s="138" t="str">
        <f aca="false">ExportRaw!$E482</f>
        <v/>
      </c>
      <c r="E482" s="139" t="str">
        <f aca="false">ExportRaw!$D482</f>
        <v/>
      </c>
      <c r="F482" s="138" t="str">
        <f aca="false">ExportRaw!$H482</f>
        <v/>
      </c>
      <c r="G482" s="140" t="str">
        <f aca="false">ExportRaw!$I482</f>
        <v/>
      </c>
      <c r="H482" s="138" t="str">
        <f aca="false">ExportRaw!$A482</f>
        <v/>
      </c>
      <c r="I482" s="138" t="str">
        <f aca="false">ExportRaw!$B482</f>
        <v/>
      </c>
    </row>
    <row r="483" customFormat="false" ht="15.75" hidden="false" customHeight="false" outlineLevel="0" collapsed="false">
      <c r="A483" s="138" t="n">
        <f aca="false">ExportRaw!$F483</f>
        <v>0</v>
      </c>
      <c r="B483" s="138" t="n">
        <f aca="false">ExportRaw!$C483</f>
        <v>0</v>
      </c>
      <c r="C483" s="138" t="n">
        <f aca="false">ExportRaw!$G483</f>
        <v>0</v>
      </c>
      <c r="D483" s="138" t="str">
        <f aca="false">ExportRaw!$E483</f>
        <v/>
      </c>
      <c r="E483" s="139" t="str">
        <f aca="false">ExportRaw!$D483</f>
        <v/>
      </c>
      <c r="F483" s="138" t="str">
        <f aca="false">ExportRaw!$H483</f>
        <v/>
      </c>
      <c r="G483" s="140" t="str">
        <f aca="false">ExportRaw!$I483</f>
        <v/>
      </c>
      <c r="H483" s="138" t="str">
        <f aca="false">ExportRaw!$A483</f>
        <v/>
      </c>
      <c r="I483" s="138" t="str">
        <f aca="false">ExportRaw!$B483</f>
        <v/>
      </c>
    </row>
    <row r="484" customFormat="false" ht="15.75" hidden="false" customHeight="false" outlineLevel="0" collapsed="false">
      <c r="A484" s="138" t="n">
        <f aca="false">ExportRaw!$F484</f>
        <v>0</v>
      </c>
      <c r="B484" s="138" t="n">
        <f aca="false">ExportRaw!$C484</f>
        <v>0</v>
      </c>
      <c r="C484" s="138" t="n">
        <f aca="false">ExportRaw!$G484</f>
        <v>0</v>
      </c>
      <c r="D484" s="138" t="str">
        <f aca="false">ExportRaw!$E484</f>
        <v/>
      </c>
      <c r="E484" s="139" t="str">
        <f aca="false">ExportRaw!$D484</f>
        <v/>
      </c>
      <c r="F484" s="138" t="str">
        <f aca="false">ExportRaw!$H484</f>
        <v/>
      </c>
      <c r="G484" s="140" t="str">
        <f aca="false">ExportRaw!$I484</f>
        <v/>
      </c>
      <c r="H484" s="138" t="str">
        <f aca="false">ExportRaw!$A484</f>
        <v/>
      </c>
      <c r="I484" s="138" t="str">
        <f aca="false">ExportRaw!$B484</f>
        <v/>
      </c>
    </row>
    <row r="485" customFormat="false" ht="15.75" hidden="false" customHeight="false" outlineLevel="0" collapsed="false">
      <c r="A485" s="138" t="n">
        <f aca="false">ExportRaw!$F485</f>
        <v>0</v>
      </c>
      <c r="B485" s="138" t="n">
        <f aca="false">ExportRaw!$C485</f>
        <v>0</v>
      </c>
      <c r="C485" s="138" t="n">
        <f aca="false">ExportRaw!$G485</f>
        <v>0</v>
      </c>
      <c r="D485" s="138" t="str">
        <f aca="false">ExportRaw!$E485</f>
        <v/>
      </c>
      <c r="E485" s="139" t="str">
        <f aca="false">ExportRaw!$D485</f>
        <v/>
      </c>
      <c r="F485" s="138" t="str">
        <f aca="false">ExportRaw!$H485</f>
        <v/>
      </c>
      <c r="G485" s="140" t="str">
        <f aca="false">ExportRaw!$I485</f>
        <v/>
      </c>
      <c r="H485" s="138" t="str">
        <f aca="false">ExportRaw!$A485</f>
        <v/>
      </c>
      <c r="I485" s="138" t="str">
        <f aca="false">ExportRaw!$B485</f>
        <v/>
      </c>
    </row>
    <row r="486" customFormat="false" ht="15.75" hidden="false" customHeight="false" outlineLevel="0" collapsed="false">
      <c r="A486" s="138" t="n">
        <f aca="false">ExportRaw!$F486</f>
        <v>0</v>
      </c>
      <c r="B486" s="138" t="n">
        <f aca="false">ExportRaw!$C486</f>
        <v>0</v>
      </c>
      <c r="C486" s="138" t="n">
        <f aca="false">ExportRaw!$G486</f>
        <v>0</v>
      </c>
      <c r="D486" s="138" t="str">
        <f aca="false">ExportRaw!$E486</f>
        <v/>
      </c>
      <c r="E486" s="139" t="str">
        <f aca="false">ExportRaw!$D486</f>
        <v/>
      </c>
      <c r="F486" s="138" t="str">
        <f aca="false">ExportRaw!$H486</f>
        <v/>
      </c>
      <c r="G486" s="140" t="str">
        <f aca="false">ExportRaw!$I486</f>
        <v/>
      </c>
      <c r="H486" s="138" t="str">
        <f aca="false">ExportRaw!$A486</f>
        <v/>
      </c>
      <c r="I486" s="138" t="str">
        <f aca="false">ExportRaw!$B486</f>
        <v/>
      </c>
    </row>
    <row r="487" customFormat="false" ht="15.75" hidden="false" customHeight="false" outlineLevel="0" collapsed="false">
      <c r="A487" s="138" t="n">
        <f aca="false">ExportRaw!$F487</f>
        <v>0</v>
      </c>
      <c r="B487" s="138" t="n">
        <f aca="false">ExportRaw!$C487</f>
        <v>0</v>
      </c>
      <c r="C487" s="138" t="n">
        <f aca="false">ExportRaw!$G487</f>
        <v>0</v>
      </c>
      <c r="D487" s="138" t="str">
        <f aca="false">ExportRaw!$E487</f>
        <v/>
      </c>
      <c r="E487" s="139" t="str">
        <f aca="false">ExportRaw!$D487</f>
        <v/>
      </c>
      <c r="F487" s="138" t="str">
        <f aca="false">ExportRaw!$H487</f>
        <v/>
      </c>
      <c r="G487" s="140" t="str">
        <f aca="false">ExportRaw!$I487</f>
        <v/>
      </c>
      <c r="H487" s="138" t="str">
        <f aca="false">ExportRaw!$A487</f>
        <v/>
      </c>
      <c r="I487" s="138" t="str">
        <f aca="false">ExportRaw!$B487</f>
        <v/>
      </c>
    </row>
    <row r="488" customFormat="false" ht="15.75" hidden="false" customHeight="false" outlineLevel="0" collapsed="false">
      <c r="A488" s="138" t="n">
        <f aca="false">ExportRaw!$F488</f>
        <v>0</v>
      </c>
      <c r="B488" s="138" t="n">
        <f aca="false">ExportRaw!$C488</f>
        <v>0</v>
      </c>
      <c r="C488" s="138" t="n">
        <f aca="false">ExportRaw!$G488</f>
        <v>0</v>
      </c>
      <c r="D488" s="138" t="str">
        <f aca="false">ExportRaw!$E488</f>
        <v/>
      </c>
      <c r="E488" s="139" t="str">
        <f aca="false">ExportRaw!$D488</f>
        <v/>
      </c>
      <c r="F488" s="138" t="str">
        <f aca="false">ExportRaw!$H488</f>
        <v/>
      </c>
      <c r="G488" s="140" t="str">
        <f aca="false">ExportRaw!$I488</f>
        <v/>
      </c>
      <c r="H488" s="138" t="str">
        <f aca="false">ExportRaw!$A488</f>
        <v/>
      </c>
      <c r="I488" s="138" t="str">
        <f aca="false">ExportRaw!$B488</f>
        <v/>
      </c>
    </row>
    <row r="489" customFormat="false" ht="15.75" hidden="false" customHeight="false" outlineLevel="0" collapsed="false">
      <c r="A489" s="138" t="n">
        <f aca="false">ExportRaw!$F489</f>
        <v>0</v>
      </c>
      <c r="B489" s="138" t="n">
        <f aca="false">ExportRaw!$C489</f>
        <v>0</v>
      </c>
      <c r="C489" s="138" t="n">
        <f aca="false">ExportRaw!$G489</f>
        <v>0</v>
      </c>
      <c r="D489" s="138" t="str">
        <f aca="false">ExportRaw!$E489</f>
        <v/>
      </c>
      <c r="E489" s="139" t="str">
        <f aca="false">ExportRaw!$D489</f>
        <v/>
      </c>
      <c r="F489" s="138" t="str">
        <f aca="false">ExportRaw!$H489</f>
        <v/>
      </c>
      <c r="G489" s="140" t="str">
        <f aca="false">ExportRaw!$I489</f>
        <v/>
      </c>
      <c r="H489" s="138" t="str">
        <f aca="false">ExportRaw!$A489</f>
        <v/>
      </c>
      <c r="I489" s="138" t="str">
        <f aca="false">ExportRaw!$B489</f>
        <v/>
      </c>
    </row>
    <row r="490" customFormat="false" ht="15.75" hidden="false" customHeight="false" outlineLevel="0" collapsed="false">
      <c r="A490" s="138" t="n">
        <f aca="false">ExportRaw!$F490</f>
        <v>0</v>
      </c>
      <c r="B490" s="138" t="n">
        <f aca="false">ExportRaw!$C490</f>
        <v>0</v>
      </c>
      <c r="C490" s="138" t="n">
        <f aca="false">ExportRaw!$G490</f>
        <v>0</v>
      </c>
      <c r="D490" s="138" t="str">
        <f aca="false">ExportRaw!$E490</f>
        <v/>
      </c>
      <c r="E490" s="139" t="str">
        <f aca="false">ExportRaw!$D490</f>
        <v/>
      </c>
      <c r="F490" s="138" t="str">
        <f aca="false">ExportRaw!$H490</f>
        <v/>
      </c>
      <c r="G490" s="140" t="str">
        <f aca="false">ExportRaw!$I490</f>
        <v/>
      </c>
      <c r="H490" s="138" t="str">
        <f aca="false">ExportRaw!$A490</f>
        <v/>
      </c>
      <c r="I490" s="138" t="str">
        <f aca="false">ExportRaw!$B490</f>
        <v/>
      </c>
    </row>
    <row r="491" customFormat="false" ht="15.75" hidden="false" customHeight="false" outlineLevel="0" collapsed="false">
      <c r="A491" s="138" t="n">
        <f aca="false">ExportRaw!$F491</f>
        <v>0</v>
      </c>
      <c r="B491" s="138" t="n">
        <f aca="false">ExportRaw!$C491</f>
        <v>0</v>
      </c>
      <c r="C491" s="138" t="n">
        <f aca="false">ExportRaw!$G491</f>
        <v>0</v>
      </c>
      <c r="D491" s="138" t="str">
        <f aca="false">ExportRaw!$E491</f>
        <v/>
      </c>
      <c r="E491" s="139" t="str">
        <f aca="false">ExportRaw!$D491</f>
        <v/>
      </c>
      <c r="F491" s="138" t="str">
        <f aca="false">ExportRaw!$H491</f>
        <v/>
      </c>
      <c r="G491" s="140" t="str">
        <f aca="false">ExportRaw!$I491</f>
        <v/>
      </c>
      <c r="H491" s="138" t="str">
        <f aca="false">ExportRaw!$A491</f>
        <v/>
      </c>
      <c r="I491" s="138" t="str">
        <f aca="false">ExportRaw!$B491</f>
        <v/>
      </c>
    </row>
    <row r="492" customFormat="false" ht="15.75" hidden="false" customHeight="false" outlineLevel="0" collapsed="false">
      <c r="A492" s="138" t="n">
        <f aca="false">ExportRaw!$F492</f>
        <v>0</v>
      </c>
      <c r="B492" s="138" t="n">
        <f aca="false">ExportRaw!$C492</f>
        <v>0</v>
      </c>
      <c r="C492" s="138" t="n">
        <f aca="false">ExportRaw!$G492</f>
        <v>0</v>
      </c>
      <c r="D492" s="138" t="str">
        <f aca="false">ExportRaw!$E492</f>
        <v/>
      </c>
      <c r="E492" s="139" t="str">
        <f aca="false">ExportRaw!$D492</f>
        <v/>
      </c>
      <c r="F492" s="138" t="str">
        <f aca="false">ExportRaw!$H492</f>
        <v/>
      </c>
      <c r="G492" s="140" t="str">
        <f aca="false">ExportRaw!$I492</f>
        <v/>
      </c>
      <c r="H492" s="138" t="str">
        <f aca="false">ExportRaw!$A492</f>
        <v/>
      </c>
      <c r="I492" s="138" t="str">
        <f aca="false">ExportRaw!$B492</f>
        <v/>
      </c>
    </row>
    <row r="493" customFormat="false" ht="15.75" hidden="false" customHeight="false" outlineLevel="0" collapsed="false">
      <c r="A493" s="138" t="n">
        <f aca="false">ExportRaw!$F493</f>
        <v>0</v>
      </c>
      <c r="B493" s="138" t="n">
        <f aca="false">ExportRaw!$C493</f>
        <v>0</v>
      </c>
      <c r="C493" s="138" t="n">
        <f aca="false">ExportRaw!$G493</f>
        <v>0</v>
      </c>
      <c r="D493" s="138" t="str">
        <f aca="false">ExportRaw!$E493</f>
        <v/>
      </c>
      <c r="E493" s="139" t="str">
        <f aca="false">ExportRaw!$D493</f>
        <v/>
      </c>
      <c r="F493" s="138" t="str">
        <f aca="false">ExportRaw!$H493</f>
        <v/>
      </c>
      <c r="G493" s="140" t="str">
        <f aca="false">ExportRaw!$I493</f>
        <v/>
      </c>
      <c r="H493" s="138" t="str">
        <f aca="false">ExportRaw!$A493</f>
        <v/>
      </c>
      <c r="I493" s="138" t="str">
        <f aca="false">ExportRaw!$B493</f>
        <v/>
      </c>
    </row>
    <row r="494" customFormat="false" ht="15.75" hidden="false" customHeight="false" outlineLevel="0" collapsed="false">
      <c r="A494" s="138" t="n">
        <f aca="false">ExportRaw!$F494</f>
        <v>0</v>
      </c>
      <c r="B494" s="138" t="n">
        <f aca="false">ExportRaw!$C494</f>
        <v>0</v>
      </c>
      <c r="C494" s="138" t="n">
        <f aca="false">ExportRaw!$G494</f>
        <v>0</v>
      </c>
      <c r="D494" s="138" t="str">
        <f aca="false">ExportRaw!$E494</f>
        <v/>
      </c>
      <c r="E494" s="139" t="str">
        <f aca="false">ExportRaw!$D494</f>
        <v/>
      </c>
      <c r="F494" s="138" t="str">
        <f aca="false">ExportRaw!$H494</f>
        <v/>
      </c>
      <c r="G494" s="140" t="str">
        <f aca="false">ExportRaw!$I494</f>
        <v/>
      </c>
      <c r="H494" s="138" t="str">
        <f aca="false">ExportRaw!$A494</f>
        <v/>
      </c>
      <c r="I494" s="138" t="str">
        <f aca="false">ExportRaw!$B494</f>
        <v/>
      </c>
    </row>
    <row r="495" customFormat="false" ht="15.75" hidden="false" customHeight="false" outlineLevel="0" collapsed="false">
      <c r="A495" s="138" t="n">
        <f aca="false">ExportRaw!$F495</f>
        <v>0</v>
      </c>
      <c r="B495" s="138" t="n">
        <f aca="false">ExportRaw!$C495</f>
        <v>0</v>
      </c>
      <c r="C495" s="138" t="n">
        <f aca="false">ExportRaw!$G495</f>
        <v>0</v>
      </c>
      <c r="D495" s="138" t="str">
        <f aca="false">ExportRaw!$E495</f>
        <v/>
      </c>
      <c r="E495" s="139" t="str">
        <f aca="false">ExportRaw!$D495</f>
        <v/>
      </c>
      <c r="F495" s="138" t="str">
        <f aca="false">ExportRaw!$H495</f>
        <v/>
      </c>
      <c r="G495" s="140" t="str">
        <f aca="false">ExportRaw!$I495</f>
        <v/>
      </c>
      <c r="H495" s="138" t="str">
        <f aca="false">ExportRaw!$A495</f>
        <v/>
      </c>
      <c r="I495" s="138" t="str">
        <f aca="false">ExportRaw!$B495</f>
        <v/>
      </c>
    </row>
    <row r="496" customFormat="false" ht="15.75" hidden="false" customHeight="false" outlineLevel="0" collapsed="false">
      <c r="A496" s="138" t="n">
        <f aca="false">ExportRaw!$F496</f>
        <v>0</v>
      </c>
      <c r="B496" s="138" t="n">
        <f aca="false">ExportRaw!$C496</f>
        <v>0</v>
      </c>
      <c r="C496" s="138" t="n">
        <f aca="false">ExportRaw!$G496</f>
        <v>0</v>
      </c>
      <c r="D496" s="138" t="str">
        <f aca="false">ExportRaw!$E496</f>
        <v/>
      </c>
      <c r="E496" s="139" t="str">
        <f aca="false">ExportRaw!$D496</f>
        <v/>
      </c>
      <c r="F496" s="138" t="str">
        <f aca="false">ExportRaw!$H496</f>
        <v/>
      </c>
      <c r="G496" s="140" t="str">
        <f aca="false">ExportRaw!$I496</f>
        <v/>
      </c>
      <c r="H496" s="138" t="str">
        <f aca="false">ExportRaw!$A496</f>
        <v/>
      </c>
      <c r="I496" s="138" t="str">
        <f aca="false">ExportRaw!$B496</f>
        <v/>
      </c>
    </row>
    <row r="497" customFormat="false" ht="15.75" hidden="false" customHeight="false" outlineLevel="0" collapsed="false">
      <c r="A497" s="138" t="n">
        <f aca="false">ExportRaw!$F497</f>
        <v>0</v>
      </c>
      <c r="B497" s="138" t="n">
        <f aca="false">ExportRaw!$C497</f>
        <v>0</v>
      </c>
      <c r="C497" s="138" t="n">
        <f aca="false">ExportRaw!$G497</f>
        <v>0</v>
      </c>
      <c r="D497" s="138" t="str">
        <f aca="false">ExportRaw!$E497</f>
        <v/>
      </c>
      <c r="E497" s="139" t="str">
        <f aca="false">ExportRaw!$D497</f>
        <v/>
      </c>
      <c r="F497" s="138" t="str">
        <f aca="false">ExportRaw!$H497</f>
        <v/>
      </c>
      <c r="G497" s="140" t="str">
        <f aca="false">ExportRaw!$I497</f>
        <v/>
      </c>
      <c r="H497" s="138" t="str">
        <f aca="false">ExportRaw!$A497</f>
        <v/>
      </c>
      <c r="I497" s="138" t="str">
        <f aca="false">ExportRaw!$B497</f>
        <v/>
      </c>
    </row>
    <row r="498" customFormat="false" ht="15.75" hidden="false" customHeight="false" outlineLevel="0" collapsed="false">
      <c r="A498" s="138" t="n">
        <f aca="false">ExportRaw!$F498</f>
        <v>0</v>
      </c>
      <c r="B498" s="138" t="n">
        <f aca="false">ExportRaw!$C498</f>
        <v>0</v>
      </c>
      <c r="C498" s="138" t="n">
        <f aca="false">ExportRaw!$G498</f>
        <v>0</v>
      </c>
      <c r="D498" s="138" t="str">
        <f aca="false">ExportRaw!$E498</f>
        <v/>
      </c>
      <c r="E498" s="139" t="str">
        <f aca="false">ExportRaw!$D498</f>
        <v/>
      </c>
      <c r="F498" s="138" t="str">
        <f aca="false">ExportRaw!$H498</f>
        <v/>
      </c>
      <c r="G498" s="140" t="str">
        <f aca="false">ExportRaw!$I498</f>
        <v/>
      </c>
      <c r="H498" s="138" t="str">
        <f aca="false">ExportRaw!$A498</f>
        <v/>
      </c>
      <c r="I498" s="138" t="str">
        <f aca="false">ExportRaw!$B498</f>
        <v/>
      </c>
    </row>
    <row r="499" customFormat="false" ht="15.75" hidden="false" customHeight="false" outlineLevel="0" collapsed="false">
      <c r="A499" s="138" t="n">
        <f aca="false">ExportRaw!$F499</f>
        <v>0</v>
      </c>
      <c r="B499" s="138" t="n">
        <f aca="false">ExportRaw!$C499</f>
        <v>0</v>
      </c>
      <c r="C499" s="138" t="n">
        <f aca="false">ExportRaw!$G499</f>
        <v>0</v>
      </c>
      <c r="D499" s="138" t="str">
        <f aca="false">ExportRaw!$E499</f>
        <v/>
      </c>
      <c r="E499" s="139" t="str">
        <f aca="false">ExportRaw!$D499</f>
        <v/>
      </c>
      <c r="F499" s="138" t="str">
        <f aca="false">ExportRaw!$H499</f>
        <v/>
      </c>
      <c r="G499" s="140" t="str">
        <f aca="false">ExportRaw!$I499</f>
        <v/>
      </c>
      <c r="H499" s="138" t="str">
        <f aca="false">ExportRaw!$A499</f>
        <v/>
      </c>
      <c r="I499" s="138" t="str">
        <f aca="false">ExportRaw!$B499</f>
        <v/>
      </c>
    </row>
    <row r="500" customFormat="false" ht="15.75" hidden="false" customHeight="false" outlineLevel="0" collapsed="false">
      <c r="A500" s="138" t="n">
        <f aca="false">ExportRaw!$F500</f>
        <v>0</v>
      </c>
      <c r="B500" s="138" t="n">
        <f aca="false">ExportRaw!$C500</f>
        <v>0</v>
      </c>
      <c r="C500" s="138" t="n">
        <f aca="false">ExportRaw!$G500</f>
        <v>0</v>
      </c>
      <c r="D500" s="138" t="str">
        <f aca="false">ExportRaw!$E500</f>
        <v/>
      </c>
      <c r="E500" s="139" t="str">
        <f aca="false">ExportRaw!$D500</f>
        <v/>
      </c>
      <c r="F500" s="138" t="str">
        <f aca="false">ExportRaw!$H500</f>
        <v/>
      </c>
      <c r="G500" s="140" t="str">
        <f aca="false">ExportRaw!$I500</f>
        <v/>
      </c>
      <c r="H500" s="138" t="str">
        <f aca="false">ExportRaw!$A500</f>
        <v/>
      </c>
      <c r="I500" s="138" t="str">
        <f aca="false">ExportRaw!$B500</f>
        <v/>
      </c>
    </row>
    <row r="501" customFormat="false" ht="15.75" hidden="false" customHeight="false" outlineLevel="0" collapsed="false">
      <c r="A501" s="138" t="n">
        <f aca="false">ExportRaw!$F501</f>
        <v>0</v>
      </c>
      <c r="B501" s="138" t="n">
        <f aca="false">ExportRaw!$C501</f>
        <v>0</v>
      </c>
      <c r="C501" s="138" t="n">
        <f aca="false">ExportRaw!$G501</f>
        <v>0</v>
      </c>
      <c r="D501" s="138" t="str">
        <f aca="false">ExportRaw!$E501</f>
        <v/>
      </c>
      <c r="E501" s="139" t="str">
        <f aca="false">ExportRaw!$D501</f>
        <v/>
      </c>
      <c r="F501" s="138" t="str">
        <f aca="false">ExportRaw!$H501</f>
        <v/>
      </c>
      <c r="G501" s="140" t="str">
        <f aca="false">ExportRaw!$I501</f>
        <v/>
      </c>
      <c r="H501" s="138" t="str">
        <f aca="false">ExportRaw!$A501</f>
        <v/>
      </c>
      <c r="I501" s="138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37" t="s">
        <v>147</v>
      </c>
      <c r="B1" s="137" t="s">
        <v>148</v>
      </c>
      <c r="C1" s="137" t="s">
        <v>149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customFormat="false" ht="15.75" hidden="false" customHeight="false" outlineLevel="0" collapsed="false">
      <c r="A2" s="141" t="n">
        <v>45977</v>
      </c>
      <c r="B2" s="138" t="s">
        <v>150</v>
      </c>
      <c r="C2" s="138" t="s">
        <v>151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customFormat="false" ht="15.75" hidden="false" customHeight="false" outlineLevel="0" collapsed="false">
      <c r="A3" s="141" t="n">
        <v>46032</v>
      </c>
      <c r="B3" s="138" t="s">
        <v>152</v>
      </c>
      <c r="C3" s="138" t="s">
        <v>153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 customFormat="false" ht="15.75" hidden="false" customHeight="false" outlineLevel="0" collapsed="false">
      <c r="A4" s="141" t="n">
        <v>46036</v>
      </c>
      <c r="B4" s="138" t="s">
        <v>154</v>
      </c>
      <c r="C4" s="138" t="s">
        <v>155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 customFormat="false" ht="15.75" hidden="false" customHeight="false" outlineLevel="0" collapsed="false">
      <c r="A5" s="141" t="n">
        <v>46042</v>
      </c>
      <c r="B5" s="138" t="s">
        <v>156</v>
      </c>
      <c r="C5" s="138" t="s">
        <v>157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 customFormat="false" ht="15.75" hidden="false" customHeight="false" outlineLevel="0" collapsed="false">
      <c r="A6" s="142" t="n">
        <v>46050</v>
      </c>
      <c r="B6" s="138" t="s">
        <v>158</v>
      </c>
      <c r="C6" s="138" t="s">
        <v>159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customFormat="false" ht="15.75" hidden="false" customHeight="false" outlineLevel="0" collapsed="false">
      <c r="A7" s="142" t="n">
        <v>46053</v>
      </c>
      <c r="B7" s="138" t="s">
        <v>160</v>
      </c>
      <c r="C7" s="138" t="s">
        <v>161</v>
      </c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customFormat="false" ht="15.75" hidden="false" customHeight="false" outlineLevel="0" collapsed="false">
      <c r="A8" s="143" t="n">
        <v>46058</v>
      </c>
      <c r="B8" s="138" t="s">
        <v>162</v>
      </c>
      <c r="C8" s="138" t="s">
        <v>163</v>
      </c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customFormat="false" ht="15.75" hidden="false" customHeight="false" outlineLevel="0" collapsed="false">
      <c r="A9" s="143" t="n">
        <v>46077</v>
      </c>
      <c r="B9" s="138" t="s">
        <v>164</v>
      </c>
      <c r="C9" s="138" t="s">
        <v>165</v>
      </c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customFormat="false" ht="15.75" hidden="false" customHeight="false" outlineLevel="0" collapsed="false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customFormat="false" ht="15.75" hidden="false" customHeight="false" outlineLevel="0" collapsed="false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customFormat="false" ht="15.75" hidden="false" customHeight="false" outlineLevel="0" collapsed="false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customFormat="false" ht="15.75" hidden="false" customHeight="false" outlineLevel="0" collapsed="false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customFormat="false" ht="15.75" hidden="false" customHeight="false" outlineLevel="0" collapsed="false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customFormat="false" ht="15.75" hidden="false" customHeight="false" outlineLevel="0" collapsed="false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customFormat="false" ht="15.75" hidden="false" customHeight="false" outlineLevel="0" collapsed="false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customFormat="false" ht="15.75" hidden="false" customHeight="false" outlineLevel="0" collapsed="false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 customFormat="false" ht="15.75" hidden="false" customHeight="false" outlineLevel="0" collapsed="false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 customFormat="false" ht="15.75" hidden="false" customHeight="false" outlineLevel="0" collapsed="false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 customFormat="false" ht="15.75" hidden="false" customHeight="false" outlineLevel="0" collapsed="false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 customFormat="false" ht="15.75" hidden="false" customHeight="false" outlineLevel="0" collapsed="false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customFormat="false" ht="15.75" hidden="false" customHeight="false" outlineLevel="0" collapsed="false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customFormat="false" ht="15.75" hidden="false" customHeight="false" outlineLevel="0" collapsed="false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customFormat="false" ht="15.75" hidden="false" customHeight="false" outlineLevel="0" collapsed="false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customFormat="false" ht="15.75" hidden="false" customHeight="false" outlineLevel="0" collapsed="false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customFormat="false" ht="15.75" hidden="false" customHeight="false" outlineLevel="0" collapsed="false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customFormat="false" ht="15.75" hidden="false" customHeight="false" outlineLevel="0" collapsed="false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customFormat="false" ht="15.75" hidden="false" customHeight="false" outlineLevel="0" collapsed="false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customFormat="false" ht="15.75" hidden="false" customHeight="false" outlineLevel="0" collapsed="false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customFormat="false" ht="15.75" hidden="false" customHeight="false" outlineLevel="0" collapsed="false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customFormat="false" ht="15.75" hidden="false" customHeight="false" outlineLevel="0" collapsed="false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customFormat="false" ht="15.75" hidden="false" customHeight="false" outlineLevel="0" collapsed="false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customFormat="false" ht="15.75" hidden="false" customHeight="false" outlineLevel="0" collapsed="false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customFormat="false" ht="15.75" hidden="false" customHeight="false" outlineLevel="0" collapsed="false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customFormat="false" ht="15.75" hidden="false" customHeight="false" outlineLevel="0" collapsed="false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customFormat="false" ht="15.75" hidden="false" customHeight="false" outlineLevel="0" collapsed="false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customFormat="false" ht="15.75" hidden="false" customHeight="false" outlineLevel="0" collapsed="false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customFormat="false" ht="15.75" hidden="false" customHeight="false" outlineLevel="0" collapsed="false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customFormat="false" ht="15.75" hidden="false" customHeight="false" outlineLevel="0" collapsed="false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customFormat="false" ht="15.75" hidden="false" customHeight="false" outlineLevel="0" collapsed="false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customFormat="false" ht="15.75" hidden="false" customHeight="false" outlineLevel="0" collapsed="false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customFormat="false" ht="15.75" hidden="false" customHeight="false" outlineLevel="0" collapsed="false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customFormat="false" ht="15.75" hidden="false" customHeight="false" outlineLevel="0" collapsed="false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customFormat="false" ht="15.75" hidden="false" customHeight="false" outlineLevel="0" collapsed="false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customFormat="false" ht="15.75" hidden="false" customHeight="false" outlineLevel="0" collapsed="false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customFormat="false" ht="15.75" hidden="false" customHeight="false" outlineLevel="0" collapsed="false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customFormat="false" ht="15.75" hidden="false" customHeight="false" outlineLevel="0" collapsed="false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customFormat="false" ht="15.75" hidden="false" customHeight="false" outlineLevel="0" collapsed="false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customFormat="false" ht="15.75" hidden="false" customHeight="false" outlineLevel="0" collapsed="false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customFormat="false" ht="15.75" hidden="false" customHeight="false" outlineLevel="0" collapsed="false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 customFormat="false" ht="15.75" hidden="false" customHeight="false" outlineLevel="0" collapsed="false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customFormat="false" ht="15.75" hidden="false" customHeight="false" outlineLevel="0" collapsed="false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customFormat="false" ht="15.75" hidden="false" customHeight="false" outlineLevel="0" collapsed="false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 customFormat="false" ht="15.75" hidden="false" customHeight="false" outlineLevel="0" collapsed="false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 customFormat="false" ht="15.75" hidden="false" customHeight="false" outlineLevel="0" collapsed="false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 customFormat="false" ht="15.75" hidden="false" customHeight="false" outlineLevel="0" collapsed="false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 customFormat="false" ht="15.75" hidden="false" customHeight="false" outlineLevel="0" collapsed="false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customFormat="false" ht="15.75" hidden="false" customHeight="false" outlineLevel="0" collapsed="false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customFormat="false" ht="15.75" hidden="false" customHeight="false" outlineLevel="0" collapsed="false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customFormat="false" ht="15.75" hidden="false" customHeight="false" outlineLevel="0" collapsed="false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customFormat="false" ht="15.75" hidden="false" customHeight="false" outlineLevel="0" collapsed="false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 customFormat="false" ht="15.75" hidden="false" customHeight="false" outlineLevel="0" collapsed="false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 customFormat="false" ht="15.75" hidden="false" customHeight="false" outlineLevel="0" collapsed="false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 customFormat="false" ht="15.75" hidden="false" customHeight="false" outlineLevel="0" collapsed="false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 customFormat="false" ht="15.75" hidden="false" customHeight="false" outlineLevel="0" collapsed="false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 customFormat="false" ht="15.75" hidden="false" customHeight="false" outlineLevel="0" collapsed="false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 customFormat="false" ht="15.75" hidden="false" customHeight="false" outlineLevel="0" collapsed="false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 customFormat="false" ht="15.75" hidden="false" customHeight="false" outlineLevel="0" collapsed="false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 customFormat="false" ht="15.75" hidden="false" customHeight="false" outlineLevel="0" collapsed="false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 customFormat="false" ht="15.75" hidden="false" customHeight="false" outlineLevel="0" collapsed="false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 customFormat="false" ht="15.75" hidden="false" customHeight="false" outlineLevel="0" collapsed="false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 customFormat="false" ht="15.75" hidden="false" customHeight="false" outlineLevel="0" collapsed="false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 customFormat="false" ht="15.75" hidden="false" customHeight="false" outlineLevel="0" collapsed="false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 customFormat="false" ht="15.75" hidden="false" customHeight="false" outlineLevel="0" collapsed="false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 customFormat="false" ht="15.75" hidden="false" customHeight="false" outlineLevel="0" collapsed="false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 customFormat="false" ht="15.75" hidden="false" customHeight="false" outlineLevel="0" collapsed="false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 customFormat="false" ht="15.75" hidden="false" customHeight="false" outlineLevel="0" collapsed="false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 customFormat="false" ht="15.75" hidden="false" customHeight="false" outlineLevel="0" collapsed="false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customFormat="false" ht="15.75" hidden="false" customHeight="false" outlineLevel="0" collapsed="false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customFormat="false" ht="15.75" hidden="false" customHeight="false" outlineLevel="0" collapsed="false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customFormat="false" ht="15.75" hidden="false" customHeight="false" outlineLevel="0" collapsed="false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customFormat="false" ht="15.75" hidden="false" customHeight="false" outlineLevel="0" collapsed="false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customFormat="false" ht="15.75" hidden="false" customHeight="false" outlineLevel="0" collapsed="false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 customFormat="false" ht="15.75" hidden="false" customHeight="false" outlineLevel="0" collapsed="false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customFormat="false" ht="15.75" hidden="false" customHeight="false" outlineLevel="0" collapsed="false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customFormat="false" ht="15.75" hidden="false" customHeight="false" outlineLevel="0" collapsed="false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customFormat="false" ht="15.75" hidden="false" customHeight="false" outlineLevel="0" collapsed="false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customFormat="false" ht="15.75" hidden="false" customHeight="false" outlineLevel="0" collapsed="false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customFormat="false" ht="15.75" hidden="false" customHeight="false" outlineLevel="0" collapsed="false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customFormat="false" ht="15.75" hidden="false" customHeight="false" outlineLevel="0" collapsed="false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customFormat="false" ht="15.75" hidden="false" customHeight="false" outlineLevel="0" collapsed="false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customFormat="false" ht="15.75" hidden="false" customHeight="false" outlineLevel="0" collapsed="false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customFormat="false" ht="15.75" hidden="false" customHeight="false" outlineLevel="0" collapsed="false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 customFormat="false" ht="15.75" hidden="false" customHeight="false" outlineLevel="0" collapsed="false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 customFormat="false" ht="15.75" hidden="false" customHeight="false" outlineLevel="0" collapsed="false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 customFormat="false" ht="15.75" hidden="false" customHeight="false" outlineLevel="0" collapsed="false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 customFormat="false" ht="15.75" hidden="false" customHeight="false" outlineLevel="0" collapsed="false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 customFormat="false" ht="15.75" hidden="false" customHeight="false" outlineLevel="0" collapsed="false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 customFormat="false" ht="15.75" hidden="false" customHeight="false" outlineLevel="0" collapsed="false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 customFormat="false" ht="15.75" hidden="false" customHeight="false" outlineLevel="0" collapsed="false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 customFormat="false" ht="15.75" hidden="false" customHeight="false" outlineLevel="0" collapsed="false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 customFormat="false" ht="15.75" hidden="false" customHeight="false" outlineLevel="0" collapsed="false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 customFormat="false" ht="15.75" hidden="false" customHeight="false" outlineLevel="0" collapsed="false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 customFormat="false" ht="15.75" hidden="false" customHeight="false" outlineLevel="0" collapsed="false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 customFormat="false" ht="15.75" hidden="false" customHeight="false" outlineLevel="0" collapsed="false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 customFormat="false" ht="15.75" hidden="false" customHeight="false" outlineLevel="0" collapsed="false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 customFormat="false" ht="15.75" hidden="false" customHeight="false" outlineLevel="0" collapsed="false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 customFormat="false" ht="15.75" hidden="false" customHeight="false" outlineLevel="0" collapsed="false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 customFormat="false" ht="15.75" hidden="false" customHeight="false" outlineLevel="0" collapsed="false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 customFormat="false" ht="15.75" hidden="false" customHeight="false" outlineLevel="0" collapsed="false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 customFormat="false" ht="15.75" hidden="false" customHeight="false" outlineLevel="0" collapsed="false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 customFormat="false" ht="15.75" hidden="false" customHeight="false" outlineLevel="0" collapsed="false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 customFormat="false" ht="15.75" hidden="false" customHeight="false" outlineLevel="0" collapsed="false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 customFormat="false" ht="15.75" hidden="false" customHeight="false" outlineLevel="0" collapsed="false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 customFormat="false" ht="15.75" hidden="false" customHeight="false" outlineLevel="0" collapsed="false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 customFormat="false" ht="15.75" hidden="false" customHeight="false" outlineLevel="0" collapsed="false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 customFormat="false" ht="15.75" hidden="false" customHeight="false" outlineLevel="0" collapsed="false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 customFormat="false" ht="15.75" hidden="false" customHeight="false" outlineLevel="0" collapsed="false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 customFormat="false" ht="15.75" hidden="false" customHeight="false" outlineLevel="0" collapsed="false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 customFormat="false" ht="15.75" hidden="false" customHeight="false" outlineLevel="0" collapsed="false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 customFormat="false" ht="15.75" hidden="false" customHeight="false" outlineLevel="0" collapsed="false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 customFormat="false" ht="15.75" hidden="false" customHeight="false" outlineLevel="0" collapsed="false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 customFormat="false" ht="15.75" hidden="false" customHeight="false" outlineLevel="0" collapsed="false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 customFormat="false" ht="15.75" hidden="false" customHeight="false" outlineLevel="0" collapsed="false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 customFormat="false" ht="15.75" hidden="false" customHeight="false" outlineLevel="0" collapsed="false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 customFormat="false" ht="15.75" hidden="false" customHeight="false" outlineLevel="0" collapsed="false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 customFormat="false" ht="15.75" hidden="false" customHeight="false" outlineLevel="0" collapsed="false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 customFormat="false" ht="15.75" hidden="false" customHeight="false" outlineLevel="0" collapsed="false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 customFormat="false" ht="15.75" hidden="false" customHeight="false" outlineLevel="0" collapsed="false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 customFormat="false" ht="15.75" hidden="false" customHeight="false" outlineLevel="0" collapsed="false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 customFormat="false" ht="15.75" hidden="false" customHeight="false" outlineLevel="0" collapsed="false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 customFormat="false" ht="15.75" hidden="false" customHeight="false" outlineLevel="0" collapsed="false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 customFormat="false" ht="15.75" hidden="false" customHeight="false" outlineLevel="0" collapsed="false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 customFormat="false" ht="15.75" hidden="false" customHeight="false" outlineLevel="0" collapsed="false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 customFormat="false" ht="15.75" hidden="false" customHeight="false" outlineLevel="0" collapsed="false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 customFormat="false" ht="15.75" hidden="false" customHeight="false" outlineLevel="0" collapsed="false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 customFormat="false" ht="15.75" hidden="false" customHeight="false" outlineLevel="0" collapsed="false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 customFormat="false" ht="15.75" hidden="false" customHeight="false" outlineLevel="0" collapsed="false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 customFormat="false" ht="15.75" hidden="false" customHeight="false" outlineLevel="0" collapsed="false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 customFormat="false" ht="15.75" hidden="false" customHeight="false" outlineLevel="0" collapsed="false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 customFormat="false" ht="15.75" hidden="false" customHeight="false" outlineLevel="0" collapsed="false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 customFormat="false" ht="15.75" hidden="false" customHeight="false" outlineLevel="0" collapsed="false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 customFormat="false" ht="15.75" hidden="false" customHeight="false" outlineLevel="0" collapsed="false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 customFormat="false" ht="15.75" hidden="false" customHeight="false" outlineLevel="0" collapsed="false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 customFormat="false" ht="15.75" hidden="false" customHeight="false" outlineLevel="0" collapsed="false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 customFormat="false" ht="15.75" hidden="false" customHeight="false" outlineLevel="0" collapsed="false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 customFormat="false" ht="15.75" hidden="false" customHeight="false" outlineLevel="0" collapsed="false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 customFormat="false" ht="15.75" hidden="false" customHeight="false" outlineLevel="0" collapsed="false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 customFormat="false" ht="15.75" hidden="false" customHeight="false" outlineLevel="0" collapsed="false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 customFormat="false" ht="15.75" hidden="false" customHeight="false" outlineLevel="0" collapsed="false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 customFormat="false" ht="15.75" hidden="false" customHeight="false" outlineLevel="0" collapsed="false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 customFormat="false" ht="15.75" hidden="false" customHeight="false" outlineLevel="0" collapsed="false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 customFormat="false" ht="15.75" hidden="false" customHeight="false" outlineLevel="0" collapsed="false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 customFormat="false" ht="15.75" hidden="false" customHeight="false" outlineLevel="0" collapsed="false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 customFormat="false" ht="15.75" hidden="false" customHeight="false" outlineLevel="0" collapsed="false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 customFormat="false" ht="15.75" hidden="false" customHeight="false" outlineLevel="0" collapsed="false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 customFormat="false" ht="15.75" hidden="false" customHeight="false" outlineLevel="0" collapsed="false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 customFormat="false" ht="15.75" hidden="false" customHeight="false" outlineLevel="0" collapsed="false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 customFormat="false" ht="15.75" hidden="false" customHeight="false" outlineLevel="0" collapsed="false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 customFormat="false" ht="15.75" hidden="false" customHeight="false" outlineLevel="0" collapsed="false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 customFormat="false" ht="15.75" hidden="false" customHeight="false" outlineLevel="0" collapsed="false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 customFormat="false" ht="15.75" hidden="false" customHeight="false" outlineLevel="0" collapsed="false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 customFormat="false" ht="15.75" hidden="false" customHeight="false" outlineLevel="0" collapsed="false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 customFormat="false" ht="15.75" hidden="false" customHeight="false" outlineLevel="0" collapsed="false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 customFormat="false" ht="15.75" hidden="false" customHeight="false" outlineLevel="0" collapsed="false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 customFormat="false" ht="15.75" hidden="false" customHeight="false" outlineLevel="0" collapsed="false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 customFormat="false" ht="15.75" hidden="false" customHeight="false" outlineLevel="0" collapsed="false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 customFormat="false" ht="15.75" hidden="false" customHeight="false" outlineLevel="0" collapsed="false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 customFormat="false" ht="15.75" hidden="false" customHeight="false" outlineLevel="0" collapsed="false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 customFormat="false" ht="15.75" hidden="false" customHeight="false" outlineLevel="0" collapsed="false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 customFormat="false" ht="15.75" hidden="false" customHeight="false" outlineLevel="0" collapsed="false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 customFormat="false" ht="15.75" hidden="false" customHeight="false" outlineLevel="0" collapsed="false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 customFormat="false" ht="15.75" hidden="false" customHeight="false" outlineLevel="0" collapsed="false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 customFormat="false" ht="15.75" hidden="false" customHeight="false" outlineLevel="0" collapsed="false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 customFormat="false" ht="15.75" hidden="false" customHeight="false" outlineLevel="0" collapsed="false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 customFormat="false" ht="15.75" hidden="false" customHeight="false" outlineLevel="0" collapsed="false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 customFormat="false" ht="15.75" hidden="false" customHeight="false" outlineLevel="0" collapsed="false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 customFormat="false" ht="15.75" hidden="false" customHeight="false" outlineLevel="0" collapsed="false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 customFormat="false" ht="15.75" hidden="false" customHeight="false" outlineLevel="0" collapsed="false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 customFormat="false" ht="15.75" hidden="false" customHeight="false" outlineLevel="0" collapsed="false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 customFormat="false" ht="15.75" hidden="false" customHeight="false" outlineLevel="0" collapsed="false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 customFormat="false" ht="15.75" hidden="false" customHeight="false" outlineLevel="0" collapsed="false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 customFormat="false" ht="15.75" hidden="false" customHeight="false" outlineLevel="0" collapsed="false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 customFormat="false" ht="15.75" hidden="false" customHeight="false" outlineLevel="0" collapsed="false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 customFormat="false" ht="15.75" hidden="false" customHeight="false" outlineLevel="0" collapsed="false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 customFormat="false" ht="15.75" hidden="false" customHeight="false" outlineLevel="0" collapsed="false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 customFormat="false" ht="15.75" hidden="false" customHeight="false" outlineLevel="0" collapsed="false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 customFormat="false" ht="15.75" hidden="false" customHeight="false" outlineLevel="0" collapsed="false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 customFormat="false" ht="15.75" hidden="false" customHeight="false" outlineLevel="0" collapsed="false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 customFormat="false" ht="15.75" hidden="false" customHeight="false" outlineLevel="0" collapsed="false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 customFormat="false" ht="15.75" hidden="false" customHeight="false" outlineLevel="0" collapsed="false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 customFormat="false" ht="15.75" hidden="false" customHeight="false" outlineLevel="0" collapsed="false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 customFormat="false" ht="15.75" hidden="false" customHeight="false" outlineLevel="0" collapsed="false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 customFormat="false" ht="15.75" hidden="false" customHeight="false" outlineLevel="0" collapsed="false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 customFormat="false" ht="15.75" hidden="false" customHeight="false" outlineLevel="0" collapsed="false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 customFormat="false" ht="15.75" hidden="false" customHeight="false" outlineLevel="0" collapsed="false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 customFormat="false" ht="15.75" hidden="false" customHeight="false" outlineLevel="0" collapsed="false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 customFormat="false" ht="15.75" hidden="false" customHeight="false" outlineLevel="0" collapsed="false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 customFormat="false" ht="15.75" hidden="false" customHeight="false" outlineLevel="0" collapsed="false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 customFormat="false" ht="15.75" hidden="false" customHeight="false" outlineLevel="0" collapsed="false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 customFormat="false" ht="15.75" hidden="false" customHeight="false" outlineLevel="0" collapsed="false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 customFormat="false" ht="15.75" hidden="false" customHeight="false" outlineLevel="0" collapsed="false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 customFormat="false" ht="15.75" hidden="false" customHeight="false" outlineLevel="0" collapsed="false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 customFormat="false" ht="15.75" hidden="false" customHeight="false" outlineLevel="0" collapsed="false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 customFormat="false" ht="15.75" hidden="false" customHeight="false" outlineLevel="0" collapsed="false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customFormat="false" ht="15.75" hidden="false" customHeight="false" outlineLevel="0" collapsed="false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customFormat="false" ht="15.75" hidden="false" customHeight="false" outlineLevel="0" collapsed="false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customFormat="false" ht="15.75" hidden="false" customHeight="false" outlineLevel="0" collapsed="false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customFormat="false" ht="15.75" hidden="false" customHeight="false" outlineLevel="0" collapsed="false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customFormat="false" ht="15.75" hidden="false" customHeight="false" outlineLevel="0" collapsed="false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customFormat="false" ht="15.75" hidden="false" customHeight="false" outlineLevel="0" collapsed="false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customFormat="false" ht="15.75" hidden="false" customHeight="false" outlineLevel="0" collapsed="false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customFormat="false" ht="15.75" hidden="false" customHeight="false" outlineLevel="0" collapsed="false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customFormat="false" ht="15.75" hidden="false" customHeight="false" outlineLevel="0" collapsed="false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customFormat="false" ht="15.75" hidden="false" customHeight="false" outlineLevel="0" collapsed="false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customFormat="false" ht="15.75" hidden="false" customHeight="false" outlineLevel="0" collapsed="false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customFormat="false" ht="15.75" hidden="false" customHeight="false" outlineLevel="0" collapsed="false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customFormat="false" ht="15.75" hidden="false" customHeight="false" outlineLevel="0" collapsed="false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customFormat="false" ht="15.75" hidden="false" customHeight="false" outlineLevel="0" collapsed="false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customFormat="false" ht="15.75" hidden="false" customHeight="false" outlineLevel="0" collapsed="false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customFormat="false" ht="15.75" hidden="false" customHeight="false" outlineLevel="0" collapsed="false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customFormat="false" ht="15.75" hidden="false" customHeight="false" outlineLevel="0" collapsed="false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customFormat="false" ht="15.75" hidden="false" customHeight="false" outlineLevel="0" collapsed="false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customFormat="false" ht="15.75" hidden="false" customHeight="false" outlineLevel="0" collapsed="false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customFormat="false" ht="15.75" hidden="false" customHeight="false" outlineLevel="0" collapsed="false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customFormat="false" ht="15.75" hidden="false" customHeight="false" outlineLevel="0" collapsed="false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customFormat="false" ht="15.75" hidden="false" customHeight="false" outlineLevel="0" collapsed="false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customFormat="false" ht="15.75" hidden="false" customHeight="false" outlineLevel="0" collapsed="false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customFormat="false" ht="15.75" hidden="false" customHeight="false" outlineLevel="0" collapsed="false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customFormat="false" ht="15.75" hidden="false" customHeight="false" outlineLevel="0" collapsed="false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customFormat="false" ht="15.75" hidden="false" customHeight="false" outlineLevel="0" collapsed="false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customFormat="false" ht="15.75" hidden="false" customHeight="false" outlineLevel="0" collapsed="false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customFormat="false" ht="15.75" hidden="false" customHeight="false" outlineLevel="0" collapsed="false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customFormat="false" ht="15.75" hidden="false" customHeight="false" outlineLevel="0" collapsed="false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customFormat="false" ht="15.75" hidden="false" customHeight="false" outlineLevel="0" collapsed="false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customFormat="false" ht="15.75" hidden="false" customHeight="false" outlineLevel="0" collapsed="false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customFormat="false" ht="15.75" hidden="false" customHeight="false" outlineLevel="0" collapsed="false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customFormat="false" ht="15.75" hidden="false" customHeight="false" outlineLevel="0" collapsed="false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customFormat="false" ht="15.75" hidden="false" customHeight="false" outlineLevel="0" collapsed="false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customFormat="false" ht="15.75" hidden="false" customHeight="false" outlineLevel="0" collapsed="false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customFormat="false" ht="15.75" hidden="false" customHeight="false" outlineLevel="0" collapsed="false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customFormat="false" ht="15.75" hidden="false" customHeight="false" outlineLevel="0" collapsed="false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customFormat="false" ht="15.75" hidden="false" customHeight="false" outlineLevel="0" collapsed="false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customFormat="false" ht="15.75" hidden="false" customHeight="false" outlineLevel="0" collapsed="false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customFormat="false" ht="15.75" hidden="false" customHeight="false" outlineLevel="0" collapsed="false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customFormat="false" ht="15.75" hidden="false" customHeight="false" outlineLevel="0" collapsed="false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customFormat="false" ht="15.75" hidden="false" customHeight="false" outlineLevel="0" collapsed="false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customFormat="false" ht="15.75" hidden="false" customHeight="false" outlineLevel="0" collapsed="false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customFormat="false" ht="15.75" hidden="false" customHeight="false" outlineLevel="0" collapsed="false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customFormat="false" ht="15.75" hidden="false" customHeight="false" outlineLevel="0" collapsed="false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customFormat="false" ht="15.75" hidden="false" customHeight="false" outlineLevel="0" collapsed="false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customFormat="false" ht="15.75" hidden="false" customHeight="false" outlineLevel="0" collapsed="false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customFormat="false" ht="15.75" hidden="false" customHeight="false" outlineLevel="0" collapsed="false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customFormat="false" ht="15.75" hidden="false" customHeight="false" outlineLevel="0" collapsed="false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customFormat="false" ht="15.75" hidden="false" customHeight="false" outlineLevel="0" collapsed="false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customFormat="false" ht="15.75" hidden="false" customHeight="false" outlineLevel="0" collapsed="false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customFormat="false" ht="15.75" hidden="false" customHeight="false" outlineLevel="0" collapsed="false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customFormat="false" ht="15.75" hidden="false" customHeight="false" outlineLevel="0" collapsed="false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customFormat="false" ht="15.75" hidden="false" customHeight="false" outlineLevel="0" collapsed="false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customFormat="false" ht="15.75" hidden="false" customHeight="false" outlineLevel="0" collapsed="false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customFormat="false" ht="15.75" hidden="false" customHeight="false" outlineLevel="0" collapsed="false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customFormat="false" ht="15.75" hidden="false" customHeight="false" outlineLevel="0" collapsed="false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customFormat="false" ht="15.75" hidden="false" customHeight="false" outlineLevel="0" collapsed="false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customFormat="false" ht="15.75" hidden="false" customHeight="false" outlineLevel="0" collapsed="false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customFormat="false" ht="15.75" hidden="false" customHeight="false" outlineLevel="0" collapsed="false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customFormat="false" ht="15.75" hidden="false" customHeight="false" outlineLevel="0" collapsed="false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customFormat="false" ht="15.75" hidden="false" customHeight="false" outlineLevel="0" collapsed="false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customFormat="false" ht="15.75" hidden="false" customHeight="false" outlineLevel="0" collapsed="false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customFormat="false" ht="15.75" hidden="false" customHeight="false" outlineLevel="0" collapsed="false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customFormat="false" ht="15.75" hidden="false" customHeight="false" outlineLevel="0" collapsed="false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customFormat="false" ht="15.75" hidden="false" customHeight="false" outlineLevel="0" collapsed="false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customFormat="false" ht="15.75" hidden="false" customHeight="false" outlineLevel="0" collapsed="false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customFormat="false" ht="15.75" hidden="false" customHeight="false" outlineLevel="0" collapsed="false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customFormat="false" ht="15.75" hidden="false" customHeight="false" outlineLevel="0" collapsed="false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customFormat="false" ht="15.75" hidden="false" customHeight="false" outlineLevel="0" collapsed="false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customFormat="false" ht="15.75" hidden="false" customHeight="false" outlineLevel="0" collapsed="false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customFormat="false" ht="15.75" hidden="false" customHeight="false" outlineLevel="0" collapsed="false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customFormat="false" ht="15.75" hidden="false" customHeight="false" outlineLevel="0" collapsed="false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customFormat="false" ht="15.75" hidden="false" customHeight="false" outlineLevel="0" collapsed="false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customFormat="false" ht="15.75" hidden="false" customHeight="false" outlineLevel="0" collapsed="false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customFormat="false" ht="15.75" hidden="false" customHeight="false" outlineLevel="0" collapsed="false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customFormat="false" ht="15.75" hidden="false" customHeight="false" outlineLevel="0" collapsed="false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customFormat="false" ht="15.75" hidden="false" customHeight="false" outlineLevel="0" collapsed="false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customFormat="false" ht="15.75" hidden="false" customHeight="false" outlineLevel="0" collapsed="false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customFormat="false" ht="15.75" hidden="false" customHeight="false" outlineLevel="0" collapsed="false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customFormat="false" ht="15.75" hidden="false" customHeight="false" outlineLevel="0" collapsed="false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customFormat="false" ht="15.75" hidden="false" customHeight="false" outlineLevel="0" collapsed="false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customFormat="false" ht="15.75" hidden="false" customHeight="false" outlineLevel="0" collapsed="false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customFormat="false" ht="15.75" hidden="false" customHeight="false" outlineLevel="0" collapsed="false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customFormat="false" ht="15.75" hidden="false" customHeight="false" outlineLevel="0" collapsed="false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customFormat="false" ht="15.75" hidden="false" customHeight="false" outlineLevel="0" collapsed="false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customFormat="false" ht="15.75" hidden="false" customHeight="false" outlineLevel="0" collapsed="false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customFormat="false" ht="15.75" hidden="false" customHeight="false" outlineLevel="0" collapsed="false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customFormat="false" ht="15.75" hidden="false" customHeight="false" outlineLevel="0" collapsed="false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customFormat="false" ht="15.75" hidden="false" customHeight="false" outlineLevel="0" collapsed="false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customFormat="false" ht="15.75" hidden="false" customHeight="false" outlineLevel="0" collapsed="false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customFormat="false" ht="15.75" hidden="false" customHeight="false" outlineLevel="0" collapsed="false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customFormat="false" ht="15.75" hidden="false" customHeight="false" outlineLevel="0" collapsed="false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customFormat="false" ht="15.75" hidden="false" customHeight="false" outlineLevel="0" collapsed="false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customFormat="false" ht="15.75" hidden="false" customHeight="false" outlineLevel="0" collapsed="false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customFormat="false" ht="15.75" hidden="false" customHeight="false" outlineLevel="0" collapsed="false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customFormat="false" ht="15.75" hidden="false" customHeight="false" outlineLevel="0" collapsed="false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customFormat="false" ht="15.75" hidden="false" customHeight="false" outlineLevel="0" collapsed="false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customFormat="false" ht="15.75" hidden="false" customHeight="false" outlineLevel="0" collapsed="false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customFormat="false" ht="15.75" hidden="false" customHeight="false" outlineLevel="0" collapsed="false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customFormat="false" ht="15.75" hidden="false" customHeight="false" outlineLevel="0" collapsed="false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customFormat="false" ht="15.75" hidden="false" customHeight="false" outlineLevel="0" collapsed="false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customFormat="false" ht="15.75" hidden="false" customHeight="false" outlineLevel="0" collapsed="false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customFormat="false" ht="15.75" hidden="false" customHeight="false" outlineLevel="0" collapsed="false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customFormat="false" ht="15.75" hidden="false" customHeight="false" outlineLevel="0" collapsed="false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customFormat="false" ht="15.75" hidden="false" customHeight="false" outlineLevel="0" collapsed="false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customFormat="false" ht="15.75" hidden="false" customHeight="false" outlineLevel="0" collapsed="false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customFormat="false" ht="15.75" hidden="false" customHeight="false" outlineLevel="0" collapsed="false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customFormat="false" ht="15.75" hidden="false" customHeight="false" outlineLevel="0" collapsed="false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customFormat="false" ht="15.75" hidden="false" customHeight="false" outlineLevel="0" collapsed="false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customFormat="false" ht="15.75" hidden="false" customHeight="false" outlineLevel="0" collapsed="false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customFormat="false" ht="15.75" hidden="false" customHeight="false" outlineLevel="0" collapsed="false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customFormat="false" ht="15.75" hidden="false" customHeight="false" outlineLevel="0" collapsed="false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customFormat="false" ht="15.75" hidden="false" customHeight="false" outlineLevel="0" collapsed="false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customFormat="false" ht="15.75" hidden="false" customHeight="false" outlineLevel="0" collapsed="false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customFormat="false" ht="15.75" hidden="false" customHeight="false" outlineLevel="0" collapsed="false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customFormat="false" ht="15.75" hidden="false" customHeight="false" outlineLevel="0" collapsed="false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customFormat="false" ht="15.75" hidden="false" customHeight="false" outlineLevel="0" collapsed="false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customFormat="false" ht="15.75" hidden="false" customHeight="false" outlineLevel="0" collapsed="false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customFormat="false" ht="15.75" hidden="false" customHeight="false" outlineLevel="0" collapsed="false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customFormat="false" ht="15.75" hidden="false" customHeight="false" outlineLevel="0" collapsed="false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customFormat="false" ht="15.75" hidden="false" customHeight="false" outlineLevel="0" collapsed="false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customFormat="false" ht="15.75" hidden="false" customHeight="false" outlineLevel="0" collapsed="false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customFormat="false" ht="15.75" hidden="false" customHeight="false" outlineLevel="0" collapsed="false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customFormat="false" ht="15.75" hidden="false" customHeight="false" outlineLevel="0" collapsed="false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customFormat="false" ht="15.75" hidden="false" customHeight="false" outlineLevel="0" collapsed="false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customFormat="false" ht="15.75" hidden="false" customHeight="false" outlineLevel="0" collapsed="false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customFormat="false" ht="15.75" hidden="false" customHeight="false" outlineLevel="0" collapsed="false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customFormat="false" ht="15.75" hidden="false" customHeight="false" outlineLevel="0" collapsed="false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customFormat="false" ht="15.75" hidden="false" customHeight="false" outlineLevel="0" collapsed="false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customFormat="false" ht="15.75" hidden="false" customHeight="false" outlineLevel="0" collapsed="false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customFormat="false" ht="15.75" hidden="false" customHeight="false" outlineLevel="0" collapsed="false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customFormat="false" ht="15.75" hidden="false" customHeight="false" outlineLevel="0" collapsed="false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customFormat="false" ht="15.75" hidden="false" customHeight="false" outlineLevel="0" collapsed="false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customFormat="false" ht="15.75" hidden="false" customHeight="false" outlineLevel="0" collapsed="false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customFormat="false" ht="15.75" hidden="false" customHeight="false" outlineLevel="0" collapsed="false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customFormat="false" ht="15.75" hidden="false" customHeight="false" outlineLevel="0" collapsed="false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customFormat="false" ht="15.75" hidden="false" customHeight="false" outlineLevel="0" collapsed="false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customFormat="false" ht="15.75" hidden="false" customHeight="false" outlineLevel="0" collapsed="false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customFormat="false" ht="15.75" hidden="false" customHeight="false" outlineLevel="0" collapsed="false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customFormat="false" ht="15.75" hidden="false" customHeight="false" outlineLevel="0" collapsed="false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customFormat="false" ht="15.75" hidden="false" customHeight="false" outlineLevel="0" collapsed="false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customFormat="false" ht="15.75" hidden="false" customHeight="false" outlineLevel="0" collapsed="false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customFormat="false" ht="15.75" hidden="false" customHeight="false" outlineLevel="0" collapsed="false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customFormat="false" ht="15.75" hidden="false" customHeight="false" outlineLevel="0" collapsed="false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customFormat="false" ht="15.75" hidden="false" customHeight="false" outlineLevel="0" collapsed="false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customFormat="false" ht="15.75" hidden="false" customHeight="false" outlineLevel="0" collapsed="false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customFormat="false" ht="15.75" hidden="false" customHeight="false" outlineLevel="0" collapsed="false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customFormat="false" ht="15.75" hidden="false" customHeight="false" outlineLevel="0" collapsed="false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customFormat="false" ht="15.75" hidden="false" customHeight="false" outlineLevel="0" collapsed="false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customFormat="false" ht="15.75" hidden="false" customHeight="false" outlineLevel="0" collapsed="false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customFormat="false" ht="15.75" hidden="false" customHeight="false" outlineLevel="0" collapsed="false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customFormat="false" ht="15.75" hidden="false" customHeight="false" outlineLevel="0" collapsed="false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customFormat="false" ht="15.75" hidden="false" customHeight="false" outlineLevel="0" collapsed="false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customFormat="false" ht="15.75" hidden="false" customHeight="false" outlineLevel="0" collapsed="false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customFormat="false" ht="15.75" hidden="false" customHeight="false" outlineLevel="0" collapsed="false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customFormat="false" ht="15.75" hidden="false" customHeight="false" outlineLevel="0" collapsed="false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customFormat="false" ht="15.75" hidden="false" customHeight="false" outlineLevel="0" collapsed="false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customFormat="false" ht="15.75" hidden="false" customHeight="false" outlineLevel="0" collapsed="false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customFormat="false" ht="15.75" hidden="false" customHeight="false" outlineLevel="0" collapsed="false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customFormat="false" ht="15.75" hidden="false" customHeight="false" outlineLevel="0" collapsed="false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customFormat="false" ht="15.75" hidden="false" customHeight="false" outlineLevel="0" collapsed="false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customFormat="false" ht="15.75" hidden="false" customHeight="false" outlineLevel="0" collapsed="false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customFormat="false" ht="15.75" hidden="false" customHeight="false" outlineLevel="0" collapsed="false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customFormat="false" ht="15.75" hidden="false" customHeight="false" outlineLevel="0" collapsed="false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customFormat="false" ht="15.75" hidden="false" customHeight="false" outlineLevel="0" collapsed="false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customFormat="false" ht="15.75" hidden="false" customHeight="false" outlineLevel="0" collapsed="false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customFormat="false" ht="15.75" hidden="false" customHeight="false" outlineLevel="0" collapsed="false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customFormat="false" ht="15.75" hidden="false" customHeight="false" outlineLevel="0" collapsed="false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customFormat="false" ht="15.75" hidden="false" customHeight="false" outlineLevel="0" collapsed="false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customFormat="false" ht="15.75" hidden="false" customHeight="false" outlineLevel="0" collapsed="false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customFormat="false" ht="15.75" hidden="false" customHeight="false" outlineLevel="0" collapsed="false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customFormat="false" ht="15.75" hidden="false" customHeight="false" outlineLevel="0" collapsed="false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customFormat="false" ht="15.75" hidden="false" customHeight="false" outlineLevel="0" collapsed="false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customFormat="false" ht="15.75" hidden="false" customHeight="false" outlineLevel="0" collapsed="false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customFormat="false" ht="15.75" hidden="false" customHeight="false" outlineLevel="0" collapsed="false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customFormat="false" ht="15.75" hidden="false" customHeight="false" outlineLevel="0" collapsed="false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customFormat="false" ht="15.75" hidden="false" customHeight="false" outlineLevel="0" collapsed="false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customFormat="false" ht="15.75" hidden="false" customHeight="false" outlineLevel="0" collapsed="false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customFormat="false" ht="15.75" hidden="false" customHeight="false" outlineLevel="0" collapsed="false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customFormat="false" ht="15.75" hidden="false" customHeight="false" outlineLevel="0" collapsed="false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customFormat="false" ht="15.75" hidden="false" customHeight="false" outlineLevel="0" collapsed="false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customFormat="false" ht="15.75" hidden="false" customHeight="false" outlineLevel="0" collapsed="false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customFormat="false" ht="15.75" hidden="false" customHeight="false" outlineLevel="0" collapsed="false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customFormat="false" ht="15.75" hidden="false" customHeight="false" outlineLevel="0" collapsed="false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customFormat="false" ht="15.75" hidden="false" customHeight="false" outlineLevel="0" collapsed="false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customFormat="false" ht="15.75" hidden="false" customHeight="false" outlineLevel="0" collapsed="false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customFormat="false" ht="15.75" hidden="false" customHeight="false" outlineLevel="0" collapsed="false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customFormat="false" ht="15.75" hidden="false" customHeight="false" outlineLevel="0" collapsed="false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customFormat="false" ht="15.75" hidden="false" customHeight="false" outlineLevel="0" collapsed="false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customFormat="false" ht="15.75" hidden="false" customHeight="false" outlineLevel="0" collapsed="false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customFormat="false" ht="15.75" hidden="false" customHeight="false" outlineLevel="0" collapsed="false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customFormat="false" ht="15.75" hidden="false" customHeight="false" outlineLevel="0" collapsed="false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customFormat="false" ht="15.75" hidden="false" customHeight="false" outlineLevel="0" collapsed="false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customFormat="false" ht="15.75" hidden="false" customHeight="false" outlineLevel="0" collapsed="false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customFormat="false" ht="15.75" hidden="false" customHeight="false" outlineLevel="0" collapsed="false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customFormat="false" ht="15.75" hidden="false" customHeight="false" outlineLevel="0" collapsed="false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customFormat="false" ht="15.75" hidden="false" customHeight="false" outlineLevel="0" collapsed="false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customFormat="false" ht="15.75" hidden="false" customHeight="false" outlineLevel="0" collapsed="false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customFormat="false" ht="15.75" hidden="false" customHeight="false" outlineLevel="0" collapsed="false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customFormat="false" ht="15.75" hidden="false" customHeight="false" outlineLevel="0" collapsed="false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customFormat="false" ht="15.75" hidden="false" customHeight="false" outlineLevel="0" collapsed="false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customFormat="false" ht="15.75" hidden="false" customHeight="false" outlineLevel="0" collapsed="false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customFormat="false" ht="15.75" hidden="false" customHeight="false" outlineLevel="0" collapsed="false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customFormat="false" ht="15.75" hidden="false" customHeight="false" outlineLevel="0" collapsed="false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customFormat="false" ht="15.75" hidden="false" customHeight="false" outlineLevel="0" collapsed="false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customFormat="false" ht="15.75" hidden="false" customHeight="false" outlineLevel="0" collapsed="false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customFormat="false" ht="15.75" hidden="false" customHeight="false" outlineLevel="0" collapsed="false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customFormat="false" ht="15.75" hidden="false" customHeight="false" outlineLevel="0" collapsed="false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customFormat="false" ht="15.75" hidden="false" customHeight="false" outlineLevel="0" collapsed="false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customFormat="false" ht="15.75" hidden="false" customHeight="false" outlineLevel="0" collapsed="false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customFormat="false" ht="15.75" hidden="false" customHeight="false" outlineLevel="0" collapsed="false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customFormat="false" ht="15.75" hidden="false" customHeight="false" outlineLevel="0" collapsed="false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customFormat="false" ht="15.75" hidden="false" customHeight="false" outlineLevel="0" collapsed="false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customFormat="false" ht="15.75" hidden="false" customHeight="false" outlineLevel="0" collapsed="false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customFormat="false" ht="15.75" hidden="false" customHeight="false" outlineLevel="0" collapsed="false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customFormat="false" ht="15.75" hidden="false" customHeight="false" outlineLevel="0" collapsed="false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customFormat="false" ht="15.75" hidden="false" customHeight="false" outlineLevel="0" collapsed="false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customFormat="false" ht="15.75" hidden="false" customHeight="false" outlineLevel="0" collapsed="false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customFormat="false" ht="15.75" hidden="false" customHeight="false" outlineLevel="0" collapsed="false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customFormat="false" ht="15.75" hidden="false" customHeight="false" outlineLevel="0" collapsed="false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customFormat="false" ht="15.75" hidden="false" customHeight="false" outlineLevel="0" collapsed="false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customFormat="false" ht="15.75" hidden="false" customHeight="false" outlineLevel="0" collapsed="false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customFormat="false" ht="15.75" hidden="false" customHeight="false" outlineLevel="0" collapsed="false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customFormat="false" ht="15.75" hidden="false" customHeight="false" outlineLevel="0" collapsed="false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customFormat="false" ht="15.75" hidden="false" customHeight="false" outlineLevel="0" collapsed="false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customFormat="false" ht="15.75" hidden="false" customHeight="false" outlineLevel="0" collapsed="false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customFormat="false" ht="15.75" hidden="false" customHeight="false" outlineLevel="0" collapsed="false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customFormat="false" ht="15.75" hidden="false" customHeight="false" outlineLevel="0" collapsed="false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customFormat="false" ht="15.75" hidden="false" customHeight="false" outlineLevel="0" collapsed="false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customFormat="false" ht="15.75" hidden="false" customHeight="false" outlineLevel="0" collapsed="false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customFormat="false" ht="15.75" hidden="false" customHeight="false" outlineLevel="0" collapsed="false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customFormat="false" ht="15.75" hidden="false" customHeight="false" outlineLevel="0" collapsed="false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customFormat="false" ht="15.75" hidden="false" customHeight="false" outlineLevel="0" collapsed="false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customFormat="false" ht="15.75" hidden="false" customHeight="false" outlineLevel="0" collapsed="false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customFormat="false" ht="15.75" hidden="false" customHeight="false" outlineLevel="0" collapsed="false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customFormat="false" ht="15.75" hidden="false" customHeight="false" outlineLevel="0" collapsed="false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customFormat="false" ht="15.75" hidden="false" customHeight="false" outlineLevel="0" collapsed="false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customFormat="false" ht="15.75" hidden="false" customHeight="false" outlineLevel="0" collapsed="false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customFormat="false" ht="15.75" hidden="false" customHeight="false" outlineLevel="0" collapsed="false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customFormat="false" ht="15.75" hidden="false" customHeight="false" outlineLevel="0" collapsed="false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customFormat="false" ht="15.75" hidden="false" customHeight="false" outlineLevel="0" collapsed="false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customFormat="false" ht="15.75" hidden="false" customHeight="false" outlineLevel="0" collapsed="false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customFormat="false" ht="15.75" hidden="false" customHeight="false" outlineLevel="0" collapsed="false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customFormat="false" ht="15.75" hidden="false" customHeight="false" outlineLevel="0" collapsed="false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customFormat="false" ht="15.75" hidden="false" customHeight="false" outlineLevel="0" collapsed="false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customFormat="false" ht="15.75" hidden="false" customHeight="false" outlineLevel="0" collapsed="false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customFormat="false" ht="15.75" hidden="false" customHeight="false" outlineLevel="0" collapsed="false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customFormat="false" ht="15.75" hidden="false" customHeight="false" outlineLevel="0" collapsed="false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customFormat="false" ht="15.75" hidden="false" customHeight="false" outlineLevel="0" collapsed="false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customFormat="false" ht="15.75" hidden="false" customHeight="false" outlineLevel="0" collapsed="false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customFormat="false" ht="15.75" hidden="false" customHeight="false" outlineLevel="0" collapsed="false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customFormat="false" ht="15.75" hidden="false" customHeight="false" outlineLevel="0" collapsed="false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customFormat="false" ht="15.75" hidden="false" customHeight="false" outlineLevel="0" collapsed="false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customFormat="false" ht="15.75" hidden="false" customHeight="false" outlineLevel="0" collapsed="false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customFormat="false" ht="15.75" hidden="false" customHeight="false" outlineLevel="0" collapsed="false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customFormat="false" ht="15.75" hidden="false" customHeight="false" outlineLevel="0" collapsed="false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customFormat="false" ht="15.75" hidden="false" customHeight="false" outlineLevel="0" collapsed="false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customFormat="false" ht="15.75" hidden="false" customHeight="false" outlineLevel="0" collapsed="false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customFormat="false" ht="15.75" hidden="false" customHeight="false" outlineLevel="0" collapsed="false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customFormat="false" ht="15.75" hidden="false" customHeight="false" outlineLevel="0" collapsed="false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customFormat="false" ht="15.75" hidden="false" customHeight="false" outlineLevel="0" collapsed="false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customFormat="false" ht="15.75" hidden="false" customHeight="false" outlineLevel="0" collapsed="false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customFormat="false" ht="15.75" hidden="false" customHeight="false" outlineLevel="0" collapsed="false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customFormat="false" ht="15.75" hidden="false" customHeight="false" outlineLevel="0" collapsed="false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customFormat="false" ht="15.75" hidden="false" customHeight="false" outlineLevel="0" collapsed="false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customFormat="false" ht="15.75" hidden="false" customHeight="false" outlineLevel="0" collapsed="false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customFormat="false" ht="15.75" hidden="false" customHeight="false" outlineLevel="0" collapsed="false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customFormat="false" ht="15.75" hidden="false" customHeight="false" outlineLevel="0" collapsed="false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customFormat="false" ht="15.75" hidden="false" customHeight="false" outlineLevel="0" collapsed="false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customFormat="false" ht="15.75" hidden="false" customHeight="false" outlineLevel="0" collapsed="false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customFormat="false" ht="15.75" hidden="false" customHeight="false" outlineLevel="0" collapsed="false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customFormat="false" ht="15.75" hidden="false" customHeight="false" outlineLevel="0" collapsed="false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customFormat="false" ht="15.75" hidden="false" customHeight="false" outlineLevel="0" collapsed="false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customFormat="false" ht="15.75" hidden="false" customHeight="false" outlineLevel="0" collapsed="false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customFormat="false" ht="15.75" hidden="false" customHeight="false" outlineLevel="0" collapsed="false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customFormat="false" ht="15.75" hidden="false" customHeight="false" outlineLevel="0" collapsed="false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customFormat="false" ht="15.75" hidden="false" customHeight="false" outlineLevel="0" collapsed="false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customFormat="false" ht="15.75" hidden="false" customHeight="false" outlineLevel="0" collapsed="false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customFormat="false" ht="15.75" hidden="false" customHeight="false" outlineLevel="0" collapsed="false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customFormat="false" ht="15.75" hidden="false" customHeight="false" outlineLevel="0" collapsed="false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customFormat="false" ht="15.75" hidden="false" customHeight="false" outlineLevel="0" collapsed="false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customFormat="false" ht="15.75" hidden="false" customHeight="false" outlineLevel="0" collapsed="false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customFormat="false" ht="15.75" hidden="false" customHeight="false" outlineLevel="0" collapsed="false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customFormat="false" ht="15.75" hidden="false" customHeight="false" outlineLevel="0" collapsed="false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customFormat="false" ht="15.75" hidden="false" customHeight="false" outlineLevel="0" collapsed="false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customFormat="false" ht="15.75" hidden="false" customHeight="false" outlineLevel="0" collapsed="false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customFormat="false" ht="15.75" hidden="false" customHeight="false" outlineLevel="0" collapsed="false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customFormat="false" ht="15.75" hidden="false" customHeight="false" outlineLevel="0" collapsed="false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customFormat="false" ht="15.75" hidden="false" customHeight="false" outlineLevel="0" collapsed="false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customFormat="false" ht="15.75" hidden="false" customHeight="false" outlineLevel="0" collapsed="false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customFormat="false" ht="15.75" hidden="false" customHeight="false" outlineLevel="0" collapsed="false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customFormat="false" ht="15.75" hidden="false" customHeight="false" outlineLevel="0" collapsed="false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customFormat="false" ht="15.75" hidden="false" customHeight="false" outlineLevel="0" collapsed="false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customFormat="false" ht="15.75" hidden="false" customHeight="false" outlineLevel="0" collapsed="false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customFormat="false" ht="15.75" hidden="false" customHeight="false" outlineLevel="0" collapsed="false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customFormat="false" ht="15.75" hidden="false" customHeight="false" outlineLevel="0" collapsed="false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customFormat="false" ht="15.75" hidden="false" customHeight="false" outlineLevel="0" collapsed="false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customFormat="false" ht="15.75" hidden="false" customHeight="false" outlineLevel="0" collapsed="false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customFormat="false" ht="15.75" hidden="false" customHeight="false" outlineLevel="0" collapsed="false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customFormat="false" ht="15.75" hidden="false" customHeight="false" outlineLevel="0" collapsed="false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customFormat="false" ht="15.75" hidden="false" customHeight="false" outlineLevel="0" collapsed="false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customFormat="false" ht="15.75" hidden="false" customHeight="false" outlineLevel="0" collapsed="false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customFormat="false" ht="15.75" hidden="false" customHeight="false" outlineLevel="0" collapsed="false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customFormat="false" ht="15.75" hidden="false" customHeight="false" outlineLevel="0" collapsed="false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customFormat="false" ht="15.75" hidden="false" customHeight="false" outlineLevel="0" collapsed="false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customFormat="false" ht="15.75" hidden="false" customHeight="false" outlineLevel="0" collapsed="false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customFormat="false" ht="15.75" hidden="false" customHeight="false" outlineLevel="0" collapsed="false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customFormat="false" ht="15.75" hidden="false" customHeight="false" outlineLevel="0" collapsed="false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customFormat="false" ht="15.75" hidden="false" customHeight="false" outlineLevel="0" collapsed="false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customFormat="false" ht="15.75" hidden="false" customHeight="false" outlineLevel="0" collapsed="false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customFormat="false" ht="15.75" hidden="false" customHeight="false" outlineLevel="0" collapsed="false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customFormat="false" ht="15.75" hidden="false" customHeight="false" outlineLevel="0" collapsed="false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customFormat="false" ht="15.75" hidden="false" customHeight="false" outlineLevel="0" collapsed="false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customFormat="false" ht="15.75" hidden="false" customHeight="false" outlineLevel="0" collapsed="false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customFormat="false" ht="15.75" hidden="false" customHeight="false" outlineLevel="0" collapsed="false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customFormat="false" ht="15.75" hidden="false" customHeight="false" outlineLevel="0" collapsed="false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customFormat="false" ht="15.75" hidden="false" customHeight="false" outlineLevel="0" collapsed="false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customFormat="false" ht="15.75" hidden="false" customHeight="false" outlineLevel="0" collapsed="false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customFormat="false" ht="15.75" hidden="false" customHeight="false" outlineLevel="0" collapsed="false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customFormat="false" ht="15.75" hidden="false" customHeight="false" outlineLevel="0" collapsed="false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customFormat="false" ht="15.75" hidden="false" customHeight="false" outlineLevel="0" collapsed="false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customFormat="false" ht="15.75" hidden="false" customHeight="false" outlineLevel="0" collapsed="false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customFormat="false" ht="15.75" hidden="false" customHeight="false" outlineLevel="0" collapsed="false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customFormat="false" ht="15.75" hidden="false" customHeight="false" outlineLevel="0" collapsed="false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customFormat="false" ht="15.75" hidden="false" customHeight="false" outlineLevel="0" collapsed="false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customFormat="false" ht="15.75" hidden="false" customHeight="false" outlineLevel="0" collapsed="false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customFormat="false" ht="15.75" hidden="false" customHeight="false" outlineLevel="0" collapsed="false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customFormat="false" ht="15.75" hidden="false" customHeight="false" outlineLevel="0" collapsed="false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customFormat="false" ht="15.75" hidden="false" customHeight="false" outlineLevel="0" collapsed="false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customFormat="false" ht="15.75" hidden="false" customHeight="false" outlineLevel="0" collapsed="false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customFormat="false" ht="15.75" hidden="false" customHeight="false" outlineLevel="0" collapsed="false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customFormat="false" ht="15.75" hidden="false" customHeight="false" outlineLevel="0" collapsed="false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customFormat="false" ht="15.75" hidden="false" customHeight="false" outlineLevel="0" collapsed="false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customFormat="false" ht="15.75" hidden="false" customHeight="false" outlineLevel="0" collapsed="false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customFormat="false" ht="15.75" hidden="false" customHeight="false" outlineLevel="0" collapsed="false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customFormat="false" ht="15.75" hidden="false" customHeight="false" outlineLevel="0" collapsed="false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customFormat="false" ht="15.75" hidden="false" customHeight="false" outlineLevel="0" collapsed="false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customFormat="false" ht="15.75" hidden="false" customHeight="false" outlineLevel="0" collapsed="false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customFormat="false" ht="15.75" hidden="false" customHeight="false" outlineLevel="0" collapsed="false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customFormat="false" ht="15.75" hidden="false" customHeight="false" outlineLevel="0" collapsed="false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customFormat="false" ht="15.75" hidden="false" customHeight="false" outlineLevel="0" collapsed="false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customFormat="false" ht="15.75" hidden="false" customHeight="false" outlineLevel="0" collapsed="false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customFormat="false" ht="15.75" hidden="false" customHeight="false" outlineLevel="0" collapsed="false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customFormat="false" ht="15.75" hidden="false" customHeight="false" outlineLevel="0" collapsed="false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customFormat="false" ht="15.75" hidden="false" customHeight="false" outlineLevel="0" collapsed="false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customFormat="false" ht="15.75" hidden="false" customHeight="false" outlineLevel="0" collapsed="false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customFormat="false" ht="15.75" hidden="false" customHeight="false" outlineLevel="0" collapsed="false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customFormat="false" ht="15.75" hidden="false" customHeight="false" outlineLevel="0" collapsed="false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customFormat="false" ht="15.75" hidden="false" customHeight="false" outlineLevel="0" collapsed="false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customFormat="false" ht="15.75" hidden="false" customHeight="false" outlineLevel="0" collapsed="false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customFormat="false" ht="15.75" hidden="false" customHeight="false" outlineLevel="0" collapsed="false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customFormat="false" ht="15.75" hidden="false" customHeight="false" outlineLevel="0" collapsed="false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customFormat="false" ht="15.75" hidden="false" customHeight="false" outlineLevel="0" collapsed="false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customFormat="false" ht="15.75" hidden="false" customHeight="false" outlineLevel="0" collapsed="false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customFormat="false" ht="15.75" hidden="false" customHeight="false" outlineLevel="0" collapsed="false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customFormat="false" ht="15.75" hidden="false" customHeight="false" outlineLevel="0" collapsed="false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customFormat="false" ht="15.75" hidden="false" customHeight="false" outlineLevel="0" collapsed="false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customFormat="false" ht="15.75" hidden="false" customHeight="false" outlineLevel="0" collapsed="false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customFormat="false" ht="15.75" hidden="false" customHeight="false" outlineLevel="0" collapsed="false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customFormat="false" ht="15.75" hidden="false" customHeight="false" outlineLevel="0" collapsed="false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customFormat="false" ht="15.75" hidden="false" customHeight="false" outlineLevel="0" collapsed="false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customFormat="false" ht="15.75" hidden="false" customHeight="false" outlineLevel="0" collapsed="false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customFormat="false" ht="15.75" hidden="false" customHeight="false" outlineLevel="0" collapsed="false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customFormat="false" ht="15.75" hidden="false" customHeight="false" outlineLevel="0" collapsed="false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customFormat="false" ht="15.75" hidden="false" customHeight="false" outlineLevel="0" collapsed="false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customFormat="false" ht="15.75" hidden="false" customHeight="false" outlineLevel="0" collapsed="false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customFormat="false" ht="15.75" hidden="false" customHeight="false" outlineLevel="0" collapsed="false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customFormat="false" ht="15.75" hidden="false" customHeight="false" outlineLevel="0" collapsed="false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customFormat="false" ht="15.75" hidden="false" customHeight="false" outlineLevel="0" collapsed="false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customFormat="false" ht="15.75" hidden="false" customHeight="false" outlineLevel="0" collapsed="false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customFormat="false" ht="15.75" hidden="false" customHeight="false" outlineLevel="0" collapsed="false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customFormat="false" ht="15.75" hidden="false" customHeight="false" outlineLevel="0" collapsed="false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customFormat="false" ht="15.75" hidden="false" customHeight="false" outlineLevel="0" collapsed="false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customFormat="false" ht="15.75" hidden="false" customHeight="false" outlineLevel="0" collapsed="false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customFormat="false" ht="15.75" hidden="false" customHeight="false" outlineLevel="0" collapsed="false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customFormat="false" ht="15.75" hidden="false" customHeight="false" outlineLevel="0" collapsed="false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customFormat="false" ht="15.75" hidden="false" customHeight="false" outlineLevel="0" collapsed="false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customFormat="false" ht="15.75" hidden="false" customHeight="false" outlineLevel="0" collapsed="false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customFormat="false" ht="15.75" hidden="false" customHeight="false" outlineLevel="0" collapsed="false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customFormat="false" ht="15.75" hidden="false" customHeight="false" outlineLevel="0" collapsed="false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customFormat="false" ht="15.75" hidden="false" customHeight="false" outlineLevel="0" collapsed="false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customFormat="false" ht="15.75" hidden="false" customHeight="false" outlineLevel="0" collapsed="false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customFormat="false" ht="15.75" hidden="false" customHeight="false" outlineLevel="0" collapsed="false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customFormat="false" ht="15.75" hidden="false" customHeight="false" outlineLevel="0" collapsed="false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customFormat="false" ht="15.75" hidden="false" customHeight="false" outlineLevel="0" collapsed="false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customFormat="false" ht="15.75" hidden="false" customHeight="false" outlineLevel="0" collapsed="false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customFormat="false" ht="15.75" hidden="false" customHeight="false" outlineLevel="0" collapsed="false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customFormat="false" ht="15.75" hidden="false" customHeight="false" outlineLevel="0" collapsed="false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customFormat="false" ht="15.75" hidden="false" customHeight="false" outlineLevel="0" collapsed="false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customFormat="false" ht="15.75" hidden="false" customHeight="false" outlineLevel="0" collapsed="false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customFormat="false" ht="15.75" hidden="false" customHeight="false" outlineLevel="0" collapsed="false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customFormat="false" ht="15.75" hidden="false" customHeight="false" outlineLevel="0" collapsed="false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customFormat="false" ht="15.75" hidden="false" customHeight="false" outlineLevel="0" collapsed="false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customFormat="false" ht="15.75" hidden="false" customHeight="false" outlineLevel="0" collapsed="false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customFormat="false" ht="15.75" hidden="false" customHeight="false" outlineLevel="0" collapsed="false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customFormat="false" ht="15.75" hidden="false" customHeight="false" outlineLevel="0" collapsed="false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customFormat="false" ht="15.75" hidden="false" customHeight="false" outlineLevel="0" collapsed="false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customFormat="false" ht="15.75" hidden="false" customHeight="false" outlineLevel="0" collapsed="false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customFormat="false" ht="15.75" hidden="false" customHeight="false" outlineLevel="0" collapsed="false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customFormat="false" ht="15.75" hidden="false" customHeight="false" outlineLevel="0" collapsed="false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customFormat="false" ht="15.75" hidden="false" customHeight="false" outlineLevel="0" collapsed="false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customFormat="false" ht="15.75" hidden="false" customHeight="false" outlineLevel="0" collapsed="false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customFormat="false" ht="15.75" hidden="false" customHeight="false" outlineLevel="0" collapsed="false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customFormat="false" ht="15.75" hidden="false" customHeight="false" outlineLevel="0" collapsed="false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customFormat="false" ht="15.75" hidden="false" customHeight="false" outlineLevel="0" collapsed="false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customFormat="false" ht="15.75" hidden="false" customHeight="false" outlineLevel="0" collapsed="false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customFormat="false" ht="15.75" hidden="false" customHeight="false" outlineLevel="0" collapsed="false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customFormat="false" ht="15.75" hidden="false" customHeight="false" outlineLevel="0" collapsed="false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customFormat="false" ht="15.75" hidden="false" customHeight="false" outlineLevel="0" collapsed="false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customFormat="false" ht="15.75" hidden="false" customHeight="false" outlineLevel="0" collapsed="false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customFormat="false" ht="15.75" hidden="false" customHeight="false" outlineLevel="0" collapsed="false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customFormat="false" ht="15.75" hidden="false" customHeight="false" outlineLevel="0" collapsed="false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customFormat="false" ht="15.75" hidden="false" customHeight="false" outlineLevel="0" collapsed="false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customFormat="false" ht="15.75" hidden="false" customHeight="false" outlineLevel="0" collapsed="false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customFormat="false" ht="15.75" hidden="false" customHeight="false" outlineLevel="0" collapsed="false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customFormat="false" ht="15.75" hidden="false" customHeight="false" outlineLevel="0" collapsed="false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customFormat="false" ht="15.75" hidden="false" customHeight="false" outlineLevel="0" collapsed="false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customFormat="false" ht="15.75" hidden="false" customHeight="false" outlineLevel="0" collapsed="false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customFormat="false" ht="15.75" hidden="false" customHeight="false" outlineLevel="0" collapsed="false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customFormat="false" ht="15.75" hidden="false" customHeight="false" outlineLevel="0" collapsed="false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customFormat="false" ht="15.75" hidden="false" customHeight="false" outlineLevel="0" collapsed="false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customFormat="false" ht="15.75" hidden="false" customHeight="false" outlineLevel="0" collapsed="false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customFormat="false" ht="15.75" hidden="false" customHeight="false" outlineLevel="0" collapsed="false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customFormat="false" ht="15.75" hidden="false" customHeight="false" outlineLevel="0" collapsed="false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customFormat="false" ht="15.75" hidden="false" customHeight="false" outlineLevel="0" collapsed="false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customFormat="false" ht="15.75" hidden="false" customHeight="false" outlineLevel="0" collapsed="false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customFormat="false" ht="15.75" hidden="false" customHeight="false" outlineLevel="0" collapsed="false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customFormat="false" ht="15.75" hidden="false" customHeight="false" outlineLevel="0" collapsed="false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customFormat="false" ht="15.75" hidden="false" customHeight="false" outlineLevel="0" collapsed="false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customFormat="false" ht="15.75" hidden="false" customHeight="false" outlineLevel="0" collapsed="false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customFormat="false" ht="15.75" hidden="false" customHeight="false" outlineLevel="0" collapsed="false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customFormat="false" ht="15.75" hidden="false" customHeight="false" outlineLevel="0" collapsed="false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customFormat="false" ht="15.75" hidden="false" customHeight="false" outlineLevel="0" collapsed="false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customFormat="false" ht="15.75" hidden="false" customHeight="false" outlineLevel="0" collapsed="false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customFormat="false" ht="15.75" hidden="false" customHeight="false" outlineLevel="0" collapsed="false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customFormat="false" ht="15.75" hidden="false" customHeight="false" outlineLevel="0" collapsed="false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customFormat="false" ht="15.75" hidden="false" customHeight="false" outlineLevel="0" collapsed="false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customFormat="false" ht="15.75" hidden="false" customHeight="false" outlineLevel="0" collapsed="false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customFormat="false" ht="15.75" hidden="false" customHeight="false" outlineLevel="0" collapsed="false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customFormat="false" ht="15.75" hidden="false" customHeight="false" outlineLevel="0" collapsed="false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customFormat="false" ht="15.75" hidden="false" customHeight="false" outlineLevel="0" collapsed="false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customFormat="false" ht="15.75" hidden="false" customHeight="false" outlineLevel="0" collapsed="false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customFormat="false" ht="15.75" hidden="false" customHeight="false" outlineLevel="0" collapsed="false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customFormat="false" ht="15.75" hidden="false" customHeight="false" outlineLevel="0" collapsed="false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customFormat="false" ht="15.75" hidden="false" customHeight="false" outlineLevel="0" collapsed="false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customFormat="false" ht="15.75" hidden="false" customHeight="false" outlineLevel="0" collapsed="false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customFormat="false" ht="15.75" hidden="false" customHeight="false" outlineLevel="0" collapsed="false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customFormat="false" ht="15.75" hidden="false" customHeight="false" outlineLevel="0" collapsed="false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customFormat="false" ht="15.75" hidden="false" customHeight="false" outlineLevel="0" collapsed="false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customFormat="false" ht="15.75" hidden="false" customHeight="false" outlineLevel="0" collapsed="false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customFormat="false" ht="15.75" hidden="false" customHeight="false" outlineLevel="0" collapsed="false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customFormat="false" ht="15.75" hidden="false" customHeight="false" outlineLevel="0" collapsed="false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customFormat="false" ht="15.75" hidden="false" customHeight="false" outlineLevel="0" collapsed="false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customFormat="false" ht="15.75" hidden="false" customHeight="false" outlineLevel="0" collapsed="false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customFormat="false" ht="15.75" hidden="false" customHeight="false" outlineLevel="0" collapsed="false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customFormat="false" ht="15.75" hidden="false" customHeight="false" outlineLevel="0" collapsed="false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customFormat="false" ht="15.75" hidden="false" customHeight="false" outlineLevel="0" collapsed="false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customFormat="false" ht="15.75" hidden="false" customHeight="false" outlineLevel="0" collapsed="false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customFormat="false" ht="15.75" hidden="false" customHeight="false" outlineLevel="0" collapsed="false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customFormat="false" ht="15.75" hidden="false" customHeight="false" outlineLevel="0" collapsed="false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customFormat="false" ht="15.75" hidden="false" customHeight="false" outlineLevel="0" collapsed="false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customFormat="false" ht="15.75" hidden="false" customHeight="false" outlineLevel="0" collapsed="false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customFormat="false" ht="15.75" hidden="false" customHeight="false" outlineLevel="0" collapsed="false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customFormat="false" ht="15.75" hidden="false" customHeight="false" outlineLevel="0" collapsed="false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customFormat="false" ht="15.75" hidden="false" customHeight="false" outlineLevel="0" collapsed="false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customFormat="false" ht="15.75" hidden="false" customHeight="false" outlineLevel="0" collapsed="false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customFormat="false" ht="15.75" hidden="false" customHeight="false" outlineLevel="0" collapsed="false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customFormat="false" ht="15.75" hidden="false" customHeight="false" outlineLevel="0" collapsed="false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customFormat="false" ht="15.75" hidden="false" customHeight="false" outlineLevel="0" collapsed="false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customFormat="false" ht="15.75" hidden="false" customHeight="false" outlineLevel="0" collapsed="false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customFormat="false" ht="15.75" hidden="false" customHeight="false" outlineLevel="0" collapsed="false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customFormat="false" ht="15.75" hidden="false" customHeight="false" outlineLevel="0" collapsed="false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customFormat="false" ht="15.75" hidden="false" customHeight="false" outlineLevel="0" collapsed="false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customFormat="false" ht="15.75" hidden="false" customHeight="false" outlineLevel="0" collapsed="false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customFormat="false" ht="15.75" hidden="false" customHeight="false" outlineLevel="0" collapsed="false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customFormat="false" ht="15.75" hidden="false" customHeight="false" outlineLevel="0" collapsed="false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customFormat="false" ht="15.75" hidden="false" customHeight="false" outlineLevel="0" collapsed="false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customFormat="false" ht="15.75" hidden="false" customHeight="false" outlineLevel="0" collapsed="false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customFormat="false" ht="15.75" hidden="false" customHeight="false" outlineLevel="0" collapsed="false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customFormat="false" ht="15.75" hidden="false" customHeight="false" outlineLevel="0" collapsed="false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customFormat="false" ht="15.75" hidden="false" customHeight="false" outlineLevel="0" collapsed="false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customFormat="false" ht="15.75" hidden="false" customHeight="false" outlineLevel="0" collapsed="false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customFormat="false" ht="15.75" hidden="false" customHeight="false" outlineLevel="0" collapsed="false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customFormat="false" ht="15.75" hidden="false" customHeight="false" outlineLevel="0" collapsed="false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customFormat="false" ht="15.75" hidden="false" customHeight="false" outlineLevel="0" collapsed="false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customFormat="false" ht="15.75" hidden="false" customHeight="false" outlineLevel="0" collapsed="false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customFormat="false" ht="15.75" hidden="false" customHeight="false" outlineLevel="0" collapsed="false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customFormat="false" ht="15.75" hidden="false" customHeight="false" outlineLevel="0" collapsed="false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customFormat="false" ht="15.75" hidden="false" customHeight="false" outlineLevel="0" collapsed="false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customFormat="false" ht="15.75" hidden="false" customHeight="false" outlineLevel="0" collapsed="false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customFormat="false" ht="15.75" hidden="false" customHeight="false" outlineLevel="0" collapsed="false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customFormat="false" ht="15.75" hidden="false" customHeight="false" outlineLevel="0" collapsed="false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customFormat="false" ht="15.75" hidden="false" customHeight="false" outlineLevel="0" collapsed="false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customFormat="false" ht="15.75" hidden="false" customHeight="false" outlineLevel="0" collapsed="false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customFormat="false" ht="15.75" hidden="false" customHeight="false" outlineLevel="0" collapsed="false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customFormat="false" ht="15.75" hidden="false" customHeight="false" outlineLevel="0" collapsed="false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customFormat="false" ht="15.75" hidden="false" customHeight="false" outlineLevel="0" collapsed="false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customFormat="false" ht="15.75" hidden="false" customHeight="false" outlineLevel="0" collapsed="false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customFormat="false" ht="15.75" hidden="false" customHeight="false" outlineLevel="0" collapsed="false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customFormat="false" ht="15.75" hidden="false" customHeight="false" outlineLevel="0" collapsed="false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customFormat="false" ht="15.75" hidden="false" customHeight="false" outlineLevel="0" collapsed="false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customFormat="false" ht="15.75" hidden="false" customHeight="false" outlineLevel="0" collapsed="false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customFormat="false" ht="15.75" hidden="false" customHeight="false" outlineLevel="0" collapsed="false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customFormat="false" ht="15.75" hidden="false" customHeight="false" outlineLevel="0" collapsed="false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customFormat="false" ht="15.75" hidden="false" customHeight="false" outlineLevel="0" collapsed="false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customFormat="false" ht="15.75" hidden="false" customHeight="false" outlineLevel="0" collapsed="false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customFormat="false" ht="15.75" hidden="false" customHeight="false" outlineLevel="0" collapsed="false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customFormat="false" ht="15.75" hidden="false" customHeight="false" outlineLevel="0" collapsed="false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customFormat="false" ht="15.75" hidden="false" customHeight="false" outlineLevel="0" collapsed="false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customFormat="false" ht="15.75" hidden="false" customHeight="false" outlineLevel="0" collapsed="false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customFormat="false" ht="15.75" hidden="false" customHeight="false" outlineLevel="0" collapsed="false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customFormat="false" ht="15.75" hidden="false" customHeight="false" outlineLevel="0" collapsed="false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customFormat="false" ht="15.75" hidden="false" customHeight="false" outlineLevel="0" collapsed="false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customFormat="false" ht="15.75" hidden="false" customHeight="false" outlineLevel="0" collapsed="false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customFormat="false" ht="15.75" hidden="false" customHeight="false" outlineLevel="0" collapsed="false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customFormat="false" ht="15.75" hidden="false" customHeight="false" outlineLevel="0" collapsed="false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customFormat="false" ht="15.75" hidden="false" customHeight="false" outlineLevel="0" collapsed="false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customFormat="false" ht="15.75" hidden="false" customHeight="false" outlineLevel="0" collapsed="false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customFormat="false" ht="15.75" hidden="false" customHeight="false" outlineLevel="0" collapsed="false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customFormat="false" ht="15.75" hidden="false" customHeight="false" outlineLevel="0" collapsed="false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customFormat="false" ht="15.75" hidden="false" customHeight="false" outlineLevel="0" collapsed="false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customFormat="false" ht="15.75" hidden="false" customHeight="false" outlineLevel="0" collapsed="false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customFormat="false" ht="15.75" hidden="false" customHeight="false" outlineLevel="0" collapsed="false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customFormat="false" ht="15.75" hidden="false" customHeight="false" outlineLevel="0" collapsed="false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customFormat="false" ht="15.75" hidden="false" customHeight="false" outlineLevel="0" collapsed="false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customFormat="false" ht="15.75" hidden="false" customHeight="false" outlineLevel="0" collapsed="false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customFormat="false" ht="15.75" hidden="false" customHeight="false" outlineLevel="0" collapsed="false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customFormat="false" ht="15.75" hidden="false" customHeight="false" outlineLevel="0" collapsed="false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customFormat="false" ht="15.75" hidden="false" customHeight="false" outlineLevel="0" collapsed="false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customFormat="false" ht="15.75" hidden="false" customHeight="false" outlineLevel="0" collapsed="false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customFormat="false" ht="15.75" hidden="false" customHeight="false" outlineLevel="0" collapsed="false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customFormat="false" ht="15.75" hidden="false" customHeight="false" outlineLevel="0" collapsed="false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customFormat="false" ht="15.75" hidden="false" customHeight="false" outlineLevel="0" collapsed="false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customFormat="false" ht="15.75" hidden="false" customHeight="false" outlineLevel="0" collapsed="false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customFormat="false" ht="15.75" hidden="false" customHeight="false" outlineLevel="0" collapsed="false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customFormat="false" ht="15.75" hidden="false" customHeight="false" outlineLevel="0" collapsed="false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customFormat="false" ht="15.75" hidden="false" customHeight="false" outlineLevel="0" collapsed="false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customFormat="false" ht="15.75" hidden="false" customHeight="false" outlineLevel="0" collapsed="false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customFormat="false" ht="15.75" hidden="false" customHeight="false" outlineLevel="0" collapsed="false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customFormat="false" ht="15.75" hidden="false" customHeight="false" outlineLevel="0" collapsed="false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customFormat="false" ht="15.75" hidden="false" customHeight="false" outlineLevel="0" collapsed="false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customFormat="false" ht="15.75" hidden="false" customHeight="false" outlineLevel="0" collapsed="false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customFormat="false" ht="15.75" hidden="false" customHeight="false" outlineLevel="0" collapsed="false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customFormat="false" ht="15.75" hidden="false" customHeight="false" outlineLevel="0" collapsed="false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customFormat="false" ht="15.75" hidden="false" customHeight="false" outlineLevel="0" collapsed="false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customFormat="false" ht="15.75" hidden="false" customHeight="false" outlineLevel="0" collapsed="false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customFormat="false" ht="15.75" hidden="false" customHeight="false" outlineLevel="0" collapsed="false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customFormat="false" ht="15.75" hidden="false" customHeight="false" outlineLevel="0" collapsed="false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customFormat="false" ht="15.75" hidden="false" customHeight="false" outlineLevel="0" collapsed="false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customFormat="false" ht="15.75" hidden="false" customHeight="false" outlineLevel="0" collapsed="false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customFormat="false" ht="15.75" hidden="false" customHeight="false" outlineLevel="0" collapsed="false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customFormat="false" ht="15.75" hidden="false" customHeight="false" outlineLevel="0" collapsed="false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customFormat="false" ht="15.75" hidden="false" customHeight="false" outlineLevel="0" collapsed="false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customFormat="false" ht="15.75" hidden="false" customHeight="false" outlineLevel="0" collapsed="false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customFormat="false" ht="15.75" hidden="false" customHeight="false" outlineLevel="0" collapsed="false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customFormat="false" ht="15.75" hidden="false" customHeight="false" outlineLevel="0" collapsed="false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customFormat="false" ht="15.75" hidden="false" customHeight="false" outlineLevel="0" collapsed="false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customFormat="false" ht="15.75" hidden="false" customHeight="false" outlineLevel="0" collapsed="false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customFormat="false" ht="15.75" hidden="false" customHeight="false" outlineLevel="0" collapsed="false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customFormat="false" ht="15.75" hidden="false" customHeight="false" outlineLevel="0" collapsed="false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customFormat="false" ht="15.75" hidden="false" customHeight="false" outlineLevel="0" collapsed="false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customFormat="false" ht="15.75" hidden="false" customHeight="false" outlineLevel="0" collapsed="false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customFormat="false" ht="15.75" hidden="false" customHeight="false" outlineLevel="0" collapsed="false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customFormat="false" ht="15.75" hidden="false" customHeight="false" outlineLevel="0" collapsed="false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customFormat="false" ht="15.75" hidden="false" customHeight="false" outlineLevel="0" collapsed="false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customFormat="false" ht="15.75" hidden="false" customHeight="false" outlineLevel="0" collapsed="false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customFormat="false" ht="15.75" hidden="false" customHeight="false" outlineLevel="0" collapsed="false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customFormat="false" ht="15.75" hidden="false" customHeight="false" outlineLevel="0" collapsed="false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customFormat="false" ht="15.75" hidden="false" customHeight="false" outlineLevel="0" collapsed="false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customFormat="false" ht="15.75" hidden="false" customHeight="false" outlineLevel="0" collapsed="false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customFormat="false" ht="15.75" hidden="false" customHeight="false" outlineLevel="0" collapsed="false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customFormat="false" ht="15.75" hidden="false" customHeight="false" outlineLevel="0" collapsed="false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customFormat="false" ht="15.75" hidden="false" customHeight="false" outlineLevel="0" collapsed="false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customFormat="false" ht="15.75" hidden="false" customHeight="false" outlineLevel="0" collapsed="false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customFormat="false" ht="15.75" hidden="false" customHeight="false" outlineLevel="0" collapsed="false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customFormat="false" ht="15.75" hidden="false" customHeight="false" outlineLevel="0" collapsed="false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customFormat="false" ht="15.75" hidden="false" customHeight="false" outlineLevel="0" collapsed="false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customFormat="false" ht="15.75" hidden="false" customHeight="false" outlineLevel="0" collapsed="false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customFormat="false" ht="15.75" hidden="false" customHeight="false" outlineLevel="0" collapsed="false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customFormat="false" ht="15.75" hidden="false" customHeight="false" outlineLevel="0" collapsed="false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customFormat="false" ht="15.75" hidden="false" customHeight="false" outlineLevel="0" collapsed="false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customFormat="false" ht="15.75" hidden="false" customHeight="false" outlineLevel="0" collapsed="false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customFormat="false" ht="15.75" hidden="false" customHeight="false" outlineLevel="0" collapsed="false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customFormat="false" ht="15.75" hidden="false" customHeight="false" outlineLevel="0" collapsed="false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customFormat="false" ht="15.75" hidden="false" customHeight="false" outlineLevel="0" collapsed="false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customFormat="false" ht="15.75" hidden="false" customHeight="false" outlineLevel="0" collapsed="false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customFormat="false" ht="15.75" hidden="false" customHeight="false" outlineLevel="0" collapsed="false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customFormat="false" ht="15.75" hidden="false" customHeight="false" outlineLevel="0" collapsed="false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customFormat="false" ht="15.75" hidden="false" customHeight="false" outlineLevel="0" collapsed="false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customFormat="false" ht="15.75" hidden="false" customHeight="false" outlineLevel="0" collapsed="false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customFormat="false" ht="15.75" hidden="false" customHeight="false" outlineLevel="0" collapsed="false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customFormat="false" ht="15.75" hidden="false" customHeight="false" outlineLevel="0" collapsed="false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customFormat="false" ht="15.75" hidden="false" customHeight="false" outlineLevel="0" collapsed="false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customFormat="false" ht="15.75" hidden="false" customHeight="false" outlineLevel="0" collapsed="false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customFormat="false" ht="15.75" hidden="false" customHeight="false" outlineLevel="0" collapsed="false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customFormat="false" ht="15.75" hidden="false" customHeight="false" outlineLevel="0" collapsed="false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customFormat="false" ht="15.75" hidden="false" customHeight="false" outlineLevel="0" collapsed="false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customFormat="false" ht="15.75" hidden="false" customHeight="false" outlineLevel="0" collapsed="false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customFormat="false" ht="15.75" hidden="false" customHeight="false" outlineLevel="0" collapsed="false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customFormat="false" ht="15.75" hidden="false" customHeight="false" outlineLevel="0" collapsed="false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customFormat="false" ht="15.75" hidden="false" customHeight="false" outlineLevel="0" collapsed="false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customFormat="false" ht="15.75" hidden="false" customHeight="false" outlineLevel="0" collapsed="false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customFormat="false" ht="15.75" hidden="false" customHeight="false" outlineLevel="0" collapsed="false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customFormat="false" ht="15.75" hidden="false" customHeight="false" outlineLevel="0" collapsed="false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customFormat="false" ht="15.75" hidden="false" customHeight="false" outlineLevel="0" collapsed="false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customFormat="false" ht="15.75" hidden="false" customHeight="false" outlineLevel="0" collapsed="false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customFormat="false" ht="15.75" hidden="false" customHeight="false" outlineLevel="0" collapsed="false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customFormat="false" ht="15.75" hidden="false" customHeight="false" outlineLevel="0" collapsed="false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customFormat="false" ht="15.75" hidden="false" customHeight="false" outlineLevel="0" collapsed="false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customFormat="false" ht="15.75" hidden="false" customHeight="false" outlineLevel="0" collapsed="false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customFormat="false" ht="15.75" hidden="false" customHeight="false" outlineLevel="0" collapsed="false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customFormat="false" ht="15.75" hidden="false" customHeight="false" outlineLevel="0" collapsed="false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customFormat="false" ht="15.75" hidden="false" customHeight="false" outlineLevel="0" collapsed="false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customFormat="false" ht="15.75" hidden="false" customHeight="false" outlineLevel="0" collapsed="false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customFormat="false" ht="15.75" hidden="false" customHeight="false" outlineLevel="0" collapsed="false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customFormat="false" ht="15.75" hidden="false" customHeight="false" outlineLevel="0" collapsed="false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customFormat="false" ht="15.75" hidden="false" customHeight="false" outlineLevel="0" collapsed="false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customFormat="false" ht="15.75" hidden="false" customHeight="false" outlineLevel="0" collapsed="false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customFormat="false" ht="15.75" hidden="false" customHeight="false" outlineLevel="0" collapsed="false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customFormat="false" ht="15.75" hidden="false" customHeight="false" outlineLevel="0" collapsed="false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customFormat="false" ht="15.75" hidden="false" customHeight="false" outlineLevel="0" collapsed="false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customFormat="false" ht="15.75" hidden="false" customHeight="false" outlineLevel="0" collapsed="false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customFormat="false" ht="15.75" hidden="false" customHeight="false" outlineLevel="0" collapsed="false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customFormat="false" ht="15.75" hidden="false" customHeight="false" outlineLevel="0" collapsed="false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customFormat="false" ht="15.75" hidden="false" customHeight="false" outlineLevel="0" collapsed="false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customFormat="false" ht="15.75" hidden="false" customHeight="false" outlineLevel="0" collapsed="false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customFormat="false" ht="15.75" hidden="false" customHeight="false" outlineLevel="0" collapsed="false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customFormat="false" ht="15.75" hidden="false" customHeight="false" outlineLevel="0" collapsed="false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customFormat="false" ht="15.75" hidden="false" customHeight="false" outlineLevel="0" collapsed="false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customFormat="false" ht="15.75" hidden="false" customHeight="false" outlineLevel="0" collapsed="false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customFormat="false" ht="15.75" hidden="false" customHeight="false" outlineLevel="0" collapsed="false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customFormat="false" ht="15.75" hidden="false" customHeight="false" outlineLevel="0" collapsed="false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customFormat="false" ht="15.75" hidden="false" customHeight="false" outlineLevel="0" collapsed="false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customFormat="false" ht="15.75" hidden="false" customHeight="false" outlineLevel="0" collapsed="false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customFormat="false" ht="15.75" hidden="false" customHeight="false" outlineLevel="0" collapsed="false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customFormat="false" ht="15.75" hidden="false" customHeight="false" outlineLevel="0" collapsed="false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customFormat="false" ht="15.75" hidden="false" customHeight="false" outlineLevel="0" collapsed="false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customFormat="false" ht="15.75" hidden="false" customHeight="false" outlineLevel="0" collapsed="false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customFormat="false" ht="15.75" hidden="false" customHeight="false" outlineLevel="0" collapsed="false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customFormat="false" ht="15.75" hidden="false" customHeight="false" outlineLevel="0" collapsed="false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customFormat="false" ht="15.75" hidden="false" customHeight="false" outlineLevel="0" collapsed="false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customFormat="false" ht="15.75" hidden="false" customHeight="false" outlineLevel="0" collapsed="false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customFormat="false" ht="15.75" hidden="false" customHeight="false" outlineLevel="0" collapsed="false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customFormat="false" ht="15.75" hidden="false" customHeight="false" outlineLevel="0" collapsed="false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customFormat="false" ht="15.75" hidden="false" customHeight="false" outlineLevel="0" collapsed="false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customFormat="false" ht="15.75" hidden="false" customHeight="false" outlineLevel="0" collapsed="false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customFormat="false" ht="15.75" hidden="false" customHeight="false" outlineLevel="0" collapsed="false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customFormat="false" ht="15.75" hidden="false" customHeight="false" outlineLevel="0" collapsed="false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customFormat="false" ht="15.75" hidden="false" customHeight="false" outlineLevel="0" collapsed="false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customFormat="false" ht="15.75" hidden="false" customHeight="false" outlineLevel="0" collapsed="false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customFormat="false" ht="15.75" hidden="false" customHeight="false" outlineLevel="0" collapsed="false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customFormat="false" ht="15.75" hidden="false" customHeight="false" outlineLevel="0" collapsed="false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customFormat="false" ht="15.75" hidden="false" customHeight="false" outlineLevel="0" collapsed="false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customFormat="false" ht="15.75" hidden="false" customHeight="false" outlineLevel="0" collapsed="false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customFormat="false" ht="15.75" hidden="false" customHeight="false" outlineLevel="0" collapsed="false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customFormat="false" ht="15.75" hidden="false" customHeight="false" outlineLevel="0" collapsed="false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customFormat="false" ht="15.75" hidden="false" customHeight="false" outlineLevel="0" collapsed="false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customFormat="false" ht="15.75" hidden="false" customHeight="false" outlineLevel="0" collapsed="false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customFormat="false" ht="15.75" hidden="false" customHeight="false" outlineLevel="0" collapsed="false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customFormat="false" ht="15.75" hidden="false" customHeight="false" outlineLevel="0" collapsed="false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customFormat="false" ht="15.75" hidden="false" customHeight="false" outlineLevel="0" collapsed="false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customFormat="false" ht="15.75" hidden="false" customHeight="false" outlineLevel="0" collapsed="false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customFormat="false" ht="15.75" hidden="false" customHeight="false" outlineLevel="0" collapsed="false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customFormat="false" ht="15.75" hidden="false" customHeight="false" outlineLevel="0" collapsed="false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customFormat="false" ht="15.75" hidden="false" customHeight="false" outlineLevel="0" collapsed="false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customFormat="false" ht="15.75" hidden="false" customHeight="false" outlineLevel="0" collapsed="false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customFormat="false" ht="15.75" hidden="false" customHeight="false" outlineLevel="0" collapsed="false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customFormat="false" ht="15.75" hidden="false" customHeight="false" outlineLevel="0" collapsed="false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customFormat="false" ht="15.75" hidden="false" customHeight="false" outlineLevel="0" collapsed="false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customFormat="false" ht="15.75" hidden="false" customHeight="false" outlineLevel="0" collapsed="false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customFormat="false" ht="15.75" hidden="false" customHeight="false" outlineLevel="0" collapsed="false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customFormat="false" ht="15.75" hidden="false" customHeight="false" outlineLevel="0" collapsed="false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customFormat="false" ht="15.75" hidden="false" customHeight="false" outlineLevel="0" collapsed="false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customFormat="false" ht="15.75" hidden="false" customHeight="false" outlineLevel="0" collapsed="false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customFormat="false" ht="15.75" hidden="false" customHeight="false" outlineLevel="0" collapsed="false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customFormat="false" ht="15.75" hidden="false" customHeight="false" outlineLevel="0" collapsed="false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customFormat="false" ht="15.75" hidden="false" customHeight="false" outlineLevel="0" collapsed="false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customFormat="false" ht="15.75" hidden="false" customHeight="false" outlineLevel="0" collapsed="false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customFormat="false" ht="15.75" hidden="false" customHeight="false" outlineLevel="0" collapsed="false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customFormat="false" ht="15.75" hidden="false" customHeight="false" outlineLevel="0" collapsed="false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customFormat="false" ht="15.75" hidden="false" customHeight="false" outlineLevel="0" collapsed="false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customFormat="false" ht="15.75" hidden="false" customHeight="false" outlineLevel="0" collapsed="false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customFormat="false" ht="15.75" hidden="false" customHeight="false" outlineLevel="0" collapsed="false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customFormat="false" ht="15.75" hidden="false" customHeight="false" outlineLevel="0" collapsed="false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customFormat="false" ht="15.75" hidden="false" customHeight="false" outlineLevel="0" collapsed="false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customFormat="false" ht="15.75" hidden="false" customHeight="false" outlineLevel="0" collapsed="false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customFormat="false" ht="15.75" hidden="false" customHeight="false" outlineLevel="0" collapsed="false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customFormat="false" ht="15.75" hidden="false" customHeight="false" outlineLevel="0" collapsed="false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customFormat="false" ht="15.75" hidden="false" customHeight="false" outlineLevel="0" collapsed="false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customFormat="false" ht="15.75" hidden="false" customHeight="false" outlineLevel="0" collapsed="false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customFormat="false" ht="15.75" hidden="false" customHeight="false" outlineLevel="0" collapsed="false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customFormat="false" ht="15.75" hidden="false" customHeight="false" outlineLevel="0" collapsed="false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customFormat="false" ht="15.75" hidden="false" customHeight="false" outlineLevel="0" collapsed="false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customFormat="false" ht="15.75" hidden="false" customHeight="false" outlineLevel="0" collapsed="false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customFormat="false" ht="15.75" hidden="false" customHeight="false" outlineLevel="0" collapsed="false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customFormat="false" ht="15.75" hidden="false" customHeight="false" outlineLevel="0" collapsed="false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customFormat="false" ht="15.75" hidden="false" customHeight="false" outlineLevel="0" collapsed="false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customFormat="false" ht="15.75" hidden="false" customHeight="false" outlineLevel="0" collapsed="false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customFormat="false" ht="15.75" hidden="false" customHeight="false" outlineLevel="0" collapsed="false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customFormat="false" ht="15.75" hidden="false" customHeight="false" outlineLevel="0" collapsed="false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customFormat="false" ht="15.75" hidden="false" customHeight="false" outlineLevel="0" collapsed="false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customFormat="false" ht="15.75" hidden="false" customHeight="false" outlineLevel="0" collapsed="false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customFormat="false" ht="15.75" hidden="false" customHeight="false" outlineLevel="0" collapsed="false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customFormat="false" ht="15.75" hidden="false" customHeight="false" outlineLevel="0" collapsed="false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customFormat="false" ht="15.75" hidden="false" customHeight="false" outlineLevel="0" collapsed="false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customFormat="false" ht="15.75" hidden="false" customHeight="false" outlineLevel="0" collapsed="false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customFormat="false" ht="15.75" hidden="false" customHeight="false" outlineLevel="0" collapsed="false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customFormat="false" ht="15.75" hidden="false" customHeight="false" outlineLevel="0" collapsed="false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customFormat="false" ht="15.75" hidden="false" customHeight="false" outlineLevel="0" collapsed="false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customFormat="false" ht="15.75" hidden="false" customHeight="false" outlineLevel="0" collapsed="false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customFormat="false" ht="15.75" hidden="false" customHeight="false" outlineLevel="0" collapsed="false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customFormat="false" ht="15.75" hidden="false" customHeight="false" outlineLevel="0" collapsed="false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customFormat="false" ht="15.75" hidden="false" customHeight="false" outlineLevel="0" collapsed="false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customFormat="false" ht="15.75" hidden="false" customHeight="false" outlineLevel="0" collapsed="false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customFormat="false" ht="15.75" hidden="false" customHeight="false" outlineLevel="0" collapsed="false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customFormat="false" ht="15.75" hidden="false" customHeight="false" outlineLevel="0" collapsed="false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customFormat="false" ht="15.75" hidden="false" customHeight="false" outlineLevel="0" collapsed="false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customFormat="false" ht="15.75" hidden="false" customHeight="false" outlineLevel="0" collapsed="false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customFormat="false" ht="15.75" hidden="false" customHeight="false" outlineLevel="0" collapsed="false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customFormat="false" ht="15.75" hidden="false" customHeight="false" outlineLevel="0" collapsed="false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customFormat="false" ht="15.75" hidden="false" customHeight="false" outlineLevel="0" collapsed="false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customFormat="false" ht="15.75" hidden="false" customHeight="false" outlineLevel="0" collapsed="false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customFormat="false" ht="15.75" hidden="false" customHeight="false" outlineLevel="0" collapsed="false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customFormat="false" ht="15.75" hidden="false" customHeight="false" outlineLevel="0" collapsed="false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customFormat="false" ht="15.75" hidden="false" customHeight="false" outlineLevel="0" collapsed="false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customFormat="false" ht="15.75" hidden="false" customHeight="false" outlineLevel="0" collapsed="false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customFormat="false" ht="15.75" hidden="false" customHeight="false" outlineLevel="0" collapsed="false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customFormat="false" ht="15.75" hidden="false" customHeight="false" outlineLevel="0" collapsed="false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customFormat="false" ht="15.75" hidden="false" customHeight="false" outlineLevel="0" collapsed="false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customFormat="false" ht="15.75" hidden="false" customHeight="false" outlineLevel="0" collapsed="false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customFormat="false" ht="15.75" hidden="false" customHeight="false" outlineLevel="0" collapsed="false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customFormat="false" ht="15.75" hidden="false" customHeight="false" outlineLevel="0" collapsed="false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customFormat="false" ht="15.75" hidden="false" customHeight="false" outlineLevel="0" collapsed="false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customFormat="false" ht="15.75" hidden="false" customHeight="false" outlineLevel="0" collapsed="false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customFormat="false" ht="15.75" hidden="false" customHeight="false" outlineLevel="0" collapsed="false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customFormat="false" ht="15.75" hidden="false" customHeight="false" outlineLevel="0" collapsed="false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customFormat="false" ht="15.75" hidden="false" customHeight="false" outlineLevel="0" collapsed="false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customFormat="false" ht="15.75" hidden="false" customHeight="false" outlineLevel="0" collapsed="false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customFormat="false" ht="15.75" hidden="false" customHeight="false" outlineLevel="0" collapsed="false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customFormat="false" ht="15.75" hidden="false" customHeight="false" outlineLevel="0" collapsed="false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customFormat="false" ht="15.75" hidden="false" customHeight="false" outlineLevel="0" collapsed="false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customFormat="false" ht="15.75" hidden="false" customHeight="false" outlineLevel="0" collapsed="false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customFormat="false" ht="15.75" hidden="false" customHeight="false" outlineLevel="0" collapsed="false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customFormat="false" ht="15.75" hidden="false" customHeight="false" outlineLevel="0" collapsed="false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customFormat="false" ht="15.75" hidden="false" customHeight="false" outlineLevel="0" collapsed="false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customFormat="false" ht="15.75" hidden="false" customHeight="false" outlineLevel="0" collapsed="false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customFormat="false" ht="15.75" hidden="false" customHeight="false" outlineLevel="0" collapsed="false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customFormat="false" ht="15.75" hidden="false" customHeight="false" outlineLevel="0" collapsed="false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customFormat="false" ht="15.75" hidden="false" customHeight="false" outlineLevel="0" collapsed="false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customFormat="false" ht="15.75" hidden="false" customHeight="false" outlineLevel="0" collapsed="false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customFormat="false" ht="15.75" hidden="false" customHeight="false" outlineLevel="0" collapsed="false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customFormat="false" ht="15.75" hidden="false" customHeight="false" outlineLevel="0" collapsed="false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customFormat="false" ht="15.75" hidden="false" customHeight="false" outlineLevel="0" collapsed="false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customFormat="false" ht="15.75" hidden="false" customHeight="false" outlineLevel="0" collapsed="false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customFormat="false" ht="15.75" hidden="false" customHeight="false" outlineLevel="0" collapsed="false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customFormat="false" ht="15.75" hidden="false" customHeight="false" outlineLevel="0" collapsed="false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customFormat="false" ht="15.75" hidden="false" customHeight="false" outlineLevel="0" collapsed="false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customFormat="false" ht="15.75" hidden="false" customHeight="false" outlineLevel="0" collapsed="false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customFormat="false" ht="15.75" hidden="false" customHeight="false" outlineLevel="0" collapsed="false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customFormat="false" ht="15.75" hidden="false" customHeight="false" outlineLevel="0" collapsed="false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customFormat="false" ht="15.75" hidden="false" customHeight="false" outlineLevel="0" collapsed="false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customFormat="false" ht="15.75" hidden="false" customHeight="false" outlineLevel="0" collapsed="false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customFormat="false" ht="15.75" hidden="false" customHeight="false" outlineLevel="0" collapsed="false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customFormat="false" ht="15.75" hidden="false" customHeight="false" outlineLevel="0" collapsed="false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customFormat="false" ht="15.75" hidden="false" customHeight="false" outlineLevel="0" collapsed="false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customFormat="false" ht="15.75" hidden="false" customHeight="false" outlineLevel="0" collapsed="false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customFormat="false" ht="15.75" hidden="false" customHeight="false" outlineLevel="0" collapsed="false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customFormat="false" ht="15.75" hidden="false" customHeight="false" outlineLevel="0" collapsed="false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customFormat="false" ht="15.75" hidden="false" customHeight="false" outlineLevel="0" collapsed="false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customFormat="false" ht="15.75" hidden="false" customHeight="false" outlineLevel="0" collapsed="false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 customFormat="false" ht="15.75" hidden="false" customHeight="false" outlineLevel="0" collapsed="false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 customFormat="false" ht="15.75" hidden="false" customHeight="false" outlineLevel="0" collapsed="false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 customFormat="false" ht="15.75" hidden="false" customHeight="false" outlineLevel="0" collapsed="false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 customFormat="false" ht="15.75" hidden="false" customHeight="false" outlineLevel="0" collapsed="false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 customFormat="false" ht="15.75" hidden="false" customHeight="false" outlineLevel="0" collapsed="false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 customFormat="false" ht="15.75" hidden="false" customHeight="false" outlineLevel="0" collapsed="false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 customFormat="false" ht="15.75" hidden="false" customHeight="false" outlineLevel="0" collapsed="false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 customFormat="false" ht="15.75" hidden="false" customHeight="false" outlineLevel="0" collapsed="false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 customFormat="false" ht="15.75" hidden="false" customHeight="false" outlineLevel="0" collapsed="false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 customFormat="false" ht="15.75" hidden="false" customHeight="false" outlineLevel="0" collapsed="false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 customFormat="false" ht="15.75" hidden="false" customHeight="false" outlineLevel="0" collapsed="false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 customFormat="false" ht="15.75" hidden="false" customHeight="false" outlineLevel="0" collapsed="false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 customFormat="false" ht="15.75" hidden="false" customHeight="false" outlineLevel="0" collapsed="false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 customFormat="false" ht="15.75" hidden="false" customHeight="false" outlineLevel="0" collapsed="false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 customFormat="false" ht="15.75" hidden="false" customHeight="false" outlineLevel="0" collapsed="false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 customFormat="false" ht="15.75" hidden="false" customHeight="false" outlineLevel="0" collapsed="false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 customFormat="false" ht="15.75" hidden="false" customHeight="false" outlineLevel="0" collapsed="false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 customFormat="false" ht="15.75" hidden="false" customHeight="false" outlineLevel="0" collapsed="false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 customFormat="false" ht="15.75" hidden="false" customHeight="false" outlineLevel="0" collapsed="false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 customFormat="false" ht="15.75" hidden="false" customHeight="false" outlineLevel="0" collapsed="false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 customFormat="false" ht="15.75" hidden="false" customHeight="false" outlineLevel="0" collapsed="false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 customFormat="false" ht="15.75" hidden="false" customHeight="false" outlineLevel="0" collapsed="false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 customFormat="false" ht="15.75" hidden="false" customHeight="false" outlineLevel="0" collapsed="false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38" t="str">
        <f aca="false">IFERROR(__xludf.dummyfunction("importrange(""https://docs.google.com/spreadsheets/d/1YGauecgVr6IitrGDDrOCoTXY8ruNxlmFhmS5Oas2JUg/edit?gid=0#gid=0"",""Sheet1!A1:G18"")"),"Helicopter|B/C")</f>
        <v>Helicopter|B/C</v>
      </c>
      <c r="B1" s="144" t="str">
        <f aca="false">IFERROR(__xludf.dummyfunction("""COMPUTED_VALUE"""),"Helicopter")</f>
        <v>Helicopter</v>
      </c>
      <c r="C1" s="138" t="str">
        <f aca="false">IFERROR(__xludf.dummyfunction("""COMPUTED_VALUE"""),"B/C")</f>
        <v>B/C</v>
      </c>
      <c r="D1" s="138" t="str">
        <f aca="false">IFERROR(__xludf.dummyfunction("""COMPUTED_VALUE"""),"0.6.1")</f>
        <v>0.6.1</v>
      </c>
      <c r="E1" s="143" t="n">
        <f aca="false">IFERROR(__xludf.dummyfunction("""COMPUTED_VALUE"""),46077)</f>
        <v>46077</v>
      </c>
      <c r="F1" s="138"/>
      <c r="G1" s="138" t="str">
        <f aca="false">IFERROR(__xludf.dummyfunction("""COMPUTED_VALUE"""),"Ready")</f>
        <v>Ready</v>
      </c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customFormat="false" ht="15.75" hidden="false" customHeight="false" outlineLevel="0" collapsed="false">
      <c r="A2" s="138" t="str">
        <f aca="false">IFERROR(__xludf.dummyfunction("""COMPUTED_VALUE"""),"Mission Possible|B")</f>
        <v>Mission Possible|B</v>
      </c>
      <c r="B2" s="138" t="str">
        <f aca="false">IFERROR(__xludf.dummyfunction("""COMPUTED_VALUE"""),"Mission Possible")</f>
        <v>Mission Possible</v>
      </c>
      <c r="C2" s="138" t="str">
        <f aca="false">IFERROR(__xludf.dummyfunction("""COMPUTED_VALUE"""),"B")</f>
        <v>B</v>
      </c>
      <c r="D2" s="138" t="str">
        <f aca="false">IFERROR(__xludf.dummyfunction("""COMPUTED_VALUE"""),"0.5.1")</f>
        <v>0.5.1</v>
      </c>
      <c r="E2" s="143" t="n">
        <f aca="false">IFERROR(__xludf.dummyfunction("""COMPUTED_VALUE"""),46077)</f>
        <v>46077</v>
      </c>
      <c r="F2" s="138"/>
      <c r="G2" s="138" t="str">
        <f aca="false">IFERROR(__xludf.dummyfunction("""COMPUTED_VALUE"""),"Ready")</f>
        <v>Ready</v>
      </c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 customFormat="false" ht="15.75" hidden="false" customHeight="false" outlineLevel="0" collapsed="false">
      <c r="A3" s="138" t="str">
        <f aca="false">IFERROR(__xludf.dummyfunction("""COMPUTED_VALUE"""),"Scrambler|B")</f>
        <v>Scrambler|B</v>
      </c>
      <c r="B3" s="138" t="str">
        <f aca="false">IFERROR(__xludf.dummyfunction("""COMPUTED_VALUE"""),"Scrambler")</f>
        <v>Scrambler</v>
      </c>
      <c r="C3" s="138" t="str">
        <f aca="false">IFERROR(__xludf.dummyfunction("""COMPUTED_VALUE"""),"B")</f>
        <v>B</v>
      </c>
      <c r="D3" s="138" t="str">
        <f aca="false">IFERROR(__xludf.dummyfunction("""COMPUTED_VALUE"""),"0.4.1")</f>
        <v>0.4.1</v>
      </c>
      <c r="E3" s="143" t="n">
        <f aca="false">IFERROR(__xludf.dummyfunction("""COMPUTED_VALUE"""),46077)</f>
        <v>46077</v>
      </c>
      <c r="F3" s="138"/>
      <c r="G3" s="138" t="str">
        <f aca="false">IFERROR(__xludf.dummyfunction("""COMPUTED_VALUE"""),"Ready")</f>
        <v>Ready</v>
      </c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 customFormat="false" ht="15.75" hidden="false" customHeight="false" outlineLevel="0" collapsed="false">
      <c r="A4" s="138" t="str">
        <f aca="false">IFERROR(__xludf.dummyfunction("""COMPUTED_VALUE"""),"Bungee Drop|C")</f>
        <v>Bungee Drop|C</v>
      </c>
      <c r="B4" s="138" t="str">
        <f aca="false">IFERROR(__xludf.dummyfunction("""COMPUTED_VALUE"""),"Bungee Drop")</f>
        <v>Bungee Drop</v>
      </c>
      <c r="C4" s="138" t="str">
        <f aca="false">IFERROR(__xludf.dummyfunction("""COMPUTED_VALUE"""),"C")</f>
        <v>C</v>
      </c>
      <c r="D4" s="138" t="str">
        <f aca="false">IFERROR(__xludf.dummyfunction("""COMPUTED_VALUE"""),"0.4.3")</f>
        <v>0.4.3</v>
      </c>
      <c r="E4" s="143" t="n">
        <f aca="false">IFERROR(__xludf.dummyfunction("""COMPUTED_VALUE"""),46077)</f>
        <v>46077</v>
      </c>
      <c r="F4" s="138"/>
      <c r="G4" s="138" t="str">
        <f aca="false">IFERROR(__xludf.dummyfunction("""COMPUTED_VALUE"""),"Ready")</f>
        <v>Ready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 customFormat="false" ht="15.75" hidden="false" customHeight="false" outlineLevel="0" collapsed="false">
      <c r="A5" s="138" t="str">
        <f aca="false">IFERROR(__xludf.dummyfunction("""COMPUTED_VALUE"""),"Electric Vehicle|C")</f>
        <v>Electric Vehicle|C</v>
      </c>
      <c r="B5" s="138" t="str">
        <f aca="false">IFERROR(__xludf.dummyfunction("""COMPUTED_VALUE"""),"Electric Vehicle")</f>
        <v>Electric Vehicle</v>
      </c>
      <c r="C5" s="138" t="str">
        <f aca="false">IFERROR(__xludf.dummyfunction("""COMPUTED_VALUE"""),"C")</f>
        <v>C</v>
      </c>
      <c r="D5" s="138" t="str">
        <f aca="false">IFERROR(__xludf.dummyfunction("""COMPUTED_VALUE"""),"0.8.0")</f>
        <v>0.8.0</v>
      </c>
      <c r="E5" s="143" t="n">
        <f aca="false">IFERROR(__xludf.dummyfunction("""COMPUTED_VALUE"""),46047)</f>
        <v>46047</v>
      </c>
      <c r="F5" s="138"/>
      <c r="G5" s="138" t="str">
        <f aca="false">IFERROR(__xludf.dummyfunction("""COMPUTED_VALUE"""),"Ready")</f>
        <v>Ready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 customFormat="false" ht="15.75" hidden="false" customHeight="false" outlineLevel="0" collapsed="false">
      <c r="A6" s="138" t="str">
        <f aca="false">IFERROR(__xludf.dummyfunction("""COMPUTED_VALUE"""),"Robot Tour|C")</f>
        <v>Robot Tour|C</v>
      </c>
      <c r="B6" s="138" t="str">
        <f aca="false">IFERROR(__xludf.dummyfunction("""COMPUTED_VALUE"""),"Robot Tour")</f>
        <v>Robot Tour</v>
      </c>
      <c r="C6" s="138" t="str">
        <f aca="false">IFERROR(__xludf.dummyfunction("""COMPUTED_VALUE"""),"C")</f>
        <v>C</v>
      </c>
      <c r="D6" s="138" t="str">
        <f aca="false">IFERROR(__xludf.dummyfunction("""COMPUTED_VALUE"""),"0.6.0")</f>
        <v>0.6.0</v>
      </c>
      <c r="E6" s="143" t="n">
        <f aca="false">IFERROR(__xludf.dummyfunction("""COMPUTED_VALUE"""),46077)</f>
        <v>46077</v>
      </c>
      <c r="F6" s="138"/>
      <c r="G6" s="138" t="str">
        <f aca="false">IFERROR(__xludf.dummyfunction("""COMPUTED_VALUE"""),"Ready")</f>
        <v>Ready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 customFormat="false" ht="15.75" hidden="false" customHeight="false" outlineLevel="0" collapsed="false">
      <c r="A7" s="138" t="str">
        <f aca="false">IFERROR(__xludf.dummyfunction("""COMPUTED_VALUE"""),"Hovercraft|B/C")</f>
        <v>Hovercraft|B/C</v>
      </c>
      <c r="B7" s="138" t="str">
        <f aca="false">IFERROR(__xludf.dummyfunction("""COMPUTED_VALUE"""),"Hovercraft")</f>
        <v>Hovercraft</v>
      </c>
      <c r="C7" s="138" t="str">
        <f aca="false">IFERROR(__xludf.dummyfunction("""COMPUTED_VALUE"""),"B/C")</f>
        <v>B/C</v>
      </c>
      <c r="D7" s="138" t="str">
        <f aca="false">IFERROR(__xludf.dummyfunction("""COMPUTED_VALUE"""),"0.5.3")</f>
        <v>0.5.3</v>
      </c>
      <c r="E7" s="143" t="n">
        <f aca="false">IFERROR(__xludf.dummyfunction("""COMPUTED_VALUE"""),46055)</f>
        <v>46055</v>
      </c>
      <c r="F7" s="138"/>
      <c r="G7" s="138" t="str">
        <f aca="false">IFERROR(__xludf.dummyfunction("""COMPUTED_VALUE"""),"Ready")</f>
        <v>Ready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 customFormat="false" ht="15.75" hidden="false" customHeight="false" outlineLevel="0" collapsed="false">
      <c r="A8" s="138" t="str">
        <f aca="false">IFERROR(__xludf.dummyfunction("""COMPUTED_VALUE"""),"Boomilever|B/C")</f>
        <v>Boomilever|B/C</v>
      </c>
      <c r="B8" s="138" t="str">
        <f aca="false">IFERROR(__xludf.dummyfunction("""COMPUTED_VALUE"""),"Boomilever")</f>
        <v>Boomilever</v>
      </c>
      <c r="C8" s="138" t="str">
        <f aca="false">IFERROR(__xludf.dummyfunction("""COMPUTED_VALUE"""),"B/C")</f>
        <v>B/C</v>
      </c>
      <c r="D8" s="138" t="str">
        <f aca="false">IFERROR(__xludf.dummyfunction("""COMPUTED_VALUE"""),"0.3.0")</f>
        <v>0.3.0</v>
      </c>
      <c r="E8" s="143" t="n">
        <f aca="false">IFERROR(__xludf.dummyfunction("""COMPUTED_VALUE"""),46077)</f>
        <v>46077</v>
      </c>
      <c r="F8" s="138"/>
      <c r="G8" s="138" t="str">
        <f aca="false">IFERROR(__xludf.dummyfunction("""COMPUTED_VALUE"""),"Ready")</f>
        <v>Ready</v>
      </c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customFormat="false" ht="15.75" hidden="false" customHeight="false" outlineLevel="0" collapsed="false">
      <c r="A9" s="138" t="str">
        <f aca="false">IFERROR(__xludf.dummyfunction("""COMPUTED_VALUE"""),"Machines|B/C")</f>
        <v>Machines|B/C</v>
      </c>
      <c r="B9" s="138" t="str">
        <f aca="false">IFERROR(__xludf.dummyfunction("""COMPUTED_VALUE"""),"Machines")</f>
        <v>Machines</v>
      </c>
      <c r="C9" s="138" t="str">
        <f aca="false">IFERROR(__xludf.dummyfunction("""COMPUTED_VALUE"""),"B/C")</f>
        <v>B/C</v>
      </c>
      <c r="D9" s="138" t="str">
        <f aca="false">IFERROR(__xludf.dummyfunction("""COMPUTED_VALUE"""),"0.4.0")</f>
        <v>0.4.0</v>
      </c>
      <c r="E9" s="143" t="n">
        <f aca="false">IFERROR(__xludf.dummyfunction("""COMPUTED_VALUE"""),45996)</f>
        <v>45996</v>
      </c>
      <c r="F9" s="138"/>
      <c r="G9" s="138" t="str">
        <f aca="false">IFERROR(__xludf.dummyfunction("""COMPUTED_VALUE"""),"Ready")</f>
        <v>Ready</v>
      </c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 customFormat="false" ht="15.75" hidden="false" customHeight="false" outlineLevel="0" collapsed="false">
      <c r="A10" s="138" t="str">
        <f aca="false">IFERROR(__xludf.dummyfunction("""COMPUTED_VALUE"""),"Engineering CAD|C")</f>
        <v>Engineering CAD|C</v>
      </c>
      <c r="B10" s="138" t="str">
        <f aca="false">IFERROR(__xludf.dummyfunction("""COMPUTED_VALUE"""),"Engineering CAD")</f>
        <v>Engineering CAD</v>
      </c>
      <c r="C10" s="138" t="str">
        <f aca="false">IFERROR(__xludf.dummyfunction("""COMPUTED_VALUE"""),"C")</f>
        <v>C</v>
      </c>
      <c r="D10" s="138" t="str">
        <f aca="false">IFERROR(__xludf.dummyfunction("""COMPUTED_VALUE"""),"1.0.0")</f>
        <v>1.0.0</v>
      </c>
      <c r="E10" s="143" t="n">
        <f aca="false">IFERROR(__xludf.dummyfunction("""COMPUTED_VALUE"""),46095)</f>
        <v>46095</v>
      </c>
      <c r="F10" s="138"/>
      <c r="G10" s="138" t="str">
        <f aca="false">IFERROR(__xludf.dummyfunction("""COMPUTED_VALUE"""),"Ready")</f>
        <v>Ready</v>
      </c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 customFormat="false" ht="15.75" hidden="false" customHeight="false" outlineLevel="0" collapsed="false">
      <c r="A11" s="138"/>
      <c r="B11" s="138"/>
      <c r="C11" s="138"/>
      <c r="D11" s="138"/>
      <c r="E11" s="143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customFormat="false" ht="15.75" hidden="false" customHeight="false" outlineLevel="0" collapsed="false">
      <c r="A12" s="138"/>
      <c r="B12" s="138"/>
      <c r="C12" s="138"/>
      <c r="D12" s="138"/>
      <c r="E12" s="143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</row>
    <row r="13" customFormat="false" ht="15.75" hidden="false" customHeight="false" outlineLevel="0" collapsed="false">
      <c r="A13" s="138"/>
      <c r="B13" s="138"/>
      <c r="C13" s="138"/>
      <c r="D13" s="138"/>
      <c r="E13" s="143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</row>
    <row r="14" customFormat="false" ht="15.75" hidden="false" customHeight="false" outlineLevel="0" collapsed="false">
      <c r="A14" s="138"/>
      <c r="B14" s="138"/>
      <c r="C14" s="138"/>
      <c r="D14" s="138"/>
      <c r="E14" s="143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</row>
    <row r="15" customFormat="false" ht="15.75" hidden="false" customHeight="false" outlineLevel="0" collapsed="false">
      <c r="A15" s="138"/>
      <c r="B15" s="138"/>
      <c r="C15" s="138"/>
      <c r="D15" s="138"/>
      <c r="E15" s="143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</row>
    <row r="16" customFormat="false" ht="15.75" hidden="false" customHeight="false" outlineLevel="0" collapsed="false">
      <c r="A16" s="138"/>
      <c r="B16" s="138"/>
      <c r="C16" s="138"/>
      <c r="D16" s="138"/>
      <c r="E16" s="143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 customFormat="false" ht="15.75" hidden="false" customHeight="false" outlineLevel="0" collapsed="false">
      <c r="A17" s="138"/>
      <c r="B17" s="138"/>
      <c r="C17" s="138"/>
      <c r="D17" s="138"/>
      <c r="E17" s="143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 customFormat="false" ht="15.75" hidden="false" customHeight="false" outlineLevel="0" collapsed="false">
      <c r="A18" s="138"/>
      <c r="B18" s="138"/>
      <c r="C18" s="138"/>
      <c r="D18" s="138"/>
      <c r="E18" s="143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 customFormat="false" ht="15.75" hidden="false" customHeight="false" outlineLevel="0" collapsed="false">
      <c r="A19" s="138"/>
      <c r="B19" s="138"/>
      <c r="C19" s="138"/>
      <c r="D19" s="138"/>
      <c r="E19" s="143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 customFormat="false" ht="15.75" hidden="false" customHeight="false" outlineLevel="0" collapsed="false">
      <c r="A20" s="138"/>
      <c r="B20" s="138"/>
      <c r="C20" s="138"/>
      <c r="D20" s="138"/>
      <c r="E20" s="143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customFormat="false" ht="15.75" hidden="false" customHeight="false" outlineLevel="0" collapsed="false">
      <c r="A21" s="138" t="str">
        <f aca="false">IF(ISBLANK(B21),"",B21&amp;"|"&amp;C21)</f>
        <v/>
      </c>
      <c r="B21" s="138"/>
      <c r="C21" s="138"/>
      <c r="D21" s="138"/>
      <c r="E21" s="143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</row>
    <row r="22" customFormat="false" ht="15.75" hidden="false" customHeight="false" outlineLevel="0" collapsed="false">
      <c r="A22" s="138" t="str">
        <f aca="false">IF(ISBLANK(B22),"",B22&amp;"|"&amp;C22)</f>
        <v/>
      </c>
      <c r="B22" s="138"/>
      <c r="C22" s="138"/>
      <c r="D22" s="138"/>
      <c r="E22" s="143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customFormat="false" ht="15.75" hidden="false" customHeight="false" outlineLevel="0" collapsed="false">
      <c r="A23" s="138" t="str">
        <f aca="false">IF(ISBLANK(B23),"",B23&amp;"|"&amp;C23)</f>
        <v/>
      </c>
      <c r="B23" s="138"/>
      <c r="C23" s="138"/>
      <c r="D23" s="138"/>
      <c r="E23" s="143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customFormat="false" ht="15.75" hidden="false" customHeight="false" outlineLevel="0" collapsed="false">
      <c r="A24" s="138" t="str">
        <f aca="false">IF(ISBLANK(B24),"",B24&amp;"|"&amp;C24)</f>
        <v/>
      </c>
      <c r="B24" s="138"/>
      <c r="C24" s="138"/>
      <c r="D24" s="138"/>
      <c r="E24" s="143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customFormat="false" ht="15.75" hidden="false" customHeight="false" outlineLevel="0" collapsed="false">
      <c r="A25" s="138" t="str">
        <f aca="false">IF(ISBLANK(B25),"",B25&amp;"|"&amp;C25)</f>
        <v/>
      </c>
      <c r="B25" s="138"/>
      <c r="C25" s="138"/>
      <c r="D25" s="138"/>
      <c r="E25" s="143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customFormat="false" ht="15.75" hidden="false" customHeight="false" outlineLevel="0" collapsed="false">
      <c r="A26" s="138" t="str">
        <f aca="false">IF(ISBLANK(B26),"",B26&amp;"|"&amp;C26)</f>
        <v/>
      </c>
      <c r="B26" s="138"/>
      <c r="C26" s="138"/>
      <c r="D26" s="138"/>
      <c r="E26" s="143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customFormat="false" ht="15.75" hidden="false" customHeight="false" outlineLevel="0" collapsed="false">
      <c r="A27" s="138" t="str">
        <f aca="false">IF(ISBLANK(B27),"",B27&amp;"|"&amp;C27)</f>
        <v/>
      </c>
      <c r="B27" s="138"/>
      <c r="C27" s="138"/>
      <c r="D27" s="138"/>
      <c r="E27" s="143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customFormat="false" ht="15.75" hidden="false" customHeight="false" outlineLevel="0" collapsed="false">
      <c r="A28" s="138" t="str">
        <f aca="false">IF(ISBLANK(B28),"",B28&amp;"|"&amp;C28)</f>
        <v/>
      </c>
      <c r="B28" s="138"/>
      <c r="C28" s="138"/>
      <c r="D28" s="138"/>
      <c r="E28" s="143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customFormat="false" ht="15.75" hidden="false" customHeight="false" outlineLevel="0" collapsed="false">
      <c r="A29" s="138" t="str">
        <f aca="false">IF(ISBLANK(B29),"",B29&amp;"|"&amp;C29)</f>
        <v/>
      </c>
      <c r="B29" s="138"/>
      <c r="C29" s="138"/>
      <c r="D29" s="138"/>
      <c r="E29" s="143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customFormat="false" ht="15.75" hidden="false" customHeight="false" outlineLevel="0" collapsed="false">
      <c r="A30" s="138" t="str">
        <f aca="false">IF(ISBLANK(B30),"",B30&amp;"|"&amp;C30)</f>
        <v/>
      </c>
      <c r="B30" s="138"/>
      <c r="C30" s="138"/>
      <c r="D30" s="138"/>
      <c r="E30" s="143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customFormat="false" ht="15.75" hidden="false" customHeight="false" outlineLevel="0" collapsed="false">
      <c r="A31" s="138" t="str">
        <f aca="false">IF(ISBLANK(B31),"",B31&amp;"|"&amp;C31)</f>
        <v/>
      </c>
      <c r="B31" s="138"/>
      <c r="C31" s="138"/>
      <c r="D31" s="138"/>
      <c r="E31" s="143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customFormat="false" ht="15.75" hidden="false" customHeight="false" outlineLevel="0" collapsed="false">
      <c r="A32" s="138" t="str">
        <f aca="false">IF(ISBLANK(B32),"",B32&amp;"|"&amp;C32)</f>
        <v/>
      </c>
      <c r="B32" s="138"/>
      <c r="C32" s="138"/>
      <c r="D32" s="138"/>
      <c r="E32" s="143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customFormat="false" ht="15.75" hidden="false" customHeight="false" outlineLevel="0" collapsed="false">
      <c r="A33" s="138" t="str">
        <f aca="false">IF(ISBLANK(B33),"",B33&amp;"|"&amp;C33)</f>
        <v/>
      </c>
      <c r="B33" s="138"/>
      <c r="C33" s="138"/>
      <c r="D33" s="138"/>
      <c r="E33" s="143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customFormat="false" ht="15.75" hidden="false" customHeight="false" outlineLevel="0" collapsed="false">
      <c r="A34" s="138" t="str">
        <f aca="false">IF(ISBLANK(B34),"",B34&amp;"|"&amp;C34)</f>
        <v/>
      </c>
      <c r="B34" s="138"/>
      <c r="C34" s="138"/>
      <c r="D34" s="138"/>
      <c r="E34" s="143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customFormat="false" ht="15.75" hidden="false" customHeight="false" outlineLevel="0" collapsed="false">
      <c r="A35" s="138" t="str">
        <f aca="false">IF(ISBLANK(B35),"",B35&amp;"|"&amp;C35)</f>
        <v/>
      </c>
      <c r="B35" s="138"/>
      <c r="C35" s="138"/>
      <c r="D35" s="138"/>
      <c r="E35" s="143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customFormat="false" ht="15.75" hidden="false" customHeight="false" outlineLevel="0" collapsed="false">
      <c r="A36" s="138" t="str">
        <f aca="false">IF(ISBLANK(B36),"",B36&amp;"|"&amp;C36)</f>
        <v/>
      </c>
      <c r="B36" s="138"/>
      <c r="C36" s="138"/>
      <c r="D36" s="138"/>
      <c r="E36" s="143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customFormat="false" ht="15.75" hidden="false" customHeight="false" outlineLevel="0" collapsed="false">
      <c r="A37" s="138" t="str">
        <f aca="false">IF(ISBLANK(B37),"",B37&amp;"|"&amp;C37)</f>
        <v/>
      </c>
      <c r="B37" s="138"/>
      <c r="C37" s="138"/>
      <c r="D37" s="138"/>
      <c r="E37" s="143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customFormat="false" ht="15.75" hidden="false" customHeight="false" outlineLevel="0" collapsed="false">
      <c r="A38" s="138" t="str">
        <f aca="false">IF(ISBLANK(B38),"",B38&amp;"|"&amp;C38)</f>
        <v/>
      </c>
      <c r="B38" s="138"/>
      <c r="C38" s="138"/>
      <c r="D38" s="138"/>
      <c r="E38" s="143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customFormat="false" ht="15.75" hidden="false" customHeight="false" outlineLevel="0" collapsed="false">
      <c r="A39" s="138" t="str">
        <f aca="false">IF(ISBLANK(B39),"",B39&amp;"|"&amp;C39)</f>
        <v/>
      </c>
      <c r="B39" s="138"/>
      <c r="C39" s="138"/>
      <c r="D39" s="138"/>
      <c r="E39" s="143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customFormat="false" ht="15.75" hidden="false" customHeight="false" outlineLevel="0" collapsed="false">
      <c r="A40" s="138" t="str">
        <f aca="false">IF(ISBLANK(B40),"",B40&amp;"|"&amp;C40)</f>
        <v/>
      </c>
      <c r="B40" s="138"/>
      <c r="C40" s="138"/>
      <c r="D40" s="138"/>
      <c r="E40" s="143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customFormat="false" ht="15.75" hidden="false" customHeight="false" outlineLevel="0" collapsed="false">
      <c r="A41" s="138" t="str">
        <f aca="false">IF(ISBLANK(B41),"",B41&amp;"|"&amp;C41)</f>
        <v/>
      </c>
      <c r="B41" s="138"/>
      <c r="C41" s="138"/>
      <c r="D41" s="138"/>
      <c r="E41" s="143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customFormat="false" ht="15.75" hidden="false" customHeight="false" outlineLevel="0" collapsed="false">
      <c r="A42" s="138" t="str">
        <f aca="false">IF(ISBLANK(B42),"",B42&amp;"|"&amp;C42)</f>
        <v/>
      </c>
      <c r="B42" s="138"/>
      <c r="C42" s="138"/>
      <c r="D42" s="138"/>
      <c r="E42" s="143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customFormat="false" ht="15.75" hidden="false" customHeight="false" outlineLevel="0" collapsed="false">
      <c r="A43" s="138" t="str">
        <f aca="false">IF(ISBLANK(B43),"",B43&amp;"|"&amp;C43)</f>
        <v/>
      </c>
      <c r="B43" s="138"/>
      <c r="C43" s="138"/>
      <c r="D43" s="138"/>
      <c r="E43" s="143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customFormat="false" ht="15.75" hidden="false" customHeight="false" outlineLevel="0" collapsed="false">
      <c r="A44" s="138" t="str">
        <f aca="false">IF(ISBLANK(B44),"",B44&amp;"|"&amp;C44)</f>
        <v/>
      </c>
      <c r="B44" s="138"/>
      <c r="C44" s="138"/>
      <c r="D44" s="138"/>
      <c r="E44" s="143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customFormat="false" ht="15.75" hidden="false" customHeight="false" outlineLevel="0" collapsed="false">
      <c r="A45" s="138" t="str">
        <f aca="false">IF(ISBLANK(B45),"",B45&amp;"|"&amp;C45)</f>
        <v/>
      </c>
      <c r="B45" s="138"/>
      <c r="C45" s="138"/>
      <c r="D45" s="138"/>
      <c r="E45" s="143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customFormat="false" ht="15.75" hidden="false" customHeight="false" outlineLevel="0" collapsed="false">
      <c r="A46" s="138" t="str">
        <f aca="false">IF(ISBLANK(B46),"",B46&amp;"|"&amp;C46)</f>
        <v/>
      </c>
      <c r="B46" s="138"/>
      <c r="C46" s="138"/>
      <c r="D46" s="138"/>
      <c r="E46" s="143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customFormat="false" ht="15.75" hidden="false" customHeight="false" outlineLevel="0" collapsed="false">
      <c r="A47" s="138" t="str">
        <f aca="false">IF(ISBLANK(B47),"",B47&amp;"|"&amp;C47)</f>
        <v/>
      </c>
      <c r="B47" s="138"/>
      <c r="C47" s="138"/>
      <c r="D47" s="138"/>
      <c r="E47" s="143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customFormat="false" ht="15.75" hidden="false" customHeight="false" outlineLevel="0" collapsed="false">
      <c r="A48" s="138" t="str">
        <f aca="false">IF(ISBLANK(B48),"",B48&amp;"|"&amp;C48)</f>
        <v/>
      </c>
      <c r="B48" s="138"/>
      <c r="C48" s="138"/>
      <c r="D48" s="138"/>
      <c r="E48" s="143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customFormat="false" ht="15.75" hidden="false" customHeight="false" outlineLevel="0" collapsed="false">
      <c r="A49" s="138" t="str">
        <f aca="false">IF(ISBLANK(B49),"",B49&amp;"|"&amp;C49)</f>
        <v/>
      </c>
      <c r="B49" s="138"/>
      <c r="C49" s="138"/>
      <c r="D49" s="138"/>
      <c r="E49" s="143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customFormat="false" ht="15.75" hidden="false" customHeight="false" outlineLevel="0" collapsed="false">
      <c r="A50" s="138" t="str">
        <f aca="false">IF(ISBLANK(B50),"",B50&amp;"|"&amp;C50)</f>
        <v/>
      </c>
      <c r="B50" s="138"/>
      <c r="C50" s="138"/>
      <c r="D50" s="138"/>
      <c r="E50" s="143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customFormat="false" ht="15.75" hidden="false" customHeight="false" outlineLevel="0" collapsed="false">
      <c r="A51" s="138" t="str">
        <f aca="false">IF(ISBLANK(B51),"",B51&amp;"|"&amp;C51)</f>
        <v/>
      </c>
      <c r="B51" s="138"/>
      <c r="C51" s="138"/>
      <c r="D51" s="138"/>
      <c r="E51" s="143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customFormat="false" ht="15.75" hidden="false" customHeight="false" outlineLevel="0" collapsed="false">
      <c r="A52" s="138" t="str">
        <f aca="false">IF(ISBLANK(B52),"",B52&amp;"|"&amp;C52)</f>
        <v/>
      </c>
      <c r="B52" s="138"/>
      <c r="C52" s="138"/>
      <c r="D52" s="138"/>
      <c r="E52" s="143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customFormat="false" ht="15.75" hidden="false" customHeight="false" outlineLevel="0" collapsed="false">
      <c r="A53" s="138" t="str">
        <f aca="false">IF(ISBLANK(B53),"",B53&amp;"|"&amp;C53)</f>
        <v/>
      </c>
      <c r="B53" s="138"/>
      <c r="C53" s="138"/>
      <c r="D53" s="138"/>
      <c r="E53" s="143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customFormat="false" ht="15.75" hidden="false" customHeight="false" outlineLevel="0" collapsed="false">
      <c r="A54" s="138" t="str">
        <f aca="false">IF(ISBLANK(B54),"",B54&amp;"|"&amp;C54)</f>
        <v/>
      </c>
      <c r="B54" s="138"/>
      <c r="C54" s="138"/>
      <c r="D54" s="138"/>
      <c r="E54" s="143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customFormat="false" ht="15.75" hidden="false" customHeight="false" outlineLevel="0" collapsed="false">
      <c r="A55" s="138" t="str">
        <f aca="false">IF(ISBLANK(B55),"",B55&amp;"|"&amp;C55)</f>
        <v/>
      </c>
      <c r="B55" s="138"/>
      <c r="C55" s="138"/>
      <c r="D55" s="138"/>
      <c r="E55" s="143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customFormat="false" ht="15.75" hidden="false" customHeight="false" outlineLevel="0" collapsed="false">
      <c r="A56" s="138" t="str">
        <f aca="false">IF(ISBLANK(B56),"",B56&amp;"|"&amp;C56)</f>
        <v/>
      </c>
      <c r="B56" s="138"/>
      <c r="C56" s="138"/>
      <c r="D56" s="138"/>
      <c r="E56" s="143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customFormat="false" ht="15.75" hidden="false" customHeight="false" outlineLevel="0" collapsed="false">
      <c r="A57" s="138" t="str">
        <f aca="false">IF(ISBLANK(B57),"",B57&amp;"|"&amp;C57)</f>
        <v/>
      </c>
      <c r="B57" s="138"/>
      <c r="C57" s="138"/>
      <c r="D57" s="138"/>
      <c r="E57" s="143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customFormat="false" ht="15.75" hidden="false" customHeight="false" outlineLevel="0" collapsed="false">
      <c r="A58" s="138" t="str">
        <f aca="false">IF(ISBLANK(B58),"",B58&amp;"|"&amp;C58)</f>
        <v/>
      </c>
      <c r="B58" s="138"/>
      <c r="C58" s="138"/>
      <c r="D58" s="138"/>
      <c r="E58" s="143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customFormat="false" ht="15.75" hidden="false" customHeight="false" outlineLevel="0" collapsed="false">
      <c r="A59" s="138" t="str">
        <f aca="false">IF(ISBLANK(B59),"",B59&amp;"|"&amp;C59)</f>
        <v/>
      </c>
      <c r="B59" s="138"/>
      <c r="C59" s="138"/>
      <c r="D59" s="138"/>
      <c r="E59" s="143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customFormat="false" ht="15.75" hidden="false" customHeight="false" outlineLevel="0" collapsed="false">
      <c r="A60" s="138" t="str">
        <f aca="false">IF(ISBLANK(B60),"",B60&amp;"|"&amp;C60)</f>
        <v/>
      </c>
      <c r="B60" s="138"/>
      <c r="C60" s="138"/>
      <c r="D60" s="138"/>
      <c r="E60" s="143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customFormat="false" ht="15.75" hidden="false" customHeight="false" outlineLevel="0" collapsed="false">
      <c r="A61" s="138" t="str">
        <f aca="false">IF(ISBLANK(B61),"",B61&amp;"|"&amp;C61)</f>
        <v/>
      </c>
      <c r="B61" s="138"/>
      <c r="C61" s="138"/>
      <c r="D61" s="138"/>
      <c r="E61" s="143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customFormat="false" ht="15.75" hidden="false" customHeight="false" outlineLevel="0" collapsed="false">
      <c r="A62" s="138" t="str">
        <f aca="false">IF(ISBLANK(B62),"",B62&amp;"|"&amp;C62)</f>
        <v/>
      </c>
      <c r="B62" s="138"/>
      <c r="C62" s="138"/>
      <c r="D62" s="138"/>
      <c r="E62" s="143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customFormat="false" ht="15.75" hidden="false" customHeight="false" outlineLevel="0" collapsed="false">
      <c r="A63" s="138" t="str">
        <f aca="false">IF(ISBLANK(B63),"",B63&amp;"|"&amp;C63)</f>
        <v/>
      </c>
      <c r="B63" s="138"/>
      <c r="C63" s="138"/>
      <c r="D63" s="138"/>
      <c r="E63" s="143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customFormat="false" ht="15.75" hidden="false" customHeight="false" outlineLevel="0" collapsed="false">
      <c r="A64" s="138" t="str">
        <f aca="false">IF(ISBLANK(B64),"",B64&amp;"|"&amp;C64)</f>
        <v/>
      </c>
      <c r="B64" s="138"/>
      <c r="C64" s="138"/>
      <c r="D64" s="138"/>
      <c r="E64" s="143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customFormat="false" ht="15.75" hidden="false" customHeight="false" outlineLevel="0" collapsed="false">
      <c r="A65" s="138" t="str">
        <f aca="false">IF(ISBLANK(B65),"",B65&amp;"|"&amp;C65)</f>
        <v/>
      </c>
      <c r="B65" s="138"/>
      <c r="C65" s="138"/>
      <c r="D65" s="138"/>
      <c r="E65" s="143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customFormat="false" ht="15.75" hidden="false" customHeight="false" outlineLevel="0" collapsed="false">
      <c r="A66" s="138" t="str">
        <f aca="false">IF(ISBLANK(B66),"",B66&amp;"|"&amp;C66)</f>
        <v/>
      </c>
      <c r="B66" s="138"/>
      <c r="C66" s="138"/>
      <c r="D66" s="138"/>
      <c r="E66" s="143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customFormat="false" ht="15.75" hidden="false" customHeight="false" outlineLevel="0" collapsed="false">
      <c r="A67" s="138" t="str">
        <f aca="false">IF(ISBLANK(B67),"",B67&amp;"|"&amp;C67)</f>
        <v/>
      </c>
      <c r="B67" s="138"/>
      <c r="C67" s="138"/>
      <c r="D67" s="138"/>
      <c r="E67" s="143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customFormat="false" ht="15.75" hidden="false" customHeight="false" outlineLevel="0" collapsed="false">
      <c r="A68" s="138" t="str">
        <f aca="false">IF(ISBLANK(B68),"",B68&amp;"|"&amp;C68)</f>
        <v/>
      </c>
      <c r="B68" s="138"/>
      <c r="C68" s="138"/>
      <c r="D68" s="138"/>
      <c r="E68" s="143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customFormat="false" ht="15.75" hidden="false" customHeight="false" outlineLevel="0" collapsed="false">
      <c r="A69" s="138" t="str">
        <f aca="false">IF(ISBLANK(B69),"",B69&amp;"|"&amp;C69)</f>
        <v/>
      </c>
      <c r="B69" s="138"/>
      <c r="C69" s="138"/>
      <c r="D69" s="138"/>
      <c r="E69" s="143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customFormat="false" ht="15.75" hidden="false" customHeight="false" outlineLevel="0" collapsed="false">
      <c r="A70" s="138" t="str">
        <f aca="false">IF(ISBLANK(B70),"",B70&amp;"|"&amp;C70)</f>
        <v/>
      </c>
      <c r="B70" s="138"/>
      <c r="C70" s="138"/>
      <c r="D70" s="138"/>
      <c r="E70" s="143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customFormat="false" ht="15.75" hidden="false" customHeight="false" outlineLevel="0" collapsed="false">
      <c r="A71" s="138" t="str">
        <f aca="false">IF(ISBLANK(B71),"",B71&amp;"|"&amp;C71)</f>
        <v/>
      </c>
      <c r="B71" s="138"/>
      <c r="C71" s="138"/>
      <c r="D71" s="138"/>
      <c r="E71" s="143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customFormat="false" ht="15.75" hidden="false" customHeight="false" outlineLevel="0" collapsed="false">
      <c r="A72" s="138" t="str">
        <f aca="false">IF(ISBLANK(B72),"",B72&amp;"|"&amp;C72)</f>
        <v/>
      </c>
      <c r="B72" s="138"/>
      <c r="C72" s="138"/>
      <c r="D72" s="138"/>
      <c r="E72" s="143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customFormat="false" ht="15.75" hidden="false" customHeight="false" outlineLevel="0" collapsed="false">
      <c r="A73" s="138" t="str">
        <f aca="false">IF(ISBLANK(B73),"",B73&amp;"|"&amp;C73)</f>
        <v/>
      </c>
      <c r="B73" s="138"/>
      <c r="C73" s="138"/>
      <c r="D73" s="138"/>
      <c r="E73" s="143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customFormat="false" ht="15.75" hidden="false" customHeight="false" outlineLevel="0" collapsed="false">
      <c r="A74" s="138" t="str">
        <f aca="false">IF(ISBLANK(B74),"",B74&amp;"|"&amp;C74)</f>
        <v/>
      </c>
      <c r="B74" s="138"/>
      <c r="C74" s="138"/>
      <c r="D74" s="138"/>
      <c r="E74" s="143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customFormat="false" ht="15.75" hidden="false" customHeight="false" outlineLevel="0" collapsed="false">
      <c r="A75" s="138" t="str">
        <f aca="false">IF(ISBLANK(B75),"",B75&amp;"|"&amp;C75)</f>
        <v/>
      </c>
      <c r="B75" s="138"/>
      <c r="C75" s="138"/>
      <c r="D75" s="138"/>
      <c r="E75" s="143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customFormat="false" ht="15.75" hidden="false" customHeight="false" outlineLevel="0" collapsed="false">
      <c r="A76" s="138" t="str">
        <f aca="false">IF(ISBLANK(B76),"",B76&amp;"|"&amp;C76)</f>
        <v/>
      </c>
      <c r="B76" s="138"/>
      <c r="C76" s="138"/>
      <c r="D76" s="138"/>
      <c r="E76" s="143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customFormat="false" ht="15.75" hidden="false" customHeight="false" outlineLevel="0" collapsed="false">
      <c r="A77" s="138" t="str">
        <f aca="false">IF(ISBLANK(B77),"",B77&amp;"|"&amp;C77)</f>
        <v/>
      </c>
      <c r="B77" s="138"/>
      <c r="C77" s="138"/>
      <c r="D77" s="138"/>
      <c r="E77" s="143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customFormat="false" ht="15.75" hidden="false" customHeight="false" outlineLevel="0" collapsed="false">
      <c r="A78" s="138" t="str">
        <f aca="false">IF(ISBLANK(B78),"",B78&amp;"|"&amp;C78)</f>
        <v/>
      </c>
      <c r="B78" s="138"/>
      <c r="C78" s="138"/>
      <c r="D78" s="138"/>
      <c r="E78" s="143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customFormat="false" ht="15.75" hidden="false" customHeight="false" outlineLevel="0" collapsed="false">
      <c r="A79" s="138" t="str">
        <f aca="false">IF(ISBLANK(B79),"",B79&amp;"|"&amp;C79)</f>
        <v/>
      </c>
      <c r="B79" s="138"/>
      <c r="C79" s="138"/>
      <c r="D79" s="138"/>
      <c r="E79" s="143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customFormat="false" ht="15.75" hidden="false" customHeight="false" outlineLevel="0" collapsed="false">
      <c r="A80" s="138" t="str">
        <f aca="false">IF(ISBLANK(B80),"",B80&amp;"|"&amp;C80)</f>
        <v/>
      </c>
      <c r="B80" s="138"/>
      <c r="C80" s="138"/>
      <c r="D80" s="138"/>
      <c r="E80" s="143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customFormat="false" ht="15.75" hidden="false" customHeight="false" outlineLevel="0" collapsed="false">
      <c r="A81" s="138" t="str">
        <f aca="false">IF(ISBLANK(B81),"",B81&amp;"|"&amp;C81)</f>
        <v/>
      </c>
      <c r="B81" s="138"/>
      <c r="C81" s="138"/>
      <c r="D81" s="138"/>
      <c r="E81" s="143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customFormat="false" ht="15.75" hidden="false" customHeight="false" outlineLevel="0" collapsed="false">
      <c r="A82" s="138" t="str">
        <f aca="false">IF(ISBLANK(B82),"",B82&amp;"|"&amp;C82)</f>
        <v/>
      </c>
      <c r="B82" s="138"/>
      <c r="C82" s="138"/>
      <c r="D82" s="138"/>
      <c r="E82" s="143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customFormat="false" ht="15.75" hidden="false" customHeight="false" outlineLevel="0" collapsed="false">
      <c r="A83" s="138" t="str">
        <f aca="false">IF(ISBLANK(B83),"",B83&amp;"|"&amp;C83)</f>
        <v/>
      </c>
      <c r="B83" s="138"/>
      <c r="C83" s="138"/>
      <c r="D83" s="138"/>
      <c r="E83" s="143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customFormat="false" ht="15.75" hidden="false" customHeight="false" outlineLevel="0" collapsed="false">
      <c r="A84" s="138" t="str">
        <f aca="false">IF(ISBLANK(B84),"",B84&amp;"|"&amp;C84)</f>
        <v/>
      </c>
      <c r="B84" s="138"/>
      <c r="C84" s="138"/>
      <c r="D84" s="138"/>
      <c r="E84" s="143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customFormat="false" ht="15.75" hidden="false" customHeight="false" outlineLevel="0" collapsed="false">
      <c r="A85" s="138" t="str">
        <f aca="false">IF(ISBLANK(B85),"",B85&amp;"|"&amp;C85)</f>
        <v/>
      </c>
      <c r="B85" s="138"/>
      <c r="C85" s="138"/>
      <c r="D85" s="138"/>
      <c r="E85" s="143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customFormat="false" ht="15.75" hidden="false" customHeight="false" outlineLevel="0" collapsed="false">
      <c r="A86" s="138" t="str">
        <f aca="false">IF(ISBLANK(B86),"",B86&amp;"|"&amp;C86)</f>
        <v/>
      </c>
      <c r="B86" s="138"/>
      <c r="C86" s="138"/>
      <c r="D86" s="138"/>
      <c r="E86" s="143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customFormat="false" ht="15.75" hidden="false" customHeight="false" outlineLevel="0" collapsed="false">
      <c r="A87" s="138" t="str">
        <f aca="false">IF(ISBLANK(B87),"",B87&amp;"|"&amp;C87)</f>
        <v/>
      </c>
      <c r="B87" s="138"/>
      <c r="C87" s="138"/>
      <c r="D87" s="138"/>
      <c r="E87" s="143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customFormat="false" ht="15.75" hidden="false" customHeight="false" outlineLevel="0" collapsed="false">
      <c r="A88" s="138" t="str">
        <f aca="false">IF(ISBLANK(B88),"",B88&amp;"|"&amp;C88)</f>
        <v/>
      </c>
      <c r="B88" s="138"/>
      <c r="C88" s="138"/>
      <c r="D88" s="138"/>
      <c r="E88" s="143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customFormat="false" ht="15.75" hidden="false" customHeight="false" outlineLevel="0" collapsed="false">
      <c r="A89" s="138" t="str">
        <f aca="false">IF(ISBLANK(B89),"",B89&amp;"|"&amp;C89)</f>
        <v/>
      </c>
      <c r="B89" s="138"/>
      <c r="C89" s="138"/>
      <c r="D89" s="138"/>
      <c r="E89" s="143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customFormat="false" ht="15.75" hidden="false" customHeight="false" outlineLevel="0" collapsed="false">
      <c r="A90" s="138" t="str">
        <f aca="false">IF(ISBLANK(B90),"",B90&amp;"|"&amp;C90)</f>
        <v/>
      </c>
      <c r="B90" s="138"/>
      <c r="C90" s="138"/>
      <c r="D90" s="138"/>
      <c r="E90" s="143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customFormat="false" ht="15.75" hidden="false" customHeight="false" outlineLevel="0" collapsed="false">
      <c r="A91" s="138" t="str">
        <f aca="false">IF(ISBLANK(B91),"",B91&amp;"|"&amp;C91)</f>
        <v/>
      </c>
      <c r="B91" s="138"/>
      <c r="C91" s="138"/>
      <c r="D91" s="138"/>
      <c r="E91" s="143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customFormat="false" ht="15.75" hidden="false" customHeight="false" outlineLevel="0" collapsed="false">
      <c r="A92" s="138" t="str">
        <f aca="false">IF(ISBLANK(B92),"",B92&amp;"|"&amp;C92)</f>
        <v/>
      </c>
      <c r="B92" s="138"/>
      <c r="C92" s="138"/>
      <c r="D92" s="138"/>
      <c r="E92" s="143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customFormat="false" ht="15.75" hidden="false" customHeight="false" outlineLevel="0" collapsed="false">
      <c r="A93" s="138" t="str">
        <f aca="false">IF(ISBLANK(B93),"",B93&amp;"|"&amp;C93)</f>
        <v/>
      </c>
      <c r="B93" s="138"/>
      <c r="C93" s="138"/>
      <c r="D93" s="138"/>
      <c r="E93" s="143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customFormat="false" ht="15.75" hidden="false" customHeight="false" outlineLevel="0" collapsed="false">
      <c r="A94" s="138" t="str">
        <f aca="false">IF(ISBLANK(B94),"",B94&amp;"|"&amp;C94)</f>
        <v/>
      </c>
      <c r="B94" s="138"/>
      <c r="C94" s="138"/>
      <c r="D94" s="138"/>
      <c r="E94" s="143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customFormat="false" ht="15.75" hidden="false" customHeight="false" outlineLevel="0" collapsed="false">
      <c r="A95" s="138" t="str">
        <f aca="false">IF(ISBLANK(B95),"",B95&amp;"|"&amp;C95)</f>
        <v/>
      </c>
      <c r="B95" s="138"/>
      <c r="C95" s="138"/>
      <c r="D95" s="138"/>
      <c r="E95" s="143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customFormat="false" ht="15.75" hidden="false" customHeight="false" outlineLevel="0" collapsed="false">
      <c r="A96" s="138" t="str">
        <f aca="false">IF(ISBLANK(B96),"",B96&amp;"|"&amp;C96)</f>
        <v/>
      </c>
      <c r="B96" s="138"/>
      <c r="C96" s="138"/>
      <c r="D96" s="138"/>
      <c r="E96" s="143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customFormat="false" ht="15.75" hidden="false" customHeight="false" outlineLevel="0" collapsed="false">
      <c r="A97" s="138" t="str">
        <f aca="false">IF(ISBLANK(B97),"",B97&amp;"|"&amp;C97)</f>
        <v/>
      </c>
      <c r="B97" s="138"/>
      <c r="C97" s="138"/>
      <c r="D97" s="138"/>
      <c r="E97" s="143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customFormat="false" ht="15.75" hidden="false" customHeight="false" outlineLevel="0" collapsed="false">
      <c r="A98" s="138" t="str">
        <f aca="false">IF(ISBLANK(B98),"",B98&amp;"|"&amp;C98)</f>
        <v/>
      </c>
      <c r="B98" s="138"/>
      <c r="C98" s="138"/>
      <c r="D98" s="138"/>
      <c r="E98" s="143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customFormat="false" ht="15.75" hidden="false" customHeight="false" outlineLevel="0" collapsed="false">
      <c r="A99" s="138" t="str">
        <f aca="false">IF(ISBLANK(B99),"",B99&amp;"|"&amp;C99)</f>
        <v/>
      </c>
      <c r="B99" s="138"/>
      <c r="C99" s="138"/>
      <c r="D99" s="138"/>
      <c r="E99" s="143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customFormat="false" ht="15.75" hidden="false" customHeight="false" outlineLevel="0" collapsed="false">
      <c r="A100" s="138" t="str">
        <f aca="false">IF(ISBLANK(B100),"",B100&amp;"|"&amp;C100)</f>
        <v/>
      </c>
      <c r="B100" s="138"/>
      <c r="C100" s="138"/>
      <c r="D100" s="138"/>
      <c r="E100" s="143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customFormat="false" ht="15.75" hidden="false" customHeight="false" outlineLevel="0" collapsed="false">
      <c r="A101" s="138" t="str">
        <f aca="false">IF(ISBLANK(B101),"",B101&amp;"|"&amp;C101)</f>
        <v/>
      </c>
      <c r="B101" s="138"/>
      <c r="C101" s="138"/>
      <c r="D101" s="138"/>
      <c r="E101" s="143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customFormat="false" ht="15.75" hidden="false" customHeight="false" outlineLevel="0" collapsed="false">
      <c r="A102" s="138" t="str">
        <f aca="false">IF(ISBLANK(B102),"",B102&amp;"|"&amp;C102)</f>
        <v/>
      </c>
      <c r="B102" s="138"/>
      <c r="C102" s="138"/>
      <c r="D102" s="138"/>
      <c r="E102" s="143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customFormat="false" ht="15.75" hidden="false" customHeight="false" outlineLevel="0" collapsed="false">
      <c r="A103" s="138" t="str">
        <f aca="false">IF(ISBLANK(B103),"",B103&amp;"|"&amp;C103)</f>
        <v/>
      </c>
      <c r="B103" s="138"/>
      <c r="C103" s="138"/>
      <c r="D103" s="138"/>
      <c r="E103" s="143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customFormat="false" ht="15.75" hidden="false" customHeight="false" outlineLevel="0" collapsed="false">
      <c r="A104" s="138" t="str">
        <f aca="false">IF(ISBLANK(B104),"",B104&amp;"|"&amp;C104)</f>
        <v/>
      </c>
      <c r="B104" s="138"/>
      <c r="C104" s="138"/>
      <c r="D104" s="138"/>
      <c r="E104" s="143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customFormat="false" ht="15.75" hidden="false" customHeight="false" outlineLevel="0" collapsed="false">
      <c r="A105" s="138" t="str">
        <f aca="false">IF(ISBLANK(B105),"",B105&amp;"|"&amp;C105)</f>
        <v/>
      </c>
      <c r="B105" s="138"/>
      <c r="C105" s="138"/>
      <c r="D105" s="138"/>
      <c r="E105" s="143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customFormat="false" ht="15.75" hidden="false" customHeight="false" outlineLevel="0" collapsed="false">
      <c r="A106" s="138" t="str">
        <f aca="false">IF(ISBLANK(B106),"",B106&amp;"|"&amp;C106)</f>
        <v/>
      </c>
      <c r="B106" s="138"/>
      <c r="C106" s="138"/>
      <c r="D106" s="138"/>
      <c r="E106" s="143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customFormat="false" ht="15.75" hidden="false" customHeight="false" outlineLevel="0" collapsed="false">
      <c r="A107" s="138" t="str">
        <f aca="false">IF(ISBLANK(B107),"",B107&amp;"|"&amp;C107)</f>
        <v/>
      </c>
      <c r="B107" s="138"/>
      <c r="C107" s="138"/>
      <c r="D107" s="138"/>
      <c r="E107" s="143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customFormat="false" ht="15.75" hidden="false" customHeight="false" outlineLevel="0" collapsed="false">
      <c r="A108" s="138" t="str">
        <f aca="false">IF(ISBLANK(B108),"",B108&amp;"|"&amp;C108)</f>
        <v/>
      </c>
      <c r="B108" s="138"/>
      <c r="C108" s="138"/>
      <c r="D108" s="138"/>
      <c r="E108" s="143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customFormat="false" ht="15.75" hidden="false" customHeight="false" outlineLevel="0" collapsed="false">
      <c r="A109" s="138" t="str">
        <f aca="false">IF(ISBLANK(B109),"",B109&amp;"|"&amp;C109)</f>
        <v/>
      </c>
      <c r="B109" s="138"/>
      <c r="C109" s="138"/>
      <c r="D109" s="138"/>
      <c r="E109" s="143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customFormat="false" ht="15.75" hidden="false" customHeight="false" outlineLevel="0" collapsed="false">
      <c r="A110" s="138" t="str">
        <f aca="false">IF(ISBLANK(B110),"",B110&amp;"|"&amp;C110)</f>
        <v/>
      </c>
      <c r="B110" s="138"/>
      <c r="C110" s="138"/>
      <c r="D110" s="138"/>
      <c r="E110" s="143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customFormat="false" ht="15.75" hidden="false" customHeight="false" outlineLevel="0" collapsed="false">
      <c r="A111" s="138" t="str">
        <f aca="false">IF(ISBLANK(B111),"",B111&amp;"|"&amp;C111)</f>
        <v/>
      </c>
      <c r="B111" s="138"/>
      <c r="C111" s="138"/>
      <c r="D111" s="138"/>
      <c r="E111" s="143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customFormat="false" ht="15.75" hidden="false" customHeight="false" outlineLevel="0" collapsed="false">
      <c r="A112" s="138" t="str">
        <f aca="false">IF(ISBLANK(B112),"",B112&amp;"|"&amp;C112)</f>
        <v/>
      </c>
      <c r="B112" s="138"/>
      <c r="C112" s="138"/>
      <c r="D112" s="138"/>
      <c r="E112" s="143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customFormat="false" ht="15.75" hidden="false" customHeight="false" outlineLevel="0" collapsed="false">
      <c r="A113" s="138" t="str">
        <f aca="false">IF(ISBLANK(B113),"",B113&amp;"|"&amp;C113)</f>
        <v/>
      </c>
      <c r="B113" s="138"/>
      <c r="C113" s="138"/>
      <c r="D113" s="138"/>
      <c r="E113" s="143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customFormat="false" ht="15.75" hidden="false" customHeight="false" outlineLevel="0" collapsed="false">
      <c r="A114" s="138" t="str">
        <f aca="false">IF(ISBLANK(B114),"",B114&amp;"|"&amp;C114)</f>
        <v/>
      </c>
      <c r="B114" s="138"/>
      <c r="C114" s="138"/>
      <c r="D114" s="138"/>
      <c r="E114" s="143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customFormat="false" ht="15.75" hidden="false" customHeight="false" outlineLevel="0" collapsed="false">
      <c r="A115" s="138" t="str">
        <f aca="false">IF(ISBLANK(B115),"",B115&amp;"|"&amp;C115)</f>
        <v/>
      </c>
      <c r="B115" s="138"/>
      <c r="C115" s="138"/>
      <c r="D115" s="138"/>
      <c r="E115" s="143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customFormat="false" ht="15.75" hidden="false" customHeight="false" outlineLevel="0" collapsed="false">
      <c r="A116" s="138" t="str">
        <f aca="false">IF(ISBLANK(B116),"",B116&amp;"|"&amp;C116)</f>
        <v/>
      </c>
      <c r="B116" s="138"/>
      <c r="C116" s="138"/>
      <c r="D116" s="138"/>
      <c r="E116" s="143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customFormat="false" ht="15.75" hidden="false" customHeight="false" outlineLevel="0" collapsed="false">
      <c r="A117" s="138" t="str">
        <f aca="false">IF(ISBLANK(B117),"",B117&amp;"|"&amp;C117)</f>
        <v/>
      </c>
      <c r="B117" s="138"/>
      <c r="C117" s="138"/>
      <c r="D117" s="138"/>
      <c r="E117" s="143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customFormat="false" ht="15.75" hidden="false" customHeight="false" outlineLevel="0" collapsed="false">
      <c r="A118" s="138" t="str">
        <f aca="false">IF(ISBLANK(B118),"",B118&amp;"|"&amp;C118)</f>
        <v/>
      </c>
      <c r="B118" s="138"/>
      <c r="C118" s="138"/>
      <c r="D118" s="138"/>
      <c r="E118" s="143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customFormat="false" ht="15.75" hidden="false" customHeight="false" outlineLevel="0" collapsed="false">
      <c r="A119" s="138" t="str">
        <f aca="false">IF(ISBLANK(B119),"",B119&amp;"|"&amp;C119)</f>
        <v/>
      </c>
      <c r="B119" s="138"/>
      <c r="C119" s="138"/>
      <c r="D119" s="138"/>
      <c r="E119" s="143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customFormat="false" ht="15.75" hidden="false" customHeight="false" outlineLevel="0" collapsed="false">
      <c r="A120" s="138" t="str">
        <f aca="false">IF(ISBLANK(B120),"",B120&amp;"|"&amp;C120)</f>
        <v/>
      </c>
      <c r="B120" s="138"/>
      <c r="C120" s="138"/>
      <c r="D120" s="138"/>
      <c r="E120" s="143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customFormat="false" ht="15.75" hidden="false" customHeight="false" outlineLevel="0" collapsed="false">
      <c r="A121" s="138" t="str">
        <f aca="false">IF(ISBLANK(B121),"",B121&amp;"|"&amp;C121)</f>
        <v/>
      </c>
      <c r="B121" s="138"/>
      <c r="C121" s="138"/>
      <c r="D121" s="138"/>
      <c r="E121" s="143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customFormat="false" ht="15.75" hidden="false" customHeight="false" outlineLevel="0" collapsed="false">
      <c r="A122" s="138" t="str">
        <f aca="false">IF(ISBLANK(B122),"",B122&amp;"|"&amp;C122)</f>
        <v/>
      </c>
      <c r="B122" s="138"/>
      <c r="C122" s="138"/>
      <c r="D122" s="138"/>
      <c r="E122" s="143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customFormat="false" ht="15.75" hidden="false" customHeight="false" outlineLevel="0" collapsed="false">
      <c r="A123" s="138" t="str">
        <f aca="false">IF(ISBLANK(B123),"",B123&amp;"|"&amp;C123)</f>
        <v/>
      </c>
      <c r="B123" s="138"/>
      <c r="C123" s="138"/>
      <c r="D123" s="138"/>
      <c r="E123" s="143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customFormat="false" ht="15.75" hidden="false" customHeight="false" outlineLevel="0" collapsed="false">
      <c r="A124" s="138" t="str">
        <f aca="false">IF(ISBLANK(B124),"",B124&amp;"|"&amp;C124)</f>
        <v/>
      </c>
      <c r="B124" s="138"/>
      <c r="C124" s="138"/>
      <c r="D124" s="138"/>
      <c r="E124" s="143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customFormat="false" ht="15.75" hidden="false" customHeight="false" outlineLevel="0" collapsed="false">
      <c r="A125" s="138" t="str">
        <f aca="false">IF(ISBLANK(B125),"",B125&amp;"|"&amp;C125)</f>
        <v/>
      </c>
      <c r="B125" s="138"/>
      <c r="C125" s="138"/>
      <c r="D125" s="138"/>
      <c r="E125" s="143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customFormat="false" ht="15.75" hidden="false" customHeight="false" outlineLevel="0" collapsed="false">
      <c r="A126" s="138" t="str">
        <f aca="false">IF(ISBLANK(B126),"",B126&amp;"|"&amp;C126)</f>
        <v/>
      </c>
      <c r="B126" s="138"/>
      <c r="C126" s="138"/>
      <c r="D126" s="138"/>
      <c r="E126" s="143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customFormat="false" ht="15.75" hidden="false" customHeight="false" outlineLevel="0" collapsed="false">
      <c r="A127" s="138" t="str">
        <f aca="false">IF(ISBLANK(B127),"",B127&amp;"|"&amp;C127)</f>
        <v/>
      </c>
      <c r="B127" s="138"/>
      <c r="C127" s="138"/>
      <c r="D127" s="138"/>
      <c r="E127" s="143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customFormat="false" ht="15.75" hidden="false" customHeight="false" outlineLevel="0" collapsed="false">
      <c r="A128" s="138" t="str">
        <f aca="false">IF(ISBLANK(B128),"",B128&amp;"|"&amp;C128)</f>
        <v/>
      </c>
      <c r="B128" s="138"/>
      <c r="C128" s="138"/>
      <c r="D128" s="138"/>
      <c r="E128" s="143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customFormat="false" ht="15.75" hidden="false" customHeight="false" outlineLevel="0" collapsed="false">
      <c r="A129" s="138" t="str">
        <f aca="false">IF(ISBLANK(B129),"",B129&amp;"|"&amp;C129)</f>
        <v/>
      </c>
      <c r="B129" s="138"/>
      <c r="C129" s="138"/>
      <c r="D129" s="138"/>
      <c r="E129" s="143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customFormat="false" ht="15.75" hidden="false" customHeight="false" outlineLevel="0" collapsed="false">
      <c r="A130" s="138" t="str">
        <f aca="false">IF(ISBLANK(B130),"",B130&amp;"|"&amp;C130)</f>
        <v/>
      </c>
      <c r="B130" s="138"/>
      <c r="C130" s="138"/>
      <c r="D130" s="138"/>
      <c r="E130" s="143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customFormat="false" ht="15.75" hidden="false" customHeight="false" outlineLevel="0" collapsed="false">
      <c r="A131" s="138" t="str">
        <f aca="false">IF(ISBLANK(B131),"",B131&amp;"|"&amp;C131)</f>
        <v/>
      </c>
      <c r="B131" s="138"/>
      <c r="C131" s="138"/>
      <c r="D131" s="138"/>
      <c r="E131" s="143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customFormat="false" ht="15.75" hidden="false" customHeight="false" outlineLevel="0" collapsed="false">
      <c r="A132" s="138" t="str">
        <f aca="false">IF(ISBLANK(B132),"",B132&amp;"|"&amp;C132)</f>
        <v/>
      </c>
      <c r="B132" s="138"/>
      <c r="C132" s="138"/>
      <c r="D132" s="138"/>
      <c r="E132" s="143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customFormat="false" ht="15.75" hidden="false" customHeight="false" outlineLevel="0" collapsed="false">
      <c r="A133" s="138" t="str">
        <f aca="false">IF(ISBLANK(B133),"",B133&amp;"|"&amp;C133)</f>
        <v/>
      </c>
      <c r="B133" s="138"/>
      <c r="C133" s="138"/>
      <c r="D133" s="138"/>
      <c r="E133" s="143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customFormat="false" ht="15.75" hidden="false" customHeight="false" outlineLevel="0" collapsed="false">
      <c r="A134" s="138" t="str">
        <f aca="false">IF(ISBLANK(B134),"",B134&amp;"|"&amp;C134)</f>
        <v/>
      </c>
      <c r="B134" s="138"/>
      <c r="C134" s="138"/>
      <c r="D134" s="138"/>
      <c r="E134" s="143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customFormat="false" ht="15.75" hidden="false" customHeight="false" outlineLevel="0" collapsed="false">
      <c r="A135" s="138" t="str">
        <f aca="false">IF(ISBLANK(B135),"",B135&amp;"|"&amp;C135)</f>
        <v/>
      </c>
      <c r="B135" s="138"/>
      <c r="C135" s="138"/>
      <c r="D135" s="138"/>
      <c r="E135" s="143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customFormat="false" ht="15.75" hidden="false" customHeight="false" outlineLevel="0" collapsed="false">
      <c r="A136" s="138" t="str">
        <f aca="false">IF(ISBLANK(B136),"",B136&amp;"|"&amp;C136)</f>
        <v/>
      </c>
      <c r="B136" s="138"/>
      <c r="C136" s="138"/>
      <c r="D136" s="138"/>
      <c r="E136" s="143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customFormat="false" ht="15.75" hidden="false" customHeight="false" outlineLevel="0" collapsed="false">
      <c r="A137" s="138" t="str">
        <f aca="false">IF(ISBLANK(B137),"",B137&amp;"|"&amp;C137)</f>
        <v/>
      </c>
      <c r="B137" s="138"/>
      <c r="C137" s="138"/>
      <c r="D137" s="138"/>
      <c r="E137" s="143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customFormat="false" ht="15.75" hidden="false" customHeight="false" outlineLevel="0" collapsed="false">
      <c r="A138" s="138" t="str">
        <f aca="false">IF(ISBLANK(B138),"",B138&amp;"|"&amp;C138)</f>
        <v/>
      </c>
      <c r="B138" s="138"/>
      <c r="C138" s="138"/>
      <c r="D138" s="138"/>
      <c r="E138" s="143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customFormat="false" ht="15.75" hidden="false" customHeight="false" outlineLevel="0" collapsed="false">
      <c r="A139" s="138" t="str">
        <f aca="false">IF(ISBLANK(B139),"",B139&amp;"|"&amp;C139)</f>
        <v/>
      </c>
      <c r="B139" s="138"/>
      <c r="C139" s="138"/>
      <c r="D139" s="138"/>
      <c r="E139" s="143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customFormat="false" ht="15.75" hidden="false" customHeight="false" outlineLevel="0" collapsed="false">
      <c r="A140" s="138" t="str">
        <f aca="false">IF(ISBLANK(B140),"",B140&amp;"|"&amp;C140)</f>
        <v/>
      </c>
      <c r="B140" s="138"/>
      <c r="C140" s="138"/>
      <c r="D140" s="138"/>
      <c r="E140" s="143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customFormat="false" ht="15.75" hidden="false" customHeight="false" outlineLevel="0" collapsed="false">
      <c r="A141" s="138" t="str">
        <f aca="false">IF(ISBLANK(B141),"",B141&amp;"|"&amp;C141)</f>
        <v/>
      </c>
      <c r="B141" s="138"/>
      <c r="C141" s="138"/>
      <c r="D141" s="138"/>
      <c r="E141" s="143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customFormat="false" ht="15.75" hidden="false" customHeight="false" outlineLevel="0" collapsed="false">
      <c r="A142" s="138" t="str">
        <f aca="false">IF(ISBLANK(B142),"",B142&amp;"|"&amp;C142)</f>
        <v/>
      </c>
      <c r="B142" s="138"/>
      <c r="C142" s="138"/>
      <c r="D142" s="138"/>
      <c r="E142" s="143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customFormat="false" ht="15.75" hidden="false" customHeight="false" outlineLevel="0" collapsed="false">
      <c r="A143" s="138" t="str">
        <f aca="false">IF(ISBLANK(B143),"",B143&amp;"|"&amp;C143)</f>
        <v/>
      </c>
      <c r="B143" s="138"/>
      <c r="C143" s="138"/>
      <c r="D143" s="138"/>
      <c r="E143" s="143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customFormat="false" ht="15.75" hidden="false" customHeight="false" outlineLevel="0" collapsed="false">
      <c r="A144" s="138" t="str">
        <f aca="false">IF(ISBLANK(B144),"",B144&amp;"|"&amp;C144)</f>
        <v/>
      </c>
      <c r="B144" s="138"/>
      <c r="C144" s="138"/>
      <c r="D144" s="138"/>
      <c r="E144" s="143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customFormat="false" ht="15.75" hidden="false" customHeight="false" outlineLevel="0" collapsed="false">
      <c r="A145" s="138" t="str">
        <f aca="false">IF(ISBLANK(B145),"",B145&amp;"|"&amp;C145)</f>
        <v/>
      </c>
      <c r="B145" s="138"/>
      <c r="C145" s="138"/>
      <c r="D145" s="138"/>
      <c r="E145" s="143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customFormat="false" ht="15.75" hidden="false" customHeight="false" outlineLevel="0" collapsed="false">
      <c r="A146" s="138" t="str">
        <f aca="false">IF(ISBLANK(B146),"",B146&amp;"|"&amp;C146)</f>
        <v/>
      </c>
      <c r="B146" s="138"/>
      <c r="C146" s="138"/>
      <c r="D146" s="138"/>
      <c r="E146" s="143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customFormat="false" ht="15.75" hidden="false" customHeight="false" outlineLevel="0" collapsed="false">
      <c r="A147" s="138" t="str">
        <f aca="false">IF(ISBLANK(B147),"",B147&amp;"|"&amp;C147)</f>
        <v/>
      </c>
      <c r="B147" s="138"/>
      <c r="C147" s="138"/>
      <c r="D147" s="138"/>
      <c r="E147" s="143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customFormat="false" ht="15.75" hidden="false" customHeight="false" outlineLevel="0" collapsed="false">
      <c r="A148" s="138" t="str">
        <f aca="false">IF(ISBLANK(B148),"",B148&amp;"|"&amp;C148)</f>
        <v/>
      </c>
      <c r="B148" s="138"/>
      <c r="C148" s="138"/>
      <c r="D148" s="138"/>
      <c r="E148" s="143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customFormat="false" ht="15.75" hidden="false" customHeight="false" outlineLevel="0" collapsed="false">
      <c r="A149" s="138" t="str">
        <f aca="false">IF(ISBLANK(B149),"",B149&amp;"|"&amp;C149)</f>
        <v/>
      </c>
      <c r="B149" s="138"/>
      <c r="C149" s="138"/>
      <c r="D149" s="138"/>
      <c r="E149" s="143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customFormat="false" ht="15.75" hidden="false" customHeight="false" outlineLevel="0" collapsed="false">
      <c r="A150" s="138" t="str">
        <f aca="false">IF(ISBLANK(B150),"",B150&amp;"|"&amp;C150)</f>
        <v/>
      </c>
      <c r="B150" s="138"/>
      <c r="C150" s="138"/>
      <c r="D150" s="138"/>
      <c r="E150" s="143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customFormat="false" ht="15.75" hidden="false" customHeight="false" outlineLevel="0" collapsed="false">
      <c r="A151" s="138" t="str">
        <f aca="false">IF(ISBLANK(B151),"",B151&amp;"|"&amp;C151)</f>
        <v/>
      </c>
      <c r="B151" s="138"/>
      <c r="C151" s="138"/>
      <c r="D151" s="138"/>
      <c r="E151" s="143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customFormat="false" ht="15.75" hidden="false" customHeight="false" outlineLevel="0" collapsed="false">
      <c r="A152" s="138" t="str">
        <f aca="false">IF(ISBLANK(B152),"",B152&amp;"|"&amp;C152)</f>
        <v/>
      </c>
      <c r="B152" s="138"/>
      <c r="C152" s="138"/>
      <c r="D152" s="138"/>
      <c r="E152" s="143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customFormat="false" ht="15.75" hidden="false" customHeight="false" outlineLevel="0" collapsed="false">
      <c r="A153" s="138" t="str">
        <f aca="false">IF(ISBLANK(B153),"",B153&amp;"|"&amp;C153)</f>
        <v/>
      </c>
      <c r="B153" s="138"/>
      <c r="C153" s="138"/>
      <c r="D153" s="138"/>
      <c r="E153" s="143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customFormat="false" ht="15.75" hidden="false" customHeight="false" outlineLevel="0" collapsed="false">
      <c r="A154" s="138" t="str">
        <f aca="false">IF(ISBLANK(B154),"",B154&amp;"|"&amp;C154)</f>
        <v/>
      </c>
      <c r="B154" s="138"/>
      <c r="C154" s="138"/>
      <c r="D154" s="138"/>
      <c r="E154" s="143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customFormat="false" ht="15.75" hidden="false" customHeight="false" outlineLevel="0" collapsed="false">
      <c r="A155" s="138" t="str">
        <f aca="false">IF(ISBLANK(B155),"",B155&amp;"|"&amp;C155)</f>
        <v/>
      </c>
      <c r="B155" s="138"/>
      <c r="C155" s="138"/>
      <c r="D155" s="138"/>
      <c r="E155" s="143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customFormat="false" ht="15.75" hidden="false" customHeight="false" outlineLevel="0" collapsed="false">
      <c r="A156" s="138" t="str">
        <f aca="false">IF(ISBLANK(B156),"",B156&amp;"|"&amp;C156)</f>
        <v/>
      </c>
      <c r="B156" s="138"/>
      <c r="C156" s="138"/>
      <c r="D156" s="138"/>
      <c r="E156" s="143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customFormat="false" ht="15.75" hidden="false" customHeight="false" outlineLevel="0" collapsed="false">
      <c r="A157" s="138" t="str">
        <f aca="false">IF(ISBLANK(B157),"",B157&amp;"|"&amp;C157)</f>
        <v/>
      </c>
      <c r="B157" s="138"/>
      <c r="C157" s="138"/>
      <c r="D157" s="138"/>
      <c r="E157" s="143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customFormat="false" ht="15.75" hidden="false" customHeight="false" outlineLevel="0" collapsed="false">
      <c r="A158" s="138" t="str">
        <f aca="false">IF(ISBLANK(B158),"",B158&amp;"|"&amp;C158)</f>
        <v/>
      </c>
      <c r="B158" s="138"/>
      <c r="C158" s="138"/>
      <c r="D158" s="138"/>
      <c r="E158" s="143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customFormat="false" ht="15.75" hidden="false" customHeight="false" outlineLevel="0" collapsed="false">
      <c r="A159" s="138" t="str">
        <f aca="false">IF(ISBLANK(B159),"",B159&amp;"|"&amp;C159)</f>
        <v/>
      </c>
      <c r="B159" s="138"/>
      <c r="C159" s="138"/>
      <c r="D159" s="138"/>
      <c r="E159" s="143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customFormat="false" ht="15.75" hidden="false" customHeight="false" outlineLevel="0" collapsed="false">
      <c r="A160" s="138" t="str">
        <f aca="false">IF(ISBLANK(B160),"",B160&amp;"|"&amp;C160)</f>
        <v/>
      </c>
      <c r="B160" s="138"/>
      <c r="C160" s="138"/>
      <c r="D160" s="138"/>
      <c r="E160" s="143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customFormat="false" ht="15.75" hidden="false" customHeight="false" outlineLevel="0" collapsed="false">
      <c r="A161" s="138" t="str">
        <f aca="false">IF(ISBLANK(B161),"",B161&amp;"|"&amp;C161)</f>
        <v/>
      </c>
      <c r="B161" s="138"/>
      <c r="C161" s="138"/>
      <c r="D161" s="138"/>
      <c r="E161" s="143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customFormat="false" ht="15.75" hidden="false" customHeight="false" outlineLevel="0" collapsed="false">
      <c r="A162" s="138" t="str">
        <f aca="false">IF(ISBLANK(B162),"",B162&amp;"|"&amp;C162)</f>
        <v/>
      </c>
      <c r="B162" s="138"/>
      <c r="C162" s="138"/>
      <c r="D162" s="138"/>
      <c r="E162" s="143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customFormat="false" ht="15.75" hidden="false" customHeight="false" outlineLevel="0" collapsed="false">
      <c r="A163" s="138" t="str">
        <f aca="false">IF(ISBLANK(B163),"",B163&amp;"|"&amp;C163)</f>
        <v/>
      </c>
      <c r="B163" s="138"/>
      <c r="C163" s="138"/>
      <c r="D163" s="138"/>
      <c r="E163" s="143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customFormat="false" ht="15.75" hidden="false" customHeight="false" outlineLevel="0" collapsed="false">
      <c r="A164" s="138" t="str">
        <f aca="false">IF(ISBLANK(B164),"",B164&amp;"|"&amp;C164)</f>
        <v/>
      </c>
      <c r="B164" s="138"/>
      <c r="C164" s="138"/>
      <c r="D164" s="138"/>
      <c r="E164" s="143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customFormat="false" ht="15.75" hidden="false" customHeight="false" outlineLevel="0" collapsed="false">
      <c r="A165" s="138" t="str">
        <f aca="false">IF(ISBLANK(B165),"",B165&amp;"|"&amp;C165)</f>
        <v/>
      </c>
      <c r="B165" s="138"/>
      <c r="C165" s="138"/>
      <c r="D165" s="138"/>
      <c r="E165" s="143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customFormat="false" ht="15.75" hidden="false" customHeight="false" outlineLevel="0" collapsed="false">
      <c r="A166" s="138" t="str">
        <f aca="false">IF(ISBLANK(B166),"",B166&amp;"|"&amp;C166)</f>
        <v/>
      </c>
      <c r="B166" s="138"/>
      <c r="C166" s="138"/>
      <c r="D166" s="138"/>
      <c r="E166" s="143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customFormat="false" ht="15.75" hidden="false" customHeight="false" outlineLevel="0" collapsed="false">
      <c r="A167" s="138" t="str">
        <f aca="false">IF(ISBLANK(B167),"",B167&amp;"|"&amp;C167)</f>
        <v/>
      </c>
      <c r="B167" s="138"/>
      <c r="C167" s="138"/>
      <c r="D167" s="138"/>
      <c r="E167" s="143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customFormat="false" ht="15.75" hidden="false" customHeight="false" outlineLevel="0" collapsed="false">
      <c r="A168" s="138" t="str">
        <f aca="false">IF(ISBLANK(B168),"",B168&amp;"|"&amp;C168)</f>
        <v/>
      </c>
      <c r="B168" s="138"/>
      <c r="C168" s="138"/>
      <c r="D168" s="138"/>
      <c r="E168" s="143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customFormat="false" ht="15.75" hidden="false" customHeight="false" outlineLevel="0" collapsed="false">
      <c r="A169" s="138" t="str">
        <f aca="false">IF(ISBLANK(B169),"",B169&amp;"|"&amp;C169)</f>
        <v/>
      </c>
      <c r="B169" s="138"/>
      <c r="C169" s="138"/>
      <c r="D169" s="138"/>
      <c r="E169" s="143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customFormat="false" ht="15.75" hidden="false" customHeight="false" outlineLevel="0" collapsed="false">
      <c r="A170" s="138" t="str">
        <f aca="false">IF(ISBLANK(B170),"",B170&amp;"|"&amp;C170)</f>
        <v/>
      </c>
      <c r="B170" s="138"/>
      <c r="C170" s="138"/>
      <c r="D170" s="138"/>
      <c r="E170" s="143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customFormat="false" ht="15.75" hidden="false" customHeight="false" outlineLevel="0" collapsed="false">
      <c r="A171" s="138" t="str">
        <f aca="false">IF(ISBLANK(B171),"",B171&amp;"|"&amp;C171)</f>
        <v/>
      </c>
      <c r="B171" s="138"/>
      <c r="C171" s="138"/>
      <c r="D171" s="138"/>
      <c r="E171" s="143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customFormat="false" ht="15.75" hidden="false" customHeight="false" outlineLevel="0" collapsed="false">
      <c r="A172" s="138" t="str">
        <f aca="false">IF(ISBLANK(B172),"",B172&amp;"|"&amp;C172)</f>
        <v/>
      </c>
      <c r="B172" s="138"/>
      <c r="C172" s="138"/>
      <c r="D172" s="138"/>
      <c r="E172" s="143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customFormat="false" ht="15.75" hidden="false" customHeight="false" outlineLevel="0" collapsed="false">
      <c r="A173" s="138" t="str">
        <f aca="false">IF(ISBLANK(B173),"",B173&amp;"|"&amp;C173)</f>
        <v/>
      </c>
      <c r="B173" s="138"/>
      <c r="C173" s="138"/>
      <c r="D173" s="138"/>
      <c r="E173" s="143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customFormat="false" ht="15.75" hidden="false" customHeight="false" outlineLevel="0" collapsed="false">
      <c r="A174" s="138" t="str">
        <f aca="false">IF(ISBLANK(B174),"",B174&amp;"|"&amp;C174)</f>
        <v/>
      </c>
      <c r="B174" s="138"/>
      <c r="C174" s="138"/>
      <c r="D174" s="138"/>
      <c r="E174" s="143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customFormat="false" ht="15.75" hidden="false" customHeight="false" outlineLevel="0" collapsed="false">
      <c r="A175" s="138" t="str">
        <f aca="false">IF(ISBLANK(B175),"",B175&amp;"|"&amp;C175)</f>
        <v/>
      </c>
      <c r="B175" s="138"/>
      <c r="C175" s="138"/>
      <c r="D175" s="138"/>
      <c r="E175" s="143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customFormat="false" ht="15.75" hidden="false" customHeight="false" outlineLevel="0" collapsed="false">
      <c r="A176" s="138" t="str">
        <f aca="false">IF(ISBLANK(B176),"",B176&amp;"|"&amp;C176)</f>
        <v/>
      </c>
      <c r="B176" s="138"/>
      <c r="C176" s="138"/>
      <c r="D176" s="138"/>
      <c r="E176" s="143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customFormat="false" ht="15.75" hidden="false" customHeight="false" outlineLevel="0" collapsed="false">
      <c r="A177" s="138" t="str">
        <f aca="false">IF(ISBLANK(B177),"",B177&amp;"|"&amp;C177)</f>
        <v/>
      </c>
      <c r="B177" s="138"/>
      <c r="C177" s="138"/>
      <c r="D177" s="138"/>
      <c r="E177" s="143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customFormat="false" ht="15.75" hidden="false" customHeight="false" outlineLevel="0" collapsed="false">
      <c r="A178" s="138" t="str">
        <f aca="false">IF(ISBLANK(B178),"",B178&amp;"|"&amp;C178)</f>
        <v/>
      </c>
      <c r="B178" s="138"/>
      <c r="C178" s="138"/>
      <c r="D178" s="138"/>
      <c r="E178" s="143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customFormat="false" ht="15.75" hidden="false" customHeight="false" outlineLevel="0" collapsed="false">
      <c r="A179" s="138" t="str">
        <f aca="false">IF(ISBLANK(B179),"",B179&amp;"|"&amp;C179)</f>
        <v/>
      </c>
      <c r="B179" s="138"/>
      <c r="C179" s="138"/>
      <c r="D179" s="138"/>
      <c r="E179" s="143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customFormat="false" ht="15.75" hidden="false" customHeight="false" outlineLevel="0" collapsed="false">
      <c r="A180" s="138" t="str">
        <f aca="false">IF(ISBLANK(B180),"",B180&amp;"|"&amp;C180)</f>
        <v/>
      </c>
      <c r="B180" s="138"/>
      <c r="C180" s="138"/>
      <c r="D180" s="138"/>
      <c r="E180" s="143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customFormat="false" ht="15.75" hidden="false" customHeight="false" outlineLevel="0" collapsed="false">
      <c r="A181" s="138" t="str">
        <f aca="false">IF(ISBLANK(B181),"",B181&amp;"|"&amp;C181)</f>
        <v/>
      </c>
      <c r="B181" s="138"/>
      <c r="C181" s="138"/>
      <c r="D181" s="138"/>
      <c r="E181" s="143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customFormat="false" ht="15.75" hidden="false" customHeight="false" outlineLevel="0" collapsed="false">
      <c r="A182" s="138" t="str">
        <f aca="false">IF(ISBLANK(B182),"",B182&amp;"|"&amp;C182)</f>
        <v/>
      </c>
      <c r="B182" s="138"/>
      <c r="C182" s="138"/>
      <c r="D182" s="138"/>
      <c r="E182" s="143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customFormat="false" ht="15.75" hidden="false" customHeight="false" outlineLevel="0" collapsed="false">
      <c r="A183" s="138" t="str">
        <f aca="false">IF(ISBLANK(B183),"",B183&amp;"|"&amp;C183)</f>
        <v/>
      </c>
      <c r="B183" s="138"/>
      <c r="C183" s="138"/>
      <c r="D183" s="138"/>
      <c r="E183" s="143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customFormat="false" ht="15.75" hidden="false" customHeight="false" outlineLevel="0" collapsed="false">
      <c r="A184" s="138" t="str">
        <f aca="false">IF(ISBLANK(B184),"",B184&amp;"|"&amp;C184)</f>
        <v/>
      </c>
      <c r="B184" s="138"/>
      <c r="C184" s="138"/>
      <c r="D184" s="138"/>
      <c r="E184" s="143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customFormat="false" ht="15.75" hidden="false" customHeight="false" outlineLevel="0" collapsed="false">
      <c r="A185" s="138" t="str">
        <f aca="false">IF(ISBLANK(B185),"",B185&amp;"|"&amp;C185)</f>
        <v/>
      </c>
      <c r="B185" s="138"/>
      <c r="C185" s="138"/>
      <c r="D185" s="138"/>
      <c r="E185" s="143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customFormat="false" ht="15.75" hidden="false" customHeight="false" outlineLevel="0" collapsed="false">
      <c r="A186" s="138" t="str">
        <f aca="false">IF(ISBLANK(B186),"",B186&amp;"|"&amp;C186)</f>
        <v/>
      </c>
      <c r="B186" s="138"/>
      <c r="C186" s="138"/>
      <c r="D186" s="138"/>
      <c r="E186" s="143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customFormat="false" ht="15.75" hidden="false" customHeight="false" outlineLevel="0" collapsed="false">
      <c r="A187" s="138" t="str">
        <f aca="false">IF(ISBLANK(B187),"",B187&amp;"|"&amp;C187)</f>
        <v/>
      </c>
      <c r="B187" s="138"/>
      <c r="C187" s="138"/>
      <c r="D187" s="138"/>
      <c r="E187" s="143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customFormat="false" ht="15.75" hidden="false" customHeight="false" outlineLevel="0" collapsed="false">
      <c r="A188" s="138" t="str">
        <f aca="false">IF(ISBLANK(B188),"",B188&amp;"|"&amp;C188)</f>
        <v/>
      </c>
      <c r="B188" s="138"/>
      <c r="C188" s="138"/>
      <c r="D188" s="138"/>
      <c r="E188" s="143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customFormat="false" ht="15.75" hidden="false" customHeight="false" outlineLevel="0" collapsed="false">
      <c r="A189" s="138" t="str">
        <f aca="false">IF(ISBLANK(B189),"",B189&amp;"|"&amp;C189)</f>
        <v/>
      </c>
      <c r="B189" s="138"/>
      <c r="C189" s="138"/>
      <c r="D189" s="138"/>
      <c r="E189" s="143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customFormat="false" ht="15.75" hidden="false" customHeight="false" outlineLevel="0" collapsed="false">
      <c r="A190" s="138" t="str">
        <f aca="false">IF(ISBLANK(B190),"",B190&amp;"|"&amp;C190)</f>
        <v/>
      </c>
      <c r="B190" s="138"/>
      <c r="C190" s="138"/>
      <c r="D190" s="138"/>
      <c r="E190" s="143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customFormat="false" ht="15.75" hidden="false" customHeight="false" outlineLevel="0" collapsed="false">
      <c r="A191" s="138" t="str">
        <f aca="false">IF(ISBLANK(B191),"",B191&amp;"|"&amp;C191)</f>
        <v/>
      </c>
      <c r="B191" s="138"/>
      <c r="C191" s="138"/>
      <c r="D191" s="138"/>
      <c r="E191" s="143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customFormat="false" ht="15.75" hidden="false" customHeight="false" outlineLevel="0" collapsed="false">
      <c r="A192" s="138" t="str">
        <f aca="false">IF(ISBLANK(B192),"",B192&amp;"|"&amp;C192)</f>
        <v/>
      </c>
      <c r="B192" s="138"/>
      <c r="C192" s="138"/>
      <c r="D192" s="138"/>
      <c r="E192" s="143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customFormat="false" ht="15.75" hidden="false" customHeight="false" outlineLevel="0" collapsed="false">
      <c r="A193" s="138" t="str">
        <f aca="false">IF(ISBLANK(B193),"",B193&amp;"|"&amp;C193)</f>
        <v/>
      </c>
      <c r="B193" s="138"/>
      <c r="C193" s="138"/>
      <c r="D193" s="138"/>
      <c r="E193" s="143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customFormat="false" ht="15.75" hidden="false" customHeight="false" outlineLevel="0" collapsed="false">
      <c r="A194" s="138" t="str">
        <f aca="false">IF(ISBLANK(B194),"",B194&amp;"|"&amp;C194)</f>
        <v/>
      </c>
      <c r="B194" s="138"/>
      <c r="C194" s="138"/>
      <c r="D194" s="138"/>
      <c r="E194" s="143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customFormat="false" ht="15.75" hidden="false" customHeight="false" outlineLevel="0" collapsed="false">
      <c r="A195" s="138" t="str">
        <f aca="false">IF(ISBLANK(B195),"",B195&amp;"|"&amp;C195)</f>
        <v/>
      </c>
      <c r="B195" s="138"/>
      <c r="C195" s="138"/>
      <c r="D195" s="138"/>
      <c r="E195" s="143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customFormat="false" ht="15.75" hidden="false" customHeight="false" outlineLevel="0" collapsed="false">
      <c r="A196" s="138" t="str">
        <f aca="false">IF(ISBLANK(B196),"",B196&amp;"|"&amp;C196)</f>
        <v/>
      </c>
      <c r="B196" s="138"/>
      <c r="C196" s="138"/>
      <c r="D196" s="138"/>
      <c r="E196" s="143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customFormat="false" ht="15.75" hidden="false" customHeight="false" outlineLevel="0" collapsed="false">
      <c r="A197" s="138" t="str">
        <f aca="false">IF(ISBLANK(B197),"",B197&amp;"|"&amp;C197)</f>
        <v/>
      </c>
      <c r="B197" s="138"/>
      <c r="C197" s="138"/>
      <c r="D197" s="138"/>
      <c r="E197" s="143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customFormat="false" ht="15.75" hidden="false" customHeight="false" outlineLevel="0" collapsed="false">
      <c r="A198" s="138" t="str">
        <f aca="false">IF(ISBLANK(B198),"",B198&amp;"|"&amp;C198)</f>
        <v/>
      </c>
      <c r="B198" s="138"/>
      <c r="C198" s="138"/>
      <c r="D198" s="138"/>
      <c r="E198" s="143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customFormat="false" ht="15.75" hidden="false" customHeight="false" outlineLevel="0" collapsed="false">
      <c r="A199" s="138" t="str">
        <f aca="false">IF(ISBLANK(B199),"",B199&amp;"|"&amp;C199)</f>
        <v/>
      </c>
      <c r="B199" s="138"/>
      <c r="C199" s="138"/>
      <c r="D199" s="138"/>
      <c r="E199" s="143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customFormat="false" ht="15.75" hidden="false" customHeight="false" outlineLevel="0" collapsed="false">
      <c r="A200" s="138" t="str">
        <f aca="false">IF(ISBLANK(B200),"",B200&amp;"|"&amp;C200)</f>
        <v/>
      </c>
      <c r="B200" s="138"/>
      <c r="C200" s="138"/>
      <c r="D200" s="138"/>
      <c r="E200" s="143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customFormat="false" ht="15.75" hidden="false" customHeight="false" outlineLevel="0" collapsed="false">
      <c r="A201" s="138" t="str">
        <f aca="false">IF(ISBLANK(B201),"",B201&amp;"|"&amp;C201)</f>
        <v/>
      </c>
      <c r="B201" s="138"/>
      <c r="C201" s="138"/>
      <c r="D201" s="138"/>
      <c r="E201" s="143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customFormat="false" ht="15.75" hidden="false" customHeight="false" outlineLevel="0" collapsed="false">
      <c r="A202" s="138" t="str">
        <f aca="false">IF(ISBLANK(B202),"",B202&amp;"|"&amp;C202)</f>
        <v/>
      </c>
      <c r="B202" s="138"/>
      <c r="C202" s="138"/>
      <c r="D202" s="138"/>
      <c r="E202" s="143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customFormat="false" ht="15.75" hidden="false" customHeight="false" outlineLevel="0" collapsed="false">
      <c r="A203" s="138" t="str">
        <f aca="false">IF(ISBLANK(B203),"",B203&amp;"|"&amp;C203)</f>
        <v/>
      </c>
      <c r="B203" s="138"/>
      <c r="C203" s="138"/>
      <c r="D203" s="138"/>
      <c r="E203" s="143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customFormat="false" ht="15.75" hidden="false" customHeight="false" outlineLevel="0" collapsed="false">
      <c r="A204" s="138" t="str">
        <f aca="false">IF(ISBLANK(B204),"",B204&amp;"|"&amp;C204)</f>
        <v/>
      </c>
      <c r="B204" s="138"/>
      <c r="C204" s="138"/>
      <c r="D204" s="138"/>
      <c r="E204" s="143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customFormat="false" ht="15.75" hidden="false" customHeight="false" outlineLevel="0" collapsed="false">
      <c r="A205" s="138" t="str">
        <f aca="false">IF(ISBLANK(B205),"",B205&amp;"|"&amp;C205)</f>
        <v/>
      </c>
      <c r="B205" s="138"/>
      <c r="C205" s="138"/>
      <c r="D205" s="138"/>
      <c r="E205" s="143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customFormat="false" ht="15.75" hidden="false" customHeight="false" outlineLevel="0" collapsed="false">
      <c r="A206" s="138" t="str">
        <f aca="false">IF(ISBLANK(B206),"",B206&amp;"|"&amp;C206)</f>
        <v/>
      </c>
      <c r="B206" s="138"/>
      <c r="C206" s="138"/>
      <c r="D206" s="138"/>
      <c r="E206" s="143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customFormat="false" ht="15.75" hidden="false" customHeight="false" outlineLevel="0" collapsed="false">
      <c r="A207" s="138" t="str">
        <f aca="false">IF(ISBLANK(B207),"",B207&amp;"|"&amp;C207)</f>
        <v/>
      </c>
      <c r="B207" s="138"/>
      <c r="C207" s="138"/>
      <c r="D207" s="138"/>
      <c r="E207" s="143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customFormat="false" ht="15.75" hidden="false" customHeight="false" outlineLevel="0" collapsed="false">
      <c r="A208" s="138" t="str">
        <f aca="false">IF(ISBLANK(B208),"",B208&amp;"|"&amp;C208)</f>
        <v/>
      </c>
      <c r="B208" s="138"/>
      <c r="C208" s="138"/>
      <c r="D208" s="138"/>
      <c r="E208" s="143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customFormat="false" ht="15.75" hidden="false" customHeight="false" outlineLevel="0" collapsed="false">
      <c r="A209" s="138" t="str">
        <f aca="false">IF(ISBLANK(B209),"",B209&amp;"|"&amp;C209)</f>
        <v/>
      </c>
      <c r="B209" s="138"/>
      <c r="C209" s="138"/>
      <c r="D209" s="138"/>
      <c r="E209" s="143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customFormat="false" ht="15.75" hidden="false" customHeight="false" outlineLevel="0" collapsed="false">
      <c r="A210" s="138" t="str">
        <f aca="false">IF(ISBLANK(B210),"",B210&amp;"|"&amp;C210)</f>
        <v/>
      </c>
      <c r="B210" s="138"/>
      <c r="C210" s="138"/>
      <c r="D210" s="138"/>
      <c r="E210" s="143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customFormat="false" ht="15.75" hidden="false" customHeight="false" outlineLevel="0" collapsed="false">
      <c r="A211" s="138" t="str">
        <f aca="false">IF(ISBLANK(B211),"",B211&amp;"|"&amp;C211)</f>
        <v/>
      </c>
      <c r="B211" s="138"/>
      <c r="C211" s="138"/>
      <c r="D211" s="138"/>
      <c r="E211" s="143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customFormat="false" ht="15.75" hidden="false" customHeight="false" outlineLevel="0" collapsed="false">
      <c r="A212" s="138" t="str">
        <f aca="false">IF(ISBLANK(B212),"",B212&amp;"|"&amp;C212)</f>
        <v/>
      </c>
      <c r="B212" s="138"/>
      <c r="C212" s="138"/>
      <c r="D212" s="138"/>
      <c r="E212" s="143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customFormat="false" ht="15.75" hidden="false" customHeight="false" outlineLevel="0" collapsed="false">
      <c r="A213" s="138" t="str">
        <f aca="false">IF(ISBLANK(B213),"",B213&amp;"|"&amp;C213)</f>
        <v/>
      </c>
      <c r="B213" s="138"/>
      <c r="C213" s="138"/>
      <c r="D213" s="138"/>
      <c r="E213" s="143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customFormat="false" ht="15.75" hidden="false" customHeight="false" outlineLevel="0" collapsed="false">
      <c r="A214" s="138" t="str">
        <f aca="false">IF(ISBLANK(B214),"",B214&amp;"|"&amp;C214)</f>
        <v/>
      </c>
      <c r="B214" s="138"/>
      <c r="C214" s="138"/>
      <c r="D214" s="138"/>
      <c r="E214" s="143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customFormat="false" ht="15.75" hidden="false" customHeight="false" outlineLevel="0" collapsed="false">
      <c r="A215" s="138" t="str">
        <f aca="false">IF(ISBLANK(B215),"",B215&amp;"|"&amp;C215)</f>
        <v/>
      </c>
      <c r="B215" s="138"/>
      <c r="C215" s="138"/>
      <c r="D215" s="138"/>
      <c r="E215" s="143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customFormat="false" ht="15.75" hidden="false" customHeight="false" outlineLevel="0" collapsed="false">
      <c r="A216" s="138" t="str">
        <f aca="false">IF(ISBLANK(B216),"",B216&amp;"|"&amp;C216)</f>
        <v/>
      </c>
      <c r="B216" s="138"/>
      <c r="C216" s="138"/>
      <c r="D216" s="138"/>
      <c r="E216" s="143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customFormat="false" ht="15.75" hidden="false" customHeight="false" outlineLevel="0" collapsed="false">
      <c r="A217" s="138" t="str">
        <f aca="false">IF(ISBLANK(B217),"",B217&amp;"|"&amp;C217)</f>
        <v/>
      </c>
      <c r="B217" s="138"/>
      <c r="C217" s="138"/>
      <c r="D217" s="138"/>
      <c r="E217" s="143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customFormat="false" ht="15.75" hidden="false" customHeight="false" outlineLevel="0" collapsed="false">
      <c r="A218" s="138" t="str">
        <f aca="false">IF(ISBLANK(B218),"",B218&amp;"|"&amp;C218)</f>
        <v/>
      </c>
      <c r="B218" s="138"/>
      <c r="C218" s="138"/>
      <c r="D218" s="138"/>
      <c r="E218" s="143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customFormat="false" ht="15.75" hidden="false" customHeight="false" outlineLevel="0" collapsed="false">
      <c r="A219" s="138" t="str">
        <f aca="false">IF(ISBLANK(B219),"",B219&amp;"|"&amp;C219)</f>
        <v/>
      </c>
      <c r="B219" s="138"/>
      <c r="C219" s="138"/>
      <c r="D219" s="138"/>
      <c r="E219" s="143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customFormat="false" ht="15.75" hidden="false" customHeight="false" outlineLevel="0" collapsed="false">
      <c r="A220" s="138" t="str">
        <f aca="false">IF(ISBLANK(B220),"",B220&amp;"|"&amp;C220)</f>
        <v/>
      </c>
      <c r="B220" s="138"/>
      <c r="C220" s="138"/>
      <c r="D220" s="138"/>
      <c r="E220" s="143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customFormat="false" ht="15.75" hidden="false" customHeight="false" outlineLevel="0" collapsed="false">
      <c r="A221" s="138" t="str">
        <f aca="false">IF(ISBLANK(B221),"",B221&amp;"|"&amp;C221)</f>
        <v/>
      </c>
      <c r="B221" s="138"/>
      <c r="C221" s="138"/>
      <c r="D221" s="138"/>
      <c r="E221" s="143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customFormat="false" ht="15.75" hidden="false" customHeight="false" outlineLevel="0" collapsed="false">
      <c r="A222" s="138" t="str">
        <f aca="false">IF(ISBLANK(B222),"",B222&amp;"|"&amp;C222)</f>
        <v/>
      </c>
      <c r="B222" s="138"/>
      <c r="C222" s="138"/>
      <c r="D222" s="138"/>
      <c r="E222" s="143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customFormat="false" ht="15.75" hidden="false" customHeight="false" outlineLevel="0" collapsed="false">
      <c r="A223" s="138" t="str">
        <f aca="false">IF(ISBLANK(B223),"",B223&amp;"|"&amp;C223)</f>
        <v/>
      </c>
      <c r="B223" s="138"/>
      <c r="C223" s="138"/>
      <c r="D223" s="138"/>
      <c r="E223" s="143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customFormat="false" ht="15.75" hidden="false" customHeight="false" outlineLevel="0" collapsed="false">
      <c r="A224" s="138" t="str">
        <f aca="false">IF(ISBLANK(B224),"",B224&amp;"|"&amp;C224)</f>
        <v/>
      </c>
      <c r="B224" s="138"/>
      <c r="C224" s="138"/>
      <c r="D224" s="138"/>
      <c r="E224" s="143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customFormat="false" ht="15.75" hidden="false" customHeight="false" outlineLevel="0" collapsed="false">
      <c r="A225" s="138" t="str">
        <f aca="false">IF(ISBLANK(B225),"",B225&amp;"|"&amp;C225)</f>
        <v/>
      </c>
      <c r="B225" s="138"/>
      <c r="C225" s="138"/>
      <c r="D225" s="138"/>
      <c r="E225" s="143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customFormat="false" ht="15.75" hidden="false" customHeight="false" outlineLevel="0" collapsed="false">
      <c r="A226" s="138" t="str">
        <f aca="false">IF(ISBLANK(B226),"",B226&amp;"|"&amp;C226)</f>
        <v/>
      </c>
      <c r="B226" s="138"/>
      <c r="C226" s="138"/>
      <c r="D226" s="138"/>
      <c r="E226" s="143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customFormat="false" ht="15.75" hidden="false" customHeight="false" outlineLevel="0" collapsed="false">
      <c r="A227" s="138" t="str">
        <f aca="false">IF(ISBLANK(B227),"",B227&amp;"|"&amp;C227)</f>
        <v/>
      </c>
      <c r="B227" s="138"/>
      <c r="C227" s="138"/>
      <c r="D227" s="138"/>
      <c r="E227" s="143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customFormat="false" ht="15.75" hidden="false" customHeight="false" outlineLevel="0" collapsed="false">
      <c r="A228" s="138" t="str">
        <f aca="false">IF(ISBLANK(B228),"",B228&amp;"|"&amp;C228)</f>
        <v/>
      </c>
      <c r="B228" s="138"/>
      <c r="C228" s="138"/>
      <c r="D228" s="138"/>
      <c r="E228" s="143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customFormat="false" ht="15.75" hidden="false" customHeight="false" outlineLevel="0" collapsed="false">
      <c r="A229" s="138" t="str">
        <f aca="false">IF(ISBLANK(B229),"",B229&amp;"|"&amp;C229)</f>
        <v/>
      </c>
      <c r="B229" s="138"/>
      <c r="C229" s="138"/>
      <c r="D229" s="138"/>
      <c r="E229" s="143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customFormat="false" ht="15.75" hidden="false" customHeight="false" outlineLevel="0" collapsed="false">
      <c r="A230" s="138" t="str">
        <f aca="false">IF(ISBLANK(B230),"",B230&amp;"|"&amp;C230)</f>
        <v/>
      </c>
      <c r="B230" s="138"/>
      <c r="C230" s="138"/>
      <c r="D230" s="138"/>
      <c r="E230" s="143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customFormat="false" ht="15.75" hidden="false" customHeight="false" outlineLevel="0" collapsed="false">
      <c r="A231" s="138" t="str">
        <f aca="false">IF(ISBLANK(B231),"",B231&amp;"|"&amp;C231)</f>
        <v/>
      </c>
      <c r="B231" s="138"/>
      <c r="C231" s="138"/>
      <c r="D231" s="138"/>
      <c r="E231" s="143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customFormat="false" ht="15.75" hidden="false" customHeight="false" outlineLevel="0" collapsed="false">
      <c r="A232" s="138" t="str">
        <f aca="false">IF(ISBLANK(B232),"",B232&amp;"|"&amp;C232)</f>
        <v/>
      </c>
      <c r="B232" s="138"/>
      <c r="C232" s="138"/>
      <c r="D232" s="138"/>
      <c r="E232" s="143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customFormat="false" ht="15.75" hidden="false" customHeight="false" outlineLevel="0" collapsed="false">
      <c r="A233" s="138" t="str">
        <f aca="false">IF(ISBLANK(B233),"",B233&amp;"|"&amp;C233)</f>
        <v/>
      </c>
      <c r="B233" s="138"/>
      <c r="C233" s="138"/>
      <c r="D233" s="138"/>
      <c r="E233" s="143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customFormat="false" ht="15.75" hidden="false" customHeight="false" outlineLevel="0" collapsed="false">
      <c r="A234" s="138" t="str">
        <f aca="false">IF(ISBLANK(B234),"",B234&amp;"|"&amp;C234)</f>
        <v/>
      </c>
      <c r="B234" s="138"/>
      <c r="C234" s="138"/>
      <c r="D234" s="138"/>
      <c r="E234" s="143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customFormat="false" ht="15.75" hidden="false" customHeight="false" outlineLevel="0" collapsed="false">
      <c r="A235" s="138" t="str">
        <f aca="false">IF(ISBLANK(B235),"",B235&amp;"|"&amp;C235)</f>
        <v/>
      </c>
      <c r="B235" s="138"/>
      <c r="C235" s="138"/>
      <c r="D235" s="138"/>
      <c r="E235" s="143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customFormat="false" ht="15.75" hidden="false" customHeight="false" outlineLevel="0" collapsed="false">
      <c r="A236" s="138" t="str">
        <f aca="false">IF(ISBLANK(B236),"",B236&amp;"|"&amp;C236)</f>
        <v/>
      </c>
      <c r="B236" s="138"/>
      <c r="C236" s="138"/>
      <c r="D236" s="138"/>
      <c r="E236" s="143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customFormat="false" ht="15.75" hidden="false" customHeight="false" outlineLevel="0" collapsed="false">
      <c r="A237" s="138" t="str">
        <f aca="false">IF(ISBLANK(B237),"",B237&amp;"|"&amp;C237)</f>
        <v/>
      </c>
      <c r="B237" s="138"/>
      <c r="C237" s="138"/>
      <c r="D237" s="138"/>
      <c r="E237" s="143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customFormat="false" ht="15.75" hidden="false" customHeight="false" outlineLevel="0" collapsed="false">
      <c r="A238" s="138" t="str">
        <f aca="false">IF(ISBLANK(B238),"",B238&amp;"|"&amp;C238)</f>
        <v/>
      </c>
      <c r="B238" s="138"/>
      <c r="C238" s="138"/>
      <c r="D238" s="138"/>
      <c r="E238" s="143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customFormat="false" ht="15.75" hidden="false" customHeight="false" outlineLevel="0" collapsed="false">
      <c r="A239" s="138" t="str">
        <f aca="false">IF(ISBLANK(B239),"",B239&amp;"|"&amp;C239)</f>
        <v/>
      </c>
      <c r="B239" s="138"/>
      <c r="C239" s="138"/>
      <c r="D239" s="138"/>
      <c r="E239" s="143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customFormat="false" ht="15.75" hidden="false" customHeight="false" outlineLevel="0" collapsed="false">
      <c r="A240" s="138" t="str">
        <f aca="false">IF(ISBLANK(B240),"",B240&amp;"|"&amp;C240)</f>
        <v/>
      </c>
      <c r="B240" s="138"/>
      <c r="C240" s="138"/>
      <c r="D240" s="138"/>
      <c r="E240" s="143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customFormat="false" ht="15.75" hidden="false" customHeight="false" outlineLevel="0" collapsed="false">
      <c r="A241" s="138" t="str">
        <f aca="false">IF(ISBLANK(B241),"",B241&amp;"|"&amp;C241)</f>
        <v/>
      </c>
      <c r="B241" s="138"/>
      <c r="C241" s="138"/>
      <c r="D241" s="138"/>
      <c r="E241" s="143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customFormat="false" ht="15.75" hidden="false" customHeight="false" outlineLevel="0" collapsed="false">
      <c r="A242" s="138" t="str">
        <f aca="false">IF(ISBLANK(B242),"",B242&amp;"|"&amp;C242)</f>
        <v/>
      </c>
      <c r="B242" s="138"/>
      <c r="C242" s="138"/>
      <c r="D242" s="138"/>
      <c r="E242" s="143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customFormat="false" ht="15.75" hidden="false" customHeight="false" outlineLevel="0" collapsed="false">
      <c r="A243" s="138" t="str">
        <f aca="false">IF(ISBLANK(B243),"",B243&amp;"|"&amp;C243)</f>
        <v/>
      </c>
      <c r="B243" s="138"/>
      <c r="C243" s="138"/>
      <c r="D243" s="138"/>
      <c r="E243" s="143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customFormat="false" ht="15.75" hidden="false" customHeight="false" outlineLevel="0" collapsed="false">
      <c r="A244" s="138" t="str">
        <f aca="false">IF(ISBLANK(B244),"",B244&amp;"|"&amp;C244)</f>
        <v/>
      </c>
      <c r="B244" s="138"/>
      <c r="C244" s="138"/>
      <c r="D244" s="138"/>
      <c r="E244" s="143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customFormat="false" ht="15.75" hidden="false" customHeight="false" outlineLevel="0" collapsed="false">
      <c r="A245" s="138" t="str">
        <f aca="false">IF(ISBLANK(B245),"",B245&amp;"|"&amp;C245)</f>
        <v/>
      </c>
      <c r="B245" s="138"/>
      <c r="C245" s="138"/>
      <c r="D245" s="138"/>
      <c r="E245" s="143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customFormat="false" ht="15.75" hidden="false" customHeight="false" outlineLevel="0" collapsed="false">
      <c r="A246" s="138" t="str">
        <f aca="false">IF(ISBLANK(B246),"",B246&amp;"|"&amp;C246)</f>
        <v/>
      </c>
      <c r="B246" s="138"/>
      <c r="C246" s="138"/>
      <c r="D246" s="138"/>
      <c r="E246" s="143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customFormat="false" ht="15.75" hidden="false" customHeight="false" outlineLevel="0" collapsed="false">
      <c r="A247" s="138" t="str">
        <f aca="false">IF(ISBLANK(B247),"",B247&amp;"|"&amp;C247)</f>
        <v/>
      </c>
      <c r="B247" s="138"/>
      <c r="C247" s="138"/>
      <c r="D247" s="138"/>
      <c r="E247" s="143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customFormat="false" ht="15.75" hidden="false" customHeight="false" outlineLevel="0" collapsed="false">
      <c r="A248" s="138" t="str">
        <f aca="false">IF(ISBLANK(B248),"",B248&amp;"|"&amp;C248)</f>
        <v/>
      </c>
      <c r="B248" s="138"/>
      <c r="C248" s="138"/>
      <c r="D248" s="138"/>
      <c r="E248" s="143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customFormat="false" ht="15.75" hidden="false" customHeight="false" outlineLevel="0" collapsed="false">
      <c r="A249" s="138" t="str">
        <f aca="false">IF(ISBLANK(B249),"",B249&amp;"|"&amp;C249)</f>
        <v/>
      </c>
      <c r="B249" s="138"/>
      <c r="C249" s="138"/>
      <c r="D249" s="138"/>
      <c r="E249" s="143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customFormat="false" ht="15.75" hidden="false" customHeight="false" outlineLevel="0" collapsed="false">
      <c r="A250" s="138" t="str">
        <f aca="false">IF(ISBLANK(B250),"",B250&amp;"|"&amp;C250)</f>
        <v/>
      </c>
      <c r="B250" s="138"/>
      <c r="C250" s="138"/>
      <c r="D250" s="138"/>
      <c r="E250" s="143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customFormat="false" ht="15.75" hidden="false" customHeight="false" outlineLevel="0" collapsed="false">
      <c r="A251" s="138" t="str">
        <f aca="false">IF(ISBLANK(B251),"",B251&amp;"|"&amp;C251)</f>
        <v/>
      </c>
      <c r="B251" s="138"/>
      <c r="C251" s="138"/>
      <c r="D251" s="138"/>
      <c r="E251" s="143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customFormat="false" ht="15.75" hidden="false" customHeight="false" outlineLevel="0" collapsed="false">
      <c r="A252" s="138" t="str">
        <f aca="false">IF(ISBLANK(B252),"",B252&amp;"|"&amp;C252)</f>
        <v/>
      </c>
      <c r="B252" s="138"/>
      <c r="C252" s="138"/>
      <c r="D252" s="138"/>
      <c r="E252" s="143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customFormat="false" ht="15.75" hidden="false" customHeight="false" outlineLevel="0" collapsed="false">
      <c r="A253" s="138" t="str">
        <f aca="false">IF(ISBLANK(B253),"",B253&amp;"|"&amp;C253)</f>
        <v/>
      </c>
      <c r="B253" s="138"/>
      <c r="C253" s="138"/>
      <c r="D253" s="138"/>
      <c r="E253" s="143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customFormat="false" ht="15.75" hidden="false" customHeight="false" outlineLevel="0" collapsed="false">
      <c r="A254" s="138" t="str">
        <f aca="false">IF(ISBLANK(B254),"",B254&amp;"|"&amp;C254)</f>
        <v/>
      </c>
      <c r="B254" s="138"/>
      <c r="C254" s="138"/>
      <c r="D254" s="138"/>
      <c r="E254" s="143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customFormat="false" ht="15.75" hidden="false" customHeight="false" outlineLevel="0" collapsed="false">
      <c r="A255" s="138" t="str">
        <f aca="false">IF(ISBLANK(B255),"",B255&amp;"|"&amp;C255)</f>
        <v/>
      </c>
      <c r="B255" s="138"/>
      <c r="C255" s="138"/>
      <c r="D255" s="138"/>
      <c r="E255" s="143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customFormat="false" ht="15.75" hidden="false" customHeight="false" outlineLevel="0" collapsed="false">
      <c r="A256" s="138" t="str">
        <f aca="false">IF(ISBLANK(B256),"",B256&amp;"|"&amp;C256)</f>
        <v/>
      </c>
      <c r="B256" s="138"/>
      <c r="C256" s="138"/>
      <c r="D256" s="138"/>
      <c r="E256" s="143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customFormat="false" ht="15.75" hidden="false" customHeight="false" outlineLevel="0" collapsed="false">
      <c r="A257" s="138" t="str">
        <f aca="false">IF(ISBLANK(B257),"",B257&amp;"|"&amp;C257)</f>
        <v/>
      </c>
      <c r="B257" s="138"/>
      <c r="C257" s="138"/>
      <c r="D257" s="138"/>
      <c r="E257" s="143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customFormat="false" ht="15.75" hidden="false" customHeight="false" outlineLevel="0" collapsed="false">
      <c r="A258" s="138" t="str">
        <f aca="false">IF(ISBLANK(B258),"",B258&amp;"|"&amp;C258)</f>
        <v/>
      </c>
      <c r="B258" s="138"/>
      <c r="C258" s="138"/>
      <c r="D258" s="138"/>
      <c r="E258" s="143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customFormat="false" ht="15.75" hidden="false" customHeight="false" outlineLevel="0" collapsed="false">
      <c r="A259" s="138" t="str">
        <f aca="false">IF(ISBLANK(B259),"",B259&amp;"|"&amp;C259)</f>
        <v/>
      </c>
      <c r="B259" s="138"/>
      <c r="C259" s="138"/>
      <c r="D259" s="138"/>
      <c r="E259" s="143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customFormat="false" ht="15.75" hidden="false" customHeight="false" outlineLevel="0" collapsed="false">
      <c r="A260" s="138" t="str">
        <f aca="false">IF(ISBLANK(B260),"",B260&amp;"|"&amp;C260)</f>
        <v/>
      </c>
      <c r="B260" s="138"/>
      <c r="C260" s="138"/>
      <c r="D260" s="138"/>
      <c r="E260" s="143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customFormat="false" ht="15.75" hidden="false" customHeight="false" outlineLevel="0" collapsed="false">
      <c r="A261" s="138" t="str">
        <f aca="false">IF(ISBLANK(B261),"",B261&amp;"|"&amp;C261)</f>
        <v/>
      </c>
      <c r="B261" s="138"/>
      <c r="C261" s="138"/>
      <c r="D261" s="138"/>
      <c r="E261" s="143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customFormat="false" ht="15.75" hidden="false" customHeight="false" outlineLevel="0" collapsed="false">
      <c r="A262" s="138" t="str">
        <f aca="false">IF(ISBLANK(B262),"",B262&amp;"|"&amp;C262)</f>
        <v/>
      </c>
      <c r="B262" s="138"/>
      <c r="C262" s="138"/>
      <c r="D262" s="138"/>
      <c r="E262" s="143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customFormat="false" ht="15.75" hidden="false" customHeight="false" outlineLevel="0" collapsed="false">
      <c r="A263" s="138" t="str">
        <f aca="false">IF(ISBLANK(B263),"",B263&amp;"|"&amp;C263)</f>
        <v/>
      </c>
      <c r="B263" s="138"/>
      <c r="C263" s="138"/>
      <c r="D263" s="138"/>
      <c r="E263" s="143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customFormat="false" ht="15.75" hidden="false" customHeight="false" outlineLevel="0" collapsed="false">
      <c r="A264" s="138" t="str">
        <f aca="false">IF(ISBLANK(B264),"",B264&amp;"|"&amp;C264)</f>
        <v/>
      </c>
      <c r="B264" s="138"/>
      <c r="C264" s="138"/>
      <c r="D264" s="138"/>
      <c r="E264" s="143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customFormat="false" ht="15.75" hidden="false" customHeight="false" outlineLevel="0" collapsed="false">
      <c r="A265" s="138" t="str">
        <f aca="false">IF(ISBLANK(B265),"",B265&amp;"|"&amp;C265)</f>
        <v/>
      </c>
      <c r="B265" s="138"/>
      <c r="C265" s="138"/>
      <c r="D265" s="138"/>
      <c r="E265" s="143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customFormat="false" ht="15.75" hidden="false" customHeight="false" outlineLevel="0" collapsed="false">
      <c r="A266" s="138" t="str">
        <f aca="false">IF(ISBLANK(B266),"",B266&amp;"|"&amp;C266)</f>
        <v/>
      </c>
      <c r="B266" s="138"/>
      <c r="C266" s="138"/>
      <c r="D266" s="138"/>
      <c r="E266" s="143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customFormat="false" ht="15.75" hidden="false" customHeight="false" outlineLevel="0" collapsed="false">
      <c r="A267" s="138" t="str">
        <f aca="false">IF(ISBLANK(B267),"",B267&amp;"|"&amp;C267)</f>
        <v/>
      </c>
      <c r="B267" s="138"/>
      <c r="C267" s="138"/>
      <c r="D267" s="138"/>
      <c r="E267" s="143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customFormat="false" ht="15.75" hidden="false" customHeight="false" outlineLevel="0" collapsed="false">
      <c r="A268" s="138" t="str">
        <f aca="false">IF(ISBLANK(B268),"",B268&amp;"|"&amp;C268)</f>
        <v/>
      </c>
      <c r="B268" s="138"/>
      <c r="C268" s="138"/>
      <c r="D268" s="138"/>
      <c r="E268" s="143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customFormat="false" ht="15.75" hidden="false" customHeight="false" outlineLevel="0" collapsed="false">
      <c r="A269" s="138" t="str">
        <f aca="false">IF(ISBLANK(B269),"",B269&amp;"|"&amp;C269)</f>
        <v/>
      </c>
      <c r="B269" s="138"/>
      <c r="C269" s="138"/>
      <c r="D269" s="138"/>
      <c r="E269" s="143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customFormat="false" ht="15.75" hidden="false" customHeight="false" outlineLevel="0" collapsed="false">
      <c r="A270" s="138" t="str">
        <f aca="false">IF(ISBLANK(B270),"",B270&amp;"|"&amp;C270)</f>
        <v/>
      </c>
      <c r="B270" s="138"/>
      <c r="C270" s="138"/>
      <c r="D270" s="138"/>
      <c r="E270" s="143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customFormat="false" ht="15.75" hidden="false" customHeight="false" outlineLevel="0" collapsed="false">
      <c r="A271" s="138" t="str">
        <f aca="false">IF(ISBLANK(B271),"",B271&amp;"|"&amp;C271)</f>
        <v/>
      </c>
      <c r="B271" s="138"/>
      <c r="C271" s="138"/>
      <c r="D271" s="138"/>
      <c r="E271" s="143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customFormat="false" ht="15.75" hidden="false" customHeight="false" outlineLevel="0" collapsed="false">
      <c r="A272" s="138" t="str">
        <f aca="false">IF(ISBLANK(B272),"",B272&amp;"|"&amp;C272)</f>
        <v/>
      </c>
      <c r="B272" s="138"/>
      <c r="C272" s="138"/>
      <c r="D272" s="138"/>
      <c r="E272" s="143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customFormat="false" ht="15.75" hidden="false" customHeight="false" outlineLevel="0" collapsed="false">
      <c r="A273" s="138" t="str">
        <f aca="false">IF(ISBLANK(B273),"",B273&amp;"|"&amp;C273)</f>
        <v/>
      </c>
      <c r="B273" s="138"/>
      <c r="C273" s="138"/>
      <c r="D273" s="138"/>
      <c r="E273" s="143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customFormat="false" ht="15.75" hidden="false" customHeight="false" outlineLevel="0" collapsed="false">
      <c r="A274" s="138" t="str">
        <f aca="false">IF(ISBLANK(B274),"",B274&amp;"|"&amp;C274)</f>
        <v/>
      </c>
      <c r="B274" s="138"/>
      <c r="C274" s="138"/>
      <c r="D274" s="138"/>
      <c r="E274" s="143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customFormat="false" ht="15.75" hidden="false" customHeight="false" outlineLevel="0" collapsed="false">
      <c r="A275" s="138" t="str">
        <f aca="false">IF(ISBLANK(B275),"",B275&amp;"|"&amp;C275)</f>
        <v/>
      </c>
      <c r="B275" s="138"/>
      <c r="C275" s="138"/>
      <c r="D275" s="138"/>
      <c r="E275" s="143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customFormat="false" ht="15.75" hidden="false" customHeight="false" outlineLevel="0" collapsed="false">
      <c r="A276" s="138" t="str">
        <f aca="false">IF(ISBLANK(B276),"",B276&amp;"|"&amp;C276)</f>
        <v/>
      </c>
      <c r="B276" s="138"/>
      <c r="C276" s="138"/>
      <c r="D276" s="138"/>
      <c r="E276" s="143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customFormat="false" ht="15.75" hidden="false" customHeight="false" outlineLevel="0" collapsed="false">
      <c r="A277" s="138" t="str">
        <f aca="false">IF(ISBLANK(B277),"",B277&amp;"|"&amp;C277)</f>
        <v/>
      </c>
      <c r="B277" s="138"/>
      <c r="C277" s="138"/>
      <c r="D277" s="138"/>
      <c r="E277" s="143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customFormat="false" ht="15.75" hidden="false" customHeight="false" outlineLevel="0" collapsed="false">
      <c r="A278" s="138" t="str">
        <f aca="false">IF(ISBLANK(B278),"",B278&amp;"|"&amp;C278)</f>
        <v/>
      </c>
      <c r="B278" s="138"/>
      <c r="C278" s="138"/>
      <c r="D278" s="138"/>
      <c r="E278" s="143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customFormat="false" ht="15.75" hidden="false" customHeight="false" outlineLevel="0" collapsed="false">
      <c r="A279" s="138" t="str">
        <f aca="false">IF(ISBLANK(B279),"",B279&amp;"|"&amp;C279)</f>
        <v/>
      </c>
      <c r="B279" s="138"/>
      <c r="C279" s="138"/>
      <c r="D279" s="138"/>
      <c r="E279" s="143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customFormat="false" ht="15.75" hidden="false" customHeight="false" outlineLevel="0" collapsed="false">
      <c r="A280" s="138" t="str">
        <f aca="false">IF(ISBLANK(B280),"",B280&amp;"|"&amp;C280)</f>
        <v/>
      </c>
      <c r="B280" s="138"/>
      <c r="C280" s="138"/>
      <c r="D280" s="138"/>
      <c r="E280" s="143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customFormat="false" ht="15.75" hidden="false" customHeight="false" outlineLevel="0" collapsed="false">
      <c r="A281" s="138" t="str">
        <f aca="false">IF(ISBLANK(B281),"",B281&amp;"|"&amp;C281)</f>
        <v/>
      </c>
      <c r="B281" s="138"/>
      <c r="C281" s="138"/>
      <c r="D281" s="138"/>
      <c r="E281" s="143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customFormat="false" ht="15.75" hidden="false" customHeight="false" outlineLevel="0" collapsed="false">
      <c r="A282" s="138" t="str">
        <f aca="false">IF(ISBLANK(B282),"",B282&amp;"|"&amp;C282)</f>
        <v/>
      </c>
      <c r="B282" s="138"/>
      <c r="C282" s="138"/>
      <c r="D282" s="138"/>
      <c r="E282" s="143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customFormat="false" ht="15.75" hidden="false" customHeight="false" outlineLevel="0" collapsed="false">
      <c r="A283" s="138" t="str">
        <f aca="false">IF(ISBLANK(B283),"",B283&amp;"|"&amp;C283)</f>
        <v/>
      </c>
      <c r="B283" s="138"/>
      <c r="C283" s="138"/>
      <c r="D283" s="138"/>
      <c r="E283" s="143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customFormat="false" ht="15.75" hidden="false" customHeight="false" outlineLevel="0" collapsed="false">
      <c r="A284" s="138" t="str">
        <f aca="false">IF(ISBLANK(B284),"",B284&amp;"|"&amp;C284)</f>
        <v/>
      </c>
      <c r="B284" s="138"/>
      <c r="C284" s="138"/>
      <c r="D284" s="138"/>
      <c r="E284" s="143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customFormat="false" ht="15.75" hidden="false" customHeight="false" outlineLevel="0" collapsed="false">
      <c r="A285" s="138" t="str">
        <f aca="false">IF(ISBLANK(B285),"",B285&amp;"|"&amp;C285)</f>
        <v/>
      </c>
      <c r="B285" s="138"/>
      <c r="C285" s="138"/>
      <c r="D285" s="138"/>
      <c r="E285" s="143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customFormat="false" ht="15.75" hidden="false" customHeight="false" outlineLevel="0" collapsed="false">
      <c r="A286" s="138" t="str">
        <f aca="false">IF(ISBLANK(B286),"",B286&amp;"|"&amp;C286)</f>
        <v/>
      </c>
      <c r="B286" s="138"/>
      <c r="C286" s="138"/>
      <c r="D286" s="138"/>
      <c r="E286" s="143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customFormat="false" ht="15.75" hidden="false" customHeight="false" outlineLevel="0" collapsed="false">
      <c r="A287" s="138" t="str">
        <f aca="false">IF(ISBLANK(B287),"",B287&amp;"|"&amp;C287)</f>
        <v/>
      </c>
      <c r="B287" s="138"/>
      <c r="C287" s="138"/>
      <c r="D287" s="138"/>
      <c r="E287" s="143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customFormat="false" ht="15.75" hidden="false" customHeight="false" outlineLevel="0" collapsed="false">
      <c r="A288" s="138" t="str">
        <f aca="false">IF(ISBLANK(B288),"",B288&amp;"|"&amp;C288)</f>
        <v/>
      </c>
      <c r="B288" s="138"/>
      <c r="C288" s="138"/>
      <c r="D288" s="138"/>
      <c r="E288" s="143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customFormat="false" ht="15.75" hidden="false" customHeight="false" outlineLevel="0" collapsed="false">
      <c r="A289" s="138" t="str">
        <f aca="false">IF(ISBLANK(B289),"",B289&amp;"|"&amp;C289)</f>
        <v/>
      </c>
      <c r="B289" s="138"/>
      <c r="C289" s="138"/>
      <c r="D289" s="138"/>
      <c r="E289" s="143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customFormat="false" ht="15.75" hidden="false" customHeight="false" outlineLevel="0" collapsed="false">
      <c r="A290" s="138" t="str">
        <f aca="false">IF(ISBLANK(B290),"",B290&amp;"|"&amp;C290)</f>
        <v/>
      </c>
      <c r="B290" s="138"/>
      <c r="C290" s="138"/>
      <c r="D290" s="138"/>
      <c r="E290" s="143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customFormat="false" ht="15.75" hidden="false" customHeight="false" outlineLevel="0" collapsed="false">
      <c r="A291" s="138" t="str">
        <f aca="false">IF(ISBLANK(B291),"",B291&amp;"|"&amp;C291)</f>
        <v/>
      </c>
      <c r="B291" s="138"/>
      <c r="C291" s="138"/>
      <c r="D291" s="138"/>
      <c r="E291" s="143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customFormat="false" ht="15.75" hidden="false" customHeight="false" outlineLevel="0" collapsed="false">
      <c r="A292" s="138" t="str">
        <f aca="false">IF(ISBLANK(B292),"",B292&amp;"|"&amp;C292)</f>
        <v/>
      </c>
      <c r="B292" s="138"/>
      <c r="C292" s="138"/>
      <c r="D292" s="138"/>
      <c r="E292" s="143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customFormat="false" ht="15.75" hidden="false" customHeight="false" outlineLevel="0" collapsed="false">
      <c r="A293" s="138" t="str">
        <f aca="false">IF(ISBLANK(B293),"",B293&amp;"|"&amp;C293)</f>
        <v/>
      </c>
      <c r="B293" s="138"/>
      <c r="C293" s="138"/>
      <c r="D293" s="138"/>
      <c r="E293" s="143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customFormat="false" ht="15.75" hidden="false" customHeight="false" outlineLevel="0" collapsed="false">
      <c r="A294" s="138" t="str">
        <f aca="false">IF(ISBLANK(B294),"",B294&amp;"|"&amp;C294)</f>
        <v/>
      </c>
      <c r="B294" s="138"/>
      <c r="C294" s="138"/>
      <c r="D294" s="138"/>
      <c r="E294" s="143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customFormat="false" ht="15.75" hidden="false" customHeight="false" outlineLevel="0" collapsed="false">
      <c r="A295" s="138" t="str">
        <f aca="false">IF(ISBLANK(B295),"",B295&amp;"|"&amp;C295)</f>
        <v/>
      </c>
      <c r="B295" s="138"/>
      <c r="C295" s="138"/>
      <c r="D295" s="138"/>
      <c r="E295" s="143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customFormat="false" ht="15.75" hidden="false" customHeight="false" outlineLevel="0" collapsed="false">
      <c r="A296" s="138" t="str">
        <f aca="false">IF(ISBLANK(B296),"",B296&amp;"|"&amp;C296)</f>
        <v/>
      </c>
      <c r="B296" s="138"/>
      <c r="C296" s="138"/>
      <c r="D296" s="138"/>
      <c r="E296" s="143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customFormat="false" ht="15.75" hidden="false" customHeight="false" outlineLevel="0" collapsed="false">
      <c r="A297" s="138" t="str">
        <f aca="false">IF(ISBLANK(B297),"",B297&amp;"|"&amp;C297)</f>
        <v/>
      </c>
      <c r="B297" s="138"/>
      <c r="C297" s="138"/>
      <c r="D297" s="138"/>
      <c r="E297" s="143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customFormat="false" ht="15.75" hidden="false" customHeight="false" outlineLevel="0" collapsed="false">
      <c r="A298" s="138" t="str">
        <f aca="false">IF(ISBLANK(B298),"",B298&amp;"|"&amp;C298)</f>
        <v/>
      </c>
      <c r="B298" s="138"/>
      <c r="C298" s="138"/>
      <c r="D298" s="138"/>
      <c r="E298" s="143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customFormat="false" ht="15.75" hidden="false" customHeight="false" outlineLevel="0" collapsed="false">
      <c r="A299" s="138" t="str">
        <f aca="false">IF(ISBLANK(B299),"",B299&amp;"|"&amp;C299)</f>
        <v/>
      </c>
      <c r="B299" s="138"/>
      <c r="C299" s="138"/>
      <c r="D299" s="138"/>
      <c r="E299" s="143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customFormat="false" ht="15.75" hidden="false" customHeight="false" outlineLevel="0" collapsed="false">
      <c r="A300" s="138" t="str">
        <f aca="false">IF(ISBLANK(B300),"",B300&amp;"|"&amp;C300)</f>
        <v/>
      </c>
      <c r="B300" s="138"/>
      <c r="C300" s="138"/>
      <c r="D300" s="138"/>
      <c r="E300" s="143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customFormat="false" ht="15.75" hidden="false" customHeight="false" outlineLevel="0" collapsed="false">
      <c r="A301" s="138" t="str">
        <f aca="false">IF(ISBLANK(B301),"",B301&amp;"|"&amp;C301)</f>
        <v/>
      </c>
      <c r="B301" s="138"/>
      <c r="C301" s="138"/>
      <c r="D301" s="138"/>
      <c r="E301" s="143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customFormat="false" ht="15.75" hidden="false" customHeight="false" outlineLevel="0" collapsed="false">
      <c r="A302" s="138" t="str">
        <f aca="false">IF(ISBLANK(B302),"",B302&amp;"|"&amp;C302)</f>
        <v/>
      </c>
      <c r="B302" s="138"/>
      <c r="C302" s="138"/>
      <c r="D302" s="138"/>
      <c r="E302" s="143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customFormat="false" ht="15.75" hidden="false" customHeight="false" outlineLevel="0" collapsed="false">
      <c r="A303" s="138" t="str">
        <f aca="false">IF(ISBLANK(B303),"",B303&amp;"|"&amp;C303)</f>
        <v/>
      </c>
      <c r="B303" s="138"/>
      <c r="C303" s="138"/>
      <c r="D303" s="138"/>
      <c r="E303" s="143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customFormat="false" ht="15.75" hidden="false" customHeight="false" outlineLevel="0" collapsed="false">
      <c r="A304" s="138" t="str">
        <f aca="false">IF(ISBLANK(B304),"",B304&amp;"|"&amp;C304)</f>
        <v/>
      </c>
      <c r="B304" s="138"/>
      <c r="C304" s="138"/>
      <c r="D304" s="138"/>
      <c r="E304" s="143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customFormat="false" ht="15.75" hidden="false" customHeight="false" outlineLevel="0" collapsed="false">
      <c r="A305" s="138" t="str">
        <f aca="false">IF(ISBLANK(B305),"",B305&amp;"|"&amp;C305)</f>
        <v/>
      </c>
      <c r="B305" s="138"/>
      <c r="C305" s="138"/>
      <c r="D305" s="138"/>
      <c r="E305" s="143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customFormat="false" ht="15.75" hidden="false" customHeight="false" outlineLevel="0" collapsed="false">
      <c r="A306" s="138" t="str">
        <f aca="false">IF(ISBLANK(B306),"",B306&amp;"|"&amp;C306)</f>
        <v/>
      </c>
      <c r="B306" s="138"/>
      <c r="C306" s="138"/>
      <c r="D306" s="138"/>
      <c r="E306" s="143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customFormat="false" ht="15.75" hidden="false" customHeight="false" outlineLevel="0" collapsed="false">
      <c r="A307" s="138" t="str">
        <f aca="false">IF(ISBLANK(B307),"",B307&amp;"|"&amp;C307)</f>
        <v/>
      </c>
      <c r="B307" s="138"/>
      <c r="C307" s="138"/>
      <c r="D307" s="138"/>
      <c r="E307" s="143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customFormat="false" ht="15.75" hidden="false" customHeight="false" outlineLevel="0" collapsed="false">
      <c r="A308" s="138" t="str">
        <f aca="false">IF(ISBLANK(B308),"",B308&amp;"|"&amp;C308)</f>
        <v/>
      </c>
      <c r="B308" s="138"/>
      <c r="C308" s="138"/>
      <c r="D308" s="138"/>
      <c r="E308" s="143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customFormat="false" ht="15.75" hidden="false" customHeight="false" outlineLevel="0" collapsed="false">
      <c r="A309" s="138" t="str">
        <f aca="false">IF(ISBLANK(B309),"",B309&amp;"|"&amp;C309)</f>
        <v/>
      </c>
      <c r="B309" s="138"/>
      <c r="C309" s="138"/>
      <c r="D309" s="138"/>
      <c r="E309" s="143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customFormat="false" ht="15.75" hidden="false" customHeight="false" outlineLevel="0" collapsed="false">
      <c r="A310" s="138" t="str">
        <f aca="false">IF(ISBLANK(B310),"",B310&amp;"|"&amp;C310)</f>
        <v/>
      </c>
      <c r="B310" s="138"/>
      <c r="C310" s="138"/>
      <c r="D310" s="138"/>
      <c r="E310" s="143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customFormat="false" ht="15.75" hidden="false" customHeight="false" outlineLevel="0" collapsed="false">
      <c r="A311" s="138" t="str">
        <f aca="false">IF(ISBLANK(B311),"",B311&amp;"|"&amp;C311)</f>
        <v/>
      </c>
      <c r="B311" s="138"/>
      <c r="C311" s="138"/>
      <c r="D311" s="138"/>
      <c r="E311" s="143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customFormat="false" ht="15.75" hidden="false" customHeight="false" outlineLevel="0" collapsed="false">
      <c r="A312" s="138" t="str">
        <f aca="false">IF(ISBLANK(B312),"",B312&amp;"|"&amp;C312)</f>
        <v/>
      </c>
      <c r="B312" s="138"/>
      <c r="C312" s="138"/>
      <c r="D312" s="138"/>
      <c r="E312" s="143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customFormat="false" ht="15.75" hidden="false" customHeight="false" outlineLevel="0" collapsed="false">
      <c r="A313" s="138" t="str">
        <f aca="false">IF(ISBLANK(B313),"",B313&amp;"|"&amp;C313)</f>
        <v/>
      </c>
      <c r="B313" s="138"/>
      <c r="C313" s="138"/>
      <c r="D313" s="138"/>
      <c r="E313" s="143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customFormat="false" ht="15.75" hidden="false" customHeight="false" outlineLevel="0" collapsed="false">
      <c r="A314" s="138" t="str">
        <f aca="false">IF(ISBLANK(B314),"",B314&amp;"|"&amp;C314)</f>
        <v/>
      </c>
      <c r="B314" s="138"/>
      <c r="C314" s="138"/>
      <c r="D314" s="138"/>
      <c r="E314" s="143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customFormat="false" ht="15.75" hidden="false" customHeight="false" outlineLevel="0" collapsed="false">
      <c r="A315" s="138" t="str">
        <f aca="false">IF(ISBLANK(B315),"",B315&amp;"|"&amp;C315)</f>
        <v/>
      </c>
      <c r="B315" s="138"/>
      <c r="C315" s="138"/>
      <c r="D315" s="138"/>
      <c r="E315" s="143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customFormat="false" ht="15.75" hidden="false" customHeight="false" outlineLevel="0" collapsed="false">
      <c r="A316" s="138" t="str">
        <f aca="false">IF(ISBLANK(B316),"",B316&amp;"|"&amp;C316)</f>
        <v/>
      </c>
      <c r="B316" s="138"/>
      <c r="C316" s="138"/>
      <c r="D316" s="138"/>
      <c r="E316" s="143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customFormat="false" ht="15.75" hidden="false" customHeight="false" outlineLevel="0" collapsed="false">
      <c r="A317" s="138" t="str">
        <f aca="false">IF(ISBLANK(B317),"",B317&amp;"|"&amp;C317)</f>
        <v/>
      </c>
      <c r="B317" s="138"/>
      <c r="C317" s="138"/>
      <c r="D317" s="138"/>
      <c r="E317" s="143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customFormat="false" ht="15.75" hidden="false" customHeight="false" outlineLevel="0" collapsed="false">
      <c r="A318" s="138" t="str">
        <f aca="false">IF(ISBLANK(B318),"",B318&amp;"|"&amp;C318)</f>
        <v/>
      </c>
      <c r="B318" s="138"/>
      <c r="C318" s="138"/>
      <c r="D318" s="138"/>
      <c r="E318" s="143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customFormat="false" ht="15.75" hidden="false" customHeight="false" outlineLevel="0" collapsed="false">
      <c r="A319" s="138" t="str">
        <f aca="false">IF(ISBLANK(B319),"",B319&amp;"|"&amp;C319)</f>
        <v/>
      </c>
      <c r="B319" s="138"/>
      <c r="C319" s="138"/>
      <c r="D319" s="138"/>
      <c r="E319" s="143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customFormat="false" ht="15.75" hidden="false" customHeight="false" outlineLevel="0" collapsed="false">
      <c r="A320" s="138" t="str">
        <f aca="false">IF(ISBLANK(B320),"",B320&amp;"|"&amp;C320)</f>
        <v/>
      </c>
      <c r="B320" s="138"/>
      <c r="C320" s="138"/>
      <c r="D320" s="138"/>
      <c r="E320" s="143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customFormat="false" ht="15.75" hidden="false" customHeight="false" outlineLevel="0" collapsed="false">
      <c r="A321" s="138" t="str">
        <f aca="false">IF(ISBLANK(B321),"",B321&amp;"|"&amp;C321)</f>
        <v/>
      </c>
      <c r="B321" s="138"/>
      <c r="C321" s="138"/>
      <c r="D321" s="138"/>
      <c r="E321" s="143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customFormat="false" ht="15.75" hidden="false" customHeight="false" outlineLevel="0" collapsed="false">
      <c r="A322" s="138" t="str">
        <f aca="false">IF(ISBLANK(B322),"",B322&amp;"|"&amp;C322)</f>
        <v/>
      </c>
      <c r="B322" s="138"/>
      <c r="C322" s="138"/>
      <c r="D322" s="138"/>
      <c r="E322" s="143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customFormat="false" ht="15.75" hidden="false" customHeight="false" outlineLevel="0" collapsed="false">
      <c r="A323" s="138" t="str">
        <f aca="false">IF(ISBLANK(B323),"",B323&amp;"|"&amp;C323)</f>
        <v/>
      </c>
      <c r="B323" s="138"/>
      <c r="C323" s="138"/>
      <c r="D323" s="138"/>
      <c r="E323" s="143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customFormat="false" ht="15.75" hidden="false" customHeight="false" outlineLevel="0" collapsed="false">
      <c r="A324" s="138" t="str">
        <f aca="false">IF(ISBLANK(B324),"",B324&amp;"|"&amp;C324)</f>
        <v/>
      </c>
      <c r="B324" s="138"/>
      <c r="C324" s="138"/>
      <c r="D324" s="138"/>
      <c r="E324" s="143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customFormat="false" ht="15.75" hidden="false" customHeight="false" outlineLevel="0" collapsed="false">
      <c r="A325" s="138" t="str">
        <f aca="false">IF(ISBLANK(B325),"",B325&amp;"|"&amp;C325)</f>
        <v/>
      </c>
      <c r="B325" s="138"/>
      <c r="C325" s="138"/>
      <c r="D325" s="138"/>
      <c r="E325" s="143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customFormat="false" ht="15.75" hidden="false" customHeight="false" outlineLevel="0" collapsed="false">
      <c r="A326" s="138" t="str">
        <f aca="false">IF(ISBLANK(B326),"",B326&amp;"|"&amp;C326)</f>
        <v/>
      </c>
      <c r="B326" s="138"/>
      <c r="C326" s="138"/>
      <c r="D326" s="138"/>
      <c r="E326" s="143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customFormat="false" ht="15.75" hidden="false" customHeight="false" outlineLevel="0" collapsed="false">
      <c r="A327" s="138" t="str">
        <f aca="false">IF(ISBLANK(B327),"",B327&amp;"|"&amp;C327)</f>
        <v/>
      </c>
      <c r="B327" s="138"/>
      <c r="C327" s="138"/>
      <c r="D327" s="138"/>
      <c r="E327" s="143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customFormat="false" ht="15.75" hidden="false" customHeight="false" outlineLevel="0" collapsed="false">
      <c r="A328" s="138" t="str">
        <f aca="false">IF(ISBLANK(B328),"",B328&amp;"|"&amp;C328)</f>
        <v/>
      </c>
      <c r="B328" s="138"/>
      <c r="C328" s="138"/>
      <c r="D328" s="138"/>
      <c r="E328" s="143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customFormat="false" ht="15.75" hidden="false" customHeight="false" outlineLevel="0" collapsed="false">
      <c r="A329" s="138" t="str">
        <f aca="false">IF(ISBLANK(B329),"",B329&amp;"|"&amp;C329)</f>
        <v/>
      </c>
      <c r="B329" s="138"/>
      <c r="C329" s="138"/>
      <c r="D329" s="138"/>
      <c r="E329" s="143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customFormat="false" ht="15.75" hidden="false" customHeight="false" outlineLevel="0" collapsed="false">
      <c r="A330" s="138" t="str">
        <f aca="false">IF(ISBLANK(B330),"",B330&amp;"|"&amp;C330)</f>
        <v/>
      </c>
      <c r="B330" s="138"/>
      <c r="C330" s="138"/>
      <c r="D330" s="138"/>
      <c r="E330" s="143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customFormat="false" ht="15.75" hidden="false" customHeight="false" outlineLevel="0" collapsed="false">
      <c r="A331" s="138" t="str">
        <f aca="false">IF(ISBLANK(B331),"",B331&amp;"|"&amp;C331)</f>
        <v/>
      </c>
      <c r="B331" s="138"/>
      <c r="C331" s="138"/>
      <c r="D331" s="138"/>
      <c r="E331" s="143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customFormat="false" ht="15.75" hidden="false" customHeight="false" outlineLevel="0" collapsed="false">
      <c r="A332" s="138" t="str">
        <f aca="false">IF(ISBLANK(B332),"",B332&amp;"|"&amp;C332)</f>
        <v/>
      </c>
      <c r="B332" s="138"/>
      <c r="C332" s="138"/>
      <c r="D332" s="138"/>
      <c r="E332" s="143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customFormat="false" ht="15.75" hidden="false" customHeight="false" outlineLevel="0" collapsed="false">
      <c r="A333" s="138" t="str">
        <f aca="false">IF(ISBLANK(B333),"",B333&amp;"|"&amp;C333)</f>
        <v/>
      </c>
      <c r="B333" s="138"/>
      <c r="C333" s="138"/>
      <c r="D333" s="138"/>
      <c r="E333" s="143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customFormat="false" ht="15.75" hidden="false" customHeight="false" outlineLevel="0" collapsed="false">
      <c r="A334" s="138" t="str">
        <f aca="false">IF(ISBLANK(B334),"",B334&amp;"|"&amp;C334)</f>
        <v/>
      </c>
      <c r="B334" s="138"/>
      <c r="C334" s="138"/>
      <c r="D334" s="138"/>
      <c r="E334" s="143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customFormat="false" ht="15.75" hidden="false" customHeight="false" outlineLevel="0" collapsed="false">
      <c r="A335" s="138" t="str">
        <f aca="false">IF(ISBLANK(B335),"",B335&amp;"|"&amp;C335)</f>
        <v/>
      </c>
      <c r="B335" s="138"/>
      <c r="C335" s="138"/>
      <c r="D335" s="138"/>
      <c r="E335" s="143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customFormat="false" ht="15.75" hidden="false" customHeight="false" outlineLevel="0" collapsed="false">
      <c r="A336" s="138" t="str">
        <f aca="false">IF(ISBLANK(B336),"",B336&amp;"|"&amp;C336)</f>
        <v/>
      </c>
      <c r="B336" s="138"/>
      <c r="C336" s="138"/>
      <c r="D336" s="138"/>
      <c r="E336" s="143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customFormat="false" ht="15.75" hidden="false" customHeight="false" outlineLevel="0" collapsed="false">
      <c r="A337" s="138" t="str">
        <f aca="false">IF(ISBLANK(B337),"",B337&amp;"|"&amp;C337)</f>
        <v/>
      </c>
      <c r="B337" s="138"/>
      <c r="C337" s="138"/>
      <c r="D337" s="138"/>
      <c r="E337" s="143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customFormat="false" ht="15.75" hidden="false" customHeight="false" outlineLevel="0" collapsed="false">
      <c r="A338" s="138" t="str">
        <f aca="false">IF(ISBLANK(B338),"",B338&amp;"|"&amp;C338)</f>
        <v/>
      </c>
      <c r="B338" s="138"/>
      <c r="C338" s="138"/>
      <c r="D338" s="138"/>
      <c r="E338" s="143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customFormat="false" ht="15.75" hidden="false" customHeight="false" outlineLevel="0" collapsed="false">
      <c r="A339" s="138" t="str">
        <f aca="false">IF(ISBLANK(B339),"",B339&amp;"|"&amp;C339)</f>
        <v/>
      </c>
      <c r="B339" s="138"/>
      <c r="C339" s="138"/>
      <c r="D339" s="138"/>
      <c r="E339" s="143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customFormat="false" ht="15.75" hidden="false" customHeight="false" outlineLevel="0" collapsed="false">
      <c r="A340" s="138" t="str">
        <f aca="false">IF(ISBLANK(B340),"",B340&amp;"|"&amp;C340)</f>
        <v/>
      </c>
      <c r="B340" s="138"/>
      <c r="C340" s="138"/>
      <c r="D340" s="138"/>
      <c r="E340" s="143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customFormat="false" ht="15.75" hidden="false" customHeight="false" outlineLevel="0" collapsed="false">
      <c r="A341" s="138" t="str">
        <f aca="false">IF(ISBLANK(B341),"",B341&amp;"|"&amp;C341)</f>
        <v/>
      </c>
      <c r="B341" s="138"/>
      <c r="C341" s="138"/>
      <c r="D341" s="138"/>
      <c r="E341" s="143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customFormat="false" ht="15.75" hidden="false" customHeight="false" outlineLevel="0" collapsed="false">
      <c r="A342" s="138" t="str">
        <f aca="false">IF(ISBLANK(B342),"",B342&amp;"|"&amp;C342)</f>
        <v/>
      </c>
      <c r="B342" s="138"/>
      <c r="C342" s="138"/>
      <c r="D342" s="138"/>
      <c r="E342" s="143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customFormat="false" ht="15.75" hidden="false" customHeight="false" outlineLevel="0" collapsed="false">
      <c r="A343" s="138" t="str">
        <f aca="false">IF(ISBLANK(B343),"",B343&amp;"|"&amp;C343)</f>
        <v/>
      </c>
      <c r="B343" s="138"/>
      <c r="C343" s="138"/>
      <c r="D343" s="138"/>
      <c r="E343" s="143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customFormat="false" ht="15.75" hidden="false" customHeight="false" outlineLevel="0" collapsed="false">
      <c r="A344" s="138" t="str">
        <f aca="false">IF(ISBLANK(B344),"",B344&amp;"|"&amp;C344)</f>
        <v/>
      </c>
      <c r="B344" s="138"/>
      <c r="C344" s="138"/>
      <c r="D344" s="138"/>
      <c r="E344" s="143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customFormat="false" ht="15.75" hidden="false" customHeight="false" outlineLevel="0" collapsed="false">
      <c r="A345" s="138" t="str">
        <f aca="false">IF(ISBLANK(B345),"",B345&amp;"|"&amp;C345)</f>
        <v/>
      </c>
      <c r="B345" s="138"/>
      <c r="C345" s="138"/>
      <c r="D345" s="138"/>
      <c r="E345" s="143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customFormat="false" ht="15.75" hidden="false" customHeight="false" outlineLevel="0" collapsed="false">
      <c r="A346" s="138" t="str">
        <f aca="false">IF(ISBLANK(B346),"",B346&amp;"|"&amp;C346)</f>
        <v/>
      </c>
      <c r="B346" s="138"/>
      <c r="C346" s="138"/>
      <c r="D346" s="138"/>
      <c r="E346" s="143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customFormat="false" ht="15.75" hidden="false" customHeight="false" outlineLevel="0" collapsed="false">
      <c r="A347" s="138" t="str">
        <f aca="false">IF(ISBLANK(B347),"",B347&amp;"|"&amp;C347)</f>
        <v/>
      </c>
      <c r="B347" s="138"/>
      <c r="C347" s="138"/>
      <c r="D347" s="138"/>
      <c r="E347" s="143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customFormat="false" ht="15.75" hidden="false" customHeight="false" outlineLevel="0" collapsed="false">
      <c r="A348" s="138" t="str">
        <f aca="false">IF(ISBLANK(B348),"",B348&amp;"|"&amp;C348)</f>
        <v/>
      </c>
      <c r="B348" s="138"/>
      <c r="C348" s="138"/>
      <c r="D348" s="138"/>
      <c r="E348" s="143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customFormat="false" ht="15.75" hidden="false" customHeight="false" outlineLevel="0" collapsed="false">
      <c r="A349" s="138" t="str">
        <f aca="false">IF(ISBLANK(B349),"",B349&amp;"|"&amp;C349)</f>
        <v/>
      </c>
      <c r="B349" s="138"/>
      <c r="C349" s="138"/>
      <c r="D349" s="138"/>
      <c r="E349" s="143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customFormat="false" ht="15.75" hidden="false" customHeight="false" outlineLevel="0" collapsed="false">
      <c r="A350" s="138" t="str">
        <f aca="false">IF(ISBLANK(B350),"",B350&amp;"|"&amp;C350)</f>
        <v/>
      </c>
      <c r="B350" s="138"/>
      <c r="C350" s="138"/>
      <c r="D350" s="138"/>
      <c r="E350" s="143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customFormat="false" ht="15.75" hidden="false" customHeight="false" outlineLevel="0" collapsed="false">
      <c r="A351" s="138" t="str">
        <f aca="false">IF(ISBLANK(B351),"",B351&amp;"|"&amp;C351)</f>
        <v/>
      </c>
      <c r="B351" s="138"/>
      <c r="C351" s="138"/>
      <c r="D351" s="138"/>
      <c r="E351" s="143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customFormat="false" ht="15.75" hidden="false" customHeight="false" outlineLevel="0" collapsed="false">
      <c r="A352" s="138" t="str">
        <f aca="false">IF(ISBLANK(B352),"",B352&amp;"|"&amp;C352)</f>
        <v/>
      </c>
      <c r="B352" s="138"/>
      <c r="C352" s="138"/>
      <c r="D352" s="138"/>
      <c r="E352" s="143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customFormat="false" ht="15.75" hidden="false" customHeight="false" outlineLevel="0" collapsed="false">
      <c r="A353" s="138" t="str">
        <f aca="false">IF(ISBLANK(B353),"",B353&amp;"|"&amp;C353)</f>
        <v/>
      </c>
      <c r="B353" s="138"/>
      <c r="C353" s="138"/>
      <c r="D353" s="138"/>
      <c r="E353" s="143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customFormat="false" ht="15.75" hidden="false" customHeight="false" outlineLevel="0" collapsed="false">
      <c r="A354" s="138" t="str">
        <f aca="false">IF(ISBLANK(B354),"",B354&amp;"|"&amp;C354)</f>
        <v/>
      </c>
      <c r="B354" s="138"/>
      <c r="C354" s="138"/>
      <c r="D354" s="138"/>
      <c r="E354" s="143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customFormat="false" ht="15.75" hidden="false" customHeight="false" outlineLevel="0" collapsed="false">
      <c r="A355" s="138" t="str">
        <f aca="false">IF(ISBLANK(B355),"",B355&amp;"|"&amp;C355)</f>
        <v/>
      </c>
      <c r="B355" s="138"/>
      <c r="C355" s="138"/>
      <c r="D355" s="138"/>
      <c r="E355" s="143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customFormat="false" ht="15.75" hidden="false" customHeight="false" outlineLevel="0" collapsed="false">
      <c r="A356" s="138" t="str">
        <f aca="false">IF(ISBLANK(B356),"",B356&amp;"|"&amp;C356)</f>
        <v/>
      </c>
      <c r="B356" s="138"/>
      <c r="C356" s="138"/>
      <c r="D356" s="138"/>
      <c r="E356" s="143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customFormat="false" ht="15.75" hidden="false" customHeight="false" outlineLevel="0" collapsed="false">
      <c r="A357" s="138" t="str">
        <f aca="false">IF(ISBLANK(B357),"",B357&amp;"|"&amp;C357)</f>
        <v/>
      </c>
      <c r="B357" s="138"/>
      <c r="C357" s="138"/>
      <c r="D357" s="138"/>
      <c r="E357" s="143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customFormat="false" ht="15.75" hidden="false" customHeight="false" outlineLevel="0" collapsed="false">
      <c r="A358" s="138" t="str">
        <f aca="false">IF(ISBLANK(B358),"",B358&amp;"|"&amp;C358)</f>
        <v/>
      </c>
      <c r="B358" s="138"/>
      <c r="C358" s="138"/>
      <c r="D358" s="138"/>
      <c r="E358" s="143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customFormat="false" ht="15.75" hidden="false" customHeight="false" outlineLevel="0" collapsed="false">
      <c r="A359" s="138" t="str">
        <f aca="false">IF(ISBLANK(B359),"",B359&amp;"|"&amp;C359)</f>
        <v/>
      </c>
      <c r="B359" s="138"/>
      <c r="C359" s="138"/>
      <c r="D359" s="138"/>
      <c r="E359" s="143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customFormat="false" ht="15.75" hidden="false" customHeight="false" outlineLevel="0" collapsed="false">
      <c r="A360" s="138" t="str">
        <f aca="false">IF(ISBLANK(B360),"",B360&amp;"|"&amp;C360)</f>
        <v/>
      </c>
      <c r="B360" s="138"/>
      <c r="C360" s="138"/>
      <c r="D360" s="138"/>
      <c r="E360" s="143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customFormat="false" ht="15.75" hidden="false" customHeight="false" outlineLevel="0" collapsed="false">
      <c r="A361" s="138" t="str">
        <f aca="false">IF(ISBLANK(B361),"",B361&amp;"|"&amp;C361)</f>
        <v/>
      </c>
      <c r="B361" s="138"/>
      <c r="C361" s="138"/>
      <c r="D361" s="138"/>
      <c r="E361" s="143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customFormat="false" ht="15.75" hidden="false" customHeight="false" outlineLevel="0" collapsed="false">
      <c r="A362" s="138" t="str">
        <f aca="false">IF(ISBLANK(B362),"",B362&amp;"|"&amp;C362)</f>
        <v/>
      </c>
      <c r="B362" s="138"/>
      <c r="C362" s="138"/>
      <c r="D362" s="138"/>
      <c r="E362" s="143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customFormat="false" ht="15.75" hidden="false" customHeight="false" outlineLevel="0" collapsed="false">
      <c r="A363" s="138" t="str">
        <f aca="false">IF(ISBLANK(B363),"",B363&amp;"|"&amp;C363)</f>
        <v/>
      </c>
      <c r="B363" s="138"/>
      <c r="C363" s="138"/>
      <c r="D363" s="138"/>
      <c r="E363" s="143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customFormat="false" ht="15.75" hidden="false" customHeight="false" outlineLevel="0" collapsed="false">
      <c r="A364" s="138" t="str">
        <f aca="false">IF(ISBLANK(B364),"",B364&amp;"|"&amp;C364)</f>
        <v/>
      </c>
      <c r="B364" s="138"/>
      <c r="C364" s="138"/>
      <c r="D364" s="138"/>
      <c r="E364" s="143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customFormat="false" ht="15.75" hidden="false" customHeight="false" outlineLevel="0" collapsed="false">
      <c r="A365" s="138" t="str">
        <f aca="false">IF(ISBLANK(B365),"",B365&amp;"|"&amp;C365)</f>
        <v/>
      </c>
      <c r="B365" s="138"/>
      <c r="C365" s="138"/>
      <c r="D365" s="138"/>
      <c r="E365" s="143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customFormat="false" ht="15.75" hidden="false" customHeight="false" outlineLevel="0" collapsed="false">
      <c r="A366" s="138" t="str">
        <f aca="false">IF(ISBLANK(B366),"",B366&amp;"|"&amp;C366)</f>
        <v/>
      </c>
      <c r="B366" s="138"/>
      <c r="C366" s="138"/>
      <c r="D366" s="138"/>
      <c r="E366" s="143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customFormat="false" ht="15.75" hidden="false" customHeight="false" outlineLevel="0" collapsed="false">
      <c r="A367" s="138" t="str">
        <f aca="false">IF(ISBLANK(B367),"",B367&amp;"|"&amp;C367)</f>
        <v/>
      </c>
      <c r="B367" s="138"/>
      <c r="C367" s="138"/>
      <c r="D367" s="138"/>
      <c r="E367" s="143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customFormat="false" ht="15.75" hidden="false" customHeight="false" outlineLevel="0" collapsed="false">
      <c r="A368" s="138" t="str">
        <f aca="false">IF(ISBLANK(B368),"",B368&amp;"|"&amp;C368)</f>
        <v/>
      </c>
      <c r="B368" s="138"/>
      <c r="C368" s="138"/>
      <c r="D368" s="138"/>
      <c r="E368" s="143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customFormat="false" ht="15.75" hidden="false" customHeight="false" outlineLevel="0" collapsed="false">
      <c r="A369" s="138" t="str">
        <f aca="false">IF(ISBLANK(B369),"",B369&amp;"|"&amp;C369)</f>
        <v/>
      </c>
      <c r="B369" s="138"/>
      <c r="C369" s="138"/>
      <c r="D369" s="138"/>
      <c r="E369" s="143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customFormat="false" ht="15.75" hidden="false" customHeight="false" outlineLevel="0" collapsed="false">
      <c r="A370" s="138" t="str">
        <f aca="false">IF(ISBLANK(B370),"",B370&amp;"|"&amp;C370)</f>
        <v/>
      </c>
      <c r="B370" s="138"/>
      <c r="C370" s="138"/>
      <c r="D370" s="138"/>
      <c r="E370" s="143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customFormat="false" ht="15.75" hidden="false" customHeight="false" outlineLevel="0" collapsed="false">
      <c r="A371" s="138" t="str">
        <f aca="false">IF(ISBLANK(B371),"",B371&amp;"|"&amp;C371)</f>
        <v/>
      </c>
      <c r="B371" s="138"/>
      <c r="C371" s="138"/>
      <c r="D371" s="138"/>
      <c r="E371" s="143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customFormat="false" ht="15.75" hidden="false" customHeight="false" outlineLevel="0" collapsed="false">
      <c r="A372" s="138" t="str">
        <f aca="false">IF(ISBLANK(B372),"",B372&amp;"|"&amp;C372)</f>
        <v/>
      </c>
      <c r="B372" s="138"/>
      <c r="C372" s="138"/>
      <c r="D372" s="138"/>
      <c r="E372" s="143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customFormat="false" ht="15.75" hidden="false" customHeight="false" outlineLevel="0" collapsed="false">
      <c r="A373" s="138" t="str">
        <f aca="false">IF(ISBLANK(B373),"",B373&amp;"|"&amp;C373)</f>
        <v/>
      </c>
      <c r="B373" s="138"/>
      <c r="C373" s="138"/>
      <c r="D373" s="138"/>
      <c r="E373" s="143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customFormat="false" ht="15.75" hidden="false" customHeight="false" outlineLevel="0" collapsed="false">
      <c r="A374" s="138" t="str">
        <f aca="false">IF(ISBLANK(B374),"",B374&amp;"|"&amp;C374)</f>
        <v/>
      </c>
      <c r="B374" s="138"/>
      <c r="C374" s="138"/>
      <c r="D374" s="138"/>
      <c r="E374" s="143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customFormat="false" ht="15.75" hidden="false" customHeight="false" outlineLevel="0" collapsed="false">
      <c r="A375" s="138" t="str">
        <f aca="false">IF(ISBLANK(B375),"",B375&amp;"|"&amp;C375)</f>
        <v/>
      </c>
      <c r="B375" s="138"/>
      <c r="C375" s="138"/>
      <c r="D375" s="138"/>
      <c r="E375" s="143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customFormat="false" ht="15.75" hidden="false" customHeight="false" outlineLevel="0" collapsed="false">
      <c r="A376" s="138" t="str">
        <f aca="false">IF(ISBLANK(B376),"",B376&amp;"|"&amp;C376)</f>
        <v/>
      </c>
      <c r="B376" s="138"/>
      <c r="C376" s="138"/>
      <c r="D376" s="138"/>
      <c r="E376" s="143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customFormat="false" ht="15.75" hidden="false" customHeight="false" outlineLevel="0" collapsed="false">
      <c r="A377" s="138" t="str">
        <f aca="false">IF(ISBLANK(B377),"",B377&amp;"|"&amp;C377)</f>
        <v/>
      </c>
      <c r="B377" s="138"/>
      <c r="C377" s="138"/>
      <c r="D377" s="138"/>
      <c r="E377" s="143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customFormat="false" ht="15.75" hidden="false" customHeight="false" outlineLevel="0" collapsed="false">
      <c r="A378" s="138" t="str">
        <f aca="false">IF(ISBLANK(B378),"",B378&amp;"|"&amp;C378)</f>
        <v/>
      </c>
      <c r="B378" s="138"/>
      <c r="C378" s="138"/>
      <c r="D378" s="138"/>
      <c r="E378" s="143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customFormat="false" ht="15.75" hidden="false" customHeight="false" outlineLevel="0" collapsed="false">
      <c r="A379" s="138" t="str">
        <f aca="false">IF(ISBLANK(B379),"",B379&amp;"|"&amp;C379)</f>
        <v/>
      </c>
      <c r="B379" s="138"/>
      <c r="C379" s="138"/>
      <c r="D379" s="138"/>
      <c r="E379" s="143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customFormat="false" ht="15.75" hidden="false" customHeight="false" outlineLevel="0" collapsed="false">
      <c r="A380" s="138" t="str">
        <f aca="false">IF(ISBLANK(B380),"",B380&amp;"|"&amp;C380)</f>
        <v/>
      </c>
      <c r="B380" s="138"/>
      <c r="C380" s="138"/>
      <c r="D380" s="138"/>
      <c r="E380" s="143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customFormat="false" ht="15.75" hidden="false" customHeight="false" outlineLevel="0" collapsed="false">
      <c r="A381" s="138" t="str">
        <f aca="false">IF(ISBLANK(B381),"",B381&amp;"|"&amp;C381)</f>
        <v/>
      </c>
      <c r="B381" s="138"/>
      <c r="C381" s="138"/>
      <c r="D381" s="138"/>
      <c r="E381" s="143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customFormat="false" ht="15.75" hidden="false" customHeight="false" outlineLevel="0" collapsed="false">
      <c r="A382" s="138" t="str">
        <f aca="false">IF(ISBLANK(B382),"",B382&amp;"|"&amp;C382)</f>
        <v/>
      </c>
      <c r="B382" s="138"/>
      <c r="C382" s="138"/>
      <c r="D382" s="138"/>
      <c r="E382" s="143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customFormat="false" ht="15.75" hidden="false" customHeight="false" outlineLevel="0" collapsed="false">
      <c r="A383" s="138" t="str">
        <f aca="false">IF(ISBLANK(B383),"",B383&amp;"|"&amp;C383)</f>
        <v/>
      </c>
      <c r="B383" s="138"/>
      <c r="C383" s="138"/>
      <c r="D383" s="138"/>
      <c r="E383" s="143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customFormat="false" ht="15.75" hidden="false" customHeight="false" outlineLevel="0" collapsed="false">
      <c r="A384" s="138" t="str">
        <f aca="false">IF(ISBLANK(B384),"",B384&amp;"|"&amp;C384)</f>
        <v/>
      </c>
      <c r="B384" s="138"/>
      <c r="C384" s="138"/>
      <c r="D384" s="138"/>
      <c r="E384" s="143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customFormat="false" ht="15.75" hidden="false" customHeight="false" outlineLevel="0" collapsed="false">
      <c r="A385" s="138" t="str">
        <f aca="false">IF(ISBLANK(B385),"",B385&amp;"|"&amp;C385)</f>
        <v/>
      </c>
      <c r="B385" s="138"/>
      <c r="C385" s="138"/>
      <c r="D385" s="138"/>
      <c r="E385" s="143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customFormat="false" ht="15.75" hidden="false" customHeight="false" outlineLevel="0" collapsed="false">
      <c r="A386" s="138" t="str">
        <f aca="false">IF(ISBLANK(B386),"",B386&amp;"|"&amp;C386)</f>
        <v/>
      </c>
      <c r="B386" s="138"/>
      <c r="C386" s="138"/>
      <c r="D386" s="138"/>
      <c r="E386" s="143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customFormat="false" ht="15.75" hidden="false" customHeight="false" outlineLevel="0" collapsed="false">
      <c r="A387" s="138" t="str">
        <f aca="false">IF(ISBLANK(B387),"",B387&amp;"|"&amp;C387)</f>
        <v/>
      </c>
      <c r="B387" s="138"/>
      <c r="C387" s="138"/>
      <c r="D387" s="138"/>
      <c r="E387" s="143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customFormat="false" ht="15.75" hidden="false" customHeight="false" outlineLevel="0" collapsed="false">
      <c r="A388" s="138" t="str">
        <f aca="false">IF(ISBLANK(B388),"",B388&amp;"|"&amp;C388)</f>
        <v/>
      </c>
      <c r="B388" s="138"/>
      <c r="C388" s="138"/>
      <c r="D388" s="138"/>
      <c r="E388" s="143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customFormat="false" ht="15.75" hidden="false" customHeight="false" outlineLevel="0" collapsed="false">
      <c r="A389" s="138" t="str">
        <f aca="false">IF(ISBLANK(B389),"",B389&amp;"|"&amp;C389)</f>
        <v/>
      </c>
      <c r="B389" s="138"/>
      <c r="C389" s="138"/>
      <c r="D389" s="138"/>
      <c r="E389" s="143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customFormat="false" ht="15.75" hidden="false" customHeight="false" outlineLevel="0" collapsed="false">
      <c r="A390" s="138" t="str">
        <f aca="false">IF(ISBLANK(B390),"",B390&amp;"|"&amp;C390)</f>
        <v/>
      </c>
      <c r="B390" s="138"/>
      <c r="C390" s="138"/>
      <c r="D390" s="138"/>
      <c r="E390" s="143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customFormat="false" ht="15.75" hidden="false" customHeight="false" outlineLevel="0" collapsed="false">
      <c r="A391" s="138" t="str">
        <f aca="false">IF(ISBLANK(B391),"",B391&amp;"|"&amp;C391)</f>
        <v/>
      </c>
      <c r="B391" s="138"/>
      <c r="C391" s="138"/>
      <c r="D391" s="138"/>
      <c r="E391" s="143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customFormat="false" ht="15.75" hidden="false" customHeight="false" outlineLevel="0" collapsed="false">
      <c r="A392" s="138" t="str">
        <f aca="false">IF(ISBLANK(B392),"",B392&amp;"|"&amp;C392)</f>
        <v/>
      </c>
      <c r="B392" s="138"/>
      <c r="C392" s="138"/>
      <c r="D392" s="138"/>
      <c r="E392" s="143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customFormat="false" ht="15.75" hidden="false" customHeight="false" outlineLevel="0" collapsed="false">
      <c r="A393" s="138" t="str">
        <f aca="false">IF(ISBLANK(B393),"",B393&amp;"|"&amp;C393)</f>
        <v/>
      </c>
      <c r="B393" s="138"/>
      <c r="C393" s="138"/>
      <c r="D393" s="138"/>
      <c r="E393" s="143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customFormat="false" ht="15.75" hidden="false" customHeight="false" outlineLevel="0" collapsed="false">
      <c r="A394" s="138" t="str">
        <f aca="false">IF(ISBLANK(B394),"",B394&amp;"|"&amp;C394)</f>
        <v/>
      </c>
      <c r="B394" s="138"/>
      <c r="C394" s="138"/>
      <c r="D394" s="138"/>
      <c r="E394" s="143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customFormat="false" ht="15.75" hidden="false" customHeight="false" outlineLevel="0" collapsed="false">
      <c r="A395" s="138" t="str">
        <f aca="false">IF(ISBLANK(B395),"",B395&amp;"|"&amp;C395)</f>
        <v/>
      </c>
      <c r="B395" s="138"/>
      <c r="C395" s="138"/>
      <c r="D395" s="138"/>
      <c r="E395" s="143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customFormat="false" ht="15.75" hidden="false" customHeight="false" outlineLevel="0" collapsed="false">
      <c r="A396" s="138" t="str">
        <f aca="false">IF(ISBLANK(B396),"",B396&amp;"|"&amp;C396)</f>
        <v/>
      </c>
      <c r="B396" s="138"/>
      <c r="C396" s="138"/>
      <c r="D396" s="138"/>
      <c r="E396" s="143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customFormat="false" ht="15.75" hidden="false" customHeight="false" outlineLevel="0" collapsed="false">
      <c r="A397" s="138" t="str">
        <f aca="false">IF(ISBLANK(B397),"",B397&amp;"|"&amp;C397)</f>
        <v/>
      </c>
      <c r="B397" s="138"/>
      <c r="C397" s="138"/>
      <c r="D397" s="138"/>
      <c r="E397" s="143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customFormat="false" ht="15.75" hidden="false" customHeight="false" outlineLevel="0" collapsed="false">
      <c r="A398" s="138" t="str">
        <f aca="false">IF(ISBLANK(B398),"",B398&amp;"|"&amp;C398)</f>
        <v/>
      </c>
      <c r="B398" s="138"/>
      <c r="C398" s="138"/>
      <c r="D398" s="138"/>
      <c r="E398" s="143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customFormat="false" ht="15.75" hidden="false" customHeight="false" outlineLevel="0" collapsed="false">
      <c r="A399" s="138" t="str">
        <f aca="false">IF(ISBLANK(B399),"",B399&amp;"|"&amp;C399)</f>
        <v/>
      </c>
      <c r="B399" s="138"/>
      <c r="C399" s="138"/>
      <c r="D399" s="138"/>
      <c r="E399" s="143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customFormat="false" ht="15.75" hidden="false" customHeight="false" outlineLevel="0" collapsed="false">
      <c r="A400" s="138" t="str">
        <f aca="false">IF(ISBLANK(B400),"",B400&amp;"|"&amp;C400)</f>
        <v/>
      </c>
      <c r="B400" s="138"/>
      <c r="C400" s="138"/>
      <c r="D400" s="138"/>
      <c r="E400" s="143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customFormat="false" ht="15.75" hidden="false" customHeight="false" outlineLevel="0" collapsed="false">
      <c r="A401" s="138" t="str">
        <f aca="false">IF(ISBLANK(B401),"",B401&amp;"|"&amp;C401)</f>
        <v/>
      </c>
      <c r="B401" s="138"/>
      <c r="C401" s="138"/>
      <c r="D401" s="138"/>
      <c r="E401" s="143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customFormat="false" ht="15.75" hidden="false" customHeight="false" outlineLevel="0" collapsed="false">
      <c r="A402" s="138" t="str">
        <f aca="false">IF(ISBLANK(B402),"",B402&amp;"|"&amp;C402)</f>
        <v/>
      </c>
      <c r="B402" s="138"/>
      <c r="C402" s="138"/>
      <c r="D402" s="138"/>
      <c r="E402" s="143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customFormat="false" ht="15.75" hidden="false" customHeight="false" outlineLevel="0" collapsed="false">
      <c r="A403" s="138" t="str">
        <f aca="false">IF(ISBLANK(B403),"",B403&amp;"|"&amp;C403)</f>
        <v/>
      </c>
      <c r="B403" s="138"/>
      <c r="C403" s="138"/>
      <c r="D403" s="138"/>
      <c r="E403" s="143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customFormat="false" ht="15.75" hidden="false" customHeight="false" outlineLevel="0" collapsed="false">
      <c r="A404" s="138" t="str">
        <f aca="false">IF(ISBLANK(B404),"",B404&amp;"|"&amp;C404)</f>
        <v/>
      </c>
      <c r="B404" s="138"/>
      <c r="C404" s="138"/>
      <c r="D404" s="138"/>
      <c r="E404" s="143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customFormat="false" ht="15.75" hidden="false" customHeight="false" outlineLevel="0" collapsed="false">
      <c r="A405" s="138" t="str">
        <f aca="false">IF(ISBLANK(B405),"",B405&amp;"|"&amp;C405)</f>
        <v/>
      </c>
      <c r="B405" s="138"/>
      <c r="C405" s="138"/>
      <c r="D405" s="138"/>
      <c r="E405" s="143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customFormat="false" ht="15.75" hidden="false" customHeight="false" outlineLevel="0" collapsed="false">
      <c r="A406" s="138" t="str">
        <f aca="false">IF(ISBLANK(B406),"",B406&amp;"|"&amp;C406)</f>
        <v/>
      </c>
      <c r="B406" s="138"/>
      <c r="C406" s="138"/>
      <c r="D406" s="138"/>
      <c r="E406" s="143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customFormat="false" ht="15.75" hidden="false" customHeight="false" outlineLevel="0" collapsed="false">
      <c r="A407" s="138" t="str">
        <f aca="false">IF(ISBLANK(B407),"",B407&amp;"|"&amp;C407)</f>
        <v/>
      </c>
      <c r="B407" s="138"/>
      <c r="C407" s="138"/>
      <c r="D407" s="138"/>
      <c r="E407" s="143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customFormat="false" ht="15.75" hidden="false" customHeight="false" outlineLevel="0" collapsed="false">
      <c r="A408" s="138" t="str">
        <f aca="false">IF(ISBLANK(B408),"",B408&amp;"|"&amp;C408)</f>
        <v/>
      </c>
      <c r="B408" s="138"/>
      <c r="C408" s="138"/>
      <c r="D408" s="138"/>
      <c r="E408" s="143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customFormat="false" ht="15.75" hidden="false" customHeight="false" outlineLevel="0" collapsed="false">
      <c r="A409" s="138" t="str">
        <f aca="false">IF(ISBLANK(B409),"",B409&amp;"|"&amp;C409)</f>
        <v/>
      </c>
      <c r="B409" s="138"/>
      <c r="C409" s="138"/>
      <c r="D409" s="138"/>
      <c r="E409" s="143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customFormat="false" ht="15.75" hidden="false" customHeight="false" outlineLevel="0" collapsed="false">
      <c r="A410" s="138" t="str">
        <f aca="false">IF(ISBLANK(B410),"",B410&amp;"|"&amp;C410)</f>
        <v/>
      </c>
      <c r="B410" s="138"/>
      <c r="C410" s="138"/>
      <c r="D410" s="138"/>
      <c r="E410" s="143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customFormat="false" ht="15.75" hidden="false" customHeight="false" outlineLevel="0" collapsed="false">
      <c r="A411" s="138" t="str">
        <f aca="false">IF(ISBLANK(B411),"",B411&amp;"|"&amp;C411)</f>
        <v/>
      </c>
      <c r="B411" s="138"/>
      <c r="C411" s="138"/>
      <c r="D411" s="138"/>
      <c r="E411" s="143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customFormat="false" ht="15.75" hidden="false" customHeight="false" outlineLevel="0" collapsed="false">
      <c r="A412" s="138" t="str">
        <f aca="false">IF(ISBLANK(B412),"",B412&amp;"|"&amp;C412)</f>
        <v/>
      </c>
      <c r="B412" s="138"/>
      <c r="C412" s="138"/>
      <c r="D412" s="138"/>
      <c r="E412" s="143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customFormat="false" ht="15.75" hidden="false" customHeight="false" outlineLevel="0" collapsed="false">
      <c r="A413" s="138" t="str">
        <f aca="false">IF(ISBLANK(B413),"",B413&amp;"|"&amp;C413)</f>
        <v/>
      </c>
      <c r="B413" s="138"/>
      <c r="C413" s="138"/>
      <c r="D413" s="138"/>
      <c r="E413" s="143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customFormat="false" ht="15.75" hidden="false" customHeight="false" outlineLevel="0" collapsed="false">
      <c r="A414" s="138" t="str">
        <f aca="false">IF(ISBLANK(B414),"",B414&amp;"|"&amp;C414)</f>
        <v/>
      </c>
      <c r="B414" s="138"/>
      <c r="C414" s="138"/>
      <c r="D414" s="138"/>
      <c r="E414" s="143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customFormat="false" ht="15.75" hidden="false" customHeight="false" outlineLevel="0" collapsed="false">
      <c r="A415" s="138" t="str">
        <f aca="false">IF(ISBLANK(B415),"",B415&amp;"|"&amp;C415)</f>
        <v/>
      </c>
      <c r="B415" s="138"/>
      <c r="C415" s="138"/>
      <c r="D415" s="138"/>
      <c r="E415" s="143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customFormat="false" ht="15.75" hidden="false" customHeight="false" outlineLevel="0" collapsed="false">
      <c r="A416" s="138" t="str">
        <f aca="false">IF(ISBLANK(B416),"",B416&amp;"|"&amp;C416)</f>
        <v/>
      </c>
      <c r="B416" s="138"/>
      <c r="C416" s="138"/>
      <c r="D416" s="138"/>
      <c r="E416" s="143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customFormat="false" ht="15.75" hidden="false" customHeight="false" outlineLevel="0" collapsed="false">
      <c r="A417" s="138" t="str">
        <f aca="false">IF(ISBLANK(B417),"",B417&amp;"|"&amp;C417)</f>
        <v/>
      </c>
      <c r="B417" s="138"/>
      <c r="C417" s="138"/>
      <c r="D417" s="138"/>
      <c r="E417" s="143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customFormat="false" ht="15.75" hidden="false" customHeight="false" outlineLevel="0" collapsed="false">
      <c r="A418" s="138" t="str">
        <f aca="false">IF(ISBLANK(B418),"",B418&amp;"|"&amp;C418)</f>
        <v/>
      </c>
      <c r="B418" s="138"/>
      <c r="C418" s="138"/>
      <c r="D418" s="138"/>
      <c r="E418" s="143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customFormat="false" ht="15.75" hidden="false" customHeight="false" outlineLevel="0" collapsed="false">
      <c r="A419" s="138" t="str">
        <f aca="false">IF(ISBLANK(B419),"",B419&amp;"|"&amp;C419)</f>
        <v/>
      </c>
      <c r="B419" s="138"/>
      <c r="C419" s="138"/>
      <c r="D419" s="138"/>
      <c r="E419" s="143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customFormat="false" ht="15.75" hidden="false" customHeight="false" outlineLevel="0" collapsed="false">
      <c r="A420" s="138" t="str">
        <f aca="false">IF(ISBLANK(B420),"",B420&amp;"|"&amp;C420)</f>
        <v/>
      </c>
      <c r="B420" s="138"/>
      <c r="C420" s="138"/>
      <c r="D420" s="138"/>
      <c r="E420" s="143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customFormat="false" ht="15.75" hidden="false" customHeight="false" outlineLevel="0" collapsed="false">
      <c r="A421" s="138" t="str">
        <f aca="false">IF(ISBLANK(B421),"",B421&amp;"|"&amp;C421)</f>
        <v/>
      </c>
      <c r="B421" s="138"/>
      <c r="C421" s="138"/>
      <c r="D421" s="138"/>
      <c r="E421" s="143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customFormat="false" ht="15.75" hidden="false" customHeight="false" outlineLevel="0" collapsed="false">
      <c r="A422" s="138" t="str">
        <f aca="false">IF(ISBLANK(B422),"",B422&amp;"|"&amp;C422)</f>
        <v/>
      </c>
      <c r="B422" s="138"/>
      <c r="C422" s="138"/>
      <c r="D422" s="138"/>
      <c r="E422" s="143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customFormat="false" ht="15.75" hidden="false" customHeight="false" outlineLevel="0" collapsed="false">
      <c r="A423" s="138" t="str">
        <f aca="false">IF(ISBLANK(B423),"",B423&amp;"|"&amp;C423)</f>
        <v/>
      </c>
      <c r="B423" s="138"/>
      <c r="C423" s="138"/>
      <c r="D423" s="138"/>
      <c r="E423" s="143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customFormat="false" ht="15.75" hidden="false" customHeight="false" outlineLevel="0" collapsed="false">
      <c r="A424" s="138" t="str">
        <f aca="false">IF(ISBLANK(B424),"",B424&amp;"|"&amp;C424)</f>
        <v/>
      </c>
      <c r="B424" s="138"/>
      <c r="C424" s="138"/>
      <c r="D424" s="138"/>
      <c r="E424" s="143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customFormat="false" ht="15.75" hidden="false" customHeight="false" outlineLevel="0" collapsed="false">
      <c r="A425" s="138" t="str">
        <f aca="false">IF(ISBLANK(B425),"",B425&amp;"|"&amp;C425)</f>
        <v/>
      </c>
      <c r="B425" s="138"/>
      <c r="C425" s="138"/>
      <c r="D425" s="138"/>
      <c r="E425" s="143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customFormat="false" ht="15.75" hidden="false" customHeight="false" outlineLevel="0" collapsed="false">
      <c r="A426" s="138" t="str">
        <f aca="false">IF(ISBLANK(B426),"",B426&amp;"|"&amp;C426)</f>
        <v/>
      </c>
      <c r="B426" s="138"/>
      <c r="C426" s="138"/>
      <c r="D426" s="138"/>
      <c r="E426" s="143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customFormat="false" ht="15.75" hidden="false" customHeight="false" outlineLevel="0" collapsed="false">
      <c r="A427" s="138" t="str">
        <f aca="false">IF(ISBLANK(B427),"",B427&amp;"|"&amp;C427)</f>
        <v/>
      </c>
      <c r="B427" s="138"/>
      <c r="C427" s="138"/>
      <c r="D427" s="138"/>
      <c r="E427" s="143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customFormat="false" ht="15.75" hidden="false" customHeight="false" outlineLevel="0" collapsed="false">
      <c r="A428" s="138" t="str">
        <f aca="false">IF(ISBLANK(B428),"",B428&amp;"|"&amp;C428)</f>
        <v/>
      </c>
      <c r="B428" s="138"/>
      <c r="C428" s="138"/>
      <c r="D428" s="138"/>
      <c r="E428" s="143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customFormat="false" ht="15.75" hidden="false" customHeight="false" outlineLevel="0" collapsed="false">
      <c r="A429" s="138" t="str">
        <f aca="false">IF(ISBLANK(B429),"",B429&amp;"|"&amp;C429)</f>
        <v/>
      </c>
      <c r="B429" s="138"/>
      <c r="C429" s="138"/>
      <c r="D429" s="138"/>
      <c r="E429" s="143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customFormat="false" ht="15.75" hidden="false" customHeight="false" outlineLevel="0" collapsed="false">
      <c r="A430" s="138" t="str">
        <f aca="false">IF(ISBLANK(B430),"",B430&amp;"|"&amp;C430)</f>
        <v/>
      </c>
      <c r="B430" s="138"/>
      <c r="C430" s="138"/>
      <c r="D430" s="138"/>
      <c r="E430" s="143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customFormat="false" ht="15.75" hidden="false" customHeight="false" outlineLevel="0" collapsed="false">
      <c r="A431" s="138" t="str">
        <f aca="false">IF(ISBLANK(B431),"",B431&amp;"|"&amp;C431)</f>
        <v/>
      </c>
      <c r="B431" s="138"/>
      <c r="C431" s="138"/>
      <c r="D431" s="138"/>
      <c r="E431" s="143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customFormat="false" ht="15.75" hidden="false" customHeight="false" outlineLevel="0" collapsed="false">
      <c r="A432" s="138" t="str">
        <f aca="false">IF(ISBLANK(B432),"",B432&amp;"|"&amp;C432)</f>
        <v/>
      </c>
      <c r="B432" s="138"/>
      <c r="C432" s="138"/>
      <c r="D432" s="138"/>
      <c r="E432" s="143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customFormat="false" ht="15.75" hidden="false" customHeight="false" outlineLevel="0" collapsed="false">
      <c r="A433" s="138" t="str">
        <f aca="false">IF(ISBLANK(B433),"",B433&amp;"|"&amp;C433)</f>
        <v/>
      </c>
      <c r="B433" s="138"/>
      <c r="C433" s="138"/>
      <c r="D433" s="138"/>
      <c r="E433" s="143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customFormat="false" ht="15.75" hidden="false" customHeight="false" outlineLevel="0" collapsed="false">
      <c r="A434" s="138" t="str">
        <f aca="false">IF(ISBLANK(B434),"",B434&amp;"|"&amp;C434)</f>
        <v/>
      </c>
      <c r="B434" s="138"/>
      <c r="C434" s="138"/>
      <c r="D434" s="138"/>
      <c r="E434" s="143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customFormat="false" ht="15.75" hidden="false" customHeight="false" outlineLevel="0" collapsed="false">
      <c r="A435" s="138" t="str">
        <f aca="false">IF(ISBLANK(B435),"",B435&amp;"|"&amp;C435)</f>
        <v/>
      </c>
      <c r="B435" s="138"/>
      <c r="C435" s="138"/>
      <c r="D435" s="138"/>
      <c r="E435" s="143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customFormat="false" ht="15.75" hidden="false" customHeight="false" outlineLevel="0" collapsed="false">
      <c r="A436" s="138" t="str">
        <f aca="false">IF(ISBLANK(B436),"",B436&amp;"|"&amp;C436)</f>
        <v/>
      </c>
      <c r="B436" s="138"/>
      <c r="C436" s="138"/>
      <c r="D436" s="138"/>
      <c r="E436" s="143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customFormat="false" ht="15.75" hidden="false" customHeight="false" outlineLevel="0" collapsed="false">
      <c r="A437" s="138" t="str">
        <f aca="false">IF(ISBLANK(B437),"",B437&amp;"|"&amp;C437)</f>
        <v/>
      </c>
      <c r="B437" s="138"/>
      <c r="C437" s="138"/>
      <c r="D437" s="138"/>
      <c r="E437" s="143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customFormat="false" ht="15.75" hidden="false" customHeight="false" outlineLevel="0" collapsed="false">
      <c r="A438" s="138" t="str">
        <f aca="false">IF(ISBLANK(B438),"",B438&amp;"|"&amp;C438)</f>
        <v/>
      </c>
      <c r="B438" s="138"/>
      <c r="C438" s="138"/>
      <c r="D438" s="138"/>
      <c r="E438" s="143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customFormat="false" ht="15.75" hidden="false" customHeight="false" outlineLevel="0" collapsed="false">
      <c r="A439" s="138" t="str">
        <f aca="false">IF(ISBLANK(B439),"",B439&amp;"|"&amp;C439)</f>
        <v/>
      </c>
      <c r="B439" s="138"/>
      <c r="C439" s="138"/>
      <c r="D439" s="138"/>
      <c r="E439" s="143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customFormat="false" ht="15.75" hidden="false" customHeight="false" outlineLevel="0" collapsed="false">
      <c r="A440" s="138" t="str">
        <f aca="false">IF(ISBLANK(B440),"",B440&amp;"|"&amp;C440)</f>
        <v/>
      </c>
      <c r="B440" s="138"/>
      <c r="C440" s="138"/>
      <c r="D440" s="138"/>
      <c r="E440" s="143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customFormat="false" ht="15.75" hidden="false" customHeight="false" outlineLevel="0" collapsed="false">
      <c r="A441" s="138" t="str">
        <f aca="false">IF(ISBLANK(B441),"",B441&amp;"|"&amp;C441)</f>
        <v/>
      </c>
      <c r="B441" s="138"/>
      <c r="C441" s="138"/>
      <c r="D441" s="138"/>
      <c r="E441" s="143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customFormat="false" ht="15.75" hidden="false" customHeight="false" outlineLevel="0" collapsed="false">
      <c r="A442" s="138" t="str">
        <f aca="false">IF(ISBLANK(B442),"",B442&amp;"|"&amp;C442)</f>
        <v/>
      </c>
      <c r="B442" s="138"/>
      <c r="C442" s="138"/>
      <c r="D442" s="138"/>
      <c r="E442" s="143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customFormat="false" ht="15.75" hidden="false" customHeight="false" outlineLevel="0" collapsed="false">
      <c r="A443" s="138" t="str">
        <f aca="false">IF(ISBLANK(B443),"",B443&amp;"|"&amp;C443)</f>
        <v/>
      </c>
      <c r="B443" s="138"/>
      <c r="C443" s="138"/>
      <c r="D443" s="138"/>
      <c r="E443" s="143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customFormat="false" ht="15.75" hidden="false" customHeight="false" outlineLevel="0" collapsed="false">
      <c r="A444" s="138" t="str">
        <f aca="false">IF(ISBLANK(B444),"",B444&amp;"|"&amp;C444)</f>
        <v/>
      </c>
      <c r="B444" s="138"/>
      <c r="C444" s="138"/>
      <c r="D444" s="138"/>
      <c r="E444" s="143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customFormat="false" ht="15.75" hidden="false" customHeight="false" outlineLevel="0" collapsed="false">
      <c r="A445" s="138" t="str">
        <f aca="false">IF(ISBLANK(B445),"",B445&amp;"|"&amp;C445)</f>
        <v/>
      </c>
      <c r="B445" s="138"/>
      <c r="C445" s="138"/>
      <c r="D445" s="138"/>
      <c r="E445" s="143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customFormat="false" ht="15.75" hidden="false" customHeight="false" outlineLevel="0" collapsed="false">
      <c r="A446" s="138" t="str">
        <f aca="false">IF(ISBLANK(B446),"",B446&amp;"|"&amp;C446)</f>
        <v/>
      </c>
      <c r="B446" s="138"/>
      <c r="C446" s="138"/>
      <c r="D446" s="138"/>
      <c r="E446" s="143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customFormat="false" ht="15.75" hidden="false" customHeight="false" outlineLevel="0" collapsed="false">
      <c r="A447" s="138" t="str">
        <f aca="false">IF(ISBLANK(B447),"",B447&amp;"|"&amp;C447)</f>
        <v/>
      </c>
      <c r="B447" s="138"/>
      <c r="C447" s="138"/>
      <c r="D447" s="138"/>
      <c r="E447" s="143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customFormat="false" ht="15.75" hidden="false" customHeight="false" outlineLevel="0" collapsed="false">
      <c r="A448" s="138" t="str">
        <f aca="false">IF(ISBLANK(B448),"",B448&amp;"|"&amp;C448)</f>
        <v/>
      </c>
      <c r="B448" s="138"/>
      <c r="C448" s="138"/>
      <c r="D448" s="138"/>
      <c r="E448" s="143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customFormat="false" ht="15.75" hidden="false" customHeight="false" outlineLevel="0" collapsed="false">
      <c r="A449" s="138" t="str">
        <f aca="false">IF(ISBLANK(B449),"",B449&amp;"|"&amp;C449)</f>
        <v/>
      </c>
      <c r="B449" s="138"/>
      <c r="C449" s="138"/>
      <c r="D449" s="138"/>
      <c r="E449" s="143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customFormat="false" ht="15.75" hidden="false" customHeight="false" outlineLevel="0" collapsed="false">
      <c r="A450" s="138" t="str">
        <f aca="false">IF(ISBLANK(B450),"",B450&amp;"|"&amp;C450)</f>
        <v/>
      </c>
      <c r="B450" s="138"/>
      <c r="C450" s="138"/>
      <c r="D450" s="138"/>
      <c r="E450" s="143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customFormat="false" ht="15.75" hidden="false" customHeight="false" outlineLevel="0" collapsed="false">
      <c r="A451" s="138" t="str">
        <f aca="false">IF(ISBLANK(B451),"",B451&amp;"|"&amp;C451)</f>
        <v/>
      </c>
      <c r="B451" s="138"/>
      <c r="C451" s="138"/>
      <c r="D451" s="138"/>
      <c r="E451" s="143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customFormat="false" ht="15.75" hidden="false" customHeight="false" outlineLevel="0" collapsed="false">
      <c r="A452" s="138" t="str">
        <f aca="false">IF(ISBLANK(B452),"",B452&amp;"|"&amp;C452)</f>
        <v/>
      </c>
      <c r="B452" s="138"/>
      <c r="C452" s="138"/>
      <c r="D452" s="138"/>
      <c r="E452" s="143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customFormat="false" ht="15.75" hidden="false" customHeight="false" outlineLevel="0" collapsed="false">
      <c r="A453" s="138" t="str">
        <f aca="false">IF(ISBLANK(B453),"",B453&amp;"|"&amp;C453)</f>
        <v/>
      </c>
      <c r="B453" s="138"/>
      <c r="C453" s="138"/>
      <c r="D453" s="138"/>
      <c r="E453" s="143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customFormat="false" ht="15.75" hidden="false" customHeight="false" outlineLevel="0" collapsed="false">
      <c r="A454" s="138" t="str">
        <f aca="false">IF(ISBLANK(B454),"",B454&amp;"|"&amp;C454)</f>
        <v/>
      </c>
      <c r="B454" s="138"/>
      <c r="C454" s="138"/>
      <c r="D454" s="138"/>
      <c r="E454" s="143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customFormat="false" ht="15.75" hidden="false" customHeight="false" outlineLevel="0" collapsed="false">
      <c r="A455" s="138" t="str">
        <f aca="false">IF(ISBLANK(B455),"",B455&amp;"|"&amp;C455)</f>
        <v/>
      </c>
      <c r="B455" s="138"/>
      <c r="C455" s="138"/>
      <c r="D455" s="138"/>
      <c r="E455" s="143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customFormat="false" ht="15.75" hidden="false" customHeight="false" outlineLevel="0" collapsed="false">
      <c r="A456" s="138" t="str">
        <f aca="false">IF(ISBLANK(B456),"",B456&amp;"|"&amp;C456)</f>
        <v/>
      </c>
      <c r="B456" s="138"/>
      <c r="C456" s="138"/>
      <c r="D456" s="138"/>
      <c r="E456" s="143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customFormat="false" ht="15.75" hidden="false" customHeight="false" outlineLevel="0" collapsed="false">
      <c r="A457" s="138" t="str">
        <f aca="false">IF(ISBLANK(B457),"",B457&amp;"|"&amp;C457)</f>
        <v/>
      </c>
      <c r="B457" s="138"/>
      <c r="C457" s="138"/>
      <c r="D457" s="138"/>
      <c r="E457" s="143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customFormat="false" ht="15.75" hidden="false" customHeight="false" outlineLevel="0" collapsed="false">
      <c r="A458" s="138" t="str">
        <f aca="false">IF(ISBLANK(B458),"",B458&amp;"|"&amp;C458)</f>
        <v/>
      </c>
      <c r="B458" s="138"/>
      <c r="C458" s="138"/>
      <c r="D458" s="138"/>
      <c r="E458" s="143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customFormat="false" ht="15.75" hidden="false" customHeight="false" outlineLevel="0" collapsed="false">
      <c r="A459" s="138" t="str">
        <f aca="false">IF(ISBLANK(B459),"",B459&amp;"|"&amp;C459)</f>
        <v/>
      </c>
      <c r="B459" s="138"/>
      <c r="C459" s="138"/>
      <c r="D459" s="138"/>
      <c r="E459" s="143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customFormat="false" ht="15.75" hidden="false" customHeight="false" outlineLevel="0" collapsed="false">
      <c r="A460" s="138" t="str">
        <f aca="false">IF(ISBLANK(B460),"",B460&amp;"|"&amp;C460)</f>
        <v/>
      </c>
      <c r="B460" s="138"/>
      <c r="C460" s="138"/>
      <c r="D460" s="138"/>
      <c r="E460" s="143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customFormat="false" ht="15.75" hidden="false" customHeight="false" outlineLevel="0" collapsed="false">
      <c r="A461" s="138" t="str">
        <f aca="false">IF(ISBLANK(B461),"",B461&amp;"|"&amp;C461)</f>
        <v/>
      </c>
      <c r="B461" s="138"/>
      <c r="C461" s="138"/>
      <c r="D461" s="138"/>
      <c r="E461" s="143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customFormat="false" ht="15.75" hidden="false" customHeight="false" outlineLevel="0" collapsed="false">
      <c r="A462" s="138" t="str">
        <f aca="false">IF(ISBLANK(B462),"",B462&amp;"|"&amp;C462)</f>
        <v/>
      </c>
      <c r="B462" s="138"/>
      <c r="C462" s="138"/>
      <c r="D462" s="138"/>
      <c r="E462" s="143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customFormat="false" ht="15.75" hidden="false" customHeight="false" outlineLevel="0" collapsed="false">
      <c r="A463" s="138" t="str">
        <f aca="false">IF(ISBLANK(B463),"",B463&amp;"|"&amp;C463)</f>
        <v/>
      </c>
      <c r="B463" s="138"/>
      <c r="C463" s="138"/>
      <c r="D463" s="138"/>
      <c r="E463" s="143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customFormat="false" ht="15.75" hidden="false" customHeight="false" outlineLevel="0" collapsed="false">
      <c r="A464" s="138" t="str">
        <f aca="false">IF(ISBLANK(B464),"",B464&amp;"|"&amp;C464)</f>
        <v/>
      </c>
      <c r="B464" s="138"/>
      <c r="C464" s="138"/>
      <c r="D464" s="138"/>
      <c r="E464" s="143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customFormat="false" ht="15.75" hidden="false" customHeight="false" outlineLevel="0" collapsed="false">
      <c r="A465" s="138" t="str">
        <f aca="false">IF(ISBLANK(B465),"",B465&amp;"|"&amp;C465)</f>
        <v/>
      </c>
      <c r="B465" s="138"/>
      <c r="C465" s="138"/>
      <c r="D465" s="138"/>
      <c r="E465" s="143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customFormat="false" ht="15.75" hidden="false" customHeight="false" outlineLevel="0" collapsed="false">
      <c r="A466" s="138" t="str">
        <f aca="false">IF(ISBLANK(B466),"",B466&amp;"|"&amp;C466)</f>
        <v/>
      </c>
      <c r="B466" s="138"/>
      <c r="C466" s="138"/>
      <c r="D466" s="138"/>
      <c r="E466" s="143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customFormat="false" ht="15.75" hidden="false" customHeight="false" outlineLevel="0" collapsed="false">
      <c r="A467" s="138" t="str">
        <f aca="false">IF(ISBLANK(B467),"",B467&amp;"|"&amp;C467)</f>
        <v/>
      </c>
      <c r="B467" s="138"/>
      <c r="C467" s="138"/>
      <c r="D467" s="138"/>
      <c r="E467" s="143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customFormat="false" ht="15.75" hidden="false" customHeight="false" outlineLevel="0" collapsed="false">
      <c r="A468" s="138" t="str">
        <f aca="false">IF(ISBLANK(B468),"",B468&amp;"|"&amp;C468)</f>
        <v/>
      </c>
      <c r="B468" s="138"/>
      <c r="C468" s="138"/>
      <c r="D468" s="138"/>
      <c r="E468" s="143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customFormat="false" ht="15.75" hidden="false" customHeight="false" outlineLevel="0" collapsed="false">
      <c r="A469" s="138" t="str">
        <f aca="false">IF(ISBLANK(B469),"",B469&amp;"|"&amp;C469)</f>
        <v/>
      </c>
      <c r="B469" s="138"/>
      <c r="C469" s="138"/>
      <c r="D469" s="138"/>
      <c r="E469" s="143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customFormat="false" ht="15.75" hidden="false" customHeight="false" outlineLevel="0" collapsed="false">
      <c r="A470" s="138" t="str">
        <f aca="false">IF(ISBLANK(B470),"",B470&amp;"|"&amp;C470)</f>
        <v/>
      </c>
      <c r="B470" s="138"/>
      <c r="C470" s="138"/>
      <c r="D470" s="138"/>
      <c r="E470" s="143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customFormat="false" ht="15.75" hidden="false" customHeight="false" outlineLevel="0" collapsed="false">
      <c r="A471" s="138" t="str">
        <f aca="false">IF(ISBLANK(B471),"",B471&amp;"|"&amp;C471)</f>
        <v/>
      </c>
      <c r="B471" s="138"/>
      <c r="C471" s="138"/>
      <c r="D471" s="138"/>
      <c r="E471" s="143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customFormat="false" ht="15.75" hidden="false" customHeight="false" outlineLevel="0" collapsed="false">
      <c r="A472" s="138" t="str">
        <f aca="false">IF(ISBLANK(B472),"",B472&amp;"|"&amp;C472)</f>
        <v/>
      </c>
      <c r="B472" s="138"/>
      <c r="C472" s="138"/>
      <c r="D472" s="138"/>
      <c r="E472" s="143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customFormat="false" ht="15.75" hidden="false" customHeight="false" outlineLevel="0" collapsed="false">
      <c r="A473" s="138" t="str">
        <f aca="false">IF(ISBLANK(B473),"",B473&amp;"|"&amp;C473)</f>
        <v/>
      </c>
      <c r="B473" s="138"/>
      <c r="C473" s="138"/>
      <c r="D473" s="138"/>
      <c r="E473" s="143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customFormat="false" ht="15.75" hidden="false" customHeight="false" outlineLevel="0" collapsed="false">
      <c r="A474" s="138" t="str">
        <f aca="false">IF(ISBLANK(B474),"",B474&amp;"|"&amp;C474)</f>
        <v/>
      </c>
      <c r="B474" s="138"/>
      <c r="C474" s="138"/>
      <c r="D474" s="138"/>
      <c r="E474" s="143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customFormat="false" ht="15.75" hidden="false" customHeight="false" outlineLevel="0" collapsed="false">
      <c r="A475" s="138" t="str">
        <f aca="false">IF(ISBLANK(B475),"",B475&amp;"|"&amp;C475)</f>
        <v/>
      </c>
      <c r="B475" s="138"/>
      <c r="C475" s="138"/>
      <c r="D475" s="138"/>
      <c r="E475" s="143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customFormat="false" ht="15.75" hidden="false" customHeight="false" outlineLevel="0" collapsed="false">
      <c r="A476" s="138" t="str">
        <f aca="false">IF(ISBLANK(B476),"",B476&amp;"|"&amp;C476)</f>
        <v/>
      </c>
      <c r="B476" s="138"/>
      <c r="C476" s="138"/>
      <c r="D476" s="138"/>
      <c r="E476" s="143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customFormat="false" ht="15.75" hidden="false" customHeight="false" outlineLevel="0" collapsed="false">
      <c r="A477" s="138" t="str">
        <f aca="false">IF(ISBLANK(B477),"",B477&amp;"|"&amp;C477)</f>
        <v/>
      </c>
      <c r="B477" s="138"/>
      <c r="C477" s="138"/>
      <c r="D477" s="138"/>
      <c r="E477" s="143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customFormat="false" ht="15.75" hidden="false" customHeight="false" outlineLevel="0" collapsed="false">
      <c r="A478" s="138" t="str">
        <f aca="false">IF(ISBLANK(B478),"",B478&amp;"|"&amp;C478)</f>
        <v/>
      </c>
      <c r="B478" s="138"/>
      <c r="C478" s="138"/>
      <c r="D478" s="138"/>
      <c r="E478" s="143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customFormat="false" ht="15.75" hidden="false" customHeight="false" outlineLevel="0" collapsed="false">
      <c r="A479" s="138" t="str">
        <f aca="false">IF(ISBLANK(B479),"",B479&amp;"|"&amp;C479)</f>
        <v/>
      </c>
      <c r="B479" s="138"/>
      <c r="C479" s="138"/>
      <c r="D479" s="138"/>
      <c r="E479" s="143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customFormat="false" ht="15.75" hidden="false" customHeight="false" outlineLevel="0" collapsed="false">
      <c r="A480" s="138" t="str">
        <f aca="false">IF(ISBLANK(B480),"",B480&amp;"|"&amp;C480)</f>
        <v/>
      </c>
      <c r="B480" s="138"/>
      <c r="C480" s="138"/>
      <c r="D480" s="138"/>
      <c r="E480" s="143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customFormat="false" ht="15.75" hidden="false" customHeight="false" outlineLevel="0" collapsed="false">
      <c r="A481" s="138" t="str">
        <f aca="false">IF(ISBLANK(B481),"",B481&amp;"|"&amp;C481)</f>
        <v/>
      </c>
      <c r="B481" s="138"/>
      <c r="C481" s="138"/>
      <c r="D481" s="138"/>
      <c r="E481" s="143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customFormat="false" ht="15.75" hidden="false" customHeight="false" outlineLevel="0" collapsed="false">
      <c r="A482" s="138" t="str">
        <f aca="false">IF(ISBLANK(B482),"",B482&amp;"|"&amp;C482)</f>
        <v/>
      </c>
      <c r="B482" s="138"/>
      <c r="C482" s="138"/>
      <c r="D482" s="138"/>
      <c r="E482" s="143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customFormat="false" ht="15.75" hidden="false" customHeight="false" outlineLevel="0" collapsed="false">
      <c r="A483" s="138" t="str">
        <f aca="false">IF(ISBLANK(B483),"",B483&amp;"|"&amp;C483)</f>
        <v/>
      </c>
      <c r="B483" s="138"/>
      <c r="C483" s="138"/>
      <c r="D483" s="138"/>
      <c r="E483" s="143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customFormat="false" ht="15.75" hidden="false" customHeight="false" outlineLevel="0" collapsed="false">
      <c r="A484" s="138" t="str">
        <f aca="false">IF(ISBLANK(B484),"",B484&amp;"|"&amp;C484)</f>
        <v/>
      </c>
      <c r="B484" s="138"/>
      <c r="C484" s="138"/>
      <c r="D484" s="138"/>
      <c r="E484" s="143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customFormat="false" ht="15.75" hidden="false" customHeight="false" outlineLevel="0" collapsed="false">
      <c r="A485" s="138" t="str">
        <f aca="false">IF(ISBLANK(B485),"",B485&amp;"|"&amp;C485)</f>
        <v/>
      </c>
      <c r="B485" s="138"/>
      <c r="C485" s="138"/>
      <c r="D485" s="138"/>
      <c r="E485" s="143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customFormat="false" ht="15.75" hidden="false" customHeight="false" outlineLevel="0" collapsed="false">
      <c r="A486" s="138" t="str">
        <f aca="false">IF(ISBLANK(B486),"",B486&amp;"|"&amp;C486)</f>
        <v/>
      </c>
      <c r="B486" s="138"/>
      <c r="C486" s="138"/>
      <c r="D486" s="138"/>
      <c r="E486" s="143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customFormat="false" ht="15.75" hidden="false" customHeight="false" outlineLevel="0" collapsed="false">
      <c r="A487" s="138" t="str">
        <f aca="false">IF(ISBLANK(B487),"",B487&amp;"|"&amp;C487)</f>
        <v/>
      </c>
      <c r="B487" s="138"/>
      <c r="C487" s="138"/>
      <c r="D487" s="138"/>
      <c r="E487" s="143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customFormat="false" ht="15.75" hidden="false" customHeight="false" outlineLevel="0" collapsed="false">
      <c r="A488" s="138" t="str">
        <f aca="false">IF(ISBLANK(B488),"",B488&amp;"|"&amp;C488)</f>
        <v/>
      </c>
      <c r="B488" s="138"/>
      <c r="C488" s="138"/>
      <c r="D488" s="138"/>
      <c r="E488" s="143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customFormat="false" ht="15.75" hidden="false" customHeight="false" outlineLevel="0" collapsed="false">
      <c r="A489" s="138" t="str">
        <f aca="false">IF(ISBLANK(B489),"",B489&amp;"|"&amp;C489)</f>
        <v/>
      </c>
      <c r="B489" s="138"/>
      <c r="C489" s="138"/>
      <c r="D489" s="138"/>
      <c r="E489" s="143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customFormat="false" ht="15.75" hidden="false" customHeight="false" outlineLevel="0" collapsed="false">
      <c r="A490" s="138" t="str">
        <f aca="false">IF(ISBLANK(B490),"",B490&amp;"|"&amp;C490)</f>
        <v/>
      </c>
      <c r="B490" s="138"/>
      <c r="C490" s="138"/>
      <c r="D490" s="138"/>
      <c r="E490" s="143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customFormat="false" ht="15.75" hidden="false" customHeight="false" outlineLevel="0" collapsed="false">
      <c r="A491" s="138" t="str">
        <f aca="false">IF(ISBLANK(B491),"",B491&amp;"|"&amp;C491)</f>
        <v/>
      </c>
      <c r="B491" s="138"/>
      <c r="C491" s="138"/>
      <c r="D491" s="138"/>
      <c r="E491" s="143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customFormat="false" ht="15.75" hidden="false" customHeight="false" outlineLevel="0" collapsed="false">
      <c r="A492" s="138" t="str">
        <f aca="false">IF(ISBLANK(B492),"",B492&amp;"|"&amp;C492)</f>
        <v/>
      </c>
      <c r="B492" s="138"/>
      <c r="C492" s="138"/>
      <c r="D492" s="138"/>
      <c r="E492" s="143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customFormat="false" ht="15.75" hidden="false" customHeight="false" outlineLevel="0" collapsed="false">
      <c r="A493" s="138" t="str">
        <f aca="false">IF(ISBLANK(B493),"",B493&amp;"|"&amp;C493)</f>
        <v/>
      </c>
      <c r="B493" s="138"/>
      <c r="C493" s="138"/>
      <c r="D493" s="138"/>
      <c r="E493" s="143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customFormat="false" ht="15.75" hidden="false" customHeight="false" outlineLevel="0" collapsed="false">
      <c r="A494" s="138" t="str">
        <f aca="false">IF(ISBLANK(B494),"",B494&amp;"|"&amp;C494)</f>
        <v/>
      </c>
      <c r="B494" s="138"/>
      <c r="C494" s="138"/>
      <c r="D494" s="138"/>
      <c r="E494" s="143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customFormat="false" ht="15.75" hidden="false" customHeight="false" outlineLevel="0" collapsed="false">
      <c r="A495" s="138" t="str">
        <f aca="false">IF(ISBLANK(B495),"",B495&amp;"|"&amp;C495)</f>
        <v/>
      </c>
      <c r="B495" s="138"/>
      <c r="C495" s="138"/>
      <c r="D495" s="138"/>
      <c r="E495" s="143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customFormat="false" ht="15.75" hidden="false" customHeight="false" outlineLevel="0" collapsed="false">
      <c r="A496" s="138" t="str">
        <f aca="false">IF(ISBLANK(B496),"",B496&amp;"|"&amp;C496)</f>
        <v/>
      </c>
      <c r="B496" s="138"/>
      <c r="C496" s="138"/>
      <c r="D496" s="138"/>
      <c r="E496" s="143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customFormat="false" ht="15.75" hidden="false" customHeight="false" outlineLevel="0" collapsed="false">
      <c r="A497" s="138" t="str">
        <f aca="false">IF(ISBLANK(B497),"",B497&amp;"|"&amp;C497)</f>
        <v/>
      </c>
      <c r="B497" s="138"/>
      <c r="C497" s="138"/>
      <c r="D497" s="138"/>
      <c r="E497" s="143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customFormat="false" ht="15.75" hidden="false" customHeight="false" outlineLevel="0" collapsed="false">
      <c r="A498" s="138" t="str">
        <f aca="false">IF(ISBLANK(B498),"",B498&amp;"|"&amp;C498)</f>
        <v/>
      </c>
      <c r="B498" s="138"/>
      <c r="C498" s="138"/>
      <c r="D498" s="138"/>
      <c r="E498" s="143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customFormat="false" ht="15.75" hidden="false" customHeight="false" outlineLevel="0" collapsed="false">
      <c r="A499" s="138" t="str">
        <f aca="false">IF(ISBLANK(B499),"",B499&amp;"|"&amp;C499)</f>
        <v/>
      </c>
      <c r="B499" s="138"/>
      <c r="C499" s="138"/>
      <c r="D499" s="138"/>
      <c r="E499" s="143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customFormat="false" ht="15.75" hidden="false" customHeight="false" outlineLevel="0" collapsed="false">
      <c r="A500" s="138" t="str">
        <f aca="false">IF(ISBLANK(B500),"",B500&amp;"|"&amp;C500)</f>
        <v/>
      </c>
      <c r="B500" s="138"/>
      <c r="C500" s="138"/>
      <c r="D500" s="138"/>
      <c r="E500" s="143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customFormat="false" ht="15.75" hidden="false" customHeight="false" outlineLevel="0" collapsed="false">
      <c r="A501" s="138" t="str">
        <f aca="false">IF(ISBLANK(B501),"",B501&amp;"|"&amp;C501)</f>
        <v/>
      </c>
      <c r="B501" s="138"/>
      <c r="C501" s="138"/>
      <c r="D501" s="138"/>
      <c r="E501" s="143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customFormat="false" ht="15.75" hidden="false" customHeight="false" outlineLevel="0" collapsed="false">
      <c r="A502" s="138" t="str">
        <f aca="false">IF(ISBLANK(B502),"",B502&amp;"|"&amp;C502)</f>
        <v/>
      </c>
      <c r="B502" s="138"/>
      <c r="C502" s="138"/>
      <c r="D502" s="138"/>
      <c r="E502" s="143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customFormat="false" ht="15.75" hidden="false" customHeight="false" outlineLevel="0" collapsed="false">
      <c r="A503" s="138" t="str">
        <f aca="false">IF(ISBLANK(B503),"",B503&amp;"|"&amp;C503)</f>
        <v/>
      </c>
      <c r="B503" s="138"/>
      <c r="C503" s="138"/>
      <c r="D503" s="138"/>
      <c r="E503" s="143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customFormat="false" ht="15.75" hidden="false" customHeight="false" outlineLevel="0" collapsed="false">
      <c r="A504" s="138" t="str">
        <f aca="false">IF(ISBLANK(B504),"",B504&amp;"|"&amp;C504)</f>
        <v/>
      </c>
      <c r="B504" s="138"/>
      <c r="C504" s="138"/>
      <c r="D504" s="138"/>
      <c r="E504" s="143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customFormat="false" ht="15.75" hidden="false" customHeight="false" outlineLevel="0" collapsed="false">
      <c r="A505" s="138" t="str">
        <f aca="false">IF(ISBLANK(B505),"",B505&amp;"|"&amp;C505)</f>
        <v/>
      </c>
      <c r="B505" s="138"/>
      <c r="C505" s="138"/>
      <c r="D505" s="138"/>
      <c r="E505" s="143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customFormat="false" ht="15.75" hidden="false" customHeight="false" outlineLevel="0" collapsed="false">
      <c r="A506" s="138" t="str">
        <f aca="false">IF(ISBLANK(B506),"",B506&amp;"|"&amp;C506)</f>
        <v/>
      </c>
      <c r="B506" s="138"/>
      <c r="C506" s="138"/>
      <c r="D506" s="138"/>
      <c r="E506" s="143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customFormat="false" ht="15.75" hidden="false" customHeight="false" outlineLevel="0" collapsed="false">
      <c r="A507" s="138" t="str">
        <f aca="false">IF(ISBLANK(B507),"",B507&amp;"|"&amp;C507)</f>
        <v/>
      </c>
      <c r="B507" s="138"/>
      <c r="C507" s="138"/>
      <c r="D507" s="138"/>
      <c r="E507" s="143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customFormat="false" ht="15.75" hidden="false" customHeight="false" outlineLevel="0" collapsed="false">
      <c r="A508" s="138" t="str">
        <f aca="false">IF(ISBLANK(B508),"",B508&amp;"|"&amp;C508)</f>
        <v/>
      </c>
      <c r="B508" s="138"/>
      <c r="C508" s="138"/>
      <c r="D508" s="138"/>
      <c r="E508" s="143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customFormat="false" ht="15.75" hidden="false" customHeight="false" outlineLevel="0" collapsed="false">
      <c r="A509" s="138" t="str">
        <f aca="false">IF(ISBLANK(B509),"",B509&amp;"|"&amp;C509)</f>
        <v/>
      </c>
      <c r="B509" s="138"/>
      <c r="C509" s="138"/>
      <c r="D509" s="138"/>
      <c r="E509" s="143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customFormat="false" ht="15.75" hidden="false" customHeight="false" outlineLevel="0" collapsed="false">
      <c r="A510" s="138" t="str">
        <f aca="false">IF(ISBLANK(B510),"",B510&amp;"|"&amp;C510)</f>
        <v/>
      </c>
      <c r="B510" s="138"/>
      <c r="C510" s="138"/>
      <c r="D510" s="138"/>
      <c r="E510" s="143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customFormat="false" ht="15.75" hidden="false" customHeight="false" outlineLevel="0" collapsed="false">
      <c r="A511" s="138" t="str">
        <f aca="false">IF(ISBLANK(B511),"",B511&amp;"|"&amp;C511)</f>
        <v/>
      </c>
      <c r="B511" s="138"/>
      <c r="C511" s="138"/>
      <c r="D511" s="138"/>
      <c r="E511" s="143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customFormat="false" ht="15.75" hidden="false" customHeight="false" outlineLevel="0" collapsed="false">
      <c r="A512" s="138" t="str">
        <f aca="false">IF(ISBLANK(B512),"",B512&amp;"|"&amp;C512)</f>
        <v/>
      </c>
      <c r="B512" s="138"/>
      <c r="C512" s="138"/>
      <c r="D512" s="138"/>
      <c r="E512" s="143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customFormat="false" ht="15.75" hidden="false" customHeight="false" outlineLevel="0" collapsed="false">
      <c r="A513" s="138" t="str">
        <f aca="false">IF(ISBLANK(B513),"",B513&amp;"|"&amp;C513)</f>
        <v/>
      </c>
      <c r="B513" s="138"/>
      <c r="C513" s="138"/>
      <c r="D513" s="138"/>
      <c r="E513" s="143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customFormat="false" ht="15.75" hidden="false" customHeight="false" outlineLevel="0" collapsed="false">
      <c r="A514" s="138" t="str">
        <f aca="false">IF(ISBLANK(B514),"",B514&amp;"|"&amp;C514)</f>
        <v/>
      </c>
      <c r="B514" s="138"/>
      <c r="C514" s="138"/>
      <c r="D514" s="138"/>
      <c r="E514" s="143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customFormat="false" ht="15.75" hidden="false" customHeight="false" outlineLevel="0" collapsed="false">
      <c r="A515" s="138" t="str">
        <f aca="false">IF(ISBLANK(B515),"",B515&amp;"|"&amp;C515)</f>
        <v/>
      </c>
      <c r="B515" s="138"/>
      <c r="C515" s="138"/>
      <c r="D515" s="138"/>
      <c r="E515" s="143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customFormat="false" ht="15.75" hidden="false" customHeight="false" outlineLevel="0" collapsed="false">
      <c r="A516" s="138" t="str">
        <f aca="false">IF(ISBLANK(B516),"",B516&amp;"|"&amp;C516)</f>
        <v/>
      </c>
      <c r="B516" s="138"/>
      <c r="C516" s="138"/>
      <c r="D516" s="138"/>
      <c r="E516" s="143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customFormat="false" ht="15.75" hidden="false" customHeight="false" outlineLevel="0" collapsed="false">
      <c r="A517" s="138" t="str">
        <f aca="false">IF(ISBLANK(B517),"",B517&amp;"|"&amp;C517)</f>
        <v/>
      </c>
      <c r="B517" s="138"/>
      <c r="C517" s="138"/>
      <c r="D517" s="138"/>
      <c r="E517" s="143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customFormat="false" ht="15.75" hidden="false" customHeight="false" outlineLevel="0" collapsed="false">
      <c r="A518" s="138" t="str">
        <f aca="false">IF(ISBLANK(B518),"",B518&amp;"|"&amp;C518)</f>
        <v/>
      </c>
      <c r="B518" s="138"/>
      <c r="C518" s="138"/>
      <c r="D518" s="138"/>
      <c r="E518" s="143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customFormat="false" ht="15.75" hidden="false" customHeight="false" outlineLevel="0" collapsed="false">
      <c r="A519" s="138" t="str">
        <f aca="false">IF(ISBLANK(B519),"",B519&amp;"|"&amp;C519)</f>
        <v/>
      </c>
      <c r="B519" s="138"/>
      <c r="C519" s="138"/>
      <c r="D519" s="138"/>
      <c r="E519" s="143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customFormat="false" ht="15.75" hidden="false" customHeight="false" outlineLevel="0" collapsed="false">
      <c r="A520" s="138" t="str">
        <f aca="false">IF(ISBLANK(B520),"",B520&amp;"|"&amp;C520)</f>
        <v/>
      </c>
      <c r="B520" s="138"/>
      <c r="C520" s="138"/>
      <c r="D520" s="138"/>
      <c r="E520" s="143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customFormat="false" ht="15.75" hidden="false" customHeight="false" outlineLevel="0" collapsed="false">
      <c r="A521" s="138" t="str">
        <f aca="false">IF(ISBLANK(B521),"",B521&amp;"|"&amp;C521)</f>
        <v/>
      </c>
      <c r="B521" s="138"/>
      <c r="C521" s="138"/>
      <c r="D521" s="138"/>
      <c r="E521" s="143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customFormat="false" ht="15.75" hidden="false" customHeight="false" outlineLevel="0" collapsed="false">
      <c r="A522" s="138" t="str">
        <f aca="false">IF(ISBLANK(B522),"",B522&amp;"|"&amp;C522)</f>
        <v/>
      </c>
      <c r="B522" s="138"/>
      <c r="C522" s="138"/>
      <c r="D522" s="138"/>
      <c r="E522" s="143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customFormat="false" ht="15.75" hidden="false" customHeight="false" outlineLevel="0" collapsed="false">
      <c r="A523" s="138" t="str">
        <f aca="false">IF(ISBLANK(B523),"",B523&amp;"|"&amp;C523)</f>
        <v/>
      </c>
      <c r="B523" s="138"/>
      <c r="C523" s="138"/>
      <c r="D523" s="138"/>
      <c r="E523" s="143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customFormat="false" ht="15.75" hidden="false" customHeight="false" outlineLevel="0" collapsed="false">
      <c r="A524" s="138" t="str">
        <f aca="false">IF(ISBLANK(B524),"",B524&amp;"|"&amp;C524)</f>
        <v/>
      </c>
      <c r="B524" s="138"/>
      <c r="C524" s="138"/>
      <c r="D524" s="138"/>
      <c r="E524" s="143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customFormat="false" ht="15.75" hidden="false" customHeight="false" outlineLevel="0" collapsed="false">
      <c r="A525" s="138" t="str">
        <f aca="false">IF(ISBLANK(B525),"",B525&amp;"|"&amp;C525)</f>
        <v/>
      </c>
      <c r="B525" s="138"/>
      <c r="C525" s="138"/>
      <c r="D525" s="138"/>
      <c r="E525" s="143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customFormat="false" ht="15.75" hidden="false" customHeight="false" outlineLevel="0" collapsed="false">
      <c r="A526" s="138" t="str">
        <f aca="false">IF(ISBLANK(B526),"",B526&amp;"|"&amp;C526)</f>
        <v/>
      </c>
      <c r="B526" s="138"/>
      <c r="C526" s="138"/>
      <c r="D526" s="138"/>
      <c r="E526" s="143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customFormat="false" ht="15.75" hidden="false" customHeight="false" outlineLevel="0" collapsed="false">
      <c r="A527" s="138" t="str">
        <f aca="false">IF(ISBLANK(B527),"",B527&amp;"|"&amp;C527)</f>
        <v/>
      </c>
      <c r="B527" s="138"/>
      <c r="C527" s="138"/>
      <c r="D527" s="138"/>
      <c r="E527" s="143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customFormat="false" ht="15.75" hidden="false" customHeight="false" outlineLevel="0" collapsed="false">
      <c r="A528" s="138" t="str">
        <f aca="false">IF(ISBLANK(B528),"",B528&amp;"|"&amp;C528)</f>
        <v/>
      </c>
      <c r="B528" s="138"/>
      <c r="C528" s="138"/>
      <c r="D528" s="138"/>
      <c r="E528" s="143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customFormat="false" ht="15.75" hidden="false" customHeight="false" outlineLevel="0" collapsed="false">
      <c r="A529" s="138" t="str">
        <f aca="false">IF(ISBLANK(B529),"",B529&amp;"|"&amp;C529)</f>
        <v/>
      </c>
      <c r="B529" s="138"/>
      <c r="C529" s="138"/>
      <c r="D529" s="138"/>
      <c r="E529" s="143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customFormat="false" ht="15.75" hidden="false" customHeight="false" outlineLevel="0" collapsed="false">
      <c r="A530" s="138" t="str">
        <f aca="false">IF(ISBLANK(B530),"",B530&amp;"|"&amp;C530)</f>
        <v/>
      </c>
      <c r="B530" s="138"/>
      <c r="C530" s="138"/>
      <c r="D530" s="138"/>
      <c r="E530" s="143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customFormat="false" ht="15.75" hidden="false" customHeight="false" outlineLevel="0" collapsed="false">
      <c r="A531" s="138" t="str">
        <f aca="false">IF(ISBLANK(B531),"",B531&amp;"|"&amp;C531)</f>
        <v/>
      </c>
      <c r="B531" s="138"/>
      <c r="C531" s="138"/>
      <c r="D531" s="138"/>
      <c r="E531" s="143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customFormat="false" ht="15.75" hidden="false" customHeight="false" outlineLevel="0" collapsed="false">
      <c r="A532" s="138" t="str">
        <f aca="false">IF(ISBLANK(B532),"",B532&amp;"|"&amp;C532)</f>
        <v/>
      </c>
      <c r="B532" s="138"/>
      <c r="C532" s="138"/>
      <c r="D532" s="138"/>
      <c r="E532" s="143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customFormat="false" ht="15.75" hidden="false" customHeight="false" outlineLevel="0" collapsed="false">
      <c r="A533" s="138" t="str">
        <f aca="false">IF(ISBLANK(B533),"",B533&amp;"|"&amp;C533)</f>
        <v/>
      </c>
      <c r="B533" s="138"/>
      <c r="C533" s="138"/>
      <c r="D533" s="138"/>
      <c r="E533" s="143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customFormat="false" ht="15.75" hidden="false" customHeight="false" outlineLevel="0" collapsed="false">
      <c r="A534" s="138" t="str">
        <f aca="false">IF(ISBLANK(B534),"",B534&amp;"|"&amp;C534)</f>
        <v/>
      </c>
      <c r="B534" s="138"/>
      <c r="C534" s="138"/>
      <c r="D534" s="138"/>
      <c r="E534" s="143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customFormat="false" ht="15.75" hidden="false" customHeight="false" outlineLevel="0" collapsed="false">
      <c r="A535" s="138" t="str">
        <f aca="false">IF(ISBLANK(B535),"",B535&amp;"|"&amp;C535)</f>
        <v/>
      </c>
      <c r="B535" s="138"/>
      <c r="C535" s="138"/>
      <c r="D535" s="138"/>
      <c r="E535" s="143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customFormat="false" ht="15.75" hidden="false" customHeight="false" outlineLevel="0" collapsed="false">
      <c r="A536" s="138" t="str">
        <f aca="false">IF(ISBLANK(B536),"",B536&amp;"|"&amp;C536)</f>
        <v/>
      </c>
      <c r="B536" s="138"/>
      <c r="C536" s="138"/>
      <c r="D536" s="138"/>
      <c r="E536" s="143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customFormat="false" ht="15.75" hidden="false" customHeight="false" outlineLevel="0" collapsed="false">
      <c r="A537" s="138" t="str">
        <f aca="false">IF(ISBLANK(B537),"",B537&amp;"|"&amp;C537)</f>
        <v/>
      </c>
      <c r="B537" s="138"/>
      <c r="C537" s="138"/>
      <c r="D537" s="138"/>
      <c r="E537" s="143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customFormat="false" ht="15.75" hidden="false" customHeight="false" outlineLevel="0" collapsed="false">
      <c r="A538" s="138" t="str">
        <f aca="false">IF(ISBLANK(B538),"",B538&amp;"|"&amp;C538)</f>
        <v/>
      </c>
      <c r="B538" s="138"/>
      <c r="C538" s="138"/>
      <c r="D538" s="138"/>
      <c r="E538" s="143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customFormat="false" ht="15.75" hidden="false" customHeight="false" outlineLevel="0" collapsed="false">
      <c r="A539" s="138" t="str">
        <f aca="false">IF(ISBLANK(B539),"",B539&amp;"|"&amp;C539)</f>
        <v/>
      </c>
      <c r="B539" s="138"/>
      <c r="C539" s="138"/>
      <c r="D539" s="138"/>
      <c r="E539" s="143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customFormat="false" ht="15.75" hidden="false" customHeight="false" outlineLevel="0" collapsed="false">
      <c r="A540" s="138" t="str">
        <f aca="false">IF(ISBLANK(B540),"",B540&amp;"|"&amp;C540)</f>
        <v/>
      </c>
      <c r="B540" s="138"/>
      <c r="C540" s="138"/>
      <c r="D540" s="138"/>
      <c r="E540" s="143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customFormat="false" ht="15.75" hidden="false" customHeight="false" outlineLevel="0" collapsed="false">
      <c r="A541" s="138" t="str">
        <f aca="false">IF(ISBLANK(B541),"",B541&amp;"|"&amp;C541)</f>
        <v/>
      </c>
      <c r="B541" s="138"/>
      <c r="C541" s="138"/>
      <c r="D541" s="138"/>
      <c r="E541" s="143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customFormat="false" ht="15.75" hidden="false" customHeight="false" outlineLevel="0" collapsed="false">
      <c r="A542" s="138" t="str">
        <f aca="false">IF(ISBLANK(B542),"",B542&amp;"|"&amp;C542)</f>
        <v/>
      </c>
      <c r="B542" s="138"/>
      <c r="C542" s="138"/>
      <c r="D542" s="138"/>
      <c r="E542" s="143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customFormat="false" ht="15.75" hidden="false" customHeight="false" outlineLevel="0" collapsed="false">
      <c r="A543" s="138" t="str">
        <f aca="false">IF(ISBLANK(B543),"",B543&amp;"|"&amp;C543)</f>
        <v/>
      </c>
      <c r="B543" s="138"/>
      <c r="C543" s="138"/>
      <c r="D543" s="138"/>
      <c r="E543" s="143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customFormat="false" ht="15.75" hidden="false" customHeight="false" outlineLevel="0" collapsed="false">
      <c r="A544" s="138" t="str">
        <f aca="false">IF(ISBLANK(B544),"",B544&amp;"|"&amp;C544)</f>
        <v/>
      </c>
      <c r="B544" s="138"/>
      <c r="C544" s="138"/>
      <c r="D544" s="138"/>
      <c r="E544" s="143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customFormat="false" ht="15.75" hidden="false" customHeight="false" outlineLevel="0" collapsed="false">
      <c r="A545" s="138" t="str">
        <f aca="false">IF(ISBLANK(B545),"",B545&amp;"|"&amp;C545)</f>
        <v/>
      </c>
      <c r="B545" s="138"/>
      <c r="C545" s="138"/>
      <c r="D545" s="138"/>
      <c r="E545" s="143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customFormat="false" ht="15.75" hidden="false" customHeight="false" outlineLevel="0" collapsed="false">
      <c r="A546" s="138" t="str">
        <f aca="false">IF(ISBLANK(B546),"",B546&amp;"|"&amp;C546)</f>
        <v/>
      </c>
      <c r="B546" s="138"/>
      <c r="C546" s="138"/>
      <c r="D546" s="138"/>
      <c r="E546" s="143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customFormat="false" ht="15.75" hidden="false" customHeight="false" outlineLevel="0" collapsed="false">
      <c r="A547" s="138" t="str">
        <f aca="false">IF(ISBLANK(B547),"",B547&amp;"|"&amp;C547)</f>
        <v/>
      </c>
      <c r="B547" s="138"/>
      <c r="C547" s="138"/>
      <c r="D547" s="138"/>
      <c r="E547" s="143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customFormat="false" ht="15.75" hidden="false" customHeight="false" outlineLevel="0" collapsed="false">
      <c r="A548" s="138" t="str">
        <f aca="false">IF(ISBLANK(B548),"",B548&amp;"|"&amp;C548)</f>
        <v/>
      </c>
      <c r="B548" s="138"/>
      <c r="C548" s="138"/>
      <c r="D548" s="138"/>
      <c r="E548" s="143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customFormat="false" ht="15.75" hidden="false" customHeight="false" outlineLevel="0" collapsed="false">
      <c r="A549" s="138" t="str">
        <f aca="false">IF(ISBLANK(B549),"",B549&amp;"|"&amp;C549)</f>
        <v/>
      </c>
      <c r="B549" s="138"/>
      <c r="C549" s="138"/>
      <c r="D549" s="138"/>
      <c r="E549" s="143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customFormat="false" ht="15.75" hidden="false" customHeight="false" outlineLevel="0" collapsed="false">
      <c r="A550" s="138" t="str">
        <f aca="false">IF(ISBLANK(B550),"",B550&amp;"|"&amp;C550)</f>
        <v/>
      </c>
      <c r="B550" s="138"/>
      <c r="C550" s="138"/>
      <c r="D550" s="138"/>
      <c r="E550" s="143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customFormat="false" ht="15.75" hidden="false" customHeight="false" outlineLevel="0" collapsed="false">
      <c r="A551" s="138" t="str">
        <f aca="false">IF(ISBLANK(B551),"",B551&amp;"|"&amp;C551)</f>
        <v/>
      </c>
      <c r="B551" s="138"/>
      <c r="C551" s="138"/>
      <c r="D551" s="138"/>
      <c r="E551" s="143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customFormat="false" ht="15.75" hidden="false" customHeight="false" outlineLevel="0" collapsed="false">
      <c r="A552" s="138" t="str">
        <f aca="false">IF(ISBLANK(B552),"",B552&amp;"|"&amp;C552)</f>
        <v/>
      </c>
      <c r="B552" s="138"/>
      <c r="C552" s="138"/>
      <c r="D552" s="138"/>
      <c r="E552" s="143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customFormat="false" ht="15.75" hidden="false" customHeight="false" outlineLevel="0" collapsed="false">
      <c r="A553" s="138" t="str">
        <f aca="false">IF(ISBLANK(B553),"",B553&amp;"|"&amp;C553)</f>
        <v/>
      </c>
      <c r="B553" s="138"/>
      <c r="C553" s="138"/>
      <c r="D553" s="138"/>
      <c r="E553" s="143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customFormat="false" ht="15.75" hidden="false" customHeight="false" outlineLevel="0" collapsed="false">
      <c r="A554" s="138" t="str">
        <f aca="false">IF(ISBLANK(B554),"",B554&amp;"|"&amp;C554)</f>
        <v/>
      </c>
      <c r="B554" s="138"/>
      <c r="C554" s="138"/>
      <c r="D554" s="138"/>
      <c r="E554" s="143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customFormat="false" ht="15.75" hidden="false" customHeight="false" outlineLevel="0" collapsed="false">
      <c r="A555" s="138" t="str">
        <f aca="false">IF(ISBLANK(B555),"",B555&amp;"|"&amp;C555)</f>
        <v/>
      </c>
      <c r="B555" s="138"/>
      <c r="C555" s="138"/>
      <c r="D555" s="138"/>
      <c r="E555" s="143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customFormat="false" ht="15.75" hidden="false" customHeight="false" outlineLevel="0" collapsed="false">
      <c r="A556" s="138" t="str">
        <f aca="false">IF(ISBLANK(B556),"",B556&amp;"|"&amp;C556)</f>
        <v/>
      </c>
      <c r="B556" s="138"/>
      <c r="C556" s="138"/>
      <c r="D556" s="138"/>
      <c r="E556" s="143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customFormat="false" ht="15.75" hidden="false" customHeight="false" outlineLevel="0" collapsed="false">
      <c r="A557" s="138" t="str">
        <f aca="false">IF(ISBLANK(B557),"",B557&amp;"|"&amp;C557)</f>
        <v/>
      </c>
      <c r="B557" s="138"/>
      <c r="C557" s="138"/>
      <c r="D557" s="138"/>
      <c r="E557" s="143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customFormat="false" ht="15.75" hidden="false" customHeight="false" outlineLevel="0" collapsed="false">
      <c r="A558" s="138" t="str">
        <f aca="false">IF(ISBLANK(B558),"",B558&amp;"|"&amp;C558)</f>
        <v/>
      </c>
      <c r="B558" s="138"/>
      <c r="C558" s="138"/>
      <c r="D558" s="138"/>
      <c r="E558" s="143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customFormat="false" ht="15.75" hidden="false" customHeight="false" outlineLevel="0" collapsed="false">
      <c r="A559" s="138" t="str">
        <f aca="false">IF(ISBLANK(B559),"",B559&amp;"|"&amp;C559)</f>
        <v/>
      </c>
      <c r="B559" s="138"/>
      <c r="C559" s="138"/>
      <c r="D559" s="138"/>
      <c r="E559" s="143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customFormat="false" ht="15.75" hidden="false" customHeight="false" outlineLevel="0" collapsed="false">
      <c r="A560" s="138" t="str">
        <f aca="false">IF(ISBLANK(B560),"",B560&amp;"|"&amp;C560)</f>
        <v/>
      </c>
      <c r="B560" s="138"/>
      <c r="C560" s="138"/>
      <c r="D560" s="138"/>
      <c r="E560" s="143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customFormat="false" ht="15.75" hidden="false" customHeight="false" outlineLevel="0" collapsed="false">
      <c r="A561" s="138" t="str">
        <f aca="false">IF(ISBLANK(B561),"",B561&amp;"|"&amp;C561)</f>
        <v/>
      </c>
      <c r="B561" s="138"/>
      <c r="C561" s="138"/>
      <c r="D561" s="138"/>
      <c r="E561" s="143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customFormat="false" ht="15.75" hidden="false" customHeight="false" outlineLevel="0" collapsed="false">
      <c r="A562" s="138" t="str">
        <f aca="false">IF(ISBLANK(B562),"",B562&amp;"|"&amp;C562)</f>
        <v/>
      </c>
      <c r="B562" s="138"/>
      <c r="C562" s="138"/>
      <c r="D562" s="138"/>
      <c r="E562" s="143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customFormat="false" ht="15.75" hidden="false" customHeight="false" outlineLevel="0" collapsed="false">
      <c r="A563" s="138" t="str">
        <f aca="false">IF(ISBLANK(B563),"",B563&amp;"|"&amp;C563)</f>
        <v/>
      </c>
      <c r="B563" s="138"/>
      <c r="C563" s="138"/>
      <c r="D563" s="138"/>
      <c r="E563" s="143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customFormat="false" ht="15.75" hidden="false" customHeight="false" outlineLevel="0" collapsed="false">
      <c r="A564" s="138" t="str">
        <f aca="false">IF(ISBLANK(B564),"",B564&amp;"|"&amp;C564)</f>
        <v/>
      </c>
      <c r="B564" s="138"/>
      <c r="C564" s="138"/>
      <c r="D564" s="138"/>
      <c r="E564" s="143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customFormat="false" ht="15.75" hidden="false" customHeight="false" outlineLevel="0" collapsed="false">
      <c r="A565" s="138" t="str">
        <f aca="false">IF(ISBLANK(B565),"",B565&amp;"|"&amp;C565)</f>
        <v/>
      </c>
      <c r="B565" s="138"/>
      <c r="C565" s="138"/>
      <c r="D565" s="138"/>
      <c r="E565" s="143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customFormat="false" ht="15.75" hidden="false" customHeight="false" outlineLevel="0" collapsed="false">
      <c r="A566" s="138" t="str">
        <f aca="false">IF(ISBLANK(B566),"",B566&amp;"|"&amp;C566)</f>
        <v/>
      </c>
      <c r="B566" s="138"/>
      <c r="C566" s="138"/>
      <c r="D566" s="138"/>
      <c r="E566" s="143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customFormat="false" ht="15.75" hidden="false" customHeight="false" outlineLevel="0" collapsed="false">
      <c r="A567" s="138" t="str">
        <f aca="false">IF(ISBLANK(B567),"",B567&amp;"|"&amp;C567)</f>
        <v/>
      </c>
      <c r="B567" s="138"/>
      <c r="C567" s="138"/>
      <c r="D567" s="138"/>
      <c r="E567" s="143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customFormat="false" ht="15.75" hidden="false" customHeight="false" outlineLevel="0" collapsed="false">
      <c r="A568" s="138" t="str">
        <f aca="false">IF(ISBLANK(B568),"",B568&amp;"|"&amp;C568)</f>
        <v/>
      </c>
      <c r="B568" s="138"/>
      <c r="C568" s="138"/>
      <c r="D568" s="138"/>
      <c r="E568" s="143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customFormat="false" ht="15.75" hidden="false" customHeight="false" outlineLevel="0" collapsed="false">
      <c r="A569" s="138" t="str">
        <f aca="false">IF(ISBLANK(B569),"",B569&amp;"|"&amp;C569)</f>
        <v/>
      </c>
      <c r="B569" s="138"/>
      <c r="C569" s="138"/>
      <c r="D569" s="138"/>
      <c r="E569" s="143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customFormat="false" ht="15.75" hidden="false" customHeight="false" outlineLevel="0" collapsed="false">
      <c r="A570" s="138" t="str">
        <f aca="false">IF(ISBLANK(B570),"",B570&amp;"|"&amp;C570)</f>
        <v/>
      </c>
      <c r="B570" s="138"/>
      <c r="C570" s="138"/>
      <c r="D570" s="138"/>
      <c r="E570" s="143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customFormat="false" ht="15.75" hidden="false" customHeight="false" outlineLevel="0" collapsed="false">
      <c r="A571" s="138" t="str">
        <f aca="false">IF(ISBLANK(B571),"",B571&amp;"|"&amp;C571)</f>
        <v/>
      </c>
      <c r="B571" s="138"/>
      <c r="C571" s="138"/>
      <c r="D571" s="138"/>
      <c r="E571" s="143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customFormat="false" ht="15.75" hidden="false" customHeight="false" outlineLevel="0" collapsed="false">
      <c r="A572" s="138" t="str">
        <f aca="false">IF(ISBLANK(B572),"",B572&amp;"|"&amp;C572)</f>
        <v/>
      </c>
      <c r="B572" s="138"/>
      <c r="C572" s="138"/>
      <c r="D572" s="138"/>
      <c r="E572" s="143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customFormat="false" ht="15.75" hidden="false" customHeight="false" outlineLevel="0" collapsed="false">
      <c r="A573" s="138" t="str">
        <f aca="false">IF(ISBLANK(B573),"",B573&amp;"|"&amp;C573)</f>
        <v/>
      </c>
      <c r="B573" s="138"/>
      <c r="C573" s="138"/>
      <c r="D573" s="138"/>
      <c r="E573" s="143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customFormat="false" ht="15.75" hidden="false" customHeight="false" outlineLevel="0" collapsed="false">
      <c r="A574" s="138" t="str">
        <f aca="false">IF(ISBLANK(B574),"",B574&amp;"|"&amp;C574)</f>
        <v/>
      </c>
      <c r="B574" s="138"/>
      <c r="C574" s="138"/>
      <c r="D574" s="138"/>
      <c r="E574" s="143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customFormat="false" ht="15.75" hidden="false" customHeight="false" outlineLevel="0" collapsed="false">
      <c r="A575" s="138" t="str">
        <f aca="false">IF(ISBLANK(B575),"",B575&amp;"|"&amp;C575)</f>
        <v/>
      </c>
      <c r="B575" s="138"/>
      <c r="C575" s="138"/>
      <c r="D575" s="138"/>
      <c r="E575" s="143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customFormat="false" ht="15.75" hidden="false" customHeight="false" outlineLevel="0" collapsed="false">
      <c r="A576" s="138" t="str">
        <f aca="false">IF(ISBLANK(B576),"",B576&amp;"|"&amp;C576)</f>
        <v/>
      </c>
      <c r="B576" s="138"/>
      <c r="C576" s="138"/>
      <c r="D576" s="138"/>
      <c r="E576" s="143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customFormat="false" ht="15.75" hidden="false" customHeight="false" outlineLevel="0" collapsed="false">
      <c r="A577" s="138" t="str">
        <f aca="false">IF(ISBLANK(B577),"",B577&amp;"|"&amp;C577)</f>
        <v/>
      </c>
      <c r="B577" s="138"/>
      <c r="C577" s="138"/>
      <c r="D577" s="138"/>
      <c r="E577" s="143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customFormat="false" ht="15.75" hidden="false" customHeight="false" outlineLevel="0" collapsed="false">
      <c r="A578" s="138" t="str">
        <f aca="false">IF(ISBLANK(B578),"",B578&amp;"|"&amp;C578)</f>
        <v/>
      </c>
      <c r="B578" s="138"/>
      <c r="C578" s="138"/>
      <c r="D578" s="138"/>
      <c r="E578" s="143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customFormat="false" ht="15.75" hidden="false" customHeight="false" outlineLevel="0" collapsed="false">
      <c r="A579" s="138" t="str">
        <f aca="false">IF(ISBLANK(B579),"",B579&amp;"|"&amp;C579)</f>
        <v/>
      </c>
      <c r="B579" s="138"/>
      <c r="C579" s="138"/>
      <c r="D579" s="138"/>
      <c r="E579" s="143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customFormat="false" ht="15.75" hidden="false" customHeight="false" outlineLevel="0" collapsed="false">
      <c r="A580" s="138" t="str">
        <f aca="false">IF(ISBLANK(B580),"",B580&amp;"|"&amp;C580)</f>
        <v/>
      </c>
      <c r="B580" s="138"/>
      <c r="C580" s="138"/>
      <c r="D580" s="138"/>
      <c r="E580" s="143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customFormat="false" ht="15.75" hidden="false" customHeight="false" outlineLevel="0" collapsed="false">
      <c r="A581" s="138" t="str">
        <f aca="false">IF(ISBLANK(B581),"",B581&amp;"|"&amp;C581)</f>
        <v/>
      </c>
      <c r="B581" s="138"/>
      <c r="C581" s="138"/>
      <c r="D581" s="138"/>
      <c r="E581" s="143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customFormat="false" ht="15.75" hidden="false" customHeight="false" outlineLevel="0" collapsed="false">
      <c r="A582" s="138" t="str">
        <f aca="false">IF(ISBLANK(B582),"",B582&amp;"|"&amp;C582)</f>
        <v/>
      </c>
      <c r="B582" s="138"/>
      <c r="C582" s="138"/>
      <c r="D582" s="138"/>
      <c r="E582" s="143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customFormat="false" ht="15.75" hidden="false" customHeight="false" outlineLevel="0" collapsed="false">
      <c r="A583" s="138" t="str">
        <f aca="false">IF(ISBLANK(B583),"",B583&amp;"|"&amp;C583)</f>
        <v/>
      </c>
      <c r="B583" s="138"/>
      <c r="C583" s="138"/>
      <c r="D583" s="138"/>
      <c r="E583" s="143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customFormat="false" ht="15.75" hidden="false" customHeight="false" outlineLevel="0" collapsed="false">
      <c r="A584" s="138" t="str">
        <f aca="false">IF(ISBLANK(B584),"",B584&amp;"|"&amp;C584)</f>
        <v/>
      </c>
      <c r="B584" s="138"/>
      <c r="C584" s="138"/>
      <c r="D584" s="138"/>
      <c r="E584" s="143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customFormat="false" ht="15.75" hidden="false" customHeight="false" outlineLevel="0" collapsed="false">
      <c r="A585" s="138" t="str">
        <f aca="false">IF(ISBLANK(B585),"",B585&amp;"|"&amp;C585)</f>
        <v/>
      </c>
      <c r="B585" s="138"/>
      <c r="C585" s="138"/>
      <c r="D585" s="138"/>
      <c r="E585" s="143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customFormat="false" ht="15.75" hidden="false" customHeight="false" outlineLevel="0" collapsed="false">
      <c r="A586" s="138" t="str">
        <f aca="false">IF(ISBLANK(B586),"",B586&amp;"|"&amp;C586)</f>
        <v/>
      </c>
      <c r="B586" s="138"/>
      <c r="C586" s="138"/>
      <c r="D586" s="138"/>
      <c r="E586" s="143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customFormat="false" ht="15.75" hidden="false" customHeight="false" outlineLevel="0" collapsed="false">
      <c r="A587" s="138" t="str">
        <f aca="false">IF(ISBLANK(B587),"",B587&amp;"|"&amp;C587)</f>
        <v/>
      </c>
      <c r="B587" s="138"/>
      <c r="C587" s="138"/>
      <c r="D587" s="138"/>
      <c r="E587" s="143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customFormat="false" ht="15.75" hidden="false" customHeight="false" outlineLevel="0" collapsed="false">
      <c r="A588" s="138" t="str">
        <f aca="false">IF(ISBLANK(B588),"",B588&amp;"|"&amp;C588)</f>
        <v/>
      </c>
      <c r="B588" s="138"/>
      <c r="C588" s="138"/>
      <c r="D588" s="138"/>
      <c r="E588" s="143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customFormat="false" ht="15.75" hidden="false" customHeight="false" outlineLevel="0" collapsed="false">
      <c r="A589" s="138" t="str">
        <f aca="false">IF(ISBLANK(B589),"",B589&amp;"|"&amp;C589)</f>
        <v/>
      </c>
      <c r="B589" s="138"/>
      <c r="C589" s="138"/>
      <c r="D589" s="138"/>
      <c r="E589" s="143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customFormat="false" ht="15.75" hidden="false" customHeight="false" outlineLevel="0" collapsed="false">
      <c r="A590" s="138" t="str">
        <f aca="false">IF(ISBLANK(B590),"",B590&amp;"|"&amp;C590)</f>
        <v/>
      </c>
      <c r="B590" s="138"/>
      <c r="C590" s="138"/>
      <c r="D590" s="138"/>
      <c r="E590" s="143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customFormat="false" ht="15.75" hidden="false" customHeight="false" outlineLevel="0" collapsed="false">
      <c r="A591" s="138" t="str">
        <f aca="false">IF(ISBLANK(B591),"",B591&amp;"|"&amp;C591)</f>
        <v/>
      </c>
      <c r="B591" s="138"/>
      <c r="C591" s="138"/>
      <c r="D591" s="138"/>
      <c r="E591" s="143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customFormat="false" ht="15.75" hidden="false" customHeight="false" outlineLevel="0" collapsed="false">
      <c r="A592" s="138" t="str">
        <f aca="false">IF(ISBLANK(B592),"",B592&amp;"|"&amp;C592)</f>
        <v/>
      </c>
      <c r="B592" s="138"/>
      <c r="C592" s="138"/>
      <c r="D592" s="138"/>
      <c r="E592" s="143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customFormat="false" ht="15.75" hidden="false" customHeight="false" outlineLevel="0" collapsed="false">
      <c r="A593" s="138" t="str">
        <f aca="false">IF(ISBLANK(B593),"",B593&amp;"|"&amp;C593)</f>
        <v/>
      </c>
      <c r="B593" s="138"/>
      <c r="C593" s="138"/>
      <c r="D593" s="138"/>
      <c r="E593" s="143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customFormat="false" ht="15.75" hidden="false" customHeight="false" outlineLevel="0" collapsed="false">
      <c r="A594" s="138" t="str">
        <f aca="false">IF(ISBLANK(B594),"",B594&amp;"|"&amp;C594)</f>
        <v/>
      </c>
      <c r="B594" s="138"/>
      <c r="C594" s="138"/>
      <c r="D594" s="138"/>
      <c r="E594" s="143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customFormat="false" ht="15.75" hidden="false" customHeight="false" outlineLevel="0" collapsed="false">
      <c r="A595" s="138" t="str">
        <f aca="false">IF(ISBLANK(B595),"",B595&amp;"|"&amp;C595)</f>
        <v/>
      </c>
      <c r="B595" s="138"/>
      <c r="C595" s="138"/>
      <c r="D595" s="138"/>
      <c r="E595" s="143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customFormat="false" ht="15.75" hidden="false" customHeight="false" outlineLevel="0" collapsed="false">
      <c r="A596" s="138" t="str">
        <f aca="false">IF(ISBLANK(B596),"",B596&amp;"|"&amp;C596)</f>
        <v/>
      </c>
      <c r="B596" s="138"/>
      <c r="C596" s="138"/>
      <c r="D596" s="138"/>
      <c r="E596" s="143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customFormat="false" ht="15.75" hidden="false" customHeight="false" outlineLevel="0" collapsed="false">
      <c r="A597" s="138" t="str">
        <f aca="false">IF(ISBLANK(B597),"",B597&amp;"|"&amp;C597)</f>
        <v/>
      </c>
      <c r="B597" s="138"/>
      <c r="C597" s="138"/>
      <c r="D597" s="138"/>
      <c r="E597" s="143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customFormat="false" ht="15.75" hidden="false" customHeight="false" outlineLevel="0" collapsed="false">
      <c r="A598" s="138" t="str">
        <f aca="false">IF(ISBLANK(B598),"",B598&amp;"|"&amp;C598)</f>
        <v/>
      </c>
      <c r="B598" s="138"/>
      <c r="C598" s="138"/>
      <c r="D598" s="138"/>
      <c r="E598" s="143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customFormat="false" ht="15.75" hidden="false" customHeight="false" outlineLevel="0" collapsed="false">
      <c r="A599" s="138" t="str">
        <f aca="false">IF(ISBLANK(B599),"",B599&amp;"|"&amp;C599)</f>
        <v/>
      </c>
      <c r="B599" s="138"/>
      <c r="C599" s="138"/>
      <c r="D599" s="138"/>
      <c r="E599" s="143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customFormat="false" ht="15.75" hidden="false" customHeight="false" outlineLevel="0" collapsed="false">
      <c r="A600" s="138" t="str">
        <f aca="false">IF(ISBLANK(B600),"",B600&amp;"|"&amp;C600)</f>
        <v/>
      </c>
      <c r="B600" s="138"/>
      <c r="C600" s="138"/>
      <c r="D600" s="138"/>
      <c r="E600" s="143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customFormat="false" ht="15.75" hidden="false" customHeight="false" outlineLevel="0" collapsed="false">
      <c r="A601" s="138" t="str">
        <f aca="false">IF(ISBLANK(B601),"",B601&amp;"|"&amp;C601)</f>
        <v/>
      </c>
      <c r="B601" s="138"/>
      <c r="C601" s="138"/>
      <c r="D601" s="138"/>
      <c r="E601" s="143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customFormat="false" ht="15.75" hidden="false" customHeight="false" outlineLevel="0" collapsed="false">
      <c r="A602" s="138" t="str">
        <f aca="false">IF(ISBLANK(B602),"",B602&amp;"|"&amp;C602)</f>
        <v/>
      </c>
      <c r="B602" s="138"/>
      <c r="C602" s="138"/>
      <c r="D602" s="138"/>
      <c r="E602" s="143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customFormat="false" ht="15.75" hidden="false" customHeight="false" outlineLevel="0" collapsed="false">
      <c r="A603" s="138" t="str">
        <f aca="false">IF(ISBLANK(B603),"",B603&amp;"|"&amp;C603)</f>
        <v/>
      </c>
      <c r="B603" s="138"/>
      <c r="C603" s="138"/>
      <c r="D603" s="138"/>
      <c r="E603" s="143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customFormat="false" ht="15.75" hidden="false" customHeight="false" outlineLevel="0" collapsed="false">
      <c r="A604" s="138" t="str">
        <f aca="false">IF(ISBLANK(B604),"",B604&amp;"|"&amp;C604)</f>
        <v/>
      </c>
      <c r="B604" s="138"/>
      <c r="C604" s="138"/>
      <c r="D604" s="138"/>
      <c r="E604" s="143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customFormat="false" ht="15.75" hidden="false" customHeight="false" outlineLevel="0" collapsed="false">
      <c r="A605" s="138" t="str">
        <f aca="false">IF(ISBLANK(B605),"",B605&amp;"|"&amp;C605)</f>
        <v/>
      </c>
      <c r="B605" s="138"/>
      <c r="C605" s="138"/>
      <c r="D605" s="138"/>
      <c r="E605" s="143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customFormat="false" ht="15.75" hidden="false" customHeight="false" outlineLevel="0" collapsed="false">
      <c r="A606" s="138" t="str">
        <f aca="false">IF(ISBLANK(B606),"",B606&amp;"|"&amp;C606)</f>
        <v/>
      </c>
      <c r="B606" s="138"/>
      <c r="C606" s="138"/>
      <c r="D606" s="138"/>
      <c r="E606" s="143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customFormat="false" ht="15.75" hidden="false" customHeight="false" outlineLevel="0" collapsed="false">
      <c r="A607" s="138" t="str">
        <f aca="false">IF(ISBLANK(B607),"",B607&amp;"|"&amp;C607)</f>
        <v/>
      </c>
      <c r="B607" s="138"/>
      <c r="C607" s="138"/>
      <c r="D607" s="138"/>
      <c r="E607" s="143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customFormat="false" ht="15.75" hidden="false" customHeight="false" outlineLevel="0" collapsed="false">
      <c r="A608" s="138" t="str">
        <f aca="false">IF(ISBLANK(B608),"",B608&amp;"|"&amp;C608)</f>
        <v/>
      </c>
      <c r="B608" s="138"/>
      <c r="C608" s="138"/>
      <c r="D608" s="138"/>
      <c r="E608" s="143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customFormat="false" ht="15.75" hidden="false" customHeight="false" outlineLevel="0" collapsed="false">
      <c r="A609" s="138" t="str">
        <f aca="false">IF(ISBLANK(B609),"",B609&amp;"|"&amp;C609)</f>
        <v/>
      </c>
      <c r="B609" s="138"/>
      <c r="C609" s="138"/>
      <c r="D609" s="138"/>
      <c r="E609" s="143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customFormat="false" ht="15.75" hidden="false" customHeight="false" outlineLevel="0" collapsed="false">
      <c r="A610" s="138" t="str">
        <f aca="false">IF(ISBLANK(B610),"",B610&amp;"|"&amp;C610)</f>
        <v/>
      </c>
      <c r="B610" s="138"/>
      <c r="C610" s="138"/>
      <c r="D610" s="138"/>
      <c r="E610" s="143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customFormat="false" ht="15.75" hidden="false" customHeight="false" outlineLevel="0" collapsed="false">
      <c r="A611" s="138" t="str">
        <f aca="false">IF(ISBLANK(B611),"",B611&amp;"|"&amp;C611)</f>
        <v/>
      </c>
      <c r="B611" s="138"/>
      <c r="C611" s="138"/>
      <c r="D611" s="138"/>
      <c r="E611" s="143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customFormat="false" ht="15.75" hidden="false" customHeight="false" outlineLevel="0" collapsed="false">
      <c r="A612" s="138" t="str">
        <f aca="false">IF(ISBLANK(B612),"",B612&amp;"|"&amp;C612)</f>
        <v/>
      </c>
      <c r="B612" s="138"/>
      <c r="C612" s="138"/>
      <c r="D612" s="138"/>
      <c r="E612" s="143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customFormat="false" ht="15.75" hidden="false" customHeight="false" outlineLevel="0" collapsed="false">
      <c r="A613" s="138" t="str">
        <f aca="false">IF(ISBLANK(B613),"",B613&amp;"|"&amp;C613)</f>
        <v/>
      </c>
      <c r="B613" s="138"/>
      <c r="C613" s="138"/>
      <c r="D613" s="138"/>
      <c r="E613" s="143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customFormat="false" ht="15.75" hidden="false" customHeight="false" outlineLevel="0" collapsed="false">
      <c r="A614" s="138" t="str">
        <f aca="false">IF(ISBLANK(B614),"",B614&amp;"|"&amp;C614)</f>
        <v/>
      </c>
      <c r="B614" s="138"/>
      <c r="C614" s="138"/>
      <c r="D614" s="138"/>
      <c r="E614" s="143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customFormat="false" ht="15.75" hidden="false" customHeight="false" outlineLevel="0" collapsed="false">
      <c r="A615" s="138" t="str">
        <f aca="false">IF(ISBLANK(B615),"",B615&amp;"|"&amp;C615)</f>
        <v/>
      </c>
      <c r="B615" s="138"/>
      <c r="C615" s="138"/>
      <c r="D615" s="138"/>
      <c r="E615" s="143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customFormat="false" ht="15.75" hidden="false" customHeight="false" outlineLevel="0" collapsed="false">
      <c r="A616" s="138" t="str">
        <f aca="false">IF(ISBLANK(B616),"",B616&amp;"|"&amp;C616)</f>
        <v/>
      </c>
      <c r="B616" s="138"/>
      <c r="C616" s="138"/>
      <c r="D616" s="138"/>
      <c r="E616" s="143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customFormat="false" ht="15.75" hidden="false" customHeight="false" outlineLevel="0" collapsed="false">
      <c r="A617" s="138" t="str">
        <f aca="false">IF(ISBLANK(B617),"",B617&amp;"|"&amp;C617)</f>
        <v/>
      </c>
      <c r="B617" s="138"/>
      <c r="C617" s="138"/>
      <c r="D617" s="138"/>
      <c r="E617" s="143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customFormat="false" ht="15.75" hidden="false" customHeight="false" outlineLevel="0" collapsed="false">
      <c r="A618" s="138" t="str">
        <f aca="false">IF(ISBLANK(B618),"",B618&amp;"|"&amp;C618)</f>
        <v/>
      </c>
      <c r="B618" s="138"/>
      <c r="C618" s="138"/>
      <c r="D618" s="138"/>
      <c r="E618" s="143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customFormat="false" ht="15.75" hidden="false" customHeight="false" outlineLevel="0" collapsed="false">
      <c r="A619" s="138" t="str">
        <f aca="false">IF(ISBLANK(B619),"",B619&amp;"|"&amp;C619)</f>
        <v/>
      </c>
      <c r="B619" s="138"/>
      <c r="C619" s="138"/>
      <c r="D619" s="138"/>
      <c r="E619" s="143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customFormat="false" ht="15.75" hidden="false" customHeight="false" outlineLevel="0" collapsed="false">
      <c r="A620" s="138" t="str">
        <f aca="false">IF(ISBLANK(B620),"",B620&amp;"|"&amp;C620)</f>
        <v/>
      </c>
      <c r="B620" s="138"/>
      <c r="C620" s="138"/>
      <c r="D620" s="138"/>
      <c r="E620" s="143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customFormat="false" ht="15.75" hidden="false" customHeight="false" outlineLevel="0" collapsed="false">
      <c r="A621" s="138" t="str">
        <f aca="false">IF(ISBLANK(B621),"",B621&amp;"|"&amp;C621)</f>
        <v/>
      </c>
      <c r="B621" s="138"/>
      <c r="C621" s="138"/>
      <c r="D621" s="138"/>
      <c r="E621" s="143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customFormat="false" ht="15.75" hidden="false" customHeight="false" outlineLevel="0" collapsed="false">
      <c r="A622" s="138" t="str">
        <f aca="false">IF(ISBLANK(B622),"",B622&amp;"|"&amp;C622)</f>
        <v/>
      </c>
      <c r="B622" s="138"/>
      <c r="C622" s="138"/>
      <c r="D622" s="138"/>
      <c r="E622" s="143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customFormat="false" ht="15.75" hidden="false" customHeight="false" outlineLevel="0" collapsed="false">
      <c r="A623" s="138" t="str">
        <f aca="false">IF(ISBLANK(B623),"",B623&amp;"|"&amp;C623)</f>
        <v/>
      </c>
      <c r="B623" s="138"/>
      <c r="C623" s="138"/>
      <c r="D623" s="138"/>
      <c r="E623" s="143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customFormat="false" ht="15.75" hidden="false" customHeight="false" outlineLevel="0" collapsed="false">
      <c r="A624" s="138" t="str">
        <f aca="false">IF(ISBLANK(B624),"",B624&amp;"|"&amp;C624)</f>
        <v/>
      </c>
      <c r="B624" s="138"/>
      <c r="C624" s="138"/>
      <c r="D624" s="138"/>
      <c r="E624" s="143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customFormat="false" ht="15.75" hidden="false" customHeight="false" outlineLevel="0" collapsed="false">
      <c r="A625" s="138" t="str">
        <f aca="false">IF(ISBLANK(B625),"",B625&amp;"|"&amp;C625)</f>
        <v/>
      </c>
      <c r="B625" s="138"/>
      <c r="C625" s="138"/>
      <c r="D625" s="138"/>
      <c r="E625" s="143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customFormat="false" ht="15.75" hidden="false" customHeight="false" outlineLevel="0" collapsed="false">
      <c r="A626" s="138" t="str">
        <f aca="false">IF(ISBLANK(B626),"",B626&amp;"|"&amp;C626)</f>
        <v/>
      </c>
      <c r="B626" s="138"/>
      <c r="C626" s="138"/>
      <c r="D626" s="138"/>
      <c r="E626" s="143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customFormat="false" ht="15.75" hidden="false" customHeight="false" outlineLevel="0" collapsed="false">
      <c r="A627" s="138" t="str">
        <f aca="false">IF(ISBLANK(B627),"",B627&amp;"|"&amp;C627)</f>
        <v/>
      </c>
      <c r="B627" s="138"/>
      <c r="C627" s="138"/>
      <c r="D627" s="138"/>
      <c r="E627" s="143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customFormat="false" ht="15.75" hidden="false" customHeight="false" outlineLevel="0" collapsed="false">
      <c r="A628" s="138" t="str">
        <f aca="false">IF(ISBLANK(B628),"",B628&amp;"|"&amp;C628)</f>
        <v/>
      </c>
      <c r="B628" s="138"/>
      <c r="C628" s="138"/>
      <c r="D628" s="138"/>
      <c r="E628" s="143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customFormat="false" ht="15.75" hidden="false" customHeight="false" outlineLevel="0" collapsed="false">
      <c r="A629" s="138" t="str">
        <f aca="false">IF(ISBLANK(B629),"",B629&amp;"|"&amp;C629)</f>
        <v/>
      </c>
      <c r="B629" s="138"/>
      <c r="C629" s="138"/>
      <c r="D629" s="138"/>
      <c r="E629" s="143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customFormat="false" ht="15.75" hidden="false" customHeight="false" outlineLevel="0" collapsed="false">
      <c r="A630" s="138" t="str">
        <f aca="false">IF(ISBLANK(B630),"",B630&amp;"|"&amp;C630)</f>
        <v/>
      </c>
      <c r="B630" s="138"/>
      <c r="C630" s="138"/>
      <c r="D630" s="138"/>
      <c r="E630" s="143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customFormat="false" ht="15.75" hidden="false" customHeight="false" outlineLevel="0" collapsed="false">
      <c r="A631" s="138" t="str">
        <f aca="false">IF(ISBLANK(B631),"",B631&amp;"|"&amp;C631)</f>
        <v/>
      </c>
      <c r="B631" s="138"/>
      <c r="C631" s="138"/>
      <c r="D631" s="138"/>
      <c r="E631" s="143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customFormat="false" ht="15.75" hidden="false" customHeight="false" outlineLevel="0" collapsed="false">
      <c r="A632" s="138" t="str">
        <f aca="false">IF(ISBLANK(B632),"",B632&amp;"|"&amp;C632)</f>
        <v/>
      </c>
      <c r="B632" s="138"/>
      <c r="C632" s="138"/>
      <c r="D632" s="138"/>
      <c r="E632" s="143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customFormat="false" ht="15.75" hidden="false" customHeight="false" outlineLevel="0" collapsed="false">
      <c r="A633" s="138" t="str">
        <f aca="false">IF(ISBLANK(B633),"",B633&amp;"|"&amp;C633)</f>
        <v/>
      </c>
      <c r="B633" s="138"/>
      <c r="C633" s="138"/>
      <c r="D633" s="138"/>
      <c r="E633" s="143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customFormat="false" ht="15.75" hidden="false" customHeight="false" outlineLevel="0" collapsed="false">
      <c r="A634" s="138" t="str">
        <f aca="false">IF(ISBLANK(B634),"",B634&amp;"|"&amp;C634)</f>
        <v/>
      </c>
      <c r="B634" s="138"/>
      <c r="C634" s="138"/>
      <c r="D634" s="138"/>
      <c r="E634" s="143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customFormat="false" ht="15.75" hidden="false" customHeight="false" outlineLevel="0" collapsed="false">
      <c r="A635" s="138" t="str">
        <f aca="false">IF(ISBLANK(B635),"",B635&amp;"|"&amp;C635)</f>
        <v/>
      </c>
      <c r="B635" s="138"/>
      <c r="C635" s="138"/>
      <c r="D635" s="138"/>
      <c r="E635" s="143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customFormat="false" ht="15.75" hidden="false" customHeight="false" outlineLevel="0" collapsed="false">
      <c r="A636" s="138" t="str">
        <f aca="false">IF(ISBLANK(B636),"",B636&amp;"|"&amp;C636)</f>
        <v/>
      </c>
      <c r="B636" s="138"/>
      <c r="C636" s="138"/>
      <c r="D636" s="138"/>
      <c r="E636" s="143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customFormat="false" ht="15.75" hidden="false" customHeight="false" outlineLevel="0" collapsed="false">
      <c r="A637" s="138" t="str">
        <f aca="false">IF(ISBLANK(B637),"",B637&amp;"|"&amp;C637)</f>
        <v/>
      </c>
      <c r="B637" s="138"/>
      <c r="C637" s="138"/>
      <c r="D637" s="138"/>
      <c r="E637" s="143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customFormat="false" ht="15.75" hidden="false" customHeight="false" outlineLevel="0" collapsed="false">
      <c r="A638" s="138" t="str">
        <f aca="false">IF(ISBLANK(B638),"",B638&amp;"|"&amp;C638)</f>
        <v/>
      </c>
      <c r="B638" s="138"/>
      <c r="C638" s="138"/>
      <c r="D638" s="138"/>
      <c r="E638" s="143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customFormat="false" ht="15.75" hidden="false" customHeight="false" outlineLevel="0" collapsed="false">
      <c r="A639" s="138" t="str">
        <f aca="false">IF(ISBLANK(B639),"",B639&amp;"|"&amp;C639)</f>
        <v/>
      </c>
      <c r="B639" s="138"/>
      <c r="C639" s="138"/>
      <c r="D639" s="138"/>
      <c r="E639" s="143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customFormat="false" ht="15.75" hidden="false" customHeight="false" outlineLevel="0" collapsed="false">
      <c r="A640" s="138" t="str">
        <f aca="false">IF(ISBLANK(B640),"",B640&amp;"|"&amp;C640)</f>
        <v/>
      </c>
      <c r="B640" s="138"/>
      <c r="C640" s="138"/>
      <c r="D640" s="138"/>
      <c r="E640" s="143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customFormat="false" ht="15.75" hidden="false" customHeight="false" outlineLevel="0" collapsed="false">
      <c r="A641" s="138" t="str">
        <f aca="false">IF(ISBLANK(B641),"",B641&amp;"|"&amp;C641)</f>
        <v/>
      </c>
      <c r="B641" s="138"/>
      <c r="C641" s="138"/>
      <c r="D641" s="138"/>
      <c r="E641" s="143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customFormat="false" ht="15.75" hidden="false" customHeight="false" outlineLevel="0" collapsed="false">
      <c r="A642" s="138" t="str">
        <f aca="false">IF(ISBLANK(B642),"",B642&amp;"|"&amp;C642)</f>
        <v/>
      </c>
      <c r="B642" s="138"/>
      <c r="C642" s="138"/>
      <c r="D642" s="138"/>
      <c r="E642" s="143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customFormat="false" ht="15.75" hidden="false" customHeight="false" outlineLevel="0" collapsed="false">
      <c r="A643" s="138" t="str">
        <f aca="false">IF(ISBLANK(B643),"",B643&amp;"|"&amp;C643)</f>
        <v/>
      </c>
      <c r="B643" s="138"/>
      <c r="C643" s="138"/>
      <c r="D643" s="138"/>
      <c r="E643" s="143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customFormat="false" ht="15.75" hidden="false" customHeight="false" outlineLevel="0" collapsed="false">
      <c r="A644" s="138" t="str">
        <f aca="false">IF(ISBLANK(B644),"",B644&amp;"|"&amp;C644)</f>
        <v/>
      </c>
      <c r="B644" s="138"/>
      <c r="C644" s="138"/>
      <c r="D644" s="138"/>
      <c r="E644" s="143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customFormat="false" ht="15.75" hidden="false" customHeight="false" outlineLevel="0" collapsed="false">
      <c r="A645" s="138" t="str">
        <f aca="false">IF(ISBLANK(B645),"",B645&amp;"|"&amp;C645)</f>
        <v/>
      </c>
      <c r="B645" s="138"/>
      <c r="C645" s="138"/>
      <c r="D645" s="138"/>
      <c r="E645" s="143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customFormat="false" ht="15.75" hidden="false" customHeight="false" outlineLevel="0" collapsed="false">
      <c r="A646" s="138" t="str">
        <f aca="false">IF(ISBLANK(B646),"",B646&amp;"|"&amp;C646)</f>
        <v/>
      </c>
      <c r="B646" s="138"/>
      <c r="C646" s="138"/>
      <c r="D646" s="138"/>
      <c r="E646" s="143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customFormat="false" ht="15.75" hidden="false" customHeight="false" outlineLevel="0" collapsed="false">
      <c r="A647" s="138" t="str">
        <f aca="false">IF(ISBLANK(B647),"",B647&amp;"|"&amp;C647)</f>
        <v/>
      </c>
      <c r="B647" s="138"/>
      <c r="C647" s="138"/>
      <c r="D647" s="138"/>
      <c r="E647" s="143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customFormat="false" ht="15.75" hidden="false" customHeight="false" outlineLevel="0" collapsed="false">
      <c r="A648" s="138" t="str">
        <f aca="false">IF(ISBLANK(B648),"",B648&amp;"|"&amp;C648)</f>
        <v/>
      </c>
      <c r="B648" s="138"/>
      <c r="C648" s="138"/>
      <c r="D648" s="138"/>
      <c r="E648" s="143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customFormat="false" ht="15.75" hidden="false" customHeight="false" outlineLevel="0" collapsed="false">
      <c r="A649" s="138" t="str">
        <f aca="false">IF(ISBLANK(B649),"",B649&amp;"|"&amp;C649)</f>
        <v/>
      </c>
      <c r="B649" s="138"/>
      <c r="C649" s="138"/>
      <c r="D649" s="138"/>
      <c r="E649" s="143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customFormat="false" ht="15.75" hidden="false" customHeight="false" outlineLevel="0" collapsed="false">
      <c r="A650" s="138" t="str">
        <f aca="false">IF(ISBLANK(B650),"",B650&amp;"|"&amp;C650)</f>
        <v/>
      </c>
      <c r="B650" s="138"/>
      <c r="C650" s="138"/>
      <c r="D650" s="138"/>
      <c r="E650" s="143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customFormat="false" ht="15.75" hidden="false" customHeight="false" outlineLevel="0" collapsed="false">
      <c r="A651" s="138" t="str">
        <f aca="false">IF(ISBLANK(B651),"",B651&amp;"|"&amp;C651)</f>
        <v/>
      </c>
      <c r="B651" s="138"/>
      <c r="C651" s="138"/>
      <c r="D651" s="138"/>
      <c r="E651" s="143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customFormat="false" ht="15.75" hidden="false" customHeight="false" outlineLevel="0" collapsed="false">
      <c r="A652" s="138" t="str">
        <f aca="false">IF(ISBLANK(B652),"",B652&amp;"|"&amp;C652)</f>
        <v/>
      </c>
      <c r="B652" s="138"/>
      <c r="C652" s="138"/>
      <c r="D652" s="138"/>
      <c r="E652" s="143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customFormat="false" ht="15.75" hidden="false" customHeight="false" outlineLevel="0" collapsed="false">
      <c r="A653" s="138" t="str">
        <f aca="false">IF(ISBLANK(B653),"",B653&amp;"|"&amp;C653)</f>
        <v/>
      </c>
      <c r="B653" s="138"/>
      <c r="C653" s="138"/>
      <c r="D653" s="138"/>
      <c r="E653" s="143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customFormat="false" ht="15.75" hidden="false" customHeight="false" outlineLevel="0" collapsed="false">
      <c r="A654" s="138" t="str">
        <f aca="false">IF(ISBLANK(B654),"",B654&amp;"|"&amp;C654)</f>
        <v/>
      </c>
      <c r="B654" s="138"/>
      <c r="C654" s="138"/>
      <c r="D654" s="138"/>
      <c r="E654" s="143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customFormat="false" ht="15.75" hidden="false" customHeight="false" outlineLevel="0" collapsed="false">
      <c r="A655" s="138" t="str">
        <f aca="false">IF(ISBLANK(B655),"",B655&amp;"|"&amp;C655)</f>
        <v/>
      </c>
      <c r="B655" s="138"/>
      <c r="C655" s="138"/>
      <c r="D655" s="138"/>
      <c r="E655" s="143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customFormat="false" ht="15.75" hidden="false" customHeight="false" outlineLevel="0" collapsed="false">
      <c r="A656" s="138" t="str">
        <f aca="false">IF(ISBLANK(B656),"",B656&amp;"|"&amp;C656)</f>
        <v/>
      </c>
      <c r="B656" s="138"/>
      <c r="C656" s="138"/>
      <c r="D656" s="138"/>
      <c r="E656" s="143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customFormat="false" ht="15.75" hidden="false" customHeight="false" outlineLevel="0" collapsed="false">
      <c r="A657" s="138" t="str">
        <f aca="false">IF(ISBLANK(B657),"",B657&amp;"|"&amp;C657)</f>
        <v/>
      </c>
      <c r="B657" s="138"/>
      <c r="C657" s="138"/>
      <c r="D657" s="138"/>
      <c r="E657" s="143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customFormat="false" ht="15.75" hidden="false" customHeight="false" outlineLevel="0" collapsed="false">
      <c r="A658" s="138" t="str">
        <f aca="false">IF(ISBLANK(B658),"",B658&amp;"|"&amp;C658)</f>
        <v/>
      </c>
      <c r="B658" s="138"/>
      <c r="C658" s="138"/>
      <c r="D658" s="138"/>
      <c r="E658" s="143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customFormat="false" ht="15.75" hidden="false" customHeight="false" outlineLevel="0" collapsed="false">
      <c r="A659" s="138" t="str">
        <f aca="false">IF(ISBLANK(B659),"",B659&amp;"|"&amp;C659)</f>
        <v/>
      </c>
      <c r="B659" s="138"/>
      <c r="C659" s="138"/>
      <c r="D659" s="138"/>
      <c r="E659" s="143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customFormat="false" ht="15.75" hidden="false" customHeight="false" outlineLevel="0" collapsed="false">
      <c r="A660" s="138" t="str">
        <f aca="false">IF(ISBLANK(B660),"",B660&amp;"|"&amp;C660)</f>
        <v/>
      </c>
      <c r="B660" s="138"/>
      <c r="C660" s="138"/>
      <c r="D660" s="138"/>
      <c r="E660" s="143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customFormat="false" ht="15.75" hidden="false" customHeight="false" outlineLevel="0" collapsed="false">
      <c r="A661" s="138" t="str">
        <f aca="false">IF(ISBLANK(B661),"",B661&amp;"|"&amp;C661)</f>
        <v/>
      </c>
      <c r="B661" s="138"/>
      <c r="C661" s="138"/>
      <c r="D661" s="138"/>
      <c r="E661" s="143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customFormat="false" ht="15.75" hidden="false" customHeight="false" outlineLevel="0" collapsed="false">
      <c r="A662" s="138" t="str">
        <f aca="false">IF(ISBLANK(B662),"",B662&amp;"|"&amp;C662)</f>
        <v/>
      </c>
      <c r="B662" s="138"/>
      <c r="C662" s="138"/>
      <c r="D662" s="138"/>
      <c r="E662" s="143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customFormat="false" ht="15.75" hidden="false" customHeight="false" outlineLevel="0" collapsed="false">
      <c r="A663" s="138" t="str">
        <f aca="false">IF(ISBLANK(B663),"",B663&amp;"|"&amp;C663)</f>
        <v/>
      </c>
      <c r="B663" s="138"/>
      <c r="C663" s="138"/>
      <c r="D663" s="138"/>
      <c r="E663" s="143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customFormat="false" ht="15.75" hidden="false" customHeight="false" outlineLevel="0" collapsed="false">
      <c r="A664" s="138" t="str">
        <f aca="false">IF(ISBLANK(B664),"",B664&amp;"|"&amp;C664)</f>
        <v/>
      </c>
      <c r="B664" s="138"/>
      <c r="C664" s="138"/>
      <c r="D664" s="138"/>
      <c r="E664" s="143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customFormat="false" ht="15.75" hidden="false" customHeight="false" outlineLevel="0" collapsed="false">
      <c r="A665" s="138" t="str">
        <f aca="false">IF(ISBLANK(B665),"",B665&amp;"|"&amp;C665)</f>
        <v/>
      </c>
      <c r="B665" s="138"/>
      <c r="C665" s="138"/>
      <c r="D665" s="138"/>
      <c r="E665" s="143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customFormat="false" ht="15.75" hidden="false" customHeight="false" outlineLevel="0" collapsed="false">
      <c r="A666" s="138" t="str">
        <f aca="false">IF(ISBLANK(B666),"",B666&amp;"|"&amp;C666)</f>
        <v/>
      </c>
      <c r="B666" s="138"/>
      <c r="C666" s="138"/>
      <c r="D666" s="138"/>
      <c r="E666" s="143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customFormat="false" ht="15.75" hidden="false" customHeight="false" outlineLevel="0" collapsed="false">
      <c r="A667" s="138" t="str">
        <f aca="false">IF(ISBLANK(B667),"",B667&amp;"|"&amp;C667)</f>
        <v/>
      </c>
      <c r="B667" s="138"/>
      <c r="C667" s="138"/>
      <c r="D667" s="138"/>
      <c r="E667" s="143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customFormat="false" ht="15.75" hidden="false" customHeight="false" outlineLevel="0" collapsed="false">
      <c r="A668" s="138" t="str">
        <f aca="false">IF(ISBLANK(B668),"",B668&amp;"|"&amp;C668)</f>
        <v/>
      </c>
      <c r="B668" s="138"/>
      <c r="C668" s="138"/>
      <c r="D668" s="138"/>
      <c r="E668" s="143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customFormat="false" ht="15.75" hidden="false" customHeight="false" outlineLevel="0" collapsed="false">
      <c r="A669" s="138" t="str">
        <f aca="false">IF(ISBLANK(B669),"",B669&amp;"|"&amp;C669)</f>
        <v/>
      </c>
      <c r="B669" s="138"/>
      <c r="C669" s="138"/>
      <c r="D669" s="138"/>
      <c r="E669" s="143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customFormat="false" ht="15.75" hidden="false" customHeight="false" outlineLevel="0" collapsed="false">
      <c r="A670" s="138" t="str">
        <f aca="false">IF(ISBLANK(B670),"",B670&amp;"|"&amp;C670)</f>
        <v/>
      </c>
      <c r="B670" s="138"/>
      <c r="C670" s="138"/>
      <c r="D670" s="138"/>
      <c r="E670" s="143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customFormat="false" ht="15.75" hidden="false" customHeight="false" outlineLevel="0" collapsed="false">
      <c r="A671" s="138" t="str">
        <f aca="false">IF(ISBLANK(B671),"",B671&amp;"|"&amp;C671)</f>
        <v/>
      </c>
      <c r="B671" s="138"/>
      <c r="C671" s="138"/>
      <c r="D671" s="138"/>
      <c r="E671" s="143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customFormat="false" ht="15.75" hidden="false" customHeight="false" outlineLevel="0" collapsed="false">
      <c r="A672" s="138" t="str">
        <f aca="false">IF(ISBLANK(B672),"",B672&amp;"|"&amp;C672)</f>
        <v/>
      </c>
      <c r="B672" s="138"/>
      <c r="C672" s="138"/>
      <c r="D672" s="138"/>
      <c r="E672" s="143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customFormat="false" ht="15.75" hidden="false" customHeight="false" outlineLevel="0" collapsed="false">
      <c r="A673" s="138" t="str">
        <f aca="false">IF(ISBLANK(B673),"",B673&amp;"|"&amp;C673)</f>
        <v/>
      </c>
      <c r="B673" s="138"/>
      <c r="C673" s="138"/>
      <c r="D673" s="138"/>
      <c r="E673" s="143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customFormat="false" ht="15.75" hidden="false" customHeight="false" outlineLevel="0" collapsed="false">
      <c r="A674" s="138" t="str">
        <f aca="false">IF(ISBLANK(B674),"",B674&amp;"|"&amp;C674)</f>
        <v/>
      </c>
      <c r="B674" s="138"/>
      <c r="C674" s="138"/>
      <c r="D674" s="138"/>
      <c r="E674" s="143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customFormat="false" ht="15.75" hidden="false" customHeight="false" outlineLevel="0" collapsed="false">
      <c r="A675" s="138" t="str">
        <f aca="false">IF(ISBLANK(B675),"",B675&amp;"|"&amp;C675)</f>
        <v/>
      </c>
      <c r="B675" s="138"/>
      <c r="C675" s="138"/>
      <c r="D675" s="138"/>
      <c r="E675" s="143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customFormat="false" ht="15.75" hidden="false" customHeight="false" outlineLevel="0" collapsed="false">
      <c r="A676" s="138" t="str">
        <f aca="false">IF(ISBLANK(B676),"",B676&amp;"|"&amp;C676)</f>
        <v/>
      </c>
      <c r="B676" s="138"/>
      <c r="C676" s="138"/>
      <c r="D676" s="138"/>
      <c r="E676" s="143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customFormat="false" ht="15.75" hidden="false" customHeight="false" outlineLevel="0" collapsed="false">
      <c r="A677" s="138" t="str">
        <f aca="false">IF(ISBLANK(B677),"",B677&amp;"|"&amp;C677)</f>
        <v/>
      </c>
      <c r="B677" s="138"/>
      <c r="C677" s="138"/>
      <c r="D677" s="138"/>
      <c r="E677" s="143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customFormat="false" ht="15.75" hidden="false" customHeight="false" outlineLevel="0" collapsed="false">
      <c r="A678" s="138" t="str">
        <f aca="false">IF(ISBLANK(B678),"",B678&amp;"|"&amp;C678)</f>
        <v/>
      </c>
      <c r="B678" s="138"/>
      <c r="C678" s="138"/>
      <c r="D678" s="138"/>
      <c r="E678" s="143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customFormat="false" ht="15.75" hidden="false" customHeight="false" outlineLevel="0" collapsed="false">
      <c r="A679" s="138" t="str">
        <f aca="false">IF(ISBLANK(B679),"",B679&amp;"|"&amp;C679)</f>
        <v/>
      </c>
      <c r="B679" s="138"/>
      <c r="C679" s="138"/>
      <c r="D679" s="138"/>
      <c r="E679" s="143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customFormat="false" ht="15.75" hidden="false" customHeight="false" outlineLevel="0" collapsed="false">
      <c r="A680" s="138" t="str">
        <f aca="false">IF(ISBLANK(B680),"",B680&amp;"|"&amp;C680)</f>
        <v/>
      </c>
      <c r="B680" s="138"/>
      <c r="C680" s="138"/>
      <c r="D680" s="138"/>
      <c r="E680" s="143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customFormat="false" ht="15.75" hidden="false" customHeight="false" outlineLevel="0" collapsed="false">
      <c r="A681" s="138" t="str">
        <f aca="false">IF(ISBLANK(B681),"",B681&amp;"|"&amp;C681)</f>
        <v/>
      </c>
      <c r="B681" s="138"/>
      <c r="C681" s="138"/>
      <c r="D681" s="138"/>
      <c r="E681" s="143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customFormat="false" ht="15.75" hidden="false" customHeight="false" outlineLevel="0" collapsed="false">
      <c r="A682" s="138" t="str">
        <f aca="false">IF(ISBLANK(B682),"",B682&amp;"|"&amp;C682)</f>
        <v/>
      </c>
      <c r="B682" s="138"/>
      <c r="C682" s="138"/>
      <c r="D682" s="138"/>
      <c r="E682" s="143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customFormat="false" ht="15.75" hidden="false" customHeight="false" outlineLevel="0" collapsed="false">
      <c r="A683" s="138" t="str">
        <f aca="false">IF(ISBLANK(B683),"",B683&amp;"|"&amp;C683)</f>
        <v/>
      </c>
      <c r="B683" s="138"/>
      <c r="C683" s="138"/>
      <c r="D683" s="138"/>
      <c r="E683" s="143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customFormat="false" ht="15.75" hidden="false" customHeight="false" outlineLevel="0" collapsed="false">
      <c r="A684" s="138" t="str">
        <f aca="false">IF(ISBLANK(B684),"",B684&amp;"|"&amp;C684)</f>
        <v/>
      </c>
      <c r="B684" s="138"/>
      <c r="C684" s="138"/>
      <c r="D684" s="138"/>
      <c r="E684" s="143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customFormat="false" ht="15.75" hidden="false" customHeight="false" outlineLevel="0" collapsed="false">
      <c r="A685" s="138" t="str">
        <f aca="false">IF(ISBLANK(B685),"",B685&amp;"|"&amp;C685)</f>
        <v/>
      </c>
      <c r="B685" s="138"/>
      <c r="C685" s="138"/>
      <c r="D685" s="138"/>
      <c r="E685" s="143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customFormat="false" ht="15.75" hidden="false" customHeight="false" outlineLevel="0" collapsed="false">
      <c r="A686" s="138" t="str">
        <f aca="false">IF(ISBLANK(B686),"",B686&amp;"|"&amp;C686)</f>
        <v/>
      </c>
      <c r="B686" s="138"/>
      <c r="C686" s="138"/>
      <c r="D686" s="138"/>
      <c r="E686" s="143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customFormat="false" ht="15.75" hidden="false" customHeight="false" outlineLevel="0" collapsed="false">
      <c r="A687" s="138" t="str">
        <f aca="false">IF(ISBLANK(B687),"",B687&amp;"|"&amp;C687)</f>
        <v/>
      </c>
      <c r="B687" s="138"/>
      <c r="C687" s="138"/>
      <c r="D687" s="138"/>
      <c r="E687" s="143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customFormat="false" ht="15.75" hidden="false" customHeight="false" outlineLevel="0" collapsed="false">
      <c r="A688" s="138" t="str">
        <f aca="false">IF(ISBLANK(B688),"",B688&amp;"|"&amp;C688)</f>
        <v/>
      </c>
      <c r="B688" s="138"/>
      <c r="C688" s="138"/>
      <c r="D688" s="138"/>
      <c r="E688" s="143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customFormat="false" ht="15.75" hidden="false" customHeight="false" outlineLevel="0" collapsed="false">
      <c r="A689" s="138" t="str">
        <f aca="false">IF(ISBLANK(B689),"",B689&amp;"|"&amp;C689)</f>
        <v/>
      </c>
      <c r="B689" s="138"/>
      <c r="C689" s="138"/>
      <c r="D689" s="138"/>
      <c r="E689" s="143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customFormat="false" ht="15.75" hidden="false" customHeight="false" outlineLevel="0" collapsed="false">
      <c r="A690" s="138" t="str">
        <f aca="false">IF(ISBLANK(B690),"",B690&amp;"|"&amp;C690)</f>
        <v/>
      </c>
      <c r="B690" s="138"/>
      <c r="C690" s="138"/>
      <c r="D690" s="138"/>
      <c r="E690" s="143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customFormat="false" ht="15.75" hidden="false" customHeight="false" outlineLevel="0" collapsed="false">
      <c r="A691" s="138" t="str">
        <f aca="false">IF(ISBLANK(B691),"",B691&amp;"|"&amp;C691)</f>
        <v/>
      </c>
      <c r="B691" s="138"/>
      <c r="C691" s="138"/>
      <c r="D691" s="138"/>
      <c r="E691" s="143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customFormat="false" ht="15.75" hidden="false" customHeight="false" outlineLevel="0" collapsed="false">
      <c r="A692" s="138" t="str">
        <f aca="false">IF(ISBLANK(B692),"",B692&amp;"|"&amp;C692)</f>
        <v/>
      </c>
      <c r="B692" s="138"/>
      <c r="C692" s="138"/>
      <c r="D692" s="138"/>
      <c r="E692" s="143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customFormat="false" ht="15.75" hidden="false" customHeight="false" outlineLevel="0" collapsed="false">
      <c r="A693" s="138" t="str">
        <f aca="false">IF(ISBLANK(B693),"",B693&amp;"|"&amp;C693)</f>
        <v/>
      </c>
      <c r="B693" s="138"/>
      <c r="C693" s="138"/>
      <c r="D693" s="138"/>
      <c r="E693" s="143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customFormat="false" ht="15.75" hidden="false" customHeight="false" outlineLevel="0" collapsed="false">
      <c r="A694" s="138" t="str">
        <f aca="false">IF(ISBLANK(B694),"",B694&amp;"|"&amp;C694)</f>
        <v/>
      </c>
      <c r="B694" s="138"/>
      <c r="C694" s="138"/>
      <c r="D694" s="138"/>
      <c r="E694" s="143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customFormat="false" ht="15.75" hidden="false" customHeight="false" outlineLevel="0" collapsed="false">
      <c r="A695" s="138" t="str">
        <f aca="false">IF(ISBLANK(B695),"",B695&amp;"|"&amp;C695)</f>
        <v/>
      </c>
      <c r="B695" s="138"/>
      <c r="C695" s="138"/>
      <c r="D695" s="138"/>
      <c r="E695" s="143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customFormat="false" ht="15.75" hidden="false" customHeight="false" outlineLevel="0" collapsed="false">
      <c r="A696" s="138" t="str">
        <f aca="false">IF(ISBLANK(B696),"",B696&amp;"|"&amp;C696)</f>
        <v/>
      </c>
      <c r="B696" s="138"/>
      <c r="C696" s="138"/>
      <c r="D696" s="138"/>
      <c r="E696" s="143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customFormat="false" ht="15.75" hidden="false" customHeight="false" outlineLevel="0" collapsed="false">
      <c r="A697" s="138" t="str">
        <f aca="false">IF(ISBLANK(B697),"",B697&amp;"|"&amp;C697)</f>
        <v/>
      </c>
      <c r="B697" s="138"/>
      <c r="C697" s="138"/>
      <c r="D697" s="138"/>
      <c r="E697" s="143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customFormat="false" ht="15.75" hidden="false" customHeight="false" outlineLevel="0" collapsed="false">
      <c r="A698" s="138" t="str">
        <f aca="false">IF(ISBLANK(B698),"",B698&amp;"|"&amp;C698)</f>
        <v/>
      </c>
      <c r="B698" s="138"/>
      <c r="C698" s="138"/>
      <c r="D698" s="138"/>
      <c r="E698" s="143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customFormat="false" ht="15.75" hidden="false" customHeight="false" outlineLevel="0" collapsed="false">
      <c r="A699" s="138" t="str">
        <f aca="false">IF(ISBLANK(B699),"",B699&amp;"|"&amp;C699)</f>
        <v/>
      </c>
      <c r="B699" s="138"/>
      <c r="C699" s="138"/>
      <c r="D699" s="138"/>
      <c r="E699" s="143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customFormat="false" ht="15.75" hidden="false" customHeight="false" outlineLevel="0" collapsed="false">
      <c r="A700" s="138" t="str">
        <f aca="false">IF(ISBLANK(B700),"",B700&amp;"|"&amp;C700)</f>
        <v/>
      </c>
      <c r="B700" s="138"/>
      <c r="C700" s="138"/>
      <c r="D700" s="138"/>
      <c r="E700" s="143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customFormat="false" ht="15.75" hidden="false" customHeight="false" outlineLevel="0" collapsed="false">
      <c r="A701" s="138" t="str">
        <f aca="false">IF(ISBLANK(B701),"",B701&amp;"|"&amp;C701)</f>
        <v/>
      </c>
      <c r="B701" s="138"/>
      <c r="C701" s="138"/>
      <c r="D701" s="138"/>
      <c r="E701" s="143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customFormat="false" ht="15.75" hidden="false" customHeight="false" outlineLevel="0" collapsed="false">
      <c r="A702" s="138" t="str">
        <f aca="false">IF(ISBLANK(B702),"",B702&amp;"|"&amp;C702)</f>
        <v/>
      </c>
      <c r="B702" s="138"/>
      <c r="C702" s="138"/>
      <c r="D702" s="138"/>
      <c r="E702" s="143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customFormat="false" ht="15.75" hidden="false" customHeight="false" outlineLevel="0" collapsed="false">
      <c r="A703" s="138" t="str">
        <f aca="false">IF(ISBLANK(B703),"",B703&amp;"|"&amp;C703)</f>
        <v/>
      </c>
      <c r="B703" s="138"/>
      <c r="C703" s="138"/>
      <c r="D703" s="138"/>
      <c r="E703" s="143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customFormat="false" ht="15.75" hidden="false" customHeight="false" outlineLevel="0" collapsed="false">
      <c r="A704" s="138" t="str">
        <f aca="false">IF(ISBLANK(B704),"",B704&amp;"|"&amp;C704)</f>
        <v/>
      </c>
      <c r="B704" s="138"/>
      <c r="C704" s="138"/>
      <c r="D704" s="138"/>
      <c r="E704" s="143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customFormat="false" ht="15.75" hidden="false" customHeight="false" outlineLevel="0" collapsed="false">
      <c r="A705" s="138" t="str">
        <f aca="false">IF(ISBLANK(B705),"",B705&amp;"|"&amp;C705)</f>
        <v/>
      </c>
      <c r="B705" s="138"/>
      <c r="C705" s="138"/>
      <c r="D705" s="138"/>
      <c r="E705" s="143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customFormat="false" ht="15.75" hidden="false" customHeight="false" outlineLevel="0" collapsed="false">
      <c r="A706" s="138" t="str">
        <f aca="false">IF(ISBLANK(B706),"",B706&amp;"|"&amp;C706)</f>
        <v/>
      </c>
      <c r="B706" s="138"/>
      <c r="C706" s="138"/>
      <c r="D706" s="138"/>
      <c r="E706" s="143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customFormat="false" ht="15.75" hidden="false" customHeight="false" outlineLevel="0" collapsed="false">
      <c r="A707" s="138" t="str">
        <f aca="false">IF(ISBLANK(B707),"",B707&amp;"|"&amp;C707)</f>
        <v/>
      </c>
      <c r="B707" s="138"/>
      <c r="C707" s="138"/>
      <c r="D707" s="138"/>
      <c r="E707" s="143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customFormat="false" ht="15.75" hidden="false" customHeight="false" outlineLevel="0" collapsed="false">
      <c r="A708" s="138" t="str">
        <f aca="false">IF(ISBLANK(B708),"",B708&amp;"|"&amp;C708)</f>
        <v/>
      </c>
      <c r="B708" s="138"/>
      <c r="C708" s="138"/>
      <c r="D708" s="138"/>
      <c r="E708" s="143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customFormat="false" ht="15.75" hidden="false" customHeight="false" outlineLevel="0" collapsed="false">
      <c r="A709" s="138" t="str">
        <f aca="false">IF(ISBLANK(B709),"",B709&amp;"|"&amp;C709)</f>
        <v/>
      </c>
      <c r="B709" s="138"/>
      <c r="C709" s="138"/>
      <c r="D709" s="138"/>
      <c r="E709" s="143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customFormat="false" ht="15.75" hidden="false" customHeight="false" outlineLevel="0" collapsed="false">
      <c r="A710" s="138" t="str">
        <f aca="false">IF(ISBLANK(B710),"",B710&amp;"|"&amp;C710)</f>
        <v/>
      </c>
      <c r="B710" s="138"/>
      <c r="C710" s="138"/>
      <c r="D710" s="138"/>
      <c r="E710" s="143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customFormat="false" ht="15.75" hidden="false" customHeight="false" outlineLevel="0" collapsed="false">
      <c r="A711" s="138" t="str">
        <f aca="false">IF(ISBLANK(B711),"",B711&amp;"|"&amp;C711)</f>
        <v/>
      </c>
      <c r="B711" s="138"/>
      <c r="C711" s="138"/>
      <c r="D711" s="138"/>
      <c r="E711" s="143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customFormat="false" ht="15.75" hidden="false" customHeight="false" outlineLevel="0" collapsed="false">
      <c r="A712" s="138" t="str">
        <f aca="false">IF(ISBLANK(B712),"",B712&amp;"|"&amp;C712)</f>
        <v/>
      </c>
      <c r="B712" s="138"/>
      <c r="C712" s="138"/>
      <c r="D712" s="138"/>
      <c r="E712" s="143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customFormat="false" ht="15.75" hidden="false" customHeight="false" outlineLevel="0" collapsed="false">
      <c r="A713" s="138" t="str">
        <f aca="false">IF(ISBLANK(B713),"",B713&amp;"|"&amp;C713)</f>
        <v/>
      </c>
      <c r="B713" s="138"/>
      <c r="C713" s="138"/>
      <c r="D713" s="138"/>
      <c r="E713" s="143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customFormat="false" ht="15.75" hidden="false" customHeight="false" outlineLevel="0" collapsed="false">
      <c r="A714" s="138" t="str">
        <f aca="false">IF(ISBLANK(B714),"",B714&amp;"|"&amp;C714)</f>
        <v/>
      </c>
      <c r="B714" s="138"/>
      <c r="C714" s="138"/>
      <c r="D714" s="138"/>
      <c r="E714" s="143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customFormat="false" ht="15.75" hidden="false" customHeight="false" outlineLevel="0" collapsed="false">
      <c r="A715" s="138" t="str">
        <f aca="false">IF(ISBLANK(B715),"",B715&amp;"|"&amp;C715)</f>
        <v/>
      </c>
      <c r="B715" s="138"/>
      <c r="C715" s="138"/>
      <c r="D715" s="138"/>
      <c r="E715" s="143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customFormat="false" ht="15.75" hidden="false" customHeight="false" outlineLevel="0" collapsed="false">
      <c r="A716" s="138" t="str">
        <f aca="false">IF(ISBLANK(B716),"",B716&amp;"|"&amp;C716)</f>
        <v/>
      </c>
      <c r="B716" s="138"/>
      <c r="C716" s="138"/>
      <c r="D716" s="138"/>
      <c r="E716" s="143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customFormat="false" ht="15.75" hidden="false" customHeight="false" outlineLevel="0" collapsed="false">
      <c r="A717" s="138" t="str">
        <f aca="false">IF(ISBLANK(B717),"",B717&amp;"|"&amp;C717)</f>
        <v/>
      </c>
      <c r="B717" s="138"/>
      <c r="C717" s="138"/>
      <c r="D717" s="138"/>
      <c r="E717" s="143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customFormat="false" ht="15.75" hidden="false" customHeight="false" outlineLevel="0" collapsed="false">
      <c r="A718" s="138" t="str">
        <f aca="false">IF(ISBLANK(B718),"",B718&amp;"|"&amp;C718)</f>
        <v/>
      </c>
      <c r="B718" s="138"/>
      <c r="C718" s="138"/>
      <c r="D718" s="138"/>
      <c r="E718" s="143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customFormat="false" ht="15.75" hidden="false" customHeight="false" outlineLevel="0" collapsed="false">
      <c r="A719" s="138" t="str">
        <f aca="false">IF(ISBLANK(B719),"",B719&amp;"|"&amp;C719)</f>
        <v/>
      </c>
      <c r="B719" s="138"/>
      <c r="C719" s="138"/>
      <c r="D719" s="138"/>
      <c r="E719" s="143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customFormat="false" ht="15.75" hidden="false" customHeight="false" outlineLevel="0" collapsed="false">
      <c r="A720" s="138" t="str">
        <f aca="false">IF(ISBLANK(B720),"",B720&amp;"|"&amp;C720)</f>
        <v/>
      </c>
      <c r="B720" s="138"/>
      <c r="C720" s="138"/>
      <c r="D720" s="138"/>
      <c r="E720" s="143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customFormat="false" ht="15.75" hidden="false" customHeight="false" outlineLevel="0" collapsed="false">
      <c r="A721" s="138" t="str">
        <f aca="false">IF(ISBLANK(B721),"",B721&amp;"|"&amp;C721)</f>
        <v/>
      </c>
      <c r="B721" s="138"/>
      <c r="C721" s="138"/>
      <c r="D721" s="138"/>
      <c r="E721" s="143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customFormat="false" ht="15.75" hidden="false" customHeight="false" outlineLevel="0" collapsed="false">
      <c r="A722" s="138" t="str">
        <f aca="false">IF(ISBLANK(B722),"",B722&amp;"|"&amp;C722)</f>
        <v/>
      </c>
      <c r="B722" s="138"/>
      <c r="C722" s="138"/>
      <c r="D722" s="138"/>
      <c r="E722" s="143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customFormat="false" ht="15.75" hidden="false" customHeight="false" outlineLevel="0" collapsed="false">
      <c r="A723" s="138" t="str">
        <f aca="false">IF(ISBLANK(B723),"",B723&amp;"|"&amp;C723)</f>
        <v/>
      </c>
      <c r="B723" s="138"/>
      <c r="C723" s="138"/>
      <c r="D723" s="138"/>
      <c r="E723" s="143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customFormat="false" ht="15.75" hidden="false" customHeight="false" outlineLevel="0" collapsed="false">
      <c r="A724" s="138" t="str">
        <f aca="false">IF(ISBLANK(B724),"",B724&amp;"|"&amp;C724)</f>
        <v/>
      </c>
      <c r="B724" s="138"/>
      <c r="C724" s="138"/>
      <c r="D724" s="138"/>
      <c r="E724" s="143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customFormat="false" ht="15.75" hidden="false" customHeight="false" outlineLevel="0" collapsed="false">
      <c r="A725" s="138" t="str">
        <f aca="false">IF(ISBLANK(B725),"",B725&amp;"|"&amp;C725)</f>
        <v/>
      </c>
      <c r="B725" s="138"/>
      <c r="C725" s="138"/>
      <c r="D725" s="138"/>
      <c r="E725" s="143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customFormat="false" ht="15.75" hidden="false" customHeight="false" outlineLevel="0" collapsed="false">
      <c r="A726" s="138" t="str">
        <f aca="false">IF(ISBLANK(B726),"",B726&amp;"|"&amp;C726)</f>
        <v/>
      </c>
      <c r="B726" s="138"/>
      <c r="C726" s="138"/>
      <c r="D726" s="138"/>
      <c r="E726" s="143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customFormat="false" ht="15.75" hidden="false" customHeight="false" outlineLevel="0" collapsed="false">
      <c r="A727" s="138" t="str">
        <f aca="false">IF(ISBLANK(B727),"",B727&amp;"|"&amp;C727)</f>
        <v/>
      </c>
      <c r="B727" s="138"/>
      <c r="C727" s="138"/>
      <c r="D727" s="138"/>
      <c r="E727" s="143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customFormat="false" ht="15.75" hidden="false" customHeight="false" outlineLevel="0" collapsed="false">
      <c r="A728" s="138" t="str">
        <f aca="false">IF(ISBLANK(B728),"",B728&amp;"|"&amp;C728)</f>
        <v/>
      </c>
      <c r="B728" s="138"/>
      <c r="C728" s="138"/>
      <c r="D728" s="138"/>
      <c r="E728" s="143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customFormat="false" ht="15.75" hidden="false" customHeight="false" outlineLevel="0" collapsed="false">
      <c r="A729" s="138" t="str">
        <f aca="false">IF(ISBLANK(B729),"",B729&amp;"|"&amp;C729)</f>
        <v/>
      </c>
      <c r="B729" s="138"/>
      <c r="C729" s="138"/>
      <c r="D729" s="138"/>
      <c r="E729" s="143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customFormat="false" ht="15.75" hidden="false" customHeight="false" outlineLevel="0" collapsed="false">
      <c r="A730" s="138" t="str">
        <f aca="false">IF(ISBLANK(B730),"",B730&amp;"|"&amp;C730)</f>
        <v/>
      </c>
      <c r="B730" s="138"/>
      <c r="C730" s="138"/>
      <c r="D730" s="138"/>
      <c r="E730" s="143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customFormat="false" ht="15.75" hidden="false" customHeight="false" outlineLevel="0" collapsed="false">
      <c r="A731" s="138" t="str">
        <f aca="false">IF(ISBLANK(B731),"",B731&amp;"|"&amp;C731)</f>
        <v/>
      </c>
      <c r="B731" s="138"/>
      <c r="C731" s="138"/>
      <c r="D731" s="138"/>
      <c r="E731" s="143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customFormat="false" ht="15.75" hidden="false" customHeight="false" outlineLevel="0" collapsed="false">
      <c r="A732" s="138" t="str">
        <f aca="false">IF(ISBLANK(B732),"",B732&amp;"|"&amp;C732)</f>
        <v/>
      </c>
      <c r="B732" s="138"/>
      <c r="C732" s="138"/>
      <c r="D732" s="138"/>
      <c r="E732" s="143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customFormat="false" ht="15.75" hidden="false" customHeight="false" outlineLevel="0" collapsed="false">
      <c r="A733" s="138" t="str">
        <f aca="false">IF(ISBLANK(B733),"",B733&amp;"|"&amp;C733)</f>
        <v/>
      </c>
      <c r="B733" s="138"/>
      <c r="C733" s="138"/>
      <c r="D733" s="138"/>
      <c r="E733" s="143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customFormat="false" ht="15.75" hidden="false" customHeight="false" outlineLevel="0" collapsed="false">
      <c r="A734" s="138" t="str">
        <f aca="false">IF(ISBLANK(B734),"",B734&amp;"|"&amp;C734)</f>
        <v/>
      </c>
      <c r="B734" s="138"/>
      <c r="C734" s="138"/>
      <c r="D734" s="138"/>
      <c r="E734" s="143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customFormat="false" ht="15.75" hidden="false" customHeight="false" outlineLevel="0" collapsed="false">
      <c r="A735" s="138" t="str">
        <f aca="false">IF(ISBLANK(B735),"",B735&amp;"|"&amp;C735)</f>
        <v/>
      </c>
      <c r="B735" s="138"/>
      <c r="C735" s="138"/>
      <c r="D735" s="138"/>
      <c r="E735" s="143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customFormat="false" ht="15.75" hidden="false" customHeight="false" outlineLevel="0" collapsed="false">
      <c r="A736" s="138" t="str">
        <f aca="false">IF(ISBLANK(B736),"",B736&amp;"|"&amp;C736)</f>
        <v/>
      </c>
      <c r="B736" s="138"/>
      <c r="C736" s="138"/>
      <c r="D736" s="138"/>
      <c r="E736" s="143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customFormat="false" ht="15.75" hidden="false" customHeight="false" outlineLevel="0" collapsed="false">
      <c r="A737" s="138" t="str">
        <f aca="false">IF(ISBLANK(B737),"",B737&amp;"|"&amp;C737)</f>
        <v/>
      </c>
      <c r="B737" s="138"/>
      <c r="C737" s="138"/>
      <c r="D737" s="138"/>
      <c r="E737" s="143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customFormat="false" ht="15.75" hidden="false" customHeight="false" outlineLevel="0" collapsed="false">
      <c r="A738" s="138" t="str">
        <f aca="false">IF(ISBLANK(B738),"",B738&amp;"|"&amp;C738)</f>
        <v/>
      </c>
      <c r="B738" s="138"/>
      <c r="C738" s="138"/>
      <c r="D738" s="138"/>
      <c r="E738" s="143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customFormat="false" ht="15.75" hidden="false" customHeight="false" outlineLevel="0" collapsed="false">
      <c r="A739" s="138" t="str">
        <f aca="false">IF(ISBLANK(B739),"",B739&amp;"|"&amp;C739)</f>
        <v/>
      </c>
      <c r="B739" s="138"/>
      <c r="C739" s="138"/>
      <c r="D739" s="138"/>
      <c r="E739" s="143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customFormat="false" ht="15.75" hidden="false" customHeight="false" outlineLevel="0" collapsed="false">
      <c r="A740" s="138" t="str">
        <f aca="false">IF(ISBLANK(B740),"",B740&amp;"|"&amp;C740)</f>
        <v/>
      </c>
      <c r="B740" s="138"/>
      <c r="C740" s="138"/>
      <c r="D740" s="138"/>
      <c r="E740" s="143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customFormat="false" ht="15.75" hidden="false" customHeight="false" outlineLevel="0" collapsed="false">
      <c r="A741" s="138" t="str">
        <f aca="false">IF(ISBLANK(B741),"",B741&amp;"|"&amp;C741)</f>
        <v/>
      </c>
      <c r="B741" s="138"/>
      <c r="C741" s="138"/>
      <c r="D741" s="138"/>
      <c r="E741" s="143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customFormat="false" ht="15.75" hidden="false" customHeight="false" outlineLevel="0" collapsed="false">
      <c r="A742" s="138" t="str">
        <f aca="false">IF(ISBLANK(B742),"",B742&amp;"|"&amp;C742)</f>
        <v/>
      </c>
      <c r="B742" s="138"/>
      <c r="C742" s="138"/>
      <c r="D742" s="138"/>
      <c r="E742" s="143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customFormat="false" ht="15.75" hidden="false" customHeight="false" outlineLevel="0" collapsed="false">
      <c r="A743" s="138" t="str">
        <f aca="false">IF(ISBLANK(B743),"",B743&amp;"|"&amp;C743)</f>
        <v/>
      </c>
      <c r="B743" s="138"/>
      <c r="C743" s="138"/>
      <c r="D743" s="138"/>
      <c r="E743" s="143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customFormat="false" ht="15.75" hidden="false" customHeight="false" outlineLevel="0" collapsed="false">
      <c r="A744" s="138" t="str">
        <f aca="false">IF(ISBLANK(B744),"",B744&amp;"|"&amp;C744)</f>
        <v/>
      </c>
      <c r="B744" s="138"/>
      <c r="C744" s="138"/>
      <c r="D744" s="138"/>
      <c r="E744" s="143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customFormat="false" ht="15.75" hidden="false" customHeight="false" outlineLevel="0" collapsed="false">
      <c r="A745" s="138" t="str">
        <f aca="false">IF(ISBLANK(B745),"",B745&amp;"|"&amp;C745)</f>
        <v/>
      </c>
      <c r="B745" s="138"/>
      <c r="C745" s="138"/>
      <c r="D745" s="138"/>
      <c r="E745" s="143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customFormat="false" ht="15.75" hidden="false" customHeight="false" outlineLevel="0" collapsed="false">
      <c r="A746" s="138" t="str">
        <f aca="false">IF(ISBLANK(B746),"",B746&amp;"|"&amp;C746)</f>
        <v/>
      </c>
      <c r="B746" s="138"/>
      <c r="C746" s="138"/>
      <c r="D746" s="138"/>
      <c r="E746" s="143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customFormat="false" ht="15.75" hidden="false" customHeight="false" outlineLevel="0" collapsed="false">
      <c r="A747" s="138" t="str">
        <f aca="false">IF(ISBLANK(B747),"",B747&amp;"|"&amp;C747)</f>
        <v/>
      </c>
      <c r="B747" s="138"/>
      <c r="C747" s="138"/>
      <c r="D747" s="138"/>
      <c r="E747" s="143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customFormat="false" ht="15.75" hidden="false" customHeight="false" outlineLevel="0" collapsed="false">
      <c r="A748" s="138" t="str">
        <f aca="false">IF(ISBLANK(B748),"",B748&amp;"|"&amp;C748)</f>
        <v/>
      </c>
      <c r="B748" s="138"/>
      <c r="C748" s="138"/>
      <c r="D748" s="138"/>
      <c r="E748" s="143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customFormat="false" ht="15.75" hidden="false" customHeight="false" outlineLevel="0" collapsed="false">
      <c r="A749" s="138" t="str">
        <f aca="false">IF(ISBLANK(B749),"",B749&amp;"|"&amp;C749)</f>
        <v/>
      </c>
      <c r="B749" s="138"/>
      <c r="C749" s="138"/>
      <c r="D749" s="138"/>
      <c r="E749" s="143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customFormat="false" ht="15.75" hidden="false" customHeight="false" outlineLevel="0" collapsed="false">
      <c r="A750" s="138" t="str">
        <f aca="false">IF(ISBLANK(B750),"",B750&amp;"|"&amp;C750)</f>
        <v/>
      </c>
      <c r="B750" s="138"/>
      <c r="C750" s="138"/>
      <c r="D750" s="138"/>
      <c r="E750" s="143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customFormat="false" ht="15.75" hidden="false" customHeight="false" outlineLevel="0" collapsed="false">
      <c r="A751" s="138" t="str">
        <f aca="false">IF(ISBLANK(B751),"",B751&amp;"|"&amp;C751)</f>
        <v/>
      </c>
      <c r="B751" s="138"/>
      <c r="C751" s="138"/>
      <c r="D751" s="138"/>
      <c r="E751" s="143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customFormat="false" ht="15.75" hidden="false" customHeight="false" outlineLevel="0" collapsed="false">
      <c r="A752" s="138" t="str">
        <f aca="false">IF(ISBLANK(B752),"",B752&amp;"|"&amp;C752)</f>
        <v/>
      </c>
      <c r="B752" s="138"/>
      <c r="C752" s="138"/>
      <c r="D752" s="138"/>
      <c r="E752" s="143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customFormat="false" ht="15.75" hidden="false" customHeight="false" outlineLevel="0" collapsed="false">
      <c r="A753" s="138" t="str">
        <f aca="false">IF(ISBLANK(B753),"",B753&amp;"|"&amp;C753)</f>
        <v/>
      </c>
      <c r="B753" s="138"/>
      <c r="C753" s="138"/>
      <c r="D753" s="138"/>
      <c r="E753" s="143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customFormat="false" ht="15.75" hidden="false" customHeight="false" outlineLevel="0" collapsed="false">
      <c r="A754" s="138" t="str">
        <f aca="false">IF(ISBLANK(B754),"",B754&amp;"|"&amp;C754)</f>
        <v/>
      </c>
      <c r="B754" s="138"/>
      <c r="C754" s="138"/>
      <c r="D754" s="138"/>
      <c r="E754" s="143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customFormat="false" ht="15.75" hidden="false" customHeight="false" outlineLevel="0" collapsed="false">
      <c r="A755" s="138" t="str">
        <f aca="false">IF(ISBLANK(B755),"",B755&amp;"|"&amp;C755)</f>
        <v/>
      </c>
      <c r="B755" s="138"/>
      <c r="C755" s="138"/>
      <c r="D755" s="138"/>
      <c r="E755" s="143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customFormat="false" ht="15.75" hidden="false" customHeight="false" outlineLevel="0" collapsed="false">
      <c r="A756" s="138" t="str">
        <f aca="false">IF(ISBLANK(B756),"",B756&amp;"|"&amp;C756)</f>
        <v/>
      </c>
      <c r="B756" s="138"/>
      <c r="C756" s="138"/>
      <c r="D756" s="138"/>
      <c r="E756" s="143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customFormat="false" ht="15.75" hidden="false" customHeight="false" outlineLevel="0" collapsed="false">
      <c r="A757" s="138" t="str">
        <f aca="false">IF(ISBLANK(B757),"",B757&amp;"|"&amp;C757)</f>
        <v/>
      </c>
      <c r="B757" s="138"/>
      <c r="C757" s="138"/>
      <c r="D757" s="138"/>
      <c r="E757" s="143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customFormat="false" ht="15.75" hidden="false" customHeight="false" outlineLevel="0" collapsed="false">
      <c r="A758" s="138" t="str">
        <f aca="false">IF(ISBLANK(B758),"",B758&amp;"|"&amp;C758)</f>
        <v/>
      </c>
      <c r="B758" s="138"/>
      <c r="C758" s="138"/>
      <c r="D758" s="138"/>
      <c r="E758" s="143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customFormat="false" ht="15.75" hidden="false" customHeight="false" outlineLevel="0" collapsed="false">
      <c r="A759" s="138" t="str">
        <f aca="false">IF(ISBLANK(B759),"",B759&amp;"|"&amp;C759)</f>
        <v/>
      </c>
      <c r="B759" s="138"/>
      <c r="C759" s="138"/>
      <c r="D759" s="138"/>
      <c r="E759" s="143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customFormat="false" ht="15.75" hidden="false" customHeight="false" outlineLevel="0" collapsed="false">
      <c r="A760" s="138" t="str">
        <f aca="false">IF(ISBLANK(B760),"",B760&amp;"|"&amp;C760)</f>
        <v/>
      </c>
      <c r="B760" s="138"/>
      <c r="C760" s="138"/>
      <c r="D760" s="138"/>
      <c r="E760" s="143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customFormat="false" ht="15.75" hidden="false" customHeight="false" outlineLevel="0" collapsed="false">
      <c r="A761" s="138" t="str">
        <f aca="false">IF(ISBLANK(B761),"",B761&amp;"|"&amp;C761)</f>
        <v/>
      </c>
      <c r="B761" s="138"/>
      <c r="C761" s="138"/>
      <c r="D761" s="138"/>
      <c r="E761" s="143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customFormat="false" ht="15.75" hidden="false" customHeight="false" outlineLevel="0" collapsed="false">
      <c r="A762" s="138" t="str">
        <f aca="false">IF(ISBLANK(B762),"",B762&amp;"|"&amp;C762)</f>
        <v/>
      </c>
      <c r="B762" s="138"/>
      <c r="C762" s="138"/>
      <c r="D762" s="138"/>
      <c r="E762" s="143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customFormat="false" ht="15.75" hidden="false" customHeight="false" outlineLevel="0" collapsed="false">
      <c r="A763" s="138" t="str">
        <f aca="false">IF(ISBLANK(B763),"",B763&amp;"|"&amp;C763)</f>
        <v/>
      </c>
      <c r="B763" s="138"/>
      <c r="C763" s="138"/>
      <c r="D763" s="138"/>
      <c r="E763" s="143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customFormat="false" ht="15.75" hidden="false" customHeight="false" outlineLevel="0" collapsed="false">
      <c r="A764" s="138" t="str">
        <f aca="false">IF(ISBLANK(B764),"",B764&amp;"|"&amp;C764)</f>
        <v/>
      </c>
      <c r="B764" s="138"/>
      <c r="C764" s="138"/>
      <c r="D764" s="138"/>
      <c r="E764" s="143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customFormat="false" ht="15.75" hidden="false" customHeight="false" outlineLevel="0" collapsed="false">
      <c r="A765" s="138" t="str">
        <f aca="false">IF(ISBLANK(B765),"",B765&amp;"|"&amp;C765)</f>
        <v/>
      </c>
      <c r="B765" s="138"/>
      <c r="C765" s="138"/>
      <c r="D765" s="138"/>
      <c r="E765" s="143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customFormat="false" ht="15.75" hidden="false" customHeight="false" outlineLevel="0" collapsed="false">
      <c r="A766" s="138" t="str">
        <f aca="false">IF(ISBLANK(B766),"",B766&amp;"|"&amp;C766)</f>
        <v/>
      </c>
      <c r="B766" s="138"/>
      <c r="C766" s="138"/>
      <c r="D766" s="138"/>
      <c r="E766" s="143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customFormat="false" ht="15.75" hidden="false" customHeight="false" outlineLevel="0" collapsed="false">
      <c r="A767" s="138" t="str">
        <f aca="false">IF(ISBLANK(B767),"",B767&amp;"|"&amp;C767)</f>
        <v/>
      </c>
      <c r="B767" s="138"/>
      <c r="C767" s="138"/>
      <c r="D767" s="138"/>
      <c r="E767" s="143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customFormat="false" ht="15.75" hidden="false" customHeight="false" outlineLevel="0" collapsed="false">
      <c r="A768" s="138" t="str">
        <f aca="false">IF(ISBLANK(B768),"",B768&amp;"|"&amp;C768)</f>
        <v/>
      </c>
      <c r="B768" s="138"/>
      <c r="C768" s="138"/>
      <c r="D768" s="138"/>
      <c r="E768" s="143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customFormat="false" ht="15.75" hidden="false" customHeight="false" outlineLevel="0" collapsed="false">
      <c r="A769" s="138" t="str">
        <f aca="false">IF(ISBLANK(B769),"",B769&amp;"|"&amp;C769)</f>
        <v/>
      </c>
      <c r="B769" s="138"/>
      <c r="C769" s="138"/>
      <c r="D769" s="138"/>
      <c r="E769" s="143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customFormat="false" ht="15.75" hidden="false" customHeight="false" outlineLevel="0" collapsed="false">
      <c r="A770" s="138" t="str">
        <f aca="false">IF(ISBLANK(B770),"",B770&amp;"|"&amp;C770)</f>
        <v/>
      </c>
      <c r="B770" s="138"/>
      <c r="C770" s="138"/>
      <c r="D770" s="138"/>
      <c r="E770" s="143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customFormat="false" ht="15.75" hidden="false" customHeight="false" outlineLevel="0" collapsed="false">
      <c r="A771" s="138" t="str">
        <f aca="false">IF(ISBLANK(B771),"",B771&amp;"|"&amp;C771)</f>
        <v/>
      </c>
      <c r="B771" s="138"/>
      <c r="C771" s="138"/>
      <c r="D771" s="138"/>
      <c r="E771" s="143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customFormat="false" ht="15.75" hidden="false" customHeight="false" outlineLevel="0" collapsed="false">
      <c r="A772" s="138" t="str">
        <f aca="false">IF(ISBLANK(B772),"",B772&amp;"|"&amp;C772)</f>
        <v/>
      </c>
      <c r="B772" s="138"/>
      <c r="C772" s="138"/>
      <c r="D772" s="138"/>
      <c r="E772" s="143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customFormat="false" ht="15.75" hidden="false" customHeight="false" outlineLevel="0" collapsed="false">
      <c r="A773" s="138" t="str">
        <f aca="false">IF(ISBLANK(B773),"",B773&amp;"|"&amp;C773)</f>
        <v/>
      </c>
      <c r="B773" s="138"/>
      <c r="C773" s="138"/>
      <c r="D773" s="138"/>
      <c r="E773" s="143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customFormat="false" ht="15.75" hidden="false" customHeight="false" outlineLevel="0" collapsed="false">
      <c r="A774" s="138" t="str">
        <f aca="false">IF(ISBLANK(B774),"",B774&amp;"|"&amp;C774)</f>
        <v/>
      </c>
      <c r="B774" s="138"/>
      <c r="C774" s="138"/>
      <c r="D774" s="138"/>
      <c r="E774" s="143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customFormat="false" ht="15.75" hidden="false" customHeight="false" outlineLevel="0" collapsed="false">
      <c r="A775" s="138" t="str">
        <f aca="false">IF(ISBLANK(B775),"",B775&amp;"|"&amp;C775)</f>
        <v/>
      </c>
      <c r="B775" s="138"/>
      <c r="C775" s="138"/>
      <c r="D775" s="138"/>
      <c r="E775" s="143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customFormat="false" ht="15.75" hidden="false" customHeight="false" outlineLevel="0" collapsed="false">
      <c r="A776" s="138" t="str">
        <f aca="false">IF(ISBLANK(B776),"",B776&amp;"|"&amp;C776)</f>
        <v/>
      </c>
      <c r="B776" s="138"/>
      <c r="C776" s="138"/>
      <c r="D776" s="138"/>
      <c r="E776" s="143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customFormat="false" ht="15.75" hidden="false" customHeight="false" outlineLevel="0" collapsed="false">
      <c r="A777" s="138" t="str">
        <f aca="false">IF(ISBLANK(B777),"",B777&amp;"|"&amp;C777)</f>
        <v/>
      </c>
      <c r="B777" s="138"/>
      <c r="C777" s="138"/>
      <c r="D777" s="138"/>
      <c r="E777" s="143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customFormat="false" ht="15.75" hidden="false" customHeight="false" outlineLevel="0" collapsed="false">
      <c r="A778" s="138" t="str">
        <f aca="false">IF(ISBLANK(B778),"",B778&amp;"|"&amp;C778)</f>
        <v/>
      </c>
      <c r="B778" s="138"/>
      <c r="C778" s="138"/>
      <c r="D778" s="138"/>
      <c r="E778" s="143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customFormat="false" ht="15.75" hidden="false" customHeight="false" outlineLevel="0" collapsed="false">
      <c r="A779" s="138" t="str">
        <f aca="false">IF(ISBLANK(B779),"",B779&amp;"|"&amp;C779)</f>
        <v/>
      </c>
      <c r="B779" s="138"/>
      <c r="C779" s="138"/>
      <c r="D779" s="138"/>
      <c r="E779" s="143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customFormat="false" ht="15.75" hidden="false" customHeight="false" outlineLevel="0" collapsed="false">
      <c r="A780" s="138" t="str">
        <f aca="false">IF(ISBLANK(B780),"",B780&amp;"|"&amp;C780)</f>
        <v/>
      </c>
      <c r="B780" s="138"/>
      <c r="C780" s="138"/>
      <c r="D780" s="138"/>
      <c r="E780" s="143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customFormat="false" ht="15.75" hidden="false" customHeight="false" outlineLevel="0" collapsed="false">
      <c r="A781" s="138" t="str">
        <f aca="false">IF(ISBLANK(B781),"",B781&amp;"|"&amp;C781)</f>
        <v/>
      </c>
      <c r="B781" s="138"/>
      <c r="C781" s="138"/>
      <c r="D781" s="138"/>
      <c r="E781" s="143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customFormat="false" ht="15.75" hidden="false" customHeight="false" outlineLevel="0" collapsed="false">
      <c r="A782" s="138" t="str">
        <f aca="false">IF(ISBLANK(B782),"",B782&amp;"|"&amp;C782)</f>
        <v/>
      </c>
      <c r="B782" s="138"/>
      <c r="C782" s="138"/>
      <c r="D782" s="138"/>
      <c r="E782" s="143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customFormat="false" ht="15.75" hidden="false" customHeight="false" outlineLevel="0" collapsed="false">
      <c r="A783" s="138" t="str">
        <f aca="false">IF(ISBLANK(B783),"",B783&amp;"|"&amp;C783)</f>
        <v/>
      </c>
      <c r="B783" s="138"/>
      <c r="C783" s="138"/>
      <c r="D783" s="138"/>
      <c r="E783" s="143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customFormat="false" ht="15.75" hidden="false" customHeight="false" outlineLevel="0" collapsed="false">
      <c r="A784" s="138" t="str">
        <f aca="false">IF(ISBLANK(B784),"",B784&amp;"|"&amp;C784)</f>
        <v/>
      </c>
      <c r="B784" s="138"/>
      <c r="C784" s="138"/>
      <c r="D784" s="138"/>
      <c r="E784" s="143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customFormat="false" ht="15.75" hidden="false" customHeight="false" outlineLevel="0" collapsed="false">
      <c r="A785" s="138" t="str">
        <f aca="false">IF(ISBLANK(B785),"",B785&amp;"|"&amp;C785)</f>
        <v/>
      </c>
      <c r="B785" s="138"/>
      <c r="C785" s="138"/>
      <c r="D785" s="138"/>
      <c r="E785" s="143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customFormat="false" ht="15.75" hidden="false" customHeight="false" outlineLevel="0" collapsed="false">
      <c r="A786" s="138" t="str">
        <f aca="false">IF(ISBLANK(B786),"",B786&amp;"|"&amp;C786)</f>
        <v/>
      </c>
      <c r="B786" s="138"/>
      <c r="C786" s="138"/>
      <c r="D786" s="138"/>
      <c r="E786" s="143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customFormat="false" ht="15.75" hidden="false" customHeight="false" outlineLevel="0" collapsed="false">
      <c r="A787" s="138" t="str">
        <f aca="false">IF(ISBLANK(B787),"",B787&amp;"|"&amp;C787)</f>
        <v/>
      </c>
      <c r="B787" s="138"/>
      <c r="C787" s="138"/>
      <c r="D787" s="138"/>
      <c r="E787" s="143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customFormat="false" ht="15.75" hidden="false" customHeight="false" outlineLevel="0" collapsed="false">
      <c r="A788" s="138" t="str">
        <f aca="false">IF(ISBLANK(B788),"",B788&amp;"|"&amp;C788)</f>
        <v/>
      </c>
      <c r="B788" s="138"/>
      <c r="C788" s="138"/>
      <c r="D788" s="138"/>
      <c r="E788" s="143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customFormat="false" ht="15.75" hidden="false" customHeight="false" outlineLevel="0" collapsed="false">
      <c r="A789" s="138" t="str">
        <f aca="false">IF(ISBLANK(B789),"",B789&amp;"|"&amp;C789)</f>
        <v/>
      </c>
      <c r="B789" s="138"/>
      <c r="C789" s="138"/>
      <c r="D789" s="138"/>
      <c r="E789" s="143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customFormat="false" ht="15.75" hidden="false" customHeight="false" outlineLevel="0" collapsed="false">
      <c r="A790" s="138" t="str">
        <f aca="false">IF(ISBLANK(B790),"",B790&amp;"|"&amp;C790)</f>
        <v/>
      </c>
      <c r="B790" s="138"/>
      <c r="C790" s="138"/>
      <c r="D790" s="138"/>
      <c r="E790" s="143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customFormat="false" ht="15.75" hidden="false" customHeight="false" outlineLevel="0" collapsed="false">
      <c r="A791" s="138" t="str">
        <f aca="false">IF(ISBLANK(B791),"",B791&amp;"|"&amp;C791)</f>
        <v/>
      </c>
      <c r="B791" s="138"/>
      <c r="C791" s="138"/>
      <c r="D791" s="138"/>
      <c r="E791" s="143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customFormat="false" ht="15.75" hidden="false" customHeight="false" outlineLevel="0" collapsed="false">
      <c r="A792" s="138" t="str">
        <f aca="false">IF(ISBLANK(B792),"",B792&amp;"|"&amp;C792)</f>
        <v/>
      </c>
      <c r="B792" s="138"/>
      <c r="C792" s="138"/>
      <c r="D792" s="138"/>
      <c r="E792" s="143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customFormat="false" ht="15.75" hidden="false" customHeight="false" outlineLevel="0" collapsed="false">
      <c r="A793" s="138" t="str">
        <f aca="false">IF(ISBLANK(B793),"",B793&amp;"|"&amp;C793)</f>
        <v/>
      </c>
      <c r="B793" s="138"/>
      <c r="C793" s="138"/>
      <c r="D793" s="138"/>
      <c r="E793" s="143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customFormat="false" ht="15.75" hidden="false" customHeight="false" outlineLevel="0" collapsed="false">
      <c r="A794" s="138" t="str">
        <f aca="false">IF(ISBLANK(B794),"",B794&amp;"|"&amp;C794)</f>
        <v/>
      </c>
      <c r="B794" s="138"/>
      <c r="C794" s="138"/>
      <c r="D794" s="138"/>
      <c r="E794" s="143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customFormat="false" ht="15.75" hidden="false" customHeight="false" outlineLevel="0" collapsed="false">
      <c r="A795" s="138" t="str">
        <f aca="false">IF(ISBLANK(B795),"",B795&amp;"|"&amp;C795)</f>
        <v/>
      </c>
      <c r="B795" s="138"/>
      <c r="C795" s="138"/>
      <c r="D795" s="138"/>
      <c r="E795" s="143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customFormat="false" ht="15.75" hidden="false" customHeight="false" outlineLevel="0" collapsed="false">
      <c r="A796" s="138" t="str">
        <f aca="false">IF(ISBLANK(B796),"",B796&amp;"|"&amp;C796)</f>
        <v/>
      </c>
      <c r="B796" s="138"/>
      <c r="C796" s="138"/>
      <c r="D796" s="138"/>
      <c r="E796" s="143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customFormat="false" ht="15.75" hidden="false" customHeight="false" outlineLevel="0" collapsed="false">
      <c r="A797" s="138" t="str">
        <f aca="false">IF(ISBLANK(B797),"",B797&amp;"|"&amp;C797)</f>
        <v/>
      </c>
      <c r="B797" s="138"/>
      <c r="C797" s="138"/>
      <c r="D797" s="138"/>
      <c r="E797" s="143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customFormat="false" ht="15.75" hidden="false" customHeight="false" outlineLevel="0" collapsed="false">
      <c r="A798" s="138" t="str">
        <f aca="false">IF(ISBLANK(B798),"",B798&amp;"|"&amp;C798)</f>
        <v/>
      </c>
      <c r="B798" s="138"/>
      <c r="C798" s="138"/>
      <c r="D798" s="138"/>
      <c r="E798" s="143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customFormat="false" ht="15.75" hidden="false" customHeight="false" outlineLevel="0" collapsed="false">
      <c r="A799" s="138" t="str">
        <f aca="false">IF(ISBLANK(B799),"",B799&amp;"|"&amp;C799)</f>
        <v/>
      </c>
      <c r="B799" s="138"/>
      <c r="C799" s="138"/>
      <c r="D799" s="138"/>
      <c r="E799" s="143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customFormat="false" ht="15.75" hidden="false" customHeight="false" outlineLevel="0" collapsed="false">
      <c r="A800" s="138" t="str">
        <f aca="false">IF(ISBLANK(B800),"",B800&amp;"|"&amp;C800)</f>
        <v/>
      </c>
      <c r="B800" s="138"/>
      <c r="C800" s="138"/>
      <c r="D800" s="138"/>
      <c r="E800" s="143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customFormat="false" ht="15.75" hidden="false" customHeight="false" outlineLevel="0" collapsed="false">
      <c r="A801" s="138" t="str">
        <f aca="false">IF(ISBLANK(B801),"",B801&amp;"|"&amp;C801)</f>
        <v/>
      </c>
      <c r="B801" s="138"/>
      <c r="C801" s="138"/>
      <c r="D801" s="138"/>
      <c r="E801" s="143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customFormat="false" ht="15.75" hidden="false" customHeight="false" outlineLevel="0" collapsed="false">
      <c r="A802" s="138" t="str">
        <f aca="false">IF(ISBLANK(B802),"",B802&amp;"|"&amp;C802)</f>
        <v/>
      </c>
      <c r="B802" s="138"/>
      <c r="C802" s="138"/>
      <c r="D802" s="138"/>
      <c r="E802" s="143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customFormat="false" ht="15.75" hidden="false" customHeight="false" outlineLevel="0" collapsed="false">
      <c r="A803" s="138" t="str">
        <f aca="false">IF(ISBLANK(B803),"",B803&amp;"|"&amp;C803)</f>
        <v/>
      </c>
      <c r="B803" s="138"/>
      <c r="C803" s="138"/>
      <c r="D803" s="138"/>
      <c r="E803" s="143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customFormat="false" ht="15.75" hidden="false" customHeight="false" outlineLevel="0" collapsed="false">
      <c r="A804" s="138" t="str">
        <f aca="false">IF(ISBLANK(B804),"",B804&amp;"|"&amp;C804)</f>
        <v/>
      </c>
      <c r="B804" s="138"/>
      <c r="C804" s="138"/>
      <c r="D804" s="138"/>
      <c r="E804" s="143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customFormat="false" ht="15.75" hidden="false" customHeight="false" outlineLevel="0" collapsed="false">
      <c r="A805" s="138" t="str">
        <f aca="false">IF(ISBLANK(B805),"",B805&amp;"|"&amp;C805)</f>
        <v/>
      </c>
      <c r="B805" s="138"/>
      <c r="C805" s="138"/>
      <c r="D805" s="138"/>
      <c r="E805" s="143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customFormat="false" ht="15.75" hidden="false" customHeight="false" outlineLevel="0" collapsed="false">
      <c r="A806" s="138" t="str">
        <f aca="false">IF(ISBLANK(B806),"",B806&amp;"|"&amp;C806)</f>
        <v/>
      </c>
      <c r="B806" s="138"/>
      <c r="C806" s="138"/>
      <c r="D806" s="138"/>
      <c r="E806" s="143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customFormat="false" ht="15.75" hidden="false" customHeight="false" outlineLevel="0" collapsed="false">
      <c r="A807" s="138" t="str">
        <f aca="false">IF(ISBLANK(B807),"",B807&amp;"|"&amp;C807)</f>
        <v/>
      </c>
      <c r="B807" s="138"/>
      <c r="C807" s="138"/>
      <c r="D807" s="138"/>
      <c r="E807" s="143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customFormat="false" ht="15.75" hidden="false" customHeight="false" outlineLevel="0" collapsed="false">
      <c r="A808" s="138" t="str">
        <f aca="false">IF(ISBLANK(B808),"",B808&amp;"|"&amp;C808)</f>
        <v/>
      </c>
      <c r="B808" s="138"/>
      <c r="C808" s="138"/>
      <c r="D808" s="138"/>
      <c r="E808" s="143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customFormat="false" ht="15.75" hidden="false" customHeight="false" outlineLevel="0" collapsed="false">
      <c r="A809" s="138" t="str">
        <f aca="false">IF(ISBLANK(B809),"",B809&amp;"|"&amp;C809)</f>
        <v/>
      </c>
      <c r="B809" s="138"/>
      <c r="C809" s="138"/>
      <c r="D809" s="138"/>
      <c r="E809" s="143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customFormat="false" ht="15.75" hidden="false" customHeight="false" outlineLevel="0" collapsed="false">
      <c r="A810" s="138" t="str">
        <f aca="false">IF(ISBLANK(B810),"",B810&amp;"|"&amp;C810)</f>
        <v/>
      </c>
      <c r="B810" s="138"/>
      <c r="C810" s="138"/>
      <c r="D810" s="138"/>
      <c r="E810" s="143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customFormat="false" ht="15.75" hidden="false" customHeight="false" outlineLevel="0" collapsed="false">
      <c r="A811" s="138" t="str">
        <f aca="false">IF(ISBLANK(B811),"",B811&amp;"|"&amp;C811)</f>
        <v/>
      </c>
      <c r="B811" s="138"/>
      <c r="C811" s="138"/>
      <c r="D811" s="138"/>
      <c r="E811" s="143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customFormat="false" ht="15.75" hidden="false" customHeight="false" outlineLevel="0" collapsed="false">
      <c r="A812" s="138" t="str">
        <f aca="false">IF(ISBLANK(B812),"",B812&amp;"|"&amp;C812)</f>
        <v/>
      </c>
      <c r="B812" s="138"/>
      <c r="C812" s="138"/>
      <c r="D812" s="138"/>
      <c r="E812" s="143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customFormat="false" ht="15.75" hidden="false" customHeight="false" outlineLevel="0" collapsed="false">
      <c r="A813" s="138" t="str">
        <f aca="false">IF(ISBLANK(B813),"",B813&amp;"|"&amp;C813)</f>
        <v/>
      </c>
      <c r="B813" s="138"/>
      <c r="C813" s="138"/>
      <c r="D813" s="138"/>
      <c r="E813" s="143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customFormat="false" ht="15.75" hidden="false" customHeight="false" outlineLevel="0" collapsed="false">
      <c r="A814" s="138" t="str">
        <f aca="false">IF(ISBLANK(B814),"",B814&amp;"|"&amp;C814)</f>
        <v/>
      </c>
      <c r="B814" s="138"/>
      <c r="C814" s="138"/>
      <c r="D814" s="138"/>
      <c r="E814" s="143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customFormat="false" ht="15.75" hidden="false" customHeight="false" outlineLevel="0" collapsed="false">
      <c r="A815" s="138" t="str">
        <f aca="false">IF(ISBLANK(B815),"",B815&amp;"|"&amp;C815)</f>
        <v/>
      </c>
      <c r="B815" s="138"/>
      <c r="C815" s="138"/>
      <c r="D815" s="138"/>
      <c r="E815" s="143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customFormat="false" ht="15.75" hidden="false" customHeight="false" outlineLevel="0" collapsed="false">
      <c r="A816" s="138" t="str">
        <f aca="false">IF(ISBLANK(B816),"",B816&amp;"|"&amp;C816)</f>
        <v/>
      </c>
      <c r="B816" s="138"/>
      <c r="C816" s="138"/>
      <c r="D816" s="138"/>
      <c r="E816" s="143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customFormat="false" ht="15.75" hidden="false" customHeight="false" outlineLevel="0" collapsed="false">
      <c r="A817" s="138" t="str">
        <f aca="false">IF(ISBLANK(B817),"",B817&amp;"|"&amp;C817)</f>
        <v/>
      </c>
      <c r="B817" s="138"/>
      <c r="C817" s="138"/>
      <c r="D817" s="138"/>
      <c r="E817" s="143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customFormat="false" ht="15.75" hidden="false" customHeight="false" outlineLevel="0" collapsed="false">
      <c r="A818" s="138" t="str">
        <f aca="false">IF(ISBLANK(B818),"",B818&amp;"|"&amp;C818)</f>
        <v/>
      </c>
      <c r="B818" s="138"/>
      <c r="C818" s="138"/>
      <c r="D818" s="138"/>
      <c r="E818" s="143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customFormat="false" ht="15.75" hidden="false" customHeight="false" outlineLevel="0" collapsed="false">
      <c r="A819" s="138" t="str">
        <f aca="false">IF(ISBLANK(B819),"",B819&amp;"|"&amp;C819)</f>
        <v/>
      </c>
      <c r="B819" s="138"/>
      <c r="C819" s="138"/>
      <c r="D819" s="138"/>
      <c r="E819" s="143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customFormat="false" ht="15.75" hidden="false" customHeight="false" outlineLevel="0" collapsed="false">
      <c r="A820" s="138" t="str">
        <f aca="false">IF(ISBLANK(B820),"",B820&amp;"|"&amp;C820)</f>
        <v/>
      </c>
      <c r="B820" s="138"/>
      <c r="C820" s="138"/>
      <c r="D820" s="138"/>
      <c r="E820" s="143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customFormat="false" ht="15.75" hidden="false" customHeight="false" outlineLevel="0" collapsed="false">
      <c r="A821" s="138" t="str">
        <f aca="false">IF(ISBLANK(B821),"",B821&amp;"|"&amp;C821)</f>
        <v/>
      </c>
      <c r="B821" s="138"/>
      <c r="C821" s="138"/>
      <c r="D821" s="138"/>
      <c r="E821" s="143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customFormat="false" ht="15.75" hidden="false" customHeight="false" outlineLevel="0" collapsed="false">
      <c r="A822" s="138" t="str">
        <f aca="false">IF(ISBLANK(B822),"",B822&amp;"|"&amp;C822)</f>
        <v/>
      </c>
      <c r="B822" s="138"/>
      <c r="C822" s="138"/>
      <c r="D822" s="138"/>
      <c r="E822" s="143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customFormat="false" ht="15.75" hidden="false" customHeight="false" outlineLevel="0" collapsed="false">
      <c r="A823" s="138" t="str">
        <f aca="false">IF(ISBLANK(B823),"",B823&amp;"|"&amp;C823)</f>
        <v/>
      </c>
      <c r="B823" s="138"/>
      <c r="C823" s="138"/>
      <c r="D823" s="138"/>
      <c r="E823" s="143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customFormat="false" ht="15.75" hidden="false" customHeight="false" outlineLevel="0" collapsed="false">
      <c r="A824" s="138" t="str">
        <f aca="false">IF(ISBLANK(B824),"",B824&amp;"|"&amp;C824)</f>
        <v/>
      </c>
      <c r="B824" s="138"/>
      <c r="C824" s="138"/>
      <c r="D824" s="138"/>
      <c r="E824" s="143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customFormat="false" ht="15.75" hidden="false" customHeight="false" outlineLevel="0" collapsed="false">
      <c r="A825" s="138" t="str">
        <f aca="false">IF(ISBLANK(B825),"",B825&amp;"|"&amp;C825)</f>
        <v/>
      </c>
      <c r="B825" s="138"/>
      <c r="C825" s="138"/>
      <c r="D825" s="138"/>
      <c r="E825" s="143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customFormat="false" ht="15.75" hidden="false" customHeight="false" outlineLevel="0" collapsed="false">
      <c r="A826" s="138" t="str">
        <f aca="false">IF(ISBLANK(B826),"",B826&amp;"|"&amp;C826)</f>
        <v/>
      </c>
      <c r="B826" s="138"/>
      <c r="C826" s="138"/>
      <c r="D826" s="138"/>
      <c r="E826" s="143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customFormat="false" ht="15.75" hidden="false" customHeight="false" outlineLevel="0" collapsed="false">
      <c r="A827" s="138" t="str">
        <f aca="false">IF(ISBLANK(B827),"",B827&amp;"|"&amp;C827)</f>
        <v/>
      </c>
      <c r="B827" s="138"/>
      <c r="C827" s="138"/>
      <c r="D827" s="138"/>
      <c r="E827" s="143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customFormat="false" ht="15.75" hidden="false" customHeight="false" outlineLevel="0" collapsed="false">
      <c r="A828" s="138" t="str">
        <f aca="false">IF(ISBLANK(B828),"",B828&amp;"|"&amp;C828)</f>
        <v/>
      </c>
      <c r="B828" s="138"/>
      <c r="C828" s="138"/>
      <c r="D828" s="138"/>
      <c r="E828" s="143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customFormat="false" ht="15.75" hidden="false" customHeight="false" outlineLevel="0" collapsed="false">
      <c r="A829" s="138" t="str">
        <f aca="false">IF(ISBLANK(B829),"",B829&amp;"|"&amp;C829)</f>
        <v/>
      </c>
      <c r="B829" s="138"/>
      <c r="C829" s="138"/>
      <c r="D829" s="138"/>
      <c r="E829" s="143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customFormat="false" ht="15.75" hidden="false" customHeight="false" outlineLevel="0" collapsed="false">
      <c r="A830" s="138" t="str">
        <f aca="false">IF(ISBLANK(B830),"",B830&amp;"|"&amp;C830)</f>
        <v/>
      </c>
      <c r="B830" s="138"/>
      <c r="C830" s="138"/>
      <c r="D830" s="138"/>
      <c r="E830" s="143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customFormat="false" ht="15.75" hidden="false" customHeight="false" outlineLevel="0" collapsed="false">
      <c r="A831" s="138" t="str">
        <f aca="false">IF(ISBLANK(B831),"",B831&amp;"|"&amp;C831)</f>
        <v/>
      </c>
      <c r="B831" s="138"/>
      <c r="C831" s="138"/>
      <c r="D831" s="138"/>
      <c r="E831" s="143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customFormat="false" ht="15.75" hidden="false" customHeight="false" outlineLevel="0" collapsed="false">
      <c r="A832" s="138" t="str">
        <f aca="false">IF(ISBLANK(B832),"",B832&amp;"|"&amp;C832)</f>
        <v/>
      </c>
      <c r="B832" s="138"/>
      <c r="C832" s="138"/>
      <c r="D832" s="138"/>
      <c r="E832" s="143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customFormat="false" ht="15.75" hidden="false" customHeight="false" outlineLevel="0" collapsed="false">
      <c r="A833" s="138" t="str">
        <f aca="false">IF(ISBLANK(B833),"",B833&amp;"|"&amp;C833)</f>
        <v/>
      </c>
      <c r="B833" s="138"/>
      <c r="C833" s="138"/>
      <c r="D833" s="138"/>
      <c r="E833" s="143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customFormat="false" ht="15.75" hidden="false" customHeight="false" outlineLevel="0" collapsed="false">
      <c r="A834" s="138" t="str">
        <f aca="false">IF(ISBLANK(B834),"",B834&amp;"|"&amp;C834)</f>
        <v/>
      </c>
      <c r="B834" s="138"/>
      <c r="C834" s="138"/>
      <c r="D834" s="138"/>
      <c r="E834" s="143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customFormat="false" ht="15.75" hidden="false" customHeight="false" outlineLevel="0" collapsed="false">
      <c r="A835" s="138" t="str">
        <f aca="false">IF(ISBLANK(B835),"",B835&amp;"|"&amp;C835)</f>
        <v/>
      </c>
      <c r="B835" s="138"/>
      <c r="C835" s="138"/>
      <c r="D835" s="138"/>
      <c r="E835" s="143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customFormat="false" ht="15.75" hidden="false" customHeight="false" outlineLevel="0" collapsed="false">
      <c r="A836" s="138" t="str">
        <f aca="false">IF(ISBLANK(B836),"",B836&amp;"|"&amp;C836)</f>
        <v/>
      </c>
      <c r="B836" s="138"/>
      <c r="C836" s="138"/>
      <c r="D836" s="138"/>
      <c r="E836" s="143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customFormat="false" ht="15.75" hidden="false" customHeight="false" outlineLevel="0" collapsed="false">
      <c r="A837" s="138" t="str">
        <f aca="false">IF(ISBLANK(B837),"",B837&amp;"|"&amp;C837)</f>
        <v/>
      </c>
      <c r="B837" s="138"/>
      <c r="C837" s="138"/>
      <c r="D837" s="138"/>
      <c r="E837" s="143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customFormat="false" ht="15.75" hidden="false" customHeight="false" outlineLevel="0" collapsed="false">
      <c r="A838" s="138" t="str">
        <f aca="false">IF(ISBLANK(B838),"",B838&amp;"|"&amp;C838)</f>
        <v/>
      </c>
      <c r="B838" s="138"/>
      <c r="C838" s="138"/>
      <c r="D838" s="138"/>
      <c r="E838" s="143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customFormat="false" ht="15.75" hidden="false" customHeight="false" outlineLevel="0" collapsed="false">
      <c r="A839" s="138" t="str">
        <f aca="false">IF(ISBLANK(B839),"",B839&amp;"|"&amp;C839)</f>
        <v/>
      </c>
      <c r="B839" s="138"/>
      <c r="C839" s="138"/>
      <c r="D839" s="138"/>
      <c r="E839" s="143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customFormat="false" ht="15.75" hidden="false" customHeight="false" outlineLevel="0" collapsed="false">
      <c r="A840" s="138" t="str">
        <f aca="false">IF(ISBLANK(B840),"",B840&amp;"|"&amp;C840)</f>
        <v/>
      </c>
      <c r="B840" s="138"/>
      <c r="C840" s="138"/>
      <c r="D840" s="138"/>
      <c r="E840" s="143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customFormat="false" ht="15.75" hidden="false" customHeight="false" outlineLevel="0" collapsed="false">
      <c r="A841" s="138" t="str">
        <f aca="false">IF(ISBLANK(B841),"",B841&amp;"|"&amp;C841)</f>
        <v/>
      </c>
      <c r="B841" s="138"/>
      <c r="C841" s="138"/>
      <c r="D841" s="138"/>
      <c r="E841" s="143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customFormat="false" ht="15.75" hidden="false" customHeight="false" outlineLevel="0" collapsed="false">
      <c r="A842" s="138" t="str">
        <f aca="false">IF(ISBLANK(B842),"",B842&amp;"|"&amp;C842)</f>
        <v/>
      </c>
      <c r="B842" s="138"/>
      <c r="C842" s="138"/>
      <c r="D842" s="138"/>
      <c r="E842" s="143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customFormat="false" ht="15.75" hidden="false" customHeight="false" outlineLevel="0" collapsed="false">
      <c r="A843" s="138" t="str">
        <f aca="false">IF(ISBLANK(B843),"",B843&amp;"|"&amp;C843)</f>
        <v/>
      </c>
      <c r="B843" s="138"/>
      <c r="C843" s="138"/>
      <c r="D843" s="138"/>
      <c r="E843" s="143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customFormat="false" ht="15.75" hidden="false" customHeight="false" outlineLevel="0" collapsed="false">
      <c r="A844" s="138" t="str">
        <f aca="false">IF(ISBLANK(B844),"",B844&amp;"|"&amp;C844)</f>
        <v/>
      </c>
      <c r="B844" s="138"/>
      <c r="C844" s="138"/>
      <c r="D844" s="138"/>
      <c r="E844" s="143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customFormat="false" ht="15.75" hidden="false" customHeight="false" outlineLevel="0" collapsed="false">
      <c r="A845" s="138" t="str">
        <f aca="false">IF(ISBLANK(B845),"",B845&amp;"|"&amp;C845)</f>
        <v/>
      </c>
      <c r="B845" s="138"/>
      <c r="C845" s="138"/>
      <c r="D845" s="138"/>
      <c r="E845" s="143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customFormat="false" ht="15.75" hidden="false" customHeight="false" outlineLevel="0" collapsed="false">
      <c r="A846" s="138" t="str">
        <f aca="false">IF(ISBLANK(B846),"",B846&amp;"|"&amp;C846)</f>
        <v/>
      </c>
      <c r="B846" s="138"/>
      <c r="C846" s="138"/>
      <c r="D846" s="138"/>
      <c r="E846" s="143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customFormat="false" ht="15.75" hidden="false" customHeight="false" outlineLevel="0" collapsed="false">
      <c r="A847" s="138" t="str">
        <f aca="false">IF(ISBLANK(B847),"",B847&amp;"|"&amp;C847)</f>
        <v/>
      </c>
      <c r="B847" s="138"/>
      <c r="C847" s="138"/>
      <c r="D847" s="138"/>
      <c r="E847" s="143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customFormat="false" ht="15.75" hidden="false" customHeight="false" outlineLevel="0" collapsed="false">
      <c r="A848" s="138" t="str">
        <f aca="false">IF(ISBLANK(B848),"",B848&amp;"|"&amp;C848)</f>
        <v/>
      </c>
      <c r="B848" s="138"/>
      <c r="C848" s="138"/>
      <c r="D848" s="138"/>
      <c r="E848" s="143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customFormat="false" ht="15.75" hidden="false" customHeight="false" outlineLevel="0" collapsed="false">
      <c r="A849" s="138" t="str">
        <f aca="false">IF(ISBLANK(B849),"",B849&amp;"|"&amp;C849)</f>
        <v/>
      </c>
      <c r="B849" s="138"/>
      <c r="C849" s="138"/>
      <c r="D849" s="138"/>
      <c r="E849" s="143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customFormat="false" ht="15.75" hidden="false" customHeight="false" outlineLevel="0" collapsed="false">
      <c r="A850" s="138" t="str">
        <f aca="false">IF(ISBLANK(B850),"",B850&amp;"|"&amp;C850)</f>
        <v/>
      </c>
      <c r="B850" s="138"/>
      <c r="C850" s="138"/>
      <c r="D850" s="138"/>
      <c r="E850" s="143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customFormat="false" ht="15.75" hidden="false" customHeight="false" outlineLevel="0" collapsed="false">
      <c r="A851" s="138" t="str">
        <f aca="false">IF(ISBLANK(B851),"",B851&amp;"|"&amp;C851)</f>
        <v/>
      </c>
      <c r="B851" s="138"/>
      <c r="C851" s="138"/>
      <c r="D851" s="138"/>
      <c r="E851" s="143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customFormat="false" ht="15.75" hidden="false" customHeight="false" outlineLevel="0" collapsed="false">
      <c r="A852" s="138" t="str">
        <f aca="false">IF(ISBLANK(B852),"",B852&amp;"|"&amp;C852)</f>
        <v/>
      </c>
      <c r="B852" s="138"/>
      <c r="C852" s="138"/>
      <c r="D852" s="138"/>
      <c r="E852" s="143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customFormat="false" ht="15.75" hidden="false" customHeight="false" outlineLevel="0" collapsed="false">
      <c r="A853" s="138" t="str">
        <f aca="false">IF(ISBLANK(B853),"",B853&amp;"|"&amp;C853)</f>
        <v/>
      </c>
      <c r="B853" s="138"/>
      <c r="C853" s="138"/>
      <c r="D853" s="138"/>
      <c r="E853" s="143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customFormat="false" ht="15.75" hidden="false" customHeight="false" outlineLevel="0" collapsed="false">
      <c r="A854" s="138" t="str">
        <f aca="false">IF(ISBLANK(B854),"",B854&amp;"|"&amp;C854)</f>
        <v/>
      </c>
      <c r="B854" s="138"/>
      <c r="C854" s="138"/>
      <c r="D854" s="138"/>
      <c r="E854" s="143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customFormat="false" ht="15.75" hidden="false" customHeight="false" outlineLevel="0" collapsed="false">
      <c r="A855" s="138" t="str">
        <f aca="false">IF(ISBLANK(B855),"",B855&amp;"|"&amp;C855)</f>
        <v/>
      </c>
      <c r="B855" s="138"/>
      <c r="C855" s="138"/>
      <c r="D855" s="138"/>
      <c r="E855" s="143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customFormat="false" ht="15.75" hidden="false" customHeight="false" outlineLevel="0" collapsed="false">
      <c r="A856" s="138" t="str">
        <f aca="false">IF(ISBLANK(B856),"",B856&amp;"|"&amp;C856)</f>
        <v/>
      </c>
      <c r="B856" s="138"/>
      <c r="C856" s="138"/>
      <c r="D856" s="138"/>
      <c r="E856" s="143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customFormat="false" ht="15.75" hidden="false" customHeight="false" outlineLevel="0" collapsed="false">
      <c r="A857" s="138" t="str">
        <f aca="false">IF(ISBLANK(B857),"",B857&amp;"|"&amp;C857)</f>
        <v/>
      </c>
      <c r="B857" s="138"/>
      <c r="C857" s="138"/>
      <c r="D857" s="138"/>
      <c r="E857" s="143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customFormat="false" ht="15.75" hidden="false" customHeight="false" outlineLevel="0" collapsed="false">
      <c r="A858" s="138" t="str">
        <f aca="false">IF(ISBLANK(B858),"",B858&amp;"|"&amp;C858)</f>
        <v/>
      </c>
      <c r="B858" s="138"/>
      <c r="C858" s="138"/>
      <c r="D858" s="138"/>
      <c r="E858" s="143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customFormat="false" ht="15.75" hidden="false" customHeight="false" outlineLevel="0" collapsed="false">
      <c r="A859" s="138" t="str">
        <f aca="false">IF(ISBLANK(B859),"",B859&amp;"|"&amp;C859)</f>
        <v/>
      </c>
      <c r="B859" s="138"/>
      <c r="C859" s="138"/>
      <c r="D859" s="138"/>
      <c r="E859" s="143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customFormat="false" ht="15.75" hidden="false" customHeight="false" outlineLevel="0" collapsed="false">
      <c r="A860" s="138" t="str">
        <f aca="false">IF(ISBLANK(B860),"",B860&amp;"|"&amp;C860)</f>
        <v/>
      </c>
      <c r="B860" s="138"/>
      <c r="C860" s="138"/>
      <c r="D860" s="138"/>
      <c r="E860" s="143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customFormat="false" ht="15.75" hidden="false" customHeight="false" outlineLevel="0" collapsed="false">
      <c r="A861" s="138" t="str">
        <f aca="false">IF(ISBLANK(B861),"",B861&amp;"|"&amp;C861)</f>
        <v/>
      </c>
      <c r="B861" s="138"/>
      <c r="C861" s="138"/>
      <c r="D861" s="138"/>
      <c r="E861" s="143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customFormat="false" ht="15.75" hidden="false" customHeight="false" outlineLevel="0" collapsed="false">
      <c r="A862" s="138" t="str">
        <f aca="false">IF(ISBLANK(B862),"",B862&amp;"|"&amp;C862)</f>
        <v/>
      </c>
      <c r="B862" s="138"/>
      <c r="C862" s="138"/>
      <c r="D862" s="138"/>
      <c r="E862" s="143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customFormat="false" ht="15.75" hidden="false" customHeight="false" outlineLevel="0" collapsed="false">
      <c r="A863" s="138" t="str">
        <f aca="false">IF(ISBLANK(B863),"",B863&amp;"|"&amp;C863)</f>
        <v/>
      </c>
      <c r="B863" s="138"/>
      <c r="C863" s="138"/>
      <c r="D863" s="138"/>
      <c r="E863" s="143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customFormat="false" ht="15.75" hidden="false" customHeight="false" outlineLevel="0" collapsed="false">
      <c r="A864" s="138" t="str">
        <f aca="false">IF(ISBLANK(B864),"",B864&amp;"|"&amp;C864)</f>
        <v/>
      </c>
      <c r="B864" s="138"/>
      <c r="C864" s="138"/>
      <c r="D864" s="138"/>
      <c r="E864" s="143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customFormat="false" ht="15.75" hidden="false" customHeight="false" outlineLevel="0" collapsed="false">
      <c r="A865" s="138" t="str">
        <f aca="false">IF(ISBLANK(B865),"",B865&amp;"|"&amp;C865)</f>
        <v/>
      </c>
      <c r="B865" s="138"/>
      <c r="C865" s="138"/>
      <c r="D865" s="138"/>
      <c r="E865" s="143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customFormat="false" ht="15.75" hidden="false" customHeight="false" outlineLevel="0" collapsed="false">
      <c r="A866" s="138" t="str">
        <f aca="false">IF(ISBLANK(B866),"",B866&amp;"|"&amp;C866)</f>
        <v/>
      </c>
      <c r="B866" s="138"/>
      <c r="C866" s="138"/>
      <c r="D866" s="138"/>
      <c r="E866" s="143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customFormat="false" ht="15.75" hidden="false" customHeight="false" outlineLevel="0" collapsed="false">
      <c r="A867" s="138" t="str">
        <f aca="false">IF(ISBLANK(B867),"",B867&amp;"|"&amp;C867)</f>
        <v/>
      </c>
      <c r="B867" s="138"/>
      <c r="C867" s="138"/>
      <c r="D867" s="138"/>
      <c r="E867" s="143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customFormat="false" ht="15.75" hidden="false" customHeight="false" outlineLevel="0" collapsed="false">
      <c r="A868" s="138" t="str">
        <f aca="false">IF(ISBLANK(B868),"",B868&amp;"|"&amp;C868)</f>
        <v/>
      </c>
      <c r="B868" s="138"/>
      <c r="C868" s="138"/>
      <c r="D868" s="138"/>
      <c r="E868" s="143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customFormat="false" ht="15.75" hidden="false" customHeight="false" outlineLevel="0" collapsed="false">
      <c r="A869" s="138" t="str">
        <f aca="false">IF(ISBLANK(B869),"",B869&amp;"|"&amp;C869)</f>
        <v/>
      </c>
      <c r="B869" s="138"/>
      <c r="C869" s="138"/>
      <c r="D869" s="138"/>
      <c r="E869" s="143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customFormat="false" ht="15.75" hidden="false" customHeight="false" outlineLevel="0" collapsed="false">
      <c r="A870" s="138" t="str">
        <f aca="false">IF(ISBLANK(B870),"",B870&amp;"|"&amp;C870)</f>
        <v/>
      </c>
      <c r="B870" s="138"/>
      <c r="C870" s="138"/>
      <c r="D870" s="138"/>
      <c r="E870" s="143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customFormat="false" ht="15.75" hidden="false" customHeight="false" outlineLevel="0" collapsed="false">
      <c r="A871" s="138" t="str">
        <f aca="false">IF(ISBLANK(B871),"",B871&amp;"|"&amp;C871)</f>
        <v/>
      </c>
      <c r="B871" s="138"/>
      <c r="C871" s="138"/>
      <c r="D871" s="138"/>
      <c r="E871" s="143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customFormat="false" ht="15.75" hidden="false" customHeight="false" outlineLevel="0" collapsed="false">
      <c r="A872" s="138" t="str">
        <f aca="false">IF(ISBLANK(B872),"",B872&amp;"|"&amp;C872)</f>
        <v/>
      </c>
      <c r="B872" s="138"/>
      <c r="C872" s="138"/>
      <c r="D872" s="138"/>
      <c r="E872" s="143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customFormat="false" ht="15.75" hidden="false" customHeight="false" outlineLevel="0" collapsed="false">
      <c r="A873" s="138" t="str">
        <f aca="false">IF(ISBLANK(B873),"",B873&amp;"|"&amp;C873)</f>
        <v/>
      </c>
      <c r="B873" s="138"/>
      <c r="C873" s="138"/>
      <c r="D873" s="138"/>
      <c r="E873" s="143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customFormat="false" ht="15.75" hidden="false" customHeight="false" outlineLevel="0" collapsed="false">
      <c r="A874" s="138" t="str">
        <f aca="false">IF(ISBLANK(B874),"",B874&amp;"|"&amp;C874)</f>
        <v/>
      </c>
      <c r="B874" s="138"/>
      <c r="C874" s="138"/>
      <c r="D874" s="138"/>
      <c r="E874" s="143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customFormat="false" ht="15.75" hidden="false" customHeight="false" outlineLevel="0" collapsed="false">
      <c r="A875" s="138" t="str">
        <f aca="false">IF(ISBLANK(B875),"",B875&amp;"|"&amp;C875)</f>
        <v/>
      </c>
      <c r="B875" s="138"/>
      <c r="C875" s="138"/>
      <c r="D875" s="138"/>
      <c r="E875" s="143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customFormat="false" ht="15.75" hidden="false" customHeight="false" outlineLevel="0" collapsed="false">
      <c r="A876" s="138" t="str">
        <f aca="false">IF(ISBLANK(B876),"",B876&amp;"|"&amp;C876)</f>
        <v/>
      </c>
      <c r="B876" s="138"/>
      <c r="C876" s="138"/>
      <c r="D876" s="138"/>
      <c r="E876" s="143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customFormat="false" ht="15.75" hidden="false" customHeight="false" outlineLevel="0" collapsed="false">
      <c r="A877" s="138" t="str">
        <f aca="false">IF(ISBLANK(B877),"",B877&amp;"|"&amp;C877)</f>
        <v/>
      </c>
      <c r="B877" s="138"/>
      <c r="C877" s="138"/>
      <c r="D877" s="138"/>
      <c r="E877" s="143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customFormat="false" ht="15.75" hidden="false" customHeight="false" outlineLevel="0" collapsed="false">
      <c r="A878" s="138" t="str">
        <f aca="false">IF(ISBLANK(B878),"",B878&amp;"|"&amp;C878)</f>
        <v/>
      </c>
      <c r="B878" s="138"/>
      <c r="C878" s="138"/>
      <c r="D878" s="138"/>
      <c r="E878" s="143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customFormat="false" ht="15.75" hidden="false" customHeight="false" outlineLevel="0" collapsed="false">
      <c r="A879" s="138" t="str">
        <f aca="false">IF(ISBLANK(B879),"",B879&amp;"|"&amp;C879)</f>
        <v/>
      </c>
      <c r="B879" s="138"/>
      <c r="C879" s="138"/>
      <c r="D879" s="138"/>
      <c r="E879" s="143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customFormat="false" ht="15.75" hidden="false" customHeight="false" outlineLevel="0" collapsed="false">
      <c r="A880" s="138" t="str">
        <f aca="false">IF(ISBLANK(B880),"",B880&amp;"|"&amp;C880)</f>
        <v/>
      </c>
      <c r="B880" s="138"/>
      <c r="C880" s="138"/>
      <c r="D880" s="138"/>
      <c r="E880" s="143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customFormat="false" ht="15.75" hidden="false" customHeight="false" outlineLevel="0" collapsed="false">
      <c r="A881" s="138" t="str">
        <f aca="false">IF(ISBLANK(B881),"",B881&amp;"|"&amp;C881)</f>
        <v/>
      </c>
      <c r="B881" s="138"/>
      <c r="C881" s="138"/>
      <c r="D881" s="138"/>
      <c r="E881" s="143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customFormat="false" ht="15.75" hidden="false" customHeight="false" outlineLevel="0" collapsed="false">
      <c r="A882" s="138" t="str">
        <f aca="false">IF(ISBLANK(B882),"",B882&amp;"|"&amp;C882)</f>
        <v/>
      </c>
      <c r="B882" s="138"/>
      <c r="C882" s="138"/>
      <c r="D882" s="138"/>
      <c r="E882" s="143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customFormat="false" ht="15.75" hidden="false" customHeight="false" outlineLevel="0" collapsed="false">
      <c r="A883" s="138" t="str">
        <f aca="false">IF(ISBLANK(B883),"",B883&amp;"|"&amp;C883)</f>
        <v/>
      </c>
      <c r="B883" s="138"/>
      <c r="C883" s="138"/>
      <c r="D883" s="138"/>
      <c r="E883" s="143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customFormat="false" ht="15.75" hidden="false" customHeight="false" outlineLevel="0" collapsed="false">
      <c r="A884" s="138" t="str">
        <f aca="false">IF(ISBLANK(B884),"",B884&amp;"|"&amp;C884)</f>
        <v/>
      </c>
      <c r="B884" s="138"/>
      <c r="C884" s="138"/>
      <c r="D884" s="138"/>
      <c r="E884" s="143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customFormat="false" ht="15.75" hidden="false" customHeight="false" outlineLevel="0" collapsed="false">
      <c r="A885" s="138" t="str">
        <f aca="false">IF(ISBLANK(B885),"",B885&amp;"|"&amp;C885)</f>
        <v/>
      </c>
      <c r="B885" s="138"/>
      <c r="C885" s="138"/>
      <c r="D885" s="138"/>
      <c r="E885" s="143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customFormat="false" ht="15.75" hidden="false" customHeight="false" outlineLevel="0" collapsed="false">
      <c r="A886" s="138" t="str">
        <f aca="false">IF(ISBLANK(B886),"",B886&amp;"|"&amp;C886)</f>
        <v/>
      </c>
      <c r="B886" s="138"/>
      <c r="C886" s="138"/>
      <c r="D886" s="138"/>
      <c r="E886" s="143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customFormat="false" ht="15.75" hidden="false" customHeight="false" outlineLevel="0" collapsed="false">
      <c r="A887" s="138" t="str">
        <f aca="false">IF(ISBLANK(B887),"",B887&amp;"|"&amp;C887)</f>
        <v/>
      </c>
      <c r="B887" s="138"/>
      <c r="C887" s="138"/>
      <c r="D887" s="138"/>
      <c r="E887" s="143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customFormat="false" ht="15.75" hidden="false" customHeight="false" outlineLevel="0" collapsed="false">
      <c r="A888" s="138" t="str">
        <f aca="false">IF(ISBLANK(B888),"",B888&amp;"|"&amp;C888)</f>
        <v/>
      </c>
      <c r="B888" s="138"/>
      <c r="C888" s="138"/>
      <c r="D888" s="138"/>
      <c r="E888" s="143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customFormat="false" ht="15.75" hidden="false" customHeight="false" outlineLevel="0" collapsed="false">
      <c r="A889" s="138" t="str">
        <f aca="false">IF(ISBLANK(B889),"",B889&amp;"|"&amp;C889)</f>
        <v/>
      </c>
      <c r="B889" s="138"/>
      <c r="C889" s="138"/>
      <c r="D889" s="138"/>
      <c r="E889" s="143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customFormat="false" ht="15.75" hidden="false" customHeight="false" outlineLevel="0" collapsed="false">
      <c r="A890" s="138" t="str">
        <f aca="false">IF(ISBLANK(B890),"",B890&amp;"|"&amp;C890)</f>
        <v/>
      </c>
      <c r="B890" s="138"/>
      <c r="C890" s="138"/>
      <c r="D890" s="138"/>
      <c r="E890" s="143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customFormat="false" ht="15.75" hidden="false" customHeight="false" outlineLevel="0" collapsed="false">
      <c r="A891" s="138" t="str">
        <f aca="false">IF(ISBLANK(B891),"",B891&amp;"|"&amp;C891)</f>
        <v/>
      </c>
      <c r="B891" s="138"/>
      <c r="C891" s="138"/>
      <c r="D891" s="138"/>
      <c r="E891" s="143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customFormat="false" ht="15.75" hidden="false" customHeight="false" outlineLevel="0" collapsed="false">
      <c r="A892" s="138" t="str">
        <f aca="false">IF(ISBLANK(B892),"",B892&amp;"|"&amp;C892)</f>
        <v/>
      </c>
      <c r="B892" s="138"/>
      <c r="C892" s="138"/>
      <c r="D892" s="138"/>
      <c r="E892" s="143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customFormat="false" ht="15.75" hidden="false" customHeight="false" outlineLevel="0" collapsed="false">
      <c r="A893" s="138" t="str">
        <f aca="false">IF(ISBLANK(B893),"",B893&amp;"|"&amp;C893)</f>
        <v/>
      </c>
      <c r="B893" s="138"/>
      <c r="C893" s="138"/>
      <c r="D893" s="138"/>
      <c r="E893" s="143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customFormat="false" ht="15.75" hidden="false" customHeight="false" outlineLevel="0" collapsed="false">
      <c r="A894" s="138" t="str">
        <f aca="false">IF(ISBLANK(B894),"",B894&amp;"|"&amp;C894)</f>
        <v/>
      </c>
      <c r="B894" s="138"/>
      <c r="C894" s="138"/>
      <c r="D894" s="138"/>
      <c r="E894" s="143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customFormat="false" ht="15.75" hidden="false" customHeight="false" outlineLevel="0" collapsed="false">
      <c r="A895" s="138" t="str">
        <f aca="false">IF(ISBLANK(B895),"",B895&amp;"|"&amp;C895)</f>
        <v/>
      </c>
      <c r="B895" s="138"/>
      <c r="C895" s="138"/>
      <c r="D895" s="138"/>
      <c r="E895" s="143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customFormat="false" ht="15.75" hidden="false" customHeight="false" outlineLevel="0" collapsed="false">
      <c r="A896" s="138" t="str">
        <f aca="false">IF(ISBLANK(B896),"",B896&amp;"|"&amp;C896)</f>
        <v/>
      </c>
      <c r="B896" s="138"/>
      <c r="C896" s="138"/>
      <c r="D896" s="138"/>
      <c r="E896" s="143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customFormat="false" ht="15.75" hidden="false" customHeight="false" outlineLevel="0" collapsed="false">
      <c r="A897" s="138" t="str">
        <f aca="false">IF(ISBLANK(B897),"",B897&amp;"|"&amp;C897)</f>
        <v/>
      </c>
      <c r="B897" s="138"/>
      <c r="C897" s="138"/>
      <c r="D897" s="138"/>
      <c r="E897" s="143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customFormat="false" ht="15.75" hidden="false" customHeight="false" outlineLevel="0" collapsed="false">
      <c r="A898" s="138" t="str">
        <f aca="false">IF(ISBLANK(B898),"",B898&amp;"|"&amp;C898)</f>
        <v/>
      </c>
      <c r="B898" s="138"/>
      <c r="C898" s="138"/>
      <c r="D898" s="138"/>
      <c r="E898" s="143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customFormat="false" ht="15.75" hidden="false" customHeight="false" outlineLevel="0" collapsed="false">
      <c r="A899" s="138" t="str">
        <f aca="false">IF(ISBLANK(B899),"",B899&amp;"|"&amp;C899)</f>
        <v/>
      </c>
      <c r="B899" s="138"/>
      <c r="C899" s="138"/>
      <c r="D899" s="138"/>
      <c r="E899" s="143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customFormat="false" ht="15.75" hidden="false" customHeight="false" outlineLevel="0" collapsed="false">
      <c r="A900" s="138" t="str">
        <f aca="false">IF(ISBLANK(B900),"",B900&amp;"|"&amp;C900)</f>
        <v/>
      </c>
      <c r="B900" s="138"/>
      <c r="C900" s="138"/>
      <c r="D900" s="138"/>
      <c r="E900" s="143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customFormat="false" ht="15.75" hidden="false" customHeight="false" outlineLevel="0" collapsed="false">
      <c r="A901" s="138" t="str">
        <f aca="false">IF(ISBLANK(B901),"",B901&amp;"|"&amp;C901)</f>
        <v/>
      </c>
      <c r="B901" s="138"/>
      <c r="C901" s="138"/>
      <c r="D901" s="138"/>
      <c r="E901" s="143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customFormat="false" ht="15.75" hidden="false" customHeight="false" outlineLevel="0" collapsed="false">
      <c r="A902" s="138" t="str">
        <f aca="false">IF(ISBLANK(B902),"",B902&amp;"|"&amp;C902)</f>
        <v/>
      </c>
      <c r="B902" s="138"/>
      <c r="C902" s="138"/>
      <c r="D902" s="138"/>
      <c r="E902" s="143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customFormat="false" ht="15.75" hidden="false" customHeight="false" outlineLevel="0" collapsed="false">
      <c r="A903" s="138" t="str">
        <f aca="false">IF(ISBLANK(B903),"",B903&amp;"|"&amp;C903)</f>
        <v/>
      </c>
      <c r="B903" s="138"/>
      <c r="C903" s="138"/>
      <c r="D903" s="138"/>
      <c r="E903" s="143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customFormat="false" ht="15.75" hidden="false" customHeight="false" outlineLevel="0" collapsed="false">
      <c r="A904" s="138" t="str">
        <f aca="false">IF(ISBLANK(B904),"",B904&amp;"|"&amp;C904)</f>
        <v/>
      </c>
      <c r="B904" s="138"/>
      <c r="C904" s="138"/>
      <c r="D904" s="138"/>
      <c r="E904" s="143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customFormat="false" ht="15.75" hidden="false" customHeight="false" outlineLevel="0" collapsed="false">
      <c r="A905" s="138" t="str">
        <f aca="false">IF(ISBLANK(B905),"",B905&amp;"|"&amp;C905)</f>
        <v/>
      </c>
      <c r="B905" s="138"/>
      <c r="C905" s="138"/>
      <c r="D905" s="138"/>
      <c r="E905" s="143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customFormat="false" ht="15.75" hidden="false" customHeight="false" outlineLevel="0" collapsed="false">
      <c r="A906" s="138" t="str">
        <f aca="false">IF(ISBLANK(B906),"",B906&amp;"|"&amp;C906)</f>
        <v/>
      </c>
      <c r="B906" s="138"/>
      <c r="C906" s="138"/>
      <c r="D906" s="138"/>
      <c r="E906" s="143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customFormat="false" ht="15.75" hidden="false" customHeight="false" outlineLevel="0" collapsed="false">
      <c r="A907" s="138" t="str">
        <f aca="false">IF(ISBLANK(B907),"",B907&amp;"|"&amp;C907)</f>
        <v/>
      </c>
      <c r="B907" s="138"/>
      <c r="C907" s="138"/>
      <c r="D907" s="138"/>
      <c r="E907" s="143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customFormat="false" ht="15.75" hidden="false" customHeight="false" outlineLevel="0" collapsed="false">
      <c r="A908" s="138" t="str">
        <f aca="false">IF(ISBLANK(B908),"",B908&amp;"|"&amp;C908)</f>
        <v/>
      </c>
      <c r="B908" s="138"/>
      <c r="C908" s="138"/>
      <c r="D908" s="138"/>
      <c r="E908" s="143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customFormat="false" ht="15.75" hidden="false" customHeight="false" outlineLevel="0" collapsed="false">
      <c r="A909" s="138" t="str">
        <f aca="false">IF(ISBLANK(B909),"",B909&amp;"|"&amp;C909)</f>
        <v/>
      </c>
      <c r="B909" s="138"/>
      <c r="C909" s="138"/>
      <c r="D909" s="138"/>
      <c r="E909" s="143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customFormat="false" ht="15.75" hidden="false" customHeight="false" outlineLevel="0" collapsed="false">
      <c r="A910" s="138" t="str">
        <f aca="false">IF(ISBLANK(B910),"",B910&amp;"|"&amp;C910)</f>
        <v/>
      </c>
      <c r="B910" s="138"/>
      <c r="C910" s="138"/>
      <c r="D910" s="138"/>
      <c r="E910" s="143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customFormat="false" ht="15.75" hidden="false" customHeight="false" outlineLevel="0" collapsed="false">
      <c r="A911" s="138" t="str">
        <f aca="false">IF(ISBLANK(B911),"",B911&amp;"|"&amp;C911)</f>
        <v/>
      </c>
      <c r="B911" s="138"/>
      <c r="C911" s="138"/>
      <c r="D911" s="138"/>
      <c r="E911" s="143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customFormat="false" ht="15.75" hidden="false" customHeight="false" outlineLevel="0" collapsed="false">
      <c r="A912" s="138" t="str">
        <f aca="false">IF(ISBLANK(B912),"",B912&amp;"|"&amp;C912)</f>
        <v/>
      </c>
      <c r="B912" s="138"/>
      <c r="C912" s="138"/>
      <c r="D912" s="138"/>
      <c r="E912" s="143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customFormat="false" ht="15.75" hidden="false" customHeight="false" outlineLevel="0" collapsed="false">
      <c r="A913" s="138" t="str">
        <f aca="false">IF(ISBLANK(B913),"",B913&amp;"|"&amp;C913)</f>
        <v/>
      </c>
      <c r="B913" s="138"/>
      <c r="C913" s="138"/>
      <c r="D913" s="138"/>
      <c r="E913" s="143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customFormat="false" ht="15.75" hidden="false" customHeight="false" outlineLevel="0" collapsed="false">
      <c r="A914" s="138" t="str">
        <f aca="false">IF(ISBLANK(B914),"",B914&amp;"|"&amp;C914)</f>
        <v/>
      </c>
      <c r="B914" s="138"/>
      <c r="C914" s="138"/>
      <c r="D914" s="138"/>
      <c r="E914" s="143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customFormat="false" ht="15.75" hidden="false" customHeight="false" outlineLevel="0" collapsed="false">
      <c r="A915" s="138" t="str">
        <f aca="false">IF(ISBLANK(B915),"",B915&amp;"|"&amp;C915)</f>
        <v/>
      </c>
      <c r="B915" s="138"/>
      <c r="C915" s="138"/>
      <c r="D915" s="138"/>
      <c r="E915" s="143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customFormat="false" ht="15.75" hidden="false" customHeight="false" outlineLevel="0" collapsed="false">
      <c r="A916" s="138" t="str">
        <f aca="false">IF(ISBLANK(B916),"",B916&amp;"|"&amp;C916)</f>
        <v/>
      </c>
      <c r="B916" s="138"/>
      <c r="C916" s="138"/>
      <c r="D916" s="138"/>
      <c r="E916" s="143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customFormat="false" ht="15.75" hidden="false" customHeight="false" outlineLevel="0" collapsed="false">
      <c r="A917" s="138" t="str">
        <f aca="false">IF(ISBLANK(B917),"",B917&amp;"|"&amp;C917)</f>
        <v/>
      </c>
      <c r="B917" s="138"/>
      <c r="C917" s="138"/>
      <c r="D917" s="138"/>
      <c r="E917" s="143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customFormat="false" ht="15.75" hidden="false" customHeight="false" outlineLevel="0" collapsed="false">
      <c r="A918" s="138" t="str">
        <f aca="false">IF(ISBLANK(B918),"",B918&amp;"|"&amp;C918)</f>
        <v/>
      </c>
      <c r="B918" s="138"/>
      <c r="C918" s="138"/>
      <c r="D918" s="138"/>
      <c r="E918" s="143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customFormat="false" ht="15.75" hidden="false" customHeight="false" outlineLevel="0" collapsed="false">
      <c r="A919" s="138" t="str">
        <f aca="false">IF(ISBLANK(B919),"",B919&amp;"|"&amp;C919)</f>
        <v/>
      </c>
      <c r="B919" s="138"/>
      <c r="C919" s="138"/>
      <c r="D919" s="138"/>
      <c r="E919" s="143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customFormat="false" ht="15.75" hidden="false" customHeight="false" outlineLevel="0" collapsed="false">
      <c r="A920" s="138" t="str">
        <f aca="false">IF(ISBLANK(B920),"",B920&amp;"|"&amp;C920)</f>
        <v/>
      </c>
      <c r="B920" s="138"/>
      <c r="C920" s="138"/>
      <c r="D920" s="138"/>
      <c r="E920" s="143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customFormat="false" ht="15.75" hidden="false" customHeight="false" outlineLevel="0" collapsed="false">
      <c r="A921" s="138" t="str">
        <f aca="false">IF(ISBLANK(B921),"",B921&amp;"|"&amp;C921)</f>
        <v/>
      </c>
      <c r="B921" s="138"/>
      <c r="C921" s="138"/>
      <c r="D921" s="138"/>
      <c r="E921" s="143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customFormat="false" ht="15.75" hidden="false" customHeight="false" outlineLevel="0" collapsed="false">
      <c r="A922" s="138" t="str">
        <f aca="false">IF(ISBLANK(B922),"",B922&amp;"|"&amp;C922)</f>
        <v/>
      </c>
      <c r="B922" s="138"/>
      <c r="C922" s="138"/>
      <c r="D922" s="138"/>
      <c r="E922" s="143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customFormat="false" ht="15.75" hidden="false" customHeight="false" outlineLevel="0" collapsed="false">
      <c r="A923" s="138" t="str">
        <f aca="false">IF(ISBLANK(B923),"",B923&amp;"|"&amp;C923)</f>
        <v/>
      </c>
      <c r="B923" s="138"/>
      <c r="C923" s="138"/>
      <c r="D923" s="138"/>
      <c r="E923" s="143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customFormat="false" ht="15.75" hidden="false" customHeight="false" outlineLevel="0" collapsed="false">
      <c r="A924" s="138" t="str">
        <f aca="false">IF(ISBLANK(B924),"",B924&amp;"|"&amp;C924)</f>
        <v/>
      </c>
      <c r="B924" s="138"/>
      <c r="C924" s="138"/>
      <c r="D924" s="138"/>
      <c r="E924" s="143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customFormat="false" ht="15.75" hidden="false" customHeight="false" outlineLevel="0" collapsed="false">
      <c r="A925" s="138" t="str">
        <f aca="false">IF(ISBLANK(B925),"",B925&amp;"|"&amp;C925)</f>
        <v/>
      </c>
      <c r="B925" s="138"/>
      <c r="C925" s="138"/>
      <c r="D925" s="138"/>
      <c r="E925" s="143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customFormat="false" ht="15.75" hidden="false" customHeight="false" outlineLevel="0" collapsed="false">
      <c r="A926" s="138" t="str">
        <f aca="false">IF(ISBLANK(B926),"",B926&amp;"|"&amp;C926)</f>
        <v/>
      </c>
      <c r="B926" s="138"/>
      <c r="C926" s="138"/>
      <c r="D926" s="138"/>
      <c r="E926" s="143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customFormat="false" ht="15.75" hidden="false" customHeight="false" outlineLevel="0" collapsed="false">
      <c r="A927" s="138" t="str">
        <f aca="false">IF(ISBLANK(B927),"",B927&amp;"|"&amp;C927)</f>
        <v/>
      </c>
      <c r="B927" s="138"/>
      <c r="C927" s="138"/>
      <c r="D927" s="138"/>
      <c r="E927" s="143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customFormat="false" ht="15.75" hidden="false" customHeight="false" outlineLevel="0" collapsed="false">
      <c r="A928" s="138" t="str">
        <f aca="false">IF(ISBLANK(B928),"",B928&amp;"|"&amp;C928)</f>
        <v/>
      </c>
      <c r="B928" s="138"/>
      <c r="C928" s="138"/>
      <c r="D928" s="138"/>
      <c r="E928" s="143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customFormat="false" ht="15.75" hidden="false" customHeight="false" outlineLevel="0" collapsed="false">
      <c r="A929" s="138" t="str">
        <f aca="false">IF(ISBLANK(B929),"",B929&amp;"|"&amp;C929)</f>
        <v/>
      </c>
      <c r="B929" s="138"/>
      <c r="C929" s="138"/>
      <c r="D929" s="138"/>
      <c r="E929" s="143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customFormat="false" ht="15.75" hidden="false" customHeight="false" outlineLevel="0" collapsed="false">
      <c r="A930" s="138" t="str">
        <f aca="false">IF(ISBLANK(B930),"",B930&amp;"|"&amp;C930)</f>
        <v/>
      </c>
      <c r="B930" s="138"/>
      <c r="C930" s="138"/>
      <c r="D930" s="138"/>
      <c r="E930" s="143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customFormat="false" ht="15.75" hidden="false" customHeight="false" outlineLevel="0" collapsed="false">
      <c r="A931" s="138" t="str">
        <f aca="false">IF(ISBLANK(B931),"",B931&amp;"|"&amp;C931)</f>
        <v/>
      </c>
      <c r="B931" s="138"/>
      <c r="C931" s="138"/>
      <c r="D931" s="138"/>
      <c r="E931" s="143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customFormat="false" ht="15.75" hidden="false" customHeight="false" outlineLevel="0" collapsed="false">
      <c r="A932" s="138" t="str">
        <f aca="false">IF(ISBLANK(B932),"",B932&amp;"|"&amp;C932)</f>
        <v/>
      </c>
      <c r="B932" s="138"/>
      <c r="C932" s="138"/>
      <c r="D932" s="138"/>
      <c r="E932" s="143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customFormat="false" ht="15.75" hidden="false" customHeight="false" outlineLevel="0" collapsed="false">
      <c r="A933" s="138" t="str">
        <f aca="false">IF(ISBLANK(B933),"",B933&amp;"|"&amp;C933)</f>
        <v/>
      </c>
      <c r="B933" s="138"/>
      <c r="C933" s="138"/>
      <c r="D933" s="138"/>
      <c r="E933" s="143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customFormat="false" ht="15.75" hidden="false" customHeight="false" outlineLevel="0" collapsed="false">
      <c r="A934" s="138" t="str">
        <f aca="false">IF(ISBLANK(B934),"",B934&amp;"|"&amp;C934)</f>
        <v/>
      </c>
      <c r="B934" s="138"/>
      <c r="C934" s="138"/>
      <c r="D934" s="138"/>
      <c r="E934" s="143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customFormat="false" ht="15.75" hidden="false" customHeight="false" outlineLevel="0" collapsed="false">
      <c r="A935" s="138" t="str">
        <f aca="false">IF(ISBLANK(B935),"",B935&amp;"|"&amp;C935)</f>
        <v/>
      </c>
      <c r="B935" s="138"/>
      <c r="C935" s="138"/>
      <c r="D935" s="138"/>
      <c r="E935" s="143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customFormat="false" ht="15.75" hidden="false" customHeight="false" outlineLevel="0" collapsed="false">
      <c r="A936" s="138" t="str">
        <f aca="false">IF(ISBLANK(B936),"",B936&amp;"|"&amp;C936)</f>
        <v/>
      </c>
      <c r="B936" s="138"/>
      <c r="C936" s="138"/>
      <c r="D936" s="138"/>
      <c r="E936" s="143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customFormat="false" ht="15.75" hidden="false" customHeight="false" outlineLevel="0" collapsed="false">
      <c r="A937" s="138" t="str">
        <f aca="false">IF(ISBLANK(B937),"",B937&amp;"|"&amp;C937)</f>
        <v/>
      </c>
      <c r="B937" s="138"/>
      <c r="C937" s="138"/>
      <c r="D937" s="138"/>
      <c r="E937" s="143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customFormat="false" ht="15.75" hidden="false" customHeight="false" outlineLevel="0" collapsed="false">
      <c r="A938" s="138" t="str">
        <f aca="false">IF(ISBLANK(B938),"",B938&amp;"|"&amp;C938)</f>
        <v/>
      </c>
      <c r="B938" s="138"/>
      <c r="C938" s="138"/>
      <c r="D938" s="138"/>
      <c r="E938" s="143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customFormat="false" ht="15.75" hidden="false" customHeight="false" outlineLevel="0" collapsed="false">
      <c r="A939" s="138" t="str">
        <f aca="false">IF(ISBLANK(B939),"",B939&amp;"|"&amp;C939)</f>
        <v/>
      </c>
      <c r="B939" s="138"/>
      <c r="C939" s="138"/>
      <c r="D939" s="138"/>
      <c r="E939" s="143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customFormat="false" ht="15.75" hidden="false" customHeight="false" outlineLevel="0" collapsed="false">
      <c r="A940" s="138" t="str">
        <f aca="false">IF(ISBLANK(B940),"",B940&amp;"|"&amp;C940)</f>
        <v/>
      </c>
      <c r="B940" s="138"/>
      <c r="C940" s="138"/>
      <c r="D940" s="138"/>
      <c r="E940" s="143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customFormat="false" ht="15.75" hidden="false" customHeight="false" outlineLevel="0" collapsed="false">
      <c r="A941" s="138" t="str">
        <f aca="false">IF(ISBLANK(B941),"",B941&amp;"|"&amp;C941)</f>
        <v/>
      </c>
      <c r="B941" s="138"/>
      <c r="C941" s="138"/>
      <c r="D941" s="138"/>
      <c r="E941" s="143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customFormat="false" ht="15.75" hidden="false" customHeight="false" outlineLevel="0" collapsed="false">
      <c r="A942" s="138" t="str">
        <f aca="false">IF(ISBLANK(B942),"",B942&amp;"|"&amp;C942)</f>
        <v/>
      </c>
      <c r="B942" s="138"/>
      <c r="C942" s="138"/>
      <c r="D942" s="138"/>
      <c r="E942" s="143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customFormat="false" ht="15.75" hidden="false" customHeight="false" outlineLevel="0" collapsed="false">
      <c r="A943" s="138" t="str">
        <f aca="false">IF(ISBLANK(B943),"",B943&amp;"|"&amp;C943)</f>
        <v/>
      </c>
      <c r="B943" s="138"/>
      <c r="C943" s="138"/>
      <c r="D943" s="138"/>
      <c r="E943" s="143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customFormat="false" ht="15.75" hidden="false" customHeight="false" outlineLevel="0" collapsed="false">
      <c r="A944" s="138" t="str">
        <f aca="false">IF(ISBLANK(B944),"",B944&amp;"|"&amp;C944)</f>
        <v/>
      </c>
      <c r="B944" s="138"/>
      <c r="C944" s="138"/>
      <c r="D944" s="138"/>
      <c r="E944" s="143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customFormat="false" ht="15.75" hidden="false" customHeight="false" outlineLevel="0" collapsed="false">
      <c r="A945" s="138" t="str">
        <f aca="false">IF(ISBLANK(B945),"",B945&amp;"|"&amp;C945)</f>
        <v/>
      </c>
      <c r="B945" s="138"/>
      <c r="C945" s="138"/>
      <c r="D945" s="138"/>
      <c r="E945" s="143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customFormat="false" ht="15.75" hidden="false" customHeight="false" outlineLevel="0" collapsed="false">
      <c r="A946" s="138" t="str">
        <f aca="false">IF(ISBLANK(B946),"",B946&amp;"|"&amp;C946)</f>
        <v/>
      </c>
      <c r="B946" s="138"/>
      <c r="C946" s="138"/>
      <c r="D946" s="138"/>
      <c r="E946" s="143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customFormat="false" ht="15.75" hidden="false" customHeight="false" outlineLevel="0" collapsed="false">
      <c r="A947" s="138" t="str">
        <f aca="false">IF(ISBLANK(B947),"",B947&amp;"|"&amp;C947)</f>
        <v/>
      </c>
      <c r="B947" s="138"/>
      <c r="C947" s="138"/>
      <c r="D947" s="138"/>
      <c r="E947" s="143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customFormat="false" ht="15.75" hidden="false" customHeight="false" outlineLevel="0" collapsed="false">
      <c r="A948" s="138" t="str">
        <f aca="false">IF(ISBLANK(B948),"",B948&amp;"|"&amp;C948)</f>
        <v/>
      </c>
      <c r="B948" s="138"/>
      <c r="C948" s="138"/>
      <c r="D948" s="138"/>
      <c r="E948" s="143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customFormat="false" ht="15.75" hidden="false" customHeight="false" outlineLevel="0" collapsed="false">
      <c r="A949" s="138" t="str">
        <f aca="false">IF(ISBLANK(B949),"",B949&amp;"|"&amp;C949)</f>
        <v/>
      </c>
      <c r="B949" s="138"/>
      <c r="C949" s="138"/>
      <c r="D949" s="138"/>
      <c r="E949" s="143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customFormat="false" ht="15.75" hidden="false" customHeight="false" outlineLevel="0" collapsed="false">
      <c r="A950" s="138" t="str">
        <f aca="false">IF(ISBLANK(B950),"",B950&amp;"|"&amp;C950)</f>
        <v/>
      </c>
      <c r="B950" s="138"/>
      <c r="C950" s="138"/>
      <c r="D950" s="138"/>
      <c r="E950" s="143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customFormat="false" ht="15.75" hidden="false" customHeight="false" outlineLevel="0" collapsed="false">
      <c r="A951" s="138" t="str">
        <f aca="false">IF(ISBLANK(B951),"",B951&amp;"|"&amp;C951)</f>
        <v/>
      </c>
      <c r="B951" s="138"/>
      <c r="C951" s="138"/>
      <c r="D951" s="138"/>
      <c r="E951" s="143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customFormat="false" ht="15.75" hidden="false" customHeight="false" outlineLevel="0" collapsed="false">
      <c r="A952" s="138" t="str">
        <f aca="false">IF(ISBLANK(B952),"",B952&amp;"|"&amp;C952)</f>
        <v/>
      </c>
      <c r="B952" s="138"/>
      <c r="C952" s="138"/>
      <c r="D952" s="138"/>
      <c r="E952" s="143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customFormat="false" ht="15.75" hidden="false" customHeight="false" outlineLevel="0" collapsed="false">
      <c r="A953" s="138" t="str">
        <f aca="false">IF(ISBLANK(B953),"",B953&amp;"|"&amp;C953)</f>
        <v/>
      </c>
      <c r="B953" s="138"/>
      <c r="C953" s="138"/>
      <c r="D953" s="138"/>
      <c r="E953" s="143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customFormat="false" ht="15.75" hidden="false" customHeight="false" outlineLevel="0" collapsed="false">
      <c r="A954" s="138" t="str">
        <f aca="false">IF(ISBLANK(B954),"",B954&amp;"|"&amp;C954)</f>
        <v/>
      </c>
      <c r="B954" s="138"/>
      <c r="C954" s="138"/>
      <c r="D954" s="138"/>
      <c r="E954" s="143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customFormat="false" ht="15.75" hidden="false" customHeight="false" outlineLevel="0" collapsed="false">
      <c r="A955" s="138" t="str">
        <f aca="false">IF(ISBLANK(B955),"",B955&amp;"|"&amp;C955)</f>
        <v/>
      </c>
      <c r="B955" s="138"/>
      <c r="C955" s="138"/>
      <c r="D955" s="138"/>
      <c r="E955" s="143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customFormat="false" ht="15.75" hidden="false" customHeight="false" outlineLevel="0" collapsed="false">
      <c r="A956" s="138" t="str">
        <f aca="false">IF(ISBLANK(B956),"",B956&amp;"|"&amp;C956)</f>
        <v/>
      </c>
      <c r="B956" s="138"/>
      <c r="C956" s="138"/>
      <c r="D956" s="138"/>
      <c r="E956" s="143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customFormat="false" ht="15.75" hidden="false" customHeight="false" outlineLevel="0" collapsed="false">
      <c r="A957" s="138" t="str">
        <f aca="false">IF(ISBLANK(B957),"",B957&amp;"|"&amp;C957)</f>
        <v/>
      </c>
      <c r="B957" s="138"/>
      <c r="C957" s="138"/>
      <c r="D957" s="138"/>
      <c r="E957" s="143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customFormat="false" ht="15.75" hidden="false" customHeight="false" outlineLevel="0" collapsed="false">
      <c r="A958" s="138" t="str">
        <f aca="false">IF(ISBLANK(B958),"",B958&amp;"|"&amp;C958)</f>
        <v/>
      </c>
      <c r="B958" s="138"/>
      <c r="C958" s="138"/>
      <c r="D958" s="138"/>
      <c r="E958" s="143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customFormat="false" ht="15.75" hidden="false" customHeight="false" outlineLevel="0" collapsed="false">
      <c r="A959" s="138" t="str">
        <f aca="false">IF(ISBLANK(B959),"",B959&amp;"|"&amp;C959)</f>
        <v/>
      </c>
      <c r="B959" s="138"/>
      <c r="C959" s="138"/>
      <c r="D959" s="138"/>
      <c r="E959" s="143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customFormat="false" ht="15.75" hidden="false" customHeight="false" outlineLevel="0" collapsed="false">
      <c r="A960" s="138" t="str">
        <f aca="false">IF(ISBLANK(B960),"",B960&amp;"|"&amp;C960)</f>
        <v/>
      </c>
      <c r="B960" s="138"/>
      <c r="C960" s="138"/>
      <c r="D960" s="138"/>
      <c r="E960" s="143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customFormat="false" ht="15.75" hidden="false" customHeight="false" outlineLevel="0" collapsed="false">
      <c r="A961" s="138" t="str">
        <f aca="false">IF(ISBLANK(B961),"",B961&amp;"|"&amp;C961)</f>
        <v/>
      </c>
      <c r="B961" s="138"/>
      <c r="C961" s="138"/>
      <c r="D961" s="138"/>
      <c r="E961" s="143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customFormat="false" ht="15.75" hidden="false" customHeight="false" outlineLevel="0" collapsed="false">
      <c r="A962" s="138" t="str">
        <f aca="false">IF(ISBLANK(B962),"",B962&amp;"|"&amp;C962)</f>
        <v/>
      </c>
      <c r="B962" s="138"/>
      <c r="C962" s="138"/>
      <c r="D962" s="138"/>
      <c r="E962" s="143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customFormat="false" ht="15.75" hidden="false" customHeight="false" outlineLevel="0" collapsed="false">
      <c r="A963" s="138" t="str">
        <f aca="false">IF(ISBLANK(B963),"",B963&amp;"|"&amp;C963)</f>
        <v/>
      </c>
      <c r="B963" s="138"/>
      <c r="C963" s="138"/>
      <c r="D963" s="138"/>
      <c r="E963" s="143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customFormat="false" ht="15.75" hidden="false" customHeight="false" outlineLevel="0" collapsed="false">
      <c r="A964" s="138" t="str">
        <f aca="false">IF(ISBLANK(B964),"",B964&amp;"|"&amp;C964)</f>
        <v/>
      </c>
      <c r="B964" s="138"/>
      <c r="C964" s="138"/>
      <c r="D964" s="138"/>
      <c r="E964" s="143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customFormat="false" ht="15.75" hidden="false" customHeight="false" outlineLevel="0" collapsed="false">
      <c r="A965" s="138" t="str">
        <f aca="false">IF(ISBLANK(B965),"",B965&amp;"|"&amp;C965)</f>
        <v/>
      </c>
      <c r="B965" s="138"/>
      <c r="C965" s="138"/>
      <c r="D965" s="138"/>
      <c r="E965" s="143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customFormat="false" ht="15.75" hidden="false" customHeight="false" outlineLevel="0" collapsed="false">
      <c r="A966" s="138" t="str">
        <f aca="false">IF(ISBLANK(B966),"",B966&amp;"|"&amp;C966)</f>
        <v/>
      </c>
      <c r="B966" s="138"/>
      <c r="C966" s="138"/>
      <c r="D966" s="138"/>
      <c r="E966" s="143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customFormat="false" ht="15.75" hidden="false" customHeight="false" outlineLevel="0" collapsed="false">
      <c r="A967" s="138" t="str">
        <f aca="false">IF(ISBLANK(B967),"",B967&amp;"|"&amp;C967)</f>
        <v/>
      </c>
      <c r="B967" s="138"/>
      <c r="C967" s="138"/>
      <c r="D967" s="138"/>
      <c r="E967" s="143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customFormat="false" ht="15.75" hidden="false" customHeight="false" outlineLevel="0" collapsed="false">
      <c r="A968" s="138" t="str">
        <f aca="false">IF(ISBLANK(B968),"",B968&amp;"|"&amp;C968)</f>
        <v/>
      </c>
      <c r="B968" s="138"/>
      <c r="C968" s="138"/>
      <c r="D968" s="138"/>
      <c r="E968" s="143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customFormat="false" ht="15.75" hidden="false" customHeight="false" outlineLevel="0" collapsed="false">
      <c r="A969" s="138" t="str">
        <f aca="false">IF(ISBLANK(B969),"",B969&amp;"|"&amp;C969)</f>
        <v/>
      </c>
      <c r="B969" s="138"/>
      <c r="C969" s="138"/>
      <c r="D969" s="138"/>
      <c r="E969" s="143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customFormat="false" ht="15.75" hidden="false" customHeight="false" outlineLevel="0" collapsed="false">
      <c r="A970" s="138" t="str">
        <f aca="false">IF(ISBLANK(B970),"",B970&amp;"|"&amp;C970)</f>
        <v/>
      </c>
      <c r="B970" s="138"/>
      <c r="C970" s="138"/>
      <c r="D970" s="138"/>
      <c r="E970" s="143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customFormat="false" ht="15.75" hidden="false" customHeight="false" outlineLevel="0" collapsed="false">
      <c r="A971" s="138" t="str">
        <f aca="false">IF(ISBLANK(B971),"",B971&amp;"|"&amp;C971)</f>
        <v/>
      </c>
      <c r="B971" s="138"/>
      <c r="C971" s="138"/>
      <c r="D971" s="138"/>
      <c r="E971" s="143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customFormat="false" ht="15.75" hidden="false" customHeight="false" outlineLevel="0" collapsed="false">
      <c r="A972" s="138" t="str">
        <f aca="false">IF(ISBLANK(B972),"",B972&amp;"|"&amp;C972)</f>
        <v/>
      </c>
      <c r="B972" s="138"/>
      <c r="C972" s="138"/>
      <c r="D972" s="138"/>
      <c r="E972" s="143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customFormat="false" ht="15.75" hidden="false" customHeight="false" outlineLevel="0" collapsed="false">
      <c r="A973" s="138" t="str">
        <f aca="false">IF(ISBLANK(B973),"",B973&amp;"|"&amp;C973)</f>
        <v/>
      </c>
      <c r="B973" s="138"/>
      <c r="C973" s="138"/>
      <c r="D973" s="138"/>
      <c r="E973" s="143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customFormat="false" ht="15.75" hidden="false" customHeight="false" outlineLevel="0" collapsed="false">
      <c r="A974" s="138" t="str">
        <f aca="false">IF(ISBLANK(B974),"",B974&amp;"|"&amp;C974)</f>
        <v/>
      </c>
      <c r="B974" s="138"/>
      <c r="C974" s="138"/>
      <c r="D974" s="138"/>
      <c r="E974" s="143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customFormat="false" ht="15.75" hidden="false" customHeight="false" outlineLevel="0" collapsed="false">
      <c r="A975" s="138" t="str">
        <f aca="false">IF(ISBLANK(B975),"",B975&amp;"|"&amp;C975)</f>
        <v/>
      </c>
      <c r="B975" s="138"/>
      <c r="C975" s="138"/>
      <c r="D975" s="138"/>
      <c r="E975" s="143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customFormat="false" ht="15.75" hidden="false" customHeight="false" outlineLevel="0" collapsed="false">
      <c r="A976" s="138" t="str">
        <f aca="false">IF(ISBLANK(B976),"",B976&amp;"|"&amp;C976)</f>
        <v/>
      </c>
      <c r="B976" s="138"/>
      <c r="C976" s="138"/>
      <c r="D976" s="138"/>
      <c r="E976" s="143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customFormat="false" ht="15.75" hidden="false" customHeight="false" outlineLevel="0" collapsed="false">
      <c r="A977" s="138" t="str">
        <f aca="false">IF(ISBLANK(B977),"",B977&amp;"|"&amp;C977)</f>
        <v/>
      </c>
      <c r="B977" s="138"/>
      <c r="C977" s="138"/>
      <c r="D977" s="138"/>
      <c r="E977" s="143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customFormat="false" ht="15.75" hidden="false" customHeight="false" outlineLevel="0" collapsed="false">
      <c r="A978" s="138" t="str">
        <f aca="false">IF(ISBLANK(B978),"",B978&amp;"|"&amp;C978)</f>
        <v/>
      </c>
      <c r="B978" s="138"/>
      <c r="C978" s="138"/>
      <c r="D978" s="138"/>
      <c r="E978" s="143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customFormat="false" ht="15.75" hidden="false" customHeight="false" outlineLevel="0" collapsed="false">
      <c r="A979" s="138" t="str">
        <f aca="false">IF(ISBLANK(B979),"",B979&amp;"|"&amp;C979)</f>
        <v/>
      </c>
      <c r="B979" s="138"/>
      <c r="C979" s="138"/>
      <c r="D979" s="138"/>
      <c r="E979" s="143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customFormat="false" ht="15.75" hidden="false" customHeight="false" outlineLevel="0" collapsed="false">
      <c r="A980" s="138" t="str">
        <f aca="false">IF(ISBLANK(B980),"",B980&amp;"|"&amp;C980)</f>
        <v/>
      </c>
      <c r="B980" s="138"/>
      <c r="C980" s="138"/>
      <c r="D980" s="138"/>
      <c r="E980" s="143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customFormat="false" ht="15.75" hidden="false" customHeight="false" outlineLevel="0" collapsed="false">
      <c r="A981" s="138" t="str">
        <f aca="false">IF(ISBLANK(B981),"",B981&amp;"|"&amp;C981)</f>
        <v/>
      </c>
      <c r="B981" s="138"/>
      <c r="C981" s="138"/>
      <c r="D981" s="138"/>
      <c r="E981" s="143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customFormat="false" ht="15.75" hidden="false" customHeight="false" outlineLevel="0" collapsed="false">
      <c r="A982" s="138" t="str">
        <f aca="false">IF(ISBLANK(B982),"",B982&amp;"|"&amp;C982)</f>
        <v/>
      </c>
      <c r="B982" s="138"/>
      <c r="C982" s="138"/>
      <c r="D982" s="138"/>
      <c r="E982" s="143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customFormat="false" ht="15.75" hidden="false" customHeight="false" outlineLevel="0" collapsed="false">
      <c r="A983" s="138" t="str">
        <f aca="false">IF(ISBLANK(B983),"",B983&amp;"|"&amp;C983)</f>
        <v/>
      </c>
      <c r="B983" s="138"/>
      <c r="C983" s="138"/>
      <c r="D983" s="138"/>
      <c r="E983" s="143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customFormat="false" ht="15.75" hidden="false" customHeight="false" outlineLevel="0" collapsed="false">
      <c r="A984" s="138" t="str">
        <f aca="false">IF(ISBLANK(B984),"",B984&amp;"|"&amp;C984)</f>
        <v/>
      </c>
      <c r="B984" s="138"/>
      <c r="C984" s="138"/>
      <c r="D984" s="138"/>
      <c r="E984" s="143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customFormat="false" ht="15.75" hidden="false" customHeight="false" outlineLevel="0" collapsed="false">
      <c r="A985" s="138" t="str">
        <f aca="false">IF(ISBLANK(B985),"",B985&amp;"|"&amp;C985)</f>
        <v/>
      </c>
      <c r="B985" s="138"/>
      <c r="C985" s="138"/>
      <c r="D985" s="138"/>
      <c r="E985" s="143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customFormat="false" ht="15.75" hidden="false" customHeight="false" outlineLevel="0" collapsed="false">
      <c r="A986" s="138" t="str">
        <f aca="false">IF(ISBLANK(B986),"",B986&amp;"|"&amp;C986)</f>
        <v/>
      </c>
      <c r="B986" s="138"/>
      <c r="C986" s="138"/>
      <c r="D986" s="138"/>
      <c r="E986" s="143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customFormat="false" ht="15.75" hidden="false" customHeight="false" outlineLevel="0" collapsed="false">
      <c r="A987" s="138" t="str">
        <f aca="false">IF(ISBLANK(B987),"",B987&amp;"|"&amp;C987)</f>
        <v/>
      </c>
      <c r="B987" s="138"/>
      <c r="C987" s="138"/>
      <c r="D987" s="138"/>
      <c r="E987" s="143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customFormat="false" ht="15.75" hidden="false" customHeight="false" outlineLevel="0" collapsed="false">
      <c r="A988" s="138" t="str">
        <f aca="false">IF(ISBLANK(B988),"",B988&amp;"|"&amp;C988)</f>
        <v/>
      </c>
      <c r="B988" s="138"/>
      <c r="C988" s="138"/>
      <c r="D988" s="138"/>
      <c r="E988" s="143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customFormat="false" ht="15.75" hidden="false" customHeight="false" outlineLevel="0" collapsed="false">
      <c r="A989" s="138" t="str">
        <f aca="false">IF(ISBLANK(B989),"",B989&amp;"|"&amp;C989)</f>
        <v/>
      </c>
      <c r="B989" s="138"/>
      <c r="C989" s="138"/>
      <c r="D989" s="138"/>
      <c r="E989" s="143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customFormat="false" ht="15.75" hidden="false" customHeight="false" outlineLevel="0" collapsed="false">
      <c r="A990" s="138" t="str">
        <f aca="false">IF(ISBLANK(B990),"",B990&amp;"|"&amp;C990)</f>
        <v/>
      </c>
      <c r="B990" s="138"/>
      <c r="C990" s="138"/>
      <c r="D990" s="138"/>
      <c r="E990" s="143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customFormat="false" ht="15.75" hidden="false" customHeight="false" outlineLevel="0" collapsed="false">
      <c r="A991" s="138" t="str">
        <f aca="false">IF(ISBLANK(B991),"",B991&amp;"|"&amp;C991)</f>
        <v/>
      </c>
      <c r="B991" s="138"/>
      <c r="C991" s="138"/>
      <c r="D991" s="138"/>
      <c r="E991" s="143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customFormat="false" ht="15.75" hidden="false" customHeight="false" outlineLevel="0" collapsed="false">
      <c r="A992" s="138" t="str">
        <f aca="false">IF(ISBLANK(B992),"",B992&amp;"|"&amp;C992)</f>
        <v/>
      </c>
      <c r="B992" s="138"/>
      <c r="C992" s="138"/>
      <c r="D992" s="138"/>
      <c r="E992" s="143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customFormat="false" ht="15.75" hidden="false" customHeight="false" outlineLevel="0" collapsed="false">
      <c r="A993" s="138" t="str">
        <f aca="false">IF(ISBLANK(B993),"",B993&amp;"|"&amp;C993)</f>
        <v/>
      </c>
      <c r="B993" s="138"/>
      <c r="C993" s="138"/>
      <c r="D993" s="138"/>
      <c r="E993" s="143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customFormat="false" ht="15.75" hidden="false" customHeight="false" outlineLevel="0" collapsed="false">
      <c r="A994" s="138" t="str">
        <f aca="false">IF(ISBLANK(B994),"",B994&amp;"|"&amp;C994)</f>
        <v/>
      </c>
      <c r="B994" s="138"/>
      <c r="C994" s="138"/>
      <c r="D994" s="138"/>
      <c r="E994" s="143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customFormat="false" ht="15.75" hidden="false" customHeight="false" outlineLevel="0" collapsed="false">
      <c r="A995" s="138" t="str">
        <f aca="false">IF(ISBLANK(B995),"",B995&amp;"|"&amp;C995)</f>
        <v/>
      </c>
      <c r="B995" s="138"/>
      <c r="C995" s="138"/>
      <c r="D995" s="138"/>
      <c r="E995" s="143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customFormat="false" ht="15.75" hidden="false" customHeight="false" outlineLevel="0" collapsed="false">
      <c r="A996" s="138" t="str">
        <f aca="false">IF(ISBLANK(B996),"",B996&amp;"|"&amp;C996)</f>
        <v/>
      </c>
      <c r="B996" s="138"/>
      <c r="C996" s="138"/>
      <c r="D996" s="138"/>
      <c r="E996" s="143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customFormat="false" ht="15.75" hidden="false" customHeight="false" outlineLevel="0" collapsed="false">
      <c r="A997" s="138" t="str">
        <f aca="false">IF(ISBLANK(B997),"",B997&amp;"|"&amp;C997)</f>
        <v/>
      </c>
      <c r="B997" s="138"/>
      <c r="C997" s="138"/>
      <c r="D997" s="138"/>
      <c r="E997" s="143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customFormat="false" ht="15.75" hidden="false" customHeight="false" outlineLevel="0" collapsed="false">
      <c r="A998" s="138" t="str">
        <f aca="false">IF(ISBLANK(B998),"",B998&amp;"|"&amp;C998)</f>
        <v/>
      </c>
      <c r="B998" s="138"/>
      <c r="C998" s="138"/>
      <c r="D998" s="138"/>
      <c r="E998" s="143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customFormat="false" ht="15.75" hidden="false" customHeight="false" outlineLevel="0" collapsed="false">
      <c r="A999" s="138" t="str">
        <f aca="false">IF(ISBLANK(B999),"",B999&amp;"|"&amp;C999)</f>
        <v/>
      </c>
      <c r="B999" s="138"/>
      <c r="C999" s="138"/>
      <c r="D999" s="138"/>
      <c r="E999" s="143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customFormat="false" ht="15.75" hidden="false" customHeight="false" outlineLevel="0" collapsed="false">
      <c r="A1000" s="138" t="str">
        <f aca="false">IF(ISBLANK(B1000),"",B1000&amp;"|"&amp;C1000)</f>
        <v/>
      </c>
      <c r="B1000" s="138"/>
      <c r="C1000" s="138"/>
      <c r="D1000" s="138"/>
      <c r="E1000" s="143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328125" defaultRowHeight="15.75" customHeight="true" zeroHeight="false" outlineLevelRow="0" outlineLevelCol="0"/>
  <cols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38" t="s">
        <v>166</v>
      </c>
      <c r="B1" s="138" t="s">
        <v>167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customFormat="false" ht="15.75" hidden="false" customHeight="false" outlineLevel="0" collapsed="false">
      <c r="A2" s="138" t="s">
        <v>168</v>
      </c>
      <c r="B2" s="145" t="n">
        <v>46292</v>
      </c>
      <c r="C2" s="138"/>
      <c r="D2" s="138" t="s">
        <v>169</v>
      </c>
      <c r="E2" s="138" t="s">
        <v>170</v>
      </c>
      <c r="F2" s="138" t="s">
        <v>171</v>
      </c>
      <c r="G2" s="138" t="s">
        <v>172</v>
      </c>
      <c r="H2" s="138" t="s">
        <v>173</v>
      </c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customFormat="false" ht="15.75" hidden="false" customHeight="false" outlineLevel="0" collapsed="false">
      <c r="A3" s="138" t="s">
        <v>174</v>
      </c>
      <c r="B3" s="146" t="s">
        <v>154</v>
      </c>
      <c r="C3" s="138"/>
      <c r="D3" s="144" t="n">
        <f aca="false">FIND(".",B3)</f>
        <v>2</v>
      </c>
      <c r="E3" s="144" t="n">
        <f aca="false">FIND(".",B3,D3+1)</f>
        <v>4</v>
      </c>
      <c r="F3" s="138" t="str">
        <f aca="false">LEFT(B3,D3-1)</f>
        <v>0</v>
      </c>
      <c r="G3" s="138" t="str">
        <f aca="false">MID(B3,D3+1,E3-D3-1)</f>
        <v>1</v>
      </c>
      <c r="H3" s="138" t="str">
        <f aca="false">RIGHT(B3,LEN(B3)-E3)</f>
        <v>0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 customFormat="false" ht="15.75" hidden="false" customHeight="false" outlineLevel="0" collapsed="false">
      <c r="A4" s="138" t="s">
        <v>175</v>
      </c>
      <c r="B4" s="138" t="s">
        <v>105</v>
      </c>
      <c r="C4" s="138"/>
      <c r="D4" s="146"/>
      <c r="E4" s="146"/>
      <c r="F4" s="146"/>
      <c r="G4" s="146"/>
      <c r="H4" s="146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 customFormat="false" ht="15.75" hidden="false" customHeight="false" outlineLevel="0" collapsed="false">
      <c r="A5" s="138" t="s">
        <v>176</v>
      </c>
      <c r="B5" s="138" t="n">
        <v>2027</v>
      </c>
      <c r="C5" s="138"/>
      <c r="D5" s="146"/>
      <c r="E5" s="146"/>
      <c r="F5" s="146"/>
      <c r="G5" s="146"/>
      <c r="H5" s="146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 customFormat="false" ht="15.75" hidden="false" customHeight="false" outlineLevel="0" collapsed="false">
      <c r="A6" s="138" t="s">
        <v>177</v>
      </c>
      <c r="B6" s="138" t="str">
        <f aca="false">B1&amp;"|"&amp;B4</f>
        <v>Mission Possible|C</v>
      </c>
      <c r="C6" s="138"/>
      <c r="D6" s="146"/>
      <c r="E6" s="146"/>
      <c r="F6" s="146"/>
      <c r="G6" s="146"/>
      <c r="H6" s="146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customFormat="false" ht="15.75" hidden="false" customHeight="false" outlineLevel="0" collapsed="false">
      <c r="A7" s="138" t="s">
        <v>178</v>
      </c>
      <c r="B7" s="138" t="s">
        <v>154</v>
      </c>
      <c r="C7" s="138"/>
      <c r="D7" s="144" t="n">
        <f aca="false">FIND(".",B7)</f>
        <v>2</v>
      </c>
      <c r="E7" s="144" t="n">
        <f aca="false">FIND(".",B7,D7+1)</f>
        <v>4</v>
      </c>
      <c r="F7" s="138" t="str">
        <f aca="false">LEFT(B7,D7-1)</f>
        <v>0</v>
      </c>
      <c r="G7" s="138" t="str">
        <f aca="false">MID(B7,D7+1,E7-D7-1)</f>
        <v>1</v>
      </c>
      <c r="H7" s="138" t="str">
        <f aca="false">RIGHT(B7,LEN(B7)-E7)</f>
        <v>0</v>
      </c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customFormat="false" ht="15.75" hidden="false" customHeight="false" outlineLevel="0" collapsed="false">
      <c r="A8" s="138" t="s">
        <v>179</v>
      </c>
      <c r="B8" s="138" t="str">
        <f aca="false">IF(CONCATENATE(F7,".",G7)=CONCATENATE(F3,".",G3),"F","T")</f>
        <v>F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customFormat="false" ht="15.75" hidden="false" customHeight="false" outlineLevel="0" collapsed="false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customFormat="false" ht="15.75" hidden="false" customHeight="false" outlineLevel="0" collapsed="false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customFormat="false" ht="15.75" hidden="false" customHeight="false" outlineLevel="0" collapsed="false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customFormat="false" ht="15.75" hidden="false" customHeight="false" outlineLevel="0" collapsed="false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customFormat="false" ht="15.75" hidden="false" customHeight="false" outlineLevel="0" collapsed="false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customFormat="false" ht="15.75" hidden="false" customHeight="false" outlineLevel="0" collapsed="false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customFormat="false" ht="15.75" hidden="false" customHeight="false" outlineLevel="0" collapsed="false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customFormat="false" ht="15.75" hidden="false" customHeight="false" outlineLevel="0" collapsed="false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customFormat="false" ht="15.75" hidden="false" customHeight="false" outlineLevel="0" collapsed="false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 customFormat="false" ht="15.75" hidden="false" customHeight="false" outlineLevel="0" collapsed="false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 customFormat="false" ht="15.75" hidden="false" customHeight="false" outlineLevel="0" collapsed="false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 customFormat="false" ht="15.75" hidden="false" customHeight="false" outlineLevel="0" collapsed="false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 customFormat="false" ht="15.75" hidden="false" customHeight="false" outlineLevel="0" collapsed="false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customFormat="false" ht="15.75" hidden="false" customHeight="false" outlineLevel="0" collapsed="false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customFormat="false" ht="15.75" hidden="false" customHeight="false" outlineLevel="0" collapsed="false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customFormat="false" ht="15.75" hidden="false" customHeight="false" outlineLevel="0" collapsed="false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customFormat="false" ht="15.75" hidden="false" customHeight="false" outlineLevel="0" collapsed="false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customFormat="false" ht="15.75" hidden="false" customHeight="false" outlineLevel="0" collapsed="false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customFormat="false" ht="15.75" hidden="false" customHeight="false" outlineLevel="0" collapsed="false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customFormat="false" ht="15.75" hidden="false" customHeight="false" outlineLevel="0" collapsed="false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customFormat="false" ht="15.75" hidden="false" customHeight="false" outlineLevel="0" collapsed="false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customFormat="false" ht="15.75" hidden="false" customHeight="false" outlineLevel="0" collapsed="false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customFormat="false" ht="15.75" hidden="false" customHeight="false" outlineLevel="0" collapsed="false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customFormat="false" ht="15.75" hidden="false" customHeight="false" outlineLevel="0" collapsed="false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customFormat="false" ht="15.75" hidden="false" customHeight="false" outlineLevel="0" collapsed="false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customFormat="false" ht="15.75" hidden="false" customHeight="false" outlineLevel="0" collapsed="false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customFormat="false" ht="15.75" hidden="false" customHeight="false" outlineLevel="0" collapsed="false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customFormat="false" ht="15.75" hidden="false" customHeight="false" outlineLevel="0" collapsed="false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customFormat="false" ht="15.75" hidden="false" customHeight="false" outlineLevel="0" collapsed="false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customFormat="false" ht="15.75" hidden="false" customHeight="false" outlineLevel="0" collapsed="false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customFormat="false" ht="15.75" hidden="false" customHeight="false" outlineLevel="0" collapsed="false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customFormat="false" ht="15.75" hidden="false" customHeight="false" outlineLevel="0" collapsed="false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customFormat="false" ht="15.75" hidden="false" customHeight="false" outlineLevel="0" collapsed="false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customFormat="false" ht="15.75" hidden="false" customHeight="false" outlineLevel="0" collapsed="false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customFormat="false" ht="15.75" hidden="false" customHeight="false" outlineLevel="0" collapsed="false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customFormat="false" ht="15.75" hidden="false" customHeight="false" outlineLevel="0" collapsed="false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customFormat="false" ht="15.75" hidden="false" customHeight="false" outlineLevel="0" collapsed="false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customFormat="false" ht="15.75" hidden="false" customHeight="false" outlineLevel="0" collapsed="false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customFormat="false" ht="15.75" hidden="false" customHeight="false" outlineLevel="0" collapsed="false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customFormat="false" ht="15.75" hidden="false" customHeight="false" outlineLevel="0" collapsed="false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customFormat="false" ht="15.75" hidden="false" customHeight="false" outlineLevel="0" collapsed="false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customFormat="false" ht="15.75" hidden="false" customHeight="false" outlineLevel="0" collapsed="false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 customFormat="false" ht="15.75" hidden="false" customHeight="false" outlineLevel="0" collapsed="false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customFormat="false" ht="15.75" hidden="false" customHeight="false" outlineLevel="0" collapsed="false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customFormat="false" ht="15.75" hidden="false" customHeight="false" outlineLevel="0" collapsed="false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 customFormat="false" ht="15.75" hidden="false" customHeight="false" outlineLevel="0" collapsed="false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 customFormat="false" ht="15.75" hidden="false" customHeight="false" outlineLevel="0" collapsed="false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 customFormat="false" ht="15.75" hidden="false" customHeight="false" outlineLevel="0" collapsed="false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 customFormat="false" ht="15.75" hidden="false" customHeight="false" outlineLevel="0" collapsed="false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customFormat="false" ht="15.75" hidden="false" customHeight="false" outlineLevel="0" collapsed="false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customFormat="false" ht="15.75" hidden="false" customHeight="false" outlineLevel="0" collapsed="false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customFormat="false" ht="15.75" hidden="false" customHeight="false" outlineLevel="0" collapsed="false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customFormat="false" ht="15.75" hidden="false" customHeight="false" outlineLevel="0" collapsed="false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 customFormat="false" ht="15.75" hidden="false" customHeight="false" outlineLevel="0" collapsed="false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 customFormat="false" ht="15.75" hidden="false" customHeight="false" outlineLevel="0" collapsed="false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 customFormat="false" ht="15.75" hidden="false" customHeight="false" outlineLevel="0" collapsed="false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 customFormat="false" ht="15.75" hidden="false" customHeight="false" outlineLevel="0" collapsed="false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 customFormat="false" ht="15.75" hidden="false" customHeight="false" outlineLevel="0" collapsed="false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 customFormat="false" ht="15.75" hidden="false" customHeight="false" outlineLevel="0" collapsed="false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 customFormat="false" ht="15.75" hidden="false" customHeight="false" outlineLevel="0" collapsed="false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 customFormat="false" ht="15.75" hidden="false" customHeight="false" outlineLevel="0" collapsed="false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 customFormat="false" ht="15.75" hidden="false" customHeight="false" outlineLevel="0" collapsed="false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 customFormat="false" ht="15.75" hidden="false" customHeight="false" outlineLevel="0" collapsed="false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 customFormat="false" ht="15.75" hidden="false" customHeight="false" outlineLevel="0" collapsed="false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 customFormat="false" ht="15.75" hidden="false" customHeight="false" outlineLevel="0" collapsed="false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 customFormat="false" ht="15.75" hidden="false" customHeight="false" outlineLevel="0" collapsed="false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 customFormat="false" ht="15.75" hidden="false" customHeight="false" outlineLevel="0" collapsed="false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 customFormat="false" ht="15.75" hidden="false" customHeight="false" outlineLevel="0" collapsed="false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 customFormat="false" ht="15.75" hidden="false" customHeight="false" outlineLevel="0" collapsed="false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 customFormat="false" ht="15.75" hidden="false" customHeight="false" outlineLevel="0" collapsed="false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customFormat="false" ht="15.75" hidden="false" customHeight="false" outlineLevel="0" collapsed="false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customFormat="false" ht="15.75" hidden="false" customHeight="false" outlineLevel="0" collapsed="false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customFormat="false" ht="15.75" hidden="false" customHeight="false" outlineLevel="0" collapsed="false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customFormat="false" ht="15.75" hidden="false" customHeight="false" outlineLevel="0" collapsed="false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customFormat="false" ht="15.75" hidden="false" customHeight="false" outlineLevel="0" collapsed="false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 customFormat="false" ht="15.75" hidden="false" customHeight="false" outlineLevel="0" collapsed="false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customFormat="false" ht="15.75" hidden="false" customHeight="false" outlineLevel="0" collapsed="false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customFormat="false" ht="15.75" hidden="false" customHeight="false" outlineLevel="0" collapsed="false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customFormat="false" ht="15.75" hidden="false" customHeight="false" outlineLevel="0" collapsed="false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customFormat="false" ht="15.75" hidden="false" customHeight="false" outlineLevel="0" collapsed="false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customFormat="false" ht="15.75" hidden="false" customHeight="false" outlineLevel="0" collapsed="false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customFormat="false" ht="15.75" hidden="false" customHeight="false" outlineLevel="0" collapsed="false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customFormat="false" ht="15.75" hidden="false" customHeight="false" outlineLevel="0" collapsed="false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customFormat="false" ht="15.75" hidden="false" customHeight="false" outlineLevel="0" collapsed="false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customFormat="false" ht="15.75" hidden="false" customHeight="false" outlineLevel="0" collapsed="false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 customFormat="false" ht="15.75" hidden="false" customHeight="false" outlineLevel="0" collapsed="false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 customFormat="false" ht="15.75" hidden="false" customHeight="false" outlineLevel="0" collapsed="false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 customFormat="false" ht="15.75" hidden="false" customHeight="false" outlineLevel="0" collapsed="false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 customFormat="false" ht="15.75" hidden="false" customHeight="false" outlineLevel="0" collapsed="false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 customFormat="false" ht="15.75" hidden="false" customHeight="false" outlineLevel="0" collapsed="false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 customFormat="false" ht="15.75" hidden="false" customHeight="false" outlineLevel="0" collapsed="false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 customFormat="false" ht="15.75" hidden="false" customHeight="false" outlineLevel="0" collapsed="false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 customFormat="false" ht="15.75" hidden="false" customHeight="false" outlineLevel="0" collapsed="false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 customFormat="false" ht="15.75" hidden="false" customHeight="false" outlineLevel="0" collapsed="false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 customFormat="false" ht="15.75" hidden="false" customHeight="false" outlineLevel="0" collapsed="false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 customFormat="false" ht="15.75" hidden="false" customHeight="false" outlineLevel="0" collapsed="false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 customFormat="false" ht="15.75" hidden="false" customHeight="false" outlineLevel="0" collapsed="false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 customFormat="false" ht="15.75" hidden="false" customHeight="false" outlineLevel="0" collapsed="false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 customFormat="false" ht="15.75" hidden="false" customHeight="false" outlineLevel="0" collapsed="false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 customFormat="false" ht="15.75" hidden="false" customHeight="false" outlineLevel="0" collapsed="false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 customFormat="false" ht="15.75" hidden="false" customHeight="false" outlineLevel="0" collapsed="false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 customFormat="false" ht="15.75" hidden="false" customHeight="false" outlineLevel="0" collapsed="false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 customFormat="false" ht="15.75" hidden="false" customHeight="false" outlineLevel="0" collapsed="false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 customFormat="false" ht="15.75" hidden="false" customHeight="false" outlineLevel="0" collapsed="false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 customFormat="false" ht="15.75" hidden="false" customHeight="false" outlineLevel="0" collapsed="false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 customFormat="false" ht="15.75" hidden="false" customHeight="false" outlineLevel="0" collapsed="false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 customFormat="false" ht="15.75" hidden="false" customHeight="false" outlineLevel="0" collapsed="false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 customFormat="false" ht="15.75" hidden="false" customHeight="false" outlineLevel="0" collapsed="false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 customFormat="false" ht="15.75" hidden="false" customHeight="false" outlineLevel="0" collapsed="false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 customFormat="false" ht="15.75" hidden="false" customHeight="false" outlineLevel="0" collapsed="false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 customFormat="false" ht="15.75" hidden="false" customHeight="false" outlineLevel="0" collapsed="false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 customFormat="false" ht="15.75" hidden="false" customHeight="false" outlineLevel="0" collapsed="false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 customFormat="false" ht="15.75" hidden="false" customHeight="false" outlineLevel="0" collapsed="false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 customFormat="false" ht="15.75" hidden="false" customHeight="false" outlineLevel="0" collapsed="false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 customFormat="false" ht="15.75" hidden="false" customHeight="false" outlineLevel="0" collapsed="false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 customFormat="false" ht="15.75" hidden="false" customHeight="false" outlineLevel="0" collapsed="false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 customFormat="false" ht="15.75" hidden="false" customHeight="false" outlineLevel="0" collapsed="false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 customFormat="false" ht="15.75" hidden="false" customHeight="false" outlineLevel="0" collapsed="false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 customFormat="false" ht="15.75" hidden="false" customHeight="false" outlineLevel="0" collapsed="false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 customFormat="false" ht="15.75" hidden="false" customHeight="false" outlineLevel="0" collapsed="false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 customFormat="false" ht="15.75" hidden="false" customHeight="false" outlineLevel="0" collapsed="false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 customFormat="false" ht="15.75" hidden="false" customHeight="false" outlineLevel="0" collapsed="false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 customFormat="false" ht="15.75" hidden="false" customHeight="false" outlineLevel="0" collapsed="false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 customFormat="false" ht="15.75" hidden="false" customHeight="false" outlineLevel="0" collapsed="false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 customFormat="false" ht="15.75" hidden="false" customHeight="false" outlineLevel="0" collapsed="false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 customFormat="false" ht="15.75" hidden="false" customHeight="false" outlineLevel="0" collapsed="false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 customFormat="false" ht="15.75" hidden="false" customHeight="false" outlineLevel="0" collapsed="false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 customFormat="false" ht="15.75" hidden="false" customHeight="false" outlineLevel="0" collapsed="false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 customFormat="false" ht="15.75" hidden="false" customHeight="false" outlineLevel="0" collapsed="false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 customFormat="false" ht="15.75" hidden="false" customHeight="false" outlineLevel="0" collapsed="false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 customFormat="false" ht="15.75" hidden="false" customHeight="false" outlineLevel="0" collapsed="false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 customFormat="false" ht="15.75" hidden="false" customHeight="false" outlineLevel="0" collapsed="false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 customFormat="false" ht="15.75" hidden="false" customHeight="false" outlineLevel="0" collapsed="false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 customFormat="false" ht="15.75" hidden="false" customHeight="false" outlineLevel="0" collapsed="false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 customFormat="false" ht="15.75" hidden="false" customHeight="false" outlineLevel="0" collapsed="false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 customFormat="false" ht="15.75" hidden="false" customHeight="false" outlineLevel="0" collapsed="false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 customFormat="false" ht="15.75" hidden="false" customHeight="false" outlineLevel="0" collapsed="false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 customFormat="false" ht="15.75" hidden="false" customHeight="false" outlineLevel="0" collapsed="false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 customFormat="false" ht="15.75" hidden="false" customHeight="false" outlineLevel="0" collapsed="false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 customFormat="false" ht="15.75" hidden="false" customHeight="false" outlineLevel="0" collapsed="false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 customFormat="false" ht="15.75" hidden="false" customHeight="false" outlineLevel="0" collapsed="false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 customFormat="false" ht="15.75" hidden="false" customHeight="false" outlineLevel="0" collapsed="false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 customFormat="false" ht="15.75" hidden="false" customHeight="false" outlineLevel="0" collapsed="false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 customFormat="false" ht="15.75" hidden="false" customHeight="false" outlineLevel="0" collapsed="false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 customFormat="false" ht="15.75" hidden="false" customHeight="false" outlineLevel="0" collapsed="false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 customFormat="false" ht="15.75" hidden="false" customHeight="false" outlineLevel="0" collapsed="false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 customFormat="false" ht="15.75" hidden="false" customHeight="false" outlineLevel="0" collapsed="false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 customFormat="false" ht="15.75" hidden="false" customHeight="false" outlineLevel="0" collapsed="false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 customFormat="false" ht="15.75" hidden="false" customHeight="false" outlineLevel="0" collapsed="false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 customFormat="false" ht="15.75" hidden="false" customHeight="false" outlineLevel="0" collapsed="false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 customFormat="false" ht="15.75" hidden="false" customHeight="false" outlineLevel="0" collapsed="false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 customFormat="false" ht="15.75" hidden="false" customHeight="false" outlineLevel="0" collapsed="false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 customFormat="false" ht="15.75" hidden="false" customHeight="false" outlineLevel="0" collapsed="false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 customFormat="false" ht="15.75" hidden="false" customHeight="false" outlineLevel="0" collapsed="false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 customFormat="false" ht="15.75" hidden="false" customHeight="false" outlineLevel="0" collapsed="false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 customFormat="false" ht="15.75" hidden="false" customHeight="false" outlineLevel="0" collapsed="false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 customFormat="false" ht="15.75" hidden="false" customHeight="false" outlineLevel="0" collapsed="false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 customFormat="false" ht="15.75" hidden="false" customHeight="false" outlineLevel="0" collapsed="false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 customFormat="false" ht="15.75" hidden="false" customHeight="false" outlineLevel="0" collapsed="false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 customFormat="false" ht="15.75" hidden="false" customHeight="false" outlineLevel="0" collapsed="false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 customFormat="false" ht="15.75" hidden="false" customHeight="false" outlineLevel="0" collapsed="false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 customFormat="false" ht="15.75" hidden="false" customHeight="false" outlineLevel="0" collapsed="false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 customFormat="false" ht="15.75" hidden="false" customHeight="false" outlineLevel="0" collapsed="false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 customFormat="false" ht="15.75" hidden="false" customHeight="false" outlineLevel="0" collapsed="false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 customFormat="false" ht="15.75" hidden="false" customHeight="false" outlineLevel="0" collapsed="false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 customFormat="false" ht="15.75" hidden="false" customHeight="false" outlineLevel="0" collapsed="false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 customFormat="false" ht="15.75" hidden="false" customHeight="false" outlineLevel="0" collapsed="false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 customFormat="false" ht="15.75" hidden="false" customHeight="false" outlineLevel="0" collapsed="false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 customFormat="false" ht="15.75" hidden="false" customHeight="false" outlineLevel="0" collapsed="false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 customFormat="false" ht="15.75" hidden="false" customHeight="false" outlineLevel="0" collapsed="false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 customFormat="false" ht="15.75" hidden="false" customHeight="false" outlineLevel="0" collapsed="false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 customFormat="false" ht="15.75" hidden="false" customHeight="false" outlineLevel="0" collapsed="false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 customFormat="false" ht="15.75" hidden="false" customHeight="false" outlineLevel="0" collapsed="false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 customFormat="false" ht="15.75" hidden="false" customHeight="false" outlineLevel="0" collapsed="false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 customFormat="false" ht="15.75" hidden="false" customHeight="false" outlineLevel="0" collapsed="false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 customFormat="false" ht="15.75" hidden="false" customHeight="false" outlineLevel="0" collapsed="false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 customFormat="false" ht="15.75" hidden="false" customHeight="false" outlineLevel="0" collapsed="false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 customFormat="false" ht="15.75" hidden="false" customHeight="false" outlineLevel="0" collapsed="false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 customFormat="false" ht="15.75" hidden="false" customHeight="false" outlineLevel="0" collapsed="false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 customFormat="false" ht="15.75" hidden="false" customHeight="false" outlineLevel="0" collapsed="false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 customFormat="false" ht="15.75" hidden="false" customHeight="false" outlineLevel="0" collapsed="false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 customFormat="false" ht="15.75" hidden="false" customHeight="false" outlineLevel="0" collapsed="false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 customFormat="false" ht="15.75" hidden="false" customHeight="false" outlineLevel="0" collapsed="false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 customFormat="false" ht="15.75" hidden="false" customHeight="false" outlineLevel="0" collapsed="false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 customFormat="false" ht="15.75" hidden="false" customHeight="false" outlineLevel="0" collapsed="false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 customFormat="false" ht="15.75" hidden="false" customHeight="false" outlineLevel="0" collapsed="false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 customFormat="false" ht="15.75" hidden="false" customHeight="false" outlineLevel="0" collapsed="false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 customFormat="false" ht="15.75" hidden="false" customHeight="false" outlineLevel="0" collapsed="false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 customFormat="false" ht="15.75" hidden="false" customHeight="false" outlineLevel="0" collapsed="false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 customFormat="false" ht="15.75" hidden="false" customHeight="false" outlineLevel="0" collapsed="false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 customFormat="false" ht="15.75" hidden="false" customHeight="false" outlineLevel="0" collapsed="false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 customFormat="false" ht="15.75" hidden="false" customHeight="false" outlineLevel="0" collapsed="false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 customFormat="false" ht="15.75" hidden="false" customHeight="false" outlineLevel="0" collapsed="false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 customFormat="false" ht="15.75" hidden="false" customHeight="false" outlineLevel="0" collapsed="false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 customFormat="false" ht="15.75" hidden="false" customHeight="false" outlineLevel="0" collapsed="false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 customFormat="false" ht="15.75" hidden="false" customHeight="false" outlineLevel="0" collapsed="false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 customFormat="false" ht="15.75" hidden="false" customHeight="false" outlineLevel="0" collapsed="false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customFormat="false" ht="15.75" hidden="false" customHeight="false" outlineLevel="0" collapsed="false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customFormat="false" ht="15.75" hidden="false" customHeight="false" outlineLevel="0" collapsed="false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customFormat="false" ht="15.75" hidden="false" customHeight="false" outlineLevel="0" collapsed="false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customFormat="false" ht="15.75" hidden="false" customHeight="false" outlineLevel="0" collapsed="false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customFormat="false" ht="15.75" hidden="false" customHeight="false" outlineLevel="0" collapsed="false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customFormat="false" ht="15.75" hidden="false" customHeight="false" outlineLevel="0" collapsed="false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customFormat="false" ht="15.75" hidden="false" customHeight="false" outlineLevel="0" collapsed="false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customFormat="false" ht="15.75" hidden="false" customHeight="false" outlineLevel="0" collapsed="false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customFormat="false" ht="15.75" hidden="false" customHeight="false" outlineLevel="0" collapsed="false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customFormat="false" ht="15.75" hidden="false" customHeight="false" outlineLevel="0" collapsed="false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customFormat="false" ht="15.75" hidden="false" customHeight="false" outlineLevel="0" collapsed="false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customFormat="false" ht="15.75" hidden="false" customHeight="false" outlineLevel="0" collapsed="false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customFormat="false" ht="15.75" hidden="false" customHeight="false" outlineLevel="0" collapsed="false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customFormat="false" ht="15.75" hidden="false" customHeight="false" outlineLevel="0" collapsed="false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customFormat="false" ht="15.75" hidden="false" customHeight="false" outlineLevel="0" collapsed="false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customFormat="false" ht="15.75" hidden="false" customHeight="false" outlineLevel="0" collapsed="false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customFormat="false" ht="15.75" hidden="false" customHeight="false" outlineLevel="0" collapsed="false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customFormat="false" ht="15.75" hidden="false" customHeight="false" outlineLevel="0" collapsed="false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customFormat="false" ht="15.75" hidden="false" customHeight="false" outlineLevel="0" collapsed="false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customFormat="false" ht="15.75" hidden="false" customHeight="false" outlineLevel="0" collapsed="false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customFormat="false" ht="15.75" hidden="false" customHeight="false" outlineLevel="0" collapsed="false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customFormat="false" ht="15.75" hidden="false" customHeight="false" outlineLevel="0" collapsed="false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customFormat="false" ht="15.75" hidden="false" customHeight="false" outlineLevel="0" collapsed="false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customFormat="false" ht="15.75" hidden="false" customHeight="false" outlineLevel="0" collapsed="false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customFormat="false" ht="15.75" hidden="false" customHeight="false" outlineLevel="0" collapsed="false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customFormat="false" ht="15.75" hidden="false" customHeight="false" outlineLevel="0" collapsed="false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customFormat="false" ht="15.75" hidden="false" customHeight="false" outlineLevel="0" collapsed="false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customFormat="false" ht="15.75" hidden="false" customHeight="false" outlineLevel="0" collapsed="false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customFormat="false" ht="15.75" hidden="false" customHeight="false" outlineLevel="0" collapsed="false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customFormat="false" ht="15.75" hidden="false" customHeight="false" outlineLevel="0" collapsed="false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customFormat="false" ht="15.75" hidden="false" customHeight="false" outlineLevel="0" collapsed="false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customFormat="false" ht="15.75" hidden="false" customHeight="false" outlineLevel="0" collapsed="false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customFormat="false" ht="15.75" hidden="false" customHeight="false" outlineLevel="0" collapsed="false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customFormat="false" ht="15.75" hidden="false" customHeight="false" outlineLevel="0" collapsed="false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customFormat="false" ht="15.75" hidden="false" customHeight="false" outlineLevel="0" collapsed="false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customFormat="false" ht="15.75" hidden="false" customHeight="false" outlineLevel="0" collapsed="false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customFormat="false" ht="15.75" hidden="false" customHeight="false" outlineLevel="0" collapsed="false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customFormat="false" ht="15.75" hidden="false" customHeight="false" outlineLevel="0" collapsed="false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customFormat="false" ht="15.75" hidden="false" customHeight="false" outlineLevel="0" collapsed="false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customFormat="false" ht="15.75" hidden="false" customHeight="false" outlineLevel="0" collapsed="false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customFormat="false" ht="15.75" hidden="false" customHeight="false" outlineLevel="0" collapsed="false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customFormat="false" ht="15.75" hidden="false" customHeight="false" outlineLevel="0" collapsed="false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customFormat="false" ht="15.75" hidden="false" customHeight="false" outlineLevel="0" collapsed="false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customFormat="false" ht="15.75" hidden="false" customHeight="false" outlineLevel="0" collapsed="false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customFormat="false" ht="15.75" hidden="false" customHeight="false" outlineLevel="0" collapsed="false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customFormat="false" ht="15.75" hidden="false" customHeight="false" outlineLevel="0" collapsed="false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customFormat="false" ht="15.75" hidden="false" customHeight="false" outlineLevel="0" collapsed="false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customFormat="false" ht="15.75" hidden="false" customHeight="false" outlineLevel="0" collapsed="false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customFormat="false" ht="15.75" hidden="false" customHeight="false" outlineLevel="0" collapsed="false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customFormat="false" ht="15.75" hidden="false" customHeight="false" outlineLevel="0" collapsed="false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customFormat="false" ht="15.75" hidden="false" customHeight="false" outlineLevel="0" collapsed="false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customFormat="false" ht="15.75" hidden="false" customHeight="false" outlineLevel="0" collapsed="false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customFormat="false" ht="15.75" hidden="false" customHeight="false" outlineLevel="0" collapsed="false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customFormat="false" ht="15.75" hidden="false" customHeight="false" outlineLevel="0" collapsed="false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customFormat="false" ht="15.75" hidden="false" customHeight="false" outlineLevel="0" collapsed="false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customFormat="false" ht="15.75" hidden="false" customHeight="false" outlineLevel="0" collapsed="false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customFormat="false" ht="15.75" hidden="false" customHeight="false" outlineLevel="0" collapsed="false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customFormat="false" ht="15.75" hidden="false" customHeight="false" outlineLevel="0" collapsed="false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customFormat="false" ht="15.75" hidden="false" customHeight="false" outlineLevel="0" collapsed="false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customFormat="false" ht="15.75" hidden="false" customHeight="false" outlineLevel="0" collapsed="false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customFormat="false" ht="15.75" hidden="false" customHeight="false" outlineLevel="0" collapsed="false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customFormat="false" ht="15.75" hidden="false" customHeight="false" outlineLevel="0" collapsed="false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customFormat="false" ht="15.75" hidden="false" customHeight="false" outlineLevel="0" collapsed="false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customFormat="false" ht="15.75" hidden="false" customHeight="false" outlineLevel="0" collapsed="false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customFormat="false" ht="15.75" hidden="false" customHeight="false" outlineLevel="0" collapsed="false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customFormat="false" ht="15.75" hidden="false" customHeight="false" outlineLevel="0" collapsed="false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customFormat="false" ht="15.75" hidden="false" customHeight="false" outlineLevel="0" collapsed="false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customFormat="false" ht="15.75" hidden="false" customHeight="false" outlineLevel="0" collapsed="false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customFormat="false" ht="15.75" hidden="false" customHeight="false" outlineLevel="0" collapsed="false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customFormat="false" ht="15.75" hidden="false" customHeight="false" outlineLevel="0" collapsed="false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customFormat="false" ht="15.75" hidden="false" customHeight="false" outlineLevel="0" collapsed="false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customFormat="false" ht="15.75" hidden="false" customHeight="false" outlineLevel="0" collapsed="false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customFormat="false" ht="15.75" hidden="false" customHeight="false" outlineLevel="0" collapsed="false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customFormat="false" ht="15.75" hidden="false" customHeight="false" outlineLevel="0" collapsed="false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customFormat="false" ht="15.75" hidden="false" customHeight="false" outlineLevel="0" collapsed="false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customFormat="false" ht="15.75" hidden="false" customHeight="false" outlineLevel="0" collapsed="false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customFormat="false" ht="15.75" hidden="false" customHeight="false" outlineLevel="0" collapsed="false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customFormat="false" ht="15.75" hidden="false" customHeight="false" outlineLevel="0" collapsed="false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customFormat="false" ht="15.75" hidden="false" customHeight="false" outlineLevel="0" collapsed="false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customFormat="false" ht="15.75" hidden="false" customHeight="false" outlineLevel="0" collapsed="false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customFormat="false" ht="15.75" hidden="false" customHeight="false" outlineLevel="0" collapsed="false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customFormat="false" ht="15.75" hidden="false" customHeight="false" outlineLevel="0" collapsed="false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customFormat="false" ht="15.75" hidden="false" customHeight="false" outlineLevel="0" collapsed="false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customFormat="false" ht="15.75" hidden="false" customHeight="false" outlineLevel="0" collapsed="false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customFormat="false" ht="15.75" hidden="false" customHeight="false" outlineLevel="0" collapsed="false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customFormat="false" ht="15.75" hidden="false" customHeight="false" outlineLevel="0" collapsed="false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customFormat="false" ht="15.75" hidden="false" customHeight="false" outlineLevel="0" collapsed="false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customFormat="false" ht="15.75" hidden="false" customHeight="false" outlineLevel="0" collapsed="false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customFormat="false" ht="15.75" hidden="false" customHeight="false" outlineLevel="0" collapsed="false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customFormat="false" ht="15.75" hidden="false" customHeight="false" outlineLevel="0" collapsed="false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customFormat="false" ht="15.75" hidden="false" customHeight="false" outlineLevel="0" collapsed="false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customFormat="false" ht="15.75" hidden="false" customHeight="false" outlineLevel="0" collapsed="false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customFormat="false" ht="15.75" hidden="false" customHeight="false" outlineLevel="0" collapsed="false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customFormat="false" ht="15.75" hidden="false" customHeight="false" outlineLevel="0" collapsed="false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customFormat="false" ht="15.75" hidden="false" customHeight="false" outlineLevel="0" collapsed="false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customFormat="false" ht="15.75" hidden="false" customHeight="false" outlineLevel="0" collapsed="false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customFormat="false" ht="15.75" hidden="false" customHeight="false" outlineLevel="0" collapsed="false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customFormat="false" ht="15.75" hidden="false" customHeight="false" outlineLevel="0" collapsed="false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customFormat="false" ht="15.75" hidden="false" customHeight="false" outlineLevel="0" collapsed="false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customFormat="false" ht="15.75" hidden="false" customHeight="false" outlineLevel="0" collapsed="false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customFormat="false" ht="15.75" hidden="false" customHeight="false" outlineLevel="0" collapsed="false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customFormat="false" ht="15.75" hidden="false" customHeight="false" outlineLevel="0" collapsed="false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customFormat="false" ht="15.75" hidden="false" customHeight="false" outlineLevel="0" collapsed="false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customFormat="false" ht="15.75" hidden="false" customHeight="false" outlineLevel="0" collapsed="false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customFormat="false" ht="15.75" hidden="false" customHeight="false" outlineLevel="0" collapsed="false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customFormat="false" ht="15.75" hidden="false" customHeight="false" outlineLevel="0" collapsed="false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customFormat="false" ht="15.75" hidden="false" customHeight="false" outlineLevel="0" collapsed="false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customFormat="false" ht="15.75" hidden="false" customHeight="false" outlineLevel="0" collapsed="false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customFormat="false" ht="15.75" hidden="false" customHeight="false" outlineLevel="0" collapsed="false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customFormat="false" ht="15.75" hidden="false" customHeight="false" outlineLevel="0" collapsed="false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customFormat="false" ht="15.75" hidden="false" customHeight="false" outlineLevel="0" collapsed="false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customFormat="false" ht="15.75" hidden="false" customHeight="false" outlineLevel="0" collapsed="false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customFormat="false" ht="15.75" hidden="false" customHeight="false" outlineLevel="0" collapsed="false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customFormat="false" ht="15.75" hidden="false" customHeight="false" outlineLevel="0" collapsed="false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customFormat="false" ht="15.75" hidden="false" customHeight="false" outlineLevel="0" collapsed="false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customFormat="false" ht="15.75" hidden="false" customHeight="false" outlineLevel="0" collapsed="false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customFormat="false" ht="15.75" hidden="false" customHeight="false" outlineLevel="0" collapsed="false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customFormat="false" ht="15.75" hidden="false" customHeight="false" outlineLevel="0" collapsed="false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customFormat="false" ht="15.75" hidden="false" customHeight="false" outlineLevel="0" collapsed="false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customFormat="false" ht="15.75" hidden="false" customHeight="false" outlineLevel="0" collapsed="false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customFormat="false" ht="15.75" hidden="false" customHeight="false" outlineLevel="0" collapsed="false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customFormat="false" ht="15.75" hidden="false" customHeight="false" outlineLevel="0" collapsed="false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customFormat="false" ht="15.75" hidden="false" customHeight="false" outlineLevel="0" collapsed="false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customFormat="false" ht="15.75" hidden="false" customHeight="false" outlineLevel="0" collapsed="false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customFormat="false" ht="15.75" hidden="false" customHeight="false" outlineLevel="0" collapsed="false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customFormat="false" ht="15.75" hidden="false" customHeight="false" outlineLevel="0" collapsed="false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customFormat="false" ht="15.75" hidden="false" customHeight="false" outlineLevel="0" collapsed="false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customFormat="false" ht="15.75" hidden="false" customHeight="false" outlineLevel="0" collapsed="false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customFormat="false" ht="15.75" hidden="false" customHeight="false" outlineLevel="0" collapsed="false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customFormat="false" ht="15.75" hidden="false" customHeight="false" outlineLevel="0" collapsed="false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customFormat="false" ht="15.75" hidden="false" customHeight="false" outlineLevel="0" collapsed="false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customFormat="false" ht="15.75" hidden="false" customHeight="false" outlineLevel="0" collapsed="false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customFormat="false" ht="15.75" hidden="false" customHeight="false" outlineLevel="0" collapsed="false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customFormat="false" ht="15.75" hidden="false" customHeight="false" outlineLevel="0" collapsed="false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customFormat="false" ht="15.75" hidden="false" customHeight="false" outlineLevel="0" collapsed="false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customFormat="false" ht="15.75" hidden="false" customHeight="false" outlineLevel="0" collapsed="false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customFormat="false" ht="15.75" hidden="false" customHeight="false" outlineLevel="0" collapsed="false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customFormat="false" ht="15.75" hidden="false" customHeight="false" outlineLevel="0" collapsed="false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customFormat="false" ht="15.75" hidden="false" customHeight="false" outlineLevel="0" collapsed="false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customFormat="false" ht="15.75" hidden="false" customHeight="false" outlineLevel="0" collapsed="false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customFormat="false" ht="15.75" hidden="false" customHeight="false" outlineLevel="0" collapsed="false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customFormat="false" ht="15.75" hidden="false" customHeight="false" outlineLevel="0" collapsed="false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customFormat="false" ht="15.75" hidden="false" customHeight="false" outlineLevel="0" collapsed="false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customFormat="false" ht="15.75" hidden="false" customHeight="false" outlineLevel="0" collapsed="false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customFormat="false" ht="15.75" hidden="false" customHeight="false" outlineLevel="0" collapsed="false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customFormat="false" ht="15.75" hidden="false" customHeight="false" outlineLevel="0" collapsed="false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customFormat="false" ht="15.75" hidden="false" customHeight="false" outlineLevel="0" collapsed="false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customFormat="false" ht="15.75" hidden="false" customHeight="false" outlineLevel="0" collapsed="false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customFormat="false" ht="15.75" hidden="false" customHeight="false" outlineLevel="0" collapsed="false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customFormat="false" ht="15.75" hidden="false" customHeight="false" outlineLevel="0" collapsed="false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customFormat="false" ht="15.75" hidden="false" customHeight="false" outlineLevel="0" collapsed="false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customFormat="false" ht="15.75" hidden="false" customHeight="false" outlineLevel="0" collapsed="false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customFormat="false" ht="15.75" hidden="false" customHeight="false" outlineLevel="0" collapsed="false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customFormat="false" ht="15.75" hidden="false" customHeight="false" outlineLevel="0" collapsed="false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customFormat="false" ht="15.75" hidden="false" customHeight="false" outlineLevel="0" collapsed="false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customFormat="false" ht="15.75" hidden="false" customHeight="false" outlineLevel="0" collapsed="false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customFormat="false" ht="15.75" hidden="false" customHeight="false" outlineLevel="0" collapsed="false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customFormat="false" ht="15.75" hidden="false" customHeight="false" outlineLevel="0" collapsed="false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customFormat="false" ht="15.75" hidden="false" customHeight="false" outlineLevel="0" collapsed="false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customFormat="false" ht="15.75" hidden="false" customHeight="false" outlineLevel="0" collapsed="false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customFormat="false" ht="15.75" hidden="false" customHeight="false" outlineLevel="0" collapsed="false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customFormat="false" ht="15.75" hidden="false" customHeight="false" outlineLevel="0" collapsed="false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customFormat="false" ht="15.75" hidden="false" customHeight="false" outlineLevel="0" collapsed="false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customFormat="false" ht="15.75" hidden="false" customHeight="false" outlineLevel="0" collapsed="false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customFormat="false" ht="15.75" hidden="false" customHeight="false" outlineLevel="0" collapsed="false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customFormat="false" ht="15.75" hidden="false" customHeight="false" outlineLevel="0" collapsed="false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customFormat="false" ht="15.75" hidden="false" customHeight="false" outlineLevel="0" collapsed="false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customFormat="false" ht="15.75" hidden="false" customHeight="false" outlineLevel="0" collapsed="false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customFormat="false" ht="15.75" hidden="false" customHeight="false" outlineLevel="0" collapsed="false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customFormat="false" ht="15.75" hidden="false" customHeight="false" outlineLevel="0" collapsed="false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customFormat="false" ht="15.75" hidden="false" customHeight="false" outlineLevel="0" collapsed="false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customFormat="false" ht="15.75" hidden="false" customHeight="false" outlineLevel="0" collapsed="false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customFormat="false" ht="15.75" hidden="false" customHeight="false" outlineLevel="0" collapsed="false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customFormat="false" ht="15.75" hidden="false" customHeight="false" outlineLevel="0" collapsed="false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customFormat="false" ht="15.75" hidden="false" customHeight="false" outlineLevel="0" collapsed="false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customFormat="false" ht="15.75" hidden="false" customHeight="false" outlineLevel="0" collapsed="false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customFormat="false" ht="15.75" hidden="false" customHeight="false" outlineLevel="0" collapsed="false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customFormat="false" ht="15.75" hidden="false" customHeight="false" outlineLevel="0" collapsed="false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customFormat="false" ht="15.75" hidden="false" customHeight="false" outlineLevel="0" collapsed="false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customFormat="false" ht="15.75" hidden="false" customHeight="false" outlineLevel="0" collapsed="false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customFormat="false" ht="15.75" hidden="false" customHeight="false" outlineLevel="0" collapsed="false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customFormat="false" ht="15.75" hidden="false" customHeight="false" outlineLevel="0" collapsed="false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customFormat="false" ht="15.75" hidden="false" customHeight="false" outlineLevel="0" collapsed="false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customFormat="false" ht="15.75" hidden="false" customHeight="false" outlineLevel="0" collapsed="false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customFormat="false" ht="15.75" hidden="false" customHeight="false" outlineLevel="0" collapsed="false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customFormat="false" ht="15.75" hidden="false" customHeight="false" outlineLevel="0" collapsed="false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customFormat="false" ht="15.75" hidden="false" customHeight="false" outlineLevel="0" collapsed="false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customFormat="false" ht="15.75" hidden="false" customHeight="false" outlineLevel="0" collapsed="false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customFormat="false" ht="15.75" hidden="false" customHeight="false" outlineLevel="0" collapsed="false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customFormat="false" ht="15.75" hidden="false" customHeight="false" outlineLevel="0" collapsed="false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customFormat="false" ht="15.75" hidden="false" customHeight="false" outlineLevel="0" collapsed="false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customFormat="false" ht="15.75" hidden="false" customHeight="false" outlineLevel="0" collapsed="false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customFormat="false" ht="15.75" hidden="false" customHeight="false" outlineLevel="0" collapsed="false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customFormat="false" ht="15.75" hidden="false" customHeight="false" outlineLevel="0" collapsed="false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customFormat="false" ht="15.75" hidden="false" customHeight="false" outlineLevel="0" collapsed="false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customFormat="false" ht="15.75" hidden="false" customHeight="false" outlineLevel="0" collapsed="false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customFormat="false" ht="15.75" hidden="false" customHeight="false" outlineLevel="0" collapsed="false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customFormat="false" ht="15.75" hidden="false" customHeight="false" outlineLevel="0" collapsed="false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customFormat="false" ht="15.75" hidden="false" customHeight="false" outlineLevel="0" collapsed="false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customFormat="false" ht="15.75" hidden="false" customHeight="false" outlineLevel="0" collapsed="false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customFormat="false" ht="15.75" hidden="false" customHeight="false" outlineLevel="0" collapsed="false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customFormat="false" ht="15.75" hidden="false" customHeight="false" outlineLevel="0" collapsed="false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customFormat="false" ht="15.75" hidden="false" customHeight="false" outlineLevel="0" collapsed="false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customFormat="false" ht="15.75" hidden="false" customHeight="false" outlineLevel="0" collapsed="false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customFormat="false" ht="15.75" hidden="false" customHeight="false" outlineLevel="0" collapsed="false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customFormat="false" ht="15.75" hidden="false" customHeight="false" outlineLevel="0" collapsed="false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customFormat="false" ht="15.75" hidden="false" customHeight="false" outlineLevel="0" collapsed="false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customFormat="false" ht="15.75" hidden="false" customHeight="false" outlineLevel="0" collapsed="false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customFormat="false" ht="15.75" hidden="false" customHeight="false" outlineLevel="0" collapsed="false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customFormat="false" ht="15.75" hidden="false" customHeight="false" outlineLevel="0" collapsed="false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customFormat="false" ht="15.75" hidden="false" customHeight="false" outlineLevel="0" collapsed="false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customFormat="false" ht="15.75" hidden="false" customHeight="false" outlineLevel="0" collapsed="false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customFormat="false" ht="15.75" hidden="false" customHeight="false" outlineLevel="0" collapsed="false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customFormat="false" ht="15.75" hidden="false" customHeight="false" outlineLevel="0" collapsed="false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customFormat="false" ht="15.75" hidden="false" customHeight="false" outlineLevel="0" collapsed="false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customFormat="false" ht="15.75" hidden="false" customHeight="false" outlineLevel="0" collapsed="false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customFormat="false" ht="15.75" hidden="false" customHeight="false" outlineLevel="0" collapsed="false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customFormat="false" ht="15.75" hidden="false" customHeight="false" outlineLevel="0" collapsed="false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customFormat="false" ht="15.75" hidden="false" customHeight="false" outlineLevel="0" collapsed="false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customFormat="false" ht="15.75" hidden="false" customHeight="false" outlineLevel="0" collapsed="false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customFormat="false" ht="15.75" hidden="false" customHeight="false" outlineLevel="0" collapsed="false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customFormat="false" ht="15.75" hidden="false" customHeight="false" outlineLevel="0" collapsed="false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customFormat="false" ht="15.75" hidden="false" customHeight="false" outlineLevel="0" collapsed="false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customFormat="false" ht="15.75" hidden="false" customHeight="false" outlineLevel="0" collapsed="false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customFormat="false" ht="15.75" hidden="false" customHeight="false" outlineLevel="0" collapsed="false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customFormat="false" ht="15.75" hidden="false" customHeight="false" outlineLevel="0" collapsed="false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customFormat="false" ht="15.75" hidden="false" customHeight="false" outlineLevel="0" collapsed="false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customFormat="false" ht="15.75" hidden="false" customHeight="false" outlineLevel="0" collapsed="false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customFormat="false" ht="15.75" hidden="false" customHeight="false" outlineLevel="0" collapsed="false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customFormat="false" ht="15.75" hidden="false" customHeight="false" outlineLevel="0" collapsed="false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customFormat="false" ht="15.75" hidden="false" customHeight="false" outlineLevel="0" collapsed="false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customFormat="false" ht="15.75" hidden="false" customHeight="false" outlineLevel="0" collapsed="false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customFormat="false" ht="15.75" hidden="false" customHeight="false" outlineLevel="0" collapsed="false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customFormat="false" ht="15.75" hidden="false" customHeight="false" outlineLevel="0" collapsed="false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customFormat="false" ht="15.75" hidden="false" customHeight="false" outlineLevel="0" collapsed="false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customFormat="false" ht="15.75" hidden="false" customHeight="false" outlineLevel="0" collapsed="false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customFormat="false" ht="15.75" hidden="false" customHeight="false" outlineLevel="0" collapsed="false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customFormat="false" ht="15.75" hidden="false" customHeight="false" outlineLevel="0" collapsed="false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customFormat="false" ht="15.75" hidden="false" customHeight="false" outlineLevel="0" collapsed="false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customFormat="false" ht="15.75" hidden="false" customHeight="false" outlineLevel="0" collapsed="false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customFormat="false" ht="15.75" hidden="false" customHeight="false" outlineLevel="0" collapsed="false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customFormat="false" ht="15.75" hidden="false" customHeight="false" outlineLevel="0" collapsed="false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customFormat="false" ht="15.75" hidden="false" customHeight="false" outlineLevel="0" collapsed="false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customFormat="false" ht="15.75" hidden="false" customHeight="false" outlineLevel="0" collapsed="false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customFormat="false" ht="15.75" hidden="false" customHeight="false" outlineLevel="0" collapsed="false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customFormat="false" ht="15.75" hidden="false" customHeight="false" outlineLevel="0" collapsed="false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customFormat="false" ht="15.75" hidden="false" customHeight="false" outlineLevel="0" collapsed="false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customFormat="false" ht="15.75" hidden="false" customHeight="false" outlineLevel="0" collapsed="false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customFormat="false" ht="15.75" hidden="false" customHeight="false" outlineLevel="0" collapsed="false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customFormat="false" ht="15.75" hidden="false" customHeight="false" outlineLevel="0" collapsed="false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customFormat="false" ht="15.75" hidden="false" customHeight="false" outlineLevel="0" collapsed="false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customFormat="false" ht="15.75" hidden="false" customHeight="false" outlineLevel="0" collapsed="false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customFormat="false" ht="15.75" hidden="false" customHeight="false" outlineLevel="0" collapsed="false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customFormat="false" ht="15.75" hidden="false" customHeight="false" outlineLevel="0" collapsed="false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customFormat="false" ht="15.75" hidden="false" customHeight="false" outlineLevel="0" collapsed="false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customFormat="false" ht="15.75" hidden="false" customHeight="false" outlineLevel="0" collapsed="false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customFormat="false" ht="15.75" hidden="false" customHeight="false" outlineLevel="0" collapsed="false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customFormat="false" ht="15.75" hidden="false" customHeight="false" outlineLevel="0" collapsed="false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customFormat="false" ht="15.75" hidden="false" customHeight="false" outlineLevel="0" collapsed="false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customFormat="false" ht="15.75" hidden="false" customHeight="false" outlineLevel="0" collapsed="false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customFormat="false" ht="15.75" hidden="false" customHeight="false" outlineLevel="0" collapsed="false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customFormat="false" ht="15.75" hidden="false" customHeight="false" outlineLevel="0" collapsed="false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customFormat="false" ht="15.75" hidden="false" customHeight="false" outlineLevel="0" collapsed="false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customFormat="false" ht="15.75" hidden="false" customHeight="false" outlineLevel="0" collapsed="false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customFormat="false" ht="15.75" hidden="false" customHeight="false" outlineLevel="0" collapsed="false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customFormat="false" ht="15.75" hidden="false" customHeight="false" outlineLevel="0" collapsed="false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customFormat="false" ht="15.75" hidden="false" customHeight="false" outlineLevel="0" collapsed="false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customFormat="false" ht="15.75" hidden="false" customHeight="false" outlineLevel="0" collapsed="false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customFormat="false" ht="15.75" hidden="false" customHeight="false" outlineLevel="0" collapsed="false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customFormat="false" ht="15.75" hidden="false" customHeight="false" outlineLevel="0" collapsed="false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customFormat="false" ht="15.75" hidden="false" customHeight="false" outlineLevel="0" collapsed="false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customFormat="false" ht="15.75" hidden="false" customHeight="false" outlineLevel="0" collapsed="false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customFormat="false" ht="15.75" hidden="false" customHeight="false" outlineLevel="0" collapsed="false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customFormat="false" ht="15.75" hidden="false" customHeight="false" outlineLevel="0" collapsed="false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customFormat="false" ht="15.75" hidden="false" customHeight="false" outlineLevel="0" collapsed="false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customFormat="false" ht="15.75" hidden="false" customHeight="false" outlineLevel="0" collapsed="false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customFormat="false" ht="15.75" hidden="false" customHeight="false" outlineLevel="0" collapsed="false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customFormat="false" ht="15.75" hidden="false" customHeight="false" outlineLevel="0" collapsed="false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customFormat="false" ht="15.75" hidden="false" customHeight="false" outlineLevel="0" collapsed="false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customFormat="false" ht="15.75" hidden="false" customHeight="false" outlineLevel="0" collapsed="false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customFormat="false" ht="15.75" hidden="false" customHeight="false" outlineLevel="0" collapsed="false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customFormat="false" ht="15.75" hidden="false" customHeight="false" outlineLevel="0" collapsed="false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customFormat="false" ht="15.75" hidden="false" customHeight="false" outlineLevel="0" collapsed="false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customFormat="false" ht="15.75" hidden="false" customHeight="false" outlineLevel="0" collapsed="false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customFormat="false" ht="15.75" hidden="false" customHeight="false" outlineLevel="0" collapsed="false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customFormat="false" ht="15.75" hidden="false" customHeight="false" outlineLevel="0" collapsed="false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customFormat="false" ht="15.75" hidden="false" customHeight="false" outlineLevel="0" collapsed="false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customFormat="false" ht="15.75" hidden="false" customHeight="false" outlineLevel="0" collapsed="false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customFormat="false" ht="15.75" hidden="false" customHeight="false" outlineLevel="0" collapsed="false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customFormat="false" ht="15.75" hidden="false" customHeight="false" outlineLevel="0" collapsed="false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customFormat="false" ht="15.75" hidden="false" customHeight="false" outlineLevel="0" collapsed="false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customFormat="false" ht="15.75" hidden="false" customHeight="false" outlineLevel="0" collapsed="false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customFormat="false" ht="15.75" hidden="false" customHeight="false" outlineLevel="0" collapsed="false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customFormat="false" ht="15.75" hidden="false" customHeight="false" outlineLevel="0" collapsed="false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customFormat="false" ht="15.75" hidden="false" customHeight="false" outlineLevel="0" collapsed="false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customFormat="false" ht="15.75" hidden="false" customHeight="false" outlineLevel="0" collapsed="false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customFormat="false" ht="15.75" hidden="false" customHeight="false" outlineLevel="0" collapsed="false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customFormat="false" ht="15.75" hidden="false" customHeight="false" outlineLevel="0" collapsed="false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customFormat="false" ht="15.75" hidden="false" customHeight="false" outlineLevel="0" collapsed="false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customFormat="false" ht="15.75" hidden="false" customHeight="false" outlineLevel="0" collapsed="false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customFormat="false" ht="15.75" hidden="false" customHeight="false" outlineLevel="0" collapsed="false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customFormat="false" ht="15.75" hidden="false" customHeight="false" outlineLevel="0" collapsed="false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customFormat="false" ht="15.75" hidden="false" customHeight="false" outlineLevel="0" collapsed="false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customFormat="false" ht="15.75" hidden="false" customHeight="false" outlineLevel="0" collapsed="false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customFormat="false" ht="15.75" hidden="false" customHeight="false" outlineLevel="0" collapsed="false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customFormat="false" ht="15.75" hidden="false" customHeight="false" outlineLevel="0" collapsed="false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customFormat="false" ht="15.75" hidden="false" customHeight="false" outlineLevel="0" collapsed="false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customFormat="false" ht="15.75" hidden="false" customHeight="false" outlineLevel="0" collapsed="false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customFormat="false" ht="15.75" hidden="false" customHeight="false" outlineLevel="0" collapsed="false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customFormat="false" ht="15.75" hidden="false" customHeight="false" outlineLevel="0" collapsed="false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customFormat="false" ht="15.75" hidden="false" customHeight="false" outlineLevel="0" collapsed="false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customFormat="false" ht="15.75" hidden="false" customHeight="false" outlineLevel="0" collapsed="false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customFormat="false" ht="15.75" hidden="false" customHeight="false" outlineLevel="0" collapsed="false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customFormat="false" ht="15.75" hidden="false" customHeight="false" outlineLevel="0" collapsed="false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customFormat="false" ht="15.75" hidden="false" customHeight="false" outlineLevel="0" collapsed="false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customFormat="false" ht="15.75" hidden="false" customHeight="false" outlineLevel="0" collapsed="false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customFormat="false" ht="15.75" hidden="false" customHeight="false" outlineLevel="0" collapsed="false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customFormat="false" ht="15.75" hidden="false" customHeight="false" outlineLevel="0" collapsed="false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customFormat="false" ht="15.75" hidden="false" customHeight="false" outlineLevel="0" collapsed="false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customFormat="false" ht="15.75" hidden="false" customHeight="false" outlineLevel="0" collapsed="false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customFormat="false" ht="15.75" hidden="false" customHeight="false" outlineLevel="0" collapsed="false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customFormat="false" ht="15.75" hidden="false" customHeight="false" outlineLevel="0" collapsed="false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customFormat="false" ht="15.75" hidden="false" customHeight="false" outlineLevel="0" collapsed="false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customFormat="false" ht="15.75" hidden="false" customHeight="false" outlineLevel="0" collapsed="false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customFormat="false" ht="15.75" hidden="false" customHeight="false" outlineLevel="0" collapsed="false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customFormat="false" ht="15.75" hidden="false" customHeight="false" outlineLevel="0" collapsed="false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customFormat="false" ht="15.75" hidden="false" customHeight="false" outlineLevel="0" collapsed="false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customFormat="false" ht="15.75" hidden="false" customHeight="false" outlineLevel="0" collapsed="false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customFormat="false" ht="15.75" hidden="false" customHeight="false" outlineLevel="0" collapsed="false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customFormat="false" ht="15.75" hidden="false" customHeight="false" outlineLevel="0" collapsed="false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customFormat="false" ht="15.75" hidden="false" customHeight="false" outlineLevel="0" collapsed="false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customFormat="false" ht="15.75" hidden="false" customHeight="false" outlineLevel="0" collapsed="false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customFormat="false" ht="15.75" hidden="false" customHeight="false" outlineLevel="0" collapsed="false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customFormat="false" ht="15.75" hidden="false" customHeight="false" outlineLevel="0" collapsed="false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customFormat="false" ht="15.75" hidden="false" customHeight="false" outlineLevel="0" collapsed="false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customFormat="false" ht="15.75" hidden="false" customHeight="false" outlineLevel="0" collapsed="false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customFormat="false" ht="15.75" hidden="false" customHeight="false" outlineLevel="0" collapsed="false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customFormat="false" ht="15.75" hidden="false" customHeight="false" outlineLevel="0" collapsed="false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customFormat="false" ht="15.75" hidden="false" customHeight="false" outlineLevel="0" collapsed="false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customFormat="false" ht="15.75" hidden="false" customHeight="false" outlineLevel="0" collapsed="false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customFormat="false" ht="15.75" hidden="false" customHeight="false" outlineLevel="0" collapsed="false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customFormat="false" ht="15.75" hidden="false" customHeight="false" outlineLevel="0" collapsed="false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customFormat="false" ht="15.75" hidden="false" customHeight="false" outlineLevel="0" collapsed="false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customFormat="false" ht="15.75" hidden="false" customHeight="false" outlineLevel="0" collapsed="false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customFormat="false" ht="15.75" hidden="false" customHeight="false" outlineLevel="0" collapsed="false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customFormat="false" ht="15.75" hidden="false" customHeight="false" outlineLevel="0" collapsed="false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customFormat="false" ht="15.75" hidden="false" customHeight="false" outlineLevel="0" collapsed="false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customFormat="false" ht="15.75" hidden="false" customHeight="false" outlineLevel="0" collapsed="false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customFormat="false" ht="15.75" hidden="false" customHeight="false" outlineLevel="0" collapsed="false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customFormat="false" ht="15.75" hidden="false" customHeight="false" outlineLevel="0" collapsed="false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customFormat="false" ht="15.75" hidden="false" customHeight="false" outlineLevel="0" collapsed="false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customFormat="false" ht="15.75" hidden="false" customHeight="false" outlineLevel="0" collapsed="false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customFormat="false" ht="15.75" hidden="false" customHeight="false" outlineLevel="0" collapsed="false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customFormat="false" ht="15.75" hidden="false" customHeight="false" outlineLevel="0" collapsed="false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customFormat="false" ht="15.75" hidden="false" customHeight="false" outlineLevel="0" collapsed="false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customFormat="false" ht="15.75" hidden="false" customHeight="false" outlineLevel="0" collapsed="false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customFormat="false" ht="15.75" hidden="false" customHeight="false" outlineLevel="0" collapsed="false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customFormat="false" ht="15.75" hidden="false" customHeight="false" outlineLevel="0" collapsed="false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customFormat="false" ht="15.75" hidden="false" customHeight="false" outlineLevel="0" collapsed="false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customFormat="false" ht="15.75" hidden="false" customHeight="false" outlineLevel="0" collapsed="false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customFormat="false" ht="15.75" hidden="false" customHeight="false" outlineLevel="0" collapsed="false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customFormat="false" ht="15.75" hidden="false" customHeight="false" outlineLevel="0" collapsed="false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customFormat="false" ht="15.75" hidden="false" customHeight="false" outlineLevel="0" collapsed="false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customFormat="false" ht="15.75" hidden="false" customHeight="false" outlineLevel="0" collapsed="false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customFormat="false" ht="15.75" hidden="false" customHeight="false" outlineLevel="0" collapsed="false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customFormat="false" ht="15.75" hidden="false" customHeight="false" outlineLevel="0" collapsed="false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customFormat="false" ht="15.75" hidden="false" customHeight="false" outlineLevel="0" collapsed="false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customFormat="false" ht="15.75" hidden="false" customHeight="false" outlineLevel="0" collapsed="false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customFormat="false" ht="15.75" hidden="false" customHeight="false" outlineLevel="0" collapsed="false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customFormat="false" ht="15.75" hidden="false" customHeight="false" outlineLevel="0" collapsed="false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customFormat="false" ht="15.75" hidden="false" customHeight="false" outlineLevel="0" collapsed="false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customFormat="false" ht="15.75" hidden="false" customHeight="false" outlineLevel="0" collapsed="false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customFormat="false" ht="15.75" hidden="false" customHeight="false" outlineLevel="0" collapsed="false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customFormat="false" ht="15.75" hidden="false" customHeight="false" outlineLevel="0" collapsed="false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customFormat="false" ht="15.75" hidden="false" customHeight="false" outlineLevel="0" collapsed="false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customFormat="false" ht="15.75" hidden="false" customHeight="false" outlineLevel="0" collapsed="false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customFormat="false" ht="15.75" hidden="false" customHeight="false" outlineLevel="0" collapsed="false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customFormat="false" ht="15.75" hidden="false" customHeight="false" outlineLevel="0" collapsed="false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customFormat="false" ht="15.75" hidden="false" customHeight="false" outlineLevel="0" collapsed="false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customFormat="false" ht="15.75" hidden="false" customHeight="false" outlineLevel="0" collapsed="false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customFormat="false" ht="15.75" hidden="false" customHeight="false" outlineLevel="0" collapsed="false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customFormat="false" ht="15.75" hidden="false" customHeight="false" outlineLevel="0" collapsed="false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customFormat="false" ht="15.75" hidden="false" customHeight="false" outlineLevel="0" collapsed="false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customFormat="false" ht="15.75" hidden="false" customHeight="false" outlineLevel="0" collapsed="false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customFormat="false" ht="15.75" hidden="false" customHeight="false" outlineLevel="0" collapsed="false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customFormat="false" ht="15.75" hidden="false" customHeight="false" outlineLevel="0" collapsed="false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customFormat="false" ht="15.75" hidden="false" customHeight="false" outlineLevel="0" collapsed="false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customFormat="false" ht="15.75" hidden="false" customHeight="false" outlineLevel="0" collapsed="false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customFormat="false" ht="15.75" hidden="false" customHeight="false" outlineLevel="0" collapsed="false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customFormat="false" ht="15.75" hidden="false" customHeight="false" outlineLevel="0" collapsed="false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customFormat="false" ht="15.75" hidden="false" customHeight="false" outlineLevel="0" collapsed="false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customFormat="false" ht="15.75" hidden="false" customHeight="false" outlineLevel="0" collapsed="false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customFormat="false" ht="15.75" hidden="false" customHeight="false" outlineLevel="0" collapsed="false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customFormat="false" ht="15.75" hidden="false" customHeight="false" outlineLevel="0" collapsed="false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customFormat="false" ht="15.75" hidden="false" customHeight="false" outlineLevel="0" collapsed="false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customFormat="false" ht="15.75" hidden="false" customHeight="false" outlineLevel="0" collapsed="false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customFormat="false" ht="15.75" hidden="false" customHeight="false" outlineLevel="0" collapsed="false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customFormat="false" ht="15.75" hidden="false" customHeight="false" outlineLevel="0" collapsed="false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customFormat="false" ht="15.75" hidden="false" customHeight="false" outlineLevel="0" collapsed="false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customFormat="false" ht="15.75" hidden="false" customHeight="false" outlineLevel="0" collapsed="false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customFormat="false" ht="15.75" hidden="false" customHeight="false" outlineLevel="0" collapsed="false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customFormat="false" ht="15.75" hidden="false" customHeight="false" outlineLevel="0" collapsed="false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customFormat="false" ht="15.75" hidden="false" customHeight="false" outlineLevel="0" collapsed="false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customFormat="false" ht="15.75" hidden="false" customHeight="false" outlineLevel="0" collapsed="false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customFormat="false" ht="15.75" hidden="false" customHeight="false" outlineLevel="0" collapsed="false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customFormat="false" ht="15.75" hidden="false" customHeight="false" outlineLevel="0" collapsed="false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customFormat="false" ht="15.75" hidden="false" customHeight="false" outlineLevel="0" collapsed="false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customFormat="false" ht="15.75" hidden="false" customHeight="false" outlineLevel="0" collapsed="false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customFormat="false" ht="15.75" hidden="false" customHeight="false" outlineLevel="0" collapsed="false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customFormat="false" ht="15.75" hidden="false" customHeight="false" outlineLevel="0" collapsed="false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customFormat="false" ht="15.75" hidden="false" customHeight="false" outlineLevel="0" collapsed="false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customFormat="false" ht="15.75" hidden="false" customHeight="false" outlineLevel="0" collapsed="false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customFormat="false" ht="15.75" hidden="false" customHeight="false" outlineLevel="0" collapsed="false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customFormat="false" ht="15.75" hidden="false" customHeight="false" outlineLevel="0" collapsed="false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customFormat="false" ht="15.75" hidden="false" customHeight="false" outlineLevel="0" collapsed="false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customFormat="false" ht="15.75" hidden="false" customHeight="false" outlineLevel="0" collapsed="false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customFormat="false" ht="15.75" hidden="false" customHeight="false" outlineLevel="0" collapsed="false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customFormat="false" ht="15.75" hidden="false" customHeight="false" outlineLevel="0" collapsed="false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customFormat="false" ht="15.75" hidden="false" customHeight="false" outlineLevel="0" collapsed="false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customFormat="false" ht="15.75" hidden="false" customHeight="false" outlineLevel="0" collapsed="false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customFormat="false" ht="15.75" hidden="false" customHeight="false" outlineLevel="0" collapsed="false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customFormat="false" ht="15.75" hidden="false" customHeight="false" outlineLevel="0" collapsed="false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customFormat="false" ht="15.75" hidden="false" customHeight="false" outlineLevel="0" collapsed="false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customFormat="false" ht="15.75" hidden="false" customHeight="false" outlineLevel="0" collapsed="false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customFormat="false" ht="15.75" hidden="false" customHeight="false" outlineLevel="0" collapsed="false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customFormat="false" ht="15.75" hidden="false" customHeight="false" outlineLevel="0" collapsed="false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customFormat="false" ht="15.75" hidden="false" customHeight="false" outlineLevel="0" collapsed="false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customFormat="false" ht="15.75" hidden="false" customHeight="false" outlineLevel="0" collapsed="false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customFormat="false" ht="15.75" hidden="false" customHeight="false" outlineLevel="0" collapsed="false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customFormat="false" ht="15.75" hidden="false" customHeight="false" outlineLevel="0" collapsed="false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customFormat="false" ht="15.75" hidden="false" customHeight="false" outlineLevel="0" collapsed="false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customFormat="false" ht="15.75" hidden="false" customHeight="false" outlineLevel="0" collapsed="false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customFormat="false" ht="15.75" hidden="false" customHeight="false" outlineLevel="0" collapsed="false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customFormat="false" ht="15.75" hidden="false" customHeight="false" outlineLevel="0" collapsed="false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customFormat="false" ht="15.75" hidden="false" customHeight="false" outlineLevel="0" collapsed="false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customFormat="false" ht="15.75" hidden="false" customHeight="false" outlineLevel="0" collapsed="false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customFormat="false" ht="15.75" hidden="false" customHeight="false" outlineLevel="0" collapsed="false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customFormat="false" ht="15.75" hidden="false" customHeight="false" outlineLevel="0" collapsed="false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customFormat="false" ht="15.75" hidden="false" customHeight="false" outlineLevel="0" collapsed="false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customFormat="false" ht="15.75" hidden="false" customHeight="false" outlineLevel="0" collapsed="false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customFormat="false" ht="15.75" hidden="false" customHeight="false" outlineLevel="0" collapsed="false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customFormat="false" ht="15.75" hidden="false" customHeight="false" outlineLevel="0" collapsed="false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customFormat="false" ht="15.75" hidden="false" customHeight="false" outlineLevel="0" collapsed="false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customFormat="false" ht="15.75" hidden="false" customHeight="false" outlineLevel="0" collapsed="false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customFormat="false" ht="15.75" hidden="false" customHeight="false" outlineLevel="0" collapsed="false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customFormat="false" ht="15.75" hidden="false" customHeight="false" outlineLevel="0" collapsed="false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customFormat="false" ht="15.75" hidden="false" customHeight="false" outlineLevel="0" collapsed="false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customFormat="false" ht="15.75" hidden="false" customHeight="false" outlineLevel="0" collapsed="false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customFormat="false" ht="15.75" hidden="false" customHeight="false" outlineLevel="0" collapsed="false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customFormat="false" ht="15.75" hidden="false" customHeight="false" outlineLevel="0" collapsed="false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customFormat="false" ht="15.75" hidden="false" customHeight="false" outlineLevel="0" collapsed="false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customFormat="false" ht="15.75" hidden="false" customHeight="false" outlineLevel="0" collapsed="false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customFormat="false" ht="15.75" hidden="false" customHeight="false" outlineLevel="0" collapsed="false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customFormat="false" ht="15.75" hidden="false" customHeight="false" outlineLevel="0" collapsed="false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customFormat="false" ht="15.75" hidden="false" customHeight="false" outlineLevel="0" collapsed="false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customFormat="false" ht="15.75" hidden="false" customHeight="false" outlineLevel="0" collapsed="false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customFormat="false" ht="15.75" hidden="false" customHeight="false" outlineLevel="0" collapsed="false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customFormat="false" ht="15.75" hidden="false" customHeight="false" outlineLevel="0" collapsed="false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customFormat="false" ht="15.75" hidden="false" customHeight="false" outlineLevel="0" collapsed="false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customFormat="false" ht="15.75" hidden="false" customHeight="false" outlineLevel="0" collapsed="false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customFormat="false" ht="15.75" hidden="false" customHeight="false" outlineLevel="0" collapsed="false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customFormat="false" ht="15.75" hidden="false" customHeight="false" outlineLevel="0" collapsed="false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customFormat="false" ht="15.75" hidden="false" customHeight="false" outlineLevel="0" collapsed="false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customFormat="false" ht="15.75" hidden="false" customHeight="false" outlineLevel="0" collapsed="false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customFormat="false" ht="15.75" hidden="false" customHeight="false" outlineLevel="0" collapsed="false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customFormat="false" ht="15.75" hidden="false" customHeight="false" outlineLevel="0" collapsed="false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customFormat="false" ht="15.75" hidden="false" customHeight="false" outlineLevel="0" collapsed="false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customFormat="false" ht="15.75" hidden="false" customHeight="false" outlineLevel="0" collapsed="false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customFormat="false" ht="15.75" hidden="false" customHeight="false" outlineLevel="0" collapsed="false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customFormat="false" ht="15.75" hidden="false" customHeight="false" outlineLevel="0" collapsed="false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customFormat="false" ht="15.75" hidden="false" customHeight="false" outlineLevel="0" collapsed="false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customFormat="false" ht="15.75" hidden="false" customHeight="false" outlineLevel="0" collapsed="false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customFormat="false" ht="15.75" hidden="false" customHeight="false" outlineLevel="0" collapsed="false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customFormat="false" ht="15.75" hidden="false" customHeight="false" outlineLevel="0" collapsed="false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customFormat="false" ht="15.75" hidden="false" customHeight="false" outlineLevel="0" collapsed="false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customFormat="false" ht="15.75" hidden="false" customHeight="false" outlineLevel="0" collapsed="false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customFormat="false" ht="15.75" hidden="false" customHeight="false" outlineLevel="0" collapsed="false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customFormat="false" ht="15.75" hidden="false" customHeight="false" outlineLevel="0" collapsed="false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customFormat="false" ht="15.75" hidden="false" customHeight="false" outlineLevel="0" collapsed="false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customFormat="false" ht="15.75" hidden="false" customHeight="false" outlineLevel="0" collapsed="false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customFormat="false" ht="15.75" hidden="false" customHeight="false" outlineLevel="0" collapsed="false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customFormat="false" ht="15.75" hidden="false" customHeight="false" outlineLevel="0" collapsed="false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customFormat="false" ht="15.75" hidden="false" customHeight="false" outlineLevel="0" collapsed="false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customFormat="false" ht="15.75" hidden="false" customHeight="false" outlineLevel="0" collapsed="false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customFormat="false" ht="15.75" hidden="false" customHeight="false" outlineLevel="0" collapsed="false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customFormat="false" ht="15.75" hidden="false" customHeight="false" outlineLevel="0" collapsed="false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customFormat="false" ht="15.75" hidden="false" customHeight="false" outlineLevel="0" collapsed="false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customFormat="false" ht="15.75" hidden="false" customHeight="false" outlineLevel="0" collapsed="false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customFormat="false" ht="15.75" hidden="false" customHeight="false" outlineLevel="0" collapsed="false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customFormat="false" ht="15.75" hidden="false" customHeight="false" outlineLevel="0" collapsed="false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customFormat="false" ht="15.75" hidden="false" customHeight="false" outlineLevel="0" collapsed="false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customFormat="false" ht="15.75" hidden="false" customHeight="false" outlineLevel="0" collapsed="false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customFormat="false" ht="15.75" hidden="false" customHeight="false" outlineLevel="0" collapsed="false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customFormat="false" ht="15.75" hidden="false" customHeight="false" outlineLevel="0" collapsed="false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customFormat="false" ht="15.75" hidden="false" customHeight="false" outlineLevel="0" collapsed="false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customFormat="false" ht="15.75" hidden="false" customHeight="false" outlineLevel="0" collapsed="false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customFormat="false" ht="15.75" hidden="false" customHeight="false" outlineLevel="0" collapsed="false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customFormat="false" ht="15.75" hidden="false" customHeight="false" outlineLevel="0" collapsed="false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customFormat="false" ht="15.75" hidden="false" customHeight="false" outlineLevel="0" collapsed="false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customFormat="false" ht="15.75" hidden="false" customHeight="false" outlineLevel="0" collapsed="false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customFormat="false" ht="15.75" hidden="false" customHeight="false" outlineLevel="0" collapsed="false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customFormat="false" ht="15.75" hidden="false" customHeight="false" outlineLevel="0" collapsed="false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customFormat="false" ht="15.75" hidden="false" customHeight="false" outlineLevel="0" collapsed="false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customFormat="false" ht="15.75" hidden="false" customHeight="false" outlineLevel="0" collapsed="false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customFormat="false" ht="15.75" hidden="false" customHeight="false" outlineLevel="0" collapsed="false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customFormat="false" ht="15.75" hidden="false" customHeight="false" outlineLevel="0" collapsed="false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customFormat="false" ht="15.75" hidden="false" customHeight="false" outlineLevel="0" collapsed="false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customFormat="false" ht="15.75" hidden="false" customHeight="false" outlineLevel="0" collapsed="false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customFormat="false" ht="15.75" hidden="false" customHeight="false" outlineLevel="0" collapsed="false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customFormat="false" ht="15.75" hidden="false" customHeight="false" outlineLevel="0" collapsed="false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customFormat="false" ht="15.75" hidden="false" customHeight="false" outlineLevel="0" collapsed="false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customFormat="false" ht="15.75" hidden="false" customHeight="false" outlineLevel="0" collapsed="false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customFormat="false" ht="15.75" hidden="false" customHeight="false" outlineLevel="0" collapsed="false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customFormat="false" ht="15.75" hidden="false" customHeight="false" outlineLevel="0" collapsed="false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customFormat="false" ht="15.75" hidden="false" customHeight="false" outlineLevel="0" collapsed="false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customFormat="false" ht="15.75" hidden="false" customHeight="false" outlineLevel="0" collapsed="false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customFormat="false" ht="15.75" hidden="false" customHeight="false" outlineLevel="0" collapsed="false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customFormat="false" ht="15.75" hidden="false" customHeight="false" outlineLevel="0" collapsed="false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customFormat="false" ht="15.75" hidden="false" customHeight="false" outlineLevel="0" collapsed="false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customFormat="false" ht="15.75" hidden="false" customHeight="false" outlineLevel="0" collapsed="false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customFormat="false" ht="15.75" hidden="false" customHeight="false" outlineLevel="0" collapsed="false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customFormat="false" ht="15.75" hidden="false" customHeight="false" outlineLevel="0" collapsed="false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customFormat="false" ht="15.75" hidden="false" customHeight="false" outlineLevel="0" collapsed="false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customFormat="false" ht="15.75" hidden="false" customHeight="false" outlineLevel="0" collapsed="false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customFormat="false" ht="15.75" hidden="false" customHeight="false" outlineLevel="0" collapsed="false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customFormat="false" ht="15.75" hidden="false" customHeight="false" outlineLevel="0" collapsed="false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customFormat="false" ht="15.75" hidden="false" customHeight="false" outlineLevel="0" collapsed="false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customFormat="false" ht="15.75" hidden="false" customHeight="false" outlineLevel="0" collapsed="false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customFormat="false" ht="15.75" hidden="false" customHeight="false" outlineLevel="0" collapsed="false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customFormat="false" ht="15.75" hidden="false" customHeight="false" outlineLevel="0" collapsed="false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customFormat="false" ht="15.75" hidden="false" customHeight="false" outlineLevel="0" collapsed="false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customFormat="false" ht="15.75" hidden="false" customHeight="false" outlineLevel="0" collapsed="false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customFormat="false" ht="15.75" hidden="false" customHeight="false" outlineLevel="0" collapsed="false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customFormat="false" ht="15.75" hidden="false" customHeight="false" outlineLevel="0" collapsed="false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customFormat="false" ht="15.75" hidden="false" customHeight="false" outlineLevel="0" collapsed="false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customFormat="false" ht="15.75" hidden="false" customHeight="false" outlineLevel="0" collapsed="false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customFormat="false" ht="15.75" hidden="false" customHeight="false" outlineLevel="0" collapsed="false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customFormat="false" ht="15.75" hidden="false" customHeight="false" outlineLevel="0" collapsed="false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customFormat="false" ht="15.75" hidden="false" customHeight="false" outlineLevel="0" collapsed="false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customFormat="false" ht="15.75" hidden="false" customHeight="false" outlineLevel="0" collapsed="false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customFormat="false" ht="15.75" hidden="false" customHeight="false" outlineLevel="0" collapsed="false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customFormat="false" ht="15.75" hidden="false" customHeight="false" outlineLevel="0" collapsed="false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customFormat="false" ht="15.75" hidden="false" customHeight="false" outlineLevel="0" collapsed="false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customFormat="false" ht="15.75" hidden="false" customHeight="false" outlineLevel="0" collapsed="false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customFormat="false" ht="15.75" hidden="false" customHeight="false" outlineLevel="0" collapsed="false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customFormat="false" ht="15.75" hidden="false" customHeight="false" outlineLevel="0" collapsed="false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customFormat="false" ht="15.75" hidden="false" customHeight="false" outlineLevel="0" collapsed="false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customFormat="false" ht="15.75" hidden="false" customHeight="false" outlineLevel="0" collapsed="false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customFormat="false" ht="15.75" hidden="false" customHeight="false" outlineLevel="0" collapsed="false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customFormat="false" ht="15.75" hidden="false" customHeight="false" outlineLevel="0" collapsed="false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customFormat="false" ht="15.75" hidden="false" customHeight="false" outlineLevel="0" collapsed="false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customFormat="false" ht="15.75" hidden="false" customHeight="false" outlineLevel="0" collapsed="false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customFormat="false" ht="15.75" hidden="false" customHeight="false" outlineLevel="0" collapsed="false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customFormat="false" ht="15.75" hidden="false" customHeight="false" outlineLevel="0" collapsed="false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customFormat="false" ht="15.75" hidden="false" customHeight="false" outlineLevel="0" collapsed="false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customFormat="false" ht="15.75" hidden="false" customHeight="false" outlineLevel="0" collapsed="false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customFormat="false" ht="15.75" hidden="false" customHeight="false" outlineLevel="0" collapsed="false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customFormat="false" ht="15.75" hidden="false" customHeight="false" outlineLevel="0" collapsed="false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customFormat="false" ht="15.75" hidden="false" customHeight="false" outlineLevel="0" collapsed="false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customFormat="false" ht="15.75" hidden="false" customHeight="false" outlineLevel="0" collapsed="false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customFormat="false" ht="15.75" hidden="false" customHeight="false" outlineLevel="0" collapsed="false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customFormat="false" ht="15.75" hidden="false" customHeight="false" outlineLevel="0" collapsed="false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customFormat="false" ht="15.75" hidden="false" customHeight="false" outlineLevel="0" collapsed="false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customFormat="false" ht="15.75" hidden="false" customHeight="false" outlineLevel="0" collapsed="false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customFormat="false" ht="15.75" hidden="false" customHeight="false" outlineLevel="0" collapsed="false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customFormat="false" ht="15.75" hidden="false" customHeight="false" outlineLevel="0" collapsed="false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customFormat="false" ht="15.75" hidden="false" customHeight="false" outlineLevel="0" collapsed="false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customFormat="false" ht="15.75" hidden="false" customHeight="false" outlineLevel="0" collapsed="false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customFormat="false" ht="15.75" hidden="false" customHeight="false" outlineLevel="0" collapsed="false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customFormat="false" ht="15.75" hidden="false" customHeight="false" outlineLevel="0" collapsed="false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customFormat="false" ht="15.75" hidden="false" customHeight="false" outlineLevel="0" collapsed="false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customFormat="false" ht="15.75" hidden="false" customHeight="false" outlineLevel="0" collapsed="false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customFormat="false" ht="15.75" hidden="false" customHeight="false" outlineLevel="0" collapsed="false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customFormat="false" ht="15.75" hidden="false" customHeight="false" outlineLevel="0" collapsed="false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customFormat="false" ht="15.75" hidden="false" customHeight="false" outlineLevel="0" collapsed="false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customFormat="false" ht="15.75" hidden="false" customHeight="false" outlineLevel="0" collapsed="false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customFormat="false" ht="15.75" hidden="false" customHeight="false" outlineLevel="0" collapsed="false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customFormat="false" ht="15.75" hidden="false" customHeight="false" outlineLevel="0" collapsed="false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customFormat="false" ht="15.75" hidden="false" customHeight="false" outlineLevel="0" collapsed="false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customFormat="false" ht="15.75" hidden="false" customHeight="false" outlineLevel="0" collapsed="false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customFormat="false" ht="15.75" hidden="false" customHeight="false" outlineLevel="0" collapsed="false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customFormat="false" ht="15.75" hidden="false" customHeight="false" outlineLevel="0" collapsed="false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customFormat="false" ht="15.75" hidden="false" customHeight="false" outlineLevel="0" collapsed="false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customFormat="false" ht="15.75" hidden="false" customHeight="false" outlineLevel="0" collapsed="false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customFormat="false" ht="15.75" hidden="false" customHeight="false" outlineLevel="0" collapsed="false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customFormat="false" ht="15.75" hidden="false" customHeight="false" outlineLevel="0" collapsed="false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customFormat="false" ht="15.75" hidden="false" customHeight="false" outlineLevel="0" collapsed="false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customFormat="false" ht="15.75" hidden="false" customHeight="false" outlineLevel="0" collapsed="false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customFormat="false" ht="15.75" hidden="false" customHeight="false" outlineLevel="0" collapsed="false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customFormat="false" ht="15.75" hidden="false" customHeight="false" outlineLevel="0" collapsed="false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customFormat="false" ht="15.75" hidden="false" customHeight="false" outlineLevel="0" collapsed="false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customFormat="false" ht="15.75" hidden="false" customHeight="false" outlineLevel="0" collapsed="false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customFormat="false" ht="15.75" hidden="false" customHeight="false" outlineLevel="0" collapsed="false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customFormat="false" ht="15.75" hidden="false" customHeight="false" outlineLevel="0" collapsed="false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customFormat="false" ht="15.75" hidden="false" customHeight="false" outlineLevel="0" collapsed="false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customFormat="false" ht="15.75" hidden="false" customHeight="false" outlineLevel="0" collapsed="false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customFormat="false" ht="15.75" hidden="false" customHeight="false" outlineLevel="0" collapsed="false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customFormat="false" ht="15.75" hidden="false" customHeight="false" outlineLevel="0" collapsed="false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customFormat="false" ht="15.75" hidden="false" customHeight="false" outlineLevel="0" collapsed="false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customFormat="false" ht="15.75" hidden="false" customHeight="false" outlineLevel="0" collapsed="false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customFormat="false" ht="15.75" hidden="false" customHeight="false" outlineLevel="0" collapsed="false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customFormat="false" ht="15.75" hidden="false" customHeight="false" outlineLevel="0" collapsed="false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customFormat="false" ht="15.75" hidden="false" customHeight="false" outlineLevel="0" collapsed="false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customFormat="false" ht="15.75" hidden="false" customHeight="false" outlineLevel="0" collapsed="false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customFormat="false" ht="15.75" hidden="false" customHeight="false" outlineLevel="0" collapsed="false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customFormat="false" ht="15.75" hidden="false" customHeight="false" outlineLevel="0" collapsed="false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customFormat="false" ht="15.75" hidden="false" customHeight="false" outlineLevel="0" collapsed="false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customFormat="false" ht="15.75" hidden="false" customHeight="false" outlineLevel="0" collapsed="false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customFormat="false" ht="15.75" hidden="false" customHeight="false" outlineLevel="0" collapsed="false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customFormat="false" ht="15.75" hidden="false" customHeight="false" outlineLevel="0" collapsed="false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customFormat="false" ht="15.75" hidden="false" customHeight="false" outlineLevel="0" collapsed="false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customFormat="false" ht="15.75" hidden="false" customHeight="false" outlineLevel="0" collapsed="false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customFormat="false" ht="15.75" hidden="false" customHeight="false" outlineLevel="0" collapsed="false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customFormat="false" ht="15.75" hidden="false" customHeight="false" outlineLevel="0" collapsed="false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customFormat="false" ht="15.75" hidden="false" customHeight="false" outlineLevel="0" collapsed="false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customFormat="false" ht="15.75" hidden="false" customHeight="false" outlineLevel="0" collapsed="false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customFormat="false" ht="15.75" hidden="false" customHeight="false" outlineLevel="0" collapsed="false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customFormat="false" ht="15.75" hidden="false" customHeight="false" outlineLevel="0" collapsed="false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customFormat="false" ht="15.75" hidden="false" customHeight="false" outlineLevel="0" collapsed="false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customFormat="false" ht="15.75" hidden="false" customHeight="false" outlineLevel="0" collapsed="false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customFormat="false" ht="15.75" hidden="false" customHeight="false" outlineLevel="0" collapsed="false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customFormat="false" ht="15.75" hidden="false" customHeight="false" outlineLevel="0" collapsed="false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customFormat="false" ht="15.75" hidden="false" customHeight="false" outlineLevel="0" collapsed="false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customFormat="false" ht="15.75" hidden="false" customHeight="false" outlineLevel="0" collapsed="false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customFormat="false" ht="15.75" hidden="false" customHeight="false" outlineLevel="0" collapsed="false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customFormat="false" ht="15.75" hidden="false" customHeight="false" outlineLevel="0" collapsed="false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customFormat="false" ht="15.75" hidden="false" customHeight="false" outlineLevel="0" collapsed="false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customFormat="false" ht="15.75" hidden="false" customHeight="false" outlineLevel="0" collapsed="false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customFormat="false" ht="15.75" hidden="false" customHeight="false" outlineLevel="0" collapsed="false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customFormat="false" ht="15.75" hidden="false" customHeight="false" outlineLevel="0" collapsed="false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customFormat="false" ht="15.75" hidden="false" customHeight="false" outlineLevel="0" collapsed="false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customFormat="false" ht="15.75" hidden="false" customHeight="false" outlineLevel="0" collapsed="false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customFormat="false" ht="15.75" hidden="false" customHeight="false" outlineLevel="0" collapsed="false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customFormat="false" ht="15.75" hidden="false" customHeight="false" outlineLevel="0" collapsed="false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customFormat="false" ht="15.75" hidden="false" customHeight="false" outlineLevel="0" collapsed="false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customFormat="false" ht="15.75" hidden="false" customHeight="false" outlineLevel="0" collapsed="false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customFormat="false" ht="15.75" hidden="false" customHeight="false" outlineLevel="0" collapsed="false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customFormat="false" ht="15.75" hidden="false" customHeight="false" outlineLevel="0" collapsed="false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customFormat="false" ht="15.75" hidden="false" customHeight="false" outlineLevel="0" collapsed="false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customFormat="false" ht="15.75" hidden="false" customHeight="false" outlineLevel="0" collapsed="false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customFormat="false" ht="15.75" hidden="false" customHeight="false" outlineLevel="0" collapsed="false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customFormat="false" ht="15.75" hidden="false" customHeight="false" outlineLevel="0" collapsed="false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customFormat="false" ht="15.75" hidden="false" customHeight="false" outlineLevel="0" collapsed="false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customFormat="false" ht="15.75" hidden="false" customHeight="false" outlineLevel="0" collapsed="false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customFormat="false" ht="15.75" hidden="false" customHeight="false" outlineLevel="0" collapsed="false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customFormat="false" ht="15.75" hidden="false" customHeight="false" outlineLevel="0" collapsed="false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customFormat="false" ht="15.75" hidden="false" customHeight="false" outlineLevel="0" collapsed="false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customFormat="false" ht="15.75" hidden="false" customHeight="false" outlineLevel="0" collapsed="false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customFormat="false" ht="15.75" hidden="false" customHeight="false" outlineLevel="0" collapsed="false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customFormat="false" ht="15.75" hidden="false" customHeight="false" outlineLevel="0" collapsed="false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customFormat="false" ht="15.75" hidden="false" customHeight="false" outlineLevel="0" collapsed="false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customFormat="false" ht="15.75" hidden="false" customHeight="false" outlineLevel="0" collapsed="false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customFormat="false" ht="15.75" hidden="false" customHeight="false" outlineLevel="0" collapsed="false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customFormat="false" ht="15.75" hidden="false" customHeight="false" outlineLevel="0" collapsed="false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customFormat="false" ht="15.75" hidden="false" customHeight="false" outlineLevel="0" collapsed="false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customFormat="false" ht="15.75" hidden="false" customHeight="false" outlineLevel="0" collapsed="false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customFormat="false" ht="15.75" hidden="false" customHeight="false" outlineLevel="0" collapsed="false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customFormat="false" ht="15.75" hidden="false" customHeight="false" outlineLevel="0" collapsed="false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customFormat="false" ht="15.75" hidden="false" customHeight="false" outlineLevel="0" collapsed="false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customFormat="false" ht="15.75" hidden="false" customHeight="false" outlineLevel="0" collapsed="false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customFormat="false" ht="15.75" hidden="false" customHeight="false" outlineLevel="0" collapsed="false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customFormat="false" ht="15.75" hidden="false" customHeight="false" outlineLevel="0" collapsed="false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customFormat="false" ht="15.75" hidden="false" customHeight="false" outlineLevel="0" collapsed="false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customFormat="false" ht="15.75" hidden="false" customHeight="false" outlineLevel="0" collapsed="false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customFormat="false" ht="15.75" hidden="false" customHeight="false" outlineLevel="0" collapsed="false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customFormat="false" ht="15.75" hidden="false" customHeight="false" outlineLevel="0" collapsed="false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customFormat="false" ht="15.75" hidden="false" customHeight="false" outlineLevel="0" collapsed="false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customFormat="false" ht="15.75" hidden="false" customHeight="false" outlineLevel="0" collapsed="false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customFormat="false" ht="15.75" hidden="false" customHeight="false" outlineLevel="0" collapsed="false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customFormat="false" ht="15.75" hidden="false" customHeight="false" outlineLevel="0" collapsed="false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customFormat="false" ht="15.75" hidden="false" customHeight="false" outlineLevel="0" collapsed="false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customFormat="false" ht="15.75" hidden="false" customHeight="false" outlineLevel="0" collapsed="false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customFormat="false" ht="15.75" hidden="false" customHeight="false" outlineLevel="0" collapsed="false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customFormat="false" ht="15.75" hidden="false" customHeight="false" outlineLevel="0" collapsed="false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customFormat="false" ht="15.75" hidden="false" customHeight="false" outlineLevel="0" collapsed="false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customFormat="false" ht="15.75" hidden="false" customHeight="false" outlineLevel="0" collapsed="false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customFormat="false" ht="15.75" hidden="false" customHeight="false" outlineLevel="0" collapsed="false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customFormat="false" ht="15.75" hidden="false" customHeight="false" outlineLevel="0" collapsed="false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customFormat="false" ht="15.75" hidden="false" customHeight="false" outlineLevel="0" collapsed="false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customFormat="false" ht="15.75" hidden="false" customHeight="false" outlineLevel="0" collapsed="false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customFormat="false" ht="15.75" hidden="false" customHeight="false" outlineLevel="0" collapsed="false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customFormat="false" ht="15.75" hidden="false" customHeight="false" outlineLevel="0" collapsed="false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customFormat="false" ht="15.75" hidden="false" customHeight="false" outlineLevel="0" collapsed="false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customFormat="false" ht="15.75" hidden="false" customHeight="false" outlineLevel="0" collapsed="false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customFormat="false" ht="15.75" hidden="false" customHeight="false" outlineLevel="0" collapsed="false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customFormat="false" ht="15.75" hidden="false" customHeight="false" outlineLevel="0" collapsed="false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customFormat="false" ht="15.75" hidden="false" customHeight="false" outlineLevel="0" collapsed="false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customFormat="false" ht="15.75" hidden="false" customHeight="false" outlineLevel="0" collapsed="false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customFormat="false" ht="15.75" hidden="false" customHeight="false" outlineLevel="0" collapsed="false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customFormat="false" ht="15.75" hidden="false" customHeight="false" outlineLevel="0" collapsed="false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customFormat="false" ht="15.75" hidden="false" customHeight="false" outlineLevel="0" collapsed="false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customFormat="false" ht="15.75" hidden="false" customHeight="false" outlineLevel="0" collapsed="false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customFormat="false" ht="15.75" hidden="false" customHeight="false" outlineLevel="0" collapsed="false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customFormat="false" ht="15.75" hidden="false" customHeight="false" outlineLevel="0" collapsed="false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customFormat="false" ht="15.75" hidden="false" customHeight="false" outlineLevel="0" collapsed="false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customFormat="false" ht="15.75" hidden="false" customHeight="false" outlineLevel="0" collapsed="false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customFormat="false" ht="15.75" hidden="false" customHeight="false" outlineLevel="0" collapsed="false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customFormat="false" ht="15.75" hidden="false" customHeight="false" outlineLevel="0" collapsed="false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customFormat="false" ht="15.75" hidden="false" customHeight="false" outlineLevel="0" collapsed="false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customFormat="false" ht="15.75" hidden="false" customHeight="false" outlineLevel="0" collapsed="false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customFormat="false" ht="15.75" hidden="false" customHeight="false" outlineLevel="0" collapsed="false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customFormat="false" ht="15.75" hidden="false" customHeight="false" outlineLevel="0" collapsed="false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customFormat="false" ht="15.75" hidden="false" customHeight="false" outlineLevel="0" collapsed="false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customFormat="false" ht="15.75" hidden="false" customHeight="false" outlineLevel="0" collapsed="false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customFormat="false" ht="15.75" hidden="false" customHeight="false" outlineLevel="0" collapsed="false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customFormat="false" ht="15.75" hidden="false" customHeight="false" outlineLevel="0" collapsed="false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customFormat="false" ht="15.75" hidden="false" customHeight="false" outlineLevel="0" collapsed="false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customFormat="false" ht="15.75" hidden="false" customHeight="false" outlineLevel="0" collapsed="false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customFormat="false" ht="15.75" hidden="false" customHeight="false" outlineLevel="0" collapsed="false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customFormat="false" ht="15.75" hidden="false" customHeight="false" outlineLevel="0" collapsed="false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customFormat="false" ht="15.75" hidden="false" customHeight="false" outlineLevel="0" collapsed="false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customFormat="false" ht="15.75" hidden="false" customHeight="false" outlineLevel="0" collapsed="false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customFormat="false" ht="15.75" hidden="false" customHeight="false" outlineLevel="0" collapsed="false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customFormat="false" ht="15.75" hidden="false" customHeight="false" outlineLevel="0" collapsed="false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customFormat="false" ht="15.75" hidden="false" customHeight="false" outlineLevel="0" collapsed="false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customFormat="false" ht="15.75" hidden="false" customHeight="false" outlineLevel="0" collapsed="false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customFormat="false" ht="15.75" hidden="false" customHeight="false" outlineLevel="0" collapsed="false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customFormat="false" ht="15.75" hidden="false" customHeight="false" outlineLevel="0" collapsed="false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customFormat="false" ht="15.75" hidden="false" customHeight="false" outlineLevel="0" collapsed="false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customFormat="false" ht="15.75" hidden="false" customHeight="false" outlineLevel="0" collapsed="false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customFormat="false" ht="15.75" hidden="false" customHeight="false" outlineLevel="0" collapsed="false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customFormat="false" ht="15.75" hidden="false" customHeight="false" outlineLevel="0" collapsed="false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customFormat="false" ht="15.75" hidden="false" customHeight="false" outlineLevel="0" collapsed="false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customFormat="false" ht="15.75" hidden="false" customHeight="false" outlineLevel="0" collapsed="false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customFormat="false" ht="15.75" hidden="false" customHeight="false" outlineLevel="0" collapsed="false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customFormat="false" ht="15.75" hidden="false" customHeight="false" outlineLevel="0" collapsed="false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customFormat="false" ht="15.75" hidden="false" customHeight="false" outlineLevel="0" collapsed="false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customFormat="false" ht="15.75" hidden="false" customHeight="false" outlineLevel="0" collapsed="false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customFormat="false" ht="15.75" hidden="false" customHeight="false" outlineLevel="0" collapsed="false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customFormat="false" ht="15.75" hidden="false" customHeight="false" outlineLevel="0" collapsed="false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customFormat="false" ht="15.75" hidden="false" customHeight="false" outlineLevel="0" collapsed="false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customFormat="false" ht="15.75" hidden="false" customHeight="false" outlineLevel="0" collapsed="false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customFormat="false" ht="15.75" hidden="false" customHeight="false" outlineLevel="0" collapsed="false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customFormat="false" ht="15.75" hidden="false" customHeight="false" outlineLevel="0" collapsed="false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customFormat="false" ht="15.75" hidden="false" customHeight="false" outlineLevel="0" collapsed="false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customFormat="false" ht="15.75" hidden="false" customHeight="false" outlineLevel="0" collapsed="false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customFormat="false" ht="15.75" hidden="false" customHeight="false" outlineLevel="0" collapsed="false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customFormat="false" ht="15.75" hidden="false" customHeight="false" outlineLevel="0" collapsed="false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customFormat="false" ht="15.75" hidden="false" customHeight="false" outlineLevel="0" collapsed="false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customFormat="false" ht="15.75" hidden="false" customHeight="false" outlineLevel="0" collapsed="false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customFormat="false" ht="15.75" hidden="false" customHeight="false" outlineLevel="0" collapsed="false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customFormat="false" ht="15.75" hidden="false" customHeight="false" outlineLevel="0" collapsed="false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customFormat="false" ht="15.75" hidden="false" customHeight="false" outlineLevel="0" collapsed="false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customFormat="false" ht="15.75" hidden="false" customHeight="false" outlineLevel="0" collapsed="false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customFormat="false" ht="15.75" hidden="false" customHeight="false" outlineLevel="0" collapsed="false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customFormat="false" ht="15.75" hidden="false" customHeight="false" outlineLevel="0" collapsed="false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customFormat="false" ht="15.75" hidden="false" customHeight="false" outlineLevel="0" collapsed="false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customFormat="false" ht="15.75" hidden="false" customHeight="false" outlineLevel="0" collapsed="false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customFormat="false" ht="15.75" hidden="false" customHeight="false" outlineLevel="0" collapsed="false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customFormat="false" ht="15.75" hidden="false" customHeight="false" outlineLevel="0" collapsed="false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customFormat="false" ht="15.75" hidden="false" customHeight="false" outlineLevel="0" collapsed="false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customFormat="false" ht="15.75" hidden="false" customHeight="false" outlineLevel="0" collapsed="false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customFormat="false" ht="15.75" hidden="false" customHeight="false" outlineLevel="0" collapsed="false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customFormat="false" ht="15.75" hidden="false" customHeight="false" outlineLevel="0" collapsed="false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customFormat="false" ht="15.75" hidden="false" customHeight="false" outlineLevel="0" collapsed="false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customFormat="false" ht="15.75" hidden="false" customHeight="false" outlineLevel="0" collapsed="false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customFormat="false" ht="15.75" hidden="false" customHeight="false" outlineLevel="0" collapsed="false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customFormat="false" ht="15.75" hidden="false" customHeight="false" outlineLevel="0" collapsed="false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customFormat="false" ht="15.75" hidden="false" customHeight="false" outlineLevel="0" collapsed="false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customFormat="false" ht="15.75" hidden="false" customHeight="false" outlineLevel="0" collapsed="false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customFormat="false" ht="15.75" hidden="false" customHeight="false" outlineLevel="0" collapsed="false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customFormat="false" ht="15.75" hidden="false" customHeight="false" outlineLevel="0" collapsed="false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customFormat="false" ht="15.75" hidden="false" customHeight="false" outlineLevel="0" collapsed="false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customFormat="false" ht="15.75" hidden="false" customHeight="false" outlineLevel="0" collapsed="false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customFormat="false" ht="15.75" hidden="false" customHeight="false" outlineLevel="0" collapsed="false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customFormat="false" ht="15.75" hidden="false" customHeight="false" outlineLevel="0" collapsed="false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customFormat="false" ht="15.75" hidden="false" customHeight="false" outlineLevel="0" collapsed="false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customFormat="false" ht="15.75" hidden="false" customHeight="false" outlineLevel="0" collapsed="false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customFormat="false" ht="15.75" hidden="false" customHeight="false" outlineLevel="0" collapsed="false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customFormat="false" ht="15.75" hidden="false" customHeight="false" outlineLevel="0" collapsed="false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customFormat="false" ht="15.75" hidden="false" customHeight="false" outlineLevel="0" collapsed="false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 customFormat="false" ht="15.75" hidden="false" customHeight="false" outlineLevel="0" collapsed="false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 customFormat="false" ht="15.75" hidden="false" customHeight="false" outlineLevel="0" collapsed="false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 customFormat="false" ht="15.75" hidden="false" customHeight="false" outlineLevel="0" collapsed="false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 customFormat="false" ht="15.75" hidden="false" customHeight="false" outlineLevel="0" collapsed="false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 customFormat="false" ht="15.75" hidden="false" customHeight="false" outlineLevel="0" collapsed="false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 customFormat="false" ht="15.75" hidden="false" customHeight="false" outlineLevel="0" collapsed="false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 customFormat="false" ht="15.75" hidden="false" customHeight="false" outlineLevel="0" collapsed="false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 customFormat="false" ht="15.75" hidden="false" customHeight="false" outlineLevel="0" collapsed="false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 customFormat="false" ht="15.75" hidden="false" customHeight="false" outlineLevel="0" collapsed="false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 customFormat="false" ht="15.75" hidden="false" customHeight="false" outlineLevel="0" collapsed="false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 customFormat="false" ht="15.75" hidden="false" customHeight="false" outlineLevel="0" collapsed="false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 customFormat="false" ht="15.75" hidden="false" customHeight="false" outlineLevel="0" collapsed="false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 customFormat="false" ht="15.75" hidden="false" customHeight="false" outlineLevel="0" collapsed="false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 customFormat="false" ht="15.75" hidden="false" customHeight="false" outlineLevel="0" collapsed="false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 customFormat="false" ht="15.75" hidden="false" customHeight="false" outlineLevel="0" collapsed="false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 customFormat="false" ht="15.75" hidden="false" customHeight="false" outlineLevel="0" collapsed="false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 customFormat="false" ht="15.75" hidden="false" customHeight="false" outlineLevel="0" collapsed="false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 customFormat="false" ht="15.75" hidden="false" customHeight="false" outlineLevel="0" collapsed="false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 customFormat="false" ht="15.75" hidden="false" customHeight="false" outlineLevel="0" collapsed="false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 customFormat="false" ht="15.75" hidden="false" customHeight="false" outlineLevel="0" collapsed="false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 customFormat="false" ht="15.75" hidden="false" customHeight="false" outlineLevel="0" collapsed="false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 customFormat="false" ht="15.75" hidden="false" customHeight="false" outlineLevel="0" collapsed="false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 customFormat="false" ht="15.75" hidden="false" customHeight="false" outlineLevel="0" collapsed="false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 customFormat="false" ht="15.75" hidden="false" customHeight="false" outlineLevel="0" collapsed="false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  <row r="1001" customFormat="false" ht="15.75" hidden="false" customHeight="false" outlineLevel="0" collapsed="false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38" t="s">
        <v>180</v>
      </c>
      <c r="B1" s="138" t="s">
        <v>181</v>
      </c>
      <c r="C1" s="138" t="s">
        <v>54</v>
      </c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customFormat="false" ht="15.75" hidden="false" customHeight="false" outlineLevel="0" collapsed="false">
      <c r="A2" s="138" t="s">
        <v>182</v>
      </c>
      <c r="B2" s="138" t="s">
        <v>182</v>
      </c>
      <c r="C2" s="138" t="s">
        <v>53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 customFormat="false" ht="15.75" hidden="false" customHeight="false" outlineLevel="0" collapsed="false">
      <c r="A3" s="138" t="s">
        <v>183</v>
      </c>
      <c r="B3" s="138" t="s">
        <v>184</v>
      </c>
      <c r="C3" s="138" t="s">
        <v>56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 customFormat="false" ht="15.75" hidden="false" customHeight="false" outlineLevel="0" collapsed="false">
      <c r="A4" s="138" t="s">
        <v>184</v>
      </c>
      <c r="B4" s="138"/>
      <c r="C4" s="138" t="s">
        <v>50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 customFormat="false" ht="15.75" hidden="false" customHeight="false" outlineLevel="0" collapsed="false">
      <c r="A5" s="138"/>
      <c r="B5" s="138"/>
      <c r="C5" s="138" t="s">
        <v>65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 customFormat="false" ht="15.75" hidden="false" customHeight="false" outlineLevel="0" collapsed="false">
      <c r="A6" s="138"/>
      <c r="B6" s="138"/>
      <c r="C6" s="138" t="s">
        <v>55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customFormat="false" ht="15.75" hidden="false" customHeight="false" outlineLevel="0" collapsed="false">
      <c r="A7" s="138"/>
      <c r="B7" s="138"/>
      <c r="C7" s="138" t="s">
        <v>57</v>
      </c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customFormat="false" ht="15.75" hidden="false" customHeight="false" outlineLevel="0" collapsed="false">
      <c r="A8" s="138"/>
      <c r="B8" s="138"/>
      <c r="C8" s="138" t="s">
        <v>52</v>
      </c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customFormat="false" ht="15.75" hidden="false" customHeight="false" outlineLevel="0" collapsed="false">
      <c r="A9" s="138"/>
      <c r="B9" s="138"/>
      <c r="C9" s="138" t="s">
        <v>51</v>
      </c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customFormat="false" ht="15.75" hidden="false" customHeight="false" outlineLevel="0" collapsed="false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customFormat="false" ht="15.75" hidden="false" customHeight="false" outlineLevel="0" collapsed="false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 customFormat="false" ht="15.75" hidden="false" customHeight="false" outlineLevel="0" collapsed="false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 customFormat="false" ht="15.75" hidden="false" customHeight="false" outlineLevel="0" collapsed="false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customFormat="false" ht="15.75" hidden="false" customHeight="false" outlineLevel="0" collapsed="false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customFormat="false" ht="15.75" hidden="false" customHeight="false" outlineLevel="0" collapsed="false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 customFormat="false" ht="15.75" hidden="false" customHeight="false" outlineLevel="0" collapsed="false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 customFormat="false" ht="15.75" hidden="false" customHeight="false" outlineLevel="0" collapsed="false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 customFormat="false" ht="15.75" hidden="false" customHeight="false" outlineLevel="0" collapsed="false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 customFormat="false" ht="15.75" hidden="false" customHeight="false" outlineLevel="0" collapsed="false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 customFormat="false" ht="15.75" hidden="false" customHeight="false" outlineLevel="0" collapsed="false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 customFormat="false" ht="15.75" hidden="false" customHeight="false" outlineLevel="0" collapsed="false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customFormat="false" ht="15.75" hidden="false" customHeight="false" outlineLevel="0" collapsed="false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customFormat="false" ht="15.75" hidden="false" customHeight="false" outlineLevel="0" collapsed="false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customFormat="false" ht="15.75" hidden="false" customHeight="false" outlineLevel="0" collapsed="false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customFormat="false" ht="15.75" hidden="false" customHeight="false" outlineLevel="0" collapsed="false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customFormat="false" ht="15.75" hidden="false" customHeight="false" outlineLevel="0" collapsed="false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customFormat="false" ht="15.75" hidden="false" customHeight="false" outlineLevel="0" collapsed="false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 customFormat="false" ht="15.75" hidden="false" customHeight="false" outlineLevel="0" collapsed="false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 customFormat="false" ht="15.75" hidden="false" customHeight="false" outlineLevel="0" collapsed="false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 customFormat="false" ht="15.75" hidden="false" customHeight="false" outlineLevel="0" collapsed="false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 customFormat="false" ht="15.75" hidden="false" customHeight="false" outlineLevel="0" collapsed="false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 customFormat="false" ht="15.75" hidden="false" customHeight="false" outlineLevel="0" collapsed="false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 customFormat="false" ht="15.75" hidden="false" customHeight="false" outlineLevel="0" collapsed="false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 customFormat="false" ht="15.75" hidden="false" customHeight="false" outlineLevel="0" collapsed="false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 customFormat="false" ht="15.75" hidden="false" customHeight="false" outlineLevel="0" collapsed="false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 customFormat="false" ht="15.75" hidden="false" customHeight="false" outlineLevel="0" collapsed="false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 customFormat="false" ht="15.75" hidden="false" customHeight="false" outlineLevel="0" collapsed="false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 customFormat="false" ht="15.75" hidden="false" customHeight="false" outlineLevel="0" collapsed="false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 customFormat="false" ht="15.75" hidden="false" customHeight="false" outlineLevel="0" collapsed="false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 customFormat="false" ht="15.75" hidden="false" customHeight="false" outlineLevel="0" collapsed="false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 customFormat="false" ht="15.75" hidden="false" customHeight="false" outlineLevel="0" collapsed="false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 customFormat="false" ht="15.75" hidden="false" customHeight="false" outlineLevel="0" collapsed="false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 customFormat="false" ht="15.75" hidden="false" customHeight="false" outlineLevel="0" collapsed="false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 customFormat="false" ht="15.75" hidden="false" customHeight="false" outlineLevel="0" collapsed="false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 customFormat="false" ht="15.75" hidden="false" customHeight="false" outlineLevel="0" collapsed="false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 customFormat="false" ht="15.75" hidden="false" customHeight="false" outlineLevel="0" collapsed="false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 customFormat="false" ht="15.75" hidden="false" customHeight="false" outlineLevel="0" collapsed="false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 customFormat="false" ht="15.75" hidden="false" customHeight="false" outlineLevel="0" collapsed="false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 customFormat="false" ht="15.75" hidden="false" customHeight="false" outlineLevel="0" collapsed="false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 customFormat="false" ht="15.75" hidden="false" customHeight="false" outlineLevel="0" collapsed="false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 customFormat="false" ht="15.75" hidden="false" customHeight="false" outlineLevel="0" collapsed="false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customFormat="false" ht="15.75" hidden="false" customHeight="false" outlineLevel="0" collapsed="false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 customFormat="false" ht="15.75" hidden="false" customHeight="false" outlineLevel="0" collapsed="false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 customFormat="false" ht="15.75" hidden="false" customHeight="false" outlineLevel="0" collapsed="false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 customFormat="false" ht="15.75" hidden="false" customHeight="false" outlineLevel="0" collapsed="false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 customFormat="false" ht="15.75" hidden="false" customHeight="false" outlineLevel="0" collapsed="false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 customFormat="false" ht="15.75" hidden="false" customHeight="false" outlineLevel="0" collapsed="false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customFormat="false" ht="15.75" hidden="false" customHeight="false" outlineLevel="0" collapsed="false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customFormat="false" ht="15.75" hidden="false" customHeight="false" outlineLevel="0" collapsed="false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customFormat="false" ht="15.75" hidden="false" customHeight="false" outlineLevel="0" collapsed="false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customFormat="false" ht="15.75" hidden="false" customHeight="false" outlineLevel="0" collapsed="false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 customFormat="false" ht="15.75" hidden="false" customHeight="false" outlineLevel="0" collapsed="false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 customFormat="false" ht="15.75" hidden="false" customHeight="false" outlineLevel="0" collapsed="false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 customFormat="false" ht="15.75" hidden="false" customHeight="false" outlineLevel="0" collapsed="false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 customFormat="false" ht="15.75" hidden="false" customHeight="false" outlineLevel="0" collapsed="false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 customFormat="false" ht="15.75" hidden="false" customHeight="false" outlineLevel="0" collapsed="false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 customFormat="false" ht="15.75" hidden="false" customHeight="false" outlineLevel="0" collapsed="false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 customFormat="false" ht="15.75" hidden="false" customHeight="false" outlineLevel="0" collapsed="false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 customFormat="false" ht="15.75" hidden="false" customHeight="false" outlineLevel="0" collapsed="false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 customFormat="false" ht="15.75" hidden="false" customHeight="false" outlineLevel="0" collapsed="false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 customFormat="false" ht="15.75" hidden="false" customHeight="false" outlineLevel="0" collapsed="false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 customFormat="false" ht="15.75" hidden="false" customHeight="false" outlineLevel="0" collapsed="false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 customFormat="false" ht="15.75" hidden="false" customHeight="false" outlineLevel="0" collapsed="false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 customFormat="false" ht="15.75" hidden="false" customHeight="false" outlineLevel="0" collapsed="false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 customFormat="false" ht="15.75" hidden="false" customHeight="false" outlineLevel="0" collapsed="false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 customFormat="false" ht="15.75" hidden="false" customHeight="false" outlineLevel="0" collapsed="false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 customFormat="false" ht="15.75" hidden="false" customHeight="false" outlineLevel="0" collapsed="false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 customFormat="false" ht="15.75" hidden="false" customHeight="false" outlineLevel="0" collapsed="false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 customFormat="false" ht="15.75" hidden="false" customHeight="false" outlineLevel="0" collapsed="false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 customFormat="false" ht="15.75" hidden="false" customHeight="false" outlineLevel="0" collapsed="false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 customFormat="false" ht="15.75" hidden="false" customHeight="false" outlineLevel="0" collapsed="false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 customFormat="false" ht="15.75" hidden="false" customHeight="false" outlineLevel="0" collapsed="false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 customFormat="false" ht="15.75" hidden="false" customHeight="false" outlineLevel="0" collapsed="false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 customFormat="false" ht="15.75" hidden="false" customHeight="false" outlineLevel="0" collapsed="false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 customFormat="false" ht="15.75" hidden="false" customHeight="false" outlineLevel="0" collapsed="false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 customFormat="false" ht="15.75" hidden="false" customHeight="false" outlineLevel="0" collapsed="false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 customFormat="false" ht="15.75" hidden="false" customHeight="false" outlineLevel="0" collapsed="false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 customFormat="false" ht="15.75" hidden="false" customHeight="false" outlineLevel="0" collapsed="false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 customFormat="false" ht="15.75" hidden="false" customHeight="false" outlineLevel="0" collapsed="false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 customFormat="false" ht="15.75" hidden="false" customHeight="false" outlineLevel="0" collapsed="false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 customFormat="false" ht="15.75" hidden="false" customHeight="false" outlineLevel="0" collapsed="false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 customFormat="false" ht="15.75" hidden="false" customHeight="false" outlineLevel="0" collapsed="false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 customFormat="false" ht="15.75" hidden="false" customHeight="false" outlineLevel="0" collapsed="false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 customFormat="false" ht="15.75" hidden="false" customHeight="false" outlineLevel="0" collapsed="false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 customFormat="false" ht="15.75" hidden="false" customHeight="false" outlineLevel="0" collapsed="false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 customFormat="false" ht="15.75" hidden="false" customHeight="false" outlineLevel="0" collapsed="false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 customFormat="false" ht="15.75" hidden="false" customHeight="false" outlineLevel="0" collapsed="false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 customFormat="false" ht="15.75" hidden="false" customHeight="false" outlineLevel="0" collapsed="false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 customFormat="false" ht="15.75" hidden="false" customHeight="false" outlineLevel="0" collapsed="false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 customFormat="false" ht="15.75" hidden="false" customHeight="false" outlineLevel="0" collapsed="false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 customFormat="false" ht="15.75" hidden="false" customHeight="false" outlineLevel="0" collapsed="false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 customFormat="false" ht="15.75" hidden="false" customHeight="false" outlineLevel="0" collapsed="false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 customFormat="false" ht="15.75" hidden="false" customHeight="false" outlineLevel="0" collapsed="false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 customFormat="false" ht="15.75" hidden="false" customHeight="false" outlineLevel="0" collapsed="false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 customFormat="false" ht="15.75" hidden="false" customHeight="false" outlineLevel="0" collapsed="false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 customFormat="false" ht="15.75" hidden="false" customHeight="false" outlineLevel="0" collapsed="false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 customFormat="false" ht="15.75" hidden="false" customHeight="false" outlineLevel="0" collapsed="false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 customFormat="false" ht="15.75" hidden="false" customHeight="false" outlineLevel="0" collapsed="false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 customFormat="false" ht="15.75" hidden="false" customHeight="false" outlineLevel="0" collapsed="false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 customFormat="false" ht="15.75" hidden="false" customHeight="false" outlineLevel="0" collapsed="false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 customFormat="false" ht="15.75" hidden="false" customHeight="false" outlineLevel="0" collapsed="false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 customFormat="false" ht="15.75" hidden="false" customHeight="false" outlineLevel="0" collapsed="false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 customFormat="false" ht="15.75" hidden="false" customHeight="false" outlineLevel="0" collapsed="false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 customFormat="false" ht="15.75" hidden="false" customHeight="false" outlineLevel="0" collapsed="false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 customFormat="false" ht="15.75" hidden="false" customHeight="false" outlineLevel="0" collapsed="false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 customFormat="false" ht="15.75" hidden="false" customHeight="false" outlineLevel="0" collapsed="false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 customFormat="false" ht="15.75" hidden="false" customHeight="false" outlineLevel="0" collapsed="false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 customFormat="false" ht="15.75" hidden="false" customHeight="false" outlineLevel="0" collapsed="false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 customFormat="false" ht="15.75" hidden="false" customHeight="false" outlineLevel="0" collapsed="false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 customFormat="false" ht="15.75" hidden="false" customHeight="false" outlineLevel="0" collapsed="false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 customFormat="false" ht="15.75" hidden="false" customHeight="false" outlineLevel="0" collapsed="false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 customFormat="false" ht="15.75" hidden="false" customHeight="false" outlineLevel="0" collapsed="false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 customFormat="false" ht="15.75" hidden="false" customHeight="false" outlineLevel="0" collapsed="false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 customFormat="false" ht="15.75" hidden="false" customHeight="false" outlineLevel="0" collapsed="false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 customFormat="false" ht="15.75" hidden="false" customHeight="false" outlineLevel="0" collapsed="false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 customFormat="false" ht="15.75" hidden="false" customHeight="false" outlineLevel="0" collapsed="false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 customFormat="false" ht="15.75" hidden="false" customHeight="false" outlineLevel="0" collapsed="false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 customFormat="false" ht="15.75" hidden="false" customHeight="false" outlineLevel="0" collapsed="false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 customFormat="false" ht="15.75" hidden="false" customHeight="false" outlineLevel="0" collapsed="false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 customFormat="false" ht="15.75" hidden="false" customHeight="false" outlineLevel="0" collapsed="false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 customFormat="false" ht="15.75" hidden="false" customHeight="false" outlineLevel="0" collapsed="false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 customFormat="false" ht="15.75" hidden="false" customHeight="false" outlineLevel="0" collapsed="false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 customFormat="false" ht="15.75" hidden="false" customHeight="false" outlineLevel="0" collapsed="false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 customFormat="false" ht="15.75" hidden="false" customHeight="false" outlineLevel="0" collapsed="false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 customFormat="false" ht="15.75" hidden="false" customHeight="false" outlineLevel="0" collapsed="false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 customFormat="false" ht="15.75" hidden="false" customHeight="false" outlineLevel="0" collapsed="false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 customFormat="false" ht="15.75" hidden="false" customHeight="false" outlineLevel="0" collapsed="false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 customFormat="false" ht="15.75" hidden="false" customHeight="false" outlineLevel="0" collapsed="false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 customFormat="false" ht="15.75" hidden="false" customHeight="false" outlineLevel="0" collapsed="false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 customFormat="false" ht="15.75" hidden="false" customHeight="false" outlineLevel="0" collapsed="false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 customFormat="false" ht="15.75" hidden="false" customHeight="false" outlineLevel="0" collapsed="false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 customFormat="false" ht="15.75" hidden="false" customHeight="false" outlineLevel="0" collapsed="false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 customFormat="false" ht="15.75" hidden="false" customHeight="false" outlineLevel="0" collapsed="false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 customFormat="false" ht="15.75" hidden="false" customHeight="false" outlineLevel="0" collapsed="false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 customFormat="false" ht="15.75" hidden="false" customHeight="false" outlineLevel="0" collapsed="false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 customFormat="false" ht="15.75" hidden="false" customHeight="false" outlineLevel="0" collapsed="false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 customFormat="false" ht="15.75" hidden="false" customHeight="false" outlineLevel="0" collapsed="false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 customFormat="false" ht="15.75" hidden="false" customHeight="false" outlineLevel="0" collapsed="false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 customFormat="false" ht="15.75" hidden="false" customHeight="false" outlineLevel="0" collapsed="false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 customFormat="false" ht="15.75" hidden="false" customHeight="false" outlineLevel="0" collapsed="false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 customFormat="false" ht="15.75" hidden="false" customHeight="false" outlineLevel="0" collapsed="false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 customFormat="false" ht="15.75" hidden="false" customHeight="false" outlineLevel="0" collapsed="false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 customFormat="false" ht="15.75" hidden="false" customHeight="false" outlineLevel="0" collapsed="false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 customFormat="false" ht="15.75" hidden="false" customHeight="false" outlineLevel="0" collapsed="false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 customFormat="false" ht="15.75" hidden="false" customHeight="false" outlineLevel="0" collapsed="false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 customFormat="false" ht="15.75" hidden="false" customHeight="false" outlineLevel="0" collapsed="false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 customFormat="false" ht="15.75" hidden="false" customHeight="false" outlineLevel="0" collapsed="false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 customFormat="false" ht="15.75" hidden="false" customHeight="false" outlineLevel="0" collapsed="false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 customFormat="false" ht="15.75" hidden="false" customHeight="false" outlineLevel="0" collapsed="false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 customFormat="false" ht="15.75" hidden="false" customHeight="false" outlineLevel="0" collapsed="false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 customFormat="false" ht="15.75" hidden="false" customHeight="false" outlineLevel="0" collapsed="false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 customFormat="false" ht="15.75" hidden="false" customHeight="false" outlineLevel="0" collapsed="false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 customFormat="false" ht="15.75" hidden="false" customHeight="false" outlineLevel="0" collapsed="false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 customFormat="false" ht="15.75" hidden="false" customHeight="false" outlineLevel="0" collapsed="false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 customFormat="false" ht="15.75" hidden="false" customHeight="false" outlineLevel="0" collapsed="false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 customFormat="false" ht="15.75" hidden="false" customHeight="false" outlineLevel="0" collapsed="false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 customFormat="false" ht="15.75" hidden="false" customHeight="false" outlineLevel="0" collapsed="false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 customFormat="false" ht="15.75" hidden="false" customHeight="false" outlineLevel="0" collapsed="false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 customFormat="false" ht="15.75" hidden="false" customHeight="false" outlineLevel="0" collapsed="false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 customFormat="false" ht="15.75" hidden="false" customHeight="false" outlineLevel="0" collapsed="false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 customFormat="false" ht="15.75" hidden="false" customHeight="false" outlineLevel="0" collapsed="false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 customFormat="false" ht="15.75" hidden="false" customHeight="false" outlineLevel="0" collapsed="false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 customFormat="false" ht="15.75" hidden="false" customHeight="false" outlineLevel="0" collapsed="false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 customFormat="false" ht="15.75" hidden="false" customHeight="false" outlineLevel="0" collapsed="false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 customFormat="false" ht="15.75" hidden="false" customHeight="false" outlineLevel="0" collapsed="false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 customFormat="false" ht="15.75" hidden="false" customHeight="false" outlineLevel="0" collapsed="false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 customFormat="false" ht="15.75" hidden="false" customHeight="false" outlineLevel="0" collapsed="false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 customFormat="false" ht="15.75" hidden="false" customHeight="false" outlineLevel="0" collapsed="false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 customFormat="false" ht="15.75" hidden="false" customHeight="false" outlineLevel="0" collapsed="false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 customFormat="false" ht="15.75" hidden="false" customHeight="false" outlineLevel="0" collapsed="false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 customFormat="false" ht="15.75" hidden="false" customHeight="false" outlineLevel="0" collapsed="false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 customFormat="false" ht="15.75" hidden="false" customHeight="false" outlineLevel="0" collapsed="false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 customFormat="false" ht="15.75" hidden="false" customHeight="false" outlineLevel="0" collapsed="false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 customFormat="false" ht="15.75" hidden="false" customHeight="false" outlineLevel="0" collapsed="false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 customFormat="false" ht="15.75" hidden="false" customHeight="false" outlineLevel="0" collapsed="false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 customFormat="false" ht="15.75" hidden="false" customHeight="false" outlineLevel="0" collapsed="false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 customFormat="false" ht="15.75" hidden="false" customHeight="false" outlineLevel="0" collapsed="false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 customFormat="false" ht="15.75" hidden="false" customHeight="false" outlineLevel="0" collapsed="false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 customFormat="false" ht="15.75" hidden="false" customHeight="false" outlineLevel="0" collapsed="false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 customFormat="false" ht="15.75" hidden="false" customHeight="false" outlineLevel="0" collapsed="false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 customFormat="false" ht="15.75" hidden="false" customHeight="false" outlineLevel="0" collapsed="false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 customFormat="false" ht="15.75" hidden="false" customHeight="false" outlineLevel="0" collapsed="false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 customFormat="false" ht="15.75" hidden="false" customHeight="false" outlineLevel="0" collapsed="false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 customFormat="false" ht="15.75" hidden="false" customHeight="false" outlineLevel="0" collapsed="false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 customFormat="false" ht="15.75" hidden="false" customHeight="false" outlineLevel="0" collapsed="false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 customFormat="false" ht="15.75" hidden="false" customHeight="false" outlineLevel="0" collapsed="false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 customFormat="false" ht="15.75" hidden="false" customHeight="false" outlineLevel="0" collapsed="false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 customFormat="false" ht="15.75" hidden="false" customHeight="false" outlineLevel="0" collapsed="false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 customFormat="false" ht="15.75" hidden="false" customHeight="false" outlineLevel="0" collapsed="false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 customFormat="false" ht="15.75" hidden="false" customHeight="false" outlineLevel="0" collapsed="false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 customFormat="false" ht="15.75" hidden="false" customHeight="false" outlineLevel="0" collapsed="false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 customFormat="false" ht="15.75" hidden="false" customHeight="false" outlineLevel="0" collapsed="false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 customFormat="false" ht="15.75" hidden="false" customHeight="false" outlineLevel="0" collapsed="false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 customFormat="false" ht="15.75" hidden="false" customHeight="false" outlineLevel="0" collapsed="false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 customFormat="false" ht="15.75" hidden="false" customHeight="false" outlineLevel="0" collapsed="false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customFormat="false" ht="15.75" hidden="false" customHeight="false" outlineLevel="0" collapsed="false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customFormat="false" ht="15.75" hidden="false" customHeight="false" outlineLevel="0" collapsed="false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customFormat="false" ht="15.75" hidden="false" customHeight="false" outlineLevel="0" collapsed="false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customFormat="false" ht="15.75" hidden="false" customHeight="false" outlineLevel="0" collapsed="false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customFormat="false" ht="15.75" hidden="false" customHeight="false" outlineLevel="0" collapsed="false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customFormat="false" ht="15.75" hidden="false" customHeight="false" outlineLevel="0" collapsed="false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customFormat="false" ht="15.75" hidden="false" customHeight="false" outlineLevel="0" collapsed="false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customFormat="false" ht="15.75" hidden="false" customHeight="false" outlineLevel="0" collapsed="false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customFormat="false" ht="15.75" hidden="false" customHeight="false" outlineLevel="0" collapsed="false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customFormat="false" ht="15.75" hidden="false" customHeight="false" outlineLevel="0" collapsed="false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customFormat="false" ht="15.75" hidden="false" customHeight="false" outlineLevel="0" collapsed="false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customFormat="false" ht="15.75" hidden="false" customHeight="false" outlineLevel="0" collapsed="false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customFormat="false" ht="15.75" hidden="false" customHeight="false" outlineLevel="0" collapsed="false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customFormat="false" ht="15.75" hidden="false" customHeight="false" outlineLevel="0" collapsed="false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customFormat="false" ht="15.75" hidden="false" customHeight="false" outlineLevel="0" collapsed="false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customFormat="false" ht="15.75" hidden="false" customHeight="false" outlineLevel="0" collapsed="false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customFormat="false" ht="15.75" hidden="false" customHeight="false" outlineLevel="0" collapsed="false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customFormat="false" ht="15.75" hidden="false" customHeight="false" outlineLevel="0" collapsed="false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customFormat="false" ht="15.75" hidden="false" customHeight="false" outlineLevel="0" collapsed="false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customFormat="false" ht="15.75" hidden="false" customHeight="false" outlineLevel="0" collapsed="false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customFormat="false" ht="15.75" hidden="false" customHeight="false" outlineLevel="0" collapsed="false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customFormat="false" ht="15.75" hidden="false" customHeight="false" outlineLevel="0" collapsed="false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customFormat="false" ht="15.75" hidden="false" customHeight="false" outlineLevel="0" collapsed="false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customFormat="false" ht="15.75" hidden="false" customHeight="false" outlineLevel="0" collapsed="false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customFormat="false" ht="15.75" hidden="false" customHeight="false" outlineLevel="0" collapsed="false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customFormat="false" ht="15.75" hidden="false" customHeight="false" outlineLevel="0" collapsed="false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customFormat="false" ht="15.75" hidden="false" customHeight="false" outlineLevel="0" collapsed="false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customFormat="false" ht="15.75" hidden="false" customHeight="false" outlineLevel="0" collapsed="false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customFormat="false" ht="15.75" hidden="false" customHeight="false" outlineLevel="0" collapsed="false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customFormat="false" ht="15.75" hidden="false" customHeight="false" outlineLevel="0" collapsed="false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customFormat="false" ht="15.75" hidden="false" customHeight="false" outlineLevel="0" collapsed="false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customFormat="false" ht="15.75" hidden="false" customHeight="false" outlineLevel="0" collapsed="false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customFormat="false" ht="15.75" hidden="false" customHeight="false" outlineLevel="0" collapsed="false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customFormat="false" ht="15.75" hidden="false" customHeight="false" outlineLevel="0" collapsed="false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customFormat="false" ht="15.75" hidden="false" customHeight="false" outlineLevel="0" collapsed="false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customFormat="false" ht="15.75" hidden="false" customHeight="false" outlineLevel="0" collapsed="false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customFormat="false" ht="15.75" hidden="false" customHeight="false" outlineLevel="0" collapsed="false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customFormat="false" ht="15.75" hidden="false" customHeight="false" outlineLevel="0" collapsed="false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customFormat="false" ht="15.75" hidden="false" customHeight="false" outlineLevel="0" collapsed="false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customFormat="false" ht="15.75" hidden="false" customHeight="false" outlineLevel="0" collapsed="false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customFormat="false" ht="15.75" hidden="false" customHeight="false" outlineLevel="0" collapsed="false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customFormat="false" ht="15.75" hidden="false" customHeight="false" outlineLevel="0" collapsed="false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customFormat="false" ht="15.75" hidden="false" customHeight="false" outlineLevel="0" collapsed="false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customFormat="false" ht="15.75" hidden="false" customHeight="false" outlineLevel="0" collapsed="false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customFormat="false" ht="15.75" hidden="false" customHeight="false" outlineLevel="0" collapsed="false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customFormat="false" ht="15.75" hidden="false" customHeight="false" outlineLevel="0" collapsed="false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customFormat="false" ht="15.75" hidden="false" customHeight="false" outlineLevel="0" collapsed="false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customFormat="false" ht="15.75" hidden="false" customHeight="false" outlineLevel="0" collapsed="false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customFormat="false" ht="15.75" hidden="false" customHeight="false" outlineLevel="0" collapsed="false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customFormat="false" ht="15.75" hidden="false" customHeight="false" outlineLevel="0" collapsed="false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customFormat="false" ht="15.75" hidden="false" customHeight="false" outlineLevel="0" collapsed="false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customFormat="false" ht="15.75" hidden="false" customHeight="false" outlineLevel="0" collapsed="false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customFormat="false" ht="15.75" hidden="false" customHeight="false" outlineLevel="0" collapsed="false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customFormat="false" ht="15.75" hidden="false" customHeight="false" outlineLevel="0" collapsed="false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customFormat="false" ht="15.75" hidden="false" customHeight="false" outlineLevel="0" collapsed="false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customFormat="false" ht="15.75" hidden="false" customHeight="false" outlineLevel="0" collapsed="false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customFormat="false" ht="15.75" hidden="false" customHeight="false" outlineLevel="0" collapsed="false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customFormat="false" ht="15.75" hidden="false" customHeight="false" outlineLevel="0" collapsed="false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customFormat="false" ht="15.75" hidden="false" customHeight="false" outlineLevel="0" collapsed="false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customFormat="false" ht="15.75" hidden="false" customHeight="false" outlineLevel="0" collapsed="false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customFormat="false" ht="15.75" hidden="false" customHeight="false" outlineLevel="0" collapsed="false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customFormat="false" ht="15.75" hidden="false" customHeight="false" outlineLevel="0" collapsed="false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customFormat="false" ht="15.75" hidden="false" customHeight="false" outlineLevel="0" collapsed="false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customFormat="false" ht="15.75" hidden="false" customHeight="false" outlineLevel="0" collapsed="false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customFormat="false" ht="15.75" hidden="false" customHeight="false" outlineLevel="0" collapsed="false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customFormat="false" ht="15.75" hidden="false" customHeight="false" outlineLevel="0" collapsed="false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customFormat="false" ht="15.75" hidden="false" customHeight="false" outlineLevel="0" collapsed="false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customFormat="false" ht="15.75" hidden="false" customHeight="false" outlineLevel="0" collapsed="false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customFormat="false" ht="15.75" hidden="false" customHeight="false" outlineLevel="0" collapsed="false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customFormat="false" ht="15.75" hidden="false" customHeight="false" outlineLevel="0" collapsed="false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customFormat="false" ht="15.75" hidden="false" customHeight="false" outlineLevel="0" collapsed="false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customFormat="false" ht="15.75" hidden="false" customHeight="false" outlineLevel="0" collapsed="false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customFormat="false" ht="15.75" hidden="false" customHeight="false" outlineLevel="0" collapsed="false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customFormat="false" ht="15.75" hidden="false" customHeight="false" outlineLevel="0" collapsed="false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customFormat="false" ht="15.75" hidden="false" customHeight="false" outlineLevel="0" collapsed="false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customFormat="false" ht="15.75" hidden="false" customHeight="false" outlineLevel="0" collapsed="false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customFormat="false" ht="15.75" hidden="false" customHeight="false" outlineLevel="0" collapsed="false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customFormat="false" ht="15.75" hidden="false" customHeight="false" outlineLevel="0" collapsed="false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customFormat="false" ht="15.75" hidden="false" customHeight="false" outlineLevel="0" collapsed="false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customFormat="false" ht="15.75" hidden="false" customHeight="false" outlineLevel="0" collapsed="false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customFormat="false" ht="15.75" hidden="false" customHeight="false" outlineLevel="0" collapsed="false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customFormat="false" ht="15.75" hidden="false" customHeight="false" outlineLevel="0" collapsed="false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customFormat="false" ht="15.75" hidden="false" customHeight="false" outlineLevel="0" collapsed="false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customFormat="false" ht="15.75" hidden="false" customHeight="false" outlineLevel="0" collapsed="false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customFormat="false" ht="15.75" hidden="false" customHeight="false" outlineLevel="0" collapsed="false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customFormat="false" ht="15.75" hidden="false" customHeight="false" outlineLevel="0" collapsed="false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customFormat="false" ht="15.75" hidden="false" customHeight="false" outlineLevel="0" collapsed="false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customFormat="false" ht="15.75" hidden="false" customHeight="false" outlineLevel="0" collapsed="false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customFormat="false" ht="15.75" hidden="false" customHeight="false" outlineLevel="0" collapsed="false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customFormat="false" ht="15.75" hidden="false" customHeight="false" outlineLevel="0" collapsed="false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customFormat="false" ht="15.75" hidden="false" customHeight="false" outlineLevel="0" collapsed="false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customFormat="false" ht="15.75" hidden="false" customHeight="false" outlineLevel="0" collapsed="false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customFormat="false" ht="15.75" hidden="false" customHeight="false" outlineLevel="0" collapsed="false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customFormat="false" ht="15.75" hidden="false" customHeight="false" outlineLevel="0" collapsed="false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customFormat="false" ht="15.75" hidden="false" customHeight="false" outlineLevel="0" collapsed="false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customFormat="false" ht="15.75" hidden="false" customHeight="false" outlineLevel="0" collapsed="false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customFormat="false" ht="15.75" hidden="false" customHeight="false" outlineLevel="0" collapsed="false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customFormat="false" ht="15.75" hidden="false" customHeight="false" outlineLevel="0" collapsed="false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customFormat="false" ht="15.75" hidden="false" customHeight="false" outlineLevel="0" collapsed="false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customFormat="false" ht="15.75" hidden="false" customHeight="false" outlineLevel="0" collapsed="false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customFormat="false" ht="15.75" hidden="false" customHeight="false" outlineLevel="0" collapsed="false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customFormat="false" ht="15.75" hidden="false" customHeight="false" outlineLevel="0" collapsed="false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customFormat="false" ht="15.75" hidden="false" customHeight="false" outlineLevel="0" collapsed="false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customFormat="false" ht="15.75" hidden="false" customHeight="false" outlineLevel="0" collapsed="false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customFormat="false" ht="15.75" hidden="false" customHeight="false" outlineLevel="0" collapsed="false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customFormat="false" ht="15.75" hidden="false" customHeight="false" outlineLevel="0" collapsed="false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customFormat="false" ht="15.75" hidden="false" customHeight="false" outlineLevel="0" collapsed="false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customFormat="false" ht="15.75" hidden="false" customHeight="false" outlineLevel="0" collapsed="false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customFormat="false" ht="15.75" hidden="false" customHeight="false" outlineLevel="0" collapsed="false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customFormat="false" ht="15.75" hidden="false" customHeight="false" outlineLevel="0" collapsed="false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customFormat="false" ht="15.75" hidden="false" customHeight="false" outlineLevel="0" collapsed="false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customFormat="false" ht="15.75" hidden="false" customHeight="false" outlineLevel="0" collapsed="false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customFormat="false" ht="15.75" hidden="false" customHeight="false" outlineLevel="0" collapsed="false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customFormat="false" ht="15.75" hidden="false" customHeight="false" outlineLevel="0" collapsed="false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customFormat="false" ht="15.75" hidden="false" customHeight="false" outlineLevel="0" collapsed="false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customFormat="false" ht="15.75" hidden="false" customHeight="false" outlineLevel="0" collapsed="false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customFormat="false" ht="15.75" hidden="false" customHeight="false" outlineLevel="0" collapsed="false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customFormat="false" ht="15.75" hidden="false" customHeight="false" outlineLevel="0" collapsed="false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customFormat="false" ht="15.75" hidden="false" customHeight="false" outlineLevel="0" collapsed="false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customFormat="false" ht="15.75" hidden="false" customHeight="false" outlineLevel="0" collapsed="false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customFormat="false" ht="15.75" hidden="false" customHeight="false" outlineLevel="0" collapsed="false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customFormat="false" ht="15.75" hidden="false" customHeight="false" outlineLevel="0" collapsed="false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customFormat="false" ht="15.75" hidden="false" customHeight="false" outlineLevel="0" collapsed="false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customFormat="false" ht="15.75" hidden="false" customHeight="false" outlineLevel="0" collapsed="false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customFormat="false" ht="15.75" hidden="false" customHeight="false" outlineLevel="0" collapsed="false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customFormat="false" ht="15.75" hidden="false" customHeight="false" outlineLevel="0" collapsed="false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customFormat="false" ht="15.75" hidden="false" customHeight="false" outlineLevel="0" collapsed="false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customFormat="false" ht="15.75" hidden="false" customHeight="false" outlineLevel="0" collapsed="false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customFormat="false" ht="15.75" hidden="false" customHeight="false" outlineLevel="0" collapsed="false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customFormat="false" ht="15.75" hidden="false" customHeight="false" outlineLevel="0" collapsed="false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customFormat="false" ht="15.75" hidden="false" customHeight="false" outlineLevel="0" collapsed="false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customFormat="false" ht="15.75" hidden="false" customHeight="false" outlineLevel="0" collapsed="false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customFormat="false" ht="15.75" hidden="false" customHeight="false" outlineLevel="0" collapsed="false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customFormat="false" ht="15.75" hidden="false" customHeight="false" outlineLevel="0" collapsed="false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customFormat="false" ht="15.75" hidden="false" customHeight="false" outlineLevel="0" collapsed="false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customFormat="false" ht="15.75" hidden="false" customHeight="false" outlineLevel="0" collapsed="false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customFormat="false" ht="15.75" hidden="false" customHeight="false" outlineLevel="0" collapsed="false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customFormat="false" ht="15.75" hidden="false" customHeight="false" outlineLevel="0" collapsed="false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customFormat="false" ht="15.75" hidden="false" customHeight="false" outlineLevel="0" collapsed="false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customFormat="false" ht="15.75" hidden="false" customHeight="false" outlineLevel="0" collapsed="false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customFormat="false" ht="15.75" hidden="false" customHeight="false" outlineLevel="0" collapsed="false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customFormat="false" ht="15.75" hidden="false" customHeight="false" outlineLevel="0" collapsed="false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customFormat="false" ht="15.75" hidden="false" customHeight="false" outlineLevel="0" collapsed="false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customFormat="false" ht="15.75" hidden="false" customHeight="false" outlineLevel="0" collapsed="false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customFormat="false" ht="15.75" hidden="false" customHeight="false" outlineLevel="0" collapsed="false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customFormat="false" ht="15.75" hidden="false" customHeight="false" outlineLevel="0" collapsed="false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customFormat="false" ht="15.75" hidden="false" customHeight="false" outlineLevel="0" collapsed="false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customFormat="false" ht="15.75" hidden="false" customHeight="false" outlineLevel="0" collapsed="false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customFormat="false" ht="15.75" hidden="false" customHeight="false" outlineLevel="0" collapsed="false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customFormat="false" ht="15.75" hidden="false" customHeight="false" outlineLevel="0" collapsed="false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customFormat="false" ht="15.75" hidden="false" customHeight="false" outlineLevel="0" collapsed="false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customFormat="false" ht="15.75" hidden="false" customHeight="false" outlineLevel="0" collapsed="false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customFormat="false" ht="15.75" hidden="false" customHeight="false" outlineLevel="0" collapsed="false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customFormat="false" ht="15.75" hidden="false" customHeight="false" outlineLevel="0" collapsed="false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customFormat="false" ht="15.75" hidden="false" customHeight="false" outlineLevel="0" collapsed="false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customFormat="false" ht="15.75" hidden="false" customHeight="false" outlineLevel="0" collapsed="false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customFormat="false" ht="15.75" hidden="false" customHeight="false" outlineLevel="0" collapsed="false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customFormat="false" ht="15.75" hidden="false" customHeight="false" outlineLevel="0" collapsed="false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customFormat="false" ht="15.75" hidden="false" customHeight="false" outlineLevel="0" collapsed="false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customFormat="false" ht="15.75" hidden="false" customHeight="false" outlineLevel="0" collapsed="false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customFormat="false" ht="15.75" hidden="false" customHeight="false" outlineLevel="0" collapsed="false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customFormat="false" ht="15.75" hidden="false" customHeight="false" outlineLevel="0" collapsed="false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customFormat="false" ht="15.75" hidden="false" customHeight="false" outlineLevel="0" collapsed="false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customFormat="false" ht="15.75" hidden="false" customHeight="false" outlineLevel="0" collapsed="false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customFormat="false" ht="15.75" hidden="false" customHeight="false" outlineLevel="0" collapsed="false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customFormat="false" ht="15.75" hidden="false" customHeight="false" outlineLevel="0" collapsed="false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customFormat="false" ht="15.75" hidden="false" customHeight="false" outlineLevel="0" collapsed="false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customFormat="false" ht="15.75" hidden="false" customHeight="false" outlineLevel="0" collapsed="false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customFormat="false" ht="15.75" hidden="false" customHeight="false" outlineLevel="0" collapsed="false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customFormat="false" ht="15.75" hidden="false" customHeight="false" outlineLevel="0" collapsed="false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customFormat="false" ht="15.75" hidden="false" customHeight="false" outlineLevel="0" collapsed="false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customFormat="false" ht="15.75" hidden="false" customHeight="false" outlineLevel="0" collapsed="false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customFormat="false" ht="15.75" hidden="false" customHeight="false" outlineLevel="0" collapsed="false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customFormat="false" ht="15.75" hidden="false" customHeight="false" outlineLevel="0" collapsed="false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customFormat="false" ht="15.75" hidden="false" customHeight="false" outlineLevel="0" collapsed="false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customFormat="false" ht="15.75" hidden="false" customHeight="false" outlineLevel="0" collapsed="false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customFormat="false" ht="15.75" hidden="false" customHeight="false" outlineLevel="0" collapsed="false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customFormat="false" ht="15.75" hidden="false" customHeight="false" outlineLevel="0" collapsed="false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customFormat="false" ht="15.75" hidden="false" customHeight="false" outlineLevel="0" collapsed="false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customFormat="false" ht="15.75" hidden="false" customHeight="false" outlineLevel="0" collapsed="false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customFormat="false" ht="15.75" hidden="false" customHeight="false" outlineLevel="0" collapsed="false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customFormat="false" ht="15.75" hidden="false" customHeight="false" outlineLevel="0" collapsed="false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customFormat="false" ht="15.75" hidden="false" customHeight="false" outlineLevel="0" collapsed="false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customFormat="false" ht="15.75" hidden="false" customHeight="false" outlineLevel="0" collapsed="false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customFormat="false" ht="15.75" hidden="false" customHeight="false" outlineLevel="0" collapsed="false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customFormat="false" ht="15.75" hidden="false" customHeight="false" outlineLevel="0" collapsed="false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customFormat="false" ht="15.75" hidden="false" customHeight="false" outlineLevel="0" collapsed="false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customFormat="false" ht="15.75" hidden="false" customHeight="false" outlineLevel="0" collapsed="false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customFormat="false" ht="15.75" hidden="false" customHeight="false" outlineLevel="0" collapsed="false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customFormat="false" ht="15.75" hidden="false" customHeight="false" outlineLevel="0" collapsed="false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customFormat="false" ht="15.75" hidden="false" customHeight="false" outlineLevel="0" collapsed="false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customFormat="false" ht="15.75" hidden="false" customHeight="false" outlineLevel="0" collapsed="false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customFormat="false" ht="15.75" hidden="false" customHeight="false" outlineLevel="0" collapsed="false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customFormat="false" ht="15.75" hidden="false" customHeight="false" outlineLevel="0" collapsed="false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customFormat="false" ht="15.75" hidden="false" customHeight="false" outlineLevel="0" collapsed="false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customFormat="false" ht="15.75" hidden="false" customHeight="false" outlineLevel="0" collapsed="false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customFormat="false" ht="15.75" hidden="false" customHeight="false" outlineLevel="0" collapsed="false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customFormat="false" ht="15.75" hidden="false" customHeight="false" outlineLevel="0" collapsed="false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customFormat="false" ht="15.75" hidden="false" customHeight="false" outlineLevel="0" collapsed="false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customFormat="false" ht="15.75" hidden="false" customHeight="false" outlineLevel="0" collapsed="false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customFormat="false" ht="15.75" hidden="false" customHeight="false" outlineLevel="0" collapsed="false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customFormat="false" ht="15.75" hidden="false" customHeight="false" outlineLevel="0" collapsed="false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customFormat="false" ht="15.75" hidden="false" customHeight="false" outlineLevel="0" collapsed="false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customFormat="false" ht="15.75" hidden="false" customHeight="false" outlineLevel="0" collapsed="false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customFormat="false" ht="15.75" hidden="false" customHeight="false" outlineLevel="0" collapsed="false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customFormat="false" ht="15.75" hidden="false" customHeight="false" outlineLevel="0" collapsed="false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customFormat="false" ht="15.75" hidden="false" customHeight="false" outlineLevel="0" collapsed="false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customFormat="false" ht="15.75" hidden="false" customHeight="false" outlineLevel="0" collapsed="false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customFormat="false" ht="15.75" hidden="false" customHeight="false" outlineLevel="0" collapsed="false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customFormat="false" ht="15.75" hidden="false" customHeight="false" outlineLevel="0" collapsed="false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customFormat="false" ht="15.75" hidden="false" customHeight="false" outlineLevel="0" collapsed="false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customFormat="false" ht="15.75" hidden="false" customHeight="false" outlineLevel="0" collapsed="false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customFormat="false" ht="15.75" hidden="false" customHeight="false" outlineLevel="0" collapsed="false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customFormat="false" ht="15.75" hidden="false" customHeight="false" outlineLevel="0" collapsed="false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customFormat="false" ht="15.75" hidden="false" customHeight="false" outlineLevel="0" collapsed="false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customFormat="false" ht="15.75" hidden="false" customHeight="false" outlineLevel="0" collapsed="false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customFormat="false" ht="15.75" hidden="false" customHeight="false" outlineLevel="0" collapsed="false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customFormat="false" ht="15.75" hidden="false" customHeight="false" outlineLevel="0" collapsed="false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customFormat="false" ht="15.75" hidden="false" customHeight="false" outlineLevel="0" collapsed="false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customFormat="false" ht="15.75" hidden="false" customHeight="false" outlineLevel="0" collapsed="false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customFormat="false" ht="15.75" hidden="false" customHeight="false" outlineLevel="0" collapsed="false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customFormat="false" ht="15.75" hidden="false" customHeight="false" outlineLevel="0" collapsed="false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customFormat="false" ht="15.75" hidden="false" customHeight="false" outlineLevel="0" collapsed="false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customFormat="false" ht="15.75" hidden="false" customHeight="false" outlineLevel="0" collapsed="false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customFormat="false" ht="15.75" hidden="false" customHeight="false" outlineLevel="0" collapsed="false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customFormat="false" ht="15.75" hidden="false" customHeight="false" outlineLevel="0" collapsed="false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customFormat="false" ht="15.75" hidden="false" customHeight="false" outlineLevel="0" collapsed="false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customFormat="false" ht="15.75" hidden="false" customHeight="false" outlineLevel="0" collapsed="false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customFormat="false" ht="15.75" hidden="false" customHeight="false" outlineLevel="0" collapsed="false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customFormat="false" ht="15.75" hidden="false" customHeight="false" outlineLevel="0" collapsed="false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customFormat="false" ht="15.75" hidden="false" customHeight="false" outlineLevel="0" collapsed="false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customFormat="false" ht="15.75" hidden="false" customHeight="false" outlineLevel="0" collapsed="false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customFormat="false" ht="15.75" hidden="false" customHeight="false" outlineLevel="0" collapsed="false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customFormat="false" ht="15.75" hidden="false" customHeight="false" outlineLevel="0" collapsed="false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customFormat="false" ht="15.75" hidden="false" customHeight="false" outlineLevel="0" collapsed="false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customFormat="false" ht="15.75" hidden="false" customHeight="false" outlineLevel="0" collapsed="false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customFormat="false" ht="15.75" hidden="false" customHeight="false" outlineLevel="0" collapsed="false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customFormat="false" ht="15.75" hidden="false" customHeight="false" outlineLevel="0" collapsed="false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customFormat="false" ht="15.75" hidden="false" customHeight="false" outlineLevel="0" collapsed="false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customFormat="false" ht="15.75" hidden="false" customHeight="false" outlineLevel="0" collapsed="false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customFormat="false" ht="15.75" hidden="false" customHeight="false" outlineLevel="0" collapsed="false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customFormat="false" ht="15.75" hidden="false" customHeight="false" outlineLevel="0" collapsed="false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customFormat="false" ht="15.75" hidden="false" customHeight="false" outlineLevel="0" collapsed="false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customFormat="false" ht="15.75" hidden="false" customHeight="false" outlineLevel="0" collapsed="false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customFormat="false" ht="15.75" hidden="false" customHeight="false" outlineLevel="0" collapsed="false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customFormat="false" ht="15.75" hidden="false" customHeight="false" outlineLevel="0" collapsed="false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customFormat="false" ht="15.75" hidden="false" customHeight="false" outlineLevel="0" collapsed="false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customFormat="false" ht="15.75" hidden="false" customHeight="false" outlineLevel="0" collapsed="false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customFormat="false" ht="15.75" hidden="false" customHeight="false" outlineLevel="0" collapsed="false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customFormat="false" ht="15.75" hidden="false" customHeight="false" outlineLevel="0" collapsed="false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customFormat="false" ht="15.75" hidden="false" customHeight="false" outlineLevel="0" collapsed="false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customFormat="false" ht="15.75" hidden="false" customHeight="false" outlineLevel="0" collapsed="false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customFormat="false" ht="15.75" hidden="false" customHeight="false" outlineLevel="0" collapsed="false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customFormat="false" ht="15.75" hidden="false" customHeight="false" outlineLevel="0" collapsed="false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customFormat="false" ht="15.75" hidden="false" customHeight="false" outlineLevel="0" collapsed="false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customFormat="false" ht="15.75" hidden="false" customHeight="false" outlineLevel="0" collapsed="false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customFormat="false" ht="15.75" hidden="false" customHeight="false" outlineLevel="0" collapsed="false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customFormat="false" ht="15.75" hidden="false" customHeight="false" outlineLevel="0" collapsed="false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customFormat="false" ht="15.75" hidden="false" customHeight="false" outlineLevel="0" collapsed="false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customFormat="false" ht="15.75" hidden="false" customHeight="false" outlineLevel="0" collapsed="false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customFormat="false" ht="15.75" hidden="false" customHeight="false" outlineLevel="0" collapsed="false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customFormat="false" ht="15.75" hidden="false" customHeight="false" outlineLevel="0" collapsed="false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customFormat="false" ht="15.75" hidden="false" customHeight="false" outlineLevel="0" collapsed="false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customFormat="false" ht="15.75" hidden="false" customHeight="false" outlineLevel="0" collapsed="false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customFormat="false" ht="15.75" hidden="false" customHeight="false" outlineLevel="0" collapsed="false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customFormat="false" ht="15.75" hidden="false" customHeight="false" outlineLevel="0" collapsed="false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customFormat="false" ht="15.75" hidden="false" customHeight="false" outlineLevel="0" collapsed="false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customFormat="false" ht="15.75" hidden="false" customHeight="false" outlineLevel="0" collapsed="false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customFormat="false" ht="15.75" hidden="false" customHeight="false" outlineLevel="0" collapsed="false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customFormat="false" ht="15.75" hidden="false" customHeight="false" outlineLevel="0" collapsed="false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customFormat="false" ht="15.75" hidden="false" customHeight="false" outlineLevel="0" collapsed="false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customFormat="false" ht="15.75" hidden="false" customHeight="false" outlineLevel="0" collapsed="false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customFormat="false" ht="15.75" hidden="false" customHeight="false" outlineLevel="0" collapsed="false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customFormat="false" ht="15.75" hidden="false" customHeight="false" outlineLevel="0" collapsed="false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customFormat="false" ht="15.75" hidden="false" customHeight="false" outlineLevel="0" collapsed="false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customFormat="false" ht="15.75" hidden="false" customHeight="false" outlineLevel="0" collapsed="false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customFormat="false" ht="15.75" hidden="false" customHeight="false" outlineLevel="0" collapsed="false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customFormat="false" ht="15.75" hidden="false" customHeight="false" outlineLevel="0" collapsed="false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customFormat="false" ht="15.75" hidden="false" customHeight="false" outlineLevel="0" collapsed="false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customFormat="false" ht="15.75" hidden="false" customHeight="false" outlineLevel="0" collapsed="false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customFormat="false" ht="15.75" hidden="false" customHeight="false" outlineLevel="0" collapsed="false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customFormat="false" ht="15.75" hidden="false" customHeight="false" outlineLevel="0" collapsed="false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customFormat="false" ht="15.75" hidden="false" customHeight="false" outlineLevel="0" collapsed="false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customFormat="false" ht="15.75" hidden="false" customHeight="false" outlineLevel="0" collapsed="false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customFormat="false" ht="15.75" hidden="false" customHeight="false" outlineLevel="0" collapsed="false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customFormat="false" ht="15.75" hidden="false" customHeight="false" outlineLevel="0" collapsed="false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customFormat="false" ht="15.75" hidden="false" customHeight="false" outlineLevel="0" collapsed="false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customFormat="false" ht="15.75" hidden="false" customHeight="false" outlineLevel="0" collapsed="false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customFormat="false" ht="15.75" hidden="false" customHeight="false" outlineLevel="0" collapsed="false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customFormat="false" ht="15.75" hidden="false" customHeight="false" outlineLevel="0" collapsed="false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customFormat="false" ht="15.75" hidden="false" customHeight="false" outlineLevel="0" collapsed="false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customFormat="false" ht="15.75" hidden="false" customHeight="false" outlineLevel="0" collapsed="false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customFormat="false" ht="15.75" hidden="false" customHeight="false" outlineLevel="0" collapsed="false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customFormat="false" ht="15.75" hidden="false" customHeight="false" outlineLevel="0" collapsed="false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customFormat="false" ht="15.75" hidden="false" customHeight="false" outlineLevel="0" collapsed="false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customFormat="false" ht="15.75" hidden="false" customHeight="false" outlineLevel="0" collapsed="false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customFormat="false" ht="15.75" hidden="false" customHeight="false" outlineLevel="0" collapsed="false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customFormat="false" ht="15.75" hidden="false" customHeight="false" outlineLevel="0" collapsed="false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customFormat="false" ht="15.75" hidden="false" customHeight="false" outlineLevel="0" collapsed="false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customFormat="false" ht="15.75" hidden="false" customHeight="false" outlineLevel="0" collapsed="false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customFormat="false" ht="15.75" hidden="false" customHeight="false" outlineLevel="0" collapsed="false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customFormat="false" ht="15.75" hidden="false" customHeight="false" outlineLevel="0" collapsed="false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customFormat="false" ht="15.75" hidden="false" customHeight="false" outlineLevel="0" collapsed="false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customFormat="false" ht="15.75" hidden="false" customHeight="false" outlineLevel="0" collapsed="false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customFormat="false" ht="15.75" hidden="false" customHeight="false" outlineLevel="0" collapsed="false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customFormat="false" ht="15.75" hidden="false" customHeight="false" outlineLevel="0" collapsed="false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customFormat="false" ht="15.75" hidden="false" customHeight="false" outlineLevel="0" collapsed="false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customFormat="false" ht="15.75" hidden="false" customHeight="false" outlineLevel="0" collapsed="false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customFormat="false" ht="15.75" hidden="false" customHeight="false" outlineLevel="0" collapsed="false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customFormat="false" ht="15.75" hidden="false" customHeight="false" outlineLevel="0" collapsed="false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customFormat="false" ht="15.75" hidden="false" customHeight="false" outlineLevel="0" collapsed="false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customFormat="false" ht="15.75" hidden="false" customHeight="false" outlineLevel="0" collapsed="false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customFormat="false" ht="15.75" hidden="false" customHeight="false" outlineLevel="0" collapsed="false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customFormat="false" ht="15.75" hidden="false" customHeight="false" outlineLevel="0" collapsed="false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customFormat="false" ht="15.75" hidden="false" customHeight="false" outlineLevel="0" collapsed="false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customFormat="false" ht="15.75" hidden="false" customHeight="false" outlineLevel="0" collapsed="false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customFormat="false" ht="15.75" hidden="false" customHeight="false" outlineLevel="0" collapsed="false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customFormat="false" ht="15.75" hidden="false" customHeight="false" outlineLevel="0" collapsed="false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customFormat="false" ht="15.75" hidden="false" customHeight="false" outlineLevel="0" collapsed="false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customFormat="false" ht="15.75" hidden="false" customHeight="false" outlineLevel="0" collapsed="false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customFormat="false" ht="15.75" hidden="false" customHeight="false" outlineLevel="0" collapsed="false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customFormat="false" ht="15.75" hidden="false" customHeight="false" outlineLevel="0" collapsed="false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customFormat="false" ht="15.75" hidden="false" customHeight="false" outlineLevel="0" collapsed="false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customFormat="false" ht="15.75" hidden="false" customHeight="false" outlineLevel="0" collapsed="false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customFormat="false" ht="15.75" hidden="false" customHeight="false" outlineLevel="0" collapsed="false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customFormat="false" ht="15.75" hidden="false" customHeight="false" outlineLevel="0" collapsed="false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customFormat="false" ht="15.75" hidden="false" customHeight="false" outlineLevel="0" collapsed="false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customFormat="false" ht="15.75" hidden="false" customHeight="false" outlineLevel="0" collapsed="false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customFormat="false" ht="15.75" hidden="false" customHeight="false" outlineLevel="0" collapsed="false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customFormat="false" ht="15.75" hidden="false" customHeight="false" outlineLevel="0" collapsed="false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customFormat="false" ht="15.75" hidden="false" customHeight="false" outlineLevel="0" collapsed="false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customFormat="false" ht="15.75" hidden="false" customHeight="false" outlineLevel="0" collapsed="false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customFormat="false" ht="15.75" hidden="false" customHeight="false" outlineLevel="0" collapsed="false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customFormat="false" ht="15.75" hidden="false" customHeight="false" outlineLevel="0" collapsed="false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customFormat="false" ht="15.75" hidden="false" customHeight="false" outlineLevel="0" collapsed="false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customFormat="false" ht="15.75" hidden="false" customHeight="false" outlineLevel="0" collapsed="false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customFormat="false" ht="15.75" hidden="false" customHeight="false" outlineLevel="0" collapsed="false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customFormat="false" ht="15.75" hidden="false" customHeight="false" outlineLevel="0" collapsed="false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customFormat="false" ht="15.75" hidden="false" customHeight="false" outlineLevel="0" collapsed="false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customFormat="false" ht="15.75" hidden="false" customHeight="false" outlineLevel="0" collapsed="false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customFormat="false" ht="15.75" hidden="false" customHeight="false" outlineLevel="0" collapsed="false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customFormat="false" ht="15.75" hidden="false" customHeight="false" outlineLevel="0" collapsed="false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customFormat="false" ht="15.75" hidden="false" customHeight="false" outlineLevel="0" collapsed="false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customFormat="false" ht="15.75" hidden="false" customHeight="false" outlineLevel="0" collapsed="false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customFormat="false" ht="15.75" hidden="false" customHeight="false" outlineLevel="0" collapsed="false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customFormat="false" ht="15.75" hidden="false" customHeight="false" outlineLevel="0" collapsed="false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customFormat="false" ht="15.75" hidden="false" customHeight="false" outlineLevel="0" collapsed="false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customFormat="false" ht="15.75" hidden="false" customHeight="false" outlineLevel="0" collapsed="false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customFormat="false" ht="15.75" hidden="false" customHeight="false" outlineLevel="0" collapsed="false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customFormat="false" ht="15.75" hidden="false" customHeight="false" outlineLevel="0" collapsed="false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customFormat="false" ht="15.75" hidden="false" customHeight="false" outlineLevel="0" collapsed="false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customFormat="false" ht="15.75" hidden="false" customHeight="false" outlineLevel="0" collapsed="false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customFormat="false" ht="15.75" hidden="false" customHeight="false" outlineLevel="0" collapsed="false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customFormat="false" ht="15.75" hidden="false" customHeight="false" outlineLevel="0" collapsed="false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customFormat="false" ht="15.75" hidden="false" customHeight="false" outlineLevel="0" collapsed="false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customFormat="false" ht="15.75" hidden="false" customHeight="false" outlineLevel="0" collapsed="false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customFormat="false" ht="15.75" hidden="false" customHeight="false" outlineLevel="0" collapsed="false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customFormat="false" ht="15.75" hidden="false" customHeight="false" outlineLevel="0" collapsed="false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customFormat="false" ht="15.75" hidden="false" customHeight="false" outlineLevel="0" collapsed="false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customFormat="false" ht="15.75" hidden="false" customHeight="false" outlineLevel="0" collapsed="false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customFormat="false" ht="15.75" hidden="false" customHeight="false" outlineLevel="0" collapsed="false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customFormat="false" ht="15.75" hidden="false" customHeight="false" outlineLevel="0" collapsed="false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customFormat="false" ht="15.75" hidden="false" customHeight="false" outlineLevel="0" collapsed="false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customFormat="false" ht="15.75" hidden="false" customHeight="false" outlineLevel="0" collapsed="false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customFormat="false" ht="15.75" hidden="false" customHeight="false" outlineLevel="0" collapsed="false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customFormat="false" ht="15.75" hidden="false" customHeight="false" outlineLevel="0" collapsed="false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customFormat="false" ht="15.75" hidden="false" customHeight="false" outlineLevel="0" collapsed="false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customFormat="false" ht="15.75" hidden="false" customHeight="false" outlineLevel="0" collapsed="false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customFormat="false" ht="15.75" hidden="false" customHeight="false" outlineLevel="0" collapsed="false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customFormat="false" ht="15.75" hidden="false" customHeight="false" outlineLevel="0" collapsed="false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customFormat="false" ht="15.75" hidden="false" customHeight="false" outlineLevel="0" collapsed="false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customFormat="false" ht="15.75" hidden="false" customHeight="false" outlineLevel="0" collapsed="false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customFormat="false" ht="15.75" hidden="false" customHeight="false" outlineLevel="0" collapsed="false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customFormat="false" ht="15.75" hidden="false" customHeight="false" outlineLevel="0" collapsed="false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customFormat="false" ht="15.75" hidden="false" customHeight="false" outlineLevel="0" collapsed="false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customFormat="false" ht="15.75" hidden="false" customHeight="false" outlineLevel="0" collapsed="false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customFormat="false" ht="15.75" hidden="false" customHeight="false" outlineLevel="0" collapsed="false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customFormat="false" ht="15.75" hidden="false" customHeight="false" outlineLevel="0" collapsed="false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customFormat="false" ht="15.75" hidden="false" customHeight="false" outlineLevel="0" collapsed="false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customFormat="false" ht="15.75" hidden="false" customHeight="false" outlineLevel="0" collapsed="false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customFormat="false" ht="15.75" hidden="false" customHeight="false" outlineLevel="0" collapsed="false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customFormat="false" ht="15.75" hidden="false" customHeight="false" outlineLevel="0" collapsed="false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customFormat="false" ht="15.75" hidden="false" customHeight="false" outlineLevel="0" collapsed="false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customFormat="false" ht="15.75" hidden="false" customHeight="false" outlineLevel="0" collapsed="false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customFormat="false" ht="15.75" hidden="false" customHeight="false" outlineLevel="0" collapsed="false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customFormat="false" ht="15.75" hidden="false" customHeight="false" outlineLevel="0" collapsed="false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customFormat="false" ht="15.75" hidden="false" customHeight="false" outlineLevel="0" collapsed="false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customFormat="false" ht="15.75" hidden="false" customHeight="false" outlineLevel="0" collapsed="false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customFormat="false" ht="15.75" hidden="false" customHeight="false" outlineLevel="0" collapsed="false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customFormat="false" ht="15.75" hidden="false" customHeight="false" outlineLevel="0" collapsed="false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customFormat="false" ht="15.75" hidden="false" customHeight="false" outlineLevel="0" collapsed="false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customFormat="false" ht="15.75" hidden="false" customHeight="false" outlineLevel="0" collapsed="false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customFormat="false" ht="15.75" hidden="false" customHeight="false" outlineLevel="0" collapsed="false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customFormat="false" ht="15.75" hidden="false" customHeight="false" outlineLevel="0" collapsed="false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customFormat="false" ht="15.75" hidden="false" customHeight="false" outlineLevel="0" collapsed="false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customFormat="false" ht="15.75" hidden="false" customHeight="false" outlineLevel="0" collapsed="false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customFormat="false" ht="15.75" hidden="false" customHeight="false" outlineLevel="0" collapsed="false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customFormat="false" ht="15.75" hidden="false" customHeight="false" outlineLevel="0" collapsed="false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customFormat="false" ht="15.75" hidden="false" customHeight="false" outlineLevel="0" collapsed="false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customFormat="false" ht="15.75" hidden="false" customHeight="false" outlineLevel="0" collapsed="false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customFormat="false" ht="15.75" hidden="false" customHeight="false" outlineLevel="0" collapsed="false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customFormat="false" ht="15.75" hidden="false" customHeight="false" outlineLevel="0" collapsed="false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customFormat="false" ht="15.75" hidden="false" customHeight="false" outlineLevel="0" collapsed="false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customFormat="false" ht="15.75" hidden="false" customHeight="false" outlineLevel="0" collapsed="false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customFormat="false" ht="15.75" hidden="false" customHeight="false" outlineLevel="0" collapsed="false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customFormat="false" ht="15.75" hidden="false" customHeight="false" outlineLevel="0" collapsed="false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customFormat="false" ht="15.75" hidden="false" customHeight="false" outlineLevel="0" collapsed="false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customFormat="false" ht="15.75" hidden="false" customHeight="false" outlineLevel="0" collapsed="false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customFormat="false" ht="15.75" hidden="false" customHeight="false" outlineLevel="0" collapsed="false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customFormat="false" ht="15.75" hidden="false" customHeight="false" outlineLevel="0" collapsed="false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customFormat="false" ht="15.75" hidden="false" customHeight="false" outlineLevel="0" collapsed="false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customFormat="false" ht="15.75" hidden="false" customHeight="false" outlineLevel="0" collapsed="false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customFormat="false" ht="15.75" hidden="false" customHeight="false" outlineLevel="0" collapsed="false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customFormat="false" ht="15.75" hidden="false" customHeight="false" outlineLevel="0" collapsed="false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customFormat="false" ht="15.75" hidden="false" customHeight="false" outlineLevel="0" collapsed="false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customFormat="false" ht="15.75" hidden="false" customHeight="false" outlineLevel="0" collapsed="false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customFormat="false" ht="15.75" hidden="false" customHeight="false" outlineLevel="0" collapsed="false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customFormat="false" ht="15.75" hidden="false" customHeight="false" outlineLevel="0" collapsed="false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customFormat="false" ht="15.75" hidden="false" customHeight="false" outlineLevel="0" collapsed="false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customFormat="false" ht="15.75" hidden="false" customHeight="false" outlineLevel="0" collapsed="false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customFormat="false" ht="15.75" hidden="false" customHeight="false" outlineLevel="0" collapsed="false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customFormat="false" ht="15.75" hidden="false" customHeight="false" outlineLevel="0" collapsed="false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customFormat="false" ht="15.75" hidden="false" customHeight="false" outlineLevel="0" collapsed="false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customFormat="false" ht="15.75" hidden="false" customHeight="false" outlineLevel="0" collapsed="false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customFormat="false" ht="15.75" hidden="false" customHeight="false" outlineLevel="0" collapsed="false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customFormat="false" ht="15.75" hidden="false" customHeight="false" outlineLevel="0" collapsed="false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customFormat="false" ht="15.75" hidden="false" customHeight="false" outlineLevel="0" collapsed="false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customFormat="false" ht="15.75" hidden="false" customHeight="false" outlineLevel="0" collapsed="false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customFormat="false" ht="15.75" hidden="false" customHeight="false" outlineLevel="0" collapsed="false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customFormat="false" ht="15.75" hidden="false" customHeight="false" outlineLevel="0" collapsed="false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customFormat="false" ht="15.75" hidden="false" customHeight="false" outlineLevel="0" collapsed="false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customFormat="false" ht="15.75" hidden="false" customHeight="false" outlineLevel="0" collapsed="false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customFormat="false" ht="15.75" hidden="false" customHeight="false" outlineLevel="0" collapsed="false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customFormat="false" ht="15.75" hidden="false" customHeight="false" outlineLevel="0" collapsed="false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customFormat="false" ht="15.75" hidden="false" customHeight="false" outlineLevel="0" collapsed="false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customFormat="false" ht="15.75" hidden="false" customHeight="false" outlineLevel="0" collapsed="false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customFormat="false" ht="15.75" hidden="false" customHeight="false" outlineLevel="0" collapsed="false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customFormat="false" ht="15.75" hidden="false" customHeight="false" outlineLevel="0" collapsed="false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customFormat="false" ht="15.75" hidden="false" customHeight="false" outlineLevel="0" collapsed="false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customFormat="false" ht="15.75" hidden="false" customHeight="false" outlineLevel="0" collapsed="false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customFormat="false" ht="15.75" hidden="false" customHeight="false" outlineLevel="0" collapsed="false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customFormat="false" ht="15.75" hidden="false" customHeight="false" outlineLevel="0" collapsed="false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customFormat="false" ht="15.75" hidden="false" customHeight="false" outlineLevel="0" collapsed="false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customFormat="false" ht="15.75" hidden="false" customHeight="false" outlineLevel="0" collapsed="false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customFormat="false" ht="15.75" hidden="false" customHeight="false" outlineLevel="0" collapsed="false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customFormat="false" ht="15.75" hidden="false" customHeight="false" outlineLevel="0" collapsed="false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customFormat="false" ht="15.75" hidden="false" customHeight="false" outlineLevel="0" collapsed="false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customFormat="false" ht="15.75" hidden="false" customHeight="false" outlineLevel="0" collapsed="false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customFormat="false" ht="15.75" hidden="false" customHeight="false" outlineLevel="0" collapsed="false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customFormat="false" ht="15.75" hidden="false" customHeight="false" outlineLevel="0" collapsed="false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customFormat="false" ht="15.75" hidden="false" customHeight="false" outlineLevel="0" collapsed="false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customFormat="false" ht="15.75" hidden="false" customHeight="false" outlineLevel="0" collapsed="false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customFormat="false" ht="15.75" hidden="false" customHeight="false" outlineLevel="0" collapsed="false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customFormat="false" ht="15.75" hidden="false" customHeight="false" outlineLevel="0" collapsed="false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customFormat="false" ht="15.75" hidden="false" customHeight="false" outlineLevel="0" collapsed="false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customFormat="false" ht="15.75" hidden="false" customHeight="false" outlineLevel="0" collapsed="false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customFormat="false" ht="15.75" hidden="false" customHeight="false" outlineLevel="0" collapsed="false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customFormat="false" ht="15.75" hidden="false" customHeight="false" outlineLevel="0" collapsed="false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customFormat="false" ht="15.75" hidden="false" customHeight="false" outlineLevel="0" collapsed="false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customFormat="false" ht="15.75" hidden="false" customHeight="false" outlineLevel="0" collapsed="false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customFormat="false" ht="15.75" hidden="false" customHeight="false" outlineLevel="0" collapsed="false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customFormat="false" ht="15.75" hidden="false" customHeight="false" outlineLevel="0" collapsed="false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customFormat="false" ht="15.75" hidden="false" customHeight="false" outlineLevel="0" collapsed="false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customFormat="false" ht="15.75" hidden="false" customHeight="false" outlineLevel="0" collapsed="false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customFormat="false" ht="15.75" hidden="false" customHeight="false" outlineLevel="0" collapsed="false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customFormat="false" ht="15.75" hidden="false" customHeight="false" outlineLevel="0" collapsed="false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customFormat="false" ht="15.75" hidden="false" customHeight="false" outlineLevel="0" collapsed="false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customFormat="false" ht="15.75" hidden="false" customHeight="false" outlineLevel="0" collapsed="false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customFormat="false" ht="15.75" hidden="false" customHeight="false" outlineLevel="0" collapsed="false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customFormat="false" ht="15.75" hidden="false" customHeight="false" outlineLevel="0" collapsed="false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customFormat="false" ht="15.75" hidden="false" customHeight="false" outlineLevel="0" collapsed="false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customFormat="false" ht="15.75" hidden="false" customHeight="false" outlineLevel="0" collapsed="false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customFormat="false" ht="15.75" hidden="false" customHeight="false" outlineLevel="0" collapsed="false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customFormat="false" ht="15.75" hidden="false" customHeight="false" outlineLevel="0" collapsed="false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customFormat="false" ht="15.75" hidden="false" customHeight="false" outlineLevel="0" collapsed="false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customFormat="false" ht="15.75" hidden="false" customHeight="false" outlineLevel="0" collapsed="false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customFormat="false" ht="15.75" hidden="false" customHeight="false" outlineLevel="0" collapsed="false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customFormat="false" ht="15.75" hidden="false" customHeight="false" outlineLevel="0" collapsed="false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customFormat="false" ht="15.75" hidden="false" customHeight="false" outlineLevel="0" collapsed="false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customFormat="false" ht="15.75" hidden="false" customHeight="false" outlineLevel="0" collapsed="false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customFormat="false" ht="15.75" hidden="false" customHeight="false" outlineLevel="0" collapsed="false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customFormat="false" ht="15.75" hidden="false" customHeight="false" outlineLevel="0" collapsed="false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customFormat="false" ht="15.75" hidden="false" customHeight="false" outlineLevel="0" collapsed="false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customFormat="false" ht="15.75" hidden="false" customHeight="false" outlineLevel="0" collapsed="false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customFormat="false" ht="15.75" hidden="false" customHeight="false" outlineLevel="0" collapsed="false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customFormat="false" ht="15.75" hidden="false" customHeight="false" outlineLevel="0" collapsed="false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customFormat="false" ht="15.75" hidden="false" customHeight="false" outlineLevel="0" collapsed="false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customFormat="false" ht="15.75" hidden="false" customHeight="false" outlineLevel="0" collapsed="false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customFormat="false" ht="15.75" hidden="false" customHeight="false" outlineLevel="0" collapsed="false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customFormat="false" ht="15.75" hidden="false" customHeight="false" outlineLevel="0" collapsed="false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customFormat="false" ht="15.75" hidden="false" customHeight="false" outlineLevel="0" collapsed="false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customFormat="false" ht="15.75" hidden="false" customHeight="false" outlineLevel="0" collapsed="false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customFormat="false" ht="15.75" hidden="false" customHeight="false" outlineLevel="0" collapsed="false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customFormat="false" ht="15.75" hidden="false" customHeight="false" outlineLevel="0" collapsed="false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customFormat="false" ht="15.75" hidden="false" customHeight="false" outlineLevel="0" collapsed="false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customFormat="false" ht="15.75" hidden="false" customHeight="false" outlineLevel="0" collapsed="false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customFormat="false" ht="15.75" hidden="false" customHeight="false" outlineLevel="0" collapsed="false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customFormat="false" ht="15.75" hidden="false" customHeight="false" outlineLevel="0" collapsed="false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customFormat="false" ht="15.75" hidden="false" customHeight="false" outlineLevel="0" collapsed="false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customFormat="false" ht="15.75" hidden="false" customHeight="false" outlineLevel="0" collapsed="false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customFormat="false" ht="15.75" hidden="false" customHeight="false" outlineLevel="0" collapsed="false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customFormat="false" ht="15.75" hidden="false" customHeight="false" outlineLevel="0" collapsed="false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customFormat="false" ht="15.75" hidden="false" customHeight="false" outlineLevel="0" collapsed="false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customFormat="false" ht="15.75" hidden="false" customHeight="false" outlineLevel="0" collapsed="false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customFormat="false" ht="15.75" hidden="false" customHeight="false" outlineLevel="0" collapsed="false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customFormat="false" ht="15.75" hidden="false" customHeight="false" outlineLevel="0" collapsed="false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customFormat="false" ht="15.75" hidden="false" customHeight="false" outlineLevel="0" collapsed="false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customFormat="false" ht="15.75" hidden="false" customHeight="false" outlineLevel="0" collapsed="false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customFormat="false" ht="15.75" hidden="false" customHeight="false" outlineLevel="0" collapsed="false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customFormat="false" ht="15.75" hidden="false" customHeight="false" outlineLevel="0" collapsed="false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customFormat="false" ht="15.75" hidden="false" customHeight="false" outlineLevel="0" collapsed="false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customFormat="false" ht="15.75" hidden="false" customHeight="false" outlineLevel="0" collapsed="false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customFormat="false" ht="15.75" hidden="false" customHeight="false" outlineLevel="0" collapsed="false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customFormat="false" ht="15.75" hidden="false" customHeight="false" outlineLevel="0" collapsed="false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customFormat="false" ht="15.75" hidden="false" customHeight="false" outlineLevel="0" collapsed="false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customFormat="false" ht="15.75" hidden="false" customHeight="false" outlineLevel="0" collapsed="false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customFormat="false" ht="15.75" hidden="false" customHeight="false" outlineLevel="0" collapsed="false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customFormat="false" ht="15.75" hidden="false" customHeight="false" outlineLevel="0" collapsed="false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customFormat="false" ht="15.75" hidden="false" customHeight="false" outlineLevel="0" collapsed="false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customFormat="false" ht="15.75" hidden="false" customHeight="false" outlineLevel="0" collapsed="false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customFormat="false" ht="15.75" hidden="false" customHeight="false" outlineLevel="0" collapsed="false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customFormat="false" ht="15.75" hidden="false" customHeight="false" outlineLevel="0" collapsed="false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customFormat="false" ht="15.75" hidden="false" customHeight="false" outlineLevel="0" collapsed="false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customFormat="false" ht="15.75" hidden="false" customHeight="false" outlineLevel="0" collapsed="false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customFormat="false" ht="15.75" hidden="false" customHeight="false" outlineLevel="0" collapsed="false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customFormat="false" ht="15.75" hidden="false" customHeight="false" outlineLevel="0" collapsed="false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customFormat="false" ht="15.75" hidden="false" customHeight="false" outlineLevel="0" collapsed="false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customFormat="false" ht="15.75" hidden="false" customHeight="false" outlineLevel="0" collapsed="false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customFormat="false" ht="15.75" hidden="false" customHeight="false" outlineLevel="0" collapsed="false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customFormat="false" ht="15.75" hidden="false" customHeight="false" outlineLevel="0" collapsed="false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customFormat="false" ht="15.75" hidden="false" customHeight="false" outlineLevel="0" collapsed="false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customFormat="false" ht="15.75" hidden="false" customHeight="false" outlineLevel="0" collapsed="false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customFormat="false" ht="15.75" hidden="false" customHeight="false" outlineLevel="0" collapsed="false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customFormat="false" ht="15.75" hidden="false" customHeight="false" outlineLevel="0" collapsed="false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customFormat="false" ht="15.75" hidden="false" customHeight="false" outlineLevel="0" collapsed="false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customFormat="false" ht="15.75" hidden="false" customHeight="false" outlineLevel="0" collapsed="false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customFormat="false" ht="15.75" hidden="false" customHeight="false" outlineLevel="0" collapsed="false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customFormat="false" ht="15.75" hidden="false" customHeight="false" outlineLevel="0" collapsed="false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customFormat="false" ht="15.75" hidden="false" customHeight="false" outlineLevel="0" collapsed="false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customFormat="false" ht="15.75" hidden="false" customHeight="false" outlineLevel="0" collapsed="false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customFormat="false" ht="15.75" hidden="false" customHeight="false" outlineLevel="0" collapsed="false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customFormat="false" ht="15.75" hidden="false" customHeight="false" outlineLevel="0" collapsed="false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customFormat="false" ht="15.75" hidden="false" customHeight="false" outlineLevel="0" collapsed="false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customFormat="false" ht="15.75" hidden="false" customHeight="false" outlineLevel="0" collapsed="false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customFormat="false" ht="15.75" hidden="false" customHeight="false" outlineLevel="0" collapsed="false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customFormat="false" ht="15.75" hidden="false" customHeight="false" outlineLevel="0" collapsed="false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customFormat="false" ht="15.75" hidden="false" customHeight="false" outlineLevel="0" collapsed="false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customFormat="false" ht="15.75" hidden="false" customHeight="false" outlineLevel="0" collapsed="false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customFormat="false" ht="15.75" hidden="false" customHeight="false" outlineLevel="0" collapsed="false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customFormat="false" ht="15.75" hidden="false" customHeight="false" outlineLevel="0" collapsed="false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customFormat="false" ht="15.75" hidden="false" customHeight="false" outlineLevel="0" collapsed="false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customFormat="false" ht="15.75" hidden="false" customHeight="false" outlineLevel="0" collapsed="false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customFormat="false" ht="15.75" hidden="false" customHeight="false" outlineLevel="0" collapsed="false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customFormat="false" ht="15.75" hidden="false" customHeight="false" outlineLevel="0" collapsed="false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customFormat="false" ht="15.75" hidden="false" customHeight="false" outlineLevel="0" collapsed="false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customFormat="false" ht="15.75" hidden="false" customHeight="false" outlineLevel="0" collapsed="false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customFormat="false" ht="15.75" hidden="false" customHeight="false" outlineLevel="0" collapsed="false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customFormat="false" ht="15.75" hidden="false" customHeight="false" outlineLevel="0" collapsed="false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customFormat="false" ht="15.75" hidden="false" customHeight="false" outlineLevel="0" collapsed="false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customFormat="false" ht="15.75" hidden="false" customHeight="false" outlineLevel="0" collapsed="false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customFormat="false" ht="15.75" hidden="false" customHeight="false" outlineLevel="0" collapsed="false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customFormat="false" ht="15.75" hidden="false" customHeight="false" outlineLevel="0" collapsed="false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customFormat="false" ht="15.75" hidden="false" customHeight="false" outlineLevel="0" collapsed="false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customFormat="false" ht="15.75" hidden="false" customHeight="false" outlineLevel="0" collapsed="false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customFormat="false" ht="15.75" hidden="false" customHeight="false" outlineLevel="0" collapsed="false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customFormat="false" ht="15.75" hidden="false" customHeight="false" outlineLevel="0" collapsed="false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customFormat="false" ht="15.75" hidden="false" customHeight="false" outlineLevel="0" collapsed="false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customFormat="false" ht="15.75" hidden="false" customHeight="false" outlineLevel="0" collapsed="false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customFormat="false" ht="15.75" hidden="false" customHeight="false" outlineLevel="0" collapsed="false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customFormat="false" ht="15.75" hidden="false" customHeight="false" outlineLevel="0" collapsed="false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customFormat="false" ht="15.75" hidden="false" customHeight="false" outlineLevel="0" collapsed="false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customFormat="false" ht="15.75" hidden="false" customHeight="false" outlineLevel="0" collapsed="false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customFormat="false" ht="15.75" hidden="false" customHeight="false" outlineLevel="0" collapsed="false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customFormat="false" ht="15.75" hidden="false" customHeight="false" outlineLevel="0" collapsed="false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customFormat="false" ht="15.75" hidden="false" customHeight="false" outlineLevel="0" collapsed="false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customFormat="false" ht="15.75" hidden="false" customHeight="false" outlineLevel="0" collapsed="false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customFormat="false" ht="15.75" hidden="false" customHeight="false" outlineLevel="0" collapsed="false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customFormat="false" ht="15.75" hidden="false" customHeight="false" outlineLevel="0" collapsed="false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customFormat="false" ht="15.75" hidden="false" customHeight="false" outlineLevel="0" collapsed="false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customFormat="false" ht="15.75" hidden="false" customHeight="false" outlineLevel="0" collapsed="false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customFormat="false" ht="15.75" hidden="false" customHeight="false" outlineLevel="0" collapsed="false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customFormat="false" ht="15.75" hidden="false" customHeight="false" outlineLevel="0" collapsed="false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customFormat="false" ht="15.75" hidden="false" customHeight="false" outlineLevel="0" collapsed="false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customFormat="false" ht="15.75" hidden="false" customHeight="false" outlineLevel="0" collapsed="false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customFormat="false" ht="15.75" hidden="false" customHeight="false" outlineLevel="0" collapsed="false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customFormat="false" ht="15.75" hidden="false" customHeight="false" outlineLevel="0" collapsed="false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customFormat="false" ht="15.75" hidden="false" customHeight="false" outlineLevel="0" collapsed="false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customFormat="false" ht="15.75" hidden="false" customHeight="false" outlineLevel="0" collapsed="false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customFormat="false" ht="15.75" hidden="false" customHeight="false" outlineLevel="0" collapsed="false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customFormat="false" ht="15.75" hidden="false" customHeight="false" outlineLevel="0" collapsed="false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customFormat="false" ht="15.75" hidden="false" customHeight="false" outlineLevel="0" collapsed="false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customFormat="false" ht="15.75" hidden="false" customHeight="false" outlineLevel="0" collapsed="false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customFormat="false" ht="15.75" hidden="false" customHeight="false" outlineLevel="0" collapsed="false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customFormat="false" ht="15.75" hidden="false" customHeight="false" outlineLevel="0" collapsed="false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customFormat="false" ht="15.75" hidden="false" customHeight="false" outlineLevel="0" collapsed="false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customFormat="false" ht="15.75" hidden="false" customHeight="false" outlineLevel="0" collapsed="false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customFormat="false" ht="15.75" hidden="false" customHeight="false" outlineLevel="0" collapsed="false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customFormat="false" ht="15.75" hidden="false" customHeight="false" outlineLevel="0" collapsed="false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customFormat="false" ht="15.75" hidden="false" customHeight="false" outlineLevel="0" collapsed="false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customFormat="false" ht="15.75" hidden="false" customHeight="false" outlineLevel="0" collapsed="false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customFormat="false" ht="15.75" hidden="false" customHeight="false" outlineLevel="0" collapsed="false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customFormat="false" ht="15.75" hidden="false" customHeight="false" outlineLevel="0" collapsed="false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customFormat="false" ht="15.75" hidden="false" customHeight="false" outlineLevel="0" collapsed="false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customFormat="false" ht="15.75" hidden="false" customHeight="false" outlineLevel="0" collapsed="false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customFormat="false" ht="15.75" hidden="false" customHeight="false" outlineLevel="0" collapsed="false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customFormat="false" ht="15.75" hidden="false" customHeight="false" outlineLevel="0" collapsed="false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customFormat="false" ht="15.75" hidden="false" customHeight="false" outlineLevel="0" collapsed="false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customFormat="false" ht="15.75" hidden="false" customHeight="false" outlineLevel="0" collapsed="false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customFormat="false" ht="15.75" hidden="false" customHeight="false" outlineLevel="0" collapsed="false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customFormat="false" ht="15.75" hidden="false" customHeight="false" outlineLevel="0" collapsed="false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customFormat="false" ht="15.75" hidden="false" customHeight="false" outlineLevel="0" collapsed="false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customFormat="false" ht="15.75" hidden="false" customHeight="false" outlineLevel="0" collapsed="false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customFormat="false" ht="15.75" hidden="false" customHeight="false" outlineLevel="0" collapsed="false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customFormat="false" ht="15.75" hidden="false" customHeight="false" outlineLevel="0" collapsed="false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customFormat="false" ht="15.75" hidden="false" customHeight="false" outlineLevel="0" collapsed="false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customFormat="false" ht="15.75" hidden="false" customHeight="false" outlineLevel="0" collapsed="false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customFormat="false" ht="15.75" hidden="false" customHeight="false" outlineLevel="0" collapsed="false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customFormat="false" ht="15.75" hidden="false" customHeight="false" outlineLevel="0" collapsed="false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customFormat="false" ht="15.75" hidden="false" customHeight="false" outlineLevel="0" collapsed="false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customFormat="false" ht="15.75" hidden="false" customHeight="false" outlineLevel="0" collapsed="false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customFormat="false" ht="15.75" hidden="false" customHeight="false" outlineLevel="0" collapsed="false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customFormat="false" ht="15.75" hidden="false" customHeight="false" outlineLevel="0" collapsed="false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customFormat="false" ht="15.75" hidden="false" customHeight="false" outlineLevel="0" collapsed="false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customFormat="false" ht="15.75" hidden="false" customHeight="false" outlineLevel="0" collapsed="false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customFormat="false" ht="15.75" hidden="false" customHeight="false" outlineLevel="0" collapsed="false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customFormat="false" ht="15.75" hidden="false" customHeight="false" outlineLevel="0" collapsed="false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customFormat="false" ht="15.75" hidden="false" customHeight="false" outlineLevel="0" collapsed="false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customFormat="false" ht="15.75" hidden="false" customHeight="false" outlineLevel="0" collapsed="false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customFormat="false" ht="15.75" hidden="false" customHeight="false" outlineLevel="0" collapsed="false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customFormat="false" ht="15.75" hidden="false" customHeight="false" outlineLevel="0" collapsed="false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customFormat="false" ht="15.75" hidden="false" customHeight="false" outlineLevel="0" collapsed="false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customFormat="false" ht="15.75" hidden="false" customHeight="false" outlineLevel="0" collapsed="false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customFormat="false" ht="15.75" hidden="false" customHeight="false" outlineLevel="0" collapsed="false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customFormat="false" ht="15.75" hidden="false" customHeight="false" outlineLevel="0" collapsed="false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customFormat="false" ht="15.75" hidden="false" customHeight="false" outlineLevel="0" collapsed="false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customFormat="false" ht="15.75" hidden="false" customHeight="false" outlineLevel="0" collapsed="false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customFormat="false" ht="15.75" hidden="false" customHeight="false" outlineLevel="0" collapsed="false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customFormat="false" ht="15.75" hidden="false" customHeight="false" outlineLevel="0" collapsed="false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customFormat="false" ht="15.75" hidden="false" customHeight="false" outlineLevel="0" collapsed="false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customFormat="false" ht="15.75" hidden="false" customHeight="false" outlineLevel="0" collapsed="false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customFormat="false" ht="15.75" hidden="false" customHeight="false" outlineLevel="0" collapsed="false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customFormat="false" ht="15.75" hidden="false" customHeight="false" outlineLevel="0" collapsed="false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customFormat="false" ht="15.75" hidden="false" customHeight="false" outlineLevel="0" collapsed="false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customFormat="false" ht="15.75" hidden="false" customHeight="false" outlineLevel="0" collapsed="false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customFormat="false" ht="15.75" hidden="false" customHeight="false" outlineLevel="0" collapsed="false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customFormat="false" ht="15.75" hidden="false" customHeight="false" outlineLevel="0" collapsed="false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customFormat="false" ht="15.75" hidden="false" customHeight="false" outlineLevel="0" collapsed="false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customFormat="false" ht="15.75" hidden="false" customHeight="false" outlineLevel="0" collapsed="false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customFormat="false" ht="15.75" hidden="false" customHeight="false" outlineLevel="0" collapsed="false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customFormat="false" ht="15.75" hidden="false" customHeight="false" outlineLevel="0" collapsed="false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customFormat="false" ht="15.75" hidden="false" customHeight="false" outlineLevel="0" collapsed="false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customFormat="false" ht="15.75" hidden="false" customHeight="false" outlineLevel="0" collapsed="false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customFormat="false" ht="15.75" hidden="false" customHeight="false" outlineLevel="0" collapsed="false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customFormat="false" ht="15.75" hidden="false" customHeight="false" outlineLevel="0" collapsed="false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customFormat="false" ht="15.75" hidden="false" customHeight="false" outlineLevel="0" collapsed="false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customFormat="false" ht="15.75" hidden="false" customHeight="false" outlineLevel="0" collapsed="false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customFormat="false" ht="15.75" hidden="false" customHeight="false" outlineLevel="0" collapsed="false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customFormat="false" ht="15.75" hidden="false" customHeight="false" outlineLevel="0" collapsed="false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customFormat="false" ht="15.75" hidden="false" customHeight="false" outlineLevel="0" collapsed="false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customFormat="false" ht="15.75" hidden="false" customHeight="false" outlineLevel="0" collapsed="false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customFormat="false" ht="15.75" hidden="false" customHeight="false" outlineLevel="0" collapsed="false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customFormat="false" ht="15.75" hidden="false" customHeight="false" outlineLevel="0" collapsed="false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customFormat="false" ht="15.75" hidden="false" customHeight="false" outlineLevel="0" collapsed="false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customFormat="false" ht="15.75" hidden="false" customHeight="false" outlineLevel="0" collapsed="false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customFormat="false" ht="15.75" hidden="false" customHeight="false" outlineLevel="0" collapsed="false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customFormat="false" ht="15.75" hidden="false" customHeight="false" outlineLevel="0" collapsed="false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customFormat="false" ht="15.75" hidden="false" customHeight="false" outlineLevel="0" collapsed="false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customFormat="false" ht="15.75" hidden="false" customHeight="false" outlineLevel="0" collapsed="false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customFormat="false" ht="15.75" hidden="false" customHeight="false" outlineLevel="0" collapsed="false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customFormat="false" ht="15.75" hidden="false" customHeight="false" outlineLevel="0" collapsed="false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customFormat="false" ht="15.75" hidden="false" customHeight="false" outlineLevel="0" collapsed="false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customFormat="false" ht="15.75" hidden="false" customHeight="false" outlineLevel="0" collapsed="false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customFormat="false" ht="15.75" hidden="false" customHeight="false" outlineLevel="0" collapsed="false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customFormat="false" ht="15.75" hidden="false" customHeight="false" outlineLevel="0" collapsed="false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customFormat="false" ht="15.75" hidden="false" customHeight="false" outlineLevel="0" collapsed="false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customFormat="false" ht="15.75" hidden="false" customHeight="false" outlineLevel="0" collapsed="false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customFormat="false" ht="15.75" hidden="false" customHeight="false" outlineLevel="0" collapsed="false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customFormat="false" ht="15.75" hidden="false" customHeight="false" outlineLevel="0" collapsed="false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customFormat="false" ht="15.75" hidden="false" customHeight="false" outlineLevel="0" collapsed="false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customFormat="false" ht="15.75" hidden="false" customHeight="false" outlineLevel="0" collapsed="false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customFormat="false" ht="15.75" hidden="false" customHeight="false" outlineLevel="0" collapsed="false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customFormat="false" ht="15.75" hidden="false" customHeight="false" outlineLevel="0" collapsed="false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customFormat="false" ht="15.75" hidden="false" customHeight="false" outlineLevel="0" collapsed="false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customFormat="false" ht="15.75" hidden="false" customHeight="false" outlineLevel="0" collapsed="false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customFormat="false" ht="15.75" hidden="false" customHeight="false" outlineLevel="0" collapsed="false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customFormat="false" ht="15.75" hidden="false" customHeight="false" outlineLevel="0" collapsed="false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customFormat="false" ht="15.75" hidden="false" customHeight="false" outlineLevel="0" collapsed="false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customFormat="false" ht="15.75" hidden="false" customHeight="false" outlineLevel="0" collapsed="false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customFormat="false" ht="15.75" hidden="false" customHeight="false" outlineLevel="0" collapsed="false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customFormat="false" ht="15.75" hidden="false" customHeight="false" outlineLevel="0" collapsed="false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customFormat="false" ht="15.75" hidden="false" customHeight="false" outlineLevel="0" collapsed="false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customFormat="false" ht="15.75" hidden="false" customHeight="false" outlineLevel="0" collapsed="false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customFormat="false" ht="15.75" hidden="false" customHeight="false" outlineLevel="0" collapsed="false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customFormat="false" ht="15.75" hidden="false" customHeight="false" outlineLevel="0" collapsed="false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customFormat="false" ht="15.75" hidden="false" customHeight="false" outlineLevel="0" collapsed="false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customFormat="false" ht="15.75" hidden="false" customHeight="false" outlineLevel="0" collapsed="false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customFormat="false" ht="15.75" hidden="false" customHeight="false" outlineLevel="0" collapsed="false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customFormat="false" ht="15.75" hidden="false" customHeight="false" outlineLevel="0" collapsed="false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customFormat="false" ht="15.75" hidden="false" customHeight="false" outlineLevel="0" collapsed="false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customFormat="false" ht="15.75" hidden="false" customHeight="false" outlineLevel="0" collapsed="false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customFormat="false" ht="15.75" hidden="false" customHeight="false" outlineLevel="0" collapsed="false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customFormat="false" ht="15.75" hidden="false" customHeight="false" outlineLevel="0" collapsed="false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customFormat="false" ht="15.75" hidden="false" customHeight="false" outlineLevel="0" collapsed="false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customFormat="false" ht="15.75" hidden="false" customHeight="false" outlineLevel="0" collapsed="false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customFormat="false" ht="15.75" hidden="false" customHeight="false" outlineLevel="0" collapsed="false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customFormat="false" ht="15.75" hidden="false" customHeight="false" outlineLevel="0" collapsed="false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customFormat="false" ht="15.75" hidden="false" customHeight="false" outlineLevel="0" collapsed="false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customFormat="false" ht="15.75" hidden="false" customHeight="false" outlineLevel="0" collapsed="false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customFormat="false" ht="15.75" hidden="false" customHeight="false" outlineLevel="0" collapsed="false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customFormat="false" ht="15.75" hidden="false" customHeight="false" outlineLevel="0" collapsed="false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customFormat="false" ht="15.75" hidden="false" customHeight="false" outlineLevel="0" collapsed="false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customFormat="false" ht="15.75" hidden="false" customHeight="false" outlineLevel="0" collapsed="false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customFormat="false" ht="15.75" hidden="false" customHeight="false" outlineLevel="0" collapsed="false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customFormat="false" ht="15.75" hidden="false" customHeight="false" outlineLevel="0" collapsed="false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customFormat="false" ht="15.75" hidden="false" customHeight="false" outlineLevel="0" collapsed="false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customFormat="false" ht="15.75" hidden="false" customHeight="false" outlineLevel="0" collapsed="false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customFormat="false" ht="15.75" hidden="false" customHeight="false" outlineLevel="0" collapsed="false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customFormat="false" ht="15.75" hidden="false" customHeight="false" outlineLevel="0" collapsed="false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customFormat="false" ht="15.75" hidden="false" customHeight="false" outlineLevel="0" collapsed="false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customFormat="false" ht="15.75" hidden="false" customHeight="false" outlineLevel="0" collapsed="false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customFormat="false" ht="15.75" hidden="false" customHeight="false" outlineLevel="0" collapsed="false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customFormat="false" ht="15.75" hidden="false" customHeight="false" outlineLevel="0" collapsed="false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customFormat="false" ht="15.75" hidden="false" customHeight="false" outlineLevel="0" collapsed="false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customFormat="false" ht="15.75" hidden="false" customHeight="false" outlineLevel="0" collapsed="false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customFormat="false" ht="15.75" hidden="false" customHeight="false" outlineLevel="0" collapsed="false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customFormat="false" ht="15.75" hidden="false" customHeight="false" outlineLevel="0" collapsed="false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customFormat="false" ht="15.75" hidden="false" customHeight="false" outlineLevel="0" collapsed="false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customFormat="false" ht="15.75" hidden="false" customHeight="false" outlineLevel="0" collapsed="false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customFormat="false" ht="15.75" hidden="false" customHeight="false" outlineLevel="0" collapsed="false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customFormat="false" ht="15.75" hidden="false" customHeight="false" outlineLevel="0" collapsed="false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customFormat="false" ht="15.75" hidden="false" customHeight="false" outlineLevel="0" collapsed="false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customFormat="false" ht="15.75" hidden="false" customHeight="false" outlineLevel="0" collapsed="false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customFormat="false" ht="15.75" hidden="false" customHeight="false" outlineLevel="0" collapsed="false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customFormat="false" ht="15.75" hidden="false" customHeight="false" outlineLevel="0" collapsed="false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customFormat="false" ht="15.75" hidden="false" customHeight="false" outlineLevel="0" collapsed="false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customFormat="false" ht="15.75" hidden="false" customHeight="false" outlineLevel="0" collapsed="false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customFormat="false" ht="15.75" hidden="false" customHeight="false" outlineLevel="0" collapsed="false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customFormat="false" ht="15.75" hidden="false" customHeight="false" outlineLevel="0" collapsed="false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customFormat="false" ht="15.75" hidden="false" customHeight="false" outlineLevel="0" collapsed="false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customFormat="false" ht="15.75" hidden="false" customHeight="false" outlineLevel="0" collapsed="false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customFormat="false" ht="15.75" hidden="false" customHeight="false" outlineLevel="0" collapsed="false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customFormat="false" ht="15.75" hidden="false" customHeight="false" outlineLevel="0" collapsed="false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customFormat="false" ht="15.75" hidden="false" customHeight="false" outlineLevel="0" collapsed="false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customFormat="false" ht="15.75" hidden="false" customHeight="false" outlineLevel="0" collapsed="false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customFormat="false" ht="15.75" hidden="false" customHeight="false" outlineLevel="0" collapsed="false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customFormat="false" ht="15.75" hidden="false" customHeight="false" outlineLevel="0" collapsed="false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customFormat="false" ht="15.75" hidden="false" customHeight="false" outlineLevel="0" collapsed="false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customFormat="false" ht="15.75" hidden="false" customHeight="false" outlineLevel="0" collapsed="false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customFormat="false" ht="15.75" hidden="false" customHeight="false" outlineLevel="0" collapsed="false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customFormat="false" ht="15.75" hidden="false" customHeight="false" outlineLevel="0" collapsed="false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customFormat="false" ht="15.75" hidden="false" customHeight="false" outlineLevel="0" collapsed="false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customFormat="false" ht="15.75" hidden="false" customHeight="false" outlineLevel="0" collapsed="false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customFormat="false" ht="15.75" hidden="false" customHeight="false" outlineLevel="0" collapsed="false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customFormat="false" ht="15.75" hidden="false" customHeight="false" outlineLevel="0" collapsed="false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customFormat="false" ht="15.75" hidden="false" customHeight="false" outlineLevel="0" collapsed="false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customFormat="false" ht="15.75" hidden="false" customHeight="false" outlineLevel="0" collapsed="false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customFormat="false" ht="15.75" hidden="false" customHeight="false" outlineLevel="0" collapsed="false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customFormat="false" ht="15.75" hidden="false" customHeight="false" outlineLevel="0" collapsed="false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customFormat="false" ht="15.75" hidden="false" customHeight="false" outlineLevel="0" collapsed="false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customFormat="false" ht="15.75" hidden="false" customHeight="false" outlineLevel="0" collapsed="false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customFormat="false" ht="15.75" hidden="false" customHeight="false" outlineLevel="0" collapsed="false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customFormat="false" ht="15.75" hidden="false" customHeight="false" outlineLevel="0" collapsed="false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customFormat="false" ht="15.75" hidden="false" customHeight="false" outlineLevel="0" collapsed="false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customFormat="false" ht="15.75" hidden="false" customHeight="false" outlineLevel="0" collapsed="false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customFormat="false" ht="15.75" hidden="false" customHeight="false" outlineLevel="0" collapsed="false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customFormat="false" ht="15.75" hidden="false" customHeight="false" outlineLevel="0" collapsed="false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customFormat="false" ht="15.75" hidden="false" customHeight="false" outlineLevel="0" collapsed="false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customFormat="false" ht="15.75" hidden="false" customHeight="false" outlineLevel="0" collapsed="false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customFormat="false" ht="15.75" hidden="false" customHeight="false" outlineLevel="0" collapsed="false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customFormat="false" ht="15.75" hidden="false" customHeight="false" outlineLevel="0" collapsed="false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customFormat="false" ht="15.75" hidden="false" customHeight="false" outlineLevel="0" collapsed="false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 customFormat="false" ht="15.75" hidden="false" customHeight="false" outlineLevel="0" collapsed="false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 customFormat="false" ht="15.75" hidden="false" customHeight="false" outlineLevel="0" collapsed="false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 customFormat="false" ht="15.75" hidden="false" customHeight="false" outlineLevel="0" collapsed="false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 customFormat="false" ht="15.75" hidden="false" customHeight="false" outlineLevel="0" collapsed="false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 customFormat="false" ht="15.75" hidden="false" customHeight="false" outlineLevel="0" collapsed="false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 customFormat="false" ht="15.75" hidden="false" customHeight="false" outlineLevel="0" collapsed="false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 customFormat="false" ht="15.75" hidden="false" customHeight="false" outlineLevel="0" collapsed="false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 customFormat="false" ht="15.75" hidden="false" customHeight="false" outlineLevel="0" collapsed="false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 customFormat="false" ht="15.75" hidden="false" customHeight="false" outlineLevel="0" collapsed="false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 customFormat="false" ht="15.75" hidden="false" customHeight="false" outlineLevel="0" collapsed="false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 customFormat="false" ht="15.75" hidden="false" customHeight="false" outlineLevel="0" collapsed="false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 customFormat="false" ht="15.75" hidden="false" customHeight="false" outlineLevel="0" collapsed="false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 customFormat="false" ht="15.75" hidden="false" customHeight="false" outlineLevel="0" collapsed="false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 customFormat="false" ht="15.75" hidden="false" customHeight="false" outlineLevel="0" collapsed="false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 customFormat="false" ht="15.75" hidden="false" customHeight="false" outlineLevel="0" collapsed="false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 customFormat="false" ht="15.75" hidden="false" customHeight="false" outlineLevel="0" collapsed="false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 customFormat="false" ht="15.75" hidden="false" customHeight="false" outlineLevel="0" collapsed="false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 customFormat="false" ht="15.75" hidden="false" customHeight="false" outlineLevel="0" collapsed="false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 customFormat="false" ht="15.75" hidden="false" customHeight="false" outlineLevel="0" collapsed="false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 customFormat="false" ht="15.75" hidden="false" customHeight="false" outlineLevel="0" collapsed="false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 customFormat="false" ht="15.75" hidden="false" customHeight="false" outlineLevel="0" collapsed="false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 customFormat="false" ht="15.75" hidden="false" customHeight="false" outlineLevel="0" collapsed="false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 customFormat="false" ht="15.75" hidden="false" customHeight="false" outlineLevel="0" collapsed="false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 customFormat="false" ht="15.75" hidden="false" customHeight="false" outlineLevel="0" collapsed="false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46" t="s">
        <v>54</v>
      </c>
      <c r="B1" s="146" t="s">
        <v>53</v>
      </c>
      <c r="C1" s="146" t="s">
        <v>56</v>
      </c>
      <c r="D1" s="146" t="s">
        <v>50</v>
      </c>
      <c r="E1" s="146" t="s">
        <v>65</v>
      </c>
      <c r="F1" s="146" t="s">
        <v>55</v>
      </c>
      <c r="G1" s="146" t="s">
        <v>57</v>
      </c>
      <c r="H1" s="146" t="s">
        <v>52</v>
      </c>
      <c r="I1" s="146" t="s">
        <v>51</v>
      </c>
    </row>
    <row r="2" customFormat="false" ht="15.75" hidden="false" customHeight="false" outlineLevel="0" collapsed="false">
      <c r="A2" s="146" t="str">
        <f aca="false">Scoring!DC9</f>
        <v/>
      </c>
      <c r="B2" s="146" t="str">
        <f aca="false">Scoring!DB9</f>
        <v/>
      </c>
      <c r="C2" s="146" t="n">
        <f aca="false">Scoring!C9</f>
        <v>0</v>
      </c>
      <c r="D2" s="147" t="str">
        <f aca="false">Scoring!CY9</f>
        <v/>
      </c>
      <c r="E2" s="146" t="str">
        <f aca="false">Scoring!BH9</f>
        <v/>
      </c>
      <c r="F2" s="146" t="n">
        <f aca="false">Scoring!B9</f>
        <v>0</v>
      </c>
      <c r="G2" s="146" t="n">
        <f aca="false">Scoring!D9</f>
        <v>0</v>
      </c>
      <c r="H2" s="146" t="str">
        <f aca="false">Scoring!DA9</f>
        <v/>
      </c>
      <c r="I2" s="148" t="str">
        <f aca="false">Scoring!CZ9</f>
        <v/>
      </c>
    </row>
    <row r="3" customFormat="false" ht="15.75" hidden="false" customHeight="false" outlineLevel="0" collapsed="false">
      <c r="A3" s="146" t="str">
        <f aca="false">Scoring!DC10</f>
        <v/>
      </c>
      <c r="B3" s="146" t="str">
        <f aca="false">Scoring!DB10</f>
        <v/>
      </c>
      <c r="C3" s="146" t="n">
        <f aca="false">Scoring!C10</f>
        <v>0</v>
      </c>
      <c r="D3" s="147" t="str">
        <f aca="false">Scoring!CY10</f>
        <v/>
      </c>
      <c r="E3" s="146" t="str">
        <f aca="false">Scoring!BH10</f>
        <v/>
      </c>
      <c r="F3" s="146" t="n">
        <f aca="false">Scoring!B10</f>
        <v>0</v>
      </c>
      <c r="G3" s="146" t="n">
        <f aca="false">Scoring!D10</f>
        <v>0</v>
      </c>
      <c r="H3" s="146" t="str">
        <f aca="false">Scoring!DA10</f>
        <v/>
      </c>
      <c r="I3" s="148" t="str">
        <f aca="false">Scoring!CZ10</f>
        <v/>
      </c>
    </row>
    <row r="4" customFormat="false" ht="15.75" hidden="false" customHeight="false" outlineLevel="0" collapsed="false">
      <c r="A4" s="146" t="str">
        <f aca="false">Scoring!DC11</f>
        <v/>
      </c>
      <c r="B4" s="146" t="str">
        <f aca="false">Scoring!DB11</f>
        <v/>
      </c>
      <c r="C4" s="146" t="n">
        <f aca="false">Scoring!C11</f>
        <v>0</v>
      </c>
      <c r="D4" s="147" t="str">
        <f aca="false">Scoring!CY11</f>
        <v/>
      </c>
      <c r="E4" s="146" t="str">
        <f aca="false">Scoring!BH11</f>
        <v/>
      </c>
      <c r="F4" s="146" t="n">
        <f aca="false">Scoring!B11</f>
        <v>0</v>
      </c>
      <c r="G4" s="146" t="n">
        <f aca="false">Scoring!D11</f>
        <v>0</v>
      </c>
      <c r="H4" s="146" t="str">
        <f aca="false">Scoring!DA11</f>
        <v/>
      </c>
      <c r="I4" s="148" t="str">
        <f aca="false">Scoring!CZ11</f>
        <v/>
      </c>
    </row>
    <row r="5" customFormat="false" ht="15.75" hidden="false" customHeight="false" outlineLevel="0" collapsed="false">
      <c r="A5" s="146" t="str">
        <f aca="false">Scoring!DC12</f>
        <v/>
      </c>
      <c r="B5" s="146" t="str">
        <f aca="false">Scoring!DB12</f>
        <v/>
      </c>
      <c r="C5" s="146" t="n">
        <f aca="false">Scoring!C12</f>
        <v>0</v>
      </c>
      <c r="D5" s="147" t="str">
        <f aca="false">Scoring!CY12</f>
        <v/>
      </c>
      <c r="E5" s="146" t="str">
        <f aca="false">Scoring!BH12</f>
        <v/>
      </c>
      <c r="F5" s="146" t="n">
        <f aca="false">Scoring!B12</f>
        <v>0</v>
      </c>
      <c r="G5" s="146" t="n">
        <f aca="false">Scoring!D12</f>
        <v>0</v>
      </c>
      <c r="H5" s="146" t="str">
        <f aca="false">Scoring!DA12</f>
        <v/>
      </c>
      <c r="I5" s="148" t="str">
        <f aca="false">Scoring!CZ12</f>
        <v/>
      </c>
    </row>
    <row r="6" customFormat="false" ht="15.75" hidden="false" customHeight="false" outlineLevel="0" collapsed="false">
      <c r="A6" s="146" t="str">
        <f aca="false">Scoring!DC13</f>
        <v/>
      </c>
      <c r="B6" s="146" t="str">
        <f aca="false">Scoring!DB13</f>
        <v/>
      </c>
      <c r="C6" s="146" t="n">
        <f aca="false">Scoring!C13</f>
        <v>0</v>
      </c>
      <c r="D6" s="147" t="str">
        <f aca="false">Scoring!CY13</f>
        <v/>
      </c>
      <c r="E6" s="146" t="str">
        <f aca="false">Scoring!BH13</f>
        <v/>
      </c>
      <c r="F6" s="146" t="n">
        <f aca="false">Scoring!B13</f>
        <v>0</v>
      </c>
      <c r="G6" s="146" t="n">
        <f aca="false">Scoring!D13</f>
        <v>0</v>
      </c>
      <c r="H6" s="146" t="str">
        <f aca="false">Scoring!DA13</f>
        <v/>
      </c>
      <c r="I6" s="148" t="str">
        <f aca="false">Scoring!CZ13</f>
        <v/>
      </c>
    </row>
    <row r="7" customFormat="false" ht="15.75" hidden="false" customHeight="false" outlineLevel="0" collapsed="false">
      <c r="A7" s="146" t="str">
        <f aca="false">Scoring!DC14</f>
        <v/>
      </c>
      <c r="B7" s="146" t="str">
        <f aca="false">Scoring!DB14</f>
        <v/>
      </c>
      <c r="C7" s="146" t="n">
        <f aca="false">Scoring!C14</f>
        <v>0</v>
      </c>
      <c r="D7" s="147" t="str">
        <f aca="false">Scoring!CY14</f>
        <v/>
      </c>
      <c r="E7" s="146" t="str">
        <f aca="false">Scoring!BH14</f>
        <v/>
      </c>
      <c r="F7" s="146" t="n">
        <f aca="false">Scoring!B14</f>
        <v>0</v>
      </c>
      <c r="G7" s="146" t="n">
        <f aca="false">Scoring!D14</f>
        <v>0</v>
      </c>
      <c r="H7" s="146" t="str">
        <f aca="false">Scoring!DA14</f>
        <v/>
      </c>
      <c r="I7" s="148" t="str">
        <f aca="false">Scoring!CZ14</f>
        <v/>
      </c>
    </row>
    <row r="8" customFormat="false" ht="15.75" hidden="false" customHeight="false" outlineLevel="0" collapsed="false">
      <c r="A8" s="146" t="str">
        <f aca="false">Scoring!DC15</f>
        <v/>
      </c>
      <c r="B8" s="146" t="str">
        <f aca="false">Scoring!DB15</f>
        <v/>
      </c>
      <c r="C8" s="146" t="n">
        <f aca="false">Scoring!C15</f>
        <v>0</v>
      </c>
      <c r="D8" s="147" t="str">
        <f aca="false">Scoring!CY15</f>
        <v/>
      </c>
      <c r="E8" s="146" t="str">
        <f aca="false">Scoring!BH15</f>
        <v/>
      </c>
      <c r="F8" s="146" t="n">
        <f aca="false">Scoring!B15</f>
        <v>0</v>
      </c>
      <c r="G8" s="146" t="n">
        <f aca="false">Scoring!D15</f>
        <v>0</v>
      </c>
      <c r="H8" s="146" t="str">
        <f aca="false">Scoring!DA15</f>
        <v/>
      </c>
      <c r="I8" s="148" t="str">
        <f aca="false">Scoring!CZ15</f>
        <v/>
      </c>
    </row>
    <row r="9" customFormat="false" ht="15.75" hidden="false" customHeight="false" outlineLevel="0" collapsed="false">
      <c r="A9" s="146" t="str">
        <f aca="false">Scoring!DC16</f>
        <v/>
      </c>
      <c r="B9" s="146" t="str">
        <f aca="false">Scoring!DB16</f>
        <v/>
      </c>
      <c r="C9" s="146" t="n">
        <f aca="false">Scoring!C16</f>
        <v>0</v>
      </c>
      <c r="D9" s="147" t="str">
        <f aca="false">Scoring!CY16</f>
        <v/>
      </c>
      <c r="E9" s="146" t="str">
        <f aca="false">Scoring!BH16</f>
        <v/>
      </c>
      <c r="F9" s="146" t="n">
        <f aca="false">Scoring!B16</f>
        <v>0</v>
      </c>
      <c r="G9" s="146" t="n">
        <f aca="false">Scoring!D16</f>
        <v>0</v>
      </c>
      <c r="H9" s="146" t="str">
        <f aca="false">Scoring!DA16</f>
        <v/>
      </c>
      <c r="I9" s="148" t="str">
        <f aca="false">Scoring!CZ16</f>
        <v/>
      </c>
    </row>
    <row r="10" customFormat="false" ht="15.75" hidden="false" customHeight="false" outlineLevel="0" collapsed="false">
      <c r="A10" s="146" t="str">
        <f aca="false">Scoring!DC17</f>
        <v/>
      </c>
      <c r="B10" s="146" t="str">
        <f aca="false">Scoring!DB17</f>
        <v/>
      </c>
      <c r="C10" s="146" t="n">
        <f aca="false">Scoring!C17</f>
        <v>0</v>
      </c>
      <c r="D10" s="147" t="str">
        <f aca="false">Scoring!CY17</f>
        <v/>
      </c>
      <c r="E10" s="146" t="str">
        <f aca="false">Scoring!BH17</f>
        <v/>
      </c>
      <c r="F10" s="146" t="n">
        <f aca="false">Scoring!B17</f>
        <v>0</v>
      </c>
      <c r="G10" s="146" t="n">
        <f aca="false">Scoring!D17</f>
        <v>0</v>
      </c>
      <c r="H10" s="146" t="str">
        <f aca="false">Scoring!DA17</f>
        <v/>
      </c>
      <c r="I10" s="148" t="str">
        <f aca="false">Scoring!CZ17</f>
        <v/>
      </c>
    </row>
    <row r="11" customFormat="false" ht="15.75" hidden="false" customHeight="false" outlineLevel="0" collapsed="false">
      <c r="A11" s="146" t="str">
        <f aca="false">Scoring!DC18</f>
        <v/>
      </c>
      <c r="B11" s="146" t="str">
        <f aca="false">Scoring!DB18</f>
        <v/>
      </c>
      <c r="C11" s="146" t="n">
        <f aca="false">Scoring!C18</f>
        <v>0</v>
      </c>
      <c r="D11" s="147" t="str">
        <f aca="false">Scoring!CY18</f>
        <v/>
      </c>
      <c r="E11" s="146" t="str">
        <f aca="false">Scoring!BH18</f>
        <v/>
      </c>
      <c r="F11" s="146" t="n">
        <f aca="false">Scoring!B18</f>
        <v>0</v>
      </c>
      <c r="G11" s="146" t="n">
        <f aca="false">Scoring!D18</f>
        <v>0</v>
      </c>
      <c r="H11" s="146" t="str">
        <f aca="false">Scoring!DA18</f>
        <v/>
      </c>
      <c r="I11" s="148" t="str">
        <f aca="false">Scoring!CZ18</f>
        <v/>
      </c>
    </row>
    <row r="12" customFormat="false" ht="15.75" hidden="false" customHeight="false" outlineLevel="0" collapsed="false">
      <c r="A12" s="146" t="str">
        <f aca="false">Scoring!DC19</f>
        <v/>
      </c>
      <c r="B12" s="146" t="str">
        <f aca="false">Scoring!DB19</f>
        <v/>
      </c>
      <c r="C12" s="146" t="n">
        <f aca="false">Scoring!C19</f>
        <v>0</v>
      </c>
      <c r="D12" s="147" t="str">
        <f aca="false">Scoring!CY19</f>
        <v/>
      </c>
      <c r="E12" s="146" t="str">
        <f aca="false">Scoring!BH19</f>
        <v/>
      </c>
      <c r="F12" s="146" t="n">
        <f aca="false">Scoring!B19</f>
        <v>0</v>
      </c>
      <c r="G12" s="146" t="n">
        <f aca="false">Scoring!D19</f>
        <v>0</v>
      </c>
      <c r="H12" s="146" t="str">
        <f aca="false">Scoring!DA19</f>
        <v/>
      </c>
      <c r="I12" s="148" t="str">
        <f aca="false">Scoring!CZ19</f>
        <v/>
      </c>
    </row>
    <row r="13" customFormat="false" ht="15.75" hidden="false" customHeight="false" outlineLevel="0" collapsed="false">
      <c r="A13" s="146" t="str">
        <f aca="false">Scoring!DC20</f>
        <v/>
      </c>
      <c r="B13" s="146" t="str">
        <f aca="false">Scoring!DB20</f>
        <v/>
      </c>
      <c r="C13" s="146" t="n">
        <f aca="false">Scoring!C20</f>
        <v>0</v>
      </c>
      <c r="D13" s="147" t="str">
        <f aca="false">Scoring!CY20</f>
        <v/>
      </c>
      <c r="E13" s="146" t="str">
        <f aca="false">Scoring!BH20</f>
        <v/>
      </c>
      <c r="F13" s="146" t="n">
        <f aca="false">Scoring!B20</f>
        <v>0</v>
      </c>
      <c r="G13" s="146" t="n">
        <f aca="false">Scoring!D20</f>
        <v>0</v>
      </c>
      <c r="H13" s="146" t="str">
        <f aca="false">Scoring!DA20</f>
        <v/>
      </c>
      <c r="I13" s="148" t="str">
        <f aca="false">Scoring!CZ20</f>
        <v/>
      </c>
    </row>
    <row r="14" customFormat="false" ht="15.75" hidden="false" customHeight="false" outlineLevel="0" collapsed="false">
      <c r="A14" s="146" t="str">
        <f aca="false">Scoring!DC21</f>
        <v/>
      </c>
      <c r="B14" s="146" t="str">
        <f aca="false">Scoring!DB21</f>
        <v/>
      </c>
      <c r="C14" s="146" t="n">
        <f aca="false">Scoring!C21</f>
        <v>0</v>
      </c>
      <c r="D14" s="147" t="str">
        <f aca="false">Scoring!CY21</f>
        <v/>
      </c>
      <c r="E14" s="146" t="str">
        <f aca="false">Scoring!BH21</f>
        <v/>
      </c>
      <c r="F14" s="146" t="n">
        <f aca="false">Scoring!B21</f>
        <v>0</v>
      </c>
      <c r="G14" s="146" t="n">
        <f aca="false">Scoring!D21</f>
        <v>0</v>
      </c>
      <c r="H14" s="146" t="str">
        <f aca="false">Scoring!DA21</f>
        <v/>
      </c>
      <c r="I14" s="148" t="str">
        <f aca="false">Scoring!CZ21</f>
        <v/>
      </c>
    </row>
    <row r="15" customFormat="false" ht="15.75" hidden="false" customHeight="false" outlineLevel="0" collapsed="false">
      <c r="A15" s="146" t="str">
        <f aca="false">Scoring!DC22</f>
        <v/>
      </c>
      <c r="B15" s="146" t="str">
        <f aca="false">Scoring!DB22</f>
        <v/>
      </c>
      <c r="C15" s="146" t="n">
        <f aca="false">Scoring!C22</f>
        <v>0</v>
      </c>
      <c r="D15" s="147" t="str">
        <f aca="false">Scoring!CY22</f>
        <v/>
      </c>
      <c r="E15" s="146" t="str">
        <f aca="false">Scoring!BH22</f>
        <v/>
      </c>
      <c r="F15" s="146" t="n">
        <f aca="false">Scoring!B22</f>
        <v>0</v>
      </c>
      <c r="G15" s="146" t="n">
        <f aca="false">Scoring!D22</f>
        <v>0</v>
      </c>
      <c r="H15" s="146" t="str">
        <f aca="false">Scoring!DA22</f>
        <v/>
      </c>
      <c r="I15" s="148" t="str">
        <f aca="false">Scoring!CZ22</f>
        <v/>
      </c>
    </row>
    <row r="16" customFormat="false" ht="15.75" hidden="false" customHeight="false" outlineLevel="0" collapsed="false">
      <c r="A16" s="146" t="str">
        <f aca="false">Scoring!DC23</f>
        <v/>
      </c>
      <c r="B16" s="146" t="str">
        <f aca="false">Scoring!DB23</f>
        <v/>
      </c>
      <c r="C16" s="146" t="n">
        <f aca="false">Scoring!C23</f>
        <v>0</v>
      </c>
      <c r="D16" s="147" t="str">
        <f aca="false">Scoring!CY23</f>
        <v/>
      </c>
      <c r="E16" s="146" t="str">
        <f aca="false">Scoring!BH23</f>
        <v/>
      </c>
      <c r="F16" s="146" t="n">
        <f aca="false">Scoring!B23</f>
        <v>0</v>
      </c>
      <c r="G16" s="146" t="n">
        <f aca="false">Scoring!D23</f>
        <v>0</v>
      </c>
      <c r="H16" s="146" t="str">
        <f aca="false">Scoring!DA23</f>
        <v/>
      </c>
      <c r="I16" s="148" t="str">
        <f aca="false">Scoring!CZ23</f>
        <v/>
      </c>
    </row>
    <row r="17" customFormat="false" ht="15.75" hidden="false" customHeight="false" outlineLevel="0" collapsed="false">
      <c r="A17" s="146" t="str">
        <f aca="false">Scoring!DC24</f>
        <v/>
      </c>
      <c r="B17" s="146" t="str">
        <f aca="false">Scoring!DB24</f>
        <v/>
      </c>
      <c r="C17" s="146" t="n">
        <f aca="false">Scoring!C24</f>
        <v>0</v>
      </c>
      <c r="D17" s="147" t="str">
        <f aca="false">Scoring!CY24</f>
        <v/>
      </c>
      <c r="E17" s="146" t="str">
        <f aca="false">Scoring!BH24</f>
        <v/>
      </c>
      <c r="F17" s="146" t="n">
        <f aca="false">Scoring!B24</f>
        <v>0</v>
      </c>
      <c r="G17" s="146" t="n">
        <f aca="false">Scoring!D24</f>
        <v>0</v>
      </c>
      <c r="H17" s="146" t="str">
        <f aca="false">Scoring!DA24</f>
        <v/>
      </c>
      <c r="I17" s="148" t="str">
        <f aca="false">Scoring!CZ24</f>
        <v/>
      </c>
    </row>
    <row r="18" customFormat="false" ht="15.75" hidden="false" customHeight="false" outlineLevel="0" collapsed="false">
      <c r="A18" s="146" t="str">
        <f aca="false">Scoring!DC25</f>
        <v/>
      </c>
      <c r="B18" s="146" t="str">
        <f aca="false">Scoring!DB25</f>
        <v/>
      </c>
      <c r="C18" s="146" t="n">
        <f aca="false">Scoring!C25</f>
        <v>0</v>
      </c>
      <c r="D18" s="147" t="str">
        <f aca="false">Scoring!CY25</f>
        <v/>
      </c>
      <c r="E18" s="146" t="str">
        <f aca="false">Scoring!BH25</f>
        <v/>
      </c>
      <c r="F18" s="146" t="n">
        <f aca="false">Scoring!B25</f>
        <v>0</v>
      </c>
      <c r="G18" s="146" t="n">
        <f aca="false">Scoring!D25</f>
        <v>0</v>
      </c>
      <c r="H18" s="146" t="str">
        <f aca="false">Scoring!DA25</f>
        <v/>
      </c>
      <c r="I18" s="148" t="str">
        <f aca="false">Scoring!CZ25</f>
        <v/>
      </c>
    </row>
    <row r="19" customFormat="false" ht="15.75" hidden="false" customHeight="false" outlineLevel="0" collapsed="false">
      <c r="A19" s="146" t="str">
        <f aca="false">Scoring!DC26</f>
        <v/>
      </c>
      <c r="B19" s="146" t="str">
        <f aca="false">Scoring!DB26</f>
        <v/>
      </c>
      <c r="C19" s="146" t="n">
        <f aca="false">Scoring!C26</f>
        <v>0</v>
      </c>
      <c r="D19" s="147" t="str">
        <f aca="false">Scoring!CY26</f>
        <v/>
      </c>
      <c r="E19" s="146" t="str">
        <f aca="false">Scoring!BH26</f>
        <v/>
      </c>
      <c r="F19" s="146" t="n">
        <f aca="false">Scoring!B26</f>
        <v>0</v>
      </c>
      <c r="G19" s="146" t="n">
        <f aca="false">Scoring!D26</f>
        <v>0</v>
      </c>
      <c r="H19" s="146" t="str">
        <f aca="false">Scoring!DA26</f>
        <v/>
      </c>
      <c r="I19" s="148" t="str">
        <f aca="false">Scoring!CZ26</f>
        <v/>
      </c>
    </row>
    <row r="20" customFormat="false" ht="15.75" hidden="false" customHeight="false" outlineLevel="0" collapsed="false">
      <c r="A20" s="146" t="str">
        <f aca="false">Scoring!DC27</f>
        <v/>
      </c>
      <c r="B20" s="146" t="str">
        <f aca="false">Scoring!DB27</f>
        <v/>
      </c>
      <c r="C20" s="146" t="n">
        <f aca="false">Scoring!C27</f>
        <v>0</v>
      </c>
      <c r="D20" s="147" t="str">
        <f aca="false">Scoring!CY27</f>
        <v/>
      </c>
      <c r="E20" s="146" t="str">
        <f aca="false">Scoring!BH27</f>
        <v/>
      </c>
      <c r="F20" s="146" t="n">
        <f aca="false">Scoring!B27</f>
        <v>0</v>
      </c>
      <c r="G20" s="146" t="n">
        <f aca="false">Scoring!D27</f>
        <v>0</v>
      </c>
      <c r="H20" s="146" t="str">
        <f aca="false">Scoring!DA27</f>
        <v/>
      </c>
      <c r="I20" s="148" t="str">
        <f aca="false">Scoring!CZ27</f>
        <v/>
      </c>
    </row>
    <row r="21" customFormat="false" ht="15.75" hidden="false" customHeight="false" outlineLevel="0" collapsed="false">
      <c r="A21" s="146" t="str">
        <f aca="false">Scoring!DC28</f>
        <v/>
      </c>
      <c r="B21" s="146" t="str">
        <f aca="false">Scoring!DB28</f>
        <v/>
      </c>
      <c r="C21" s="146" t="n">
        <f aca="false">Scoring!C28</f>
        <v>0</v>
      </c>
      <c r="D21" s="147" t="str">
        <f aca="false">Scoring!CY28</f>
        <v/>
      </c>
      <c r="E21" s="146" t="str">
        <f aca="false">Scoring!BH28</f>
        <v/>
      </c>
      <c r="F21" s="146" t="n">
        <f aca="false">Scoring!B28</f>
        <v>0</v>
      </c>
      <c r="G21" s="146" t="n">
        <f aca="false">Scoring!D28</f>
        <v>0</v>
      </c>
      <c r="H21" s="146" t="str">
        <f aca="false">Scoring!DA28</f>
        <v/>
      </c>
      <c r="I21" s="148" t="str">
        <f aca="false">Scoring!CZ28</f>
        <v/>
      </c>
    </row>
    <row r="22" customFormat="false" ht="15.75" hidden="false" customHeight="false" outlineLevel="0" collapsed="false">
      <c r="A22" s="146" t="str">
        <f aca="false">Scoring!DC29</f>
        <v/>
      </c>
      <c r="B22" s="146" t="str">
        <f aca="false">Scoring!DB29</f>
        <v/>
      </c>
      <c r="C22" s="146" t="n">
        <f aca="false">Scoring!C29</f>
        <v>0</v>
      </c>
      <c r="D22" s="147" t="str">
        <f aca="false">Scoring!CY29</f>
        <v/>
      </c>
      <c r="E22" s="146" t="str">
        <f aca="false">Scoring!BH29</f>
        <v/>
      </c>
      <c r="F22" s="146" t="n">
        <f aca="false">Scoring!B29</f>
        <v>0</v>
      </c>
      <c r="G22" s="146" t="n">
        <f aca="false">Scoring!D29</f>
        <v>0</v>
      </c>
      <c r="H22" s="146" t="str">
        <f aca="false">Scoring!DA29</f>
        <v/>
      </c>
      <c r="I22" s="148" t="str">
        <f aca="false">Scoring!CZ29</f>
        <v/>
      </c>
    </row>
    <row r="23" customFormat="false" ht="15.75" hidden="false" customHeight="false" outlineLevel="0" collapsed="false">
      <c r="A23" s="146" t="str">
        <f aca="false">Scoring!DC30</f>
        <v/>
      </c>
      <c r="B23" s="146" t="str">
        <f aca="false">Scoring!DB30</f>
        <v/>
      </c>
      <c r="C23" s="146" t="n">
        <f aca="false">Scoring!C30</f>
        <v>0</v>
      </c>
      <c r="D23" s="147" t="str">
        <f aca="false">Scoring!CY30</f>
        <v/>
      </c>
      <c r="E23" s="146" t="str">
        <f aca="false">Scoring!BH30</f>
        <v/>
      </c>
      <c r="F23" s="146" t="n">
        <f aca="false">Scoring!B30</f>
        <v>0</v>
      </c>
      <c r="G23" s="146" t="n">
        <f aca="false">Scoring!D30</f>
        <v>0</v>
      </c>
      <c r="H23" s="146" t="str">
        <f aca="false">Scoring!DA30</f>
        <v/>
      </c>
      <c r="I23" s="148" t="str">
        <f aca="false">Scoring!CZ30</f>
        <v/>
      </c>
    </row>
    <row r="24" customFormat="false" ht="15.75" hidden="false" customHeight="false" outlineLevel="0" collapsed="false">
      <c r="A24" s="146" t="str">
        <f aca="false">Scoring!DC31</f>
        <v/>
      </c>
      <c r="B24" s="146" t="str">
        <f aca="false">Scoring!DB31</f>
        <v/>
      </c>
      <c r="C24" s="146" t="n">
        <f aca="false">Scoring!C31</f>
        <v>0</v>
      </c>
      <c r="D24" s="147" t="str">
        <f aca="false">Scoring!CY31</f>
        <v/>
      </c>
      <c r="E24" s="146" t="str">
        <f aca="false">Scoring!BH31</f>
        <v/>
      </c>
      <c r="F24" s="146" t="n">
        <f aca="false">Scoring!B31</f>
        <v>0</v>
      </c>
      <c r="G24" s="146" t="n">
        <f aca="false">Scoring!D31</f>
        <v>0</v>
      </c>
      <c r="H24" s="146" t="str">
        <f aca="false">Scoring!DA31</f>
        <v/>
      </c>
      <c r="I24" s="148" t="str">
        <f aca="false">Scoring!CZ31</f>
        <v/>
      </c>
    </row>
    <row r="25" customFormat="false" ht="15.75" hidden="false" customHeight="false" outlineLevel="0" collapsed="false">
      <c r="A25" s="146" t="str">
        <f aca="false">Scoring!DC32</f>
        <v/>
      </c>
      <c r="B25" s="146" t="str">
        <f aca="false">Scoring!DB32</f>
        <v/>
      </c>
      <c r="C25" s="146" t="n">
        <f aca="false">Scoring!C32</f>
        <v>0</v>
      </c>
      <c r="D25" s="147" t="str">
        <f aca="false">Scoring!CY32</f>
        <v/>
      </c>
      <c r="E25" s="146" t="str">
        <f aca="false">Scoring!BH32</f>
        <v/>
      </c>
      <c r="F25" s="146" t="n">
        <f aca="false">Scoring!B32</f>
        <v>0</v>
      </c>
      <c r="G25" s="146" t="n">
        <f aca="false">Scoring!D32</f>
        <v>0</v>
      </c>
      <c r="H25" s="146" t="str">
        <f aca="false">Scoring!DA32</f>
        <v/>
      </c>
      <c r="I25" s="148" t="str">
        <f aca="false">Scoring!CZ32</f>
        <v/>
      </c>
    </row>
    <row r="26" customFormat="false" ht="15.75" hidden="false" customHeight="false" outlineLevel="0" collapsed="false">
      <c r="A26" s="146" t="str">
        <f aca="false">Scoring!DC33</f>
        <v/>
      </c>
      <c r="B26" s="146" t="str">
        <f aca="false">Scoring!DB33</f>
        <v/>
      </c>
      <c r="C26" s="146" t="n">
        <f aca="false">Scoring!C33</f>
        <v>0</v>
      </c>
      <c r="D26" s="147" t="str">
        <f aca="false">Scoring!CY33</f>
        <v/>
      </c>
      <c r="E26" s="146" t="str">
        <f aca="false">Scoring!BH33</f>
        <v/>
      </c>
      <c r="F26" s="146" t="n">
        <f aca="false">Scoring!B33</f>
        <v>0</v>
      </c>
      <c r="G26" s="146" t="n">
        <f aca="false">Scoring!D33</f>
        <v>0</v>
      </c>
      <c r="H26" s="146" t="str">
        <f aca="false">Scoring!DA33</f>
        <v/>
      </c>
      <c r="I26" s="148" t="str">
        <f aca="false">Scoring!CZ33</f>
        <v/>
      </c>
    </row>
    <row r="27" customFormat="false" ht="15.75" hidden="false" customHeight="false" outlineLevel="0" collapsed="false">
      <c r="A27" s="146" t="str">
        <f aca="false">Scoring!DC34</f>
        <v/>
      </c>
      <c r="B27" s="146" t="str">
        <f aca="false">Scoring!DB34</f>
        <v/>
      </c>
      <c r="C27" s="146" t="n">
        <f aca="false">Scoring!C34</f>
        <v>0</v>
      </c>
      <c r="D27" s="147" t="str">
        <f aca="false">Scoring!CY34</f>
        <v/>
      </c>
      <c r="E27" s="146" t="str">
        <f aca="false">Scoring!BH34</f>
        <v/>
      </c>
      <c r="F27" s="146" t="n">
        <f aca="false">Scoring!B34</f>
        <v>0</v>
      </c>
      <c r="G27" s="146" t="n">
        <f aca="false">Scoring!D34</f>
        <v>0</v>
      </c>
      <c r="H27" s="146" t="str">
        <f aca="false">Scoring!DA34</f>
        <v/>
      </c>
      <c r="I27" s="148" t="str">
        <f aca="false">Scoring!CZ34</f>
        <v/>
      </c>
    </row>
    <row r="28" customFormat="false" ht="15.75" hidden="false" customHeight="false" outlineLevel="0" collapsed="false">
      <c r="A28" s="146" t="str">
        <f aca="false">Scoring!DC35</f>
        <v/>
      </c>
      <c r="B28" s="146" t="str">
        <f aca="false">Scoring!DB35</f>
        <v/>
      </c>
      <c r="C28" s="146" t="n">
        <f aca="false">Scoring!C35</f>
        <v>0</v>
      </c>
      <c r="D28" s="147" t="str">
        <f aca="false">Scoring!CY35</f>
        <v/>
      </c>
      <c r="E28" s="146" t="str">
        <f aca="false">Scoring!BH35</f>
        <v/>
      </c>
      <c r="F28" s="146" t="n">
        <f aca="false">Scoring!B35</f>
        <v>0</v>
      </c>
      <c r="G28" s="146" t="n">
        <f aca="false">Scoring!D35</f>
        <v>0</v>
      </c>
      <c r="H28" s="146" t="str">
        <f aca="false">Scoring!DA35</f>
        <v/>
      </c>
      <c r="I28" s="148" t="str">
        <f aca="false">Scoring!CZ35</f>
        <v/>
      </c>
    </row>
    <row r="29" customFormat="false" ht="15.75" hidden="false" customHeight="false" outlineLevel="0" collapsed="false">
      <c r="A29" s="146" t="str">
        <f aca="false">Scoring!DC36</f>
        <v/>
      </c>
      <c r="B29" s="146" t="str">
        <f aca="false">Scoring!DB36</f>
        <v/>
      </c>
      <c r="C29" s="146" t="n">
        <f aca="false">Scoring!C36</f>
        <v>0</v>
      </c>
      <c r="D29" s="147" t="str">
        <f aca="false">Scoring!CY36</f>
        <v/>
      </c>
      <c r="E29" s="146" t="str">
        <f aca="false">Scoring!BH36</f>
        <v/>
      </c>
      <c r="F29" s="146" t="n">
        <f aca="false">Scoring!B36</f>
        <v>0</v>
      </c>
      <c r="G29" s="146" t="n">
        <f aca="false">Scoring!D36</f>
        <v>0</v>
      </c>
      <c r="H29" s="146" t="str">
        <f aca="false">Scoring!DA36</f>
        <v/>
      </c>
      <c r="I29" s="148" t="str">
        <f aca="false">Scoring!CZ36</f>
        <v/>
      </c>
    </row>
    <row r="30" customFormat="false" ht="15.75" hidden="false" customHeight="false" outlineLevel="0" collapsed="false">
      <c r="A30" s="146" t="str">
        <f aca="false">Scoring!DC37</f>
        <v/>
      </c>
      <c r="B30" s="146" t="str">
        <f aca="false">Scoring!DB37</f>
        <v/>
      </c>
      <c r="C30" s="146" t="n">
        <f aca="false">Scoring!C37</f>
        <v>0</v>
      </c>
      <c r="D30" s="147" t="str">
        <f aca="false">Scoring!CY37</f>
        <v/>
      </c>
      <c r="E30" s="146" t="str">
        <f aca="false">Scoring!BH37</f>
        <v/>
      </c>
      <c r="F30" s="146" t="n">
        <f aca="false">Scoring!B37</f>
        <v>0</v>
      </c>
      <c r="G30" s="146" t="n">
        <f aca="false">Scoring!D37</f>
        <v>0</v>
      </c>
      <c r="H30" s="146" t="str">
        <f aca="false">Scoring!DA37</f>
        <v/>
      </c>
      <c r="I30" s="148" t="str">
        <f aca="false">Scoring!CZ37</f>
        <v/>
      </c>
    </row>
    <row r="31" customFormat="false" ht="15.75" hidden="false" customHeight="false" outlineLevel="0" collapsed="false">
      <c r="A31" s="146" t="str">
        <f aca="false">Scoring!DC38</f>
        <v/>
      </c>
      <c r="B31" s="146" t="str">
        <f aca="false">Scoring!DB38</f>
        <v/>
      </c>
      <c r="C31" s="146" t="n">
        <f aca="false">Scoring!C38</f>
        <v>0</v>
      </c>
      <c r="D31" s="147" t="str">
        <f aca="false">Scoring!CY38</f>
        <v/>
      </c>
      <c r="E31" s="146" t="str">
        <f aca="false">Scoring!BH38</f>
        <v/>
      </c>
      <c r="F31" s="146" t="n">
        <f aca="false">Scoring!B38</f>
        <v>0</v>
      </c>
      <c r="G31" s="146" t="n">
        <f aca="false">Scoring!D38</f>
        <v>0</v>
      </c>
      <c r="H31" s="146" t="str">
        <f aca="false">Scoring!DA38</f>
        <v/>
      </c>
      <c r="I31" s="148" t="str">
        <f aca="false">Scoring!CZ38</f>
        <v/>
      </c>
    </row>
    <row r="32" customFormat="false" ht="15.75" hidden="false" customHeight="false" outlineLevel="0" collapsed="false">
      <c r="A32" s="146" t="str">
        <f aca="false">Scoring!DC39</f>
        <v/>
      </c>
      <c r="B32" s="146" t="str">
        <f aca="false">Scoring!DB39</f>
        <v/>
      </c>
      <c r="C32" s="146" t="n">
        <f aca="false">Scoring!C39</f>
        <v>0</v>
      </c>
      <c r="D32" s="147" t="str">
        <f aca="false">Scoring!CY39</f>
        <v/>
      </c>
      <c r="E32" s="146" t="str">
        <f aca="false">Scoring!BH39</f>
        <v/>
      </c>
      <c r="F32" s="146" t="n">
        <f aca="false">Scoring!B39</f>
        <v>0</v>
      </c>
      <c r="G32" s="146" t="n">
        <f aca="false">Scoring!D39</f>
        <v>0</v>
      </c>
      <c r="H32" s="146" t="str">
        <f aca="false">Scoring!DA39</f>
        <v/>
      </c>
      <c r="I32" s="148" t="str">
        <f aca="false">Scoring!CZ39</f>
        <v/>
      </c>
    </row>
    <row r="33" customFormat="false" ht="15.75" hidden="false" customHeight="false" outlineLevel="0" collapsed="false">
      <c r="A33" s="146" t="str">
        <f aca="false">Scoring!DC40</f>
        <v/>
      </c>
      <c r="B33" s="146" t="str">
        <f aca="false">Scoring!DB40</f>
        <v/>
      </c>
      <c r="C33" s="146" t="n">
        <f aca="false">Scoring!C40</f>
        <v>0</v>
      </c>
      <c r="D33" s="147" t="str">
        <f aca="false">Scoring!CY40</f>
        <v/>
      </c>
      <c r="E33" s="146" t="str">
        <f aca="false">Scoring!BH40</f>
        <v/>
      </c>
      <c r="F33" s="146" t="n">
        <f aca="false">Scoring!B40</f>
        <v>0</v>
      </c>
      <c r="G33" s="146" t="n">
        <f aca="false">Scoring!D40</f>
        <v>0</v>
      </c>
      <c r="H33" s="146" t="str">
        <f aca="false">Scoring!DA40</f>
        <v/>
      </c>
      <c r="I33" s="148" t="str">
        <f aca="false">Scoring!CZ40</f>
        <v/>
      </c>
    </row>
    <row r="34" customFormat="false" ht="15.75" hidden="false" customHeight="false" outlineLevel="0" collapsed="false">
      <c r="A34" s="146" t="str">
        <f aca="false">Scoring!DC41</f>
        <v/>
      </c>
      <c r="B34" s="146" t="str">
        <f aca="false">Scoring!DB41</f>
        <v/>
      </c>
      <c r="C34" s="146" t="n">
        <f aca="false">Scoring!C41</f>
        <v>0</v>
      </c>
      <c r="D34" s="147" t="str">
        <f aca="false">Scoring!CY41</f>
        <v/>
      </c>
      <c r="E34" s="146" t="str">
        <f aca="false">Scoring!BH41</f>
        <v/>
      </c>
      <c r="F34" s="146" t="n">
        <f aca="false">Scoring!B41</f>
        <v>0</v>
      </c>
      <c r="G34" s="146" t="n">
        <f aca="false">Scoring!D41</f>
        <v>0</v>
      </c>
      <c r="H34" s="146" t="str">
        <f aca="false">Scoring!DA41</f>
        <v/>
      </c>
      <c r="I34" s="148" t="str">
        <f aca="false">Scoring!CZ41</f>
        <v/>
      </c>
    </row>
    <row r="35" customFormat="false" ht="15.75" hidden="false" customHeight="false" outlineLevel="0" collapsed="false">
      <c r="A35" s="146" t="str">
        <f aca="false">Scoring!DC42</f>
        <v/>
      </c>
      <c r="B35" s="146" t="str">
        <f aca="false">Scoring!DB42</f>
        <v/>
      </c>
      <c r="C35" s="146" t="n">
        <f aca="false">Scoring!C42</f>
        <v>0</v>
      </c>
      <c r="D35" s="147" t="str">
        <f aca="false">Scoring!CY42</f>
        <v/>
      </c>
      <c r="E35" s="146" t="str">
        <f aca="false">Scoring!BH42</f>
        <v/>
      </c>
      <c r="F35" s="146" t="n">
        <f aca="false">Scoring!B42</f>
        <v>0</v>
      </c>
      <c r="G35" s="146" t="n">
        <f aca="false">Scoring!D42</f>
        <v>0</v>
      </c>
      <c r="H35" s="146" t="str">
        <f aca="false">Scoring!DA42</f>
        <v/>
      </c>
      <c r="I35" s="148" t="str">
        <f aca="false">Scoring!CZ42</f>
        <v/>
      </c>
    </row>
    <row r="36" customFormat="false" ht="15.75" hidden="false" customHeight="false" outlineLevel="0" collapsed="false">
      <c r="A36" s="146" t="str">
        <f aca="false">Scoring!DC43</f>
        <v/>
      </c>
      <c r="B36" s="146" t="str">
        <f aca="false">Scoring!DB43</f>
        <v/>
      </c>
      <c r="C36" s="146" t="n">
        <f aca="false">Scoring!C43</f>
        <v>0</v>
      </c>
      <c r="D36" s="147" t="str">
        <f aca="false">Scoring!CY43</f>
        <v/>
      </c>
      <c r="E36" s="146" t="str">
        <f aca="false">Scoring!BH43</f>
        <v/>
      </c>
      <c r="F36" s="146" t="n">
        <f aca="false">Scoring!B43</f>
        <v>0</v>
      </c>
      <c r="G36" s="146" t="n">
        <f aca="false">Scoring!D43</f>
        <v>0</v>
      </c>
      <c r="H36" s="146" t="str">
        <f aca="false">Scoring!DA43</f>
        <v/>
      </c>
      <c r="I36" s="148" t="str">
        <f aca="false">Scoring!CZ43</f>
        <v/>
      </c>
    </row>
    <row r="37" customFormat="false" ht="15.75" hidden="false" customHeight="false" outlineLevel="0" collapsed="false">
      <c r="A37" s="146" t="str">
        <f aca="false">Scoring!DC44</f>
        <v/>
      </c>
      <c r="B37" s="146" t="str">
        <f aca="false">Scoring!DB44</f>
        <v/>
      </c>
      <c r="C37" s="146" t="n">
        <f aca="false">Scoring!C44</f>
        <v>0</v>
      </c>
      <c r="D37" s="147" t="str">
        <f aca="false">Scoring!CY44</f>
        <v/>
      </c>
      <c r="E37" s="146" t="str">
        <f aca="false">Scoring!BH44</f>
        <v/>
      </c>
      <c r="F37" s="146" t="n">
        <f aca="false">Scoring!B44</f>
        <v>0</v>
      </c>
      <c r="G37" s="146" t="n">
        <f aca="false">Scoring!D44</f>
        <v>0</v>
      </c>
      <c r="H37" s="146" t="str">
        <f aca="false">Scoring!DA44</f>
        <v/>
      </c>
      <c r="I37" s="148" t="str">
        <f aca="false">Scoring!CZ44</f>
        <v/>
      </c>
    </row>
    <row r="38" customFormat="false" ht="15.75" hidden="false" customHeight="false" outlineLevel="0" collapsed="false">
      <c r="A38" s="146" t="str">
        <f aca="false">Scoring!DC45</f>
        <v/>
      </c>
      <c r="B38" s="146" t="str">
        <f aca="false">Scoring!DB45</f>
        <v/>
      </c>
      <c r="C38" s="146" t="n">
        <f aca="false">Scoring!C45</f>
        <v>0</v>
      </c>
      <c r="D38" s="147" t="str">
        <f aca="false">Scoring!CY45</f>
        <v/>
      </c>
      <c r="E38" s="146" t="str">
        <f aca="false">Scoring!BH45</f>
        <v/>
      </c>
      <c r="F38" s="146" t="n">
        <f aca="false">Scoring!B45</f>
        <v>0</v>
      </c>
      <c r="G38" s="146" t="n">
        <f aca="false">Scoring!D45</f>
        <v>0</v>
      </c>
      <c r="H38" s="146" t="str">
        <f aca="false">Scoring!DA45</f>
        <v/>
      </c>
      <c r="I38" s="148" t="str">
        <f aca="false">Scoring!CZ45</f>
        <v/>
      </c>
    </row>
    <row r="39" customFormat="false" ht="15.75" hidden="false" customHeight="false" outlineLevel="0" collapsed="false">
      <c r="A39" s="146" t="str">
        <f aca="false">Scoring!DC46</f>
        <v/>
      </c>
      <c r="B39" s="146" t="str">
        <f aca="false">Scoring!DB46</f>
        <v/>
      </c>
      <c r="C39" s="146" t="n">
        <f aca="false">Scoring!C46</f>
        <v>0</v>
      </c>
      <c r="D39" s="147" t="str">
        <f aca="false">Scoring!CY46</f>
        <v/>
      </c>
      <c r="E39" s="146" t="str">
        <f aca="false">Scoring!BH46</f>
        <v/>
      </c>
      <c r="F39" s="146" t="n">
        <f aca="false">Scoring!B46</f>
        <v>0</v>
      </c>
      <c r="G39" s="146" t="n">
        <f aca="false">Scoring!D46</f>
        <v>0</v>
      </c>
      <c r="H39" s="146" t="str">
        <f aca="false">Scoring!DA46</f>
        <v/>
      </c>
      <c r="I39" s="148" t="str">
        <f aca="false">Scoring!CZ46</f>
        <v/>
      </c>
    </row>
    <row r="40" customFormat="false" ht="15.75" hidden="false" customHeight="false" outlineLevel="0" collapsed="false">
      <c r="A40" s="146" t="str">
        <f aca="false">Scoring!DC47</f>
        <v/>
      </c>
      <c r="B40" s="146" t="str">
        <f aca="false">Scoring!DB47</f>
        <v/>
      </c>
      <c r="C40" s="146" t="n">
        <f aca="false">Scoring!C47</f>
        <v>0</v>
      </c>
      <c r="D40" s="147" t="str">
        <f aca="false">Scoring!CY47</f>
        <v/>
      </c>
      <c r="E40" s="146" t="str">
        <f aca="false">Scoring!BH47</f>
        <v/>
      </c>
      <c r="F40" s="146" t="n">
        <f aca="false">Scoring!B47</f>
        <v>0</v>
      </c>
      <c r="G40" s="146" t="n">
        <f aca="false">Scoring!D47</f>
        <v>0</v>
      </c>
      <c r="H40" s="146" t="str">
        <f aca="false">Scoring!DA47</f>
        <v/>
      </c>
      <c r="I40" s="148" t="str">
        <f aca="false">Scoring!CZ47</f>
        <v/>
      </c>
    </row>
    <row r="41" customFormat="false" ht="15.75" hidden="false" customHeight="false" outlineLevel="0" collapsed="false">
      <c r="A41" s="146" t="str">
        <f aca="false">Scoring!DC48</f>
        <v/>
      </c>
      <c r="B41" s="146" t="str">
        <f aca="false">Scoring!DB48</f>
        <v/>
      </c>
      <c r="C41" s="146" t="n">
        <f aca="false">Scoring!C48</f>
        <v>0</v>
      </c>
      <c r="D41" s="147" t="str">
        <f aca="false">Scoring!CY48</f>
        <v/>
      </c>
      <c r="E41" s="146" t="str">
        <f aca="false">Scoring!BH48</f>
        <v/>
      </c>
      <c r="F41" s="146" t="n">
        <f aca="false">Scoring!B48</f>
        <v>0</v>
      </c>
      <c r="G41" s="146" t="n">
        <f aca="false">Scoring!D48</f>
        <v>0</v>
      </c>
      <c r="H41" s="146" t="str">
        <f aca="false">Scoring!DA48</f>
        <v/>
      </c>
      <c r="I41" s="148" t="str">
        <f aca="false">Scoring!CZ48</f>
        <v/>
      </c>
    </row>
    <row r="42" customFormat="false" ht="15.75" hidden="false" customHeight="false" outlineLevel="0" collapsed="false">
      <c r="A42" s="146" t="str">
        <f aca="false">Scoring!DC49</f>
        <v/>
      </c>
      <c r="B42" s="146" t="str">
        <f aca="false">Scoring!DB49</f>
        <v/>
      </c>
      <c r="C42" s="146" t="n">
        <f aca="false">Scoring!C49</f>
        <v>0</v>
      </c>
      <c r="D42" s="147" t="str">
        <f aca="false">Scoring!CY49</f>
        <v/>
      </c>
      <c r="E42" s="146" t="str">
        <f aca="false">Scoring!BH49</f>
        <v/>
      </c>
      <c r="F42" s="146" t="n">
        <f aca="false">Scoring!B49</f>
        <v>0</v>
      </c>
      <c r="G42" s="146" t="n">
        <f aca="false">Scoring!D49</f>
        <v>0</v>
      </c>
      <c r="H42" s="146" t="str">
        <f aca="false">Scoring!DA49</f>
        <v/>
      </c>
      <c r="I42" s="148" t="str">
        <f aca="false">Scoring!CZ49</f>
        <v/>
      </c>
    </row>
    <row r="43" customFormat="false" ht="15.75" hidden="false" customHeight="false" outlineLevel="0" collapsed="false">
      <c r="A43" s="146" t="str">
        <f aca="false">Scoring!DC50</f>
        <v/>
      </c>
      <c r="B43" s="146" t="str">
        <f aca="false">Scoring!DB50</f>
        <v/>
      </c>
      <c r="C43" s="146" t="n">
        <f aca="false">Scoring!C50</f>
        <v>0</v>
      </c>
      <c r="D43" s="147" t="str">
        <f aca="false">Scoring!CY50</f>
        <v/>
      </c>
      <c r="E43" s="146" t="str">
        <f aca="false">Scoring!BH50</f>
        <v/>
      </c>
      <c r="F43" s="146" t="n">
        <f aca="false">Scoring!B50</f>
        <v>0</v>
      </c>
      <c r="G43" s="146" t="n">
        <f aca="false">Scoring!D50</f>
        <v>0</v>
      </c>
      <c r="H43" s="146" t="str">
        <f aca="false">Scoring!DA50</f>
        <v/>
      </c>
      <c r="I43" s="148" t="str">
        <f aca="false">Scoring!CZ50</f>
        <v/>
      </c>
    </row>
    <row r="44" customFormat="false" ht="15.75" hidden="false" customHeight="false" outlineLevel="0" collapsed="false">
      <c r="A44" s="146" t="str">
        <f aca="false">Scoring!DC51</f>
        <v/>
      </c>
      <c r="B44" s="146" t="str">
        <f aca="false">Scoring!DB51</f>
        <v/>
      </c>
      <c r="C44" s="146" t="n">
        <f aca="false">Scoring!C51</f>
        <v>0</v>
      </c>
      <c r="D44" s="147" t="str">
        <f aca="false">Scoring!CY51</f>
        <v/>
      </c>
      <c r="E44" s="146" t="str">
        <f aca="false">Scoring!BH51</f>
        <v/>
      </c>
      <c r="F44" s="146" t="n">
        <f aca="false">Scoring!B51</f>
        <v>0</v>
      </c>
      <c r="G44" s="146" t="n">
        <f aca="false">Scoring!D51</f>
        <v>0</v>
      </c>
      <c r="H44" s="146" t="str">
        <f aca="false">Scoring!DA51</f>
        <v/>
      </c>
      <c r="I44" s="148" t="str">
        <f aca="false">Scoring!CZ51</f>
        <v/>
      </c>
    </row>
    <row r="45" customFormat="false" ht="15.75" hidden="false" customHeight="false" outlineLevel="0" collapsed="false">
      <c r="A45" s="146" t="str">
        <f aca="false">Scoring!DC52</f>
        <v/>
      </c>
      <c r="B45" s="146" t="str">
        <f aca="false">Scoring!DB52</f>
        <v/>
      </c>
      <c r="C45" s="146" t="n">
        <f aca="false">Scoring!C52</f>
        <v>0</v>
      </c>
      <c r="D45" s="147" t="str">
        <f aca="false">Scoring!CY52</f>
        <v/>
      </c>
      <c r="E45" s="146" t="str">
        <f aca="false">Scoring!BH52</f>
        <v/>
      </c>
      <c r="F45" s="146" t="n">
        <f aca="false">Scoring!B52</f>
        <v>0</v>
      </c>
      <c r="G45" s="146" t="n">
        <f aca="false">Scoring!D52</f>
        <v>0</v>
      </c>
      <c r="H45" s="146" t="str">
        <f aca="false">Scoring!DA52</f>
        <v/>
      </c>
      <c r="I45" s="148" t="str">
        <f aca="false">Scoring!CZ52</f>
        <v/>
      </c>
    </row>
    <row r="46" customFormat="false" ht="15.75" hidden="false" customHeight="false" outlineLevel="0" collapsed="false">
      <c r="A46" s="146" t="str">
        <f aca="false">Scoring!DC53</f>
        <v/>
      </c>
      <c r="B46" s="146" t="str">
        <f aca="false">Scoring!DB53</f>
        <v/>
      </c>
      <c r="C46" s="146" t="n">
        <f aca="false">Scoring!C53</f>
        <v>0</v>
      </c>
      <c r="D46" s="147" t="str">
        <f aca="false">Scoring!CY53</f>
        <v/>
      </c>
      <c r="E46" s="146" t="str">
        <f aca="false">Scoring!BH53</f>
        <v/>
      </c>
      <c r="F46" s="146" t="n">
        <f aca="false">Scoring!B53</f>
        <v>0</v>
      </c>
      <c r="G46" s="146" t="n">
        <f aca="false">Scoring!D53</f>
        <v>0</v>
      </c>
      <c r="H46" s="146" t="str">
        <f aca="false">Scoring!DA53</f>
        <v/>
      </c>
      <c r="I46" s="148" t="str">
        <f aca="false">Scoring!CZ53</f>
        <v/>
      </c>
    </row>
    <row r="47" customFormat="false" ht="15.75" hidden="false" customHeight="false" outlineLevel="0" collapsed="false">
      <c r="A47" s="146" t="str">
        <f aca="false">Scoring!DC54</f>
        <v/>
      </c>
      <c r="B47" s="146" t="str">
        <f aca="false">Scoring!DB54</f>
        <v/>
      </c>
      <c r="C47" s="146" t="n">
        <f aca="false">Scoring!C54</f>
        <v>0</v>
      </c>
      <c r="D47" s="147" t="str">
        <f aca="false">Scoring!CY54</f>
        <v/>
      </c>
      <c r="E47" s="146" t="str">
        <f aca="false">Scoring!BH54</f>
        <v/>
      </c>
      <c r="F47" s="146" t="n">
        <f aca="false">Scoring!B54</f>
        <v>0</v>
      </c>
      <c r="G47" s="146" t="n">
        <f aca="false">Scoring!D54</f>
        <v>0</v>
      </c>
      <c r="H47" s="146" t="str">
        <f aca="false">Scoring!DA54</f>
        <v/>
      </c>
      <c r="I47" s="148" t="str">
        <f aca="false">Scoring!CZ54</f>
        <v/>
      </c>
    </row>
    <row r="48" customFormat="false" ht="15.75" hidden="false" customHeight="false" outlineLevel="0" collapsed="false">
      <c r="A48" s="146" t="str">
        <f aca="false">Scoring!DC55</f>
        <v/>
      </c>
      <c r="B48" s="146" t="str">
        <f aca="false">Scoring!DB55</f>
        <v/>
      </c>
      <c r="C48" s="146" t="n">
        <f aca="false">Scoring!C55</f>
        <v>0</v>
      </c>
      <c r="D48" s="147" t="str">
        <f aca="false">Scoring!CY55</f>
        <v/>
      </c>
      <c r="E48" s="146" t="str">
        <f aca="false">Scoring!BH55</f>
        <v/>
      </c>
      <c r="F48" s="146" t="n">
        <f aca="false">Scoring!B55</f>
        <v>0</v>
      </c>
      <c r="G48" s="146" t="n">
        <f aca="false">Scoring!D55</f>
        <v>0</v>
      </c>
      <c r="H48" s="146" t="str">
        <f aca="false">Scoring!DA55</f>
        <v/>
      </c>
      <c r="I48" s="148" t="str">
        <f aca="false">Scoring!CZ55</f>
        <v/>
      </c>
    </row>
    <row r="49" customFormat="false" ht="15.75" hidden="false" customHeight="false" outlineLevel="0" collapsed="false">
      <c r="A49" s="146" t="str">
        <f aca="false">Scoring!DC56</f>
        <v/>
      </c>
      <c r="B49" s="146" t="str">
        <f aca="false">Scoring!DB56</f>
        <v/>
      </c>
      <c r="C49" s="146" t="n">
        <f aca="false">Scoring!C56</f>
        <v>0</v>
      </c>
      <c r="D49" s="147" t="str">
        <f aca="false">Scoring!CY56</f>
        <v/>
      </c>
      <c r="E49" s="146" t="str">
        <f aca="false">Scoring!BH56</f>
        <v/>
      </c>
      <c r="F49" s="146" t="n">
        <f aca="false">Scoring!B56</f>
        <v>0</v>
      </c>
      <c r="G49" s="146" t="n">
        <f aca="false">Scoring!D56</f>
        <v>0</v>
      </c>
      <c r="H49" s="146" t="str">
        <f aca="false">Scoring!DA56</f>
        <v/>
      </c>
      <c r="I49" s="148" t="str">
        <f aca="false">Scoring!CZ56</f>
        <v/>
      </c>
    </row>
    <row r="50" customFormat="false" ht="15.75" hidden="false" customHeight="false" outlineLevel="0" collapsed="false">
      <c r="A50" s="146" t="str">
        <f aca="false">Scoring!DC57</f>
        <v/>
      </c>
      <c r="B50" s="146" t="str">
        <f aca="false">Scoring!DB57</f>
        <v/>
      </c>
      <c r="C50" s="146" t="n">
        <f aca="false">Scoring!C57</f>
        <v>0</v>
      </c>
      <c r="D50" s="147" t="str">
        <f aca="false">Scoring!CY57</f>
        <v/>
      </c>
      <c r="E50" s="146" t="str">
        <f aca="false">Scoring!BH57</f>
        <v/>
      </c>
      <c r="F50" s="146" t="n">
        <f aca="false">Scoring!B57</f>
        <v>0</v>
      </c>
      <c r="G50" s="146" t="n">
        <f aca="false">Scoring!D57</f>
        <v>0</v>
      </c>
      <c r="H50" s="146" t="str">
        <f aca="false">Scoring!DA57</f>
        <v/>
      </c>
      <c r="I50" s="148" t="str">
        <f aca="false">Scoring!CZ57</f>
        <v/>
      </c>
    </row>
    <row r="51" customFormat="false" ht="15.75" hidden="false" customHeight="false" outlineLevel="0" collapsed="false">
      <c r="A51" s="146" t="str">
        <f aca="false">Scoring!DC58</f>
        <v/>
      </c>
      <c r="B51" s="146" t="str">
        <f aca="false">Scoring!DB58</f>
        <v/>
      </c>
      <c r="C51" s="146" t="n">
        <f aca="false">Scoring!C58</f>
        <v>0</v>
      </c>
      <c r="D51" s="147" t="str">
        <f aca="false">Scoring!CY58</f>
        <v/>
      </c>
      <c r="E51" s="146" t="str">
        <f aca="false">Scoring!BH58</f>
        <v/>
      </c>
      <c r="F51" s="146" t="n">
        <f aca="false">Scoring!B58</f>
        <v>0</v>
      </c>
      <c r="G51" s="146" t="n">
        <f aca="false">Scoring!D58</f>
        <v>0</v>
      </c>
      <c r="H51" s="146" t="str">
        <f aca="false">Scoring!DA58</f>
        <v/>
      </c>
      <c r="I51" s="148" t="str">
        <f aca="false">Scoring!CZ58</f>
        <v/>
      </c>
    </row>
    <row r="52" customFormat="false" ht="15.75" hidden="false" customHeight="false" outlineLevel="0" collapsed="false">
      <c r="A52" s="146" t="str">
        <f aca="false">Scoring!DC59</f>
        <v/>
      </c>
      <c r="B52" s="146" t="str">
        <f aca="false">Scoring!DB59</f>
        <v/>
      </c>
      <c r="C52" s="146" t="n">
        <f aca="false">Scoring!C59</f>
        <v>0</v>
      </c>
      <c r="D52" s="147" t="str">
        <f aca="false">Scoring!CY59</f>
        <v/>
      </c>
      <c r="E52" s="146" t="str">
        <f aca="false">Scoring!BH59</f>
        <v/>
      </c>
      <c r="F52" s="146" t="n">
        <f aca="false">Scoring!B59</f>
        <v>0</v>
      </c>
      <c r="G52" s="146" t="n">
        <f aca="false">Scoring!D59</f>
        <v>0</v>
      </c>
      <c r="H52" s="146" t="str">
        <f aca="false">Scoring!DA59</f>
        <v/>
      </c>
      <c r="I52" s="148" t="str">
        <f aca="false">Scoring!CZ59</f>
        <v/>
      </c>
    </row>
    <row r="53" customFormat="false" ht="15.75" hidden="false" customHeight="false" outlineLevel="0" collapsed="false">
      <c r="A53" s="146" t="str">
        <f aca="false">Scoring!DC60</f>
        <v/>
      </c>
      <c r="B53" s="146" t="str">
        <f aca="false">Scoring!DB60</f>
        <v/>
      </c>
      <c r="C53" s="146" t="n">
        <f aca="false">Scoring!C60</f>
        <v>0</v>
      </c>
      <c r="D53" s="147" t="str">
        <f aca="false">Scoring!CY60</f>
        <v/>
      </c>
      <c r="E53" s="146" t="str">
        <f aca="false">Scoring!BH60</f>
        <v/>
      </c>
      <c r="F53" s="146" t="n">
        <f aca="false">Scoring!B60</f>
        <v>0</v>
      </c>
      <c r="G53" s="146" t="n">
        <f aca="false">Scoring!D60</f>
        <v>0</v>
      </c>
      <c r="H53" s="146" t="str">
        <f aca="false">Scoring!DA60</f>
        <v/>
      </c>
      <c r="I53" s="148" t="str">
        <f aca="false">Scoring!CZ60</f>
        <v/>
      </c>
    </row>
    <row r="54" customFormat="false" ht="15.75" hidden="false" customHeight="false" outlineLevel="0" collapsed="false">
      <c r="A54" s="146" t="str">
        <f aca="false">Scoring!DC61</f>
        <v/>
      </c>
      <c r="B54" s="146" t="str">
        <f aca="false">Scoring!DB61</f>
        <v/>
      </c>
      <c r="C54" s="146" t="n">
        <f aca="false">Scoring!C61</f>
        <v>0</v>
      </c>
      <c r="D54" s="147" t="str">
        <f aca="false">Scoring!CY61</f>
        <v/>
      </c>
      <c r="E54" s="146" t="str">
        <f aca="false">Scoring!BH61</f>
        <v/>
      </c>
      <c r="F54" s="146" t="n">
        <f aca="false">Scoring!B61</f>
        <v>0</v>
      </c>
      <c r="G54" s="146" t="n">
        <f aca="false">Scoring!D61</f>
        <v>0</v>
      </c>
      <c r="H54" s="146" t="str">
        <f aca="false">Scoring!DA61</f>
        <v/>
      </c>
      <c r="I54" s="148" t="str">
        <f aca="false">Scoring!CZ61</f>
        <v/>
      </c>
    </row>
    <row r="55" customFormat="false" ht="15.75" hidden="false" customHeight="false" outlineLevel="0" collapsed="false">
      <c r="A55" s="146" t="str">
        <f aca="false">Scoring!DC62</f>
        <v/>
      </c>
      <c r="B55" s="146" t="str">
        <f aca="false">Scoring!DB62</f>
        <v/>
      </c>
      <c r="C55" s="146" t="n">
        <f aca="false">Scoring!C62</f>
        <v>0</v>
      </c>
      <c r="D55" s="147" t="str">
        <f aca="false">Scoring!CY62</f>
        <v/>
      </c>
      <c r="E55" s="146" t="str">
        <f aca="false">Scoring!BH62</f>
        <v/>
      </c>
      <c r="F55" s="146" t="n">
        <f aca="false">Scoring!B62</f>
        <v>0</v>
      </c>
      <c r="G55" s="146" t="n">
        <f aca="false">Scoring!D62</f>
        <v>0</v>
      </c>
      <c r="H55" s="146" t="str">
        <f aca="false">Scoring!DA62</f>
        <v/>
      </c>
      <c r="I55" s="148" t="str">
        <f aca="false">Scoring!CZ62</f>
        <v/>
      </c>
    </row>
    <row r="56" customFormat="false" ht="15.75" hidden="false" customHeight="false" outlineLevel="0" collapsed="false">
      <c r="A56" s="146" t="str">
        <f aca="false">Scoring!DC63</f>
        <v/>
      </c>
      <c r="B56" s="146" t="str">
        <f aca="false">Scoring!DB63</f>
        <v/>
      </c>
      <c r="C56" s="146" t="n">
        <f aca="false">Scoring!C63</f>
        <v>0</v>
      </c>
      <c r="D56" s="147" t="str">
        <f aca="false">Scoring!CY63</f>
        <v/>
      </c>
      <c r="E56" s="146" t="str">
        <f aca="false">Scoring!BH63</f>
        <v/>
      </c>
      <c r="F56" s="146" t="n">
        <f aca="false">Scoring!B63</f>
        <v>0</v>
      </c>
      <c r="G56" s="146" t="n">
        <f aca="false">Scoring!D63</f>
        <v>0</v>
      </c>
      <c r="H56" s="146" t="str">
        <f aca="false">Scoring!DA63</f>
        <v/>
      </c>
      <c r="I56" s="148" t="str">
        <f aca="false">Scoring!CZ63</f>
        <v/>
      </c>
    </row>
    <row r="57" customFormat="false" ht="15.75" hidden="false" customHeight="false" outlineLevel="0" collapsed="false">
      <c r="A57" s="146" t="str">
        <f aca="false">Scoring!DC64</f>
        <v/>
      </c>
      <c r="B57" s="146" t="str">
        <f aca="false">Scoring!DB64</f>
        <v/>
      </c>
      <c r="C57" s="146" t="n">
        <f aca="false">Scoring!C64</f>
        <v>0</v>
      </c>
      <c r="D57" s="147" t="str">
        <f aca="false">Scoring!CY64</f>
        <v/>
      </c>
      <c r="E57" s="146" t="str">
        <f aca="false">Scoring!BH64</f>
        <v/>
      </c>
      <c r="F57" s="146" t="n">
        <f aca="false">Scoring!B64</f>
        <v>0</v>
      </c>
      <c r="G57" s="146" t="n">
        <f aca="false">Scoring!D64</f>
        <v>0</v>
      </c>
      <c r="H57" s="146" t="str">
        <f aca="false">Scoring!DA64</f>
        <v/>
      </c>
      <c r="I57" s="148" t="str">
        <f aca="false">Scoring!CZ64</f>
        <v/>
      </c>
    </row>
    <row r="58" customFormat="false" ht="15.75" hidden="false" customHeight="false" outlineLevel="0" collapsed="false">
      <c r="A58" s="146" t="str">
        <f aca="false">Scoring!DC65</f>
        <v/>
      </c>
      <c r="B58" s="146" t="str">
        <f aca="false">Scoring!DB65</f>
        <v/>
      </c>
      <c r="C58" s="146" t="n">
        <f aca="false">Scoring!C65</f>
        <v>0</v>
      </c>
      <c r="D58" s="147" t="str">
        <f aca="false">Scoring!CY65</f>
        <v/>
      </c>
      <c r="E58" s="146" t="str">
        <f aca="false">Scoring!BH65</f>
        <v/>
      </c>
      <c r="F58" s="146" t="n">
        <f aca="false">Scoring!B65</f>
        <v>0</v>
      </c>
      <c r="G58" s="146" t="n">
        <f aca="false">Scoring!D65</f>
        <v>0</v>
      </c>
      <c r="H58" s="146" t="str">
        <f aca="false">Scoring!DA65</f>
        <v/>
      </c>
      <c r="I58" s="148" t="str">
        <f aca="false">Scoring!CZ65</f>
        <v/>
      </c>
    </row>
    <row r="59" customFormat="false" ht="15.75" hidden="false" customHeight="false" outlineLevel="0" collapsed="false">
      <c r="A59" s="146" t="str">
        <f aca="false">Scoring!DC66</f>
        <v/>
      </c>
      <c r="B59" s="146" t="str">
        <f aca="false">Scoring!DB66</f>
        <v/>
      </c>
      <c r="C59" s="146" t="n">
        <f aca="false">Scoring!C66</f>
        <v>0</v>
      </c>
      <c r="D59" s="147" t="str">
        <f aca="false">Scoring!CY66</f>
        <v/>
      </c>
      <c r="E59" s="146" t="str">
        <f aca="false">Scoring!BH66</f>
        <v/>
      </c>
      <c r="F59" s="146" t="n">
        <f aca="false">Scoring!B66</f>
        <v>0</v>
      </c>
      <c r="G59" s="146" t="n">
        <f aca="false">Scoring!D66</f>
        <v>0</v>
      </c>
      <c r="H59" s="146" t="str">
        <f aca="false">Scoring!DA66</f>
        <v/>
      </c>
      <c r="I59" s="148" t="str">
        <f aca="false">Scoring!CZ66</f>
        <v/>
      </c>
    </row>
    <row r="60" customFormat="false" ht="15.75" hidden="false" customHeight="false" outlineLevel="0" collapsed="false">
      <c r="A60" s="146" t="str">
        <f aca="false">Scoring!DC67</f>
        <v/>
      </c>
      <c r="B60" s="146" t="str">
        <f aca="false">Scoring!DB67</f>
        <v/>
      </c>
      <c r="C60" s="146" t="n">
        <f aca="false">Scoring!C67</f>
        <v>0</v>
      </c>
      <c r="D60" s="147" t="str">
        <f aca="false">Scoring!CY67</f>
        <v/>
      </c>
      <c r="E60" s="146" t="str">
        <f aca="false">Scoring!BH67</f>
        <v/>
      </c>
      <c r="F60" s="146" t="n">
        <f aca="false">Scoring!B67</f>
        <v>0</v>
      </c>
      <c r="G60" s="146" t="n">
        <f aca="false">Scoring!D67</f>
        <v>0</v>
      </c>
      <c r="H60" s="146" t="str">
        <f aca="false">Scoring!DA67</f>
        <v/>
      </c>
      <c r="I60" s="148" t="str">
        <f aca="false">Scoring!CZ67</f>
        <v/>
      </c>
    </row>
    <row r="61" customFormat="false" ht="15.75" hidden="false" customHeight="false" outlineLevel="0" collapsed="false">
      <c r="A61" s="146" t="str">
        <f aca="false">Scoring!DC68</f>
        <v/>
      </c>
      <c r="B61" s="146" t="str">
        <f aca="false">Scoring!DB68</f>
        <v/>
      </c>
      <c r="C61" s="146" t="n">
        <f aca="false">Scoring!C68</f>
        <v>0</v>
      </c>
      <c r="D61" s="147" t="str">
        <f aca="false">Scoring!CY68</f>
        <v/>
      </c>
      <c r="E61" s="146" t="str">
        <f aca="false">Scoring!BH68</f>
        <v/>
      </c>
      <c r="F61" s="146" t="n">
        <f aca="false">Scoring!B68</f>
        <v>0</v>
      </c>
      <c r="G61" s="146" t="n">
        <f aca="false">Scoring!D68</f>
        <v>0</v>
      </c>
      <c r="H61" s="146" t="str">
        <f aca="false">Scoring!DA68</f>
        <v/>
      </c>
      <c r="I61" s="148" t="str">
        <f aca="false">Scoring!CZ68</f>
        <v/>
      </c>
    </row>
    <row r="62" customFormat="false" ht="15.75" hidden="false" customHeight="false" outlineLevel="0" collapsed="false">
      <c r="A62" s="146" t="str">
        <f aca="false">Scoring!DC69</f>
        <v/>
      </c>
      <c r="B62" s="146" t="str">
        <f aca="false">Scoring!DB69</f>
        <v/>
      </c>
      <c r="C62" s="146" t="n">
        <f aca="false">Scoring!C69</f>
        <v>0</v>
      </c>
      <c r="D62" s="147" t="str">
        <f aca="false">Scoring!CY69</f>
        <v/>
      </c>
      <c r="E62" s="146" t="str">
        <f aca="false">Scoring!BH69</f>
        <v/>
      </c>
      <c r="F62" s="146" t="n">
        <f aca="false">Scoring!B69</f>
        <v>0</v>
      </c>
      <c r="G62" s="146" t="n">
        <f aca="false">Scoring!D69</f>
        <v>0</v>
      </c>
      <c r="H62" s="146" t="str">
        <f aca="false">Scoring!DA69</f>
        <v/>
      </c>
      <c r="I62" s="148" t="str">
        <f aca="false">Scoring!CZ69</f>
        <v/>
      </c>
    </row>
    <row r="63" customFormat="false" ht="15.75" hidden="false" customHeight="false" outlineLevel="0" collapsed="false">
      <c r="A63" s="146" t="str">
        <f aca="false">Scoring!DC70</f>
        <v/>
      </c>
      <c r="B63" s="146" t="str">
        <f aca="false">Scoring!DB70</f>
        <v/>
      </c>
      <c r="C63" s="146" t="n">
        <f aca="false">Scoring!C70</f>
        <v>0</v>
      </c>
      <c r="D63" s="147" t="str">
        <f aca="false">Scoring!CY70</f>
        <v/>
      </c>
      <c r="E63" s="146" t="str">
        <f aca="false">Scoring!BH70</f>
        <v/>
      </c>
      <c r="F63" s="146" t="n">
        <f aca="false">Scoring!B70</f>
        <v>0</v>
      </c>
      <c r="G63" s="146" t="n">
        <f aca="false">Scoring!D70</f>
        <v>0</v>
      </c>
      <c r="H63" s="146" t="str">
        <f aca="false">Scoring!DA70</f>
        <v/>
      </c>
      <c r="I63" s="148" t="str">
        <f aca="false">Scoring!CZ70</f>
        <v/>
      </c>
    </row>
    <row r="64" customFormat="false" ht="15.75" hidden="false" customHeight="false" outlineLevel="0" collapsed="false">
      <c r="A64" s="146" t="str">
        <f aca="false">Scoring!DC71</f>
        <v/>
      </c>
      <c r="B64" s="146" t="str">
        <f aca="false">Scoring!DB71</f>
        <v/>
      </c>
      <c r="C64" s="146" t="n">
        <f aca="false">Scoring!C71</f>
        <v>0</v>
      </c>
      <c r="D64" s="147" t="str">
        <f aca="false">Scoring!CY71</f>
        <v/>
      </c>
      <c r="E64" s="146" t="str">
        <f aca="false">Scoring!BH71</f>
        <v/>
      </c>
      <c r="F64" s="146" t="n">
        <f aca="false">Scoring!B71</f>
        <v>0</v>
      </c>
      <c r="G64" s="146" t="n">
        <f aca="false">Scoring!D71</f>
        <v>0</v>
      </c>
      <c r="H64" s="146" t="str">
        <f aca="false">Scoring!DA71</f>
        <v/>
      </c>
      <c r="I64" s="148" t="str">
        <f aca="false">Scoring!CZ71</f>
        <v/>
      </c>
    </row>
    <row r="65" customFormat="false" ht="15.75" hidden="false" customHeight="false" outlineLevel="0" collapsed="false">
      <c r="A65" s="146" t="str">
        <f aca="false">Scoring!DC72</f>
        <v/>
      </c>
      <c r="B65" s="146" t="str">
        <f aca="false">Scoring!DB72</f>
        <v/>
      </c>
      <c r="C65" s="146" t="n">
        <f aca="false">Scoring!C72</f>
        <v>0</v>
      </c>
      <c r="D65" s="147" t="str">
        <f aca="false">Scoring!CY72</f>
        <v/>
      </c>
      <c r="E65" s="146" t="str">
        <f aca="false">Scoring!BH72</f>
        <v/>
      </c>
      <c r="F65" s="146" t="n">
        <f aca="false">Scoring!B72</f>
        <v>0</v>
      </c>
      <c r="G65" s="146" t="n">
        <f aca="false">Scoring!D72</f>
        <v>0</v>
      </c>
      <c r="H65" s="146" t="str">
        <f aca="false">Scoring!DA72</f>
        <v/>
      </c>
      <c r="I65" s="148" t="str">
        <f aca="false">Scoring!CZ72</f>
        <v/>
      </c>
    </row>
    <row r="66" customFormat="false" ht="15.75" hidden="false" customHeight="false" outlineLevel="0" collapsed="false">
      <c r="A66" s="146" t="str">
        <f aca="false">Scoring!DC73</f>
        <v/>
      </c>
      <c r="B66" s="146" t="str">
        <f aca="false">Scoring!DB73</f>
        <v/>
      </c>
      <c r="C66" s="146" t="n">
        <f aca="false">Scoring!C73</f>
        <v>0</v>
      </c>
      <c r="D66" s="147" t="str">
        <f aca="false">Scoring!CY73</f>
        <v/>
      </c>
      <c r="E66" s="146" t="str">
        <f aca="false">Scoring!BH73</f>
        <v/>
      </c>
      <c r="F66" s="146" t="n">
        <f aca="false">Scoring!B73</f>
        <v>0</v>
      </c>
      <c r="G66" s="146" t="n">
        <f aca="false">Scoring!D73</f>
        <v>0</v>
      </c>
      <c r="H66" s="146" t="str">
        <f aca="false">Scoring!DA73</f>
        <v/>
      </c>
      <c r="I66" s="148" t="str">
        <f aca="false">Scoring!CZ73</f>
        <v/>
      </c>
    </row>
    <row r="67" customFormat="false" ht="15.75" hidden="false" customHeight="false" outlineLevel="0" collapsed="false">
      <c r="A67" s="146" t="str">
        <f aca="false">Scoring!DC74</f>
        <v/>
      </c>
      <c r="B67" s="146" t="str">
        <f aca="false">Scoring!DB74</f>
        <v/>
      </c>
      <c r="C67" s="146" t="n">
        <f aca="false">Scoring!C74</f>
        <v>0</v>
      </c>
      <c r="D67" s="147" t="str">
        <f aca="false">Scoring!CY74</f>
        <v/>
      </c>
      <c r="E67" s="146" t="str">
        <f aca="false">Scoring!BH74</f>
        <v/>
      </c>
      <c r="F67" s="146" t="n">
        <f aca="false">Scoring!B74</f>
        <v>0</v>
      </c>
      <c r="G67" s="146" t="n">
        <f aca="false">Scoring!D74</f>
        <v>0</v>
      </c>
      <c r="H67" s="146" t="str">
        <f aca="false">Scoring!DA74</f>
        <v/>
      </c>
      <c r="I67" s="148" t="str">
        <f aca="false">Scoring!CZ74</f>
        <v/>
      </c>
    </row>
    <row r="68" customFormat="false" ht="15.75" hidden="false" customHeight="false" outlineLevel="0" collapsed="false">
      <c r="A68" s="146" t="str">
        <f aca="false">Scoring!DC75</f>
        <v/>
      </c>
      <c r="B68" s="146" t="str">
        <f aca="false">Scoring!DB75</f>
        <v/>
      </c>
      <c r="C68" s="146" t="n">
        <f aca="false">Scoring!C75</f>
        <v>0</v>
      </c>
      <c r="D68" s="147" t="str">
        <f aca="false">Scoring!CY75</f>
        <v/>
      </c>
      <c r="E68" s="146" t="str">
        <f aca="false">Scoring!BH75</f>
        <v/>
      </c>
      <c r="F68" s="146" t="n">
        <f aca="false">Scoring!B75</f>
        <v>0</v>
      </c>
      <c r="G68" s="146" t="n">
        <f aca="false">Scoring!D75</f>
        <v>0</v>
      </c>
      <c r="H68" s="146" t="str">
        <f aca="false">Scoring!DA75</f>
        <v/>
      </c>
      <c r="I68" s="148" t="str">
        <f aca="false">Scoring!CZ75</f>
        <v/>
      </c>
    </row>
    <row r="69" customFormat="false" ht="15.75" hidden="false" customHeight="false" outlineLevel="0" collapsed="false">
      <c r="A69" s="146" t="str">
        <f aca="false">Scoring!DC76</f>
        <v/>
      </c>
      <c r="B69" s="146" t="str">
        <f aca="false">Scoring!DB76</f>
        <v/>
      </c>
      <c r="C69" s="146" t="n">
        <f aca="false">Scoring!C76</f>
        <v>0</v>
      </c>
      <c r="D69" s="147" t="str">
        <f aca="false">Scoring!CY76</f>
        <v/>
      </c>
      <c r="E69" s="146" t="str">
        <f aca="false">Scoring!BH76</f>
        <v/>
      </c>
      <c r="F69" s="146" t="n">
        <f aca="false">Scoring!B76</f>
        <v>0</v>
      </c>
      <c r="G69" s="146" t="n">
        <f aca="false">Scoring!D76</f>
        <v>0</v>
      </c>
      <c r="H69" s="146" t="str">
        <f aca="false">Scoring!DA76</f>
        <v/>
      </c>
      <c r="I69" s="148" t="str">
        <f aca="false">Scoring!CZ76</f>
        <v/>
      </c>
    </row>
    <row r="70" customFormat="false" ht="15.75" hidden="false" customHeight="false" outlineLevel="0" collapsed="false">
      <c r="A70" s="146" t="str">
        <f aca="false">Scoring!DC77</f>
        <v/>
      </c>
      <c r="B70" s="146" t="str">
        <f aca="false">Scoring!DB77</f>
        <v/>
      </c>
      <c r="C70" s="146" t="n">
        <f aca="false">Scoring!C77</f>
        <v>0</v>
      </c>
      <c r="D70" s="147" t="str">
        <f aca="false">Scoring!CY77</f>
        <v/>
      </c>
      <c r="E70" s="146" t="str">
        <f aca="false">Scoring!BH77</f>
        <v/>
      </c>
      <c r="F70" s="146" t="n">
        <f aca="false">Scoring!B77</f>
        <v>0</v>
      </c>
      <c r="G70" s="146" t="n">
        <f aca="false">Scoring!D77</f>
        <v>0</v>
      </c>
      <c r="H70" s="146" t="str">
        <f aca="false">Scoring!DA77</f>
        <v/>
      </c>
      <c r="I70" s="148" t="str">
        <f aca="false">Scoring!CZ77</f>
        <v/>
      </c>
    </row>
    <row r="71" customFormat="false" ht="15.75" hidden="false" customHeight="false" outlineLevel="0" collapsed="false">
      <c r="A71" s="146" t="str">
        <f aca="false">Scoring!DC78</f>
        <v/>
      </c>
      <c r="B71" s="146" t="str">
        <f aca="false">Scoring!DB78</f>
        <v/>
      </c>
      <c r="C71" s="146" t="n">
        <f aca="false">Scoring!C78</f>
        <v>0</v>
      </c>
      <c r="D71" s="147" t="str">
        <f aca="false">Scoring!CY78</f>
        <v/>
      </c>
      <c r="E71" s="146" t="str">
        <f aca="false">Scoring!BH78</f>
        <v/>
      </c>
      <c r="F71" s="146" t="n">
        <f aca="false">Scoring!B78</f>
        <v>0</v>
      </c>
      <c r="G71" s="146" t="n">
        <f aca="false">Scoring!D78</f>
        <v>0</v>
      </c>
      <c r="H71" s="146" t="str">
        <f aca="false">Scoring!DA78</f>
        <v/>
      </c>
      <c r="I71" s="148" t="str">
        <f aca="false">Scoring!CZ78</f>
        <v/>
      </c>
    </row>
    <row r="72" customFormat="false" ht="15.75" hidden="false" customHeight="false" outlineLevel="0" collapsed="false">
      <c r="A72" s="146" t="str">
        <f aca="false">Scoring!DC79</f>
        <v/>
      </c>
      <c r="B72" s="146" t="str">
        <f aca="false">Scoring!DB79</f>
        <v/>
      </c>
      <c r="C72" s="146" t="n">
        <f aca="false">Scoring!C79</f>
        <v>0</v>
      </c>
      <c r="D72" s="147" t="str">
        <f aca="false">Scoring!CY79</f>
        <v/>
      </c>
      <c r="E72" s="146" t="str">
        <f aca="false">Scoring!BH79</f>
        <v/>
      </c>
      <c r="F72" s="146" t="n">
        <f aca="false">Scoring!B79</f>
        <v>0</v>
      </c>
      <c r="G72" s="146" t="n">
        <f aca="false">Scoring!D79</f>
        <v>0</v>
      </c>
      <c r="H72" s="146" t="str">
        <f aca="false">Scoring!DA79</f>
        <v/>
      </c>
      <c r="I72" s="148" t="str">
        <f aca="false">Scoring!CZ79</f>
        <v/>
      </c>
    </row>
    <row r="73" customFormat="false" ht="15.75" hidden="false" customHeight="false" outlineLevel="0" collapsed="false">
      <c r="A73" s="146" t="str">
        <f aca="false">Scoring!DC80</f>
        <v/>
      </c>
      <c r="B73" s="146" t="str">
        <f aca="false">Scoring!DB80</f>
        <v/>
      </c>
      <c r="C73" s="146" t="n">
        <f aca="false">Scoring!C80</f>
        <v>0</v>
      </c>
      <c r="D73" s="147" t="str">
        <f aca="false">Scoring!CY80</f>
        <v/>
      </c>
      <c r="E73" s="146" t="str">
        <f aca="false">Scoring!BH80</f>
        <v/>
      </c>
      <c r="F73" s="146" t="n">
        <f aca="false">Scoring!B80</f>
        <v>0</v>
      </c>
      <c r="G73" s="146" t="n">
        <f aca="false">Scoring!D80</f>
        <v>0</v>
      </c>
      <c r="H73" s="146" t="str">
        <f aca="false">Scoring!DA80</f>
        <v/>
      </c>
      <c r="I73" s="148" t="str">
        <f aca="false">Scoring!CZ80</f>
        <v/>
      </c>
    </row>
    <row r="74" customFormat="false" ht="15.75" hidden="false" customHeight="false" outlineLevel="0" collapsed="false">
      <c r="A74" s="146" t="str">
        <f aca="false">Scoring!DC81</f>
        <v/>
      </c>
      <c r="B74" s="146" t="str">
        <f aca="false">Scoring!DB81</f>
        <v/>
      </c>
      <c r="C74" s="146" t="n">
        <f aca="false">Scoring!C81</f>
        <v>0</v>
      </c>
      <c r="D74" s="147" t="str">
        <f aca="false">Scoring!CY81</f>
        <v/>
      </c>
      <c r="E74" s="146" t="str">
        <f aca="false">Scoring!BH81</f>
        <v/>
      </c>
      <c r="F74" s="146" t="n">
        <f aca="false">Scoring!B81</f>
        <v>0</v>
      </c>
      <c r="G74" s="146" t="n">
        <f aca="false">Scoring!D81</f>
        <v>0</v>
      </c>
      <c r="H74" s="146" t="str">
        <f aca="false">Scoring!DA81</f>
        <v/>
      </c>
      <c r="I74" s="148" t="str">
        <f aca="false">Scoring!CZ81</f>
        <v/>
      </c>
    </row>
    <row r="75" customFormat="false" ht="15.75" hidden="false" customHeight="false" outlineLevel="0" collapsed="false">
      <c r="A75" s="146" t="str">
        <f aca="false">Scoring!DC82</f>
        <v/>
      </c>
      <c r="B75" s="146" t="str">
        <f aca="false">Scoring!DB82</f>
        <v/>
      </c>
      <c r="C75" s="146" t="n">
        <f aca="false">Scoring!C82</f>
        <v>0</v>
      </c>
      <c r="D75" s="147" t="str">
        <f aca="false">Scoring!CY82</f>
        <v/>
      </c>
      <c r="E75" s="146" t="str">
        <f aca="false">Scoring!BH82</f>
        <v/>
      </c>
      <c r="F75" s="146" t="n">
        <f aca="false">Scoring!B82</f>
        <v>0</v>
      </c>
      <c r="G75" s="146" t="n">
        <f aca="false">Scoring!D82</f>
        <v>0</v>
      </c>
      <c r="H75" s="146" t="str">
        <f aca="false">Scoring!DA82</f>
        <v/>
      </c>
      <c r="I75" s="148" t="str">
        <f aca="false">Scoring!CZ82</f>
        <v/>
      </c>
    </row>
    <row r="76" customFormat="false" ht="15.75" hidden="false" customHeight="false" outlineLevel="0" collapsed="false">
      <c r="A76" s="146" t="str">
        <f aca="false">Scoring!DC83</f>
        <v/>
      </c>
      <c r="B76" s="146" t="str">
        <f aca="false">Scoring!DB83</f>
        <v/>
      </c>
      <c r="C76" s="146" t="n">
        <f aca="false">Scoring!C83</f>
        <v>0</v>
      </c>
      <c r="D76" s="147" t="str">
        <f aca="false">Scoring!CY83</f>
        <v/>
      </c>
      <c r="E76" s="146" t="str">
        <f aca="false">Scoring!BH83</f>
        <v/>
      </c>
      <c r="F76" s="146" t="n">
        <f aca="false">Scoring!B83</f>
        <v>0</v>
      </c>
      <c r="G76" s="146" t="n">
        <f aca="false">Scoring!D83</f>
        <v>0</v>
      </c>
      <c r="H76" s="146" t="str">
        <f aca="false">Scoring!DA83</f>
        <v/>
      </c>
      <c r="I76" s="148" t="str">
        <f aca="false">Scoring!CZ83</f>
        <v/>
      </c>
    </row>
    <row r="77" customFormat="false" ht="15.75" hidden="false" customHeight="false" outlineLevel="0" collapsed="false">
      <c r="A77" s="146" t="str">
        <f aca="false">Scoring!DC84</f>
        <v/>
      </c>
      <c r="B77" s="146" t="str">
        <f aca="false">Scoring!DB84</f>
        <v/>
      </c>
      <c r="C77" s="146" t="n">
        <f aca="false">Scoring!C84</f>
        <v>0</v>
      </c>
      <c r="D77" s="147" t="str">
        <f aca="false">Scoring!CY84</f>
        <v/>
      </c>
      <c r="E77" s="146" t="str">
        <f aca="false">Scoring!BH84</f>
        <v/>
      </c>
      <c r="F77" s="146" t="n">
        <f aca="false">Scoring!B84</f>
        <v>0</v>
      </c>
      <c r="G77" s="146" t="n">
        <f aca="false">Scoring!D84</f>
        <v>0</v>
      </c>
      <c r="H77" s="146" t="str">
        <f aca="false">Scoring!DA84</f>
        <v/>
      </c>
      <c r="I77" s="148" t="str">
        <f aca="false">Scoring!CZ84</f>
        <v/>
      </c>
    </row>
    <row r="78" customFormat="false" ht="15.75" hidden="false" customHeight="false" outlineLevel="0" collapsed="false">
      <c r="A78" s="146" t="str">
        <f aca="false">Scoring!DC85</f>
        <v/>
      </c>
      <c r="B78" s="146" t="str">
        <f aca="false">Scoring!DB85</f>
        <v/>
      </c>
      <c r="C78" s="146" t="n">
        <f aca="false">Scoring!C85</f>
        <v>0</v>
      </c>
      <c r="D78" s="147" t="str">
        <f aca="false">Scoring!CY85</f>
        <v/>
      </c>
      <c r="E78" s="146" t="str">
        <f aca="false">Scoring!BH85</f>
        <v/>
      </c>
      <c r="F78" s="146" t="n">
        <f aca="false">Scoring!B85</f>
        <v>0</v>
      </c>
      <c r="G78" s="146" t="n">
        <f aca="false">Scoring!D85</f>
        <v>0</v>
      </c>
      <c r="H78" s="146" t="str">
        <f aca="false">Scoring!DA85</f>
        <v/>
      </c>
      <c r="I78" s="148" t="str">
        <f aca="false">Scoring!CZ85</f>
        <v/>
      </c>
    </row>
    <row r="79" customFormat="false" ht="15.75" hidden="false" customHeight="false" outlineLevel="0" collapsed="false">
      <c r="A79" s="146" t="str">
        <f aca="false">Scoring!DC86</f>
        <v/>
      </c>
      <c r="B79" s="146" t="str">
        <f aca="false">Scoring!DB86</f>
        <v/>
      </c>
      <c r="C79" s="146" t="n">
        <f aca="false">Scoring!C86</f>
        <v>0</v>
      </c>
      <c r="D79" s="147" t="str">
        <f aca="false">Scoring!CY86</f>
        <v/>
      </c>
      <c r="E79" s="146" t="str">
        <f aca="false">Scoring!BH86</f>
        <v/>
      </c>
      <c r="F79" s="146" t="n">
        <f aca="false">Scoring!B86</f>
        <v>0</v>
      </c>
      <c r="G79" s="146" t="n">
        <f aca="false">Scoring!D86</f>
        <v>0</v>
      </c>
      <c r="H79" s="146" t="str">
        <f aca="false">Scoring!DA86</f>
        <v/>
      </c>
      <c r="I79" s="148" t="str">
        <f aca="false">Scoring!CZ86</f>
        <v/>
      </c>
    </row>
    <row r="80" customFormat="false" ht="15.75" hidden="false" customHeight="false" outlineLevel="0" collapsed="false">
      <c r="A80" s="146" t="str">
        <f aca="false">Scoring!DC87</f>
        <v/>
      </c>
      <c r="B80" s="146" t="str">
        <f aca="false">Scoring!DB87</f>
        <v/>
      </c>
      <c r="C80" s="146" t="n">
        <f aca="false">Scoring!C87</f>
        <v>0</v>
      </c>
      <c r="D80" s="147" t="str">
        <f aca="false">Scoring!CY87</f>
        <v/>
      </c>
      <c r="E80" s="146" t="str">
        <f aca="false">Scoring!BH87</f>
        <v/>
      </c>
      <c r="F80" s="146" t="n">
        <f aca="false">Scoring!B87</f>
        <v>0</v>
      </c>
      <c r="G80" s="146" t="n">
        <f aca="false">Scoring!D87</f>
        <v>0</v>
      </c>
      <c r="H80" s="146" t="str">
        <f aca="false">Scoring!DA87</f>
        <v/>
      </c>
      <c r="I80" s="148" t="str">
        <f aca="false">Scoring!CZ87</f>
        <v/>
      </c>
    </row>
    <row r="81" customFormat="false" ht="15.75" hidden="false" customHeight="false" outlineLevel="0" collapsed="false">
      <c r="A81" s="146" t="str">
        <f aca="false">Scoring!DC88</f>
        <v/>
      </c>
      <c r="B81" s="146" t="str">
        <f aca="false">Scoring!DB88</f>
        <v/>
      </c>
      <c r="C81" s="146" t="n">
        <f aca="false">Scoring!C88</f>
        <v>0</v>
      </c>
      <c r="D81" s="147" t="str">
        <f aca="false">Scoring!CY88</f>
        <v/>
      </c>
      <c r="E81" s="146" t="str">
        <f aca="false">Scoring!BH88</f>
        <v/>
      </c>
      <c r="F81" s="146" t="n">
        <f aca="false">Scoring!B88</f>
        <v>0</v>
      </c>
      <c r="G81" s="146" t="n">
        <f aca="false">Scoring!D88</f>
        <v>0</v>
      </c>
      <c r="H81" s="146" t="str">
        <f aca="false">Scoring!DA88</f>
        <v/>
      </c>
      <c r="I81" s="148" t="str">
        <f aca="false">Scoring!CZ88</f>
        <v/>
      </c>
    </row>
    <row r="82" customFormat="false" ht="15.75" hidden="false" customHeight="false" outlineLevel="0" collapsed="false">
      <c r="A82" s="146" t="str">
        <f aca="false">Scoring!DC89</f>
        <v/>
      </c>
      <c r="B82" s="146" t="str">
        <f aca="false">Scoring!DB89</f>
        <v/>
      </c>
      <c r="C82" s="146" t="n">
        <f aca="false">Scoring!C89</f>
        <v>0</v>
      </c>
      <c r="D82" s="147" t="str">
        <f aca="false">Scoring!CY89</f>
        <v/>
      </c>
      <c r="E82" s="146" t="str">
        <f aca="false">Scoring!BH89</f>
        <v/>
      </c>
      <c r="F82" s="146" t="n">
        <f aca="false">Scoring!B89</f>
        <v>0</v>
      </c>
      <c r="G82" s="146" t="n">
        <f aca="false">Scoring!D89</f>
        <v>0</v>
      </c>
      <c r="H82" s="146" t="str">
        <f aca="false">Scoring!DA89</f>
        <v/>
      </c>
      <c r="I82" s="148" t="str">
        <f aca="false">Scoring!CZ89</f>
        <v/>
      </c>
    </row>
    <row r="83" customFormat="false" ht="15.75" hidden="false" customHeight="false" outlineLevel="0" collapsed="false">
      <c r="A83" s="146" t="str">
        <f aca="false">Scoring!DC90</f>
        <v/>
      </c>
      <c r="B83" s="146" t="str">
        <f aca="false">Scoring!DB90</f>
        <v/>
      </c>
      <c r="C83" s="146" t="n">
        <f aca="false">Scoring!C90</f>
        <v>0</v>
      </c>
      <c r="D83" s="147" t="str">
        <f aca="false">Scoring!CY90</f>
        <v/>
      </c>
      <c r="E83" s="146" t="str">
        <f aca="false">Scoring!BH90</f>
        <v/>
      </c>
      <c r="F83" s="146" t="n">
        <f aca="false">Scoring!B90</f>
        <v>0</v>
      </c>
      <c r="G83" s="146" t="n">
        <f aca="false">Scoring!D90</f>
        <v>0</v>
      </c>
      <c r="H83" s="146" t="str">
        <f aca="false">Scoring!DA90</f>
        <v/>
      </c>
      <c r="I83" s="148" t="str">
        <f aca="false">Scoring!CZ90</f>
        <v/>
      </c>
    </row>
    <row r="84" customFormat="false" ht="15.75" hidden="false" customHeight="false" outlineLevel="0" collapsed="false">
      <c r="A84" s="146" t="str">
        <f aca="false">Scoring!DC91</f>
        <v/>
      </c>
      <c r="B84" s="146" t="str">
        <f aca="false">Scoring!DB91</f>
        <v/>
      </c>
      <c r="C84" s="146" t="n">
        <f aca="false">Scoring!C91</f>
        <v>0</v>
      </c>
      <c r="D84" s="147" t="str">
        <f aca="false">Scoring!CY91</f>
        <v/>
      </c>
      <c r="E84" s="146" t="str">
        <f aca="false">Scoring!BH91</f>
        <v/>
      </c>
      <c r="F84" s="146" t="n">
        <f aca="false">Scoring!B91</f>
        <v>0</v>
      </c>
      <c r="G84" s="146" t="n">
        <f aca="false">Scoring!D91</f>
        <v>0</v>
      </c>
      <c r="H84" s="146" t="str">
        <f aca="false">Scoring!DA91</f>
        <v/>
      </c>
      <c r="I84" s="148" t="str">
        <f aca="false">Scoring!CZ91</f>
        <v/>
      </c>
    </row>
    <row r="85" customFormat="false" ht="15.75" hidden="false" customHeight="false" outlineLevel="0" collapsed="false">
      <c r="A85" s="146" t="str">
        <f aca="false">Scoring!DC92</f>
        <v/>
      </c>
      <c r="B85" s="146" t="str">
        <f aca="false">Scoring!DB92</f>
        <v/>
      </c>
      <c r="C85" s="146" t="n">
        <f aca="false">Scoring!C92</f>
        <v>0</v>
      </c>
      <c r="D85" s="147" t="str">
        <f aca="false">Scoring!CY92</f>
        <v/>
      </c>
      <c r="E85" s="146" t="str">
        <f aca="false">Scoring!BH92</f>
        <v/>
      </c>
      <c r="F85" s="146" t="n">
        <f aca="false">Scoring!B92</f>
        <v>0</v>
      </c>
      <c r="G85" s="146" t="n">
        <f aca="false">Scoring!D92</f>
        <v>0</v>
      </c>
      <c r="H85" s="146" t="str">
        <f aca="false">Scoring!DA92</f>
        <v/>
      </c>
      <c r="I85" s="148" t="str">
        <f aca="false">Scoring!CZ92</f>
        <v/>
      </c>
    </row>
    <row r="86" customFormat="false" ht="15.75" hidden="false" customHeight="false" outlineLevel="0" collapsed="false">
      <c r="A86" s="146" t="str">
        <f aca="false">Scoring!DC93</f>
        <v/>
      </c>
      <c r="B86" s="146" t="str">
        <f aca="false">Scoring!DB93</f>
        <v/>
      </c>
      <c r="C86" s="146" t="n">
        <f aca="false">Scoring!C93</f>
        <v>0</v>
      </c>
      <c r="D86" s="147" t="str">
        <f aca="false">Scoring!CY93</f>
        <v/>
      </c>
      <c r="E86" s="146" t="str">
        <f aca="false">Scoring!BH93</f>
        <v/>
      </c>
      <c r="F86" s="146" t="n">
        <f aca="false">Scoring!B93</f>
        <v>0</v>
      </c>
      <c r="G86" s="146" t="n">
        <f aca="false">Scoring!D93</f>
        <v>0</v>
      </c>
      <c r="H86" s="146" t="str">
        <f aca="false">Scoring!DA93</f>
        <v/>
      </c>
      <c r="I86" s="148" t="str">
        <f aca="false">Scoring!CZ93</f>
        <v/>
      </c>
    </row>
    <row r="87" customFormat="false" ht="15.75" hidden="false" customHeight="false" outlineLevel="0" collapsed="false">
      <c r="A87" s="146" t="str">
        <f aca="false">Scoring!DC94</f>
        <v/>
      </c>
      <c r="B87" s="146" t="str">
        <f aca="false">Scoring!DB94</f>
        <v/>
      </c>
      <c r="C87" s="146" t="n">
        <f aca="false">Scoring!C94</f>
        <v>0</v>
      </c>
      <c r="D87" s="147" t="str">
        <f aca="false">Scoring!CY94</f>
        <v/>
      </c>
      <c r="E87" s="146" t="str">
        <f aca="false">Scoring!BH94</f>
        <v/>
      </c>
      <c r="F87" s="146" t="n">
        <f aca="false">Scoring!B94</f>
        <v>0</v>
      </c>
      <c r="G87" s="146" t="n">
        <f aca="false">Scoring!D94</f>
        <v>0</v>
      </c>
      <c r="H87" s="146" t="str">
        <f aca="false">Scoring!DA94</f>
        <v/>
      </c>
      <c r="I87" s="148" t="str">
        <f aca="false">Scoring!CZ94</f>
        <v/>
      </c>
    </row>
    <row r="88" customFormat="false" ht="15.75" hidden="false" customHeight="false" outlineLevel="0" collapsed="false">
      <c r="A88" s="146" t="str">
        <f aca="false">Scoring!DC95</f>
        <v/>
      </c>
      <c r="B88" s="146" t="str">
        <f aca="false">Scoring!DB95</f>
        <v/>
      </c>
      <c r="C88" s="146" t="n">
        <f aca="false">Scoring!C95</f>
        <v>0</v>
      </c>
      <c r="D88" s="147" t="str">
        <f aca="false">Scoring!CY95</f>
        <v/>
      </c>
      <c r="E88" s="146" t="str">
        <f aca="false">Scoring!BH95</f>
        <v/>
      </c>
      <c r="F88" s="146" t="n">
        <f aca="false">Scoring!B95</f>
        <v>0</v>
      </c>
      <c r="G88" s="146" t="n">
        <f aca="false">Scoring!D95</f>
        <v>0</v>
      </c>
      <c r="H88" s="146" t="str">
        <f aca="false">Scoring!DA95</f>
        <v/>
      </c>
      <c r="I88" s="148" t="str">
        <f aca="false">Scoring!CZ95</f>
        <v/>
      </c>
    </row>
    <row r="89" customFormat="false" ht="15.75" hidden="false" customHeight="false" outlineLevel="0" collapsed="false">
      <c r="A89" s="146" t="str">
        <f aca="false">Scoring!DC96</f>
        <v/>
      </c>
      <c r="B89" s="146" t="str">
        <f aca="false">Scoring!DB96</f>
        <v/>
      </c>
      <c r="C89" s="146" t="n">
        <f aca="false">Scoring!C96</f>
        <v>0</v>
      </c>
      <c r="D89" s="147" t="str">
        <f aca="false">Scoring!CY96</f>
        <v/>
      </c>
      <c r="E89" s="146" t="str">
        <f aca="false">Scoring!BH96</f>
        <v/>
      </c>
      <c r="F89" s="146" t="n">
        <f aca="false">Scoring!B96</f>
        <v>0</v>
      </c>
      <c r="G89" s="146" t="n">
        <f aca="false">Scoring!D96</f>
        <v>0</v>
      </c>
      <c r="H89" s="146" t="str">
        <f aca="false">Scoring!DA96</f>
        <v/>
      </c>
      <c r="I89" s="148" t="str">
        <f aca="false">Scoring!CZ96</f>
        <v/>
      </c>
    </row>
    <row r="90" customFormat="false" ht="15.75" hidden="false" customHeight="false" outlineLevel="0" collapsed="false">
      <c r="A90" s="146" t="str">
        <f aca="false">Scoring!DC97</f>
        <v/>
      </c>
      <c r="B90" s="146" t="str">
        <f aca="false">Scoring!DB97</f>
        <v/>
      </c>
      <c r="C90" s="146" t="n">
        <f aca="false">Scoring!C97</f>
        <v>0</v>
      </c>
      <c r="D90" s="147" t="str">
        <f aca="false">Scoring!CY97</f>
        <v/>
      </c>
      <c r="E90" s="146" t="str">
        <f aca="false">Scoring!BH97</f>
        <v/>
      </c>
      <c r="F90" s="146" t="n">
        <f aca="false">Scoring!B97</f>
        <v>0</v>
      </c>
      <c r="G90" s="146" t="n">
        <f aca="false">Scoring!D97</f>
        <v>0</v>
      </c>
      <c r="H90" s="146" t="str">
        <f aca="false">Scoring!DA97</f>
        <v/>
      </c>
      <c r="I90" s="148" t="str">
        <f aca="false">Scoring!CZ97</f>
        <v/>
      </c>
    </row>
    <row r="91" customFormat="false" ht="15.75" hidden="false" customHeight="false" outlineLevel="0" collapsed="false">
      <c r="A91" s="146" t="str">
        <f aca="false">Scoring!DC98</f>
        <v/>
      </c>
      <c r="B91" s="146" t="str">
        <f aca="false">Scoring!DB98</f>
        <v/>
      </c>
      <c r="C91" s="146" t="n">
        <f aca="false">Scoring!C98</f>
        <v>0</v>
      </c>
      <c r="D91" s="147" t="str">
        <f aca="false">Scoring!CY98</f>
        <v/>
      </c>
      <c r="E91" s="146" t="str">
        <f aca="false">Scoring!BH98</f>
        <v/>
      </c>
      <c r="F91" s="146" t="n">
        <f aca="false">Scoring!B98</f>
        <v>0</v>
      </c>
      <c r="G91" s="146" t="n">
        <f aca="false">Scoring!D98</f>
        <v>0</v>
      </c>
      <c r="H91" s="146" t="str">
        <f aca="false">Scoring!DA98</f>
        <v/>
      </c>
      <c r="I91" s="148" t="str">
        <f aca="false">Scoring!CZ98</f>
        <v/>
      </c>
    </row>
    <row r="92" customFormat="false" ht="15.75" hidden="false" customHeight="false" outlineLevel="0" collapsed="false">
      <c r="A92" s="146" t="str">
        <f aca="false">Scoring!DC99</f>
        <v/>
      </c>
      <c r="B92" s="146" t="str">
        <f aca="false">Scoring!DB99</f>
        <v/>
      </c>
      <c r="C92" s="146" t="n">
        <f aca="false">Scoring!C99</f>
        <v>0</v>
      </c>
      <c r="D92" s="147" t="str">
        <f aca="false">Scoring!CY99</f>
        <v/>
      </c>
      <c r="E92" s="146" t="str">
        <f aca="false">Scoring!BH99</f>
        <v/>
      </c>
      <c r="F92" s="146" t="n">
        <f aca="false">Scoring!B99</f>
        <v>0</v>
      </c>
      <c r="G92" s="146" t="n">
        <f aca="false">Scoring!D99</f>
        <v>0</v>
      </c>
      <c r="H92" s="146" t="str">
        <f aca="false">Scoring!DA99</f>
        <v/>
      </c>
      <c r="I92" s="148" t="str">
        <f aca="false">Scoring!CZ99</f>
        <v/>
      </c>
    </row>
    <row r="93" customFormat="false" ht="15.75" hidden="false" customHeight="false" outlineLevel="0" collapsed="false">
      <c r="A93" s="146" t="str">
        <f aca="false">Scoring!DC100</f>
        <v/>
      </c>
      <c r="B93" s="146" t="str">
        <f aca="false">Scoring!DB100</f>
        <v/>
      </c>
      <c r="C93" s="146" t="n">
        <f aca="false">Scoring!C100</f>
        <v>0</v>
      </c>
      <c r="D93" s="147" t="str">
        <f aca="false">Scoring!CY100</f>
        <v/>
      </c>
      <c r="E93" s="146" t="str">
        <f aca="false">Scoring!BH100</f>
        <v/>
      </c>
      <c r="F93" s="146" t="n">
        <f aca="false">Scoring!B100</f>
        <v>0</v>
      </c>
      <c r="G93" s="146" t="n">
        <f aca="false">Scoring!D100</f>
        <v>0</v>
      </c>
      <c r="H93" s="146" t="str">
        <f aca="false">Scoring!DA100</f>
        <v/>
      </c>
      <c r="I93" s="148" t="str">
        <f aca="false">Scoring!CZ100</f>
        <v/>
      </c>
    </row>
    <row r="94" customFormat="false" ht="15.75" hidden="false" customHeight="false" outlineLevel="0" collapsed="false">
      <c r="A94" s="146" t="str">
        <f aca="false">Scoring!DC101</f>
        <v/>
      </c>
      <c r="B94" s="146" t="str">
        <f aca="false">Scoring!DB101</f>
        <v/>
      </c>
      <c r="C94" s="146" t="n">
        <f aca="false">Scoring!C101</f>
        <v>0</v>
      </c>
      <c r="D94" s="147" t="str">
        <f aca="false">Scoring!CY101</f>
        <v/>
      </c>
      <c r="E94" s="146" t="str">
        <f aca="false">Scoring!BH101</f>
        <v/>
      </c>
      <c r="F94" s="146" t="n">
        <f aca="false">Scoring!B101</f>
        <v>0</v>
      </c>
      <c r="G94" s="146" t="n">
        <f aca="false">Scoring!D101</f>
        <v>0</v>
      </c>
      <c r="H94" s="146" t="str">
        <f aca="false">Scoring!DA101</f>
        <v/>
      </c>
      <c r="I94" s="148" t="str">
        <f aca="false">Scoring!CZ101</f>
        <v/>
      </c>
    </row>
    <row r="95" customFormat="false" ht="15.75" hidden="false" customHeight="false" outlineLevel="0" collapsed="false">
      <c r="A95" s="146" t="str">
        <f aca="false">Scoring!DC102</f>
        <v/>
      </c>
      <c r="B95" s="146" t="str">
        <f aca="false">Scoring!DB102</f>
        <v/>
      </c>
      <c r="C95" s="146" t="n">
        <f aca="false">Scoring!C102</f>
        <v>0</v>
      </c>
      <c r="D95" s="147" t="str">
        <f aca="false">Scoring!CY102</f>
        <v/>
      </c>
      <c r="E95" s="146" t="str">
        <f aca="false">Scoring!BH102</f>
        <v/>
      </c>
      <c r="F95" s="146" t="n">
        <f aca="false">Scoring!B102</f>
        <v>0</v>
      </c>
      <c r="G95" s="146" t="n">
        <f aca="false">Scoring!D102</f>
        <v>0</v>
      </c>
      <c r="H95" s="146" t="str">
        <f aca="false">Scoring!DA102</f>
        <v/>
      </c>
      <c r="I95" s="148" t="str">
        <f aca="false">Scoring!CZ102</f>
        <v/>
      </c>
    </row>
    <row r="96" customFormat="false" ht="15.75" hidden="false" customHeight="false" outlineLevel="0" collapsed="false">
      <c r="A96" s="146" t="str">
        <f aca="false">Scoring!DC103</f>
        <v/>
      </c>
      <c r="B96" s="146" t="str">
        <f aca="false">Scoring!DB103</f>
        <v/>
      </c>
      <c r="C96" s="146" t="n">
        <f aca="false">Scoring!C103</f>
        <v>0</v>
      </c>
      <c r="D96" s="147" t="str">
        <f aca="false">Scoring!CY103</f>
        <v/>
      </c>
      <c r="E96" s="146" t="str">
        <f aca="false">Scoring!BH103</f>
        <v/>
      </c>
      <c r="F96" s="146" t="n">
        <f aca="false">Scoring!B103</f>
        <v>0</v>
      </c>
      <c r="G96" s="146" t="n">
        <f aca="false">Scoring!D103</f>
        <v>0</v>
      </c>
      <c r="H96" s="146" t="str">
        <f aca="false">Scoring!DA103</f>
        <v/>
      </c>
      <c r="I96" s="148" t="str">
        <f aca="false">Scoring!CZ103</f>
        <v/>
      </c>
    </row>
    <row r="97" customFormat="false" ht="15.75" hidden="false" customHeight="false" outlineLevel="0" collapsed="false">
      <c r="A97" s="146" t="str">
        <f aca="false">Scoring!DC104</f>
        <v/>
      </c>
      <c r="B97" s="146" t="str">
        <f aca="false">Scoring!DB104</f>
        <v/>
      </c>
      <c r="C97" s="146" t="n">
        <f aca="false">Scoring!C104</f>
        <v>0</v>
      </c>
      <c r="D97" s="147" t="str">
        <f aca="false">Scoring!CY104</f>
        <v/>
      </c>
      <c r="E97" s="146" t="str">
        <f aca="false">Scoring!BH104</f>
        <v/>
      </c>
      <c r="F97" s="146" t="n">
        <f aca="false">Scoring!B104</f>
        <v>0</v>
      </c>
      <c r="G97" s="146" t="n">
        <f aca="false">Scoring!D104</f>
        <v>0</v>
      </c>
      <c r="H97" s="146" t="str">
        <f aca="false">Scoring!DA104</f>
        <v/>
      </c>
      <c r="I97" s="148" t="str">
        <f aca="false">Scoring!CZ104</f>
        <v/>
      </c>
    </row>
    <row r="98" customFormat="false" ht="15.75" hidden="false" customHeight="false" outlineLevel="0" collapsed="false">
      <c r="A98" s="146" t="str">
        <f aca="false">Scoring!DC105</f>
        <v/>
      </c>
      <c r="B98" s="146" t="str">
        <f aca="false">Scoring!DB105</f>
        <v/>
      </c>
      <c r="C98" s="146" t="n">
        <f aca="false">Scoring!C105</f>
        <v>0</v>
      </c>
      <c r="D98" s="147" t="str">
        <f aca="false">Scoring!CY105</f>
        <v/>
      </c>
      <c r="E98" s="146" t="str">
        <f aca="false">Scoring!BH105</f>
        <v/>
      </c>
      <c r="F98" s="146" t="n">
        <f aca="false">Scoring!B105</f>
        <v>0</v>
      </c>
      <c r="G98" s="146" t="n">
        <f aca="false">Scoring!D105</f>
        <v>0</v>
      </c>
      <c r="H98" s="146" t="str">
        <f aca="false">Scoring!DA105</f>
        <v/>
      </c>
      <c r="I98" s="148" t="str">
        <f aca="false">Scoring!CZ105</f>
        <v/>
      </c>
    </row>
    <row r="99" customFormat="false" ht="15.75" hidden="false" customHeight="false" outlineLevel="0" collapsed="false">
      <c r="A99" s="146" t="str">
        <f aca="false">Scoring!DC106</f>
        <v/>
      </c>
      <c r="B99" s="146" t="str">
        <f aca="false">Scoring!DB106</f>
        <v/>
      </c>
      <c r="C99" s="146" t="n">
        <f aca="false">Scoring!C106</f>
        <v>0</v>
      </c>
      <c r="D99" s="147" t="str">
        <f aca="false">Scoring!CY106</f>
        <v/>
      </c>
      <c r="E99" s="146" t="str">
        <f aca="false">Scoring!BH106</f>
        <v/>
      </c>
      <c r="F99" s="146" t="n">
        <f aca="false">Scoring!B106</f>
        <v>0</v>
      </c>
      <c r="G99" s="146" t="n">
        <f aca="false">Scoring!D106</f>
        <v>0</v>
      </c>
      <c r="H99" s="146" t="str">
        <f aca="false">Scoring!DA106</f>
        <v/>
      </c>
      <c r="I99" s="148" t="str">
        <f aca="false">Scoring!CZ106</f>
        <v/>
      </c>
    </row>
    <row r="100" customFormat="false" ht="15.75" hidden="false" customHeight="false" outlineLevel="0" collapsed="false">
      <c r="A100" s="146" t="str">
        <f aca="false">Scoring!DC107</f>
        <v/>
      </c>
      <c r="B100" s="146" t="str">
        <f aca="false">Scoring!DB107</f>
        <v/>
      </c>
      <c r="C100" s="146" t="n">
        <f aca="false">Scoring!C107</f>
        <v>0</v>
      </c>
      <c r="D100" s="147" t="str">
        <f aca="false">Scoring!CY107</f>
        <v/>
      </c>
      <c r="E100" s="146" t="str">
        <f aca="false">Scoring!BH107</f>
        <v/>
      </c>
      <c r="F100" s="146" t="n">
        <f aca="false">Scoring!B107</f>
        <v>0</v>
      </c>
      <c r="G100" s="146" t="n">
        <f aca="false">Scoring!D107</f>
        <v>0</v>
      </c>
      <c r="H100" s="146" t="str">
        <f aca="false">Scoring!DA107</f>
        <v/>
      </c>
      <c r="I100" s="148" t="str">
        <f aca="false">Scoring!CZ107</f>
        <v/>
      </c>
    </row>
    <row r="101" customFormat="false" ht="15.75" hidden="false" customHeight="false" outlineLevel="0" collapsed="false">
      <c r="A101" s="146" t="str">
        <f aca="false">Scoring!DC108</f>
        <v/>
      </c>
      <c r="B101" s="146" t="str">
        <f aca="false">Scoring!DB108</f>
        <v/>
      </c>
      <c r="C101" s="146" t="n">
        <f aca="false">Scoring!C108</f>
        <v>0</v>
      </c>
      <c r="D101" s="147" t="str">
        <f aca="false">Scoring!CY108</f>
        <v/>
      </c>
      <c r="E101" s="146" t="str">
        <f aca="false">Scoring!BH108</f>
        <v/>
      </c>
      <c r="F101" s="146" t="n">
        <f aca="false">Scoring!B108</f>
        <v>0</v>
      </c>
      <c r="G101" s="146" t="n">
        <f aca="false">Scoring!D108</f>
        <v>0</v>
      </c>
      <c r="H101" s="146" t="str">
        <f aca="false">Scoring!DA108</f>
        <v/>
      </c>
      <c r="I101" s="148" t="str">
        <f aca="false">Scoring!CZ108</f>
        <v/>
      </c>
    </row>
    <row r="102" customFormat="false" ht="15.75" hidden="false" customHeight="false" outlineLevel="0" collapsed="false">
      <c r="A102" s="146" t="str">
        <f aca="false">Scoring!DC109</f>
        <v/>
      </c>
      <c r="B102" s="146" t="str">
        <f aca="false">Scoring!DB109</f>
        <v/>
      </c>
      <c r="C102" s="146" t="n">
        <f aca="false">Scoring!C109</f>
        <v>0</v>
      </c>
      <c r="D102" s="147" t="str">
        <f aca="false">Scoring!CY109</f>
        <v/>
      </c>
      <c r="E102" s="146" t="str">
        <f aca="false">Scoring!BH109</f>
        <v/>
      </c>
      <c r="F102" s="146" t="n">
        <f aca="false">Scoring!B109</f>
        <v>0</v>
      </c>
      <c r="G102" s="146" t="n">
        <f aca="false">Scoring!D109</f>
        <v>0</v>
      </c>
      <c r="H102" s="146" t="str">
        <f aca="false">Scoring!DA109</f>
        <v/>
      </c>
      <c r="I102" s="148" t="str">
        <f aca="false">Scoring!CZ109</f>
        <v/>
      </c>
    </row>
    <row r="103" customFormat="false" ht="15.75" hidden="false" customHeight="false" outlineLevel="0" collapsed="false">
      <c r="A103" s="146" t="str">
        <f aca="false">Scoring!DC110</f>
        <v/>
      </c>
      <c r="B103" s="146" t="str">
        <f aca="false">Scoring!DB110</f>
        <v/>
      </c>
      <c r="C103" s="146" t="n">
        <f aca="false">Scoring!C110</f>
        <v>0</v>
      </c>
      <c r="D103" s="147" t="str">
        <f aca="false">Scoring!CY110</f>
        <v/>
      </c>
      <c r="E103" s="146" t="str">
        <f aca="false">Scoring!BH110</f>
        <v/>
      </c>
      <c r="F103" s="146" t="n">
        <f aca="false">Scoring!B110</f>
        <v>0</v>
      </c>
      <c r="G103" s="146" t="n">
        <f aca="false">Scoring!D110</f>
        <v>0</v>
      </c>
      <c r="H103" s="146" t="str">
        <f aca="false">Scoring!DA110</f>
        <v/>
      </c>
      <c r="I103" s="148" t="str">
        <f aca="false">Scoring!CZ110</f>
        <v/>
      </c>
    </row>
    <row r="104" customFormat="false" ht="15.75" hidden="false" customHeight="false" outlineLevel="0" collapsed="false">
      <c r="A104" s="146" t="str">
        <f aca="false">Scoring!DC111</f>
        <v/>
      </c>
      <c r="B104" s="146" t="str">
        <f aca="false">Scoring!DB111</f>
        <v/>
      </c>
      <c r="C104" s="146" t="n">
        <f aca="false">Scoring!C111</f>
        <v>0</v>
      </c>
      <c r="D104" s="147" t="str">
        <f aca="false">Scoring!CY111</f>
        <v/>
      </c>
      <c r="E104" s="146" t="str">
        <f aca="false">Scoring!BH111</f>
        <v/>
      </c>
      <c r="F104" s="146" t="n">
        <f aca="false">Scoring!B111</f>
        <v>0</v>
      </c>
      <c r="G104" s="146" t="n">
        <f aca="false">Scoring!D111</f>
        <v>0</v>
      </c>
      <c r="H104" s="146" t="str">
        <f aca="false">Scoring!DA111</f>
        <v/>
      </c>
      <c r="I104" s="148" t="str">
        <f aca="false">Scoring!CZ111</f>
        <v/>
      </c>
    </row>
    <row r="105" customFormat="false" ht="15.75" hidden="false" customHeight="false" outlineLevel="0" collapsed="false">
      <c r="A105" s="146" t="str">
        <f aca="false">Scoring!DC112</f>
        <v/>
      </c>
      <c r="B105" s="146" t="str">
        <f aca="false">Scoring!DB112</f>
        <v/>
      </c>
      <c r="C105" s="146" t="n">
        <f aca="false">Scoring!C112</f>
        <v>0</v>
      </c>
      <c r="D105" s="147" t="str">
        <f aca="false">Scoring!CY112</f>
        <v/>
      </c>
      <c r="E105" s="146" t="str">
        <f aca="false">Scoring!BH112</f>
        <v/>
      </c>
      <c r="F105" s="146" t="n">
        <f aca="false">Scoring!B112</f>
        <v>0</v>
      </c>
      <c r="G105" s="146" t="n">
        <f aca="false">Scoring!D112</f>
        <v>0</v>
      </c>
      <c r="H105" s="146" t="str">
        <f aca="false">Scoring!DA112</f>
        <v/>
      </c>
      <c r="I105" s="148" t="str">
        <f aca="false">Scoring!CZ112</f>
        <v/>
      </c>
    </row>
    <row r="106" customFormat="false" ht="15.75" hidden="false" customHeight="false" outlineLevel="0" collapsed="false">
      <c r="A106" s="146" t="str">
        <f aca="false">Scoring!DC113</f>
        <v/>
      </c>
      <c r="B106" s="146" t="str">
        <f aca="false">Scoring!DB113</f>
        <v/>
      </c>
      <c r="C106" s="146" t="n">
        <f aca="false">Scoring!C113</f>
        <v>0</v>
      </c>
      <c r="D106" s="147" t="str">
        <f aca="false">Scoring!CY113</f>
        <v/>
      </c>
      <c r="E106" s="146" t="str">
        <f aca="false">Scoring!BH113</f>
        <v/>
      </c>
      <c r="F106" s="146" t="n">
        <f aca="false">Scoring!B113</f>
        <v>0</v>
      </c>
      <c r="G106" s="146" t="n">
        <f aca="false">Scoring!D113</f>
        <v>0</v>
      </c>
      <c r="H106" s="146" t="str">
        <f aca="false">Scoring!DA113</f>
        <v/>
      </c>
      <c r="I106" s="148" t="str">
        <f aca="false">Scoring!CZ113</f>
        <v/>
      </c>
    </row>
    <row r="107" customFormat="false" ht="15.75" hidden="false" customHeight="false" outlineLevel="0" collapsed="false">
      <c r="A107" s="146" t="str">
        <f aca="false">Scoring!DC114</f>
        <v/>
      </c>
      <c r="B107" s="146" t="str">
        <f aca="false">Scoring!DB114</f>
        <v/>
      </c>
      <c r="C107" s="146" t="n">
        <f aca="false">Scoring!C114</f>
        <v>0</v>
      </c>
      <c r="D107" s="147" t="str">
        <f aca="false">Scoring!CY114</f>
        <v/>
      </c>
      <c r="E107" s="146" t="str">
        <f aca="false">Scoring!BH114</f>
        <v/>
      </c>
      <c r="F107" s="146" t="n">
        <f aca="false">Scoring!B114</f>
        <v>0</v>
      </c>
      <c r="G107" s="146" t="n">
        <f aca="false">Scoring!D114</f>
        <v>0</v>
      </c>
      <c r="H107" s="146" t="str">
        <f aca="false">Scoring!DA114</f>
        <v/>
      </c>
      <c r="I107" s="148" t="str">
        <f aca="false">Scoring!CZ114</f>
        <v/>
      </c>
    </row>
    <row r="108" customFormat="false" ht="15.75" hidden="false" customHeight="false" outlineLevel="0" collapsed="false">
      <c r="A108" s="146" t="str">
        <f aca="false">Scoring!DC115</f>
        <v/>
      </c>
      <c r="B108" s="146" t="str">
        <f aca="false">Scoring!DB115</f>
        <v/>
      </c>
      <c r="C108" s="146" t="n">
        <f aca="false">Scoring!C115</f>
        <v>0</v>
      </c>
      <c r="D108" s="147" t="str">
        <f aca="false">Scoring!CY115</f>
        <v/>
      </c>
      <c r="E108" s="146" t="str">
        <f aca="false">Scoring!BH115</f>
        <v/>
      </c>
      <c r="F108" s="146" t="n">
        <f aca="false">Scoring!B115</f>
        <v>0</v>
      </c>
      <c r="G108" s="146" t="n">
        <f aca="false">Scoring!D115</f>
        <v>0</v>
      </c>
      <c r="H108" s="146" t="str">
        <f aca="false">Scoring!DA115</f>
        <v/>
      </c>
      <c r="I108" s="148" t="str">
        <f aca="false">Scoring!CZ115</f>
        <v/>
      </c>
    </row>
    <row r="109" customFormat="false" ht="15.75" hidden="false" customHeight="false" outlineLevel="0" collapsed="false">
      <c r="A109" s="146" t="str">
        <f aca="false">Scoring!DC116</f>
        <v/>
      </c>
      <c r="B109" s="146" t="str">
        <f aca="false">Scoring!DB116</f>
        <v/>
      </c>
      <c r="C109" s="146" t="n">
        <f aca="false">Scoring!C116</f>
        <v>0</v>
      </c>
      <c r="D109" s="147" t="str">
        <f aca="false">Scoring!CY116</f>
        <v/>
      </c>
      <c r="E109" s="146" t="str">
        <f aca="false">Scoring!BH116</f>
        <v/>
      </c>
      <c r="F109" s="146" t="n">
        <f aca="false">Scoring!B116</f>
        <v>0</v>
      </c>
      <c r="G109" s="146" t="n">
        <f aca="false">Scoring!D116</f>
        <v>0</v>
      </c>
      <c r="H109" s="146" t="str">
        <f aca="false">Scoring!DA116</f>
        <v/>
      </c>
      <c r="I109" s="148" t="str">
        <f aca="false">Scoring!CZ116</f>
        <v/>
      </c>
    </row>
    <row r="110" customFormat="false" ht="15.75" hidden="false" customHeight="false" outlineLevel="0" collapsed="false">
      <c r="A110" s="146" t="str">
        <f aca="false">Scoring!DC117</f>
        <v/>
      </c>
      <c r="B110" s="146" t="str">
        <f aca="false">Scoring!DB117</f>
        <v/>
      </c>
      <c r="C110" s="146" t="n">
        <f aca="false">Scoring!C117</f>
        <v>0</v>
      </c>
      <c r="D110" s="147" t="str">
        <f aca="false">Scoring!CY117</f>
        <v/>
      </c>
      <c r="E110" s="146" t="str">
        <f aca="false">Scoring!BH117</f>
        <v/>
      </c>
      <c r="F110" s="146" t="n">
        <f aca="false">Scoring!B117</f>
        <v>0</v>
      </c>
      <c r="G110" s="146" t="n">
        <f aca="false">Scoring!D117</f>
        <v>0</v>
      </c>
      <c r="H110" s="146" t="str">
        <f aca="false">Scoring!DA117</f>
        <v/>
      </c>
      <c r="I110" s="148" t="str">
        <f aca="false">Scoring!CZ117</f>
        <v/>
      </c>
    </row>
    <row r="111" customFormat="false" ht="15.75" hidden="false" customHeight="false" outlineLevel="0" collapsed="false">
      <c r="A111" s="146" t="str">
        <f aca="false">Scoring!DC118</f>
        <v/>
      </c>
      <c r="B111" s="146" t="str">
        <f aca="false">Scoring!DB118</f>
        <v/>
      </c>
      <c r="C111" s="146" t="n">
        <f aca="false">Scoring!C118</f>
        <v>0</v>
      </c>
      <c r="D111" s="147" t="str">
        <f aca="false">Scoring!CY118</f>
        <v/>
      </c>
      <c r="E111" s="146" t="str">
        <f aca="false">Scoring!BH118</f>
        <v/>
      </c>
      <c r="F111" s="146" t="n">
        <f aca="false">Scoring!B118</f>
        <v>0</v>
      </c>
      <c r="G111" s="146" t="n">
        <f aca="false">Scoring!D118</f>
        <v>0</v>
      </c>
      <c r="H111" s="146" t="str">
        <f aca="false">Scoring!DA118</f>
        <v/>
      </c>
      <c r="I111" s="148" t="str">
        <f aca="false">Scoring!CZ118</f>
        <v/>
      </c>
    </row>
    <row r="112" customFormat="false" ht="15.75" hidden="false" customHeight="false" outlineLevel="0" collapsed="false">
      <c r="A112" s="146" t="str">
        <f aca="false">Scoring!DC119</f>
        <v/>
      </c>
      <c r="B112" s="146" t="str">
        <f aca="false">Scoring!DB119</f>
        <v/>
      </c>
      <c r="C112" s="146" t="n">
        <f aca="false">Scoring!C119</f>
        <v>0</v>
      </c>
      <c r="D112" s="147" t="str">
        <f aca="false">Scoring!CY119</f>
        <v/>
      </c>
      <c r="E112" s="146" t="str">
        <f aca="false">Scoring!BH119</f>
        <v/>
      </c>
      <c r="F112" s="146" t="n">
        <f aca="false">Scoring!B119</f>
        <v>0</v>
      </c>
      <c r="G112" s="146" t="n">
        <f aca="false">Scoring!D119</f>
        <v>0</v>
      </c>
      <c r="H112" s="146" t="str">
        <f aca="false">Scoring!DA119</f>
        <v/>
      </c>
      <c r="I112" s="148" t="str">
        <f aca="false">Scoring!CZ119</f>
        <v/>
      </c>
    </row>
    <row r="113" customFormat="false" ht="15.75" hidden="false" customHeight="false" outlineLevel="0" collapsed="false">
      <c r="A113" s="146" t="str">
        <f aca="false">Scoring!DC120</f>
        <v/>
      </c>
      <c r="B113" s="146" t="str">
        <f aca="false">Scoring!DB120</f>
        <v/>
      </c>
      <c r="C113" s="146" t="n">
        <f aca="false">Scoring!C120</f>
        <v>0</v>
      </c>
      <c r="D113" s="147" t="str">
        <f aca="false">Scoring!CY120</f>
        <v/>
      </c>
      <c r="E113" s="146" t="str">
        <f aca="false">Scoring!BH120</f>
        <v/>
      </c>
      <c r="F113" s="146" t="n">
        <f aca="false">Scoring!B120</f>
        <v>0</v>
      </c>
      <c r="G113" s="146" t="n">
        <f aca="false">Scoring!D120</f>
        <v>0</v>
      </c>
      <c r="H113" s="146" t="str">
        <f aca="false">Scoring!DA120</f>
        <v/>
      </c>
      <c r="I113" s="148" t="str">
        <f aca="false">Scoring!CZ120</f>
        <v/>
      </c>
    </row>
    <row r="114" customFormat="false" ht="15.75" hidden="false" customHeight="false" outlineLevel="0" collapsed="false">
      <c r="A114" s="146" t="str">
        <f aca="false">Scoring!DC121</f>
        <v/>
      </c>
      <c r="B114" s="146" t="str">
        <f aca="false">Scoring!DB121</f>
        <v/>
      </c>
      <c r="C114" s="146" t="n">
        <f aca="false">Scoring!C121</f>
        <v>0</v>
      </c>
      <c r="D114" s="147" t="str">
        <f aca="false">Scoring!CY121</f>
        <v/>
      </c>
      <c r="E114" s="146" t="str">
        <f aca="false">Scoring!BH121</f>
        <v/>
      </c>
      <c r="F114" s="146" t="n">
        <f aca="false">Scoring!B121</f>
        <v>0</v>
      </c>
      <c r="G114" s="146" t="n">
        <f aca="false">Scoring!D121</f>
        <v>0</v>
      </c>
      <c r="H114" s="146" t="str">
        <f aca="false">Scoring!DA121</f>
        <v/>
      </c>
      <c r="I114" s="148" t="str">
        <f aca="false">Scoring!CZ121</f>
        <v/>
      </c>
    </row>
    <row r="115" customFormat="false" ht="15.75" hidden="false" customHeight="false" outlineLevel="0" collapsed="false">
      <c r="A115" s="146" t="str">
        <f aca="false">Scoring!DC122</f>
        <v/>
      </c>
      <c r="B115" s="146" t="str">
        <f aca="false">Scoring!DB122</f>
        <v/>
      </c>
      <c r="C115" s="146" t="n">
        <f aca="false">Scoring!C122</f>
        <v>0</v>
      </c>
      <c r="D115" s="147" t="str">
        <f aca="false">Scoring!CY122</f>
        <v/>
      </c>
      <c r="E115" s="146" t="str">
        <f aca="false">Scoring!BH122</f>
        <v/>
      </c>
      <c r="F115" s="146" t="n">
        <f aca="false">Scoring!B122</f>
        <v>0</v>
      </c>
      <c r="G115" s="146" t="n">
        <f aca="false">Scoring!D122</f>
        <v>0</v>
      </c>
      <c r="H115" s="146" t="str">
        <f aca="false">Scoring!DA122</f>
        <v/>
      </c>
      <c r="I115" s="148" t="str">
        <f aca="false">Scoring!CZ122</f>
        <v/>
      </c>
    </row>
    <row r="116" customFormat="false" ht="15.75" hidden="false" customHeight="false" outlineLevel="0" collapsed="false">
      <c r="A116" s="146" t="str">
        <f aca="false">Scoring!DC123</f>
        <v/>
      </c>
      <c r="B116" s="146" t="str">
        <f aca="false">Scoring!DB123</f>
        <v/>
      </c>
      <c r="C116" s="146" t="n">
        <f aca="false">Scoring!C123</f>
        <v>0</v>
      </c>
      <c r="D116" s="147" t="str">
        <f aca="false">Scoring!CY123</f>
        <v/>
      </c>
      <c r="E116" s="146" t="str">
        <f aca="false">Scoring!BH123</f>
        <v/>
      </c>
      <c r="F116" s="146" t="n">
        <f aca="false">Scoring!B123</f>
        <v>0</v>
      </c>
      <c r="G116" s="146" t="n">
        <f aca="false">Scoring!D123</f>
        <v>0</v>
      </c>
      <c r="H116" s="146" t="str">
        <f aca="false">Scoring!DA123</f>
        <v/>
      </c>
      <c r="I116" s="148" t="str">
        <f aca="false">Scoring!CZ123</f>
        <v/>
      </c>
    </row>
    <row r="117" customFormat="false" ht="15.75" hidden="false" customHeight="false" outlineLevel="0" collapsed="false">
      <c r="A117" s="146" t="str">
        <f aca="false">Scoring!DC124</f>
        <v/>
      </c>
      <c r="B117" s="146" t="str">
        <f aca="false">Scoring!DB124</f>
        <v/>
      </c>
      <c r="C117" s="146" t="n">
        <f aca="false">Scoring!C124</f>
        <v>0</v>
      </c>
      <c r="D117" s="147" t="str">
        <f aca="false">Scoring!CY124</f>
        <v/>
      </c>
      <c r="E117" s="146" t="str">
        <f aca="false">Scoring!BH124</f>
        <v/>
      </c>
      <c r="F117" s="146" t="n">
        <f aca="false">Scoring!B124</f>
        <v>0</v>
      </c>
      <c r="G117" s="146" t="n">
        <f aca="false">Scoring!D124</f>
        <v>0</v>
      </c>
      <c r="H117" s="146" t="str">
        <f aca="false">Scoring!DA124</f>
        <v/>
      </c>
      <c r="I117" s="148" t="str">
        <f aca="false">Scoring!CZ124</f>
        <v/>
      </c>
    </row>
    <row r="118" customFormat="false" ht="15.75" hidden="false" customHeight="false" outlineLevel="0" collapsed="false">
      <c r="A118" s="146" t="str">
        <f aca="false">Scoring!DC125</f>
        <v/>
      </c>
      <c r="B118" s="146" t="str">
        <f aca="false">Scoring!DB125</f>
        <v/>
      </c>
      <c r="C118" s="146" t="n">
        <f aca="false">Scoring!C125</f>
        <v>0</v>
      </c>
      <c r="D118" s="147" t="str">
        <f aca="false">Scoring!CY125</f>
        <v/>
      </c>
      <c r="E118" s="146" t="str">
        <f aca="false">Scoring!BH125</f>
        <v/>
      </c>
      <c r="F118" s="146" t="n">
        <f aca="false">Scoring!B125</f>
        <v>0</v>
      </c>
      <c r="G118" s="146" t="n">
        <f aca="false">Scoring!D125</f>
        <v>0</v>
      </c>
      <c r="H118" s="146" t="str">
        <f aca="false">Scoring!DA125</f>
        <v/>
      </c>
      <c r="I118" s="148" t="str">
        <f aca="false">Scoring!CZ125</f>
        <v/>
      </c>
    </row>
    <row r="119" customFormat="false" ht="15.75" hidden="false" customHeight="false" outlineLevel="0" collapsed="false">
      <c r="A119" s="146" t="str">
        <f aca="false">Scoring!DC126</f>
        <v/>
      </c>
      <c r="B119" s="146" t="str">
        <f aca="false">Scoring!DB126</f>
        <v/>
      </c>
      <c r="C119" s="146" t="n">
        <f aca="false">Scoring!C126</f>
        <v>0</v>
      </c>
      <c r="D119" s="147" t="str">
        <f aca="false">Scoring!CY126</f>
        <v/>
      </c>
      <c r="E119" s="146" t="str">
        <f aca="false">Scoring!BH126</f>
        <v/>
      </c>
      <c r="F119" s="146" t="n">
        <f aca="false">Scoring!B126</f>
        <v>0</v>
      </c>
      <c r="G119" s="146" t="n">
        <f aca="false">Scoring!D126</f>
        <v>0</v>
      </c>
      <c r="H119" s="146" t="str">
        <f aca="false">Scoring!DA126</f>
        <v/>
      </c>
      <c r="I119" s="148" t="str">
        <f aca="false">Scoring!CZ126</f>
        <v/>
      </c>
    </row>
    <row r="120" customFormat="false" ht="15.75" hidden="false" customHeight="false" outlineLevel="0" collapsed="false">
      <c r="A120" s="146" t="str">
        <f aca="false">Scoring!DC127</f>
        <v/>
      </c>
      <c r="B120" s="146" t="str">
        <f aca="false">Scoring!DB127</f>
        <v/>
      </c>
      <c r="C120" s="146" t="n">
        <f aca="false">Scoring!C127</f>
        <v>0</v>
      </c>
      <c r="D120" s="147" t="str">
        <f aca="false">Scoring!CY127</f>
        <v/>
      </c>
      <c r="E120" s="146" t="str">
        <f aca="false">Scoring!BH127</f>
        <v/>
      </c>
      <c r="F120" s="146" t="n">
        <f aca="false">Scoring!B127</f>
        <v>0</v>
      </c>
      <c r="G120" s="146" t="n">
        <f aca="false">Scoring!D127</f>
        <v>0</v>
      </c>
      <c r="H120" s="146" t="str">
        <f aca="false">Scoring!DA127</f>
        <v/>
      </c>
      <c r="I120" s="148" t="str">
        <f aca="false">Scoring!CZ127</f>
        <v/>
      </c>
    </row>
    <row r="121" customFormat="false" ht="15.75" hidden="false" customHeight="false" outlineLevel="0" collapsed="false">
      <c r="A121" s="146" t="str">
        <f aca="false">Scoring!DC128</f>
        <v/>
      </c>
      <c r="B121" s="146" t="str">
        <f aca="false">Scoring!DB128</f>
        <v/>
      </c>
      <c r="C121" s="146" t="n">
        <f aca="false">Scoring!C128</f>
        <v>0</v>
      </c>
      <c r="D121" s="147" t="str">
        <f aca="false">Scoring!CY128</f>
        <v/>
      </c>
      <c r="E121" s="146" t="str">
        <f aca="false">Scoring!BH128</f>
        <v/>
      </c>
      <c r="F121" s="146" t="n">
        <f aca="false">Scoring!B128</f>
        <v>0</v>
      </c>
      <c r="G121" s="146" t="n">
        <f aca="false">Scoring!D128</f>
        <v>0</v>
      </c>
      <c r="H121" s="146" t="str">
        <f aca="false">Scoring!DA128</f>
        <v/>
      </c>
      <c r="I121" s="148" t="str">
        <f aca="false">Scoring!CZ128</f>
        <v/>
      </c>
    </row>
    <row r="122" customFormat="false" ht="15.75" hidden="false" customHeight="false" outlineLevel="0" collapsed="false">
      <c r="A122" s="146" t="str">
        <f aca="false">Scoring!DC129</f>
        <v/>
      </c>
      <c r="B122" s="146" t="str">
        <f aca="false">Scoring!DB129</f>
        <v/>
      </c>
      <c r="C122" s="146" t="n">
        <f aca="false">Scoring!C129</f>
        <v>0</v>
      </c>
      <c r="D122" s="147" t="str">
        <f aca="false">Scoring!CY129</f>
        <v/>
      </c>
      <c r="E122" s="146" t="str">
        <f aca="false">Scoring!BH129</f>
        <v/>
      </c>
      <c r="F122" s="146" t="n">
        <f aca="false">Scoring!B129</f>
        <v>0</v>
      </c>
      <c r="G122" s="146" t="n">
        <f aca="false">Scoring!D129</f>
        <v>0</v>
      </c>
      <c r="H122" s="146" t="str">
        <f aca="false">Scoring!DA129</f>
        <v/>
      </c>
      <c r="I122" s="148" t="str">
        <f aca="false">Scoring!CZ129</f>
        <v/>
      </c>
    </row>
    <row r="123" customFormat="false" ht="15.75" hidden="false" customHeight="false" outlineLevel="0" collapsed="false">
      <c r="A123" s="146" t="str">
        <f aca="false">Scoring!DC130</f>
        <v/>
      </c>
      <c r="B123" s="146" t="str">
        <f aca="false">Scoring!DB130</f>
        <v/>
      </c>
      <c r="C123" s="146" t="n">
        <f aca="false">Scoring!C130</f>
        <v>0</v>
      </c>
      <c r="D123" s="147" t="str">
        <f aca="false">Scoring!CY130</f>
        <v/>
      </c>
      <c r="E123" s="146" t="str">
        <f aca="false">Scoring!BH130</f>
        <v/>
      </c>
      <c r="F123" s="146" t="n">
        <f aca="false">Scoring!B130</f>
        <v>0</v>
      </c>
      <c r="G123" s="146" t="n">
        <f aca="false">Scoring!D130</f>
        <v>0</v>
      </c>
      <c r="H123" s="146" t="str">
        <f aca="false">Scoring!DA130</f>
        <v/>
      </c>
      <c r="I123" s="148" t="str">
        <f aca="false">Scoring!CZ130</f>
        <v/>
      </c>
    </row>
    <row r="124" customFormat="false" ht="15.75" hidden="false" customHeight="false" outlineLevel="0" collapsed="false">
      <c r="A124" s="146" t="str">
        <f aca="false">Scoring!DC131</f>
        <v/>
      </c>
      <c r="B124" s="146" t="str">
        <f aca="false">Scoring!DB131</f>
        <v/>
      </c>
      <c r="C124" s="146" t="n">
        <f aca="false">Scoring!C131</f>
        <v>0</v>
      </c>
      <c r="D124" s="147" t="str">
        <f aca="false">Scoring!CY131</f>
        <v/>
      </c>
      <c r="E124" s="146" t="str">
        <f aca="false">Scoring!BH131</f>
        <v/>
      </c>
      <c r="F124" s="146" t="n">
        <f aca="false">Scoring!B131</f>
        <v>0</v>
      </c>
      <c r="G124" s="146" t="n">
        <f aca="false">Scoring!D131</f>
        <v>0</v>
      </c>
      <c r="H124" s="146" t="str">
        <f aca="false">Scoring!DA131</f>
        <v/>
      </c>
      <c r="I124" s="148" t="str">
        <f aca="false">Scoring!CZ131</f>
        <v/>
      </c>
    </row>
    <row r="125" customFormat="false" ht="15.75" hidden="false" customHeight="false" outlineLevel="0" collapsed="false">
      <c r="A125" s="146" t="str">
        <f aca="false">Scoring!DC132</f>
        <v/>
      </c>
      <c r="B125" s="146" t="str">
        <f aca="false">Scoring!DB132</f>
        <v/>
      </c>
      <c r="C125" s="146" t="n">
        <f aca="false">Scoring!C132</f>
        <v>0</v>
      </c>
      <c r="D125" s="147" t="str">
        <f aca="false">Scoring!CY132</f>
        <v/>
      </c>
      <c r="E125" s="146" t="str">
        <f aca="false">Scoring!BH132</f>
        <v/>
      </c>
      <c r="F125" s="146" t="n">
        <f aca="false">Scoring!B132</f>
        <v>0</v>
      </c>
      <c r="G125" s="146" t="n">
        <f aca="false">Scoring!D132</f>
        <v>0</v>
      </c>
      <c r="H125" s="146" t="str">
        <f aca="false">Scoring!DA132</f>
        <v/>
      </c>
      <c r="I125" s="148" t="str">
        <f aca="false">Scoring!CZ132</f>
        <v/>
      </c>
    </row>
    <row r="126" customFormat="false" ht="15.75" hidden="false" customHeight="false" outlineLevel="0" collapsed="false">
      <c r="A126" s="146" t="str">
        <f aca="false">Scoring!DC133</f>
        <v/>
      </c>
      <c r="B126" s="146" t="str">
        <f aca="false">Scoring!DB133</f>
        <v/>
      </c>
      <c r="C126" s="146" t="n">
        <f aca="false">Scoring!C133</f>
        <v>0</v>
      </c>
      <c r="D126" s="147" t="str">
        <f aca="false">Scoring!CY133</f>
        <v/>
      </c>
      <c r="E126" s="146" t="str">
        <f aca="false">Scoring!BH133</f>
        <v/>
      </c>
      <c r="F126" s="146" t="n">
        <f aca="false">Scoring!B133</f>
        <v>0</v>
      </c>
      <c r="G126" s="146" t="n">
        <f aca="false">Scoring!D133</f>
        <v>0</v>
      </c>
      <c r="H126" s="146" t="str">
        <f aca="false">Scoring!DA133</f>
        <v/>
      </c>
      <c r="I126" s="148" t="str">
        <f aca="false">Scoring!CZ133</f>
        <v/>
      </c>
    </row>
    <row r="127" customFormat="false" ht="15.75" hidden="false" customHeight="false" outlineLevel="0" collapsed="false">
      <c r="A127" s="146" t="str">
        <f aca="false">Scoring!DC134</f>
        <v/>
      </c>
      <c r="B127" s="146" t="str">
        <f aca="false">Scoring!DB134</f>
        <v/>
      </c>
      <c r="C127" s="146" t="n">
        <f aca="false">Scoring!C134</f>
        <v>0</v>
      </c>
      <c r="D127" s="147" t="str">
        <f aca="false">Scoring!CY134</f>
        <v/>
      </c>
      <c r="E127" s="146" t="str">
        <f aca="false">Scoring!BH134</f>
        <v/>
      </c>
      <c r="F127" s="146" t="n">
        <f aca="false">Scoring!B134</f>
        <v>0</v>
      </c>
      <c r="G127" s="146" t="n">
        <f aca="false">Scoring!D134</f>
        <v>0</v>
      </c>
      <c r="H127" s="146" t="str">
        <f aca="false">Scoring!DA134</f>
        <v/>
      </c>
      <c r="I127" s="148" t="str">
        <f aca="false">Scoring!CZ134</f>
        <v/>
      </c>
    </row>
    <row r="128" customFormat="false" ht="15.75" hidden="false" customHeight="false" outlineLevel="0" collapsed="false">
      <c r="A128" s="146" t="str">
        <f aca="false">Scoring!DC135</f>
        <v/>
      </c>
      <c r="B128" s="146" t="str">
        <f aca="false">Scoring!DB135</f>
        <v/>
      </c>
      <c r="C128" s="146" t="n">
        <f aca="false">Scoring!C135</f>
        <v>0</v>
      </c>
      <c r="D128" s="147" t="str">
        <f aca="false">Scoring!CY135</f>
        <v/>
      </c>
      <c r="E128" s="146" t="str">
        <f aca="false">Scoring!BH135</f>
        <v/>
      </c>
      <c r="F128" s="146" t="n">
        <f aca="false">Scoring!B135</f>
        <v>0</v>
      </c>
      <c r="G128" s="146" t="n">
        <f aca="false">Scoring!D135</f>
        <v>0</v>
      </c>
      <c r="H128" s="146" t="str">
        <f aca="false">Scoring!DA135</f>
        <v/>
      </c>
      <c r="I128" s="148" t="str">
        <f aca="false">Scoring!CZ135</f>
        <v/>
      </c>
    </row>
    <row r="129" customFormat="false" ht="15.75" hidden="false" customHeight="false" outlineLevel="0" collapsed="false">
      <c r="A129" s="146" t="str">
        <f aca="false">Scoring!DC136</f>
        <v/>
      </c>
      <c r="B129" s="146" t="str">
        <f aca="false">Scoring!DB136</f>
        <v/>
      </c>
      <c r="C129" s="146" t="n">
        <f aca="false">Scoring!C136</f>
        <v>0</v>
      </c>
      <c r="D129" s="147" t="str">
        <f aca="false">Scoring!CY136</f>
        <v/>
      </c>
      <c r="E129" s="146" t="str">
        <f aca="false">Scoring!BH136</f>
        <v/>
      </c>
      <c r="F129" s="146" t="n">
        <f aca="false">Scoring!B136</f>
        <v>0</v>
      </c>
      <c r="G129" s="146" t="n">
        <f aca="false">Scoring!D136</f>
        <v>0</v>
      </c>
      <c r="H129" s="146" t="str">
        <f aca="false">Scoring!DA136</f>
        <v/>
      </c>
      <c r="I129" s="148" t="str">
        <f aca="false">Scoring!CZ136</f>
        <v/>
      </c>
    </row>
    <row r="130" customFormat="false" ht="15.75" hidden="false" customHeight="false" outlineLevel="0" collapsed="false">
      <c r="A130" s="146" t="str">
        <f aca="false">Scoring!DC137</f>
        <v/>
      </c>
      <c r="B130" s="146" t="str">
        <f aca="false">Scoring!DB137</f>
        <v/>
      </c>
      <c r="C130" s="146" t="n">
        <f aca="false">Scoring!C137</f>
        <v>0</v>
      </c>
      <c r="D130" s="147" t="str">
        <f aca="false">Scoring!CY137</f>
        <v/>
      </c>
      <c r="E130" s="146" t="str">
        <f aca="false">Scoring!BH137</f>
        <v/>
      </c>
      <c r="F130" s="146" t="n">
        <f aca="false">Scoring!B137</f>
        <v>0</v>
      </c>
      <c r="G130" s="146" t="n">
        <f aca="false">Scoring!D137</f>
        <v>0</v>
      </c>
      <c r="H130" s="146" t="str">
        <f aca="false">Scoring!DA137</f>
        <v/>
      </c>
      <c r="I130" s="148" t="str">
        <f aca="false">Scoring!CZ137</f>
        <v/>
      </c>
    </row>
    <row r="131" customFormat="false" ht="15.75" hidden="false" customHeight="false" outlineLevel="0" collapsed="false">
      <c r="A131" s="146" t="str">
        <f aca="false">Scoring!DC138</f>
        <v/>
      </c>
      <c r="B131" s="146" t="str">
        <f aca="false">Scoring!DB138</f>
        <v/>
      </c>
      <c r="C131" s="146" t="n">
        <f aca="false">Scoring!C138</f>
        <v>0</v>
      </c>
      <c r="D131" s="147" t="str">
        <f aca="false">Scoring!CY138</f>
        <v/>
      </c>
      <c r="E131" s="146" t="str">
        <f aca="false">Scoring!BH138</f>
        <v/>
      </c>
      <c r="F131" s="146" t="n">
        <f aca="false">Scoring!B138</f>
        <v>0</v>
      </c>
      <c r="G131" s="146" t="n">
        <f aca="false">Scoring!D138</f>
        <v>0</v>
      </c>
      <c r="H131" s="146" t="str">
        <f aca="false">Scoring!DA138</f>
        <v/>
      </c>
      <c r="I131" s="148" t="str">
        <f aca="false">Scoring!CZ138</f>
        <v/>
      </c>
    </row>
    <row r="132" customFormat="false" ht="15.75" hidden="false" customHeight="false" outlineLevel="0" collapsed="false">
      <c r="A132" s="146" t="str">
        <f aca="false">Scoring!DC139</f>
        <v/>
      </c>
      <c r="B132" s="146" t="str">
        <f aca="false">Scoring!DB139</f>
        <v/>
      </c>
      <c r="C132" s="146" t="n">
        <f aca="false">Scoring!C139</f>
        <v>0</v>
      </c>
      <c r="D132" s="147" t="str">
        <f aca="false">Scoring!CY139</f>
        <v/>
      </c>
      <c r="E132" s="146" t="str">
        <f aca="false">Scoring!BH139</f>
        <v/>
      </c>
      <c r="F132" s="146" t="n">
        <f aca="false">Scoring!B139</f>
        <v>0</v>
      </c>
      <c r="G132" s="146" t="n">
        <f aca="false">Scoring!D139</f>
        <v>0</v>
      </c>
      <c r="H132" s="146" t="str">
        <f aca="false">Scoring!DA139</f>
        <v/>
      </c>
      <c r="I132" s="148" t="str">
        <f aca="false">Scoring!CZ139</f>
        <v/>
      </c>
    </row>
    <row r="133" customFormat="false" ht="15.75" hidden="false" customHeight="false" outlineLevel="0" collapsed="false">
      <c r="A133" s="146" t="str">
        <f aca="false">Scoring!DC140</f>
        <v/>
      </c>
      <c r="B133" s="146" t="str">
        <f aca="false">Scoring!DB140</f>
        <v/>
      </c>
      <c r="C133" s="146" t="n">
        <f aca="false">Scoring!C140</f>
        <v>0</v>
      </c>
      <c r="D133" s="147" t="str">
        <f aca="false">Scoring!CY140</f>
        <v/>
      </c>
      <c r="E133" s="146" t="str">
        <f aca="false">Scoring!BH140</f>
        <v/>
      </c>
      <c r="F133" s="146" t="n">
        <f aca="false">Scoring!B140</f>
        <v>0</v>
      </c>
      <c r="G133" s="146" t="n">
        <f aca="false">Scoring!D140</f>
        <v>0</v>
      </c>
      <c r="H133" s="146" t="str">
        <f aca="false">Scoring!DA140</f>
        <v/>
      </c>
      <c r="I133" s="148" t="str">
        <f aca="false">Scoring!CZ140</f>
        <v/>
      </c>
    </row>
    <row r="134" customFormat="false" ht="15.75" hidden="false" customHeight="false" outlineLevel="0" collapsed="false">
      <c r="A134" s="146" t="str">
        <f aca="false">Scoring!DC141</f>
        <v/>
      </c>
      <c r="B134" s="146" t="str">
        <f aca="false">Scoring!DB141</f>
        <v/>
      </c>
      <c r="C134" s="146" t="n">
        <f aca="false">Scoring!C141</f>
        <v>0</v>
      </c>
      <c r="D134" s="147" t="str">
        <f aca="false">Scoring!CY141</f>
        <v/>
      </c>
      <c r="E134" s="146" t="str">
        <f aca="false">Scoring!BH141</f>
        <v/>
      </c>
      <c r="F134" s="146" t="n">
        <f aca="false">Scoring!B141</f>
        <v>0</v>
      </c>
      <c r="G134" s="146" t="n">
        <f aca="false">Scoring!D141</f>
        <v>0</v>
      </c>
      <c r="H134" s="146" t="str">
        <f aca="false">Scoring!DA141</f>
        <v/>
      </c>
      <c r="I134" s="148" t="str">
        <f aca="false">Scoring!CZ141</f>
        <v/>
      </c>
    </row>
    <row r="135" customFormat="false" ht="15.75" hidden="false" customHeight="false" outlineLevel="0" collapsed="false">
      <c r="A135" s="146" t="str">
        <f aca="false">Scoring!DC142</f>
        <v/>
      </c>
      <c r="B135" s="146" t="str">
        <f aca="false">Scoring!DB142</f>
        <v/>
      </c>
      <c r="C135" s="146" t="n">
        <f aca="false">Scoring!C142</f>
        <v>0</v>
      </c>
      <c r="D135" s="147" t="str">
        <f aca="false">Scoring!CY142</f>
        <v/>
      </c>
      <c r="E135" s="146" t="str">
        <f aca="false">Scoring!BH142</f>
        <v/>
      </c>
      <c r="F135" s="146" t="n">
        <f aca="false">Scoring!B142</f>
        <v>0</v>
      </c>
      <c r="G135" s="146" t="n">
        <f aca="false">Scoring!D142</f>
        <v>0</v>
      </c>
      <c r="H135" s="146" t="str">
        <f aca="false">Scoring!DA142</f>
        <v/>
      </c>
      <c r="I135" s="148" t="str">
        <f aca="false">Scoring!CZ142</f>
        <v/>
      </c>
    </row>
    <row r="136" customFormat="false" ht="15.75" hidden="false" customHeight="false" outlineLevel="0" collapsed="false">
      <c r="A136" s="146" t="str">
        <f aca="false">Scoring!DC143</f>
        <v/>
      </c>
      <c r="B136" s="146" t="str">
        <f aca="false">Scoring!DB143</f>
        <v/>
      </c>
      <c r="C136" s="146" t="n">
        <f aca="false">Scoring!C143</f>
        <v>0</v>
      </c>
      <c r="D136" s="147" t="str">
        <f aca="false">Scoring!CY143</f>
        <v/>
      </c>
      <c r="E136" s="146" t="str">
        <f aca="false">Scoring!BH143</f>
        <v/>
      </c>
      <c r="F136" s="146" t="n">
        <f aca="false">Scoring!B143</f>
        <v>0</v>
      </c>
      <c r="G136" s="146" t="n">
        <f aca="false">Scoring!D143</f>
        <v>0</v>
      </c>
      <c r="H136" s="146" t="str">
        <f aca="false">Scoring!DA143</f>
        <v/>
      </c>
      <c r="I136" s="148" t="str">
        <f aca="false">Scoring!CZ143</f>
        <v/>
      </c>
    </row>
    <row r="137" customFormat="false" ht="15.75" hidden="false" customHeight="false" outlineLevel="0" collapsed="false">
      <c r="A137" s="146" t="str">
        <f aca="false">Scoring!DC144</f>
        <v/>
      </c>
      <c r="B137" s="146" t="str">
        <f aca="false">Scoring!DB144</f>
        <v/>
      </c>
      <c r="C137" s="146" t="n">
        <f aca="false">Scoring!C144</f>
        <v>0</v>
      </c>
      <c r="D137" s="147" t="str">
        <f aca="false">Scoring!CY144</f>
        <v/>
      </c>
      <c r="E137" s="146" t="str">
        <f aca="false">Scoring!BH144</f>
        <v/>
      </c>
      <c r="F137" s="146" t="n">
        <f aca="false">Scoring!B144</f>
        <v>0</v>
      </c>
      <c r="G137" s="146" t="n">
        <f aca="false">Scoring!D144</f>
        <v>0</v>
      </c>
      <c r="H137" s="146" t="str">
        <f aca="false">Scoring!DA144</f>
        <v/>
      </c>
      <c r="I137" s="148" t="str">
        <f aca="false">Scoring!CZ144</f>
        <v/>
      </c>
    </row>
    <row r="138" customFormat="false" ht="15.75" hidden="false" customHeight="false" outlineLevel="0" collapsed="false">
      <c r="A138" s="146" t="str">
        <f aca="false">Scoring!DC145</f>
        <v/>
      </c>
      <c r="B138" s="146" t="str">
        <f aca="false">Scoring!DB145</f>
        <v/>
      </c>
      <c r="C138" s="146" t="n">
        <f aca="false">Scoring!C145</f>
        <v>0</v>
      </c>
      <c r="D138" s="147" t="str">
        <f aca="false">Scoring!CY145</f>
        <v/>
      </c>
      <c r="E138" s="146" t="str">
        <f aca="false">Scoring!BH145</f>
        <v/>
      </c>
      <c r="F138" s="146" t="n">
        <f aca="false">Scoring!B145</f>
        <v>0</v>
      </c>
      <c r="G138" s="146" t="n">
        <f aca="false">Scoring!D145</f>
        <v>0</v>
      </c>
      <c r="H138" s="146" t="str">
        <f aca="false">Scoring!DA145</f>
        <v/>
      </c>
      <c r="I138" s="148" t="str">
        <f aca="false">Scoring!CZ145</f>
        <v/>
      </c>
    </row>
    <row r="139" customFormat="false" ht="15.75" hidden="false" customHeight="false" outlineLevel="0" collapsed="false">
      <c r="A139" s="146" t="str">
        <f aca="false">Scoring!DC146</f>
        <v/>
      </c>
      <c r="B139" s="146" t="str">
        <f aca="false">Scoring!DB146</f>
        <v/>
      </c>
      <c r="C139" s="146" t="n">
        <f aca="false">Scoring!C146</f>
        <v>0</v>
      </c>
      <c r="D139" s="147" t="str">
        <f aca="false">Scoring!CY146</f>
        <v/>
      </c>
      <c r="E139" s="146" t="str">
        <f aca="false">Scoring!BH146</f>
        <v/>
      </c>
      <c r="F139" s="146" t="n">
        <f aca="false">Scoring!B146</f>
        <v>0</v>
      </c>
      <c r="G139" s="146" t="n">
        <f aca="false">Scoring!D146</f>
        <v>0</v>
      </c>
      <c r="H139" s="146" t="str">
        <f aca="false">Scoring!DA146</f>
        <v/>
      </c>
      <c r="I139" s="148" t="str">
        <f aca="false">Scoring!CZ146</f>
        <v/>
      </c>
    </row>
    <row r="140" customFormat="false" ht="15.75" hidden="false" customHeight="false" outlineLevel="0" collapsed="false">
      <c r="A140" s="146" t="str">
        <f aca="false">Scoring!DC147</f>
        <v/>
      </c>
      <c r="B140" s="146" t="str">
        <f aca="false">Scoring!DB147</f>
        <v/>
      </c>
      <c r="C140" s="146" t="n">
        <f aca="false">Scoring!C147</f>
        <v>0</v>
      </c>
      <c r="D140" s="147" t="str">
        <f aca="false">Scoring!CY147</f>
        <v/>
      </c>
      <c r="E140" s="146" t="str">
        <f aca="false">Scoring!BH147</f>
        <v/>
      </c>
      <c r="F140" s="146" t="n">
        <f aca="false">Scoring!B147</f>
        <v>0</v>
      </c>
      <c r="G140" s="146" t="n">
        <f aca="false">Scoring!D147</f>
        <v>0</v>
      </c>
      <c r="H140" s="146" t="str">
        <f aca="false">Scoring!DA147</f>
        <v/>
      </c>
      <c r="I140" s="148" t="str">
        <f aca="false">Scoring!CZ147</f>
        <v/>
      </c>
    </row>
    <row r="141" customFormat="false" ht="15.75" hidden="false" customHeight="false" outlineLevel="0" collapsed="false">
      <c r="A141" s="146" t="str">
        <f aca="false">Scoring!DC148</f>
        <v/>
      </c>
      <c r="B141" s="146" t="str">
        <f aca="false">Scoring!DB148</f>
        <v/>
      </c>
      <c r="C141" s="146" t="n">
        <f aca="false">Scoring!C148</f>
        <v>0</v>
      </c>
      <c r="D141" s="147" t="str">
        <f aca="false">Scoring!CY148</f>
        <v/>
      </c>
      <c r="E141" s="146" t="str">
        <f aca="false">Scoring!BH148</f>
        <v/>
      </c>
      <c r="F141" s="146" t="n">
        <f aca="false">Scoring!B148</f>
        <v>0</v>
      </c>
      <c r="G141" s="146" t="n">
        <f aca="false">Scoring!D148</f>
        <v>0</v>
      </c>
      <c r="H141" s="146" t="str">
        <f aca="false">Scoring!DA148</f>
        <v/>
      </c>
      <c r="I141" s="148" t="str">
        <f aca="false">Scoring!CZ148</f>
        <v/>
      </c>
    </row>
    <row r="142" customFormat="false" ht="15.75" hidden="false" customHeight="false" outlineLevel="0" collapsed="false">
      <c r="A142" s="146" t="str">
        <f aca="false">Scoring!DC149</f>
        <v/>
      </c>
      <c r="B142" s="146" t="str">
        <f aca="false">Scoring!DB149</f>
        <v/>
      </c>
      <c r="C142" s="146" t="n">
        <f aca="false">Scoring!C149</f>
        <v>0</v>
      </c>
      <c r="D142" s="147" t="str">
        <f aca="false">Scoring!CY149</f>
        <v/>
      </c>
      <c r="E142" s="146" t="str">
        <f aca="false">Scoring!BH149</f>
        <v/>
      </c>
      <c r="F142" s="146" t="n">
        <f aca="false">Scoring!B149</f>
        <v>0</v>
      </c>
      <c r="G142" s="146" t="n">
        <f aca="false">Scoring!D149</f>
        <v>0</v>
      </c>
      <c r="H142" s="146" t="str">
        <f aca="false">Scoring!DA149</f>
        <v/>
      </c>
      <c r="I142" s="148" t="str">
        <f aca="false">Scoring!CZ149</f>
        <v/>
      </c>
    </row>
    <row r="143" customFormat="false" ht="15.75" hidden="false" customHeight="false" outlineLevel="0" collapsed="false">
      <c r="A143" s="146" t="str">
        <f aca="false">Scoring!DC150</f>
        <v/>
      </c>
      <c r="B143" s="146" t="str">
        <f aca="false">Scoring!DB150</f>
        <v/>
      </c>
      <c r="C143" s="146" t="n">
        <f aca="false">Scoring!C150</f>
        <v>0</v>
      </c>
      <c r="D143" s="147" t="str">
        <f aca="false">Scoring!CY150</f>
        <v/>
      </c>
      <c r="E143" s="146" t="str">
        <f aca="false">Scoring!BH150</f>
        <v/>
      </c>
      <c r="F143" s="146" t="n">
        <f aca="false">Scoring!B150</f>
        <v>0</v>
      </c>
      <c r="G143" s="146" t="n">
        <f aca="false">Scoring!D150</f>
        <v>0</v>
      </c>
      <c r="H143" s="146" t="str">
        <f aca="false">Scoring!DA150</f>
        <v/>
      </c>
      <c r="I143" s="148" t="str">
        <f aca="false">Scoring!CZ150</f>
        <v/>
      </c>
    </row>
    <row r="144" customFormat="false" ht="15.75" hidden="false" customHeight="false" outlineLevel="0" collapsed="false">
      <c r="A144" s="146" t="str">
        <f aca="false">Scoring!DC151</f>
        <v/>
      </c>
      <c r="B144" s="146" t="str">
        <f aca="false">Scoring!DB151</f>
        <v/>
      </c>
      <c r="C144" s="146" t="n">
        <f aca="false">Scoring!C151</f>
        <v>0</v>
      </c>
      <c r="D144" s="147" t="str">
        <f aca="false">Scoring!CY151</f>
        <v/>
      </c>
      <c r="E144" s="146" t="str">
        <f aca="false">Scoring!BH151</f>
        <v/>
      </c>
      <c r="F144" s="146" t="n">
        <f aca="false">Scoring!B151</f>
        <v>0</v>
      </c>
      <c r="G144" s="146" t="n">
        <f aca="false">Scoring!D151</f>
        <v>0</v>
      </c>
      <c r="H144" s="146" t="str">
        <f aca="false">Scoring!DA151</f>
        <v/>
      </c>
      <c r="I144" s="148" t="str">
        <f aca="false">Scoring!CZ151</f>
        <v/>
      </c>
    </row>
    <row r="145" customFormat="false" ht="15.75" hidden="false" customHeight="false" outlineLevel="0" collapsed="false">
      <c r="A145" s="146" t="str">
        <f aca="false">Scoring!DC152</f>
        <v/>
      </c>
      <c r="B145" s="146" t="str">
        <f aca="false">Scoring!DB152</f>
        <v/>
      </c>
      <c r="C145" s="146" t="n">
        <f aca="false">Scoring!C152</f>
        <v>0</v>
      </c>
      <c r="D145" s="147" t="str">
        <f aca="false">Scoring!CY152</f>
        <v/>
      </c>
      <c r="E145" s="146" t="str">
        <f aca="false">Scoring!BH152</f>
        <v/>
      </c>
      <c r="F145" s="146" t="n">
        <f aca="false">Scoring!B152</f>
        <v>0</v>
      </c>
      <c r="G145" s="146" t="n">
        <f aca="false">Scoring!D152</f>
        <v>0</v>
      </c>
      <c r="H145" s="146" t="str">
        <f aca="false">Scoring!DA152</f>
        <v/>
      </c>
      <c r="I145" s="148" t="str">
        <f aca="false">Scoring!CZ152</f>
        <v/>
      </c>
    </row>
    <row r="146" customFormat="false" ht="15.75" hidden="false" customHeight="false" outlineLevel="0" collapsed="false">
      <c r="A146" s="146" t="str">
        <f aca="false">Scoring!DC153</f>
        <v/>
      </c>
      <c r="B146" s="146" t="str">
        <f aca="false">Scoring!DB153</f>
        <v/>
      </c>
      <c r="C146" s="146" t="n">
        <f aca="false">Scoring!C153</f>
        <v>0</v>
      </c>
      <c r="D146" s="147" t="str">
        <f aca="false">Scoring!CY153</f>
        <v/>
      </c>
      <c r="E146" s="146" t="str">
        <f aca="false">Scoring!BH153</f>
        <v/>
      </c>
      <c r="F146" s="146" t="n">
        <f aca="false">Scoring!B153</f>
        <v>0</v>
      </c>
      <c r="G146" s="146" t="n">
        <f aca="false">Scoring!D153</f>
        <v>0</v>
      </c>
      <c r="H146" s="146" t="str">
        <f aca="false">Scoring!DA153</f>
        <v/>
      </c>
      <c r="I146" s="148" t="str">
        <f aca="false">Scoring!CZ153</f>
        <v/>
      </c>
    </row>
    <row r="147" customFormat="false" ht="15.75" hidden="false" customHeight="false" outlineLevel="0" collapsed="false">
      <c r="A147" s="146" t="str">
        <f aca="false">Scoring!DC154</f>
        <v/>
      </c>
      <c r="B147" s="146" t="str">
        <f aca="false">Scoring!DB154</f>
        <v/>
      </c>
      <c r="C147" s="146" t="n">
        <f aca="false">Scoring!C154</f>
        <v>0</v>
      </c>
      <c r="D147" s="147" t="str">
        <f aca="false">Scoring!CY154</f>
        <v/>
      </c>
      <c r="E147" s="146" t="str">
        <f aca="false">Scoring!BH154</f>
        <v/>
      </c>
      <c r="F147" s="146" t="n">
        <f aca="false">Scoring!B154</f>
        <v>0</v>
      </c>
      <c r="G147" s="146" t="n">
        <f aca="false">Scoring!D154</f>
        <v>0</v>
      </c>
      <c r="H147" s="146" t="str">
        <f aca="false">Scoring!DA154</f>
        <v/>
      </c>
      <c r="I147" s="148" t="str">
        <f aca="false">Scoring!CZ154</f>
        <v/>
      </c>
    </row>
    <row r="148" customFormat="false" ht="15.75" hidden="false" customHeight="false" outlineLevel="0" collapsed="false">
      <c r="A148" s="146" t="str">
        <f aca="false">Scoring!DC155</f>
        <v/>
      </c>
      <c r="B148" s="146" t="str">
        <f aca="false">Scoring!DB155</f>
        <v/>
      </c>
      <c r="C148" s="146" t="n">
        <f aca="false">Scoring!C155</f>
        <v>0</v>
      </c>
      <c r="D148" s="147" t="str">
        <f aca="false">Scoring!CY155</f>
        <v/>
      </c>
      <c r="E148" s="146" t="str">
        <f aca="false">Scoring!BH155</f>
        <v/>
      </c>
      <c r="F148" s="146" t="n">
        <f aca="false">Scoring!B155</f>
        <v>0</v>
      </c>
      <c r="G148" s="146" t="n">
        <f aca="false">Scoring!D155</f>
        <v>0</v>
      </c>
      <c r="H148" s="146" t="str">
        <f aca="false">Scoring!DA155</f>
        <v/>
      </c>
      <c r="I148" s="148" t="str">
        <f aca="false">Scoring!CZ155</f>
        <v/>
      </c>
    </row>
    <row r="149" customFormat="false" ht="15.75" hidden="false" customHeight="false" outlineLevel="0" collapsed="false">
      <c r="A149" s="146" t="str">
        <f aca="false">Scoring!DC156</f>
        <v/>
      </c>
      <c r="B149" s="146" t="str">
        <f aca="false">Scoring!DB156</f>
        <v/>
      </c>
      <c r="C149" s="146" t="n">
        <f aca="false">Scoring!C156</f>
        <v>0</v>
      </c>
      <c r="D149" s="147" t="str">
        <f aca="false">Scoring!CY156</f>
        <v/>
      </c>
      <c r="E149" s="146" t="str">
        <f aca="false">Scoring!BH156</f>
        <v/>
      </c>
      <c r="F149" s="146" t="n">
        <f aca="false">Scoring!B156</f>
        <v>0</v>
      </c>
      <c r="G149" s="146" t="n">
        <f aca="false">Scoring!D156</f>
        <v>0</v>
      </c>
      <c r="H149" s="146" t="str">
        <f aca="false">Scoring!DA156</f>
        <v/>
      </c>
      <c r="I149" s="148" t="str">
        <f aca="false">Scoring!CZ156</f>
        <v/>
      </c>
    </row>
    <row r="150" customFormat="false" ht="15.75" hidden="false" customHeight="false" outlineLevel="0" collapsed="false">
      <c r="A150" s="146" t="str">
        <f aca="false">Scoring!DC157</f>
        <v/>
      </c>
      <c r="B150" s="146" t="str">
        <f aca="false">Scoring!DB157</f>
        <v/>
      </c>
      <c r="C150" s="146" t="n">
        <f aca="false">Scoring!C157</f>
        <v>0</v>
      </c>
      <c r="D150" s="147" t="str">
        <f aca="false">Scoring!CY157</f>
        <v/>
      </c>
      <c r="E150" s="146" t="str">
        <f aca="false">Scoring!BH157</f>
        <v/>
      </c>
      <c r="F150" s="146" t="n">
        <f aca="false">Scoring!B157</f>
        <v>0</v>
      </c>
      <c r="G150" s="146" t="n">
        <f aca="false">Scoring!D157</f>
        <v>0</v>
      </c>
      <c r="H150" s="146" t="str">
        <f aca="false">Scoring!DA157</f>
        <v/>
      </c>
      <c r="I150" s="148" t="str">
        <f aca="false">Scoring!CZ157</f>
        <v/>
      </c>
    </row>
    <row r="151" customFormat="false" ht="15.75" hidden="false" customHeight="false" outlineLevel="0" collapsed="false">
      <c r="A151" s="146" t="str">
        <f aca="false">Scoring!DC158</f>
        <v/>
      </c>
      <c r="B151" s="146" t="str">
        <f aca="false">Scoring!DB158</f>
        <v/>
      </c>
      <c r="C151" s="146" t="n">
        <f aca="false">Scoring!C158</f>
        <v>0</v>
      </c>
      <c r="D151" s="147" t="str">
        <f aca="false">Scoring!CY158</f>
        <v/>
      </c>
      <c r="E151" s="146" t="str">
        <f aca="false">Scoring!BH158</f>
        <v/>
      </c>
      <c r="F151" s="146" t="n">
        <f aca="false">Scoring!B158</f>
        <v>0</v>
      </c>
      <c r="G151" s="146" t="n">
        <f aca="false">Scoring!D158</f>
        <v>0</v>
      </c>
      <c r="H151" s="146" t="str">
        <f aca="false">Scoring!DA158</f>
        <v/>
      </c>
      <c r="I151" s="148" t="str">
        <f aca="false">Scoring!CZ158</f>
        <v/>
      </c>
    </row>
    <row r="152" customFormat="false" ht="15.75" hidden="false" customHeight="false" outlineLevel="0" collapsed="false">
      <c r="A152" s="146" t="str">
        <f aca="false">Scoring!DC159</f>
        <v/>
      </c>
      <c r="B152" s="146" t="str">
        <f aca="false">Scoring!DB159</f>
        <v/>
      </c>
      <c r="C152" s="146" t="n">
        <f aca="false">Scoring!C159</f>
        <v>0</v>
      </c>
      <c r="D152" s="147" t="str">
        <f aca="false">Scoring!CY159</f>
        <v/>
      </c>
      <c r="E152" s="146" t="str">
        <f aca="false">Scoring!BH159</f>
        <v/>
      </c>
      <c r="F152" s="146" t="n">
        <f aca="false">Scoring!B159</f>
        <v>0</v>
      </c>
      <c r="G152" s="146" t="n">
        <f aca="false">Scoring!D159</f>
        <v>0</v>
      </c>
      <c r="H152" s="146" t="str">
        <f aca="false">Scoring!DA159</f>
        <v/>
      </c>
      <c r="I152" s="148" t="str">
        <f aca="false">Scoring!CZ159</f>
        <v/>
      </c>
    </row>
    <row r="153" customFormat="false" ht="15.75" hidden="false" customHeight="false" outlineLevel="0" collapsed="false">
      <c r="A153" s="146" t="str">
        <f aca="false">Scoring!DC160</f>
        <v/>
      </c>
      <c r="B153" s="146" t="str">
        <f aca="false">Scoring!DB160</f>
        <v/>
      </c>
      <c r="C153" s="146" t="n">
        <f aca="false">Scoring!C160</f>
        <v>0</v>
      </c>
      <c r="D153" s="147" t="str">
        <f aca="false">Scoring!CY160</f>
        <v/>
      </c>
      <c r="E153" s="146" t="str">
        <f aca="false">Scoring!BH160</f>
        <v/>
      </c>
      <c r="F153" s="146" t="n">
        <f aca="false">Scoring!B160</f>
        <v>0</v>
      </c>
      <c r="G153" s="146" t="n">
        <f aca="false">Scoring!D160</f>
        <v>0</v>
      </c>
      <c r="H153" s="146" t="str">
        <f aca="false">Scoring!DA160</f>
        <v/>
      </c>
      <c r="I153" s="148" t="str">
        <f aca="false">Scoring!CZ160</f>
        <v/>
      </c>
    </row>
    <row r="154" customFormat="false" ht="15.75" hidden="false" customHeight="false" outlineLevel="0" collapsed="false">
      <c r="A154" s="146" t="str">
        <f aca="false">Scoring!DC161</f>
        <v/>
      </c>
      <c r="B154" s="146" t="str">
        <f aca="false">Scoring!DB161</f>
        <v/>
      </c>
      <c r="C154" s="146" t="n">
        <f aca="false">Scoring!C161</f>
        <v>0</v>
      </c>
      <c r="D154" s="147" t="str">
        <f aca="false">Scoring!CY161</f>
        <v/>
      </c>
      <c r="E154" s="146" t="str">
        <f aca="false">Scoring!BH161</f>
        <v/>
      </c>
      <c r="F154" s="146" t="n">
        <f aca="false">Scoring!B161</f>
        <v>0</v>
      </c>
      <c r="G154" s="146" t="n">
        <f aca="false">Scoring!D161</f>
        <v>0</v>
      </c>
      <c r="H154" s="146" t="str">
        <f aca="false">Scoring!DA161</f>
        <v/>
      </c>
      <c r="I154" s="148" t="str">
        <f aca="false">Scoring!CZ161</f>
        <v/>
      </c>
    </row>
    <row r="155" customFormat="false" ht="15.75" hidden="false" customHeight="false" outlineLevel="0" collapsed="false">
      <c r="A155" s="146" t="str">
        <f aca="false">Scoring!DC162</f>
        <v/>
      </c>
      <c r="B155" s="146" t="str">
        <f aca="false">Scoring!DB162</f>
        <v/>
      </c>
      <c r="C155" s="146" t="n">
        <f aca="false">Scoring!C162</f>
        <v>0</v>
      </c>
      <c r="D155" s="147" t="str">
        <f aca="false">Scoring!CY162</f>
        <v/>
      </c>
      <c r="E155" s="146" t="str">
        <f aca="false">Scoring!BH162</f>
        <v/>
      </c>
      <c r="F155" s="146" t="n">
        <f aca="false">Scoring!B162</f>
        <v>0</v>
      </c>
      <c r="G155" s="146" t="n">
        <f aca="false">Scoring!D162</f>
        <v>0</v>
      </c>
      <c r="H155" s="146" t="str">
        <f aca="false">Scoring!DA162</f>
        <v/>
      </c>
      <c r="I155" s="148" t="str">
        <f aca="false">Scoring!CZ162</f>
        <v/>
      </c>
    </row>
    <row r="156" customFormat="false" ht="15.75" hidden="false" customHeight="false" outlineLevel="0" collapsed="false">
      <c r="A156" s="146" t="str">
        <f aca="false">Scoring!DC163</f>
        <v/>
      </c>
      <c r="B156" s="146" t="str">
        <f aca="false">Scoring!DB163</f>
        <v/>
      </c>
      <c r="C156" s="146" t="n">
        <f aca="false">Scoring!C163</f>
        <v>0</v>
      </c>
      <c r="D156" s="147" t="str">
        <f aca="false">Scoring!CY163</f>
        <v/>
      </c>
      <c r="E156" s="146" t="str">
        <f aca="false">Scoring!BH163</f>
        <v/>
      </c>
      <c r="F156" s="146" t="n">
        <f aca="false">Scoring!B163</f>
        <v>0</v>
      </c>
      <c r="G156" s="146" t="n">
        <f aca="false">Scoring!D163</f>
        <v>0</v>
      </c>
      <c r="H156" s="146" t="str">
        <f aca="false">Scoring!DA163</f>
        <v/>
      </c>
      <c r="I156" s="148" t="str">
        <f aca="false">Scoring!CZ163</f>
        <v/>
      </c>
    </row>
    <row r="157" customFormat="false" ht="15.75" hidden="false" customHeight="false" outlineLevel="0" collapsed="false">
      <c r="A157" s="146" t="str">
        <f aca="false">Scoring!DC164</f>
        <v/>
      </c>
      <c r="B157" s="146" t="str">
        <f aca="false">Scoring!DB164</f>
        <v/>
      </c>
      <c r="C157" s="146" t="n">
        <f aca="false">Scoring!C164</f>
        <v>0</v>
      </c>
      <c r="D157" s="147" t="str">
        <f aca="false">Scoring!CY164</f>
        <v/>
      </c>
      <c r="E157" s="146" t="str">
        <f aca="false">Scoring!BH164</f>
        <v/>
      </c>
      <c r="F157" s="146" t="n">
        <f aca="false">Scoring!B164</f>
        <v>0</v>
      </c>
      <c r="G157" s="146" t="n">
        <f aca="false">Scoring!D164</f>
        <v>0</v>
      </c>
      <c r="H157" s="146" t="str">
        <f aca="false">Scoring!DA164</f>
        <v/>
      </c>
      <c r="I157" s="148" t="str">
        <f aca="false">Scoring!CZ164</f>
        <v/>
      </c>
    </row>
    <row r="158" customFormat="false" ht="15.75" hidden="false" customHeight="false" outlineLevel="0" collapsed="false">
      <c r="A158" s="146" t="str">
        <f aca="false">Scoring!DC165</f>
        <v/>
      </c>
      <c r="B158" s="146" t="str">
        <f aca="false">Scoring!DB165</f>
        <v/>
      </c>
      <c r="C158" s="146" t="n">
        <f aca="false">Scoring!C165</f>
        <v>0</v>
      </c>
      <c r="D158" s="147" t="str">
        <f aca="false">Scoring!CY165</f>
        <v/>
      </c>
      <c r="E158" s="146" t="str">
        <f aca="false">Scoring!BH165</f>
        <v/>
      </c>
      <c r="F158" s="146" t="n">
        <f aca="false">Scoring!B165</f>
        <v>0</v>
      </c>
      <c r="G158" s="146" t="n">
        <f aca="false">Scoring!D165</f>
        <v>0</v>
      </c>
      <c r="H158" s="146" t="str">
        <f aca="false">Scoring!DA165</f>
        <v/>
      </c>
      <c r="I158" s="148" t="str">
        <f aca="false">Scoring!CZ165</f>
        <v/>
      </c>
    </row>
    <row r="159" customFormat="false" ht="15.75" hidden="false" customHeight="false" outlineLevel="0" collapsed="false">
      <c r="A159" s="146" t="str">
        <f aca="false">Scoring!DC166</f>
        <v/>
      </c>
      <c r="B159" s="146" t="str">
        <f aca="false">Scoring!DB166</f>
        <v/>
      </c>
      <c r="C159" s="146" t="n">
        <f aca="false">Scoring!C166</f>
        <v>0</v>
      </c>
      <c r="D159" s="147" t="str">
        <f aca="false">Scoring!CY166</f>
        <v/>
      </c>
      <c r="E159" s="146" t="str">
        <f aca="false">Scoring!BH166</f>
        <v/>
      </c>
      <c r="F159" s="146" t="n">
        <f aca="false">Scoring!B166</f>
        <v>0</v>
      </c>
      <c r="G159" s="146" t="n">
        <f aca="false">Scoring!D166</f>
        <v>0</v>
      </c>
      <c r="H159" s="146" t="str">
        <f aca="false">Scoring!DA166</f>
        <v/>
      </c>
      <c r="I159" s="148" t="str">
        <f aca="false">Scoring!CZ166</f>
        <v/>
      </c>
    </row>
    <row r="160" customFormat="false" ht="15.75" hidden="false" customHeight="false" outlineLevel="0" collapsed="false">
      <c r="A160" s="146" t="str">
        <f aca="false">Scoring!DC167</f>
        <v/>
      </c>
      <c r="B160" s="146" t="str">
        <f aca="false">Scoring!DB167</f>
        <v/>
      </c>
      <c r="C160" s="146" t="n">
        <f aca="false">Scoring!C167</f>
        <v>0</v>
      </c>
      <c r="D160" s="147" t="str">
        <f aca="false">Scoring!CY167</f>
        <v/>
      </c>
      <c r="E160" s="146" t="str">
        <f aca="false">Scoring!BH167</f>
        <v/>
      </c>
      <c r="F160" s="146" t="n">
        <f aca="false">Scoring!B167</f>
        <v>0</v>
      </c>
      <c r="G160" s="146" t="n">
        <f aca="false">Scoring!D167</f>
        <v>0</v>
      </c>
      <c r="H160" s="146" t="str">
        <f aca="false">Scoring!DA167</f>
        <v/>
      </c>
      <c r="I160" s="148" t="str">
        <f aca="false">Scoring!CZ167</f>
        <v/>
      </c>
    </row>
    <row r="161" customFormat="false" ht="15.75" hidden="false" customHeight="false" outlineLevel="0" collapsed="false">
      <c r="A161" s="146" t="str">
        <f aca="false">Scoring!DC168</f>
        <v/>
      </c>
      <c r="B161" s="146" t="str">
        <f aca="false">Scoring!DB168</f>
        <v/>
      </c>
      <c r="C161" s="146" t="n">
        <f aca="false">Scoring!C168</f>
        <v>0</v>
      </c>
      <c r="D161" s="147" t="str">
        <f aca="false">Scoring!CY168</f>
        <v/>
      </c>
      <c r="E161" s="146" t="str">
        <f aca="false">Scoring!BH168</f>
        <v/>
      </c>
      <c r="F161" s="146" t="n">
        <f aca="false">Scoring!B168</f>
        <v>0</v>
      </c>
      <c r="G161" s="146" t="n">
        <f aca="false">Scoring!D168</f>
        <v>0</v>
      </c>
      <c r="H161" s="146" t="str">
        <f aca="false">Scoring!DA168</f>
        <v/>
      </c>
      <c r="I161" s="148" t="str">
        <f aca="false">Scoring!CZ168</f>
        <v/>
      </c>
    </row>
    <row r="162" customFormat="false" ht="15.75" hidden="false" customHeight="false" outlineLevel="0" collapsed="false">
      <c r="A162" s="146" t="str">
        <f aca="false">Scoring!DC169</f>
        <v/>
      </c>
      <c r="B162" s="146" t="str">
        <f aca="false">Scoring!DB169</f>
        <v/>
      </c>
      <c r="C162" s="146" t="n">
        <f aca="false">Scoring!C169</f>
        <v>0</v>
      </c>
      <c r="D162" s="147" t="str">
        <f aca="false">Scoring!CY169</f>
        <v/>
      </c>
      <c r="E162" s="146" t="str">
        <f aca="false">Scoring!BH169</f>
        <v/>
      </c>
      <c r="F162" s="146" t="n">
        <f aca="false">Scoring!B169</f>
        <v>0</v>
      </c>
      <c r="G162" s="146" t="n">
        <f aca="false">Scoring!D169</f>
        <v>0</v>
      </c>
      <c r="H162" s="146" t="str">
        <f aca="false">Scoring!DA169</f>
        <v/>
      </c>
      <c r="I162" s="148" t="str">
        <f aca="false">Scoring!CZ169</f>
        <v/>
      </c>
    </row>
    <row r="163" customFormat="false" ht="15.75" hidden="false" customHeight="false" outlineLevel="0" collapsed="false">
      <c r="A163" s="146" t="str">
        <f aca="false">Scoring!DC170</f>
        <v/>
      </c>
      <c r="B163" s="146" t="str">
        <f aca="false">Scoring!DB170</f>
        <v/>
      </c>
      <c r="C163" s="146" t="n">
        <f aca="false">Scoring!C170</f>
        <v>0</v>
      </c>
      <c r="D163" s="147" t="str">
        <f aca="false">Scoring!CY170</f>
        <v/>
      </c>
      <c r="E163" s="146" t="str">
        <f aca="false">Scoring!BH170</f>
        <v/>
      </c>
      <c r="F163" s="146" t="n">
        <f aca="false">Scoring!B170</f>
        <v>0</v>
      </c>
      <c r="G163" s="146" t="n">
        <f aca="false">Scoring!D170</f>
        <v>0</v>
      </c>
      <c r="H163" s="146" t="str">
        <f aca="false">Scoring!DA170</f>
        <v/>
      </c>
      <c r="I163" s="148" t="str">
        <f aca="false">Scoring!CZ170</f>
        <v/>
      </c>
    </row>
    <row r="164" customFormat="false" ht="15.75" hidden="false" customHeight="false" outlineLevel="0" collapsed="false">
      <c r="A164" s="146" t="str">
        <f aca="false">Scoring!DC171</f>
        <v/>
      </c>
      <c r="B164" s="146" t="str">
        <f aca="false">Scoring!DB171</f>
        <v/>
      </c>
      <c r="C164" s="146" t="n">
        <f aca="false">Scoring!C171</f>
        <v>0</v>
      </c>
      <c r="D164" s="147" t="str">
        <f aca="false">Scoring!CY171</f>
        <v/>
      </c>
      <c r="E164" s="146" t="str">
        <f aca="false">Scoring!BH171</f>
        <v/>
      </c>
      <c r="F164" s="146" t="n">
        <f aca="false">Scoring!B171</f>
        <v>0</v>
      </c>
      <c r="G164" s="146" t="n">
        <f aca="false">Scoring!D171</f>
        <v>0</v>
      </c>
      <c r="H164" s="146" t="str">
        <f aca="false">Scoring!DA171</f>
        <v/>
      </c>
      <c r="I164" s="148" t="str">
        <f aca="false">Scoring!CZ171</f>
        <v/>
      </c>
    </row>
    <row r="165" customFormat="false" ht="15.75" hidden="false" customHeight="false" outlineLevel="0" collapsed="false">
      <c r="A165" s="146" t="str">
        <f aca="false">Scoring!DC172</f>
        <v/>
      </c>
      <c r="B165" s="146" t="str">
        <f aca="false">Scoring!DB172</f>
        <v/>
      </c>
      <c r="C165" s="146" t="n">
        <f aca="false">Scoring!C172</f>
        <v>0</v>
      </c>
      <c r="D165" s="147" t="str">
        <f aca="false">Scoring!CY172</f>
        <v/>
      </c>
      <c r="E165" s="146" t="str">
        <f aca="false">Scoring!BH172</f>
        <v/>
      </c>
      <c r="F165" s="146" t="n">
        <f aca="false">Scoring!B172</f>
        <v>0</v>
      </c>
      <c r="G165" s="146" t="n">
        <f aca="false">Scoring!D172</f>
        <v>0</v>
      </c>
      <c r="H165" s="146" t="str">
        <f aca="false">Scoring!DA172</f>
        <v/>
      </c>
      <c r="I165" s="148" t="str">
        <f aca="false">Scoring!CZ172</f>
        <v/>
      </c>
    </row>
    <row r="166" customFormat="false" ht="15.75" hidden="false" customHeight="false" outlineLevel="0" collapsed="false">
      <c r="A166" s="146" t="str">
        <f aca="false">Scoring!DC173</f>
        <v/>
      </c>
      <c r="B166" s="146" t="str">
        <f aca="false">Scoring!DB173</f>
        <v/>
      </c>
      <c r="C166" s="146" t="n">
        <f aca="false">Scoring!C173</f>
        <v>0</v>
      </c>
      <c r="D166" s="147" t="str">
        <f aca="false">Scoring!CY173</f>
        <v/>
      </c>
      <c r="E166" s="146" t="str">
        <f aca="false">Scoring!BH173</f>
        <v/>
      </c>
      <c r="F166" s="146" t="n">
        <f aca="false">Scoring!B173</f>
        <v>0</v>
      </c>
      <c r="G166" s="146" t="n">
        <f aca="false">Scoring!D173</f>
        <v>0</v>
      </c>
      <c r="H166" s="146" t="str">
        <f aca="false">Scoring!DA173</f>
        <v/>
      </c>
      <c r="I166" s="148" t="str">
        <f aca="false">Scoring!CZ173</f>
        <v/>
      </c>
    </row>
    <row r="167" customFormat="false" ht="15.75" hidden="false" customHeight="false" outlineLevel="0" collapsed="false">
      <c r="A167" s="146" t="str">
        <f aca="false">Scoring!DC174</f>
        <v/>
      </c>
      <c r="B167" s="146" t="str">
        <f aca="false">Scoring!DB174</f>
        <v/>
      </c>
      <c r="C167" s="146" t="n">
        <f aca="false">Scoring!C174</f>
        <v>0</v>
      </c>
      <c r="D167" s="147" t="str">
        <f aca="false">Scoring!CY174</f>
        <v/>
      </c>
      <c r="E167" s="146" t="str">
        <f aca="false">Scoring!BH174</f>
        <v/>
      </c>
      <c r="F167" s="146" t="n">
        <f aca="false">Scoring!B174</f>
        <v>0</v>
      </c>
      <c r="G167" s="146" t="n">
        <f aca="false">Scoring!D174</f>
        <v>0</v>
      </c>
      <c r="H167" s="146" t="str">
        <f aca="false">Scoring!DA174</f>
        <v/>
      </c>
      <c r="I167" s="148" t="str">
        <f aca="false">Scoring!CZ174</f>
        <v/>
      </c>
    </row>
    <row r="168" customFormat="false" ht="15.75" hidden="false" customHeight="false" outlineLevel="0" collapsed="false">
      <c r="A168" s="146" t="str">
        <f aca="false">Scoring!DC175</f>
        <v/>
      </c>
      <c r="B168" s="146" t="str">
        <f aca="false">Scoring!DB175</f>
        <v/>
      </c>
      <c r="C168" s="146" t="n">
        <f aca="false">Scoring!C175</f>
        <v>0</v>
      </c>
      <c r="D168" s="147" t="str">
        <f aca="false">Scoring!CY175</f>
        <v/>
      </c>
      <c r="E168" s="146" t="str">
        <f aca="false">Scoring!BH175</f>
        <v/>
      </c>
      <c r="F168" s="146" t="n">
        <f aca="false">Scoring!B175</f>
        <v>0</v>
      </c>
      <c r="G168" s="146" t="n">
        <f aca="false">Scoring!D175</f>
        <v>0</v>
      </c>
      <c r="H168" s="146" t="str">
        <f aca="false">Scoring!DA175</f>
        <v/>
      </c>
      <c r="I168" s="148" t="str">
        <f aca="false">Scoring!CZ175</f>
        <v/>
      </c>
    </row>
    <row r="169" customFormat="false" ht="15.75" hidden="false" customHeight="false" outlineLevel="0" collapsed="false">
      <c r="A169" s="146" t="str">
        <f aca="false">Scoring!DC176</f>
        <v/>
      </c>
      <c r="B169" s="146" t="str">
        <f aca="false">Scoring!DB176</f>
        <v/>
      </c>
      <c r="C169" s="146" t="n">
        <f aca="false">Scoring!C176</f>
        <v>0</v>
      </c>
      <c r="D169" s="147" t="str">
        <f aca="false">Scoring!CY176</f>
        <v/>
      </c>
      <c r="E169" s="146" t="str">
        <f aca="false">Scoring!BH176</f>
        <v/>
      </c>
      <c r="F169" s="146" t="n">
        <f aca="false">Scoring!B176</f>
        <v>0</v>
      </c>
      <c r="G169" s="146" t="n">
        <f aca="false">Scoring!D176</f>
        <v>0</v>
      </c>
      <c r="H169" s="146" t="str">
        <f aca="false">Scoring!DA176</f>
        <v/>
      </c>
      <c r="I169" s="148" t="str">
        <f aca="false">Scoring!CZ176</f>
        <v/>
      </c>
    </row>
    <row r="170" customFormat="false" ht="15.75" hidden="false" customHeight="false" outlineLevel="0" collapsed="false">
      <c r="A170" s="146" t="str">
        <f aca="false">Scoring!DC177</f>
        <v/>
      </c>
      <c r="B170" s="146" t="str">
        <f aca="false">Scoring!DB177</f>
        <v/>
      </c>
      <c r="C170" s="146" t="n">
        <f aca="false">Scoring!C177</f>
        <v>0</v>
      </c>
      <c r="D170" s="147" t="str">
        <f aca="false">Scoring!CY177</f>
        <v/>
      </c>
      <c r="E170" s="146" t="str">
        <f aca="false">Scoring!BH177</f>
        <v/>
      </c>
      <c r="F170" s="146" t="n">
        <f aca="false">Scoring!B177</f>
        <v>0</v>
      </c>
      <c r="G170" s="146" t="n">
        <f aca="false">Scoring!D177</f>
        <v>0</v>
      </c>
      <c r="H170" s="146" t="str">
        <f aca="false">Scoring!DA177</f>
        <v/>
      </c>
      <c r="I170" s="148" t="str">
        <f aca="false">Scoring!CZ177</f>
        <v/>
      </c>
    </row>
    <row r="171" customFormat="false" ht="15.75" hidden="false" customHeight="false" outlineLevel="0" collapsed="false">
      <c r="A171" s="146" t="str">
        <f aca="false">Scoring!DC178</f>
        <v/>
      </c>
      <c r="B171" s="146" t="str">
        <f aca="false">Scoring!DB178</f>
        <v/>
      </c>
      <c r="C171" s="146" t="n">
        <f aca="false">Scoring!C178</f>
        <v>0</v>
      </c>
      <c r="D171" s="147" t="str">
        <f aca="false">Scoring!CY178</f>
        <v/>
      </c>
      <c r="E171" s="146" t="str">
        <f aca="false">Scoring!BH178</f>
        <v/>
      </c>
      <c r="F171" s="146" t="n">
        <f aca="false">Scoring!B178</f>
        <v>0</v>
      </c>
      <c r="G171" s="146" t="n">
        <f aca="false">Scoring!D178</f>
        <v>0</v>
      </c>
      <c r="H171" s="146" t="str">
        <f aca="false">Scoring!DA178</f>
        <v/>
      </c>
      <c r="I171" s="148" t="str">
        <f aca="false">Scoring!CZ178</f>
        <v/>
      </c>
    </row>
    <row r="172" customFormat="false" ht="15.75" hidden="false" customHeight="false" outlineLevel="0" collapsed="false">
      <c r="A172" s="146" t="str">
        <f aca="false">Scoring!DC179</f>
        <v/>
      </c>
      <c r="B172" s="146" t="str">
        <f aca="false">Scoring!DB179</f>
        <v/>
      </c>
      <c r="C172" s="146" t="n">
        <f aca="false">Scoring!C179</f>
        <v>0</v>
      </c>
      <c r="D172" s="147" t="str">
        <f aca="false">Scoring!CY179</f>
        <v/>
      </c>
      <c r="E172" s="146" t="str">
        <f aca="false">Scoring!BH179</f>
        <v/>
      </c>
      <c r="F172" s="146" t="n">
        <f aca="false">Scoring!B179</f>
        <v>0</v>
      </c>
      <c r="G172" s="146" t="n">
        <f aca="false">Scoring!D179</f>
        <v>0</v>
      </c>
      <c r="H172" s="146" t="str">
        <f aca="false">Scoring!DA179</f>
        <v/>
      </c>
      <c r="I172" s="148" t="str">
        <f aca="false">Scoring!CZ179</f>
        <v/>
      </c>
    </row>
    <row r="173" customFormat="false" ht="15.75" hidden="false" customHeight="false" outlineLevel="0" collapsed="false">
      <c r="A173" s="146" t="str">
        <f aca="false">Scoring!DC180</f>
        <v/>
      </c>
      <c r="B173" s="146" t="str">
        <f aca="false">Scoring!DB180</f>
        <v/>
      </c>
      <c r="C173" s="146" t="n">
        <f aca="false">Scoring!C180</f>
        <v>0</v>
      </c>
      <c r="D173" s="147" t="str">
        <f aca="false">Scoring!CY180</f>
        <v/>
      </c>
      <c r="E173" s="146" t="str">
        <f aca="false">Scoring!BH180</f>
        <v/>
      </c>
      <c r="F173" s="146" t="n">
        <f aca="false">Scoring!B180</f>
        <v>0</v>
      </c>
      <c r="G173" s="146" t="n">
        <f aca="false">Scoring!D180</f>
        <v>0</v>
      </c>
      <c r="H173" s="146" t="str">
        <f aca="false">Scoring!DA180</f>
        <v/>
      </c>
      <c r="I173" s="148" t="str">
        <f aca="false">Scoring!CZ180</f>
        <v/>
      </c>
    </row>
    <row r="174" customFormat="false" ht="15.75" hidden="false" customHeight="false" outlineLevel="0" collapsed="false">
      <c r="A174" s="146" t="str">
        <f aca="false">Scoring!DC181</f>
        <v/>
      </c>
      <c r="B174" s="146" t="str">
        <f aca="false">Scoring!DB181</f>
        <v/>
      </c>
      <c r="C174" s="146" t="n">
        <f aca="false">Scoring!C181</f>
        <v>0</v>
      </c>
      <c r="D174" s="147" t="str">
        <f aca="false">Scoring!CY181</f>
        <v/>
      </c>
      <c r="E174" s="146" t="str">
        <f aca="false">Scoring!BH181</f>
        <v/>
      </c>
      <c r="F174" s="146" t="n">
        <f aca="false">Scoring!B181</f>
        <v>0</v>
      </c>
      <c r="G174" s="146" t="n">
        <f aca="false">Scoring!D181</f>
        <v>0</v>
      </c>
      <c r="H174" s="146" t="str">
        <f aca="false">Scoring!DA181</f>
        <v/>
      </c>
      <c r="I174" s="148" t="str">
        <f aca="false">Scoring!CZ181</f>
        <v/>
      </c>
    </row>
    <row r="175" customFormat="false" ht="15.75" hidden="false" customHeight="false" outlineLevel="0" collapsed="false">
      <c r="A175" s="146" t="str">
        <f aca="false">Scoring!DC182</f>
        <v/>
      </c>
      <c r="B175" s="146" t="str">
        <f aca="false">Scoring!DB182</f>
        <v/>
      </c>
      <c r="C175" s="146" t="n">
        <f aca="false">Scoring!C182</f>
        <v>0</v>
      </c>
      <c r="D175" s="147" t="str">
        <f aca="false">Scoring!CY182</f>
        <v/>
      </c>
      <c r="E175" s="146" t="str">
        <f aca="false">Scoring!BH182</f>
        <v/>
      </c>
      <c r="F175" s="146" t="n">
        <f aca="false">Scoring!B182</f>
        <v>0</v>
      </c>
      <c r="G175" s="146" t="n">
        <f aca="false">Scoring!D182</f>
        <v>0</v>
      </c>
      <c r="H175" s="146" t="str">
        <f aca="false">Scoring!DA182</f>
        <v/>
      </c>
      <c r="I175" s="148" t="str">
        <f aca="false">Scoring!CZ182</f>
        <v/>
      </c>
    </row>
    <row r="176" customFormat="false" ht="15.75" hidden="false" customHeight="false" outlineLevel="0" collapsed="false">
      <c r="A176" s="146" t="str">
        <f aca="false">Scoring!DC183</f>
        <v/>
      </c>
      <c r="B176" s="146" t="str">
        <f aca="false">Scoring!DB183</f>
        <v/>
      </c>
      <c r="C176" s="146" t="n">
        <f aca="false">Scoring!C183</f>
        <v>0</v>
      </c>
      <c r="D176" s="147" t="str">
        <f aca="false">Scoring!CY183</f>
        <v/>
      </c>
      <c r="E176" s="146" t="str">
        <f aca="false">Scoring!BH183</f>
        <v/>
      </c>
      <c r="F176" s="146" t="n">
        <f aca="false">Scoring!B183</f>
        <v>0</v>
      </c>
      <c r="G176" s="146" t="n">
        <f aca="false">Scoring!D183</f>
        <v>0</v>
      </c>
      <c r="H176" s="146" t="str">
        <f aca="false">Scoring!DA183</f>
        <v/>
      </c>
      <c r="I176" s="148" t="str">
        <f aca="false">Scoring!CZ183</f>
        <v/>
      </c>
    </row>
    <row r="177" customFormat="false" ht="15.75" hidden="false" customHeight="false" outlineLevel="0" collapsed="false">
      <c r="A177" s="146" t="str">
        <f aca="false">Scoring!DC184</f>
        <v/>
      </c>
      <c r="B177" s="146" t="str">
        <f aca="false">Scoring!DB184</f>
        <v/>
      </c>
      <c r="C177" s="146" t="n">
        <f aca="false">Scoring!C184</f>
        <v>0</v>
      </c>
      <c r="D177" s="147" t="str">
        <f aca="false">Scoring!CY184</f>
        <v/>
      </c>
      <c r="E177" s="146" t="str">
        <f aca="false">Scoring!BH184</f>
        <v/>
      </c>
      <c r="F177" s="146" t="n">
        <f aca="false">Scoring!B184</f>
        <v>0</v>
      </c>
      <c r="G177" s="146" t="n">
        <f aca="false">Scoring!D184</f>
        <v>0</v>
      </c>
      <c r="H177" s="146" t="str">
        <f aca="false">Scoring!DA184</f>
        <v/>
      </c>
      <c r="I177" s="148" t="str">
        <f aca="false">Scoring!CZ184</f>
        <v/>
      </c>
    </row>
    <row r="178" customFormat="false" ht="15.75" hidden="false" customHeight="false" outlineLevel="0" collapsed="false">
      <c r="A178" s="146" t="str">
        <f aca="false">Scoring!DC185</f>
        <v/>
      </c>
      <c r="B178" s="146" t="str">
        <f aca="false">Scoring!DB185</f>
        <v/>
      </c>
      <c r="C178" s="146" t="n">
        <f aca="false">Scoring!C185</f>
        <v>0</v>
      </c>
      <c r="D178" s="147" t="str">
        <f aca="false">Scoring!CY185</f>
        <v/>
      </c>
      <c r="E178" s="146" t="str">
        <f aca="false">Scoring!BH185</f>
        <v/>
      </c>
      <c r="F178" s="146" t="n">
        <f aca="false">Scoring!B185</f>
        <v>0</v>
      </c>
      <c r="G178" s="146" t="n">
        <f aca="false">Scoring!D185</f>
        <v>0</v>
      </c>
      <c r="H178" s="146" t="str">
        <f aca="false">Scoring!DA185</f>
        <v/>
      </c>
      <c r="I178" s="148" t="str">
        <f aca="false">Scoring!CZ185</f>
        <v/>
      </c>
    </row>
    <row r="179" customFormat="false" ht="15.75" hidden="false" customHeight="false" outlineLevel="0" collapsed="false">
      <c r="A179" s="146" t="str">
        <f aca="false">Scoring!DC186</f>
        <v/>
      </c>
      <c r="B179" s="146" t="str">
        <f aca="false">Scoring!DB186</f>
        <v/>
      </c>
      <c r="C179" s="146" t="n">
        <f aca="false">Scoring!C186</f>
        <v>0</v>
      </c>
      <c r="D179" s="147" t="str">
        <f aca="false">Scoring!CY186</f>
        <v/>
      </c>
      <c r="E179" s="146" t="str">
        <f aca="false">Scoring!BH186</f>
        <v/>
      </c>
      <c r="F179" s="146" t="n">
        <f aca="false">Scoring!B186</f>
        <v>0</v>
      </c>
      <c r="G179" s="146" t="n">
        <f aca="false">Scoring!D186</f>
        <v>0</v>
      </c>
      <c r="H179" s="146" t="str">
        <f aca="false">Scoring!DA186</f>
        <v/>
      </c>
      <c r="I179" s="148" t="str">
        <f aca="false">Scoring!CZ186</f>
        <v/>
      </c>
    </row>
    <row r="180" customFormat="false" ht="15.75" hidden="false" customHeight="false" outlineLevel="0" collapsed="false">
      <c r="A180" s="146" t="str">
        <f aca="false">Scoring!DC187</f>
        <v/>
      </c>
      <c r="B180" s="146" t="str">
        <f aca="false">Scoring!DB187</f>
        <v/>
      </c>
      <c r="C180" s="146" t="n">
        <f aca="false">Scoring!C187</f>
        <v>0</v>
      </c>
      <c r="D180" s="147" t="str">
        <f aca="false">Scoring!CY187</f>
        <v/>
      </c>
      <c r="E180" s="146" t="str">
        <f aca="false">Scoring!BH187</f>
        <v/>
      </c>
      <c r="F180" s="146" t="n">
        <f aca="false">Scoring!B187</f>
        <v>0</v>
      </c>
      <c r="G180" s="146" t="n">
        <f aca="false">Scoring!D187</f>
        <v>0</v>
      </c>
      <c r="H180" s="146" t="str">
        <f aca="false">Scoring!DA187</f>
        <v/>
      </c>
      <c r="I180" s="148" t="str">
        <f aca="false">Scoring!CZ187</f>
        <v/>
      </c>
    </row>
    <row r="181" customFormat="false" ht="15.75" hidden="false" customHeight="false" outlineLevel="0" collapsed="false">
      <c r="A181" s="146" t="str">
        <f aca="false">Scoring!DC188</f>
        <v/>
      </c>
      <c r="B181" s="146" t="str">
        <f aca="false">Scoring!DB188</f>
        <v/>
      </c>
      <c r="C181" s="146" t="n">
        <f aca="false">Scoring!C188</f>
        <v>0</v>
      </c>
      <c r="D181" s="147" t="str">
        <f aca="false">Scoring!CY188</f>
        <v/>
      </c>
      <c r="E181" s="146" t="str">
        <f aca="false">Scoring!BH188</f>
        <v/>
      </c>
      <c r="F181" s="146" t="n">
        <f aca="false">Scoring!B188</f>
        <v>0</v>
      </c>
      <c r="G181" s="146" t="n">
        <f aca="false">Scoring!D188</f>
        <v>0</v>
      </c>
      <c r="H181" s="146" t="str">
        <f aca="false">Scoring!DA188</f>
        <v/>
      </c>
      <c r="I181" s="148" t="str">
        <f aca="false">Scoring!CZ188</f>
        <v/>
      </c>
    </row>
    <row r="182" customFormat="false" ht="15.75" hidden="false" customHeight="false" outlineLevel="0" collapsed="false">
      <c r="A182" s="146" t="str">
        <f aca="false">Scoring!DC189</f>
        <v/>
      </c>
      <c r="B182" s="146" t="str">
        <f aca="false">Scoring!DB189</f>
        <v/>
      </c>
      <c r="C182" s="146" t="n">
        <f aca="false">Scoring!C189</f>
        <v>0</v>
      </c>
      <c r="D182" s="147" t="str">
        <f aca="false">Scoring!CY189</f>
        <v/>
      </c>
      <c r="E182" s="146" t="str">
        <f aca="false">Scoring!BH189</f>
        <v/>
      </c>
      <c r="F182" s="146" t="n">
        <f aca="false">Scoring!B189</f>
        <v>0</v>
      </c>
      <c r="G182" s="146" t="n">
        <f aca="false">Scoring!D189</f>
        <v>0</v>
      </c>
      <c r="H182" s="146" t="str">
        <f aca="false">Scoring!DA189</f>
        <v/>
      </c>
      <c r="I182" s="148" t="str">
        <f aca="false">Scoring!CZ189</f>
        <v/>
      </c>
    </row>
    <row r="183" customFormat="false" ht="15.75" hidden="false" customHeight="false" outlineLevel="0" collapsed="false">
      <c r="A183" s="146" t="str">
        <f aca="false">Scoring!DC190</f>
        <v/>
      </c>
      <c r="B183" s="146" t="str">
        <f aca="false">Scoring!DB190</f>
        <v/>
      </c>
      <c r="C183" s="146" t="n">
        <f aca="false">Scoring!C190</f>
        <v>0</v>
      </c>
      <c r="D183" s="147" t="str">
        <f aca="false">Scoring!CY190</f>
        <v/>
      </c>
      <c r="E183" s="146" t="str">
        <f aca="false">Scoring!BH190</f>
        <v/>
      </c>
      <c r="F183" s="146" t="n">
        <f aca="false">Scoring!B190</f>
        <v>0</v>
      </c>
      <c r="G183" s="146" t="n">
        <f aca="false">Scoring!D190</f>
        <v>0</v>
      </c>
      <c r="H183" s="146" t="str">
        <f aca="false">Scoring!DA190</f>
        <v/>
      </c>
      <c r="I183" s="148" t="str">
        <f aca="false">Scoring!CZ190</f>
        <v/>
      </c>
    </row>
    <row r="184" customFormat="false" ht="15.75" hidden="false" customHeight="false" outlineLevel="0" collapsed="false">
      <c r="A184" s="146" t="str">
        <f aca="false">Scoring!DC191</f>
        <v/>
      </c>
      <c r="B184" s="146" t="str">
        <f aca="false">Scoring!DB191</f>
        <v/>
      </c>
      <c r="C184" s="146" t="n">
        <f aca="false">Scoring!C191</f>
        <v>0</v>
      </c>
      <c r="D184" s="147" t="str">
        <f aca="false">Scoring!CY191</f>
        <v/>
      </c>
      <c r="E184" s="146" t="str">
        <f aca="false">Scoring!BH191</f>
        <v/>
      </c>
      <c r="F184" s="146" t="n">
        <f aca="false">Scoring!B191</f>
        <v>0</v>
      </c>
      <c r="G184" s="146" t="n">
        <f aca="false">Scoring!D191</f>
        <v>0</v>
      </c>
      <c r="H184" s="146" t="str">
        <f aca="false">Scoring!DA191</f>
        <v/>
      </c>
      <c r="I184" s="148" t="str">
        <f aca="false">Scoring!CZ191</f>
        <v/>
      </c>
    </row>
    <row r="185" customFormat="false" ht="15.75" hidden="false" customHeight="false" outlineLevel="0" collapsed="false">
      <c r="A185" s="146" t="str">
        <f aca="false">Scoring!DC192</f>
        <v/>
      </c>
      <c r="B185" s="146" t="str">
        <f aca="false">Scoring!DB192</f>
        <v/>
      </c>
      <c r="C185" s="146" t="n">
        <f aca="false">Scoring!C192</f>
        <v>0</v>
      </c>
      <c r="D185" s="147" t="str">
        <f aca="false">Scoring!CY192</f>
        <v/>
      </c>
      <c r="E185" s="146" t="str">
        <f aca="false">Scoring!BH192</f>
        <v/>
      </c>
      <c r="F185" s="146" t="n">
        <f aca="false">Scoring!B192</f>
        <v>0</v>
      </c>
      <c r="G185" s="146" t="n">
        <f aca="false">Scoring!D192</f>
        <v>0</v>
      </c>
      <c r="H185" s="146" t="str">
        <f aca="false">Scoring!DA192</f>
        <v/>
      </c>
      <c r="I185" s="148" t="str">
        <f aca="false">Scoring!CZ192</f>
        <v/>
      </c>
    </row>
    <row r="186" customFormat="false" ht="15.75" hidden="false" customHeight="false" outlineLevel="0" collapsed="false">
      <c r="A186" s="146" t="str">
        <f aca="false">Scoring!DC193</f>
        <v/>
      </c>
      <c r="B186" s="146" t="str">
        <f aca="false">Scoring!DB193</f>
        <v/>
      </c>
      <c r="C186" s="146" t="n">
        <f aca="false">Scoring!C193</f>
        <v>0</v>
      </c>
      <c r="D186" s="147" t="str">
        <f aca="false">Scoring!CY193</f>
        <v/>
      </c>
      <c r="E186" s="146" t="str">
        <f aca="false">Scoring!BH193</f>
        <v/>
      </c>
      <c r="F186" s="146" t="n">
        <f aca="false">Scoring!B193</f>
        <v>0</v>
      </c>
      <c r="G186" s="146" t="n">
        <f aca="false">Scoring!D193</f>
        <v>0</v>
      </c>
      <c r="H186" s="146" t="str">
        <f aca="false">Scoring!DA193</f>
        <v/>
      </c>
      <c r="I186" s="148" t="str">
        <f aca="false">Scoring!CZ193</f>
        <v/>
      </c>
    </row>
    <row r="187" customFormat="false" ht="15.75" hidden="false" customHeight="false" outlineLevel="0" collapsed="false">
      <c r="A187" s="146" t="str">
        <f aca="false">Scoring!DC194</f>
        <v/>
      </c>
      <c r="B187" s="146" t="str">
        <f aca="false">Scoring!DB194</f>
        <v/>
      </c>
      <c r="C187" s="146" t="n">
        <f aca="false">Scoring!C194</f>
        <v>0</v>
      </c>
      <c r="D187" s="147" t="str">
        <f aca="false">Scoring!CY194</f>
        <v/>
      </c>
      <c r="E187" s="146" t="str">
        <f aca="false">Scoring!BH194</f>
        <v/>
      </c>
      <c r="F187" s="146" t="n">
        <f aca="false">Scoring!B194</f>
        <v>0</v>
      </c>
      <c r="G187" s="146" t="n">
        <f aca="false">Scoring!D194</f>
        <v>0</v>
      </c>
      <c r="H187" s="146" t="str">
        <f aca="false">Scoring!DA194</f>
        <v/>
      </c>
      <c r="I187" s="148" t="str">
        <f aca="false">Scoring!CZ194</f>
        <v/>
      </c>
    </row>
    <row r="188" customFormat="false" ht="15.75" hidden="false" customHeight="false" outlineLevel="0" collapsed="false">
      <c r="A188" s="146" t="str">
        <f aca="false">Scoring!DC195</f>
        <v/>
      </c>
      <c r="B188" s="146" t="str">
        <f aca="false">Scoring!DB195</f>
        <v/>
      </c>
      <c r="C188" s="146" t="n">
        <f aca="false">Scoring!C195</f>
        <v>0</v>
      </c>
      <c r="D188" s="147" t="str">
        <f aca="false">Scoring!CY195</f>
        <v/>
      </c>
      <c r="E188" s="146" t="str">
        <f aca="false">Scoring!BH195</f>
        <v/>
      </c>
      <c r="F188" s="146" t="n">
        <f aca="false">Scoring!B195</f>
        <v>0</v>
      </c>
      <c r="G188" s="146" t="n">
        <f aca="false">Scoring!D195</f>
        <v>0</v>
      </c>
      <c r="H188" s="146" t="str">
        <f aca="false">Scoring!DA195</f>
        <v/>
      </c>
      <c r="I188" s="148" t="str">
        <f aca="false">Scoring!CZ195</f>
        <v/>
      </c>
    </row>
    <row r="189" customFormat="false" ht="15.75" hidden="false" customHeight="false" outlineLevel="0" collapsed="false">
      <c r="A189" s="146" t="str">
        <f aca="false">Scoring!DC196</f>
        <v/>
      </c>
      <c r="B189" s="146" t="str">
        <f aca="false">Scoring!DB196</f>
        <v/>
      </c>
      <c r="C189" s="146" t="n">
        <f aca="false">Scoring!C196</f>
        <v>0</v>
      </c>
      <c r="D189" s="147" t="str">
        <f aca="false">Scoring!CY196</f>
        <v/>
      </c>
      <c r="E189" s="146" t="str">
        <f aca="false">Scoring!BH196</f>
        <v/>
      </c>
      <c r="F189" s="146" t="n">
        <f aca="false">Scoring!B196</f>
        <v>0</v>
      </c>
      <c r="G189" s="146" t="n">
        <f aca="false">Scoring!D196</f>
        <v>0</v>
      </c>
      <c r="H189" s="146" t="str">
        <f aca="false">Scoring!DA196</f>
        <v/>
      </c>
      <c r="I189" s="148" t="str">
        <f aca="false">Scoring!CZ196</f>
        <v/>
      </c>
    </row>
    <row r="190" customFormat="false" ht="15.75" hidden="false" customHeight="false" outlineLevel="0" collapsed="false">
      <c r="A190" s="146" t="str">
        <f aca="false">Scoring!DC197</f>
        <v/>
      </c>
      <c r="B190" s="146" t="str">
        <f aca="false">Scoring!DB197</f>
        <v/>
      </c>
      <c r="C190" s="146" t="n">
        <f aca="false">Scoring!C197</f>
        <v>0</v>
      </c>
      <c r="D190" s="147" t="str">
        <f aca="false">Scoring!CY197</f>
        <v/>
      </c>
      <c r="E190" s="146" t="str">
        <f aca="false">Scoring!BH197</f>
        <v/>
      </c>
      <c r="F190" s="146" t="n">
        <f aca="false">Scoring!B197</f>
        <v>0</v>
      </c>
      <c r="G190" s="146" t="n">
        <f aca="false">Scoring!D197</f>
        <v>0</v>
      </c>
      <c r="H190" s="146" t="str">
        <f aca="false">Scoring!DA197</f>
        <v/>
      </c>
      <c r="I190" s="148" t="str">
        <f aca="false">Scoring!CZ197</f>
        <v/>
      </c>
    </row>
    <row r="191" customFormat="false" ht="15.75" hidden="false" customHeight="false" outlineLevel="0" collapsed="false">
      <c r="A191" s="146" t="str">
        <f aca="false">Scoring!DC198</f>
        <v/>
      </c>
      <c r="B191" s="146" t="str">
        <f aca="false">Scoring!DB198</f>
        <v/>
      </c>
      <c r="C191" s="146" t="n">
        <f aca="false">Scoring!C198</f>
        <v>0</v>
      </c>
      <c r="D191" s="147" t="str">
        <f aca="false">Scoring!CY198</f>
        <v/>
      </c>
      <c r="E191" s="146" t="str">
        <f aca="false">Scoring!BH198</f>
        <v/>
      </c>
      <c r="F191" s="146" t="n">
        <f aca="false">Scoring!B198</f>
        <v>0</v>
      </c>
      <c r="G191" s="146" t="n">
        <f aca="false">Scoring!D198</f>
        <v>0</v>
      </c>
      <c r="H191" s="146" t="str">
        <f aca="false">Scoring!DA198</f>
        <v/>
      </c>
      <c r="I191" s="148" t="str">
        <f aca="false">Scoring!CZ198</f>
        <v/>
      </c>
    </row>
    <row r="192" customFormat="false" ht="15.75" hidden="false" customHeight="false" outlineLevel="0" collapsed="false">
      <c r="A192" s="146" t="str">
        <f aca="false">Scoring!DC199</f>
        <v/>
      </c>
      <c r="B192" s="146" t="str">
        <f aca="false">Scoring!DB199</f>
        <v/>
      </c>
      <c r="C192" s="146" t="n">
        <f aca="false">Scoring!C199</f>
        <v>0</v>
      </c>
      <c r="D192" s="147" t="str">
        <f aca="false">Scoring!CY199</f>
        <v/>
      </c>
      <c r="E192" s="146" t="str">
        <f aca="false">Scoring!BH199</f>
        <v/>
      </c>
      <c r="F192" s="146" t="n">
        <f aca="false">Scoring!B199</f>
        <v>0</v>
      </c>
      <c r="G192" s="146" t="n">
        <f aca="false">Scoring!D199</f>
        <v>0</v>
      </c>
      <c r="H192" s="146" t="str">
        <f aca="false">Scoring!DA199</f>
        <v/>
      </c>
      <c r="I192" s="148" t="str">
        <f aca="false">Scoring!CZ199</f>
        <v/>
      </c>
    </row>
    <row r="193" customFormat="false" ht="15.75" hidden="false" customHeight="false" outlineLevel="0" collapsed="false">
      <c r="A193" s="146" t="str">
        <f aca="false">Scoring!DC200</f>
        <v/>
      </c>
      <c r="B193" s="146" t="str">
        <f aca="false">Scoring!DB200</f>
        <v/>
      </c>
      <c r="C193" s="146" t="n">
        <f aca="false">Scoring!C200</f>
        <v>0</v>
      </c>
      <c r="D193" s="147" t="str">
        <f aca="false">Scoring!CY200</f>
        <v/>
      </c>
      <c r="E193" s="146" t="str">
        <f aca="false">Scoring!BH200</f>
        <v/>
      </c>
      <c r="F193" s="146" t="n">
        <f aca="false">Scoring!B200</f>
        <v>0</v>
      </c>
      <c r="G193" s="146" t="n">
        <f aca="false">Scoring!D200</f>
        <v>0</v>
      </c>
      <c r="H193" s="146" t="str">
        <f aca="false">Scoring!DA200</f>
        <v/>
      </c>
      <c r="I193" s="148" t="str">
        <f aca="false">Scoring!CZ200</f>
        <v/>
      </c>
    </row>
    <row r="194" customFormat="false" ht="15.75" hidden="false" customHeight="false" outlineLevel="0" collapsed="false">
      <c r="A194" s="146" t="str">
        <f aca="false">Scoring!DC201</f>
        <v/>
      </c>
      <c r="B194" s="146" t="str">
        <f aca="false">Scoring!DB201</f>
        <v/>
      </c>
      <c r="C194" s="146" t="n">
        <f aca="false">Scoring!C201</f>
        <v>0</v>
      </c>
      <c r="D194" s="147" t="str">
        <f aca="false">Scoring!CY201</f>
        <v/>
      </c>
      <c r="E194" s="146" t="str">
        <f aca="false">Scoring!BH201</f>
        <v/>
      </c>
      <c r="F194" s="146" t="n">
        <f aca="false">Scoring!B201</f>
        <v>0</v>
      </c>
      <c r="G194" s="146" t="n">
        <f aca="false">Scoring!D201</f>
        <v>0</v>
      </c>
      <c r="H194" s="146" t="str">
        <f aca="false">Scoring!DA201</f>
        <v/>
      </c>
      <c r="I194" s="148" t="str">
        <f aca="false">Scoring!CZ201</f>
        <v/>
      </c>
    </row>
    <row r="195" customFormat="false" ht="15.75" hidden="false" customHeight="false" outlineLevel="0" collapsed="false">
      <c r="A195" s="146" t="str">
        <f aca="false">Scoring!DC202</f>
        <v/>
      </c>
      <c r="B195" s="146" t="str">
        <f aca="false">Scoring!DB202</f>
        <v/>
      </c>
      <c r="C195" s="146" t="n">
        <f aca="false">Scoring!C202</f>
        <v>0</v>
      </c>
      <c r="D195" s="147" t="str">
        <f aca="false">Scoring!CY202</f>
        <v/>
      </c>
      <c r="E195" s="146" t="str">
        <f aca="false">Scoring!BH202</f>
        <v/>
      </c>
      <c r="F195" s="146" t="n">
        <f aca="false">Scoring!B202</f>
        <v>0</v>
      </c>
      <c r="G195" s="146" t="n">
        <f aca="false">Scoring!D202</f>
        <v>0</v>
      </c>
      <c r="H195" s="146" t="str">
        <f aca="false">Scoring!DA202</f>
        <v/>
      </c>
      <c r="I195" s="148" t="str">
        <f aca="false">Scoring!CZ202</f>
        <v/>
      </c>
    </row>
    <row r="196" customFormat="false" ht="15.75" hidden="false" customHeight="false" outlineLevel="0" collapsed="false">
      <c r="A196" s="146" t="str">
        <f aca="false">Scoring!DC203</f>
        <v/>
      </c>
      <c r="B196" s="146" t="str">
        <f aca="false">Scoring!DB203</f>
        <v/>
      </c>
      <c r="C196" s="146" t="n">
        <f aca="false">Scoring!C203</f>
        <v>0</v>
      </c>
      <c r="D196" s="147" t="str">
        <f aca="false">Scoring!CY203</f>
        <v/>
      </c>
      <c r="E196" s="146" t="str">
        <f aca="false">Scoring!BH203</f>
        <v/>
      </c>
      <c r="F196" s="146" t="n">
        <f aca="false">Scoring!B203</f>
        <v>0</v>
      </c>
      <c r="G196" s="146" t="n">
        <f aca="false">Scoring!D203</f>
        <v>0</v>
      </c>
      <c r="H196" s="146" t="str">
        <f aca="false">Scoring!DA203</f>
        <v/>
      </c>
      <c r="I196" s="148" t="str">
        <f aca="false">Scoring!CZ203</f>
        <v/>
      </c>
    </row>
    <row r="197" customFormat="false" ht="15.75" hidden="false" customHeight="false" outlineLevel="0" collapsed="false">
      <c r="A197" s="146" t="str">
        <f aca="false">Scoring!DC204</f>
        <v/>
      </c>
      <c r="B197" s="146" t="str">
        <f aca="false">Scoring!DB204</f>
        <v/>
      </c>
      <c r="C197" s="146" t="n">
        <f aca="false">Scoring!C204</f>
        <v>0</v>
      </c>
      <c r="D197" s="147" t="str">
        <f aca="false">Scoring!CY204</f>
        <v/>
      </c>
      <c r="E197" s="146" t="str">
        <f aca="false">Scoring!BH204</f>
        <v/>
      </c>
      <c r="F197" s="146" t="n">
        <f aca="false">Scoring!B204</f>
        <v>0</v>
      </c>
      <c r="G197" s="146" t="n">
        <f aca="false">Scoring!D204</f>
        <v>0</v>
      </c>
      <c r="H197" s="146" t="str">
        <f aca="false">Scoring!DA204</f>
        <v/>
      </c>
      <c r="I197" s="148" t="str">
        <f aca="false">Scoring!CZ204</f>
        <v/>
      </c>
    </row>
    <row r="198" customFormat="false" ht="15.75" hidden="false" customHeight="false" outlineLevel="0" collapsed="false">
      <c r="A198" s="146" t="str">
        <f aca="false">Scoring!DC205</f>
        <v/>
      </c>
      <c r="B198" s="146" t="str">
        <f aca="false">Scoring!DB205</f>
        <v/>
      </c>
      <c r="C198" s="146" t="n">
        <f aca="false">Scoring!C205</f>
        <v>0</v>
      </c>
      <c r="D198" s="147" t="str">
        <f aca="false">Scoring!CY205</f>
        <v/>
      </c>
      <c r="E198" s="146" t="str">
        <f aca="false">Scoring!BH205</f>
        <v/>
      </c>
      <c r="F198" s="146" t="n">
        <f aca="false">Scoring!B205</f>
        <v>0</v>
      </c>
      <c r="G198" s="146" t="n">
        <f aca="false">Scoring!D205</f>
        <v>0</v>
      </c>
      <c r="H198" s="146" t="str">
        <f aca="false">Scoring!DA205</f>
        <v/>
      </c>
      <c r="I198" s="148" t="str">
        <f aca="false">Scoring!CZ205</f>
        <v/>
      </c>
    </row>
    <row r="199" customFormat="false" ht="15.75" hidden="false" customHeight="false" outlineLevel="0" collapsed="false">
      <c r="A199" s="146" t="str">
        <f aca="false">Scoring!DC206</f>
        <v/>
      </c>
      <c r="B199" s="146" t="str">
        <f aca="false">Scoring!DB206</f>
        <v/>
      </c>
      <c r="C199" s="146" t="n">
        <f aca="false">Scoring!C206</f>
        <v>0</v>
      </c>
      <c r="D199" s="147" t="str">
        <f aca="false">Scoring!CY206</f>
        <v/>
      </c>
      <c r="E199" s="146" t="str">
        <f aca="false">Scoring!BH206</f>
        <v/>
      </c>
      <c r="F199" s="146" t="n">
        <f aca="false">Scoring!B206</f>
        <v>0</v>
      </c>
      <c r="G199" s="146" t="n">
        <f aca="false">Scoring!D206</f>
        <v>0</v>
      </c>
      <c r="H199" s="146" t="str">
        <f aca="false">Scoring!DA206</f>
        <v/>
      </c>
      <c r="I199" s="148" t="str">
        <f aca="false">Scoring!CZ206</f>
        <v/>
      </c>
    </row>
    <row r="200" customFormat="false" ht="15.75" hidden="false" customHeight="false" outlineLevel="0" collapsed="false">
      <c r="A200" s="146" t="str">
        <f aca="false">Scoring!DC207</f>
        <v/>
      </c>
      <c r="B200" s="146" t="str">
        <f aca="false">Scoring!DB207</f>
        <v/>
      </c>
      <c r="C200" s="146" t="n">
        <f aca="false">Scoring!C207</f>
        <v>0</v>
      </c>
      <c r="D200" s="147" t="str">
        <f aca="false">Scoring!CY207</f>
        <v/>
      </c>
      <c r="E200" s="146" t="str">
        <f aca="false">Scoring!BH207</f>
        <v/>
      </c>
      <c r="F200" s="146" t="n">
        <f aca="false">Scoring!B207</f>
        <v>0</v>
      </c>
      <c r="G200" s="146" t="n">
        <f aca="false">Scoring!D207</f>
        <v>0</v>
      </c>
      <c r="H200" s="146" t="str">
        <f aca="false">Scoring!DA207</f>
        <v/>
      </c>
      <c r="I200" s="148" t="str">
        <f aca="false">Scoring!CZ207</f>
        <v/>
      </c>
    </row>
    <row r="201" customFormat="false" ht="15.75" hidden="false" customHeight="false" outlineLevel="0" collapsed="false">
      <c r="A201" s="146" t="str">
        <f aca="false">Scoring!DC208</f>
        <v/>
      </c>
      <c r="B201" s="146" t="str">
        <f aca="false">Scoring!DB208</f>
        <v/>
      </c>
      <c r="C201" s="146" t="n">
        <f aca="false">Scoring!C208</f>
        <v>0</v>
      </c>
      <c r="D201" s="147" t="str">
        <f aca="false">Scoring!CY208</f>
        <v/>
      </c>
      <c r="E201" s="146" t="str">
        <f aca="false">Scoring!BH208</f>
        <v/>
      </c>
      <c r="F201" s="146" t="n">
        <f aca="false">Scoring!B208</f>
        <v>0</v>
      </c>
      <c r="G201" s="146" t="n">
        <f aca="false">Scoring!D208</f>
        <v>0</v>
      </c>
      <c r="H201" s="146" t="str">
        <f aca="false">Scoring!DA208</f>
        <v/>
      </c>
      <c r="I201" s="148" t="str">
        <f aca="false">Scoring!CZ208</f>
        <v/>
      </c>
    </row>
    <row r="202" customFormat="false" ht="15.75" hidden="false" customHeight="false" outlineLevel="0" collapsed="false">
      <c r="A202" s="146" t="str">
        <f aca="false">Scoring!DC209</f>
        <v/>
      </c>
      <c r="B202" s="146" t="str">
        <f aca="false">Scoring!DB209</f>
        <v/>
      </c>
      <c r="C202" s="146" t="n">
        <f aca="false">Scoring!C209</f>
        <v>0</v>
      </c>
      <c r="D202" s="147" t="str">
        <f aca="false">Scoring!CY209</f>
        <v/>
      </c>
      <c r="E202" s="146" t="str">
        <f aca="false">Scoring!BH209</f>
        <v/>
      </c>
      <c r="F202" s="146" t="n">
        <f aca="false">Scoring!B209</f>
        <v>0</v>
      </c>
      <c r="G202" s="146" t="n">
        <f aca="false">Scoring!D209</f>
        <v>0</v>
      </c>
      <c r="H202" s="146" t="str">
        <f aca="false">Scoring!DA209</f>
        <v/>
      </c>
      <c r="I202" s="148" t="str">
        <f aca="false">Scoring!CZ209</f>
        <v/>
      </c>
    </row>
    <row r="203" customFormat="false" ht="15.75" hidden="false" customHeight="false" outlineLevel="0" collapsed="false">
      <c r="A203" s="146" t="str">
        <f aca="false">Scoring!DC210</f>
        <v/>
      </c>
      <c r="B203" s="146" t="str">
        <f aca="false">Scoring!DB210</f>
        <v/>
      </c>
      <c r="C203" s="146" t="n">
        <f aca="false">Scoring!C210</f>
        <v>0</v>
      </c>
      <c r="D203" s="147" t="str">
        <f aca="false">Scoring!CY210</f>
        <v/>
      </c>
      <c r="E203" s="146" t="str">
        <f aca="false">Scoring!BH210</f>
        <v/>
      </c>
      <c r="F203" s="146" t="n">
        <f aca="false">Scoring!B210</f>
        <v>0</v>
      </c>
      <c r="G203" s="146" t="n">
        <f aca="false">Scoring!D210</f>
        <v>0</v>
      </c>
      <c r="H203" s="146" t="str">
        <f aca="false">Scoring!DA210</f>
        <v/>
      </c>
      <c r="I203" s="148" t="str">
        <f aca="false">Scoring!CZ210</f>
        <v/>
      </c>
    </row>
    <row r="204" customFormat="false" ht="15.75" hidden="false" customHeight="false" outlineLevel="0" collapsed="false">
      <c r="A204" s="146" t="str">
        <f aca="false">Scoring!DC211</f>
        <v/>
      </c>
      <c r="B204" s="146" t="str">
        <f aca="false">Scoring!DB211</f>
        <v/>
      </c>
      <c r="C204" s="146" t="n">
        <f aca="false">Scoring!C211</f>
        <v>0</v>
      </c>
      <c r="D204" s="147" t="str">
        <f aca="false">Scoring!CY211</f>
        <v/>
      </c>
      <c r="E204" s="146" t="str">
        <f aca="false">Scoring!BH211</f>
        <v/>
      </c>
      <c r="F204" s="146" t="n">
        <f aca="false">Scoring!B211</f>
        <v>0</v>
      </c>
      <c r="G204" s="146" t="n">
        <f aca="false">Scoring!D211</f>
        <v>0</v>
      </c>
      <c r="H204" s="146" t="str">
        <f aca="false">Scoring!DA211</f>
        <v/>
      </c>
      <c r="I204" s="148" t="str">
        <f aca="false">Scoring!CZ211</f>
        <v/>
      </c>
    </row>
    <row r="205" customFormat="false" ht="15.75" hidden="false" customHeight="false" outlineLevel="0" collapsed="false">
      <c r="A205" s="146" t="str">
        <f aca="false">Scoring!DC212</f>
        <v/>
      </c>
      <c r="B205" s="146" t="str">
        <f aca="false">Scoring!DB212</f>
        <v/>
      </c>
      <c r="C205" s="146" t="n">
        <f aca="false">Scoring!C212</f>
        <v>0</v>
      </c>
      <c r="D205" s="147" t="str">
        <f aca="false">Scoring!CY212</f>
        <v/>
      </c>
      <c r="E205" s="146" t="str">
        <f aca="false">Scoring!BH212</f>
        <v/>
      </c>
      <c r="F205" s="146" t="n">
        <f aca="false">Scoring!B212</f>
        <v>0</v>
      </c>
      <c r="G205" s="146" t="n">
        <f aca="false">Scoring!D212</f>
        <v>0</v>
      </c>
      <c r="H205" s="146" t="str">
        <f aca="false">Scoring!DA212</f>
        <v/>
      </c>
      <c r="I205" s="148" t="str">
        <f aca="false">Scoring!CZ212</f>
        <v/>
      </c>
    </row>
    <row r="206" customFormat="false" ht="15.75" hidden="false" customHeight="false" outlineLevel="0" collapsed="false">
      <c r="A206" s="146" t="str">
        <f aca="false">Scoring!DC213</f>
        <v/>
      </c>
      <c r="B206" s="146" t="str">
        <f aca="false">Scoring!DB213</f>
        <v/>
      </c>
      <c r="C206" s="146" t="n">
        <f aca="false">Scoring!C213</f>
        <v>0</v>
      </c>
      <c r="D206" s="147" t="str">
        <f aca="false">Scoring!CY213</f>
        <v/>
      </c>
      <c r="E206" s="146" t="str">
        <f aca="false">Scoring!BH213</f>
        <v/>
      </c>
      <c r="F206" s="146" t="n">
        <f aca="false">Scoring!B213</f>
        <v>0</v>
      </c>
      <c r="G206" s="146" t="n">
        <f aca="false">Scoring!D213</f>
        <v>0</v>
      </c>
      <c r="H206" s="146" t="str">
        <f aca="false">Scoring!DA213</f>
        <v/>
      </c>
      <c r="I206" s="148" t="str">
        <f aca="false">Scoring!CZ213</f>
        <v/>
      </c>
    </row>
    <row r="207" customFormat="false" ht="15.75" hidden="false" customHeight="false" outlineLevel="0" collapsed="false">
      <c r="A207" s="146" t="str">
        <f aca="false">Scoring!DC214</f>
        <v/>
      </c>
      <c r="B207" s="146" t="str">
        <f aca="false">Scoring!DB214</f>
        <v/>
      </c>
      <c r="C207" s="146" t="n">
        <f aca="false">Scoring!C214</f>
        <v>0</v>
      </c>
      <c r="D207" s="147" t="str">
        <f aca="false">Scoring!CY214</f>
        <v/>
      </c>
      <c r="E207" s="146" t="str">
        <f aca="false">Scoring!BH214</f>
        <v/>
      </c>
      <c r="F207" s="146" t="n">
        <f aca="false">Scoring!B214</f>
        <v>0</v>
      </c>
      <c r="G207" s="146" t="n">
        <f aca="false">Scoring!D214</f>
        <v>0</v>
      </c>
      <c r="H207" s="146" t="str">
        <f aca="false">Scoring!DA214</f>
        <v/>
      </c>
      <c r="I207" s="148" t="str">
        <f aca="false">Scoring!CZ214</f>
        <v/>
      </c>
    </row>
    <row r="208" customFormat="false" ht="15.75" hidden="false" customHeight="false" outlineLevel="0" collapsed="false">
      <c r="A208" s="146" t="str">
        <f aca="false">Scoring!DC215</f>
        <v/>
      </c>
      <c r="B208" s="146" t="str">
        <f aca="false">Scoring!DB215</f>
        <v/>
      </c>
      <c r="C208" s="146" t="n">
        <f aca="false">Scoring!C215</f>
        <v>0</v>
      </c>
      <c r="D208" s="147" t="str">
        <f aca="false">Scoring!CY215</f>
        <v/>
      </c>
      <c r="E208" s="146" t="str">
        <f aca="false">Scoring!BH215</f>
        <v/>
      </c>
      <c r="F208" s="146" t="n">
        <f aca="false">Scoring!B215</f>
        <v>0</v>
      </c>
      <c r="G208" s="146" t="n">
        <f aca="false">Scoring!D215</f>
        <v>0</v>
      </c>
      <c r="H208" s="146" t="str">
        <f aca="false">Scoring!DA215</f>
        <v/>
      </c>
      <c r="I208" s="148" t="str">
        <f aca="false">Scoring!CZ215</f>
        <v/>
      </c>
    </row>
    <row r="209" customFormat="false" ht="15.75" hidden="false" customHeight="false" outlineLevel="0" collapsed="false">
      <c r="A209" s="146" t="str">
        <f aca="false">Scoring!DC216</f>
        <v/>
      </c>
      <c r="B209" s="146" t="str">
        <f aca="false">Scoring!DB216</f>
        <v/>
      </c>
      <c r="C209" s="146" t="n">
        <f aca="false">Scoring!C216</f>
        <v>0</v>
      </c>
      <c r="D209" s="147" t="str">
        <f aca="false">Scoring!CY216</f>
        <v/>
      </c>
      <c r="E209" s="146" t="str">
        <f aca="false">Scoring!BH216</f>
        <v/>
      </c>
      <c r="F209" s="146" t="n">
        <f aca="false">Scoring!B216</f>
        <v>0</v>
      </c>
      <c r="G209" s="146" t="n">
        <f aca="false">Scoring!D216</f>
        <v>0</v>
      </c>
      <c r="H209" s="146" t="str">
        <f aca="false">Scoring!DA216</f>
        <v/>
      </c>
      <c r="I209" s="148" t="str">
        <f aca="false">Scoring!CZ216</f>
        <v/>
      </c>
    </row>
    <row r="210" customFormat="false" ht="15.75" hidden="false" customHeight="false" outlineLevel="0" collapsed="false">
      <c r="A210" s="146" t="str">
        <f aca="false">Scoring!DC217</f>
        <v/>
      </c>
      <c r="B210" s="146" t="str">
        <f aca="false">Scoring!DB217</f>
        <v/>
      </c>
      <c r="C210" s="146" t="n">
        <f aca="false">Scoring!C217</f>
        <v>0</v>
      </c>
      <c r="D210" s="147" t="str">
        <f aca="false">Scoring!CY217</f>
        <v/>
      </c>
      <c r="E210" s="146" t="str">
        <f aca="false">Scoring!BH217</f>
        <v/>
      </c>
      <c r="F210" s="146" t="n">
        <f aca="false">Scoring!B217</f>
        <v>0</v>
      </c>
      <c r="G210" s="146" t="n">
        <f aca="false">Scoring!D217</f>
        <v>0</v>
      </c>
      <c r="H210" s="146" t="str">
        <f aca="false">Scoring!DA217</f>
        <v/>
      </c>
      <c r="I210" s="148" t="str">
        <f aca="false">Scoring!CZ217</f>
        <v/>
      </c>
    </row>
    <row r="211" customFormat="false" ht="15.75" hidden="false" customHeight="false" outlineLevel="0" collapsed="false">
      <c r="A211" s="146" t="str">
        <f aca="false">Scoring!DC218</f>
        <v/>
      </c>
      <c r="B211" s="146" t="str">
        <f aca="false">Scoring!DB218</f>
        <v/>
      </c>
      <c r="C211" s="146" t="n">
        <f aca="false">Scoring!C218</f>
        <v>0</v>
      </c>
      <c r="D211" s="147" t="str">
        <f aca="false">Scoring!CY218</f>
        <v/>
      </c>
      <c r="E211" s="146" t="str">
        <f aca="false">Scoring!BH218</f>
        <v/>
      </c>
      <c r="F211" s="146" t="n">
        <f aca="false">Scoring!B218</f>
        <v>0</v>
      </c>
      <c r="G211" s="146" t="n">
        <f aca="false">Scoring!D218</f>
        <v>0</v>
      </c>
      <c r="H211" s="146" t="str">
        <f aca="false">Scoring!DA218</f>
        <v/>
      </c>
      <c r="I211" s="148" t="str">
        <f aca="false">Scoring!CZ218</f>
        <v/>
      </c>
    </row>
    <row r="212" customFormat="false" ht="15.75" hidden="false" customHeight="false" outlineLevel="0" collapsed="false">
      <c r="A212" s="146" t="str">
        <f aca="false">Scoring!DC219</f>
        <v/>
      </c>
      <c r="B212" s="146" t="str">
        <f aca="false">Scoring!DB219</f>
        <v/>
      </c>
      <c r="C212" s="146" t="n">
        <f aca="false">Scoring!C219</f>
        <v>0</v>
      </c>
      <c r="D212" s="147" t="str">
        <f aca="false">Scoring!CY219</f>
        <v/>
      </c>
      <c r="E212" s="146" t="str">
        <f aca="false">Scoring!BH219</f>
        <v/>
      </c>
      <c r="F212" s="146" t="n">
        <f aca="false">Scoring!B219</f>
        <v>0</v>
      </c>
      <c r="G212" s="146" t="n">
        <f aca="false">Scoring!D219</f>
        <v>0</v>
      </c>
      <c r="H212" s="146" t="str">
        <f aca="false">Scoring!DA219</f>
        <v/>
      </c>
      <c r="I212" s="148" t="str">
        <f aca="false">Scoring!CZ219</f>
        <v/>
      </c>
    </row>
    <row r="213" customFormat="false" ht="15.75" hidden="false" customHeight="false" outlineLevel="0" collapsed="false">
      <c r="A213" s="146" t="str">
        <f aca="false">Scoring!DC220</f>
        <v/>
      </c>
      <c r="B213" s="146" t="str">
        <f aca="false">Scoring!DB220</f>
        <v/>
      </c>
      <c r="C213" s="146" t="n">
        <f aca="false">Scoring!C220</f>
        <v>0</v>
      </c>
      <c r="D213" s="147" t="str">
        <f aca="false">Scoring!CY220</f>
        <v/>
      </c>
      <c r="E213" s="146" t="str">
        <f aca="false">Scoring!BH220</f>
        <v/>
      </c>
      <c r="F213" s="146" t="n">
        <f aca="false">Scoring!B220</f>
        <v>0</v>
      </c>
      <c r="G213" s="146" t="n">
        <f aca="false">Scoring!D220</f>
        <v>0</v>
      </c>
      <c r="H213" s="146" t="str">
        <f aca="false">Scoring!DA220</f>
        <v/>
      </c>
      <c r="I213" s="148" t="str">
        <f aca="false">Scoring!CZ220</f>
        <v/>
      </c>
    </row>
    <row r="214" customFormat="false" ht="15.75" hidden="false" customHeight="false" outlineLevel="0" collapsed="false">
      <c r="A214" s="146" t="str">
        <f aca="false">Scoring!DC221</f>
        <v/>
      </c>
      <c r="B214" s="146" t="str">
        <f aca="false">Scoring!DB221</f>
        <v/>
      </c>
      <c r="C214" s="146" t="n">
        <f aca="false">Scoring!C221</f>
        <v>0</v>
      </c>
      <c r="D214" s="147" t="str">
        <f aca="false">Scoring!CY221</f>
        <v/>
      </c>
      <c r="E214" s="146" t="str">
        <f aca="false">Scoring!BH221</f>
        <v/>
      </c>
      <c r="F214" s="146" t="n">
        <f aca="false">Scoring!B221</f>
        <v>0</v>
      </c>
      <c r="G214" s="146" t="n">
        <f aca="false">Scoring!D221</f>
        <v>0</v>
      </c>
      <c r="H214" s="146" t="str">
        <f aca="false">Scoring!DA221</f>
        <v/>
      </c>
      <c r="I214" s="148" t="str">
        <f aca="false">Scoring!CZ221</f>
        <v/>
      </c>
    </row>
    <row r="215" customFormat="false" ht="15.75" hidden="false" customHeight="false" outlineLevel="0" collapsed="false">
      <c r="A215" s="146" t="str">
        <f aca="false">Scoring!DC222</f>
        <v/>
      </c>
      <c r="B215" s="146" t="str">
        <f aca="false">Scoring!DB222</f>
        <v/>
      </c>
      <c r="C215" s="146" t="n">
        <f aca="false">Scoring!C222</f>
        <v>0</v>
      </c>
      <c r="D215" s="147" t="str">
        <f aca="false">Scoring!CY222</f>
        <v/>
      </c>
      <c r="E215" s="146" t="str">
        <f aca="false">Scoring!BH222</f>
        <v/>
      </c>
      <c r="F215" s="146" t="n">
        <f aca="false">Scoring!B222</f>
        <v>0</v>
      </c>
      <c r="G215" s="146" t="n">
        <f aca="false">Scoring!D222</f>
        <v>0</v>
      </c>
      <c r="H215" s="146" t="str">
        <f aca="false">Scoring!DA222</f>
        <v/>
      </c>
      <c r="I215" s="148" t="str">
        <f aca="false">Scoring!CZ222</f>
        <v/>
      </c>
    </row>
    <row r="216" customFormat="false" ht="15.75" hidden="false" customHeight="false" outlineLevel="0" collapsed="false">
      <c r="A216" s="146" t="str">
        <f aca="false">Scoring!DC223</f>
        <v/>
      </c>
      <c r="B216" s="146" t="str">
        <f aca="false">Scoring!DB223</f>
        <v/>
      </c>
      <c r="C216" s="146" t="n">
        <f aca="false">Scoring!C223</f>
        <v>0</v>
      </c>
      <c r="D216" s="147" t="str">
        <f aca="false">Scoring!CY223</f>
        <v/>
      </c>
      <c r="E216" s="146" t="str">
        <f aca="false">Scoring!BH223</f>
        <v/>
      </c>
      <c r="F216" s="146" t="n">
        <f aca="false">Scoring!B223</f>
        <v>0</v>
      </c>
      <c r="G216" s="146" t="n">
        <f aca="false">Scoring!D223</f>
        <v>0</v>
      </c>
      <c r="H216" s="146" t="str">
        <f aca="false">Scoring!DA223</f>
        <v/>
      </c>
      <c r="I216" s="148" t="str">
        <f aca="false">Scoring!CZ223</f>
        <v/>
      </c>
    </row>
    <row r="217" customFormat="false" ht="15.75" hidden="false" customHeight="false" outlineLevel="0" collapsed="false">
      <c r="A217" s="146" t="str">
        <f aca="false">Scoring!DC224</f>
        <v/>
      </c>
      <c r="B217" s="146" t="str">
        <f aca="false">Scoring!DB224</f>
        <v/>
      </c>
      <c r="C217" s="146" t="n">
        <f aca="false">Scoring!C224</f>
        <v>0</v>
      </c>
      <c r="D217" s="147" t="str">
        <f aca="false">Scoring!CY224</f>
        <v/>
      </c>
      <c r="E217" s="146" t="str">
        <f aca="false">Scoring!BH224</f>
        <v/>
      </c>
      <c r="F217" s="146" t="n">
        <f aca="false">Scoring!B224</f>
        <v>0</v>
      </c>
      <c r="G217" s="146" t="n">
        <f aca="false">Scoring!D224</f>
        <v>0</v>
      </c>
      <c r="H217" s="146" t="str">
        <f aca="false">Scoring!DA224</f>
        <v/>
      </c>
      <c r="I217" s="148" t="str">
        <f aca="false">Scoring!CZ224</f>
        <v/>
      </c>
    </row>
    <row r="218" customFormat="false" ht="15.75" hidden="false" customHeight="false" outlineLevel="0" collapsed="false">
      <c r="A218" s="146" t="str">
        <f aca="false">Scoring!DC225</f>
        <v/>
      </c>
      <c r="B218" s="146" t="str">
        <f aca="false">Scoring!DB225</f>
        <v/>
      </c>
      <c r="C218" s="146" t="n">
        <f aca="false">Scoring!C225</f>
        <v>0</v>
      </c>
      <c r="D218" s="147" t="str">
        <f aca="false">Scoring!CY225</f>
        <v/>
      </c>
      <c r="E218" s="146" t="str">
        <f aca="false">Scoring!BH225</f>
        <v/>
      </c>
      <c r="F218" s="146" t="n">
        <f aca="false">Scoring!B225</f>
        <v>0</v>
      </c>
      <c r="G218" s="146" t="n">
        <f aca="false">Scoring!D225</f>
        <v>0</v>
      </c>
      <c r="H218" s="146" t="str">
        <f aca="false">Scoring!DA225</f>
        <v/>
      </c>
      <c r="I218" s="148" t="str">
        <f aca="false">Scoring!CZ225</f>
        <v/>
      </c>
    </row>
    <row r="219" customFormat="false" ht="15.75" hidden="false" customHeight="false" outlineLevel="0" collapsed="false">
      <c r="A219" s="146" t="str">
        <f aca="false">Scoring!DC226</f>
        <v/>
      </c>
      <c r="B219" s="146" t="str">
        <f aca="false">Scoring!DB226</f>
        <v/>
      </c>
      <c r="C219" s="146" t="n">
        <f aca="false">Scoring!C226</f>
        <v>0</v>
      </c>
      <c r="D219" s="147" t="str">
        <f aca="false">Scoring!CY226</f>
        <v/>
      </c>
      <c r="E219" s="146" t="str">
        <f aca="false">Scoring!BH226</f>
        <v/>
      </c>
      <c r="F219" s="146" t="n">
        <f aca="false">Scoring!B226</f>
        <v>0</v>
      </c>
      <c r="G219" s="146" t="n">
        <f aca="false">Scoring!D226</f>
        <v>0</v>
      </c>
      <c r="H219" s="146" t="str">
        <f aca="false">Scoring!DA226</f>
        <v/>
      </c>
      <c r="I219" s="148" t="str">
        <f aca="false">Scoring!CZ226</f>
        <v/>
      </c>
    </row>
    <row r="220" customFormat="false" ht="15.75" hidden="false" customHeight="false" outlineLevel="0" collapsed="false">
      <c r="A220" s="146" t="str">
        <f aca="false">Scoring!DC227</f>
        <v/>
      </c>
      <c r="B220" s="146" t="str">
        <f aca="false">Scoring!DB227</f>
        <v/>
      </c>
      <c r="C220" s="146" t="n">
        <f aca="false">Scoring!C227</f>
        <v>0</v>
      </c>
      <c r="D220" s="147" t="str">
        <f aca="false">Scoring!CY227</f>
        <v/>
      </c>
      <c r="E220" s="146" t="str">
        <f aca="false">Scoring!BH227</f>
        <v/>
      </c>
      <c r="F220" s="146" t="n">
        <f aca="false">Scoring!B227</f>
        <v>0</v>
      </c>
      <c r="G220" s="146" t="n">
        <f aca="false">Scoring!D227</f>
        <v>0</v>
      </c>
      <c r="H220" s="146" t="str">
        <f aca="false">Scoring!DA227</f>
        <v/>
      </c>
      <c r="I220" s="148" t="str">
        <f aca="false">Scoring!CZ227</f>
        <v/>
      </c>
    </row>
    <row r="221" customFormat="false" ht="15.75" hidden="false" customHeight="false" outlineLevel="0" collapsed="false">
      <c r="A221" s="146" t="str">
        <f aca="false">Scoring!DC228</f>
        <v/>
      </c>
      <c r="B221" s="146" t="str">
        <f aca="false">Scoring!DB228</f>
        <v/>
      </c>
      <c r="C221" s="146" t="n">
        <f aca="false">Scoring!C228</f>
        <v>0</v>
      </c>
      <c r="D221" s="147" t="str">
        <f aca="false">Scoring!CY228</f>
        <v/>
      </c>
      <c r="E221" s="146" t="str">
        <f aca="false">Scoring!BH228</f>
        <v/>
      </c>
      <c r="F221" s="146" t="n">
        <f aca="false">Scoring!B228</f>
        <v>0</v>
      </c>
      <c r="G221" s="146" t="n">
        <f aca="false">Scoring!D228</f>
        <v>0</v>
      </c>
      <c r="H221" s="146" t="str">
        <f aca="false">Scoring!DA228</f>
        <v/>
      </c>
      <c r="I221" s="148" t="str">
        <f aca="false">Scoring!CZ228</f>
        <v/>
      </c>
    </row>
    <row r="222" customFormat="false" ht="15.75" hidden="false" customHeight="false" outlineLevel="0" collapsed="false">
      <c r="A222" s="146" t="str">
        <f aca="false">Scoring!DC229</f>
        <v/>
      </c>
      <c r="B222" s="146" t="str">
        <f aca="false">Scoring!DB229</f>
        <v/>
      </c>
      <c r="C222" s="146" t="n">
        <f aca="false">Scoring!C229</f>
        <v>0</v>
      </c>
      <c r="D222" s="147" t="str">
        <f aca="false">Scoring!CY229</f>
        <v/>
      </c>
      <c r="E222" s="146" t="str">
        <f aca="false">Scoring!BH229</f>
        <v/>
      </c>
      <c r="F222" s="146" t="n">
        <f aca="false">Scoring!B229</f>
        <v>0</v>
      </c>
      <c r="G222" s="146" t="n">
        <f aca="false">Scoring!D229</f>
        <v>0</v>
      </c>
      <c r="H222" s="146" t="str">
        <f aca="false">Scoring!DA229</f>
        <v/>
      </c>
      <c r="I222" s="148" t="str">
        <f aca="false">Scoring!CZ229</f>
        <v/>
      </c>
    </row>
    <row r="223" customFormat="false" ht="15.75" hidden="false" customHeight="false" outlineLevel="0" collapsed="false">
      <c r="A223" s="146" t="str">
        <f aca="false">Scoring!DC230</f>
        <v/>
      </c>
      <c r="B223" s="146" t="str">
        <f aca="false">Scoring!DB230</f>
        <v/>
      </c>
      <c r="C223" s="146" t="n">
        <f aca="false">Scoring!C230</f>
        <v>0</v>
      </c>
      <c r="D223" s="147" t="str">
        <f aca="false">Scoring!CY230</f>
        <v/>
      </c>
      <c r="E223" s="146" t="str">
        <f aca="false">Scoring!BH230</f>
        <v/>
      </c>
      <c r="F223" s="146" t="n">
        <f aca="false">Scoring!B230</f>
        <v>0</v>
      </c>
      <c r="G223" s="146" t="n">
        <f aca="false">Scoring!D230</f>
        <v>0</v>
      </c>
      <c r="H223" s="146" t="str">
        <f aca="false">Scoring!DA230</f>
        <v/>
      </c>
      <c r="I223" s="148" t="str">
        <f aca="false">Scoring!CZ230</f>
        <v/>
      </c>
    </row>
    <row r="224" customFormat="false" ht="15.75" hidden="false" customHeight="false" outlineLevel="0" collapsed="false">
      <c r="A224" s="146" t="str">
        <f aca="false">Scoring!DC231</f>
        <v/>
      </c>
      <c r="B224" s="146" t="str">
        <f aca="false">Scoring!DB231</f>
        <v/>
      </c>
      <c r="C224" s="146" t="n">
        <f aca="false">Scoring!C231</f>
        <v>0</v>
      </c>
      <c r="D224" s="147" t="str">
        <f aca="false">Scoring!CY231</f>
        <v/>
      </c>
      <c r="E224" s="146" t="str">
        <f aca="false">Scoring!BH231</f>
        <v/>
      </c>
      <c r="F224" s="146" t="n">
        <f aca="false">Scoring!B231</f>
        <v>0</v>
      </c>
      <c r="G224" s="146" t="n">
        <f aca="false">Scoring!D231</f>
        <v>0</v>
      </c>
      <c r="H224" s="146" t="str">
        <f aca="false">Scoring!DA231</f>
        <v/>
      </c>
      <c r="I224" s="148" t="str">
        <f aca="false">Scoring!CZ231</f>
        <v/>
      </c>
    </row>
    <row r="225" customFormat="false" ht="15.75" hidden="false" customHeight="false" outlineLevel="0" collapsed="false">
      <c r="A225" s="146" t="str">
        <f aca="false">Scoring!DC232</f>
        <v/>
      </c>
      <c r="B225" s="146" t="str">
        <f aca="false">Scoring!DB232</f>
        <v/>
      </c>
      <c r="C225" s="146" t="n">
        <f aca="false">Scoring!C232</f>
        <v>0</v>
      </c>
      <c r="D225" s="147" t="str">
        <f aca="false">Scoring!CY232</f>
        <v/>
      </c>
      <c r="E225" s="146" t="str">
        <f aca="false">Scoring!BH232</f>
        <v/>
      </c>
      <c r="F225" s="146" t="n">
        <f aca="false">Scoring!B232</f>
        <v>0</v>
      </c>
      <c r="G225" s="146" t="n">
        <f aca="false">Scoring!D232</f>
        <v>0</v>
      </c>
      <c r="H225" s="146" t="str">
        <f aca="false">Scoring!DA232</f>
        <v/>
      </c>
      <c r="I225" s="148" t="str">
        <f aca="false">Scoring!CZ232</f>
        <v/>
      </c>
    </row>
    <row r="226" customFormat="false" ht="15.75" hidden="false" customHeight="false" outlineLevel="0" collapsed="false">
      <c r="A226" s="146" t="str">
        <f aca="false">Scoring!DC233</f>
        <v/>
      </c>
      <c r="B226" s="146" t="str">
        <f aca="false">Scoring!DB233</f>
        <v/>
      </c>
      <c r="C226" s="146" t="n">
        <f aca="false">Scoring!C233</f>
        <v>0</v>
      </c>
      <c r="D226" s="147" t="str">
        <f aca="false">Scoring!CY233</f>
        <v/>
      </c>
      <c r="E226" s="146" t="str">
        <f aca="false">Scoring!BH233</f>
        <v/>
      </c>
      <c r="F226" s="146" t="n">
        <f aca="false">Scoring!B233</f>
        <v>0</v>
      </c>
      <c r="G226" s="146" t="n">
        <f aca="false">Scoring!D233</f>
        <v>0</v>
      </c>
      <c r="H226" s="146" t="str">
        <f aca="false">Scoring!DA233</f>
        <v/>
      </c>
      <c r="I226" s="148" t="str">
        <f aca="false">Scoring!CZ233</f>
        <v/>
      </c>
    </row>
    <row r="227" customFormat="false" ht="15.75" hidden="false" customHeight="false" outlineLevel="0" collapsed="false">
      <c r="A227" s="146" t="str">
        <f aca="false">Scoring!DC234</f>
        <v/>
      </c>
      <c r="B227" s="146" t="str">
        <f aca="false">Scoring!DB234</f>
        <v/>
      </c>
      <c r="C227" s="146" t="n">
        <f aca="false">Scoring!C234</f>
        <v>0</v>
      </c>
      <c r="D227" s="147" t="str">
        <f aca="false">Scoring!CY234</f>
        <v/>
      </c>
      <c r="E227" s="146" t="str">
        <f aca="false">Scoring!BH234</f>
        <v/>
      </c>
      <c r="F227" s="146" t="n">
        <f aca="false">Scoring!B234</f>
        <v>0</v>
      </c>
      <c r="G227" s="146" t="n">
        <f aca="false">Scoring!D234</f>
        <v>0</v>
      </c>
      <c r="H227" s="146" t="str">
        <f aca="false">Scoring!DA234</f>
        <v/>
      </c>
      <c r="I227" s="148" t="str">
        <f aca="false">Scoring!CZ234</f>
        <v/>
      </c>
    </row>
    <row r="228" customFormat="false" ht="15.75" hidden="false" customHeight="false" outlineLevel="0" collapsed="false">
      <c r="A228" s="146" t="str">
        <f aca="false">Scoring!DC235</f>
        <v/>
      </c>
      <c r="B228" s="146" t="str">
        <f aca="false">Scoring!DB235</f>
        <v/>
      </c>
      <c r="C228" s="146" t="n">
        <f aca="false">Scoring!C235</f>
        <v>0</v>
      </c>
      <c r="D228" s="147" t="str">
        <f aca="false">Scoring!CY235</f>
        <v/>
      </c>
      <c r="E228" s="146" t="str">
        <f aca="false">Scoring!BH235</f>
        <v/>
      </c>
      <c r="F228" s="146" t="n">
        <f aca="false">Scoring!B235</f>
        <v>0</v>
      </c>
      <c r="G228" s="146" t="n">
        <f aca="false">Scoring!D235</f>
        <v>0</v>
      </c>
      <c r="H228" s="146" t="str">
        <f aca="false">Scoring!DA235</f>
        <v/>
      </c>
      <c r="I228" s="148" t="str">
        <f aca="false">Scoring!CZ235</f>
        <v/>
      </c>
    </row>
    <row r="229" customFormat="false" ht="15.75" hidden="false" customHeight="false" outlineLevel="0" collapsed="false">
      <c r="A229" s="146" t="str">
        <f aca="false">Scoring!DC236</f>
        <v/>
      </c>
      <c r="B229" s="146" t="str">
        <f aca="false">Scoring!DB236</f>
        <v/>
      </c>
      <c r="C229" s="146" t="n">
        <f aca="false">Scoring!C236</f>
        <v>0</v>
      </c>
      <c r="D229" s="147" t="str">
        <f aca="false">Scoring!CY236</f>
        <v/>
      </c>
      <c r="E229" s="146" t="str">
        <f aca="false">Scoring!BH236</f>
        <v/>
      </c>
      <c r="F229" s="146" t="n">
        <f aca="false">Scoring!B236</f>
        <v>0</v>
      </c>
      <c r="G229" s="146" t="n">
        <f aca="false">Scoring!D236</f>
        <v>0</v>
      </c>
      <c r="H229" s="146" t="str">
        <f aca="false">Scoring!DA236</f>
        <v/>
      </c>
      <c r="I229" s="148" t="str">
        <f aca="false">Scoring!CZ236</f>
        <v/>
      </c>
    </row>
    <row r="230" customFormat="false" ht="15.75" hidden="false" customHeight="false" outlineLevel="0" collapsed="false">
      <c r="A230" s="146" t="str">
        <f aca="false">Scoring!DC237</f>
        <v/>
      </c>
      <c r="B230" s="146" t="str">
        <f aca="false">Scoring!DB237</f>
        <v/>
      </c>
      <c r="C230" s="146" t="n">
        <f aca="false">Scoring!C237</f>
        <v>0</v>
      </c>
      <c r="D230" s="147" t="str">
        <f aca="false">Scoring!CY237</f>
        <v/>
      </c>
      <c r="E230" s="146" t="str">
        <f aca="false">Scoring!BH237</f>
        <v/>
      </c>
      <c r="F230" s="146" t="n">
        <f aca="false">Scoring!B237</f>
        <v>0</v>
      </c>
      <c r="G230" s="146" t="n">
        <f aca="false">Scoring!D237</f>
        <v>0</v>
      </c>
      <c r="H230" s="146" t="str">
        <f aca="false">Scoring!DA237</f>
        <v/>
      </c>
      <c r="I230" s="148" t="str">
        <f aca="false">Scoring!CZ237</f>
        <v/>
      </c>
    </row>
    <row r="231" customFormat="false" ht="15.75" hidden="false" customHeight="false" outlineLevel="0" collapsed="false">
      <c r="A231" s="146" t="str">
        <f aca="false">Scoring!DC238</f>
        <v/>
      </c>
      <c r="B231" s="146" t="str">
        <f aca="false">Scoring!DB238</f>
        <v/>
      </c>
      <c r="C231" s="146" t="n">
        <f aca="false">Scoring!C238</f>
        <v>0</v>
      </c>
      <c r="D231" s="147" t="str">
        <f aca="false">Scoring!CY238</f>
        <v/>
      </c>
      <c r="E231" s="146" t="str">
        <f aca="false">Scoring!BH238</f>
        <v/>
      </c>
      <c r="F231" s="146" t="n">
        <f aca="false">Scoring!B238</f>
        <v>0</v>
      </c>
      <c r="G231" s="146" t="n">
        <f aca="false">Scoring!D238</f>
        <v>0</v>
      </c>
      <c r="H231" s="146" t="str">
        <f aca="false">Scoring!DA238</f>
        <v/>
      </c>
      <c r="I231" s="148" t="str">
        <f aca="false">Scoring!CZ238</f>
        <v/>
      </c>
    </row>
    <row r="232" customFormat="false" ht="15.75" hidden="false" customHeight="false" outlineLevel="0" collapsed="false">
      <c r="A232" s="146" t="str">
        <f aca="false">Scoring!DC239</f>
        <v/>
      </c>
      <c r="B232" s="146" t="str">
        <f aca="false">Scoring!DB239</f>
        <v/>
      </c>
      <c r="C232" s="146" t="n">
        <f aca="false">Scoring!C239</f>
        <v>0</v>
      </c>
      <c r="D232" s="147" t="str">
        <f aca="false">Scoring!CY239</f>
        <v/>
      </c>
      <c r="E232" s="146" t="str">
        <f aca="false">Scoring!BH239</f>
        <v/>
      </c>
      <c r="F232" s="146" t="n">
        <f aca="false">Scoring!B239</f>
        <v>0</v>
      </c>
      <c r="G232" s="146" t="n">
        <f aca="false">Scoring!D239</f>
        <v>0</v>
      </c>
      <c r="H232" s="146" t="str">
        <f aca="false">Scoring!DA239</f>
        <v/>
      </c>
      <c r="I232" s="148" t="str">
        <f aca="false">Scoring!CZ239</f>
        <v/>
      </c>
    </row>
    <row r="233" customFormat="false" ht="15.75" hidden="false" customHeight="false" outlineLevel="0" collapsed="false">
      <c r="A233" s="146" t="str">
        <f aca="false">Scoring!DC240</f>
        <v/>
      </c>
      <c r="B233" s="146" t="str">
        <f aca="false">Scoring!DB240</f>
        <v/>
      </c>
      <c r="C233" s="146" t="n">
        <f aca="false">Scoring!C240</f>
        <v>0</v>
      </c>
      <c r="D233" s="147" t="str">
        <f aca="false">Scoring!CY240</f>
        <v/>
      </c>
      <c r="E233" s="146" t="str">
        <f aca="false">Scoring!BH240</f>
        <v/>
      </c>
      <c r="F233" s="146" t="n">
        <f aca="false">Scoring!B240</f>
        <v>0</v>
      </c>
      <c r="G233" s="146" t="n">
        <f aca="false">Scoring!D240</f>
        <v>0</v>
      </c>
      <c r="H233" s="146" t="str">
        <f aca="false">Scoring!DA240</f>
        <v/>
      </c>
      <c r="I233" s="148" t="str">
        <f aca="false">Scoring!CZ240</f>
        <v/>
      </c>
    </row>
    <row r="234" customFormat="false" ht="15.75" hidden="false" customHeight="false" outlineLevel="0" collapsed="false">
      <c r="A234" s="146" t="str">
        <f aca="false">Scoring!DC241</f>
        <v/>
      </c>
      <c r="B234" s="146" t="str">
        <f aca="false">Scoring!DB241</f>
        <v/>
      </c>
      <c r="C234" s="146" t="n">
        <f aca="false">Scoring!C241</f>
        <v>0</v>
      </c>
      <c r="D234" s="147" t="str">
        <f aca="false">Scoring!CY241</f>
        <v/>
      </c>
      <c r="E234" s="146" t="str">
        <f aca="false">Scoring!BH241</f>
        <v/>
      </c>
      <c r="F234" s="146" t="n">
        <f aca="false">Scoring!B241</f>
        <v>0</v>
      </c>
      <c r="G234" s="146" t="n">
        <f aca="false">Scoring!D241</f>
        <v>0</v>
      </c>
      <c r="H234" s="146" t="str">
        <f aca="false">Scoring!DA241</f>
        <v/>
      </c>
      <c r="I234" s="148" t="str">
        <f aca="false">Scoring!CZ241</f>
        <v/>
      </c>
    </row>
    <row r="235" customFormat="false" ht="15.75" hidden="false" customHeight="false" outlineLevel="0" collapsed="false">
      <c r="A235" s="146" t="str">
        <f aca="false">Scoring!DC242</f>
        <v/>
      </c>
      <c r="B235" s="146" t="str">
        <f aca="false">Scoring!DB242</f>
        <v/>
      </c>
      <c r="C235" s="146" t="n">
        <f aca="false">Scoring!C242</f>
        <v>0</v>
      </c>
      <c r="D235" s="147" t="str">
        <f aca="false">Scoring!CY242</f>
        <v/>
      </c>
      <c r="E235" s="146" t="str">
        <f aca="false">Scoring!BH242</f>
        <v/>
      </c>
      <c r="F235" s="146" t="n">
        <f aca="false">Scoring!B242</f>
        <v>0</v>
      </c>
      <c r="G235" s="146" t="n">
        <f aca="false">Scoring!D242</f>
        <v>0</v>
      </c>
      <c r="H235" s="146" t="str">
        <f aca="false">Scoring!DA242</f>
        <v/>
      </c>
      <c r="I235" s="148" t="str">
        <f aca="false">Scoring!CZ242</f>
        <v/>
      </c>
    </row>
    <row r="236" customFormat="false" ht="15.75" hidden="false" customHeight="false" outlineLevel="0" collapsed="false">
      <c r="A236" s="146" t="str">
        <f aca="false">Scoring!DC243</f>
        <v/>
      </c>
      <c r="B236" s="146" t="str">
        <f aca="false">Scoring!DB243</f>
        <v/>
      </c>
      <c r="C236" s="146" t="n">
        <f aca="false">Scoring!C243</f>
        <v>0</v>
      </c>
      <c r="D236" s="147" t="str">
        <f aca="false">Scoring!CY243</f>
        <v/>
      </c>
      <c r="E236" s="146" t="str">
        <f aca="false">Scoring!BH243</f>
        <v/>
      </c>
      <c r="F236" s="146" t="n">
        <f aca="false">Scoring!B243</f>
        <v>0</v>
      </c>
      <c r="G236" s="146" t="n">
        <f aca="false">Scoring!D243</f>
        <v>0</v>
      </c>
      <c r="H236" s="146" t="str">
        <f aca="false">Scoring!DA243</f>
        <v/>
      </c>
      <c r="I236" s="148" t="str">
        <f aca="false">Scoring!CZ243</f>
        <v/>
      </c>
    </row>
    <row r="237" customFormat="false" ht="15.75" hidden="false" customHeight="false" outlineLevel="0" collapsed="false">
      <c r="A237" s="146" t="str">
        <f aca="false">Scoring!DC244</f>
        <v/>
      </c>
      <c r="B237" s="146" t="str">
        <f aca="false">Scoring!DB244</f>
        <v/>
      </c>
      <c r="C237" s="146" t="n">
        <f aca="false">Scoring!C244</f>
        <v>0</v>
      </c>
      <c r="D237" s="147" t="str">
        <f aca="false">Scoring!CY244</f>
        <v/>
      </c>
      <c r="E237" s="146" t="str">
        <f aca="false">Scoring!BH244</f>
        <v/>
      </c>
      <c r="F237" s="146" t="n">
        <f aca="false">Scoring!B244</f>
        <v>0</v>
      </c>
      <c r="G237" s="146" t="n">
        <f aca="false">Scoring!D244</f>
        <v>0</v>
      </c>
      <c r="H237" s="146" t="str">
        <f aca="false">Scoring!DA244</f>
        <v/>
      </c>
      <c r="I237" s="148" t="str">
        <f aca="false">Scoring!CZ244</f>
        <v/>
      </c>
    </row>
    <row r="238" customFormat="false" ht="15.75" hidden="false" customHeight="false" outlineLevel="0" collapsed="false">
      <c r="A238" s="146" t="str">
        <f aca="false">Scoring!DC245</f>
        <v/>
      </c>
      <c r="B238" s="146" t="str">
        <f aca="false">Scoring!DB245</f>
        <v/>
      </c>
      <c r="C238" s="146" t="n">
        <f aca="false">Scoring!C245</f>
        <v>0</v>
      </c>
      <c r="D238" s="147" t="str">
        <f aca="false">Scoring!CY245</f>
        <v/>
      </c>
      <c r="E238" s="146" t="str">
        <f aca="false">Scoring!BH245</f>
        <v/>
      </c>
      <c r="F238" s="146" t="n">
        <f aca="false">Scoring!B245</f>
        <v>0</v>
      </c>
      <c r="G238" s="146" t="n">
        <f aca="false">Scoring!D245</f>
        <v>0</v>
      </c>
      <c r="H238" s="146" t="str">
        <f aca="false">Scoring!DA245</f>
        <v/>
      </c>
      <c r="I238" s="148" t="str">
        <f aca="false">Scoring!CZ245</f>
        <v/>
      </c>
    </row>
    <row r="239" customFormat="false" ht="15.75" hidden="false" customHeight="false" outlineLevel="0" collapsed="false">
      <c r="A239" s="146" t="str">
        <f aca="false">Scoring!DC246</f>
        <v/>
      </c>
      <c r="B239" s="146" t="str">
        <f aca="false">Scoring!DB246</f>
        <v/>
      </c>
      <c r="C239" s="146" t="n">
        <f aca="false">Scoring!C246</f>
        <v>0</v>
      </c>
      <c r="D239" s="147" t="str">
        <f aca="false">Scoring!CY246</f>
        <v/>
      </c>
      <c r="E239" s="146" t="str">
        <f aca="false">Scoring!BH246</f>
        <v/>
      </c>
      <c r="F239" s="146" t="n">
        <f aca="false">Scoring!B246</f>
        <v>0</v>
      </c>
      <c r="G239" s="146" t="n">
        <f aca="false">Scoring!D246</f>
        <v>0</v>
      </c>
      <c r="H239" s="146" t="str">
        <f aca="false">Scoring!DA246</f>
        <v/>
      </c>
      <c r="I239" s="148" t="str">
        <f aca="false">Scoring!CZ246</f>
        <v/>
      </c>
    </row>
    <row r="240" customFormat="false" ht="15.75" hidden="false" customHeight="false" outlineLevel="0" collapsed="false">
      <c r="A240" s="146" t="str">
        <f aca="false">Scoring!DC247</f>
        <v/>
      </c>
      <c r="B240" s="146" t="str">
        <f aca="false">Scoring!DB247</f>
        <v/>
      </c>
      <c r="C240" s="146" t="n">
        <f aca="false">Scoring!C247</f>
        <v>0</v>
      </c>
      <c r="D240" s="147" t="str">
        <f aca="false">Scoring!CY247</f>
        <v/>
      </c>
      <c r="E240" s="146" t="str">
        <f aca="false">Scoring!BH247</f>
        <v/>
      </c>
      <c r="F240" s="146" t="n">
        <f aca="false">Scoring!B247</f>
        <v>0</v>
      </c>
      <c r="G240" s="146" t="n">
        <f aca="false">Scoring!D247</f>
        <v>0</v>
      </c>
      <c r="H240" s="146" t="str">
        <f aca="false">Scoring!DA247</f>
        <v/>
      </c>
      <c r="I240" s="148" t="str">
        <f aca="false">Scoring!CZ247</f>
        <v/>
      </c>
    </row>
    <row r="241" customFormat="false" ht="15.75" hidden="false" customHeight="false" outlineLevel="0" collapsed="false">
      <c r="A241" s="146" t="str">
        <f aca="false">Scoring!DC248</f>
        <v/>
      </c>
      <c r="B241" s="146" t="str">
        <f aca="false">Scoring!DB248</f>
        <v/>
      </c>
      <c r="C241" s="146" t="n">
        <f aca="false">Scoring!C248</f>
        <v>0</v>
      </c>
      <c r="D241" s="147" t="str">
        <f aca="false">Scoring!CY248</f>
        <v/>
      </c>
      <c r="E241" s="146" t="str">
        <f aca="false">Scoring!BH248</f>
        <v/>
      </c>
      <c r="F241" s="146" t="n">
        <f aca="false">Scoring!B248</f>
        <v>0</v>
      </c>
      <c r="G241" s="146" t="n">
        <f aca="false">Scoring!D248</f>
        <v>0</v>
      </c>
      <c r="H241" s="146" t="str">
        <f aca="false">Scoring!DA248</f>
        <v/>
      </c>
      <c r="I241" s="148" t="str">
        <f aca="false">Scoring!CZ248</f>
        <v/>
      </c>
    </row>
    <row r="242" customFormat="false" ht="15.75" hidden="false" customHeight="false" outlineLevel="0" collapsed="false">
      <c r="A242" s="146" t="str">
        <f aca="false">Scoring!DC249</f>
        <v/>
      </c>
      <c r="B242" s="146" t="str">
        <f aca="false">Scoring!DB249</f>
        <v/>
      </c>
      <c r="C242" s="146" t="n">
        <f aca="false">Scoring!C249</f>
        <v>0</v>
      </c>
      <c r="D242" s="147" t="str">
        <f aca="false">Scoring!CY249</f>
        <v/>
      </c>
      <c r="E242" s="146" t="str">
        <f aca="false">Scoring!BH249</f>
        <v/>
      </c>
      <c r="F242" s="146" t="n">
        <f aca="false">Scoring!B249</f>
        <v>0</v>
      </c>
      <c r="G242" s="146" t="n">
        <f aca="false">Scoring!D249</f>
        <v>0</v>
      </c>
      <c r="H242" s="146" t="str">
        <f aca="false">Scoring!DA249</f>
        <v/>
      </c>
      <c r="I242" s="148" t="str">
        <f aca="false">Scoring!CZ249</f>
        <v/>
      </c>
    </row>
    <row r="243" customFormat="false" ht="15.75" hidden="false" customHeight="false" outlineLevel="0" collapsed="false">
      <c r="A243" s="146" t="str">
        <f aca="false">Scoring!DC250</f>
        <v/>
      </c>
      <c r="B243" s="146" t="str">
        <f aca="false">Scoring!DB250</f>
        <v/>
      </c>
      <c r="C243" s="146" t="n">
        <f aca="false">Scoring!C250</f>
        <v>0</v>
      </c>
      <c r="D243" s="147" t="str">
        <f aca="false">Scoring!CY250</f>
        <v/>
      </c>
      <c r="E243" s="146" t="str">
        <f aca="false">Scoring!BH250</f>
        <v/>
      </c>
      <c r="F243" s="146" t="n">
        <f aca="false">Scoring!B250</f>
        <v>0</v>
      </c>
      <c r="G243" s="146" t="n">
        <f aca="false">Scoring!D250</f>
        <v>0</v>
      </c>
      <c r="H243" s="146" t="str">
        <f aca="false">Scoring!DA250</f>
        <v/>
      </c>
      <c r="I243" s="148" t="str">
        <f aca="false">Scoring!CZ250</f>
        <v/>
      </c>
    </row>
    <row r="244" customFormat="false" ht="15.75" hidden="false" customHeight="false" outlineLevel="0" collapsed="false">
      <c r="A244" s="146" t="str">
        <f aca="false">Scoring!DC251</f>
        <v/>
      </c>
      <c r="B244" s="146" t="str">
        <f aca="false">Scoring!DB251</f>
        <v/>
      </c>
      <c r="C244" s="146" t="n">
        <f aca="false">Scoring!C251</f>
        <v>0</v>
      </c>
      <c r="D244" s="147" t="str">
        <f aca="false">Scoring!CY251</f>
        <v/>
      </c>
      <c r="E244" s="146" t="str">
        <f aca="false">Scoring!BH251</f>
        <v/>
      </c>
      <c r="F244" s="146" t="n">
        <f aca="false">Scoring!B251</f>
        <v>0</v>
      </c>
      <c r="G244" s="146" t="n">
        <f aca="false">Scoring!D251</f>
        <v>0</v>
      </c>
      <c r="H244" s="146" t="str">
        <f aca="false">Scoring!DA251</f>
        <v/>
      </c>
      <c r="I244" s="148" t="str">
        <f aca="false">Scoring!CZ251</f>
        <v/>
      </c>
    </row>
    <row r="245" customFormat="false" ht="15.75" hidden="false" customHeight="false" outlineLevel="0" collapsed="false">
      <c r="A245" s="146" t="str">
        <f aca="false">Scoring!DC252</f>
        <v/>
      </c>
      <c r="B245" s="146" t="str">
        <f aca="false">Scoring!DB252</f>
        <v/>
      </c>
      <c r="C245" s="146" t="n">
        <f aca="false">Scoring!C252</f>
        <v>0</v>
      </c>
      <c r="D245" s="147" t="str">
        <f aca="false">Scoring!CY252</f>
        <v/>
      </c>
      <c r="E245" s="146" t="str">
        <f aca="false">Scoring!BH252</f>
        <v/>
      </c>
      <c r="F245" s="146" t="n">
        <f aca="false">Scoring!B252</f>
        <v>0</v>
      </c>
      <c r="G245" s="146" t="n">
        <f aca="false">Scoring!D252</f>
        <v>0</v>
      </c>
      <c r="H245" s="146" t="str">
        <f aca="false">Scoring!DA252</f>
        <v/>
      </c>
      <c r="I245" s="148" t="str">
        <f aca="false">Scoring!CZ252</f>
        <v/>
      </c>
    </row>
    <row r="246" customFormat="false" ht="15.75" hidden="false" customHeight="false" outlineLevel="0" collapsed="false">
      <c r="A246" s="146" t="str">
        <f aca="false">Scoring!DC253</f>
        <v/>
      </c>
      <c r="B246" s="146" t="str">
        <f aca="false">Scoring!DB253</f>
        <v/>
      </c>
      <c r="C246" s="146" t="n">
        <f aca="false">Scoring!C253</f>
        <v>0</v>
      </c>
      <c r="D246" s="147" t="str">
        <f aca="false">Scoring!CY253</f>
        <v/>
      </c>
      <c r="E246" s="146" t="str">
        <f aca="false">Scoring!BH253</f>
        <v/>
      </c>
      <c r="F246" s="146" t="n">
        <f aca="false">Scoring!B253</f>
        <v>0</v>
      </c>
      <c r="G246" s="146" t="n">
        <f aca="false">Scoring!D253</f>
        <v>0</v>
      </c>
      <c r="H246" s="146" t="str">
        <f aca="false">Scoring!DA253</f>
        <v/>
      </c>
      <c r="I246" s="148" t="str">
        <f aca="false">Scoring!CZ253</f>
        <v/>
      </c>
    </row>
    <row r="247" customFormat="false" ht="15.75" hidden="false" customHeight="false" outlineLevel="0" collapsed="false">
      <c r="A247" s="146" t="str">
        <f aca="false">Scoring!DC254</f>
        <v/>
      </c>
      <c r="B247" s="146" t="str">
        <f aca="false">Scoring!DB254</f>
        <v/>
      </c>
      <c r="C247" s="146" t="n">
        <f aca="false">Scoring!C254</f>
        <v>0</v>
      </c>
      <c r="D247" s="147" t="str">
        <f aca="false">Scoring!CY254</f>
        <v/>
      </c>
      <c r="E247" s="146" t="str">
        <f aca="false">Scoring!BH254</f>
        <v/>
      </c>
      <c r="F247" s="146" t="n">
        <f aca="false">Scoring!B254</f>
        <v>0</v>
      </c>
      <c r="G247" s="146" t="n">
        <f aca="false">Scoring!D254</f>
        <v>0</v>
      </c>
      <c r="H247" s="146" t="str">
        <f aca="false">Scoring!DA254</f>
        <v/>
      </c>
      <c r="I247" s="148" t="str">
        <f aca="false">Scoring!CZ254</f>
        <v/>
      </c>
    </row>
    <row r="248" customFormat="false" ht="15.75" hidden="false" customHeight="false" outlineLevel="0" collapsed="false">
      <c r="A248" s="146" t="str">
        <f aca="false">Scoring!DC255</f>
        <v/>
      </c>
      <c r="B248" s="146" t="str">
        <f aca="false">Scoring!DB255</f>
        <v/>
      </c>
      <c r="C248" s="146" t="n">
        <f aca="false">Scoring!C255</f>
        <v>0</v>
      </c>
      <c r="D248" s="147" t="str">
        <f aca="false">Scoring!CY255</f>
        <v/>
      </c>
      <c r="E248" s="146" t="str">
        <f aca="false">Scoring!BH255</f>
        <v/>
      </c>
      <c r="F248" s="146" t="n">
        <f aca="false">Scoring!B255</f>
        <v>0</v>
      </c>
      <c r="G248" s="146" t="n">
        <f aca="false">Scoring!D255</f>
        <v>0</v>
      </c>
      <c r="H248" s="146" t="str">
        <f aca="false">Scoring!DA255</f>
        <v/>
      </c>
      <c r="I248" s="148" t="str">
        <f aca="false">Scoring!CZ255</f>
        <v/>
      </c>
    </row>
    <row r="249" customFormat="false" ht="15.75" hidden="false" customHeight="false" outlineLevel="0" collapsed="false">
      <c r="A249" s="146" t="str">
        <f aca="false">Scoring!DC256</f>
        <v/>
      </c>
      <c r="B249" s="146" t="str">
        <f aca="false">Scoring!DB256</f>
        <v/>
      </c>
      <c r="C249" s="146" t="n">
        <f aca="false">Scoring!C256</f>
        <v>0</v>
      </c>
      <c r="D249" s="147" t="str">
        <f aca="false">Scoring!CY256</f>
        <v/>
      </c>
      <c r="E249" s="146" t="str">
        <f aca="false">Scoring!BH256</f>
        <v/>
      </c>
      <c r="F249" s="146" t="n">
        <f aca="false">Scoring!B256</f>
        <v>0</v>
      </c>
      <c r="G249" s="146" t="n">
        <f aca="false">Scoring!D256</f>
        <v>0</v>
      </c>
      <c r="H249" s="146" t="str">
        <f aca="false">Scoring!DA256</f>
        <v/>
      </c>
      <c r="I249" s="148" t="str">
        <f aca="false">Scoring!CZ256</f>
        <v/>
      </c>
    </row>
    <row r="250" customFormat="false" ht="15.75" hidden="false" customHeight="false" outlineLevel="0" collapsed="false">
      <c r="A250" s="146" t="str">
        <f aca="false">Scoring!DC257</f>
        <v/>
      </c>
      <c r="B250" s="146" t="str">
        <f aca="false">Scoring!DB257</f>
        <v/>
      </c>
      <c r="C250" s="146" t="n">
        <f aca="false">Scoring!C257</f>
        <v>0</v>
      </c>
      <c r="D250" s="147" t="str">
        <f aca="false">Scoring!CY257</f>
        <v/>
      </c>
      <c r="E250" s="146" t="str">
        <f aca="false">Scoring!BH257</f>
        <v/>
      </c>
      <c r="F250" s="146" t="n">
        <f aca="false">Scoring!B257</f>
        <v>0</v>
      </c>
      <c r="G250" s="146" t="n">
        <f aca="false">Scoring!D257</f>
        <v>0</v>
      </c>
      <c r="H250" s="146" t="str">
        <f aca="false">Scoring!DA257</f>
        <v/>
      </c>
      <c r="I250" s="148" t="str">
        <f aca="false">Scoring!CZ257</f>
        <v/>
      </c>
    </row>
    <row r="251" customFormat="false" ht="15.75" hidden="false" customHeight="false" outlineLevel="0" collapsed="false">
      <c r="A251" s="146" t="str">
        <f aca="false">Scoring!DC258</f>
        <v/>
      </c>
      <c r="B251" s="146" t="str">
        <f aca="false">Scoring!DB258</f>
        <v/>
      </c>
      <c r="C251" s="146" t="n">
        <f aca="false">Scoring!C258</f>
        <v>0</v>
      </c>
      <c r="D251" s="147" t="str">
        <f aca="false">Scoring!CY258</f>
        <v/>
      </c>
      <c r="E251" s="146" t="str">
        <f aca="false">Scoring!BH258</f>
        <v/>
      </c>
      <c r="F251" s="146" t="n">
        <f aca="false">Scoring!B258</f>
        <v>0</v>
      </c>
      <c r="G251" s="146" t="n">
        <f aca="false">Scoring!D258</f>
        <v>0</v>
      </c>
      <c r="H251" s="146" t="str">
        <f aca="false">Scoring!DA258</f>
        <v/>
      </c>
      <c r="I251" s="148" t="str">
        <f aca="false">Scoring!CZ258</f>
        <v/>
      </c>
    </row>
    <row r="252" customFormat="false" ht="15.75" hidden="false" customHeight="false" outlineLevel="0" collapsed="false">
      <c r="A252" s="146" t="str">
        <f aca="false">Scoring!DC259</f>
        <v/>
      </c>
      <c r="B252" s="146" t="str">
        <f aca="false">Scoring!DB259</f>
        <v/>
      </c>
      <c r="C252" s="146" t="n">
        <f aca="false">Scoring!C259</f>
        <v>0</v>
      </c>
      <c r="D252" s="147" t="str">
        <f aca="false">Scoring!CY259</f>
        <v/>
      </c>
      <c r="E252" s="146" t="str">
        <f aca="false">Scoring!BH259</f>
        <v/>
      </c>
      <c r="F252" s="146" t="n">
        <f aca="false">Scoring!B259</f>
        <v>0</v>
      </c>
      <c r="G252" s="146" t="n">
        <f aca="false">Scoring!D259</f>
        <v>0</v>
      </c>
      <c r="H252" s="146" t="str">
        <f aca="false">Scoring!DA259</f>
        <v/>
      </c>
      <c r="I252" s="148" t="str">
        <f aca="false">Scoring!CZ259</f>
        <v/>
      </c>
    </row>
    <row r="253" customFormat="false" ht="15.75" hidden="false" customHeight="false" outlineLevel="0" collapsed="false">
      <c r="A253" s="146" t="str">
        <f aca="false">Scoring!DC260</f>
        <v/>
      </c>
      <c r="B253" s="146" t="str">
        <f aca="false">Scoring!DB260</f>
        <v/>
      </c>
      <c r="C253" s="146" t="n">
        <f aca="false">Scoring!C260</f>
        <v>0</v>
      </c>
      <c r="D253" s="147" t="str">
        <f aca="false">Scoring!CY260</f>
        <v/>
      </c>
      <c r="E253" s="146" t="str">
        <f aca="false">Scoring!BH260</f>
        <v/>
      </c>
      <c r="F253" s="146" t="n">
        <f aca="false">Scoring!B260</f>
        <v>0</v>
      </c>
      <c r="G253" s="146" t="n">
        <f aca="false">Scoring!D260</f>
        <v>0</v>
      </c>
      <c r="H253" s="146" t="str">
        <f aca="false">Scoring!DA260</f>
        <v/>
      </c>
      <c r="I253" s="148" t="str">
        <f aca="false">Scoring!CZ260</f>
        <v/>
      </c>
    </row>
    <row r="254" customFormat="false" ht="15.75" hidden="false" customHeight="false" outlineLevel="0" collapsed="false">
      <c r="A254" s="146" t="str">
        <f aca="false">Scoring!DC261</f>
        <v/>
      </c>
      <c r="B254" s="146" t="str">
        <f aca="false">Scoring!DB261</f>
        <v/>
      </c>
      <c r="C254" s="146" t="n">
        <f aca="false">Scoring!C261</f>
        <v>0</v>
      </c>
      <c r="D254" s="147" t="str">
        <f aca="false">Scoring!CY261</f>
        <v/>
      </c>
      <c r="E254" s="146" t="str">
        <f aca="false">Scoring!BH261</f>
        <v/>
      </c>
      <c r="F254" s="146" t="n">
        <f aca="false">Scoring!B261</f>
        <v>0</v>
      </c>
      <c r="G254" s="146" t="n">
        <f aca="false">Scoring!D261</f>
        <v>0</v>
      </c>
      <c r="H254" s="146" t="str">
        <f aca="false">Scoring!DA261</f>
        <v/>
      </c>
      <c r="I254" s="148" t="str">
        <f aca="false">Scoring!CZ261</f>
        <v/>
      </c>
    </row>
    <row r="255" customFormat="false" ht="15.75" hidden="false" customHeight="false" outlineLevel="0" collapsed="false">
      <c r="A255" s="146" t="str">
        <f aca="false">Scoring!DC262</f>
        <v/>
      </c>
      <c r="B255" s="146" t="str">
        <f aca="false">Scoring!DB262</f>
        <v/>
      </c>
      <c r="C255" s="146" t="n">
        <f aca="false">Scoring!C262</f>
        <v>0</v>
      </c>
      <c r="D255" s="147" t="str">
        <f aca="false">Scoring!CY262</f>
        <v/>
      </c>
      <c r="E255" s="146" t="str">
        <f aca="false">Scoring!BH262</f>
        <v/>
      </c>
      <c r="F255" s="146" t="n">
        <f aca="false">Scoring!B262</f>
        <v>0</v>
      </c>
      <c r="G255" s="146" t="n">
        <f aca="false">Scoring!D262</f>
        <v>0</v>
      </c>
      <c r="H255" s="146" t="str">
        <f aca="false">Scoring!DA262</f>
        <v/>
      </c>
      <c r="I255" s="148" t="str">
        <f aca="false">Scoring!CZ262</f>
        <v/>
      </c>
    </row>
    <row r="256" customFormat="false" ht="15.75" hidden="false" customHeight="false" outlineLevel="0" collapsed="false">
      <c r="A256" s="146" t="str">
        <f aca="false">Scoring!DC263</f>
        <v/>
      </c>
      <c r="B256" s="146" t="str">
        <f aca="false">Scoring!DB263</f>
        <v/>
      </c>
      <c r="C256" s="146" t="n">
        <f aca="false">Scoring!C263</f>
        <v>0</v>
      </c>
      <c r="D256" s="147" t="str">
        <f aca="false">Scoring!CY263</f>
        <v/>
      </c>
      <c r="E256" s="146" t="str">
        <f aca="false">Scoring!BH263</f>
        <v/>
      </c>
      <c r="F256" s="146" t="n">
        <f aca="false">Scoring!B263</f>
        <v>0</v>
      </c>
      <c r="G256" s="146" t="n">
        <f aca="false">Scoring!D263</f>
        <v>0</v>
      </c>
      <c r="H256" s="146" t="str">
        <f aca="false">Scoring!DA263</f>
        <v/>
      </c>
      <c r="I256" s="148" t="str">
        <f aca="false">Scoring!CZ263</f>
        <v/>
      </c>
    </row>
    <row r="257" customFormat="false" ht="15.75" hidden="false" customHeight="false" outlineLevel="0" collapsed="false">
      <c r="A257" s="146" t="str">
        <f aca="false">Scoring!DC264</f>
        <v/>
      </c>
      <c r="B257" s="146" t="str">
        <f aca="false">Scoring!DB264</f>
        <v/>
      </c>
      <c r="C257" s="146" t="n">
        <f aca="false">Scoring!C264</f>
        <v>0</v>
      </c>
      <c r="D257" s="147" t="str">
        <f aca="false">Scoring!CY264</f>
        <v/>
      </c>
      <c r="E257" s="146" t="str">
        <f aca="false">Scoring!BH264</f>
        <v/>
      </c>
      <c r="F257" s="146" t="n">
        <f aca="false">Scoring!B264</f>
        <v>0</v>
      </c>
      <c r="G257" s="146" t="n">
        <f aca="false">Scoring!D264</f>
        <v>0</v>
      </c>
      <c r="H257" s="146" t="str">
        <f aca="false">Scoring!DA264</f>
        <v/>
      </c>
      <c r="I257" s="148" t="str">
        <f aca="false">Scoring!CZ264</f>
        <v/>
      </c>
    </row>
    <row r="258" customFormat="false" ht="15.75" hidden="false" customHeight="false" outlineLevel="0" collapsed="false">
      <c r="A258" s="146" t="str">
        <f aca="false">Scoring!DC265</f>
        <v/>
      </c>
      <c r="B258" s="146" t="str">
        <f aca="false">Scoring!DB265</f>
        <v/>
      </c>
      <c r="C258" s="146" t="n">
        <f aca="false">Scoring!C265</f>
        <v>0</v>
      </c>
      <c r="D258" s="147" t="str">
        <f aca="false">Scoring!CY265</f>
        <v/>
      </c>
      <c r="E258" s="146" t="str">
        <f aca="false">Scoring!BH265</f>
        <v/>
      </c>
      <c r="F258" s="146" t="n">
        <f aca="false">Scoring!B265</f>
        <v>0</v>
      </c>
      <c r="G258" s="146" t="n">
        <f aca="false">Scoring!D265</f>
        <v>0</v>
      </c>
      <c r="H258" s="146" t="str">
        <f aca="false">Scoring!DA265</f>
        <v/>
      </c>
      <c r="I258" s="148" t="str">
        <f aca="false">Scoring!CZ265</f>
        <v/>
      </c>
    </row>
    <row r="259" customFormat="false" ht="15.75" hidden="false" customHeight="false" outlineLevel="0" collapsed="false">
      <c r="A259" s="146" t="str">
        <f aca="false">Scoring!DC266</f>
        <v/>
      </c>
      <c r="B259" s="146" t="str">
        <f aca="false">Scoring!DB266</f>
        <v/>
      </c>
      <c r="C259" s="146" t="n">
        <f aca="false">Scoring!C266</f>
        <v>0</v>
      </c>
      <c r="D259" s="147" t="str">
        <f aca="false">Scoring!CY266</f>
        <v/>
      </c>
      <c r="E259" s="146" t="str">
        <f aca="false">Scoring!BH266</f>
        <v/>
      </c>
      <c r="F259" s="146" t="n">
        <f aca="false">Scoring!B266</f>
        <v>0</v>
      </c>
      <c r="G259" s="146" t="n">
        <f aca="false">Scoring!D266</f>
        <v>0</v>
      </c>
      <c r="H259" s="146" t="str">
        <f aca="false">Scoring!DA266</f>
        <v/>
      </c>
      <c r="I259" s="148" t="str">
        <f aca="false">Scoring!CZ266</f>
        <v/>
      </c>
    </row>
    <row r="260" customFormat="false" ht="15.75" hidden="false" customHeight="false" outlineLevel="0" collapsed="false">
      <c r="A260" s="146" t="str">
        <f aca="false">Scoring!DC267</f>
        <v/>
      </c>
      <c r="B260" s="146" t="str">
        <f aca="false">Scoring!DB267</f>
        <v/>
      </c>
      <c r="C260" s="146" t="n">
        <f aca="false">Scoring!C267</f>
        <v>0</v>
      </c>
      <c r="D260" s="147" t="str">
        <f aca="false">Scoring!CY267</f>
        <v/>
      </c>
      <c r="E260" s="146" t="str">
        <f aca="false">Scoring!BH267</f>
        <v/>
      </c>
      <c r="F260" s="146" t="n">
        <f aca="false">Scoring!B267</f>
        <v>0</v>
      </c>
      <c r="G260" s="146" t="n">
        <f aca="false">Scoring!D267</f>
        <v>0</v>
      </c>
      <c r="H260" s="146" t="str">
        <f aca="false">Scoring!DA267</f>
        <v/>
      </c>
      <c r="I260" s="148" t="str">
        <f aca="false">Scoring!CZ267</f>
        <v/>
      </c>
    </row>
    <row r="261" customFormat="false" ht="15.75" hidden="false" customHeight="false" outlineLevel="0" collapsed="false">
      <c r="A261" s="146" t="str">
        <f aca="false">Scoring!DC268</f>
        <v/>
      </c>
      <c r="B261" s="146" t="str">
        <f aca="false">Scoring!DB268</f>
        <v/>
      </c>
      <c r="C261" s="146" t="n">
        <f aca="false">Scoring!C268</f>
        <v>0</v>
      </c>
      <c r="D261" s="147" t="str">
        <f aca="false">Scoring!CY268</f>
        <v/>
      </c>
      <c r="E261" s="146" t="str">
        <f aca="false">Scoring!BH268</f>
        <v/>
      </c>
      <c r="F261" s="146" t="n">
        <f aca="false">Scoring!B268</f>
        <v>0</v>
      </c>
      <c r="G261" s="146" t="n">
        <f aca="false">Scoring!D268</f>
        <v>0</v>
      </c>
      <c r="H261" s="146" t="str">
        <f aca="false">Scoring!DA268</f>
        <v/>
      </c>
      <c r="I261" s="148" t="str">
        <f aca="false">Scoring!CZ268</f>
        <v/>
      </c>
    </row>
    <row r="262" customFormat="false" ht="15.75" hidden="false" customHeight="false" outlineLevel="0" collapsed="false">
      <c r="A262" s="146" t="str">
        <f aca="false">Scoring!DC269</f>
        <v/>
      </c>
      <c r="B262" s="146" t="str">
        <f aca="false">Scoring!DB269</f>
        <v/>
      </c>
      <c r="C262" s="146" t="n">
        <f aca="false">Scoring!C269</f>
        <v>0</v>
      </c>
      <c r="D262" s="147" t="str">
        <f aca="false">Scoring!CY269</f>
        <v/>
      </c>
      <c r="E262" s="146" t="str">
        <f aca="false">Scoring!BH269</f>
        <v/>
      </c>
      <c r="F262" s="146" t="n">
        <f aca="false">Scoring!B269</f>
        <v>0</v>
      </c>
      <c r="G262" s="146" t="n">
        <f aca="false">Scoring!D269</f>
        <v>0</v>
      </c>
      <c r="H262" s="146" t="str">
        <f aca="false">Scoring!DA269</f>
        <v/>
      </c>
      <c r="I262" s="148" t="str">
        <f aca="false">Scoring!CZ269</f>
        <v/>
      </c>
    </row>
    <row r="263" customFormat="false" ht="15.75" hidden="false" customHeight="false" outlineLevel="0" collapsed="false">
      <c r="A263" s="146" t="str">
        <f aca="false">Scoring!DC270</f>
        <v/>
      </c>
      <c r="B263" s="146" t="str">
        <f aca="false">Scoring!DB270</f>
        <v/>
      </c>
      <c r="C263" s="146" t="n">
        <f aca="false">Scoring!C270</f>
        <v>0</v>
      </c>
      <c r="D263" s="147" t="str">
        <f aca="false">Scoring!CY270</f>
        <v/>
      </c>
      <c r="E263" s="146" t="str">
        <f aca="false">Scoring!BH270</f>
        <v/>
      </c>
      <c r="F263" s="146" t="n">
        <f aca="false">Scoring!B270</f>
        <v>0</v>
      </c>
      <c r="G263" s="146" t="n">
        <f aca="false">Scoring!D270</f>
        <v>0</v>
      </c>
      <c r="H263" s="146" t="str">
        <f aca="false">Scoring!DA270</f>
        <v/>
      </c>
      <c r="I263" s="148" t="str">
        <f aca="false">Scoring!CZ270</f>
        <v/>
      </c>
    </row>
    <row r="264" customFormat="false" ht="15.75" hidden="false" customHeight="false" outlineLevel="0" collapsed="false">
      <c r="A264" s="146" t="str">
        <f aca="false">Scoring!DC271</f>
        <v/>
      </c>
      <c r="B264" s="146" t="str">
        <f aca="false">Scoring!DB271</f>
        <v/>
      </c>
      <c r="C264" s="146" t="n">
        <f aca="false">Scoring!C271</f>
        <v>0</v>
      </c>
      <c r="D264" s="147" t="str">
        <f aca="false">Scoring!CY271</f>
        <v/>
      </c>
      <c r="E264" s="146" t="str">
        <f aca="false">Scoring!BH271</f>
        <v/>
      </c>
      <c r="F264" s="146" t="n">
        <f aca="false">Scoring!B271</f>
        <v>0</v>
      </c>
      <c r="G264" s="146" t="n">
        <f aca="false">Scoring!D271</f>
        <v>0</v>
      </c>
      <c r="H264" s="146" t="str">
        <f aca="false">Scoring!DA271</f>
        <v/>
      </c>
      <c r="I264" s="148" t="str">
        <f aca="false">Scoring!CZ271</f>
        <v/>
      </c>
    </row>
    <row r="265" customFormat="false" ht="15.75" hidden="false" customHeight="false" outlineLevel="0" collapsed="false">
      <c r="A265" s="146" t="str">
        <f aca="false">Scoring!DC272</f>
        <v/>
      </c>
      <c r="B265" s="146" t="str">
        <f aca="false">Scoring!DB272</f>
        <v/>
      </c>
      <c r="C265" s="146" t="n">
        <f aca="false">Scoring!C272</f>
        <v>0</v>
      </c>
      <c r="D265" s="147" t="str">
        <f aca="false">Scoring!CY272</f>
        <v/>
      </c>
      <c r="E265" s="146" t="str">
        <f aca="false">Scoring!BH272</f>
        <v/>
      </c>
      <c r="F265" s="146" t="n">
        <f aca="false">Scoring!B272</f>
        <v>0</v>
      </c>
      <c r="G265" s="146" t="n">
        <f aca="false">Scoring!D272</f>
        <v>0</v>
      </c>
      <c r="H265" s="146" t="str">
        <f aca="false">Scoring!DA272</f>
        <v/>
      </c>
      <c r="I265" s="148" t="str">
        <f aca="false">Scoring!CZ272</f>
        <v/>
      </c>
    </row>
    <row r="266" customFormat="false" ht="15.75" hidden="false" customHeight="false" outlineLevel="0" collapsed="false">
      <c r="A266" s="146" t="str">
        <f aca="false">Scoring!DC273</f>
        <v/>
      </c>
      <c r="B266" s="146" t="str">
        <f aca="false">Scoring!DB273</f>
        <v/>
      </c>
      <c r="C266" s="146" t="n">
        <f aca="false">Scoring!C273</f>
        <v>0</v>
      </c>
      <c r="D266" s="147" t="str">
        <f aca="false">Scoring!CY273</f>
        <v/>
      </c>
      <c r="E266" s="146" t="str">
        <f aca="false">Scoring!BH273</f>
        <v/>
      </c>
      <c r="F266" s="146" t="n">
        <f aca="false">Scoring!B273</f>
        <v>0</v>
      </c>
      <c r="G266" s="146" t="n">
        <f aca="false">Scoring!D273</f>
        <v>0</v>
      </c>
      <c r="H266" s="146" t="str">
        <f aca="false">Scoring!DA273</f>
        <v/>
      </c>
      <c r="I266" s="148" t="str">
        <f aca="false">Scoring!CZ273</f>
        <v/>
      </c>
    </row>
    <row r="267" customFormat="false" ht="15.75" hidden="false" customHeight="false" outlineLevel="0" collapsed="false">
      <c r="A267" s="146" t="str">
        <f aca="false">Scoring!DC274</f>
        <v/>
      </c>
      <c r="B267" s="146" t="str">
        <f aca="false">Scoring!DB274</f>
        <v/>
      </c>
      <c r="C267" s="146" t="n">
        <f aca="false">Scoring!C274</f>
        <v>0</v>
      </c>
      <c r="D267" s="147" t="str">
        <f aca="false">Scoring!CY274</f>
        <v/>
      </c>
      <c r="E267" s="146" t="str">
        <f aca="false">Scoring!BH274</f>
        <v/>
      </c>
      <c r="F267" s="146" t="n">
        <f aca="false">Scoring!B274</f>
        <v>0</v>
      </c>
      <c r="G267" s="146" t="n">
        <f aca="false">Scoring!D274</f>
        <v>0</v>
      </c>
      <c r="H267" s="146" t="str">
        <f aca="false">Scoring!DA274</f>
        <v/>
      </c>
      <c r="I267" s="148" t="str">
        <f aca="false">Scoring!CZ274</f>
        <v/>
      </c>
    </row>
    <row r="268" customFormat="false" ht="15.75" hidden="false" customHeight="false" outlineLevel="0" collapsed="false">
      <c r="A268" s="146" t="str">
        <f aca="false">Scoring!DC275</f>
        <v/>
      </c>
      <c r="B268" s="146" t="str">
        <f aca="false">Scoring!DB275</f>
        <v/>
      </c>
      <c r="C268" s="146" t="n">
        <f aca="false">Scoring!C275</f>
        <v>0</v>
      </c>
      <c r="D268" s="147" t="str">
        <f aca="false">Scoring!CY275</f>
        <v/>
      </c>
      <c r="E268" s="146" t="str">
        <f aca="false">Scoring!BH275</f>
        <v/>
      </c>
      <c r="F268" s="146" t="n">
        <f aca="false">Scoring!B275</f>
        <v>0</v>
      </c>
      <c r="G268" s="146" t="n">
        <f aca="false">Scoring!D275</f>
        <v>0</v>
      </c>
      <c r="H268" s="146" t="str">
        <f aca="false">Scoring!DA275</f>
        <v/>
      </c>
      <c r="I268" s="148" t="str">
        <f aca="false">Scoring!CZ275</f>
        <v/>
      </c>
    </row>
    <row r="269" customFormat="false" ht="15.75" hidden="false" customHeight="false" outlineLevel="0" collapsed="false">
      <c r="A269" s="146" t="str">
        <f aca="false">Scoring!DC276</f>
        <v/>
      </c>
      <c r="B269" s="146" t="str">
        <f aca="false">Scoring!DB276</f>
        <v/>
      </c>
      <c r="C269" s="146" t="n">
        <f aca="false">Scoring!C276</f>
        <v>0</v>
      </c>
      <c r="D269" s="147" t="str">
        <f aca="false">Scoring!CY276</f>
        <v/>
      </c>
      <c r="E269" s="146" t="str">
        <f aca="false">Scoring!BH276</f>
        <v/>
      </c>
      <c r="F269" s="146" t="n">
        <f aca="false">Scoring!B276</f>
        <v>0</v>
      </c>
      <c r="G269" s="146" t="n">
        <f aca="false">Scoring!D276</f>
        <v>0</v>
      </c>
      <c r="H269" s="146" t="str">
        <f aca="false">Scoring!DA276</f>
        <v/>
      </c>
      <c r="I269" s="148" t="str">
        <f aca="false">Scoring!CZ276</f>
        <v/>
      </c>
    </row>
    <row r="270" customFormat="false" ht="15.75" hidden="false" customHeight="false" outlineLevel="0" collapsed="false">
      <c r="A270" s="146" t="str">
        <f aca="false">Scoring!DC277</f>
        <v/>
      </c>
      <c r="B270" s="146" t="str">
        <f aca="false">Scoring!DB277</f>
        <v/>
      </c>
      <c r="C270" s="146" t="n">
        <f aca="false">Scoring!C277</f>
        <v>0</v>
      </c>
      <c r="D270" s="147" t="str">
        <f aca="false">Scoring!CY277</f>
        <v/>
      </c>
      <c r="E270" s="146" t="str">
        <f aca="false">Scoring!BH277</f>
        <v/>
      </c>
      <c r="F270" s="146" t="n">
        <f aca="false">Scoring!B277</f>
        <v>0</v>
      </c>
      <c r="G270" s="146" t="n">
        <f aca="false">Scoring!D277</f>
        <v>0</v>
      </c>
      <c r="H270" s="146" t="str">
        <f aca="false">Scoring!DA277</f>
        <v/>
      </c>
      <c r="I270" s="148" t="str">
        <f aca="false">Scoring!CZ277</f>
        <v/>
      </c>
    </row>
    <row r="271" customFormat="false" ht="15.75" hidden="false" customHeight="false" outlineLevel="0" collapsed="false">
      <c r="A271" s="146" t="str">
        <f aca="false">Scoring!DC278</f>
        <v/>
      </c>
      <c r="B271" s="146" t="str">
        <f aca="false">Scoring!DB278</f>
        <v/>
      </c>
      <c r="C271" s="146" t="n">
        <f aca="false">Scoring!C278</f>
        <v>0</v>
      </c>
      <c r="D271" s="147" t="str">
        <f aca="false">Scoring!CY278</f>
        <v/>
      </c>
      <c r="E271" s="146" t="str">
        <f aca="false">Scoring!BH278</f>
        <v/>
      </c>
      <c r="F271" s="146" t="n">
        <f aca="false">Scoring!B278</f>
        <v>0</v>
      </c>
      <c r="G271" s="146" t="n">
        <f aca="false">Scoring!D278</f>
        <v>0</v>
      </c>
      <c r="H271" s="146" t="str">
        <f aca="false">Scoring!DA278</f>
        <v/>
      </c>
      <c r="I271" s="148" t="str">
        <f aca="false">Scoring!CZ278</f>
        <v/>
      </c>
    </row>
    <row r="272" customFormat="false" ht="15.75" hidden="false" customHeight="false" outlineLevel="0" collapsed="false">
      <c r="A272" s="146" t="str">
        <f aca="false">Scoring!DC279</f>
        <v/>
      </c>
      <c r="B272" s="146" t="str">
        <f aca="false">Scoring!DB279</f>
        <v/>
      </c>
      <c r="C272" s="146" t="n">
        <f aca="false">Scoring!C279</f>
        <v>0</v>
      </c>
      <c r="D272" s="147" t="str">
        <f aca="false">Scoring!CY279</f>
        <v/>
      </c>
      <c r="E272" s="146" t="str">
        <f aca="false">Scoring!BH279</f>
        <v/>
      </c>
      <c r="F272" s="146" t="n">
        <f aca="false">Scoring!B279</f>
        <v>0</v>
      </c>
      <c r="G272" s="146" t="n">
        <f aca="false">Scoring!D279</f>
        <v>0</v>
      </c>
      <c r="H272" s="146" t="str">
        <f aca="false">Scoring!DA279</f>
        <v/>
      </c>
      <c r="I272" s="148" t="str">
        <f aca="false">Scoring!CZ279</f>
        <v/>
      </c>
    </row>
    <row r="273" customFormat="false" ht="15.75" hidden="false" customHeight="false" outlineLevel="0" collapsed="false">
      <c r="A273" s="146" t="str">
        <f aca="false">Scoring!DC280</f>
        <v/>
      </c>
      <c r="B273" s="146" t="str">
        <f aca="false">Scoring!DB280</f>
        <v/>
      </c>
      <c r="C273" s="146" t="n">
        <f aca="false">Scoring!C280</f>
        <v>0</v>
      </c>
      <c r="D273" s="147" t="str">
        <f aca="false">Scoring!CY280</f>
        <v/>
      </c>
      <c r="E273" s="146" t="str">
        <f aca="false">Scoring!BH280</f>
        <v/>
      </c>
      <c r="F273" s="146" t="n">
        <f aca="false">Scoring!B280</f>
        <v>0</v>
      </c>
      <c r="G273" s="146" t="n">
        <f aca="false">Scoring!D280</f>
        <v>0</v>
      </c>
      <c r="H273" s="146" t="str">
        <f aca="false">Scoring!DA280</f>
        <v/>
      </c>
      <c r="I273" s="148" t="str">
        <f aca="false">Scoring!CZ280</f>
        <v/>
      </c>
    </row>
    <row r="274" customFormat="false" ht="15.75" hidden="false" customHeight="false" outlineLevel="0" collapsed="false">
      <c r="A274" s="146" t="str">
        <f aca="false">Scoring!DC281</f>
        <v/>
      </c>
      <c r="B274" s="146" t="str">
        <f aca="false">Scoring!DB281</f>
        <v/>
      </c>
      <c r="C274" s="146" t="n">
        <f aca="false">Scoring!C281</f>
        <v>0</v>
      </c>
      <c r="D274" s="147" t="str">
        <f aca="false">Scoring!CY281</f>
        <v/>
      </c>
      <c r="E274" s="146" t="str">
        <f aca="false">Scoring!BH281</f>
        <v/>
      </c>
      <c r="F274" s="146" t="n">
        <f aca="false">Scoring!B281</f>
        <v>0</v>
      </c>
      <c r="G274" s="146" t="n">
        <f aca="false">Scoring!D281</f>
        <v>0</v>
      </c>
      <c r="H274" s="146" t="str">
        <f aca="false">Scoring!DA281</f>
        <v/>
      </c>
      <c r="I274" s="148" t="str">
        <f aca="false">Scoring!CZ281</f>
        <v/>
      </c>
    </row>
    <row r="275" customFormat="false" ht="15.75" hidden="false" customHeight="false" outlineLevel="0" collapsed="false">
      <c r="A275" s="146" t="str">
        <f aca="false">Scoring!DC282</f>
        <v/>
      </c>
      <c r="B275" s="146" t="str">
        <f aca="false">Scoring!DB282</f>
        <v/>
      </c>
      <c r="C275" s="146" t="n">
        <f aca="false">Scoring!C282</f>
        <v>0</v>
      </c>
      <c r="D275" s="147" t="str">
        <f aca="false">Scoring!CY282</f>
        <v/>
      </c>
      <c r="E275" s="146" t="str">
        <f aca="false">Scoring!BH282</f>
        <v/>
      </c>
      <c r="F275" s="146" t="n">
        <f aca="false">Scoring!B282</f>
        <v>0</v>
      </c>
      <c r="G275" s="146" t="n">
        <f aca="false">Scoring!D282</f>
        <v>0</v>
      </c>
      <c r="H275" s="146" t="str">
        <f aca="false">Scoring!DA282</f>
        <v/>
      </c>
      <c r="I275" s="148" t="str">
        <f aca="false">Scoring!CZ282</f>
        <v/>
      </c>
    </row>
    <row r="276" customFormat="false" ht="15.75" hidden="false" customHeight="false" outlineLevel="0" collapsed="false">
      <c r="A276" s="146" t="str">
        <f aca="false">Scoring!DC283</f>
        <v/>
      </c>
      <c r="B276" s="146" t="str">
        <f aca="false">Scoring!DB283</f>
        <v/>
      </c>
      <c r="C276" s="146" t="n">
        <f aca="false">Scoring!C283</f>
        <v>0</v>
      </c>
      <c r="D276" s="147" t="str">
        <f aca="false">Scoring!CY283</f>
        <v/>
      </c>
      <c r="E276" s="146" t="str">
        <f aca="false">Scoring!BH283</f>
        <v/>
      </c>
      <c r="F276" s="146" t="n">
        <f aca="false">Scoring!B283</f>
        <v>0</v>
      </c>
      <c r="G276" s="146" t="n">
        <f aca="false">Scoring!D283</f>
        <v>0</v>
      </c>
      <c r="H276" s="146" t="str">
        <f aca="false">Scoring!DA283</f>
        <v/>
      </c>
      <c r="I276" s="148" t="str">
        <f aca="false">Scoring!CZ283</f>
        <v/>
      </c>
    </row>
    <row r="277" customFormat="false" ht="15.75" hidden="false" customHeight="false" outlineLevel="0" collapsed="false">
      <c r="A277" s="146" t="str">
        <f aca="false">Scoring!DC284</f>
        <v/>
      </c>
      <c r="B277" s="146" t="str">
        <f aca="false">Scoring!DB284</f>
        <v/>
      </c>
      <c r="C277" s="146" t="n">
        <f aca="false">Scoring!C284</f>
        <v>0</v>
      </c>
      <c r="D277" s="147" t="str">
        <f aca="false">Scoring!CY284</f>
        <v/>
      </c>
      <c r="E277" s="146" t="str">
        <f aca="false">Scoring!BH284</f>
        <v/>
      </c>
      <c r="F277" s="146" t="n">
        <f aca="false">Scoring!B284</f>
        <v>0</v>
      </c>
      <c r="G277" s="146" t="n">
        <f aca="false">Scoring!D284</f>
        <v>0</v>
      </c>
      <c r="H277" s="146" t="str">
        <f aca="false">Scoring!DA284</f>
        <v/>
      </c>
      <c r="I277" s="148" t="str">
        <f aca="false">Scoring!CZ284</f>
        <v/>
      </c>
    </row>
    <row r="278" customFormat="false" ht="15.75" hidden="false" customHeight="false" outlineLevel="0" collapsed="false">
      <c r="A278" s="146" t="str">
        <f aca="false">Scoring!DC285</f>
        <v/>
      </c>
      <c r="B278" s="146" t="str">
        <f aca="false">Scoring!DB285</f>
        <v/>
      </c>
      <c r="C278" s="146" t="n">
        <f aca="false">Scoring!C285</f>
        <v>0</v>
      </c>
      <c r="D278" s="147" t="str">
        <f aca="false">Scoring!CY285</f>
        <v/>
      </c>
      <c r="E278" s="146" t="str">
        <f aca="false">Scoring!BH285</f>
        <v/>
      </c>
      <c r="F278" s="146" t="n">
        <f aca="false">Scoring!B285</f>
        <v>0</v>
      </c>
      <c r="G278" s="146" t="n">
        <f aca="false">Scoring!D285</f>
        <v>0</v>
      </c>
      <c r="H278" s="146" t="str">
        <f aca="false">Scoring!DA285</f>
        <v/>
      </c>
      <c r="I278" s="148" t="str">
        <f aca="false">Scoring!CZ285</f>
        <v/>
      </c>
    </row>
    <row r="279" customFormat="false" ht="15.75" hidden="false" customHeight="false" outlineLevel="0" collapsed="false">
      <c r="A279" s="146" t="str">
        <f aca="false">Scoring!DC286</f>
        <v/>
      </c>
      <c r="B279" s="146" t="str">
        <f aca="false">Scoring!DB286</f>
        <v/>
      </c>
      <c r="C279" s="146" t="n">
        <f aca="false">Scoring!C286</f>
        <v>0</v>
      </c>
      <c r="D279" s="147" t="str">
        <f aca="false">Scoring!CY286</f>
        <v/>
      </c>
      <c r="E279" s="146" t="str">
        <f aca="false">Scoring!BH286</f>
        <v/>
      </c>
      <c r="F279" s="146" t="n">
        <f aca="false">Scoring!B286</f>
        <v>0</v>
      </c>
      <c r="G279" s="146" t="n">
        <f aca="false">Scoring!D286</f>
        <v>0</v>
      </c>
      <c r="H279" s="146" t="str">
        <f aca="false">Scoring!DA286</f>
        <v/>
      </c>
      <c r="I279" s="148" t="str">
        <f aca="false">Scoring!CZ286</f>
        <v/>
      </c>
    </row>
    <row r="280" customFormat="false" ht="15.75" hidden="false" customHeight="false" outlineLevel="0" collapsed="false">
      <c r="A280" s="146" t="str">
        <f aca="false">Scoring!DC287</f>
        <v/>
      </c>
      <c r="B280" s="146" t="str">
        <f aca="false">Scoring!DB287</f>
        <v/>
      </c>
      <c r="C280" s="146" t="n">
        <f aca="false">Scoring!C287</f>
        <v>0</v>
      </c>
      <c r="D280" s="147" t="str">
        <f aca="false">Scoring!CY287</f>
        <v/>
      </c>
      <c r="E280" s="146" t="str">
        <f aca="false">Scoring!BH287</f>
        <v/>
      </c>
      <c r="F280" s="146" t="n">
        <f aca="false">Scoring!B287</f>
        <v>0</v>
      </c>
      <c r="G280" s="146" t="n">
        <f aca="false">Scoring!D287</f>
        <v>0</v>
      </c>
      <c r="H280" s="146" t="str">
        <f aca="false">Scoring!DA287</f>
        <v/>
      </c>
      <c r="I280" s="148" t="str">
        <f aca="false">Scoring!CZ287</f>
        <v/>
      </c>
    </row>
    <row r="281" customFormat="false" ht="15.75" hidden="false" customHeight="false" outlineLevel="0" collapsed="false">
      <c r="A281" s="146" t="str">
        <f aca="false">Scoring!DC288</f>
        <v/>
      </c>
      <c r="B281" s="146" t="str">
        <f aca="false">Scoring!DB288</f>
        <v/>
      </c>
      <c r="C281" s="146" t="n">
        <f aca="false">Scoring!C288</f>
        <v>0</v>
      </c>
      <c r="D281" s="147" t="str">
        <f aca="false">Scoring!CY288</f>
        <v/>
      </c>
      <c r="E281" s="146" t="str">
        <f aca="false">Scoring!BH288</f>
        <v/>
      </c>
      <c r="F281" s="146" t="n">
        <f aca="false">Scoring!B288</f>
        <v>0</v>
      </c>
      <c r="G281" s="146" t="n">
        <f aca="false">Scoring!D288</f>
        <v>0</v>
      </c>
      <c r="H281" s="146" t="str">
        <f aca="false">Scoring!DA288</f>
        <v/>
      </c>
      <c r="I281" s="148" t="str">
        <f aca="false">Scoring!CZ288</f>
        <v/>
      </c>
    </row>
    <row r="282" customFormat="false" ht="15.75" hidden="false" customHeight="false" outlineLevel="0" collapsed="false">
      <c r="A282" s="146" t="str">
        <f aca="false">Scoring!DC289</f>
        <v/>
      </c>
      <c r="B282" s="146" t="str">
        <f aca="false">Scoring!DB289</f>
        <v/>
      </c>
      <c r="C282" s="146" t="n">
        <f aca="false">Scoring!C289</f>
        <v>0</v>
      </c>
      <c r="D282" s="147" t="str">
        <f aca="false">Scoring!CY289</f>
        <v/>
      </c>
      <c r="E282" s="146" t="str">
        <f aca="false">Scoring!BH289</f>
        <v/>
      </c>
      <c r="F282" s="146" t="n">
        <f aca="false">Scoring!B289</f>
        <v>0</v>
      </c>
      <c r="G282" s="146" t="n">
        <f aca="false">Scoring!D289</f>
        <v>0</v>
      </c>
      <c r="H282" s="146" t="str">
        <f aca="false">Scoring!DA289</f>
        <v/>
      </c>
      <c r="I282" s="148" t="str">
        <f aca="false">Scoring!CZ289</f>
        <v/>
      </c>
    </row>
    <row r="283" customFormat="false" ht="15.75" hidden="false" customHeight="false" outlineLevel="0" collapsed="false">
      <c r="A283" s="146" t="str">
        <f aca="false">Scoring!DC290</f>
        <v/>
      </c>
      <c r="B283" s="146" t="str">
        <f aca="false">Scoring!DB290</f>
        <v/>
      </c>
      <c r="C283" s="146" t="n">
        <f aca="false">Scoring!C290</f>
        <v>0</v>
      </c>
      <c r="D283" s="147" t="str">
        <f aca="false">Scoring!CY290</f>
        <v/>
      </c>
      <c r="E283" s="146" t="str">
        <f aca="false">Scoring!BH290</f>
        <v/>
      </c>
      <c r="F283" s="146" t="n">
        <f aca="false">Scoring!B290</f>
        <v>0</v>
      </c>
      <c r="G283" s="146" t="n">
        <f aca="false">Scoring!D290</f>
        <v>0</v>
      </c>
      <c r="H283" s="146" t="str">
        <f aca="false">Scoring!DA290</f>
        <v/>
      </c>
      <c r="I283" s="148" t="str">
        <f aca="false">Scoring!CZ290</f>
        <v/>
      </c>
    </row>
    <row r="284" customFormat="false" ht="15.75" hidden="false" customHeight="false" outlineLevel="0" collapsed="false">
      <c r="A284" s="146" t="str">
        <f aca="false">Scoring!DC291</f>
        <v/>
      </c>
      <c r="B284" s="146" t="str">
        <f aca="false">Scoring!DB291</f>
        <v/>
      </c>
      <c r="C284" s="146" t="n">
        <f aca="false">Scoring!C291</f>
        <v>0</v>
      </c>
      <c r="D284" s="147" t="str">
        <f aca="false">Scoring!CY291</f>
        <v/>
      </c>
      <c r="E284" s="146" t="str">
        <f aca="false">Scoring!BH291</f>
        <v/>
      </c>
      <c r="F284" s="146" t="n">
        <f aca="false">Scoring!B291</f>
        <v>0</v>
      </c>
      <c r="G284" s="146" t="n">
        <f aca="false">Scoring!D291</f>
        <v>0</v>
      </c>
      <c r="H284" s="146" t="str">
        <f aca="false">Scoring!DA291</f>
        <v/>
      </c>
      <c r="I284" s="148" t="str">
        <f aca="false">Scoring!CZ291</f>
        <v/>
      </c>
    </row>
    <row r="285" customFormat="false" ht="15.75" hidden="false" customHeight="false" outlineLevel="0" collapsed="false">
      <c r="A285" s="146" t="str">
        <f aca="false">Scoring!DC292</f>
        <v/>
      </c>
      <c r="B285" s="146" t="str">
        <f aca="false">Scoring!DB292</f>
        <v/>
      </c>
      <c r="C285" s="146" t="n">
        <f aca="false">Scoring!C292</f>
        <v>0</v>
      </c>
      <c r="D285" s="147" t="str">
        <f aca="false">Scoring!CY292</f>
        <v/>
      </c>
      <c r="E285" s="146" t="str">
        <f aca="false">Scoring!BH292</f>
        <v/>
      </c>
      <c r="F285" s="146" t="n">
        <f aca="false">Scoring!B292</f>
        <v>0</v>
      </c>
      <c r="G285" s="146" t="n">
        <f aca="false">Scoring!D292</f>
        <v>0</v>
      </c>
      <c r="H285" s="146" t="str">
        <f aca="false">Scoring!DA292</f>
        <v/>
      </c>
      <c r="I285" s="148" t="str">
        <f aca="false">Scoring!CZ292</f>
        <v/>
      </c>
    </row>
    <row r="286" customFormat="false" ht="15.75" hidden="false" customHeight="false" outlineLevel="0" collapsed="false">
      <c r="A286" s="146" t="str">
        <f aca="false">Scoring!DC293</f>
        <v/>
      </c>
      <c r="B286" s="146" t="str">
        <f aca="false">Scoring!DB293</f>
        <v/>
      </c>
      <c r="C286" s="146" t="n">
        <f aca="false">Scoring!C293</f>
        <v>0</v>
      </c>
      <c r="D286" s="147" t="str">
        <f aca="false">Scoring!CY293</f>
        <v/>
      </c>
      <c r="E286" s="146" t="str">
        <f aca="false">Scoring!BH293</f>
        <v/>
      </c>
      <c r="F286" s="146" t="n">
        <f aca="false">Scoring!B293</f>
        <v>0</v>
      </c>
      <c r="G286" s="146" t="n">
        <f aca="false">Scoring!D293</f>
        <v>0</v>
      </c>
      <c r="H286" s="146" t="str">
        <f aca="false">Scoring!DA293</f>
        <v/>
      </c>
      <c r="I286" s="148" t="str">
        <f aca="false">Scoring!CZ293</f>
        <v/>
      </c>
    </row>
    <row r="287" customFormat="false" ht="15.75" hidden="false" customHeight="false" outlineLevel="0" collapsed="false">
      <c r="A287" s="146" t="str">
        <f aca="false">Scoring!DC294</f>
        <v/>
      </c>
      <c r="B287" s="146" t="str">
        <f aca="false">Scoring!DB294</f>
        <v/>
      </c>
      <c r="C287" s="146" t="n">
        <f aca="false">Scoring!C294</f>
        <v>0</v>
      </c>
      <c r="D287" s="147" t="str">
        <f aca="false">Scoring!CY294</f>
        <v/>
      </c>
      <c r="E287" s="146" t="str">
        <f aca="false">Scoring!BH294</f>
        <v/>
      </c>
      <c r="F287" s="146" t="n">
        <f aca="false">Scoring!B294</f>
        <v>0</v>
      </c>
      <c r="G287" s="146" t="n">
        <f aca="false">Scoring!D294</f>
        <v>0</v>
      </c>
      <c r="H287" s="146" t="str">
        <f aca="false">Scoring!DA294</f>
        <v/>
      </c>
      <c r="I287" s="148" t="str">
        <f aca="false">Scoring!CZ294</f>
        <v/>
      </c>
    </row>
    <row r="288" customFormat="false" ht="15.75" hidden="false" customHeight="false" outlineLevel="0" collapsed="false">
      <c r="A288" s="146" t="str">
        <f aca="false">Scoring!DC295</f>
        <v/>
      </c>
      <c r="B288" s="146" t="str">
        <f aca="false">Scoring!DB295</f>
        <v/>
      </c>
      <c r="C288" s="146" t="n">
        <f aca="false">Scoring!C295</f>
        <v>0</v>
      </c>
      <c r="D288" s="147" t="str">
        <f aca="false">Scoring!CY295</f>
        <v/>
      </c>
      <c r="E288" s="146" t="str">
        <f aca="false">Scoring!BH295</f>
        <v/>
      </c>
      <c r="F288" s="146" t="n">
        <f aca="false">Scoring!B295</f>
        <v>0</v>
      </c>
      <c r="G288" s="146" t="n">
        <f aca="false">Scoring!D295</f>
        <v>0</v>
      </c>
      <c r="H288" s="146" t="str">
        <f aca="false">Scoring!DA295</f>
        <v/>
      </c>
      <c r="I288" s="148" t="str">
        <f aca="false">Scoring!CZ295</f>
        <v/>
      </c>
    </row>
    <row r="289" customFormat="false" ht="15.75" hidden="false" customHeight="false" outlineLevel="0" collapsed="false">
      <c r="A289" s="146" t="str">
        <f aca="false">Scoring!DC296</f>
        <v/>
      </c>
      <c r="B289" s="146" t="str">
        <f aca="false">Scoring!DB296</f>
        <v/>
      </c>
      <c r="C289" s="146" t="n">
        <f aca="false">Scoring!C296</f>
        <v>0</v>
      </c>
      <c r="D289" s="147" t="str">
        <f aca="false">Scoring!CY296</f>
        <v/>
      </c>
      <c r="E289" s="146" t="str">
        <f aca="false">Scoring!BH296</f>
        <v/>
      </c>
      <c r="F289" s="146" t="n">
        <f aca="false">Scoring!B296</f>
        <v>0</v>
      </c>
      <c r="G289" s="146" t="n">
        <f aca="false">Scoring!D296</f>
        <v>0</v>
      </c>
      <c r="H289" s="146" t="str">
        <f aca="false">Scoring!DA296</f>
        <v/>
      </c>
      <c r="I289" s="148" t="str">
        <f aca="false">Scoring!CZ296</f>
        <v/>
      </c>
    </row>
    <row r="290" customFormat="false" ht="15.75" hidden="false" customHeight="false" outlineLevel="0" collapsed="false">
      <c r="A290" s="146" t="str">
        <f aca="false">Scoring!DC297</f>
        <v/>
      </c>
      <c r="B290" s="146" t="str">
        <f aca="false">Scoring!DB297</f>
        <v/>
      </c>
      <c r="C290" s="146" t="n">
        <f aca="false">Scoring!C297</f>
        <v>0</v>
      </c>
      <c r="D290" s="147" t="str">
        <f aca="false">Scoring!CY297</f>
        <v/>
      </c>
      <c r="E290" s="146" t="str">
        <f aca="false">Scoring!BH297</f>
        <v/>
      </c>
      <c r="F290" s="146" t="n">
        <f aca="false">Scoring!B297</f>
        <v>0</v>
      </c>
      <c r="G290" s="146" t="n">
        <f aca="false">Scoring!D297</f>
        <v>0</v>
      </c>
      <c r="H290" s="146" t="str">
        <f aca="false">Scoring!DA297</f>
        <v/>
      </c>
      <c r="I290" s="148" t="str">
        <f aca="false">Scoring!CZ297</f>
        <v/>
      </c>
    </row>
    <row r="291" customFormat="false" ht="15.75" hidden="false" customHeight="false" outlineLevel="0" collapsed="false">
      <c r="A291" s="146" t="str">
        <f aca="false">Scoring!DC298</f>
        <v/>
      </c>
      <c r="B291" s="146" t="str">
        <f aca="false">Scoring!DB298</f>
        <v/>
      </c>
      <c r="C291" s="146" t="n">
        <f aca="false">Scoring!C298</f>
        <v>0</v>
      </c>
      <c r="D291" s="147" t="str">
        <f aca="false">Scoring!CY298</f>
        <v/>
      </c>
      <c r="E291" s="146" t="str">
        <f aca="false">Scoring!BH298</f>
        <v/>
      </c>
      <c r="F291" s="146" t="n">
        <f aca="false">Scoring!B298</f>
        <v>0</v>
      </c>
      <c r="G291" s="146" t="n">
        <f aca="false">Scoring!D298</f>
        <v>0</v>
      </c>
      <c r="H291" s="146" t="str">
        <f aca="false">Scoring!DA298</f>
        <v/>
      </c>
      <c r="I291" s="148" t="str">
        <f aca="false">Scoring!CZ298</f>
        <v/>
      </c>
    </row>
    <row r="292" customFormat="false" ht="15.75" hidden="false" customHeight="false" outlineLevel="0" collapsed="false">
      <c r="A292" s="146" t="str">
        <f aca="false">Scoring!DC299</f>
        <v/>
      </c>
      <c r="B292" s="146" t="str">
        <f aca="false">Scoring!DB299</f>
        <v/>
      </c>
      <c r="C292" s="146" t="n">
        <f aca="false">Scoring!C299</f>
        <v>0</v>
      </c>
      <c r="D292" s="147" t="str">
        <f aca="false">Scoring!CY299</f>
        <v/>
      </c>
      <c r="E292" s="146" t="str">
        <f aca="false">Scoring!BH299</f>
        <v/>
      </c>
      <c r="F292" s="146" t="n">
        <f aca="false">Scoring!B299</f>
        <v>0</v>
      </c>
      <c r="G292" s="146" t="n">
        <f aca="false">Scoring!D299</f>
        <v>0</v>
      </c>
      <c r="H292" s="146" t="str">
        <f aca="false">Scoring!DA299</f>
        <v/>
      </c>
      <c r="I292" s="148" t="str">
        <f aca="false">Scoring!CZ299</f>
        <v/>
      </c>
    </row>
    <row r="293" customFormat="false" ht="15.75" hidden="false" customHeight="false" outlineLevel="0" collapsed="false">
      <c r="A293" s="146" t="str">
        <f aca="false">Scoring!DC300</f>
        <v/>
      </c>
      <c r="B293" s="146" t="str">
        <f aca="false">Scoring!DB300</f>
        <v/>
      </c>
      <c r="C293" s="146" t="n">
        <f aca="false">Scoring!C300</f>
        <v>0</v>
      </c>
      <c r="D293" s="147" t="str">
        <f aca="false">Scoring!CY300</f>
        <v/>
      </c>
      <c r="E293" s="146" t="str">
        <f aca="false">Scoring!BH300</f>
        <v/>
      </c>
      <c r="F293" s="146" t="n">
        <f aca="false">Scoring!B300</f>
        <v>0</v>
      </c>
      <c r="G293" s="146" t="n">
        <f aca="false">Scoring!D300</f>
        <v>0</v>
      </c>
      <c r="H293" s="146" t="str">
        <f aca="false">Scoring!DA300</f>
        <v/>
      </c>
      <c r="I293" s="148" t="str">
        <f aca="false">Scoring!CZ300</f>
        <v/>
      </c>
    </row>
    <row r="294" customFormat="false" ht="15.75" hidden="false" customHeight="false" outlineLevel="0" collapsed="false">
      <c r="A294" s="146" t="str">
        <f aca="false">Scoring!DC301</f>
        <v/>
      </c>
      <c r="B294" s="146" t="str">
        <f aca="false">Scoring!DB301</f>
        <v/>
      </c>
      <c r="C294" s="146" t="n">
        <f aca="false">Scoring!C301</f>
        <v>0</v>
      </c>
      <c r="D294" s="147" t="str">
        <f aca="false">Scoring!CY301</f>
        <v/>
      </c>
      <c r="E294" s="146" t="str">
        <f aca="false">Scoring!BH301</f>
        <v/>
      </c>
      <c r="F294" s="146" t="n">
        <f aca="false">Scoring!B301</f>
        <v>0</v>
      </c>
      <c r="G294" s="146" t="n">
        <f aca="false">Scoring!D301</f>
        <v>0</v>
      </c>
      <c r="H294" s="146" t="str">
        <f aca="false">Scoring!DA301</f>
        <v/>
      </c>
      <c r="I294" s="148" t="str">
        <f aca="false">Scoring!CZ301</f>
        <v/>
      </c>
    </row>
    <row r="295" customFormat="false" ht="15.75" hidden="false" customHeight="false" outlineLevel="0" collapsed="false">
      <c r="A295" s="146" t="str">
        <f aca="false">Scoring!DC302</f>
        <v/>
      </c>
      <c r="B295" s="146" t="str">
        <f aca="false">Scoring!DB302</f>
        <v/>
      </c>
      <c r="C295" s="146" t="n">
        <f aca="false">Scoring!C302</f>
        <v>0</v>
      </c>
      <c r="D295" s="147" t="str">
        <f aca="false">Scoring!CY302</f>
        <v/>
      </c>
      <c r="E295" s="146" t="str">
        <f aca="false">Scoring!BH302</f>
        <v/>
      </c>
      <c r="F295" s="146" t="n">
        <f aca="false">Scoring!B302</f>
        <v>0</v>
      </c>
      <c r="G295" s="146" t="n">
        <f aca="false">Scoring!D302</f>
        <v>0</v>
      </c>
      <c r="H295" s="146" t="str">
        <f aca="false">Scoring!DA302</f>
        <v/>
      </c>
      <c r="I295" s="148" t="str">
        <f aca="false">Scoring!CZ302</f>
        <v/>
      </c>
    </row>
    <row r="296" customFormat="false" ht="15.75" hidden="false" customHeight="false" outlineLevel="0" collapsed="false">
      <c r="A296" s="146" t="str">
        <f aca="false">Scoring!DC303</f>
        <v/>
      </c>
      <c r="B296" s="146" t="str">
        <f aca="false">Scoring!DB303</f>
        <v/>
      </c>
      <c r="C296" s="146" t="n">
        <f aca="false">Scoring!C303</f>
        <v>0</v>
      </c>
      <c r="D296" s="147" t="str">
        <f aca="false">Scoring!CY303</f>
        <v/>
      </c>
      <c r="E296" s="146" t="str">
        <f aca="false">Scoring!BH303</f>
        <v/>
      </c>
      <c r="F296" s="146" t="n">
        <f aca="false">Scoring!B303</f>
        <v>0</v>
      </c>
      <c r="G296" s="146" t="n">
        <f aca="false">Scoring!D303</f>
        <v>0</v>
      </c>
      <c r="H296" s="146" t="str">
        <f aca="false">Scoring!DA303</f>
        <v/>
      </c>
      <c r="I296" s="148" t="str">
        <f aca="false">Scoring!CZ303</f>
        <v/>
      </c>
    </row>
    <row r="297" customFormat="false" ht="15.75" hidden="false" customHeight="false" outlineLevel="0" collapsed="false">
      <c r="A297" s="146" t="str">
        <f aca="false">Scoring!DC304</f>
        <v/>
      </c>
      <c r="B297" s="146" t="str">
        <f aca="false">Scoring!DB304</f>
        <v/>
      </c>
      <c r="C297" s="146" t="n">
        <f aca="false">Scoring!C304</f>
        <v>0</v>
      </c>
      <c r="D297" s="147" t="str">
        <f aca="false">Scoring!CY304</f>
        <v/>
      </c>
      <c r="E297" s="146" t="str">
        <f aca="false">Scoring!BH304</f>
        <v/>
      </c>
      <c r="F297" s="146" t="n">
        <f aca="false">Scoring!B304</f>
        <v>0</v>
      </c>
      <c r="G297" s="146" t="n">
        <f aca="false">Scoring!D304</f>
        <v>0</v>
      </c>
      <c r="H297" s="146" t="str">
        <f aca="false">Scoring!DA304</f>
        <v/>
      </c>
      <c r="I297" s="148" t="str">
        <f aca="false">Scoring!CZ304</f>
        <v/>
      </c>
    </row>
    <row r="298" customFormat="false" ht="15.75" hidden="false" customHeight="false" outlineLevel="0" collapsed="false">
      <c r="A298" s="146" t="str">
        <f aca="false">Scoring!DC305</f>
        <v/>
      </c>
      <c r="B298" s="146" t="str">
        <f aca="false">Scoring!DB305</f>
        <v/>
      </c>
      <c r="C298" s="146" t="n">
        <f aca="false">Scoring!C305</f>
        <v>0</v>
      </c>
      <c r="D298" s="147" t="str">
        <f aca="false">Scoring!CY305</f>
        <v/>
      </c>
      <c r="E298" s="146" t="str">
        <f aca="false">Scoring!BH305</f>
        <v/>
      </c>
      <c r="F298" s="146" t="n">
        <f aca="false">Scoring!B305</f>
        <v>0</v>
      </c>
      <c r="G298" s="146" t="n">
        <f aca="false">Scoring!D305</f>
        <v>0</v>
      </c>
      <c r="H298" s="146" t="str">
        <f aca="false">Scoring!DA305</f>
        <v/>
      </c>
      <c r="I298" s="148" t="str">
        <f aca="false">Scoring!CZ305</f>
        <v/>
      </c>
    </row>
    <row r="299" customFormat="false" ht="15.75" hidden="false" customHeight="false" outlineLevel="0" collapsed="false">
      <c r="A299" s="146" t="str">
        <f aca="false">Scoring!DC306</f>
        <v/>
      </c>
      <c r="B299" s="146" t="str">
        <f aca="false">Scoring!DB306</f>
        <v/>
      </c>
      <c r="C299" s="146" t="n">
        <f aca="false">Scoring!C306</f>
        <v>0</v>
      </c>
      <c r="D299" s="147" t="str">
        <f aca="false">Scoring!CY306</f>
        <v/>
      </c>
      <c r="E299" s="146" t="str">
        <f aca="false">Scoring!BH306</f>
        <v/>
      </c>
      <c r="F299" s="146" t="n">
        <f aca="false">Scoring!B306</f>
        <v>0</v>
      </c>
      <c r="G299" s="146" t="n">
        <f aca="false">Scoring!D306</f>
        <v>0</v>
      </c>
      <c r="H299" s="146" t="str">
        <f aca="false">Scoring!DA306</f>
        <v/>
      </c>
      <c r="I299" s="148" t="str">
        <f aca="false">Scoring!CZ306</f>
        <v/>
      </c>
    </row>
    <row r="300" customFormat="false" ht="15.75" hidden="false" customHeight="false" outlineLevel="0" collapsed="false">
      <c r="A300" s="146" t="str">
        <f aca="false">Scoring!DC307</f>
        <v/>
      </c>
      <c r="B300" s="146" t="str">
        <f aca="false">Scoring!DB307</f>
        <v/>
      </c>
      <c r="C300" s="146" t="n">
        <f aca="false">Scoring!C307</f>
        <v>0</v>
      </c>
      <c r="D300" s="147" t="str">
        <f aca="false">Scoring!CY307</f>
        <v/>
      </c>
      <c r="E300" s="146" t="str">
        <f aca="false">Scoring!BH307</f>
        <v/>
      </c>
      <c r="F300" s="146" t="n">
        <f aca="false">Scoring!B307</f>
        <v>0</v>
      </c>
      <c r="G300" s="146" t="n">
        <f aca="false">Scoring!D307</f>
        <v>0</v>
      </c>
      <c r="H300" s="146" t="str">
        <f aca="false">Scoring!DA307</f>
        <v/>
      </c>
      <c r="I300" s="148" t="str">
        <f aca="false">Scoring!CZ307</f>
        <v/>
      </c>
    </row>
    <row r="301" customFormat="false" ht="15.75" hidden="false" customHeight="false" outlineLevel="0" collapsed="false">
      <c r="A301" s="146" t="str">
        <f aca="false">Scoring!DC308</f>
        <v/>
      </c>
      <c r="B301" s="146" t="str">
        <f aca="false">Scoring!DB308</f>
        <v/>
      </c>
      <c r="C301" s="146" t="n">
        <f aca="false">Scoring!C308</f>
        <v>0</v>
      </c>
      <c r="D301" s="147" t="str">
        <f aca="false">Scoring!CY308</f>
        <v/>
      </c>
      <c r="E301" s="146" t="str">
        <f aca="false">Scoring!BH308</f>
        <v/>
      </c>
      <c r="F301" s="146" t="n">
        <f aca="false">Scoring!B308</f>
        <v>0</v>
      </c>
      <c r="G301" s="146" t="n">
        <f aca="false">Scoring!D308</f>
        <v>0</v>
      </c>
      <c r="H301" s="146" t="str">
        <f aca="false">Scoring!DA308</f>
        <v/>
      </c>
      <c r="I301" s="148" t="str">
        <f aca="false">Scoring!CZ308</f>
        <v/>
      </c>
    </row>
    <row r="302" customFormat="false" ht="15.75" hidden="false" customHeight="false" outlineLevel="0" collapsed="false">
      <c r="A302" s="146" t="str">
        <f aca="false">Scoring!DC309</f>
        <v/>
      </c>
      <c r="B302" s="146" t="str">
        <f aca="false">Scoring!DB309</f>
        <v/>
      </c>
      <c r="C302" s="146" t="n">
        <f aca="false">Scoring!C309</f>
        <v>0</v>
      </c>
      <c r="D302" s="147" t="str">
        <f aca="false">Scoring!CY309</f>
        <v/>
      </c>
      <c r="E302" s="146" t="str">
        <f aca="false">Scoring!BH309</f>
        <v/>
      </c>
      <c r="F302" s="146" t="n">
        <f aca="false">Scoring!B309</f>
        <v>0</v>
      </c>
      <c r="G302" s="146" t="n">
        <f aca="false">Scoring!D309</f>
        <v>0</v>
      </c>
      <c r="H302" s="146" t="str">
        <f aca="false">Scoring!DA309</f>
        <v/>
      </c>
      <c r="I302" s="148" t="str">
        <f aca="false">Scoring!CZ309</f>
        <v/>
      </c>
    </row>
    <row r="303" customFormat="false" ht="15.75" hidden="false" customHeight="false" outlineLevel="0" collapsed="false">
      <c r="A303" s="146" t="str">
        <f aca="false">Scoring!DC310</f>
        <v/>
      </c>
      <c r="B303" s="146" t="str">
        <f aca="false">Scoring!DB310</f>
        <v/>
      </c>
      <c r="C303" s="146" t="n">
        <f aca="false">Scoring!C310</f>
        <v>0</v>
      </c>
      <c r="D303" s="147" t="str">
        <f aca="false">Scoring!CY310</f>
        <v/>
      </c>
      <c r="E303" s="146" t="str">
        <f aca="false">Scoring!BH310</f>
        <v/>
      </c>
      <c r="F303" s="146" t="n">
        <f aca="false">Scoring!B310</f>
        <v>0</v>
      </c>
      <c r="G303" s="146" t="n">
        <f aca="false">Scoring!D310</f>
        <v>0</v>
      </c>
      <c r="H303" s="146" t="str">
        <f aca="false">Scoring!DA310</f>
        <v/>
      </c>
      <c r="I303" s="148" t="str">
        <f aca="false">Scoring!CZ310</f>
        <v/>
      </c>
    </row>
    <row r="304" customFormat="false" ht="15.75" hidden="false" customHeight="false" outlineLevel="0" collapsed="false">
      <c r="A304" s="146" t="str">
        <f aca="false">Scoring!DC311</f>
        <v/>
      </c>
      <c r="B304" s="146" t="str">
        <f aca="false">Scoring!DB311</f>
        <v/>
      </c>
      <c r="C304" s="146" t="n">
        <f aca="false">Scoring!C311</f>
        <v>0</v>
      </c>
      <c r="D304" s="147" t="str">
        <f aca="false">Scoring!CY311</f>
        <v/>
      </c>
      <c r="E304" s="146" t="str">
        <f aca="false">Scoring!BH311</f>
        <v/>
      </c>
      <c r="F304" s="146" t="n">
        <f aca="false">Scoring!B311</f>
        <v>0</v>
      </c>
      <c r="G304" s="146" t="n">
        <f aca="false">Scoring!D311</f>
        <v>0</v>
      </c>
      <c r="H304" s="146" t="str">
        <f aca="false">Scoring!DA311</f>
        <v/>
      </c>
      <c r="I304" s="148" t="str">
        <f aca="false">Scoring!CZ311</f>
        <v/>
      </c>
    </row>
    <row r="305" customFormat="false" ht="15.75" hidden="false" customHeight="false" outlineLevel="0" collapsed="false">
      <c r="A305" s="146" t="str">
        <f aca="false">Scoring!DC312</f>
        <v/>
      </c>
      <c r="B305" s="146" t="str">
        <f aca="false">Scoring!DB312</f>
        <v/>
      </c>
      <c r="C305" s="146" t="n">
        <f aca="false">Scoring!C312</f>
        <v>0</v>
      </c>
      <c r="D305" s="147" t="str">
        <f aca="false">Scoring!CY312</f>
        <v/>
      </c>
      <c r="E305" s="146" t="str">
        <f aca="false">Scoring!BH312</f>
        <v/>
      </c>
      <c r="F305" s="146" t="n">
        <f aca="false">Scoring!B312</f>
        <v>0</v>
      </c>
      <c r="G305" s="146" t="n">
        <f aca="false">Scoring!D312</f>
        <v>0</v>
      </c>
      <c r="H305" s="146" t="str">
        <f aca="false">Scoring!DA312</f>
        <v/>
      </c>
      <c r="I305" s="148" t="str">
        <f aca="false">Scoring!CZ312</f>
        <v/>
      </c>
    </row>
    <row r="306" customFormat="false" ht="15.75" hidden="false" customHeight="false" outlineLevel="0" collapsed="false">
      <c r="A306" s="146" t="str">
        <f aca="false">Scoring!DC313</f>
        <v/>
      </c>
      <c r="B306" s="146" t="str">
        <f aca="false">Scoring!DB313</f>
        <v/>
      </c>
      <c r="C306" s="146" t="n">
        <f aca="false">Scoring!C313</f>
        <v>0</v>
      </c>
      <c r="D306" s="147" t="str">
        <f aca="false">Scoring!CY313</f>
        <v/>
      </c>
      <c r="E306" s="146" t="str">
        <f aca="false">Scoring!BH313</f>
        <v/>
      </c>
      <c r="F306" s="146" t="n">
        <f aca="false">Scoring!B313</f>
        <v>0</v>
      </c>
      <c r="G306" s="146" t="n">
        <f aca="false">Scoring!D313</f>
        <v>0</v>
      </c>
      <c r="H306" s="146" t="str">
        <f aca="false">Scoring!DA313</f>
        <v/>
      </c>
      <c r="I306" s="148" t="str">
        <f aca="false">Scoring!CZ313</f>
        <v/>
      </c>
    </row>
    <row r="307" customFormat="false" ht="15.75" hidden="false" customHeight="false" outlineLevel="0" collapsed="false">
      <c r="A307" s="146" t="str">
        <f aca="false">Scoring!DC314</f>
        <v/>
      </c>
      <c r="B307" s="146" t="str">
        <f aca="false">Scoring!DB314</f>
        <v/>
      </c>
      <c r="C307" s="146" t="n">
        <f aca="false">Scoring!C314</f>
        <v>0</v>
      </c>
      <c r="D307" s="147" t="str">
        <f aca="false">Scoring!CY314</f>
        <v/>
      </c>
      <c r="E307" s="146" t="str">
        <f aca="false">Scoring!BH314</f>
        <v/>
      </c>
      <c r="F307" s="146" t="n">
        <f aca="false">Scoring!B314</f>
        <v>0</v>
      </c>
      <c r="G307" s="146" t="n">
        <f aca="false">Scoring!D314</f>
        <v>0</v>
      </c>
      <c r="H307" s="146" t="str">
        <f aca="false">Scoring!DA314</f>
        <v/>
      </c>
      <c r="I307" s="148" t="str">
        <f aca="false">Scoring!CZ314</f>
        <v/>
      </c>
    </row>
    <row r="308" customFormat="false" ht="15.75" hidden="false" customHeight="false" outlineLevel="0" collapsed="false">
      <c r="A308" s="146" t="str">
        <f aca="false">Scoring!DC315</f>
        <v/>
      </c>
      <c r="B308" s="146" t="str">
        <f aca="false">Scoring!DB315</f>
        <v/>
      </c>
      <c r="C308" s="146" t="n">
        <f aca="false">Scoring!C315</f>
        <v>0</v>
      </c>
      <c r="D308" s="147" t="str">
        <f aca="false">Scoring!CY315</f>
        <v/>
      </c>
      <c r="E308" s="146" t="str">
        <f aca="false">Scoring!BH315</f>
        <v/>
      </c>
      <c r="F308" s="146" t="n">
        <f aca="false">Scoring!B315</f>
        <v>0</v>
      </c>
      <c r="G308" s="146" t="n">
        <f aca="false">Scoring!D315</f>
        <v>0</v>
      </c>
      <c r="H308" s="146" t="str">
        <f aca="false">Scoring!DA315</f>
        <v/>
      </c>
      <c r="I308" s="148" t="str">
        <f aca="false">Scoring!CZ315</f>
        <v/>
      </c>
    </row>
    <row r="309" customFormat="false" ht="15.75" hidden="false" customHeight="false" outlineLevel="0" collapsed="false">
      <c r="A309" s="146" t="str">
        <f aca="false">Scoring!DC316</f>
        <v/>
      </c>
      <c r="B309" s="146" t="str">
        <f aca="false">Scoring!DB316</f>
        <v/>
      </c>
      <c r="C309" s="146" t="n">
        <f aca="false">Scoring!C316</f>
        <v>0</v>
      </c>
      <c r="D309" s="147" t="str">
        <f aca="false">Scoring!CY316</f>
        <v/>
      </c>
      <c r="E309" s="146" t="str">
        <f aca="false">Scoring!BH316</f>
        <v/>
      </c>
      <c r="F309" s="146" t="n">
        <f aca="false">Scoring!B316</f>
        <v>0</v>
      </c>
      <c r="G309" s="146" t="n">
        <f aca="false">Scoring!D316</f>
        <v>0</v>
      </c>
      <c r="H309" s="146" t="str">
        <f aca="false">Scoring!DA316</f>
        <v/>
      </c>
      <c r="I309" s="148" t="str">
        <f aca="false">Scoring!CZ316</f>
        <v/>
      </c>
    </row>
    <row r="310" customFormat="false" ht="15.75" hidden="false" customHeight="false" outlineLevel="0" collapsed="false">
      <c r="A310" s="146" t="str">
        <f aca="false">Scoring!DC317</f>
        <v/>
      </c>
      <c r="B310" s="146" t="str">
        <f aca="false">Scoring!DB317</f>
        <v/>
      </c>
      <c r="C310" s="146" t="n">
        <f aca="false">Scoring!C317</f>
        <v>0</v>
      </c>
      <c r="D310" s="147" t="str">
        <f aca="false">Scoring!CY317</f>
        <v/>
      </c>
      <c r="E310" s="146" t="str">
        <f aca="false">Scoring!BH317</f>
        <v/>
      </c>
      <c r="F310" s="146" t="n">
        <f aca="false">Scoring!B317</f>
        <v>0</v>
      </c>
      <c r="G310" s="146" t="n">
        <f aca="false">Scoring!D317</f>
        <v>0</v>
      </c>
      <c r="H310" s="146" t="str">
        <f aca="false">Scoring!DA317</f>
        <v/>
      </c>
      <c r="I310" s="148" t="str">
        <f aca="false">Scoring!CZ317</f>
        <v/>
      </c>
    </row>
    <row r="311" customFormat="false" ht="15.75" hidden="false" customHeight="false" outlineLevel="0" collapsed="false">
      <c r="A311" s="146" t="str">
        <f aca="false">Scoring!DC318</f>
        <v/>
      </c>
      <c r="B311" s="146" t="str">
        <f aca="false">Scoring!DB318</f>
        <v/>
      </c>
      <c r="C311" s="146" t="n">
        <f aca="false">Scoring!C318</f>
        <v>0</v>
      </c>
      <c r="D311" s="147" t="str">
        <f aca="false">Scoring!CY318</f>
        <v/>
      </c>
      <c r="E311" s="146" t="str">
        <f aca="false">Scoring!BH318</f>
        <v/>
      </c>
      <c r="F311" s="146" t="n">
        <f aca="false">Scoring!B318</f>
        <v>0</v>
      </c>
      <c r="G311" s="146" t="n">
        <f aca="false">Scoring!D318</f>
        <v>0</v>
      </c>
      <c r="H311" s="146" t="str">
        <f aca="false">Scoring!DA318</f>
        <v/>
      </c>
      <c r="I311" s="148" t="str">
        <f aca="false">Scoring!CZ318</f>
        <v/>
      </c>
    </row>
    <row r="312" customFormat="false" ht="15.75" hidden="false" customHeight="false" outlineLevel="0" collapsed="false">
      <c r="A312" s="146" t="str">
        <f aca="false">Scoring!DC319</f>
        <v/>
      </c>
      <c r="B312" s="146" t="str">
        <f aca="false">Scoring!DB319</f>
        <v/>
      </c>
      <c r="C312" s="146" t="n">
        <f aca="false">Scoring!C319</f>
        <v>0</v>
      </c>
      <c r="D312" s="147" t="str">
        <f aca="false">Scoring!CY319</f>
        <v/>
      </c>
      <c r="E312" s="146" t="str">
        <f aca="false">Scoring!BH319</f>
        <v/>
      </c>
      <c r="F312" s="146" t="n">
        <f aca="false">Scoring!B319</f>
        <v>0</v>
      </c>
      <c r="G312" s="146" t="n">
        <f aca="false">Scoring!D319</f>
        <v>0</v>
      </c>
      <c r="H312" s="146" t="str">
        <f aca="false">Scoring!DA319</f>
        <v/>
      </c>
      <c r="I312" s="148" t="str">
        <f aca="false">Scoring!CZ319</f>
        <v/>
      </c>
    </row>
    <row r="313" customFormat="false" ht="15.75" hidden="false" customHeight="false" outlineLevel="0" collapsed="false">
      <c r="A313" s="146" t="str">
        <f aca="false">Scoring!DC320</f>
        <v/>
      </c>
      <c r="B313" s="146" t="str">
        <f aca="false">Scoring!DB320</f>
        <v/>
      </c>
      <c r="C313" s="146" t="n">
        <f aca="false">Scoring!C320</f>
        <v>0</v>
      </c>
      <c r="D313" s="147" t="str">
        <f aca="false">Scoring!CY320</f>
        <v/>
      </c>
      <c r="E313" s="146" t="str">
        <f aca="false">Scoring!BH320</f>
        <v/>
      </c>
      <c r="F313" s="146" t="n">
        <f aca="false">Scoring!B320</f>
        <v>0</v>
      </c>
      <c r="G313" s="146" t="n">
        <f aca="false">Scoring!D320</f>
        <v>0</v>
      </c>
      <c r="H313" s="146" t="str">
        <f aca="false">Scoring!DA320</f>
        <v/>
      </c>
      <c r="I313" s="148" t="str">
        <f aca="false">Scoring!CZ320</f>
        <v/>
      </c>
    </row>
    <row r="314" customFormat="false" ht="15.75" hidden="false" customHeight="false" outlineLevel="0" collapsed="false">
      <c r="A314" s="146" t="str">
        <f aca="false">Scoring!DC321</f>
        <v/>
      </c>
      <c r="B314" s="146" t="str">
        <f aca="false">Scoring!DB321</f>
        <v/>
      </c>
      <c r="C314" s="146" t="n">
        <f aca="false">Scoring!C321</f>
        <v>0</v>
      </c>
      <c r="D314" s="147" t="str">
        <f aca="false">Scoring!CY321</f>
        <v/>
      </c>
      <c r="E314" s="146" t="str">
        <f aca="false">Scoring!BH321</f>
        <v/>
      </c>
      <c r="F314" s="146" t="n">
        <f aca="false">Scoring!B321</f>
        <v>0</v>
      </c>
      <c r="G314" s="146" t="n">
        <f aca="false">Scoring!D321</f>
        <v>0</v>
      </c>
      <c r="H314" s="146" t="str">
        <f aca="false">Scoring!DA321</f>
        <v/>
      </c>
      <c r="I314" s="148" t="str">
        <f aca="false">Scoring!CZ321</f>
        <v/>
      </c>
    </row>
    <row r="315" customFormat="false" ht="15.75" hidden="false" customHeight="false" outlineLevel="0" collapsed="false">
      <c r="A315" s="146" t="str">
        <f aca="false">Scoring!DC322</f>
        <v/>
      </c>
      <c r="B315" s="146" t="str">
        <f aca="false">Scoring!DB322</f>
        <v/>
      </c>
      <c r="C315" s="146" t="n">
        <f aca="false">Scoring!C322</f>
        <v>0</v>
      </c>
      <c r="D315" s="147" t="str">
        <f aca="false">Scoring!CY322</f>
        <v/>
      </c>
      <c r="E315" s="146" t="str">
        <f aca="false">Scoring!BH322</f>
        <v/>
      </c>
      <c r="F315" s="146" t="n">
        <f aca="false">Scoring!B322</f>
        <v>0</v>
      </c>
      <c r="G315" s="146" t="n">
        <f aca="false">Scoring!D322</f>
        <v>0</v>
      </c>
      <c r="H315" s="146" t="str">
        <f aca="false">Scoring!DA322</f>
        <v/>
      </c>
      <c r="I315" s="148" t="str">
        <f aca="false">Scoring!CZ322</f>
        <v/>
      </c>
    </row>
    <row r="316" customFormat="false" ht="15.75" hidden="false" customHeight="false" outlineLevel="0" collapsed="false">
      <c r="A316" s="146" t="str">
        <f aca="false">Scoring!DC323</f>
        <v/>
      </c>
      <c r="B316" s="146" t="str">
        <f aca="false">Scoring!DB323</f>
        <v/>
      </c>
      <c r="C316" s="146" t="n">
        <f aca="false">Scoring!C323</f>
        <v>0</v>
      </c>
      <c r="D316" s="147" t="str">
        <f aca="false">Scoring!CY323</f>
        <v/>
      </c>
      <c r="E316" s="146" t="str">
        <f aca="false">Scoring!BH323</f>
        <v/>
      </c>
      <c r="F316" s="146" t="n">
        <f aca="false">Scoring!B323</f>
        <v>0</v>
      </c>
      <c r="G316" s="146" t="n">
        <f aca="false">Scoring!D323</f>
        <v>0</v>
      </c>
      <c r="H316" s="146" t="str">
        <f aca="false">Scoring!DA323</f>
        <v/>
      </c>
      <c r="I316" s="148" t="str">
        <f aca="false">Scoring!CZ323</f>
        <v/>
      </c>
    </row>
    <row r="317" customFormat="false" ht="15.75" hidden="false" customHeight="false" outlineLevel="0" collapsed="false">
      <c r="A317" s="146" t="str">
        <f aca="false">Scoring!DC324</f>
        <v/>
      </c>
      <c r="B317" s="146" t="str">
        <f aca="false">Scoring!DB324</f>
        <v/>
      </c>
      <c r="C317" s="146" t="n">
        <f aca="false">Scoring!C324</f>
        <v>0</v>
      </c>
      <c r="D317" s="147" t="str">
        <f aca="false">Scoring!CY324</f>
        <v/>
      </c>
      <c r="E317" s="146" t="str">
        <f aca="false">Scoring!BH324</f>
        <v/>
      </c>
      <c r="F317" s="146" t="n">
        <f aca="false">Scoring!B324</f>
        <v>0</v>
      </c>
      <c r="G317" s="146" t="n">
        <f aca="false">Scoring!D324</f>
        <v>0</v>
      </c>
      <c r="H317" s="146" t="str">
        <f aca="false">Scoring!DA324</f>
        <v/>
      </c>
      <c r="I317" s="148" t="str">
        <f aca="false">Scoring!CZ324</f>
        <v/>
      </c>
    </row>
    <row r="318" customFormat="false" ht="15.75" hidden="false" customHeight="false" outlineLevel="0" collapsed="false">
      <c r="A318" s="146" t="str">
        <f aca="false">Scoring!DC325</f>
        <v/>
      </c>
      <c r="B318" s="146" t="str">
        <f aca="false">Scoring!DB325</f>
        <v/>
      </c>
      <c r="C318" s="146" t="n">
        <f aca="false">Scoring!C325</f>
        <v>0</v>
      </c>
      <c r="D318" s="147" t="str">
        <f aca="false">Scoring!CY325</f>
        <v/>
      </c>
      <c r="E318" s="146" t="str">
        <f aca="false">Scoring!BH325</f>
        <v/>
      </c>
      <c r="F318" s="146" t="n">
        <f aca="false">Scoring!B325</f>
        <v>0</v>
      </c>
      <c r="G318" s="146" t="n">
        <f aca="false">Scoring!D325</f>
        <v>0</v>
      </c>
      <c r="H318" s="146" t="str">
        <f aca="false">Scoring!DA325</f>
        <v/>
      </c>
      <c r="I318" s="148" t="str">
        <f aca="false">Scoring!CZ325</f>
        <v/>
      </c>
    </row>
    <row r="319" customFormat="false" ht="15.75" hidden="false" customHeight="false" outlineLevel="0" collapsed="false">
      <c r="A319" s="146" t="str">
        <f aca="false">Scoring!DC326</f>
        <v/>
      </c>
      <c r="B319" s="146" t="str">
        <f aca="false">Scoring!DB326</f>
        <v/>
      </c>
      <c r="C319" s="146" t="n">
        <f aca="false">Scoring!C326</f>
        <v>0</v>
      </c>
      <c r="D319" s="147" t="str">
        <f aca="false">Scoring!CY326</f>
        <v/>
      </c>
      <c r="E319" s="146" t="str">
        <f aca="false">Scoring!BH326</f>
        <v/>
      </c>
      <c r="F319" s="146" t="n">
        <f aca="false">Scoring!B326</f>
        <v>0</v>
      </c>
      <c r="G319" s="146" t="n">
        <f aca="false">Scoring!D326</f>
        <v>0</v>
      </c>
      <c r="H319" s="146" t="str">
        <f aca="false">Scoring!DA326</f>
        <v/>
      </c>
      <c r="I319" s="148" t="str">
        <f aca="false">Scoring!CZ326</f>
        <v/>
      </c>
    </row>
    <row r="320" customFormat="false" ht="15.75" hidden="false" customHeight="false" outlineLevel="0" collapsed="false">
      <c r="A320" s="146" t="str">
        <f aca="false">Scoring!DC327</f>
        <v/>
      </c>
      <c r="B320" s="146" t="str">
        <f aca="false">Scoring!DB327</f>
        <v/>
      </c>
      <c r="C320" s="146" t="n">
        <f aca="false">Scoring!C327</f>
        <v>0</v>
      </c>
      <c r="D320" s="147" t="str">
        <f aca="false">Scoring!CY327</f>
        <v/>
      </c>
      <c r="E320" s="146" t="str">
        <f aca="false">Scoring!BH327</f>
        <v/>
      </c>
      <c r="F320" s="146" t="n">
        <f aca="false">Scoring!B327</f>
        <v>0</v>
      </c>
      <c r="G320" s="146" t="n">
        <f aca="false">Scoring!D327</f>
        <v>0</v>
      </c>
      <c r="H320" s="146" t="str">
        <f aca="false">Scoring!DA327</f>
        <v/>
      </c>
      <c r="I320" s="148" t="str">
        <f aca="false">Scoring!CZ327</f>
        <v/>
      </c>
    </row>
    <row r="321" customFormat="false" ht="15.75" hidden="false" customHeight="false" outlineLevel="0" collapsed="false">
      <c r="A321" s="146" t="str">
        <f aca="false">Scoring!DC328</f>
        <v/>
      </c>
      <c r="B321" s="146" t="str">
        <f aca="false">Scoring!DB328</f>
        <v/>
      </c>
      <c r="C321" s="146" t="n">
        <f aca="false">Scoring!C328</f>
        <v>0</v>
      </c>
      <c r="D321" s="147" t="str">
        <f aca="false">Scoring!CY328</f>
        <v/>
      </c>
      <c r="E321" s="146" t="str">
        <f aca="false">Scoring!BH328</f>
        <v/>
      </c>
      <c r="F321" s="146" t="n">
        <f aca="false">Scoring!B328</f>
        <v>0</v>
      </c>
      <c r="G321" s="146" t="n">
        <f aca="false">Scoring!D328</f>
        <v>0</v>
      </c>
      <c r="H321" s="146" t="str">
        <f aca="false">Scoring!DA328</f>
        <v/>
      </c>
      <c r="I321" s="148" t="str">
        <f aca="false">Scoring!CZ328</f>
        <v/>
      </c>
    </row>
    <row r="322" customFormat="false" ht="15.75" hidden="false" customHeight="false" outlineLevel="0" collapsed="false">
      <c r="A322" s="146" t="str">
        <f aca="false">Scoring!DC329</f>
        <v/>
      </c>
      <c r="B322" s="146" t="str">
        <f aca="false">Scoring!DB329</f>
        <v/>
      </c>
      <c r="C322" s="146" t="n">
        <f aca="false">Scoring!C329</f>
        <v>0</v>
      </c>
      <c r="D322" s="147" t="str">
        <f aca="false">Scoring!CY329</f>
        <v/>
      </c>
      <c r="E322" s="146" t="str">
        <f aca="false">Scoring!BH329</f>
        <v/>
      </c>
      <c r="F322" s="146" t="n">
        <f aca="false">Scoring!B329</f>
        <v>0</v>
      </c>
      <c r="G322" s="146" t="n">
        <f aca="false">Scoring!D329</f>
        <v>0</v>
      </c>
      <c r="H322" s="146" t="str">
        <f aca="false">Scoring!DA329</f>
        <v/>
      </c>
      <c r="I322" s="148" t="str">
        <f aca="false">Scoring!CZ329</f>
        <v/>
      </c>
    </row>
    <row r="323" customFormat="false" ht="15.75" hidden="false" customHeight="false" outlineLevel="0" collapsed="false">
      <c r="A323" s="146" t="str">
        <f aca="false">Scoring!DC330</f>
        <v/>
      </c>
      <c r="B323" s="146" t="str">
        <f aca="false">Scoring!DB330</f>
        <v/>
      </c>
      <c r="C323" s="146" t="n">
        <f aca="false">Scoring!C330</f>
        <v>0</v>
      </c>
      <c r="D323" s="147" t="str">
        <f aca="false">Scoring!CY330</f>
        <v/>
      </c>
      <c r="E323" s="146" t="str">
        <f aca="false">Scoring!BH330</f>
        <v/>
      </c>
      <c r="F323" s="146" t="n">
        <f aca="false">Scoring!B330</f>
        <v>0</v>
      </c>
      <c r="G323" s="146" t="n">
        <f aca="false">Scoring!D330</f>
        <v>0</v>
      </c>
      <c r="H323" s="146" t="str">
        <f aca="false">Scoring!DA330</f>
        <v/>
      </c>
      <c r="I323" s="148" t="str">
        <f aca="false">Scoring!CZ330</f>
        <v/>
      </c>
    </row>
    <row r="324" customFormat="false" ht="15.75" hidden="false" customHeight="false" outlineLevel="0" collapsed="false">
      <c r="A324" s="146" t="str">
        <f aca="false">Scoring!DC331</f>
        <v/>
      </c>
      <c r="B324" s="146" t="str">
        <f aca="false">Scoring!DB331</f>
        <v/>
      </c>
      <c r="C324" s="146" t="n">
        <f aca="false">Scoring!C331</f>
        <v>0</v>
      </c>
      <c r="D324" s="147" t="str">
        <f aca="false">Scoring!CY331</f>
        <v/>
      </c>
      <c r="E324" s="146" t="str">
        <f aca="false">Scoring!BH331</f>
        <v/>
      </c>
      <c r="F324" s="146" t="n">
        <f aca="false">Scoring!B331</f>
        <v>0</v>
      </c>
      <c r="G324" s="146" t="n">
        <f aca="false">Scoring!D331</f>
        <v>0</v>
      </c>
      <c r="H324" s="146" t="str">
        <f aca="false">Scoring!DA331</f>
        <v/>
      </c>
      <c r="I324" s="148" t="str">
        <f aca="false">Scoring!CZ331</f>
        <v/>
      </c>
    </row>
    <row r="325" customFormat="false" ht="15.75" hidden="false" customHeight="false" outlineLevel="0" collapsed="false">
      <c r="A325" s="146" t="str">
        <f aca="false">Scoring!DC332</f>
        <v/>
      </c>
      <c r="B325" s="146" t="str">
        <f aca="false">Scoring!DB332</f>
        <v/>
      </c>
      <c r="C325" s="146" t="n">
        <f aca="false">Scoring!C332</f>
        <v>0</v>
      </c>
      <c r="D325" s="147" t="str">
        <f aca="false">Scoring!CY332</f>
        <v/>
      </c>
      <c r="E325" s="146" t="str">
        <f aca="false">Scoring!BH332</f>
        <v/>
      </c>
      <c r="F325" s="146" t="n">
        <f aca="false">Scoring!B332</f>
        <v>0</v>
      </c>
      <c r="G325" s="146" t="n">
        <f aca="false">Scoring!D332</f>
        <v>0</v>
      </c>
      <c r="H325" s="146" t="str">
        <f aca="false">Scoring!DA332</f>
        <v/>
      </c>
      <c r="I325" s="148" t="str">
        <f aca="false">Scoring!CZ332</f>
        <v/>
      </c>
    </row>
    <row r="326" customFormat="false" ht="15.75" hidden="false" customHeight="false" outlineLevel="0" collapsed="false">
      <c r="A326" s="146" t="str">
        <f aca="false">Scoring!DC333</f>
        <v/>
      </c>
      <c r="B326" s="146" t="str">
        <f aca="false">Scoring!DB333</f>
        <v/>
      </c>
      <c r="C326" s="146" t="n">
        <f aca="false">Scoring!C333</f>
        <v>0</v>
      </c>
      <c r="D326" s="147" t="str">
        <f aca="false">Scoring!CY333</f>
        <v/>
      </c>
      <c r="E326" s="146" t="str">
        <f aca="false">Scoring!BH333</f>
        <v/>
      </c>
      <c r="F326" s="146" t="n">
        <f aca="false">Scoring!B333</f>
        <v>0</v>
      </c>
      <c r="G326" s="146" t="n">
        <f aca="false">Scoring!D333</f>
        <v>0</v>
      </c>
      <c r="H326" s="146" t="str">
        <f aca="false">Scoring!DA333</f>
        <v/>
      </c>
      <c r="I326" s="148" t="str">
        <f aca="false">Scoring!CZ333</f>
        <v/>
      </c>
    </row>
    <row r="327" customFormat="false" ht="15.75" hidden="false" customHeight="false" outlineLevel="0" collapsed="false">
      <c r="A327" s="146" t="str">
        <f aca="false">Scoring!DC334</f>
        <v/>
      </c>
      <c r="B327" s="146" t="str">
        <f aca="false">Scoring!DB334</f>
        <v/>
      </c>
      <c r="C327" s="146" t="n">
        <f aca="false">Scoring!C334</f>
        <v>0</v>
      </c>
      <c r="D327" s="147" t="str">
        <f aca="false">Scoring!CY334</f>
        <v/>
      </c>
      <c r="E327" s="146" t="str">
        <f aca="false">Scoring!BH334</f>
        <v/>
      </c>
      <c r="F327" s="146" t="n">
        <f aca="false">Scoring!B334</f>
        <v>0</v>
      </c>
      <c r="G327" s="146" t="n">
        <f aca="false">Scoring!D334</f>
        <v>0</v>
      </c>
      <c r="H327" s="146" t="str">
        <f aca="false">Scoring!DA334</f>
        <v/>
      </c>
      <c r="I327" s="148" t="str">
        <f aca="false">Scoring!CZ334</f>
        <v/>
      </c>
    </row>
    <row r="328" customFormat="false" ht="15.75" hidden="false" customHeight="false" outlineLevel="0" collapsed="false">
      <c r="A328" s="146" t="str">
        <f aca="false">Scoring!DC335</f>
        <v/>
      </c>
      <c r="B328" s="146" t="str">
        <f aca="false">Scoring!DB335</f>
        <v/>
      </c>
      <c r="C328" s="146" t="n">
        <f aca="false">Scoring!C335</f>
        <v>0</v>
      </c>
      <c r="D328" s="147" t="str">
        <f aca="false">Scoring!CY335</f>
        <v/>
      </c>
      <c r="E328" s="146" t="str">
        <f aca="false">Scoring!BH335</f>
        <v/>
      </c>
      <c r="F328" s="146" t="n">
        <f aca="false">Scoring!B335</f>
        <v>0</v>
      </c>
      <c r="G328" s="146" t="n">
        <f aca="false">Scoring!D335</f>
        <v>0</v>
      </c>
      <c r="H328" s="146" t="str">
        <f aca="false">Scoring!DA335</f>
        <v/>
      </c>
      <c r="I328" s="148" t="str">
        <f aca="false">Scoring!CZ335</f>
        <v/>
      </c>
    </row>
    <row r="329" customFormat="false" ht="15.75" hidden="false" customHeight="false" outlineLevel="0" collapsed="false">
      <c r="A329" s="146" t="str">
        <f aca="false">Scoring!DC336</f>
        <v/>
      </c>
      <c r="B329" s="146" t="str">
        <f aca="false">Scoring!DB336</f>
        <v/>
      </c>
      <c r="C329" s="146" t="n">
        <f aca="false">Scoring!C336</f>
        <v>0</v>
      </c>
      <c r="D329" s="147" t="str">
        <f aca="false">Scoring!CY336</f>
        <v/>
      </c>
      <c r="E329" s="146" t="str">
        <f aca="false">Scoring!BH336</f>
        <v/>
      </c>
      <c r="F329" s="146" t="n">
        <f aca="false">Scoring!B336</f>
        <v>0</v>
      </c>
      <c r="G329" s="146" t="n">
        <f aca="false">Scoring!D336</f>
        <v>0</v>
      </c>
      <c r="H329" s="146" t="str">
        <f aca="false">Scoring!DA336</f>
        <v/>
      </c>
      <c r="I329" s="148" t="str">
        <f aca="false">Scoring!CZ336</f>
        <v/>
      </c>
    </row>
    <row r="330" customFormat="false" ht="15.75" hidden="false" customHeight="false" outlineLevel="0" collapsed="false">
      <c r="A330" s="146" t="str">
        <f aca="false">Scoring!DC337</f>
        <v/>
      </c>
      <c r="B330" s="146" t="str">
        <f aca="false">Scoring!DB337</f>
        <v/>
      </c>
      <c r="C330" s="146" t="n">
        <f aca="false">Scoring!C337</f>
        <v>0</v>
      </c>
      <c r="D330" s="147" t="str">
        <f aca="false">Scoring!CY337</f>
        <v/>
      </c>
      <c r="E330" s="146" t="str">
        <f aca="false">Scoring!BH337</f>
        <v/>
      </c>
      <c r="F330" s="146" t="n">
        <f aca="false">Scoring!B337</f>
        <v>0</v>
      </c>
      <c r="G330" s="146" t="n">
        <f aca="false">Scoring!D337</f>
        <v>0</v>
      </c>
      <c r="H330" s="146" t="str">
        <f aca="false">Scoring!DA337</f>
        <v/>
      </c>
      <c r="I330" s="148" t="str">
        <f aca="false">Scoring!CZ337</f>
        <v/>
      </c>
    </row>
    <row r="331" customFormat="false" ht="15.75" hidden="false" customHeight="false" outlineLevel="0" collapsed="false">
      <c r="A331" s="146" t="str">
        <f aca="false">Scoring!DC338</f>
        <v/>
      </c>
      <c r="B331" s="146" t="str">
        <f aca="false">Scoring!DB338</f>
        <v/>
      </c>
      <c r="C331" s="146" t="n">
        <f aca="false">Scoring!C338</f>
        <v>0</v>
      </c>
      <c r="D331" s="147" t="str">
        <f aca="false">Scoring!CY338</f>
        <v/>
      </c>
      <c r="E331" s="146" t="str">
        <f aca="false">Scoring!BH338</f>
        <v/>
      </c>
      <c r="F331" s="146" t="n">
        <f aca="false">Scoring!B338</f>
        <v>0</v>
      </c>
      <c r="G331" s="146" t="n">
        <f aca="false">Scoring!D338</f>
        <v>0</v>
      </c>
      <c r="H331" s="146" t="str">
        <f aca="false">Scoring!DA338</f>
        <v/>
      </c>
      <c r="I331" s="148" t="str">
        <f aca="false">Scoring!CZ338</f>
        <v/>
      </c>
    </row>
    <row r="332" customFormat="false" ht="15.75" hidden="false" customHeight="false" outlineLevel="0" collapsed="false">
      <c r="A332" s="146" t="str">
        <f aca="false">Scoring!DC339</f>
        <v/>
      </c>
      <c r="B332" s="146" t="str">
        <f aca="false">Scoring!DB339</f>
        <v/>
      </c>
      <c r="C332" s="146" t="n">
        <f aca="false">Scoring!C339</f>
        <v>0</v>
      </c>
      <c r="D332" s="147" t="str">
        <f aca="false">Scoring!CY339</f>
        <v/>
      </c>
      <c r="E332" s="146" t="str">
        <f aca="false">Scoring!BH339</f>
        <v/>
      </c>
      <c r="F332" s="146" t="n">
        <f aca="false">Scoring!B339</f>
        <v>0</v>
      </c>
      <c r="G332" s="146" t="n">
        <f aca="false">Scoring!D339</f>
        <v>0</v>
      </c>
      <c r="H332" s="146" t="str">
        <f aca="false">Scoring!DA339</f>
        <v/>
      </c>
      <c r="I332" s="148" t="str">
        <f aca="false">Scoring!CZ339</f>
        <v/>
      </c>
    </row>
    <row r="333" customFormat="false" ht="15.75" hidden="false" customHeight="false" outlineLevel="0" collapsed="false">
      <c r="A333" s="146" t="str">
        <f aca="false">Scoring!DC340</f>
        <v/>
      </c>
      <c r="B333" s="146" t="str">
        <f aca="false">Scoring!DB340</f>
        <v/>
      </c>
      <c r="C333" s="146" t="n">
        <f aca="false">Scoring!C340</f>
        <v>0</v>
      </c>
      <c r="D333" s="147" t="str">
        <f aca="false">Scoring!CY340</f>
        <v/>
      </c>
      <c r="E333" s="146" t="str">
        <f aca="false">Scoring!BH340</f>
        <v/>
      </c>
      <c r="F333" s="146" t="n">
        <f aca="false">Scoring!B340</f>
        <v>0</v>
      </c>
      <c r="G333" s="146" t="n">
        <f aca="false">Scoring!D340</f>
        <v>0</v>
      </c>
      <c r="H333" s="146" t="str">
        <f aca="false">Scoring!DA340</f>
        <v/>
      </c>
      <c r="I333" s="148" t="str">
        <f aca="false">Scoring!CZ340</f>
        <v/>
      </c>
    </row>
    <row r="334" customFormat="false" ht="15.75" hidden="false" customHeight="false" outlineLevel="0" collapsed="false">
      <c r="A334" s="146" t="str">
        <f aca="false">Scoring!DC341</f>
        <v/>
      </c>
      <c r="B334" s="146" t="str">
        <f aca="false">Scoring!DB341</f>
        <v/>
      </c>
      <c r="C334" s="146" t="n">
        <f aca="false">Scoring!C341</f>
        <v>0</v>
      </c>
      <c r="D334" s="147" t="str">
        <f aca="false">Scoring!CY341</f>
        <v/>
      </c>
      <c r="E334" s="146" t="str">
        <f aca="false">Scoring!BH341</f>
        <v/>
      </c>
      <c r="F334" s="146" t="n">
        <f aca="false">Scoring!B341</f>
        <v>0</v>
      </c>
      <c r="G334" s="146" t="n">
        <f aca="false">Scoring!D341</f>
        <v>0</v>
      </c>
      <c r="H334" s="146" t="str">
        <f aca="false">Scoring!DA341</f>
        <v/>
      </c>
      <c r="I334" s="148" t="str">
        <f aca="false">Scoring!CZ341</f>
        <v/>
      </c>
    </row>
    <row r="335" customFormat="false" ht="15.75" hidden="false" customHeight="false" outlineLevel="0" collapsed="false">
      <c r="A335" s="146" t="str">
        <f aca="false">Scoring!DC342</f>
        <v/>
      </c>
      <c r="B335" s="146" t="str">
        <f aca="false">Scoring!DB342</f>
        <v/>
      </c>
      <c r="C335" s="146" t="n">
        <f aca="false">Scoring!C342</f>
        <v>0</v>
      </c>
      <c r="D335" s="147" t="str">
        <f aca="false">Scoring!CY342</f>
        <v/>
      </c>
      <c r="E335" s="146" t="str">
        <f aca="false">Scoring!BH342</f>
        <v/>
      </c>
      <c r="F335" s="146" t="n">
        <f aca="false">Scoring!B342</f>
        <v>0</v>
      </c>
      <c r="G335" s="146" t="n">
        <f aca="false">Scoring!D342</f>
        <v>0</v>
      </c>
      <c r="H335" s="146" t="str">
        <f aca="false">Scoring!DA342</f>
        <v/>
      </c>
      <c r="I335" s="148" t="str">
        <f aca="false">Scoring!CZ342</f>
        <v/>
      </c>
    </row>
    <row r="336" customFormat="false" ht="15.75" hidden="false" customHeight="false" outlineLevel="0" collapsed="false">
      <c r="A336" s="146" t="str">
        <f aca="false">Scoring!DC343</f>
        <v/>
      </c>
      <c r="B336" s="146" t="str">
        <f aca="false">Scoring!DB343</f>
        <v/>
      </c>
      <c r="C336" s="146" t="n">
        <f aca="false">Scoring!C343</f>
        <v>0</v>
      </c>
      <c r="D336" s="147" t="str">
        <f aca="false">Scoring!CY343</f>
        <v/>
      </c>
      <c r="E336" s="146" t="str">
        <f aca="false">Scoring!BH343</f>
        <v/>
      </c>
      <c r="F336" s="146" t="n">
        <f aca="false">Scoring!B343</f>
        <v>0</v>
      </c>
      <c r="G336" s="146" t="n">
        <f aca="false">Scoring!D343</f>
        <v>0</v>
      </c>
      <c r="H336" s="146" t="str">
        <f aca="false">Scoring!DA343</f>
        <v/>
      </c>
      <c r="I336" s="148" t="str">
        <f aca="false">Scoring!CZ343</f>
        <v/>
      </c>
    </row>
    <row r="337" customFormat="false" ht="15.75" hidden="false" customHeight="false" outlineLevel="0" collapsed="false">
      <c r="A337" s="146" t="str">
        <f aca="false">Scoring!DC344</f>
        <v/>
      </c>
      <c r="B337" s="146" t="str">
        <f aca="false">Scoring!DB344</f>
        <v/>
      </c>
      <c r="C337" s="146" t="n">
        <f aca="false">Scoring!C344</f>
        <v>0</v>
      </c>
      <c r="D337" s="147" t="str">
        <f aca="false">Scoring!CY344</f>
        <v/>
      </c>
      <c r="E337" s="146" t="str">
        <f aca="false">Scoring!BH344</f>
        <v/>
      </c>
      <c r="F337" s="146" t="n">
        <f aca="false">Scoring!B344</f>
        <v>0</v>
      </c>
      <c r="G337" s="146" t="n">
        <f aca="false">Scoring!D344</f>
        <v>0</v>
      </c>
      <c r="H337" s="146" t="str">
        <f aca="false">Scoring!DA344</f>
        <v/>
      </c>
      <c r="I337" s="148" t="str">
        <f aca="false">Scoring!CZ344</f>
        <v/>
      </c>
    </row>
    <row r="338" customFormat="false" ht="15.75" hidden="false" customHeight="false" outlineLevel="0" collapsed="false">
      <c r="A338" s="146" t="str">
        <f aca="false">Scoring!DC345</f>
        <v/>
      </c>
      <c r="B338" s="146" t="str">
        <f aca="false">Scoring!DB345</f>
        <v/>
      </c>
      <c r="C338" s="146" t="n">
        <f aca="false">Scoring!C345</f>
        <v>0</v>
      </c>
      <c r="D338" s="147" t="str">
        <f aca="false">Scoring!CY345</f>
        <v/>
      </c>
      <c r="E338" s="146" t="str">
        <f aca="false">Scoring!BH345</f>
        <v/>
      </c>
      <c r="F338" s="146" t="n">
        <f aca="false">Scoring!B345</f>
        <v>0</v>
      </c>
      <c r="G338" s="146" t="n">
        <f aca="false">Scoring!D345</f>
        <v>0</v>
      </c>
      <c r="H338" s="146" t="str">
        <f aca="false">Scoring!DA345</f>
        <v/>
      </c>
      <c r="I338" s="148" t="str">
        <f aca="false">Scoring!CZ345</f>
        <v/>
      </c>
    </row>
    <row r="339" customFormat="false" ht="15.75" hidden="false" customHeight="false" outlineLevel="0" collapsed="false">
      <c r="A339" s="146" t="str">
        <f aca="false">Scoring!DC346</f>
        <v/>
      </c>
      <c r="B339" s="146" t="str">
        <f aca="false">Scoring!DB346</f>
        <v/>
      </c>
      <c r="C339" s="146" t="n">
        <f aca="false">Scoring!C346</f>
        <v>0</v>
      </c>
      <c r="D339" s="147" t="str">
        <f aca="false">Scoring!CY346</f>
        <v/>
      </c>
      <c r="E339" s="146" t="str">
        <f aca="false">Scoring!BH346</f>
        <v/>
      </c>
      <c r="F339" s="146" t="n">
        <f aca="false">Scoring!B346</f>
        <v>0</v>
      </c>
      <c r="G339" s="146" t="n">
        <f aca="false">Scoring!D346</f>
        <v>0</v>
      </c>
      <c r="H339" s="146" t="str">
        <f aca="false">Scoring!DA346</f>
        <v/>
      </c>
      <c r="I339" s="148" t="str">
        <f aca="false">Scoring!CZ346</f>
        <v/>
      </c>
    </row>
    <row r="340" customFormat="false" ht="15.75" hidden="false" customHeight="false" outlineLevel="0" collapsed="false">
      <c r="A340" s="146" t="str">
        <f aca="false">Scoring!DC347</f>
        <v/>
      </c>
      <c r="B340" s="146" t="str">
        <f aca="false">Scoring!DB347</f>
        <v/>
      </c>
      <c r="C340" s="146" t="n">
        <f aca="false">Scoring!C347</f>
        <v>0</v>
      </c>
      <c r="D340" s="147" t="str">
        <f aca="false">Scoring!CY347</f>
        <v/>
      </c>
      <c r="E340" s="146" t="str">
        <f aca="false">Scoring!BH347</f>
        <v/>
      </c>
      <c r="F340" s="146" t="n">
        <f aca="false">Scoring!B347</f>
        <v>0</v>
      </c>
      <c r="G340" s="146" t="n">
        <f aca="false">Scoring!D347</f>
        <v>0</v>
      </c>
      <c r="H340" s="146" t="str">
        <f aca="false">Scoring!DA347</f>
        <v/>
      </c>
      <c r="I340" s="148" t="str">
        <f aca="false">Scoring!CZ347</f>
        <v/>
      </c>
    </row>
    <row r="341" customFormat="false" ht="15.75" hidden="false" customHeight="false" outlineLevel="0" collapsed="false">
      <c r="A341" s="146" t="str">
        <f aca="false">Scoring!DC348</f>
        <v/>
      </c>
      <c r="B341" s="146" t="str">
        <f aca="false">Scoring!DB348</f>
        <v/>
      </c>
      <c r="C341" s="146" t="n">
        <f aca="false">Scoring!C348</f>
        <v>0</v>
      </c>
      <c r="D341" s="147" t="str">
        <f aca="false">Scoring!CY348</f>
        <v/>
      </c>
      <c r="E341" s="146" t="str">
        <f aca="false">Scoring!BH348</f>
        <v/>
      </c>
      <c r="F341" s="146" t="n">
        <f aca="false">Scoring!B348</f>
        <v>0</v>
      </c>
      <c r="G341" s="146" t="n">
        <f aca="false">Scoring!D348</f>
        <v>0</v>
      </c>
      <c r="H341" s="146" t="str">
        <f aca="false">Scoring!DA348</f>
        <v/>
      </c>
      <c r="I341" s="148" t="str">
        <f aca="false">Scoring!CZ348</f>
        <v/>
      </c>
    </row>
    <row r="342" customFormat="false" ht="15.75" hidden="false" customHeight="false" outlineLevel="0" collapsed="false">
      <c r="A342" s="146" t="str">
        <f aca="false">Scoring!DC349</f>
        <v/>
      </c>
      <c r="B342" s="146" t="str">
        <f aca="false">Scoring!DB349</f>
        <v/>
      </c>
      <c r="C342" s="146" t="n">
        <f aca="false">Scoring!C349</f>
        <v>0</v>
      </c>
      <c r="D342" s="147" t="str">
        <f aca="false">Scoring!CY349</f>
        <v/>
      </c>
      <c r="E342" s="146" t="str">
        <f aca="false">Scoring!BH349</f>
        <v/>
      </c>
      <c r="F342" s="146" t="n">
        <f aca="false">Scoring!B349</f>
        <v>0</v>
      </c>
      <c r="G342" s="146" t="n">
        <f aca="false">Scoring!D349</f>
        <v>0</v>
      </c>
      <c r="H342" s="146" t="str">
        <f aca="false">Scoring!DA349</f>
        <v/>
      </c>
      <c r="I342" s="148" t="str">
        <f aca="false">Scoring!CZ349</f>
        <v/>
      </c>
    </row>
    <row r="343" customFormat="false" ht="15.75" hidden="false" customHeight="false" outlineLevel="0" collapsed="false">
      <c r="A343" s="146" t="str">
        <f aca="false">Scoring!DC350</f>
        <v/>
      </c>
      <c r="B343" s="146" t="str">
        <f aca="false">Scoring!DB350</f>
        <v/>
      </c>
      <c r="C343" s="146" t="n">
        <f aca="false">Scoring!C350</f>
        <v>0</v>
      </c>
      <c r="D343" s="147" t="str">
        <f aca="false">Scoring!CY350</f>
        <v/>
      </c>
      <c r="E343" s="146" t="str">
        <f aca="false">Scoring!BH350</f>
        <v/>
      </c>
      <c r="F343" s="146" t="n">
        <f aca="false">Scoring!B350</f>
        <v>0</v>
      </c>
      <c r="G343" s="146" t="n">
        <f aca="false">Scoring!D350</f>
        <v>0</v>
      </c>
      <c r="H343" s="146" t="str">
        <f aca="false">Scoring!DA350</f>
        <v/>
      </c>
      <c r="I343" s="148" t="str">
        <f aca="false">Scoring!CZ350</f>
        <v/>
      </c>
    </row>
    <row r="344" customFormat="false" ht="15.75" hidden="false" customHeight="false" outlineLevel="0" collapsed="false">
      <c r="A344" s="146" t="str">
        <f aca="false">Scoring!DC351</f>
        <v/>
      </c>
      <c r="B344" s="146" t="str">
        <f aca="false">Scoring!DB351</f>
        <v/>
      </c>
      <c r="C344" s="146" t="n">
        <f aca="false">Scoring!C351</f>
        <v>0</v>
      </c>
      <c r="D344" s="147" t="str">
        <f aca="false">Scoring!CY351</f>
        <v/>
      </c>
      <c r="E344" s="146" t="str">
        <f aca="false">Scoring!BH351</f>
        <v/>
      </c>
      <c r="F344" s="146" t="n">
        <f aca="false">Scoring!B351</f>
        <v>0</v>
      </c>
      <c r="G344" s="146" t="n">
        <f aca="false">Scoring!D351</f>
        <v>0</v>
      </c>
      <c r="H344" s="146" t="str">
        <f aca="false">Scoring!DA351</f>
        <v/>
      </c>
      <c r="I344" s="148" t="str">
        <f aca="false">Scoring!CZ351</f>
        <v/>
      </c>
    </row>
    <row r="345" customFormat="false" ht="15.75" hidden="false" customHeight="false" outlineLevel="0" collapsed="false">
      <c r="A345" s="146" t="str">
        <f aca="false">Scoring!DC352</f>
        <v/>
      </c>
      <c r="B345" s="146" t="str">
        <f aca="false">Scoring!DB352</f>
        <v/>
      </c>
      <c r="C345" s="146" t="n">
        <f aca="false">Scoring!C352</f>
        <v>0</v>
      </c>
      <c r="D345" s="147" t="str">
        <f aca="false">Scoring!CY352</f>
        <v/>
      </c>
      <c r="E345" s="146" t="str">
        <f aca="false">Scoring!BH352</f>
        <v/>
      </c>
      <c r="F345" s="146" t="n">
        <f aca="false">Scoring!B352</f>
        <v>0</v>
      </c>
      <c r="G345" s="146" t="n">
        <f aca="false">Scoring!D352</f>
        <v>0</v>
      </c>
      <c r="H345" s="146" t="str">
        <f aca="false">Scoring!DA352</f>
        <v/>
      </c>
      <c r="I345" s="148" t="str">
        <f aca="false">Scoring!CZ352</f>
        <v/>
      </c>
    </row>
    <row r="346" customFormat="false" ht="15.75" hidden="false" customHeight="false" outlineLevel="0" collapsed="false">
      <c r="A346" s="146" t="str">
        <f aca="false">Scoring!DC353</f>
        <v/>
      </c>
      <c r="B346" s="146" t="str">
        <f aca="false">Scoring!DB353</f>
        <v/>
      </c>
      <c r="C346" s="146" t="n">
        <f aca="false">Scoring!C353</f>
        <v>0</v>
      </c>
      <c r="D346" s="147" t="str">
        <f aca="false">Scoring!CY353</f>
        <v/>
      </c>
      <c r="E346" s="146" t="str">
        <f aca="false">Scoring!BH353</f>
        <v/>
      </c>
      <c r="F346" s="146" t="n">
        <f aca="false">Scoring!B353</f>
        <v>0</v>
      </c>
      <c r="G346" s="146" t="n">
        <f aca="false">Scoring!D353</f>
        <v>0</v>
      </c>
      <c r="H346" s="146" t="str">
        <f aca="false">Scoring!DA353</f>
        <v/>
      </c>
      <c r="I346" s="148" t="str">
        <f aca="false">Scoring!CZ353</f>
        <v/>
      </c>
    </row>
    <row r="347" customFormat="false" ht="15.75" hidden="false" customHeight="false" outlineLevel="0" collapsed="false">
      <c r="A347" s="146" t="str">
        <f aca="false">Scoring!DC354</f>
        <v/>
      </c>
      <c r="B347" s="146" t="str">
        <f aca="false">Scoring!DB354</f>
        <v/>
      </c>
      <c r="C347" s="146" t="n">
        <f aca="false">Scoring!C354</f>
        <v>0</v>
      </c>
      <c r="D347" s="147" t="str">
        <f aca="false">Scoring!CY354</f>
        <v/>
      </c>
      <c r="E347" s="146" t="str">
        <f aca="false">Scoring!BH354</f>
        <v/>
      </c>
      <c r="F347" s="146" t="n">
        <f aca="false">Scoring!B354</f>
        <v>0</v>
      </c>
      <c r="G347" s="146" t="n">
        <f aca="false">Scoring!D354</f>
        <v>0</v>
      </c>
      <c r="H347" s="146" t="str">
        <f aca="false">Scoring!DA354</f>
        <v/>
      </c>
      <c r="I347" s="148" t="str">
        <f aca="false">Scoring!CZ354</f>
        <v/>
      </c>
    </row>
    <row r="348" customFormat="false" ht="15.75" hidden="false" customHeight="false" outlineLevel="0" collapsed="false">
      <c r="A348" s="146" t="str">
        <f aca="false">Scoring!DC355</f>
        <v/>
      </c>
      <c r="B348" s="146" t="str">
        <f aca="false">Scoring!DB355</f>
        <v/>
      </c>
      <c r="C348" s="146" t="n">
        <f aca="false">Scoring!C355</f>
        <v>0</v>
      </c>
      <c r="D348" s="147" t="str">
        <f aca="false">Scoring!CY355</f>
        <v/>
      </c>
      <c r="E348" s="146" t="str">
        <f aca="false">Scoring!BH355</f>
        <v/>
      </c>
      <c r="F348" s="146" t="n">
        <f aca="false">Scoring!B355</f>
        <v>0</v>
      </c>
      <c r="G348" s="146" t="n">
        <f aca="false">Scoring!D355</f>
        <v>0</v>
      </c>
      <c r="H348" s="146" t="str">
        <f aca="false">Scoring!DA355</f>
        <v/>
      </c>
      <c r="I348" s="148" t="str">
        <f aca="false">Scoring!CZ355</f>
        <v/>
      </c>
    </row>
    <row r="349" customFormat="false" ht="15.75" hidden="false" customHeight="false" outlineLevel="0" collapsed="false">
      <c r="A349" s="146" t="str">
        <f aca="false">Scoring!DC356</f>
        <v/>
      </c>
      <c r="B349" s="146" t="str">
        <f aca="false">Scoring!DB356</f>
        <v/>
      </c>
      <c r="C349" s="146" t="n">
        <f aca="false">Scoring!C356</f>
        <v>0</v>
      </c>
      <c r="D349" s="147" t="str">
        <f aca="false">Scoring!CY356</f>
        <v/>
      </c>
      <c r="E349" s="146" t="str">
        <f aca="false">Scoring!BH356</f>
        <v/>
      </c>
      <c r="F349" s="146" t="n">
        <f aca="false">Scoring!B356</f>
        <v>0</v>
      </c>
      <c r="G349" s="146" t="n">
        <f aca="false">Scoring!D356</f>
        <v>0</v>
      </c>
      <c r="H349" s="146" t="str">
        <f aca="false">Scoring!DA356</f>
        <v/>
      </c>
      <c r="I349" s="148" t="str">
        <f aca="false">Scoring!CZ356</f>
        <v/>
      </c>
    </row>
    <row r="350" customFormat="false" ht="15.75" hidden="false" customHeight="false" outlineLevel="0" collapsed="false">
      <c r="A350" s="146" t="str">
        <f aca="false">Scoring!DC357</f>
        <v/>
      </c>
      <c r="B350" s="146" t="str">
        <f aca="false">Scoring!DB357</f>
        <v/>
      </c>
      <c r="C350" s="146" t="n">
        <f aca="false">Scoring!C357</f>
        <v>0</v>
      </c>
      <c r="D350" s="147" t="str">
        <f aca="false">Scoring!CY357</f>
        <v/>
      </c>
      <c r="E350" s="146" t="str">
        <f aca="false">Scoring!BH357</f>
        <v/>
      </c>
      <c r="F350" s="146" t="n">
        <f aca="false">Scoring!B357</f>
        <v>0</v>
      </c>
      <c r="G350" s="146" t="n">
        <f aca="false">Scoring!D357</f>
        <v>0</v>
      </c>
      <c r="H350" s="146" t="str">
        <f aca="false">Scoring!DA357</f>
        <v/>
      </c>
      <c r="I350" s="148" t="str">
        <f aca="false">Scoring!CZ357</f>
        <v/>
      </c>
    </row>
    <row r="351" customFormat="false" ht="15.75" hidden="false" customHeight="false" outlineLevel="0" collapsed="false">
      <c r="A351" s="146" t="str">
        <f aca="false">Scoring!DC358</f>
        <v/>
      </c>
      <c r="B351" s="146" t="str">
        <f aca="false">Scoring!DB358</f>
        <v/>
      </c>
      <c r="C351" s="146" t="n">
        <f aca="false">Scoring!C358</f>
        <v>0</v>
      </c>
      <c r="D351" s="147" t="str">
        <f aca="false">Scoring!CY358</f>
        <v/>
      </c>
      <c r="E351" s="146" t="str">
        <f aca="false">Scoring!BH358</f>
        <v/>
      </c>
      <c r="F351" s="146" t="n">
        <f aca="false">Scoring!B358</f>
        <v>0</v>
      </c>
      <c r="G351" s="146" t="n">
        <f aca="false">Scoring!D358</f>
        <v>0</v>
      </c>
      <c r="H351" s="146" t="str">
        <f aca="false">Scoring!DA358</f>
        <v/>
      </c>
      <c r="I351" s="148" t="str">
        <f aca="false">Scoring!CZ358</f>
        <v/>
      </c>
    </row>
    <row r="352" customFormat="false" ht="15.75" hidden="false" customHeight="false" outlineLevel="0" collapsed="false">
      <c r="A352" s="146" t="str">
        <f aca="false">Scoring!DC359</f>
        <v/>
      </c>
      <c r="B352" s="146" t="str">
        <f aca="false">Scoring!DB359</f>
        <v/>
      </c>
      <c r="C352" s="146" t="n">
        <f aca="false">Scoring!C359</f>
        <v>0</v>
      </c>
      <c r="D352" s="147" t="str">
        <f aca="false">Scoring!CY359</f>
        <v/>
      </c>
      <c r="E352" s="146" t="str">
        <f aca="false">Scoring!BH359</f>
        <v/>
      </c>
      <c r="F352" s="146" t="n">
        <f aca="false">Scoring!B359</f>
        <v>0</v>
      </c>
      <c r="G352" s="146" t="n">
        <f aca="false">Scoring!D359</f>
        <v>0</v>
      </c>
      <c r="H352" s="146" t="str">
        <f aca="false">Scoring!DA359</f>
        <v/>
      </c>
      <c r="I352" s="148" t="str">
        <f aca="false">Scoring!CZ359</f>
        <v/>
      </c>
    </row>
    <row r="353" customFormat="false" ht="15.75" hidden="false" customHeight="false" outlineLevel="0" collapsed="false">
      <c r="A353" s="146" t="str">
        <f aca="false">Scoring!DC360</f>
        <v/>
      </c>
      <c r="B353" s="146" t="str">
        <f aca="false">Scoring!DB360</f>
        <v/>
      </c>
      <c r="C353" s="146" t="n">
        <f aca="false">Scoring!C360</f>
        <v>0</v>
      </c>
      <c r="D353" s="147" t="str">
        <f aca="false">Scoring!CY360</f>
        <v/>
      </c>
      <c r="E353" s="146" t="str">
        <f aca="false">Scoring!BH360</f>
        <v/>
      </c>
      <c r="F353" s="146" t="n">
        <f aca="false">Scoring!B360</f>
        <v>0</v>
      </c>
      <c r="G353" s="146" t="n">
        <f aca="false">Scoring!D360</f>
        <v>0</v>
      </c>
      <c r="H353" s="146" t="str">
        <f aca="false">Scoring!DA360</f>
        <v/>
      </c>
      <c r="I353" s="148" t="str">
        <f aca="false">Scoring!CZ360</f>
        <v/>
      </c>
    </row>
    <row r="354" customFormat="false" ht="15.75" hidden="false" customHeight="false" outlineLevel="0" collapsed="false">
      <c r="A354" s="146" t="str">
        <f aca="false">Scoring!DC361</f>
        <v/>
      </c>
      <c r="B354" s="146" t="str">
        <f aca="false">Scoring!DB361</f>
        <v/>
      </c>
      <c r="C354" s="146" t="n">
        <f aca="false">Scoring!C361</f>
        <v>0</v>
      </c>
      <c r="D354" s="147" t="str">
        <f aca="false">Scoring!CY361</f>
        <v/>
      </c>
      <c r="E354" s="146" t="str">
        <f aca="false">Scoring!BH361</f>
        <v/>
      </c>
      <c r="F354" s="146" t="n">
        <f aca="false">Scoring!B361</f>
        <v>0</v>
      </c>
      <c r="G354" s="146" t="n">
        <f aca="false">Scoring!D361</f>
        <v>0</v>
      </c>
      <c r="H354" s="146" t="str">
        <f aca="false">Scoring!DA361</f>
        <v/>
      </c>
      <c r="I354" s="148" t="str">
        <f aca="false">Scoring!CZ361</f>
        <v/>
      </c>
    </row>
    <row r="355" customFormat="false" ht="15.75" hidden="false" customHeight="false" outlineLevel="0" collapsed="false">
      <c r="A355" s="146" t="str">
        <f aca="false">Scoring!DC362</f>
        <v/>
      </c>
      <c r="B355" s="146" t="str">
        <f aca="false">Scoring!DB362</f>
        <v/>
      </c>
      <c r="C355" s="146" t="n">
        <f aca="false">Scoring!C362</f>
        <v>0</v>
      </c>
      <c r="D355" s="147" t="str">
        <f aca="false">Scoring!CY362</f>
        <v/>
      </c>
      <c r="E355" s="146" t="str">
        <f aca="false">Scoring!BH362</f>
        <v/>
      </c>
      <c r="F355" s="146" t="n">
        <f aca="false">Scoring!B362</f>
        <v>0</v>
      </c>
      <c r="G355" s="146" t="n">
        <f aca="false">Scoring!D362</f>
        <v>0</v>
      </c>
      <c r="H355" s="146" t="str">
        <f aca="false">Scoring!DA362</f>
        <v/>
      </c>
      <c r="I355" s="148" t="str">
        <f aca="false">Scoring!CZ362</f>
        <v/>
      </c>
    </row>
    <row r="356" customFormat="false" ht="15.75" hidden="false" customHeight="false" outlineLevel="0" collapsed="false">
      <c r="A356" s="146" t="str">
        <f aca="false">Scoring!DC363</f>
        <v/>
      </c>
      <c r="B356" s="146" t="str">
        <f aca="false">Scoring!DB363</f>
        <v/>
      </c>
      <c r="C356" s="146" t="n">
        <f aca="false">Scoring!C363</f>
        <v>0</v>
      </c>
      <c r="D356" s="147" t="str">
        <f aca="false">Scoring!CY363</f>
        <v/>
      </c>
      <c r="E356" s="146" t="str">
        <f aca="false">Scoring!BH363</f>
        <v/>
      </c>
      <c r="F356" s="146" t="n">
        <f aca="false">Scoring!B363</f>
        <v>0</v>
      </c>
      <c r="G356" s="146" t="n">
        <f aca="false">Scoring!D363</f>
        <v>0</v>
      </c>
      <c r="H356" s="146" t="str">
        <f aca="false">Scoring!DA363</f>
        <v/>
      </c>
      <c r="I356" s="148" t="str">
        <f aca="false">Scoring!CZ363</f>
        <v/>
      </c>
    </row>
    <row r="357" customFormat="false" ht="15.75" hidden="false" customHeight="false" outlineLevel="0" collapsed="false">
      <c r="A357" s="146" t="str">
        <f aca="false">Scoring!DC364</f>
        <v/>
      </c>
      <c r="B357" s="146" t="str">
        <f aca="false">Scoring!DB364</f>
        <v/>
      </c>
      <c r="C357" s="146" t="n">
        <f aca="false">Scoring!C364</f>
        <v>0</v>
      </c>
      <c r="D357" s="147" t="str">
        <f aca="false">Scoring!CY364</f>
        <v/>
      </c>
      <c r="E357" s="146" t="str">
        <f aca="false">Scoring!BH364</f>
        <v/>
      </c>
      <c r="F357" s="146" t="n">
        <f aca="false">Scoring!B364</f>
        <v>0</v>
      </c>
      <c r="G357" s="146" t="n">
        <f aca="false">Scoring!D364</f>
        <v>0</v>
      </c>
      <c r="H357" s="146" t="str">
        <f aca="false">Scoring!DA364</f>
        <v/>
      </c>
      <c r="I357" s="148" t="str">
        <f aca="false">Scoring!CZ364</f>
        <v/>
      </c>
    </row>
    <row r="358" customFormat="false" ht="15.75" hidden="false" customHeight="false" outlineLevel="0" collapsed="false">
      <c r="A358" s="146" t="str">
        <f aca="false">Scoring!DC365</f>
        <v/>
      </c>
      <c r="B358" s="146" t="str">
        <f aca="false">Scoring!DB365</f>
        <v/>
      </c>
      <c r="C358" s="146" t="n">
        <f aca="false">Scoring!C365</f>
        <v>0</v>
      </c>
      <c r="D358" s="147" t="str">
        <f aca="false">Scoring!CY365</f>
        <v/>
      </c>
      <c r="E358" s="146" t="str">
        <f aca="false">Scoring!BH365</f>
        <v/>
      </c>
      <c r="F358" s="146" t="n">
        <f aca="false">Scoring!B365</f>
        <v>0</v>
      </c>
      <c r="G358" s="146" t="n">
        <f aca="false">Scoring!D365</f>
        <v>0</v>
      </c>
      <c r="H358" s="146" t="str">
        <f aca="false">Scoring!DA365</f>
        <v/>
      </c>
      <c r="I358" s="148" t="str">
        <f aca="false">Scoring!CZ365</f>
        <v/>
      </c>
    </row>
    <row r="359" customFormat="false" ht="15.75" hidden="false" customHeight="false" outlineLevel="0" collapsed="false">
      <c r="A359" s="146" t="str">
        <f aca="false">Scoring!DC366</f>
        <v/>
      </c>
      <c r="B359" s="146" t="str">
        <f aca="false">Scoring!DB366</f>
        <v/>
      </c>
      <c r="C359" s="146" t="n">
        <f aca="false">Scoring!C366</f>
        <v>0</v>
      </c>
      <c r="D359" s="147" t="str">
        <f aca="false">Scoring!CY366</f>
        <v/>
      </c>
      <c r="E359" s="146" t="str">
        <f aca="false">Scoring!BH366</f>
        <v/>
      </c>
      <c r="F359" s="146" t="n">
        <f aca="false">Scoring!B366</f>
        <v>0</v>
      </c>
      <c r="G359" s="146" t="n">
        <f aca="false">Scoring!D366</f>
        <v>0</v>
      </c>
      <c r="H359" s="146" t="str">
        <f aca="false">Scoring!DA366</f>
        <v/>
      </c>
      <c r="I359" s="148" t="str">
        <f aca="false">Scoring!CZ366</f>
        <v/>
      </c>
    </row>
    <row r="360" customFormat="false" ht="15.75" hidden="false" customHeight="false" outlineLevel="0" collapsed="false">
      <c r="A360" s="146" t="str">
        <f aca="false">Scoring!DC367</f>
        <v/>
      </c>
      <c r="B360" s="146" t="str">
        <f aca="false">Scoring!DB367</f>
        <v/>
      </c>
      <c r="C360" s="146" t="n">
        <f aca="false">Scoring!C367</f>
        <v>0</v>
      </c>
      <c r="D360" s="147" t="str">
        <f aca="false">Scoring!CY367</f>
        <v/>
      </c>
      <c r="E360" s="146" t="str">
        <f aca="false">Scoring!BH367</f>
        <v/>
      </c>
      <c r="F360" s="146" t="n">
        <f aca="false">Scoring!B367</f>
        <v>0</v>
      </c>
      <c r="G360" s="146" t="n">
        <f aca="false">Scoring!D367</f>
        <v>0</v>
      </c>
      <c r="H360" s="146" t="str">
        <f aca="false">Scoring!DA367</f>
        <v/>
      </c>
      <c r="I360" s="148" t="str">
        <f aca="false">Scoring!CZ367</f>
        <v/>
      </c>
    </row>
    <row r="361" customFormat="false" ht="15.75" hidden="false" customHeight="false" outlineLevel="0" collapsed="false">
      <c r="A361" s="146" t="str">
        <f aca="false">Scoring!DC368</f>
        <v/>
      </c>
      <c r="B361" s="146" t="str">
        <f aca="false">Scoring!DB368</f>
        <v/>
      </c>
      <c r="C361" s="146" t="n">
        <f aca="false">Scoring!C368</f>
        <v>0</v>
      </c>
      <c r="D361" s="147" t="str">
        <f aca="false">Scoring!CY368</f>
        <v/>
      </c>
      <c r="E361" s="146" t="str">
        <f aca="false">Scoring!BH368</f>
        <v/>
      </c>
      <c r="F361" s="146" t="n">
        <f aca="false">Scoring!B368</f>
        <v>0</v>
      </c>
      <c r="G361" s="146" t="n">
        <f aca="false">Scoring!D368</f>
        <v>0</v>
      </c>
      <c r="H361" s="146" t="str">
        <f aca="false">Scoring!DA368</f>
        <v/>
      </c>
      <c r="I361" s="148" t="str">
        <f aca="false">Scoring!CZ368</f>
        <v/>
      </c>
    </row>
    <row r="362" customFormat="false" ht="15.75" hidden="false" customHeight="false" outlineLevel="0" collapsed="false">
      <c r="A362" s="146" t="str">
        <f aca="false">Scoring!DC369</f>
        <v/>
      </c>
      <c r="B362" s="146" t="str">
        <f aca="false">Scoring!DB369</f>
        <v/>
      </c>
      <c r="C362" s="146" t="n">
        <f aca="false">Scoring!C369</f>
        <v>0</v>
      </c>
      <c r="D362" s="147" t="str">
        <f aca="false">Scoring!CY369</f>
        <v/>
      </c>
      <c r="E362" s="146" t="str">
        <f aca="false">Scoring!BH369</f>
        <v/>
      </c>
      <c r="F362" s="146" t="n">
        <f aca="false">Scoring!B369</f>
        <v>0</v>
      </c>
      <c r="G362" s="146" t="n">
        <f aca="false">Scoring!D369</f>
        <v>0</v>
      </c>
      <c r="H362" s="146" t="str">
        <f aca="false">Scoring!DA369</f>
        <v/>
      </c>
      <c r="I362" s="148" t="str">
        <f aca="false">Scoring!CZ369</f>
        <v/>
      </c>
    </row>
    <row r="363" customFormat="false" ht="15.75" hidden="false" customHeight="false" outlineLevel="0" collapsed="false">
      <c r="A363" s="146" t="str">
        <f aca="false">Scoring!DC370</f>
        <v/>
      </c>
      <c r="B363" s="146" t="str">
        <f aca="false">Scoring!DB370</f>
        <v/>
      </c>
      <c r="C363" s="146" t="n">
        <f aca="false">Scoring!C370</f>
        <v>0</v>
      </c>
      <c r="D363" s="147" t="str">
        <f aca="false">Scoring!CY370</f>
        <v/>
      </c>
      <c r="E363" s="146" t="str">
        <f aca="false">Scoring!BH370</f>
        <v/>
      </c>
      <c r="F363" s="146" t="n">
        <f aca="false">Scoring!B370</f>
        <v>0</v>
      </c>
      <c r="G363" s="146" t="n">
        <f aca="false">Scoring!D370</f>
        <v>0</v>
      </c>
      <c r="H363" s="146" t="str">
        <f aca="false">Scoring!DA370</f>
        <v/>
      </c>
      <c r="I363" s="148" t="str">
        <f aca="false">Scoring!CZ370</f>
        <v/>
      </c>
    </row>
    <row r="364" customFormat="false" ht="15.75" hidden="false" customHeight="false" outlineLevel="0" collapsed="false">
      <c r="A364" s="146" t="str">
        <f aca="false">Scoring!DC371</f>
        <v/>
      </c>
      <c r="B364" s="146" t="str">
        <f aca="false">Scoring!DB371</f>
        <v/>
      </c>
      <c r="C364" s="146" t="n">
        <f aca="false">Scoring!C371</f>
        <v>0</v>
      </c>
      <c r="D364" s="147" t="str">
        <f aca="false">Scoring!CY371</f>
        <v/>
      </c>
      <c r="E364" s="146" t="str">
        <f aca="false">Scoring!BH371</f>
        <v/>
      </c>
      <c r="F364" s="146" t="n">
        <f aca="false">Scoring!B371</f>
        <v>0</v>
      </c>
      <c r="G364" s="146" t="n">
        <f aca="false">Scoring!D371</f>
        <v>0</v>
      </c>
      <c r="H364" s="146" t="str">
        <f aca="false">Scoring!DA371</f>
        <v/>
      </c>
      <c r="I364" s="148" t="str">
        <f aca="false">Scoring!CZ371</f>
        <v/>
      </c>
    </row>
    <row r="365" customFormat="false" ht="15.75" hidden="false" customHeight="false" outlineLevel="0" collapsed="false">
      <c r="A365" s="146" t="str">
        <f aca="false">Scoring!DC372</f>
        <v/>
      </c>
      <c r="B365" s="146" t="str">
        <f aca="false">Scoring!DB372</f>
        <v/>
      </c>
      <c r="C365" s="146" t="n">
        <f aca="false">Scoring!C372</f>
        <v>0</v>
      </c>
      <c r="D365" s="147" t="str">
        <f aca="false">Scoring!CY372</f>
        <v/>
      </c>
      <c r="E365" s="146" t="str">
        <f aca="false">Scoring!BH372</f>
        <v/>
      </c>
      <c r="F365" s="146" t="n">
        <f aca="false">Scoring!B372</f>
        <v>0</v>
      </c>
      <c r="G365" s="146" t="n">
        <f aca="false">Scoring!D372</f>
        <v>0</v>
      </c>
      <c r="H365" s="146" t="str">
        <f aca="false">Scoring!DA372</f>
        <v/>
      </c>
      <c r="I365" s="148" t="str">
        <f aca="false">Scoring!CZ372</f>
        <v/>
      </c>
    </row>
    <row r="366" customFormat="false" ht="15.75" hidden="false" customHeight="false" outlineLevel="0" collapsed="false">
      <c r="A366" s="146" t="str">
        <f aca="false">Scoring!DC373</f>
        <v/>
      </c>
      <c r="B366" s="146" t="str">
        <f aca="false">Scoring!DB373</f>
        <v/>
      </c>
      <c r="C366" s="146" t="n">
        <f aca="false">Scoring!C373</f>
        <v>0</v>
      </c>
      <c r="D366" s="147" t="str">
        <f aca="false">Scoring!CY373</f>
        <v/>
      </c>
      <c r="E366" s="146" t="str">
        <f aca="false">Scoring!BH373</f>
        <v/>
      </c>
      <c r="F366" s="146" t="n">
        <f aca="false">Scoring!B373</f>
        <v>0</v>
      </c>
      <c r="G366" s="146" t="n">
        <f aca="false">Scoring!D373</f>
        <v>0</v>
      </c>
      <c r="H366" s="146" t="str">
        <f aca="false">Scoring!DA373</f>
        <v/>
      </c>
      <c r="I366" s="148" t="str">
        <f aca="false">Scoring!CZ373</f>
        <v/>
      </c>
    </row>
    <row r="367" customFormat="false" ht="15.75" hidden="false" customHeight="false" outlineLevel="0" collapsed="false">
      <c r="A367" s="146" t="str">
        <f aca="false">Scoring!DC374</f>
        <v/>
      </c>
      <c r="B367" s="146" t="str">
        <f aca="false">Scoring!DB374</f>
        <v/>
      </c>
      <c r="C367" s="146" t="n">
        <f aca="false">Scoring!C374</f>
        <v>0</v>
      </c>
      <c r="D367" s="147" t="str">
        <f aca="false">Scoring!CY374</f>
        <v/>
      </c>
      <c r="E367" s="146" t="str">
        <f aca="false">Scoring!BH374</f>
        <v/>
      </c>
      <c r="F367" s="146" t="n">
        <f aca="false">Scoring!B374</f>
        <v>0</v>
      </c>
      <c r="G367" s="146" t="n">
        <f aca="false">Scoring!D374</f>
        <v>0</v>
      </c>
      <c r="H367" s="146" t="str">
        <f aca="false">Scoring!DA374</f>
        <v/>
      </c>
      <c r="I367" s="148" t="str">
        <f aca="false">Scoring!CZ374</f>
        <v/>
      </c>
    </row>
    <row r="368" customFormat="false" ht="15.75" hidden="false" customHeight="false" outlineLevel="0" collapsed="false">
      <c r="A368" s="146" t="str">
        <f aca="false">Scoring!DC375</f>
        <v/>
      </c>
      <c r="B368" s="146" t="str">
        <f aca="false">Scoring!DB375</f>
        <v/>
      </c>
      <c r="C368" s="146" t="n">
        <f aca="false">Scoring!C375</f>
        <v>0</v>
      </c>
      <c r="D368" s="147" t="str">
        <f aca="false">Scoring!CY375</f>
        <v/>
      </c>
      <c r="E368" s="146" t="str">
        <f aca="false">Scoring!BH375</f>
        <v/>
      </c>
      <c r="F368" s="146" t="n">
        <f aca="false">Scoring!B375</f>
        <v>0</v>
      </c>
      <c r="G368" s="146" t="n">
        <f aca="false">Scoring!D375</f>
        <v>0</v>
      </c>
      <c r="H368" s="146" t="str">
        <f aca="false">Scoring!DA375</f>
        <v/>
      </c>
      <c r="I368" s="148" t="str">
        <f aca="false">Scoring!CZ375</f>
        <v/>
      </c>
    </row>
    <row r="369" customFormat="false" ht="15.75" hidden="false" customHeight="false" outlineLevel="0" collapsed="false">
      <c r="A369" s="146" t="str">
        <f aca="false">Scoring!DC376</f>
        <v/>
      </c>
      <c r="B369" s="146" t="str">
        <f aca="false">Scoring!DB376</f>
        <v/>
      </c>
      <c r="C369" s="146" t="n">
        <f aca="false">Scoring!C376</f>
        <v>0</v>
      </c>
      <c r="D369" s="147" t="str">
        <f aca="false">Scoring!CY376</f>
        <v/>
      </c>
      <c r="E369" s="146" t="str">
        <f aca="false">Scoring!BH376</f>
        <v/>
      </c>
      <c r="F369" s="146" t="n">
        <f aca="false">Scoring!B376</f>
        <v>0</v>
      </c>
      <c r="G369" s="146" t="n">
        <f aca="false">Scoring!D376</f>
        <v>0</v>
      </c>
      <c r="H369" s="146" t="str">
        <f aca="false">Scoring!DA376</f>
        <v/>
      </c>
      <c r="I369" s="148" t="str">
        <f aca="false">Scoring!CZ376</f>
        <v/>
      </c>
    </row>
    <row r="370" customFormat="false" ht="15.75" hidden="false" customHeight="false" outlineLevel="0" collapsed="false">
      <c r="A370" s="146" t="str">
        <f aca="false">Scoring!DC377</f>
        <v/>
      </c>
      <c r="B370" s="146" t="str">
        <f aca="false">Scoring!DB377</f>
        <v/>
      </c>
      <c r="C370" s="146" t="n">
        <f aca="false">Scoring!C377</f>
        <v>0</v>
      </c>
      <c r="D370" s="147" t="str">
        <f aca="false">Scoring!CY377</f>
        <v/>
      </c>
      <c r="E370" s="146" t="str">
        <f aca="false">Scoring!BH377</f>
        <v/>
      </c>
      <c r="F370" s="146" t="n">
        <f aca="false">Scoring!B377</f>
        <v>0</v>
      </c>
      <c r="G370" s="146" t="n">
        <f aca="false">Scoring!D377</f>
        <v>0</v>
      </c>
      <c r="H370" s="146" t="str">
        <f aca="false">Scoring!DA377</f>
        <v/>
      </c>
      <c r="I370" s="148" t="str">
        <f aca="false">Scoring!CZ377</f>
        <v/>
      </c>
    </row>
    <row r="371" customFormat="false" ht="15.75" hidden="false" customHeight="false" outlineLevel="0" collapsed="false">
      <c r="A371" s="146" t="str">
        <f aca="false">Scoring!DC378</f>
        <v/>
      </c>
      <c r="B371" s="146" t="str">
        <f aca="false">Scoring!DB378</f>
        <v/>
      </c>
      <c r="C371" s="146" t="n">
        <f aca="false">Scoring!C378</f>
        <v>0</v>
      </c>
      <c r="D371" s="147" t="str">
        <f aca="false">Scoring!CY378</f>
        <v/>
      </c>
      <c r="E371" s="146" t="str">
        <f aca="false">Scoring!BH378</f>
        <v/>
      </c>
      <c r="F371" s="146" t="n">
        <f aca="false">Scoring!B378</f>
        <v>0</v>
      </c>
      <c r="G371" s="146" t="n">
        <f aca="false">Scoring!D378</f>
        <v>0</v>
      </c>
      <c r="H371" s="146" t="str">
        <f aca="false">Scoring!DA378</f>
        <v/>
      </c>
      <c r="I371" s="148" t="str">
        <f aca="false">Scoring!CZ378</f>
        <v/>
      </c>
    </row>
    <row r="372" customFormat="false" ht="15.75" hidden="false" customHeight="false" outlineLevel="0" collapsed="false">
      <c r="A372" s="146" t="str">
        <f aca="false">Scoring!DC379</f>
        <v/>
      </c>
      <c r="B372" s="146" t="str">
        <f aca="false">Scoring!DB379</f>
        <v/>
      </c>
      <c r="C372" s="146" t="n">
        <f aca="false">Scoring!C379</f>
        <v>0</v>
      </c>
      <c r="D372" s="147" t="str">
        <f aca="false">Scoring!CY379</f>
        <v/>
      </c>
      <c r="E372" s="146" t="str">
        <f aca="false">Scoring!BH379</f>
        <v/>
      </c>
      <c r="F372" s="146" t="n">
        <f aca="false">Scoring!B379</f>
        <v>0</v>
      </c>
      <c r="G372" s="146" t="n">
        <f aca="false">Scoring!D379</f>
        <v>0</v>
      </c>
      <c r="H372" s="146" t="str">
        <f aca="false">Scoring!DA379</f>
        <v/>
      </c>
      <c r="I372" s="148" t="str">
        <f aca="false">Scoring!CZ379</f>
        <v/>
      </c>
    </row>
    <row r="373" customFormat="false" ht="15.75" hidden="false" customHeight="false" outlineLevel="0" collapsed="false">
      <c r="A373" s="146" t="str">
        <f aca="false">Scoring!DC380</f>
        <v/>
      </c>
      <c r="B373" s="146" t="str">
        <f aca="false">Scoring!DB380</f>
        <v/>
      </c>
      <c r="C373" s="146" t="n">
        <f aca="false">Scoring!C380</f>
        <v>0</v>
      </c>
      <c r="D373" s="147" t="str">
        <f aca="false">Scoring!CY380</f>
        <v/>
      </c>
      <c r="E373" s="146" t="str">
        <f aca="false">Scoring!BH380</f>
        <v/>
      </c>
      <c r="F373" s="146" t="n">
        <f aca="false">Scoring!B380</f>
        <v>0</v>
      </c>
      <c r="G373" s="146" t="n">
        <f aca="false">Scoring!D380</f>
        <v>0</v>
      </c>
      <c r="H373" s="146" t="str">
        <f aca="false">Scoring!DA380</f>
        <v/>
      </c>
      <c r="I373" s="148" t="str">
        <f aca="false">Scoring!CZ380</f>
        <v/>
      </c>
    </row>
    <row r="374" customFormat="false" ht="15.75" hidden="false" customHeight="false" outlineLevel="0" collapsed="false">
      <c r="A374" s="146" t="str">
        <f aca="false">Scoring!DC381</f>
        <v/>
      </c>
      <c r="B374" s="146" t="str">
        <f aca="false">Scoring!DB381</f>
        <v/>
      </c>
      <c r="C374" s="146" t="n">
        <f aca="false">Scoring!C381</f>
        <v>0</v>
      </c>
      <c r="D374" s="147" t="str">
        <f aca="false">Scoring!CY381</f>
        <v/>
      </c>
      <c r="E374" s="146" t="str">
        <f aca="false">Scoring!BH381</f>
        <v/>
      </c>
      <c r="F374" s="146" t="n">
        <f aca="false">Scoring!B381</f>
        <v>0</v>
      </c>
      <c r="G374" s="146" t="n">
        <f aca="false">Scoring!D381</f>
        <v>0</v>
      </c>
      <c r="H374" s="146" t="str">
        <f aca="false">Scoring!DA381</f>
        <v/>
      </c>
      <c r="I374" s="148" t="str">
        <f aca="false">Scoring!CZ381</f>
        <v/>
      </c>
    </row>
    <row r="375" customFormat="false" ht="15.75" hidden="false" customHeight="false" outlineLevel="0" collapsed="false">
      <c r="A375" s="146" t="str">
        <f aca="false">Scoring!DC382</f>
        <v/>
      </c>
      <c r="B375" s="146" t="str">
        <f aca="false">Scoring!DB382</f>
        <v/>
      </c>
      <c r="C375" s="146" t="n">
        <f aca="false">Scoring!C382</f>
        <v>0</v>
      </c>
      <c r="D375" s="147" t="str">
        <f aca="false">Scoring!CY382</f>
        <v/>
      </c>
      <c r="E375" s="146" t="str">
        <f aca="false">Scoring!BH382</f>
        <v/>
      </c>
      <c r="F375" s="146" t="n">
        <f aca="false">Scoring!B382</f>
        <v>0</v>
      </c>
      <c r="G375" s="146" t="n">
        <f aca="false">Scoring!D382</f>
        <v>0</v>
      </c>
      <c r="H375" s="146" t="str">
        <f aca="false">Scoring!DA382</f>
        <v/>
      </c>
      <c r="I375" s="148" t="str">
        <f aca="false">Scoring!CZ382</f>
        <v/>
      </c>
    </row>
    <row r="376" customFormat="false" ht="15.75" hidden="false" customHeight="false" outlineLevel="0" collapsed="false">
      <c r="A376" s="146" t="str">
        <f aca="false">Scoring!DC383</f>
        <v/>
      </c>
      <c r="B376" s="146" t="str">
        <f aca="false">Scoring!DB383</f>
        <v/>
      </c>
      <c r="C376" s="146" t="n">
        <f aca="false">Scoring!C383</f>
        <v>0</v>
      </c>
      <c r="D376" s="147" t="str">
        <f aca="false">Scoring!CY383</f>
        <v/>
      </c>
      <c r="E376" s="146" t="str">
        <f aca="false">Scoring!BH383</f>
        <v/>
      </c>
      <c r="F376" s="146" t="n">
        <f aca="false">Scoring!B383</f>
        <v>0</v>
      </c>
      <c r="G376" s="146" t="n">
        <f aca="false">Scoring!D383</f>
        <v>0</v>
      </c>
      <c r="H376" s="146" t="str">
        <f aca="false">Scoring!DA383</f>
        <v/>
      </c>
      <c r="I376" s="148" t="str">
        <f aca="false">Scoring!CZ383</f>
        <v/>
      </c>
    </row>
    <row r="377" customFormat="false" ht="15.75" hidden="false" customHeight="false" outlineLevel="0" collapsed="false">
      <c r="A377" s="146" t="str">
        <f aca="false">Scoring!DC384</f>
        <v/>
      </c>
      <c r="B377" s="146" t="str">
        <f aca="false">Scoring!DB384</f>
        <v/>
      </c>
      <c r="C377" s="146" t="n">
        <f aca="false">Scoring!C384</f>
        <v>0</v>
      </c>
      <c r="D377" s="147" t="str">
        <f aca="false">Scoring!CY384</f>
        <v/>
      </c>
      <c r="E377" s="146" t="str">
        <f aca="false">Scoring!BH384</f>
        <v/>
      </c>
      <c r="F377" s="146" t="n">
        <f aca="false">Scoring!B384</f>
        <v>0</v>
      </c>
      <c r="G377" s="146" t="n">
        <f aca="false">Scoring!D384</f>
        <v>0</v>
      </c>
      <c r="H377" s="146" t="str">
        <f aca="false">Scoring!DA384</f>
        <v/>
      </c>
      <c r="I377" s="148" t="str">
        <f aca="false">Scoring!CZ384</f>
        <v/>
      </c>
    </row>
    <row r="378" customFormat="false" ht="15.75" hidden="false" customHeight="false" outlineLevel="0" collapsed="false">
      <c r="A378" s="146" t="str">
        <f aca="false">Scoring!DC385</f>
        <v/>
      </c>
      <c r="B378" s="146" t="str">
        <f aca="false">Scoring!DB385</f>
        <v/>
      </c>
      <c r="C378" s="146" t="n">
        <f aca="false">Scoring!C385</f>
        <v>0</v>
      </c>
      <c r="D378" s="147" t="str">
        <f aca="false">Scoring!CY385</f>
        <v/>
      </c>
      <c r="E378" s="146" t="str">
        <f aca="false">Scoring!BH385</f>
        <v/>
      </c>
      <c r="F378" s="146" t="n">
        <f aca="false">Scoring!B385</f>
        <v>0</v>
      </c>
      <c r="G378" s="146" t="n">
        <f aca="false">Scoring!D385</f>
        <v>0</v>
      </c>
      <c r="H378" s="146" t="str">
        <f aca="false">Scoring!DA385</f>
        <v/>
      </c>
      <c r="I378" s="148" t="str">
        <f aca="false">Scoring!CZ385</f>
        <v/>
      </c>
    </row>
    <row r="379" customFormat="false" ht="15.75" hidden="false" customHeight="false" outlineLevel="0" collapsed="false">
      <c r="A379" s="146" t="str">
        <f aca="false">Scoring!DC386</f>
        <v/>
      </c>
      <c r="B379" s="146" t="str">
        <f aca="false">Scoring!DB386</f>
        <v/>
      </c>
      <c r="C379" s="146" t="n">
        <f aca="false">Scoring!C386</f>
        <v>0</v>
      </c>
      <c r="D379" s="147" t="str">
        <f aca="false">Scoring!CY386</f>
        <v/>
      </c>
      <c r="E379" s="146" t="str">
        <f aca="false">Scoring!BH386</f>
        <v/>
      </c>
      <c r="F379" s="146" t="n">
        <f aca="false">Scoring!B386</f>
        <v>0</v>
      </c>
      <c r="G379" s="146" t="n">
        <f aca="false">Scoring!D386</f>
        <v>0</v>
      </c>
      <c r="H379" s="146" t="str">
        <f aca="false">Scoring!DA386</f>
        <v/>
      </c>
      <c r="I379" s="148" t="str">
        <f aca="false">Scoring!CZ386</f>
        <v/>
      </c>
    </row>
    <row r="380" customFormat="false" ht="15.75" hidden="false" customHeight="false" outlineLevel="0" collapsed="false">
      <c r="A380" s="146" t="str">
        <f aca="false">Scoring!DC387</f>
        <v/>
      </c>
      <c r="B380" s="146" t="str">
        <f aca="false">Scoring!DB387</f>
        <v/>
      </c>
      <c r="C380" s="146" t="n">
        <f aca="false">Scoring!C387</f>
        <v>0</v>
      </c>
      <c r="D380" s="147" t="str">
        <f aca="false">Scoring!CY387</f>
        <v/>
      </c>
      <c r="E380" s="146" t="str">
        <f aca="false">Scoring!BH387</f>
        <v/>
      </c>
      <c r="F380" s="146" t="n">
        <f aca="false">Scoring!B387</f>
        <v>0</v>
      </c>
      <c r="G380" s="146" t="n">
        <f aca="false">Scoring!D387</f>
        <v>0</v>
      </c>
      <c r="H380" s="146" t="str">
        <f aca="false">Scoring!DA387</f>
        <v/>
      </c>
      <c r="I380" s="148" t="str">
        <f aca="false">Scoring!CZ387</f>
        <v/>
      </c>
    </row>
    <row r="381" customFormat="false" ht="15.75" hidden="false" customHeight="false" outlineLevel="0" collapsed="false">
      <c r="A381" s="146" t="str">
        <f aca="false">Scoring!DC388</f>
        <v/>
      </c>
      <c r="B381" s="146" t="str">
        <f aca="false">Scoring!DB388</f>
        <v/>
      </c>
      <c r="C381" s="146" t="n">
        <f aca="false">Scoring!C388</f>
        <v>0</v>
      </c>
      <c r="D381" s="147" t="str">
        <f aca="false">Scoring!CY388</f>
        <v/>
      </c>
      <c r="E381" s="146" t="str">
        <f aca="false">Scoring!BH388</f>
        <v/>
      </c>
      <c r="F381" s="146" t="n">
        <f aca="false">Scoring!B388</f>
        <v>0</v>
      </c>
      <c r="G381" s="146" t="n">
        <f aca="false">Scoring!D388</f>
        <v>0</v>
      </c>
      <c r="H381" s="146" t="str">
        <f aca="false">Scoring!DA388</f>
        <v/>
      </c>
      <c r="I381" s="148" t="str">
        <f aca="false">Scoring!CZ388</f>
        <v/>
      </c>
    </row>
    <row r="382" customFormat="false" ht="15.75" hidden="false" customHeight="false" outlineLevel="0" collapsed="false">
      <c r="A382" s="146" t="str">
        <f aca="false">Scoring!DC389</f>
        <v/>
      </c>
      <c r="B382" s="146" t="str">
        <f aca="false">Scoring!DB389</f>
        <v/>
      </c>
      <c r="C382" s="146" t="n">
        <f aca="false">Scoring!C389</f>
        <v>0</v>
      </c>
      <c r="D382" s="147" t="str">
        <f aca="false">Scoring!CY389</f>
        <v/>
      </c>
      <c r="E382" s="146" t="str">
        <f aca="false">Scoring!BH389</f>
        <v/>
      </c>
      <c r="F382" s="146" t="n">
        <f aca="false">Scoring!B389</f>
        <v>0</v>
      </c>
      <c r="G382" s="146" t="n">
        <f aca="false">Scoring!D389</f>
        <v>0</v>
      </c>
      <c r="H382" s="146" t="str">
        <f aca="false">Scoring!DA389</f>
        <v/>
      </c>
      <c r="I382" s="148" t="str">
        <f aca="false">Scoring!CZ389</f>
        <v/>
      </c>
    </row>
    <row r="383" customFormat="false" ht="15.75" hidden="false" customHeight="false" outlineLevel="0" collapsed="false">
      <c r="A383" s="146" t="str">
        <f aca="false">Scoring!DC390</f>
        <v/>
      </c>
      <c r="B383" s="146" t="str">
        <f aca="false">Scoring!DB390</f>
        <v/>
      </c>
      <c r="C383" s="146" t="n">
        <f aca="false">Scoring!C390</f>
        <v>0</v>
      </c>
      <c r="D383" s="147" t="str">
        <f aca="false">Scoring!CY390</f>
        <v/>
      </c>
      <c r="E383" s="146" t="str">
        <f aca="false">Scoring!BH390</f>
        <v/>
      </c>
      <c r="F383" s="146" t="n">
        <f aca="false">Scoring!B390</f>
        <v>0</v>
      </c>
      <c r="G383" s="146" t="n">
        <f aca="false">Scoring!D390</f>
        <v>0</v>
      </c>
      <c r="H383" s="146" t="str">
        <f aca="false">Scoring!DA390</f>
        <v/>
      </c>
      <c r="I383" s="148" t="str">
        <f aca="false">Scoring!CZ390</f>
        <v/>
      </c>
    </row>
    <row r="384" customFormat="false" ht="15.75" hidden="false" customHeight="false" outlineLevel="0" collapsed="false">
      <c r="A384" s="146" t="str">
        <f aca="false">Scoring!DC391</f>
        <v/>
      </c>
      <c r="B384" s="146" t="str">
        <f aca="false">Scoring!DB391</f>
        <v/>
      </c>
      <c r="C384" s="146" t="n">
        <f aca="false">Scoring!C391</f>
        <v>0</v>
      </c>
      <c r="D384" s="147" t="str">
        <f aca="false">Scoring!CY391</f>
        <v/>
      </c>
      <c r="E384" s="146" t="str">
        <f aca="false">Scoring!BH391</f>
        <v/>
      </c>
      <c r="F384" s="146" t="n">
        <f aca="false">Scoring!B391</f>
        <v>0</v>
      </c>
      <c r="G384" s="146" t="n">
        <f aca="false">Scoring!D391</f>
        <v>0</v>
      </c>
      <c r="H384" s="146" t="str">
        <f aca="false">Scoring!DA391</f>
        <v/>
      </c>
      <c r="I384" s="148" t="str">
        <f aca="false">Scoring!CZ391</f>
        <v/>
      </c>
    </row>
    <row r="385" customFormat="false" ht="15.75" hidden="false" customHeight="false" outlineLevel="0" collapsed="false">
      <c r="A385" s="146" t="str">
        <f aca="false">Scoring!DC392</f>
        <v/>
      </c>
      <c r="B385" s="146" t="str">
        <f aca="false">Scoring!DB392</f>
        <v/>
      </c>
      <c r="C385" s="146" t="n">
        <f aca="false">Scoring!C392</f>
        <v>0</v>
      </c>
      <c r="D385" s="147" t="str">
        <f aca="false">Scoring!CY392</f>
        <v/>
      </c>
      <c r="E385" s="146" t="str">
        <f aca="false">Scoring!BH392</f>
        <v/>
      </c>
      <c r="F385" s="146" t="n">
        <f aca="false">Scoring!B392</f>
        <v>0</v>
      </c>
      <c r="G385" s="146" t="n">
        <f aca="false">Scoring!D392</f>
        <v>0</v>
      </c>
      <c r="H385" s="146" t="str">
        <f aca="false">Scoring!DA392</f>
        <v/>
      </c>
      <c r="I385" s="148" t="str">
        <f aca="false">Scoring!CZ392</f>
        <v/>
      </c>
    </row>
    <row r="386" customFormat="false" ht="15.75" hidden="false" customHeight="false" outlineLevel="0" collapsed="false">
      <c r="A386" s="146" t="str">
        <f aca="false">Scoring!DC393</f>
        <v/>
      </c>
      <c r="B386" s="146" t="str">
        <f aca="false">Scoring!DB393</f>
        <v/>
      </c>
      <c r="C386" s="146" t="n">
        <f aca="false">Scoring!C393</f>
        <v>0</v>
      </c>
      <c r="D386" s="147" t="str">
        <f aca="false">Scoring!CY393</f>
        <v/>
      </c>
      <c r="E386" s="146" t="str">
        <f aca="false">Scoring!BH393</f>
        <v/>
      </c>
      <c r="F386" s="146" t="n">
        <f aca="false">Scoring!B393</f>
        <v>0</v>
      </c>
      <c r="G386" s="146" t="n">
        <f aca="false">Scoring!D393</f>
        <v>0</v>
      </c>
      <c r="H386" s="146" t="str">
        <f aca="false">Scoring!DA393</f>
        <v/>
      </c>
      <c r="I386" s="148" t="str">
        <f aca="false">Scoring!CZ393</f>
        <v/>
      </c>
    </row>
    <row r="387" customFormat="false" ht="15.75" hidden="false" customHeight="false" outlineLevel="0" collapsed="false">
      <c r="A387" s="146" t="str">
        <f aca="false">Scoring!DC394</f>
        <v/>
      </c>
      <c r="B387" s="146" t="str">
        <f aca="false">Scoring!DB394</f>
        <v/>
      </c>
      <c r="C387" s="146" t="n">
        <f aca="false">Scoring!C394</f>
        <v>0</v>
      </c>
      <c r="D387" s="147" t="str">
        <f aca="false">Scoring!CY394</f>
        <v/>
      </c>
      <c r="E387" s="146" t="str">
        <f aca="false">Scoring!BH394</f>
        <v/>
      </c>
      <c r="F387" s="146" t="n">
        <f aca="false">Scoring!B394</f>
        <v>0</v>
      </c>
      <c r="G387" s="146" t="n">
        <f aca="false">Scoring!D394</f>
        <v>0</v>
      </c>
      <c r="H387" s="146" t="str">
        <f aca="false">Scoring!DA394</f>
        <v/>
      </c>
      <c r="I387" s="148" t="str">
        <f aca="false">Scoring!CZ394</f>
        <v/>
      </c>
    </row>
    <row r="388" customFormat="false" ht="15.75" hidden="false" customHeight="false" outlineLevel="0" collapsed="false">
      <c r="A388" s="146" t="str">
        <f aca="false">Scoring!DC395</f>
        <v/>
      </c>
      <c r="B388" s="146" t="str">
        <f aca="false">Scoring!DB395</f>
        <v/>
      </c>
      <c r="C388" s="146" t="n">
        <f aca="false">Scoring!C395</f>
        <v>0</v>
      </c>
      <c r="D388" s="147" t="str">
        <f aca="false">Scoring!CY395</f>
        <v/>
      </c>
      <c r="E388" s="146" t="str">
        <f aca="false">Scoring!BH395</f>
        <v/>
      </c>
      <c r="F388" s="146" t="n">
        <f aca="false">Scoring!B395</f>
        <v>0</v>
      </c>
      <c r="G388" s="146" t="n">
        <f aca="false">Scoring!D395</f>
        <v>0</v>
      </c>
      <c r="H388" s="146" t="str">
        <f aca="false">Scoring!DA395</f>
        <v/>
      </c>
      <c r="I388" s="148" t="str">
        <f aca="false">Scoring!CZ395</f>
        <v/>
      </c>
    </row>
    <row r="389" customFormat="false" ht="15.75" hidden="false" customHeight="false" outlineLevel="0" collapsed="false">
      <c r="A389" s="146" t="str">
        <f aca="false">Scoring!DC396</f>
        <v/>
      </c>
      <c r="B389" s="146" t="str">
        <f aca="false">Scoring!DB396</f>
        <v/>
      </c>
      <c r="C389" s="146" t="n">
        <f aca="false">Scoring!C396</f>
        <v>0</v>
      </c>
      <c r="D389" s="147" t="str">
        <f aca="false">Scoring!CY396</f>
        <v/>
      </c>
      <c r="E389" s="146" t="str">
        <f aca="false">Scoring!BH396</f>
        <v/>
      </c>
      <c r="F389" s="146" t="n">
        <f aca="false">Scoring!B396</f>
        <v>0</v>
      </c>
      <c r="G389" s="146" t="n">
        <f aca="false">Scoring!D396</f>
        <v>0</v>
      </c>
      <c r="H389" s="146" t="str">
        <f aca="false">Scoring!DA396</f>
        <v/>
      </c>
      <c r="I389" s="148" t="str">
        <f aca="false">Scoring!CZ396</f>
        <v/>
      </c>
    </row>
    <row r="390" customFormat="false" ht="15.75" hidden="false" customHeight="false" outlineLevel="0" collapsed="false">
      <c r="A390" s="146" t="str">
        <f aca="false">Scoring!DC397</f>
        <v/>
      </c>
      <c r="B390" s="146" t="str">
        <f aca="false">Scoring!DB397</f>
        <v/>
      </c>
      <c r="C390" s="146" t="n">
        <f aca="false">Scoring!C397</f>
        <v>0</v>
      </c>
      <c r="D390" s="147" t="str">
        <f aca="false">Scoring!CY397</f>
        <v/>
      </c>
      <c r="E390" s="146" t="str">
        <f aca="false">Scoring!BH397</f>
        <v/>
      </c>
      <c r="F390" s="146" t="n">
        <f aca="false">Scoring!B397</f>
        <v>0</v>
      </c>
      <c r="G390" s="146" t="n">
        <f aca="false">Scoring!D397</f>
        <v>0</v>
      </c>
      <c r="H390" s="146" t="str">
        <f aca="false">Scoring!DA397</f>
        <v/>
      </c>
      <c r="I390" s="148" t="str">
        <f aca="false">Scoring!CZ397</f>
        <v/>
      </c>
    </row>
    <row r="391" customFormat="false" ht="15.75" hidden="false" customHeight="false" outlineLevel="0" collapsed="false">
      <c r="A391" s="146" t="str">
        <f aca="false">Scoring!DC398</f>
        <v/>
      </c>
      <c r="B391" s="146" t="str">
        <f aca="false">Scoring!DB398</f>
        <v/>
      </c>
      <c r="C391" s="146" t="n">
        <f aca="false">Scoring!C398</f>
        <v>0</v>
      </c>
      <c r="D391" s="147" t="str">
        <f aca="false">Scoring!CY398</f>
        <v/>
      </c>
      <c r="E391" s="146" t="str">
        <f aca="false">Scoring!BH398</f>
        <v/>
      </c>
      <c r="F391" s="146" t="n">
        <f aca="false">Scoring!B398</f>
        <v>0</v>
      </c>
      <c r="G391" s="146" t="n">
        <f aca="false">Scoring!D398</f>
        <v>0</v>
      </c>
      <c r="H391" s="146" t="str">
        <f aca="false">Scoring!DA398</f>
        <v/>
      </c>
      <c r="I391" s="148" t="str">
        <f aca="false">Scoring!CZ398</f>
        <v/>
      </c>
    </row>
    <row r="392" customFormat="false" ht="15.75" hidden="false" customHeight="false" outlineLevel="0" collapsed="false">
      <c r="A392" s="146" t="str">
        <f aca="false">Scoring!DC399</f>
        <v/>
      </c>
      <c r="B392" s="146" t="str">
        <f aca="false">Scoring!DB399</f>
        <v/>
      </c>
      <c r="C392" s="146" t="n">
        <f aca="false">Scoring!C399</f>
        <v>0</v>
      </c>
      <c r="D392" s="147" t="str">
        <f aca="false">Scoring!CY399</f>
        <v/>
      </c>
      <c r="E392" s="146" t="str">
        <f aca="false">Scoring!BH399</f>
        <v/>
      </c>
      <c r="F392" s="146" t="n">
        <f aca="false">Scoring!B399</f>
        <v>0</v>
      </c>
      <c r="G392" s="146" t="n">
        <f aca="false">Scoring!D399</f>
        <v>0</v>
      </c>
      <c r="H392" s="146" t="str">
        <f aca="false">Scoring!DA399</f>
        <v/>
      </c>
      <c r="I392" s="148" t="str">
        <f aca="false">Scoring!CZ399</f>
        <v/>
      </c>
    </row>
    <row r="393" customFormat="false" ht="15.75" hidden="false" customHeight="false" outlineLevel="0" collapsed="false">
      <c r="A393" s="146" t="str">
        <f aca="false">Scoring!DC400</f>
        <v/>
      </c>
      <c r="B393" s="146" t="str">
        <f aca="false">Scoring!DB400</f>
        <v/>
      </c>
      <c r="C393" s="146" t="n">
        <f aca="false">Scoring!C400</f>
        <v>0</v>
      </c>
      <c r="D393" s="147" t="str">
        <f aca="false">Scoring!CY400</f>
        <v/>
      </c>
      <c r="E393" s="146" t="str">
        <f aca="false">Scoring!BH400</f>
        <v/>
      </c>
      <c r="F393" s="146" t="n">
        <f aca="false">Scoring!B400</f>
        <v>0</v>
      </c>
      <c r="G393" s="146" t="n">
        <f aca="false">Scoring!D400</f>
        <v>0</v>
      </c>
      <c r="H393" s="146" t="str">
        <f aca="false">Scoring!DA400</f>
        <v/>
      </c>
      <c r="I393" s="148" t="str">
        <f aca="false">Scoring!CZ400</f>
        <v/>
      </c>
    </row>
    <row r="394" customFormat="false" ht="15.75" hidden="false" customHeight="false" outlineLevel="0" collapsed="false">
      <c r="A394" s="146" t="str">
        <f aca="false">Scoring!DC401</f>
        <v/>
      </c>
      <c r="B394" s="146" t="str">
        <f aca="false">Scoring!DB401</f>
        <v/>
      </c>
      <c r="C394" s="146" t="n">
        <f aca="false">Scoring!C401</f>
        <v>0</v>
      </c>
      <c r="D394" s="147" t="str">
        <f aca="false">Scoring!CY401</f>
        <v/>
      </c>
      <c r="E394" s="146" t="str">
        <f aca="false">Scoring!BH401</f>
        <v/>
      </c>
      <c r="F394" s="146" t="n">
        <f aca="false">Scoring!B401</f>
        <v>0</v>
      </c>
      <c r="G394" s="146" t="n">
        <f aca="false">Scoring!D401</f>
        <v>0</v>
      </c>
      <c r="H394" s="146" t="str">
        <f aca="false">Scoring!DA401</f>
        <v/>
      </c>
      <c r="I394" s="148" t="str">
        <f aca="false">Scoring!CZ401</f>
        <v/>
      </c>
    </row>
    <row r="395" customFormat="false" ht="15.75" hidden="false" customHeight="false" outlineLevel="0" collapsed="false">
      <c r="A395" s="146" t="str">
        <f aca="false">Scoring!DC402</f>
        <v/>
      </c>
      <c r="B395" s="146" t="str">
        <f aca="false">Scoring!DB402</f>
        <v/>
      </c>
      <c r="C395" s="146" t="n">
        <f aca="false">Scoring!C402</f>
        <v>0</v>
      </c>
      <c r="D395" s="147" t="str">
        <f aca="false">Scoring!CY402</f>
        <v/>
      </c>
      <c r="E395" s="146" t="str">
        <f aca="false">Scoring!BH402</f>
        <v/>
      </c>
      <c r="F395" s="146" t="n">
        <f aca="false">Scoring!B402</f>
        <v>0</v>
      </c>
      <c r="G395" s="146" t="n">
        <f aca="false">Scoring!D402</f>
        <v>0</v>
      </c>
      <c r="H395" s="146" t="str">
        <f aca="false">Scoring!DA402</f>
        <v/>
      </c>
      <c r="I395" s="148" t="str">
        <f aca="false">Scoring!CZ402</f>
        <v/>
      </c>
    </row>
    <row r="396" customFormat="false" ht="15.75" hidden="false" customHeight="false" outlineLevel="0" collapsed="false">
      <c r="A396" s="146" t="str">
        <f aca="false">Scoring!DC403</f>
        <v/>
      </c>
      <c r="B396" s="146" t="str">
        <f aca="false">Scoring!DB403</f>
        <v/>
      </c>
      <c r="C396" s="146" t="n">
        <f aca="false">Scoring!C403</f>
        <v>0</v>
      </c>
      <c r="D396" s="147" t="str">
        <f aca="false">Scoring!CY403</f>
        <v/>
      </c>
      <c r="E396" s="146" t="str">
        <f aca="false">Scoring!BH403</f>
        <v/>
      </c>
      <c r="F396" s="146" t="n">
        <f aca="false">Scoring!B403</f>
        <v>0</v>
      </c>
      <c r="G396" s="146" t="n">
        <f aca="false">Scoring!D403</f>
        <v>0</v>
      </c>
      <c r="H396" s="146" t="str">
        <f aca="false">Scoring!DA403</f>
        <v/>
      </c>
      <c r="I396" s="148" t="str">
        <f aca="false">Scoring!CZ403</f>
        <v/>
      </c>
    </row>
    <row r="397" customFormat="false" ht="15.75" hidden="false" customHeight="false" outlineLevel="0" collapsed="false">
      <c r="A397" s="146" t="str">
        <f aca="false">Scoring!DC404</f>
        <v/>
      </c>
      <c r="B397" s="146" t="str">
        <f aca="false">Scoring!DB404</f>
        <v/>
      </c>
      <c r="C397" s="146" t="n">
        <f aca="false">Scoring!C404</f>
        <v>0</v>
      </c>
      <c r="D397" s="147" t="str">
        <f aca="false">Scoring!CY404</f>
        <v/>
      </c>
      <c r="E397" s="146" t="str">
        <f aca="false">Scoring!BH404</f>
        <v/>
      </c>
      <c r="F397" s="146" t="n">
        <f aca="false">Scoring!B404</f>
        <v>0</v>
      </c>
      <c r="G397" s="146" t="n">
        <f aca="false">Scoring!D404</f>
        <v>0</v>
      </c>
      <c r="H397" s="146" t="str">
        <f aca="false">Scoring!DA404</f>
        <v/>
      </c>
      <c r="I397" s="148" t="str">
        <f aca="false">Scoring!CZ404</f>
        <v/>
      </c>
    </row>
    <row r="398" customFormat="false" ht="15.75" hidden="false" customHeight="false" outlineLevel="0" collapsed="false">
      <c r="A398" s="146" t="str">
        <f aca="false">Scoring!DC405</f>
        <v/>
      </c>
      <c r="B398" s="146" t="str">
        <f aca="false">Scoring!DB405</f>
        <v/>
      </c>
      <c r="C398" s="146" t="n">
        <f aca="false">Scoring!C405</f>
        <v>0</v>
      </c>
      <c r="D398" s="147" t="str">
        <f aca="false">Scoring!CY405</f>
        <v/>
      </c>
      <c r="E398" s="146" t="str">
        <f aca="false">Scoring!BH405</f>
        <v/>
      </c>
      <c r="F398" s="146" t="n">
        <f aca="false">Scoring!B405</f>
        <v>0</v>
      </c>
      <c r="G398" s="146" t="n">
        <f aca="false">Scoring!D405</f>
        <v>0</v>
      </c>
      <c r="H398" s="146" t="str">
        <f aca="false">Scoring!DA405</f>
        <v/>
      </c>
      <c r="I398" s="148" t="str">
        <f aca="false">Scoring!CZ405</f>
        <v/>
      </c>
    </row>
    <row r="399" customFormat="false" ht="15.75" hidden="false" customHeight="false" outlineLevel="0" collapsed="false">
      <c r="A399" s="146" t="str">
        <f aca="false">Scoring!DC406</f>
        <v/>
      </c>
      <c r="B399" s="146" t="str">
        <f aca="false">Scoring!DB406</f>
        <v/>
      </c>
      <c r="C399" s="146" t="n">
        <f aca="false">Scoring!C406</f>
        <v>0</v>
      </c>
      <c r="D399" s="147" t="str">
        <f aca="false">Scoring!CY406</f>
        <v/>
      </c>
      <c r="E399" s="146" t="str">
        <f aca="false">Scoring!BH406</f>
        <v/>
      </c>
      <c r="F399" s="146" t="n">
        <f aca="false">Scoring!B406</f>
        <v>0</v>
      </c>
      <c r="G399" s="146" t="n">
        <f aca="false">Scoring!D406</f>
        <v>0</v>
      </c>
      <c r="H399" s="146" t="str">
        <f aca="false">Scoring!DA406</f>
        <v/>
      </c>
      <c r="I399" s="148" t="str">
        <f aca="false">Scoring!CZ406</f>
        <v/>
      </c>
    </row>
    <row r="400" customFormat="false" ht="15.75" hidden="false" customHeight="false" outlineLevel="0" collapsed="false">
      <c r="A400" s="146" t="str">
        <f aca="false">Scoring!DC407</f>
        <v/>
      </c>
      <c r="B400" s="146" t="str">
        <f aca="false">Scoring!DB407</f>
        <v/>
      </c>
      <c r="C400" s="146" t="n">
        <f aca="false">Scoring!C407</f>
        <v>0</v>
      </c>
      <c r="D400" s="147" t="str">
        <f aca="false">Scoring!CY407</f>
        <v/>
      </c>
      <c r="E400" s="146" t="str">
        <f aca="false">Scoring!BH407</f>
        <v/>
      </c>
      <c r="F400" s="146" t="n">
        <f aca="false">Scoring!B407</f>
        <v>0</v>
      </c>
      <c r="G400" s="146" t="n">
        <f aca="false">Scoring!D407</f>
        <v>0</v>
      </c>
      <c r="H400" s="146" t="str">
        <f aca="false">Scoring!DA407</f>
        <v/>
      </c>
      <c r="I400" s="148" t="str">
        <f aca="false">Scoring!CZ407</f>
        <v/>
      </c>
    </row>
    <row r="401" customFormat="false" ht="15.75" hidden="false" customHeight="false" outlineLevel="0" collapsed="false">
      <c r="A401" s="146" t="str">
        <f aca="false">Scoring!DC408</f>
        <v/>
      </c>
      <c r="B401" s="146" t="str">
        <f aca="false">Scoring!DB408</f>
        <v/>
      </c>
      <c r="C401" s="146" t="n">
        <f aca="false">Scoring!C408</f>
        <v>0</v>
      </c>
      <c r="D401" s="147" t="str">
        <f aca="false">Scoring!CY408</f>
        <v/>
      </c>
      <c r="E401" s="146" t="str">
        <f aca="false">Scoring!BH408</f>
        <v/>
      </c>
      <c r="F401" s="146" t="n">
        <f aca="false">Scoring!B408</f>
        <v>0</v>
      </c>
      <c r="G401" s="146" t="n">
        <f aca="false">Scoring!D408</f>
        <v>0</v>
      </c>
      <c r="H401" s="146" t="str">
        <f aca="false">Scoring!DA408</f>
        <v/>
      </c>
      <c r="I401" s="148" t="str">
        <f aca="false">Scoring!CZ408</f>
        <v/>
      </c>
    </row>
    <row r="402" customFormat="false" ht="15.75" hidden="false" customHeight="false" outlineLevel="0" collapsed="false">
      <c r="A402" s="146" t="str">
        <f aca="false">Scoring!DC409</f>
        <v/>
      </c>
      <c r="B402" s="146" t="str">
        <f aca="false">Scoring!DB409</f>
        <v/>
      </c>
      <c r="C402" s="146" t="n">
        <f aca="false">Scoring!C409</f>
        <v>0</v>
      </c>
      <c r="D402" s="147" t="str">
        <f aca="false">Scoring!CY409</f>
        <v/>
      </c>
      <c r="E402" s="146" t="str">
        <f aca="false">Scoring!BH409</f>
        <v/>
      </c>
      <c r="F402" s="146" t="n">
        <f aca="false">Scoring!B409</f>
        <v>0</v>
      </c>
      <c r="G402" s="146" t="n">
        <f aca="false">Scoring!D409</f>
        <v>0</v>
      </c>
      <c r="H402" s="146" t="str">
        <f aca="false">Scoring!DA409</f>
        <v/>
      </c>
      <c r="I402" s="148" t="str">
        <f aca="false">Scoring!CZ409</f>
        <v/>
      </c>
    </row>
    <row r="403" customFormat="false" ht="15.75" hidden="false" customHeight="false" outlineLevel="0" collapsed="false">
      <c r="A403" s="146" t="str">
        <f aca="false">Scoring!DC410</f>
        <v/>
      </c>
      <c r="B403" s="146" t="str">
        <f aca="false">Scoring!DB410</f>
        <v/>
      </c>
      <c r="C403" s="146" t="n">
        <f aca="false">Scoring!C410</f>
        <v>0</v>
      </c>
      <c r="D403" s="147" t="str">
        <f aca="false">Scoring!CY410</f>
        <v/>
      </c>
      <c r="E403" s="146" t="str">
        <f aca="false">Scoring!BH410</f>
        <v/>
      </c>
      <c r="F403" s="146" t="n">
        <f aca="false">Scoring!B410</f>
        <v>0</v>
      </c>
      <c r="G403" s="146" t="n">
        <f aca="false">Scoring!D410</f>
        <v>0</v>
      </c>
      <c r="H403" s="146" t="str">
        <f aca="false">Scoring!DA410</f>
        <v/>
      </c>
      <c r="I403" s="148" t="str">
        <f aca="false">Scoring!CZ410</f>
        <v/>
      </c>
    </row>
    <row r="404" customFormat="false" ht="15.75" hidden="false" customHeight="false" outlineLevel="0" collapsed="false">
      <c r="A404" s="146" t="str">
        <f aca="false">Scoring!DC411</f>
        <v/>
      </c>
      <c r="B404" s="146" t="str">
        <f aca="false">Scoring!DB411</f>
        <v/>
      </c>
      <c r="C404" s="146" t="n">
        <f aca="false">Scoring!C411</f>
        <v>0</v>
      </c>
      <c r="D404" s="147" t="str">
        <f aca="false">Scoring!CY411</f>
        <v/>
      </c>
      <c r="E404" s="146" t="str">
        <f aca="false">Scoring!BH411</f>
        <v/>
      </c>
      <c r="F404" s="146" t="n">
        <f aca="false">Scoring!B411</f>
        <v>0</v>
      </c>
      <c r="G404" s="146" t="n">
        <f aca="false">Scoring!D411</f>
        <v>0</v>
      </c>
      <c r="H404" s="146" t="str">
        <f aca="false">Scoring!DA411</f>
        <v/>
      </c>
      <c r="I404" s="148" t="str">
        <f aca="false">Scoring!CZ411</f>
        <v/>
      </c>
    </row>
    <row r="405" customFormat="false" ht="15.75" hidden="false" customHeight="false" outlineLevel="0" collapsed="false">
      <c r="A405" s="146" t="str">
        <f aca="false">Scoring!DC412</f>
        <v/>
      </c>
      <c r="B405" s="146" t="str">
        <f aca="false">Scoring!DB412</f>
        <v/>
      </c>
      <c r="C405" s="146" t="n">
        <f aca="false">Scoring!C412</f>
        <v>0</v>
      </c>
      <c r="D405" s="147" t="str">
        <f aca="false">Scoring!CY412</f>
        <v/>
      </c>
      <c r="E405" s="146" t="str">
        <f aca="false">Scoring!BH412</f>
        <v/>
      </c>
      <c r="F405" s="146" t="n">
        <f aca="false">Scoring!B412</f>
        <v>0</v>
      </c>
      <c r="G405" s="146" t="n">
        <f aca="false">Scoring!D412</f>
        <v>0</v>
      </c>
      <c r="H405" s="146" t="str">
        <f aca="false">Scoring!DA412</f>
        <v/>
      </c>
      <c r="I405" s="148" t="str">
        <f aca="false">Scoring!CZ412</f>
        <v/>
      </c>
    </row>
    <row r="406" customFormat="false" ht="15.75" hidden="false" customHeight="false" outlineLevel="0" collapsed="false">
      <c r="A406" s="146" t="str">
        <f aca="false">Scoring!DC413</f>
        <v/>
      </c>
      <c r="B406" s="146" t="str">
        <f aca="false">Scoring!DB413</f>
        <v/>
      </c>
      <c r="C406" s="146" t="n">
        <f aca="false">Scoring!C413</f>
        <v>0</v>
      </c>
      <c r="D406" s="147" t="str">
        <f aca="false">Scoring!CY413</f>
        <v/>
      </c>
      <c r="E406" s="146" t="str">
        <f aca="false">Scoring!BH413</f>
        <v/>
      </c>
      <c r="F406" s="146" t="n">
        <f aca="false">Scoring!B413</f>
        <v>0</v>
      </c>
      <c r="G406" s="146" t="n">
        <f aca="false">Scoring!D413</f>
        <v>0</v>
      </c>
      <c r="H406" s="146" t="str">
        <f aca="false">Scoring!DA413</f>
        <v/>
      </c>
      <c r="I406" s="148" t="str">
        <f aca="false">Scoring!CZ413</f>
        <v/>
      </c>
    </row>
    <row r="407" customFormat="false" ht="15.75" hidden="false" customHeight="false" outlineLevel="0" collapsed="false">
      <c r="A407" s="146" t="str">
        <f aca="false">Scoring!DC414</f>
        <v/>
      </c>
      <c r="B407" s="146" t="str">
        <f aca="false">Scoring!DB414</f>
        <v/>
      </c>
      <c r="C407" s="146" t="n">
        <f aca="false">Scoring!C414</f>
        <v>0</v>
      </c>
      <c r="D407" s="147" t="str">
        <f aca="false">Scoring!CY414</f>
        <v/>
      </c>
      <c r="E407" s="146" t="str">
        <f aca="false">Scoring!BH414</f>
        <v/>
      </c>
      <c r="F407" s="146" t="n">
        <f aca="false">Scoring!B414</f>
        <v>0</v>
      </c>
      <c r="G407" s="146" t="n">
        <f aca="false">Scoring!D414</f>
        <v>0</v>
      </c>
      <c r="H407" s="146" t="str">
        <f aca="false">Scoring!DA414</f>
        <v/>
      </c>
      <c r="I407" s="148" t="str">
        <f aca="false">Scoring!CZ414</f>
        <v/>
      </c>
    </row>
    <row r="408" customFormat="false" ht="15.75" hidden="false" customHeight="false" outlineLevel="0" collapsed="false">
      <c r="A408" s="146" t="str">
        <f aca="false">Scoring!DC415</f>
        <v/>
      </c>
      <c r="B408" s="146" t="str">
        <f aca="false">Scoring!DB415</f>
        <v/>
      </c>
      <c r="C408" s="146" t="n">
        <f aca="false">Scoring!C415</f>
        <v>0</v>
      </c>
      <c r="D408" s="147" t="str">
        <f aca="false">Scoring!CY415</f>
        <v/>
      </c>
      <c r="E408" s="146" t="str">
        <f aca="false">Scoring!BH415</f>
        <v/>
      </c>
      <c r="F408" s="146" t="n">
        <f aca="false">Scoring!B415</f>
        <v>0</v>
      </c>
      <c r="G408" s="146" t="n">
        <f aca="false">Scoring!D415</f>
        <v>0</v>
      </c>
      <c r="H408" s="146" t="str">
        <f aca="false">Scoring!DA415</f>
        <v/>
      </c>
      <c r="I408" s="148" t="str">
        <f aca="false">Scoring!CZ415</f>
        <v/>
      </c>
    </row>
    <row r="409" customFormat="false" ht="15.75" hidden="false" customHeight="false" outlineLevel="0" collapsed="false">
      <c r="A409" s="146" t="str">
        <f aca="false">Scoring!DC416</f>
        <v/>
      </c>
      <c r="B409" s="146" t="str">
        <f aca="false">Scoring!DB416</f>
        <v/>
      </c>
      <c r="C409" s="146" t="n">
        <f aca="false">Scoring!C416</f>
        <v>0</v>
      </c>
      <c r="D409" s="147" t="str">
        <f aca="false">Scoring!CY416</f>
        <v/>
      </c>
      <c r="E409" s="146" t="str">
        <f aca="false">Scoring!BH416</f>
        <v/>
      </c>
      <c r="F409" s="146" t="n">
        <f aca="false">Scoring!B416</f>
        <v>0</v>
      </c>
      <c r="G409" s="146" t="n">
        <f aca="false">Scoring!D416</f>
        <v>0</v>
      </c>
      <c r="H409" s="146" t="str">
        <f aca="false">Scoring!DA416</f>
        <v/>
      </c>
      <c r="I409" s="148" t="str">
        <f aca="false">Scoring!CZ416</f>
        <v/>
      </c>
    </row>
    <row r="410" customFormat="false" ht="15.75" hidden="false" customHeight="false" outlineLevel="0" collapsed="false">
      <c r="A410" s="146" t="str">
        <f aca="false">Scoring!DC417</f>
        <v/>
      </c>
      <c r="B410" s="146" t="str">
        <f aca="false">Scoring!DB417</f>
        <v/>
      </c>
      <c r="C410" s="146" t="n">
        <f aca="false">Scoring!C417</f>
        <v>0</v>
      </c>
      <c r="D410" s="147" t="str">
        <f aca="false">Scoring!CY417</f>
        <v/>
      </c>
      <c r="E410" s="146" t="str">
        <f aca="false">Scoring!BH417</f>
        <v/>
      </c>
      <c r="F410" s="146" t="n">
        <f aca="false">Scoring!B417</f>
        <v>0</v>
      </c>
      <c r="G410" s="146" t="n">
        <f aca="false">Scoring!D417</f>
        <v>0</v>
      </c>
      <c r="H410" s="146" t="str">
        <f aca="false">Scoring!DA417</f>
        <v/>
      </c>
      <c r="I410" s="148" t="str">
        <f aca="false">Scoring!CZ417</f>
        <v/>
      </c>
    </row>
    <row r="411" customFormat="false" ht="15.75" hidden="false" customHeight="false" outlineLevel="0" collapsed="false">
      <c r="A411" s="146" t="str">
        <f aca="false">Scoring!DC418</f>
        <v/>
      </c>
      <c r="B411" s="146" t="str">
        <f aca="false">Scoring!DB418</f>
        <v/>
      </c>
      <c r="C411" s="146" t="n">
        <f aca="false">Scoring!C418</f>
        <v>0</v>
      </c>
      <c r="D411" s="147" t="str">
        <f aca="false">Scoring!CY418</f>
        <v/>
      </c>
      <c r="E411" s="146" t="str">
        <f aca="false">Scoring!BH418</f>
        <v/>
      </c>
      <c r="F411" s="146" t="n">
        <f aca="false">Scoring!B418</f>
        <v>0</v>
      </c>
      <c r="G411" s="146" t="n">
        <f aca="false">Scoring!D418</f>
        <v>0</v>
      </c>
      <c r="H411" s="146" t="str">
        <f aca="false">Scoring!DA418</f>
        <v/>
      </c>
      <c r="I411" s="148" t="str">
        <f aca="false">Scoring!CZ418</f>
        <v/>
      </c>
    </row>
    <row r="412" customFormat="false" ht="15.75" hidden="false" customHeight="false" outlineLevel="0" collapsed="false">
      <c r="A412" s="146" t="str">
        <f aca="false">Scoring!DC419</f>
        <v/>
      </c>
      <c r="B412" s="146" t="str">
        <f aca="false">Scoring!DB419</f>
        <v/>
      </c>
      <c r="C412" s="146" t="n">
        <f aca="false">Scoring!C419</f>
        <v>0</v>
      </c>
      <c r="D412" s="147" t="str">
        <f aca="false">Scoring!CY419</f>
        <v/>
      </c>
      <c r="E412" s="146" t="str">
        <f aca="false">Scoring!BH419</f>
        <v/>
      </c>
      <c r="F412" s="146" t="n">
        <f aca="false">Scoring!B419</f>
        <v>0</v>
      </c>
      <c r="G412" s="146" t="n">
        <f aca="false">Scoring!D419</f>
        <v>0</v>
      </c>
      <c r="H412" s="146" t="str">
        <f aca="false">Scoring!DA419</f>
        <v/>
      </c>
      <c r="I412" s="148" t="str">
        <f aca="false">Scoring!CZ419</f>
        <v/>
      </c>
    </row>
    <row r="413" customFormat="false" ht="15.75" hidden="false" customHeight="false" outlineLevel="0" collapsed="false">
      <c r="A413" s="146" t="str">
        <f aca="false">Scoring!DC420</f>
        <v/>
      </c>
      <c r="B413" s="146" t="str">
        <f aca="false">Scoring!DB420</f>
        <v/>
      </c>
      <c r="C413" s="146" t="n">
        <f aca="false">Scoring!C420</f>
        <v>0</v>
      </c>
      <c r="D413" s="147" t="str">
        <f aca="false">Scoring!CY420</f>
        <v/>
      </c>
      <c r="E413" s="146" t="str">
        <f aca="false">Scoring!BH420</f>
        <v/>
      </c>
      <c r="F413" s="146" t="n">
        <f aca="false">Scoring!B420</f>
        <v>0</v>
      </c>
      <c r="G413" s="146" t="n">
        <f aca="false">Scoring!D420</f>
        <v>0</v>
      </c>
      <c r="H413" s="146" t="str">
        <f aca="false">Scoring!DA420</f>
        <v/>
      </c>
      <c r="I413" s="148" t="str">
        <f aca="false">Scoring!CZ420</f>
        <v/>
      </c>
    </row>
    <row r="414" customFormat="false" ht="15.75" hidden="false" customHeight="false" outlineLevel="0" collapsed="false">
      <c r="A414" s="146" t="str">
        <f aca="false">Scoring!DC421</f>
        <v/>
      </c>
      <c r="B414" s="146" t="str">
        <f aca="false">Scoring!DB421</f>
        <v/>
      </c>
      <c r="C414" s="146" t="n">
        <f aca="false">Scoring!C421</f>
        <v>0</v>
      </c>
      <c r="D414" s="147" t="str">
        <f aca="false">Scoring!CY421</f>
        <v/>
      </c>
      <c r="E414" s="146" t="str">
        <f aca="false">Scoring!BH421</f>
        <v/>
      </c>
      <c r="F414" s="146" t="n">
        <f aca="false">Scoring!B421</f>
        <v>0</v>
      </c>
      <c r="G414" s="146" t="n">
        <f aca="false">Scoring!D421</f>
        <v>0</v>
      </c>
      <c r="H414" s="146" t="str">
        <f aca="false">Scoring!DA421</f>
        <v/>
      </c>
      <c r="I414" s="148" t="str">
        <f aca="false">Scoring!CZ421</f>
        <v/>
      </c>
    </row>
    <row r="415" customFormat="false" ht="15.75" hidden="false" customHeight="false" outlineLevel="0" collapsed="false">
      <c r="A415" s="146" t="str">
        <f aca="false">Scoring!DC422</f>
        <v/>
      </c>
      <c r="B415" s="146" t="str">
        <f aca="false">Scoring!DB422</f>
        <v/>
      </c>
      <c r="C415" s="146" t="n">
        <f aca="false">Scoring!C422</f>
        <v>0</v>
      </c>
      <c r="D415" s="147" t="str">
        <f aca="false">Scoring!CY422</f>
        <v/>
      </c>
      <c r="E415" s="146" t="str">
        <f aca="false">Scoring!BH422</f>
        <v/>
      </c>
      <c r="F415" s="146" t="n">
        <f aca="false">Scoring!B422</f>
        <v>0</v>
      </c>
      <c r="G415" s="146" t="n">
        <f aca="false">Scoring!D422</f>
        <v>0</v>
      </c>
      <c r="H415" s="146" t="str">
        <f aca="false">Scoring!DA422</f>
        <v/>
      </c>
      <c r="I415" s="148" t="str">
        <f aca="false">Scoring!CZ422</f>
        <v/>
      </c>
    </row>
    <row r="416" customFormat="false" ht="15.75" hidden="false" customHeight="false" outlineLevel="0" collapsed="false">
      <c r="A416" s="146" t="str">
        <f aca="false">Scoring!DC423</f>
        <v/>
      </c>
      <c r="B416" s="146" t="str">
        <f aca="false">Scoring!DB423</f>
        <v/>
      </c>
      <c r="C416" s="146" t="n">
        <f aca="false">Scoring!C423</f>
        <v>0</v>
      </c>
      <c r="D416" s="147" t="str">
        <f aca="false">Scoring!CY423</f>
        <v/>
      </c>
      <c r="E416" s="146" t="str">
        <f aca="false">Scoring!BH423</f>
        <v/>
      </c>
      <c r="F416" s="146" t="n">
        <f aca="false">Scoring!B423</f>
        <v>0</v>
      </c>
      <c r="G416" s="146" t="n">
        <f aca="false">Scoring!D423</f>
        <v>0</v>
      </c>
      <c r="H416" s="146" t="str">
        <f aca="false">Scoring!DA423</f>
        <v/>
      </c>
      <c r="I416" s="148" t="str">
        <f aca="false">Scoring!CZ423</f>
        <v/>
      </c>
    </row>
    <row r="417" customFormat="false" ht="15.75" hidden="false" customHeight="false" outlineLevel="0" collapsed="false">
      <c r="A417" s="146" t="str">
        <f aca="false">Scoring!DC424</f>
        <v/>
      </c>
      <c r="B417" s="146" t="str">
        <f aca="false">Scoring!DB424</f>
        <v/>
      </c>
      <c r="C417" s="146" t="n">
        <f aca="false">Scoring!C424</f>
        <v>0</v>
      </c>
      <c r="D417" s="147" t="str">
        <f aca="false">Scoring!CY424</f>
        <v/>
      </c>
      <c r="E417" s="146" t="str">
        <f aca="false">Scoring!BH424</f>
        <v/>
      </c>
      <c r="F417" s="146" t="n">
        <f aca="false">Scoring!B424</f>
        <v>0</v>
      </c>
      <c r="G417" s="146" t="n">
        <f aca="false">Scoring!D424</f>
        <v>0</v>
      </c>
      <c r="H417" s="146" t="str">
        <f aca="false">Scoring!DA424</f>
        <v/>
      </c>
      <c r="I417" s="148" t="str">
        <f aca="false">Scoring!CZ424</f>
        <v/>
      </c>
    </row>
    <row r="418" customFormat="false" ht="15.75" hidden="false" customHeight="false" outlineLevel="0" collapsed="false">
      <c r="A418" s="146" t="str">
        <f aca="false">Scoring!DC425</f>
        <v/>
      </c>
      <c r="B418" s="146" t="str">
        <f aca="false">Scoring!DB425</f>
        <v/>
      </c>
      <c r="C418" s="146" t="n">
        <f aca="false">Scoring!C425</f>
        <v>0</v>
      </c>
      <c r="D418" s="147" t="str">
        <f aca="false">Scoring!CY425</f>
        <v/>
      </c>
      <c r="E418" s="146" t="str">
        <f aca="false">Scoring!BH425</f>
        <v/>
      </c>
      <c r="F418" s="146" t="n">
        <f aca="false">Scoring!B425</f>
        <v>0</v>
      </c>
      <c r="G418" s="146" t="n">
        <f aca="false">Scoring!D425</f>
        <v>0</v>
      </c>
      <c r="H418" s="146" t="str">
        <f aca="false">Scoring!DA425</f>
        <v/>
      </c>
      <c r="I418" s="148" t="str">
        <f aca="false">Scoring!CZ425</f>
        <v/>
      </c>
    </row>
    <row r="419" customFormat="false" ht="15.75" hidden="false" customHeight="false" outlineLevel="0" collapsed="false">
      <c r="A419" s="146" t="str">
        <f aca="false">Scoring!DC426</f>
        <v/>
      </c>
      <c r="B419" s="146" t="str">
        <f aca="false">Scoring!DB426</f>
        <v/>
      </c>
      <c r="C419" s="146" t="n">
        <f aca="false">Scoring!C426</f>
        <v>0</v>
      </c>
      <c r="D419" s="147" t="str">
        <f aca="false">Scoring!CY426</f>
        <v/>
      </c>
      <c r="E419" s="146" t="str">
        <f aca="false">Scoring!BH426</f>
        <v/>
      </c>
      <c r="F419" s="146" t="n">
        <f aca="false">Scoring!B426</f>
        <v>0</v>
      </c>
      <c r="G419" s="146" t="n">
        <f aca="false">Scoring!D426</f>
        <v>0</v>
      </c>
      <c r="H419" s="146" t="str">
        <f aca="false">Scoring!DA426</f>
        <v/>
      </c>
      <c r="I419" s="148" t="str">
        <f aca="false">Scoring!CZ426</f>
        <v/>
      </c>
    </row>
    <row r="420" customFormat="false" ht="15.75" hidden="false" customHeight="false" outlineLevel="0" collapsed="false">
      <c r="A420" s="146" t="str">
        <f aca="false">Scoring!DC427</f>
        <v/>
      </c>
      <c r="B420" s="146" t="str">
        <f aca="false">Scoring!DB427</f>
        <v/>
      </c>
      <c r="C420" s="146" t="n">
        <f aca="false">Scoring!C427</f>
        <v>0</v>
      </c>
      <c r="D420" s="147" t="str">
        <f aca="false">Scoring!CY427</f>
        <v/>
      </c>
      <c r="E420" s="146" t="str">
        <f aca="false">Scoring!BH427</f>
        <v/>
      </c>
      <c r="F420" s="146" t="n">
        <f aca="false">Scoring!B427</f>
        <v>0</v>
      </c>
      <c r="G420" s="146" t="n">
        <f aca="false">Scoring!D427</f>
        <v>0</v>
      </c>
      <c r="H420" s="146" t="str">
        <f aca="false">Scoring!DA427</f>
        <v/>
      </c>
      <c r="I420" s="148" t="str">
        <f aca="false">Scoring!CZ427</f>
        <v/>
      </c>
    </row>
    <row r="421" customFormat="false" ht="15.75" hidden="false" customHeight="false" outlineLevel="0" collapsed="false">
      <c r="A421" s="146" t="str">
        <f aca="false">Scoring!DC428</f>
        <v/>
      </c>
      <c r="B421" s="146" t="str">
        <f aca="false">Scoring!DB428</f>
        <v/>
      </c>
      <c r="C421" s="146" t="n">
        <f aca="false">Scoring!C428</f>
        <v>0</v>
      </c>
      <c r="D421" s="147" t="str">
        <f aca="false">Scoring!CY428</f>
        <v/>
      </c>
      <c r="E421" s="146" t="str">
        <f aca="false">Scoring!BH428</f>
        <v/>
      </c>
      <c r="F421" s="146" t="n">
        <f aca="false">Scoring!B428</f>
        <v>0</v>
      </c>
      <c r="G421" s="146" t="n">
        <f aca="false">Scoring!D428</f>
        <v>0</v>
      </c>
      <c r="H421" s="146" t="str">
        <f aca="false">Scoring!DA428</f>
        <v/>
      </c>
      <c r="I421" s="148" t="str">
        <f aca="false">Scoring!CZ428</f>
        <v/>
      </c>
    </row>
    <row r="422" customFormat="false" ht="15.75" hidden="false" customHeight="false" outlineLevel="0" collapsed="false">
      <c r="A422" s="146" t="str">
        <f aca="false">Scoring!DC429</f>
        <v/>
      </c>
      <c r="B422" s="146" t="str">
        <f aca="false">Scoring!DB429</f>
        <v/>
      </c>
      <c r="C422" s="146" t="n">
        <f aca="false">Scoring!C429</f>
        <v>0</v>
      </c>
      <c r="D422" s="147" t="str">
        <f aca="false">Scoring!CY429</f>
        <v/>
      </c>
      <c r="E422" s="146" t="str">
        <f aca="false">Scoring!BH429</f>
        <v/>
      </c>
      <c r="F422" s="146" t="n">
        <f aca="false">Scoring!B429</f>
        <v>0</v>
      </c>
      <c r="G422" s="146" t="n">
        <f aca="false">Scoring!D429</f>
        <v>0</v>
      </c>
      <c r="H422" s="146" t="str">
        <f aca="false">Scoring!DA429</f>
        <v/>
      </c>
      <c r="I422" s="148" t="str">
        <f aca="false">Scoring!CZ429</f>
        <v/>
      </c>
    </row>
    <row r="423" customFormat="false" ht="15.75" hidden="false" customHeight="false" outlineLevel="0" collapsed="false">
      <c r="A423" s="146" t="str">
        <f aca="false">Scoring!DC430</f>
        <v/>
      </c>
      <c r="B423" s="146" t="str">
        <f aca="false">Scoring!DB430</f>
        <v/>
      </c>
      <c r="C423" s="146" t="n">
        <f aca="false">Scoring!C430</f>
        <v>0</v>
      </c>
      <c r="D423" s="147" t="str">
        <f aca="false">Scoring!CY430</f>
        <v/>
      </c>
      <c r="E423" s="146" t="str">
        <f aca="false">Scoring!BH430</f>
        <v/>
      </c>
      <c r="F423" s="146" t="n">
        <f aca="false">Scoring!B430</f>
        <v>0</v>
      </c>
      <c r="G423" s="146" t="n">
        <f aca="false">Scoring!D430</f>
        <v>0</v>
      </c>
      <c r="H423" s="146" t="str">
        <f aca="false">Scoring!DA430</f>
        <v/>
      </c>
      <c r="I423" s="148" t="str">
        <f aca="false">Scoring!CZ430</f>
        <v/>
      </c>
    </row>
    <row r="424" customFormat="false" ht="15.75" hidden="false" customHeight="false" outlineLevel="0" collapsed="false">
      <c r="A424" s="146" t="str">
        <f aca="false">Scoring!DC431</f>
        <v/>
      </c>
      <c r="B424" s="146" t="str">
        <f aca="false">Scoring!DB431</f>
        <v/>
      </c>
      <c r="C424" s="146" t="n">
        <f aca="false">Scoring!C431</f>
        <v>0</v>
      </c>
      <c r="D424" s="147" t="str">
        <f aca="false">Scoring!CY431</f>
        <v/>
      </c>
      <c r="E424" s="146" t="str">
        <f aca="false">Scoring!BH431</f>
        <v/>
      </c>
      <c r="F424" s="146" t="n">
        <f aca="false">Scoring!B431</f>
        <v>0</v>
      </c>
      <c r="G424" s="146" t="n">
        <f aca="false">Scoring!D431</f>
        <v>0</v>
      </c>
      <c r="H424" s="146" t="str">
        <f aca="false">Scoring!DA431</f>
        <v/>
      </c>
      <c r="I424" s="148" t="str">
        <f aca="false">Scoring!CZ431</f>
        <v/>
      </c>
    </row>
    <row r="425" customFormat="false" ht="15.75" hidden="false" customHeight="false" outlineLevel="0" collapsed="false">
      <c r="A425" s="146" t="str">
        <f aca="false">Scoring!DC432</f>
        <v/>
      </c>
      <c r="B425" s="146" t="str">
        <f aca="false">Scoring!DB432</f>
        <v/>
      </c>
      <c r="C425" s="146" t="n">
        <f aca="false">Scoring!C432</f>
        <v>0</v>
      </c>
      <c r="D425" s="147" t="str">
        <f aca="false">Scoring!CY432</f>
        <v/>
      </c>
      <c r="E425" s="146" t="str">
        <f aca="false">Scoring!BH432</f>
        <v/>
      </c>
      <c r="F425" s="146" t="n">
        <f aca="false">Scoring!B432</f>
        <v>0</v>
      </c>
      <c r="G425" s="146" t="n">
        <f aca="false">Scoring!D432</f>
        <v>0</v>
      </c>
      <c r="H425" s="146" t="str">
        <f aca="false">Scoring!DA432</f>
        <v/>
      </c>
      <c r="I425" s="148" t="str">
        <f aca="false">Scoring!CZ432</f>
        <v/>
      </c>
    </row>
    <row r="426" customFormat="false" ht="15.75" hidden="false" customHeight="false" outlineLevel="0" collapsed="false">
      <c r="A426" s="146" t="str">
        <f aca="false">Scoring!DC433</f>
        <v/>
      </c>
      <c r="B426" s="146" t="str">
        <f aca="false">Scoring!DB433</f>
        <v/>
      </c>
      <c r="C426" s="146" t="n">
        <f aca="false">Scoring!C433</f>
        <v>0</v>
      </c>
      <c r="D426" s="147" t="str">
        <f aca="false">Scoring!CY433</f>
        <v/>
      </c>
      <c r="E426" s="146" t="str">
        <f aca="false">Scoring!BH433</f>
        <v/>
      </c>
      <c r="F426" s="146" t="n">
        <f aca="false">Scoring!B433</f>
        <v>0</v>
      </c>
      <c r="G426" s="146" t="n">
        <f aca="false">Scoring!D433</f>
        <v>0</v>
      </c>
      <c r="H426" s="146" t="str">
        <f aca="false">Scoring!DA433</f>
        <v/>
      </c>
      <c r="I426" s="148" t="str">
        <f aca="false">Scoring!CZ433</f>
        <v/>
      </c>
    </row>
    <row r="427" customFormat="false" ht="15.75" hidden="false" customHeight="false" outlineLevel="0" collapsed="false">
      <c r="A427" s="146" t="str">
        <f aca="false">Scoring!DC434</f>
        <v/>
      </c>
      <c r="B427" s="146" t="str">
        <f aca="false">Scoring!DB434</f>
        <v/>
      </c>
      <c r="C427" s="146" t="n">
        <f aca="false">Scoring!C434</f>
        <v>0</v>
      </c>
      <c r="D427" s="147" t="str">
        <f aca="false">Scoring!CY434</f>
        <v/>
      </c>
      <c r="E427" s="146" t="str">
        <f aca="false">Scoring!BH434</f>
        <v/>
      </c>
      <c r="F427" s="146" t="n">
        <f aca="false">Scoring!B434</f>
        <v>0</v>
      </c>
      <c r="G427" s="146" t="n">
        <f aca="false">Scoring!D434</f>
        <v>0</v>
      </c>
      <c r="H427" s="146" t="str">
        <f aca="false">Scoring!DA434</f>
        <v/>
      </c>
      <c r="I427" s="148" t="str">
        <f aca="false">Scoring!CZ434</f>
        <v/>
      </c>
    </row>
    <row r="428" customFormat="false" ht="15.75" hidden="false" customHeight="false" outlineLevel="0" collapsed="false">
      <c r="A428" s="146" t="str">
        <f aca="false">Scoring!DC435</f>
        <v/>
      </c>
      <c r="B428" s="146" t="str">
        <f aca="false">Scoring!DB435</f>
        <v/>
      </c>
      <c r="C428" s="146" t="n">
        <f aca="false">Scoring!C435</f>
        <v>0</v>
      </c>
      <c r="D428" s="147" t="str">
        <f aca="false">Scoring!CY435</f>
        <v/>
      </c>
      <c r="E428" s="146" t="str">
        <f aca="false">Scoring!BH435</f>
        <v/>
      </c>
      <c r="F428" s="146" t="n">
        <f aca="false">Scoring!B435</f>
        <v>0</v>
      </c>
      <c r="G428" s="146" t="n">
        <f aca="false">Scoring!D435</f>
        <v>0</v>
      </c>
      <c r="H428" s="146" t="str">
        <f aca="false">Scoring!DA435</f>
        <v/>
      </c>
      <c r="I428" s="148" t="str">
        <f aca="false">Scoring!CZ435</f>
        <v/>
      </c>
    </row>
    <row r="429" customFormat="false" ht="15.75" hidden="false" customHeight="false" outlineLevel="0" collapsed="false">
      <c r="A429" s="146" t="str">
        <f aca="false">Scoring!DC436</f>
        <v/>
      </c>
      <c r="B429" s="146" t="str">
        <f aca="false">Scoring!DB436</f>
        <v/>
      </c>
      <c r="C429" s="146" t="n">
        <f aca="false">Scoring!C436</f>
        <v>0</v>
      </c>
      <c r="D429" s="147" t="str">
        <f aca="false">Scoring!CY436</f>
        <v/>
      </c>
      <c r="E429" s="146" t="str">
        <f aca="false">Scoring!BH436</f>
        <v/>
      </c>
      <c r="F429" s="146" t="n">
        <f aca="false">Scoring!B436</f>
        <v>0</v>
      </c>
      <c r="G429" s="146" t="n">
        <f aca="false">Scoring!D436</f>
        <v>0</v>
      </c>
      <c r="H429" s="146" t="str">
        <f aca="false">Scoring!DA436</f>
        <v/>
      </c>
      <c r="I429" s="148" t="str">
        <f aca="false">Scoring!CZ436</f>
        <v/>
      </c>
    </row>
    <row r="430" customFormat="false" ht="15.75" hidden="false" customHeight="false" outlineLevel="0" collapsed="false">
      <c r="A430" s="146" t="str">
        <f aca="false">Scoring!DC437</f>
        <v/>
      </c>
      <c r="B430" s="146" t="str">
        <f aca="false">Scoring!DB437</f>
        <v/>
      </c>
      <c r="C430" s="146" t="n">
        <f aca="false">Scoring!C437</f>
        <v>0</v>
      </c>
      <c r="D430" s="147" t="str">
        <f aca="false">Scoring!CY437</f>
        <v/>
      </c>
      <c r="E430" s="146" t="str">
        <f aca="false">Scoring!BH437</f>
        <v/>
      </c>
      <c r="F430" s="146" t="n">
        <f aca="false">Scoring!B437</f>
        <v>0</v>
      </c>
      <c r="G430" s="146" t="n">
        <f aca="false">Scoring!D437</f>
        <v>0</v>
      </c>
      <c r="H430" s="146" t="str">
        <f aca="false">Scoring!DA437</f>
        <v/>
      </c>
      <c r="I430" s="148" t="str">
        <f aca="false">Scoring!CZ437</f>
        <v/>
      </c>
    </row>
    <row r="431" customFormat="false" ht="15.75" hidden="false" customHeight="false" outlineLevel="0" collapsed="false">
      <c r="A431" s="146" t="str">
        <f aca="false">Scoring!DC438</f>
        <v/>
      </c>
      <c r="B431" s="146" t="str">
        <f aca="false">Scoring!DB438</f>
        <v/>
      </c>
      <c r="C431" s="146" t="n">
        <f aca="false">Scoring!C438</f>
        <v>0</v>
      </c>
      <c r="D431" s="147" t="str">
        <f aca="false">Scoring!CY438</f>
        <v/>
      </c>
      <c r="E431" s="146" t="str">
        <f aca="false">Scoring!BH438</f>
        <v/>
      </c>
      <c r="F431" s="146" t="n">
        <f aca="false">Scoring!B438</f>
        <v>0</v>
      </c>
      <c r="G431" s="146" t="n">
        <f aca="false">Scoring!D438</f>
        <v>0</v>
      </c>
      <c r="H431" s="146" t="str">
        <f aca="false">Scoring!DA438</f>
        <v/>
      </c>
      <c r="I431" s="148" t="str">
        <f aca="false">Scoring!CZ438</f>
        <v/>
      </c>
    </row>
    <row r="432" customFormat="false" ht="15.75" hidden="false" customHeight="false" outlineLevel="0" collapsed="false">
      <c r="A432" s="146" t="str">
        <f aca="false">Scoring!DC439</f>
        <v/>
      </c>
      <c r="B432" s="146" t="str">
        <f aca="false">Scoring!DB439</f>
        <v/>
      </c>
      <c r="C432" s="146" t="n">
        <f aca="false">Scoring!C439</f>
        <v>0</v>
      </c>
      <c r="D432" s="147" t="str">
        <f aca="false">Scoring!CY439</f>
        <v/>
      </c>
      <c r="E432" s="146" t="str">
        <f aca="false">Scoring!BH439</f>
        <v/>
      </c>
      <c r="F432" s="146" t="n">
        <f aca="false">Scoring!B439</f>
        <v>0</v>
      </c>
      <c r="G432" s="146" t="n">
        <f aca="false">Scoring!D439</f>
        <v>0</v>
      </c>
      <c r="H432" s="146" t="str">
        <f aca="false">Scoring!DA439</f>
        <v/>
      </c>
      <c r="I432" s="148" t="str">
        <f aca="false">Scoring!CZ439</f>
        <v/>
      </c>
    </row>
    <row r="433" customFormat="false" ht="15.75" hidden="false" customHeight="false" outlineLevel="0" collapsed="false">
      <c r="A433" s="146" t="str">
        <f aca="false">Scoring!DC440</f>
        <v/>
      </c>
      <c r="B433" s="146" t="str">
        <f aca="false">Scoring!DB440</f>
        <v/>
      </c>
      <c r="C433" s="146" t="n">
        <f aca="false">Scoring!C440</f>
        <v>0</v>
      </c>
      <c r="D433" s="147" t="str">
        <f aca="false">Scoring!CY440</f>
        <v/>
      </c>
      <c r="E433" s="146" t="str">
        <f aca="false">Scoring!BH440</f>
        <v/>
      </c>
      <c r="F433" s="146" t="n">
        <f aca="false">Scoring!B440</f>
        <v>0</v>
      </c>
      <c r="G433" s="146" t="n">
        <f aca="false">Scoring!D440</f>
        <v>0</v>
      </c>
      <c r="H433" s="146" t="str">
        <f aca="false">Scoring!DA440</f>
        <v/>
      </c>
      <c r="I433" s="148" t="str">
        <f aca="false">Scoring!CZ440</f>
        <v/>
      </c>
    </row>
    <row r="434" customFormat="false" ht="15.75" hidden="false" customHeight="false" outlineLevel="0" collapsed="false">
      <c r="A434" s="146" t="str">
        <f aca="false">Scoring!DC441</f>
        <v/>
      </c>
      <c r="B434" s="146" t="str">
        <f aca="false">Scoring!DB441</f>
        <v/>
      </c>
      <c r="C434" s="146" t="n">
        <f aca="false">Scoring!C441</f>
        <v>0</v>
      </c>
      <c r="D434" s="147" t="str">
        <f aca="false">Scoring!CY441</f>
        <v/>
      </c>
      <c r="E434" s="146" t="str">
        <f aca="false">Scoring!BH441</f>
        <v/>
      </c>
      <c r="F434" s="146" t="n">
        <f aca="false">Scoring!B441</f>
        <v>0</v>
      </c>
      <c r="G434" s="146" t="n">
        <f aca="false">Scoring!D441</f>
        <v>0</v>
      </c>
      <c r="H434" s="146" t="str">
        <f aca="false">Scoring!DA441</f>
        <v/>
      </c>
      <c r="I434" s="148" t="str">
        <f aca="false">Scoring!CZ441</f>
        <v/>
      </c>
    </row>
    <row r="435" customFormat="false" ht="15.75" hidden="false" customHeight="false" outlineLevel="0" collapsed="false">
      <c r="A435" s="146" t="str">
        <f aca="false">Scoring!DC442</f>
        <v/>
      </c>
      <c r="B435" s="146" t="str">
        <f aca="false">Scoring!DB442</f>
        <v/>
      </c>
      <c r="C435" s="146" t="n">
        <f aca="false">Scoring!C442</f>
        <v>0</v>
      </c>
      <c r="D435" s="147" t="str">
        <f aca="false">Scoring!CY442</f>
        <v/>
      </c>
      <c r="E435" s="146" t="str">
        <f aca="false">Scoring!BH442</f>
        <v/>
      </c>
      <c r="F435" s="146" t="n">
        <f aca="false">Scoring!B442</f>
        <v>0</v>
      </c>
      <c r="G435" s="146" t="n">
        <f aca="false">Scoring!D442</f>
        <v>0</v>
      </c>
      <c r="H435" s="146" t="str">
        <f aca="false">Scoring!DA442</f>
        <v/>
      </c>
      <c r="I435" s="148" t="str">
        <f aca="false">Scoring!CZ442</f>
        <v/>
      </c>
    </row>
    <row r="436" customFormat="false" ht="15.75" hidden="false" customHeight="false" outlineLevel="0" collapsed="false">
      <c r="A436" s="146" t="str">
        <f aca="false">Scoring!DC443</f>
        <v/>
      </c>
      <c r="B436" s="146" t="str">
        <f aca="false">Scoring!DB443</f>
        <v/>
      </c>
      <c r="C436" s="146" t="n">
        <f aca="false">Scoring!C443</f>
        <v>0</v>
      </c>
      <c r="D436" s="147" t="str">
        <f aca="false">Scoring!CY443</f>
        <v/>
      </c>
      <c r="E436" s="146" t="str">
        <f aca="false">Scoring!BH443</f>
        <v/>
      </c>
      <c r="F436" s="146" t="n">
        <f aca="false">Scoring!B443</f>
        <v>0</v>
      </c>
      <c r="G436" s="146" t="n">
        <f aca="false">Scoring!D443</f>
        <v>0</v>
      </c>
      <c r="H436" s="146" t="str">
        <f aca="false">Scoring!DA443</f>
        <v/>
      </c>
      <c r="I436" s="148" t="str">
        <f aca="false">Scoring!CZ443</f>
        <v/>
      </c>
    </row>
    <row r="437" customFormat="false" ht="15.75" hidden="false" customHeight="false" outlineLevel="0" collapsed="false">
      <c r="A437" s="146" t="str">
        <f aca="false">Scoring!DC444</f>
        <v/>
      </c>
      <c r="B437" s="146" t="str">
        <f aca="false">Scoring!DB444</f>
        <v/>
      </c>
      <c r="C437" s="146" t="n">
        <f aca="false">Scoring!C444</f>
        <v>0</v>
      </c>
      <c r="D437" s="147" t="str">
        <f aca="false">Scoring!CY444</f>
        <v/>
      </c>
      <c r="E437" s="146" t="str">
        <f aca="false">Scoring!BH444</f>
        <v/>
      </c>
      <c r="F437" s="146" t="n">
        <f aca="false">Scoring!B444</f>
        <v>0</v>
      </c>
      <c r="G437" s="146" t="n">
        <f aca="false">Scoring!D444</f>
        <v>0</v>
      </c>
      <c r="H437" s="146" t="str">
        <f aca="false">Scoring!DA444</f>
        <v/>
      </c>
      <c r="I437" s="148" t="str">
        <f aca="false">Scoring!CZ444</f>
        <v/>
      </c>
    </row>
    <row r="438" customFormat="false" ht="15.75" hidden="false" customHeight="false" outlineLevel="0" collapsed="false">
      <c r="A438" s="146" t="str">
        <f aca="false">Scoring!DC445</f>
        <v/>
      </c>
      <c r="B438" s="146" t="str">
        <f aca="false">Scoring!DB445</f>
        <v/>
      </c>
      <c r="C438" s="146" t="n">
        <f aca="false">Scoring!C445</f>
        <v>0</v>
      </c>
      <c r="D438" s="147" t="str">
        <f aca="false">Scoring!CY445</f>
        <v/>
      </c>
      <c r="E438" s="146" t="str">
        <f aca="false">Scoring!BH445</f>
        <v/>
      </c>
      <c r="F438" s="146" t="n">
        <f aca="false">Scoring!B445</f>
        <v>0</v>
      </c>
      <c r="G438" s="146" t="n">
        <f aca="false">Scoring!D445</f>
        <v>0</v>
      </c>
      <c r="H438" s="146" t="str">
        <f aca="false">Scoring!DA445</f>
        <v/>
      </c>
      <c r="I438" s="148" t="str">
        <f aca="false">Scoring!CZ445</f>
        <v/>
      </c>
    </row>
    <row r="439" customFormat="false" ht="15.75" hidden="false" customHeight="false" outlineLevel="0" collapsed="false">
      <c r="A439" s="146" t="str">
        <f aca="false">Scoring!DC446</f>
        <v/>
      </c>
      <c r="B439" s="146" t="str">
        <f aca="false">Scoring!DB446</f>
        <v/>
      </c>
      <c r="C439" s="146" t="n">
        <f aca="false">Scoring!C446</f>
        <v>0</v>
      </c>
      <c r="D439" s="147" t="str">
        <f aca="false">Scoring!CY446</f>
        <v/>
      </c>
      <c r="E439" s="146" t="str">
        <f aca="false">Scoring!BH446</f>
        <v/>
      </c>
      <c r="F439" s="146" t="n">
        <f aca="false">Scoring!B446</f>
        <v>0</v>
      </c>
      <c r="G439" s="146" t="n">
        <f aca="false">Scoring!D446</f>
        <v>0</v>
      </c>
      <c r="H439" s="146" t="str">
        <f aca="false">Scoring!DA446</f>
        <v/>
      </c>
      <c r="I439" s="148" t="str">
        <f aca="false">Scoring!CZ446</f>
        <v/>
      </c>
    </row>
    <row r="440" customFormat="false" ht="15.75" hidden="false" customHeight="false" outlineLevel="0" collapsed="false">
      <c r="A440" s="146" t="str">
        <f aca="false">Scoring!DC447</f>
        <v/>
      </c>
      <c r="B440" s="146" t="str">
        <f aca="false">Scoring!DB447</f>
        <v/>
      </c>
      <c r="C440" s="146" t="n">
        <f aca="false">Scoring!C447</f>
        <v>0</v>
      </c>
      <c r="D440" s="147" t="str">
        <f aca="false">Scoring!CY447</f>
        <v/>
      </c>
      <c r="E440" s="146" t="str">
        <f aca="false">Scoring!BH447</f>
        <v/>
      </c>
      <c r="F440" s="146" t="n">
        <f aca="false">Scoring!B447</f>
        <v>0</v>
      </c>
      <c r="G440" s="146" t="n">
        <f aca="false">Scoring!D447</f>
        <v>0</v>
      </c>
      <c r="H440" s="146" t="str">
        <f aca="false">Scoring!DA447</f>
        <v/>
      </c>
      <c r="I440" s="148" t="str">
        <f aca="false">Scoring!CZ447</f>
        <v/>
      </c>
    </row>
    <row r="441" customFormat="false" ht="15.75" hidden="false" customHeight="false" outlineLevel="0" collapsed="false">
      <c r="A441" s="146" t="str">
        <f aca="false">Scoring!DC448</f>
        <v/>
      </c>
      <c r="B441" s="146" t="str">
        <f aca="false">Scoring!DB448</f>
        <v/>
      </c>
      <c r="C441" s="146" t="n">
        <f aca="false">Scoring!C448</f>
        <v>0</v>
      </c>
      <c r="D441" s="147" t="str">
        <f aca="false">Scoring!CY448</f>
        <v/>
      </c>
      <c r="E441" s="146" t="str">
        <f aca="false">Scoring!BH448</f>
        <v/>
      </c>
      <c r="F441" s="146" t="n">
        <f aca="false">Scoring!B448</f>
        <v>0</v>
      </c>
      <c r="G441" s="146" t="n">
        <f aca="false">Scoring!D448</f>
        <v>0</v>
      </c>
      <c r="H441" s="146" t="str">
        <f aca="false">Scoring!DA448</f>
        <v/>
      </c>
      <c r="I441" s="148" t="str">
        <f aca="false">Scoring!CZ448</f>
        <v/>
      </c>
    </row>
    <row r="442" customFormat="false" ht="15.75" hidden="false" customHeight="false" outlineLevel="0" collapsed="false">
      <c r="A442" s="146" t="str">
        <f aca="false">Scoring!DC449</f>
        <v/>
      </c>
      <c r="B442" s="146" t="str">
        <f aca="false">Scoring!DB449</f>
        <v/>
      </c>
      <c r="C442" s="146" t="n">
        <f aca="false">Scoring!C449</f>
        <v>0</v>
      </c>
      <c r="D442" s="147" t="str">
        <f aca="false">Scoring!CY449</f>
        <v/>
      </c>
      <c r="E442" s="146" t="str">
        <f aca="false">Scoring!BH449</f>
        <v/>
      </c>
      <c r="F442" s="146" t="n">
        <f aca="false">Scoring!B449</f>
        <v>0</v>
      </c>
      <c r="G442" s="146" t="n">
        <f aca="false">Scoring!D449</f>
        <v>0</v>
      </c>
      <c r="H442" s="146" t="str">
        <f aca="false">Scoring!DA449</f>
        <v/>
      </c>
      <c r="I442" s="148" t="str">
        <f aca="false">Scoring!CZ449</f>
        <v/>
      </c>
    </row>
    <row r="443" customFormat="false" ht="15.75" hidden="false" customHeight="false" outlineLevel="0" collapsed="false">
      <c r="A443" s="146" t="str">
        <f aca="false">Scoring!DC450</f>
        <v/>
      </c>
      <c r="B443" s="146" t="str">
        <f aca="false">Scoring!DB450</f>
        <v/>
      </c>
      <c r="C443" s="146" t="n">
        <f aca="false">Scoring!C450</f>
        <v>0</v>
      </c>
      <c r="D443" s="147" t="str">
        <f aca="false">Scoring!CY450</f>
        <v/>
      </c>
      <c r="E443" s="146" t="str">
        <f aca="false">Scoring!BH450</f>
        <v/>
      </c>
      <c r="F443" s="146" t="n">
        <f aca="false">Scoring!B450</f>
        <v>0</v>
      </c>
      <c r="G443" s="146" t="n">
        <f aca="false">Scoring!D450</f>
        <v>0</v>
      </c>
      <c r="H443" s="146" t="str">
        <f aca="false">Scoring!DA450</f>
        <v/>
      </c>
      <c r="I443" s="148" t="str">
        <f aca="false">Scoring!CZ450</f>
        <v/>
      </c>
    </row>
    <row r="444" customFormat="false" ht="15.75" hidden="false" customHeight="false" outlineLevel="0" collapsed="false">
      <c r="A444" s="146" t="str">
        <f aca="false">Scoring!DC451</f>
        <v/>
      </c>
      <c r="B444" s="146" t="str">
        <f aca="false">Scoring!DB451</f>
        <v/>
      </c>
      <c r="C444" s="146" t="n">
        <f aca="false">Scoring!C451</f>
        <v>0</v>
      </c>
      <c r="D444" s="147" t="str">
        <f aca="false">Scoring!CY451</f>
        <v/>
      </c>
      <c r="E444" s="146" t="str">
        <f aca="false">Scoring!BH451</f>
        <v/>
      </c>
      <c r="F444" s="146" t="n">
        <f aca="false">Scoring!B451</f>
        <v>0</v>
      </c>
      <c r="G444" s="146" t="n">
        <f aca="false">Scoring!D451</f>
        <v>0</v>
      </c>
      <c r="H444" s="146" t="str">
        <f aca="false">Scoring!DA451</f>
        <v/>
      </c>
      <c r="I444" s="148" t="str">
        <f aca="false">Scoring!CZ451</f>
        <v/>
      </c>
    </row>
    <row r="445" customFormat="false" ht="15.75" hidden="false" customHeight="false" outlineLevel="0" collapsed="false">
      <c r="A445" s="146" t="str">
        <f aca="false">Scoring!DC452</f>
        <v/>
      </c>
      <c r="B445" s="146" t="str">
        <f aca="false">Scoring!DB452</f>
        <v/>
      </c>
      <c r="C445" s="146" t="n">
        <f aca="false">Scoring!C452</f>
        <v>0</v>
      </c>
      <c r="D445" s="147" t="str">
        <f aca="false">Scoring!CY452</f>
        <v/>
      </c>
      <c r="E445" s="146" t="str">
        <f aca="false">Scoring!BH452</f>
        <v/>
      </c>
      <c r="F445" s="146" t="n">
        <f aca="false">Scoring!B452</f>
        <v>0</v>
      </c>
      <c r="G445" s="146" t="n">
        <f aca="false">Scoring!D452</f>
        <v>0</v>
      </c>
      <c r="H445" s="146" t="str">
        <f aca="false">Scoring!DA452</f>
        <v/>
      </c>
      <c r="I445" s="148" t="str">
        <f aca="false">Scoring!CZ452</f>
        <v/>
      </c>
    </row>
    <row r="446" customFormat="false" ht="15.75" hidden="false" customHeight="false" outlineLevel="0" collapsed="false">
      <c r="A446" s="146" t="str">
        <f aca="false">Scoring!DC453</f>
        <v/>
      </c>
      <c r="B446" s="146" t="str">
        <f aca="false">Scoring!DB453</f>
        <v/>
      </c>
      <c r="C446" s="146" t="n">
        <f aca="false">Scoring!C453</f>
        <v>0</v>
      </c>
      <c r="D446" s="147" t="str">
        <f aca="false">Scoring!CY453</f>
        <v/>
      </c>
      <c r="E446" s="146" t="str">
        <f aca="false">Scoring!BH453</f>
        <v/>
      </c>
      <c r="F446" s="146" t="n">
        <f aca="false">Scoring!B453</f>
        <v>0</v>
      </c>
      <c r="G446" s="146" t="n">
        <f aca="false">Scoring!D453</f>
        <v>0</v>
      </c>
      <c r="H446" s="146" t="str">
        <f aca="false">Scoring!DA453</f>
        <v/>
      </c>
      <c r="I446" s="148" t="str">
        <f aca="false">Scoring!CZ453</f>
        <v/>
      </c>
    </row>
    <row r="447" customFormat="false" ht="15.75" hidden="false" customHeight="false" outlineLevel="0" collapsed="false">
      <c r="A447" s="146" t="str">
        <f aca="false">Scoring!DC454</f>
        <v/>
      </c>
      <c r="B447" s="146" t="str">
        <f aca="false">Scoring!DB454</f>
        <v/>
      </c>
      <c r="C447" s="146" t="n">
        <f aca="false">Scoring!C454</f>
        <v>0</v>
      </c>
      <c r="D447" s="147" t="str">
        <f aca="false">Scoring!CY454</f>
        <v/>
      </c>
      <c r="E447" s="146" t="str">
        <f aca="false">Scoring!BH454</f>
        <v/>
      </c>
      <c r="F447" s="146" t="n">
        <f aca="false">Scoring!B454</f>
        <v>0</v>
      </c>
      <c r="G447" s="146" t="n">
        <f aca="false">Scoring!D454</f>
        <v>0</v>
      </c>
      <c r="H447" s="146" t="str">
        <f aca="false">Scoring!DA454</f>
        <v/>
      </c>
      <c r="I447" s="148" t="str">
        <f aca="false">Scoring!CZ454</f>
        <v/>
      </c>
    </row>
    <row r="448" customFormat="false" ht="15.75" hidden="false" customHeight="false" outlineLevel="0" collapsed="false">
      <c r="A448" s="146" t="str">
        <f aca="false">Scoring!DC455</f>
        <v/>
      </c>
      <c r="B448" s="146" t="str">
        <f aca="false">Scoring!DB455</f>
        <v/>
      </c>
      <c r="C448" s="146" t="n">
        <f aca="false">Scoring!C455</f>
        <v>0</v>
      </c>
      <c r="D448" s="147" t="str">
        <f aca="false">Scoring!CY455</f>
        <v/>
      </c>
      <c r="E448" s="146" t="str">
        <f aca="false">Scoring!BH455</f>
        <v/>
      </c>
      <c r="F448" s="146" t="n">
        <f aca="false">Scoring!B455</f>
        <v>0</v>
      </c>
      <c r="G448" s="146" t="n">
        <f aca="false">Scoring!D455</f>
        <v>0</v>
      </c>
      <c r="H448" s="146" t="str">
        <f aca="false">Scoring!DA455</f>
        <v/>
      </c>
      <c r="I448" s="148" t="str">
        <f aca="false">Scoring!CZ455</f>
        <v/>
      </c>
    </row>
    <row r="449" customFormat="false" ht="15.75" hidden="false" customHeight="false" outlineLevel="0" collapsed="false">
      <c r="A449" s="146" t="str">
        <f aca="false">Scoring!DC456</f>
        <v/>
      </c>
      <c r="B449" s="146" t="str">
        <f aca="false">Scoring!DB456</f>
        <v/>
      </c>
      <c r="C449" s="146" t="n">
        <f aca="false">Scoring!C456</f>
        <v>0</v>
      </c>
      <c r="D449" s="147" t="str">
        <f aca="false">Scoring!CY456</f>
        <v/>
      </c>
      <c r="E449" s="146" t="str">
        <f aca="false">Scoring!BH456</f>
        <v/>
      </c>
      <c r="F449" s="146" t="n">
        <f aca="false">Scoring!B456</f>
        <v>0</v>
      </c>
      <c r="G449" s="146" t="n">
        <f aca="false">Scoring!D456</f>
        <v>0</v>
      </c>
      <c r="H449" s="146" t="str">
        <f aca="false">Scoring!DA456</f>
        <v/>
      </c>
      <c r="I449" s="148" t="str">
        <f aca="false">Scoring!CZ456</f>
        <v/>
      </c>
    </row>
    <row r="450" customFormat="false" ht="15.75" hidden="false" customHeight="false" outlineLevel="0" collapsed="false">
      <c r="A450" s="146" t="str">
        <f aca="false">Scoring!DC457</f>
        <v/>
      </c>
      <c r="B450" s="146" t="str">
        <f aca="false">Scoring!DB457</f>
        <v/>
      </c>
      <c r="C450" s="146" t="n">
        <f aca="false">Scoring!C457</f>
        <v>0</v>
      </c>
      <c r="D450" s="147" t="str">
        <f aca="false">Scoring!CY457</f>
        <v/>
      </c>
      <c r="E450" s="146" t="str">
        <f aca="false">Scoring!BH457</f>
        <v/>
      </c>
      <c r="F450" s="146" t="n">
        <f aca="false">Scoring!B457</f>
        <v>0</v>
      </c>
      <c r="G450" s="146" t="n">
        <f aca="false">Scoring!D457</f>
        <v>0</v>
      </c>
      <c r="H450" s="146" t="str">
        <f aca="false">Scoring!DA457</f>
        <v/>
      </c>
      <c r="I450" s="148" t="str">
        <f aca="false">Scoring!CZ457</f>
        <v/>
      </c>
    </row>
    <row r="451" customFormat="false" ht="15.75" hidden="false" customHeight="false" outlineLevel="0" collapsed="false">
      <c r="A451" s="146" t="str">
        <f aca="false">Scoring!DC458</f>
        <v/>
      </c>
      <c r="B451" s="146" t="str">
        <f aca="false">Scoring!DB458</f>
        <v/>
      </c>
      <c r="C451" s="146" t="n">
        <f aca="false">Scoring!C458</f>
        <v>0</v>
      </c>
      <c r="D451" s="147" t="str">
        <f aca="false">Scoring!CY458</f>
        <v/>
      </c>
      <c r="E451" s="146" t="str">
        <f aca="false">Scoring!BH458</f>
        <v/>
      </c>
      <c r="F451" s="146" t="n">
        <f aca="false">Scoring!B458</f>
        <v>0</v>
      </c>
      <c r="G451" s="146" t="n">
        <f aca="false">Scoring!D458</f>
        <v>0</v>
      </c>
      <c r="H451" s="146" t="str">
        <f aca="false">Scoring!DA458</f>
        <v/>
      </c>
      <c r="I451" s="148" t="str">
        <f aca="false">Scoring!CZ458</f>
        <v/>
      </c>
    </row>
    <row r="452" customFormat="false" ht="15.75" hidden="false" customHeight="false" outlineLevel="0" collapsed="false">
      <c r="A452" s="146" t="str">
        <f aca="false">Scoring!DC459</f>
        <v/>
      </c>
      <c r="B452" s="146" t="str">
        <f aca="false">Scoring!DB459</f>
        <v/>
      </c>
      <c r="C452" s="146" t="n">
        <f aca="false">Scoring!C459</f>
        <v>0</v>
      </c>
      <c r="D452" s="147" t="str">
        <f aca="false">Scoring!CY459</f>
        <v/>
      </c>
      <c r="E452" s="146" t="str">
        <f aca="false">Scoring!BH459</f>
        <v/>
      </c>
      <c r="F452" s="146" t="n">
        <f aca="false">Scoring!B459</f>
        <v>0</v>
      </c>
      <c r="G452" s="146" t="n">
        <f aca="false">Scoring!D459</f>
        <v>0</v>
      </c>
      <c r="H452" s="146" t="str">
        <f aca="false">Scoring!DA459</f>
        <v/>
      </c>
      <c r="I452" s="148" t="str">
        <f aca="false">Scoring!CZ459</f>
        <v/>
      </c>
    </row>
    <row r="453" customFormat="false" ht="15.75" hidden="false" customHeight="false" outlineLevel="0" collapsed="false">
      <c r="A453" s="146" t="str">
        <f aca="false">Scoring!DC460</f>
        <v/>
      </c>
      <c r="B453" s="146" t="str">
        <f aca="false">Scoring!DB460</f>
        <v/>
      </c>
      <c r="C453" s="146" t="n">
        <f aca="false">Scoring!C460</f>
        <v>0</v>
      </c>
      <c r="D453" s="147" t="str">
        <f aca="false">Scoring!CY460</f>
        <v/>
      </c>
      <c r="E453" s="146" t="str">
        <f aca="false">Scoring!BH460</f>
        <v/>
      </c>
      <c r="F453" s="146" t="n">
        <f aca="false">Scoring!B460</f>
        <v>0</v>
      </c>
      <c r="G453" s="146" t="n">
        <f aca="false">Scoring!D460</f>
        <v>0</v>
      </c>
      <c r="H453" s="146" t="str">
        <f aca="false">Scoring!DA460</f>
        <v/>
      </c>
      <c r="I453" s="148" t="str">
        <f aca="false">Scoring!CZ460</f>
        <v/>
      </c>
    </row>
    <row r="454" customFormat="false" ht="15.75" hidden="false" customHeight="false" outlineLevel="0" collapsed="false">
      <c r="A454" s="146" t="str">
        <f aca="false">Scoring!DC461</f>
        <v/>
      </c>
      <c r="B454" s="146" t="str">
        <f aca="false">Scoring!DB461</f>
        <v/>
      </c>
      <c r="C454" s="146" t="n">
        <f aca="false">Scoring!C461</f>
        <v>0</v>
      </c>
      <c r="D454" s="147" t="str">
        <f aca="false">Scoring!CY461</f>
        <v/>
      </c>
      <c r="E454" s="146" t="str">
        <f aca="false">Scoring!BH461</f>
        <v/>
      </c>
      <c r="F454" s="146" t="n">
        <f aca="false">Scoring!B461</f>
        <v>0</v>
      </c>
      <c r="G454" s="146" t="n">
        <f aca="false">Scoring!D461</f>
        <v>0</v>
      </c>
      <c r="H454" s="146" t="str">
        <f aca="false">Scoring!DA461</f>
        <v/>
      </c>
      <c r="I454" s="148" t="str">
        <f aca="false">Scoring!CZ461</f>
        <v/>
      </c>
    </row>
    <row r="455" customFormat="false" ht="15.75" hidden="false" customHeight="false" outlineLevel="0" collapsed="false">
      <c r="A455" s="146" t="str">
        <f aca="false">Scoring!DC462</f>
        <v/>
      </c>
      <c r="B455" s="146" t="str">
        <f aca="false">Scoring!DB462</f>
        <v/>
      </c>
      <c r="C455" s="146" t="n">
        <f aca="false">Scoring!C462</f>
        <v>0</v>
      </c>
      <c r="D455" s="147" t="str">
        <f aca="false">Scoring!CY462</f>
        <v/>
      </c>
      <c r="E455" s="146" t="str">
        <f aca="false">Scoring!BH462</f>
        <v/>
      </c>
      <c r="F455" s="146" t="n">
        <f aca="false">Scoring!B462</f>
        <v>0</v>
      </c>
      <c r="G455" s="146" t="n">
        <f aca="false">Scoring!D462</f>
        <v>0</v>
      </c>
      <c r="H455" s="146" t="str">
        <f aca="false">Scoring!DA462</f>
        <v/>
      </c>
      <c r="I455" s="148" t="str">
        <f aca="false">Scoring!CZ462</f>
        <v/>
      </c>
    </row>
    <row r="456" customFormat="false" ht="15.75" hidden="false" customHeight="false" outlineLevel="0" collapsed="false">
      <c r="A456" s="146" t="str">
        <f aca="false">Scoring!DC463</f>
        <v/>
      </c>
      <c r="B456" s="146" t="str">
        <f aca="false">Scoring!DB463</f>
        <v/>
      </c>
      <c r="C456" s="146" t="n">
        <f aca="false">Scoring!C463</f>
        <v>0</v>
      </c>
      <c r="D456" s="147" t="str">
        <f aca="false">Scoring!CY463</f>
        <v/>
      </c>
      <c r="E456" s="146" t="str">
        <f aca="false">Scoring!BH463</f>
        <v/>
      </c>
      <c r="F456" s="146" t="n">
        <f aca="false">Scoring!B463</f>
        <v>0</v>
      </c>
      <c r="G456" s="146" t="n">
        <f aca="false">Scoring!D463</f>
        <v>0</v>
      </c>
      <c r="H456" s="146" t="str">
        <f aca="false">Scoring!DA463</f>
        <v/>
      </c>
      <c r="I456" s="148" t="str">
        <f aca="false">Scoring!CZ463</f>
        <v/>
      </c>
    </row>
    <row r="457" customFormat="false" ht="15.75" hidden="false" customHeight="false" outlineLevel="0" collapsed="false">
      <c r="A457" s="146" t="str">
        <f aca="false">Scoring!DC464</f>
        <v/>
      </c>
      <c r="B457" s="146" t="str">
        <f aca="false">Scoring!DB464</f>
        <v/>
      </c>
      <c r="C457" s="146" t="n">
        <f aca="false">Scoring!C464</f>
        <v>0</v>
      </c>
      <c r="D457" s="147" t="str">
        <f aca="false">Scoring!CY464</f>
        <v/>
      </c>
      <c r="E457" s="146" t="str">
        <f aca="false">Scoring!BH464</f>
        <v/>
      </c>
      <c r="F457" s="146" t="n">
        <f aca="false">Scoring!B464</f>
        <v>0</v>
      </c>
      <c r="G457" s="146" t="n">
        <f aca="false">Scoring!D464</f>
        <v>0</v>
      </c>
      <c r="H457" s="146" t="str">
        <f aca="false">Scoring!DA464</f>
        <v/>
      </c>
      <c r="I457" s="148" t="str">
        <f aca="false">Scoring!CZ464</f>
        <v/>
      </c>
    </row>
    <row r="458" customFormat="false" ht="15.75" hidden="false" customHeight="false" outlineLevel="0" collapsed="false">
      <c r="A458" s="146" t="str">
        <f aca="false">Scoring!DC465</f>
        <v/>
      </c>
      <c r="B458" s="146" t="str">
        <f aca="false">Scoring!DB465</f>
        <v/>
      </c>
      <c r="C458" s="146" t="n">
        <f aca="false">Scoring!C465</f>
        <v>0</v>
      </c>
      <c r="D458" s="147" t="str">
        <f aca="false">Scoring!CY465</f>
        <v/>
      </c>
      <c r="E458" s="146" t="str">
        <f aca="false">Scoring!BH465</f>
        <v/>
      </c>
      <c r="F458" s="146" t="n">
        <f aca="false">Scoring!B465</f>
        <v>0</v>
      </c>
      <c r="G458" s="146" t="n">
        <f aca="false">Scoring!D465</f>
        <v>0</v>
      </c>
      <c r="H458" s="146" t="str">
        <f aca="false">Scoring!DA465</f>
        <v/>
      </c>
      <c r="I458" s="148" t="str">
        <f aca="false">Scoring!CZ465</f>
        <v/>
      </c>
    </row>
    <row r="459" customFormat="false" ht="15.75" hidden="false" customHeight="false" outlineLevel="0" collapsed="false">
      <c r="A459" s="146" t="str">
        <f aca="false">Scoring!DC466</f>
        <v/>
      </c>
      <c r="B459" s="146" t="str">
        <f aca="false">Scoring!DB466</f>
        <v/>
      </c>
      <c r="C459" s="146" t="n">
        <f aca="false">Scoring!C466</f>
        <v>0</v>
      </c>
      <c r="D459" s="147" t="str">
        <f aca="false">Scoring!CY466</f>
        <v/>
      </c>
      <c r="E459" s="146" t="str">
        <f aca="false">Scoring!BH466</f>
        <v/>
      </c>
      <c r="F459" s="146" t="n">
        <f aca="false">Scoring!B466</f>
        <v>0</v>
      </c>
      <c r="G459" s="146" t="n">
        <f aca="false">Scoring!D466</f>
        <v>0</v>
      </c>
      <c r="H459" s="146" t="str">
        <f aca="false">Scoring!DA466</f>
        <v/>
      </c>
      <c r="I459" s="148" t="str">
        <f aca="false">Scoring!CZ466</f>
        <v/>
      </c>
    </row>
    <row r="460" customFormat="false" ht="15.75" hidden="false" customHeight="false" outlineLevel="0" collapsed="false">
      <c r="A460" s="146" t="str">
        <f aca="false">Scoring!DC467</f>
        <v/>
      </c>
      <c r="B460" s="146" t="str">
        <f aca="false">Scoring!DB467</f>
        <v/>
      </c>
      <c r="C460" s="146" t="n">
        <f aca="false">Scoring!C467</f>
        <v>0</v>
      </c>
      <c r="D460" s="147" t="str">
        <f aca="false">Scoring!CY467</f>
        <v/>
      </c>
      <c r="E460" s="146" t="str">
        <f aca="false">Scoring!BH467</f>
        <v/>
      </c>
      <c r="F460" s="146" t="n">
        <f aca="false">Scoring!B467</f>
        <v>0</v>
      </c>
      <c r="G460" s="146" t="n">
        <f aca="false">Scoring!D467</f>
        <v>0</v>
      </c>
      <c r="H460" s="146" t="str">
        <f aca="false">Scoring!DA467</f>
        <v/>
      </c>
      <c r="I460" s="148" t="str">
        <f aca="false">Scoring!CZ467</f>
        <v/>
      </c>
    </row>
    <row r="461" customFormat="false" ht="15.75" hidden="false" customHeight="false" outlineLevel="0" collapsed="false">
      <c r="A461" s="146" t="str">
        <f aca="false">Scoring!DC468</f>
        <v/>
      </c>
      <c r="B461" s="146" t="str">
        <f aca="false">Scoring!DB468</f>
        <v/>
      </c>
      <c r="C461" s="146" t="n">
        <f aca="false">Scoring!C468</f>
        <v>0</v>
      </c>
      <c r="D461" s="147" t="str">
        <f aca="false">Scoring!CY468</f>
        <v/>
      </c>
      <c r="E461" s="146" t="str">
        <f aca="false">Scoring!BH468</f>
        <v/>
      </c>
      <c r="F461" s="146" t="n">
        <f aca="false">Scoring!B468</f>
        <v>0</v>
      </c>
      <c r="G461" s="146" t="n">
        <f aca="false">Scoring!D468</f>
        <v>0</v>
      </c>
      <c r="H461" s="146" t="str">
        <f aca="false">Scoring!DA468</f>
        <v/>
      </c>
      <c r="I461" s="148" t="str">
        <f aca="false">Scoring!CZ468</f>
        <v/>
      </c>
    </row>
    <row r="462" customFormat="false" ht="15.75" hidden="false" customHeight="false" outlineLevel="0" collapsed="false">
      <c r="A462" s="146" t="str">
        <f aca="false">Scoring!DC469</f>
        <v/>
      </c>
      <c r="B462" s="146" t="str">
        <f aca="false">Scoring!DB469</f>
        <v/>
      </c>
      <c r="C462" s="146" t="n">
        <f aca="false">Scoring!C469</f>
        <v>0</v>
      </c>
      <c r="D462" s="147" t="str">
        <f aca="false">Scoring!CY469</f>
        <v/>
      </c>
      <c r="E462" s="146" t="str">
        <f aca="false">Scoring!BH469</f>
        <v/>
      </c>
      <c r="F462" s="146" t="n">
        <f aca="false">Scoring!B469</f>
        <v>0</v>
      </c>
      <c r="G462" s="146" t="n">
        <f aca="false">Scoring!D469</f>
        <v>0</v>
      </c>
      <c r="H462" s="146" t="str">
        <f aca="false">Scoring!DA469</f>
        <v/>
      </c>
      <c r="I462" s="148" t="str">
        <f aca="false">Scoring!CZ469</f>
        <v/>
      </c>
    </row>
    <row r="463" customFormat="false" ht="15.75" hidden="false" customHeight="false" outlineLevel="0" collapsed="false">
      <c r="A463" s="146" t="str">
        <f aca="false">Scoring!DC470</f>
        <v/>
      </c>
      <c r="B463" s="146" t="str">
        <f aca="false">Scoring!DB470</f>
        <v/>
      </c>
      <c r="C463" s="146" t="n">
        <f aca="false">Scoring!C470</f>
        <v>0</v>
      </c>
      <c r="D463" s="147" t="str">
        <f aca="false">Scoring!CY470</f>
        <v/>
      </c>
      <c r="E463" s="146" t="str">
        <f aca="false">Scoring!BH470</f>
        <v/>
      </c>
      <c r="F463" s="146" t="n">
        <f aca="false">Scoring!B470</f>
        <v>0</v>
      </c>
      <c r="G463" s="146" t="n">
        <f aca="false">Scoring!D470</f>
        <v>0</v>
      </c>
      <c r="H463" s="146" t="str">
        <f aca="false">Scoring!DA470</f>
        <v/>
      </c>
      <c r="I463" s="148" t="str">
        <f aca="false">Scoring!CZ470</f>
        <v/>
      </c>
    </row>
    <row r="464" customFormat="false" ht="15.75" hidden="false" customHeight="false" outlineLevel="0" collapsed="false">
      <c r="A464" s="146" t="str">
        <f aca="false">Scoring!DC471</f>
        <v/>
      </c>
      <c r="B464" s="146" t="str">
        <f aca="false">Scoring!DB471</f>
        <v/>
      </c>
      <c r="C464" s="146" t="n">
        <f aca="false">Scoring!C471</f>
        <v>0</v>
      </c>
      <c r="D464" s="147" t="str">
        <f aca="false">Scoring!CY471</f>
        <v/>
      </c>
      <c r="E464" s="146" t="str">
        <f aca="false">Scoring!BH471</f>
        <v/>
      </c>
      <c r="F464" s="146" t="n">
        <f aca="false">Scoring!B471</f>
        <v>0</v>
      </c>
      <c r="G464" s="146" t="n">
        <f aca="false">Scoring!D471</f>
        <v>0</v>
      </c>
      <c r="H464" s="146" t="str">
        <f aca="false">Scoring!DA471</f>
        <v/>
      </c>
      <c r="I464" s="148" t="str">
        <f aca="false">Scoring!CZ471</f>
        <v/>
      </c>
    </row>
    <row r="465" customFormat="false" ht="15.75" hidden="false" customHeight="false" outlineLevel="0" collapsed="false">
      <c r="A465" s="146" t="str">
        <f aca="false">Scoring!DC472</f>
        <v/>
      </c>
      <c r="B465" s="146" t="str">
        <f aca="false">Scoring!DB472</f>
        <v/>
      </c>
      <c r="C465" s="146" t="n">
        <f aca="false">Scoring!C472</f>
        <v>0</v>
      </c>
      <c r="D465" s="147" t="str">
        <f aca="false">Scoring!CY472</f>
        <v/>
      </c>
      <c r="E465" s="146" t="str">
        <f aca="false">Scoring!BH472</f>
        <v/>
      </c>
      <c r="F465" s="146" t="n">
        <f aca="false">Scoring!B472</f>
        <v>0</v>
      </c>
      <c r="G465" s="146" t="n">
        <f aca="false">Scoring!D472</f>
        <v>0</v>
      </c>
      <c r="H465" s="146" t="str">
        <f aca="false">Scoring!DA472</f>
        <v/>
      </c>
      <c r="I465" s="148" t="str">
        <f aca="false">Scoring!CZ472</f>
        <v/>
      </c>
    </row>
    <row r="466" customFormat="false" ht="15.75" hidden="false" customHeight="false" outlineLevel="0" collapsed="false">
      <c r="A466" s="146" t="str">
        <f aca="false">Scoring!DC473</f>
        <v/>
      </c>
      <c r="B466" s="146" t="str">
        <f aca="false">Scoring!DB473</f>
        <v/>
      </c>
      <c r="C466" s="146" t="n">
        <f aca="false">Scoring!C473</f>
        <v>0</v>
      </c>
      <c r="D466" s="147" t="str">
        <f aca="false">Scoring!CY473</f>
        <v/>
      </c>
      <c r="E466" s="146" t="str">
        <f aca="false">Scoring!BH473</f>
        <v/>
      </c>
      <c r="F466" s="146" t="n">
        <f aca="false">Scoring!B473</f>
        <v>0</v>
      </c>
      <c r="G466" s="146" t="n">
        <f aca="false">Scoring!D473</f>
        <v>0</v>
      </c>
      <c r="H466" s="146" t="str">
        <f aca="false">Scoring!DA473</f>
        <v/>
      </c>
      <c r="I466" s="148" t="str">
        <f aca="false">Scoring!CZ473</f>
        <v/>
      </c>
    </row>
    <row r="467" customFormat="false" ht="15.75" hidden="false" customHeight="false" outlineLevel="0" collapsed="false">
      <c r="A467" s="146" t="str">
        <f aca="false">Scoring!DC474</f>
        <v/>
      </c>
      <c r="B467" s="146" t="str">
        <f aca="false">Scoring!DB474</f>
        <v/>
      </c>
      <c r="C467" s="146" t="n">
        <f aca="false">Scoring!C474</f>
        <v>0</v>
      </c>
      <c r="D467" s="147" t="str">
        <f aca="false">Scoring!CY474</f>
        <v/>
      </c>
      <c r="E467" s="146" t="str">
        <f aca="false">Scoring!BH474</f>
        <v/>
      </c>
      <c r="F467" s="146" t="n">
        <f aca="false">Scoring!B474</f>
        <v>0</v>
      </c>
      <c r="G467" s="146" t="n">
        <f aca="false">Scoring!D474</f>
        <v>0</v>
      </c>
      <c r="H467" s="146" t="str">
        <f aca="false">Scoring!DA474</f>
        <v/>
      </c>
      <c r="I467" s="148" t="str">
        <f aca="false">Scoring!CZ474</f>
        <v/>
      </c>
    </row>
    <row r="468" customFormat="false" ht="15.75" hidden="false" customHeight="false" outlineLevel="0" collapsed="false">
      <c r="A468" s="146" t="str">
        <f aca="false">Scoring!DC475</f>
        <v/>
      </c>
      <c r="B468" s="146" t="str">
        <f aca="false">Scoring!DB475</f>
        <v/>
      </c>
      <c r="C468" s="146" t="n">
        <f aca="false">Scoring!C475</f>
        <v>0</v>
      </c>
      <c r="D468" s="147" t="str">
        <f aca="false">Scoring!CY475</f>
        <v/>
      </c>
      <c r="E468" s="146" t="str">
        <f aca="false">Scoring!BH475</f>
        <v/>
      </c>
      <c r="F468" s="146" t="n">
        <f aca="false">Scoring!B475</f>
        <v>0</v>
      </c>
      <c r="G468" s="146" t="n">
        <f aca="false">Scoring!D475</f>
        <v>0</v>
      </c>
      <c r="H468" s="146" t="str">
        <f aca="false">Scoring!DA475</f>
        <v/>
      </c>
      <c r="I468" s="148" t="str">
        <f aca="false">Scoring!CZ475</f>
        <v/>
      </c>
    </row>
    <row r="469" customFormat="false" ht="15.75" hidden="false" customHeight="false" outlineLevel="0" collapsed="false">
      <c r="A469" s="146" t="str">
        <f aca="false">Scoring!DC476</f>
        <v/>
      </c>
      <c r="B469" s="146" t="str">
        <f aca="false">Scoring!DB476</f>
        <v/>
      </c>
      <c r="C469" s="146" t="n">
        <f aca="false">Scoring!C476</f>
        <v>0</v>
      </c>
      <c r="D469" s="147" t="str">
        <f aca="false">Scoring!CY476</f>
        <v/>
      </c>
      <c r="E469" s="146" t="str">
        <f aca="false">Scoring!BH476</f>
        <v/>
      </c>
      <c r="F469" s="146" t="n">
        <f aca="false">Scoring!B476</f>
        <v>0</v>
      </c>
      <c r="G469" s="146" t="n">
        <f aca="false">Scoring!D476</f>
        <v>0</v>
      </c>
      <c r="H469" s="146" t="str">
        <f aca="false">Scoring!DA476</f>
        <v/>
      </c>
      <c r="I469" s="148" t="str">
        <f aca="false">Scoring!CZ476</f>
        <v/>
      </c>
    </row>
    <row r="470" customFormat="false" ht="15.75" hidden="false" customHeight="false" outlineLevel="0" collapsed="false">
      <c r="A470" s="146" t="str">
        <f aca="false">Scoring!DC477</f>
        <v/>
      </c>
      <c r="B470" s="146" t="str">
        <f aca="false">Scoring!DB477</f>
        <v/>
      </c>
      <c r="C470" s="146" t="n">
        <f aca="false">Scoring!C477</f>
        <v>0</v>
      </c>
      <c r="D470" s="147" t="str">
        <f aca="false">Scoring!CY477</f>
        <v/>
      </c>
      <c r="E470" s="146" t="str">
        <f aca="false">Scoring!BH477</f>
        <v/>
      </c>
      <c r="F470" s="146" t="n">
        <f aca="false">Scoring!B477</f>
        <v>0</v>
      </c>
      <c r="G470" s="146" t="n">
        <f aca="false">Scoring!D477</f>
        <v>0</v>
      </c>
      <c r="H470" s="146" t="str">
        <f aca="false">Scoring!DA477</f>
        <v/>
      </c>
      <c r="I470" s="148" t="str">
        <f aca="false">Scoring!CZ477</f>
        <v/>
      </c>
    </row>
    <row r="471" customFormat="false" ht="15.75" hidden="false" customHeight="false" outlineLevel="0" collapsed="false">
      <c r="A471" s="146" t="str">
        <f aca="false">Scoring!DC478</f>
        <v/>
      </c>
      <c r="B471" s="146" t="str">
        <f aca="false">Scoring!DB478</f>
        <v/>
      </c>
      <c r="C471" s="146" t="n">
        <f aca="false">Scoring!C478</f>
        <v>0</v>
      </c>
      <c r="D471" s="147" t="str">
        <f aca="false">Scoring!CY478</f>
        <v/>
      </c>
      <c r="E471" s="146" t="str">
        <f aca="false">Scoring!BH478</f>
        <v/>
      </c>
      <c r="F471" s="146" t="n">
        <f aca="false">Scoring!B478</f>
        <v>0</v>
      </c>
      <c r="G471" s="146" t="n">
        <f aca="false">Scoring!D478</f>
        <v>0</v>
      </c>
      <c r="H471" s="146" t="str">
        <f aca="false">Scoring!DA478</f>
        <v/>
      </c>
      <c r="I471" s="148" t="str">
        <f aca="false">Scoring!CZ478</f>
        <v/>
      </c>
    </row>
    <row r="472" customFormat="false" ht="15.75" hidden="false" customHeight="false" outlineLevel="0" collapsed="false">
      <c r="A472" s="146" t="str">
        <f aca="false">Scoring!DC479</f>
        <v/>
      </c>
      <c r="B472" s="146" t="str">
        <f aca="false">Scoring!DB479</f>
        <v/>
      </c>
      <c r="C472" s="146" t="n">
        <f aca="false">Scoring!C479</f>
        <v>0</v>
      </c>
      <c r="D472" s="147" t="str">
        <f aca="false">Scoring!CY479</f>
        <v/>
      </c>
      <c r="E472" s="146" t="str">
        <f aca="false">Scoring!BH479</f>
        <v/>
      </c>
      <c r="F472" s="146" t="n">
        <f aca="false">Scoring!B479</f>
        <v>0</v>
      </c>
      <c r="G472" s="146" t="n">
        <f aca="false">Scoring!D479</f>
        <v>0</v>
      </c>
      <c r="H472" s="146" t="str">
        <f aca="false">Scoring!DA479</f>
        <v/>
      </c>
      <c r="I472" s="148" t="str">
        <f aca="false">Scoring!CZ479</f>
        <v/>
      </c>
    </row>
    <row r="473" customFormat="false" ht="15.75" hidden="false" customHeight="false" outlineLevel="0" collapsed="false">
      <c r="A473" s="146" t="str">
        <f aca="false">Scoring!DC480</f>
        <v/>
      </c>
      <c r="B473" s="146" t="str">
        <f aca="false">Scoring!DB480</f>
        <v/>
      </c>
      <c r="C473" s="146" t="n">
        <f aca="false">Scoring!C480</f>
        <v>0</v>
      </c>
      <c r="D473" s="147" t="str">
        <f aca="false">Scoring!CY480</f>
        <v/>
      </c>
      <c r="E473" s="146" t="str">
        <f aca="false">Scoring!BH480</f>
        <v/>
      </c>
      <c r="F473" s="146" t="n">
        <f aca="false">Scoring!B480</f>
        <v>0</v>
      </c>
      <c r="G473" s="146" t="n">
        <f aca="false">Scoring!D480</f>
        <v>0</v>
      </c>
      <c r="H473" s="146" t="str">
        <f aca="false">Scoring!DA480</f>
        <v/>
      </c>
      <c r="I473" s="148" t="str">
        <f aca="false">Scoring!CZ480</f>
        <v/>
      </c>
    </row>
    <row r="474" customFormat="false" ht="15.75" hidden="false" customHeight="false" outlineLevel="0" collapsed="false">
      <c r="A474" s="146" t="str">
        <f aca="false">Scoring!DC481</f>
        <v/>
      </c>
      <c r="B474" s="146" t="str">
        <f aca="false">Scoring!DB481</f>
        <v/>
      </c>
      <c r="C474" s="146" t="n">
        <f aca="false">Scoring!C481</f>
        <v>0</v>
      </c>
      <c r="D474" s="147" t="str">
        <f aca="false">Scoring!CY481</f>
        <v/>
      </c>
      <c r="E474" s="146" t="str">
        <f aca="false">Scoring!BH481</f>
        <v/>
      </c>
      <c r="F474" s="146" t="n">
        <f aca="false">Scoring!B481</f>
        <v>0</v>
      </c>
      <c r="G474" s="146" t="n">
        <f aca="false">Scoring!D481</f>
        <v>0</v>
      </c>
      <c r="H474" s="146" t="str">
        <f aca="false">Scoring!DA481</f>
        <v/>
      </c>
      <c r="I474" s="148" t="str">
        <f aca="false">Scoring!CZ481</f>
        <v/>
      </c>
    </row>
    <row r="475" customFormat="false" ht="15.75" hidden="false" customHeight="false" outlineLevel="0" collapsed="false">
      <c r="A475" s="146" t="str">
        <f aca="false">Scoring!DC482</f>
        <v/>
      </c>
      <c r="B475" s="146" t="str">
        <f aca="false">Scoring!DB482</f>
        <v/>
      </c>
      <c r="C475" s="146" t="n">
        <f aca="false">Scoring!C482</f>
        <v>0</v>
      </c>
      <c r="D475" s="147" t="str">
        <f aca="false">Scoring!CY482</f>
        <v/>
      </c>
      <c r="E475" s="146" t="str">
        <f aca="false">Scoring!BH482</f>
        <v/>
      </c>
      <c r="F475" s="146" t="n">
        <f aca="false">Scoring!B482</f>
        <v>0</v>
      </c>
      <c r="G475" s="146" t="n">
        <f aca="false">Scoring!D482</f>
        <v>0</v>
      </c>
      <c r="H475" s="146" t="str">
        <f aca="false">Scoring!DA482</f>
        <v/>
      </c>
      <c r="I475" s="148" t="str">
        <f aca="false">Scoring!CZ482</f>
        <v/>
      </c>
    </row>
    <row r="476" customFormat="false" ht="15.75" hidden="false" customHeight="false" outlineLevel="0" collapsed="false">
      <c r="A476" s="146" t="str">
        <f aca="false">Scoring!DC483</f>
        <v/>
      </c>
      <c r="B476" s="146" t="str">
        <f aca="false">Scoring!DB483</f>
        <v/>
      </c>
      <c r="C476" s="146" t="n">
        <f aca="false">Scoring!C483</f>
        <v>0</v>
      </c>
      <c r="D476" s="147" t="str">
        <f aca="false">Scoring!CY483</f>
        <v/>
      </c>
      <c r="E476" s="146" t="str">
        <f aca="false">Scoring!BH483</f>
        <v/>
      </c>
      <c r="F476" s="146" t="n">
        <f aca="false">Scoring!B483</f>
        <v>0</v>
      </c>
      <c r="G476" s="146" t="n">
        <f aca="false">Scoring!D483</f>
        <v>0</v>
      </c>
      <c r="H476" s="146" t="str">
        <f aca="false">Scoring!DA483</f>
        <v/>
      </c>
      <c r="I476" s="148" t="str">
        <f aca="false">Scoring!CZ483</f>
        <v/>
      </c>
    </row>
    <row r="477" customFormat="false" ht="15.75" hidden="false" customHeight="false" outlineLevel="0" collapsed="false">
      <c r="A477" s="146" t="str">
        <f aca="false">Scoring!DC484</f>
        <v/>
      </c>
      <c r="B477" s="146" t="str">
        <f aca="false">Scoring!DB484</f>
        <v/>
      </c>
      <c r="C477" s="146" t="n">
        <f aca="false">Scoring!C484</f>
        <v>0</v>
      </c>
      <c r="D477" s="147" t="str">
        <f aca="false">Scoring!CY484</f>
        <v/>
      </c>
      <c r="E477" s="146" t="str">
        <f aca="false">Scoring!BH484</f>
        <v/>
      </c>
      <c r="F477" s="146" t="n">
        <f aca="false">Scoring!B484</f>
        <v>0</v>
      </c>
      <c r="G477" s="146" t="n">
        <f aca="false">Scoring!D484</f>
        <v>0</v>
      </c>
      <c r="H477" s="146" t="str">
        <f aca="false">Scoring!DA484</f>
        <v/>
      </c>
      <c r="I477" s="148" t="str">
        <f aca="false">Scoring!CZ484</f>
        <v/>
      </c>
    </row>
    <row r="478" customFormat="false" ht="15.75" hidden="false" customHeight="false" outlineLevel="0" collapsed="false">
      <c r="A478" s="146" t="str">
        <f aca="false">Scoring!DC485</f>
        <v/>
      </c>
      <c r="B478" s="146" t="str">
        <f aca="false">Scoring!DB485</f>
        <v/>
      </c>
      <c r="C478" s="146" t="n">
        <f aca="false">Scoring!C485</f>
        <v>0</v>
      </c>
      <c r="D478" s="147" t="str">
        <f aca="false">Scoring!CY485</f>
        <v/>
      </c>
      <c r="E478" s="146" t="str">
        <f aca="false">Scoring!BH485</f>
        <v/>
      </c>
      <c r="F478" s="146" t="n">
        <f aca="false">Scoring!B485</f>
        <v>0</v>
      </c>
      <c r="G478" s="146" t="n">
        <f aca="false">Scoring!D485</f>
        <v>0</v>
      </c>
      <c r="H478" s="146" t="str">
        <f aca="false">Scoring!DA485</f>
        <v/>
      </c>
      <c r="I478" s="148" t="str">
        <f aca="false">Scoring!CZ485</f>
        <v/>
      </c>
    </row>
    <row r="479" customFormat="false" ht="15.75" hidden="false" customHeight="false" outlineLevel="0" collapsed="false">
      <c r="A479" s="146" t="str">
        <f aca="false">Scoring!DC486</f>
        <v/>
      </c>
      <c r="B479" s="146" t="str">
        <f aca="false">Scoring!DB486</f>
        <v/>
      </c>
      <c r="C479" s="146" t="n">
        <f aca="false">Scoring!C486</f>
        <v>0</v>
      </c>
      <c r="D479" s="147" t="str">
        <f aca="false">Scoring!CY486</f>
        <v/>
      </c>
      <c r="E479" s="146" t="str">
        <f aca="false">Scoring!BH486</f>
        <v/>
      </c>
      <c r="F479" s="146" t="n">
        <f aca="false">Scoring!B486</f>
        <v>0</v>
      </c>
      <c r="G479" s="146" t="n">
        <f aca="false">Scoring!D486</f>
        <v>0</v>
      </c>
      <c r="H479" s="146" t="str">
        <f aca="false">Scoring!DA486</f>
        <v/>
      </c>
      <c r="I479" s="148" t="str">
        <f aca="false">Scoring!CZ486</f>
        <v/>
      </c>
    </row>
    <row r="480" customFormat="false" ht="15.75" hidden="false" customHeight="false" outlineLevel="0" collapsed="false">
      <c r="A480" s="146" t="str">
        <f aca="false">Scoring!DC487</f>
        <v/>
      </c>
      <c r="B480" s="146" t="str">
        <f aca="false">Scoring!DB487</f>
        <v/>
      </c>
      <c r="C480" s="146" t="n">
        <f aca="false">Scoring!C487</f>
        <v>0</v>
      </c>
      <c r="D480" s="147" t="str">
        <f aca="false">Scoring!CY487</f>
        <v/>
      </c>
      <c r="E480" s="146" t="str">
        <f aca="false">Scoring!BH487</f>
        <v/>
      </c>
      <c r="F480" s="146" t="n">
        <f aca="false">Scoring!B487</f>
        <v>0</v>
      </c>
      <c r="G480" s="146" t="n">
        <f aca="false">Scoring!D487</f>
        <v>0</v>
      </c>
      <c r="H480" s="146" t="str">
        <f aca="false">Scoring!DA487</f>
        <v/>
      </c>
      <c r="I480" s="148" t="str">
        <f aca="false">Scoring!CZ487</f>
        <v/>
      </c>
    </row>
    <row r="481" customFormat="false" ht="15.75" hidden="false" customHeight="false" outlineLevel="0" collapsed="false">
      <c r="A481" s="146" t="str">
        <f aca="false">Scoring!DC488</f>
        <v/>
      </c>
      <c r="B481" s="146" t="str">
        <f aca="false">Scoring!DB488</f>
        <v/>
      </c>
      <c r="C481" s="146" t="n">
        <f aca="false">Scoring!C488</f>
        <v>0</v>
      </c>
      <c r="D481" s="147" t="str">
        <f aca="false">Scoring!CY488</f>
        <v/>
      </c>
      <c r="E481" s="146" t="str">
        <f aca="false">Scoring!BH488</f>
        <v/>
      </c>
      <c r="F481" s="146" t="n">
        <f aca="false">Scoring!B488</f>
        <v>0</v>
      </c>
      <c r="G481" s="146" t="n">
        <f aca="false">Scoring!D488</f>
        <v>0</v>
      </c>
      <c r="H481" s="146" t="str">
        <f aca="false">Scoring!DA488</f>
        <v/>
      </c>
      <c r="I481" s="148" t="str">
        <f aca="false">Scoring!CZ488</f>
        <v/>
      </c>
    </row>
    <row r="482" customFormat="false" ht="15.75" hidden="false" customHeight="false" outlineLevel="0" collapsed="false">
      <c r="A482" s="146" t="str">
        <f aca="false">Scoring!DC489</f>
        <v/>
      </c>
      <c r="B482" s="146" t="str">
        <f aca="false">Scoring!DB489</f>
        <v/>
      </c>
      <c r="C482" s="146" t="n">
        <f aca="false">Scoring!C489</f>
        <v>0</v>
      </c>
      <c r="D482" s="147" t="str">
        <f aca="false">Scoring!CY489</f>
        <v/>
      </c>
      <c r="E482" s="146" t="str">
        <f aca="false">Scoring!BH489</f>
        <v/>
      </c>
      <c r="F482" s="146" t="n">
        <f aca="false">Scoring!B489</f>
        <v>0</v>
      </c>
      <c r="G482" s="146" t="n">
        <f aca="false">Scoring!D489</f>
        <v>0</v>
      </c>
      <c r="H482" s="146" t="str">
        <f aca="false">Scoring!DA489</f>
        <v/>
      </c>
      <c r="I482" s="148" t="str">
        <f aca="false">Scoring!CZ489</f>
        <v/>
      </c>
    </row>
    <row r="483" customFormat="false" ht="15.75" hidden="false" customHeight="false" outlineLevel="0" collapsed="false">
      <c r="A483" s="146" t="str">
        <f aca="false">Scoring!DC490</f>
        <v/>
      </c>
      <c r="B483" s="146" t="str">
        <f aca="false">Scoring!DB490</f>
        <v/>
      </c>
      <c r="C483" s="146" t="n">
        <f aca="false">Scoring!C490</f>
        <v>0</v>
      </c>
      <c r="D483" s="147" t="str">
        <f aca="false">Scoring!CY490</f>
        <v/>
      </c>
      <c r="E483" s="146" t="str">
        <f aca="false">Scoring!BH490</f>
        <v/>
      </c>
      <c r="F483" s="146" t="n">
        <f aca="false">Scoring!B490</f>
        <v>0</v>
      </c>
      <c r="G483" s="146" t="n">
        <f aca="false">Scoring!D490</f>
        <v>0</v>
      </c>
      <c r="H483" s="146" t="str">
        <f aca="false">Scoring!DA490</f>
        <v/>
      </c>
      <c r="I483" s="148" t="str">
        <f aca="false">Scoring!CZ490</f>
        <v/>
      </c>
    </row>
    <row r="484" customFormat="false" ht="15.75" hidden="false" customHeight="false" outlineLevel="0" collapsed="false">
      <c r="A484" s="146" t="str">
        <f aca="false">Scoring!DC491</f>
        <v/>
      </c>
      <c r="B484" s="146" t="str">
        <f aca="false">Scoring!DB491</f>
        <v/>
      </c>
      <c r="C484" s="146" t="n">
        <f aca="false">Scoring!C491</f>
        <v>0</v>
      </c>
      <c r="D484" s="147" t="str">
        <f aca="false">Scoring!CY491</f>
        <v/>
      </c>
      <c r="E484" s="146" t="str">
        <f aca="false">Scoring!BH491</f>
        <v/>
      </c>
      <c r="F484" s="146" t="n">
        <f aca="false">Scoring!B491</f>
        <v>0</v>
      </c>
      <c r="G484" s="146" t="n">
        <f aca="false">Scoring!D491</f>
        <v>0</v>
      </c>
      <c r="H484" s="146" t="str">
        <f aca="false">Scoring!DA491</f>
        <v/>
      </c>
      <c r="I484" s="148" t="str">
        <f aca="false">Scoring!CZ491</f>
        <v/>
      </c>
    </row>
    <row r="485" customFormat="false" ht="15.75" hidden="false" customHeight="false" outlineLevel="0" collapsed="false">
      <c r="A485" s="146" t="str">
        <f aca="false">Scoring!DC492</f>
        <v/>
      </c>
      <c r="B485" s="146" t="str">
        <f aca="false">Scoring!DB492</f>
        <v/>
      </c>
      <c r="C485" s="146" t="n">
        <f aca="false">Scoring!C492</f>
        <v>0</v>
      </c>
      <c r="D485" s="147" t="str">
        <f aca="false">Scoring!CY492</f>
        <v/>
      </c>
      <c r="E485" s="146" t="str">
        <f aca="false">Scoring!BH492</f>
        <v/>
      </c>
      <c r="F485" s="146" t="n">
        <f aca="false">Scoring!B492</f>
        <v>0</v>
      </c>
      <c r="G485" s="146" t="n">
        <f aca="false">Scoring!D492</f>
        <v>0</v>
      </c>
      <c r="H485" s="146" t="str">
        <f aca="false">Scoring!DA492</f>
        <v/>
      </c>
      <c r="I485" s="148" t="str">
        <f aca="false">Scoring!CZ492</f>
        <v/>
      </c>
    </row>
    <row r="486" customFormat="false" ht="15.75" hidden="false" customHeight="false" outlineLevel="0" collapsed="false">
      <c r="A486" s="146" t="str">
        <f aca="false">Scoring!DC493</f>
        <v/>
      </c>
      <c r="B486" s="146" t="str">
        <f aca="false">Scoring!DB493</f>
        <v/>
      </c>
      <c r="C486" s="146" t="n">
        <f aca="false">Scoring!C493</f>
        <v>0</v>
      </c>
      <c r="D486" s="147" t="str">
        <f aca="false">Scoring!CY493</f>
        <v/>
      </c>
      <c r="E486" s="146" t="str">
        <f aca="false">Scoring!BH493</f>
        <v/>
      </c>
      <c r="F486" s="146" t="n">
        <f aca="false">Scoring!B493</f>
        <v>0</v>
      </c>
      <c r="G486" s="146" t="n">
        <f aca="false">Scoring!D493</f>
        <v>0</v>
      </c>
      <c r="H486" s="146" t="str">
        <f aca="false">Scoring!DA493</f>
        <v/>
      </c>
      <c r="I486" s="148" t="str">
        <f aca="false">Scoring!CZ493</f>
        <v/>
      </c>
    </row>
    <row r="487" customFormat="false" ht="15.75" hidden="false" customHeight="false" outlineLevel="0" collapsed="false">
      <c r="A487" s="146" t="str">
        <f aca="false">Scoring!DC494</f>
        <v/>
      </c>
      <c r="B487" s="146" t="str">
        <f aca="false">Scoring!DB494</f>
        <v/>
      </c>
      <c r="C487" s="146" t="n">
        <f aca="false">Scoring!C494</f>
        <v>0</v>
      </c>
      <c r="D487" s="147" t="str">
        <f aca="false">Scoring!CY494</f>
        <v/>
      </c>
      <c r="E487" s="146" t="str">
        <f aca="false">Scoring!BH494</f>
        <v/>
      </c>
      <c r="F487" s="146" t="n">
        <f aca="false">Scoring!B494</f>
        <v>0</v>
      </c>
      <c r="G487" s="146" t="n">
        <f aca="false">Scoring!D494</f>
        <v>0</v>
      </c>
      <c r="H487" s="146" t="str">
        <f aca="false">Scoring!DA494</f>
        <v/>
      </c>
      <c r="I487" s="148" t="str">
        <f aca="false">Scoring!CZ494</f>
        <v/>
      </c>
    </row>
    <row r="488" customFormat="false" ht="15.75" hidden="false" customHeight="false" outlineLevel="0" collapsed="false">
      <c r="A488" s="146" t="str">
        <f aca="false">Scoring!DC495</f>
        <v/>
      </c>
      <c r="B488" s="146" t="str">
        <f aca="false">Scoring!DB495</f>
        <v/>
      </c>
      <c r="C488" s="146" t="n">
        <f aca="false">Scoring!C495</f>
        <v>0</v>
      </c>
      <c r="D488" s="147" t="str">
        <f aca="false">Scoring!CY495</f>
        <v/>
      </c>
      <c r="E488" s="146" t="str">
        <f aca="false">Scoring!BH495</f>
        <v/>
      </c>
      <c r="F488" s="146" t="n">
        <f aca="false">Scoring!B495</f>
        <v>0</v>
      </c>
      <c r="G488" s="146" t="n">
        <f aca="false">Scoring!D495</f>
        <v>0</v>
      </c>
      <c r="H488" s="146" t="str">
        <f aca="false">Scoring!DA495</f>
        <v/>
      </c>
      <c r="I488" s="148" t="str">
        <f aca="false">Scoring!CZ495</f>
        <v/>
      </c>
    </row>
    <row r="489" customFormat="false" ht="15.75" hidden="false" customHeight="false" outlineLevel="0" collapsed="false">
      <c r="A489" s="146" t="str">
        <f aca="false">Scoring!DC496</f>
        <v/>
      </c>
      <c r="B489" s="146" t="str">
        <f aca="false">Scoring!DB496</f>
        <v/>
      </c>
      <c r="C489" s="146" t="n">
        <f aca="false">Scoring!C496</f>
        <v>0</v>
      </c>
      <c r="D489" s="147" t="str">
        <f aca="false">Scoring!CY496</f>
        <v/>
      </c>
      <c r="E489" s="146" t="str">
        <f aca="false">Scoring!BH496</f>
        <v/>
      </c>
      <c r="F489" s="146" t="n">
        <f aca="false">Scoring!B496</f>
        <v>0</v>
      </c>
      <c r="G489" s="146" t="n">
        <f aca="false">Scoring!D496</f>
        <v>0</v>
      </c>
      <c r="H489" s="146" t="str">
        <f aca="false">Scoring!DA496</f>
        <v/>
      </c>
      <c r="I489" s="148" t="str">
        <f aca="false">Scoring!CZ496</f>
        <v/>
      </c>
    </row>
    <row r="490" customFormat="false" ht="15.75" hidden="false" customHeight="false" outlineLevel="0" collapsed="false">
      <c r="A490" s="146" t="str">
        <f aca="false">Scoring!DC497</f>
        <v/>
      </c>
      <c r="B490" s="146" t="str">
        <f aca="false">Scoring!DB497</f>
        <v/>
      </c>
      <c r="C490" s="146" t="n">
        <f aca="false">Scoring!C497</f>
        <v>0</v>
      </c>
      <c r="D490" s="147" t="str">
        <f aca="false">Scoring!CY497</f>
        <v/>
      </c>
      <c r="E490" s="146" t="str">
        <f aca="false">Scoring!BH497</f>
        <v/>
      </c>
      <c r="F490" s="146" t="n">
        <f aca="false">Scoring!B497</f>
        <v>0</v>
      </c>
      <c r="G490" s="146" t="n">
        <f aca="false">Scoring!D497</f>
        <v>0</v>
      </c>
      <c r="H490" s="146" t="str">
        <f aca="false">Scoring!DA497</f>
        <v/>
      </c>
      <c r="I490" s="148" t="str">
        <f aca="false">Scoring!CZ497</f>
        <v/>
      </c>
    </row>
    <row r="491" customFormat="false" ht="15.75" hidden="false" customHeight="false" outlineLevel="0" collapsed="false">
      <c r="A491" s="146" t="str">
        <f aca="false">Scoring!DC498</f>
        <v/>
      </c>
      <c r="B491" s="146" t="str">
        <f aca="false">Scoring!DB498</f>
        <v/>
      </c>
      <c r="C491" s="146" t="n">
        <f aca="false">Scoring!C498</f>
        <v>0</v>
      </c>
      <c r="D491" s="147" t="str">
        <f aca="false">Scoring!CY498</f>
        <v/>
      </c>
      <c r="E491" s="146" t="str">
        <f aca="false">Scoring!BH498</f>
        <v/>
      </c>
      <c r="F491" s="146" t="n">
        <f aca="false">Scoring!B498</f>
        <v>0</v>
      </c>
      <c r="G491" s="146" t="n">
        <f aca="false">Scoring!D498</f>
        <v>0</v>
      </c>
      <c r="H491" s="146" t="str">
        <f aca="false">Scoring!DA498</f>
        <v/>
      </c>
      <c r="I491" s="148" t="str">
        <f aca="false">Scoring!CZ498</f>
        <v/>
      </c>
    </row>
    <row r="492" customFormat="false" ht="15.75" hidden="false" customHeight="false" outlineLevel="0" collapsed="false">
      <c r="A492" s="146" t="str">
        <f aca="false">Scoring!DC499</f>
        <v/>
      </c>
      <c r="B492" s="146" t="str">
        <f aca="false">Scoring!DB499</f>
        <v/>
      </c>
      <c r="C492" s="146" t="n">
        <f aca="false">Scoring!C499</f>
        <v>0</v>
      </c>
      <c r="D492" s="147" t="str">
        <f aca="false">Scoring!CY499</f>
        <v/>
      </c>
      <c r="E492" s="146" t="str">
        <f aca="false">Scoring!BH499</f>
        <v/>
      </c>
      <c r="F492" s="146" t="n">
        <f aca="false">Scoring!B499</f>
        <v>0</v>
      </c>
      <c r="G492" s="146" t="n">
        <f aca="false">Scoring!D499</f>
        <v>0</v>
      </c>
      <c r="H492" s="146" t="str">
        <f aca="false">Scoring!DA499</f>
        <v/>
      </c>
      <c r="I492" s="148" t="str">
        <f aca="false">Scoring!CZ499</f>
        <v/>
      </c>
    </row>
    <row r="493" customFormat="false" ht="15.75" hidden="false" customHeight="false" outlineLevel="0" collapsed="false">
      <c r="A493" s="146" t="str">
        <f aca="false">Scoring!DC500</f>
        <v/>
      </c>
      <c r="B493" s="146" t="str">
        <f aca="false">Scoring!DB500</f>
        <v/>
      </c>
      <c r="C493" s="146" t="n">
        <f aca="false">Scoring!C500</f>
        <v>0</v>
      </c>
      <c r="D493" s="147" t="str">
        <f aca="false">Scoring!CY500</f>
        <v/>
      </c>
      <c r="E493" s="146" t="str">
        <f aca="false">Scoring!BH500</f>
        <v/>
      </c>
      <c r="F493" s="146" t="n">
        <f aca="false">Scoring!B500</f>
        <v>0</v>
      </c>
      <c r="G493" s="146" t="n">
        <f aca="false">Scoring!D500</f>
        <v>0</v>
      </c>
      <c r="H493" s="146" t="str">
        <f aca="false">Scoring!DA500</f>
        <v/>
      </c>
      <c r="I493" s="148" t="str">
        <f aca="false">Scoring!CZ500</f>
        <v/>
      </c>
    </row>
    <row r="494" customFormat="false" ht="15.75" hidden="false" customHeight="false" outlineLevel="0" collapsed="false">
      <c r="A494" s="146" t="str">
        <f aca="false">Scoring!DC501</f>
        <v/>
      </c>
      <c r="B494" s="146" t="str">
        <f aca="false">Scoring!DB501</f>
        <v/>
      </c>
      <c r="C494" s="146" t="n">
        <f aca="false">Scoring!C501</f>
        <v>0</v>
      </c>
      <c r="D494" s="147" t="str">
        <f aca="false">Scoring!CY501</f>
        <v/>
      </c>
      <c r="E494" s="146" t="str">
        <f aca="false">Scoring!BH501</f>
        <v/>
      </c>
      <c r="F494" s="146" t="n">
        <f aca="false">Scoring!B501</f>
        <v>0</v>
      </c>
      <c r="G494" s="146" t="n">
        <f aca="false">Scoring!D501</f>
        <v>0</v>
      </c>
      <c r="H494" s="146" t="str">
        <f aca="false">Scoring!DA501</f>
        <v/>
      </c>
      <c r="I494" s="148" t="str">
        <f aca="false">Scoring!CZ501</f>
        <v/>
      </c>
    </row>
    <row r="495" customFormat="false" ht="15.75" hidden="false" customHeight="false" outlineLevel="0" collapsed="false">
      <c r="A495" s="146" t="str">
        <f aca="false">Scoring!DC502</f>
        <v/>
      </c>
      <c r="B495" s="146" t="str">
        <f aca="false">Scoring!DB502</f>
        <v/>
      </c>
      <c r="C495" s="146" t="n">
        <f aca="false">Scoring!C502</f>
        <v>0</v>
      </c>
      <c r="D495" s="147" t="str">
        <f aca="false">Scoring!CY502</f>
        <v/>
      </c>
      <c r="E495" s="146" t="str">
        <f aca="false">Scoring!BH502</f>
        <v/>
      </c>
      <c r="F495" s="146" t="n">
        <f aca="false">Scoring!B502</f>
        <v>0</v>
      </c>
      <c r="G495" s="146" t="n">
        <f aca="false">Scoring!D502</f>
        <v>0</v>
      </c>
      <c r="H495" s="146" t="str">
        <f aca="false">Scoring!DA502</f>
        <v/>
      </c>
      <c r="I495" s="148" t="str">
        <f aca="false">Scoring!CZ502</f>
        <v/>
      </c>
    </row>
    <row r="496" customFormat="false" ht="15.75" hidden="false" customHeight="false" outlineLevel="0" collapsed="false">
      <c r="A496" s="146" t="str">
        <f aca="false">Scoring!DC503</f>
        <v/>
      </c>
      <c r="B496" s="146" t="str">
        <f aca="false">Scoring!DB503</f>
        <v/>
      </c>
      <c r="C496" s="146" t="n">
        <f aca="false">Scoring!C503</f>
        <v>0</v>
      </c>
      <c r="D496" s="147" t="str">
        <f aca="false">Scoring!CY503</f>
        <v/>
      </c>
      <c r="E496" s="146" t="str">
        <f aca="false">Scoring!BH503</f>
        <v/>
      </c>
      <c r="F496" s="146" t="n">
        <f aca="false">Scoring!B503</f>
        <v>0</v>
      </c>
      <c r="G496" s="146" t="n">
        <f aca="false">Scoring!D503</f>
        <v>0</v>
      </c>
      <c r="H496" s="146" t="str">
        <f aca="false">Scoring!DA503</f>
        <v/>
      </c>
      <c r="I496" s="148" t="str">
        <f aca="false">Scoring!CZ503</f>
        <v/>
      </c>
    </row>
    <row r="497" customFormat="false" ht="15.75" hidden="false" customHeight="false" outlineLevel="0" collapsed="false">
      <c r="A497" s="146" t="str">
        <f aca="false">Scoring!DC504</f>
        <v/>
      </c>
      <c r="B497" s="146" t="str">
        <f aca="false">Scoring!DB504</f>
        <v/>
      </c>
      <c r="C497" s="146" t="n">
        <f aca="false">Scoring!C504</f>
        <v>0</v>
      </c>
      <c r="D497" s="147" t="str">
        <f aca="false">Scoring!CY504</f>
        <v/>
      </c>
      <c r="E497" s="146" t="str">
        <f aca="false">Scoring!BH504</f>
        <v/>
      </c>
      <c r="F497" s="146" t="n">
        <f aca="false">Scoring!B504</f>
        <v>0</v>
      </c>
      <c r="G497" s="146" t="n">
        <f aca="false">Scoring!D504</f>
        <v>0</v>
      </c>
      <c r="H497" s="146" t="str">
        <f aca="false">Scoring!DA504</f>
        <v/>
      </c>
      <c r="I497" s="148" t="str">
        <f aca="false">Scoring!CZ504</f>
        <v/>
      </c>
    </row>
    <row r="498" customFormat="false" ht="15.75" hidden="false" customHeight="false" outlineLevel="0" collapsed="false">
      <c r="A498" s="146" t="str">
        <f aca="false">Scoring!DC505</f>
        <v/>
      </c>
      <c r="B498" s="146" t="str">
        <f aca="false">Scoring!DB505</f>
        <v/>
      </c>
      <c r="C498" s="146" t="n">
        <f aca="false">Scoring!C505</f>
        <v>0</v>
      </c>
      <c r="D498" s="147" t="str">
        <f aca="false">Scoring!CY505</f>
        <v/>
      </c>
      <c r="E498" s="146" t="str">
        <f aca="false">Scoring!BH505</f>
        <v/>
      </c>
      <c r="F498" s="146" t="n">
        <f aca="false">Scoring!B505</f>
        <v>0</v>
      </c>
      <c r="G498" s="146" t="n">
        <f aca="false">Scoring!D505</f>
        <v>0</v>
      </c>
      <c r="H498" s="146" t="str">
        <f aca="false">Scoring!DA505</f>
        <v/>
      </c>
      <c r="I498" s="148" t="str">
        <f aca="false">Scoring!CZ505</f>
        <v/>
      </c>
    </row>
    <row r="499" customFormat="false" ht="15.75" hidden="false" customHeight="false" outlineLevel="0" collapsed="false">
      <c r="A499" s="146" t="str">
        <f aca="false">Scoring!DC506</f>
        <v/>
      </c>
      <c r="B499" s="146" t="str">
        <f aca="false">Scoring!DB506</f>
        <v/>
      </c>
      <c r="C499" s="146" t="n">
        <f aca="false">Scoring!C506</f>
        <v>0</v>
      </c>
      <c r="D499" s="147" t="str">
        <f aca="false">Scoring!CY506</f>
        <v/>
      </c>
      <c r="E499" s="146" t="str">
        <f aca="false">Scoring!BH506</f>
        <v/>
      </c>
      <c r="F499" s="146" t="n">
        <f aca="false">Scoring!B506</f>
        <v>0</v>
      </c>
      <c r="G499" s="146" t="n">
        <f aca="false">Scoring!D506</f>
        <v>0</v>
      </c>
      <c r="H499" s="146" t="str">
        <f aca="false">Scoring!DA506</f>
        <v/>
      </c>
      <c r="I499" s="148" t="str">
        <f aca="false">Scoring!CZ506</f>
        <v/>
      </c>
    </row>
    <row r="500" customFormat="false" ht="15.75" hidden="false" customHeight="false" outlineLevel="0" collapsed="false">
      <c r="A500" s="146" t="str">
        <f aca="false">Scoring!DC507</f>
        <v/>
      </c>
      <c r="B500" s="146" t="str">
        <f aca="false">Scoring!DB507</f>
        <v/>
      </c>
      <c r="C500" s="146" t="n">
        <f aca="false">Scoring!C507</f>
        <v>0</v>
      </c>
      <c r="D500" s="147" t="str">
        <f aca="false">Scoring!CY507</f>
        <v/>
      </c>
      <c r="E500" s="146" t="str">
        <f aca="false">Scoring!BH507</f>
        <v/>
      </c>
      <c r="F500" s="146" t="n">
        <f aca="false">Scoring!B507</f>
        <v>0</v>
      </c>
      <c r="G500" s="146" t="n">
        <f aca="false">Scoring!D507</f>
        <v>0</v>
      </c>
      <c r="H500" s="146" t="str">
        <f aca="false">Scoring!DA507</f>
        <v/>
      </c>
      <c r="I500" s="148" t="str">
        <f aca="false">Scoring!CZ507</f>
        <v/>
      </c>
    </row>
    <row r="501" customFormat="false" ht="15.75" hidden="false" customHeight="false" outlineLevel="0" collapsed="false">
      <c r="A501" s="146" t="str">
        <f aca="false">Scoring!DC508</f>
        <v/>
      </c>
      <c r="B501" s="146" t="str">
        <f aca="false">Scoring!DB508</f>
        <v/>
      </c>
      <c r="C501" s="146" t="n">
        <f aca="false">Scoring!C508</f>
        <v>0</v>
      </c>
      <c r="D501" s="147" t="str">
        <f aca="false">Scoring!CY508</f>
        <v/>
      </c>
      <c r="E501" s="146" t="str">
        <f aca="false">Scoring!BH508</f>
        <v/>
      </c>
      <c r="F501" s="146" t="n">
        <f aca="false">Scoring!B508</f>
        <v>0</v>
      </c>
      <c r="G501" s="146" t="n">
        <f aca="false">Scoring!D508</f>
        <v>0</v>
      </c>
      <c r="H501" s="146" t="str">
        <f aca="false">Scoring!DA508</f>
        <v/>
      </c>
      <c r="I501" s="148" t="str">
        <f aca="false">Scoring!CZ508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2026-09-30T23:18:06Z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